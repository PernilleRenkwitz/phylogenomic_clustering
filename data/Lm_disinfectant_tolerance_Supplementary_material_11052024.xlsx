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tudk-my.sharepoint.com/personal/s204637_dtu_dk/Documents/Skrivebord/specialkursus/phylogenomic_clustering/data/"/>
    </mc:Choice>
  </mc:AlternateContent>
  <xr:revisionPtr revIDLastSave="26" documentId="8_{6DF3B51B-6187-4C03-BFE4-BF9946566395}" xr6:coauthVersionLast="47" xr6:coauthVersionMax="47" xr10:uidLastSave="{6C31D24A-80C8-4447-949E-982C4D44F2C4}"/>
  <bookViews>
    <workbookView minimized="1" xWindow="2484" yWindow="2112" windowWidth="8292" windowHeight="8148" xr2:uid="{00000000-000D-0000-FFFF-FFFF00000000}"/>
  </bookViews>
  <sheets>
    <sheet name="Table S1" sheetId="4" r:id="rId1"/>
    <sheet name="Table S2" sheetId="26" r:id="rId2"/>
    <sheet name="Table S3" sheetId="22" r:id="rId3"/>
    <sheet name="Table S4" sheetId="23" r:id="rId4"/>
    <sheet name="Table QC" sheetId="14" r:id="rId5"/>
  </sheets>
  <externalReferences>
    <externalReference r:id="rId6"/>
    <externalReference r:id="rId7"/>
    <externalReference r:id="rId8"/>
  </externalReferences>
  <definedNames>
    <definedName name="_xlnm._FilterDatabase" localSheetId="0" hidden="1">'Table S1'!$A$2:$Y$1673</definedName>
    <definedName name="_xlnm._FilterDatabase" localSheetId="1" hidden="1">'Table S2'!$A$1:$K$415</definedName>
    <definedName name="_xlnm._FilterDatabase" localSheetId="2" hidden="1">'Table S3'!$A$1:$J$10931</definedName>
    <definedName name="_xlnm._FilterDatabase" localSheetId="3" hidden="1">'Table S4'!$A$1:$Q$38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8" i="26" l="1"/>
  <c r="H417" i="26"/>
  <c r="H421" i="26" l="1"/>
  <c r="H422" i="26" s="1"/>
  <c r="H419" i="26"/>
  <c r="H420" i="26" s="1"/>
  <c r="D389" i="4"/>
  <c r="D335" i="4"/>
  <c r="D719" i="4"/>
  <c r="D843" i="4"/>
  <c r="D868" i="4"/>
  <c r="D880" i="4"/>
  <c r="D873" i="4"/>
  <c r="D895" i="4"/>
  <c r="D311" i="4"/>
  <c r="D416" i="4"/>
  <c r="D1453" i="4"/>
  <c r="D717" i="4"/>
  <c r="D919" i="4"/>
  <c r="D1069" i="4"/>
  <c r="D332" i="4"/>
  <c r="D1578" i="4"/>
  <c r="D761" i="4"/>
  <c r="D739" i="4"/>
  <c r="D740" i="4"/>
  <c r="D738" i="4"/>
  <c r="D757" i="4"/>
  <c r="D756" i="4"/>
  <c r="D822" i="4"/>
  <c r="D584" i="4"/>
  <c r="D283" i="4"/>
  <c r="D21" i="4"/>
  <c r="D27" i="4"/>
  <c r="D37" i="4"/>
  <c r="D287" i="4"/>
  <c r="D288" i="4"/>
  <c r="D289" i="4"/>
  <c r="D290" i="4"/>
  <c r="D295" i="4"/>
  <c r="D297" i="4"/>
  <c r="D302" i="4"/>
  <c r="D303" i="4"/>
  <c r="D323" i="4"/>
  <c r="D338" i="4"/>
  <c r="D385" i="4"/>
  <c r="D398" i="4"/>
  <c r="D399" i="4"/>
  <c r="D408" i="4"/>
  <c r="D411" i="4"/>
  <c r="D418" i="4"/>
  <c r="D419" i="4"/>
  <c r="D420" i="4"/>
  <c r="D421" i="4"/>
  <c r="D422" i="4"/>
  <c r="D342" i="4"/>
  <c r="D425" i="4"/>
  <c r="D439" i="4"/>
  <c r="D441" i="4"/>
  <c r="D442" i="4"/>
  <c r="D443" i="4"/>
  <c r="D1640" i="4"/>
  <c r="D452" i="4"/>
  <c r="D463" i="4"/>
  <c r="A10939" i="22" l="1"/>
  <c r="C10938" i="22" s="1"/>
  <c r="Q347" i="4"/>
  <c r="Q360" i="4"/>
  <c r="Q383" i="4"/>
  <c r="Q382" i="4"/>
  <c r="Q376" i="4"/>
  <c r="Q380" i="4"/>
  <c r="Q362" i="4"/>
  <c r="Q358" i="4"/>
  <c r="Q357" i="4"/>
  <c r="Q356" i="4"/>
  <c r="Q355" i="4"/>
  <c r="Q354" i="4"/>
  <c r="Q353" i="4"/>
  <c r="Q352" i="4"/>
  <c r="Q351" i="4"/>
  <c r="Q350" i="4"/>
  <c r="Q349" i="4"/>
  <c r="Q348" i="4"/>
  <c r="Q346" i="4"/>
  <c r="Q345" i="4"/>
  <c r="Q1096" i="4"/>
  <c r="Q1095" i="4"/>
  <c r="Q378" i="4"/>
  <c r="Q372" i="4"/>
  <c r="Q370" i="4"/>
  <c r="Q368" i="4"/>
  <c r="Q367" i="4"/>
  <c r="Q267" i="4"/>
  <c r="Q266" i="4"/>
  <c r="Q265" i="4"/>
  <c r="Q263" i="4"/>
  <c r="Q262" i="4"/>
  <c r="Q261" i="4"/>
  <c r="Q260" i="4"/>
  <c r="Q256" i="4"/>
  <c r="Q251" i="4"/>
  <c r="Q247" i="4"/>
  <c r="Q236" i="4"/>
  <c r="Q232" i="4"/>
  <c r="Q229" i="4"/>
  <c r="Q1094" i="4"/>
  <c r="Q1093" i="4"/>
  <c r="Q369" i="4"/>
  <c r="Q364" i="4"/>
  <c r="Q272" i="4"/>
  <c r="Q271" i="4"/>
  <c r="Q257" i="4"/>
  <c r="Q249" i="4"/>
  <c r="Q246" i="4"/>
  <c r="Q245" i="4"/>
  <c r="Q243" i="4"/>
  <c r="Q241" i="4"/>
  <c r="Q239" i="4"/>
  <c r="Q235" i="4"/>
  <c r="Q234" i="4"/>
  <c r="Q231" i="4"/>
  <c r="Q230" i="4"/>
  <c r="Q1002" i="4"/>
  <c r="Q219" i="4"/>
  <c r="Q216" i="4"/>
  <c r="Q202" i="4"/>
  <c r="Q201" i="4"/>
  <c r="Q374" i="4"/>
  <c r="Q203" i="4"/>
  <c r="Q215" i="4"/>
  <c r="Q222" i="4"/>
  <c r="Q200" i="4"/>
  <c r="Q224" i="4"/>
  <c r="Q228" i="4"/>
  <c r="Q226" i="4"/>
  <c r="Q212" i="4"/>
  <c r="Q227" i="4"/>
  <c r="Q182" i="4"/>
  <c r="Q225" i="4"/>
  <c r="Q187" i="4"/>
  <c r="Q185" i="4"/>
  <c r="Q377" i="4"/>
  <c r="Q363" i="4"/>
  <c r="Q361" i="4"/>
  <c r="Q173" i="4"/>
  <c r="Q176" i="4"/>
  <c r="Q223" i="4"/>
  <c r="Q174" i="4"/>
  <c r="Q379" i="4"/>
  <c r="Q375" i="4"/>
  <c r="Q373" i="4"/>
  <c r="Q371" i="4"/>
  <c r="Q209" i="4"/>
  <c r="Q166" i="4"/>
  <c r="Q218" i="4"/>
  <c r="Q208" i="4"/>
  <c r="Q381" i="4"/>
  <c r="Q210" i="4"/>
  <c r="Q207" i="4"/>
  <c r="Q199" i="4"/>
  <c r="Q205" i="4"/>
  <c r="Q198" i="4"/>
  <c r="Q192" i="4"/>
  <c r="Q169" i="4"/>
  <c r="Q179" i="4"/>
  <c r="Q180" i="4"/>
  <c r="Q196" i="4"/>
  <c r="Q181" i="4"/>
  <c r="Q206" i="4"/>
  <c r="Q175" i="4"/>
  <c r="Q178" i="4"/>
  <c r="Q177" i="4"/>
  <c r="Q172" i="4"/>
  <c r="Q190" i="4"/>
  <c r="Q189" i="4"/>
  <c r="Q191" i="4"/>
  <c r="Q197" i="4"/>
  <c r="Q213" i="4"/>
  <c r="Q220" i="4"/>
  <c r="Q1092" i="4"/>
  <c r="Q1091" i="4"/>
  <c r="Q359" i="4"/>
  <c r="Q171" i="4"/>
  <c r="Q366" i="4"/>
  <c r="Q365" i="4"/>
  <c r="Q195" i="4"/>
  <c r="Q186" i="4"/>
  <c r="Q221" i="4"/>
  <c r="Q214" i="4"/>
  <c r="Q168" i="4"/>
  <c r="Q193" i="4"/>
  <c r="Q170" i="4"/>
  <c r="Q194" i="4"/>
  <c r="Q188" i="4"/>
  <c r="Q183" i="4"/>
  <c r="Q270" i="4"/>
  <c r="Q269" i="4"/>
  <c r="Q268" i="4"/>
  <c r="Q264" i="4"/>
  <c r="Q259" i="4"/>
  <c r="Q258" i="4"/>
  <c r="Q255" i="4"/>
  <c r="Q254" i="4"/>
  <c r="Q253" i="4"/>
  <c r="Q252" i="4"/>
  <c r="Q250" i="4"/>
  <c r="Q248" i="4"/>
  <c r="Q244" i="4"/>
  <c r="Q242" i="4"/>
  <c r="Q240" i="4"/>
  <c r="Q238" i="4"/>
  <c r="Q237" i="4"/>
  <c r="Q233" i="4"/>
  <c r="Q274" i="4"/>
  <c r="Q273" i="4"/>
  <c r="C10935" i="22" l="1"/>
  <c r="C10936" i="22"/>
  <c r="C10937" i="22"/>
  <c r="O154" i="4"/>
  <c r="O157" i="4"/>
  <c r="O164" i="4"/>
  <c r="O158" i="4"/>
  <c r="O156" i="4"/>
  <c r="O155" i="4"/>
  <c r="O153" i="4"/>
  <c r="O147" i="4"/>
  <c r="O152" i="4"/>
  <c r="O149" i="4"/>
  <c r="O160" i="4"/>
  <c r="O145" i="4"/>
  <c r="O151" i="4"/>
  <c r="O150" i="4"/>
  <c r="O141" i="4"/>
  <c r="O162" i="4"/>
  <c r="O163" i="4"/>
  <c r="O148" i="4"/>
  <c r="O143" i="4"/>
  <c r="O144" i="4"/>
  <c r="O142" i="4"/>
  <c r="O161" i="4"/>
  <c r="O159" i="4"/>
  <c r="O146" i="4"/>
  <c r="O855" i="4" l="1"/>
  <c r="O851" i="4"/>
  <c r="O1408" i="4"/>
  <c r="O1597" i="4"/>
  <c r="O1478" i="4"/>
  <c r="O1420" i="4"/>
  <c r="O896" i="4"/>
  <c r="O959" i="4"/>
  <c r="O1400" i="4"/>
  <c r="O1390" i="4"/>
  <c r="O1276" i="4"/>
  <c r="O1601" i="4"/>
  <c r="O1416" i="4"/>
  <c r="O916" i="4"/>
  <c r="O1621" i="4"/>
  <c r="O1489" i="4"/>
  <c r="O894" i="4"/>
  <c r="O1392" i="4"/>
  <c r="O1532" i="4"/>
  <c r="O1561" i="4"/>
  <c r="O1411" i="4"/>
  <c r="O1639" i="4"/>
  <c r="O838" i="4"/>
  <c r="O1426" i="4"/>
  <c r="O137" i="4"/>
  <c r="O1611" i="4"/>
  <c r="O861" i="4"/>
  <c r="O932" i="4"/>
  <c r="O1277" i="4"/>
  <c r="O1418" i="4"/>
  <c r="O283" i="4"/>
  <c r="O1620" i="4"/>
  <c r="O923" i="4"/>
  <c r="O131" i="4"/>
  <c r="O1476" i="4"/>
  <c r="O842" i="4"/>
  <c r="O1673" i="4"/>
  <c r="O1599" i="4"/>
  <c r="O1603" i="4"/>
  <c r="O890" i="4"/>
  <c r="O1412" i="4"/>
  <c r="O969" i="4"/>
  <c r="O1550" i="4"/>
  <c r="O1395" i="4"/>
  <c r="O1586" i="4"/>
  <c r="O832" i="4"/>
  <c r="O130" i="4"/>
  <c r="O878" i="4"/>
  <c r="O1607" i="4"/>
  <c r="O1507" i="4"/>
  <c r="O1593" i="4"/>
  <c r="O1602" i="4"/>
  <c r="O1479" i="4"/>
  <c r="O1422" i="4"/>
  <c r="O919" i="4"/>
  <c r="O1630" i="4"/>
  <c r="O1386" i="4"/>
  <c r="O1618" i="4"/>
  <c r="O912" i="4"/>
  <c r="O1625" i="4"/>
  <c r="O1382" i="4"/>
  <c r="O877" i="4"/>
  <c r="O1421" i="4"/>
  <c r="O829" i="4"/>
  <c r="O1477" i="4"/>
  <c r="O1483" i="4"/>
  <c r="O911" i="4"/>
  <c r="O1534" i="4"/>
  <c r="O1634" i="4"/>
  <c r="O1505" i="4"/>
  <c r="O1585" i="4"/>
  <c r="O1641" i="4"/>
  <c r="O860" i="4"/>
  <c r="O1470" i="4"/>
  <c r="O1502" i="4"/>
  <c r="O1617" i="4"/>
  <c r="O1423" i="4"/>
  <c r="O947" i="4"/>
  <c r="O1394" i="4"/>
  <c r="O1605" i="4"/>
  <c r="O1389" i="4"/>
  <c r="O1669" i="4"/>
  <c r="O1524" i="4"/>
  <c r="O1638" i="4"/>
  <c r="O1633" i="4"/>
  <c r="O1613" i="4"/>
  <c r="O1626" i="4"/>
  <c r="O1407" i="4"/>
  <c r="O901" i="4"/>
  <c r="O1467" i="4"/>
  <c r="O886" i="4"/>
  <c r="O1480" i="4"/>
  <c r="O1410" i="4"/>
  <c r="O1401" i="4"/>
  <c r="O1627" i="4"/>
  <c r="O1616" i="4"/>
  <c r="O1385" i="4"/>
  <c r="O1548" i="4"/>
  <c r="O957" i="4"/>
  <c r="O1579" i="4"/>
  <c r="O875" i="4"/>
  <c r="O284" i="4"/>
  <c r="O1623" i="4"/>
  <c r="O1472" i="4"/>
  <c r="O1492" i="4"/>
  <c r="O918" i="4"/>
  <c r="O1471" i="4"/>
  <c r="O826" i="4"/>
  <c r="O893" i="4"/>
  <c r="O1280" i="4"/>
  <c r="O1670" i="4"/>
  <c r="O1501" i="4"/>
  <c r="O1578" i="4"/>
  <c r="O909" i="4"/>
  <c r="O1384" i="4"/>
  <c r="O1391" i="4"/>
  <c r="O1475" i="4"/>
  <c r="O1582" i="4"/>
  <c r="O1594" i="4"/>
  <c r="O1535" i="4"/>
  <c r="O1413" i="4"/>
  <c r="O1628" i="4"/>
  <c r="O1619" i="4"/>
  <c r="O1583" i="4"/>
  <c r="O1417" i="4"/>
  <c r="O1642" i="4"/>
  <c r="O1397" i="4"/>
  <c r="O1624" i="4"/>
  <c r="O1664" i="4"/>
  <c r="O1493" i="4"/>
  <c r="O282" i="4"/>
  <c r="O972" i="4"/>
  <c r="O880" i="4"/>
  <c r="O899" i="4"/>
  <c r="O285" i="4"/>
  <c r="O1629" i="4"/>
  <c r="O1278" i="4"/>
  <c r="O1514" i="4"/>
  <c r="O1609" i="4"/>
  <c r="O1580" i="4"/>
  <c r="O1399" i="4"/>
  <c r="O1425" i="4"/>
  <c r="O1414" i="4"/>
  <c r="O278" i="4"/>
  <c r="O1671" i="4"/>
  <c r="O1612" i="4"/>
  <c r="O1584" i="4"/>
  <c r="O1469" i="4"/>
  <c r="O1482" i="4"/>
  <c r="O910" i="4"/>
  <c r="O1665" i="4"/>
  <c r="O275" i="4"/>
  <c r="O879" i="4"/>
  <c r="O1396" i="4"/>
  <c r="O135" i="4"/>
  <c r="O1383" i="4"/>
  <c r="O1590" i="4"/>
  <c r="O895" i="4"/>
  <c r="O1608" i="4"/>
  <c r="O139" i="4"/>
  <c r="O281" i="4"/>
  <c r="O1380" i="4"/>
  <c r="O1615" i="4"/>
  <c r="O1635" i="4"/>
  <c r="O1473" i="4"/>
  <c r="O1404" i="4"/>
  <c r="O1419" i="4"/>
  <c r="O1481" i="4"/>
  <c r="O1490" i="4"/>
  <c r="O279" i="4"/>
  <c r="O1398" i="4"/>
  <c r="O1668" i="4"/>
  <c r="O914" i="4"/>
  <c r="O1387" i="4"/>
  <c r="O1424" i="4"/>
  <c r="O1604" i="4"/>
  <c r="O908" i="4"/>
  <c r="O1381" i="4"/>
  <c r="O1598" i="4"/>
  <c r="O1388" i="4"/>
  <c r="O280" i="4"/>
  <c r="O138" i="4"/>
  <c r="O1409" i="4"/>
  <c r="O136" i="4"/>
  <c r="O1637" i="4"/>
  <c r="O1672" i="4"/>
  <c r="O1555" i="4"/>
  <c r="O1402" i="4"/>
  <c r="O584" i="4"/>
  <c r="O1405" i="4"/>
  <c r="O1581" i="4"/>
  <c r="O1636" i="4"/>
  <c r="O129" i="4"/>
  <c r="O1474" i="4"/>
  <c r="O964" i="4"/>
  <c r="O1667" i="4"/>
  <c r="O1531" i="4"/>
  <c r="O1610" i="4"/>
  <c r="O1640" i="4"/>
  <c r="O1600" i="4"/>
  <c r="O864" i="4"/>
  <c r="O1403" i="4"/>
  <c r="O1587" i="4"/>
  <c r="O1468" i="4"/>
  <c r="O913" i="4"/>
  <c r="O948" i="4"/>
  <c r="O1406" i="4"/>
  <c r="O1279" i="4"/>
  <c r="O931" i="4"/>
  <c r="O1393" i="4"/>
  <c r="O1415" i="4"/>
  <c r="O1503" i="4"/>
  <c r="D662" i="4" l="1"/>
  <c r="D861" i="4"/>
  <c r="D554" i="4"/>
  <c r="D435" i="4"/>
  <c r="D679" i="4"/>
  <c r="D680" i="4"/>
  <c r="D727" i="4"/>
  <c r="D282" i="4"/>
  <c r="D32" i="4"/>
  <c r="D38" i="4"/>
  <c r="D301" i="4"/>
  <c r="D683" i="4"/>
  <c r="D684" i="4"/>
  <c r="D343" i="4"/>
  <c r="D391" i="4"/>
  <c r="D392" i="4"/>
  <c r="D395" i="4"/>
  <c r="D403" i="4"/>
  <c r="D428" i="4"/>
  <c r="D429" i="4"/>
  <c r="D430" i="4"/>
  <c r="D431" i="4"/>
  <c r="D432" i="4"/>
  <c r="D437" i="4"/>
  <c r="D438" i="4"/>
  <c r="D445" i="4"/>
  <c r="D448" i="4"/>
  <c r="D453" i="4"/>
  <c r="D456" i="4"/>
  <c r="D460" i="4"/>
  <c r="D470" i="4"/>
  <c r="D471" i="4"/>
  <c r="D473" i="4"/>
  <c r="D474" i="4"/>
  <c r="D477" i="4"/>
  <c r="D478" i="4"/>
  <c r="D479" i="4"/>
  <c r="D480" i="4"/>
  <c r="D486" i="4"/>
  <c r="D488" i="4"/>
  <c r="D492" i="4"/>
  <c r="D500" i="4"/>
  <c r="D514" i="4"/>
  <c r="D515" i="4"/>
  <c r="D516" i="4"/>
  <c r="D572" i="4"/>
  <c r="D573" i="4"/>
  <c r="D575" i="4"/>
  <c r="D578" i="4"/>
  <c r="D579" i="4"/>
  <c r="D580" i="4"/>
  <c r="D581" i="4"/>
  <c r="D583" i="4"/>
  <c r="D1442" i="4"/>
  <c r="D1448" i="4"/>
  <c r="D1457" i="4"/>
  <c r="D1015" i="4"/>
  <c r="D1022" i="4"/>
  <c r="D1025" i="4"/>
  <c r="D1026" i="4"/>
  <c r="D1042" i="4"/>
  <c r="D1052" i="4"/>
  <c r="D585" i="4"/>
  <c r="D380" i="4"/>
  <c r="D622" i="4"/>
  <c r="D627" i="4"/>
  <c r="D628" i="4"/>
  <c r="D629" i="4"/>
  <c r="D632" i="4"/>
  <c r="D633" i="4"/>
  <c r="D664" i="4"/>
  <c r="D668" i="4"/>
  <c r="D674" i="4"/>
  <c r="D972" i="4"/>
  <c r="D828" i="4"/>
  <c r="D1590" i="4"/>
  <c r="D1591" i="4"/>
  <c r="D1592" i="4"/>
  <c r="D1593" i="4"/>
  <c r="D921" i="4"/>
  <c r="D928" i="4"/>
  <c r="D932" i="4"/>
  <c r="D933" i="4"/>
  <c r="D947" i="4"/>
  <c r="D951" i="4"/>
  <c r="D958" i="4"/>
  <c r="D960" i="4"/>
  <c r="D965" i="4"/>
  <c r="D966" i="4"/>
  <c r="D826" i="4"/>
  <c r="D831" i="4"/>
  <c r="D834" i="4"/>
  <c r="D836" i="4"/>
  <c r="D841" i="4"/>
  <c r="D846" i="4"/>
  <c r="D847" i="4"/>
  <c r="D851" i="4"/>
  <c r="D855" i="4"/>
  <c r="D859" i="4"/>
  <c r="D1577" i="4"/>
  <c r="D869" i="4"/>
  <c r="D1588" i="4"/>
  <c r="D1589" i="4"/>
  <c r="D883" i="4"/>
  <c r="D917" i="4"/>
  <c r="D899" i="4"/>
  <c r="D765" i="4"/>
  <c r="D779" i="4"/>
  <c r="D782" i="4"/>
  <c r="D787" i="4"/>
  <c r="D792" i="4"/>
  <c r="D796" i="4"/>
  <c r="D802" i="4"/>
  <c r="D702" i="4"/>
  <c r="D704" i="4"/>
  <c r="D713" i="4"/>
  <c r="D722" i="4"/>
  <c r="D723" i="4"/>
  <c r="D724" i="4"/>
  <c r="D376" i="4"/>
  <c r="D382" i="4"/>
  <c r="D383" i="4"/>
  <c r="D601" i="4"/>
  <c r="D1144" i="4"/>
  <c r="D1203" i="4"/>
  <c r="D1149" i="4"/>
  <c r="D1154" i="4"/>
  <c r="D1159" i="4"/>
  <c r="D1179" i="4"/>
  <c r="D1255" i="4"/>
  <c r="D1256" i="4"/>
  <c r="D1264" i="4"/>
  <c r="D1261" i="4"/>
  <c r="D1254" i="4"/>
  <c r="D1252" i="4"/>
  <c r="D1220" i="4"/>
  <c r="D1232" i="4"/>
  <c r="D1229" i="4"/>
  <c r="D1262" i="4"/>
  <c r="D1060" i="4"/>
  <c r="D1156" i="4"/>
  <c r="D1233" i="4"/>
  <c r="D1234" i="4"/>
  <c r="D1446" i="4"/>
  <c r="D1430" i="4"/>
  <c r="D1432" i="4"/>
  <c r="D996" i="4"/>
  <c r="D781" i="4"/>
  <c r="D1168" i="4"/>
  <c r="D1248" i="4"/>
  <c r="D1250" i="4"/>
  <c r="D1608" i="4"/>
  <c r="D1637" i="4"/>
  <c r="D475" i="4"/>
  <c r="D360" i="4"/>
  <c r="D347" i="4"/>
  <c r="D1270" i="4"/>
  <c r="D1243" i="4"/>
  <c r="D630" i="4"/>
  <c r="D20" i="4"/>
  <c r="D24" i="4"/>
  <c r="D291" i="4"/>
  <c r="D292" i="4"/>
  <c r="D299" i="4"/>
  <c r="D328" i="4"/>
  <c r="D334" i="4"/>
  <c r="D340" i="4"/>
  <c r="D390" i="4"/>
  <c r="D397" i="4"/>
  <c r="D402" i="4"/>
  <c r="D404" i="4"/>
  <c r="D406" i="4"/>
  <c r="D466" i="4"/>
  <c r="D481" i="4"/>
  <c r="D483" i="4"/>
  <c r="D502" i="4"/>
  <c r="D511" i="4"/>
  <c r="D526" i="4"/>
  <c r="D535" i="4"/>
  <c r="D537" i="4"/>
  <c r="D540" i="4"/>
  <c r="D555" i="4"/>
  <c r="D749" i="4"/>
  <c r="D742" i="4"/>
  <c r="D1447" i="4"/>
  <c r="D989" i="4"/>
  <c r="D1456" i="4"/>
  <c r="D993" i="4"/>
  <c r="D995" i="4"/>
  <c r="D997" i="4"/>
  <c r="D1009" i="4"/>
  <c r="D1011" i="4"/>
  <c r="D1014" i="4"/>
  <c r="D1024" i="4"/>
  <c r="D1029" i="4"/>
  <c r="D1030" i="4"/>
  <c r="D1031" i="4"/>
  <c r="D1460" i="4"/>
  <c r="D1038" i="4"/>
  <c r="D1066" i="4"/>
  <c r="D609" i="4"/>
  <c r="D613" i="4"/>
  <c r="D619" i="4"/>
  <c r="D620" i="4"/>
  <c r="D621" i="4"/>
  <c r="D625" i="4"/>
  <c r="D635" i="4"/>
  <c r="D636" i="4"/>
  <c r="D640" i="4"/>
  <c r="D641" i="4"/>
  <c r="D642" i="4"/>
  <c r="D644" i="4"/>
  <c r="D652" i="4"/>
  <c r="D655" i="4"/>
  <c r="D663" i="4"/>
  <c r="D1607" i="4"/>
  <c r="D1611" i="4"/>
  <c r="D1617" i="4"/>
  <c r="D918" i="4"/>
  <c r="D955" i="4"/>
  <c r="D881" i="4"/>
  <c r="D780" i="4"/>
  <c r="D783" i="4"/>
  <c r="D805" i="4"/>
  <c r="D808" i="4"/>
  <c r="D811" i="4"/>
  <c r="D813" i="4"/>
  <c r="D736" i="4"/>
  <c r="D737" i="4"/>
  <c r="D1251" i="4"/>
  <c r="D17" i="4"/>
  <c r="D280" i="4"/>
  <c r="D300" i="4"/>
  <c r="D344" i="4"/>
  <c r="D387" i="4"/>
  <c r="D503" i="4"/>
  <c r="D504" i="4"/>
  <c r="D505" i="4"/>
  <c r="D507" i="4"/>
  <c r="D508" i="4"/>
  <c r="D509" i="4"/>
  <c r="D510" i="4"/>
  <c r="D513" i="4"/>
  <c r="D517" i="4"/>
  <c r="D519" i="4"/>
  <c r="D520" i="4"/>
  <c r="D559" i="4"/>
  <c r="D1459" i="4"/>
  <c r="D1033" i="4"/>
  <c r="D1034" i="4"/>
  <c r="D1056" i="4"/>
  <c r="D1083" i="4"/>
  <c r="D1623" i="4"/>
  <c r="D1624" i="4"/>
  <c r="D927" i="4"/>
  <c r="D876" i="4"/>
  <c r="D879" i="4"/>
  <c r="D902" i="4"/>
  <c r="D907" i="4"/>
  <c r="D769" i="4"/>
  <c r="D770" i="4"/>
  <c r="D708" i="4"/>
  <c r="D345" i="4"/>
  <c r="D346" i="4"/>
  <c r="D348" i="4"/>
  <c r="D349" i="4"/>
  <c r="D350" i="4"/>
  <c r="D351" i="4"/>
  <c r="D352" i="4"/>
  <c r="D353" i="4"/>
  <c r="D354" i="4"/>
  <c r="D355" i="4"/>
  <c r="D356" i="4"/>
  <c r="D357" i="4"/>
  <c r="D358" i="4"/>
  <c r="D362" i="4"/>
  <c r="D1138" i="4"/>
  <c r="D1157" i="4"/>
  <c r="D1172" i="4"/>
  <c r="D1174" i="4"/>
  <c r="D1183" i="4"/>
  <c r="D305" i="4"/>
  <c r="D307" i="4"/>
  <c r="D638" i="4"/>
  <c r="D850" i="4"/>
  <c r="D878" i="4"/>
  <c r="D1614" i="4"/>
  <c r="D1244" i="4"/>
  <c r="D1245" i="4"/>
  <c r="D817" i="4"/>
  <c r="D818" i="4"/>
  <c r="D823" i="4"/>
  <c r="D1101" i="4"/>
  <c r="D1104" i="4"/>
  <c r="D34" i="4"/>
  <c r="D28" i="4"/>
  <c r="D23" i="4"/>
  <c r="D275" i="4"/>
  <c r="D992" i="4"/>
  <c r="D1023" i="4"/>
  <c r="D1085" i="4"/>
  <c r="D1086" i="4"/>
  <c r="D1639" i="4"/>
  <c r="D1641" i="4"/>
  <c r="D1579" i="4"/>
  <c r="D1642" i="4"/>
  <c r="D602" i="4"/>
  <c r="D606" i="4"/>
  <c r="D824" i="4"/>
  <c r="D1598" i="4"/>
  <c r="D931" i="4"/>
  <c r="D832" i="4"/>
  <c r="D838" i="4"/>
  <c r="D840" i="4"/>
  <c r="D860" i="4"/>
  <c r="D867" i="4"/>
  <c r="D875" i="4"/>
  <c r="D892" i="4"/>
  <c r="D905" i="4"/>
  <c r="D906" i="4"/>
  <c r="D703" i="4"/>
  <c r="D1095" i="4"/>
  <c r="D1096" i="4"/>
  <c r="D1253" i="4"/>
  <c r="D1257" i="4"/>
  <c r="D1269" i="4"/>
  <c r="D710" i="4"/>
  <c r="D1147" i="4"/>
  <c r="D1148" i="4"/>
  <c r="D1184" i="4"/>
  <c r="D1102" i="4"/>
  <c r="D1113" i="4"/>
  <c r="D284" i="4"/>
  <c r="D673" i="4"/>
  <c r="D1279" i="4"/>
  <c r="D333" i="4"/>
  <c r="D388" i="4"/>
  <c r="D396" i="4"/>
  <c r="D487" i="4"/>
  <c r="D1441" i="4"/>
  <c r="D1450" i="4"/>
  <c r="D1035" i="4"/>
  <c r="D1047" i="4"/>
  <c r="D1051" i="4"/>
  <c r="D1057" i="4"/>
  <c r="D617" i="4"/>
  <c r="D1583" i="4"/>
  <c r="D910" i="4"/>
  <c r="D870" i="4"/>
  <c r="D1290" i="4"/>
  <c r="D882" i="4"/>
  <c r="D887" i="4"/>
  <c r="D888" i="4"/>
  <c r="D889" i="4"/>
  <c r="D908" i="4"/>
  <c r="D229" i="4"/>
  <c r="D232" i="4"/>
  <c r="D236" i="4"/>
  <c r="D247" i="4"/>
  <c r="D251" i="4"/>
  <c r="D256" i="4"/>
  <c r="D260" i="4"/>
  <c r="D261" i="4"/>
  <c r="D262" i="4"/>
  <c r="D263" i="4"/>
  <c r="D265" i="4"/>
  <c r="D266" i="4"/>
  <c r="D267" i="4"/>
  <c r="D367" i="4"/>
  <c r="D368" i="4"/>
  <c r="D370" i="4"/>
  <c r="D372" i="4"/>
  <c r="D378" i="4"/>
  <c r="D1586" i="4"/>
  <c r="D936" i="4"/>
  <c r="D1237" i="4"/>
  <c r="D1246" i="4"/>
  <c r="D1247" i="4"/>
  <c r="D1106" i="4"/>
  <c r="D1064" i="4"/>
  <c r="D309" i="4"/>
  <c r="D400" i="4"/>
  <c r="D1045" i="4"/>
  <c r="D1585" i="4"/>
  <c r="D939" i="4"/>
  <c r="D957" i="4"/>
  <c r="D807" i="4"/>
  <c r="D1201" i="4"/>
  <c r="D1619" i="4"/>
  <c r="D672" i="4"/>
  <c r="D476" i="4"/>
  <c r="D794" i="4"/>
  <c r="D816" i="4"/>
  <c r="D754" i="4"/>
  <c r="D819" i="4"/>
  <c r="D763" i="4"/>
  <c r="D762" i="4"/>
  <c r="D447" i="4"/>
  <c r="D975" i="4"/>
  <c r="D976" i="4"/>
  <c r="D1435" i="4"/>
  <c r="D983" i="4"/>
  <c r="D1072" i="4"/>
  <c r="D1079" i="4"/>
  <c r="D1466" i="4"/>
  <c r="D1089" i="4"/>
  <c r="D1596" i="4"/>
  <c r="D1604" i="4"/>
  <c r="D913" i="4"/>
  <c r="D924" i="4"/>
  <c r="D969" i="4"/>
  <c r="D764" i="4"/>
  <c r="D790" i="4"/>
  <c r="D793" i="4"/>
  <c r="D1143" i="4"/>
  <c r="D1153" i="4"/>
  <c r="D1155" i="4"/>
  <c r="D1162" i="4"/>
  <c r="D1238" i="4"/>
  <c r="D1241" i="4"/>
  <c r="D1093" i="4"/>
  <c r="D1094" i="4"/>
  <c r="D567" i="4"/>
  <c r="D568" i="4"/>
  <c r="D569" i="4"/>
  <c r="D570" i="4"/>
  <c r="D571" i="4"/>
  <c r="D1043" i="4"/>
  <c r="D648" i="4"/>
  <c r="D1616" i="4"/>
  <c r="D649" i="4"/>
  <c r="D1628" i="4"/>
  <c r="D671" i="4"/>
  <c r="D772" i="4"/>
  <c r="D948" i="4"/>
  <c r="D1103" i="4"/>
  <c r="D551" i="4"/>
  <c r="D1634" i="4"/>
  <c r="D872" i="4"/>
  <c r="D314" i="4"/>
  <c r="D315" i="4"/>
  <c r="D316" i="4"/>
  <c r="D317" i="4"/>
  <c r="D318" i="4"/>
  <c r="D319" i="4"/>
  <c r="D321" i="4"/>
  <c r="D336" i="4"/>
  <c r="D407" i="4"/>
  <c r="D409" i="4"/>
  <c r="D410" i="4"/>
  <c r="D412" i="4"/>
  <c r="D413" i="4"/>
  <c r="D414" i="4"/>
  <c r="D436" i="4"/>
  <c r="D455" i="4"/>
  <c r="D465" i="4"/>
  <c r="D469" i="4"/>
  <c r="D980" i="4"/>
  <c r="D1454" i="4"/>
  <c r="D999" i="4"/>
  <c r="D217" i="4"/>
  <c r="D1006" i="4"/>
  <c r="D1012" i="4"/>
  <c r="D1013" i="4"/>
  <c r="D1018" i="4"/>
  <c r="D1037" i="4"/>
  <c r="D1053" i="4"/>
  <c r="D1076" i="4"/>
  <c r="D1084" i="4"/>
  <c r="D1087" i="4"/>
  <c r="D1088" i="4"/>
  <c r="D1627" i="4"/>
  <c r="D970" i="4"/>
  <c r="D773" i="4"/>
  <c r="D718" i="4"/>
  <c r="D1440" i="4"/>
  <c r="D1451" i="4"/>
  <c r="D1116" i="4"/>
  <c r="D230" i="4"/>
  <c r="D231" i="4"/>
  <c r="D234" i="4"/>
  <c r="D235" i="4"/>
  <c r="D239" i="4"/>
  <c r="D241" i="4"/>
  <c r="D243" i="4"/>
  <c r="D245" i="4"/>
  <c r="D246" i="4"/>
  <c r="D249" i="4"/>
  <c r="D257" i="4"/>
  <c r="D271" i="4"/>
  <c r="D272" i="4"/>
  <c r="D364" i="4"/>
  <c r="D884" i="4"/>
  <c r="D1236" i="4"/>
  <c r="D1249" i="4"/>
  <c r="D369" i="4"/>
  <c r="D277" i="4"/>
  <c r="D1055" i="4"/>
  <c r="D1058" i="4"/>
  <c r="D1082" i="4"/>
  <c r="D1090" i="4"/>
  <c r="D374" i="4"/>
  <c r="D1202" i="4"/>
  <c r="D1289" i="4"/>
  <c r="D484" i="4"/>
  <c r="D524" i="4"/>
  <c r="D541" i="4"/>
  <c r="D545" i="4"/>
  <c r="D618" i="4"/>
  <c r="D639" i="4"/>
  <c r="D941" i="4"/>
  <c r="D952" i="4"/>
  <c r="D647" i="4"/>
  <c r="D845" i="4"/>
  <c r="D865" i="4"/>
  <c r="D904" i="4"/>
  <c r="D688" i="4"/>
  <c r="D697" i="4"/>
  <c r="D725" i="4"/>
  <c r="D1151" i="4"/>
  <c r="D1152" i="4"/>
  <c r="D646" i="4"/>
  <c r="D324" i="4"/>
  <c r="D326" i="4"/>
  <c r="D327" i="4"/>
  <c r="D329" i="4"/>
  <c r="D337" i="4"/>
  <c r="D386" i="4"/>
  <c r="D394" i="4"/>
  <c r="D401" i="4"/>
  <c r="D423" i="4"/>
  <c r="D427" i="4"/>
  <c r="D433" i="4"/>
  <c r="D440" i="4"/>
  <c r="D491" i="4"/>
  <c r="D496" i="4"/>
  <c r="D497" i="4"/>
  <c r="D498" i="4"/>
  <c r="D499" i="4"/>
  <c r="D1455" i="4"/>
  <c r="D998" i="4"/>
  <c r="D1027" i="4"/>
  <c r="D1028" i="4"/>
  <c r="D1067" i="4"/>
  <c r="D1068" i="4"/>
  <c r="D594" i="4"/>
  <c r="D600" i="4"/>
  <c r="D608" i="4"/>
  <c r="D610" i="4"/>
  <c r="D611" i="4"/>
  <c r="D624" i="4"/>
  <c r="D634" i="4"/>
  <c r="D659" i="4"/>
  <c r="D665" i="4"/>
  <c r="D669" i="4"/>
  <c r="D670" i="4"/>
  <c r="D1606" i="4"/>
  <c r="D1587" i="4"/>
  <c r="D935" i="4"/>
  <c r="D839" i="4"/>
  <c r="D890" i="4"/>
  <c r="D894" i="4"/>
  <c r="D897" i="4"/>
  <c r="D898" i="4"/>
  <c r="D686" i="4"/>
  <c r="D687" i="4"/>
  <c r="D767" i="4"/>
  <c r="D693" i="4"/>
  <c r="D694" i="4"/>
  <c r="D695" i="4"/>
  <c r="D700" i="4"/>
  <c r="D712" i="4"/>
  <c r="D720" i="4"/>
  <c r="D729" i="4"/>
  <c r="D363" i="4"/>
  <c r="D377" i="4"/>
  <c r="D1259" i="4"/>
  <c r="D1260" i="4"/>
  <c r="D1267" i="4"/>
  <c r="D1268" i="4"/>
  <c r="D1265" i="4"/>
  <c r="D1266" i="4"/>
  <c r="D911" i="4"/>
  <c r="D298" i="4"/>
  <c r="D1612" i="4"/>
  <c r="D774" i="4"/>
  <c r="D775" i="4"/>
  <c r="D991" i="4"/>
  <c r="D1600" i="4"/>
  <c r="D1603" i="4"/>
  <c r="D1230" i="4"/>
  <c r="D1258" i="4"/>
  <c r="D1271" i="4"/>
  <c r="D1272" i="4"/>
  <c r="D1115" i="4"/>
  <c r="D310" i="4"/>
  <c r="D405" i="4"/>
  <c r="D1050" i="4"/>
  <c r="D1582" i="4"/>
  <c r="D1584" i="4"/>
  <c r="D381" i="4"/>
  <c r="D914" i="4"/>
  <c r="D864" i="4"/>
  <c r="D457" i="4"/>
  <c r="D1621" i="4"/>
  <c r="D956" i="4"/>
  <c r="D1141" i="4"/>
  <c r="D393" i="4"/>
  <c r="D844" i="4"/>
  <c r="D371" i="4"/>
  <c r="D373" i="4"/>
  <c r="D375" i="4"/>
  <c r="D379" i="4"/>
  <c r="D1445" i="4"/>
  <c r="D1019" i="4"/>
  <c r="D1021" i="4"/>
  <c r="D1054" i="4"/>
  <c r="D1075" i="4"/>
  <c r="D1594" i="4"/>
  <c r="D852" i="4"/>
  <c r="D361" i="4"/>
  <c r="D1198" i="4"/>
  <c r="D682" i="4"/>
  <c r="D1465" i="4"/>
  <c r="D294" i="4"/>
  <c r="D304" i="4"/>
  <c r="D308" i="4"/>
  <c r="D312" i="4"/>
  <c r="D286" i="4"/>
  <c r="D645" i="4"/>
  <c r="D978" i="4"/>
  <c r="D979" i="4"/>
  <c r="D1431" i="4"/>
  <c r="D982" i="4"/>
  <c r="D1044" i="4"/>
  <c r="D1073" i="4"/>
  <c r="D293" i="4"/>
  <c r="D523" i="4"/>
  <c r="D525" i="4"/>
  <c r="D542" i="4"/>
  <c r="D1287" i="4"/>
  <c r="D741" i="4"/>
  <c r="D743" i="4"/>
  <c r="D744" i="4"/>
  <c r="D745" i="4"/>
  <c r="D746" i="4"/>
  <c r="D1610" i="4"/>
  <c r="D827" i="4"/>
  <c r="D643" i="4"/>
  <c r="D675" i="4"/>
  <c r="D812" i="4"/>
  <c r="D705" i="4"/>
  <c r="D709" i="4"/>
  <c r="D1074" i="4"/>
  <c r="D278" i="4"/>
  <c r="D279" i="4"/>
  <c r="D1307" i="4"/>
  <c r="D1306" i="4"/>
  <c r="D1308" i="4"/>
  <c r="D1632" i="4"/>
  <c r="D916" i="4"/>
  <c r="D940" i="4"/>
  <c r="D829" i="4"/>
  <c r="D854" i="4"/>
  <c r="D862" i="4"/>
  <c r="D886" i="4"/>
  <c r="D803" i="4"/>
  <c r="D716" i="4"/>
  <c r="D730" i="4"/>
  <c r="D731" i="4"/>
  <c r="D1105" i="4"/>
  <c r="D750" i="4"/>
  <c r="D753" i="4"/>
  <c r="D755" i="4"/>
  <c r="D322" i="4"/>
  <c r="D330" i="4"/>
  <c r="D424" i="4"/>
  <c r="D434" i="4"/>
  <c r="D482" i="4"/>
  <c r="D494" i="4"/>
  <c r="D495" i="4"/>
  <c r="D512" i="4"/>
  <c r="D546" i="4"/>
  <c r="D751" i="4"/>
  <c r="D1008" i="4"/>
  <c r="D1010" i="4"/>
  <c r="D1077" i="4"/>
  <c r="D1599" i="4"/>
  <c r="D1601" i="4"/>
  <c r="D925" i="4"/>
  <c r="D866" i="4"/>
  <c r="D871" i="4"/>
  <c r="D877" i="4"/>
  <c r="D901" i="4"/>
  <c r="D903" i="4"/>
  <c r="D768" i="4"/>
  <c r="D778" i="4"/>
  <c r="D707" i="4"/>
  <c r="D728" i="4"/>
  <c r="D359" i="4"/>
  <c r="D1191" i="4"/>
  <c r="D1194" i="4"/>
  <c r="D1195" i="4"/>
  <c r="D1196" i="4"/>
  <c r="D1197" i="4"/>
  <c r="D1199" i="4"/>
  <c r="D1200" i="4"/>
  <c r="D1204" i="4"/>
  <c r="D1209" i="4"/>
  <c r="D1211" i="4"/>
  <c r="D1213" i="4"/>
  <c r="D1214" i="4"/>
  <c r="D1180" i="4"/>
  <c r="D1181" i="4"/>
  <c r="D1263" i="4"/>
  <c r="D1274" i="4"/>
  <c r="D1275" i="4"/>
  <c r="D1273" i="4"/>
  <c r="D1091" i="4"/>
  <c r="D1092" i="4"/>
  <c r="D26" i="4"/>
  <c r="D33" i="4"/>
  <c r="D35" i="4"/>
  <c r="D36" i="4"/>
  <c r="D444" i="4"/>
  <c r="D1004" i="4"/>
  <c r="D577" i="4"/>
  <c r="D1625" i="4"/>
  <c r="D1626" i="4"/>
  <c r="D820" i="4"/>
  <c r="D1097" i="4"/>
  <c r="D1109" i="4"/>
  <c r="D1276" i="4"/>
  <c r="D1284" i="4"/>
  <c r="D1438" i="4"/>
  <c r="D943" i="4"/>
  <c r="D945" i="4"/>
  <c r="D949" i="4"/>
  <c r="D964" i="4"/>
  <c r="D971" i="4"/>
  <c r="D833" i="4"/>
  <c r="D837" i="4"/>
  <c r="D842" i="4"/>
  <c r="D857" i="4"/>
  <c r="D339" i="4"/>
  <c r="D459" i="4"/>
  <c r="D462" i="4"/>
  <c r="D527" i="4"/>
  <c r="D528" i="4"/>
  <c r="D530" i="4"/>
  <c r="D531" i="4"/>
  <c r="D532" i="4"/>
  <c r="D533" i="4"/>
  <c r="D534" i="4"/>
  <c r="D536" i="4"/>
  <c r="D538" i="4"/>
  <c r="D539" i="4"/>
  <c r="D543" i="4"/>
  <c r="D544" i="4"/>
  <c r="D548" i="4"/>
  <c r="D550" i="4"/>
  <c r="D556" i="4"/>
  <c r="D1285" i="4"/>
  <c r="D946" i="4"/>
  <c r="D858" i="4"/>
  <c r="D706" i="4"/>
  <c r="D1231" i="4"/>
  <c r="D306" i="4"/>
  <c r="D1020" i="4"/>
  <c r="D1613" i="4"/>
  <c r="D365" i="4"/>
  <c r="D366" i="4"/>
  <c r="D1112" i="4"/>
  <c r="D518" i="4"/>
  <c r="D341" i="4"/>
  <c r="D417" i="4"/>
  <c r="D1036" i="4"/>
  <c r="D912" i="4"/>
  <c r="D676" i="4"/>
  <c r="D715" i="4"/>
  <c r="D1160" i="4"/>
  <c r="D1164" i="4"/>
  <c r="D1158" i="4"/>
  <c r="D461" i="4"/>
  <c r="D561" i="4"/>
  <c r="D563" i="4"/>
  <c r="D566" i="4"/>
  <c r="D959" i="4"/>
  <c r="D934" i="4"/>
  <c r="D1618" i="4"/>
  <c r="D1633" i="4"/>
  <c r="D953" i="4"/>
  <c r="D825" i="4"/>
  <c r="D967" i="4"/>
  <c r="D900" i="4"/>
  <c r="D678" i="4"/>
  <c r="D800" i="4"/>
  <c r="D691" i="4"/>
  <c r="D1150" i="4"/>
  <c r="D1163" i="4"/>
  <c r="D1173" i="4"/>
  <c r="D1176" i="4"/>
  <c r="D1177" i="4"/>
  <c r="D1107" i="4"/>
  <c r="D1108" i="4"/>
  <c r="D320" i="4"/>
  <c r="D18" i="4"/>
  <c r="D29" i="4"/>
  <c r="D1192" i="4"/>
  <c r="D1193" i="4"/>
  <c r="D1182" i="4"/>
  <c r="D711" i="4"/>
  <c r="D1139" i="4"/>
  <c r="D1140" i="4"/>
  <c r="D1185" i="4"/>
  <c r="D681" i="4"/>
  <c r="D1098" i="4"/>
  <c r="D1099" i="4"/>
  <c r="D1041" i="4"/>
  <c r="D384" i="4"/>
  <c r="D467" i="4"/>
  <c r="D468" i="4"/>
  <c r="D472" i="4"/>
  <c r="D485" i="4"/>
  <c r="D490" i="4"/>
  <c r="D501" i="4"/>
  <c r="D506" i="4"/>
  <c r="D529" i="4"/>
  <c r="D547" i="4"/>
  <c r="D549" i="4"/>
  <c r="D552" i="4"/>
  <c r="D1286" i="4"/>
  <c r="D1288" i="4"/>
  <c r="D558" i="4"/>
  <c r="D565" i="4"/>
  <c r="D574" i="4"/>
  <c r="D576" i="4"/>
  <c r="D582" i="4"/>
  <c r="D759" i="4"/>
  <c r="D760" i="4"/>
  <c r="D747" i="4"/>
  <c r="D748" i="4"/>
  <c r="D1443" i="4"/>
  <c r="D1458" i="4"/>
  <c r="D994" i="4"/>
  <c r="D1003" i="4"/>
  <c r="D1007" i="4"/>
  <c r="D1017" i="4"/>
  <c r="D1032" i="4"/>
  <c r="D1039" i="4"/>
  <c r="D1048" i="4"/>
  <c r="D1049" i="4"/>
  <c r="D1065" i="4"/>
  <c r="D586" i="4"/>
  <c r="D587" i="4"/>
  <c r="D588" i="4"/>
  <c r="D589" i="4"/>
  <c r="D590" i="4"/>
  <c r="D591" i="4"/>
  <c r="D592" i="4"/>
  <c r="D593" i="4"/>
  <c r="D595" i="4"/>
  <c r="D596" i="4"/>
  <c r="D597" i="4"/>
  <c r="D598" i="4"/>
  <c r="D599" i="4"/>
  <c r="D603" i="4"/>
  <c r="D605" i="4"/>
  <c r="D607" i="4"/>
  <c r="D612" i="4"/>
  <c r="D614" i="4"/>
  <c r="D615" i="4"/>
  <c r="D616" i="4"/>
  <c r="D623" i="4"/>
  <c r="D626" i="4"/>
  <c r="D631" i="4"/>
  <c r="D637" i="4"/>
  <c r="D650" i="4"/>
  <c r="D651" i="4"/>
  <c r="D653" i="4"/>
  <c r="D654" i="4"/>
  <c r="D656" i="4"/>
  <c r="D657" i="4"/>
  <c r="D658" i="4"/>
  <c r="D660" i="4"/>
  <c r="D661" i="4"/>
  <c r="D666" i="4"/>
  <c r="D667" i="4"/>
  <c r="D1638" i="4"/>
  <c r="D1609" i="4"/>
  <c r="D1615" i="4"/>
  <c r="D1581" i="4"/>
  <c r="D1620" i="4"/>
  <c r="D1622" i="4"/>
  <c r="D1630" i="4"/>
  <c r="D1631" i="4"/>
  <c r="D909" i="4"/>
  <c r="D1580" i="4"/>
  <c r="D1635" i="4"/>
  <c r="D1636" i="4"/>
  <c r="D915" i="4"/>
  <c r="D920" i="4"/>
  <c r="D922" i="4"/>
  <c r="D923" i="4"/>
  <c r="D926" i="4"/>
  <c r="D929" i="4"/>
  <c r="D930" i="4"/>
  <c r="D937" i="4"/>
  <c r="D938" i="4"/>
  <c r="D942" i="4"/>
  <c r="D950" i="4"/>
  <c r="D954" i="4"/>
  <c r="D961" i="4"/>
  <c r="D962" i="4"/>
  <c r="D963" i="4"/>
  <c r="D968" i="4"/>
  <c r="D830" i="4"/>
  <c r="D835" i="4"/>
  <c r="D848" i="4"/>
  <c r="D856" i="4"/>
  <c r="D874" i="4"/>
  <c r="D896" i="4"/>
  <c r="D771" i="4"/>
  <c r="D776" i="4"/>
  <c r="D777" i="4"/>
  <c r="D784" i="4"/>
  <c r="D788" i="4"/>
  <c r="D789" i="4"/>
  <c r="D791" i="4"/>
  <c r="D795" i="4"/>
  <c r="D798" i="4"/>
  <c r="D801" i="4"/>
  <c r="D799" i="4"/>
  <c r="D806" i="4"/>
  <c r="D809" i="4"/>
  <c r="D689" i="4"/>
  <c r="D690" i="4"/>
  <c r="D714" i="4"/>
  <c r="D726" i="4"/>
  <c r="D732" i="4"/>
  <c r="D733" i="4"/>
  <c r="D734" i="4"/>
  <c r="D735" i="4"/>
  <c r="D758" i="4"/>
  <c r="D1235" i="4"/>
  <c r="D25" i="4"/>
  <c r="D786" i="4"/>
  <c r="D814" i="4"/>
  <c r="D821" i="4"/>
  <c r="D1278" i="4"/>
  <c r="D1629" i="4"/>
  <c r="D331" i="4"/>
  <c r="D415" i="4"/>
  <c r="D451" i="4"/>
  <c r="D990" i="4"/>
  <c r="D1452" i="4"/>
  <c r="D1000" i="4"/>
  <c r="D1005" i="4"/>
  <c r="D1040" i="4"/>
  <c r="D1461" i="4"/>
  <c r="D1059" i="4"/>
  <c r="D1280" i="4"/>
  <c r="D22" i="4"/>
  <c r="D31" i="4"/>
  <c r="D489" i="4"/>
  <c r="D493" i="4"/>
  <c r="D553" i="4"/>
  <c r="D885" i="4"/>
  <c r="D891" i="4"/>
  <c r="D696" i="4"/>
  <c r="D1165" i="4"/>
  <c r="D1166" i="4"/>
  <c r="D1190" i="4"/>
  <c r="D1186" i="4"/>
  <c r="D1110" i="4"/>
  <c r="D19" i="4"/>
  <c r="D986" i="4"/>
  <c r="D987" i="4"/>
  <c r="D988" i="4"/>
  <c r="D1449" i="4"/>
  <c r="D1046" i="4"/>
  <c r="D1061" i="4"/>
  <c r="D1062" i="4"/>
  <c r="D1063" i="4"/>
  <c r="D1070" i="4"/>
  <c r="D1071" i="4"/>
  <c r="D1463" i="4"/>
  <c r="D1001" i="4"/>
  <c r="D1078" i="4"/>
  <c r="D1080" i="4"/>
  <c r="D1081" i="4"/>
  <c r="D1595" i="4"/>
  <c r="D1597" i="4"/>
  <c r="D1602" i="4"/>
  <c r="D1605" i="4"/>
  <c r="D944" i="4"/>
  <c r="D849" i="4"/>
  <c r="D853" i="4"/>
  <c r="D863" i="4"/>
  <c r="D893" i="4"/>
  <c r="D685" i="4"/>
  <c r="D677" i="4"/>
  <c r="D766" i="4"/>
  <c r="D785" i="4"/>
  <c r="D797" i="4"/>
  <c r="D804" i="4"/>
  <c r="D810" i="4"/>
  <c r="D692" i="4"/>
  <c r="D698" i="4"/>
  <c r="D699" i="4"/>
  <c r="D701" i="4"/>
  <c r="D752" i="4"/>
  <c r="D273" i="4"/>
  <c r="D274" i="4"/>
  <c r="D233" i="4"/>
  <c r="D237" i="4"/>
  <c r="D238" i="4"/>
  <c r="D240" i="4"/>
  <c r="D242" i="4"/>
  <c r="D244" i="4"/>
  <c r="D248" i="4"/>
  <c r="D250" i="4"/>
  <c r="D252" i="4"/>
  <c r="D253" i="4"/>
  <c r="D254" i="4"/>
  <c r="D255" i="4"/>
  <c r="D258" i="4"/>
  <c r="D259" i="4"/>
  <c r="D264" i="4"/>
  <c r="D268" i="4"/>
  <c r="D269" i="4"/>
  <c r="D270" i="4"/>
  <c r="D1205" i="4"/>
  <c r="D1215" i="4"/>
  <c r="D1206" i="4"/>
  <c r="D1207" i="4"/>
  <c r="D1208" i="4"/>
  <c r="D1210" i="4"/>
  <c r="D1145" i="4"/>
  <c r="D1212" i="4"/>
  <c r="D1146" i="4"/>
  <c r="D1161" i="4"/>
  <c r="D1167" i="4"/>
  <c r="D1169" i="4"/>
  <c r="D1170" i="4"/>
  <c r="D1171" i="4"/>
  <c r="D1175" i="4"/>
  <c r="D1178" i="4"/>
  <c r="D1142" i="4"/>
  <c r="D1187" i="4"/>
  <c r="D1188" i="4"/>
  <c r="D1189" i="4"/>
  <c r="D1225" i="4"/>
  <c r="D1217" i="4"/>
  <c r="D1221" i="4"/>
  <c r="D1222" i="4"/>
  <c r="D285" i="4"/>
  <c r="D281" i="4"/>
  <c r="D985" i="4"/>
  <c r="D296" i="4"/>
  <c r="D449" i="4"/>
  <c r="D450" i="4"/>
  <c r="D458" i="4"/>
  <c r="D521" i="4"/>
  <c r="D522" i="4"/>
  <c r="D557" i="4"/>
  <c r="D560" i="4"/>
  <c r="D562" i="4"/>
  <c r="D973" i="4"/>
  <c r="D974" i="4"/>
  <c r="D977" i="4"/>
  <c r="D1427" i="4"/>
  <c r="D1428" i="4"/>
  <c r="D1429" i="4"/>
  <c r="D981" i="4"/>
  <c r="D1433" i="4"/>
  <c r="D1434" i="4"/>
  <c r="D1436" i="4"/>
  <c r="D984" i="4"/>
  <c r="D1437" i="4"/>
  <c r="D313" i="4"/>
  <c r="D276" i="4"/>
  <c r="D1111" i="4"/>
  <c r="D1100" i="4"/>
  <c r="D1277" i="4"/>
  <c r="D815" i="4"/>
  <c r="D1444" i="4"/>
</calcChain>
</file>

<file path=xl/sharedStrings.xml><?xml version="1.0" encoding="utf-8"?>
<sst xmlns="http://schemas.openxmlformats.org/spreadsheetml/2006/main" count="103082" uniqueCount="17493">
  <si>
    <t>source_description</t>
  </si>
  <si>
    <t>phylogenetic_lineage</t>
  </si>
  <si>
    <t>clonal_complex</t>
  </si>
  <si>
    <t>sublineage</t>
  </si>
  <si>
    <t>N53-1</t>
  </si>
  <si>
    <t>Food</t>
  </si>
  <si>
    <t>II</t>
  </si>
  <si>
    <t>CC121</t>
  </si>
  <si>
    <t>SL121</t>
  </si>
  <si>
    <t>IIa</t>
  </si>
  <si>
    <t>I</t>
  </si>
  <si>
    <t>CC3</t>
  </si>
  <si>
    <t>SL3</t>
  </si>
  <si>
    <t>CT9267</t>
  </si>
  <si>
    <t>IIb</t>
  </si>
  <si>
    <t>CT9268</t>
  </si>
  <si>
    <t>CC2</t>
  </si>
  <si>
    <t>SL2</t>
  </si>
  <si>
    <t>IVb</t>
  </si>
  <si>
    <t>CC9</t>
  </si>
  <si>
    <t>SL9</t>
  </si>
  <si>
    <t>IIc</t>
  </si>
  <si>
    <t>CT909</t>
  </si>
  <si>
    <t>CC14</t>
  </si>
  <si>
    <t>SL14</t>
  </si>
  <si>
    <t>CC101</t>
  </si>
  <si>
    <t>SL101</t>
  </si>
  <si>
    <t>Human</t>
  </si>
  <si>
    <t>CC8</t>
  </si>
  <si>
    <t>SL8</t>
  </si>
  <si>
    <t>CC59</t>
  </si>
  <si>
    <t>SL59</t>
  </si>
  <si>
    <t>CT37</t>
  </si>
  <si>
    <t>CT9710</t>
  </si>
  <si>
    <t>CC5</t>
  </si>
  <si>
    <t>SL5</t>
  </si>
  <si>
    <t>Canada</t>
  </si>
  <si>
    <t>CT6324</t>
  </si>
  <si>
    <t>CT9712</t>
  </si>
  <si>
    <t>CC37</t>
  </si>
  <si>
    <t>SL37</t>
  </si>
  <si>
    <t>CT555</t>
  </si>
  <si>
    <t>CT786</t>
  </si>
  <si>
    <t>Production environment</t>
  </si>
  <si>
    <t>Natural environment</t>
  </si>
  <si>
    <t>CT9716</t>
  </si>
  <si>
    <t>ST368</t>
  </si>
  <si>
    <t>SL368</t>
  </si>
  <si>
    <t>CT9719</t>
  </si>
  <si>
    <t>CT6339</t>
  </si>
  <si>
    <t>SL365</t>
  </si>
  <si>
    <t>CT9721</t>
  </si>
  <si>
    <t>CC321</t>
  </si>
  <si>
    <t>SL321</t>
  </si>
  <si>
    <t>CT697</t>
  </si>
  <si>
    <t>CC11</t>
  </si>
  <si>
    <t>SL451</t>
  </si>
  <si>
    <t>CT9722</t>
  </si>
  <si>
    <t>CC6</t>
  </si>
  <si>
    <t>SL6</t>
  </si>
  <si>
    <t>CT9779</t>
  </si>
  <si>
    <t>CT9778</t>
  </si>
  <si>
    <t>CT9553</t>
  </si>
  <si>
    <t>CT9782</t>
  </si>
  <si>
    <t>CT9789</t>
  </si>
  <si>
    <t>CT799</t>
  </si>
  <si>
    <t>CT750</t>
  </si>
  <si>
    <t>CT9545</t>
  </si>
  <si>
    <t>CT443</t>
  </si>
  <si>
    <t>CT771</t>
  </si>
  <si>
    <t>CT4947</t>
  </si>
  <si>
    <t>CT769</t>
  </si>
  <si>
    <t>CT9787</t>
  </si>
  <si>
    <t>SL399</t>
  </si>
  <si>
    <t>CT963</t>
  </si>
  <si>
    <t>CC475</t>
  </si>
  <si>
    <t>SL475</t>
  </si>
  <si>
    <t>CT9796</t>
  </si>
  <si>
    <t>CT478</t>
  </si>
  <si>
    <t>CT9798</t>
  </si>
  <si>
    <t>CC379</t>
  </si>
  <si>
    <t>SL808</t>
  </si>
  <si>
    <t>CT9797</t>
  </si>
  <si>
    <t>CT9776</t>
  </si>
  <si>
    <t>CT401</t>
  </si>
  <si>
    <t>CT9788</t>
  </si>
  <si>
    <t>CT9790</t>
  </si>
  <si>
    <t>CC31</t>
  </si>
  <si>
    <t>SL312</t>
  </si>
  <si>
    <t>CT9770</t>
  </si>
  <si>
    <t>CT914</t>
  </si>
  <si>
    <t>CT9784</t>
  </si>
  <si>
    <t>CT11454</t>
  </si>
  <si>
    <t>CT9799</t>
  </si>
  <si>
    <t>CT891</t>
  </si>
  <si>
    <t>CT9543</t>
  </si>
  <si>
    <t>CT404</t>
  </si>
  <si>
    <t>CC224</t>
  </si>
  <si>
    <t>SL224</t>
  </si>
  <si>
    <t>CT13</t>
  </si>
  <si>
    <t>CT9780</t>
  </si>
  <si>
    <t>CC7</t>
  </si>
  <si>
    <t>SL7</t>
  </si>
  <si>
    <t>CT9767</t>
  </si>
  <si>
    <t>CT9781</t>
  </si>
  <si>
    <t>CT9777</t>
  </si>
  <si>
    <t>CT9783</t>
  </si>
  <si>
    <t>CC193</t>
  </si>
  <si>
    <t>SL193</t>
  </si>
  <si>
    <t>CT9794</t>
  </si>
  <si>
    <t>CT9773</t>
  </si>
  <si>
    <t>CT9785</t>
  </si>
  <si>
    <t>CT8410</t>
  </si>
  <si>
    <t>CT9774</t>
  </si>
  <si>
    <t>CC21</t>
  </si>
  <si>
    <t>SL21</t>
  </si>
  <si>
    <t>CT9793</t>
  </si>
  <si>
    <t>A2</t>
  </si>
  <si>
    <t>Unknown</t>
  </si>
  <si>
    <t>CC155</t>
  </si>
  <si>
    <t>SL155</t>
  </si>
  <si>
    <t>CT843</t>
  </si>
  <si>
    <t>CC88</t>
  </si>
  <si>
    <t>SL88</t>
  </si>
  <si>
    <t>CT9792</t>
  </si>
  <si>
    <t>CT9771</t>
  </si>
  <si>
    <t>CT5430</t>
  </si>
  <si>
    <t>CT9766</t>
  </si>
  <si>
    <t>CC1</t>
  </si>
  <si>
    <t>SL1</t>
  </si>
  <si>
    <t>CT9772</t>
  </si>
  <si>
    <t>CT124</t>
  </si>
  <si>
    <t>CT775</t>
  </si>
  <si>
    <t>CT9768</t>
  </si>
  <si>
    <t>CT1866</t>
  </si>
  <si>
    <t>CT617</t>
  </si>
  <si>
    <t>CT288</t>
  </si>
  <si>
    <t>CT257</t>
  </si>
  <si>
    <t>CT2872</t>
  </si>
  <si>
    <t>Italy</t>
  </si>
  <si>
    <t>CT720</t>
  </si>
  <si>
    <t>CT9775</t>
  </si>
  <si>
    <t>SL400</t>
  </si>
  <si>
    <t>CT9795</t>
  </si>
  <si>
    <t>CT9786</t>
  </si>
  <si>
    <t>CC20</t>
  </si>
  <si>
    <t>SL20</t>
  </si>
  <si>
    <t>CT9769</t>
  </si>
  <si>
    <t>CT9791</t>
  </si>
  <si>
    <t>CC403</t>
  </si>
  <si>
    <t>SL403</t>
  </si>
  <si>
    <t>CT9948</t>
  </si>
  <si>
    <t>L</t>
  </si>
  <si>
    <t>101b4</t>
  </si>
  <si>
    <t>CT11171</t>
  </si>
  <si>
    <t>128b1</t>
  </si>
  <si>
    <t>CC554</t>
  </si>
  <si>
    <t>SL554</t>
  </si>
  <si>
    <t>CT11174</t>
  </si>
  <si>
    <t>IVb-v1</t>
  </si>
  <si>
    <t>128b2</t>
  </si>
  <si>
    <t>CT11164</t>
  </si>
  <si>
    <t>158A</t>
  </si>
  <si>
    <t>CT134</t>
  </si>
  <si>
    <t>158a3</t>
  </si>
  <si>
    <t>CC89</t>
  </si>
  <si>
    <t>SL89</t>
  </si>
  <si>
    <t>CT11179</t>
  </si>
  <si>
    <t>179b1</t>
  </si>
  <si>
    <t>CT11176</t>
  </si>
  <si>
    <t>180A</t>
  </si>
  <si>
    <t>CT11177</t>
  </si>
  <si>
    <t>CT11168</t>
  </si>
  <si>
    <t>209C</t>
  </si>
  <si>
    <t>CT818</t>
  </si>
  <si>
    <t>223a1</t>
  </si>
  <si>
    <t>CT11157</t>
  </si>
  <si>
    <t>223b4</t>
  </si>
  <si>
    <t>CT691</t>
  </si>
  <si>
    <t>231a1</t>
  </si>
  <si>
    <t>CT11166</t>
  </si>
  <si>
    <t>236a1</t>
  </si>
  <si>
    <t>CT11178</t>
  </si>
  <si>
    <t>26-1a</t>
  </si>
  <si>
    <t>CT11169</t>
  </si>
  <si>
    <t>265D</t>
  </si>
  <si>
    <t>CC288</t>
  </si>
  <si>
    <t>SL288</t>
  </si>
  <si>
    <t>CT11173</t>
  </si>
  <si>
    <t>265E</t>
  </si>
  <si>
    <t>268a4</t>
  </si>
  <si>
    <t>CT11180</t>
  </si>
  <si>
    <t>268a5</t>
  </si>
  <si>
    <t>CT11161</t>
  </si>
  <si>
    <t>268b1</t>
  </si>
  <si>
    <t>268b2</t>
  </si>
  <si>
    <t>279a2</t>
  </si>
  <si>
    <t>CT2451</t>
  </si>
  <si>
    <t>326b5</t>
  </si>
  <si>
    <t>CT11158</t>
  </si>
  <si>
    <t>360b1</t>
  </si>
  <si>
    <t>CT11165</t>
  </si>
  <si>
    <t>367b1</t>
  </si>
  <si>
    <t>CT11170</t>
  </si>
  <si>
    <t>369a1</t>
  </si>
  <si>
    <t>369a4</t>
  </si>
  <si>
    <t>CT11159</t>
  </si>
  <si>
    <t>388a1</t>
  </si>
  <si>
    <t>CT11162</t>
  </si>
  <si>
    <t>395b1</t>
  </si>
  <si>
    <t>CT11163</t>
  </si>
  <si>
    <t>414a1</t>
  </si>
  <si>
    <t>CT11186</t>
  </si>
  <si>
    <t>491-a1</t>
  </si>
  <si>
    <t>CT11175</t>
  </si>
  <si>
    <t>506a3</t>
  </si>
  <si>
    <t>517a1</t>
  </si>
  <si>
    <t>CC29</t>
  </si>
  <si>
    <t>SL29</t>
  </si>
  <si>
    <t>CT11189</t>
  </si>
  <si>
    <t>SL291</t>
  </si>
  <si>
    <t>CT11190</t>
  </si>
  <si>
    <t>CT11187</t>
  </si>
  <si>
    <t>CC388</t>
  </si>
  <si>
    <t>SL387</t>
  </si>
  <si>
    <t>CT11185</t>
  </si>
  <si>
    <t>82a6</t>
  </si>
  <si>
    <t>CC506</t>
  </si>
  <si>
    <t>SL506</t>
  </si>
  <si>
    <t>CT11182</t>
  </si>
  <si>
    <t>82b4</t>
  </si>
  <si>
    <t>CT1032</t>
  </si>
  <si>
    <t>91a1</t>
  </si>
  <si>
    <t>CT11160</t>
  </si>
  <si>
    <t>L0223</t>
  </si>
  <si>
    <t>CT2351</t>
  </si>
  <si>
    <t>L0228</t>
  </si>
  <si>
    <t>CT11184</t>
  </si>
  <si>
    <t>L0616</t>
  </si>
  <si>
    <t>L0623</t>
  </si>
  <si>
    <t>CT462</t>
  </si>
  <si>
    <t>L0703</t>
  </si>
  <si>
    <t>CT11172</t>
  </si>
  <si>
    <t>L0720</t>
  </si>
  <si>
    <t>CT11181</t>
  </si>
  <si>
    <t>L0724</t>
  </si>
  <si>
    <t>L0928</t>
  </si>
  <si>
    <t>L0929</t>
  </si>
  <si>
    <t>L1210b</t>
  </si>
  <si>
    <t>CT11183</t>
  </si>
  <si>
    <t>L1214a</t>
  </si>
  <si>
    <t>L1305</t>
  </si>
  <si>
    <t>L1508a</t>
  </si>
  <si>
    <t>CT11188</t>
  </si>
  <si>
    <t>L1522a</t>
  </si>
  <si>
    <t>CT11167</t>
  </si>
  <si>
    <t>L1619a1</t>
  </si>
  <si>
    <t>CT11156</t>
  </si>
  <si>
    <t>139a5</t>
  </si>
  <si>
    <t>143a2</t>
  </si>
  <si>
    <t>192b-1</t>
  </si>
  <si>
    <t>239a2</t>
  </si>
  <si>
    <t>CT11316</t>
  </si>
  <si>
    <t>L0327</t>
  </si>
  <si>
    <t>L0930</t>
  </si>
  <si>
    <t>CC87</t>
  </si>
  <si>
    <t>SL87</t>
  </si>
  <si>
    <t>CT11317</t>
  </si>
  <si>
    <t>5_MI_18</t>
  </si>
  <si>
    <t>JC22</t>
  </si>
  <si>
    <t>Farm environment</t>
  </si>
  <si>
    <t>SL379</t>
  </si>
  <si>
    <t>CT11971</t>
  </si>
  <si>
    <t>JC76</t>
  </si>
  <si>
    <t>SL11800</t>
  </si>
  <si>
    <t>CT11800</t>
  </si>
  <si>
    <t>JC77</t>
  </si>
  <si>
    <t>JC78</t>
  </si>
  <si>
    <t>CT11903</t>
  </si>
  <si>
    <t>JC79</t>
  </si>
  <si>
    <t>CT11904</t>
  </si>
  <si>
    <t>JC80</t>
  </si>
  <si>
    <t>JC81</t>
  </si>
  <si>
    <t>JC82</t>
  </si>
  <si>
    <t>JC83</t>
  </si>
  <si>
    <t>JC84</t>
  </si>
  <si>
    <t>JC85</t>
  </si>
  <si>
    <t>JC86</t>
  </si>
  <si>
    <t>JC87</t>
  </si>
  <si>
    <t>JC95</t>
  </si>
  <si>
    <t>JC96</t>
  </si>
  <si>
    <t>JC97</t>
  </si>
  <si>
    <t>JC98</t>
  </si>
  <si>
    <t>JC99</t>
  </si>
  <si>
    <t>JC100</t>
  </si>
  <si>
    <t>JC101</t>
  </si>
  <si>
    <t>Lm003</t>
  </si>
  <si>
    <t>CT12161</t>
  </si>
  <si>
    <t>Lm004</t>
  </si>
  <si>
    <t>Lm026</t>
  </si>
  <si>
    <t>ST585</t>
  </si>
  <si>
    <t>SL585</t>
  </si>
  <si>
    <t>CT12281</t>
  </si>
  <si>
    <t>Lm030</t>
  </si>
  <si>
    <t>Lm031</t>
  </si>
  <si>
    <t>Lm034</t>
  </si>
  <si>
    <t>Lm035</t>
  </si>
  <si>
    <t>Lm036</t>
  </si>
  <si>
    <t>Lm037</t>
  </si>
  <si>
    <t>Lm038</t>
  </si>
  <si>
    <t>Lm039</t>
  </si>
  <si>
    <t>Lm040</t>
  </si>
  <si>
    <t>Lm041</t>
  </si>
  <si>
    <t>Lm042</t>
  </si>
  <si>
    <t>Lm107</t>
  </si>
  <si>
    <t>Feed</t>
  </si>
  <si>
    <t>CT375</t>
  </si>
  <si>
    <t>Lm114</t>
  </si>
  <si>
    <t>Animal</t>
  </si>
  <si>
    <t>ST581</t>
  </si>
  <si>
    <t>SL581</t>
  </si>
  <si>
    <t>CT11994</t>
  </si>
  <si>
    <t>Lm119</t>
  </si>
  <si>
    <t>CT12112</t>
  </si>
  <si>
    <t>Lm127</t>
  </si>
  <si>
    <t>Lm129</t>
  </si>
  <si>
    <t>CT11827</t>
  </si>
  <si>
    <t>Lm133</t>
  </si>
  <si>
    <t>CT11970</t>
  </si>
  <si>
    <t>Lm139</t>
  </si>
  <si>
    <t>CC177</t>
  </si>
  <si>
    <t>SL271</t>
  </si>
  <si>
    <t>CT12266</t>
  </si>
  <si>
    <t>Lm141</t>
  </si>
  <si>
    <t>Lm143</t>
  </si>
  <si>
    <t>CT2323</t>
  </si>
  <si>
    <t>Lm145</t>
  </si>
  <si>
    <t>Lm167</t>
  </si>
  <si>
    <t>III</t>
  </si>
  <si>
    <t>CC396</t>
  </si>
  <si>
    <t>SL557</t>
  </si>
  <si>
    <t>CT12008</t>
  </si>
  <si>
    <t>Lm276</t>
  </si>
  <si>
    <t>CT11853</t>
  </si>
  <si>
    <t>Lm283</t>
  </si>
  <si>
    <t>CT11804</t>
  </si>
  <si>
    <t>Lm292</t>
  </si>
  <si>
    <t>CT11814</t>
  </si>
  <si>
    <t>Lm307</t>
  </si>
  <si>
    <t>Lm323</t>
  </si>
  <si>
    <t>CT11956</t>
  </si>
  <si>
    <t>Lm327</t>
  </si>
  <si>
    <t>Lm341</t>
  </si>
  <si>
    <t>CT12071</t>
  </si>
  <si>
    <t>CT12054</t>
  </si>
  <si>
    <t>CT11836</t>
  </si>
  <si>
    <t>CT12175</t>
  </si>
  <si>
    <t>CT3964</t>
  </si>
  <si>
    <t>CT11839</t>
  </si>
  <si>
    <t>CT12192</t>
  </si>
  <si>
    <t>CT12088</t>
  </si>
  <si>
    <t>CT1024</t>
  </si>
  <si>
    <t>CT1722</t>
  </si>
  <si>
    <t>CT11849</t>
  </si>
  <si>
    <t>CT12098</t>
  </si>
  <si>
    <t>CT11813</t>
  </si>
  <si>
    <t>SL16</t>
  </si>
  <si>
    <t>CT2033</t>
  </si>
  <si>
    <t>CT12055</t>
  </si>
  <si>
    <t>CT2434</t>
  </si>
  <si>
    <t>CT4158</t>
  </si>
  <si>
    <t>CT11958</t>
  </si>
  <si>
    <t>CT12194</t>
  </si>
  <si>
    <t>CT12131</t>
  </si>
  <si>
    <t>CT12050</t>
  </si>
  <si>
    <t>CT12252</t>
  </si>
  <si>
    <t>CT12068</t>
  </si>
  <si>
    <t>CT12058</t>
  </si>
  <si>
    <t>CT12038</t>
  </si>
  <si>
    <t>CT12039</t>
  </si>
  <si>
    <t>CT12045</t>
  </si>
  <si>
    <t>CT11927</t>
  </si>
  <si>
    <t>CC191</t>
  </si>
  <si>
    <t>SL191</t>
  </si>
  <si>
    <t>CT11997</t>
  </si>
  <si>
    <t>CT2431</t>
  </si>
  <si>
    <t>CT4645</t>
  </si>
  <si>
    <t>CT11816</t>
  </si>
  <si>
    <t>CT11953</t>
  </si>
  <si>
    <t>CT12019</t>
  </si>
  <si>
    <t>CT12115</t>
  </si>
  <si>
    <t>CT1048</t>
  </si>
  <si>
    <t>CT11850</t>
  </si>
  <si>
    <t>CT2038</t>
  </si>
  <si>
    <t>CT11863</t>
  </si>
  <si>
    <t>CT12056</t>
  </si>
  <si>
    <t>CT1506</t>
  </si>
  <si>
    <t>CC26</t>
  </si>
  <si>
    <t>SL26</t>
  </si>
  <si>
    <t>CT5754</t>
  </si>
  <si>
    <t>CT12016</t>
  </si>
  <si>
    <t>CC18</t>
  </si>
  <si>
    <t>SL18</t>
  </si>
  <si>
    <t>CT12221</t>
  </si>
  <si>
    <t>CT10507</t>
  </si>
  <si>
    <t>CT12099</t>
  </si>
  <si>
    <t>Czech Republic</t>
  </si>
  <si>
    <t>LV0534</t>
  </si>
  <si>
    <t>CT12171</t>
  </si>
  <si>
    <t>LV1161</t>
  </si>
  <si>
    <t>CT11886</t>
  </si>
  <si>
    <t>LV1162</t>
  </si>
  <si>
    <t>CT12127</t>
  </si>
  <si>
    <t>LV0544</t>
  </si>
  <si>
    <t>CC204</t>
  </si>
  <si>
    <t>SL204</t>
  </si>
  <si>
    <t>CT12243</t>
  </si>
  <si>
    <t>LV0600</t>
  </si>
  <si>
    <t>CT12246</t>
  </si>
  <si>
    <t>LV0786</t>
  </si>
  <si>
    <t>CT5169</t>
  </si>
  <si>
    <t>LV0906</t>
  </si>
  <si>
    <t>CT12150</t>
  </si>
  <si>
    <t>LV1318</t>
  </si>
  <si>
    <t>CT12100</t>
  </si>
  <si>
    <t>LV1388</t>
  </si>
  <si>
    <t>CT917</t>
  </si>
  <si>
    <t>LV0335</t>
  </si>
  <si>
    <t>CT12174</t>
  </si>
  <si>
    <t>LV0360</t>
  </si>
  <si>
    <t>CT11711</t>
  </si>
  <si>
    <t>ST560</t>
  </si>
  <si>
    <t>SL560</t>
  </si>
  <si>
    <t>CT3660</t>
  </si>
  <si>
    <t>CC489</t>
  </si>
  <si>
    <t>SL489</t>
  </si>
  <si>
    <t>CT11855</t>
  </si>
  <si>
    <t>CT12080</t>
  </si>
  <si>
    <t>CT1028</t>
  </si>
  <si>
    <t>CT12206</t>
  </si>
  <si>
    <t>CT11926</t>
  </si>
  <si>
    <t>SL313</t>
  </si>
  <si>
    <t>CT2634</t>
  </si>
  <si>
    <t>CT12102</t>
  </si>
  <si>
    <t>CT7923</t>
  </si>
  <si>
    <t>CT973</t>
  </si>
  <si>
    <t>CT12063</t>
  </si>
  <si>
    <t>CT9322</t>
  </si>
  <si>
    <t>MF1358</t>
  </si>
  <si>
    <t>Norway</t>
  </si>
  <si>
    <t>CT12152</t>
  </si>
  <si>
    <t>MF1486</t>
  </si>
  <si>
    <t>CT11936</t>
  </si>
  <si>
    <t>MF1487</t>
  </si>
  <si>
    <t>MF2152</t>
  </si>
  <si>
    <t>CT11842</t>
  </si>
  <si>
    <t>MF2153</t>
  </si>
  <si>
    <t>CT11824</t>
  </si>
  <si>
    <t>MF2156</t>
  </si>
  <si>
    <t>MF2157</t>
  </si>
  <si>
    <t>MF2158</t>
  </si>
  <si>
    <t>MF2159</t>
  </si>
  <si>
    <t>CT12061</t>
  </si>
  <si>
    <t>MF2160</t>
  </si>
  <si>
    <t>MF2161</t>
  </si>
  <si>
    <t>CT12164</t>
  </si>
  <si>
    <t>MF2163</t>
  </si>
  <si>
    <t>MF2164</t>
  </si>
  <si>
    <t>MF2165</t>
  </si>
  <si>
    <t>CT12072</t>
  </si>
  <si>
    <t>MF2166</t>
  </si>
  <si>
    <t>MF2167</t>
  </si>
  <si>
    <t>CT12163</t>
  </si>
  <si>
    <t>MF2168</t>
  </si>
  <si>
    <t>MF2169</t>
  </si>
  <si>
    <t>MF2170</t>
  </si>
  <si>
    <t>MF2171</t>
  </si>
  <si>
    <t>CT11932</t>
  </si>
  <si>
    <t>MF2172</t>
  </si>
  <si>
    <t>CT12162</t>
  </si>
  <si>
    <t>MF2173</t>
  </si>
  <si>
    <t>MF2176</t>
  </si>
  <si>
    <t>MF2185</t>
  </si>
  <si>
    <t>CT12083</t>
  </si>
  <si>
    <t>MF2186</t>
  </si>
  <si>
    <t>MF2187</t>
  </si>
  <si>
    <t>SL177</t>
  </si>
  <si>
    <t>CT12143</t>
  </si>
  <si>
    <t>MF2188</t>
  </si>
  <si>
    <t>CT12181</t>
  </si>
  <si>
    <t>MF2189</t>
  </si>
  <si>
    <t>MF2190</t>
  </si>
  <si>
    <t>CT11905</t>
  </si>
  <si>
    <t>MF2191</t>
  </si>
  <si>
    <t>MF3865</t>
  </si>
  <si>
    <t>CT543</t>
  </si>
  <si>
    <t>MF3882</t>
  </si>
  <si>
    <t>CT12141</t>
  </si>
  <si>
    <t>MF3976</t>
  </si>
  <si>
    <t>MF4244</t>
  </si>
  <si>
    <t>MF4252</t>
  </si>
  <si>
    <t>CT10889</t>
  </si>
  <si>
    <t>MF4266</t>
  </si>
  <si>
    <t>MF4267</t>
  </si>
  <si>
    <t>CT910</t>
  </si>
  <si>
    <t>MF4275</t>
  </si>
  <si>
    <t>MF4282</t>
  </si>
  <si>
    <t>MF4284</t>
  </si>
  <si>
    <t>MF4289</t>
  </si>
  <si>
    <t>MF4295</t>
  </si>
  <si>
    <t>MF4302</t>
  </si>
  <si>
    <t>MF4309</t>
  </si>
  <si>
    <t>MF4330</t>
  </si>
  <si>
    <t>MF4341</t>
  </si>
  <si>
    <t>MF4345</t>
  </si>
  <si>
    <t>CT649</t>
  </si>
  <si>
    <t>MF4351</t>
  </si>
  <si>
    <t>MF4385</t>
  </si>
  <si>
    <t>CT12138</t>
  </si>
  <si>
    <t>MF4531</t>
  </si>
  <si>
    <t>CT12014</t>
  </si>
  <si>
    <t>MF4548</t>
  </si>
  <si>
    <t>CT12218</t>
  </si>
  <si>
    <t>MF4592</t>
  </si>
  <si>
    <t>MF4595</t>
  </si>
  <si>
    <t>CT12140</t>
  </si>
  <si>
    <t>MF4990</t>
  </si>
  <si>
    <t>CT11944</t>
  </si>
  <si>
    <t>MF5024</t>
  </si>
  <si>
    <t>MF5190</t>
  </si>
  <si>
    <t>MF5236</t>
  </si>
  <si>
    <t>MF5241</t>
  </si>
  <si>
    <t>CT12215</t>
  </si>
  <si>
    <t>MF5373</t>
  </si>
  <si>
    <t>CC415</t>
  </si>
  <si>
    <t>SL415</t>
  </si>
  <si>
    <t>CT9464</t>
  </si>
  <si>
    <t>MF5462</t>
  </si>
  <si>
    <t>CT10104</t>
  </si>
  <si>
    <t>MF5463</t>
  </si>
  <si>
    <t>CT12155</t>
  </si>
  <si>
    <t>MF5464</t>
  </si>
  <si>
    <t>SL296</t>
  </si>
  <si>
    <t>CT56</t>
  </si>
  <si>
    <t>MF5465</t>
  </si>
  <si>
    <t>CT12189</t>
  </si>
  <si>
    <t>MF5636</t>
  </si>
  <si>
    <t>CT12223</t>
  </si>
  <si>
    <t>MF5797</t>
  </si>
  <si>
    <t>CT11901</t>
  </si>
  <si>
    <t>MF5994</t>
  </si>
  <si>
    <t>MF5995</t>
  </si>
  <si>
    <t>CT12165</t>
  </si>
  <si>
    <t>MF6351</t>
  </si>
  <si>
    <t>CT11899</t>
  </si>
  <si>
    <t>MF7075</t>
  </si>
  <si>
    <t>CT9904</t>
  </si>
  <si>
    <t>MF7082</t>
  </si>
  <si>
    <t>CT5187</t>
  </si>
  <si>
    <t>MF7085</t>
  </si>
  <si>
    <t>MF7091</t>
  </si>
  <si>
    <t>MF7322</t>
  </si>
  <si>
    <t>CT12031</t>
  </si>
  <si>
    <t>MF7327</t>
  </si>
  <si>
    <t>SL92</t>
  </si>
  <si>
    <t>CT12234</t>
  </si>
  <si>
    <t>MF7344</t>
  </si>
  <si>
    <t>CT4518</t>
  </si>
  <si>
    <t>MF7357</t>
  </si>
  <si>
    <t>MF7369</t>
  </si>
  <si>
    <t>MF7370</t>
  </si>
  <si>
    <t>MF7379</t>
  </si>
  <si>
    <t>MF7402</t>
  </si>
  <si>
    <t>MF7405</t>
  </si>
  <si>
    <t>MF7411</t>
  </si>
  <si>
    <t>MF7412</t>
  </si>
  <si>
    <t>MF7419</t>
  </si>
  <si>
    <t>MF7435</t>
  </si>
  <si>
    <t>CC199</t>
  </si>
  <si>
    <t>SL199</t>
  </si>
  <si>
    <t>CT12275</t>
  </si>
  <si>
    <t>MF7627</t>
  </si>
  <si>
    <t>MF7628</t>
  </si>
  <si>
    <t>MF7631</t>
  </si>
  <si>
    <t>MF7632</t>
  </si>
  <si>
    <t>MF7633</t>
  </si>
  <si>
    <t>MF7638</t>
  </si>
  <si>
    <t>F02</t>
  </si>
  <si>
    <t>Spain</t>
  </si>
  <si>
    <t>CT4846</t>
  </si>
  <si>
    <t>CT4849</t>
  </si>
  <si>
    <t>CT4850</t>
  </si>
  <si>
    <t>CT4922</t>
  </si>
  <si>
    <t>CT12059</t>
  </si>
  <si>
    <t>CT12095</t>
  </si>
  <si>
    <t>CT1260</t>
  </si>
  <si>
    <t>CT903</t>
  </si>
  <si>
    <t>CT4457</t>
  </si>
  <si>
    <t>CT4291</t>
  </si>
  <si>
    <t>CT11830</t>
  </si>
  <si>
    <t>CT12060</t>
  </si>
  <si>
    <t>CT12035</t>
  </si>
  <si>
    <t>CT11806</t>
  </si>
  <si>
    <t>SL31</t>
  </si>
  <si>
    <t>CT12147</t>
  </si>
  <si>
    <t>CT10371</t>
  </si>
  <si>
    <t>CT12087</t>
  </si>
  <si>
    <t>CT12070</t>
  </si>
  <si>
    <t>CT11820</t>
  </si>
  <si>
    <t>CT12069</t>
  </si>
  <si>
    <t>CT11961</t>
  </si>
  <si>
    <t>CT12284</t>
  </si>
  <si>
    <t>CT12075</t>
  </si>
  <si>
    <t>CT11818</t>
  </si>
  <si>
    <t>CT12190</t>
  </si>
  <si>
    <t>CC736</t>
  </si>
  <si>
    <t>SL737</t>
  </si>
  <si>
    <t>CT11803</t>
  </si>
  <si>
    <t>CT12139</t>
  </si>
  <si>
    <t>CT12191</t>
  </si>
  <si>
    <t>CT10112</t>
  </si>
  <si>
    <t>CT2913</t>
  </si>
  <si>
    <t>CT12207</t>
  </si>
  <si>
    <t>CT12026</t>
  </si>
  <si>
    <t>CT11960</t>
  </si>
  <si>
    <t>CT12211</t>
  </si>
  <si>
    <t>CT4976</t>
  </si>
  <si>
    <t>CT11822</t>
  </si>
  <si>
    <t>CT12049</t>
  </si>
  <si>
    <t>CT10516</t>
  </si>
  <si>
    <t>CT11823</t>
  </si>
  <si>
    <t>CT11821</t>
  </si>
  <si>
    <t>CT12076</t>
  </si>
  <si>
    <t>CT12013</t>
  </si>
  <si>
    <t>CT846</t>
  </si>
  <si>
    <t>CT11902</t>
  </si>
  <si>
    <t>CT10906</t>
  </si>
  <si>
    <t>CT10868</t>
  </si>
  <si>
    <t>SL91</t>
  </si>
  <si>
    <t>CT678</t>
  </si>
  <si>
    <t>CT11852</t>
  </si>
  <si>
    <t>CT12081</t>
  </si>
  <si>
    <t>CT12082</t>
  </si>
  <si>
    <t>CT3528</t>
  </si>
  <si>
    <t>CT11845</t>
  </si>
  <si>
    <t>SL11801</t>
  </si>
  <si>
    <t>CT11801</t>
  </si>
  <si>
    <t>AU2566</t>
  </si>
  <si>
    <t>CT12027</t>
  </si>
  <si>
    <t>AU4423</t>
  </si>
  <si>
    <t>AU4898</t>
  </si>
  <si>
    <t>CT12017</t>
  </si>
  <si>
    <t>CDL121</t>
  </si>
  <si>
    <t>CT308</t>
  </si>
  <si>
    <t>CDL142</t>
  </si>
  <si>
    <t>CT11846</t>
  </si>
  <si>
    <t>CDL146</t>
  </si>
  <si>
    <t>CT11834</t>
  </si>
  <si>
    <t>CDL147</t>
  </si>
  <si>
    <t>CDL150</t>
  </si>
  <si>
    <t>CDL154</t>
  </si>
  <si>
    <t>CDL157</t>
  </si>
  <si>
    <t>CT11862</t>
  </si>
  <si>
    <t>CDL158</t>
  </si>
  <si>
    <t>CDL161</t>
  </si>
  <si>
    <t>CT11828</t>
  </si>
  <si>
    <t>CDL164</t>
  </si>
  <si>
    <t>CT11874</t>
  </si>
  <si>
    <t>CDL170</t>
  </si>
  <si>
    <t>CT2494</t>
  </si>
  <si>
    <t>CDL171</t>
  </si>
  <si>
    <t>CDL172</t>
  </si>
  <si>
    <t>CDL174</t>
  </si>
  <si>
    <t>CT12012</t>
  </si>
  <si>
    <t>CDL175</t>
  </si>
  <si>
    <t>CT12216</t>
  </si>
  <si>
    <t>CDL176</t>
  </si>
  <si>
    <t>CT11942</t>
  </si>
  <si>
    <t>CDL197</t>
  </si>
  <si>
    <t>CT1552</t>
  </si>
  <si>
    <t>CDL2</t>
  </si>
  <si>
    <t>SL9867</t>
  </si>
  <si>
    <t>CT12015</t>
  </si>
  <si>
    <t>CDL200</t>
  </si>
  <si>
    <t>CC69</t>
  </si>
  <si>
    <t>SL69</t>
  </si>
  <si>
    <t>CT996</t>
  </si>
  <si>
    <t>CDL202</t>
  </si>
  <si>
    <t>CC131</t>
  </si>
  <si>
    <t>SL131</t>
  </si>
  <si>
    <t>CT12004</t>
  </si>
  <si>
    <t>CDL203</t>
  </si>
  <si>
    <t>CT10248</t>
  </si>
  <si>
    <t>CDL252</t>
  </si>
  <si>
    <t>CT630</t>
  </si>
  <si>
    <t>CDL64</t>
  </si>
  <si>
    <t>CT12023</t>
  </si>
  <si>
    <t>CDL65</t>
  </si>
  <si>
    <t>CT12137</t>
  </si>
  <si>
    <t>CDL66</t>
  </si>
  <si>
    <t>CT638</t>
  </si>
  <si>
    <t>CDL67</t>
  </si>
  <si>
    <t>CT1195</t>
  </si>
  <si>
    <t>CDL68</t>
  </si>
  <si>
    <t>CT7806</t>
  </si>
  <si>
    <t>CDL69</t>
  </si>
  <si>
    <t>CDL71</t>
  </si>
  <si>
    <t>CT11833</t>
  </si>
  <si>
    <t>CDL72</t>
  </si>
  <si>
    <t>CDL73</t>
  </si>
  <si>
    <t>CT4162</t>
  </si>
  <si>
    <t>CDL75</t>
  </si>
  <si>
    <t>CT12077</t>
  </si>
  <si>
    <t>CDL76</t>
  </si>
  <si>
    <t>CT12085</t>
  </si>
  <si>
    <t>CDL77</t>
  </si>
  <si>
    <t>CT12148</t>
  </si>
  <si>
    <t>CDL78</t>
  </si>
  <si>
    <t>CT7846</t>
  </si>
  <si>
    <t>CDL74</t>
  </si>
  <si>
    <t>CT596</t>
  </si>
  <si>
    <t>CDL80</t>
  </si>
  <si>
    <t>CT11928</t>
  </si>
  <si>
    <t>CZ48</t>
  </si>
  <si>
    <t>CT12245</t>
  </si>
  <si>
    <t>CZ70</t>
  </si>
  <si>
    <t>F18</t>
  </si>
  <si>
    <t>F19</t>
  </si>
  <si>
    <t>CT10137</t>
  </si>
  <si>
    <t>IR6179</t>
  </si>
  <si>
    <t>CT10125</t>
  </si>
  <si>
    <t>N22_2</t>
  </si>
  <si>
    <t>CT12033</t>
  </si>
  <si>
    <t>R479a</t>
  </si>
  <si>
    <t>W33</t>
  </si>
  <si>
    <t>CT12204</t>
  </si>
  <si>
    <t>CT12040</t>
  </si>
  <si>
    <t>LmRo1</t>
  </si>
  <si>
    <t>CT5615</t>
  </si>
  <si>
    <t>LmRo2</t>
  </si>
  <si>
    <t>CT9311</t>
  </si>
  <si>
    <t>LmRo3</t>
  </si>
  <si>
    <t>LmRo6</t>
  </si>
  <si>
    <t>LmRo8</t>
  </si>
  <si>
    <t>LmRo10</t>
  </si>
  <si>
    <t>LmRo11</t>
  </si>
  <si>
    <t>LmRo12</t>
  </si>
  <si>
    <t>CT12208</t>
  </si>
  <si>
    <t>CT5200</t>
  </si>
  <si>
    <t>LmRo15</t>
  </si>
  <si>
    <t>CT1769</t>
  </si>
  <si>
    <t>F2365</t>
  </si>
  <si>
    <t>CT304</t>
  </si>
  <si>
    <t>CT6520</t>
  </si>
  <si>
    <t>CT12231</t>
  </si>
  <si>
    <t>CT12052</t>
  </si>
  <si>
    <t>P02_001</t>
  </si>
  <si>
    <t>CT5449</t>
  </si>
  <si>
    <t>AB27</t>
  </si>
  <si>
    <t>ABS6</t>
  </si>
  <si>
    <t>CT12032</t>
  </si>
  <si>
    <t>CT12028</t>
  </si>
  <si>
    <t>4KMS</t>
  </si>
  <si>
    <t>13KMS</t>
  </si>
  <si>
    <t>CC4</t>
  </si>
  <si>
    <t>SL4</t>
  </si>
  <si>
    <t>CT11919</t>
  </si>
  <si>
    <t>CT12074</t>
  </si>
  <si>
    <t>CT11841</t>
  </si>
  <si>
    <t>CT12168</t>
  </si>
  <si>
    <t>CT12167</t>
  </si>
  <si>
    <t>CT591</t>
  </si>
  <si>
    <t>CT12129</t>
  </si>
  <si>
    <t>CT12285</t>
  </si>
  <si>
    <t>CT12024</t>
  </si>
  <si>
    <t>CT11943</t>
  </si>
  <si>
    <t>CT12197</t>
  </si>
  <si>
    <t>ST2348</t>
  </si>
  <si>
    <t>SL2348</t>
  </si>
  <si>
    <t>CT11995</t>
  </si>
  <si>
    <t>CT1043</t>
  </si>
  <si>
    <t>CT11892</t>
  </si>
  <si>
    <t>SL11</t>
  </si>
  <si>
    <t>CT950</t>
  </si>
  <si>
    <t>CT7055</t>
  </si>
  <si>
    <t>CT12048</t>
  </si>
  <si>
    <t>CT12096</t>
  </si>
  <si>
    <t>CT11912</t>
  </si>
  <si>
    <t>CT11854</t>
  </si>
  <si>
    <t>CT12029</t>
  </si>
  <si>
    <t>CT12092</t>
  </si>
  <si>
    <t>CT11893</t>
  </si>
  <si>
    <t>CT12030</t>
  </si>
  <si>
    <t>CT12186</t>
  </si>
  <si>
    <t>CT12244</t>
  </si>
  <si>
    <t>CT11887</t>
  </si>
  <si>
    <t>CT12259</t>
  </si>
  <si>
    <t>CT11964</t>
  </si>
  <si>
    <t>CT12200</t>
  </si>
  <si>
    <t>CT12047</t>
  </si>
  <si>
    <t>CT11910</t>
  </si>
  <si>
    <t>CT12011</t>
  </si>
  <si>
    <t>CT12250</t>
  </si>
  <si>
    <t>JC13</t>
  </si>
  <si>
    <t>SL1107</t>
  </si>
  <si>
    <t>CT12000</t>
  </si>
  <si>
    <t>JC14</t>
  </si>
  <si>
    <t>JC18</t>
  </si>
  <si>
    <t>JC19</t>
  </si>
  <si>
    <t>JC20</t>
  </si>
  <si>
    <t>JC21</t>
  </si>
  <si>
    <t>JC27</t>
  </si>
  <si>
    <t>JC28</t>
  </si>
  <si>
    <t>JC30</t>
  </si>
  <si>
    <t>JC33</t>
  </si>
  <si>
    <t>JC34</t>
  </si>
  <si>
    <t>JC37</t>
  </si>
  <si>
    <t>JC38</t>
  </si>
  <si>
    <t>JC40</t>
  </si>
  <si>
    <t>JC43</t>
  </si>
  <si>
    <t>JC49</t>
  </si>
  <si>
    <t>JC51</t>
  </si>
  <si>
    <t>JC53</t>
  </si>
  <si>
    <t>JC65</t>
  </si>
  <si>
    <t>CT11906</t>
  </si>
  <si>
    <t>JC68</t>
  </si>
  <si>
    <t>JC69</t>
  </si>
  <si>
    <t>JC70</t>
  </si>
  <si>
    <t>JC71</t>
  </si>
  <si>
    <t>JC74</t>
  </si>
  <si>
    <t>JC75</t>
  </si>
  <si>
    <t>CT12232</t>
  </si>
  <si>
    <t>CT12042</t>
  </si>
  <si>
    <t>CT12202</t>
  </si>
  <si>
    <t>CT12201</t>
  </si>
  <si>
    <t>CT12051</t>
  </si>
  <si>
    <t>CT11819</t>
  </si>
  <si>
    <t>CT12228</t>
  </si>
  <si>
    <t>CC70</t>
  </si>
  <si>
    <t>SL70</t>
  </si>
  <si>
    <t>CT12006</t>
  </si>
  <si>
    <t>CT12222</t>
  </si>
  <si>
    <t>CT11963</t>
  </si>
  <si>
    <t>CC220</t>
  </si>
  <si>
    <t>SL220</t>
  </si>
  <si>
    <t>CT11991</t>
  </si>
  <si>
    <t>CT12229</t>
  </si>
  <si>
    <t>SL404</t>
  </si>
  <si>
    <t>CT12002</t>
  </si>
  <si>
    <t>CT12117</t>
  </si>
  <si>
    <t>CT12018</t>
  </si>
  <si>
    <t>CT12118</t>
  </si>
  <si>
    <t>CT11955</t>
  </si>
  <si>
    <t>CT11826</t>
  </si>
  <si>
    <t>CT12097</t>
  </si>
  <si>
    <t>CT11840</t>
  </si>
  <si>
    <t>CT12196</t>
  </si>
  <si>
    <t>CT11832</t>
  </si>
  <si>
    <t>CT12254</t>
  </si>
  <si>
    <t>CT10071</t>
  </si>
  <si>
    <t>CT11812</t>
  </si>
  <si>
    <t>CT12210</t>
  </si>
  <si>
    <t>SL1584</t>
  </si>
  <si>
    <t>CT11999</t>
  </si>
  <si>
    <t>CT7813</t>
  </si>
  <si>
    <t>CT11848</t>
  </si>
  <si>
    <t>CT12037</t>
  </si>
  <si>
    <t>CT12225</t>
  </si>
  <si>
    <t>CT12241</t>
  </si>
  <si>
    <t>CT12199</t>
  </si>
  <si>
    <t>CT11946</t>
  </si>
  <si>
    <t>CT12067</t>
  </si>
  <si>
    <t>59_6_1</t>
  </si>
  <si>
    <t>45_2_1</t>
  </si>
  <si>
    <t>CT12209</t>
  </si>
  <si>
    <t>D5590_A</t>
  </si>
  <si>
    <t>Switzerland</t>
  </si>
  <si>
    <t>CT11977</t>
  </si>
  <si>
    <t>N19_3134</t>
  </si>
  <si>
    <t>SL206</t>
  </si>
  <si>
    <t>CT12265</t>
  </si>
  <si>
    <t>N20_0094</t>
  </si>
  <si>
    <t>N20_0104</t>
  </si>
  <si>
    <t>CT1208</t>
  </si>
  <si>
    <t>N20_0149</t>
  </si>
  <si>
    <t>CT12036</t>
  </si>
  <si>
    <t>N20_0150</t>
  </si>
  <si>
    <t>N20_0186</t>
  </si>
  <si>
    <t>CC19</t>
  </si>
  <si>
    <t>SL398</t>
  </si>
  <si>
    <t>CT12213</t>
  </si>
  <si>
    <t>N20_0187</t>
  </si>
  <si>
    <t>N20_0268</t>
  </si>
  <si>
    <t>N20_0303</t>
  </si>
  <si>
    <t>N20_0320</t>
  </si>
  <si>
    <t>N20_0332</t>
  </si>
  <si>
    <t>CT3466</t>
  </si>
  <si>
    <t>N20_0379</t>
  </si>
  <si>
    <t>N20_0384</t>
  </si>
  <si>
    <t>CT12133</t>
  </si>
  <si>
    <t>N20_0415</t>
  </si>
  <si>
    <t>N20_0429</t>
  </si>
  <si>
    <t>CT12010</t>
  </si>
  <si>
    <t>N20_0527</t>
  </si>
  <si>
    <t>CT12101</t>
  </si>
  <si>
    <t>N20_0558</t>
  </si>
  <si>
    <t>N20_0593</t>
  </si>
  <si>
    <t>N20_0612</t>
  </si>
  <si>
    <t>CT2182</t>
  </si>
  <si>
    <t>N20_0634</t>
  </si>
  <si>
    <t>N20_0642</t>
  </si>
  <si>
    <t>CT4915</t>
  </si>
  <si>
    <t>N20_0680</t>
  </si>
  <si>
    <t>N20_0715</t>
  </si>
  <si>
    <t>N20_0749</t>
  </si>
  <si>
    <t>N20_0796</t>
  </si>
  <si>
    <t>N20_0797</t>
  </si>
  <si>
    <t>N20_0801</t>
  </si>
  <si>
    <t>N20_0805</t>
  </si>
  <si>
    <t>CT11847</t>
  </si>
  <si>
    <t>N20_0822</t>
  </si>
  <si>
    <t>N20_0843</t>
  </si>
  <si>
    <t>N20_0846</t>
  </si>
  <si>
    <t>N20_0858</t>
  </si>
  <si>
    <t>N20_0870</t>
  </si>
  <si>
    <t>N20_0916</t>
  </si>
  <si>
    <t>N20_0921</t>
  </si>
  <si>
    <t>N20_0960</t>
  </si>
  <si>
    <t>CT1245</t>
  </si>
  <si>
    <t>N20_0975</t>
  </si>
  <si>
    <t>CT11867</t>
  </si>
  <si>
    <t>N20_0994</t>
  </si>
  <si>
    <t>CT11802</t>
  </si>
  <si>
    <t>N20_1001</t>
  </si>
  <si>
    <t>N20_1004</t>
  </si>
  <si>
    <t>SL427</t>
  </si>
  <si>
    <t>CT12280</t>
  </si>
  <si>
    <t>N20_1127</t>
  </si>
  <si>
    <t>CT3525</t>
  </si>
  <si>
    <t>N20_1224</t>
  </si>
  <si>
    <t>CT12239</t>
  </si>
  <si>
    <t>N20_1321</t>
  </si>
  <si>
    <t>N20_1380</t>
  </si>
  <si>
    <t>CT12020</t>
  </si>
  <si>
    <t>N20_1446</t>
  </si>
  <si>
    <t>N20_1515</t>
  </si>
  <si>
    <t>CT12224</t>
  </si>
  <si>
    <t>N20_1590</t>
  </si>
  <si>
    <t>CT12104</t>
  </si>
  <si>
    <t>N20_1630</t>
  </si>
  <si>
    <t>CT11974</t>
  </si>
  <si>
    <t>N20_1648</t>
  </si>
  <si>
    <t>N20_1781</t>
  </si>
  <si>
    <t>CT12247</t>
  </si>
  <si>
    <t>N20_1787</t>
  </si>
  <si>
    <t>CT11866</t>
  </si>
  <si>
    <t>N20_1809</t>
  </si>
  <si>
    <t>CC226</t>
  </si>
  <si>
    <t>SL226</t>
  </si>
  <si>
    <t>CT3476</t>
  </si>
  <si>
    <t>N20_1949</t>
  </si>
  <si>
    <t>N20_2010</t>
  </si>
  <si>
    <t>CT11950</t>
  </si>
  <si>
    <t>N20_2012</t>
  </si>
  <si>
    <t>CT5306</t>
  </si>
  <si>
    <t>N20_2057</t>
  </si>
  <si>
    <t>N20_2102</t>
  </si>
  <si>
    <t>N20_2105</t>
  </si>
  <si>
    <t>CT11810</t>
  </si>
  <si>
    <t>N20_2124</t>
  </si>
  <si>
    <t>CT11951</t>
  </si>
  <si>
    <t>N20_2200</t>
  </si>
  <si>
    <t>CT12110</t>
  </si>
  <si>
    <t>N20_2202</t>
  </si>
  <si>
    <t>N20_2263</t>
  </si>
  <si>
    <t>N20_2292</t>
  </si>
  <si>
    <t>N20_2339</t>
  </si>
  <si>
    <t>CT12179</t>
  </si>
  <si>
    <t>N20_2340</t>
  </si>
  <si>
    <t>CT11948</t>
  </si>
  <si>
    <t>N21_0042</t>
  </si>
  <si>
    <t>CT11831</t>
  </si>
  <si>
    <t>N21_0064</t>
  </si>
  <si>
    <t>CT12156</t>
  </si>
  <si>
    <t>N21_0065</t>
  </si>
  <si>
    <t>N21_0102</t>
  </si>
  <si>
    <t>CT1845</t>
  </si>
  <si>
    <t>N21_0121</t>
  </si>
  <si>
    <t>N21_0165</t>
  </si>
  <si>
    <t>N21_0201</t>
  </si>
  <si>
    <t>N21_0206</t>
  </si>
  <si>
    <t>N21_0262</t>
  </si>
  <si>
    <t>CT11844</t>
  </si>
  <si>
    <t>N21_0274</t>
  </si>
  <si>
    <t>N21_0299</t>
  </si>
  <si>
    <t>N21_0325</t>
  </si>
  <si>
    <t>CT11949</t>
  </si>
  <si>
    <t>N21_0326</t>
  </si>
  <si>
    <t>CT12172</t>
  </si>
  <si>
    <t>N21_0371</t>
  </si>
  <si>
    <t>CT11954</t>
  </si>
  <si>
    <t>N21_0434</t>
  </si>
  <si>
    <t>CT1188</t>
  </si>
  <si>
    <t>N21_0465</t>
  </si>
  <si>
    <t>N21_0475</t>
  </si>
  <si>
    <t>CT11973</t>
  </si>
  <si>
    <t>N21_0527</t>
  </si>
  <si>
    <t>CT12182</t>
  </si>
  <si>
    <t>N21_0556</t>
  </si>
  <si>
    <t>N13_0255</t>
  </si>
  <si>
    <t>CT12025</t>
  </si>
  <si>
    <t>N13_0402</t>
  </si>
  <si>
    <t>CT11811</t>
  </si>
  <si>
    <t>N14_0152</t>
  </si>
  <si>
    <t>CC307</t>
  </si>
  <si>
    <t>SL307</t>
  </si>
  <si>
    <t>CT12278</t>
  </si>
  <si>
    <t>N14_0260</t>
  </si>
  <si>
    <t>N19_0127</t>
  </si>
  <si>
    <t>CT11921</t>
  </si>
  <si>
    <t>N19_0128</t>
  </si>
  <si>
    <t>N19_0200</t>
  </si>
  <si>
    <t>N19_0309</t>
  </si>
  <si>
    <t>CT12240</t>
  </si>
  <si>
    <t>N19_0345</t>
  </si>
  <si>
    <t>CT2492</t>
  </si>
  <si>
    <t>N19_0351</t>
  </si>
  <si>
    <t>CT12258</t>
  </si>
  <si>
    <t>N19_0368</t>
  </si>
  <si>
    <t>CT12066</t>
  </si>
  <si>
    <t>N19_0413</t>
  </si>
  <si>
    <t>N19_0486</t>
  </si>
  <si>
    <t>CT12093</t>
  </si>
  <si>
    <t>N19_0700</t>
  </si>
  <si>
    <t>CT12022</t>
  </si>
  <si>
    <t>N19_0701</t>
  </si>
  <si>
    <t>N19_0706</t>
  </si>
  <si>
    <t>SL219</t>
  </si>
  <si>
    <t>CT11959</t>
  </si>
  <si>
    <t>N19_0757</t>
  </si>
  <si>
    <t>CT6165</t>
  </si>
  <si>
    <t>N19_0790</t>
  </si>
  <si>
    <t>N19_1079</t>
  </si>
  <si>
    <t>CT12178</t>
  </si>
  <si>
    <t>N19_1165</t>
  </si>
  <si>
    <t>N19_1357</t>
  </si>
  <si>
    <t>N19_1453</t>
  </si>
  <si>
    <t>N19_1506</t>
  </si>
  <si>
    <t>CT11972</t>
  </si>
  <si>
    <t>N19_1613</t>
  </si>
  <si>
    <t>CT12090</t>
  </si>
  <si>
    <t>N19_1748</t>
  </si>
  <si>
    <t>N19_1773</t>
  </si>
  <si>
    <t>CT941</t>
  </si>
  <si>
    <t>N19_2025</t>
  </si>
  <si>
    <t>CT11817</t>
  </si>
  <si>
    <t>N19_2162</t>
  </si>
  <si>
    <t>CC54</t>
  </si>
  <si>
    <t>SL54</t>
  </si>
  <si>
    <t>CT11996</t>
  </si>
  <si>
    <t>N19_2251</t>
  </si>
  <si>
    <t>N19_2360</t>
  </si>
  <si>
    <t>CT12021</t>
  </si>
  <si>
    <t>N19_2423</t>
  </si>
  <si>
    <t>CT11967</t>
  </si>
  <si>
    <t>N19_2431</t>
  </si>
  <si>
    <t>N19_2469</t>
  </si>
  <si>
    <t>N19_2697</t>
  </si>
  <si>
    <t>N19_2731</t>
  </si>
  <si>
    <t>N19_2837</t>
  </si>
  <si>
    <t>CT11885</t>
  </si>
  <si>
    <t>N19_2881</t>
  </si>
  <si>
    <t>N19_2882</t>
  </si>
  <si>
    <t>CT12217</t>
  </si>
  <si>
    <t>N19_2884</t>
  </si>
  <si>
    <t>CT12094</t>
  </si>
  <si>
    <t>N19_2886</t>
  </si>
  <si>
    <t>CC412</t>
  </si>
  <si>
    <t>SL412</t>
  </si>
  <si>
    <t>CT12279</t>
  </si>
  <si>
    <t>N19_2918</t>
  </si>
  <si>
    <t>N19_2974</t>
  </si>
  <si>
    <t>N19_2997</t>
  </si>
  <si>
    <t>CT12079</t>
  </si>
  <si>
    <t>N19_3008</t>
  </si>
  <si>
    <t>N19_3018</t>
  </si>
  <si>
    <t>N19_3043</t>
  </si>
  <si>
    <t>N19_3069</t>
  </si>
  <si>
    <t>CT12195</t>
  </si>
  <si>
    <t>N19_3072</t>
  </si>
  <si>
    <t>CT12238</t>
  </si>
  <si>
    <t>N19_3097</t>
  </si>
  <si>
    <t>N195</t>
  </si>
  <si>
    <t>CT12149</t>
  </si>
  <si>
    <t>N20_2373</t>
  </si>
  <si>
    <t>N20_2390</t>
  </si>
  <si>
    <t>N20_2431</t>
  </si>
  <si>
    <t>CT12176</t>
  </si>
  <si>
    <t>N20_2490</t>
  </si>
  <si>
    <t>N20_2513</t>
  </si>
  <si>
    <t>CT12198</t>
  </si>
  <si>
    <t>N20_2604</t>
  </si>
  <si>
    <t>N20_2611</t>
  </si>
  <si>
    <t>N20_2612</t>
  </si>
  <si>
    <t>CT11983</t>
  </si>
  <si>
    <t>N20_2614</t>
  </si>
  <si>
    <t>CT12157</t>
  </si>
  <si>
    <t>N20_2698</t>
  </si>
  <si>
    <t>N20_2702</t>
  </si>
  <si>
    <t>N20_2732</t>
  </si>
  <si>
    <t>N20_2776</t>
  </si>
  <si>
    <t>L1007</t>
  </si>
  <si>
    <t>Slovenia</t>
  </si>
  <si>
    <t>CT11895</t>
  </si>
  <si>
    <t>L1009</t>
  </si>
  <si>
    <t>L1010</t>
  </si>
  <si>
    <t>CT11914</t>
  </si>
  <si>
    <t>L1016</t>
  </si>
  <si>
    <t>CT11915</t>
  </si>
  <si>
    <t>L1020</t>
  </si>
  <si>
    <t>CT11879</t>
  </si>
  <si>
    <t>L1027</t>
  </si>
  <si>
    <t>CT12233</t>
  </si>
  <si>
    <t>L1029</t>
  </si>
  <si>
    <t>CT10186</t>
  </si>
  <si>
    <t>L1198</t>
  </si>
  <si>
    <t>CT12120</t>
  </si>
  <si>
    <t>L1229</t>
  </si>
  <si>
    <t>CT11891</t>
  </si>
  <si>
    <t>L1324</t>
  </si>
  <si>
    <t>CT12227</t>
  </si>
  <si>
    <t>L1391</t>
  </si>
  <si>
    <t>CT11918</t>
  </si>
  <si>
    <t>L1427</t>
  </si>
  <si>
    <t>CT11877</t>
  </si>
  <si>
    <t>L1570</t>
  </si>
  <si>
    <t>CT11876</t>
  </si>
  <si>
    <t>L1574</t>
  </si>
  <si>
    <t>CT11878</t>
  </si>
  <si>
    <t>L1577</t>
  </si>
  <si>
    <t>CT11881</t>
  </si>
  <si>
    <t>L168</t>
  </si>
  <si>
    <t>CT12205</t>
  </si>
  <si>
    <t>L1682</t>
  </si>
  <si>
    <t>CT798</t>
  </si>
  <si>
    <t>L1690</t>
  </si>
  <si>
    <t>CC217</t>
  </si>
  <si>
    <t>SL217</t>
  </si>
  <si>
    <t>CT11925</t>
  </si>
  <si>
    <t>L1823</t>
  </si>
  <si>
    <t>CT11975</t>
  </si>
  <si>
    <t>L1841</t>
  </si>
  <si>
    <t>CT12193</t>
  </si>
  <si>
    <t>L1848</t>
  </si>
  <si>
    <t>CT12057</t>
  </si>
  <si>
    <t>L1851</t>
  </si>
  <si>
    <t>L1852</t>
  </si>
  <si>
    <t>ST2342</t>
  </si>
  <si>
    <t>SL2342</t>
  </si>
  <si>
    <t>CT11990</t>
  </si>
  <si>
    <t>L1862</t>
  </si>
  <si>
    <t>L1874</t>
  </si>
  <si>
    <t>CT11837</t>
  </si>
  <si>
    <t>L1876</t>
  </si>
  <si>
    <t>CT12128</t>
  </si>
  <si>
    <t>L1878</t>
  </si>
  <si>
    <t>CT12256</t>
  </si>
  <si>
    <t>L1906</t>
  </si>
  <si>
    <t>JC66</t>
  </si>
  <si>
    <t>Lm193</t>
  </si>
  <si>
    <t>Lm201</t>
  </si>
  <si>
    <t>CT11815</t>
  </si>
  <si>
    <t>Lm214</t>
  </si>
  <si>
    <t>CT11805</t>
  </si>
  <si>
    <t>Lm225</t>
  </si>
  <si>
    <t>Lm238</t>
  </si>
  <si>
    <t>Lm261</t>
  </si>
  <si>
    <t>SL323</t>
  </si>
  <si>
    <t>CT12001</t>
  </si>
  <si>
    <t>Lm270</t>
  </si>
  <si>
    <t>CT12044</t>
  </si>
  <si>
    <t>CT12226</t>
  </si>
  <si>
    <t>CT11913</t>
  </si>
  <si>
    <t>CT12034</t>
  </si>
  <si>
    <t>CDL9</t>
  </si>
  <si>
    <t>CT11829</t>
  </si>
  <si>
    <t>LmRo4</t>
  </si>
  <si>
    <t>CT11933</t>
  </si>
  <si>
    <t>CT12078</t>
  </si>
  <si>
    <t>L1907</t>
  </si>
  <si>
    <t>CT2143</t>
  </si>
  <si>
    <t>L1908</t>
  </si>
  <si>
    <t>CC195</t>
  </si>
  <si>
    <t>SL195</t>
  </si>
  <si>
    <t>CT11993</t>
  </si>
  <si>
    <t>L1909</t>
  </si>
  <si>
    <t>CT12253</t>
  </si>
  <si>
    <t>L1910</t>
  </si>
  <si>
    <t>CT12126</t>
  </si>
  <si>
    <t>L1911</t>
  </si>
  <si>
    <t>CT12046</t>
  </si>
  <si>
    <t>L1912</t>
  </si>
  <si>
    <t>CT416</t>
  </si>
  <si>
    <t>L1913</t>
  </si>
  <si>
    <t>L1914</t>
  </si>
  <si>
    <t>CT11941</t>
  </si>
  <si>
    <t>L1915</t>
  </si>
  <si>
    <t>CT12212</t>
  </si>
  <si>
    <t>L1916</t>
  </si>
  <si>
    <t>CT12124</t>
  </si>
  <si>
    <t>L1917</t>
  </si>
  <si>
    <t>CT12119</t>
  </si>
  <si>
    <t>L1918</t>
  </si>
  <si>
    <t>L1919</t>
  </si>
  <si>
    <t>CT12106</t>
  </si>
  <si>
    <t>L1920</t>
  </si>
  <si>
    <t>CC183</t>
  </si>
  <si>
    <t>SL382</t>
  </si>
  <si>
    <t>CT11968</t>
  </si>
  <si>
    <t>L1921</t>
  </si>
  <si>
    <t>CT12065</t>
  </si>
  <si>
    <t>L1922</t>
  </si>
  <si>
    <t>CT12123</t>
  </si>
  <si>
    <t>L1923</t>
  </si>
  <si>
    <t>CT12236</t>
  </si>
  <si>
    <t>L1924</t>
  </si>
  <si>
    <t>CT12142</t>
  </si>
  <si>
    <t>L1925</t>
  </si>
  <si>
    <t>CT12237</t>
  </si>
  <si>
    <t>L1926</t>
  </si>
  <si>
    <t>L1927</t>
  </si>
  <si>
    <t>CT461</t>
  </si>
  <si>
    <t>L1928</t>
  </si>
  <si>
    <t>L1929</t>
  </si>
  <si>
    <t>L1930</t>
  </si>
  <si>
    <t>L1931</t>
  </si>
  <si>
    <t>CT11835</t>
  </si>
  <si>
    <t>L1932</t>
  </si>
  <si>
    <t>CT11843</t>
  </si>
  <si>
    <t>L1933</t>
  </si>
  <si>
    <t>L1934</t>
  </si>
  <si>
    <t>L1935</t>
  </si>
  <si>
    <t>L231</t>
  </si>
  <si>
    <t>L238</t>
  </si>
  <si>
    <t>CT12169</t>
  </si>
  <si>
    <t>L246</t>
  </si>
  <si>
    <t>L251</t>
  </si>
  <si>
    <t>CT11809</t>
  </si>
  <si>
    <t>L252</t>
  </si>
  <si>
    <t>CT842</t>
  </si>
  <si>
    <t>L262</t>
  </si>
  <si>
    <t>CT12130</t>
  </si>
  <si>
    <t>L267</t>
  </si>
  <si>
    <t>CT12041</t>
  </si>
  <si>
    <t>L279</t>
  </si>
  <si>
    <t>CT12255</t>
  </si>
  <si>
    <t>L286</t>
  </si>
  <si>
    <t>CC124</t>
  </si>
  <si>
    <t>SL124</t>
  </si>
  <si>
    <t>CT1064</t>
  </si>
  <si>
    <t>L287</t>
  </si>
  <si>
    <t>CT12089</t>
  </si>
  <si>
    <t>L309</t>
  </si>
  <si>
    <t>CT590</t>
  </si>
  <si>
    <t>L324</t>
  </si>
  <si>
    <t>CT12230</t>
  </si>
  <si>
    <t>L366</t>
  </si>
  <si>
    <t>CT11966</t>
  </si>
  <si>
    <t>L373</t>
  </si>
  <si>
    <t>CT11883</t>
  </si>
  <si>
    <t>L374</t>
  </si>
  <si>
    <t>CT6522</t>
  </si>
  <si>
    <t>L382</t>
  </si>
  <si>
    <t>L386</t>
  </si>
  <si>
    <t>CT12053</t>
  </si>
  <si>
    <t>L387</t>
  </si>
  <si>
    <t>CT11957</t>
  </si>
  <si>
    <t>L389</t>
  </si>
  <si>
    <t>CT11808</t>
  </si>
  <si>
    <t>L394</t>
  </si>
  <si>
    <t>CT12084</t>
  </si>
  <si>
    <t>L395</t>
  </si>
  <si>
    <t>CT12132</t>
  </si>
  <si>
    <t>L397</t>
  </si>
  <si>
    <t>CT12114</t>
  </si>
  <si>
    <t>L398</t>
  </si>
  <si>
    <t>CC315</t>
  </si>
  <si>
    <t>SL315</t>
  </si>
  <si>
    <t>CT11856</t>
  </si>
  <si>
    <t>L399</t>
  </si>
  <si>
    <t>CT12177</t>
  </si>
  <si>
    <t>L400</t>
  </si>
  <si>
    <t>CT11807</t>
  </si>
  <si>
    <t>L405</t>
  </si>
  <si>
    <t>CT11858</t>
  </si>
  <si>
    <t>L439</t>
  </si>
  <si>
    <t>CT12251</t>
  </si>
  <si>
    <t>L441</t>
  </si>
  <si>
    <t>ST1110</t>
  </si>
  <si>
    <t>SL1110</t>
  </si>
  <si>
    <t>CT12272</t>
  </si>
  <si>
    <t>L448</t>
  </si>
  <si>
    <t>CT11889</t>
  </si>
  <si>
    <t>L449</t>
  </si>
  <si>
    <t>CT11888</t>
  </si>
  <si>
    <t>L455</t>
  </si>
  <si>
    <t>CT11880</t>
  </si>
  <si>
    <t>L478</t>
  </si>
  <si>
    <t>CC570</t>
  </si>
  <si>
    <t>SL570</t>
  </si>
  <si>
    <t>CT10440</t>
  </si>
  <si>
    <t>L479</t>
  </si>
  <si>
    <t>CT12043</t>
  </si>
  <si>
    <t>L537</t>
  </si>
  <si>
    <t>L538</t>
  </si>
  <si>
    <t>CT11825</t>
  </si>
  <si>
    <t>L572</t>
  </si>
  <si>
    <t>CT11838</t>
  </si>
  <si>
    <t>L599</t>
  </si>
  <si>
    <t>CT12086</t>
  </si>
  <si>
    <t>L628</t>
  </si>
  <si>
    <t>CT11875</t>
  </si>
  <si>
    <t>L629</t>
  </si>
  <si>
    <t>CT11882</t>
  </si>
  <si>
    <t>L634</t>
  </si>
  <si>
    <t>CT11916</t>
  </si>
  <si>
    <t>L667</t>
  </si>
  <si>
    <t>L669</t>
  </si>
  <si>
    <t>CC200</t>
  </si>
  <si>
    <t>SL200</t>
  </si>
  <si>
    <t>CT12276</t>
  </si>
  <si>
    <t>L670</t>
  </si>
  <si>
    <t>L691</t>
  </si>
  <si>
    <t>CT11865</t>
  </si>
  <si>
    <t>L710</t>
  </si>
  <si>
    <t>CT12125</t>
  </si>
  <si>
    <t>L712</t>
  </si>
  <si>
    <t>CT10313</t>
  </si>
  <si>
    <t>L715</t>
  </si>
  <si>
    <t>CT11894</t>
  </si>
  <si>
    <t>L793</t>
  </si>
  <si>
    <t>L799</t>
  </si>
  <si>
    <t>CT11873</t>
  </si>
  <si>
    <t>L829</t>
  </si>
  <si>
    <t>CT11872</t>
  </si>
  <si>
    <t>L834</t>
  </si>
  <si>
    <t>CT11859</t>
  </si>
  <si>
    <t>L869</t>
  </si>
  <si>
    <t>CT12173</t>
  </si>
  <si>
    <t>L885</t>
  </si>
  <si>
    <t>CT12122</t>
  </si>
  <si>
    <t>L914</t>
  </si>
  <si>
    <t>CT11979</t>
  </si>
  <si>
    <t>L924</t>
  </si>
  <si>
    <t>CT11978</t>
  </si>
  <si>
    <t>L939</t>
  </si>
  <si>
    <t>CT12121</t>
  </si>
  <si>
    <t>L940</t>
  </si>
  <si>
    <t>L979</t>
  </si>
  <si>
    <t>L994</t>
  </si>
  <si>
    <t>CT11857</t>
  </si>
  <si>
    <t>WRLP354</t>
  </si>
  <si>
    <t>CT9485</t>
  </si>
  <si>
    <t>WRLP380</t>
  </si>
  <si>
    <t>CT9486</t>
  </si>
  <si>
    <t>WRLP394</t>
  </si>
  <si>
    <t>CT9490</t>
  </si>
  <si>
    <t>WRLP483</t>
  </si>
  <si>
    <t>CT9491</t>
  </si>
  <si>
    <t>WRLP530</t>
  </si>
  <si>
    <t>CT9494</t>
  </si>
  <si>
    <t>WRLP533</t>
  </si>
  <si>
    <t>CT11952</t>
  </si>
  <si>
    <t>CT2563</t>
  </si>
  <si>
    <t>CT11896</t>
  </si>
  <si>
    <t>CT12187</t>
  </si>
  <si>
    <t>CT12183</t>
  </si>
  <si>
    <t>CT12111</t>
  </si>
  <si>
    <t>CC207</t>
  </si>
  <si>
    <t>SL207</t>
  </si>
  <si>
    <t>CT12277</t>
  </si>
  <si>
    <t>CT6384</t>
  </si>
  <si>
    <t>CT12135</t>
  </si>
  <si>
    <t>CT12134</t>
  </si>
  <si>
    <t>CT6400</t>
  </si>
  <si>
    <t>CT948</t>
  </si>
  <si>
    <t>CT12219</t>
  </si>
  <si>
    <t>CT2579</t>
  </si>
  <si>
    <t>CT12113</t>
  </si>
  <si>
    <t>CC218</t>
  </si>
  <si>
    <t>SL218</t>
  </si>
  <si>
    <t>CT1847</t>
  </si>
  <si>
    <t>CT11969</t>
  </si>
  <si>
    <t>CT12188</t>
  </si>
  <si>
    <t>1135_13</t>
  </si>
  <si>
    <t>CT12283</t>
  </si>
  <si>
    <t>1146_13</t>
  </si>
  <si>
    <t>CT10384</t>
  </si>
  <si>
    <t>1156_13</t>
  </si>
  <si>
    <t>1680_13</t>
  </si>
  <si>
    <t>CT9547</t>
  </si>
  <si>
    <t>1682_13</t>
  </si>
  <si>
    <t>1691_13</t>
  </si>
  <si>
    <t>CT12159</t>
  </si>
  <si>
    <t>1705_13</t>
  </si>
  <si>
    <t>CT12203</t>
  </si>
  <si>
    <t>1729_13</t>
  </si>
  <si>
    <t>1792_13</t>
  </si>
  <si>
    <t>1834_13</t>
  </si>
  <si>
    <t>1896_13</t>
  </si>
  <si>
    <t>CT12166</t>
  </si>
  <si>
    <t>1978_13</t>
  </si>
  <si>
    <t>1979_13</t>
  </si>
  <si>
    <t>2370_13</t>
  </si>
  <si>
    <t>CT597</t>
  </si>
  <si>
    <t>721_13</t>
  </si>
  <si>
    <t>723_13</t>
  </si>
  <si>
    <t>725_13</t>
  </si>
  <si>
    <t>925_13</t>
  </si>
  <si>
    <t>993_13</t>
  </si>
  <si>
    <t>OLM3</t>
  </si>
  <si>
    <t>CT12180</t>
  </si>
  <si>
    <t>OLM5</t>
  </si>
  <si>
    <t>OLM6</t>
  </si>
  <si>
    <t>OLM8</t>
  </si>
  <si>
    <t>CC2824</t>
  </si>
  <si>
    <t>SL2824</t>
  </si>
  <si>
    <t>CT11686</t>
  </si>
  <si>
    <t>OLM9</t>
  </si>
  <si>
    <t>CT7249</t>
  </si>
  <si>
    <t>OLM12</t>
  </si>
  <si>
    <t>CT2361</t>
  </si>
  <si>
    <t>OLM13</t>
  </si>
  <si>
    <t>CT11136</t>
  </si>
  <si>
    <t>OLM15</t>
  </si>
  <si>
    <t>SL150</t>
  </si>
  <si>
    <t>CT11984</t>
  </si>
  <si>
    <t>OLM20</t>
  </si>
  <si>
    <t>CT11911</t>
  </si>
  <si>
    <t>OLM21</t>
  </si>
  <si>
    <t>Processing Plant, NC</t>
  </si>
  <si>
    <t>Canine pleural fluid, NC, USA</t>
  </si>
  <si>
    <t>CT11920</t>
  </si>
  <si>
    <t>1_MI_18</t>
  </si>
  <si>
    <t>Processing Plant, MI</t>
  </si>
  <si>
    <t>CT12116</t>
  </si>
  <si>
    <t>Environment</t>
  </si>
  <si>
    <t>CT12242</t>
  </si>
  <si>
    <t>ST1264</t>
  </si>
  <si>
    <t>SL1264</t>
  </si>
  <si>
    <t>CT12005</t>
  </si>
  <si>
    <t>B2</t>
  </si>
  <si>
    <t>CP4</t>
  </si>
  <si>
    <t>fresh water</t>
  </si>
  <si>
    <t>JJ22</t>
  </si>
  <si>
    <t>Marsh Creek</t>
  </si>
  <si>
    <t>ST1046</t>
  </si>
  <si>
    <t>SL1046</t>
  </si>
  <si>
    <t>CT11989</t>
  </si>
  <si>
    <t>JJ25</t>
  </si>
  <si>
    <t>Walnut Creek</t>
  </si>
  <si>
    <t>CC1055</t>
  </si>
  <si>
    <t>SL1055</t>
  </si>
  <si>
    <t>CT12269</t>
  </si>
  <si>
    <t>JJ31</t>
  </si>
  <si>
    <t>Crabtree Creek</t>
  </si>
  <si>
    <t>JJ44</t>
  </si>
  <si>
    <t>CT11922</t>
  </si>
  <si>
    <t>JJ50</t>
  </si>
  <si>
    <t>Duke Lemur Center</t>
  </si>
  <si>
    <t>CT2424</t>
  </si>
  <si>
    <t>L1546</t>
  </si>
  <si>
    <t>Goat brain (neurolisteriosis)</t>
  </si>
  <si>
    <t>CT11890</t>
  </si>
  <si>
    <t>L264</t>
  </si>
  <si>
    <t>meat</t>
  </si>
  <si>
    <t>CT10372</t>
  </si>
  <si>
    <t>La28</t>
  </si>
  <si>
    <t>LV0157</t>
  </si>
  <si>
    <t>vegetables</t>
  </si>
  <si>
    <t>CT11947</t>
  </si>
  <si>
    <t>LV0214</t>
  </si>
  <si>
    <t>CT11868</t>
  </si>
  <si>
    <t>LV0215</t>
  </si>
  <si>
    <t>CT12064</t>
  </si>
  <si>
    <t>LV0593</t>
  </si>
  <si>
    <t>dairy product</t>
  </si>
  <si>
    <t>CT11976</t>
  </si>
  <si>
    <t>LV0952</t>
  </si>
  <si>
    <t>CT12257</t>
  </si>
  <si>
    <t>MF5651</t>
  </si>
  <si>
    <t>Meat processing environment</t>
  </si>
  <si>
    <t>CT12220</t>
  </si>
  <si>
    <t>MF5764</t>
  </si>
  <si>
    <t>Salmon processing environment</t>
  </si>
  <si>
    <t>CT12214</t>
  </si>
  <si>
    <t>MF5780</t>
  </si>
  <si>
    <t>MF5787</t>
  </si>
  <si>
    <t>MF5793</t>
  </si>
  <si>
    <t>N19_3077</t>
  </si>
  <si>
    <t>milk product</t>
  </si>
  <si>
    <t>No40_1</t>
  </si>
  <si>
    <t>No80_1</t>
  </si>
  <si>
    <t>OLM102</t>
  </si>
  <si>
    <t>Clinical, infant, Nova Scotia, CA</t>
  </si>
  <si>
    <t>CT11930</t>
  </si>
  <si>
    <t>OLM115</t>
  </si>
  <si>
    <t>CC1258</t>
  </si>
  <si>
    <t>SL1258</t>
  </si>
  <si>
    <t>CT11988</t>
  </si>
  <si>
    <t>OLM116</t>
  </si>
  <si>
    <t>OLM117</t>
  </si>
  <si>
    <t>CT11939</t>
  </si>
  <si>
    <t>OLM118</t>
  </si>
  <si>
    <t>Clinical, human, Nova Scotia, CA</t>
  </si>
  <si>
    <t>CT11934</t>
  </si>
  <si>
    <t>OLM120</t>
  </si>
  <si>
    <t>Clinical, infant, Ontario, CA</t>
  </si>
  <si>
    <t>CT11929</t>
  </si>
  <si>
    <t>OLM121</t>
  </si>
  <si>
    <t>Clinical, human, Ontario, CA</t>
  </si>
  <si>
    <t>OLM124</t>
  </si>
  <si>
    <t>CT11945</t>
  </si>
  <si>
    <t>OLM125</t>
  </si>
  <si>
    <t>CT11864</t>
  </si>
  <si>
    <t>OLM126</t>
  </si>
  <si>
    <t>Sheep, Nova Scotia, CA</t>
  </si>
  <si>
    <t>CT11869</t>
  </si>
  <si>
    <t>OLM127</t>
  </si>
  <si>
    <t>Hare, Newfoundland, Canada</t>
  </si>
  <si>
    <t>CT11940</t>
  </si>
  <si>
    <t>OLM135</t>
  </si>
  <si>
    <t>Clinical, human, MI, USA</t>
  </si>
  <si>
    <t>CT11706</t>
  </si>
  <si>
    <t>OLM136</t>
  </si>
  <si>
    <t>Clinical, human, LA, USA</t>
  </si>
  <si>
    <t>CC344</t>
  </si>
  <si>
    <t>SL344</t>
  </si>
  <si>
    <t>CT52</t>
  </si>
  <si>
    <t>OLM137</t>
  </si>
  <si>
    <t>Cow, Nova Scotia, CA</t>
  </si>
  <si>
    <t>CT12109</t>
  </si>
  <si>
    <t>OLM138</t>
  </si>
  <si>
    <t>CT11937</t>
  </si>
  <si>
    <t>OLM141</t>
  </si>
  <si>
    <t>Mud, Bucharest, Romania</t>
  </si>
  <si>
    <t>CT11898</t>
  </si>
  <si>
    <t>OLM142</t>
  </si>
  <si>
    <t>Clinical, human, Newfoundland, CA</t>
  </si>
  <si>
    <t>OLM143</t>
  </si>
  <si>
    <t>CT11900</t>
  </si>
  <si>
    <t>OLM144</t>
  </si>
  <si>
    <t>Clinical, human, Brazil</t>
  </si>
  <si>
    <t>OLM147</t>
  </si>
  <si>
    <t>Clinical, human, BC, Canada</t>
  </si>
  <si>
    <t>CT11861</t>
  </si>
  <si>
    <t>OLM151</t>
  </si>
  <si>
    <t>Clinical, infant, Newfoundland, CA</t>
  </si>
  <si>
    <t>CT11938</t>
  </si>
  <si>
    <t>OLM152</t>
  </si>
  <si>
    <t>CT11860</t>
  </si>
  <si>
    <t>OLM153</t>
  </si>
  <si>
    <t>CT379</t>
  </si>
  <si>
    <t>OLM157</t>
  </si>
  <si>
    <t>CT11935</t>
  </si>
  <si>
    <t>OLM22</t>
  </si>
  <si>
    <t>Sheep, New Zealand</t>
  </si>
  <si>
    <t>CT12003</t>
  </si>
  <si>
    <t>OLM25</t>
  </si>
  <si>
    <t>Clinical, human, Scotland</t>
  </si>
  <si>
    <t>OLM26</t>
  </si>
  <si>
    <t>Hen, England</t>
  </si>
  <si>
    <t>CT12184</t>
  </si>
  <si>
    <t>OLM28</t>
  </si>
  <si>
    <t>Pullet, England</t>
  </si>
  <si>
    <t>SL325</t>
  </si>
  <si>
    <t>CT12264</t>
  </si>
  <si>
    <t>OLM29</t>
  </si>
  <si>
    <t>CT12263</t>
  </si>
  <si>
    <t>OLM30</t>
  </si>
  <si>
    <t>Clinical, human, Uruguay</t>
  </si>
  <si>
    <t>CT11691</t>
  </si>
  <si>
    <t>OLM31</t>
  </si>
  <si>
    <t>CT12091</t>
  </si>
  <si>
    <t>OLM36</t>
  </si>
  <si>
    <t>Clinical, human, Argentina</t>
  </si>
  <si>
    <t>CT11917</t>
  </si>
  <si>
    <t>OLM37</t>
  </si>
  <si>
    <t>Sheep, IA, USA</t>
  </si>
  <si>
    <t>ST1263</t>
  </si>
  <si>
    <t>SL1263</t>
  </si>
  <si>
    <t>CT12009</t>
  </si>
  <si>
    <t>OLM38</t>
  </si>
  <si>
    <t>Calf, IA, USA</t>
  </si>
  <si>
    <t>CT12160</t>
  </si>
  <si>
    <t>OLM39</t>
  </si>
  <si>
    <t>Pig, IA, USA</t>
  </si>
  <si>
    <t>CC157</t>
  </si>
  <si>
    <t>SL2968</t>
  </si>
  <si>
    <t>CT11688</t>
  </si>
  <si>
    <t>OLM41</t>
  </si>
  <si>
    <t>Canary, Alberta, CA</t>
  </si>
  <si>
    <t>CT12107</t>
  </si>
  <si>
    <t>OLM42</t>
  </si>
  <si>
    <t>Clinical, human, Australia</t>
  </si>
  <si>
    <t>CT12136</t>
  </si>
  <si>
    <t>OLM43</t>
  </si>
  <si>
    <t>Cow, Ontario, CA</t>
  </si>
  <si>
    <t>CT7457</t>
  </si>
  <si>
    <t>OLM44</t>
  </si>
  <si>
    <t>Ferret, USA</t>
  </si>
  <si>
    <t>OLM46</t>
  </si>
  <si>
    <t>Lemming, Arctic, CA</t>
  </si>
  <si>
    <t>CT11692</t>
  </si>
  <si>
    <t>OLM51</t>
  </si>
  <si>
    <t>Clinical, human, Canada</t>
  </si>
  <si>
    <t>OLM52d</t>
  </si>
  <si>
    <t>Clinical, human, Halle, Germany</t>
  </si>
  <si>
    <t>CT12154</t>
  </si>
  <si>
    <t>OLM54d</t>
  </si>
  <si>
    <t>Clinical, human</t>
  </si>
  <si>
    <t>CT12153</t>
  </si>
  <si>
    <t>OLM55</t>
  </si>
  <si>
    <t>CT12170</t>
  </si>
  <si>
    <t>OLM56</t>
  </si>
  <si>
    <t>CT11707</t>
  </si>
  <si>
    <t>OLM59</t>
  </si>
  <si>
    <t>IV</t>
  </si>
  <si>
    <t>CC2970</t>
  </si>
  <si>
    <t>SL2970</t>
  </si>
  <si>
    <t>CT11689</t>
  </si>
  <si>
    <t>OLM61</t>
  </si>
  <si>
    <t>CT7250</t>
  </si>
  <si>
    <t>OLM62</t>
  </si>
  <si>
    <t>ST2971</t>
  </si>
  <si>
    <t>SL2971</t>
  </si>
  <si>
    <t>CT11687</t>
  </si>
  <si>
    <t>OLM63</t>
  </si>
  <si>
    <t>Goat, Japan</t>
  </si>
  <si>
    <t>CT6261</t>
  </si>
  <si>
    <t>OLM65</t>
  </si>
  <si>
    <t>Sheep, Japan</t>
  </si>
  <si>
    <t>OLM66</t>
  </si>
  <si>
    <t>CT11870</t>
  </si>
  <si>
    <t>OLM67</t>
  </si>
  <si>
    <t>Chinchila, Ontario, CA</t>
  </si>
  <si>
    <t>CT12235</t>
  </si>
  <si>
    <t>Cow fetus, Israel</t>
  </si>
  <si>
    <t>OLM70</t>
  </si>
  <si>
    <t>CT12158</t>
  </si>
  <si>
    <t>OLM71</t>
  </si>
  <si>
    <t>OLM72</t>
  </si>
  <si>
    <t>Rat, Ontario, CA</t>
  </si>
  <si>
    <t>OLM73</t>
  </si>
  <si>
    <t>Fowl, Alberta, CA</t>
  </si>
  <si>
    <t>CT12185</t>
  </si>
  <si>
    <t>OLM74</t>
  </si>
  <si>
    <t>OLM76</t>
  </si>
  <si>
    <t>CT12073</t>
  </si>
  <si>
    <t>OLM77</t>
  </si>
  <si>
    <t>CT11931</t>
  </si>
  <si>
    <t>OLM78</t>
  </si>
  <si>
    <t>OLM80</t>
  </si>
  <si>
    <t>OLM81</t>
  </si>
  <si>
    <t>CT10936</t>
  </si>
  <si>
    <t>OLM82</t>
  </si>
  <si>
    <t>Jena, Germany</t>
  </si>
  <si>
    <t>OLM84</t>
  </si>
  <si>
    <t>Clinical, human, MD, USA</t>
  </si>
  <si>
    <t>SL144</t>
  </si>
  <si>
    <t>CT12007</t>
  </si>
  <si>
    <t>OLM87</t>
  </si>
  <si>
    <t>Clinical, human, CT, USA</t>
  </si>
  <si>
    <t>CT12151</t>
  </si>
  <si>
    <t>OLM93</t>
  </si>
  <si>
    <t>CT11986</t>
  </si>
  <si>
    <t>OLM97</t>
  </si>
  <si>
    <t>CT2379</t>
  </si>
  <si>
    <t>OLM98</t>
  </si>
  <si>
    <t>CT11897</t>
  </si>
  <si>
    <t>SK2025</t>
  </si>
  <si>
    <t>Food sandwich with egg, sausage, cheese</t>
  </si>
  <si>
    <t>CT12105</t>
  </si>
  <si>
    <t>SK2509</t>
  </si>
  <si>
    <t>SK2709</t>
  </si>
  <si>
    <t>Food guacamole</t>
  </si>
  <si>
    <t>SK2710</t>
  </si>
  <si>
    <t>Food, cheese</t>
  </si>
  <si>
    <t>CC639</t>
  </si>
  <si>
    <t>SL639</t>
  </si>
  <si>
    <t>CT11982</t>
  </si>
  <si>
    <t>SK2747</t>
  </si>
  <si>
    <t>Clinical, blood, IL, USA</t>
  </si>
  <si>
    <t>CT11981</t>
  </si>
  <si>
    <t>SK2891</t>
  </si>
  <si>
    <t>Clinical, RI, USA</t>
  </si>
  <si>
    <t>CT11924</t>
  </si>
  <si>
    <t>SK2902</t>
  </si>
  <si>
    <t>Clinical; male, Mecklenburg</t>
  </si>
  <si>
    <t>SK2906</t>
  </si>
  <si>
    <t>Clinical; female, Wake County</t>
  </si>
  <si>
    <t>CT10306</t>
  </si>
  <si>
    <t>SK3095</t>
  </si>
  <si>
    <t>Chicken meat strips-cooked, NJ, USA</t>
  </si>
  <si>
    <t>CT12103</t>
  </si>
  <si>
    <t>SK3096</t>
  </si>
  <si>
    <t>Smoked Boneless Turkey Breast, HI, USA</t>
  </si>
  <si>
    <t>CT12108</t>
  </si>
  <si>
    <t>SK3150</t>
  </si>
  <si>
    <t>Clinical uterus tissue, FL, USA</t>
  </si>
  <si>
    <t>ST789</t>
  </si>
  <si>
    <t>SL780</t>
  </si>
  <si>
    <t>CT12248</t>
  </si>
  <si>
    <t>SK3161</t>
  </si>
  <si>
    <t>Clinical aspirate fluid, PA, USA</t>
  </si>
  <si>
    <t>CT11923</t>
  </si>
  <si>
    <t>SK3174</t>
  </si>
  <si>
    <t>Clinical, blood, FL, USA</t>
  </si>
  <si>
    <t>CT11980</t>
  </si>
  <si>
    <t>SK3199</t>
  </si>
  <si>
    <t>Clinical, infant CSF, Ashe, Jefferson, NC, USA</t>
  </si>
  <si>
    <t>ST1062</t>
  </si>
  <si>
    <t>SL1062</t>
  </si>
  <si>
    <t>CT12270</t>
  </si>
  <si>
    <t>SK3824</t>
  </si>
  <si>
    <t>Human clinical</t>
  </si>
  <si>
    <t>CT11851</t>
  </si>
  <si>
    <t>SK3825</t>
  </si>
  <si>
    <t>SK3826</t>
  </si>
  <si>
    <t>Human, chocolate milk outbreak</t>
  </si>
  <si>
    <t>SK3827</t>
  </si>
  <si>
    <t>SK3828</t>
  </si>
  <si>
    <t>SK3829</t>
  </si>
  <si>
    <t>SK3956</t>
  </si>
  <si>
    <t>Human blood, Frozen vegetable outbreak, TX, USA</t>
  </si>
  <si>
    <t>SK5280</t>
  </si>
  <si>
    <t>Human gastric, Frozen vegetable outbreak, TX, USA</t>
  </si>
  <si>
    <t>SK5281</t>
  </si>
  <si>
    <t>CT214</t>
  </si>
  <si>
    <t>SK5378</t>
  </si>
  <si>
    <t>Human, Frozen vegetable outbreak, TX, USA</t>
  </si>
  <si>
    <t>Clinical; Female, CSF, NC Buncombe</t>
  </si>
  <si>
    <t>SL1039</t>
  </si>
  <si>
    <t>CT11992</t>
  </si>
  <si>
    <t>SK90</t>
  </si>
  <si>
    <t>SKB100</t>
  </si>
  <si>
    <t>Bear isolate, NC</t>
  </si>
  <si>
    <t>CC838</t>
  </si>
  <si>
    <t>SL838</t>
  </si>
  <si>
    <t>CT12282</t>
  </si>
  <si>
    <t>SKB102</t>
  </si>
  <si>
    <t>Bear isolate</t>
  </si>
  <si>
    <t>ST1365</t>
  </si>
  <si>
    <t>SL1365</t>
  </si>
  <si>
    <t>CT12273</t>
  </si>
  <si>
    <t>SKB107</t>
  </si>
  <si>
    <t>CT12249</t>
  </si>
  <si>
    <t>SKB116</t>
  </si>
  <si>
    <t>CC787</t>
  </si>
  <si>
    <t>SL1362</t>
  </si>
  <si>
    <t>CT12268</t>
  </si>
  <si>
    <t>SKB117</t>
  </si>
  <si>
    <t>SKB134</t>
  </si>
  <si>
    <t>SL631</t>
  </si>
  <si>
    <t>CT11998</t>
  </si>
  <si>
    <t>SKB398</t>
  </si>
  <si>
    <t>CC912</t>
  </si>
  <si>
    <t>SL912</t>
  </si>
  <si>
    <t>CT12145</t>
  </si>
  <si>
    <t>SKB429</t>
  </si>
  <si>
    <t>CT12146</t>
  </si>
  <si>
    <t>SKB43</t>
  </si>
  <si>
    <t>CT11987</t>
  </si>
  <si>
    <t>SKB46</t>
  </si>
  <si>
    <t>SKB58</t>
  </si>
  <si>
    <t>Bear isolate, GA</t>
  </si>
  <si>
    <t>ST2973</t>
  </si>
  <si>
    <t>SL2973</t>
  </si>
  <si>
    <t>CT11690</t>
  </si>
  <si>
    <t>SKB59</t>
  </si>
  <si>
    <t>SKB61</t>
  </si>
  <si>
    <t>SL2145</t>
  </si>
  <si>
    <t>CT6963</t>
  </si>
  <si>
    <t>SKWL159</t>
  </si>
  <si>
    <t>Rocky Branch Creek</t>
  </si>
  <si>
    <t>ST1494</t>
  </si>
  <si>
    <t>SL1494</t>
  </si>
  <si>
    <t>CT12262</t>
  </si>
  <si>
    <t>SKWL305</t>
  </si>
  <si>
    <t>CT11908</t>
  </si>
  <si>
    <t>SKWL316</t>
  </si>
  <si>
    <t>CT11909</t>
  </si>
  <si>
    <t>SKWL337</t>
  </si>
  <si>
    <t>CT12144</t>
  </si>
  <si>
    <t>SKWL347</t>
  </si>
  <si>
    <t>CT12261</t>
  </si>
  <si>
    <t>SKWL356</t>
  </si>
  <si>
    <t>CC935</t>
  </si>
  <si>
    <t>SL935</t>
  </si>
  <si>
    <t>SKWL383</t>
  </si>
  <si>
    <t>CT11907</t>
  </si>
  <si>
    <t>SKWL385</t>
  </si>
  <si>
    <t>SKWL386</t>
  </si>
  <si>
    <t>ST1492</t>
  </si>
  <si>
    <t>SL1492</t>
  </si>
  <si>
    <t>CT12267</t>
  </si>
  <si>
    <t>SKWL388</t>
  </si>
  <si>
    <t>SKWL40</t>
  </si>
  <si>
    <t>CC1503</t>
  </si>
  <si>
    <t>SL1503</t>
  </si>
  <si>
    <t>CT12274</t>
  </si>
  <si>
    <t>atypical</t>
  </si>
  <si>
    <t>SKWL431</t>
  </si>
  <si>
    <t>MF7990</t>
  </si>
  <si>
    <t>MF7971</t>
  </si>
  <si>
    <t>MF7954</t>
  </si>
  <si>
    <t>MF7906</t>
  </si>
  <si>
    <t>MF7890</t>
  </si>
  <si>
    <t>MF7885</t>
  </si>
  <si>
    <t>MF7860</t>
  </si>
  <si>
    <t>MF7858</t>
  </si>
  <si>
    <t>MF7854</t>
  </si>
  <si>
    <t>MF7850</t>
  </si>
  <si>
    <t>MF7843</t>
  </si>
  <si>
    <t>MF7839</t>
  </si>
  <si>
    <t>MF7827</t>
  </si>
  <si>
    <t>MF7813</t>
  </si>
  <si>
    <t>MF7752</t>
  </si>
  <si>
    <t>MF7751</t>
  </si>
  <si>
    <t>MF7748</t>
  </si>
  <si>
    <t>MF7739</t>
  </si>
  <si>
    <t>MF7731</t>
  </si>
  <si>
    <t>MF7730</t>
  </si>
  <si>
    <t>MF7726</t>
  </si>
  <si>
    <t>MF7707</t>
  </si>
  <si>
    <t>MF7703</t>
  </si>
  <si>
    <t>MF7689</t>
  </si>
  <si>
    <t>MF7680</t>
  </si>
  <si>
    <t>MF7678</t>
  </si>
  <si>
    <t>MF7670</t>
  </si>
  <si>
    <t>MF7668</t>
  </si>
  <si>
    <t>MF7665</t>
  </si>
  <si>
    <t>MF7649</t>
  </si>
  <si>
    <t>MF7586</t>
  </si>
  <si>
    <t>MF7456</t>
  </si>
  <si>
    <t>MF7420</t>
  </si>
  <si>
    <t>MF7408</t>
  </si>
  <si>
    <t>MF7394</t>
  </si>
  <si>
    <t>MF7375</t>
  </si>
  <si>
    <t>MF7372</t>
  </si>
  <si>
    <t>MF7350</t>
  </si>
  <si>
    <t>MF7341</t>
  </si>
  <si>
    <t>MF7339</t>
  </si>
  <si>
    <t>MF7337</t>
  </si>
  <si>
    <t>MF7333</t>
  </si>
  <si>
    <t>MF7330</t>
  </si>
  <si>
    <t>MF7315</t>
  </si>
  <si>
    <t>MF7262</t>
  </si>
  <si>
    <t>MF7242</t>
  </si>
  <si>
    <t>MF7151</t>
  </si>
  <si>
    <t>MF7098</t>
  </si>
  <si>
    <t>MF7074</t>
  </si>
  <si>
    <t>MF7035</t>
  </si>
  <si>
    <t>MF7031</t>
  </si>
  <si>
    <t>MF7029</t>
  </si>
  <si>
    <t>MF6981</t>
  </si>
  <si>
    <t>MF6708</t>
  </si>
  <si>
    <t>MF6349</t>
  </si>
  <si>
    <t>MF6342</t>
  </si>
  <si>
    <t>MF6339</t>
  </si>
  <si>
    <t>MF6338</t>
  </si>
  <si>
    <t>MF6335</t>
  </si>
  <si>
    <t>MF6333</t>
  </si>
  <si>
    <t>MF6331</t>
  </si>
  <si>
    <t>MF6316</t>
  </si>
  <si>
    <t>MF6207</t>
  </si>
  <si>
    <t>MF6187</t>
  </si>
  <si>
    <t>MF6172</t>
  </si>
  <si>
    <t>MF5646</t>
  </si>
  <si>
    <t>MF5641</t>
  </si>
  <si>
    <t>MF5639</t>
  </si>
  <si>
    <t>MF5445</t>
  </si>
  <si>
    <t>MF5369</t>
  </si>
  <si>
    <t>MF5368</t>
  </si>
  <si>
    <t>MF5050</t>
  </si>
  <si>
    <t>MF4997</t>
  </si>
  <si>
    <t>MF4991</t>
  </si>
  <si>
    <t>MF4804</t>
  </si>
  <si>
    <t>MF4712</t>
  </si>
  <si>
    <t>MF4697</t>
  </si>
  <si>
    <t>MF4627</t>
  </si>
  <si>
    <t>MF4626</t>
  </si>
  <si>
    <t>MF4624</t>
  </si>
  <si>
    <t>MF4601</t>
  </si>
  <si>
    <t>MF4588</t>
  </si>
  <si>
    <t>MF4562</t>
  </si>
  <si>
    <t>MF4545</t>
  </si>
  <si>
    <t>MF4245</t>
  </si>
  <si>
    <t>MF4077</t>
  </si>
  <si>
    <t>MF4009</t>
  </si>
  <si>
    <t>MF4001</t>
  </si>
  <si>
    <t>MF3999</t>
  </si>
  <si>
    <t>MF3995</t>
  </si>
  <si>
    <t>MF3939</t>
  </si>
  <si>
    <t>MF3860</t>
  </si>
  <si>
    <t>MF2184</t>
  </si>
  <si>
    <t>MF2181</t>
  </si>
  <si>
    <t>MF2174</t>
  </si>
  <si>
    <t>MF2137</t>
  </si>
  <si>
    <t>MF1548</t>
  </si>
  <si>
    <t>MF1341</t>
  </si>
  <si>
    <t>C01</t>
  </si>
  <si>
    <t>C02</t>
  </si>
  <si>
    <t>C03</t>
  </si>
  <si>
    <t>C04</t>
  </si>
  <si>
    <t>C05</t>
  </si>
  <si>
    <t>C06</t>
  </si>
  <si>
    <t>C07</t>
  </si>
  <si>
    <t>C08</t>
  </si>
  <si>
    <t>C09</t>
  </si>
  <si>
    <t>C10</t>
  </si>
  <si>
    <t>C11</t>
  </si>
  <si>
    <t>C12</t>
  </si>
  <si>
    <t>C13</t>
  </si>
  <si>
    <t>C14</t>
  </si>
  <si>
    <t>D01</t>
  </si>
  <si>
    <t>D02</t>
  </si>
  <si>
    <t>D03</t>
  </si>
  <si>
    <t>D04</t>
  </si>
  <si>
    <t>D05</t>
  </si>
  <si>
    <t>D06</t>
  </si>
  <si>
    <t>D07</t>
  </si>
  <si>
    <t>D08</t>
  </si>
  <si>
    <t>D09</t>
  </si>
  <si>
    <t>D10</t>
  </si>
  <si>
    <t>F01</t>
  </si>
  <si>
    <t>F03</t>
  </si>
  <si>
    <t>F04</t>
  </si>
  <si>
    <t>F05</t>
  </si>
  <si>
    <t>F06</t>
  </si>
  <si>
    <t>F07</t>
  </si>
  <si>
    <t>F08</t>
  </si>
  <si>
    <t>F09</t>
  </si>
  <si>
    <t>F10</t>
  </si>
  <si>
    <t>F11</t>
  </si>
  <si>
    <t>F12</t>
  </si>
  <si>
    <t>M01</t>
  </si>
  <si>
    <t>M02</t>
  </si>
  <si>
    <t>M03</t>
  </si>
  <si>
    <t>M04</t>
  </si>
  <si>
    <t>M05</t>
  </si>
  <si>
    <t>M06</t>
  </si>
  <si>
    <t>M07</t>
  </si>
  <si>
    <t>M08</t>
  </si>
  <si>
    <t>M09</t>
  </si>
  <si>
    <t>M10</t>
  </si>
  <si>
    <t>M11</t>
  </si>
  <si>
    <t>M12</t>
  </si>
  <si>
    <t>M13</t>
  </si>
  <si>
    <t>M14</t>
  </si>
  <si>
    <t>V01</t>
  </si>
  <si>
    <t>V02</t>
  </si>
  <si>
    <t>V03</t>
  </si>
  <si>
    <t>V04</t>
  </si>
  <si>
    <t>V05</t>
  </si>
  <si>
    <t>V06</t>
  </si>
  <si>
    <t>V07</t>
  </si>
  <si>
    <t>V08</t>
  </si>
  <si>
    <t>V09</t>
  </si>
  <si>
    <t>V10</t>
  </si>
  <si>
    <t>Strain 10</t>
  </si>
  <si>
    <t>Strain 9</t>
  </si>
  <si>
    <t>Strain 8</t>
  </si>
  <si>
    <t>Strain 7</t>
  </si>
  <si>
    <t>Strain 6</t>
  </si>
  <si>
    <t>Strain 4</t>
  </si>
  <si>
    <t>Strain 5</t>
  </si>
  <si>
    <t>Strain 3</t>
  </si>
  <si>
    <t>Strain 2</t>
  </si>
  <si>
    <t>Strain 1</t>
  </si>
  <si>
    <t>L1030</t>
  </si>
  <si>
    <t>L1059</t>
  </si>
  <si>
    <t>L1064</t>
  </si>
  <si>
    <t>L1174</t>
  </si>
  <si>
    <t>L1180</t>
  </si>
  <si>
    <t>L1184</t>
  </si>
  <si>
    <t>L1237</t>
  </si>
  <si>
    <t>L124</t>
  </si>
  <si>
    <t>L1350</t>
  </si>
  <si>
    <t>L1364</t>
  </si>
  <si>
    <t>L1472</t>
  </si>
  <si>
    <t>L1485</t>
  </si>
  <si>
    <t>L1487</t>
  </si>
  <si>
    <t>L1493</t>
  </si>
  <si>
    <t>L1509</t>
  </si>
  <si>
    <t>L1517</t>
  </si>
  <si>
    <t>L1538</t>
  </si>
  <si>
    <t>L1551</t>
  </si>
  <si>
    <t>L1578</t>
  </si>
  <si>
    <t>L1598</t>
  </si>
  <si>
    <t>L1630</t>
  </si>
  <si>
    <t>L1643</t>
  </si>
  <si>
    <t>L1704</t>
  </si>
  <si>
    <t>L1747</t>
  </si>
  <si>
    <t>L1751</t>
  </si>
  <si>
    <t>L1758</t>
  </si>
  <si>
    <t>L1764</t>
  </si>
  <si>
    <t>L1767</t>
  </si>
  <si>
    <t>L1772</t>
  </si>
  <si>
    <t>L1778</t>
  </si>
  <si>
    <t>L1783a</t>
  </si>
  <si>
    <t>L1790</t>
  </si>
  <si>
    <t>L1793</t>
  </si>
  <si>
    <t>L236</t>
  </si>
  <si>
    <t>L295</t>
  </si>
  <si>
    <t>L630</t>
  </si>
  <si>
    <t>L666</t>
  </si>
  <si>
    <t>L800</t>
  </si>
  <si>
    <t>L816</t>
  </si>
  <si>
    <t>L831</t>
  </si>
  <si>
    <t>FE19-1</t>
  </si>
  <si>
    <t>LR39-1</t>
  </si>
  <si>
    <t>FE7-3</t>
  </si>
  <si>
    <t>FE8-1</t>
  </si>
  <si>
    <t>FE7-1</t>
  </si>
  <si>
    <t>OE59-1</t>
  </si>
  <si>
    <t>ScottA</t>
  </si>
  <si>
    <t>ATCC_19115</t>
  </si>
  <si>
    <t>LV0993</t>
  </si>
  <si>
    <t>LV0180</t>
  </si>
  <si>
    <t>LV0281</t>
  </si>
  <si>
    <t>LV0201</t>
  </si>
  <si>
    <t>LV0167</t>
  </si>
  <si>
    <t>LV0935</t>
  </si>
  <si>
    <t>LV0859</t>
  </si>
  <si>
    <t>LV0672</t>
  </si>
  <si>
    <t>LV0627</t>
  </si>
  <si>
    <t>LV0008</t>
  </si>
  <si>
    <t>LV0660</t>
  </si>
  <si>
    <t>LV0620</t>
  </si>
  <si>
    <t>LV1259</t>
  </si>
  <si>
    <t>LV1238</t>
  </si>
  <si>
    <t>LV1234</t>
  </si>
  <si>
    <t>LV1211</t>
  </si>
  <si>
    <t>LV0682</t>
  </si>
  <si>
    <t>LV0649</t>
  </si>
  <si>
    <t>LV0446</t>
  </si>
  <si>
    <t>LV0146</t>
  </si>
  <si>
    <t>LV0145</t>
  </si>
  <si>
    <t>LV1177</t>
  </si>
  <si>
    <t>LV1114</t>
  </si>
  <si>
    <t>LV1105</t>
  </si>
  <si>
    <t>LV1098</t>
  </si>
  <si>
    <t>LV0908</t>
  </si>
  <si>
    <t>LV0689</t>
  </si>
  <si>
    <t>LV0681</t>
  </si>
  <si>
    <t>LV0668</t>
  </si>
  <si>
    <t>LV0665</t>
  </si>
  <si>
    <t>LV0664</t>
  </si>
  <si>
    <t>LV0663</t>
  </si>
  <si>
    <t>LV0654</t>
  </si>
  <si>
    <t>LV0450</t>
  </si>
  <si>
    <t>LV0400</t>
  </si>
  <si>
    <t>LV0399</t>
  </si>
  <si>
    <t>13-LI00032-0</t>
  </si>
  <si>
    <t>13-LI00077-0</t>
  </si>
  <si>
    <t>13-LI00159-0</t>
  </si>
  <si>
    <t>13-LI00209-0</t>
  </si>
  <si>
    <t>13-LI00219-0</t>
  </si>
  <si>
    <t>13-LI00228-0</t>
  </si>
  <si>
    <t>14-LI00061-0</t>
  </si>
  <si>
    <t>14-LI00078-1</t>
  </si>
  <si>
    <t>14-LI00141-0</t>
  </si>
  <si>
    <t>14-LI00172-0</t>
  </si>
  <si>
    <t>14-LI00214-0</t>
  </si>
  <si>
    <t>14-LI00255-0</t>
  </si>
  <si>
    <t>14-LI00327-0</t>
  </si>
  <si>
    <t>15-LI00115-0</t>
  </si>
  <si>
    <t>16-LI00145-0</t>
  </si>
  <si>
    <t>16-LI00562-0</t>
  </si>
  <si>
    <t>16-LI00586-0</t>
  </si>
  <si>
    <t>18-LI00545-0</t>
  </si>
  <si>
    <t>18-LI00547-0</t>
  </si>
  <si>
    <t>18-LI00615-0</t>
  </si>
  <si>
    <t>18-LI00617-0</t>
  </si>
  <si>
    <t>18-LI01016-0</t>
  </si>
  <si>
    <t>19-LI00047-0</t>
  </si>
  <si>
    <t>19-LI00048-0</t>
  </si>
  <si>
    <t>19-LI00314-0</t>
  </si>
  <si>
    <t>19-LI00317-0</t>
  </si>
  <si>
    <t>19-LI00318-0</t>
  </si>
  <si>
    <t>19-LI00480-0</t>
  </si>
  <si>
    <t>19-LI00542-0</t>
  </si>
  <si>
    <t>19-LI00784-0</t>
  </si>
  <si>
    <t>19-LI01081-0</t>
  </si>
  <si>
    <t>19-LI01398-0</t>
  </si>
  <si>
    <t>19-LI01446-0</t>
  </si>
  <si>
    <t>19-LI01447-0</t>
  </si>
  <si>
    <t>19-LI01448-0</t>
  </si>
  <si>
    <t>19-LI01449-0</t>
  </si>
  <si>
    <t>19-LI01459-0</t>
  </si>
  <si>
    <t>19-LI01466-0</t>
  </si>
  <si>
    <t>2010-253</t>
  </si>
  <si>
    <t>2011-306</t>
  </si>
  <si>
    <t>2012-8</t>
  </si>
  <si>
    <t>2012-243</t>
  </si>
  <si>
    <t>2012-523</t>
  </si>
  <si>
    <t>20-LI00099-0</t>
  </si>
  <si>
    <t>20-LI00340-0</t>
  </si>
  <si>
    <t>20-LI00346-0</t>
  </si>
  <si>
    <t>20-LI00400-0</t>
  </si>
  <si>
    <t>20-LI00463-0</t>
  </si>
  <si>
    <t>20-LI00476-0</t>
  </si>
  <si>
    <t>20-LI00667-0</t>
  </si>
  <si>
    <t>20-LI00705-0</t>
  </si>
  <si>
    <t>20-LI00706-0</t>
  </si>
  <si>
    <t>20-LI00707-0</t>
  </si>
  <si>
    <t>20-LI00712-0</t>
  </si>
  <si>
    <t>20-LI00829-0</t>
  </si>
  <si>
    <t>20-LI00901-0</t>
  </si>
  <si>
    <t>20-LI00948-0</t>
  </si>
  <si>
    <t>20-LI00950-0</t>
  </si>
  <si>
    <t>20-LI01052-0</t>
  </si>
  <si>
    <t>20-LI01102-0</t>
  </si>
  <si>
    <t>20-LI01131-0</t>
  </si>
  <si>
    <t>20-LI01270-0</t>
  </si>
  <si>
    <t>20-LI01272-0</t>
  </si>
  <si>
    <t>20-LI01291-0</t>
  </si>
  <si>
    <t>20-LI01531-0</t>
  </si>
  <si>
    <t>20-LI01651-0</t>
  </si>
  <si>
    <t>20-LI01875-0</t>
  </si>
  <si>
    <t>21-LI00529-0</t>
  </si>
  <si>
    <t>21-LI00531-0</t>
  </si>
  <si>
    <t>21-LI00611-0</t>
  </si>
  <si>
    <t>21-LI00612-0</t>
  </si>
  <si>
    <t>N12-2082</t>
  </si>
  <si>
    <t>N12-0935</t>
  </si>
  <si>
    <t>LmS9</t>
  </si>
  <si>
    <t>N11-1547</t>
  </si>
  <si>
    <t>LmS1</t>
  </si>
  <si>
    <t>N13-0474</t>
  </si>
  <si>
    <t>N13-0369</t>
  </si>
  <si>
    <t>N13-0288</t>
  </si>
  <si>
    <t>N13-0254</t>
  </si>
  <si>
    <t>N13-0245</t>
  </si>
  <si>
    <t>N12-2229</t>
  </si>
  <si>
    <t>N12-2118</t>
  </si>
  <si>
    <t>LmE240</t>
  </si>
  <si>
    <t>N12-1667</t>
  </si>
  <si>
    <t>N12-1436</t>
  </si>
  <si>
    <t>N12-1002</t>
  </si>
  <si>
    <t>N12-0999</t>
  </si>
  <si>
    <t>N12-0796</t>
  </si>
  <si>
    <t>N12-0677</t>
  </si>
  <si>
    <t>N12-0571</t>
  </si>
  <si>
    <t>N12-0561</t>
  </si>
  <si>
    <t>N12-0494</t>
  </si>
  <si>
    <t>N12-0373</t>
  </si>
  <si>
    <t>N12-0275</t>
  </si>
  <si>
    <t>N12-0088</t>
  </si>
  <si>
    <t>N11-2554</t>
  </si>
  <si>
    <t>N11-2543</t>
  </si>
  <si>
    <t>N11-2542</t>
  </si>
  <si>
    <t>N11-2538</t>
  </si>
  <si>
    <t>N11-2345</t>
  </si>
  <si>
    <t>N11-2215</t>
  </si>
  <si>
    <t>N11-2183</t>
  </si>
  <si>
    <t>N11-1905</t>
  </si>
  <si>
    <t>N11-1845</t>
  </si>
  <si>
    <t>N11-1696</t>
  </si>
  <si>
    <t>Lm57</t>
  </si>
  <si>
    <t>N13-0047</t>
  </si>
  <si>
    <t>N12-1772</t>
  </si>
  <si>
    <t>N12-1665</t>
  </si>
  <si>
    <t>N12-1339</t>
  </si>
  <si>
    <t>N12-0160</t>
  </si>
  <si>
    <t>N11-1850</t>
  </si>
  <si>
    <t>N11-1846</t>
  </si>
  <si>
    <t>LmE162</t>
  </si>
  <si>
    <t>LmE153</t>
  </si>
  <si>
    <t>Lm8</t>
  </si>
  <si>
    <t>Lm49</t>
  </si>
  <si>
    <t>N11-1515</t>
  </si>
  <si>
    <t>N12-2386</t>
  </si>
  <si>
    <t>N12-0644</t>
  </si>
  <si>
    <t>Lm760</t>
  </si>
  <si>
    <t>Lm25/9</t>
  </si>
  <si>
    <t>N12-1914</t>
  </si>
  <si>
    <t>N11-1252</t>
  </si>
  <si>
    <t>N11-1251</t>
  </si>
  <si>
    <t>LmSB1</t>
  </si>
  <si>
    <t>LmS2</t>
  </si>
  <si>
    <t>LmE212</t>
  </si>
  <si>
    <t>N12-0367</t>
  </si>
  <si>
    <t>N13-0119</t>
  </si>
  <si>
    <t>N13-0094</t>
  </si>
  <si>
    <t>N11-1218</t>
  </si>
  <si>
    <t>Lm217</t>
  </si>
  <si>
    <t>UK</t>
  </si>
  <si>
    <t>non-typeable due to missing abcZ</t>
  </si>
  <si>
    <t>LmRo13</t>
  </si>
  <si>
    <t>LmRo5</t>
  </si>
  <si>
    <t>LmRo7</t>
  </si>
  <si>
    <t>LmRo9</t>
  </si>
  <si>
    <t>P01/012</t>
  </si>
  <si>
    <t>P01/015</t>
  </si>
  <si>
    <t>P02/003</t>
  </si>
  <si>
    <t>P02/008</t>
  </si>
  <si>
    <t>P02/011</t>
  </si>
  <si>
    <t>P04/001</t>
  </si>
  <si>
    <t>3R110-1</t>
  </si>
  <si>
    <t>H13-1</t>
  </si>
  <si>
    <t>La111</t>
  </si>
  <si>
    <t>La150</t>
  </si>
  <si>
    <t>La22</t>
  </si>
  <si>
    <t>La42</t>
  </si>
  <si>
    <t>M103-1</t>
  </si>
  <si>
    <t>M45-1</t>
  </si>
  <si>
    <t>N278-1</t>
  </si>
  <si>
    <t>No37-1</t>
  </si>
  <si>
    <t>O57</t>
  </si>
  <si>
    <t>V518a</t>
  </si>
  <si>
    <t>8_MI_12</t>
  </si>
  <si>
    <t>5_MI_39</t>
  </si>
  <si>
    <t>5_MI_27</t>
  </si>
  <si>
    <t>90a1</t>
  </si>
  <si>
    <t>L1906b1</t>
  </si>
  <si>
    <t>SK2616</t>
  </si>
  <si>
    <t>SK2835</t>
  </si>
  <si>
    <t>SK3564</t>
  </si>
  <si>
    <t>EGDe</t>
  </si>
  <si>
    <t>NCTC 11994</t>
  </si>
  <si>
    <t>LIS49</t>
  </si>
  <si>
    <t>LIS10</t>
  </si>
  <si>
    <t>LIS11</t>
  </si>
  <si>
    <t>LIS12</t>
  </si>
  <si>
    <t>LIS13</t>
  </si>
  <si>
    <t>LIS14</t>
  </si>
  <si>
    <t>LIS15</t>
  </si>
  <si>
    <t>LIS16</t>
  </si>
  <si>
    <t>LIS17</t>
  </si>
  <si>
    <t>LIS18</t>
  </si>
  <si>
    <t>LIS19</t>
  </si>
  <si>
    <t>LIS20</t>
  </si>
  <si>
    <t>LIS21</t>
  </si>
  <si>
    <t>LIS22</t>
  </si>
  <si>
    <t>LIS23</t>
  </si>
  <si>
    <t>LIS25</t>
  </si>
  <si>
    <t>LIS26</t>
  </si>
  <si>
    <t>LIS27</t>
  </si>
  <si>
    <t>LIS28</t>
  </si>
  <si>
    <t>LIS29</t>
  </si>
  <si>
    <t>LIS30</t>
  </si>
  <si>
    <t>LIS31</t>
  </si>
  <si>
    <t>LIS32</t>
  </si>
  <si>
    <t>LIS33</t>
  </si>
  <si>
    <t>LIS34</t>
  </si>
  <si>
    <t>LIS35</t>
  </si>
  <si>
    <t>LIS36</t>
  </si>
  <si>
    <t>LIS37</t>
  </si>
  <si>
    <t>LIS38</t>
  </si>
  <si>
    <t>LIS39</t>
  </si>
  <si>
    <t>LIS40</t>
  </si>
  <si>
    <t>LIS41</t>
  </si>
  <si>
    <t>LIS42</t>
  </si>
  <si>
    <t>LIS43</t>
  </si>
  <si>
    <t>LIS44</t>
  </si>
  <si>
    <t>LIS45</t>
  </si>
  <si>
    <t>LIS46</t>
  </si>
  <si>
    <t>LIS47</t>
  </si>
  <si>
    <t>LIS48</t>
  </si>
  <si>
    <t>LIS50</t>
  </si>
  <si>
    <t>93-CAN</t>
  </si>
  <si>
    <t>65_CAN</t>
  </si>
  <si>
    <t>2_CAN</t>
  </si>
  <si>
    <t>85_DEU</t>
  </si>
  <si>
    <t xml:space="preserve">Herring with spices </t>
  </si>
  <si>
    <t>Smoked salmon</t>
  </si>
  <si>
    <t>Fish with spices</t>
  </si>
  <si>
    <t>Fish in oil with herbs</t>
  </si>
  <si>
    <t>beef sausage</t>
  </si>
  <si>
    <t>raw pieces of fish meat</t>
  </si>
  <si>
    <t>bacon</t>
  </si>
  <si>
    <t>eggs</t>
  </si>
  <si>
    <t>sausage, bought</t>
  </si>
  <si>
    <t>Falafel powder</t>
  </si>
  <si>
    <t>Clinical</t>
  </si>
  <si>
    <t>clinical/host-associated</t>
  </si>
  <si>
    <t>ll</t>
  </si>
  <si>
    <t>l</t>
  </si>
  <si>
    <t>CC517</t>
  </si>
  <si>
    <t>dairy products</t>
  </si>
  <si>
    <t>fish products</t>
  </si>
  <si>
    <t>meat products</t>
  </si>
  <si>
    <t>vegetables/fruits</t>
  </si>
  <si>
    <t xml:space="preserve">Production environment </t>
  </si>
  <si>
    <t>Fish Processing Environment</t>
  </si>
  <si>
    <t>Delicatessen</t>
  </si>
  <si>
    <t>Dairy product</t>
  </si>
  <si>
    <t>Vegetables</t>
  </si>
  <si>
    <t>Meat product</t>
  </si>
  <si>
    <t>Fish product</t>
  </si>
  <si>
    <t>Human clinical, 52y M</t>
  </si>
  <si>
    <t>Human clinical, 63 y F</t>
  </si>
  <si>
    <t>Human clinical, 64y F</t>
  </si>
  <si>
    <t>Human clinical, 65 y F</t>
  </si>
  <si>
    <t>Human clinical, 30 y M</t>
  </si>
  <si>
    <t>Ham</t>
  </si>
  <si>
    <t>Shrimps</t>
  </si>
  <si>
    <t>Pasta with chicken</t>
  </si>
  <si>
    <t>Spreadable sauce</t>
  </si>
  <si>
    <t>FP Salmon</t>
  </si>
  <si>
    <t>Gravad salmon</t>
  </si>
  <si>
    <t xml:space="preserve">Food processing environment </t>
  </si>
  <si>
    <t xml:space="preserve">Meat processing environment </t>
  </si>
  <si>
    <t>Meat processing, outbreak (food isolate)</t>
  </si>
  <si>
    <t xml:space="preserve">Salmon processing environment </t>
  </si>
  <si>
    <t xml:space="preserve">ll </t>
  </si>
  <si>
    <t xml:space="preserve">Meat processing evironment </t>
  </si>
  <si>
    <t>Sheep brain (neurolisteriosis)</t>
  </si>
  <si>
    <t>Cow brain (neurolisteriosis)</t>
  </si>
  <si>
    <t>ST184</t>
  </si>
  <si>
    <t xml:space="preserve">RTE meat </t>
  </si>
  <si>
    <t>Baccala (codfish)</t>
  </si>
  <si>
    <t xml:space="preserve">CC37 </t>
  </si>
  <si>
    <t xml:space="preserve">Surface swab - chicken meat processing environment </t>
  </si>
  <si>
    <t>ST1460</t>
  </si>
  <si>
    <t xml:space="preserve">RTE fish </t>
  </si>
  <si>
    <t xml:space="preserve">Beefsteak </t>
  </si>
  <si>
    <t>Salmon</t>
  </si>
  <si>
    <t>Deer (Septicaemia)</t>
  </si>
  <si>
    <t>Meat and meat products</t>
  </si>
  <si>
    <t>Seafood</t>
  </si>
  <si>
    <t xml:space="preserve">Vegetable and salads </t>
  </si>
  <si>
    <t>Milk and milk products</t>
  </si>
  <si>
    <t xml:space="preserve">Human </t>
  </si>
  <si>
    <t>ST36</t>
  </si>
  <si>
    <t>CC739</t>
  </si>
  <si>
    <t>WET AREA DRAIN</t>
  </si>
  <si>
    <t>SWAB-FLOOR DRAIN</t>
  </si>
  <si>
    <t>COLD ROOM FLOOR SWAB</t>
  </si>
  <si>
    <t>INSIDE OF PIERCING MACHINE</t>
  </si>
  <si>
    <t>WHEEL OF CONVEYOR BELT (BLUE)</t>
  </si>
  <si>
    <t>WHEEL OF PACKING MACHINE</t>
  </si>
  <si>
    <t>SWAB OF BREAD RABLE WHEELS</t>
  </si>
  <si>
    <t>DRAIN BY SMOKER</t>
  </si>
  <si>
    <t>DRAIN COVER-LR</t>
  </si>
  <si>
    <t>BELT BUTTERING MACHINE</t>
  </si>
  <si>
    <t>Rabbit</t>
  </si>
  <si>
    <t>swab of hose from drip tray near defeathering exit</t>
  </si>
  <si>
    <t>chiller drain</t>
  </si>
  <si>
    <t>LIS01</t>
  </si>
  <si>
    <t>LIS02</t>
  </si>
  <si>
    <t>LIS03</t>
  </si>
  <si>
    <t>LIS04</t>
  </si>
  <si>
    <t>LIS05</t>
  </si>
  <si>
    <t>LIS06</t>
  </si>
  <si>
    <t>LIS07</t>
  </si>
  <si>
    <t>LIS08</t>
  </si>
  <si>
    <t>LIS09</t>
  </si>
  <si>
    <t>Germany</t>
  </si>
  <si>
    <t>Finland</t>
  </si>
  <si>
    <t>cheese Oberstdorfer Bergkäse</t>
  </si>
  <si>
    <t>cheese Kefa</t>
  </si>
  <si>
    <t>cheese Rotweinkäse</t>
  </si>
  <si>
    <t>cheese Roviner</t>
  </si>
  <si>
    <t>cheese Bergkäse pasteurisiert</t>
  </si>
  <si>
    <t>cheese Hirtenkäse</t>
  </si>
  <si>
    <t>cheese Urtaler</t>
  </si>
  <si>
    <t>cheese Weissbierkäse</t>
  </si>
  <si>
    <t>cheese</t>
  </si>
  <si>
    <t xml:space="preserve">dairy environment, known for potential to survive for long periods in dairy environment </t>
  </si>
  <si>
    <t>Isolated from unpasteurised Italian soft cheese</t>
  </si>
  <si>
    <t>Parsley</t>
  </si>
  <si>
    <t>Bean salad</t>
  </si>
  <si>
    <t>LolloBionda salad</t>
  </si>
  <si>
    <t>Camenbert 50+</t>
  </si>
  <si>
    <t>Sweet corn</t>
  </si>
  <si>
    <t>Bulgur</t>
  </si>
  <si>
    <t>Pasta salad with bacon</t>
  </si>
  <si>
    <t>Tomato</t>
  </si>
  <si>
    <t>Butter, a listerua outbreak</t>
  </si>
  <si>
    <t>cheese, swiss-type</t>
  </si>
  <si>
    <t xml:space="preserve">cheese factory </t>
  </si>
  <si>
    <t>Farm isolate</t>
  </si>
  <si>
    <t>Isolated from dairy environment</t>
  </si>
  <si>
    <t>Animal clinical</t>
  </si>
  <si>
    <t>smoked salmon</t>
  </si>
  <si>
    <t>smoked trout</t>
  </si>
  <si>
    <t>Mackerel</t>
  </si>
  <si>
    <t>Butter</t>
  </si>
  <si>
    <t>Poultry</t>
  </si>
  <si>
    <t>Lard</t>
  </si>
  <si>
    <t>Herring with spices</t>
  </si>
  <si>
    <t>Marinated fish</t>
  </si>
  <si>
    <t>Smoked herring</t>
  </si>
  <si>
    <t>Raw- dried salami</t>
  </si>
  <si>
    <t>Anchovy</t>
  </si>
  <si>
    <t>Smoked sprat</t>
  </si>
  <si>
    <t>floor</t>
  </si>
  <si>
    <t>swab</t>
  </si>
  <si>
    <t>Dairy plant swab isolate (environmental)</t>
  </si>
  <si>
    <t>Turkey franks (food)</t>
  </si>
  <si>
    <t>Semi-soft pasteurized cheese (food)</t>
  </si>
  <si>
    <t>Food (N. Engl. J. Med. 319: 823-828)</t>
  </si>
  <si>
    <t>Soft unpasteurized cheese (food)</t>
  </si>
  <si>
    <t>Dairy (environmental)</t>
  </si>
  <si>
    <t>Raw milk used to make Roquefort cheese</t>
  </si>
  <si>
    <t>Goat milk (animal)</t>
  </si>
  <si>
    <t>Sheep milk (animal)</t>
  </si>
  <si>
    <t>Chop Suey (food)</t>
  </si>
  <si>
    <t>Frozen, unpasteurized egg yolk (food)</t>
  </si>
  <si>
    <t>Chicken cuts (food)</t>
  </si>
  <si>
    <t>bovine</t>
  </si>
  <si>
    <t>Refrigerator door swab from restaurant (environmental)</t>
  </si>
  <si>
    <t>Milking cow (animal)</t>
  </si>
  <si>
    <t>Milk sample from reservoir of milking cow (animal)</t>
  </si>
  <si>
    <t>Coleslaw (food)</t>
  </si>
  <si>
    <t>Meat (food)</t>
  </si>
  <si>
    <t>08_5578</t>
  </si>
  <si>
    <t>01_7210</t>
  </si>
  <si>
    <t>MM 1_13_7</t>
  </si>
  <si>
    <t>MM 4_17_5</t>
  </si>
  <si>
    <t>NBI_RPC</t>
  </si>
  <si>
    <t>06_6837</t>
  </si>
  <si>
    <t>06_6956</t>
  </si>
  <si>
    <t>08_6040</t>
  </si>
  <si>
    <t>08_7376</t>
  </si>
  <si>
    <t>CP4 5_2</t>
  </si>
  <si>
    <t>CP5 2_1</t>
  </si>
  <si>
    <t>CP5 2_2</t>
  </si>
  <si>
    <t>G</t>
  </si>
  <si>
    <t>meat product</t>
  </si>
  <si>
    <t>sheep-rectal swab</t>
  </si>
  <si>
    <t>cow-rectal swab</t>
  </si>
  <si>
    <t>ENVIRONMENTAL SPONGE</t>
  </si>
  <si>
    <t>MORTADELLA</t>
  </si>
  <si>
    <t>FISHERY PRODUCTS</t>
  </si>
  <si>
    <t xml:space="preserve">SALSICCIA (DRIED SAUSAGE) </t>
  </si>
  <si>
    <t>SALAME</t>
  </si>
  <si>
    <t>FROZEN CRUSTACEAN</t>
  </si>
  <si>
    <t>SMOKED FISH</t>
  </si>
  <si>
    <t>CUT MEAT</t>
  </si>
  <si>
    <t>HAMBURGER</t>
  </si>
  <si>
    <t xml:space="preserve"> HAM</t>
  </si>
  <si>
    <t>SAUCE BASE</t>
  </si>
  <si>
    <t>MINCED MEAT</t>
  </si>
  <si>
    <t>HAM</t>
  </si>
  <si>
    <t>CRUSTACEAN BASED PRODUCT</t>
  </si>
  <si>
    <t>ASIAGO (CHEESE)</t>
  </si>
  <si>
    <t>FISH BASED PREPARATION</t>
  </si>
  <si>
    <t>SEME-PRESERVED MEAT PRODUCTS</t>
  </si>
  <si>
    <t>COOKED HAM</t>
  </si>
  <si>
    <t>SCAMORZA CHEESE</t>
  </si>
  <si>
    <t>SOPPRESSATA</t>
  </si>
  <si>
    <t>STRACCHINO CHEESE</t>
  </si>
  <si>
    <t>PREPARAZIONI ALIMENTARI MISTE E PREPARAZIONI GASTRONOMICHE</t>
  </si>
  <si>
    <t>COPPA</t>
  </si>
  <si>
    <t>PECORINO CHEESE</t>
  </si>
  <si>
    <t>MOZZARELLA</t>
  </si>
  <si>
    <t>SALAMELLE (SALAME)</t>
  </si>
  <si>
    <t>SEMIDRY CHEESE</t>
  </si>
  <si>
    <t>GORGONZOLA (CHEESE)</t>
  </si>
  <si>
    <t>MINCED MEAT AND MEAT BASED PREPARATION</t>
  </si>
  <si>
    <t>PORCHETTA</t>
  </si>
  <si>
    <t>COOKED COD</t>
  </si>
  <si>
    <t>PANCETTA</t>
  </si>
  <si>
    <t>salmon processing environment</t>
  </si>
  <si>
    <t>meat processing environment</t>
  </si>
  <si>
    <t>Meat processing environment, outbreak (food isolate)</t>
  </si>
  <si>
    <t>cow feces</t>
  </si>
  <si>
    <t>Cow feces  (farm environment)</t>
  </si>
  <si>
    <t>Meat cheese</t>
  </si>
  <si>
    <t>Dried sausage</t>
  </si>
  <si>
    <t>Water (water pipe in farm environment)</t>
  </si>
  <si>
    <t>Roe deer feces (farm environment)</t>
  </si>
  <si>
    <t>Water (pond in the farm environment)</t>
  </si>
  <si>
    <t>Cow udder (subclinical mastitis)</t>
  </si>
  <si>
    <t>Chicken meat</t>
  </si>
  <si>
    <t>Surface water (natural environment)</t>
  </si>
  <si>
    <t>Surface water - river (natural environment)</t>
  </si>
  <si>
    <t>Surface swab - abattoir (food-processing environment)</t>
  </si>
  <si>
    <t>Soil (farm environment)</t>
  </si>
  <si>
    <t>Manure (farm environment)</t>
  </si>
  <si>
    <t>Desert</t>
  </si>
  <si>
    <t>Minced lard</t>
  </si>
  <si>
    <t>Frozen vegetables</t>
  </si>
  <si>
    <t>Fresh fruit</t>
  </si>
  <si>
    <t>Salad</t>
  </si>
  <si>
    <t>Ready to eat dish</t>
  </si>
  <si>
    <t>Salami</t>
  </si>
  <si>
    <t>Smoked fish</t>
  </si>
  <si>
    <t>Ready to eat vegetables</t>
  </si>
  <si>
    <t>Raw spiced beef meat (RTE)</t>
  </si>
  <si>
    <t>Cooked prawn</t>
  </si>
  <si>
    <t>Raw milk</t>
  </si>
  <si>
    <t>Meat</t>
  </si>
  <si>
    <t>Marinated salmon</t>
  </si>
  <si>
    <t>Air - abattoir (food-processing environment)</t>
  </si>
  <si>
    <t>Dry-cured ham. 7 months curing</t>
  </si>
  <si>
    <t>Articulated Conveyor belt 1</t>
  </si>
  <si>
    <t>Deboning machine 1</t>
  </si>
  <si>
    <t>Molding machine</t>
  </si>
  <si>
    <t>Table 1</t>
  </si>
  <si>
    <t>Articulated Conveyor belt 2</t>
  </si>
  <si>
    <t>Table 2</t>
  </si>
  <si>
    <t>Deboning machine 2</t>
  </si>
  <si>
    <t>Non-Articulated Conveyor belt 1</t>
  </si>
  <si>
    <t>Non-Articulated Conveyor belt 2</t>
  </si>
  <si>
    <t>Dry-cured ham. 10 months curing</t>
  </si>
  <si>
    <t>Articulated Conveyor belt 3</t>
  </si>
  <si>
    <t>Iberian Chorizo</t>
  </si>
  <si>
    <t>Conveyor belt</t>
  </si>
  <si>
    <t>Slice machine</t>
  </si>
  <si>
    <t>Table</t>
  </si>
  <si>
    <t>Hopper</t>
  </si>
  <si>
    <t>Longaniza Aragón extra</t>
  </si>
  <si>
    <t>Longaniza de Aragón</t>
  </si>
  <si>
    <t>Fresh Chorizo</t>
  </si>
  <si>
    <t>Chistorra</t>
  </si>
  <si>
    <t>Chorizo cular extra</t>
  </si>
  <si>
    <t>Chorizo ibérico</t>
  </si>
  <si>
    <t>Meat mincer Entry</t>
  </si>
  <si>
    <t>kneading machine</t>
  </si>
  <si>
    <t>Cart</t>
  </si>
  <si>
    <t>Cinta lomo ibérico de bellota</t>
  </si>
  <si>
    <t>Stuffer entry</t>
  </si>
  <si>
    <t>Lomo Container</t>
  </si>
  <si>
    <t>Iberian Salchichón extra</t>
  </si>
  <si>
    <t>Salchichón extra</t>
  </si>
  <si>
    <t>Chorizo ibérico selección</t>
  </si>
  <si>
    <t>Cooked ham</t>
  </si>
  <si>
    <t>Cooked breast turkey</t>
  </si>
  <si>
    <t>Cooked ham wild boar</t>
  </si>
  <si>
    <t>Longaniza semiseca</t>
  </si>
  <si>
    <t>Longaniza</t>
  </si>
  <si>
    <t>dry-cured ham</t>
  </si>
  <si>
    <t>Knife</t>
  </si>
  <si>
    <t>Meat mincer</t>
  </si>
  <si>
    <t>Morcilla</t>
  </si>
  <si>
    <t>Lomo embuchado rojo extra</t>
  </si>
  <si>
    <t>Morcilla (blood sausage)</t>
  </si>
  <si>
    <t>Frankfurt sausage</t>
  </si>
  <si>
    <t>Sausage</t>
  </si>
  <si>
    <t>Lomo Sajonia ( Super premium)</t>
  </si>
  <si>
    <t>Milk / Milk product</t>
  </si>
  <si>
    <t>Vegetable and salads</t>
  </si>
  <si>
    <t>Meat / Meat product</t>
  </si>
  <si>
    <t>Milk product</t>
  </si>
  <si>
    <t>N20_0944</t>
  </si>
  <si>
    <t>Produce Packing Environment, non-food contact surface</t>
  </si>
  <si>
    <t>CA Raw milk (Aug-85)</t>
  </si>
  <si>
    <t>raw milk</t>
  </si>
  <si>
    <t>CA Raw milk</t>
  </si>
  <si>
    <t>silage</t>
  </si>
  <si>
    <t>udder</t>
  </si>
  <si>
    <t>udder/LAP</t>
  </si>
  <si>
    <t>CA raw milk</t>
  </si>
  <si>
    <t>Azore Cheese</t>
  </si>
  <si>
    <t>cow brain tissue</t>
  </si>
  <si>
    <t>Ground Beef/store A</t>
  </si>
  <si>
    <t>Ground Beef/store B</t>
  </si>
  <si>
    <t>uncooked hot dog</t>
  </si>
  <si>
    <t>Cow brain tissue</t>
  </si>
  <si>
    <t>Pork sausage</t>
  </si>
  <si>
    <t>chicken</t>
  </si>
  <si>
    <t>Ground Beef</t>
  </si>
  <si>
    <t>Ground Turkey</t>
  </si>
  <si>
    <t>Pork Sausage</t>
  </si>
  <si>
    <t>Ground beef</t>
  </si>
  <si>
    <t>Ground turkey</t>
  </si>
  <si>
    <t>pork sausage</t>
  </si>
  <si>
    <t>Lineage</t>
  </si>
  <si>
    <t>Denmark</t>
  </si>
  <si>
    <t>14017800-4</t>
  </si>
  <si>
    <t>14020708-01</t>
  </si>
  <si>
    <t>14025802-02</t>
  </si>
  <si>
    <t>14039942-1</t>
  </si>
  <si>
    <t>15076990-02</t>
  </si>
  <si>
    <t>15086032-2</t>
  </si>
  <si>
    <t>15087373-4</t>
  </si>
  <si>
    <t>15112778-2</t>
  </si>
  <si>
    <t>16001636-03</t>
  </si>
  <si>
    <t>17042760-01</t>
  </si>
  <si>
    <t>17046593-1</t>
  </si>
  <si>
    <t>17059008-01</t>
  </si>
  <si>
    <t>17059009-01</t>
  </si>
  <si>
    <t>18030019-05</t>
  </si>
  <si>
    <t>ERR1432968</t>
  </si>
  <si>
    <t>ERR1432990</t>
  </si>
  <si>
    <t>N12-2271</t>
  </si>
  <si>
    <t>Strain ID</t>
  </si>
  <si>
    <t>N12-2151</t>
  </si>
  <si>
    <t>18051585-02</t>
  </si>
  <si>
    <t>18027196-01</t>
  </si>
  <si>
    <t>18013657-03</t>
  </si>
  <si>
    <t>18012719-01</t>
  </si>
  <si>
    <t>18012633-01</t>
  </si>
  <si>
    <t>18010875-02</t>
  </si>
  <si>
    <t>18008535-2</t>
  </si>
  <si>
    <t>17050588-05</t>
  </si>
  <si>
    <t>17050331-04</t>
  </si>
  <si>
    <t>17040964-01</t>
  </si>
  <si>
    <t>17031500-03</t>
  </si>
  <si>
    <t>17014154-03</t>
  </si>
  <si>
    <t>17014046-05</t>
  </si>
  <si>
    <t>16007760-05</t>
  </si>
  <si>
    <t>15120858-03</t>
  </si>
  <si>
    <t>15089803-02</t>
  </si>
  <si>
    <t>15087349-1</t>
  </si>
  <si>
    <t>15087326-1</t>
  </si>
  <si>
    <t>15087275-4</t>
  </si>
  <si>
    <t>15086034-1</t>
  </si>
  <si>
    <t>15085721-1</t>
  </si>
  <si>
    <t>15084244-1</t>
  </si>
  <si>
    <t>15076729-1</t>
  </si>
  <si>
    <t>14048069-05</t>
  </si>
  <si>
    <t>14044452-01</t>
  </si>
  <si>
    <t>14044451-01</t>
  </si>
  <si>
    <t>14037235-03</t>
  </si>
  <si>
    <t>14037161-02</t>
  </si>
  <si>
    <t>14037158-01</t>
  </si>
  <si>
    <t>14036845-03</t>
  </si>
  <si>
    <t>14023972-5</t>
  </si>
  <si>
    <t>14020703-1</t>
  </si>
  <si>
    <t>Country</t>
  </si>
  <si>
    <t>Source</t>
  </si>
  <si>
    <t>+</t>
  </si>
  <si>
    <t>bcrABC</t>
  </si>
  <si>
    <t>emrC</t>
  </si>
  <si>
    <t>emrE</t>
  </si>
  <si>
    <t>qacH</t>
  </si>
  <si>
    <t>ERR4648217</t>
  </si>
  <si>
    <t>ERR4648189</t>
  </si>
  <si>
    <t>ERR4648190</t>
  </si>
  <si>
    <t>ERR4648227</t>
  </si>
  <si>
    <t>ERR4648236</t>
  </si>
  <si>
    <t>ERR4648228</t>
  </si>
  <si>
    <t>ERR4648232</t>
  </si>
  <si>
    <t>ERR4648149</t>
  </si>
  <si>
    <t>ERR4648150</t>
  </si>
  <si>
    <t>ERR4648192</t>
  </si>
  <si>
    <t>ERR4648152</t>
  </si>
  <si>
    <t>ERR4648211</t>
  </si>
  <si>
    <t>ERR4648220</t>
  </si>
  <si>
    <t>ERR4648196</t>
  </si>
  <si>
    <t>ERR4648154</t>
  </si>
  <si>
    <t>ERR4648212</t>
  </si>
  <si>
    <t>ERR4648158</t>
  </si>
  <si>
    <t>ERR4648159</t>
  </si>
  <si>
    <t>ERR4648160</t>
  </si>
  <si>
    <t>ERR4648161</t>
  </si>
  <si>
    <t>ERR4648222</t>
  </si>
  <si>
    <t>ERR4648166</t>
  </si>
  <si>
    <t>ERR4648197</t>
  </si>
  <si>
    <t>ERR4648167</t>
  </si>
  <si>
    <t>ERR4648224</t>
  </si>
  <si>
    <t>ERR4648168</t>
  </si>
  <si>
    <t>ERR4648225</t>
  </si>
  <si>
    <t>ERR4648277</t>
  </si>
  <si>
    <t>ERR4648172</t>
  </si>
  <si>
    <t>ERR4648173</t>
  </si>
  <si>
    <t>ERR4648175</t>
  </si>
  <si>
    <t>ERR4648177</t>
  </si>
  <si>
    <t>ERR4648206</t>
  </si>
  <si>
    <t>ERR4648207</t>
  </si>
  <si>
    <t>ERR4648208</t>
  </si>
  <si>
    <t>ERR4648209</t>
  </si>
  <si>
    <t>ERR1432967</t>
  </si>
  <si>
    <t>ERR1432969</t>
  </si>
  <si>
    <t>ERR1432970</t>
  </si>
  <si>
    <t>ERR1432971</t>
  </si>
  <si>
    <t>ERR1432972</t>
  </si>
  <si>
    <t>ERR1432973</t>
  </si>
  <si>
    <t>ERR1432974</t>
  </si>
  <si>
    <t>ERR1432975</t>
  </si>
  <si>
    <t>ERR1432965</t>
  </si>
  <si>
    <t>ERR1432979</t>
  </si>
  <si>
    <t>ERR1432982</t>
  </si>
  <si>
    <t>ERR1432983</t>
  </si>
  <si>
    <t>ERR1432984</t>
  </si>
  <si>
    <t>ERR1432985</t>
  </si>
  <si>
    <t>ERR1432987</t>
  </si>
  <si>
    <t>ERR1432992</t>
  </si>
  <si>
    <t>ERR1432994</t>
  </si>
  <si>
    <t>ERR1432995</t>
  </si>
  <si>
    <t>ERR1432998</t>
  </si>
  <si>
    <t>ERR1433000</t>
  </si>
  <si>
    <t>SRR13588425</t>
  </si>
  <si>
    <t>deer</t>
  </si>
  <si>
    <t>Austria</t>
  </si>
  <si>
    <t>France</t>
  </si>
  <si>
    <t>USA</t>
  </si>
  <si>
    <t>Australia</t>
  </si>
  <si>
    <t>Japan</t>
  </si>
  <si>
    <t>New Zealand</t>
  </si>
  <si>
    <t>Belgium</t>
  </si>
  <si>
    <t>Bulgaria</t>
  </si>
  <si>
    <t>Ireland</t>
  </si>
  <si>
    <t>Netherlands</t>
  </si>
  <si>
    <t>Poland</t>
  </si>
  <si>
    <t>South Africa</t>
  </si>
  <si>
    <t>Sweden</t>
  </si>
  <si>
    <t>SRR8901990</t>
  </si>
  <si>
    <t>SRR9067583</t>
  </si>
  <si>
    <t>SRR8901996</t>
  </si>
  <si>
    <t>S1</t>
  </si>
  <si>
    <t>S135</t>
  </si>
  <si>
    <t>S151</t>
  </si>
  <si>
    <t>S2</t>
  </si>
  <si>
    <t>S137</t>
  </si>
  <si>
    <t>S154</t>
  </si>
  <si>
    <t>S158</t>
  </si>
  <si>
    <t>S160</t>
  </si>
  <si>
    <t>S115</t>
  </si>
  <si>
    <t>S6</t>
  </si>
  <si>
    <t>S8</t>
  </si>
  <si>
    <t>S116</t>
  </si>
  <si>
    <t>S9</t>
  </si>
  <si>
    <t>S117</t>
  </si>
  <si>
    <t>S10</t>
  </si>
  <si>
    <t>S118</t>
  </si>
  <si>
    <t>S119</t>
  </si>
  <si>
    <t>S15</t>
  </si>
  <si>
    <t>S81</t>
  </si>
  <si>
    <t>S20</t>
  </si>
  <si>
    <t>S22</t>
  </si>
  <si>
    <t>S161</t>
  </si>
  <si>
    <t>S162</t>
  </si>
  <si>
    <t>S23</t>
  </si>
  <si>
    <t>S24</t>
  </si>
  <si>
    <t>S25</t>
  </si>
  <si>
    <t>S27</t>
  </si>
  <si>
    <t>S29</t>
  </si>
  <si>
    <t>S30</t>
  </si>
  <si>
    <t>S31</t>
  </si>
  <si>
    <t>S32</t>
  </si>
  <si>
    <t>S34</t>
  </si>
  <si>
    <t>S167</t>
  </si>
  <si>
    <t>S35</t>
  </si>
  <si>
    <t>S109</t>
  </si>
  <si>
    <t>S38</t>
  </si>
  <si>
    <t>S42</t>
  </si>
  <si>
    <t>S43</t>
  </si>
  <si>
    <t>S44</t>
  </si>
  <si>
    <t>S141</t>
  </si>
  <si>
    <t>S45</t>
  </si>
  <si>
    <t>S47</t>
  </si>
  <si>
    <t>S92</t>
  </si>
  <si>
    <t>S50</t>
  </si>
  <si>
    <t>S51</t>
  </si>
  <si>
    <t>S181</t>
  </si>
  <si>
    <t>S54</t>
  </si>
  <si>
    <t>S185</t>
  </si>
  <si>
    <t>S59</t>
  </si>
  <si>
    <t>S187</t>
  </si>
  <si>
    <t>S124</t>
  </si>
  <si>
    <t>S98</t>
  </si>
  <si>
    <t>S61</t>
  </si>
  <si>
    <t>S146</t>
  </si>
  <si>
    <t>S63</t>
  </si>
  <si>
    <t>S64</t>
  </si>
  <si>
    <t>S147</t>
  </si>
  <si>
    <t>S148</t>
  </si>
  <si>
    <t>S195</t>
  </si>
  <si>
    <t>S101</t>
  </si>
  <si>
    <t>S102</t>
  </si>
  <si>
    <t>S71</t>
  </si>
  <si>
    <t>S72</t>
  </si>
  <si>
    <t>S74</t>
  </si>
  <si>
    <t>S75</t>
  </si>
  <si>
    <t>S79</t>
  </si>
  <si>
    <r>
      <t>fish</t>
    </r>
    <r>
      <rPr>
        <sz val="11"/>
        <rFont val="Calibri"/>
        <family val="2"/>
        <scheme val="minor"/>
      </rPr>
      <t xml:space="preserve"> products</t>
    </r>
  </si>
  <si>
    <t>Romania</t>
  </si>
  <si>
    <t>Turkey</t>
  </si>
  <si>
    <t>Russia</t>
  </si>
  <si>
    <t>China</t>
  </si>
  <si>
    <t>Bovine</t>
  </si>
  <si>
    <t>Cheese</t>
  </si>
  <si>
    <t>blood sheep</t>
  </si>
  <si>
    <t>sheep</t>
  </si>
  <si>
    <t>DTU_2022_1016048_1_SI_N21_0102_R1_001</t>
  </si>
  <si>
    <t>SRR12598720_1</t>
  </si>
  <si>
    <t>DTU_2022_1016695_1_SI_1978_13_R1_001</t>
  </si>
  <si>
    <t>DTU_2022_1016840_1_SI_3564_R1_001</t>
  </si>
  <si>
    <t>DTU_2022_1016692_1_SI_1792_13_R1_001</t>
  </si>
  <si>
    <t>DTU_2022_1016698_1_SI_721_13_R1_001</t>
  </si>
  <si>
    <t>DTU_2022_1016700_1_SI_725_13_R1_001</t>
  </si>
  <si>
    <t>DTU_2022_1016701_1_SI_925_13_R1_001</t>
  </si>
  <si>
    <t>14017800-4_S14_L001_R1_001</t>
  </si>
  <si>
    <t>DTU_2022_1015754_1_SI_6052_R1_001</t>
  </si>
  <si>
    <t>DTU_2022_1016095_1_SI_N19_2431_R1_001</t>
  </si>
  <si>
    <t>DTU_2022_1016658_1_SI_WRLP380_R1_001</t>
  </si>
  <si>
    <t>DTU_2022_1016684_1_SI_1135_13_R1_001</t>
  </si>
  <si>
    <t>DTU_2022_1015584_1_SI_89_R1_001</t>
  </si>
  <si>
    <t>DTU_2022_1015583_1_SI_88_R1_001</t>
  </si>
  <si>
    <t>DTU_2022_1015701_1_SI_MF7085_R1_001</t>
  </si>
  <si>
    <t>S9_TAAGGCGA-AAGGCTAT_R1_001</t>
  </si>
  <si>
    <t>DTU_2022_1016041_1_SI_N20_2698_R1_001</t>
  </si>
  <si>
    <t>MF7031_S7_L001_R1_001</t>
  </si>
  <si>
    <t>3939_S3_L001_R1_001</t>
  </si>
  <si>
    <t>S64_CGAGGCTG-GCGTAAGA_R1_001</t>
  </si>
  <si>
    <t>DTU_2022_1016016_1_SI_N20_1781_R1_001</t>
  </si>
  <si>
    <t>DTU2016-951-PRJunkn-Listeria-monocytogenes-16007760-05_S8_L001_R1_001</t>
  </si>
  <si>
    <t>DTU_2022_1015460_1_SI_9_R1_001</t>
  </si>
  <si>
    <t>DTU_2022_1015699_1_SI_MF7075_R1_001</t>
  </si>
  <si>
    <t>DTU_2022_1015759_1_SI_6060_R1_001</t>
  </si>
  <si>
    <t>DTU_2022_1015285_1_SI_26_1a_R1_001</t>
  </si>
  <si>
    <t>DTU_2022_1015287_1_SI_369a1_R1_001</t>
  </si>
  <si>
    <t>DTU_2022_1015288_1_SI_139a5_R1_001</t>
  </si>
  <si>
    <t>DTU_2022_1015284_1_SI_517a1_R1_001</t>
  </si>
  <si>
    <t>DTU_2022_1016657_1_SI_WRLP354_R1_001</t>
  </si>
  <si>
    <t>DTU_2022_1015333_1_SI_223b4_R1_001</t>
  </si>
  <si>
    <t>DTU_2022_1016107_1_SI_N19_3008_R1_001</t>
  </si>
  <si>
    <t>DTU_2022_1016059_1_SI_N21_0434_R1_001</t>
  </si>
  <si>
    <t>MF1548_S1_L001_R1_001</t>
  </si>
  <si>
    <t>DTU_2022_1016893_1_SI_No40_1_R1_001</t>
  </si>
  <si>
    <t>DTU_2022_1016892_1_SI_3R23_1_R1_001</t>
  </si>
  <si>
    <t>DTU_2022_1016664_1_SI_1698_R1_001</t>
  </si>
  <si>
    <t>DTU_2022_1015446_1_SI_6319_R1_001</t>
  </si>
  <si>
    <t>L630_R1</t>
  </si>
  <si>
    <t>MF7074_S24_L001_R1_001</t>
  </si>
  <si>
    <t>DTU_2022_1016055_1_SI_N21_0299_R1_001</t>
  </si>
  <si>
    <t>DTU_2022_1015922_1_SI_7000_R1_001</t>
  </si>
  <si>
    <t>DTU_2022_1015298_1_SI_367b1_R1_001</t>
  </si>
  <si>
    <t>S38_GGACTCCT-CCTAGAGT_R1_001</t>
  </si>
  <si>
    <t>DTU_2022_1015506_2_SI_Lm238_R1_001</t>
  </si>
  <si>
    <t>DTU_2022_1015702_1_SI_MF7091_R1_001</t>
  </si>
  <si>
    <t>F01_S35_L001_R1_001</t>
  </si>
  <si>
    <t>DTU_2022_1016008_1_SI_N20_1224_R1_001</t>
  </si>
  <si>
    <t>DTU_2022_1015471_1_SI_20_R1_001</t>
  </si>
  <si>
    <t>DTU_2022_1016096_1_SI_N19_2469_R1_001</t>
  </si>
  <si>
    <t>20-LI00496-0_S52_R1_001</t>
  </si>
  <si>
    <t>DTU_2022_1015873_1_SI_CZ70_R1_001</t>
  </si>
  <si>
    <t>ERR4648168_1</t>
  </si>
  <si>
    <t>ERR4648159_1</t>
  </si>
  <si>
    <t>DTU_2022_1016089_1_SI_N19_1773_R1_001</t>
  </si>
  <si>
    <t>DTU_2022_1015595_1_SI_100_R1_001</t>
  </si>
  <si>
    <t>M01_S18_L001_R1_001</t>
  </si>
  <si>
    <t>ERR1432973_1</t>
  </si>
  <si>
    <t>DTU_2022_1016665_1_SI_1707_R1_001</t>
  </si>
  <si>
    <t>MF7668_S10_L001_R1_001</t>
  </si>
  <si>
    <t>ERR1432970_1</t>
  </si>
  <si>
    <t>DTU_2022_1016676_1_SI_1110_R1_001</t>
  </si>
  <si>
    <t>C02_S40_L001_R1_001</t>
  </si>
  <si>
    <t>C04_S34_L001_R1_001</t>
  </si>
  <si>
    <t>ERR4648197_1</t>
  </si>
  <si>
    <t>DTU_2022_1015833_1_SI_AU4898_R1_001</t>
  </si>
  <si>
    <t>DTU_2022_1016122_1_SI_N20_0303_R1_001</t>
  </si>
  <si>
    <t>DTU_2022_1015979_1_SI_N19_3134_R1_001</t>
  </si>
  <si>
    <t>DTU_2022_1016108_1_SI_N19_3018_R1_001</t>
  </si>
  <si>
    <t>DTU_2022_1015928_1_SI_7037_R1_001</t>
  </si>
  <si>
    <t>DTU_2022_1015308_2_SI_239a2_R1_001</t>
  </si>
  <si>
    <t>DTU_2022_1015745_1_SI_6040_R1_001</t>
  </si>
  <si>
    <t>DTU_2022_1015743_1_SI_6038_R1_001</t>
  </si>
  <si>
    <t>DTU_2022_1015747_1_SI_6042_R1_001</t>
  </si>
  <si>
    <t>15084244-1_S1_L001_R1_001</t>
  </si>
  <si>
    <t>DTU_2022_1015300_1_SI_279a2_R1_001</t>
  </si>
  <si>
    <t>SRR5764863_1</t>
  </si>
  <si>
    <t>DTU_2022_1015560_1_SI_65_R1_001</t>
  </si>
  <si>
    <t>DTU_2022_1015683_1_SI_MF4595_R1_001</t>
  </si>
  <si>
    <t>MF7730_S12_L001_R1_001</t>
  </si>
  <si>
    <t>DTU_2022_1015679_1_SI_MF4385_R1_001</t>
  </si>
  <si>
    <t>21-LI00611-0_S46_L001_R1_001</t>
  </si>
  <si>
    <t>DTU_2022_1015871_2_SI_CDL9_R1_001</t>
  </si>
  <si>
    <t>15099078_S22_L001_R1_001</t>
  </si>
  <si>
    <t>DTU_2022_1015502_2_SI_Lm193_R1_001</t>
  </si>
  <si>
    <t>DTU_2022_1015403_2_SI_LV0600_R1_001</t>
  </si>
  <si>
    <t>DTU_2022_1015858_1_SI_CDL66_R1_001</t>
  </si>
  <si>
    <t>DTU_2022_1015872_1_SI_CZ48_R1_001</t>
  </si>
  <si>
    <t>DTU_2022_1016734_1_SI_OLM46_R1_001</t>
  </si>
  <si>
    <t>ERR1432984_1</t>
  </si>
  <si>
    <t>F07_S38_L001_R1_001</t>
  </si>
  <si>
    <t>DTU_2022_1015942_1_SI_7584_R1_001</t>
  </si>
  <si>
    <t>4001_S6_L001_R1_001</t>
  </si>
  <si>
    <t>MF3999_S6_L001_R1_001</t>
  </si>
  <si>
    <t>15086220_S10_L001_R1_001</t>
  </si>
  <si>
    <t>15085721-1_S11_L001_R1_001</t>
  </si>
  <si>
    <t>L831_R1</t>
  </si>
  <si>
    <t>DTU_2022_1015325_1_SI_268b2_R1_001</t>
  </si>
  <si>
    <t>DTU_2022_1015291_1_SI_265E_R1_001</t>
  </si>
  <si>
    <t>SRR5764950_1</t>
  </si>
  <si>
    <t>SRR5764949_1</t>
  </si>
  <si>
    <t>DTU_2022_1015715_1_SI_MF7435_R1_001</t>
  </si>
  <si>
    <t>MF7649_S21_L001_R1_001</t>
  </si>
  <si>
    <t>MF7408_S13_L001_R1_001</t>
  </si>
  <si>
    <t>DTU_2022_1016871_1_SI_SK3829_R1_001</t>
  </si>
  <si>
    <t>DTU_2022_1016873_1_SI_SK3827_R1_001</t>
  </si>
  <si>
    <t>DTU_2022_1016860_1_SI_SK2025_R1_001</t>
  </si>
  <si>
    <t>DTU_2022_1015342_1_SI_179b1_R1_001</t>
  </si>
  <si>
    <t>SRR12403617_1</t>
  </si>
  <si>
    <t>DTU_2022_1015889_1_SI_LmRo10_R1_001</t>
  </si>
  <si>
    <t>DTU_2022_1016663_1_SI_318_R1_001</t>
  </si>
  <si>
    <t>DTU_2022_1016057_1_SI_N21_0326_R1_001</t>
  </si>
  <si>
    <t>DTU_2022_1015867_1_SI_CDL77_R1_001</t>
  </si>
  <si>
    <t>DTU_2022_1015899_1_SI_5007_R1_001</t>
  </si>
  <si>
    <t>DTU_2022_1015951_1_SI_7812_R1_001</t>
  </si>
  <si>
    <t>DTU_2022_1015602_1_SI_107_R1_001</t>
  </si>
  <si>
    <t>DTU_2022_1015414_1_SI_990_R1_001</t>
  </si>
  <si>
    <t>DTU_2022_1015552_1_SI_57_R1_001</t>
  </si>
  <si>
    <t>DTU_2022_1015696_1_SI_MF5994_R1_001</t>
  </si>
  <si>
    <t>DTU_2022_1015586_1_SI_91_R1_001</t>
  </si>
  <si>
    <t>17059008-01_S23_L001_R1_001</t>
  </si>
  <si>
    <t>DTU_2022_1015545_2_SI_50_R1_001</t>
  </si>
  <si>
    <t>DTU_2022_1015753_1_SI_6050_R1_001</t>
  </si>
  <si>
    <t>DTU_2022_1015690_1_SI_MF5462_R1_001</t>
  </si>
  <si>
    <t>DTU_2022_1016898_1_SI_MF5793_R1_001</t>
  </si>
  <si>
    <t>DTU_2022_1015598_1_SI_103_R1_001</t>
  </si>
  <si>
    <t>DTU_2022_1015976_1_SI_59_6_1_R1_001</t>
  </si>
  <si>
    <t>DTU_2022_1015666_1_SI_MF4267_R1_001</t>
  </si>
  <si>
    <t>DTU_2022_1016896_1_SI_MF5780_R1_001</t>
  </si>
  <si>
    <t>DTU_2022_1015933_1_SI_7185_R1_001</t>
  </si>
  <si>
    <t>DTU_2022_1015792_1_SI_6102_R1_001</t>
  </si>
  <si>
    <t>DTU_2022_1015620_1_SI_125_R1_001</t>
  </si>
  <si>
    <t>DTU_2022_1015807_1_SI_8256_R1_001</t>
  </si>
  <si>
    <t>S42_GGACTCCT-GAGCCTTA_R1_001</t>
  </si>
  <si>
    <t>DTU_2022_1015926_1_SI_7023_R1_001</t>
  </si>
  <si>
    <t>DTU_2022_1015336_1_SI_L1522a_R1_001</t>
  </si>
  <si>
    <t>DTU_2022_1015402_2_SI_LV0544_R1_001</t>
  </si>
  <si>
    <t>M09_S33_L001_R1_001</t>
  </si>
  <si>
    <t>DTU_2022_1016203_1_SI_L324_R1_001</t>
  </si>
  <si>
    <t>DTU_2022_1016819_1_SI_SKWL386_R1_001</t>
  </si>
  <si>
    <t>DTU_2022_1016820_1_SI_SKWL388_R1_001</t>
  </si>
  <si>
    <t>DTU_2022_1015578_1_SI_83_R1_001</t>
  </si>
  <si>
    <t>DTU_2022_1015684_1_SI_MF4990_R1_001</t>
  </si>
  <si>
    <t>DTU_2022_1015997_1_SI_N20_0858_R1_001</t>
  </si>
  <si>
    <t>DTU_2022_1016786_1_SI_OLM153_R1_001</t>
  </si>
  <si>
    <t>DTU_2022_1016087_1_SI_N19_1613_R1_001</t>
  </si>
  <si>
    <t>DTU_2022_1015580_1_SI_85_R1_001</t>
  </si>
  <si>
    <t>DTU_2022_1015748_1_SI_6043_R1_001</t>
  </si>
  <si>
    <t>15-LI00115-0_S19_L001_R1_001</t>
  </si>
  <si>
    <t>DTU_2022_1015755_2_SI_6053_R1_001</t>
  </si>
  <si>
    <t>DTU_2022_1015746_1_SI_6041_R1_001</t>
  </si>
  <si>
    <t>DTU_2022_1015737_1_SI_6032_R1_001</t>
  </si>
  <si>
    <t>DTU_2022_1015801_1_SI_8208_R1_001</t>
  </si>
  <si>
    <t>DTU_2022_1015736_1_SI_6031_R1_001</t>
  </si>
  <si>
    <t>DTU_2022_1015727_1_SI_6021_R1_001</t>
  </si>
  <si>
    <t>DTU_2022_1015802_1_SI_8218_R1_001</t>
  </si>
  <si>
    <t>DTU_2022_1015729_1_SI_6023_R1_001</t>
  </si>
  <si>
    <t>DTU_2022_1015882_1_SI_3472_R1_001</t>
  </si>
  <si>
    <t>DTU_2022_1015856_1_SI_CDL64_R1_001</t>
  </si>
  <si>
    <t>DTU_2022_1015314_1_SI_180A_R1_001</t>
  </si>
  <si>
    <t>DTU_2022_1015407_2_SI_LV1388_R1_001</t>
  </si>
  <si>
    <t>DTU_2022_1015757_1_SI_6056_R1_001</t>
  </si>
  <si>
    <t>DTU_2022_1016081_1_SI_N19_0790_R1_001</t>
  </si>
  <si>
    <t>DTU_2022_1015685_1_SI_MF5024_R1_001</t>
  </si>
  <si>
    <t>DTU_2022_1015603_1_SI_108_R1_001</t>
  </si>
  <si>
    <t>DTU_2022_1016693_1_SI_1834_13_R1_001</t>
  </si>
  <si>
    <t>DTU_2022_1015411_1_SI_968_R1_001</t>
  </si>
  <si>
    <t>DTU_2022_1016687_1_SI_1680_13_R1_001</t>
  </si>
  <si>
    <t>DTU_2022_1015412_1_SI_971_R1_001</t>
  </si>
  <si>
    <t>DTU_2022_1016702_1_SI_993_13_R1_001</t>
  </si>
  <si>
    <t>DTU_2022_1015450_1_SI_15502_R1_001</t>
  </si>
  <si>
    <t>DTU_2022_1016191_1_SI_L231_R1_001</t>
  </si>
  <si>
    <t>DTU_2022_1016049_1_SI_N21_0121_R1_001</t>
  </si>
  <si>
    <t>DTU_2022_1015993_1_SI_N20_0805_R1_001</t>
  </si>
  <si>
    <t>DTU2019-2029-PRJ1196-Listeria-monocytogenes-8_R1_001</t>
  </si>
  <si>
    <t>DTU_2022_1015495_1_SI_Lm129_R1_001</t>
  </si>
  <si>
    <t>DTU_2022_1016866_1_SI_SK2906_R1_001</t>
  </si>
  <si>
    <t>DTU_2022_1015420_1_SI_1002_R1_001</t>
  </si>
  <si>
    <t>L1538_1</t>
  </si>
  <si>
    <t>DTU_2022_1015756_1_SI_6054_R1_001</t>
  </si>
  <si>
    <t>DTU_2022_1015798_1_SI_6108_R1_001</t>
  </si>
  <si>
    <t>DTU_2022_1015794_1_SI_6104_R1_001</t>
  </si>
  <si>
    <t>DTU_2022_1015795_1_SI_6105_R1_001</t>
  </si>
  <si>
    <t>DTU_2022_1016166_1_SI_L1911_R1_001</t>
  </si>
  <si>
    <t>DTU_2022_1015791_1_SI_6100_R1_001</t>
  </si>
  <si>
    <t>DTU2015_1176_PRJ12345_listeria_subsp._15120858_03_R1</t>
  </si>
  <si>
    <t>DTU_2022_1015919_1_SI_6728_R1_001</t>
  </si>
  <si>
    <t>17059009-01_S24_L001_R1_001</t>
  </si>
  <si>
    <t>17046593-1_S20_L001_R1_001</t>
  </si>
  <si>
    <t>17054682_S42_L001_R1_001</t>
  </si>
  <si>
    <t>DTU_2022_1015573_1_SI_78_R1_001</t>
  </si>
  <si>
    <t>DTU_2022_1015874_1_SI_F18_R1_001</t>
  </si>
  <si>
    <t>2010-253_S17_L001_R1_001</t>
  </si>
  <si>
    <t>DTU_2022_1015554_1_SI_59_R1_001</t>
  </si>
  <si>
    <t>DTU_2022_1015575_1_SI_80_R1_001</t>
  </si>
  <si>
    <t>15112778-2_S23_L001_R1_001</t>
  </si>
  <si>
    <t>DTU_2022_1015576_1_SI_81_R1_001</t>
  </si>
  <si>
    <t>DTU_2022_1015556_1_SI_61_R1_001</t>
  </si>
  <si>
    <t>DTU_2022_1016208_1_SI_L386_R1_001</t>
  </si>
  <si>
    <t>15086034-1_S5_L001_R1_001</t>
  </si>
  <si>
    <t>16-LI00145-0_S30_L001_R1_001</t>
  </si>
  <si>
    <t>MF7035_S11_L001_R1_001</t>
  </si>
  <si>
    <t>DTU_2022_1015660_1_SI_MF3882_R1_001</t>
  </si>
  <si>
    <t>DTU_2022_1015391_2_SI_JC95_R1_001</t>
  </si>
  <si>
    <t>DTU_2022_1015418_1_SI_1000_R1_001</t>
  </si>
  <si>
    <t>DTU_2022_1015419_1_SI_1001_R1_001</t>
  </si>
  <si>
    <t>DTU_2022_1015410_1_SI_85_R1_001</t>
  </si>
  <si>
    <t>DTU_2022_1016134_1_SI_L1027_R1_001</t>
  </si>
  <si>
    <t>DTU_2022_1016841_1_SI_SKB398_R1_001</t>
  </si>
  <si>
    <t>DTU_2022_1016828_1_SI_JJ25_R1_001</t>
  </si>
  <si>
    <t>DTU2019-2050-PRJ1196-Listeria-monocytogenes-29_R1_001</t>
  </si>
  <si>
    <t>DTU_2022_1015710_1_SI_MF7402_R1_001</t>
  </si>
  <si>
    <t>DTU_2022_1015344_1_SI_82b4_R1_001</t>
  </si>
  <si>
    <t>DTU_2022_1015293_1_SI_82a6_R1_001</t>
  </si>
  <si>
    <t>17031500-03_S22_L001_R1_001</t>
  </si>
  <si>
    <t>DTU_2022_1015719_1_SI_MF7632_R1_001</t>
  </si>
  <si>
    <t>DTU_2022_1015650_1_SI_MF2176_R1_001</t>
  </si>
  <si>
    <t>DTU_2022_1015635_1_SI_MF2158_R1_001</t>
  </si>
  <si>
    <t>DTU_2022_1015619_1_SI_124_R1_001</t>
  </si>
  <si>
    <t>DTU_2022_1015999_1_SI_N20_0916_R1_001</t>
  </si>
  <si>
    <t>DTU_2022_1015920_1_SI_6790_R1_001</t>
  </si>
  <si>
    <t>DTU_2022_1015982_1_SI_N20_0558_R1_001</t>
  </si>
  <si>
    <t>DTU_2022_1016722_1_SI_OLM28_R1_001</t>
  </si>
  <si>
    <t>DTU_2022_1016072_1_SI_N19_0345_R1_001</t>
  </si>
  <si>
    <t>DTU_2022_1016035_1_SI_N20_2490_R1_001</t>
  </si>
  <si>
    <t>DTU_2022_1016127_1_SI_N20_0527_R1_001</t>
  </si>
  <si>
    <t>DTU_2022_1016050_1_SI_N21_0165_R1_001</t>
  </si>
  <si>
    <t>DTU_2022_1015561_1_SI_66_R1_001</t>
  </si>
  <si>
    <t>DTU_2022_1015599_1_SI_104_R1_001</t>
  </si>
  <si>
    <t>ERR1432968_1</t>
  </si>
  <si>
    <t>15087349-1_S1_L001_R1_001</t>
  </si>
  <si>
    <t>DTU_2022_1015312_2_SI_143a2_R1_001</t>
  </si>
  <si>
    <t>DTU_2022_1016784_1_SI_OLM151_R1_001</t>
  </si>
  <si>
    <t>DTU_2022_1016027_1_SI_N20_2202_R1_001</t>
  </si>
  <si>
    <t>L1630_1</t>
  </si>
  <si>
    <t>DTU_2022_1015813_1_SI_8281_R1_001</t>
  </si>
  <si>
    <t>DTU_2022_1015789_1_SI_6098_R1_001</t>
  </si>
  <si>
    <t>DTU_2022_1015787_1_SI_6095_R1_001</t>
  </si>
  <si>
    <t>DTU_2022_1015790_1_SI_6099_R1_001</t>
  </si>
  <si>
    <t>DTU_2022_1015786_1_SI_6094_R1_001</t>
  </si>
  <si>
    <t>DTU_2022_1015812_1_SI_8278_R1_001</t>
  </si>
  <si>
    <t>DTU_2022_1015814_1_SI_8284_R1_001</t>
  </si>
  <si>
    <t>DTU_2022_1015739_1_SI_6034_R1_001</t>
  </si>
  <si>
    <t>DTU_2022_1015334_1_SI_158a3_R1_001</t>
  </si>
  <si>
    <t>DTU_2022_1016045_1_SI_N21_0042_R1_001</t>
  </si>
  <si>
    <t>DTU_2022_1016052_1_SI_N21_0206_R1_001</t>
  </si>
  <si>
    <t>ERR4648209_1</t>
  </si>
  <si>
    <t>DTU_2022_1016691_1_SI_1729_13_R1_001</t>
  </si>
  <si>
    <t>DTU_2022_1015797_1_SI_6107_R1_001</t>
  </si>
  <si>
    <t>DTU_2022_1016118_1_SI_N20_0150_R1_001</t>
  </si>
  <si>
    <t>DTU_2022_1015875_1_SI_F19_R1_001</t>
  </si>
  <si>
    <t>DTU_2022_1016078_1_SI_N19_0701_R1_001</t>
  </si>
  <si>
    <t>DTU_2022_1015632_1_SI_MF2153_R1_001</t>
  </si>
  <si>
    <t>DTU_2022_1016093_1_SI_N19_2360_R1_001</t>
  </si>
  <si>
    <t>DTU_2022_1015725_1_SI_F02_R1_001</t>
  </si>
  <si>
    <t>DTU_2022_1016077_1_SI_N19_0700_R1_001</t>
  </si>
  <si>
    <t>DTU_2022_1016051_1_SI_N21_0201_R1_001</t>
  </si>
  <si>
    <t>DTU_2022_1016064_1_SI_N13_0255_R1_001</t>
  </si>
  <si>
    <t>DTU_2022_1015577_1_SI_82_R1_001</t>
  </si>
  <si>
    <t>S8_TAAGGCGA-CTATTAAG_R1_001</t>
  </si>
  <si>
    <t>DTU_2022_1015733_1_SI_6027_R1_001</t>
  </si>
  <si>
    <t>DTU_2022_1015734_1_SI_6028_R1_001</t>
  </si>
  <si>
    <t>DTU_2022_1015728_1_SI_6022_R1_001</t>
  </si>
  <si>
    <t>DTU_2022_1016023_1_SI_N20_2102_R1_001</t>
  </si>
  <si>
    <t>DTU_2022_1015898_1_SI_5605_R1_001</t>
  </si>
  <si>
    <t>L1790_1</t>
  </si>
  <si>
    <t>DTU_2022_1015876_1_SI_IR6179_R1_001</t>
  </si>
  <si>
    <t>ERR4648149_1</t>
  </si>
  <si>
    <t>DTU_2022_1015800_1_SI_6110_R1_001</t>
  </si>
  <si>
    <t>DTU_2022_1015752_1_SI_6049_R1_001</t>
  </si>
  <si>
    <t>DTU_2022_1015533_2_SI_38_R1_001</t>
  </si>
  <si>
    <t>F08_S27_L001_R1_001</t>
  </si>
  <si>
    <t>DTU2016-386-PRJunkn-Listeria-subsp-1600-1636-03_S10_L001_R1_001</t>
  </si>
  <si>
    <t>ERR1432983_1</t>
  </si>
  <si>
    <t>15076729-01_S23_L001_R1_001</t>
  </si>
  <si>
    <t>DTU_2022_1015930_1_SI_7064_R1_001</t>
  </si>
  <si>
    <t>14039942-1_S20_L001_R1_001</t>
  </si>
  <si>
    <t>S23_AGGCAGAA-GCGTAAGA_R1_001</t>
  </si>
  <si>
    <t>DTU_2022_1015519_1_SI_24_R1_001</t>
  </si>
  <si>
    <t>DTU_2022_1016227_1_SI_L479_R1_001</t>
  </si>
  <si>
    <t>DTU_2022_1015318_1_SI_414a1_R1_001</t>
  </si>
  <si>
    <t>MF7689_S12_L001_R1_001</t>
  </si>
  <si>
    <t>DTU_2022_1016135_1_SI_L1029_R1_001</t>
  </si>
  <si>
    <t>L1180_R1</t>
  </si>
  <si>
    <t>L800_R1</t>
  </si>
  <si>
    <t>L816_R1</t>
  </si>
  <si>
    <t>DTU_2022_1015438_1_SI_6272_R1_001</t>
  </si>
  <si>
    <t>DTU_2022_1016238_1_SI_L667_R1_001</t>
  </si>
  <si>
    <t>DTU_2022_1016139_1_SI_L1324_R1_001</t>
  </si>
  <si>
    <t>DTU_2022_1015897_1_SI_7605_R1_001</t>
  </si>
  <si>
    <t>DTU_2022_1016823_1_SI_SKWL431_R1_001</t>
  </si>
  <si>
    <t>DTU_2022_1016066_1_SI_N14_0152_R1_001</t>
  </si>
  <si>
    <t>13-LI00159-0_S2_L001_R1_001</t>
  </si>
  <si>
    <t>DTU2019-2051-PRJ1196-Listeria-monocytogenes-30_R1_001</t>
  </si>
  <si>
    <t>DTU_2022_1015838_1_SI_CDL150_R1_001</t>
  </si>
  <si>
    <t>DTU2019-2048-PRJ1196-Listeria-monocytogenes-27_R1_001</t>
  </si>
  <si>
    <t>DTU_2022_1015716_1_SI_MF7627_R1_001</t>
  </si>
  <si>
    <t>S81_GTAGAGGA-CCTAGAGT_R1_001</t>
  </si>
  <si>
    <t>413002239_S10_L001_R1_001</t>
  </si>
  <si>
    <t>DTU2016-387-PRJunkn-Listeria-subsp-16003017_S11_L001_R1_001</t>
  </si>
  <si>
    <t>DTU2019-2049-PRJ1196-Listeria-monocytogenes-28_R1_001</t>
  </si>
  <si>
    <t>DTU_2022_1015721_1_SI_MF7638_R1_001</t>
  </si>
  <si>
    <t>DTU_2022_1015649_1_SI_MF2173_R1_001</t>
  </si>
  <si>
    <t>DTU_2022_1015711_1_SI_MF7405_R1_001</t>
  </si>
  <si>
    <t>DTU_2022_1016036_1_SI_N20_2513_R1_001</t>
  </si>
  <si>
    <t>MF6316_1</t>
  </si>
  <si>
    <t>DTU_2022_1015306_1_SI_L0228_R1_001</t>
  </si>
  <si>
    <t>DTU_2022_1016054_1_SI_N21_0274_R1_001</t>
  </si>
  <si>
    <t>DTU_2022_1016013_1_SI_N20_1590_R1_001</t>
  </si>
  <si>
    <t>DTU_2022_1015974_1_SI_6541_R1_001</t>
  </si>
  <si>
    <t>DTU_2022_1016723_1_SI_OLM29_R1_001</t>
  </si>
  <si>
    <t>DTU_2022_1016019_1_SI_N20_1949_R1_001</t>
  </si>
  <si>
    <t>DTU_2022_1015907_1_SI_3493_R1_001</t>
  </si>
  <si>
    <t>DTU_2022_1015839_1_SI_CDL154_R1_001</t>
  </si>
  <si>
    <t>DTU_2022_1016720_1_SI_OLM25_R1_001</t>
  </si>
  <si>
    <t>DTU_2022_1015830_1_SI_3261_R1_001</t>
  </si>
  <si>
    <t>DTU_2022_1015568_1_SI_73_R1_001</t>
  </si>
  <si>
    <t>DTU_2022_1016795_1_SI_SKWL316_R1_001</t>
  </si>
  <si>
    <t>DTU_2022_1015558_1_SI_63_R1_001</t>
  </si>
  <si>
    <t>DTU_2022_1015529_1_SI_34_R1_001</t>
  </si>
  <si>
    <t>DTU_2022_1015305_1_SI_18_a4_R1_001</t>
  </si>
  <si>
    <t>DTU_2022_1015608_1_SI_113_R1_001</t>
  </si>
  <si>
    <t>DTU_2022_1015348_1_SI_L0623_R1_001</t>
  </si>
  <si>
    <t>20-LI00706-0_S15_R1_001</t>
  </si>
  <si>
    <t>C08_S35_L001_R1_001</t>
  </si>
  <si>
    <t>DTU_2022_1016022_1_SI_N20_2057_R1_001</t>
  </si>
  <si>
    <t>14020708-01_S19_L001_R1_001</t>
  </si>
  <si>
    <t>DTU_2022_1015865_1_SI_CDL75_R1_001</t>
  </si>
  <si>
    <t>18-LI00617-0_S18_L001_R1_001</t>
  </si>
  <si>
    <t>DTU_2022_1015515_1_SI_Lm327_R1_001</t>
  </si>
  <si>
    <t>DTU_2022_1015513_1_SI_Lm307_R1_001</t>
  </si>
  <si>
    <t>DTU_2022_1015517_1_SI_Lm341_R1_001</t>
  </si>
  <si>
    <t>DTU_2022_1015409_2_SI_LV0360_R1_001</t>
  </si>
  <si>
    <t>18-LI01016-0_S27_L001_R1_001</t>
  </si>
  <si>
    <t>DTU_2022_1015703_1_SI_MF7322_R1_001</t>
  </si>
  <si>
    <t>DTU_2022_1015714_1_SI_MF7419_R1_001</t>
  </si>
  <si>
    <t>DTU_2022_1015618_1_SI_123_R1_001</t>
  </si>
  <si>
    <t>DTU_2022_1015616_1_SI_121_R1_001</t>
  </si>
  <si>
    <t>DTU_2022_1015788_1_SI_6097_R1_001</t>
  </si>
  <si>
    <t>DTU_2022_1015347_1_SI_L0720_R1_001</t>
  </si>
  <si>
    <t>MF7665_S7_L001_R1_001</t>
  </si>
  <si>
    <t>DTU_2022_1015416_1_SI_994_R1_001</t>
  </si>
  <si>
    <t>DTU_2022_1015417_1_SI_999_R1_001</t>
  </si>
  <si>
    <t>DTU_2022_1016190_1_SI_L1935_R1_001</t>
  </si>
  <si>
    <t>DTU_2022_1015784_1_SI_6091_R1_001</t>
  </si>
  <si>
    <t>DTU_2022_1016861_1_SI_SK2709_R1_001</t>
  </si>
  <si>
    <t>19-LI01459-0_S61_R1_001</t>
  </si>
  <si>
    <t>DTU_2022_1015740_1_SI_6035_R1_001</t>
  </si>
  <si>
    <t>DTU_2022_1015427_1_SI_1748_R1_001</t>
  </si>
  <si>
    <t>DTU_2022_1015503_2_SI_Lm201_R1_001</t>
  </si>
  <si>
    <t>DTU_2022_1015687_1_SI_MF5236_R1_001</t>
  </si>
  <si>
    <t>DTU_2022_1015422_1_SI_1425_R1_001</t>
  </si>
  <si>
    <t>DTU_2022_1015467_1_SI_16_R1_001</t>
  </si>
  <si>
    <t>DTU_2022_1015633_1_SI_MF2156_R1_001</t>
  </si>
  <si>
    <t>DTU_2022_1016084_1_SI_N19_1357_R1_001</t>
  </si>
  <si>
    <t>DTU_2022_1016117_1_SI_N20_0149_R1_001</t>
  </si>
  <si>
    <t>DTU_2022_1015832_1_SI_AU4423_R1_001</t>
  </si>
  <si>
    <t>DTU_2022_1016097_1_SI_N19_2697_R1_001</t>
  </si>
  <si>
    <t>DTU2019-2061-PRJ1196-Listeria-monocytogenes-40_R1_001</t>
  </si>
  <si>
    <t>17042760-01_S24_L001_R1_001</t>
  </si>
  <si>
    <t>DTU_2022_1015310_1_SI_236a1_R1_001</t>
  </si>
  <si>
    <t>DTU_2022_1015868_1_SI_CDL78_R1_001</t>
  </si>
  <si>
    <t>DTU_2022_1015903_1_SI_3253_R1_001</t>
  </si>
  <si>
    <t>S61_CGAGGCTG-TCGACTAG_R1_001</t>
  </si>
  <si>
    <t>S31_TCCTGAGC-GCGTAAGA_R1_001</t>
  </si>
  <si>
    <t>DTU_2022_1015555_1_SI_60_R1_001</t>
  </si>
  <si>
    <t>S44_TAGGCATG-TCGACTAG_R1_001</t>
  </si>
  <si>
    <t>S75_AAGAGGCA-AAGGCTAT_R1_001</t>
  </si>
  <si>
    <t>14044452-1_S13_L001_R1_001</t>
  </si>
  <si>
    <t>DTU_2022_1016163_1_SI_L1908_R1_001</t>
  </si>
  <si>
    <t>MF5368_S15_L001_R1_001</t>
  </si>
  <si>
    <t>DTU_2022_1016067_1_SI_N14_0260_R1_001</t>
  </si>
  <si>
    <t>DTU_2022_1016114_1_SI_N195_R1_001</t>
  </si>
  <si>
    <t>MF6708_S1_L001_R1_001</t>
  </si>
  <si>
    <t>MF6342_S15_L001_R1_001</t>
  </si>
  <si>
    <t>DTU_2022_1015731_1_SI_6025_R1_001</t>
  </si>
  <si>
    <t>DTU_2022_1015299_1_SI_360b1_R1_001</t>
  </si>
  <si>
    <t>DTU_2022_1015434_1_SI_6235_R1_001</t>
  </si>
  <si>
    <t>DTU_2022_1015430_1_SI_6220_R1_001</t>
  </si>
  <si>
    <t>DTU_2022_1016798_1_SI_SKWL347_R1_001</t>
  </si>
  <si>
    <t>DTU_2022_1016758_1_SI_OLM87_R1_001</t>
  </si>
  <si>
    <t>20-LI01272-0_S15_L001_R1_001</t>
  </si>
  <si>
    <t>DTU2019-2070-PRJ1196-Listeria-monocytogenes-49_R1_001</t>
  </si>
  <si>
    <t>DTU_2022_1016696_1_SI_1979_13_R1_001</t>
  </si>
  <si>
    <t>DTU_2022_1016685_1_SI_1146_13_R1_001</t>
  </si>
  <si>
    <t>SRR11362111_1</t>
  </si>
  <si>
    <t>S92_GCTCATGA-AAGGCTAT_R1_001</t>
  </si>
  <si>
    <t>S101_ATCTCAGG-GAGCCTTA_R1_001</t>
  </si>
  <si>
    <t>DTU-2021-1010560-1-SI-LT13_R1_001</t>
  </si>
  <si>
    <t>DTU_2022_1016775_1_SI_OLM136_R1_001</t>
  </si>
  <si>
    <t>DTU_2022_1016794_1_SI_SKWL159_R1_001</t>
  </si>
  <si>
    <t>SRR5765008_1</t>
  </si>
  <si>
    <t>DTU_2022_1016681_1_SI_3942_R1_001</t>
  </si>
  <si>
    <t>DTU_2022_1015718_1_SI_MF7631_R1_001</t>
  </si>
  <si>
    <t>DTU_2022_1016674_1_SI_65_R1_001</t>
  </si>
  <si>
    <t>DTU_2022_1015405_2_SI_LV0906_R1_001</t>
  </si>
  <si>
    <t>ERR1432998_1</t>
  </si>
  <si>
    <t>DTU_2022_1015980_1_SI_N20_0379_R1_001</t>
  </si>
  <si>
    <t>S146_ATGCGCAG-TTCTAGCT_R1_001</t>
  </si>
  <si>
    <t>4562_S11_L001_R1_001</t>
  </si>
  <si>
    <t>DTU_2022_1016177_1_SI_L1922_R1_001</t>
  </si>
  <si>
    <t>S118_GGAGCTAC-GAGCCTTA_R1_001</t>
  </si>
  <si>
    <t>DTU_2022_1015844_1_SI_CDL170_R1_001</t>
  </si>
  <si>
    <t>DTU_2022_1015869_1_SI_CDL74_R1_001</t>
  </si>
  <si>
    <t>DTU_2022_1015855_1_SI_CDL252_R1_001</t>
  </si>
  <si>
    <t>DTU_2022_1015302_1_SI_101b4_R1_001</t>
  </si>
  <si>
    <t>S24_AGGCAGAA-CTATTAAG_R1_001</t>
  </si>
  <si>
    <t>MF4545_1</t>
  </si>
  <si>
    <t>DTU_2022_1015301_1_SI_L0616_R1_001</t>
  </si>
  <si>
    <t>DTU_2022_1016870_1_SI_SK3828_R1_001</t>
  </si>
  <si>
    <t>DTU_2022_1016872_1_SI_SK3826_R1_001</t>
  </si>
  <si>
    <t>DTU_2022_1015954_1_SI_8109_R1_001</t>
  </si>
  <si>
    <t>DTU_2022_1015445_1_SI_6304_R1_001</t>
  </si>
  <si>
    <t>DTU_2022_1015442_1_SI_6289_R1_001</t>
  </si>
  <si>
    <t>DTU_2022_1015870_1_SI_CDL80_R1_001</t>
  </si>
  <si>
    <t>DTU_2022_1015441_1_SI_6288_R1_001</t>
  </si>
  <si>
    <t>DTU_2022_1015443_1_SI_6290_R1_001</t>
  </si>
  <si>
    <t>DTU_2022_1015444_1_SI_6303_R1_001</t>
  </si>
  <si>
    <t>DTU_2022_1015343_1_SI_L0930_R1_001</t>
  </si>
  <si>
    <t>DTU_2022_1016167_1_SI_L1912_R1_001</t>
  </si>
  <si>
    <t>15085723_S16_L001_R1_001</t>
  </si>
  <si>
    <t>DTU_2022_1015508_2_SI_Lm270_R1_001</t>
  </si>
  <si>
    <t>DTU_2022_1015349_1_SI_L0724_R1_001</t>
  </si>
  <si>
    <t>DTU_2022_1015345_1_SI_L0928_R1_001</t>
  </si>
  <si>
    <t>ScottA_1</t>
  </si>
  <si>
    <t>DTU_2022_1016056_1_SI_N21_0325_R1_001</t>
  </si>
  <si>
    <t>DTU_2022_1016864_1_SI_SK3824_R1_001</t>
  </si>
  <si>
    <t>DTU_2022_1016865_1_SI_SK3825_R1_001</t>
  </si>
  <si>
    <t>DTU_2022_1016185_1_SI_L1930_R1_001</t>
  </si>
  <si>
    <t>DTU_2022_1016690_1_SI_1705_13_R1_001</t>
  </si>
  <si>
    <t>DTU_2022_1015601_1_SI_106_R1_001</t>
  </si>
  <si>
    <t>DTU_2022_1016173_1_SI_L1918_R1_001</t>
  </si>
  <si>
    <t>DTU_2022_1015944_1_SI_7595_R1_001</t>
  </si>
  <si>
    <t>DTU_2022_1015678_1_SI_MF4351_R1_001</t>
  </si>
  <si>
    <t>DTU_2022_1016110_1_SI_N19_3069_R1_001</t>
  </si>
  <si>
    <t>DTU_2022_1015995_1_SI_N20_0843_R1_001</t>
  </si>
  <si>
    <t>DTU_2022_1016184_1_SI_L1929_R1_001</t>
  </si>
  <si>
    <t>DTU_2022_1015985_1_SI_N20_0634_R1_001</t>
  </si>
  <si>
    <t>DTU_2022_1015990_1_SI_N20_0796_R1_001</t>
  </si>
  <si>
    <t>DTU_2022_1016150_1_SI_L1841_R1_001</t>
  </si>
  <si>
    <t>20-LI00712-0_S21_R1_001</t>
  </si>
  <si>
    <t>DTU_2022_1015773_1_SI_6076_R1_001</t>
  </si>
  <si>
    <t>DTU_2022_1016040_1_SI_N20_2614_R1_001</t>
  </si>
  <si>
    <t>DTU_2022_1015938_1_SI_7411_R1_001</t>
  </si>
  <si>
    <t>DTU_2022_1015902_1_SI_ABS6_R1_001</t>
  </si>
  <si>
    <t>DTU_2022_1015835_1_SI_CDL142_R1_001</t>
  </si>
  <si>
    <t>DTU_2022_1015542_1_SI_47_R1_001</t>
  </si>
  <si>
    <t>DTU_2022_1016074_1_SI_N19_0368_R1_001</t>
  </si>
  <si>
    <t>DTU_2022_1015842_1_SI_CDL161_R1_001</t>
  </si>
  <si>
    <t>DTU_2022_1015462_1_SI_11_R1_001</t>
  </si>
  <si>
    <t>DTU_2022_1015607_1_SI_112_R1_001</t>
  </si>
  <si>
    <t>DTU_2022_1015720_1_SI_MF7633_R1_001</t>
  </si>
  <si>
    <t>DTU_2022_1015712_1_SI_MF7411_R1_001</t>
  </si>
  <si>
    <t>L1509_1</t>
  </si>
  <si>
    <t>DTU_2022_1015457_1_SI_6_R1_001</t>
  </si>
  <si>
    <t>DTU_2022_1015404_2_SI_LV0786_R1_001</t>
  </si>
  <si>
    <t>14048069-5_S8_L001_R1_001</t>
  </si>
  <si>
    <t>DTU_2022_1015804_1_SI_8236_R1_001</t>
  </si>
  <si>
    <t>DTU_2022_1016152_1_SI_L1851_R1_001</t>
  </si>
  <si>
    <t>DTU_2022_1016155_1_SI_L1862_R1_001</t>
  </si>
  <si>
    <t>DTU_2022_1016189_1_SI_L1934_R1_001</t>
  </si>
  <si>
    <t>DTU_2022_1016188_1_SI_L1933_R1_001</t>
  </si>
  <si>
    <t>L1778_1</t>
  </si>
  <si>
    <t>413002151_S18_L001_R1_001</t>
  </si>
  <si>
    <t>DTU_2022_1016183_1_SI_L1928_R1_001</t>
  </si>
  <si>
    <t>DTU_2022_1015540_1_SI_45_R1_001</t>
  </si>
  <si>
    <t>S34_TCCTGAGC-GAGCCTTA_R1_001</t>
  </si>
  <si>
    <t>DTU2019-2037-PRJ1196-Listeria-monocytogenes-16_R1_001</t>
  </si>
  <si>
    <t>MF7456_S23_L001_R1_001</t>
  </si>
  <si>
    <t>DTU_2022_1015767_1_SI_6069_R1_001</t>
  </si>
  <si>
    <t>DTU_2022_1016836_1_SI_SK90_R1_001</t>
  </si>
  <si>
    <t>DTU_2022_1016769_1_SI_OLM121_R1_001</t>
  </si>
  <si>
    <t>DTU_2022_1015861_1_SI_CDL69_R1_001</t>
  </si>
  <si>
    <t>DTU_2022_1016768_1_SI_OLM120_R1_001</t>
  </si>
  <si>
    <t>SRR14204194_1</t>
  </si>
  <si>
    <t>DTU_2022_1015428_1_SI_2087_R1_001</t>
  </si>
  <si>
    <t>V06_S43_L001_R1_001</t>
  </si>
  <si>
    <t>DTU_2022_1015831_1_SI_AU2566_R1_001</t>
  </si>
  <si>
    <t>DTU_2022_1015559_1_SI_64_R1_001</t>
  </si>
  <si>
    <t>DTU_2022_1015984_1_SI_N20_0612_R1_001</t>
  </si>
  <si>
    <t>DTU_2022_1015553_1_SI_58_R1_001</t>
  </si>
  <si>
    <t>14-LI00078-1_S31_L001_R1_001</t>
  </si>
  <si>
    <t>DTU_2022_1015913_1_SI_4392_R1_001</t>
  </si>
  <si>
    <t>DTU_2022_1015943_1_SI_7587_R1_001</t>
  </si>
  <si>
    <t>DTU_2022_1016198_1_SI_L267_R1_001</t>
  </si>
  <si>
    <t>DTU_2022_1015880_1_SI_3831_R1_001</t>
  </si>
  <si>
    <t>DTU_2022_1015937_1_SI_7301_R1_001</t>
  </si>
  <si>
    <t>DTU_2022_1016207_1_SI_L382_R1_001</t>
  </si>
  <si>
    <t>ERR4648212_1</t>
  </si>
  <si>
    <t>DTU_2022_1015948_1_SI_7630_R1_001</t>
  </si>
  <si>
    <t>DTU_2022_1015941_1_SI_7534_R1_001</t>
  </si>
  <si>
    <t>DTU_2022_1015940_1_SI_7478_R1_001</t>
  </si>
  <si>
    <t>L1764_1</t>
  </si>
  <si>
    <t>ERR4648152_1</t>
  </si>
  <si>
    <t>DTU_2022_1015730_1_SI_6024_R1_001</t>
  </si>
  <si>
    <t>DTU_2022_1015918_1_SI_6714_R1_001</t>
  </si>
  <si>
    <t>DTU_2022_1016103_1_SI_N19_2886_R1_001</t>
  </si>
  <si>
    <t>DTU_2022_1015717_1_SI_MF7628_R1_001</t>
  </si>
  <si>
    <t>DTU_2022_1015713_1_SI_MF7412_R1_001</t>
  </si>
  <si>
    <t>DTU2019-2033-PRJ1196-Listeria-monocytogenes-12_R1_001</t>
  </si>
  <si>
    <t>DTU_2022_1015983_1_SI_N20_0593_R1_001</t>
  </si>
  <si>
    <t>S32_TCCTGAGC-CTATTAAG_R1_001</t>
  </si>
  <si>
    <t>ERR4648160_1</t>
  </si>
  <si>
    <t>DTU_2022_1016094_1_SI_N19_2423_R1_001</t>
  </si>
  <si>
    <t>DTU_2022_1016112_1_SI_N19_3077_R1_001</t>
  </si>
  <si>
    <t>DTU_2022_1016688_1_SI_1682_13_R1_001</t>
  </si>
  <si>
    <t>20-LI00400-0_S37_R1_001</t>
  </si>
  <si>
    <t>DTU_2022_1016776_1_SI_OLM137_R1_001</t>
  </si>
  <si>
    <t>DTU_2022_1016735_1_SI_OLM51_R1_001</t>
  </si>
  <si>
    <t>DTU_2022_1016731_1_SI_OLM42_R1_001</t>
  </si>
  <si>
    <t>DTU_2022_1016675_1_SI_93_R1_001</t>
  </si>
  <si>
    <t>DTU_2022_1015406_2_SI_LV1318_R1_001</t>
  </si>
  <si>
    <t>DTU_2022_1015945_1_SI_7597_R1_001</t>
  </si>
  <si>
    <t>DTU_2022_1015426_1_SI_1433_R1_001</t>
  </si>
  <si>
    <t>DTU_2022_1015774_1_SI_6077_R1_001</t>
  </si>
  <si>
    <t>DTU_2022_1015763_1_SI_6064_R1_001</t>
  </si>
  <si>
    <t>DTU_2022_1015845_1_SI_CDL171_R1_001</t>
  </si>
  <si>
    <t>DTU_2022_1015846_1_SI_CDL172_R1_001</t>
  </si>
  <si>
    <t>DTU_2022_1016038_1_SI_N20_2611_R1_001</t>
  </si>
  <si>
    <t>DTU_2022_1015455_1_SI_4_R1_001</t>
  </si>
  <si>
    <t>DTU_2022_1015346_1_SI_L0327_R1_001</t>
  </si>
  <si>
    <t>DTU2019-2060-PRJ1196-Listeria-monocytogenes-39_R1_001</t>
  </si>
  <si>
    <t>DTU_2022_1015464_1_SI_13_R1_001</t>
  </si>
  <si>
    <t>DTU_2022_1015908_1_SI_3499_R1_001</t>
  </si>
  <si>
    <t>DTU_2022_1016895_1_SI_MF5651_R1_001</t>
  </si>
  <si>
    <t>DTU_2022_1015448_1_SI_8366_R1_001</t>
  </si>
  <si>
    <t>19-LI01449-0_S57_R1_001</t>
  </si>
  <si>
    <t>DTU_2022_1015565_1_SI_70_R1_001</t>
  </si>
  <si>
    <t>DTU_2022_1015566_1_SI_71_R1_001</t>
  </si>
  <si>
    <t>DTU_2022_1015590_1_SI_95_R1_001</t>
  </si>
  <si>
    <t>DTU_2022_1015563_1_SI_68_R1_001</t>
  </si>
  <si>
    <t>DTU_2022_1015562_1_SI_67_R1_001</t>
  </si>
  <si>
    <t>DTU_2022_1015582_1_SI_87_R1_001</t>
  </si>
  <si>
    <t>DTU_2022_1015606_1_SI_111_R1_001</t>
  </si>
  <si>
    <t>DTU_2022_1015782_1_SI_6087_R1_001</t>
  </si>
  <si>
    <t>DTU_2022_1015453_1_SI_2_R1_001</t>
  </si>
  <si>
    <t>DTU_2022_1015826_1_SI_5096_R1_001</t>
  </si>
  <si>
    <t>SRR12598719_1</t>
  </si>
  <si>
    <t>DTU_2022_1015988_1_SI_N20_0715_R1_001</t>
  </si>
  <si>
    <t>DTU_2022_1015776_1_SI_6080_R1_001</t>
  </si>
  <si>
    <t>S47_TAGGCATG-GCGTAAGA_R1_001</t>
  </si>
  <si>
    <t>S45_TAGGCATG-TTCTAGCT_R1_001</t>
  </si>
  <si>
    <t>DTU_2022_1016743_1_SI_OLM55_R1_001</t>
  </si>
  <si>
    <t>DTU_2022_1015781_1_SI_6086_R1_001</t>
  </si>
  <si>
    <t>DTU_2022_1015783_1_SI_6089_R1_001</t>
  </si>
  <si>
    <t>DTU_2022_1016668_1_SI_2522_R1_001</t>
  </si>
  <si>
    <t>DTU_2022_1015879_1_SI_W33_R1_001</t>
  </si>
  <si>
    <t>DTU_2022_1015760_1_SI_6061_R1_001</t>
  </si>
  <si>
    <t>DTU_2022_1015878_1_SI_R479a_R1_001</t>
  </si>
  <si>
    <t>DTU_2022_1015929_1_SI_7044_R1_001</t>
  </si>
  <si>
    <t>14-LI00141-0_S35_L001_R1_001</t>
  </si>
  <si>
    <t>DTU_2022_1015675_1_SI_MF4330_R1_001</t>
  </si>
  <si>
    <t>M06_S8_L001_R1_001</t>
  </si>
  <si>
    <t>DTU_2022_1015637_1_SI_MF2160_R1_001</t>
  </si>
  <si>
    <t>4245_S7_L001_R1_001</t>
  </si>
  <si>
    <t>DTU_2022_1015662_1_SI_MF4244_R1_001</t>
  </si>
  <si>
    <t>DTU_2022_1015793_1_SI_6103_R1_001</t>
  </si>
  <si>
    <t>DTU_2022_1016170_1_SI_L1915_R1_001</t>
  </si>
  <si>
    <t>V01_S58_L001_R1_001</t>
  </si>
  <si>
    <t>DTU_2022_1015654_1_SI_MF2188_R1_001</t>
  </si>
  <si>
    <t>DTU_2022_1015761_1_SI_6062_R1_001</t>
  </si>
  <si>
    <t>DTU_2022_1016686_1_SI_1156_13_R1_001</t>
  </si>
  <si>
    <t>MF7375_S1_L001_R1_001</t>
  </si>
  <si>
    <t>5369_S18_L001_R1_001</t>
  </si>
  <si>
    <t>MF4077_S18_L001_R1_001</t>
  </si>
  <si>
    <t>20-LI00346-0_S10_R1_001</t>
  </si>
  <si>
    <t>DTU_2022_1015762_1_SI_6063_R1_001</t>
  </si>
  <si>
    <t>DTU_2022_1015815_1_SI_8289_R1_001</t>
  </si>
  <si>
    <t>DTU_2022_1015785_1_SI_6092_R1_001</t>
  </si>
  <si>
    <t>DTU_2022_1016168_1_SI_L1913_R1_001</t>
  </si>
  <si>
    <t>DTU_2022_1015766_1_SI_6067_R1_001</t>
  </si>
  <si>
    <t>DTU_2022_1015977_1_SI_45_2_1_R1_001</t>
  </si>
  <si>
    <t>MF6339_1</t>
  </si>
  <si>
    <t>DTU_2022_1015796_1_SI_6106_R1_001</t>
  </si>
  <si>
    <t>DTU_2022_1015321_1_SI_L1508a_R1_001</t>
  </si>
  <si>
    <t>DTU_2022_1015466_1_SI_15_R1_001</t>
  </si>
  <si>
    <t>DTU_2022_1015636_1_SI_MF2159_R1_001</t>
  </si>
  <si>
    <t>DTU_2022_1016053_1_SI_N21_0262_R1_001</t>
  </si>
  <si>
    <t>DTU_2022_1016010_1_SI_N20_1380_R1_001</t>
  </si>
  <si>
    <t>ERR1432975_1</t>
  </si>
  <si>
    <t>DTU_2022_1015998_1_SI_N20_0870_R1_001</t>
  </si>
  <si>
    <t>MF7420_S16_L001_R1_001</t>
  </si>
  <si>
    <t>DTU2019-2064-PRJ1196-Listeria-monocytogenes-43_R1_001</t>
  </si>
  <si>
    <t>DTU2019-2069-PRJ1196-Listeria-monocytogenes-48_R1_001</t>
  </si>
  <si>
    <t>DTU2019-2031-PRJ1196-Listeria-monocytogenes-10_R1_001</t>
  </si>
  <si>
    <t>S124_GCGTAGTA-CTATTAAG_R1_001</t>
  </si>
  <si>
    <t>13-LI00209-0_S20_L001_R1_001</t>
  </si>
  <si>
    <t>DTU_2022_1016856_1_SI_SK3096_R1_001</t>
  </si>
  <si>
    <t>DTU_2022_1016002_1_SI_N20_0960_R1_001</t>
  </si>
  <si>
    <t>DTU_2022_1015550_1_SI_55_R1_001</t>
  </si>
  <si>
    <t>ERR4648208_1</t>
  </si>
  <si>
    <t>S63_CGAGGCTG-CCTAGAGT_R1_001</t>
  </si>
  <si>
    <t>MF4804_S21_L001_R1_001</t>
  </si>
  <si>
    <t>MF7707_S13_L001_R1_001</t>
  </si>
  <si>
    <t>MF7680_S3_L001_R1_001</t>
  </si>
  <si>
    <t>MF6331_S21_L001_R1_001</t>
  </si>
  <si>
    <t>DTU_2022_1015877_1_SI_N22_2_R1_001</t>
  </si>
  <si>
    <t>DTU_2022_1015316_1_SI_231a1_R1_001</t>
  </si>
  <si>
    <t>C09_S44_L001_R1_001</t>
  </si>
  <si>
    <t>DTU_2022_1015707_1_SI_MF7369_R1_001</t>
  </si>
  <si>
    <t>DTU_2022_1015708_1_SI_MF7370_R1_001</t>
  </si>
  <si>
    <t>DTU_2022_1015709_1_SI_MF7379_R1_001</t>
  </si>
  <si>
    <t>DTU_2022_1016202_1_SI_L309_R1_001</t>
  </si>
  <si>
    <t>DTU_2022_1015705_1_SI_MF7344_R1_001</t>
  </si>
  <si>
    <t>DTU_2022_1015914_1_SI_5294_R1_001</t>
  </si>
  <si>
    <t>DTU_2022_1015892_1_SI_5624_R1_001</t>
  </si>
  <si>
    <t>DTU_2022_1016671_1_SI_5176_R1_001</t>
  </si>
  <si>
    <t>DTU_2022_1015680_1_SI_MF4531_R1_001</t>
  </si>
  <si>
    <t>DTU_2022_1016821_1_SI_SKWL305_R1_001</t>
  </si>
  <si>
    <t>DTU_2022_1016157_1_SI_L1876_R1_001</t>
  </si>
  <si>
    <t>DTU_2022_1016842_1_SI_SKB429_R1_001</t>
  </si>
  <si>
    <t>DTU_2022_1016222_1_SI_L441_R1_001</t>
  </si>
  <si>
    <t>C01_S50_L001_R1_001</t>
  </si>
  <si>
    <t>DTU_2022_1016844_1_SI_SKB102_R1_001</t>
  </si>
  <si>
    <t>DTU_2022_1015571_1_SI_76_R1_001</t>
  </si>
  <si>
    <t>DTU_2022_1016001_1_SI_N20_0944_R1_001</t>
  </si>
  <si>
    <t>DTU_2022_1015623_1_SI_128_R1_001</t>
  </si>
  <si>
    <t>DTU_2022_1015768_1_SI_6070_R1_001</t>
  </si>
  <si>
    <t>DTU_2022_1016730_1_SI_OLM41_R1_001</t>
  </si>
  <si>
    <t>DTU_2022_1015770_1_SI_6072_R1_001</t>
  </si>
  <si>
    <t>DTU_2022_1016703_1_SI_La28_R1_001</t>
  </si>
  <si>
    <t>ERR4648225_1</t>
  </si>
  <si>
    <t>S137_TACGCTGC-TCGACTAG_R1_001</t>
  </si>
  <si>
    <t>S20_AGGCAGAA-TCGACTAG_R1_001</t>
  </si>
  <si>
    <t>DTU_2022_1015884_1_SI_LmRo2_R1_001</t>
  </si>
  <si>
    <t>DTU_2022_1016711_1_SI_OLM15_R1_001</t>
  </si>
  <si>
    <t>F05_S20_L001_R1_001</t>
  </si>
  <si>
    <t>DTU_2022_1015534_1_SI_39_R1_001</t>
  </si>
  <si>
    <t>L1517_1</t>
  </si>
  <si>
    <t>14-LI00327-0_S8_L001_R1_001</t>
  </si>
  <si>
    <t>14-LI00255-0_S14_L001_R1_001</t>
  </si>
  <si>
    <t>DTU_2022_1015726_1_SI_6019_R1_001</t>
  </si>
  <si>
    <t>DTU_2022_1015525_1_SI_30_R1_001</t>
  </si>
  <si>
    <t>DTU_2022_1015805_1_SI_8239_R1_001</t>
  </si>
  <si>
    <t>DTU_2022_1015644_1_SI_MF2168_R1_001</t>
  </si>
  <si>
    <t>DTU_2022_1015639_1_SI_MF2163_R1_001</t>
  </si>
  <si>
    <t>DTU_2022_1015605_2_SI_110_R1_001</t>
  </si>
  <si>
    <t>DTU_2022_1016146_1_SI_L168_R1_001</t>
  </si>
  <si>
    <t>DTU_2022_1016884_1_SI_LV0214_R1_001</t>
  </si>
  <si>
    <t>DTU_2022_1015452_1_SI_1_R1_001</t>
  </si>
  <si>
    <t>20-LI01291-0_S19_R1_001</t>
  </si>
  <si>
    <t>DTU_2022_1016763_1_SI_OLM102_R1_001</t>
  </si>
  <si>
    <t>MF7839_S21_L001_R1_001</t>
  </si>
  <si>
    <t>14037235-3_S16_L001_R1_001</t>
  </si>
  <si>
    <t>DTU_2022_1016854_1_SI_SKB59_R1_001</t>
  </si>
  <si>
    <t>DTU_2022_1016852_1_SI_SKB58_R1_001</t>
  </si>
  <si>
    <t>DTU_2022_1015564_1_SI_69_R1_001</t>
  </si>
  <si>
    <t>DTU2019-2063-PRJ1196-Listeria-monocytogenes-42_R1_001</t>
  </si>
  <si>
    <t>DTU2019-2065-PRJ1196-Listeria-monocytogenes-44_R1_001</t>
  </si>
  <si>
    <t>DTU2019-2068-PRJ1196-Listeria-monocytogenes-47_R1_001</t>
  </si>
  <si>
    <t>DTU2019-2067-PRJ1196-Listeria-monocytogenes-46_R1_001</t>
  </si>
  <si>
    <t>DTU2019-2066-PRJ1196-Listeria-monocytogenes-45_R1_001</t>
  </si>
  <si>
    <t>DTU2019-2040-PRJ1196-Listeria-monocytogenes-19_R1_001</t>
  </si>
  <si>
    <t>DTU_2022_1016009_1_SI_N20_1321_R1_001</t>
  </si>
  <si>
    <t>DTU_2022_1015624_1_SI_129_R1_001</t>
  </si>
  <si>
    <t>MF4626_1</t>
  </si>
  <si>
    <t>DTU_2022_1016747_1_SI_OLM71_R1_001</t>
  </si>
  <si>
    <t>DTU_2022_1016750_1_SI_OLM74_R1_001</t>
  </si>
  <si>
    <t>DTU_2022_1015530_1_SI_35_R1_001</t>
  </si>
  <si>
    <t>17031763_S23_L001_R1_001</t>
  </si>
  <si>
    <t>V03_S46_L001_R1_001</t>
  </si>
  <si>
    <t>DTU_2022_1016071_1_SI_N19_0309_R1_001</t>
  </si>
  <si>
    <t>MF6207_1</t>
  </si>
  <si>
    <t>DTU_2022_1015527_1_SI_32_R1_001</t>
  </si>
  <si>
    <t>SRR5764952_1</t>
  </si>
  <si>
    <t>V07_S4_L001_R1_001</t>
  </si>
  <si>
    <t>DTU_2022_1016058_1_SI_N21_0371_R1_001</t>
  </si>
  <si>
    <t>19-LI01447-0_S55_R1_001</t>
  </si>
  <si>
    <t>D07_S46_L001_R1_001</t>
  </si>
  <si>
    <t>DTU-2021-1010553-1-SI-LT5_R1_001</t>
  </si>
  <si>
    <t>DTU_2022_1016667_1_SI_2355_R1_001</t>
  </si>
  <si>
    <t>F06_S32_L001_R1_001</t>
  </si>
  <si>
    <t>DTU_2022_1015628_1_SI_MF1358_R1_001</t>
  </si>
  <si>
    <t>DTU_2022_1015339_1_SI_L1619a1_R1_001</t>
  </si>
  <si>
    <t>DTU-2021-1010549-1-SI-LT1_R1_001</t>
  </si>
  <si>
    <t>DTU-2021-1010552-1-SI-LT4_R1_001</t>
  </si>
  <si>
    <t>08-5578_S1_L001_R1_001</t>
  </si>
  <si>
    <t>ERR1432990_1</t>
  </si>
  <si>
    <t>DTU_2022_1016683_1_SI_4470_R1_001</t>
  </si>
  <si>
    <t>ERR1432967_1</t>
  </si>
  <si>
    <t>DTU_2022_1015706_1_SI_MF7357_R1_001</t>
  </si>
  <si>
    <t>DTU_2022_1016226_1_SI_L478_R1_001</t>
  </si>
  <si>
    <t>MF7341_S20_L001_R1_001</t>
  </si>
  <si>
    <t>MF7337_S18_L001_R1_001</t>
  </si>
  <si>
    <t>MF7394_S6_L001_R1_001</t>
  </si>
  <si>
    <t>S59_CTCTCTAC-GAGCCTTA_R1_001</t>
  </si>
  <si>
    <t>DTU_2022_1015916_1_SI_5516_R1_001</t>
  </si>
  <si>
    <t>DTU_2022_1015917_1_SI_5517_R1_001</t>
  </si>
  <si>
    <t>DTU_2022_1015895_1_SI_5633_R1_001</t>
  </si>
  <si>
    <t>DTU_2022_1016762_1_SI_OLM56_R1_001</t>
  </si>
  <si>
    <t>DTU_2022_1016737_1_SI_OLM54d_R1_001</t>
  </si>
  <si>
    <t>DTU_2022_1016814_1_SI_SKWL385_R1_001</t>
  </si>
  <si>
    <t>DTU_2022_1016813_1_SI_SKWL383_R1_001</t>
  </si>
  <si>
    <t>DTU2019-2062-PRJ1196-Listeria-monocytogenes-41_R1_001</t>
  </si>
  <si>
    <t>ERR1432969_1</t>
  </si>
  <si>
    <t>DTU_2022_1015524_1_SI_29_R1_001</t>
  </si>
  <si>
    <t>DTU_2022_1015424_1_SI_1429_R1_001</t>
  </si>
  <si>
    <t>DTU_2022_1015891_1_SI_LmRo12_R1_001</t>
  </si>
  <si>
    <t>DTU_2022_1015672_1_SI_MF4302_R1_001</t>
  </si>
  <si>
    <t>DTU_2022_1015972_1_SI_5891_R1_001</t>
  </si>
  <si>
    <t>DTU_2022_1015971_1_SI_5859_R1_001</t>
  </si>
  <si>
    <t>DTU_2022_1015536_1_SI_41_R1_001</t>
  </si>
  <si>
    <t>DTU_2022_1015955_1_SI_8110_R1_001</t>
  </si>
  <si>
    <t>DTU_2022_1015456_1_SI_5_R1_001</t>
  </si>
  <si>
    <t>DTU_2022_1015469_1_SI_18_R1_001</t>
  </si>
  <si>
    <t>DTU_2022_1015538_1_SI_43_R1_001</t>
  </si>
  <si>
    <t>DTU_2022_1015953_1_SI_7992_R1_001</t>
  </si>
  <si>
    <t>ERR4648175_1</t>
  </si>
  <si>
    <t>DTU_2022_1016845_1_SI_SKB107_R1_001</t>
  </si>
  <si>
    <t>M11_S11_L001_R1_001</t>
  </si>
  <si>
    <t>DTU_2022_1016759_1_SI_OLM93_R1_001</t>
  </si>
  <si>
    <t>DTU_2022_1015401_2_SI_LV1162_R1_001</t>
  </si>
  <si>
    <t>DTU_2022_1016891_1_SI_No80_1_R1_001</t>
  </si>
  <si>
    <t>DTU_2022_1016172_1_SI_L1917_R1_001</t>
  </si>
  <si>
    <t>S98_ATCTCAGG-GCGTAAGA_R1_001</t>
  </si>
  <si>
    <t>17014154-03_S14_L001_R1_001</t>
  </si>
  <si>
    <t>DTU_2022_1015447_1_SI_6322_R1_001</t>
  </si>
  <si>
    <t>DTU_2022_1016161_1_SI_L1906_R1_001</t>
  </si>
  <si>
    <t>S35_TCCTGAGC-TTATGCGA_R1_001</t>
  </si>
  <si>
    <t>ERR4648206_1</t>
  </si>
  <si>
    <t>DTU_2022_1016749_1_SI_OLM73_R1_001</t>
  </si>
  <si>
    <t>DTU2019-2035-PRJ1196-Listeria-monocytogenes-14_R1_001</t>
  </si>
  <si>
    <t>DTU_2022_1015591_1_SI_96_R1_001</t>
  </si>
  <si>
    <t>DTU_2022_1015934_1_SI_7226_R1_001</t>
  </si>
  <si>
    <t>DTU_2022_1015587_1_SI_92_R1_001</t>
  </si>
  <si>
    <t>S135_CGGAGCCT-TTATGCGA_R1_001</t>
  </si>
  <si>
    <t>DTU_2022_1016000_1_SI_N20_0921_R1_001</t>
  </si>
  <si>
    <t>DTU_2022_1016220_1_SI_L405_R1_001</t>
  </si>
  <si>
    <t>DTU_2022_1016005_1_SI_N20_1001_R1_001</t>
  </si>
  <si>
    <t>MF6338_1</t>
  </si>
  <si>
    <t>DTU_2022_1015648_1_SI_MF2172_R1_001</t>
  </si>
  <si>
    <t>DTU_2022_1015697_1_SI_MF5995_R1_001</t>
  </si>
  <si>
    <t>L236_R1</t>
  </si>
  <si>
    <t>DTU_2022_1016694_1_SI_1896_13_R1_001</t>
  </si>
  <si>
    <t>DTU_2022_1015531_1_SI_36_R1_001</t>
  </si>
  <si>
    <t>DTU_2022_1015526_1_SI_31_R1_001</t>
  </si>
  <si>
    <t>DTU_2022_1016217_1_SI_L399_R1_001</t>
  </si>
  <si>
    <t>DTU2019-2056-PRJ1196-Listeria-monocytogenes-35_R1_001</t>
  </si>
  <si>
    <t>DTU_2022_1015925_1_SI_7021_R1_001</t>
  </si>
  <si>
    <t>DTU_2022_1016031_1_SI_N20_2340_R1_001</t>
  </si>
  <si>
    <t>S25_AGGCAGAA-AAGGCTAT_R1_001</t>
  </si>
  <si>
    <t>DTU_2022_1016025_1_SI_N20_2124_R1_001</t>
  </si>
  <si>
    <t>DTU_2022_1016880_1_SI_SK3956_R1_001</t>
  </si>
  <si>
    <t>DTU_2022_1015615_1_SI_120_R1_001</t>
  </si>
  <si>
    <t>DTU_2022_1016879_1_SI_SK5378_R1_001</t>
  </si>
  <si>
    <t>DTU_2022_1016881_1_SI_SK5280_R1_001</t>
  </si>
  <si>
    <t>DTU_2022_1016882_1_SI_LV0157_R1_001</t>
  </si>
  <si>
    <t>DTU_2022_1016253_1_SI_L939_R1_001</t>
  </si>
  <si>
    <t>DTU_2022_1015440_1_SI_6287_R1_001</t>
  </si>
  <si>
    <t>DTU_2022_1016767_1_SI_OLM118_R1_001</t>
  </si>
  <si>
    <t>DTU_2022_1015629_1_SI_MF1486_R1_001</t>
  </si>
  <si>
    <t>DTU_2022_1016254_1_SI_L940_R1_001</t>
  </si>
  <si>
    <t>M14_S28_L001_R1_001</t>
  </si>
  <si>
    <t>DTU_2022_1015617_1_SI_122_R1_001</t>
  </si>
  <si>
    <t>ERR4648196_1</t>
  </si>
  <si>
    <t>DTU_2022_1016682_1_SI_4186_R1_001</t>
  </si>
  <si>
    <t>13-LI00077-0_S15_L001_R1_001</t>
  </si>
  <si>
    <t>DTU_2022_1015900_1_SI_P02_001_R1_001</t>
  </si>
  <si>
    <t>DTU_2022_1015645_1_SI_MF2169_R1_001</t>
  </si>
  <si>
    <t>DTU_2022_1015642_1_SI_MF2166_R1_001</t>
  </si>
  <si>
    <t>DTU-2021-1010554-1-SI-LT6_R1_001</t>
  </si>
  <si>
    <t>DTU_2022_1016125_1_SI_N20_0384_R1_001</t>
  </si>
  <si>
    <t>DTU_2022_1015437_1_SI_6269_R1_001</t>
  </si>
  <si>
    <t>DTU2019-2043-PRJ1196-Listeria-monocytogenes-22_R1_001</t>
  </si>
  <si>
    <t>DTU2019-2058-PRJ1196-Listeria-monocytogenes-37_R1_001</t>
  </si>
  <si>
    <t>DTU2019-2053-PRJ1196-Listeria-monocytogenes-32_R1_001</t>
  </si>
  <si>
    <t>DTU2019-2032-PRJ1196-Listeria-monocytogenes-11_R1_001</t>
  </si>
  <si>
    <t>DTU2019-2046-PRJ1196-Listeria-monocytogenes-25_R1_001</t>
  </si>
  <si>
    <t>DTU2019-2059-PRJ1196-Listeria-monocytogenes-38_R1_001</t>
  </si>
  <si>
    <t>DTU2019-2071-PRJ1196-Listeria-monocytogenes-50_R1_001</t>
  </si>
  <si>
    <t>DTU2019-2052-PRJ1196-Listeria-monocytogenes-31_R1_001</t>
  </si>
  <si>
    <t>DTU2019-2057-PRJ1196-Listeria-monocytogenes-36_R1_001</t>
  </si>
  <si>
    <t>DTU_2022_1015535_1_SI_40_R1_001</t>
  </si>
  <si>
    <t>DTU2019-2024-PRJ1196-Listeria-monocytogenes-3_R1_001</t>
  </si>
  <si>
    <t>ERR1432979_1</t>
  </si>
  <si>
    <t>DTU_2022_1016181_1_SI_L1926_R1_001</t>
  </si>
  <si>
    <t>17040964-1_S19_L001_R1_001</t>
  </si>
  <si>
    <t>DTU_2022_1015691_1_SI_MF5463_R1_001</t>
  </si>
  <si>
    <t>19-LI01081-0_S8_L001_R1_001</t>
  </si>
  <si>
    <t>L1184_R1</t>
  </si>
  <si>
    <t>13-LI00032-0_S13_L001_R1_001</t>
  </si>
  <si>
    <t>DTU_2022_1015622_1_SI_127_R1_001</t>
  </si>
  <si>
    <t>S74_AAGAGGCA-CTATTAAG_R1_001</t>
  </si>
  <si>
    <t>MF5639_1</t>
  </si>
  <si>
    <t>15076990-02_S21_L001_R1_001</t>
  </si>
  <si>
    <t>S167_ACTGAGCG-GAGCCTTA_R1_001</t>
  </si>
  <si>
    <t>16-LI00562-0_S9_L001_R1_001</t>
  </si>
  <si>
    <t>DTU_2022_1015296_1_SI_268a4_R1_001</t>
  </si>
  <si>
    <t>DTU_2022_1015322_1_SI_L1214a_R1_001</t>
  </si>
  <si>
    <t>DTU_2022_1016859_1_SI_SK3095_R1_001</t>
  </si>
  <si>
    <t>17050331-4_S35_L001_R1_001</t>
  </si>
  <si>
    <t>DTU_2022_1016751_1_SI_OLM76_R1_001</t>
  </si>
  <si>
    <t>14044451-1_S12_L001_R1_001</t>
  </si>
  <si>
    <t>DTU_2022_1015313_1_SI_128b2_R1_001</t>
  </si>
  <si>
    <t>DTU_2022_1016106_1_SI_N19_2997_R1_001</t>
  </si>
  <si>
    <t>S116_GGAGCTAC-CTATTAAG_R1_001</t>
  </si>
  <si>
    <t>DTU_2022_1016156_1_SI_L1874_R1_001</t>
  </si>
  <si>
    <t>DTU_2022_1015415_1_SI_993_R1_001</t>
  </si>
  <si>
    <t>DTU_2022_1015890_1_SI_LmRo11_R1_001</t>
  </si>
  <si>
    <t>DTU2019-2027-PRJ1196-Listeria-monocytogenes-6_R1_001</t>
  </si>
  <si>
    <t>DTU_2022_1015569_2_SI_74_R1_001</t>
  </si>
  <si>
    <t>DTU_2022_1016721_1_SI_OLM26_R1_001</t>
  </si>
  <si>
    <t>DTU_2022_1015820_1_SI_2993_R1_001</t>
  </si>
  <si>
    <t>S27_AGGCAGAA-TTATGCGA_R1_001</t>
  </si>
  <si>
    <t>DTU_2022_1016736_1_SI_OLM52d_R1_001</t>
  </si>
  <si>
    <t>DTU_2022_1016175_1_SI_L1920_R1_001</t>
  </si>
  <si>
    <t>DTU_2022_1016147_1_SI_L1682_R1_001</t>
  </si>
  <si>
    <t>DTU_2022_1015847_1_SI_CDL174_R1_001</t>
  </si>
  <si>
    <t>DTU_2022_1016158_1_SI_L1878_R1_001</t>
  </si>
  <si>
    <t>14037158-1_S15_L001_R1_001</t>
  </si>
  <si>
    <t>DTU_2022_1015570_1_SI_75_R1_001</t>
  </si>
  <si>
    <t>DTU-2021-1010556-1-SI-LT8_R1_001</t>
  </si>
  <si>
    <t>F10_S2_L001_R1_001</t>
  </si>
  <si>
    <t>L1767_1</t>
  </si>
  <si>
    <t>MF7858_S5_L001_R1_001</t>
  </si>
  <si>
    <t>MF7860_S3_L001_R1_001</t>
  </si>
  <si>
    <t>DTU_2022_1015372_2_SI_JC66_R1_001</t>
  </si>
  <si>
    <t>DTU_2022_1015439_1_SI_6275_R1_001</t>
  </si>
  <si>
    <t>20-LI00948-0_S13_L001_R1_001</t>
  </si>
  <si>
    <t>2012-243_S30_L001_R1_001</t>
  </si>
  <si>
    <t>DTU_2022_1015824_1_SI_5091_R1_001</t>
  </si>
  <si>
    <t>DTU_2022_1015825_1_SI_5095_R1_001</t>
  </si>
  <si>
    <t>DTU_2022_1016091_1_SI_N19_2162_R1_001</t>
  </si>
  <si>
    <t>S30_TCCTGAGC-CCTAGAGT_R1_001</t>
  </si>
  <si>
    <t>DTU_2022_1015329_1_SI_8_MI_12_R1_001</t>
  </si>
  <si>
    <t>DTU_2022_1015742_1_SI_6037_R1_001</t>
  </si>
  <si>
    <t>19-LI01466-0_S68_R1_001</t>
  </si>
  <si>
    <t>413007484_S11_L001_R1_001</t>
  </si>
  <si>
    <t>L1704_1</t>
  </si>
  <si>
    <t>DTU_2022_1015309_1_SI_265D_R1_001</t>
  </si>
  <si>
    <t>DTU_2022_1015652_1_SI_MF2186_R1_001</t>
  </si>
  <si>
    <t>DTU_2022_1016783_1_SI_OLM147_R1_001</t>
  </si>
  <si>
    <t>DTU_2022_1016761_1_SI_OLM98_R1_001</t>
  </si>
  <si>
    <t>ERR1432965_1</t>
  </si>
  <si>
    <t>DTU_2022_1016003_1_SI_N20_0975_R1_001</t>
  </si>
  <si>
    <t>DTU_2022_1016778_1_SI_OLM125_R1_001</t>
  </si>
  <si>
    <t>DTU_2022_1016021_1_SI_N20_2012_R1_001</t>
  </si>
  <si>
    <t>DTU_2022_1015840_1_SI_CDL157_R1_001</t>
  </si>
  <si>
    <t>DTU_2022_1015841_1_SI_CDL158_R1_001</t>
  </si>
  <si>
    <t>DTU_2022_1015700_1_SI_MF7082_R1_001</t>
  </si>
  <si>
    <t>MF7029_S5_L001_R1_001</t>
  </si>
  <si>
    <t>6981_S2_L001_R1_001</t>
  </si>
  <si>
    <t>DTU_2022_1016738_1_SI_OLM61_R1_001</t>
  </si>
  <si>
    <t>DTU_2022_1016060_1_SI_N21_0465_R1_001</t>
  </si>
  <si>
    <t>DTU_2022_1016047_1_SI_N21_0065_R1_001</t>
  </si>
  <si>
    <t>DTU_2022_1015521_1_SI_26_R1_001</t>
  </si>
  <si>
    <t>DTU_2022_1016086_1_SI_N19_1506_R1_001</t>
  </si>
  <si>
    <t>DTU_2022_1016777_1_SI_OLM138_R1_001</t>
  </si>
  <si>
    <t>DTU_2022_1016242_1_SI_L712_R1_001</t>
  </si>
  <si>
    <t>14037161-2_S3_L001_R1_001</t>
  </si>
  <si>
    <t>DTU_2022_1016787_1_SI_OLM157_R1_001</t>
  </si>
  <si>
    <t>DTU_2022_1016771_1_SI_OLM124_R1_001</t>
  </si>
  <si>
    <t>DTU_2022_1016772_1_SI_OLM127_R1_001</t>
  </si>
  <si>
    <t>DTU_2022_1015849_1_SI_CDL176_R1_001</t>
  </si>
  <si>
    <t>20-LI00476-0_S57_R1_001</t>
  </si>
  <si>
    <t>D09_S27_L001_R1_001</t>
  </si>
  <si>
    <t>DTU_2022_1016080_1_SI_N19_0757_R1_001</t>
  </si>
  <si>
    <t>SRR10886935_1</t>
  </si>
  <si>
    <t>DTU_2022_1016753_1_SI_OLM78_R1_001</t>
  </si>
  <si>
    <t>DTU_2022_1016752_1_SI_OLM77_R1_001</t>
  </si>
  <si>
    <t>DTU_2022_1015592_1_SI_97_R1_001</t>
  </si>
  <si>
    <t>DTU_2022_1016766_1_SI_OLM117_R1_001</t>
  </si>
  <si>
    <t>MF7739_S21_L001_R1_001</t>
  </si>
  <si>
    <t>DTU_2022_1015465_1_SI_14_R1_001</t>
  </si>
  <si>
    <t>DTU_2022_1015909_1_SI_3506_R1_001</t>
  </si>
  <si>
    <t>14-LI00172-0_S1_L001_R1_001</t>
  </si>
  <si>
    <t>MF7333_S2_L001_R1_001</t>
  </si>
  <si>
    <t>DTU_2022_1015522_1_SI_27_R1_001</t>
  </si>
  <si>
    <t>MF7339_S19_L001_R1_001</t>
  </si>
  <si>
    <t>M10_S25_L001_R1_001</t>
  </si>
  <si>
    <t>DTU_2022_1015764_1_SI_6065_R1_001</t>
  </si>
  <si>
    <t>DTU_2022_1016230_1_SI_L538_R1_001</t>
  </si>
  <si>
    <t>14025802-02_S24_L001_R1_001</t>
  </si>
  <si>
    <t>DTU_2022_1015881_1_SI_3269_R1_001</t>
  </si>
  <si>
    <t>ERR1432985_1</t>
  </si>
  <si>
    <t>DTU_2022_1015319_1_SI_L0929_R1_001</t>
  </si>
  <si>
    <t>DTU_2022_1016046_1_SI_N21_0064_R1_001</t>
  </si>
  <si>
    <t>DTU_2022_1016174_1_SI_L1919_R1_001</t>
  </si>
  <si>
    <t>14-LI00061-0_S29_L001_R1_001</t>
  </si>
  <si>
    <t>DTU_2022_1015304_1_SI_L0223_R1_001</t>
  </si>
  <si>
    <t>M05_S37_L001_R1_001</t>
  </si>
  <si>
    <t>DTU_2022_1016206_1_SI_L374_R1_001</t>
  </si>
  <si>
    <t>17054043_S41_L001_R1_001</t>
  </si>
  <si>
    <t>3995_S5_L001_R1_001</t>
  </si>
  <si>
    <t>DTU_2022_1015289_1_SI_209C_R1_001</t>
  </si>
  <si>
    <t>ERR1432982_1</t>
  </si>
  <si>
    <t>V10_S13_L001_R1_001</t>
  </si>
  <si>
    <t>DTU_2022_1015758_1_SI_6057_R1_001</t>
  </si>
  <si>
    <t>DTU_2022_1015981_1_SI_N20_0429_R1_001</t>
  </si>
  <si>
    <t>DTU_2022_1015500_1_SI_Lm145_R1_001</t>
  </si>
  <si>
    <t>18-LI00545-0_S7_L001_R1_001</t>
  </si>
  <si>
    <t>DTU_2022_1015866_1_SI_CDL76_R1_001</t>
  </si>
  <si>
    <t>DTU_2022_1015614_1_SI_119_R1_001</t>
  </si>
  <si>
    <t>DTU_2022_1015579_1_SI_84_R1_001</t>
  </si>
  <si>
    <t>DTU_2022_1015621_1_SI_126_R1_001</t>
  </si>
  <si>
    <t>ERR1432994_1</t>
  </si>
  <si>
    <t>DTU2019-2026-PRJ1196-Listeria-monocytogenes-5_R1_001</t>
  </si>
  <si>
    <t>DTU2019-2028-PRJ1196-Listeria-monocytogenes-7_R1_001</t>
  </si>
  <si>
    <t>18-LI00615-0_S16_L001_R1_001</t>
  </si>
  <si>
    <t>DTU_2022_1015509_1_SI_Lm276_R1_001</t>
  </si>
  <si>
    <t>DTU_2022_1015780_1_SI_6085_R1_001</t>
  </si>
  <si>
    <t>P04-001_S1_L001_R1_001</t>
  </si>
  <si>
    <t>DTU_2022_1015989_1_SI_N20_0749_R1_001</t>
  </si>
  <si>
    <t>DTU_2022_1016075_1_SI_N19_0413_R1_001</t>
  </si>
  <si>
    <t>DTU_2022_1016070_1_SI_N19_0200_R1_001</t>
  </si>
  <si>
    <t>DTU_2022_1016109_1_SI_N19_3043_R1_001</t>
  </si>
  <si>
    <t>DTU_2022_1016105_1_SI_N19_2974_R1_001</t>
  </si>
  <si>
    <t>DTU_2022_1016092_1_SI_N19_2251_R1_001</t>
  </si>
  <si>
    <t>DTU_2022_1016028_1_SI_N20_2263_R1_001</t>
  </si>
  <si>
    <t>DTU_2022_1016085_1_SI_N19_1453_R1_001</t>
  </si>
  <si>
    <t>DTU_2022_1016116_1_SI_N20_0104_R1_001</t>
  </si>
  <si>
    <t>S10_TAAGGCGA-GAGCCTTA_R1_001</t>
  </si>
  <si>
    <t>DTU_2022_1015408_2_SI_LV0335_R1_001</t>
  </si>
  <si>
    <t>DTU_2022_1016248_1_SI_L869_R1_001</t>
  </si>
  <si>
    <t>DTU_2022_1015887_1_SI_LmRo6_R1_001</t>
  </si>
  <si>
    <t>DTU_2022_1015886_2_SI_LmRo4_R1_001</t>
  </si>
  <si>
    <t>ERR4648236_1</t>
  </si>
  <si>
    <t>DTU_2022_1015888_1_SI_LmRo8_R1_001</t>
  </si>
  <si>
    <t>DTU_2022_1015885_1_SI_LmRo3_R1_001</t>
  </si>
  <si>
    <t>DTU_2022_1015883_1_SI_LmRo1_R1_001</t>
  </si>
  <si>
    <t>DTU_2022_1015777_1_SI_6082_R1_001</t>
  </si>
  <si>
    <t>DTU_2022_1016200_1_SI_L286_R1_001</t>
  </si>
  <si>
    <t>DTU_2022_1016824_1_SI_SKWL40_R1_001</t>
  </si>
  <si>
    <t>DTU_2022_1015365_1_SI_JC43_R1_001</t>
  </si>
  <si>
    <t>DTU_2022_1015378_1_SI_JC75_R1_001</t>
  </si>
  <si>
    <t>MF7813_S17_L001_R1_001</t>
  </si>
  <si>
    <t>DTU_2022_1015949_1_SI_7747_R1_001</t>
  </si>
  <si>
    <t>DTU_2022_1015435_1_SI_6255_R1_001</t>
  </si>
  <si>
    <t>DTU_2022_1015373_1_SI_JC68_R1_001</t>
  </si>
  <si>
    <t>DTU_2022_1015382_2_SI_JC79_R1_001</t>
  </si>
  <si>
    <t>DTU_2022_1015363_1_SI_JC38_R1_001</t>
  </si>
  <si>
    <t>DTU_2022_1015392_2_SI_JC96_R1_001</t>
  </si>
  <si>
    <t>DTU_2022_1015396_2_SI_JC100_R1_001</t>
  </si>
  <si>
    <t>MF7843_S15_L001_R1_001</t>
  </si>
  <si>
    <t>DTU_2022_1016797_1_SI_SKWL337_R1_001</t>
  </si>
  <si>
    <t>DTU_2022_1015323_1_SI_491a1_R1_001</t>
  </si>
  <si>
    <t>MF2137_S2_L001_R1_001</t>
  </si>
  <si>
    <t>DTU_2022_1016710_1_SI_OLM13_R1_001</t>
  </si>
  <si>
    <t>DTU_2022_1016832_1_SI_JJ50_R1_001</t>
  </si>
  <si>
    <t>DTU_2022_1016216_1_SI_L398_R1_001</t>
  </si>
  <si>
    <t>DTU_2022_1016247_1_SI_L834_R1_001</t>
  </si>
  <si>
    <t>DTU_2022_1015335_1_SI_L1210b_R1_001</t>
  </si>
  <si>
    <t>DTU_2022_1015698_1_SI_MF6351_R1_001</t>
  </si>
  <si>
    <t>DTU_2022_1015498_1_SI_Lm141_R1_001</t>
  </si>
  <si>
    <t>DTU_2022_1015497_1_SI_Lm139_R1_001</t>
  </si>
  <si>
    <t>DTU_2022_1016160_1_SI_L691_R1_001</t>
  </si>
  <si>
    <t>S1_TCGACGTC-CTAAGCCT_R1_001</t>
  </si>
  <si>
    <t>DTU_2022_1015549_1_SI_54_R1_001</t>
  </si>
  <si>
    <t>DTU_2022_1015320_1_SI_L1305_R1_001</t>
  </si>
  <si>
    <t>DTU_2022_1016887_1_SI_LV0952_R1_001</t>
  </si>
  <si>
    <t>DTU_2022_1015539_1_SI_44_R1_001</t>
  </si>
  <si>
    <t>DTU_2022_1016833_1_SI_JJ22_R1_001</t>
  </si>
  <si>
    <t>L1551_1</t>
  </si>
  <si>
    <t>DTU_2022_1016830_1_SI_JJ31_R1_001</t>
  </si>
  <si>
    <t>DTU_2022_1015473_1_SI_22_R1_001</t>
  </si>
  <si>
    <t>DTU_2022_1015490_1_SI_Lm107_R1_001</t>
  </si>
  <si>
    <t>DTU_2022_1015458_1_SI_7_R1_001</t>
  </si>
  <si>
    <t>DTU_2022_1015543_1_SI_48_R1_001</t>
  </si>
  <si>
    <t>DTU_2022_1015647_1_SI_MF2171_R1_001</t>
  </si>
  <si>
    <t>ERR1432972_1</t>
  </si>
  <si>
    <t>DTU_2022_1016034_1_SI_N20_2431_R1_001</t>
  </si>
  <si>
    <t>DTU_2022_1016221_1_SI_L439_R1_001</t>
  </si>
  <si>
    <t>DTU_2022_1015541_1_SI_46_R1_001</t>
  </si>
  <si>
    <t>DTU_2022_1015893_1_SI_LmRo15_R1_001</t>
  </si>
  <si>
    <t>DTU_2022_1015548_1_SI_53_R1_001</t>
  </si>
  <si>
    <t>DTU_2022_1015588_1_SI_93_R1_001</t>
  </si>
  <si>
    <t>DTU_2022_1015546_1_SI_51_R1_001</t>
  </si>
  <si>
    <t>DTU_2022_1015604_1_SI_109_R1_001</t>
  </si>
  <si>
    <t>DTU_2022_1015544_1_SI_49_R1_001</t>
  </si>
  <si>
    <t>DTU_2022_1015600_1_SI_105_R1_001</t>
  </si>
  <si>
    <t>S117_GGAGCTAC-AAGGCTAT_R1_001</t>
  </si>
  <si>
    <t>ERR4648228_1</t>
  </si>
  <si>
    <t>DTU_2022_1015589_1_SI_94_R1_001</t>
  </si>
  <si>
    <t>DTU_2022_1015547_1_SI_52_R1_001</t>
  </si>
  <si>
    <t>ERR4648173_1</t>
  </si>
  <si>
    <t>DTU_2022_1016136_1_SI_L1198_R1_001</t>
  </si>
  <si>
    <t>DTU_2022_1015860_1_SI_CDL68_R1_001</t>
  </si>
  <si>
    <t>DTU_2022_1016249_1_SI_L885_R1_001</t>
  </si>
  <si>
    <t>ERR4648207_1</t>
  </si>
  <si>
    <t>DTU_2022_1015950_1_SI_7755_R1_001</t>
  </si>
  <si>
    <t>DTU_2022_1015364_1_SI_JC40_R1_001</t>
  </si>
  <si>
    <t>DTU-2021-1010555-1-SI-LT7_R1_001</t>
  </si>
  <si>
    <t>DTU_2022_1015352_1_SI_JC18_R1_001</t>
  </si>
  <si>
    <t>20-LI01270-0_S13_L001_R1_001</t>
  </si>
  <si>
    <t>DTU_2022_1015809_1_SI_8267_R1_001</t>
  </si>
  <si>
    <t>DTU_2022_1015351_1_SI_JC14_R1_001</t>
  </si>
  <si>
    <t>DTU_2022_1015394_2_SI_JC98_R1_001</t>
  </si>
  <si>
    <t>DTU_2022_1015356_2_SI_JC22_R1_001</t>
  </si>
  <si>
    <t>DTU_2022_1015395_2_SI_JC99_R1_001</t>
  </si>
  <si>
    <t>DTU_2022_1015362_1_SI_JC37_R1_001</t>
  </si>
  <si>
    <t>DTU_2022_1015496_1_SI_Lm133_R1_001</t>
  </si>
  <si>
    <t>DTU_2022_1015380_2_SI_JC77_R1_001</t>
  </si>
  <si>
    <t>DTU_2022_1015360_1_SI_JC33_R1_001</t>
  </si>
  <si>
    <t>M08_S5_L001_R1_001</t>
  </si>
  <si>
    <t>20-LI01052-0_S2_L001_R1_001</t>
  </si>
  <si>
    <t>21-LI00531-0_S36_L001_R1_001</t>
  </si>
  <si>
    <t>DTU_2022_1015505_2_SI_Lm225_R1_001</t>
  </si>
  <si>
    <t>DTU_2022_1015511_1_SI_Lm292_R1_001</t>
  </si>
  <si>
    <t>DTU_2022_1016026_1_SI_N20_2200_R1_001</t>
  </si>
  <si>
    <t>DTU_2022_1016863_1_SI_SK2891_R1_001</t>
  </si>
  <si>
    <t>DTU_2022_1016785_1_SI_OLM152_R1_001</t>
  </si>
  <si>
    <t>DTU_2022_1016780_1_SI_OLM142_R1_001</t>
  </si>
  <si>
    <t>ERR4648222_1</t>
  </si>
  <si>
    <t>DTU_2022_1015421_1_SI_1424_R1_001</t>
  </si>
  <si>
    <t>DTU_2022_1016779_1_SI_OLM141_R1_001</t>
  </si>
  <si>
    <t>ERR4648158_1</t>
  </si>
  <si>
    <t>MF7827_S23_L001_R1_001</t>
  </si>
  <si>
    <t>18030019-05_S35_L001_R1_001</t>
  </si>
  <si>
    <t>C03_S23_L001_R1_001</t>
  </si>
  <si>
    <t>S161_ACTGAGCG-TCGACTAG_R1_001</t>
  </si>
  <si>
    <t>13-LI00219-0_S22_L001_R1_001</t>
  </si>
  <si>
    <t>13-LI00228-0_S24_L001_R1_001</t>
  </si>
  <si>
    <t>MF07330_S23_L001_R1_001</t>
  </si>
  <si>
    <t>DTU_2022_1016020_1_SI_N20_2010_R1_001</t>
  </si>
  <si>
    <t>DTU_2022_1016666_1_SI_1883_R1_001</t>
  </si>
  <si>
    <t>19-LI00314-0_S43_R1_001</t>
  </si>
  <si>
    <t>18051585-02_S3_L001_R1_001</t>
  </si>
  <si>
    <t>DTU_2022_1015332_1_SI_L0703_R1_001</t>
  </si>
  <si>
    <t>DTU_2022_1015975_1_SI_6551_R1_001</t>
  </si>
  <si>
    <t>DTU-2021-1010550-1-SI-LT2_R1_001</t>
  </si>
  <si>
    <t>14020703-1_S16_L001_R1_001</t>
  </si>
  <si>
    <t>S151_ATGCGCAG-GAGCCTTA_R1_001</t>
  </si>
  <si>
    <t>ERR4648172_1</t>
  </si>
  <si>
    <t>ERR4648220_1</t>
  </si>
  <si>
    <t>DTU_2022_1015659_1_SI_MF3865_R1_001</t>
  </si>
  <si>
    <t>MF3860_S19_L001_R1_001</t>
  </si>
  <si>
    <t>DTU_2022_1016121_1_SI_N20_0268_R1_001</t>
  </si>
  <si>
    <t>SRR10859000_1</t>
  </si>
  <si>
    <t>DTU_2022_1016102_1_SI_N19_2884_R1_001</t>
  </si>
  <si>
    <t>DTU2019-2036-PRJ1196-Listeria-monocytogenes-15_R1_001</t>
  </si>
  <si>
    <t>DTU_2022_1015924_1_SI_7020_R1_001</t>
  </si>
  <si>
    <t>DTU_2022_1015646_1_SI_MF2170_R1_001</t>
  </si>
  <si>
    <t>DTU_2022_1015921_2_SI_6978_R1_001</t>
  </si>
  <si>
    <t>MF4624_1</t>
  </si>
  <si>
    <t>S147_ATGCGCAG-CCTAGAGT_R1_001</t>
  </si>
  <si>
    <t>DTU_2022_1016076_1_SI_N19_0486_R1_001</t>
  </si>
  <si>
    <t>S148_ATGCGCAG-GCGTAAGA_R1_001</t>
  </si>
  <si>
    <t>20-LI01531-0_S13_L001_R1_001</t>
  </si>
  <si>
    <t>19-LI01398-0_S5_R1_001</t>
  </si>
  <si>
    <t>DTU_2022_1015693_1_SI_MF5465_R1_001</t>
  </si>
  <si>
    <t>MF6335_S19_L001_R1_001</t>
  </si>
  <si>
    <t>DTU_2022_1015454_1_SI_3_R1_001</t>
  </si>
  <si>
    <t>15086032-2_S2_L001_R1_001</t>
  </si>
  <si>
    <t>MF6333_S20_L001_R1_001</t>
  </si>
  <si>
    <t>DTU_2022_1016151_1_SI_L1848_R1_001</t>
  </si>
  <si>
    <t>DTU2019-2025-PRJ1196-Listeria-monocytogenes-4_R1_001</t>
  </si>
  <si>
    <t>DTU_2022_1015862_1_SI_CDL71_R1_001</t>
  </si>
  <si>
    <t>DTU_2022_1016894_1_SI_MF5764_R1_001</t>
  </si>
  <si>
    <t>DTU_2022_1016179_1_SI_L1924_R1_001</t>
  </si>
  <si>
    <t>DTU_2022_1016807_1_SI_SKWL356_R1_001</t>
  </si>
  <si>
    <t>D10_S45_L001_R1_001</t>
  </si>
  <si>
    <t>C13_S18_L001_R1_001</t>
  </si>
  <si>
    <t>DTU_2022_1015750_1_SI_6045_R1_001</t>
  </si>
  <si>
    <t>DTU_2022_1016899_1_SI_CP4_R1_001</t>
  </si>
  <si>
    <t>DTU_2022_1015331_1_SI_1_MI_18_R1_001</t>
  </si>
  <si>
    <t>DTU_2022_1016241_1_SI_L710_R1_001</t>
  </si>
  <si>
    <t>DTU_2022_1016165_1_SI_L1910_R1_001</t>
  </si>
  <si>
    <t>DTU_2022_1015704_1_SI_MF7327_R1_001</t>
  </si>
  <si>
    <t>DTU_2022_1015377_1_SI_JC74_R1_001</t>
  </si>
  <si>
    <t>DTU_2022_1016774_1_SI_OLM135_R1_001</t>
  </si>
  <si>
    <t>DTU_2022_1015817_1_SI_2823_R1_001</t>
  </si>
  <si>
    <t>DTU_2022_1016867_1_SI_SK3199_R1_001</t>
  </si>
  <si>
    <t>DTU_2022_1016839_1_SI_2616_R1_001</t>
  </si>
  <si>
    <t>MF5646_S17_L001_R1_001</t>
  </si>
  <si>
    <t>DTU_2022_1015307_1_SI_128b1_R1_001</t>
  </si>
  <si>
    <t>DTU_2022_1016148_1_SI_L1690_R1_001</t>
  </si>
  <si>
    <t>DTU_2022_1016257_1_SI_L994_R1_001</t>
  </si>
  <si>
    <t>MF7971_S17_L001_R1_001</t>
  </si>
  <si>
    <t>MF7350_S5_L001_R1_001</t>
  </si>
  <si>
    <t>S115_GGAGCTAC-GCGTAAGA_R1_001</t>
  </si>
  <si>
    <t>DTU_2022_1015834_1_SI_CDL121_R1_001</t>
  </si>
  <si>
    <t>DTU_2022_1016708_1_SI_OLM9_R1_001</t>
  </si>
  <si>
    <t>DTU_2022_1016062_1_SI_N21_0527_R1_001</t>
  </si>
  <si>
    <t>DTU_2022_1016061_1_SI_N21_0475_R1_001</t>
  </si>
  <si>
    <t>DTU_2022_1016679_1_SI_2573_R1_001</t>
  </si>
  <si>
    <t>DTU_2022_1016760_1_SI_OLM97_R1_001</t>
  </si>
  <si>
    <t>DTU_2022_1016728_1_SI_OLM38_R1_001</t>
  </si>
  <si>
    <t>DTU_2022_1015567_1_SI_72_R1_001</t>
  </si>
  <si>
    <t>DTU_2022_1015514_1_SI_Lm323_R1_001</t>
  </si>
  <si>
    <t>DTU_2022_1015574_1_SI_79_R1_001</t>
  </si>
  <si>
    <t>20-LI00099-0_S90_R1_001</t>
  </si>
  <si>
    <t>DTU_2022_1015978_1_SI_D5590_A_R1_001</t>
  </si>
  <si>
    <t>20-LI00705-0_S14_R1_001</t>
  </si>
  <si>
    <t>DTU2019-2038-PRJ1196-Listeria-monocytogenes-17_R1_001</t>
  </si>
  <si>
    <t>DTU_2022_1015557_2_SI_62_R1_001</t>
  </si>
  <si>
    <t>SRR13389155_1</t>
  </si>
  <si>
    <t>MF6187_S4_L001_R1_001</t>
  </si>
  <si>
    <t>DTU_2022_1016782_1_SI_OLM144_R1_001</t>
  </si>
  <si>
    <t>19-LI00317-0_S46_R1_001</t>
  </si>
  <si>
    <t>DTU_2022_1015470_1_SI_19_R1_001</t>
  </si>
  <si>
    <t>20-LI00707-0_S16_R1_001</t>
  </si>
  <si>
    <t>DTU_2022_1016043_1_SI_N20_2732_R1_001</t>
  </si>
  <si>
    <t>DTU_2022_1016901_1_SI_N20_2373_R1_001</t>
  </si>
  <si>
    <t>L1751_1</t>
  </si>
  <si>
    <t>DTU_2022_1016229_1_SI_L537_R1_001</t>
  </si>
  <si>
    <t>DTU_2022_1015367_1_SI_JC49_R1_001</t>
  </si>
  <si>
    <t>C14_S13_L001_R1_001</t>
  </si>
  <si>
    <t>DTU-2021-1010559-1-SI-LT11_R1_001</t>
  </si>
  <si>
    <t>DTU_2022_1015638_1_SI_MF2161_R1_001</t>
  </si>
  <si>
    <t>DTU_2022_1015640_1_SI_MF2164_R1_001</t>
  </si>
  <si>
    <t>DTU_2022_1015655_1_SI_MF2189_R1_001</t>
  </si>
  <si>
    <t>DTU_2022_1016218_1_SI_L400_R1_001</t>
  </si>
  <si>
    <t>DTU_2022_1015643_1_SI_MF2167_R1_001</t>
  </si>
  <si>
    <t>ERR4648192_1</t>
  </si>
  <si>
    <t>MF2184_S15_L001_R1_001</t>
  </si>
  <si>
    <t>S72_AAGAGGCA-GCGTAAGA_R1_001</t>
  </si>
  <si>
    <t>MF7850_S13_L001_R1_001</t>
  </si>
  <si>
    <t>S158_TAGCGCTC-AAGGCTAT_R1_001</t>
  </si>
  <si>
    <t>19-LI00542-0_S20_L001_R1_001</t>
  </si>
  <si>
    <t>L1350_R1</t>
  </si>
  <si>
    <t>DTU2019-2047-PRJ1196-Listeria-monocytogenes-26_R1_001</t>
  </si>
  <si>
    <t>19-LI01448-0_S56_R1_001</t>
  </si>
  <si>
    <t>DTU_2022_1016670_1_SI_4715_R1_001</t>
  </si>
  <si>
    <t>DTU_2022_1016673_1_SI_2_R1_001</t>
  </si>
  <si>
    <t>DTU_2022_1015661_1_SI_MF3976_R1_001</t>
  </si>
  <si>
    <t>DTU_2022_1016171_1_SI_L1916_R1_001</t>
  </si>
  <si>
    <t>DTU_2022_1015905_1_SI_13KMS_R1_001</t>
  </si>
  <si>
    <t>DTU_2022_1015896_1_SI_5907_R1_001</t>
  </si>
  <si>
    <t>DTU_2022_1016024_1_SI_N20_2105_R1_001</t>
  </si>
  <si>
    <t>DTU_2022_1015863_1_SI_CDL72_R1_001</t>
  </si>
  <si>
    <t>DTU_2022_1016037_1_SI_N20_2604_R1_001</t>
  </si>
  <si>
    <t>18027196-1_S32_L001_R1_001</t>
  </si>
  <si>
    <t>DTU_2022_1016115_1_SI_N20_0094_R1_001</t>
  </si>
  <si>
    <t>DTU_2022_1016113_1_SI_N19_3097_R1_001</t>
  </si>
  <si>
    <t>DTU_2022_1016120_1_SI_N20_0187_R1_001</t>
  </si>
  <si>
    <t>DTU_2022_1015523_1_SI_28_R1_001</t>
  </si>
  <si>
    <t>DTU_2022_1015520_1_SI_25_R1_001</t>
  </si>
  <si>
    <t>S141_TACGCTGC-CTATTAAG_R1_001</t>
  </si>
  <si>
    <t>MF4697_1</t>
  </si>
  <si>
    <t>MF4997_1</t>
  </si>
  <si>
    <t>MF6172_1</t>
  </si>
  <si>
    <t>DTU_2022_1016090_1_SI_N19_2025_R1_001</t>
  </si>
  <si>
    <t>DTU_2022_1015338_1_SI_506a3_R1_001</t>
  </si>
  <si>
    <t>DTU_2022_1016869_1_SI_SK2902_R1_001</t>
  </si>
  <si>
    <t>DTU_2022_1015836_1_SI_CDL146_R1_001</t>
  </si>
  <si>
    <t>15087373-4_S5_L001_R1_001</t>
  </si>
  <si>
    <t>DTU_2022_1016123_1_SI_N20_0320_R1_001</t>
  </si>
  <si>
    <t>DTU2019-2023-PRJ1196-Listeria-monocytogenes-2_R1_001</t>
  </si>
  <si>
    <t>DTU_2022_1016770_1_SI_OLM59_R1_001</t>
  </si>
  <si>
    <t>DTU_2022_1016672_1_SI_6632_R1_001</t>
  </si>
  <si>
    <t>V08_S4_L001_R1_001</t>
  </si>
  <si>
    <t>S50_TAGGCATG-GAGCCTTA_R1_001</t>
  </si>
  <si>
    <t>S51_TAGGCATG-TTATGCGA_R1_001</t>
  </si>
  <si>
    <t>C10_S56_L001_R1_001</t>
  </si>
  <si>
    <t>DTU_2022_1015653_1_SI_MF2187_R1_001</t>
  </si>
  <si>
    <t>DTU_2022_1015585_1_SI_90_R1_001</t>
  </si>
  <si>
    <t>DTU_2022_1016164_1_SI_L1909_R1_001</t>
  </si>
  <si>
    <t>DTU_2022_1016209_1_SI_L387_R1_001</t>
  </si>
  <si>
    <t>L295_R1</t>
  </si>
  <si>
    <t>DTU_2022_1015399_2_SI_LV0534_R1_001</t>
  </si>
  <si>
    <t>L1174_R1</t>
  </si>
  <si>
    <t>DTU_2022_1016239_1_SI_L669_R1_001</t>
  </si>
  <si>
    <t>DTU-2021-1010557-1-SI-LT9_R1_001</t>
  </si>
  <si>
    <t>DTU-2021-1010551-1-SI-LT3_R1_001</t>
  </si>
  <si>
    <t>M02_S11_L001_R1_001</t>
  </si>
  <si>
    <t>DTU_2022_1016214_1_SI_L395_R1_001</t>
  </si>
  <si>
    <t>14023972-5_S23_L001_R1_001</t>
  </si>
  <si>
    <t>MF7678_S20_L001_R1_001</t>
  </si>
  <si>
    <t>S54_CTCTCTAC-CCTAGAGT_R1_001</t>
  </si>
  <si>
    <t>DTU_2022_1015294_1_SI_268b1_R1_001</t>
  </si>
  <si>
    <t>DTU_2022_1015936_1_SI_7230_R1_001</t>
  </si>
  <si>
    <t>M07_S46_L001_R1_001</t>
  </si>
  <si>
    <t>DTU_2022_1016831_1_SI_JJ44_R1_001</t>
  </si>
  <si>
    <t>DTU_2022_1016878_1_SI_SK5281_R1_001</t>
  </si>
  <si>
    <t>DTU_2022_1015283_1_SI_18_2b_R1_001</t>
  </si>
  <si>
    <t>20-LI01875-0_S72_R1_001</t>
  </si>
  <si>
    <t>S43_GGACTCCT-TTATGCGA_R1_001</t>
  </si>
  <si>
    <t>DTU_2022_1015350_1_SI_JC13_R1_001</t>
  </si>
  <si>
    <t>DTU_2022_1015357_1_SI_JC27_R1_001</t>
  </si>
  <si>
    <t>DTU_2022_1016877_1_SI_SK3161_R1_001</t>
  </si>
  <si>
    <t>DTU_2022_1015383_2_SI_JC80_R1_001</t>
  </si>
  <si>
    <t>S162_ACTGAGCG-TTCTAGCT_R1_001</t>
  </si>
  <si>
    <t>S185_CGATCAGT-TTATGCGA_R1_001</t>
  </si>
  <si>
    <t>DTU_2022_1015389_2_SI_JC86_R1_001</t>
  </si>
  <si>
    <t>DTU_2022_1015388_2_SI_JC85_R1_001</t>
  </si>
  <si>
    <t>DTU_2022_1015379_2_SI_JC76_R1_001</t>
  </si>
  <si>
    <t>DTU_2022_1015507_2_SI_Lm261_R1_001</t>
  </si>
  <si>
    <t>DTU_2022_1016862_1_SI_SK2747_R1_001</t>
  </si>
  <si>
    <t>SRR11430184_1</t>
  </si>
  <si>
    <t>DTU_2022_1015843_1_SI_CDL164_R1_001</t>
  </si>
  <si>
    <t>DTU_2022_1015912_1_SI_4206_R1_001</t>
  </si>
  <si>
    <t>DTU_2022_1015688_1_SI_MF5241_R1_001</t>
  </si>
  <si>
    <t>DTU_2022_1015811_1_SI_8276_R1_001</t>
  </si>
  <si>
    <t>ERR4648190_1</t>
  </si>
  <si>
    <t>S187_TGCAGCTA-TTCTAGCT_R1_001</t>
  </si>
  <si>
    <t>ERR1432971_1</t>
  </si>
  <si>
    <t>DTU_2022_1016063_1_SI_N21_0556_R1_001</t>
  </si>
  <si>
    <t>DTU_2022_1016149_1_SI_L1823_R1_001</t>
  </si>
  <si>
    <t>DTU_2022_1016886_1_SI_LV0593_R1_001</t>
  </si>
  <si>
    <t>17-LI00066-0_S9_L001_R1_001</t>
  </si>
  <si>
    <t>DTU_2022_1015915_1_SI_5510_R1_001</t>
  </si>
  <si>
    <t>ERR1432974_1</t>
  </si>
  <si>
    <t>DTU_2022_1016042_1_SI_N20_2702_R1_001</t>
  </si>
  <si>
    <t>DTU_2022_1016044_1_SI_N20_2776_R1_001</t>
  </si>
  <si>
    <t>DTU_2022_1016065_1_SI_N13_0402_R1_001</t>
  </si>
  <si>
    <t>DTU_2022_1015771_1_SI_6074_R1_001</t>
  </si>
  <si>
    <t>ERR4648150_1</t>
  </si>
  <si>
    <t>DTU_2022_1015859_1_SI_CDL67_R1_001</t>
  </si>
  <si>
    <t>MF4991_S19_L001_R1_001</t>
  </si>
  <si>
    <t>DTU_2022_1015923_1_SI_7001_R1_001</t>
  </si>
  <si>
    <t>DTU_2022_1015910_2_SI_3516_R1_001</t>
  </si>
  <si>
    <t>L1598_1</t>
  </si>
  <si>
    <t>seq-Lm-Ro09-10m_S37_L001_R1_001</t>
  </si>
  <si>
    <t>DTU_2022_1015295_2_SI_90a1_R1_001</t>
  </si>
  <si>
    <t>ERR4648217_1</t>
  </si>
  <si>
    <t>DTU_2022_1015518_1_SI_23_R1_001</t>
  </si>
  <si>
    <t>DTU_2022_1016897_1_SI_MF5787_R1_001</t>
  </si>
  <si>
    <t>DTU_2022_1016015_1_SI_N20_1648_R1_001</t>
  </si>
  <si>
    <t>MF7315_S10_L001_R1_001</t>
  </si>
  <si>
    <t>16-LI00586-0_S12_L001_R1_001</t>
  </si>
  <si>
    <t>SRR5764868_1</t>
  </si>
  <si>
    <t>DTU_2022_1015822_1_SI_5088_R1_001</t>
  </si>
  <si>
    <t>C12_S48_L001_R1_001</t>
  </si>
  <si>
    <t>DTU_2022_1015651_1_SI_MF2185_R1_001</t>
  </si>
  <si>
    <t>DTU_2022_1015970_1_SI_5857_R1_001</t>
  </si>
  <si>
    <t>DTU_2022_1015904_1_SI_4KMS_R1_001</t>
  </si>
  <si>
    <t>DTU_2022_1015973_1_SI_6594_R1_001</t>
  </si>
  <si>
    <t>DTU_2022_1016083_1_SI_N19_1165_R1_001</t>
  </si>
  <si>
    <t>DTU_2022_1016201_1_SI_L287_R1_001</t>
  </si>
  <si>
    <t>DTU_2022_1016233_1_SI_L599_R1_001</t>
  </si>
  <si>
    <t>DTU_2022_1015810_1_SI_8269_R1_001</t>
  </si>
  <si>
    <t>DTU_2022_1015806_1_SI_8243_R1_001</t>
  </si>
  <si>
    <t>D03_S7_L001_R1_001</t>
  </si>
  <si>
    <t>DTU_2022_1016186_1_SI_L1931_R1_001</t>
  </si>
  <si>
    <t>DTU_2022_1015532_1_SI_37_R1_001</t>
  </si>
  <si>
    <t>15088511_S7_L001_R1_001</t>
  </si>
  <si>
    <t>DTU_2022_1015499_1_SI_Lm143_R1_001</t>
  </si>
  <si>
    <t>DTU_2022_1016126_1_SI_N20_0415_R1_001</t>
  </si>
  <si>
    <t>DTU_2022_1016100_1_SI_N19_2881_R1_001</t>
  </si>
  <si>
    <t>DTU_2022_1015477_1_SI_Lm026_R1_001</t>
  </si>
  <si>
    <t>2011-306_S21_L001_R1_001</t>
  </si>
  <si>
    <t>DTU_2022_1016725_1_SI_OLM31_R1_001</t>
  </si>
  <si>
    <t>MF1341_S2_L001_R1_001</t>
  </si>
  <si>
    <t>DTU_2022_1016855_1_SI_SKB100_R1_001</t>
  </si>
  <si>
    <t>S29_TCCTGAGC-TTCTAGCT_R1_001</t>
  </si>
  <si>
    <t>L1485_1</t>
  </si>
  <si>
    <t>MF7262_S20_L001_R1_001</t>
  </si>
  <si>
    <t>DTU_2022_1015488_1_SI_Lm042_R1_001</t>
  </si>
  <si>
    <t>MF7242_S15_L001_R1_001</t>
  </si>
  <si>
    <t>DTU_2022_1016755_1_SI_OLM81_R1_001</t>
  </si>
  <si>
    <t>DTU2019-2055-PRJ1196-Listeria-monocytogenes-34_R1_001</t>
  </si>
  <si>
    <t>DTU2019-2054-PRJ1196-Listeria-monocytogenes-33_R1_001</t>
  </si>
  <si>
    <t>DTU_2022_1016199_1_SI_L279_R1_001</t>
  </si>
  <si>
    <t>DTU2019-2039-PRJ1196-Listeria-monocytogenes-18_R1_001</t>
  </si>
  <si>
    <t>MF5641_S11_L001_R1_001</t>
  </si>
  <si>
    <t>MF7098_S1_L001_R1_001</t>
  </si>
  <si>
    <t>DTU_2022_1015492_1_SI_Lm114_R1_001</t>
  </si>
  <si>
    <t>L1493_1</t>
  </si>
  <si>
    <t>MF2174_S1_L001_R1_001</t>
  </si>
  <si>
    <t>DTU_2022_1015436_1_SI_6263_R1_001</t>
  </si>
  <si>
    <t>MF7752_S18_L001_R1_001</t>
  </si>
  <si>
    <t>19-LI00480-0_S16_L001_R1_001</t>
  </si>
  <si>
    <t>DTU_2022_1015689_1_SI_MF5373_R1_001</t>
  </si>
  <si>
    <t>DTU2019-2034-PRJ1196-Listeria-monocytogenes-13_R1_001</t>
  </si>
  <si>
    <t>DTU_2022_1015369_1_SI_JC53_R1_001</t>
  </si>
  <si>
    <t>DTU_2022_1015353_1_SI_JC19_R1_001</t>
  </si>
  <si>
    <t>DTU_2022_1015390_2_SI_JC87_R1_001</t>
  </si>
  <si>
    <t>DTU_2022_1015385_2_SI_JC82_R1_001</t>
  </si>
  <si>
    <t>DTU_2022_1015384_2_SI_JC81_R1_001</t>
  </si>
  <si>
    <t>DTU_2022_1015386_2_SI_JC83_R1_001</t>
  </si>
  <si>
    <t>DTU_2022_1016101_1_SI_N19_2882_R1_001</t>
  </si>
  <si>
    <t>DTU_2022_1016030_1_SI_N20_2339_R1_001</t>
  </si>
  <si>
    <t>MF4601_S18_L001_R1_001</t>
  </si>
  <si>
    <t>20-LI00704-0_S13_R1_001</t>
  </si>
  <si>
    <t>MF5050_S21_L001_R1_001</t>
  </si>
  <si>
    <t>17014046-05_S15_L001_R1_001</t>
  </si>
  <si>
    <t>DTU_2022_1015337_1_SI_L1906b1_R1_001</t>
  </si>
  <si>
    <t>DTU_2022_1016237_1_SI_L634_R1_001</t>
  </si>
  <si>
    <t>L124_R1</t>
  </si>
  <si>
    <t>L1030_R1</t>
  </si>
  <si>
    <t>DTU_2022_1015355_1_SI_JC21_R1_001</t>
  </si>
  <si>
    <t>S119_GGAGCTAC-TTATGCGA_R1_001</t>
  </si>
  <si>
    <t>DTU_2022_1015368_1_SI_JC51_R1_001</t>
  </si>
  <si>
    <t>DTU_2022_1016137_1_SI_L1229_R1_001</t>
  </si>
  <si>
    <t>DTU_2022_1016709_1_SI_OLM12_R1_001</t>
  </si>
  <si>
    <t>15087326-1_S3_L001_R1_001</t>
  </si>
  <si>
    <t>L1364_R1</t>
  </si>
  <si>
    <t>DTU2016-377-PRJunkn-Listeria-subsp-15123774_S1_L001_R1_001</t>
  </si>
  <si>
    <t>18010875-02_S36_L001_R1_001</t>
  </si>
  <si>
    <t>DTU_2022_1016245_1_SI_L799_R1_001</t>
  </si>
  <si>
    <t>ERR4648189_1</t>
  </si>
  <si>
    <t>C07_S29_L001_R1_001</t>
  </si>
  <si>
    <t>18012719-01_S38_L001_R1_001</t>
  </si>
  <si>
    <t>F03_S41_L001_R1_001</t>
  </si>
  <si>
    <t>DTU_2022_1015808_1_SI_8261_R1_001</t>
  </si>
  <si>
    <t>MF7726_S8_L001_R1_001</t>
  </si>
  <si>
    <t>MF7372_S8_L001_R1_001</t>
  </si>
  <si>
    <t>DTU_2022_1016194_1_SI_L251_R1_001</t>
  </si>
  <si>
    <t>DTU_2022_1015668_1_SI_MF4282_R1_001</t>
  </si>
  <si>
    <t>DTU_2022_1015667_1_SI_MF4275_R1_001</t>
  </si>
  <si>
    <t>DTU_2022_1016699_1_SI_723_13_R1_001</t>
  </si>
  <si>
    <t>DTU_2022_1016689_1_SI_1691_13_R1_001</t>
  </si>
  <si>
    <t>F11_S48_L001_R1_001</t>
  </si>
  <si>
    <t>DTU_2022_1015692_1_SI_MF5464_R1_001</t>
  </si>
  <si>
    <t>V04_S35_L001_R1_001</t>
  </si>
  <si>
    <t>DTU_2022_1015609_1_SI_114_R1_001</t>
  </si>
  <si>
    <t>DTU_2022_1016088_1_SI_N19_1748_R1_001</t>
  </si>
  <si>
    <t>DTU_2022_1015537_1_SI_42_R1_001</t>
  </si>
  <si>
    <t>DTU_2022_1015612_1_SI_117_R1_001</t>
  </si>
  <si>
    <t>DTU_2022_1015821_1_SI_5087_R1_001</t>
  </si>
  <si>
    <t>DTU_2022_1016145_1_SI_L1577_R1_001</t>
  </si>
  <si>
    <t>DTU_2022_1015641_1_SI_MF2165_R1_001</t>
  </si>
  <si>
    <t>DTU_2022_1015613_1_SI_118_R1_001</t>
  </si>
  <si>
    <t>DTU_2022_1016697_1_SI_2370_13_R1_001</t>
  </si>
  <si>
    <t>14-LI00214-0_S2_L001_R1_001</t>
  </si>
  <si>
    <t>M03_S55_L001_R1_001</t>
  </si>
  <si>
    <t>DTU_2022_1015634_1_SI_MF2157_R1_001</t>
  </si>
  <si>
    <t>S102_ATCTCAGG-TTATGCGA_R1_001</t>
  </si>
  <si>
    <t>DTU_2022_1015504_2_SI_Lm214_R1_001</t>
  </si>
  <si>
    <t>21-LI00529-0_S34_L001_R1_001</t>
  </si>
  <si>
    <t>P01-012_S1_L001_R1_001</t>
  </si>
  <si>
    <t>DTU_2022_1015996_1_SI_N20_0846_R1_001</t>
  </si>
  <si>
    <t>DTU_2022_1016104_1_SI_N19_2918_R1_001</t>
  </si>
  <si>
    <t>DTU_2022_1015987_1_SI_N20_0680_R1_001</t>
  </si>
  <si>
    <t>DTU_2022_1016098_1_SI_N19_2731_R1_001</t>
  </si>
  <si>
    <t>DTU_2022_1016119_1_SI_N20_0186_R1_001</t>
  </si>
  <si>
    <t>DTU_2022_1016011_1_SI_N20_1446_R1_001</t>
  </si>
  <si>
    <t>DTU_2022_1016069_1_SI_N19_0128_R1_001</t>
  </si>
  <si>
    <t>DTU_2022_1015991_1_SI_N20_0797_R1_001</t>
  </si>
  <si>
    <t>DTU_2022_1016876_1_SI_SK3150_R1_001</t>
  </si>
  <si>
    <t>DTU-2021-1010558-1-SI-LT10_R1_001</t>
  </si>
  <si>
    <t>DTU2019-2042-PRJ1196-Listeria-monocytogenes-21_R1_001</t>
  </si>
  <si>
    <t>DTU_2022_1015551_1_SI_56_R1_001</t>
  </si>
  <si>
    <t>MF7751_S17_L001_R1_001</t>
  </si>
  <si>
    <t>DTU_2022_1016744_1_SI_OLM67_R1_001</t>
  </si>
  <si>
    <t>DTU_2022_1016111_1_SI_N19_3072_R1_001</t>
  </si>
  <si>
    <t>D01_S10_L001_R1_001</t>
  </si>
  <si>
    <t>ERR4648166_1</t>
  </si>
  <si>
    <t>L1487_R1</t>
  </si>
  <si>
    <t>DTU_2022_1015459_1_SI_8_R1_001</t>
  </si>
  <si>
    <t>DTU_2022_1016192_1_SI_L238_R1_001</t>
  </si>
  <si>
    <t>DTU_2022_1016082_1_SI_N19_1079_R1_001</t>
  </si>
  <si>
    <t>DTU_2022_1015911_1_SI_4201_R1_001</t>
  </si>
  <si>
    <t>DTU_2022_1016704_1_SI_OLM3_R1_001</t>
  </si>
  <si>
    <t>DTU_2022_1016193_1_SI_L246_R1_001</t>
  </si>
  <si>
    <t>DTU_2022_1015485_1_SI_Lm039_R1_001</t>
  </si>
  <si>
    <t>DTU_2022_1015476_1_SI_Lm004_R1_001</t>
  </si>
  <si>
    <t>DTU_2022_1015483_1_SI_Lm037_R1_001</t>
  </si>
  <si>
    <t>DTU_2022_1015468_1_SI_17_R1_001</t>
  </si>
  <si>
    <t>DTU_2022_1015494_1_SI_Lm127_R1_001</t>
  </si>
  <si>
    <t>DTU_2022_1015475_1_SI_Lm003_R1_001</t>
  </si>
  <si>
    <t>DTU_2022_1015481_1_SI_Lm035_R1_001</t>
  </si>
  <si>
    <t>DTU_2022_1015478_1_SI_Lm030_R1_001</t>
  </si>
  <si>
    <t>DTU_2022_1015479_1_SI_Lm031_R1_001</t>
  </si>
  <si>
    <t>DTU_2022_1015482_1_SI_Lm036_R1_001</t>
  </si>
  <si>
    <t>DTU_2022_1015486_1_SI_Lm040_R1_001</t>
  </si>
  <si>
    <t>DTU_2022_1015484_1_SI_Lm038_R1_001</t>
  </si>
  <si>
    <t>DTU_2022_1015487_1_SI_Lm041_R1_001</t>
  </si>
  <si>
    <t>DTU_2022_1015480_1_SI_Lm034_R1_001</t>
  </si>
  <si>
    <t>DTU_2022_1015779_1_SI_6084_R1_001</t>
  </si>
  <si>
    <t>DTU_2022_1015994_1_SI_N20_0822_R1_001</t>
  </si>
  <si>
    <t>DTU_2022_1016250_1_SI_L914_R1_001</t>
  </si>
  <si>
    <t>DTU_2022_1015992_1_SI_N20_0801_R1_001</t>
  </si>
  <si>
    <t>DTU_2022_1016661_1_SI_WRLP530_R1_001</t>
  </si>
  <si>
    <t>DTU_2022_1016662_1_SI_WRLP533_R1_001</t>
  </si>
  <si>
    <t>DTU_2022_1015986_1_SI_N20_0642_R1_001</t>
  </si>
  <si>
    <t>DTU_2022_1016252_1_SI_L924_R1_001</t>
  </si>
  <si>
    <t>DTU_2022_1016029_1_SI_N20_2292_R1_001</t>
  </si>
  <si>
    <t>DTU_2022_1016014_1_SI_N20_1630_R1_001</t>
  </si>
  <si>
    <t>S160_TAGCGCTC-TTATGCGA_R1_001</t>
  </si>
  <si>
    <t>MF7748_S21_L001_R1_001</t>
  </si>
  <si>
    <t>DTU_2022_1015969_1_SI_5908_R1_001</t>
  </si>
  <si>
    <t>DTU_2022_1015952_1_SI_7882_R1_001</t>
  </si>
  <si>
    <t>DTU_2022_1015630_1_SI_MF1487_R1_001</t>
  </si>
  <si>
    <t>DTU_2022_1015610_1_SI_115_R1_001</t>
  </si>
  <si>
    <t>DTU_2022_1016039_1_SI_N20_2612_R1_001</t>
  </si>
  <si>
    <t>DTU_2022_1016851_1_SI_SKB46_R1_001</t>
  </si>
  <si>
    <t>DTU_2022_1016838_1_SI_SK2509_R1_001</t>
  </si>
  <si>
    <t>DTU_2022_1016850_1_SI_SKB43_R1_001</t>
  </si>
  <si>
    <t>DTU_2022_1016765_1_SI_OLM116_R1_001</t>
  </si>
  <si>
    <t>DTU_2022_1016764_1_SI_OLM115_R1_001</t>
  </si>
  <si>
    <t>MF7670_S12_L001_R1_001</t>
  </si>
  <si>
    <t>18008535-2_S36_L001_R1_001</t>
  </si>
  <si>
    <t>DTU_2022_1015330_1_SI_5_MI_27_R1_001</t>
  </si>
  <si>
    <t>V05_S40_L001_R1_001</t>
  </si>
  <si>
    <t>DTU_2022_1015374_1_SI_JC69_R1_001</t>
  </si>
  <si>
    <t>DTU_2022_1015686_1_SI_MF5190_R1_001</t>
  </si>
  <si>
    <t>MF7586_S24_L001_R1_001</t>
  </si>
  <si>
    <t>4588_S11_L001_R1_001</t>
  </si>
  <si>
    <t>ERR1432995_1</t>
  </si>
  <si>
    <t>F12_S49_L001_R1_001</t>
  </si>
  <si>
    <t>DTU_2022_1015827_1_SI_535_R1_001</t>
  </si>
  <si>
    <t>DTU_2022_1015657_1_SI_MF2191_R1_001</t>
  </si>
  <si>
    <t>DTU_2022_1015656_1_SI_MF2190_R1_001</t>
  </si>
  <si>
    <t>DTU_2022_1016143_1_SI_L1570_R1_001</t>
  </si>
  <si>
    <t>DTU_2022_1015819_1_SI_2992_R1_001</t>
  </si>
  <si>
    <t>DTU_2022_1016099_1_SI_N19_2837_R1_001</t>
  </si>
  <si>
    <t>DTU_2022_1015939_1_SI_7459_R1_001</t>
  </si>
  <si>
    <t>S181_CGATCAGT-CTATTAAG_R1_001</t>
  </si>
  <si>
    <t>DTU_2022_1015927_1_SI_7029_R1_001</t>
  </si>
  <si>
    <t>DTU_2022_1016246_1_SI_L829_R1_001</t>
  </si>
  <si>
    <t>ERR1433000_1</t>
  </si>
  <si>
    <t>DTU_2022_1016225_1_SI_L455_R1_001</t>
  </si>
  <si>
    <t>ERR1432992_1</t>
  </si>
  <si>
    <t>19-LI01446-0_S54_R1_001</t>
  </si>
  <si>
    <t>DTU_2022_1016243_1_SI_L715_R1_001</t>
  </si>
  <si>
    <t>DTU_2022_1016236_1_SI_L629_R1_001</t>
  </si>
  <si>
    <t>MF2181_S4_L001_R1_001</t>
  </si>
  <si>
    <t>V02_S48_L001_R1_001</t>
  </si>
  <si>
    <t>ERR4648227_1</t>
  </si>
  <si>
    <t>ERR4648154_1</t>
  </si>
  <si>
    <t>DTU_2022_1016210_1_SI_L389_R1_001</t>
  </si>
  <si>
    <t>DTU_2022_1015461_1_SI_10_R1_001</t>
  </si>
  <si>
    <t>MF7885_S6_L001_R1_001</t>
  </si>
  <si>
    <t>DTU_2022_1016073_1_SI_N19_0351_R1_001</t>
  </si>
  <si>
    <t>MF7854_S9_L001_R1_001</t>
  </si>
  <si>
    <t>MF7151_S14_L001_R1_001</t>
  </si>
  <si>
    <t>DTU_2022_1015857_1_SI_CDL65_R1_001</t>
  </si>
  <si>
    <t>DTU_2022_1016213_1_SI_L394_R1_001</t>
  </si>
  <si>
    <t>DTU_2022_1015472_1_SI_21_R1_001</t>
  </si>
  <si>
    <t>DTU_2022_1015627_1_SI_132_R1_001</t>
  </si>
  <si>
    <t>L1643_1</t>
  </si>
  <si>
    <t>DTU_2022_1015572_1_SI_77_R1_001</t>
  </si>
  <si>
    <t>19-LI00047-0_S17_L001_R1_001</t>
  </si>
  <si>
    <t>SRR13153599_1</t>
  </si>
  <si>
    <t>DTU_2022_1015751_1_SI_6047_R1_001</t>
  </si>
  <si>
    <t>DTU_2022_1015741_1_SI_6036_R1_001</t>
  </si>
  <si>
    <t>DTU_2022_1015735_1_SI_6029_R1_001</t>
  </si>
  <si>
    <t>DTU_2022_1015749_1_SI_6044_R1_001</t>
  </si>
  <si>
    <t>DTU_2022_1015626_1_SI_131_R1_001</t>
  </si>
  <si>
    <t>DTU_2022_1015423_1_SI_1427_R1_001</t>
  </si>
  <si>
    <t>DTU_2022_1015625_1_SI_130_R1_001</t>
  </si>
  <si>
    <t>DTU_2022_1015837_1_SI_CDL147_R1_001</t>
  </si>
  <si>
    <t>19-LI00318-0_S47_R1_001</t>
  </si>
  <si>
    <t>DTU_2022_1015854_1_SI_CDL203_R1_001</t>
  </si>
  <si>
    <t>DTU_2022_1015744_1_SI_6039_R1_001</t>
  </si>
  <si>
    <t>seq-Lm-Ro05-10m_S23_L001_R1_001</t>
  </si>
  <si>
    <t>MF4009_S7_L001_R1_001</t>
  </si>
  <si>
    <t>seq-Lm-Ro13-10m_S44_L001_R1_001</t>
  </si>
  <si>
    <t>DTU_2022_1016187_1_SI_L1932_R1_001</t>
  </si>
  <si>
    <t>L1772_1</t>
  </si>
  <si>
    <t>DTU_2022_1015297_1_SI_268a5_R1_001</t>
  </si>
  <si>
    <t>L1747_1</t>
  </si>
  <si>
    <t>DTU_2022_1015510_1_SI_Lm283_R1_001</t>
  </si>
  <si>
    <t>DTU_2022_1015303_2_SI_192b1_R1_001</t>
  </si>
  <si>
    <t>DTU_2022_1015286_1_SI_158A_R1_001</t>
  </si>
  <si>
    <t>P01-015_S1_L001_R1_001</t>
  </si>
  <si>
    <t>ERR4648211_1</t>
  </si>
  <si>
    <t>DTU_2022_1016018_1_SI_N20_1809_R1_001</t>
  </si>
  <si>
    <t>DTU_2022_1015851_1_SI_CDL2_R1_001</t>
  </si>
  <si>
    <t>DTU_2022_1016669_1_SI_2523_R1_001</t>
  </si>
  <si>
    <t>DTU2019-2030-PRJ1196-Listeria-monocytogenes-9_R1_001</t>
  </si>
  <si>
    <t>DTU_2022_1015823_1_SI_5089_R1_001</t>
  </si>
  <si>
    <t>DTU_2022_1016748_1_SI_OLM72_R1_001</t>
  </si>
  <si>
    <t>MF5445_S5_L001_R1_001</t>
  </si>
  <si>
    <t>S71_AAGAGGCA-CCTAGAGT_R1_001</t>
  </si>
  <si>
    <t>C11_S21_L001_R1_001</t>
  </si>
  <si>
    <t>DTU_2022_1015611_1_SI_116_R1_001</t>
  </si>
  <si>
    <t>DTU_2022_1016215_1_SI_L397_R1_001</t>
  </si>
  <si>
    <t>DTU_2022_1016680_1_SI_3576_R1_001</t>
  </si>
  <si>
    <t>DTU_2022_1015493_1_SI_Lm119_R1_001</t>
  </si>
  <si>
    <t>DTU_2022_1015327_2_SI_5_MI_18_R1_001</t>
  </si>
  <si>
    <t>DTU_2022_1016033_1_SI_N20_2390_R1_001</t>
  </si>
  <si>
    <t>DTU_2022_1016007_1_SI_N20_1127_R1_001</t>
  </si>
  <si>
    <t>ERR4648177_1</t>
  </si>
  <si>
    <t>DTU_2022_1015354_1_SI_JC20_R1_001</t>
  </si>
  <si>
    <t>DTU_2022_1016128_1_SI_L1007_R1_001</t>
  </si>
  <si>
    <t>DTU_2022_1016129_1_SI_L1009_R1_001</t>
  </si>
  <si>
    <t>DTU_2022_1016141_1_SI_L1427_R1_001</t>
  </si>
  <si>
    <t>L1237_R1</t>
  </si>
  <si>
    <t>M04_S31_L001_R1_001</t>
  </si>
  <si>
    <t>DTU_2022_1015400_2_SI_LV1161_R1_001</t>
  </si>
  <si>
    <t>D02_S59_L001_R1_001</t>
  </si>
  <si>
    <t>MF4712_S17_L001_R1_001</t>
  </si>
  <si>
    <t>DTU_2022_1016235_1_SI_L628_R1_001</t>
  </si>
  <si>
    <t>L1793_1</t>
  </si>
  <si>
    <t>DTU_2022_1016741_1_SI_OLM65_R1_001</t>
  </si>
  <si>
    <t>DTU_2022_1016144_1_SI_L1574_R1_001</t>
  </si>
  <si>
    <t>DTU_2022_1016713_1_SI_OLM20_R1_001</t>
  </si>
  <si>
    <t>DTU_2022_1015677_1_SI_MF4345_R1_001</t>
  </si>
  <si>
    <t>DTU_2022_1016678_1_SI_2436_R1_001</t>
  </si>
  <si>
    <t>DTU_2022_1015681_1_SI_MF4548_R1_001</t>
  </si>
  <si>
    <t>DTU_2022_1015358_1_SI_JC28_R1_001</t>
  </si>
  <si>
    <t>DTU_2022_1015381_2_SI_JC78_R1_001</t>
  </si>
  <si>
    <t>DTU_2022_1015682_1_SI_MF4592_R1_001</t>
  </si>
  <si>
    <t>L1059_R1</t>
  </si>
  <si>
    <t>DTU_2022_1015432_1_SI_6232_R1_001</t>
  </si>
  <si>
    <t>DTU_2022_1015387_2_SI_JC84_R1_001</t>
  </si>
  <si>
    <t>DTU_2022_1015393_2_SI_JC97_R1_001</t>
  </si>
  <si>
    <t>DTU_2022_1015397_2_SI_JC101_R1_001</t>
  </si>
  <si>
    <t>DTU_2022_1015894_1_SI_F2365_R1_001</t>
  </si>
  <si>
    <t>DTU_2022_1016133_1_SI_L1020_R1_001</t>
  </si>
  <si>
    <t>DTU_2022_1016142_1_SI_L1546_R1_001</t>
  </si>
  <si>
    <t>DTU_2022_1016677_1_SI_1808_R1_001</t>
  </si>
  <si>
    <t>DTU_2022_1016746_1_SI_OLM70_R1_001</t>
  </si>
  <si>
    <t>DTU_2022_1015694_1_SI_MF5636_R1_001</t>
  </si>
  <si>
    <t>DTU_2022_1015596_1_SI_101_R1_001</t>
  </si>
  <si>
    <t>L1472_1</t>
  </si>
  <si>
    <t>DTU2019-2044-PRJ1196-Listeria-monocytogenes-23_R1_001</t>
  </si>
  <si>
    <t>L1758_1</t>
  </si>
  <si>
    <t>ERR4648167_1</t>
  </si>
  <si>
    <t>18012633-01_S37_L001_R1_001</t>
  </si>
  <si>
    <t>18013657-03_S42_L001_R1_001</t>
  </si>
  <si>
    <t>M13_S11_L001_R1_001</t>
  </si>
  <si>
    <t>DTU_2022_1016169_1_SI_L1914_R1_001</t>
  </si>
  <si>
    <t>ATCC_19115_1</t>
  </si>
  <si>
    <t>15089803-02_S20_L001_R1_001</t>
  </si>
  <si>
    <t>DTU_2022_1016178_1_SI_L1923_R1_001</t>
  </si>
  <si>
    <t>DTU_2022_1016754_1_SI_OLM80_R1_001</t>
  </si>
  <si>
    <t>DTU2019-2041-PRJ1196-Listeria-monocytogenes-20_R1_001</t>
  </si>
  <si>
    <t>MF07890_S9_L001_R1_001</t>
  </si>
  <si>
    <t>DTU_2022_1016858_1_SI_SK2710_R1_001</t>
  </si>
  <si>
    <t>DTU_2022_1016012_1_SI_N20_1515_R1_001</t>
  </si>
  <si>
    <t>V09_S21_L001_R1_001</t>
  </si>
  <si>
    <t>DTU_2022_1016781_1_SI_OLM143_R1_001</t>
  </si>
  <si>
    <t>DTU_2022_1015935_1_SI_7228_R1_001</t>
  </si>
  <si>
    <t>17050588-5_S36_L001_R1_001</t>
  </si>
  <si>
    <t>19-LI00312-0_S41_R1_001</t>
  </si>
  <si>
    <t>20-LI00463-0_S56_R1_001</t>
  </si>
  <si>
    <t>DTU_2022_1016079_1_SI_N19_0706_R1_001</t>
  </si>
  <si>
    <t>19-LI00048-0_S18_L001_R1_001</t>
  </si>
  <si>
    <t>DTU_2022_1016659_1_SI_WRLP394_R1_001</t>
  </si>
  <si>
    <t>DTU_2022_1016660_1_SI_WRLP483_R1_001</t>
  </si>
  <si>
    <t>D08_S10_L001_R1_001</t>
  </si>
  <si>
    <t>14036845-3_S14_L001_R1_001</t>
  </si>
  <si>
    <t>DTU_2022_1016017_1_SI_N20_1787_R1_001</t>
  </si>
  <si>
    <t>DTU_2022_1015775_1_SI_6078_R1_001</t>
  </si>
  <si>
    <t>DTU_2022_1015765_1_SI_6066_R1_001</t>
  </si>
  <si>
    <t>20-LI00340-0_S4_R1_001</t>
  </si>
  <si>
    <t>20-LI01651-0_S11_L001_R1_001</t>
  </si>
  <si>
    <t>MF7731_S13_L001_R1_001</t>
  </si>
  <si>
    <t>MF7703_S9_L001_R1_001</t>
  </si>
  <si>
    <t>DTU_2022_1015528_1_SI_33_R1_001</t>
  </si>
  <si>
    <t>DTU_2022_1015340_1_SI_223a1_R1_001</t>
  </si>
  <si>
    <t>DTU_2022_1015292_1_SI_91a1_R1_001</t>
  </si>
  <si>
    <t>DTU_2022_1015956_1_SI_8130_R1_001</t>
  </si>
  <si>
    <t>DTU-2021-1010561-1-SI-LT16_R1_001</t>
  </si>
  <si>
    <t>DTU_2022_1016849_1_SI_SKB117_R1_001</t>
  </si>
  <si>
    <t>DTU_2022_1016848_1_SI_SKB116_R1_001</t>
  </si>
  <si>
    <t>DTU_2022_1016240_1_SI_L670_R1_001</t>
  </si>
  <si>
    <t>DTU_2022_1016853_1_SI_SKB61_R1_001</t>
  </si>
  <si>
    <t>DTU_2022_1016004_1_SI_N20_0994_R1_001</t>
  </si>
  <si>
    <t>DTU_2022_1016153_1_SI_L1852_R1_001</t>
  </si>
  <si>
    <t>S15_CGTACTAG-GCGTAAGA_R1_001</t>
  </si>
  <si>
    <t>DTU_2022_1016732_1_SI_OLM43_R1_001</t>
  </si>
  <si>
    <t>DTU_2022_1015848_1_SI_CDL175_R1_001</t>
  </si>
  <si>
    <t>DTU_2022_1015946_1_SI_7599_R1_001</t>
  </si>
  <si>
    <t>DTU_2022_1016788_1_SI_OLM126_R1_001</t>
  </si>
  <si>
    <t>DTU_2022_1016205_1_SI_L373_R1_001</t>
  </si>
  <si>
    <t>DTU_2022_1016874_1_SI_SK3174_R1_001</t>
  </si>
  <si>
    <t>DTU_2022_1015671_1_SI_MF4295_R1_001</t>
  </si>
  <si>
    <t>DTU_2022_1015669_1_SI_MF4284_R1_001</t>
  </si>
  <si>
    <t>DTU_2022_1015361_1_SI_JC34_R1_001</t>
  </si>
  <si>
    <t>S195_TCGACGTC-TTCTAGCT_R1_001</t>
  </si>
  <si>
    <t>DTU_2022_1015359_1_SI_JC30_R1_001</t>
  </si>
  <si>
    <t>DTU_2022_1015673_1_SI_MF4309_R1_001</t>
  </si>
  <si>
    <t>DTU_2022_1015676_1_SI_MF4341_R1_001</t>
  </si>
  <si>
    <t>DTU_2022_1015663_1_SI_MF4252_R1_001</t>
  </si>
  <si>
    <t>DTU_2022_1015665_1_SI_MF4266_R1_001</t>
  </si>
  <si>
    <t>DTU_2022_1015670_1_SI_MF4289_R1_001</t>
  </si>
  <si>
    <t>20-LI00667-0_S4_L001_R1_001</t>
  </si>
  <si>
    <t>2012-8_S26_L001_R1_001</t>
  </si>
  <si>
    <t>DTU_2022_1016740_1_SI_OLM63_R1_001</t>
  </si>
  <si>
    <t>15087275-4_S11_L001_R1_001</t>
  </si>
  <si>
    <t>D05_S23_L001_R1_001</t>
  </si>
  <si>
    <t>DTU_2022_1015593_2_SI_98_R1_001</t>
  </si>
  <si>
    <t>DTU_2022_1015906_1_SI_3491_R1_001</t>
  </si>
  <si>
    <t>ERR4648277_1</t>
  </si>
  <si>
    <t>DTU_2022_1015803_1_SI_8234_R1_001</t>
  </si>
  <si>
    <t>DTU_2022_1016727_1_SI_OLM37_R1_001</t>
  </si>
  <si>
    <t>DTU_2022_1016868_1_SI_SK835_R1_001</t>
  </si>
  <si>
    <t>DTU_2022_1016180_1_SI_L1925_R1_001</t>
  </si>
  <si>
    <t>C05_S40_L001_R1_001</t>
  </si>
  <si>
    <t>DTU_2022_1016742_1_SI_OLM66_R1_001</t>
  </si>
  <si>
    <t>20-LI00829-0_S39_R1_001</t>
  </si>
  <si>
    <t>DTU_2022_1015947_1_SI_7623_R1_001</t>
  </si>
  <si>
    <t>DTU_2022_1015828_1_SI_3202_R1_001</t>
  </si>
  <si>
    <t>S2_TCGACGTC-CGTCTAAT_R1_001</t>
  </si>
  <si>
    <t>DTU_2022_1015829_1_SI_3243_R1_001</t>
  </si>
  <si>
    <t>DTU_2022_1015864_1_SI_CDL73_R1_001</t>
  </si>
  <si>
    <t>DTU_2022_1015631_1_SI_MF2152_R1_001</t>
  </si>
  <si>
    <t>seq-Lm-Ro07-10m_S30_L001_R1_001</t>
  </si>
  <si>
    <t>DTU_2022_1015324_1_SI_395b1_R1_001</t>
  </si>
  <si>
    <t>DTU_2022_1015317_1_SI_388a1_R1_001</t>
  </si>
  <si>
    <t>DTU_2022_1015328_1_SI_5_MI_39_R1_001</t>
  </si>
  <si>
    <t>DTU_2022_1015425_1_SI_1431_R1_001</t>
  </si>
  <si>
    <t>DTU_2022_1015850_1_SI_CDL197_R1_001</t>
  </si>
  <si>
    <t>MF4627_S16_L001_R1_001</t>
  </si>
  <si>
    <t>S6_TAAGGCGA-CCTAGAGT_R1_001</t>
  </si>
  <si>
    <t>M12_S4_L001_R1_001</t>
  </si>
  <si>
    <t>S79_GTAGAGGA-TCGACTAG_R1_001</t>
  </si>
  <si>
    <t>S22_AGGCAGAA-CCTAGAGT_R1_001</t>
  </si>
  <si>
    <t>20-LI00901-0_S74_R1_001</t>
  </si>
  <si>
    <t>D04_S5_L001_R1_001</t>
  </si>
  <si>
    <t>D06_S62_L001_R1_001</t>
  </si>
  <si>
    <t>18-LI00547-0_S9_L001_R1_001</t>
  </si>
  <si>
    <t>2012-523_S5_L001_R1_001</t>
  </si>
  <si>
    <t>DTU_2022_1016132_1_SI_L1016_R1_001</t>
  </si>
  <si>
    <t>DTU_2022_1016255_1_SI_L979_R1_001</t>
  </si>
  <si>
    <t>DTU_2022_1016068_1_SI_N19_0127_R1_001</t>
  </si>
  <si>
    <t>DTU_2022_1016140_1_SI_L1391_R1_001</t>
  </si>
  <si>
    <t>DTU_2022_1016124_1_SI_N20_0332_R1_001</t>
  </si>
  <si>
    <t>DTU_2022_1016130_1_SI_L1010_R1_001</t>
  </si>
  <si>
    <t>DTU_2022_1016244_1_SI_L793_R1_001</t>
  </si>
  <si>
    <t>ERR4648224_1</t>
  </si>
  <si>
    <t>DTU_2022_1016204_1_SI_L366_R1_001</t>
  </si>
  <si>
    <t>DTU_2022_1016197_1_SI_L264_R1_001</t>
  </si>
  <si>
    <t>DTU_2022_1016195_1_SI_L252_R1_001</t>
  </si>
  <si>
    <t>L666_R1</t>
  </si>
  <si>
    <t>DTU_2022_1015769_1_SI_6071_R1_001</t>
  </si>
  <si>
    <t>20-LI00950-0_S15_L001_R1_001</t>
  </si>
  <si>
    <t>ERR4648161_1</t>
  </si>
  <si>
    <t>F09_S38_L001_R1_001</t>
  </si>
  <si>
    <t>DTU_2022_1016006_1_SI_N20_1004_R1_001</t>
  </si>
  <si>
    <t>DTU_2022_1015371_1_SI_JC65_R1_001</t>
  </si>
  <si>
    <t>L1578_1</t>
  </si>
  <si>
    <t>DTU_2022_1015375_1_SI_JC70_R1_001</t>
  </si>
  <si>
    <t>DTU_2022_1015932_1_SI_7159_R1_001</t>
  </si>
  <si>
    <t>DTU_2022_1016724_1_SI_OLM30_R1_001</t>
  </si>
  <si>
    <t>DTU_2022_1016733_1_SI_OLM44_R1_001</t>
  </si>
  <si>
    <t>DTU_2022_1016196_1_SI_L262_R1_001</t>
  </si>
  <si>
    <t>ERR4648232_1</t>
  </si>
  <si>
    <t>DTU_2022_1015581_2_SI_86_R1_001</t>
  </si>
  <si>
    <t>S154_TAGCGCTC-TTCTAGCT_R1_001</t>
  </si>
  <si>
    <t>DTU_2022_1015816_1_SI_2305_R1_001</t>
  </si>
  <si>
    <t>C06_S42_L001_R1_001</t>
  </si>
  <si>
    <t>MF6349_S13_L001_R1_001</t>
  </si>
  <si>
    <t>21-LI00612-0_S47_L001_R1_001</t>
  </si>
  <si>
    <t>DTU_2022_1015695_1_SI_MF5797_R1_001</t>
  </si>
  <si>
    <t>DTU_2022_1016232_1_SI_L572_R1_001</t>
  </si>
  <si>
    <t>MF7954_S3_L001_R1_001</t>
  </si>
  <si>
    <t>20-LI01131-0_S5_L001_R1_001</t>
  </si>
  <si>
    <t>DTU_2022_1015772_1_SI_6075_R1_001</t>
  </si>
  <si>
    <t>DTU_2022_1015732_1_SI_6026_R1_001</t>
  </si>
  <si>
    <t>DTU_2022_1015799_1_SI_6109_R1_001</t>
  </si>
  <si>
    <t>DTU_2022_1015778_1_SI_6083_R1_001</t>
  </si>
  <si>
    <t>DTU_2022_1016885_1_SI_LV0215_R1_001</t>
  </si>
  <si>
    <t>ERR1432987_1</t>
  </si>
  <si>
    <t>DTU_2022_1015931_1_SI_7079_R1_001</t>
  </si>
  <si>
    <t>DTU_2022_1015738_1_SI_6033_R1_001</t>
  </si>
  <si>
    <t>MF7990_S6_L001_R1_001</t>
  </si>
  <si>
    <t>DTU_2022_1016843_1_SI_SKB134_R1_001</t>
  </si>
  <si>
    <t>DTU_2022_1016726_1_SI_OLM36_R1_001</t>
  </si>
  <si>
    <t>DTU_2022_1015594_1_SI_99_R1_001</t>
  </si>
  <si>
    <t>20-LI01102-0_S37_R1_001</t>
  </si>
  <si>
    <t>DTU_2022_1015901_1_SI_AB27_R1_001</t>
  </si>
  <si>
    <t>DTU_2022_1016176_1_SI_L1921_R1_001</t>
  </si>
  <si>
    <t>DTU_2022_1016162_1_SI_L1907_R1_001</t>
  </si>
  <si>
    <t>P02-011_S1_L001_R1_001</t>
  </si>
  <si>
    <t>P02-008_S1_L001_R1_001</t>
  </si>
  <si>
    <t>DTU_2022_1016224_1_SI_L449_R1_001</t>
  </si>
  <si>
    <t>DTU_2022_1016223_1_SI_L448_R1_001</t>
  </si>
  <si>
    <t>L1064_R1</t>
  </si>
  <si>
    <t>DTU_2022_1016182_1_SI_L1927_R1_001</t>
  </si>
  <si>
    <t>MF07906_S18_L001_R1_001</t>
  </si>
  <si>
    <t>DTU_2022_1015311_1_SI_369a4_R1_001</t>
  </si>
  <si>
    <t>DTU_2022_1015376_1_SI_JC71_R1_001</t>
  </si>
  <si>
    <t>DTU_2022_1015315_1_SI_326b5_R1_001</t>
  </si>
  <si>
    <t>S109_ACTCGCTA-AAGGCTAT_R1_001</t>
  </si>
  <si>
    <t>19-LI00784-0_S33_L001_R1_001</t>
  </si>
  <si>
    <t>DTU_2022_1016729_1_SI_OLM39_R1_001</t>
  </si>
  <si>
    <t>DTU_2022_1016719_1_SI_OLM22_R1_001</t>
  </si>
  <si>
    <t>DTU2019-2022-PRJ1196-Listeria-monocytogenes-1_R1_001</t>
  </si>
  <si>
    <t>F04_S42_L001_R1_001</t>
  </si>
  <si>
    <t>DTU_2022_1016739_1_SI_OLM62_R1_001</t>
  </si>
  <si>
    <t>DTU_2022_1016835_1_SI_B2_R1_001</t>
  </si>
  <si>
    <t>DTU_2022_1016834_1_SI_A2_R1_001</t>
  </si>
  <si>
    <t>DTU_2022_1016707_1_SI_OLM8_R1_001</t>
  </si>
  <si>
    <t>DTU_2022_1016714_1_SI_OLM21_R1_001</t>
  </si>
  <si>
    <t>DTU_2022_1015852_1_SI_CDL200_R1_001</t>
  </si>
  <si>
    <t>DTU_2022_1016756_1_SI_OLM82_R1_001</t>
  </si>
  <si>
    <t>DTU_2022_1015501_1_SI_Lm167_R1_001</t>
  </si>
  <si>
    <t>DTU_2022_1015853_1_SI_CDL202_R1_001</t>
  </si>
  <si>
    <t>DTU_2022_1016705_1_SI_OLM5_R1_001</t>
  </si>
  <si>
    <t>DTU_2022_1016706_1_SI_OLM6_R1_001</t>
  </si>
  <si>
    <t>P02-003_S1_L001_R1_001</t>
  </si>
  <si>
    <t>DTU_2022_1015431_1_SI_6225_R1_001</t>
  </si>
  <si>
    <t>DTU_2022_1015433_1_SI_6234_R1_001</t>
  </si>
  <si>
    <t>DTU_2022_1016757_1_SI_OLM84_R1_001</t>
  </si>
  <si>
    <t>L1783a_1</t>
  </si>
  <si>
    <t xml:space="preserve">Meat during processing </t>
  </si>
  <si>
    <t>Salmon processing  - raw material</t>
  </si>
  <si>
    <t>Salmon processing -raw material</t>
  </si>
  <si>
    <t>Salmon processing - food product</t>
  </si>
  <si>
    <t>Clinical (unknown)</t>
  </si>
  <si>
    <t>Environment (unknown)</t>
  </si>
  <si>
    <t>unknown</t>
  </si>
  <si>
    <t>not determined</t>
  </si>
  <si>
    <t>CT2970</t>
  </si>
  <si>
    <t>CT3981</t>
  </si>
  <si>
    <t>CT12682</t>
  </si>
  <si>
    <t>CT12689</t>
  </si>
  <si>
    <t>CT12690</t>
  </si>
  <si>
    <t>CT12695</t>
  </si>
  <si>
    <t>CT7318</t>
  </si>
  <si>
    <t>CT12685</t>
  </si>
  <si>
    <t>CT12683</t>
  </si>
  <si>
    <t>CT12688</t>
  </si>
  <si>
    <t>SL10446</t>
  </si>
  <si>
    <t>CT12794</t>
  </si>
  <si>
    <t>CT12793</t>
  </si>
  <si>
    <t>CT12694</t>
  </si>
  <si>
    <t>CT12684</t>
  </si>
  <si>
    <t>CT10344</t>
  </si>
  <si>
    <t>CT12687</t>
  </si>
  <si>
    <t>CT12696</t>
  </si>
  <si>
    <t>CT12769</t>
  </si>
  <si>
    <t>CT12686</t>
  </si>
  <si>
    <t>CT12648</t>
  </si>
  <si>
    <t>CT12691</t>
  </si>
  <si>
    <t>CT12667</t>
  </si>
  <si>
    <t>CT12725</t>
  </si>
  <si>
    <t>CT12614</t>
  </si>
  <si>
    <t>CT12603</t>
  </si>
  <si>
    <t>CT12594</t>
  </si>
  <si>
    <t>CT12782</t>
  </si>
  <si>
    <t>CT12784</t>
  </si>
  <si>
    <t>CT12786</t>
  </si>
  <si>
    <t>CT12758</t>
  </si>
  <si>
    <t>CT12582</t>
  </si>
  <si>
    <t>CT6390</t>
  </si>
  <si>
    <t>CT12575</t>
  </si>
  <si>
    <t>CT12595</t>
  </si>
  <si>
    <t>CT12596</t>
  </si>
  <si>
    <t>CT9546</t>
  </si>
  <si>
    <t>CT12752</t>
  </si>
  <si>
    <t>SL1460</t>
  </si>
  <si>
    <t>CT12796</t>
  </si>
  <si>
    <t>CT12577</t>
  </si>
  <si>
    <t>CT12597</t>
  </si>
  <si>
    <t>CT5655</t>
  </si>
  <si>
    <t>CT5220</t>
  </si>
  <si>
    <t>CT12590</t>
  </si>
  <si>
    <t>CT12593</t>
  </si>
  <si>
    <t>CT12579</t>
  </si>
  <si>
    <t>CT12589</t>
  </si>
  <si>
    <t>CT12598</t>
  </si>
  <si>
    <t>CT12699</t>
  </si>
  <si>
    <t>CT12615</t>
  </si>
  <si>
    <t>CT12650</t>
  </si>
  <si>
    <t>CT12783</t>
  </si>
  <si>
    <t>CT12576</t>
  </si>
  <si>
    <t>CT12659</t>
  </si>
  <si>
    <t>CT12602</t>
  </si>
  <si>
    <t>CT12591</t>
  </si>
  <si>
    <t>CT12712</t>
  </si>
  <si>
    <t>CT12587</t>
  </si>
  <si>
    <t>CT12584</t>
  </si>
  <si>
    <t>CT12775</t>
  </si>
  <si>
    <t>CT958</t>
  </si>
  <si>
    <t>CT5221</t>
  </si>
  <si>
    <t>CT12700</t>
  </si>
  <si>
    <t>CT12776</t>
  </si>
  <si>
    <t>CT12701</t>
  </si>
  <si>
    <t>CT12702</t>
  </si>
  <si>
    <t>CT10363</t>
  </si>
  <si>
    <t>CT12669</t>
  </si>
  <si>
    <t>CT12671</t>
  </si>
  <si>
    <t>CT850</t>
  </si>
  <si>
    <t>CT5670</t>
  </si>
  <si>
    <t>CT4876</t>
  </si>
  <si>
    <t>CT1170</t>
  </si>
  <si>
    <t>CT12668</t>
  </si>
  <si>
    <t>CT12626</t>
  </si>
  <si>
    <t>CT10194</t>
  </si>
  <si>
    <t>CT12627</t>
  </si>
  <si>
    <t>CT12726</t>
  </si>
  <si>
    <t>CT12727</t>
  </si>
  <si>
    <t>CT12728</t>
  </si>
  <si>
    <t>CT12693</t>
  </si>
  <si>
    <t>SL19</t>
  </si>
  <si>
    <t>CT12756</t>
  </si>
  <si>
    <t>CT580</t>
  </si>
  <si>
    <t>CT12755</t>
  </si>
  <si>
    <t>CT12605</t>
  </si>
  <si>
    <t>CT12742</t>
  </si>
  <si>
    <t>CT12745</t>
  </si>
  <si>
    <t>CT12741</t>
  </si>
  <si>
    <t>CT12738</t>
  </si>
  <si>
    <t>CT12748</t>
  </si>
  <si>
    <t>CT3808</t>
  </si>
  <si>
    <t>CT12736</t>
  </si>
  <si>
    <t>CT12740</t>
  </si>
  <si>
    <t>CT12737</t>
  </si>
  <si>
    <t>CT12709</t>
  </si>
  <si>
    <t>CT4380</t>
  </si>
  <si>
    <t>CT12739</t>
  </si>
  <si>
    <t>CT12572</t>
  </si>
  <si>
    <t>CT12592</t>
  </si>
  <si>
    <t>CT12574</t>
  </si>
  <si>
    <t>CT12722</t>
  </si>
  <si>
    <t>CT12721</t>
  </si>
  <si>
    <t>CT12771</t>
  </si>
  <si>
    <t>CT2846</t>
  </si>
  <si>
    <t>CT3613</t>
  </si>
  <si>
    <t>CT5352</t>
  </si>
  <si>
    <t>CT893</t>
  </si>
  <si>
    <t>CT12772</t>
  </si>
  <si>
    <t>CT12604</t>
  </si>
  <si>
    <t>CT1276</t>
  </si>
  <si>
    <t>CT4115</t>
  </si>
  <si>
    <t>CT12606</t>
  </si>
  <si>
    <t>CT4119</t>
  </si>
  <si>
    <t>CT12607</t>
  </si>
  <si>
    <t>CT12765</t>
  </si>
  <si>
    <t>SL517</t>
  </si>
  <si>
    <t>CT12664</t>
  </si>
  <si>
    <t>CT4655</t>
  </si>
  <si>
    <t>CT12723</t>
  </si>
  <si>
    <t>CT12724</t>
  </si>
  <si>
    <t>CT12759</t>
  </si>
  <si>
    <t>CT12757</t>
  </si>
  <si>
    <t>CT2430</t>
  </si>
  <si>
    <t>CT594</t>
  </si>
  <si>
    <t>CT12789</t>
  </si>
  <si>
    <t>CT12788</t>
  </si>
  <si>
    <t>CT12624</t>
  </si>
  <si>
    <t>CT12753</t>
  </si>
  <si>
    <t>CT1883</t>
  </si>
  <si>
    <t>CT12750</t>
  </si>
  <si>
    <t>CT12751</t>
  </si>
  <si>
    <t>CT12638</t>
  </si>
  <si>
    <t>CT12633</t>
  </si>
  <si>
    <t>CT12644</t>
  </si>
  <si>
    <t>CT12631</t>
  </si>
  <si>
    <t>CT12636</t>
  </si>
  <si>
    <t>CT12743</t>
  </si>
  <si>
    <t>CT12637</t>
  </si>
  <si>
    <t>CT12640</t>
  </si>
  <si>
    <t>CT12639</t>
  </si>
  <si>
    <t>CT12629</t>
  </si>
  <si>
    <t>CT12643</t>
  </si>
  <si>
    <t>CT12630</t>
  </si>
  <si>
    <t>CT12647</t>
  </si>
  <si>
    <t>CT7503</t>
  </si>
  <si>
    <t>CT12632</t>
  </si>
  <si>
    <t>CT12635</t>
  </si>
  <si>
    <t>CT12754</t>
  </si>
  <si>
    <t>CT7636</t>
  </si>
  <si>
    <t>CT12661</t>
  </si>
  <si>
    <t>CT12662</t>
  </si>
  <si>
    <t>CT871</t>
  </si>
  <si>
    <t>CT5472</t>
  </si>
  <si>
    <t>CT557</t>
  </si>
  <si>
    <t>CT12654</t>
  </si>
  <si>
    <t>CT12651</t>
  </si>
  <si>
    <t>CT12708</t>
  </si>
  <si>
    <t>CT12655</t>
  </si>
  <si>
    <t>CT12652</t>
  </si>
  <si>
    <t>CT12649</t>
  </si>
  <si>
    <t>CT6160</t>
  </si>
  <si>
    <t>CT7168</t>
  </si>
  <si>
    <t>CT12674</t>
  </si>
  <si>
    <t>CT5173</t>
  </si>
  <si>
    <t>CT12706</t>
  </si>
  <si>
    <t>CT12705</t>
  </si>
  <si>
    <t>CT12704</t>
  </si>
  <si>
    <t>CT12762</t>
  </si>
  <si>
    <t>CT12747</t>
  </si>
  <si>
    <t>CT12707</t>
  </si>
  <si>
    <t>CT12697</t>
  </si>
  <si>
    <t>CT12763</t>
  </si>
  <si>
    <t>CT12767</t>
  </si>
  <si>
    <t>CT2148</t>
  </si>
  <si>
    <t>CT12681</t>
  </si>
  <si>
    <t>CT12642</t>
  </si>
  <si>
    <t>CT4114</t>
  </si>
  <si>
    <t>SL36</t>
  </si>
  <si>
    <t>CT12791</t>
  </si>
  <si>
    <t>CT12778</t>
  </si>
  <si>
    <t>CT12620</t>
  </si>
  <si>
    <t>CT12623</t>
  </si>
  <si>
    <t>CT12621</t>
  </si>
  <si>
    <t>CT12622</t>
  </si>
  <si>
    <t>CT12585</t>
  </si>
  <si>
    <t>CT8017</t>
  </si>
  <si>
    <t>CT12573</t>
  </si>
  <si>
    <t>CT12613</t>
  </si>
  <si>
    <t>CT12612</t>
  </si>
  <si>
    <t>CT12787</t>
  </si>
  <si>
    <t>CT12608</t>
  </si>
  <si>
    <t>CT12616</t>
  </si>
  <si>
    <t>CT12617</t>
  </si>
  <si>
    <t>CT12618</t>
  </si>
  <si>
    <t>CT12625</t>
  </si>
  <si>
    <t>CT12610</t>
  </si>
  <si>
    <t>CT12665</t>
  </si>
  <si>
    <t>SL1413</t>
  </si>
  <si>
    <t>CT12795</t>
  </si>
  <si>
    <t>CT12677</t>
  </si>
  <si>
    <t>CT12678</t>
  </si>
  <si>
    <t>CT12675</t>
  </si>
  <si>
    <t>CT12768</t>
  </si>
  <si>
    <t>CT5641</t>
  </si>
  <si>
    <t>SL71</t>
  </si>
  <si>
    <t>CT12797</t>
  </si>
  <si>
    <t>CT735</t>
  </si>
  <si>
    <t>CT10058</t>
  </si>
  <si>
    <t>CT12716</t>
  </si>
  <si>
    <t>CT12718</t>
  </si>
  <si>
    <t>CT12719</t>
  </si>
  <si>
    <t>CT12717</t>
  </si>
  <si>
    <t>CT12720</t>
  </si>
  <si>
    <t>CT10208</t>
  </si>
  <si>
    <t>CT12711</t>
  </si>
  <si>
    <t>CT10200</t>
  </si>
  <si>
    <t>CT12766</t>
  </si>
  <si>
    <t>CT12761</t>
  </si>
  <si>
    <t>CT12732</t>
  </si>
  <si>
    <t>CT12734</t>
  </si>
  <si>
    <t>CT5215</t>
  </si>
  <si>
    <t>CT12710</t>
  </si>
  <si>
    <t>CT12730</t>
  </si>
  <si>
    <t>CT10373</t>
  </si>
  <si>
    <t>CT12735</t>
  </si>
  <si>
    <t>CT12601</t>
  </si>
  <si>
    <t>CT12653</t>
  </si>
  <si>
    <t>CT12733</t>
  </si>
  <si>
    <t>CT58</t>
  </si>
  <si>
    <t>CT2003</t>
  </si>
  <si>
    <t>CT9897</t>
  </si>
  <si>
    <t>CT4331</t>
  </si>
  <si>
    <t>CT12600</t>
  </si>
  <si>
    <t>CT5176</t>
  </si>
  <si>
    <t>CT12781</t>
  </si>
  <si>
    <t>CT4881</t>
  </si>
  <si>
    <t>CT12703</t>
  </si>
  <si>
    <t>CT12619</t>
  </si>
  <si>
    <t>CT12792</t>
  </si>
  <si>
    <t>CT12580</t>
  </si>
  <si>
    <t>CT12790</t>
  </si>
  <si>
    <t>CT12698</t>
  </si>
  <si>
    <t>CT12581</t>
  </si>
  <si>
    <t>CT12286</t>
  </si>
  <si>
    <t>CT2604</t>
  </si>
  <si>
    <t>CT12291</t>
  </si>
  <si>
    <t>CT841</t>
  </si>
  <si>
    <t>CT12676</t>
  </si>
  <si>
    <t>CT1824</t>
  </si>
  <si>
    <t>CT12289</t>
  </si>
  <si>
    <t>CT12288</t>
  </si>
  <si>
    <t>CT12287</t>
  </si>
  <si>
    <t>CT3341</t>
  </si>
  <si>
    <t>CT3612</t>
  </si>
  <si>
    <t>CT3438</t>
  </si>
  <si>
    <t>CT12290</t>
  </si>
  <si>
    <t>CT11985</t>
  </si>
  <si>
    <t>CT12294</t>
  </si>
  <si>
    <t>CT2490</t>
  </si>
  <si>
    <t>n.d.</t>
  </si>
  <si>
    <t>+ (variant 7)</t>
  </si>
  <si>
    <t>+ (variant 9)</t>
  </si>
  <si>
    <t>+ (variant 4)</t>
  </si>
  <si>
    <t>+ (variant 6)</t>
  </si>
  <si>
    <t>+ (variant 8)</t>
  </si>
  <si>
    <t>CT121</t>
  </si>
  <si>
    <t>CT12774</t>
  </si>
  <si>
    <t>CT7298</t>
  </si>
  <si>
    <t>CT12645</t>
  </si>
  <si>
    <t>CT12715</t>
  </si>
  <si>
    <t>CT12773</t>
  </si>
  <si>
    <t>CT464</t>
  </si>
  <si>
    <t>CT12641</t>
  </si>
  <si>
    <t>CT12663</t>
  </si>
  <si>
    <t>CT12672</t>
  </si>
  <si>
    <t>CT12586</t>
  </si>
  <si>
    <t>CT477</t>
  </si>
  <si>
    <t>CT12746</t>
  </si>
  <si>
    <t>CT12780</t>
  </si>
  <si>
    <t>CT12729</t>
  </si>
  <si>
    <t>CT12760</t>
  </si>
  <si>
    <t>CT12660</t>
  </si>
  <si>
    <t>CT12634</t>
  </si>
  <si>
    <t>CT12714</t>
  </si>
  <si>
    <t>CT12628</t>
  </si>
  <si>
    <t>CT12744</t>
  </si>
  <si>
    <t>CT12656</t>
  </si>
  <si>
    <t>CT12731</t>
  </si>
  <si>
    <t>CT12680</t>
  </si>
  <si>
    <t>CT3135</t>
  </si>
  <si>
    <t>CT793</t>
  </si>
  <si>
    <t>CT12777</t>
  </si>
  <si>
    <t>CT12670</t>
  </si>
  <si>
    <t>CT12658</t>
  </si>
  <si>
    <t>CT12666</t>
  </si>
  <si>
    <t>CT12646</t>
  </si>
  <si>
    <t>CT12578</t>
  </si>
  <si>
    <t>CT12609</t>
  </si>
  <si>
    <t>CT12749</t>
  </si>
  <si>
    <t>CT12692</t>
  </si>
  <si>
    <t>CT12779</t>
  </si>
  <si>
    <t>CT12673</t>
  </si>
  <si>
    <t>CT12611</t>
  </si>
  <si>
    <t>CT12657</t>
  </si>
  <si>
    <t>CT12764</t>
  </si>
  <si>
    <t>CT6262</t>
  </si>
  <si>
    <t>low typeability</t>
  </si>
  <si>
    <t>RTE Food</t>
  </si>
  <si>
    <t>WGS_id</t>
  </si>
  <si>
    <t>sequence_type</t>
  </si>
  <si>
    <t>Total length, bp</t>
  </si>
  <si>
    <t>Largest contig, bp</t>
  </si>
  <si>
    <t>N50, bp</t>
  </si>
  <si>
    <t>GC, %</t>
  </si>
  <si>
    <t># contigs (&gt;500 bp)</t>
  </si>
  <si>
    <t>cgmlst_type (Pasteur_scheme)</t>
  </si>
  <si>
    <t>serogroup (PCR_serogroup)</t>
  </si>
  <si>
    <t>qacH (variant)</t>
  </si>
  <si>
    <t>N12-2236</t>
  </si>
  <si>
    <t>Run_Id</t>
  </si>
  <si>
    <t>Gene</t>
  </si>
  <si>
    <t>MLST Sequence Type</t>
  </si>
  <si>
    <t>MLST Clonal Complex</t>
  </si>
  <si>
    <t>Source_aggregated</t>
  </si>
  <si>
    <t>Year</t>
  </si>
  <si>
    <t>DRR229549</t>
  </si>
  <si>
    <t>clinical</t>
  </si>
  <si>
    <t>2011</t>
  </si>
  <si>
    <t>ERR1100912</t>
  </si>
  <si>
    <t>ERR1100919</t>
  </si>
  <si>
    <t>NA</t>
  </si>
  <si>
    <t>ERR1100947</t>
  </si>
  <si>
    <t>ERR1100950</t>
  </si>
  <si>
    <t>ERR1100966</t>
  </si>
  <si>
    <t>ERR1100975</t>
  </si>
  <si>
    <t>ERR1102121</t>
  </si>
  <si>
    <t>ERR1102122</t>
  </si>
  <si>
    <t>ERR1102123</t>
  </si>
  <si>
    <t>human</t>
  </si>
  <si>
    <t>ERR1102124</t>
  </si>
  <si>
    <t>ERR1102125</t>
  </si>
  <si>
    <t>food</t>
  </si>
  <si>
    <t>ERR1102129</t>
  </si>
  <si>
    <t>ERR1102130</t>
  </si>
  <si>
    <t>ERR1102135</t>
  </si>
  <si>
    <t>ERR1102137</t>
  </si>
  <si>
    <t>ERR1102139</t>
  </si>
  <si>
    <t>ERR1102141</t>
  </si>
  <si>
    <t>ERR1102143</t>
  </si>
  <si>
    <t>ERR1102144</t>
  </si>
  <si>
    <t>ERR1102146</t>
  </si>
  <si>
    <t>ERR1102147</t>
  </si>
  <si>
    <t>ERR1102148</t>
  </si>
  <si>
    <t>ERR1102150</t>
  </si>
  <si>
    <t>ERR1102157</t>
  </si>
  <si>
    <t>ERR1102164</t>
  </si>
  <si>
    <t>ERR1102166</t>
  </si>
  <si>
    <t>ERR1102168</t>
  </si>
  <si>
    <t>ERR1102169</t>
  </si>
  <si>
    <t>ERR1102177</t>
  </si>
  <si>
    <t>ERR1102180</t>
  </si>
  <si>
    <t>ERR1102186</t>
  </si>
  <si>
    <t>ERR1102199</t>
  </si>
  <si>
    <t>ERR1102203</t>
  </si>
  <si>
    <t>ERR1102206</t>
  </si>
  <si>
    <t>ERR1102207</t>
  </si>
  <si>
    <t>ERR1102208</t>
  </si>
  <si>
    <t>ERR1102214</t>
  </si>
  <si>
    <t>ERR1102216</t>
  </si>
  <si>
    <t>ERR1102223</t>
  </si>
  <si>
    <t>ERR1102225</t>
  </si>
  <si>
    <t>ERR1102227</t>
  </si>
  <si>
    <t>ERR1102228</t>
  </si>
  <si>
    <t>ERR1102229</t>
  </si>
  <si>
    <t>ERR1102231</t>
  </si>
  <si>
    <t>ERR1102232</t>
  </si>
  <si>
    <t>ERR1102233</t>
  </si>
  <si>
    <t>ERR1102234</t>
  </si>
  <si>
    <t>ERR1102235</t>
  </si>
  <si>
    <t>ERR1102236</t>
  </si>
  <si>
    <t>ERR1102237</t>
  </si>
  <si>
    <t>ERR1102239</t>
  </si>
  <si>
    <t>ERR1102242</t>
  </si>
  <si>
    <t>ERR1102243</t>
  </si>
  <si>
    <t>ERR1102244</t>
  </si>
  <si>
    <t>ERR1102248</t>
  </si>
  <si>
    <t>ERR1102252</t>
  </si>
  <si>
    <t>ERR1102254</t>
  </si>
  <si>
    <t>ERR1102255</t>
  </si>
  <si>
    <t>ERR1102259</t>
  </si>
  <si>
    <t>ERR1102265</t>
  </si>
  <si>
    <t>ERR1102266</t>
  </si>
  <si>
    <t>ERR1102267</t>
  </si>
  <si>
    <t>ERR1102268</t>
  </si>
  <si>
    <t>ERR1102269</t>
  </si>
  <si>
    <t>ERR1102273</t>
  </si>
  <si>
    <t>ERR1102278</t>
  </si>
  <si>
    <t>ERR1102283</t>
  </si>
  <si>
    <t>ERR1102292</t>
  </si>
  <si>
    <t>ERR1102315</t>
  </si>
  <si>
    <t>ERR1102318</t>
  </si>
  <si>
    <t>ERR1102325</t>
  </si>
  <si>
    <t>ERR1102347</t>
  </si>
  <si>
    <t>Environ</t>
  </si>
  <si>
    <t>ERR1102361</t>
  </si>
  <si>
    <t>ERR1102362</t>
  </si>
  <si>
    <t>ERR1102366</t>
  </si>
  <si>
    <t>ERR1102368</t>
  </si>
  <si>
    <t>ERR1102369</t>
  </si>
  <si>
    <t>ERR1102370</t>
  </si>
  <si>
    <t>ERR1102373</t>
  </si>
  <si>
    <t>ERR1102375</t>
  </si>
  <si>
    <t>ERR1102376</t>
  </si>
  <si>
    <t>ERR1102377</t>
  </si>
  <si>
    <t>ERR1102378</t>
  </si>
  <si>
    <t>ERR1102379</t>
  </si>
  <si>
    <t>ERR1102382</t>
  </si>
  <si>
    <t>ERR1102384</t>
  </si>
  <si>
    <t>ERR1102385</t>
  </si>
  <si>
    <t>ERR1102386</t>
  </si>
  <si>
    <t>ERR1102389</t>
  </si>
  <si>
    <t>ERR1102392</t>
  </si>
  <si>
    <t>ERR1102394</t>
  </si>
  <si>
    <t>ERR1102397</t>
  </si>
  <si>
    <t>ERR1102409</t>
  </si>
  <si>
    <t>ERR1102410</t>
  </si>
  <si>
    <t>ERR1102411</t>
  </si>
  <si>
    <t>ERR1102412</t>
  </si>
  <si>
    <t>ERR1102413</t>
  </si>
  <si>
    <t>ERR1102416</t>
  </si>
  <si>
    <t>ERR1102418</t>
  </si>
  <si>
    <t>ERR1102419</t>
  </si>
  <si>
    <t>ERR1102420</t>
  </si>
  <si>
    <t>ERR1102421</t>
  </si>
  <si>
    <t>ERR1102428</t>
  </si>
  <si>
    <t>ERR1102431</t>
  </si>
  <si>
    <t>ERR1102432</t>
  </si>
  <si>
    <t>ERR1102433</t>
  </si>
  <si>
    <t>ERR1102434</t>
  </si>
  <si>
    <t>ERR1102436</t>
  </si>
  <si>
    <t>ERR1102437</t>
  </si>
  <si>
    <t>ERR1102441</t>
  </si>
  <si>
    <t>ERR1102446</t>
  </si>
  <si>
    <t>ERR1102451</t>
  </si>
  <si>
    <t>ERR1102454</t>
  </si>
  <si>
    <t>ERR1102455</t>
  </si>
  <si>
    <t>ERR1102456</t>
  </si>
  <si>
    <t>ERR1102457</t>
  </si>
  <si>
    <t>ERR1102458</t>
  </si>
  <si>
    <t>ERR1102459</t>
  </si>
  <si>
    <t>ERR1102461</t>
  </si>
  <si>
    <t>ERR1102462</t>
  </si>
  <si>
    <t>ERR1102465</t>
  </si>
  <si>
    <t>ERR1102467</t>
  </si>
  <si>
    <t>ERR1102469</t>
  </si>
  <si>
    <t>ERR1102472</t>
  </si>
  <si>
    <t>ERR1102476</t>
  </si>
  <si>
    <t>ERR1102477</t>
  </si>
  <si>
    <t>ERR1102478</t>
  </si>
  <si>
    <t>ERR1102479</t>
  </si>
  <si>
    <t>ERR1102480</t>
  </si>
  <si>
    <t>ERR1102481</t>
  </si>
  <si>
    <t>ERR1102482</t>
  </si>
  <si>
    <t>ERR1102484</t>
  </si>
  <si>
    <t>ERR1102485</t>
  </si>
  <si>
    <t>ERR1102486</t>
  </si>
  <si>
    <t>ERR1102490</t>
  </si>
  <si>
    <t>ERR1102499</t>
  </si>
  <si>
    <t>ERR1102500</t>
  </si>
  <si>
    <t>ERR1102501</t>
  </si>
  <si>
    <t>ERR1102502</t>
  </si>
  <si>
    <t>ERR1102506</t>
  </si>
  <si>
    <t>ERR1102509</t>
  </si>
  <si>
    <t>ERR1102510</t>
  </si>
  <si>
    <t>ERR1102511</t>
  </si>
  <si>
    <t>ERR1102519</t>
  </si>
  <si>
    <t>ERR1102520</t>
  </si>
  <si>
    <t>ERR1102522</t>
  </si>
  <si>
    <t>ERR1102524</t>
  </si>
  <si>
    <t>ERR1102527</t>
  </si>
  <si>
    <t>ERR1102528</t>
  </si>
  <si>
    <t>ERR1102529</t>
  </si>
  <si>
    <t>ERR1102530</t>
  </si>
  <si>
    <t>ERR1102533</t>
  </si>
  <si>
    <t>ERR1102537</t>
  </si>
  <si>
    <t>ERR1102538</t>
  </si>
  <si>
    <t>ERR1102539</t>
  </si>
  <si>
    <t>ERR1102544</t>
  </si>
  <si>
    <t>ERR1102545</t>
  </si>
  <si>
    <t>ERR1102546</t>
  </si>
  <si>
    <t>ERR1102549</t>
  </si>
  <si>
    <t>ERR1102551</t>
  </si>
  <si>
    <t>ERR1102560</t>
  </si>
  <si>
    <t>ERR1102561</t>
  </si>
  <si>
    <t>ERR1102564</t>
  </si>
  <si>
    <t>ERR1102566</t>
  </si>
  <si>
    <t>ERR1102567</t>
  </si>
  <si>
    <t>ERR1102570</t>
  </si>
  <si>
    <t>ERR1102573</t>
  </si>
  <si>
    <t>ERR1102578</t>
  </si>
  <si>
    <t>ERR1102580</t>
  </si>
  <si>
    <t>ERR1102582</t>
  </si>
  <si>
    <t>ERR1102583</t>
  </si>
  <si>
    <t>ERR1102584</t>
  </si>
  <si>
    <t>ERR1102589</t>
  </si>
  <si>
    <t>ERR1102605</t>
  </si>
  <si>
    <t>ERR1102609</t>
  </si>
  <si>
    <t>ERR1102610</t>
  </si>
  <si>
    <t>ERR1102611</t>
  </si>
  <si>
    <t>ERR1102612</t>
  </si>
  <si>
    <t>ERR1102613</t>
  </si>
  <si>
    <t>ERR1102614</t>
  </si>
  <si>
    <t>ERR1102617</t>
  </si>
  <si>
    <t>ERR1102621</t>
  </si>
  <si>
    <t>ERR1102622</t>
  </si>
  <si>
    <t>ERR1102625</t>
  </si>
  <si>
    <t>ERR1102627</t>
  </si>
  <si>
    <t>ERR1102629</t>
  </si>
  <si>
    <t>ERR1102630</t>
  </si>
  <si>
    <t>ERR1102631</t>
  </si>
  <si>
    <t>ERR1102634</t>
  </si>
  <si>
    <t>ERR1102635</t>
  </si>
  <si>
    <t>ERR1102638</t>
  </si>
  <si>
    <t>ERR1230401</t>
  </si>
  <si>
    <t>ERR1230426</t>
  </si>
  <si>
    <t>ERR1230429</t>
  </si>
  <si>
    <t>ERR1276153</t>
  </si>
  <si>
    <t>ERR1276158</t>
  </si>
  <si>
    <t>ERR1276159</t>
  </si>
  <si>
    <t>ERR1276162</t>
  </si>
  <si>
    <t>ERR1276169</t>
  </si>
  <si>
    <t>ERR1276174</t>
  </si>
  <si>
    <t>ERR1276177</t>
  </si>
  <si>
    <t>ERR1276180</t>
  </si>
  <si>
    <t>ERR1276181</t>
  </si>
  <si>
    <t>ERR1276189</t>
  </si>
  <si>
    <t>ERR1276199</t>
  </si>
  <si>
    <t>ERR1276207</t>
  </si>
  <si>
    <t>ERR1276217</t>
  </si>
  <si>
    <t>ERR1276218</t>
  </si>
  <si>
    <t>ERR1276219</t>
  </si>
  <si>
    <t>ERR1276221</t>
  </si>
  <si>
    <t>ERR1276222</t>
  </si>
  <si>
    <t>ERR1276223</t>
  </si>
  <si>
    <t>ERR1276224</t>
  </si>
  <si>
    <t>ERR1276225</t>
  </si>
  <si>
    <t>ERR1276228</t>
  </si>
  <si>
    <t>ERR1276249</t>
  </si>
  <si>
    <t>ERR1304204</t>
  </si>
  <si>
    <t>ERR1304209</t>
  </si>
  <si>
    <t>ERR1304212</t>
  </si>
  <si>
    <t>ERR1304227</t>
  </si>
  <si>
    <t>ERR1304228</t>
  </si>
  <si>
    <t>ERR1304231</t>
  </si>
  <si>
    <t>ERR1304246</t>
  </si>
  <si>
    <t>ERR1304247</t>
  </si>
  <si>
    <t>ERR1304249</t>
  </si>
  <si>
    <t>ERR1304251</t>
  </si>
  <si>
    <t>ERR1304252</t>
  </si>
  <si>
    <t>ERR1304253</t>
  </si>
  <si>
    <t>ERR1304254</t>
  </si>
  <si>
    <t>ERR1304256</t>
  </si>
  <si>
    <t>ERR1304257</t>
  </si>
  <si>
    <t>ERR1304258</t>
  </si>
  <si>
    <t>ERR1304259</t>
  </si>
  <si>
    <t>ERR1431100</t>
  </si>
  <si>
    <t>ERR1431101</t>
  </si>
  <si>
    <t>ERR1431105</t>
  </si>
  <si>
    <t>ERR1431107</t>
  </si>
  <si>
    <t>ERR1431108</t>
  </si>
  <si>
    <t>ERR1432959</t>
  </si>
  <si>
    <t>Chile</t>
  </si>
  <si>
    <t>ERR1432960</t>
  </si>
  <si>
    <t>ERR1432961</t>
  </si>
  <si>
    <t>ERR1432962</t>
  </si>
  <si>
    <t>ERR1432966</t>
  </si>
  <si>
    <t>ERR1432977</t>
  </si>
  <si>
    <t>ERR1432978</t>
  </si>
  <si>
    <t>ERR1432980</t>
  </si>
  <si>
    <t>ERR1432981</t>
  </si>
  <si>
    <t>ERR1432986</t>
  </si>
  <si>
    <t>ERR1432988</t>
  </si>
  <si>
    <t>ERR1432989</t>
  </si>
  <si>
    <t>ERR1432991</t>
  </si>
  <si>
    <t>ERR1432993</t>
  </si>
  <si>
    <t>ERR1432996</t>
  </si>
  <si>
    <t>ERR1432997</t>
  </si>
  <si>
    <t>ERR1433001</t>
  </si>
  <si>
    <t>ERR1433004</t>
  </si>
  <si>
    <t>ERR1433005</t>
  </si>
  <si>
    <t>ERR1433006</t>
  </si>
  <si>
    <t>ERR1433007</t>
  </si>
  <si>
    <t>ERR1433008</t>
  </si>
  <si>
    <t>ERR1433010</t>
  </si>
  <si>
    <t>ERR1433017</t>
  </si>
  <si>
    <t>ERR1433021</t>
  </si>
  <si>
    <t>ERR1433022</t>
  </si>
  <si>
    <t>ERR1433023</t>
  </si>
  <si>
    <t>ERR1433025</t>
  </si>
  <si>
    <t>ERR1433026</t>
  </si>
  <si>
    <t>ERR1433027</t>
  </si>
  <si>
    <t>ERR1433028</t>
  </si>
  <si>
    <t>ERR1433029</t>
  </si>
  <si>
    <t>ERR1433030</t>
  </si>
  <si>
    <t>ERR1433033</t>
  </si>
  <si>
    <t>ERR1433034</t>
  </si>
  <si>
    <t>ERR1433036</t>
  </si>
  <si>
    <t>ERR1433037</t>
  </si>
  <si>
    <t>ERR1599674</t>
  </si>
  <si>
    <t>not provided</t>
  </si>
  <si>
    <t>ERR1599678</t>
  </si>
  <si>
    <t>ERR1599679</t>
  </si>
  <si>
    <t>ERR1599690</t>
  </si>
  <si>
    <t>ERR1599691</t>
  </si>
  <si>
    <t>ERR1599696</t>
  </si>
  <si>
    <t>ERR1599701</t>
  </si>
  <si>
    <t>ERR1599711</t>
  </si>
  <si>
    <t>ERR1599728</t>
  </si>
  <si>
    <t>ERR1599732</t>
  </si>
  <si>
    <t>ERR1599740</t>
  </si>
  <si>
    <t>ERR1599772</t>
  </si>
  <si>
    <t>ERR1599776</t>
  </si>
  <si>
    <t>ERR1599813</t>
  </si>
  <si>
    <t>ERR1599814</t>
  </si>
  <si>
    <t>ERR1599815</t>
  </si>
  <si>
    <t>ERR1736218</t>
  </si>
  <si>
    <t>production environment - meat processing plant</t>
  </si>
  <si>
    <t>2005</t>
  </si>
  <si>
    <t>ERR1736219</t>
  </si>
  <si>
    <t>United States</t>
  </si>
  <si>
    <t>2006</t>
  </si>
  <si>
    <t>ERR1736220</t>
  </si>
  <si>
    <t>ERR1736227</t>
  </si>
  <si>
    <t>ERR1736228</t>
  </si>
  <si>
    <t>ERR1736229</t>
  </si>
  <si>
    <t>ERR1738637</t>
  </si>
  <si>
    <t>ERR1738638</t>
  </si>
  <si>
    <t>ERR1738639</t>
  </si>
  <si>
    <t>ERR1738641</t>
  </si>
  <si>
    <t>ERR1738642</t>
  </si>
  <si>
    <t>ERR1738644</t>
  </si>
  <si>
    <t>ERR1738645</t>
  </si>
  <si>
    <t>ERR1738646</t>
  </si>
  <si>
    <t>ERR1738647</t>
  </si>
  <si>
    <t>ERR1738648</t>
  </si>
  <si>
    <t>ERR1738649</t>
  </si>
  <si>
    <t>ERR1738650</t>
  </si>
  <si>
    <t>ERR1738651</t>
  </si>
  <si>
    <t>ERR1738652</t>
  </si>
  <si>
    <t>ERR1738653</t>
  </si>
  <si>
    <t>ERR1738654</t>
  </si>
  <si>
    <t>ERR1738655</t>
  </si>
  <si>
    <t>ERR1738656</t>
  </si>
  <si>
    <t>ERR1738657</t>
  </si>
  <si>
    <t>ERR1738658</t>
  </si>
  <si>
    <t>ERR1738659</t>
  </si>
  <si>
    <t>ERR1738660</t>
  </si>
  <si>
    <t>ERR1738661</t>
  </si>
  <si>
    <t>ERR1738665</t>
  </si>
  <si>
    <t>ERR1738666</t>
  </si>
  <si>
    <t>ERR1738667</t>
  </si>
  <si>
    <t>ERR1738675</t>
  </si>
  <si>
    <t>ERR1738680</t>
  </si>
  <si>
    <t>ERR1738685</t>
  </si>
  <si>
    <t>ERR1738686</t>
  </si>
  <si>
    <t>ERR1738702</t>
  </si>
  <si>
    <t>ERR1738704</t>
  </si>
  <si>
    <t>ERR1738705</t>
  </si>
  <si>
    <t>ERR1738708</t>
  </si>
  <si>
    <t>ERR1738709</t>
  </si>
  <si>
    <t>ERR1738714</t>
  </si>
  <si>
    <t>ERR1738716</t>
  </si>
  <si>
    <t>ERR1738718</t>
  </si>
  <si>
    <t>ERR1738720</t>
  </si>
  <si>
    <t>ERR1738722</t>
  </si>
  <si>
    <t>ERR1738723</t>
  </si>
  <si>
    <t>ERR1738725</t>
  </si>
  <si>
    <t>ERR1738727</t>
  </si>
  <si>
    <t>ERR1738729</t>
  </si>
  <si>
    <t>ERR1738733</t>
  </si>
  <si>
    <t>ERR1738734</t>
  </si>
  <si>
    <t>ERR1738735</t>
  </si>
  <si>
    <t>ERR1738736</t>
  </si>
  <si>
    <t>ERR1738745</t>
  </si>
  <si>
    <t>ERR1738747</t>
  </si>
  <si>
    <t>ERR1738752</t>
  </si>
  <si>
    <t>ERR1738753</t>
  </si>
  <si>
    <t>ERR1738758</t>
  </si>
  <si>
    <t>ERR1738759</t>
  </si>
  <si>
    <t>ERR1738763</t>
  </si>
  <si>
    <t>ERR1738764</t>
  </si>
  <si>
    <t>ERR1738765</t>
  </si>
  <si>
    <t>ERR1738769</t>
  </si>
  <si>
    <t>ERR1738771</t>
  </si>
  <si>
    <t>ERR1738776</t>
  </si>
  <si>
    <t>ERR1738781</t>
  </si>
  <si>
    <t>ERR1738782</t>
  </si>
  <si>
    <t>ERR1738783</t>
  </si>
  <si>
    <t>ERR1738785</t>
  </si>
  <si>
    <t>ERR1738786</t>
  </si>
  <si>
    <t>ERR1738789</t>
  </si>
  <si>
    <t>ERR1738791</t>
  </si>
  <si>
    <t>ERR1738794</t>
  </si>
  <si>
    <t>ERR1738796</t>
  </si>
  <si>
    <t>ERR1738797</t>
  </si>
  <si>
    <t>ERR1738800</t>
  </si>
  <si>
    <t>ERR1738801</t>
  </si>
  <si>
    <t>ERR1738803</t>
  </si>
  <si>
    <t>ERR1738804</t>
  </si>
  <si>
    <t>ERR1738805</t>
  </si>
  <si>
    <t>ERR1738806</t>
  </si>
  <si>
    <t>ERR1738808</t>
  </si>
  <si>
    <t>ERR1738810</t>
  </si>
  <si>
    <t>ERR1738811</t>
  </si>
  <si>
    <t>ERR1738842</t>
  </si>
  <si>
    <t>ERR1738843</t>
  </si>
  <si>
    <t>ERR1816982</t>
  </si>
  <si>
    <t>factory</t>
  </si>
  <si>
    <t>ERR1816983</t>
  </si>
  <si>
    <t>Factory</t>
  </si>
  <si>
    <t>ERR1816984</t>
  </si>
  <si>
    <t>ERR1816987</t>
  </si>
  <si>
    <t>ERR1816991</t>
  </si>
  <si>
    <t>Factory - Opening</t>
  </si>
  <si>
    <t>ERR1816992</t>
  </si>
  <si>
    <t>Factory - Heating</t>
  </si>
  <si>
    <t>ERR1816993</t>
  </si>
  <si>
    <t>Factory - External Area</t>
  </si>
  <si>
    <t>ERR1816995</t>
  </si>
  <si>
    <t>ERR1816997</t>
  </si>
  <si>
    <t>ERR1816998</t>
  </si>
  <si>
    <t>ERR1816999</t>
  </si>
  <si>
    <t>ERR1817000</t>
  </si>
  <si>
    <t>Factory - Bale store</t>
  </si>
  <si>
    <t>ERR1817006</t>
  </si>
  <si>
    <t>Factory - Packaging</t>
  </si>
  <si>
    <t>ERR1817007</t>
  </si>
  <si>
    <t>ERR1817014</t>
  </si>
  <si>
    <t>ERR1817015</t>
  </si>
  <si>
    <t>ERR1817084</t>
  </si>
  <si>
    <t>ERR1817086</t>
  </si>
  <si>
    <t>ERR1817087</t>
  </si>
  <si>
    <t>ERR1817088</t>
  </si>
  <si>
    <t>ERR1817089</t>
  </si>
  <si>
    <t>Food - processed meat</t>
  </si>
  <si>
    <t>ERR1817091</t>
  </si>
  <si>
    <t>food-coleslaw</t>
  </si>
  <si>
    <t>ERR1817093</t>
  </si>
  <si>
    <t>factory - bale store</t>
  </si>
  <si>
    <t>ERR1817094</t>
  </si>
  <si>
    <t>ERR1817095</t>
  </si>
  <si>
    <t>ERR1897925</t>
  </si>
  <si>
    <t>ERR1940730</t>
  </si>
  <si>
    <t>ERR1940753</t>
  </si>
  <si>
    <t>ERR1940760</t>
  </si>
  <si>
    <t>ERR1940780</t>
  </si>
  <si>
    <t>ERR1947061</t>
  </si>
  <si>
    <t>ERR1947087</t>
  </si>
  <si>
    <t>ERR1947110</t>
  </si>
  <si>
    <t>ERR1947114</t>
  </si>
  <si>
    <t>ERR1947123</t>
  </si>
  <si>
    <t>ERR1947124</t>
  </si>
  <si>
    <t>ERR1947126</t>
  </si>
  <si>
    <t>ERR1947128</t>
  </si>
  <si>
    <t>ERR1947130</t>
  </si>
  <si>
    <t>ERR2135628</t>
  </si>
  <si>
    <t>ERR2135629</t>
  </si>
  <si>
    <t>ERR2135630</t>
  </si>
  <si>
    <t>ERR2135631</t>
  </si>
  <si>
    <t>ERR2189825</t>
  </si>
  <si>
    <t>ERR2189826</t>
  </si>
  <si>
    <t>ERR2189835</t>
  </si>
  <si>
    <t>Singapore</t>
  </si>
  <si>
    <t>ERR2189836</t>
  </si>
  <si>
    <t>ERR2189843</t>
  </si>
  <si>
    <t>ERR2189844</t>
  </si>
  <si>
    <t>ERR2189855</t>
  </si>
  <si>
    <t>ERR2189856</t>
  </si>
  <si>
    <t>ERR2189871</t>
  </si>
  <si>
    <t>United Kingdom</t>
  </si>
  <si>
    <t>ERR2189872</t>
  </si>
  <si>
    <t>ERR2189883</t>
  </si>
  <si>
    <t>ERR2189884</t>
  </si>
  <si>
    <t>ERR2189891</t>
  </si>
  <si>
    <t>ERR2189892</t>
  </si>
  <si>
    <t>ERR2189898</t>
  </si>
  <si>
    <t>ERR2189899</t>
  </si>
  <si>
    <t>ERR2189911</t>
  </si>
  <si>
    <t>ERR2189922</t>
  </si>
  <si>
    <t>ERR2189923</t>
  </si>
  <si>
    <t>ERR2189934</t>
  </si>
  <si>
    <t>ERR2189946</t>
  </si>
  <si>
    <t>ERR2189947</t>
  </si>
  <si>
    <t>ERR2189958</t>
  </si>
  <si>
    <t>ERR2189959</t>
  </si>
  <si>
    <t>ERR2189970</t>
  </si>
  <si>
    <t>ERR2189971</t>
  </si>
  <si>
    <t>ERR2189982</t>
  </si>
  <si>
    <t>ERR2189983</t>
  </si>
  <si>
    <t>ERR2189994</t>
  </si>
  <si>
    <t>ERR2189995</t>
  </si>
  <si>
    <t>ERR2190000</t>
  </si>
  <si>
    <t>ERR2190001</t>
  </si>
  <si>
    <t>ERR2190012</t>
  </si>
  <si>
    <t>ERR2190013</t>
  </si>
  <si>
    <t>ERR2190022</t>
  </si>
  <si>
    <t>ERR2190023</t>
  </si>
  <si>
    <t>ERR2190034</t>
  </si>
  <si>
    <t>ERR2190035</t>
  </si>
  <si>
    <t>ERR2190042</t>
  </si>
  <si>
    <t>ERR2190043</t>
  </si>
  <si>
    <t>ERR2190054</t>
  </si>
  <si>
    <t>ERR2190055</t>
  </si>
  <si>
    <t>ERR2190066</t>
  </si>
  <si>
    <t>ERR2190067</t>
  </si>
  <si>
    <t>ERR2190078</t>
  </si>
  <si>
    <t>ERR2190079</t>
  </si>
  <si>
    <t>ERR2190090</t>
  </si>
  <si>
    <t>ERR2190091</t>
  </si>
  <si>
    <t>ERR2190102</t>
  </si>
  <si>
    <t>ERR2190103</t>
  </si>
  <si>
    <t>ERR2190110</t>
  </si>
  <si>
    <t>Hong Kong</t>
  </si>
  <si>
    <t>ERR2190111</t>
  </si>
  <si>
    <t>ERR2190122</t>
  </si>
  <si>
    <t>ERR2190123</t>
  </si>
  <si>
    <t>ERR2190134</t>
  </si>
  <si>
    <t>ERR2190135</t>
  </si>
  <si>
    <t>ERR2190146</t>
  </si>
  <si>
    <t>ERR2190147</t>
  </si>
  <si>
    <t>ERR2190154</t>
  </si>
  <si>
    <t>ERR2190155</t>
  </si>
  <si>
    <t>ERR2190174</t>
  </si>
  <si>
    <t>ERR2190175</t>
  </si>
  <si>
    <t>ERR2190190</t>
  </si>
  <si>
    <t>Latvia</t>
  </si>
  <si>
    <t>ERR2190191</t>
  </si>
  <si>
    <t>ERR2190200</t>
  </si>
  <si>
    <t>Luxembourg</t>
  </si>
  <si>
    <t>ERR2190201</t>
  </si>
  <si>
    <t>ERR2190208</t>
  </si>
  <si>
    <t>Mexico</t>
  </si>
  <si>
    <t>ERR2190209</t>
  </si>
  <si>
    <t>ERR2190219</t>
  </si>
  <si>
    <t>ERR2190220</t>
  </si>
  <si>
    <t>ERR2261329</t>
  </si>
  <si>
    <t>human listeriosis</t>
  </si>
  <si>
    <t>ERR2261336</t>
  </si>
  <si>
    <t>ERR2261338</t>
  </si>
  <si>
    <t>ERR2261339</t>
  </si>
  <si>
    <t>ERR2261495</t>
  </si>
  <si>
    <t>ERR2261503</t>
  </si>
  <si>
    <t>ERR2261508</t>
  </si>
  <si>
    <t>ERR2261520</t>
  </si>
  <si>
    <t>ERR2261534</t>
  </si>
  <si>
    <t>ERR2261557</t>
  </si>
  <si>
    <t>ERR2261558</t>
  </si>
  <si>
    <t>ERR2261563</t>
  </si>
  <si>
    <t>ERR2261576</t>
  </si>
  <si>
    <t>ERR2261579</t>
  </si>
  <si>
    <t>ERR2261585</t>
  </si>
  <si>
    <t>ERR2261588</t>
  </si>
  <si>
    <t>ERR2261590</t>
  </si>
  <si>
    <t>ERR2261597</t>
  </si>
  <si>
    <t>ERR2261636</t>
  </si>
  <si>
    <t>ERR2261641</t>
  </si>
  <si>
    <t>ERR2261653</t>
  </si>
  <si>
    <t>ERR2261664</t>
  </si>
  <si>
    <t>ERR2261668</t>
  </si>
  <si>
    <t>ERR2261680</t>
  </si>
  <si>
    <t>ERR2261695</t>
  </si>
  <si>
    <t>ERR2261720</t>
  </si>
  <si>
    <t>ERR2261736</t>
  </si>
  <si>
    <t>ERR2303612</t>
  </si>
  <si>
    <t>Dairy products</t>
  </si>
  <si>
    <t>ERR2304249</t>
  </si>
  <si>
    <t>sea food</t>
  </si>
  <si>
    <t>ERR2309471</t>
  </si>
  <si>
    <t>clinical sample</t>
  </si>
  <si>
    <t>ERR2309472</t>
  </si>
  <si>
    <t>ERR2309488</t>
  </si>
  <si>
    <t>ERR2512039</t>
  </si>
  <si>
    <t>ERR2519422</t>
  </si>
  <si>
    <t>ERR2519425</t>
  </si>
  <si>
    <t>ERR2519439</t>
  </si>
  <si>
    <t>ERR2519454</t>
  </si>
  <si>
    <t>ERR2519466</t>
  </si>
  <si>
    <t>ERR2519476</t>
  </si>
  <si>
    <t>ERR2519478</t>
  </si>
  <si>
    <t>ERR2519518</t>
  </si>
  <si>
    <t>ERR2519527</t>
  </si>
  <si>
    <t>ERR2519529</t>
  </si>
  <si>
    <t>ERR2519542</t>
  </si>
  <si>
    <t>ERR2520507</t>
  </si>
  <si>
    <t>ERR2520512</t>
  </si>
  <si>
    <t>ERR2520517</t>
  </si>
  <si>
    <t>ERR2520519</t>
  </si>
  <si>
    <t>ERR2520522</t>
  </si>
  <si>
    <t>ERR2520524</t>
  </si>
  <si>
    <t>ERR2520525</t>
  </si>
  <si>
    <t>ERR2520534</t>
  </si>
  <si>
    <t>ERR2520541</t>
  </si>
  <si>
    <t>ERR2520555</t>
  </si>
  <si>
    <t>ERR2520567</t>
  </si>
  <si>
    <t>ERR2520586</t>
  </si>
  <si>
    <t>ERR2520588</t>
  </si>
  <si>
    <t>ERR2520619</t>
  </si>
  <si>
    <t>ERR2520628</t>
  </si>
  <si>
    <t>ERR2520638</t>
  </si>
  <si>
    <t>ERR2520648</t>
  </si>
  <si>
    <t>ERR2520653</t>
  </si>
  <si>
    <t>ERR2520658</t>
  </si>
  <si>
    <t>ERR2520659</t>
  </si>
  <si>
    <t>ERR2520665</t>
  </si>
  <si>
    <t>ERR2520667</t>
  </si>
  <si>
    <t>ERR2520672</t>
  </si>
  <si>
    <t>ERR2520684</t>
  </si>
  <si>
    <t>ERR2520686</t>
  </si>
  <si>
    <t>ERR2520698</t>
  </si>
  <si>
    <t>ERR2520702</t>
  </si>
  <si>
    <t>ERR2520712</t>
  </si>
  <si>
    <t>ERR2520720</t>
  </si>
  <si>
    <t>ERR2520723</t>
  </si>
  <si>
    <t>ERR2520725</t>
  </si>
  <si>
    <t>ERR2520728</t>
  </si>
  <si>
    <t>ERR2520731</t>
  </si>
  <si>
    <t>ERR2520738</t>
  </si>
  <si>
    <t>ERR2520740</t>
  </si>
  <si>
    <t>ERR2520747</t>
  </si>
  <si>
    <t>ERR2520769</t>
  </si>
  <si>
    <t>ERR2520774</t>
  </si>
  <si>
    <t>ERR2520776</t>
  </si>
  <si>
    <t>ERR2520781</t>
  </si>
  <si>
    <t>ERR2520782</t>
  </si>
  <si>
    <t>ERR2520792</t>
  </si>
  <si>
    <t>ERR2520802</t>
  </si>
  <si>
    <t>ERR2520805</t>
  </si>
  <si>
    <t>ERR2520825</t>
  </si>
  <si>
    <t>ERR2520946</t>
  </si>
  <si>
    <t>ERR2520947</t>
  </si>
  <si>
    <t>ERR2520952</t>
  </si>
  <si>
    <t>ERR2520953</t>
  </si>
  <si>
    <t>ERR2520979</t>
  </si>
  <si>
    <t>ERR2520984</t>
  </si>
  <si>
    <t>ERR2520991</t>
  </si>
  <si>
    <t>ERR2521000</t>
  </si>
  <si>
    <t>ERR2521020</t>
  </si>
  <si>
    <t>ERR2521025</t>
  </si>
  <si>
    <t>ERR2521032</t>
  </si>
  <si>
    <t>ERR2521043</t>
  </si>
  <si>
    <t>ERR2521129</t>
  </si>
  <si>
    <t>ERR2521139</t>
  </si>
  <si>
    <t>ERR2521235</t>
  </si>
  <si>
    <t>ERR2521243</t>
  </si>
  <si>
    <t>ERR2521247</t>
  </si>
  <si>
    <t>ERR2521248</t>
  </si>
  <si>
    <t>ERR2521252</t>
  </si>
  <si>
    <t>ERR2521261</t>
  </si>
  <si>
    <t>ERR2521265</t>
  </si>
  <si>
    <t>ERR2521276</t>
  </si>
  <si>
    <t>ERR2521278</t>
  </si>
  <si>
    <t>ERR2521292</t>
  </si>
  <si>
    <t>ERR2521301</t>
  </si>
  <si>
    <t>ERR2521308</t>
  </si>
  <si>
    <t>ERR2521309</t>
  </si>
  <si>
    <t>ERR2521314</t>
  </si>
  <si>
    <t>ERR2521316</t>
  </si>
  <si>
    <t>ERR2521317</t>
  </si>
  <si>
    <t>ERR2521327</t>
  </si>
  <si>
    <t>ERR2521337</t>
  </si>
  <si>
    <t>ERR2521356</t>
  </si>
  <si>
    <t>ERR2521357</t>
  </si>
  <si>
    <t>ERR2521358</t>
  </si>
  <si>
    <t>ERR2521360</t>
  </si>
  <si>
    <t>ERR2521376</t>
  </si>
  <si>
    <t>ERR2521385</t>
  </si>
  <si>
    <t>ERR2521388</t>
  </si>
  <si>
    <t>ERR2521408</t>
  </si>
  <si>
    <t>ERR2521411</t>
  </si>
  <si>
    <t>ERR2521416</t>
  </si>
  <si>
    <t>ERR2521418</t>
  </si>
  <si>
    <t>ERR2521421</t>
  </si>
  <si>
    <t>ERR2521424</t>
  </si>
  <si>
    <t>ERR2521426</t>
  </si>
  <si>
    <t>ERR2521432</t>
  </si>
  <si>
    <t>ERR2521438</t>
  </si>
  <si>
    <t>ERR2521445</t>
  </si>
  <si>
    <t>ERR2521466</t>
  </si>
  <si>
    <t>ERR2521470</t>
  </si>
  <si>
    <t>ERR2521471</t>
  </si>
  <si>
    <t>ERR2521476</t>
  </si>
  <si>
    <t>ERR2521478</t>
  </si>
  <si>
    <t>ERR2521480</t>
  </si>
  <si>
    <t>ERR2521488</t>
  </si>
  <si>
    <t>ERR2521495</t>
  </si>
  <si>
    <t>ERR2521496</t>
  </si>
  <si>
    <t>ERR2521498</t>
  </si>
  <si>
    <t>ERR2521499</t>
  </si>
  <si>
    <t>ERR2521507</t>
  </si>
  <si>
    <t>ERR2521509</t>
  </si>
  <si>
    <t>ERR2521515</t>
  </si>
  <si>
    <t>ERR2521520</t>
  </si>
  <si>
    <t>ERR2521585</t>
  </si>
  <si>
    <t>ERR2521607</t>
  </si>
  <si>
    <t>ERR2521679</t>
  </si>
  <si>
    <t>ERR2521703</t>
  </si>
  <si>
    <t>ERR2521709</t>
  </si>
  <si>
    <t>ERR2521711</t>
  </si>
  <si>
    <t>ERR2521712</t>
  </si>
  <si>
    <t>ERR2521713</t>
  </si>
  <si>
    <t>ERR2521728</t>
  </si>
  <si>
    <t>ERR2521730</t>
  </si>
  <si>
    <t>ERR2521731</t>
  </si>
  <si>
    <t>ERR2521735</t>
  </si>
  <si>
    <t>ERR2521745</t>
  </si>
  <si>
    <t>ERR2521765</t>
  </si>
  <si>
    <t>Iceland</t>
  </si>
  <si>
    <t>ERR2521769</t>
  </si>
  <si>
    <t>ERR2521770</t>
  </si>
  <si>
    <t>ERR2521771</t>
  </si>
  <si>
    <t>ERR2521773</t>
  </si>
  <si>
    <t>2017</t>
  </si>
  <si>
    <t>ERR2521792</t>
  </si>
  <si>
    <t>Lithuania</t>
  </si>
  <si>
    <t>ERR2521801</t>
  </si>
  <si>
    <t>ERR2521804</t>
  </si>
  <si>
    <t>ERR2521806</t>
  </si>
  <si>
    <t>ERR2521812</t>
  </si>
  <si>
    <t>ERR2521877</t>
  </si>
  <si>
    <t>ERR2521878</t>
  </si>
  <si>
    <t>ERR2521883</t>
  </si>
  <si>
    <t>ERR2521885</t>
  </si>
  <si>
    <t>ERR2521890</t>
  </si>
  <si>
    <t>ERR2521899</t>
  </si>
  <si>
    <t>ERR2521900</t>
  </si>
  <si>
    <t>ERR2521901</t>
  </si>
  <si>
    <t>ERR2521902</t>
  </si>
  <si>
    <t>ERR2521904</t>
  </si>
  <si>
    <t>ERR2521906</t>
  </si>
  <si>
    <t>ERR2521908</t>
  </si>
  <si>
    <t>ERR2521910</t>
  </si>
  <si>
    <t>ERR2521911</t>
  </si>
  <si>
    <t>ERR2521912</t>
  </si>
  <si>
    <t>ERR2521913</t>
  </si>
  <si>
    <t>ERR2521918</t>
  </si>
  <si>
    <t>ERR2521919</t>
  </si>
  <si>
    <t>ERR2521920</t>
  </si>
  <si>
    <t>ERR2521922</t>
  </si>
  <si>
    <t>ERR2521923</t>
  </si>
  <si>
    <t>ERR2521924</t>
  </si>
  <si>
    <t>ERR2521931</t>
  </si>
  <si>
    <t>ERR2521933</t>
  </si>
  <si>
    <t>ERR2521957</t>
  </si>
  <si>
    <t>ERR2521961</t>
  </si>
  <si>
    <t>ERR2521962</t>
  </si>
  <si>
    <t>ERR2521963</t>
  </si>
  <si>
    <t>ERR2521966</t>
  </si>
  <si>
    <t>ERR2521970</t>
  </si>
  <si>
    <t>ERR2521973</t>
  </si>
  <si>
    <t>ERR2521974</t>
  </si>
  <si>
    <t>ERR2521984</t>
  </si>
  <si>
    <t>ERR2521990</t>
  </si>
  <si>
    <t>ERR2521991</t>
  </si>
  <si>
    <t>ERR2521993</t>
  </si>
  <si>
    <t>ERR2521995</t>
  </si>
  <si>
    <t>ERR2522012</t>
  </si>
  <si>
    <t>ERR2522039</t>
  </si>
  <si>
    <t>ERR2522041</t>
  </si>
  <si>
    <t>ERR2522042</t>
  </si>
  <si>
    <t>ERR2522050</t>
  </si>
  <si>
    <t>ERR2522056</t>
  </si>
  <si>
    <t>ERR2522066</t>
  </si>
  <si>
    <t>ERR2522069</t>
  </si>
  <si>
    <t>ERR2522070</t>
  </si>
  <si>
    <t>ERR2522081</t>
  </si>
  <si>
    <t>ERR2522084</t>
  </si>
  <si>
    <t>ERR2522087</t>
  </si>
  <si>
    <t>ERR2522093</t>
  </si>
  <si>
    <t>ERR2522095</t>
  </si>
  <si>
    <t>ERR2522102</t>
  </si>
  <si>
    <t>ERR2522117</t>
  </si>
  <si>
    <t>ERR2522120</t>
  </si>
  <si>
    <t>ERR2522121</t>
  </si>
  <si>
    <t>ERR2522124</t>
  </si>
  <si>
    <t>ERR2522128</t>
  </si>
  <si>
    <t>ERR2522132</t>
  </si>
  <si>
    <t>ERR2522135</t>
  </si>
  <si>
    <t>ERR2522138</t>
  </si>
  <si>
    <t>ERR2522143</t>
  </si>
  <si>
    <t>ERR2522156</t>
  </si>
  <si>
    <t>ERR2522159</t>
  </si>
  <si>
    <t>ERR2522165</t>
  </si>
  <si>
    <t>ERR2522181</t>
  </si>
  <si>
    <t>ERR2522192</t>
  </si>
  <si>
    <t>ERR2522193</t>
  </si>
  <si>
    <t>ERR2522194</t>
  </si>
  <si>
    <t>ERR2522196</t>
  </si>
  <si>
    <t>ERR2522202</t>
  </si>
  <si>
    <t>ERR2522227</t>
  </si>
  <si>
    <t>ERR2522233</t>
  </si>
  <si>
    <t>ERR2522258</t>
  </si>
  <si>
    <t>ERR2522263</t>
  </si>
  <si>
    <t>ERR2522276</t>
  </si>
  <si>
    <t>ERR2522284</t>
  </si>
  <si>
    <t>ERR2522289</t>
  </si>
  <si>
    <t>ERR2522290</t>
  </si>
  <si>
    <t>ERR2522292</t>
  </si>
  <si>
    <t>ERR2522294</t>
  </si>
  <si>
    <t>ERR2522295</t>
  </si>
  <si>
    <t>ERR2522297</t>
  </si>
  <si>
    <t>ERR2522309</t>
  </si>
  <si>
    <t>ERR2522310</t>
  </si>
  <si>
    <t>ERR2522312</t>
  </si>
  <si>
    <t>ERR2522335</t>
  </si>
  <si>
    <t>ERR2522336</t>
  </si>
  <si>
    <t>ERR2522337</t>
  </si>
  <si>
    <t>ERR2522338</t>
  </si>
  <si>
    <t>ERR2522353</t>
  </si>
  <si>
    <t>ERR2522354</t>
  </si>
  <si>
    <t>ERR2522358</t>
  </si>
  <si>
    <t>ERR2522363</t>
  </si>
  <si>
    <t>ERR2522394</t>
  </si>
  <si>
    <t>ERR2522454</t>
  </si>
  <si>
    <t>ERR2522466</t>
  </si>
  <si>
    <t>ERR2522482</t>
  </si>
  <si>
    <t>ERR2522485</t>
  </si>
  <si>
    <t>ERR2522510</t>
  </si>
  <si>
    <t>ERR2522547</t>
  </si>
  <si>
    <t>ERR2522551</t>
  </si>
  <si>
    <t>ERR2522554</t>
  </si>
  <si>
    <t>ERR2522576</t>
  </si>
  <si>
    <t>ERR2522579</t>
  </si>
  <si>
    <t>ERR2522592</t>
  </si>
  <si>
    <t>ERR2522647</t>
  </si>
  <si>
    <t>Portugal</t>
  </si>
  <si>
    <t>ERR2522745</t>
  </si>
  <si>
    <t>ERR2522782</t>
  </si>
  <si>
    <t>ERR2522796</t>
  </si>
  <si>
    <t>ERR2522810</t>
  </si>
  <si>
    <t>ERR2522823</t>
  </si>
  <si>
    <t>ERR2522828</t>
  </si>
  <si>
    <t>ERR2522883</t>
  </si>
  <si>
    <t>ERR2522979</t>
  </si>
  <si>
    <t>ERR2522993</t>
  </si>
  <si>
    <t>ERR2523665</t>
  </si>
  <si>
    <t>ERR2523728</t>
  </si>
  <si>
    <t>ERR2523747</t>
  </si>
  <si>
    <t>ERR2523754</t>
  </si>
  <si>
    <t>ERR2523759</t>
  </si>
  <si>
    <t>ERR2523791</t>
  </si>
  <si>
    <t>ERR2531780</t>
  </si>
  <si>
    <t>ERR2727616</t>
  </si>
  <si>
    <t>Sea food</t>
  </si>
  <si>
    <t>ERR2727619</t>
  </si>
  <si>
    <t>ERR2727620</t>
  </si>
  <si>
    <t>ERR2727621</t>
  </si>
  <si>
    <t>ERR2727622</t>
  </si>
  <si>
    <t>ERR2728038</t>
  </si>
  <si>
    <t>ERR2728039</t>
  </si>
  <si>
    <t>ERR2734419</t>
  </si>
  <si>
    <t>Industrial environnement</t>
  </si>
  <si>
    <t>ERR2938075</t>
  </si>
  <si>
    <t>Food - Vegetable</t>
  </si>
  <si>
    <t>2000</t>
  </si>
  <si>
    <t>ERR2938076</t>
  </si>
  <si>
    <t>Environmental - Vegetable Equipment</t>
  </si>
  <si>
    <t>ERR2938078</t>
  </si>
  <si>
    <t>Environmental - Seafood Equipment</t>
  </si>
  <si>
    <t>2007</t>
  </si>
  <si>
    <t>ERR2938080</t>
  </si>
  <si>
    <t>Food - Seafood</t>
  </si>
  <si>
    <t>ERR2938081</t>
  </si>
  <si>
    <t>ERR2938082</t>
  </si>
  <si>
    <t>Environmental - Seafood processing environment</t>
  </si>
  <si>
    <t>ERR2938083</t>
  </si>
  <si>
    <t>ERR2938085</t>
  </si>
  <si>
    <t>Environmental - Seafood Processing Surface</t>
  </si>
  <si>
    <t>ERR2938086</t>
  </si>
  <si>
    <t>ERR2938087</t>
  </si>
  <si>
    <t>ERR2938088</t>
  </si>
  <si>
    <t>2008</t>
  </si>
  <si>
    <t>ERR2938089</t>
  </si>
  <si>
    <t>ERR2938090</t>
  </si>
  <si>
    <t>ERR2938091</t>
  </si>
  <si>
    <t>ERR2938092</t>
  </si>
  <si>
    <t>ERR2938093</t>
  </si>
  <si>
    <t>ERR2938099</t>
  </si>
  <si>
    <t>ERR2938100</t>
  </si>
  <si>
    <t>ERR2938101</t>
  </si>
  <si>
    <t>ERR2938102</t>
  </si>
  <si>
    <t>ERR2938106</t>
  </si>
  <si>
    <t>2009</t>
  </si>
  <si>
    <t>ERR2938110</t>
  </si>
  <si>
    <t>ERR2938111</t>
  </si>
  <si>
    <t>CC229</t>
  </si>
  <si>
    <t>ERR2938114</t>
  </si>
  <si>
    <t>ERR2938127</t>
  </si>
  <si>
    <t>2010</t>
  </si>
  <si>
    <t>ERR2938128</t>
  </si>
  <si>
    <t>ERR2938129</t>
  </si>
  <si>
    <t>ERR2938131</t>
  </si>
  <si>
    <t>ERR2938132</t>
  </si>
  <si>
    <t>ERR2938133</t>
  </si>
  <si>
    <t>ERR2938134</t>
  </si>
  <si>
    <t>ERR2938135</t>
  </si>
  <si>
    <t>ERR2938136</t>
  </si>
  <si>
    <t>ERR2938137</t>
  </si>
  <si>
    <t>ERR2938140</t>
  </si>
  <si>
    <t>ERR2938141</t>
  </si>
  <si>
    <t>ERR2938147</t>
  </si>
  <si>
    <t>ERR2938149</t>
  </si>
  <si>
    <t>ERR2938150</t>
  </si>
  <si>
    <t>ERR2938151</t>
  </si>
  <si>
    <t>ERR2938152</t>
  </si>
  <si>
    <t>ERR2938153</t>
  </si>
  <si>
    <t>ERR2938156</t>
  </si>
  <si>
    <t>ERR2938157</t>
  </si>
  <si>
    <t>ERR2938158</t>
  </si>
  <si>
    <t>ERR2938159</t>
  </si>
  <si>
    <t>ERR2938160</t>
  </si>
  <si>
    <t>ERR2938161</t>
  </si>
  <si>
    <t>ERR2938162</t>
  </si>
  <si>
    <t>ERR2938163</t>
  </si>
  <si>
    <t>ERR2938164</t>
  </si>
  <si>
    <t>ERR2938165</t>
  </si>
  <si>
    <t>ERR2938166</t>
  </si>
  <si>
    <t>ERR2938168</t>
  </si>
  <si>
    <t>ERR2938169</t>
  </si>
  <si>
    <t>ERR2938170</t>
  </si>
  <si>
    <t>ERR2938171</t>
  </si>
  <si>
    <t>ERR2938172</t>
  </si>
  <si>
    <t>ERR2938173</t>
  </si>
  <si>
    <t>ERR2938174</t>
  </si>
  <si>
    <t>ERR2938175</t>
  </si>
  <si>
    <t>ERR2938176</t>
  </si>
  <si>
    <t>ERR2938177</t>
  </si>
  <si>
    <t>ERR2938178</t>
  </si>
  <si>
    <t>ERR2938179</t>
  </si>
  <si>
    <t>ERR2938180</t>
  </si>
  <si>
    <t>ERR2938182</t>
  </si>
  <si>
    <t>ERR2938183</t>
  </si>
  <si>
    <t>ERR2938184</t>
  </si>
  <si>
    <t>ERR2938185</t>
  </si>
  <si>
    <t>ERR2938187</t>
  </si>
  <si>
    <t>ERR2938188</t>
  </si>
  <si>
    <t>ERR2938190</t>
  </si>
  <si>
    <t>ERR2938191</t>
  </si>
  <si>
    <t>ERR2938192</t>
  </si>
  <si>
    <t>ERR2938193</t>
  </si>
  <si>
    <t>ERR2938194</t>
  </si>
  <si>
    <t>ERR2938195</t>
  </si>
  <si>
    <t>Environmental - Process water</t>
  </si>
  <si>
    <t>ERR2938196</t>
  </si>
  <si>
    <t>ERR2938197</t>
  </si>
  <si>
    <t>ERR2938198</t>
  </si>
  <si>
    <t>ERR2938199</t>
  </si>
  <si>
    <t>ERR2938200</t>
  </si>
  <si>
    <t>ERR2938201</t>
  </si>
  <si>
    <t>ERR2938202</t>
  </si>
  <si>
    <t>ERR2938203</t>
  </si>
  <si>
    <t>2015</t>
  </si>
  <si>
    <t>ERR2938204</t>
  </si>
  <si>
    <t>ERR2938222</t>
  </si>
  <si>
    <t>ERR3040059</t>
  </si>
  <si>
    <t>1999</t>
  </si>
  <si>
    <t>ERR3040060</t>
  </si>
  <si>
    <t>ERR3040061</t>
  </si>
  <si>
    <t>ERR3040062</t>
  </si>
  <si>
    <t>ERR3040063</t>
  </si>
  <si>
    <t>ERR3040064</t>
  </si>
  <si>
    <t>ERR3040067</t>
  </si>
  <si>
    <t>ERR3040068</t>
  </si>
  <si>
    <t>ERR3040071</t>
  </si>
  <si>
    <t>ERR3040072</t>
  </si>
  <si>
    <t>ERR3040073</t>
  </si>
  <si>
    <t>ERR3040074</t>
  </si>
  <si>
    <t>ERR3040075</t>
  </si>
  <si>
    <t>ERR3040076</t>
  </si>
  <si>
    <t>ERR3040077</t>
  </si>
  <si>
    <t>ERR3040078</t>
  </si>
  <si>
    <t>ERR3040081</t>
  </si>
  <si>
    <t>ERR3040082</t>
  </si>
  <si>
    <t>ERR3040083</t>
  </si>
  <si>
    <t>ERR3040084</t>
  </si>
  <si>
    <t>ERR3040085</t>
  </si>
  <si>
    <t>ERR3040089</t>
  </si>
  <si>
    <t>ERR3040091</t>
  </si>
  <si>
    <t>ERR3040092</t>
  </si>
  <si>
    <t>ERR3040095</t>
  </si>
  <si>
    <t>ERR3040096</t>
  </si>
  <si>
    <t>ERR3040098</t>
  </si>
  <si>
    <t>ERR3040099</t>
  </si>
  <si>
    <t>ERR3040100</t>
  </si>
  <si>
    <t>ERR3040101</t>
  </si>
  <si>
    <t>ERR3040102</t>
  </si>
  <si>
    <t>ERR3040103</t>
  </si>
  <si>
    <t>ERR3040104</t>
  </si>
  <si>
    <t>ERR3040105</t>
  </si>
  <si>
    <t>ERR3040106</t>
  </si>
  <si>
    <t>ERR3040107</t>
  </si>
  <si>
    <t>ERR3040108</t>
  </si>
  <si>
    <t>ERR3040109</t>
  </si>
  <si>
    <t>ERR3040110</t>
  </si>
  <si>
    <t>ERR3040111</t>
  </si>
  <si>
    <t>ERR3040112</t>
  </si>
  <si>
    <t>ERR3040113</t>
  </si>
  <si>
    <t>ERR3040114</t>
  </si>
  <si>
    <t>ERR3040115</t>
  </si>
  <si>
    <t>ERR3040116</t>
  </si>
  <si>
    <t>ERR3040120</t>
  </si>
  <si>
    <t>2001</t>
  </si>
  <si>
    <t>ERR3040121</t>
  </si>
  <si>
    <t>ERR3040122</t>
  </si>
  <si>
    <t>ERR3040127</t>
  </si>
  <si>
    <t>2002</t>
  </si>
  <si>
    <t>ERR3040128</t>
  </si>
  <si>
    <t>2003</t>
  </si>
  <si>
    <t>ERR3040129</t>
  </si>
  <si>
    <t>ERR3040132</t>
  </si>
  <si>
    <t>Shrimp</t>
  </si>
  <si>
    <t>ERR3040133</t>
  </si>
  <si>
    <t>ERR3040134</t>
  </si>
  <si>
    <t>ERR3040135</t>
  </si>
  <si>
    <t>ERR3040136</t>
  </si>
  <si>
    <t>ERR3040137</t>
  </si>
  <si>
    <t>ERR3040138</t>
  </si>
  <si>
    <t>ERR3040139</t>
  </si>
  <si>
    <t>ERR3040140</t>
  </si>
  <si>
    <t>ERR3040141</t>
  </si>
  <si>
    <t>ERR3040142</t>
  </si>
  <si>
    <t>ERR3040143</t>
  </si>
  <si>
    <t>ERR3040144</t>
  </si>
  <si>
    <t>ERR3040145</t>
  </si>
  <si>
    <t>ERR3040146</t>
  </si>
  <si>
    <t>ERR3040147</t>
  </si>
  <si>
    <t>ERR3040148</t>
  </si>
  <si>
    <t>2012</t>
  </si>
  <si>
    <t>ERR3040149</t>
  </si>
  <si>
    <t>ERR3151350</t>
  </si>
  <si>
    <t>2018</t>
  </si>
  <si>
    <t>ERR3151359</t>
  </si>
  <si>
    <t>ERR3151360</t>
  </si>
  <si>
    <t>ERR3151372</t>
  </si>
  <si>
    <t>ERR3151382</t>
  </si>
  <si>
    <t>ERR3274205</t>
  </si>
  <si>
    <t>2019</t>
  </si>
  <si>
    <t>ERR3274207</t>
  </si>
  <si>
    <t>ERR3430575</t>
  </si>
  <si>
    <t>ERR3430576</t>
  </si>
  <si>
    <t>ERR3430577</t>
  </si>
  <si>
    <t>ERR3430578</t>
  </si>
  <si>
    <t>ERR3430580</t>
  </si>
  <si>
    <t>ERR3430581</t>
  </si>
  <si>
    <t>ERR3430583</t>
  </si>
  <si>
    <t>ERR3430584</t>
  </si>
  <si>
    <t>ERR3430585</t>
  </si>
  <si>
    <t>ERR3430586</t>
  </si>
  <si>
    <t>ERR3430587</t>
  </si>
  <si>
    <t>ERR3430588</t>
  </si>
  <si>
    <t>ERR3430589</t>
  </si>
  <si>
    <t>ERR3430590</t>
  </si>
  <si>
    <t>ERR3430591</t>
  </si>
  <si>
    <t>ERR3430592</t>
  </si>
  <si>
    <t>ERR3430593</t>
  </si>
  <si>
    <t>ERR3430594</t>
  </si>
  <si>
    <t>ERR3430595</t>
  </si>
  <si>
    <t>ERR3430596</t>
  </si>
  <si>
    <t>ERR3430597</t>
  </si>
  <si>
    <t>ERR3430598</t>
  </si>
  <si>
    <t>ERR3430599</t>
  </si>
  <si>
    <t>ERR3430600</t>
  </si>
  <si>
    <t>ERR3430601</t>
  </si>
  <si>
    <t>ERR3430602</t>
  </si>
  <si>
    <t>ERR3430603</t>
  </si>
  <si>
    <t>ERR3430604</t>
  </si>
  <si>
    <t>ERR3430607</t>
  </si>
  <si>
    <t>ERR3430609</t>
  </si>
  <si>
    <t>ERR3430610</t>
  </si>
  <si>
    <t>ERR3430613</t>
  </si>
  <si>
    <t>ERR3430615</t>
  </si>
  <si>
    <t>ERR3430616</t>
  </si>
  <si>
    <t>ERR3430617</t>
  </si>
  <si>
    <t>ERR3430618</t>
  </si>
  <si>
    <t>ERR3430621</t>
  </si>
  <si>
    <t>ERR3430625</t>
  </si>
  <si>
    <t>ERR3431217</t>
  </si>
  <si>
    <t>2016</t>
  </si>
  <si>
    <t>ERR3431218</t>
  </si>
  <si>
    <t>ERR3515963</t>
  </si>
  <si>
    <t>ERR3522470</t>
  </si>
  <si>
    <t>ERR3522507</t>
  </si>
  <si>
    <t>blood</t>
  </si>
  <si>
    <t>ERR3522513</t>
  </si>
  <si>
    <t>2014</t>
  </si>
  <si>
    <t>ERR3522531</t>
  </si>
  <si>
    <t>ERR3522543</t>
  </si>
  <si>
    <t>ERR3522551</t>
  </si>
  <si>
    <t>ERR3522553</t>
  </si>
  <si>
    <t>ERR3522558</t>
  </si>
  <si>
    <t>liquor</t>
  </si>
  <si>
    <t>ERR3522564</t>
  </si>
  <si>
    <t>ERR3522567</t>
  </si>
  <si>
    <t>ERR3522575</t>
  </si>
  <si>
    <t>ERR3522581</t>
  </si>
  <si>
    <t>ERR3522585</t>
  </si>
  <si>
    <t>ERR3522593</t>
  </si>
  <si>
    <t>ERR3841965</t>
  </si>
  <si>
    <t>ERR3841971</t>
  </si>
  <si>
    <t>ERR3971819</t>
  </si>
  <si>
    <t>ERR4015974</t>
  </si>
  <si>
    <t>Food Processing Environment</t>
  </si>
  <si>
    <t>ERR4015981</t>
  </si>
  <si>
    <t>ERR4015983</t>
  </si>
  <si>
    <t>ERR4015984</t>
  </si>
  <si>
    <t>ERR4015985</t>
  </si>
  <si>
    <t>ERR4015990</t>
  </si>
  <si>
    <t>ERR4015991</t>
  </si>
  <si>
    <t>ERR4016004</t>
  </si>
  <si>
    <t>ERR4016005</t>
  </si>
  <si>
    <t>ERR4016006</t>
  </si>
  <si>
    <t>ERR4016009</t>
  </si>
  <si>
    <t>ERR4016016</t>
  </si>
  <si>
    <t>ERR4016023</t>
  </si>
  <si>
    <t>ERR4016025</t>
  </si>
  <si>
    <t>ERR4016031</t>
  </si>
  <si>
    <t>ERR4016033</t>
  </si>
  <si>
    <t>ERR4016035</t>
  </si>
  <si>
    <t>ERR4016037</t>
  </si>
  <si>
    <t>ERR4016038</t>
  </si>
  <si>
    <t>ERR4016040</t>
  </si>
  <si>
    <t>ERR4016045</t>
  </si>
  <si>
    <t>ERR4016046</t>
  </si>
  <si>
    <t>ERR4016047</t>
  </si>
  <si>
    <t>ERR4016048</t>
  </si>
  <si>
    <t>ERR4016051</t>
  </si>
  <si>
    <t>ERR4016052</t>
  </si>
  <si>
    <t>ERR4016064</t>
  </si>
  <si>
    <t>ERR4016065</t>
  </si>
  <si>
    <t>ERR4016067</t>
  </si>
  <si>
    <t>ERR4016068</t>
  </si>
  <si>
    <t>ERR4016071</t>
  </si>
  <si>
    <t>ERR4016076</t>
  </si>
  <si>
    <t>ERR4016077</t>
  </si>
  <si>
    <t>ERR4016079</t>
  </si>
  <si>
    <t>ERR4016080</t>
  </si>
  <si>
    <t>ERR4016084</t>
  </si>
  <si>
    <t>ERR4016089</t>
  </si>
  <si>
    <t>ERR4016093</t>
  </si>
  <si>
    <t>ERR4016097</t>
  </si>
  <si>
    <t>ERR4016098</t>
  </si>
  <si>
    <t>ERR4016099</t>
  </si>
  <si>
    <t>ERR4016101</t>
  </si>
  <si>
    <t>ERR4016102</t>
  </si>
  <si>
    <t>ERR4016113</t>
  </si>
  <si>
    <t>ERR4016116</t>
  </si>
  <si>
    <t>ERR4016121</t>
  </si>
  <si>
    <t>ERR4016129</t>
  </si>
  <si>
    <t>ERR4016130</t>
  </si>
  <si>
    <t>ERR4016131</t>
  </si>
  <si>
    <t>ERR4016134</t>
  </si>
  <si>
    <t>ERR4016136</t>
  </si>
  <si>
    <t>ERR4016160</t>
  </si>
  <si>
    <t>ERR4016164</t>
  </si>
  <si>
    <t>ERR4016165</t>
  </si>
  <si>
    <t>ERR4016166</t>
  </si>
  <si>
    <t>ERR4016168</t>
  </si>
  <si>
    <t>ERR4016169</t>
  </si>
  <si>
    <t>ERR4016170</t>
  </si>
  <si>
    <t>ERR4016171</t>
  </si>
  <si>
    <t>ERR4016174</t>
  </si>
  <si>
    <t>ERR4016176</t>
  </si>
  <si>
    <t>ERR4016177</t>
  </si>
  <si>
    <t>ERR4016179</t>
  </si>
  <si>
    <t>ERR4016195</t>
  </si>
  <si>
    <t>ERR4016196</t>
  </si>
  <si>
    <t>ERR4016197</t>
  </si>
  <si>
    <t>ERR4026086</t>
  </si>
  <si>
    <t>ERR4026097</t>
  </si>
  <si>
    <t>ERR4026111</t>
  </si>
  <si>
    <t>ERR4026112</t>
  </si>
  <si>
    <t>ERR4026113</t>
  </si>
  <si>
    <t>ERR4026127</t>
  </si>
  <si>
    <t>ERR4026128</t>
  </si>
  <si>
    <t>ERR4026139</t>
  </si>
  <si>
    <t>ERR4026140</t>
  </si>
  <si>
    <t>ERR4026151</t>
  </si>
  <si>
    <t>ERR4026152</t>
  </si>
  <si>
    <t>ERR4026163</t>
  </si>
  <si>
    <t>ERR4026164</t>
  </si>
  <si>
    <t>ERR4026175</t>
  </si>
  <si>
    <t>ERR4026176</t>
  </si>
  <si>
    <t>ERR4026185</t>
  </si>
  <si>
    <t>ERR4078595</t>
  </si>
  <si>
    <t>ERR4078641</t>
  </si>
  <si>
    <t>ERR4078645</t>
  </si>
  <si>
    <t>ERR4078665</t>
  </si>
  <si>
    <t>ERR4078677</t>
  </si>
  <si>
    <t>ERR4078705</t>
  </si>
  <si>
    <t>ERR4078738</t>
  </si>
  <si>
    <t>ERR4078767</t>
  </si>
  <si>
    <t>ERR4147297</t>
  </si>
  <si>
    <t>ERR4147298</t>
  </si>
  <si>
    <t>ERR4147301</t>
  </si>
  <si>
    <t>ERR4147302</t>
  </si>
  <si>
    <t>ERR4147303</t>
  </si>
  <si>
    <t>ERR4147305</t>
  </si>
  <si>
    <t>ERR4147308</t>
  </si>
  <si>
    <t>ERR4147310</t>
  </si>
  <si>
    <t>ERR4147313</t>
  </si>
  <si>
    <t>ERR4147315</t>
  </si>
  <si>
    <t>ERR4147316</t>
  </si>
  <si>
    <t>ERR4147317</t>
  </si>
  <si>
    <t>ERR4147318</t>
  </si>
  <si>
    <t>ERR4147319</t>
  </si>
  <si>
    <t>ERR4147322</t>
  </si>
  <si>
    <t>ERR4147325</t>
  </si>
  <si>
    <t>ERR4147326</t>
  </si>
  <si>
    <t>ERR4147331</t>
  </si>
  <si>
    <t>ERR4147334</t>
  </si>
  <si>
    <t>ERR4147337</t>
  </si>
  <si>
    <t>ERR4147345</t>
  </si>
  <si>
    <t>ERR4147346</t>
  </si>
  <si>
    <t>ERR4147350</t>
  </si>
  <si>
    <t>ERR4147359</t>
  </si>
  <si>
    <t>ERR4147365</t>
  </si>
  <si>
    <t>ERR4147366</t>
  </si>
  <si>
    <t>ERR4147368</t>
  </si>
  <si>
    <t>ERR4147374</t>
  </si>
  <si>
    <t>ERR4147376</t>
  </si>
  <si>
    <t>ERR4147378</t>
  </si>
  <si>
    <t>ERR4151849</t>
  </si>
  <si>
    <t>ERR4151860</t>
  </si>
  <si>
    <t>ERR4151883</t>
  </si>
  <si>
    <t>ERR4176426</t>
  </si>
  <si>
    <t>ERR4176446</t>
  </si>
  <si>
    <t>ERR4176454</t>
  </si>
  <si>
    <t>ERR4176459</t>
  </si>
  <si>
    <t>ERR4176463</t>
  </si>
  <si>
    <t>ERR4176465</t>
  </si>
  <si>
    <t>ERR4176466</t>
  </si>
  <si>
    <t>ERR4176467</t>
  </si>
  <si>
    <t>ERR4176490</t>
  </si>
  <si>
    <t>ERR4176491</t>
  </si>
  <si>
    <t>ERR4176492</t>
  </si>
  <si>
    <t>ERR4176493</t>
  </si>
  <si>
    <t>ERR4176494</t>
  </si>
  <si>
    <t>ERR4176497</t>
  </si>
  <si>
    <t>ERR4176500</t>
  </si>
  <si>
    <t>ERR4176503</t>
  </si>
  <si>
    <t>ERR4176513</t>
  </si>
  <si>
    <t>ERR4176514</t>
  </si>
  <si>
    <t>ERR4176536</t>
  </si>
  <si>
    <t>ERR4176542</t>
  </si>
  <si>
    <t>ERR4176555</t>
  </si>
  <si>
    <t>ERR4176560</t>
  </si>
  <si>
    <t>ERR4176563</t>
  </si>
  <si>
    <t>ERR4176565</t>
  </si>
  <si>
    <t>ERR4176567</t>
  </si>
  <si>
    <t>ERR4176578</t>
  </si>
  <si>
    <t>ERR4176579</t>
  </si>
  <si>
    <t>ERR4176581</t>
  </si>
  <si>
    <t>ERR4176584</t>
  </si>
  <si>
    <t>ERR4176585</t>
  </si>
  <si>
    <t>ERR4176586</t>
  </si>
  <si>
    <t>ERR4176587</t>
  </si>
  <si>
    <t>ERR4176591</t>
  </si>
  <si>
    <t>ERR4176592</t>
  </si>
  <si>
    <t>ERR4176593</t>
  </si>
  <si>
    <t>ERR4176594</t>
  </si>
  <si>
    <t>ERR4176595</t>
  </si>
  <si>
    <t>ERR4176605</t>
  </si>
  <si>
    <t>ERR4176606</t>
  </si>
  <si>
    <t>ERR4176623</t>
  </si>
  <si>
    <t>ERR4176628</t>
  </si>
  <si>
    <t>ERR4176631</t>
  </si>
  <si>
    <t>ERR4176632</t>
  </si>
  <si>
    <t>ERR4176638</t>
  </si>
  <si>
    <t>ERR4176640</t>
  </si>
  <si>
    <t>ERR4176643</t>
  </si>
  <si>
    <t>ERR4176644</t>
  </si>
  <si>
    <t>ERR4176645</t>
  </si>
  <si>
    <t>ERR4176653</t>
  </si>
  <si>
    <t>ERR4176654</t>
  </si>
  <si>
    <t>ERR4176666</t>
  </si>
  <si>
    <t>ERR4176678</t>
  </si>
  <si>
    <t>ERR4176703</t>
  </si>
  <si>
    <t>ERR4176704</t>
  </si>
  <si>
    <t>ERR4176711</t>
  </si>
  <si>
    <t>ERR4176712</t>
  </si>
  <si>
    <t>ERR4176714</t>
  </si>
  <si>
    <t>ERR4176719</t>
  </si>
  <si>
    <t>ERR4176720</t>
  </si>
  <si>
    <t>ERR4176721</t>
  </si>
  <si>
    <t>ERR4176726</t>
  </si>
  <si>
    <t>ERR4176731</t>
  </si>
  <si>
    <t>ERR4176732</t>
  </si>
  <si>
    <t>ERR4176733</t>
  </si>
  <si>
    <t>ERR4176738</t>
  </si>
  <si>
    <t>ERR4176743</t>
  </si>
  <si>
    <t>ERR4176745</t>
  </si>
  <si>
    <t>ERR4176769</t>
  </si>
  <si>
    <t>ERR4176794</t>
  </si>
  <si>
    <t>ERR4176795</t>
  </si>
  <si>
    <t>ERR4176800</t>
  </si>
  <si>
    <t>ERR4176802</t>
  </si>
  <si>
    <t>ERR4176803</t>
  </si>
  <si>
    <t>ERR4176822</t>
  </si>
  <si>
    <t>ERR4176826</t>
  </si>
  <si>
    <t>ERR4176827</t>
  </si>
  <si>
    <t>ERR4176828</t>
  </si>
  <si>
    <t>ERR4176834</t>
  </si>
  <si>
    <t>ERR4176837</t>
  </si>
  <si>
    <t>ERR4176852</t>
  </si>
  <si>
    <t>ERR4176854</t>
  </si>
  <si>
    <t>ERR4176855</t>
  </si>
  <si>
    <t>ERR4176860</t>
  </si>
  <si>
    <t>ERR4176863</t>
  </si>
  <si>
    <t>ERR4176865</t>
  </si>
  <si>
    <t>ERR4176870</t>
  </si>
  <si>
    <t>ERR4176890</t>
  </si>
  <si>
    <t>ERR4176894</t>
  </si>
  <si>
    <t>ERR4176900</t>
  </si>
  <si>
    <t>ERR4176903</t>
  </si>
  <si>
    <t>ERR435878</t>
  </si>
  <si>
    <t>ERR436034</t>
  </si>
  <si>
    <t>ERR436035</t>
  </si>
  <si>
    <t>ERR440528,ERR440529</t>
  </si>
  <si>
    <t>ERR4419085</t>
  </si>
  <si>
    <t>2020</t>
  </si>
  <si>
    <t>ERR454986</t>
  </si>
  <si>
    <t>ERR468930</t>
  </si>
  <si>
    <t>ERR469300</t>
  </si>
  <si>
    <t>ERR469301</t>
  </si>
  <si>
    <t>ERR469619</t>
  </si>
  <si>
    <t>ERR469623</t>
  </si>
  <si>
    <t>ERR469624</t>
  </si>
  <si>
    <t>ERR469625</t>
  </si>
  <si>
    <t>ERR469626</t>
  </si>
  <si>
    <t>ERR469627</t>
  </si>
  <si>
    <t>ERR4998148</t>
  </si>
  <si>
    <t>animal</t>
  </si>
  <si>
    <t>ERR5060360</t>
  </si>
  <si>
    <t>ERR555022</t>
  </si>
  <si>
    <t>ERR555025</t>
  </si>
  <si>
    <t>ERR555026</t>
  </si>
  <si>
    <t>ERR555028</t>
  </si>
  <si>
    <t>CSF</t>
  </si>
  <si>
    <t>ERR555029</t>
  </si>
  <si>
    <t>Blood</t>
  </si>
  <si>
    <t>ERR555038</t>
  </si>
  <si>
    <t>ERR555039</t>
  </si>
  <si>
    <t>ERR564046</t>
  </si>
  <si>
    <t>ERR564048</t>
  </si>
  <si>
    <t>ERR564060</t>
  </si>
  <si>
    <t>ERR564061</t>
  </si>
  <si>
    <t>ERR564062</t>
  </si>
  <si>
    <t>ERR564063</t>
  </si>
  <si>
    <t>ERR564068</t>
  </si>
  <si>
    <t>ERR564069</t>
  </si>
  <si>
    <t>ERR564084</t>
  </si>
  <si>
    <t>ERR564089</t>
  </si>
  <si>
    <t>ERR564099</t>
  </si>
  <si>
    <t>ERR564112</t>
  </si>
  <si>
    <t>ERR564113</t>
  </si>
  <si>
    <t>ERR564114</t>
  </si>
  <si>
    <t>ERR564116</t>
  </si>
  <si>
    <t>ERR564117</t>
  </si>
  <si>
    <t>ERR564118</t>
  </si>
  <si>
    <t>ERR564119</t>
  </si>
  <si>
    <t>ERR564124</t>
  </si>
  <si>
    <t>ERR564125</t>
  </si>
  <si>
    <t>ERR564127</t>
  </si>
  <si>
    <t>ERR564130</t>
  </si>
  <si>
    <t>ERR564131</t>
  </si>
  <si>
    <t>ERR564133</t>
  </si>
  <si>
    <t>ERR5671739</t>
  </si>
  <si>
    <t>SRR10001247</t>
  </si>
  <si>
    <t>environmental swabs</t>
  </si>
  <si>
    <t>SRR10001250</t>
  </si>
  <si>
    <t>SRR10001257</t>
  </si>
  <si>
    <t>SRR10001260</t>
  </si>
  <si>
    <t>SRR10001261</t>
  </si>
  <si>
    <t>SRR10001261,SRR2071443</t>
  </si>
  <si>
    <t>environmental swab</t>
  </si>
  <si>
    <t>SRR10001262</t>
  </si>
  <si>
    <t>SRR10001263</t>
  </si>
  <si>
    <t>SRR10001263,SRR2064134</t>
  </si>
  <si>
    <t>SRR10001266</t>
  </si>
  <si>
    <t>SRR1001045</t>
  </si>
  <si>
    <t>SRR10013398</t>
  </si>
  <si>
    <t>Egg Salad</t>
  </si>
  <si>
    <t>SRR10017686</t>
  </si>
  <si>
    <t>SRR10017896</t>
  </si>
  <si>
    <t>SRR10017898</t>
  </si>
  <si>
    <t>SRR10018055</t>
  </si>
  <si>
    <t>SRR10018153</t>
  </si>
  <si>
    <t>SRR10018359</t>
  </si>
  <si>
    <t>SRR10018589</t>
  </si>
  <si>
    <t>SRR10018590</t>
  </si>
  <si>
    <t>SRR10018729</t>
  </si>
  <si>
    <t>SRR10022833</t>
  </si>
  <si>
    <t>environmental swab from Utensil used for prep #2-bowl</t>
  </si>
  <si>
    <t>SRR10023481</t>
  </si>
  <si>
    <t>environmental swab from Sink interior</t>
  </si>
  <si>
    <t>SRR10023483</t>
  </si>
  <si>
    <t>environmental swab from Drain-deli</t>
  </si>
  <si>
    <t>SRR10023485</t>
  </si>
  <si>
    <t>SRR10023487</t>
  </si>
  <si>
    <t>environmental swab from Drain-seafood</t>
  </si>
  <si>
    <t>SRR10023489</t>
  </si>
  <si>
    <t>environmental swab from Drain-raw meat</t>
  </si>
  <si>
    <t>SRR10023490</t>
  </si>
  <si>
    <t>environmental swab from Cold storage room-floor</t>
  </si>
  <si>
    <t>SRR10023492</t>
  </si>
  <si>
    <t>environmental swab from Cold storage room-shelves</t>
  </si>
  <si>
    <t>SRR10023493</t>
  </si>
  <si>
    <t>SRR10023495</t>
  </si>
  <si>
    <t>SRR10023666</t>
  </si>
  <si>
    <t>SRR10026293</t>
  </si>
  <si>
    <t>missing</t>
  </si>
  <si>
    <t>SRR10036733</t>
  </si>
  <si>
    <t>SRR10037173</t>
  </si>
  <si>
    <t>SRR10037173,SRR5312122,SRR5311177</t>
  </si>
  <si>
    <t>SRR10038006</t>
  </si>
  <si>
    <t>RTE Product</t>
  </si>
  <si>
    <t>SRR10045180</t>
  </si>
  <si>
    <t>SRR10045191</t>
  </si>
  <si>
    <t>SRR1005499</t>
  </si>
  <si>
    <t>SRR1005717</t>
  </si>
  <si>
    <t>SRR10059598</t>
  </si>
  <si>
    <t>SRR10059845</t>
  </si>
  <si>
    <t>SRR10059920</t>
  </si>
  <si>
    <t>floor -cold storage</t>
  </si>
  <si>
    <t>SRR10059931</t>
  </si>
  <si>
    <t>floor-dry aisle</t>
  </si>
  <si>
    <t>SRR10059933</t>
  </si>
  <si>
    <t>floor or floor mat-entrance</t>
  </si>
  <si>
    <t>SRR10060022</t>
  </si>
  <si>
    <t>SRR10060024</t>
  </si>
  <si>
    <t>sink interior</t>
  </si>
  <si>
    <t>SRR10060025</t>
  </si>
  <si>
    <t>SRR10060026</t>
  </si>
  <si>
    <t>cutting board</t>
  </si>
  <si>
    <t>SRR10060405</t>
  </si>
  <si>
    <t>SRR10060409</t>
  </si>
  <si>
    <t>SRR10060411</t>
  </si>
  <si>
    <t>SRR10060412</t>
  </si>
  <si>
    <t>drain-raw meat</t>
  </si>
  <si>
    <t>SRR10060527</t>
  </si>
  <si>
    <t>SRR10062812</t>
  </si>
  <si>
    <t>SRR10072885</t>
  </si>
  <si>
    <t>SRR10075300</t>
  </si>
  <si>
    <t>SRR10083005</t>
  </si>
  <si>
    <t>SRR10085557</t>
  </si>
  <si>
    <t>SRR10085689</t>
  </si>
  <si>
    <t>SRR10085705</t>
  </si>
  <si>
    <t>SRR10085706</t>
  </si>
  <si>
    <t>SRR10085710</t>
  </si>
  <si>
    <t>SRR10085741</t>
  </si>
  <si>
    <t>SRR10085742</t>
  </si>
  <si>
    <t>SRR10085837</t>
  </si>
  <si>
    <t>SRR10086191</t>
  </si>
  <si>
    <t>SRR10086195</t>
  </si>
  <si>
    <t>SRR10086199</t>
  </si>
  <si>
    <t>SRR10086211</t>
  </si>
  <si>
    <t>SRR10086212</t>
  </si>
  <si>
    <t>SRR10086213</t>
  </si>
  <si>
    <t>SRR10086214</t>
  </si>
  <si>
    <t>SRR10087034</t>
  </si>
  <si>
    <t>SRR10087041</t>
  </si>
  <si>
    <t>SRR10087578</t>
  </si>
  <si>
    <t>SRR10087581</t>
  </si>
  <si>
    <t>SRR10087593</t>
  </si>
  <si>
    <t>SRR10088596</t>
  </si>
  <si>
    <t>environmental: non-food-contact surface</t>
  </si>
  <si>
    <t>SRR10088598</t>
  </si>
  <si>
    <t>Environmental: food-contact surface</t>
  </si>
  <si>
    <t>SRR10097592</t>
  </si>
  <si>
    <t>SRR10106394</t>
  </si>
  <si>
    <t>SRR10117603</t>
  </si>
  <si>
    <t>SRR10123467</t>
  </si>
  <si>
    <t>SRR10127266</t>
  </si>
  <si>
    <t>SRR10129532</t>
  </si>
  <si>
    <t>SRR10129534</t>
  </si>
  <si>
    <t>SRR10139850</t>
  </si>
  <si>
    <t>SRR10139851</t>
  </si>
  <si>
    <t>SRR10139854</t>
  </si>
  <si>
    <t>SRR10140019</t>
  </si>
  <si>
    <t>SRR10140045</t>
  </si>
  <si>
    <t>SRR10140364</t>
  </si>
  <si>
    <t>SRR10140387</t>
  </si>
  <si>
    <t>SRR10140388</t>
  </si>
  <si>
    <t>SRR10140389</t>
  </si>
  <si>
    <t>SRR10140393</t>
  </si>
  <si>
    <t>SRR10140405</t>
  </si>
  <si>
    <t>SRR10140576</t>
  </si>
  <si>
    <t>SRR10140578</t>
  </si>
  <si>
    <t>SRR10140637</t>
  </si>
  <si>
    <t>SRR10155212</t>
  </si>
  <si>
    <t>SRR10155214</t>
  </si>
  <si>
    <t>SRR10155215</t>
  </si>
  <si>
    <t>SRR10155229</t>
  </si>
  <si>
    <t>SRR10155230</t>
  </si>
  <si>
    <t>SRR10156063</t>
  </si>
  <si>
    <t>SRR10156099</t>
  </si>
  <si>
    <t>SRR10156109</t>
  </si>
  <si>
    <t>SRR10156118</t>
  </si>
  <si>
    <t>SRR10156120</t>
  </si>
  <si>
    <t>SRR10156180</t>
  </si>
  <si>
    <t>SRR10165010</t>
  </si>
  <si>
    <t>SRR10165011</t>
  </si>
  <si>
    <t>SRR10165012</t>
  </si>
  <si>
    <t>SRR10165013</t>
  </si>
  <si>
    <t>SRR10165150</t>
  </si>
  <si>
    <t>SRR1016581</t>
  </si>
  <si>
    <t>SRR1016590</t>
  </si>
  <si>
    <t>SRR10166212</t>
  </si>
  <si>
    <t>SRR10166215</t>
  </si>
  <si>
    <t>SRR10166536</t>
  </si>
  <si>
    <t>SRR1016923</t>
  </si>
  <si>
    <t>SRR1016924</t>
  </si>
  <si>
    <t>Tissue</t>
  </si>
  <si>
    <t>SRR10173672</t>
  </si>
  <si>
    <t>SRR10174178</t>
  </si>
  <si>
    <t>SRR10180439</t>
  </si>
  <si>
    <t>SRR10180441</t>
  </si>
  <si>
    <t>SRR10180442</t>
  </si>
  <si>
    <t>SRR10186723</t>
  </si>
  <si>
    <t>Product-RTE</t>
  </si>
  <si>
    <t>SRR10189682</t>
  </si>
  <si>
    <t>SRR10189698</t>
  </si>
  <si>
    <t>SRR10189701</t>
  </si>
  <si>
    <t>SRR10189714</t>
  </si>
  <si>
    <t>SRR10189749</t>
  </si>
  <si>
    <t>SRR10189750</t>
  </si>
  <si>
    <t>SRR10189773</t>
  </si>
  <si>
    <t>SRR10189794</t>
  </si>
  <si>
    <t>SRR10190061</t>
  </si>
  <si>
    <t>SRR10190298</t>
  </si>
  <si>
    <t>SRR10190308</t>
  </si>
  <si>
    <t>SRR10190324</t>
  </si>
  <si>
    <t>SRR10190434</t>
  </si>
  <si>
    <t>SRR10190488</t>
  </si>
  <si>
    <t>SRR10190825</t>
  </si>
  <si>
    <t>SRR10198865</t>
  </si>
  <si>
    <t>environmental</t>
  </si>
  <si>
    <t>SRR10198866</t>
  </si>
  <si>
    <t>SRR1021943</t>
  </si>
  <si>
    <t>SRR10227611</t>
  </si>
  <si>
    <t>SRR10231952</t>
  </si>
  <si>
    <t>SRR10237452</t>
  </si>
  <si>
    <t>SRR10237751</t>
  </si>
  <si>
    <t>SRR10240048</t>
  </si>
  <si>
    <t>SRR10240858</t>
  </si>
  <si>
    <t>SRR10240859</t>
  </si>
  <si>
    <t>SRR10240862</t>
  </si>
  <si>
    <t>SRR10240863</t>
  </si>
  <si>
    <t>SRR10240872</t>
  </si>
  <si>
    <t>SRR10240873</t>
  </si>
  <si>
    <t>SRR10240874</t>
  </si>
  <si>
    <t>SRR10240875</t>
  </si>
  <si>
    <t>SRR10240877</t>
  </si>
  <si>
    <t>SRR10240878</t>
  </si>
  <si>
    <t>SRR10245362</t>
  </si>
  <si>
    <t>SRR10247366</t>
  </si>
  <si>
    <t>SRR10250549</t>
  </si>
  <si>
    <t>SRR10250979</t>
  </si>
  <si>
    <t>SRR10250985</t>
  </si>
  <si>
    <t>SRR10250986</t>
  </si>
  <si>
    <t>SRR10250987</t>
  </si>
  <si>
    <t>SRR10250988</t>
  </si>
  <si>
    <t>SRR10250989</t>
  </si>
  <si>
    <t>SRR10250990</t>
  </si>
  <si>
    <t>SRR10250995</t>
  </si>
  <si>
    <t>SRR10250996</t>
  </si>
  <si>
    <t>SRR10250997</t>
  </si>
  <si>
    <t>SRR10250998</t>
  </si>
  <si>
    <t>SRR10250999</t>
  </si>
  <si>
    <t>SRR10251000</t>
  </si>
  <si>
    <t>SRR10251001</t>
  </si>
  <si>
    <t>SRR10251002</t>
  </si>
  <si>
    <t>SRR10251027</t>
  </si>
  <si>
    <t>SRR10251028</t>
  </si>
  <si>
    <t>SRR10251029</t>
  </si>
  <si>
    <t>SRR10251030</t>
  </si>
  <si>
    <t>SRR10251083</t>
  </si>
  <si>
    <t>SRR10251084</t>
  </si>
  <si>
    <t>SRR10251088</t>
  </si>
  <si>
    <t>SRR10251090</t>
  </si>
  <si>
    <t>SRR10251091</t>
  </si>
  <si>
    <t>SRR10251092</t>
  </si>
  <si>
    <t>SRR10251093</t>
  </si>
  <si>
    <t>SRR10251100</t>
  </si>
  <si>
    <t>SRR10254750</t>
  </si>
  <si>
    <t>SRR10257441</t>
  </si>
  <si>
    <t>SRR10258582</t>
  </si>
  <si>
    <t>Deli salad</t>
  </si>
  <si>
    <t>SRR10258583</t>
  </si>
  <si>
    <t>SRR10267710</t>
  </si>
  <si>
    <t>SRR10267778</t>
  </si>
  <si>
    <t>shopping cart wheels</t>
  </si>
  <si>
    <t>SRR10267803</t>
  </si>
  <si>
    <t>SRR10267808</t>
  </si>
  <si>
    <t>display case-raw meat</t>
  </si>
  <si>
    <t>SRR10267826</t>
  </si>
  <si>
    <t>drain-produce area</t>
  </si>
  <si>
    <t>SRR10267848</t>
  </si>
  <si>
    <t>dairy case</t>
  </si>
  <si>
    <t>SRR10268245</t>
  </si>
  <si>
    <t>SRR10268254</t>
  </si>
  <si>
    <t>SRR10269125</t>
  </si>
  <si>
    <t>SRR1027697</t>
  </si>
  <si>
    <t>spring salad mixture</t>
  </si>
  <si>
    <t>SRR1027699</t>
  </si>
  <si>
    <t>SRR1027701</t>
  </si>
  <si>
    <t>turkey sandwich</t>
  </si>
  <si>
    <t>SRR1027703</t>
  </si>
  <si>
    <t>frozen cooked broiled claw crab</t>
  </si>
  <si>
    <t>SRR1027704</t>
  </si>
  <si>
    <t>SRR1027713</t>
  </si>
  <si>
    <t>SRR1027714</t>
  </si>
  <si>
    <t>SRR10282969</t>
  </si>
  <si>
    <t>SRR10282971</t>
  </si>
  <si>
    <t>SRR10282972</t>
  </si>
  <si>
    <t>SRR10294313</t>
  </si>
  <si>
    <t>SRR10294316</t>
  </si>
  <si>
    <t>SRR10298097</t>
  </si>
  <si>
    <t>SRR10298123</t>
  </si>
  <si>
    <t>Frozen Chicken</t>
  </si>
  <si>
    <t>SRR10298298</t>
  </si>
  <si>
    <t>SRR10298338</t>
  </si>
  <si>
    <t>SRR10298339</t>
  </si>
  <si>
    <t>SRR10298345</t>
  </si>
  <si>
    <t>SRR10298348</t>
  </si>
  <si>
    <t>SRR10298349</t>
  </si>
  <si>
    <t>SRR10298364</t>
  </si>
  <si>
    <t>SRR10298783</t>
  </si>
  <si>
    <t>SRR1030282,SRR1041628</t>
  </si>
  <si>
    <t>SRR1030283</t>
  </si>
  <si>
    <t>ANDOUVILLE SAUSAGE</t>
  </si>
  <si>
    <t>SRR1030333</t>
  </si>
  <si>
    <t>SRR1030334</t>
  </si>
  <si>
    <t>SRR1030335</t>
  </si>
  <si>
    <t>german potato salad</t>
  </si>
  <si>
    <t>SRR1030336</t>
  </si>
  <si>
    <t>SRR1030337</t>
  </si>
  <si>
    <t>SRR10303374</t>
  </si>
  <si>
    <t>SRR1030338</t>
  </si>
  <si>
    <t>SRR1030339</t>
  </si>
  <si>
    <t>SRR1030340</t>
  </si>
  <si>
    <t>SRR1030342</t>
  </si>
  <si>
    <t>SRR1030343</t>
  </si>
  <si>
    <t>SRR1030344</t>
  </si>
  <si>
    <t>SRR1030345</t>
  </si>
  <si>
    <t>SRR1030346</t>
  </si>
  <si>
    <t>SRR1030348</t>
  </si>
  <si>
    <t>SRR1030349</t>
  </si>
  <si>
    <t>SRR10307605</t>
  </si>
  <si>
    <t>cold smoked salmon</t>
  </si>
  <si>
    <t>SRR10320042</t>
  </si>
  <si>
    <t>SRR10321020</t>
  </si>
  <si>
    <t>SRR10323869</t>
  </si>
  <si>
    <t>SRR10326100</t>
  </si>
  <si>
    <t>SRR1033766</t>
  </si>
  <si>
    <t>SRR1033767</t>
  </si>
  <si>
    <t>tuna salad</t>
  </si>
  <si>
    <t>SRR1033768</t>
  </si>
  <si>
    <t>SRR1033769</t>
  </si>
  <si>
    <t>SRR1033770</t>
  </si>
  <si>
    <t>SRR10346081</t>
  </si>
  <si>
    <t>SRR10346082</t>
  </si>
  <si>
    <t>SRR10346083</t>
  </si>
  <si>
    <t>SRR10346084</t>
  </si>
  <si>
    <t>SRR10348710</t>
  </si>
  <si>
    <t>SRR10349431</t>
  </si>
  <si>
    <t>Smoked Fish</t>
  </si>
  <si>
    <t>SRR10349433</t>
  </si>
  <si>
    <t>SRR10350845</t>
  </si>
  <si>
    <t>SRR10350846</t>
  </si>
  <si>
    <t>SRR10350851</t>
  </si>
  <si>
    <t>SRR10350853</t>
  </si>
  <si>
    <t>SRR10350855</t>
  </si>
  <si>
    <t>SRR10350857</t>
  </si>
  <si>
    <t>SRR10350858</t>
  </si>
  <si>
    <t>SRR10350859</t>
  </si>
  <si>
    <t>SRR10354311</t>
  </si>
  <si>
    <t>SRR10356121</t>
  </si>
  <si>
    <t>SRR10357248</t>
  </si>
  <si>
    <t>Environmental sponge</t>
  </si>
  <si>
    <t>SRR10357252</t>
  </si>
  <si>
    <t>SRR10357394</t>
  </si>
  <si>
    <t>SRR10357398</t>
  </si>
  <si>
    <t>SRR10357403</t>
  </si>
  <si>
    <t>SRR10357407</t>
  </si>
  <si>
    <t>SRR10357493</t>
  </si>
  <si>
    <t>SRR10357519</t>
  </si>
  <si>
    <t>SRR10382846</t>
  </si>
  <si>
    <t>SRR10384539</t>
  </si>
  <si>
    <t>SRR10384561</t>
  </si>
  <si>
    <t>SRR10384589</t>
  </si>
  <si>
    <t>SRR10384593</t>
  </si>
  <si>
    <t>SRR10385119</t>
  </si>
  <si>
    <t>SRR10386689</t>
  </si>
  <si>
    <t>SRR10393375</t>
  </si>
  <si>
    <t>SRR10393388</t>
  </si>
  <si>
    <t>SRR10393433</t>
  </si>
  <si>
    <t>SRR10393437</t>
  </si>
  <si>
    <t>SRR10393457</t>
  </si>
  <si>
    <t>SRR10393458</t>
  </si>
  <si>
    <t>SRR10393484</t>
  </si>
  <si>
    <t>SRR10393485</t>
  </si>
  <si>
    <t>SRR10393486</t>
  </si>
  <si>
    <t>SRR10393497</t>
  </si>
  <si>
    <t>SRR10393519</t>
  </si>
  <si>
    <t>SRR1039787</t>
  </si>
  <si>
    <t>potato salad</t>
  </si>
  <si>
    <t>SRR1039788</t>
  </si>
  <si>
    <t>Environmental-motor frame on cabbage spinner</t>
  </si>
  <si>
    <t>SRR1039789</t>
  </si>
  <si>
    <t>SRR10403919</t>
  </si>
  <si>
    <t>SRR10403924</t>
  </si>
  <si>
    <t>SRR10403927</t>
  </si>
  <si>
    <t>SRR10403928</t>
  </si>
  <si>
    <t>SRR10403929</t>
  </si>
  <si>
    <t>SRR10403930</t>
  </si>
  <si>
    <t>SRR10403934</t>
  </si>
  <si>
    <t>SRR10403938</t>
  </si>
  <si>
    <t>SRR10403940</t>
  </si>
  <si>
    <t>SRR10403943</t>
  </si>
  <si>
    <t>SRR10403944</t>
  </si>
  <si>
    <t>SRR10403945</t>
  </si>
  <si>
    <t>SRR10403946</t>
  </si>
  <si>
    <t>SRR10414479</t>
  </si>
  <si>
    <t>SRR1041470</t>
  </si>
  <si>
    <t>diced yellow onion</t>
  </si>
  <si>
    <t>SRR1041619,SRR959022</t>
  </si>
  <si>
    <t>SRR10424249</t>
  </si>
  <si>
    <t>SRR10429278</t>
  </si>
  <si>
    <t>SRR10429281</t>
  </si>
  <si>
    <t>SRR10429284</t>
  </si>
  <si>
    <t>SRR10429285</t>
  </si>
  <si>
    <t>SRR10429290</t>
  </si>
  <si>
    <t>SRR10429294</t>
  </si>
  <si>
    <t>SRR10429303</t>
  </si>
  <si>
    <t>SRR10429305</t>
  </si>
  <si>
    <t>SRR10429328</t>
  </si>
  <si>
    <t>SRR10429334</t>
  </si>
  <si>
    <t>SRR10429337</t>
  </si>
  <si>
    <t>SRR10429339</t>
  </si>
  <si>
    <t>SRR10429341</t>
  </si>
  <si>
    <t>SRR10429343</t>
  </si>
  <si>
    <t>SRR10429346</t>
  </si>
  <si>
    <t>SRR10429354</t>
  </si>
  <si>
    <t>SRR10429360</t>
  </si>
  <si>
    <t>SRR10429363</t>
  </si>
  <si>
    <t>SRR10429366</t>
  </si>
  <si>
    <t>SRR10429368</t>
  </si>
  <si>
    <t>SRR1043162</t>
  </si>
  <si>
    <t>Environmental-Wheels on trolley for spinner basket</t>
  </si>
  <si>
    <t>SRR1043163</t>
  </si>
  <si>
    <t>Environmental-Drain basin between retort 1 and 2</t>
  </si>
  <si>
    <t>SRR1043164</t>
  </si>
  <si>
    <t>Environmental-Bottom of sliding door in pasta room to blast</t>
  </si>
  <si>
    <t>SRR10435119</t>
  </si>
  <si>
    <t>SRR10435129</t>
  </si>
  <si>
    <t>SRR10435159</t>
  </si>
  <si>
    <t>SRR10435976</t>
  </si>
  <si>
    <t>SRR10436020</t>
  </si>
  <si>
    <t>sponge</t>
  </si>
  <si>
    <t>SRR10438250</t>
  </si>
  <si>
    <t>SRR10438260</t>
  </si>
  <si>
    <t>SRR10438300</t>
  </si>
  <si>
    <t>SRR10438301</t>
  </si>
  <si>
    <t>SRR10442105</t>
  </si>
  <si>
    <t>Environmental Sponge</t>
  </si>
  <si>
    <t>SRR10442154</t>
  </si>
  <si>
    <t>SRR10442167</t>
  </si>
  <si>
    <t>SRR10480686</t>
  </si>
  <si>
    <t>SRR10480691</t>
  </si>
  <si>
    <t>SRR10480712</t>
  </si>
  <si>
    <t>SRR10480713</t>
  </si>
  <si>
    <t>SRR1048608</t>
  </si>
  <si>
    <t>drain basin between retort 1 and 2</t>
  </si>
  <si>
    <t>SRR1048613</t>
  </si>
  <si>
    <t>motor frame on cabbage spinner</t>
  </si>
  <si>
    <t>SRR1048614</t>
  </si>
  <si>
    <t>bottom of sliding door in pasta room to blast</t>
  </si>
  <si>
    <t>SRR1048618</t>
  </si>
  <si>
    <t>spinner leg</t>
  </si>
  <si>
    <t>SRR1048624</t>
  </si>
  <si>
    <t>inside of floor drain by cabbage flume</t>
  </si>
  <si>
    <t>SRR1048634</t>
  </si>
  <si>
    <t>SRR1048635</t>
  </si>
  <si>
    <t>wheels on trolley for spinner basket</t>
  </si>
  <si>
    <t>SRR10489917</t>
  </si>
  <si>
    <t>SRR10501024</t>
  </si>
  <si>
    <t>SRR10501687</t>
  </si>
  <si>
    <t>SRR10501711</t>
  </si>
  <si>
    <t>SRR10501712</t>
  </si>
  <si>
    <t>SRR10501725</t>
  </si>
  <si>
    <t>SRR10502044</t>
  </si>
  <si>
    <t>Carved Ham Off The Bone</t>
  </si>
  <si>
    <t>SRR10502045</t>
  </si>
  <si>
    <t>SRR10502068</t>
  </si>
  <si>
    <t>SRR10502078</t>
  </si>
  <si>
    <t>SRR10502084</t>
  </si>
  <si>
    <t>SRR10502097</t>
  </si>
  <si>
    <t>SRR10502099</t>
  </si>
  <si>
    <t>SRR10502102</t>
  </si>
  <si>
    <t>SRR10502121</t>
  </si>
  <si>
    <t>SRR10502141</t>
  </si>
  <si>
    <t>SRR10502164</t>
  </si>
  <si>
    <t>SRR10505971</t>
  </si>
  <si>
    <t>SRR10505972</t>
  </si>
  <si>
    <t>SRR10505974</t>
  </si>
  <si>
    <t>SRR10505978</t>
  </si>
  <si>
    <t>SRR10505979</t>
  </si>
  <si>
    <t>SRR10505980</t>
  </si>
  <si>
    <t>SRR10505982</t>
  </si>
  <si>
    <t>SRR10505985</t>
  </si>
  <si>
    <t>SRR10505987</t>
  </si>
  <si>
    <t>SRR10505988</t>
  </si>
  <si>
    <t>SRR10505996</t>
  </si>
  <si>
    <t>Sandwich Spread</t>
  </si>
  <si>
    <t>SRR10505999</t>
  </si>
  <si>
    <t>SRR10506000</t>
  </si>
  <si>
    <t>SRR10506001</t>
  </si>
  <si>
    <t>SRR10506002</t>
  </si>
  <si>
    <t>SRR10506004</t>
  </si>
  <si>
    <t>SRR10506017</t>
  </si>
  <si>
    <t>SRR10506024</t>
  </si>
  <si>
    <t>SRR10506026</t>
  </si>
  <si>
    <t>SRR10513324</t>
  </si>
  <si>
    <t>SRR10513363</t>
  </si>
  <si>
    <t>SRR10542541</t>
  </si>
  <si>
    <t>SRR1055862</t>
  </si>
  <si>
    <t>SRR10559573</t>
  </si>
  <si>
    <t>SRR10559574</t>
  </si>
  <si>
    <t>SRR10559579</t>
  </si>
  <si>
    <t>SRR10559620</t>
  </si>
  <si>
    <t>SRR10559623</t>
  </si>
  <si>
    <t>grass fed burger meat</t>
  </si>
  <si>
    <t>SRR10559647</t>
  </si>
  <si>
    <t>SRR10559649</t>
  </si>
  <si>
    <t>ground beef</t>
  </si>
  <si>
    <t>SRR10559653</t>
  </si>
  <si>
    <t>SRR10559654</t>
  </si>
  <si>
    <t>SRR10559655</t>
  </si>
  <si>
    <t>beef sliders</t>
  </si>
  <si>
    <t>SRR10559659</t>
  </si>
  <si>
    <t>ground turkey</t>
  </si>
  <si>
    <t>SRR10559660</t>
  </si>
  <si>
    <t>SRR10568951</t>
  </si>
  <si>
    <t>SRR10568962</t>
  </si>
  <si>
    <t>SRR10568963</t>
  </si>
  <si>
    <t>SRR10568978</t>
  </si>
  <si>
    <t>SRR10568979</t>
  </si>
  <si>
    <t>SRR10571874</t>
  </si>
  <si>
    <t>SRR10577713</t>
  </si>
  <si>
    <t>SRR10582845</t>
  </si>
  <si>
    <t>SRR10582846</t>
  </si>
  <si>
    <t>SRR10585936</t>
  </si>
  <si>
    <t>SRR10585937</t>
  </si>
  <si>
    <t>SRR10585938</t>
  </si>
  <si>
    <t>SRR10585939</t>
  </si>
  <si>
    <t>None - Environmental Swabs</t>
  </si>
  <si>
    <t>SRR10585940</t>
  </si>
  <si>
    <t>SRR10586085</t>
  </si>
  <si>
    <t>SRR10586086</t>
  </si>
  <si>
    <t>SRR10586087</t>
  </si>
  <si>
    <t>SRR10586088</t>
  </si>
  <si>
    <t>SRR10586092</t>
  </si>
  <si>
    <t>SRR10586097</t>
  </si>
  <si>
    <t>SRR10586099</t>
  </si>
  <si>
    <t>SRR10586100</t>
  </si>
  <si>
    <t>SRR10586105</t>
  </si>
  <si>
    <t>SRR10586109</t>
  </si>
  <si>
    <t>SRR10586111</t>
  </si>
  <si>
    <t>SRR10586139</t>
  </si>
  <si>
    <t>SRR10586140</t>
  </si>
  <si>
    <t>SRR10586141</t>
  </si>
  <si>
    <t>SRR10586142</t>
  </si>
  <si>
    <t>SRR10586143</t>
  </si>
  <si>
    <t>SRR10586144</t>
  </si>
  <si>
    <t>SRR10586145</t>
  </si>
  <si>
    <t>SRR10586146</t>
  </si>
  <si>
    <t>SRR10586147</t>
  </si>
  <si>
    <t>SRR10586148</t>
  </si>
  <si>
    <t>SRR10586149</t>
  </si>
  <si>
    <t>SRR10586151</t>
  </si>
  <si>
    <t>SRR10586152</t>
  </si>
  <si>
    <t>SRR10586153</t>
  </si>
  <si>
    <t>SRR10586154</t>
  </si>
  <si>
    <t>SRR10586155</t>
  </si>
  <si>
    <t>SRR10586156</t>
  </si>
  <si>
    <t>SRR10586157</t>
  </si>
  <si>
    <t>SRR10586162</t>
  </si>
  <si>
    <t>SRR10586172</t>
  </si>
  <si>
    <t>SRR10586173</t>
  </si>
  <si>
    <t>SRR10586200</t>
  </si>
  <si>
    <t>SRR10586201</t>
  </si>
  <si>
    <t>SRR10586211</t>
  </si>
  <si>
    <t>SRR10586212</t>
  </si>
  <si>
    <t>SRR10586216</t>
  </si>
  <si>
    <t>SRR10586221</t>
  </si>
  <si>
    <t>SRR10586227</t>
  </si>
  <si>
    <t>SRR10586229</t>
  </si>
  <si>
    <t>SRR10590774</t>
  </si>
  <si>
    <t>SRR10590776</t>
  </si>
  <si>
    <t>SRR10590811</t>
  </si>
  <si>
    <t>SRR10593258</t>
  </si>
  <si>
    <t>SRR10593260</t>
  </si>
  <si>
    <t>SRR10593262</t>
  </si>
  <si>
    <t>SRR10599995</t>
  </si>
  <si>
    <t>SRR10599997</t>
  </si>
  <si>
    <t>SRR10600002</t>
  </si>
  <si>
    <t>SRR10600007</t>
  </si>
  <si>
    <t>SRR10600010</t>
  </si>
  <si>
    <t>SRR10600291</t>
  </si>
  <si>
    <t>SRR10600292</t>
  </si>
  <si>
    <t>SRR10600294</t>
  </si>
  <si>
    <t>SRR10603318</t>
  </si>
  <si>
    <t>SRR10603406</t>
  </si>
  <si>
    <t>SRR10603410</t>
  </si>
  <si>
    <t>SRR10666937</t>
  </si>
  <si>
    <t>SRR10666942</t>
  </si>
  <si>
    <t>SRR10666944</t>
  </si>
  <si>
    <t>SRR10666945</t>
  </si>
  <si>
    <t>SRR1068290</t>
  </si>
  <si>
    <t>hummus</t>
  </si>
  <si>
    <t>SRR1068317</t>
  </si>
  <si>
    <t>SRR1068342</t>
  </si>
  <si>
    <t>SRR10688174</t>
  </si>
  <si>
    <t>Environmental Sponge Swabs</t>
  </si>
  <si>
    <t>SRR10688331</t>
  </si>
  <si>
    <t>SRR10689405</t>
  </si>
  <si>
    <t>SRR10689408</t>
  </si>
  <si>
    <t>Environmental Samples</t>
  </si>
  <si>
    <t>SRR10689435</t>
  </si>
  <si>
    <t>SRR10689462</t>
  </si>
  <si>
    <t>SRR10689492</t>
  </si>
  <si>
    <t>SRR10689499</t>
  </si>
  <si>
    <t>SRR10689500</t>
  </si>
  <si>
    <t>SRR10689838</t>
  </si>
  <si>
    <t>SRR10691698</t>
  </si>
  <si>
    <t>SRR10699464</t>
  </si>
  <si>
    <t>SRR10729088</t>
  </si>
  <si>
    <t>SRR10741817</t>
  </si>
  <si>
    <t>SRR10749101</t>
  </si>
  <si>
    <t>SRR10749970</t>
  </si>
  <si>
    <t>SRR10749974</t>
  </si>
  <si>
    <t>SRR10751443</t>
  </si>
  <si>
    <t>SRR10751444</t>
  </si>
  <si>
    <t>SRR10751460</t>
  </si>
  <si>
    <t>SRR10751466</t>
  </si>
  <si>
    <t>SRR10751467</t>
  </si>
  <si>
    <t>SRR10751468</t>
  </si>
  <si>
    <t>SRR10751972</t>
  </si>
  <si>
    <t>SRR10751977</t>
  </si>
  <si>
    <t>SRR10751982</t>
  </si>
  <si>
    <t>SRR10751983</t>
  </si>
  <si>
    <t>SRR10752014</t>
  </si>
  <si>
    <t>SRR10752033</t>
  </si>
  <si>
    <t>SRR10752086</t>
  </si>
  <si>
    <t>SRR10752087</t>
  </si>
  <si>
    <t>SRR10752088</t>
  </si>
  <si>
    <t>SRR10752097</t>
  </si>
  <si>
    <t>SRR10752103</t>
  </si>
  <si>
    <t>SRR10753541</t>
  </si>
  <si>
    <t>SRR10753542</t>
  </si>
  <si>
    <t>Environmental sponge Sticks with D/E Broth</t>
  </si>
  <si>
    <t>SRR10753566</t>
  </si>
  <si>
    <t>SRR10753574</t>
  </si>
  <si>
    <t>SRR10753599</t>
  </si>
  <si>
    <t>SRR10753600</t>
  </si>
  <si>
    <t>SRR10753602</t>
  </si>
  <si>
    <t>SRR10766003</t>
  </si>
  <si>
    <t>SRR10799763</t>
  </si>
  <si>
    <t>SRR10799766</t>
  </si>
  <si>
    <t>SRR10799774</t>
  </si>
  <si>
    <t>SRR10820320</t>
  </si>
  <si>
    <t>SRR10883434</t>
  </si>
  <si>
    <t>SRR10883436</t>
  </si>
  <si>
    <t>SRR10883437</t>
  </si>
  <si>
    <t>SRR10883445</t>
  </si>
  <si>
    <t>SRR10883446</t>
  </si>
  <si>
    <t>SRR10883452</t>
  </si>
  <si>
    <t>SRR10883454</t>
  </si>
  <si>
    <t>SRR10883457</t>
  </si>
  <si>
    <t>SRR10883459</t>
  </si>
  <si>
    <t>SRR10883461</t>
  </si>
  <si>
    <t>SRR10883464</t>
  </si>
  <si>
    <t>SRR10883475</t>
  </si>
  <si>
    <t>SRR10883477</t>
  </si>
  <si>
    <t>SRR10883480</t>
  </si>
  <si>
    <t>SRR10886938</t>
  </si>
  <si>
    <t>SRR10899880</t>
  </si>
  <si>
    <t>SRR10899890</t>
  </si>
  <si>
    <t>SRR10899891</t>
  </si>
  <si>
    <t>SRR10899898</t>
  </si>
  <si>
    <t>SRR10909983</t>
  </si>
  <si>
    <t>SRR10911980</t>
  </si>
  <si>
    <t>SRR10915043</t>
  </si>
  <si>
    <t>SRR10915044</t>
  </si>
  <si>
    <t>SRR10915055</t>
  </si>
  <si>
    <t>SRR10915061</t>
  </si>
  <si>
    <t>SRR10915064</t>
  </si>
  <si>
    <t>SRR10920711</t>
  </si>
  <si>
    <t>SRR10947152</t>
  </si>
  <si>
    <t>Ground meat</t>
  </si>
  <si>
    <t>SRR10947390</t>
  </si>
  <si>
    <t>SRR10947407</t>
  </si>
  <si>
    <t>SRR10947482</t>
  </si>
  <si>
    <t>SRR10947516</t>
  </si>
  <si>
    <t>SRR10970071</t>
  </si>
  <si>
    <t>SRR10970151</t>
  </si>
  <si>
    <t>SRR10970341</t>
  </si>
  <si>
    <t>SRR10970400</t>
  </si>
  <si>
    <t>SRR10987128</t>
  </si>
  <si>
    <t>SRR10987131</t>
  </si>
  <si>
    <t>SRR10987146</t>
  </si>
  <si>
    <t>SRR10987148</t>
  </si>
  <si>
    <t>SRR10987155</t>
  </si>
  <si>
    <t>SRR10987161</t>
  </si>
  <si>
    <t>SRR10987247</t>
  </si>
  <si>
    <t>SRR10987250</t>
  </si>
  <si>
    <t>SRR10987251</t>
  </si>
  <si>
    <t>SRR10987252</t>
  </si>
  <si>
    <t>SRR10990222</t>
  </si>
  <si>
    <t>SRR10990317</t>
  </si>
  <si>
    <t>SRR10990319</t>
  </si>
  <si>
    <t>SRR10990334</t>
  </si>
  <si>
    <t>SRR10990792</t>
  </si>
  <si>
    <t>SRR10997054</t>
  </si>
  <si>
    <t>SRR11004583</t>
  </si>
  <si>
    <t>SRR11004691</t>
  </si>
  <si>
    <t>SRR11004698</t>
  </si>
  <si>
    <t>SRR11004717</t>
  </si>
  <si>
    <t>SRR11004790</t>
  </si>
  <si>
    <t>SRR11004898</t>
  </si>
  <si>
    <t>SRR11006112</t>
  </si>
  <si>
    <t>SRR11008689</t>
  </si>
  <si>
    <t>SRR1101347</t>
  </si>
  <si>
    <t>SRR1101444,SRR7759391</t>
  </si>
  <si>
    <t>SRR1101445,SRR1509582</t>
  </si>
  <si>
    <t>SRR1101446</t>
  </si>
  <si>
    <t>SRR1101447</t>
  </si>
  <si>
    <t>SRR1101484,SRR7759250</t>
  </si>
  <si>
    <t>SRR1101489</t>
  </si>
  <si>
    <t>SRR1101493</t>
  </si>
  <si>
    <t>SRR1101497</t>
  </si>
  <si>
    <t>SRR1101501,SRR7759377</t>
  </si>
  <si>
    <t>SRR11015048</t>
  </si>
  <si>
    <t>SRR1101590</t>
  </si>
  <si>
    <t>SRR1101592,SRR7759481</t>
  </si>
  <si>
    <t>SRR1101626</t>
  </si>
  <si>
    <t>SRR1101638</t>
  </si>
  <si>
    <t>SRR11029678</t>
  </si>
  <si>
    <t>SRR11029829</t>
  </si>
  <si>
    <t>SRR11029844</t>
  </si>
  <si>
    <t>SRR11032419</t>
  </si>
  <si>
    <t>SRR11032501</t>
  </si>
  <si>
    <t>SRR11032556</t>
  </si>
  <si>
    <t>SRR11032785</t>
  </si>
  <si>
    <t>SRR11032817</t>
  </si>
  <si>
    <t>SRR11032820</t>
  </si>
  <si>
    <t>SRR11032915</t>
  </si>
  <si>
    <t>SRR11034973</t>
  </si>
  <si>
    <t>SRR11041604</t>
  </si>
  <si>
    <t>SRR11041605</t>
  </si>
  <si>
    <t>SRR11041607</t>
  </si>
  <si>
    <t>SRR11041623</t>
  </si>
  <si>
    <t>SRR11044148</t>
  </si>
  <si>
    <t>SRR1104730</t>
  </si>
  <si>
    <t>SRR1104733</t>
  </si>
  <si>
    <t>SRR1104734</t>
  </si>
  <si>
    <t>SRR1104735</t>
  </si>
  <si>
    <t>SRR1104736</t>
  </si>
  <si>
    <t>SRR1104737</t>
  </si>
  <si>
    <t>SRR1104738</t>
  </si>
  <si>
    <t>SRR1104740</t>
  </si>
  <si>
    <t>SRR11073180</t>
  </si>
  <si>
    <t>2013</t>
  </si>
  <si>
    <t>SRR11073187</t>
  </si>
  <si>
    <t>SRR11073187,SRR11186355,SRR11073842,SRR1016604,SRR11073866</t>
  </si>
  <si>
    <t>SRR11073842</t>
  </si>
  <si>
    <t>SRR11073858</t>
  </si>
  <si>
    <t>SRR11073866</t>
  </si>
  <si>
    <t>SRR11073880</t>
  </si>
  <si>
    <t>SRR11073880,SRR11073858,SRR1030271,SRR11186370,SRR11073180</t>
  </si>
  <si>
    <t>SRR11074674</t>
  </si>
  <si>
    <t>SRR11091249</t>
  </si>
  <si>
    <t>SRR11091261</t>
  </si>
  <si>
    <t>SRR11091270</t>
  </si>
  <si>
    <t>SRR11091272</t>
  </si>
  <si>
    <t>SRR11091283</t>
  </si>
  <si>
    <t>SRR11091290</t>
  </si>
  <si>
    <t>SRR11091317</t>
  </si>
  <si>
    <t>SRR11091324</t>
  </si>
  <si>
    <t>SRR11091327</t>
  </si>
  <si>
    <t>SRR11093929</t>
  </si>
  <si>
    <t>SRR11096742</t>
  </si>
  <si>
    <t>SRR11096803</t>
  </si>
  <si>
    <t>SRR11096806</t>
  </si>
  <si>
    <t>SRR11096815</t>
  </si>
  <si>
    <t>SRR11096939</t>
  </si>
  <si>
    <t>SRR11112223</t>
  </si>
  <si>
    <t>1998</t>
  </si>
  <si>
    <t>SRR11112225</t>
  </si>
  <si>
    <t>SRR11112226</t>
  </si>
  <si>
    <t>SRR11112227</t>
  </si>
  <si>
    <t>SRR11112228</t>
  </si>
  <si>
    <t>SRR11112229</t>
  </si>
  <si>
    <t>SRR11112352</t>
  </si>
  <si>
    <t>SRR11112353</t>
  </si>
  <si>
    <t>SRR11112354</t>
  </si>
  <si>
    <t>SRR11112355</t>
  </si>
  <si>
    <t>SRR11112356</t>
  </si>
  <si>
    <t>SRR11112357</t>
  </si>
  <si>
    <t>SRR11112358</t>
  </si>
  <si>
    <t>SRR11112359</t>
  </si>
  <si>
    <t>SRR11112360</t>
  </si>
  <si>
    <t>SRR1112097</t>
  </si>
  <si>
    <t>SRR1112138</t>
  </si>
  <si>
    <t>SRR1112233</t>
  </si>
  <si>
    <t>Vaginal</t>
  </si>
  <si>
    <t>SRR1112241</t>
  </si>
  <si>
    <t>deli turkey</t>
  </si>
  <si>
    <t>SRR11123379</t>
  </si>
  <si>
    <t>SRR11123382</t>
  </si>
  <si>
    <t>SRR11123384</t>
  </si>
  <si>
    <t>SRR11130989</t>
  </si>
  <si>
    <t>Water/sediment</t>
  </si>
  <si>
    <t>SRR11142299</t>
  </si>
  <si>
    <t>SRR11142401</t>
  </si>
  <si>
    <t>SRR11143695</t>
  </si>
  <si>
    <t>SRR11144957</t>
  </si>
  <si>
    <t>SRR11146127</t>
  </si>
  <si>
    <t>SRR11146811</t>
  </si>
  <si>
    <t>SRR11146880</t>
  </si>
  <si>
    <t>SRR11147129</t>
  </si>
  <si>
    <t>SRR11147181</t>
  </si>
  <si>
    <t>SRR11147343</t>
  </si>
  <si>
    <t>SRR11147347</t>
  </si>
  <si>
    <t>SRR11148905</t>
  </si>
  <si>
    <t>SRR11173400</t>
  </si>
  <si>
    <t>SRR11176418</t>
  </si>
  <si>
    <t>Product-Swab-Non meat</t>
  </si>
  <si>
    <t>SRR11178132</t>
  </si>
  <si>
    <t>SRR11178133</t>
  </si>
  <si>
    <t>SRR11186355</t>
  </si>
  <si>
    <t>SRR11186370</t>
  </si>
  <si>
    <t>SRR11194856</t>
  </si>
  <si>
    <t>SRR11195535</t>
  </si>
  <si>
    <t>SRR11195541</t>
  </si>
  <si>
    <t>SRR11195553</t>
  </si>
  <si>
    <t>SRR11195556</t>
  </si>
  <si>
    <t>SRR11195568</t>
  </si>
  <si>
    <t>SRR11195570</t>
  </si>
  <si>
    <t>SRR11195574</t>
  </si>
  <si>
    <t>SRR11195577</t>
  </si>
  <si>
    <t>SRR11195578</t>
  </si>
  <si>
    <t>SRR11195581</t>
  </si>
  <si>
    <t>SRR11195582</t>
  </si>
  <si>
    <t>SRR11195616</t>
  </si>
  <si>
    <t>SRR11207108</t>
  </si>
  <si>
    <t>SRR11210246</t>
  </si>
  <si>
    <t>SRR11215263</t>
  </si>
  <si>
    <t>SRR11215267</t>
  </si>
  <si>
    <t>SRR11215270</t>
  </si>
  <si>
    <t>SRR11215274</t>
  </si>
  <si>
    <t>SRR11215277</t>
  </si>
  <si>
    <t>SRR11215279</t>
  </si>
  <si>
    <t>SRR11215280</t>
  </si>
  <si>
    <t>SRR11215292</t>
  </si>
  <si>
    <t>SRR11215293</t>
  </si>
  <si>
    <t>SRR11215307</t>
  </si>
  <si>
    <t>SRR11215310</t>
  </si>
  <si>
    <t>SRR11215325</t>
  </si>
  <si>
    <t>SRR11215327</t>
  </si>
  <si>
    <t>SRR11215331</t>
  </si>
  <si>
    <t>SRR11215334</t>
  </si>
  <si>
    <t>SRR11215336</t>
  </si>
  <si>
    <t>SRR11215344</t>
  </si>
  <si>
    <t>SRR11215347</t>
  </si>
  <si>
    <t>SRR11215353</t>
  </si>
  <si>
    <t>SRR11215359</t>
  </si>
  <si>
    <t>SRR11215377</t>
  </si>
  <si>
    <t>SRR11215534</t>
  </si>
  <si>
    <t>SRR11215668</t>
  </si>
  <si>
    <t>SRR11261968</t>
  </si>
  <si>
    <t>meat processing facility</t>
  </si>
  <si>
    <t>SRR11261969</t>
  </si>
  <si>
    <t>SRR11261970</t>
  </si>
  <si>
    <t>SRR11261971</t>
  </si>
  <si>
    <t>SRR11261972</t>
  </si>
  <si>
    <t>SRR11261973</t>
  </si>
  <si>
    <t>SRR11261974</t>
  </si>
  <si>
    <t>SRR11261975</t>
  </si>
  <si>
    <t>SRR11261976</t>
  </si>
  <si>
    <t>SRR11261977</t>
  </si>
  <si>
    <t>SRR11261978</t>
  </si>
  <si>
    <t>SRR11261979</t>
  </si>
  <si>
    <t>SRR11261980</t>
  </si>
  <si>
    <t>SRR11261981</t>
  </si>
  <si>
    <t>SRR11261982</t>
  </si>
  <si>
    <t>SRR11261983</t>
  </si>
  <si>
    <t>SRR11261985</t>
  </si>
  <si>
    <t>SRR11261986</t>
  </si>
  <si>
    <t>SRR11261987</t>
  </si>
  <si>
    <t>SRR11261988</t>
  </si>
  <si>
    <t>SRR11261989</t>
  </si>
  <si>
    <t>SRR11261990</t>
  </si>
  <si>
    <t>SRR11261991</t>
  </si>
  <si>
    <t>SRR11261992</t>
  </si>
  <si>
    <t>SRR11261993</t>
  </si>
  <si>
    <t>SRR11261994</t>
  </si>
  <si>
    <t>SRR11261995</t>
  </si>
  <si>
    <t>SRR11261996</t>
  </si>
  <si>
    <t>SRR11261997</t>
  </si>
  <si>
    <t>SRR11261998</t>
  </si>
  <si>
    <t>SRR11261999</t>
  </si>
  <si>
    <t>SRR11262000</t>
  </si>
  <si>
    <t>SRR11262002</t>
  </si>
  <si>
    <t>SRR11262003</t>
  </si>
  <si>
    <t>SRR11262004</t>
  </si>
  <si>
    <t>SRR11262005</t>
  </si>
  <si>
    <t>SRR11262006</t>
  </si>
  <si>
    <t>SRR11262007</t>
  </si>
  <si>
    <t>SRR11262008</t>
  </si>
  <si>
    <t>SRR11262009</t>
  </si>
  <si>
    <t>SRR11262010</t>
  </si>
  <si>
    <t>SRR11262011</t>
  </si>
  <si>
    <t>SRR11262012</t>
  </si>
  <si>
    <t>SRR11262013</t>
  </si>
  <si>
    <t>SRR11262014</t>
  </si>
  <si>
    <t>SRR11262016</t>
  </si>
  <si>
    <t>SRR11262018</t>
  </si>
  <si>
    <t>SRR11262019</t>
  </si>
  <si>
    <t>SRR11262021</t>
  </si>
  <si>
    <t>SRR11262023</t>
  </si>
  <si>
    <t>SRR11262024</t>
  </si>
  <si>
    <t>SRR11262025</t>
  </si>
  <si>
    <t>SRR11262026</t>
  </si>
  <si>
    <t>SRR11262027</t>
  </si>
  <si>
    <t>SRR11262028</t>
  </si>
  <si>
    <t>SRR11262029</t>
  </si>
  <si>
    <t>SRR11262030</t>
  </si>
  <si>
    <t>SRR11262031</t>
  </si>
  <si>
    <t>SRR11262032</t>
  </si>
  <si>
    <t>SRR11262033</t>
  </si>
  <si>
    <t>SRR11262034</t>
  </si>
  <si>
    <t>SRR11262035</t>
  </si>
  <si>
    <t>SRR11262036</t>
  </si>
  <si>
    <t>SRR11262037</t>
  </si>
  <si>
    <t>SRR11262038</t>
  </si>
  <si>
    <t>SRR11262039</t>
  </si>
  <si>
    <t>SRR11262040</t>
  </si>
  <si>
    <t>SRR11262041</t>
  </si>
  <si>
    <t>SRR11262042</t>
  </si>
  <si>
    <t>SRR11262043</t>
  </si>
  <si>
    <t>SRR11262044</t>
  </si>
  <si>
    <t>SRR11262045</t>
  </si>
  <si>
    <t>SRR11262047</t>
  </si>
  <si>
    <t>SRR11262048</t>
  </si>
  <si>
    <t>SRR11262049</t>
  </si>
  <si>
    <t>SRR11262050</t>
  </si>
  <si>
    <t>SRR11262051</t>
  </si>
  <si>
    <t>SRR11262052</t>
  </si>
  <si>
    <t>SRR11262053</t>
  </si>
  <si>
    <t>SRR11262054</t>
  </si>
  <si>
    <t>SRR11262055</t>
  </si>
  <si>
    <t>SRR11262056</t>
  </si>
  <si>
    <t>SRR11262057</t>
  </si>
  <si>
    <t>SRR11262058</t>
  </si>
  <si>
    <t>SRR11262059</t>
  </si>
  <si>
    <t>SRR11262060</t>
  </si>
  <si>
    <t>SRR11262061</t>
  </si>
  <si>
    <t>SRR11262062</t>
  </si>
  <si>
    <t>SRR11262063</t>
  </si>
  <si>
    <t>SRR11262064</t>
  </si>
  <si>
    <t>SRR11262065</t>
  </si>
  <si>
    <t>SRR11262066</t>
  </si>
  <si>
    <t>SRR11262067</t>
  </si>
  <si>
    <t>SRR11262068</t>
  </si>
  <si>
    <t>SRR11262069</t>
  </si>
  <si>
    <t>SRR11262070</t>
  </si>
  <si>
    <t>SRR11262072</t>
  </si>
  <si>
    <t>SRR11262073</t>
  </si>
  <si>
    <t>SRR11262074</t>
  </si>
  <si>
    <t>SRR11262075</t>
  </si>
  <si>
    <t>SRR11262076</t>
  </si>
  <si>
    <t>SRR11262077</t>
  </si>
  <si>
    <t>SRR11262078</t>
  </si>
  <si>
    <t>SRR11262079</t>
  </si>
  <si>
    <t>SRR11262080</t>
  </si>
  <si>
    <t>SRR11262081</t>
  </si>
  <si>
    <t>SRR11262082</t>
  </si>
  <si>
    <t>SRR11262083</t>
  </si>
  <si>
    <t>SRR11262084</t>
  </si>
  <si>
    <t>SRR11262085</t>
  </si>
  <si>
    <t>SRR11262086</t>
  </si>
  <si>
    <t>SRR11262087</t>
  </si>
  <si>
    <t>SRR11262088</t>
  </si>
  <si>
    <t>SRR11262089</t>
  </si>
  <si>
    <t>SRR11262090</t>
  </si>
  <si>
    <t>SRR11262092</t>
  </si>
  <si>
    <t>SRR11262094</t>
  </si>
  <si>
    <t>SRR11262095</t>
  </si>
  <si>
    <t>SRR11262096</t>
  </si>
  <si>
    <t>SRR11262099</t>
  </si>
  <si>
    <t>SRR11262100</t>
  </si>
  <si>
    <t>SRR11262101</t>
  </si>
  <si>
    <t>SRR11262102</t>
  </si>
  <si>
    <t>SRR11262103</t>
  </si>
  <si>
    <t>SRR11262105</t>
  </si>
  <si>
    <t>SRR11262106</t>
  </si>
  <si>
    <t>SRR11262107</t>
  </si>
  <si>
    <t>SRR11262108</t>
  </si>
  <si>
    <t>SRR11262109</t>
  </si>
  <si>
    <t>SRR11262110</t>
  </si>
  <si>
    <t>SRR11262111</t>
  </si>
  <si>
    <t>SRR11262112</t>
  </si>
  <si>
    <t>SRR11262113</t>
  </si>
  <si>
    <t>SRR11262114</t>
  </si>
  <si>
    <t>SRR11262116</t>
  </si>
  <si>
    <t>SRR11262117</t>
  </si>
  <si>
    <t>SRR11262118</t>
  </si>
  <si>
    <t>SRR11262119</t>
  </si>
  <si>
    <t>SRR11262120</t>
  </si>
  <si>
    <t>SRR11262121</t>
  </si>
  <si>
    <t>SRR11262122</t>
  </si>
  <si>
    <t>SRR11262123</t>
  </si>
  <si>
    <t>SRR11262124</t>
  </si>
  <si>
    <t>SRR11262125</t>
  </si>
  <si>
    <t>SRR11262126</t>
  </si>
  <si>
    <t>SRR11262127</t>
  </si>
  <si>
    <t>SRR11262128</t>
  </si>
  <si>
    <t>SRR11262129</t>
  </si>
  <si>
    <t>SRR11262130</t>
  </si>
  <si>
    <t>SRR11262132</t>
  </si>
  <si>
    <t>SRR11262133</t>
  </si>
  <si>
    <t>SRR11262134</t>
  </si>
  <si>
    <t>SRR11262135</t>
  </si>
  <si>
    <t>SRR11262136</t>
  </si>
  <si>
    <t>SRR11262137</t>
  </si>
  <si>
    <t>SRR11262138</t>
  </si>
  <si>
    <t>SRR11262139</t>
  </si>
  <si>
    <t>SRR11262140</t>
  </si>
  <si>
    <t>SRR11262141</t>
  </si>
  <si>
    <t>SRR11262142</t>
  </si>
  <si>
    <t>SRR11262143</t>
  </si>
  <si>
    <t>SRR11262144</t>
  </si>
  <si>
    <t>SRR11262146</t>
  </si>
  <si>
    <t>SRR11262147</t>
  </si>
  <si>
    <t>SRR11262154</t>
  </si>
  <si>
    <t>SRR11262155</t>
  </si>
  <si>
    <t>SRR11262156</t>
  </si>
  <si>
    <t>SRR11262157</t>
  </si>
  <si>
    <t>SRR11262158</t>
  </si>
  <si>
    <t>SRR11262159</t>
  </si>
  <si>
    <t>SRR11262160</t>
  </si>
  <si>
    <t>SRR11262161</t>
  </si>
  <si>
    <t>SRR11262162</t>
  </si>
  <si>
    <t>SRR11262163</t>
  </si>
  <si>
    <t>SRR11262164</t>
  </si>
  <si>
    <t>SRR11262165</t>
  </si>
  <si>
    <t>SRR11262166</t>
  </si>
  <si>
    <t>SRR11262167</t>
  </si>
  <si>
    <t>SRR11262168</t>
  </si>
  <si>
    <t>SRR11262169</t>
  </si>
  <si>
    <t>SRR11262170</t>
  </si>
  <si>
    <t>SRR11262171</t>
  </si>
  <si>
    <t>SRR11262172</t>
  </si>
  <si>
    <t>SRR11262173</t>
  </si>
  <si>
    <t>SRR11262175</t>
  </si>
  <si>
    <t>SRR11262176</t>
  </si>
  <si>
    <t>SRR11262177</t>
  </si>
  <si>
    <t>SRR11262178</t>
  </si>
  <si>
    <t>SRR11262179</t>
  </si>
  <si>
    <t>SRR11262180</t>
  </si>
  <si>
    <t>SRR11262181</t>
  </si>
  <si>
    <t>SRR11262182</t>
  </si>
  <si>
    <t>SRR11262183</t>
  </si>
  <si>
    <t>SRR11262184</t>
  </si>
  <si>
    <t>SRR11262185</t>
  </si>
  <si>
    <t>SRR11262186</t>
  </si>
  <si>
    <t>SRR11262187</t>
  </si>
  <si>
    <t>SRR11262188</t>
  </si>
  <si>
    <t>SRR11262189</t>
  </si>
  <si>
    <t>SRR11262190</t>
  </si>
  <si>
    <t>SRR11262194</t>
  </si>
  <si>
    <t>SRR11262195</t>
  </si>
  <si>
    <t>SRR11262196</t>
  </si>
  <si>
    <t>SRR11262197</t>
  </si>
  <si>
    <t>SRR11262198</t>
  </si>
  <si>
    <t>SRR11262199</t>
  </si>
  <si>
    <t>SRR11262200</t>
  </si>
  <si>
    <t>SRR11262201</t>
  </si>
  <si>
    <t>SRR11262202</t>
  </si>
  <si>
    <t>SRR11262203</t>
  </si>
  <si>
    <t>SRR11262204</t>
  </si>
  <si>
    <t>SRR11262205</t>
  </si>
  <si>
    <t>SRR11262206</t>
  </si>
  <si>
    <t>SRR11262207</t>
  </si>
  <si>
    <t>SRR11262208</t>
  </si>
  <si>
    <t>SRR11262209</t>
  </si>
  <si>
    <t>SRR11262210</t>
  </si>
  <si>
    <t>SRR11262213</t>
  </si>
  <si>
    <t>SRR11262214</t>
  </si>
  <si>
    <t>SRR11262215</t>
  </si>
  <si>
    <t>SRR11262216</t>
  </si>
  <si>
    <t>SRR11262217</t>
  </si>
  <si>
    <t>SRR11262218</t>
  </si>
  <si>
    <t>SRR11262219</t>
  </si>
  <si>
    <t>SRR11266553</t>
  </si>
  <si>
    <t>strawberry jelly</t>
  </si>
  <si>
    <t>SRR11268427</t>
  </si>
  <si>
    <t>SRR11300473</t>
  </si>
  <si>
    <t>SRR11300557</t>
  </si>
  <si>
    <t>SRR11300604</t>
  </si>
  <si>
    <t>SRR11300605</t>
  </si>
  <si>
    <t>SRR11300606</t>
  </si>
  <si>
    <t>SRR11300607</t>
  </si>
  <si>
    <t>SRR11300610</t>
  </si>
  <si>
    <t>SRR11300615</t>
  </si>
  <si>
    <t>SRR11300616</t>
  </si>
  <si>
    <t>SRR11300619</t>
  </si>
  <si>
    <t>SRR11300620</t>
  </si>
  <si>
    <t>SRR11300623</t>
  </si>
  <si>
    <t>SRR11300624</t>
  </si>
  <si>
    <t>SRR11300625</t>
  </si>
  <si>
    <t>SRR11300626</t>
  </si>
  <si>
    <t>SRR11300643</t>
  </si>
  <si>
    <t>SRR11300651</t>
  </si>
  <si>
    <t>SRR11300653</t>
  </si>
  <si>
    <t>SRR11300719</t>
  </si>
  <si>
    <t>SRR11300720</t>
  </si>
  <si>
    <t>SRR11304999</t>
  </si>
  <si>
    <t>SRR11305001</t>
  </si>
  <si>
    <t>SRR11305011</t>
  </si>
  <si>
    <t>SRR11305012</t>
  </si>
  <si>
    <t>SRR11305013</t>
  </si>
  <si>
    <t>SRR11305014</t>
  </si>
  <si>
    <t>SRR11311141</t>
  </si>
  <si>
    <t>SRR11311255</t>
  </si>
  <si>
    <t>SRR11311258</t>
  </si>
  <si>
    <t>SRR11311369</t>
  </si>
  <si>
    <t>SRR11311792</t>
  </si>
  <si>
    <t>SRR11312073</t>
  </si>
  <si>
    <t>SRR11312081</t>
  </si>
  <si>
    <t>SRR11347405</t>
  </si>
  <si>
    <t>1996</t>
  </si>
  <si>
    <t>SRR11347440</t>
  </si>
  <si>
    <t>SRR11347520</t>
  </si>
  <si>
    <t>SRR11361885</t>
  </si>
  <si>
    <t>SRR11362111</t>
  </si>
  <si>
    <t>SRR11362436</t>
  </si>
  <si>
    <t>Frozen Mussel Meat</t>
  </si>
  <si>
    <t>SRR11363452</t>
  </si>
  <si>
    <t>SRR11363453</t>
  </si>
  <si>
    <t>SRR11363454</t>
  </si>
  <si>
    <t>SRR11363455</t>
  </si>
  <si>
    <t>SRR11363456</t>
  </si>
  <si>
    <t>SRR11363459</t>
  </si>
  <si>
    <t>SRR11363461</t>
  </si>
  <si>
    <t>SRR11363462</t>
  </si>
  <si>
    <t>SRR11388324</t>
  </si>
  <si>
    <t>Food products (fish)</t>
  </si>
  <si>
    <t>SRR11389235</t>
  </si>
  <si>
    <t>SRR11391686</t>
  </si>
  <si>
    <t>SRR11391686,SRR7702526</t>
  </si>
  <si>
    <t>SRR11391769</t>
  </si>
  <si>
    <t>SRR11391769,SRR7702419</t>
  </si>
  <si>
    <t>SRR11391771</t>
  </si>
  <si>
    <t>SRR11392091</t>
  </si>
  <si>
    <t>SRR11392432</t>
  </si>
  <si>
    <t>SRR11392642</t>
  </si>
  <si>
    <t>SRR11392766</t>
  </si>
  <si>
    <t>SRR11392965</t>
  </si>
  <si>
    <t>SRR11393270</t>
  </si>
  <si>
    <t>SRR1141127</t>
  </si>
  <si>
    <t>envinonmental sponges</t>
  </si>
  <si>
    <t>SRR1141130</t>
  </si>
  <si>
    <t>SRR1141132</t>
  </si>
  <si>
    <t>SRR1141133</t>
  </si>
  <si>
    <t>SRR1141134</t>
  </si>
  <si>
    <t>SRR1141136</t>
  </si>
  <si>
    <t>SRR1141137</t>
  </si>
  <si>
    <t>SRR1141141</t>
  </si>
  <si>
    <t>SRR1141142</t>
  </si>
  <si>
    <t>SRR1141145</t>
  </si>
  <si>
    <t>SRR1141147</t>
  </si>
  <si>
    <t>SRR1141148</t>
  </si>
  <si>
    <t>SRR1141149</t>
  </si>
  <si>
    <t>SRR1141151</t>
  </si>
  <si>
    <t>SRR1141154</t>
  </si>
  <si>
    <t>SRR1141155</t>
  </si>
  <si>
    <t>SRR1141156</t>
  </si>
  <si>
    <t>SRR1141159</t>
  </si>
  <si>
    <t>SRR1141161</t>
  </si>
  <si>
    <t>SRR1141162</t>
  </si>
  <si>
    <t>SRR1141163</t>
  </si>
  <si>
    <t>SRR1141164</t>
  </si>
  <si>
    <t>SRR1141165</t>
  </si>
  <si>
    <t>SRR1141170</t>
  </si>
  <si>
    <t>SRR1141176</t>
  </si>
  <si>
    <t>SRR1141238</t>
  </si>
  <si>
    <t>SRR1141239</t>
  </si>
  <si>
    <t>SRR11424121</t>
  </si>
  <si>
    <t>SRR11426999</t>
  </si>
  <si>
    <t>ENVIRONMENTAL ISOLATE</t>
  </si>
  <si>
    <t>SRR11430177</t>
  </si>
  <si>
    <t>SRR11435279</t>
  </si>
  <si>
    <t>SRR11442299</t>
  </si>
  <si>
    <t>SRR11442301</t>
  </si>
  <si>
    <t>SRR11444781</t>
  </si>
  <si>
    <t>SRR11444784</t>
  </si>
  <si>
    <t>SRR11444801</t>
  </si>
  <si>
    <t>1991</t>
  </si>
  <si>
    <t>SRR11444814</t>
  </si>
  <si>
    <t>1990</t>
  </si>
  <si>
    <t>SRR11444817</t>
  </si>
  <si>
    <t>SRR11444818</t>
  </si>
  <si>
    <t>SRR11444820</t>
  </si>
  <si>
    <t>SRR11444825</t>
  </si>
  <si>
    <t>SRR11444829</t>
  </si>
  <si>
    <t>SRR11444832</t>
  </si>
  <si>
    <t>SRR11444833</t>
  </si>
  <si>
    <t>SRR11444834</t>
  </si>
  <si>
    <t>SRR11444843</t>
  </si>
  <si>
    <t>SRR11444844</t>
  </si>
  <si>
    <t>SRR11444846</t>
  </si>
  <si>
    <t>SRR11444847</t>
  </si>
  <si>
    <t>SRR11444876</t>
  </si>
  <si>
    <t>SRR11444909</t>
  </si>
  <si>
    <t>SRR11444942</t>
  </si>
  <si>
    <t>SRR11450878</t>
  </si>
  <si>
    <t>SRR11477678</t>
  </si>
  <si>
    <t>SRR11477862</t>
  </si>
  <si>
    <t>SRR11477865</t>
  </si>
  <si>
    <t>SRR11477866</t>
  </si>
  <si>
    <t>SRR11477869</t>
  </si>
  <si>
    <t>SRR11478629</t>
  </si>
  <si>
    <t>SRR11478630</t>
  </si>
  <si>
    <t>SRR11478634</t>
  </si>
  <si>
    <t>SRR11478641</t>
  </si>
  <si>
    <t>SRR11478901</t>
  </si>
  <si>
    <t>SRR11478904</t>
  </si>
  <si>
    <t>SRR11479091</t>
  </si>
  <si>
    <t>SRR1153450</t>
  </si>
  <si>
    <t>SRR11548232</t>
  </si>
  <si>
    <t>SRR11548233</t>
  </si>
  <si>
    <t>SRR11563127</t>
  </si>
  <si>
    <t>SRR11648103</t>
  </si>
  <si>
    <t>SRR11648103,SRR5344704</t>
  </si>
  <si>
    <t>SRR11648144</t>
  </si>
  <si>
    <t>SRR11648173</t>
  </si>
  <si>
    <t>SRR11648173,SRR5280362</t>
  </si>
  <si>
    <t>SRR11659584</t>
  </si>
  <si>
    <t>stool</t>
  </si>
  <si>
    <t>1997</t>
  </si>
  <si>
    <t>SRR1166824</t>
  </si>
  <si>
    <t>SRR1170784</t>
  </si>
  <si>
    <t>SRR1170843,SRR1544351</t>
  </si>
  <si>
    <t>SRR1174763</t>
  </si>
  <si>
    <t>SRR1177202</t>
  </si>
  <si>
    <t>assorted fish in oil</t>
  </si>
  <si>
    <t>SRR11775831</t>
  </si>
  <si>
    <t>SRR11775835</t>
  </si>
  <si>
    <t>SRR11775838</t>
  </si>
  <si>
    <t>SRR11775840</t>
  </si>
  <si>
    <t>SRR11775842</t>
  </si>
  <si>
    <t>SRR11775843</t>
  </si>
  <si>
    <t>SRR11775847</t>
  </si>
  <si>
    <t>SRR11775848</t>
  </si>
  <si>
    <t>SRR11775849</t>
  </si>
  <si>
    <t>SRR11775852</t>
  </si>
  <si>
    <t>SRR11775853</t>
  </si>
  <si>
    <t>SRR11775855</t>
  </si>
  <si>
    <t>SRR11775862</t>
  </si>
  <si>
    <t>SRR11775863</t>
  </si>
  <si>
    <t>SRR11775864</t>
  </si>
  <si>
    <t>SRR11775866</t>
  </si>
  <si>
    <t>SRR11775867</t>
  </si>
  <si>
    <t>SRR11776061</t>
  </si>
  <si>
    <t>SRR11776062</t>
  </si>
  <si>
    <t>SRR11790962</t>
  </si>
  <si>
    <t>SRR11812378</t>
  </si>
  <si>
    <t>SRR11812842</t>
  </si>
  <si>
    <t>SRR11818087</t>
  </si>
  <si>
    <t>SRR1185799,SRR1201332</t>
  </si>
  <si>
    <t>frozen green chili</t>
  </si>
  <si>
    <t>SRR1185815,SRR1201304</t>
  </si>
  <si>
    <t>SRR1185832,SRR1201321</t>
  </si>
  <si>
    <t>SRR1185848,SRR1201331</t>
  </si>
  <si>
    <t>SRR1185860,SRR1201309</t>
  </si>
  <si>
    <t>frozen green chili new mexico hot diced</t>
  </si>
  <si>
    <t>SRR1185861,SRR1201362</t>
  </si>
  <si>
    <t>green chili new mexico hot</t>
  </si>
  <si>
    <t>SRR1186330</t>
  </si>
  <si>
    <t>julienned bell pepper</t>
  </si>
  <si>
    <t>SRR1186367</t>
  </si>
  <si>
    <t>basil, packaged</t>
  </si>
  <si>
    <t>SRR11905242</t>
  </si>
  <si>
    <t>SRR11922747</t>
  </si>
  <si>
    <t>radicchio</t>
  </si>
  <si>
    <t>SRR1193827</t>
  </si>
  <si>
    <t>SRR1193835</t>
  </si>
  <si>
    <t>SRR1193836</t>
  </si>
  <si>
    <t>SRR1193963</t>
  </si>
  <si>
    <t>SRR1195646</t>
  </si>
  <si>
    <t>SRR1198947</t>
  </si>
  <si>
    <t>green chile ingredient</t>
  </si>
  <si>
    <t>SRR1198955</t>
  </si>
  <si>
    <t>SRR1198960</t>
  </si>
  <si>
    <t>SRR1198967</t>
  </si>
  <si>
    <t>SRR1198968</t>
  </si>
  <si>
    <t>SRR11997349</t>
  </si>
  <si>
    <t>SRR12005337</t>
  </si>
  <si>
    <t>SRR1201298,SRR1185843</t>
  </si>
  <si>
    <t>SRR1201308,SRR1185857</t>
  </si>
  <si>
    <t>SRR1201317,SRR1185829</t>
  </si>
  <si>
    <t>SRR1201322,SRR1185840</t>
  </si>
  <si>
    <t>green chili new mexico mild</t>
  </si>
  <si>
    <t>SRR1201323,SRR1185833</t>
  </si>
  <si>
    <t>SRR1201359,SRR1185844</t>
  </si>
  <si>
    <t>frozen mild green chili</t>
  </si>
  <si>
    <t>SRR1201361,SRR1185864</t>
  </si>
  <si>
    <t>SRR1201372</t>
  </si>
  <si>
    <t>SRR1201373</t>
  </si>
  <si>
    <t>SRR12017628</t>
  </si>
  <si>
    <t>SRR12017628,SRR7465230,SRR5311183</t>
  </si>
  <si>
    <t>SRR12017797</t>
  </si>
  <si>
    <t>SRR12017797,SRR1635205</t>
  </si>
  <si>
    <t>SRR1203015</t>
  </si>
  <si>
    <t>SRR1203021</t>
  </si>
  <si>
    <t>SRR12037163</t>
  </si>
  <si>
    <t>SRR12038234</t>
  </si>
  <si>
    <t>SRR12045689</t>
  </si>
  <si>
    <t>SRR1206142</t>
  </si>
  <si>
    <t>environmental sample</t>
  </si>
  <si>
    <t>SRR1206151</t>
  </si>
  <si>
    <t>Sponge Stick</t>
  </si>
  <si>
    <t>SRR1206152</t>
  </si>
  <si>
    <t>SRR1206153</t>
  </si>
  <si>
    <t>sub sandwich with turkey &amp;amp; cheese</t>
  </si>
  <si>
    <t>SRR1206154</t>
  </si>
  <si>
    <t>SRR1206157</t>
  </si>
  <si>
    <t>SRR1206166</t>
  </si>
  <si>
    <t>SRR1206167</t>
  </si>
  <si>
    <t>SRR1206198</t>
  </si>
  <si>
    <t>Romaine</t>
  </si>
  <si>
    <t>SRR1206202</t>
  </si>
  <si>
    <t>turkey ham and cheese on potato bun</t>
  </si>
  <si>
    <t>SRR1206203</t>
  </si>
  <si>
    <t>SRR1206206</t>
  </si>
  <si>
    <t>SRR1206225</t>
  </si>
  <si>
    <t>SRR1206236</t>
  </si>
  <si>
    <t>diced green chili hot</t>
  </si>
  <si>
    <t>SRR1206237</t>
  </si>
  <si>
    <t>SRR12071697</t>
  </si>
  <si>
    <t>SRR1207441</t>
  </si>
  <si>
    <t>SRR1207446</t>
  </si>
  <si>
    <t>SRR1207447</t>
  </si>
  <si>
    <t>sprout</t>
  </si>
  <si>
    <t>SRR1207450</t>
  </si>
  <si>
    <t>SRR1207457</t>
  </si>
  <si>
    <t>poultry chicken</t>
  </si>
  <si>
    <t>SRR1207458</t>
  </si>
  <si>
    <t>SRR1207472</t>
  </si>
  <si>
    <t>SRR1207490</t>
  </si>
  <si>
    <t>SRR1207497</t>
  </si>
  <si>
    <t>mung bean</t>
  </si>
  <si>
    <t>SRR1207514</t>
  </si>
  <si>
    <t>SRR1207522</t>
  </si>
  <si>
    <t>SRR1207523</t>
  </si>
  <si>
    <t>SRR1207531</t>
  </si>
  <si>
    <t>SRR1207534</t>
  </si>
  <si>
    <t>SRR1207537</t>
  </si>
  <si>
    <t>SRR1207540</t>
  </si>
  <si>
    <t>SRR1207542</t>
  </si>
  <si>
    <t>SRR1207543</t>
  </si>
  <si>
    <t>apple</t>
  </si>
  <si>
    <t>SRR1207548</t>
  </si>
  <si>
    <t>SRR1207553</t>
  </si>
  <si>
    <t>SRR1207556</t>
  </si>
  <si>
    <t>SRR1207558</t>
  </si>
  <si>
    <t>SRR12103228</t>
  </si>
  <si>
    <t>SRR12137508</t>
  </si>
  <si>
    <t>SRR12137515</t>
  </si>
  <si>
    <t>greek artichoke salad</t>
  </si>
  <si>
    <t>SRR12137528</t>
  </si>
  <si>
    <t>SRR12137535</t>
  </si>
  <si>
    <t>curry chicken salad</t>
  </si>
  <si>
    <t>SRR12137537</t>
  </si>
  <si>
    <t>roasted chicken salad</t>
  </si>
  <si>
    <t>SRR12137539</t>
  </si>
  <si>
    <t>SRR12137542</t>
  </si>
  <si>
    <t>SRR12137544</t>
  </si>
  <si>
    <t>SRR12144666</t>
  </si>
  <si>
    <t>SRR12146001</t>
  </si>
  <si>
    <t>SRR12147802</t>
  </si>
  <si>
    <t>SRR12147806</t>
  </si>
  <si>
    <t>SRR1217486</t>
  </si>
  <si>
    <t>SRR12188955</t>
  </si>
  <si>
    <t>SRR12188957</t>
  </si>
  <si>
    <t>SRR12200245</t>
  </si>
  <si>
    <t>Poultry/Chicken</t>
  </si>
  <si>
    <t>SRR12200291</t>
  </si>
  <si>
    <t>SRR12200301</t>
  </si>
  <si>
    <t>SRR12200318</t>
  </si>
  <si>
    <t>SRR12200327</t>
  </si>
  <si>
    <t>Meat/Pork</t>
  </si>
  <si>
    <t>SRR12200331</t>
  </si>
  <si>
    <t>Poultry/Turkey</t>
  </si>
  <si>
    <t>SRR12200333</t>
  </si>
  <si>
    <t>Bacon</t>
  </si>
  <si>
    <t>SRR1220701</t>
  </si>
  <si>
    <t>lettuce</t>
  </si>
  <si>
    <t>SRR1220703</t>
  </si>
  <si>
    <t>SRR1220704</t>
  </si>
  <si>
    <t>SRR1220708</t>
  </si>
  <si>
    <t>Chain</t>
  </si>
  <si>
    <t>SRR1220709</t>
  </si>
  <si>
    <t>Floor</t>
  </si>
  <si>
    <t>SRR1220716</t>
  </si>
  <si>
    <t>Condensate Tray</t>
  </si>
  <si>
    <t>SRR1220718</t>
  </si>
  <si>
    <t>SRR1220725</t>
  </si>
  <si>
    <t>SRR1220730</t>
  </si>
  <si>
    <t>cheddar cheese ball</t>
  </si>
  <si>
    <t>SRR1220736</t>
  </si>
  <si>
    <t>Wrench</t>
  </si>
  <si>
    <t>SRR1220742</t>
  </si>
  <si>
    <t>peanut butter</t>
  </si>
  <si>
    <t>SRR1220743</t>
  </si>
  <si>
    <t>SRR1220748</t>
  </si>
  <si>
    <t>SRR1220749</t>
  </si>
  <si>
    <t>SRR1220761</t>
  </si>
  <si>
    <t>Inside large chopper</t>
  </si>
  <si>
    <t>SRR1220762</t>
  </si>
  <si>
    <t>SRR1220763</t>
  </si>
  <si>
    <t>SRR1220768</t>
  </si>
  <si>
    <t>SRR1220774</t>
  </si>
  <si>
    <t>SRR1220775</t>
  </si>
  <si>
    <t>Squeegee</t>
  </si>
  <si>
    <t>SRR1220779</t>
  </si>
  <si>
    <t>Spindle of chopper</t>
  </si>
  <si>
    <t>SRR1220780</t>
  </si>
  <si>
    <t>SRR1220781</t>
  </si>
  <si>
    <t>SRR1220789</t>
  </si>
  <si>
    <t>SRR1220798</t>
  </si>
  <si>
    <t>SRR1220814</t>
  </si>
  <si>
    <t>Under hopper</t>
  </si>
  <si>
    <t>SRR1220815</t>
  </si>
  <si>
    <t>SRR1220820</t>
  </si>
  <si>
    <t>SRR12212550</t>
  </si>
  <si>
    <t>CC1041</t>
  </si>
  <si>
    <t>SRR12212742</t>
  </si>
  <si>
    <t>SRR12251269</t>
  </si>
  <si>
    <t>SRR12277914</t>
  </si>
  <si>
    <t>SRR12282318</t>
  </si>
  <si>
    <t>SRR12282319</t>
  </si>
  <si>
    <t>SRR12282320</t>
  </si>
  <si>
    <t>SRR12282354</t>
  </si>
  <si>
    <t>SRR12282359</t>
  </si>
  <si>
    <t>SRR12282366</t>
  </si>
  <si>
    <t>SRR12282369</t>
  </si>
  <si>
    <t>SRR12282400</t>
  </si>
  <si>
    <t>SRR12282403</t>
  </si>
  <si>
    <t>SRR12282404</t>
  </si>
  <si>
    <t>SRR12282406</t>
  </si>
  <si>
    <t>SRR12282407</t>
  </si>
  <si>
    <t>SRR12282410</t>
  </si>
  <si>
    <t>SRR12282411</t>
  </si>
  <si>
    <t>SRR12282414</t>
  </si>
  <si>
    <t>SRR12298167</t>
  </si>
  <si>
    <t>SRR12317064</t>
  </si>
  <si>
    <t>SRR12340922</t>
  </si>
  <si>
    <t>SRR12340925</t>
  </si>
  <si>
    <t>SRR12341216</t>
  </si>
  <si>
    <t>Sliced Deli Meat</t>
  </si>
  <si>
    <t>SRR12341217</t>
  </si>
  <si>
    <t>SRR12354786</t>
  </si>
  <si>
    <t>SRR12363889</t>
  </si>
  <si>
    <t>SRR12388984</t>
  </si>
  <si>
    <t>SRR12388988</t>
  </si>
  <si>
    <t>SRR12396123</t>
  </si>
  <si>
    <t>SRR12412730</t>
  </si>
  <si>
    <t>SRR12412731</t>
  </si>
  <si>
    <t>SRR12414143</t>
  </si>
  <si>
    <t>SRR12415959</t>
  </si>
  <si>
    <t>SRR12415961</t>
  </si>
  <si>
    <t>SRR12418437</t>
  </si>
  <si>
    <t>Five Cheese Stuffed Shells</t>
  </si>
  <si>
    <t>SRR12418438</t>
  </si>
  <si>
    <t>Indonesia</t>
  </si>
  <si>
    <t>shrimp</t>
  </si>
  <si>
    <t>SRR12420835</t>
  </si>
  <si>
    <t>SRR12455232</t>
  </si>
  <si>
    <t>SRR12469215</t>
  </si>
  <si>
    <t>Potato Salad</t>
  </si>
  <si>
    <t>SRR12469217</t>
  </si>
  <si>
    <t>SRR12481151</t>
  </si>
  <si>
    <t>Food Processing</t>
  </si>
  <si>
    <t>SRR12481152</t>
  </si>
  <si>
    <t>SRR12481272</t>
  </si>
  <si>
    <t>SRR12481302</t>
  </si>
  <si>
    <t>SRR12481303</t>
  </si>
  <si>
    <t>SRR12481305</t>
  </si>
  <si>
    <t>SRR12481306</t>
  </si>
  <si>
    <t>SRR12481307</t>
  </si>
  <si>
    <t>SRR12481587</t>
  </si>
  <si>
    <t>SRR12481588</t>
  </si>
  <si>
    <t>SRR12481589</t>
  </si>
  <si>
    <t>SRR12481590</t>
  </si>
  <si>
    <t>SRR12481591</t>
  </si>
  <si>
    <t>SRR12481592</t>
  </si>
  <si>
    <t>SRR12481593</t>
  </si>
  <si>
    <t>SRR12481786</t>
  </si>
  <si>
    <t>SRR12481787</t>
  </si>
  <si>
    <t>SRR12481788</t>
  </si>
  <si>
    <t>SRR12481789</t>
  </si>
  <si>
    <t>SRR12481790</t>
  </si>
  <si>
    <t>SRR12481791</t>
  </si>
  <si>
    <t>SRR12481987</t>
  </si>
  <si>
    <t>SRR12481988</t>
  </si>
  <si>
    <t>SRR12481989</t>
  </si>
  <si>
    <t>SRR12481990</t>
  </si>
  <si>
    <t>SRR12481991</t>
  </si>
  <si>
    <t>SRR12481992</t>
  </si>
  <si>
    <t>SRR12482187</t>
  </si>
  <si>
    <t>SRR12482188</t>
  </si>
  <si>
    <t>SRR12482189</t>
  </si>
  <si>
    <t>SRR12482190</t>
  </si>
  <si>
    <t>SRR12482191</t>
  </si>
  <si>
    <t>SRR12482192</t>
  </si>
  <si>
    <t>SRR12482679</t>
  </si>
  <si>
    <t>SRR12482680</t>
  </si>
  <si>
    <t>SRR12482683</t>
  </si>
  <si>
    <t>SRR12482937</t>
  </si>
  <si>
    <t>soil</t>
  </si>
  <si>
    <t>SRR12482938</t>
  </si>
  <si>
    <t>SRR12482943</t>
  </si>
  <si>
    <t>Dragswab</t>
  </si>
  <si>
    <t>SRR12483841</t>
  </si>
  <si>
    <t>SRR12483859</t>
  </si>
  <si>
    <t>SRR12492215</t>
  </si>
  <si>
    <t>SRR12495603</t>
  </si>
  <si>
    <t>SRR12507452</t>
  </si>
  <si>
    <t>SRR12550982</t>
  </si>
  <si>
    <t>SRR1257276</t>
  </si>
  <si>
    <t>italian parsley</t>
  </si>
  <si>
    <t>SRR1257299</t>
  </si>
  <si>
    <t>SRR12579426</t>
  </si>
  <si>
    <t>SRR1258578,SRR1544191</t>
  </si>
  <si>
    <t>drain</t>
  </si>
  <si>
    <t>SRR12593839</t>
  </si>
  <si>
    <t>SRR12595466</t>
  </si>
  <si>
    <t>SRR12598716</t>
  </si>
  <si>
    <t>SRR12598717</t>
  </si>
  <si>
    <t>SRR12598719</t>
  </si>
  <si>
    <t>SRR12598720</t>
  </si>
  <si>
    <t>SRR12615144</t>
  </si>
  <si>
    <t>SRR12615145</t>
  </si>
  <si>
    <t>SRR12615151</t>
  </si>
  <si>
    <t>SRR12615156</t>
  </si>
  <si>
    <t>SRR12615158</t>
  </si>
  <si>
    <t>SRR12615162</t>
  </si>
  <si>
    <t>SRR12615340</t>
  </si>
  <si>
    <t>SRR12615344</t>
  </si>
  <si>
    <t>SRR12615350</t>
  </si>
  <si>
    <t>SRR12615354</t>
  </si>
  <si>
    <t>SRR12618211</t>
  </si>
  <si>
    <t>Smokehouse room drain trough</t>
  </si>
  <si>
    <t>SRR12619257</t>
  </si>
  <si>
    <t>SRR12620722</t>
  </si>
  <si>
    <t>SRR12622136</t>
  </si>
  <si>
    <t>SRR12622138</t>
  </si>
  <si>
    <t>SRR12626011</t>
  </si>
  <si>
    <t>SRR12626012</t>
  </si>
  <si>
    <t>SRR12626013</t>
  </si>
  <si>
    <t>SRR12626014</t>
  </si>
  <si>
    <t>SRR12626043</t>
  </si>
  <si>
    <t>SRR1263977</t>
  </si>
  <si>
    <t>SRR1264930,SRR1544160</t>
  </si>
  <si>
    <t>other-product contact surfaces</t>
  </si>
  <si>
    <t>SRR1264931,SRR1544212</t>
  </si>
  <si>
    <t>SRR1264937,SRR1544354</t>
  </si>
  <si>
    <t>other-non/product contact surface</t>
  </si>
  <si>
    <t>SRR1264944,SRR1544159</t>
  </si>
  <si>
    <t>SRR1264949,SRR1544201</t>
  </si>
  <si>
    <t>SRR1264962,SRR1544251</t>
  </si>
  <si>
    <t>ham</t>
  </si>
  <si>
    <t>SRR12651218</t>
  </si>
  <si>
    <t>Environmental sponge (smoke cart wheels)</t>
  </si>
  <si>
    <t>SRR12651219</t>
  </si>
  <si>
    <t>Environmental sponge (bottom seal smokehouse door)</t>
  </si>
  <si>
    <t>SRR12672275</t>
  </si>
  <si>
    <t>SRR12676738</t>
  </si>
  <si>
    <t>SRR1269850</t>
  </si>
  <si>
    <t>CC635</t>
  </si>
  <si>
    <t>retail deli</t>
  </si>
  <si>
    <t>SRR1269851</t>
  </si>
  <si>
    <t>SRR1269852</t>
  </si>
  <si>
    <t>SRR1269853</t>
  </si>
  <si>
    <t>SRR1269854</t>
  </si>
  <si>
    <t>SRR1269855</t>
  </si>
  <si>
    <t>SRR1269856</t>
  </si>
  <si>
    <t>SRR1269857</t>
  </si>
  <si>
    <t>SRR1269858</t>
  </si>
  <si>
    <t>Food Associated Environment</t>
  </si>
  <si>
    <t>SRR1269859</t>
  </si>
  <si>
    <t>SRR1269863</t>
  </si>
  <si>
    <t>SRR1269867</t>
  </si>
  <si>
    <t>SRR1269868</t>
  </si>
  <si>
    <t>SRR1269869</t>
  </si>
  <si>
    <t>SRR1269870</t>
  </si>
  <si>
    <t>SRR1269871</t>
  </si>
  <si>
    <t>SRR1269872</t>
  </si>
  <si>
    <t>SRR1269873</t>
  </si>
  <si>
    <t>SRR1269874</t>
  </si>
  <si>
    <t>SRR1269875</t>
  </si>
  <si>
    <t>SRR1269882</t>
  </si>
  <si>
    <t>SRR1269884</t>
  </si>
  <si>
    <t>SRR1269885</t>
  </si>
  <si>
    <t>SRR1269886</t>
  </si>
  <si>
    <t>SRR1269887</t>
  </si>
  <si>
    <t>SRR1269888</t>
  </si>
  <si>
    <t>SRR1269889</t>
  </si>
  <si>
    <t>SRR1269890</t>
  </si>
  <si>
    <t>SRR1269891</t>
  </si>
  <si>
    <t>SRR1269892</t>
  </si>
  <si>
    <t>SRR1269893</t>
  </si>
  <si>
    <t>SRR1269894</t>
  </si>
  <si>
    <t>SRR1269896</t>
  </si>
  <si>
    <t>SRR1269900</t>
  </si>
  <si>
    <t>SRR1269902</t>
  </si>
  <si>
    <t>SRR1269904</t>
  </si>
  <si>
    <t>SRR1269905</t>
  </si>
  <si>
    <t>SRR1269907</t>
  </si>
  <si>
    <t>SRR1269909</t>
  </si>
  <si>
    <t>SRR1269911</t>
  </si>
  <si>
    <t>SRR1269916</t>
  </si>
  <si>
    <t>SRR1269917</t>
  </si>
  <si>
    <t>SRR1269918</t>
  </si>
  <si>
    <t>SRR1269919</t>
  </si>
  <si>
    <t>SRR1269921</t>
  </si>
  <si>
    <t>SRR1269922</t>
  </si>
  <si>
    <t>SRR1269924</t>
  </si>
  <si>
    <t>SRR1269925</t>
  </si>
  <si>
    <t>SRR1269929</t>
  </si>
  <si>
    <t>SRR1269930</t>
  </si>
  <si>
    <t>SRR1269931</t>
  </si>
  <si>
    <t>SRR1269932</t>
  </si>
  <si>
    <t>SRR1269936</t>
  </si>
  <si>
    <t>SRR1269937</t>
  </si>
  <si>
    <t>SRR1269938</t>
  </si>
  <si>
    <t>SRR1269939</t>
  </si>
  <si>
    <t>SRR1269940</t>
  </si>
  <si>
    <t>SRR1269941</t>
  </si>
  <si>
    <t>SRR1269942</t>
  </si>
  <si>
    <t>SRR1269943</t>
  </si>
  <si>
    <t>SRR1269947</t>
  </si>
  <si>
    <t>SRR1269949</t>
  </si>
  <si>
    <t>SRR1269951</t>
  </si>
  <si>
    <t>SRR1269952</t>
  </si>
  <si>
    <t>SRR1269953</t>
  </si>
  <si>
    <t>SRR1269954</t>
  </si>
  <si>
    <t>SRR1269955</t>
  </si>
  <si>
    <t>SRR1269959</t>
  </si>
  <si>
    <t>SRR1269960</t>
  </si>
  <si>
    <t>food associated environment</t>
  </si>
  <si>
    <t>SRR1269961</t>
  </si>
  <si>
    <t>SRR1269964</t>
  </si>
  <si>
    <t>SRR1269965</t>
  </si>
  <si>
    <t>SRR1269966</t>
  </si>
  <si>
    <t>SRR1269967</t>
  </si>
  <si>
    <t>SRR1269968</t>
  </si>
  <si>
    <t>SRR1269969</t>
  </si>
  <si>
    <t>SRR1269970</t>
  </si>
  <si>
    <t>SRR1269971</t>
  </si>
  <si>
    <t>SRR1269973</t>
  </si>
  <si>
    <t>SRR1269974</t>
  </si>
  <si>
    <t>SRR1269975</t>
  </si>
  <si>
    <t>SRR1269977</t>
  </si>
  <si>
    <t>SRR1269978</t>
  </si>
  <si>
    <t>SRR1269980</t>
  </si>
  <si>
    <t>SRR1269981</t>
  </si>
  <si>
    <t>SRR1269984</t>
  </si>
  <si>
    <t>SRR1269985</t>
  </si>
  <si>
    <t>SRR1269987</t>
  </si>
  <si>
    <t>SRR1269989</t>
  </si>
  <si>
    <t>SRR1269990</t>
  </si>
  <si>
    <t>SRR1269991</t>
  </si>
  <si>
    <t>SRR1269992</t>
  </si>
  <si>
    <t>SRR1269993</t>
  </si>
  <si>
    <t>SRR1269996</t>
  </si>
  <si>
    <t>SRR1269998</t>
  </si>
  <si>
    <t>SRR1270000</t>
  </si>
  <si>
    <t>SRR1270001</t>
  </si>
  <si>
    <t>SRR1270002</t>
  </si>
  <si>
    <t>SRR1270003</t>
  </si>
  <si>
    <t>SRR1270007</t>
  </si>
  <si>
    <t>SRR1270012</t>
  </si>
  <si>
    <t>SRR1270014</t>
  </si>
  <si>
    <t>SRR1270016</t>
  </si>
  <si>
    <t>SRR1270018</t>
  </si>
  <si>
    <t>SRR1270019</t>
  </si>
  <si>
    <t>SRR1270022</t>
  </si>
  <si>
    <t>SRR1270025</t>
  </si>
  <si>
    <t>SRR1270027</t>
  </si>
  <si>
    <t>SRR1270028</t>
  </si>
  <si>
    <t>SRR1270029</t>
  </si>
  <si>
    <t>SRR1270031</t>
  </si>
  <si>
    <t>SRR1270032</t>
  </si>
  <si>
    <t>SRR1270034</t>
  </si>
  <si>
    <t>SRR1270036</t>
  </si>
  <si>
    <t>SRR1270037</t>
  </si>
  <si>
    <t>SRR1270039</t>
  </si>
  <si>
    <t>SRR1271385</t>
  </si>
  <si>
    <t>SRR1272484</t>
  </si>
  <si>
    <t>SRR1272494</t>
  </si>
  <si>
    <t>SRR1272519</t>
  </si>
  <si>
    <t>SRR1272521</t>
  </si>
  <si>
    <t>SRR1272526</t>
  </si>
  <si>
    <t>SRR1272766</t>
  </si>
  <si>
    <t>SRR1272776</t>
  </si>
  <si>
    <t>SRR1272777</t>
  </si>
  <si>
    <t>SRR1272780</t>
  </si>
  <si>
    <t>SRR1272781</t>
  </si>
  <si>
    <t>electiral cord to slicer</t>
  </si>
  <si>
    <t>SRR1272834</t>
  </si>
  <si>
    <t>SRR1272884</t>
  </si>
  <si>
    <t>SRR1272889</t>
  </si>
  <si>
    <t>SRR1272902</t>
  </si>
  <si>
    <t>SRR12729663</t>
  </si>
  <si>
    <t>SRR12729664</t>
  </si>
  <si>
    <t>SRR12735159</t>
  </si>
  <si>
    <t>SRR12761311</t>
  </si>
  <si>
    <t>SRR12761313</t>
  </si>
  <si>
    <t>SRR12761314</t>
  </si>
  <si>
    <t>SRR12761317</t>
  </si>
  <si>
    <t>SRR12761318</t>
  </si>
  <si>
    <t>SRR12761330</t>
  </si>
  <si>
    <t>SRR12761332</t>
  </si>
  <si>
    <t>SRR12761333</t>
  </si>
  <si>
    <t>SRR12761345</t>
  </si>
  <si>
    <t>SRR12761347</t>
  </si>
  <si>
    <t>SRR12761349</t>
  </si>
  <si>
    <t>SRR12761350</t>
  </si>
  <si>
    <t>SRR12761351</t>
  </si>
  <si>
    <t>SRR12761485</t>
  </si>
  <si>
    <t>SRR12761955</t>
  </si>
  <si>
    <t>SRR12762062</t>
  </si>
  <si>
    <t>SRR12762063</t>
  </si>
  <si>
    <t>SRR12762064</t>
  </si>
  <si>
    <t>SRR12762065</t>
  </si>
  <si>
    <t>SRR12762066</t>
  </si>
  <si>
    <t>SRR12762067</t>
  </si>
  <si>
    <t>SRR12762068</t>
  </si>
  <si>
    <t>SRR12762231</t>
  </si>
  <si>
    <t>SRR12765734</t>
  </si>
  <si>
    <t>SRR12765931</t>
  </si>
  <si>
    <t>SRR12769537</t>
  </si>
  <si>
    <t>SRR12769540</t>
  </si>
  <si>
    <t>other</t>
  </si>
  <si>
    <t>SRR12769543</t>
  </si>
  <si>
    <t>SRR12769544</t>
  </si>
  <si>
    <t>SRR12769545</t>
  </si>
  <si>
    <t>SRR12769546</t>
  </si>
  <si>
    <t>SRR12769585</t>
  </si>
  <si>
    <t>SRR12769586</t>
  </si>
  <si>
    <t>SRR12769587</t>
  </si>
  <si>
    <t>SRR12769595</t>
  </si>
  <si>
    <t>SRR12769600</t>
  </si>
  <si>
    <t>SRR12769615</t>
  </si>
  <si>
    <t>SRR12769624</t>
  </si>
  <si>
    <t>SRR12772276</t>
  </si>
  <si>
    <t>SRR1284673</t>
  </si>
  <si>
    <t>SRR1284674</t>
  </si>
  <si>
    <t>environmental sponge samples</t>
  </si>
  <si>
    <t>SRR1284675</t>
  </si>
  <si>
    <t>SRR1284677</t>
  </si>
  <si>
    <t>SRR1284695</t>
  </si>
  <si>
    <t>SRR1284697</t>
  </si>
  <si>
    <t>SRR1284698</t>
  </si>
  <si>
    <t>SRR1284712</t>
  </si>
  <si>
    <t>SRR1284715</t>
  </si>
  <si>
    <t>SRR1284721</t>
  </si>
  <si>
    <t>SRR1284743</t>
  </si>
  <si>
    <t>basil</t>
  </si>
  <si>
    <t>SRR1284745</t>
  </si>
  <si>
    <t>SRR1288442</t>
  </si>
  <si>
    <t>SRR1288443</t>
  </si>
  <si>
    <t>barbacoa</t>
  </si>
  <si>
    <t>SRR1288444</t>
  </si>
  <si>
    <t>beef burger bites</t>
  </si>
  <si>
    <t>SRR1288445</t>
  </si>
  <si>
    <t>SRR1288446</t>
  </si>
  <si>
    <t>SRR1288448</t>
  </si>
  <si>
    <t>SRR1288450</t>
  </si>
  <si>
    <t>fully cooked bacon topping</t>
  </si>
  <si>
    <t>SRR12916365</t>
  </si>
  <si>
    <t>SRR12916369</t>
  </si>
  <si>
    <t>SRR12952139</t>
  </si>
  <si>
    <t>SRR12965747</t>
  </si>
  <si>
    <t>SRR12971247</t>
  </si>
  <si>
    <t>cooked peeled deveined tail off shrimp 91/110</t>
  </si>
  <si>
    <t>SRR12971482</t>
  </si>
  <si>
    <t>SRR13001326</t>
  </si>
  <si>
    <t>SRR13001327</t>
  </si>
  <si>
    <t>SRR13004335</t>
  </si>
  <si>
    <t>SRR13004336</t>
  </si>
  <si>
    <t>SRR13010068</t>
  </si>
  <si>
    <t>frozen peeled shrimp</t>
  </si>
  <si>
    <t>SRR1302829</t>
  </si>
  <si>
    <t>spicy sprout</t>
  </si>
  <si>
    <t>SRR1302859</t>
  </si>
  <si>
    <t>SRR1304626</t>
  </si>
  <si>
    <t>SRR1304629</t>
  </si>
  <si>
    <t>SRR13055293</t>
  </si>
  <si>
    <t>SRR13068969</t>
  </si>
  <si>
    <t>SRR13068971</t>
  </si>
  <si>
    <t>SRR13070120</t>
  </si>
  <si>
    <t>SRR13070155</t>
  </si>
  <si>
    <t>SRR13070159</t>
  </si>
  <si>
    <t>ground pork sausage</t>
  </si>
  <si>
    <t>SRR13070173</t>
  </si>
  <si>
    <t>SRR13070754</t>
  </si>
  <si>
    <t>turkey filet</t>
  </si>
  <si>
    <t>SRR13070775</t>
  </si>
  <si>
    <t>environmental sponge</t>
  </si>
  <si>
    <t>SRR13070779</t>
  </si>
  <si>
    <t>chicken haunch</t>
  </si>
  <si>
    <t>SRR13070888</t>
  </si>
  <si>
    <t>beef</t>
  </si>
  <si>
    <t>SRR13070893</t>
  </si>
  <si>
    <t>SRR13070912</t>
  </si>
  <si>
    <t>pork</t>
  </si>
  <si>
    <t>SRR13070916</t>
  </si>
  <si>
    <t>SRR13070925</t>
  </si>
  <si>
    <t>SRR13070926</t>
  </si>
  <si>
    <t>SRR13070929</t>
  </si>
  <si>
    <t>SRR13070940</t>
  </si>
  <si>
    <t>SRR13070953</t>
  </si>
  <si>
    <t>SRR13070958</t>
  </si>
  <si>
    <t>SRR13070962</t>
  </si>
  <si>
    <t>potatoes</t>
  </si>
  <si>
    <t>SRR13070969</t>
  </si>
  <si>
    <t>SRR13071018</t>
  </si>
  <si>
    <t>SRR13071026</t>
  </si>
  <si>
    <t>SRR13071046</t>
  </si>
  <si>
    <t>SRR13071051</t>
  </si>
  <si>
    <t>SRR13071055</t>
  </si>
  <si>
    <t>SRR13071064</t>
  </si>
  <si>
    <t>salami</t>
  </si>
  <si>
    <t>SRR13071070</t>
  </si>
  <si>
    <t>SRR13071094</t>
  </si>
  <si>
    <t>SRR13071096</t>
  </si>
  <si>
    <t>SRR13071178</t>
  </si>
  <si>
    <t>SRR13071188</t>
  </si>
  <si>
    <t>SRR13071190</t>
  </si>
  <si>
    <t>SRR13071205</t>
  </si>
  <si>
    <t>SRR13071208</t>
  </si>
  <si>
    <t>quail</t>
  </si>
  <si>
    <t>SRR13071209</t>
  </si>
  <si>
    <t>SRR13071822</t>
  </si>
  <si>
    <t>SRR13071825</t>
  </si>
  <si>
    <t>turkey</t>
  </si>
  <si>
    <t>SRR13071927</t>
  </si>
  <si>
    <t>SRR13071937</t>
  </si>
  <si>
    <t>sausage</t>
  </si>
  <si>
    <t>SRR13071938</t>
  </si>
  <si>
    <t>SRR13072295</t>
  </si>
  <si>
    <t>SRR13072336</t>
  </si>
  <si>
    <t>SRR13072554</t>
  </si>
  <si>
    <t>SRR13072598</t>
  </si>
  <si>
    <t>SRR13072604</t>
  </si>
  <si>
    <t>SRR13072632</t>
  </si>
  <si>
    <t>SRR13072765</t>
  </si>
  <si>
    <t>SRR13072770</t>
  </si>
  <si>
    <t>SRR13072771</t>
  </si>
  <si>
    <t>SRR13073489</t>
  </si>
  <si>
    <t>SRR13073504</t>
  </si>
  <si>
    <t>SRR13073505</t>
  </si>
  <si>
    <t>SRR13073626</t>
  </si>
  <si>
    <t>SRR13073629</t>
  </si>
  <si>
    <t>SRR13073679</t>
  </si>
  <si>
    <t>fish</t>
  </si>
  <si>
    <t>SRR13073683</t>
  </si>
  <si>
    <t>SRR13073687</t>
  </si>
  <si>
    <t>SRR13073989</t>
  </si>
  <si>
    <t>SRR13073998</t>
  </si>
  <si>
    <t>SRR13074038</t>
  </si>
  <si>
    <t>SRR13075196</t>
  </si>
  <si>
    <t>SRR13075275</t>
  </si>
  <si>
    <t>SRR13075293</t>
  </si>
  <si>
    <t>SRR13075296</t>
  </si>
  <si>
    <t>SRR13075484</t>
  </si>
  <si>
    <t>SRR13075492</t>
  </si>
  <si>
    <t>SRR13075512</t>
  </si>
  <si>
    <t>SRR13075517</t>
  </si>
  <si>
    <t>SRR13079665</t>
  </si>
  <si>
    <t>prawns with garlic oil</t>
  </si>
  <si>
    <t>SRR13079876</t>
  </si>
  <si>
    <t>SRR13079880</t>
  </si>
  <si>
    <t>SRR13079884</t>
  </si>
  <si>
    <t>SRR13079919</t>
  </si>
  <si>
    <t>SRR13079921</t>
  </si>
  <si>
    <t>SRR13079922</t>
  </si>
  <si>
    <t>SRR13079931</t>
  </si>
  <si>
    <t>SRR13079932</t>
  </si>
  <si>
    <t>roast venison</t>
  </si>
  <si>
    <t>SRR13079938</t>
  </si>
  <si>
    <t>SRR13080049</t>
  </si>
  <si>
    <t>parsley</t>
  </si>
  <si>
    <t>SRR13080053</t>
  </si>
  <si>
    <t>SRR13080091</t>
  </si>
  <si>
    <t>SRR13080098</t>
  </si>
  <si>
    <t>SRR13080099</t>
  </si>
  <si>
    <t>SRR13080100</t>
  </si>
  <si>
    <t>lamb</t>
  </si>
  <si>
    <t>SRR13080129</t>
  </si>
  <si>
    <t>coleslaw</t>
  </si>
  <si>
    <t>SRR13080131</t>
  </si>
  <si>
    <t>potato</t>
  </si>
  <si>
    <t>SRR13080535</t>
  </si>
  <si>
    <t>mixed meats</t>
  </si>
  <si>
    <t>SRR13087964</t>
  </si>
  <si>
    <t>SRR13088005</t>
  </si>
  <si>
    <t>SRR13088462</t>
  </si>
  <si>
    <t>SRR13090761</t>
  </si>
  <si>
    <t>SRR13090766</t>
  </si>
  <si>
    <t>SRR13093697</t>
  </si>
  <si>
    <t>SRR13093699</t>
  </si>
  <si>
    <t>SRR13093700</t>
  </si>
  <si>
    <t>SRR13093701</t>
  </si>
  <si>
    <t>SRR13116323</t>
  </si>
  <si>
    <t>SRR13153596</t>
  </si>
  <si>
    <t>SRR13153599</t>
  </si>
  <si>
    <t>SRR13153602</t>
  </si>
  <si>
    <t>SRR13153622</t>
  </si>
  <si>
    <t>SRR13160208</t>
  </si>
  <si>
    <t>turkey steak</t>
  </si>
  <si>
    <t>SRR13160213</t>
  </si>
  <si>
    <t>pork and beef</t>
  </si>
  <si>
    <t>SRR13169471</t>
  </si>
  <si>
    <t>SRR13187410</t>
  </si>
  <si>
    <t>SRR13197496</t>
  </si>
  <si>
    <t>SRR13202002</t>
  </si>
  <si>
    <t>SRR13202293</t>
  </si>
  <si>
    <t>SRR13202294</t>
  </si>
  <si>
    <t>SRR13202295</t>
  </si>
  <si>
    <t>SRR13202297</t>
  </si>
  <si>
    <t>SRR13202300</t>
  </si>
  <si>
    <t>SRR13202304</t>
  </si>
  <si>
    <t>SRR13202305</t>
  </si>
  <si>
    <t>SRR13202306</t>
  </si>
  <si>
    <t>SRR13202308</t>
  </si>
  <si>
    <t>SRR13202309</t>
  </si>
  <si>
    <t>SRR13206893</t>
  </si>
  <si>
    <t>SRR13207296</t>
  </si>
  <si>
    <t>SRR13207351</t>
  </si>
  <si>
    <t>roast pork and ham</t>
  </si>
  <si>
    <t>SRR13207356</t>
  </si>
  <si>
    <t>chicken strips</t>
  </si>
  <si>
    <t>SRR13207360</t>
  </si>
  <si>
    <t>SRR13207375</t>
  </si>
  <si>
    <t>mixed meat sausage</t>
  </si>
  <si>
    <t>SRR13207410</t>
  </si>
  <si>
    <t>SRR13207419</t>
  </si>
  <si>
    <t>fruit yogurt</t>
  </si>
  <si>
    <t>SRR13207421</t>
  </si>
  <si>
    <t>guineafowl</t>
  </si>
  <si>
    <t>SRR13207426</t>
  </si>
  <si>
    <t>SRR13220462</t>
  </si>
  <si>
    <t>SRR13224184</t>
  </si>
  <si>
    <t>SRR13243492</t>
  </si>
  <si>
    <t>SRR13243502</t>
  </si>
  <si>
    <t>SRR13248022</t>
  </si>
  <si>
    <t>SRR13248070</t>
  </si>
  <si>
    <t>SRR13253931</t>
  </si>
  <si>
    <t>SRR13260320</t>
  </si>
  <si>
    <t>SRR13271351</t>
  </si>
  <si>
    <t>SRR13276330</t>
  </si>
  <si>
    <t>SRR13276791</t>
  </si>
  <si>
    <t>SRR13295062</t>
  </si>
  <si>
    <t>plant environment</t>
  </si>
  <si>
    <t>SRR13295064</t>
  </si>
  <si>
    <t>SRR13295069</t>
  </si>
  <si>
    <t>SRR13295070</t>
  </si>
  <si>
    <t>finished food product</t>
  </si>
  <si>
    <t>SRR13295071</t>
  </si>
  <si>
    <t>SRR13295072</t>
  </si>
  <si>
    <t>SRR13295073</t>
  </si>
  <si>
    <t>SRR13295075</t>
  </si>
  <si>
    <t>SRR13295078</t>
  </si>
  <si>
    <t>SRR13295092</t>
  </si>
  <si>
    <t>SRR13295093</t>
  </si>
  <si>
    <t>SRR13295128</t>
  </si>
  <si>
    <t>SRR13295130</t>
  </si>
  <si>
    <t>SRR13295131</t>
  </si>
  <si>
    <t>raw fish</t>
  </si>
  <si>
    <t>SRR13307308</t>
  </si>
  <si>
    <t>SRR13313244</t>
  </si>
  <si>
    <t>SRR13313257</t>
  </si>
  <si>
    <t>SRR13317295</t>
  </si>
  <si>
    <t>SRR13332517</t>
  </si>
  <si>
    <t>SRR13333646</t>
  </si>
  <si>
    <t>SRR13333647</t>
  </si>
  <si>
    <t>SRR13333650</t>
  </si>
  <si>
    <t>SRR13333700</t>
  </si>
  <si>
    <t>SRR13333701</t>
  </si>
  <si>
    <t>SRR13333705</t>
  </si>
  <si>
    <t>SRR13333707</t>
  </si>
  <si>
    <t>SRR13333714</t>
  </si>
  <si>
    <t>SRR13333716</t>
  </si>
  <si>
    <t>SRR13333725</t>
  </si>
  <si>
    <t>SRR13333744</t>
  </si>
  <si>
    <t>SRR13334608</t>
  </si>
  <si>
    <t>SRR13334628</t>
  </si>
  <si>
    <t>SRR13334688</t>
  </si>
  <si>
    <t>SRR13334692</t>
  </si>
  <si>
    <t>SRR13334809</t>
  </si>
  <si>
    <t>SRR13339294</t>
  </si>
  <si>
    <t>SRR13348527</t>
  </si>
  <si>
    <t>SRR13350383</t>
  </si>
  <si>
    <t>SRR13362013</t>
  </si>
  <si>
    <t>SRR13389156</t>
  </si>
  <si>
    <t>SRR1342176</t>
  </si>
  <si>
    <t xml:space="preserve">blood </t>
  </si>
  <si>
    <t>SRR13448579</t>
  </si>
  <si>
    <t>2021</t>
  </si>
  <si>
    <t>SRR13488430</t>
  </si>
  <si>
    <t>environmental source</t>
  </si>
  <si>
    <t>SRR13488443</t>
  </si>
  <si>
    <t>SRR13498985</t>
  </si>
  <si>
    <t>SRR13521630</t>
  </si>
  <si>
    <t>food processing environment</t>
  </si>
  <si>
    <t>SRR13521632</t>
  </si>
  <si>
    <t>SRR13521680</t>
  </si>
  <si>
    <t>SRR13521681</t>
  </si>
  <si>
    <t>SRR13521718</t>
  </si>
  <si>
    <t>SRR13521790</t>
  </si>
  <si>
    <t>SRR13521793</t>
  </si>
  <si>
    <t>SRR13530609</t>
  </si>
  <si>
    <t>environmental sponges</t>
  </si>
  <si>
    <t>SRR13530610</t>
  </si>
  <si>
    <t>SRR13530851</t>
  </si>
  <si>
    <t>SRR13530940</t>
  </si>
  <si>
    <t>SRR13530982</t>
  </si>
  <si>
    <t>SRR13530985</t>
  </si>
  <si>
    <t>SRR13566035</t>
  </si>
  <si>
    <t>SRR1373571</t>
  </si>
  <si>
    <t>hot link sausage</t>
  </si>
  <si>
    <t>SRR1373576</t>
  </si>
  <si>
    <t>SRR1373593</t>
  </si>
  <si>
    <t>mild souse</t>
  </si>
  <si>
    <t>SRR1373595</t>
  </si>
  <si>
    <t>pork liver pate</t>
  </si>
  <si>
    <t>SRR1373603</t>
  </si>
  <si>
    <t>environmental: food-contact surface</t>
  </si>
  <si>
    <t>SRR1373604</t>
  </si>
  <si>
    <t>beef frankfurter</t>
  </si>
  <si>
    <t>SRR1373605</t>
  </si>
  <si>
    <t>SRR1373616</t>
  </si>
  <si>
    <t>smoked chicken salad</t>
  </si>
  <si>
    <t>SRR1373617</t>
  </si>
  <si>
    <t>SRR1373618</t>
  </si>
  <si>
    <t>environmental swab of plastic pallet</t>
  </si>
  <si>
    <t>SRR1373619</t>
  </si>
  <si>
    <t>SRR1378350</t>
  </si>
  <si>
    <t>frozen green chili pepper</t>
  </si>
  <si>
    <t>SRR1378355</t>
  </si>
  <si>
    <t>green sea urchin roe</t>
  </si>
  <si>
    <t>SRR1378356</t>
  </si>
  <si>
    <t>SRR1378357</t>
  </si>
  <si>
    <t>prepared airline meal</t>
  </si>
  <si>
    <t>SRR13887967</t>
  </si>
  <si>
    <t>SRR13889047</t>
  </si>
  <si>
    <t>Floor Drain</t>
  </si>
  <si>
    <t>SRR13889048</t>
  </si>
  <si>
    <t>SRR1391282</t>
  </si>
  <si>
    <t>SRR13927485</t>
  </si>
  <si>
    <t>food processing environment chiller rework drain</t>
  </si>
  <si>
    <t>SRR13927493</t>
  </si>
  <si>
    <t>SRR13927502</t>
  </si>
  <si>
    <t>SRR13927511</t>
  </si>
  <si>
    <t>SRR13927534</t>
  </si>
  <si>
    <t>food processing environment boots</t>
  </si>
  <si>
    <t>SRR13927541</t>
  </si>
  <si>
    <t>food processing environment drain</t>
  </si>
  <si>
    <t>SRR13927545</t>
  </si>
  <si>
    <t>food processing environment floor drain</t>
  </si>
  <si>
    <t>SRR13927619</t>
  </si>
  <si>
    <t>food processing environment live hang sink</t>
  </si>
  <si>
    <t>SRR13927622</t>
  </si>
  <si>
    <t>food processing environment raw product</t>
  </si>
  <si>
    <t>SRR13927623</t>
  </si>
  <si>
    <t>SRR13927633</t>
  </si>
  <si>
    <t>food processing environment drain sample</t>
  </si>
  <si>
    <t>SRR13927635</t>
  </si>
  <si>
    <t>SRR13927637</t>
  </si>
  <si>
    <t>food processing environment drains</t>
  </si>
  <si>
    <t>SRR13927640</t>
  </si>
  <si>
    <t>food processing environment roast drain</t>
  </si>
  <si>
    <t>SRR13927659</t>
  </si>
  <si>
    <t>SRR13927662</t>
  </si>
  <si>
    <t>SRR1393998</t>
  </si>
  <si>
    <t>SRR1394028</t>
  </si>
  <si>
    <t>SRR1394029</t>
  </si>
  <si>
    <t>SRR1395305</t>
  </si>
  <si>
    <t>SRR1395309</t>
  </si>
  <si>
    <t>SRR1395317</t>
  </si>
  <si>
    <t>SRR1395318</t>
  </si>
  <si>
    <t>SRR13965567</t>
  </si>
  <si>
    <t>SRR14038706</t>
  </si>
  <si>
    <t>SRR14038785</t>
  </si>
  <si>
    <t>SRR14038834</t>
  </si>
  <si>
    <t>SRR14038850</t>
  </si>
  <si>
    <t>SRR14038851</t>
  </si>
  <si>
    <t>SRR14038877</t>
  </si>
  <si>
    <t>SRR14038878</t>
  </si>
  <si>
    <t>SRR14038880</t>
  </si>
  <si>
    <t>SRR14038943</t>
  </si>
  <si>
    <t>SRR14038944</t>
  </si>
  <si>
    <t>SRR14038946</t>
  </si>
  <si>
    <t>SRR14086926</t>
  </si>
  <si>
    <t>SRR14087019</t>
  </si>
  <si>
    <t>raw pet food (chicken patties)</t>
  </si>
  <si>
    <t>SRR14094602</t>
  </si>
  <si>
    <t>SRR14094656</t>
  </si>
  <si>
    <t>SRR14097333</t>
  </si>
  <si>
    <t>SRR1411128</t>
  </si>
  <si>
    <t>SRR1411141</t>
  </si>
  <si>
    <t>beef blend dog food</t>
  </si>
  <si>
    <t>SRR1411142</t>
  </si>
  <si>
    <t>SRR1411182</t>
  </si>
  <si>
    <t>animal feed</t>
  </si>
  <si>
    <t>SRR1411183</t>
  </si>
  <si>
    <t>SRR14127785</t>
  </si>
  <si>
    <t>frozen pork bulk patties pet food</t>
  </si>
  <si>
    <t>SRR14127798</t>
  </si>
  <si>
    <t>pasteurized soft cheese mexican style</t>
  </si>
  <si>
    <t>SRR14127864</t>
  </si>
  <si>
    <t>SRR14128157</t>
  </si>
  <si>
    <t>SRR14128158</t>
  </si>
  <si>
    <t>snow crab</t>
  </si>
  <si>
    <t>SRR14134491</t>
  </si>
  <si>
    <t>SRR14134514</t>
  </si>
  <si>
    <t>SRR14134518</t>
  </si>
  <si>
    <t>SRR14134519</t>
  </si>
  <si>
    <t>SRR14134520</t>
  </si>
  <si>
    <t>SRR14134521</t>
  </si>
  <si>
    <t>SRR14134746</t>
  </si>
  <si>
    <t>Thailand</t>
  </si>
  <si>
    <t>Sushi</t>
  </si>
  <si>
    <t>SRR14134748</t>
  </si>
  <si>
    <t>SRR14134749</t>
  </si>
  <si>
    <t>SRR14136837</t>
  </si>
  <si>
    <t>SRR14136851</t>
  </si>
  <si>
    <t>SRR14137755</t>
  </si>
  <si>
    <t>SRR14137757</t>
  </si>
  <si>
    <t>SRR14139744</t>
  </si>
  <si>
    <t>SRR14139745</t>
  </si>
  <si>
    <t>SRR14139746</t>
  </si>
  <si>
    <t>SRR14139751</t>
  </si>
  <si>
    <t>SRR14139984</t>
  </si>
  <si>
    <t>SRR14139985</t>
  </si>
  <si>
    <t>SRR14139988</t>
  </si>
  <si>
    <t>SRR14139992</t>
  </si>
  <si>
    <t>SRR14142117</t>
  </si>
  <si>
    <t>SRR14199595</t>
  </si>
  <si>
    <t>Retail_67</t>
  </si>
  <si>
    <t>SRR14199598</t>
  </si>
  <si>
    <t>Retail_61</t>
  </si>
  <si>
    <t>SRR14199607</t>
  </si>
  <si>
    <t>Butchery_36</t>
  </si>
  <si>
    <t>SRR14199610</t>
  </si>
  <si>
    <t>Retail_49</t>
  </si>
  <si>
    <t>SRR14199612</t>
  </si>
  <si>
    <t>Abattoir_4</t>
  </si>
  <si>
    <t>SRR14199615</t>
  </si>
  <si>
    <t>Retail_45</t>
  </si>
  <si>
    <t>SRR14199619</t>
  </si>
  <si>
    <t>Retail_41</t>
  </si>
  <si>
    <t>SRR14199622</t>
  </si>
  <si>
    <t>Retail_5</t>
  </si>
  <si>
    <t>SRR14199623</t>
  </si>
  <si>
    <t>Retail_37</t>
  </si>
  <si>
    <t>SRR14199627</t>
  </si>
  <si>
    <t>Butchery_22</t>
  </si>
  <si>
    <t>SRR14199629</t>
  </si>
  <si>
    <t>Butchery_21</t>
  </si>
  <si>
    <t>SRR14199630</t>
  </si>
  <si>
    <t>Retail_33</t>
  </si>
  <si>
    <t>SRR14199631</t>
  </si>
  <si>
    <t>Retail_31</t>
  </si>
  <si>
    <t>SRR14199632</t>
  </si>
  <si>
    <t>Retail_29</t>
  </si>
  <si>
    <t>SRR14199634</t>
  </si>
  <si>
    <t>Retail_27</t>
  </si>
  <si>
    <t>SRR14199636</t>
  </si>
  <si>
    <t>Butchery_18</t>
  </si>
  <si>
    <t>SRR14199639</t>
  </si>
  <si>
    <t>Retail_21</t>
  </si>
  <si>
    <t>SRR14199640</t>
  </si>
  <si>
    <t>Retail_19</t>
  </si>
  <si>
    <t>SRR14199641</t>
  </si>
  <si>
    <t>Retail_17</t>
  </si>
  <si>
    <t>SRR14199648</t>
  </si>
  <si>
    <t>Coldstore_1</t>
  </si>
  <si>
    <t>SRR14199650</t>
  </si>
  <si>
    <t>Butchery_107</t>
  </si>
  <si>
    <t>SRR14199653</t>
  </si>
  <si>
    <t>Butchery_103</t>
  </si>
  <si>
    <t>SRR14199654</t>
  </si>
  <si>
    <t>Butchery_101</t>
  </si>
  <si>
    <t>SRR14199655</t>
  </si>
  <si>
    <t>Retail_137</t>
  </si>
  <si>
    <t>SRR14199656</t>
  </si>
  <si>
    <t>Retail_135</t>
  </si>
  <si>
    <t>SRR14199659</t>
  </si>
  <si>
    <t>Butchery_97</t>
  </si>
  <si>
    <t>SRR14199663</t>
  </si>
  <si>
    <t>Butchery_91</t>
  </si>
  <si>
    <t>SRR14199664</t>
  </si>
  <si>
    <t>Butchery_89</t>
  </si>
  <si>
    <t>SRR14199669</t>
  </si>
  <si>
    <t>Butchery_79</t>
  </si>
  <si>
    <t>SRR14199670</t>
  </si>
  <si>
    <t>Butchery_77</t>
  </si>
  <si>
    <t>SRR14199672</t>
  </si>
  <si>
    <t>Butchery_75</t>
  </si>
  <si>
    <t>SRR14199673</t>
  </si>
  <si>
    <t>Retail_145</t>
  </si>
  <si>
    <t>SRR14199674</t>
  </si>
  <si>
    <t>Retail_143</t>
  </si>
  <si>
    <t>SRR14199676</t>
  </si>
  <si>
    <t>Retail_139</t>
  </si>
  <si>
    <t>SRR14199677</t>
  </si>
  <si>
    <t>SRR14199680</t>
  </si>
  <si>
    <t>Retail_131</t>
  </si>
  <si>
    <t>SRR14199681</t>
  </si>
  <si>
    <t>Retail_129</t>
  </si>
  <si>
    <t>SRR14199682</t>
  </si>
  <si>
    <t>Retail_13</t>
  </si>
  <si>
    <t>SRR14199683</t>
  </si>
  <si>
    <t>Butchery_72</t>
  </si>
  <si>
    <t>SRR14199684</t>
  </si>
  <si>
    <t>Retail_126</t>
  </si>
  <si>
    <t>SRR14199686</t>
  </si>
  <si>
    <t>Retail_122</t>
  </si>
  <si>
    <t>SRR14199692</t>
  </si>
  <si>
    <t>Butchery_64</t>
  </si>
  <si>
    <t>SRR14199694</t>
  </si>
  <si>
    <t>Butchery_62</t>
  </si>
  <si>
    <t>SRR14199695</t>
  </si>
  <si>
    <t>Retail_116</t>
  </si>
  <si>
    <t>SRR14199697</t>
  </si>
  <si>
    <t>Retail_112</t>
  </si>
  <si>
    <t>SRR14199699</t>
  </si>
  <si>
    <t>Butchery_60</t>
  </si>
  <si>
    <t>SRR14199701</t>
  </si>
  <si>
    <t>Butchery_56</t>
  </si>
  <si>
    <t>SRR14199702</t>
  </si>
  <si>
    <t>Retail_105</t>
  </si>
  <si>
    <t>SRR14199704</t>
  </si>
  <si>
    <t>Butchery_54</t>
  </si>
  <si>
    <t>SRR14199705</t>
  </si>
  <si>
    <t>Retail_101</t>
  </si>
  <si>
    <t>SRR14199706</t>
  </si>
  <si>
    <t>Retail_99</t>
  </si>
  <si>
    <t>SRR14199707</t>
  </si>
  <si>
    <t>Retail_97</t>
  </si>
  <si>
    <t>SRR14199714</t>
  </si>
  <si>
    <t>Butchery_7</t>
  </si>
  <si>
    <t>SRR14199725</t>
  </si>
  <si>
    <t>Butchery_5</t>
  </si>
  <si>
    <t>SRR14199731</t>
  </si>
  <si>
    <t>Butchery_9</t>
  </si>
  <si>
    <t>SRR14199732</t>
  </si>
  <si>
    <t>Butchery_1</t>
  </si>
  <si>
    <t>SRR14199733</t>
  </si>
  <si>
    <t>Abattoir_1</t>
  </si>
  <si>
    <t>SRR14200614</t>
  </si>
  <si>
    <t>SRR14200634</t>
  </si>
  <si>
    <t>SRR14200689</t>
  </si>
  <si>
    <t>SRR14200698</t>
  </si>
  <si>
    <t>SRR14200705</t>
  </si>
  <si>
    <t>SRR14200708</t>
  </si>
  <si>
    <t>SRR14200725</t>
  </si>
  <si>
    <t>SRR14200742</t>
  </si>
  <si>
    <t>SRR14200749</t>
  </si>
  <si>
    <t>SRR14200752</t>
  </si>
  <si>
    <t>SRR14200873</t>
  </si>
  <si>
    <t>SRR14204194</t>
  </si>
  <si>
    <t>SRR14244504</t>
  </si>
  <si>
    <t>SRR14275814</t>
  </si>
  <si>
    <t>evaporated milk</t>
  </si>
  <si>
    <t>SRR14275834</t>
  </si>
  <si>
    <t>SRR14295756</t>
  </si>
  <si>
    <t>SRR14295757</t>
  </si>
  <si>
    <t>SRR14295759</t>
  </si>
  <si>
    <t>SRR14295761</t>
  </si>
  <si>
    <t>SRR14295762</t>
  </si>
  <si>
    <t>SRR14295763</t>
  </si>
  <si>
    <t>SRR14295764</t>
  </si>
  <si>
    <t>SRR14295766</t>
  </si>
  <si>
    <t>SRR14295767</t>
  </si>
  <si>
    <t>SRR14295772</t>
  </si>
  <si>
    <t>SRR14300130</t>
  </si>
  <si>
    <t>SRR14300149</t>
  </si>
  <si>
    <t>SRR14304922</t>
  </si>
  <si>
    <t>sandwhich (deli sub)</t>
  </si>
  <si>
    <t>SRR14306307</t>
  </si>
  <si>
    <t>SRR1448844</t>
  </si>
  <si>
    <t>smoked pork garlic sausage</t>
  </si>
  <si>
    <t>SRR1448845</t>
  </si>
  <si>
    <t>SRR1448868</t>
  </si>
  <si>
    <t>SRR1448876</t>
  </si>
  <si>
    <t>musubi</t>
  </si>
  <si>
    <t>SRR1448926</t>
  </si>
  <si>
    <t>honey mustard wrap</t>
  </si>
  <si>
    <t>SRR1448933</t>
  </si>
  <si>
    <t>fully cooked meatball homestyle</t>
  </si>
  <si>
    <t>SRR1449223</t>
  </si>
  <si>
    <t>SRR1449224</t>
  </si>
  <si>
    <t>SRR1449227</t>
  </si>
  <si>
    <t>SRR1449228</t>
  </si>
  <si>
    <t>SRR1449232</t>
  </si>
  <si>
    <t>precooked bacon topping</t>
  </si>
  <si>
    <t>SRR1449233</t>
  </si>
  <si>
    <t>ham green onion cheese spread</t>
  </si>
  <si>
    <t>SRR1449234</t>
  </si>
  <si>
    <t>SRR1451243</t>
  </si>
  <si>
    <t>SRR1451245</t>
  </si>
  <si>
    <t>Environmental Isolate, sponge swab</t>
  </si>
  <si>
    <t>SRR1451246</t>
  </si>
  <si>
    <t>SRR1451248</t>
  </si>
  <si>
    <t>SRR1451255</t>
  </si>
  <si>
    <t>SRR1451266</t>
  </si>
  <si>
    <t>SRR1451267</t>
  </si>
  <si>
    <t>SRR1463369</t>
  </si>
  <si>
    <t>SRR1463370</t>
  </si>
  <si>
    <t>SRR1463372</t>
  </si>
  <si>
    <t>SRR1481645,SRR1481646</t>
  </si>
  <si>
    <t>pet food</t>
  </si>
  <si>
    <t>SRR1481699,SRR1566194</t>
  </si>
  <si>
    <t>spinal fluid</t>
  </si>
  <si>
    <t>SRR1482376</t>
  </si>
  <si>
    <t>hand truck in production</t>
  </si>
  <si>
    <t>SRR1482380</t>
  </si>
  <si>
    <t>pancake and sausage</t>
  </si>
  <si>
    <t>SRR1482394</t>
  </si>
  <si>
    <t>straw broom in slicer room</t>
  </si>
  <si>
    <t>SRR1482395</t>
  </si>
  <si>
    <t>floor drain near table with hobart slicers</t>
  </si>
  <si>
    <t>SRR1502835</t>
  </si>
  <si>
    <t>egg sausage cheese burrito</t>
  </si>
  <si>
    <t>SRR1502836</t>
  </si>
  <si>
    <t>SRR1502837</t>
  </si>
  <si>
    <t>SRR1502838</t>
  </si>
  <si>
    <t>SRR1502839</t>
  </si>
  <si>
    <t>sandwich spread</t>
  </si>
  <si>
    <t>SRR1502842</t>
  </si>
  <si>
    <t>SRR1502843</t>
  </si>
  <si>
    <t>SRR1502846</t>
  </si>
  <si>
    <t>oven roasted diced chicken breast</t>
  </si>
  <si>
    <t>SRR1505000</t>
  </si>
  <si>
    <t>SRR1505001</t>
  </si>
  <si>
    <t>SRR1505003</t>
  </si>
  <si>
    <t>SRR1505007</t>
  </si>
  <si>
    <t>SRR1505014</t>
  </si>
  <si>
    <t>SRR1505015</t>
  </si>
  <si>
    <t>SRR1505019</t>
  </si>
  <si>
    <t>SRR1505022</t>
  </si>
  <si>
    <t>SRR1505023</t>
  </si>
  <si>
    <t>SRR1505024</t>
  </si>
  <si>
    <t>SRR1505027</t>
  </si>
  <si>
    <t>SRR1505032</t>
  </si>
  <si>
    <t>SRR1505034</t>
  </si>
  <si>
    <t>SRR1505035</t>
  </si>
  <si>
    <t>SRR1505036</t>
  </si>
  <si>
    <t>SRR1505040</t>
  </si>
  <si>
    <t>SRR1505041</t>
  </si>
  <si>
    <t>SRR1505045</t>
  </si>
  <si>
    <t>SRR1505046</t>
  </si>
  <si>
    <t>SRR1505047</t>
  </si>
  <si>
    <t>SRR1505049</t>
  </si>
  <si>
    <t>SRR1505050</t>
  </si>
  <si>
    <t>SRR1505052</t>
  </si>
  <si>
    <t>SRR1505053</t>
  </si>
  <si>
    <t>SRR1505057</t>
  </si>
  <si>
    <t>SRR1505059</t>
  </si>
  <si>
    <t>SRR1505060</t>
  </si>
  <si>
    <t>SRR1505061</t>
  </si>
  <si>
    <t>smoked salmon cream cheese base</t>
  </si>
  <si>
    <t>SRR1505067</t>
  </si>
  <si>
    <t>SRR1505068</t>
  </si>
  <si>
    <t>SRR1505069</t>
  </si>
  <si>
    <t>SRR1505079</t>
  </si>
  <si>
    <t>SRR1505083</t>
  </si>
  <si>
    <t>SRR1505089</t>
  </si>
  <si>
    <t>SRR1509569</t>
  </si>
  <si>
    <t>SRR1509578,SRR1544313</t>
  </si>
  <si>
    <t>SRR1509587</t>
  </si>
  <si>
    <t>honey battered tenders</t>
  </si>
  <si>
    <t>SRR1509592</t>
  </si>
  <si>
    <t>SRR1509603</t>
  </si>
  <si>
    <t>SRR1509604</t>
  </si>
  <si>
    <t>SRR1509606</t>
  </si>
  <si>
    <t>SRR1509610</t>
  </si>
  <si>
    <t>SRR1509611</t>
  </si>
  <si>
    <t>SRR1509615,SRR1101452</t>
  </si>
  <si>
    <t>SRR1509619</t>
  </si>
  <si>
    <t>SRR1509631,SRR1544366</t>
  </si>
  <si>
    <t>SRR1509637</t>
  </si>
  <si>
    <t>SRR1509667</t>
  </si>
  <si>
    <t>jonah crab meat</t>
  </si>
  <si>
    <t>SRR1509668</t>
  </si>
  <si>
    <t>crab meat fresh</t>
  </si>
  <si>
    <t>SRR1509671</t>
  </si>
  <si>
    <t>environmental-floor</t>
  </si>
  <si>
    <t>SRR1509785</t>
  </si>
  <si>
    <t>environmental swab from floor/wall line molding</t>
  </si>
  <si>
    <t>SRR1520048</t>
  </si>
  <si>
    <t>pie</t>
  </si>
  <si>
    <t>SRR1520052</t>
  </si>
  <si>
    <t>SRR1520073</t>
  </si>
  <si>
    <t>SRR1522101,SRR3986219</t>
  </si>
  <si>
    <t>egg white salad w/ chives</t>
  </si>
  <si>
    <t>SRR1531043</t>
  </si>
  <si>
    <t>SRR1534852</t>
  </si>
  <si>
    <t>skinless little link sausage</t>
  </si>
  <si>
    <t>SRR1534971</t>
  </si>
  <si>
    <t>SRR1534977</t>
  </si>
  <si>
    <t>SRR1535711,SRR3133025</t>
  </si>
  <si>
    <t>environmental spongesticks</t>
  </si>
  <si>
    <t>SRR1536774</t>
  </si>
  <si>
    <t>bin wheel</t>
  </si>
  <si>
    <t>SRR1536775</t>
  </si>
  <si>
    <t>metal hand truck</t>
  </si>
  <si>
    <t>SRR1536778</t>
  </si>
  <si>
    <t>chipped concrete floor</t>
  </si>
  <si>
    <t>SRR1536780</t>
  </si>
  <si>
    <t>SRR1536783</t>
  </si>
  <si>
    <t>concrete floor seam</t>
  </si>
  <si>
    <t>SRR1536784</t>
  </si>
  <si>
    <t>squeegie</t>
  </si>
  <si>
    <t>SRR1544157</t>
  </si>
  <si>
    <t>SRR1544180,SRR1509620</t>
  </si>
  <si>
    <t>SRR1544193</t>
  </si>
  <si>
    <t>smoked italian bison and beef</t>
  </si>
  <si>
    <t>SRR1544196</t>
  </si>
  <si>
    <t>bologna</t>
  </si>
  <si>
    <t>SRR1544204</t>
  </si>
  <si>
    <t>SRR1544233</t>
  </si>
  <si>
    <t>SRR1544300</t>
  </si>
  <si>
    <t>ham green onion cheese salad</t>
  </si>
  <si>
    <t>SRR1544365</t>
  </si>
  <si>
    <t>SRR1544373</t>
  </si>
  <si>
    <t>SRR1544374</t>
  </si>
  <si>
    <t>spinach</t>
  </si>
  <si>
    <t>SRR1544398,SRR1170891</t>
  </si>
  <si>
    <t>SRR1544403,SRR1265011</t>
  </si>
  <si>
    <t>SRR1544404</t>
  </si>
  <si>
    <t>SRR1544412,SRR1265018</t>
  </si>
  <si>
    <t>SRR1544417</t>
  </si>
  <si>
    <t>SRR1544430,SRR1265017</t>
  </si>
  <si>
    <t>SRR1554252</t>
  </si>
  <si>
    <t>SRR1554253</t>
  </si>
  <si>
    <t>SRR1554254</t>
  </si>
  <si>
    <t>skinless hot dog</t>
  </si>
  <si>
    <t>SRR1554255</t>
  </si>
  <si>
    <t>SRR1554257</t>
  </si>
  <si>
    <t>SRR1554258</t>
  </si>
  <si>
    <t>pork sausage jambalaya</t>
  </si>
  <si>
    <t>SRR1554261</t>
  </si>
  <si>
    <t>cha chien vietnamese sausage</t>
  </si>
  <si>
    <t>SRR1554262</t>
  </si>
  <si>
    <t>SRR1554263</t>
  </si>
  <si>
    <t>SRR1554264</t>
  </si>
  <si>
    <t>SRR1554265</t>
  </si>
  <si>
    <t>chorizo smoked cuban sausage</t>
  </si>
  <si>
    <t>SRR1554266</t>
  </si>
  <si>
    <t>pork barbeque</t>
  </si>
  <si>
    <t>SRR1554267</t>
  </si>
  <si>
    <t>SRR1555352</t>
  </si>
  <si>
    <t>Conveyor</t>
  </si>
  <si>
    <t>SRR1555353</t>
  </si>
  <si>
    <t>floor seam in cooler</t>
  </si>
  <si>
    <t>SRR1555354</t>
  </si>
  <si>
    <t>baseboard</t>
  </si>
  <si>
    <t>SRR1555360</t>
  </si>
  <si>
    <t>plastic pellet in cooler</t>
  </si>
  <si>
    <t>SRR1556948</t>
  </si>
  <si>
    <t>icing area</t>
  </si>
  <si>
    <t>SRR1556966</t>
  </si>
  <si>
    <t>wheels of cart</t>
  </si>
  <si>
    <t>SRR1556972</t>
  </si>
  <si>
    <t>water</t>
  </si>
  <si>
    <t>SRR1556981</t>
  </si>
  <si>
    <t>door assembly</t>
  </si>
  <si>
    <t>SRR1556984</t>
  </si>
  <si>
    <t>SRR1556989</t>
  </si>
  <si>
    <t>SRR1556990</t>
  </si>
  <si>
    <t>wheels of trough</t>
  </si>
  <si>
    <t>SRR1556991</t>
  </si>
  <si>
    <t>SRR1556998</t>
  </si>
  <si>
    <t>SRR1557004</t>
  </si>
  <si>
    <t>pallet &amp;amp; floor</t>
  </si>
  <si>
    <t>SRR1562100</t>
  </si>
  <si>
    <t>SRR1562105</t>
  </si>
  <si>
    <t>SRR1562106</t>
  </si>
  <si>
    <t>SRR1562128</t>
  </si>
  <si>
    <t>SRR1562145</t>
  </si>
  <si>
    <t>SRR1562161</t>
  </si>
  <si>
    <t>SRR1566201</t>
  </si>
  <si>
    <t>yellow lake perch fish</t>
  </si>
  <si>
    <t>SRR1566205</t>
  </si>
  <si>
    <t>mexican style soft cheese</t>
  </si>
  <si>
    <t>SRR1569793</t>
  </si>
  <si>
    <t>ready to eat sliced cooked ham</t>
  </si>
  <si>
    <t>SRR1569794</t>
  </si>
  <si>
    <t>SRR1569799</t>
  </si>
  <si>
    <t>ready to eat sliced hog head cheese</t>
  </si>
  <si>
    <t>SRR1569801</t>
  </si>
  <si>
    <t>SRR1575055</t>
  </si>
  <si>
    <t>Environmental-Waffle packaging stone under belt</t>
  </si>
  <si>
    <t>SRR1575056</t>
  </si>
  <si>
    <t>Environmental-Slurry room crack in floor</t>
  </si>
  <si>
    <t>SRR1575057</t>
  </si>
  <si>
    <t>SRR1576024</t>
  </si>
  <si>
    <t>avocado</t>
  </si>
  <si>
    <t>SRR1586548</t>
  </si>
  <si>
    <t>carrot stick</t>
  </si>
  <si>
    <t>SRR1597471</t>
  </si>
  <si>
    <t>meat, beef</t>
  </si>
  <si>
    <t>SRR1597476</t>
  </si>
  <si>
    <t>SRR1597486</t>
  </si>
  <si>
    <t>SRR1598795</t>
  </si>
  <si>
    <t>SRR1598796</t>
  </si>
  <si>
    <t>SRR1598798</t>
  </si>
  <si>
    <t>SRR1598800</t>
  </si>
  <si>
    <t>SRR1598801</t>
  </si>
  <si>
    <t>SRR1598802</t>
  </si>
  <si>
    <t>SRR1598804</t>
  </si>
  <si>
    <t>ready to eat turkey wrap</t>
  </si>
  <si>
    <t>SRR1598805</t>
  </si>
  <si>
    <t>SRR1598806</t>
  </si>
  <si>
    <t>sliced red pastrami</t>
  </si>
  <si>
    <t>SRR1605028</t>
  </si>
  <si>
    <t>SRR1605034</t>
  </si>
  <si>
    <t>retail meat</t>
  </si>
  <si>
    <t>SRR1605036</t>
  </si>
  <si>
    <t>SRR1607294</t>
  </si>
  <si>
    <t>SRR1607295</t>
  </si>
  <si>
    <t>SRR1609995</t>
  </si>
  <si>
    <t>frozen broccoli</t>
  </si>
  <si>
    <t>SRR1609998</t>
  </si>
  <si>
    <t>frozen crinkle cut carrot</t>
  </si>
  <si>
    <t>SRR1610004</t>
  </si>
  <si>
    <t>rotini with vegetable</t>
  </si>
  <si>
    <t>SRR1610006</t>
  </si>
  <si>
    <t>SRR1610007</t>
  </si>
  <si>
    <t>white cheese</t>
  </si>
  <si>
    <t>SRR1610010</t>
  </si>
  <si>
    <t>SRR1610012</t>
  </si>
  <si>
    <t>SRR1610013</t>
  </si>
  <si>
    <t>SRR1610014</t>
  </si>
  <si>
    <t>SRR1610016</t>
  </si>
  <si>
    <t>SRR1610017</t>
  </si>
  <si>
    <t>SRR1610024</t>
  </si>
  <si>
    <t>SRR1612310</t>
  </si>
  <si>
    <t>SRR1612317</t>
  </si>
  <si>
    <t>SRR1612318</t>
  </si>
  <si>
    <t>SRR1612325</t>
  </si>
  <si>
    <t>SRR1612342</t>
  </si>
  <si>
    <t>SRR1612349</t>
  </si>
  <si>
    <t>SRR1612350</t>
  </si>
  <si>
    <t>SRR1619166</t>
  </si>
  <si>
    <t>SRR1619190</t>
  </si>
  <si>
    <t>SRR1619192</t>
  </si>
  <si>
    <t>SRR1619194</t>
  </si>
  <si>
    <t>SRR1619199</t>
  </si>
  <si>
    <t>SRR1619221</t>
  </si>
  <si>
    <t>wound</t>
  </si>
  <si>
    <t>SRR1619234</t>
  </si>
  <si>
    <t>SRR1622983</t>
  </si>
  <si>
    <t>SRR1623020</t>
  </si>
  <si>
    <t>SRR1623038</t>
  </si>
  <si>
    <t>SRR1635204</t>
  </si>
  <si>
    <t>SRR1636583</t>
  </si>
  <si>
    <t>smoked fish</t>
  </si>
  <si>
    <t>SRR1640039</t>
  </si>
  <si>
    <t>SRR1640043</t>
  </si>
  <si>
    <t>SRR1640166</t>
  </si>
  <si>
    <t>SRR1640197</t>
  </si>
  <si>
    <t>SRR1649444</t>
  </si>
  <si>
    <t>SRR1649524</t>
  </si>
  <si>
    <t>SRR1649525</t>
  </si>
  <si>
    <t>SRR1649526</t>
  </si>
  <si>
    <t>SRR1649530</t>
  </si>
  <si>
    <t>SRR1649531</t>
  </si>
  <si>
    <t>SRR1649532</t>
  </si>
  <si>
    <t>SRR1649535</t>
  </si>
  <si>
    <t>SRR1649541</t>
  </si>
  <si>
    <t>SRR1649546</t>
  </si>
  <si>
    <t>SRR1649551</t>
  </si>
  <si>
    <t>SRR1649558</t>
  </si>
  <si>
    <t>SRR1649559</t>
  </si>
  <si>
    <t>SRR1653377</t>
  </si>
  <si>
    <t>SRR1654951</t>
  </si>
  <si>
    <t>SRR1654953</t>
  </si>
  <si>
    <t>SRR1654954</t>
  </si>
  <si>
    <t>SRR1654957</t>
  </si>
  <si>
    <t>SRR1654958</t>
  </si>
  <si>
    <t>raw meat</t>
  </si>
  <si>
    <t>SRR1654986</t>
  </si>
  <si>
    <t>SRR1656972</t>
  </si>
  <si>
    <t>minced meat cevapcici</t>
  </si>
  <si>
    <t>SRR1656979</t>
  </si>
  <si>
    <t>bovine meat</t>
  </si>
  <si>
    <t>SRR1656981</t>
  </si>
  <si>
    <t>SRR1656992</t>
  </si>
  <si>
    <t>SRR1656993</t>
  </si>
  <si>
    <t>SRR1656994</t>
  </si>
  <si>
    <t>SRR1657596</t>
  </si>
  <si>
    <t>SRR1657608</t>
  </si>
  <si>
    <t>SRR1664369</t>
  </si>
  <si>
    <t>fresh chopped clam</t>
  </si>
  <si>
    <t>SRR1664791</t>
  </si>
  <si>
    <t>rte product: scramble bowl w/ sausage links</t>
  </si>
  <si>
    <t>SRR1664792</t>
  </si>
  <si>
    <t>non-food-contact surface</t>
  </si>
  <si>
    <t>SRR1664793</t>
  </si>
  <si>
    <t>food contact surface</t>
  </si>
  <si>
    <t>SRR1664794</t>
  </si>
  <si>
    <t>SRR1664797</t>
  </si>
  <si>
    <t>rte product:chistora</t>
  </si>
  <si>
    <t>SRR1664799</t>
  </si>
  <si>
    <t>SRR1664804</t>
  </si>
  <si>
    <t>sliced sausage</t>
  </si>
  <si>
    <t>SRR1664809</t>
  </si>
  <si>
    <t>ready to eat ham sliced</t>
  </si>
  <si>
    <t>SRR1664810</t>
  </si>
  <si>
    <t>SRR1664811</t>
  </si>
  <si>
    <t>SRR1685908</t>
  </si>
  <si>
    <t>SRR1685968</t>
  </si>
  <si>
    <t>SRR1685972</t>
  </si>
  <si>
    <t>SRR1685978</t>
  </si>
  <si>
    <t>SRR1687219</t>
  </si>
  <si>
    <t>SRR1688445</t>
  </si>
  <si>
    <t>broom</t>
  </si>
  <si>
    <t>SRR1688446</t>
  </si>
  <si>
    <t>floor under shelving</t>
  </si>
  <si>
    <t>SRR1688449</t>
  </si>
  <si>
    <t>SRR1688450</t>
  </si>
  <si>
    <t>concrete floor channel</t>
  </si>
  <si>
    <t>SRR1688451</t>
  </si>
  <si>
    <t>floor in front of white curtain in cooler</t>
  </si>
  <si>
    <t>SRR1693273</t>
  </si>
  <si>
    <t>SRR1693284</t>
  </si>
  <si>
    <t>SRR1693297</t>
  </si>
  <si>
    <t>SRR1694041</t>
  </si>
  <si>
    <t>SRR1694064</t>
  </si>
  <si>
    <t>SRR1694080</t>
  </si>
  <si>
    <t>SRR1694084</t>
  </si>
  <si>
    <t>SRR1694088</t>
  </si>
  <si>
    <t>SRR1695794</t>
  </si>
  <si>
    <t>SRR1695815</t>
  </si>
  <si>
    <t>SRR1695828</t>
  </si>
  <si>
    <t>SRR1695841</t>
  </si>
  <si>
    <t>SRR1695847</t>
  </si>
  <si>
    <t>SRR1698187</t>
  </si>
  <si>
    <t>SRR1698199</t>
  </si>
  <si>
    <t>SRR1698201</t>
  </si>
  <si>
    <t>SRR1698203</t>
  </si>
  <si>
    <t>SRR1698220</t>
  </si>
  <si>
    <t>SRR1744002</t>
  </si>
  <si>
    <t>SRR1744017</t>
  </si>
  <si>
    <t>SRR1744018</t>
  </si>
  <si>
    <t>SRR1744043</t>
  </si>
  <si>
    <t>SRR1744046</t>
  </si>
  <si>
    <t>SRR1744053</t>
  </si>
  <si>
    <t>SRR1744057</t>
  </si>
  <si>
    <t>SRR1745446</t>
  </si>
  <si>
    <t>SRR1745456</t>
  </si>
  <si>
    <t>SRR1745476</t>
  </si>
  <si>
    <t>SRR1745483</t>
  </si>
  <si>
    <t>SRR1745484</t>
  </si>
  <si>
    <t>SRR1745539</t>
  </si>
  <si>
    <t>seam of deli case</t>
  </si>
  <si>
    <t>SRR1789030</t>
  </si>
  <si>
    <t>SRR1796109</t>
  </si>
  <si>
    <t>SRR1796124</t>
  </si>
  <si>
    <t>SRR1796134</t>
  </si>
  <si>
    <t>SRR1801540</t>
  </si>
  <si>
    <t>SRR1801541</t>
  </si>
  <si>
    <t>floor drain</t>
  </si>
  <si>
    <t>SRR1801546</t>
  </si>
  <si>
    <t>SRR1801554</t>
  </si>
  <si>
    <t>SRR1805353</t>
  </si>
  <si>
    <t>SRR1805360</t>
  </si>
  <si>
    <t>cooked sausage</t>
  </si>
  <si>
    <t>SRR1805361</t>
  </si>
  <si>
    <t>boneless ham</t>
  </si>
  <si>
    <t>SRR1805386</t>
  </si>
  <si>
    <t>CC13</t>
  </si>
  <si>
    <t>chef salad</t>
  </si>
  <si>
    <t>SRR1805392</t>
  </si>
  <si>
    <t>SRR1805402</t>
  </si>
  <si>
    <t>SRR1805409</t>
  </si>
  <si>
    <t>chicken, pork, beef franks</t>
  </si>
  <si>
    <t>SRR1805420</t>
  </si>
  <si>
    <t>SRR1805423</t>
  </si>
  <si>
    <t>SRR1805427</t>
  </si>
  <si>
    <t>chicken breast</t>
  </si>
  <si>
    <t>SRR1805432</t>
  </si>
  <si>
    <t>turkey and cooked ham</t>
  </si>
  <si>
    <t>SRR1805437</t>
  </si>
  <si>
    <t>SRR1805460</t>
  </si>
  <si>
    <t>SRR1805472</t>
  </si>
  <si>
    <t>turkey franks</t>
  </si>
  <si>
    <t>SRR1805473</t>
  </si>
  <si>
    <t>turkey pork beef hot dog</t>
  </si>
  <si>
    <t>SRR1805481</t>
  </si>
  <si>
    <t>smoked boneless turkey breast</t>
  </si>
  <si>
    <t>SRR1805508</t>
  </si>
  <si>
    <t>blue veined and mold ripened cheese</t>
  </si>
  <si>
    <t>SRR1805509</t>
  </si>
  <si>
    <t>ST648</t>
  </si>
  <si>
    <t>corn dogs</t>
  </si>
  <si>
    <t>SRR1805513</t>
  </si>
  <si>
    <t>SRR1805520</t>
  </si>
  <si>
    <t>smoked turkey breast</t>
  </si>
  <si>
    <t>SRR1805521</t>
  </si>
  <si>
    <t>buffalo style chicken wing</t>
  </si>
  <si>
    <t>SRR1805525</t>
  </si>
  <si>
    <t>isolates</t>
  </si>
  <si>
    <t>SRR1805531</t>
  </si>
  <si>
    <t>environmental isolate</t>
  </si>
  <si>
    <t>SRR1805552</t>
  </si>
  <si>
    <t>spicy cashew chicken egg roll</t>
  </si>
  <si>
    <t>SRR1805642</t>
  </si>
  <si>
    <t>SRR1810513</t>
  </si>
  <si>
    <t>SRR1810516</t>
  </si>
  <si>
    <t>SRR1810520</t>
  </si>
  <si>
    <t>SRR1810523</t>
  </si>
  <si>
    <t>SRR1810524</t>
  </si>
  <si>
    <t>SRR1810528</t>
  </si>
  <si>
    <t>SRR1810531</t>
  </si>
  <si>
    <t>SRR1810535</t>
  </si>
  <si>
    <t>SRR1810540</t>
  </si>
  <si>
    <t>SRR1810541</t>
  </si>
  <si>
    <t>SRR1810544</t>
  </si>
  <si>
    <t>SRR1810547</t>
  </si>
  <si>
    <t>SRR1810548</t>
  </si>
  <si>
    <t>SRR1810558</t>
  </si>
  <si>
    <t>SRR1810559</t>
  </si>
  <si>
    <t>SRR1810566</t>
  </si>
  <si>
    <t>SRR1810567</t>
  </si>
  <si>
    <t>SRR1810568</t>
  </si>
  <si>
    <t>SRR1810571</t>
  </si>
  <si>
    <t>SRR1810572</t>
  </si>
  <si>
    <t>SRR1812789</t>
  </si>
  <si>
    <t>SRR1812793</t>
  </si>
  <si>
    <t>ready to eat cooked sliced ham</t>
  </si>
  <si>
    <t>SRR1812802</t>
  </si>
  <si>
    <t>environmental: food-contact surface-</t>
  </si>
  <si>
    <t>SRR1812811</t>
  </si>
  <si>
    <t>ready to eat chicken caesar wrap</t>
  </si>
  <si>
    <t>SRR1812827</t>
  </si>
  <si>
    <t>environmental: non-food-contact surface-</t>
  </si>
  <si>
    <t>SRR1812846</t>
  </si>
  <si>
    <t>SRR1812873</t>
  </si>
  <si>
    <t>SRR1812880</t>
  </si>
  <si>
    <t>ready to eat hot link sausage</t>
  </si>
  <si>
    <t>SRR1814351</t>
  </si>
  <si>
    <t>SRR1814355</t>
  </si>
  <si>
    <t>SRR1814360</t>
  </si>
  <si>
    <t>SRR1814395</t>
  </si>
  <si>
    <t>SRR1814399</t>
  </si>
  <si>
    <t>hot dog</t>
  </si>
  <si>
    <t>SRR1815435</t>
  </si>
  <si>
    <t>SRR1815437</t>
  </si>
  <si>
    <t>SRR1815438</t>
  </si>
  <si>
    <t>SRR1815979</t>
  </si>
  <si>
    <t>SRR1816004</t>
  </si>
  <si>
    <t>SRR1816007</t>
  </si>
  <si>
    <t>SRR1816059</t>
  </si>
  <si>
    <t>SRR1816062</t>
  </si>
  <si>
    <t>SRR1816063</t>
  </si>
  <si>
    <t>SRR1816064</t>
  </si>
  <si>
    <t>SRR1816066</t>
  </si>
  <si>
    <t>SRR1816071</t>
  </si>
  <si>
    <t>SRR1816072</t>
  </si>
  <si>
    <t>SRR1816075</t>
  </si>
  <si>
    <t>SRR1816080</t>
  </si>
  <si>
    <t>SRR1816084</t>
  </si>
  <si>
    <t>SRR1816085</t>
  </si>
  <si>
    <t>SRR1816089</t>
  </si>
  <si>
    <t>SRR1816091</t>
  </si>
  <si>
    <t>SRR1816092</t>
  </si>
  <si>
    <t>SRR1816098</t>
  </si>
  <si>
    <t>SRR1816099</t>
  </si>
  <si>
    <t>SRR1816109</t>
  </si>
  <si>
    <t>SRR1816374</t>
  </si>
  <si>
    <t>SRR1816380</t>
  </si>
  <si>
    <t>SRR1816394</t>
  </si>
  <si>
    <t>SRR1816398</t>
  </si>
  <si>
    <t>SRR1816402</t>
  </si>
  <si>
    <t>SRR1816815</t>
  </si>
  <si>
    <t>SRR1816846</t>
  </si>
  <si>
    <t>SRR1816853</t>
  </si>
  <si>
    <t>SRR1816862</t>
  </si>
  <si>
    <t>SRR1816866</t>
  </si>
  <si>
    <t>SRR1818020</t>
  </si>
  <si>
    <t>uncured canadian bacon</t>
  </si>
  <si>
    <t>SRR1818022</t>
  </si>
  <si>
    <t>chix salad wrap</t>
  </si>
  <si>
    <t>SRR1818029</t>
  </si>
  <si>
    <t>grilled chicken breast</t>
  </si>
  <si>
    <t>SRR1818030</t>
  </si>
  <si>
    <t>chicken mini egg roll</t>
  </si>
  <si>
    <t>SRR1818042</t>
  </si>
  <si>
    <t>SRR1818059</t>
  </si>
  <si>
    <t>sorappla</t>
  </si>
  <si>
    <t>SRR1818061</t>
  </si>
  <si>
    <t>pork spring rolls (2/1/02)</t>
  </si>
  <si>
    <t>SRR1818070</t>
  </si>
  <si>
    <t>boneless country ham</t>
  </si>
  <si>
    <t>SRR1818073</t>
  </si>
  <si>
    <t>chorizo pork sausage</t>
  </si>
  <si>
    <t>SRR1818083</t>
  </si>
  <si>
    <t>chicken burrito</t>
  </si>
  <si>
    <t>SRR1818084</t>
  </si>
  <si>
    <t>sliced cooked ham manual</t>
  </si>
  <si>
    <t>SRR1818085</t>
  </si>
  <si>
    <t>fully cooked sausage patty</t>
  </si>
  <si>
    <t>SRR1818099</t>
  </si>
  <si>
    <t>barbeque bean beef</t>
  </si>
  <si>
    <t>SRR1818106</t>
  </si>
  <si>
    <t>deli salad ready to eat</t>
  </si>
  <si>
    <t>SRR1818107</t>
  </si>
  <si>
    <t>roast beef</t>
  </si>
  <si>
    <t>SRR1818111</t>
  </si>
  <si>
    <t>laboratory control strain</t>
  </si>
  <si>
    <t>SRR1818118</t>
  </si>
  <si>
    <t>SRR1821283</t>
  </si>
  <si>
    <t>salmon fillet</t>
  </si>
  <si>
    <t>SRR1825868</t>
  </si>
  <si>
    <t>beef pork frankfurter</t>
  </si>
  <si>
    <t>SRR1828988</t>
  </si>
  <si>
    <t>drain salad prep</t>
  </si>
  <si>
    <t>SRR1849331</t>
  </si>
  <si>
    <t>ready to eat product fully cooked not sliced</t>
  </si>
  <si>
    <t>SRR1849359</t>
  </si>
  <si>
    <t>ready to eat fully cooked chicken breast</t>
  </si>
  <si>
    <t>SRR1849360</t>
  </si>
  <si>
    <t>SRR1849361</t>
  </si>
  <si>
    <t>ready to eat fully cooked sliced turkey</t>
  </si>
  <si>
    <t>SRR1849364</t>
  </si>
  <si>
    <t>ready to eat fully cooked sausage beef link</t>
  </si>
  <si>
    <t>SRR1849378</t>
  </si>
  <si>
    <t>SRR1849394</t>
  </si>
  <si>
    <t>SRR1849401</t>
  </si>
  <si>
    <t>SRR1849408</t>
  </si>
  <si>
    <t>SRR1918984</t>
  </si>
  <si>
    <t>SRR1920236</t>
  </si>
  <si>
    <t>SRR1946861</t>
  </si>
  <si>
    <t>SRR1946863</t>
  </si>
  <si>
    <t>SRR1946888</t>
  </si>
  <si>
    <t>avocado pulp</t>
  </si>
  <si>
    <t>SRR1946890</t>
  </si>
  <si>
    <t>SRR1946896,SRR2102427</t>
  </si>
  <si>
    <t>SRR1946902</t>
  </si>
  <si>
    <t>wheat turkey sandwich</t>
  </si>
  <si>
    <t>SRR1946903</t>
  </si>
  <si>
    <t>SRR1946960</t>
  </si>
  <si>
    <t>SRR1946993</t>
  </si>
  <si>
    <t>wheat turkey swiss sandwich</t>
  </si>
  <si>
    <t>SRR1947017</t>
  </si>
  <si>
    <t>ham and turkey hoagie</t>
  </si>
  <si>
    <t>SRR1952940</t>
  </si>
  <si>
    <t>SRR1955474</t>
  </si>
  <si>
    <t>SRR1955475</t>
  </si>
  <si>
    <t>ready to eat cooked not sliced beef barbeque</t>
  </si>
  <si>
    <t>SRR1955476</t>
  </si>
  <si>
    <t>ready to eat fully cooked not sliced beef barbeque</t>
  </si>
  <si>
    <t>SRR1955477</t>
  </si>
  <si>
    <t>SRR1955478</t>
  </si>
  <si>
    <t>SRR1955479</t>
  </si>
  <si>
    <t>SRR1970567</t>
  </si>
  <si>
    <t>mixed fruit</t>
  </si>
  <si>
    <t>SRR1970574</t>
  </si>
  <si>
    <t>SRR1970575</t>
  </si>
  <si>
    <t>SRR1970576</t>
  </si>
  <si>
    <t>SRR1973649</t>
  </si>
  <si>
    <t>cantaloupe</t>
  </si>
  <si>
    <t>SRR1973673</t>
  </si>
  <si>
    <t>SRR1973674</t>
  </si>
  <si>
    <t>ready to eat product ham with garlic</t>
  </si>
  <si>
    <t>SRR1973675</t>
  </si>
  <si>
    <t>SRR1973724</t>
  </si>
  <si>
    <t>SRR1973810</t>
  </si>
  <si>
    <t>ready to eat cooked meat</t>
  </si>
  <si>
    <t>SRR1973827</t>
  </si>
  <si>
    <t>rte product:pastrami flat</t>
  </si>
  <si>
    <t>SRR1973837</t>
  </si>
  <si>
    <t>SRR1973856</t>
  </si>
  <si>
    <t>SRR1973871</t>
  </si>
  <si>
    <t>SRR1973884</t>
  </si>
  <si>
    <t>SRR1973890</t>
  </si>
  <si>
    <t>ready to eat boneless cooked ham</t>
  </si>
  <si>
    <t>SRR1973900</t>
  </si>
  <si>
    <t>SRR1973909</t>
  </si>
  <si>
    <t>SRR1973978</t>
  </si>
  <si>
    <t>SRR1973987</t>
  </si>
  <si>
    <t>SRR1974021</t>
  </si>
  <si>
    <t>SRR1974086</t>
  </si>
  <si>
    <t>SRR1974101</t>
  </si>
  <si>
    <t>SRR1974104</t>
  </si>
  <si>
    <t>SRR1974123</t>
  </si>
  <si>
    <t>SRR1974129</t>
  </si>
  <si>
    <t>SRR1982199</t>
  </si>
  <si>
    <t>semi soft cheese</t>
  </si>
  <si>
    <t>SRR1988188</t>
  </si>
  <si>
    <t>SRR1988190</t>
  </si>
  <si>
    <t>SRR1988222</t>
  </si>
  <si>
    <t>SRR1988261</t>
  </si>
  <si>
    <t>SRR1988269</t>
  </si>
  <si>
    <t>SRR1996155</t>
  </si>
  <si>
    <t>SRR1996260</t>
  </si>
  <si>
    <t>SRR1996271</t>
  </si>
  <si>
    <t>SRR1996273</t>
  </si>
  <si>
    <t>SRR1998944</t>
  </si>
  <si>
    <t>chicken caesar salad</t>
  </si>
  <si>
    <t>SRR1998953</t>
  </si>
  <si>
    <t>SRR1998954</t>
  </si>
  <si>
    <t>SRR1998968</t>
  </si>
  <si>
    <t>SRR1998977</t>
  </si>
  <si>
    <t>SRR2000564</t>
  </si>
  <si>
    <t>beef deli slices</t>
  </si>
  <si>
    <t>SRR2002721</t>
  </si>
  <si>
    <t>dark chocolate ice cream</t>
  </si>
  <si>
    <t>SRR2002722</t>
  </si>
  <si>
    <t>SRR2002740</t>
  </si>
  <si>
    <t>SRR2003532</t>
  </si>
  <si>
    <t>SRR2003539</t>
  </si>
  <si>
    <t>SRR2005925</t>
  </si>
  <si>
    <t>SRR2015357</t>
  </si>
  <si>
    <t>SRR2015676</t>
  </si>
  <si>
    <t>SRR2015677</t>
  </si>
  <si>
    <t>cold smoked salmon filet</t>
  </si>
  <si>
    <t>SRR2015680</t>
  </si>
  <si>
    <t>SRR2015686</t>
  </si>
  <si>
    <t>SRR2015699</t>
  </si>
  <si>
    <t>frozen iqf spinach</t>
  </si>
  <si>
    <t>SRR2026429</t>
  </si>
  <si>
    <t>SRR2026430</t>
  </si>
  <si>
    <t>SRR2026431</t>
  </si>
  <si>
    <t>SRR2026432</t>
  </si>
  <si>
    <t>SRR2026435</t>
  </si>
  <si>
    <t>SRR2026436</t>
  </si>
  <si>
    <t>SRR2026437</t>
  </si>
  <si>
    <t>SRR2026438</t>
  </si>
  <si>
    <t>SRR2029585</t>
  </si>
  <si>
    <t>SRR2029586</t>
  </si>
  <si>
    <t>SRR2029587</t>
  </si>
  <si>
    <t>SRR2029588</t>
  </si>
  <si>
    <t>SRR2029589</t>
  </si>
  <si>
    <t>SRR2029590</t>
  </si>
  <si>
    <t>SRR2029595</t>
  </si>
  <si>
    <t>SRR2029598</t>
  </si>
  <si>
    <t>SRR2029599</t>
  </si>
  <si>
    <t>SRR2029600</t>
  </si>
  <si>
    <t>SRR2029601</t>
  </si>
  <si>
    <t>SRR2029602</t>
  </si>
  <si>
    <t>SRR2029603</t>
  </si>
  <si>
    <t>SRR2029604</t>
  </si>
  <si>
    <t>SRR2029606</t>
  </si>
  <si>
    <t>SRR2029607</t>
  </si>
  <si>
    <t>SRR2029608</t>
  </si>
  <si>
    <t>SRR2037220</t>
  </si>
  <si>
    <t>SRR2040689</t>
  </si>
  <si>
    <t>SRR2046982</t>
  </si>
  <si>
    <t>Environmental-Inside of floor drain by cabbage flume</t>
  </si>
  <si>
    <t>SRR2046986</t>
  </si>
  <si>
    <t>SRR2047259</t>
  </si>
  <si>
    <t>SRR2047261</t>
  </si>
  <si>
    <t>SRR2047264</t>
  </si>
  <si>
    <t>SRR2047265</t>
  </si>
  <si>
    <t>SRR2047269</t>
  </si>
  <si>
    <t>SRR2047272</t>
  </si>
  <si>
    <t>SRR2047337</t>
  </si>
  <si>
    <t>SRR2047422</t>
  </si>
  <si>
    <t>SRR2047518</t>
  </si>
  <si>
    <t>deli meat</t>
  </si>
  <si>
    <t>SRR2048410</t>
  </si>
  <si>
    <t>SRR2049099</t>
  </si>
  <si>
    <t>SRR2049103</t>
  </si>
  <si>
    <t>SRR2051169</t>
  </si>
  <si>
    <t>Environmental-Spinner leg</t>
  </si>
  <si>
    <t>SRR2051285</t>
  </si>
  <si>
    <t>Blood, NOS</t>
  </si>
  <si>
    <t>SRR2051390</t>
  </si>
  <si>
    <t>SRR2053215</t>
  </si>
  <si>
    <t>SRR2053334</t>
  </si>
  <si>
    <t>SRR2054271</t>
  </si>
  <si>
    <t>sponge isolate from drum lift</t>
  </si>
  <si>
    <t>SRR2054388</t>
  </si>
  <si>
    <t>SRR2057351</t>
  </si>
  <si>
    <t>SRR2057360</t>
  </si>
  <si>
    <t>SRR2057361</t>
  </si>
  <si>
    <t>SRR2057363</t>
  </si>
  <si>
    <t>SRR2057364</t>
  </si>
  <si>
    <t>SRR2057365</t>
  </si>
  <si>
    <t>SRR2057378</t>
  </si>
  <si>
    <t>SRR2057379</t>
  </si>
  <si>
    <t>fresh frozen vegetable</t>
  </si>
  <si>
    <t>SRR2057380</t>
  </si>
  <si>
    <t>SRR2057382</t>
  </si>
  <si>
    <t>SRR2057383</t>
  </si>
  <si>
    <t>SRR2057387</t>
  </si>
  <si>
    <t>SRR2057388</t>
  </si>
  <si>
    <t>SRR2057390</t>
  </si>
  <si>
    <t>SRR2057392</t>
  </si>
  <si>
    <t>SRR2058147</t>
  </si>
  <si>
    <t>SRR2058150</t>
  </si>
  <si>
    <t>SRR2058151</t>
  </si>
  <si>
    <t>SRR2058161</t>
  </si>
  <si>
    <t>SRR2058163</t>
  </si>
  <si>
    <t>SRR2061193</t>
  </si>
  <si>
    <t>SRR2061194</t>
  </si>
  <si>
    <t>SRR2061195</t>
  </si>
  <si>
    <t>SRR2061196</t>
  </si>
  <si>
    <t>SRR2061197</t>
  </si>
  <si>
    <t>SRR2061198</t>
  </si>
  <si>
    <t>SRR2061212</t>
  </si>
  <si>
    <t>SRR2061213</t>
  </si>
  <si>
    <t>SRR2061214</t>
  </si>
  <si>
    <t>SRR2061215</t>
  </si>
  <si>
    <t>SRR2061216</t>
  </si>
  <si>
    <t>SRR2061217</t>
  </si>
  <si>
    <t>SRR2061218</t>
  </si>
  <si>
    <t>SRR2061219</t>
  </si>
  <si>
    <t>SRR2061220</t>
  </si>
  <si>
    <t>SRR2061222</t>
  </si>
  <si>
    <t>SRR2062688</t>
  </si>
  <si>
    <t>placenta</t>
  </si>
  <si>
    <t>SRR2062695</t>
  </si>
  <si>
    <t>SRR2062718</t>
  </si>
  <si>
    <t>SRR2062726</t>
  </si>
  <si>
    <t>mediportBlood</t>
  </si>
  <si>
    <t>SRR2064109</t>
  </si>
  <si>
    <t>SRR2064112</t>
  </si>
  <si>
    <t>SRR2064114</t>
  </si>
  <si>
    <t>SRR2064128</t>
  </si>
  <si>
    <t>SRR2064130</t>
  </si>
  <si>
    <t>SRR2064131</t>
  </si>
  <si>
    <t>SRR2064132</t>
  </si>
  <si>
    <t>SRR2064133</t>
  </si>
  <si>
    <t>SRR2064135</t>
  </si>
  <si>
    <t>SRR2064137</t>
  </si>
  <si>
    <t>SRR2064138</t>
  </si>
  <si>
    <t>SRR2070866</t>
  </si>
  <si>
    <t>SRR2070993</t>
  </si>
  <si>
    <t>SRR2070994</t>
  </si>
  <si>
    <t>SRR2070995</t>
  </si>
  <si>
    <t>SRR2070996</t>
  </si>
  <si>
    <t>SRR2070997</t>
  </si>
  <si>
    <t>SRR2070998</t>
  </si>
  <si>
    <t>SRR2070999</t>
  </si>
  <si>
    <t>SRR2071000</t>
  </si>
  <si>
    <t>SRR2071001</t>
  </si>
  <si>
    <t>SRR2071020</t>
  </si>
  <si>
    <t>SRR2071084</t>
  </si>
  <si>
    <t>SRR2071440</t>
  </si>
  <si>
    <t>SRR2071441</t>
  </si>
  <si>
    <t>SRR2071442</t>
  </si>
  <si>
    <t>SRR2071444</t>
  </si>
  <si>
    <t>SRR2071446</t>
  </si>
  <si>
    <t>SRR2071447</t>
  </si>
  <si>
    <t>SRR2071448</t>
  </si>
  <si>
    <t>SRR2071449</t>
  </si>
  <si>
    <t>SRR2071451</t>
  </si>
  <si>
    <t>SRR2071452</t>
  </si>
  <si>
    <t>SRR2071499</t>
  </si>
  <si>
    <t>SRR2071970</t>
  </si>
  <si>
    <t>SRR2071974,SRR2082835</t>
  </si>
  <si>
    <t>SRR2071975</t>
  </si>
  <si>
    <t>SRR2071978</t>
  </si>
  <si>
    <t>SRR2071984</t>
  </si>
  <si>
    <t>SRR2071985</t>
  </si>
  <si>
    <t>SRR2074981</t>
  </si>
  <si>
    <t>SRR2075059</t>
  </si>
  <si>
    <t>SRR2075068</t>
  </si>
  <si>
    <t>SRR2075156</t>
  </si>
  <si>
    <t>cooked snow crab</t>
  </si>
  <si>
    <t>SRR2075285</t>
  </si>
  <si>
    <t>SRR2075315</t>
  </si>
  <si>
    <t>SRR2075986</t>
  </si>
  <si>
    <t>SRR2076011</t>
  </si>
  <si>
    <t>SRR2076041</t>
  </si>
  <si>
    <t>SRR2077257</t>
  </si>
  <si>
    <t>SRR2077259</t>
  </si>
  <si>
    <t>SRR2077260</t>
  </si>
  <si>
    <t>SRR2077387</t>
  </si>
  <si>
    <t>SRR2077388</t>
  </si>
  <si>
    <t>SRR2077389</t>
  </si>
  <si>
    <t>SRR2077392</t>
  </si>
  <si>
    <t>SRR2077394</t>
  </si>
  <si>
    <t>SRR2077396</t>
  </si>
  <si>
    <t>SRR2077406</t>
  </si>
  <si>
    <t>SRR2078192</t>
  </si>
  <si>
    <t>SRR2080104</t>
  </si>
  <si>
    <t>SRR2080106</t>
  </si>
  <si>
    <t>SRR2080112</t>
  </si>
  <si>
    <t>SRR2080114</t>
  </si>
  <si>
    <t>SRR2080116</t>
  </si>
  <si>
    <t>SRR2080622</t>
  </si>
  <si>
    <t>SRR2082789,SRR2081166</t>
  </si>
  <si>
    <t>SRR2082839,SRR2071979</t>
  </si>
  <si>
    <t>SRR2086090</t>
  </si>
  <si>
    <t>SRR2086561</t>
  </si>
  <si>
    <t>salmon</t>
  </si>
  <si>
    <t>SRR2086573</t>
  </si>
  <si>
    <t>smoked halibut fish</t>
  </si>
  <si>
    <t>SRR2086595</t>
  </si>
  <si>
    <t>CC426</t>
  </si>
  <si>
    <t>SRR2093841</t>
  </si>
  <si>
    <t>SRR2093842</t>
  </si>
  <si>
    <t>Product-RTE-Other Fully Cooked, Sliced-Pork</t>
  </si>
  <si>
    <t>SRR2093844</t>
  </si>
  <si>
    <t>SRR2093845</t>
  </si>
  <si>
    <t>SRR2093846</t>
  </si>
  <si>
    <t>SRR2093847</t>
  </si>
  <si>
    <t>SRR2096634</t>
  </si>
  <si>
    <t>SRR2096637</t>
  </si>
  <si>
    <t>SRR2096638</t>
  </si>
  <si>
    <t>SRR2102276</t>
  </si>
  <si>
    <t>SRR2102284</t>
  </si>
  <si>
    <t>SRR2102292</t>
  </si>
  <si>
    <t>SRR2102301</t>
  </si>
  <si>
    <t>Product-RTE-Other/Miscellaneous-Combination Species</t>
  </si>
  <si>
    <t>SRR2102312</t>
  </si>
  <si>
    <t>SRR2102314</t>
  </si>
  <si>
    <t>SRR2102315</t>
  </si>
  <si>
    <t>SRR2102317</t>
  </si>
  <si>
    <t>SRR2102409</t>
  </si>
  <si>
    <t>SRR2102421</t>
  </si>
  <si>
    <t>SRR2102448</t>
  </si>
  <si>
    <t>SRR2102458</t>
  </si>
  <si>
    <t>pet food dog</t>
  </si>
  <si>
    <t>SRR2102459</t>
  </si>
  <si>
    <t>SRR2102473</t>
  </si>
  <si>
    <t>SRR2102483</t>
  </si>
  <si>
    <t>SRR2102490</t>
  </si>
  <si>
    <t>ready to eat tuna salad</t>
  </si>
  <si>
    <t>SRR2102520</t>
  </si>
  <si>
    <t>SRR2102529</t>
  </si>
  <si>
    <t>Cooked, diced chicken</t>
  </si>
  <si>
    <t>SRR2102537</t>
  </si>
  <si>
    <t>SRR2102545</t>
  </si>
  <si>
    <t>SRR2103766</t>
  </si>
  <si>
    <t>SRR2103798</t>
  </si>
  <si>
    <t>Product-RTE-Other Fully Cooked, Not Sliced-Turkey</t>
  </si>
  <si>
    <t>SRR2103799</t>
  </si>
  <si>
    <t>Product-RTE-Fully Cooked, Sausage Products-Pork</t>
  </si>
  <si>
    <t>SRR2103803</t>
  </si>
  <si>
    <t>SRR2124272</t>
  </si>
  <si>
    <t>watermelon</t>
  </si>
  <si>
    <t>SRR2124275</t>
  </si>
  <si>
    <t>SRR2124277</t>
  </si>
  <si>
    <t>SRR2124278</t>
  </si>
  <si>
    <t>SRR2124279</t>
  </si>
  <si>
    <t>chicken sandwich</t>
  </si>
  <si>
    <t>SRR2124280</t>
  </si>
  <si>
    <t>egg salad</t>
  </si>
  <si>
    <t>SRR2124281</t>
  </si>
  <si>
    <t>SRR2124287</t>
  </si>
  <si>
    <t>SRR2124288</t>
  </si>
  <si>
    <t>SRR2124295</t>
  </si>
  <si>
    <t>egg sandwich</t>
  </si>
  <si>
    <t>SRR2124307</t>
  </si>
  <si>
    <t>macaroni pasta salad</t>
  </si>
  <si>
    <t>SRR2124316</t>
  </si>
  <si>
    <t>SRR2124320</t>
  </si>
  <si>
    <t>SRR2124321</t>
  </si>
  <si>
    <t>cold salmonsmoked</t>
  </si>
  <si>
    <t>SRR2124323</t>
  </si>
  <si>
    <t>SRR2124330</t>
  </si>
  <si>
    <t>SRR2124335</t>
  </si>
  <si>
    <t>SRR2124346</t>
  </si>
  <si>
    <t>SRR2124352</t>
  </si>
  <si>
    <t>SRR2124353</t>
  </si>
  <si>
    <t>SRR2124354</t>
  </si>
  <si>
    <t>SRR2124358</t>
  </si>
  <si>
    <t>SRR2124359</t>
  </si>
  <si>
    <t>SRR2124362</t>
  </si>
  <si>
    <t>SRR2124371</t>
  </si>
  <si>
    <t>SRR2124388</t>
  </si>
  <si>
    <t>SRR2124406</t>
  </si>
  <si>
    <t>SRR2124414</t>
  </si>
  <si>
    <t>SRR2124415</t>
  </si>
  <si>
    <t>SRR2124419</t>
  </si>
  <si>
    <t>SRR2124420</t>
  </si>
  <si>
    <t>SRR2124429</t>
  </si>
  <si>
    <t>SRR2124431</t>
  </si>
  <si>
    <t>SRR2124432</t>
  </si>
  <si>
    <t>SRR2124497</t>
  </si>
  <si>
    <t>SRR2124517</t>
  </si>
  <si>
    <t>SRR2124520</t>
  </si>
  <si>
    <t>SRR2124521</t>
  </si>
  <si>
    <t>SRR2124522</t>
  </si>
  <si>
    <t>SRR2124523</t>
  </si>
  <si>
    <t>SRR2124530</t>
  </si>
  <si>
    <t>SRR2124531</t>
  </si>
  <si>
    <t>SRR2124544</t>
  </si>
  <si>
    <t>SRR2124545</t>
  </si>
  <si>
    <t>SRR2124546</t>
  </si>
  <si>
    <t>SRR2125850</t>
  </si>
  <si>
    <t>SRR2125855</t>
  </si>
  <si>
    <t>SRR2125856</t>
  </si>
  <si>
    <t>SRR2125863</t>
  </si>
  <si>
    <t>SRR2131389</t>
  </si>
  <si>
    <t>green bean</t>
  </si>
  <si>
    <t>SRR2131390</t>
  </si>
  <si>
    <t>SRR2131391</t>
  </si>
  <si>
    <t>SRR2131859</t>
  </si>
  <si>
    <t>SRR2131860</t>
  </si>
  <si>
    <t>SRR2131867</t>
  </si>
  <si>
    <t>SRR2131870</t>
  </si>
  <si>
    <t>SRR2133157</t>
  </si>
  <si>
    <t>SRR2133395</t>
  </si>
  <si>
    <t>SRR2134944</t>
  </si>
  <si>
    <t>SRR2138306</t>
  </si>
  <si>
    <t>SRR2138307</t>
  </si>
  <si>
    <t>SRR2138308</t>
  </si>
  <si>
    <t>smoked vacuum packed salmon</t>
  </si>
  <si>
    <t>SRR2138315</t>
  </si>
  <si>
    <t>SRR2138316</t>
  </si>
  <si>
    <t>SRR2138317</t>
  </si>
  <si>
    <t>SRR2138319</t>
  </si>
  <si>
    <t>SRR2140682</t>
  </si>
  <si>
    <t>SRR2140684</t>
  </si>
  <si>
    <t>SRR2140685</t>
  </si>
  <si>
    <t>SRR2140686</t>
  </si>
  <si>
    <t>SRR2140688</t>
  </si>
  <si>
    <t>SRR2140690</t>
  </si>
  <si>
    <t>SRR2140692</t>
  </si>
  <si>
    <t>SRR2140698</t>
  </si>
  <si>
    <t>SRR2140699</t>
  </si>
  <si>
    <t>SRR2140703</t>
  </si>
  <si>
    <t>SRR2140704</t>
  </si>
  <si>
    <t>SRR2140707</t>
  </si>
  <si>
    <t>SRR2140711</t>
  </si>
  <si>
    <t>SRR2140713</t>
  </si>
  <si>
    <t>SRR2140716</t>
  </si>
  <si>
    <t>SRR2140718</t>
  </si>
  <si>
    <t>SRR2143365</t>
  </si>
  <si>
    <t>SRR2143366</t>
  </si>
  <si>
    <t>SRR2143426</t>
  </si>
  <si>
    <t>SRR2143428</t>
  </si>
  <si>
    <t>SRR2143435</t>
  </si>
  <si>
    <t>SRR2143436</t>
  </si>
  <si>
    <t>SRR2143456</t>
  </si>
  <si>
    <t>SRR2143457</t>
  </si>
  <si>
    <t>SRR2143463</t>
  </si>
  <si>
    <t>SRR2143464</t>
  </si>
  <si>
    <t>SRR2143465</t>
  </si>
  <si>
    <t>SRR2143469</t>
  </si>
  <si>
    <t>SRR2143470</t>
  </si>
  <si>
    <t>SRR2143471</t>
  </si>
  <si>
    <t>SRR2143481</t>
  </si>
  <si>
    <t>SRR2143484</t>
  </si>
  <si>
    <t>SRR2143485</t>
  </si>
  <si>
    <t>SRR2143486</t>
  </si>
  <si>
    <t>SRR2143496</t>
  </si>
  <si>
    <t>SRR2143497</t>
  </si>
  <si>
    <t>SRR2147277</t>
  </si>
  <si>
    <t>SRR2147278</t>
  </si>
  <si>
    <t>SRR2147297</t>
  </si>
  <si>
    <t>SRR2147305</t>
  </si>
  <si>
    <t>SRR2147311</t>
  </si>
  <si>
    <t>SRR2147312</t>
  </si>
  <si>
    <t>SRR2147313</t>
  </si>
  <si>
    <t>SRR2147327</t>
  </si>
  <si>
    <t>SRR2147334</t>
  </si>
  <si>
    <t>SRR2148952</t>
  </si>
  <si>
    <t>SRR2148953</t>
  </si>
  <si>
    <t>SRR2148954</t>
  </si>
  <si>
    <t>SRR2148955</t>
  </si>
  <si>
    <t>SRR2148956</t>
  </si>
  <si>
    <t>SRR2148957</t>
  </si>
  <si>
    <t>SRR2148962</t>
  </si>
  <si>
    <t>SRR2148964</t>
  </si>
  <si>
    <t>SRR2148965</t>
  </si>
  <si>
    <t>SRR2148966</t>
  </si>
  <si>
    <t>SRR2148971</t>
  </si>
  <si>
    <t>SRR2148972</t>
  </si>
  <si>
    <t>SRR2148973</t>
  </si>
  <si>
    <t>SRR2148974</t>
  </si>
  <si>
    <t>SRR2148975</t>
  </si>
  <si>
    <t>SRR2148977</t>
  </si>
  <si>
    <t>SRR2148978</t>
  </si>
  <si>
    <t>SRR2154042</t>
  </si>
  <si>
    <t>SRR2154046</t>
  </si>
  <si>
    <t>throat</t>
  </si>
  <si>
    <t>SRR2154051</t>
  </si>
  <si>
    <t>SRR2156518</t>
  </si>
  <si>
    <t>hot smoked salmon</t>
  </si>
  <si>
    <t>SRR2156520</t>
  </si>
  <si>
    <t>SRR2156619</t>
  </si>
  <si>
    <t>frozen smoked salmon</t>
  </si>
  <si>
    <t>SRR2156620</t>
  </si>
  <si>
    <t>SRR2156631</t>
  </si>
  <si>
    <t>SRR2163250,SRR2156569</t>
  </si>
  <si>
    <t>sponge drain between retorts</t>
  </si>
  <si>
    <t>SRR2163252</t>
  </si>
  <si>
    <t>SRR2163264</t>
  </si>
  <si>
    <t>SRR2167831</t>
  </si>
  <si>
    <t>SRR2174080</t>
  </si>
  <si>
    <t>environmental sponge _ meat processing plant</t>
  </si>
  <si>
    <t>SRR2174102</t>
  </si>
  <si>
    <t>SRR2184246</t>
  </si>
  <si>
    <t>SRR2184247</t>
  </si>
  <si>
    <t>SRR2184248</t>
  </si>
  <si>
    <t>SRR2184249</t>
  </si>
  <si>
    <t>RTE Product-Ham</t>
  </si>
  <si>
    <t>SRR2184250</t>
  </si>
  <si>
    <t>SRR2184252</t>
  </si>
  <si>
    <t>SRR2184253</t>
  </si>
  <si>
    <t>SRR2184254</t>
  </si>
  <si>
    <t>Product-RTE-Fully Cooked, Salad/Spread/Pate-Pork</t>
  </si>
  <si>
    <t>SRR2220990</t>
  </si>
  <si>
    <t>SRR2341898</t>
  </si>
  <si>
    <t>SRR2352235</t>
  </si>
  <si>
    <t>SRR2352236</t>
  </si>
  <si>
    <t>SRR2354382</t>
  </si>
  <si>
    <t>SRR2354464</t>
  </si>
  <si>
    <t>SRR2401907</t>
  </si>
  <si>
    <t>SRR2412137</t>
  </si>
  <si>
    <t>Frozen Corn</t>
  </si>
  <si>
    <t>SRR2414913</t>
  </si>
  <si>
    <t>SRR2414915</t>
  </si>
  <si>
    <t>SRR2421572</t>
  </si>
  <si>
    <t>SRR2423593,SRR3611771</t>
  </si>
  <si>
    <t>RTE Product-Sliced turkey</t>
  </si>
  <si>
    <t>SRR2482354</t>
  </si>
  <si>
    <t>SRR2482357</t>
  </si>
  <si>
    <t>SRR2482358</t>
  </si>
  <si>
    <t>SRR2482359</t>
  </si>
  <si>
    <t>SRR2482360</t>
  </si>
  <si>
    <t>SRR2482361</t>
  </si>
  <si>
    <t>SRR2482371</t>
  </si>
  <si>
    <t>SRR2482372</t>
  </si>
  <si>
    <t>SRR2482373</t>
  </si>
  <si>
    <t>SRR2482374</t>
  </si>
  <si>
    <t>SRR2482386</t>
  </si>
  <si>
    <t>SRR2482387</t>
  </si>
  <si>
    <t>SRR2482388</t>
  </si>
  <si>
    <t>SRR2482389</t>
  </si>
  <si>
    <t>SRR2482390</t>
  </si>
  <si>
    <t>SRR2482391</t>
  </si>
  <si>
    <t>SRR2482392</t>
  </si>
  <si>
    <t>SRR2482393</t>
  </si>
  <si>
    <t>SRR2482394</t>
  </si>
  <si>
    <t>SRR2485313</t>
  </si>
  <si>
    <t>SRR2532678</t>
  </si>
  <si>
    <t>SRR2532685</t>
  </si>
  <si>
    <t>SRR2532686</t>
  </si>
  <si>
    <t>SRR2532687</t>
  </si>
  <si>
    <t>SRR2532710</t>
  </si>
  <si>
    <t>SRR2532711</t>
  </si>
  <si>
    <t>SRR2533398</t>
  </si>
  <si>
    <t>SRR2533399</t>
  </si>
  <si>
    <t>SRR2533400</t>
  </si>
  <si>
    <t>SRR2533401</t>
  </si>
  <si>
    <t>SRR2533402</t>
  </si>
  <si>
    <t>SRR2533403</t>
  </si>
  <si>
    <t>SRR2533404</t>
  </si>
  <si>
    <t>SRR2533405</t>
  </si>
  <si>
    <t>SRR2533406</t>
  </si>
  <si>
    <t>SRR2533407</t>
  </si>
  <si>
    <t>SRR2533408</t>
  </si>
  <si>
    <t>SRR2533409</t>
  </si>
  <si>
    <t>SRR2533597</t>
  </si>
  <si>
    <t>SRR2533598</t>
  </si>
  <si>
    <t>SRR2533599</t>
  </si>
  <si>
    <t>SRR2533600</t>
  </si>
  <si>
    <t>SRR2533601</t>
  </si>
  <si>
    <t>SRR2533602</t>
  </si>
  <si>
    <t>SRR2533603</t>
  </si>
  <si>
    <t>SRR2533604</t>
  </si>
  <si>
    <t>SRR2533605</t>
  </si>
  <si>
    <t>SRR2533606</t>
  </si>
  <si>
    <t>SRR2533607</t>
  </si>
  <si>
    <t>SRR2533608</t>
  </si>
  <si>
    <t>SRR2533609</t>
  </si>
  <si>
    <t>SRR2533610</t>
  </si>
  <si>
    <t>SRR2533611</t>
  </si>
  <si>
    <t>SRR2533612</t>
  </si>
  <si>
    <t>SRR2533614</t>
  </si>
  <si>
    <t>SRR2533615</t>
  </si>
  <si>
    <t>SRR2533616</t>
  </si>
  <si>
    <t>SRR2533617</t>
  </si>
  <si>
    <t>SRR2533618</t>
  </si>
  <si>
    <t>SRR2533619</t>
  </si>
  <si>
    <t>SRR2533620</t>
  </si>
  <si>
    <t>SRR2533621</t>
  </si>
  <si>
    <t>SRR2533622</t>
  </si>
  <si>
    <t>SRR2533623</t>
  </si>
  <si>
    <t>SRR2533624</t>
  </si>
  <si>
    <t>SRR2533625</t>
  </si>
  <si>
    <t>SRR2533626</t>
  </si>
  <si>
    <t>SRR2533627</t>
  </si>
  <si>
    <t>SRR2533628</t>
  </si>
  <si>
    <t>SRR2533656</t>
  </si>
  <si>
    <t>antipasta salad</t>
  </si>
  <si>
    <t>SRR2533678</t>
  </si>
  <si>
    <t>SRR2533679</t>
  </si>
  <si>
    <t>hickory turkey breast</t>
  </si>
  <si>
    <t>SRR2533681</t>
  </si>
  <si>
    <t>SRR2533682</t>
  </si>
  <si>
    <t>black forest ham</t>
  </si>
  <si>
    <t>SRR2533683</t>
  </si>
  <si>
    <t>roast beef sandwich</t>
  </si>
  <si>
    <t>SRR2533685</t>
  </si>
  <si>
    <t>chicken salad</t>
  </si>
  <si>
    <t>SRR2533757</t>
  </si>
  <si>
    <t>SRR2533760</t>
  </si>
  <si>
    <t>SRR2533761</t>
  </si>
  <si>
    <t>american sandwich</t>
  </si>
  <si>
    <t>SRR2533763</t>
  </si>
  <si>
    <t>SRR2533765</t>
  </si>
  <si>
    <t>SRR2533769</t>
  </si>
  <si>
    <t>SRR2533775</t>
  </si>
  <si>
    <t>turkey ham sandwich</t>
  </si>
  <si>
    <t>SRR2534159</t>
  </si>
  <si>
    <t>cooked peeled shrimp</t>
  </si>
  <si>
    <t>SRR2534160</t>
  </si>
  <si>
    <t>SRR2534161</t>
  </si>
  <si>
    <t>SRR2534248</t>
  </si>
  <si>
    <t>SRR2534249</t>
  </si>
  <si>
    <t>SRR2540517</t>
  </si>
  <si>
    <t>RTE Product-Chicken wrap</t>
  </si>
  <si>
    <t>SRR2540518</t>
  </si>
  <si>
    <t>SRR2540519</t>
  </si>
  <si>
    <t>Product-RTE-Fully Cooked, Salad/Spread/Pate-Chicken</t>
  </si>
  <si>
    <t>SRR2540520</t>
  </si>
  <si>
    <t>SRR2540521</t>
  </si>
  <si>
    <t>SRR2540522</t>
  </si>
  <si>
    <t>SRR2540523</t>
  </si>
  <si>
    <t>RTE Product-Turkey product</t>
  </si>
  <si>
    <t>SRR2540524</t>
  </si>
  <si>
    <t>SRR2540925</t>
  </si>
  <si>
    <t>SRR2540927</t>
  </si>
  <si>
    <t>SRR2540929</t>
  </si>
  <si>
    <t>SRR2540930</t>
  </si>
  <si>
    <t>SRR2540932</t>
  </si>
  <si>
    <t>SRR2540934</t>
  </si>
  <si>
    <t>SRR2542462</t>
  </si>
  <si>
    <t>SRR2542463</t>
  </si>
  <si>
    <t>SRR2542464</t>
  </si>
  <si>
    <t>SRR2542465</t>
  </si>
  <si>
    <t>SRR2559362</t>
  </si>
  <si>
    <t>SRR2562275</t>
  </si>
  <si>
    <t>SRR2562279</t>
  </si>
  <si>
    <t>SRR2562280</t>
  </si>
  <si>
    <t>SRR2562283</t>
  </si>
  <si>
    <t>SRR2564598</t>
  </si>
  <si>
    <t>SRR2564599</t>
  </si>
  <si>
    <t>SRR2577526</t>
  </si>
  <si>
    <t>SRR2577569</t>
  </si>
  <si>
    <t>SRR2577634</t>
  </si>
  <si>
    <t>SRR2577635</t>
  </si>
  <si>
    <t>SRR2577636</t>
  </si>
  <si>
    <t>SRR2577637</t>
  </si>
  <si>
    <t>SRR2577638</t>
  </si>
  <si>
    <t>SRR2577639</t>
  </si>
  <si>
    <t>SRR2578335</t>
  </si>
  <si>
    <t>SRR2578336</t>
  </si>
  <si>
    <t>SRR2578337</t>
  </si>
  <si>
    <t>SRR2578338</t>
  </si>
  <si>
    <t>SRR2583989</t>
  </si>
  <si>
    <t>SRR2583990</t>
  </si>
  <si>
    <t>deli roast beef</t>
  </si>
  <si>
    <t>SRR2583992</t>
  </si>
  <si>
    <t>macaroni ham salad</t>
  </si>
  <si>
    <t>SRR2583996</t>
  </si>
  <si>
    <t>SRR2584016</t>
  </si>
  <si>
    <t>sliced ham</t>
  </si>
  <si>
    <t>SRR2584020</t>
  </si>
  <si>
    <t>SRR2584336</t>
  </si>
  <si>
    <t>cuban sandwich</t>
  </si>
  <si>
    <t>SRR2584337</t>
  </si>
  <si>
    <t>SRR2584338</t>
  </si>
  <si>
    <t>SRR2584339</t>
  </si>
  <si>
    <t>tuna salad sandwich</t>
  </si>
  <si>
    <t>SRR2584340</t>
  </si>
  <si>
    <t>chicken salad sandwich</t>
  </si>
  <si>
    <t>SRR2584345</t>
  </si>
  <si>
    <t>SRR2584378</t>
  </si>
  <si>
    <t>SRR2585381</t>
  </si>
  <si>
    <t>ham omelette sandwich</t>
  </si>
  <si>
    <t>SRR2585382</t>
  </si>
  <si>
    <t>SRR2585383</t>
  </si>
  <si>
    <t>cajun style shrimp spread</t>
  </si>
  <si>
    <t>SRR2585387</t>
  </si>
  <si>
    <t>shrimp spread</t>
  </si>
  <si>
    <t>SRR2585388</t>
  </si>
  <si>
    <t>turkey breast</t>
  </si>
  <si>
    <t>SRR2585390</t>
  </si>
  <si>
    <t>ham spread</t>
  </si>
  <si>
    <t>SRR2585391</t>
  </si>
  <si>
    <t>whole whitefish</t>
  </si>
  <si>
    <t>SRR2585392</t>
  </si>
  <si>
    <t>SRR2585401</t>
  </si>
  <si>
    <t>SRR2585402</t>
  </si>
  <si>
    <t>SRR2585403</t>
  </si>
  <si>
    <t>SRR2585404</t>
  </si>
  <si>
    <t>SRR2585405</t>
  </si>
  <si>
    <t>SRR2585406</t>
  </si>
  <si>
    <t>SRR2585407</t>
  </si>
  <si>
    <t>SRR2585408</t>
  </si>
  <si>
    <t>SRR2585409</t>
  </si>
  <si>
    <t>SRR2585410</t>
  </si>
  <si>
    <t>SRR2585411</t>
  </si>
  <si>
    <t>green chili</t>
  </si>
  <si>
    <t>SRR2585412</t>
  </si>
  <si>
    <t>SRR2585413</t>
  </si>
  <si>
    <t>SRR2585431</t>
  </si>
  <si>
    <t>SRR2585507,SRR2577525</t>
  </si>
  <si>
    <t>SRR2636956</t>
  </si>
  <si>
    <t>SRR2636957</t>
  </si>
  <si>
    <t>chicken club panini</t>
  </si>
  <si>
    <t>SRR2636958</t>
  </si>
  <si>
    <t>SRR2636959</t>
  </si>
  <si>
    <t>SRR2636960</t>
  </si>
  <si>
    <t>egg salad sandwich</t>
  </si>
  <si>
    <t>SRR2636961</t>
  </si>
  <si>
    <t>SRR2636962</t>
  </si>
  <si>
    <t>SRR2636965</t>
  </si>
  <si>
    <t>deli meat ham</t>
  </si>
  <si>
    <t>SRR2636969</t>
  </si>
  <si>
    <t>italian hero sub sandwich</t>
  </si>
  <si>
    <t>SRR2636970</t>
  </si>
  <si>
    <t>SRR2636971</t>
  </si>
  <si>
    <t>SRR2646861</t>
  </si>
  <si>
    <t>SRR2646863</t>
  </si>
  <si>
    <t>SRR2648202</t>
  </si>
  <si>
    <t>SRR2648485</t>
  </si>
  <si>
    <t>SRR2648508</t>
  </si>
  <si>
    <t>SRR2648509</t>
  </si>
  <si>
    <t>Product-RTE-Other Fully Cooked, Not Sliced-Pork</t>
  </si>
  <si>
    <t>SRR2648517</t>
  </si>
  <si>
    <t>SRR2648539</t>
  </si>
  <si>
    <t>SRR2648684</t>
  </si>
  <si>
    <t>SRR2650253</t>
  </si>
  <si>
    <t>SRR2650254</t>
  </si>
  <si>
    <t>SRR2650309</t>
  </si>
  <si>
    <t>frozen corn</t>
  </si>
  <si>
    <t>SRR2658494</t>
  </si>
  <si>
    <t>SRR2658495</t>
  </si>
  <si>
    <t>SRR2658496</t>
  </si>
  <si>
    <t>frozen oriental blend vegetables</t>
  </si>
  <si>
    <t>SRR2658497</t>
  </si>
  <si>
    <t>SRR2659319</t>
  </si>
  <si>
    <t>SRR2659322</t>
  </si>
  <si>
    <t>SRR2659325</t>
  </si>
  <si>
    <t>SRR2659327</t>
  </si>
  <si>
    <t>SRR2724013</t>
  </si>
  <si>
    <t>SRR2724034</t>
  </si>
  <si>
    <t>SRR2724036</t>
  </si>
  <si>
    <t>SRR2724039</t>
  </si>
  <si>
    <t>SRR2724068</t>
  </si>
  <si>
    <t>SRR2724069</t>
  </si>
  <si>
    <t>SRR2724070</t>
  </si>
  <si>
    <t>SRR2724072</t>
  </si>
  <si>
    <t>SRR2724073</t>
  </si>
  <si>
    <t>SRR2724074</t>
  </si>
  <si>
    <t>SRR2724075</t>
  </si>
  <si>
    <t>SRR2724148</t>
  </si>
  <si>
    <t>SRR2724149</t>
  </si>
  <si>
    <t>SRR2727848</t>
  </si>
  <si>
    <t>SRR2728246</t>
  </si>
  <si>
    <t>SRR2751894</t>
  </si>
  <si>
    <t>SRR2777513</t>
  </si>
  <si>
    <t>SRR2777514</t>
  </si>
  <si>
    <t>SRR2777515</t>
  </si>
  <si>
    <t>SRR2777516</t>
  </si>
  <si>
    <t>SRR2777518</t>
  </si>
  <si>
    <t>SRR2777591</t>
  </si>
  <si>
    <t>SRR2777592</t>
  </si>
  <si>
    <t>SRR2777593</t>
  </si>
  <si>
    <t>SRR2811169</t>
  </si>
  <si>
    <t>blue stilton cheese</t>
  </si>
  <si>
    <t>SRR2830760</t>
  </si>
  <si>
    <t>SRR2830761</t>
  </si>
  <si>
    <t>SRR2830793</t>
  </si>
  <si>
    <t>SRR2830883</t>
  </si>
  <si>
    <t>SRR2830908</t>
  </si>
  <si>
    <t>SRR2830910</t>
  </si>
  <si>
    <t>SRR2831335</t>
  </si>
  <si>
    <t>SRR2831337</t>
  </si>
  <si>
    <t>SRR2831338</t>
  </si>
  <si>
    <t>SRR2831339</t>
  </si>
  <si>
    <t>SRR2831340</t>
  </si>
  <si>
    <t>SRR2831341</t>
  </si>
  <si>
    <t>SRR2848780</t>
  </si>
  <si>
    <t>SRR2848789</t>
  </si>
  <si>
    <t>SRR2848793</t>
  </si>
  <si>
    <t>sponge stick</t>
  </si>
  <si>
    <t>SRR2848794</t>
  </si>
  <si>
    <t>SRR2848797</t>
  </si>
  <si>
    <t>SRR2848798</t>
  </si>
  <si>
    <t>SRR2848799</t>
  </si>
  <si>
    <t>SRR2848800</t>
  </si>
  <si>
    <t>SRR2848805</t>
  </si>
  <si>
    <t>cold smoked salmon slices</t>
  </si>
  <si>
    <t>SRR2848807</t>
  </si>
  <si>
    <t>SRR2848808</t>
  </si>
  <si>
    <t>SRR2848809</t>
  </si>
  <si>
    <t>SRR2860613</t>
  </si>
  <si>
    <t>SRR2860614</t>
  </si>
  <si>
    <t>SRR2861503</t>
  </si>
  <si>
    <t>SRR2861504</t>
  </si>
  <si>
    <t>SRR2861531</t>
  </si>
  <si>
    <t>SRR2861537</t>
  </si>
  <si>
    <t>SRR2861538</t>
  </si>
  <si>
    <t>RTE Product - Pork</t>
  </si>
  <si>
    <t>SRR2878343</t>
  </si>
  <si>
    <t>SRR2878344</t>
  </si>
  <si>
    <t>SRR2878345</t>
  </si>
  <si>
    <t>SRR2878346</t>
  </si>
  <si>
    <t>SRR2878347</t>
  </si>
  <si>
    <t>SRR2878348</t>
  </si>
  <si>
    <t>SRR2878349</t>
  </si>
  <si>
    <t>SRR2878350</t>
  </si>
  <si>
    <t>SRR2878351</t>
  </si>
  <si>
    <t>SRR2878352</t>
  </si>
  <si>
    <t>SRR2878353</t>
  </si>
  <si>
    <t>SRR2878354</t>
  </si>
  <si>
    <t>SRR2878355</t>
  </si>
  <si>
    <t>SRR2878356</t>
  </si>
  <si>
    <t>SRR2878357</t>
  </si>
  <si>
    <t>SRR2878361</t>
  </si>
  <si>
    <t>SRR2878362</t>
  </si>
  <si>
    <t>SRR2878363</t>
  </si>
  <si>
    <t>SRR2889968</t>
  </si>
  <si>
    <t>SRR2889977</t>
  </si>
  <si>
    <t>ham cheese sandwich</t>
  </si>
  <si>
    <t>SRR2891018</t>
  </si>
  <si>
    <t>SRR2891019</t>
  </si>
  <si>
    <t>SRR2891020</t>
  </si>
  <si>
    <t>SRR2891021</t>
  </si>
  <si>
    <t>SRR2891022</t>
  </si>
  <si>
    <t>SRR2891023</t>
  </si>
  <si>
    <t>SRR2891024</t>
  </si>
  <si>
    <t>SRR2891025</t>
  </si>
  <si>
    <t>SRR2891026</t>
  </si>
  <si>
    <t>SRR2891027</t>
  </si>
  <si>
    <t>SRR2891028</t>
  </si>
  <si>
    <t>SRR2891029</t>
  </si>
  <si>
    <t>SRR2891030</t>
  </si>
  <si>
    <t>SRR2905858</t>
  </si>
  <si>
    <t>SRR2905859</t>
  </si>
  <si>
    <t>SRR2905860</t>
  </si>
  <si>
    <t>SRR2905861</t>
  </si>
  <si>
    <t>SRR2905862</t>
  </si>
  <si>
    <t>SRR2905864</t>
  </si>
  <si>
    <t>SRR2905865</t>
  </si>
  <si>
    <t>SRR2905866</t>
  </si>
  <si>
    <t>SRR2905867</t>
  </si>
  <si>
    <t>SRR2905868</t>
  </si>
  <si>
    <t>SRR2905913</t>
  </si>
  <si>
    <t>SRR2905914</t>
  </si>
  <si>
    <t>SRR2905934</t>
  </si>
  <si>
    <t>SRR2905940</t>
  </si>
  <si>
    <t>SRR2905963</t>
  </si>
  <si>
    <t>SRR2905964</t>
  </si>
  <si>
    <t>SRR2905965</t>
  </si>
  <si>
    <t>SRR2906012</t>
  </si>
  <si>
    <t>SRR2906058</t>
  </si>
  <si>
    <t>SRR2910646</t>
  </si>
  <si>
    <t>SRR2910647</t>
  </si>
  <si>
    <t>SRR2910648</t>
  </si>
  <si>
    <t>SRR2910649</t>
  </si>
  <si>
    <t>SRR2910650</t>
  </si>
  <si>
    <t>SRR2910651</t>
  </si>
  <si>
    <t>SRR2910879</t>
  </si>
  <si>
    <t>SRR2910880</t>
  </si>
  <si>
    <t>SRR2910881</t>
  </si>
  <si>
    <t>SRR2910882</t>
  </si>
  <si>
    <t>SRR2910883</t>
  </si>
  <si>
    <t>SRR2910886</t>
  </si>
  <si>
    <t>SRR2912315</t>
  </si>
  <si>
    <t>SRR2912316</t>
  </si>
  <si>
    <t>SRR2912317</t>
  </si>
  <si>
    <t>SRR2912318</t>
  </si>
  <si>
    <t>SRR2912320</t>
  </si>
  <si>
    <t>SRR2912321</t>
  </si>
  <si>
    <t>SRR2912322</t>
  </si>
  <si>
    <t>SRR2912323</t>
  </si>
  <si>
    <t>SRR2914408</t>
  </si>
  <si>
    <t>SRR2914411</t>
  </si>
  <si>
    <t>SRR2914444</t>
  </si>
  <si>
    <t>SRR2915354</t>
  </si>
  <si>
    <t>SRR2915356</t>
  </si>
  <si>
    <t>SRR2915963</t>
  </si>
  <si>
    <t>SRR2915964</t>
  </si>
  <si>
    <t>SRR2915966</t>
  </si>
  <si>
    <t>SRR2915967</t>
  </si>
  <si>
    <t>SRR2915968</t>
  </si>
  <si>
    <t>SRR2915969</t>
  </si>
  <si>
    <t>SRR2915970</t>
  </si>
  <si>
    <t>SRR2915972</t>
  </si>
  <si>
    <t>SRR2915973</t>
  </si>
  <si>
    <t>SRR2915974</t>
  </si>
  <si>
    <t>SRR2915975</t>
  </si>
  <si>
    <t>SRR2915976</t>
  </si>
  <si>
    <t>SRR2915982</t>
  </si>
  <si>
    <t>SRR2915983</t>
  </si>
  <si>
    <t>SRR2915985</t>
  </si>
  <si>
    <t>SRR2915992</t>
  </si>
  <si>
    <t>SRR2915993</t>
  </si>
  <si>
    <t>SRR2915994</t>
  </si>
  <si>
    <t>SRR2915995</t>
  </si>
  <si>
    <t>SRR2915999</t>
  </si>
  <si>
    <t>SRR2916000</t>
  </si>
  <si>
    <t>SRR2916001</t>
  </si>
  <si>
    <t>SRR2916697</t>
  </si>
  <si>
    <t>SRR2916700</t>
  </si>
  <si>
    <t>SRR2916701</t>
  </si>
  <si>
    <t>tuna</t>
  </si>
  <si>
    <t>SRR2916703</t>
  </si>
  <si>
    <t>SRR2916705</t>
  </si>
  <si>
    <t>SRR2916706</t>
  </si>
  <si>
    <t>SRR2916707</t>
  </si>
  <si>
    <t>SRR2916708</t>
  </si>
  <si>
    <t>SRR2916709</t>
  </si>
  <si>
    <t>SRR2916710</t>
  </si>
  <si>
    <t>SRR2916711</t>
  </si>
  <si>
    <t>SRR2916712</t>
  </si>
  <si>
    <t>SRR2916714</t>
  </si>
  <si>
    <t>SRR2916715</t>
  </si>
  <si>
    <t>SRR2916716</t>
  </si>
  <si>
    <t>SRR2917144</t>
  </si>
  <si>
    <t>SRR2917156</t>
  </si>
  <si>
    <t>SRR2917157</t>
  </si>
  <si>
    <t>SRR2917158</t>
  </si>
  <si>
    <t>SRR2917160</t>
  </si>
  <si>
    <t>SRR2917161</t>
  </si>
  <si>
    <t>SRR2917162</t>
  </si>
  <si>
    <t>SRR2917163</t>
  </si>
  <si>
    <t>SRR2917164</t>
  </si>
  <si>
    <t>SRR2917165</t>
  </si>
  <si>
    <t>SRR2917166</t>
  </si>
  <si>
    <t>corn</t>
  </si>
  <si>
    <t>SRR2917167</t>
  </si>
  <si>
    <t>SRR2917168</t>
  </si>
  <si>
    <t>SRR2917169</t>
  </si>
  <si>
    <t>SRR2917171</t>
  </si>
  <si>
    <t>seared tuna</t>
  </si>
  <si>
    <t>SRR2917172</t>
  </si>
  <si>
    <t>SRR2924560</t>
  </si>
  <si>
    <t>ready to eat deli meat ham</t>
  </si>
  <si>
    <t>SRR2924561</t>
  </si>
  <si>
    <t>ready to eat deli meat cooked ham</t>
  </si>
  <si>
    <t>SRR2924562</t>
  </si>
  <si>
    <t>SRR2924563</t>
  </si>
  <si>
    <t>SRR2924564</t>
  </si>
  <si>
    <t>SRR2924565</t>
  </si>
  <si>
    <t>ready to eat deli meat chicken</t>
  </si>
  <si>
    <t>SRR2924566</t>
  </si>
  <si>
    <t>SRR2924567</t>
  </si>
  <si>
    <t>ready to eat deli meat turkey mesquite</t>
  </si>
  <si>
    <t>SRR2924568</t>
  </si>
  <si>
    <t>SRR2924569</t>
  </si>
  <si>
    <t>ready to eat deli meat ham tavern</t>
  </si>
  <si>
    <t>SRR2924570</t>
  </si>
  <si>
    <t>SRR2924581</t>
  </si>
  <si>
    <t>SRR2924582</t>
  </si>
  <si>
    <t>SRR2924585</t>
  </si>
  <si>
    <t>mushroom</t>
  </si>
  <si>
    <t>SRR2924586</t>
  </si>
  <si>
    <t>SRR2924587</t>
  </si>
  <si>
    <t>SRR2924588</t>
  </si>
  <si>
    <t>SRR2924589</t>
  </si>
  <si>
    <t>SRR2924590</t>
  </si>
  <si>
    <t>SRR2924591</t>
  </si>
  <si>
    <t>SRR2924592</t>
  </si>
  <si>
    <t>SRR2924595</t>
  </si>
  <si>
    <t>mixed seafood salad</t>
  </si>
  <si>
    <t>SRR2924596</t>
  </si>
  <si>
    <t>SRR2924597</t>
  </si>
  <si>
    <t>regular butter</t>
  </si>
  <si>
    <t>SRR2924598</t>
  </si>
  <si>
    <t>SRR2924601</t>
  </si>
  <si>
    <t>fresh cheese</t>
  </si>
  <si>
    <t>SRR2924602</t>
  </si>
  <si>
    <t>SRR2924603</t>
  </si>
  <si>
    <t>soft ripened cheese</t>
  </si>
  <si>
    <t>SRR2924604</t>
  </si>
  <si>
    <t>SRR2952737</t>
  </si>
  <si>
    <t>SRR2952738</t>
  </si>
  <si>
    <t>SRR2952754</t>
  </si>
  <si>
    <t>SRR2952755</t>
  </si>
  <si>
    <t>SRR2952756</t>
  </si>
  <si>
    <t>SRR2952757</t>
  </si>
  <si>
    <t>SRR2952758</t>
  </si>
  <si>
    <t>SRR2953192</t>
  </si>
  <si>
    <t>SRR2954300</t>
  </si>
  <si>
    <t>SRR2960775</t>
  </si>
  <si>
    <t>shrimp seafood salad</t>
  </si>
  <si>
    <t>SRR2960776</t>
  </si>
  <si>
    <t>SRR2960777</t>
  </si>
  <si>
    <t>sandwich</t>
  </si>
  <si>
    <t>SRR2960778</t>
  </si>
  <si>
    <t>SRR2962369</t>
  </si>
  <si>
    <t>SRR2962370</t>
  </si>
  <si>
    <t>SRR2962371</t>
  </si>
  <si>
    <t>turkey salad</t>
  </si>
  <si>
    <t>SRR2962377</t>
  </si>
  <si>
    <t>ham sandwich</t>
  </si>
  <si>
    <t>SRR2962378</t>
  </si>
  <si>
    <t>SRR2962381</t>
  </si>
  <si>
    <t>SRR2962383</t>
  </si>
  <si>
    <t>sliced turkey</t>
  </si>
  <si>
    <t>SRR2969418</t>
  </si>
  <si>
    <t>SRR2970869</t>
  </si>
  <si>
    <t>SRR2970919</t>
  </si>
  <si>
    <t>RTE Product-Chicken Salad</t>
  </si>
  <si>
    <t>SRR2977534</t>
  </si>
  <si>
    <t>RTE Product-Franks</t>
  </si>
  <si>
    <t>SRR2977536</t>
  </si>
  <si>
    <t>RTE Product-Kielbasa</t>
  </si>
  <si>
    <t>SRR2977537</t>
  </si>
  <si>
    <t>SRR2977538</t>
  </si>
  <si>
    <t>SRR2981082</t>
  </si>
  <si>
    <t>mango</t>
  </si>
  <si>
    <t>SRR2982076</t>
  </si>
  <si>
    <t>conveyor on slicing machine</t>
  </si>
  <si>
    <t>SRR2982077</t>
  </si>
  <si>
    <t>underneath deskinning machine</t>
  </si>
  <si>
    <t>SRR2986297</t>
  </si>
  <si>
    <t>RTE Product-Chicken</t>
  </si>
  <si>
    <t>SRR2992824</t>
  </si>
  <si>
    <t>SRR2992847</t>
  </si>
  <si>
    <t>SRR2993929</t>
  </si>
  <si>
    <t>Cerebral spinal fluid</t>
  </si>
  <si>
    <t>SRR2993983</t>
  </si>
  <si>
    <t>SRR2994365</t>
  </si>
  <si>
    <t>SRR2994371</t>
  </si>
  <si>
    <t>SRR2994381</t>
  </si>
  <si>
    <t>SRR3021472</t>
  </si>
  <si>
    <t>SRR3021473</t>
  </si>
  <si>
    <t>SRR3021475</t>
  </si>
  <si>
    <t>SRR3021476</t>
  </si>
  <si>
    <t>SRR3021477</t>
  </si>
  <si>
    <t>SRR3021478</t>
  </si>
  <si>
    <t>SRR3021483</t>
  </si>
  <si>
    <t>SRR3021484</t>
  </si>
  <si>
    <t>SRR3021485</t>
  </si>
  <si>
    <t>SRR3027729</t>
  </si>
  <si>
    <t>SRR3027730</t>
  </si>
  <si>
    <t>SRR3027732</t>
  </si>
  <si>
    <t>SRR3027733</t>
  </si>
  <si>
    <t>SRR3027734</t>
  </si>
  <si>
    <t>SRR3027736</t>
  </si>
  <si>
    <t>SRR3027737</t>
  </si>
  <si>
    <t>SRR3027738</t>
  </si>
  <si>
    <t>SRR3027739</t>
  </si>
  <si>
    <t>SRR3027740</t>
  </si>
  <si>
    <t>SRR3027741</t>
  </si>
  <si>
    <t>SRR3027742</t>
  </si>
  <si>
    <t>SRR3027743,SRR5639019</t>
  </si>
  <si>
    <t>SRR3027744</t>
  </si>
  <si>
    <t>SRR3027745</t>
  </si>
  <si>
    <t>SRR3027746</t>
  </si>
  <si>
    <t>SRR3027747</t>
  </si>
  <si>
    <t>SRR3027748</t>
  </si>
  <si>
    <t>SRR3027749</t>
  </si>
  <si>
    <t>SRR3037940</t>
  </si>
  <si>
    <t>SRR3037941</t>
  </si>
  <si>
    <t>SRR3037942</t>
  </si>
  <si>
    <t>midnight sandwich</t>
  </si>
  <si>
    <t>SRR3037944</t>
  </si>
  <si>
    <t>turkey wrap</t>
  </si>
  <si>
    <t>SRR3037945</t>
  </si>
  <si>
    <t>SRR3037947</t>
  </si>
  <si>
    <t>SRR3037948</t>
  </si>
  <si>
    <t>turkey apple wrap</t>
  </si>
  <si>
    <t>SRR3037949</t>
  </si>
  <si>
    <t>roast beef cheddar sandwich</t>
  </si>
  <si>
    <t>SRR3037950</t>
  </si>
  <si>
    <t>SRR3037951</t>
  </si>
  <si>
    <t>SRR3037952</t>
  </si>
  <si>
    <t>SRR3037953</t>
  </si>
  <si>
    <t>turkey, apple, brie wrap</t>
  </si>
  <si>
    <t>SRR3037954</t>
  </si>
  <si>
    <t>turkey swiss sandwich</t>
  </si>
  <si>
    <t>SRR3037955</t>
  </si>
  <si>
    <t>SRR3037956</t>
  </si>
  <si>
    <t>SRR3037958</t>
  </si>
  <si>
    <t>SRR3037959</t>
  </si>
  <si>
    <t>SRR3037960</t>
  </si>
  <si>
    <t>SRR3037961</t>
  </si>
  <si>
    <t>SRR3037962</t>
  </si>
  <si>
    <t>SRR3037963</t>
  </si>
  <si>
    <t>SRR3055316</t>
  </si>
  <si>
    <t>SRR3056895</t>
  </si>
  <si>
    <t>SRR3056896</t>
  </si>
  <si>
    <t>SRR3056897</t>
  </si>
  <si>
    <t>SRR3056902</t>
  </si>
  <si>
    <t>SRR3056903</t>
  </si>
  <si>
    <t>SRR3062390</t>
  </si>
  <si>
    <t>SRR3062392</t>
  </si>
  <si>
    <t>RTE Product-Beef Sausage</t>
  </si>
  <si>
    <t>SRR3062394</t>
  </si>
  <si>
    <t>SRR3062395</t>
  </si>
  <si>
    <t>RTE Product-Turkey Wrap</t>
  </si>
  <si>
    <t>SRR3062396</t>
  </si>
  <si>
    <t>SRR3065881</t>
  </si>
  <si>
    <t>SRR3065882</t>
  </si>
  <si>
    <t>SRR3066060</t>
  </si>
  <si>
    <t>SRR3066061</t>
  </si>
  <si>
    <t>SRR3066070</t>
  </si>
  <si>
    <t>SRR3066071</t>
  </si>
  <si>
    <t>SRR3066072</t>
  </si>
  <si>
    <t>SRR3066073</t>
  </si>
  <si>
    <t>SRR3066074</t>
  </si>
  <si>
    <t>SRR3066075</t>
  </si>
  <si>
    <t>SRR3066076</t>
  </si>
  <si>
    <t>SRR3066087</t>
  </si>
  <si>
    <t>SRR3067410</t>
  </si>
  <si>
    <t>SRR3081885</t>
  </si>
  <si>
    <t>SRR3081929</t>
  </si>
  <si>
    <t>SRR3081930</t>
  </si>
  <si>
    <t>SRR3081931</t>
  </si>
  <si>
    <t>SRR3082367</t>
  </si>
  <si>
    <t>SRR3082369</t>
  </si>
  <si>
    <t>SRR3082370</t>
  </si>
  <si>
    <t>SRR3082371</t>
  </si>
  <si>
    <t>SRR3082372</t>
  </si>
  <si>
    <t>SRR3082376</t>
  </si>
  <si>
    <t>SRR3091771</t>
  </si>
  <si>
    <t>SRR3091772</t>
  </si>
  <si>
    <t>SRR3091773</t>
  </si>
  <si>
    <t>SRR3091774</t>
  </si>
  <si>
    <t>SRR3091775</t>
  </si>
  <si>
    <t>SRR3091776</t>
  </si>
  <si>
    <t>SRR3091777</t>
  </si>
  <si>
    <t>Product-RTE-Fully Cooked, Meat/Nonmeat Combination-Beef</t>
  </si>
  <si>
    <t>SRR3091779</t>
  </si>
  <si>
    <t>SRR3091780</t>
  </si>
  <si>
    <t>SRR3091784</t>
  </si>
  <si>
    <t>SRR3091785</t>
  </si>
  <si>
    <t>SRR3091786</t>
  </si>
  <si>
    <t>Product-RTE-Fully Cooked, Meat/Nonmeat Combination</t>
  </si>
  <si>
    <t>SRR3091787</t>
  </si>
  <si>
    <t>SRR3092099</t>
  </si>
  <si>
    <t>SRR3092100</t>
  </si>
  <si>
    <t>SRR3095267</t>
  </si>
  <si>
    <t>SRR3095268</t>
  </si>
  <si>
    <t>SRR3095269</t>
  </si>
  <si>
    <t>SRR3095270</t>
  </si>
  <si>
    <t>SRR3095271</t>
  </si>
  <si>
    <t>SRR3095272</t>
  </si>
  <si>
    <t>SRR3095273</t>
  </si>
  <si>
    <t>SRR3095274</t>
  </si>
  <si>
    <t>SRR3095275</t>
  </si>
  <si>
    <t>SRR3095284</t>
  </si>
  <si>
    <t>SRR3095285</t>
  </si>
  <si>
    <t>SRR3095286</t>
  </si>
  <si>
    <t>SRR3095287</t>
  </si>
  <si>
    <t>SRR3095288</t>
  </si>
  <si>
    <t>SRR3095289</t>
  </si>
  <si>
    <t>SRR3095290</t>
  </si>
  <si>
    <t>SRR3095291</t>
  </si>
  <si>
    <t>RTE Product-Pickle and Pimento Loaf</t>
  </si>
  <si>
    <t>SRR3096907</t>
  </si>
  <si>
    <t>SRR3096909</t>
  </si>
  <si>
    <t>SRR3097579</t>
  </si>
  <si>
    <t>SRR3098449</t>
  </si>
  <si>
    <t>SRR3100243</t>
  </si>
  <si>
    <t>sponge swabs</t>
  </si>
  <si>
    <t>SRR3100244</t>
  </si>
  <si>
    <t>SRR3100245</t>
  </si>
  <si>
    <t>SRR3100246</t>
  </si>
  <si>
    <t>SRR3101600</t>
  </si>
  <si>
    <t>SRR3101603,SRR5047483</t>
  </si>
  <si>
    <t>SRR3101604</t>
  </si>
  <si>
    <t>SRR3101608</t>
  </si>
  <si>
    <t>SRR3101612,SRR5047485</t>
  </si>
  <si>
    <t>SRR3101613</t>
  </si>
  <si>
    <t>SRR3102195</t>
  </si>
  <si>
    <t>SRR3102196</t>
  </si>
  <si>
    <t>SRR3102203</t>
  </si>
  <si>
    <t>Frozen Vegetables</t>
  </si>
  <si>
    <t>SRR3106233</t>
  </si>
  <si>
    <t>SRR3108909</t>
  </si>
  <si>
    <t>Environmental, Swab or Sampling; swab - food contact surface; building - food processing factory</t>
  </si>
  <si>
    <t>SRR3108910</t>
  </si>
  <si>
    <t>Solid - Food; Food; Raw Poultry Products; Frozen poultry (raw or raw processed) - Chicken; Frozen</t>
  </si>
  <si>
    <t>SRR3108911</t>
  </si>
  <si>
    <t>Environmental, Swab or Sampling; swab - food contact surface; building - abattoir or meat processing</t>
  </si>
  <si>
    <t>SRR3108913</t>
  </si>
  <si>
    <t>Solid - Food; Food; Ready-to-eat Meat and Poultry; Heat processed - Cooked ham; Cooked</t>
  </si>
  <si>
    <t>SRR3108914</t>
  </si>
  <si>
    <t>RTE meat poultry</t>
  </si>
  <si>
    <t>SRR3108917</t>
  </si>
  <si>
    <t>Solid - Food; Food; Fruit and Vegetable-based Products; Legumes - Lentils; Eaten cold</t>
  </si>
  <si>
    <t>SRR3108920</t>
  </si>
  <si>
    <t>SRR3108928</t>
  </si>
  <si>
    <t>Solid - Food; Food; Ready-to-eat Meat and Poultry; Cured/smoked - Bacon; Smoked</t>
  </si>
  <si>
    <t>SRR3108930</t>
  </si>
  <si>
    <t>Solid - Food; Food; Ready-to-eat Meat and Poultry; Heat processed - Frankfurters (weiners); Ready-to-eat (RTE)</t>
  </si>
  <si>
    <t>SRR3108932</t>
  </si>
  <si>
    <t>SRR3108933</t>
  </si>
  <si>
    <t>Solid - Food; Food; Fish and Seafood Products; Smoked/cured - Smoked fish - smoked salmon; Frozen</t>
  </si>
  <si>
    <t>SRR3108934</t>
  </si>
  <si>
    <t>swab - food contact surface</t>
  </si>
  <si>
    <t>SRR3108936</t>
  </si>
  <si>
    <t>Solid - Food; Food; Raw Meat Products; Raw Meat (unprocessed) - Meat cuts or trim - beef; Raw</t>
  </si>
  <si>
    <t>SRR3108938</t>
  </si>
  <si>
    <t>Solid - Food; Food; Ready-to-eat Meat and Poultry; Cured/smoked - Beef; Smoked</t>
  </si>
  <si>
    <t>SRR3108941</t>
  </si>
  <si>
    <t>Solid - Food; Food; Fruit and Vegetable-based Products; Raw and raw processed - Salads; Fresh</t>
  </si>
  <si>
    <t>SRR3109041</t>
  </si>
  <si>
    <t>RTE meat - cured/smoked meat</t>
  </si>
  <si>
    <t>SRR3109044</t>
  </si>
  <si>
    <t>Environmental, Swab or Sampling; swab - inanimate object surface</t>
  </si>
  <si>
    <t>SRR3109048</t>
  </si>
  <si>
    <t>SRR3109050</t>
  </si>
  <si>
    <t>Solid - Food; Food; Fruit and Vegetable-based Products; Raw and raw processed - Root vegetables; Frozen</t>
  </si>
  <si>
    <t>SRR3109051</t>
  </si>
  <si>
    <t>Food; Fish and Seafood Products; Salted or acidified - Salted salmon roe; Salted</t>
  </si>
  <si>
    <t>SRR3109052,SRR3109057</t>
  </si>
  <si>
    <t>Food; Dairy Products</t>
  </si>
  <si>
    <t>SRR3109054</t>
  </si>
  <si>
    <t>Food; Miscellaneous; Cereals/rice (grain) - Couscous/bulgur (tabouli); Eaten cold</t>
  </si>
  <si>
    <t>SRR3109056</t>
  </si>
  <si>
    <t>SRR3109063</t>
  </si>
  <si>
    <t>Solid - Food; Food; Fish and Seafood Products; Raw fish and crustaceans - Crab; Raw</t>
  </si>
  <si>
    <t>SRR3109065</t>
  </si>
  <si>
    <t>Solid - Food; Food; Fish and Seafood Products; Smoked/cured - Smoked fish - smoked salmon; Smoked</t>
  </si>
  <si>
    <t>SRR3109624</t>
  </si>
  <si>
    <t>SRR3110263</t>
  </si>
  <si>
    <t>dog chew</t>
  </si>
  <si>
    <t>SRR3110264</t>
  </si>
  <si>
    <t>SRR3110265</t>
  </si>
  <si>
    <t>SRR3110266</t>
  </si>
  <si>
    <t>SRR3110267</t>
  </si>
  <si>
    <t>SRR3110269</t>
  </si>
  <si>
    <t>SRR3110270</t>
  </si>
  <si>
    <t>SRR3110271</t>
  </si>
  <si>
    <t>SRR3110272</t>
  </si>
  <si>
    <t>SRR3110273</t>
  </si>
  <si>
    <t>SRR3110274</t>
  </si>
  <si>
    <t>SRR3110275</t>
  </si>
  <si>
    <t>SRR3110276</t>
  </si>
  <si>
    <t>SRR3110277</t>
  </si>
  <si>
    <t>SRR3110278</t>
  </si>
  <si>
    <t>SRR3110280</t>
  </si>
  <si>
    <t>SRR3110281</t>
  </si>
  <si>
    <t>SRR3110282</t>
  </si>
  <si>
    <t>SRR3110283</t>
  </si>
  <si>
    <t>SRR3110285</t>
  </si>
  <si>
    <t>SRR3110286</t>
  </si>
  <si>
    <t>SRR3110288</t>
  </si>
  <si>
    <t>SRR3110293</t>
  </si>
  <si>
    <t>SRR3110338</t>
  </si>
  <si>
    <t>SRR3110339</t>
  </si>
  <si>
    <t>SRR3110340</t>
  </si>
  <si>
    <t>SRR3110343</t>
  </si>
  <si>
    <t>SRR3110345</t>
  </si>
  <si>
    <t>SRR3110346</t>
  </si>
  <si>
    <t>SRR3110347</t>
  </si>
  <si>
    <t>SRR3110349</t>
  </si>
  <si>
    <t>SRR3110350</t>
  </si>
  <si>
    <t>SRR3110351</t>
  </si>
  <si>
    <t>SRR3110353</t>
  </si>
  <si>
    <t>SRR3110354</t>
  </si>
  <si>
    <t>SRR3110356</t>
  </si>
  <si>
    <t>SRR3110358</t>
  </si>
  <si>
    <t>SRR3110359</t>
  </si>
  <si>
    <t>SRR3110360</t>
  </si>
  <si>
    <t>SRR3110361</t>
  </si>
  <si>
    <t>SRR3110362</t>
  </si>
  <si>
    <t>SRR3110511</t>
  </si>
  <si>
    <t>Environmental Isolate</t>
  </si>
  <si>
    <t>SRR3110513</t>
  </si>
  <si>
    <t>SRR3110517</t>
  </si>
  <si>
    <t>SRR3110518</t>
  </si>
  <si>
    <t>SRR3110519</t>
  </si>
  <si>
    <t>SRR3110520</t>
  </si>
  <si>
    <t>SRR3110522</t>
  </si>
  <si>
    <t>SRR3110523</t>
  </si>
  <si>
    <t>SRR3110524</t>
  </si>
  <si>
    <t>SRR3110526</t>
  </si>
  <si>
    <t>SRR3110527</t>
  </si>
  <si>
    <t>SRR3110529</t>
  </si>
  <si>
    <t>SRR3110530</t>
  </si>
  <si>
    <t>SRR3110531</t>
  </si>
  <si>
    <t>SRR3110533</t>
  </si>
  <si>
    <t>SRR3110534</t>
  </si>
  <si>
    <t>SRR3110535</t>
  </si>
  <si>
    <t>SRR3110536</t>
  </si>
  <si>
    <t>SRR3110537</t>
  </si>
  <si>
    <t>SRR3110539</t>
  </si>
  <si>
    <t>SRR3110540</t>
  </si>
  <si>
    <t>SRR3110541</t>
  </si>
  <si>
    <t>SRR3112451</t>
  </si>
  <si>
    <t>Environmental, Swab or Sampling; building - abattoir or meat processing</t>
  </si>
  <si>
    <t>SRR3112452</t>
  </si>
  <si>
    <t xml:space="preserve">swab from meat processing </t>
  </si>
  <si>
    <t>SRR3112453</t>
  </si>
  <si>
    <t>SRR3112455</t>
  </si>
  <si>
    <t>SRR3112457</t>
  </si>
  <si>
    <t>SRR3112458</t>
  </si>
  <si>
    <t>SRR3112461</t>
  </si>
  <si>
    <t>SRR3112462</t>
  </si>
  <si>
    <t>Solid - Stool; Clinical; Human (Homo Sapiens); animal - feces</t>
  </si>
  <si>
    <t>SRR3112463,SRR3112483</t>
  </si>
  <si>
    <t>Environmental, Swab or Sampling; drain; building - fish processing</t>
  </si>
  <si>
    <t>SRR3112464</t>
  </si>
  <si>
    <t>SRR3112467,SRR3112600</t>
  </si>
  <si>
    <t>SRR3112469</t>
  </si>
  <si>
    <t xml:space="preserve">meat processing </t>
  </si>
  <si>
    <t>SRR3112470</t>
  </si>
  <si>
    <t>SRR3112478</t>
  </si>
  <si>
    <t>SRR3112482</t>
  </si>
  <si>
    <t>SRR3112599,SRR3112603</t>
  </si>
  <si>
    <t>Solid - Food; Food; Fish and Seafood Products; Frozen - Fish sticks; Frozen; Salmon nuggets</t>
  </si>
  <si>
    <t>SRR3112601</t>
  </si>
  <si>
    <t>Fluid - Cerebral spinal fluid; Clinical; Human (Homo Sapiens)</t>
  </si>
  <si>
    <t>SRR3112604</t>
  </si>
  <si>
    <t>Fluid - Blood; Clinical; Human (Homo Sapiens); animal - blood</t>
  </si>
  <si>
    <t>SRR3112612</t>
  </si>
  <si>
    <t>Fluid - Cerebral spinal fluid; Clinical; Human (Homo Sapiens); animal - cerebral spinal fluid</t>
  </si>
  <si>
    <t>SRR3112615</t>
  </si>
  <si>
    <t>Environmental, Swab or Sampling; drain; agricultural - dairy</t>
  </si>
  <si>
    <t>SRR3112622</t>
  </si>
  <si>
    <t>SRR3113299</t>
  </si>
  <si>
    <t>onion waste</t>
  </si>
  <si>
    <t>SRR3113300</t>
  </si>
  <si>
    <t>SRR3113301</t>
  </si>
  <si>
    <t>SRR3113302</t>
  </si>
  <si>
    <t>SRR3113303</t>
  </si>
  <si>
    <t>SRR3113304</t>
  </si>
  <si>
    <t>SRR3113305</t>
  </si>
  <si>
    <t>SRR3113307</t>
  </si>
  <si>
    <t>SRR3113308</t>
  </si>
  <si>
    <t>SRR3113309</t>
  </si>
  <si>
    <t>SRR3113310</t>
  </si>
  <si>
    <t>SRR3113311</t>
  </si>
  <si>
    <t>SRR3113313</t>
  </si>
  <si>
    <t>SRR3113317</t>
  </si>
  <si>
    <t>SRR3113318</t>
  </si>
  <si>
    <t>SRR3113319</t>
  </si>
  <si>
    <t>SRR3113320</t>
  </si>
  <si>
    <t>SRR3113321</t>
  </si>
  <si>
    <t>SRR3113962</t>
  </si>
  <si>
    <t>Solid - Food; Food; Dairy Products; Heat processed (pasterized) - Ripened - Cheese made from pasteurized milk - Soft - Cream cheese; Ready-to-eat (RTE)</t>
  </si>
  <si>
    <t>SRR3113963</t>
  </si>
  <si>
    <t>Environmental, Swab or Sampling; swab - meat; building - abattoir or meat processing</t>
  </si>
  <si>
    <t>SRR3113965</t>
  </si>
  <si>
    <t>SRR3113969</t>
  </si>
  <si>
    <t>RTE fish</t>
  </si>
  <si>
    <t>SRR3113978</t>
  </si>
  <si>
    <t>SRR3113984</t>
  </si>
  <si>
    <t>Solid - Food; Food; Fish and Seafood Products; Fish and Seafood ProductsSmoked/cured - Smoked fish - smoked salmon; Smoked</t>
  </si>
  <si>
    <t>SRR3114002</t>
  </si>
  <si>
    <t>Solid - Food; Food; Raw Meat Products; Raw Meat (processed) - Prepared meat - sausage; Raw</t>
  </si>
  <si>
    <t>SRR3114006</t>
  </si>
  <si>
    <t>SRR3114192</t>
  </si>
  <si>
    <t>Environmental, Swab or Sampling; swab - inanimate object surface; building - food processing factory</t>
  </si>
  <si>
    <t>SRR3114195</t>
  </si>
  <si>
    <t>RTE meat beef</t>
  </si>
  <si>
    <t>SRR3114197</t>
  </si>
  <si>
    <t>Solid - Food; Food; Ready-to-eat Meat and Poultry; Cured/smoked - Pepperoni; Smoked</t>
  </si>
  <si>
    <t>SRR3114198</t>
  </si>
  <si>
    <t>canada</t>
  </si>
  <si>
    <t>RTE meat</t>
  </si>
  <si>
    <t>SRR3114199</t>
  </si>
  <si>
    <t>SRR3114202</t>
  </si>
  <si>
    <t>SRR3114203</t>
  </si>
  <si>
    <t>SRR3114205</t>
  </si>
  <si>
    <t>Solid - Food; Food; Fish and Seafood Products; Salted or acidified - Salted salmon roe; Salted</t>
  </si>
  <si>
    <t>SRR3114206</t>
  </si>
  <si>
    <t>Solid - Food; Food; Ready-to-eat Meat and Poultry; Heat processed - Deli meat; Eaten cold</t>
  </si>
  <si>
    <t>SRR3114209</t>
  </si>
  <si>
    <t>SRR3114210</t>
  </si>
  <si>
    <t>Environmental, Swab or Sampling; swab - inanimate object surface; agricultural - dairy</t>
  </si>
  <si>
    <t>SRR3114214</t>
  </si>
  <si>
    <t>SRR3114216</t>
  </si>
  <si>
    <t>SRR3114217</t>
  </si>
  <si>
    <t>SRR3114219</t>
  </si>
  <si>
    <t>SRR3114220</t>
  </si>
  <si>
    <t>SRR3114221</t>
  </si>
  <si>
    <t>SRR3114223</t>
  </si>
  <si>
    <t>SRR3114224</t>
  </si>
  <si>
    <t>food processing facility</t>
  </si>
  <si>
    <t>SRR3114225</t>
  </si>
  <si>
    <t>SRR3114226</t>
  </si>
  <si>
    <t>Environmental, Swab or Sampling; swab - meat; building - food processing factory</t>
  </si>
  <si>
    <t>SRR3114229</t>
  </si>
  <si>
    <t>Environmental, Swab or Sampling; swab - inanimate object surface; building - dairy processing</t>
  </si>
  <si>
    <t>SRR3114235</t>
  </si>
  <si>
    <t>Solid - Food; Food; Fish and Seafood Products; Raw fish and crustaceans - Lobster; Raw</t>
  </si>
  <si>
    <t>SRR3115257</t>
  </si>
  <si>
    <t>ice cream</t>
  </si>
  <si>
    <t>SRR3115258</t>
  </si>
  <si>
    <t>SRR3115264</t>
  </si>
  <si>
    <t>SRR3115265</t>
  </si>
  <si>
    <t>SRR3115266</t>
  </si>
  <si>
    <t>SRR3115267</t>
  </si>
  <si>
    <t>SRR3115340</t>
  </si>
  <si>
    <t>SRR3115434</t>
  </si>
  <si>
    <t>SRR3115435</t>
  </si>
  <si>
    <t>SRR3115436</t>
  </si>
  <si>
    <t>SRR3115437</t>
  </si>
  <si>
    <t>Product-RTE-Other Fully Cooked, Sliced-Turkey</t>
  </si>
  <si>
    <t>SRR3115439</t>
  </si>
  <si>
    <t>Product-RTE-Other Fully Cooked, Not Sliced-Chicken</t>
  </si>
  <si>
    <t>SRR3115441</t>
  </si>
  <si>
    <t>SRR3116190</t>
  </si>
  <si>
    <t>SRR3116193</t>
  </si>
  <si>
    <t>SRR3122774</t>
  </si>
  <si>
    <t>SRR3122775</t>
  </si>
  <si>
    <t>SRR3122777</t>
  </si>
  <si>
    <t>SRR3122778</t>
  </si>
  <si>
    <t>SRR3122779</t>
  </si>
  <si>
    <t>SRR3122780</t>
  </si>
  <si>
    <t>SRR3122781</t>
  </si>
  <si>
    <t>SRR3122782</t>
  </si>
  <si>
    <t>SRR3126334</t>
  </si>
  <si>
    <t>SRR3126335</t>
  </si>
  <si>
    <t>SRR3126336</t>
  </si>
  <si>
    <t>SRR3126337</t>
  </si>
  <si>
    <t>SRR3126338</t>
  </si>
  <si>
    <t>SRR3126339</t>
  </si>
  <si>
    <t>SRR3126340</t>
  </si>
  <si>
    <t>SRR3126341</t>
  </si>
  <si>
    <t>SRR3126342</t>
  </si>
  <si>
    <t>SRR3126343</t>
  </si>
  <si>
    <t>SRR3126344</t>
  </si>
  <si>
    <t>SRR3129727</t>
  </si>
  <si>
    <t>SRR3129729</t>
  </si>
  <si>
    <t>SRR3130337,SRR3130336</t>
  </si>
  <si>
    <t>swab from facility</t>
  </si>
  <si>
    <t>SRR3131133</t>
  </si>
  <si>
    <t>SRR3131135</t>
  </si>
  <si>
    <t>SRR3131136</t>
  </si>
  <si>
    <t>SRR3131137</t>
  </si>
  <si>
    <t>SRR3131138</t>
  </si>
  <si>
    <t>SRR3131139</t>
  </si>
  <si>
    <t>SRR3131141</t>
  </si>
  <si>
    <t>SRR3133018</t>
  </si>
  <si>
    <t>SRR3133023,SRR1535710</t>
  </si>
  <si>
    <t>SRR3133027</t>
  </si>
  <si>
    <t>SRR3137557</t>
  </si>
  <si>
    <t>SRR3137558</t>
  </si>
  <si>
    <t>SRR3137559</t>
  </si>
  <si>
    <t>SRR3137560</t>
  </si>
  <si>
    <t>SRR3137561</t>
  </si>
  <si>
    <t>SRR3137562</t>
  </si>
  <si>
    <t>SRR3137563</t>
  </si>
  <si>
    <t>SRR3139470</t>
  </si>
  <si>
    <t>SRR3139471</t>
  </si>
  <si>
    <t>SRR3143510</t>
  </si>
  <si>
    <t>SRR3143693</t>
  </si>
  <si>
    <t>SRR3143795</t>
  </si>
  <si>
    <t>SRR3143796</t>
  </si>
  <si>
    <t>SRR3143797</t>
  </si>
  <si>
    <t>SRR3143801</t>
  </si>
  <si>
    <t>SRR3143802</t>
  </si>
  <si>
    <t>SRR3143803</t>
  </si>
  <si>
    <t>SRR3143804</t>
  </si>
  <si>
    <t>SRR3143805</t>
  </si>
  <si>
    <t>SRR3143806</t>
  </si>
  <si>
    <t>SRR3143809</t>
  </si>
  <si>
    <t>SRR3143810</t>
  </si>
  <si>
    <t>SRR3147159</t>
  </si>
  <si>
    <t>SRR3147161</t>
  </si>
  <si>
    <t>SRR3147162</t>
  </si>
  <si>
    <t>SRR3147163</t>
  </si>
  <si>
    <t>SRR3147166</t>
  </si>
  <si>
    <t>SRR3147167</t>
  </si>
  <si>
    <t>SRR3147168</t>
  </si>
  <si>
    <t>SRR3147169</t>
  </si>
  <si>
    <t>SRR3147170</t>
  </si>
  <si>
    <t>SRR3147171</t>
  </si>
  <si>
    <t>SRR3147172</t>
  </si>
  <si>
    <t>SRR3147173</t>
  </si>
  <si>
    <t>SRR3147174</t>
  </si>
  <si>
    <t>SRR3147175</t>
  </si>
  <si>
    <t>SRR3147418</t>
  </si>
  <si>
    <t>SRR3147453</t>
  </si>
  <si>
    <t>taco meat</t>
  </si>
  <si>
    <t>SRR3148214</t>
  </si>
  <si>
    <t>SRR3168973,SRR5061775</t>
  </si>
  <si>
    <t>swine sausage</t>
  </si>
  <si>
    <t>SRR3168983,SRR5061784</t>
  </si>
  <si>
    <t>swine frankfurter</t>
  </si>
  <si>
    <t>SRR3168985,SRR5061785</t>
  </si>
  <si>
    <t>SRR3169075,SRR5061751</t>
  </si>
  <si>
    <t>minced meat</t>
  </si>
  <si>
    <t>SRR3169084,SRR5061760</t>
  </si>
  <si>
    <t>SRR3169086,SRR5061763</t>
  </si>
  <si>
    <t>swine salami</t>
  </si>
  <si>
    <t>SRR3171611</t>
  </si>
  <si>
    <t>SRR3171612</t>
  </si>
  <si>
    <t>SRR3171756</t>
  </si>
  <si>
    <t>SRR3173363</t>
  </si>
  <si>
    <t>robiola pineta cheese</t>
  </si>
  <si>
    <t>SRR3173364</t>
  </si>
  <si>
    <t>SRR3173365</t>
  </si>
  <si>
    <t>SRR3173393</t>
  </si>
  <si>
    <t>SRR3173394</t>
  </si>
  <si>
    <t>SRR3173566</t>
  </si>
  <si>
    <t>SRR3173567</t>
  </si>
  <si>
    <t>Production Room</t>
  </si>
  <si>
    <t>SRR3173569,SRR2533766</t>
  </si>
  <si>
    <t>SRR3173571,SRR2889969</t>
  </si>
  <si>
    <t>poboy sandwich</t>
  </si>
  <si>
    <t>SRR3173572</t>
  </si>
  <si>
    <t>SRR3173573</t>
  </si>
  <si>
    <t>SRR3173574</t>
  </si>
  <si>
    <t>SRR3173575</t>
  </si>
  <si>
    <t>SRR3173578</t>
  </si>
  <si>
    <t>SRR3173579</t>
  </si>
  <si>
    <t>SRR3173580</t>
  </si>
  <si>
    <t>SRR3173667</t>
  </si>
  <si>
    <t>roasted beef</t>
  </si>
  <si>
    <t>SRR3173668</t>
  </si>
  <si>
    <t>honey baked turkey</t>
  </si>
  <si>
    <t>SRR3173669</t>
  </si>
  <si>
    <t>mortadella</t>
  </si>
  <si>
    <t>SRR3173675</t>
  </si>
  <si>
    <t>shrimp mac salad</t>
  </si>
  <si>
    <t>SRR3173676</t>
  </si>
  <si>
    <t>SRR3173678</t>
  </si>
  <si>
    <t>SRR3173679</t>
  </si>
  <si>
    <t>SRR3173680</t>
  </si>
  <si>
    <t>SRR3173681</t>
  </si>
  <si>
    <t>SRR3173682</t>
  </si>
  <si>
    <t>SRR3173706</t>
  </si>
  <si>
    <t>SRR3173707</t>
  </si>
  <si>
    <t>SRR3173708</t>
  </si>
  <si>
    <t>SRR3173709</t>
  </si>
  <si>
    <t>SRR3173712</t>
  </si>
  <si>
    <t>SRR3173713</t>
  </si>
  <si>
    <t>SRR3173714</t>
  </si>
  <si>
    <t>SRR3173715</t>
  </si>
  <si>
    <t>SRR3173716</t>
  </si>
  <si>
    <t>SRR3173717</t>
  </si>
  <si>
    <t>SRR3175174</t>
  </si>
  <si>
    <t>italian sandwich</t>
  </si>
  <si>
    <t>SRR3175176</t>
  </si>
  <si>
    <t>cuban wrap</t>
  </si>
  <si>
    <t>SRR3175177</t>
  </si>
  <si>
    <t>SRR3175178</t>
  </si>
  <si>
    <t>SRR3175182</t>
  </si>
  <si>
    <t>SRR3175184</t>
  </si>
  <si>
    <t>SRR3175186</t>
  </si>
  <si>
    <t>SRR3175187</t>
  </si>
  <si>
    <t>SRR3175188,SRR3184171</t>
  </si>
  <si>
    <t>SRR3178064</t>
  </si>
  <si>
    <t>SRR3181832</t>
  </si>
  <si>
    <t>SRR3182724</t>
  </si>
  <si>
    <t>SRR3184170,SRR2533778</t>
  </si>
  <si>
    <t>smoked round salmon</t>
  </si>
  <si>
    <t>SRR3184172</t>
  </si>
  <si>
    <t>chicken wrap</t>
  </si>
  <si>
    <t>SRR3184174</t>
  </si>
  <si>
    <t>SRR3184175</t>
  </si>
  <si>
    <t>SRR3184176</t>
  </si>
  <si>
    <t>SRR3184177</t>
  </si>
  <si>
    <t>SRR3184178</t>
  </si>
  <si>
    <t>SRR3184179</t>
  </si>
  <si>
    <t>SRR3184181</t>
  </si>
  <si>
    <t>SRR3184182</t>
  </si>
  <si>
    <t>SRR3185636</t>
  </si>
  <si>
    <t>smoked chicken breast</t>
  </si>
  <si>
    <t>SRR3199547</t>
  </si>
  <si>
    <t>SRR3199550</t>
  </si>
  <si>
    <t>SRR3199569</t>
  </si>
  <si>
    <t>SRR3199570</t>
  </si>
  <si>
    <t>SRR3199571</t>
  </si>
  <si>
    <t>SRR3199572</t>
  </si>
  <si>
    <t>SRR3199573</t>
  </si>
  <si>
    <t>SRR3199574</t>
  </si>
  <si>
    <t>SRR3199575</t>
  </si>
  <si>
    <t>SRR3199576</t>
  </si>
  <si>
    <t>SRR3199577</t>
  </si>
  <si>
    <t>SRR3199578</t>
  </si>
  <si>
    <t>SRR3199579</t>
  </si>
  <si>
    <t>SRR3199580</t>
  </si>
  <si>
    <t>SRR3199586</t>
  </si>
  <si>
    <t>SRR3210348</t>
  </si>
  <si>
    <t>SRR3210356</t>
  </si>
  <si>
    <t>SRR3210359</t>
  </si>
  <si>
    <t>SRR3213943</t>
  </si>
  <si>
    <t>SRR3214160</t>
  </si>
  <si>
    <t>cooked sweet ham</t>
  </si>
  <si>
    <t>SRR3214161</t>
  </si>
  <si>
    <t>SRR3214162</t>
  </si>
  <si>
    <t>SRR3214163</t>
  </si>
  <si>
    <t>ham turkey pimento cheese sandwich</t>
  </si>
  <si>
    <t>SRR3214168</t>
  </si>
  <si>
    <t>italian wrap</t>
  </si>
  <si>
    <t>SRR3214169</t>
  </si>
  <si>
    <t>turkey breast sandwich</t>
  </si>
  <si>
    <t>SRR3214170</t>
  </si>
  <si>
    <t>SRR3214172</t>
  </si>
  <si>
    <t>SRR3214173</t>
  </si>
  <si>
    <t>cheese curd</t>
  </si>
  <si>
    <t>SRR3214174</t>
  </si>
  <si>
    <t>SRR3214191</t>
  </si>
  <si>
    <t>seafood salad sandwich</t>
  </si>
  <si>
    <t>SRR3214201</t>
  </si>
  <si>
    <t>Italian Sub on White</t>
  </si>
  <si>
    <t>SRR3214208</t>
  </si>
  <si>
    <t>SRR3215114</t>
  </si>
  <si>
    <t>SRR3215294</t>
  </si>
  <si>
    <t>turkey ham</t>
  </si>
  <si>
    <t>SRR3215297</t>
  </si>
  <si>
    <t>SRR3215352</t>
  </si>
  <si>
    <t>SRR3215353</t>
  </si>
  <si>
    <t>SRR3215354</t>
  </si>
  <si>
    <t>SRR3215355</t>
  </si>
  <si>
    <t>SRR3215357</t>
  </si>
  <si>
    <t>SRR3215359</t>
  </si>
  <si>
    <t>SRR3215366</t>
  </si>
  <si>
    <t>hamburger</t>
  </si>
  <si>
    <t>SRR3215369</t>
  </si>
  <si>
    <t>SRR3215373</t>
  </si>
  <si>
    <t>meat deli product</t>
  </si>
  <si>
    <t>SRR3215374</t>
  </si>
  <si>
    <t>SRR3215378</t>
  </si>
  <si>
    <t>salami paste (production)</t>
  </si>
  <si>
    <t>SRR3217409</t>
  </si>
  <si>
    <t>SRR3218040</t>
  </si>
  <si>
    <t>SRR3218041</t>
  </si>
  <si>
    <t>SRR3219270</t>
  </si>
  <si>
    <t>roasted turkey</t>
  </si>
  <si>
    <t>SRR3219822</t>
  </si>
  <si>
    <t>SRR3219823</t>
  </si>
  <si>
    <t>SRR3219824</t>
  </si>
  <si>
    <t>SRR3219825</t>
  </si>
  <si>
    <t>SRR3219828</t>
  </si>
  <si>
    <t>SRR3219829</t>
  </si>
  <si>
    <t>SRR3219832</t>
  </si>
  <si>
    <t>club sandwich</t>
  </si>
  <si>
    <t>SRR3222073</t>
  </si>
  <si>
    <t>SRR3222074</t>
  </si>
  <si>
    <t>pastrami salmon</t>
  </si>
  <si>
    <t>SRR3222295</t>
  </si>
  <si>
    <t>frozen chili pepper</t>
  </si>
  <si>
    <t>SRR3223718</t>
  </si>
  <si>
    <t>SRR3223719</t>
  </si>
  <si>
    <t>SRR3223723</t>
  </si>
  <si>
    <t>SRR3223724</t>
  </si>
  <si>
    <t>SRR3226064</t>
  </si>
  <si>
    <t>SRR3226065</t>
  </si>
  <si>
    <t>SRR3226066</t>
  </si>
  <si>
    <t>SRR3226069</t>
  </si>
  <si>
    <t>SRR3236779</t>
  </si>
  <si>
    <t>SRR3241813</t>
  </si>
  <si>
    <t>SRR3242058</t>
  </si>
  <si>
    <t>SRR3271899</t>
  </si>
  <si>
    <t>SRR3272410</t>
  </si>
  <si>
    <t>SRR3272412</t>
  </si>
  <si>
    <t>SRR3272413</t>
  </si>
  <si>
    <t>SRR3272414</t>
  </si>
  <si>
    <t>SRR3272416</t>
  </si>
  <si>
    <t>SRR3272462</t>
  </si>
  <si>
    <t>SRR3272463</t>
  </si>
  <si>
    <t>SRR3272464</t>
  </si>
  <si>
    <t>SRR3272466</t>
  </si>
  <si>
    <t>SRR3272467</t>
  </si>
  <si>
    <t>SRR3272468</t>
  </si>
  <si>
    <t>SRR3272493</t>
  </si>
  <si>
    <t>SRR3272494</t>
  </si>
  <si>
    <t>SRR3272509</t>
  </si>
  <si>
    <t>SRR3277646</t>
  </si>
  <si>
    <t>SRR3278090</t>
  </si>
  <si>
    <t>SRR3278098</t>
  </si>
  <si>
    <t>SRR3278101</t>
  </si>
  <si>
    <t>bacon cut smoked salmon</t>
  </si>
  <si>
    <t>SRR3294938</t>
  </si>
  <si>
    <t>SRR3294940</t>
  </si>
  <si>
    <t>roast beef and swiss sandwich</t>
  </si>
  <si>
    <t>SRR3294941</t>
  </si>
  <si>
    <t>SRR3294942</t>
  </si>
  <si>
    <t>smoked ham on wheat sandwich</t>
  </si>
  <si>
    <t>SRR3294945</t>
  </si>
  <si>
    <t>baked potato salad</t>
  </si>
  <si>
    <t>SRR3294950</t>
  </si>
  <si>
    <t>SRR3294952</t>
  </si>
  <si>
    <t>SRR3309225</t>
  </si>
  <si>
    <t>nova smoked salmon</t>
  </si>
  <si>
    <t>SRR3309227</t>
  </si>
  <si>
    <t>Italian lahvash sandwich</t>
  </si>
  <si>
    <t>SRR3309228</t>
  </si>
  <si>
    <t>beef bologna</t>
  </si>
  <si>
    <t>SRR3309230</t>
  </si>
  <si>
    <t>SRR3309231</t>
  </si>
  <si>
    <t>SRR3309234</t>
  </si>
  <si>
    <t>SRR3309235</t>
  </si>
  <si>
    <t>SRR3309237</t>
  </si>
  <si>
    <t>SRR3309239</t>
  </si>
  <si>
    <t>smoked ham on white sub sandwich</t>
  </si>
  <si>
    <t>SRR3309240</t>
  </si>
  <si>
    <t>SRR3321305</t>
  </si>
  <si>
    <t>SRR3321306</t>
  </si>
  <si>
    <t>SRR3321307</t>
  </si>
  <si>
    <t>frozen raw dog food duck meat</t>
  </si>
  <si>
    <t>SRR3321320</t>
  </si>
  <si>
    <t>SRR3321322</t>
  </si>
  <si>
    <t>SRR3321324</t>
  </si>
  <si>
    <t>SRR3330401</t>
  </si>
  <si>
    <t>SRR3330402</t>
  </si>
  <si>
    <t>SRR3330405</t>
  </si>
  <si>
    <t>SRR3330415</t>
  </si>
  <si>
    <t>SRR3330416</t>
  </si>
  <si>
    <t>SRR3330417</t>
  </si>
  <si>
    <t>SRR3330418</t>
  </si>
  <si>
    <t>SRR3330419</t>
  </si>
  <si>
    <t>SRR3340452</t>
  </si>
  <si>
    <t>environmental samples</t>
  </si>
  <si>
    <t>SRR3340455</t>
  </si>
  <si>
    <t>SRR3345288</t>
  </si>
  <si>
    <t>SRR3345526</t>
  </si>
  <si>
    <t>bulk tank milk</t>
  </si>
  <si>
    <t>SRR3345532</t>
  </si>
  <si>
    <t>bovine fresh meat</t>
  </si>
  <si>
    <t>SRR3345533</t>
  </si>
  <si>
    <t>Swab (dairy plant)</t>
  </si>
  <si>
    <t>SRR3345542</t>
  </si>
  <si>
    <t>SRR3345543</t>
  </si>
  <si>
    <t>food(RTE)</t>
  </si>
  <si>
    <t>SRR3345545</t>
  </si>
  <si>
    <t>sushi</t>
  </si>
  <si>
    <t>SRR3345553</t>
  </si>
  <si>
    <t>SRR3345679</t>
  </si>
  <si>
    <t>SRR3345682</t>
  </si>
  <si>
    <t>SRR3345686</t>
  </si>
  <si>
    <t>SRR3345692</t>
  </si>
  <si>
    <t>SRR3345809</t>
  </si>
  <si>
    <t>SRR3345811</t>
  </si>
  <si>
    <t>rice salad</t>
  </si>
  <si>
    <t>SRR3345814</t>
  </si>
  <si>
    <t>SRR3345815</t>
  </si>
  <si>
    <t>salami (lardo)</t>
  </si>
  <si>
    <t>SRR3345816</t>
  </si>
  <si>
    <t>SRR3345820</t>
  </si>
  <si>
    <t>SRR3345822</t>
  </si>
  <si>
    <t>SRR3345835</t>
  </si>
  <si>
    <t>chicken meat</t>
  </si>
  <si>
    <t>SRR3345841</t>
  </si>
  <si>
    <t>SRR3345842</t>
  </si>
  <si>
    <t>SRR3345846</t>
  </si>
  <si>
    <t>SRR3345849</t>
  </si>
  <si>
    <t>swab (dairy plant)</t>
  </si>
  <si>
    <t>SRR3345850</t>
  </si>
  <si>
    <t>SRR3345855</t>
  </si>
  <si>
    <t>SRR3345856</t>
  </si>
  <si>
    <t>SRR3345858</t>
  </si>
  <si>
    <t>SRR3345859</t>
  </si>
  <si>
    <t>SRR3345870</t>
  </si>
  <si>
    <t>sauce and condiment</t>
  </si>
  <si>
    <t>SRR3345876</t>
  </si>
  <si>
    <t>SRR3345879</t>
  </si>
  <si>
    <t>SRR3345882</t>
  </si>
  <si>
    <t>SRR3345884</t>
  </si>
  <si>
    <t>meat product swine</t>
  </si>
  <si>
    <t>SRR3345885</t>
  </si>
  <si>
    <t>Food (RTE)</t>
  </si>
  <si>
    <t>SRR3345887</t>
  </si>
  <si>
    <t>SRR3345892</t>
  </si>
  <si>
    <t>SRR3345895</t>
  </si>
  <si>
    <t>SRR3345896</t>
  </si>
  <si>
    <t>SRR3345898</t>
  </si>
  <si>
    <t>ricotta</t>
  </si>
  <si>
    <t>SRR3345900</t>
  </si>
  <si>
    <t>SRR3345901</t>
  </si>
  <si>
    <t>SRR3345903</t>
  </si>
  <si>
    <t>SRR3345905</t>
  </si>
  <si>
    <t>SRR3345906</t>
  </si>
  <si>
    <t>SRR3345907</t>
  </si>
  <si>
    <t>SRR3345908</t>
  </si>
  <si>
    <t>SRR3345910</t>
  </si>
  <si>
    <t>SRR3345911</t>
  </si>
  <si>
    <t>SRR3345914</t>
  </si>
  <si>
    <t>SRR3345924</t>
  </si>
  <si>
    <t>deli meat product</t>
  </si>
  <si>
    <t>SRR3345925</t>
  </si>
  <si>
    <t>SRR3345929</t>
  </si>
  <si>
    <t>SRR3345930</t>
  </si>
  <si>
    <t>SRR3345931</t>
  </si>
  <si>
    <t>SRR3345935</t>
  </si>
  <si>
    <t>SRR3345936</t>
  </si>
  <si>
    <t>SRR3345938</t>
  </si>
  <si>
    <t>SRR3345939</t>
  </si>
  <si>
    <t>SRR3345940</t>
  </si>
  <si>
    <t>SRR3345941</t>
  </si>
  <si>
    <t>SRR3345942</t>
  </si>
  <si>
    <t>SRR3345943</t>
  </si>
  <si>
    <t>SRR3345944</t>
  </si>
  <si>
    <t>SRR3345946</t>
  </si>
  <si>
    <t>SRR3345947</t>
  </si>
  <si>
    <t>SRR3345952</t>
  </si>
  <si>
    <t>SRR3345954</t>
  </si>
  <si>
    <t>SRR3345955</t>
  </si>
  <si>
    <t>SRR3371726</t>
  </si>
  <si>
    <t>SRR3371727</t>
  </si>
  <si>
    <t>SRR3371728</t>
  </si>
  <si>
    <t>SRR3371729</t>
  </si>
  <si>
    <t>SRR3372406</t>
  </si>
  <si>
    <t>frozen sweet cut corn</t>
  </si>
  <si>
    <t>SRR3372408</t>
  </si>
  <si>
    <t>shredded cheddar cheese</t>
  </si>
  <si>
    <t>SRR3372412</t>
  </si>
  <si>
    <t>SRR3383229</t>
  </si>
  <si>
    <t>SRR3383295</t>
  </si>
  <si>
    <t>SRR3383309</t>
  </si>
  <si>
    <t>SRR3383312</t>
  </si>
  <si>
    <t>RTE Product-Chorizo</t>
  </si>
  <si>
    <t>SRR3391828</t>
  </si>
  <si>
    <t>environmental swab sponge dairy facility blue cheese</t>
  </si>
  <si>
    <t>SRR3391839</t>
  </si>
  <si>
    <t>SRR3391840</t>
  </si>
  <si>
    <t>SRR3391841</t>
  </si>
  <si>
    <t>SRR3391842</t>
  </si>
  <si>
    <t>SRR3391849</t>
  </si>
  <si>
    <t>environment</t>
  </si>
  <si>
    <t>SRR3391863</t>
  </si>
  <si>
    <t>SRR3391873</t>
  </si>
  <si>
    <t>SRR3391874</t>
  </si>
  <si>
    <t>SRR3391875</t>
  </si>
  <si>
    <t>SRR3391921</t>
  </si>
  <si>
    <t>SRR3391924</t>
  </si>
  <si>
    <t>SRR3391925</t>
  </si>
  <si>
    <t>SRR3394971</t>
  </si>
  <si>
    <t>SRR3394983</t>
  </si>
  <si>
    <t>amniotic fluid</t>
  </si>
  <si>
    <t>SRR3394987</t>
  </si>
  <si>
    <t>cerebrospinal fluid</t>
  </si>
  <si>
    <t>SRR3395009</t>
  </si>
  <si>
    <t>SRR3395011</t>
  </si>
  <si>
    <t>smoked turkey ham</t>
  </si>
  <si>
    <t>SRR3399274,SRR3578559</t>
  </si>
  <si>
    <t>SRR3399690</t>
  </si>
  <si>
    <t>SRR3399691</t>
  </si>
  <si>
    <t>SRR3399692</t>
  </si>
  <si>
    <t>SRR3399693</t>
  </si>
  <si>
    <t>SRR3399694</t>
  </si>
  <si>
    <t>SRR3399695</t>
  </si>
  <si>
    <t>SRR3399696</t>
  </si>
  <si>
    <t>SRR3399697</t>
  </si>
  <si>
    <t>SRR3399698</t>
  </si>
  <si>
    <t>SRR3399699</t>
  </si>
  <si>
    <t>SRR3399700</t>
  </si>
  <si>
    <t>SRR3399701</t>
  </si>
  <si>
    <t>SRR3399703</t>
  </si>
  <si>
    <t>SRR3399704</t>
  </si>
  <si>
    <t>SRR3399705</t>
  </si>
  <si>
    <t>SRR3399706</t>
  </si>
  <si>
    <t>SRR3399707</t>
  </si>
  <si>
    <t>SRR3399708</t>
  </si>
  <si>
    <t>SRR3399716</t>
  </si>
  <si>
    <t>SRR3399717</t>
  </si>
  <si>
    <t>SRR3399738</t>
  </si>
  <si>
    <t>SRR3399740</t>
  </si>
  <si>
    <t>SRR3399741</t>
  </si>
  <si>
    <t>SRR3399742</t>
  </si>
  <si>
    <t>SRR3400307</t>
  </si>
  <si>
    <t>SRR3400308</t>
  </si>
  <si>
    <t>SRR3400309</t>
  </si>
  <si>
    <t>feed</t>
  </si>
  <si>
    <t>SRR3400313</t>
  </si>
  <si>
    <t>SRR3400314</t>
  </si>
  <si>
    <t>SRR3400315</t>
  </si>
  <si>
    <t>SRR3400322</t>
  </si>
  <si>
    <t>SRR3400324</t>
  </si>
  <si>
    <t>SRR3400325</t>
  </si>
  <si>
    <t>SRR3400326</t>
  </si>
  <si>
    <t>SRR3400327</t>
  </si>
  <si>
    <t>SRR3400328</t>
  </si>
  <si>
    <t>SRR3400330</t>
  </si>
  <si>
    <t>SRR3400331</t>
  </si>
  <si>
    <t>SRR3400340</t>
  </si>
  <si>
    <t>SRR3400341</t>
  </si>
  <si>
    <t>SRR3400342</t>
  </si>
  <si>
    <t>SRR3400343</t>
  </si>
  <si>
    <t>SRR3400344</t>
  </si>
  <si>
    <t>SRR3400345</t>
  </si>
  <si>
    <t>SRR3400346</t>
  </si>
  <si>
    <t>SRR3400347</t>
  </si>
  <si>
    <t>SRR3400348</t>
  </si>
  <si>
    <t>SRR3400349</t>
  </si>
  <si>
    <t>SRR3402106</t>
  </si>
  <si>
    <t>SRR3402108</t>
  </si>
  <si>
    <t>SRR3402109</t>
  </si>
  <si>
    <t>SRR3407799</t>
  </si>
  <si>
    <t>SRR3407800</t>
  </si>
  <si>
    <t>SRR3407801</t>
  </si>
  <si>
    <t>SRR3407805</t>
  </si>
  <si>
    <t>SRR3436433</t>
  </si>
  <si>
    <t>SRR3437512</t>
  </si>
  <si>
    <t>SRR3437513</t>
  </si>
  <si>
    <t>SRR3437514</t>
  </si>
  <si>
    <t>SRR3437515</t>
  </si>
  <si>
    <t>SRR3437516</t>
  </si>
  <si>
    <t>SRR3437517</t>
  </si>
  <si>
    <t>SRR3437536</t>
  </si>
  <si>
    <t>SRR3437562</t>
  </si>
  <si>
    <t>SRR3437563</t>
  </si>
  <si>
    <t>SRR3437572</t>
  </si>
  <si>
    <t>SRR3437573</t>
  </si>
  <si>
    <t>SRR3437574</t>
  </si>
  <si>
    <t>SRR3438073</t>
  </si>
  <si>
    <t>SRR3438163</t>
  </si>
  <si>
    <t>SRR3440537</t>
  </si>
  <si>
    <t>SRR3452342</t>
  </si>
  <si>
    <t>SRR3453130</t>
  </si>
  <si>
    <t>SRR3453131</t>
  </si>
  <si>
    <t>SRR3453135</t>
  </si>
  <si>
    <t>SRR3453136</t>
  </si>
  <si>
    <t>SRR3453137</t>
  </si>
  <si>
    <t>SRR3453138</t>
  </si>
  <si>
    <t>SRR3453139</t>
  </si>
  <si>
    <t>SRR3453140</t>
  </si>
  <si>
    <t>SRR3453141</t>
  </si>
  <si>
    <t>SRR3453152</t>
  </si>
  <si>
    <t>SRR3453153</t>
  </si>
  <si>
    <t>SRR3457741</t>
  </si>
  <si>
    <t>SRR3457743</t>
  </si>
  <si>
    <t>SRR3457744</t>
  </si>
  <si>
    <t>SRR3457745</t>
  </si>
  <si>
    <t>SRR3457746</t>
  </si>
  <si>
    <t>SRR3466982</t>
  </si>
  <si>
    <t>SRR3473935</t>
  </si>
  <si>
    <t>urine</t>
  </si>
  <si>
    <t>SRR3473936</t>
  </si>
  <si>
    <t>SRR3473945</t>
  </si>
  <si>
    <t>Frozen broccoli</t>
  </si>
  <si>
    <t>SRR3473964</t>
  </si>
  <si>
    <t>SRR3474551</t>
  </si>
  <si>
    <t>SRR3474556</t>
  </si>
  <si>
    <t>Surface Wipe</t>
  </si>
  <si>
    <t>SRR3474563</t>
  </si>
  <si>
    <t>SRR3474564</t>
  </si>
  <si>
    <t>pepper</t>
  </si>
  <si>
    <t>SRR3474565</t>
  </si>
  <si>
    <t>SRR3474566</t>
  </si>
  <si>
    <t>SRR3474568</t>
  </si>
  <si>
    <t>SRR3474569</t>
  </si>
  <si>
    <t>SRR3474570</t>
  </si>
  <si>
    <t>SRR3474571</t>
  </si>
  <si>
    <t>SRR3474572</t>
  </si>
  <si>
    <t>SRR3474573</t>
  </si>
  <si>
    <t>SRR3474574</t>
  </si>
  <si>
    <t>SRR3474575</t>
  </si>
  <si>
    <t>SRR3474576</t>
  </si>
  <si>
    <t>SRR3474577</t>
  </si>
  <si>
    <t>SRR3474578</t>
  </si>
  <si>
    <t>SRR3474579</t>
  </si>
  <si>
    <t>SRR3474581</t>
  </si>
  <si>
    <t>SRR3474582</t>
  </si>
  <si>
    <t>SRR3474584</t>
  </si>
  <si>
    <t>SRR3474585</t>
  </si>
  <si>
    <t>SRR3474586</t>
  </si>
  <si>
    <t>SRR3474587</t>
  </si>
  <si>
    <t>SRR3474588</t>
  </si>
  <si>
    <t>SRR3474590</t>
  </si>
  <si>
    <t>SRR3474591</t>
  </si>
  <si>
    <t>SRR3474592</t>
  </si>
  <si>
    <t>SRR3474593</t>
  </si>
  <si>
    <t>SRR3474594</t>
  </si>
  <si>
    <t>SRR3474601</t>
  </si>
  <si>
    <t>SRR3474602</t>
  </si>
  <si>
    <t>SRR3474603</t>
  </si>
  <si>
    <t>SRR3474604</t>
  </si>
  <si>
    <t>SRR3474605</t>
  </si>
  <si>
    <t>SRR3474606</t>
  </si>
  <si>
    <t>SRR3474607</t>
  </si>
  <si>
    <t>SRR3474608</t>
  </si>
  <si>
    <t>SRR3474610</t>
  </si>
  <si>
    <t>SRR3474618</t>
  </si>
  <si>
    <t>SRR3474619</t>
  </si>
  <si>
    <t>SRR3474620</t>
  </si>
  <si>
    <t>SRR3474621</t>
  </si>
  <si>
    <t>SRR3474633</t>
  </si>
  <si>
    <t>SRR3474635</t>
  </si>
  <si>
    <t>SRR3474636</t>
  </si>
  <si>
    <t>SRR3474637</t>
  </si>
  <si>
    <t>SRR3474639</t>
  </si>
  <si>
    <t>SRR3474642</t>
  </si>
  <si>
    <t>SRR3474644</t>
  </si>
  <si>
    <t>kiwi</t>
  </si>
  <si>
    <t>SRR3474659</t>
  </si>
  <si>
    <t>SRR3474660</t>
  </si>
  <si>
    <t>SRR3474661</t>
  </si>
  <si>
    <t>SRR3474663</t>
  </si>
  <si>
    <t>SRR3474664</t>
  </si>
  <si>
    <t>SRR3474665</t>
  </si>
  <si>
    <t>SRR3474666</t>
  </si>
  <si>
    <t>SRR3474668</t>
  </si>
  <si>
    <t>SRR3474670</t>
  </si>
  <si>
    <t>SRR3474671</t>
  </si>
  <si>
    <t>SRR3474672</t>
  </si>
  <si>
    <t>SRR3479646</t>
  </si>
  <si>
    <t>SRR3489317</t>
  </si>
  <si>
    <t>SRR3489805</t>
  </si>
  <si>
    <t>SRR3489807</t>
  </si>
  <si>
    <t>SRR3489808</t>
  </si>
  <si>
    <t>SRR3489809</t>
  </si>
  <si>
    <t>SRR3489810</t>
  </si>
  <si>
    <t>SRR3489823</t>
  </si>
  <si>
    <t>SRR3489824</t>
  </si>
  <si>
    <t>SRR3489825</t>
  </si>
  <si>
    <t>SRR3489826</t>
  </si>
  <si>
    <t>SRR3489837</t>
  </si>
  <si>
    <t>SRR3489838</t>
  </si>
  <si>
    <t>SRR3489839</t>
  </si>
  <si>
    <t>SRR3489840</t>
  </si>
  <si>
    <t>SRR3489841</t>
  </si>
  <si>
    <t>SRR3489842</t>
  </si>
  <si>
    <t>SRR3489844</t>
  </si>
  <si>
    <t>SRR3489846</t>
  </si>
  <si>
    <t>SRR3489847</t>
  </si>
  <si>
    <t>SRR3489848</t>
  </si>
  <si>
    <t>SRR3489849</t>
  </si>
  <si>
    <t>SRR3489850</t>
  </si>
  <si>
    <t>SRR3489851</t>
  </si>
  <si>
    <t>SRR3489852</t>
  </si>
  <si>
    <t>SRR3489854</t>
  </si>
  <si>
    <t>SRR3489855</t>
  </si>
  <si>
    <t>SRR3489857</t>
  </si>
  <si>
    <t>SRR3489858</t>
  </si>
  <si>
    <t>SRR3489859</t>
  </si>
  <si>
    <t>SRR3489860</t>
  </si>
  <si>
    <t>SRR3489861</t>
  </si>
  <si>
    <t>SRR3489862</t>
  </si>
  <si>
    <t>SRR3489863</t>
  </si>
  <si>
    <t>SRR3489864</t>
  </si>
  <si>
    <t>SRR3489865</t>
  </si>
  <si>
    <t>SRR3489866</t>
  </si>
  <si>
    <t>SRR3489867</t>
  </si>
  <si>
    <t>SRR3489868</t>
  </si>
  <si>
    <t>SRR3489869</t>
  </si>
  <si>
    <t>SRR3489870</t>
  </si>
  <si>
    <t>SRR3489871</t>
  </si>
  <si>
    <t>SRR3489874</t>
  </si>
  <si>
    <t>SRR3489875</t>
  </si>
  <si>
    <t>beef marrow bone</t>
  </si>
  <si>
    <t>SRR3489876</t>
  </si>
  <si>
    <t>SRR3489877</t>
  </si>
  <si>
    <t>SRR3489878</t>
  </si>
  <si>
    <t>SRR3489879</t>
  </si>
  <si>
    <t>SRR3489880</t>
  </si>
  <si>
    <t>SRR3489881</t>
  </si>
  <si>
    <t>SRR3489883</t>
  </si>
  <si>
    <t>SRR3489884</t>
  </si>
  <si>
    <t>SRR3489886</t>
  </si>
  <si>
    <t>SRR3489888</t>
  </si>
  <si>
    <t>SRR3489889</t>
  </si>
  <si>
    <t>SRR3489890</t>
  </si>
  <si>
    <t>SRR3489891</t>
  </si>
  <si>
    <t>SRR3489892</t>
  </si>
  <si>
    <t>SRR3489893</t>
  </si>
  <si>
    <t>SRR3489908</t>
  </si>
  <si>
    <t>SRR3489949</t>
  </si>
  <si>
    <t>SRR3489971</t>
  </si>
  <si>
    <t>SRR3489972</t>
  </si>
  <si>
    <t>SRR3489973</t>
  </si>
  <si>
    <t>SRR3489974</t>
  </si>
  <si>
    <t>SRR3489975</t>
  </si>
  <si>
    <t>SRR3489978</t>
  </si>
  <si>
    <t>SRR3489979</t>
  </si>
  <si>
    <t>SRR3489980</t>
  </si>
  <si>
    <t>SRR3489982</t>
  </si>
  <si>
    <t>SRR3489983</t>
  </si>
  <si>
    <t>SRR3489989</t>
  </si>
  <si>
    <t>SRR3489990</t>
  </si>
  <si>
    <t>SRR3489991</t>
  </si>
  <si>
    <t>SRR3489994</t>
  </si>
  <si>
    <t>SRR3489995</t>
  </si>
  <si>
    <t>SRR3489996</t>
  </si>
  <si>
    <t>SRR3489997</t>
  </si>
  <si>
    <t>SRR3489998</t>
  </si>
  <si>
    <t>SRR3489999</t>
  </si>
  <si>
    <t>SRR3490000</t>
  </si>
  <si>
    <t>SRR3490002</t>
  </si>
  <si>
    <t>SRR3490003</t>
  </si>
  <si>
    <t>SRR3490004</t>
  </si>
  <si>
    <t>SRR3490005</t>
  </si>
  <si>
    <t>SRR3490006</t>
  </si>
  <si>
    <t>SRR3490007</t>
  </si>
  <si>
    <t>SRR3490072</t>
  </si>
  <si>
    <t>SRR3490073</t>
  </si>
  <si>
    <t>SRR3490074</t>
  </si>
  <si>
    <t>SRR3490075</t>
  </si>
  <si>
    <t>SRR3490076</t>
  </si>
  <si>
    <t>SRR3490077</t>
  </si>
  <si>
    <t>SRR3490078</t>
  </si>
  <si>
    <t>SRR3490079</t>
  </si>
  <si>
    <t>SRR3490080</t>
  </si>
  <si>
    <t>SRR3490081</t>
  </si>
  <si>
    <t>SRR3490082</t>
  </si>
  <si>
    <t>SRR3490083</t>
  </si>
  <si>
    <t>SRR3490085</t>
  </si>
  <si>
    <t>SRR3490086</t>
  </si>
  <si>
    <t>SRR3490087</t>
  </si>
  <si>
    <t>SRR3490088</t>
  </si>
  <si>
    <t>SRR3490089</t>
  </si>
  <si>
    <t>SRR3490090</t>
  </si>
  <si>
    <t>SRR3490091</t>
  </si>
  <si>
    <t>SRR3490092</t>
  </si>
  <si>
    <t>SRR3490093</t>
  </si>
  <si>
    <t>SRR3490094</t>
  </si>
  <si>
    <t>SRR3490095</t>
  </si>
  <si>
    <t>SRR3490096</t>
  </si>
  <si>
    <t>SRR3490097</t>
  </si>
  <si>
    <t>SRR3490099</t>
  </si>
  <si>
    <t>SRR3490100</t>
  </si>
  <si>
    <t>SRR3490101</t>
  </si>
  <si>
    <t>SRR3490102</t>
  </si>
  <si>
    <t>SRR3490103</t>
  </si>
  <si>
    <t>SRR3490104</t>
  </si>
  <si>
    <t>SRR3490105</t>
  </si>
  <si>
    <t>SRR3490106</t>
  </si>
  <si>
    <t>SRR3490107</t>
  </si>
  <si>
    <t>SRR3490108</t>
  </si>
  <si>
    <t>SRR3490109</t>
  </si>
  <si>
    <t>SRR3490110</t>
  </si>
  <si>
    <t>SRR3490111</t>
  </si>
  <si>
    <t>SRR3490112</t>
  </si>
  <si>
    <t>SRR3490113</t>
  </si>
  <si>
    <t>SRR3490114</t>
  </si>
  <si>
    <t>SRR3490115</t>
  </si>
  <si>
    <t>SRR3490116</t>
  </si>
  <si>
    <t>SRR3490117</t>
  </si>
  <si>
    <t>SRR3490118</t>
  </si>
  <si>
    <t>SRR3490119</t>
  </si>
  <si>
    <t>SRR3490120</t>
  </si>
  <si>
    <t>SRR3490121</t>
  </si>
  <si>
    <t>SRR3490122</t>
  </si>
  <si>
    <t>SRR3490123</t>
  </si>
  <si>
    <t>SRR3490124</t>
  </si>
  <si>
    <t>SRR3490125</t>
  </si>
  <si>
    <t>SRR3490126</t>
  </si>
  <si>
    <t>SRR3490127</t>
  </si>
  <si>
    <t>SRR3497922</t>
  </si>
  <si>
    <t>SRR3497933</t>
  </si>
  <si>
    <t>SRR3497934</t>
  </si>
  <si>
    <t>SRR3532763</t>
  </si>
  <si>
    <t>SRR3532764</t>
  </si>
  <si>
    <t>SRR3535385</t>
  </si>
  <si>
    <t>SRR3535395</t>
  </si>
  <si>
    <t>SRR3545237</t>
  </si>
  <si>
    <t>SRR3545238</t>
  </si>
  <si>
    <t>SRR3545242</t>
  </si>
  <si>
    <t>SRR3545244</t>
  </si>
  <si>
    <t>SRR3545245</t>
  </si>
  <si>
    <t>SRR3545246</t>
  </si>
  <si>
    <t>SRR3545247</t>
  </si>
  <si>
    <t>SRR3545248</t>
  </si>
  <si>
    <t>SRR3545249</t>
  </si>
  <si>
    <t>SRR3545251</t>
  </si>
  <si>
    <t>SRR3545252</t>
  </si>
  <si>
    <t>SRR3545253</t>
  </si>
  <si>
    <t>SRR3545254</t>
  </si>
  <si>
    <t>SRR3545255</t>
  </si>
  <si>
    <t>SRR3545256</t>
  </si>
  <si>
    <t>SRR3545258</t>
  </si>
  <si>
    <t>SRR3545259</t>
  </si>
  <si>
    <t>SRR3547983</t>
  </si>
  <si>
    <t>SRR3547984</t>
  </si>
  <si>
    <t>SRR3547985</t>
  </si>
  <si>
    <t>SRR3547986</t>
  </si>
  <si>
    <t>SRR3547987</t>
  </si>
  <si>
    <t>SRR3547988</t>
  </si>
  <si>
    <t>SRR3554618</t>
  </si>
  <si>
    <t>SRR3554624</t>
  </si>
  <si>
    <t>RTE Product-Souse</t>
  </si>
  <si>
    <t>SRR3574517</t>
  </si>
  <si>
    <t>RTE Product-Taco Filling with Meat</t>
  </si>
  <si>
    <t>SRR3575112</t>
  </si>
  <si>
    <t>SRR3575116</t>
  </si>
  <si>
    <t>SRR3578127</t>
  </si>
  <si>
    <t>SRR3578128</t>
  </si>
  <si>
    <t>SRR3578981</t>
  </si>
  <si>
    <t>SRR3578982</t>
  </si>
  <si>
    <t>SRR3578994</t>
  </si>
  <si>
    <t>SRR3578995</t>
  </si>
  <si>
    <t>SRR3578997</t>
  </si>
  <si>
    <t>popped cheese popcorn</t>
  </si>
  <si>
    <t>SRR3578998</t>
  </si>
  <si>
    <t>SRR3578999</t>
  </si>
  <si>
    <t>caneloupes</t>
  </si>
  <si>
    <t>SRR3579404,SRR2071983</t>
  </si>
  <si>
    <t>SRR3579421</t>
  </si>
  <si>
    <t>seasoned flying fish roe</t>
  </si>
  <si>
    <t>SRR3579422</t>
  </si>
  <si>
    <t>SRR3579424</t>
  </si>
  <si>
    <t>SRR3579431</t>
  </si>
  <si>
    <t>environmental sponge sticks</t>
  </si>
  <si>
    <t>SRR3590575</t>
  </si>
  <si>
    <t>Fluid</t>
  </si>
  <si>
    <t>SRR3590650</t>
  </si>
  <si>
    <t>Frzn Cut Green Beans</t>
  </si>
  <si>
    <t>SRR3593479</t>
  </si>
  <si>
    <t>SRR3593480</t>
  </si>
  <si>
    <t>SRR3593511</t>
  </si>
  <si>
    <t>SRR3593512</t>
  </si>
  <si>
    <t>apple slice</t>
  </si>
  <si>
    <t>SRR3593513</t>
  </si>
  <si>
    <t>SRR3593514</t>
  </si>
  <si>
    <t>SRR3593515</t>
  </si>
  <si>
    <t>SRR3593516</t>
  </si>
  <si>
    <t>SRR3593517</t>
  </si>
  <si>
    <t>SRR3593518</t>
  </si>
  <si>
    <t>SRR3593519</t>
  </si>
  <si>
    <t>SRR3593520</t>
  </si>
  <si>
    <t>SRR3593521</t>
  </si>
  <si>
    <t>SRR3606547</t>
  </si>
  <si>
    <t>SRR3606549</t>
  </si>
  <si>
    <t>SRR3606550</t>
  </si>
  <si>
    <t>SRR3606551</t>
  </si>
  <si>
    <t>SRR3606552</t>
  </si>
  <si>
    <t>SRR3606564</t>
  </si>
  <si>
    <t>SRR3606565</t>
  </si>
  <si>
    <t>SRR3606566</t>
  </si>
  <si>
    <t>SRR3606575</t>
  </si>
  <si>
    <t>SRR3606578</t>
  </si>
  <si>
    <t>SRR3606579</t>
  </si>
  <si>
    <t>SRR3606581</t>
  </si>
  <si>
    <t>SRR3606587</t>
  </si>
  <si>
    <t>SRR3606588</t>
  </si>
  <si>
    <t>SRR3611559</t>
  </si>
  <si>
    <t>SRR3611560</t>
  </si>
  <si>
    <t>SRR3611567</t>
  </si>
  <si>
    <t>SRR3611776</t>
  </si>
  <si>
    <t>SRR3622467</t>
  </si>
  <si>
    <t>SRR3622476</t>
  </si>
  <si>
    <t>SRR3622481</t>
  </si>
  <si>
    <t>baby pit ham</t>
  </si>
  <si>
    <t>SRR3623949</t>
  </si>
  <si>
    <t>SRR3623952</t>
  </si>
  <si>
    <t>SRR3623972</t>
  </si>
  <si>
    <t>SRR3632211</t>
  </si>
  <si>
    <t>Cantaloupe chunks</t>
  </si>
  <si>
    <t>SRR3634417</t>
  </si>
  <si>
    <t>macaroni salad</t>
  </si>
  <si>
    <t>SRR3634418</t>
  </si>
  <si>
    <t>jalapeno egg salad sandwich</t>
  </si>
  <si>
    <t>SRR3634419</t>
  </si>
  <si>
    <t>SRR3634420</t>
  </si>
  <si>
    <t>SRR3634426</t>
  </si>
  <si>
    <t>SRR3634427</t>
  </si>
  <si>
    <t>SRR3634428</t>
  </si>
  <si>
    <t>poor boy sandwich</t>
  </si>
  <si>
    <t>SRR3634432</t>
  </si>
  <si>
    <t>SRR3634433</t>
  </si>
  <si>
    <t>SRR3634441</t>
  </si>
  <si>
    <t>SRR3634442</t>
  </si>
  <si>
    <t>SRR3634448,SRR2086560</t>
  </si>
  <si>
    <t>SRR3634480</t>
  </si>
  <si>
    <t>sliced beef</t>
  </si>
  <si>
    <t>SRR3634482</t>
  </si>
  <si>
    <t>SRR3634483</t>
  </si>
  <si>
    <t>SRR3642913</t>
  </si>
  <si>
    <t>SRR3642922</t>
  </si>
  <si>
    <t>SRR3642961</t>
  </si>
  <si>
    <t>SRR3642984</t>
  </si>
  <si>
    <t>SRR3642987</t>
  </si>
  <si>
    <t>SRR3642988</t>
  </si>
  <si>
    <t>SRR3642989</t>
  </si>
  <si>
    <t>SRR3642991</t>
  </si>
  <si>
    <t>SRR3644423</t>
  </si>
  <si>
    <t>SRR3644424</t>
  </si>
  <si>
    <t>SRR3644429</t>
  </si>
  <si>
    <t>SRR3644432</t>
  </si>
  <si>
    <t>SRR3646053</t>
  </si>
  <si>
    <t>SRR3646059</t>
  </si>
  <si>
    <t>SRR3647314</t>
  </si>
  <si>
    <t>SRR3647315</t>
  </si>
  <si>
    <t>SRR3647316</t>
  </si>
  <si>
    <t>SRR3647317</t>
  </si>
  <si>
    <t>SRR3647319</t>
  </si>
  <si>
    <t>SRR3647323</t>
  </si>
  <si>
    <t>SRR3647324</t>
  </si>
  <si>
    <t>SRR3647325</t>
  </si>
  <si>
    <t>SRR3649721</t>
  </si>
  <si>
    <t>sliced mushroom</t>
  </si>
  <si>
    <t>SRR3649722</t>
  </si>
  <si>
    <t>SRR3649723</t>
  </si>
  <si>
    <t>SRR3649724</t>
  </si>
  <si>
    <t>SRR3649728</t>
  </si>
  <si>
    <t>SRR3649729</t>
  </si>
  <si>
    <t>SRR3649730</t>
  </si>
  <si>
    <t>SRR3649731</t>
  </si>
  <si>
    <t>SRR3649756</t>
  </si>
  <si>
    <t>SRR3649757</t>
  </si>
  <si>
    <t>SRR3649789</t>
  </si>
  <si>
    <t>SRR3657261</t>
  </si>
  <si>
    <t>SRR3657262</t>
  </si>
  <si>
    <t>SRR3657263</t>
  </si>
  <si>
    <t>SRR3657264</t>
  </si>
  <si>
    <t>SRR3657265</t>
  </si>
  <si>
    <t>SRR3657266</t>
  </si>
  <si>
    <t>SRR3657267</t>
  </si>
  <si>
    <t>SRR3657268</t>
  </si>
  <si>
    <t>SRR3657447</t>
  </si>
  <si>
    <t>SRR3657448</t>
  </si>
  <si>
    <t>SRR3659469</t>
  </si>
  <si>
    <t>SRR3660012</t>
  </si>
  <si>
    <t>SRR3660013</t>
  </si>
  <si>
    <t>SRR3660014</t>
  </si>
  <si>
    <t>SRR3660015</t>
  </si>
  <si>
    <t>SRR3660016</t>
  </si>
  <si>
    <t>SRR3660017</t>
  </si>
  <si>
    <t>SRR3660018</t>
  </si>
  <si>
    <t>SRR3660019</t>
  </si>
  <si>
    <t>SRR3660020</t>
  </si>
  <si>
    <t>SRR3660021</t>
  </si>
  <si>
    <t>SRR3660022</t>
  </si>
  <si>
    <t>SRR3660023</t>
  </si>
  <si>
    <t>SRR3660024</t>
  </si>
  <si>
    <t>SRR3660025</t>
  </si>
  <si>
    <t>SRR3660026</t>
  </si>
  <si>
    <t>SRR3660093</t>
  </si>
  <si>
    <t>roast beef on wheat sandwich</t>
  </si>
  <si>
    <t>SRR3660094</t>
  </si>
  <si>
    <t>SRR3660123</t>
  </si>
  <si>
    <t>SRR3660125</t>
  </si>
  <si>
    <t>smoked atlantic salmon</t>
  </si>
  <si>
    <t>SRR3669853</t>
  </si>
  <si>
    <t>SRR3669856</t>
  </si>
  <si>
    <t>SRR3674669</t>
  </si>
  <si>
    <t>SRR3707423</t>
  </si>
  <si>
    <t>swab (dairy plant - blue cheese)</t>
  </si>
  <si>
    <t>SRR3707426</t>
  </si>
  <si>
    <t>SRR3707472</t>
  </si>
  <si>
    <t>Drain swab</t>
  </si>
  <si>
    <t>SRR3707473</t>
  </si>
  <si>
    <t>SRR3707716</t>
  </si>
  <si>
    <t>SRR3707879</t>
  </si>
  <si>
    <t>SRR3707885</t>
  </si>
  <si>
    <t>SRR3710250</t>
  </si>
  <si>
    <t>SRR3710271</t>
  </si>
  <si>
    <t>SRR3710276</t>
  </si>
  <si>
    <t>SRR3710278</t>
  </si>
  <si>
    <t>SRR3712470</t>
  </si>
  <si>
    <t>mung bean sprout</t>
  </si>
  <si>
    <t>SRR3712471</t>
  </si>
  <si>
    <t>SRR3712472</t>
  </si>
  <si>
    <t>SRR3724524</t>
  </si>
  <si>
    <t>SRR3724562</t>
  </si>
  <si>
    <t>Drain</t>
  </si>
  <si>
    <t>SRR3724563</t>
  </si>
  <si>
    <t>SRR3724564</t>
  </si>
  <si>
    <t>SRR3724565</t>
  </si>
  <si>
    <t>SRR3726292</t>
  </si>
  <si>
    <t>SRR3726298</t>
  </si>
  <si>
    <t>SRR3726308</t>
  </si>
  <si>
    <t>RTE Product Beef</t>
  </si>
  <si>
    <t>SRR3726314</t>
  </si>
  <si>
    <t>SRR3734002</t>
  </si>
  <si>
    <t>SRR3734003</t>
  </si>
  <si>
    <t>SRR3734004</t>
  </si>
  <si>
    <t>SRR3734005</t>
  </si>
  <si>
    <t>SRR3734007</t>
  </si>
  <si>
    <t>SRR3743160</t>
  </si>
  <si>
    <t>SRR3743161</t>
  </si>
  <si>
    <t>SRR3743162</t>
  </si>
  <si>
    <t>SRR3743166</t>
  </si>
  <si>
    <t>SRR3743167</t>
  </si>
  <si>
    <t>SRR3743169</t>
  </si>
  <si>
    <t>SRR3743170</t>
  </si>
  <si>
    <t>SRR3743186</t>
  </si>
  <si>
    <t>SRR3743188</t>
  </si>
  <si>
    <t>SRR3745084</t>
  </si>
  <si>
    <t>SRR3765323</t>
  </si>
  <si>
    <t>SRR3765364</t>
  </si>
  <si>
    <t>SRR3765365</t>
  </si>
  <si>
    <t>SRR3765390</t>
  </si>
  <si>
    <t>SRR3771337</t>
  </si>
  <si>
    <t>Product-RTE-Other Fully Cooked, Sliced-Beef</t>
  </si>
  <si>
    <t>SRR3771465</t>
  </si>
  <si>
    <t>SRR3771466</t>
  </si>
  <si>
    <t>SRR3771467</t>
  </si>
  <si>
    <t>SRR3771476</t>
  </si>
  <si>
    <t>SRR3771477</t>
  </si>
  <si>
    <t>SRR3771478</t>
  </si>
  <si>
    <t>SRR3823936</t>
  </si>
  <si>
    <t>SRR3823955</t>
  </si>
  <si>
    <t>Ham Slicer</t>
  </si>
  <si>
    <t>SRR3823956</t>
  </si>
  <si>
    <t>beef slicer</t>
  </si>
  <si>
    <t>SRR3823960</t>
  </si>
  <si>
    <t>deli turkey breast</t>
  </si>
  <si>
    <t>SRR3824002</t>
  </si>
  <si>
    <t>beef stick</t>
  </si>
  <si>
    <t>SRR3824003</t>
  </si>
  <si>
    <t>SRR3824005</t>
  </si>
  <si>
    <t>SRR3824007</t>
  </si>
  <si>
    <t>hash brown</t>
  </si>
  <si>
    <t>SRR3824008</t>
  </si>
  <si>
    <t>smoked turkey sandwich</t>
  </si>
  <si>
    <t>SRR3824009</t>
  </si>
  <si>
    <t>roasted turkey sandwich</t>
  </si>
  <si>
    <t>SRR3824010</t>
  </si>
  <si>
    <t>SRR3825228</t>
  </si>
  <si>
    <t>SRR3825229</t>
  </si>
  <si>
    <t>SRR3825230</t>
  </si>
  <si>
    <t>SRR3878192</t>
  </si>
  <si>
    <t>SRR3878196</t>
  </si>
  <si>
    <t>SRR3878738</t>
  </si>
  <si>
    <t>SRR3879327</t>
  </si>
  <si>
    <t>SRR3921628</t>
  </si>
  <si>
    <t>SRR3921650</t>
  </si>
  <si>
    <t>SRR3921651</t>
  </si>
  <si>
    <t>SRR3921653</t>
  </si>
  <si>
    <t>SRR3924537</t>
  </si>
  <si>
    <t>SRR3924538</t>
  </si>
  <si>
    <t>SRR3924539</t>
  </si>
  <si>
    <t>SRR3924540</t>
  </si>
  <si>
    <t>SRR3924541</t>
  </si>
  <si>
    <t>SRR3924542</t>
  </si>
  <si>
    <t>SRR3924543</t>
  </si>
  <si>
    <t>SRR3924544</t>
  </si>
  <si>
    <t>SRR3924545</t>
  </si>
  <si>
    <t>SRR3924546</t>
  </si>
  <si>
    <t>SRR3924547</t>
  </si>
  <si>
    <t>SRR3924548</t>
  </si>
  <si>
    <t>SRR3925085</t>
  </si>
  <si>
    <t>RTE Product Turkey</t>
  </si>
  <si>
    <t>SRR3928664</t>
  </si>
  <si>
    <t>SRR3928665</t>
  </si>
  <si>
    <t>honey glazed turkey breast</t>
  </si>
  <si>
    <t>SRR3928670</t>
  </si>
  <si>
    <t>smoked fish dip cajun style</t>
  </si>
  <si>
    <t>SRR3928671</t>
  </si>
  <si>
    <t>smoked sable</t>
  </si>
  <si>
    <t>SRR3928672</t>
  </si>
  <si>
    <t>nova salmon</t>
  </si>
  <si>
    <t>SRR3928673</t>
  </si>
  <si>
    <t>smoked nova salmon</t>
  </si>
  <si>
    <t>SRR3928678</t>
  </si>
  <si>
    <t>SRR3928686</t>
  </si>
  <si>
    <t>SRR3928691</t>
  </si>
  <si>
    <t>SRR3928692</t>
  </si>
  <si>
    <t>food salmon</t>
  </si>
  <si>
    <t>SRR3929005</t>
  </si>
  <si>
    <t>SRR3929011</t>
  </si>
  <si>
    <t>SRR3929012</t>
  </si>
  <si>
    <t>SRR3929084</t>
  </si>
  <si>
    <t>SRR3930176</t>
  </si>
  <si>
    <t>SRR3930177</t>
  </si>
  <si>
    <t>SRR3930178</t>
  </si>
  <si>
    <t>SRR3930179</t>
  </si>
  <si>
    <t>SRR3930181</t>
  </si>
  <si>
    <t>SRR3930182,SRR3734006</t>
  </si>
  <si>
    <t>SRR3930185</t>
  </si>
  <si>
    <t>SRR3930186</t>
  </si>
  <si>
    <t>SRR3930195</t>
  </si>
  <si>
    <t>SRR3932724</t>
  </si>
  <si>
    <t>SRR3932725</t>
  </si>
  <si>
    <t>SRR3933745</t>
  </si>
  <si>
    <t>SRR3933746</t>
  </si>
  <si>
    <t>SRR3933748</t>
  </si>
  <si>
    <t>SRR3933749</t>
  </si>
  <si>
    <t>SRR3933750</t>
  </si>
  <si>
    <t>SRR3933751</t>
  </si>
  <si>
    <t>SRR3933752</t>
  </si>
  <si>
    <t>SRR3933754</t>
  </si>
  <si>
    <t>SRR3933755</t>
  </si>
  <si>
    <t>SRR3933757</t>
  </si>
  <si>
    <t>SRR3933758</t>
  </si>
  <si>
    <t>SRR3933759</t>
  </si>
  <si>
    <t>SRR3944716</t>
  </si>
  <si>
    <t>SRR3944717</t>
  </si>
  <si>
    <t>smoked sliced salmon</t>
  </si>
  <si>
    <t>SRR3944718</t>
  </si>
  <si>
    <t>SRR3944719</t>
  </si>
  <si>
    <t>SRR3944721</t>
  </si>
  <si>
    <t>SRR3944722</t>
  </si>
  <si>
    <t>turkey and cheese sandwich</t>
  </si>
  <si>
    <t>SRR3945509</t>
  </si>
  <si>
    <t>morbier cheese (aged over 60 days)</t>
  </si>
  <si>
    <t>SRR3945583</t>
  </si>
  <si>
    <t>gorgonzola cheese</t>
  </si>
  <si>
    <t>SRR3945584</t>
  </si>
  <si>
    <t>SRR3945594</t>
  </si>
  <si>
    <t>moliterno al tartufo cheese</t>
  </si>
  <si>
    <t>SRR3945617</t>
  </si>
  <si>
    <t>MOLITERNO AL TARTUFO CHEESE</t>
  </si>
  <si>
    <t>SRR3951459</t>
  </si>
  <si>
    <t>SRR3952217</t>
  </si>
  <si>
    <t>SRR3985721</t>
  </si>
  <si>
    <t>SRR3985787</t>
  </si>
  <si>
    <t>SRR3990995</t>
  </si>
  <si>
    <t>frozen cedar planked atlantic salmon</t>
  </si>
  <si>
    <t>SRR3995860</t>
  </si>
  <si>
    <t>cheese queso cotija</t>
  </si>
  <si>
    <t>SRR3995865</t>
  </si>
  <si>
    <t>SRR3995871</t>
  </si>
  <si>
    <t>SRR3995874</t>
  </si>
  <si>
    <t>pesto chicken with provolon sandwich</t>
  </si>
  <si>
    <t>SRR3995875</t>
  </si>
  <si>
    <t>roast beef and cheese sandwich</t>
  </si>
  <si>
    <t>SRR3995876</t>
  </si>
  <si>
    <t>SRR3995877</t>
  </si>
  <si>
    <t>seafood salad</t>
  </si>
  <si>
    <t>SRR3995878</t>
  </si>
  <si>
    <t>SRR4000016</t>
  </si>
  <si>
    <t>SRR4000017</t>
  </si>
  <si>
    <t>SRR4000018</t>
  </si>
  <si>
    <t>SRR4000020</t>
  </si>
  <si>
    <t>SRR4000021</t>
  </si>
  <si>
    <t>SRR4000022</t>
  </si>
  <si>
    <t>SRR4000023</t>
  </si>
  <si>
    <t>SRR4000024</t>
  </si>
  <si>
    <t>SRR4005300</t>
  </si>
  <si>
    <t>SRR4005306</t>
  </si>
  <si>
    <t>SRR4005431</t>
  </si>
  <si>
    <t>SRR4005433</t>
  </si>
  <si>
    <t>SRR4005446</t>
  </si>
  <si>
    <t>SRR4005447</t>
  </si>
  <si>
    <t>SRR4011141</t>
  </si>
  <si>
    <t>SRR4014376</t>
  </si>
  <si>
    <t>baked salmon salad</t>
  </si>
  <si>
    <t>SRR4014378</t>
  </si>
  <si>
    <t>SRR4014384</t>
  </si>
  <si>
    <t>SRR4014386</t>
  </si>
  <si>
    <t>SRR4014393</t>
  </si>
  <si>
    <t>beef top sirloin steak</t>
  </si>
  <si>
    <t>SRR4014545</t>
  </si>
  <si>
    <t>SRR4022310</t>
  </si>
  <si>
    <t>SRR4022311</t>
  </si>
  <si>
    <t>SRR4022312</t>
  </si>
  <si>
    <t>SRR4022314</t>
  </si>
  <si>
    <t>SRR4031385</t>
  </si>
  <si>
    <t>smoked ham lahvash</t>
  </si>
  <si>
    <t>SRR4031387</t>
  </si>
  <si>
    <t>SRR4031418</t>
  </si>
  <si>
    <t>turkey ranch sandwich</t>
  </si>
  <si>
    <t>SRR4031419</t>
  </si>
  <si>
    <t>SRR4031420</t>
  </si>
  <si>
    <t>SRR4031421</t>
  </si>
  <si>
    <t>SRR4031423</t>
  </si>
  <si>
    <t>SRR4031424</t>
  </si>
  <si>
    <t>SRR4031425</t>
  </si>
  <si>
    <t>SRR4031426</t>
  </si>
  <si>
    <t>SRR4034994</t>
  </si>
  <si>
    <t>SRR4038284,SRR4039722</t>
  </si>
  <si>
    <t>iceberg lettuce shredded</t>
  </si>
  <si>
    <t>SRR4039118</t>
  </si>
  <si>
    <t>SRR4039723</t>
  </si>
  <si>
    <t>iceberg lettuce, shredded</t>
  </si>
  <si>
    <t>SRR4039745</t>
  </si>
  <si>
    <t>SRR4039746</t>
  </si>
  <si>
    <t>SRR4039747</t>
  </si>
  <si>
    <t>SRR4039748</t>
  </si>
  <si>
    <t>SRR4039750</t>
  </si>
  <si>
    <t>SRR4039751</t>
  </si>
  <si>
    <t>SRR4039752</t>
  </si>
  <si>
    <t>SRR4039753</t>
  </si>
  <si>
    <t>SRR4039755</t>
  </si>
  <si>
    <t>SRR4039756</t>
  </si>
  <si>
    <t>SRR4048281</t>
  </si>
  <si>
    <t>SRR4048284</t>
  </si>
  <si>
    <t>SRR4048557</t>
  </si>
  <si>
    <t>SRR4048732</t>
  </si>
  <si>
    <t>SRR4050189</t>
  </si>
  <si>
    <t>SRR4050191</t>
  </si>
  <si>
    <t>SRR4052000</t>
  </si>
  <si>
    <t>SRR4052002</t>
  </si>
  <si>
    <t>SRR4052004</t>
  </si>
  <si>
    <t>SRR4052010</t>
  </si>
  <si>
    <t>SRR4052011</t>
  </si>
  <si>
    <t>SRR4052012</t>
  </si>
  <si>
    <t>SRR4052014</t>
  </si>
  <si>
    <t>SRR4052018</t>
  </si>
  <si>
    <t>SRR4052019</t>
  </si>
  <si>
    <t>SRR4052048</t>
  </si>
  <si>
    <t>SRR4052052</t>
  </si>
  <si>
    <t>SRR4052055</t>
  </si>
  <si>
    <t>SRR4052056</t>
  </si>
  <si>
    <t>SRR4052058</t>
  </si>
  <si>
    <t>SRR4052059</t>
  </si>
  <si>
    <t>SRR4052062</t>
  </si>
  <si>
    <t>SRR4052064</t>
  </si>
  <si>
    <t>SRR4052066</t>
  </si>
  <si>
    <t>SRR4052068</t>
  </si>
  <si>
    <t>SRR4052069</t>
  </si>
  <si>
    <t>SRR4052070</t>
  </si>
  <si>
    <t>SRR4052071</t>
  </si>
  <si>
    <t>SRR4052072</t>
  </si>
  <si>
    <t>SRR4052073</t>
  </si>
  <si>
    <t>SRR4052074</t>
  </si>
  <si>
    <t>SRR4052076</t>
  </si>
  <si>
    <t>SRR4052082</t>
  </si>
  <si>
    <t>SRR4052085</t>
  </si>
  <si>
    <t>SRR4052086</t>
  </si>
  <si>
    <t>SRR4052087</t>
  </si>
  <si>
    <t>SRR4052089</t>
  </si>
  <si>
    <t>SRR4052090</t>
  </si>
  <si>
    <t>SRR4052091</t>
  </si>
  <si>
    <t>SRR4052094</t>
  </si>
  <si>
    <t>SRR4052100</t>
  </si>
  <si>
    <t>SRR4052111</t>
  </si>
  <si>
    <t>SRR4052113</t>
  </si>
  <si>
    <t>SRR4052117</t>
  </si>
  <si>
    <t>SRR4052129</t>
  </si>
  <si>
    <t>SRR4052134</t>
  </si>
  <si>
    <t>SRR4052135</t>
  </si>
  <si>
    <t>SRR4052137</t>
  </si>
  <si>
    <t>SRR4052139</t>
  </si>
  <si>
    <t>SRR4052140</t>
  </si>
  <si>
    <t>SRR4052144</t>
  </si>
  <si>
    <t>SRR4052145</t>
  </si>
  <si>
    <t>SRR4052150</t>
  </si>
  <si>
    <t>SRR4052156</t>
  </si>
  <si>
    <t>SRR4052158</t>
  </si>
  <si>
    <t>SRR4052159</t>
  </si>
  <si>
    <t>SRR4052161</t>
  </si>
  <si>
    <t>SRR4052164</t>
  </si>
  <si>
    <t>SRR4052165</t>
  </si>
  <si>
    <t>SRR4052166</t>
  </si>
  <si>
    <t>SRR4052168</t>
  </si>
  <si>
    <t>SRR4052171</t>
  </si>
  <si>
    <t>SRR4052172</t>
  </si>
  <si>
    <t>SRR4052175</t>
  </si>
  <si>
    <t>SRR4052176</t>
  </si>
  <si>
    <t>SRR4052178</t>
  </si>
  <si>
    <t>SRR4052182</t>
  </si>
  <si>
    <t>SRR4052188</t>
  </si>
  <si>
    <t>SRR4052189</t>
  </si>
  <si>
    <t>SRR4052197</t>
  </si>
  <si>
    <t>SRR4052198</t>
  </si>
  <si>
    <t>SRR4052203</t>
  </si>
  <si>
    <t>SRR4052204</t>
  </si>
  <si>
    <t>SRR4052205</t>
  </si>
  <si>
    <t>SRR4052206</t>
  </si>
  <si>
    <t>SRR4052208</t>
  </si>
  <si>
    <t>SRR4052210</t>
  </si>
  <si>
    <t>SRR4052216</t>
  </si>
  <si>
    <t>SRR4052218</t>
  </si>
  <si>
    <t>SRR4052219</t>
  </si>
  <si>
    <t>SRR4052227</t>
  </si>
  <si>
    <t>SRR4052231</t>
  </si>
  <si>
    <t>SRR4052232</t>
  </si>
  <si>
    <t>SRR4052235</t>
  </si>
  <si>
    <t>SRR4052236</t>
  </si>
  <si>
    <t>SRR4052238</t>
  </si>
  <si>
    <t>SRR4052240</t>
  </si>
  <si>
    <t>SRR4052242</t>
  </si>
  <si>
    <t>SRR4052243</t>
  </si>
  <si>
    <t>SRR4052246</t>
  </si>
  <si>
    <t>SRR4052255</t>
  </si>
  <si>
    <t>SRR4052264</t>
  </si>
  <si>
    <t>SRR4052266</t>
  </si>
  <si>
    <t>SRR4052269</t>
  </si>
  <si>
    <t>SRR4052276</t>
  </si>
  <si>
    <t>SRR4052277</t>
  </si>
  <si>
    <t>SRR4052278</t>
  </si>
  <si>
    <t>SRR4052279</t>
  </si>
  <si>
    <t>SRR4052280</t>
  </si>
  <si>
    <t>SRR4052281</t>
  </si>
  <si>
    <t>SRR4052283</t>
  </si>
  <si>
    <t>SRR4052285</t>
  </si>
  <si>
    <t>SRR4052286</t>
  </si>
  <si>
    <t>SRR4052287</t>
  </si>
  <si>
    <t>SRR4052289</t>
  </si>
  <si>
    <t>SRR4052290</t>
  </si>
  <si>
    <t>SRR4052297</t>
  </si>
  <si>
    <t>SRR4052298</t>
  </si>
  <si>
    <t>SRR4052318</t>
  </si>
  <si>
    <t>SRR4052319</t>
  </si>
  <si>
    <t>SRR4052320</t>
  </si>
  <si>
    <t>SRR4052321</t>
  </si>
  <si>
    <t>SRR4052327</t>
  </si>
  <si>
    <t>SRR4052328</t>
  </si>
  <si>
    <t>SRR4052329</t>
  </si>
  <si>
    <t>SRR4052330</t>
  </si>
  <si>
    <t>SRR4052333</t>
  </si>
  <si>
    <t>SRR4052337</t>
  </si>
  <si>
    <t>SRR4052341</t>
  </si>
  <si>
    <t>SRR4052342</t>
  </si>
  <si>
    <t>SRR4052347</t>
  </si>
  <si>
    <t>SRR4052350</t>
  </si>
  <si>
    <t>SRR4052352</t>
  </si>
  <si>
    <t>SRR4052355</t>
  </si>
  <si>
    <t>SRR4052368</t>
  </si>
  <si>
    <t>SRR4052565</t>
  </si>
  <si>
    <t>SRR4052581</t>
  </si>
  <si>
    <t>SRR4064290</t>
  </si>
  <si>
    <t>SRR4065119</t>
  </si>
  <si>
    <t>SRR4069541</t>
  </si>
  <si>
    <t>SRR4093250</t>
  </si>
  <si>
    <t>SRR4093252</t>
  </si>
  <si>
    <t>SRR4098791</t>
  </si>
  <si>
    <t>shredded mozzarella cheese</t>
  </si>
  <si>
    <t>SRR4098795</t>
  </si>
  <si>
    <t>SRR4098796</t>
  </si>
  <si>
    <t>SRR4098798</t>
  </si>
  <si>
    <t>ham and cheese sandwich</t>
  </si>
  <si>
    <t>SRR4098801</t>
  </si>
  <si>
    <t>SRR4101558</t>
  </si>
  <si>
    <t>ice cream product</t>
  </si>
  <si>
    <t>SRR4105354</t>
  </si>
  <si>
    <t>SRR4106383</t>
  </si>
  <si>
    <t>SRR4119764,SRR4022316</t>
  </si>
  <si>
    <t>SRR4124931</t>
  </si>
  <si>
    <t>SRR4124932</t>
  </si>
  <si>
    <t>SRR4124933</t>
  </si>
  <si>
    <t>SRR4124934</t>
  </si>
  <si>
    <t>SRR4124935</t>
  </si>
  <si>
    <t>SRR4124936</t>
  </si>
  <si>
    <t>SRR4124937</t>
  </si>
  <si>
    <t>SRR4124938</t>
  </si>
  <si>
    <t>SRR4124940</t>
  </si>
  <si>
    <t>SRR4175245</t>
  </si>
  <si>
    <t>SRR4175247</t>
  </si>
  <si>
    <t>SRR4175248</t>
  </si>
  <si>
    <t>SRR4175256</t>
  </si>
  <si>
    <t>SRR4175258</t>
  </si>
  <si>
    <t>SRR4175260</t>
  </si>
  <si>
    <t>SRR4190334</t>
  </si>
  <si>
    <t>SRR4190335</t>
  </si>
  <si>
    <t>SRR4190336</t>
  </si>
  <si>
    <t>SRR4228275</t>
  </si>
  <si>
    <t>SRR4228280</t>
  </si>
  <si>
    <t>SRR4237743</t>
  </si>
  <si>
    <t>SRR4237744</t>
  </si>
  <si>
    <t>SRR4237745</t>
  </si>
  <si>
    <t>SRR4237753</t>
  </si>
  <si>
    <t>SRR4237754</t>
  </si>
  <si>
    <t>SRR4237755</t>
  </si>
  <si>
    <t>SRR4237757</t>
  </si>
  <si>
    <t>SRR4237880</t>
  </si>
  <si>
    <t>cheese spread</t>
  </si>
  <si>
    <t>SRR4237881</t>
  </si>
  <si>
    <t>SRR4239759</t>
  </si>
  <si>
    <t>SRR4241316</t>
  </si>
  <si>
    <t>SRR4252486</t>
  </si>
  <si>
    <t>SRR4255372</t>
  </si>
  <si>
    <t>SRR4255592</t>
  </si>
  <si>
    <t>SRR4272562</t>
  </si>
  <si>
    <t>SRR4292624</t>
  </si>
  <si>
    <t>SRR4292625</t>
  </si>
  <si>
    <t>SRR4294727</t>
  </si>
  <si>
    <t>SRR4298923</t>
  </si>
  <si>
    <t>SRR4298924</t>
  </si>
  <si>
    <t>SRR4300982</t>
  </si>
  <si>
    <t>SRR4300989</t>
  </si>
  <si>
    <t>SRR4300995</t>
  </si>
  <si>
    <t>SRR4301012</t>
  </si>
  <si>
    <t>SRR4301092</t>
  </si>
  <si>
    <t>SRR4301093</t>
  </si>
  <si>
    <t>SRR4301095</t>
  </si>
  <si>
    <t>SRR4301096</t>
  </si>
  <si>
    <t>SRR4301099</t>
  </si>
  <si>
    <t>chicken cordon bleu wrap</t>
  </si>
  <si>
    <t>SRR4301101</t>
  </si>
  <si>
    <t>SRR4301103</t>
  </si>
  <si>
    <t>SRR4301105</t>
  </si>
  <si>
    <t>SRR4301125</t>
  </si>
  <si>
    <t>SRR4305545</t>
  </si>
  <si>
    <t>SRR4305546</t>
  </si>
  <si>
    <t>SRR4305548</t>
  </si>
  <si>
    <t>SRR4305549</t>
  </si>
  <si>
    <t>SRR4305550</t>
  </si>
  <si>
    <t>SRR4305552</t>
  </si>
  <si>
    <t>SRR4305553</t>
  </si>
  <si>
    <t>SRR4305554</t>
  </si>
  <si>
    <t>SRR4305571</t>
  </si>
  <si>
    <t>SRR4305572</t>
  </si>
  <si>
    <t>SRR4305573</t>
  </si>
  <si>
    <t>SRR4305574</t>
  </si>
  <si>
    <t>SRR4305575</t>
  </si>
  <si>
    <t>SRR4345491</t>
  </si>
  <si>
    <t>SRR4345492</t>
  </si>
  <si>
    <t>SRR4345493</t>
  </si>
  <si>
    <t>SRR4345494</t>
  </si>
  <si>
    <t>SRR4345495</t>
  </si>
  <si>
    <t>SRR4416133</t>
  </si>
  <si>
    <t>SRR4416135</t>
  </si>
  <si>
    <t>SRR4417567</t>
  </si>
  <si>
    <t>SRR4417866</t>
  </si>
  <si>
    <t>SRR4417906</t>
  </si>
  <si>
    <t>SRR4417907</t>
  </si>
  <si>
    <t>SRR4417908</t>
  </si>
  <si>
    <t>SRR4418760</t>
  </si>
  <si>
    <t>SRR4419036</t>
  </si>
  <si>
    <t>SRR4419037</t>
  </si>
  <si>
    <t>SRR4420327</t>
  </si>
  <si>
    <t>swab: meat slicing machine (during production)</t>
  </si>
  <si>
    <t>SRR4420328</t>
  </si>
  <si>
    <t>SRR4420329</t>
  </si>
  <si>
    <t>swab: meat slicing machine (before production)</t>
  </si>
  <si>
    <t>SRR4420330</t>
  </si>
  <si>
    <t>swab: meat slicing machine</t>
  </si>
  <si>
    <t>SRR4420331</t>
  </si>
  <si>
    <t>SRR4420696</t>
  </si>
  <si>
    <t>SRR4421250</t>
  </si>
  <si>
    <t>SRR4421256</t>
  </si>
  <si>
    <t>SRR4431678</t>
  </si>
  <si>
    <t>SRR4431687</t>
  </si>
  <si>
    <t>SRR4431689</t>
  </si>
  <si>
    <t>brie cheese</t>
  </si>
  <si>
    <t>SRR4431690,SRR4431692</t>
  </si>
  <si>
    <t>ham salad</t>
  </si>
  <si>
    <t>SRR4435444</t>
  </si>
  <si>
    <t>diced pea and carrot</t>
  </si>
  <si>
    <t>SRR4435445</t>
  </si>
  <si>
    <t>SRR4435447</t>
  </si>
  <si>
    <t>SRR4435448</t>
  </si>
  <si>
    <t>SRR4446209</t>
  </si>
  <si>
    <t>SRR4446217</t>
  </si>
  <si>
    <t>SRR4446252</t>
  </si>
  <si>
    <t>turkey cheese sandwich</t>
  </si>
  <si>
    <t>SRR4446287</t>
  </si>
  <si>
    <t>SRR4446290</t>
  </si>
  <si>
    <t>SRR4446333</t>
  </si>
  <si>
    <t>SRR4446334</t>
  </si>
  <si>
    <t>SRR4446345</t>
  </si>
  <si>
    <t>SRR4446452</t>
  </si>
  <si>
    <t>cold salmon</t>
  </si>
  <si>
    <t>SRR4446453</t>
  </si>
  <si>
    <t>SRR4446454</t>
  </si>
  <si>
    <t>SRR4446456</t>
  </si>
  <si>
    <t>SRR4446460</t>
  </si>
  <si>
    <t>SRR4446462</t>
  </si>
  <si>
    <t>SRR4446463</t>
  </si>
  <si>
    <t>salmon wrap</t>
  </si>
  <si>
    <t>SRR4446465</t>
  </si>
  <si>
    <t>SRR4446467</t>
  </si>
  <si>
    <t>turkey italian wrap</t>
  </si>
  <si>
    <t>SRR4446469</t>
  </si>
  <si>
    <t>SRR4446471</t>
  </si>
  <si>
    <t>SRR4446670</t>
  </si>
  <si>
    <t>SRR4454637</t>
  </si>
  <si>
    <t>SRR4454642</t>
  </si>
  <si>
    <t>SRR4454643</t>
  </si>
  <si>
    <t>SRR4454647</t>
  </si>
  <si>
    <t>SRR4455045</t>
  </si>
  <si>
    <t>SRR4455085</t>
  </si>
  <si>
    <t>SRR4456860</t>
  </si>
  <si>
    <t>SRR4473712</t>
  </si>
  <si>
    <t>pastrami sandwich</t>
  </si>
  <si>
    <t>SRR4473714</t>
  </si>
  <si>
    <t>double cheeseburger</t>
  </si>
  <si>
    <t>SRR4473716</t>
  </si>
  <si>
    <t>SRR4473721</t>
  </si>
  <si>
    <t>SRR4473724</t>
  </si>
  <si>
    <t>SRR4473726</t>
  </si>
  <si>
    <t>SRR4473727</t>
  </si>
  <si>
    <t>SRR4733511</t>
  </si>
  <si>
    <t>cream cheese spread</t>
  </si>
  <si>
    <t>SRR4733512</t>
  </si>
  <si>
    <t>SRR4733513</t>
  </si>
  <si>
    <t>frozen tater tot</t>
  </si>
  <si>
    <t>SRR4733514</t>
  </si>
  <si>
    <t>Crinkle Fries</t>
  </si>
  <si>
    <t>SRR4733515</t>
  </si>
  <si>
    <t>frozen hash brown</t>
  </si>
  <si>
    <t>SRR4733958</t>
  </si>
  <si>
    <t>Songesicles</t>
  </si>
  <si>
    <t>SRR4733959</t>
  </si>
  <si>
    <t>SRR4733960</t>
  </si>
  <si>
    <t>Private lab</t>
  </si>
  <si>
    <t>SRR4733961</t>
  </si>
  <si>
    <t>SRR4733962</t>
  </si>
  <si>
    <t>SRR4733963</t>
  </si>
  <si>
    <t>SRR4733965</t>
  </si>
  <si>
    <t>SRR4733967</t>
  </si>
  <si>
    <t>SRR4733968</t>
  </si>
  <si>
    <t>SRR4733969</t>
  </si>
  <si>
    <t>SRR4733970</t>
  </si>
  <si>
    <t>SRR4733971</t>
  </si>
  <si>
    <t>SRR4733972</t>
  </si>
  <si>
    <t>SRR4733973</t>
  </si>
  <si>
    <t>SRR4733975</t>
  </si>
  <si>
    <t>SRR4824684</t>
  </si>
  <si>
    <t>SRR4841806</t>
  </si>
  <si>
    <t>SRR4875378</t>
  </si>
  <si>
    <t>SRR4875382</t>
  </si>
  <si>
    <t>SRR4875384</t>
  </si>
  <si>
    <t>SRR4875387</t>
  </si>
  <si>
    <t>SRR4875388</t>
  </si>
  <si>
    <t>SRR4896308</t>
  </si>
  <si>
    <t>SRR4947450</t>
  </si>
  <si>
    <t>SRR4947525</t>
  </si>
  <si>
    <t>SRR5000194</t>
  </si>
  <si>
    <t>SRR5000196</t>
  </si>
  <si>
    <t>SRR5000197</t>
  </si>
  <si>
    <t>SRR5000199</t>
  </si>
  <si>
    <t>Underside of floor mat</t>
  </si>
  <si>
    <t>SRR5000200</t>
  </si>
  <si>
    <t>SRR5000264</t>
  </si>
  <si>
    <t>smoked sausage</t>
  </si>
  <si>
    <t>SRR5000307</t>
  </si>
  <si>
    <t>Fiesta Scramble Bowl</t>
  </si>
  <si>
    <t>SRR5000308</t>
  </si>
  <si>
    <t>SRR5000714</t>
  </si>
  <si>
    <t>SRR5010511</t>
  </si>
  <si>
    <t>SRR5010513</t>
  </si>
  <si>
    <t>herring in oil</t>
  </si>
  <si>
    <t>SRR5010518</t>
  </si>
  <si>
    <t>SRR5016686</t>
  </si>
  <si>
    <t>SRR5016687</t>
  </si>
  <si>
    <t>SRR5016688</t>
  </si>
  <si>
    <t>SRR5016689</t>
  </si>
  <si>
    <t>SRR5016690</t>
  </si>
  <si>
    <t>Shoe String French Fries</t>
  </si>
  <si>
    <t>SRR5016691</t>
  </si>
  <si>
    <t>SRR5016720</t>
  </si>
  <si>
    <t>SRR5016723</t>
  </si>
  <si>
    <t>SRR5016724</t>
  </si>
  <si>
    <t>SRR5016725</t>
  </si>
  <si>
    <t>SRR5016783</t>
  </si>
  <si>
    <t>SRR5016784</t>
  </si>
  <si>
    <t>smoked turkey breast sandwich</t>
  </si>
  <si>
    <t>SRR5016790</t>
  </si>
  <si>
    <t>SRR5016792</t>
  </si>
  <si>
    <t>SRR5016861</t>
  </si>
  <si>
    <t>SRR5016866</t>
  </si>
  <si>
    <t>SRR5016867</t>
  </si>
  <si>
    <t>SRR5016872</t>
  </si>
  <si>
    <t>SRR5016873</t>
  </si>
  <si>
    <t>SRR5016875</t>
  </si>
  <si>
    <t>SRR5016878</t>
  </si>
  <si>
    <t>SRR5016880</t>
  </si>
  <si>
    <t>SRR5016882</t>
  </si>
  <si>
    <t>SRR5016884</t>
  </si>
  <si>
    <t>SRR5016885</t>
  </si>
  <si>
    <t>SRR5016886</t>
  </si>
  <si>
    <t>SRR5016887</t>
  </si>
  <si>
    <t>SRR5016888</t>
  </si>
  <si>
    <t>SRR5016892</t>
  </si>
  <si>
    <t>SRR5016896</t>
  </si>
  <si>
    <t>SRR5016897</t>
  </si>
  <si>
    <t>SRR5016907</t>
  </si>
  <si>
    <t>SRR5017013</t>
  </si>
  <si>
    <t>SRR5017022</t>
  </si>
  <si>
    <t>SRR5017114</t>
  </si>
  <si>
    <t>ST1904</t>
  </si>
  <si>
    <t>SRR5017148</t>
  </si>
  <si>
    <t>SRR5017516</t>
  </si>
  <si>
    <t>SRR5019798</t>
  </si>
  <si>
    <t>SRR5019800</t>
  </si>
  <si>
    <t>SRR5019801</t>
  </si>
  <si>
    <t>SRR5019802</t>
  </si>
  <si>
    <t>SRR5019803</t>
  </si>
  <si>
    <t>SRR5019804</t>
  </si>
  <si>
    <t>SRR5019806</t>
  </si>
  <si>
    <t>SRR5019807</t>
  </si>
  <si>
    <t>SRR5019808</t>
  </si>
  <si>
    <t>SRR5019809</t>
  </si>
  <si>
    <t>SRR5019810</t>
  </si>
  <si>
    <t>SRR5023356</t>
  </si>
  <si>
    <t>Deli swab</t>
  </si>
  <si>
    <t>SRR5037232</t>
  </si>
  <si>
    <t>SRR5037233</t>
  </si>
  <si>
    <t>SRR5037289</t>
  </si>
  <si>
    <t>SRR5037304</t>
  </si>
  <si>
    <t>SRR5037716</t>
  </si>
  <si>
    <t>SRR5037783</t>
  </si>
  <si>
    <t>SRR5037784</t>
  </si>
  <si>
    <t>SRR5037785</t>
  </si>
  <si>
    <t>SRR5037787</t>
  </si>
  <si>
    <t>SRR5037790</t>
  </si>
  <si>
    <t>SRR5037791</t>
  </si>
  <si>
    <t>SRR5037792</t>
  </si>
  <si>
    <t>SRR5037793</t>
  </si>
  <si>
    <t>SRR5037886</t>
  </si>
  <si>
    <t>SRR5040629</t>
  </si>
  <si>
    <t>SRR5042981</t>
  </si>
  <si>
    <t>SRR5042982</t>
  </si>
  <si>
    <t>SRR5042983</t>
  </si>
  <si>
    <t>SRR5042984</t>
  </si>
  <si>
    <t>SRR5042985</t>
  </si>
  <si>
    <t>SRR5042986</t>
  </si>
  <si>
    <t>SRR5042987</t>
  </si>
  <si>
    <t>SRR5042988</t>
  </si>
  <si>
    <t>SRR5042989</t>
  </si>
  <si>
    <t>SRR5042990</t>
  </si>
  <si>
    <t>SRR5042991</t>
  </si>
  <si>
    <t>SRR5042992</t>
  </si>
  <si>
    <t>SRR5042993</t>
  </si>
  <si>
    <t>SRR5042994</t>
  </si>
  <si>
    <t>SRR5042996</t>
  </si>
  <si>
    <t>SRR5042997</t>
  </si>
  <si>
    <t>SRR5043000</t>
  </si>
  <si>
    <t>SRR5043001</t>
  </si>
  <si>
    <t>SRR5043166</t>
  </si>
  <si>
    <t>SRR5043169</t>
  </si>
  <si>
    <t>SRR5043172</t>
  </si>
  <si>
    <t>SRR5043175</t>
  </si>
  <si>
    <t>SRR5045463</t>
  </si>
  <si>
    <t>SRR5045465</t>
  </si>
  <si>
    <t>SRR5047374</t>
  </si>
  <si>
    <t>SRR5047481</t>
  </si>
  <si>
    <t>SRR5047482</t>
  </si>
  <si>
    <t>SRR5047484</t>
  </si>
  <si>
    <t>SRR5047487</t>
  </si>
  <si>
    <t>SRR5047488</t>
  </si>
  <si>
    <t>SRR5047489</t>
  </si>
  <si>
    <t>dried sailfin sandfish</t>
  </si>
  <si>
    <t>SRR5047491</t>
  </si>
  <si>
    <t>SRR5047493</t>
  </si>
  <si>
    <t>SRR5047495</t>
  </si>
  <si>
    <t>SRR5049011</t>
  </si>
  <si>
    <t>SRR5049012</t>
  </si>
  <si>
    <t>SRR5056320,SRR5058909,SRR5043030</t>
  </si>
  <si>
    <t>SRR5056322,SRR5058895</t>
  </si>
  <si>
    <t>SRR5056323,SRR5042995,SRR5058894</t>
  </si>
  <si>
    <t>SRR5056328,SRR5058931,SRR5058950</t>
  </si>
  <si>
    <t>SRR5057181</t>
  </si>
  <si>
    <t>SRR5057182</t>
  </si>
  <si>
    <t>SRR5057184</t>
  </si>
  <si>
    <t>SRR5057185</t>
  </si>
  <si>
    <t>SRR5057187</t>
  </si>
  <si>
    <t>SRR5058910,SRR5042999,SRR5056321</t>
  </si>
  <si>
    <t>SRR5058914,SRR5058948,SRR5056329</t>
  </si>
  <si>
    <t>SRR5058935,SRR5056326,SRR5058951</t>
  </si>
  <si>
    <t>SRR5058949,SRR5058917,SRR5056541</t>
  </si>
  <si>
    <t>SRR5058952,SRR5056324,SRR5058913</t>
  </si>
  <si>
    <t>SRR5061767,SRR3168965</t>
  </si>
  <si>
    <t>SRR5061770,SRR3169092</t>
  </si>
  <si>
    <t>SRR5061773,SRR3168972</t>
  </si>
  <si>
    <t>swine meat</t>
  </si>
  <si>
    <t>SRR5063214</t>
  </si>
  <si>
    <t>SRR5076605</t>
  </si>
  <si>
    <t>chocolate chip cookie dough ice cream</t>
  </si>
  <si>
    <t>SRR5076611</t>
  </si>
  <si>
    <t>SRR5076622</t>
  </si>
  <si>
    <t>SRR5076628</t>
  </si>
  <si>
    <t>SRR5076634</t>
  </si>
  <si>
    <t>SRR5076645</t>
  </si>
  <si>
    <t>SRR5076651</t>
  </si>
  <si>
    <t>SRR5076672</t>
  </si>
  <si>
    <t>SRR5076673</t>
  </si>
  <si>
    <t>SRR5076674</t>
  </si>
  <si>
    <t>SRR5076741</t>
  </si>
  <si>
    <t>SRR5076757</t>
  </si>
  <si>
    <t>SRR5076786</t>
  </si>
  <si>
    <t>SRR5084468</t>
  </si>
  <si>
    <t>bovine cheese blue</t>
  </si>
  <si>
    <t>SRR5084470</t>
  </si>
  <si>
    <t>SRR5084471</t>
  </si>
  <si>
    <t>SRR5084474</t>
  </si>
  <si>
    <t>SRR5084479</t>
  </si>
  <si>
    <t>SRR5084481</t>
  </si>
  <si>
    <t>SRR5084483</t>
  </si>
  <si>
    <t>environment cutting board - swine</t>
  </si>
  <si>
    <t>SRR5084556</t>
  </si>
  <si>
    <t>SRR5085021</t>
  </si>
  <si>
    <t>silage feed</t>
  </si>
  <si>
    <t>SRR5085093</t>
  </si>
  <si>
    <t>swine salami paste</t>
  </si>
  <si>
    <t>SRR5085100</t>
  </si>
  <si>
    <t>SRR5085104</t>
  </si>
  <si>
    <t>SRR5085118</t>
  </si>
  <si>
    <t>SRR5085134</t>
  </si>
  <si>
    <t>SRR5085139</t>
  </si>
  <si>
    <t>SRR5085147</t>
  </si>
  <si>
    <t>SRR5085148</t>
  </si>
  <si>
    <t>SRR5085210</t>
  </si>
  <si>
    <t>SRR5087523</t>
  </si>
  <si>
    <t>SRR5087830</t>
  </si>
  <si>
    <t>SRR5087864</t>
  </si>
  <si>
    <t>SRR5087872</t>
  </si>
  <si>
    <t>blood human</t>
  </si>
  <si>
    <t>SRR5087885</t>
  </si>
  <si>
    <t>SRR5088132</t>
  </si>
  <si>
    <t>SRR5088136</t>
  </si>
  <si>
    <t>SRR5091624</t>
  </si>
  <si>
    <t>SRR5091627</t>
  </si>
  <si>
    <t>SRR5091633</t>
  </si>
  <si>
    <t>SRR5091684</t>
  </si>
  <si>
    <t>SRR5091686</t>
  </si>
  <si>
    <t>SRR5091693</t>
  </si>
  <si>
    <t>SRR5100798</t>
  </si>
  <si>
    <t>SRR5100904</t>
  </si>
  <si>
    <t>SRR5104741</t>
  </si>
  <si>
    <t>french style green bean</t>
  </si>
  <si>
    <t>SRR5116297,SRR5116279</t>
  </si>
  <si>
    <t>SRR5116520,SRR5116689</t>
  </si>
  <si>
    <t>SRR5116521,SRR5116690</t>
  </si>
  <si>
    <t>SRR5116523,SRR5116691</t>
  </si>
  <si>
    <t>SRR5116577</t>
  </si>
  <si>
    <t>SRR5116579</t>
  </si>
  <si>
    <t>SRR5116580</t>
  </si>
  <si>
    <t>SRR5116686,SRR5116519</t>
  </si>
  <si>
    <t>SRR5116688,SRR5116522</t>
  </si>
  <si>
    <t>guava ice cream</t>
  </si>
  <si>
    <t>SRR5117427</t>
  </si>
  <si>
    <t>SRR5117428</t>
  </si>
  <si>
    <t>SRR5117429</t>
  </si>
  <si>
    <t>SRR5117433</t>
  </si>
  <si>
    <t>SRR5117434</t>
  </si>
  <si>
    <t>SRR5117436</t>
  </si>
  <si>
    <t>SRR5120760</t>
  </si>
  <si>
    <t>SRR5120763</t>
  </si>
  <si>
    <t>SRR5120764</t>
  </si>
  <si>
    <t>SRR5120765</t>
  </si>
  <si>
    <t>Cold Smoked Salmon</t>
  </si>
  <si>
    <t>SRR5120766</t>
  </si>
  <si>
    <t>SRR5120768</t>
  </si>
  <si>
    <t>SRR5120771</t>
  </si>
  <si>
    <t>SRR5120964</t>
  </si>
  <si>
    <t>SRR5120965</t>
  </si>
  <si>
    <t>SRR5120966</t>
  </si>
  <si>
    <t>SRR5120967</t>
  </si>
  <si>
    <t>SRR5120968</t>
  </si>
  <si>
    <t>SRR5120969</t>
  </si>
  <si>
    <t>SRR5120980</t>
  </si>
  <si>
    <t>SRR5120983</t>
  </si>
  <si>
    <t>SRR5121005</t>
  </si>
  <si>
    <t>SRR5123176</t>
  </si>
  <si>
    <t>SRR5123177</t>
  </si>
  <si>
    <t>SRR5128308</t>
  </si>
  <si>
    <t>SRR5131992</t>
  </si>
  <si>
    <t>SRR5131994</t>
  </si>
  <si>
    <t>SRR5131995</t>
  </si>
  <si>
    <t>SRR5131999</t>
  </si>
  <si>
    <t>SRR5132004</t>
  </si>
  <si>
    <t>SRR5132011</t>
  </si>
  <si>
    <t>SRR5132014</t>
  </si>
  <si>
    <t>SRR5132017</t>
  </si>
  <si>
    <t>SRR5132019</t>
  </si>
  <si>
    <t>SRR5133497</t>
  </si>
  <si>
    <t>SRR5133499</t>
  </si>
  <si>
    <t>anchovy in oil</t>
  </si>
  <si>
    <t>SRR5134312,SRR5133477</t>
  </si>
  <si>
    <t>brined herring fish</t>
  </si>
  <si>
    <t>SRR5134698</t>
  </si>
  <si>
    <t>SRR5134703</t>
  </si>
  <si>
    <t>SRR5139795</t>
  </si>
  <si>
    <t>SRR5141919</t>
  </si>
  <si>
    <t>SRR5152240</t>
  </si>
  <si>
    <t>SRR5155656</t>
  </si>
  <si>
    <t>SRR5155657</t>
  </si>
  <si>
    <t>SRR5155660</t>
  </si>
  <si>
    <t>SRR5155661</t>
  </si>
  <si>
    <t>SRR5155665</t>
  </si>
  <si>
    <t>SRR5159851</t>
  </si>
  <si>
    <t>SRR5160118,SRR5182474</t>
  </si>
  <si>
    <t>SRR5160236</t>
  </si>
  <si>
    <t>SRR5160240</t>
  </si>
  <si>
    <t>SRR5160244,SRR5182477</t>
  </si>
  <si>
    <t>SRR5160245,SRR5344715</t>
  </si>
  <si>
    <t>SRR5160256</t>
  </si>
  <si>
    <t>SRR5160264</t>
  </si>
  <si>
    <t>SRR5160265</t>
  </si>
  <si>
    <t>SRR5160266</t>
  </si>
  <si>
    <t>SRR5160279</t>
  </si>
  <si>
    <t>SRR5160282</t>
  </si>
  <si>
    <t>SRR5167742</t>
  </si>
  <si>
    <t>SRR5167786</t>
  </si>
  <si>
    <t>SRR5182473,SRR5159840</t>
  </si>
  <si>
    <t>SRR5184151</t>
  </si>
  <si>
    <t>Product-RTE-Fully Cooked, Meat/Nonmeat Combination-Combination species</t>
  </si>
  <si>
    <t>SRR5184153</t>
  </si>
  <si>
    <t>SRR5184155</t>
  </si>
  <si>
    <t>SRR5184162</t>
  </si>
  <si>
    <t>SRR5184967,SRR6289023</t>
  </si>
  <si>
    <t>grilled chili dog with cheese</t>
  </si>
  <si>
    <t>SRR5184969,SRR6436645</t>
  </si>
  <si>
    <t>SRR5184993,SRR6327661</t>
  </si>
  <si>
    <t>SRR5184995,SRR6327190</t>
  </si>
  <si>
    <t>SRR5184996</t>
  </si>
  <si>
    <t>swab, floor drain near meat slicer</t>
  </si>
  <si>
    <t>SRR5185038</t>
  </si>
  <si>
    <t>SRR5185039</t>
  </si>
  <si>
    <t>SRR5188389</t>
  </si>
  <si>
    <t>SRR5195793</t>
  </si>
  <si>
    <t>jalapeno snack stick</t>
  </si>
  <si>
    <t>SRR5195794</t>
  </si>
  <si>
    <t>canadian style bacon</t>
  </si>
  <si>
    <t>SRR5195796</t>
  </si>
  <si>
    <t>SRR5195801</t>
  </si>
  <si>
    <t>SRR5202337</t>
  </si>
  <si>
    <t>SRR5208005</t>
  </si>
  <si>
    <t>SRR5208006</t>
  </si>
  <si>
    <t>SRR5217473</t>
  </si>
  <si>
    <t>SRR5217475</t>
  </si>
  <si>
    <t>SRR5219620</t>
  </si>
  <si>
    <t>SRR5219653</t>
  </si>
  <si>
    <t>raw beef cat food</t>
  </si>
  <si>
    <t>SRR5219654</t>
  </si>
  <si>
    <t>SRR5219655</t>
  </si>
  <si>
    <t>raw turkey cat food</t>
  </si>
  <si>
    <t>SRR5219660</t>
  </si>
  <si>
    <t>SRR5219661</t>
  </si>
  <si>
    <t>raw chicken cat food</t>
  </si>
  <si>
    <t>SRR5219662</t>
  </si>
  <si>
    <t>SRR5221845</t>
  </si>
  <si>
    <t>SRR5221857</t>
  </si>
  <si>
    <t>SRR5223169</t>
  </si>
  <si>
    <t>SRR5223174</t>
  </si>
  <si>
    <t>SRR5223175</t>
  </si>
  <si>
    <t>SRR5230876</t>
  </si>
  <si>
    <t>Enviromental Songes</t>
  </si>
  <si>
    <t>SRR5230878</t>
  </si>
  <si>
    <t>SRR5230885</t>
  </si>
  <si>
    <t>SRR5240807</t>
  </si>
  <si>
    <t>SRR5249186</t>
  </si>
  <si>
    <t>SRR5249190</t>
  </si>
  <si>
    <t>Deli drain</t>
  </si>
  <si>
    <t>SRR5249191</t>
  </si>
  <si>
    <t>SRR5249195</t>
  </si>
  <si>
    <t>SRR5251050</t>
  </si>
  <si>
    <t>SRR5251080</t>
  </si>
  <si>
    <t>SRR5253567</t>
  </si>
  <si>
    <t>SRR5253568</t>
  </si>
  <si>
    <t>SRR5271100</t>
  </si>
  <si>
    <t>SRR5274832</t>
  </si>
  <si>
    <t>SRR5274833</t>
  </si>
  <si>
    <t>Isolate - Environment (End Slicer Weight Template)</t>
  </si>
  <si>
    <t>SRR5274835</t>
  </si>
  <si>
    <t>Isolate - Environment (Slicer Buttons)</t>
  </si>
  <si>
    <t>SRR5274836</t>
  </si>
  <si>
    <t>Isolate - Environment (Knife 1)</t>
  </si>
  <si>
    <t>SRR5274837</t>
  </si>
  <si>
    <t>SRR5274840</t>
  </si>
  <si>
    <t>Isolate - Environment (End Slicer Bin)</t>
  </si>
  <si>
    <t>SRR5274841</t>
  </si>
  <si>
    <t>SRR5274846</t>
  </si>
  <si>
    <t>SRR5274856</t>
  </si>
  <si>
    <t>SRR5274857</t>
  </si>
  <si>
    <t>SRR5274858</t>
  </si>
  <si>
    <t>SRR5274862</t>
  </si>
  <si>
    <t>SRR5274864</t>
  </si>
  <si>
    <t>SRR5275162</t>
  </si>
  <si>
    <t>SRR5278325,SRR5378740</t>
  </si>
  <si>
    <t>SRR5278326,SRR5378741</t>
  </si>
  <si>
    <t>SRR5278327</t>
  </si>
  <si>
    <t>SRR5278329,SRR5378743</t>
  </si>
  <si>
    <t>SRR5278333,SRR5378745</t>
  </si>
  <si>
    <t>SRR5278336</t>
  </si>
  <si>
    <t>SRR5278341,SRR5378748</t>
  </si>
  <si>
    <t>SRR5278832</t>
  </si>
  <si>
    <t>SRR5278834</t>
  </si>
  <si>
    <t>SRR5278835</t>
  </si>
  <si>
    <t>SRR5278843</t>
  </si>
  <si>
    <t>SRR5278844</t>
  </si>
  <si>
    <t>Slicer conveyor</t>
  </si>
  <si>
    <t>SRR5278845</t>
  </si>
  <si>
    <t>SRR5278849</t>
  </si>
  <si>
    <t>Chilling Room floor/wall</t>
  </si>
  <si>
    <t>SRR5278853</t>
  </si>
  <si>
    <t>Chilling Room floors</t>
  </si>
  <si>
    <t>SRR5278859</t>
  </si>
  <si>
    <t>SRR5278861</t>
  </si>
  <si>
    <t>SRR5278865</t>
  </si>
  <si>
    <t>SRR5278871</t>
  </si>
  <si>
    <t>frozen french style green bean</t>
  </si>
  <si>
    <t>SRR5278959</t>
  </si>
  <si>
    <t>SRR5278969</t>
  </si>
  <si>
    <t>SRR5278972</t>
  </si>
  <si>
    <t>SRR5278973</t>
  </si>
  <si>
    <t>SRR5278977</t>
  </si>
  <si>
    <t>Trim Room Equipment</t>
  </si>
  <si>
    <t>SRR5278978</t>
  </si>
  <si>
    <t>SRR5279053</t>
  </si>
  <si>
    <t>SRR5279055</t>
  </si>
  <si>
    <t>Sponge Enrichment</t>
  </si>
  <si>
    <t>SRR5279058</t>
  </si>
  <si>
    <t>SRR5279060</t>
  </si>
  <si>
    <t>SRR5279063</t>
  </si>
  <si>
    <t>SRR5279064</t>
  </si>
  <si>
    <t>SRR5279067</t>
  </si>
  <si>
    <t>SRR5279069</t>
  </si>
  <si>
    <t>SRR5279070</t>
  </si>
  <si>
    <t>Environmental Surface Wipe</t>
  </si>
  <si>
    <t>SRR5279073</t>
  </si>
  <si>
    <t>SRR5279075</t>
  </si>
  <si>
    <t>SRR5279076</t>
  </si>
  <si>
    <t>SRR5279077</t>
  </si>
  <si>
    <t>SRR5279079</t>
  </si>
  <si>
    <t>SRR5279081</t>
  </si>
  <si>
    <t>SRR5279082</t>
  </si>
  <si>
    <t>SRR5280359,SRR5341516,SRR5378753</t>
  </si>
  <si>
    <t>SRR5280363</t>
  </si>
  <si>
    <t>SRR5280364</t>
  </si>
  <si>
    <t>SRR5280365</t>
  </si>
  <si>
    <t>SRR5280366</t>
  </si>
  <si>
    <t>SRR5280367</t>
  </si>
  <si>
    <t>SRR5280369</t>
  </si>
  <si>
    <t>SRR5280371</t>
  </si>
  <si>
    <t>SRR5280372</t>
  </si>
  <si>
    <t>SRR5291671</t>
  </si>
  <si>
    <t>SRR5291674</t>
  </si>
  <si>
    <t>SRR5291675</t>
  </si>
  <si>
    <t>SRR5291679</t>
  </si>
  <si>
    <t>SRR5291684</t>
  </si>
  <si>
    <t>Finished Organic Kale</t>
  </si>
  <si>
    <t>SRR5291685</t>
  </si>
  <si>
    <t>SRR5291686</t>
  </si>
  <si>
    <t>SRR5291687</t>
  </si>
  <si>
    <t>SRR5291688</t>
  </si>
  <si>
    <t>SRR5291689</t>
  </si>
  <si>
    <t>SRR5291690</t>
  </si>
  <si>
    <t>SRR5291691</t>
  </si>
  <si>
    <t>SRR5291693</t>
  </si>
  <si>
    <t>SRR5291694</t>
  </si>
  <si>
    <t>SRR5291695</t>
  </si>
  <si>
    <t>SRR5291699</t>
  </si>
  <si>
    <t>SRR5291700</t>
  </si>
  <si>
    <t>SRR5291708</t>
  </si>
  <si>
    <t>Finished Turkey Necks</t>
  </si>
  <si>
    <t>SRR5292055</t>
  </si>
  <si>
    <t>cake</t>
  </si>
  <si>
    <t>SRR5292056</t>
  </si>
  <si>
    <t>SRR5292058</t>
  </si>
  <si>
    <t>SRR5292061</t>
  </si>
  <si>
    <t>Finished cake</t>
  </si>
  <si>
    <t>SRR5292063</t>
  </si>
  <si>
    <t>SRR5292064</t>
  </si>
  <si>
    <t>SRR5292065</t>
  </si>
  <si>
    <t>SRR5292066</t>
  </si>
  <si>
    <t>SRR5292067</t>
  </si>
  <si>
    <t>SRR5292068</t>
  </si>
  <si>
    <t>SRR5292069</t>
  </si>
  <si>
    <t>SRR5292071</t>
  </si>
  <si>
    <t>SRR5292075</t>
  </si>
  <si>
    <t>SRR5292077</t>
  </si>
  <si>
    <t>SRR5292080</t>
  </si>
  <si>
    <t>SRR5292082</t>
  </si>
  <si>
    <t>SRR5292083</t>
  </si>
  <si>
    <t>SRR5292084</t>
  </si>
  <si>
    <t>SRR5292089</t>
  </si>
  <si>
    <t>SRR5292090</t>
  </si>
  <si>
    <t>SRR5292091</t>
  </si>
  <si>
    <t>SRR5292095</t>
  </si>
  <si>
    <t>SRR5292098</t>
  </si>
  <si>
    <t>SRR5292099</t>
  </si>
  <si>
    <t>SRR5292101</t>
  </si>
  <si>
    <t>SRR5292106</t>
  </si>
  <si>
    <t>SRR5292108</t>
  </si>
  <si>
    <t>SRR5292109</t>
  </si>
  <si>
    <t>SRR5292197</t>
  </si>
  <si>
    <t>SRR5292199</t>
  </si>
  <si>
    <t>SRR5292201</t>
  </si>
  <si>
    <t>SRR5292202</t>
  </si>
  <si>
    <t>SRR5292203</t>
  </si>
  <si>
    <t>SRR5296195</t>
  </si>
  <si>
    <t>SRR5297184</t>
  </si>
  <si>
    <t>SRR5297193</t>
  </si>
  <si>
    <t>SRR5297194</t>
  </si>
  <si>
    <t>Product-RTE-Dried-Pork</t>
  </si>
  <si>
    <t>SRR5297195</t>
  </si>
  <si>
    <t>SRR5297240</t>
  </si>
  <si>
    <t>SRR5297335</t>
  </si>
  <si>
    <t>SRR5297350</t>
  </si>
  <si>
    <t>SRR5297376</t>
  </si>
  <si>
    <t>SRR5297399</t>
  </si>
  <si>
    <t>SRR5297401</t>
  </si>
  <si>
    <t>SRR5297417</t>
  </si>
  <si>
    <t>SRR5297420</t>
  </si>
  <si>
    <t>SRR5297475</t>
  </si>
  <si>
    <t>SRR5297477</t>
  </si>
  <si>
    <t>SRR5297517</t>
  </si>
  <si>
    <t>SRR5308053</t>
  </si>
  <si>
    <t>SRR5308055</t>
  </si>
  <si>
    <t>SRR5308056</t>
  </si>
  <si>
    <t>SRR5308057</t>
  </si>
  <si>
    <t>ST1064</t>
  </si>
  <si>
    <t>SRR5311176</t>
  </si>
  <si>
    <t>pimento spread</t>
  </si>
  <si>
    <t>SRR5311180</t>
  </si>
  <si>
    <t>SRR5311181,SRR12620722,SRR7465229</t>
  </si>
  <si>
    <t>SRR5311182</t>
  </si>
  <si>
    <t>SRR5311184</t>
  </si>
  <si>
    <t>SRR5311185</t>
  </si>
  <si>
    <t>SRR5311186</t>
  </si>
  <si>
    <t>SRR5311187</t>
  </si>
  <si>
    <t>SRR5311188</t>
  </si>
  <si>
    <t>SRR5311189</t>
  </si>
  <si>
    <t>SRR5311190</t>
  </si>
  <si>
    <t>SRR5311191</t>
  </si>
  <si>
    <t>SRR5311239</t>
  </si>
  <si>
    <t>SRR5311240</t>
  </si>
  <si>
    <t>SRR5311241</t>
  </si>
  <si>
    <t>SRR5311244</t>
  </si>
  <si>
    <t>SRR5311246</t>
  </si>
  <si>
    <t>SRR5311247</t>
  </si>
  <si>
    <t>SRR5311248</t>
  </si>
  <si>
    <t>SRR5312116,SRR5311173</t>
  </si>
  <si>
    <t>SRR5312125,SRR5311175</t>
  </si>
  <si>
    <t>SRR5314828</t>
  </si>
  <si>
    <t>SRR5314831</t>
  </si>
  <si>
    <t>SRR5314835</t>
  </si>
  <si>
    <t>SRR5314836</t>
  </si>
  <si>
    <t>SRR5318320</t>
  </si>
  <si>
    <t>SRR5318321</t>
  </si>
  <si>
    <t>SRR5318322</t>
  </si>
  <si>
    <t>SRR5318323</t>
  </si>
  <si>
    <t>SRR5318324</t>
  </si>
  <si>
    <t>SRR5318326</t>
  </si>
  <si>
    <t>cooked chicken</t>
  </si>
  <si>
    <t>SRR5318327</t>
  </si>
  <si>
    <t>SRR5318328</t>
  </si>
  <si>
    <t>SRR5318344</t>
  </si>
  <si>
    <t>SRR5318345</t>
  </si>
  <si>
    <t>SRR5318346</t>
  </si>
  <si>
    <t>SRR5318347</t>
  </si>
  <si>
    <t>SRR5318348</t>
  </si>
  <si>
    <t>SRR5318350</t>
  </si>
  <si>
    <t>cut corn</t>
  </si>
  <si>
    <t>SRR5318351</t>
  </si>
  <si>
    <t>SRR5318352</t>
  </si>
  <si>
    <t>SRR5318353</t>
  </si>
  <si>
    <t>SRR5318355</t>
  </si>
  <si>
    <t>pea</t>
  </si>
  <si>
    <t>SRR5318356</t>
  </si>
  <si>
    <t>SRR5318357</t>
  </si>
  <si>
    <t>SRR5318358</t>
  </si>
  <si>
    <t>SRR5318359</t>
  </si>
  <si>
    <t>SRR5318361</t>
  </si>
  <si>
    <t>SRR5318374</t>
  </si>
  <si>
    <t>SRR5318375</t>
  </si>
  <si>
    <t>SRR5318376</t>
  </si>
  <si>
    <t>SRR5318382</t>
  </si>
  <si>
    <t>SRR5318384</t>
  </si>
  <si>
    <t>SRR5318385</t>
  </si>
  <si>
    <t>SRR5318387</t>
  </si>
  <si>
    <t>SRR5318388</t>
  </si>
  <si>
    <t>SRR5318389</t>
  </si>
  <si>
    <t>SRR5318390</t>
  </si>
  <si>
    <t>SRR5318391</t>
  </si>
  <si>
    <t>SRR5318392</t>
  </si>
  <si>
    <t>SRR5318393</t>
  </si>
  <si>
    <t>SRR5318395</t>
  </si>
  <si>
    <t>Operational sponge</t>
  </si>
  <si>
    <t>SRR5318416</t>
  </si>
  <si>
    <t>SRR5318417</t>
  </si>
  <si>
    <t>contact sponge</t>
  </si>
  <si>
    <t>SRR5318418</t>
  </si>
  <si>
    <t>SRR5318419</t>
  </si>
  <si>
    <t>SRR5318421</t>
  </si>
  <si>
    <t>SRR5318422</t>
  </si>
  <si>
    <t>SRR5318424</t>
  </si>
  <si>
    <t>SRR5318425</t>
  </si>
  <si>
    <t>SRR5318426</t>
  </si>
  <si>
    <t>SRR5318427</t>
  </si>
  <si>
    <t>SRR5318428</t>
  </si>
  <si>
    <t>SRR5318429</t>
  </si>
  <si>
    <t>SRR5318430</t>
  </si>
  <si>
    <t>SRR5318431</t>
  </si>
  <si>
    <t>SRR5318432</t>
  </si>
  <si>
    <t>SRR5318433</t>
  </si>
  <si>
    <t>SRR5318434</t>
  </si>
  <si>
    <t>SRR5318435</t>
  </si>
  <si>
    <t>SRR5318436</t>
  </si>
  <si>
    <t>SRR5318437</t>
  </si>
  <si>
    <t>SRR5318438</t>
  </si>
  <si>
    <t>SRR5318439</t>
  </si>
  <si>
    <t>SRR5318440</t>
  </si>
  <si>
    <t>SRR5318441</t>
  </si>
  <si>
    <t>SRR5318442</t>
  </si>
  <si>
    <t>SRR5318443</t>
  </si>
  <si>
    <t>SRR5318444</t>
  </si>
  <si>
    <t>SRR5318572</t>
  </si>
  <si>
    <t>SRR5318573</t>
  </si>
  <si>
    <t>SRR5318575</t>
  </si>
  <si>
    <t>SRR5318576</t>
  </si>
  <si>
    <t>SRR5318577</t>
  </si>
  <si>
    <t>SRR5318578</t>
  </si>
  <si>
    <t>SRR5318579</t>
  </si>
  <si>
    <t>SRR5318580</t>
  </si>
  <si>
    <t>SRR5318581</t>
  </si>
  <si>
    <t>SRR5318584</t>
  </si>
  <si>
    <t>SRR5318586</t>
  </si>
  <si>
    <t>SRR5318587</t>
  </si>
  <si>
    <t>SRR5318588</t>
  </si>
  <si>
    <t>SRR5318933,SRR5296608</t>
  </si>
  <si>
    <t>serving utensil</t>
  </si>
  <si>
    <t>SRR5318939</t>
  </si>
  <si>
    <t>blue crab spread</t>
  </si>
  <si>
    <t>SRR5318940</t>
  </si>
  <si>
    <t>whitefish spread</t>
  </si>
  <si>
    <t>SRR5318943</t>
  </si>
  <si>
    <t>salad potato</t>
  </si>
  <si>
    <t>SRR5333078</t>
  </si>
  <si>
    <t>SRR5333085</t>
  </si>
  <si>
    <t>SRR5333086</t>
  </si>
  <si>
    <t>SRR5333090</t>
  </si>
  <si>
    <t>SRR5333097</t>
  </si>
  <si>
    <t>SRR5333098</t>
  </si>
  <si>
    <t>SRR5333099</t>
  </si>
  <si>
    <t>SRR5333100</t>
  </si>
  <si>
    <t>SRR5333106</t>
  </si>
  <si>
    <t>SRR5335834</t>
  </si>
  <si>
    <t>SRR5335835</t>
  </si>
  <si>
    <t>SRR5335838</t>
  </si>
  <si>
    <t>SRR5335921</t>
  </si>
  <si>
    <t>SRR5335924</t>
  </si>
  <si>
    <t>SRR5335925</t>
  </si>
  <si>
    <t>SRR5335926</t>
  </si>
  <si>
    <t>SRR5335927</t>
  </si>
  <si>
    <t>SRR5335928</t>
  </si>
  <si>
    <t>SRR5335929</t>
  </si>
  <si>
    <t>SRR5335930</t>
  </si>
  <si>
    <t>SRR5335931</t>
  </si>
  <si>
    <t>SRR5335932</t>
  </si>
  <si>
    <t>SRR5335934</t>
  </si>
  <si>
    <t>SRR5335935</t>
  </si>
  <si>
    <t>SRR5335936</t>
  </si>
  <si>
    <t>SRR5335937</t>
  </si>
  <si>
    <t>SRR5335938</t>
  </si>
  <si>
    <t>SRR5335939</t>
  </si>
  <si>
    <t>SRR5335940</t>
  </si>
  <si>
    <t>SRR5335941</t>
  </si>
  <si>
    <t>SRR5335942</t>
  </si>
  <si>
    <t>SRR5335945</t>
  </si>
  <si>
    <t>SRR5335946</t>
  </si>
  <si>
    <t>SRR5335948</t>
  </si>
  <si>
    <t>SRR5335949</t>
  </si>
  <si>
    <t>SRR5335950</t>
  </si>
  <si>
    <t>SRR5335951</t>
  </si>
  <si>
    <t>SRR5335952</t>
  </si>
  <si>
    <t>SRR5335953</t>
  </si>
  <si>
    <t>SRR5335955</t>
  </si>
  <si>
    <t>SRR5335956</t>
  </si>
  <si>
    <t>SRR5335957</t>
  </si>
  <si>
    <t>SRR5335960</t>
  </si>
  <si>
    <t>SRR5335964</t>
  </si>
  <si>
    <t>SRR5335965</t>
  </si>
  <si>
    <t>SRR5335969</t>
  </si>
  <si>
    <t>SRR5335970</t>
  </si>
  <si>
    <t>SRR5335971</t>
  </si>
  <si>
    <t>SRR5341731</t>
  </si>
  <si>
    <t>SRR5341735</t>
  </si>
  <si>
    <t>finished pet food</t>
  </si>
  <si>
    <t>SRR5341739</t>
  </si>
  <si>
    <t>SRR5341743</t>
  </si>
  <si>
    <t>SRR5341745</t>
  </si>
  <si>
    <t>SRR5341746</t>
  </si>
  <si>
    <t>meat feed</t>
  </si>
  <si>
    <t>SRR5341747</t>
  </si>
  <si>
    <t>SRR5341748</t>
  </si>
  <si>
    <t>SRR5341749</t>
  </si>
  <si>
    <t>SRR5341750</t>
  </si>
  <si>
    <t>SRR5341751</t>
  </si>
  <si>
    <t>SRR5341757</t>
  </si>
  <si>
    <t>peach</t>
  </si>
  <si>
    <t>SRR5341764</t>
  </si>
  <si>
    <t>SRR5341769</t>
  </si>
  <si>
    <t>SRR5341795</t>
  </si>
  <si>
    <t>SRR5341796</t>
  </si>
  <si>
    <t>SRR5341797</t>
  </si>
  <si>
    <t>SRR5341798</t>
  </si>
  <si>
    <t>Finished Spinach</t>
  </si>
  <si>
    <t>SRR5341802</t>
  </si>
  <si>
    <t>SRR5341810</t>
  </si>
  <si>
    <t>SRR5341811</t>
  </si>
  <si>
    <t>SRR5341812</t>
  </si>
  <si>
    <t>SRR5341823</t>
  </si>
  <si>
    <t>SRR5341824</t>
  </si>
  <si>
    <t>SRR5341825</t>
  </si>
  <si>
    <t>SRR5341826</t>
  </si>
  <si>
    <t>SRR5341828</t>
  </si>
  <si>
    <t>SRR5341829</t>
  </si>
  <si>
    <t>SRR5341830</t>
  </si>
  <si>
    <t>SRR5341831</t>
  </si>
  <si>
    <t>SRR5341832</t>
  </si>
  <si>
    <t>SRR5341833</t>
  </si>
  <si>
    <t>SRR5341834</t>
  </si>
  <si>
    <t>SRR5341835</t>
  </si>
  <si>
    <t>SRR5341836</t>
  </si>
  <si>
    <t>SRR5341837</t>
  </si>
  <si>
    <t>SRR5341839</t>
  </si>
  <si>
    <t>biscuit</t>
  </si>
  <si>
    <t>SRR5341840</t>
  </si>
  <si>
    <t>SRR5341841</t>
  </si>
  <si>
    <t>Finished Org Spinach</t>
  </si>
  <si>
    <t>SRR5341843</t>
  </si>
  <si>
    <t>SRR5341844</t>
  </si>
  <si>
    <t>SRR5341845</t>
  </si>
  <si>
    <t>SRR5341848</t>
  </si>
  <si>
    <t>SRR5341849</t>
  </si>
  <si>
    <t>SRR5341851</t>
  </si>
  <si>
    <t>SRR5341852</t>
  </si>
  <si>
    <t>SRR5341853</t>
  </si>
  <si>
    <t>SRR5341854</t>
  </si>
  <si>
    <t>SRR5341855</t>
  </si>
  <si>
    <t>SRR5341856</t>
  </si>
  <si>
    <t>SRR5341857</t>
  </si>
  <si>
    <t>SRR5341858</t>
  </si>
  <si>
    <t>SRR5341859</t>
  </si>
  <si>
    <t>SRR5341860</t>
  </si>
  <si>
    <t>SRR5341878</t>
  </si>
  <si>
    <t>SRR5341879</t>
  </si>
  <si>
    <t>SRR5341880</t>
  </si>
  <si>
    <t>Finished Diced Chicken</t>
  </si>
  <si>
    <t>SRR5341882</t>
  </si>
  <si>
    <t>SRR5341884</t>
  </si>
  <si>
    <t>SRR5341887</t>
  </si>
  <si>
    <t>SRR5341889</t>
  </si>
  <si>
    <t>SRR5341894</t>
  </si>
  <si>
    <t>SRR5341895</t>
  </si>
  <si>
    <t>salad</t>
  </si>
  <si>
    <t>SRR5341896</t>
  </si>
  <si>
    <t>SRR5344699</t>
  </si>
  <si>
    <t>SRR5344700</t>
  </si>
  <si>
    <t>SRR5344701</t>
  </si>
  <si>
    <t>SRR5344702</t>
  </si>
  <si>
    <t>SRR5344705</t>
  </si>
  <si>
    <t>SRR5344707</t>
  </si>
  <si>
    <t>SRR5344708</t>
  </si>
  <si>
    <t>SRR5344719,SRR6303471</t>
  </si>
  <si>
    <t>SRR5344720,SRR6303570</t>
  </si>
  <si>
    <t>SRR5344721,SRR6303581</t>
  </si>
  <si>
    <t>SRR5344724,SRR6303582</t>
  </si>
  <si>
    <t>SRR5344725,SRR6303969</t>
  </si>
  <si>
    <t>SRR5344780,SRR6304524</t>
  </si>
  <si>
    <t>SRR5344781,SRR6303970</t>
  </si>
  <si>
    <t>SRR5344782</t>
  </si>
  <si>
    <t>SRR5344783,SRR6304527</t>
  </si>
  <si>
    <t>SRR5344784</t>
  </si>
  <si>
    <t>SRR5344785,SRR6304918</t>
  </si>
  <si>
    <t>SRR5344786</t>
  </si>
  <si>
    <t>SRR5344788</t>
  </si>
  <si>
    <t>SRR5344789</t>
  </si>
  <si>
    <t>SRR5344790</t>
  </si>
  <si>
    <t>SRR5344791</t>
  </si>
  <si>
    <t>SRR5344792</t>
  </si>
  <si>
    <t>SRR5344795</t>
  </si>
  <si>
    <t>SRR5353285</t>
  </si>
  <si>
    <t>SRR5353286</t>
  </si>
  <si>
    <t>SRR5353288</t>
  </si>
  <si>
    <t>SRR5353314</t>
  </si>
  <si>
    <t>SRR5353320</t>
  </si>
  <si>
    <t>SRR5353321</t>
  </si>
  <si>
    <t>SRR5353322</t>
  </si>
  <si>
    <t>SRR5353323</t>
  </si>
  <si>
    <t>SRR5353324</t>
  </si>
  <si>
    <t>SRR5353326</t>
  </si>
  <si>
    <t>SRR5353327</t>
  </si>
  <si>
    <t>SRR5353329</t>
  </si>
  <si>
    <t>SRR5353331</t>
  </si>
  <si>
    <t>SRR5353333</t>
  </si>
  <si>
    <t>SRR5353335</t>
  </si>
  <si>
    <t>SRR5353338</t>
  </si>
  <si>
    <t>SRR5353339</t>
  </si>
  <si>
    <t>SRR5353340</t>
  </si>
  <si>
    <t>SRR5353342</t>
  </si>
  <si>
    <t>SRR5353343</t>
  </si>
  <si>
    <t>SRR5353344</t>
  </si>
  <si>
    <t>SRR5353345</t>
  </si>
  <si>
    <t>SRR5353347</t>
  </si>
  <si>
    <t>SRR5353349</t>
  </si>
  <si>
    <t>SRR5353350</t>
  </si>
  <si>
    <t>SRR5353351</t>
  </si>
  <si>
    <t>Finished Corn</t>
  </si>
  <si>
    <t>SRR5353353</t>
  </si>
  <si>
    <t>SRR5353355</t>
  </si>
  <si>
    <t>SRR5353357</t>
  </si>
  <si>
    <t>SRR5353363</t>
  </si>
  <si>
    <t>SRR5353366</t>
  </si>
  <si>
    <t>SRR5353368</t>
  </si>
  <si>
    <t>SRR5353370</t>
  </si>
  <si>
    <t>SRR5353371</t>
  </si>
  <si>
    <t>SRR5353372</t>
  </si>
  <si>
    <t>SRR5353373</t>
  </si>
  <si>
    <t>SRR5360985</t>
  </si>
  <si>
    <t>SRR5365028</t>
  </si>
  <si>
    <t>SRR5366611</t>
  </si>
  <si>
    <t>SRR5376176</t>
  </si>
  <si>
    <t>SRR5376199</t>
  </si>
  <si>
    <t>SRR5376202</t>
  </si>
  <si>
    <t>SRR5376204</t>
  </si>
  <si>
    <t>SRR5376208</t>
  </si>
  <si>
    <t>SRR5376209</t>
  </si>
  <si>
    <t>SRR5376210</t>
  </si>
  <si>
    <t>SRR5376213</t>
  </si>
  <si>
    <t>SRR5378742,SRR5278328</t>
  </si>
  <si>
    <t>SRR5378744,SRR5278331</t>
  </si>
  <si>
    <t>SRR5378746,SRR5278330</t>
  </si>
  <si>
    <t>SRR5378747,SRR5278332</t>
  </si>
  <si>
    <t>SRR5378749,SRR5278337</t>
  </si>
  <si>
    <t>SRR5378750,SRR5278339</t>
  </si>
  <si>
    <t>SRR5378751,SRR5278340</t>
  </si>
  <si>
    <t>SRR5378755</t>
  </si>
  <si>
    <t>SRR5378758</t>
  </si>
  <si>
    <t>SRR5378784</t>
  </si>
  <si>
    <t>SRR5378788</t>
  </si>
  <si>
    <t>sponge - cutting board</t>
  </si>
  <si>
    <t>SRR5378789</t>
  </si>
  <si>
    <t>chub chute - exterior</t>
  </si>
  <si>
    <t>SRR5378790</t>
  </si>
  <si>
    <t>slicer blade</t>
  </si>
  <si>
    <t>SRR5378791</t>
  </si>
  <si>
    <t>chub chute-interior</t>
  </si>
  <si>
    <t>SRR5378792</t>
  </si>
  <si>
    <t>pastrami slice</t>
  </si>
  <si>
    <t>SRR5378793</t>
  </si>
  <si>
    <t>plastic sheet</t>
  </si>
  <si>
    <t>SRR5380851</t>
  </si>
  <si>
    <t>SRR5380852</t>
  </si>
  <si>
    <t>SRR5380858</t>
  </si>
  <si>
    <t>SRR5397980</t>
  </si>
  <si>
    <t>SRR5397981</t>
  </si>
  <si>
    <t>SRR5397982</t>
  </si>
  <si>
    <t>SRR5400199</t>
  </si>
  <si>
    <t>collection lug</t>
  </si>
  <si>
    <t>SRR5400200</t>
  </si>
  <si>
    <t>SRR5400203</t>
  </si>
  <si>
    <t>SRR5400272</t>
  </si>
  <si>
    <t>swab - floor cracks</t>
  </si>
  <si>
    <t>SRR5400273</t>
  </si>
  <si>
    <t>SRR5409362</t>
  </si>
  <si>
    <t>SRR5409428</t>
  </si>
  <si>
    <t>SRR5409481</t>
  </si>
  <si>
    <t>SRR5409482</t>
  </si>
  <si>
    <t>SRR5409483</t>
  </si>
  <si>
    <t>SRR5409484</t>
  </si>
  <si>
    <t>SRR5412529</t>
  </si>
  <si>
    <t>SRR5412996</t>
  </si>
  <si>
    <t>SRR5412997</t>
  </si>
  <si>
    <t>SRR5412998</t>
  </si>
  <si>
    <t>sandwich packaged in plastic</t>
  </si>
  <si>
    <t>SRR5412999</t>
  </si>
  <si>
    <t>SRR5413000</t>
  </si>
  <si>
    <t>SRR5413029</t>
  </si>
  <si>
    <t>SRR5413030</t>
  </si>
  <si>
    <t>SRR5413031</t>
  </si>
  <si>
    <t>SRR5413032</t>
  </si>
  <si>
    <t>SRR5413120</t>
  </si>
  <si>
    <t>SRR5417830</t>
  </si>
  <si>
    <t>SRR5417832</t>
  </si>
  <si>
    <t>SRR5417833</t>
  </si>
  <si>
    <t>SRR5417835</t>
  </si>
  <si>
    <t>SRR5417943</t>
  </si>
  <si>
    <t>SRR5417944</t>
  </si>
  <si>
    <t>SRR5417945</t>
  </si>
  <si>
    <t>SRR5417946</t>
  </si>
  <si>
    <t>SRR5422035</t>
  </si>
  <si>
    <t>SRR5422036</t>
  </si>
  <si>
    <t>SRR5429586</t>
  </si>
  <si>
    <t>SRR5434201</t>
  </si>
  <si>
    <t>SRR5434214</t>
  </si>
  <si>
    <t>cubed cheddar cheese</t>
  </si>
  <si>
    <t>SRR5434518</t>
  </si>
  <si>
    <t>SRR5434520</t>
  </si>
  <si>
    <t>SRR5438748</t>
  </si>
  <si>
    <t>SRR5443640</t>
  </si>
  <si>
    <t>SRR5443642</t>
  </si>
  <si>
    <t>SRR5448093</t>
  </si>
  <si>
    <t>SRR5451748</t>
  </si>
  <si>
    <t>SRR5452252,SRR5434414</t>
  </si>
  <si>
    <t>SRR5452253</t>
  </si>
  <si>
    <t>SRR5452255</t>
  </si>
  <si>
    <t>SRR5452265</t>
  </si>
  <si>
    <t>SRR5452272</t>
  </si>
  <si>
    <t>SRR5452274</t>
  </si>
  <si>
    <t>SRR5452283</t>
  </si>
  <si>
    <t>SRR5452288</t>
  </si>
  <si>
    <t>SRR5452328</t>
  </si>
  <si>
    <t>SRR5452329</t>
  </si>
  <si>
    <t>SRR5452330</t>
  </si>
  <si>
    <t>SRR5452331</t>
  </si>
  <si>
    <t>SRR5452332</t>
  </si>
  <si>
    <t>SRR5452333</t>
  </si>
  <si>
    <t>SRR5452334</t>
  </si>
  <si>
    <t>SRR5452335</t>
  </si>
  <si>
    <t>SRR5452336</t>
  </si>
  <si>
    <t>SRR5452337</t>
  </si>
  <si>
    <t>SRR5452338</t>
  </si>
  <si>
    <t>SRR5452339</t>
  </si>
  <si>
    <t>SRR5452340</t>
  </si>
  <si>
    <t>SRR5452341</t>
  </si>
  <si>
    <t>SRR5452342</t>
  </si>
  <si>
    <t>SRR5452343</t>
  </si>
  <si>
    <t>SRR5452344</t>
  </si>
  <si>
    <t>SRR5452345</t>
  </si>
  <si>
    <t>SRR5452346</t>
  </si>
  <si>
    <t>SRR5452347</t>
  </si>
  <si>
    <t>SRR5452348</t>
  </si>
  <si>
    <t>SRR5452349</t>
  </si>
  <si>
    <t>SRR5452350</t>
  </si>
  <si>
    <t>SRR5452351</t>
  </si>
  <si>
    <t>SRR5452352</t>
  </si>
  <si>
    <t>SRR5452353</t>
  </si>
  <si>
    <t>SRR5452354</t>
  </si>
  <si>
    <t>SRR5452355</t>
  </si>
  <si>
    <t>SRR5452356</t>
  </si>
  <si>
    <t>SRR5452359</t>
  </si>
  <si>
    <t>SRR5452360</t>
  </si>
  <si>
    <t>SRR5452630</t>
  </si>
  <si>
    <t>SRR5452631</t>
  </si>
  <si>
    <t>SRR5452632</t>
  </si>
  <si>
    <t>SRR5452634</t>
  </si>
  <si>
    <t>SRR5452635</t>
  </si>
  <si>
    <t>SRR5452636</t>
  </si>
  <si>
    <t>SRR5452642</t>
  </si>
  <si>
    <t>SRR5452645</t>
  </si>
  <si>
    <t>SRR5452646</t>
  </si>
  <si>
    <t>SRR5452647</t>
  </si>
  <si>
    <t>SRR5452648</t>
  </si>
  <si>
    <t>SRR5452649</t>
  </si>
  <si>
    <t>SRR5452651</t>
  </si>
  <si>
    <t>SRR5452652</t>
  </si>
  <si>
    <t>SRR5452653</t>
  </si>
  <si>
    <t>SRR5452654</t>
  </si>
  <si>
    <t>SRR5452655</t>
  </si>
  <si>
    <t>SRR5452657</t>
  </si>
  <si>
    <t>SRR5452658</t>
  </si>
  <si>
    <t>SRR5452661</t>
  </si>
  <si>
    <t>SRR5452663</t>
  </si>
  <si>
    <t>SRR5452664</t>
  </si>
  <si>
    <t>SRR5452665</t>
  </si>
  <si>
    <t>SRR5452666</t>
  </si>
  <si>
    <t>SRR5452667</t>
  </si>
  <si>
    <t>SRR5452668</t>
  </si>
  <si>
    <t>SRR5452669</t>
  </si>
  <si>
    <t>SRR5452670</t>
  </si>
  <si>
    <t>SRR5452673</t>
  </si>
  <si>
    <t>SRR5452674</t>
  </si>
  <si>
    <t>SRR5452675</t>
  </si>
  <si>
    <t>SRR5452684</t>
  </si>
  <si>
    <t>SRR5452685</t>
  </si>
  <si>
    <t>SRR5452687</t>
  </si>
  <si>
    <t>SRR5452689</t>
  </si>
  <si>
    <t>SRR5461596,SRR5482523</t>
  </si>
  <si>
    <t>SRR5471034</t>
  </si>
  <si>
    <t>SRR5485727</t>
  </si>
  <si>
    <t>SRR5486791</t>
  </si>
  <si>
    <t>SRR5486794</t>
  </si>
  <si>
    <t>SRR5486795</t>
  </si>
  <si>
    <t>SRR5486797</t>
  </si>
  <si>
    <t>SRR5486800</t>
  </si>
  <si>
    <t>SRR5486801</t>
  </si>
  <si>
    <t>SRR5486802</t>
  </si>
  <si>
    <t>SRR5486803</t>
  </si>
  <si>
    <t>SRR5486804</t>
  </si>
  <si>
    <t>SRR5486805</t>
  </si>
  <si>
    <t>SRR5486806</t>
  </si>
  <si>
    <t>SRR5486807</t>
  </si>
  <si>
    <t>SRR5486808</t>
  </si>
  <si>
    <t>SRR5486809</t>
  </si>
  <si>
    <t>SRR5486810</t>
  </si>
  <si>
    <t>SRR5486811</t>
  </si>
  <si>
    <t>SRR5486814</t>
  </si>
  <si>
    <t>SRR5486817</t>
  </si>
  <si>
    <t>SRR5486823</t>
  </si>
  <si>
    <t>SRR5486824</t>
  </si>
  <si>
    <t>SRR5486827</t>
  </si>
  <si>
    <t>SRR5486832</t>
  </si>
  <si>
    <t>SRR5486833</t>
  </si>
  <si>
    <t>SRR5486834</t>
  </si>
  <si>
    <t>SRR5486835</t>
  </si>
  <si>
    <t>SRR5486836</t>
  </si>
  <si>
    <t>SRR5486838</t>
  </si>
  <si>
    <t>SRR5486839</t>
  </si>
  <si>
    <t>SRR5486840</t>
  </si>
  <si>
    <t>SRR5486841</t>
  </si>
  <si>
    <t>SRR5486842</t>
  </si>
  <si>
    <t>SRR5486843</t>
  </si>
  <si>
    <t>SRR5486844</t>
  </si>
  <si>
    <t>SRR5486845</t>
  </si>
  <si>
    <t>SRR5486846</t>
  </si>
  <si>
    <t>SRR5487890</t>
  </si>
  <si>
    <t>SRR5487925</t>
  </si>
  <si>
    <t>SRR5487927</t>
  </si>
  <si>
    <t>SRR5487929</t>
  </si>
  <si>
    <t>SRR5487934</t>
  </si>
  <si>
    <t>SRR5487937</t>
  </si>
  <si>
    <t>SRR5487939</t>
  </si>
  <si>
    <t>SRR5487940</t>
  </si>
  <si>
    <t>SRR5487941</t>
  </si>
  <si>
    <t>SRR5487943</t>
  </si>
  <si>
    <t>SRR5487944</t>
  </si>
  <si>
    <t>SRR5487964</t>
  </si>
  <si>
    <t>SRR5487965</t>
  </si>
  <si>
    <t>SRR5487966</t>
  </si>
  <si>
    <t>SRR5487968</t>
  </si>
  <si>
    <t>SRR5487969</t>
  </si>
  <si>
    <t>SRR5487970</t>
  </si>
  <si>
    <t>SRR5487976</t>
  </si>
  <si>
    <t>SRR5488359</t>
  </si>
  <si>
    <t>SRR5488509</t>
  </si>
  <si>
    <t>SRR5488510</t>
  </si>
  <si>
    <t>SRR5488511</t>
  </si>
  <si>
    <t>SRR5488512</t>
  </si>
  <si>
    <t>SRR5488513</t>
  </si>
  <si>
    <t>SRR5488514</t>
  </si>
  <si>
    <t>SRR5488515</t>
  </si>
  <si>
    <t>SRR5488516</t>
  </si>
  <si>
    <t>SRR5488517</t>
  </si>
  <si>
    <t>SRR5488518</t>
  </si>
  <si>
    <t>SRR5488519</t>
  </si>
  <si>
    <t>SRR5488521</t>
  </si>
  <si>
    <t>SRR5488522</t>
  </si>
  <si>
    <t>SRR5488524</t>
  </si>
  <si>
    <t>SRR5488525</t>
  </si>
  <si>
    <t>SRR5488526</t>
  </si>
  <si>
    <t>SRR5489086</t>
  </si>
  <si>
    <t>SRR5489089</t>
  </si>
  <si>
    <t>SRR5489090</t>
  </si>
  <si>
    <t>SRR5489091</t>
  </si>
  <si>
    <t>SRR5489092</t>
  </si>
  <si>
    <t>SRR5489093</t>
  </si>
  <si>
    <t>SRR5489095</t>
  </si>
  <si>
    <t>SRR5489096</t>
  </si>
  <si>
    <t>SRR5489097</t>
  </si>
  <si>
    <t>SRR5489098,SRR5489088</t>
  </si>
  <si>
    <t>SRR5489104</t>
  </si>
  <si>
    <t>SRR5489117,SRR5489087</t>
  </si>
  <si>
    <t>SRR5494802</t>
  </si>
  <si>
    <t>SRR5494804</t>
  </si>
  <si>
    <t>SRR5494805</t>
  </si>
  <si>
    <t>SRR5494807</t>
  </si>
  <si>
    <t>SRR5494810</t>
  </si>
  <si>
    <t>SRR5494811</t>
  </si>
  <si>
    <t>SRR5494812</t>
  </si>
  <si>
    <t>SRR5494813</t>
  </si>
  <si>
    <t>SRR5494814</t>
  </si>
  <si>
    <t>SRR5494815</t>
  </si>
  <si>
    <t>SRR5494816</t>
  </si>
  <si>
    <t>SRR5494817</t>
  </si>
  <si>
    <t>SRR5494818</t>
  </si>
  <si>
    <t>SRR5494819</t>
  </si>
  <si>
    <t>SRR5494820</t>
  </si>
  <si>
    <t>SRR5494821</t>
  </si>
  <si>
    <t>SRR5494822</t>
  </si>
  <si>
    <t>SRR5494823</t>
  </si>
  <si>
    <t>SRR5494824</t>
  </si>
  <si>
    <t>SRR5494825</t>
  </si>
  <si>
    <t>SRR5494826</t>
  </si>
  <si>
    <t>SRR5497380</t>
  </si>
  <si>
    <t>SRR5497384</t>
  </si>
  <si>
    <t>SRR5498098</t>
  </si>
  <si>
    <t>SRR5513437</t>
  </si>
  <si>
    <t>SRR5513438</t>
  </si>
  <si>
    <t>SRR5514416</t>
  </si>
  <si>
    <t>SRR5514417</t>
  </si>
  <si>
    <t>SRR5514423</t>
  </si>
  <si>
    <t>SRR5515308</t>
  </si>
  <si>
    <t>SRR5516294</t>
  </si>
  <si>
    <t>SRR5516301</t>
  </si>
  <si>
    <t>SRR5526029</t>
  </si>
  <si>
    <t>SRR5526031</t>
  </si>
  <si>
    <t>SRR5526035</t>
  </si>
  <si>
    <t>SRR5526037</t>
  </si>
  <si>
    <t>SRR5526082</t>
  </si>
  <si>
    <t>SRR5526085</t>
  </si>
  <si>
    <t>SRR5526092</t>
  </si>
  <si>
    <t>SRR5526094</t>
  </si>
  <si>
    <t>SRR5526097</t>
  </si>
  <si>
    <t>SRR5526099</t>
  </si>
  <si>
    <t>SRR5526100</t>
  </si>
  <si>
    <t>SRR5526101</t>
  </si>
  <si>
    <t>SRR5526104</t>
  </si>
  <si>
    <t>SRR5526105</t>
  </si>
  <si>
    <t>SRR5526106,SRR7348019</t>
  </si>
  <si>
    <t>SRR5526109</t>
  </si>
  <si>
    <t>SRR5526112</t>
  </si>
  <si>
    <t>SRR5526118,SRR7347642</t>
  </si>
  <si>
    <t>SRR5526120</t>
  </si>
  <si>
    <t>SRR5526122</t>
  </si>
  <si>
    <t>SRR5526125</t>
  </si>
  <si>
    <t>SRR5526126</t>
  </si>
  <si>
    <t>SRR5526128</t>
  </si>
  <si>
    <t>SRR5526130</t>
  </si>
  <si>
    <t>SRR5526131</t>
  </si>
  <si>
    <t>SRR5526133</t>
  </si>
  <si>
    <t>SRR5526135</t>
  </si>
  <si>
    <t>SRR5526137</t>
  </si>
  <si>
    <t>SRR5526138</t>
  </si>
  <si>
    <t>SRR5526141</t>
  </si>
  <si>
    <t>SRR5526142</t>
  </si>
  <si>
    <t>SRR5526145</t>
  </si>
  <si>
    <t>SRR5526149</t>
  </si>
  <si>
    <t>SRR5526151</t>
  </si>
  <si>
    <t>SRR5526155</t>
  </si>
  <si>
    <t>SRR5527059</t>
  </si>
  <si>
    <t>SRR5527062</t>
  </si>
  <si>
    <t>SRR5534497</t>
  </si>
  <si>
    <t>SRR5534502</t>
  </si>
  <si>
    <t>SRR5534506</t>
  </si>
  <si>
    <t>SRR5534508</t>
  </si>
  <si>
    <t>SRR5571266</t>
  </si>
  <si>
    <t>SRR5571267</t>
  </si>
  <si>
    <t>SRR5571268</t>
  </si>
  <si>
    <t>SRR5571269</t>
  </si>
  <si>
    <t>chopped spinach</t>
  </si>
  <si>
    <t>SRR5571270</t>
  </si>
  <si>
    <t>SRR5571271</t>
  </si>
  <si>
    <t>SRR5571272</t>
  </si>
  <si>
    <t>SRR5571273</t>
  </si>
  <si>
    <t>SRR5571274</t>
  </si>
  <si>
    <t>SRR5571275</t>
  </si>
  <si>
    <t>SRR5571276</t>
  </si>
  <si>
    <t>SRR5571277</t>
  </si>
  <si>
    <t>SRR5571278</t>
  </si>
  <si>
    <t>SRR5571285</t>
  </si>
  <si>
    <t>SRR5571286</t>
  </si>
  <si>
    <t>SRR5571287</t>
  </si>
  <si>
    <t>SRR5571288</t>
  </si>
  <si>
    <t>SRR5571289</t>
  </si>
  <si>
    <t>SRR5571290</t>
  </si>
  <si>
    <t>SRR5571291</t>
  </si>
  <si>
    <t>SRR5571292</t>
  </si>
  <si>
    <t>SRR5571294</t>
  </si>
  <si>
    <t>SRR5571295</t>
  </si>
  <si>
    <t>SRR5571297</t>
  </si>
  <si>
    <t>SRR5571299</t>
  </si>
  <si>
    <t>SRR5571308</t>
  </si>
  <si>
    <t>SRR5571323</t>
  </si>
  <si>
    <t>SRR5571324</t>
  </si>
  <si>
    <t>SRR5571325</t>
  </si>
  <si>
    <t>SRR5571326</t>
  </si>
  <si>
    <t>SRR5571327</t>
  </si>
  <si>
    <t>SRR5571328</t>
  </si>
  <si>
    <t>SRR5571330</t>
  </si>
  <si>
    <t>SRR5571331</t>
  </si>
  <si>
    <t>SRR5571334</t>
  </si>
  <si>
    <t>SRR5571339</t>
  </si>
  <si>
    <t>SRR5571345</t>
  </si>
  <si>
    <t>SRR5571348</t>
  </si>
  <si>
    <t>SRR5571349</t>
  </si>
  <si>
    <t>SRR5571350</t>
  </si>
  <si>
    <t>SRR5571352</t>
  </si>
  <si>
    <t>SRR5571355</t>
  </si>
  <si>
    <t>SRR5571356</t>
  </si>
  <si>
    <t>SRR5571357</t>
  </si>
  <si>
    <t>SRR5571358</t>
  </si>
  <si>
    <t>SRR5571359</t>
  </si>
  <si>
    <t>SRR5571367</t>
  </si>
  <si>
    <t>SRR5573972</t>
  </si>
  <si>
    <t>SRR5591388</t>
  </si>
  <si>
    <t>SRR5593243,SRR5526030</t>
  </si>
  <si>
    <t>SRR5599683</t>
  </si>
  <si>
    <t>SRR5599687</t>
  </si>
  <si>
    <t>SRR5631693</t>
  </si>
  <si>
    <t>SRR5631696</t>
  </si>
  <si>
    <t>SRR5632291</t>
  </si>
  <si>
    <t>SRR5638447</t>
  </si>
  <si>
    <t>SRR5639017</t>
  </si>
  <si>
    <t>SRR5639020</t>
  </si>
  <si>
    <t>SRR5643216</t>
  </si>
  <si>
    <t>SRR5643220</t>
  </si>
  <si>
    <t>SRR5643224</t>
  </si>
  <si>
    <t>SRR5643228</t>
  </si>
  <si>
    <t>rte product</t>
  </si>
  <si>
    <t>SRR5645608</t>
  </si>
  <si>
    <t>SRR5645609</t>
  </si>
  <si>
    <t>SRR5645610</t>
  </si>
  <si>
    <t>SRR5645613</t>
  </si>
  <si>
    <t>SRR5645614</t>
  </si>
  <si>
    <t>SRR5645615</t>
  </si>
  <si>
    <t>SRR5645617</t>
  </si>
  <si>
    <t>SRR5645618</t>
  </si>
  <si>
    <t>SRR5645619,SRR6109180</t>
  </si>
  <si>
    <t>SRR5645624</t>
  </si>
  <si>
    <t>SRR5645627</t>
  </si>
  <si>
    <t>SRR5645629</t>
  </si>
  <si>
    <t>SRR5645630</t>
  </si>
  <si>
    <t>SRR5645633</t>
  </si>
  <si>
    <t>SRR5645634</t>
  </si>
  <si>
    <t>SRR5645635</t>
  </si>
  <si>
    <t>SRR5645636</t>
  </si>
  <si>
    <t>SRR5645637,SRR5682277,SRR5680855</t>
  </si>
  <si>
    <t>SRR5645639</t>
  </si>
  <si>
    <t>SRR5645641</t>
  </si>
  <si>
    <t>SRR5645642</t>
  </si>
  <si>
    <t>SRR5645643</t>
  </si>
  <si>
    <t>SRR5645645</t>
  </si>
  <si>
    <t>SRR5645646</t>
  </si>
  <si>
    <t>SRR5645647</t>
  </si>
  <si>
    <t>SRR5645648</t>
  </si>
  <si>
    <t>SRR5645650</t>
  </si>
  <si>
    <t>SRR5645651</t>
  </si>
  <si>
    <t>SRR5645950</t>
  </si>
  <si>
    <t>SRR5645965</t>
  </si>
  <si>
    <t>SRR5646633</t>
  </si>
  <si>
    <t>SRR5646634</t>
  </si>
  <si>
    <t>SRR5646635</t>
  </si>
  <si>
    <t>SRR5646638</t>
  </si>
  <si>
    <t>SRR5646639</t>
  </si>
  <si>
    <t>SRR5646647</t>
  </si>
  <si>
    <t>SRR5646983</t>
  </si>
  <si>
    <t>frozen turkey and produce raw dog food</t>
  </si>
  <si>
    <t>SRR5646984</t>
  </si>
  <si>
    <t>frozen chicken and produce raw dog food</t>
  </si>
  <si>
    <t>SRR5646985</t>
  </si>
  <si>
    <t>SRR5646989</t>
  </si>
  <si>
    <t>frozen beef and produce raw dog food</t>
  </si>
  <si>
    <t>SRR5646991</t>
  </si>
  <si>
    <t>SRR5647015</t>
  </si>
  <si>
    <t>SRR5647016</t>
  </si>
  <si>
    <t>SRR5647017</t>
  </si>
  <si>
    <t>SRR5647018</t>
  </si>
  <si>
    <t>SRR5647019</t>
  </si>
  <si>
    <t>SRR5647020</t>
  </si>
  <si>
    <t>SRR5647021</t>
  </si>
  <si>
    <t>SRR5647022</t>
  </si>
  <si>
    <t>SRR5647024</t>
  </si>
  <si>
    <t>SRR5647025</t>
  </si>
  <si>
    <t>burrito</t>
  </si>
  <si>
    <t>SRR5647026</t>
  </si>
  <si>
    <t>SRR5647027</t>
  </si>
  <si>
    <t>SRR5647028</t>
  </si>
  <si>
    <t>SRR5647029</t>
  </si>
  <si>
    <t>SRR5647030</t>
  </si>
  <si>
    <t>SRR5648494</t>
  </si>
  <si>
    <t>SRR5648497</t>
  </si>
  <si>
    <t>SRR5648498</t>
  </si>
  <si>
    <t>SRR5648750</t>
  </si>
  <si>
    <t>SRR5649222</t>
  </si>
  <si>
    <t>SRR5649623</t>
  </si>
  <si>
    <t>SRR5649649</t>
  </si>
  <si>
    <t>SRR5649667</t>
  </si>
  <si>
    <t>SRR5649770</t>
  </si>
  <si>
    <t>SRR5649821</t>
  </si>
  <si>
    <t>SRR5649827</t>
  </si>
  <si>
    <t>SRR5649831</t>
  </si>
  <si>
    <t>SRR5649876</t>
  </si>
  <si>
    <t>SRR5649916</t>
  </si>
  <si>
    <t>SRR5649918</t>
  </si>
  <si>
    <t>SRR5649973</t>
  </si>
  <si>
    <t>SRR5649977</t>
  </si>
  <si>
    <t>SRR5650008</t>
  </si>
  <si>
    <t>SRR5650524</t>
  </si>
  <si>
    <t>SRR5650599</t>
  </si>
  <si>
    <t>SRR5650615</t>
  </si>
  <si>
    <t>SRR5650662</t>
  </si>
  <si>
    <t>SRR5650709</t>
  </si>
  <si>
    <t>italian roast beef</t>
  </si>
  <si>
    <t>SRR5650716</t>
  </si>
  <si>
    <t>SRR5650776</t>
  </si>
  <si>
    <t>SRR5656274</t>
  </si>
  <si>
    <t>SRR5656386</t>
  </si>
  <si>
    <t>SRR5656387</t>
  </si>
  <si>
    <t>SRR5656388</t>
  </si>
  <si>
    <t>SRR5656390</t>
  </si>
  <si>
    <t>SRR5656391</t>
  </si>
  <si>
    <t>SRR5656393</t>
  </si>
  <si>
    <t>SRR5656394</t>
  </si>
  <si>
    <t>SRR5656395</t>
  </si>
  <si>
    <t>SRR5656396</t>
  </si>
  <si>
    <t>SRR5656397</t>
  </si>
  <si>
    <t>SRR5656398</t>
  </si>
  <si>
    <t>SRR5656399</t>
  </si>
  <si>
    <t>SRR5656400</t>
  </si>
  <si>
    <t>SRR5656401</t>
  </si>
  <si>
    <t>SRR5656402</t>
  </si>
  <si>
    <t>SRR5656403</t>
  </si>
  <si>
    <t>SRR5656404</t>
  </si>
  <si>
    <t>SRR5656407</t>
  </si>
  <si>
    <t>SRR5656426</t>
  </si>
  <si>
    <t>SRR5656427</t>
  </si>
  <si>
    <t>environmental swab collected in firm manufacturing area</t>
  </si>
  <si>
    <t>SRR5656430</t>
  </si>
  <si>
    <t>SRR5657887</t>
  </si>
  <si>
    <t>SRR5658720</t>
  </si>
  <si>
    <t>SRR5659148</t>
  </si>
  <si>
    <t>SRR5663541</t>
  </si>
  <si>
    <t>SRR5663542</t>
  </si>
  <si>
    <t>SRR5663581</t>
  </si>
  <si>
    <t>SRR5663582</t>
  </si>
  <si>
    <t>SRR5663583</t>
  </si>
  <si>
    <t>SRR5663585</t>
  </si>
  <si>
    <t>SRR5663588</t>
  </si>
  <si>
    <t>Finished product</t>
  </si>
  <si>
    <t>SRR5663595</t>
  </si>
  <si>
    <t>SRR5663596</t>
  </si>
  <si>
    <t>SRR5663600</t>
  </si>
  <si>
    <t>SRR5663602</t>
  </si>
  <si>
    <t>SRR5663604</t>
  </si>
  <si>
    <t>SRR5663608</t>
  </si>
  <si>
    <t>SRR5663609</t>
  </si>
  <si>
    <t>SRR5663615</t>
  </si>
  <si>
    <t>SRR5663624</t>
  </si>
  <si>
    <t>SRR5663626</t>
  </si>
  <si>
    <t>SRR5663628</t>
  </si>
  <si>
    <t>SRR5663629</t>
  </si>
  <si>
    <t>SRR5663631</t>
  </si>
  <si>
    <t>SRR5663632</t>
  </si>
  <si>
    <t>SRR5663636</t>
  </si>
  <si>
    <t>SRR5663639</t>
  </si>
  <si>
    <t>SRR5663640</t>
  </si>
  <si>
    <t>SRR5663652</t>
  </si>
  <si>
    <t>SRR5663654</t>
  </si>
  <si>
    <t>SRR5663655,SRR5645644</t>
  </si>
  <si>
    <t>SRR5663658</t>
  </si>
  <si>
    <t>SRR5666381</t>
  </si>
  <si>
    <t>SRR5666388</t>
  </si>
  <si>
    <t>SRR5666391</t>
  </si>
  <si>
    <t>SRR5667288</t>
  </si>
  <si>
    <t>SRR5680737</t>
  </si>
  <si>
    <t>SRR5680738</t>
  </si>
  <si>
    <t>SRR5680739</t>
  </si>
  <si>
    <t>SRR5680740</t>
  </si>
  <si>
    <t>SRR5680741</t>
  </si>
  <si>
    <t>SRR5680742</t>
  </si>
  <si>
    <t>SRR5680745</t>
  </si>
  <si>
    <t>SRR5680746</t>
  </si>
  <si>
    <t>SRR5680748</t>
  </si>
  <si>
    <t>SRR5680749</t>
  </si>
  <si>
    <t>SRR5680750</t>
  </si>
  <si>
    <t>SRR5680751</t>
  </si>
  <si>
    <t>SRR5680752</t>
  </si>
  <si>
    <t>SRR5680753</t>
  </si>
  <si>
    <t>SRR5680754</t>
  </si>
  <si>
    <t>SRR5680755</t>
  </si>
  <si>
    <t>SRR5680758</t>
  </si>
  <si>
    <t>SRR5680854,SRR5682273,SRR5645638</t>
  </si>
  <si>
    <t>SRR5680862</t>
  </si>
  <si>
    <t>SRR5682272</t>
  </si>
  <si>
    <t>SRR5682279</t>
  </si>
  <si>
    <t>SRR5683433</t>
  </si>
  <si>
    <t>SRR5683444</t>
  </si>
  <si>
    <t>SRR5711536</t>
  </si>
  <si>
    <t>SRR5711990</t>
  </si>
  <si>
    <t>SRR5711992</t>
  </si>
  <si>
    <t>SRR5711993</t>
  </si>
  <si>
    <t>SRR5711994</t>
  </si>
  <si>
    <t>SRR5711995</t>
  </si>
  <si>
    <t>SRR5711996</t>
  </si>
  <si>
    <t>SRR5711998</t>
  </si>
  <si>
    <t>SRR5711999</t>
  </si>
  <si>
    <t>SRR5712000</t>
  </si>
  <si>
    <t>SRR5712001</t>
  </si>
  <si>
    <t>SRR5712004</t>
  </si>
  <si>
    <t>SRR5712006</t>
  </si>
  <si>
    <t>SRR5712009</t>
  </si>
  <si>
    <t>SRR5712012</t>
  </si>
  <si>
    <t>SRR5728416</t>
  </si>
  <si>
    <t>SRR5758402</t>
  </si>
  <si>
    <t>SRR5758403</t>
  </si>
  <si>
    <t>SRR5758404</t>
  </si>
  <si>
    <t>SRR5758405</t>
  </si>
  <si>
    <t>SRR5758406</t>
  </si>
  <si>
    <t>SRR5758407</t>
  </si>
  <si>
    <t>SRR5758408</t>
  </si>
  <si>
    <t>SRR5758409</t>
  </si>
  <si>
    <t>SRR5758410</t>
  </si>
  <si>
    <t>SRR5758411</t>
  </si>
  <si>
    <t>SRR5758414</t>
  </si>
  <si>
    <t>SRR5758416</t>
  </si>
  <si>
    <t>SRR5758422</t>
  </si>
  <si>
    <t>SRR5758424</t>
  </si>
  <si>
    <t>SRR5758425</t>
  </si>
  <si>
    <t>SRR5758431</t>
  </si>
  <si>
    <t>SRR5758432</t>
  </si>
  <si>
    <t>SRR5758433</t>
  </si>
  <si>
    <t>SRR5758434</t>
  </si>
  <si>
    <t>SRR5758438</t>
  </si>
  <si>
    <t>SRR5758439</t>
  </si>
  <si>
    <t>SRR5758440</t>
  </si>
  <si>
    <t>SRR5758441</t>
  </si>
  <si>
    <t>SRR5758442</t>
  </si>
  <si>
    <t>SRR5758443</t>
  </si>
  <si>
    <t>SRR5758444</t>
  </si>
  <si>
    <t>SRR5758445</t>
  </si>
  <si>
    <t>SRR5758447</t>
  </si>
  <si>
    <t>SRR5758448</t>
  </si>
  <si>
    <t>SRR5758482</t>
  </si>
  <si>
    <t>SRR5761603,SRR5761610,SRR4011140</t>
  </si>
  <si>
    <t>ice cream sample</t>
  </si>
  <si>
    <t>SRR5761880</t>
  </si>
  <si>
    <t>SRR5764639</t>
  </si>
  <si>
    <t>SRR5764847</t>
  </si>
  <si>
    <t>SRR5764848</t>
  </si>
  <si>
    <t>SRR5764849</t>
  </si>
  <si>
    <t>SRR5764851</t>
  </si>
  <si>
    <t>SRR5764855</t>
  </si>
  <si>
    <t>food/environmental</t>
  </si>
  <si>
    <t>SRR5764861</t>
  </si>
  <si>
    <t>SRR5764863</t>
  </si>
  <si>
    <t>SRR5764868</t>
  </si>
  <si>
    <t>SRR5764881</t>
  </si>
  <si>
    <t>SRR5764899</t>
  </si>
  <si>
    <t>SRR5764906</t>
  </si>
  <si>
    <t>SRR5764912</t>
  </si>
  <si>
    <t>SRR5764922</t>
  </si>
  <si>
    <t>SRR5764928</t>
  </si>
  <si>
    <t>SRR5764937</t>
  </si>
  <si>
    <t>SRR5764940</t>
  </si>
  <si>
    <t>SRR5764943</t>
  </si>
  <si>
    <t>SRR5764949</t>
  </si>
  <si>
    <t>SRR5764950</t>
  </si>
  <si>
    <t>SRR5764952</t>
  </si>
  <si>
    <t>SRR5764960</t>
  </si>
  <si>
    <t>SRR5764962</t>
  </si>
  <si>
    <t>SRR5764967</t>
  </si>
  <si>
    <t>SRR5764968</t>
  </si>
  <si>
    <t>SRR5764971</t>
  </si>
  <si>
    <t>SRR5764973</t>
  </si>
  <si>
    <t>SRR5764975</t>
  </si>
  <si>
    <t>SRR5764976</t>
  </si>
  <si>
    <t>SRR5764978</t>
  </si>
  <si>
    <t>SRR5764980</t>
  </si>
  <si>
    <t>SRR5764983</t>
  </si>
  <si>
    <t>SRR5764985</t>
  </si>
  <si>
    <t>SRR5764986</t>
  </si>
  <si>
    <t>SRR5764987</t>
  </si>
  <si>
    <t>SRR5764990</t>
  </si>
  <si>
    <t>SRR5764991</t>
  </si>
  <si>
    <t>SRR5765008</t>
  </si>
  <si>
    <t>SRR5767258</t>
  </si>
  <si>
    <t>SRR5767271</t>
  </si>
  <si>
    <t>SRR5788587</t>
  </si>
  <si>
    <t>SRR5800720</t>
  </si>
  <si>
    <t>SRR5800721</t>
  </si>
  <si>
    <t>SRR5800722</t>
  </si>
  <si>
    <t>SRR5800723</t>
  </si>
  <si>
    <t>Product-RTE-Acidified/Fermented-Pork</t>
  </si>
  <si>
    <t>SRR5800724</t>
  </si>
  <si>
    <t>SRR5800725</t>
  </si>
  <si>
    <t>SRR5800792</t>
  </si>
  <si>
    <t>SRR5800793</t>
  </si>
  <si>
    <t>SRR5800794</t>
  </si>
  <si>
    <t>SRR5800795</t>
  </si>
  <si>
    <t>SRR5800796</t>
  </si>
  <si>
    <t>SRR5804840</t>
  </si>
  <si>
    <t>SRR5804841</t>
  </si>
  <si>
    <t>SRR5808632</t>
  </si>
  <si>
    <t>SRR5808633</t>
  </si>
  <si>
    <t>SRR5808638</t>
  </si>
  <si>
    <t>SRR5808639</t>
  </si>
  <si>
    <t>SRR5808645</t>
  </si>
  <si>
    <t>SRR5808647</t>
  </si>
  <si>
    <t>SRR5808648</t>
  </si>
  <si>
    <t>SRR5811621</t>
  </si>
  <si>
    <t>goat cheese</t>
  </si>
  <si>
    <t>SRR5815071</t>
  </si>
  <si>
    <t>SRR5815876</t>
  </si>
  <si>
    <t>SRR5817812</t>
  </si>
  <si>
    <t>SRR5817826</t>
  </si>
  <si>
    <t>SRR5817828</t>
  </si>
  <si>
    <t>SRR5817933</t>
  </si>
  <si>
    <t>SRR5817935</t>
  </si>
  <si>
    <t>SRR5817941</t>
  </si>
  <si>
    <t>SRR5817945</t>
  </si>
  <si>
    <t>SRR5817962</t>
  </si>
  <si>
    <t>SRR5817966</t>
  </si>
  <si>
    <t>SRR5817969</t>
  </si>
  <si>
    <t>SRR5817972</t>
  </si>
  <si>
    <t>SRR5817973</t>
  </si>
  <si>
    <t>SRR5817974</t>
  </si>
  <si>
    <t>SRR5817975</t>
  </si>
  <si>
    <t>SRR5817976</t>
  </si>
  <si>
    <t>SRR5817978</t>
  </si>
  <si>
    <t>roasted turkey breast</t>
  </si>
  <si>
    <t>SRR5817979</t>
  </si>
  <si>
    <t>hoagie sandwich</t>
  </si>
  <si>
    <t>SRR5817982</t>
  </si>
  <si>
    <t>bean sprout</t>
  </si>
  <si>
    <t>SRR5839931</t>
  </si>
  <si>
    <t>SRR5839945</t>
  </si>
  <si>
    <t>SRR5859415</t>
  </si>
  <si>
    <t>SRR5860187</t>
  </si>
  <si>
    <t>SRR5861483</t>
  </si>
  <si>
    <t>SRR5861485</t>
  </si>
  <si>
    <t>SRR5861488</t>
  </si>
  <si>
    <t>SRR5861490</t>
  </si>
  <si>
    <t>SRR5861491</t>
  </si>
  <si>
    <t>SRR5861856</t>
  </si>
  <si>
    <t>steak hoagie sandwich</t>
  </si>
  <si>
    <t>SRR5861864</t>
  </si>
  <si>
    <t>cooked ham</t>
  </si>
  <si>
    <t>SRR5865406</t>
  </si>
  <si>
    <t>SRR5865407</t>
  </si>
  <si>
    <t>SRR5865412</t>
  </si>
  <si>
    <t>SRR5865416</t>
  </si>
  <si>
    <t>SRR5865420</t>
  </si>
  <si>
    <t>SRR5865423</t>
  </si>
  <si>
    <t>SRR5865483</t>
  </si>
  <si>
    <t>SRR5865506</t>
  </si>
  <si>
    <t>SRR5865507</t>
  </si>
  <si>
    <t>SRR5865509</t>
  </si>
  <si>
    <t>SRR5865510</t>
  </si>
  <si>
    <t>SRR5865522</t>
  </si>
  <si>
    <t>SRR5868517</t>
  </si>
  <si>
    <t>SRR5868524</t>
  </si>
  <si>
    <t>SRR5870982</t>
  </si>
  <si>
    <t>SRR5870989</t>
  </si>
  <si>
    <t>SRR5875062</t>
  </si>
  <si>
    <t>SRR5875193</t>
  </si>
  <si>
    <t>SRR5875214</t>
  </si>
  <si>
    <t>SRR5875407</t>
  </si>
  <si>
    <t>SRR5877169</t>
  </si>
  <si>
    <t>SRR5878038</t>
  </si>
  <si>
    <t>SRR5882013</t>
  </si>
  <si>
    <t>SRR5882018</t>
  </si>
  <si>
    <t>SRR5882023</t>
  </si>
  <si>
    <t>SRR5883476</t>
  </si>
  <si>
    <t>SRR5883477</t>
  </si>
  <si>
    <t>SRR5883478</t>
  </si>
  <si>
    <t>SRR5883509</t>
  </si>
  <si>
    <t>SRR5883513</t>
  </si>
  <si>
    <t>SRR5883544</t>
  </si>
  <si>
    <t>SRR5883547</t>
  </si>
  <si>
    <t>SRR5883549</t>
  </si>
  <si>
    <t>spicy seaweed salad</t>
  </si>
  <si>
    <t>SRR5883550</t>
  </si>
  <si>
    <t>SRR5883551</t>
  </si>
  <si>
    <t>SRR5883587</t>
  </si>
  <si>
    <t>SRR5883590</t>
  </si>
  <si>
    <t>SRR5883593</t>
  </si>
  <si>
    <t>SRR5883595</t>
  </si>
  <si>
    <t>SRR5888720</t>
  </si>
  <si>
    <t>SRR5888722</t>
  </si>
  <si>
    <t>SRR5896228</t>
  </si>
  <si>
    <t>SRR5896236</t>
  </si>
  <si>
    <t>SRR5896237</t>
  </si>
  <si>
    <t>SRR5896238</t>
  </si>
  <si>
    <t>SRR5896246</t>
  </si>
  <si>
    <t>SRR5901614</t>
  </si>
  <si>
    <t>SRR5906256</t>
  </si>
  <si>
    <t>SRR5910146</t>
  </si>
  <si>
    <t>SRR5910156</t>
  </si>
  <si>
    <t>SRR5910157</t>
  </si>
  <si>
    <t>SRR5910169</t>
  </si>
  <si>
    <t>SRR5910170</t>
  </si>
  <si>
    <t>SRR5910173</t>
  </si>
  <si>
    <t>SRR5910174</t>
  </si>
  <si>
    <t>SRR5912120,SRR5805550,SRR5911618,SRR5805853,SRR5805875,SRR5805553,SRR5805573,SRR5805868,SRR5805588,SRR5805567,SRR5805859,SRR5805569,SRR5805879,SRR5805580,SRR5910651,SRR5911615,SRR5805557,SRR5805558,SRR5805851,SRR5805555,SRR5805850,SRR5805877,SRR5805872,SRR5805559,SRR5805870,SRR5805866,SRR5805552,SRR2534154</t>
  </si>
  <si>
    <t>Green Chile Ingredient</t>
  </si>
  <si>
    <t>SRR5912759</t>
  </si>
  <si>
    <t>SRR5912763</t>
  </si>
  <si>
    <t>SRR5912801</t>
  </si>
  <si>
    <t>SRR5920422</t>
  </si>
  <si>
    <t>SRR5920423</t>
  </si>
  <si>
    <t>SRR5926441</t>
  </si>
  <si>
    <t>SRR5926949</t>
  </si>
  <si>
    <t>Deli Bologna</t>
  </si>
  <si>
    <t>SRR5926960</t>
  </si>
  <si>
    <t>SRR5926995</t>
  </si>
  <si>
    <t>Deli Turkey</t>
  </si>
  <si>
    <t>SRR5927006</t>
  </si>
  <si>
    <t>SRR5928021</t>
  </si>
  <si>
    <t>SRR5928604</t>
  </si>
  <si>
    <t>SRR5928607</t>
  </si>
  <si>
    <t>SRR5928636</t>
  </si>
  <si>
    <t>SRR5929434</t>
  </si>
  <si>
    <t>SRR5930175</t>
  </si>
  <si>
    <t>SRR5931791</t>
  </si>
  <si>
    <t>SRR5931804</t>
  </si>
  <si>
    <t>SRR5931811</t>
  </si>
  <si>
    <t>SRR5936886</t>
  </si>
  <si>
    <t>SRR5942292</t>
  </si>
  <si>
    <t>SRR5942293</t>
  </si>
  <si>
    <t>SRR5942328</t>
  </si>
  <si>
    <t>SRR5942331</t>
  </si>
  <si>
    <t>SRR5942332</t>
  </si>
  <si>
    <t>SRR5942401</t>
  </si>
  <si>
    <t>SRR5944816</t>
  </si>
  <si>
    <t>SRR5945818</t>
  </si>
  <si>
    <t>SRR5947571</t>
  </si>
  <si>
    <t>SRR5947573</t>
  </si>
  <si>
    <t>SRR5947599</t>
  </si>
  <si>
    <t>SRR5950197</t>
  </si>
  <si>
    <t>SRR5958546</t>
  </si>
  <si>
    <t>SRR5962297,SRR6038663,SRR6059699</t>
  </si>
  <si>
    <t>SRR5962450,SRR6059696</t>
  </si>
  <si>
    <t>SRR5962454,SRR6059694</t>
  </si>
  <si>
    <t>SRR5962576</t>
  </si>
  <si>
    <t>SRR5962577</t>
  </si>
  <si>
    <t>SRR5962598</t>
  </si>
  <si>
    <t>SRR5962605</t>
  </si>
  <si>
    <t>SRR5962611</t>
  </si>
  <si>
    <t>SRR5962872,SRR6059686</t>
  </si>
  <si>
    <t>SRR5962879,SRR6059703</t>
  </si>
  <si>
    <t>SRR5963503</t>
  </si>
  <si>
    <t>SRR5963506</t>
  </si>
  <si>
    <t>SRR5978788</t>
  </si>
  <si>
    <t>SRR5980397</t>
  </si>
  <si>
    <t>SRR5980405</t>
  </si>
  <si>
    <t>SRR5985551</t>
  </si>
  <si>
    <t>hard cooked egg</t>
  </si>
  <si>
    <t>SRR5985647</t>
  </si>
  <si>
    <t>SRR5985756</t>
  </si>
  <si>
    <t>SRR5985757</t>
  </si>
  <si>
    <t>SRR5985801</t>
  </si>
  <si>
    <t>SRR5985812</t>
  </si>
  <si>
    <t>SRR5985821</t>
  </si>
  <si>
    <t>SRR5989137</t>
  </si>
  <si>
    <t>SRR5996759</t>
  </si>
  <si>
    <t>SRR6000383</t>
  </si>
  <si>
    <t>SRR6000386</t>
  </si>
  <si>
    <t>SRR6000477</t>
  </si>
  <si>
    <t>SRR6000483</t>
  </si>
  <si>
    <t>SRR6012880</t>
  </si>
  <si>
    <t>SRR6025202</t>
  </si>
  <si>
    <t>Milk, raw</t>
  </si>
  <si>
    <t>SRR6028670</t>
  </si>
  <si>
    <t>SRR6032889</t>
  </si>
  <si>
    <t>SRR6038661</t>
  </si>
  <si>
    <t>environmental_swabs</t>
  </si>
  <si>
    <t>SRR6038662,SRR6059698,SRR5962298</t>
  </si>
  <si>
    <t>SRR6050879</t>
  </si>
  <si>
    <t>SRR6050881</t>
  </si>
  <si>
    <t>SRR6050902</t>
  </si>
  <si>
    <t>SRR6051514</t>
  </si>
  <si>
    <t>SRR6051520</t>
  </si>
  <si>
    <t>SRR6059685</t>
  </si>
  <si>
    <t>SRR6059687,SRR5962551</t>
  </si>
  <si>
    <t>SRR6059689</t>
  </si>
  <si>
    <t>SRR6059691</t>
  </si>
  <si>
    <t>SRR6059692</t>
  </si>
  <si>
    <t>SRR6059695,SRR5962877</t>
  </si>
  <si>
    <t>SRR6059700,SRR5962548</t>
  </si>
  <si>
    <t>SRR6059704</t>
  </si>
  <si>
    <t>SRR6059705</t>
  </si>
  <si>
    <t>SRR6077116</t>
  </si>
  <si>
    <t>SRR6077125</t>
  </si>
  <si>
    <t>SRR6077126</t>
  </si>
  <si>
    <t>SRR6077127</t>
  </si>
  <si>
    <t>SRR6077128</t>
  </si>
  <si>
    <t>SRR6077129</t>
  </si>
  <si>
    <t>SRR6077131</t>
  </si>
  <si>
    <t>SRR6077132</t>
  </si>
  <si>
    <t>SRR6108797</t>
  </si>
  <si>
    <t>SRR6109184,SRR5663656</t>
  </si>
  <si>
    <t>SRR6109190,SRR5682274</t>
  </si>
  <si>
    <t>SRR6109456</t>
  </si>
  <si>
    <t>SRR6109459,SRR6073364</t>
  </si>
  <si>
    <t>SRR6112514</t>
  </si>
  <si>
    <t>SRR6112515</t>
  </si>
  <si>
    <t>SRR6112516</t>
  </si>
  <si>
    <t>SRR6112517</t>
  </si>
  <si>
    <t>SRR6112519</t>
  </si>
  <si>
    <t>SRR6112520</t>
  </si>
  <si>
    <t>SRR6112867</t>
  </si>
  <si>
    <t>SRR6112871</t>
  </si>
  <si>
    <t>SRR6113188</t>
  </si>
  <si>
    <t>SRR6113190</t>
  </si>
  <si>
    <t>SRR6113228</t>
  </si>
  <si>
    <t>SRR6113623</t>
  </si>
  <si>
    <t>SRR6114065</t>
  </si>
  <si>
    <t>SRR6114156</t>
  </si>
  <si>
    <t>SRR6114160</t>
  </si>
  <si>
    <t>SRR6114310</t>
  </si>
  <si>
    <t>SRR6114324</t>
  </si>
  <si>
    <t>SRR6114352</t>
  </si>
  <si>
    <t>SRR6114377</t>
  </si>
  <si>
    <t>chicken caesar wrap</t>
  </si>
  <si>
    <t>SRR6114384</t>
  </si>
  <si>
    <t>turkey bacon lettuce tomato sandwich</t>
  </si>
  <si>
    <t>SRR6116347</t>
  </si>
  <si>
    <t>imitation crab salad</t>
  </si>
  <si>
    <t>SRR6121849</t>
  </si>
  <si>
    <t>SRR6121984</t>
  </si>
  <si>
    <t>SRR6126769</t>
  </si>
  <si>
    <t>SRR6126779</t>
  </si>
  <si>
    <t>SRR6126785</t>
  </si>
  <si>
    <t>SRR6126832</t>
  </si>
  <si>
    <t>SRR6126853</t>
  </si>
  <si>
    <t>SRR6126863</t>
  </si>
  <si>
    <t>SRR6126864</t>
  </si>
  <si>
    <t>SRR6126921</t>
  </si>
  <si>
    <t>SRR6126922</t>
  </si>
  <si>
    <t>SRR6126923</t>
  </si>
  <si>
    <t>SRR6127387</t>
  </si>
  <si>
    <t>SRR6127464</t>
  </si>
  <si>
    <t>SRR6127467</t>
  </si>
  <si>
    <t>SRR6127468</t>
  </si>
  <si>
    <t>honey maple ham</t>
  </si>
  <si>
    <t>SRR6127469</t>
  </si>
  <si>
    <t>SRR6127470</t>
  </si>
  <si>
    <t>SRR6127471</t>
  </si>
  <si>
    <t>SRR6127497</t>
  </si>
  <si>
    <t>SRR6127499</t>
  </si>
  <si>
    <t>SRR6127507</t>
  </si>
  <si>
    <t>SRR6131204</t>
  </si>
  <si>
    <t>SRR6131576</t>
  </si>
  <si>
    <t>SRR6131578</t>
  </si>
  <si>
    <t>SRR6143699</t>
  </si>
  <si>
    <t>SRR6144323</t>
  </si>
  <si>
    <t>SRR6156917</t>
  </si>
  <si>
    <t>SRR6159205</t>
  </si>
  <si>
    <t>egg salad club sandwich</t>
  </si>
  <si>
    <t>SRR6159207</t>
  </si>
  <si>
    <t>ham salad club sandwich</t>
  </si>
  <si>
    <t>SRR6160448</t>
  </si>
  <si>
    <t>SRR6178290</t>
  </si>
  <si>
    <t>SRR6178418</t>
  </si>
  <si>
    <t>SRR6178634</t>
  </si>
  <si>
    <t>SRR6178635</t>
  </si>
  <si>
    <t>SRR6178811</t>
  </si>
  <si>
    <t>SRR6178827</t>
  </si>
  <si>
    <t>SRR6178885,SRR6178886</t>
  </si>
  <si>
    <t>SRR6178910</t>
  </si>
  <si>
    <t>SRR6178957</t>
  </si>
  <si>
    <t>SRR6178991</t>
  </si>
  <si>
    <t>SRR6178997</t>
  </si>
  <si>
    <t>SRR6179000</t>
  </si>
  <si>
    <t>pimiento cheese</t>
  </si>
  <si>
    <t>SRR6179053</t>
  </si>
  <si>
    <t>SRR6179065</t>
  </si>
  <si>
    <t>SRR6179101</t>
  </si>
  <si>
    <t>pork cheese sandwich</t>
  </si>
  <si>
    <t>SRR6179278</t>
  </si>
  <si>
    <t>SRR6179821</t>
  </si>
  <si>
    <t>SRR6179823</t>
  </si>
  <si>
    <t>SRR6181294</t>
  </si>
  <si>
    <t>SRR6189824</t>
  </si>
  <si>
    <t>SRR6190006</t>
  </si>
  <si>
    <t>SRR6190218</t>
  </si>
  <si>
    <t>SRR6190220</t>
  </si>
  <si>
    <t>SRR6190221</t>
  </si>
  <si>
    <t>canned tuna</t>
  </si>
  <si>
    <t>SRR6190225</t>
  </si>
  <si>
    <t>SRR6190227</t>
  </si>
  <si>
    <t>SRR6190230</t>
  </si>
  <si>
    <t>SRR6190232</t>
  </si>
  <si>
    <t>SRR6190240</t>
  </si>
  <si>
    <t>SRR6190242</t>
  </si>
  <si>
    <t>SRR6190243</t>
  </si>
  <si>
    <t>SRR6190244</t>
  </si>
  <si>
    <t>SRR6212297</t>
  </si>
  <si>
    <t>ham hoagie</t>
  </si>
  <si>
    <t>SRR6212298</t>
  </si>
  <si>
    <t>SRR6212302</t>
  </si>
  <si>
    <t>SRR6212314</t>
  </si>
  <si>
    <t>SRR6212320</t>
  </si>
  <si>
    <t>sliced cooked ham</t>
  </si>
  <si>
    <t>SRR6212565</t>
  </si>
  <si>
    <t>SRR6212567</t>
  </si>
  <si>
    <t>SRR6212568</t>
  </si>
  <si>
    <t>SRR6212580</t>
  </si>
  <si>
    <t>SRR6217998</t>
  </si>
  <si>
    <t>SRR6228856</t>
  </si>
  <si>
    <t>SRR6228860</t>
  </si>
  <si>
    <t>SRR6231891</t>
  </si>
  <si>
    <t>SRR6231892</t>
  </si>
  <si>
    <t>SRR6231898</t>
  </si>
  <si>
    <t>SRR6231901</t>
  </si>
  <si>
    <t>SRR6231902</t>
  </si>
  <si>
    <t>SRR6231903</t>
  </si>
  <si>
    <t>SRR6231905</t>
  </si>
  <si>
    <t>SRR6231908</t>
  </si>
  <si>
    <t>SRR6231945</t>
  </si>
  <si>
    <t>SRR6231946</t>
  </si>
  <si>
    <t>SRR6232089</t>
  </si>
  <si>
    <t>SRR6232107</t>
  </si>
  <si>
    <t>SRR6234189</t>
  </si>
  <si>
    <t>SRR6235026</t>
  </si>
  <si>
    <t>SRR6235423</t>
  </si>
  <si>
    <t>SRR6235924</t>
  </si>
  <si>
    <t>SRR6236049</t>
  </si>
  <si>
    <t>SRR6236051</t>
  </si>
  <si>
    <t>SRR6236310</t>
  </si>
  <si>
    <t>SRR6236452</t>
  </si>
  <si>
    <t>SRR6236562</t>
  </si>
  <si>
    <t>SRR6236580</t>
  </si>
  <si>
    <t>SRR6236621</t>
  </si>
  <si>
    <t>SRR6236653</t>
  </si>
  <si>
    <t>SRR6236708</t>
  </si>
  <si>
    <t>SRR6236713</t>
  </si>
  <si>
    <t>SRR6236716</t>
  </si>
  <si>
    <t>deli salad chicken</t>
  </si>
  <si>
    <t>SRR6236720</t>
  </si>
  <si>
    <t>SRR6236724</t>
  </si>
  <si>
    <t>SRR6236866</t>
  </si>
  <si>
    <t>SRR6236868</t>
  </si>
  <si>
    <t>SRR6237050</t>
  </si>
  <si>
    <t>frankfurter</t>
  </si>
  <si>
    <t>SRR6238238</t>
  </si>
  <si>
    <t>SRR6238397</t>
  </si>
  <si>
    <t>SRR6238403</t>
  </si>
  <si>
    <t>SRR6238440</t>
  </si>
  <si>
    <t>SRR6238443</t>
  </si>
  <si>
    <t>SRR6240009</t>
  </si>
  <si>
    <t>SRR6244025</t>
  </si>
  <si>
    <t>SRR6244064</t>
  </si>
  <si>
    <t>SRR6251673</t>
  </si>
  <si>
    <t>SRR6260617</t>
  </si>
  <si>
    <t>SRR6260755</t>
  </si>
  <si>
    <t>SRR6260774</t>
  </si>
  <si>
    <t>SRR6261934</t>
  </si>
  <si>
    <t>SRR6278409</t>
  </si>
  <si>
    <t>Environmental sponge samples</t>
  </si>
  <si>
    <t>SRR6278413</t>
  </si>
  <si>
    <t>SRR6278425</t>
  </si>
  <si>
    <t>SRR6288284</t>
  </si>
  <si>
    <t>barbeque bean</t>
  </si>
  <si>
    <t>SRR6288338</t>
  </si>
  <si>
    <t>SRR6288340</t>
  </si>
  <si>
    <t>SRR6288341</t>
  </si>
  <si>
    <t>blue crab claw meat</t>
  </si>
  <si>
    <t>SRR6288918</t>
  </si>
  <si>
    <t>SRR6292381</t>
  </si>
  <si>
    <t>SRR6292384</t>
  </si>
  <si>
    <t>SRR6297808</t>
  </si>
  <si>
    <t>frozen potato</t>
  </si>
  <si>
    <t>SRR6297831</t>
  </si>
  <si>
    <t>SRR6297972</t>
  </si>
  <si>
    <t>SRR6297981</t>
  </si>
  <si>
    <t>SRR6298141</t>
  </si>
  <si>
    <t>SRR6300848</t>
  </si>
  <si>
    <t>SRR6303583,SRR5344793</t>
  </si>
  <si>
    <t>SRR6303584,SRR5344722</t>
  </si>
  <si>
    <t>SRR6303972,SRR5344723</t>
  </si>
  <si>
    <t>SRR6303973,SRR5344778</t>
  </si>
  <si>
    <t>SRR6304528,SRR5344787</t>
  </si>
  <si>
    <t>SRR6304919,SRR5344779</t>
  </si>
  <si>
    <t>SRR6304920,SRR4418759</t>
  </si>
  <si>
    <t>SRR6304952</t>
  </si>
  <si>
    <t>SRR6304985</t>
  </si>
  <si>
    <t>SRR6308338</t>
  </si>
  <si>
    <t>frozen pea</t>
  </si>
  <si>
    <t>SRR6310669</t>
  </si>
  <si>
    <t>SRR6311290</t>
  </si>
  <si>
    <t>SRR6311456</t>
  </si>
  <si>
    <t>frozen capelin roe fish</t>
  </si>
  <si>
    <t>SRR6311479</t>
  </si>
  <si>
    <t>frozen smoked eel</t>
  </si>
  <si>
    <t>SRR6311482</t>
  </si>
  <si>
    <t>SRR6311900</t>
  </si>
  <si>
    <t>SRR6315365</t>
  </si>
  <si>
    <t>SRR6315374</t>
  </si>
  <si>
    <t>SRR6315856</t>
  </si>
  <si>
    <t>SRR6321575</t>
  </si>
  <si>
    <t>SRR6321577</t>
  </si>
  <si>
    <t>cooked whole crab</t>
  </si>
  <si>
    <t>SRR6321579</t>
  </si>
  <si>
    <t>SRR6321956</t>
  </si>
  <si>
    <t>SRR6324856</t>
  </si>
  <si>
    <t>SRR6324857</t>
  </si>
  <si>
    <t>SRR6324858</t>
  </si>
  <si>
    <t>SRR6324859</t>
  </si>
  <si>
    <t>SRR6324860</t>
  </si>
  <si>
    <t>SRR6324861</t>
  </si>
  <si>
    <t>SRR6324862</t>
  </si>
  <si>
    <t>SRR6325045</t>
  </si>
  <si>
    <t>SRR6325052</t>
  </si>
  <si>
    <t>SRR6325054</t>
  </si>
  <si>
    <t>SRR6325055</t>
  </si>
  <si>
    <t>SRR6325057</t>
  </si>
  <si>
    <t>SRR6325192</t>
  </si>
  <si>
    <t>smoked deli turkey meat cracked pepper</t>
  </si>
  <si>
    <t>SRR6325337</t>
  </si>
  <si>
    <t>deli ham</t>
  </si>
  <si>
    <t>SRR6325440</t>
  </si>
  <si>
    <t>deli turkey meat oven gold breast</t>
  </si>
  <si>
    <t>SRR6325467</t>
  </si>
  <si>
    <t>SRR6325468</t>
  </si>
  <si>
    <t>salad seafood</t>
  </si>
  <si>
    <t>SRR6326044</t>
  </si>
  <si>
    <t>SRR6326057</t>
  </si>
  <si>
    <t>SRR6327667,SRR5184991</t>
  </si>
  <si>
    <t>SRR6327669</t>
  </si>
  <si>
    <t>SRR6327674,SRR5184968</t>
  </si>
  <si>
    <t>SRR6330522</t>
  </si>
  <si>
    <t>SRR6333789</t>
  </si>
  <si>
    <t>SRR6333790</t>
  </si>
  <si>
    <t>whole blood</t>
  </si>
  <si>
    <t>SRR6334821</t>
  </si>
  <si>
    <t>SRR6334825</t>
  </si>
  <si>
    <t>SRR6337133</t>
  </si>
  <si>
    <t>SRR6337134</t>
  </si>
  <si>
    <t>SRR6337135</t>
  </si>
  <si>
    <t>SRR6337137</t>
  </si>
  <si>
    <t>SRR6337138</t>
  </si>
  <si>
    <t>SRR6337139</t>
  </si>
  <si>
    <t>SRR6337140</t>
  </si>
  <si>
    <t>SRR6337142</t>
  </si>
  <si>
    <t>SRR6337264</t>
  </si>
  <si>
    <t>SRR6337282</t>
  </si>
  <si>
    <t>SRR6337290</t>
  </si>
  <si>
    <t>SRR6337597</t>
  </si>
  <si>
    <t>SRR6337741</t>
  </si>
  <si>
    <t>SRR6342051</t>
  </si>
  <si>
    <t>SRR6342076</t>
  </si>
  <si>
    <t>SRR6342214</t>
  </si>
  <si>
    <t>SRR6342335</t>
  </si>
  <si>
    <t>SRR6342340</t>
  </si>
  <si>
    <t>sliced roast beef</t>
  </si>
  <si>
    <t>SRR6342366</t>
  </si>
  <si>
    <t>SRR6343408</t>
  </si>
  <si>
    <t>SRR6344350</t>
  </si>
  <si>
    <t>swiss cheese</t>
  </si>
  <si>
    <t>SRR6344629</t>
  </si>
  <si>
    <t>SRR6344641</t>
  </si>
  <si>
    <t>SRR6344644</t>
  </si>
  <si>
    <t>SRR6345323</t>
  </si>
  <si>
    <t>SRR6345470</t>
  </si>
  <si>
    <t>SRR6348614</t>
  </si>
  <si>
    <t>SRR6348615</t>
  </si>
  <si>
    <t>SRR6366156</t>
  </si>
  <si>
    <t>SRR6366163</t>
  </si>
  <si>
    <t>SRR6366188</t>
  </si>
  <si>
    <t>SRR6366189</t>
  </si>
  <si>
    <t>SRR6366190</t>
  </si>
  <si>
    <t>SRR6366301</t>
  </si>
  <si>
    <t>SRR6366360</t>
  </si>
  <si>
    <t>SRR6366483</t>
  </si>
  <si>
    <t>SRR6366486</t>
  </si>
  <si>
    <t>SRR6366515</t>
  </si>
  <si>
    <t>SRR6367391</t>
  </si>
  <si>
    <t>SRR6367394</t>
  </si>
  <si>
    <t>SRR6368621</t>
  </si>
  <si>
    <t>SRR6368628</t>
  </si>
  <si>
    <t>SRR6369097</t>
  </si>
  <si>
    <t>SRR6369099</t>
  </si>
  <si>
    <t>SRR6369100,SRR6814541</t>
  </si>
  <si>
    <t>SRR6369103</t>
  </si>
  <si>
    <t>SRR6369108</t>
  </si>
  <si>
    <t>SRR6369139</t>
  </si>
  <si>
    <t>SRR6375841</t>
  </si>
  <si>
    <t>SRR6375846</t>
  </si>
  <si>
    <t>SRR6377011</t>
  </si>
  <si>
    <t>frozen diced ham</t>
  </si>
  <si>
    <t>SRR6377094</t>
  </si>
  <si>
    <t>SRR6377100</t>
  </si>
  <si>
    <t>SRR6377101</t>
  </si>
  <si>
    <t>SRR6377201</t>
  </si>
  <si>
    <t>SRR6387213</t>
  </si>
  <si>
    <t>SRR6387214</t>
  </si>
  <si>
    <t>SRR6387216</t>
  </si>
  <si>
    <t>SRR6387217</t>
  </si>
  <si>
    <t>SRR6387411</t>
  </si>
  <si>
    <t>SRR6387412</t>
  </si>
  <si>
    <t>SRR6387414</t>
  </si>
  <si>
    <t>SRR6387424</t>
  </si>
  <si>
    <t>SRR6387427</t>
  </si>
  <si>
    <t>SRR6387429</t>
  </si>
  <si>
    <t>SRR6387490</t>
  </si>
  <si>
    <t>SRR6387491</t>
  </si>
  <si>
    <t>SRR6389463</t>
  </si>
  <si>
    <t>SRR6389487</t>
  </si>
  <si>
    <t>SRR6389494</t>
  </si>
  <si>
    <t>SRR6399351</t>
  </si>
  <si>
    <t>SRR6413567</t>
  </si>
  <si>
    <t>cashew chicken salad</t>
  </si>
  <si>
    <t>SRR6413569</t>
  </si>
  <si>
    <t>Product-RTE-Fully Cooked, Meat/Nonmeat Combination-Chicken</t>
  </si>
  <si>
    <t>SRR6413642</t>
  </si>
  <si>
    <t>squid</t>
  </si>
  <si>
    <t>SRR6420467</t>
  </si>
  <si>
    <t>SRR6420469</t>
  </si>
  <si>
    <t>SRR6420474</t>
  </si>
  <si>
    <t>SRR6424909</t>
  </si>
  <si>
    <t>SRR6424965</t>
  </si>
  <si>
    <t>SRR6424983</t>
  </si>
  <si>
    <t>SRR6424984</t>
  </si>
  <si>
    <t>SRR6424985</t>
  </si>
  <si>
    <t>SRR6425034</t>
  </si>
  <si>
    <t>SRR6425035</t>
  </si>
  <si>
    <t>SRR6425037</t>
  </si>
  <si>
    <t>SRR6425041</t>
  </si>
  <si>
    <t>SRR6425042</t>
  </si>
  <si>
    <t>SRR6425061</t>
  </si>
  <si>
    <t>SRR6425063</t>
  </si>
  <si>
    <t>SRR6425064</t>
  </si>
  <si>
    <t>SRR6425172</t>
  </si>
  <si>
    <t>SRR6425173</t>
  </si>
  <si>
    <t>Chicken with organic vegetables meals for dogs</t>
  </si>
  <si>
    <t>SRR6425185</t>
  </si>
  <si>
    <t>frozen cooked lobster body leg meat</t>
  </si>
  <si>
    <t>SRR6425462</t>
  </si>
  <si>
    <t>SRR6425463</t>
  </si>
  <si>
    <t>SRR6425464</t>
  </si>
  <si>
    <t>SRR6425517</t>
  </si>
  <si>
    <t>SRR6425531</t>
  </si>
  <si>
    <t>SRR6425533</t>
  </si>
  <si>
    <t>SRR6425535</t>
  </si>
  <si>
    <t>SRR6425575</t>
  </si>
  <si>
    <t>SRR6425576</t>
  </si>
  <si>
    <t>SRR6425577</t>
  </si>
  <si>
    <t>chipotle chicken salad</t>
  </si>
  <si>
    <t>SRR6425579</t>
  </si>
  <si>
    <t>SRR6425580</t>
  </si>
  <si>
    <t>SRR6425581</t>
  </si>
  <si>
    <t>SRR6425582</t>
  </si>
  <si>
    <t>SRR6425595,SRR6814542</t>
  </si>
  <si>
    <t>SRR6425597</t>
  </si>
  <si>
    <t>SRR6425600</t>
  </si>
  <si>
    <t>SRR6425602</t>
  </si>
  <si>
    <t>SRR6426055</t>
  </si>
  <si>
    <t>turkey, provolone sandwich</t>
  </si>
  <si>
    <t>SRR6426916</t>
  </si>
  <si>
    <t>SRR6436644,SRR1796129</t>
  </si>
  <si>
    <t>SRR6436646</t>
  </si>
  <si>
    <t>le vigneron marc cheese</t>
  </si>
  <si>
    <t>SRR6436742</t>
  </si>
  <si>
    <t>SRR6436949</t>
  </si>
  <si>
    <t>SRR6440499</t>
  </si>
  <si>
    <t>SRR6443366</t>
  </si>
  <si>
    <t>SRR6451434,SRR6813911</t>
  </si>
  <si>
    <t>SRR6451449</t>
  </si>
  <si>
    <t>SRR6451459</t>
  </si>
  <si>
    <t>SRR6451460</t>
  </si>
  <si>
    <t>SRR6451461,SRR6814012</t>
  </si>
  <si>
    <t>SRR6451462,SRR6813912</t>
  </si>
  <si>
    <t>SRR6451463</t>
  </si>
  <si>
    <t>SRR6452937</t>
  </si>
  <si>
    <t>SRR6457756</t>
  </si>
  <si>
    <t>Frozen Biscuits</t>
  </si>
  <si>
    <t>SRR6457779</t>
  </si>
  <si>
    <t>SRR6457780</t>
  </si>
  <si>
    <t>SRR6457781</t>
  </si>
  <si>
    <t>SRR6457789</t>
  </si>
  <si>
    <t>SRR6457790</t>
  </si>
  <si>
    <t>SRR6457791</t>
  </si>
  <si>
    <t>SRR6457792</t>
  </si>
  <si>
    <t>SRR6457793</t>
  </si>
  <si>
    <t>SRR6457794</t>
  </si>
  <si>
    <t>SRR6457795</t>
  </si>
  <si>
    <t>SRR6457796</t>
  </si>
  <si>
    <t>SRR6457797</t>
  </si>
  <si>
    <t>SRR6457798</t>
  </si>
  <si>
    <t>SRR6457801</t>
  </si>
  <si>
    <t>SRR6457804</t>
  </si>
  <si>
    <t>SRR6457805</t>
  </si>
  <si>
    <t>SRR6457807</t>
  </si>
  <si>
    <t>SRR6457809</t>
  </si>
  <si>
    <t>SRR6457810</t>
  </si>
  <si>
    <t>SRR6457811</t>
  </si>
  <si>
    <t>SRR6457812</t>
  </si>
  <si>
    <t>SRR6457813</t>
  </si>
  <si>
    <t>SRR6457816</t>
  </si>
  <si>
    <t>SRR6457817</t>
  </si>
  <si>
    <t>SRR6457819</t>
  </si>
  <si>
    <t>SRR6457820</t>
  </si>
  <si>
    <t>SRR6457821</t>
  </si>
  <si>
    <t>SRR6457822</t>
  </si>
  <si>
    <t>SRR6457825</t>
  </si>
  <si>
    <t>SRR6457826</t>
  </si>
  <si>
    <t>SRR6457827</t>
  </si>
  <si>
    <t>SRR6457828</t>
  </si>
  <si>
    <t>SRR6457829</t>
  </si>
  <si>
    <t>SRR6457830</t>
  </si>
  <si>
    <t>SRR6457832</t>
  </si>
  <si>
    <t>SRR6457833</t>
  </si>
  <si>
    <t>SRR6457834</t>
  </si>
  <si>
    <t>SRR6457835</t>
  </si>
  <si>
    <t>SRR6457837</t>
  </si>
  <si>
    <t>SRR6457838</t>
  </si>
  <si>
    <t>SRR6457839</t>
  </si>
  <si>
    <t>SRR6457840</t>
  </si>
  <si>
    <t>SRR6457841</t>
  </si>
  <si>
    <t>SRR6457842</t>
  </si>
  <si>
    <t>SRR6457847</t>
  </si>
  <si>
    <t>SRR6457848</t>
  </si>
  <si>
    <t>SRR6457850</t>
  </si>
  <si>
    <t>SRR6457854</t>
  </si>
  <si>
    <t>SRR6457855</t>
  </si>
  <si>
    <t>SRR6457857</t>
  </si>
  <si>
    <t>SRR6457861</t>
  </si>
  <si>
    <t>SRR6457862</t>
  </si>
  <si>
    <t>SRR6457865</t>
  </si>
  <si>
    <t>SRR6457866</t>
  </si>
  <si>
    <t>SRR6457867</t>
  </si>
  <si>
    <t>SRR6457870</t>
  </si>
  <si>
    <t>SRR6457871</t>
  </si>
  <si>
    <t>SRR6457872</t>
  </si>
  <si>
    <t>SRR6457873</t>
  </si>
  <si>
    <t>SRR6457876</t>
  </si>
  <si>
    <t>SRR6457877</t>
  </si>
  <si>
    <t>SRR6459229</t>
  </si>
  <si>
    <t>SRR6475510</t>
  </si>
  <si>
    <t>orange ice cream bar</t>
  </si>
  <si>
    <t>SRR6475511</t>
  </si>
  <si>
    <t>SRR6476757</t>
  </si>
  <si>
    <t>SRR6476761</t>
  </si>
  <si>
    <t>SRR6476764</t>
  </si>
  <si>
    <t>SRR6476767</t>
  </si>
  <si>
    <t>SRR6476768,SRR5184970</t>
  </si>
  <si>
    <t>SRR6476777</t>
  </si>
  <si>
    <t>SRR6479566</t>
  </si>
  <si>
    <t>SRR6479567</t>
  </si>
  <si>
    <t>SRR6489862</t>
  </si>
  <si>
    <t>SRR6489863</t>
  </si>
  <si>
    <t>SRR6489867</t>
  </si>
  <si>
    <t>SRR6490543</t>
  </si>
  <si>
    <t>SRR6490567</t>
  </si>
  <si>
    <t>SRR6491032</t>
  </si>
  <si>
    <t>SRR6491050</t>
  </si>
  <si>
    <t>SRR6491065</t>
  </si>
  <si>
    <t>SRR6491066</t>
  </si>
  <si>
    <t>SRR6491068</t>
  </si>
  <si>
    <t>SRR6491178</t>
  </si>
  <si>
    <t>SRR6491279</t>
  </si>
  <si>
    <t>SRR6495203</t>
  </si>
  <si>
    <t>SRR6495205</t>
  </si>
  <si>
    <t>SRR6496725</t>
  </si>
  <si>
    <t>SRR6496735</t>
  </si>
  <si>
    <t>SRR6496738</t>
  </si>
  <si>
    <t>SRR6496759</t>
  </si>
  <si>
    <t>SRR6496776</t>
  </si>
  <si>
    <t>SRR6496779</t>
  </si>
  <si>
    <t>SRR6496786</t>
  </si>
  <si>
    <t>SRR6496794</t>
  </si>
  <si>
    <t>SRR6496811</t>
  </si>
  <si>
    <t>SRR6496812</t>
  </si>
  <si>
    <t>SRR6502083</t>
  </si>
  <si>
    <t>SRR6509131</t>
  </si>
  <si>
    <t>DICED HAM SOLD FROZEN</t>
  </si>
  <si>
    <t>SRR6509132</t>
  </si>
  <si>
    <t>SRR6511370</t>
  </si>
  <si>
    <t>SRR6511380</t>
  </si>
  <si>
    <t>SRR6627726</t>
  </si>
  <si>
    <t>SRR6652829</t>
  </si>
  <si>
    <t>SRR6656710</t>
  </si>
  <si>
    <t>cutting board on floor</t>
  </si>
  <si>
    <t>SRR6656712</t>
  </si>
  <si>
    <t>meat dept floor drain</t>
  </si>
  <si>
    <t>SRR6659171</t>
  </si>
  <si>
    <t>SRR6659305</t>
  </si>
  <si>
    <t>SRR6659377</t>
  </si>
  <si>
    <t>SRR6660056</t>
  </si>
  <si>
    <t>SRR6663858</t>
  </si>
  <si>
    <t>SRR6664091</t>
  </si>
  <si>
    <t>SRR6664108</t>
  </si>
  <si>
    <t>SRR6664110</t>
  </si>
  <si>
    <t>SRR6664111</t>
  </si>
  <si>
    <t>SRR6664626</t>
  </si>
  <si>
    <t>Slicer #3</t>
  </si>
  <si>
    <t>SRR6672411</t>
  </si>
  <si>
    <t>SRR6672414</t>
  </si>
  <si>
    <t>SRR6672415</t>
  </si>
  <si>
    <t>SRR6672421</t>
  </si>
  <si>
    <t>SRR6672428</t>
  </si>
  <si>
    <t>SRR6674906</t>
  </si>
  <si>
    <t>SRR6674909</t>
  </si>
  <si>
    <t>SRR6675209</t>
  </si>
  <si>
    <t>SRR6675223</t>
  </si>
  <si>
    <t>SRR6675256</t>
  </si>
  <si>
    <t>SRR6676356</t>
  </si>
  <si>
    <t>SRR6676357</t>
  </si>
  <si>
    <t>Slicer #4</t>
  </si>
  <si>
    <t>SRR6676358</t>
  </si>
  <si>
    <t>Slicer #6</t>
  </si>
  <si>
    <t>SRR6676359</t>
  </si>
  <si>
    <t>Prepared food case #9</t>
  </si>
  <si>
    <t>SRR6679983</t>
  </si>
  <si>
    <t>SRR6679985</t>
  </si>
  <si>
    <t>SRR6679989</t>
  </si>
  <si>
    <t>SRR6680217</t>
  </si>
  <si>
    <t>SRR6680222</t>
  </si>
  <si>
    <t>SRR6681096</t>
  </si>
  <si>
    <t>SRR6681174</t>
  </si>
  <si>
    <t>SRR6691985</t>
  </si>
  <si>
    <t>SRR6695292</t>
  </si>
  <si>
    <t>SRR6695294</t>
  </si>
  <si>
    <t>SRR6695299</t>
  </si>
  <si>
    <t>SRR6703033</t>
  </si>
  <si>
    <t>SRR6703109</t>
  </si>
  <si>
    <t>SRR6703115</t>
  </si>
  <si>
    <t>SRR6703123</t>
  </si>
  <si>
    <t>SRR6703124</t>
  </si>
  <si>
    <t>SRR6703125</t>
  </si>
  <si>
    <t>SRR6703126</t>
  </si>
  <si>
    <t>SRR6703127</t>
  </si>
  <si>
    <t>SRR6703130</t>
  </si>
  <si>
    <t>SRR6703149</t>
  </si>
  <si>
    <t>SRR6703150</t>
  </si>
  <si>
    <t>SRR6703162</t>
  </si>
  <si>
    <t>SRR6703581</t>
  </si>
  <si>
    <t>SRR6704025</t>
  </si>
  <si>
    <t>SRR6713222</t>
  </si>
  <si>
    <t>SRR6729323</t>
  </si>
  <si>
    <t>SRR6729367</t>
  </si>
  <si>
    <t>SRR6729419</t>
  </si>
  <si>
    <t>SRR6729467</t>
  </si>
  <si>
    <t>Slicer #2</t>
  </si>
  <si>
    <t>SRR6729469</t>
  </si>
  <si>
    <t>Deli case #7</t>
  </si>
  <si>
    <t>SRR6729470</t>
  </si>
  <si>
    <t>Floor drain #10</t>
  </si>
  <si>
    <t>SRR6729471</t>
  </si>
  <si>
    <t>Prepared foods #5</t>
  </si>
  <si>
    <t>SRR6742491</t>
  </si>
  <si>
    <t>SRR6742493</t>
  </si>
  <si>
    <t>SRR6742494</t>
  </si>
  <si>
    <t>SRR6742497</t>
  </si>
  <si>
    <t>SRR6742498</t>
  </si>
  <si>
    <t>SRR6742530</t>
  </si>
  <si>
    <t>SRR6742583</t>
  </si>
  <si>
    <t>SRR6742585</t>
  </si>
  <si>
    <t>SRR6750827</t>
  </si>
  <si>
    <t>plain cream cheese spread</t>
  </si>
  <si>
    <t>SRR6750852</t>
  </si>
  <si>
    <t>SRR6750887</t>
  </si>
  <si>
    <t>SRR6750888</t>
  </si>
  <si>
    <t>SRR6750947</t>
  </si>
  <si>
    <t>SRR6750948</t>
  </si>
  <si>
    <t>SRR6751008</t>
  </si>
  <si>
    <t>SRR6760219</t>
  </si>
  <si>
    <t>SRR6766619</t>
  </si>
  <si>
    <t>SRR6783006</t>
  </si>
  <si>
    <t>SRR6783009</t>
  </si>
  <si>
    <t>SRR6783011</t>
  </si>
  <si>
    <t>SRR6783012</t>
  </si>
  <si>
    <t>frozen cooked mussel meat</t>
  </si>
  <si>
    <t>SRR6783013</t>
  </si>
  <si>
    <t>cooked crab leg</t>
  </si>
  <si>
    <t>SRR6783023</t>
  </si>
  <si>
    <t>SRR6784250</t>
  </si>
  <si>
    <t>SRR6784251</t>
  </si>
  <si>
    <t>SRR6784270</t>
  </si>
  <si>
    <t>SRR6784352</t>
  </si>
  <si>
    <t>SRR6784353</t>
  </si>
  <si>
    <t>SRR6784407</t>
  </si>
  <si>
    <t>SRR6784609</t>
  </si>
  <si>
    <t>SRR6784628</t>
  </si>
  <si>
    <t>SRR6786521</t>
  </si>
  <si>
    <t>SRR6786587</t>
  </si>
  <si>
    <t>SRR6786588</t>
  </si>
  <si>
    <t>SRR6786590</t>
  </si>
  <si>
    <t>SRR6786637</t>
  </si>
  <si>
    <t>SRR6786640</t>
  </si>
  <si>
    <t>SRR6786641</t>
  </si>
  <si>
    <t>SRR6786642</t>
  </si>
  <si>
    <t>SRR6786643</t>
  </si>
  <si>
    <t>SRR6786652</t>
  </si>
  <si>
    <t>SRR6787043</t>
  </si>
  <si>
    <t>SRR6792303</t>
  </si>
  <si>
    <t>SRR6795875</t>
  </si>
  <si>
    <t>Drain at plant</t>
  </si>
  <si>
    <t>SRR6796124</t>
  </si>
  <si>
    <t>SRR6796163</t>
  </si>
  <si>
    <t>SRR6796266</t>
  </si>
  <si>
    <t>SRR6796268</t>
  </si>
  <si>
    <t>SRR6796390</t>
  </si>
  <si>
    <t>SRR6796393</t>
  </si>
  <si>
    <t>SRR6796394</t>
  </si>
  <si>
    <t>SRR6796395</t>
  </si>
  <si>
    <t>Finished RTE food product salmon</t>
  </si>
  <si>
    <t>SRR6796396</t>
  </si>
  <si>
    <t>SRR6796397</t>
  </si>
  <si>
    <t>SRR6796400</t>
  </si>
  <si>
    <t>SRR6798520</t>
  </si>
  <si>
    <t>SRR6798521</t>
  </si>
  <si>
    <t>SRR6798524</t>
  </si>
  <si>
    <t>SRR6798525</t>
  </si>
  <si>
    <t>SRR6798531</t>
  </si>
  <si>
    <t>SRR6798534</t>
  </si>
  <si>
    <t>SRR6798537</t>
  </si>
  <si>
    <t>SRR6798539</t>
  </si>
  <si>
    <t>SRR6798541</t>
  </si>
  <si>
    <t>SRR6798543</t>
  </si>
  <si>
    <t>SRR6798544</t>
  </si>
  <si>
    <t>SRR6798550</t>
  </si>
  <si>
    <t>SRR6798551</t>
  </si>
  <si>
    <t>SRR6798557</t>
  </si>
  <si>
    <t>SRR6798562</t>
  </si>
  <si>
    <t>SRR6798566</t>
  </si>
  <si>
    <t>SRR6798567</t>
  </si>
  <si>
    <t>SRR6798574</t>
  </si>
  <si>
    <t>SRR6798577</t>
  </si>
  <si>
    <t>SRR6798579</t>
  </si>
  <si>
    <t>SRR6798580</t>
  </si>
  <si>
    <t>SRR6798581</t>
  </si>
  <si>
    <t>SRR6798582</t>
  </si>
  <si>
    <t>SRR6798584</t>
  </si>
  <si>
    <t>SRR6798592</t>
  </si>
  <si>
    <t>SRR6798595</t>
  </si>
  <si>
    <t>SRR6798597</t>
  </si>
  <si>
    <t>SRR6798598</t>
  </si>
  <si>
    <t>SRR6798600</t>
  </si>
  <si>
    <t>SRR6798601</t>
  </si>
  <si>
    <t>SRR6798602</t>
  </si>
  <si>
    <t>SRR6798606</t>
  </si>
  <si>
    <t>SRR6798610</t>
  </si>
  <si>
    <t>SRR6798620</t>
  </si>
  <si>
    <t>SRR6805079</t>
  </si>
  <si>
    <t>SRR6805087</t>
  </si>
  <si>
    <t>SRR6805285</t>
  </si>
  <si>
    <t>SRR6805330</t>
  </si>
  <si>
    <t>SRR6805331</t>
  </si>
  <si>
    <t>SRR6805465,SRR8874498</t>
  </si>
  <si>
    <t>SRR6805486</t>
  </si>
  <si>
    <t>SRR6805491</t>
  </si>
  <si>
    <t>SRR6805493</t>
  </si>
  <si>
    <t>SRR6805496</t>
  </si>
  <si>
    <t>SRR6805500</t>
  </si>
  <si>
    <t>SRR6805502</t>
  </si>
  <si>
    <t>SRR6806234</t>
  </si>
  <si>
    <t>blue stilton cheese half</t>
  </si>
  <si>
    <t>SRR6807412</t>
  </si>
  <si>
    <t>SRR6807418</t>
  </si>
  <si>
    <t>SRR6807419</t>
  </si>
  <si>
    <t>SRR6807421</t>
  </si>
  <si>
    <t>SRR6807437</t>
  </si>
  <si>
    <t>SRR6807447</t>
  </si>
  <si>
    <t>SRR6814016,SRR6451433</t>
  </si>
  <si>
    <t>SRR6814031</t>
  </si>
  <si>
    <t>SRR6814033</t>
  </si>
  <si>
    <t>SRR6814035</t>
  </si>
  <si>
    <t>grilled chicken sandwich</t>
  </si>
  <si>
    <t>SRR6814038</t>
  </si>
  <si>
    <t>SRR6814044</t>
  </si>
  <si>
    <t>SRR6814048</t>
  </si>
  <si>
    <t>SRR6814053</t>
  </si>
  <si>
    <t>SRR6814461</t>
  </si>
  <si>
    <t>SRR6814462</t>
  </si>
  <si>
    <t>SRR6814540</t>
  </si>
  <si>
    <t>SRR6814544</t>
  </si>
  <si>
    <t>SRR6814842</t>
  </si>
  <si>
    <t>SRR6814843</t>
  </si>
  <si>
    <t>SRR6814844</t>
  </si>
  <si>
    <t>ham croissant</t>
  </si>
  <si>
    <t>SRR6814845</t>
  </si>
  <si>
    <t>SRR6814848</t>
  </si>
  <si>
    <t>SRR6814850</t>
  </si>
  <si>
    <t>SRR6814851</t>
  </si>
  <si>
    <t>SRR6814896</t>
  </si>
  <si>
    <t>SRR6827013</t>
  </si>
  <si>
    <t>RTE Cervelas Sausage</t>
  </si>
  <si>
    <t>SRR6829220</t>
  </si>
  <si>
    <t>SRR6829222</t>
  </si>
  <si>
    <t>SRR6829224</t>
  </si>
  <si>
    <t>SRR6829225</t>
  </si>
  <si>
    <t>SRR6829226</t>
  </si>
  <si>
    <t>SRR6829227</t>
  </si>
  <si>
    <t>SRR6829229</t>
  </si>
  <si>
    <t>SRR6829239</t>
  </si>
  <si>
    <t>SRR6829242</t>
  </si>
  <si>
    <t>SRR6829246</t>
  </si>
  <si>
    <t>SRR6829248</t>
  </si>
  <si>
    <t>SRR6829252</t>
  </si>
  <si>
    <t>SRR6829258</t>
  </si>
  <si>
    <t>SRR6829265</t>
  </si>
  <si>
    <t>SRR6841163</t>
  </si>
  <si>
    <t>SRR6848340</t>
  </si>
  <si>
    <t>SRR6854480</t>
  </si>
  <si>
    <t>SRR6856175</t>
  </si>
  <si>
    <t>deli case</t>
  </si>
  <si>
    <t>SRR6856329</t>
  </si>
  <si>
    <t>SRR6860502</t>
  </si>
  <si>
    <t>drain seafood</t>
  </si>
  <si>
    <t>SRR6860984</t>
  </si>
  <si>
    <t>drain raw meat</t>
  </si>
  <si>
    <t>SRR6860987</t>
  </si>
  <si>
    <t>SRR6869539</t>
  </si>
  <si>
    <t>SRR6869951</t>
  </si>
  <si>
    <t>brie cheese with pepper</t>
  </si>
  <si>
    <t>SRR6869962</t>
  </si>
  <si>
    <t>SRR6869974</t>
  </si>
  <si>
    <t>SRR6869975</t>
  </si>
  <si>
    <t>SRR6869986</t>
  </si>
  <si>
    <t>SRR6870013</t>
  </si>
  <si>
    <t>SRR6870027</t>
  </si>
  <si>
    <t>SRR6870031</t>
  </si>
  <si>
    <t>SRR6870154</t>
  </si>
  <si>
    <t>SRR6870195</t>
  </si>
  <si>
    <t>raw brined salmon fillets</t>
  </si>
  <si>
    <t>SRR6870469</t>
  </si>
  <si>
    <t>SRR6880178</t>
  </si>
  <si>
    <t>SRR6881654</t>
  </si>
  <si>
    <t>SRR6881661</t>
  </si>
  <si>
    <t>SRR6881699</t>
  </si>
  <si>
    <t>SRR6881704</t>
  </si>
  <si>
    <t>SRR6881707</t>
  </si>
  <si>
    <t>SRR6881716</t>
  </si>
  <si>
    <t>SRR6902726</t>
  </si>
  <si>
    <t>SRR6902730</t>
  </si>
  <si>
    <t>SRR6903952</t>
  </si>
  <si>
    <t>SRR6926204</t>
  </si>
  <si>
    <t>SRR6926205</t>
  </si>
  <si>
    <t>SRR6926463</t>
  </si>
  <si>
    <t>SRR6926473</t>
  </si>
  <si>
    <t>SRR6926474</t>
  </si>
  <si>
    <t>SRR6926482</t>
  </si>
  <si>
    <t>SRR6930199</t>
  </si>
  <si>
    <t>SRR6930541</t>
  </si>
  <si>
    <t>SRR6930602</t>
  </si>
  <si>
    <t>sicilian tuna salad</t>
  </si>
  <si>
    <t>SRR6930644</t>
  </si>
  <si>
    <t>floor-produce area</t>
  </si>
  <si>
    <t>SRR6930646</t>
  </si>
  <si>
    <t>sicilian tuna salad intact</t>
  </si>
  <si>
    <t>SRR6956667</t>
  </si>
  <si>
    <t>SRR6956742</t>
  </si>
  <si>
    <t>SRR6956770</t>
  </si>
  <si>
    <t>SRR6956850</t>
  </si>
  <si>
    <t>SRR6957142</t>
  </si>
  <si>
    <t>smoked pacific pollock fillets</t>
  </si>
  <si>
    <t>SRR6957143</t>
  </si>
  <si>
    <t>smoked jerky salmon</t>
  </si>
  <si>
    <t>SRR6957144</t>
  </si>
  <si>
    <t>SRR6957157</t>
  </si>
  <si>
    <t>SRR6957161</t>
  </si>
  <si>
    <t>SRR6957180</t>
  </si>
  <si>
    <t>herring fillet salted smoked fish</t>
  </si>
  <si>
    <t>SRR6957181</t>
  </si>
  <si>
    <t>SRR6957505</t>
  </si>
  <si>
    <t>cajan chicken salad</t>
  </si>
  <si>
    <t>SRR6957554</t>
  </si>
  <si>
    <t>SRR6957690</t>
  </si>
  <si>
    <t>SRR6958061</t>
  </si>
  <si>
    <t>SRR6958626</t>
  </si>
  <si>
    <t>SRR6966182,SRR8239239</t>
  </si>
  <si>
    <t>SRR6976819</t>
  </si>
  <si>
    <t>SRR6998689</t>
  </si>
  <si>
    <t>SRR7001982</t>
  </si>
  <si>
    <t>SRR7012970</t>
  </si>
  <si>
    <t>SRR7028541</t>
  </si>
  <si>
    <t>SRR7029384</t>
  </si>
  <si>
    <t>SRR7029385</t>
  </si>
  <si>
    <t>SRR7029444</t>
  </si>
  <si>
    <t>SRR7029457</t>
  </si>
  <si>
    <t>SRR7029492</t>
  </si>
  <si>
    <t>SRR7029526</t>
  </si>
  <si>
    <t>SRR7029537</t>
  </si>
  <si>
    <t>SRR7029595</t>
  </si>
  <si>
    <t>SRR7029599</t>
  </si>
  <si>
    <t>SRR7030164</t>
  </si>
  <si>
    <t>SRR7030202</t>
  </si>
  <si>
    <t>SRR7030203</t>
  </si>
  <si>
    <t>SRR7030204</t>
  </si>
  <si>
    <t>SRR7030207</t>
  </si>
  <si>
    <t>SRR7030211</t>
  </si>
  <si>
    <t>SRR7030213</t>
  </si>
  <si>
    <t>SRR7030214</t>
  </si>
  <si>
    <t>SRR7030481</t>
  </si>
  <si>
    <t>SRR7047484</t>
  </si>
  <si>
    <t>SRR7047485</t>
  </si>
  <si>
    <t>SRR7047488</t>
  </si>
  <si>
    <t>SRR7047748</t>
  </si>
  <si>
    <t>SRR7047927</t>
  </si>
  <si>
    <t>SRR7047937</t>
  </si>
  <si>
    <t>SRR7048230</t>
  </si>
  <si>
    <t>SRR7048254</t>
  </si>
  <si>
    <t>SRR7056248</t>
  </si>
  <si>
    <t>Blood culture</t>
  </si>
  <si>
    <t>SRR7056250</t>
  </si>
  <si>
    <t>SRR7056251</t>
  </si>
  <si>
    <t>throat swab</t>
  </si>
  <si>
    <t>SRR7068855</t>
  </si>
  <si>
    <t>Deli slicer #3 blade</t>
  </si>
  <si>
    <t>SRR7068859</t>
  </si>
  <si>
    <t>SRR7073271</t>
  </si>
  <si>
    <t>frozen biscuits</t>
  </si>
  <si>
    <t>SRR7073273</t>
  </si>
  <si>
    <t>SRR7073613</t>
  </si>
  <si>
    <t>SRR7094378,SRR7040516</t>
  </si>
  <si>
    <t>SRR7094429,SRR7040538</t>
  </si>
  <si>
    <t>SRR7095750</t>
  </si>
  <si>
    <t>SRR7130933</t>
  </si>
  <si>
    <t>SRR7134445</t>
  </si>
  <si>
    <t>SRR7134916</t>
  </si>
  <si>
    <t>sponge of conveyor belt</t>
  </si>
  <si>
    <t>SRR7134917</t>
  </si>
  <si>
    <t>king crab leg and claw</t>
  </si>
  <si>
    <t>SRR7135014</t>
  </si>
  <si>
    <t>SRR7135082</t>
  </si>
  <si>
    <t>SRR7135117</t>
  </si>
  <si>
    <t>SRR7135119</t>
  </si>
  <si>
    <t>SRR7135125</t>
  </si>
  <si>
    <t>SRR7135127</t>
  </si>
  <si>
    <t>SRR7135130</t>
  </si>
  <si>
    <t>SRR7135131</t>
  </si>
  <si>
    <t>SRR7135133</t>
  </si>
  <si>
    <t>SRR7135134</t>
  </si>
  <si>
    <t>SRR7135140</t>
  </si>
  <si>
    <t>SRR7138094</t>
  </si>
  <si>
    <t>SRR7152880</t>
  </si>
  <si>
    <t>SRR7152882</t>
  </si>
  <si>
    <t>SRR7163864</t>
  </si>
  <si>
    <t>SRR7163868</t>
  </si>
  <si>
    <t>SRR7163869</t>
  </si>
  <si>
    <t>SRR7163871</t>
  </si>
  <si>
    <t>SRR7163873</t>
  </si>
  <si>
    <t>SRR7163874</t>
  </si>
  <si>
    <t>SRR7163879</t>
  </si>
  <si>
    <t>SRR7163884</t>
  </si>
  <si>
    <t>SRR7163916</t>
  </si>
  <si>
    <t>SRR7164084</t>
  </si>
  <si>
    <t>SRR7164090</t>
  </si>
  <si>
    <t>SRR7164093</t>
  </si>
  <si>
    <t>SRR7164097</t>
  </si>
  <si>
    <t>SRR7164117</t>
  </si>
  <si>
    <t>SRR7164125</t>
  </si>
  <si>
    <t>SRR7164127</t>
  </si>
  <si>
    <t>SRR7164128</t>
  </si>
  <si>
    <t>SRR7164129</t>
  </si>
  <si>
    <t>SRR7164139</t>
  </si>
  <si>
    <t>SRR7164140</t>
  </si>
  <si>
    <t>SRR7164141</t>
  </si>
  <si>
    <t>SRR7164143</t>
  </si>
  <si>
    <t>SRR7167521</t>
  </si>
  <si>
    <t>SRR7167532</t>
  </si>
  <si>
    <t>SRR7167584</t>
  </si>
  <si>
    <t>SRR7167589</t>
  </si>
  <si>
    <t>SRR7167590</t>
  </si>
  <si>
    <t>SRR7167591</t>
  </si>
  <si>
    <t>SRR7167594</t>
  </si>
  <si>
    <t>SRR7167740</t>
  </si>
  <si>
    <t>SRR7167741</t>
  </si>
  <si>
    <t>SRR7167743</t>
  </si>
  <si>
    <t>SRR7167746</t>
  </si>
  <si>
    <t>SRR7167756</t>
  </si>
  <si>
    <t>SRR7167760</t>
  </si>
  <si>
    <t>SRR7167763</t>
  </si>
  <si>
    <t>SRR7167765</t>
  </si>
  <si>
    <t>SRR7170940</t>
  </si>
  <si>
    <t>SRR7172159</t>
  </si>
  <si>
    <t>SRR7172264</t>
  </si>
  <si>
    <t>SRR7172267</t>
  </si>
  <si>
    <t>SRR7172282</t>
  </si>
  <si>
    <t>SRR7172434</t>
  </si>
  <si>
    <t>SRR7172444</t>
  </si>
  <si>
    <t>SRR7172521</t>
  </si>
  <si>
    <t>SRR7172542</t>
  </si>
  <si>
    <t>SRR7172548</t>
  </si>
  <si>
    <t>SRR7172550</t>
  </si>
  <si>
    <t>SRR7172585</t>
  </si>
  <si>
    <t>SRR7172597</t>
  </si>
  <si>
    <t>SRR7172604</t>
  </si>
  <si>
    <t>SRR7174199</t>
  </si>
  <si>
    <t>SRR7179865</t>
  </si>
  <si>
    <t>SRR7179918</t>
  </si>
  <si>
    <t>SRR7179948</t>
  </si>
  <si>
    <t>SRR7179960</t>
  </si>
  <si>
    <t>SRR7179965</t>
  </si>
  <si>
    <t>SRR7180006</t>
  </si>
  <si>
    <t>SRR7180017</t>
  </si>
  <si>
    <t>SRR7180018</t>
  </si>
  <si>
    <t>SRR7180030</t>
  </si>
  <si>
    <t>SRR7180034</t>
  </si>
  <si>
    <t>SRR7180040</t>
  </si>
  <si>
    <t>SRR7180222</t>
  </si>
  <si>
    <t>SRR7180871</t>
  </si>
  <si>
    <t>SRR7181215</t>
  </si>
  <si>
    <t>SRR7181555</t>
  </si>
  <si>
    <t>SRR7181599</t>
  </si>
  <si>
    <t>SRR7181690</t>
  </si>
  <si>
    <t>SRR7181730</t>
  </si>
  <si>
    <t>SRR7181887</t>
  </si>
  <si>
    <t>SRR7181944</t>
  </si>
  <si>
    <t>SRR7181954</t>
  </si>
  <si>
    <t>SRR7181960</t>
  </si>
  <si>
    <t>SRR7182023</t>
  </si>
  <si>
    <t>SRR7182024</t>
  </si>
  <si>
    <t>SRR7182218</t>
  </si>
  <si>
    <t>SRR7182222</t>
  </si>
  <si>
    <t>SRR7182226</t>
  </si>
  <si>
    <t>SRR7182227</t>
  </si>
  <si>
    <t>SRR7182228</t>
  </si>
  <si>
    <t>SRR7182229</t>
  </si>
  <si>
    <t>SRR7182230</t>
  </si>
  <si>
    <t>SRR7182260</t>
  </si>
  <si>
    <t>SRR7184336</t>
  </si>
  <si>
    <t>SRR7184340</t>
  </si>
  <si>
    <t>SRR7184392</t>
  </si>
  <si>
    <t>SRR7184412</t>
  </si>
  <si>
    <t>SRR7184414</t>
  </si>
  <si>
    <t>SRR7184443</t>
  </si>
  <si>
    <t>SRR7184446</t>
  </si>
  <si>
    <t>SRR7184545</t>
  </si>
  <si>
    <t>SRR7184942</t>
  </si>
  <si>
    <t>SRR7184990</t>
  </si>
  <si>
    <t>SRR7186366</t>
  </si>
  <si>
    <t>SRR7186367</t>
  </si>
  <si>
    <t>SRR7186372</t>
  </si>
  <si>
    <t>SRR7186459</t>
  </si>
  <si>
    <t>SRR7186462</t>
  </si>
  <si>
    <t>SRR7193924</t>
  </si>
  <si>
    <t>SRR7193929</t>
  </si>
  <si>
    <t>SRR7196730</t>
  </si>
  <si>
    <t>SRR7196731</t>
  </si>
  <si>
    <t>SRR7196733</t>
  </si>
  <si>
    <t>SRR7196737</t>
  </si>
  <si>
    <t>SRR7196738</t>
  </si>
  <si>
    <t>SRR7196743</t>
  </si>
  <si>
    <t>SRR7196747</t>
  </si>
  <si>
    <t>SRR7196748</t>
  </si>
  <si>
    <t>SRR7196753</t>
  </si>
  <si>
    <t>SRR7196756</t>
  </si>
  <si>
    <t>SRR7196758</t>
  </si>
  <si>
    <t>SRR7196762</t>
  </si>
  <si>
    <t>SRR7196764</t>
  </si>
  <si>
    <t>SRR7196771</t>
  </si>
  <si>
    <t>SRR7221280</t>
  </si>
  <si>
    <t>SRR7221346</t>
  </si>
  <si>
    <t>SRR7228881</t>
  </si>
  <si>
    <t>SRR7231941</t>
  </si>
  <si>
    <t>octopus salad</t>
  </si>
  <si>
    <t>SRR7232413</t>
  </si>
  <si>
    <t>barbeque sandwich</t>
  </si>
  <si>
    <t>SRR7233119</t>
  </si>
  <si>
    <t>SRR7241724</t>
  </si>
  <si>
    <t>SRR7245582</t>
  </si>
  <si>
    <t>SRR7253631</t>
  </si>
  <si>
    <t>Surface, floors and Drains</t>
  </si>
  <si>
    <t>SRR7281265</t>
  </si>
  <si>
    <t>king crab leg</t>
  </si>
  <si>
    <t>SRR7281454</t>
  </si>
  <si>
    <t>ground frozen turkey based cat food</t>
  </si>
  <si>
    <t>SRR7282481</t>
  </si>
  <si>
    <t>SRR7282598</t>
  </si>
  <si>
    <t>SRR7282600</t>
  </si>
  <si>
    <t>SRR7282613</t>
  </si>
  <si>
    <t>SRR7289022</t>
  </si>
  <si>
    <t>SRR7289038</t>
  </si>
  <si>
    <t>SRR7289098</t>
  </si>
  <si>
    <t>SRR7289648</t>
  </si>
  <si>
    <t>SRR7289733</t>
  </si>
  <si>
    <t>SRR7289827</t>
  </si>
  <si>
    <t>SRR7289891</t>
  </si>
  <si>
    <t>SRR7289892</t>
  </si>
  <si>
    <t>SRR7290142</t>
  </si>
  <si>
    <t>SRR7290261</t>
  </si>
  <si>
    <t>SRR7291580</t>
  </si>
  <si>
    <t>SRR7292852</t>
  </si>
  <si>
    <t>SRR7292915</t>
  </si>
  <si>
    <t>SRR7292982</t>
  </si>
  <si>
    <t>SRR7293001</t>
  </si>
  <si>
    <t>SRR7293004</t>
  </si>
  <si>
    <t>SRR7293029</t>
  </si>
  <si>
    <t>SRR7293097</t>
  </si>
  <si>
    <t>SRR7310201</t>
  </si>
  <si>
    <t>SRR7343289</t>
  </si>
  <si>
    <t>SRR7343580</t>
  </si>
  <si>
    <t>SRR7345482</t>
  </si>
  <si>
    <t>SRR7345609</t>
  </si>
  <si>
    <t>SRR7345612</t>
  </si>
  <si>
    <t>SRR7345626</t>
  </si>
  <si>
    <t>SRR7345664</t>
  </si>
  <si>
    <t>SRR7345666</t>
  </si>
  <si>
    <t>SRR7345722</t>
  </si>
  <si>
    <t>SRR7345799</t>
  </si>
  <si>
    <t>SRR7348454,SRR5526091</t>
  </si>
  <si>
    <t>SRR7352612</t>
  </si>
  <si>
    <t>SRR7352941</t>
  </si>
  <si>
    <t>SRR7353159</t>
  </si>
  <si>
    <t>Surface, mixer step</t>
  </si>
  <si>
    <t>SRR7355828</t>
  </si>
  <si>
    <t>environmental swab from step outside</t>
  </si>
  <si>
    <t>SRR7355829</t>
  </si>
  <si>
    <t>Surface, cooler floor</t>
  </si>
  <si>
    <t>SRR7356423</t>
  </si>
  <si>
    <t>Surface, wash bay drain</t>
  </si>
  <si>
    <t>SRR7356425</t>
  </si>
  <si>
    <t>Surface, floor nw proof box</t>
  </si>
  <si>
    <t>SRR7356595</t>
  </si>
  <si>
    <t>Surface, compactor hall</t>
  </si>
  <si>
    <t>SRR7356596</t>
  </si>
  <si>
    <t>Surface, mixer platform</t>
  </si>
  <si>
    <t>SRR7356747</t>
  </si>
  <si>
    <t>SRR7357764</t>
  </si>
  <si>
    <t>Surface, step to mixer</t>
  </si>
  <si>
    <t>SRR7359882</t>
  </si>
  <si>
    <t>SRR7401107</t>
  </si>
  <si>
    <t>SRR7403111</t>
  </si>
  <si>
    <t>SRR7410624</t>
  </si>
  <si>
    <t>SRR7410668</t>
  </si>
  <si>
    <t>SRR7413580</t>
  </si>
  <si>
    <t>SRR7413582</t>
  </si>
  <si>
    <t>SRR7416075</t>
  </si>
  <si>
    <t>SRR7416076</t>
  </si>
  <si>
    <t>SRR7419947</t>
  </si>
  <si>
    <t>SRR7420422</t>
  </si>
  <si>
    <t>SRR7421701</t>
  </si>
  <si>
    <t>SRR7429306</t>
  </si>
  <si>
    <t>SRR7429526</t>
  </si>
  <si>
    <t>SRR7429531</t>
  </si>
  <si>
    <t>SRR7429543</t>
  </si>
  <si>
    <t>SRR7429582</t>
  </si>
  <si>
    <t>SRR7429617</t>
  </si>
  <si>
    <t>SRR7429622</t>
  </si>
  <si>
    <t>SRR7429632</t>
  </si>
  <si>
    <t>SRR7429633</t>
  </si>
  <si>
    <t>SRR7429666</t>
  </si>
  <si>
    <t>SRR7429675</t>
  </si>
  <si>
    <t>SRR7429676</t>
  </si>
  <si>
    <t>SRR7429678</t>
  </si>
  <si>
    <t>SRR7429681</t>
  </si>
  <si>
    <t>SRR7429690</t>
  </si>
  <si>
    <t>SRR7429710</t>
  </si>
  <si>
    <t>SRR7429712</t>
  </si>
  <si>
    <t>SRR7429716</t>
  </si>
  <si>
    <t>SRR7429717</t>
  </si>
  <si>
    <t>SRR7429718</t>
  </si>
  <si>
    <t>SRR7429719</t>
  </si>
  <si>
    <t>SRR7429720</t>
  </si>
  <si>
    <t>SRR7429728</t>
  </si>
  <si>
    <t>SRR7429794</t>
  </si>
  <si>
    <t>SRR7429797</t>
  </si>
  <si>
    <t>SRR7429835</t>
  </si>
  <si>
    <t>SRR7429840</t>
  </si>
  <si>
    <t>SRR7429843</t>
  </si>
  <si>
    <t>SRR7429846</t>
  </si>
  <si>
    <t>SRR7429981</t>
  </si>
  <si>
    <t>SRR7430545</t>
  </si>
  <si>
    <t>SRR7439496</t>
  </si>
  <si>
    <t>SRR7440538</t>
  </si>
  <si>
    <t>Food products</t>
  </si>
  <si>
    <t>SRR7440546</t>
  </si>
  <si>
    <t>Food processing environment</t>
  </si>
  <si>
    <t>SRR7440563</t>
  </si>
  <si>
    <t>SRR7440577</t>
  </si>
  <si>
    <t>SRR7440578</t>
  </si>
  <si>
    <t>SRR7440604</t>
  </si>
  <si>
    <t>SRR7440607</t>
  </si>
  <si>
    <t>SRR7440616</t>
  </si>
  <si>
    <t>SRR7440622</t>
  </si>
  <si>
    <t>SRR7440623</t>
  </si>
  <si>
    <t>SRR7440627</t>
  </si>
  <si>
    <t>SRR7440632</t>
  </si>
  <si>
    <t>SRR7440640</t>
  </si>
  <si>
    <t>SRR7440650</t>
  </si>
  <si>
    <t>SRR7440659</t>
  </si>
  <si>
    <t>SRR7440681</t>
  </si>
  <si>
    <t>SRR7440702</t>
  </si>
  <si>
    <t>SRR7440708</t>
  </si>
  <si>
    <t>SRR7440714</t>
  </si>
  <si>
    <t>SRR7440726</t>
  </si>
  <si>
    <t>SRR7440760</t>
  </si>
  <si>
    <t>SRR7440766</t>
  </si>
  <si>
    <t>SRR7440768</t>
  </si>
  <si>
    <t>SRR7440769</t>
  </si>
  <si>
    <t>SRR7440772</t>
  </si>
  <si>
    <t>SRR7440775</t>
  </si>
  <si>
    <t>SRR7440776</t>
  </si>
  <si>
    <t>SRR7440778</t>
  </si>
  <si>
    <t>SRR7440783</t>
  </si>
  <si>
    <t>SRR7440784</t>
  </si>
  <si>
    <t>SRR7440785</t>
  </si>
  <si>
    <t>SRR7440787</t>
  </si>
  <si>
    <t>SRR7440796</t>
  </si>
  <si>
    <t>SRR7440833</t>
  </si>
  <si>
    <t>SRR7440844</t>
  </si>
  <si>
    <t>SRR7440853</t>
  </si>
  <si>
    <t>SRR7440859</t>
  </si>
  <si>
    <t>SRR7440900</t>
  </si>
  <si>
    <t>SRR7440915</t>
  </si>
  <si>
    <t>SRR7440925</t>
  </si>
  <si>
    <t>SRR7440942</t>
  </si>
  <si>
    <t>SRR7440988</t>
  </si>
  <si>
    <t>SRR7440997</t>
  </si>
  <si>
    <t>SRR7441003</t>
  </si>
  <si>
    <t>SRR7441008</t>
  </si>
  <si>
    <t>SRR7441012</t>
  </si>
  <si>
    <t>SRR7441035</t>
  </si>
  <si>
    <t>SRR7441040</t>
  </si>
  <si>
    <t>SRR7441042</t>
  </si>
  <si>
    <t>SRR7441053</t>
  </si>
  <si>
    <t>SRR7441056</t>
  </si>
  <si>
    <t>SRR7441058</t>
  </si>
  <si>
    <t>SRR7441067</t>
  </si>
  <si>
    <t>SRR7441076</t>
  </si>
  <si>
    <t>SRR7441093</t>
  </si>
  <si>
    <t>SRR7441099</t>
  </si>
  <si>
    <t>SRR7441104</t>
  </si>
  <si>
    <t>SRR7441156</t>
  </si>
  <si>
    <t>SRR7441171</t>
  </si>
  <si>
    <t>SRR7441185</t>
  </si>
  <si>
    <t>SRR7441186</t>
  </si>
  <si>
    <t>SRR7441213</t>
  </si>
  <si>
    <t>SRR7441214</t>
  </si>
  <si>
    <t>SRR7441215</t>
  </si>
  <si>
    <t>SRR7441217</t>
  </si>
  <si>
    <t>SRR7441219</t>
  </si>
  <si>
    <t>SRR7441241</t>
  </si>
  <si>
    <t>SRR7441242</t>
  </si>
  <si>
    <t>SRR7441253</t>
  </si>
  <si>
    <t>SRR7441259</t>
  </si>
  <si>
    <t>SRR7441277</t>
  </si>
  <si>
    <t>SRR7441295</t>
  </si>
  <si>
    <t>SRR7441297</t>
  </si>
  <si>
    <t>SRR7441336</t>
  </si>
  <si>
    <t>SRR7442116</t>
  </si>
  <si>
    <t>Meat, meat product</t>
  </si>
  <si>
    <t>SRR7449516</t>
  </si>
  <si>
    <t>SRR7449968</t>
  </si>
  <si>
    <t>SRR7449969</t>
  </si>
  <si>
    <t>SRR7465820</t>
  </si>
  <si>
    <t>SRR7466205</t>
  </si>
  <si>
    <t>SRR7466586</t>
  </si>
  <si>
    <t>SRR7468605</t>
  </si>
  <si>
    <t>SRR7468607</t>
  </si>
  <si>
    <t>SRR7474133</t>
  </si>
  <si>
    <t>SRR7474254</t>
  </si>
  <si>
    <t>SRR7475515</t>
  </si>
  <si>
    <t>SRR7475516</t>
  </si>
  <si>
    <t>SRR7496984</t>
  </si>
  <si>
    <t>SRR7496987</t>
  </si>
  <si>
    <t>SRR7496992</t>
  </si>
  <si>
    <t>SRR7497001</t>
  </si>
  <si>
    <t>guacamole</t>
  </si>
  <si>
    <t>SRR7497017</t>
  </si>
  <si>
    <t>SRR7497068</t>
  </si>
  <si>
    <t>SRR7497076</t>
  </si>
  <si>
    <t>SRR7497079</t>
  </si>
  <si>
    <t>SRR7497082</t>
  </si>
  <si>
    <t>SRR7497087</t>
  </si>
  <si>
    <t>SRR7497097</t>
  </si>
  <si>
    <t>SRR7497113</t>
  </si>
  <si>
    <t>SRR7497123</t>
  </si>
  <si>
    <t>SRR7497164</t>
  </si>
  <si>
    <t>SRR7498064</t>
  </si>
  <si>
    <t>SRR7498067</t>
  </si>
  <si>
    <t>SRR7500575</t>
  </si>
  <si>
    <t>SRR7521597</t>
  </si>
  <si>
    <t>SRR7521599</t>
  </si>
  <si>
    <t>SRR7521604</t>
  </si>
  <si>
    <t>SRR7521606</t>
  </si>
  <si>
    <t>SRR7521725</t>
  </si>
  <si>
    <t>SRR7521728</t>
  </si>
  <si>
    <t>SRR7521736</t>
  </si>
  <si>
    <t>SRR7521737</t>
  </si>
  <si>
    <t>SRR7525181</t>
  </si>
  <si>
    <t>SRR7525546,SRR5758415</t>
  </si>
  <si>
    <t>SRR7525548</t>
  </si>
  <si>
    <t>SRR7525550,SRR11266553</t>
  </si>
  <si>
    <t>SRR7525554</t>
  </si>
  <si>
    <t>SRR7525558</t>
  </si>
  <si>
    <t>SRR7525564</t>
  </si>
  <si>
    <t>SRR7525566</t>
  </si>
  <si>
    <t>SRR7525568,SRR5817809</t>
  </si>
  <si>
    <t>SRR7535619</t>
  </si>
  <si>
    <t>SRR7538374</t>
  </si>
  <si>
    <t>SRR7547833</t>
  </si>
  <si>
    <t>SRR7547834</t>
  </si>
  <si>
    <t>SRR7547835</t>
  </si>
  <si>
    <t>SRR7547838</t>
  </si>
  <si>
    <t>SRR7547839</t>
  </si>
  <si>
    <t>crab cluster</t>
  </si>
  <si>
    <t>SRR7547841</t>
  </si>
  <si>
    <t>SRR7547843</t>
  </si>
  <si>
    <t>SRR7547844</t>
  </si>
  <si>
    <t>SRR7547845</t>
  </si>
  <si>
    <t>SRR7547847</t>
  </si>
  <si>
    <t>SRR7547848</t>
  </si>
  <si>
    <t>SRR7547849</t>
  </si>
  <si>
    <t>SRR7547851</t>
  </si>
  <si>
    <t>SRR7547852</t>
  </si>
  <si>
    <t>SRR7551057</t>
  </si>
  <si>
    <t>SRR7551061</t>
  </si>
  <si>
    <t>frozen octopus</t>
  </si>
  <si>
    <t>SRR7551062,SRR1101346</t>
  </si>
  <si>
    <t>SRR7551069</t>
  </si>
  <si>
    <t>SRR7551073,SRR1101540</t>
  </si>
  <si>
    <t>SRR7551190</t>
  </si>
  <si>
    <t>SRR7551200</t>
  </si>
  <si>
    <t>SRR7591100</t>
  </si>
  <si>
    <t>SRR7591105</t>
  </si>
  <si>
    <t>SRR7591106</t>
  </si>
  <si>
    <t>SRR7591107</t>
  </si>
  <si>
    <t>SRR7591108</t>
  </si>
  <si>
    <t>SRR7591109</t>
  </si>
  <si>
    <t>SRR7591110</t>
  </si>
  <si>
    <t>SRR7591111</t>
  </si>
  <si>
    <t>SRR7591113</t>
  </si>
  <si>
    <t>SRR7591116</t>
  </si>
  <si>
    <t>SRR7591118</t>
  </si>
  <si>
    <t>SRR7591120</t>
  </si>
  <si>
    <t>SRR7591121</t>
  </si>
  <si>
    <t>SRR7591122</t>
  </si>
  <si>
    <t>SRR7591123</t>
  </si>
  <si>
    <t>SRR7591124</t>
  </si>
  <si>
    <t>SRR7608160</t>
  </si>
  <si>
    <t>SRR7608834</t>
  </si>
  <si>
    <t>Back Room Drain</t>
  </si>
  <si>
    <t>SRR7608835</t>
  </si>
  <si>
    <t>3 Bay Sink</t>
  </si>
  <si>
    <t>SRR7609018</t>
  </si>
  <si>
    <t>Slicer Drain</t>
  </si>
  <si>
    <t>SRR7619099</t>
  </si>
  <si>
    <t>SRR7619102</t>
  </si>
  <si>
    <t>SRR7622955</t>
  </si>
  <si>
    <t>SRR7627612</t>
  </si>
  <si>
    <t>SRR7628965</t>
  </si>
  <si>
    <t>smoked ham water added</t>
  </si>
  <si>
    <t>SRR7629005</t>
  </si>
  <si>
    <t>chili cheese corn dog</t>
  </si>
  <si>
    <t>SRR7629006</t>
  </si>
  <si>
    <t>chicken corn dogs</t>
  </si>
  <si>
    <t>SRR7632600</t>
  </si>
  <si>
    <t>SRR7632601</t>
  </si>
  <si>
    <t>SRR7637784</t>
  </si>
  <si>
    <t>body fluid</t>
  </si>
  <si>
    <t>SRR7652966</t>
  </si>
  <si>
    <t>SRR7652994</t>
  </si>
  <si>
    <t>SRR7655973</t>
  </si>
  <si>
    <t>SRR7655976</t>
  </si>
  <si>
    <t>SRR7657493</t>
  </si>
  <si>
    <t>SRR7657502</t>
  </si>
  <si>
    <t>SRR7657517</t>
  </si>
  <si>
    <t>SRR7666313</t>
  </si>
  <si>
    <t>SRR7690590</t>
  </si>
  <si>
    <t>Ecuador</t>
  </si>
  <si>
    <t>SRR7690595</t>
  </si>
  <si>
    <t>environmental, drain sponge</t>
  </si>
  <si>
    <t>SRR7690657</t>
  </si>
  <si>
    <t>SRR7690666</t>
  </si>
  <si>
    <t>SRR7690671</t>
  </si>
  <si>
    <t>SRR7692014</t>
  </si>
  <si>
    <t>SRR7692262,SRR7702409</t>
  </si>
  <si>
    <t>SRR7692264</t>
  </si>
  <si>
    <t>SRR7702408,SRR7692263</t>
  </si>
  <si>
    <t>SRR7702424,SRR11389235</t>
  </si>
  <si>
    <t>SRR7702425</t>
  </si>
  <si>
    <t>SRR7702433</t>
  </si>
  <si>
    <t>SRR7702441</t>
  </si>
  <si>
    <t>SRR7702442,SRR11391771</t>
  </si>
  <si>
    <t>SRR7702515</t>
  </si>
  <si>
    <t>SRR7705492</t>
  </si>
  <si>
    <t>SRR7707915</t>
  </si>
  <si>
    <t>ground lamb dog food</t>
  </si>
  <si>
    <t>SRR7707946</t>
  </si>
  <si>
    <t>ground turkey cat food</t>
  </si>
  <si>
    <t>SRR7718986</t>
  </si>
  <si>
    <t>SRR7718990</t>
  </si>
  <si>
    <t>SRR7718992</t>
  </si>
  <si>
    <t>SRR7718998</t>
  </si>
  <si>
    <t>whole cooked mussel</t>
  </si>
  <si>
    <t>SRR7719002,SRR7719015</t>
  </si>
  <si>
    <t>SRR7719003</t>
  </si>
  <si>
    <t>SRR7719004,SRR7718988</t>
  </si>
  <si>
    <t>SRR7719005,SRR7719023</t>
  </si>
  <si>
    <t>SRR7719010</t>
  </si>
  <si>
    <t>SRR7719013,SRR7719011</t>
  </si>
  <si>
    <t>SRR7719016</t>
  </si>
  <si>
    <t>SRR7719020,SRR7719017</t>
  </si>
  <si>
    <t>SRR7719022,SRR7719008</t>
  </si>
  <si>
    <t>SRR7719025</t>
  </si>
  <si>
    <t>SRR7719026</t>
  </si>
  <si>
    <t>SRR7719028</t>
  </si>
  <si>
    <t>SRR7719032</t>
  </si>
  <si>
    <t>SRR7722533</t>
  </si>
  <si>
    <t>SRR7734560</t>
  </si>
  <si>
    <t>SRR7749330</t>
  </si>
  <si>
    <t>Salmon dip</t>
  </si>
  <si>
    <t>SRR7750789</t>
  </si>
  <si>
    <t>SRR7750790</t>
  </si>
  <si>
    <t>SRR7750791</t>
  </si>
  <si>
    <t>SRR7750792</t>
  </si>
  <si>
    <t>SRR7750793</t>
  </si>
  <si>
    <t>SRR7750795</t>
  </si>
  <si>
    <t>SRR7750796</t>
  </si>
  <si>
    <t>SRR7750797</t>
  </si>
  <si>
    <t>SRR7750799</t>
  </si>
  <si>
    <t>SRR7750801</t>
  </si>
  <si>
    <t>SRR7750802</t>
  </si>
  <si>
    <t>SRR7750803</t>
  </si>
  <si>
    <t>SRR7750806</t>
  </si>
  <si>
    <t>SRR7750807</t>
  </si>
  <si>
    <t>SRR7750808</t>
  </si>
  <si>
    <t>SRR7750809</t>
  </si>
  <si>
    <t>SRR7750810</t>
  </si>
  <si>
    <t>SRR7750811</t>
  </si>
  <si>
    <t>SRR7750812</t>
  </si>
  <si>
    <t>SRR7750813</t>
  </si>
  <si>
    <t>SRR7758226</t>
  </si>
  <si>
    <t>SRR7758227</t>
  </si>
  <si>
    <t>floor drain in raw meat area</t>
  </si>
  <si>
    <t>SRR7758229</t>
  </si>
  <si>
    <t>floor drain in produce area</t>
  </si>
  <si>
    <t>SRR7758230</t>
  </si>
  <si>
    <t>SRR7758970,SRR1101539</t>
  </si>
  <si>
    <t>SRR7759255,SRR1101443</t>
  </si>
  <si>
    <t>SRR7759392,SRR1101451</t>
  </si>
  <si>
    <t>SRR7761283</t>
  </si>
  <si>
    <t>SRR7761285</t>
  </si>
  <si>
    <t>SRR7765211</t>
  </si>
  <si>
    <t>SRR7771816</t>
  </si>
  <si>
    <t>SRR7773443</t>
  </si>
  <si>
    <t>sponge, floor</t>
  </si>
  <si>
    <t>SRR7773505</t>
  </si>
  <si>
    <t>Sponge, refrigerated storage</t>
  </si>
  <si>
    <t>SRR7773523</t>
  </si>
  <si>
    <t>SRR7773555</t>
  </si>
  <si>
    <t>SRR7773556</t>
  </si>
  <si>
    <t>sponge, door</t>
  </si>
  <si>
    <t>SRR7773560</t>
  </si>
  <si>
    <t>sponge, compactor hall</t>
  </si>
  <si>
    <t>SRR7773564</t>
  </si>
  <si>
    <t>SRR7773996</t>
  </si>
  <si>
    <t>sponge composite, floors and drains</t>
  </si>
  <si>
    <t>SRR7774002</t>
  </si>
  <si>
    <t>Sponge, floor</t>
  </si>
  <si>
    <t>SRR7774007</t>
  </si>
  <si>
    <t>Sponge, drain</t>
  </si>
  <si>
    <t>SRR7786728</t>
  </si>
  <si>
    <t>SRR7799157</t>
  </si>
  <si>
    <t>SRR7802697</t>
  </si>
  <si>
    <t>SRR7802878</t>
  </si>
  <si>
    <t>SRR7802879</t>
  </si>
  <si>
    <t>SRR7802881</t>
  </si>
  <si>
    <t>SRR7802892</t>
  </si>
  <si>
    <t>SRR7803474</t>
  </si>
  <si>
    <t>SRR7803481</t>
  </si>
  <si>
    <t>SRR7803484</t>
  </si>
  <si>
    <t>SRR7803499</t>
  </si>
  <si>
    <t>SRR7803501</t>
  </si>
  <si>
    <t>SRR7803502</t>
  </si>
  <si>
    <t>SRR7803513</t>
  </si>
  <si>
    <t>SRR7803524</t>
  </si>
  <si>
    <t>SRR7803526</t>
  </si>
  <si>
    <t>SRR7803536</t>
  </si>
  <si>
    <t>SRR7803537</t>
  </si>
  <si>
    <t>SRR7803540</t>
  </si>
  <si>
    <t>SRR7803563</t>
  </si>
  <si>
    <t>SRR7810070</t>
  </si>
  <si>
    <t>SRR7813722</t>
  </si>
  <si>
    <t>SRR7813963</t>
  </si>
  <si>
    <t>FRESH COOKED LOBSTER MEAT</t>
  </si>
  <si>
    <t>SRR7814047</t>
  </si>
  <si>
    <t>SRR7814049</t>
  </si>
  <si>
    <t>SRR7814050</t>
  </si>
  <si>
    <t>SRR7814051</t>
  </si>
  <si>
    <t>SRR7814052</t>
  </si>
  <si>
    <t>SRR7814053</t>
  </si>
  <si>
    <t>SRR7814054</t>
  </si>
  <si>
    <t>SRR7814056</t>
  </si>
  <si>
    <t>SRR7814057</t>
  </si>
  <si>
    <t>SRR7814058</t>
  </si>
  <si>
    <t>SRR7814059</t>
  </si>
  <si>
    <t>SRR7814060</t>
  </si>
  <si>
    <t>SRR7814062</t>
  </si>
  <si>
    <t>Packaged food product</t>
  </si>
  <si>
    <t>SRR7814063</t>
  </si>
  <si>
    <t>SRR7814593</t>
  </si>
  <si>
    <t>SRR7826026</t>
  </si>
  <si>
    <t>SRR7827046</t>
  </si>
  <si>
    <t>SRR7827050</t>
  </si>
  <si>
    <t>SRR7827051</t>
  </si>
  <si>
    <t>SRR7827057</t>
  </si>
  <si>
    <t>SRR7827062</t>
  </si>
  <si>
    <t>SRR7827067</t>
  </si>
  <si>
    <t>SRR7827071</t>
  </si>
  <si>
    <t>SRR7827077</t>
  </si>
  <si>
    <t>SRR7827080</t>
  </si>
  <si>
    <t>SRR7827083</t>
  </si>
  <si>
    <t>SRR7827085</t>
  </si>
  <si>
    <t>SRR7827086</t>
  </si>
  <si>
    <t>SRR7827087</t>
  </si>
  <si>
    <t>SRR7827088</t>
  </si>
  <si>
    <t>SRR7827089</t>
  </si>
  <si>
    <t>SRR7827090</t>
  </si>
  <si>
    <t>SRR7827095</t>
  </si>
  <si>
    <t>SRR7827097</t>
  </si>
  <si>
    <t>SRR7827100</t>
  </si>
  <si>
    <t>SRR7827101</t>
  </si>
  <si>
    <t>SRR7827104</t>
  </si>
  <si>
    <t>SRR7827106</t>
  </si>
  <si>
    <t>SRR7827107</t>
  </si>
  <si>
    <t>SRR7827113</t>
  </si>
  <si>
    <t>SRR7827116</t>
  </si>
  <si>
    <t>SRR7827119</t>
  </si>
  <si>
    <t>SRR7827125</t>
  </si>
  <si>
    <t>SRR7827176</t>
  </si>
  <si>
    <t>SRR7827177</t>
  </si>
  <si>
    <t>SRR7827180</t>
  </si>
  <si>
    <t>SRR7827970</t>
  </si>
  <si>
    <t>SRR7827971</t>
  </si>
  <si>
    <t>SRR7827974</t>
  </si>
  <si>
    <t>SRR7827976</t>
  </si>
  <si>
    <t>SRR7827979</t>
  </si>
  <si>
    <t>SRR7827980</t>
  </si>
  <si>
    <t>SRR7827981</t>
  </si>
  <si>
    <t>SRR7827982</t>
  </si>
  <si>
    <t>SRR7827984</t>
  </si>
  <si>
    <t>SRR7827986</t>
  </si>
  <si>
    <t>SRR7827988</t>
  </si>
  <si>
    <t>SRR7827991</t>
  </si>
  <si>
    <t>SRR7827994</t>
  </si>
  <si>
    <t>SRR7827995</t>
  </si>
  <si>
    <t>SRR7828006</t>
  </si>
  <si>
    <t>SRR7828007</t>
  </si>
  <si>
    <t>SRR7828009</t>
  </si>
  <si>
    <t>SRR7828010</t>
  </si>
  <si>
    <t>SRR7828011</t>
  </si>
  <si>
    <t>SRR7828012</t>
  </si>
  <si>
    <t>SRR7828014</t>
  </si>
  <si>
    <t>SRR7828016</t>
  </si>
  <si>
    <t>SRR7828020</t>
  </si>
  <si>
    <t>SRR7828021</t>
  </si>
  <si>
    <t>SRR7828026</t>
  </si>
  <si>
    <t>SRR7828027</t>
  </si>
  <si>
    <t>SRR7828029</t>
  </si>
  <si>
    <t>SRR7828031</t>
  </si>
  <si>
    <t>SRR7828033</t>
  </si>
  <si>
    <t>SRR7828034</t>
  </si>
  <si>
    <t>SRR7828037</t>
  </si>
  <si>
    <t>SRR7828038</t>
  </si>
  <si>
    <t>SRR7828039</t>
  </si>
  <si>
    <t>SRR7828043</t>
  </si>
  <si>
    <t>SRR7828045</t>
  </si>
  <si>
    <t>SRR7828046</t>
  </si>
  <si>
    <t>SRR7828047</t>
  </si>
  <si>
    <t>SRR7828048</t>
  </si>
  <si>
    <t>SRR7828049</t>
  </si>
  <si>
    <t>SRR7828051</t>
  </si>
  <si>
    <t>SRR7828052</t>
  </si>
  <si>
    <t>SRR7828055</t>
  </si>
  <si>
    <t>SRR7828057</t>
  </si>
  <si>
    <t>SRR7828059</t>
  </si>
  <si>
    <t>SRR7828060</t>
  </si>
  <si>
    <t>SRR7828061</t>
  </si>
  <si>
    <t>SRR7828063</t>
  </si>
  <si>
    <t>SRR7828065</t>
  </si>
  <si>
    <t>SRR7828066</t>
  </si>
  <si>
    <t>SRR7828067</t>
  </si>
  <si>
    <t>SRR7828069</t>
  </si>
  <si>
    <t>SRR7828074</t>
  </si>
  <si>
    <t>SRR7828075</t>
  </si>
  <si>
    <t>SRR7828076</t>
  </si>
  <si>
    <t>SRR7828078</t>
  </si>
  <si>
    <t>SRR7828080</t>
  </si>
  <si>
    <t>SRR7828081</t>
  </si>
  <si>
    <t>SRR7828084</t>
  </si>
  <si>
    <t>SRR7828085</t>
  </si>
  <si>
    <t>SRR7828088</t>
  </si>
  <si>
    <t>SRR7828089</t>
  </si>
  <si>
    <t>SRR7828090</t>
  </si>
  <si>
    <t>SRR7828091</t>
  </si>
  <si>
    <t>SRR7828093</t>
  </si>
  <si>
    <t>SRR7828095</t>
  </si>
  <si>
    <t>SRR7828178</t>
  </si>
  <si>
    <t>SRR7828179</t>
  </si>
  <si>
    <t>CC228</t>
  </si>
  <si>
    <t>SRR7828180</t>
  </si>
  <si>
    <t>SRR7828181</t>
  </si>
  <si>
    <t>SRR7828182</t>
  </si>
  <si>
    <t>SRR7828183</t>
  </si>
  <si>
    <t>SRR7828185</t>
  </si>
  <si>
    <t>SRR7828186</t>
  </si>
  <si>
    <t>SRR7828187</t>
  </si>
  <si>
    <t>SRR7828190</t>
  </si>
  <si>
    <t>SRR7828191</t>
  </si>
  <si>
    <t>SRR7828193</t>
  </si>
  <si>
    <t>SRR7828194</t>
  </si>
  <si>
    <t>SRR7828195</t>
  </si>
  <si>
    <t>SRR7828196</t>
  </si>
  <si>
    <t>SRR7828197</t>
  </si>
  <si>
    <t>SRR7828200</t>
  </si>
  <si>
    <t>SRR7828204</t>
  </si>
  <si>
    <t>SRR7828205</t>
  </si>
  <si>
    <t>SRR7828212</t>
  </si>
  <si>
    <t>SRR7828213</t>
  </si>
  <si>
    <t>SRR7828214</t>
  </si>
  <si>
    <t>SRR7828219</t>
  </si>
  <si>
    <t>SRR7828220</t>
  </si>
  <si>
    <t>SRR7828221</t>
  </si>
  <si>
    <t>SRR7828222</t>
  </si>
  <si>
    <t>SRR7828226</t>
  </si>
  <si>
    <t>SRR7828227</t>
  </si>
  <si>
    <t>SRR7828234</t>
  </si>
  <si>
    <t>SRR7828244</t>
  </si>
  <si>
    <t>SRR7828261</t>
  </si>
  <si>
    <t>SRR7828262</t>
  </si>
  <si>
    <t>SRR7828264</t>
  </si>
  <si>
    <t>SRR7828265</t>
  </si>
  <si>
    <t>SRR7828279</t>
  </si>
  <si>
    <t>SRR7828281</t>
  </si>
  <si>
    <t>SRR7828302</t>
  </si>
  <si>
    <t>SRR7828304</t>
  </si>
  <si>
    <t>SRR7828305</t>
  </si>
  <si>
    <t>SRR7828311</t>
  </si>
  <si>
    <t>SRR7828322</t>
  </si>
  <si>
    <t>SRR7829613</t>
  </si>
  <si>
    <t>SRR7830264</t>
  </si>
  <si>
    <t>SRR7839353</t>
  </si>
  <si>
    <t>SRR7839354</t>
  </si>
  <si>
    <t>SRR7839360</t>
  </si>
  <si>
    <t>SRR7839361</t>
  </si>
  <si>
    <t>SRR7839364</t>
  </si>
  <si>
    <t>SRR7839373</t>
  </si>
  <si>
    <t>SRR7839379</t>
  </si>
  <si>
    <t>SRR7840167</t>
  </si>
  <si>
    <t>SRR7840170</t>
  </si>
  <si>
    <t>SRR7840174</t>
  </si>
  <si>
    <t>SRR7840351</t>
  </si>
  <si>
    <t>SRR7840353</t>
  </si>
  <si>
    <t>SRR7840355</t>
  </si>
  <si>
    <t>SRR7840356</t>
  </si>
  <si>
    <t>SRR7840357</t>
  </si>
  <si>
    <t>SRR7840868</t>
  </si>
  <si>
    <t>SRR7840871</t>
  </si>
  <si>
    <t>SRR7840872</t>
  </si>
  <si>
    <t>SRR7840873</t>
  </si>
  <si>
    <t>SRR7841086</t>
  </si>
  <si>
    <t>SRR7841087</t>
  </si>
  <si>
    <t>SRR7841093</t>
  </si>
  <si>
    <t>SRR7841095</t>
  </si>
  <si>
    <t>SRR7841096</t>
  </si>
  <si>
    <t>SRR7841097</t>
  </si>
  <si>
    <t>SRR7841098</t>
  </si>
  <si>
    <t>SRR7841100</t>
  </si>
  <si>
    <t>SRR7841101</t>
  </si>
  <si>
    <t>SRR7841103</t>
  </si>
  <si>
    <t>SRR7841107</t>
  </si>
  <si>
    <t>SRR7841110</t>
  </si>
  <si>
    <t>SRR7841111</t>
  </si>
  <si>
    <t>SRR7841113</t>
  </si>
  <si>
    <t>SRR7841114</t>
  </si>
  <si>
    <t>SRR7841115</t>
  </si>
  <si>
    <t>SRR7841117</t>
  </si>
  <si>
    <t>SRR7841118</t>
  </si>
  <si>
    <t>SRR7841120</t>
  </si>
  <si>
    <t>SRR7841121</t>
  </si>
  <si>
    <t>SRR7841124</t>
  </si>
  <si>
    <t>SRR7841125</t>
  </si>
  <si>
    <t>SRR7841126</t>
  </si>
  <si>
    <t>SRR7841129</t>
  </si>
  <si>
    <t>SRR7841130</t>
  </si>
  <si>
    <t>SRR7841131</t>
  </si>
  <si>
    <t>SRR7841132</t>
  </si>
  <si>
    <t>SRR7841134</t>
  </si>
  <si>
    <t>SRR7841136</t>
  </si>
  <si>
    <t>SRR7841138</t>
  </si>
  <si>
    <t>SRR7841139</t>
  </si>
  <si>
    <t>SRR7841141</t>
  </si>
  <si>
    <t>SRR7841142</t>
  </si>
  <si>
    <t>SRR7841143</t>
  </si>
  <si>
    <t>SRR7841144</t>
  </si>
  <si>
    <t>SRR7841147</t>
  </si>
  <si>
    <t>SRR7841151</t>
  </si>
  <si>
    <t>SRR7841152</t>
  </si>
  <si>
    <t>SRR7841155</t>
  </si>
  <si>
    <t>SRR7841157</t>
  </si>
  <si>
    <t>SRR7841158</t>
  </si>
  <si>
    <t>SRR7841179</t>
  </si>
  <si>
    <t>SRR7841180</t>
  </si>
  <si>
    <t>SRR7841181</t>
  </si>
  <si>
    <t>SRR7841182</t>
  </si>
  <si>
    <t>SRR7841183</t>
  </si>
  <si>
    <t>SRR7841186</t>
  </si>
  <si>
    <t>SRR7841187</t>
  </si>
  <si>
    <t>SRR7841190</t>
  </si>
  <si>
    <t>SRR7841191</t>
  </si>
  <si>
    <t>SRR7841192</t>
  </si>
  <si>
    <t>SRR7841193</t>
  </si>
  <si>
    <t>SRR7841199</t>
  </si>
  <si>
    <t>SRR7841200</t>
  </si>
  <si>
    <t>SRR7841201</t>
  </si>
  <si>
    <t>SRR7841202</t>
  </si>
  <si>
    <t>SRR7841205</t>
  </si>
  <si>
    <t>SRR7841206</t>
  </si>
  <si>
    <t>SRR7841207</t>
  </si>
  <si>
    <t>SRR7841208</t>
  </si>
  <si>
    <t>SRR7841210</t>
  </si>
  <si>
    <t>SRR7841212</t>
  </si>
  <si>
    <t>SRR7841213</t>
  </si>
  <si>
    <t>SRR7841217</t>
  </si>
  <si>
    <t>SRR7841218</t>
  </si>
  <si>
    <t>SRR7841221</t>
  </si>
  <si>
    <t>SRR7841223</t>
  </si>
  <si>
    <t>SRR7841225</t>
  </si>
  <si>
    <t>SRR7841226</t>
  </si>
  <si>
    <t>SRR7841227</t>
  </si>
  <si>
    <t>SRR7841228</t>
  </si>
  <si>
    <t>SRR7841229</t>
  </si>
  <si>
    <t>SRR7841231</t>
  </si>
  <si>
    <t>SRR7841234</t>
  </si>
  <si>
    <t>SRR7841237</t>
  </si>
  <si>
    <t>SRR7841238</t>
  </si>
  <si>
    <t>SRR7841239</t>
  </si>
  <si>
    <t>SRR7841240</t>
  </si>
  <si>
    <t>SRR7841243</t>
  </si>
  <si>
    <t>SRR7841245</t>
  </si>
  <si>
    <t>SRR7841246</t>
  </si>
  <si>
    <t>SRR7841248</t>
  </si>
  <si>
    <t>SRR7841253</t>
  </si>
  <si>
    <t>SRR7841254</t>
  </si>
  <si>
    <t>SRR7841255</t>
  </si>
  <si>
    <t>SRR7841256</t>
  </si>
  <si>
    <t>SRR7841257</t>
  </si>
  <si>
    <t>SRR7841258</t>
  </si>
  <si>
    <t>SRR7841261</t>
  </si>
  <si>
    <t>SRR7841263</t>
  </si>
  <si>
    <t>SRR7841265</t>
  </si>
  <si>
    <t>SRR7841268</t>
  </si>
  <si>
    <t>SRR7841269</t>
  </si>
  <si>
    <t>SRR7841273</t>
  </si>
  <si>
    <t>SRR7841274</t>
  </si>
  <si>
    <t>SRR7841276</t>
  </si>
  <si>
    <t>SRR7841278</t>
  </si>
  <si>
    <t>SRR7841279</t>
  </si>
  <si>
    <t>SRR7841280</t>
  </si>
  <si>
    <t>SRR7841284</t>
  </si>
  <si>
    <t>SRR7841287</t>
  </si>
  <si>
    <t>SRR7841288</t>
  </si>
  <si>
    <t>SRR7841309</t>
  </si>
  <si>
    <t>SRR7841314</t>
  </si>
  <si>
    <t>SRR7841322</t>
  </si>
  <si>
    <t>SRR7841324</t>
  </si>
  <si>
    <t>SRR7841325</t>
  </si>
  <si>
    <t>SRR7841332</t>
  </si>
  <si>
    <t>SRR7841333</t>
  </si>
  <si>
    <t>SRR7841335</t>
  </si>
  <si>
    <t>SRR7841341</t>
  </si>
  <si>
    <t>SRR7841350</t>
  </si>
  <si>
    <t>SRR7841356</t>
  </si>
  <si>
    <t>SRR7841357</t>
  </si>
  <si>
    <t>SRR7841358</t>
  </si>
  <si>
    <t>SRR7841359</t>
  </si>
  <si>
    <t>SRR7841368</t>
  </si>
  <si>
    <t>SRR7841399</t>
  </si>
  <si>
    <t>SRR7841473</t>
  </si>
  <si>
    <t>SRR7841510</t>
  </si>
  <si>
    <t>SRR7842186</t>
  </si>
  <si>
    <t>SRR7842190</t>
  </si>
  <si>
    <t>SRR7842191</t>
  </si>
  <si>
    <t>SRR7842192</t>
  </si>
  <si>
    <t>SRR7842193</t>
  </si>
  <si>
    <t>SRR7842194</t>
  </si>
  <si>
    <t>SRR7842196</t>
  </si>
  <si>
    <t>SRR7842197</t>
  </si>
  <si>
    <t>SRR7842199</t>
  </si>
  <si>
    <t>SRR7842201</t>
  </si>
  <si>
    <t>SRR7842203</t>
  </si>
  <si>
    <t>SRR7842204</t>
  </si>
  <si>
    <t>SRR7842205</t>
  </si>
  <si>
    <t>SRR7842207</t>
  </si>
  <si>
    <t>SRR7842208</t>
  </si>
  <si>
    <t>SRR7842209</t>
  </si>
  <si>
    <t>SRR7842212</t>
  </si>
  <si>
    <t>SRR7842213</t>
  </si>
  <si>
    <t>SRR7842217</t>
  </si>
  <si>
    <t>SRR7842224</t>
  </si>
  <si>
    <t>SRR7842229</t>
  </si>
  <si>
    <t>SRR7842232</t>
  </si>
  <si>
    <t>SRR7842233</t>
  </si>
  <si>
    <t>SRR7842234</t>
  </si>
  <si>
    <t>SRR7842241</t>
  </si>
  <si>
    <t>SRR7842243</t>
  </si>
  <si>
    <t>SRR7842244</t>
  </si>
  <si>
    <t>SRR7842245</t>
  </si>
  <si>
    <t>SRR7842247</t>
  </si>
  <si>
    <t>SRR7842248</t>
  </si>
  <si>
    <t>SRR7842252</t>
  </si>
  <si>
    <t>SRR7842253</t>
  </si>
  <si>
    <t>SRR7842257</t>
  </si>
  <si>
    <t>SRR7842264</t>
  </si>
  <si>
    <t>SRR7842265</t>
  </si>
  <si>
    <t>SRR7842266</t>
  </si>
  <si>
    <t>SRR7842269</t>
  </si>
  <si>
    <t>SRR7842270</t>
  </si>
  <si>
    <t>SRR7842271</t>
  </si>
  <si>
    <t>SRR7842276</t>
  </si>
  <si>
    <t>SRR7842277</t>
  </si>
  <si>
    <t>SRR7842278</t>
  </si>
  <si>
    <t>SRR7842279</t>
  </si>
  <si>
    <t>SRR7842281</t>
  </si>
  <si>
    <t>SRR7842283</t>
  </si>
  <si>
    <t>SRR7842284</t>
  </si>
  <si>
    <t>SRR7842286</t>
  </si>
  <si>
    <t>SRR7842287</t>
  </si>
  <si>
    <t>SRR7842289</t>
  </si>
  <si>
    <t>SRR7842290</t>
  </si>
  <si>
    <t>SRR7842291</t>
  </si>
  <si>
    <t>SRR7842292</t>
  </si>
  <si>
    <t>SRR7842293</t>
  </si>
  <si>
    <t>SRR7842294</t>
  </si>
  <si>
    <t>SRR7842297</t>
  </si>
  <si>
    <t>SRR7842299</t>
  </si>
  <si>
    <t>SRR7842300</t>
  </si>
  <si>
    <t>SRR7842305</t>
  </si>
  <si>
    <t>SRR7842307</t>
  </si>
  <si>
    <t>SRR7842308</t>
  </si>
  <si>
    <t>SRR7842310</t>
  </si>
  <si>
    <t>SRR7842311</t>
  </si>
  <si>
    <t>SRR7842312</t>
  </si>
  <si>
    <t>SRR7842318</t>
  </si>
  <si>
    <t>SRR7842322</t>
  </si>
  <si>
    <t>SRR7842325</t>
  </si>
  <si>
    <t>SRR7842329</t>
  </si>
  <si>
    <t>SRR7842330</t>
  </si>
  <si>
    <t>SRR7842339</t>
  </si>
  <si>
    <t>SRR7842340</t>
  </si>
  <si>
    <t>SRR7842345</t>
  </si>
  <si>
    <t>SRR7842348</t>
  </si>
  <si>
    <t>SRR7842350</t>
  </si>
  <si>
    <t>SRR7842351</t>
  </si>
  <si>
    <t>SRR7842352</t>
  </si>
  <si>
    <t>SRR7842353</t>
  </si>
  <si>
    <t>SRR7842357</t>
  </si>
  <si>
    <t>SRR7842358</t>
  </si>
  <si>
    <t>SRR7842359</t>
  </si>
  <si>
    <t>SRR7842360</t>
  </si>
  <si>
    <t>SRR7842361</t>
  </si>
  <si>
    <t>SRR7842364</t>
  </si>
  <si>
    <t>SRR7842367</t>
  </si>
  <si>
    <t>SRR7842369</t>
  </si>
  <si>
    <t>SRR7842371</t>
  </si>
  <si>
    <t>SRR7842375</t>
  </si>
  <si>
    <t>SRR7842377</t>
  </si>
  <si>
    <t>SRR7842378</t>
  </si>
  <si>
    <t>SRR7842379</t>
  </si>
  <si>
    <t>SRR7842380</t>
  </si>
  <si>
    <t>SRR7842381</t>
  </si>
  <si>
    <t>SRR7842382</t>
  </si>
  <si>
    <t>SRR7842384</t>
  </si>
  <si>
    <t>SRR7842385</t>
  </si>
  <si>
    <t>SRR7842386</t>
  </si>
  <si>
    <t>SRR7842387</t>
  </si>
  <si>
    <t>SRR7842390</t>
  </si>
  <si>
    <t>SRR7842391</t>
  </si>
  <si>
    <t>SRR7842395</t>
  </si>
  <si>
    <t>SRR7842397</t>
  </si>
  <si>
    <t>SRR7842400</t>
  </si>
  <si>
    <t>SRR7842405</t>
  </si>
  <si>
    <t>SRR7842406</t>
  </si>
  <si>
    <t>SRR7842410</t>
  </si>
  <si>
    <t>SRR7842412</t>
  </si>
  <si>
    <t>SRR7842414</t>
  </si>
  <si>
    <t>SRR7842416</t>
  </si>
  <si>
    <t>SRR7842417</t>
  </si>
  <si>
    <t>SRR7842421</t>
  </si>
  <si>
    <t>SRR7842422</t>
  </si>
  <si>
    <t>SRR7842423</t>
  </si>
  <si>
    <t>SRR7842426</t>
  </si>
  <si>
    <t>SRR7842430</t>
  </si>
  <si>
    <t>SRR7842454</t>
  </si>
  <si>
    <t>SRR7842468</t>
  </si>
  <si>
    <t>SRR7842470</t>
  </si>
  <si>
    <t>SRR7842473</t>
  </si>
  <si>
    <t>SRR7842475</t>
  </si>
  <si>
    <t>SRR7842479</t>
  </si>
  <si>
    <t>SRR7842483</t>
  </si>
  <si>
    <t>SRR7850130</t>
  </si>
  <si>
    <t>SRR7850141</t>
  </si>
  <si>
    <t>SRR7850170</t>
  </si>
  <si>
    <t>SRR7850184</t>
  </si>
  <si>
    <t>SRR7850190</t>
  </si>
  <si>
    <t>SRR7850194</t>
  </si>
  <si>
    <t>SRR7850197</t>
  </si>
  <si>
    <t>SRR7850199</t>
  </si>
  <si>
    <t>SRR7850202</t>
  </si>
  <si>
    <t>SRR7850204</t>
  </si>
  <si>
    <t>SRR7850210</t>
  </si>
  <si>
    <t>SRR7850211</t>
  </si>
  <si>
    <t>SRR7850217</t>
  </si>
  <si>
    <t>SRR7850224</t>
  </si>
  <si>
    <t>SRR7850227</t>
  </si>
  <si>
    <t>SRR7850230</t>
  </si>
  <si>
    <t>SRR7850234</t>
  </si>
  <si>
    <t>SRR7850235</t>
  </si>
  <si>
    <t>SRR7850239</t>
  </si>
  <si>
    <t>SRR7850241</t>
  </si>
  <si>
    <t>SRR7850244</t>
  </si>
  <si>
    <t>SRR7850246</t>
  </si>
  <si>
    <t>SRR7850249</t>
  </si>
  <si>
    <t>SRR7850250</t>
  </si>
  <si>
    <t>SRR7850253</t>
  </si>
  <si>
    <t>SRR7850254</t>
  </si>
  <si>
    <t>SRR7850267</t>
  </si>
  <si>
    <t>SRR7850268</t>
  </si>
  <si>
    <t>SRR7850270</t>
  </si>
  <si>
    <t>SRR7850273</t>
  </si>
  <si>
    <t>SRR7850278</t>
  </si>
  <si>
    <t>SRR7850280</t>
  </si>
  <si>
    <t>SRR7850281</t>
  </si>
  <si>
    <t>SRR7850285</t>
  </si>
  <si>
    <t>SRR7850286</t>
  </si>
  <si>
    <t>SRR7850288</t>
  </si>
  <si>
    <t>SRR7850290</t>
  </si>
  <si>
    <t>SRR7850292</t>
  </si>
  <si>
    <t>SRR7850293</t>
  </si>
  <si>
    <t>SRR7850296</t>
  </si>
  <si>
    <t>SRR7850297</t>
  </si>
  <si>
    <t>SRR7850298</t>
  </si>
  <si>
    <t>SRR7850299</t>
  </si>
  <si>
    <t>SRR7850300</t>
  </si>
  <si>
    <t>SRR7850302</t>
  </si>
  <si>
    <t>SRR7850306</t>
  </si>
  <si>
    <t>SRR7850308</t>
  </si>
  <si>
    <t>SRR7850311</t>
  </si>
  <si>
    <t>SRR7850313</t>
  </si>
  <si>
    <t>SRR7850314</t>
  </si>
  <si>
    <t>SRR7850315</t>
  </si>
  <si>
    <t>SRR7850317</t>
  </si>
  <si>
    <t>SRR7850319</t>
  </si>
  <si>
    <t>SRR7850324</t>
  </si>
  <si>
    <t>SRR7850325</t>
  </si>
  <si>
    <t>SRR7850327</t>
  </si>
  <si>
    <t>SRR7850331</t>
  </si>
  <si>
    <t>SRR7850334</t>
  </si>
  <si>
    <t>SRR7850340</t>
  </si>
  <si>
    <t>SRR7850341</t>
  </si>
  <si>
    <t>SRR7850342</t>
  </si>
  <si>
    <t>SRR7850343</t>
  </si>
  <si>
    <t>SRR7850344</t>
  </si>
  <si>
    <t>SRR7850346</t>
  </si>
  <si>
    <t>SRR7850351</t>
  </si>
  <si>
    <t>SRR7850353</t>
  </si>
  <si>
    <t>SRR7850355</t>
  </si>
  <si>
    <t>SRR7850356</t>
  </si>
  <si>
    <t>SRR7850357</t>
  </si>
  <si>
    <t>SRR7850361</t>
  </si>
  <si>
    <t>SRR7850362</t>
  </si>
  <si>
    <t>SRR7850363</t>
  </si>
  <si>
    <t>SRR7850367</t>
  </si>
  <si>
    <t>SRR7850370</t>
  </si>
  <si>
    <t>SRR7850371</t>
  </si>
  <si>
    <t>SRR7850372</t>
  </si>
  <si>
    <t>SRR7850375</t>
  </si>
  <si>
    <t>SRR7850376</t>
  </si>
  <si>
    <t>SRR7850377</t>
  </si>
  <si>
    <t>SRR7850378</t>
  </si>
  <si>
    <t>SRR7850379</t>
  </si>
  <si>
    <t>SRR7850380</t>
  </si>
  <si>
    <t>SRR7850381</t>
  </si>
  <si>
    <t>SRR7850382</t>
  </si>
  <si>
    <t>SRR7850383</t>
  </si>
  <si>
    <t>SRR7850385</t>
  </si>
  <si>
    <t>SRR7850388</t>
  </si>
  <si>
    <t>SRR7850389</t>
  </si>
  <si>
    <t>SRR7850390</t>
  </si>
  <si>
    <t>SRR7850391</t>
  </si>
  <si>
    <t>SRR7850396</t>
  </si>
  <si>
    <t>SRR7850400</t>
  </si>
  <si>
    <t>SRR7850401</t>
  </si>
  <si>
    <t>SRR7850404</t>
  </si>
  <si>
    <t>SRR7850405</t>
  </si>
  <si>
    <t>SRR7850406</t>
  </si>
  <si>
    <t>SRR7850408</t>
  </si>
  <si>
    <t>SRR7850409</t>
  </si>
  <si>
    <t>SRR7850419</t>
  </si>
  <si>
    <t>SRR7850421</t>
  </si>
  <si>
    <t>SRR7850424</t>
  </si>
  <si>
    <t>SRR7850428</t>
  </si>
  <si>
    <t>SRR7850429</t>
  </si>
  <si>
    <t>SRR7850430</t>
  </si>
  <si>
    <t>SRR7850434</t>
  </si>
  <si>
    <t>SRR7850437</t>
  </si>
  <si>
    <t>SRR7850440</t>
  </si>
  <si>
    <t>SRR7850442</t>
  </si>
  <si>
    <t>SRR7850443</t>
  </si>
  <si>
    <t>SRR7850446</t>
  </si>
  <si>
    <t>SRR7850447</t>
  </si>
  <si>
    <t>SRR7850450</t>
  </si>
  <si>
    <t>SRR7850452</t>
  </si>
  <si>
    <t>SRR7850453</t>
  </si>
  <si>
    <t>SRR7850455</t>
  </si>
  <si>
    <t>SRR7850468</t>
  </si>
  <si>
    <t>SRR7850478</t>
  </si>
  <si>
    <t>SRR7850481</t>
  </si>
  <si>
    <t>SRR7850483</t>
  </si>
  <si>
    <t>SRR7850496</t>
  </si>
  <si>
    <t>SRR7850519</t>
  </si>
  <si>
    <t>SRR7850554</t>
  </si>
  <si>
    <t>SRR7866060</t>
  </si>
  <si>
    <t>SRR7866068</t>
  </si>
  <si>
    <t>SRR7866072</t>
  </si>
  <si>
    <t>SRR7866076</t>
  </si>
  <si>
    <t>SRR7866079</t>
  </si>
  <si>
    <t>SRR7866092</t>
  </si>
  <si>
    <t>SRR7866093</t>
  </si>
  <si>
    <t>SRR7866095</t>
  </si>
  <si>
    <t>SRR7866096</t>
  </si>
  <si>
    <t>SRR7866109</t>
  </si>
  <si>
    <t>SRR7866111</t>
  </si>
  <si>
    <t>SRR7866113</t>
  </si>
  <si>
    <t>SRR7866115</t>
  </si>
  <si>
    <t>SRR7866116</t>
  </si>
  <si>
    <t>SRR7866120</t>
  </si>
  <si>
    <t>SRR7866216</t>
  </si>
  <si>
    <t>SRR7866225</t>
  </si>
  <si>
    <t>SRR7866228</t>
  </si>
  <si>
    <t>SRR7866230</t>
  </si>
  <si>
    <t>SRR7866231</t>
  </si>
  <si>
    <t>SRR7866237</t>
  </si>
  <si>
    <t>SRR7866239</t>
  </si>
  <si>
    <t>SRR7866250</t>
  </si>
  <si>
    <t>SRR7866252</t>
  </si>
  <si>
    <t>SRR7866260</t>
  </si>
  <si>
    <t>SRR7866263</t>
  </si>
  <si>
    <t>SRR7866266</t>
  </si>
  <si>
    <t>SRR7866278</t>
  </si>
  <si>
    <t>SRR7866291</t>
  </si>
  <si>
    <t>SRR7866293</t>
  </si>
  <si>
    <t>SRR7866295</t>
  </si>
  <si>
    <t>SRR7866297</t>
  </si>
  <si>
    <t>SRR7866299</t>
  </si>
  <si>
    <t>SRR7866300</t>
  </si>
  <si>
    <t>SRR7866301</t>
  </si>
  <si>
    <t>SRR7866303</t>
  </si>
  <si>
    <t>SRR7866304</t>
  </si>
  <si>
    <t>SRR7866306</t>
  </si>
  <si>
    <t>SRR7866309</t>
  </si>
  <si>
    <t>SRR7866310</t>
  </si>
  <si>
    <t>SRR7866311</t>
  </si>
  <si>
    <t>SRR7866314</t>
  </si>
  <si>
    <t>SRR7866316</t>
  </si>
  <si>
    <t>SRR7866317</t>
  </si>
  <si>
    <t>SRR7866320</t>
  </si>
  <si>
    <t>SRR7866326</t>
  </si>
  <si>
    <t>SRR7866349</t>
  </si>
  <si>
    <t>SRR7866350</t>
  </si>
  <si>
    <t>SRR7866351</t>
  </si>
  <si>
    <t>SRR7866353</t>
  </si>
  <si>
    <t>SRR7866354</t>
  </si>
  <si>
    <t>SRR7866355</t>
  </si>
  <si>
    <t>SRR7866357</t>
  </si>
  <si>
    <t>SRR7866358</t>
  </si>
  <si>
    <t>SRR7866364</t>
  </si>
  <si>
    <t>SRR7866372</t>
  </si>
  <si>
    <t>SRR7866373</t>
  </si>
  <si>
    <t>SRR7866375</t>
  </si>
  <si>
    <t>SRR7866376</t>
  </si>
  <si>
    <t>SRR7866377</t>
  </si>
  <si>
    <t>SRR7866379</t>
  </si>
  <si>
    <t>SRR7866500</t>
  </si>
  <si>
    <t>SRR7866501</t>
  </si>
  <si>
    <t>SRR7866505</t>
  </si>
  <si>
    <t>SRR7866507</t>
  </si>
  <si>
    <t>SRR7866508</t>
  </si>
  <si>
    <t>SRR7866510</t>
  </si>
  <si>
    <t>SRR7866512</t>
  </si>
  <si>
    <t>SRR7866513</t>
  </si>
  <si>
    <t>SRR7866514</t>
  </si>
  <si>
    <t>SRR7866519</t>
  </si>
  <si>
    <t>SRR7866521</t>
  </si>
  <si>
    <t>SRR7866524</t>
  </si>
  <si>
    <t>SRR7866525</t>
  </si>
  <si>
    <t>SRR7866528</t>
  </si>
  <si>
    <t>SRR7866529</t>
  </si>
  <si>
    <t>SRR7866530</t>
  </si>
  <si>
    <t>SRR7866531</t>
  </si>
  <si>
    <t>SRR7866534</t>
  </si>
  <si>
    <t>SRR7866535</t>
  </si>
  <si>
    <t>SRR7866536</t>
  </si>
  <si>
    <t>SRR7866537</t>
  </si>
  <si>
    <t>SRR7866539</t>
  </si>
  <si>
    <t>SRR7866540</t>
  </si>
  <si>
    <t>SRR7866542</t>
  </si>
  <si>
    <t>SRR7866545</t>
  </si>
  <si>
    <t>SRR7866548</t>
  </si>
  <si>
    <t>SRR7866551</t>
  </si>
  <si>
    <t>SRR7866554</t>
  </si>
  <si>
    <t>SRR7866556</t>
  </si>
  <si>
    <t>SRR7866558</t>
  </si>
  <si>
    <t>SRR7866563</t>
  </si>
  <si>
    <t>SRR7866565</t>
  </si>
  <si>
    <t>SRR7866566</t>
  </si>
  <si>
    <t>SRR7866567</t>
  </si>
  <si>
    <t>SRR7866571</t>
  </si>
  <si>
    <t>SRR7866572</t>
  </si>
  <si>
    <t>SRR7866574</t>
  </si>
  <si>
    <t>SRR7866575</t>
  </si>
  <si>
    <t>SRR7866576</t>
  </si>
  <si>
    <t>SRR7866577</t>
  </si>
  <si>
    <t>SRR7866579</t>
  </si>
  <si>
    <t>SRR7866580</t>
  </si>
  <si>
    <t>SRR7866583</t>
  </si>
  <si>
    <t>SRR7866584</t>
  </si>
  <si>
    <t>SRR7866586</t>
  </si>
  <si>
    <t>SRR7866588</t>
  </si>
  <si>
    <t>SRR7866590</t>
  </si>
  <si>
    <t>SRR7866593</t>
  </si>
  <si>
    <t>SRR7866595</t>
  </si>
  <si>
    <t>SRR7866624</t>
  </si>
  <si>
    <t>SRR7866625</t>
  </si>
  <si>
    <t>SRR7866626</t>
  </si>
  <si>
    <t>SRR7866628</t>
  </si>
  <si>
    <t>SRR7866629</t>
  </si>
  <si>
    <t>SRR7866631</t>
  </si>
  <si>
    <t>SRR7866633</t>
  </si>
  <si>
    <t>SRR7866635</t>
  </si>
  <si>
    <t>SRR7866636</t>
  </si>
  <si>
    <t>SRR7866639</t>
  </si>
  <si>
    <t>SRR7866642</t>
  </si>
  <si>
    <t>SRR7866644</t>
  </si>
  <si>
    <t>SRR7866645</t>
  </si>
  <si>
    <t>SRR7866650</t>
  </si>
  <si>
    <t>SRR7866655</t>
  </si>
  <si>
    <t>SRR7866656</t>
  </si>
  <si>
    <t>SRR7866657</t>
  </si>
  <si>
    <t>SRR7866659</t>
  </si>
  <si>
    <t>SRR7866666</t>
  </si>
  <si>
    <t>SRR7866670</t>
  </si>
  <si>
    <t>SRR7866671</t>
  </si>
  <si>
    <t>SRR7866672</t>
  </si>
  <si>
    <t>SRR7866673</t>
  </si>
  <si>
    <t>SRR7866707</t>
  </si>
  <si>
    <t>SRR7866708</t>
  </si>
  <si>
    <t>SRR7866710</t>
  </si>
  <si>
    <t>SRR7866712</t>
  </si>
  <si>
    <t>SRR7866713</t>
  </si>
  <si>
    <t>SRR7866715</t>
  </si>
  <si>
    <t>SRR7866719</t>
  </si>
  <si>
    <t>SRR7866720</t>
  </si>
  <si>
    <t>SRR7866721</t>
  </si>
  <si>
    <t>SRR7866722</t>
  </si>
  <si>
    <t>SRR7866723</t>
  </si>
  <si>
    <t>SRR7866724</t>
  </si>
  <si>
    <t>SRR7866727</t>
  </si>
  <si>
    <t>SRR7866731</t>
  </si>
  <si>
    <t>SRR7866733</t>
  </si>
  <si>
    <t>SRR7866734</t>
  </si>
  <si>
    <t>SRR7866737</t>
  </si>
  <si>
    <t>SRR7866738</t>
  </si>
  <si>
    <t>SRR7866740</t>
  </si>
  <si>
    <t>SRR7866742</t>
  </si>
  <si>
    <t>SRR7866743</t>
  </si>
  <si>
    <t>SRR7866746</t>
  </si>
  <si>
    <t>SRR7866749</t>
  </si>
  <si>
    <t>SRR7866750</t>
  </si>
  <si>
    <t>SRR7866753</t>
  </si>
  <si>
    <t>SRR7866755</t>
  </si>
  <si>
    <t>SRR7866756</t>
  </si>
  <si>
    <t>SRR7866758</t>
  </si>
  <si>
    <t>SRR7866760</t>
  </si>
  <si>
    <t>SRR7866764</t>
  </si>
  <si>
    <t>SRR7866766</t>
  </si>
  <si>
    <t>SRR7866772</t>
  </si>
  <si>
    <t>SRR7866784</t>
  </si>
  <si>
    <t>SRR7866788</t>
  </si>
  <si>
    <t>SRR7866790</t>
  </si>
  <si>
    <t>SRR7866791</t>
  </si>
  <si>
    <t>SRR7866796</t>
  </si>
  <si>
    <t>SRR7866800</t>
  </si>
  <si>
    <t>SRR7866887</t>
  </si>
  <si>
    <t>SRR7866888</t>
  </si>
  <si>
    <t>SRR7866891</t>
  </si>
  <si>
    <t>SRR7866895</t>
  </si>
  <si>
    <t>SRR7867138</t>
  </si>
  <si>
    <t>SRR7869063</t>
  </si>
  <si>
    <t>SRR7869065</t>
  </si>
  <si>
    <t>SRR7869067</t>
  </si>
  <si>
    <t>SRR7869068</t>
  </si>
  <si>
    <t>SRR7873542</t>
  </si>
  <si>
    <t>SRR7873543</t>
  </si>
  <si>
    <t>SRR7873544</t>
  </si>
  <si>
    <t>SRR7873545</t>
  </si>
  <si>
    <t>SRR7873546</t>
  </si>
  <si>
    <t>SRR7873548</t>
  </si>
  <si>
    <t>SRR7873587</t>
  </si>
  <si>
    <t>SRR7873591</t>
  </si>
  <si>
    <t>SRR7873592</t>
  </si>
  <si>
    <t>SRR7873595</t>
  </si>
  <si>
    <t>SRR7873678</t>
  </si>
  <si>
    <t>SRR7873679</t>
  </si>
  <si>
    <t>SRR7873680</t>
  </si>
  <si>
    <t>SRR7873681</t>
  </si>
  <si>
    <t>SRR7873682</t>
  </si>
  <si>
    <t>SRR7873683</t>
  </si>
  <si>
    <t>SRR7873684</t>
  </si>
  <si>
    <t>SRR7873685</t>
  </si>
  <si>
    <t>SRR7873688</t>
  </si>
  <si>
    <t>SRR7873690</t>
  </si>
  <si>
    <t>SRR7873691</t>
  </si>
  <si>
    <t>SRR7873692</t>
  </si>
  <si>
    <t>SRR7873694</t>
  </si>
  <si>
    <t>SRR7873698</t>
  </si>
  <si>
    <t>SRR7873700</t>
  </si>
  <si>
    <t>SRR7873703</t>
  </si>
  <si>
    <t>SRR7873704</t>
  </si>
  <si>
    <t>SRR7873705</t>
  </si>
  <si>
    <t>SRR7873706</t>
  </si>
  <si>
    <t>SRR7873712</t>
  </si>
  <si>
    <t>SRR7873713</t>
  </si>
  <si>
    <t>SRR7873715</t>
  </si>
  <si>
    <t>SRR7873716</t>
  </si>
  <si>
    <t>SRR7873717</t>
  </si>
  <si>
    <t>SRR7873718</t>
  </si>
  <si>
    <t>SRR7873719</t>
  </si>
  <si>
    <t>SRR7873721</t>
  </si>
  <si>
    <t>SRR7873722</t>
  </si>
  <si>
    <t>SRR7873727</t>
  </si>
  <si>
    <t>SRR7873728</t>
  </si>
  <si>
    <t>SRR7873729</t>
  </si>
  <si>
    <t>SRR7873730</t>
  </si>
  <si>
    <t>SRR7873731</t>
  </si>
  <si>
    <t>SRR7873733</t>
  </si>
  <si>
    <t>SRR7873744</t>
  </si>
  <si>
    <t>SRR7873745</t>
  </si>
  <si>
    <t>SRR7873746</t>
  </si>
  <si>
    <t>SRR7873747</t>
  </si>
  <si>
    <t>SRR7873748</t>
  </si>
  <si>
    <t>SRR7873790</t>
  </si>
  <si>
    <t>SRR7873793</t>
  </si>
  <si>
    <t>SRR7873794</t>
  </si>
  <si>
    <t>SRR7873795</t>
  </si>
  <si>
    <t>SRR7873796</t>
  </si>
  <si>
    <t>SRR7873799</t>
  </si>
  <si>
    <t>SRR7873804</t>
  </si>
  <si>
    <t>SRR7873806</t>
  </si>
  <si>
    <t>SRR7873811</t>
  </si>
  <si>
    <t>SRR7873817</t>
  </si>
  <si>
    <t>SRR7873820</t>
  </si>
  <si>
    <t>SRR7873827</t>
  </si>
  <si>
    <t>SRR7873841</t>
  </si>
  <si>
    <t>SRR7873861</t>
  </si>
  <si>
    <t>SRR7873908</t>
  </si>
  <si>
    <t>SRR7873942</t>
  </si>
  <si>
    <t>SRR7873988</t>
  </si>
  <si>
    <t>SRR7879237</t>
  </si>
  <si>
    <t>SRR7879238</t>
  </si>
  <si>
    <t>SRR7879239</t>
  </si>
  <si>
    <t>SRR7879241</t>
  </si>
  <si>
    <t>SRR7879243</t>
  </si>
  <si>
    <t>SRR7879244</t>
  </si>
  <si>
    <t>SRR7879246</t>
  </si>
  <si>
    <t>SRR7879247</t>
  </si>
  <si>
    <t>SRR7879254</t>
  </si>
  <si>
    <t>SRR7879255</t>
  </si>
  <si>
    <t>SRR7879256</t>
  </si>
  <si>
    <t>SRR7879257</t>
  </si>
  <si>
    <t>SRR7879259</t>
  </si>
  <si>
    <t>SRR7879261</t>
  </si>
  <si>
    <t>SRR7879264</t>
  </si>
  <si>
    <t>SRR7879265</t>
  </si>
  <si>
    <t>SRR7879266</t>
  </si>
  <si>
    <t>SRR7879267</t>
  </si>
  <si>
    <t>SRR7879268</t>
  </si>
  <si>
    <t>SRR7879269</t>
  </si>
  <si>
    <t>SRR7883613</t>
  </si>
  <si>
    <t>SRR7889301</t>
  </si>
  <si>
    <t>SRR7889316</t>
  </si>
  <si>
    <t>sushi mari cooked</t>
  </si>
  <si>
    <t>SRR7889340</t>
  </si>
  <si>
    <t>california rice surimi roll</t>
  </si>
  <si>
    <t>SRR7889354</t>
  </si>
  <si>
    <t>SRR7889355</t>
  </si>
  <si>
    <t>SRR7889365</t>
  </si>
  <si>
    <t>vegetable patty</t>
  </si>
  <si>
    <t>SRR7889373</t>
  </si>
  <si>
    <t>lobster meat</t>
  </si>
  <si>
    <t>SRR7889375</t>
  </si>
  <si>
    <t>SRR7889379</t>
  </si>
  <si>
    <t>SRR7889383</t>
  </si>
  <si>
    <t>SRR7889986</t>
  </si>
  <si>
    <t>SRR7890011</t>
  </si>
  <si>
    <t>SRR7890016</t>
  </si>
  <si>
    <t>SRR7890017</t>
  </si>
  <si>
    <t>SRR7895162</t>
  </si>
  <si>
    <t>SRR7905043</t>
  </si>
  <si>
    <t>SRR7905048</t>
  </si>
  <si>
    <t>SRR7912152</t>
  </si>
  <si>
    <t>Taiwan</t>
  </si>
  <si>
    <t>not collected</t>
  </si>
  <si>
    <t>SRR7939029</t>
  </si>
  <si>
    <t>SRR7942816</t>
  </si>
  <si>
    <t>Venezuela</t>
  </si>
  <si>
    <t>Precooked Crabmeat Jumbo Lump</t>
  </si>
  <si>
    <t>SRR7942819</t>
  </si>
  <si>
    <t>SRR7942820</t>
  </si>
  <si>
    <t>SRR7942827</t>
  </si>
  <si>
    <t>SRR7942830</t>
  </si>
  <si>
    <t>SRR7942837</t>
  </si>
  <si>
    <t>SRR7942841</t>
  </si>
  <si>
    <t>SRR7942842</t>
  </si>
  <si>
    <t>SRR7942845</t>
  </si>
  <si>
    <t>SRR7946393</t>
  </si>
  <si>
    <t>SRR7946774</t>
  </si>
  <si>
    <t>SRR7947413</t>
  </si>
  <si>
    <t>SRR7952581</t>
  </si>
  <si>
    <t>SRR7956025</t>
  </si>
  <si>
    <t>SRR7956027</t>
  </si>
  <si>
    <t>SRR7966658</t>
  </si>
  <si>
    <t>SRR7974093</t>
  </si>
  <si>
    <t>SRR7989181</t>
  </si>
  <si>
    <t>SRR7989182</t>
  </si>
  <si>
    <t>SRR7989184</t>
  </si>
  <si>
    <t>SRR7989185</t>
  </si>
  <si>
    <t>SRR7989189</t>
  </si>
  <si>
    <t>SRR7989190</t>
  </si>
  <si>
    <t>SRR7989191</t>
  </si>
  <si>
    <t>SRR7989192</t>
  </si>
  <si>
    <t>SRR7989193</t>
  </si>
  <si>
    <t>SRR7989194</t>
  </si>
  <si>
    <t>SRR7989267</t>
  </si>
  <si>
    <t>SRR7989268</t>
  </si>
  <si>
    <t>SRR7989269</t>
  </si>
  <si>
    <t>SRR7989271</t>
  </si>
  <si>
    <t>SRR7989276</t>
  </si>
  <si>
    <t>SRR7989279</t>
  </si>
  <si>
    <t>SRR7989282</t>
  </si>
  <si>
    <t>imitation crab meat and spinach stuffing</t>
  </si>
  <si>
    <t>SRR7992448</t>
  </si>
  <si>
    <t>SRR7995384</t>
  </si>
  <si>
    <t>SRR8034083</t>
  </si>
  <si>
    <t>SRR8045836</t>
  </si>
  <si>
    <t>Sponge, make up</t>
  </si>
  <si>
    <t>SRR8055229</t>
  </si>
  <si>
    <t>SRR8055230</t>
  </si>
  <si>
    <t>SRR8055233</t>
  </si>
  <si>
    <t>SRR8055238</t>
  </si>
  <si>
    <t>SRR8055242</t>
  </si>
  <si>
    <t>SRR8055244</t>
  </si>
  <si>
    <t>Raw Meat</t>
  </si>
  <si>
    <t>SRR8055245</t>
  </si>
  <si>
    <t>SRR8055312</t>
  </si>
  <si>
    <t>SRR8056330</t>
  </si>
  <si>
    <t>SRR8056334</t>
  </si>
  <si>
    <t>SRR8056339</t>
  </si>
  <si>
    <t>SRR8056340</t>
  </si>
  <si>
    <t>SRR8056388</t>
  </si>
  <si>
    <t>SRR8056393</t>
  </si>
  <si>
    <t>SRR8058381</t>
  </si>
  <si>
    <t>SRR8069651</t>
  </si>
  <si>
    <t>SRR8081661</t>
  </si>
  <si>
    <t>SRR8081662</t>
  </si>
  <si>
    <t>SRR8082404</t>
  </si>
  <si>
    <t>SRR8082406</t>
  </si>
  <si>
    <t>SRR8082407</t>
  </si>
  <si>
    <t>SRR8082409</t>
  </si>
  <si>
    <t>SRR8082410</t>
  </si>
  <si>
    <t>SRR8082413</t>
  </si>
  <si>
    <t>SRR8082434</t>
  </si>
  <si>
    <t>SRR8082437</t>
  </si>
  <si>
    <t>SRR8082438</t>
  </si>
  <si>
    <t>SRR8082440</t>
  </si>
  <si>
    <t>SRR8082441</t>
  </si>
  <si>
    <t>SRR8082580</t>
  </si>
  <si>
    <t>SRR8082596</t>
  </si>
  <si>
    <t>SRR8082597</t>
  </si>
  <si>
    <t>SRR8083082</t>
  </si>
  <si>
    <t>SRR8083084</t>
  </si>
  <si>
    <t>SRR8083190</t>
  </si>
  <si>
    <t>smoked rainbow trout fillets, frz</t>
  </si>
  <si>
    <t>SRR8087117</t>
  </si>
  <si>
    <t>SRR8087157</t>
  </si>
  <si>
    <t>SRR8112640</t>
  </si>
  <si>
    <t>SRR8112642</t>
  </si>
  <si>
    <t>SRR8112676</t>
  </si>
  <si>
    <t>SRR8112678</t>
  </si>
  <si>
    <t>SRR8112800</t>
  </si>
  <si>
    <t>SRR8127949</t>
  </si>
  <si>
    <t>SRR8128384</t>
  </si>
  <si>
    <t>SRR8133538</t>
  </si>
  <si>
    <t>SRR8133540</t>
  </si>
  <si>
    <t>SRR8133793</t>
  </si>
  <si>
    <t>SRR8133795</t>
  </si>
  <si>
    <t>SRR8133808</t>
  </si>
  <si>
    <t>SRR8133932</t>
  </si>
  <si>
    <t>SRR8133971</t>
  </si>
  <si>
    <t>SRR8133972</t>
  </si>
  <si>
    <t>SRR8133981</t>
  </si>
  <si>
    <t>SRR8134412</t>
  </si>
  <si>
    <t>SRR8134413</t>
  </si>
  <si>
    <t>SRR8134423</t>
  </si>
  <si>
    <t>SRR8134431</t>
  </si>
  <si>
    <t>SRR8134433</t>
  </si>
  <si>
    <t>SRR8134448</t>
  </si>
  <si>
    <t>SRR8134449</t>
  </si>
  <si>
    <t>SRR8134474</t>
  </si>
  <si>
    <t>SRR8134475</t>
  </si>
  <si>
    <t>SRR8134477</t>
  </si>
  <si>
    <t>SRR8146173</t>
  </si>
  <si>
    <t>SRR8146174</t>
  </si>
  <si>
    <t>SRR8146176</t>
  </si>
  <si>
    <t>SRR8146177</t>
  </si>
  <si>
    <t>SRR8146185</t>
  </si>
  <si>
    <t>SRR8158663</t>
  </si>
  <si>
    <t>SRR8159596</t>
  </si>
  <si>
    <t>SRR8162699</t>
  </si>
  <si>
    <t>SRR8164897</t>
  </si>
  <si>
    <t>SRR8164898</t>
  </si>
  <si>
    <t>SRR8170517</t>
  </si>
  <si>
    <t>SRR8172383</t>
  </si>
  <si>
    <t>SRR8172385</t>
  </si>
  <si>
    <t>SRR8172387</t>
  </si>
  <si>
    <t>SRR8172388</t>
  </si>
  <si>
    <t>SRR8172391</t>
  </si>
  <si>
    <t>SRR8172394</t>
  </si>
  <si>
    <t>SRR8172395</t>
  </si>
  <si>
    <t>SRR8172414</t>
  </si>
  <si>
    <t>SRR8172464</t>
  </si>
  <si>
    <t>SRR8172519</t>
  </si>
  <si>
    <t>SRR8175026</t>
  </si>
  <si>
    <t>SRR8175764</t>
  </si>
  <si>
    <t>SRR8175765</t>
  </si>
  <si>
    <t>SRR8180452</t>
  </si>
  <si>
    <t>SRR8223359</t>
  </si>
  <si>
    <t>ST1142</t>
  </si>
  <si>
    <t>SRR8246774</t>
  </si>
  <si>
    <t>SRR8247550</t>
  </si>
  <si>
    <t>SRR8256052</t>
  </si>
  <si>
    <t>RTE sandwiches</t>
  </si>
  <si>
    <t>SRR8261011</t>
  </si>
  <si>
    <t>SRR8261049</t>
  </si>
  <si>
    <t>SRR8261051</t>
  </si>
  <si>
    <t>SRR8261328</t>
  </si>
  <si>
    <t>SRR8261434</t>
  </si>
  <si>
    <t>SRR8261785</t>
  </si>
  <si>
    <t>SRR8272007</t>
  </si>
  <si>
    <t>Potato &amp;amp</t>
  </si>
  <si>
    <t>SRR8272011</t>
  </si>
  <si>
    <t>SRR8272014</t>
  </si>
  <si>
    <t>SRR8272015</t>
  </si>
  <si>
    <t>floor drain in produce prep room</t>
  </si>
  <si>
    <t>SRR8272021</t>
  </si>
  <si>
    <t>SRR8272023</t>
  </si>
  <si>
    <t>SRR8272024</t>
  </si>
  <si>
    <t>SRR8272027</t>
  </si>
  <si>
    <t>SRR8272031</t>
  </si>
  <si>
    <t>SRR8272037</t>
  </si>
  <si>
    <t>SRR8272169</t>
  </si>
  <si>
    <t>SRR8272170</t>
  </si>
  <si>
    <t>SRR8272171</t>
  </si>
  <si>
    <t>SRR8272173</t>
  </si>
  <si>
    <t>produce prep area</t>
  </si>
  <si>
    <t>SRR8272175</t>
  </si>
  <si>
    <t>SRR8272180</t>
  </si>
  <si>
    <t>SRR8272255</t>
  </si>
  <si>
    <t>SRR8272293</t>
  </si>
  <si>
    <t>SRR8272498</t>
  </si>
  <si>
    <t>SRR8272499</t>
  </si>
  <si>
    <t>SRR8272508</t>
  </si>
  <si>
    <t>SRR8272558</t>
  </si>
  <si>
    <t>SRR8272560</t>
  </si>
  <si>
    <t>SRR8272582</t>
  </si>
  <si>
    <t>SRR8272610</t>
  </si>
  <si>
    <t>grocery carts</t>
  </si>
  <si>
    <t>SRR8272680</t>
  </si>
  <si>
    <t>SRR8272702</t>
  </si>
  <si>
    <t>SRR8279882</t>
  </si>
  <si>
    <t>SRR8279884</t>
  </si>
  <si>
    <t>SRR8279885</t>
  </si>
  <si>
    <t>SRR8279887</t>
  </si>
  <si>
    <t>SRR8279888</t>
  </si>
  <si>
    <t>SRR8280247</t>
  </si>
  <si>
    <t>SRR8280248</t>
  </si>
  <si>
    <t>SRR8280249</t>
  </si>
  <si>
    <t>SRR8280257</t>
  </si>
  <si>
    <t>SRR8291517</t>
  </si>
  <si>
    <t>SRR8291746</t>
  </si>
  <si>
    <t>SRR8291749</t>
  </si>
  <si>
    <t>SRR8291793</t>
  </si>
  <si>
    <t>SRR8305999</t>
  </si>
  <si>
    <t>SRR8306000</t>
  </si>
  <si>
    <t>SRR8307455</t>
  </si>
  <si>
    <t>SRR8307458</t>
  </si>
  <si>
    <t>SRR8307463</t>
  </si>
  <si>
    <t>SRR8307464</t>
  </si>
  <si>
    <t>SRR8307465</t>
  </si>
  <si>
    <t>SRR8307466</t>
  </si>
  <si>
    <t>SRR8307468</t>
  </si>
  <si>
    <t>SRR8307472</t>
  </si>
  <si>
    <t>SRR8307497</t>
  </si>
  <si>
    <t>SRR8307507</t>
  </si>
  <si>
    <t>SRR8307508</t>
  </si>
  <si>
    <t>SRR8307509</t>
  </si>
  <si>
    <t>SRR8307537</t>
  </si>
  <si>
    <t>SRR8307538</t>
  </si>
  <si>
    <t>SRR8307539</t>
  </si>
  <si>
    <t>SRR8307540</t>
  </si>
  <si>
    <t>SRR8310035</t>
  </si>
  <si>
    <t>SRR8334010</t>
  </si>
  <si>
    <t>SRR8348350</t>
  </si>
  <si>
    <t>SRR8353426</t>
  </si>
  <si>
    <t>Retail</t>
  </si>
  <si>
    <t>SRR8353428</t>
  </si>
  <si>
    <t>Abbatoir</t>
  </si>
  <si>
    <t>2004</t>
  </si>
  <si>
    <t>SRR8353429</t>
  </si>
  <si>
    <t>SRR8353430</t>
  </si>
  <si>
    <t>Processing Plant</t>
  </si>
  <si>
    <t>SRR8353431</t>
  </si>
  <si>
    <t>SRR8353432</t>
  </si>
  <si>
    <t>SRR8361096</t>
  </si>
  <si>
    <t>SRR8365015</t>
  </si>
  <si>
    <t>SRR8365022</t>
  </si>
  <si>
    <t>RTE:Product</t>
  </si>
  <si>
    <t>SRR8370613</t>
  </si>
  <si>
    <t>SRR8371587</t>
  </si>
  <si>
    <t>SRR8374822</t>
  </si>
  <si>
    <t>SRR8378708</t>
  </si>
  <si>
    <t>SRR8378709</t>
  </si>
  <si>
    <t>SRR8378711</t>
  </si>
  <si>
    <t>SRR8378715</t>
  </si>
  <si>
    <t>SRR8381714</t>
  </si>
  <si>
    <t>SRR8385251</t>
  </si>
  <si>
    <t>multiple food contact</t>
  </si>
  <si>
    <t>SRR8385254</t>
  </si>
  <si>
    <t>SRR8385281</t>
  </si>
  <si>
    <t>other utensil</t>
  </si>
  <si>
    <t>SRR8385468</t>
  </si>
  <si>
    <t>SRR8385607</t>
  </si>
  <si>
    <t>Kale salad mix</t>
  </si>
  <si>
    <t>SRR8385677</t>
  </si>
  <si>
    <t>SRR8397347</t>
  </si>
  <si>
    <t>SRR8397348</t>
  </si>
  <si>
    <t>SRR8397350</t>
  </si>
  <si>
    <t>SRR8397351</t>
  </si>
  <si>
    <t>drain-seafood</t>
  </si>
  <si>
    <t>SRR8397353</t>
  </si>
  <si>
    <t>SRR8397354</t>
  </si>
  <si>
    <t>SRR8397360</t>
  </si>
  <si>
    <t>SRR8397362</t>
  </si>
  <si>
    <t>SRR8397363</t>
  </si>
  <si>
    <t>drain-deli</t>
  </si>
  <si>
    <t>SRR8397364</t>
  </si>
  <si>
    <t>SRR8397366</t>
  </si>
  <si>
    <t>SRR8397367</t>
  </si>
  <si>
    <t>SRR8397373</t>
  </si>
  <si>
    <t>SRR8397377</t>
  </si>
  <si>
    <t>SRR8397448</t>
  </si>
  <si>
    <t>SRR8397489</t>
  </si>
  <si>
    <t>SRR8397520</t>
  </si>
  <si>
    <t>SRR8401103</t>
  </si>
  <si>
    <t>SRR8423779</t>
  </si>
  <si>
    <t>SRR8423791</t>
  </si>
  <si>
    <t>SRR8423792</t>
  </si>
  <si>
    <t>SRR8423919</t>
  </si>
  <si>
    <t>floor-deli</t>
  </si>
  <si>
    <t>SRR8423920</t>
  </si>
  <si>
    <t>SRR8423922</t>
  </si>
  <si>
    <t>SRR8423926</t>
  </si>
  <si>
    <t>SRR8424013</t>
  </si>
  <si>
    <t>SRR8427545</t>
  </si>
  <si>
    <t>SRR8430255</t>
  </si>
  <si>
    <t>SRR8434375</t>
  </si>
  <si>
    <t>SRR8435585</t>
  </si>
  <si>
    <t>SRR8435636</t>
  </si>
  <si>
    <t>SRR8435650</t>
  </si>
  <si>
    <t>SRR8435652</t>
  </si>
  <si>
    <t>SRR8435653</t>
  </si>
  <si>
    <t>SRR8435700</t>
  </si>
  <si>
    <t>SRR8435703</t>
  </si>
  <si>
    <t>SRR8435715</t>
  </si>
  <si>
    <t>SRR8435733</t>
  </si>
  <si>
    <t>SRR8435762</t>
  </si>
  <si>
    <t>SRR8435764</t>
  </si>
  <si>
    <t>SRR8435782</t>
  </si>
  <si>
    <t>SRR8436112</t>
  </si>
  <si>
    <t>SRR8436113</t>
  </si>
  <si>
    <t>SRR8436114</t>
  </si>
  <si>
    <t>SRR8436119</t>
  </si>
  <si>
    <t>SRR8439563</t>
  </si>
  <si>
    <t>SRR8439656</t>
  </si>
  <si>
    <t>SRR8439663</t>
  </si>
  <si>
    <t>SRR8439762</t>
  </si>
  <si>
    <t>SRR8439764</t>
  </si>
  <si>
    <t>SRR8439778</t>
  </si>
  <si>
    <t>SRR8439788</t>
  </si>
  <si>
    <t>SRR8439792</t>
  </si>
  <si>
    <t>SRR8447405</t>
  </si>
  <si>
    <t>SRR8447407</t>
  </si>
  <si>
    <t>SRR8447408</t>
  </si>
  <si>
    <t>SRR8447409</t>
  </si>
  <si>
    <t>SRR8447432</t>
  </si>
  <si>
    <t>SRR8447433</t>
  </si>
  <si>
    <t>SRR8447434</t>
  </si>
  <si>
    <t>SRR8447436</t>
  </si>
  <si>
    <t>SRR8470564</t>
  </si>
  <si>
    <t>salad mix</t>
  </si>
  <si>
    <t>SRR8470581</t>
  </si>
  <si>
    <t>SRR8470608</t>
  </si>
  <si>
    <t>SRR8471068</t>
  </si>
  <si>
    <t>SRR8471072</t>
  </si>
  <si>
    <t>SRR8471098</t>
  </si>
  <si>
    <t>SRR8471531</t>
  </si>
  <si>
    <t>SRR8472143</t>
  </si>
  <si>
    <t>SRR8472277</t>
  </si>
  <si>
    <t>SRR8499078</t>
  </si>
  <si>
    <t>SRR8501626</t>
  </si>
  <si>
    <t>SRR8501631</t>
  </si>
  <si>
    <t>cold storage-dairy walkin cooler floor</t>
  </si>
  <si>
    <t>SRR8501650</t>
  </si>
  <si>
    <t>SRR8501652</t>
  </si>
  <si>
    <t>SRR8501658</t>
  </si>
  <si>
    <t>SRR8501659</t>
  </si>
  <si>
    <t>SRR8501665</t>
  </si>
  <si>
    <t>SRR8501874</t>
  </si>
  <si>
    <t>SRR8508110</t>
  </si>
  <si>
    <t>SRR8508110,SRR8522861,SRR10251084,SRR8522865,SRR8522860,SRR10251091,SRR8509256,SRR8509197,SRR10251001,SRR8522864,SRR10190308,SRR8509507,SRR10250995,SRR10251093,SRR10251090,SRR8523056,SRR10251030,SRR10250997,SRR10189701,SRR8509034,SRR10251002,SRR8509136,SRR8509629,SRR10190061,SRR7776840,SRR8522857,SRR10189794,SRR10189698,SRR10251092,SRR10189682,SRR10250989,SRR10251088,SRR8522997,SRR8522858,SRR8523009,SRR8509113,SRR8509635,SRR8509444,SRR8509172,SRR10189773,SRR10251000,SRR10251027,SRR8509035,SRR8508982,SRR8522981,SRR8509602,SRR8508663,SRR10250996,SRR8522867,SRR8509601,SRR8509628,SRR10190324,SRR8508355,SRR10251083,SRR10189750,SRR8508933,SRR8522980,SRR10250979,SRR8523045,SRR8523001,SRR10190825,SRR8523027,SRR8509178,SRR10189714,SRR8523052,SRR10250986,SRR8508662,SRR8509107,SRR10250998,SRR8523004,SRR10749101,SRR8522991,SRR8522995,SRR8358674,SRR10190488,SRR10250987,SRR8348363,SRR8523000,SRR10250985,SRR10190434,SRR10250988,SRR10250999,SRR8508673,SRR10190298,SRR8522984,SRR8523002,SRR8509116,SRR8522982,SRR10251100,SRR8522866,SRR10250990,SRR8509615,SRR10251028,SRR10251029,SRR10189749,SRR7542837</t>
  </si>
  <si>
    <t>SRR8508355</t>
  </si>
  <si>
    <t>SRR8508662</t>
  </si>
  <si>
    <t>SRR8508663</t>
  </si>
  <si>
    <t>SRR8508673</t>
  </si>
  <si>
    <t>SRR8508933</t>
  </si>
  <si>
    <t>SRR8508982</t>
  </si>
  <si>
    <t>SRR8509034</t>
  </si>
  <si>
    <t>SRR8509035</t>
  </si>
  <si>
    <t>SRR8509107</t>
  </si>
  <si>
    <t>SRR8509113</t>
  </si>
  <si>
    <t>SRR8509116</t>
  </si>
  <si>
    <t>SRR8509136</t>
  </si>
  <si>
    <t>SRR8509172</t>
  </si>
  <si>
    <t>SRR8509178</t>
  </si>
  <si>
    <t>SRR8509197</t>
  </si>
  <si>
    <t>SRR8509256</t>
  </si>
  <si>
    <t>SRR8509444</t>
  </si>
  <si>
    <t>SRR8509507</t>
  </si>
  <si>
    <t>SRR8509601</t>
  </si>
  <si>
    <t>SRR8509602</t>
  </si>
  <si>
    <t>SRR8509615</t>
  </si>
  <si>
    <t>SRR8509628</t>
  </si>
  <si>
    <t>SRR8509629</t>
  </si>
  <si>
    <t>SRR8509635</t>
  </si>
  <si>
    <t>SRR8522857</t>
  </si>
  <si>
    <t>SRR8522858</t>
  </si>
  <si>
    <t>SRR8522860</t>
  </si>
  <si>
    <t>SRR8522861</t>
  </si>
  <si>
    <t>SRR8522864</t>
  </si>
  <si>
    <t>SRR8522865</t>
  </si>
  <si>
    <t>SRR8522866</t>
  </si>
  <si>
    <t>SRR8522867</t>
  </si>
  <si>
    <t>SRR8522972</t>
  </si>
  <si>
    <t>SRR8522980</t>
  </si>
  <si>
    <t>SRR8522981</t>
  </si>
  <si>
    <t>SRR8522982</t>
  </si>
  <si>
    <t>SRR8522984</t>
  </si>
  <si>
    <t>SRR8522991</t>
  </si>
  <si>
    <t>SRR8522995</t>
  </si>
  <si>
    <t>SRR8522997</t>
  </si>
  <si>
    <t>SRR8523000</t>
  </si>
  <si>
    <t>SRR8523001</t>
  </si>
  <si>
    <t>SRR8523002</t>
  </si>
  <si>
    <t>SRR8523004</t>
  </si>
  <si>
    <t>SRR8523009</t>
  </si>
  <si>
    <t>SRR8523027</t>
  </si>
  <si>
    <t>SRR8523045</t>
  </si>
  <si>
    <t>SRR8523052</t>
  </si>
  <si>
    <t>SRR8523056</t>
  </si>
  <si>
    <t>SRR8526517</t>
  </si>
  <si>
    <t>SRR8526518</t>
  </si>
  <si>
    <t>SRR8535206</t>
  </si>
  <si>
    <t>SRR8535219</t>
  </si>
  <si>
    <t>chick pea salad</t>
  </si>
  <si>
    <t>SRR8535222</t>
  </si>
  <si>
    <t>SRR8535227,SRR8159841,SRR7889331</t>
  </si>
  <si>
    <t>SRR8535406</t>
  </si>
  <si>
    <t>SRR8535408</t>
  </si>
  <si>
    <t>SRR8535444</t>
  </si>
  <si>
    <t>SRR8535446</t>
  </si>
  <si>
    <t>SRR8535463</t>
  </si>
  <si>
    <t>SRR8535472</t>
  </si>
  <si>
    <t>SRR8535473</t>
  </si>
  <si>
    <t>golden fish balls with fish roe</t>
  </si>
  <si>
    <t>SRR8535476</t>
  </si>
  <si>
    <t>SRR8544190</t>
  </si>
  <si>
    <t>SRR8544197</t>
  </si>
  <si>
    <t>SRR8544213</t>
  </si>
  <si>
    <t>SRR8544228</t>
  </si>
  <si>
    <t>SRR8558259</t>
  </si>
  <si>
    <t>SRR8559024</t>
  </si>
  <si>
    <t>SRR8573684</t>
  </si>
  <si>
    <t>SRR8573685</t>
  </si>
  <si>
    <t>SRR8573694</t>
  </si>
  <si>
    <t>SRR8573699</t>
  </si>
  <si>
    <t>SRR8573700</t>
  </si>
  <si>
    <t>SRR8573701</t>
  </si>
  <si>
    <t>SRR8573703</t>
  </si>
  <si>
    <t>SRR8573704</t>
  </si>
  <si>
    <t>SRR8573705</t>
  </si>
  <si>
    <t>SRR8573707</t>
  </si>
  <si>
    <t>SRR8573741</t>
  </si>
  <si>
    <t>Bean Sprouts</t>
  </si>
  <si>
    <t>SRR8573747</t>
  </si>
  <si>
    <t>Seafood salad</t>
  </si>
  <si>
    <t>SRR8573748</t>
  </si>
  <si>
    <t>SRR8573752</t>
  </si>
  <si>
    <t>SRR8573754</t>
  </si>
  <si>
    <t>canine fecal</t>
  </si>
  <si>
    <t>SRR8573759</t>
  </si>
  <si>
    <t>Tuna egg salad</t>
  </si>
  <si>
    <t>SRR8575067</t>
  </si>
  <si>
    <t>SRR8575069</t>
  </si>
  <si>
    <t>SRR8581558</t>
  </si>
  <si>
    <t>SRR8581559</t>
  </si>
  <si>
    <t>SRR8581560</t>
  </si>
  <si>
    <t>SRR8582157</t>
  </si>
  <si>
    <t>SRR8582416</t>
  </si>
  <si>
    <t>SRR8582810</t>
  </si>
  <si>
    <t>SRR8589640</t>
  </si>
  <si>
    <t>SRR8589826</t>
  </si>
  <si>
    <t>SRR8589827</t>
  </si>
  <si>
    <t>SRR8589829</t>
  </si>
  <si>
    <t>SRR8589943</t>
  </si>
  <si>
    <t>SRR8590606</t>
  </si>
  <si>
    <t>SRR8590613</t>
  </si>
  <si>
    <t>SRR8590615</t>
  </si>
  <si>
    <t>SRR8590618</t>
  </si>
  <si>
    <t>SRR8590646</t>
  </si>
  <si>
    <t>SRR8590647</t>
  </si>
  <si>
    <t>SRR8590659</t>
  </si>
  <si>
    <t>SRR8590862</t>
  </si>
  <si>
    <t>SRR8590879</t>
  </si>
  <si>
    <t>SRR8595628</t>
  </si>
  <si>
    <t>SRR8602350</t>
  </si>
  <si>
    <t>SRR8603250</t>
  </si>
  <si>
    <t>SRR8618482</t>
  </si>
  <si>
    <t>SRR8618483</t>
  </si>
  <si>
    <t>SRR8618492</t>
  </si>
  <si>
    <t>SRR8618516</t>
  </si>
  <si>
    <t>SRR8618618</t>
  </si>
  <si>
    <t>SRR8618620</t>
  </si>
  <si>
    <t>SRR8618626</t>
  </si>
  <si>
    <t>SRR8618782</t>
  </si>
  <si>
    <t>SRR8618803</t>
  </si>
  <si>
    <t>SRR8618810</t>
  </si>
  <si>
    <t>SRR8618813</t>
  </si>
  <si>
    <t>SRR8618815</t>
  </si>
  <si>
    <t>SRR8618822</t>
  </si>
  <si>
    <t>SRR8618858</t>
  </si>
  <si>
    <t>SRR8619286</t>
  </si>
  <si>
    <t>SRR8619339</t>
  </si>
  <si>
    <t>SRR8619351</t>
  </si>
  <si>
    <t>SRR8619355</t>
  </si>
  <si>
    <t>SRR8623923</t>
  </si>
  <si>
    <t>SRR8624662</t>
  </si>
  <si>
    <t>SRR8624664</t>
  </si>
  <si>
    <t>SRR8624669</t>
  </si>
  <si>
    <t>SRR8624679</t>
  </si>
  <si>
    <t>SRR8624684</t>
  </si>
  <si>
    <t>SRR8632419</t>
  </si>
  <si>
    <t>SRR8632421</t>
  </si>
  <si>
    <t>SRR8632422</t>
  </si>
  <si>
    <t>SRR8632953</t>
  </si>
  <si>
    <t>SRR8645264</t>
  </si>
  <si>
    <t>SRR8645269</t>
  </si>
  <si>
    <t>SRR8645271</t>
  </si>
  <si>
    <t>SRR8645316</t>
  </si>
  <si>
    <t>SRR8645342</t>
  </si>
  <si>
    <t>SRR8645353</t>
  </si>
  <si>
    <t>SRR8645399</t>
  </si>
  <si>
    <t>SRR8645401</t>
  </si>
  <si>
    <t>SRR8645408</t>
  </si>
  <si>
    <t>SRR8645413</t>
  </si>
  <si>
    <t>SRR8645655</t>
  </si>
  <si>
    <t>SRR8645657</t>
  </si>
  <si>
    <t>SRR8645677</t>
  </si>
  <si>
    <t>SRR8645678</t>
  </si>
  <si>
    <t>SRR8645684</t>
  </si>
  <si>
    <t>SRR8645702</t>
  </si>
  <si>
    <t>SRR8645716</t>
  </si>
  <si>
    <t>SRR8645753</t>
  </si>
  <si>
    <t>SRR8647672</t>
  </si>
  <si>
    <t>SRR8647884</t>
  </si>
  <si>
    <t>SRR8647888</t>
  </si>
  <si>
    <t>SRR8647935</t>
  </si>
  <si>
    <t>SRR8647938</t>
  </si>
  <si>
    <t>SRR8654807</t>
  </si>
  <si>
    <t>SRR8660429</t>
  </si>
  <si>
    <t>SRR8660524</t>
  </si>
  <si>
    <t>SRR8660524,SRR7906512</t>
  </si>
  <si>
    <t>SRR8660531</t>
  </si>
  <si>
    <t>SRR8660532</t>
  </si>
  <si>
    <t>SRR8660556</t>
  </si>
  <si>
    <t>SRR8662680</t>
  </si>
  <si>
    <t>SRR8663247</t>
  </si>
  <si>
    <t>Egg Salad Sandwich</t>
  </si>
  <si>
    <t>SRR8663250</t>
  </si>
  <si>
    <t>SRR8663252</t>
  </si>
  <si>
    <t>SRR8663259</t>
  </si>
  <si>
    <t>SRR8663298</t>
  </si>
  <si>
    <t>SRR8663299</t>
  </si>
  <si>
    <t>Salami, Bologna Sandwich</t>
  </si>
  <si>
    <t>SRR8663302</t>
  </si>
  <si>
    <t>SRR8663304</t>
  </si>
  <si>
    <t>SRR8663305</t>
  </si>
  <si>
    <t>Chicken Club Sandiwch</t>
  </si>
  <si>
    <t>SRR8670850</t>
  </si>
  <si>
    <t>Ham, Cheese Sandwich</t>
  </si>
  <si>
    <t>SRR8670851</t>
  </si>
  <si>
    <t>Turkey Breast</t>
  </si>
  <si>
    <t>SRR8670852</t>
  </si>
  <si>
    <t>SRR8670855</t>
  </si>
  <si>
    <t>Chicken Salad</t>
  </si>
  <si>
    <t>SRR8671239</t>
  </si>
  <si>
    <t>SRR8671242</t>
  </si>
  <si>
    <t>SRR8676712</t>
  </si>
  <si>
    <t>SRR8676713</t>
  </si>
  <si>
    <t>SRR8676715</t>
  </si>
  <si>
    <t>SRR8676717</t>
  </si>
  <si>
    <t>SRR8676719</t>
  </si>
  <si>
    <t>SRR8676722</t>
  </si>
  <si>
    <t>SRR8676726</t>
  </si>
  <si>
    <t>SRR8676728</t>
  </si>
  <si>
    <t>SRR8676730</t>
  </si>
  <si>
    <t>SRR8676733</t>
  </si>
  <si>
    <t>SRR8676734</t>
  </si>
  <si>
    <t>SRR8691094</t>
  </si>
  <si>
    <t>SRR8695954</t>
  </si>
  <si>
    <t>SRR8696311</t>
  </si>
  <si>
    <t>SRR8696339</t>
  </si>
  <si>
    <t>SRR8696724</t>
  </si>
  <si>
    <t>SRR8697005</t>
  </si>
  <si>
    <t>SRR8705961</t>
  </si>
  <si>
    <t>SRR8707364</t>
  </si>
  <si>
    <t>SRR8707365</t>
  </si>
  <si>
    <t>SRR8707464</t>
  </si>
  <si>
    <t>SRR8707469</t>
  </si>
  <si>
    <t>SRR8710210</t>
  </si>
  <si>
    <t>SRR8715322</t>
  </si>
  <si>
    <t>SRR8715324</t>
  </si>
  <si>
    <t>SRR8715325</t>
  </si>
  <si>
    <t>SRR8715326</t>
  </si>
  <si>
    <t>SRR8731619</t>
  </si>
  <si>
    <t>Environmental Swab Samples</t>
  </si>
  <si>
    <t>SRR8731718</t>
  </si>
  <si>
    <t>SRR8731798</t>
  </si>
  <si>
    <t>SRR8731884</t>
  </si>
  <si>
    <t>green cutting board between two meat slicers</t>
  </si>
  <si>
    <t>SRR8731926</t>
  </si>
  <si>
    <t>SRR8731933</t>
  </si>
  <si>
    <t>SRR8731944</t>
  </si>
  <si>
    <t>SRR8731965</t>
  </si>
  <si>
    <t>surface areas of deli equipment wash sink</t>
  </si>
  <si>
    <t>SRR8731999</t>
  </si>
  <si>
    <t>SRR8732057</t>
  </si>
  <si>
    <t>SRR8732068</t>
  </si>
  <si>
    <t>SRR8732073</t>
  </si>
  <si>
    <t>SRR8732078</t>
  </si>
  <si>
    <t>SRR8732889</t>
  </si>
  <si>
    <t>SRR8738271</t>
  </si>
  <si>
    <t>SRR8757516</t>
  </si>
  <si>
    <t>SRR8761889</t>
  </si>
  <si>
    <t>SRR8763257</t>
  </si>
  <si>
    <t>SRR8767171</t>
  </si>
  <si>
    <t>SRR8771943</t>
  </si>
  <si>
    <t>SRR8772111</t>
  </si>
  <si>
    <t>SRR8786878</t>
  </si>
  <si>
    <t>SRR8792484</t>
  </si>
  <si>
    <t>SRR8792486</t>
  </si>
  <si>
    <t>SRR8792796</t>
  </si>
  <si>
    <t>SRR8796540</t>
  </si>
  <si>
    <t>SRR8796991</t>
  </si>
  <si>
    <t>SRR8796999</t>
  </si>
  <si>
    <t>1989</t>
  </si>
  <si>
    <t>SRR8798076</t>
  </si>
  <si>
    <t>SRR8815453</t>
  </si>
  <si>
    <t>SRR8816312</t>
  </si>
  <si>
    <t>SRR8824040</t>
  </si>
  <si>
    <t>SRR8832245</t>
  </si>
  <si>
    <t>SRR8832738</t>
  </si>
  <si>
    <t>SRR8837387</t>
  </si>
  <si>
    <t>Swab #14</t>
  </si>
  <si>
    <t>SRR8837413</t>
  </si>
  <si>
    <t>Deli Meat</t>
  </si>
  <si>
    <t>SRR8837449</t>
  </si>
  <si>
    <t>SRR8837450</t>
  </si>
  <si>
    <t>Swab #37</t>
  </si>
  <si>
    <t>SRR8837526</t>
  </si>
  <si>
    <t>Swab #41</t>
  </si>
  <si>
    <t>SRR8837558</t>
  </si>
  <si>
    <t>SRR8837566</t>
  </si>
  <si>
    <t>SRR8837579</t>
  </si>
  <si>
    <t>SRR8837580</t>
  </si>
  <si>
    <t>Swab #58</t>
  </si>
  <si>
    <t>SRR8837581</t>
  </si>
  <si>
    <t>Organic Bean Sprouts</t>
  </si>
  <si>
    <t>SRR8837582</t>
  </si>
  <si>
    <t>SRR8837832</t>
  </si>
  <si>
    <t>Swab #49</t>
  </si>
  <si>
    <t>SRR8837833</t>
  </si>
  <si>
    <t>SRR8838298</t>
  </si>
  <si>
    <t>SRR8838427</t>
  </si>
  <si>
    <t>Swab #142</t>
  </si>
  <si>
    <t>SRR8838596</t>
  </si>
  <si>
    <t>Swab #154</t>
  </si>
  <si>
    <t>SRR8838743</t>
  </si>
  <si>
    <t>SRR8839850</t>
  </si>
  <si>
    <t>SRR8856506</t>
  </si>
  <si>
    <t>Aji Amarillo Paste</t>
  </si>
  <si>
    <t>SRR8856510</t>
  </si>
  <si>
    <t>SRR8865570</t>
  </si>
  <si>
    <t>Raw chicken dog food</t>
  </si>
  <si>
    <t>SRR8868848</t>
  </si>
  <si>
    <t>SRR8868857</t>
  </si>
  <si>
    <t>SRR8874462</t>
  </si>
  <si>
    <t>frozen maine lobster c &amp;amp</t>
  </si>
  <si>
    <t>SRR8874477</t>
  </si>
  <si>
    <t>SRR8874498</t>
  </si>
  <si>
    <t>SRR8874530</t>
  </si>
  <si>
    <t>SRR8874664</t>
  </si>
  <si>
    <t>SRR8874766</t>
  </si>
  <si>
    <t>frz masago</t>
  </si>
  <si>
    <t>SRR8874785</t>
  </si>
  <si>
    <t>SRR8874787</t>
  </si>
  <si>
    <t>SRR8887778</t>
  </si>
  <si>
    <t>SRR8888265</t>
  </si>
  <si>
    <t>SRR8888367</t>
  </si>
  <si>
    <t>SRR8888380</t>
  </si>
  <si>
    <t>SRR8888397</t>
  </si>
  <si>
    <t>SRR8888476</t>
  </si>
  <si>
    <t>SRR8896359</t>
  </si>
  <si>
    <t>SRR8896363</t>
  </si>
  <si>
    <t>SRR8923091</t>
  </si>
  <si>
    <t>SRR8923186</t>
  </si>
  <si>
    <t>SRR8925568</t>
  </si>
  <si>
    <t>SRR8931985</t>
  </si>
  <si>
    <t>SRR8942671</t>
  </si>
  <si>
    <t>SRR8942672</t>
  </si>
  <si>
    <t>SRR8942798</t>
  </si>
  <si>
    <t>Product-RTE-Fully Cooked, Sausage Products-Unknown species</t>
  </si>
  <si>
    <t>SRR8943538</t>
  </si>
  <si>
    <t>poultry meat</t>
  </si>
  <si>
    <t>SRR8943539</t>
  </si>
  <si>
    <t>SRR8943541</t>
  </si>
  <si>
    <t>ready meal</t>
  </si>
  <si>
    <t>SRR8949509</t>
  </si>
  <si>
    <t>SRR8950289</t>
  </si>
  <si>
    <t>Frozen Spinach</t>
  </si>
  <si>
    <t>SRR8950291</t>
  </si>
  <si>
    <t>SRR8950330</t>
  </si>
  <si>
    <t>SRR8950345</t>
  </si>
  <si>
    <t>Frozen Carrots</t>
  </si>
  <si>
    <t>SRR8951414</t>
  </si>
  <si>
    <t>SRR8951438</t>
  </si>
  <si>
    <t>SRR8951439</t>
  </si>
  <si>
    <t>SRR8957016</t>
  </si>
  <si>
    <t>SRR8991446</t>
  </si>
  <si>
    <t>SRR8992275</t>
  </si>
  <si>
    <t>SRR8992277</t>
  </si>
  <si>
    <t>SRR8992431</t>
  </si>
  <si>
    <t>SRR8995929</t>
  </si>
  <si>
    <t>frozen mixed vegetables</t>
  </si>
  <si>
    <t>SRR8995958</t>
  </si>
  <si>
    <t>SRR9001376</t>
  </si>
  <si>
    <t>SRR9003349</t>
  </si>
  <si>
    <t>SRR9007231</t>
  </si>
  <si>
    <t>SRR9016830</t>
  </si>
  <si>
    <t>Swab #123</t>
  </si>
  <si>
    <t>SRR9016831</t>
  </si>
  <si>
    <t>Sponge #75</t>
  </si>
  <si>
    <t>SRR9016834</t>
  </si>
  <si>
    <t>Swab #166</t>
  </si>
  <si>
    <t>SRR9016838</t>
  </si>
  <si>
    <t>Sponge #94</t>
  </si>
  <si>
    <t>SRR9016839</t>
  </si>
  <si>
    <t>Swab #168</t>
  </si>
  <si>
    <t>SRR9016840</t>
  </si>
  <si>
    <t>Sponge #82</t>
  </si>
  <si>
    <t>SRR9016841</t>
  </si>
  <si>
    <t>Sponge #95</t>
  </si>
  <si>
    <t>SRR9016865</t>
  </si>
  <si>
    <t>Swab #113</t>
  </si>
  <si>
    <t>SRR9016867</t>
  </si>
  <si>
    <t>Sponge #71</t>
  </si>
  <si>
    <t>SRR9016869</t>
  </si>
  <si>
    <t>Sponge #210</t>
  </si>
  <si>
    <t>SRR9016906</t>
  </si>
  <si>
    <t>Sprouts</t>
  </si>
  <si>
    <t>SRR9016912</t>
  </si>
  <si>
    <t>Sponge #209</t>
  </si>
  <si>
    <t>SRR9016913</t>
  </si>
  <si>
    <t>Sponge #205</t>
  </si>
  <si>
    <t>SRR9017074</t>
  </si>
  <si>
    <t>Sponge #54</t>
  </si>
  <si>
    <t>SRR9017123</t>
  </si>
  <si>
    <t>Sponge #59</t>
  </si>
  <si>
    <t>SRR9017127</t>
  </si>
  <si>
    <t>Sponge #69</t>
  </si>
  <si>
    <t>SRR9017131</t>
  </si>
  <si>
    <t>Sponge #23</t>
  </si>
  <si>
    <t>SRR9017133</t>
  </si>
  <si>
    <t>Sponge #250</t>
  </si>
  <si>
    <t>SRR9017160</t>
  </si>
  <si>
    <t>Sponge #198</t>
  </si>
  <si>
    <t>SRR9017161</t>
  </si>
  <si>
    <t>Swab #183</t>
  </si>
  <si>
    <t>SRR9017188</t>
  </si>
  <si>
    <t>Spongeb #235</t>
  </si>
  <si>
    <t>SRR9017247</t>
  </si>
  <si>
    <t>Swab #191</t>
  </si>
  <si>
    <t>SRR9017249</t>
  </si>
  <si>
    <t>Sponge #200</t>
  </si>
  <si>
    <t>SRR9017259</t>
  </si>
  <si>
    <t>Swab #184</t>
  </si>
  <si>
    <t>SRR9019207</t>
  </si>
  <si>
    <t>SRR9019212</t>
  </si>
  <si>
    <t>SRR9019215</t>
  </si>
  <si>
    <t>SRR9019216</t>
  </si>
  <si>
    <t>SRR9019217</t>
  </si>
  <si>
    <t>SRR9019220</t>
  </si>
  <si>
    <t>SRR9019222</t>
  </si>
  <si>
    <t>SRR9019223</t>
  </si>
  <si>
    <t>SRR9019224</t>
  </si>
  <si>
    <t>SRR9019225</t>
  </si>
  <si>
    <t>SRR9019226</t>
  </si>
  <si>
    <t>SRR9019227</t>
  </si>
  <si>
    <t>SRR9019234</t>
  </si>
  <si>
    <t>SRR9019236</t>
  </si>
  <si>
    <t>SRR9019237</t>
  </si>
  <si>
    <t>SRR9019238</t>
  </si>
  <si>
    <t>SRR9019240</t>
  </si>
  <si>
    <t>SRR9019243</t>
  </si>
  <si>
    <t>SRR9019245</t>
  </si>
  <si>
    <t>SRR9019250</t>
  </si>
  <si>
    <t>SRR9019255</t>
  </si>
  <si>
    <t>SRR9019256</t>
  </si>
  <si>
    <t>SRR9019257</t>
  </si>
  <si>
    <t>SRR9019258</t>
  </si>
  <si>
    <t>SRR9019260</t>
  </si>
  <si>
    <t>SRR9019261</t>
  </si>
  <si>
    <t>SRR9019262</t>
  </si>
  <si>
    <t>SRR9019263</t>
  </si>
  <si>
    <t>SRR9019264</t>
  </si>
  <si>
    <t>SRR9019266</t>
  </si>
  <si>
    <t>SRR9019270</t>
  </si>
  <si>
    <t>SRR9019274</t>
  </si>
  <si>
    <t>SRR9019275</t>
  </si>
  <si>
    <t>SRR9019277</t>
  </si>
  <si>
    <t>SRR9019279</t>
  </si>
  <si>
    <t>SRR9019280</t>
  </si>
  <si>
    <t>SRR9019281</t>
  </si>
  <si>
    <t>SRR9019282</t>
  </si>
  <si>
    <t>SRR9019286</t>
  </si>
  <si>
    <t>SRR9019287</t>
  </si>
  <si>
    <t>SRR9019288</t>
  </si>
  <si>
    <t>SRR9019290</t>
  </si>
  <si>
    <t>SRR9019291</t>
  </si>
  <si>
    <t>SRR9019292</t>
  </si>
  <si>
    <t>SRR9019293</t>
  </si>
  <si>
    <t>SRR9019295</t>
  </si>
  <si>
    <t>SRR9019296</t>
  </si>
  <si>
    <t>SRR9019297</t>
  </si>
  <si>
    <t>SRR9019298</t>
  </si>
  <si>
    <t>SRR9019302</t>
  </si>
  <si>
    <t>SRR9019303</t>
  </si>
  <si>
    <t>SRR9019306</t>
  </si>
  <si>
    <t>SRR9019307</t>
  </si>
  <si>
    <t>SRR9019308</t>
  </si>
  <si>
    <t>SRR9019310</t>
  </si>
  <si>
    <t>SRR9019312</t>
  </si>
  <si>
    <t>SRR9019313</t>
  </si>
  <si>
    <t>SRR9019314</t>
  </si>
  <si>
    <t>SRR9019315</t>
  </si>
  <si>
    <t>SRR9019318</t>
  </si>
  <si>
    <t>SRR9019319</t>
  </si>
  <si>
    <t>SRR9019320</t>
  </si>
  <si>
    <t>SRR9019321</t>
  </si>
  <si>
    <t>SRR9019322</t>
  </si>
  <si>
    <t>SRR9019323</t>
  </si>
  <si>
    <t>SRR9019324</t>
  </si>
  <si>
    <t>SRR9019325</t>
  </si>
  <si>
    <t>SRR9019326</t>
  </si>
  <si>
    <t>SRR9019327</t>
  </si>
  <si>
    <t>SRR9019328</t>
  </si>
  <si>
    <t>SRR9019329</t>
  </si>
  <si>
    <t>SRR9019331</t>
  </si>
  <si>
    <t>SRR9019332</t>
  </si>
  <si>
    <t>SRR9019333</t>
  </si>
  <si>
    <t>SRR9019334</t>
  </si>
  <si>
    <t>SRR9019336</t>
  </si>
  <si>
    <t>SRR9019337</t>
  </si>
  <si>
    <t>SRR9019338</t>
  </si>
  <si>
    <t>ST1013</t>
  </si>
  <si>
    <t>SRR9019339</t>
  </si>
  <si>
    <t>SRR9019341</t>
  </si>
  <si>
    <t>SRR9019342</t>
  </si>
  <si>
    <t>SRR9019344</t>
  </si>
  <si>
    <t>SRR9019345</t>
  </si>
  <si>
    <t>SRR9019346</t>
  </si>
  <si>
    <t>SRR9019347</t>
  </si>
  <si>
    <t>SRR9019348</t>
  </si>
  <si>
    <t>SRR9019352</t>
  </si>
  <si>
    <t>SRR9019354</t>
  </si>
  <si>
    <t>SRR9019355</t>
  </si>
  <si>
    <t>SRR9019356</t>
  </si>
  <si>
    <t>SRR9019359</t>
  </si>
  <si>
    <t>SRR9019361</t>
  </si>
  <si>
    <t>SRR9019362</t>
  </si>
  <si>
    <t>SRR9019363</t>
  </si>
  <si>
    <t>SRR9019364</t>
  </si>
  <si>
    <t>SRR9019365</t>
  </si>
  <si>
    <t>SRR9019366</t>
  </si>
  <si>
    <t>SRR9019367</t>
  </si>
  <si>
    <t>SRR9019368</t>
  </si>
  <si>
    <t>SRR9019370</t>
  </si>
  <si>
    <t>SRR9019372</t>
  </si>
  <si>
    <t>SRR9019373</t>
  </si>
  <si>
    <t>SRR9019375</t>
  </si>
  <si>
    <t>SRR9019376</t>
  </si>
  <si>
    <t>SRR9019377</t>
  </si>
  <si>
    <t>SRR9019378</t>
  </si>
  <si>
    <t>SRR9019379</t>
  </si>
  <si>
    <t>SRR9019380</t>
  </si>
  <si>
    <t>SRR9019384</t>
  </si>
  <si>
    <t>SRR9019386</t>
  </si>
  <si>
    <t>SRR9019388</t>
  </si>
  <si>
    <t>SRR9019390</t>
  </si>
  <si>
    <t>SRR9019391</t>
  </si>
  <si>
    <t>SRR9019393</t>
  </si>
  <si>
    <t>SRR9019394</t>
  </si>
  <si>
    <t>SRR9019396</t>
  </si>
  <si>
    <t>SRR9019397</t>
  </si>
  <si>
    <t>SRR9019398</t>
  </si>
  <si>
    <t>SRR9019399</t>
  </si>
  <si>
    <t>SRR9019400</t>
  </si>
  <si>
    <t>SRR9019401</t>
  </si>
  <si>
    <t>SRR9019402</t>
  </si>
  <si>
    <t>SRR9019404</t>
  </si>
  <si>
    <t>SRR9019406</t>
  </si>
  <si>
    <t>SRR9019407</t>
  </si>
  <si>
    <t>SRR9019408</t>
  </si>
  <si>
    <t>SRR9019409</t>
  </si>
  <si>
    <t>SRR9019410</t>
  </si>
  <si>
    <t>SRR9019411</t>
  </si>
  <si>
    <t>SRR9019412</t>
  </si>
  <si>
    <t>SRR9019413</t>
  </si>
  <si>
    <t>SRR9019417</t>
  </si>
  <si>
    <t>SRR9019420</t>
  </si>
  <si>
    <t>SRR9019421</t>
  </si>
  <si>
    <t>SRR9019422</t>
  </si>
  <si>
    <t>SRR9019423</t>
  </si>
  <si>
    <t>SRR9019425</t>
  </si>
  <si>
    <t>SRR9019426</t>
  </si>
  <si>
    <t>SRR9019427</t>
  </si>
  <si>
    <t>SRR9019428</t>
  </si>
  <si>
    <t>SRR9019431</t>
  </si>
  <si>
    <t>SRR9019432</t>
  </si>
  <si>
    <t>SRR9019433</t>
  </si>
  <si>
    <t>SRR9019434</t>
  </si>
  <si>
    <t>SRR9019437</t>
  </si>
  <si>
    <t>SRR9019438</t>
  </si>
  <si>
    <t>SRR9019441</t>
  </si>
  <si>
    <t>SRR9019442</t>
  </si>
  <si>
    <t>SRR9019445</t>
  </si>
  <si>
    <t>SRR9019446</t>
  </si>
  <si>
    <t>SRR9019447</t>
  </si>
  <si>
    <t>SRR9019450</t>
  </si>
  <si>
    <t>SRR9019451</t>
  </si>
  <si>
    <t>SRR9019452</t>
  </si>
  <si>
    <t>SRR9019453</t>
  </si>
  <si>
    <t>SRR9019455</t>
  </si>
  <si>
    <t>SRR9019458</t>
  </si>
  <si>
    <t>SRR9019459</t>
  </si>
  <si>
    <t>SRR9019461</t>
  </si>
  <si>
    <t>SRR9019462</t>
  </si>
  <si>
    <t>SRR9019463</t>
  </si>
  <si>
    <t>SRR9019465</t>
  </si>
  <si>
    <t>SRR9019467</t>
  </si>
  <si>
    <t>SRR9019468</t>
  </si>
  <si>
    <t>SRR9019469</t>
  </si>
  <si>
    <t>SRR9019471</t>
  </si>
  <si>
    <t>SRR9019472</t>
  </si>
  <si>
    <t>SRR9019476</t>
  </si>
  <si>
    <t>SRR9019480</t>
  </si>
  <si>
    <t>SRR9019487</t>
  </si>
  <si>
    <t>SRR9019488</t>
  </si>
  <si>
    <t>SRR9019489</t>
  </si>
  <si>
    <t>SRR9019491</t>
  </si>
  <si>
    <t>SRR9019492</t>
  </si>
  <si>
    <t>SRR9019493</t>
  </si>
  <si>
    <t>SRR9019494</t>
  </si>
  <si>
    <t>SRR9019496</t>
  </si>
  <si>
    <t>SRR9019499</t>
  </si>
  <si>
    <t>SRR9019500</t>
  </si>
  <si>
    <t>SRR9043686</t>
  </si>
  <si>
    <t>SRR9066644</t>
  </si>
  <si>
    <t>swab of drain</t>
  </si>
  <si>
    <t>SRR9083750</t>
  </si>
  <si>
    <t>SRR9083754</t>
  </si>
  <si>
    <t>SRR9086777</t>
  </si>
  <si>
    <t>SRR9088893</t>
  </si>
  <si>
    <t>SRR9088897</t>
  </si>
  <si>
    <t>SRR9088899</t>
  </si>
  <si>
    <t>SRR9088900</t>
  </si>
  <si>
    <t>SRR9088901</t>
  </si>
  <si>
    <t>SRR9088902</t>
  </si>
  <si>
    <t>SRR9088907</t>
  </si>
  <si>
    <t>SRR9088908</t>
  </si>
  <si>
    <t>SRR9091152</t>
  </si>
  <si>
    <t>SRR9091271</t>
  </si>
  <si>
    <t>SRR9099572</t>
  </si>
  <si>
    <t>Raw Ground Turkey Dog Food</t>
  </si>
  <si>
    <t>SRR9099712</t>
  </si>
  <si>
    <t>Frozen Turkey Necks</t>
  </si>
  <si>
    <t>SRR9102529</t>
  </si>
  <si>
    <t>SRR9102530</t>
  </si>
  <si>
    <t>SRR9102533</t>
  </si>
  <si>
    <t>SRR9102535</t>
  </si>
  <si>
    <t>SRR9102723</t>
  </si>
  <si>
    <t>SRR9102724</t>
  </si>
  <si>
    <t>SRR9102725</t>
  </si>
  <si>
    <t>SRR9109004</t>
  </si>
  <si>
    <t>SRR9114280</t>
  </si>
  <si>
    <t>SRR9114556</t>
  </si>
  <si>
    <t>SRR9114557</t>
  </si>
  <si>
    <t>SRR9114559</t>
  </si>
  <si>
    <t>SRR9114627</t>
  </si>
  <si>
    <t>Frozen Raw Salmon Fillets</t>
  </si>
  <si>
    <t>SRR9114667</t>
  </si>
  <si>
    <t>SRR9114735</t>
  </si>
  <si>
    <t>SRR9114805</t>
  </si>
  <si>
    <t>SRR9114806</t>
  </si>
  <si>
    <t>SRR9117919</t>
  </si>
  <si>
    <t>SRR9127657</t>
  </si>
  <si>
    <t>SRR9127934</t>
  </si>
  <si>
    <t>SRR9127935</t>
  </si>
  <si>
    <t>SRR9185087</t>
  </si>
  <si>
    <t>swab of wheel stopper</t>
  </si>
  <si>
    <t>SRR9188563</t>
  </si>
  <si>
    <t>SRR9201572</t>
  </si>
  <si>
    <t>SRR9203974</t>
  </si>
  <si>
    <t>SRR9203980</t>
  </si>
  <si>
    <t>SRR9212059</t>
  </si>
  <si>
    <t>SRR9212585</t>
  </si>
  <si>
    <t>SRR9214234</t>
  </si>
  <si>
    <t>Environment Swabs</t>
  </si>
  <si>
    <t>SRR9214241</t>
  </si>
  <si>
    <t>SRR9214254</t>
  </si>
  <si>
    <t>SRR9216238</t>
  </si>
  <si>
    <t>SRR9216239</t>
  </si>
  <si>
    <t>SRR9216240</t>
  </si>
  <si>
    <t>SRR9216241</t>
  </si>
  <si>
    <t>SRR9216247</t>
  </si>
  <si>
    <t>SRR9216276</t>
  </si>
  <si>
    <t>SRR9216277</t>
  </si>
  <si>
    <t>SRR9216278</t>
  </si>
  <si>
    <t>SRR9216279</t>
  </si>
  <si>
    <t>SRR9216280</t>
  </si>
  <si>
    <t>SRR9216282</t>
  </si>
  <si>
    <t>SRR9216284</t>
  </si>
  <si>
    <t>SRR9216285</t>
  </si>
  <si>
    <t>SRR9216286</t>
  </si>
  <si>
    <t>SRR9216287</t>
  </si>
  <si>
    <t>SRR9216290</t>
  </si>
  <si>
    <t>SRR9216294</t>
  </si>
  <si>
    <t>SRR9216295</t>
  </si>
  <si>
    <t>SRR9216296</t>
  </si>
  <si>
    <t>SRR9216297</t>
  </si>
  <si>
    <t>SRR9216392</t>
  </si>
  <si>
    <t>SRR9216393</t>
  </si>
  <si>
    <t>SRR9221307</t>
  </si>
  <si>
    <t>SRR9264864</t>
  </si>
  <si>
    <t>SRR9273357</t>
  </si>
  <si>
    <t>SRR9273507</t>
  </si>
  <si>
    <t>SRR9280623</t>
  </si>
  <si>
    <t>SRR9280679</t>
  </si>
  <si>
    <t>SRR9281827</t>
  </si>
  <si>
    <t>SRR9281833</t>
  </si>
  <si>
    <t>SRR9281837</t>
  </si>
  <si>
    <t>SRR9281886</t>
  </si>
  <si>
    <t>SRR9281887</t>
  </si>
  <si>
    <t>SRR9281900</t>
  </si>
  <si>
    <t>SRR9282951</t>
  </si>
  <si>
    <t>SRR9282980</t>
  </si>
  <si>
    <t>SRR9283080</t>
  </si>
  <si>
    <t>SRR9283124</t>
  </si>
  <si>
    <t>SRR9283156</t>
  </si>
  <si>
    <t>SRR9283217</t>
  </si>
  <si>
    <t>SRR9283230</t>
  </si>
  <si>
    <t>SRR9284579</t>
  </si>
  <si>
    <t>SRR9284581</t>
  </si>
  <si>
    <t>SRR9289529</t>
  </si>
  <si>
    <t>SRR9304112</t>
  </si>
  <si>
    <t>SRR9306496</t>
  </si>
  <si>
    <t>SRR9306503</t>
  </si>
  <si>
    <t>SRR9306505</t>
  </si>
  <si>
    <t>SRR9306506</t>
  </si>
  <si>
    <t>SRR9306508</t>
  </si>
  <si>
    <t>SRR9306509</t>
  </si>
  <si>
    <t>SRR9306512</t>
  </si>
  <si>
    <t>SRR9306519</t>
  </si>
  <si>
    <t>SRR9306524</t>
  </si>
  <si>
    <t>SRR9310073</t>
  </si>
  <si>
    <t>Guacamole</t>
  </si>
  <si>
    <t>SRR9310246</t>
  </si>
  <si>
    <t>Swab-Hose</t>
  </si>
  <si>
    <t>SRR9310254</t>
  </si>
  <si>
    <t>Swab-Cheese press, not in use</t>
  </si>
  <si>
    <t>SRR9310256</t>
  </si>
  <si>
    <t>SRR9310267</t>
  </si>
  <si>
    <t>SRR9321735</t>
  </si>
  <si>
    <t>SRR9321746</t>
  </si>
  <si>
    <t>SRR9321747</t>
  </si>
  <si>
    <t>SRR9326683</t>
  </si>
  <si>
    <t>100 enviromental sampling subs with 3 closed controls</t>
  </si>
  <si>
    <t>SRR9326693</t>
  </si>
  <si>
    <t>SRR9326856</t>
  </si>
  <si>
    <t>SRR9326859</t>
  </si>
  <si>
    <t>SRR9335586</t>
  </si>
  <si>
    <t>queso fresco cotija</t>
  </si>
  <si>
    <t>SRR9335703</t>
  </si>
  <si>
    <t>SRR9421560</t>
  </si>
  <si>
    <t>SRR957729,SRR1041616</t>
  </si>
  <si>
    <t>SRR9595138</t>
  </si>
  <si>
    <t>SRR9595142</t>
  </si>
  <si>
    <t>SRR9595143</t>
  </si>
  <si>
    <t>SRR9595145</t>
  </si>
  <si>
    <t>SRR9595149</t>
  </si>
  <si>
    <t>SRR9595152</t>
  </si>
  <si>
    <t>SRR9596628</t>
  </si>
  <si>
    <t>SRR9598434</t>
  </si>
  <si>
    <t>SRR9602727</t>
  </si>
  <si>
    <t>SRR9613398</t>
  </si>
  <si>
    <t>SRR9616163</t>
  </si>
  <si>
    <t>SRR9616270</t>
  </si>
  <si>
    <t>SRR9616271</t>
  </si>
  <si>
    <t>SRR9616272</t>
  </si>
  <si>
    <t>SRR9616312</t>
  </si>
  <si>
    <t>SRR9616313</t>
  </si>
  <si>
    <t>SRR9616340</t>
  </si>
  <si>
    <t>SRR9616343</t>
  </si>
  <si>
    <t>SRR9616411</t>
  </si>
  <si>
    <t>SRR9616435</t>
  </si>
  <si>
    <t>SRR9616606</t>
  </si>
  <si>
    <t>SRR9616643</t>
  </si>
  <si>
    <t>SRR9616657</t>
  </si>
  <si>
    <t>SRR9616659</t>
  </si>
  <si>
    <t>SRR9617140</t>
  </si>
  <si>
    <t>SRR9617150</t>
  </si>
  <si>
    <t>SRR9617224</t>
  </si>
  <si>
    <t>SRR9617331</t>
  </si>
  <si>
    <t>SRR9617477</t>
  </si>
  <si>
    <t>SRR9617478</t>
  </si>
  <si>
    <t>SRR9617520</t>
  </si>
  <si>
    <t>SRR9617593</t>
  </si>
  <si>
    <t>SRR9617594</t>
  </si>
  <si>
    <t>SRR9617599</t>
  </si>
  <si>
    <t>SRR9617619</t>
  </si>
  <si>
    <t>SRR9617621</t>
  </si>
  <si>
    <t>SRR9617622</t>
  </si>
  <si>
    <t>SRR9617623</t>
  </si>
  <si>
    <t>SRR9617628</t>
  </si>
  <si>
    <t>SRR9617629</t>
  </si>
  <si>
    <t>SRR9617630</t>
  </si>
  <si>
    <t>SRR9617631</t>
  </si>
  <si>
    <t>SRR9617633</t>
  </si>
  <si>
    <t>SRR9617650</t>
  </si>
  <si>
    <t>SRR9617653</t>
  </si>
  <si>
    <t>SRR9617654</t>
  </si>
  <si>
    <t>SRR9617655</t>
  </si>
  <si>
    <t>SRR9617862</t>
  </si>
  <si>
    <t>SRR9617864</t>
  </si>
  <si>
    <t>SRR961943</t>
  </si>
  <si>
    <t>scallion cream cheese</t>
  </si>
  <si>
    <t>SRR9621177</t>
  </si>
  <si>
    <t>SRR9647291</t>
  </si>
  <si>
    <t>SRR9649482</t>
  </si>
  <si>
    <t>SRR9649484</t>
  </si>
  <si>
    <t>SRR9650352</t>
  </si>
  <si>
    <t>SRR9655167</t>
  </si>
  <si>
    <t>SRR9672084</t>
  </si>
  <si>
    <t>SRR9672088</t>
  </si>
  <si>
    <t>SRR9674853</t>
  </si>
  <si>
    <t>SRR9674884</t>
  </si>
  <si>
    <t>SRR9674886</t>
  </si>
  <si>
    <t>SRR9674903</t>
  </si>
  <si>
    <t>SRR9674942</t>
  </si>
  <si>
    <t>SRR9680706</t>
  </si>
  <si>
    <t>SRR9681976</t>
  </si>
  <si>
    <t>SRR9689831</t>
  </si>
  <si>
    <t>SRR9693740</t>
  </si>
  <si>
    <t>SRR9693741</t>
  </si>
  <si>
    <t>SRR9693748</t>
  </si>
  <si>
    <t>SRR9693792</t>
  </si>
  <si>
    <t>SRR9693793</t>
  </si>
  <si>
    <t>SRR9693842</t>
  </si>
  <si>
    <t>SRR9693870</t>
  </si>
  <si>
    <t>SRR9694045</t>
  </si>
  <si>
    <t>SRR9694055</t>
  </si>
  <si>
    <t>SRR9694059</t>
  </si>
  <si>
    <t>SRR9694061</t>
  </si>
  <si>
    <t>SRR9694063</t>
  </si>
  <si>
    <t>SRR9694115</t>
  </si>
  <si>
    <t>SRR9694117</t>
  </si>
  <si>
    <t>SRR9694118</t>
  </si>
  <si>
    <t>SRR9694119</t>
  </si>
  <si>
    <t>SRR9694125</t>
  </si>
  <si>
    <t>SRR9694126</t>
  </si>
  <si>
    <t>SRR9698570</t>
  </si>
  <si>
    <t>SRR9698571</t>
  </si>
  <si>
    <t>SRR9698691</t>
  </si>
  <si>
    <t>SRR9698694</t>
  </si>
  <si>
    <t>SRR9699207</t>
  </si>
  <si>
    <t>SRR9699209</t>
  </si>
  <si>
    <t>SRR9699223</t>
  </si>
  <si>
    <t>SRR9699230</t>
  </si>
  <si>
    <t>SRR9699344</t>
  </si>
  <si>
    <t>SRR9719342</t>
  </si>
  <si>
    <t>SRR9728939</t>
  </si>
  <si>
    <t>SRR9729855</t>
  </si>
  <si>
    <t>Uruguay</t>
  </si>
  <si>
    <t>SRR9730229</t>
  </si>
  <si>
    <t>SRR9732335</t>
  </si>
  <si>
    <t>SRR9732484</t>
  </si>
  <si>
    <t>SRR9732485</t>
  </si>
  <si>
    <t>SRR9732486</t>
  </si>
  <si>
    <t>SRR9732487</t>
  </si>
  <si>
    <t>SRR9732488</t>
  </si>
  <si>
    <t>SRR9732679</t>
  </si>
  <si>
    <t>SRR9732680</t>
  </si>
  <si>
    <t>SRR9732681</t>
  </si>
  <si>
    <t>SRR9732698</t>
  </si>
  <si>
    <t>SRR9732699</t>
  </si>
  <si>
    <t>SRR9732700</t>
  </si>
  <si>
    <t>SRR9732745</t>
  </si>
  <si>
    <t>SRR9733100</t>
  </si>
  <si>
    <t>SRR9733103</t>
  </si>
  <si>
    <t>SRR9733105</t>
  </si>
  <si>
    <t>SRR9733112</t>
  </si>
  <si>
    <t>SRR9733115</t>
  </si>
  <si>
    <t>SRR9733118</t>
  </si>
  <si>
    <t>SRR9733119</t>
  </si>
  <si>
    <t>SRR9733122</t>
  </si>
  <si>
    <t>SRR9733128</t>
  </si>
  <si>
    <t>SRR974852</t>
  </si>
  <si>
    <t>SRR974866</t>
  </si>
  <si>
    <t>SRR974871</t>
  </si>
  <si>
    <t>SRR974887</t>
  </si>
  <si>
    <t>SRR9822306</t>
  </si>
  <si>
    <t>SRR9829507</t>
  </si>
  <si>
    <t>SRR9829512</t>
  </si>
  <si>
    <t>SRR9831331</t>
  </si>
  <si>
    <t>SRR9831332</t>
  </si>
  <si>
    <t>SRR9831356</t>
  </si>
  <si>
    <t>SRR9831399</t>
  </si>
  <si>
    <t>SRR9831421</t>
  </si>
  <si>
    <t>SRR9831422</t>
  </si>
  <si>
    <t>SRR9831425</t>
  </si>
  <si>
    <t>SRR9831459</t>
  </si>
  <si>
    <t>SRR9831523</t>
  </si>
  <si>
    <t>SRR9839466</t>
  </si>
  <si>
    <t>SRR9847882</t>
  </si>
  <si>
    <t>SRR9860585</t>
  </si>
  <si>
    <t>Environmental swab (underside lip of hinged ice bin door in the processing room)</t>
  </si>
  <si>
    <t>SRR9860597</t>
  </si>
  <si>
    <t>Environmental swab (underside of mop sink in processing room)</t>
  </si>
  <si>
    <t>SRR9860661</t>
  </si>
  <si>
    <t>Environmental swab (beam floor juncture on west side of cooler door that opens to hallway shared with processing room, adjacent to thermometer monitoring station)</t>
  </si>
  <si>
    <t>SRR9861271</t>
  </si>
  <si>
    <t>SRR9886016</t>
  </si>
  <si>
    <t>SRR9886050</t>
  </si>
  <si>
    <t>SRR9886052</t>
  </si>
  <si>
    <t>SRR9886063</t>
  </si>
  <si>
    <t>SRR9886071</t>
  </si>
  <si>
    <t>SRR9886077</t>
  </si>
  <si>
    <t>SRR9886080</t>
  </si>
  <si>
    <t>SRR9886082</t>
  </si>
  <si>
    <t>SRR9886094</t>
  </si>
  <si>
    <t>SRR9886102</t>
  </si>
  <si>
    <t>SRR9886105</t>
  </si>
  <si>
    <t>SRR9886106</t>
  </si>
  <si>
    <t>SRR9886111</t>
  </si>
  <si>
    <t>SRR9886824</t>
  </si>
  <si>
    <t>SRR988685</t>
  </si>
  <si>
    <t>SRR988688</t>
  </si>
  <si>
    <t>SRR988692</t>
  </si>
  <si>
    <t>SRR988696</t>
  </si>
  <si>
    <t>SRR988729</t>
  </si>
  <si>
    <t>SRR988730</t>
  </si>
  <si>
    <t>SRR9895535</t>
  </si>
  <si>
    <t>SRR9898699</t>
  </si>
  <si>
    <t>SRR9911333</t>
  </si>
  <si>
    <t>SRR9943126</t>
  </si>
  <si>
    <t>Drain-deli</t>
  </si>
  <si>
    <t>SRR9943130</t>
  </si>
  <si>
    <t>Drain-raw meat</t>
  </si>
  <si>
    <t>SRR9943132</t>
  </si>
  <si>
    <t>Drain-seafood</t>
  </si>
  <si>
    <t>SRR9943559</t>
  </si>
  <si>
    <t>Drain-produce</t>
  </si>
  <si>
    <t>SRR9943566</t>
  </si>
  <si>
    <t>Deli case</t>
  </si>
  <si>
    <t>SRR9943584</t>
  </si>
  <si>
    <t>SRR9943585</t>
  </si>
  <si>
    <t>Sink interior</t>
  </si>
  <si>
    <t>SRR9943586</t>
  </si>
  <si>
    <t>SRR9943588</t>
  </si>
  <si>
    <t>Floor in dry aisle #3</t>
  </si>
  <si>
    <t>SRR9943590</t>
  </si>
  <si>
    <t>Floor in dry aisle</t>
  </si>
  <si>
    <t>SRR9943619</t>
  </si>
  <si>
    <t>SRR9951335</t>
  </si>
  <si>
    <t>SRR9951662</t>
  </si>
  <si>
    <t>SRR9951707</t>
  </si>
  <si>
    <t>SRR9951708</t>
  </si>
  <si>
    <t>SRR9951710</t>
  </si>
  <si>
    <t>SRR9951711</t>
  </si>
  <si>
    <t>SRR9951849</t>
  </si>
  <si>
    <t>SRR9952489</t>
  </si>
  <si>
    <t>SRR9952500</t>
  </si>
  <si>
    <t>SRR9952506</t>
  </si>
  <si>
    <t>SRR9952567</t>
  </si>
  <si>
    <t>SRR9952590</t>
  </si>
  <si>
    <t>SRR9952622</t>
  </si>
  <si>
    <t>SRR9961696</t>
  </si>
  <si>
    <t>SRR9973979</t>
  </si>
  <si>
    <t>SRR9988050</t>
  </si>
  <si>
    <t>SRR9988051</t>
  </si>
  <si>
    <t>SRR9988067</t>
  </si>
  <si>
    <t>SRR9988085</t>
  </si>
  <si>
    <t>SRR9988088</t>
  </si>
  <si>
    <t>SRR9988174</t>
  </si>
  <si>
    <t>SRR9988216</t>
  </si>
  <si>
    <t>SRR9995109</t>
  </si>
  <si>
    <t>SRR9998292</t>
  </si>
  <si>
    <t>SRR9998297</t>
  </si>
  <si>
    <t>SRR9998340</t>
  </si>
  <si>
    <t>SRS478488</t>
  </si>
  <si>
    <t>SRS478489</t>
  </si>
  <si>
    <t>SRS478490</t>
  </si>
  <si>
    <t>#FILE</t>
  </si>
  <si>
    <t>SEQUENCE</t>
  </si>
  <si>
    <t>START</t>
  </si>
  <si>
    <t>END</t>
  </si>
  <si>
    <t>STRAND</t>
  </si>
  <si>
    <t>GENE</t>
  </si>
  <si>
    <t>COVERAGE</t>
  </si>
  <si>
    <t>COVERAGE_MAP</t>
  </si>
  <si>
    <t>GAPS</t>
  </si>
  <si>
    <t>%COVERAGE</t>
  </si>
  <si>
    <t>%IDENTITY</t>
  </si>
  <si>
    <t>DATABASE</t>
  </si>
  <si>
    <t>ACCESSION</t>
  </si>
  <si>
    <t>PRODUCT</t>
  </si>
  <si>
    <t>RESISTANCE</t>
  </si>
  <si>
    <t>ERR2521471_1.fa</t>
  </si>
  <si>
    <t>NODE_16_length_59671_cov_1.886437</t>
  </si>
  <si>
    <t>bcrABC_JX023284.1_Listeria_monocytogenes_strain_L1624-a_BcrABC</t>
  </si>
  <si>
    <t>1-1406/1406</t>
  </si>
  <si>
    <t>===============</t>
  </si>
  <si>
    <t>0/0</t>
  </si>
  <si>
    <t>biocide_genes_db</t>
  </si>
  <si>
    <t>NODE_19_length_54346_cov_37.705620</t>
  </si>
  <si>
    <t>SRR13080131_qac_H_MK944277.1</t>
  </si>
  <si>
    <t>1-378/378</t>
  </si>
  <si>
    <t>SRR13080131_qac_H_MK944277.1 Listeria monocytogenes strain 16-LI00532-0 SMR efflux pump (qacH) gene complete cds</t>
  </si>
  <si>
    <t>ERR2521496_1.fa</t>
  </si>
  <si>
    <t>NODE_15_length_59982_cov_14.303383</t>
  </si>
  <si>
    <t>-</t>
  </si>
  <si>
    <t>NODE_18_length_54267_cov_3.970078</t>
  </si>
  <si>
    <t>ERR2521912_1.fa</t>
  </si>
  <si>
    <t>NODE_15_length_4392_cov_21.533880</t>
  </si>
  <si>
    <t>emrC_MT912503.1:2384-2770</t>
  </si>
  <si>
    <t>1-387/387</t>
  </si>
  <si>
    <t>emrC_MT912503.1:2384-2770 Listeria monocytogenes strain 766 PZH plasmid pLIS3</t>
  </si>
  <si>
    <t>NODE_9_length_81716_cov_34.283016</t>
  </si>
  <si>
    <t>ERR2521970_1.fa</t>
  </si>
  <si>
    <t>NODE_10_length_4392_cov_1.168347</t>
  </si>
  <si>
    <t>NODE_4_length_343393_cov_11.642668</t>
  </si>
  <si>
    <t>SRR13889048_qac_H_MK944277.1</t>
  </si>
  <si>
    <t>1-377/377</t>
  </si>
  <si>
    <t>SRR13889048_qac_H_MK944277.1 Listeria monocytogenes strain 16-LI00532-0 SMR efflux pump (qacH) gene complete cds</t>
  </si>
  <si>
    <t>ERR2938140_1.fa</t>
  </si>
  <si>
    <t>NODE_7_length_149021_cov_13.078579</t>
  </si>
  <si>
    <t>emrE_NC_013766.2:c1850670-1850347</t>
  </si>
  <si>
    <t>1-324/324</t>
  </si>
  <si>
    <t>emrE_NC_013766.2:c1850670-1850347 Listeria monocytogenes 08-5578</t>
  </si>
  <si>
    <t>SRR10505972_1.fa</t>
  </si>
  <si>
    <t>NODE_22_length_21054_cov_41.832991</t>
  </si>
  <si>
    <t>NODE_32_length_827_cov_1.192857</t>
  </si>
  <si>
    <t>SRR10505988_qac_H_MK944277.1</t>
  </si>
  <si>
    <t>SRR10505988_qac_H_MK944277.1 Listeria monocytogenes strain 16-LI00532-0 SMR efflux pump (qacH) gene complete cds</t>
  </si>
  <si>
    <t>SRR11262027_1.fa</t>
  </si>
  <si>
    <t>NODE_16_length_5354_cov_2.168357</t>
  </si>
  <si>
    <t>NODE_8_length_60648_cov_33.701955</t>
  </si>
  <si>
    <t>SRR11262034_1.fa</t>
  </si>
  <si>
    <t>NODE_1_length_483015_cov_34.140465</t>
  </si>
  <si>
    <t>SRR11262063_1.fa</t>
  </si>
  <si>
    <t>NODE_34_length_4916_cov_1.917102</t>
  </si>
  <si>
    <t>NODE_4_length_260203_cov_24.514457</t>
  </si>
  <si>
    <t>SRR6425172_1.fa</t>
  </si>
  <si>
    <t>NODE_29_length_2956_cov_3.570520</t>
  </si>
  <si>
    <t>NODE_43_length_1419_cov_135.976780</t>
  </si>
  <si>
    <t>SRR10480686_qac_H_MK944277.1</t>
  </si>
  <si>
    <t>SRR10480686_qac_H_MK944277.1 Listeria monocytogenes strain 16-LI00532-0 SMR efflux pump (qacH) gene complete cds</t>
  </si>
  <si>
    <t>SRR7172434_1.fa</t>
  </si>
  <si>
    <t>NODE_12_length_54067_cov_4.136785</t>
  </si>
  <si>
    <t>NODE_19_length_4364_cov_55.303634</t>
  </si>
  <si>
    <t>SRR7719026_1.fa</t>
  </si>
  <si>
    <t>two alleles</t>
  </si>
  <si>
    <t>NODE_195_length_5151_cov_1254.947054</t>
  </si>
  <si>
    <t>1-326/378</t>
  </si>
  <si>
    <t>=============..</t>
  </si>
  <si>
    <t>NODE_201_length_4725_cov_7.306438</t>
  </si>
  <si>
    <t>SRR7828067_1.fa</t>
  </si>
  <si>
    <t>NODE_20_length_4364_cov_0.119578</t>
  </si>
  <si>
    <t>NODE_2_length_560469_cov_1.081409</t>
  </si>
  <si>
    <t>SRR13080098_qac_H_MK944277.1</t>
  </si>
  <si>
    <t>SRR13080098_qac_H_MK944277.1 Listeria monocytogenes strain 16-LI00532-0 SMR efflux pump (qacH) gene complete cds</t>
  </si>
  <si>
    <t>SRR7841120_1.fa</t>
  </si>
  <si>
    <t>NODE_150_length_4885_cov_2.966778</t>
  </si>
  <si>
    <t>NODE_158_length_4380_cov_4.099743</t>
  </si>
  <si>
    <t>SRR7842283_1.fa</t>
  </si>
  <si>
    <t>NODE_178_length_4364_cov_8.779367</t>
  </si>
  <si>
    <t>NODE_1_length_76489_cov_1.735463</t>
  </si>
  <si>
    <t>SRR7850268_1.fa</t>
  </si>
  <si>
    <t>NODE_198_length_5383_cov_0.675435</t>
  </si>
  <si>
    <t>NODE_242_length_4362_cov_13.758855</t>
  </si>
  <si>
    <t>SRR7850331_1.fa</t>
  </si>
  <si>
    <t>NODE_20_length_50806_cov_2.556866</t>
  </si>
  <si>
    <t>NODE_2_length_274640_cov_1.334278</t>
  </si>
  <si>
    <t>SRR8501650_1.fa</t>
  </si>
  <si>
    <t>NODE_13_length_33590_cov_21.459821</t>
  </si>
  <si>
    <t>SRR8535206_1.fa</t>
  </si>
  <si>
    <t>NODE_25_length_21065_cov_29.459834</t>
  </si>
  <si>
    <t>SRR8535444_1.fa</t>
  </si>
  <si>
    <t>NODE_13_length_9785_cov_25.046801</t>
  </si>
  <si>
    <t>SRR8535446_1.fa</t>
  </si>
  <si>
    <t>NODE_18_length_14165_cov_33.238282</t>
  </si>
  <si>
    <t>SRR8697005_1.fa</t>
  </si>
  <si>
    <t>NODE_19_length_13109_cov_60.478740</t>
  </si>
  <si>
    <t>bcrABC, qacH</t>
  </si>
  <si>
    <t>emrC, bcrABC</t>
  </si>
  <si>
    <t>emrC, qacH</t>
  </si>
  <si>
    <t>emrE, emrC</t>
  </si>
  <si>
    <t>qacH, emrC</t>
  </si>
  <si>
    <t>qacH, bcrABC</t>
  </si>
  <si>
    <t>bcrABC, bcrABC</t>
  </si>
  <si>
    <t>MLST</t>
  </si>
  <si>
    <t>DDAC_phenotype</t>
  </si>
  <si>
    <t>Mida_phenotype</t>
  </si>
  <si>
    <t>BC_phenotype</t>
  </si>
  <si>
    <t>tolerant</t>
  </si>
  <si>
    <t>sensitive</t>
  </si>
  <si>
    <t xml:space="preserve">20-LI00496-0 </t>
  </si>
  <si>
    <t>19-LI00312-0</t>
  </si>
  <si>
    <t>20-LI00704-0</t>
  </si>
  <si>
    <t>17-LI00066-0</t>
  </si>
  <si>
    <t>SRS17866374</t>
  </si>
  <si>
    <t>SRS17866370</t>
  </si>
  <si>
    <t>SRS17866390</t>
  </si>
  <si>
    <t>SRS17866393</t>
  </si>
  <si>
    <t>SRS17866406</t>
  </si>
  <si>
    <t>SRS17866416</t>
  </si>
  <si>
    <t>SRS17866425</t>
  </si>
  <si>
    <t>SRS17866444</t>
  </si>
  <si>
    <t>SRS17866443</t>
  </si>
  <si>
    <t>SRS17866442</t>
  </si>
  <si>
    <t>SRS17866375</t>
  </si>
  <si>
    <t>SRS17866372</t>
  </si>
  <si>
    <t>SRS17866379</t>
  </si>
  <si>
    <t>SRS17866373</t>
  </si>
  <si>
    <t>SRS17866377</t>
  </si>
  <si>
    <t>SRS17866378</t>
  </si>
  <si>
    <t>SRS17866376</t>
  </si>
  <si>
    <t>SRS17866381</t>
  </si>
  <si>
    <t>SRS17866380</t>
  </si>
  <si>
    <t>SRS17866389</t>
  </si>
  <si>
    <t>SRS17866394</t>
  </si>
  <si>
    <t>SRS17866399</t>
  </si>
  <si>
    <t>SRS17866383</t>
  </si>
  <si>
    <t>SRS17866385</t>
  </si>
  <si>
    <t>SRS17866382</t>
  </si>
  <si>
    <t>SRS17866388</t>
  </si>
  <si>
    <t>SRS17866384</t>
  </si>
  <si>
    <t>SRS17866386</t>
  </si>
  <si>
    <t>SRS1786641</t>
  </si>
  <si>
    <t>SRS17866387</t>
  </si>
  <si>
    <t>SRS17866395</t>
  </si>
  <si>
    <t>SRS17866392</t>
  </si>
  <si>
    <t>SRS17866391</t>
  </si>
  <si>
    <t>SRS17866421</t>
  </si>
  <si>
    <t>SRS17866396</t>
  </si>
  <si>
    <t>SRS17866401</t>
  </si>
  <si>
    <t>SRS17866402</t>
  </si>
  <si>
    <t>SRS17866397</t>
  </si>
  <si>
    <t>SRS17866400</t>
  </si>
  <si>
    <t>SRS17866398</t>
  </si>
  <si>
    <t>SRS17866409</t>
  </si>
  <si>
    <t>SRS17866413</t>
  </si>
  <si>
    <t>SRS17866410</t>
  </si>
  <si>
    <t>SRS17866412</t>
  </si>
  <si>
    <t>SRS17866411</t>
  </si>
  <si>
    <t>SRS17866415</t>
  </si>
  <si>
    <t>SRS17866418</t>
  </si>
  <si>
    <t>SRS17866420</t>
  </si>
  <si>
    <t>SRS17866417</t>
  </si>
  <si>
    <t>SRS17866419</t>
  </si>
  <si>
    <t>SRS17866422</t>
  </si>
  <si>
    <t>SRS17866445</t>
  </si>
  <si>
    <t>SRS17866429</t>
  </si>
  <si>
    <t>SRS17866424</t>
  </si>
  <si>
    <t>SRS17866423</t>
  </si>
  <si>
    <t>SRS17866427</t>
  </si>
  <si>
    <t>SRS17866426</t>
  </si>
  <si>
    <t>SRS17866428</t>
  </si>
  <si>
    <t>SRS17866431</t>
  </si>
  <si>
    <t>SRS17866430</t>
  </si>
  <si>
    <t>SRS17866432</t>
  </si>
  <si>
    <t>SRS17866433</t>
  </si>
  <si>
    <t>SRS17866435</t>
  </si>
  <si>
    <t>SRS17866441</t>
  </si>
  <si>
    <t>SRS17866434</t>
  </si>
  <si>
    <t>SRS17866436</t>
  </si>
  <si>
    <t>SRS17866403</t>
  </si>
  <si>
    <t>SRS17866405</t>
  </si>
  <si>
    <t>SRS17866407</t>
  </si>
  <si>
    <t>SRS17866404</t>
  </si>
  <si>
    <t>SRS17866408</t>
  </si>
  <si>
    <t>SRS17866439</t>
  </si>
  <si>
    <t>SRS17866437</t>
  </si>
  <si>
    <t>SRS17866438</t>
  </si>
  <si>
    <t>SRS17866440</t>
  </si>
  <si>
    <t>Germany_BfR</t>
  </si>
  <si>
    <t>ERR10109349</t>
  </si>
  <si>
    <t>ERR10109350</t>
  </si>
  <si>
    <t>ERR10109351</t>
  </si>
  <si>
    <t>ERR10109352</t>
  </si>
  <si>
    <t>ERR10109353</t>
  </si>
  <si>
    <t>ERR10109354</t>
  </si>
  <si>
    <t>ERR10109355</t>
  </si>
  <si>
    <t>ERR10109356</t>
  </si>
  <si>
    <t>ERR10109357</t>
  </si>
  <si>
    <t>ERR10109358</t>
  </si>
  <si>
    <t>ERR10109359</t>
  </si>
  <si>
    <t>ERR10109360</t>
  </si>
  <si>
    <t>ERR10109361</t>
  </si>
  <si>
    <t>ERR10109362</t>
  </si>
  <si>
    <t>ERR10109363</t>
  </si>
  <si>
    <t>ERR10109364</t>
  </si>
  <si>
    <t>ERR10109365</t>
  </si>
  <si>
    <t>ERR10109366</t>
  </si>
  <si>
    <t>ERR10109367</t>
  </si>
  <si>
    <t>ERR10109368</t>
  </si>
  <si>
    <t>ERR10109369</t>
  </si>
  <si>
    <t>ERR10109370</t>
  </si>
  <si>
    <t>ERR10109371</t>
  </si>
  <si>
    <t>ERR10109372</t>
  </si>
  <si>
    <t>ERR10109373</t>
  </si>
  <si>
    <t>ERR10109374</t>
  </si>
  <si>
    <t>ERR10109375</t>
  </si>
  <si>
    <t>ERR10109376</t>
  </si>
  <si>
    <t>ERR10109377</t>
  </si>
  <si>
    <t>ERR10109378</t>
  </si>
  <si>
    <t>ERR10109379</t>
  </si>
  <si>
    <t>ERR10109380</t>
  </si>
  <si>
    <t>ERR10109381</t>
  </si>
  <si>
    <t>ERR10109382</t>
  </si>
  <si>
    <t>ERR10109383</t>
  </si>
  <si>
    <t>ERR10109384</t>
  </si>
  <si>
    <t>ERR10109385</t>
  </si>
  <si>
    <t>ERR10109386</t>
  </si>
  <si>
    <t>ERR10109387</t>
  </si>
  <si>
    <t>ERR10109388</t>
  </si>
  <si>
    <t>ERR10109389</t>
  </si>
  <si>
    <t>ERR10109390</t>
  </si>
  <si>
    <t>ERR10109391</t>
  </si>
  <si>
    <t>ERR10109392</t>
  </si>
  <si>
    <t>ERR10109393</t>
  </si>
  <si>
    <t>ERR10109394</t>
  </si>
  <si>
    <t>ERR10109395</t>
  </si>
  <si>
    <t>ERR10109396</t>
  </si>
  <si>
    <t>ERR10109397</t>
  </si>
  <si>
    <t>Isolation source</t>
  </si>
  <si>
    <t>SRR13588381</t>
  </si>
  <si>
    <t>SRR13588424</t>
  </si>
  <si>
    <t>SRR13378931</t>
  </si>
  <si>
    <t>SRR13588388</t>
  </si>
  <si>
    <t>SRR13588326</t>
  </si>
  <si>
    <t>SRR13588254</t>
  </si>
  <si>
    <t>SRR13588243</t>
  </si>
  <si>
    <t>SRR13588232</t>
  </si>
  <si>
    <t>SRR13588380</t>
  </si>
  <si>
    <t>SRR13588221</t>
  </si>
  <si>
    <t>SRR13588379</t>
  </si>
  <si>
    <t>SRR3099223</t>
  </si>
  <si>
    <t>SRR3099222</t>
  </si>
  <si>
    <t>SRR13588299</t>
  </si>
  <si>
    <t>SRR13588169</t>
  </si>
  <si>
    <t>SRR11262174</t>
  </si>
  <si>
    <t>SRR13588288</t>
  </si>
  <si>
    <t>SRR13588282</t>
  </si>
  <si>
    <t>SRR13588280</t>
  </si>
  <si>
    <t>SRR13588168</t>
  </si>
  <si>
    <t>SRR13588166</t>
  </si>
  <si>
    <t>SRR13588375</t>
  </si>
  <si>
    <t>SRR3099224</t>
  </si>
  <si>
    <t>SRR13588372</t>
  </si>
  <si>
    <t>SRR11262193</t>
  </si>
  <si>
    <t>SRR13588371</t>
  </si>
  <si>
    <t>SRR13588369</t>
  </si>
  <si>
    <t>SRR13588158</t>
  </si>
  <si>
    <t>SRR11262017</t>
  </si>
  <si>
    <t>SRR13378850</t>
  </si>
  <si>
    <t>SRR13378839</t>
  </si>
  <si>
    <t>SRR13378828</t>
  </si>
  <si>
    <t>SRR11262097</t>
  </si>
  <si>
    <t>SRR13378918</t>
  </si>
  <si>
    <t>SRR13378896</t>
  </si>
  <si>
    <t>SRR13588270</t>
  </si>
  <si>
    <t>SRR13588261</t>
  </si>
  <si>
    <t>SRR13588253</t>
  </si>
  <si>
    <t>SRR13588251</t>
  </si>
  <si>
    <t>SRR13588247</t>
  </si>
  <si>
    <t>SRR13588227</t>
  </si>
  <si>
    <t>SRR13588226</t>
  </si>
  <si>
    <t>SRR13588363</t>
  </si>
  <si>
    <t>SRR13588211</t>
  </si>
  <si>
    <t>SRR13588205</t>
  </si>
  <si>
    <t>SRR13588321</t>
  </si>
  <si>
    <t>SRR13588356</t>
  </si>
  <si>
    <t>SRR13588353</t>
  </si>
  <si>
    <t>SRR13588314</t>
  </si>
  <si>
    <t>SRR13588313</t>
  </si>
  <si>
    <t>SRR13588312</t>
  </si>
  <si>
    <t>SRR13588350</t>
  </si>
  <si>
    <t>SRR13588345</t>
  </si>
  <si>
    <t>SRR13588306</t>
  </si>
  <si>
    <t>SRR13588301</t>
  </si>
  <si>
    <t>SRR13588293</t>
  </si>
  <si>
    <t>SRR13588290</t>
  </si>
  <si>
    <t>SRR13588139</t>
  </si>
  <si>
    <t>SRR13588138</t>
  </si>
  <si>
    <t>SRR13588135</t>
  </si>
  <si>
    <t>SRR13588124</t>
  </si>
  <si>
    <t>SRR13588121</t>
  </si>
  <si>
    <t>SRR13588118</t>
  </si>
  <si>
    <t>SRR13588110</t>
  </si>
  <si>
    <t>SRR13588333</t>
  </si>
  <si>
    <t>SRR13588445</t>
  </si>
  <si>
    <t>SRR13588099</t>
  </si>
  <si>
    <t>SRR13588090</t>
  </si>
  <si>
    <t>SRR13588190</t>
  </si>
  <si>
    <t>SRR13588186</t>
  </si>
  <si>
    <t>SRR13588185</t>
  </si>
  <si>
    <t>SRR13588176</t>
  </si>
  <si>
    <t>SRR13588433</t>
  </si>
  <si>
    <t>SRR13588430</t>
  </si>
  <si>
    <t>SRR13588429</t>
  </si>
  <si>
    <t>SRR13588416</t>
  </si>
  <si>
    <t>SRR13378876</t>
  </si>
  <si>
    <t>SRR13588406</t>
  </si>
  <si>
    <t>SRR13588401</t>
  </si>
  <si>
    <t>SRR13378865</t>
  </si>
  <si>
    <t>SRR13378860</t>
  </si>
  <si>
    <t>SRR13378856</t>
  </si>
  <si>
    <t>SRR13378854</t>
  </si>
  <si>
    <t>SRR13378836</t>
  </si>
  <si>
    <t>SRR13378833</t>
  </si>
  <si>
    <t>SRR13378822</t>
  </si>
  <si>
    <t>SRR13378920</t>
  </si>
  <si>
    <t>SRR13378909</t>
  </si>
  <si>
    <t>SRR13378897</t>
  </si>
  <si>
    <t>SRR10859000</t>
  </si>
  <si>
    <t>SRR13389155</t>
  </si>
  <si>
    <t>SRR12403617</t>
  </si>
  <si>
    <t>SRR11430184</t>
  </si>
  <si>
    <t>SRR10886935</t>
  </si>
  <si>
    <t>ERR10109347</t>
  </si>
  <si>
    <t>18_2b</t>
  </si>
  <si>
    <t>ERR10109463</t>
  </si>
  <si>
    <t>ERR10109398</t>
  </si>
  <si>
    <t>ERR10109399</t>
  </si>
  <si>
    <t>ERR10109400</t>
  </si>
  <si>
    <t>ERR10109401</t>
  </si>
  <si>
    <t>ERR10109402</t>
  </si>
  <si>
    <t>ERR10109403</t>
  </si>
  <si>
    <t>ERR10109404</t>
  </si>
  <si>
    <t>ERR10109405</t>
  </si>
  <si>
    <t>ERR10109407</t>
  </si>
  <si>
    <t>ERR10109408</t>
  </si>
  <si>
    <t>ERR10109406</t>
  </si>
  <si>
    <t>ERR10109410</t>
  </si>
  <si>
    <t>ERR10109411</t>
  </si>
  <si>
    <t>ERR10109412</t>
  </si>
  <si>
    <t>ERR10109413</t>
  </si>
  <si>
    <t>ERR10109414</t>
  </si>
  <si>
    <t>ERR10109415</t>
  </si>
  <si>
    <t>ERR10109416</t>
  </si>
  <si>
    <t>ERR10109417</t>
  </si>
  <si>
    <t>ERR10109418</t>
  </si>
  <si>
    <t>ERR10109419</t>
  </si>
  <si>
    <t>ERR10109420</t>
  </si>
  <si>
    <t>ERR10109421</t>
  </si>
  <si>
    <t>ERR10109422</t>
  </si>
  <si>
    <t>ERR10109423</t>
  </si>
  <si>
    <t>ERR10109424</t>
  </si>
  <si>
    <t>ERR10109425</t>
  </si>
  <si>
    <t>ERR10109426</t>
  </si>
  <si>
    <t>ERR10109427</t>
  </si>
  <si>
    <t>ERR10109428</t>
  </si>
  <si>
    <t>ERR10109429</t>
  </si>
  <si>
    <t>ERR10109430</t>
  </si>
  <si>
    <t>ERR10109431</t>
  </si>
  <si>
    <t>ERR10109432</t>
  </si>
  <si>
    <t>ERR10109433</t>
  </si>
  <si>
    <t>ERR10109436</t>
  </si>
  <si>
    <t>ERR10109437</t>
  </si>
  <si>
    <t>ERR10109438</t>
  </si>
  <si>
    <t>ERR10109434</t>
  </si>
  <si>
    <t>ERR10109435</t>
  </si>
  <si>
    <t>ERR10109442</t>
  </si>
  <si>
    <t>ERR10109440</t>
  </si>
  <si>
    <t>ERR10109441</t>
  </si>
  <si>
    <t>ERR10109443</t>
  </si>
  <si>
    <t>ERR10109444</t>
  </si>
  <si>
    <t>ERR10109445</t>
  </si>
  <si>
    <t>ERR10109446</t>
  </si>
  <si>
    <t>ERR10109447</t>
  </si>
  <si>
    <t>ERR10109448</t>
  </si>
  <si>
    <t>ERR10109449</t>
  </si>
  <si>
    <t>ERR10109450</t>
  </si>
  <si>
    <t>ERR10109451</t>
  </si>
  <si>
    <t>ERR10109452</t>
  </si>
  <si>
    <t>ERR10109453</t>
  </si>
  <si>
    <t>ERR10109454</t>
  </si>
  <si>
    <t>ERR10109455</t>
  </si>
  <si>
    <t>ERR10109456</t>
  </si>
  <si>
    <t>ERR10109457</t>
  </si>
  <si>
    <t>ERR10109458</t>
  </si>
  <si>
    <t>ERR10109459</t>
  </si>
  <si>
    <t>ERR10109460</t>
  </si>
  <si>
    <t>ERR10109461</t>
  </si>
  <si>
    <t>ERR10109462</t>
  </si>
  <si>
    <t xml:space="preserve">ERS4774077 (SAMEA7006248) </t>
  </si>
  <si>
    <t xml:space="preserve">ERS4774028 (SAMEA7006199) </t>
  </si>
  <si>
    <t xml:space="preserve">ERS4774030 (SAMEA7006201) </t>
  </si>
  <si>
    <t xml:space="preserve">ERS4774029 (SAMEA7006200) </t>
  </si>
  <si>
    <t xml:space="preserve">ERS4774079 (SAMEA7006250) </t>
  </si>
  <si>
    <t xml:space="preserve">ERS4774062 (SAMEA7006233) </t>
  </si>
  <si>
    <t xml:space="preserve">ERS4774042 (SAMEA7006213) </t>
  </si>
  <si>
    <t xml:space="preserve">ERS4774055 (SAMEA7006226) </t>
  </si>
  <si>
    <t xml:space="preserve">ERS4774073 (SAMEA7006244) </t>
  </si>
  <si>
    <t xml:space="preserve">ERS4774060 (SAMEA7006231) </t>
  </si>
  <si>
    <t xml:space="preserve">ERS4774050 (SAMEA7006221) </t>
  </si>
  <si>
    <t xml:space="preserve">ERS4774059 (SAMEA7006230) </t>
  </si>
  <si>
    <t xml:space="preserve">ERS4774048 (SAMEA7006219) </t>
  </si>
  <si>
    <t xml:space="preserve">ERS4774026 (SAMEA7006197) </t>
  </si>
  <si>
    <t xml:space="preserve">ERS4774051 (SAMEA7006222) </t>
  </si>
  <si>
    <t xml:space="preserve">ERS4774074 (SAMEA7006245) </t>
  </si>
  <si>
    <t xml:space="preserve">ERS4774082 (SAMEA7006253) </t>
  </si>
  <si>
    <t xml:space="preserve">ERS4774053 (SAMEA7006224) </t>
  </si>
  <si>
    <t xml:space="preserve">ERS4774069 (SAMEA7006240) </t>
  </si>
  <si>
    <t xml:space="preserve">ERS4774047 (SAMEA7006218) </t>
  </si>
  <si>
    <t xml:space="preserve">ERS4774052 (SAMEA7006223) </t>
  </si>
  <si>
    <t xml:space="preserve">ERS4774046 (SAMEA7006217) </t>
  </si>
  <si>
    <t xml:space="preserve">ERS4774027 (SAMEA7006198) </t>
  </si>
  <si>
    <t xml:space="preserve">ERS4774025 (SAMEA7006196) </t>
  </si>
  <si>
    <t xml:space="preserve">ERS4774035 (SAMEA7006206) </t>
  </si>
  <si>
    <t xml:space="preserve">ERS4774037 (SAMEA7006208) </t>
  </si>
  <si>
    <t xml:space="preserve">ERS4774061 (SAMEA7006232) </t>
  </si>
  <si>
    <t xml:space="preserve">ERS4774078 (SAMEA7006249) </t>
  </si>
  <si>
    <t xml:space="preserve">ERS4774031 (SAMEA7006202) </t>
  </si>
  <si>
    <t xml:space="preserve">ERS4774080 (SAMEA7006251) </t>
  </si>
  <si>
    <t xml:space="preserve">ERS4774076 (SAMEA7006247) </t>
  </si>
  <si>
    <t xml:space="preserve">ERS4774036 (SAMEA7006207) </t>
  </si>
  <si>
    <t xml:space="preserve">ERS4774038 (SAMEA7006209) </t>
  </si>
  <si>
    <t xml:space="preserve">ERS4774054 (SAMEA7006225) </t>
  </si>
  <si>
    <t xml:space="preserve">ERS4774032 (SAMEA7006203) </t>
  </si>
  <si>
    <t xml:space="preserve">ERS4774083 (SAMEA7006254) </t>
  </si>
  <si>
    <t xml:space="preserve">ERS4774075 (SAMEA7006246) </t>
  </si>
  <si>
    <t xml:space="preserve">ERS4774049 (SAMEA7006220) </t>
  </si>
  <si>
    <t xml:space="preserve">ERS4774034 (SAMEA7006205) </t>
  </si>
  <si>
    <t xml:space="preserve">ERS4774033 (SAMEA7006204) </t>
  </si>
  <si>
    <t xml:space="preserve">ERS4774068 (SAMEA7006239) </t>
  </si>
  <si>
    <t xml:space="preserve">ERS4774058 (SAMEA7006229) </t>
  </si>
  <si>
    <t xml:space="preserve">ERS4774043 (SAMEA7006214) </t>
  </si>
  <si>
    <t xml:space="preserve">ERS4774067 (SAMEA7006238) </t>
  </si>
  <si>
    <t xml:space="preserve">ERS4774041 (SAMEA7006212) </t>
  </si>
  <si>
    <t xml:space="preserve">ERS4774044 (SAMEA7006215) </t>
  </si>
  <si>
    <t xml:space="preserve">ERS4774039 (SAMEA7006210) </t>
  </si>
  <si>
    <t xml:space="preserve">ERS4774040 (SAMEA7006211) </t>
  </si>
  <si>
    <t xml:space="preserve">ERS4774056 (SAMEA7006227) </t>
  </si>
  <si>
    <t xml:space="preserve">ERS4774066 (SAMEA7006237) </t>
  </si>
  <si>
    <t xml:space="preserve">ERS4774022 (SAMEA7006193) </t>
  </si>
  <si>
    <t xml:space="preserve">ERS4774065 (SAMEA7006236) </t>
  </si>
  <si>
    <t xml:space="preserve">ERS4774072 (SAMEA7006243) </t>
  </si>
  <si>
    <t xml:space="preserve">ERS4774071 (SAMEA7006242) </t>
  </si>
  <si>
    <t xml:space="preserve">ERS4774063 (SAMEA7006234) </t>
  </si>
  <si>
    <t xml:space="preserve">ERS4774070 (SAMEA7006241) </t>
  </si>
  <si>
    <t xml:space="preserve">ERS4774057 (SAMEA7006228) </t>
  </si>
  <si>
    <t xml:space="preserve">ERS4774064 (SAMEA7006235) </t>
  </si>
  <si>
    <t>ERR10109335</t>
  </si>
  <si>
    <t>ERR10109336</t>
  </si>
  <si>
    <t>ERR10109337</t>
  </si>
  <si>
    <t>ERR10109338</t>
  </si>
  <si>
    <t>ERR10109339</t>
  </si>
  <si>
    <t>ERR10109344</t>
  </si>
  <si>
    <t>ERR10109345</t>
  </si>
  <si>
    <t>ERR10109346</t>
  </si>
  <si>
    <t>ERR10109343</t>
  </si>
  <si>
    <t>ERR10549875</t>
  </si>
  <si>
    <t>ERR10611958</t>
  </si>
  <si>
    <t>ERR10549789</t>
  </si>
  <si>
    <t>ERR10612099</t>
  </si>
  <si>
    <t>ERR10611922</t>
  </si>
  <si>
    <t>ERR10611928</t>
  </si>
  <si>
    <t>SAMN02603776</t>
  </si>
  <si>
    <t>SAMN22570436</t>
  </si>
  <si>
    <t>GCF_000212455.1</t>
  </si>
  <si>
    <t>SRR22362546</t>
  </si>
  <si>
    <t>SRR22336613</t>
  </si>
  <si>
    <t>SRR22336611</t>
  </si>
  <si>
    <t>SRS15801914</t>
  </si>
  <si>
    <t>SRS15801912</t>
  </si>
  <si>
    <t>SRS15801913</t>
  </si>
  <si>
    <t>SRS15801915</t>
  </si>
  <si>
    <t>SRS15801916</t>
  </si>
  <si>
    <t>SRS15801917</t>
  </si>
  <si>
    <t>SRS15801918</t>
  </si>
  <si>
    <t>SRS15801919</t>
  </si>
  <si>
    <t>ERR10109340</t>
  </si>
  <si>
    <t>ERR10109341</t>
  </si>
  <si>
    <t>ERR10109342</t>
  </si>
  <si>
    <t>ERR12036886</t>
  </si>
  <si>
    <t>ERR12036887</t>
  </si>
  <si>
    <t>ERR12036888</t>
  </si>
  <si>
    <t>ERR12036889</t>
  </si>
  <si>
    <t>ERR12036890</t>
  </si>
  <si>
    <t>ERR12036891</t>
  </si>
  <si>
    <t>ERR12036827</t>
  </si>
  <si>
    <t>ERR12036828</t>
  </si>
  <si>
    <t>ERR12036829</t>
  </si>
  <si>
    <t>ERR12036830</t>
  </si>
  <si>
    <t>SRX8787034</t>
  </si>
  <si>
    <t>SRX8787031</t>
  </si>
  <si>
    <t>SRX8787032</t>
  </si>
  <si>
    <t>SRX8787033</t>
  </si>
  <si>
    <t>ERR10549977</t>
  </si>
  <si>
    <t>2_ITA</t>
  </si>
  <si>
    <t>ERR10550012</t>
  </si>
  <si>
    <t>ERR10549933</t>
  </si>
  <si>
    <t>ERR10549966</t>
  </si>
  <si>
    <t>65_ITA</t>
  </si>
  <si>
    <t>85_ITA</t>
  </si>
  <si>
    <t>93_ITA</t>
  </si>
  <si>
    <t>14020703-1_S16_L001_R1_001 (not in gwas)</t>
  </si>
  <si>
    <t>18_4a</t>
  </si>
  <si>
    <t>3R_23-1</t>
  </si>
  <si>
    <t>ERR12036831</t>
  </si>
  <si>
    <t>ERR12036879</t>
  </si>
  <si>
    <t>ERR12036880</t>
  </si>
  <si>
    <t>ERR12036881</t>
  </si>
  <si>
    <t>ERR12036882</t>
  </si>
  <si>
    <t>ERR12036883</t>
  </si>
  <si>
    <t>ERR12036884</t>
  </si>
  <si>
    <t>ERR12036885</t>
  </si>
  <si>
    <t>ERR12036877</t>
  </si>
  <si>
    <t>ERR12036876</t>
  </si>
  <si>
    <t>ERR12036875</t>
  </si>
  <si>
    <t>ERR12036873</t>
  </si>
  <si>
    <t>ERR12036871</t>
  </si>
  <si>
    <t>ERR12036872</t>
  </si>
  <si>
    <t>ERR12036867</t>
  </si>
  <si>
    <t>ERR12036868</t>
  </si>
  <si>
    <t>ERR12036869</t>
  </si>
  <si>
    <t>ERR12036865</t>
  </si>
  <si>
    <t>ERR12036862</t>
  </si>
  <si>
    <t>ERR12036860</t>
  </si>
  <si>
    <t>ERR12036858</t>
  </si>
  <si>
    <t>ERR12036853</t>
  </si>
  <si>
    <t>ERR12036854</t>
  </si>
  <si>
    <t>ERR12036855</t>
  </si>
  <si>
    <t>ERR12036856</t>
  </si>
  <si>
    <t>ERR12036857</t>
  </si>
  <si>
    <t>ERR12036849</t>
  </si>
  <si>
    <t>ERR12036850</t>
  </si>
  <si>
    <t>ERR12036843</t>
  </si>
  <si>
    <t>ERR12036844</t>
  </si>
  <si>
    <t>ERR12036845</t>
  </si>
  <si>
    <t>ERR12036846</t>
  </si>
  <si>
    <t>ERR12036847</t>
  </si>
  <si>
    <t>ERR12036841</t>
  </si>
  <si>
    <t>ERR12036842</t>
  </si>
  <si>
    <t>ERR12036838</t>
  </si>
  <si>
    <t>ERR12036839</t>
  </si>
  <si>
    <t>ERR12036840</t>
  </si>
  <si>
    <t>ERR12036833</t>
  </si>
  <si>
    <t>ERR12036834</t>
  </si>
  <si>
    <t>ERR12036836</t>
  </si>
  <si>
    <t>ERR12036832</t>
  </si>
  <si>
    <t>ERR12036835</t>
  </si>
  <si>
    <t>ERR12036837</t>
  </si>
  <si>
    <t>ERR12036848</t>
  </si>
  <si>
    <t>ERR12036851</t>
  </si>
  <si>
    <t>ERR12036852</t>
  </si>
  <si>
    <t>ERR12036859</t>
  </si>
  <si>
    <t>ERR12036861</t>
  </si>
  <si>
    <t>ERR12036863</t>
  </si>
  <si>
    <t>ERR12036864</t>
  </si>
  <si>
    <t>ERR12036866</t>
  </si>
  <si>
    <t>ERR12036874</t>
  </si>
  <si>
    <t>ERR12036878</t>
  </si>
  <si>
    <t>Isolation_source</t>
  </si>
  <si>
    <t>Isolate_ID</t>
  </si>
  <si>
    <t>Other_name</t>
  </si>
  <si>
    <t>Accession_number</t>
  </si>
  <si>
    <t>Isolation_year</t>
  </si>
  <si>
    <t>Country_of_collection</t>
  </si>
  <si>
    <t>PCR serogroup</t>
  </si>
  <si>
    <t>Clonal complex</t>
  </si>
  <si>
    <t>AUC control</t>
  </si>
  <si>
    <t>AUC treatment</t>
  </si>
  <si>
    <t>Percentage change in area under the curve (∆PAUC)</t>
  </si>
  <si>
    <t>725-13</t>
  </si>
  <si>
    <t xml:space="preserve"> </t>
  </si>
  <si>
    <t>strain 4</t>
  </si>
  <si>
    <t>1691-13</t>
  </si>
  <si>
    <t>723-13</t>
  </si>
  <si>
    <t>1705-13</t>
  </si>
  <si>
    <t>strain 10</t>
  </si>
  <si>
    <t>strain 9</t>
  </si>
  <si>
    <t>strain 3</t>
  </si>
  <si>
    <t>1156-13</t>
  </si>
  <si>
    <t>1680-13</t>
  </si>
  <si>
    <t>1896-13</t>
  </si>
  <si>
    <t>1834-13</t>
  </si>
  <si>
    <t>strain 7</t>
  </si>
  <si>
    <t>2370-13</t>
  </si>
  <si>
    <t>WRL394</t>
  </si>
  <si>
    <t>strain 8</t>
  </si>
  <si>
    <t>721-13</t>
  </si>
  <si>
    <t>WRL483</t>
  </si>
  <si>
    <t>925-13</t>
  </si>
  <si>
    <t>WRL354</t>
  </si>
  <si>
    <t>1729-13</t>
  </si>
  <si>
    <t>No40-1</t>
  </si>
  <si>
    <t>1682-13</t>
  </si>
  <si>
    <t>WRL380</t>
  </si>
  <si>
    <t>EGD-e</t>
  </si>
  <si>
    <t>1146-13</t>
  </si>
  <si>
    <t>strain 5</t>
  </si>
  <si>
    <t>No80-1</t>
  </si>
  <si>
    <t>1978-13</t>
  </si>
  <si>
    <t>strain 6</t>
  </si>
  <si>
    <t>WRL533</t>
  </si>
  <si>
    <t>1979-13</t>
  </si>
  <si>
    <t>1135-13</t>
  </si>
  <si>
    <t>strain 2</t>
  </si>
  <si>
    <t>strain 1</t>
  </si>
  <si>
    <t>WRL530</t>
  </si>
  <si>
    <t>993-13</t>
  </si>
  <si>
    <t>1SD above</t>
  </si>
  <si>
    <t>2SD above</t>
  </si>
  <si>
    <t>1SD below</t>
  </si>
  <si>
    <t>2SD below</t>
  </si>
  <si>
    <t>above are more sensitive</t>
  </si>
  <si>
    <t>below are more tolerant</t>
  </si>
  <si>
    <t>low coverage</t>
  </si>
  <si>
    <t xml:space="preserve">In red: it cannot be determined as both contigs have low coverage or in the case of isolate SRR7172434 the contig with high coverage is emrC which is located on high copy plasmid. Therefore, it is not strightforward to determine which contig belongs to a strain contaminating Listeria monocytogenes. </t>
  </si>
  <si>
    <t>DDAC_MIC</t>
  </si>
  <si>
    <t>Mida_MIC</t>
  </si>
  <si>
    <t>BC_MIC</t>
  </si>
  <si>
    <t>Genotype</t>
  </si>
  <si>
    <t>Phenotype</t>
  </si>
  <si>
    <t>Metadata</t>
  </si>
  <si>
    <t>Sub-typing</t>
  </si>
  <si>
    <t>Mean</t>
  </si>
  <si>
    <t>SD</t>
  </si>
  <si>
    <t>Assembly ID</t>
  </si>
  <si>
    <t>no_gene</t>
  </si>
  <si>
    <t xml:space="preserve"> CC224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</si>
</sst>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numFmts>
  <fonts count="16">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name val="Calibri"/>
      <family val="2"/>
      <scheme val="minor"/>
    </font>
    <font>
      <sz val="12"/>
      <color rgb="FFFF0000"/>
      <name val="Calibri"/>
      <family val="2"/>
      <scheme val="minor"/>
    </font>
    <font>
      <b/>
      <sz val="12"/>
      <color theme="1"/>
      <name val="Calibri"/>
      <family val="2"/>
      <scheme val="minor"/>
    </font>
    <font>
      <sz val="11"/>
      <name val="Calibri"/>
      <family val="2"/>
      <scheme val="minor"/>
    </font>
    <font>
      <sz val="11"/>
      <color rgb="FFFF0000"/>
      <name val="Calibri"/>
      <family val="2"/>
      <scheme val="minor"/>
    </font>
    <font>
      <b/>
      <sz val="12"/>
      <name val="Calibri"/>
      <family val="2"/>
      <scheme val="minor"/>
    </font>
    <font>
      <b/>
      <sz val="11"/>
      <color theme="1"/>
      <name val="Calibri"/>
      <family val="2"/>
      <scheme val="minor"/>
    </font>
    <font>
      <sz val="12"/>
      <color rgb="FF000000"/>
      <name val="Calibri"/>
      <family val="2"/>
      <scheme val="minor"/>
    </font>
    <font>
      <sz val="12"/>
      <name val="Calibri (Body)"/>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cellStyleXfs>
  <cellXfs count="71">
    <xf numFmtId="0" fontId="0" fillId="0" borderId="0" xfId="0"/>
    <xf numFmtId="0" fontId="0" fillId="0" borderId="0" xfId="0" applyAlignment="1">
      <alignment horizontal="center"/>
    </xf>
    <xf numFmtId="0" fontId="7" fillId="0" borderId="0" xfId="0" applyFont="1" applyAlignment="1">
      <alignment horizontal="center"/>
    </xf>
    <xf numFmtId="0" fontId="7" fillId="0" borderId="0" xfId="0" applyFont="1"/>
    <xf numFmtId="0" fontId="13" fillId="0" borderId="0" xfId="0" applyFont="1"/>
    <xf numFmtId="0" fontId="11" fillId="0" borderId="0" xfId="0" applyFont="1" applyAlignment="1">
      <alignment horizontal="center"/>
    </xf>
    <xf numFmtId="1" fontId="0" fillId="0" borderId="0" xfId="0" applyNumberFormat="1" applyAlignment="1">
      <alignment horizontal="center"/>
    </xf>
    <xf numFmtId="0" fontId="7" fillId="0" borderId="0" xfId="0" applyFont="1" applyAlignment="1">
      <alignment horizontal="left"/>
    </xf>
    <xf numFmtId="0" fontId="12" fillId="0" borderId="0" xfId="0" applyFont="1" applyAlignment="1">
      <alignment horizontal="left"/>
    </xf>
    <xf numFmtId="0" fontId="12" fillId="0" borderId="0" xfId="0" applyFont="1" applyAlignment="1">
      <alignment wrapText="1"/>
    </xf>
    <xf numFmtId="0" fontId="12" fillId="0" borderId="0" xfId="0" applyFont="1" applyAlignment="1">
      <alignment horizontal="center" wrapText="1"/>
    </xf>
    <xf numFmtId="0" fontId="8" fillId="0" borderId="0" xfId="0" applyFont="1"/>
    <xf numFmtId="0" fontId="9" fillId="0" borderId="0" xfId="0" applyFont="1" applyAlignment="1">
      <alignment horizontal="center"/>
    </xf>
    <xf numFmtId="0" fontId="8" fillId="0" borderId="0" xfId="0" applyFont="1" applyAlignment="1">
      <alignment horizontal="center"/>
    </xf>
    <xf numFmtId="0" fontId="0" fillId="0" borderId="0" xfId="0" applyAlignment="1">
      <alignment horizontal="center" wrapText="1"/>
    </xf>
    <xf numFmtId="0" fontId="9" fillId="0" borderId="0" xfId="0" applyFont="1"/>
    <xf numFmtId="0" fontId="7" fillId="0" borderId="0" xfId="0" applyFont="1" applyAlignment="1">
      <alignment horizontal="left" wrapText="1"/>
    </xf>
    <xf numFmtId="164" fontId="0" fillId="0" borderId="0" xfId="0" applyNumberFormat="1" applyAlignment="1">
      <alignment horizontal="center"/>
    </xf>
    <xf numFmtId="164" fontId="8" fillId="0" borderId="0" xfId="0" applyNumberFormat="1" applyFont="1" applyAlignment="1">
      <alignment horizontal="center"/>
    </xf>
    <xf numFmtId="0" fontId="8" fillId="0" borderId="0" xfId="0" applyFont="1" applyAlignment="1">
      <alignment horizontal="left" wrapText="1"/>
    </xf>
    <xf numFmtId="0" fontId="8" fillId="0" borderId="0" xfId="0" applyFont="1" applyAlignment="1">
      <alignment horizontal="center" wrapText="1"/>
    </xf>
    <xf numFmtId="0" fontId="8" fillId="0" borderId="0" xfId="0" applyFont="1" applyAlignment="1">
      <alignment horizontal="left"/>
    </xf>
    <xf numFmtId="0" fontId="7" fillId="0" borderId="0" xfId="0" applyFont="1" applyAlignment="1">
      <alignment horizontal="center" wrapText="1"/>
    </xf>
    <xf numFmtId="0" fontId="15" fillId="0" borderId="0" xfId="0" applyFont="1" applyAlignment="1">
      <alignment horizontal="left" wrapText="1"/>
    </xf>
    <xf numFmtId="2" fontId="0" fillId="0" borderId="0" xfId="0" applyNumberFormat="1" applyAlignment="1">
      <alignment horizontal="center"/>
    </xf>
    <xf numFmtId="2" fontId="7" fillId="0" borderId="0" xfId="0" applyNumberFormat="1" applyFont="1" applyAlignment="1">
      <alignment horizontal="center"/>
    </xf>
    <xf numFmtId="0" fontId="10" fillId="0" borderId="0" xfId="0" applyFont="1"/>
    <xf numFmtId="0" fontId="10" fillId="0" borderId="0" xfId="0" applyFont="1" applyAlignment="1">
      <alignment horizontal="center"/>
    </xf>
    <xf numFmtId="0" fontId="4" fillId="0" borderId="0" xfId="0" applyFont="1" applyAlignment="1">
      <alignment horizontal="center"/>
    </xf>
    <xf numFmtId="0" fontId="13" fillId="0" borderId="0" xfId="0" applyFont="1" applyAlignment="1">
      <alignment horizontal="center"/>
    </xf>
    <xf numFmtId="0" fontId="4" fillId="0" borderId="0" xfId="0" applyFont="1"/>
    <xf numFmtId="0" fontId="11" fillId="0" borderId="0" xfId="0" applyFont="1"/>
    <xf numFmtId="0" fontId="0" fillId="2" borderId="0" xfId="0" applyFill="1"/>
    <xf numFmtId="0" fontId="0" fillId="2" borderId="0" xfId="0" applyFill="1" applyAlignment="1">
      <alignment horizontal="center"/>
    </xf>
    <xf numFmtId="0" fontId="4" fillId="2" borderId="0" xfId="0" applyFont="1" applyFill="1"/>
    <xf numFmtId="0" fontId="10" fillId="2" borderId="0" xfId="0" applyFont="1" applyFill="1"/>
    <xf numFmtId="0" fontId="10" fillId="2" borderId="0" xfId="0" applyFont="1" applyFill="1" applyAlignment="1">
      <alignment horizontal="center"/>
    </xf>
    <xf numFmtId="0" fontId="7" fillId="2" borderId="0" xfId="0" applyFont="1" applyFill="1"/>
    <xf numFmtId="0" fontId="7" fillId="5" borderId="0" xfId="0" applyFont="1" applyFill="1" applyAlignment="1">
      <alignment horizontal="center"/>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7" fillId="5" borderId="1" xfId="0" applyFont="1" applyFill="1" applyBorder="1" applyAlignment="1">
      <alignment horizontal="left"/>
    </xf>
    <xf numFmtId="0" fontId="7" fillId="5" borderId="1" xfId="0" applyFont="1" applyFill="1" applyBorder="1" applyAlignment="1">
      <alignment horizontal="center"/>
    </xf>
    <xf numFmtId="2" fontId="1" fillId="5" borderId="1" xfId="0" applyNumberFormat="1" applyFont="1" applyFill="1" applyBorder="1" applyAlignment="1">
      <alignment horizontal="center"/>
    </xf>
    <xf numFmtId="0" fontId="1" fillId="0" borderId="0" xfId="0" applyFont="1" applyAlignment="1">
      <alignment horizontal="center"/>
    </xf>
    <xf numFmtId="0" fontId="1" fillId="0" borderId="1" xfId="0" applyFont="1" applyBorder="1" applyAlignment="1">
      <alignment horizontal="left"/>
    </xf>
    <xf numFmtId="0" fontId="7" fillId="0" borderId="1" xfId="0" applyFont="1" applyBorder="1" applyAlignment="1">
      <alignment horizontal="center"/>
    </xf>
    <xf numFmtId="2" fontId="1" fillId="0" borderId="1" xfId="0" applyNumberFormat="1" applyFont="1" applyBorder="1" applyAlignment="1">
      <alignment horizontal="center"/>
    </xf>
    <xf numFmtId="0" fontId="7" fillId="0" borderId="1" xfId="0" applyFont="1" applyBorder="1" applyAlignment="1">
      <alignment horizontal="left"/>
    </xf>
    <xf numFmtId="2" fontId="1" fillId="0" borderId="0" xfId="0" applyNumberFormat="1" applyFont="1" applyAlignment="1">
      <alignment horizontal="center"/>
    </xf>
    <xf numFmtId="2" fontId="7" fillId="0" borderId="1" xfId="0" applyNumberFormat="1" applyFont="1" applyBorder="1" applyAlignment="1">
      <alignment horizontal="center"/>
    </xf>
    <xf numFmtId="0" fontId="7" fillId="0" borderId="1" xfId="0" applyFont="1" applyBorder="1" applyAlignment="1">
      <alignment horizontal="center" vertical="center" wrapText="1"/>
    </xf>
    <xf numFmtId="0" fontId="1" fillId="0" borderId="1" xfId="0" quotePrefix="1" applyFont="1" applyBorder="1" applyAlignment="1">
      <alignment horizontal="left"/>
    </xf>
    <xf numFmtId="0" fontId="14" fillId="0" borderId="1" xfId="0" applyFont="1" applyBorder="1" applyAlignment="1">
      <alignment horizontal="center" vertical="center" wrapText="1"/>
    </xf>
    <xf numFmtId="0" fontId="1" fillId="3" borderId="1" xfId="0" applyFont="1" applyFill="1" applyBorder="1" applyAlignment="1">
      <alignment horizontal="left"/>
    </xf>
    <xf numFmtId="0" fontId="7" fillId="3" borderId="1" xfId="0" applyFont="1" applyFill="1" applyBorder="1" applyAlignment="1">
      <alignment horizontal="center"/>
    </xf>
    <xf numFmtId="2" fontId="1" fillId="3" borderId="1" xfId="0" applyNumberFormat="1" applyFont="1" applyFill="1" applyBorder="1" applyAlignment="1">
      <alignment horizontal="center"/>
    </xf>
    <xf numFmtId="0" fontId="1" fillId="3" borderId="0" xfId="0" applyFont="1" applyFill="1" applyAlignment="1">
      <alignment horizontal="center"/>
    </xf>
    <xf numFmtId="0" fontId="14" fillId="3" borderId="1" xfId="0" applyFont="1" applyFill="1" applyBorder="1" applyAlignment="1">
      <alignment horizontal="center" vertical="center" wrapText="1"/>
    </xf>
    <xf numFmtId="0" fontId="1" fillId="0" borderId="1" xfId="0" applyFont="1" applyBorder="1" applyAlignment="1">
      <alignment horizontal="center"/>
    </xf>
    <xf numFmtId="0" fontId="7" fillId="4" borderId="0" xfId="0" applyFont="1" applyFill="1" applyAlignment="1">
      <alignment horizontal="center"/>
    </xf>
    <xf numFmtId="2" fontId="7" fillId="4" borderId="0" xfId="0" applyNumberFormat="1" applyFont="1" applyFill="1" applyAlignment="1">
      <alignment horizontal="center"/>
    </xf>
    <xf numFmtId="0" fontId="8" fillId="5" borderId="1" xfId="0" applyFont="1" applyFill="1" applyBorder="1" applyAlignment="1">
      <alignment horizontal="center"/>
    </xf>
    <xf numFmtId="0" fontId="8" fillId="5" borderId="1" xfId="0" applyFont="1" applyFill="1" applyBorder="1" applyAlignment="1">
      <alignment horizontal="left"/>
    </xf>
    <xf numFmtId="0" fontId="12" fillId="0" borderId="0" xfId="0" applyFont="1" applyAlignment="1">
      <alignment horizontal="center"/>
    </xf>
    <xf numFmtId="0" fontId="12" fillId="0" borderId="0" xfId="0" applyFont="1"/>
    <xf numFmtId="0" fontId="2" fillId="0" borderId="0" xfId="0" applyFont="1" applyAlignment="1">
      <alignment horizontal="center"/>
    </xf>
    <xf numFmtId="0" fontId="7" fillId="0" borderId="0" xfId="0" quotePrefix="1" applyFont="1" applyAlignment="1">
      <alignment horizontal="center"/>
    </xf>
    <xf numFmtId="0" fontId="5" fillId="0" borderId="0" xfId="0" applyFont="1" applyAlignment="1">
      <alignment horizontal="center"/>
    </xf>
    <xf numFmtId="0" fontId="3" fillId="0" borderId="0" xfId="0" applyFont="1" applyAlignment="1">
      <alignment horizontal="center"/>
    </xf>
    <xf numFmtId="0" fontId="12" fillId="0" borderId="0" xfId="0" applyFont="1" applyAlignment="1">
      <alignment horizontal="center"/>
    </xf>
  </cellXfs>
  <cellStyles count="2">
    <cellStyle name="Normal" xfId="0" builtinId="0"/>
    <cellStyle name="Normal 2" xfId="1" xr:uid="{00000000-0005-0000-0000-000001000000}"/>
  </cellStyles>
  <dxfs count="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7E79"/>
      <color rgb="FF00E483"/>
      <color rgb="FF8EFA00"/>
      <color rgb="FFFF91F8"/>
      <color rgb="FF00FFFF"/>
      <color rgb="FFDDDE01"/>
      <color rgb="FFFFD579"/>
      <color rgb="FFF3D904"/>
      <color rgb="FFFF2F92"/>
      <color rgb="FF0090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3D-5F4D-9F2D-B82478FC8B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3D-5F4D-9F2D-B82478FC8B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3D-5F4D-9F2D-B82478FC8B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3D-5F4D-9F2D-B82478FC8BE7}"/>
              </c:ext>
            </c:extLst>
          </c:dPt>
          <c:dLbls>
            <c:dLbl>
              <c:idx val="0"/>
              <c:layout>
                <c:manualLayout>
                  <c:x val="4.5883748906386704E-2"/>
                  <c:y val="4.10094050743657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E3D-5F4D-9F2D-B82478FC8BE7}"/>
                </c:ext>
              </c:extLst>
            </c:dLbl>
            <c:dLbl>
              <c:idx val="1"/>
              <c:layout>
                <c:manualLayout>
                  <c:x val="-5.6006342957130362E-2"/>
                  <c:y val="-7.79108340624088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E3D-5F4D-9F2D-B82478FC8BE7}"/>
                </c:ext>
              </c:extLst>
            </c:dLbl>
            <c:dLbl>
              <c:idx val="2"/>
              <c:layout>
                <c:manualLayout>
                  <c:x val="-5.9992125984251972E-2"/>
                  <c:y val="4.098352289297170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E3D-5F4D-9F2D-B82478FC8BE7}"/>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[3]Sheet1_Total!$B$10959:$B$10962</c:f>
              <c:strCache>
                <c:ptCount val="4"/>
                <c:pt idx="0">
                  <c:v>qacH</c:v>
                </c:pt>
                <c:pt idx="1">
                  <c:v>bcrABC</c:v>
                </c:pt>
                <c:pt idx="2">
                  <c:v>emrC</c:v>
                </c:pt>
                <c:pt idx="3">
                  <c:v>emrE</c:v>
                </c:pt>
              </c:strCache>
            </c:strRef>
          </c:cat>
          <c:val>
            <c:numRef>
              <c:f>[3]Sheet1_Total!$C$10959:$C$10962</c:f>
              <c:numCache>
                <c:formatCode>General</c:formatCode>
                <c:ptCount val="4"/>
                <c:pt idx="0">
                  <c:v>18.908061718250707</c:v>
                </c:pt>
                <c:pt idx="1">
                  <c:v>72.473294987674606</c:v>
                </c:pt>
                <c:pt idx="2">
                  <c:v>6.7196201953802621</c:v>
                </c:pt>
                <c:pt idx="3">
                  <c:v>1.8990230986944217</c:v>
                </c:pt>
              </c:numCache>
            </c:numRef>
          </c:val>
          <c:extLst>
            <c:ext xmlns:c16="http://schemas.microsoft.com/office/drawing/2014/chart" uri="{C3380CC4-5D6E-409C-BE32-E72D297353CC}">
              <c16:uniqueId val="{00000008-7E3D-5F4D-9F2D-B82478FC8BE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218326</xdr:colOff>
      <xdr:row>10939</xdr:row>
      <xdr:rowOff>183793</xdr:rowOff>
    </xdr:from>
    <xdr:to>
      <xdr:col>2</xdr:col>
      <xdr:colOff>95607</xdr:colOff>
      <xdr:row>10953</xdr:row>
      <xdr:rowOff>130139</xdr:rowOff>
    </xdr:to>
    <xdr:graphicFrame macro="">
      <xdr:nvGraphicFramePr>
        <xdr:cNvPr id="2" name="Chart 1">
          <a:extLst>
            <a:ext uri="{FF2B5EF4-FFF2-40B4-BE49-F238E27FC236}">
              <a16:creationId xmlns:a16="http://schemas.microsoft.com/office/drawing/2014/main" id="{A81D729E-9F5B-F144-BB31-A15B01C10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lgm/OneDrive%20-%20Danmarks%20Tekniske%20Universitet/PhD/Project/Disinfectant_Resistance/Mirena_metadata/Overall_phenotypic%20data_BC_Mida_DDAC_AGedit.xlsx" TargetMode="External"/><Relationship Id="rId1" Type="http://schemas.openxmlformats.org/officeDocument/2006/relationships/externalLinkPath" Target="/Users/algm/OneDrive%20-%20Danmarks%20Tekniske%20Universitet/PhD/Project/Disinfectant_Resistance/Mirena_metadata/Overall_phenotypic%20data_BC_Mida_DDAC_AGedi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lgm/OneDrive%20-%20Danmarks%20Tekniske%20Universitet/PhD/Project/Disinfectant_Resistance/Mirena_metadata/metadata_with_accessions_AGedit.xlsx" TargetMode="External"/><Relationship Id="rId1" Type="http://schemas.openxmlformats.org/officeDocument/2006/relationships/externalLinkPath" Target="/Users/algm/OneDrive%20-%20Danmarks%20Tekniske%20Universitet/PhD/Project/Disinfectant_Resistance/Mirena_metadata/metadata_with_accessions_AGedit.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Users/mirivan/Desktop/Listeria/Sequencing/Final_Figures_and_Files_for_the_MS/Supplementary_material_2.xlsx" TargetMode="External"/><Relationship Id="rId2" Type="http://schemas.openxmlformats.org/officeDocument/2006/relationships/externalLinkPath" Target="https://dtudk-my.sharepoint.com/Users/mirivan/Desktop/Listeria/Sequencing/Final_Figures_and_Files_for_the_MS/Supplementary_material_2.xlsx" TargetMode="External"/><Relationship Id="rId1" Type="http://schemas.openxmlformats.org/officeDocument/2006/relationships/externalLinkPath" Target="/Users/mirivan/Desktop/Listeria/Sequencing/Final_Figures_and_Files_for_the_MS/Supplementary_material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2"/>
    </sheetNames>
    <sheetDataSet>
      <sheetData sheetId="0">
        <row r="426">
          <cell r="A426" t="str">
            <v>82b4</v>
          </cell>
          <cell r="C426">
            <v>0.6</v>
          </cell>
          <cell r="D426">
            <v>0.08</v>
          </cell>
        </row>
        <row r="427">
          <cell r="A427" t="str">
            <v>1135-13</v>
          </cell>
          <cell r="C427">
            <v>0.3</v>
          </cell>
        </row>
        <row r="428">
          <cell r="A428" t="str">
            <v>1146-13</v>
          </cell>
          <cell r="C428">
            <v>0.3</v>
          </cell>
        </row>
        <row r="429">
          <cell r="A429" t="str">
            <v>1156-13</v>
          </cell>
          <cell r="C429">
            <v>0.6</v>
          </cell>
        </row>
        <row r="430">
          <cell r="A430" t="str">
            <v>JC100</v>
          </cell>
          <cell r="C430">
            <v>0.3</v>
          </cell>
          <cell r="D430">
            <v>0.08</v>
          </cell>
        </row>
        <row r="431">
          <cell r="A431" t="str">
            <v>JC101</v>
          </cell>
          <cell r="C431">
            <v>0.3</v>
          </cell>
          <cell r="D431">
            <v>0.08</v>
          </cell>
        </row>
        <row r="432">
          <cell r="A432" t="str">
            <v>13-LI00032-0</v>
          </cell>
          <cell r="C432">
            <v>2.5</v>
          </cell>
        </row>
        <row r="433">
          <cell r="A433" t="str">
            <v>13-LI00077-0</v>
          </cell>
          <cell r="C433">
            <v>0.6</v>
          </cell>
        </row>
        <row r="434">
          <cell r="A434" t="str">
            <v>13-LI00159-0</v>
          </cell>
          <cell r="C434">
            <v>0.3</v>
          </cell>
        </row>
        <row r="435">
          <cell r="A435" t="str">
            <v>13-LI00209-0</v>
          </cell>
          <cell r="C435">
            <v>0.6</v>
          </cell>
        </row>
        <row r="436">
          <cell r="A436" t="str">
            <v>13-LI00219-0</v>
          </cell>
          <cell r="C436">
            <v>0.6</v>
          </cell>
        </row>
        <row r="437">
          <cell r="A437" t="str">
            <v>13-LI00228-0</v>
          </cell>
          <cell r="C437">
            <v>0.3</v>
          </cell>
        </row>
        <row r="438">
          <cell r="A438" t="str">
            <v>JC19</v>
          </cell>
          <cell r="C438">
            <v>0.6</v>
          </cell>
          <cell r="D438">
            <v>0.08</v>
          </cell>
        </row>
        <row r="439">
          <cell r="A439" t="str">
            <v>13KMS</v>
          </cell>
          <cell r="C439">
            <v>2.5</v>
          </cell>
        </row>
        <row r="440">
          <cell r="A440" t="str">
            <v>14-LI00061-0</v>
          </cell>
          <cell r="C440">
            <v>0.6</v>
          </cell>
        </row>
        <row r="441">
          <cell r="A441" t="str">
            <v>14-LI00078-1</v>
          </cell>
          <cell r="C441">
            <v>2.5</v>
          </cell>
        </row>
        <row r="442">
          <cell r="A442" t="str">
            <v>14-LI00141-0</v>
          </cell>
          <cell r="C442">
            <v>0.6</v>
          </cell>
        </row>
        <row r="443">
          <cell r="A443" t="str">
            <v>14-LI00172-0</v>
          </cell>
          <cell r="C443">
            <v>0.6</v>
          </cell>
        </row>
        <row r="444">
          <cell r="A444" t="str">
            <v>14-LI00214-0</v>
          </cell>
          <cell r="C444">
            <v>0.6</v>
          </cell>
        </row>
        <row r="445">
          <cell r="A445" t="str">
            <v>14-LI00255-0</v>
          </cell>
          <cell r="C445">
            <v>0.3</v>
          </cell>
        </row>
        <row r="446">
          <cell r="A446" t="str">
            <v>14-LI00327-0</v>
          </cell>
          <cell r="C446">
            <v>0.3</v>
          </cell>
        </row>
        <row r="447">
          <cell r="A447" t="str">
            <v>14017800-4</v>
          </cell>
          <cell r="C447">
            <v>0.3</v>
          </cell>
        </row>
        <row r="448">
          <cell r="A448" t="str">
            <v>14020703-1</v>
          </cell>
          <cell r="C448">
            <v>0.3</v>
          </cell>
        </row>
        <row r="449">
          <cell r="A449" t="str">
            <v>14020708-01</v>
          </cell>
          <cell r="C449">
            <v>0.3</v>
          </cell>
        </row>
        <row r="450">
          <cell r="A450" t="str">
            <v>14023972-5</v>
          </cell>
          <cell r="C450">
            <v>0.3</v>
          </cell>
        </row>
        <row r="451">
          <cell r="A451" t="str">
            <v>14025802-02</v>
          </cell>
          <cell r="C451">
            <v>0.3</v>
          </cell>
        </row>
        <row r="452">
          <cell r="A452" t="str">
            <v>14036845-03</v>
          </cell>
          <cell r="C452">
            <v>0.3</v>
          </cell>
        </row>
        <row r="453">
          <cell r="A453" t="str">
            <v>14037158-01</v>
          </cell>
          <cell r="C453">
            <v>0.3</v>
          </cell>
        </row>
        <row r="454">
          <cell r="A454" t="str">
            <v>14037161-02</v>
          </cell>
          <cell r="C454">
            <v>0.3</v>
          </cell>
        </row>
        <row r="455">
          <cell r="A455" t="str">
            <v>14037235-03</v>
          </cell>
          <cell r="C455">
            <v>0.3</v>
          </cell>
        </row>
        <row r="456">
          <cell r="A456" t="str">
            <v>14039942-1</v>
          </cell>
          <cell r="C456">
            <v>2.5</v>
          </cell>
        </row>
        <row r="457">
          <cell r="A457" t="str">
            <v>14044451-01</v>
          </cell>
          <cell r="C457">
            <v>2.5</v>
          </cell>
        </row>
        <row r="458">
          <cell r="A458" t="str">
            <v>14044452-01</v>
          </cell>
          <cell r="C458">
            <v>2.5</v>
          </cell>
        </row>
        <row r="459">
          <cell r="A459" t="str">
            <v>14048069-05</v>
          </cell>
          <cell r="C459">
            <v>0.3</v>
          </cell>
        </row>
        <row r="460">
          <cell r="A460" t="str">
            <v>JC20</v>
          </cell>
          <cell r="C460">
            <v>0.6</v>
          </cell>
          <cell r="D460">
            <v>0.08</v>
          </cell>
        </row>
        <row r="461">
          <cell r="A461" t="str">
            <v>15-LI00115-0</v>
          </cell>
          <cell r="C461">
            <v>0.3</v>
          </cell>
        </row>
        <row r="462">
          <cell r="A462" t="str">
            <v>15076729-1</v>
          </cell>
          <cell r="C462">
            <v>2.5</v>
          </cell>
        </row>
        <row r="463">
          <cell r="A463" t="str">
            <v>15076990-02</v>
          </cell>
          <cell r="C463">
            <v>2.5</v>
          </cell>
        </row>
        <row r="464">
          <cell r="A464" t="str">
            <v>15084244-1</v>
          </cell>
          <cell r="C464">
            <v>0.6</v>
          </cell>
        </row>
        <row r="465">
          <cell r="A465" t="str">
            <v>15085721-1</v>
          </cell>
          <cell r="C465">
            <v>0.3</v>
          </cell>
        </row>
        <row r="466">
          <cell r="A466" t="str">
            <v>15086032-2</v>
          </cell>
          <cell r="C466">
            <v>0.3</v>
          </cell>
        </row>
        <row r="467">
          <cell r="A467" t="str">
            <v>15086034-1</v>
          </cell>
          <cell r="C467">
            <v>2.5</v>
          </cell>
        </row>
        <row r="468">
          <cell r="A468" t="str">
            <v>15087275-4</v>
          </cell>
          <cell r="C468">
            <v>0.3</v>
          </cell>
        </row>
        <row r="469">
          <cell r="A469" t="str">
            <v>15087326-1</v>
          </cell>
          <cell r="C469">
            <v>0.3</v>
          </cell>
        </row>
        <row r="470">
          <cell r="A470" t="str">
            <v>15087349-1</v>
          </cell>
          <cell r="C470">
            <v>0.6</v>
          </cell>
        </row>
        <row r="471">
          <cell r="A471" t="str">
            <v>15087373-4</v>
          </cell>
          <cell r="C471">
            <v>0.3</v>
          </cell>
        </row>
        <row r="472">
          <cell r="A472" t="str">
            <v>15089803-02</v>
          </cell>
          <cell r="C472">
            <v>0.3</v>
          </cell>
        </row>
        <row r="473">
          <cell r="A473" t="str">
            <v>15112778-2</v>
          </cell>
          <cell r="C473">
            <v>2.5</v>
          </cell>
        </row>
        <row r="474">
          <cell r="A474" t="str">
            <v>15120858-03</v>
          </cell>
          <cell r="C474">
            <v>2.5</v>
          </cell>
        </row>
        <row r="475">
          <cell r="A475" t="str">
            <v>JC37</v>
          </cell>
          <cell r="C475">
            <v>0.6</v>
          </cell>
          <cell r="D475">
            <v>0.08</v>
          </cell>
        </row>
        <row r="476">
          <cell r="A476" t="str">
            <v>JC51</v>
          </cell>
          <cell r="C476">
            <v>0.6</v>
          </cell>
          <cell r="D476">
            <v>0.08</v>
          </cell>
        </row>
        <row r="477">
          <cell r="A477" t="str">
            <v>16-LI00145-0</v>
          </cell>
          <cell r="C477">
            <v>2.5</v>
          </cell>
        </row>
        <row r="478">
          <cell r="A478" t="str">
            <v>16-LI00562-0</v>
          </cell>
          <cell r="C478">
            <v>0.6</v>
          </cell>
        </row>
        <row r="479">
          <cell r="A479" t="str">
            <v>16-LI00586-0</v>
          </cell>
          <cell r="C479">
            <v>0.6</v>
          </cell>
        </row>
        <row r="480">
          <cell r="A480" t="str">
            <v>16001636-03</v>
          </cell>
          <cell r="C480">
            <v>2.5</v>
          </cell>
        </row>
        <row r="481">
          <cell r="A481" t="str">
            <v>16007760-05</v>
          </cell>
          <cell r="C481">
            <v>0.6</v>
          </cell>
        </row>
        <row r="482">
          <cell r="A482" t="str">
            <v>1680-13</v>
          </cell>
          <cell r="C482">
            <v>2.5</v>
          </cell>
        </row>
        <row r="483">
          <cell r="A483" t="str">
            <v>1682-13</v>
          </cell>
          <cell r="C483">
            <v>0.3</v>
          </cell>
        </row>
        <row r="484">
          <cell r="A484" t="str">
            <v>1691-13</v>
          </cell>
          <cell r="C484">
            <v>0.6</v>
          </cell>
        </row>
        <row r="485">
          <cell r="A485" t="str">
            <v>17-LI00066-0</v>
          </cell>
          <cell r="C485">
            <v>0.6</v>
          </cell>
        </row>
        <row r="486">
          <cell r="A486" t="str">
            <v>17014046-05</v>
          </cell>
          <cell r="C486">
            <v>0.3</v>
          </cell>
        </row>
        <row r="487">
          <cell r="A487" t="str">
            <v>17014154-03</v>
          </cell>
          <cell r="C487">
            <v>0.6</v>
          </cell>
        </row>
        <row r="488">
          <cell r="A488" t="str">
            <v>17031500-03</v>
          </cell>
          <cell r="C488">
            <v>0.3</v>
          </cell>
        </row>
        <row r="489">
          <cell r="A489" t="str">
            <v>17040964-01</v>
          </cell>
          <cell r="C489">
            <v>0.6</v>
          </cell>
        </row>
        <row r="490">
          <cell r="A490" t="str">
            <v>17042760-01</v>
          </cell>
          <cell r="C490">
            <v>2.5</v>
          </cell>
        </row>
        <row r="491">
          <cell r="A491" t="str">
            <v>17046593-1</v>
          </cell>
          <cell r="C491">
            <v>2.5</v>
          </cell>
        </row>
        <row r="492">
          <cell r="A492" t="str">
            <v>1705-13</v>
          </cell>
          <cell r="C492">
            <v>0.6</v>
          </cell>
        </row>
        <row r="493">
          <cell r="A493" t="str">
            <v>17050331-04</v>
          </cell>
          <cell r="C493">
            <v>0.3</v>
          </cell>
        </row>
        <row r="494">
          <cell r="A494" t="str">
            <v>17050588-05</v>
          </cell>
          <cell r="C494">
            <v>0.6</v>
          </cell>
        </row>
        <row r="495">
          <cell r="A495" t="str">
            <v>17059008-01</v>
          </cell>
          <cell r="C495">
            <v>2.5</v>
          </cell>
        </row>
        <row r="496">
          <cell r="A496" t="str">
            <v>17059009-01</v>
          </cell>
          <cell r="C496">
            <v>2.5</v>
          </cell>
        </row>
        <row r="497">
          <cell r="A497" t="str">
            <v>1729-13</v>
          </cell>
          <cell r="C497">
            <v>2.5</v>
          </cell>
        </row>
        <row r="498">
          <cell r="A498" t="str">
            <v>1792-13</v>
          </cell>
          <cell r="C498">
            <v>0.6</v>
          </cell>
        </row>
        <row r="499">
          <cell r="A499" t="str">
            <v>JC53</v>
          </cell>
          <cell r="C499">
            <v>0.6</v>
          </cell>
          <cell r="D499">
            <v>0.08</v>
          </cell>
        </row>
        <row r="500">
          <cell r="A500" t="str">
            <v>JC65</v>
          </cell>
          <cell r="C500">
            <v>0.6</v>
          </cell>
          <cell r="D500">
            <v>0.08</v>
          </cell>
        </row>
        <row r="501">
          <cell r="A501" t="str">
            <v>JC66</v>
          </cell>
          <cell r="C501">
            <v>0.6</v>
          </cell>
          <cell r="D501">
            <v>0.08</v>
          </cell>
        </row>
        <row r="502">
          <cell r="A502" t="str">
            <v>18-LI00545-0</v>
          </cell>
          <cell r="C502">
            <v>0.6</v>
          </cell>
        </row>
        <row r="503">
          <cell r="A503" t="str">
            <v>18-LI00547-0</v>
          </cell>
          <cell r="C503">
            <v>0.6</v>
          </cell>
        </row>
        <row r="504">
          <cell r="A504" t="str">
            <v>18-LI00615-0</v>
          </cell>
          <cell r="C504">
            <v>0.6</v>
          </cell>
        </row>
        <row r="505">
          <cell r="A505" t="str">
            <v>18-LI00617-0</v>
          </cell>
          <cell r="C505">
            <v>0.6</v>
          </cell>
        </row>
        <row r="506">
          <cell r="A506" t="str">
            <v>18-LI01016-0</v>
          </cell>
          <cell r="C506">
            <v>0.6</v>
          </cell>
        </row>
        <row r="507">
          <cell r="A507" t="str">
            <v>18008535-2</v>
          </cell>
          <cell r="C507">
            <v>0.3</v>
          </cell>
        </row>
        <row r="508">
          <cell r="A508" t="str">
            <v>18010875-02</v>
          </cell>
          <cell r="C508">
            <v>0.3</v>
          </cell>
        </row>
        <row r="509">
          <cell r="A509" t="str">
            <v>18012633-01</v>
          </cell>
          <cell r="C509">
            <v>0.3</v>
          </cell>
        </row>
        <row r="510">
          <cell r="A510" t="str">
            <v>18012719-01</v>
          </cell>
          <cell r="C510">
            <v>0.6</v>
          </cell>
        </row>
        <row r="511">
          <cell r="A511" t="str">
            <v>18013657-03</v>
          </cell>
          <cell r="C511">
            <v>0.3</v>
          </cell>
        </row>
        <row r="512">
          <cell r="A512" t="str">
            <v>18027196-01</v>
          </cell>
          <cell r="C512">
            <v>0.3</v>
          </cell>
        </row>
        <row r="513">
          <cell r="A513" t="str">
            <v>18030019-05</v>
          </cell>
          <cell r="C513">
            <v>0.3</v>
          </cell>
        </row>
        <row r="514">
          <cell r="A514" t="str">
            <v>18051585-02</v>
          </cell>
          <cell r="C514">
            <v>0.3</v>
          </cell>
        </row>
        <row r="515">
          <cell r="A515" t="str">
            <v>JC69</v>
          </cell>
          <cell r="C515">
            <v>0.6</v>
          </cell>
          <cell r="D515">
            <v>0.08</v>
          </cell>
        </row>
        <row r="516">
          <cell r="A516" t="str">
            <v>1834-13</v>
          </cell>
          <cell r="C516">
            <v>2.5</v>
          </cell>
        </row>
        <row r="517">
          <cell r="A517" t="str">
            <v>1896-13</v>
          </cell>
          <cell r="C517">
            <v>0.6</v>
          </cell>
        </row>
        <row r="518">
          <cell r="A518" t="str">
            <v>19-LI00047-0</v>
          </cell>
          <cell r="C518">
            <v>0.6</v>
          </cell>
        </row>
        <row r="519">
          <cell r="A519" t="str">
            <v>19-LI00048-0</v>
          </cell>
          <cell r="C519">
            <v>0.6</v>
          </cell>
        </row>
        <row r="520">
          <cell r="A520" t="str">
            <v>19-LI00312-0</v>
          </cell>
          <cell r="C520">
            <v>0.3</v>
          </cell>
        </row>
        <row r="521">
          <cell r="A521" t="str">
            <v>19-LI00314-0</v>
          </cell>
          <cell r="C521">
            <v>0.6</v>
          </cell>
        </row>
        <row r="522">
          <cell r="A522" t="str">
            <v>19-LI00317-0</v>
          </cell>
          <cell r="C522">
            <v>0.3</v>
          </cell>
        </row>
        <row r="523">
          <cell r="A523" t="str">
            <v>19-LI00318-0</v>
          </cell>
          <cell r="C523">
            <v>0.6</v>
          </cell>
        </row>
        <row r="524">
          <cell r="A524" t="str">
            <v>19-LI00480-0</v>
          </cell>
          <cell r="C524">
            <v>0.3</v>
          </cell>
        </row>
        <row r="525">
          <cell r="A525" t="str">
            <v>19-LI00542-0</v>
          </cell>
          <cell r="C525">
            <v>0.3</v>
          </cell>
        </row>
        <row r="526">
          <cell r="A526" t="str">
            <v>19-LI00784-0</v>
          </cell>
          <cell r="C526">
            <v>0.3</v>
          </cell>
        </row>
        <row r="527">
          <cell r="A527" t="str">
            <v>19-LI01081-0</v>
          </cell>
          <cell r="C527">
            <v>0.6</v>
          </cell>
        </row>
        <row r="528">
          <cell r="A528" t="str">
            <v>19-LI01398-0</v>
          </cell>
          <cell r="C528">
            <v>0.6</v>
          </cell>
        </row>
        <row r="529">
          <cell r="A529" t="str">
            <v>19-LI01446-0</v>
          </cell>
          <cell r="C529">
            <v>0.6</v>
          </cell>
        </row>
        <row r="530">
          <cell r="A530" t="str">
            <v>19-LI01447-0</v>
          </cell>
          <cell r="C530">
            <v>0.3</v>
          </cell>
        </row>
        <row r="531">
          <cell r="A531" t="str">
            <v>19-LI01448-0</v>
          </cell>
          <cell r="C531">
            <v>0.3</v>
          </cell>
        </row>
        <row r="532">
          <cell r="A532" t="str">
            <v>19-LI01449-0</v>
          </cell>
          <cell r="C532">
            <v>0.3</v>
          </cell>
        </row>
        <row r="533">
          <cell r="A533" t="str">
            <v>19-LI01459-0</v>
          </cell>
          <cell r="C533">
            <v>0.6</v>
          </cell>
        </row>
        <row r="534">
          <cell r="A534" t="str">
            <v>19-LI01466-0</v>
          </cell>
          <cell r="C534">
            <v>0.3</v>
          </cell>
        </row>
        <row r="535">
          <cell r="A535" t="str">
            <v>JC70</v>
          </cell>
          <cell r="C535">
            <v>0.6</v>
          </cell>
          <cell r="D535">
            <v>0.08</v>
          </cell>
        </row>
        <row r="536">
          <cell r="A536" t="str">
            <v>1978-13</v>
          </cell>
          <cell r="C536">
            <v>0.6</v>
          </cell>
        </row>
        <row r="537">
          <cell r="A537" t="str">
            <v>1979-13</v>
          </cell>
          <cell r="C537">
            <v>0.6</v>
          </cell>
        </row>
        <row r="538">
          <cell r="A538" t="str">
            <v>20-LI00099-0</v>
          </cell>
          <cell r="C538">
            <v>0.3</v>
          </cell>
        </row>
        <row r="539">
          <cell r="A539" t="str">
            <v>20-LI00340-0</v>
          </cell>
          <cell r="C539">
            <v>0.3</v>
          </cell>
        </row>
        <row r="540">
          <cell r="A540" t="str">
            <v>20-LI00346-0</v>
          </cell>
          <cell r="C540">
            <v>0.3</v>
          </cell>
        </row>
        <row r="541">
          <cell r="A541" t="str">
            <v>20-LI00400-0</v>
          </cell>
          <cell r="C541">
            <v>0.6</v>
          </cell>
        </row>
        <row r="542">
          <cell r="A542" t="str">
            <v>20-LI00463-0</v>
          </cell>
          <cell r="C542">
            <v>0.6</v>
          </cell>
        </row>
        <row r="543">
          <cell r="A543" t="str">
            <v>20-LI00476-0</v>
          </cell>
          <cell r="C543">
            <v>0.6</v>
          </cell>
        </row>
        <row r="544">
          <cell r="A544" t="str">
            <v>20-LI00496-0</v>
          </cell>
          <cell r="C544">
            <v>2.5</v>
          </cell>
        </row>
        <row r="545">
          <cell r="A545" t="str">
            <v>20-LI00667-0</v>
          </cell>
          <cell r="C545">
            <v>0.6</v>
          </cell>
        </row>
        <row r="546">
          <cell r="A546" t="str">
            <v>20-LI00704-0</v>
          </cell>
          <cell r="C546">
            <v>0.6</v>
          </cell>
        </row>
        <row r="547">
          <cell r="A547" t="str">
            <v>20-LI00705-0</v>
          </cell>
          <cell r="C547">
            <v>0.6</v>
          </cell>
        </row>
        <row r="548">
          <cell r="A548" t="str">
            <v>20-LI00706-0</v>
          </cell>
          <cell r="C548">
            <v>0.6</v>
          </cell>
        </row>
        <row r="549">
          <cell r="A549" t="str">
            <v>20-LI00707-0</v>
          </cell>
          <cell r="C549">
            <v>0.6</v>
          </cell>
        </row>
        <row r="550">
          <cell r="A550" t="str">
            <v>20-LI00712-0</v>
          </cell>
          <cell r="C550">
            <v>0.3</v>
          </cell>
        </row>
        <row r="551">
          <cell r="A551" t="str">
            <v>20-LI00829-0</v>
          </cell>
          <cell r="C551">
            <v>0.6</v>
          </cell>
        </row>
        <row r="552">
          <cell r="A552" t="str">
            <v>20-LI00901-0</v>
          </cell>
          <cell r="C552">
            <v>0.3</v>
          </cell>
        </row>
        <row r="553">
          <cell r="A553" t="str">
            <v>20-LI00948-0</v>
          </cell>
          <cell r="C553">
            <v>0.6</v>
          </cell>
        </row>
        <row r="554">
          <cell r="A554" t="str">
            <v>20-LI00950-0</v>
          </cell>
          <cell r="C554">
            <v>0.6</v>
          </cell>
        </row>
        <row r="555">
          <cell r="A555" t="str">
            <v>20-LI01052-0</v>
          </cell>
          <cell r="C555">
            <v>0.6</v>
          </cell>
        </row>
        <row r="556">
          <cell r="A556" t="str">
            <v>20-LI01102-0</v>
          </cell>
          <cell r="C556">
            <v>0.6</v>
          </cell>
        </row>
        <row r="557">
          <cell r="A557" t="str">
            <v>20-LI01131-0</v>
          </cell>
          <cell r="C557">
            <v>0.6</v>
          </cell>
        </row>
        <row r="558">
          <cell r="A558" t="str">
            <v>20-LI01270-0</v>
          </cell>
          <cell r="C558">
            <v>0.6</v>
          </cell>
        </row>
        <row r="559">
          <cell r="A559" t="str">
            <v>20-LI01272-0</v>
          </cell>
          <cell r="C559">
            <v>0.6</v>
          </cell>
        </row>
        <row r="560">
          <cell r="A560" t="str">
            <v>20-LI01291-0</v>
          </cell>
          <cell r="C560">
            <v>0.6</v>
          </cell>
        </row>
        <row r="561">
          <cell r="A561" t="str">
            <v>20-LI01531-0</v>
          </cell>
          <cell r="C561">
            <v>0.6</v>
          </cell>
        </row>
        <row r="562">
          <cell r="A562" t="str">
            <v>20-LI01651-0</v>
          </cell>
          <cell r="C562">
            <v>0.6</v>
          </cell>
        </row>
        <row r="563">
          <cell r="A563" t="str">
            <v>20-LI01875-0</v>
          </cell>
          <cell r="C563">
            <v>0.6</v>
          </cell>
        </row>
        <row r="564">
          <cell r="A564" t="str">
            <v>2010-253</v>
          </cell>
          <cell r="C564">
            <v>2.5</v>
          </cell>
        </row>
        <row r="565">
          <cell r="A565" t="str">
            <v>2011-306</v>
          </cell>
          <cell r="C565">
            <v>0.3</v>
          </cell>
        </row>
        <row r="566">
          <cell r="A566" t="str">
            <v>2012-243</v>
          </cell>
          <cell r="C566">
            <v>0.3</v>
          </cell>
        </row>
        <row r="567">
          <cell r="A567" t="str">
            <v>2012-523</v>
          </cell>
          <cell r="C567">
            <v>0.3</v>
          </cell>
        </row>
        <row r="568">
          <cell r="A568" t="str">
            <v>2012-8</v>
          </cell>
          <cell r="C568">
            <v>0.3</v>
          </cell>
        </row>
        <row r="569">
          <cell r="A569" t="str">
            <v>JC71</v>
          </cell>
          <cell r="C569">
            <v>0.6</v>
          </cell>
          <cell r="D569">
            <v>0.08</v>
          </cell>
        </row>
        <row r="570">
          <cell r="A570" t="str">
            <v>21-LI00529-0</v>
          </cell>
          <cell r="C570">
            <v>0.6</v>
          </cell>
        </row>
        <row r="571">
          <cell r="A571" t="str">
            <v>21-LI00531-0</v>
          </cell>
          <cell r="C571">
            <v>0.6</v>
          </cell>
        </row>
        <row r="572">
          <cell r="A572" t="str">
            <v>21-LI00611-0</v>
          </cell>
          <cell r="C572">
            <v>2.5</v>
          </cell>
        </row>
        <row r="573">
          <cell r="A573" t="str">
            <v>21-LI00612-0</v>
          </cell>
          <cell r="C573">
            <v>0.6</v>
          </cell>
        </row>
        <row r="574">
          <cell r="A574" t="str">
            <v>JC74</v>
          </cell>
          <cell r="C574">
            <v>0.6</v>
          </cell>
          <cell r="D574">
            <v>0.08</v>
          </cell>
        </row>
        <row r="575">
          <cell r="A575" t="str">
            <v>JC75</v>
          </cell>
          <cell r="C575">
            <v>0.6</v>
          </cell>
          <cell r="D575">
            <v>0.08</v>
          </cell>
        </row>
        <row r="576">
          <cell r="A576" t="str">
            <v>JC79</v>
          </cell>
          <cell r="C576">
            <v>0.6</v>
          </cell>
          <cell r="D576">
            <v>0.08</v>
          </cell>
        </row>
        <row r="577">
          <cell r="A577" t="str">
            <v>JC80</v>
          </cell>
          <cell r="C577">
            <v>0.3</v>
          </cell>
          <cell r="D577">
            <v>0.08</v>
          </cell>
        </row>
        <row r="578">
          <cell r="A578" t="str">
            <v>2370-13</v>
          </cell>
          <cell r="C578">
            <v>0.3</v>
          </cell>
        </row>
        <row r="579">
          <cell r="A579" t="str">
            <v>JC81</v>
          </cell>
          <cell r="C579">
            <v>0.3</v>
          </cell>
          <cell r="D579">
            <v>0.08</v>
          </cell>
        </row>
        <row r="580">
          <cell r="A580" t="str">
            <v>JC82</v>
          </cell>
          <cell r="C580">
            <v>0.3</v>
          </cell>
          <cell r="D580">
            <v>0.08</v>
          </cell>
        </row>
        <row r="581">
          <cell r="A581" t="str">
            <v>JC85</v>
          </cell>
          <cell r="C581">
            <v>0.3</v>
          </cell>
          <cell r="D581">
            <v>0.08</v>
          </cell>
        </row>
        <row r="582">
          <cell r="A582" t="str">
            <v>JC86</v>
          </cell>
          <cell r="C582">
            <v>0.3</v>
          </cell>
          <cell r="D582">
            <v>0.08</v>
          </cell>
        </row>
        <row r="583">
          <cell r="A583" t="str">
            <v>JC87</v>
          </cell>
          <cell r="C583">
            <v>0.3</v>
          </cell>
          <cell r="D583">
            <v>0.08</v>
          </cell>
        </row>
        <row r="584">
          <cell r="A584" t="str">
            <v>JC95</v>
          </cell>
          <cell r="C584">
            <v>0.6</v>
          </cell>
          <cell r="D584">
            <v>0.08</v>
          </cell>
        </row>
        <row r="585">
          <cell r="A585" t="str">
            <v>JC96</v>
          </cell>
          <cell r="C585">
            <v>0.3</v>
          </cell>
          <cell r="D585">
            <v>0.08</v>
          </cell>
        </row>
        <row r="586">
          <cell r="A586" t="str">
            <v>JC97</v>
          </cell>
          <cell r="C586">
            <v>0.6</v>
          </cell>
          <cell r="D586">
            <v>0.08</v>
          </cell>
        </row>
        <row r="587">
          <cell r="A587" t="str">
            <v>JC98</v>
          </cell>
          <cell r="C587">
            <v>0.6</v>
          </cell>
          <cell r="D587">
            <v>0.08</v>
          </cell>
        </row>
        <row r="588">
          <cell r="A588" t="str">
            <v>JC99</v>
          </cell>
          <cell r="C588">
            <v>0.6</v>
          </cell>
          <cell r="D588">
            <v>0.08</v>
          </cell>
        </row>
        <row r="589">
          <cell r="A589" t="str">
            <v>L0928</v>
          </cell>
          <cell r="C589">
            <v>0.6</v>
          </cell>
          <cell r="D589">
            <v>0.08</v>
          </cell>
        </row>
        <row r="590">
          <cell r="A590" t="str">
            <v>Lm004</v>
          </cell>
          <cell r="C590">
            <v>0.6</v>
          </cell>
          <cell r="D590">
            <v>0.08</v>
          </cell>
        </row>
        <row r="591">
          <cell r="A591" t="str">
            <v>Lm026</v>
          </cell>
          <cell r="C591">
            <v>0.6</v>
          </cell>
          <cell r="D591">
            <v>0.08</v>
          </cell>
        </row>
        <row r="592">
          <cell r="A592" t="str">
            <v>Lm030</v>
          </cell>
          <cell r="C592">
            <v>0.6</v>
          </cell>
          <cell r="D592">
            <v>0.08</v>
          </cell>
        </row>
        <row r="593">
          <cell r="A593" t="str">
            <v>Lm036</v>
          </cell>
          <cell r="C593">
            <v>0.6</v>
          </cell>
          <cell r="D593">
            <v>0.08</v>
          </cell>
        </row>
        <row r="594">
          <cell r="A594" t="str">
            <v>Lm037</v>
          </cell>
          <cell r="C594">
            <v>0.3</v>
          </cell>
          <cell r="D594">
            <v>0.08</v>
          </cell>
        </row>
        <row r="595">
          <cell r="A595" t="str">
            <v>3R23-1</v>
          </cell>
          <cell r="C595">
            <v>0.6</v>
          </cell>
        </row>
        <row r="596">
          <cell r="A596" t="str">
            <v>Lm038</v>
          </cell>
          <cell r="C596">
            <v>0.6</v>
          </cell>
          <cell r="D596">
            <v>0.08</v>
          </cell>
        </row>
        <row r="597">
          <cell r="A597" t="str">
            <v>45_2_1</v>
          </cell>
          <cell r="C597">
            <v>0.3</v>
          </cell>
        </row>
        <row r="598">
          <cell r="A598" t="str">
            <v>Lm039</v>
          </cell>
          <cell r="C598">
            <v>0.6</v>
          </cell>
          <cell r="D598">
            <v>0.08</v>
          </cell>
        </row>
        <row r="599">
          <cell r="A599" t="str">
            <v>4KMS</v>
          </cell>
          <cell r="C599">
            <v>2.5</v>
          </cell>
        </row>
        <row r="600">
          <cell r="A600" t="str">
            <v>Lm042</v>
          </cell>
          <cell r="C600">
            <v>0.6</v>
          </cell>
          <cell r="D600">
            <v>0.08</v>
          </cell>
        </row>
        <row r="601">
          <cell r="A601" t="str">
            <v>Lm107</v>
          </cell>
          <cell r="C601">
            <v>0.6</v>
          </cell>
          <cell r="D601">
            <v>0.08</v>
          </cell>
        </row>
        <row r="602">
          <cell r="A602" t="str">
            <v>Lm127</v>
          </cell>
          <cell r="C602">
            <v>0.6</v>
          </cell>
          <cell r="D602">
            <v>0.08</v>
          </cell>
        </row>
        <row r="603">
          <cell r="A603" t="str">
            <v>Lm143</v>
          </cell>
          <cell r="C603">
            <v>0.6</v>
          </cell>
          <cell r="D603">
            <v>0.08</v>
          </cell>
        </row>
        <row r="604">
          <cell r="A604" t="str">
            <v>Lm167</v>
          </cell>
          <cell r="C604">
            <v>0.6</v>
          </cell>
          <cell r="D604">
            <v>0.08</v>
          </cell>
        </row>
        <row r="605">
          <cell r="A605" t="str">
            <v>59_6_1</v>
          </cell>
          <cell r="C605">
            <v>2.5</v>
          </cell>
        </row>
        <row r="606">
          <cell r="A606" t="str">
            <v>721-13</v>
          </cell>
          <cell r="C606">
            <v>0.6</v>
          </cell>
        </row>
        <row r="607">
          <cell r="A607" t="str">
            <v>723-13</v>
          </cell>
          <cell r="C607">
            <v>0.3</v>
          </cell>
        </row>
        <row r="608">
          <cell r="A608" t="str">
            <v>725-13</v>
          </cell>
          <cell r="C608">
            <v>0.3</v>
          </cell>
        </row>
        <row r="609">
          <cell r="A609" t="str">
            <v>Lm201</v>
          </cell>
          <cell r="C609">
            <v>0.6</v>
          </cell>
          <cell r="D609">
            <v>0.08</v>
          </cell>
        </row>
        <row r="610">
          <cell r="A610" t="str">
            <v>Lm214</v>
          </cell>
          <cell r="C610">
            <v>0.6</v>
          </cell>
          <cell r="D610">
            <v>0.08</v>
          </cell>
        </row>
        <row r="611">
          <cell r="A611" t="str">
            <v>Lm225</v>
          </cell>
          <cell r="C611">
            <v>0.6</v>
          </cell>
          <cell r="D611">
            <v>0.08</v>
          </cell>
        </row>
        <row r="612">
          <cell r="A612" t="str">
            <v>Lm238</v>
          </cell>
          <cell r="C612">
            <v>0.6</v>
          </cell>
          <cell r="D612">
            <v>0.08</v>
          </cell>
        </row>
        <row r="613">
          <cell r="A613" t="str">
            <v>Lm261</v>
          </cell>
          <cell r="C613">
            <v>0.6</v>
          </cell>
          <cell r="D613">
            <v>0.08</v>
          </cell>
        </row>
        <row r="614">
          <cell r="A614" t="str">
            <v>925-13</v>
          </cell>
          <cell r="C614">
            <v>0.3</v>
          </cell>
        </row>
        <row r="615">
          <cell r="A615" t="str">
            <v>993-13</v>
          </cell>
          <cell r="C615">
            <v>2.5</v>
          </cell>
        </row>
        <row r="616">
          <cell r="A616" t="str">
            <v>A2</v>
          </cell>
          <cell r="C616">
            <v>0.6</v>
          </cell>
        </row>
        <row r="617">
          <cell r="A617" t="str">
            <v>AB27</v>
          </cell>
          <cell r="C617">
            <v>0.6</v>
          </cell>
        </row>
        <row r="618">
          <cell r="A618" t="str">
            <v>ABS6</v>
          </cell>
          <cell r="C618">
            <v>2.5</v>
          </cell>
        </row>
        <row r="619">
          <cell r="A619" t="str">
            <v>ATCC_19115</v>
          </cell>
          <cell r="C619">
            <v>0.3</v>
          </cell>
        </row>
        <row r="620">
          <cell r="A620" t="str">
            <v>AU2566</v>
          </cell>
          <cell r="C620">
            <v>2.5</v>
          </cell>
        </row>
        <row r="621">
          <cell r="A621" t="str">
            <v>AU4423</v>
          </cell>
          <cell r="C621">
            <v>2.5</v>
          </cell>
        </row>
        <row r="622">
          <cell r="A622" t="str">
            <v>AU4898</v>
          </cell>
          <cell r="C622">
            <v>0.3</v>
          </cell>
        </row>
        <row r="623">
          <cell r="A623" t="str">
            <v>B2</v>
          </cell>
          <cell r="C623">
            <v>0.6</v>
          </cell>
        </row>
        <row r="624">
          <cell r="A624" t="str">
            <v>C01</v>
          </cell>
          <cell r="B624" t="str">
            <v>C01</v>
          </cell>
          <cell r="C624">
            <v>0.3</v>
          </cell>
          <cell r="E624">
            <v>0.1</v>
          </cell>
        </row>
        <row r="625">
          <cell r="A625" t="str">
            <v>C02</v>
          </cell>
          <cell r="B625" t="str">
            <v>C02</v>
          </cell>
          <cell r="C625">
            <v>0.3</v>
          </cell>
          <cell r="E625">
            <v>0.2</v>
          </cell>
        </row>
        <row r="626">
          <cell r="A626" t="str">
            <v>C03</v>
          </cell>
          <cell r="B626" t="str">
            <v>C03</v>
          </cell>
          <cell r="C626">
            <v>0.3</v>
          </cell>
          <cell r="E626">
            <v>0.2</v>
          </cell>
        </row>
        <row r="627">
          <cell r="A627" t="str">
            <v>C04</v>
          </cell>
          <cell r="B627" t="str">
            <v>C04</v>
          </cell>
          <cell r="C627">
            <v>0.3</v>
          </cell>
          <cell r="E627">
            <v>0.1</v>
          </cell>
        </row>
        <row r="628">
          <cell r="A628" t="str">
            <v>C05</v>
          </cell>
          <cell r="B628" t="str">
            <v>C05</v>
          </cell>
          <cell r="C628">
            <v>0.3</v>
          </cell>
          <cell r="E628">
            <v>0.1</v>
          </cell>
        </row>
        <row r="629">
          <cell r="A629" t="str">
            <v>C06</v>
          </cell>
          <cell r="B629" t="str">
            <v>C06</v>
          </cell>
          <cell r="C629">
            <v>0.3</v>
          </cell>
          <cell r="E629">
            <v>0.1</v>
          </cell>
        </row>
        <row r="630">
          <cell r="A630" t="str">
            <v>C07</v>
          </cell>
          <cell r="B630" t="str">
            <v>C07</v>
          </cell>
          <cell r="C630">
            <v>0.3</v>
          </cell>
          <cell r="E630">
            <v>0.2</v>
          </cell>
        </row>
        <row r="631">
          <cell r="A631" t="str">
            <v>C08</v>
          </cell>
          <cell r="B631" t="str">
            <v>C08</v>
          </cell>
          <cell r="C631">
            <v>1.25</v>
          </cell>
          <cell r="E631">
            <v>0.4</v>
          </cell>
        </row>
        <row r="632">
          <cell r="A632" t="str">
            <v>C09</v>
          </cell>
          <cell r="B632" t="str">
            <v>C09</v>
          </cell>
          <cell r="C632">
            <v>0.3</v>
          </cell>
          <cell r="E632">
            <v>0.1</v>
          </cell>
        </row>
        <row r="633">
          <cell r="A633" t="str">
            <v>C10</v>
          </cell>
          <cell r="B633" t="str">
            <v>C10</v>
          </cell>
          <cell r="C633">
            <v>0.3</v>
          </cell>
          <cell r="E633">
            <v>0.2</v>
          </cell>
        </row>
        <row r="634">
          <cell r="A634" t="str">
            <v>C11</v>
          </cell>
          <cell r="B634" t="str">
            <v>C11</v>
          </cell>
          <cell r="C634">
            <v>0.3</v>
          </cell>
          <cell r="E634">
            <v>0.2</v>
          </cell>
        </row>
        <row r="635">
          <cell r="A635" t="str">
            <v>C12</v>
          </cell>
          <cell r="B635" t="str">
            <v>C12</v>
          </cell>
          <cell r="C635">
            <v>0.3</v>
          </cell>
          <cell r="E635">
            <v>0.2</v>
          </cell>
        </row>
        <row r="636">
          <cell r="A636" t="str">
            <v>C13</v>
          </cell>
          <cell r="B636" t="str">
            <v>C13</v>
          </cell>
          <cell r="C636">
            <v>0.3</v>
          </cell>
          <cell r="E636">
            <v>0.2</v>
          </cell>
        </row>
        <row r="637">
          <cell r="A637" t="str">
            <v>C14</v>
          </cell>
          <cell r="B637" t="str">
            <v>C14</v>
          </cell>
          <cell r="C637">
            <v>0.3</v>
          </cell>
          <cell r="E637">
            <v>0.2</v>
          </cell>
        </row>
        <row r="638">
          <cell r="A638" t="str">
            <v>CDL121</v>
          </cell>
          <cell r="C638">
            <v>0.3</v>
          </cell>
        </row>
        <row r="639">
          <cell r="A639" t="str">
            <v>CDL142</v>
          </cell>
          <cell r="C639">
            <v>0.3</v>
          </cell>
        </row>
        <row r="640">
          <cell r="A640" t="str">
            <v>CDL146</v>
          </cell>
          <cell r="C640">
            <v>0.3</v>
          </cell>
        </row>
        <row r="641">
          <cell r="A641" t="str">
            <v>CDL147</v>
          </cell>
          <cell r="C641">
            <v>0.3</v>
          </cell>
        </row>
        <row r="642">
          <cell r="A642" t="str">
            <v>CDL150</v>
          </cell>
          <cell r="C642">
            <v>0.3</v>
          </cell>
        </row>
        <row r="643">
          <cell r="A643" t="str">
            <v>CDL154</v>
          </cell>
          <cell r="C643">
            <v>0.3</v>
          </cell>
        </row>
        <row r="644">
          <cell r="A644" t="str">
            <v>CDL157</v>
          </cell>
          <cell r="C644">
            <v>0.3</v>
          </cell>
        </row>
        <row r="645">
          <cell r="A645" t="str">
            <v>CDL158</v>
          </cell>
          <cell r="C645">
            <v>0.3</v>
          </cell>
        </row>
        <row r="646">
          <cell r="A646" t="str">
            <v>CDL161</v>
          </cell>
          <cell r="C646">
            <v>0.3</v>
          </cell>
        </row>
        <row r="647">
          <cell r="A647" t="str">
            <v>CDL164</v>
          </cell>
          <cell r="C647">
            <v>0.3</v>
          </cell>
        </row>
        <row r="648">
          <cell r="A648" t="str">
            <v>CDL170</v>
          </cell>
          <cell r="C648">
            <v>0.3</v>
          </cell>
        </row>
        <row r="649">
          <cell r="A649" t="str">
            <v>CDL171</v>
          </cell>
          <cell r="C649">
            <v>0.3</v>
          </cell>
        </row>
        <row r="650">
          <cell r="A650" t="str">
            <v>CDL172</v>
          </cell>
          <cell r="C650">
            <v>0.3</v>
          </cell>
        </row>
        <row r="651">
          <cell r="A651" t="str">
            <v>CDL174</v>
          </cell>
          <cell r="C651">
            <v>0.3</v>
          </cell>
        </row>
        <row r="652">
          <cell r="A652" t="str">
            <v>CDL175</v>
          </cell>
          <cell r="C652">
            <v>0.3</v>
          </cell>
        </row>
        <row r="653">
          <cell r="A653" t="str">
            <v>CDL176</v>
          </cell>
          <cell r="C653">
            <v>0.3</v>
          </cell>
        </row>
        <row r="654">
          <cell r="A654" t="str">
            <v>CDL197</v>
          </cell>
          <cell r="C654">
            <v>0.3</v>
          </cell>
        </row>
        <row r="655">
          <cell r="A655" t="str">
            <v>CDL2</v>
          </cell>
          <cell r="C655">
            <v>0.3</v>
          </cell>
        </row>
        <row r="656">
          <cell r="A656" t="str">
            <v>CDL200</v>
          </cell>
          <cell r="C656">
            <v>0.3</v>
          </cell>
        </row>
        <row r="657">
          <cell r="A657" t="str">
            <v>CDL202</v>
          </cell>
          <cell r="C657">
            <v>0.3</v>
          </cell>
        </row>
        <row r="658">
          <cell r="A658" t="str">
            <v>CDL203</v>
          </cell>
          <cell r="C658">
            <v>0.3</v>
          </cell>
        </row>
        <row r="659">
          <cell r="A659" t="str">
            <v>CDL252</v>
          </cell>
          <cell r="C659">
            <v>0.3</v>
          </cell>
        </row>
        <row r="660">
          <cell r="A660" t="str">
            <v>CDL64</v>
          </cell>
          <cell r="C660">
            <v>2.5</v>
          </cell>
        </row>
        <row r="661">
          <cell r="A661" t="str">
            <v>CDL65</v>
          </cell>
          <cell r="C661">
            <v>0.3</v>
          </cell>
        </row>
        <row r="662">
          <cell r="A662" t="str">
            <v>CDL66</v>
          </cell>
          <cell r="C662">
            <v>0.3</v>
          </cell>
        </row>
        <row r="663">
          <cell r="A663" t="str">
            <v>CDL67</v>
          </cell>
          <cell r="C663">
            <v>2.5</v>
          </cell>
        </row>
        <row r="664">
          <cell r="A664" t="str">
            <v>CDL68</v>
          </cell>
          <cell r="C664">
            <v>0.3</v>
          </cell>
        </row>
        <row r="665">
          <cell r="A665" t="str">
            <v>CDL69</v>
          </cell>
          <cell r="C665">
            <v>2.5</v>
          </cell>
        </row>
        <row r="666">
          <cell r="A666" t="str">
            <v>CDL71</v>
          </cell>
          <cell r="C666">
            <v>1.25</v>
          </cell>
        </row>
        <row r="667">
          <cell r="A667" t="str">
            <v>CDL72</v>
          </cell>
          <cell r="C667">
            <v>2.5</v>
          </cell>
        </row>
        <row r="668">
          <cell r="A668" t="str">
            <v>CDL73</v>
          </cell>
          <cell r="C668">
            <v>0.3</v>
          </cell>
        </row>
        <row r="669">
          <cell r="A669" t="str">
            <v>CDL74</v>
          </cell>
          <cell r="C669">
            <v>2.5</v>
          </cell>
        </row>
        <row r="670">
          <cell r="A670" t="str">
            <v>CDL75</v>
          </cell>
          <cell r="C670">
            <v>0.3</v>
          </cell>
        </row>
        <row r="671">
          <cell r="A671" t="str">
            <v>CDL76</v>
          </cell>
          <cell r="C671">
            <v>2.5</v>
          </cell>
        </row>
        <row r="672">
          <cell r="A672" t="str">
            <v>CDL77</v>
          </cell>
          <cell r="C672">
            <v>0.3</v>
          </cell>
        </row>
        <row r="673">
          <cell r="A673" t="str">
            <v>CDL78</v>
          </cell>
          <cell r="C673">
            <v>2.5</v>
          </cell>
        </row>
        <row r="674">
          <cell r="A674" t="str">
            <v>CDL80</v>
          </cell>
          <cell r="C674">
            <v>0.3</v>
          </cell>
        </row>
        <row r="675">
          <cell r="A675" t="str">
            <v>CDL9</v>
          </cell>
          <cell r="C675">
            <v>0.3</v>
          </cell>
        </row>
        <row r="676">
          <cell r="A676" t="str">
            <v>CP4</v>
          </cell>
          <cell r="C676">
            <v>0.3</v>
          </cell>
        </row>
        <row r="677">
          <cell r="A677" t="str">
            <v>CZ48</v>
          </cell>
          <cell r="C677">
            <v>0.3</v>
          </cell>
        </row>
        <row r="678">
          <cell r="A678" t="str">
            <v>CZ70</v>
          </cell>
          <cell r="C678">
            <v>0.3</v>
          </cell>
        </row>
        <row r="679">
          <cell r="A679" t="str">
            <v>D01</v>
          </cell>
          <cell r="B679" t="str">
            <v>D01</v>
          </cell>
          <cell r="C679">
            <v>0.3</v>
          </cell>
          <cell r="E679">
            <v>0.1</v>
          </cell>
        </row>
        <row r="680">
          <cell r="A680" t="str">
            <v>D02</v>
          </cell>
          <cell r="B680" t="str">
            <v>D02</v>
          </cell>
          <cell r="C680">
            <v>0.3</v>
          </cell>
          <cell r="E680">
            <v>0.2</v>
          </cell>
        </row>
        <row r="681">
          <cell r="A681" t="str">
            <v>D03</v>
          </cell>
          <cell r="B681" t="str">
            <v>D03</v>
          </cell>
          <cell r="C681">
            <v>0.3</v>
          </cell>
          <cell r="E681">
            <v>0.2</v>
          </cell>
        </row>
        <row r="682">
          <cell r="A682" t="str">
            <v>D04</v>
          </cell>
          <cell r="B682" t="str">
            <v>D04</v>
          </cell>
          <cell r="C682">
            <v>0.3</v>
          </cell>
          <cell r="E682">
            <v>0.2</v>
          </cell>
        </row>
        <row r="683">
          <cell r="A683" t="str">
            <v>D05</v>
          </cell>
          <cell r="B683" t="str">
            <v>D05</v>
          </cell>
          <cell r="C683">
            <v>0.3</v>
          </cell>
          <cell r="E683">
            <v>0.2</v>
          </cell>
        </row>
        <row r="684">
          <cell r="A684" t="str">
            <v>D06</v>
          </cell>
          <cell r="B684" t="str">
            <v>D06</v>
          </cell>
          <cell r="C684">
            <v>0.3</v>
          </cell>
          <cell r="E684">
            <v>0.2</v>
          </cell>
        </row>
        <row r="685">
          <cell r="A685" t="str">
            <v>D07</v>
          </cell>
          <cell r="B685" t="str">
            <v>D07</v>
          </cell>
          <cell r="C685">
            <v>2.5</v>
          </cell>
          <cell r="E685">
            <v>0.2</v>
          </cell>
        </row>
        <row r="686">
          <cell r="A686" t="str">
            <v>D08</v>
          </cell>
          <cell r="B686" t="str">
            <v>D08</v>
          </cell>
          <cell r="C686">
            <v>0.6</v>
          </cell>
          <cell r="E686">
            <v>0.4</v>
          </cell>
        </row>
        <row r="687">
          <cell r="A687" t="str">
            <v>D09</v>
          </cell>
          <cell r="B687" t="str">
            <v>D09</v>
          </cell>
          <cell r="C687">
            <v>0.6</v>
          </cell>
          <cell r="E687">
            <v>0.4</v>
          </cell>
        </row>
        <row r="688">
          <cell r="A688" t="str">
            <v>D10</v>
          </cell>
          <cell r="B688" t="str">
            <v>D10</v>
          </cell>
          <cell r="C688">
            <v>0.6</v>
          </cell>
          <cell r="E688">
            <v>0.2</v>
          </cell>
        </row>
        <row r="689">
          <cell r="A689" t="str">
            <v xml:space="preserve">D5590/A </v>
          </cell>
          <cell r="B689" t="str">
            <v xml:space="preserve">D5590/A </v>
          </cell>
          <cell r="C689">
            <v>0.6</v>
          </cell>
          <cell r="E689">
            <v>0.2</v>
          </cell>
        </row>
        <row r="690">
          <cell r="A690" t="str">
            <v>ERR1432965</v>
          </cell>
          <cell r="B690" t="str">
            <v>3R110-1</v>
          </cell>
          <cell r="C690">
            <v>0.6</v>
          </cell>
        </row>
        <row r="691">
          <cell r="A691" t="str">
            <v>ERR1432967</v>
          </cell>
          <cell r="B691">
            <v>4239</v>
          </cell>
          <cell r="C691">
            <v>0.6</v>
          </cell>
        </row>
        <row r="692">
          <cell r="A692" t="str">
            <v>ERR1432968</v>
          </cell>
          <cell r="B692">
            <v>4446</v>
          </cell>
          <cell r="C692">
            <v>0.6</v>
          </cell>
        </row>
        <row r="693">
          <cell r="A693" t="str">
            <v>ERR1432969</v>
          </cell>
          <cell r="B693">
            <v>4459</v>
          </cell>
          <cell r="C693">
            <v>0.3</v>
          </cell>
        </row>
        <row r="694">
          <cell r="A694" t="str">
            <v>ERR1432970</v>
          </cell>
          <cell r="B694">
            <v>4549</v>
          </cell>
          <cell r="C694">
            <v>0.6</v>
          </cell>
        </row>
        <row r="695">
          <cell r="A695" t="str">
            <v>ERR1432971</v>
          </cell>
          <cell r="B695">
            <v>4666</v>
          </cell>
          <cell r="C695">
            <v>0.3</v>
          </cell>
        </row>
        <row r="696">
          <cell r="A696" t="str">
            <v>ERR1432972</v>
          </cell>
          <cell r="B696">
            <v>6895</v>
          </cell>
          <cell r="C696">
            <v>0.6</v>
          </cell>
        </row>
        <row r="697">
          <cell r="A697" t="str">
            <v>ERR1432973</v>
          </cell>
          <cell r="B697">
            <v>7282</v>
          </cell>
          <cell r="C697">
            <v>0.6</v>
          </cell>
        </row>
        <row r="698">
          <cell r="A698" t="str">
            <v>ERR1432974</v>
          </cell>
          <cell r="B698">
            <v>7291</v>
          </cell>
          <cell r="C698">
            <v>0.6</v>
          </cell>
        </row>
        <row r="699">
          <cell r="A699" t="str">
            <v>ERR1432975</v>
          </cell>
          <cell r="B699">
            <v>7418</v>
          </cell>
          <cell r="C699">
            <v>0.3</v>
          </cell>
        </row>
        <row r="700">
          <cell r="A700" t="str">
            <v>ERR1432979</v>
          </cell>
          <cell r="B700" t="str">
            <v>H13-1</v>
          </cell>
          <cell r="C700">
            <v>2.5</v>
          </cell>
        </row>
        <row r="701">
          <cell r="A701" t="str">
            <v>ERR1432982</v>
          </cell>
          <cell r="B701" t="str">
            <v>La111</v>
          </cell>
          <cell r="C701">
            <v>2.5</v>
          </cell>
        </row>
        <row r="702">
          <cell r="A702" t="str">
            <v>ERR1432983</v>
          </cell>
          <cell r="B702" t="str">
            <v>La150</v>
          </cell>
          <cell r="C702">
            <v>2.5</v>
          </cell>
        </row>
        <row r="703">
          <cell r="A703" t="str">
            <v>ERR1432984</v>
          </cell>
          <cell r="B703" t="str">
            <v>La22</v>
          </cell>
          <cell r="C703">
            <v>0.6</v>
          </cell>
        </row>
        <row r="704">
          <cell r="A704" t="str">
            <v>ERR1432985</v>
          </cell>
          <cell r="B704" t="str">
            <v>La42</v>
          </cell>
          <cell r="C704">
            <v>2.5</v>
          </cell>
        </row>
        <row r="705">
          <cell r="A705" t="str">
            <v>ERR1432987</v>
          </cell>
          <cell r="B705" t="str">
            <v>M103-1</v>
          </cell>
          <cell r="C705">
            <v>2.5</v>
          </cell>
        </row>
        <row r="706">
          <cell r="A706" t="str">
            <v>ERR1432990</v>
          </cell>
          <cell r="B706" t="str">
            <v>M45-1</v>
          </cell>
          <cell r="C706">
            <v>0.6</v>
          </cell>
        </row>
        <row r="707">
          <cell r="A707" t="str">
            <v>ERR1432992</v>
          </cell>
          <cell r="B707" t="str">
            <v>N278-1</v>
          </cell>
          <cell r="C707">
            <v>0.6</v>
          </cell>
        </row>
        <row r="708">
          <cell r="A708" t="str">
            <v>ERR1432994</v>
          </cell>
          <cell r="B708" t="str">
            <v>N53-1</v>
          </cell>
          <cell r="C708">
            <v>2.5</v>
          </cell>
        </row>
        <row r="709">
          <cell r="A709" t="str">
            <v>ERR1432995</v>
          </cell>
          <cell r="B709" t="str">
            <v>No37-1</v>
          </cell>
          <cell r="C709">
            <v>0.6</v>
          </cell>
        </row>
        <row r="710">
          <cell r="A710" t="str">
            <v>ERR1432998</v>
          </cell>
          <cell r="B710" t="str">
            <v>O57</v>
          </cell>
          <cell r="C710">
            <v>2.5</v>
          </cell>
        </row>
        <row r="711">
          <cell r="A711" t="str">
            <v>ERR1433000</v>
          </cell>
          <cell r="B711" t="str">
            <v>V518a</v>
          </cell>
          <cell r="C711">
            <v>0.3</v>
          </cell>
        </row>
        <row r="712">
          <cell r="A712" t="str">
            <v>ERR4648149</v>
          </cell>
          <cell r="B712" t="str">
            <v>LV0399</v>
          </cell>
          <cell r="C712">
            <v>2.5</v>
          </cell>
          <cell r="E712">
            <v>0.8</v>
          </cell>
        </row>
        <row r="713">
          <cell r="A713" t="str">
            <v>ERR4648150</v>
          </cell>
          <cell r="B713" t="str">
            <v>LV0400</v>
          </cell>
          <cell r="C713">
            <v>0.3</v>
          </cell>
          <cell r="E713">
            <v>0.2</v>
          </cell>
        </row>
        <row r="714">
          <cell r="A714" t="str">
            <v>ERR4648152</v>
          </cell>
          <cell r="B714" t="str">
            <v>LV0450</v>
          </cell>
          <cell r="C714">
            <v>0.3</v>
          </cell>
          <cell r="E714">
            <v>0.2</v>
          </cell>
        </row>
        <row r="715">
          <cell r="A715" t="str">
            <v>ERR4648154</v>
          </cell>
          <cell r="B715" t="str">
            <v>LV0654</v>
          </cell>
          <cell r="C715">
            <v>0.6</v>
          </cell>
          <cell r="E715">
            <v>0.2</v>
          </cell>
        </row>
        <row r="716">
          <cell r="A716" t="str">
            <v>ERR4648158</v>
          </cell>
          <cell r="B716" t="str">
            <v>LV0663</v>
          </cell>
          <cell r="C716">
            <v>0.3</v>
          </cell>
          <cell r="E716">
            <v>0.2</v>
          </cell>
        </row>
        <row r="717">
          <cell r="A717" t="str">
            <v>ERR4648159</v>
          </cell>
          <cell r="B717" t="str">
            <v>LV0664</v>
          </cell>
          <cell r="C717">
            <v>0.3</v>
          </cell>
          <cell r="E717">
            <v>0.4</v>
          </cell>
        </row>
        <row r="718">
          <cell r="A718" t="str">
            <v>ERR4648160</v>
          </cell>
          <cell r="B718" t="str">
            <v>LV0665</v>
          </cell>
          <cell r="C718">
            <v>0.3</v>
          </cell>
          <cell r="E718">
            <v>0.2</v>
          </cell>
        </row>
        <row r="719">
          <cell r="A719" t="str">
            <v>ERR4648161</v>
          </cell>
          <cell r="B719" t="str">
            <v>LV0668</v>
          </cell>
          <cell r="C719">
            <v>0.3</v>
          </cell>
          <cell r="E719">
            <v>0.4</v>
          </cell>
        </row>
        <row r="720">
          <cell r="A720" t="str">
            <v>ERR4648166</v>
          </cell>
          <cell r="B720" t="str">
            <v>LV0681</v>
          </cell>
          <cell r="C720">
            <v>0.3</v>
          </cell>
          <cell r="E720">
            <v>0.4</v>
          </cell>
        </row>
        <row r="721">
          <cell r="A721" t="str">
            <v>ERR4648167</v>
          </cell>
          <cell r="B721" t="str">
            <v>LV0689</v>
          </cell>
          <cell r="C721">
            <v>0.3</v>
          </cell>
          <cell r="E721">
            <v>0.4</v>
          </cell>
        </row>
        <row r="722">
          <cell r="A722" t="str">
            <v>ERR4648168</v>
          </cell>
          <cell r="B722" t="str">
            <v>LV0908</v>
          </cell>
          <cell r="C722">
            <v>0.3</v>
          </cell>
          <cell r="E722">
            <v>0.2</v>
          </cell>
        </row>
        <row r="723">
          <cell r="A723" t="str">
            <v>ERR4648172</v>
          </cell>
          <cell r="B723" t="str">
            <v>LV1098</v>
          </cell>
          <cell r="C723">
            <v>0.3</v>
          </cell>
          <cell r="E723">
            <v>0.2</v>
          </cell>
        </row>
        <row r="724">
          <cell r="A724" t="str">
            <v>ERR4648173</v>
          </cell>
          <cell r="B724" t="str">
            <v>LV1105</v>
          </cell>
          <cell r="C724">
            <v>0.3</v>
          </cell>
          <cell r="E724">
            <v>0.2</v>
          </cell>
        </row>
        <row r="725">
          <cell r="A725" t="str">
            <v>ERR4648175</v>
          </cell>
          <cell r="B725" t="str">
            <v>LV1114</v>
          </cell>
          <cell r="C725">
            <v>0.3</v>
          </cell>
          <cell r="E725">
            <v>0.2</v>
          </cell>
        </row>
        <row r="726">
          <cell r="A726" t="str">
            <v>ERR4648177</v>
          </cell>
          <cell r="B726" t="str">
            <v>LV1177</v>
          </cell>
          <cell r="C726">
            <v>0.3</v>
          </cell>
          <cell r="E726">
            <v>0.2</v>
          </cell>
        </row>
        <row r="727">
          <cell r="A727" t="str">
            <v>ERR4648189</v>
          </cell>
          <cell r="B727" t="str">
            <v>LV0145</v>
          </cell>
          <cell r="C727">
            <v>0.3</v>
          </cell>
          <cell r="E727">
            <v>0.2</v>
          </cell>
        </row>
        <row r="728">
          <cell r="A728" t="str">
            <v>ERR4648190</v>
          </cell>
          <cell r="B728" t="str">
            <v>LV0146</v>
          </cell>
          <cell r="C728">
            <v>0.3</v>
          </cell>
          <cell r="E728">
            <v>0.2</v>
          </cell>
        </row>
        <row r="729">
          <cell r="A729" t="str">
            <v>ERR4648192</v>
          </cell>
          <cell r="B729" t="str">
            <v>LV0446</v>
          </cell>
          <cell r="C729">
            <v>0.3</v>
          </cell>
          <cell r="E729">
            <v>0.4</v>
          </cell>
        </row>
        <row r="730">
          <cell r="A730" t="str">
            <v>ERR4648196</v>
          </cell>
          <cell r="B730" t="str">
            <v>LV0649</v>
          </cell>
          <cell r="C730">
            <v>0.3</v>
          </cell>
          <cell r="E730">
            <v>0.2</v>
          </cell>
        </row>
        <row r="731">
          <cell r="A731" t="str">
            <v>ERR4648197</v>
          </cell>
          <cell r="B731" t="str">
            <v>LV0682</v>
          </cell>
          <cell r="C731">
            <v>0.3</v>
          </cell>
          <cell r="E731">
            <v>0.2</v>
          </cell>
        </row>
        <row r="732">
          <cell r="A732" t="str">
            <v>ERR4648206</v>
          </cell>
          <cell r="B732" t="str">
            <v>LV1211</v>
          </cell>
          <cell r="C732">
            <v>0.6</v>
          </cell>
          <cell r="E732">
            <v>0.4</v>
          </cell>
        </row>
        <row r="733">
          <cell r="A733" t="str">
            <v>ERR4648207</v>
          </cell>
          <cell r="B733" t="str">
            <v>LV1234</v>
          </cell>
          <cell r="C733">
            <v>0.3</v>
          </cell>
          <cell r="E733">
            <v>0.2</v>
          </cell>
        </row>
        <row r="734">
          <cell r="A734" t="str">
            <v>ERR4648208</v>
          </cell>
          <cell r="B734" t="str">
            <v>LV1238</v>
          </cell>
          <cell r="C734">
            <v>0.3</v>
          </cell>
          <cell r="E734">
            <v>0.2</v>
          </cell>
        </row>
        <row r="735">
          <cell r="A735" t="str">
            <v>ERR4648209</v>
          </cell>
          <cell r="B735" t="str">
            <v>LV1259</v>
          </cell>
          <cell r="C735">
            <v>0.3</v>
          </cell>
          <cell r="E735">
            <v>0.2</v>
          </cell>
        </row>
        <row r="736">
          <cell r="A736" t="str">
            <v>ERR4648211</v>
          </cell>
          <cell r="B736" t="str">
            <v>LV0620</v>
          </cell>
          <cell r="C736">
            <v>0.3</v>
          </cell>
          <cell r="E736">
            <v>0.2</v>
          </cell>
        </row>
        <row r="737">
          <cell r="A737" t="str">
            <v>ERR4648212</v>
          </cell>
          <cell r="B737" t="str">
            <v>LV0660</v>
          </cell>
          <cell r="C737">
            <v>0.6</v>
          </cell>
          <cell r="E737">
            <v>0.2</v>
          </cell>
        </row>
        <row r="738">
          <cell r="A738" t="str">
            <v>ERR4648217</v>
          </cell>
          <cell r="B738" t="str">
            <v>LV0008</v>
          </cell>
          <cell r="C738">
            <v>0.3</v>
          </cell>
          <cell r="E738">
            <v>0.2</v>
          </cell>
        </row>
        <row r="739">
          <cell r="A739" t="str">
            <v>ERR4648220</v>
          </cell>
          <cell r="B739" t="str">
            <v>LV0627</v>
          </cell>
          <cell r="C739">
            <v>0.3</v>
          </cell>
          <cell r="E739">
            <v>0.2</v>
          </cell>
        </row>
        <row r="740">
          <cell r="A740" t="str">
            <v>ERR4648222</v>
          </cell>
          <cell r="B740" t="str">
            <v>LV0672</v>
          </cell>
          <cell r="C740">
            <v>0.3</v>
          </cell>
          <cell r="E740">
            <v>0.4</v>
          </cell>
        </row>
        <row r="741">
          <cell r="A741" t="str">
            <v>ERR4648224</v>
          </cell>
          <cell r="B741" t="str">
            <v>LV0859</v>
          </cell>
          <cell r="C741">
            <v>0.3</v>
          </cell>
          <cell r="E741">
            <v>0.4</v>
          </cell>
        </row>
        <row r="742">
          <cell r="A742" t="str">
            <v>ERR4648225</v>
          </cell>
          <cell r="B742" t="str">
            <v>LV0935</v>
          </cell>
          <cell r="C742">
            <v>0.3</v>
          </cell>
          <cell r="E742">
            <v>0.2</v>
          </cell>
        </row>
        <row r="743">
          <cell r="A743" t="str">
            <v>ERR4648227</v>
          </cell>
          <cell r="B743" t="str">
            <v>LV0167</v>
          </cell>
          <cell r="C743">
            <v>0.3</v>
          </cell>
          <cell r="E743">
            <v>0.2</v>
          </cell>
        </row>
        <row r="744">
          <cell r="A744" t="str">
            <v>ERR4648228</v>
          </cell>
          <cell r="B744" t="str">
            <v>LV0201</v>
          </cell>
          <cell r="C744">
            <v>0.3</v>
          </cell>
          <cell r="E744">
            <v>0.2</v>
          </cell>
        </row>
        <row r="745">
          <cell r="A745" t="str">
            <v>ERR4648232</v>
          </cell>
          <cell r="B745" t="str">
            <v>LV0281</v>
          </cell>
          <cell r="C745">
            <v>0.3</v>
          </cell>
          <cell r="E745">
            <v>0.2</v>
          </cell>
        </row>
        <row r="746">
          <cell r="A746" t="str">
            <v>ERR4648236</v>
          </cell>
          <cell r="B746" t="str">
            <v>LV0180</v>
          </cell>
          <cell r="C746">
            <v>0.3</v>
          </cell>
          <cell r="E746">
            <v>0.2</v>
          </cell>
        </row>
        <row r="747">
          <cell r="A747" t="str">
            <v>ERR4648277</v>
          </cell>
          <cell r="B747" t="str">
            <v>LV0993</v>
          </cell>
          <cell r="C747">
            <v>0.3</v>
          </cell>
          <cell r="E747">
            <v>0.8</v>
          </cell>
        </row>
        <row r="748">
          <cell r="A748" t="str">
            <v>F01</v>
          </cell>
          <cell r="B748" t="str">
            <v>F01</v>
          </cell>
          <cell r="C748">
            <v>2.5</v>
          </cell>
          <cell r="E748">
            <v>1.6</v>
          </cell>
        </row>
        <row r="749">
          <cell r="A749" t="str">
            <v>F02</v>
          </cell>
          <cell r="B749" t="str">
            <v>F02</v>
          </cell>
          <cell r="C749">
            <v>2.5</v>
          </cell>
          <cell r="E749">
            <v>0.8</v>
          </cell>
        </row>
        <row r="750">
          <cell r="A750" t="str">
            <v>F03</v>
          </cell>
          <cell r="B750" t="str">
            <v>F03</v>
          </cell>
          <cell r="C750">
            <v>0.6</v>
          </cell>
          <cell r="E750">
            <v>0.4</v>
          </cell>
        </row>
        <row r="751">
          <cell r="A751" t="str">
            <v>F04</v>
          </cell>
          <cell r="B751" t="str">
            <v>F04</v>
          </cell>
          <cell r="C751">
            <v>2.5</v>
          </cell>
          <cell r="E751">
            <v>1.6</v>
          </cell>
        </row>
        <row r="752">
          <cell r="A752" t="str">
            <v>F05</v>
          </cell>
          <cell r="B752" t="str">
            <v>F05</v>
          </cell>
          <cell r="C752">
            <v>2.5</v>
          </cell>
          <cell r="E752">
            <v>0.8</v>
          </cell>
        </row>
        <row r="753">
          <cell r="A753" t="str">
            <v>F06</v>
          </cell>
          <cell r="B753" t="str">
            <v>F06</v>
          </cell>
          <cell r="C753">
            <v>2.5</v>
          </cell>
          <cell r="E753">
            <v>0.8</v>
          </cell>
        </row>
        <row r="754">
          <cell r="A754" t="str">
            <v>F07</v>
          </cell>
          <cell r="B754" t="str">
            <v>F07</v>
          </cell>
          <cell r="C754">
            <v>0.6</v>
          </cell>
          <cell r="E754">
            <v>0.4</v>
          </cell>
        </row>
        <row r="755">
          <cell r="A755" t="str">
            <v>F08</v>
          </cell>
          <cell r="B755" t="str">
            <v>F08</v>
          </cell>
          <cell r="C755">
            <v>2.5</v>
          </cell>
          <cell r="E755">
            <v>0.8</v>
          </cell>
        </row>
        <row r="756">
          <cell r="A756" t="str">
            <v>F09</v>
          </cell>
          <cell r="B756" t="str">
            <v>F09</v>
          </cell>
          <cell r="C756">
            <v>0.6</v>
          </cell>
          <cell r="E756">
            <v>0.4</v>
          </cell>
        </row>
        <row r="757">
          <cell r="A757" t="str">
            <v>F10</v>
          </cell>
          <cell r="B757" t="str">
            <v>F10</v>
          </cell>
          <cell r="C757">
            <v>0.6</v>
          </cell>
          <cell r="E757">
            <v>0.4</v>
          </cell>
        </row>
        <row r="758">
          <cell r="A758" t="str">
            <v>F11</v>
          </cell>
          <cell r="B758" t="str">
            <v>F11</v>
          </cell>
          <cell r="C758">
            <v>0.6</v>
          </cell>
          <cell r="E758">
            <v>0.4</v>
          </cell>
        </row>
        <row r="759">
          <cell r="A759" t="str">
            <v>F12</v>
          </cell>
          <cell r="B759" t="str">
            <v>F12</v>
          </cell>
          <cell r="C759">
            <v>0.6</v>
          </cell>
          <cell r="E759">
            <v>0.4</v>
          </cell>
        </row>
        <row r="760">
          <cell r="A760" t="str">
            <v>F18</v>
          </cell>
          <cell r="C760">
            <v>2.5</v>
          </cell>
        </row>
        <row r="761">
          <cell r="A761" t="str">
            <v>F19</v>
          </cell>
          <cell r="C761">
            <v>2.5</v>
          </cell>
        </row>
        <row r="762">
          <cell r="A762" t="str">
            <v>F2365</v>
          </cell>
          <cell r="C762">
            <v>0.3</v>
          </cell>
        </row>
        <row r="763">
          <cell r="A763" t="str">
            <v>IR6179</v>
          </cell>
          <cell r="C763">
            <v>2.5</v>
          </cell>
        </row>
        <row r="764">
          <cell r="A764" t="str">
            <v>Lm270</v>
          </cell>
          <cell r="C764">
            <v>0.6</v>
          </cell>
          <cell r="D764">
            <v>0.08</v>
          </cell>
        </row>
        <row r="765">
          <cell r="A765" t="str">
            <v>Lm292</v>
          </cell>
          <cell r="C765">
            <v>0.6</v>
          </cell>
          <cell r="D765">
            <v>0.08</v>
          </cell>
        </row>
        <row r="766">
          <cell r="A766" t="str">
            <v>128b1</v>
          </cell>
          <cell r="C766">
            <v>0.6</v>
          </cell>
          <cell r="D766">
            <v>0.16</v>
          </cell>
        </row>
        <row r="767">
          <cell r="A767" t="str">
            <v>18_2b</v>
          </cell>
          <cell r="C767">
            <v>0.6</v>
          </cell>
          <cell r="D767">
            <v>0.16</v>
          </cell>
        </row>
        <row r="768">
          <cell r="A768" t="str">
            <v>18_4a</v>
          </cell>
          <cell r="C768">
            <v>0.6</v>
          </cell>
          <cell r="D768">
            <v>0.16</v>
          </cell>
        </row>
        <row r="769">
          <cell r="A769" t="str">
            <v>265D</v>
          </cell>
          <cell r="C769">
            <v>0.6</v>
          </cell>
          <cell r="D769">
            <v>0.16</v>
          </cell>
        </row>
        <row r="770">
          <cell r="A770" t="str">
            <v>268a5</v>
          </cell>
          <cell r="C770">
            <v>0.3</v>
          </cell>
          <cell r="D770">
            <v>0.16</v>
          </cell>
        </row>
        <row r="771">
          <cell r="A771" t="str">
            <v>268b1</v>
          </cell>
          <cell r="C771">
            <v>0.6</v>
          </cell>
          <cell r="D771">
            <v>0.16</v>
          </cell>
        </row>
        <row r="772">
          <cell r="A772" t="str">
            <v>268b2</v>
          </cell>
          <cell r="C772">
            <v>0.6</v>
          </cell>
          <cell r="D772">
            <v>0.16</v>
          </cell>
        </row>
        <row r="773">
          <cell r="A773" t="str">
            <v>388a1</v>
          </cell>
          <cell r="C773">
            <v>0.6</v>
          </cell>
          <cell r="D773">
            <v>0.16</v>
          </cell>
        </row>
        <row r="774">
          <cell r="A774" t="str">
            <v>395b1</v>
          </cell>
          <cell r="C774">
            <v>0.6</v>
          </cell>
          <cell r="D774">
            <v>0.16</v>
          </cell>
        </row>
        <row r="775">
          <cell r="A775" t="str">
            <v>491_a1</v>
          </cell>
          <cell r="C775">
            <v>0.6</v>
          </cell>
          <cell r="D775">
            <v>0.16</v>
          </cell>
        </row>
        <row r="776">
          <cell r="A776" t="str">
            <v>5_MI_18</v>
          </cell>
          <cell r="C776">
            <v>0.6</v>
          </cell>
          <cell r="D776">
            <v>0.16</v>
          </cell>
        </row>
        <row r="777">
          <cell r="A777" t="str">
            <v>5_MI_27</v>
          </cell>
          <cell r="C777">
            <v>0.6</v>
          </cell>
          <cell r="D777">
            <v>0.16</v>
          </cell>
        </row>
        <row r="778">
          <cell r="A778" t="str">
            <v>5_MI_39</v>
          </cell>
          <cell r="C778">
            <v>0.6</v>
          </cell>
          <cell r="D778">
            <v>0.16</v>
          </cell>
        </row>
        <row r="779">
          <cell r="A779" t="str">
            <v>8_MI_12</v>
          </cell>
          <cell r="C779">
            <v>0.6</v>
          </cell>
          <cell r="D779">
            <v>0.16</v>
          </cell>
        </row>
        <row r="780">
          <cell r="A780" t="str">
            <v>82a6</v>
          </cell>
          <cell r="C780">
            <v>0.6</v>
          </cell>
          <cell r="D780">
            <v>0.16</v>
          </cell>
        </row>
        <row r="781">
          <cell r="A781" t="str">
            <v>90a1</v>
          </cell>
          <cell r="C781">
            <v>0.6</v>
          </cell>
          <cell r="D781">
            <v>0.16</v>
          </cell>
        </row>
        <row r="782">
          <cell r="A782" t="str">
            <v>JC13</v>
          </cell>
          <cell r="C782">
            <v>0.6</v>
          </cell>
          <cell r="D782">
            <v>0.16</v>
          </cell>
        </row>
        <row r="783">
          <cell r="A783" t="str">
            <v>JC14</v>
          </cell>
          <cell r="C783">
            <v>0.6</v>
          </cell>
          <cell r="D783">
            <v>0.16</v>
          </cell>
        </row>
        <row r="784">
          <cell r="A784" t="str">
            <v>JC18</v>
          </cell>
          <cell r="C784">
            <v>0.6</v>
          </cell>
          <cell r="D784">
            <v>0.16</v>
          </cell>
        </row>
        <row r="785">
          <cell r="A785" t="str">
            <v>JC21</v>
          </cell>
          <cell r="C785">
            <v>0.6</v>
          </cell>
          <cell r="D785">
            <v>0.16</v>
          </cell>
        </row>
        <row r="786">
          <cell r="A786" t="str">
            <v>JC22</v>
          </cell>
          <cell r="C786">
            <v>0.6</v>
          </cell>
          <cell r="D786">
            <v>0.16</v>
          </cell>
        </row>
        <row r="787">
          <cell r="A787" t="str">
            <v>JC27</v>
          </cell>
          <cell r="C787">
            <v>0.6</v>
          </cell>
          <cell r="D787">
            <v>0.16</v>
          </cell>
        </row>
        <row r="788">
          <cell r="A788" t="str">
            <v>JC28</v>
          </cell>
          <cell r="C788">
            <v>0.6</v>
          </cell>
          <cell r="D788">
            <v>0.16</v>
          </cell>
        </row>
        <row r="789">
          <cell r="A789" t="str">
            <v>JC30</v>
          </cell>
          <cell r="C789">
            <v>0.6</v>
          </cell>
          <cell r="D789">
            <v>0.16</v>
          </cell>
        </row>
        <row r="790">
          <cell r="A790" t="str">
            <v>JC33</v>
          </cell>
          <cell r="C790">
            <v>0.6</v>
          </cell>
          <cell r="D790">
            <v>0.16</v>
          </cell>
        </row>
        <row r="791">
          <cell r="A791" t="str">
            <v>JC34</v>
          </cell>
          <cell r="C791">
            <v>0.6</v>
          </cell>
          <cell r="D791">
            <v>0.16</v>
          </cell>
        </row>
        <row r="792">
          <cell r="A792" t="str">
            <v>JC38</v>
          </cell>
          <cell r="C792">
            <v>0.6</v>
          </cell>
          <cell r="D792">
            <v>0.16</v>
          </cell>
        </row>
        <row r="793">
          <cell r="A793" t="str">
            <v>JC40</v>
          </cell>
          <cell r="C793">
            <v>0.6</v>
          </cell>
          <cell r="D793">
            <v>0.16</v>
          </cell>
        </row>
        <row r="794">
          <cell r="A794" t="str">
            <v>JC43</v>
          </cell>
          <cell r="C794">
            <v>0.6</v>
          </cell>
          <cell r="D794">
            <v>0.16</v>
          </cell>
        </row>
        <row r="795">
          <cell r="A795" t="str">
            <v>JC49</v>
          </cell>
          <cell r="C795">
            <v>0.6</v>
          </cell>
          <cell r="D795">
            <v>0.16</v>
          </cell>
        </row>
        <row r="796">
          <cell r="A796" t="str">
            <v>JC68</v>
          </cell>
          <cell r="C796">
            <v>0.6</v>
          </cell>
          <cell r="D796">
            <v>0.16</v>
          </cell>
        </row>
        <row r="797">
          <cell r="A797" t="str">
            <v>JC76</v>
          </cell>
          <cell r="C797">
            <v>0.3</v>
          </cell>
          <cell r="D797">
            <v>0.16</v>
          </cell>
        </row>
        <row r="798">
          <cell r="A798" t="str">
            <v>JC77</v>
          </cell>
          <cell r="C798">
            <v>0.6</v>
          </cell>
          <cell r="D798">
            <v>0.16</v>
          </cell>
        </row>
        <row r="799">
          <cell r="A799" t="str">
            <v>JC78</v>
          </cell>
          <cell r="C799">
            <v>0.3</v>
          </cell>
          <cell r="D799">
            <v>0.16</v>
          </cell>
        </row>
        <row r="800">
          <cell r="A800" t="str">
            <v>JC83</v>
          </cell>
          <cell r="C800">
            <v>0.6</v>
          </cell>
          <cell r="D800">
            <v>0.16</v>
          </cell>
        </row>
        <row r="801">
          <cell r="A801" t="str">
            <v>JC84</v>
          </cell>
          <cell r="C801">
            <v>0.3</v>
          </cell>
          <cell r="D801">
            <v>0.16</v>
          </cell>
        </row>
        <row r="802">
          <cell r="A802" t="str">
            <v>L0223</v>
          </cell>
          <cell r="C802">
            <v>0.3</v>
          </cell>
          <cell r="D802">
            <v>0.16</v>
          </cell>
        </row>
        <row r="803">
          <cell r="A803" t="str">
            <v>L0228</v>
          </cell>
          <cell r="C803">
            <v>0.6</v>
          </cell>
          <cell r="D803">
            <v>0.16</v>
          </cell>
        </row>
        <row r="804">
          <cell r="A804" t="str">
            <v>L0327</v>
          </cell>
          <cell r="C804">
            <v>0.6</v>
          </cell>
          <cell r="D804">
            <v>0.16</v>
          </cell>
        </row>
        <row r="805">
          <cell r="A805" t="str">
            <v>L0616</v>
          </cell>
          <cell r="C805">
            <v>0.3</v>
          </cell>
          <cell r="D805">
            <v>0.16</v>
          </cell>
        </row>
        <row r="806">
          <cell r="A806" t="str">
            <v>L0623</v>
          </cell>
          <cell r="C806">
            <v>0.6</v>
          </cell>
          <cell r="D806">
            <v>0.16</v>
          </cell>
        </row>
        <row r="807">
          <cell r="A807" t="str">
            <v>L0703</v>
          </cell>
          <cell r="C807">
            <v>0.6</v>
          </cell>
          <cell r="D807">
            <v>0.16</v>
          </cell>
        </row>
        <row r="808">
          <cell r="A808" t="str">
            <v>L0720</v>
          </cell>
          <cell r="C808">
            <v>0.6</v>
          </cell>
          <cell r="D808">
            <v>0.16</v>
          </cell>
        </row>
        <row r="809">
          <cell r="A809" t="str">
            <v>L0724</v>
          </cell>
          <cell r="C809">
            <v>0.6</v>
          </cell>
          <cell r="D809">
            <v>0.16</v>
          </cell>
        </row>
        <row r="810">
          <cell r="A810" t="str">
            <v>JJ22</v>
          </cell>
          <cell r="C810">
            <v>0.6</v>
          </cell>
        </row>
        <row r="811">
          <cell r="A811" t="str">
            <v>JJ25</v>
          </cell>
          <cell r="C811">
            <v>0.6</v>
          </cell>
        </row>
        <row r="812">
          <cell r="A812" t="str">
            <v>JJ31</v>
          </cell>
          <cell r="C812">
            <v>0.6</v>
          </cell>
        </row>
        <row r="813">
          <cell r="A813" t="str">
            <v>JJ44</v>
          </cell>
          <cell r="C813">
            <v>0.6</v>
          </cell>
        </row>
        <row r="814">
          <cell r="A814" t="str">
            <v>JJ50</v>
          </cell>
          <cell r="C814">
            <v>0.6</v>
          </cell>
        </row>
        <row r="815">
          <cell r="A815" t="str">
            <v>L0929</v>
          </cell>
          <cell r="C815">
            <v>0.6</v>
          </cell>
          <cell r="D815">
            <v>0.16</v>
          </cell>
        </row>
        <row r="816">
          <cell r="A816" t="str">
            <v>L0930</v>
          </cell>
          <cell r="C816">
            <v>0.6</v>
          </cell>
          <cell r="D816">
            <v>0.16</v>
          </cell>
        </row>
        <row r="817">
          <cell r="A817" t="str">
            <v>L1210b</v>
          </cell>
          <cell r="C817">
            <v>0.6</v>
          </cell>
          <cell r="D817">
            <v>0.16</v>
          </cell>
        </row>
        <row r="818">
          <cell r="A818" t="str">
            <v>L1214a</v>
          </cell>
          <cell r="C818">
            <v>0.6</v>
          </cell>
          <cell r="D818">
            <v>0.16</v>
          </cell>
        </row>
        <row r="819">
          <cell r="A819" t="str">
            <v>L1305</v>
          </cell>
          <cell r="C819">
            <v>0.6</v>
          </cell>
          <cell r="D819">
            <v>0.16</v>
          </cell>
        </row>
        <row r="820">
          <cell r="A820" t="str">
            <v>L1508a</v>
          </cell>
          <cell r="C820">
            <v>0.6</v>
          </cell>
          <cell r="D820">
            <v>0.16</v>
          </cell>
        </row>
        <row r="821">
          <cell r="A821" t="str">
            <v>L1522a</v>
          </cell>
          <cell r="C821">
            <v>0.6</v>
          </cell>
          <cell r="D821">
            <v>0.16</v>
          </cell>
        </row>
        <row r="822">
          <cell r="A822" t="str">
            <v>L1619a1</v>
          </cell>
          <cell r="C822">
            <v>0.6</v>
          </cell>
          <cell r="D822">
            <v>0.16</v>
          </cell>
        </row>
        <row r="823">
          <cell r="A823" t="str">
            <v>L1906b1</v>
          </cell>
          <cell r="C823">
            <v>0.6</v>
          </cell>
          <cell r="D823">
            <v>0.16</v>
          </cell>
        </row>
        <row r="824">
          <cell r="A824" t="str">
            <v>Lm003</v>
          </cell>
          <cell r="C824">
            <v>0.3</v>
          </cell>
          <cell r="D824">
            <v>0.16</v>
          </cell>
        </row>
        <row r="825">
          <cell r="A825" t="str">
            <v>Lm031</v>
          </cell>
          <cell r="C825">
            <v>0.6</v>
          </cell>
          <cell r="D825">
            <v>0.16</v>
          </cell>
        </row>
        <row r="826">
          <cell r="A826" t="str">
            <v>L1007</v>
          </cell>
          <cell r="C826">
            <v>0.3</v>
          </cell>
        </row>
        <row r="827">
          <cell r="A827" t="str">
            <v>L1009</v>
          </cell>
          <cell r="C827">
            <v>0.3</v>
          </cell>
        </row>
        <row r="828">
          <cell r="A828" t="str">
            <v>L1010</v>
          </cell>
          <cell r="C828">
            <v>0.3</v>
          </cell>
        </row>
        <row r="829">
          <cell r="A829" t="str">
            <v>L1016</v>
          </cell>
          <cell r="C829">
            <v>0.3</v>
          </cell>
        </row>
        <row r="830">
          <cell r="A830" t="str">
            <v>L1020</v>
          </cell>
          <cell r="C830">
            <v>0.6</v>
          </cell>
        </row>
        <row r="831">
          <cell r="A831" t="str">
            <v>L1027</v>
          </cell>
          <cell r="C831">
            <v>0.6</v>
          </cell>
        </row>
        <row r="832">
          <cell r="A832" t="str">
            <v>L1029</v>
          </cell>
          <cell r="C832">
            <v>0.3</v>
          </cell>
        </row>
        <row r="833">
          <cell r="A833" t="str">
            <v>L1030</v>
          </cell>
          <cell r="C833">
            <v>0.6</v>
          </cell>
        </row>
        <row r="834">
          <cell r="A834" t="str">
            <v>L1059</v>
          </cell>
          <cell r="C834">
            <v>0.3</v>
          </cell>
        </row>
        <row r="835">
          <cell r="A835" t="str">
            <v>L1064</v>
          </cell>
          <cell r="C835">
            <v>0.3</v>
          </cell>
        </row>
        <row r="836">
          <cell r="A836" t="str">
            <v>L1174</v>
          </cell>
          <cell r="C836">
            <v>0.3</v>
          </cell>
        </row>
        <row r="837">
          <cell r="A837" t="str">
            <v>L1180</v>
          </cell>
          <cell r="C837">
            <v>0.3</v>
          </cell>
        </row>
        <row r="838">
          <cell r="A838" t="str">
            <v>L1184</v>
          </cell>
          <cell r="C838">
            <v>0.3</v>
          </cell>
        </row>
        <row r="839">
          <cell r="A839" t="str">
            <v>L1198</v>
          </cell>
          <cell r="C839">
            <v>0.3</v>
          </cell>
        </row>
        <row r="840">
          <cell r="A840" t="str">
            <v>Lm034</v>
          </cell>
          <cell r="C840">
            <v>0.6</v>
          </cell>
          <cell r="D840">
            <v>0.16</v>
          </cell>
        </row>
        <row r="841">
          <cell r="A841" t="str">
            <v>Lm035</v>
          </cell>
          <cell r="C841">
            <v>0.6</v>
          </cell>
          <cell r="D841">
            <v>0.16</v>
          </cell>
        </row>
        <row r="842">
          <cell r="A842" t="str">
            <v>L1229</v>
          </cell>
          <cell r="C842">
            <v>0.3</v>
          </cell>
        </row>
        <row r="843">
          <cell r="A843" t="str">
            <v>L1237</v>
          </cell>
          <cell r="C843">
            <v>0.3</v>
          </cell>
        </row>
        <row r="844">
          <cell r="A844" t="str">
            <v>L124</v>
          </cell>
          <cell r="C844">
            <v>0.3</v>
          </cell>
        </row>
        <row r="845">
          <cell r="A845" t="str">
            <v>Lm040</v>
          </cell>
          <cell r="C845">
            <v>0.6</v>
          </cell>
          <cell r="D845">
            <v>0.16</v>
          </cell>
        </row>
        <row r="846">
          <cell r="A846" t="str">
            <v>L1324</v>
          </cell>
          <cell r="C846">
            <v>0.3</v>
          </cell>
        </row>
        <row r="847">
          <cell r="A847" t="str">
            <v>L1350</v>
          </cell>
          <cell r="C847">
            <v>0.3</v>
          </cell>
        </row>
        <row r="848">
          <cell r="A848" t="str">
            <v>L1364</v>
          </cell>
          <cell r="C848">
            <v>0.3</v>
          </cell>
        </row>
        <row r="849">
          <cell r="A849" t="str">
            <v>L1391</v>
          </cell>
          <cell r="C849">
            <v>0.3</v>
          </cell>
        </row>
        <row r="850">
          <cell r="A850" t="str">
            <v>L1427</v>
          </cell>
          <cell r="C850">
            <v>0.3</v>
          </cell>
        </row>
        <row r="851">
          <cell r="A851" t="str">
            <v>L1472</v>
          </cell>
          <cell r="C851">
            <v>0.6</v>
          </cell>
        </row>
        <row r="852">
          <cell r="A852" t="str">
            <v>L1485</v>
          </cell>
          <cell r="C852">
            <v>0.3</v>
          </cell>
        </row>
        <row r="853">
          <cell r="A853" t="str">
            <v>L1487</v>
          </cell>
          <cell r="C853">
            <v>0.6</v>
          </cell>
        </row>
        <row r="854">
          <cell r="A854" t="str">
            <v>L1493</v>
          </cell>
          <cell r="C854">
            <v>0.3</v>
          </cell>
        </row>
        <row r="855">
          <cell r="A855" t="str">
            <v>Lm041</v>
          </cell>
          <cell r="C855">
            <v>0.6</v>
          </cell>
          <cell r="D855">
            <v>0.16</v>
          </cell>
        </row>
        <row r="856">
          <cell r="A856" t="str">
            <v>L1509</v>
          </cell>
          <cell r="C856">
            <v>0.3</v>
          </cell>
        </row>
        <row r="857">
          <cell r="A857" t="str">
            <v>L1517</v>
          </cell>
          <cell r="C857">
            <v>0.3</v>
          </cell>
        </row>
        <row r="858">
          <cell r="A858" t="str">
            <v>Lm114</v>
          </cell>
          <cell r="C858">
            <v>0.6</v>
          </cell>
          <cell r="D858">
            <v>0.16</v>
          </cell>
        </row>
        <row r="859">
          <cell r="A859" t="str">
            <v>L1538</v>
          </cell>
          <cell r="C859">
            <v>2.5</v>
          </cell>
        </row>
        <row r="860">
          <cell r="A860" t="str">
            <v>L1546</v>
          </cell>
          <cell r="C860">
            <v>0.3</v>
          </cell>
        </row>
        <row r="861">
          <cell r="A861" t="str">
            <v>L1551</v>
          </cell>
          <cell r="C861">
            <v>0.3</v>
          </cell>
        </row>
        <row r="862">
          <cell r="A862" t="str">
            <v>L1570</v>
          </cell>
          <cell r="C862">
            <v>0.6</v>
          </cell>
        </row>
        <row r="863">
          <cell r="A863" t="str">
            <v>L1574</v>
          </cell>
          <cell r="C863">
            <v>0.3</v>
          </cell>
        </row>
        <row r="864">
          <cell r="A864" t="str">
            <v>L1577</v>
          </cell>
          <cell r="C864">
            <v>0.6</v>
          </cell>
        </row>
        <row r="865">
          <cell r="A865" t="str">
            <v>L1578</v>
          </cell>
          <cell r="C865">
            <v>0.3</v>
          </cell>
        </row>
        <row r="866">
          <cell r="A866" t="str">
            <v>L1598</v>
          </cell>
          <cell r="C866">
            <v>0.3</v>
          </cell>
        </row>
        <row r="867">
          <cell r="A867" t="str">
            <v>Lm119</v>
          </cell>
          <cell r="C867">
            <v>0.6</v>
          </cell>
          <cell r="D867">
            <v>0.16</v>
          </cell>
        </row>
        <row r="868">
          <cell r="A868" t="str">
            <v>L1630</v>
          </cell>
          <cell r="C868">
            <v>0.3</v>
          </cell>
        </row>
        <row r="869">
          <cell r="A869" t="str">
            <v>L1643</v>
          </cell>
          <cell r="C869">
            <v>0.3</v>
          </cell>
        </row>
        <row r="870">
          <cell r="A870" t="str">
            <v>L168</v>
          </cell>
          <cell r="C870">
            <v>0.3</v>
          </cell>
        </row>
        <row r="871">
          <cell r="A871" t="str">
            <v>L1682</v>
          </cell>
          <cell r="C871">
            <v>0.6</v>
          </cell>
        </row>
        <row r="872">
          <cell r="A872" t="str">
            <v>L1690</v>
          </cell>
          <cell r="C872">
            <v>0.3</v>
          </cell>
        </row>
        <row r="873">
          <cell r="A873" t="str">
            <v>L1704</v>
          </cell>
          <cell r="C873">
            <v>0.3</v>
          </cell>
        </row>
        <row r="874">
          <cell r="A874" t="str">
            <v>L1747</v>
          </cell>
          <cell r="C874">
            <v>0.6</v>
          </cell>
        </row>
        <row r="875">
          <cell r="A875" t="str">
            <v>L1751</v>
          </cell>
          <cell r="C875">
            <v>1.25</v>
          </cell>
        </row>
        <row r="876">
          <cell r="A876" t="str">
            <v>L1758</v>
          </cell>
          <cell r="C876">
            <v>0.6</v>
          </cell>
        </row>
        <row r="877">
          <cell r="A877" t="str">
            <v>L1764</v>
          </cell>
          <cell r="C877">
            <v>2.5</v>
          </cell>
        </row>
        <row r="878">
          <cell r="A878" t="str">
            <v>L1767</v>
          </cell>
          <cell r="C878">
            <v>0.3</v>
          </cell>
        </row>
        <row r="879">
          <cell r="A879" t="str">
            <v>L1772</v>
          </cell>
          <cell r="C879">
            <v>0.3</v>
          </cell>
        </row>
        <row r="880">
          <cell r="A880" t="str">
            <v>L1778</v>
          </cell>
          <cell r="C880">
            <v>0.3</v>
          </cell>
        </row>
        <row r="881">
          <cell r="A881" t="str">
            <v>L1783a</v>
          </cell>
          <cell r="C881">
            <v>0.6</v>
          </cell>
        </row>
        <row r="882">
          <cell r="A882" t="str">
            <v>L1790</v>
          </cell>
          <cell r="C882">
            <v>2.5</v>
          </cell>
        </row>
        <row r="883">
          <cell r="A883" t="str">
            <v>L1793</v>
          </cell>
          <cell r="C883">
            <v>0.3</v>
          </cell>
        </row>
        <row r="884">
          <cell r="A884" t="str">
            <v>L1823</v>
          </cell>
          <cell r="C884">
            <v>0.3</v>
          </cell>
        </row>
        <row r="885">
          <cell r="A885" t="str">
            <v>L1841</v>
          </cell>
          <cell r="C885">
            <v>0.6</v>
          </cell>
        </row>
        <row r="886">
          <cell r="A886" t="str">
            <v>L1848</v>
          </cell>
          <cell r="C886">
            <v>2.5</v>
          </cell>
        </row>
        <row r="887">
          <cell r="A887" t="str">
            <v>L1851</v>
          </cell>
          <cell r="C887">
            <v>0.6</v>
          </cell>
        </row>
        <row r="888">
          <cell r="A888" t="str">
            <v>L1852</v>
          </cell>
          <cell r="C888">
            <v>0.6</v>
          </cell>
        </row>
        <row r="889">
          <cell r="A889" t="str">
            <v>L1862</v>
          </cell>
          <cell r="C889">
            <v>0.3</v>
          </cell>
        </row>
        <row r="890">
          <cell r="A890" t="str">
            <v>L1874</v>
          </cell>
          <cell r="C890">
            <v>0.3</v>
          </cell>
        </row>
        <row r="891">
          <cell r="A891" t="str">
            <v>L1876</v>
          </cell>
          <cell r="C891">
            <v>0.3</v>
          </cell>
        </row>
        <row r="892">
          <cell r="A892" t="str">
            <v>L1878</v>
          </cell>
          <cell r="C892">
            <v>0.6</v>
          </cell>
        </row>
        <row r="893">
          <cell r="A893" t="str">
            <v>L1906</v>
          </cell>
          <cell r="C893">
            <v>0.3</v>
          </cell>
        </row>
        <row r="894">
          <cell r="A894" t="str">
            <v>Lm129</v>
          </cell>
          <cell r="C894">
            <v>0.6</v>
          </cell>
          <cell r="D894">
            <v>0.16</v>
          </cell>
        </row>
        <row r="895">
          <cell r="A895" t="str">
            <v>L1907</v>
          </cell>
          <cell r="C895">
            <v>0.6</v>
          </cell>
        </row>
        <row r="896">
          <cell r="A896" t="str">
            <v>L1908</v>
          </cell>
          <cell r="C896">
            <v>0.3</v>
          </cell>
        </row>
        <row r="897">
          <cell r="A897" t="str">
            <v>L1909</v>
          </cell>
          <cell r="C897">
            <v>0.6</v>
          </cell>
        </row>
        <row r="898">
          <cell r="A898" t="str">
            <v>L1910</v>
          </cell>
          <cell r="C898">
            <v>0.3</v>
          </cell>
        </row>
        <row r="899">
          <cell r="A899" t="str">
            <v>L1911</v>
          </cell>
          <cell r="C899">
            <v>2.5</v>
          </cell>
        </row>
        <row r="900">
          <cell r="A900" t="str">
            <v>L1912</v>
          </cell>
          <cell r="C900">
            <v>0.3</v>
          </cell>
        </row>
        <row r="901">
          <cell r="A901" t="str">
            <v>L1913</v>
          </cell>
          <cell r="C901">
            <v>0.3</v>
          </cell>
        </row>
        <row r="902">
          <cell r="A902" t="str">
            <v>L1914</v>
          </cell>
          <cell r="C902">
            <v>0.6</v>
          </cell>
        </row>
        <row r="903">
          <cell r="A903" t="str">
            <v>L1915</v>
          </cell>
          <cell r="C903">
            <v>0.3</v>
          </cell>
        </row>
        <row r="904">
          <cell r="A904" t="str">
            <v>L1916</v>
          </cell>
          <cell r="C904">
            <v>0.6</v>
          </cell>
        </row>
        <row r="905">
          <cell r="A905" t="str">
            <v>L1917</v>
          </cell>
          <cell r="C905">
            <v>0.3</v>
          </cell>
        </row>
        <row r="906">
          <cell r="A906" t="str">
            <v>L1918</v>
          </cell>
          <cell r="C906">
            <v>0.3</v>
          </cell>
        </row>
        <row r="907">
          <cell r="A907" t="str">
            <v>L1919</v>
          </cell>
          <cell r="C907">
            <v>0.6</v>
          </cell>
        </row>
        <row r="908">
          <cell r="A908" t="str">
            <v>L1920</v>
          </cell>
          <cell r="C908">
            <v>0.3</v>
          </cell>
        </row>
        <row r="909">
          <cell r="A909" t="str">
            <v>L1921</v>
          </cell>
          <cell r="C909">
            <v>0.6</v>
          </cell>
        </row>
        <row r="910">
          <cell r="A910" t="str">
            <v>L1922</v>
          </cell>
          <cell r="C910">
            <v>0.6</v>
          </cell>
        </row>
        <row r="911">
          <cell r="A911" t="str">
            <v>L1923</v>
          </cell>
          <cell r="C911">
            <v>0.6</v>
          </cell>
        </row>
        <row r="912">
          <cell r="A912" t="str">
            <v>L1924</v>
          </cell>
          <cell r="C912">
            <v>0.6</v>
          </cell>
        </row>
        <row r="913">
          <cell r="A913" t="str">
            <v>L1925</v>
          </cell>
          <cell r="C913">
            <v>0.6</v>
          </cell>
        </row>
        <row r="914">
          <cell r="A914" t="str">
            <v>L1926</v>
          </cell>
          <cell r="C914">
            <v>0.6</v>
          </cell>
        </row>
        <row r="915">
          <cell r="A915" t="str">
            <v>L1927</v>
          </cell>
          <cell r="C915">
            <v>0.6</v>
          </cell>
        </row>
        <row r="916">
          <cell r="A916" t="str">
            <v>L1928</v>
          </cell>
          <cell r="C916">
            <v>0.3</v>
          </cell>
        </row>
        <row r="917">
          <cell r="A917" t="str">
            <v>L1929</v>
          </cell>
          <cell r="C917">
            <v>2.5</v>
          </cell>
        </row>
        <row r="918">
          <cell r="A918" t="str">
            <v>L1930</v>
          </cell>
          <cell r="C918">
            <v>2.5</v>
          </cell>
        </row>
        <row r="919">
          <cell r="A919" t="str">
            <v>L1931</v>
          </cell>
          <cell r="C919">
            <v>0.3</v>
          </cell>
        </row>
        <row r="920">
          <cell r="A920" t="str">
            <v>L1932</v>
          </cell>
          <cell r="C920">
            <v>0.6</v>
          </cell>
        </row>
        <row r="921">
          <cell r="A921" t="str">
            <v>L1933</v>
          </cell>
          <cell r="C921">
            <v>0.3</v>
          </cell>
        </row>
        <row r="922">
          <cell r="A922" t="str">
            <v>L1934</v>
          </cell>
          <cell r="C922">
            <v>0.3</v>
          </cell>
        </row>
        <row r="923">
          <cell r="A923" t="str">
            <v>L1935</v>
          </cell>
          <cell r="C923">
            <v>0.6</v>
          </cell>
        </row>
        <row r="924">
          <cell r="A924" t="str">
            <v>L231</v>
          </cell>
          <cell r="C924">
            <v>2.5</v>
          </cell>
        </row>
        <row r="925">
          <cell r="A925" t="str">
            <v>L236</v>
          </cell>
          <cell r="C925">
            <v>0.3</v>
          </cell>
        </row>
        <row r="926">
          <cell r="A926" t="str">
            <v>L238</v>
          </cell>
          <cell r="C926">
            <v>0.3</v>
          </cell>
        </row>
        <row r="927">
          <cell r="A927" t="str">
            <v>L246</v>
          </cell>
          <cell r="C927">
            <v>1.25</v>
          </cell>
        </row>
        <row r="928">
          <cell r="A928" t="str">
            <v>L251</v>
          </cell>
          <cell r="C928">
            <v>0.3</v>
          </cell>
        </row>
        <row r="929">
          <cell r="A929" t="str">
            <v>L252</v>
          </cell>
          <cell r="C929">
            <v>0.3</v>
          </cell>
        </row>
        <row r="930">
          <cell r="A930" t="str">
            <v>L262</v>
          </cell>
          <cell r="C930">
            <v>0.3</v>
          </cell>
        </row>
        <row r="931">
          <cell r="A931" t="str">
            <v>L264</v>
          </cell>
          <cell r="C931">
            <v>0.3</v>
          </cell>
        </row>
        <row r="932">
          <cell r="A932" t="str">
            <v>L267</v>
          </cell>
          <cell r="C932">
            <v>2.5</v>
          </cell>
        </row>
        <row r="933">
          <cell r="A933" t="str">
            <v>L279</v>
          </cell>
          <cell r="C933">
            <v>0.3</v>
          </cell>
        </row>
        <row r="934">
          <cell r="A934" t="str">
            <v>L286</v>
          </cell>
          <cell r="C934">
            <v>0.3</v>
          </cell>
        </row>
        <row r="935">
          <cell r="A935" t="str">
            <v>L287</v>
          </cell>
          <cell r="C935">
            <v>0.3</v>
          </cell>
        </row>
        <row r="936">
          <cell r="A936" t="str">
            <v>L295</v>
          </cell>
          <cell r="C936">
            <v>2.5</v>
          </cell>
        </row>
        <row r="937">
          <cell r="A937" t="str">
            <v>L309</v>
          </cell>
          <cell r="C937">
            <v>0.3</v>
          </cell>
        </row>
        <row r="938">
          <cell r="A938" t="str">
            <v>L324</v>
          </cell>
          <cell r="C938">
            <v>0.3</v>
          </cell>
        </row>
        <row r="939">
          <cell r="A939" t="str">
            <v>L366</v>
          </cell>
          <cell r="C939">
            <v>0.3</v>
          </cell>
        </row>
        <row r="940">
          <cell r="A940" t="str">
            <v>L373</v>
          </cell>
          <cell r="C940">
            <v>0.3</v>
          </cell>
        </row>
        <row r="941">
          <cell r="A941" t="str">
            <v>L374</v>
          </cell>
          <cell r="C941">
            <v>0.6</v>
          </cell>
        </row>
        <row r="942">
          <cell r="A942" t="str">
            <v>L382</v>
          </cell>
          <cell r="C942">
            <v>2.5</v>
          </cell>
        </row>
        <row r="943">
          <cell r="A943" t="str">
            <v>L386</v>
          </cell>
          <cell r="C943">
            <v>2.5</v>
          </cell>
        </row>
        <row r="944">
          <cell r="A944" t="str">
            <v>L387</v>
          </cell>
          <cell r="C944">
            <v>0.6</v>
          </cell>
        </row>
        <row r="945">
          <cell r="A945" t="str">
            <v>L389</v>
          </cell>
          <cell r="C945">
            <v>0.3</v>
          </cell>
        </row>
        <row r="946">
          <cell r="A946" t="str">
            <v>L394</v>
          </cell>
          <cell r="C946">
            <v>0.3</v>
          </cell>
        </row>
        <row r="947">
          <cell r="A947" t="str">
            <v>L395</v>
          </cell>
          <cell r="C947">
            <v>0.3</v>
          </cell>
        </row>
        <row r="948">
          <cell r="A948" t="str">
            <v>L397</v>
          </cell>
          <cell r="C948">
            <v>0.3</v>
          </cell>
        </row>
        <row r="949">
          <cell r="A949" t="str">
            <v>L398</v>
          </cell>
          <cell r="C949">
            <v>0.6</v>
          </cell>
        </row>
        <row r="950">
          <cell r="A950" t="str">
            <v>L399</v>
          </cell>
          <cell r="C950">
            <v>0.3</v>
          </cell>
        </row>
        <row r="951">
          <cell r="A951" t="str">
            <v>L400</v>
          </cell>
          <cell r="C951">
            <v>0.6</v>
          </cell>
        </row>
        <row r="952">
          <cell r="A952" t="str">
            <v>L405</v>
          </cell>
          <cell r="C952">
            <v>0.3</v>
          </cell>
        </row>
        <row r="953">
          <cell r="A953" t="str">
            <v>L439</v>
          </cell>
          <cell r="C953">
            <v>0.3</v>
          </cell>
        </row>
        <row r="954">
          <cell r="A954" t="str">
            <v>L441</v>
          </cell>
          <cell r="C954">
            <v>0.3</v>
          </cell>
        </row>
        <row r="955">
          <cell r="A955" t="str">
            <v>L448</v>
          </cell>
          <cell r="C955">
            <v>0.3</v>
          </cell>
        </row>
        <row r="956">
          <cell r="A956" t="str">
            <v>L449</v>
          </cell>
          <cell r="C956">
            <v>0.3</v>
          </cell>
        </row>
        <row r="957">
          <cell r="A957" t="str">
            <v>L455</v>
          </cell>
          <cell r="C957">
            <v>0.3</v>
          </cell>
        </row>
        <row r="958">
          <cell r="A958" t="str">
            <v>L478</v>
          </cell>
          <cell r="C958">
            <v>0.3</v>
          </cell>
        </row>
        <row r="959">
          <cell r="A959" t="str">
            <v>L479</v>
          </cell>
          <cell r="C959">
            <v>2.5</v>
          </cell>
        </row>
        <row r="960">
          <cell r="A960" t="str">
            <v>L537</v>
          </cell>
          <cell r="C960">
            <v>0.3</v>
          </cell>
        </row>
        <row r="961">
          <cell r="A961" t="str">
            <v>L538</v>
          </cell>
          <cell r="C961">
            <v>0.6</v>
          </cell>
        </row>
        <row r="962">
          <cell r="A962" t="str">
            <v>L572</v>
          </cell>
          <cell r="C962">
            <v>2.5</v>
          </cell>
        </row>
        <row r="963">
          <cell r="A963" t="str">
            <v>L599</v>
          </cell>
          <cell r="C963">
            <v>2.5</v>
          </cell>
        </row>
        <row r="964">
          <cell r="A964" t="str">
            <v>L628</v>
          </cell>
          <cell r="C964">
            <v>0.3</v>
          </cell>
        </row>
        <row r="965">
          <cell r="A965" t="str">
            <v>L629</v>
          </cell>
          <cell r="C965">
            <v>0.3</v>
          </cell>
        </row>
        <row r="966">
          <cell r="A966" t="str">
            <v>L630</v>
          </cell>
          <cell r="C966">
            <v>0.3</v>
          </cell>
        </row>
        <row r="967">
          <cell r="A967" t="str">
            <v>L634</v>
          </cell>
          <cell r="C967">
            <v>0.3</v>
          </cell>
        </row>
        <row r="968">
          <cell r="A968" t="str">
            <v>L666</v>
          </cell>
          <cell r="C968">
            <v>0.3</v>
          </cell>
        </row>
        <row r="969">
          <cell r="A969" t="str">
            <v>L667</v>
          </cell>
          <cell r="C969">
            <v>0.6</v>
          </cell>
        </row>
        <row r="970">
          <cell r="A970" t="str">
            <v>L669</v>
          </cell>
          <cell r="C970">
            <v>0.3</v>
          </cell>
        </row>
        <row r="971">
          <cell r="A971" t="str">
            <v>L670</v>
          </cell>
          <cell r="C971">
            <v>0.3</v>
          </cell>
        </row>
        <row r="972">
          <cell r="A972" t="str">
            <v>L691</v>
          </cell>
          <cell r="C972">
            <v>0.3</v>
          </cell>
        </row>
        <row r="973">
          <cell r="A973" t="str">
            <v>L710</v>
          </cell>
          <cell r="C973">
            <v>0.3</v>
          </cell>
        </row>
        <row r="974">
          <cell r="A974" t="str">
            <v>L712</v>
          </cell>
          <cell r="C974">
            <v>0.3</v>
          </cell>
        </row>
        <row r="975">
          <cell r="A975" t="str">
            <v>L715</v>
          </cell>
          <cell r="C975">
            <v>0.3</v>
          </cell>
        </row>
        <row r="976">
          <cell r="A976" t="str">
            <v>L793</v>
          </cell>
          <cell r="C976">
            <v>0.3</v>
          </cell>
        </row>
        <row r="977">
          <cell r="A977" t="str">
            <v>L799</v>
          </cell>
          <cell r="C977">
            <v>0.3</v>
          </cell>
        </row>
        <row r="978">
          <cell r="A978" t="str">
            <v>L800</v>
          </cell>
          <cell r="C978">
            <v>0.3</v>
          </cell>
        </row>
        <row r="979">
          <cell r="A979" t="str">
            <v>L816</v>
          </cell>
          <cell r="C979">
            <v>0.3</v>
          </cell>
        </row>
        <row r="980">
          <cell r="A980" t="str">
            <v>L829</v>
          </cell>
          <cell r="C980">
            <v>0.3</v>
          </cell>
        </row>
        <row r="981">
          <cell r="A981" t="str">
            <v>L831</v>
          </cell>
          <cell r="C981">
            <v>0.6</v>
          </cell>
        </row>
        <row r="982">
          <cell r="A982" t="str">
            <v>L834</v>
          </cell>
          <cell r="C982">
            <v>0.6</v>
          </cell>
        </row>
        <row r="983">
          <cell r="A983" t="str">
            <v>L869</v>
          </cell>
          <cell r="C983">
            <v>0.3</v>
          </cell>
        </row>
        <row r="984">
          <cell r="A984" t="str">
            <v>L885</v>
          </cell>
          <cell r="C984">
            <v>0.3</v>
          </cell>
        </row>
        <row r="985">
          <cell r="A985" t="str">
            <v>L914</v>
          </cell>
          <cell r="C985">
            <v>0.6</v>
          </cell>
        </row>
        <row r="986">
          <cell r="A986" t="str">
            <v>L924</v>
          </cell>
          <cell r="C986">
            <v>0.6</v>
          </cell>
        </row>
        <row r="987">
          <cell r="A987" t="str">
            <v>L939</v>
          </cell>
          <cell r="C987">
            <v>0.3</v>
          </cell>
        </row>
        <row r="988">
          <cell r="A988" t="str">
            <v>L940</v>
          </cell>
          <cell r="C988">
            <v>0.3</v>
          </cell>
        </row>
        <row r="989">
          <cell r="A989" t="str">
            <v>L979</v>
          </cell>
          <cell r="C989">
            <v>0.3</v>
          </cell>
        </row>
        <row r="990">
          <cell r="A990" t="str">
            <v>L994</v>
          </cell>
          <cell r="C990">
            <v>0.3</v>
          </cell>
        </row>
        <row r="991">
          <cell r="A991" t="str">
            <v>La28</v>
          </cell>
          <cell r="C991">
            <v>0.3</v>
          </cell>
        </row>
        <row r="992">
          <cell r="A992" t="str">
            <v>Lm133</v>
          </cell>
          <cell r="C992">
            <v>0.6</v>
          </cell>
          <cell r="D992">
            <v>0.16</v>
          </cell>
        </row>
        <row r="993">
          <cell r="A993" t="str">
            <v>Lm139</v>
          </cell>
          <cell r="C993">
            <v>0.6</v>
          </cell>
          <cell r="D993">
            <v>0.16</v>
          </cell>
        </row>
        <row r="994">
          <cell r="A994" t="str">
            <v>Lm141</v>
          </cell>
          <cell r="C994">
            <v>0.6</v>
          </cell>
          <cell r="D994">
            <v>0.16</v>
          </cell>
        </row>
        <row r="995">
          <cell r="A995" t="str">
            <v>Lm276</v>
          </cell>
          <cell r="C995">
            <v>0.6</v>
          </cell>
          <cell r="D995">
            <v>0.16</v>
          </cell>
        </row>
        <row r="996">
          <cell r="A996" t="str">
            <v>Lm283</v>
          </cell>
          <cell r="C996">
            <v>0.6</v>
          </cell>
          <cell r="D996">
            <v>0.16</v>
          </cell>
        </row>
        <row r="997">
          <cell r="A997" t="str">
            <v>Lm323</v>
          </cell>
          <cell r="C997">
            <v>0.6</v>
          </cell>
          <cell r="D997">
            <v>0.16</v>
          </cell>
        </row>
        <row r="998">
          <cell r="A998" t="str">
            <v>Lm327</v>
          </cell>
          <cell r="C998">
            <v>2.5</v>
          </cell>
          <cell r="D998">
            <v>0.16</v>
          </cell>
        </row>
        <row r="999">
          <cell r="A999" t="str">
            <v>SK2509</v>
          </cell>
          <cell r="C999">
            <v>0.6</v>
          </cell>
          <cell r="D999">
            <v>0.16</v>
          </cell>
        </row>
        <row r="1000">
          <cell r="A1000" t="str">
            <v>SK90</v>
          </cell>
          <cell r="C1000">
            <v>0.6</v>
          </cell>
          <cell r="D1000">
            <v>0.16</v>
          </cell>
        </row>
        <row r="1001">
          <cell r="A1001" t="str">
            <v>WRLP354</v>
          </cell>
          <cell r="C1001">
            <v>0.3</v>
          </cell>
          <cell r="D1001">
            <v>0.16</v>
          </cell>
        </row>
        <row r="1002">
          <cell r="A1002" t="str">
            <v>WRLP380</v>
          </cell>
          <cell r="C1002">
            <v>0.6</v>
          </cell>
          <cell r="D1002">
            <v>0.16</v>
          </cell>
        </row>
        <row r="1003">
          <cell r="A1003" t="str">
            <v>WRLP394</v>
          </cell>
          <cell r="C1003">
            <v>0.6</v>
          </cell>
          <cell r="D1003">
            <v>0.16</v>
          </cell>
        </row>
        <row r="1004">
          <cell r="A1004" t="str">
            <v>WRLP483</v>
          </cell>
          <cell r="C1004">
            <v>0.6</v>
          </cell>
          <cell r="D1004">
            <v>0.16</v>
          </cell>
        </row>
        <row r="1005">
          <cell r="A1005" t="str">
            <v>WRLP530</v>
          </cell>
          <cell r="C1005">
            <v>0.6</v>
          </cell>
          <cell r="D1005">
            <v>0.16</v>
          </cell>
        </row>
        <row r="1006">
          <cell r="A1006" t="str">
            <v>WRLP533</v>
          </cell>
          <cell r="C1006">
            <v>0.6</v>
          </cell>
          <cell r="D1006">
            <v>0.16</v>
          </cell>
        </row>
        <row r="1007">
          <cell r="A1007" t="str">
            <v>101b4</v>
          </cell>
          <cell r="C1007">
            <v>2.5</v>
          </cell>
          <cell r="D1007">
            <v>0.63</v>
          </cell>
        </row>
        <row r="1008">
          <cell r="A1008" t="str">
            <v>128b2</v>
          </cell>
          <cell r="C1008">
            <v>2.5</v>
          </cell>
          <cell r="D1008">
            <v>0.63</v>
          </cell>
        </row>
        <row r="1009">
          <cell r="A1009" t="str">
            <v>139a5</v>
          </cell>
          <cell r="C1009">
            <v>2.5</v>
          </cell>
          <cell r="D1009">
            <v>0.63</v>
          </cell>
        </row>
        <row r="1010">
          <cell r="A1010" t="str">
            <v>143a2</v>
          </cell>
          <cell r="C1010">
            <v>2.5</v>
          </cell>
          <cell r="D1010">
            <v>0.63</v>
          </cell>
        </row>
        <row r="1011">
          <cell r="A1011" t="str">
            <v>158A</v>
          </cell>
          <cell r="C1011">
            <v>2.5</v>
          </cell>
          <cell r="D1011">
            <v>0.63</v>
          </cell>
        </row>
        <row r="1012">
          <cell r="A1012" t="str">
            <v>158a3</v>
          </cell>
          <cell r="C1012">
            <v>2.5</v>
          </cell>
          <cell r="D1012">
            <v>0.63</v>
          </cell>
        </row>
        <row r="1013">
          <cell r="A1013" t="str">
            <v>179b1</v>
          </cell>
          <cell r="C1013">
            <v>2.5</v>
          </cell>
          <cell r="D1013">
            <v>0.63</v>
          </cell>
        </row>
        <row r="1014">
          <cell r="A1014" t="str">
            <v>180A</v>
          </cell>
          <cell r="C1014">
            <v>2.5</v>
          </cell>
          <cell r="D1014">
            <v>0.63</v>
          </cell>
        </row>
        <row r="1015">
          <cell r="A1015" t="str">
            <v>192_b1</v>
          </cell>
          <cell r="C1015">
            <v>2.5</v>
          </cell>
          <cell r="D1015">
            <v>0.63</v>
          </cell>
        </row>
        <row r="1016">
          <cell r="A1016" t="str">
            <v>209C</v>
          </cell>
          <cell r="C1016">
            <v>2.5</v>
          </cell>
          <cell r="D1016">
            <v>0.63</v>
          </cell>
        </row>
        <row r="1017">
          <cell r="A1017" t="str">
            <v>223a1</v>
          </cell>
          <cell r="C1017">
            <v>2.5</v>
          </cell>
          <cell r="D1017">
            <v>0.63</v>
          </cell>
        </row>
        <row r="1018">
          <cell r="A1018" t="str">
            <v>223b4</v>
          </cell>
          <cell r="C1018">
            <v>2.5</v>
          </cell>
          <cell r="D1018">
            <v>0.63</v>
          </cell>
        </row>
        <row r="1019">
          <cell r="A1019" t="str">
            <v>231a1</v>
          </cell>
          <cell r="C1019">
            <v>2.5</v>
          </cell>
          <cell r="D1019">
            <v>0.63</v>
          </cell>
        </row>
        <row r="1020">
          <cell r="A1020" t="str">
            <v>236a1</v>
          </cell>
          <cell r="C1020">
            <v>2.5</v>
          </cell>
          <cell r="D1020">
            <v>0.63</v>
          </cell>
        </row>
        <row r="1021">
          <cell r="A1021" t="str">
            <v>239a2</v>
          </cell>
          <cell r="C1021">
            <v>2.5</v>
          </cell>
          <cell r="D1021">
            <v>0.63</v>
          </cell>
        </row>
        <row r="1022">
          <cell r="A1022" t="str">
            <v>26_1a</v>
          </cell>
          <cell r="C1022">
            <v>2.5</v>
          </cell>
          <cell r="D1022">
            <v>0.63</v>
          </cell>
        </row>
        <row r="1023">
          <cell r="A1023" t="str">
            <v>265E</v>
          </cell>
          <cell r="C1023">
            <v>2.5</v>
          </cell>
          <cell r="D1023">
            <v>0.63</v>
          </cell>
        </row>
        <row r="1024">
          <cell r="A1024" t="str">
            <v>268a4</v>
          </cell>
          <cell r="C1024">
            <v>2.5</v>
          </cell>
          <cell r="D1024">
            <v>0.63</v>
          </cell>
        </row>
        <row r="1025">
          <cell r="A1025" t="str">
            <v>279a2</v>
          </cell>
          <cell r="C1025">
            <v>2.5</v>
          </cell>
          <cell r="D1025">
            <v>0.63</v>
          </cell>
        </row>
        <row r="1026">
          <cell r="A1026" t="str">
            <v>326b5</v>
          </cell>
          <cell r="C1026">
            <v>2.5</v>
          </cell>
          <cell r="D1026">
            <v>0.63</v>
          </cell>
        </row>
        <row r="1027">
          <cell r="A1027" t="str">
            <v>360b1</v>
          </cell>
          <cell r="C1027">
            <v>2.5</v>
          </cell>
          <cell r="D1027">
            <v>0.63</v>
          </cell>
        </row>
        <row r="1028">
          <cell r="A1028" t="str">
            <v>367b1</v>
          </cell>
          <cell r="C1028">
            <v>2.5</v>
          </cell>
          <cell r="D1028">
            <v>0.63</v>
          </cell>
        </row>
        <row r="1029">
          <cell r="A1029" t="str">
            <v>369a1</v>
          </cell>
          <cell r="C1029">
            <v>2.5</v>
          </cell>
          <cell r="D1029">
            <v>0.63</v>
          </cell>
        </row>
        <row r="1030">
          <cell r="A1030" t="str">
            <v>369a4</v>
          </cell>
          <cell r="C1030">
            <v>2.5</v>
          </cell>
          <cell r="D1030">
            <v>0.63</v>
          </cell>
        </row>
        <row r="1031">
          <cell r="A1031" t="str">
            <v>LmRo1</v>
          </cell>
          <cell r="C1031">
            <v>0.3</v>
          </cell>
        </row>
        <row r="1032">
          <cell r="A1032" t="str">
            <v>LmRo10</v>
          </cell>
          <cell r="C1032">
            <v>2.5</v>
          </cell>
        </row>
        <row r="1033">
          <cell r="A1033" t="str">
            <v>LmRo11</v>
          </cell>
          <cell r="C1033">
            <v>2.5</v>
          </cell>
        </row>
        <row r="1034">
          <cell r="A1034" t="str">
            <v>LmRo12</v>
          </cell>
          <cell r="C1034">
            <v>0.3</v>
          </cell>
        </row>
        <row r="1035">
          <cell r="A1035" t="str">
            <v>LmRo13</v>
          </cell>
          <cell r="C1035">
            <v>0.3</v>
          </cell>
        </row>
        <row r="1036">
          <cell r="A1036" t="str">
            <v>LmRo15</v>
          </cell>
          <cell r="C1036">
            <v>0.3</v>
          </cell>
        </row>
        <row r="1037">
          <cell r="A1037" t="str">
            <v>LmRo2</v>
          </cell>
          <cell r="C1037">
            <v>0.3</v>
          </cell>
        </row>
        <row r="1038">
          <cell r="A1038" t="str">
            <v>LmRo3</v>
          </cell>
          <cell r="C1038">
            <v>0.3</v>
          </cell>
        </row>
        <row r="1039">
          <cell r="A1039" t="str">
            <v>LmRo4</v>
          </cell>
          <cell r="C1039">
            <v>0.3</v>
          </cell>
        </row>
        <row r="1040">
          <cell r="A1040" t="str">
            <v>LmRo5</v>
          </cell>
          <cell r="C1040">
            <v>0.3</v>
          </cell>
        </row>
        <row r="1041">
          <cell r="A1041" t="str">
            <v>LmRo6</v>
          </cell>
          <cell r="C1041">
            <v>0.3</v>
          </cell>
        </row>
        <row r="1042">
          <cell r="A1042" t="str">
            <v>LmRo7</v>
          </cell>
          <cell r="C1042">
            <v>0.3</v>
          </cell>
        </row>
        <row r="1043">
          <cell r="A1043" t="str">
            <v>LmRo8</v>
          </cell>
          <cell r="C1043">
            <v>0.3</v>
          </cell>
        </row>
        <row r="1044">
          <cell r="A1044" t="str">
            <v>LmRo9</v>
          </cell>
          <cell r="C1044">
            <v>0.3</v>
          </cell>
        </row>
        <row r="1045">
          <cell r="A1045" t="str">
            <v>LT1</v>
          </cell>
          <cell r="C1045">
            <v>2.5</v>
          </cell>
        </row>
        <row r="1046">
          <cell r="A1046" t="str">
            <v>LT10</v>
          </cell>
          <cell r="C1046">
            <v>0.6</v>
          </cell>
        </row>
        <row r="1047">
          <cell r="A1047" t="str">
            <v>LT11</v>
          </cell>
          <cell r="C1047">
            <v>0.3</v>
          </cell>
        </row>
        <row r="1048">
          <cell r="A1048" t="str">
            <v>LT13</v>
          </cell>
          <cell r="C1048">
            <v>2.5</v>
          </cell>
        </row>
        <row r="1049">
          <cell r="A1049" t="str">
            <v>LT16</v>
          </cell>
          <cell r="C1049">
            <v>0.3</v>
          </cell>
        </row>
        <row r="1050">
          <cell r="A1050" t="str">
            <v>LT2</v>
          </cell>
          <cell r="C1050">
            <v>2.5</v>
          </cell>
        </row>
        <row r="1051">
          <cell r="A1051" t="str">
            <v>LT3</v>
          </cell>
          <cell r="C1051">
            <v>0.3</v>
          </cell>
        </row>
        <row r="1052">
          <cell r="A1052" t="str">
            <v>LT4</v>
          </cell>
          <cell r="C1052">
            <v>2.5</v>
          </cell>
        </row>
        <row r="1053">
          <cell r="A1053" t="str">
            <v>LT5</v>
          </cell>
          <cell r="C1053">
            <v>2.5</v>
          </cell>
        </row>
        <row r="1054">
          <cell r="A1054" t="str">
            <v>LT6</v>
          </cell>
          <cell r="C1054">
            <v>0.3</v>
          </cell>
        </row>
        <row r="1055">
          <cell r="A1055" t="str">
            <v>LT7</v>
          </cell>
          <cell r="C1055">
            <v>0.3</v>
          </cell>
        </row>
        <row r="1056">
          <cell r="A1056" t="str">
            <v>LT8</v>
          </cell>
          <cell r="C1056">
            <v>0.3</v>
          </cell>
        </row>
        <row r="1057">
          <cell r="A1057" t="str">
            <v>LT9</v>
          </cell>
          <cell r="C1057">
            <v>0.3</v>
          </cell>
        </row>
        <row r="1058">
          <cell r="A1058" t="str">
            <v>LV0157</v>
          </cell>
          <cell r="B1058" t="str">
            <v>LV0157</v>
          </cell>
          <cell r="C1058">
            <v>2.5</v>
          </cell>
          <cell r="E1058">
            <v>0.8</v>
          </cell>
        </row>
        <row r="1059">
          <cell r="A1059" t="str">
            <v>LV0214</v>
          </cell>
          <cell r="B1059" t="str">
            <v>LV0214</v>
          </cell>
          <cell r="C1059">
            <v>0.3</v>
          </cell>
          <cell r="E1059">
            <v>0.2</v>
          </cell>
        </row>
        <row r="1060">
          <cell r="A1060" t="str">
            <v>LV0215</v>
          </cell>
          <cell r="B1060" t="str">
            <v>LV0215</v>
          </cell>
          <cell r="C1060">
            <v>0.3</v>
          </cell>
          <cell r="E1060">
            <v>0.2</v>
          </cell>
        </row>
        <row r="1061">
          <cell r="A1061" t="str">
            <v>LV0335</v>
          </cell>
          <cell r="B1061" t="str">
            <v>LV0335</v>
          </cell>
          <cell r="C1061">
            <v>0.3</v>
          </cell>
          <cell r="E1061">
            <v>0.2</v>
          </cell>
        </row>
        <row r="1062">
          <cell r="A1062" t="str">
            <v>LV0360</v>
          </cell>
          <cell r="B1062" t="str">
            <v>LV0360</v>
          </cell>
          <cell r="C1062">
            <v>0.3</v>
          </cell>
          <cell r="E1062">
            <v>0.4</v>
          </cell>
        </row>
        <row r="1063">
          <cell r="A1063" t="str">
            <v>LV0534</v>
          </cell>
          <cell r="B1063" t="str">
            <v>LV0534</v>
          </cell>
          <cell r="C1063">
            <v>0.3</v>
          </cell>
          <cell r="E1063">
            <v>0.4</v>
          </cell>
        </row>
        <row r="1064">
          <cell r="A1064" t="str">
            <v>LV0544</v>
          </cell>
          <cell r="B1064" t="str">
            <v>LV0544</v>
          </cell>
          <cell r="C1064">
            <v>0.3</v>
          </cell>
          <cell r="E1064">
            <v>0.4</v>
          </cell>
        </row>
        <row r="1065">
          <cell r="A1065" t="str">
            <v>LV0593</v>
          </cell>
          <cell r="B1065" t="str">
            <v>LV0593</v>
          </cell>
          <cell r="C1065">
            <v>0.3</v>
          </cell>
          <cell r="E1065">
            <v>0.2</v>
          </cell>
        </row>
        <row r="1066">
          <cell r="A1066" t="str">
            <v>LV0600</v>
          </cell>
          <cell r="B1066" t="str">
            <v>LV0600</v>
          </cell>
          <cell r="C1066">
            <v>0.3</v>
          </cell>
          <cell r="E1066">
            <v>0.4</v>
          </cell>
        </row>
        <row r="1067">
          <cell r="A1067" t="str">
            <v>LV0786</v>
          </cell>
          <cell r="B1067" t="str">
            <v>LV0786</v>
          </cell>
          <cell r="C1067">
            <v>0.3</v>
          </cell>
          <cell r="E1067">
            <v>0.2</v>
          </cell>
        </row>
        <row r="1068">
          <cell r="A1068" t="str">
            <v>LV0906</v>
          </cell>
          <cell r="B1068" t="str">
            <v>LV0906</v>
          </cell>
          <cell r="C1068">
            <v>0.3</v>
          </cell>
          <cell r="E1068">
            <v>0.4</v>
          </cell>
        </row>
        <row r="1069">
          <cell r="A1069" t="str">
            <v>LV0952</v>
          </cell>
          <cell r="B1069" t="str">
            <v>LV0952</v>
          </cell>
          <cell r="C1069">
            <v>0.3</v>
          </cell>
          <cell r="E1069">
            <v>0.2</v>
          </cell>
        </row>
        <row r="1070">
          <cell r="A1070" t="str">
            <v>LV1161</v>
          </cell>
          <cell r="C1070">
            <v>0.3</v>
          </cell>
        </row>
        <row r="1071">
          <cell r="A1071" t="str">
            <v>LV1162</v>
          </cell>
          <cell r="C1071">
            <v>0.3</v>
          </cell>
        </row>
        <row r="1072">
          <cell r="A1072" t="str">
            <v>LV1318</v>
          </cell>
          <cell r="B1072" t="str">
            <v>LV1318</v>
          </cell>
          <cell r="C1072">
            <v>0.6</v>
          </cell>
          <cell r="E1072">
            <v>0.4</v>
          </cell>
        </row>
        <row r="1073">
          <cell r="A1073" t="str">
            <v>LV1388</v>
          </cell>
          <cell r="B1073" t="str">
            <v>LV1388</v>
          </cell>
          <cell r="C1073">
            <v>2.5</v>
          </cell>
          <cell r="E1073">
            <v>1.6</v>
          </cell>
        </row>
        <row r="1074">
          <cell r="A1074" t="str">
            <v>M01</v>
          </cell>
          <cell r="B1074" t="str">
            <v>M01</v>
          </cell>
          <cell r="C1074">
            <v>0.6</v>
          </cell>
          <cell r="E1074">
            <v>0.4</v>
          </cell>
        </row>
        <row r="1075">
          <cell r="A1075" t="str">
            <v>M02</v>
          </cell>
          <cell r="B1075" t="str">
            <v>M02</v>
          </cell>
          <cell r="C1075">
            <v>0.6</v>
          </cell>
          <cell r="E1075">
            <v>0.4</v>
          </cell>
        </row>
        <row r="1076">
          <cell r="A1076" t="str">
            <v>M03</v>
          </cell>
          <cell r="B1076" t="str">
            <v>M03</v>
          </cell>
          <cell r="C1076">
            <v>0.6</v>
          </cell>
          <cell r="E1076">
            <v>0.4</v>
          </cell>
        </row>
        <row r="1077">
          <cell r="A1077" t="str">
            <v>M04</v>
          </cell>
          <cell r="B1077" t="str">
            <v>M04</v>
          </cell>
          <cell r="C1077">
            <v>0.3</v>
          </cell>
          <cell r="E1077">
            <v>0.2</v>
          </cell>
        </row>
        <row r="1078">
          <cell r="A1078" t="str">
            <v>M05</v>
          </cell>
          <cell r="B1078" t="str">
            <v>M05</v>
          </cell>
          <cell r="C1078">
            <v>0.6</v>
          </cell>
          <cell r="E1078">
            <v>0.4</v>
          </cell>
        </row>
        <row r="1079">
          <cell r="A1079" t="str">
            <v>M06</v>
          </cell>
          <cell r="B1079" t="str">
            <v>M06</v>
          </cell>
          <cell r="C1079">
            <v>0.6</v>
          </cell>
          <cell r="E1079">
            <v>0.4</v>
          </cell>
        </row>
        <row r="1080">
          <cell r="A1080" t="str">
            <v>M07</v>
          </cell>
          <cell r="B1080" t="str">
            <v>M07</v>
          </cell>
          <cell r="C1080">
            <v>0.6</v>
          </cell>
          <cell r="E1080">
            <v>0.4</v>
          </cell>
        </row>
        <row r="1081">
          <cell r="A1081" t="str">
            <v>M08</v>
          </cell>
          <cell r="B1081" t="str">
            <v>M08</v>
          </cell>
          <cell r="C1081">
            <v>0.6</v>
          </cell>
          <cell r="E1081">
            <v>0.4</v>
          </cell>
        </row>
        <row r="1082">
          <cell r="A1082" t="str">
            <v>M09</v>
          </cell>
          <cell r="B1082" t="str">
            <v>M09</v>
          </cell>
          <cell r="C1082">
            <v>0.6</v>
          </cell>
          <cell r="E1082">
            <v>0.4</v>
          </cell>
        </row>
        <row r="1083">
          <cell r="A1083" t="str">
            <v>M10</v>
          </cell>
          <cell r="B1083" t="str">
            <v>M10</v>
          </cell>
          <cell r="C1083">
            <v>0.6</v>
          </cell>
          <cell r="E1083">
            <v>0.4</v>
          </cell>
        </row>
        <row r="1084">
          <cell r="A1084" t="str">
            <v>M11</v>
          </cell>
          <cell r="B1084" t="str">
            <v>M11</v>
          </cell>
          <cell r="C1084">
            <v>0.6</v>
          </cell>
          <cell r="E1084">
            <v>0.4</v>
          </cell>
        </row>
        <row r="1085">
          <cell r="A1085" t="str">
            <v>M12</v>
          </cell>
          <cell r="B1085" t="str">
            <v>M12</v>
          </cell>
          <cell r="C1085">
            <v>0.6</v>
          </cell>
          <cell r="E1085">
            <v>0.4</v>
          </cell>
        </row>
        <row r="1086">
          <cell r="A1086" t="str">
            <v>M13</v>
          </cell>
          <cell r="B1086" t="str">
            <v>M13</v>
          </cell>
          <cell r="C1086">
            <v>0.6</v>
          </cell>
          <cell r="E1086">
            <v>0.4</v>
          </cell>
        </row>
        <row r="1087">
          <cell r="A1087" t="str">
            <v>M14</v>
          </cell>
          <cell r="B1087" t="str">
            <v>M14</v>
          </cell>
          <cell r="C1087">
            <v>0.6</v>
          </cell>
          <cell r="E1087">
            <v>0.4</v>
          </cell>
        </row>
        <row r="1088">
          <cell r="A1088" t="str">
            <v>MF1341</v>
          </cell>
          <cell r="C1088">
            <v>0.6</v>
          </cell>
        </row>
        <row r="1089">
          <cell r="A1089" t="str">
            <v>MF1358</v>
          </cell>
          <cell r="C1089">
            <v>0.3</v>
          </cell>
        </row>
        <row r="1090">
          <cell r="A1090" t="str">
            <v>MF1486</v>
          </cell>
          <cell r="C1090">
            <v>0.6</v>
          </cell>
        </row>
        <row r="1091">
          <cell r="A1091" t="str">
            <v>MF1487</v>
          </cell>
          <cell r="C1091">
            <v>0.6</v>
          </cell>
        </row>
        <row r="1092">
          <cell r="A1092" t="str">
            <v>MF1548</v>
          </cell>
          <cell r="C1092">
            <v>0.6</v>
          </cell>
        </row>
        <row r="1093">
          <cell r="A1093" t="str">
            <v>MF2137</v>
          </cell>
          <cell r="C1093">
            <v>0.3</v>
          </cell>
        </row>
        <row r="1094">
          <cell r="A1094" t="str">
            <v>MF2152</v>
          </cell>
          <cell r="C1094">
            <v>0.6</v>
          </cell>
        </row>
        <row r="1095">
          <cell r="A1095" t="str">
            <v>MF2153</v>
          </cell>
          <cell r="C1095">
            <v>0.6</v>
          </cell>
        </row>
        <row r="1096">
          <cell r="A1096" t="str">
            <v>MF2156</v>
          </cell>
          <cell r="C1096">
            <v>0.6</v>
          </cell>
        </row>
        <row r="1097">
          <cell r="A1097" t="str">
            <v>MF2157</v>
          </cell>
          <cell r="C1097">
            <v>2.5</v>
          </cell>
        </row>
        <row r="1098">
          <cell r="A1098" t="str">
            <v>MF2158</v>
          </cell>
          <cell r="C1098">
            <v>2.5</v>
          </cell>
        </row>
        <row r="1099">
          <cell r="A1099" t="str">
            <v>MF2159</v>
          </cell>
          <cell r="C1099">
            <v>0.6</v>
          </cell>
        </row>
        <row r="1100">
          <cell r="A1100" t="str">
            <v>MF2160</v>
          </cell>
          <cell r="C1100">
            <v>0.6</v>
          </cell>
        </row>
        <row r="1101">
          <cell r="A1101" t="str">
            <v>MF2161</v>
          </cell>
          <cell r="C1101">
            <v>0.6</v>
          </cell>
        </row>
        <row r="1102">
          <cell r="A1102" t="str">
            <v>MF2163</v>
          </cell>
          <cell r="C1102">
            <v>0.6</v>
          </cell>
        </row>
        <row r="1103">
          <cell r="A1103" t="str">
            <v>MF2164</v>
          </cell>
          <cell r="C1103">
            <v>0.6</v>
          </cell>
        </row>
        <row r="1104">
          <cell r="A1104" t="str">
            <v>MF2165</v>
          </cell>
          <cell r="C1104">
            <v>0.6</v>
          </cell>
        </row>
        <row r="1105">
          <cell r="A1105" t="str">
            <v>MF2166</v>
          </cell>
          <cell r="C1105">
            <v>0.6</v>
          </cell>
        </row>
        <row r="1106">
          <cell r="A1106" t="str">
            <v>MF2167</v>
          </cell>
          <cell r="C1106">
            <v>0.3</v>
          </cell>
        </row>
        <row r="1107">
          <cell r="A1107" t="str">
            <v>MF2168</v>
          </cell>
          <cell r="C1107">
            <v>0.3</v>
          </cell>
        </row>
        <row r="1108">
          <cell r="A1108" t="str">
            <v>MF2169</v>
          </cell>
          <cell r="C1108">
            <v>0.3</v>
          </cell>
        </row>
        <row r="1109">
          <cell r="A1109" t="str">
            <v>MF2170</v>
          </cell>
          <cell r="C1109">
            <v>0.3</v>
          </cell>
        </row>
        <row r="1110">
          <cell r="A1110" t="str">
            <v>MF2171</v>
          </cell>
          <cell r="C1110">
            <v>0.6</v>
          </cell>
        </row>
        <row r="1111">
          <cell r="A1111" t="str">
            <v>MF2172</v>
          </cell>
          <cell r="C1111">
            <v>0.6</v>
          </cell>
        </row>
        <row r="1112">
          <cell r="A1112" t="str">
            <v>MF2173</v>
          </cell>
          <cell r="C1112">
            <v>2.5</v>
          </cell>
        </row>
        <row r="1113">
          <cell r="A1113" t="str">
            <v>MF2174</v>
          </cell>
          <cell r="C1113">
            <v>0.3</v>
          </cell>
        </row>
        <row r="1114">
          <cell r="A1114" t="str">
            <v>MF2176</v>
          </cell>
          <cell r="C1114">
            <v>2.5</v>
          </cell>
        </row>
        <row r="1115">
          <cell r="A1115" t="str">
            <v>MF2181</v>
          </cell>
          <cell r="C1115">
            <v>0.6</v>
          </cell>
        </row>
        <row r="1116">
          <cell r="A1116" t="str">
            <v>MF2184</v>
          </cell>
          <cell r="B1116" t="str">
            <v>MF2184</v>
          </cell>
          <cell r="C1116">
            <v>0.6</v>
          </cell>
          <cell r="E1116">
            <v>0.2</v>
          </cell>
        </row>
        <row r="1117">
          <cell r="A1117" t="str">
            <v>MF2185</v>
          </cell>
          <cell r="C1117">
            <v>0.6</v>
          </cell>
        </row>
        <row r="1118">
          <cell r="A1118" t="str">
            <v>MF2186</v>
          </cell>
          <cell r="C1118">
            <v>0.6</v>
          </cell>
        </row>
        <row r="1119">
          <cell r="A1119" t="str">
            <v>MF2187</v>
          </cell>
          <cell r="C1119">
            <v>0.3</v>
          </cell>
        </row>
        <row r="1120">
          <cell r="A1120" t="str">
            <v>MF2188</v>
          </cell>
          <cell r="C1120">
            <v>0.6</v>
          </cell>
        </row>
        <row r="1121">
          <cell r="A1121" t="str">
            <v>MF2189</v>
          </cell>
          <cell r="C1121">
            <v>0.6</v>
          </cell>
        </row>
        <row r="1122">
          <cell r="A1122" t="str">
            <v>MF2190</v>
          </cell>
          <cell r="C1122">
            <v>0.6</v>
          </cell>
        </row>
        <row r="1123">
          <cell r="A1123" t="str">
            <v>MF2191</v>
          </cell>
          <cell r="C1123">
            <v>0.6</v>
          </cell>
        </row>
        <row r="1124">
          <cell r="A1124" t="str">
            <v>MF3860</v>
          </cell>
          <cell r="B1124" t="str">
            <v>MF3860</v>
          </cell>
          <cell r="C1124">
            <v>0.6</v>
          </cell>
          <cell r="E1124">
            <v>0.2</v>
          </cell>
        </row>
        <row r="1125">
          <cell r="A1125" t="str">
            <v>MF3865</v>
          </cell>
          <cell r="C1125">
            <v>0.3</v>
          </cell>
        </row>
        <row r="1126">
          <cell r="A1126" t="str">
            <v>MF3882</v>
          </cell>
          <cell r="C1126">
            <v>0.3</v>
          </cell>
        </row>
        <row r="1127">
          <cell r="A1127" t="str">
            <v>MF3939</v>
          </cell>
          <cell r="B1127" t="str">
            <v>MF3939</v>
          </cell>
          <cell r="C1127">
            <v>0.6</v>
          </cell>
          <cell r="E1127">
            <v>0.2</v>
          </cell>
        </row>
        <row r="1128">
          <cell r="A1128" t="str">
            <v>MF3976</v>
          </cell>
          <cell r="C1128">
            <v>0.6</v>
          </cell>
        </row>
        <row r="1129">
          <cell r="A1129" t="str">
            <v>MF3995</v>
          </cell>
          <cell r="B1129" t="str">
            <v>MF3995</v>
          </cell>
          <cell r="C1129">
            <v>0.6</v>
          </cell>
          <cell r="E1129">
            <v>0.2</v>
          </cell>
        </row>
        <row r="1130">
          <cell r="A1130" t="str">
            <v>MF3999</v>
          </cell>
          <cell r="C1130">
            <v>0.3</v>
          </cell>
        </row>
        <row r="1131">
          <cell r="A1131" t="str">
            <v>MF4001</v>
          </cell>
          <cell r="B1131" t="str">
            <v>MF4001</v>
          </cell>
          <cell r="C1131">
            <v>0.3</v>
          </cell>
          <cell r="E1131">
            <v>0.2</v>
          </cell>
        </row>
        <row r="1132">
          <cell r="A1132" t="str">
            <v>MF4009</v>
          </cell>
          <cell r="B1132" t="str">
            <v>MF4009</v>
          </cell>
          <cell r="C1132">
            <v>0.3</v>
          </cell>
          <cell r="E1132">
            <v>0.2</v>
          </cell>
        </row>
        <row r="1133">
          <cell r="A1133" t="str">
            <v>MF4077</v>
          </cell>
          <cell r="B1133" t="str">
            <v>MF4077</v>
          </cell>
          <cell r="C1133">
            <v>0.6</v>
          </cell>
          <cell r="E1133">
            <v>0.2</v>
          </cell>
        </row>
        <row r="1134">
          <cell r="A1134" t="str">
            <v>MF4244</v>
          </cell>
          <cell r="C1134">
            <v>0.3</v>
          </cell>
        </row>
        <row r="1135">
          <cell r="A1135" t="str">
            <v>MF4245</v>
          </cell>
          <cell r="B1135" t="str">
            <v>MF4245</v>
          </cell>
          <cell r="C1135">
            <v>0.6</v>
          </cell>
          <cell r="E1135">
            <v>0.2</v>
          </cell>
        </row>
        <row r="1136">
          <cell r="A1136" t="str">
            <v>MF4252</v>
          </cell>
          <cell r="C1136">
            <v>0.3</v>
          </cell>
        </row>
        <row r="1137">
          <cell r="A1137" t="str">
            <v>MF4266</v>
          </cell>
          <cell r="C1137">
            <v>0.6</v>
          </cell>
        </row>
        <row r="1138">
          <cell r="A1138" t="str">
            <v>MF4267</v>
          </cell>
          <cell r="C1138">
            <v>2.5</v>
          </cell>
        </row>
        <row r="1139">
          <cell r="A1139" t="str">
            <v>MF4275</v>
          </cell>
          <cell r="C1139">
            <v>0.3</v>
          </cell>
        </row>
        <row r="1140">
          <cell r="A1140" t="str">
            <v>MF4282</v>
          </cell>
          <cell r="C1140">
            <v>0.6</v>
          </cell>
        </row>
        <row r="1141">
          <cell r="A1141" t="str">
            <v>MF4284</v>
          </cell>
          <cell r="C1141">
            <v>0.6</v>
          </cell>
        </row>
        <row r="1142">
          <cell r="A1142" t="str">
            <v>MF4289</v>
          </cell>
          <cell r="C1142">
            <v>0.6</v>
          </cell>
        </row>
        <row r="1143">
          <cell r="A1143" t="str">
            <v>MF4295</v>
          </cell>
          <cell r="C1143">
            <v>0.3</v>
          </cell>
        </row>
        <row r="1144">
          <cell r="A1144" t="str">
            <v>MF4302</v>
          </cell>
          <cell r="C1144">
            <v>0.3</v>
          </cell>
        </row>
        <row r="1145">
          <cell r="A1145" t="str">
            <v>MF4309</v>
          </cell>
          <cell r="C1145">
            <v>0.3</v>
          </cell>
        </row>
        <row r="1146">
          <cell r="A1146" t="str">
            <v>MF4330</v>
          </cell>
          <cell r="C1146">
            <v>0.3</v>
          </cell>
        </row>
        <row r="1147">
          <cell r="A1147" t="str">
            <v>MF4341</v>
          </cell>
          <cell r="C1147">
            <v>0.6</v>
          </cell>
        </row>
        <row r="1148">
          <cell r="A1148" t="str">
            <v>MF4345</v>
          </cell>
          <cell r="C1148">
            <v>0.6</v>
          </cell>
        </row>
        <row r="1149">
          <cell r="A1149" t="str">
            <v>MF4351</v>
          </cell>
          <cell r="C1149">
            <v>0.6</v>
          </cell>
        </row>
        <row r="1150">
          <cell r="A1150" t="str">
            <v>MF4385</v>
          </cell>
          <cell r="C1150">
            <v>0.6</v>
          </cell>
        </row>
        <row r="1151">
          <cell r="A1151" t="str">
            <v>MF4531</v>
          </cell>
          <cell r="C1151">
            <v>0.6</v>
          </cell>
        </row>
        <row r="1152">
          <cell r="A1152" t="str">
            <v>MF4545</v>
          </cell>
          <cell r="C1152">
            <v>2.5</v>
          </cell>
        </row>
        <row r="1153">
          <cell r="A1153" t="str">
            <v>MF4548</v>
          </cell>
          <cell r="C1153">
            <v>0.3</v>
          </cell>
        </row>
        <row r="1154">
          <cell r="A1154" t="str">
            <v>MF4562</v>
          </cell>
          <cell r="B1154" t="str">
            <v>MF4562</v>
          </cell>
          <cell r="C1154">
            <v>2.5</v>
          </cell>
          <cell r="E1154">
            <v>0.2</v>
          </cell>
        </row>
        <row r="1155">
          <cell r="A1155" t="str">
            <v>MF4588</v>
          </cell>
          <cell r="B1155" t="str">
            <v>MF4588</v>
          </cell>
          <cell r="C1155">
            <v>0.6</v>
          </cell>
          <cell r="E1155">
            <v>0.2</v>
          </cell>
        </row>
        <row r="1156">
          <cell r="A1156" t="str">
            <v>MF4592</v>
          </cell>
          <cell r="C1156">
            <v>0.3</v>
          </cell>
        </row>
        <row r="1157">
          <cell r="A1157" t="str">
            <v>MF4595</v>
          </cell>
          <cell r="C1157">
            <v>0.6</v>
          </cell>
        </row>
        <row r="1158">
          <cell r="A1158" t="str">
            <v>MF4601</v>
          </cell>
          <cell r="C1158">
            <v>0.6</v>
          </cell>
        </row>
        <row r="1159">
          <cell r="A1159" t="str">
            <v>MF4624</v>
          </cell>
          <cell r="C1159">
            <v>2.5</v>
          </cell>
        </row>
        <row r="1160">
          <cell r="A1160" t="str">
            <v>MF4626</v>
          </cell>
          <cell r="C1160">
            <v>0.3</v>
          </cell>
        </row>
        <row r="1161">
          <cell r="A1161" t="str">
            <v>MF4627</v>
          </cell>
          <cell r="C1161">
            <v>0.6</v>
          </cell>
        </row>
        <row r="1162">
          <cell r="A1162" t="str">
            <v>MF4697</v>
          </cell>
          <cell r="C1162">
            <v>2.5</v>
          </cell>
        </row>
        <row r="1163">
          <cell r="A1163" t="str">
            <v>MF4712</v>
          </cell>
          <cell r="C1163">
            <v>0.6</v>
          </cell>
        </row>
        <row r="1164">
          <cell r="A1164" t="str">
            <v>MF4804</v>
          </cell>
          <cell r="B1164" t="str">
            <v>MF4804</v>
          </cell>
          <cell r="C1164">
            <v>2.5</v>
          </cell>
          <cell r="E1164">
            <v>0.8</v>
          </cell>
        </row>
        <row r="1165">
          <cell r="A1165" t="str">
            <v>MF4990</v>
          </cell>
          <cell r="C1165">
            <v>2.5</v>
          </cell>
        </row>
        <row r="1166">
          <cell r="A1166" t="str">
            <v>MF4991</v>
          </cell>
          <cell r="B1166" t="str">
            <v>MF4991</v>
          </cell>
          <cell r="C1166">
            <v>0.6</v>
          </cell>
          <cell r="E1166">
            <v>0.2</v>
          </cell>
        </row>
        <row r="1167">
          <cell r="A1167" t="str">
            <v>MF4997</v>
          </cell>
          <cell r="B1167" t="str">
            <v>MF4997</v>
          </cell>
          <cell r="C1167">
            <v>2.5</v>
          </cell>
          <cell r="E1167">
            <v>0.2</v>
          </cell>
        </row>
        <row r="1168">
          <cell r="A1168" t="str">
            <v>MF5024</v>
          </cell>
          <cell r="C1168">
            <v>2.5</v>
          </cell>
        </row>
        <row r="1169">
          <cell r="A1169" t="str">
            <v>MF5050</v>
          </cell>
          <cell r="C1169">
            <v>0.6</v>
          </cell>
        </row>
        <row r="1170">
          <cell r="A1170" t="str">
            <v>MF5190</v>
          </cell>
          <cell r="C1170">
            <v>0.6</v>
          </cell>
        </row>
        <row r="1171">
          <cell r="A1171" t="str">
            <v>MF5236</v>
          </cell>
          <cell r="C1171">
            <v>2.5</v>
          </cell>
        </row>
        <row r="1172">
          <cell r="A1172" t="str">
            <v>MF5241</v>
          </cell>
          <cell r="C1172">
            <v>0.3</v>
          </cell>
        </row>
        <row r="1173">
          <cell r="A1173" t="str">
            <v>MF5368</v>
          </cell>
          <cell r="B1173" t="str">
            <v>MF5368</v>
          </cell>
          <cell r="C1173">
            <v>0.6</v>
          </cell>
          <cell r="E1173">
            <v>0.2</v>
          </cell>
        </row>
        <row r="1174">
          <cell r="A1174" t="str">
            <v>MF5369</v>
          </cell>
          <cell r="B1174" t="str">
            <v>MF5369</v>
          </cell>
          <cell r="C1174">
            <v>0.6</v>
          </cell>
          <cell r="E1174">
            <v>0.4</v>
          </cell>
        </row>
        <row r="1175">
          <cell r="A1175" t="str">
            <v>MF5373</v>
          </cell>
          <cell r="C1175">
            <v>0.6</v>
          </cell>
        </row>
        <row r="1176">
          <cell r="A1176" t="str">
            <v>MF5445</v>
          </cell>
          <cell r="C1176">
            <v>0.6</v>
          </cell>
        </row>
        <row r="1177">
          <cell r="A1177" t="str">
            <v>MF5462</v>
          </cell>
          <cell r="C1177">
            <v>2.5</v>
          </cell>
        </row>
        <row r="1178">
          <cell r="A1178" t="str">
            <v>MF5463</v>
          </cell>
          <cell r="C1178">
            <v>0.3</v>
          </cell>
        </row>
        <row r="1179">
          <cell r="A1179" t="str">
            <v>MF5464</v>
          </cell>
          <cell r="C1179">
            <v>2.5</v>
          </cell>
        </row>
        <row r="1180">
          <cell r="A1180" t="str">
            <v>MF5465</v>
          </cell>
          <cell r="C1180">
            <v>0.6</v>
          </cell>
        </row>
        <row r="1181">
          <cell r="A1181" t="str">
            <v>MF5636</v>
          </cell>
          <cell r="C1181">
            <v>0.6</v>
          </cell>
        </row>
        <row r="1182">
          <cell r="A1182" t="str">
            <v>MF5639</v>
          </cell>
          <cell r="B1182" t="str">
            <v>MF5639</v>
          </cell>
          <cell r="C1182">
            <v>0.6</v>
          </cell>
          <cell r="E1182">
            <v>0.4</v>
          </cell>
        </row>
        <row r="1183">
          <cell r="A1183" t="str">
            <v>MF5641</v>
          </cell>
          <cell r="C1183">
            <v>0.6</v>
          </cell>
        </row>
        <row r="1184">
          <cell r="A1184" t="str">
            <v>MF5646</v>
          </cell>
          <cell r="C1184">
            <v>0.6</v>
          </cell>
        </row>
        <row r="1185">
          <cell r="A1185" t="str">
            <v>MF5651</v>
          </cell>
          <cell r="C1185">
            <v>0.6</v>
          </cell>
        </row>
        <row r="1186">
          <cell r="A1186" t="str">
            <v>MF5764</v>
          </cell>
          <cell r="C1186">
            <v>2.5</v>
          </cell>
        </row>
        <row r="1187">
          <cell r="A1187" t="str">
            <v>MF5780</v>
          </cell>
          <cell r="C1187">
            <v>2.5</v>
          </cell>
        </row>
        <row r="1188">
          <cell r="A1188" t="str">
            <v>MF5787</v>
          </cell>
          <cell r="C1188">
            <v>0.6</v>
          </cell>
        </row>
        <row r="1189">
          <cell r="A1189" t="str">
            <v>MF5793</v>
          </cell>
          <cell r="C1189">
            <v>2.5</v>
          </cell>
        </row>
        <row r="1190">
          <cell r="A1190" t="str">
            <v>MF5797</v>
          </cell>
          <cell r="C1190">
            <v>0.6</v>
          </cell>
        </row>
        <row r="1191">
          <cell r="A1191" t="str">
            <v>MF5994</v>
          </cell>
          <cell r="C1191">
            <v>2.5</v>
          </cell>
        </row>
        <row r="1192">
          <cell r="A1192" t="str">
            <v>MF5995</v>
          </cell>
          <cell r="C1192">
            <v>0.6</v>
          </cell>
        </row>
        <row r="1193">
          <cell r="A1193" t="str">
            <v>MF6172</v>
          </cell>
          <cell r="C1193">
            <v>2.5</v>
          </cell>
        </row>
        <row r="1194">
          <cell r="A1194" t="str">
            <v>MF6187</v>
          </cell>
          <cell r="C1194">
            <v>0.6</v>
          </cell>
        </row>
        <row r="1195">
          <cell r="A1195" t="str">
            <v>MF6207</v>
          </cell>
          <cell r="C1195">
            <v>0.6</v>
          </cell>
        </row>
        <row r="1196">
          <cell r="A1196" t="str">
            <v>MF6316</v>
          </cell>
          <cell r="C1196">
            <v>2.5</v>
          </cell>
        </row>
        <row r="1197">
          <cell r="A1197" t="str">
            <v>MF6331</v>
          </cell>
          <cell r="B1197" t="str">
            <v>MF6331</v>
          </cell>
          <cell r="C1197">
            <v>0.6</v>
          </cell>
          <cell r="E1197">
            <v>0.4</v>
          </cell>
        </row>
        <row r="1198">
          <cell r="A1198" t="str">
            <v>MF6333</v>
          </cell>
          <cell r="C1198">
            <v>0.6</v>
          </cell>
        </row>
        <row r="1199">
          <cell r="A1199" t="str">
            <v>MF6335</v>
          </cell>
          <cell r="C1199">
            <v>0.6</v>
          </cell>
        </row>
        <row r="1200">
          <cell r="A1200" t="str">
            <v>MF6338</v>
          </cell>
          <cell r="C1200">
            <v>0.3</v>
          </cell>
        </row>
        <row r="1201">
          <cell r="A1201" t="str">
            <v>MF6339</v>
          </cell>
          <cell r="C1201">
            <v>2.5</v>
          </cell>
        </row>
        <row r="1202">
          <cell r="A1202" t="str">
            <v>MF6342</v>
          </cell>
          <cell r="C1202">
            <v>2.5</v>
          </cell>
        </row>
        <row r="1203">
          <cell r="A1203" t="str">
            <v>MF6349</v>
          </cell>
          <cell r="C1203">
            <v>0.6</v>
          </cell>
        </row>
        <row r="1204">
          <cell r="A1204" t="str">
            <v>MF6351</v>
          </cell>
          <cell r="C1204">
            <v>0.6</v>
          </cell>
        </row>
        <row r="1205">
          <cell r="A1205" t="str">
            <v>MF6708</v>
          </cell>
          <cell r="C1205">
            <v>0.6</v>
          </cell>
        </row>
        <row r="1206">
          <cell r="A1206" t="str">
            <v>MF6981</v>
          </cell>
          <cell r="B1206" t="str">
            <v>MF6981</v>
          </cell>
          <cell r="C1206">
            <v>0.6</v>
          </cell>
          <cell r="E1206">
            <v>0.4</v>
          </cell>
        </row>
        <row r="1207">
          <cell r="A1207" t="str">
            <v>MF7029</v>
          </cell>
          <cell r="C1207">
            <v>0.3</v>
          </cell>
        </row>
        <row r="1208">
          <cell r="A1208" t="str">
            <v>MF7031</v>
          </cell>
          <cell r="C1208">
            <v>0.3</v>
          </cell>
        </row>
        <row r="1209">
          <cell r="A1209" t="str">
            <v>MF7035</v>
          </cell>
          <cell r="B1209" t="str">
            <v>MF7035</v>
          </cell>
          <cell r="C1209">
            <v>2.5</v>
          </cell>
          <cell r="E1209">
            <v>0.8</v>
          </cell>
        </row>
        <row r="1210">
          <cell r="A1210" t="str">
            <v>MF7074</v>
          </cell>
          <cell r="C1210">
            <v>0.3</v>
          </cell>
        </row>
        <row r="1211">
          <cell r="A1211" t="str">
            <v>MF7075</v>
          </cell>
          <cell r="C1211">
            <v>0.3</v>
          </cell>
        </row>
        <row r="1212">
          <cell r="A1212" t="str">
            <v>MF7082</v>
          </cell>
          <cell r="C1212">
            <v>0.6</v>
          </cell>
        </row>
        <row r="1213">
          <cell r="A1213" t="str">
            <v>MF7085</v>
          </cell>
          <cell r="C1213">
            <v>0.3</v>
          </cell>
        </row>
        <row r="1214">
          <cell r="A1214" t="str">
            <v>MF7091</v>
          </cell>
          <cell r="C1214">
            <v>0.6</v>
          </cell>
        </row>
        <row r="1215">
          <cell r="A1215" t="str">
            <v>MF7098</v>
          </cell>
          <cell r="C1215">
            <v>0.3</v>
          </cell>
        </row>
        <row r="1216">
          <cell r="A1216" t="str">
            <v>MF7151</v>
          </cell>
          <cell r="C1216">
            <v>2.5</v>
          </cell>
        </row>
        <row r="1217">
          <cell r="A1217" t="str">
            <v>MF7242</v>
          </cell>
          <cell r="C1217">
            <v>0.3</v>
          </cell>
        </row>
        <row r="1218">
          <cell r="A1218" t="str">
            <v>MF7262</v>
          </cell>
          <cell r="C1218">
            <v>0.3</v>
          </cell>
        </row>
        <row r="1219">
          <cell r="A1219" t="str">
            <v>MF7315</v>
          </cell>
          <cell r="C1219">
            <v>2.5</v>
          </cell>
        </row>
        <row r="1220">
          <cell r="A1220" t="str">
            <v>MF7322</v>
          </cell>
          <cell r="C1220">
            <v>2.5</v>
          </cell>
        </row>
        <row r="1221">
          <cell r="A1221" t="str">
            <v>MF7327</v>
          </cell>
          <cell r="C1221">
            <v>0.6</v>
          </cell>
        </row>
        <row r="1222">
          <cell r="A1222" t="str">
            <v>MF7330</v>
          </cell>
          <cell r="B1222" t="str">
            <v>MF7330</v>
          </cell>
          <cell r="C1222">
            <v>0.6</v>
          </cell>
          <cell r="E1222">
            <v>0.2</v>
          </cell>
        </row>
        <row r="1223">
          <cell r="A1223" t="str">
            <v>MF7333</v>
          </cell>
          <cell r="B1223" t="str">
            <v>MF7333</v>
          </cell>
          <cell r="C1223">
            <v>0.3</v>
          </cell>
          <cell r="E1223">
            <v>0.2</v>
          </cell>
        </row>
        <row r="1224">
          <cell r="A1224" t="str">
            <v>MF7337</v>
          </cell>
          <cell r="B1224" t="str">
            <v>MF7337</v>
          </cell>
          <cell r="C1224">
            <v>0.6</v>
          </cell>
          <cell r="E1224">
            <v>0.2</v>
          </cell>
        </row>
        <row r="1225">
          <cell r="A1225" t="str">
            <v>MF7339</v>
          </cell>
          <cell r="C1225">
            <v>0.6</v>
          </cell>
        </row>
        <row r="1226">
          <cell r="A1226" t="str">
            <v>MF7341</v>
          </cell>
          <cell r="B1226" t="str">
            <v>MF7341</v>
          </cell>
          <cell r="C1226">
            <v>0.6</v>
          </cell>
          <cell r="E1226">
            <v>0.2</v>
          </cell>
        </row>
        <row r="1227">
          <cell r="A1227" t="str">
            <v>MF7344</v>
          </cell>
          <cell r="C1227">
            <v>0.6</v>
          </cell>
        </row>
        <row r="1228">
          <cell r="A1228" t="str">
            <v>MF7350</v>
          </cell>
          <cell r="B1228" t="str">
            <v>MF7350</v>
          </cell>
          <cell r="C1228">
            <v>0.6</v>
          </cell>
          <cell r="E1228">
            <v>0.4</v>
          </cell>
        </row>
        <row r="1229">
          <cell r="A1229" t="str">
            <v>MF7357</v>
          </cell>
          <cell r="C1229">
            <v>0.6</v>
          </cell>
        </row>
        <row r="1230">
          <cell r="A1230" t="str">
            <v>MF7369</v>
          </cell>
          <cell r="C1230">
            <v>0.3</v>
          </cell>
        </row>
        <row r="1231">
          <cell r="A1231" t="str">
            <v>MF7370</v>
          </cell>
          <cell r="C1231">
            <v>0.6</v>
          </cell>
        </row>
        <row r="1232">
          <cell r="A1232" t="str">
            <v>MF7372</v>
          </cell>
          <cell r="C1232">
            <v>0.3</v>
          </cell>
        </row>
        <row r="1233">
          <cell r="A1233" t="str">
            <v>MF7375</v>
          </cell>
          <cell r="C1233">
            <v>0.6</v>
          </cell>
        </row>
        <row r="1234">
          <cell r="A1234" t="str">
            <v>MF7379</v>
          </cell>
          <cell r="C1234">
            <v>0.6</v>
          </cell>
        </row>
        <row r="1235">
          <cell r="A1235" t="str">
            <v>MF7394</v>
          </cell>
          <cell r="C1235">
            <v>2.5</v>
          </cell>
        </row>
        <row r="1236">
          <cell r="A1236" t="str">
            <v>MF7402</v>
          </cell>
          <cell r="C1236">
            <v>1.25</v>
          </cell>
        </row>
        <row r="1237">
          <cell r="A1237" t="str">
            <v>MF7405</v>
          </cell>
          <cell r="C1237">
            <v>2.5</v>
          </cell>
        </row>
        <row r="1238">
          <cell r="A1238" t="str">
            <v>MF7408</v>
          </cell>
          <cell r="C1238">
            <v>0.6</v>
          </cell>
        </row>
        <row r="1239">
          <cell r="A1239" t="str">
            <v>MF7411</v>
          </cell>
          <cell r="C1239">
            <v>2.5</v>
          </cell>
        </row>
        <row r="1240">
          <cell r="A1240" t="str">
            <v>MF7412</v>
          </cell>
          <cell r="C1240">
            <v>2.5</v>
          </cell>
        </row>
        <row r="1241">
          <cell r="A1241" t="str">
            <v>MF7419</v>
          </cell>
          <cell r="C1241">
            <v>2.5</v>
          </cell>
        </row>
        <row r="1242">
          <cell r="A1242" t="str">
            <v>MF7420</v>
          </cell>
          <cell r="C1242">
            <v>2.5</v>
          </cell>
        </row>
        <row r="1243">
          <cell r="A1243" t="str">
            <v>MF7435</v>
          </cell>
          <cell r="C1243">
            <v>0.3</v>
          </cell>
        </row>
        <row r="1244">
          <cell r="A1244" t="str">
            <v>MF7456</v>
          </cell>
          <cell r="C1244">
            <v>0.6</v>
          </cell>
        </row>
        <row r="1245">
          <cell r="A1245" t="str">
            <v>MF7586</v>
          </cell>
          <cell r="C1245">
            <v>0.3</v>
          </cell>
        </row>
        <row r="1246">
          <cell r="A1246" t="str">
            <v>MF7627</v>
          </cell>
          <cell r="C1246">
            <v>2.5</v>
          </cell>
        </row>
        <row r="1247">
          <cell r="A1247" t="str">
            <v>MF7628</v>
          </cell>
          <cell r="C1247">
            <v>2.5</v>
          </cell>
        </row>
        <row r="1248">
          <cell r="A1248" t="str">
            <v>MF7631</v>
          </cell>
          <cell r="C1248">
            <v>2.5</v>
          </cell>
        </row>
        <row r="1249">
          <cell r="A1249" t="str">
            <v>MF7632</v>
          </cell>
          <cell r="C1249">
            <v>1.25</v>
          </cell>
        </row>
        <row r="1250">
          <cell r="A1250" t="str">
            <v>MF7633</v>
          </cell>
          <cell r="C1250">
            <v>2.5</v>
          </cell>
        </row>
        <row r="1251">
          <cell r="A1251" t="str">
            <v>MF7638</v>
          </cell>
          <cell r="C1251">
            <v>2.5</v>
          </cell>
        </row>
        <row r="1252">
          <cell r="A1252" t="str">
            <v>MF7649</v>
          </cell>
          <cell r="C1252">
            <v>0.6</v>
          </cell>
        </row>
        <row r="1253">
          <cell r="A1253" t="str">
            <v>MF7665</v>
          </cell>
          <cell r="C1253">
            <v>0.3</v>
          </cell>
        </row>
        <row r="1254">
          <cell r="A1254" t="str">
            <v>MF7668</v>
          </cell>
          <cell r="C1254">
            <v>0.6</v>
          </cell>
        </row>
        <row r="1255">
          <cell r="A1255" t="str">
            <v>MF7670</v>
          </cell>
          <cell r="C1255">
            <v>0.6</v>
          </cell>
        </row>
        <row r="1256">
          <cell r="A1256" t="str">
            <v>MF7678</v>
          </cell>
          <cell r="C1256">
            <v>0.6</v>
          </cell>
        </row>
        <row r="1257">
          <cell r="A1257" t="str">
            <v>MF7680</v>
          </cell>
          <cell r="B1257" t="str">
            <v>MF7680</v>
          </cell>
          <cell r="C1257">
            <v>2.5</v>
          </cell>
          <cell r="E1257">
            <v>1.6</v>
          </cell>
        </row>
        <row r="1258">
          <cell r="A1258" t="str">
            <v>MF7689</v>
          </cell>
          <cell r="C1258">
            <v>2.5</v>
          </cell>
        </row>
        <row r="1259">
          <cell r="A1259" t="str">
            <v>MF7703</v>
          </cell>
          <cell r="B1259" t="str">
            <v>MF7703</v>
          </cell>
          <cell r="C1259">
            <v>0.6</v>
          </cell>
          <cell r="E1259">
            <v>0.2</v>
          </cell>
        </row>
        <row r="1260">
          <cell r="A1260" t="str">
            <v>MF7707</v>
          </cell>
          <cell r="C1260">
            <v>2.5</v>
          </cell>
        </row>
        <row r="1261">
          <cell r="A1261" t="str">
            <v>MF7726</v>
          </cell>
          <cell r="C1261">
            <v>0.3</v>
          </cell>
        </row>
        <row r="1262">
          <cell r="A1262" t="str">
            <v>MF7730</v>
          </cell>
          <cell r="C1262">
            <v>0.3</v>
          </cell>
        </row>
        <row r="1263">
          <cell r="A1263" t="str">
            <v>MF7731</v>
          </cell>
          <cell r="C1263">
            <v>0.3</v>
          </cell>
        </row>
        <row r="1264">
          <cell r="A1264" t="str">
            <v>MF7739</v>
          </cell>
          <cell r="B1264" t="str">
            <v>MF7739</v>
          </cell>
          <cell r="C1264">
            <v>0.6</v>
          </cell>
          <cell r="E1264">
            <v>0.4</v>
          </cell>
        </row>
        <row r="1265">
          <cell r="A1265" t="str">
            <v>MF7748</v>
          </cell>
          <cell r="C1265">
            <v>0.6</v>
          </cell>
        </row>
        <row r="1266">
          <cell r="A1266" t="str">
            <v>MF7751</v>
          </cell>
          <cell r="C1266">
            <v>0.3</v>
          </cell>
        </row>
        <row r="1267">
          <cell r="A1267" t="str">
            <v>MF7752</v>
          </cell>
          <cell r="C1267">
            <v>0.6</v>
          </cell>
        </row>
        <row r="1268">
          <cell r="A1268" t="str">
            <v>MF7813</v>
          </cell>
          <cell r="C1268">
            <v>0.3</v>
          </cell>
        </row>
        <row r="1269">
          <cell r="A1269" t="str">
            <v>MF7827</v>
          </cell>
          <cell r="C1269">
            <v>0.3</v>
          </cell>
        </row>
        <row r="1270">
          <cell r="A1270" t="str">
            <v>MF7839</v>
          </cell>
          <cell r="B1270" t="str">
            <v>MF7839</v>
          </cell>
          <cell r="C1270">
            <v>0.6</v>
          </cell>
          <cell r="E1270">
            <v>0.4</v>
          </cell>
        </row>
        <row r="1271">
          <cell r="A1271" t="str">
            <v>MF7843</v>
          </cell>
          <cell r="C1271">
            <v>0.3</v>
          </cell>
        </row>
        <row r="1272">
          <cell r="A1272" t="str">
            <v>MF7850</v>
          </cell>
          <cell r="C1272">
            <v>0.3</v>
          </cell>
        </row>
        <row r="1273">
          <cell r="A1273" t="str">
            <v>MF7854</v>
          </cell>
          <cell r="C1273">
            <v>2.5</v>
          </cell>
        </row>
        <row r="1274">
          <cell r="A1274" t="str">
            <v>MF7858</v>
          </cell>
          <cell r="C1274">
            <v>0.6</v>
          </cell>
        </row>
        <row r="1275">
          <cell r="A1275" t="str">
            <v>MF7860</v>
          </cell>
          <cell r="C1275">
            <v>0.3</v>
          </cell>
        </row>
        <row r="1276">
          <cell r="A1276" t="str">
            <v>MF7885</v>
          </cell>
          <cell r="C1276">
            <v>0.6</v>
          </cell>
        </row>
        <row r="1277">
          <cell r="A1277" t="str">
            <v>MF7890</v>
          </cell>
          <cell r="B1277" t="str">
            <v>MF7890</v>
          </cell>
          <cell r="C1277">
            <v>0.6</v>
          </cell>
          <cell r="E1277">
            <v>0.4</v>
          </cell>
        </row>
        <row r="1278">
          <cell r="A1278" t="str">
            <v>MF7906</v>
          </cell>
          <cell r="B1278" t="str">
            <v>MF7906</v>
          </cell>
          <cell r="C1278">
            <v>0.6</v>
          </cell>
          <cell r="E1278">
            <v>0.2</v>
          </cell>
        </row>
        <row r="1279">
          <cell r="A1279" t="str">
            <v>MF7954</v>
          </cell>
          <cell r="C1279">
            <v>0.6</v>
          </cell>
        </row>
        <row r="1280">
          <cell r="A1280" t="str">
            <v>MF7971</v>
          </cell>
          <cell r="C1280">
            <v>0.6</v>
          </cell>
        </row>
        <row r="1281">
          <cell r="A1281" t="str">
            <v>MF7990</v>
          </cell>
          <cell r="C1281">
            <v>0.6</v>
          </cell>
        </row>
        <row r="1282">
          <cell r="A1282" t="str">
            <v>N13-0255</v>
          </cell>
          <cell r="B1282" t="str">
            <v>N13_0255</v>
          </cell>
          <cell r="C1282">
            <v>2.5</v>
          </cell>
          <cell r="E1282">
            <v>0.8</v>
          </cell>
        </row>
        <row r="1283">
          <cell r="A1283" t="str">
            <v>N13-0402</v>
          </cell>
          <cell r="B1283" t="str">
            <v>N13_0402</v>
          </cell>
          <cell r="C1283">
            <v>0.6</v>
          </cell>
          <cell r="E1283">
            <v>0.2</v>
          </cell>
        </row>
        <row r="1284">
          <cell r="A1284" t="str">
            <v>N14-0152</v>
          </cell>
          <cell r="B1284" t="str">
            <v>N14_0152</v>
          </cell>
          <cell r="C1284">
            <v>0.6</v>
          </cell>
          <cell r="E1284">
            <v>0.2</v>
          </cell>
        </row>
        <row r="1285">
          <cell r="A1285" t="str">
            <v>N14-0260</v>
          </cell>
          <cell r="B1285" t="str">
            <v>N14_0260</v>
          </cell>
          <cell r="C1285">
            <v>0.6</v>
          </cell>
          <cell r="E1285">
            <v>0.2</v>
          </cell>
        </row>
        <row r="1286">
          <cell r="A1286" t="str">
            <v>N19-0127</v>
          </cell>
          <cell r="B1286" t="str">
            <v>N19_0127</v>
          </cell>
          <cell r="C1286">
            <v>0.6</v>
          </cell>
          <cell r="E1286">
            <v>0.4</v>
          </cell>
        </row>
        <row r="1287">
          <cell r="A1287" t="str">
            <v>N19-0128</v>
          </cell>
          <cell r="B1287" t="str">
            <v>N19_0128</v>
          </cell>
          <cell r="C1287">
            <v>0.6</v>
          </cell>
          <cell r="E1287">
            <v>0.2</v>
          </cell>
        </row>
        <row r="1288">
          <cell r="A1288" t="str">
            <v>N19-0200</v>
          </cell>
          <cell r="C1288">
            <v>2.5</v>
          </cell>
        </row>
        <row r="1289">
          <cell r="A1289" t="str">
            <v>N19-0309</v>
          </cell>
          <cell r="B1289" t="str">
            <v>N19_0309</v>
          </cell>
          <cell r="C1289">
            <v>2.5</v>
          </cell>
          <cell r="E1289">
            <v>0.8</v>
          </cell>
        </row>
        <row r="1290">
          <cell r="A1290" t="str">
            <v>N19-0345</v>
          </cell>
          <cell r="C1290">
            <v>2.5</v>
          </cell>
        </row>
        <row r="1291">
          <cell r="A1291" t="str">
            <v>N19-0351</v>
          </cell>
          <cell r="B1291" t="str">
            <v>N19_0351</v>
          </cell>
          <cell r="C1291">
            <v>0.6</v>
          </cell>
          <cell r="E1291">
            <v>0.4</v>
          </cell>
        </row>
        <row r="1292">
          <cell r="A1292" t="str">
            <v>N19-0368</v>
          </cell>
          <cell r="B1292" t="str">
            <v>N19_0368</v>
          </cell>
          <cell r="C1292">
            <v>2.5</v>
          </cell>
          <cell r="E1292">
            <v>0.8</v>
          </cell>
        </row>
        <row r="1293">
          <cell r="A1293" t="str">
            <v>N19-0413</v>
          </cell>
          <cell r="C1293">
            <v>2.5</v>
          </cell>
        </row>
        <row r="1294">
          <cell r="A1294" t="str">
            <v>N19-0486</v>
          </cell>
          <cell r="C1294">
            <v>0.3</v>
          </cell>
        </row>
        <row r="1295">
          <cell r="A1295" t="str">
            <v>N19-0700</v>
          </cell>
          <cell r="C1295">
            <v>2.5</v>
          </cell>
        </row>
        <row r="1296">
          <cell r="A1296" t="str">
            <v>N19-0701</v>
          </cell>
          <cell r="B1296" t="str">
            <v>N19_0701</v>
          </cell>
          <cell r="C1296">
            <v>2.5</v>
          </cell>
          <cell r="E1296">
            <v>0.8</v>
          </cell>
        </row>
        <row r="1297">
          <cell r="A1297" t="str">
            <v>N19-0706</v>
          </cell>
          <cell r="C1297">
            <v>0.3</v>
          </cell>
        </row>
        <row r="1298">
          <cell r="A1298" t="str">
            <v>N19-0757</v>
          </cell>
          <cell r="C1298">
            <v>0.3</v>
          </cell>
        </row>
        <row r="1299">
          <cell r="A1299" t="str">
            <v>N19-0790</v>
          </cell>
          <cell r="C1299">
            <v>2.5</v>
          </cell>
        </row>
        <row r="1300">
          <cell r="A1300" t="str">
            <v>N19-1079</v>
          </cell>
          <cell r="C1300">
            <v>0.3</v>
          </cell>
        </row>
        <row r="1301">
          <cell r="A1301" t="str">
            <v>N19-1165</v>
          </cell>
          <cell r="B1301" t="str">
            <v>N19_1165</v>
          </cell>
          <cell r="C1301">
            <v>0.3</v>
          </cell>
          <cell r="E1301">
            <v>0.2</v>
          </cell>
        </row>
        <row r="1302">
          <cell r="A1302" t="str">
            <v>N19-1357</v>
          </cell>
          <cell r="C1302">
            <v>2.5</v>
          </cell>
        </row>
        <row r="1303">
          <cell r="A1303" t="str">
            <v>N19-1453</v>
          </cell>
          <cell r="C1303">
            <v>2.5</v>
          </cell>
        </row>
        <row r="1304">
          <cell r="A1304" t="str">
            <v>N19-1506</v>
          </cell>
          <cell r="B1304" t="str">
            <v>N19_1506</v>
          </cell>
          <cell r="C1304">
            <v>0.6</v>
          </cell>
          <cell r="E1304">
            <v>0.2</v>
          </cell>
        </row>
        <row r="1305">
          <cell r="A1305" t="str">
            <v>N19-1613</v>
          </cell>
          <cell r="B1305" t="str">
            <v>N19_1613</v>
          </cell>
          <cell r="C1305">
            <v>0.3</v>
          </cell>
          <cell r="E1305">
            <v>0.2</v>
          </cell>
        </row>
        <row r="1306">
          <cell r="A1306" t="str">
            <v>N19-1748</v>
          </cell>
          <cell r="C1306">
            <v>0.3</v>
          </cell>
        </row>
        <row r="1307">
          <cell r="A1307" t="str">
            <v>N19-1773</v>
          </cell>
          <cell r="C1307">
            <v>2.5</v>
          </cell>
        </row>
        <row r="1308">
          <cell r="A1308" t="str">
            <v>N19-2025</v>
          </cell>
          <cell r="C1308">
            <v>0.3</v>
          </cell>
        </row>
        <row r="1309">
          <cell r="A1309" t="str">
            <v>N19-2162</v>
          </cell>
          <cell r="B1309" t="str">
            <v>N19_2162</v>
          </cell>
          <cell r="C1309">
            <v>0.6</v>
          </cell>
          <cell r="E1309">
            <v>0.2</v>
          </cell>
        </row>
        <row r="1310">
          <cell r="A1310" t="str">
            <v>N19-2251</v>
          </cell>
          <cell r="C1310">
            <v>2.5</v>
          </cell>
        </row>
        <row r="1311">
          <cell r="A1311" t="str">
            <v>N19-2360</v>
          </cell>
          <cell r="C1311">
            <v>2.5</v>
          </cell>
        </row>
        <row r="1312">
          <cell r="A1312" t="str">
            <v>N19-2423</v>
          </cell>
          <cell r="C1312">
            <v>0.3</v>
          </cell>
        </row>
        <row r="1313">
          <cell r="A1313" t="str">
            <v>N19-2431</v>
          </cell>
          <cell r="C1313">
            <v>0.3</v>
          </cell>
        </row>
        <row r="1314">
          <cell r="A1314" t="str">
            <v>N19-2469</v>
          </cell>
          <cell r="C1314">
            <v>2.5</v>
          </cell>
        </row>
        <row r="1315">
          <cell r="A1315" t="str">
            <v>N19-2697</v>
          </cell>
          <cell r="C1315">
            <v>2.5</v>
          </cell>
        </row>
        <row r="1316">
          <cell r="A1316" t="str">
            <v>N19-2731</v>
          </cell>
          <cell r="C1316">
            <v>0.3</v>
          </cell>
        </row>
        <row r="1317">
          <cell r="A1317" t="str">
            <v>N19-2837</v>
          </cell>
          <cell r="C1317">
            <v>0.3</v>
          </cell>
        </row>
        <row r="1318">
          <cell r="A1318" t="str">
            <v>N19-2881</v>
          </cell>
          <cell r="C1318">
            <v>0.3</v>
          </cell>
        </row>
        <row r="1319">
          <cell r="A1319" t="str">
            <v>N19-2882</v>
          </cell>
          <cell r="C1319">
            <v>0.3</v>
          </cell>
        </row>
        <row r="1320">
          <cell r="A1320" t="str">
            <v>N19-2884</v>
          </cell>
          <cell r="B1320" t="str">
            <v>N19_2884</v>
          </cell>
          <cell r="C1320">
            <v>0.3</v>
          </cell>
          <cell r="E1320">
            <v>0.2</v>
          </cell>
        </row>
        <row r="1321">
          <cell r="A1321" t="str">
            <v>N19-2886</v>
          </cell>
          <cell r="B1321" t="str">
            <v>N19_2886</v>
          </cell>
          <cell r="C1321">
            <v>0.3</v>
          </cell>
          <cell r="E1321">
            <v>0.2</v>
          </cell>
        </row>
        <row r="1322">
          <cell r="A1322" t="str">
            <v>N19-2918</v>
          </cell>
          <cell r="C1322">
            <v>0.3</v>
          </cell>
        </row>
        <row r="1323">
          <cell r="A1323" t="str">
            <v>N19-2974</v>
          </cell>
          <cell r="C1323">
            <v>2.5</v>
          </cell>
        </row>
        <row r="1324">
          <cell r="A1324" t="str">
            <v>N19-2997</v>
          </cell>
          <cell r="C1324">
            <v>2.5</v>
          </cell>
        </row>
        <row r="1325">
          <cell r="A1325" t="str">
            <v>N19-3008</v>
          </cell>
          <cell r="C1325">
            <v>2.5</v>
          </cell>
        </row>
        <row r="1326">
          <cell r="A1326" t="str">
            <v>N19-3018</v>
          </cell>
          <cell r="C1326">
            <v>0.6</v>
          </cell>
        </row>
        <row r="1327">
          <cell r="A1327" t="str">
            <v>N19-3043</v>
          </cell>
          <cell r="C1327">
            <v>2.5</v>
          </cell>
        </row>
        <row r="1328">
          <cell r="A1328" t="str">
            <v>N19-3069</v>
          </cell>
          <cell r="C1328">
            <v>0.3</v>
          </cell>
        </row>
        <row r="1329">
          <cell r="A1329" t="str">
            <v>N19-3072</v>
          </cell>
          <cell r="C1329">
            <v>0.3</v>
          </cell>
        </row>
        <row r="1330">
          <cell r="A1330" t="str">
            <v>N19-3077</v>
          </cell>
          <cell r="B1330" t="str">
            <v>N19_3077</v>
          </cell>
          <cell r="C1330">
            <v>0.6</v>
          </cell>
          <cell r="E1330">
            <v>0.2</v>
          </cell>
        </row>
        <row r="1331">
          <cell r="A1331" t="str">
            <v>N19-3097</v>
          </cell>
          <cell r="C1331">
            <v>0.3</v>
          </cell>
        </row>
        <row r="1332">
          <cell r="A1332" t="str">
            <v>N19-3134</v>
          </cell>
          <cell r="C1332">
            <v>0.6</v>
          </cell>
        </row>
        <row r="1333">
          <cell r="A1333" t="str">
            <v>N195</v>
          </cell>
          <cell r="B1333" t="str">
            <v>N195</v>
          </cell>
          <cell r="C1333">
            <v>1.25</v>
          </cell>
          <cell r="E1333">
            <v>0.8</v>
          </cell>
        </row>
        <row r="1334">
          <cell r="A1334" t="str">
            <v>N20-0094</v>
          </cell>
          <cell r="C1334">
            <v>0.6</v>
          </cell>
        </row>
        <row r="1335">
          <cell r="A1335" t="str">
            <v>N20-0104</v>
          </cell>
          <cell r="C1335">
            <v>2.5</v>
          </cell>
        </row>
        <row r="1336">
          <cell r="A1336" t="str">
            <v>N20-0149</v>
          </cell>
          <cell r="C1336">
            <v>2.5</v>
          </cell>
        </row>
        <row r="1337">
          <cell r="A1337" t="str">
            <v>N20-0150</v>
          </cell>
          <cell r="C1337">
            <v>2.5</v>
          </cell>
        </row>
        <row r="1338">
          <cell r="A1338" t="str">
            <v>N20-0186</v>
          </cell>
          <cell r="B1338" t="str">
            <v>N20_0186</v>
          </cell>
          <cell r="C1338">
            <v>0.3</v>
          </cell>
          <cell r="E1338">
            <v>0.2</v>
          </cell>
        </row>
        <row r="1339">
          <cell r="A1339" t="str">
            <v>N20-0187</v>
          </cell>
          <cell r="C1339">
            <v>0.6</v>
          </cell>
        </row>
        <row r="1340">
          <cell r="A1340" t="str">
            <v>N20-0268</v>
          </cell>
          <cell r="C1340">
            <v>0.6</v>
          </cell>
        </row>
        <row r="1341">
          <cell r="A1341" t="str">
            <v>N20-0303</v>
          </cell>
          <cell r="C1341">
            <v>0.6</v>
          </cell>
        </row>
        <row r="1342">
          <cell r="A1342" t="str">
            <v>N20-0320</v>
          </cell>
          <cell r="C1342">
            <v>2.5</v>
          </cell>
        </row>
        <row r="1343">
          <cell r="A1343" t="str">
            <v>N20-0332</v>
          </cell>
          <cell r="B1343" t="str">
            <v>N20_0332</v>
          </cell>
          <cell r="C1343">
            <v>0.6</v>
          </cell>
          <cell r="E1343">
            <v>0.4</v>
          </cell>
        </row>
        <row r="1344">
          <cell r="A1344" t="str">
            <v>N20-0379</v>
          </cell>
          <cell r="B1344" t="str">
            <v>N20_0379</v>
          </cell>
          <cell r="C1344">
            <v>0.3</v>
          </cell>
          <cell r="E1344">
            <v>0.2</v>
          </cell>
        </row>
        <row r="1345">
          <cell r="A1345" t="str">
            <v>N20-0384</v>
          </cell>
          <cell r="C1345">
            <v>0.3</v>
          </cell>
        </row>
        <row r="1346">
          <cell r="A1346" t="str">
            <v>N20-0415</v>
          </cell>
          <cell r="C1346">
            <v>0.3</v>
          </cell>
        </row>
        <row r="1347">
          <cell r="A1347" t="str">
            <v>N20-0429</v>
          </cell>
          <cell r="C1347">
            <v>0.6</v>
          </cell>
        </row>
        <row r="1348">
          <cell r="A1348" t="str">
            <v>N20-0527</v>
          </cell>
          <cell r="B1348" t="str">
            <v>N20_0527</v>
          </cell>
          <cell r="C1348">
            <v>2.5</v>
          </cell>
          <cell r="E1348">
            <v>0.8</v>
          </cell>
        </row>
        <row r="1349">
          <cell r="A1349" t="str">
            <v>N20-0558</v>
          </cell>
          <cell r="C1349">
            <v>2.5</v>
          </cell>
        </row>
        <row r="1350">
          <cell r="A1350" t="str">
            <v>N20-0593</v>
          </cell>
          <cell r="B1350" t="str">
            <v>N20_0593</v>
          </cell>
          <cell r="C1350">
            <v>0.3</v>
          </cell>
          <cell r="E1350">
            <v>0.2</v>
          </cell>
        </row>
        <row r="1351">
          <cell r="A1351" t="str">
            <v>N20-0612</v>
          </cell>
          <cell r="C1351">
            <v>2.5</v>
          </cell>
        </row>
        <row r="1352">
          <cell r="A1352" t="str">
            <v>N20-0634</v>
          </cell>
          <cell r="C1352">
            <v>2.5</v>
          </cell>
        </row>
        <row r="1353">
          <cell r="A1353" t="str">
            <v>N20-0642</v>
          </cell>
          <cell r="B1353" t="str">
            <v>N20_0642</v>
          </cell>
          <cell r="C1353">
            <v>0.6</v>
          </cell>
          <cell r="E1353">
            <v>0.4</v>
          </cell>
        </row>
        <row r="1354">
          <cell r="A1354" t="str">
            <v>N20-0680</v>
          </cell>
          <cell r="C1354">
            <v>0.3</v>
          </cell>
        </row>
        <row r="1355">
          <cell r="A1355" t="str">
            <v>N20-0715</v>
          </cell>
          <cell r="C1355">
            <v>2.5</v>
          </cell>
        </row>
        <row r="1356">
          <cell r="A1356" t="str">
            <v>N20-0749</v>
          </cell>
          <cell r="C1356">
            <v>2.5</v>
          </cell>
        </row>
        <row r="1357">
          <cell r="A1357" t="str">
            <v>N20-0796</v>
          </cell>
          <cell r="C1357">
            <v>2.5</v>
          </cell>
        </row>
        <row r="1358">
          <cell r="A1358" t="str">
            <v>N20-0797</v>
          </cell>
          <cell r="C1358">
            <v>0.3</v>
          </cell>
        </row>
        <row r="1359">
          <cell r="A1359" t="str">
            <v>N20-0801</v>
          </cell>
          <cell r="B1359" t="str">
            <v>N20_0801</v>
          </cell>
          <cell r="C1359">
            <v>0.6</v>
          </cell>
          <cell r="E1359">
            <v>0.4</v>
          </cell>
        </row>
        <row r="1360">
          <cell r="A1360" t="str">
            <v>N20-0805</v>
          </cell>
          <cell r="C1360">
            <v>0.6</v>
          </cell>
        </row>
        <row r="1361">
          <cell r="A1361" t="str">
            <v>N20-0822</v>
          </cell>
          <cell r="C1361">
            <v>0.6</v>
          </cell>
        </row>
        <row r="1362">
          <cell r="A1362" t="str">
            <v>N20-0843</v>
          </cell>
          <cell r="C1362">
            <v>2.5</v>
          </cell>
        </row>
        <row r="1363">
          <cell r="A1363" t="str">
            <v>N20-0846</v>
          </cell>
          <cell r="B1363" t="str">
            <v>N20_0846</v>
          </cell>
          <cell r="C1363">
            <v>2.5</v>
          </cell>
          <cell r="E1363">
            <v>0.8</v>
          </cell>
        </row>
        <row r="1364">
          <cell r="A1364" t="str">
            <v>N20-0858</v>
          </cell>
          <cell r="C1364">
            <v>2.5</v>
          </cell>
        </row>
        <row r="1365">
          <cell r="A1365" t="str">
            <v>N20-0870</v>
          </cell>
          <cell r="C1365">
            <v>0.6</v>
          </cell>
        </row>
        <row r="1366">
          <cell r="A1366" t="str">
            <v>N20-0916</v>
          </cell>
          <cell r="C1366">
            <v>0.3</v>
          </cell>
        </row>
        <row r="1367">
          <cell r="A1367" t="str">
            <v>N20-0921</v>
          </cell>
          <cell r="C1367">
            <v>0.3</v>
          </cell>
        </row>
        <row r="1368">
          <cell r="A1368" t="str">
            <v>N20-0960</v>
          </cell>
          <cell r="C1368">
            <v>2.5</v>
          </cell>
        </row>
        <row r="1369">
          <cell r="A1369" t="str">
            <v>N20-0975</v>
          </cell>
          <cell r="C1369">
            <v>0.3</v>
          </cell>
        </row>
        <row r="1370">
          <cell r="A1370" t="str">
            <v>N20-0994</v>
          </cell>
          <cell r="B1370" t="str">
            <v>N20_0994</v>
          </cell>
          <cell r="C1370">
            <v>0.6</v>
          </cell>
          <cell r="E1370">
            <v>0.2</v>
          </cell>
        </row>
        <row r="1371">
          <cell r="A1371" t="str">
            <v>N20-1001</v>
          </cell>
          <cell r="B1371" t="str">
            <v>N20_1001</v>
          </cell>
          <cell r="C1371">
            <v>0.3</v>
          </cell>
          <cell r="E1371">
            <v>0.2</v>
          </cell>
        </row>
        <row r="1372">
          <cell r="A1372" t="str">
            <v>N20-1004</v>
          </cell>
          <cell r="C1372">
            <v>0.6</v>
          </cell>
        </row>
        <row r="1373">
          <cell r="A1373" t="str">
            <v>N20-1127</v>
          </cell>
          <cell r="C1373">
            <v>0.6</v>
          </cell>
        </row>
        <row r="1374">
          <cell r="A1374" t="str">
            <v>N20-1224</v>
          </cell>
          <cell r="B1374" t="str">
            <v>N20_1224</v>
          </cell>
          <cell r="C1374">
            <v>2.5</v>
          </cell>
          <cell r="E1374">
            <v>0.8</v>
          </cell>
        </row>
        <row r="1375">
          <cell r="A1375" t="str">
            <v>N20-1321</v>
          </cell>
          <cell r="B1375" t="str">
            <v>N20_1321</v>
          </cell>
          <cell r="C1375">
            <v>0.3</v>
          </cell>
          <cell r="E1375">
            <v>0.2</v>
          </cell>
        </row>
        <row r="1376">
          <cell r="A1376" t="str">
            <v>N20-1380</v>
          </cell>
          <cell r="C1376">
            <v>2.5</v>
          </cell>
        </row>
        <row r="1377">
          <cell r="A1377" t="str">
            <v>N20-1446</v>
          </cell>
          <cell r="C1377">
            <v>0.3</v>
          </cell>
        </row>
        <row r="1378">
          <cell r="A1378" t="str">
            <v>N20-1515</v>
          </cell>
          <cell r="C1378">
            <v>0.6</v>
          </cell>
        </row>
        <row r="1379">
          <cell r="A1379" t="str">
            <v>N20-1590</v>
          </cell>
          <cell r="C1379">
            <v>0.3</v>
          </cell>
        </row>
        <row r="1380">
          <cell r="A1380" t="str">
            <v>N20-1630</v>
          </cell>
          <cell r="B1380" t="str">
            <v>N20_1630</v>
          </cell>
          <cell r="C1380">
            <v>0.6</v>
          </cell>
          <cell r="E1380">
            <v>0.2</v>
          </cell>
        </row>
        <row r="1381">
          <cell r="A1381" t="str">
            <v>N20-1648</v>
          </cell>
          <cell r="B1381" t="str">
            <v>N20_1648</v>
          </cell>
          <cell r="C1381">
            <v>0.6</v>
          </cell>
          <cell r="E1381">
            <v>0.2</v>
          </cell>
        </row>
        <row r="1382">
          <cell r="A1382" t="str">
            <v>N20-1781</v>
          </cell>
          <cell r="C1382">
            <v>0.3</v>
          </cell>
        </row>
        <row r="1383">
          <cell r="A1383" t="str">
            <v>N20-1787</v>
          </cell>
          <cell r="C1383">
            <v>0.3</v>
          </cell>
        </row>
        <row r="1384">
          <cell r="A1384" t="str">
            <v>N20-1809</v>
          </cell>
          <cell r="B1384" t="str">
            <v>N20_1809</v>
          </cell>
          <cell r="C1384">
            <v>0.6</v>
          </cell>
          <cell r="E1384">
            <v>0.4</v>
          </cell>
        </row>
        <row r="1385">
          <cell r="A1385" t="str">
            <v>N20-1949</v>
          </cell>
          <cell r="C1385">
            <v>0.3</v>
          </cell>
        </row>
        <row r="1386">
          <cell r="A1386" t="str">
            <v>N20-2010</v>
          </cell>
          <cell r="C1386">
            <v>0.6</v>
          </cell>
        </row>
        <row r="1387">
          <cell r="A1387" t="str">
            <v>N20-2012</v>
          </cell>
          <cell r="C1387">
            <v>0.6</v>
          </cell>
        </row>
        <row r="1388">
          <cell r="A1388" t="str">
            <v>N20-2057</v>
          </cell>
          <cell r="C1388">
            <v>2.5</v>
          </cell>
        </row>
        <row r="1389">
          <cell r="A1389" t="str">
            <v>N20-2102</v>
          </cell>
          <cell r="C1389">
            <v>2.5</v>
          </cell>
        </row>
        <row r="1390">
          <cell r="A1390" t="str">
            <v>N20-2105</v>
          </cell>
          <cell r="C1390">
            <v>2.5</v>
          </cell>
        </row>
        <row r="1391">
          <cell r="A1391" t="str">
            <v>N20-2124</v>
          </cell>
          <cell r="C1391">
            <v>0.3</v>
          </cell>
        </row>
        <row r="1392">
          <cell r="A1392" t="str">
            <v>N20-2200</v>
          </cell>
          <cell r="C1392">
            <v>0.3</v>
          </cell>
        </row>
        <row r="1393">
          <cell r="A1393" t="str">
            <v>N20-2202</v>
          </cell>
          <cell r="C1393">
            <v>2.5</v>
          </cell>
        </row>
        <row r="1394">
          <cell r="A1394" t="str">
            <v>N20-2263</v>
          </cell>
          <cell r="C1394">
            <v>2.5</v>
          </cell>
        </row>
        <row r="1395">
          <cell r="A1395" t="str">
            <v>N20-2292</v>
          </cell>
          <cell r="B1395" t="str">
            <v>N20_2292</v>
          </cell>
          <cell r="C1395">
            <v>0.6</v>
          </cell>
          <cell r="E1395">
            <v>0.4</v>
          </cell>
        </row>
        <row r="1396">
          <cell r="A1396" t="str">
            <v>N20-2339</v>
          </cell>
          <cell r="C1396">
            <v>0.3</v>
          </cell>
        </row>
        <row r="1397">
          <cell r="A1397" t="str">
            <v>N20-2340</v>
          </cell>
          <cell r="B1397" t="str">
            <v>N20_2340</v>
          </cell>
          <cell r="C1397">
            <v>0.6</v>
          </cell>
          <cell r="E1397">
            <v>0.2</v>
          </cell>
        </row>
        <row r="1398">
          <cell r="A1398" t="str">
            <v>N20-2373</v>
          </cell>
          <cell r="C1398">
            <v>0.6</v>
          </cell>
        </row>
        <row r="1399">
          <cell r="A1399" t="str">
            <v>N20-2390</v>
          </cell>
          <cell r="B1399" t="str">
            <v>N20_2390</v>
          </cell>
          <cell r="C1399">
            <v>0.6</v>
          </cell>
          <cell r="E1399">
            <v>0.2</v>
          </cell>
        </row>
        <row r="1400">
          <cell r="A1400" t="str">
            <v>N20-2431</v>
          </cell>
          <cell r="B1400" t="str">
            <v>N20_2431</v>
          </cell>
          <cell r="C1400">
            <v>0.3</v>
          </cell>
          <cell r="E1400">
            <v>0.2</v>
          </cell>
        </row>
        <row r="1401">
          <cell r="A1401" t="str">
            <v>N20-2490</v>
          </cell>
          <cell r="B1401" t="str">
            <v>N20_2490</v>
          </cell>
          <cell r="C1401">
            <v>2.5</v>
          </cell>
          <cell r="E1401">
            <v>0.8</v>
          </cell>
        </row>
        <row r="1402">
          <cell r="A1402" t="str">
            <v>N20-2513</v>
          </cell>
          <cell r="C1402">
            <v>0.6</v>
          </cell>
        </row>
        <row r="1403">
          <cell r="A1403" t="str">
            <v>N20-2604</v>
          </cell>
          <cell r="C1403">
            <v>2.5</v>
          </cell>
        </row>
        <row r="1404">
          <cell r="A1404" t="str">
            <v>N20-2611</v>
          </cell>
          <cell r="C1404">
            <v>0.6</v>
          </cell>
        </row>
        <row r="1405">
          <cell r="A1405" t="str">
            <v>N20-2612</v>
          </cell>
          <cell r="C1405">
            <v>0.6</v>
          </cell>
        </row>
        <row r="1406">
          <cell r="A1406" t="str">
            <v>N20-2614</v>
          </cell>
          <cell r="C1406">
            <v>0.3</v>
          </cell>
        </row>
        <row r="1407">
          <cell r="A1407" t="str">
            <v>N20-2698</v>
          </cell>
          <cell r="B1407" t="str">
            <v>N20_2698</v>
          </cell>
          <cell r="C1407">
            <v>2.5</v>
          </cell>
          <cell r="E1407">
            <v>0.8</v>
          </cell>
        </row>
        <row r="1408">
          <cell r="A1408" t="str">
            <v>N20-2702</v>
          </cell>
          <cell r="C1408">
            <v>0.6</v>
          </cell>
        </row>
        <row r="1409">
          <cell r="A1409" t="str">
            <v>N20-2732</v>
          </cell>
          <cell r="C1409">
            <v>2.5</v>
          </cell>
        </row>
        <row r="1410">
          <cell r="A1410" t="str">
            <v>N20-2776</v>
          </cell>
          <cell r="C1410">
            <v>0.3</v>
          </cell>
        </row>
        <row r="1411">
          <cell r="A1411" t="str">
            <v>N20-944</v>
          </cell>
          <cell r="C1411">
            <v>0.3</v>
          </cell>
        </row>
        <row r="1412">
          <cell r="A1412" t="str">
            <v>N21-0042</v>
          </cell>
          <cell r="B1412" t="str">
            <v>N21_0042</v>
          </cell>
          <cell r="C1412">
            <v>0.3</v>
          </cell>
          <cell r="E1412">
            <v>0.2</v>
          </cell>
        </row>
        <row r="1413">
          <cell r="A1413" t="str">
            <v>N21-0064</v>
          </cell>
          <cell r="C1413">
            <v>0.3</v>
          </cell>
        </row>
        <row r="1414">
          <cell r="A1414" t="str">
            <v>N21-0065</v>
          </cell>
          <cell r="C1414">
            <v>0.6</v>
          </cell>
        </row>
        <row r="1415">
          <cell r="A1415" t="str">
            <v>N21-0102</v>
          </cell>
          <cell r="B1415" t="str">
            <v>N21_0102</v>
          </cell>
          <cell r="C1415">
            <v>2.5</v>
          </cell>
          <cell r="E1415">
            <v>0.8</v>
          </cell>
        </row>
        <row r="1416">
          <cell r="A1416" t="str">
            <v>N21-0121</v>
          </cell>
          <cell r="B1416" t="str">
            <v>N21_0121</v>
          </cell>
          <cell r="C1416">
            <v>0.6</v>
          </cell>
          <cell r="E1416">
            <v>0.2</v>
          </cell>
        </row>
        <row r="1417">
          <cell r="A1417" t="str">
            <v>N21-0165</v>
          </cell>
          <cell r="B1417" t="str">
            <v>N21_0165</v>
          </cell>
          <cell r="C1417">
            <v>2.5</v>
          </cell>
          <cell r="E1417">
            <v>0.8</v>
          </cell>
        </row>
        <row r="1418">
          <cell r="A1418" t="str">
            <v>N21-0201</v>
          </cell>
          <cell r="B1418" t="str">
            <v>N21_0201</v>
          </cell>
          <cell r="C1418">
            <v>2.5</v>
          </cell>
          <cell r="E1418">
            <v>0.8</v>
          </cell>
        </row>
        <row r="1419">
          <cell r="A1419" t="str">
            <v>N21-0206</v>
          </cell>
          <cell r="C1419">
            <v>0.3</v>
          </cell>
        </row>
        <row r="1420">
          <cell r="A1420" t="str">
            <v>N21-0262</v>
          </cell>
          <cell r="C1420">
            <v>0.3</v>
          </cell>
        </row>
        <row r="1421">
          <cell r="A1421" t="str">
            <v>N21-0274</v>
          </cell>
          <cell r="B1421" t="str">
            <v>N21_0274</v>
          </cell>
          <cell r="C1421">
            <v>0.6</v>
          </cell>
          <cell r="E1421">
            <v>0.2</v>
          </cell>
        </row>
        <row r="1422">
          <cell r="A1422" t="str">
            <v>N21-0299</v>
          </cell>
          <cell r="C1422">
            <v>0.6</v>
          </cell>
        </row>
        <row r="1423">
          <cell r="A1423" t="str">
            <v>N21-0325</v>
          </cell>
          <cell r="B1423" t="str">
            <v>N21_0325</v>
          </cell>
          <cell r="C1423">
            <v>0.6</v>
          </cell>
          <cell r="E1423">
            <v>0.2</v>
          </cell>
        </row>
        <row r="1424">
          <cell r="A1424" t="str">
            <v>N21-0326</v>
          </cell>
          <cell r="C1424">
            <v>0.3</v>
          </cell>
        </row>
        <row r="1425">
          <cell r="A1425" t="str">
            <v>N21-0371</v>
          </cell>
          <cell r="C1425">
            <v>0.3</v>
          </cell>
        </row>
        <row r="1426">
          <cell r="A1426" t="str">
            <v>N21-0434</v>
          </cell>
          <cell r="C1426">
            <v>2.5</v>
          </cell>
        </row>
        <row r="1427">
          <cell r="A1427" t="str">
            <v>N21-0465</v>
          </cell>
          <cell r="C1427">
            <v>0.3</v>
          </cell>
        </row>
        <row r="1428">
          <cell r="A1428" t="str">
            <v>N21-0475</v>
          </cell>
          <cell r="C1428">
            <v>0.3</v>
          </cell>
        </row>
        <row r="1429">
          <cell r="A1429" t="str">
            <v>N21-0527</v>
          </cell>
          <cell r="C1429">
            <v>0.3</v>
          </cell>
        </row>
        <row r="1430">
          <cell r="A1430" t="str">
            <v>N21-0556</v>
          </cell>
          <cell r="B1430" t="str">
            <v>N21_0556</v>
          </cell>
          <cell r="C1430">
            <v>0.6</v>
          </cell>
          <cell r="E1430">
            <v>0.2</v>
          </cell>
        </row>
        <row r="1431">
          <cell r="A1431" t="str">
            <v>N22-2</v>
          </cell>
          <cell r="C1431">
            <v>2.5</v>
          </cell>
        </row>
        <row r="1432">
          <cell r="A1432" t="str">
            <v>No40_1</v>
          </cell>
          <cell r="C1432">
            <v>0.3</v>
          </cell>
        </row>
        <row r="1433">
          <cell r="A1433" t="str">
            <v>No80_1</v>
          </cell>
          <cell r="C1433">
            <v>0.3</v>
          </cell>
        </row>
        <row r="1434">
          <cell r="A1434" t="str">
            <v>OLM102</v>
          </cell>
          <cell r="C1434">
            <v>0.6</v>
          </cell>
        </row>
        <row r="1435">
          <cell r="A1435" t="str">
            <v>OLM115</v>
          </cell>
          <cell r="C1435">
            <v>0.6</v>
          </cell>
        </row>
        <row r="1436">
          <cell r="A1436" t="str">
            <v>OLM116</v>
          </cell>
          <cell r="C1436">
            <v>0.6</v>
          </cell>
        </row>
        <row r="1437">
          <cell r="A1437" t="str">
            <v>OLM117</v>
          </cell>
          <cell r="C1437">
            <v>0.6</v>
          </cell>
        </row>
        <row r="1438">
          <cell r="A1438" t="str">
            <v>OLM118</v>
          </cell>
          <cell r="C1438">
            <v>0.6</v>
          </cell>
        </row>
        <row r="1439">
          <cell r="A1439" t="str">
            <v>OLM12</v>
          </cell>
          <cell r="C1439">
            <v>0.6</v>
          </cell>
        </row>
        <row r="1440">
          <cell r="A1440" t="str">
            <v>OLM120</v>
          </cell>
          <cell r="C1440">
            <v>0.6</v>
          </cell>
        </row>
        <row r="1441">
          <cell r="A1441" t="str">
            <v>OLM121</v>
          </cell>
          <cell r="C1441">
            <v>0.6</v>
          </cell>
        </row>
        <row r="1442">
          <cell r="A1442" t="str">
            <v>OLM124</v>
          </cell>
          <cell r="C1442">
            <v>0.6</v>
          </cell>
        </row>
        <row r="1443">
          <cell r="A1443" t="str">
            <v>OLM125</v>
          </cell>
          <cell r="C1443">
            <v>0.6</v>
          </cell>
        </row>
        <row r="1444">
          <cell r="A1444" t="str">
            <v>OLM126</v>
          </cell>
          <cell r="C1444">
            <v>0.6</v>
          </cell>
        </row>
        <row r="1445">
          <cell r="A1445" t="str">
            <v>OLM127</v>
          </cell>
          <cell r="C1445">
            <v>0.6</v>
          </cell>
        </row>
        <row r="1446">
          <cell r="A1446" t="str">
            <v>OLM13</v>
          </cell>
          <cell r="C1446">
            <v>0.6</v>
          </cell>
        </row>
        <row r="1447">
          <cell r="A1447" t="str">
            <v>OLM135</v>
          </cell>
          <cell r="C1447">
            <v>0.6</v>
          </cell>
        </row>
        <row r="1448">
          <cell r="A1448" t="str">
            <v>OLM136</v>
          </cell>
          <cell r="C1448">
            <v>0.3</v>
          </cell>
        </row>
        <row r="1449">
          <cell r="A1449" t="str">
            <v>OLM137</v>
          </cell>
          <cell r="C1449">
            <v>0.6</v>
          </cell>
        </row>
        <row r="1450">
          <cell r="A1450" t="str">
            <v>OLM138</v>
          </cell>
          <cell r="C1450">
            <v>0.6</v>
          </cell>
        </row>
        <row r="1451">
          <cell r="A1451" t="str">
            <v>OLM141</v>
          </cell>
          <cell r="C1451">
            <v>0.3</v>
          </cell>
        </row>
        <row r="1452">
          <cell r="A1452" t="str">
            <v>OLM142</v>
          </cell>
          <cell r="C1452">
            <v>0.6</v>
          </cell>
        </row>
        <row r="1453">
          <cell r="A1453" t="str">
            <v>OLM143</v>
          </cell>
          <cell r="C1453">
            <v>0.6</v>
          </cell>
        </row>
        <row r="1454">
          <cell r="A1454" t="str">
            <v>OLM144</v>
          </cell>
          <cell r="C1454">
            <v>0.6</v>
          </cell>
        </row>
        <row r="1455">
          <cell r="A1455" t="str">
            <v>OLM147</v>
          </cell>
          <cell r="C1455">
            <v>0.6</v>
          </cell>
        </row>
        <row r="1456">
          <cell r="A1456" t="str">
            <v>OLM15</v>
          </cell>
          <cell r="C1456">
            <v>0.3</v>
          </cell>
        </row>
        <row r="1457">
          <cell r="A1457" t="str">
            <v>OLM151</v>
          </cell>
          <cell r="C1457">
            <v>0.6</v>
          </cell>
        </row>
        <row r="1458">
          <cell r="A1458" t="str">
            <v>OLM152</v>
          </cell>
          <cell r="C1458">
            <v>0.6</v>
          </cell>
        </row>
        <row r="1459">
          <cell r="A1459" t="str">
            <v>OLM153</v>
          </cell>
          <cell r="C1459">
            <v>0.6</v>
          </cell>
        </row>
        <row r="1460">
          <cell r="A1460" t="str">
            <v>OLM157</v>
          </cell>
          <cell r="C1460">
            <v>0.6</v>
          </cell>
        </row>
        <row r="1461">
          <cell r="A1461" t="str">
            <v>OLM20</v>
          </cell>
          <cell r="C1461">
            <v>0.6</v>
          </cell>
        </row>
        <row r="1462">
          <cell r="A1462" t="str">
            <v>OLM21</v>
          </cell>
          <cell r="C1462">
            <v>0.3</v>
          </cell>
        </row>
        <row r="1463">
          <cell r="A1463" t="str">
            <v>OLM22</v>
          </cell>
          <cell r="C1463">
            <v>0.6</v>
          </cell>
        </row>
        <row r="1464">
          <cell r="A1464" t="str">
            <v>OLM25</v>
          </cell>
          <cell r="C1464">
            <v>0.6</v>
          </cell>
        </row>
        <row r="1465">
          <cell r="A1465" t="str">
            <v>OLM26</v>
          </cell>
          <cell r="C1465">
            <v>0.6</v>
          </cell>
        </row>
        <row r="1466">
          <cell r="A1466" t="str">
            <v>OLM28</v>
          </cell>
          <cell r="C1466">
            <v>0.6</v>
          </cell>
        </row>
        <row r="1467">
          <cell r="A1467" t="str">
            <v>OLM29</v>
          </cell>
          <cell r="C1467">
            <v>0.6</v>
          </cell>
        </row>
        <row r="1468">
          <cell r="A1468" t="str">
            <v>OLM3</v>
          </cell>
          <cell r="C1468">
            <v>0.6</v>
          </cell>
        </row>
        <row r="1469">
          <cell r="A1469" t="str">
            <v>OLM30</v>
          </cell>
          <cell r="C1469">
            <v>0.3</v>
          </cell>
        </row>
        <row r="1470">
          <cell r="A1470" t="str">
            <v>OLM31</v>
          </cell>
          <cell r="C1470">
            <v>0.6</v>
          </cell>
        </row>
        <row r="1471">
          <cell r="A1471" t="str">
            <v>OLM36</v>
          </cell>
          <cell r="C1471">
            <v>0.6</v>
          </cell>
        </row>
        <row r="1472">
          <cell r="A1472" t="str">
            <v>OLM37</v>
          </cell>
          <cell r="C1472">
            <v>0.6</v>
          </cell>
        </row>
        <row r="1473">
          <cell r="A1473" t="str">
            <v>OLM38</v>
          </cell>
          <cell r="C1473">
            <v>0.6</v>
          </cell>
        </row>
        <row r="1474">
          <cell r="A1474" t="str">
            <v>OLM39</v>
          </cell>
          <cell r="C1474">
            <v>0.6</v>
          </cell>
        </row>
        <row r="1475">
          <cell r="A1475" t="str">
            <v>OLM41</v>
          </cell>
          <cell r="C1475">
            <v>0.6</v>
          </cell>
        </row>
        <row r="1476">
          <cell r="A1476" t="str">
            <v>OLM42</v>
          </cell>
          <cell r="C1476">
            <v>0.6</v>
          </cell>
        </row>
        <row r="1477">
          <cell r="A1477" t="str">
            <v>OLM43</v>
          </cell>
          <cell r="C1477">
            <v>0.6</v>
          </cell>
        </row>
        <row r="1478">
          <cell r="A1478" t="str">
            <v>OLM44</v>
          </cell>
          <cell r="C1478">
            <v>0.6</v>
          </cell>
        </row>
        <row r="1479">
          <cell r="A1479" t="str">
            <v>OLM46</v>
          </cell>
          <cell r="C1479">
            <v>0.6</v>
          </cell>
        </row>
        <row r="1480">
          <cell r="A1480" t="str">
            <v>OLM5</v>
          </cell>
          <cell r="C1480">
            <v>0.6</v>
          </cell>
        </row>
        <row r="1481">
          <cell r="A1481" t="str">
            <v>OLM51</v>
          </cell>
          <cell r="C1481">
            <v>0.6</v>
          </cell>
        </row>
        <row r="1482">
          <cell r="A1482" t="str">
            <v>OLM52d</v>
          </cell>
          <cell r="C1482">
            <v>0.6</v>
          </cell>
        </row>
        <row r="1483">
          <cell r="A1483" t="str">
            <v>OLM54d</v>
          </cell>
          <cell r="C1483">
            <v>0.3</v>
          </cell>
        </row>
        <row r="1484">
          <cell r="A1484" t="str">
            <v>OLM55</v>
          </cell>
          <cell r="C1484">
            <v>0.6</v>
          </cell>
        </row>
        <row r="1485">
          <cell r="A1485" t="str">
            <v>OLM56</v>
          </cell>
          <cell r="C1485">
            <v>0.3</v>
          </cell>
        </row>
        <row r="1486">
          <cell r="A1486" t="str">
            <v>OLM59</v>
          </cell>
          <cell r="C1486">
            <v>0.6</v>
          </cell>
        </row>
        <row r="1487">
          <cell r="A1487" t="str">
            <v>OLM6</v>
          </cell>
          <cell r="C1487">
            <v>0.6</v>
          </cell>
        </row>
        <row r="1488">
          <cell r="A1488" t="str">
            <v>OLM61</v>
          </cell>
          <cell r="C1488">
            <v>0.6</v>
          </cell>
        </row>
        <row r="1489">
          <cell r="A1489" t="str">
            <v>OLM62</v>
          </cell>
          <cell r="C1489">
            <v>0.3</v>
          </cell>
        </row>
        <row r="1490">
          <cell r="A1490" t="str">
            <v>OLM63</v>
          </cell>
          <cell r="C1490">
            <v>0.6</v>
          </cell>
        </row>
        <row r="1491">
          <cell r="A1491" t="str">
            <v>OLM65</v>
          </cell>
          <cell r="C1491">
            <v>0.6</v>
          </cell>
        </row>
        <row r="1492">
          <cell r="A1492" t="str">
            <v>OLM66</v>
          </cell>
          <cell r="C1492">
            <v>0.6</v>
          </cell>
        </row>
        <row r="1493">
          <cell r="A1493" t="str">
            <v>OLM67</v>
          </cell>
          <cell r="C1493">
            <v>0.6</v>
          </cell>
        </row>
        <row r="1494">
          <cell r="A1494" t="str">
            <v>OLM70</v>
          </cell>
          <cell r="C1494">
            <v>0.6</v>
          </cell>
        </row>
        <row r="1495">
          <cell r="A1495" t="str">
            <v>OLM71</v>
          </cell>
          <cell r="C1495">
            <v>0.6</v>
          </cell>
        </row>
        <row r="1496">
          <cell r="A1496" t="str">
            <v>OLM72</v>
          </cell>
          <cell r="C1496">
            <v>0.6</v>
          </cell>
        </row>
        <row r="1497">
          <cell r="A1497" t="str">
            <v>OLM73</v>
          </cell>
          <cell r="C1497">
            <v>0.6</v>
          </cell>
        </row>
        <row r="1498">
          <cell r="A1498" t="str">
            <v>OLM74</v>
          </cell>
          <cell r="C1498">
            <v>0.6</v>
          </cell>
        </row>
        <row r="1499">
          <cell r="A1499" t="str">
            <v>OLM76</v>
          </cell>
          <cell r="C1499">
            <v>0.6</v>
          </cell>
        </row>
        <row r="1500">
          <cell r="A1500" t="str">
            <v>OLM77</v>
          </cell>
          <cell r="C1500">
            <v>0.6</v>
          </cell>
        </row>
        <row r="1501">
          <cell r="A1501" t="str">
            <v>OLM78</v>
          </cell>
          <cell r="C1501">
            <v>0.6</v>
          </cell>
        </row>
        <row r="1502">
          <cell r="A1502" t="str">
            <v>OLM8</v>
          </cell>
          <cell r="C1502">
            <v>0.6</v>
          </cell>
        </row>
        <row r="1503">
          <cell r="A1503" t="str">
            <v>OLM80</v>
          </cell>
          <cell r="C1503">
            <v>0.6</v>
          </cell>
        </row>
        <row r="1504">
          <cell r="A1504" t="str">
            <v>OLM81</v>
          </cell>
          <cell r="C1504">
            <v>0.6</v>
          </cell>
        </row>
        <row r="1505">
          <cell r="A1505" t="str">
            <v>OLM82</v>
          </cell>
          <cell r="C1505">
            <v>0.6</v>
          </cell>
        </row>
        <row r="1506">
          <cell r="A1506" t="str">
            <v>OLM84</v>
          </cell>
          <cell r="C1506">
            <v>0.6</v>
          </cell>
        </row>
        <row r="1507">
          <cell r="A1507" t="str">
            <v>OLM87</v>
          </cell>
          <cell r="C1507">
            <v>0.6</v>
          </cell>
        </row>
        <row r="1508">
          <cell r="A1508" t="str">
            <v>OLM9</v>
          </cell>
          <cell r="C1508">
            <v>0.6</v>
          </cell>
        </row>
        <row r="1509">
          <cell r="A1509" t="str">
            <v>OLM93</v>
          </cell>
          <cell r="C1509">
            <v>0.6</v>
          </cell>
        </row>
        <row r="1510">
          <cell r="A1510" t="str">
            <v>OLM97</v>
          </cell>
          <cell r="C1510">
            <v>0.6</v>
          </cell>
        </row>
        <row r="1511">
          <cell r="A1511" t="str">
            <v>OLM98</v>
          </cell>
          <cell r="C1511">
            <v>0.3</v>
          </cell>
        </row>
        <row r="1512">
          <cell r="A1512" t="str">
            <v>P01/012</v>
          </cell>
          <cell r="C1512">
            <v>2.5</v>
          </cell>
        </row>
        <row r="1513">
          <cell r="A1513" t="str">
            <v>P01/015</v>
          </cell>
          <cell r="C1513">
            <v>2.5</v>
          </cell>
        </row>
        <row r="1514">
          <cell r="A1514" t="str">
            <v>P02/003</v>
          </cell>
          <cell r="C1514">
            <v>2.5</v>
          </cell>
        </row>
        <row r="1515">
          <cell r="A1515" t="str">
            <v>P02/008</v>
          </cell>
          <cell r="C1515">
            <v>2.5</v>
          </cell>
        </row>
        <row r="1516">
          <cell r="A1516" t="str">
            <v>P02/011</v>
          </cell>
          <cell r="C1516">
            <v>2.5</v>
          </cell>
        </row>
        <row r="1517">
          <cell r="A1517" t="str">
            <v>P04/001</v>
          </cell>
          <cell r="C1517">
            <v>2.5</v>
          </cell>
        </row>
        <row r="1518">
          <cell r="A1518" t="str">
            <v>Po2/001</v>
          </cell>
          <cell r="C1518">
            <v>0.6</v>
          </cell>
        </row>
        <row r="1519">
          <cell r="A1519" t="str">
            <v>R479a</v>
          </cell>
          <cell r="C1519">
            <v>0.3</v>
          </cell>
        </row>
        <row r="1520">
          <cell r="A1520" t="str">
            <v>Lm 217</v>
          </cell>
          <cell r="B1520" t="str">
            <v>Lm 217</v>
          </cell>
          <cell r="C1520">
            <v>2.5</v>
          </cell>
          <cell r="E1520">
            <v>0.8</v>
          </cell>
        </row>
        <row r="1521">
          <cell r="A1521" t="str">
            <v>Lm 25/9</v>
          </cell>
          <cell r="B1521" t="str">
            <v>Lm 25/9</v>
          </cell>
          <cell r="C1521">
            <v>2.5</v>
          </cell>
          <cell r="E1521">
            <v>0.8</v>
          </cell>
        </row>
        <row r="1522">
          <cell r="A1522" t="str">
            <v>Lm 49</v>
          </cell>
          <cell r="B1522" t="str">
            <v>Lm 49</v>
          </cell>
          <cell r="C1522">
            <v>0.6</v>
          </cell>
          <cell r="E1522">
            <v>0.4</v>
          </cell>
        </row>
        <row r="1523">
          <cell r="A1523" t="str">
            <v>Lm 57</v>
          </cell>
          <cell r="B1523" t="str">
            <v>Lm 57</v>
          </cell>
          <cell r="C1523">
            <v>0.6</v>
          </cell>
          <cell r="E1523">
            <v>0.4</v>
          </cell>
        </row>
        <row r="1524">
          <cell r="A1524" t="str">
            <v>Lm 760</v>
          </cell>
          <cell r="B1524" t="str">
            <v>Lm 760</v>
          </cell>
          <cell r="C1524">
            <v>2.5</v>
          </cell>
          <cell r="E1524">
            <v>0.8</v>
          </cell>
        </row>
        <row r="1525">
          <cell r="A1525" t="str">
            <v>Lm 8</v>
          </cell>
          <cell r="B1525" t="str">
            <v>Lm 8</v>
          </cell>
          <cell r="C1525">
            <v>0.6</v>
          </cell>
          <cell r="E1525">
            <v>0.2</v>
          </cell>
        </row>
        <row r="1526">
          <cell r="A1526" t="str">
            <v>LmE153</v>
          </cell>
          <cell r="B1526" t="str">
            <v>LmE153</v>
          </cell>
          <cell r="C1526">
            <v>0.3</v>
          </cell>
          <cell r="E1526">
            <v>0.2</v>
          </cell>
        </row>
        <row r="1527">
          <cell r="A1527" t="str">
            <v>LmE162</v>
          </cell>
          <cell r="B1527" t="str">
            <v>LmE162</v>
          </cell>
          <cell r="C1527">
            <v>0.6</v>
          </cell>
          <cell r="E1527">
            <v>0.2</v>
          </cell>
        </row>
        <row r="1528">
          <cell r="A1528" t="str">
            <v>LmE212</v>
          </cell>
          <cell r="B1528" t="str">
            <v>LmE212</v>
          </cell>
          <cell r="C1528">
            <v>0.6</v>
          </cell>
          <cell r="E1528">
            <v>0.4</v>
          </cell>
        </row>
        <row r="1529">
          <cell r="A1529" t="str">
            <v>LmE240</v>
          </cell>
          <cell r="B1529" t="str">
            <v>LmE240</v>
          </cell>
          <cell r="C1529">
            <v>0.3</v>
          </cell>
          <cell r="E1529">
            <v>0.2</v>
          </cell>
        </row>
        <row r="1530">
          <cell r="A1530" t="str">
            <v>LmS1</v>
          </cell>
          <cell r="B1530" t="str">
            <v>LmS1</v>
          </cell>
          <cell r="C1530">
            <v>2.5</v>
          </cell>
          <cell r="E1530">
            <v>0.8</v>
          </cell>
        </row>
        <row r="1531">
          <cell r="A1531" t="str">
            <v>LmS2</v>
          </cell>
          <cell r="B1531" t="str">
            <v>LmS2</v>
          </cell>
          <cell r="C1531">
            <v>2.5</v>
          </cell>
          <cell r="E1531">
            <v>0.8</v>
          </cell>
        </row>
        <row r="1532">
          <cell r="A1532" t="str">
            <v>LmS9</v>
          </cell>
          <cell r="B1532" t="str">
            <v>LmS9</v>
          </cell>
          <cell r="C1532">
            <v>2.5</v>
          </cell>
          <cell r="E1532">
            <v>0.8</v>
          </cell>
        </row>
        <row r="1533">
          <cell r="A1533" t="str">
            <v>LmSB1</v>
          </cell>
          <cell r="B1533" t="str">
            <v>LmSB1</v>
          </cell>
          <cell r="C1533">
            <v>0.6</v>
          </cell>
          <cell r="E1533">
            <v>0.4</v>
          </cell>
        </row>
        <row r="1534">
          <cell r="A1534" t="str">
            <v>N11-1218</v>
          </cell>
          <cell r="B1534" t="str">
            <v>N11-1218</v>
          </cell>
          <cell r="C1534">
            <v>2.5</v>
          </cell>
          <cell r="E1534">
            <v>0.8</v>
          </cell>
        </row>
        <row r="1535">
          <cell r="A1535" t="str">
            <v>N11-1251</v>
          </cell>
          <cell r="B1535" t="str">
            <v>N11-1251</v>
          </cell>
          <cell r="C1535">
            <v>0.6</v>
          </cell>
          <cell r="E1535">
            <v>0.2</v>
          </cell>
        </row>
        <row r="1536">
          <cell r="A1536" t="str">
            <v>N11-1252</v>
          </cell>
          <cell r="B1536" t="str">
            <v>N11-1252</v>
          </cell>
          <cell r="C1536">
            <v>0.6</v>
          </cell>
          <cell r="E1536">
            <v>0.4</v>
          </cell>
        </row>
        <row r="1537">
          <cell r="A1537" t="str">
            <v>N11-1515</v>
          </cell>
          <cell r="B1537" t="str">
            <v>N11-1515</v>
          </cell>
          <cell r="C1537">
            <v>0.3</v>
          </cell>
          <cell r="E1537">
            <v>0.2</v>
          </cell>
        </row>
        <row r="1538">
          <cell r="A1538" t="str">
            <v>N11-1547</v>
          </cell>
          <cell r="B1538" t="str">
            <v>N11-1547</v>
          </cell>
          <cell r="C1538">
            <v>2.5</v>
          </cell>
          <cell r="E1538">
            <v>0.8</v>
          </cell>
        </row>
        <row r="1539">
          <cell r="A1539" t="str">
            <v>N11-1696</v>
          </cell>
          <cell r="B1539" t="str">
            <v>N11-1696</v>
          </cell>
          <cell r="C1539">
            <v>0.3</v>
          </cell>
          <cell r="E1539">
            <v>0.2</v>
          </cell>
        </row>
        <row r="1540">
          <cell r="A1540" t="str">
            <v>N11-1845</v>
          </cell>
          <cell r="B1540" t="str">
            <v>N11-1845</v>
          </cell>
          <cell r="C1540">
            <v>0.3</v>
          </cell>
          <cell r="E1540">
            <v>0.4</v>
          </cell>
        </row>
        <row r="1541">
          <cell r="A1541" t="str">
            <v>N11-1846</v>
          </cell>
          <cell r="B1541" t="str">
            <v>N11-1846</v>
          </cell>
          <cell r="C1541">
            <v>0.3</v>
          </cell>
          <cell r="E1541">
            <v>0.2</v>
          </cell>
        </row>
        <row r="1542">
          <cell r="A1542" t="str">
            <v>N11-1850</v>
          </cell>
          <cell r="B1542" t="str">
            <v>N11-1850</v>
          </cell>
          <cell r="C1542">
            <v>0.3</v>
          </cell>
          <cell r="E1542">
            <v>0.2</v>
          </cell>
        </row>
        <row r="1543">
          <cell r="A1543" t="str">
            <v>N11-1905</v>
          </cell>
          <cell r="B1543" t="str">
            <v>N11-1905</v>
          </cell>
          <cell r="C1543">
            <v>2.5</v>
          </cell>
          <cell r="E1543">
            <v>0.8</v>
          </cell>
        </row>
        <row r="1544">
          <cell r="A1544" t="str">
            <v>N11-2183</v>
          </cell>
          <cell r="B1544" t="str">
            <v>N11-2183</v>
          </cell>
          <cell r="C1544">
            <v>0.3</v>
          </cell>
          <cell r="E1544">
            <v>0.2</v>
          </cell>
        </row>
        <row r="1545">
          <cell r="A1545" t="str">
            <v>N11-2215</v>
          </cell>
          <cell r="B1545" t="str">
            <v>N11-2215</v>
          </cell>
          <cell r="C1545">
            <v>0.3</v>
          </cell>
          <cell r="E1545">
            <v>0.4</v>
          </cell>
        </row>
        <row r="1546">
          <cell r="A1546" t="str">
            <v>N11-2345</v>
          </cell>
          <cell r="B1546" t="str">
            <v>N11-2345</v>
          </cell>
          <cell r="C1546">
            <v>0.6</v>
          </cell>
          <cell r="E1546">
            <v>0.4</v>
          </cell>
        </row>
        <row r="1547">
          <cell r="A1547" t="str">
            <v>N11-2538</v>
          </cell>
          <cell r="B1547" t="str">
            <v>N11-2538</v>
          </cell>
          <cell r="C1547">
            <v>0.6</v>
          </cell>
          <cell r="E1547">
            <v>0.4</v>
          </cell>
        </row>
        <row r="1548">
          <cell r="A1548" t="str">
            <v>N11-2542</v>
          </cell>
          <cell r="C1548">
            <v>0.6</v>
          </cell>
        </row>
        <row r="1549">
          <cell r="A1549" t="str">
            <v>N11-2543</v>
          </cell>
          <cell r="B1549" t="str">
            <v>N11-2543</v>
          </cell>
          <cell r="C1549">
            <v>2.5</v>
          </cell>
          <cell r="E1549">
            <v>0.8</v>
          </cell>
        </row>
        <row r="1550">
          <cell r="A1550" t="str">
            <v>N11-2554</v>
          </cell>
          <cell r="B1550" t="str">
            <v>N11-2554</v>
          </cell>
          <cell r="C1550">
            <v>0.6</v>
          </cell>
          <cell r="E1550">
            <v>0.4</v>
          </cell>
        </row>
        <row r="1551">
          <cell r="A1551" t="str">
            <v>N12-0088</v>
          </cell>
          <cell r="B1551" t="str">
            <v>N12-0088</v>
          </cell>
          <cell r="C1551">
            <v>0.6</v>
          </cell>
          <cell r="E1551">
            <v>0.4</v>
          </cell>
        </row>
        <row r="1552">
          <cell r="A1552" t="str">
            <v>N12-0160</v>
          </cell>
          <cell r="B1552" t="str">
            <v>N12-0160</v>
          </cell>
          <cell r="C1552">
            <v>0.6</v>
          </cell>
          <cell r="E1552">
            <v>0.4</v>
          </cell>
        </row>
        <row r="1553">
          <cell r="A1553" t="str">
            <v>N12-0275</v>
          </cell>
          <cell r="B1553" t="str">
            <v>N12-0275</v>
          </cell>
          <cell r="C1553">
            <v>0.3</v>
          </cell>
          <cell r="E1553">
            <v>0.8</v>
          </cell>
        </row>
        <row r="1554">
          <cell r="A1554" t="str">
            <v>N12-0367</v>
          </cell>
          <cell r="B1554" t="str">
            <v>N12-0367</v>
          </cell>
          <cell r="C1554">
            <v>2.5</v>
          </cell>
          <cell r="E1554">
            <v>0.8</v>
          </cell>
        </row>
        <row r="1555">
          <cell r="A1555" t="str">
            <v>N12-0373</v>
          </cell>
          <cell r="B1555" t="str">
            <v>N12-0373</v>
          </cell>
          <cell r="C1555">
            <v>0.6</v>
          </cell>
          <cell r="E1555">
            <v>0.4</v>
          </cell>
        </row>
        <row r="1556">
          <cell r="A1556" t="str">
            <v>N12-0494</v>
          </cell>
          <cell r="B1556" t="str">
            <v>N12-0494</v>
          </cell>
          <cell r="C1556">
            <v>2.5</v>
          </cell>
          <cell r="E1556">
            <v>0.8</v>
          </cell>
        </row>
        <row r="1557">
          <cell r="A1557" t="str">
            <v>N12-0561</v>
          </cell>
          <cell r="B1557" t="str">
            <v>N12-0561</v>
          </cell>
          <cell r="C1557">
            <v>0.6</v>
          </cell>
          <cell r="E1557">
            <v>0.4</v>
          </cell>
        </row>
        <row r="1558">
          <cell r="A1558" t="str">
            <v>N12-0571</v>
          </cell>
          <cell r="C1558">
            <v>2.5</v>
          </cell>
        </row>
        <row r="1559">
          <cell r="A1559" t="str">
            <v>N12-0644</v>
          </cell>
          <cell r="B1559" t="str">
            <v>N12-0644</v>
          </cell>
          <cell r="C1559">
            <v>2.5</v>
          </cell>
          <cell r="E1559">
            <v>0.8</v>
          </cell>
        </row>
        <row r="1560">
          <cell r="A1560" t="str">
            <v>N12-0677</v>
          </cell>
          <cell r="B1560" t="str">
            <v>N12-0677</v>
          </cell>
          <cell r="C1560">
            <v>0.6</v>
          </cell>
          <cell r="E1560">
            <v>0.4</v>
          </cell>
        </row>
        <row r="1561">
          <cell r="A1561" t="str">
            <v>N12-0796</v>
          </cell>
          <cell r="B1561" t="str">
            <v>N12-0796</v>
          </cell>
          <cell r="C1561">
            <v>0.6</v>
          </cell>
          <cell r="E1561">
            <v>0.4</v>
          </cell>
        </row>
        <row r="1562">
          <cell r="A1562" t="str">
            <v>N12-0935</v>
          </cell>
          <cell r="B1562" t="str">
            <v>N12-0935</v>
          </cell>
          <cell r="C1562">
            <v>2.5</v>
          </cell>
          <cell r="E1562">
            <v>1.6</v>
          </cell>
        </row>
        <row r="1563">
          <cell r="A1563" t="str">
            <v>N12-0999</v>
          </cell>
          <cell r="B1563" t="str">
            <v>N12-0999</v>
          </cell>
          <cell r="C1563">
            <v>0.3</v>
          </cell>
          <cell r="E1563">
            <v>0.4</v>
          </cell>
        </row>
        <row r="1564">
          <cell r="A1564" t="str">
            <v>N12-1002</v>
          </cell>
          <cell r="B1564" t="str">
            <v>N12-1002</v>
          </cell>
          <cell r="C1564">
            <v>0.6</v>
          </cell>
          <cell r="E1564">
            <v>0.4</v>
          </cell>
        </row>
        <row r="1565">
          <cell r="A1565" t="str">
            <v>N12-1339</v>
          </cell>
          <cell r="B1565" t="str">
            <v>N12-1339</v>
          </cell>
          <cell r="C1565">
            <v>0.6</v>
          </cell>
          <cell r="E1565">
            <v>0.4</v>
          </cell>
        </row>
        <row r="1566">
          <cell r="A1566" t="str">
            <v>N12-1436</v>
          </cell>
          <cell r="B1566" t="str">
            <v>N12-1436</v>
          </cell>
          <cell r="C1566">
            <v>0.6</v>
          </cell>
          <cell r="E1566">
            <v>0.4</v>
          </cell>
        </row>
        <row r="1567">
          <cell r="A1567" t="str">
            <v>N12-1665</v>
          </cell>
          <cell r="B1567" t="str">
            <v>N12-1665</v>
          </cell>
          <cell r="C1567">
            <v>0.6</v>
          </cell>
          <cell r="E1567">
            <v>0.4</v>
          </cell>
        </row>
        <row r="1568">
          <cell r="A1568" t="str">
            <v>N12-1667</v>
          </cell>
          <cell r="B1568" t="str">
            <v>N12-1667</v>
          </cell>
          <cell r="C1568">
            <v>2.5</v>
          </cell>
          <cell r="E1568">
            <v>1.6</v>
          </cell>
        </row>
        <row r="1569">
          <cell r="A1569" t="str">
            <v>N12-1772</v>
          </cell>
          <cell r="B1569" t="str">
            <v>N12-1772</v>
          </cell>
          <cell r="C1569">
            <v>0.6</v>
          </cell>
          <cell r="E1569">
            <v>0.2</v>
          </cell>
        </row>
        <row r="1570">
          <cell r="A1570" t="str">
            <v>N12-1914</v>
          </cell>
          <cell r="B1570" t="str">
            <v>N12-1914</v>
          </cell>
          <cell r="C1570">
            <v>0.6</v>
          </cell>
          <cell r="E1570">
            <v>0.2</v>
          </cell>
        </row>
        <row r="1571">
          <cell r="A1571" t="str">
            <v>N12-2082</v>
          </cell>
          <cell r="B1571" t="str">
            <v>N12-2082</v>
          </cell>
          <cell r="C1571">
            <v>2.5</v>
          </cell>
          <cell r="E1571">
            <v>0.8</v>
          </cell>
        </row>
        <row r="1572">
          <cell r="A1572" t="str">
            <v>N12-2118</v>
          </cell>
          <cell r="B1572" t="str">
            <v>N12-2118</v>
          </cell>
          <cell r="C1572">
            <v>2.5</v>
          </cell>
          <cell r="E1572">
            <v>0.8</v>
          </cell>
        </row>
        <row r="1573">
          <cell r="A1573" t="str">
            <v>N12-2151</v>
          </cell>
          <cell r="B1573" t="str">
            <v>N12-2151</v>
          </cell>
          <cell r="C1573">
            <v>0.3</v>
          </cell>
          <cell r="E1573">
            <v>0.1</v>
          </cell>
        </row>
        <row r="1574">
          <cell r="A1574" t="str">
            <v>N12-2229</v>
          </cell>
          <cell r="B1574" t="str">
            <v>N12-2229</v>
          </cell>
          <cell r="C1574">
            <v>2.5</v>
          </cell>
          <cell r="E1574">
            <v>0.8</v>
          </cell>
        </row>
        <row r="1575">
          <cell r="A1575" t="str">
            <v>N12-2236</v>
          </cell>
          <cell r="B1575" t="str">
            <v>N12-2236</v>
          </cell>
          <cell r="C1575">
            <v>0.6</v>
          </cell>
          <cell r="E1575">
            <v>0.2</v>
          </cell>
        </row>
        <row r="1576">
          <cell r="A1576" t="str">
            <v>N12-2271</v>
          </cell>
          <cell r="B1576" t="str">
            <v>N12-2271</v>
          </cell>
          <cell r="C1576">
            <v>2.5</v>
          </cell>
          <cell r="E1576">
            <v>0.8</v>
          </cell>
        </row>
        <row r="1577">
          <cell r="A1577" t="str">
            <v>N12-2386</v>
          </cell>
          <cell r="B1577" t="str">
            <v>N12-2386</v>
          </cell>
          <cell r="C1577">
            <v>0.6</v>
          </cell>
          <cell r="E1577">
            <v>0.2</v>
          </cell>
        </row>
        <row r="1578">
          <cell r="A1578" t="str">
            <v>N13-0047</v>
          </cell>
          <cell r="B1578" t="str">
            <v>N13-0047</v>
          </cell>
          <cell r="C1578">
            <v>0.6</v>
          </cell>
          <cell r="E1578">
            <v>0.4</v>
          </cell>
        </row>
        <row r="1579">
          <cell r="A1579" t="str">
            <v>N13-0094</v>
          </cell>
          <cell r="B1579" t="str">
            <v>N13-0094</v>
          </cell>
          <cell r="C1579">
            <v>2.5</v>
          </cell>
          <cell r="E1579">
            <v>0.8</v>
          </cell>
        </row>
        <row r="1580">
          <cell r="A1580" t="str">
            <v>N13-0119</v>
          </cell>
          <cell r="B1580" t="str">
            <v>N13-0119</v>
          </cell>
          <cell r="C1580">
            <v>2.5</v>
          </cell>
          <cell r="E1580">
            <v>0.8</v>
          </cell>
        </row>
        <row r="1581">
          <cell r="A1581" t="str">
            <v>N13-0245</v>
          </cell>
          <cell r="B1581" t="str">
            <v>N13-0245</v>
          </cell>
          <cell r="C1581">
            <v>0.6</v>
          </cell>
          <cell r="E1581">
            <v>0.2</v>
          </cell>
        </row>
        <row r="1582">
          <cell r="A1582" t="str">
            <v>N13-0254</v>
          </cell>
          <cell r="B1582" t="str">
            <v>N13-0254</v>
          </cell>
          <cell r="C1582">
            <v>0.6</v>
          </cell>
          <cell r="E1582">
            <v>0.2</v>
          </cell>
        </row>
        <row r="1583">
          <cell r="A1583" t="str">
            <v>N13-0288</v>
          </cell>
          <cell r="B1583" t="str">
            <v>N13-0288</v>
          </cell>
          <cell r="C1583">
            <v>2.5</v>
          </cell>
          <cell r="E1583">
            <v>0.8</v>
          </cell>
        </row>
        <row r="1584">
          <cell r="A1584" t="str">
            <v>N13-0369</v>
          </cell>
          <cell r="B1584" t="str">
            <v>N13-0369</v>
          </cell>
          <cell r="C1584">
            <v>2.5</v>
          </cell>
          <cell r="E1584">
            <v>0.8</v>
          </cell>
        </row>
        <row r="1585">
          <cell r="A1585" t="str">
            <v>N13-0474</v>
          </cell>
          <cell r="B1585" t="str">
            <v>N13-0474</v>
          </cell>
          <cell r="C1585">
            <v>0.6</v>
          </cell>
          <cell r="E1585">
            <v>0.2</v>
          </cell>
        </row>
        <row r="1586">
          <cell r="A1586" t="str">
            <v>ScottA</v>
          </cell>
          <cell r="C1586">
            <v>0.3</v>
          </cell>
        </row>
        <row r="1587">
          <cell r="A1587" t="str">
            <v>SK2025</v>
          </cell>
          <cell r="C1587">
            <v>0.6</v>
          </cell>
        </row>
        <row r="1588">
          <cell r="A1588" t="str">
            <v>414a1</v>
          </cell>
          <cell r="C1588">
            <v>2.5</v>
          </cell>
          <cell r="D1588">
            <v>0.63</v>
          </cell>
        </row>
        <row r="1589">
          <cell r="A1589" t="str">
            <v>SK2616</v>
          </cell>
          <cell r="C1589">
            <v>0.6</v>
          </cell>
        </row>
        <row r="1590">
          <cell r="A1590" t="str">
            <v>SK2709</v>
          </cell>
          <cell r="C1590">
            <v>2.5</v>
          </cell>
        </row>
        <row r="1591">
          <cell r="A1591" t="str">
            <v>SK2710</v>
          </cell>
          <cell r="C1591">
            <v>0.6</v>
          </cell>
        </row>
        <row r="1592">
          <cell r="A1592" t="str">
            <v>SK2747</v>
          </cell>
          <cell r="C1592">
            <v>0.6</v>
          </cell>
        </row>
        <row r="1593">
          <cell r="A1593" t="str">
            <v>SK2835</v>
          </cell>
          <cell r="C1593">
            <v>0.6</v>
          </cell>
        </row>
        <row r="1594">
          <cell r="A1594" t="str">
            <v>SK2891</v>
          </cell>
          <cell r="C1594">
            <v>0.6</v>
          </cell>
        </row>
        <row r="1595">
          <cell r="A1595" t="str">
            <v>SK2902</v>
          </cell>
          <cell r="C1595">
            <v>2.5</v>
          </cell>
        </row>
        <row r="1596">
          <cell r="A1596" t="str">
            <v>SK2906</v>
          </cell>
          <cell r="C1596">
            <v>0.6</v>
          </cell>
        </row>
        <row r="1597">
          <cell r="A1597" t="str">
            <v>SK3095</v>
          </cell>
          <cell r="C1597">
            <v>2.5</v>
          </cell>
        </row>
        <row r="1598">
          <cell r="A1598" t="str">
            <v>SK3096</v>
          </cell>
          <cell r="C1598">
            <v>2.5</v>
          </cell>
        </row>
        <row r="1599">
          <cell r="A1599" t="str">
            <v>SK3150</v>
          </cell>
          <cell r="C1599">
            <v>0.6</v>
          </cell>
        </row>
        <row r="1600">
          <cell r="A1600" t="str">
            <v>SK3161</v>
          </cell>
          <cell r="C1600">
            <v>0.6</v>
          </cell>
        </row>
        <row r="1601">
          <cell r="A1601" t="str">
            <v>SK3174</v>
          </cell>
          <cell r="C1601">
            <v>0.6</v>
          </cell>
        </row>
        <row r="1602">
          <cell r="A1602" t="str">
            <v>SK3199</v>
          </cell>
          <cell r="C1602">
            <v>0.6</v>
          </cell>
        </row>
        <row r="1603">
          <cell r="A1603" t="str">
            <v>SK3564</v>
          </cell>
          <cell r="C1603">
            <v>0.6</v>
          </cell>
        </row>
        <row r="1604">
          <cell r="A1604" t="str">
            <v>SK3824</v>
          </cell>
          <cell r="C1604">
            <v>0.6</v>
          </cell>
        </row>
        <row r="1605">
          <cell r="A1605" t="str">
            <v>SK3825</v>
          </cell>
          <cell r="C1605">
            <v>0.6</v>
          </cell>
        </row>
        <row r="1606">
          <cell r="A1606" t="str">
            <v>SK3826</v>
          </cell>
          <cell r="C1606">
            <v>0.6</v>
          </cell>
        </row>
        <row r="1607">
          <cell r="A1607" t="str">
            <v>SK3827</v>
          </cell>
          <cell r="C1607">
            <v>0.6</v>
          </cell>
        </row>
        <row r="1608">
          <cell r="A1608" t="str">
            <v>SK3828</v>
          </cell>
          <cell r="C1608">
            <v>0.6</v>
          </cell>
        </row>
        <row r="1609">
          <cell r="A1609" t="str">
            <v>SK3829</v>
          </cell>
          <cell r="C1609">
            <v>0.6</v>
          </cell>
        </row>
        <row r="1610">
          <cell r="A1610" t="str">
            <v>SK3956</v>
          </cell>
          <cell r="C1610">
            <v>0.6</v>
          </cell>
        </row>
        <row r="1611">
          <cell r="A1611" t="str">
            <v>SK5280</v>
          </cell>
          <cell r="C1611">
            <v>0.6</v>
          </cell>
        </row>
        <row r="1612">
          <cell r="A1612" t="str">
            <v>SK5281</v>
          </cell>
          <cell r="C1612">
            <v>0.6</v>
          </cell>
        </row>
        <row r="1613">
          <cell r="A1613" t="str">
            <v>SK5378</v>
          </cell>
          <cell r="C1613">
            <v>0.6</v>
          </cell>
        </row>
        <row r="1614">
          <cell r="A1614" t="str">
            <v>506a3</v>
          </cell>
          <cell r="C1614">
            <v>2.5</v>
          </cell>
          <cell r="D1614">
            <v>0.63</v>
          </cell>
        </row>
        <row r="1615">
          <cell r="A1615" t="str">
            <v>SKB100</v>
          </cell>
          <cell r="C1615">
            <v>0.3</v>
          </cell>
        </row>
        <row r="1616">
          <cell r="A1616" t="str">
            <v>SKB102</v>
          </cell>
          <cell r="C1616">
            <v>0.6</v>
          </cell>
        </row>
        <row r="1617">
          <cell r="A1617" t="str">
            <v>SKB107</v>
          </cell>
          <cell r="C1617">
            <v>0.6</v>
          </cell>
        </row>
        <row r="1618">
          <cell r="A1618" t="str">
            <v>SKB116</v>
          </cell>
          <cell r="C1618">
            <v>0.6</v>
          </cell>
        </row>
        <row r="1619">
          <cell r="A1619" t="str">
            <v>SKB117</v>
          </cell>
          <cell r="C1619">
            <v>0.6</v>
          </cell>
        </row>
        <row r="1620">
          <cell r="A1620" t="str">
            <v>SKB134</v>
          </cell>
          <cell r="C1620">
            <v>0.6</v>
          </cell>
        </row>
        <row r="1621">
          <cell r="A1621" t="str">
            <v>SKB398</v>
          </cell>
          <cell r="C1621">
            <v>0.6</v>
          </cell>
        </row>
        <row r="1622">
          <cell r="A1622" t="str">
            <v>SKB429</v>
          </cell>
          <cell r="C1622">
            <v>0.6</v>
          </cell>
        </row>
        <row r="1623">
          <cell r="A1623" t="str">
            <v>SKB43</v>
          </cell>
          <cell r="C1623">
            <v>0.6</v>
          </cell>
        </row>
        <row r="1624">
          <cell r="A1624" t="str">
            <v>SKB46</v>
          </cell>
          <cell r="C1624">
            <v>0.6</v>
          </cell>
        </row>
        <row r="1625">
          <cell r="A1625" t="str">
            <v>SKB58</v>
          </cell>
          <cell r="C1625">
            <v>0.6</v>
          </cell>
        </row>
        <row r="1626">
          <cell r="A1626" t="str">
            <v>SKB59</v>
          </cell>
          <cell r="C1626">
            <v>0.6</v>
          </cell>
        </row>
        <row r="1627">
          <cell r="A1627" t="str">
            <v>SKB61</v>
          </cell>
          <cell r="C1627">
            <v>0.6</v>
          </cell>
        </row>
        <row r="1628">
          <cell r="A1628" t="str">
            <v>SKWL159</v>
          </cell>
          <cell r="C1628">
            <v>0.3</v>
          </cell>
        </row>
        <row r="1629">
          <cell r="A1629" t="str">
            <v>SKWL305</v>
          </cell>
          <cell r="C1629">
            <v>0.6</v>
          </cell>
        </row>
        <row r="1630">
          <cell r="A1630" t="str">
            <v>SKWL316</v>
          </cell>
          <cell r="C1630">
            <v>0.6</v>
          </cell>
        </row>
        <row r="1631">
          <cell r="A1631" t="str">
            <v>SKWL337</v>
          </cell>
          <cell r="C1631">
            <v>0.6</v>
          </cell>
        </row>
        <row r="1632">
          <cell r="A1632" t="str">
            <v>SKWL347</v>
          </cell>
          <cell r="C1632">
            <v>0.3</v>
          </cell>
        </row>
        <row r="1633">
          <cell r="A1633" t="str">
            <v>SKWL356</v>
          </cell>
          <cell r="C1633">
            <v>0.6</v>
          </cell>
        </row>
        <row r="1634">
          <cell r="A1634" t="str">
            <v>SKWL383</v>
          </cell>
          <cell r="C1634">
            <v>0.6</v>
          </cell>
        </row>
        <row r="1635">
          <cell r="A1635" t="str">
            <v>SKWL385</v>
          </cell>
          <cell r="C1635">
            <v>0.3</v>
          </cell>
        </row>
        <row r="1636">
          <cell r="A1636" t="str">
            <v>SKWL386</v>
          </cell>
          <cell r="C1636">
            <v>0.6</v>
          </cell>
        </row>
        <row r="1637">
          <cell r="A1637" t="str">
            <v>SKWL388</v>
          </cell>
          <cell r="C1637">
            <v>0.6</v>
          </cell>
        </row>
        <row r="1638">
          <cell r="A1638" t="str">
            <v>SKWL40</v>
          </cell>
          <cell r="C1638">
            <v>0.6</v>
          </cell>
        </row>
        <row r="1639">
          <cell r="A1639" t="str">
            <v>SKWL431</v>
          </cell>
          <cell r="C1639">
            <v>0.6</v>
          </cell>
        </row>
        <row r="1640">
          <cell r="A1640" t="str">
            <v>517a1</v>
          </cell>
          <cell r="C1640">
            <v>2.5</v>
          </cell>
          <cell r="D1640">
            <v>0.63</v>
          </cell>
        </row>
        <row r="1641">
          <cell r="A1641" t="str">
            <v>91a1</v>
          </cell>
          <cell r="C1641">
            <v>2.5</v>
          </cell>
          <cell r="D1641">
            <v>0.63</v>
          </cell>
        </row>
        <row r="1642">
          <cell r="A1642" t="str">
            <v>Lm145</v>
          </cell>
          <cell r="C1642">
            <v>2.5</v>
          </cell>
          <cell r="D1642">
            <v>0.63</v>
          </cell>
        </row>
        <row r="1643">
          <cell r="A1643" t="str">
            <v>Lm193</v>
          </cell>
          <cell r="C1643">
            <v>2.5</v>
          </cell>
          <cell r="D1643">
            <v>0.63</v>
          </cell>
        </row>
        <row r="1644">
          <cell r="A1644" t="str">
            <v>Lm307</v>
          </cell>
          <cell r="C1644">
            <v>2.5</v>
          </cell>
          <cell r="D1644">
            <v>0.63</v>
          </cell>
        </row>
        <row r="1645">
          <cell r="A1645" t="str">
            <v>Lm341</v>
          </cell>
          <cell r="C1645">
            <v>2.5</v>
          </cell>
          <cell r="D1645">
            <v>0.63</v>
          </cell>
        </row>
        <row r="1646">
          <cell r="A1646" t="str">
            <v>Strain 1</v>
          </cell>
          <cell r="C1646">
            <v>2.5</v>
          </cell>
        </row>
        <row r="1647">
          <cell r="A1647" t="str">
            <v>Strain 10</v>
          </cell>
          <cell r="C1647">
            <v>2.5</v>
          </cell>
        </row>
        <row r="1648">
          <cell r="A1648" t="str">
            <v>Strain 2</v>
          </cell>
          <cell r="C1648">
            <v>0.6</v>
          </cell>
        </row>
        <row r="1649">
          <cell r="A1649" t="str">
            <v>Strain 3</v>
          </cell>
          <cell r="C1649">
            <v>2.5</v>
          </cell>
        </row>
        <row r="1650">
          <cell r="A1650" t="str">
            <v>Strain 4</v>
          </cell>
          <cell r="C1650">
            <v>2.5</v>
          </cell>
        </row>
        <row r="1651">
          <cell r="A1651" t="str">
            <v>Strain 5</v>
          </cell>
          <cell r="C1651">
            <v>2.5</v>
          </cell>
        </row>
        <row r="1652">
          <cell r="A1652" t="str">
            <v>Strain 6</v>
          </cell>
          <cell r="C1652">
            <v>2.5</v>
          </cell>
        </row>
        <row r="1653">
          <cell r="A1653" t="str">
            <v>Strain 7</v>
          </cell>
          <cell r="C1653">
            <v>0.6</v>
          </cell>
        </row>
        <row r="1654">
          <cell r="A1654" t="str">
            <v>Strain 8</v>
          </cell>
          <cell r="C1654">
            <v>2.5</v>
          </cell>
        </row>
        <row r="1655">
          <cell r="A1655" t="str">
            <v>Strain 9</v>
          </cell>
          <cell r="C1655">
            <v>2.5</v>
          </cell>
        </row>
        <row r="1656">
          <cell r="A1656" t="str">
            <v>V01</v>
          </cell>
          <cell r="B1656" t="str">
            <v>V01</v>
          </cell>
          <cell r="C1656">
            <v>0.3</v>
          </cell>
          <cell r="E1656">
            <v>0.2</v>
          </cell>
        </row>
        <row r="1657">
          <cell r="A1657" t="str">
            <v>V02</v>
          </cell>
          <cell r="B1657" t="str">
            <v>V02</v>
          </cell>
          <cell r="C1657">
            <v>0.3</v>
          </cell>
          <cell r="E1657">
            <v>0.2</v>
          </cell>
        </row>
        <row r="1658">
          <cell r="A1658" t="str">
            <v>V03</v>
          </cell>
          <cell r="C1658">
            <v>0.3</v>
          </cell>
        </row>
        <row r="1659">
          <cell r="A1659" t="str">
            <v>V04</v>
          </cell>
          <cell r="B1659" t="str">
            <v>V04</v>
          </cell>
          <cell r="C1659">
            <v>0.3</v>
          </cell>
          <cell r="E1659">
            <v>0.2</v>
          </cell>
        </row>
        <row r="1660">
          <cell r="A1660" t="str">
            <v>V05</v>
          </cell>
          <cell r="B1660" t="str">
            <v>V05</v>
          </cell>
          <cell r="C1660">
            <v>0.3</v>
          </cell>
          <cell r="E1660">
            <v>0.1</v>
          </cell>
        </row>
        <row r="1661">
          <cell r="A1661" t="str">
            <v>V06</v>
          </cell>
          <cell r="B1661" t="str">
            <v>V06</v>
          </cell>
          <cell r="C1661">
            <v>2.5</v>
          </cell>
          <cell r="E1661">
            <v>0.2</v>
          </cell>
        </row>
        <row r="1662">
          <cell r="A1662" t="str">
            <v>V07</v>
          </cell>
          <cell r="B1662" t="str">
            <v>V07</v>
          </cell>
          <cell r="C1662">
            <v>2.5</v>
          </cell>
          <cell r="E1662">
            <v>0.8</v>
          </cell>
        </row>
        <row r="1663">
          <cell r="A1663" t="str">
            <v>V08</v>
          </cell>
          <cell r="B1663" t="str">
            <v>V08</v>
          </cell>
          <cell r="C1663">
            <v>0.3</v>
          </cell>
          <cell r="E1663">
            <v>0.8</v>
          </cell>
        </row>
        <row r="1664">
          <cell r="A1664" t="str">
            <v>V09</v>
          </cell>
          <cell r="B1664" t="str">
            <v>V09</v>
          </cell>
          <cell r="C1664">
            <v>0.3</v>
          </cell>
          <cell r="E1664">
            <v>0.2</v>
          </cell>
        </row>
        <row r="1665">
          <cell r="A1665" t="str">
            <v>V10</v>
          </cell>
          <cell r="B1665" t="str">
            <v>V10</v>
          </cell>
          <cell r="C1665">
            <v>0.3</v>
          </cell>
          <cell r="E1665">
            <v>0.2</v>
          </cell>
        </row>
        <row r="1666">
          <cell r="A1666" t="str">
            <v>W33</v>
          </cell>
          <cell r="C1666">
            <v>0.3</v>
          </cell>
        </row>
        <row r="1667">
          <cell r="A1667" t="str">
            <v>SRR5764863</v>
          </cell>
          <cell r="C1667">
            <v>2.5</v>
          </cell>
          <cell r="D1667">
            <v>0.63</v>
          </cell>
        </row>
        <row r="1668">
          <cell r="A1668" t="str">
            <v>SRR5764868</v>
          </cell>
          <cell r="C1668">
            <v>2.5</v>
          </cell>
          <cell r="D1668">
            <v>0.63</v>
          </cell>
        </row>
        <row r="1669">
          <cell r="A1669" t="str">
            <v>SRR5764949</v>
          </cell>
          <cell r="C1669">
            <v>2.5</v>
          </cell>
          <cell r="D1669">
            <v>0.63</v>
          </cell>
        </row>
        <row r="1670">
          <cell r="A1670" t="str">
            <v xml:space="preserve">SRR5764950	</v>
          </cell>
          <cell r="C1670">
            <v>2.5</v>
          </cell>
          <cell r="D1670">
            <v>0.63</v>
          </cell>
        </row>
        <row r="1671">
          <cell r="A1671" t="str">
            <v>SRR5764952</v>
          </cell>
          <cell r="C1671">
            <v>2.5</v>
          </cell>
          <cell r="D1671">
            <v>0.63</v>
          </cell>
        </row>
        <row r="1672">
          <cell r="A1672" t="str">
            <v>SRR5765008</v>
          </cell>
          <cell r="C1672">
            <v>2.5</v>
          </cell>
          <cell r="D1672">
            <v>0.63</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s>
    <sheetDataSet>
      <sheetData sheetId="0">
        <row r="2">
          <cell r="G2" t="str">
            <v>/home/projects/cge/backup/fastq/food_seqdata/NextSeq_207/FoodQCPipeline_tmp/conc_fqs/DTU_2022_1015906_1_SI_3491_R1_001.fq.gz</v>
          </cell>
          <cell r="H2" t="str">
            <v>/home/projects/cge/backup/fastq/food_seqdata/NextSeq_207/FoodQCPipeline_tmp/conc_fqs/DTU_2022_1015906_1_SI_3491_R2_001.fq.gz</v>
          </cell>
          <cell r="I2">
            <v>3491</v>
          </cell>
          <cell r="J2">
            <v>3491</v>
          </cell>
          <cell r="K2" t="str">
            <v>Listeria monocytogenes</v>
          </cell>
          <cell r="N2" t="str">
            <v>Unknown</v>
          </cell>
          <cell r="Q2">
            <v>2001</v>
          </cell>
          <cell r="T2" t="str">
            <v>Institute for Milk Hygiene and Unit of Food Microbiology, University of Veterinary Medicine, Vienna, Austria</v>
          </cell>
          <cell r="U2" t="str">
            <v>Food</v>
          </cell>
          <cell r="V2" t="str">
            <v>Food</v>
          </cell>
          <cell r="X2" t="str">
            <v>ERR10549300</v>
          </cell>
        </row>
        <row r="3">
          <cell r="G3" t="str">
            <v>/home/projects/cge/backup/fastq/food_seqdata/NextSeq_207/FoodQCPipeline_tmp/conc_fqs/DTU_2022_1015907_1_SI_3493_R1_001.fq.gz</v>
          </cell>
          <cell r="H3" t="str">
            <v>/home/projects/cge/backup/fastq/food_seqdata/NextSeq_207/FoodQCPipeline_tmp/conc_fqs/DTU_2022_1015907_1_SI_3493_R2_001.fq.gz</v>
          </cell>
          <cell r="I3">
            <v>3493</v>
          </cell>
          <cell r="J3">
            <v>3493</v>
          </cell>
          <cell r="K3" t="str">
            <v>Listeria monocytogenes</v>
          </cell>
          <cell r="N3" t="str">
            <v>Unknown</v>
          </cell>
          <cell r="Q3">
            <v>2001</v>
          </cell>
          <cell r="T3" t="str">
            <v>Institute for Milk Hygiene and Unit of Food Microbiology, University of Veterinary Medicine, Vienna, Austria</v>
          </cell>
          <cell r="U3" t="str">
            <v>Food</v>
          </cell>
          <cell r="V3" t="str">
            <v>Food</v>
          </cell>
          <cell r="X3" t="str">
            <v>ERR10549276</v>
          </cell>
        </row>
        <row r="4">
          <cell r="G4" t="str">
            <v>/home/projects/cge/backup/fastq/food_seqdata/NextSeq_207/FoodQCPipeline_tmp/conc_fqs/DTU_2022_1015908_1_SI_3499_R1_001.fq.gz</v>
          </cell>
          <cell r="H4" t="str">
            <v>/home/projects/cge/backup/fastq/food_seqdata/NextSeq_207/FoodQCPipeline_tmp/conc_fqs/DTU_2022_1015908_1_SI_3499_R2_001.fq.gz</v>
          </cell>
          <cell r="I4">
            <v>3499</v>
          </cell>
          <cell r="J4">
            <v>3499</v>
          </cell>
          <cell r="K4" t="str">
            <v>Listeria monocytogenes</v>
          </cell>
          <cell r="N4" t="str">
            <v>Unknown</v>
          </cell>
          <cell r="Q4">
            <v>2001</v>
          </cell>
          <cell r="T4" t="str">
            <v>Institute for Milk Hygiene and Unit of Food Microbiology, University of Veterinary Medicine, Vienna, Austria</v>
          </cell>
          <cell r="U4" t="str">
            <v>Production environment</v>
          </cell>
          <cell r="V4" t="str">
            <v>Production environment</v>
          </cell>
          <cell r="X4" t="str">
            <v>ERR10549270</v>
          </cell>
        </row>
        <row r="5">
          <cell r="G5" t="str">
            <v>/home/projects/cge/backup/fastq/food_seqdata/NextSeq_207/FoodQCPipeline_tmp/conc_fqs/DTU_2022_1015909_1_SI_3506_R1_001.fq.gz</v>
          </cell>
          <cell r="H5" t="str">
            <v>/home/projects/cge/backup/fastq/food_seqdata/NextSeq_207/FoodQCPipeline_tmp/conc_fqs/DTU_2022_1015909_1_SI_3506_R2_001.fq.gz</v>
          </cell>
          <cell r="I5">
            <v>3506</v>
          </cell>
          <cell r="J5">
            <v>3506</v>
          </cell>
          <cell r="K5" t="str">
            <v>Listeria monocytogenes</v>
          </cell>
          <cell r="N5" t="str">
            <v>Unknown</v>
          </cell>
          <cell r="Q5">
            <v>2001</v>
          </cell>
          <cell r="T5" t="str">
            <v>Institute for Milk Hygiene and Unit of Food Microbiology, University of Veterinary Medicine, Vienna, Austria</v>
          </cell>
          <cell r="U5" t="str">
            <v>Production environment</v>
          </cell>
          <cell r="V5" t="str">
            <v>Production environment</v>
          </cell>
          <cell r="X5" t="str">
            <v>ERR10549302</v>
          </cell>
        </row>
        <row r="6">
          <cell r="G6" t="str">
            <v>/home/projects/cge/backup/fastq/food_seqdata/NextSeq_207/FoodQCPipeline_tmp/conc_fqs/DTU_2022_1015910_2_SI_3516_R1_001.fq.gz</v>
          </cell>
          <cell r="H6" t="str">
            <v>/home/projects/cge/backup/fastq/food_seqdata/NextSeq_207/FoodQCPipeline_tmp/conc_fqs/DTU_2022_1015910_2_SI_3516_R2_001.fq.gz</v>
          </cell>
          <cell r="I6">
            <v>3516</v>
          </cell>
          <cell r="J6">
            <v>3516</v>
          </cell>
          <cell r="K6" t="str">
            <v>Listeria monocytogenes</v>
          </cell>
          <cell r="N6" t="str">
            <v>Unknown</v>
          </cell>
          <cell r="Q6">
            <v>2001</v>
          </cell>
          <cell r="T6" t="str">
            <v>Institute for Milk Hygiene and Unit of Food Microbiology, University of Veterinary Medicine, Vienna, Austria</v>
          </cell>
          <cell r="U6" t="str">
            <v>Food</v>
          </cell>
          <cell r="V6" t="str">
            <v>Production environment</v>
          </cell>
          <cell r="X6" t="str">
            <v>ERR10616659</v>
          </cell>
        </row>
        <row r="7">
          <cell r="G7" t="str">
            <v>/home/projects/cge/backup/fastq/food_seqdata/NextSeq_207/FoodQCPipeline_tmp/conc_fqs/DTU_2022_1015911_1_SI_4201_R1_001.fq.gz</v>
          </cell>
          <cell r="H7" t="str">
            <v>/home/projects/cge/backup/fastq/food_seqdata/NextSeq_207/FoodQCPipeline_tmp/conc_fqs/DTU_2022_1015911_1_SI_4201_R2_001.fq.gz</v>
          </cell>
          <cell r="I7">
            <v>4201</v>
          </cell>
          <cell r="J7">
            <v>4201</v>
          </cell>
          <cell r="K7" t="str">
            <v>Listeria monocytogenes</v>
          </cell>
          <cell r="N7" t="str">
            <v>Unknown</v>
          </cell>
          <cell r="Q7">
            <v>2003</v>
          </cell>
          <cell r="T7" t="str">
            <v>Institute for Milk Hygiene and Unit of Food Microbiology, University of Veterinary Medicine, Vienna, Austria</v>
          </cell>
          <cell r="U7" t="str">
            <v>Food</v>
          </cell>
          <cell r="V7" t="str">
            <v>Food</v>
          </cell>
          <cell r="X7" t="str">
            <v>ERR10549271</v>
          </cell>
        </row>
        <row r="8">
          <cell r="G8" t="str">
            <v>/home/projects/cge/backup/fastq/food_seqdata/NextSeq_207/FoodQCPipeline_tmp/conc_fqs/DTU_2022_1015912_1_SI_4206_R1_001.fq.gz</v>
          </cell>
          <cell r="H8" t="str">
            <v>/home/projects/cge/backup/fastq/food_seqdata/NextSeq_207/FoodQCPipeline_tmp/conc_fqs/DTU_2022_1015912_1_SI_4206_R2_001.fq.gz</v>
          </cell>
          <cell r="I8">
            <v>4206</v>
          </cell>
          <cell r="J8">
            <v>4206</v>
          </cell>
          <cell r="K8" t="str">
            <v>Listeria monocytogenes</v>
          </cell>
          <cell r="N8" t="str">
            <v>Unknown</v>
          </cell>
          <cell r="Q8">
            <v>2004</v>
          </cell>
          <cell r="T8" t="str">
            <v>Institute for Milk Hygiene and Unit of Food Microbiology, University of Veterinary Medicine, Vienna, Austria</v>
          </cell>
          <cell r="U8" t="str">
            <v>Food</v>
          </cell>
          <cell r="V8" t="str">
            <v>Food</v>
          </cell>
          <cell r="X8" t="str">
            <v>ERR10549278</v>
          </cell>
        </row>
        <row r="9">
          <cell r="G9" t="str">
            <v>/home/projects/cge/backup/fastq/food_seqdata/NextSeq_207/FoodQCPipeline_tmp/conc_fqs/DTU_2022_1015913_1_SI_4392_R1_001.fq.gz</v>
          </cell>
          <cell r="H9" t="str">
            <v>/home/projects/cge/backup/fastq/food_seqdata/NextSeq_207/FoodQCPipeline_tmp/conc_fqs/DTU_2022_1015913_1_SI_4392_R2_001.fq.gz</v>
          </cell>
          <cell r="I9">
            <v>4392</v>
          </cell>
          <cell r="J9">
            <v>4392</v>
          </cell>
          <cell r="K9" t="str">
            <v>Listeria monocytogenes</v>
          </cell>
          <cell r="N9" t="str">
            <v>Unknown</v>
          </cell>
          <cell r="Q9">
            <v>2004</v>
          </cell>
          <cell r="T9" t="str">
            <v>Institute for Milk Hygiene and Unit of Food Microbiology, University of Veterinary Medicine, Vienna, Austria</v>
          </cell>
          <cell r="U9" t="str">
            <v>Food</v>
          </cell>
          <cell r="V9" t="str">
            <v>Food</v>
          </cell>
          <cell r="X9" t="str">
            <v>ERR10549274</v>
          </cell>
        </row>
        <row r="10">
          <cell r="G10" t="str">
            <v>/home/projects/cge/backup/fastq/food_seqdata/NextSeq_207/FoodQCPipeline_tmp/conc_fqs/DTU_2022_1015914_1_SI_5294_R1_001.fq.gz</v>
          </cell>
          <cell r="H10" t="str">
            <v>/home/projects/cge/backup/fastq/food_seqdata/NextSeq_207/FoodQCPipeline_tmp/conc_fqs/DTU_2022_1015914_1_SI_5294_R2_001.fq.gz</v>
          </cell>
          <cell r="I10">
            <v>5294</v>
          </cell>
          <cell r="J10">
            <v>5294</v>
          </cell>
          <cell r="K10" t="str">
            <v>Listeria monocytogenes</v>
          </cell>
          <cell r="N10" t="str">
            <v>Unknown</v>
          </cell>
          <cell r="Q10">
            <v>2010</v>
          </cell>
          <cell r="T10" t="str">
            <v>Institute for Milk Hygiene and Unit of Food Microbiology, University of Veterinary Medicine, Vienna, Austria</v>
          </cell>
          <cell r="U10" t="str">
            <v>Production environment</v>
          </cell>
          <cell r="V10" t="str">
            <v>Food</v>
          </cell>
          <cell r="X10" t="str">
            <v>ERR10549279</v>
          </cell>
        </row>
        <row r="11">
          <cell r="G11" t="str">
            <v>/home/projects/cge/backup/fastq/food_seqdata/NextSeq_207/FoodQCPipeline_tmp/conc_fqs/DTU_2022_1015915_1_SI_5510_R1_001.fq.gz</v>
          </cell>
          <cell r="H11" t="str">
            <v>/home/projects/cge/backup/fastq/food_seqdata/NextSeq_207/FoodQCPipeline_tmp/conc_fqs/DTU_2022_1015915_1_SI_5510_R2_001.fq.gz</v>
          </cell>
          <cell r="I11">
            <v>5510</v>
          </cell>
          <cell r="J11">
            <v>5510</v>
          </cell>
          <cell r="K11" t="str">
            <v>Listeria monocytogenes</v>
          </cell>
          <cell r="N11" t="str">
            <v>Unknown</v>
          </cell>
          <cell r="Q11">
            <v>2010</v>
          </cell>
          <cell r="T11" t="str">
            <v>Institute for Milk Hygiene and Unit of Food Microbiology, University of Veterinary Medicine, Vienna, Austria</v>
          </cell>
          <cell r="U11" t="str">
            <v>Food</v>
          </cell>
          <cell r="V11" t="str">
            <v>Production environment</v>
          </cell>
          <cell r="X11" t="str">
            <v>ERR10549301</v>
          </cell>
        </row>
        <row r="12">
          <cell r="G12" t="str">
            <v>/home/projects/cge/backup/fastq/food_seqdata/NextSeq_207/FoodQCPipeline_tmp/conc_fqs/DTU_2022_1015916_1_SI_5516_R1_001.fq.gz</v>
          </cell>
          <cell r="H12" t="str">
            <v>/home/projects/cge/backup/fastq/food_seqdata/NextSeq_207/FoodQCPipeline_tmp/conc_fqs/DTU_2022_1015916_1_SI_5516_R2_001.fq.gz</v>
          </cell>
          <cell r="I12">
            <v>5516</v>
          </cell>
          <cell r="J12">
            <v>5516</v>
          </cell>
          <cell r="K12" t="str">
            <v>Listeria monocytogenes</v>
          </cell>
          <cell r="N12" t="str">
            <v>Unknown</v>
          </cell>
          <cell r="Q12">
            <v>2010</v>
          </cell>
          <cell r="T12" t="str">
            <v>Institute for Milk Hygiene and Unit of Food Microbiology, University of Veterinary Medicine, Vienna, Austria</v>
          </cell>
          <cell r="U12" t="str">
            <v>Food</v>
          </cell>
          <cell r="V12" t="str">
            <v>Food</v>
          </cell>
          <cell r="X12" t="str">
            <v>ERR10549265</v>
          </cell>
        </row>
        <row r="13">
          <cell r="G13" t="str">
            <v>/home/projects/cge/backup/fastq/food_seqdata/NextSeq_207/FoodQCPipeline_tmp/conc_fqs/DTU_2022_1015917_1_SI_5517_R1_001.fq.gz</v>
          </cell>
          <cell r="H13" t="str">
            <v>/home/projects/cge/backup/fastq/food_seqdata/NextSeq_207/FoodQCPipeline_tmp/conc_fqs/DTU_2022_1015917_1_SI_5517_R2_001.fq.gz</v>
          </cell>
          <cell r="I13">
            <v>5517</v>
          </cell>
          <cell r="J13">
            <v>5517</v>
          </cell>
          <cell r="K13" t="str">
            <v>Listeria monocytogenes</v>
          </cell>
          <cell r="N13" t="str">
            <v>Unknown</v>
          </cell>
          <cell r="Q13">
            <v>2010</v>
          </cell>
          <cell r="T13" t="str">
            <v>Institute for Milk Hygiene and Unit of Food Microbiology, University of Veterinary Medicine, Vienna, Austria</v>
          </cell>
          <cell r="U13" t="str">
            <v>Food</v>
          </cell>
          <cell r="V13" t="str">
            <v>Food</v>
          </cell>
          <cell r="X13" t="str">
            <v>ERR10549277</v>
          </cell>
        </row>
        <row r="14">
          <cell r="G14" t="str">
            <v>/home/projects/cge/backup/fastq/food_seqdata/NextSeq_207/FoodQCPipeline_tmp/conc_fqs/DTU_2022_1015918_1_SI_6714_R1_001.fq.gz</v>
          </cell>
          <cell r="H14" t="str">
            <v>/home/projects/cge/backup/fastq/food_seqdata/NextSeq_207/FoodQCPipeline_tmp/conc_fqs/DTU_2022_1015918_1_SI_6714_R2_001.fq.gz</v>
          </cell>
          <cell r="I14">
            <v>6714</v>
          </cell>
          <cell r="J14">
            <v>6714</v>
          </cell>
          <cell r="K14" t="str">
            <v>Listeria monocytogenes</v>
          </cell>
          <cell r="N14" t="str">
            <v>Unknown</v>
          </cell>
          <cell r="Q14">
            <v>2013</v>
          </cell>
          <cell r="T14" t="str">
            <v>Institute for Milk Hygiene and Unit of Food Microbiology, University of Veterinary Medicine, Vienna, Austria</v>
          </cell>
          <cell r="U14" t="str">
            <v>Production environment</v>
          </cell>
          <cell r="V14" t="str">
            <v>Food</v>
          </cell>
          <cell r="X14" t="str">
            <v>ERR10549280</v>
          </cell>
        </row>
        <row r="15">
          <cell r="G15" t="str">
            <v>/home/projects/cge/backup/fastq/food_seqdata/NextSeq_207/FoodQCPipeline_tmp/conc_fqs/DTU_2022_1015919_1_SI_6728_R1_001.fq.gz</v>
          </cell>
          <cell r="H15" t="str">
            <v>/home/projects/cge/backup/fastq/food_seqdata/NextSeq_207/FoodQCPipeline_tmp/conc_fqs/DTU_2022_1015919_1_SI_6728_R2_001.fq.gz</v>
          </cell>
          <cell r="I15">
            <v>6728</v>
          </cell>
          <cell r="J15">
            <v>6728</v>
          </cell>
          <cell r="K15" t="str">
            <v>Listeria monocytogenes</v>
          </cell>
          <cell r="N15" t="str">
            <v>Unknown</v>
          </cell>
          <cell r="Q15">
            <v>2013</v>
          </cell>
          <cell r="T15" t="str">
            <v>Institute for Milk Hygiene and Unit of Food Microbiology, University of Veterinary Medicine, Vienna, Austria</v>
          </cell>
          <cell r="U15" t="str">
            <v>Production environment</v>
          </cell>
          <cell r="V15" t="str">
            <v>Food</v>
          </cell>
          <cell r="X15" t="str">
            <v>ERR10549292</v>
          </cell>
        </row>
        <row r="16">
          <cell r="G16" t="str">
            <v>/home/projects/cge/backup/fastq/food_seqdata/NextSeq_207/FoodQCPipeline_tmp/conc_fqs/DTU_2022_1015920_1_SI_6790_R1_001.fq.gz</v>
          </cell>
          <cell r="H16" t="str">
            <v>/home/projects/cge/backup/fastq/food_seqdata/NextSeq_207/FoodQCPipeline_tmp/conc_fqs/DTU_2022_1015920_1_SI_6790_R2_001.fq.gz</v>
          </cell>
          <cell r="I16">
            <v>6790</v>
          </cell>
          <cell r="J16">
            <v>6790</v>
          </cell>
          <cell r="K16" t="str">
            <v>Listeria monocytogenes</v>
          </cell>
          <cell r="N16" t="str">
            <v>Unknown</v>
          </cell>
          <cell r="Q16">
            <v>2013</v>
          </cell>
          <cell r="T16" t="str">
            <v>Institute for Milk Hygiene and Unit of Food Microbiology, University of Veterinary Medicine, Vienna, Austria</v>
          </cell>
          <cell r="U16" t="str">
            <v>Production environment</v>
          </cell>
          <cell r="V16" t="str">
            <v>Production environment</v>
          </cell>
          <cell r="X16" t="str">
            <v>ERR10549294</v>
          </cell>
        </row>
        <row r="17">
          <cell r="G17" t="str">
            <v>/home/projects/cge/backup/fastq/food_seqdata/NextSeq_207/FoodQCPipeline_tmp/conc_fqs/DTU_2022_1015921_2_SI_6978_R1_001.fq.gz</v>
          </cell>
          <cell r="H17" t="str">
            <v>/home/projects/cge/backup/fastq/food_seqdata/NextSeq_207/FoodQCPipeline_tmp/conc_fqs/DTU_2022_1015921_2_SI_6978_R2_001.fq.gz</v>
          </cell>
          <cell r="I17">
            <v>6978</v>
          </cell>
          <cell r="J17">
            <v>6978</v>
          </cell>
          <cell r="K17" t="str">
            <v>Listeria monocytogenes</v>
          </cell>
          <cell r="N17" t="str">
            <v>Unknown</v>
          </cell>
          <cell r="Q17">
            <v>2013</v>
          </cell>
          <cell r="T17" t="str">
            <v>Institute for Milk Hygiene and Unit of Food Microbiology, University of Veterinary Medicine, Vienna, Austria</v>
          </cell>
          <cell r="U17" t="str">
            <v>Food</v>
          </cell>
          <cell r="V17" t="str">
            <v>Food</v>
          </cell>
          <cell r="X17" t="str">
            <v>ERR10616650</v>
          </cell>
        </row>
        <row r="18">
          <cell r="G18" t="str">
            <v>/home/projects/cge/backup/fastq/food_seqdata/NextSeq_207/FoodQCPipeline_tmp/conc_fqs/DTU_2022_1015922_1_SI_7000_R1_001.fq.gz</v>
          </cell>
          <cell r="H18" t="str">
            <v>/home/projects/cge/backup/fastq/food_seqdata/NextSeq_207/FoodQCPipeline_tmp/conc_fqs/DTU_2022_1015922_1_SI_7000_R2_001.fq.gz</v>
          </cell>
          <cell r="I18">
            <v>7000</v>
          </cell>
          <cell r="J18">
            <v>7000</v>
          </cell>
          <cell r="K18" t="str">
            <v>Listeria monocytogenes</v>
          </cell>
          <cell r="N18" t="str">
            <v>Unknown</v>
          </cell>
          <cell r="Q18">
            <v>2013</v>
          </cell>
          <cell r="T18" t="str">
            <v>Institute for Milk Hygiene and Unit of Food Microbiology, University of Veterinary Medicine, Vienna, Austria</v>
          </cell>
          <cell r="U18" t="str">
            <v>Food</v>
          </cell>
          <cell r="V18" t="str">
            <v>Food</v>
          </cell>
          <cell r="X18" t="str">
            <v>ERR10549316</v>
          </cell>
        </row>
        <row r="19">
          <cell r="G19" t="str">
            <v>/home/projects/cge/backup/fastq/food_seqdata/NextSeq_207/FoodQCPipeline_tmp/conc_fqs/DTU_2022_1015923_1_SI_7001_R1_001.fq.gz</v>
          </cell>
          <cell r="H19" t="str">
            <v>/home/projects/cge/backup/fastq/food_seqdata/NextSeq_207/FoodQCPipeline_tmp/conc_fqs/DTU_2022_1015923_1_SI_7001_R2_001.fq.gz</v>
          </cell>
          <cell r="I19">
            <v>7001</v>
          </cell>
          <cell r="J19">
            <v>7001</v>
          </cell>
          <cell r="K19" t="str">
            <v>Listeria monocytogenes</v>
          </cell>
          <cell r="N19" t="str">
            <v>Unknown</v>
          </cell>
          <cell r="Q19">
            <v>2013</v>
          </cell>
          <cell r="T19" t="str">
            <v>Institute for Milk Hygiene and Unit of Food Microbiology, University of Veterinary Medicine, Vienna, Austria</v>
          </cell>
          <cell r="U19" t="str">
            <v>Food</v>
          </cell>
          <cell r="V19" t="str">
            <v>Food</v>
          </cell>
          <cell r="X19" t="str">
            <v>ERR10549314</v>
          </cell>
        </row>
        <row r="20">
          <cell r="G20" t="str">
            <v>/home/projects/cge/backup/fastq/food_seqdata/NextSeq_207/FoodQCPipeline_tmp/conc_fqs/DTU_2022_1015924_1_SI_7020_R1_001.fq.gz</v>
          </cell>
          <cell r="H20" t="str">
            <v>/home/projects/cge/backup/fastq/food_seqdata/NextSeq_207/FoodQCPipeline_tmp/conc_fqs/DTU_2022_1015924_1_SI_7020_R2_001.fq.gz</v>
          </cell>
          <cell r="I20">
            <v>7020</v>
          </cell>
          <cell r="J20">
            <v>7020</v>
          </cell>
          <cell r="K20" t="str">
            <v>Listeria monocytogenes</v>
          </cell>
          <cell r="N20" t="str">
            <v>Unknown</v>
          </cell>
          <cell r="Q20">
            <v>2013</v>
          </cell>
          <cell r="T20" t="str">
            <v>Institute for Milk Hygiene and Unit of Food Microbiology, University of Veterinary Medicine, Vienna, Austria</v>
          </cell>
          <cell r="U20" t="str">
            <v>Natural environment</v>
          </cell>
          <cell r="V20" t="str">
            <v>Food</v>
          </cell>
          <cell r="X20" t="str">
            <v>ERR10549291</v>
          </cell>
        </row>
        <row r="21">
          <cell r="G21" t="str">
            <v>/home/projects/cge/backup/fastq/food_seqdata/NextSeq_207/FoodQCPipeline_tmp/conc_fqs/DTU_2022_1015925_1_SI_7021_R1_001.fq.gz</v>
          </cell>
          <cell r="H21" t="str">
            <v>/home/projects/cge/backup/fastq/food_seqdata/NextSeq_207/FoodQCPipeline_tmp/conc_fqs/DTU_2022_1015925_1_SI_7021_R2_001.fq.gz</v>
          </cell>
          <cell r="I21">
            <v>7021</v>
          </cell>
          <cell r="J21">
            <v>7021</v>
          </cell>
          <cell r="K21" t="str">
            <v>Listeria monocytogenes</v>
          </cell>
          <cell r="N21" t="str">
            <v>Unknown</v>
          </cell>
          <cell r="Q21">
            <v>2013</v>
          </cell>
          <cell r="T21" t="str">
            <v>Institute for Milk Hygiene and Unit of Food Microbiology, University of Veterinary Medicine, Vienna, Austria</v>
          </cell>
          <cell r="U21" t="str">
            <v>Food</v>
          </cell>
          <cell r="V21" t="str">
            <v>Production environment</v>
          </cell>
          <cell r="X21" t="str">
            <v>ERR10549289</v>
          </cell>
        </row>
        <row r="22">
          <cell r="G22" t="str">
            <v>/home/projects/cge/backup/fastq/food_seqdata/NextSeq_207/FoodQCPipeline_tmp/conc_fqs/DTU_2022_1015926_1_SI_7023_R1_001.fq.gz</v>
          </cell>
          <cell r="H22" t="str">
            <v>/home/projects/cge/backup/fastq/food_seqdata/NextSeq_207/FoodQCPipeline_tmp/conc_fqs/DTU_2022_1015926_1_SI_7023_R2_001.fq.gz</v>
          </cell>
          <cell r="I22">
            <v>7023</v>
          </cell>
          <cell r="J22">
            <v>7023</v>
          </cell>
          <cell r="K22" t="str">
            <v>Listeria monocytogenes</v>
          </cell>
          <cell r="N22" t="str">
            <v>Unknown</v>
          </cell>
          <cell r="Q22">
            <v>2013</v>
          </cell>
          <cell r="T22" t="str">
            <v>Institute for Milk Hygiene and Unit of Food Microbiology, University of Veterinary Medicine, Vienna, Austria</v>
          </cell>
          <cell r="U22" t="str">
            <v>Food</v>
          </cell>
          <cell r="V22" t="str">
            <v>Production environment</v>
          </cell>
          <cell r="X22" t="str">
            <v>ERR10549283</v>
          </cell>
        </row>
        <row r="23">
          <cell r="G23" t="str">
            <v>/home/projects/cge/backup/fastq/food_seqdata/NextSeq_207/FoodQCPipeline_tmp/conc_fqs/DTU_2022_1015927_1_SI_7029_R1_001.fq.gz</v>
          </cell>
          <cell r="H23" t="str">
            <v>/home/projects/cge/backup/fastq/food_seqdata/NextSeq_207/FoodQCPipeline_tmp/conc_fqs/DTU_2022_1015927_1_SI_7029_R2_001.fq.gz</v>
          </cell>
          <cell r="I23">
            <v>7029</v>
          </cell>
          <cell r="J23">
            <v>7029</v>
          </cell>
          <cell r="K23" t="str">
            <v>Listeria monocytogenes</v>
          </cell>
          <cell r="N23" t="str">
            <v>Unknown</v>
          </cell>
          <cell r="Q23">
            <v>2013</v>
          </cell>
          <cell r="T23" t="str">
            <v>Institute for Milk Hygiene and Unit of Food Microbiology, University of Veterinary Medicine, Vienna, Austria</v>
          </cell>
          <cell r="U23" t="str">
            <v>Production environment</v>
          </cell>
          <cell r="V23" t="str">
            <v>Production environment</v>
          </cell>
          <cell r="X23" t="str">
            <v>ERR10549286</v>
          </cell>
        </row>
        <row r="24">
          <cell r="G24" t="str">
            <v>/home/projects/cge/backup/fastq/food_seqdata/NextSeq_207/FoodQCPipeline_tmp/conc_fqs/DTU_2022_1015928_1_SI_7037_R1_001.fq.gz</v>
          </cell>
          <cell r="H24" t="str">
            <v>/home/projects/cge/backup/fastq/food_seqdata/NextSeq_207/FoodQCPipeline_tmp/conc_fqs/DTU_2022_1015928_1_SI_7037_R2_001.fq.gz</v>
          </cell>
          <cell r="I24">
            <v>7037</v>
          </cell>
          <cell r="J24">
            <v>7037</v>
          </cell>
          <cell r="K24" t="str">
            <v>Listeria monocytogenes</v>
          </cell>
          <cell r="N24" t="str">
            <v>Unknown</v>
          </cell>
          <cell r="Q24">
            <v>2013</v>
          </cell>
          <cell r="T24" t="str">
            <v>Institute for Milk Hygiene and Unit of Food Microbiology, University of Veterinary Medicine, Vienna, Austria</v>
          </cell>
          <cell r="U24" t="str">
            <v>Food</v>
          </cell>
          <cell r="V24" t="str">
            <v>Food</v>
          </cell>
          <cell r="X24" t="str">
            <v>ERR10549268</v>
          </cell>
        </row>
        <row r="25">
          <cell r="G25" t="str">
            <v>/home/projects/cge/backup/fastq/food_seqdata/NextSeq_207/FoodQCPipeline_tmp/conc_fqs/DTU_2022_1015900_1_SI_P02_001_R1_001.fq.gz</v>
          </cell>
          <cell r="H25" t="str">
            <v>/home/projects/cge/backup/fastq/food_seqdata/NextSeq_207/FoodQCPipeline_tmp/conc_fqs/DTU_2022_1015900_1_SI_P02_001_R2_001.fq.gz</v>
          </cell>
          <cell r="I25" t="str">
            <v>P02_001</v>
          </cell>
          <cell r="J25" t="str">
            <v>P02_001</v>
          </cell>
          <cell r="K25" t="str">
            <v>Listeria monocytogenes</v>
          </cell>
          <cell r="N25" t="str">
            <v>Unknown</v>
          </cell>
          <cell r="Q25">
            <v>2013</v>
          </cell>
          <cell r="T25" t="str">
            <v>Institute for Milk Hygiene and Unit of Food Microbiology, University of Veterinary Medicine, Vienna, Austria</v>
          </cell>
          <cell r="U25" t="str">
            <v>Food</v>
          </cell>
          <cell r="V25" t="str">
            <v>Falafel powder</v>
          </cell>
          <cell r="X25" t="str">
            <v>ERR10549295</v>
          </cell>
        </row>
        <row r="26">
          <cell r="G26" t="str">
            <v>/home/projects/cge/backup/fastq/food_seqdata/NextSeq_207/FoodQCPipeline_tmp/conc_fqs/DTU_2022_1015929_1_SI_7044_R1_001.fq.gz</v>
          </cell>
          <cell r="H26" t="str">
            <v>/home/projects/cge/backup/fastq/food_seqdata/NextSeq_207/FoodQCPipeline_tmp/conc_fqs/DTU_2022_1015929_1_SI_7044_R2_001.fq.gz</v>
          </cell>
          <cell r="I26">
            <v>7044</v>
          </cell>
          <cell r="J26">
            <v>7044</v>
          </cell>
          <cell r="K26" t="str">
            <v>Listeria monocytogenes</v>
          </cell>
          <cell r="N26" t="str">
            <v>Unknown</v>
          </cell>
          <cell r="Q26">
            <v>2014</v>
          </cell>
          <cell r="T26" t="str">
            <v>Institute for Milk Hygiene and Unit of Food Microbiology, University of Veterinary Medicine, Vienna, Austria</v>
          </cell>
          <cell r="U26" t="str">
            <v>Production environment</v>
          </cell>
          <cell r="V26" t="str">
            <v>Food</v>
          </cell>
          <cell r="X26" t="str">
            <v>ERR10549285</v>
          </cell>
        </row>
        <row r="27">
          <cell r="G27" t="str">
            <v>/home/projects/cge/backup/fastq/food_seqdata/NextSeq_207/FoodQCPipeline_tmp/conc_fqs/DTU_2022_1015930_1_SI_7064_R1_001.fq.gz</v>
          </cell>
          <cell r="H27" t="str">
            <v>/home/projects/cge/backup/fastq/food_seqdata/NextSeq_207/FoodQCPipeline_tmp/conc_fqs/DTU_2022_1015930_1_SI_7064_R2_001.fq.gz</v>
          </cell>
          <cell r="I27">
            <v>7064</v>
          </cell>
          <cell r="J27">
            <v>7064</v>
          </cell>
          <cell r="K27" t="str">
            <v>Listeria monocytogenes</v>
          </cell>
          <cell r="N27" t="str">
            <v>Unknown</v>
          </cell>
          <cell r="Q27">
            <v>2014</v>
          </cell>
          <cell r="T27" t="str">
            <v>Institute for Milk Hygiene and Unit of Food Microbiology, University of Veterinary Medicine, Vienna, Austria</v>
          </cell>
          <cell r="U27" t="str">
            <v>Production environment</v>
          </cell>
          <cell r="V27" t="str">
            <v>Food</v>
          </cell>
          <cell r="X27" t="str">
            <v>ERR10549284</v>
          </cell>
        </row>
        <row r="28">
          <cell r="G28" t="str">
            <v>/home/projects/cge/backup/fastq/food_seqdata/NextSeq_207/FoodQCPipeline_tmp/conc_fqs/DTU_2022_1015931_1_SI_7079_R1_001.fq.gz</v>
          </cell>
          <cell r="H28" t="str">
            <v>/home/projects/cge/backup/fastq/food_seqdata/NextSeq_207/FoodQCPipeline_tmp/conc_fqs/DTU_2022_1015931_1_SI_7079_R2_001.fq.gz</v>
          </cell>
          <cell r="I28">
            <v>7079</v>
          </cell>
          <cell r="J28">
            <v>7079</v>
          </cell>
          <cell r="K28" t="str">
            <v>Listeria monocytogenes</v>
          </cell>
          <cell r="N28" t="str">
            <v>Unknown</v>
          </cell>
          <cell r="Q28">
            <v>2014</v>
          </cell>
          <cell r="T28" t="str">
            <v>Institute for Milk Hygiene and Unit of Food Microbiology, University of Veterinary Medicine, Vienna, Austria</v>
          </cell>
          <cell r="U28" t="str">
            <v>Food</v>
          </cell>
          <cell r="V28" t="str">
            <v>Natural environment</v>
          </cell>
          <cell r="X28" t="str">
            <v>ERR10549287</v>
          </cell>
        </row>
        <row r="29">
          <cell r="G29" t="str">
            <v>/home/projects/cge/backup/fastq/food_seqdata/NextSeq_207/FoodQCPipeline_tmp/conc_fqs/DTU_2022_1015932_1_SI_7159_R1_001.fq.gz</v>
          </cell>
          <cell r="H29" t="str">
            <v>/home/projects/cge/backup/fastq/food_seqdata/NextSeq_207/FoodQCPipeline_tmp/conc_fqs/DTU_2022_1015932_1_SI_7159_R2_001.fq.gz</v>
          </cell>
          <cell r="I29">
            <v>7159</v>
          </cell>
          <cell r="J29">
            <v>7159</v>
          </cell>
          <cell r="K29" t="str">
            <v>Listeria monocytogenes</v>
          </cell>
          <cell r="N29" t="str">
            <v>Unknown</v>
          </cell>
          <cell r="Q29">
            <v>2014</v>
          </cell>
          <cell r="T29" t="str">
            <v>Institute for Milk Hygiene and Unit of Food Microbiology, University of Veterinary Medicine, Vienna, Austria</v>
          </cell>
          <cell r="U29" t="str">
            <v>Food</v>
          </cell>
          <cell r="V29" t="str">
            <v>Food</v>
          </cell>
          <cell r="X29" t="str">
            <v>ERR10549267</v>
          </cell>
        </row>
        <row r="30">
          <cell r="G30" t="str">
            <v>/home/projects/cge/backup/fastq/food_seqdata/NextSeq_207/FoodQCPipeline_tmp/conc_fqs/DTU_2022_1015933_1_SI_7185_R1_001.fq.gz</v>
          </cell>
          <cell r="H30" t="str">
            <v>/home/projects/cge/backup/fastq/food_seqdata/NextSeq_207/FoodQCPipeline_tmp/conc_fqs/DTU_2022_1015933_1_SI_7185_R2_001.fq.gz</v>
          </cell>
          <cell r="I30">
            <v>7185</v>
          </cell>
          <cell r="J30">
            <v>7185</v>
          </cell>
          <cell r="K30" t="str">
            <v>Listeria monocytogenes</v>
          </cell>
          <cell r="N30" t="str">
            <v>Unknown</v>
          </cell>
          <cell r="Q30">
            <v>2014</v>
          </cell>
          <cell r="T30" t="str">
            <v>Institute for Milk Hygiene and Unit of Food Microbiology, University of Veterinary Medicine, Vienna, Austria</v>
          </cell>
          <cell r="U30" t="str">
            <v>Production environment</v>
          </cell>
          <cell r="V30" t="str">
            <v>Food</v>
          </cell>
          <cell r="X30" t="str">
            <v>ERR10549297</v>
          </cell>
        </row>
        <row r="31">
          <cell r="G31" t="str">
            <v>/home/projects/cge/backup/fastq/food_seqdata/NextSeq_207/FoodQCPipeline_tmp/conc_fqs/DTU_2022_1015934_1_SI_7226_R1_001.fq.gz</v>
          </cell>
          <cell r="H31" t="str">
            <v>/home/projects/cge/backup/fastq/food_seqdata/NextSeq_207/FoodQCPipeline_tmp/conc_fqs/DTU_2022_1015934_1_SI_7226_R2_001.fq.gz</v>
          </cell>
          <cell r="I31">
            <v>7226</v>
          </cell>
          <cell r="J31">
            <v>7226</v>
          </cell>
          <cell r="K31" t="str">
            <v>Listeria monocytogenes</v>
          </cell>
          <cell r="N31" t="str">
            <v>Unknown</v>
          </cell>
          <cell r="Q31">
            <v>2014</v>
          </cell>
          <cell r="T31" t="str">
            <v>Institute for Milk Hygiene and Unit of Food Microbiology, University of Veterinary Medicine, Vienna, Austria</v>
          </cell>
          <cell r="U31" t="str">
            <v>Food</v>
          </cell>
          <cell r="V31" t="str">
            <v>Production environment</v>
          </cell>
          <cell r="X31" t="str">
            <v>ERR10549290</v>
          </cell>
        </row>
        <row r="32">
          <cell r="G32" t="str">
            <v>/home/projects/cge/backup/fastq/food_seqdata/NextSeq_207/FoodQCPipeline_tmp/conc_fqs/DTU_2022_1015935_1_SI_7228_R1_001.fq.gz</v>
          </cell>
          <cell r="H32" t="str">
            <v>/home/projects/cge/backup/fastq/food_seqdata/NextSeq_207/FoodQCPipeline_tmp/conc_fqs/DTU_2022_1015935_1_SI_7228_R2_001.fq.gz</v>
          </cell>
          <cell r="I32">
            <v>7228</v>
          </cell>
          <cell r="J32">
            <v>7228</v>
          </cell>
          <cell r="K32" t="str">
            <v>Listeria monocytogenes</v>
          </cell>
          <cell r="N32" t="str">
            <v>Unknown</v>
          </cell>
          <cell r="Q32">
            <v>2014</v>
          </cell>
          <cell r="T32" t="str">
            <v>Institute for Milk Hygiene and Unit of Food Microbiology, University of Veterinary Medicine, Vienna, Austria</v>
          </cell>
          <cell r="U32" t="str">
            <v>Food</v>
          </cell>
          <cell r="V32" t="str">
            <v>Food</v>
          </cell>
          <cell r="X32" t="str">
            <v>ERR10549266</v>
          </cell>
        </row>
        <row r="33">
          <cell r="G33" t="str">
            <v>/home/projects/cge/backup/fastq/food_seqdata/NextSeq_207/FoodQCPipeline_tmp/conc_fqs/DTU_2022_1015936_1_SI_7230_R1_001.fq.gz</v>
          </cell>
          <cell r="H33" t="str">
            <v>/home/projects/cge/backup/fastq/food_seqdata/NextSeq_207/FoodQCPipeline_tmp/conc_fqs/DTU_2022_1015936_1_SI_7230_R2_001.fq.gz</v>
          </cell>
          <cell r="I33">
            <v>7230</v>
          </cell>
          <cell r="J33">
            <v>7230</v>
          </cell>
          <cell r="K33" t="str">
            <v>Listeria monocytogenes</v>
          </cell>
          <cell r="N33" t="str">
            <v>Unknown</v>
          </cell>
          <cell r="Q33">
            <v>2014</v>
          </cell>
          <cell r="T33" t="str">
            <v>Institute for Milk Hygiene and Unit of Food Microbiology, University of Veterinary Medicine, Vienna, Austria</v>
          </cell>
          <cell r="U33" t="str">
            <v>Food</v>
          </cell>
          <cell r="V33" t="str">
            <v>Production environment</v>
          </cell>
          <cell r="X33" t="str">
            <v>ERR10549264</v>
          </cell>
        </row>
        <row r="34">
          <cell r="G34" t="str">
            <v>/home/projects/cge/backup/fastq/food_seqdata/NextSeq_207/FoodQCPipeline_tmp/conc_fqs/DTU_2022_1015937_1_SI_7301_R1_001.fq.gz</v>
          </cell>
          <cell r="H34" t="str">
            <v>/home/projects/cge/backup/fastq/food_seqdata/NextSeq_207/FoodQCPipeline_tmp/conc_fqs/DTU_2022_1015937_1_SI_7301_R2_001.fq.gz</v>
          </cell>
          <cell r="I34">
            <v>7301</v>
          </cell>
          <cell r="J34">
            <v>7301</v>
          </cell>
          <cell r="K34" t="str">
            <v>Listeria monocytogenes</v>
          </cell>
          <cell r="N34" t="str">
            <v>Unknown</v>
          </cell>
          <cell r="Q34">
            <v>2014</v>
          </cell>
          <cell r="T34" t="str">
            <v>Institute for Milk Hygiene and Unit of Food Microbiology, University of Veterinary Medicine, Vienna, Austria</v>
          </cell>
          <cell r="U34" t="str">
            <v>Food</v>
          </cell>
          <cell r="V34" t="str">
            <v>Production environment</v>
          </cell>
          <cell r="X34" t="str">
            <v>ERR10549281</v>
          </cell>
        </row>
        <row r="35">
          <cell r="G35" t="str">
            <v>/home/projects/cge/backup/fastq/food_seqdata/NextSeq_207/FoodQCPipeline_tmp/conc_fqs/DTU_2022_1015938_1_SI_7411_R1_001.fq.gz</v>
          </cell>
          <cell r="H35" t="str">
            <v>/home/projects/cge/backup/fastq/food_seqdata/NextSeq_207/FoodQCPipeline_tmp/conc_fqs/DTU_2022_1015938_1_SI_7411_R2_001.fq.gz</v>
          </cell>
          <cell r="I35">
            <v>7411</v>
          </cell>
          <cell r="J35">
            <v>7411</v>
          </cell>
          <cell r="K35" t="str">
            <v>Listeria monocytogenes</v>
          </cell>
          <cell r="N35" t="str">
            <v>Unknown</v>
          </cell>
          <cell r="Q35">
            <v>2014</v>
          </cell>
          <cell r="T35" t="str">
            <v>Institute for Milk Hygiene and Unit of Food Microbiology, University of Veterinary Medicine, Vienna, Austria</v>
          </cell>
          <cell r="U35" t="str">
            <v>Food</v>
          </cell>
          <cell r="V35" t="str">
            <v>Food</v>
          </cell>
          <cell r="X35" t="str">
            <v>ERR10549304</v>
          </cell>
        </row>
        <row r="36">
          <cell r="G36" t="str">
            <v>/home/projects/cge/backup/fastq/food_seqdata/NextSeq_207/FoodQCPipeline_tmp/conc_fqs/DTU_2022_1015939_1_SI_7459_R1_001.fq.gz</v>
          </cell>
          <cell r="H36" t="str">
            <v>/home/projects/cge/backup/fastq/food_seqdata/NextSeq_207/FoodQCPipeline_tmp/conc_fqs/DTU_2022_1015939_1_SI_7459_R2_001.fq.gz</v>
          </cell>
          <cell r="I36">
            <v>7459</v>
          </cell>
          <cell r="J36">
            <v>7459</v>
          </cell>
          <cell r="K36" t="str">
            <v>Listeria monocytogenes</v>
          </cell>
          <cell r="N36" t="str">
            <v>Unknown</v>
          </cell>
          <cell r="Q36">
            <v>2014</v>
          </cell>
          <cell r="T36" t="str">
            <v>Institute for Milk Hygiene and Unit of Food Microbiology, University of Veterinary Medicine, Vienna, Austria</v>
          </cell>
          <cell r="U36" t="str">
            <v>Food</v>
          </cell>
          <cell r="V36" t="str">
            <v>Food</v>
          </cell>
          <cell r="X36" t="str">
            <v>ERR10549312</v>
          </cell>
        </row>
        <row r="37">
          <cell r="G37" t="str">
            <v>/home/projects/cge/backup/fastq/food_seqdata/NextSeq_207/FoodQCPipeline_tmp/conc_fqs/DTU_2022_1015940_1_SI_7478_R1_001.fq.gz</v>
          </cell>
          <cell r="H37" t="str">
            <v>/home/projects/cge/backup/fastq/food_seqdata/NextSeq_207/FoodQCPipeline_tmp/conc_fqs/DTU_2022_1015940_1_SI_7478_R2_001.fq.gz</v>
          </cell>
          <cell r="I37">
            <v>7478</v>
          </cell>
          <cell r="J37">
            <v>7478</v>
          </cell>
          <cell r="K37" t="str">
            <v>Listeria monocytogenes</v>
          </cell>
          <cell r="N37" t="str">
            <v>Unknown</v>
          </cell>
          <cell r="Q37">
            <v>2014</v>
          </cell>
          <cell r="T37" t="str">
            <v>Institute for Milk Hygiene and Unit of Food Microbiology, University of Veterinary Medicine, Vienna, Austria</v>
          </cell>
          <cell r="U37" t="str">
            <v>Food</v>
          </cell>
          <cell r="V37" t="str">
            <v>Production environment</v>
          </cell>
          <cell r="X37" t="str">
            <v>ERR10549305</v>
          </cell>
        </row>
        <row r="38">
          <cell r="G38" t="str">
            <v>/home/projects/cge/backup/fastq/food_seqdata/NextSeq_207/FoodQCPipeline_tmp/conc_fqs/DTU_2022_1015941_1_SI_7534_R1_001.fq.gz</v>
          </cell>
          <cell r="H38" t="str">
            <v>/home/projects/cge/backup/fastq/food_seqdata/NextSeq_207/FoodQCPipeline_tmp/conc_fqs/DTU_2022_1015941_1_SI_7534_R2_001.fq.gz</v>
          </cell>
          <cell r="I38">
            <v>7534</v>
          </cell>
          <cell r="J38">
            <v>7534</v>
          </cell>
          <cell r="K38" t="str">
            <v>Listeria monocytogenes</v>
          </cell>
          <cell r="N38" t="str">
            <v>Unknown</v>
          </cell>
          <cell r="Q38">
            <v>2014</v>
          </cell>
          <cell r="T38" t="str">
            <v>Institute for Milk Hygiene and Unit of Food Microbiology, University of Veterinary Medicine, Vienna, Austria</v>
          </cell>
          <cell r="U38" t="str">
            <v>Food</v>
          </cell>
          <cell r="V38" t="str">
            <v>Food</v>
          </cell>
          <cell r="X38" t="str">
            <v>ERR10549319</v>
          </cell>
        </row>
        <row r="39">
          <cell r="G39" t="str">
            <v>/home/projects/cge/backup/fastq/food_seqdata/NextSeq_207/FoodQCPipeline_tmp/conc_fqs/DTU_2022_1015942_1_SI_7584_R1_001.fq.gz</v>
          </cell>
          <cell r="H39" t="str">
            <v>/home/projects/cge/backup/fastq/food_seqdata/NextSeq_207/FoodQCPipeline_tmp/conc_fqs/DTU_2022_1015942_1_SI_7584_R2_001.fq.gz</v>
          </cell>
          <cell r="I39">
            <v>7584</v>
          </cell>
          <cell r="J39">
            <v>7584</v>
          </cell>
          <cell r="K39" t="str">
            <v>Listeria monocytogenes</v>
          </cell>
          <cell r="N39" t="str">
            <v>Unknown</v>
          </cell>
          <cell r="Q39">
            <v>2014</v>
          </cell>
          <cell r="T39" t="str">
            <v>Institute for Milk Hygiene and Unit of Food Microbiology, University of Veterinary Medicine, Vienna, Austria</v>
          </cell>
          <cell r="U39" t="str">
            <v>Food</v>
          </cell>
          <cell r="V39" t="str">
            <v>Food</v>
          </cell>
          <cell r="X39" t="str">
            <v>ERR10549269</v>
          </cell>
        </row>
        <row r="40">
          <cell r="G40" t="str">
            <v>/home/projects/cge/backup/fastq/food_seqdata/NextSeq_207/FoodQCPipeline_tmp/conc_fqs/DTU_2022_1015943_1_SI_7587_R1_001.fq.gz</v>
          </cell>
          <cell r="H40" t="str">
            <v>/home/projects/cge/backup/fastq/food_seqdata/NextSeq_207/FoodQCPipeline_tmp/conc_fqs/DTU_2022_1015943_1_SI_7587_R2_001.fq.gz</v>
          </cell>
          <cell r="I40">
            <v>7587</v>
          </cell>
          <cell r="J40">
            <v>7587</v>
          </cell>
          <cell r="K40" t="str">
            <v>Listeria monocytogenes</v>
          </cell>
          <cell r="N40" t="str">
            <v>Unknown</v>
          </cell>
          <cell r="Q40">
            <v>2014</v>
          </cell>
          <cell r="T40" t="str">
            <v>Institute for Milk Hygiene and Unit of Food Microbiology, University of Veterinary Medicine, Vienna, Austria</v>
          </cell>
          <cell r="U40" t="str">
            <v>Production environment</v>
          </cell>
          <cell r="V40" t="str">
            <v>Food</v>
          </cell>
          <cell r="X40" t="str">
            <v>ERR10549282</v>
          </cell>
        </row>
        <row r="41">
          <cell r="G41" t="str">
            <v>/home/projects/cge/backup/fastq/food_seqdata/NextSeq_207/FoodQCPipeline_tmp/conc_fqs/DTU_2022_1015946_1_SI_7599_R1_001.fq.gz</v>
          </cell>
          <cell r="H41" t="str">
            <v>/home/projects/cge/backup/fastq/food_seqdata/NextSeq_207/FoodQCPipeline_tmp/conc_fqs/DTU_2022_1015946_1_SI_7599_R2_001.fq.gz</v>
          </cell>
          <cell r="I41">
            <v>7599</v>
          </cell>
          <cell r="J41">
            <v>7599</v>
          </cell>
          <cell r="K41" t="str">
            <v>Listeria monocytogenes</v>
          </cell>
          <cell r="N41" t="str">
            <v>Unknown</v>
          </cell>
          <cell r="Q41">
            <v>2014</v>
          </cell>
          <cell r="T41" t="str">
            <v>Institute for Milk Hygiene and Unit of Food Microbiology, University of Veterinary Medicine, Vienna, Austria</v>
          </cell>
          <cell r="U41" t="str">
            <v>Production environment</v>
          </cell>
          <cell r="V41" t="str">
            <v>Food</v>
          </cell>
          <cell r="X41" t="str">
            <v>ERR10549299</v>
          </cell>
        </row>
        <row r="42">
          <cell r="G42" t="str">
            <v>/home/projects/cge/backup/fastq/food_seqdata/NextSeq_207/FoodQCPipeline_tmp/conc_fqs/DTU_2022_1015947_1_SI_7623_R1_001.fq.gz</v>
          </cell>
          <cell r="H42" t="str">
            <v>/home/projects/cge/backup/fastq/food_seqdata/NextSeq_207/FoodQCPipeline_tmp/conc_fqs/DTU_2022_1015947_1_SI_7623_R2_001.fq.gz</v>
          </cell>
          <cell r="I42">
            <v>7623</v>
          </cell>
          <cell r="J42">
            <v>7623</v>
          </cell>
          <cell r="K42" t="str">
            <v>Listeria monocytogenes</v>
          </cell>
          <cell r="N42" t="str">
            <v>Unknown</v>
          </cell>
          <cell r="Q42">
            <v>2014</v>
          </cell>
          <cell r="T42" t="str">
            <v>Institute for Milk Hygiene and Unit of Food Microbiology, University of Veterinary Medicine, Vienna, Austria</v>
          </cell>
          <cell r="U42" t="str">
            <v>Food</v>
          </cell>
          <cell r="V42" t="str">
            <v>Food</v>
          </cell>
          <cell r="X42" t="str">
            <v>ERR10549315</v>
          </cell>
        </row>
        <row r="43">
          <cell r="G43" t="str">
            <v>/home/projects/cge/backup/fastq/food_seqdata/NextSeq_207/FoodQCPipeline_tmp/conc_fqs/DTU_2022_1015944_1_SI_7595_R1_001.fq.gz</v>
          </cell>
          <cell r="H43" t="str">
            <v>/home/projects/cge/backup/fastq/food_seqdata/NextSeq_207/FoodQCPipeline_tmp/conc_fqs/DTU_2022_1015944_1_SI_7595_R2_001.fq.gz</v>
          </cell>
          <cell r="I43">
            <v>7595</v>
          </cell>
          <cell r="J43">
            <v>7595</v>
          </cell>
          <cell r="K43" t="str">
            <v>Listeria monocytogenes</v>
          </cell>
          <cell r="N43" t="str">
            <v>Unknown</v>
          </cell>
          <cell r="Q43">
            <v>2015</v>
          </cell>
          <cell r="T43" t="str">
            <v>Institute for Milk Hygiene and Unit of Food Microbiology, University of Veterinary Medicine, Vienna, Austria</v>
          </cell>
          <cell r="U43" t="str">
            <v>Production environment</v>
          </cell>
          <cell r="V43" t="str">
            <v>Food</v>
          </cell>
          <cell r="X43" t="str">
            <v>ERR10549313</v>
          </cell>
        </row>
        <row r="44">
          <cell r="G44" t="str">
            <v>/home/projects/cge/backup/fastq/food_seqdata/NextSeq_207/FoodQCPipeline_tmp/conc_fqs/DTU_2022_1015945_1_SI_7597_R1_001.fq.gz</v>
          </cell>
          <cell r="H44" t="str">
            <v>/home/projects/cge/backup/fastq/food_seqdata/NextSeq_207/FoodQCPipeline_tmp/conc_fqs/DTU_2022_1015945_1_SI_7597_R2_001.fq.gz</v>
          </cell>
          <cell r="I44">
            <v>7597</v>
          </cell>
          <cell r="J44">
            <v>7597</v>
          </cell>
          <cell r="K44" t="str">
            <v>Listeria monocytogenes</v>
          </cell>
          <cell r="N44" t="str">
            <v>Unknown</v>
          </cell>
          <cell r="Q44">
            <v>2015</v>
          </cell>
          <cell r="T44" t="str">
            <v>Institute for Milk Hygiene and Unit of Food Microbiology, University of Veterinary Medicine, Vienna, Austria</v>
          </cell>
          <cell r="U44" t="str">
            <v>Production environment</v>
          </cell>
          <cell r="V44" t="str">
            <v>Food</v>
          </cell>
          <cell r="X44" t="str">
            <v>ERR10549293</v>
          </cell>
        </row>
        <row r="45">
          <cell r="G45" t="str">
            <v>/home/projects/cge/backup/fastq/food_seqdata/NextSeq_207/FoodQCPipeline_tmp/conc_fqs/DTU_2022_1015948_1_SI_7630_R1_001.fq.gz</v>
          </cell>
          <cell r="H45" t="str">
            <v>/home/projects/cge/backup/fastq/food_seqdata/NextSeq_207/FoodQCPipeline_tmp/conc_fqs/DTU_2022_1015948_1_SI_7630_R2_001.fq.gz</v>
          </cell>
          <cell r="I45">
            <v>7630</v>
          </cell>
          <cell r="J45">
            <v>7630</v>
          </cell>
          <cell r="K45" t="str">
            <v>Listeria monocytogenes</v>
          </cell>
          <cell r="N45" t="str">
            <v>Unknown</v>
          </cell>
          <cell r="Q45">
            <v>2015</v>
          </cell>
          <cell r="T45" t="str">
            <v>Institute for Milk Hygiene and Unit of Food Microbiology, University of Veterinary Medicine, Vienna, Austria</v>
          </cell>
          <cell r="U45" t="str">
            <v>Food</v>
          </cell>
          <cell r="V45" t="str">
            <v>Food</v>
          </cell>
          <cell r="X45" t="str">
            <v>ERR10549273</v>
          </cell>
        </row>
        <row r="46">
          <cell r="G46" t="str">
            <v>/home/projects/cge/backup/fastq/food_seqdata/NextSeq_207/FoodQCPipeline_tmp/conc_fqs/DTU_2022_1015949_1_SI_7747_R1_001.fq.gz</v>
          </cell>
          <cell r="H46" t="str">
            <v>/home/projects/cge/backup/fastq/food_seqdata/NextSeq_207/FoodQCPipeline_tmp/conc_fqs/DTU_2022_1015949_1_SI_7747_R2_001.fq.gz</v>
          </cell>
          <cell r="I46">
            <v>7747</v>
          </cell>
          <cell r="J46">
            <v>7747</v>
          </cell>
          <cell r="K46" t="str">
            <v>Listeria monocytogenes</v>
          </cell>
          <cell r="N46" t="str">
            <v>Unknown</v>
          </cell>
          <cell r="Q46">
            <v>2015</v>
          </cell>
          <cell r="T46" t="str">
            <v>Institute for Milk Hygiene and Unit of Food Microbiology, University of Veterinary Medicine, Vienna, Austria</v>
          </cell>
          <cell r="U46" t="str">
            <v>Production environment</v>
          </cell>
          <cell r="V46" t="str">
            <v>Production environment</v>
          </cell>
          <cell r="X46" t="str">
            <v>ERR10549306</v>
          </cell>
        </row>
        <row r="47">
          <cell r="G47" t="str">
            <v>/home/projects/cge/backup/fastq/food_seqdata/NextSeq_207/FoodQCPipeline_tmp/conc_fqs/DTU_2022_1015950_1_SI_7755_R1_001.fq.gz</v>
          </cell>
          <cell r="H47" t="str">
            <v>/home/projects/cge/backup/fastq/food_seqdata/NextSeq_207/FoodQCPipeline_tmp/conc_fqs/DTU_2022_1015950_1_SI_7755_R2_001.fq.gz</v>
          </cell>
          <cell r="I47">
            <v>7755</v>
          </cell>
          <cell r="J47">
            <v>7755</v>
          </cell>
          <cell r="K47" t="str">
            <v>Listeria monocytogenes</v>
          </cell>
          <cell r="N47" t="str">
            <v>Unknown</v>
          </cell>
          <cell r="Q47">
            <v>2015</v>
          </cell>
          <cell r="T47" t="str">
            <v>Institute for Milk Hygiene and Unit of Food Microbiology, University of Veterinary Medicine, Vienna, Austria</v>
          </cell>
          <cell r="U47" t="str">
            <v>Production environment</v>
          </cell>
          <cell r="V47" t="str">
            <v>Production environment</v>
          </cell>
          <cell r="X47" t="str">
            <v>ERR10549272</v>
          </cell>
        </row>
        <row r="48">
          <cell r="G48" t="str">
            <v>/home/projects/cge/backup/fastq/food_seqdata/NextSeq_207/FoodQCPipeline_tmp/conc_fqs/DTU_2022_1015951_1_SI_7812_R1_001.fq.gz</v>
          </cell>
          <cell r="H48" t="str">
            <v>/home/projects/cge/backup/fastq/food_seqdata/NextSeq_207/FoodQCPipeline_tmp/conc_fqs/DTU_2022_1015951_1_SI_7812_R2_001.fq.gz</v>
          </cell>
          <cell r="I48">
            <v>7812</v>
          </cell>
          <cell r="J48">
            <v>7812</v>
          </cell>
          <cell r="K48" t="str">
            <v>Listeria monocytogenes</v>
          </cell>
          <cell r="N48" t="str">
            <v>Unknown</v>
          </cell>
          <cell r="Q48">
            <v>2015</v>
          </cell>
          <cell r="T48" t="str">
            <v>Institute for Milk Hygiene and Unit of Food Microbiology, University of Veterinary Medicine, Vienna, Austria</v>
          </cell>
          <cell r="U48" t="str">
            <v>Production environment</v>
          </cell>
          <cell r="V48" t="str">
            <v>Production environment</v>
          </cell>
          <cell r="X48" t="str">
            <v>ERR10549275</v>
          </cell>
        </row>
        <row r="49">
          <cell r="G49" t="str">
            <v>/home/projects/cge/backup/fastq/food_seqdata/NextSeq_207/FoodQCPipeline_tmp/conc_fqs/DTU_2022_1015952_1_SI_7882_R1_001.fq.gz</v>
          </cell>
          <cell r="H49" t="str">
            <v>/home/projects/cge/backup/fastq/food_seqdata/NextSeq_207/FoodQCPipeline_tmp/conc_fqs/DTU_2022_1015952_1_SI_7882_R2_001.fq.gz</v>
          </cell>
          <cell r="I49">
            <v>7882</v>
          </cell>
          <cell r="J49">
            <v>7882</v>
          </cell>
          <cell r="K49" t="str">
            <v>Listeria monocytogenes</v>
          </cell>
          <cell r="N49" t="str">
            <v>Unknown</v>
          </cell>
          <cell r="Q49">
            <v>2015</v>
          </cell>
          <cell r="T49" t="str">
            <v>Institute for Milk Hygiene and Unit of Food Microbiology, University of Veterinary Medicine, Vienna, Austria</v>
          </cell>
          <cell r="U49" t="str">
            <v>Production environment</v>
          </cell>
          <cell r="V49" t="str">
            <v>Production environment</v>
          </cell>
          <cell r="X49" t="str">
            <v>ERR10549338</v>
          </cell>
        </row>
        <row r="50">
          <cell r="G50" t="str">
            <v>/home/projects/cge/backup/fastq/food_seqdata/NextSeq_207/FoodQCPipeline_tmp/conc_fqs/DTU_2022_1015953_1_SI_7992_R1_001.fq.gz</v>
          </cell>
          <cell r="H50" t="str">
            <v>/home/projects/cge/backup/fastq/food_seqdata/NextSeq_207/FoodQCPipeline_tmp/conc_fqs/DTU_2022_1015953_1_SI_7992_R2_001.fq.gz</v>
          </cell>
          <cell r="I50">
            <v>7992</v>
          </cell>
          <cell r="J50">
            <v>7992</v>
          </cell>
          <cell r="K50" t="str">
            <v>Listeria monocytogenes</v>
          </cell>
          <cell r="N50" t="str">
            <v>Unknown</v>
          </cell>
          <cell r="Q50">
            <v>2016</v>
          </cell>
          <cell r="T50" t="str">
            <v>Institute for Milk Hygiene and Unit of Food Microbiology, University of Veterinary Medicine, Vienna, Austria</v>
          </cell>
          <cell r="U50" t="str">
            <v>Production environment</v>
          </cell>
          <cell r="V50" t="str">
            <v>Natural environment</v>
          </cell>
          <cell r="X50" t="str">
            <v>ERR10549324</v>
          </cell>
        </row>
        <row r="51">
          <cell r="G51" t="str">
            <v>/home/projects/cge/backup/fastq/food_seqdata/NextSeq_207/FoodQCPipeline_tmp/conc_fqs/DTU_2022_1015954_1_SI_8109_R1_001.fq.gz</v>
          </cell>
          <cell r="H51" t="str">
            <v>/home/projects/cge/backup/fastq/food_seqdata/NextSeq_207/FoodQCPipeline_tmp/conc_fqs/DTU_2022_1015954_1_SI_8109_R2_001.fq.gz</v>
          </cell>
          <cell r="I51">
            <v>8109</v>
          </cell>
          <cell r="J51">
            <v>8109</v>
          </cell>
          <cell r="K51" t="str">
            <v>Listeria monocytogenes</v>
          </cell>
          <cell r="N51" t="str">
            <v>Unknown</v>
          </cell>
          <cell r="Q51">
            <v>2016</v>
          </cell>
          <cell r="T51" t="str">
            <v>Institute for Milk Hygiene and Unit of Food Microbiology, University of Veterinary Medicine, Vienna, Austria</v>
          </cell>
          <cell r="U51" t="str">
            <v>Production environment</v>
          </cell>
          <cell r="V51" t="str">
            <v>Food</v>
          </cell>
          <cell r="X51" t="str">
            <v>ERR10549318</v>
          </cell>
        </row>
        <row r="52">
          <cell r="G52" t="str">
            <v>/home/projects/cge/backup/fastq/food_seqdata/NextSeq_207/FoodQCPipeline_tmp/conc_fqs/DTU_2022_1015955_1_SI_8110_R1_001.fq.gz</v>
          </cell>
          <cell r="H52" t="str">
            <v>/home/projects/cge/backup/fastq/food_seqdata/NextSeq_207/FoodQCPipeline_tmp/conc_fqs/DTU_2022_1015955_1_SI_8110_R2_001.fq.gz</v>
          </cell>
          <cell r="I52">
            <v>8110</v>
          </cell>
          <cell r="J52">
            <v>8110</v>
          </cell>
          <cell r="K52" t="str">
            <v>Listeria monocytogenes</v>
          </cell>
          <cell r="N52" t="str">
            <v>Unknown</v>
          </cell>
          <cell r="Q52">
            <v>2016</v>
          </cell>
          <cell r="T52" t="str">
            <v>Institute for Milk Hygiene and Unit of Food Microbiology, University of Veterinary Medicine, Vienna, Austria</v>
          </cell>
          <cell r="U52" t="str">
            <v>Food</v>
          </cell>
          <cell r="V52" t="str">
            <v>Food</v>
          </cell>
          <cell r="X52" t="str">
            <v>ERR10549317</v>
          </cell>
        </row>
        <row r="53">
          <cell r="G53" t="str">
            <v>/home/projects/cge/backup/fastq/food_seqdata/NextSeq_207/FoodQCPipeline_tmp/conc_fqs/DTU_2022_1015956_1_SI_8130_R1_001.fq.gz</v>
          </cell>
          <cell r="H53" t="str">
            <v>/home/projects/cge/backup/fastq/food_seqdata/NextSeq_207/FoodQCPipeline_tmp/conc_fqs/DTU_2022_1015956_1_SI_8130_R2_001.fq.gz</v>
          </cell>
          <cell r="I53">
            <v>8130</v>
          </cell>
          <cell r="J53">
            <v>8130</v>
          </cell>
          <cell r="K53" t="str">
            <v>Listeria monocytogenes</v>
          </cell>
          <cell r="N53" t="str">
            <v>Unknown</v>
          </cell>
          <cell r="Q53">
            <v>2016</v>
          </cell>
          <cell r="T53" t="str">
            <v>Institute for Milk Hygiene and Unit of Food Microbiology, University of Veterinary Medicine, Vienna, Austria</v>
          </cell>
          <cell r="U53" t="str">
            <v>Production environment</v>
          </cell>
          <cell r="V53" t="str">
            <v>Production environment</v>
          </cell>
          <cell r="X53" t="str">
            <v>ERR10549310</v>
          </cell>
        </row>
        <row r="54">
          <cell r="G54" t="str">
            <v>/home/projects/cge/backup/fastq/food_seqdata/NextSeq_207/FoodQCPipeline_tmp/conc_fqs/DTU_2022_1015827_1_SI_535_R1_001.fq.gz</v>
          </cell>
          <cell r="H54" t="str">
            <v>/home/projects/cge/backup/fastq/food_seqdata/NextSeq_207/FoodQCPipeline_tmp/conc_fqs/DTU_2022_1015827_1_SI_535_R2_001.fq.gz</v>
          </cell>
          <cell r="I54">
            <v>535</v>
          </cell>
          <cell r="J54">
            <v>535</v>
          </cell>
          <cell r="K54" t="str">
            <v>Listeria monocytogenes</v>
          </cell>
          <cell r="N54" t="str">
            <v>Unknown</v>
          </cell>
          <cell r="Q54" t="str">
            <v>Unknown</v>
          </cell>
          <cell r="T54" t="str">
            <v>Institute for Milk Hygiene and Unit of Food Microbiology, University of Veterinary Medicine, Vienna, Austria</v>
          </cell>
          <cell r="U54" t="str">
            <v>Food</v>
          </cell>
          <cell r="V54" t="str">
            <v>Cheese</v>
          </cell>
          <cell r="X54" t="str">
            <v>ERR10549309</v>
          </cell>
        </row>
        <row r="55">
          <cell r="G55" t="str">
            <v>/home/projects/cge/backup/fastq/food_seqdata/NextSeq_207/FoodQCPipeline_tmp/conc_fqs/DTU_2022_1015816_1_SI_2305_R1_001.fq.gz</v>
          </cell>
          <cell r="H55" t="str">
            <v>/home/projects/cge/backup/fastq/food_seqdata/NextSeq_207/FoodQCPipeline_tmp/conc_fqs/DTU_2022_1015816_1_SI_2305_R2_001.fq.gz</v>
          </cell>
          <cell r="I55">
            <v>2305</v>
          </cell>
          <cell r="J55">
            <v>2305</v>
          </cell>
          <cell r="K55" t="str">
            <v>Listeria monocytogenes</v>
          </cell>
          <cell r="N55" t="str">
            <v>Unknown</v>
          </cell>
          <cell r="Q55" t="str">
            <v>Unknown</v>
          </cell>
          <cell r="T55" t="str">
            <v>Institute for Milk Hygiene and Unit of Food Microbiology, University of Veterinary Medicine, Vienna, Austria</v>
          </cell>
          <cell r="U55" t="str">
            <v>Animal</v>
          </cell>
          <cell r="V55" t="str">
            <v>Bovine</v>
          </cell>
          <cell r="X55" t="str">
            <v>ERR10549288</v>
          </cell>
        </row>
        <row r="56">
          <cell r="G56" t="str">
            <v>/home/projects/cge/backup/fastq/food_seqdata/NextSeq_207/FoodQCPipeline_tmp/conc_fqs/DTU_2022_1015817_1_SI_2823_R1_001.fq.gz</v>
          </cell>
          <cell r="H56" t="str">
            <v>/home/projects/cge/backup/fastq/food_seqdata/NextSeq_207/FoodQCPipeline_tmp/conc_fqs/DTU_2022_1015817_1_SI_2823_R2_001.fq.gz</v>
          </cell>
          <cell r="I56">
            <v>2823</v>
          </cell>
          <cell r="J56">
            <v>2823</v>
          </cell>
          <cell r="K56" t="str">
            <v>Listeria monocytogenes</v>
          </cell>
          <cell r="N56" t="str">
            <v>Unknown</v>
          </cell>
          <cell r="Q56" t="str">
            <v>Unknown</v>
          </cell>
          <cell r="R56" t="str">
            <v>Ovis aries</v>
          </cell>
          <cell r="T56" t="str">
            <v>Institute for Milk Hygiene and Unit of Food Microbiology, University of Veterinary Medicine, Vienna, Austria</v>
          </cell>
          <cell r="U56" t="str">
            <v>Animal</v>
          </cell>
          <cell r="V56" t="str">
            <v>blood sheep</v>
          </cell>
          <cell r="X56" t="str">
            <v>ERR10549346</v>
          </cell>
        </row>
        <row r="57">
          <cell r="G57" t="str">
            <v>/home/projects/cge/backup/fastq/food_seqdata/NextSeq_207/FoodQCPipeline_tmp/conc_fqs/DTU_2022_1015819_1_SI_2992_R1_001.fq.gz</v>
          </cell>
          <cell r="H57" t="str">
            <v>/home/projects/cge/backup/fastq/food_seqdata/NextSeq_207/FoodQCPipeline_tmp/conc_fqs/DTU_2022_1015819_1_SI_2992_R2_001.fq.gz</v>
          </cell>
          <cell r="I57">
            <v>2992</v>
          </cell>
          <cell r="J57">
            <v>2992</v>
          </cell>
          <cell r="K57" t="str">
            <v>Listeria monocytogenes</v>
          </cell>
          <cell r="N57" t="str">
            <v>Unknown</v>
          </cell>
          <cell r="Q57" t="str">
            <v>Unknown</v>
          </cell>
          <cell r="T57" t="str">
            <v>Institute for Milk Hygiene and Unit of Food Microbiology, University of Veterinary Medicine, Vienna, Austria</v>
          </cell>
          <cell r="U57" t="str">
            <v>Animal</v>
          </cell>
          <cell r="V57" t="str">
            <v>bovine</v>
          </cell>
          <cell r="X57" t="str">
            <v>ERR10549296</v>
          </cell>
        </row>
        <row r="58">
          <cell r="G58" t="str">
            <v>/home/projects/cge/backup/fastq/food_seqdata/NextSeq_207/FoodQCPipeline_tmp/conc_fqs/DTU_2022_1015820_1_SI_2993_R1_001.fq.gz</v>
          </cell>
          <cell r="H58" t="str">
            <v>/home/projects/cge/backup/fastq/food_seqdata/NextSeq_207/FoodQCPipeline_tmp/conc_fqs/DTU_2022_1015820_1_SI_2993_R2_001.fq.gz</v>
          </cell>
          <cell r="I58">
            <v>2993</v>
          </cell>
          <cell r="J58">
            <v>2993</v>
          </cell>
          <cell r="K58" t="str">
            <v>Listeria monocytogenes</v>
          </cell>
          <cell r="N58" t="str">
            <v>Unknown</v>
          </cell>
          <cell r="Q58" t="str">
            <v>Unknown</v>
          </cell>
          <cell r="R58" t="str">
            <v>Ovis aries</v>
          </cell>
          <cell r="T58" t="str">
            <v>Institute for Milk Hygiene and Unit of Food Microbiology, University of Veterinary Medicine, Vienna, Austria</v>
          </cell>
          <cell r="U58" t="str">
            <v>Animal</v>
          </cell>
          <cell r="V58" t="str">
            <v>sheep</v>
          </cell>
          <cell r="X58" t="str">
            <v>ERR10549363</v>
          </cell>
        </row>
        <row r="59">
          <cell r="G59" t="str">
            <v>/home/projects/cge/backup/fastq/food_seqdata/NextSeq_207/FoodQCPipeline_tmp/conc_fqs/DTU_2022_1015828_1_SI_3202_R1_001.fq.gz</v>
          </cell>
          <cell r="H59" t="str">
            <v>/home/projects/cge/backup/fastq/food_seqdata/NextSeq_207/FoodQCPipeline_tmp/conc_fqs/DTU_2022_1015828_1_SI_3202_R2_001.fq.gz</v>
          </cell>
          <cell r="I59">
            <v>3202</v>
          </cell>
          <cell r="J59">
            <v>3202</v>
          </cell>
          <cell r="K59" t="str">
            <v>Listeria monocytogenes</v>
          </cell>
          <cell r="N59" t="str">
            <v>Unknown</v>
          </cell>
          <cell r="Q59" t="str">
            <v>Unknown</v>
          </cell>
          <cell r="T59" t="str">
            <v>Institute for Milk Hygiene and Unit of Food Microbiology, University of Veterinary Medicine, Vienna, Austria</v>
          </cell>
          <cell r="U59" t="str">
            <v>Production environment</v>
          </cell>
          <cell r="V59" t="str">
            <v>Production environment</v>
          </cell>
          <cell r="X59" t="str">
            <v>ERR10549333</v>
          </cell>
        </row>
        <row r="60">
          <cell r="G60" t="str">
            <v>/home/projects/cge/backup/fastq/food_seqdata/NextSeq_207/FoodQCPipeline_tmp/conc_fqs/DTU_2022_1015829_1_SI_3243_R1_001.fq.gz</v>
          </cell>
          <cell r="H60" t="str">
            <v>/home/projects/cge/backup/fastq/food_seqdata/NextSeq_207/FoodQCPipeline_tmp/conc_fqs/DTU_2022_1015829_1_SI_3243_R2_001.fq.gz</v>
          </cell>
          <cell r="I60">
            <v>3243</v>
          </cell>
          <cell r="J60">
            <v>3243</v>
          </cell>
          <cell r="K60" t="str">
            <v>Listeria monocytogenes</v>
          </cell>
          <cell r="N60" t="str">
            <v>Unknown</v>
          </cell>
          <cell r="Q60" t="str">
            <v>Unknown</v>
          </cell>
          <cell r="T60" t="str">
            <v>Institute for Milk Hygiene and Unit of Food Microbiology, University of Veterinary Medicine, Vienna, Austria</v>
          </cell>
          <cell r="U60" t="str">
            <v>Production environment</v>
          </cell>
          <cell r="V60" t="str">
            <v>Production environment</v>
          </cell>
          <cell r="X60" t="str">
            <v>ERR10549329</v>
          </cell>
        </row>
        <row r="61">
          <cell r="G61" t="str">
            <v>/home/projects/cge/backup/fastq/food_seqdata/NextSeq_207/FoodQCPipeline_tmp/conc_fqs/DTU_2022_1015830_1_SI_3261_R1_001.fq.gz</v>
          </cell>
          <cell r="H61" t="str">
            <v>/home/projects/cge/backup/fastq/food_seqdata/NextSeq_207/FoodQCPipeline_tmp/conc_fqs/DTU_2022_1015830_1_SI_3261_R2_001.fq.gz</v>
          </cell>
          <cell r="I61">
            <v>3261</v>
          </cell>
          <cell r="J61">
            <v>3261</v>
          </cell>
          <cell r="K61" t="str">
            <v>Listeria monocytogenes</v>
          </cell>
          <cell r="N61" t="str">
            <v>Unknown</v>
          </cell>
          <cell r="Q61" t="str">
            <v>Unknown</v>
          </cell>
          <cell r="T61" t="str">
            <v>Institute for Milk Hygiene and Unit of Food Microbiology, University of Veterinary Medicine, Vienna, Austria</v>
          </cell>
          <cell r="U61" t="str">
            <v>Food</v>
          </cell>
          <cell r="V61" t="str">
            <v>Food</v>
          </cell>
          <cell r="X61" t="str">
            <v>ERR10549328</v>
          </cell>
        </row>
        <row r="62">
          <cell r="G62" t="str">
            <v>/home/projects/cge/backup/fastq/food_seqdata/NextSeq_207/FoodQCPipeline_tmp/conc_fqs/DTU_2022_1015831_1_SI_AU2566_R1_001.fq.gz</v>
          </cell>
          <cell r="H62" t="str">
            <v>/home/projects/cge/backup/fastq/food_seqdata/NextSeq_207/FoodQCPipeline_tmp/conc_fqs/DTU_2022_1015831_1_SI_AU2566_R2_001.fq.gz</v>
          </cell>
          <cell r="I62" t="str">
            <v>AU2566</v>
          </cell>
          <cell r="J62" t="str">
            <v>AU2566</v>
          </cell>
          <cell r="K62" t="str">
            <v>Listeria monocytogenes</v>
          </cell>
          <cell r="N62" t="str">
            <v>Unknown</v>
          </cell>
          <cell r="Q62" t="str">
            <v>Unknown</v>
          </cell>
          <cell r="T62" t="str">
            <v>Institute for Milk Hygiene and Unit of Food Microbiology, University of Veterinary Medicine, Vienna, Austria</v>
          </cell>
          <cell r="U62" t="str">
            <v>Production environment</v>
          </cell>
          <cell r="V62" t="str">
            <v>Production environment</v>
          </cell>
          <cell r="X62" t="str">
            <v>ERR10549374</v>
          </cell>
        </row>
        <row r="63">
          <cell r="G63" t="str">
            <v>/home/projects/cge/backup/fastq/food_seqdata/NextSeq_207/FoodQCPipeline_tmp/conc_fqs/DTU_2022_1015832_1_SI_AU4423_R1_001.fq.gz</v>
          </cell>
          <cell r="H63" t="str">
            <v>/home/projects/cge/backup/fastq/food_seqdata/NextSeq_207/FoodQCPipeline_tmp/conc_fqs/DTU_2022_1015832_1_SI_AU4423_R2_001.fq.gz</v>
          </cell>
          <cell r="I63" t="str">
            <v>AU4423</v>
          </cell>
          <cell r="J63" t="str">
            <v>AU4423</v>
          </cell>
          <cell r="K63" t="str">
            <v>Listeria monocytogenes</v>
          </cell>
          <cell r="N63" t="str">
            <v>Unknown</v>
          </cell>
          <cell r="Q63" t="str">
            <v>Unknown</v>
          </cell>
          <cell r="T63" t="str">
            <v>Institute for Milk Hygiene and Unit of Food Microbiology, University of Veterinary Medicine, Vienna, Austria</v>
          </cell>
          <cell r="U63" t="str">
            <v>Food</v>
          </cell>
          <cell r="V63" t="str">
            <v>Food</v>
          </cell>
          <cell r="X63" t="str">
            <v>ERR10549298</v>
          </cell>
        </row>
        <row r="64">
          <cell r="G64" t="str">
            <v>/home/projects/cge/backup/fastq/food_seqdata/NextSeq_207/FoodQCPipeline_tmp/conc_fqs/DTU_2022_1015833_1_SI_AU4898_R1_001.fq.gz</v>
          </cell>
          <cell r="H64" t="str">
            <v>/home/projects/cge/backup/fastq/food_seqdata/NextSeq_207/FoodQCPipeline_tmp/conc_fqs/DTU_2022_1015833_1_SI_AU4898_R2_001.fq.gz</v>
          </cell>
          <cell r="I64" t="str">
            <v>AU4898</v>
          </cell>
          <cell r="J64" t="str">
            <v>AU4898</v>
          </cell>
          <cell r="K64" t="str">
            <v>Listeria monocytogenes</v>
          </cell>
          <cell r="N64" t="str">
            <v>Unknown</v>
          </cell>
          <cell r="Q64" t="str">
            <v>Unknown</v>
          </cell>
          <cell r="T64" t="str">
            <v>Institute for Milk Hygiene and Unit of Food Microbiology, University of Veterinary Medicine, Vienna, Austria</v>
          </cell>
          <cell r="U64" t="str">
            <v>Production environment</v>
          </cell>
          <cell r="V64" t="str">
            <v>Production environment</v>
          </cell>
          <cell r="X64" t="str">
            <v>ERR10549337</v>
          </cell>
        </row>
        <row r="65">
          <cell r="G65" t="str">
            <v>/home/projects/cge/backup/fastq/food_seqdata/NextSeq_207/FoodQCPipeline_tmp/conc_fqs/DTU_2022_1015834_1_SI_CDL121_R1_001.fq.gz</v>
          </cell>
          <cell r="H65" t="str">
            <v>/home/projects/cge/backup/fastq/food_seqdata/NextSeq_207/FoodQCPipeline_tmp/conc_fqs/DTU_2022_1015834_1_SI_CDL121_R2_001.fq.gz</v>
          </cell>
          <cell r="I65" t="str">
            <v>CDL121</v>
          </cell>
          <cell r="J65" t="str">
            <v>CDL121</v>
          </cell>
          <cell r="K65" t="str">
            <v>Listeria monocytogenes</v>
          </cell>
          <cell r="N65" t="str">
            <v>Unknown</v>
          </cell>
          <cell r="Q65" t="str">
            <v>Unknown</v>
          </cell>
          <cell r="T65" t="str">
            <v>Institute for Milk Hygiene and Unit of Food Microbiology, University of Veterinary Medicine, Vienna, Austria</v>
          </cell>
          <cell r="U65" t="str">
            <v>Animal</v>
          </cell>
          <cell r="V65" t="str">
            <v>Animal clinical</v>
          </cell>
          <cell r="X65" t="str">
            <v>ERR10549311</v>
          </cell>
        </row>
        <row r="66">
          <cell r="G66" t="str">
            <v>/home/projects/cge/backup/fastq/food_seqdata/NextSeq_207/FoodQCPipeline_tmp/conc_fqs/DTU_2022_1015835_1_SI_CDL142_R1_001.fq.gz</v>
          </cell>
          <cell r="H66" t="str">
            <v>/home/projects/cge/backup/fastq/food_seqdata/NextSeq_207/FoodQCPipeline_tmp/conc_fqs/DTU_2022_1015835_1_SI_CDL142_R2_001.fq.gz</v>
          </cell>
          <cell r="I66" t="str">
            <v>CDL142</v>
          </cell>
          <cell r="J66" t="str">
            <v>CDL142</v>
          </cell>
          <cell r="K66" t="str">
            <v>Listeria monocytogenes</v>
          </cell>
          <cell r="N66" t="str">
            <v>Unknown</v>
          </cell>
          <cell r="Q66" t="str">
            <v>Unknown</v>
          </cell>
          <cell r="T66" t="str">
            <v>Institute for Milk Hygiene and Unit of Food Microbiology, University of Veterinary Medicine, Vienna, Austria</v>
          </cell>
          <cell r="U66" t="str">
            <v>Production environment</v>
          </cell>
          <cell r="V66" t="str">
            <v>Production environment</v>
          </cell>
          <cell r="X66" t="str">
            <v>ERR10549332</v>
          </cell>
        </row>
        <row r="67">
          <cell r="G67" t="str">
            <v>/home/projects/cge/backup/fastq/food_seqdata/NextSeq_207/FoodQCPipeline_tmp/conc_fqs/DTU_2022_1015836_1_SI_CDL146_R1_001.fq.gz</v>
          </cell>
          <cell r="H67" t="str">
            <v>/home/projects/cge/backup/fastq/food_seqdata/NextSeq_207/FoodQCPipeline_tmp/conc_fqs/DTU_2022_1015836_1_SI_CDL146_R2_001.fq.gz</v>
          </cell>
          <cell r="I67" t="str">
            <v>CDL146</v>
          </cell>
          <cell r="J67" t="str">
            <v>CDL146</v>
          </cell>
          <cell r="K67" t="str">
            <v>Listeria monocytogenes</v>
          </cell>
          <cell r="N67" t="str">
            <v>Unknown</v>
          </cell>
          <cell r="Q67" t="str">
            <v>Unknown</v>
          </cell>
          <cell r="T67" t="str">
            <v>Institute for Milk Hygiene and Unit of Food Microbiology, University of Veterinary Medicine, Vienna, Austria</v>
          </cell>
          <cell r="U67" t="str">
            <v>Production environment</v>
          </cell>
          <cell r="V67" t="str">
            <v>Production environment</v>
          </cell>
          <cell r="X67" t="str">
            <v>ERR10549334</v>
          </cell>
        </row>
        <row r="68">
          <cell r="G68" t="str">
            <v>/home/projects/cge/backup/fastq/food_seqdata/NextSeq_207/FoodQCPipeline_tmp/conc_fqs/DTU_2022_1015837_1_SI_CDL147_R1_001.fq.gz</v>
          </cell>
          <cell r="H68" t="str">
            <v>/home/projects/cge/backup/fastq/food_seqdata/NextSeq_207/FoodQCPipeline_tmp/conc_fqs/DTU_2022_1015837_1_SI_CDL147_R2_001.fq.gz</v>
          </cell>
          <cell r="I68" t="str">
            <v>CDL147</v>
          </cell>
          <cell r="J68" t="str">
            <v>CDL147</v>
          </cell>
          <cell r="K68" t="str">
            <v>Listeria monocytogenes</v>
          </cell>
          <cell r="N68" t="str">
            <v>Unknown</v>
          </cell>
          <cell r="Q68" t="str">
            <v>Unknown</v>
          </cell>
          <cell r="T68" t="str">
            <v>Institute for Milk Hygiene and Unit of Food Microbiology, University of Veterinary Medicine, Vienna, Austria</v>
          </cell>
          <cell r="U68" t="str">
            <v>Food</v>
          </cell>
          <cell r="V68" t="str">
            <v>Food</v>
          </cell>
          <cell r="X68" t="str">
            <v>ERR10549335</v>
          </cell>
        </row>
        <row r="69">
          <cell r="G69" t="str">
            <v>/home/projects/cge/backup/fastq/food_seqdata/NextSeq_207/FoodQCPipeline_tmp/conc_fqs/DTU_2022_1015838_1_SI_CDL150_R1_001.fq.gz</v>
          </cell>
          <cell r="H69" t="str">
            <v>/home/projects/cge/backup/fastq/food_seqdata/NextSeq_207/FoodQCPipeline_tmp/conc_fqs/DTU_2022_1015838_1_SI_CDL150_R2_001.fq.gz</v>
          </cell>
          <cell r="I69" t="str">
            <v>CDL150</v>
          </cell>
          <cell r="J69" t="str">
            <v>CDL150</v>
          </cell>
          <cell r="K69" t="str">
            <v>Listeria monocytogenes</v>
          </cell>
          <cell r="N69" t="str">
            <v>Unknown</v>
          </cell>
          <cell r="Q69" t="str">
            <v>Unknown</v>
          </cell>
          <cell r="T69" t="str">
            <v>Institute for Milk Hygiene and Unit of Food Microbiology, University of Veterinary Medicine, Vienna, Austria</v>
          </cell>
          <cell r="U69" t="str">
            <v>Food</v>
          </cell>
          <cell r="V69" t="str">
            <v>Food</v>
          </cell>
          <cell r="X69" t="str">
            <v>ERR10549326</v>
          </cell>
        </row>
        <row r="70">
          <cell r="G70" t="str">
            <v>/home/projects/cge/backup/fastq/food_seqdata/NextSeq_207/FoodQCPipeline_tmp/conc_fqs/DTU_2022_1015839_1_SI_CDL154_R1_001.fq.gz</v>
          </cell>
          <cell r="H70" t="str">
            <v>/home/projects/cge/backup/fastq/food_seqdata/NextSeq_207/FoodQCPipeline_tmp/conc_fqs/DTU_2022_1015839_1_SI_CDL154_R2_001.fq.gz</v>
          </cell>
          <cell r="I70" t="str">
            <v>CDL154</v>
          </cell>
          <cell r="J70" t="str">
            <v>CDL154</v>
          </cell>
          <cell r="K70" t="str">
            <v>Listeria monocytogenes</v>
          </cell>
          <cell r="N70" t="str">
            <v>Unknown</v>
          </cell>
          <cell r="Q70" t="str">
            <v>Unknown</v>
          </cell>
          <cell r="T70" t="str">
            <v>Institute for Milk Hygiene and Unit of Food Microbiology, University of Veterinary Medicine, Vienna, Austria</v>
          </cell>
          <cell r="U70" t="str">
            <v>Food</v>
          </cell>
          <cell r="V70" t="str">
            <v>Food</v>
          </cell>
          <cell r="X70" t="str">
            <v>ERR10549322</v>
          </cell>
        </row>
        <row r="71">
          <cell r="G71" t="str">
            <v>/home/projects/cge/backup/fastq/food_seqdata/NextSeq_207/FoodQCPipeline_tmp/conc_fqs/DTU_2022_1015840_1_SI_CDL157_R1_001.fq.gz</v>
          </cell>
          <cell r="H71" t="str">
            <v>/home/projects/cge/backup/fastq/food_seqdata/NextSeq_207/FoodQCPipeline_tmp/conc_fqs/DTU_2022_1015840_1_SI_CDL157_R2_001.fq.gz</v>
          </cell>
          <cell r="I71" t="str">
            <v>CDL157</v>
          </cell>
          <cell r="J71" t="str">
            <v>CDL157</v>
          </cell>
          <cell r="K71" t="str">
            <v>Listeria monocytogenes</v>
          </cell>
          <cell r="N71" t="str">
            <v>Unknown</v>
          </cell>
          <cell r="Q71" t="str">
            <v>Unknown</v>
          </cell>
          <cell r="T71" t="str">
            <v>Institute for Milk Hygiene and Unit of Food Microbiology, University of Veterinary Medicine, Vienna, Austria</v>
          </cell>
          <cell r="U71" t="str">
            <v>Food</v>
          </cell>
          <cell r="V71" t="str">
            <v>Food</v>
          </cell>
          <cell r="X71" t="str">
            <v>ERR10549330</v>
          </cell>
        </row>
        <row r="72">
          <cell r="G72" t="str">
            <v>/home/projects/cge/backup/fastq/food_seqdata/NextSeq_207/FoodQCPipeline_tmp/conc_fqs/DTU_2022_1015841_1_SI_CDL158_R1_001.fq.gz</v>
          </cell>
          <cell r="H72" t="str">
            <v>/home/projects/cge/backup/fastq/food_seqdata/NextSeq_207/FoodQCPipeline_tmp/conc_fqs/DTU_2022_1015841_1_SI_CDL158_R2_001.fq.gz</v>
          </cell>
          <cell r="I72" t="str">
            <v>CDL158</v>
          </cell>
          <cell r="J72" t="str">
            <v>CDL158</v>
          </cell>
          <cell r="K72" t="str">
            <v>Listeria monocytogenes</v>
          </cell>
          <cell r="N72" t="str">
            <v>Unknown</v>
          </cell>
          <cell r="Q72" t="str">
            <v>Unknown</v>
          </cell>
          <cell r="T72" t="str">
            <v>Institute for Milk Hygiene and Unit of Food Microbiology, University of Veterinary Medicine, Vienna, Austria</v>
          </cell>
          <cell r="U72" t="str">
            <v>Food</v>
          </cell>
          <cell r="V72" t="str">
            <v>Food</v>
          </cell>
          <cell r="X72" t="str">
            <v>ERR10549303</v>
          </cell>
        </row>
        <row r="73">
          <cell r="G73" t="str">
            <v>/home/projects/cge/backup/fastq/food_seqdata/NextSeq_207/FoodQCPipeline_tmp/conc_fqs/DTU_2022_1015842_1_SI_CDL161_R1_001.fq.gz</v>
          </cell>
          <cell r="H73" t="str">
            <v>/home/projects/cge/backup/fastq/food_seqdata/NextSeq_207/FoodQCPipeline_tmp/conc_fqs/DTU_2022_1015842_1_SI_CDL161_R2_001.fq.gz</v>
          </cell>
          <cell r="I73" t="str">
            <v>CDL161</v>
          </cell>
          <cell r="J73" t="str">
            <v>CDL161</v>
          </cell>
          <cell r="K73" t="str">
            <v>Listeria monocytogenes</v>
          </cell>
          <cell r="N73" t="str">
            <v>Unknown</v>
          </cell>
          <cell r="Q73" t="str">
            <v>Unknown</v>
          </cell>
          <cell r="T73" t="str">
            <v>Institute for Milk Hygiene and Unit of Food Microbiology, University of Veterinary Medicine, Vienna, Austria</v>
          </cell>
          <cell r="U73" t="str">
            <v>Food</v>
          </cell>
          <cell r="V73" t="str">
            <v>Food</v>
          </cell>
          <cell r="X73" t="str">
            <v>ERR10549320</v>
          </cell>
        </row>
        <row r="74">
          <cell r="G74" t="str">
            <v>/home/projects/cge/backup/fastq/food_seqdata/NextSeq_207/FoodQCPipeline_tmp/conc_fqs/DTU_2022_1015843_1_SI_CDL164_R1_001.fq.gz</v>
          </cell>
          <cell r="H74" t="str">
            <v>/home/projects/cge/backup/fastq/food_seqdata/NextSeq_207/FoodQCPipeline_tmp/conc_fqs/DTU_2022_1015843_1_SI_CDL164_R2_001.fq.gz</v>
          </cell>
          <cell r="I74" t="str">
            <v>CDL164</v>
          </cell>
          <cell r="J74" t="str">
            <v>CDL164</v>
          </cell>
          <cell r="K74" t="str">
            <v>Listeria monocytogenes</v>
          </cell>
          <cell r="N74" t="str">
            <v>Unknown</v>
          </cell>
          <cell r="Q74" t="str">
            <v>Unknown</v>
          </cell>
          <cell r="T74" t="str">
            <v>Institute for Milk Hygiene and Unit of Food Microbiology, University of Veterinary Medicine, Vienna, Austria</v>
          </cell>
          <cell r="U74" t="str">
            <v>Food</v>
          </cell>
          <cell r="V74" t="str">
            <v>Food</v>
          </cell>
          <cell r="X74" t="str">
            <v>ERR10549381</v>
          </cell>
        </row>
        <row r="75">
          <cell r="G75" t="str">
            <v>/home/projects/cge/backup/fastq/food_seqdata/NextSeq_207/FoodQCPipeline_tmp/conc_fqs/DTU_2022_1015844_1_SI_CDL170_R1_001.fq.gz</v>
          </cell>
          <cell r="H75" t="str">
            <v>/home/projects/cge/backup/fastq/food_seqdata/NextSeq_207/FoodQCPipeline_tmp/conc_fqs/DTU_2022_1015844_1_SI_CDL170_R2_001.fq.gz</v>
          </cell>
          <cell r="I75" t="str">
            <v>CDL170</v>
          </cell>
          <cell r="J75" t="str">
            <v>CDL170</v>
          </cell>
          <cell r="K75" t="str">
            <v>Listeria monocytogenes</v>
          </cell>
          <cell r="N75" t="str">
            <v>Unknown</v>
          </cell>
          <cell r="Q75" t="str">
            <v>Unknown</v>
          </cell>
          <cell r="T75" t="str">
            <v>Institute for Milk Hygiene and Unit of Food Microbiology, University of Veterinary Medicine, Vienna, Austria</v>
          </cell>
          <cell r="U75" t="str">
            <v>Food</v>
          </cell>
          <cell r="V75" t="str">
            <v>Food</v>
          </cell>
          <cell r="X75" t="str">
            <v>ERR10549308</v>
          </cell>
        </row>
        <row r="76">
          <cell r="G76" t="str">
            <v>/home/projects/cge/backup/fastq/food_seqdata/NextSeq_207/FoodQCPipeline_tmp/conc_fqs/DTU_2022_1015845_1_SI_CDL171_R1_001.fq.gz</v>
          </cell>
          <cell r="H76" t="str">
            <v>/home/projects/cge/backup/fastq/food_seqdata/NextSeq_207/FoodQCPipeline_tmp/conc_fqs/DTU_2022_1015845_1_SI_CDL171_R2_001.fq.gz</v>
          </cell>
          <cell r="I76" t="str">
            <v>CDL171</v>
          </cell>
          <cell r="J76" t="str">
            <v>CDL171</v>
          </cell>
          <cell r="K76" t="str">
            <v>Listeria monocytogenes</v>
          </cell>
          <cell r="N76" t="str">
            <v>Unknown</v>
          </cell>
          <cell r="Q76" t="str">
            <v>Unknown</v>
          </cell>
          <cell r="T76" t="str">
            <v>Institute for Milk Hygiene and Unit of Food Microbiology, University of Veterinary Medicine, Vienna, Austria</v>
          </cell>
          <cell r="U76" t="str">
            <v>Production environment</v>
          </cell>
          <cell r="V76" t="str">
            <v>Production environment</v>
          </cell>
          <cell r="X76" t="str">
            <v>ERR10549339</v>
          </cell>
        </row>
        <row r="77">
          <cell r="G77" t="str">
            <v>/home/projects/cge/backup/fastq/food_seqdata/NextSeq_207/FoodQCPipeline_tmp/conc_fqs/DTU_2022_1015846_1_SI_CDL172_R1_001.fq.gz</v>
          </cell>
          <cell r="H77" t="str">
            <v>/home/projects/cge/backup/fastq/food_seqdata/NextSeq_207/FoodQCPipeline_tmp/conc_fqs/DTU_2022_1015846_1_SI_CDL172_R2_001.fq.gz</v>
          </cell>
          <cell r="I77" t="str">
            <v>CDL172</v>
          </cell>
          <cell r="J77" t="str">
            <v>CDL172</v>
          </cell>
          <cell r="K77" t="str">
            <v>Listeria monocytogenes</v>
          </cell>
          <cell r="N77" t="str">
            <v>Unknown</v>
          </cell>
          <cell r="Q77" t="str">
            <v>Unknown</v>
          </cell>
          <cell r="T77" t="str">
            <v>Institute for Milk Hygiene and Unit of Food Microbiology, University of Veterinary Medicine, Vienna, Austria</v>
          </cell>
          <cell r="U77" t="str">
            <v>Food</v>
          </cell>
          <cell r="V77" t="str">
            <v>Food</v>
          </cell>
          <cell r="X77" t="str">
            <v>ERR10549341</v>
          </cell>
        </row>
        <row r="78">
          <cell r="G78" t="str">
            <v>/home/projects/cge/backup/fastq/food_seqdata/NextSeq_207/FoodQCPipeline_tmp/conc_fqs/DTU_2022_1015847_1_SI_CDL174_R1_001.fq.gz</v>
          </cell>
          <cell r="H78" t="str">
            <v>/home/projects/cge/backup/fastq/food_seqdata/NextSeq_207/FoodQCPipeline_tmp/conc_fqs/DTU_2022_1015847_1_SI_CDL174_R2_001.fq.gz</v>
          </cell>
          <cell r="I78" t="str">
            <v>CDL174</v>
          </cell>
          <cell r="J78" t="str">
            <v>CDL174</v>
          </cell>
          <cell r="K78" t="str">
            <v>Listeria monocytogenes</v>
          </cell>
          <cell r="N78" t="str">
            <v>Unknown</v>
          </cell>
          <cell r="Q78" t="str">
            <v>Unknown</v>
          </cell>
          <cell r="T78" t="str">
            <v>Institute for Milk Hygiene and Unit of Food Microbiology, University of Veterinary Medicine, Vienna, Austria</v>
          </cell>
          <cell r="U78" t="str">
            <v>Food</v>
          </cell>
          <cell r="V78" t="str">
            <v>Food</v>
          </cell>
          <cell r="X78" t="str">
            <v>ERR10549307</v>
          </cell>
        </row>
        <row r="79">
          <cell r="G79" t="str">
            <v>/home/projects/cge/backup/fastq/food_seqdata/NextSeq_207/FoodQCPipeline_tmp/conc_fqs/DTU_2022_1015848_1_SI_CDL175_R1_001.fq.gz</v>
          </cell>
          <cell r="H79" t="str">
            <v>/home/projects/cge/backup/fastq/food_seqdata/NextSeq_207/FoodQCPipeline_tmp/conc_fqs/DTU_2022_1015848_1_SI_CDL175_R2_001.fq.gz</v>
          </cell>
          <cell r="I79" t="str">
            <v>CDL175</v>
          </cell>
          <cell r="J79" t="str">
            <v>CDL175</v>
          </cell>
          <cell r="K79" t="str">
            <v>Listeria monocytogenes</v>
          </cell>
          <cell r="N79" t="str">
            <v>Unknown</v>
          </cell>
          <cell r="Q79" t="str">
            <v>Unknown</v>
          </cell>
          <cell r="T79" t="str">
            <v>Institute for Milk Hygiene and Unit of Food Microbiology, University of Veterinary Medicine, Vienna, Austria</v>
          </cell>
          <cell r="U79" t="str">
            <v>Food</v>
          </cell>
          <cell r="V79" t="str">
            <v>Food</v>
          </cell>
          <cell r="X79" t="str">
            <v>ERR10549444</v>
          </cell>
        </row>
        <row r="80">
          <cell r="G80" t="str">
            <v>/home/projects/cge/backup/fastq/food_seqdata/NextSeq_207/FoodQCPipeline_tmp/conc_fqs/DTU_2022_1015849_1_SI_CDL176_R1_001.fq.gz</v>
          </cell>
          <cell r="H80" t="str">
            <v>/home/projects/cge/backup/fastq/food_seqdata/NextSeq_207/FoodQCPipeline_tmp/conc_fqs/DTU_2022_1015849_1_SI_CDL176_R2_001.fq.gz</v>
          </cell>
          <cell r="I80" t="str">
            <v>CDL176</v>
          </cell>
          <cell r="J80" t="str">
            <v>CDL176</v>
          </cell>
          <cell r="K80" t="str">
            <v>Listeria monocytogenes</v>
          </cell>
          <cell r="N80" t="str">
            <v>Unknown</v>
          </cell>
          <cell r="Q80" t="str">
            <v>Unknown</v>
          </cell>
          <cell r="T80" t="str">
            <v>Institute for Milk Hygiene and Unit of Food Microbiology, University of Veterinary Medicine, Vienna, Austria</v>
          </cell>
          <cell r="U80" t="str">
            <v>Food</v>
          </cell>
          <cell r="V80" t="str">
            <v>Food</v>
          </cell>
          <cell r="X80" t="str">
            <v>ERR10549323</v>
          </cell>
        </row>
        <row r="81">
          <cell r="G81" t="str">
            <v>/home/projects/cge/backup/fastq/food_seqdata/NextSeq_207/FoodQCPipeline_tmp/conc_fqs/DTU_2022_1015850_1_SI_CDL197_R1_001.fq.gz</v>
          </cell>
          <cell r="H81" t="str">
            <v>/home/projects/cge/backup/fastq/food_seqdata/NextSeq_207/FoodQCPipeline_tmp/conc_fqs/DTU_2022_1015850_1_SI_CDL197_R2_001.fq.gz</v>
          </cell>
          <cell r="I81" t="str">
            <v>CDL197</v>
          </cell>
          <cell r="J81" t="str">
            <v>CDL197</v>
          </cell>
          <cell r="K81" t="str">
            <v>Listeria monocytogenes</v>
          </cell>
          <cell r="N81" t="str">
            <v>Unknown</v>
          </cell>
          <cell r="Q81" t="str">
            <v>Unknown</v>
          </cell>
          <cell r="T81" t="str">
            <v>Institute for Milk Hygiene and Unit of Food Microbiology, University of Veterinary Medicine, Vienna, Austria</v>
          </cell>
          <cell r="U81" t="str">
            <v>Animal</v>
          </cell>
          <cell r="V81" t="str">
            <v>Animal clinical</v>
          </cell>
          <cell r="X81" t="str">
            <v>ERR10549399</v>
          </cell>
        </row>
        <row r="82">
          <cell r="G82" t="str">
            <v>/home/projects/cge/backup/fastq/food_seqdata/NextSeq_207/FoodQCPipeline_tmp/conc_fqs/DTU_2022_1015851_1_SI_CDL2_R1_001.fq.gz</v>
          </cell>
          <cell r="H82" t="str">
            <v>/home/projects/cge/backup/fastq/food_seqdata/NextSeq_207/FoodQCPipeline_tmp/conc_fqs/DTU_2022_1015851_1_SI_CDL2_R2_001.fq.gz</v>
          </cell>
          <cell r="I82" t="str">
            <v>CDL2</v>
          </cell>
          <cell r="J82" t="str">
            <v>CDL2</v>
          </cell>
          <cell r="K82" t="str">
            <v>Listeria monocytogenes</v>
          </cell>
          <cell r="N82" t="str">
            <v>Unknown</v>
          </cell>
          <cell r="Q82" t="str">
            <v>Unknown</v>
          </cell>
          <cell r="T82" t="str">
            <v>Institute for Milk Hygiene and Unit of Food Microbiology, University of Veterinary Medicine, Vienna, Austria</v>
          </cell>
          <cell r="U82" t="str">
            <v>Animal</v>
          </cell>
          <cell r="V82" t="str">
            <v>Animal clinical</v>
          </cell>
          <cell r="X82" t="str">
            <v>ERR10549345</v>
          </cell>
        </row>
        <row r="83">
          <cell r="G83" t="str">
            <v>/home/projects/cge/backup/fastq/food_seqdata/NextSeq_207/FoodQCPipeline_tmp/conc_fqs/DTU_2022_1015852_1_SI_CDL200_R1_001.fq.gz</v>
          </cell>
          <cell r="H83" t="str">
            <v>/home/projects/cge/backup/fastq/food_seqdata/NextSeq_207/FoodQCPipeline_tmp/conc_fqs/DTU_2022_1015852_1_SI_CDL200_R2_001.fq.gz</v>
          </cell>
          <cell r="I83" t="str">
            <v>CDL200</v>
          </cell>
          <cell r="J83" t="str">
            <v>CDL200</v>
          </cell>
          <cell r="K83" t="str">
            <v>Listeria monocytogenes</v>
          </cell>
          <cell r="N83" t="str">
            <v>Unknown</v>
          </cell>
          <cell r="Q83" t="str">
            <v>Unknown</v>
          </cell>
          <cell r="T83" t="str">
            <v>Institute for Milk Hygiene and Unit of Food Microbiology, University of Veterinary Medicine, Vienna, Austria</v>
          </cell>
          <cell r="U83" t="str">
            <v>Animal</v>
          </cell>
          <cell r="V83" t="str">
            <v>Animal clinical</v>
          </cell>
          <cell r="X83" t="str">
            <v>ERR10549364</v>
          </cell>
        </row>
        <row r="84">
          <cell r="G84" t="str">
            <v>/home/projects/cge/backup/fastq/food_seqdata/NextSeq_207/FoodQCPipeline_tmp/conc_fqs/DTU_2022_1015853_1_SI_CDL202_R1_001.fq.gz</v>
          </cell>
          <cell r="H84" t="str">
            <v>/home/projects/cge/backup/fastq/food_seqdata/NextSeq_207/FoodQCPipeline_tmp/conc_fqs/DTU_2022_1015853_1_SI_CDL202_R2_001.fq.gz</v>
          </cell>
          <cell r="I84" t="str">
            <v>CDL202</v>
          </cell>
          <cell r="J84" t="str">
            <v>CDL202</v>
          </cell>
          <cell r="K84" t="str">
            <v>Listeria monocytogenes</v>
          </cell>
          <cell r="N84" t="str">
            <v>Unknown</v>
          </cell>
          <cell r="Q84" t="str">
            <v>Unknown</v>
          </cell>
          <cell r="T84" t="str">
            <v>Institute for Milk Hygiene and Unit of Food Microbiology, University of Veterinary Medicine, Vienna, Austria</v>
          </cell>
          <cell r="U84" t="str">
            <v>Animal</v>
          </cell>
          <cell r="V84" t="str">
            <v>Animal clinical</v>
          </cell>
          <cell r="X84" t="str">
            <v>ERR10549336</v>
          </cell>
        </row>
        <row r="85">
          <cell r="G85" t="str">
            <v>/home/projects/cge/backup/fastq/food_seqdata/NextSeq_207/FoodQCPipeline_tmp/conc_fqs/DTU_2022_1015854_1_SI_CDL203_R1_001.fq.gz</v>
          </cell>
          <cell r="H85" t="str">
            <v>/home/projects/cge/backup/fastq/food_seqdata/NextSeq_207/FoodQCPipeline_tmp/conc_fqs/DTU_2022_1015854_1_SI_CDL203_R2_001.fq.gz</v>
          </cell>
          <cell r="I85" t="str">
            <v>CDL203</v>
          </cell>
          <cell r="J85" t="str">
            <v>CDL203</v>
          </cell>
          <cell r="K85" t="str">
            <v>Listeria monocytogenes</v>
          </cell>
          <cell r="N85" t="str">
            <v>Unknown</v>
          </cell>
          <cell r="Q85" t="str">
            <v>Unknown</v>
          </cell>
          <cell r="T85" t="str">
            <v>Institute for Milk Hygiene and Unit of Food Microbiology, University of Veterinary Medicine, Vienna, Austria</v>
          </cell>
          <cell r="U85" t="str">
            <v>Animal</v>
          </cell>
          <cell r="V85" t="str">
            <v>Animal clinical</v>
          </cell>
          <cell r="X85" t="str">
            <v>ERR10549343</v>
          </cell>
        </row>
        <row r="86">
          <cell r="G86" t="str">
            <v>/home/projects/cge/backup/fastq/food_seqdata/NextSeq_207/FoodQCPipeline_tmp/conc_fqs/DTU_2022_1015855_1_SI_CDL252_R1_001.fq.gz</v>
          </cell>
          <cell r="H86" t="str">
            <v>/home/projects/cge/backup/fastq/food_seqdata/NextSeq_207/FoodQCPipeline_tmp/conc_fqs/DTU_2022_1015855_1_SI_CDL252_R2_001.fq.gz</v>
          </cell>
          <cell r="I86" t="str">
            <v>CDL252</v>
          </cell>
          <cell r="J86" t="str">
            <v>CDL252</v>
          </cell>
          <cell r="K86" t="str">
            <v>Listeria monocytogenes</v>
          </cell>
          <cell r="N86" t="str">
            <v>Unknown</v>
          </cell>
          <cell r="Q86" t="str">
            <v>Unknown</v>
          </cell>
          <cell r="T86" t="str">
            <v>Institute for Milk Hygiene and Unit of Food Microbiology, University of Veterinary Medicine, Vienna, Austria</v>
          </cell>
          <cell r="U86" t="str">
            <v>Food</v>
          </cell>
          <cell r="V86" t="str">
            <v>Food</v>
          </cell>
          <cell r="X86" t="str">
            <v>ERR10549344</v>
          </cell>
        </row>
        <row r="87">
          <cell r="G87" t="str">
            <v>/home/projects/cge/backup/fastq/food_seqdata/NextSeq_207/FoodQCPipeline_tmp/conc_fqs/DTU_2022_1015856_1_SI_CDL64_R1_001.fq.gz</v>
          </cell>
          <cell r="H87" t="str">
            <v>/home/projects/cge/backup/fastq/food_seqdata/NextSeq_207/FoodQCPipeline_tmp/conc_fqs/DTU_2022_1015856_1_SI_CDL64_R2_001.fq.gz</v>
          </cell>
          <cell r="I87" t="str">
            <v>CDL64</v>
          </cell>
          <cell r="J87" t="str">
            <v>CDL64</v>
          </cell>
          <cell r="K87" t="str">
            <v>Listeria monocytogenes</v>
          </cell>
          <cell r="N87" t="str">
            <v>Unknown</v>
          </cell>
          <cell r="Q87" t="str">
            <v>Unknown</v>
          </cell>
          <cell r="T87" t="str">
            <v>Institute for Milk Hygiene and Unit of Food Microbiology, University of Veterinary Medicine, Vienna, Austria</v>
          </cell>
          <cell r="U87" t="str">
            <v>Food</v>
          </cell>
          <cell r="V87" t="str">
            <v>Food</v>
          </cell>
          <cell r="X87" t="str">
            <v>ERR10549413</v>
          </cell>
        </row>
        <row r="88">
          <cell r="G88" t="str">
            <v>/home/projects/cge/backup/fastq/food_seqdata/NextSeq_207/FoodQCPipeline_tmp/conc_fqs/DTU_2022_1015857_1_SI_CDL65_R1_001.fq.gz</v>
          </cell>
          <cell r="H88" t="str">
            <v>/home/projects/cge/backup/fastq/food_seqdata/NextSeq_207/FoodQCPipeline_tmp/conc_fqs/DTU_2022_1015857_1_SI_CDL65_R2_001.fq.gz</v>
          </cell>
          <cell r="I88" t="str">
            <v>CDL65</v>
          </cell>
          <cell r="J88" t="str">
            <v>CDL65</v>
          </cell>
          <cell r="K88" t="str">
            <v>Listeria monocytogenes</v>
          </cell>
          <cell r="N88" t="str">
            <v>Unknown</v>
          </cell>
          <cell r="Q88" t="str">
            <v>Unknown</v>
          </cell>
          <cell r="T88" t="str">
            <v>Institute for Milk Hygiene and Unit of Food Microbiology, University of Veterinary Medicine, Vienna, Austria</v>
          </cell>
          <cell r="U88" t="str">
            <v>Food</v>
          </cell>
          <cell r="V88" t="str">
            <v>Food</v>
          </cell>
          <cell r="X88" t="str">
            <v>ERR10549342</v>
          </cell>
        </row>
        <row r="89">
          <cell r="G89" t="str">
            <v>/home/projects/cge/backup/fastq/food_seqdata/NextSeq_207/FoodQCPipeline_tmp/conc_fqs/DTU_2022_1015858_1_SI_CDL66_R1_001.fq.gz</v>
          </cell>
          <cell r="H89" t="str">
            <v>/home/projects/cge/backup/fastq/food_seqdata/NextSeq_207/FoodQCPipeline_tmp/conc_fqs/DTU_2022_1015858_1_SI_CDL66_R2_001.fq.gz</v>
          </cell>
          <cell r="I89" t="str">
            <v>CDL66</v>
          </cell>
          <cell r="J89" t="str">
            <v>CDL66</v>
          </cell>
          <cell r="K89" t="str">
            <v>Listeria monocytogenes</v>
          </cell>
          <cell r="N89" t="str">
            <v>Unknown</v>
          </cell>
          <cell r="Q89" t="str">
            <v>Unknown</v>
          </cell>
          <cell r="T89" t="str">
            <v>Institute for Milk Hygiene and Unit of Food Microbiology, University of Veterinary Medicine, Vienna, Austria</v>
          </cell>
          <cell r="U89" t="str">
            <v>Food</v>
          </cell>
          <cell r="V89" t="str">
            <v>Food</v>
          </cell>
          <cell r="X89" t="str">
            <v>ERR10549416</v>
          </cell>
        </row>
        <row r="90">
          <cell r="G90" t="str">
            <v>/home/projects/cge/backup/fastq/food_seqdata/NextSeq_207/FoodQCPipeline_tmp/conc_fqs/DTU_2022_1015859_1_SI_CDL67_R1_001.fq.gz</v>
          </cell>
          <cell r="H90" t="str">
            <v>/home/projects/cge/backup/fastq/food_seqdata/NextSeq_207/FoodQCPipeline_tmp/conc_fqs/DTU_2022_1015859_1_SI_CDL67_R2_001.fq.gz</v>
          </cell>
          <cell r="I90" t="str">
            <v>CDL67</v>
          </cell>
          <cell r="J90" t="str">
            <v>CDL67</v>
          </cell>
          <cell r="K90" t="str">
            <v>Listeria monocytogenes</v>
          </cell>
          <cell r="N90" t="str">
            <v>Unknown</v>
          </cell>
          <cell r="Q90" t="str">
            <v>Unknown</v>
          </cell>
          <cell r="T90" t="str">
            <v>Institute for Milk Hygiene and Unit of Food Microbiology, University of Veterinary Medicine, Vienna, Austria</v>
          </cell>
          <cell r="U90" t="str">
            <v>Food</v>
          </cell>
          <cell r="V90" t="str">
            <v>Food</v>
          </cell>
          <cell r="X90" t="str">
            <v>ERR10549321</v>
          </cell>
        </row>
        <row r="91">
          <cell r="G91" t="str">
            <v>/home/projects/cge/backup/fastq/food_seqdata/NextSeq_207/FoodQCPipeline_tmp/conc_fqs/DTU_2022_1015860_1_SI_CDL68_R1_001.fq.gz</v>
          </cell>
          <cell r="H91" t="str">
            <v>/home/projects/cge/backup/fastq/food_seqdata/NextSeq_207/FoodQCPipeline_tmp/conc_fqs/DTU_2022_1015860_1_SI_CDL68_R2_001.fq.gz</v>
          </cell>
          <cell r="I91" t="str">
            <v>CDL68</v>
          </cell>
          <cell r="J91" t="str">
            <v>CDL68</v>
          </cell>
          <cell r="K91" t="str">
            <v>Listeria monocytogenes</v>
          </cell>
          <cell r="N91" t="str">
            <v>Unknown</v>
          </cell>
          <cell r="Q91" t="str">
            <v>Unknown</v>
          </cell>
          <cell r="T91" t="str">
            <v>Institute for Milk Hygiene and Unit of Food Microbiology, University of Veterinary Medicine, Vienna, Austria</v>
          </cell>
          <cell r="U91" t="str">
            <v>Food</v>
          </cell>
          <cell r="V91" t="str">
            <v>Food</v>
          </cell>
          <cell r="X91" t="str">
            <v>ERR10549362</v>
          </cell>
        </row>
        <row r="92">
          <cell r="G92" t="str">
            <v>/home/projects/cge/backup/fastq/food_seqdata/NextSeq_207/FoodQCPipeline_tmp/conc_fqs/DTU_2022_1015861_1_SI_CDL69_R1_001.fq.gz</v>
          </cell>
          <cell r="H92" t="str">
            <v>/home/projects/cge/backup/fastq/food_seqdata/NextSeq_207/FoodQCPipeline_tmp/conc_fqs/DTU_2022_1015861_1_SI_CDL69_R2_001.fq.gz</v>
          </cell>
          <cell r="I92" t="str">
            <v>CDL69</v>
          </cell>
          <cell r="J92" t="str">
            <v>CDL69</v>
          </cell>
          <cell r="K92" t="str">
            <v>Listeria monocytogenes</v>
          </cell>
          <cell r="N92" t="str">
            <v>Unknown</v>
          </cell>
          <cell r="Q92" t="str">
            <v>Unknown</v>
          </cell>
          <cell r="T92" t="str">
            <v>Institute for Milk Hygiene and Unit of Food Microbiology, University of Veterinary Medicine, Vienna, Austria</v>
          </cell>
          <cell r="U92" t="str">
            <v>Food</v>
          </cell>
          <cell r="V92" t="str">
            <v>Food</v>
          </cell>
          <cell r="X92" t="str">
            <v>ERR10549406</v>
          </cell>
        </row>
        <row r="93">
          <cell r="G93" t="str">
            <v>/home/projects/cge/backup/fastq/food_seqdata/NextSeq_207/FoodQCPipeline_tmp/conc_fqs/DTU_2022_1015862_1_SI_CDL71_R1_001.fq.gz</v>
          </cell>
          <cell r="H93" t="str">
            <v>/home/projects/cge/backup/fastq/food_seqdata/NextSeq_207/FoodQCPipeline_tmp/conc_fqs/DTU_2022_1015862_1_SI_CDL71_R2_001.fq.gz</v>
          </cell>
          <cell r="I93" t="str">
            <v>CDL71</v>
          </cell>
          <cell r="J93" t="str">
            <v>CDL71</v>
          </cell>
          <cell r="K93" t="str">
            <v>Listeria monocytogenes</v>
          </cell>
          <cell r="N93" t="str">
            <v>Unknown</v>
          </cell>
          <cell r="Q93" t="str">
            <v>Unknown</v>
          </cell>
          <cell r="T93" t="str">
            <v>Institute for Milk Hygiene and Unit of Food Microbiology, University of Veterinary Medicine, Vienna, Austria</v>
          </cell>
          <cell r="U93" t="str">
            <v>Food</v>
          </cell>
          <cell r="V93" t="str">
            <v>Food</v>
          </cell>
          <cell r="X93" t="str">
            <v>ERR10549404</v>
          </cell>
        </row>
        <row r="94">
          <cell r="G94" t="str">
            <v>/home/projects/cge/backup/fastq/food_seqdata/NextSeq_206/FoodQCPipeline_tmp/conc_fqs/DTU_2022_1015763_1_SI_6064_R1_001.fq.gz</v>
          </cell>
          <cell r="H94" t="str">
            <v>/home/projects/cge/backup/fastq/food_seqdata/NextSeq_206/FoodQCPipeline_tmp/conc_fqs/DTU_2022_1015763_1_SI_6064_R2_001.fq.gz</v>
          </cell>
          <cell r="I94" t="str">
            <v>CDL72</v>
          </cell>
          <cell r="J94" t="str">
            <v>CDL72</v>
          </cell>
          <cell r="K94" t="str">
            <v>Listeria monocytogenes</v>
          </cell>
          <cell r="N94" t="str">
            <v>Unknown</v>
          </cell>
          <cell r="Q94" t="str">
            <v>Unknown</v>
          </cell>
          <cell r="T94" t="str">
            <v>Institute for Milk Hygiene and Unit of Food Microbiology, University of Veterinary Medicine, Vienna, Austria</v>
          </cell>
          <cell r="U94" t="str">
            <v>Food</v>
          </cell>
          <cell r="V94" t="str">
            <v>Food</v>
          </cell>
          <cell r="X94" t="str">
            <v>ERR10611958</v>
          </cell>
        </row>
        <row r="95">
          <cell r="G95" t="str">
            <v>/home/projects/cge/backup/fastq/food_seqdata/NextSeq_207/FoodQCPipeline_tmp/conc_fqs/DTU_2022_1015864_1_SI_CDL73_R1_001.fq.gz</v>
          </cell>
          <cell r="H95" t="str">
            <v>/home/projects/cge/backup/fastq/food_seqdata/NextSeq_207/FoodQCPipeline_tmp/conc_fqs/DTU_2022_1015864_1_SI_CDL73_R2_001.fq.gz</v>
          </cell>
          <cell r="I95" t="str">
            <v>CDL73</v>
          </cell>
          <cell r="J95" t="str">
            <v>CDL73</v>
          </cell>
          <cell r="K95" t="str">
            <v>Listeria monocytogenes</v>
          </cell>
          <cell r="N95" t="str">
            <v>Unknown</v>
          </cell>
          <cell r="Q95" t="str">
            <v>Unknown</v>
          </cell>
          <cell r="T95" t="str">
            <v>Institute for Milk Hygiene and Unit of Food Microbiology, University of Veterinary Medicine, Vienna, Austria</v>
          </cell>
          <cell r="U95" t="str">
            <v>Food</v>
          </cell>
          <cell r="V95" t="str">
            <v>Food</v>
          </cell>
          <cell r="X95" t="str">
            <v>ERR10549325</v>
          </cell>
        </row>
        <row r="96">
          <cell r="G96" t="str">
            <v>/home/projects/cge/backup/fastq/food_seqdata/NextSeq_207/FoodQCPipeline_tmp/conc_fqs/DTU_2022_1015865_1_SI_CDL75_R1_001.fq.gz</v>
          </cell>
          <cell r="H96" t="str">
            <v>/home/projects/cge/backup/fastq/food_seqdata/NextSeq_207/FoodQCPipeline_tmp/conc_fqs/DTU_2022_1015865_1_SI_CDL75_R2_001.fq.gz</v>
          </cell>
          <cell r="I96" t="str">
            <v>CDL75</v>
          </cell>
          <cell r="J96" t="str">
            <v>CDL75</v>
          </cell>
          <cell r="K96" t="str">
            <v>Listeria monocytogenes</v>
          </cell>
          <cell r="N96" t="str">
            <v>Unknown</v>
          </cell>
          <cell r="Q96" t="str">
            <v>Unknown</v>
          </cell>
          <cell r="T96" t="str">
            <v>Institute for Milk Hygiene and Unit of Food Microbiology, University of Veterinary Medicine, Vienna, Austria</v>
          </cell>
          <cell r="U96" t="str">
            <v>Food</v>
          </cell>
          <cell r="V96" t="str">
            <v>Food</v>
          </cell>
          <cell r="X96" t="str">
            <v>ERR10549351</v>
          </cell>
        </row>
        <row r="97">
          <cell r="G97" t="str">
            <v>/home/projects/cge/backup/fastq/food_seqdata/NextSeq_207/FoodQCPipeline_tmp/conc_fqs/DTU_2022_1015866_1_SI_CDL76_R1_001.fq.gz</v>
          </cell>
          <cell r="H97" t="str">
            <v>/home/projects/cge/backup/fastq/food_seqdata/NextSeq_207/FoodQCPipeline_tmp/conc_fqs/DTU_2022_1015866_1_SI_CDL76_R2_001.fq.gz</v>
          </cell>
          <cell r="I97" t="str">
            <v>CDL76</v>
          </cell>
          <cell r="J97" t="str">
            <v>CDL76</v>
          </cell>
          <cell r="K97" t="str">
            <v>Listeria monocytogenes</v>
          </cell>
          <cell r="N97" t="str">
            <v>Unknown</v>
          </cell>
          <cell r="Q97" t="str">
            <v>Unknown</v>
          </cell>
          <cell r="T97" t="str">
            <v>Institute for Milk Hygiene and Unit of Food Microbiology, University of Veterinary Medicine, Vienna, Austria</v>
          </cell>
          <cell r="U97" t="str">
            <v>Food</v>
          </cell>
          <cell r="V97" t="str">
            <v>Food</v>
          </cell>
          <cell r="X97" t="str">
            <v>ERR10549331</v>
          </cell>
        </row>
        <row r="98">
          <cell r="G98" t="str">
            <v>/home/projects/cge/backup/fastq/food_seqdata/NextSeq_207/FoodQCPipeline_tmp/conc_fqs/DTU_2022_1015867_1_SI_CDL77_R1_001.fq.gz</v>
          </cell>
          <cell r="H98" t="str">
            <v>/home/projects/cge/backup/fastq/food_seqdata/NextSeq_207/FoodQCPipeline_tmp/conc_fqs/DTU_2022_1015867_1_SI_CDL77_R2_001.fq.gz</v>
          </cell>
          <cell r="I98" t="str">
            <v>CDL77</v>
          </cell>
          <cell r="J98" t="str">
            <v>CDL77</v>
          </cell>
          <cell r="K98" t="str">
            <v>Listeria monocytogenes</v>
          </cell>
          <cell r="N98" t="str">
            <v>Unknown</v>
          </cell>
          <cell r="Q98" t="str">
            <v>Unknown</v>
          </cell>
          <cell r="T98" t="str">
            <v>Institute for Milk Hygiene and Unit of Food Microbiology, University of Veterinary Medicine, Vienna, Austria</v>
          </cell>
          <cell r="U98" t="str">
            <v>Food</v>
          </cell>
          <cell r="V98" t="str">
            <v>Food</v>
          </cell>
          <cell r="X98" t="str">
            <v>ERR10549372</v>
          </cell>
        </row>
        <row r="99">
          <cell r="G99" t="str">
            <v>/home/projects/cge/backup/fastq/food_seqdata/NextSeq_207/FoodQCPipeline_tmp/conc_fqs/DTU_2022_1015868_1_SI_CDL78_R1_001.fq.gz</v>
          </cell>
          <cell r="H99" t="str">
            <v>/home/projects/cge/backup/fastq/food_seqdata/NextSeq_207/FoodQCPipeline_tmp/conc_fqs/DTU_2022_1015868_1_SI_CDL78_R2_001.fq.gz</v>
          </cell>
          <cell r="I99" t="str">
            <v>CDL78</v>
          </cell>
          <cell r="J99" t="str">
            <v>CDL78</v>
          </cell>
          <cell r="K99" t="str">
            <v>Listeria monocytogenes</v>
          </cell>
          <cell r="N99" t="str">
            <v>Unknown</v>
          </cell>
          <cell r="Q99" t="str">
            <v>Unknown</v>
          </cell>
          <cell r="T99" t="str">
            <v>Institute for Milk Hygiene and Unit of Food Microbiology, University of Veterinary Medicine, Vienna, Austria</v>
          </cell>
          <cell r="U99" t="str">
            <v>Food</v>
          </cell>
          <cell r="V99" t="str">
            <v>Food</v>
          </cell>
          <cell r="X99" t="str">
            <v>ERR10549340</v>
          </cell>
        </row>
        <row r="100">
          <cell r="G100" t="str">
            <v>/home/projects/cge/backup/fastq/food_seqdata/NextSeq_207/FoodQCPipeline_tmp/conc_fqs/DTU_2022_1015870_1_SI_CDL80_R1_001.fq.gz</v>
          </cell>
          <cell r="H100" t="str">
            <v>/home/projects/cge/backup/fastq/food_seqdata/NextSeq_207/FoodQCPipeline_tmp/conc_fqs/DTU_2022_1015870_1_SI_CDL80_R2_001.fq.gz</v>
          </cell>
          <cell r="I100" t="str">
            <v>CDL80</v>
          </cell>
          <cell r="J100" t="str">
            <v>CDL80</v>
          </cell>
          <cell r="K100" t="str">
            <v>Listeria monocytogenes</v>
          </cell>
          <cell r="N100" t="str">
            <v>Unknown</v>
          </cell>
          <cell r="Q100" t="str">
            <v>Unknown</v>
          </cell>
          <cell r="T100" t="str">
            <v>Institute for Milk Hygiene and Unit of Food Microbiology, University of Veterinary Medicine, Vienna, Austria</v>
          </cell>
          <cell r="U100" t="str">
            <v>Food</v>
          </cell>
          <cell r="V100" t="str">
            <v>Food</v>
          </cell>
          <cell r="X100" t="str">
            <v>ERR10549327</v>
          </cell>
        </row>
        <row r="101">
          <cell r="G101" t="str">
            <v>/home/projects/cge/backup/fastq/food_seqdata/NextSeq_207/FoodQCPipeline_tmp/conc_fqs/DTU_2022_1015871_2_SI_CDL9_R1_001.fq.gz</v>
          </cell>
          <cell r="H101" t="str">
            <v>/home/projects/cge/backup/fastq/food_seqdata/NextSeq_207/FoodQCPipeline_tmp/conc_fqs/DTU_2022_1015871_2_SI_CDL9_R2_001.fq.gz</v>
          </cell>
          <cell r="I101" t="str">
            <v>CDL9</v>
          </cell>
          <cell r="J101" t="str">
            <v>CDL9</v>
          </cell>
          <cell r="K101" t="str">
            <v>Listeria monocytogenes</v>
          </cell>
          <cell r="N101" t="str">
            <v>Unknown</v>
          </cell>
          <cell r="Q101" t="str">
            <v>Unknown</v>
          </cell>
          <cell r="T101" t="str">
            <v>Institute for Milk Hygiene and Unit of Food Microbiology, University of Veterinary Medicine, Vienna, Austria</v>
          </cell>
          <cell r="U101" t="str">
            <v>Production environment</v>
          </cell>
          <cell r="V101" t="str">
            <v>Production environment</v>
          </cell>
          <cell r="X101" t="str">
            <v>ERR10616656</v>
          </cell>
        </row>
        <row r="102">
          <cell r="G102" t="str">
            <v>/home/projects/cge/backup/fastq/food_seqdata/NextSeq_207/FoodQCPipeline_tmp/conc_fqs/DTU_2022_1015872_1_SI_CZ48_R1_001.fq.gz</v>
          </cell>
          <cell r="H102" t="str">
            <v>/home/projects/cge/backup/fastq/food_seqdata/NextSeq_207/FoodQCPipeline_tmp/conc_fqs/DTU_2022_1015872_1_SI_CZ48_R2_001.fq.gz</v>
          </cell>
          <cell r="I102" t="str">
            <v>CZ48</v>
          </cell>
          <cell r="J102" t="str">
            <v>CZ48</v>
          </cell>
          <cell r="K102" t="str">
            <v>Listeria monocytogenes</v>
          </cell>
          <cell r="N102" t="str">
            <v>Unknown</v>
          </cell>
          <cell r="Q102" t="str">
            <v>Unknown</v>
          </cell>
          <cell r="T102" t="str">
            <v>Institute for Milk Hygiene and Unit of Food Microbiology, University of Veterinary Medicine, Vienna, Austria</v>
          </cell>
          <cell r="U102" t="str">
            <v>Production environment</v>
          </cell>
          <cell r="V102" t="str">
            <v>Production environment</v>
          </cell>
          <cell r="X102" t="str">
            <v>ERR10549350</v>
          </cell>
        </row>
        <row r="103">
          <cell r="G103" t="str">
            <v>/home/projects/cge/backup/fastq/food_seqdata/NextSeq_207/FoodQCPipeline_tmp/conc_fqs/DTU_2022_1015873_1_SI_CZ70_R1_001.fq.gz</v>
          </cell>
          <cell r="H103" t="str">
            <v>/home/projects/cge/backup/fastq/food_seqdata/NextSeq_207/FoodQCPipeline_tmp/conc_fqs/DTU_2022_1015873_1_SI_CZ70_R2_001.fq.gz</v>
          </cell>
          <cell r="I103" t="str">
            <v>CZ70</v>
          </cell>
          <cell r="J103" t="str">
            <v>CZ70</v>
          </cell>
          <cell r="K103" t="str">
            <v>Listeria monocytogenes</v>
          </cell>
          <cell r="N103" t="str">
            <v>Unknown</v>
          </cell>
          <cell r="Q103" t="str">
            <v>Unknown</v>
          </cell>
          <cell r="T103" t="str">
            <v>Institute for Milk Hygiene and Unit of Food Microbiology, University of Veterinary Medicine, Vienna, Austria</v>
          </cell>
          <cell r="U103" t="str">
            <v>Food</v>
          </cell>
          <cell r="V103" t="str">
            <v>Food</v>
          </cell>
          <cell r="X103" t="str">
            <v>ERR10549349</v>
          </cell>
        </row>
        <row r="104">
          <cell r="G104" t="str">
            <v>/home/projects/cge/backup/fastq/food_seqdata/NextSeq_207/FoodQCPipeline_tmp/conc_fqs/DTU_2022_1015874_1_SI_F18_R1_001.fq.gz</v>
          </cell>
          <cell r="H104" t="str">
            <v>/home/projects/cge/backup/fastq/food_seqdata/NextSeq_207/FoodQCPipeline_tmp/conc_fqs/DTU_2022_1015874_1_SI_F18_R2_001.fq.gz</v>
          </cell>
          <cell r="I104" t="str">
            <v>F18</v>
          </cell>
          <cell r="J104" t="str">
            <v>F18</v>
          </cell>
          <cell r="K104" t="str">
            <v>Listeria monocytogenes</v>
          </cell>
          <cell r="N104" t="str">
            <v>Unknown</v>
          </cell>
          <cell r="Q104" t="str">
            <v>Unknown</v>
          </cell>
          <cell r="T104" t="str">
            <v>Institute for Milk Hygiene and Unit of Food Microbiology, University of Veterinary Medicine, Vienna, Austria</v>
          </cell>
          <cell r="U104" t="str">
            <v>Food</v>
          </cell>
          <cell r="V104" t="str">
            <v>smoked salmon</v>
          </cell>
          <cell r="X104" t="str">
            <v>ERR10549352</v>
          </cell>
        </row>
        <row r="105">
          <cell r="G105" t="str">
            <v>/home/projects/cge/backup/fastq/food_seqdata/NextSeq_207/FoodQCPipeline_tmp/conc_fqs/DTU_2022_1015875_1_SI_F19_R1_001.fq.gz</v>
          </cell>
          <cell r="H105" t="str">
            <v>/home/projects/cge/backup/fastq/food_seqdata/NextSeq_207/FoodQCPipeline_tmp/conc_fqs/DTU_2022_1015875_1_SI_F19_R2_001.fq.gz</v>
          </cell>
          <cell r="I105" t="str">
            <v>F19</v>
          </cell>
          <cell r="J105" t="str">
            <v>F19</v>
          </cell>
          <cell r="K105" t="str">
            <v>Listeria monocytogenes</v>
          </cell>
          <cell r="N105" t="str">
            <v>Unknown</v>
          </cell>
          <cell r="Q105" t="str">
            <v>Unknown</v>
          </cell>
          <cell r="T105" t="str">
            <v>Institute for Milk Hygiene and Unit of Food Microbiology, University of Veterinary Medicine, Vienna, Austria</v>
          </cell>
          <cell r="U105" t="str">
            <v>Food</v>
          </cell>
          <cell r="V105" t="str">
            <v>smoked trout</v>
          </cell>
          <cell r="X105" t="str">
            <v>ERR10549347</v>
          </cell>
        </row>
        <row r="106">
          <cell r="G106" t="str">
            <v>/home/projects/cge/backup/fastq/food_seqdata/NextSeq_207/FoodQCPipeline_tmp/conc_fqs/DTU_2022_1015876_1_SI_IR6179_R1_001.fq.gz</v>
          </cell>
          <cell r="H106" t="str">
            <v>/home/projects/cge/backup/fastq/food_seqdata/NextSeq_207/FoodQCPipeline_tmp/conc_fqs/DTU_2022_1015876_1_SI_IR6179_R2_001.fq.gz</v>
          </cell>
          <cell r="I106" t="str">
            <v>IR6179</v>
          </cell>
          <cell r="J106" t="str">
            <v>IR6179</v>
          </cell>
          <cell r="K106" t="str">
            <v>Listeria monocytogenes</v>
          </cell>
          <cell r="N106" t="str">
            <v>Unknown</v>
          </cell>
          <cell r="Q106" t="str">
            <v>Unknown</v>
          </cell>
          <cell r="T106" t="str">
            <v>Institute for Milk Hygiene and Unit of Food Microbiology, University of Veterinary Medicine, Vienna, Austria</v>
          </cell>
          <cell r="U106" t="str">
            <v>Food</v>
          </cell>
          <cell r="V106" t="str">
            <v>cheese</v>
          </cell>
          <cell r="X106" t="str">
            <v>ERR10549357</v>
          </cell>
        </row>
        <row r="107">
          <cell r="G107" t="str">
            <v>/home/projects/cge/backup/fastq/food_seqdata/NextSeq_207/FoodQCPipeline_tmp/conc_fqs/DTU_2022_1015877_1_SI_N22_2_R1_001.fq.gz</v>
          </cell>
          <cell r="H107" t="str">
            <v>/home/projects/cge/backup/fastq/food_seqdata/NextSeq_207/FoodQCPipeline_tmp/conc_fqs/DTU_2022_1015877_1_SI_N22_2_R2_001.fq.gz</v>
          </cell>
          <cell r="I107" t="str">
            <v>N22_2</v>
          </cell>
          <cell r="J107" t="str">
            <v>N22_2</v>
          </cell>
          <cell r="K107" t="str">
            <v>Listeria monocytogenes</v>
          </cell>
          <cell r="N107" t="str">
            <v>Unknown</v>
          </cell>
          <cell r="Q107" t="str">
            <v>Unknown</v>
          </cell>
          <cell r="T107" t="str">
            <v>Institute for Milk Hygiene and Unit of Food Microbiology, University of Veterinary Medicine, Vienna, Austria</v>
          </cell>
          <cell r="U107" t="str">
            <v>Production environment</v>
          </cell>
          <cell r="V107" t="str">
            <v>floor</v>
          </cell>
          <cell r="X107" t="str">
            <v>ERR10549348</v>
          </cell>
        </row>
        <row r="108">
          <cell r="G108" t="str">
            <v>/home/projects/cge/backup/fastq/food_seqdata/NextSeq_207/FoodQCPipeline_tmp/conc_fqs/DTU_2022_1015878_1_SI_R479a_R1_001.fq.gz</v>
          </cell>
          <cell r="H108" t="str">
            <v>/home/projects/cge/backup/fastq/food_seqdata/NextSeq_207/FoodQCPipeline_tmp/conc_fqs/DTU_2022_1015878_1_SI_R479a_R2_001.fq.gz</v>
          </cell>
          <cell r="I108" t="str">
            <v>R479a</v>
          </cell>
          <cell r="J108" t="str">
            <v>R479a</v>
          </cell>
          <cell r="K108" t="str">
            <v>Listeria monocytogenes</v>
          </cell>
          <cell r="N108" t="str">
            <v>Unknown</v>
          </cell>
          <cell r="Q108" t="str">
            <v>Unknown</v>
          </cell>
          <cell r="T108" t="str">
            <v>Institute for Milk Hygiene and Unit of Food Microbiology, University of Veterinary Medicine, Vienna, Austria</v>
          </cell>
          <cell r="U108" t="str">
            <v>Food</v>
          </cell>
          <cell r="V108" t="str">
            <v>smoked salmon</v>
          </cell>
          <cell r="X108" t="str">
            <v>ERR10549358</v>
          </cell>
        </row>
        <row r="109">
          <cell r="G109" t="str">
            <v>/home/projects/cge/backup/fastq/food_seqdata/NextSeq_207/FoodQCPipeline_tmp/conc_fqs/DTU_2022_1015879_1_SI_W33_R1_001.fq.gz</v>
          </cell>
          <cell r="H109" t="str">
            <v>/home/projects/cge/backup/fastq/food_seqdata/NextSeq_207/FoodQCPipeline_tmp/conc_fqs/DTU_2022_1015879_1_SI_W33_R2_001.fq.gz</v>
          </cell>
          <cell r="I109" t="str">
            <v>W33</v>
          </cell>
          <cell r="J109" t="str">
            <v>W33</v>
          </cell>
          <cell r="K109" t="str">
            <v>Listeria monocytogenes</v>
          </cell>
          <cell r="N109" t="str">
            <v>Unknown</v>
          </cell>
          <cell r="Q109" t="str">
            <v>Unknown</v>
          </cell>
          <cell r="T109" t="str">
            <v>Institute for Milk Hygiene and Unit of Food Microbiology, University of Veterinary Medicine, Vienna, Austria</v>
          </cell>
          <cell r="U109" t="str">
            <v>Production environment</v>
          </cell>
          <cell r="V109" t="str">
            <v>swab</v>
          </cell>
          <cell r="X109" t="str">
            <v>ERR10549360</v>
          </cell>
        </row>
        <row r="110">
          <cell r="G110" t="str">
            <v>/home/projects/cge/backup/fastq/food_seqdata/NextSeq_216/FoodQCPipeline_tmp/conc_fqs/DTU_2022_1016704_1_SI_OLM3_R1_001.fq.gz</v>
          </cell>
          <cell r="H110" t="str">
            <v>/home/projects/cge/backup/fastq/food_seqdata/NextSeq_216/FoodQCPipeline_tmp/conc_fqs/DTU_2022_1016704_1_SI_OLM3_R2_001.fq.gz</v>
          </cell>
          <cell r="I110" t="str">
            <v>OLM3</v>
          </cell>
          <cell r="J110" t="str">
            <v>OLM3</v>
          </cell>
          <cell r="K110" t="str">
            <v>Listeria monocytogenes</v>
          </cell>
          <cell r="L110">
            <v>35771</v>
          </cell>
          <cell r="M110">
            <v>-78638</v>
          </cell>
          <cell r="N110" t="str">
            <v>North Carolina</v>
          </cell>
          <cell r="Q110">
            <v>1926</v>
          </cell>
          <cell r="T110" t="str">
            <v>North Carolina State University, Raleigh, NC, USA</v>
          </cell>
          <cell r="U110" t="str">
            <v>Natural environment</v>
          </cell>
          <cell r="X110" t="str">
            <v>ERR10616664</v>
          </cell>
        </row>
        <row r="111">
          <cell r="G111" t="str">
            <v>/home/projects/cge/backup/fastq/food_seqdata/NextSeq_216/FoodQCPipeline_tmp/conc_fqs/DTU_2022_1016710_1_SI_OLM13_R1_001.fq.gz</v>
          </cell>
          <cell r="H111" t="str">
            <v>/home/projects/cge/backup/fastq/food_seqdata/NextSeq_216/FoodQCPipeline_tmp/conc_fqs/DTU_2022_1016710_1_SI_OLM13_R2_001.fq.gz</v>
          </cell>
          <cell r="I111" t="str">
            <v>OLM13</v>
          </cell>
          <cell r="J111" t="str">
            <v>OLM13</v>
          </cell>
          <cell r="K111" t="str">
            <v>Listeria monocytogenes</v>
          </cell>
          <cell r="L111">
            <v>35771</v>
          </cell>
          <cell r="M111">
            <v>-78638</v>
          </cell>
          <cell r="N111" t="str">
            <v>North Carolina</v>
          </cell>
          <cell r="Q111">
            <v>1933</v>
          </cell>
          <cell r="T111" t="str">
            <v>North Carolina State University, Raleigh, NC, USA</v>
          </cell>
          <cell r="U111" t="str">
            <v>Human</v>
          </cell>
          <cell r="X111" t="str">
            <v>ERR10616665</v>
          </cell>
        </row>
        <row r="112">
          <cell r="G112" t="str">
            <v>/home/projects/cge/backup/fastq/food_seqdata/NextSeq_216/FoodQCPipeline_tmp/conc_fqs/DTU_2022_1016705_1_SI_OLM5_R1_001.fq.gz</v>
          </cell>
          <cell r="H112" t="str">
            <v>/home/projects/cge/backup/fastq/food_seqdata/NextSeq_216/FoodQCPipeline_tmp/conc_fqs/DTU_2022_1016705_1_SI_OLM5_R2_001.fq.gz</v>
          </cell>
          <cell r="I112" t="str">
            <v>OLM5</v>
          </cell>
          <cell r="J112" t="str">
            <v>OLM5</v>
          </cell>
          <cell r="K112" t="str">
            <v>Listeria monocytogenes</v>
          </cell>
          <cell r="L112">
            <v>35771</v>
          </cell>
          <cell r="M112">
            <v>-78638</v>
          </cell>
          <cell r="N112" t="str">
            <v>North Carolina</v>
          </cell>
          <cell r="Q112">
            <v>1933</v>
          </cell>
          <cell r="T112" t="str">
            <v>North Carolina State University, Raleigh, NC, USA</v>
          </cell>
          <cell r="U112" t="str">
            <v>Animal</v>
          </cell>
          <cell r="X112" t="str">
            <v>ERR10616648</v>
          </cell>
        </row>
        <row r="113">
          <cell r="G113" t="str">
            <v>/home/projects/cge/backup/fastq/food_seqdata/NextSeq_216/FoodQCPipeline_tmp/conc_fqs/DTU_2022_1016706_1_SI_OLM6_R1_001.fq.gz</v>
          </cell>
          <cell r="H113" t="str">
            <v>/home/projects/cge/backup/fastq/food_seqdata/NextSeq_216/FoodQCPipeline_tmp/conc_fqs/DTU_2022_1016706_1_SI_OLM6_R2_001.fq.gz</v>
          </cell>
          <cell r="I113" t="str">
            <v>OLM6</v>
          </cell>
          <cell r="J113" t="str">
            <v>OLM6</v>
          </cell>
          <cell r="K113" t="str">
            <v>Listeria monocytogenes</v>
          </cell>
          <cell r="L113">
            <v>35771</v>
          </cell>
          <cell r="M113">
            <v>-78638</v>
          </cell>
          <cell r="N113" t="str">
            <v>North Carolina</v>
          </cell>
          <cell r="Q113">
            <v>1933</v>
          </cell>
          <cell r="T113" t="str">
            <v>North Carolina State University, Raleigh, NC, USA</v>
          </cell>
          <cell r="U113" t="str">
            <v>Animal</v>
          </cell>
          <cell r="X113" t="str">
            <v>ERR10616673</v>
          </cell>
        </row>
        <row r="114">
          <cell r="G114" t="str">
            <v>/home/projects/cge/backup/fastq/food_seqdata/NextSeq_216/FoodQCPipeline_tmp/conc_fqs/DTU_2022_1016707_1_SI_OLM8_R1_001.fq.gz</v>
          </cell>
          <cell r="H114" t="str">
            <v>/home/projects/cge/backup/fastq/food_seqdata/NextSeq_216/FoodQCPipeline_tmp/conc_fqs/DTU_2022_1016707_1_SI_OLM8_R2_001.fq.gz</v>
          </cell>
          <cell r="I114" t="str">
            <v>OLM8</v>
          </cell>
          <cell r="J114" t="str">
            <v>OLM8</v>
          </cell>
          <cell r="K114" t="str">
            <v>Listeria monocytogenes</v>
          </cell>
          <cell r="L114">
            <v>35771</v>
          </cell>
          <cell r="M114">
            <v>-78638</v>
          </cell>
          <cell r="N114" t="str">
            <v>North Carolina</v>
          </cell>
          <cell r="Q114">
            <v>1933</v>
          </cell>
          <cell r="T114" t="str">
            <v>North Carolina State University, Raleigh, NC, USA</v>
          </cell>
          <cell r="U114" t="str">
            <v>Animal</v>
          </cell>
          <cell r="X114" t="str">
            <v>ERR10616660</v>
          </cell>
        </row>
        <row r="115">
          <cell r="G115" t="str">
            <v>/home/projects/cge/backup/fastq/food_seqdata/NextSeq_216/FoodQCPipeline_tmp/conc_fqs/DTU_2022_1016708_1_SI_OLM9_R1_001.fq.gz</v>
          </cell>
          <cell r="H115" t="str">
            <v>/home/projects/cge/backup/fastq/food_seqdata/NextSeq_216/FoodQCPipeline_tmp/conc_fqs/DTU_2022_1016708_1_SI_OLM9_R2_001.fq.gz</v>
          </cell>
          <cell r="I115" t="str">
            <v>OLM9</v>
          </cell>
          <cell r="J115" t="str">
            <v>OLM9</v>
          </cell>
          <cell r="K115" t="str">
            <v>Listeria monocytogenes</v>
          </cell>
          <cell r="L115">
            <v>35771</v>
          </cell>
          <cell r="M115">
            <v>-78638</v>
          </cell>
          <cell r="N115" t="str">
            <v>North Carolina</v>
          </cell>
          <cell r="Q115">
            <v>1933</v>
          </cell>
          <cell r="T115" t="str">
            <v>North Carolina State University, Raleigh, NC, USA</v>
          </cell>
          <cell r="U115" t="str">
            <v>Animal</v>
          </cell>
          <cell r="X115" t="str">
            <v>ERR10616667</v>
          </cell>
        </row>
        <row r="116">
          <cell r="G116" t="str">
            <v>/home/projects/cge/backup/fastq/food_seqdata/NextSeq_216/FoodQCPipeline_tmp/conc_fqs/DTU_2022_1016709_1_SI_OLM12_R1_001.fq.gz</v>
          </cell>
          <cell r="H116" t="str">
            <v>/home/projects/cge/backup/fastq/food_seqdata/NextSeq_216/FoodQCPipeline_tmp/conc_fqs/DTU_2022_1016709_1_SI_OLM12_R2_001.fq.gz</v>
          </cell>
          <cell r="I116" t="str">
            <v>OLM12</v>
          </cell>
          <cell r="J116" t="str">
            <v>OLM12</v>
          </cell>
          <cell r="K116" t="str">
            <v>Listeria monocytogenes</v>
          </cell>
          <cell r="L116">
            <v>35771</v>
          </cell>
          <cell r="M116">
            <v>-78638</v>
          </cell>
          <cell r="N116" t="str">
            <v>North Carolina</v>
          </cell>
          <cell r="Q116">
            <v>1934</v>
          </cell>
          <cell r="T116" t="str">
            <v>North Carolina State University, Raleigh, NC, USA</v>
          </cell>
          <cell r="U116" t="str">
            <v>Human</v>
          </cell>
          <cell r="X116" t="str">
            <v>ERR10616655</v>
          </cell>
        </row>
        <row r="117">
          <cell r="G117" t="str">
            <v>/home/projects/cge/backup/fastq/food_seqdata/NextSeq_216/FoodQCPipeline_tmp/conc_fqs/DTU_2022_1016711_1_SI_OLM15_R1_001.fq.gz</v>
          </cell>
          <cell r="H117" t="str">
            <v>/home/projects/cge/backup/fastq/food_seqdata/NextSeq_216/FoodQCPipeline_tmp/conc_fqs/DTU_2022_1016711_1_SI_OLM15_R2_001.fq.gz</v>
          </cell>
          <cell r="I117" t="str">
            <v>OLM15</v>
          </cell>
          <cell r="J117" t="str">
            <v>OLM15</v>
          </cell>
          <cell r="K117" t="str">
            <v>Listeria monocytogenes</v>
          </cell>
          <cell r="L117">
            <v>35771</v>
          </cell>
          <cell r="M117">
            <v>-78638</v>
          </cell>
          <cell r="N117" t="str">
            <v>North Carolina</v>
          </cell>
          <cell r="Q117">
            <v>1934</v>
          </cell>
          <cell r="T117" t="str">
            <v>North Carolina State University, Raleigh, NC, USA</v>
          </cell>
          <cell r="U117" t="str">
            <v>Human</v>
          </cell>
          <cell r="X117" t="str">
            <v>ERR10616652</v>
          </cell>
        </row>
        <row r="118">
          <cell r="G118" t="str">
            <v>/home/projects/cge/backup/fastq/food_seqdata/NextSeq_216/FoodQCPipeline_tmp/conc_fqs/DTU_2022_1016713_1_SI_OLM20_R1_001.fq.gz</v>
          </cell>
          <cell r="H118" t="str">
            <v>/home/projects/cge/backup/fastq/food_seqdata/NextSeq_216/FoodQCPipeline_tmp/conc_fqs/DTU_2022_1016713_1_SI_OLM20_R2_001.fq.gz</v>
          </cell>
          <cell r="I118" t="str">
            <v>OLM20</v>
          </cell>
          <cell r="J118" t="str">
            <v>OLM20</v>
          </cell>
          <cell r="K118" t="str">
            <v>Listeria monocytogenes</v>
          </cell>
          <cell r="L118">
            <v>35771</v>
          </cell>
          <cell r="M118">
            <v>-78638</v>
          </cell>
          <cell r="N118" t="str">
            <v>North Carolina</v>
          </cell>
          <cell r="Q118">
            <v>1937</v>
          </cell>
          <cell r="T118" t="str">
            <v>North Carolina State University, Raleigh, NC, USA</v>
          </cell>
          <cell r="U118" t="str">
            <v>Animal</v>
          </cell>
          <cell r="X118" t="str">
            <v>ERR10616645</v>
          </cell>
        </row>
        <row r="119">
          <cell r="G119" t="str">
            <v>/home/projects/cge/backup/fastq/food_seqdata/NextSeq_216/FoodQCPipeline_tmp/conc_fqs/DTU_2022_1016714_1_SI_OLM21_R1_001.fq.gz</v>
          </cell>
          <cell r="H119" t="str">
            <v>/home/projects/cge/backup/fastq/food_seqdata/NextSeq_216/FoodQCPipeline_tmp/conc_fqs/DTU_2022_1016714_1_SI_OLM21_R2_001.fq.gz</v>
          </cell>
          <cell r="I119" t="str">
            <v>OLM21</v>
          </cell>
          <cell r="J119" t="str">
            <v>OLM21</v>
          </cell>
          <cell r="K119" t="str">
            <v>Listeria monocytogenes</v>
          </cell>
          <cell r="L119">
            <v>35771</v>
          </cell>
          <cell r="M119">
            <v>-78638</v>
          </cell>
          <cell r="N119" t="str">
            <v>North Carolina</v>
          </cell>
          <cell r="Q119">
            <v>1937</v>
          </cell>
          <cell r="T119" t="str">
            <v>North Carolina State University, Raleigh, NC, USA</v>
          </cell>
          <cell r="U119" t="str">
            <v>Animal</v>
          </cell>
          <cell r="X119" t="str">
            <v>ERR10616671</v>
          </cell>
        </row>
        <row r="120">
          <cell r="G120" t="str">
            <v>/home/projects/cge/backup/fastq/food_seqdata/NextSeq_216/FoodQCPipeline_tmp/conc_fqs/DTU_2022_1016719_1_SI_OLM22_R1_001.fq.gz</v>
          </cell>
          <cell r="H120" t="str">
            <v>/home/projects/cge/backup/fastq/food_seqdata/NextSeq_216/FoodQCPipeline_tmp/conc_fqs/DTU_2022_1016719_1_SI_OLM22_R2_001.fq.gz</v>
          </cell>
          <cell r="I120" t="str">
            <v>OLM22</v>
          </cell>
          <cell r="J120" t="str">
            <v>OLM22</v>
          </cell>
          <cell r="K120" t="str">
            <v>Listeria monocytogenes</v>
          </cell>
          <cell r="L120">
            <v>35771</v>
          </cell>
          <cell r="M120">
            <v>-78638</v>
          </cell>
          <cell r="N120" t="str">
            <v>North Carolina</v>
          </cell>
          <cell r="Q120">
            <v>1937</v>
          </cell>
          <cell r="R120" t="str">
            <v>Ovis aries</v>
          </cell>
          <cell r="T120" t="str">
            <v>North Carolina State University, Raleigh, NC, USA</v>
          </cell>
          <cell r="U120" t="str">
            <v>Animal</v>
          </cell>
          <cell r="V120" t="str">
            <v>Sheep, New Zealand</v>
          </cell>
          <cell r="X120" t="str">
            <v>ERR10549380</v>
          </cell>
        </row>
        <row r="121">
          <cell r="G121" t="str">
            <v>/home/projects/cge/backup/fastq/food_seqdata/NextSeq_216/FoodQCPipeline_tmp/conc_fqs/DTU_2022_1016727_1_SI_OLM37_R1_001.fq.gz</v>
          </cell>
          <cell r="H121" t="str">
            <v>/home/projects/cge/backup/fastq/food_seqdata/NextSeq_216/FoodQCPipeline_tmp/conc_fqs/DTU_2022_1016727_1_SI_OLM37_R2_001.fq.gz</v>
          </cell>
          <cell r="I121" t="str">
            <v>OLM37</v>
          </cell>
          <cell r="J121" t="str">
            <v>OLM37</v>
          </cell>
          <cell r="K121" t="str">
            <v>Listeria monocytogenes</v>
          </cell>
          <cell r="L121">
            <v>35771</v>
          </cell>
          <cell r="M121">
            <v>-78638</v>
          </cell>
          <cell r="N121" t="str">
            <v>North Carolina</v>
          </cell>
          <cell r="Q121">
            <v>1937</v>
          </cell>
          <cell r="R121" t="str">
            <v>Ovis aries</v>
          </cell>
          <cell r="T121" t="str">
            <v>North Carolina State University, Raleigh, NC, USA</v>
          </cell>
          <cell r="U121" t="str">
            <v>Animal</v>
          </cell>
          <cell r="V121" t="str">
            <v>Sheep, IA, USA</v>
          </cell>
          <cell r="X121" t="str">
            <v>ERR10549367</v>
          </cell>
        </row>
        <row r="122">
          <cell r="G122" t="str">
            <v>/home/projects/cge/backup/fastq/food_seqdata/NextSeq_216/FoodQCPipeline_tmp/conc_fqs/DTU_2022_1016748_1_SI_OLM72_R1_001.fq.gz</v>
          </cell>
          <cell r="H122" t="str">
            <v>/home/projects/cge/backup/fastq/food_seqdata/NextSeq_216/FoodQCPipeline_tmp/conc_fqs/DTU_2022_1016748_1_SI_OLM72_R2_001.fq.gz</v>
          </cell>
          <cell r="I122" t="str">
            <v>OLM72</v>
          </cell>
          <cell r="J122" t="str">
            <v>OLM72</v>
          </cell>
          <cell r="K122" t="str">
            <v>Listeria monocytogenes</v>
          </cell>
          <cell r="L122">
            <v>35771</v>
          </cell>
          <cell r="M122">
            <v>-78638</v>
          </cell>
          <cell r="N122" t="str">
            <v>North Carolina</v>
          </cell>
          <cell r="Q122">
            <v>1937</v>
          </cell>
          <cell r="R122" t="str">
            <v>Rattus</v>
          </cell>
          <cell r="T122" t="str">
            <v>North Carolina State University, Raleigh, NC, USA</v>
          </cell>
          <cell r="U122" t="str">
            <v>Animal</v>
          </cell>
          <cell r="V122" t="str">
            <v>Rat, Ontario, CA</v>
          </cell>
          <cell r="X122" t="str">
            <v>ERR10549373</v>
          </cell>
        </row>
        <row r="123">
          <cell r="G123" t="str">
            <v>/home/projects/cge/backup/fastq/food_seqdata/NextSeq_216/FoodQCPipeline_tmp/conc_fqs/DTU_2022_1016720_1_SI_OLM25_R1_001.fq.gz</v>
          </cell>
          <cell r="H123" t="str">
            <v>/home/projects/cge/backup/fastq/food_seqdata/NextSeq_216/FoodQCPipeline_tmp/conc_fqs/DTU_2022_1016720_1_SI_OLM25_R2_001.fq.gz</v>
          </cell>
          <cell r="I123" t="str">
            <v>OLM25</v>
          </cell>
          <cell r="J123" t="str">
            <v>OLM25</v>
          </cell>
          <cell r="K123" t="str">
            <v>Listeria monocytogenes</v>
          </cell>
          <cell r="L123">
            <v>35771</v>
          </cell>
          <cell r="M123">
            <v>-78638</v>
          </cell>
          <cell r="N123" t="str">
            <v>North Carolina</v>
          </cell>
          <cell r="Q123">
            <v>1938</v>
          </cell>
          <cell r="T123" t="str">
            <v>North Carolina State University, Raleigh, NC, USA</v>
          </cell>
          <cell r="U123" t="str">
            <v>Human</v>
          </cell>
          <cell r="V123" t="str">
            <v>Clinical, human, Scotland</v>
          </cell>
          <cell r="X123" t="str">
            <v>ERR10549369</v>
          </cell>
        </row>
        <row r="124">
          <cell r="G124" t="str">
            <v>/home/projects/cge/backup/fastq/food_seqdata/NextSeq_216/FoodQCPipeline_tmp/conc_fqs/DTU_2022_1016721_1_SI_OLM26_R1_001.fq.gz</v>
          </cell>
          <cell r="H124" t="str">
            <v>/home/projects/cge/backup/fastq/food_seqdata/NextSeq_216/FoodQCPipeline_tmp/conc_fqs/DTU_2022_1016721_1_SI_OLM26_R2_001.fq.gz</v>
          </cell>
          <cell r="I124" t="str">
            <v>OLM26</v>
          </cell>
          <cell r="J124" t="str">
            <v>OLM26</v>
          </cell>
          <cell r="K124" t="str">
            <v>Listeria monocytogenes</v>
          </cell>
          <cell r="L124">
            <v>35771</v>
          </cell>
          <cell r="M124">
            <v>-78638</v>
          </cell>
          <cell r="N124" t="str">
            <v>North Carolina</v>
          </cell>
          <cell r="Q124">
            <v>1938</v>
          </cell>
          <cell r="R124" t="str">
            <v xml:space="preserve">Gallus gallus </v>
          </cell>
          <cell r="T124" t="str">
            <v>North Carolina State University, Raleigh, NC, USA</v>
          </cell>
          <cell r="U124" t="str">
            <v>Animal</v>
          </cell>
          <cell r="V124" t="str">
            <v>Hen, England</v>
          </cell>
          <cell r="X124" t="str">
            <v>ERR10549368</v>
          </cell>
        </row>
        <row r="125">
          <cell r="G125" t="str">
            <v>/home/projects/cge/backup/fastq/food_seqdata/NextSeq_216/FoodQCPipeline_tmp/conc_fqs/DTU_2022_1016722_1_SI_OLM28_R1_001.fq.gz</v>
          </cell>
          <cell r="H125" t="str">
            <v>/home/projects/cge/backup/fastq/food_seqdata/NextSeq_216/FoodQCPipeline_tmp/conc_fqs/DTU_2022_1016722_1_SI_OLM28_R2_001.fq.gz</v>
          </cell>
          <cell r="I125" t="str">
            <v>OLM28</v>
          </cell>
          <cell r="J125" t="str">
            <v>OLM28</v>
          </cell>
          <cell r="K125" t="str">
            <v>Listeria monocytogenes</v>
          </cell>
          <cell r="L125">
            <v>35771</v>
          </cell>
          <cell r="M125">
            <v>-78638</v>
          </cell>
          <cell r="N125" t="str">
            <v>North Carolina</v>
          </cell>
          <cell r="Q125">
            <v>1938</v>
          </cell>
          <cell r="R125" t="str">
            <v xml:space="preserve">Gallus gallus </v>
          </cell>
          <cell r="T125" t="str">
            <v>North Carolina State University, Raleigh, NC, USA</v>
          </cell>
          <cell r="U125" t="str">
            <v>Animal</v>
          </cell>
          <cell r="V125" t="str">
            <v>Pullet, England</v>
          </cell>
          <cell r="X125" t="str">
            <v>ERR10549366</v>
          </cell>
        </row>
        <row r="126">
          <cell r="G126" t="str">
            <v>/home/projects/cge/backup/fastq/food_seqdata/NextSeq_216/FoodQCPipeline_tmp/conc_fqs/DTU_2022_1016723_1_SI_OLM29_R1_001.fq.gz</v>
          </cell>
          <cell r="H126" t="str">
            <v>/home/projects/cge/backup/fastq/food_seqdata/NextSeq_216/FoodQCPipeline_tmp/conc_fqs/DTU_2022_1016723_1_SI_OLM29_R2_001.fq.gz</v>
          </cell>
          <cell r="I126" t="str">
            <v>OLM29</v>
          </cell>
          <cell r="J126" t="str">
            <v>OLM29</v>
          </cell>
          <cell r="K126" t="str">
            <v>Listeria monocytogenes</v>
          </cell>
          <cell r="L126">
            <v>35771</v>
          </cell>
          <cell r="M126">
            <v>-78638</v>
          </cell>
          <cell r="N126" t="str">
            <v>North Carolina</v>
          </cell>
          <cell r="Q126">
            <v>1938</v>
          </cell>
          <cell r="R126" t="str">
            <v xml:space="preserve">Gallus gallus </v>
          </cell>
          <cell r="T126" t="str">
            <v>North Carolina State University, Raleigh, NC, USA</v>
          </cell>
          <cell r="U126" t="str">
            <v>Animal</v>
          </cell>
          <cell r="V126" t="str">
            <v>Pullet, England</v>
          </cell>
          <cell r="X126" t="str">
            <v>ERR10549354</v>
          </cell>
        </row>
        <row r="127">
          <cell r="G127" t="str">
            <v>/home/projects/cge/backup/fastq/food_seqdata/NextSeq_216/FoodQCPipeline_tmp/conc_fqs/DTU_2022_1016724_1_SI_OLM30_R1_001.fq.gz</v>
          </cell>
          <cell r="H127" t="str">
            <v>/home/projects/cge/backup/fastq/food_seqdata/NextSeq_216/FoodQCPipeline_tmp/conc_fqs/DTU_2022_1016724_1_SI_OLM30_R2_001.fq.gz</v>
          </cell>
          <cell r="I127" t="str">
            <v>OLM30</v>
          </cell>
          <cell r="J127" t="str">
            <v>OLM30</v>
          </cell>
          <cell r="K127" t="str">
            <v>Listeria monocytogenes</v>
          </cell>
          <cell r="L127">
            <v>35771</v>
          </cell>
          <cell r="M127">
            <v>-78638</v>
          </cell>
          <cell r="N127" t="str">
            <v>North Carolina</v>
          </cell>
          <cell r="Q127">
            <v>1938</v>
          </cell>
          <cell r="T127" t="str">
            <v>North Carolina State University, Raleigh, NC, USA</v>
          </cell>
          <cell r="U127" t="str">
            <v>Human</v>
          </cell>
          <cell r="V127" t="str">
            <v>Clinical, human, Uruguay</v>
          </cell>
          <cell r="X127" t="str">
            <v>ERR10549379</v>
          </cell>
        </row>
        <row r="128">
          <cell r="G128" t="str">
            <v>/home/projects/cge/backup/fastq/food_seqdata/NextSeq_216/FoodQCPipeline_tmp/conc_fqs/DTU_2022_1016728_1_SI_OLM38_R1_001.fq.gz</v>
          </cell>
          <cell r="H128" t="str">
            <v>/home/projects/cge/backup/fastq/food_seqdata/NextSeq_216/FoodQCPipeline_tmp/conc_fqs/DTU_2022_1016728_1_SI_OLM38_R2_001.fq.gz</v>
          </cell>
          <cell r="I128" t="str">
            <v>OLM38</v>
          </cell>
          <cell r="J128" t="str">
            <v>OLM38</v>
          </cell>
          <cell r="K128" t="str">
            <v>Listeria monocytogenes</v>
          </cell>
          <cell r="L128">
            <v>35771</v>
          </cell>
          <cell r="M128">
            <v>-78638</v>
          </cell>
          <cell r="N128" t="str">
            <v>North Carolina</v>
          </cell>
          <cell r="Q128">
            <v>1938</v>
          </cell>
          <cell r="R128" t="str">
            <v>Bos taurus</v>
          </cell>
          <cell r="T128" t="str">
            <v>North Carolina State University, Raleigh, NC, USA</v>
          </cell>
          <cell r="U128" t="str">
            <v>Animal</v>
          </cell>
          <cell r="V128" t="str">
            <v>Calf, IA, USA</v>
          </cell>
          <cell r="X128" t="str">
            <v>ERR10549405</v>
          </cell>
        </row>
        <row r="129">
          <cell r="G129" t="str">
            <v>/home/projects/cge/backup/fastq/food_seqdata/NextSeq_216/FoodQCPipeline_tmp/conc_fqs/DTU_2022_1016725_1_SI_OLM31_R1_001.fq.gz</v>
          </cell>
          <cell r="H129" t="str">
            <v>/home/projects/cge/backup/fastq/food_seqdata/NextSeq_216/FoodQCPipeline_tmp/conc_fqs/DTU_2022_1016725_1_SI_OLM31_R2_001.fq.gz</v>
          </cell>
          <cell r="I129" t="str">
            <v>OLM31</v>
          </cell>
          <cell r="J129" t="str">
            <v>OLM31</v>
          </cell>
          <cell r="K129" t="str">
            <v>Listeria monocytogenes</v>
          </cell>
          <cell r="L129">
            <v>35771</v>
          </cell>
          <cell r="M129">
            <v>-78638</v>
          </cell>
          <cell r="N129" t="str">
            <v>North Carolina</v>
          </cell>
          <cell r="Q129">
            <v>1939</v>
          </cell>
          <cell r="T129" t="str">
            <v>North Carolina State University, Raleigh, NC, USA</v>
          </cell>
          <cell r="U129" t="str">
            <v>Human</v>
          </cell>
          <cell r="V129" t="str">
            <v>Clinical, human, Scotland</v>
          </cell>
          <cell r="X129" t="str">
            <v>ERR10549411</v>
          </cell>
        </row>
        <row r="130">
          <cell r="G130" t="str">
            <v>/home/projects/cge/backup/fastq/food_seqdata/NextSeq_216/FoodQCPipeline_tmp/conc_fqs/DTU_2022_1016729_1_SI_OLM39_R1_001.fq.gz</v>
          </cell>
          <cell r="H130" t="str">
            <v>/home/projects/cge/backup/fastq/food_seqdata/NextSeq_216/FoodQCPipeline_tmp/conc_fqs/DTU_2022_1016729_1_SI_OLM39_R2_001.fq.gz</v>
          </cell>
          <cell r="I130" t="str">
            <v>OLM39</v>
          </cell>
          <cell r="J130" t="str">
            <v>OLM39</v>
          </cell>
          <cell r="K130" t="str">
            <v>Listeria monocytogenes</v>
          </cell>
          <cell r="L130">
            <v>35771</v>
          </cell>
          <cell r="M130">
            <v>-78638</v>
          </cell>
          <cell r="N130" t="str">
            <v>North Carolina</v>
          </cell>
          <cell r="Q130">
            <v>1939</v>
          </cell>
          <cell r="R130" t="str">
            <v>Sus scrofa domesticus</v>
          </cell>
          <cell r="T130" t="str">
            <v>North Carolina State University, Raleigh, NC, USA</v>
          </cell>
          <cell r="U130" t="str">
            <v>Animal</v>
          </cell>
          <cell r="V130" t="str">
            <v>Pig, IA, USA</v>
          </cell>
          <cell r="X130" t="str">
            <v>ERR10549356</v>
          </cell>
        </row>
        <row r="131">
          <cell r="G131" t="str">
            <v>/home/projects/cge/backup/fastq/food_seqdata/NextSeq_216/FoodQCPipeline_tmp/conc_fqs/DTU_2022_1016726_1_SI_OLM36_R1_001.fq.gz</v>
          </cell>
          <cell r="H131" t="str">
            <v>/home/projects/cge/backup/fastq/food_seqdata/NextSeq_216/FoodQCPipeline_tmp/conc_fqs/DTU_2022_1016726_1_SI_OLM36_R2_001.fq.gz</v>
          </cell>
          <cell r="I131" t="str">
            <v>OLM36</v>
          </cell>
          <cell r="J131" t="str">
            <v>OLM36</v>
          </cell>
          <cell r="K131" t="str">
            <v>Listeria monocytogenes</v>
          </cell>
          <cell r="L131">
            <v>35771</v>
          </cell>
          <cell r="M131">
            <v>-78638</v>
          </cell>
          <cell r="N131" t="str">
            <v>North Carolina</v>
          </cell>
          <cell r="Q131">
            <v>1940</v>
          </cell>
          <cell r="T131" t="str">
            <v>North Carolina State University, Raleigh, NC, USA</v>
          </cell>
          <cell r="U131" t="str">
            <v>Human</v>
          </cell>
          <cell r="V131" t="str">
            <v>Clinical, human, Argentina</v>
          </cell>
          <cell r="X131" t="str">
            <v>ERR10549353</v>
          </cell>
        </row>
        <row r="132">
          <cell r="G132" t="str">
            <v>/home/projects/cge/backup/fastq/food_seqdata/NextSeq_216/FoodQCPipeline_tmp/conc_fqs/DTU_2022_1016731_1_SI_OLM42_R1_001.fq.gz</v>
          </cell>
          <cell r="H132" t="str">
            <v>/home/projects/cge/backup/fastq/food_seqdata/NextSeq_216/FoodQCPipeline_tmp/conc_fqs/DTU_2022_1016731_1_SI_OLM42_R2_001.fq.gz</v>
          </cell>
          <cell r="I132" t="str">
            <v>OLM42</v>
          </cell>
          <cell r="J132" t="str">
            <v>OLM42</v>
          </cell>
          <cell r="K132" t="str">
            <v>Listeria monocytogenes</v>
          </cell>
          <cell r="L132">
            <v>35771</v>
          </cell>
          <cell r="M132">
            <v>-78638</v>
          </cell>
          <cell r="N132" t="str">
            <v>North Carolina</v>
          </cell>
          <cell r="Q132">
            <v>1948</v>
          </cell>
          <cell r="T132" t="str">
            <v>North Carolina State University, Raleigh, NC, USA</v>
          </cell>
          <cell r="U132" t="str">
            <v>Human</v>
          </cell>
          <cell r="V132" t="str">
            <v>Clinical, human, Australia</v>
          </cell>
          <cell r="X132" t="str">
            <v>ERR10549355</v>
          </cell>
        </row>
        <row r="133">
          <cell r="G133" t="str">
            <v>/home/projects/cge/backup/fastq/food_seqdata/NextSeq_216/FoodQCPipeline_tmp/conc_fqs/DTU_2022_1016735_1_SI_OLM51_R1_001.fq.gz</v>
          </cell>
          <cell r="H133" t="str">
            <v>/home/projects/cge/backup/fastq/food_seqdata/NextSeq_216/FoodQCPipeline_tmp/conc_fqs/DTU_2022_1016735_1_SI_OLM51_R2_001.fq.gz</v>
          </cell>
          <cell r="I133" t="str">
            <v>OLM51</v>
          </cell>
          <cell r="J133" t="str">
            <v>OLM51</v>
          </cell>
          <cell r="K133" t="str">
            <v>Listeria monocytogenes</v>
          </cell>
          <cell r="L133">
            <v>35771</v>
          </cell>
          <cell r="M133">
            <v>-78638</v>
          </cell>
          <cell r="N133" t="str">
            <v>North Carolina</v>
          </cell>
          <cell r="Q133">
            <v>1948</v>
          </cell>
          <cell r="T133" t="str">
            <v>North Carolina State University, Raleigh, NC, USA</v>
          </cell>
          <cell r="U133" t="str">
            <v>Human</v>
          </cell>
          <cell r="V133" t="str">
            <v>Clinical, human, Canada</v>
          </cell>
          <cell r="X133" t="str">
            <v>ERR10549359</v>
          </cell>
        </row>
        <row r="134">
          <cell r="G134" t="str">
            <v>/home/projects/cge/backup/fastq/food_seqdata/NextSeq_216/FoodQCPipeline_tmp/conc_fqs/DTU_2022_1016730_1_SI_OLM41_R1_001.fq.gz</v>
          </cell>
          <cell r="H134" t="str">
            <v>/home/projects/cge/backup/fastq/food_seqdata/NextSeq_216/FoodQCPipeline_tmp/conc_fqs/DTU_2022_1016730_1_SI_OLM41_R2_001.fq.gz</v>
          </cell>
          <cell r="I134" t="str">
            <v>OLM41</v>
          </cell>
          <cell r="J134" t="str">
            <v>OLM41</v>
          </cell>
          <cell r="K134" t="str">
            <v>Listeria monocytogenes</v>
          </cell>
          <cell r="L134">
            <v>35771</v>
          </cell>
          <cell r="M134">
            <v>-78638</v>
          </cell>
          <cell r="N134" t="str">
            <v>North Carolina</v>
          </cell>
          <cell r="Q134">
            <v>1949</v>
          </cell>
          <cell r="T134" t="str">
            <v>North Carolina State University, Raleigh, NC, USA</v>
          </cell>
          <cell r="U134" t="str">
            <v>Animal</v>
          </cell>
          <cell r="V134" t="str">
            <v>Canary, Alberta, CA</v>
          </cell>
          <cell r="X134" t="str">
            <v>ERR10549397</v>
          </cell>
        </row>
        <row r="135">
          <cell r="G135" t="str">
            <v>/home/projects/cge/backup/fastq/food_seqdata/NextSeq_216/FoodQCPipeline_tmp/conc_fqs/DTU_2022_1016732_1_SI_OLM43_R1_001.fq.gz</v>
          </cell>
          <cell r="H135" t="str">
            <v>/home/projects/cge/backup/fastq/food_seqdata/NextSeq_216/FoodQCPipeline_tmp/conc_fqs/DTU_2022_1016732_1_SI_OLM43_R2_001.fq.gz</v>
          </cell>
          <cell r="I135" t="str">
            <v>OLM43</v>
          </cell>
          <cell r="J135" t="str">
            <v>OLM43</v>
          </cell>
          <cell r="K135" t="str">
            <v>Listeria monocytogenes</v>
          </cell>
          <cell r="L135">
            <v>35771</v>
          </cell>
          <cell r="M135">
            <v>-78638</v>
          </cell>
          <cell r="N135" t="str">
            <v>North Carolina</v>
          </cell>
          <cell r="Q135">
            <v>1949</v>
          </cell>
          <cell r="R135" t="str">
            <v>Bos taurus</v>
          </cell>
          <cell r="T135" t="str">
            <v>North Carolina State University, Raleigh, NC, USA</v>
          </cell>
          <cell r="U135" t="str">
            <v>Animal</v>
          </cell>
          <cell r="V135" t="str">
            <v>Cow, Ontario, CA</v>
          </cell>
          <cell r="X135" t="str">
            <v>ERR10549375</v>
          </cell>
        </row>
        <row r="136">
          <cell r="G136" t="str">
            <v>/home/projects/cge/backup/fastq/food_seqdata/NextSeq_216/FoodQCPipeline_tmp/conc_fqs/DTU_2022_1016757_1_SI_OLM84_R1_001.fq.gz</v>
          </cell>
          <cell r="H136" t="str">
            <v>/home/projects/cge/backup/fastq/food_seqdata/NextSeq_216/FoodQCPipeline_tmp/conc_fqs/DTU_2022_1016757_1_SI_OLM84_R2_001.fq.gz</v>
          </cell>
          <cell r="I136" t="str">
            <v>OLM84</v>
          </cell>
          <cell r="J136" t="str">
            <v>OLM84</v>
          </cell>
          <cell r="K136" t="str">
            <v>Listeria monocytogenes</v>
          </cell>
          <cell r="L136">
            <v>35771</v>
          </cell>
          <cell r="M136">
            <v>-78638</v>
          </cell>
          <cell r="N136" t="str">
            <v>North Carolina</v>
          </cell>
          <cell r="Q136">
            <v>1949</v>
          </cell>
          <cell r="T136" t="str">
            <v>North Carolina State University, Raleigh, NC, USA</v>
          </cell>
          <cell r="U136" t="str">
            <v>Human</v>
          </cell>
          <cell r="V136" t="str">
            <v>Clinical, human, MD, USA</v>
          </cell>
          <cell r="X136" t="str">
            <v>ERR10549385</v>
          </cell>
        </row>
        <row r="137">
          <cell r="G137" t="str">
            <v>/home/projects/cge/backup/fastq/food_seqdata/NextSeq_216/FoodQCPipeline_tmp/conc_fqs/DTU_2022_1016733_1_SI_OLM44_R1_001.fq.gz</v>
          </cell>
          <cell r="H137" t="str">
            <v>/home/projects/cge/backup/fastq/food_seqdata/NextSeq_216/FoodQCPipeline_tmp/conc_fqs/DTU_2022_1016733_1_SI_OLM44_R2_001.fq.gz</v>
          </cell>
          <cell r="I137" t="str">
            <v>OLM44</v>
          </cell>
          <cell r="J137" t="str">
            <v>OLM44</v>
          </cell>
          <cell r="K137" t="str">
            <v>Listeria monocytogenes</v>
          </cell>
          <cell r="L137">
            <v>35771</v>
          </cell>
          <cell r="M137">
            <v>-78638</v>
          </cell>
          <cell r="N137" t="str">
            <v>North Carolina</v>
          </cell>
          <cell r="Q137">
            <v>1950</v>
          </cell>
          <cell r="T137" t="str">
            <v>North Carolina State University, Raleigh, NC, USA</v>
          </cell>
          <cell r="U137" t="str">
            <v>Animal</v>
          </cell>
          <cell r="V137" t="str">
            <v>Ferret, USA</v>
          </cell>
          <cell r="X137" t="str">
            <v>ERR10549382</v>
          </cell>
        </row>
        <row r="138">
          <cell r="G138" t="str">
            <v>/home/projects/cge/backup/fastq/food_seqdata/NextSeq_216/FoodQCPipeline_tmp/conc_fqs/DTU_2022_1016734_1_SI_OLM46_R1_001.fq.gz</v>
          </cell>
          <cell r="H138" t="str">
            <v>/home/projects/cge/backup/fastq/food_seqdata/NextSeq_216/FoodQCPipeline_tmp/conc_fqs/DTU_2022_1016734_1_SI_OLM46_R2_001.fq.gz</v>
          </cell>
          <cell r="I138" t="str">
            <v>OLM46</v>
          </cell>
          <cell r="J138" t="str">
            <v>OLM46</v>
          </cell>
          <cell r="K138" t="str">
            <v>Listeria monocytogenes</v>
          </cell>
          <cell r="L138">
            <v>35771</v>
          </cell>
          <cell r="M138">
            <v>-78638</v>
          </cell>
          <cell r="N138" t="str">
            <v>North Carolina</v>
          </cell>
          <cell r="Q138">
            <v>1950</v>
          </cell>
          <cell r="T138" t="str">
            <v>North Carolina State University, Raleigh, NC, USA</v>
          </cell>
          <cell r="U138" t="str">
            <v>Animal</v>
          </cell>
          <cell r="V138" t="str">
            <v>Lemming, Arctic, CA</v>
          </cell>
          <cell r="X138" t="str">
            <v>ERR10549361</v>
          </cell>
        </row>
        <row r="139">
          <cell r="G139" t="str">
            <v>/home/projects/cge/backup/fastq/food_seqdata/NextSeq_216/FoodQCPipeline_tmp/conc_fqs/DTU_2022_1016736_1_SI_OLM52d_R1_001.fq.gz</v>
          </cell>
          <cell r="H139" t="str">
            <v>/home/projects/cge/backup/fastq/food_seqdata/NextSeq_216/FoodQCPipeline_tmp/conc_fqs/DTU_2022_1016736_1_SI_OLM52d_R2_001.fq.gz</v>
          </cell>
          <cell r="I139" t="str">
            <v>OLM52d</v>
          </cell>
          <cell r="J139" t="str">
            <v>OLM52d</v>
          </cell>
          <cell r="K139" t="str">
            <v>Listeria monocytogenes</v>
          </cell>
          <cell r="L139">
            <v>35771</v>
          </cell>
          <cell r="M139">
            <v>-78638</v>
          </cell>
          <cell r="N139" t="str">
            <v>North Carolina</v>
          </cell>
          <cell r="Q139">
            <v>1951</v>
          </cell>
          <cell r="T139" t="str">
            <v>North Carolina State University, Raleigh, NC, USA</v>
          </cell>
          <cell r="U139" t="str">
            <v>Human</v>
          </cell>
          <cell r="V139" t="str">
            <v>Clinical, human, Halle, Germany</v>
          </cell>
          <cell r="X139" t="str">
            <v>ERR10549387</v>
          </cell>
        </row>
        <row r="140">
          <cell r="G140" t="str">
            <v>/home/projects/cge/backup/fastq/food_seqdata/NextSeq_216/FoodQCPipeline_tmp/conc_fqs/DTU_2022_1016737_1_SI_OLM54d_R1_001.fq.gz</v>
          </cell>
          <cell r="H140" t="str">
            <v>/home/projects/cge/backup/fastq/food_seqdata/NextSeq_216/FoodQCPipeline_tmp/conc_fqs/DTU_2022_1016737_1_SI_OLM54d_R2_001.fq.gz</v>
          </cell>
          <cell r="I140" t="str">
            <v>OLM54d</v>
          </cell>
          <cell r="J140" t="str">
            <v>OLM54d</v>
          </cell>
          <cell r="K140" t="str">
            <v>Listeria monocytogenes</v>
          </cell>
          <cell r="L140">
            <v>35771</v>
          </cell>
          <cell r="M140">
            <v>-78638</v>
          </cell>
          <cell r="N140" t="str">
            <v>North Carolina</v>
          </cell>
          <cell r="Q140">
            <v>1951</v>
          </cell>
          <cell r="T140" t="str">
            <v>North Carolina State University, Raleigh, NC, USA</v>
          </cell>
          <cell r="U140" t="str">
            <v>Human</v>
          </cell>
          <cell r="V140" t="str">
            <v>Clinical, human</v>
          </cell>
          <cell r="X140" t="str">
            <v>ERR10549377</v>
          </cell>
        </row>
        <row r="141">
          <cell r="G141" t="str">
            <v>/home/projects/cge/backup/fastq/food_seqdata/NextSeq_216/FoodQCPipeline_tmp/conc_fqs/DTU_2022_1016743_1_SI_OLM55_R1_001.fq.gz</v>
          </cell>
          <cell r="H141" t="str">
            <v>/home/projects/cge/backup/fastq/food_seqdata/NextSeq_216/FoodQCPipeline_tmp/conc_fqs/DTU_2022_1016743_1_SI_OLM55_R2_001.fq.gz</v>
          </cell>
          <cell r="I141" t="str">
            <v>OLM55</v>
          </cell>
          <cell r="J141" t="str">
            <v>OLM55</v>
          </cell>
          <cell r="K141" t="str">
            <v>Listeria monocytogenes</v>
          </cell>
          <cell r="L141">
            <v>35771</v>
          </cell>
          <cell r="M141">
            <v>-78638</v>
          </cell>
          <cell r="N141" t="str">
            <v>North Carolina</v>
          </cell>
          <cell r="Q141">
            <v>1951</v>
          </cell>
          <cell r="T141" t="str">
            <v>North Carolina State University, Raleigh, NC, USA</v>
          </cell>
          <cell r="U141" t="str">
            <v>Human</v>
          </cell>
          <cell r="V141" t="str">
            <v>Clinical, human</v>
          </cell>
          <cell r="X141" t="str">
            <v>ERR10549365</v>
          </cell>
        </row>
        <row r="142">
          <cell r="G142" t="str">
            <v>/home/projects/cge/backup/fastq/food_seqdata/NextSeq_216/FoodQCPipeline_tmp/conc_fqs/DTU_2022_1016762_1_SI_OLM56_R1_001.fq.gz</v>
          </cell>
          <cell r="H142" t="str">
            <v>/home/projects/cge/backup/fastq/food_seqdata/NextSeq_216/FoodQCPipeline_tmp/conc_fqs/DTU_2022_1016762_1_SI_OLM56_R2_001.fq.gz</v>
          </cell>
          <cell r="I142" t="str">
            <v>OLM56</v>
          </cell>
          <cell r="J142" t="str">
            <v>OLM56</v>
          </cell>
          <cell r="K142" t="str">
            <v>Listeria monocytogenes</v>
          </cell>
          <cell r="L142">
            <v>35771</v>
          </cell>
          <cell r="M142">
            <v>-78638</v>
          </cell>
          <cell r="N142" t="str">
            <v>North Carolina</v>
          </cell>
          <cell r="Q142">
            <v>1951</v>
          </cell>
          <cell r="T142" t="str">
            <v>North Carolina State University, Raleigh, NC, USA</v>
          </cell>
          <cell r="U142" t="str">
            <v>Human</v>
          </cell>
          <cell r="V142" t="str">
            <v>Clinical, human</v>
          </cell>
          <cell r="X142" t="str">
            <v>ERR10549388</v>
          </cell>
        </row>
        <row r="143">
          <cell r="G143" t="str">
            <v>/home/projects/cge/backup/fastq/food_seqdata/NextSeq_216/FoodQCPipeline_tmp/conc_fqs/DTU_2022_1016738_1_SI_OLM61_R1_001.fq.gz</v>
          </cell>
          <cell r="H143" t="str">
            <v>/home/projects/cge/backup/fastq/food_seqdata/NextSeq_216/FoodQCPipeline_tmp/conc_fqs/DTU_2022_1016738_1_SI_OLM61_R2_001.fq.gz</v>
          </cell>
          <cell r="I143" t="str">
            <v>OLM61</v>
          </cell>
          <cell r="J143" t="str">
            <v>OLM61</v>
          </cell>
          <cell r="K143" t="str">
            <v>Listeria monocytogenes</v>
          </cell>
          <cell r="L143">
            <v>35771</v>
          </cell>
          <cell r="M143">
            <v>-78638</v>
          </cell>
          <cell r="N143" t="str">
            <v>North Carolina</v>
          </cell>
          <cell r="Q143">
            <v>1951</v>
          </cell>
          <cell r="T143" t="str">
            <v>North Carolina State University, Raleigh, NC, USA</v>
          </cell>
          <cell r="U143" t="str">
            <v>Human</v>
          </cell>
          <cell r="V143" t="str">
            <v>Clinical, human, Ontario, CA</v>
          </cell>
          <cell r="X143" t="str">
            <v>ERR10549386</v>
          </cell>
        </row>
        <row r="144">
          <cell r="G144" t="str">
            <v>/home/projects/cge/backup/fastq/food_seqdata/NextSeq_216/FoodQCPipeline_tmp/conc_fqs/DTU_2022_1016740_1_SI_OLM63_R1_001.fq.gz</v>
          </cell>
          <cell r="H144" t="str">
            <v>/home/projects/cge/backup/fastq/food_seqdata/NextSeq_216/FoodQCPipeline_tmp/conc_fqs/DTU_2022_1016740_1_SI_OLM63_R2_001.fq.gz</v>
          </cell>
          <cell r="I144" t="str">
            <v>OLM63</v>
          </cell>
          <cell r="J144" t="str">
            <v>OLM63</v>
          </cell>
          <cell r="K144" t="str">
            <v>Listeria monocytogenes</v>
          </cell>
          <cell r="L144">
            <v>35771</v>
          </cell>
          <cell r="M144">
            <v>-78638</v>
          </cell>
          <cell r="N144" t="str">
            <v>North Carolina</v>
          </cell>
          <cell r="Q144">
            <v>1951</v>
          </cell>
          <cell r="R144" t="str">
            <v>Capra hircus</v>
          </cell>
          <cell r="T144" t="str">
            <v>North Carolina State University, Raleigh, NC, USA</v>
          </cell>
          <cell r="U144" t="str">
            <v>Animal</v>
          </cell>
          <cell r="V144" t="str">
            <v>Goat, Japan</v>
          </cell>
          <cell r="X144" t="str">
            <v>ERR10549410</v>
          </cell>
        </row>
        <row r="145">
          <cell r="G145" t="str">
            <v>/home/projects/cge/backup/fastq/food_seqdata/NextSeq_216/FoodQCPipeline_tmp/conc_fqs/DTU_2022_1016741_1_SI_OLM65_R1_001.fq.gz</v>
          </cell>
          <cell r="H145" t="str">
            <v>/home/projects/cge/backup/fastq/food_seqdata/NextSeq_216/FoodQCPipeline_tmp/conc_fqs/DTU_2022_1016741_1_SI_OLM65_R2_001.fq.gz</v>
          </cell>
          <cell r="I145" t="str">
            <v>OLM65</v>
          </cell>
          <cell r="J145" t="str">
            <v>OLM65</v>
          </cell>
          <cell r="K145" t="str">
            <v>Listeria monocytogenes</v>
          </cell>
          <cell r="L145">
            <v>35771</v>
          </cell>
          <cell r="M145">
            <v>-78638</v>
          </cell>
          <cell r="N145" t="str">
            <v>North Carolina</v>
          </cell>
          <cell r="Q145">
            <v>1952</v>
          </cell>
          <cell r="R145" t="str">
            <v>Ovis aries</v>
          </cell>
          <cell r="T145" t="str">
            <v>North Carolina State University, Raleigh, NC, USA</v>
          </cell>
          <cell r="U145" t="str">
            <v>Animal</v>
          </cell>
          <cell r="V145" t="str">
            <v>Sheep, Japan</v>
          </cell>
          <cell r="X145" t="str">
            <v>ERR10549422</v>
          </cell>
        </row>
        <row r="146">
          <cell r="G146" t="str">
            <v>/home/projects/cge/backup/fastq/food_seqdata/NextSeq_216/FoodQCPipeline_tmp/conc_fqs/DTU_2022_1016751_1_SI_OLM76_R1_001.fq.gz</v>
          </cell>
          <cell r="H146" t="str">
            <v>/home/projects/cge/backup/fastq/food_seqdata/NextSeq_216/FoodQCPipeline_tmp/conc_fqs/DTU_2022_1016751_1_SI_OLM76_R2_001.fq.gz</v>
          </cell>
          <cell r="I146" t="str">
            <v>OLM76</v>
          </cell>
          <cell r="J146" t="str">
            <v>OLM76</v>
          </cell>
          <cell r="K146" t="str">
            <v>Listeria monocytogenes</v>
          </cell>
          <cell r="L146">
            <v>35771</v>
          </cell>
          <cell r="M146">
            <v>-78638</v>
          </cell>
          <cell r="N146" t="str">
            <v>North Carolina</v>
          </cell>
          <cell r="Q146">
            <v>1952</v>
          </cell>
          <cell r="T146" t="str">
            <v>North Carolina State University, Raleigh, NC, USA</v>
          </cell>
          <cell r="U146" t="str">
            <v>Human</v>
          </cell>
          <cell r="V146" t="str">
            <v>Clinical, human</v>
          </cell>
          <cell r="X146" t="str">
            <v>ERR10549383</v>
          </cell>
        </row>
        <row r="147">
          <cell r="G147" t="str">
            <v>/home/projects/cge/backup/fastq/food_seqdata/NextSeq_216/FoodQCPipeline_tmp/conc_fqs/DTU_2022_1016770_1_SI_OLM59_R1_001.fq.gz</v>
          </cell>
          <cell r="H147" t="str">
            <v>/home/projects/cge/backup/fastq/food_seqdata/NextSeq_216/FoodQCPipeline_tmp/conc_fqs/DTU_2022_1016770_1_SI_OLM59_R2_001.fq.gz</v>
          </cell>
          <cell r="I147" t="str">
            <v>OLM59</v>
          </cell>
          <cell r="J147" t="str">
            <v>OLM59</v>
          </cell>
          <cell r="K147" t="str">
            <v>Listeria monocytogenes</v>
          </cell>
          <cell r="L147">
            <v>35771</v>
          </cell>
          <cell r="M147">
            <v>-78638</v>
          </cell>
          <cell r="N147" t="str">
            <v>North Carolina</v>
          </cell>
          <cell r="Q147">
            <v>1953</v>
          </cell>
          <cell r="T147" t="str">
            <v>North Carolina State University, Raleigh, NC, USA</v>
          </cell>
          <cell r="U147" t="str">
            <v>Human</v>
          </cell>
          <cell r="V147" t="str">
            <v>Clinical, human, Ontario, CA</v>
          </cell>
          <cell r="X147" t="str">
            <v>ERR10549423</v>
          </cell>
        </row>
        <row r="148">
          <cell r="G148" t="str">
            <v>/home/projects/cge/backup/fastq/food_seqdata/NextSeq_216/FoodQCPipeline_tmp/conc_fqs/DTU_2022_1016739_1_SI_OLM62_R1_001.fq.gz</v>
          </cell>
          <cell r="H148" t="str">
            <v>/home/projects/cge/backup/fastq/food_seqdata/NextSeq_216/FoodQCPipeline_tmp/conc_fqs/DTU_2022_1016739_1_SI_OLM62_R2_001.fq.gz</v>
          </cell>
          <cell r="I148" t="str">
            <v>OLM62</v>
          </cell>
          <cell r="J148" t="str">
            <v>OLM62</v>
          </cell>
          <cell r="K148" t="str">
            <v>Listeria monocytogenes</v>
          </cell>
          <cell r="L148">
            <v>35771</v>
          </cell>
          <cell r="M148">
            <v>-78638</v>
          </cell>
          <cell r="N148" t="str">
            <v>North Carolina</v>
          </cell>
          <cell r="Q148">
            <v>1953</v>
          </cell>
          <cell r="R148" t="str">
            <v>Bos taurus</v>
          </cell>
          <cell r="T148" t="str">
            <v>North Carolina State University, Raleigh, NC, USA</v>
          </cell>
          <cell r="U148" t="str">
            <v>Animal</v>
          </cell>
          <cell r="V148" t="str">
            <v>Cow, Ontario, CA</v>
          </cell>
          <cell r="X148" t="str">
            <v>ERR10549389</v>
          </cell>
        </row>
        <row r="149">
          <cell r="G149" t="str">
            <v>/home/projects/cge/backup/fastq/food_seqdata/NextSeq_216/FoodQCPipeline_tmp/conc_fqs/DTU_2022_1016742_1_SI_OLM66_R1_001.fq.gz</v>
          </cell>
          <cell r="H149" t="str">
            <v>/home/projects/cge/backup/fastq/food_seqdata/NextSeq_216/FoodQCPipeline_tmp/conc_fqs/DTU_2022_1016742_1_SI_OLM66_R2_001.fq.gz</v>
          </cell>
          <cell r="I149" t="str">
            <v>OLM66</v>
          </cell>
          <cell r="J149" t="str">
            <v>OLM66</v>
          </cell>
          <cell r="K149" t="str">
            <v>Listeria monocytogenes</v>
          </cell>
          <cell r="L149">
            <v>35771</v>
          </cell>
          <cell r="M149">
            <v>-78638</v>
          </cell>
          <cell r="N149" t="str">
            <v>North Carolina</v>
          </cell>
          <cell r="Q149">
            <v>1953</v>
          </cell>
          <cell r="R149" t="str">
            <v>Capra hircus</v>
          </cell>
          <cell r="T149" t="str">
            <v>North Carolina State University, Raleigh, NC, USA</v>
          </cell>
          <cell r="U149" t="str">
            <v>Animal</v>
          </cell>
          <cell r="V149" t="str">
            <v>Goat, Japan</v>
          </cell>
          <cell r="X149" t="str">
            <v>ERR10549408</v>
          </cell>
        </row>
        <row r="150">
          <cell r="G150" t="str">
            <v>/home/projects/cge/backup/fastq/food_seqdata/NextSeq_216/FoodQCPipeline_tmp/conc_fqs/DTU_2022_1016744_1_SI_OLM67_R1_001.fq.gz</v>
          </cell>
          <cell r="H150" t="str">
            <v>/home/projects/cge/backup/fastq/food_seqdata/NextSeq_216/FoodQCPipeline_tmp/conc_fqs/DTU_2022_1016744_1_SI_OLM67_R2_001.fq.gz</v>
          </cell>
          <cell r="I150" t="str">
            <v>OLM67</v>
          </cell>
          <cell r="J150" t="str">
            <v>OLM67</v>
          </cell>
          <cell r="K150" t="str">
            <v>Listeria monocytogenes</v>
          </cell>
          <cell r="L150">
            <v>35771</v>
          </cell>
          <cell r="M150">
            <v>-78638</v>
          </cell>
          <cell r="N150" t="str">
            <v>North Carolina</v>
          </cell>
          <cell r="Q150">
            <v>1953</v>
          </cell>
          <cell r="T150" t="str">
            <v>North Carolina State University, Raleigh, NC, USA</v>
          </cell>
          <cell r="U150" t="str">
            <v>Animal</v>
          </cell>
          <cell r="V150" t="str">
            <v>Chinchila, Ontario, CA</v>
          </cell>
          <cell r="X150" t="str">
            <v>ERR10549394</v>
          </cell>
        </row>
        <row r="151">
          <cell r="G151" t="str">
            <v>/home/projects/cge/backup/fastq/food_seqdata/NextSeq_216/FoodQCPipeline_tmp/conc_fqs/DTU_2022_1016746_1_SI_OLM70_R1_001.fq.gz</v>
          </cell>
          <cell r="H151" t="str">
            <v>/home/projects/cge/backup/fastq/food_seqdata/NextSeq_216/FoodQCPipeline_tmp/conc_fqs/DTU_2022_1016746_1_SI_OLM70_R2_001.fq.gz</v>
          </cell>
          <cell r="I151" t="str">
            <v>OLM70</v>
          </cell>
          <cell r="J151" t="str">
            <v>OLM70</v>
          </cell>
          <cell r="K151" t="str">
            <v>Listeria monocytogenes</v>
          </cell>
          <cell r="L151">
            <v>35771</v>
          </cell>
          <cell r="M151">
            <v>-78638</v>
          </cell>
          <cell r="N151" t="str">
            <v>North Carolina</v>
          </cell>
          <cell r="Q151">
            <v>1953</v>
          </cell>
          <cell r="R151" t="str">
            <v>Bos taurus</v>
          </cell>
          <cell r="T151" t="str">
            <v>North Carolina State University, Raleigh, NC, USA</v>
          </cell>
          <cell r="U151" t="str">
            <v>Animal</v>
          </cell>
          <cell r="V151" t="str">
            <v>Cow fetus, Israel</v>
          </cell>
          <cell r="X151" t="str">
            <v>ERR10549390</v>
          </cell>
        </row>
        <row r="152">
          <cell r="G152" t="str">
            <v>/home/projects/cge/backup/fastq/food_seqdata/NextSeq_216/FoodQCPipeline_tmp/conc_fqs/DTU_2022_1016747_1_SI_OLM71_R1_001.fq.gz</v>
          </cell>
          <cell r="H152" t="str">
            <v>/home/projects/cge/backup/fastq/food_seqdata/NextSeq_216/FoodQCPipeline_tmp/conc_fqs/DTU_2022_1016747_1_SI_OLM71_R2_001.fq.gz</v>
          </cell>
          <cell r="I152" t="str">
            <v>OLM71</v>
          </cell>
          <cell r="J152" t="str">
            <v>OLM71</v>
          </cell>
          <cell r="K152" t="str">
            <v>Listeria monocytogenes</v>
          </cell>
          <cell r="L152">
            <v>35771</v>
          </cell>
          <cell r="M152">
            <v>-78638</v>
          </cell>
          <cell r="N152" t="str">
            <v>North Carolina</v>
          </cell>
          <cell r="Q152">
            <v>1953</v>
          </cell>
          <cell r="T152" t="str">
            <v>North Carolina State University, Raleigh, NC, USA</v>
          </cell>
          <cell r="U152" t="str">
            <v>Human</v>
          </cell>
          <cell r="V152" t="str">
            <v>Clinical, infant, Ontario, CA</v>
          </cell>
          <cell r="X152" t="str">
            <v>ERR10549392</v>
          </cell>
        </row>
        <row r="153">
          <cell r="G153" t="str">
            <v>/home/projects/cge/backup/fastq/food_seqdata/NextSeq_216/FoodQCPipeline_tmp/conc_fqs/DTU_2022_1016749_1_SI_OLM73_R1_001.fq.gz</v>
          </cell>
          <cell r="H153" t="str">
            <v>/home/projects/cge/backup/fastq/food_seqdata/NextSeq_216/FoodQCPipeline_tmp/conc_fqs/DTU_2022_1016749_1_SI_OLM73_R2_001.fq.gz</v>
          </cell>
          <cell r="I153" t="str">
            <v>OLM73</v>
          </cell>
          <cell r="J153" t="str">
            <v>OLM73</v>
          </cell>
          <cell r="K153" t="str">
            <v>Listeria monocytogenes</v>
          </cell>
          <cell r="L153">
            <v>35771</v>
          </cell>
          <cell r="M153">
            <v>-78638</v>
          </cell>
          <cell r="N153" t="str">
            <v>North Carolina</v>
          </cell>
          <cell r="Q153">
            <v>1953</v>
          </cell>
          <cell r="T153" t="str">
            <v>North Carolina State University, Raleigh, NC, USA</v>
          </cell>
          <cell r="U153" t="str">
            <v>Animal</v>
          </cell>
          <cell r="V153" t="str">
            <v>Fowl, Alberta, CA</v>
          </cell>
          <cell r="X153" t="str">
            <v>ERR10549370</v>
          </cell>
        </row>
        <row r="154">
          <cell r="G154" t="str">
            <v>/home/projects/cge/backup/fastq/food_seqdata/NextSeq_216/FoodQCPipeline_tmp/conc_fqs/DTU_2022_1016750_1_SI_OLM74_R1_001.fq.gz</v>
          </cell>
          <cell r="H154" t="str">
            <v>/home/projects/cge/backup/fastq/food_seqdata/NextSeq_216/FoodQCPipeline_tmp/conc_fqs/DTU_2022_1016750_1_SI_OLM74_R2_001.fq.gz</v>
          </cell>
          <cell r="I154" t="str">
            <v>OLM74</v>
          </cell>
          <cell r="J154" t="str">
            <v>OLM74</v>
          </cell>
          <cell r="K154" t="str">
            <v>Listeria monocytogenes</v>
          </cell>
          <cell r="L154">
            <v>35771</v>
          </cell>
          <cell r="M154">
            <v>-78638</v>
          </cell>
          <cell r="N154" t="str">
            <v>North Carolina</v>
          </cell>
          <cell r="Q154">
            <v>1953</v>
          </cell>
          <cell r="T154" t="str">
            <v>North Carolina State University, Raleigh, NC, USA</v>
          </cell>
          <cell r="U154" t="str">
            <v>Human</v>
          </cell>
          <cell r="V154" t="str">
            <v>Clinical, human, Ontario, CA</v>
          </cell>
          <cell r="X154" t="str">
            <v>ERR10549425</v>
          </cell>
        </row>
        <row r="155">
          <cell r="G155" t="str">
            <v>/home/projects/cge/backup/fastq/food_seqdata/NextSeq_216/FoodQCPipeline_tmp/conc_fqs/DTU_2022_1016756_1_SI_OLM82_R1_001.fq.gz</v>
          </cell>
          <cell r="H155" t="str">
            <v>/home/projects/cge/backup/fastq/food_seqdata/NextSeq_216/FoodQCPipeline_tmp/conc_fqs/DTU_2022_1016756_1_SI_OLM82_R2_001.fq.gz</v>
          </cell>
          <cell r="I155" t="str">
            <v>OLM82</v>
          </cell>
          <cell r="J155" t="str">
            <v>OLM82</v>
          </cell>
          <cell r="K155" t="str">
            <v>Listeria monocytogenes</v>
          </cell>
          <cell r="L155">
            <v>35771</v>
          </cell>
          <cell r="M155">
            <v>-78638</v>
          </cell>
          <cell r="N155" t="str">
            <v>North Carolina</v>
          </cell>
          <cell r="Q155">
            <v>1953</v>
          </cell>
          <cell r="T155" t="str">
            <v>North Carolina State University, Raleigh, NC, USA</v>
          </cell>
          <cell r="U155" t="str">
            <v>Animal</v>
          </cell>
          <cell r="V155" t="str">
            <v>Jena, Germany</v>
          </cell>
          <cell r="X155" t="str">
            <v>ERR10549414</v>
          </cell>
        </row>
        <row r="156">
          <cell r="G156" t="str">
            <v>/home/projects/cge/backup/fastq/food_seqdata/NextSeq_216/FoodQCPipeline_tmp/conc_fqs/DTU_2022_1016752_1_SI_OLM77_R1_001.fq.gz</v>
          </cell>
          <cell r="H156" t="str">
            <v>/home/projects/cge/backup/fastq/food_seqdata/NextSeq_216/FoodQCPipeline_tmp/conc_fqs/DTU_2022_1016752_1_SI_OLM77_R2_001.fq.gz</v>
          </cell>
          <cell r="I156" t="str">
            <v>OLM77</v>
          </cell>
          <cell r="J156" t="str">
            <v>OLM77</v>
          </cell>
          <cell r="K156" t="str">
            <v>Listeria monocytogenes</v>
          </cell>
          <cell r="L156">
            <v>35771</v>
          </cell>
          <cell r="M156">
            <v>-78638</v>
          </cell>
          <cell r="N156" t="str">
            <v>North Carolina</v>
          </cell>
          <cell r="Q156">
            <v>1954</v>
          </cell>
          <cell r="T156" t="str">
            <v>North Carolina State University, Raleigh, NC, USA</v>
          </cell>
          <cell r="U156" t="str">
            <v>Human</v>
          </cell>
          <cell r="V156" t="str">
            <v>Clinical, human, Ontario, CA</v>
          </cell>
          <cell r="X156" t="str">
            <v>ERR10549407</v>
          </cell>
        </row>
        <row r="157">
          <cell r="G157" t="str">
            <v>/home/projects/cge/backup/fastq/food_seqdata/NextSeq_216/FoodQCPipeline_tmp/conc_fqs/DTU_2022_1016753_1_SI_OLM78_R1_001.fq.gz</v>
          </cell>
          <cell r="H157" t="str">
            <v>/home/projects/cge/backup/fastq/food_seqdata/NextSeq_216/FoodQCPipeline_tmp/conc_fqs/DTU_2022_1016753_1_SI_OLM78_R2_001.fq.gz</v>
          </cell>
          <cell r="I157" t="str">
            <v>OLM78</v>
          </cell>
          <cell r="J157" t="str">
            <v>OLM78</v>
          </cell>
          <cell r="K157" t="str">
            <v>Listeria monocytogenes</v>
          </cell>
          <cell r="L157">
            <v>35771</v>
          </cell>
          <cell r="M157">
            <v>-78638</v>
          </cell>
          <cell r="N157" t="str">
            <v>North Carolina</v>
          </cell>
          <cell r="Q157">
            <v>1954</v>
          </cell>
          <cell r="T157" t="str">
            <v>North Carolina State University, Raleigh, NC, USA</v>
          </cell>
          <cell r="U157" t="str">
            <v>Human</v>
          </cell>
          <cell r="V157" t="str">
            <v>Clinical, human, Ontario, CA</v>
          </cell>
          <cell r="X157" t="str">
            <v>ERR10549402</v>
          </cell>
        </row>
        <row r="158">
          <cell r="G158" t="str">
            <v>/home/projects/cge/backup/fastq/food_seqdata/NextSeq_216/FoodQCPipeline_tmp/conc_fqs/DTU_2022_1016754_1_SI_OLM80_R1_001.fq.gz</v>
          </cell>
          <cell r="H158" t="str">
            <v>/home/projects/cge/backup/fastq/food_seqdata/NextSeq_216/FoodQCPipeline_tmp/conc_fqs/DTU_2022_1016754_1_SI_OLM80_R2_001.fq.gz</v>
          </cell>
          <cell r="I158" t="str">
            <v>OLM80</v>
          </cell>
          <cell r="J158" t="str">
            <v>OLM80</v>
          </cell>
          <cell r="K158" t="str">
            <v>Listeria monocytogenes</v>
          </cell>
          <cell r="L158">
            <v>35771</v>
          </cell>
          <cell r="M158">
            <v>-78638</v>
          </cell>
          <cell r="N158" t="str">
            <v>North Carolina</v>
          </cell>
          <cell r="Q158">
            <v>1954</v>
          </cell>
          <cell r="T158" t="str">
            <v>North Carolina State University, Raleigh, NC, USA</v>
          </cell>
          <cell r="U158" t="str">
            <v>Human</v>
          </cell>
          <cell r="V158" t="str">
            <v>Clinical, human, Ontario, CA</v>
          </cell>
          <cell r="X158" t="str">
            <v>ERR10549371</v>
          </cell>
        </row>
        <row r="159">
          <cell r="G159" t="str">
            <v>/home/projects/cge/backup/fastq/food_seqdata/NextSeq_216/FoodQCPipeline_tmp/conc_fqs/DTU_2022_1016755_1_SI_OLM81_R1_001.fq.gz</v>
          </cell>
          <cell r="H159" t="str">
            <v>/home/projects/cge/backup/fastq/food_seqdata/NextSeq_216/FoodQCPipeline_tmp/conc_fqs/DTU_2022_1016755_1_SI_OLM81_R2_001.fq.gz</v>
          </cell>
          <cell r="I159" t="str">
            <v>OLM81</v>
          </cell>
          <cell r="J159" t="str">
            <v>OLM81</v>
          </cell>
          <cell r="K159" t="str">
            <v>Listeria monocytogenes</v>
          </cell>
          <cell r="L159">
            <v>35771</v>
          </cell>
          <cell r="M159">
            <v>-78638</v>
          </cell>
          <cell r="N159" t="str">
            <v>North Carolina</v>
          </cell>
          <cell r="Q159">
            <v>1954</v>
          </cell>
          <cell r="T159" t="str">
            <v>North Carolina State University, Raleigh, NC, USA</v>
          </cell>
          <cell r="U159" t="str">
            <v>Unknown</v>
          </cell>
          <cell r="V159" t="str">
            <v>Unknown</v>
          </cell>
          <cell r="X159" t="str">
            <v>ERR10549443</v>
          </cell>
        </row>
        <row r="160">
          <cell r="G160" t="str">
            <v>/home/projects/cge/backup/fastq/food_seqdata/NextSeq_216/FoodQCPipeline_tmp/conc_fqs/DTU_2022_1016758_1_SI_OLM87_R1_001.fq.gz</v>
          </cell>
          <cell r="H160" t="str">
            <v>/home/projects/cge/backup/fastq/food_seqdata/NextSeq_216/FoodQCPipeline_tmp/conc_fqs/DTU_2022_1016758_1_SI_OLM87_R2_001.fq.gz</v>
          </cell>
          <cell r="I160" t="str">
            <v>OLM87</v>
          </cell>
          <cell r="J160" t="str">
            <v>OLM87</v>
          </cell>
          <cell r="K160" t="str">
            <v>Listeria monocytogenes</v>
          </cell>
          <cell r="L160">
            <v>35771</v>
          </cell>
          <cell r="M160">
            <v>-78638</v>
          </cell>
          <cell r="N160" t="str">
            <v>North Carolina</v>
          </cell>
          <cell r="Q160">
            <v>1954</v>
          </cell>
          <cell r="T160" t="str">
            <v>North Carolina State University, Raleigh, NC, USA</v>
          </cell>
          <cell r="U160" t="str">
            <v>Human</v>
          </cell>
          <cell r="V160" t="str">
            <v>Clinical, human, CT, USA</v>
          </cell>
          <cell r="X160" t="str">
            <v>ERR10549455</v>
          </cell>
        </row>
        <row r="161">
          <cell r="G161" t="str">
            <v>/home/projects/cge/backup/fastq/food_seqdata/NextSeq_216/FoodQCPipeline_tmp/conc_fqs/DTU_2022_1016759_1_SI_OLM93_R1_001.fq.gz</v>
          </cell>
          <cell r="H161" t="str">
            <v>/home/projects/cge/backup/fastq/food_seqdata/NextSeq_216/FoodQCPipeline_tmp/conc_fqs/DTU_2022_1016759_1_SI_OLM93_R2_001.fq.gz</v>
          </cell>
          <cell r="I161" t="str">
            <v>OLM93</v>
          </cell>
          <cell r="J161" t="str">
            <v>OLM93</v>
          </cell>
          <cell r="K161" t="str">
            <v>Listeria monocytogenes</v>
          </cell>
          <cell r="L161">
            <v>35771</v>
          </cell>
          <cell r="M161">
            <v>-78638</v>
          </cell>
          <cell r="N161" t="str">
            <v>North Carolina</v>
          </cell>
          <cell r="Q161">
            <v>1954</v>
          </cell>
          <cell r="T161" t="str">
            <v>North Carolina State University, Raleigh, NC, USA</v>
          </cell>
          <cell r="U161" t="str">
            <v>Human</v>
          </cell>
          <cell r="V161" t="str">
            <v>Clinical, human, Ontario, CA</v>
          </cell>
          <cell r="X161" t="str">
            <v>ERR10549376</v>
          </cell>
        </row>
        <row r="162">
          <cell r="G162" t="str">
            <v>/home/projects/cge/backup/fastq/food_seqdata/NextSeq_216/FoodQCPipeline_tmp/conc_fqs/DTU_2022_1016760_1_SI_OLM97_R1_001.fq.gz</v>
          </cell>
          <cell r="H162" t="str">
            <v>/home/projects/cge/backup/fastq/food_seqdata/NextSeq_216/FoodQCPipeline_tmp/conc_fqs/DTU_2022_1016760_1_SI_OLM97_R2_001.fq.gz</v>
          </cell>
          <cell r="I162" t="str">
            <v>OLM97</v>
          </cell>
          <cell r="J162" t="str">
            <v>OLM97</v>
          </cell>
          <cell r="K162" t="str">
            <v>Listeria monocytogenes</v>
          </cell>
          <cell r="L162">
            <v>35771</v>
          </cell>
          <cell r="M162">
            <v>-78638</v>
          </cell>
          <cell r="N162" t="str">
            <v>North Carolina</v>
          </cell>
          <cell r="Q162">
            <v>1954</v>
          </cell>
          <cell r="T162" t="str">
            <v>North Carolina State University, Raleigh, NC, USA</v>
          </cell>
          <cell r="U162" t="str">
            <v>Human</v>
          </cell>
          <cell r="V162" t="str">
            <v>Clinical, human, Nova Scotia, CA</v>
          </cell>
          <cell r="X162" t="str">
            <v>ERR10549378</v>
          </cell>
        </row>
        <row r="163">
          <cell r="G163" t="str">
            <v>/home/projects/cge/backup/fastq/food_seqdata/NextSeq_216/FoodQCPipeline_tmp/conc_fqs/DTU_2022_1016763_1_SI_OLM102_R1_001.fq.gz</v>
          </cell>
          <cell r="H163" t="str">
            <v>/home/projects/cge/backup/fastq/food_seqdata/NextSeq_216/FoodQCPipeline_tmp/conc_fqs/DTU_2022_1016763_1_SI_OLM102_R2_001.fq.gz</v>
          </cell>
          <cell r="I163" t="str">
            <v>OLM102</v>
          </cell>
          <cell r="J163" t="str">
            <v>OLM102</v>
          </cell>
          <cell r="K163" t="str">
            <v>Listeria monocytogenes</v>
          </cell>
          <cell r="L163">
            <v>35771</v>
          </cell>
          <cell r="M163">
            <v>-78638</v>
          </cell>
          <cell r="N163" t="str">
            <v>North Carolina</v>
          </cell>
          <cell r="Q163">
            <v>1955</v>
          </cell>
          <cell r="T163" t="str">
            <v>North Carolina State University, Raleigh, NC, USA</v>
          </cell>
          <cell r="U163" t="str">
            <v>Human</v>
          </cell>
          <cell r="V163" t="str">
            <v>Clinical, infant, Nova Scotia, CA</v>
          </cell>
          <cell r="X163" t="str">
            <v>ERR10549391</v>
          </cell>
        </row>
        <row r="164">
          <cell r="G164" t="str">
            <v>/home/projects/cge/backup/fastq/food_seqdata/NextSeq_216/FoodQCPipeline_tmp/conc_fqs/DTU_2022_1016764_1_SI_OLM115_R1_001.fq.gz</v>
          </cell>
          <cell r="H164" t="str">
            <v>/home/projects/cge/backup/fastq/food_seqdata/NextSeq_216/FoodQCPipeline_tmp/conc_fqs/DTU_2022_1016764_1_SI_OLM115_R2_001.fq.gz</v>
          </cell>
          <cell r="I164" t="str">
            <v>OLM115</v>
          </cell>
          <cell r="J164" t="str">
            <v>OLM115</v>
          </cell>
          <cell r="K164" t="str">
            <v>Listeria monocytogenes</v>
          </cell>
          <cell r="L164">
            <v>35771</v>
          </cell>
          <cell r="M164">
            <v>-78638</v>
          </cell>
          <cell r="N164" t="str">
            <v>North Carolina</v>
          </cell>
          <cell r="Q164">
            <v>1955</v>
          </cell>
          <cell r="T164" t="str">
            <v>North Carolina State University, Raleigh, NC, USA</v>
          </cell>
          <cell r="U164" t="str">
            <v>Human</v>
          </cell>
          <cell r="V164" t="str">
            <v>Clinical, infant, Nova Scotia, CA</v>
          </cell>
          <cell r="X164" t="str">
            <v>ERR10549420</v>
          </cell>
        </row>
        <row r="165">
          <cell r="G165" t="str">
            <v>/home/projects/cge/backup/fastq/food_seqdata/NextSeq_216/FoodQCPipeline_tmp/conc_fqs/DTU_2022_1016774_1_SI_OLM135_R1_001.fq.gz</v>
          </cell>
          <cell r="H165" t="str">
            <v>/home/projects/cge/backup/fastq/food_seqdata/NextSeq_216/FoodQCPipeline_tmp/conc_fqs/DTU_2022_1016774_1_SI_OLM135_R2_001.fq.gz</v>
          </cell>
          <cell r="I165" t="str">
            <v>OLM135</v>
          </cell>
          <cell r="J165" t="str">
            <v>OLM135</v>
          </cell>
          <cell r="K165" t="str">
            <v>Listeria monocytogenes</v>
          </cell>
          <cell r="L165">
            <v>35771</v>
          </cell>
          <cell r="M165">
            <v>-78638</v>
          </cell>
          <cell r="N165" t="str">
            <v>North Carolina</v>
          </cell>
          <cell r="Q165">
            <v>1955</v>
          </cell>
          <cell r="T165" t="str">
            <v>North Carolina State University, Raleigh, NC, USA</v>
          </cell>
          <cell r="U165" t="str">
            <v>Human</v>
          </cell>
          <cell r="V165" t="str">
            <v>Clinical, human, MI, USA</v>
          </cell>
          <cell r="X165" t="str">
            <v>ERR10549384</v>
          </cell>
        </row>
        <row r="166">
          <cell r="G166" t="str">
            <v>/home/projects/cge/backup/fastq/food_seqdata/NextSeq_216/FoodQCPipeline_tmp/conc_fqs/DTU_2022_1016761_1_SI_OLM98_R1_001.fq.gz</v>
          </cell>
          <cell r="H166" t="str">
            <v>/home/projects/cge/backup/fastq/food_seqdata/NextSeq_216/FoodQCPipeline_tmp/conc_fqs/DTU_2022_1016761_1_SI_OLM98_R2_001.fq.gz</v>
          </cell>
          <cell r="I166" t="str">
            <v>OLM98</v>
          </cell>
          <cell r="J166" t="str">
            <v>OLM98</v>
          </cell>
          <cell r="K166" t="str">
            <v>Listeria monocytogenes</v>
          </cell>
          <cell r="L166">
            <v>35771</v>
          </cell>
          <cell r="M166">
            <v>-78638</v>
          </cell>
          <cell r="N166" t="str">
            <v>North Carolina</v>
          </cell>
          <cell r="Q166">
            <v>1955</v>
          </cell>
          <cell r="T166" t="str">
            <v>North Carolina State University, Raleigh, NC, USA</v>
          </cell>
          <cell r="U166" t="str">
            <v>Human</v>
          </cell>
          <cell r="V166" t="str">
            <v>Clinical, human, Nova Scotia, CA</v>
          </cell>
          <cell r="X166" t="str">
            <v>ERR10549419</v>
          </cell>
        </row>
        <row r="167">
          <cell r="G167" t="str">
            <v>/home/projects/cge/backup/fastq/food_seqdata/NextSeq_216/FoodQCPipeline_tmp/conc_fqs/DTU_2022_1016765_1_SI_OLM116_R1_001.fq.gz</v>
          </cell>
          <cell r="H167" t="str">
            <v>/home/projects/cge/backup/fastq/food_seqdata/NextSeq_216/FoodQCPipeline_tmp/conc_fqs/DTU_2022_1016765_1_SI_OLM116_R2_001.fq.gz</v>
          </cell>
          <cell r="I167" t="str">
            <v>OLM116</v>
          </cell>
          <cell r="J167" t="str">
            <v>OLM116</v>
          </cell>
          <cell r="K167" t="str">
            <v>Listeria monocytogenes</v>
          </cell>
          <cell r="L167">
            <v>35771</v>
          </cell>
          <cell r="M167">
            <v>-78638</v>
          </cell>
          <cell r="N167" t="str">
            <v>North Carolina</v>
          </cell>
          <cell r="Q167">
            <v>1956</v>
          </cell>
          <cell r="T167" t="str">
            <v>North Carolina State University, Raleigh, NC, USA</v>
          </cell>
          <cell r="U167" t="str">
            <v>Human</v>
          </cell>
          <cell r="V167" t="str">
            <v>Clinical, infant, Nova Scotia, CA</v>
          </cell>
          <cell r="X167" t="str">
            <v>ERR10549393</v>
          </cell>
        </row>
        <row r="168">
          <cell r="G168" t="str">
            <v>/home/projects/cge/backup/fastq/food_seqdata/NextSeq_216/FoodQCPipeline_tmp/conc_fqs/DTU_2022_1016766_1_SI_OLM117_R1_001.fq.gz</v>
          </cell>
          <cell r="H168" t="str">
            <v>/home/projects/cge/backup/fastq/food_seqdata/NextSeq_216/FoodQCPipeline_tmp/conc_fqs/DTU_2022_1016766_1_SI_OLM117_R2_001.fq.gz</v>
          </cell>
          <cell r="I168" t="str">
            <v>OLM117</v>
          </cell>
          <cell r="J168" t="str">
            <v>OLM117</v>
          </cell>
          <cell r="K168" t="str">
            <v>Listeria monocytogenes</v>
          </cell>
          <cell r="L168">
            <v>35771</v>
          </cell>
          <cell r="M168">
            <v>-78638</v>
          </cell>
          <cell r="N168" t="str">
            <v>North Carolina</v>
          </cell>
          <cell r="Q168">
            <v>1956</v>
          </cell>
          <cell r="T168" t="str">
            <v>North Carolina State University, Raleigh, NC, USA</v>
          </cell>
          <cell r="U168" t="str">
            <v>Human</v>
          </cell>
          <cell r="V168" t="str">
            <v>Clinical, infant, Nova Scotia, CA</v>
          </cell>
          <cell r="X168" t="str">
            <v>ERR10549421</v>
          </cell>
        </row>
        <row r="169">
          <cell r="G169" t="str">
            <v>/home/projects/cge/backup/fastq/food_seqdata/NextSeq_216/FoodQCPipeline_tmp/conc_fqs/DTU_2022_1016767_1_SI_OLM118_R1_001.fq.gz</v>
          </cell>
          <cell r="H169" t="str">
            <v>/home/projects/cge/backup/fastq/food_seqdata/NextSeq_216/FoodQCPipeline_tmp/conc_fqs/DTU_2022_1016767_1_SI_OLM118_R2_001.fq.gz</v>
          </cell>
          <cell r="I169" t="str">
            <v>OLM118</v>
          </cell>
          <cell r="J169" t="str">
            <v>OLM118</v>
          </cell>
          <cell r="K169" t="str">
            <v>Listeria monocytogenes</v>
          </cell>
          <cell r="L169">
            <v>35771</v>
          </cell>
          <cell r="M169">
            <v>-78638</v>
          </cell>
          <cell r="N169" t="str">
            <v>North Carolina</v>
          </cell>
          <cell r="Q169">
            <v>1956</v>
          </cell>
          <cell r="T169" t="str">
            <v>North Carolina State University, Raleigh, NC, USA</v>
          </cell>
          <cell r="U169" t="str">
            <v>Human</v>
          </cell>
          <cell r="V169" t="str">
            <v>Clinical, human, Nova Scotia, CA</v>
          </cell>
          <cell r="X169" t="str">
            <v>ERR10549400</v>
          </cell>
        </row>
        <row r="170">
          <cell r="G170" t="str">
            <v>/home/projects/cge/backup/fastq/food_seqdata/NextSeq_216/FoodQCPipeline_tmp/conc_fqs/DTU_2022_1016779_1_SI_OLM141_R1_001.fq.gz</v>
          </cell>
          <cell r="H170" t="str">
            <v>/home/projects/cge/backup/fastq/food_seqdata/NextSeq_216/FoodQCPipeline_tmp/conc_fqs/DTU_2022_1016779_1_SI_OLM141_R2_001.fq.gz</v>
          </cell>
          <cell r="I170" t="str">
            <v>OLM141</v>
          </cell>
          <cell r="J170" t="str">
            <v>OLM141</v>
          </cell>
          <cell r="K170" t="str">
            <v>Listeria monocytogenes</v>
          </cell>
          <cell r="L170">
            <v>35771</v>
          </cell>
          <cell r="M170">
            <v>-78638</v>
          </cell>
          <cell r="N170" t="str">
            <v>North Carolina</v>
          </cell>
          <cell r="Q170">
            <v>1956</v>
          </cell>
          <cell r="T170" t="str">
            <v>North Carolina State University, Raleigh, NC, USA</v>
          </cell>
          <cell r="U170" t="str">
            <v>Animal</v>
          </cell>
          <cell r="V170" t="str">
            <v>Mud, Bucharest, Romania</v>
          </cell>
          <cell r="X170" t="str">
            <v>ERR10549395</v>
          </cell>
        </row>
        <row r="171">
          <cell r="G171" t="str">
            <v>/home/projects/cge/backup/fastq/food_seqdata/NextSeq_216/FoodQCPipeline_tmp/conc_fqs/DTU_2022_1016768_1_SI_OLM120_R1_001.fq.gz</v>
          </cell>
          <cell r="H171" t="str">
            <v>/home/projects/cge/backup/fastq/food_seqdata/NextSeq_216/FoodQCPipeline_tmp/conc_fqs/DTU_2022_1016768_1_SI_OLM120_R2_001.fq.gz</v>
          </cell>
          <cell r="I171" t="str">
            <v>OLM120</v>
          </cell>
          <cell r="J171" t="str">
            <v>OLM120</v>
          </cell>
          <cell r="K171" t="str">
            <v>Listeria monocytogenes</v>
          </cell>
          <cell r="L171">
            <v>35771</v>
          </cell>
          <cell r="M171">
            <v>-78638</v>
          </cell>
          <cell r="N171" t="str">
            <v>North Carolina</v>
          </cell>
          <cell r="Q171">
            <v>1957</v>
          </cell>
          <cell r="T171" t="str">
            <v>North Carolina State University, Raleigh, NC, USA</v>
          </cell>
          <cell r="U171" t="str">
            <v>Human</v>
          </cell>
          <cell r="V171" t="str">
            <v>Clinical, infant, Ontario, CA</v>
          </cell>
          <cell r="X171" t="str">
            <v>ERR10549396</v>
          </cell>
        </row>
        <row r="172">
          <cell r="G172" t="str">
            <v>/home/projects/cge/backup/fastq/food_seqdata/NextSeq_216/FoodQCPipeline_tmp/conc_fqs/DTU_2022_1016769_1_SI_OLM121_R1_001.fq.gz</v>
          </cell>
          <cell r="H172" t="str">
            <v>/home/projects/cge/backup/fastq/food_seqdata/NextSeq_216/FoodQCPipeline_tmp/conc_fqs/DTU_2022_1016769_1_SI_OLM121_R2_001.fq.gz</v>
          </cell>
          <cell r="I172" t="str">
            <v>OLM121</v>
          </cell>
          <cell r="J172" t="str">
            <v>OLM121</v>
          </cell>
          <cell r="K172" t="str">
            <v>Listeria monocytogenes</v>
          </cell>
          <cell r="L172">
            <v>35771</v>
          </cell>
          <cell r="M172">
            <v>-78638</v>
          </cell>
          <cell r="N172" t="str">
            <v>North Carolina</v>
          </cell>
          <cell r="Q172">
            <v>1957</v>
          </cell>
          <cell r="T172" t="str">
            <v>North Carolina State University, Raleigh, NC, USA</v>
          </cell>
          <cell r="U172" t="str">
            <v>Human</v>
          </cell>
          <cell r="V172" t="str">
            <v>Clinical, human, Ontario, CA</v>
          </cell>
          <cell r="X172" t="str">
            <v>ERR10549434</v>
          </cell>
        </row>
        <row r="173">
          <cell r="G173" t="str">
            <v>/home/projects/cge/backup/fastq/food_seqdata/NextSeq_216/FoodQCPipeline_tmp/conc_fqs/DTU_2022_1016771_1_SI_OLM124_R1_001.fq.gz</v>
          </cell>
          <cell r="H173" t="str">
            <v>/home/projects/cge/backup/fastq/food_seqdata/NextSeq_216/FoodQCPipeline_tmp/conc_fqs/DTU_2022_1016771_1_SI_OLM124_R2_001.fq.gz</v>
          </cell>
          <cell r="I173" t="str">
            <v>OLM124</v>
          </cell>
          <cell r="J173" t="str">
            <v>OLM124</v>
          </cell>
          <cell r="K173" t="str">
            <v>Listeria monocytogenes</v>
          </cell>
          <cell r="L173">
            <v>35771</v>
          </cell>
          <cell r="M173">
            <v>-78638</v>
          </cell>
          <cell r="N173" t="str">
            <v>North Carolina</v>
          </cell>
          <cell r="Q173">
            <v>1958</v>
          </cell>
          <cell r="T173" t="str">
            <v>North Carolina State University, Raleigh, NC, USA</v>
          </cell>
          <cell r="U173" t="str">
            <v>Human</v>
          </cell>
          <cell r="V173" t="str">
            <v>Clinical, infant, Ontario, CA</v>
          </cell>
          <cell r="X173" t="str">
            <v>ERR10549398</v>
          </cell>
        </row>
        <row r="174">
          <cell r="G174" t="str">
            <v>/home/projects/cge/backup/fastq/food_seqdata/NextSeq_216/FoodQCPipeline_tmp/conc_fqs/DTU_2022_1016778_1_SI_OLM125_R1_001.fq.gz</v>
          </cell>
          <cell r="H174" t="str">
            <v>/home/projects/cge/backup/fastq/food_seqdata/NextSeq_216/FoodQCPipeline_tmp/conc_fqs/DTU_2022_1016778_1_SI_OLM125_R2_001.fq.gz</v>
          </cell>
          <cell r="I174" t="str">
            <v>OLM125</v>
          </cell>
          <cell r="J174" t="str">
            <v>OLM125</v>
          </cell>
          <cell r="K174" t="str">
            <v>Listeria monocytogenes</v>
          </cell>
          <cell r="L174">
            <v>35771</v>
          </cell>
          <cell r="M174">
            <v>-78638</v>
          </cell>
          <cell r="N174" t="str">
            <v>North Carolina</v>
          </cell>
          <cell r="Q174">
            <v>1959</v>
          </cell>
          <cell r="T174" t="str">
            <v>North Carolina State University, Raleigh, NC, USA</v>
          </cell>
          <cell r="U174" t="str">
            <v>Human</v>
          </cell>
          <cell r="V174" t="str">
            <v>Clinical, infant, Ontario, CA</v>
          </cell>
          <cell r="X174" t="str">
            <v>ERR10549454</v>
          </cell>
        </row>
        <row r="175">
          <cell r="G175" t="str">
            <v>/home/projects/cge/backup/fastq/food_seqdata/NextSeq_216/FoodQCPipeline_tmp/conc_fqs/DTU_2022_1016788_1_SI_OLM126_R1_001.fq.gz</v>
          </cell>
          <cell r="H175" t="str">
            <v>/home/projects/cge/backup/fastq/food_seqdata/NextSeq_216/FoodQCPipeline_tmp/conc_fqs/DTU_2022_1016788_1_SI_OLM126_R2_001.fq.gz</v>
          </cell>
          <cell r="I175" t="str">
            <v>OLM126</v>
          </cell>
          <cell r="J175" t="str">
            <v>OLM126</v>
          </cell>
          <cell r="K175" t="str">
            <v>Listeria monocytogenes</v>
          </cell>
          <cell r="L175">
            <v>35771</v>
          </cell>
          <cell r="M175">
            <v>-78638</v>
          </cell>
          <cell r="N175" t="str">
            <v>North Carolina</v>
          </cell>
          <cell r="Q175">
            <v>1959</v>
          </cell>
          <cell r="R175" t="str">
            <v>Ovis aries</v>
          </cell>
          <cell r="T175" t="str">
            <v>North Carolina State University, Raleigh, NC, USA</v>
          </cell>
          <cell r="U175" t="str">
            <v>Animal</v>
          </cell>
          <cell r="V175" t="str">
            <v>Sheep, Nova Scotia, CA</v>
          </cell>
          <cell r="X175" t="str">
            <v>ERR10549432</v>
          </cell>
        </row>
        <row r="176">
          <cell r="G176" t="str">
            <v>/home/projects/cge/backup/fastq/food_seqdata/NextSeq_216/FoodQCPipeline_tmp/conc_fqs/DTU_2022_1016772_1_SI_OLM127_R1_001.fq.gz</v>
          </cell>
          <cell r="H176" t="str">
            <v>/home/projects/cge/backup/fastq/food_seqdata/NextSeq_216/FoodQCPipeline_tmp/conc_fqs/DTU_2022_1016772_1_SI_OLM127_R2_001.fq.gz</v>
          </cell>
          <cell r="I176" t="str">
            <v>OLM127</v>
          </cell>
          <cell r="J176" t="str">
            <v>OLM127</v>
          </cell>
          <cell r="K176" t="str">
            <v>Listeria monocytogenes</v>
          </cell>
          <cell r="L176">
            <v>35771</v>
          </cell>
          <cell r="M176">
            <v>-78638</v>
          </cell>
          <cell r="N176" t="str">
            <v>North Carolina</v>
          </cell>
          <cell r="Q176">
            <v>1959</v>
          </cell>
          <cell r="R176" t="str">
            <v>Lepus</v>
          </cell>
          <cell r="T176" t="str">
            <v>North Carolina State University, Raleigh, NC, USA</v>
          </cell>
          <cell r="U176" t="str">
            <v>Animal</v>
          </cell>
          <cell r="V176" t="str">
            <v>Hare, Newfoundland, Canada</v>
          </cell>
          <cell r="X176" t="str">
            <v>ERR10549426</v>
          </cell>
        </row>
        <row r="177">
          <cell r="G177" t="str">
            <v>/home/projects/cge/backup/fastq/food_seqdata/NextSeq_216/FoodQCPipeline_tmp/conc_fqs/DTU_2022_1016775_1_SI_OLM136_R1_001.fq.gz</v>
          </cell>
          <cell r="H177" t="str">
            <v>/home/projects/cge/backup/fastq/food_seqdata/NextSeq_216/FoodQCPipeline_tmp/conc_fqs/DTU_2022_1016775_1_SI_OLM136_R2_001.fq.gz</v>
          </cell>
          <cell r="I177" t="str">
            <v>OLM136</v>
          </cell>
          <cell r="J177" t="str">
            <v>OLM136</v>
          </cell>
          <cell r="K177" t="str">
            <v>Listeria monocytogenes</v>
          </cell>
          <cell r="L177">
            <v>35771</v>
          </cell>
          <cell r="M177">
            <v>-78638</v>
          </cell>
          <cell r="N177" t="str">
            <v>North Carolina</v>
          </cell>
          <cell r="Q177">
            <v>1960</v>
          </cell>
          <cell r="T177" t="str">
            <v>North Carolina State University, Raleigh, NC, USA</v>
          </cell>
          <cell r="U177" t="str">
            <v>Human</v>
          </cell>
          <cell r="V177" t="str">
            <v>Clinical, human, LA, USA</v>
          </cell>
          <cell r="X177" t="str">
            <v>ERR10549401</v>
          </cell>
        </row>
        <row r="178">
          <cell r="G178" t="str">
            <v>/home/projects/cge/backup/fastq/food_seqdata/NextSeq_216/FoodQCPipeline_tmp/conc_fqs/DTU_2022_1016776_1_SI_OLM137_R1_001.fq.gz</v>
          </cell>
          <cell r="H178" t="str">
            <v>/home/projects/cge/backup/fastq/food_seqdata/NextSeq_216/FoodQCPipeline_tmp/conc_fqs/DTU_2022_1016776_1_SI_OLM137_R2_001.fq.gz</v>
          </cell>
          <cell r="I178" t="str">
            <v>OLM137</v>
          </cell>
          <cell r="J178" t="str">
            <v>OLM137</v>
          </cell>
          <cell r="K178" t="str">
            <v>Listeria monocytogenes</v>
          </cell>
          <cell r="L178">
            <v>35771</v>
          </cell>
          <cell r="M178">
            <v>-78638</v>
          </cell>
          <cell r="N178" t="str">
            <v>North Carolina</v>
          </cell>
          <cell r="Q178">
            <v>1960</v>
          </cell>
          <cell r="R178" t="str">
            <v>Bos taurus</v>
          </cell>
          <cell r="T178" t="str">
            <v>North Carolina State University, Raleigh, NC, USA</v>
          </cell>
          <cell r="U178" t="str">
            <v>Animal</v>
          </cell>
          <cell r="V178" t="str">
            <v>Cow, Nova Scotia, CA</v>
          </cell>
          <cell r="X178" t="str">
            <v>ERR10549464</v>
          </cell>
        </row>
        <row r="179">
          <cell r="G179" t="str">
            <v>/home/projects/cge/backup/fastq/food_seqdata/NextSeq_216/FoodQCPipeline_tmp/conc_fqs/DTU_2022_1016780_1_SI_OLM142_R1_001.fq.gz</v>
          </cell>
          <cell r="H179" t="str">
            <v>/home/projects/cge/backup/fastq/food_seqdata/NextSeq_216/FoodQCPipeline_tmp/conc_fqs/DTU_2022_1016780_1_SI_OLM142_R2_001.fq.gz</v>
          </cell>
          <cell r="I179" t="str">
            <v>OLM142</v>
          </cell>
          <cell r="J179" t="str">
            <v>OLM142</v>
          </cell>
          <cell r="K179" t="str">
            <v>Listeria monocytogenes</v>
          </cell>
          <cell r="L179">
            <v>35771</v>
          </cell>
          <cell r="M179">
            <v>-78638</v>
          </cell>
          <cell r="N179" t="str">
            <v>North Carolina</v>
          </cell>
          <cell r="Q179">
            <v>1960</v>
          </cell>
          <cell r="T179" t="str">
            <v>North Carolina State University, Raleigh, NC, USA</v>
          </cell>
          <cell r="U179" t="str">
            <v>Human</v>
          </cell>
          <cell r="V179" t="str">
            <v>Clinical, human, Newfoundland, CA</v>
          </cell>
          <cell r="X179" t="str">
            <v>ERR10549403</v>
          </cell>
        </row>
        <row r="180">
          <cell r="G180" t="str">
            <v>/home/projects/cge/backup/fastq/food_seqdata/NextSeq_216/FoodQCPipeline_tmp/conc_fqs/DTU_2022_1016777_1_SI_OLM138_R1_001.fq.gz</v>
          </cell>
          <cell r="H180" t="str">
            <v>/home/projects/cge/backup/fastq/food_seqdata/NextSeq_216/FoodQCPipeline_tmp/conc_fqs/DTU_2022_1016777_1_SI_OLM138_R2_001.fq.gz</v>
          </cell>
          <cell r="I180" t="str">
            <v>OLM138</v>
          </cell>
          <cell r="J180" t="str">
            <v>OLM138</v>
          </cell>
          <cell r="K180" t="str">
            <v>Listeria monocytogenes</v>
          </cell>
          <cell r="L180">
            <v>35771</v>
          </cell>
          <cell r="M180">
            <v>-78638</v>
          </cell>
          <cell r="N180" t="str">
            <v>North Carolina</v>
          </cell>
          <cell r="Q180">
            <v>1961</v>
          </cell>
          <cell r="T180" t="str">
            <v>North Carolina State University, Raleigh, NC, USA</v>
          </cell>
          <cell r="U180" t="str">
            <v>Human</v>
          </cell>
          <cell r="V180" t="str">
            <v>Clinical, infant, Ontario, CA</v>
          </cell>
          <cell r="X180" t="str">
            <v>ERR10549424</v>
          </cell>
        </row>
        <row r="181">
          <cell r="G181" t="str">
            <v>/home/projects/cge/backup/fastq/food_seqdata/NextSeq_216/FoodQCPipeline_tmp/conc_fqs/DTU_2022_1016781_1_SI_OLM143_R1_001.fq.gz</v>
          </cell>
          <cell r="H181" t="str">
            <v>/home/projects/cge/backup/fastq/food_seqdata/NextSeq_216/FoodQCPipeline_tmp/conc_fqs/DTU_2022_1016781_1_SI_OLM143_R2_001.fq.gz</v>
          </cell>
          <cell r="I181" t="str">
            <v>OLM143</v>
          </cell>
          <cell r="J181" t="str">
            <v>OLM143</v>
          </cell>
          <cell r="K181" t="str">
            <v>Listeria monocytogenes</v>
          </cell>
          <cell r="L181">
            <v>35771</v>
          </cell>
          <cell r="M181">
            <v>-78638</v>
          </cell>
          <cell r="N181" t="str">
            <v>North Carolina</v>
          </cell>
          <cell r="Q181">
            <v>1961</v>
          </cell>
          <cell r="T181" t="str">
            <v>North Carolina State University, Raleigh, NC, USA</v>
          </cell>
          <cell r="U181" t="str">
            <v>Human</v>
          </cell>
          <cell r="V181" t="str">
            <v>Clinical, human, Ontario, CA</v>
          </cell>
          <cell r="X181" t="str">
            <v>ERR10549428</v>
          </cell>
        </row>
        <row r="182">
          <cell r="G182" t="str">
            <v>/home/projects/cge/backup/fastq/food_seqdata/NextSeq_216/FoodQCPipeline_tmp/conc_fqs/DTU_2022_1016782_1_SI_OLM144_R1_001.fq.gz</v>
          </cell>
          <cell r="H182" t="str">
            <v>/home/projects/cge/backup/fastq/food_seqdata/NextSeq_216/FoodQCPipeline_tmp/conc_fqs/DTU_2022_1016782_1_SI_OLM144_R2_001.fq.gz</v>
          </cell>
          <cell r="I182" t="str">
            <v>OLM144</v>
          </cell>
          <cell r="J182" t="str">
            <v>OLM144</v>
          </cell>
          <cell r="K182" t="str">
            <v>Listeria monocytogenes</v>
          </cell>
          <cell r="L182">
            <v>35771</v>
          </cell>
          <cell r="M182">
            <v>-78638</v>
          </cell>
          <cell r="N182" t="str">
            <v>North Carolina</v>
          </cell>
          <cell r="Q182">
            <v>1961</v>
          </cell>
          <cell r="T182" t="str">
            <v>North Carolina State University, Raleigh, NC, USA</v>
          </cell>
          <cell r="U182" t="str">
            <v>Human</v>
          </cell>
          <cell r="V182" t="str">
            <v>Clinical, human, Brazil</v>
          </cell>
          <cell r="X182" t="str">
            <v>ERR10549435</v>
          </cell>
        </row>
        <row r="183">
          <cell r="G183" t="str">
            <v>/home/projects/cge/backup/fastq/food_seqdata/NextSeq_216/FoodQCPipeline_tmp/conc_fqs/DTU_2022_1016783_1_SI_OLM147_R1_001.fq.gz</v>
          </cell>
          <cell r="H183" t="str">
            <v>/home/projects/cge/backup/fastq/food_seqdata/NextSeq_216/FoodQCPipeline_tmp/conc_fqs/DTU_2022_1016783_1_SI_OLM147_R2_001.fq.gz</v>
          </cell>
          <cell r="I183" t="str">
            <v>OLM147</v>
          </cell>
          <cell r="J183" t="str">
            <v>OLM147</v>
          </cell>
          <cell r="K183" t="str">
            <v>Listeria monocytogenes</v>
          </cell>
          <cell r="L183">
            <v>35771</v>
          </cell>
          <cell r="M183">
            <v>-78638</v>
          </cell>
          <cell r="N183" t="str">
            <v>North Carolina</v>
          </cell>
          <cell r="Q183">
            <v>1961</v>
          </cell>
          <cell r="T183" t="str">
            <v>North Carolina State University, Raleigh, NC, USA</v>
          </cell>
          <cell r="U183" t="str">
            <v>Human</v>
          </cell>
          <cell r="V183" t="str">
            <v>Clinical, human, BC, Canada</v>
          </cell>
          <cell r="X183" t="str">
            <v>ERR10549429</v>
          </cell>
        </row>
        <row r="184">
          <cell r="G184" t="str">
            <v>/home/projects/cge/backup/fastq/food_seqdata/NextSeq_216/FoodQCPipeline_tmp/conc_fqs/DTU_2022_1016784_1_SI_OLM151_R1_001.fq.gz</v>
          </cell>
          <cell r="H184" t="str">
            <v>/home/projects/cge/backup/fastq/food_seqdata/NextSeq_216/FoodQCPipeline_tmp/conc_fqs/DTU_2022_1016784_1_SI_OLM151_R2_001.fq.gz</v>
          </cell>
          <cell r="I184" t="str">
            <v>OLM151</v>
          </cell>
          <cell r="J184" t="str">
            <v>OLM151</v>
          </cell>
          <cell r="K184" t="str">
            <v>Listeria monocytogenes</v>
          </cell>
          <cell r="L184">
            <v>35771</v>
          </cell>
          <cell r="M184">
            <v>-78638</v>
          </cell>
          <cell r="N184" t="str">
            <v>North Carolina</v>
          </cell>
          <cell r="Q184">
            <v>1963</v>
          </cell>
          <cell r="T184" t="str">
            <v>North Carolina State University, Raleigh, NC, USA</v>
          </cell>
          <cell r="U184" t="str">
            <v>Human</v>
          </cell>
          <cell r="V184" t="str">
            <v>Clinical, infant, Newfoundland, CA</v>
          </cell>
          <cell r="X184" t="str">
            <v>ERR10549457</v>
          </cell>
        </row>
        <row r="185">
          <cell r="G185" t="str">
            <v>/home/projects/cge/backup/fastq/food_seqdata/NextSeq_216/FoodQCPipeline_tmp/conc_fqs/DTU_2022_1016785_1_SI_OLM152_R1_001.fq.gz</v>
          </cell>
          <cell r="H185" t="str">
            <v>/home/projects/cge/backup/fastq/food_seqdata/NextSeq_216/FoodQCPipeline_tmp/conc_fqs/DTU_2022_1016785_1_SI_OLM152_R2_001.fq.gz</v>
          </cell>
          <cell r="I185" t="str">
            <v>OLM152</v>
          </cell>
          <cell r="J185" t="str">
            <v>OLM152</v>
          </cell>
          <cell r="K185" t="str">
            <v>Listeria monocytogenes</v>
          </cell>
          <cell r="L185">
            <v>35771</v>
          </cell>
          <cell r="M185">
            <v>-78638</v>
          </cell>
          <cell r="N185" t="str">
            <v>North Carolina</v>
          </cell>
          <cell r="Q185">
            <v>1963</v>
          </cell>
          <cell r="T185" t="str">
            <v>North Carolina State University, Raleigh, NC, USA</v>
          </cell>
          <cell r="U185" t="str">
            <v>Human</v>
          </cell>
          <cell r="V185" t="str">
            <v>Clinical, human, Newfoundland, CA</v>
          </cell>
          <cell r="X185" t="str">
            <v>ERR10549468</v>
          </cell>
        </row>
        <row r="186">
          <cell r="G186" t="str">
            <v>/home/projects/cge/backup/fastq/food_seqdata/NextSeq_216/FoodQCPipeline_tmp/conc_fqs/DTU_2022_1016786_1_SI_OLM153_R1_001.fq.gz</v>
          </cell>
          <cell r="H186" t="str">
            <v>/home/projects/cge/backup/fastq/food_seqdata/NextSeq_216/FoodQCPipeline_tmp/conc_fqs/DTU_2022_1016786_1_SI_OLM153_R2_001.fq.gz</v>
          </cell>
          <cell r="I186" t="str">
            <v>OLM153</v>
          </cell>
          <cell r="J186" t="str">
            <v>OLM153</v>
          </cell>
          <cell r="K186" t="str">
            <v>Listeria monocytogenes</v>
          </cell>
          <cell r="L186">
            <v>35771</v>
          </cell>
          <cell r="M186">
            <v>-78638</v>
          </cell>
          <cell r="N186" t="str">
            <v>North Carolina</v>
          </cell>
          <cell r="Q186">
            <v>1963</v>
          </cell>
          <cell r="T186" t="str">
            <v>North Carolina State University, Raleigh, NC, USA</v>
          </cell>
          <cell r="U186" t="str">
            <v>Human</v>
          </cell>
          <cell r="V186" t="str">
            <v>Clinical, human, Newfoundland, CA</v>
          </cell>
          <cell r="X186" t="str">
            <v>ERR10549436</v>
          </cell>
        </row>
        <row r="187">
          <cell r="G187" t="str">
            <v>/home/projects/cge/backup/fastq/food_seqdata/NextSeq_216/FoodQCPipeline_tmp/conc_fqs/DTU_2022_1016787_1_SI_OLM157_R1_001.fq.gz</v>
          </cell>
          <cell r="H187" t="str">
            <v>/home/projects/cge/backup/fastq/food_seqdata/NextSeq_216/FoodQCPipeline_tmp/conc_fqs/DTU_2022_1016787_1_SI_OLM157_R2_001.fq.gz</v>
          </cell>
          <cell r="I187" t="str">
            <v>OLM157</v>
          </cell>
          <cell r="J187" t="str">
            <v>OLM157</v>
          </cell>
          <cell r="K187" t="str">
            <v>Listeria monocytogenes</v>
          </cell>
          <cell r="L187">
            <v>35771</v>
          </cell>
          <cell r="M187">
            <v>-78638</v>
          </cell>
          <cell r="N187" t="str">
            <v>North Carolina</v>
          </cell>
          <cell r="Q187">
            <v>1964</v>
          </cell>
          <cell r="T187" t="str">
            <v>North Carolina State University, Raleigh, NC, USA</v>
          </cell>
          <cell r="U187" t="str">
            <v>Human</v>
          </cell>
          <cell r="V187" t="str">
            <v>Clinical, human, Ontario, CA</v>
          </cell>
          <cell r="X187" t="str">
            <v>ERR10549409</v>
          </cell>
        </row>
        <row r="188">
          <cell r="G188" t="str">
            <v>/home/projects/cge/backup/fastq/food_seqdata/NextSeq_207/FoodQCPipeline_tmp/conc_fqs/DTU_2022_1015894_1_SI_F2365_R1_001.fq.gz</v>
          </cell>
          <cell r="H188" t="str">
            <v>/home/projects/cge/backup/fastq/food_seqdata/NextSeq_207/FoodQCPipeline_tmp/conc_fqs/DTU_2022_1015894_1_SI_F2365_R2_001.fq.gz</v>
          </cell>
          <cell r="I188" t="str">
            <v>F2365</v>
          </cell>
          <cell r="J188" t="str">
            <v>F2365</v>
          </cell>
          <cell r="K188" t="str">
            <v>Listeria monocytogenes</v>
          </cell>
          <cell r="L188">
            <v>44967243</v>
          </cell>
          <cell r="M188">
            <v>-103771556</v>
          </cell>
          <cell r="N188" t="str">
            <v>United States</v>
          </cell>
          <cell r="Q188">
            <v>1985</v>
          </cell>
          <cell r="U188" t="str">
            <v>Food</v>
          </cell>
          <cell r="V188" t="str">
            <v>cheese</v>
          </cell>
          <cell r="X188" t="str">
            <v>ERR10549451</v>
          </cell>
        </row>
        <row r="189">
          <cell r="G189" t="str">
            <v>/home/projects/cge/backup/fastq/food_seqdata/NextSeq_203/FoodQCPipeline_tmp/conc_fqs/DTU_2022_1015480_1_SI_Lm034_R1_001.fq.gz</v>
          </cell>
          <cell r="H189" t="str">
            <v>/home/projects/cge/backup/fastq/food_seqdata/NextSeq_203/FoodQCPipeline_tmp/conc_fqs/DTU_2022_1015480_1_SI_Lm034_R2_001.fq.gz</v>
          </cell>
          <cell r="I189" t="str">
            <v>Lm034</v>
          </cell>
          <cell r="J189" t="str">
            <v>Lm034</v>
          </cell>
          <cell r="K189" t="str">
            <v>Listeria monocytogenes</v>
          </cell>
          <cell r="L189">
            <v>44</v>
          </cell>
          <cell r="M189">
            <v>-72699997</v>
          </cell>
          <cell r="N189" t="str">
            <v>Vermont</v>
          </cell>
          <cell r="Q189">
            <v>1985</v>
          </cell>
          <cell r="T189" t="str">
            <v>University of Vermont, Burlington, VT, USA</v>
          </cell>
          <cell r="U189" t="str">
            <v>Food</v>
          </cell>
          <cell r="V189" t="str">
            <v>CA Raw milk</v>
          </cell>
          <cell r="X189" t="str">
            <v>ERR10549452</v>
          </cell>
        </row>
        <row r="190">
          <cell r="G190" t="str">
            <v>/home/projects/cge/backup/fastq/food_seqdata/NextSeq_203/FoodQCPipeline_tmp/conc_fqs/DTU_2022_1015481_1_SI_Lm035_R1_001.fq.gz</v>
          </cell>
          <cell r="H190" t="str">
            <v>/home/projects/cge/backup/fastq/food_seqdata/NextSeq_203/FoodQCPipeline_tmp/conc_fqs/DTU_2022_1015481_1_SI_Lm035_R2_001.fq.gz</v>
          </cell>
          <cell r="I190" t="str">
            <v>Lm035</v>
          </cell>
          <cell r="J190" t="str">
            <v>Lm035</v>
          </cell>
          <cell r="K190" t="str">
            <v>Listeria monocytogenes</v>
          </cell>
          <cell r="L190">
            <v>44</v>
          </cell>
          <cell r="M190">
            <v>-72699997</v>
          </cell>
          <cell r="N190" t="str">
            <v>Vermont</v>
          </cell>
          <cell r="Q190">
            <v>1985</v>
          </cell>
          <cell r="T190" t="str">
            <v>University of Vermont, Burlington, VT, USA</v>
          </cell>
          <cell r="U190" t="str">
            <v>Food</v>
          </cell>
          <cell r="V190" t="str">
            <v>CA Raw milk</v>
          </cell>
          <cell r="X190" t="str">
            <v>ERR10549437</v>
          </cell>
        </row>
        <row r="191">
          <cell r="G191" t="str">
            <v>/home/projects/cge/backup/fastq/food_seqdata/NextSeq_203/FoodQCPipeline_tmp/conc_fqs/DTU_2022_1015482_1_SI_Lm036_R1_001.fq.gz</v>
          </cell>
          <cell r="H191" t="str">
            <v>/home/projects/cge/backup/fastq/food_seqdata/NextSeq_203/FoodQCPipeline_tmp/conc_fqs/DTU_2022_1015482_1_SI_Lm036_R2_001.fq.gz</v>
          </cell>
          <cell r="I191" t="str">
            <v>Lm036</v>
          </cell>
          <cell r="J191" t="str">
            <v>Lm036</v>
          </cell>
          <cell r="K191" t="str">
            <v>Listeria monocytogenes</v>
          </cell>
          <cell r="L191">
            <v>44</v>
          </cell>
          <cell r="M191">
            <v>-72699997</v>
          </cell>
          <cell r="N191" t="str">
            <v>Vermont</v>
          </cell>
          <cell r="Q191">
            <v>1985</v>
          </cell>
          <cell r="T191" t="str">
            <v>University of Vermont, Burlington, VT, USA</v>
          </cell>
          <cell r="U191" t="str">
            <v>Food</v>
          </cell>
          <cell r="V191" t="str">
            <v>CA Raw milk</v>
          </cell>
          <cell r="X191" t="str">
            <v>ERR10549412</v>
          </cell>
        </row>
        <row r="192">
          <cell r="G192" t="str">
            <v>/home/projects/cge/backup/fastq/food_seqdata/NextSeq_203/FoodQCPipeline_tmp/conc_fqs/DTU_2022_1015483_1_SI_Lm037_R1_001.fq.gz</v>
          </cell>
          <cell r="H192" t="str">
            <v>/home/projects/cge/backup/fastq/food_seqdata/NextSeq_203/FoodQCPipeline_tmp/conc_fqs/DTU_2022_1015483_1_SI_Lm037_R2_001.fq.gz</v>
          </cell>
          <cell r="I192" t="str">
            <v>Lm037</v>
          </cell>
          <cell r="J192" t="str">
            <v>Lm037</v>
          </cell>
          <cell r="K192" t="str">
            <v>Listeria monocytogenes</v>
          </cell>
          <cell r="L192">
            <v>44</v>
          </cell>
          <cell r="M192">
            <v>-72699997</v>
          </cell>
          <cell r="N192" t="str">
            <v>Vermont</v>
          </cell>
          <cell r="Q192">
            <v>1985</v>
          </cell>
          <cell r="T192" t="str">
            <v>University of Vermont, Burlington, VT, USA</v>
          </cell>
          <cell r="U192" t="str">
            <v>Food</v>
          </cell>
          <cell r="V192" t="str">
            <v>CA Raw milk</v>
          </cell>
          <cell r="X192" t="str">
            <v>ERR10549433</v>
          </cell>
        </row>
        <row r="193">
          <cell r="G193" t="str">
            <v>/home/projects/cge/backup/fastq/food_seqdata/NextSeq_203/FoodQCPipeline_tmp/conc_fqs/DTU_2022_1015484_1_SI_Lm038_R1_001.fq.gz</v>
          </cell>
          <cell r="H193" t="str">
            <v>/home/projects/cge/backup/fastq/food_seqdata/NextSeq_203/FoodQCPipeline_tmp/conc_fqs/DTU_2022_1015484_1_SI_Lm038_R2_001.fq.gz</v>
          </cell>
          <cell r="I193" t="str">
            <v>Lm038</v>
          </cell>
          <cell r="J193" t="str">
            <v>Lm038</v>
          </cell>
          <cell r="K193" t="str">
            <v>Listeria monocytogenes</v>
          </cell>
          <cell r="L193">
            <v>44</v>
          </cell>
          <cell r="M193">
            <v>-72699997</v>
          </cell>
          <cell r="N193" t="str">
            <v>Vermont</v>
          </cell>
          <cell r="Q193">
            <v>1985</v>
          </cell>
          <cell r="T193" t="str">
            <v>University of Vermont, Burlington, VT, USA</v>
          </cell>
          <cell r="U193" t="str">
            <v>Food</v>
          </cell>
          <cell r="V193" t="str">
            <v>CA Raw milk</v>
          </cell>
          <cell r="X193" t="str">
            <v>ERR10549440</v>
          </cell>
        </row>
        <row r="194">
          <cell r="G194" t="str">
            <v>/home/projects/cge/backup/fastq/food_seqdata/NextSeq_203/FoodQCPipeline_tmp/conc_fqs/DTU_2022_1015485_1_SI_Lm039_R1_001.fq.gz</v>
          </cell>
          <cell r="H194" t="str">
            <v>/home/projects/cge/backup/fastq/food_seqdata/NextSeq_203/FoodQCPipeline_tmp/conc_fqs/DTU_2022_1015485_1_SI_Lm039_R2_001.fq.gz</v>
          </cell>
          <cell r="I194" t="str">
            <v>Lm039</v>
          </cell>
          <cell r="J194" t="str">
            <v>Lm039</v>
          </cell>
          <cell r="K194" t="str">
            <v>Listeria monocytogenes</v>
          </cell>
          <cell r="L194">
            <v>44</v>
          </cell>
          <cell r="M194">
            <v>-72699997</v>
          </cell>
          <cell r="N194" t="str">
            <v>Vermont</v>
          </cell>
          <cell r="Q194">
            <v>1985</v>
          </cell>
          <cell r="T194" t="str">
            <v>University of Vermont, Burlington, VT, USA</v>
          </cell>
          <cell r="U194" t="str">
            <v>Food</v>
          </cell>
          <cell r="V194" t="str">
            <v>CA Raw milk</v>
          </cell>
          <cell r="X194" t="str">
            <v>ERR10549471</v>
          </cell>
        </row>
        <row r="195">
          <cell r="G195" t="str">
            <v>/home/projects/cge/backup/fastq/food_seqdata/NextSeq_203/FoodQCPipeline_tmp/conc_fqs/DTU_2022_1015486_1_SI_Lm040_R1_001.fq.gz</v>
          </cell>
          <cell r="H195" t="str">
            <v>/home/projects/cge/backup/fastq/food_seqdata/NextSeq_203/FoodQCPipeline_tmp/conc_fqs/DTU_2022_1015486_1_SI_Lm040_R2_001.fq.gz</v>
          </cell>
          <cell r="I195" t="str">
            <v>Lm040</v>
          </cell>
          <cell r="J195" t="str">
            <v>Lm040</v>
          </cell>
          <cell r="K195" t="str">
            <v>Listeria monocytogenes</v>
          </cell>
          <cell r="L195">
            <v>44</v>
          </cell>
          <cell r="M195">
            <v>-72699997</v>
          </cell>
          <cell r="N195" t="str">
            <v>Vermont</v>
          </cell>
          <cell r="Q195">
            <v>1985</v>
          </cell>
          <cell r="T195" t="str">
            <v>University of Vermont, Burlington, VT, USA</v>
          </cell>
          <cell r="U195" t="str">
            <v>Food</v>
          </cell>
          <cell r="V195" t="str">
            <v>CA Raw milk</v>
          </cell>
          <cell r="X195" t="str">
            <v>ERR10549415</v>
          </cell>
        </row>
        <row r="196">
          <cell r="G196" t="str">
            <v>/home/projects/cge/backup/fastq/food_seqdata/NextSeq_203/FoodQCPipeline_tmp/conc_fqs/DTU_2022_1015487_1_SI_Lm041_R1_001.fq.gz</v>
          </cell>
          <cell r="H196" t="str">
            <v>/home/projects/cge/backup/fastq/food_seqdata/NextSeq_203/FoodQCPipeline_tmp/conc_fqs/DTU_2022_1015487_1_SI_Lm041_R2_001.fq.gz</v>
          </cell>
          <cell r="I196" t="str">
            <v>Lm041</v>
          </cell>
          <cell r="J196" t="str">
            <v>Lm041</v>
          </cell>
          <cell r="K196" t="str">
            <v>Listeria monocytogenes</v>
          </cell>
          <cell r="L196">
            <v>44</v>
          </cell>
          <cell r="M196">
            <v>-72699997</v>
          </cell>
          <cell r="N196" t="str">
            <v>Vermont</v>
          </cell>
          <cell r="Q196">
            <v>1985</v>
          </cell>
          <cell r="T196" t="str">
            <v>University of Vermont, Burlington, VT, USA</v>
          </cell>
          <cell r="U196" t="str">
            <v>Food</v>
          </cell>
          <cell r="V196" t="str">
            <v>CA Raw milk</v>
          </cell>
          <cell r="X196" t="str">
            <v>ERR10549450</v>
          </cell>
        </row>
        <row r="197">
          <cell r="G197" t="str">
            <v>/home/projects/cge/backup/fastq/food_seqdata/NextSeq_203/FoodQCPipeline_tmp/conc_fqs/DTU_2022_1015488_1_SI_Lm042_R1_001.fq.gz</v>
          </cell>
          <cell r="H197" t="str">
            <v>/home/projects/cge/backup/fastq/food_seqdata/NextSeq_203/FoodQCPipeline_tmp/conc_fqs/DTU_2022_1015488_1_SI_Lm042_R2_001.fq.gz</v>
          </cell>
          <cell r="I197" t="str">
            <v>Lm042</v>
          </cell>
          <cell r="J197" t="str">
            <v>Lm042</v>
          </cell>
          <cell r="K197" t="str">
            <v>Listeria monocytogenes</v>
          </cell>
          <cell r="L197">
            <v>44</v>
          </cell>
          <cell r="M197">
            <v>-72699997</v>
          </cell>
          <cell r="N197" t="str">
            <v>Vermont</v>
          </cell>
          <cell r="Q197">
            <v>1985</v>
          </cell>
          <cell r="T197" t="str">
            <v>University of Vermont, Burlington, VT, USA</v>
          </cell>
          <cell r="U197" t="str">
            <v>Food</v>
          </cell>
          <cell r="V197" t="str">
            <v>CA Raw milk</v>
          </cell>
          <cell r="X197" t="str">
            <v>ERR10549448</v>
          </cell>
        </row>
        <row r="198">
          <cell r="G198" t="str">
            <v>/home/projects/cge/backup/fastq/food_seqdata/NextSeq_203/FoodQCPipeline_tmp/conc_fqs/DTU_2022_1015475_1_SI_Lm003_R1_001.fq.gz</v>
          </cell>
          <cell r="H198" t="str">
            <v>/home/projects/cge/backup/fastq/food_seqdata/NextSeq_203/FoodQCPipeline_tmp/conc_fqs/DTU_2022_1015475_1_SI_Lm003_R2_001.fq.gz</v>
          </cell>
          <cell r="I198" t="str">
            <v>Lm003</v>
          </cell>
          <cell r="J198" t="str">
            <v>Lm003</v>
          </cell>
          <cell r="K198" t="str">
            <v>Listeria monocytogenes</v>
          </cell>
          <cell r="L198">
            <v>44</v>
          </cell>
          <cell r="M198">
            <v>-72699997</v>
          </cell>
          <cell r="N198" t="str">
            <v>Vermont</v>
          </cell>
          <cell r="Q198">
            <v>1989</v>
          </cell>
          <cell r="T198" t="str">
            <v>University of Vermont, Burlington, VT, USA</v>
          </cell>
          <cell r="U198" t="str">
            <v>Food</v>
          </cell>
          <cell r="V198" t="str">
            <v>CA Raw milk (Aug-85)</v>
          </cell>
          <cell r="X198" t="str">
            <v>ERR10549469</v>
          </cell>
        </row>
        <row r="199">
          <cell r="G199" t="str">
            <v>/home/projects/cge/backup/fastq/food_seqdata/NextSeq_203/FoodQCPipeline_tmp/conc_fqs/DTU_2022_1015476_1_SI_Lm004_R1_001.fq.gz</v>
          </cell>
          <cell r="H199" t="str">
            <v>/home/projects/cge/backup/fastq/food_seqdata/NextSeq_203/FoodQCPipeline_tmp/conc_fqs/DTU_2022_1015476_1_SI_Lm004_R2_001.fq.gz</v>
          </cell>
          <cell r="I199" t="str">
            <v>Lm004</v>
          </cell>
          <cell r="J199" t="str">
            <v>Lm004</v>
          </cell>
          <cell r="K199" t="str">
            <v>Listeria monocytogenes</v>
          </cell>
          <cell r="L199">
            <v>44</v>
          </cell>
          <cell r="M199">
            <v>-72699997</v>
          </cell>
          <cell r="N199" t="str">
            <v>Vermont</v>
          </cell>
          <cell r="Q199">
            <v>1989</v>
          </cell>
          <cell r="T199" t="str">
            <v>University of Vermont, Burlington, VT, USA</v>
          </cell>
          <cell r="U199" t="str">
            <v>Food</v>
          </cell>
          <cell r="V199" t="str">
            <v>CA Raw milk (Aug-85)</v>
          </cell>
          <cell r="X199" t="str">
            <v>ERR10549477</v>
          </cell>
        </row>
        <row r="200">
          <cell r="G200" t="str">
            <v>/home/projects/cge/backup/fastq/food_seqdata/NextSeq_203/FoodQCPipeline_tmp/conc_fqs/DTU_2022_1015477_1_SI_Lm026_R1_001.fq.gz</v>
          </cell>
          <cell r="H200" t="str">
            <v>/home/projects/cge/backup/fastq/food_seqdata/NextSeq_203/FoodQCPipeline_tmp/conc_fqs/DTU_2022_1015477_1_SI_Lm026_R2_001.fq.gz</v>
          </cell>
          <cell r="I200" t="str">
            <v>Lm026</v>
          </cell>
          <cell r="J200" t="str">
            <v>Lm026</v>
          </cell>
          <cell r="K200" t="str">
            <v>Listeria monocytogenes</v>
          </cell>
          <cell r="L200">
            <v>44</v>
          </cell>
          <cell r="M200">
            <v>-72699997</v>
          </cell>
          <cell r="N200" t="str">
            <v>Vermont</v>
          </cell>
          <cell r="Q200">
            <v>1989</v>
          </cell>
          <cell r="T200" t="str">
            <v>University of Vermont, Burlington, VT, USA</v>
          </cell>
          <cell r="U200" t="str">
            <v>Food</v>
          </cell>
          <cell r="V200" t="str">
            <v>raw milk</v>
          </cell>
          <cell r="X200" t="str">
            <v>ERR10549456</v>
          </cell>
        </row>
        <row r="201">
          <cell r="G201" t="str">
            <v>/home/projects/cge/backup/fastq/food_seqdata/NextSeq_203/FoodQCPipeline_tmp/conc_fqs/DTU_2022_1015478_1_SI_Lm030_R1_001.fq.gz</v>
          </cell>
          <cell r="H201" t="str">
            <v>/home/projects/cge/backup/fastq/food_seqdata/NextSeq_203/FoodQCPipeline_tmp/conc_fqs/DTU_2022_1015478_1_SI_Lm030_R2_001.fq.gz</v>
          </cell>
          <cell r="I201" t="str">
            <v>Lm030</v>
          </cell>
          <cell r="J201" t="str">
            <v>Lm030</v>
          </cell>
          <cell r="K201" t="str">
            <v>Listeria monocytogenes</v>
          </cell>
          <cell r="L201">
            <v>44</v>
          </cell>
          <cell r="M201">
            <v>-72699997</v>
          </cell>
          <cell r="N201" t="str">
            <v>Vermont</v>
          </cell>
          <cell r="Q201">
            <v>1989</v>
          </cell>
          <cell r="T201" t="str">
            <v>University of Vermont, Burlington, VT, USA</v>
          </cell>
          <cell r="U201" t="str">
            <v>Food</v>
          </cell>
          <cell r="V201" t="str">
            <v>CA Raw milk</v>
          </cell>
          <cell r="X201" t="str">
            <v>ERR10549441</v>
          </cell>
        </row>
        <row r="202">
          <cell r="G202" t="str">
            <v>/home/projects/cge/backup/fastq/food_seqdata/NextSeq_203/FoodQCPipeline_tmp/conc_fqs/DTU_2022_1015479_1_SI_Lm031_R1_001.fq.gz</v>
          </cell>
          <cell r="H202" t="str">
            <v>/home/projects/cge/backup/fastq/food_seqdata/NextSeq_203/FoodQCPipeline_tmp/conc_fqs/DTU_2022_1015479_1_SI_Lm031_R2_001.fq.gz</v>
          </cell>
          <cell r="I202" t="str">
            <v>Lm031</v>
          </cell>
          <cell r="J202" t="str">
            <v>Lm031</v>
          </cell>
          <cell r="K202" t="str">
            <v>Listeria monocytogenes</v>
          </cell>
          <cell r="L202">
            <v>44</v>
          </cell>
          <cell r="M202">
            <v>-72699997</v>
          </cell>
          <cell r="N202" t="str">
            <v>Vermont</v>
          </cell>
          <cell r="Q202">
            <v>1989</v>
          </cell>
          <cell r="T202" t="str">
            <v>University of Vermont, Burlington, VT, USA</v>
          </cell>
          <cell r="U202" t="str">
            <v>Food</v>
          </cell>
          <cell r="V202" t="str">
            <v>CA Raw milk</v>
          </cell>
          <cell r="X202" t="str">
            <v>ERR10549417</v>
          </cell>
        </row>
        <row r="203">
          <cell r="G203" t="str">
            <v>/home/projects/cge/backup/fastq/food_seqdata/NextSeq_203/FoodQCPipeline_tmp/conc_fqs/DTU_2022_1015495_1_SI_Lm129_R1_001.fq.gz</v>
          </cell>
          <cell r="H203" t="str">
            <v>/home/projects/cge/backup/fastq/food_seqdata/NextSeq_203/FoodQCPipeline_tmp/conc_fqs/DTU_2022_1015495_1_SI_Lm129_R2_001.fq.gz</v>
          </cell>
          <cell r="I203" t="str">
            <v>Lm129</v>
          </cell>
          <cell r="J203" t="str">
            <v>Lm129</v>
          </cell>
          <cell r="K203" t="str">
            <v>Listeria monocytogenes</v>
          </cell>
          <cell r="L203">
            <v>44</v>
          </cell>
          <cell r="M203">
            <v>-72699997</v>
          </cell>
          <cell r="N203" t="str">
            <v>Vermont</v>
          </cell>
          <cell r="Q203">
            <v>1991</v>
          </cell>
          <cell r="T203" t="str">
            <v>University of Vermont, Burlington, VT, USA</v>
          </cell>
          <cell r="U203" t="str">
            <v>Food</v>
          </cell>
          <cell r="V203" t="str">
            <v>Azore Cheese</v>
          </cell>
          <cell r="X203" t="str">
            <v>ERR10549418</v>
          </cell>
        </row>
        <row r="204">
          <cell r="G204" t="str">
            <v>/home/projects/cge/backup/fastq/food_seqdata/NextSeq_203/FoodQCPipeline_tmp/conc_fqs/DTU_2022_1015496_1_SI_Lm133_R1_001.fq.gz</v>
          </cell>
          <cell r="H204" t="str">
            <v>/home/projects/cge/backup/fastq/food_seqdata/NextSeq_203/FoodQCPipeline_tmp/conc_fqs/DTU_2022_1015496_1_SI_Lm133_R2_001.fq.gz</v>
          </cell>
          <cell r="I204" t="str">
            <v>Lm133</v>
          </cell>
          <cell r="J204" t="str">
            <v>Lm133</v>
          </cell>
          <cell r="K204" t="str">
            <v>Listeria monocytogenes</v>
          </cell>
          <cell r="L204">
            <v>44</v>
          </cell>
          <cell r="M204">
            <v>-72699997</v>
          </cell>
          <cell r="N204" t="str">
            <v>Vermont</v>
          </cell>
          <cell r="Q204">
            <v>1993</v>
          </cell>
          <cell r="R204" t="str">
            <v>Bos taurus</v>
          </cell>
          <cell r="T204" t="str">
            <v>University of Vermont, Burlington, VT, USA</v>
          </cell>
          <cell r="U204" t="str">
            <v>Animal</v>
          </cell>
          <cell r="V204" t="str">
            <v>cow brain tissue</v>
          </cell>
          <cell r="X204" t="str">
            <v>ERR10549445</v>
          </cell>
        </row>
        <row r="205">
          <cell r="G205" t="str">
            <v>/home/projects/cge/backup/fastq/food_seqdata/NextSeq_216/FoodQCPipeline_tmp/conc_fqs/DTU_2022_1016864_1_SI_SK3824_R1_001.fq.gz</v>
          </cell>
          <cell r="H205" t="str">
            <v>/home/projects/cge/backup/fastq/food_seqdata/NextSeq_216/FoodQCPipeline_tmp/conc_fqs/DTU_2022_1016864_1_SI_SK3824_R2_001.fq.gz</v>
          </cell>
          <cell r="I205" t="str">
            <v>SK3824</v>
          </cell>
          <cell r="J205" t="str">
            <v>SK3824</v>
          </cell>
          <cell r="K205" t="str">
            <v>Listeria monocytogenes</v>
          </cell>
          <cell r="L205">
            <v>35771</v>
          </cell>
          <cell r="M205">
            <v>-78638</v>
          </cell>
          <cell r="N205" t="str">
            <v>North Carolina</v>
          </cell>
          <cell r="Q205">
            <v>1994</v>
          </cell>
          <cell r="T205" t="str">
            <v>North Carolina State University, Raleigh, NC, USA</v>
          </cell>
          <cell r="U205" t="str">
            <v>Human</v>
          </cell>
          <cell r="V205" t="str">
            <v>Human clinical</v>
          </cell>
          <cell r="X205" t="str">
            <v>ERR10549447</v>
          </cell>
        </row>
        <row r="206">
          <cell r="G206" t="str">
            <v>/home/projects/cge/backup/fastq/food_seqdata/NextSeq_216/FoodQCPipeline_tmp/conc_fqs/DTU_2022_1016865_1_SI_SK3825_R1_001.fq.gz</v>
          </cell>
          <cell r="H206" t="str">
            <v>/home/projects/cge/backup/fastq/food_seqdata/NextSeq_216/FoodQCPipeline_tmp/conc_fqs/DTU_2022_1016865_1_SI_SK3825_R2_001.fq.gz</v>
          </cell>
          <cell r="I206" t="str">
            <v>SK3825</v>
          </cell>
          <cell r="J206" t="str">
            <v>SK3825</v>
          </cell>
          <cell r="K206" t="str">
            <v>Listeria monocytogenes</v>
          </cell>
          <cell r="L206">
            <v>35771</v>
          </cell>
          <cell r="M206">
            <v>-78638</v>
          </cell>
          <cell r="N206" t="str">
            <v>North Carolina</v>
          </cell>
          <cell r="Q206">
            <v>1994</v>
          </cell>
          <cell r="T206" t="str">
            <v>North Carolina State University, Raleigh, NC, USA</v>
          </cell>
          <cell r="U206" t="str">
            <v>Human</v>
          </cell>
          <cell r="V206" t="str">
            <v>Human clinical</v>
          </cell>
          <cell r="X206" t="str">
            <v>ERR10549564</v>
          </cell>
        </row>
        <row r="207">
          <cell r="G207" t="str">
            <v>/home/projects/cge/backup/fastq/food_seqdata/NextSeq_216/FoodQCPipeline_tmp/conc_fqs/DTU_2022_1016872_1_SI_SK3826_R1_001.fq.gz</v>
          </cell>
          <cell r="H207" t="str">
            <v>/home/projects/cge/backup/fastq/food_seqdata/NextSeq_216/FoodQCPipeline_tmp/conc_fqs/DTU_2022_1016872_1_SI_SK3826_R2_001.fq.gz</v>
          </cell>
          <cell r="I207" t="str">
            <v>SK3826</v>
          </cell>
          <cell r="J207" t="str">
            <v>SK3826</v>
          </cell>
          <cell r="K207" t="str">
            <v>Listeria monocytogenes</v>
          </cell>
          <cell r="L207">
            <v>35771</v>
          </cell>
          <cell r="M207">
            <v>-78638</v>
          </cell>
          <cell r="N207" t="str">
            <v>North Carolina</v>
          </cell>
          <cell r="Q207">
            <v>1994</v>
          </cell>
          <cell r="T207" t="str">
            <v>North Carolina State University, Raleigh, NC, USA</v>
          </cell>
          <cell r="U207" t="str">
            <v>Human</v>
          </cell>
          <cell r="V207" t="str">
            <v>Human, chocolate milk outbreak</v>
          </cell>
          <cell r="X207" t="str">
            <v>ERR10549430</v>
          </cell>
        </row>
        <row r="208">
          <cell r="G208" t="str">
            <v>/home/projects/cge/backup/fastq/food_seqdata/NextSeq_216/FoodQCPipeline_tmp/conc_fqs/DTU_2022_1016873_1_SI_SK3827_R1_001.fq.gz</v>
          </cell>
          <cell r="H208" t="str">
            <v>/home/projects/cge/backup/fastq/food_seqdata/NextSeq_216/FoodQCPipeline_tmp/conc_fqs/DTU_2022_1016873_1_SI_SK3827_R2_001.fq.gz</v>
          </cell>
          <cell r="I208" t="str">
            <v>SK3827</v>
          </cell>
          <cell r="J208" t="str">
            <v>SK3827</v>
          </cell>
          <cell r="K208" t="str">
            <v>Listeria monocytogenes</v>
          </cell>
          <cell r="L208">
            <v>35771</v>
          </cell>
          <cell r="M208">
            <v>-78638</v>
          </cell>
          <cell r="N208" t="str">
            <v>North Carolina</v>
          </cell>
          <cell r="Q208">
            <v>1994</v>
          </cell>
          <cell r="T208" t="str">
            <v>North Carolina State University, Raleigh, NC, USA</v>
          </cell>
          <cell r="U208" t="str">
            <v>Human</v>
          </cell>
          <cell r="V208" t="str">
            <v>Human, chocolate milk outbreak</v>
          </cell>
          <cell r="X208" t="str">
            <v>ERR10549442</v>
          </cell>
        </row>
        <row r="209">
          <cell r="G209" t="str">
            <v>/home/projects/cge/backup/fastq/food_seqdata/NextSeq_216/FoodQCPipeline_tmp/conc_fqs/DTU_2022_1016870_1_SI_SK3828_R1_001.fq.gz</v>
          </cell>
          <cell r="H209" t="str">
            <v>/home/projects/cge/backup/fastq/food_seqdata/NextSeq_216/FoodQCPipeline_tmp/conc_fqs/DTU_2022_1016870_1_SI_SK3828_R2_001.fq.gz</v>
          </cell>
          <cell r="I209" t="str">
            <v>SK3828</v>
          </cell>
          <cell r="J209" t="str">
            <v>SK3828</v>
          </cell>
          <cell r="K209" t="str">
            <v>Listeria monocytogenes</v>
          </cell>
          <cell r="L209">
            <v>35771</v>
          </cell>
          <cell r="M209">
            <v>-78638</v>
          </cell>
          <cell r="N209" t="str">
            <v>North Carolina</v>
          </cell>
          <cell r="Q209">
            <v>1994</v>
          </cell>
          <cell r="T209" t="str">
            <v>North Carolina State University, Raleigh, NC, USA</v>
          </cell>
          <cell r="U209" t="str">
            <v>Human</v>
          </cell>
          <cell r="V209" t="str">
            <v>Human, chocolate milk outbreak</v>
          </cell>
          <cell r="X209" t="str">
            <v>ERR10549453</v>
          </cell>
        </row>
        <row r="210">
          <cell r="G210" t="str">
            <v>/home/projects/cge/backup/fastq/food_seqdata/NextSeq_216/FoodQCPipeline_tmp/conc_fqs/DTU_2022_1016871_1_SI_SK3829_R1_001.fq.gz</v>
          </cell>
          <cell r="H210" t="str">
            <v>/home/projects/cge/backup/fastq/food_seqdata/NextSeq_216/FoodQCPipeline_tmp/conc_fqs/DTU_2022_1016871_1_SI_SK3829_R2_001.fq.gz</v>
          </cell>
          <cell r="I210" t="str">
            <v>SK3829</v>
          </cell>
          <cell r="J210" t="str">
            <v>SK3829</v>
          </cell>
          <cell r="K210" t="str">
            <v>Listeria monocytogenes</v>
          </cell>
          <cell r="L210">
            <v>35771</v>
          </cell>
          <cell r="M210">
            <v>-78638</v>
          </cell>
          <cell r="N210" t="str">
            <v>North Carolina</v>
          </cell>
          <cell r="Q210">
            <v>1994</v>
          </cell>
          <cell r="T210" t="str">
            <v>North Carolina State University, Raleigh, NC, USA</v>
          </cell>
          <cell r="U210" t="str">
            <v>Human</v>
          </cell>
          <cell r="V210" t="str">
            <v>Human, chocolate milk outbreak</v>
          </cell>
          <cell r="X210" t="str">
            <v>ERR10549427</v>
          </cell>
        </row>
        <row r="211">
          <cell r="G211" t="str">
            <v>/home/projects/cge/backup/fastq/food_seqdata/NextSeq_216/FoodQCPipeline_tmp/conc_fqs/DTU_2022_1016880_1_SI_SK3956_R1_001.fq.gz</v>
          </cell>
          <cell r="H211" t="str">
            <v>/home/projects/cge/backup/fastq/food_seqdata/NextSeq_216/FoodQCPipeline_tmp/conc_fqs/DTU_2022_1016880_1_SI_SK3956_R2_001.fq.gz</v>
          </cell>
          <cell r="I211" t="str">
            <v>SK3956</v>
          </cell>
          <cell r="J211" t="str">
            <v>SK3956</v>
          </cell>
          <cell r="K211" t="str">
            <v>Listeria monocytogenes</v>
          </cell>
          <cell r="L211">
            <v>35771</v>
          </cell>
          <cell r="M211">
            <v>-78638</v>
          </cell>
          <cell r="N211" t="str">
            <v>North Carolina</v>
          </cell>
          <cell r="Q211">
            <v>1994</v>
          </cell>
          <cell r="T211" t="str">
            <v>North Carolina State University, Raleigh, NC, USA</v>
          </cell>
          <cell r="U211" t="str">
            <v>Human</v>
          </cell>
          <cell r="V211" t="str">
            <v>Human blood, Frozen vegetable outbreak, TX, USA</v>
          </cell>
          <cell r="X211" t="str">
            <v>ERR10549449</v>
          </cell>
        </row>
        <row r="212">
          <cell r="G212" t="str">
            <v>/home/projects/cge/backup/fastq/food_seqdata/NextSeq_216/FoodQCPipeline_tmp/conc_fqs/DTU_2022_1016881_1_SI_SK5280_R1_001.fq.gz</v>
          </cell>
          <cell r="H212" t="str">
            <v>/home/projects/cge/backup/fastq/food_seqdata/NextSeq_216/FoodQCPipeline_tmp/conc_fqs/DTU_2022_1016881_1_SI_SK5280_R2_001.fq.gz</v>
          </cell>
          <cell r="I212" t="str">
            <v>SK5280</v>
          </cell>
          <cell r="J212" t="str">
            <v>SK5280</v>
          </cell>
          <cell r="K212" t="str">
            <v>Listeria monocytogenes</v>
          </cell>
          <cell r="L212">
            <v>35771</v>
          </cell>
          <cell r="M212">
            <v>-78638</v>
          </cell>
          <cell r="N212" t="str">
            <v>North Carolina</v>
          </cell>
          <cell r="Q212">
            <v>1994</v>
          </cell>
          <cell r="T212" t="str">
            <v>North Carolina State University, Raleigh, NC, USA</v>
          </cell>
          <cell r="U212" t="str">
            <v>Human</v>
          </cell>
          <cell r="V212" t="str">
            <v>Human gastric, Frozen vegetable outbreak, TX, USA</v>
          </cell>
          <cell r="X212" t="str">
            <v>ERR10549473</v>
          </cell>
        </row>
        <row r="213">
          <cell r="G213" t="str">
            <v>/home/projects/cge/backup/fastq/food_seqdata/NextSeq_216/FoodQCPipeline_tmp/conc_fqs/DTU_2022_1016878_1_SI_SK5281_R1_001.fq.gz</v>
          </cell>
          <cell r="H213" t="str">
            <v>/home/projects/cge/backup/fastq/food_seqdata/NextSeq_216/FoodQCPipeline_tmp/conc_fqs/DTU_2022_1016878_1_SI_SK5281_R2_001.fq.gz</v>
          </cell>
          <cell r="I213" t="str">
            <v>SK5281</v>
          </cell>
          <cell r="J213" t="str">
            <v>SK5281</v>
          </cell>
          <cell r="K213" t="str">
            <v>Listeria monocytogenes</v>
          </cell>
          <cell r="L213">
            <v>35771</v>
          </cell>
          <cell r="M213">
            <v>-78638</v>
          </cell>
          <cell r="N213" t="str">
            <v>North Carolina</v>
          </cell>
          <cell r="Q213">
            <v>1994</v>
          </cell>
          <cell r="T213" t="str">
            <v>North Carolina State University, Raleigh, NC, USA</v>
          </cell>
          <cell r="U213" t="str">
            <v>Human</v>
          </cell>
          <cell r="V213" t="str">
            <v>Human blood, Frozen vegetable outbreak, TX, USA</v>
          </cell>
          <cell r="X213" t="str">
            <v>ERR10549431</v>
          </cell>
        </row>
        <row r="214">
          <cell r="G214" t="str">
            <v>/home/projects/cge/backup/fastq/food_seqdata/NextSeq_216/FoodQCPipeline_tmp/conc_fqs/DTU_2022_1016879_1_SI_SK5378_R1_001.fq.gz</v>
          </cell>
          <cell r="H214" t="str">
            <v>/home/projects/cge/backup/fastq/food_seqdata/NextSeq_216/FoodQCPipeline_tmp/conc_fqs/DTU_2022_1016879_1_SI_SK5378_R2_001.fq.gz</v>
          </cell>
          <cell r="I214" t="str">
            <v>SK5378</v>
          </cell>
          <cell r="J214" t="str">
            <v>SK5378</v>
          </cell>
          <cell r="K214" t="str">
            <v>Listeria monocytogenes</v>
          </cell>
          <cell r="L214">
            <v>35771</v>
          </cell>
          <cell r="M214">
            <v>-78638</v>
          </cell>
          <cell r="N214" t="str">
            <v>North Carolina</v>
          </cell>
          <cell r="Q214">
            <v>1994</v>
          </cell>
          <cell r="T214" t="str">
            <v>North Carolina State University, Raleigh, NC, USA</v>
          </cell>
          <cell r="U214" t="str">
            <v>Human</v>
          </cell>
          <cell r="V214" t="str">
            <v>Human, Frozen vegetable outbreak, TX, USA</v>
          </cell>
          <cell r="X214" t="str">
            <v>ERR10549484</v>
          </cell>
        </row>
        <row r="215">
          <cell r="G215" t="str">
            <v>/home/projects/cge/backup/fastq/food_seqdata/NextSeq_203/FoodQCPipeline_tmp/conc_fqs/DTU_2022_1015490_1_SI_Lm107_R1_001.fq.gz</v>
          </cell>
          <cell r="H215" t="str">
            <v>/home/projects/cge/backup/fastq/food_seqdata/NextSeq_203/FoodQCPipeline_tmp/conc_fqs/DTU_2022_1015490_1_SI_Lm107_R2_001.fq.gz</v>
          </cell>
          <cell r="I215" t="str">
            <v>Lm107</v>
          </cell>
          <cell r="J215" t="str">
            <v>Lm107</v>
          </cell>
          <cell r="K215" t="str">
            <v>Listeria monocytogenes</v>
          </cell>
          <cell r="L215">
            <v>44</v>
          </cell>
          <cell r="M215">
            <v>-72699997</v>
          </cell>
          <cell r="N215" t="str">
            <v>Vermont</v>
          </cell>
          <cell r="Q215">
            <v>1994</v>
          </cell>
          <cell r="T215" t="str">
            <v>University of Vermont, Burlington, VT, USA</v>
          </cell>
          <cell r="U215" t="str">
            <v>Feed</v>
          </cell>
          <cell r="V215" t="str">
            <v>silage</v>
          </cell>
          <cell r="X215" t="str">
            <v>ERR10549438</v>
          </cell>
        </row>
        <row r="216">
          <cell r="G216" t="str">
            <v>/home/projects/cge/backup/fastq/food_seqdata/NextSeq_203/FoodQCPipeline_tmp/conc_fqs/DTU_2022_1015492_1_SI_Lm114_R1_001.fq.gz</v>
          </cell>
          <cell r="H216" t="str">
            <v>/home/projects/cge/backup/fastq/food_seqdata/NextSeq_203/FoodQCPipeline_tmp/conc_fqs/DTU_2022_1015492_1_SI_Lm114_R2_001.fq.gz</v>
          </cell>
          <cell r="I216" t="str">
            <v>Lm114</v>
          </cell>
          <cell r="J216" t="str">
            <v>Lm114</v>
          </cell>
          <cell r="K216" t="str">
            <v>Listeria monocytogenes</v>
          </cell>
          <cell r="L216">
            <v>44</v>
          </cell>
          <cell r="M216">
            <v>-72699997</v>
          </cell>
          <cell r="N216" t="str">
            <v>Vermont</v>
          </cell>
          <cell r="Q216">
            <v>1994</v>
          </cell>
          <cell r="T216" t="str">
            <v>University of Vermont, Burlington, VT, USA</v>
          </cell>
          <cell r="U216" t="str">
            <v>Animal</v>
          </cell>
          <cell r="V216" t="str">
            <v>udder</v>
          </cell>
          <cell r="X216" t="str">
            <v>ERR10549465</v>
          </cell>
        </row>
        <row r="217">
          <cell r="G217" t="str">
            <v>/home/projects/cge/backup/fastq/food_seqdata/NextSeq_203/FoodQCPipeline_tmp/conc_fqs/DTU_2022_1015494_1_SI_Lm127_R1_001.fq.gz</v>
          </cell>
          <cell r="H217" t="str">
            <v>/home/projects/cge/backup/fastq/food_seqdata/NextSeq_203/FoodQCPipeline_tmp/conc_fqs/DTU_2022_1015494_1_SI_Lm127_R2_001.fq.gz</v>
          </cell>
          <cell r="I217" t="str">
            <v>Lm127</v>
          </cell>
          <cell r="J217" t="str">
            <v>Lm127</v>
          </cell>
          <cell r="K217" t="str">
            <v>Listeria monocytogenes</v>
          </cell>
          <cell r="L217">
            <v>44</v>
          </cell>
          <cell r="M217">
            <v>-72699997</v>
          </cell>
          <cell r="N217" t="str">
            <v>Vermont</v>
          </cell>
          <cell r="Q217">
            <v>1994</v>
          </cell>
          <cell r="T217" t="str">
            <v>University of Vermont, Burlington, VT, USA</v>
          </cell>
          <cell r="U217" t="str">
            <v>Food</v>
          </cell>
          <cell r="V217" t="str">
            <v>CA raw milk</v>
          </cell>
          <cell r="X217" t="str">
            <v>ERR10549487</v>
          </cell>
        </row>
        <row r="218">
          <cell r="G218" t="str">
            <v>/home/projects/cge/backup/fastq/food_seqdata/NextSeq_203/FoodQCPipeline_tmp/conc_fqs/DTU_2022_1015497_1_SI_Lm139_R1_001.fq.gz</v>
          </cell>
          <cell r="H218" t="str">
            <v>/home/projects/cge/backup/fastq/food_seqdata/NextSeq_203/FoodQCPipeline_tmp/conc_fqs/DTU_2022_1015497_1_SI_Lm139_R2_001.fq.gz</v>
          </cell>
          <cell r="I218" t="str">
            <v>Lm139</v>
          </cell>
          <cell r="J218" t="str">
            <v>Lm139</v>
          </cell>
          <cell r="K218" t="str">
            <v>Listeria monocytogenes</v>
          </cell>
          <cell r="L218">
            <v>44</v>
          </cell>
          <cell r="M218">
            <v>-72699997</v>
          </cell>
          <cell r="N218" t="str">
            <v>Vermont</v>
          </cell>
          <cell r="Q218">
            <v>1994</v>
          </cell>
          <cell r="T218" t="str">
            <v>University of Vermont, Burlington, VT, USA</v>
          </cell>
          <cell r="U218" t="str">
            <v>Food</v>
          </cell>
          <cell r="V218" t="str">
            <v>Ground Beef/store A</v>
          </cell>
          <cell r="X218" t="str">
            <v>ERR10549461</v>
          </cell>
        </row>
        <row r="219">
          <cell r="G219" t="str">
            <v>/home/projects/cge/backup/fastq/food_seqdata/NextSeq_203/FoodQCPipeline_tmp/conc_fqs/DTU_2022_1015498_1_SI_Lm141_R1_001.fq.gz</v>
          </cell>
          <cell r="H219" t="str">
            <v>/home/projects/cge/backup/fastq/food_seqdata/NextSeq_203/FoodQCPipeline_tmp/conc_fqs/DTU_2022_1015498_1_SI_Lm141_R2_001.fq.gz</v>
          </cell>
          <cell r="I219" t="str">
            <v>Lm141</v>
          </cell>
          <cell r="J219" t="str">
            <v>Lm141</v>
          </cell>
          <cell r="K219" t="str">
            <v>Listeria monocytogenes</v>
          </cell>
          <cell r="L219">
            <v>44</v>
          </cell>
          <cell r="M219">
            <v>-72699997</v>
          </cell>
          <cell r="N219" t="str">
            <v>Vermont</v>
          </cell>
          <cell r="Q219">
            <v>1994</v>
          </cell>
          <cell r="T219" t="str">
            <v>University of Vermont, Burlington, VT, USA</v>
          </cell>
          <cell r="U219" t="str">
            <v>Food</v>
          </cell>
          <cell r="V219" t="str">
            <v>Ground Beef/store A</v>
          </cell>
          <cell r="X219" t="str">
            <v>ERR10549496</v>
          </cell>
        </row>
        <row r="220">
          <cell r="G220" t="str">
            <v>/home/projects/cge/backup/fastq/food_seqdata/NextSeq_203/FoodQCPipeline_tmp/conc_fqs/DTU_2022_1015499_1_SI_Lm143_R1_001.fq.gz</v>
          </cell>
          <cell r="H220" t="str">
            <v>/home/projects/cge/backup/fastq/food_seqdata/NextSeq_203/FoodQCPipeline_tmp/conc_fqs/DTU_2022_1015499_1_SI_Lm143_R2_001.fq.gz</v>
          </cell>
          <cell r="I220" t="str">
            <v>Lm143</v>
          </cell>
          <cell r="J220" t="str">
            <v>Lm143</v>
          </cell>
          <cell r="K220" t="str">
            <v>Listeria monocytogenes</v>
          </cell>
          <cell r="L220">
            <v>44</v>
          </cell>
          <cell r="M220">
            <v>-72699997</v>
          </cell>
          <cell r="N220" t="str">
            <v>Vermont</v>
          </cell>
          <cell r="Q220">
            <v>1994</v>
          </cell>
          <cell r="T220" t="str">
            <v>University of Vermont, Burlington, VT, USA</v>
          </cell>
          <cell r="U220" t="str">
            <v>Food</v>
          </cell>
          <cell r="V220" t="str">
            <v>Ground Beef/store B</v>
          </cell>
          <cell r="X220" t="str">
            <v>ERR10549474</v>
          </cell>
        </row>
        <row r="221">
          <cell r="G221" t="str">
            <v>/home/projects/cge/backup/fastq/food_seqdata/NextSeq_203/FoodQCPipeline_tmp/conc_fqs/DTU_2022_1015500_1_SI_Lm145_R1_001.fq.gz</v>
          </cell>
          <cell r="H221" t="str">
            <v>/home/projects/cge/backup/fastq/food_seqdata/NextSeq_203/FoodQCPipeline_tmp/conc_fqs/DTU_2022_1015500_1_SI_Lm145_R2_001.fq.gz</v>
          </cell>
          <cell r="I221" t="str">
            <v>Lm145</v>
          </cell>
          <cell r="J221" t="str">
            <v>Lm145</v>
          </cell>
          <cell r="K221" t="str">
            <v>Listeria monocytogenes</v>
          </cell>
          <cell r="L221">
            <v>44</v>
          </cell>
          <cell r="M221">
            <v>-72699997</v>
          </cell>
          <cell r="N221" t="str">
            <v>Vermont</v>
          </cell>
          <cell r="Q221">
            <v>1994</v>
          </cell>
          <cell r="T221" t="str">
            <v>University of Vermont, Burlington, VT, USA</v>
          </cell>
          <cell r="U221" t="str">
            <v>Food</v>
          </cell>
          <cell r="V221" t="str">
            <v>uncooked hot dog</v>
          </cell>
          <cell r="X221" t="str">
            <v>ERR10549439</v>
          </cell>
        </row>
        <row r="222">
          <cell r="G222" t="str">
            <v>/home/projects/cge/backup/fastq/food_seqdata/NextSeq_203/FoodQCPipeline_tmp/conc_fqs/DTU_2022_1015502_2_SI_Lm193_R1_001.fq.gz</v>
          </cell>
          <cell r="H222" t="str">
            <v>/home/projects/cge/backup/fastq/food_seqdata/NextSeq_203/FoodQCPipeline_tmp/conc_fqs/DTU_2022_1015502_2_SI_Lm193_R2_001.fq.gz</v>
          </cell>
          <cell r="I222" t="str">
            <v>Lm193</v>
          </cell>
          <cell r="J222" t="str">
            <v>Lm193</v>
          </cell>
          <cell r="K222" t="str">
            <v>Listeria monocytogenes</v>
          </cell>
          <cell r="L222">
            <v>44</v>
          </cell>
          <cell r="M222">
            <v>-72699997</v>
          </cell>
          <cell r="N222" t="str">
            <v>Vermont</v>
          </cell>
          <cell r="Q222">
            <v>1994</v>
          </cell>
          <cell r="T222" t="str">
            <v>University of Vermont, Burlington, VT, USA</v>
          </cell>
          <cell r="U222" t="str">
            <v>Food</v>
          </cell>
          <cell r="V222" t="str">
            <v>Pork sausage</v>
          </cell>
          <cell r="X222" t="str">
            <v>ERR10616669</v>
          </cell>
        </row>
        <row r="223">
          <cell r="G223" t="str">
            <v>/home/projects/cge/backup/fastq/food_seqdata/NextSeq_203/FoodQCPipeline_tmp/conc_fqs/DTU_2022_1015503_2_SI_Lm201_R1_001.fq.gz</v>
          </cell>
          <cell r="H223" t="str">
            <v>/home/projects/cge/backup/fastq/food_seqdata/NextSeq_203/FoodQCPipeline_tmp/conc_fqs/DTU_2022_1015503_2_SI_Lm201_R2_001.fq.gz</v>
          </cell>
          <cell r="I223" t="str">
            <v>Lm201</v>
          </cell>
          <cell r="J223" t="str">
            <v>Lm201</v>
          </cell>
          <cell r="K223" t="str">
            <v>Listeria monocytogenes</v>
          </cell>
          <cell r="L223">
            <v>44</v>
          </cell>
          <cell r="M223">
            <v>-72699997</v>
          </cell>
          <cell r="N223" t="str">
            <v>Vermont</v>
          </cell>
          <cell r="Q223">
            <v>1994</v>
          </cell>
          <cell r="T223" t="str">
            <v>University of Vermont, Burlington, VT, USA</v>
          </cell>
          <cell r="U223" t="str">
            <v>Food</v>
          </cell>
          <cell r="V223" t="str">
            <v>chicken</v>
          </cell>
          <cell r="X223" t="str">
            <v>ERR10616658</v>
          </cell>
        </row>
        <row r="224">
          <cell r="G224" t="str">
            <v>/home/projects/cge/backup/fastq/food_seqdata/NextSeq_203/FoodQCPipeline_tmp/conc_fqs/DTU_2022_1015504_2_SI_Lm214_R1_001.fq.gz</v>
          </cell>
          <cell r="H224" t="str">
            <v>/home/projects/cge/backup/fastq/food_seqdata/NextSeq_203/FoodQCPipeline_tmp/conc_fqs/DTU_2022_1015504_2_SI_Lm214_R2_001.fq.gz</v>
          </cell>
          <cell r="I224" t="str">
            <v>Lm214</v>
          </cell>
          <cell r="J224" t="str">
            <v>Lm214</v>
          </cell>
          <cell r="K224" t="str">
            <v>Listeria monocytogenes</v>
          </cell>
          <cell r="L224">
            <v>44</v>
          </cell>
          <cell r="M224">
            <v>-72699997</v>
          </cell>
          <cell r="N224" t="str">
            <v>Vermont</v>
          </cell>
          <cell r="Q224">
            <v>1994</v>
          </cell>
          <cell r="T224" t="str">
            <v>University of Vermont, Burlington, VT, USA</v>
          </cell>
          <cell r="U224" t="str">
            <v>Food</v>
          </cell>
          <cell r="V224" t="str">
            <v>Ground Beef</v>
          </cell>
          <cell r="X224" t="str">
            <v>ERR10616670</v>
          </cell>
        </row>
        <row r="225">
          <cell r="G225" t="str">
            <v>/home/projects/cge/backup/fastq/food_seqdata/NextSeq_209/FoodQCPipeline_tmp/conc_fqs/DTU_2022_1015505_2_SI_Lm225_R1_001.fq.gz</v>
          </cell>
          <cell r="H225" t="str">
            <v>/home/projects/cge/backup/fastq/food_seqdata/NextSeq_209/FoodQCPipeline_tmp/conc_fqs/DTU_2022_1015505_2_SI_Lm225_R2_001.fq.gz</v>
          </cell>
          <cell r="I225" t="str">
            <v>Lm225</v>
          </cell>
          <cell r="J225" t="str">
            <v>Lm225</v>
          </cell>
          <cell r="K225" t="str">
            <v>Listeria monocytogenes</v>
          </cell>
          <cell r="L225">
            <v>44</v>
          </cell>
          <cell r="M225">
            <v>-72699997</v>
          </cell>
          <cell r="N225" t="str">
            <v>Vermont</v>
          </cell>
          <cell r="Q225">
            <v>1994</v>
          </cell>
          <cell r="T225" t="str">
            <v>University of Vermont, Burlington, VT, USA</v>
          </cell>
          <cell r="U225" t="str">
            <v>Food</v>
          </cell>
          <cell r="V225" t="str">
            <v>Ground Turkey</v>
          </cell>
          <cell r="X225" t="str">
            <v>ERR10549462</v>
          </cell>
        </row>
        <row r="226">
          <cell r="G226" t="str">
            <v>/home/projects/cge/backup/fastq/food_seqdata/NextSeq_203/FoodQCPipeline_tmp/conc_fqs/DTU_2022_1015506_2_SI_Lm238_R1_001.fq.gz</v>
          </cell>
          <cell r="H226" t="str">
            <v>/home/projects/cge/backup/fastq/food_seqdata/NextSeq_203/FoodQCPipeline_tmp/conc_fqs/DTU_2022_1015506_2_SI_Lm238_R2_001.fq.gz</v>
          </cell>
          <cell r="I226" t="str">
            <v>Lm238</v>
          </cell>
          <cell r="J226" t="str">
            <v>Lm238</v>
          </cell>
          <cell r="K226" t="str">
            <v>Listeria monocytogenes</v>
          </cell>
          <cell r="L226">
            <v>44</v>
          </cell>
          <cell r="M226">
            <v>-72699997</v>
          </cell>
          <cell r="N226" t="str">
            <v>Vermont</v>
          </cell>
          <cell r="Q226">
            <v>1994</v>
          </cell>
          <cell r="T226" t="str">
            <v>University of Vermont, Burlington, VT, USA</v>
          </cell>
          <cell r="U226" t="str">
            <v>Food</v>
          </cell>
          <cell r="V226" t="str">
            <v>Pork Sausage</v>
          </cell>
          <cell r="X226" t="str">
            <v>ERR10616651</v>
          </cell>
        </row>
        <row r="227">
          <cell r="G227" t="str">
            <v>/home/projects/cge/backup/fastq/food_seqdata/NextSeq_203/FoodQCPipeline_tmp/conc_fqs/DTU_2022_1015507_2_SI_Lm261_R1_001.fq.gz</v>
          </cell>
          <cell r="H227" t="str">
            <v>/home/projects/cge/backup/fastq/food_seqdata/NextSeq_203/FoodQCPipeline_tmp/conc_fqs/DTU_2022_1015507_2_SI_Lm261_R2_001.fq.gz</v>
          </cell>
          <cell r="I227" t="str">
            <v>Lm261</v>
          </cell>
          <cell r="J227" t="str">
            <v>Lm261</v>
          </cell>
          <cell r="K227" t="str">
            <v>Listeria monocytogenes</v>
          </cell>
          <cell r="L227">
            <v>44</v>
          </cell>
          <cell r="M227">
            <v>-72699997</v>
          </cell>
          <cell r="N227" t="str">
            <v>Vermont</v>
          </cell>
          <cell r="Q227">
            <v>1994</v>
          </cell>
          <cell r="T227" t="str">
            <v>University of Vermont, Burlington, VT, USA</v>
          </cell>
          <cell r="U227" t="str">
            <v>Food</v>
          </cell>
          <cell r="V227" t="str">
            <v>chicken</v>
          </cell>
          <cell r="X227" t="str">
            <v>ERR10616654</v>
          </cell>
        </row>
        <row r="228">
          <cell r="G228" t="str">
            <v>/home/projects/cge/backup/fastq/food_seqdata/NextSeq_203/FoodQCPipeline_tmp/conc_fqs/DTU_2022_1015508_2_SI_Lm270_R1_001.fq.gz</v>
          </cell>
          <cell r="H228" t="str">
            <v>/home/projects/cge/backup/fastq/food_seqdata/NextSeq_203/FoodQCPipeline_tmp/conc_fqs/DTU_2022_1015508_2_SI_Lm270_R2_001.fq.gz</v>
          </cell>
          <cell r="I228" t="str">
            <v>Lm270</v>
          </cell>
          <cell r="J228" t="str">
            <v>Lm270</v>
          </cell>
          <cell r="K228" t="str">
            <v>Listeria monocytogenes</v>
          </cell>
          <cell r="L228">
            <v>44</v>
          </cell>
          <cell r="M228">
            <v>-72699997</v>
          </cell>
          <cell r="N228" t="str">
            <v>Vermont</v>
          </cell>
          <cell r="Q228">
            <v>1994</v>
          </cell>
          <cell r="T228" t="str">
            <v>University of Vermont, Burlington, VT, USA</v>
          </cell>
          <cell r="U228" t="str">
            <v>Food</v>
          </cell>
          <cell r="V228" t="str">
            <v>Ground beef</v>
          </cell>
          <cell r="X228" t="str">
            <v>ERR10616661</v>
          </cell>
        </row>
        <row r="229">
          <cell r="G229" t="str">
            <v>/home/projects/cge/backup/fastq/food_seqdata/NextSeq_203/FoodQCPipeline_tmp/conc_fqs/DTU_2022_1015509_1_SI_Lm276_R1_001.fq.gz</v>
          </cell>
          <cell r="H229" t="str">
            <v>/home/projects/cge/backup/fastq/food_seqdata/NextSeq_203/FoodQCPipeline_tmp/conc_fqs/DTU_2022_1015509_1_SI_Lm276_R2_001.fq.gz</v>
          </cell>
          <cell r="I229" t="str">
            <v>Lm276</v>
          </cell>
          <cell r="J229" t="str">
            <v>Lm276</v>
          </cell>
          <cell r="K229" t="str">
            <v>Listeria monocytogenes</v>
          </cell>
          <cell r="L229">
            <v>44</v>
          </cell>
          <cell r="M229">
            <v>-72699997</v>
          </cell>
          <cell r="N229" t="str">
            <v>Vermont</v>
          </cell>
          <cell r="Q229">
            <v>1994</v>
          </cell>
          <cell r="T229" t="str">
            <v>University of Vermont, Burlington, VT, USA</v>
          </cell>
          <cell r="U229" t="str">
            <v>Food</v>
          </cell>
          <cell r="V229" t="str">
            <v>Ground turkey</v>
          </cell>
          <cell r="X229" t="str">
            <v>ERR10549483</v>
          </cell>
        </row>
        <row r="230">
          <cell r="G230" t="str">
            <v>/home/projects/cge/backup/fastq/food_seqdata/NextSeq_203/FoodQCPipeline_tmp/conc_fqs/DTU_2022_1015510_1_SI_Lm283_R1_001.fq.gz</v>
          </cell>
          <cell r="H230" t="str">
            <v>/home/projects/cge/backup/fastq/food_seqdata/NextSeq_203/FoodQCPipeline_tmp/conc_fqs/DTU_2022_1015510_1_SI_Lm283_R2_001.fq.gz</v>
          </cell>
          <cell r="I230" t="str">
            <v>Lm283</v>
          </cell>
          <cell r="J230" t="str">
            <v>Lm283</v>
          </cell>
          <cell r="K230" t="str">
            <v>Listeria monocytogenes</v>
          </cell>
          <cell r="L230">
            <v>44</v>
          </cell>
          <cell r="M230">
            <v>-72699997</v>
          </cell>
          <cell r="N230" t="str">
            <v>Vermont</v>
          </cell>
          <cell r="Q230">
            <v>1994</v>
          </cell>
          <cell r="T230" t="str">
            <v>University of Vermont, Burlington, VT, USA</v>
          </cell>
          <cell r="U230" t="str">
            <v>Food</v>
          </cell>
          <cell r="V230" t="str">
            <v>Ground beef</v>
          </cell>
          <cell r="X230" t="str">
            <v>ERR10549472</v>
          </cell>
        </row>
        <row r="231">
          <cell r="G231" t="str">
            <v>/home/projects/cge/backup/fastq/food_seqdata/NextSeq_203/FoodQCPipeline_tmp/conc_fqs/DTU_2022_1015511_1_SI_Lm292_R1_001.fq.gz</v>
          </cell>
          <cell r="H231" t="str">
            <v>/home/projects/cge/backup/fastq/food_seqdata/NextSeq_203/FoodQCPipeline_tmp/conc_fqs/DTU_2022_1015511_1_SI_Lm292_R2_001.fq.gz</v>
          </cell>
          <cell r="I231" t="str">
            <v>Lm292</v>
          </cell>
          <cell r="J231" t="str">
            <v>Lm292</v>
          </cell>
          <cell r="K231" t="str">
            <v>Listeria monocytogenes</v>
          </cell>
          <cell r="L231">
            <v>44</v>
          </cell>
          <cell r="M231">
            <v>-72699997</v>
          </cell>
          <cell r="N231" t="str">
            <v>Vermont</v>
          </cell>
          <cell r="Q231">
            <v>1994</v>
          </cell>
          <cell r="T231" t="str">
            <v>University of Vermont, Burlington, VT, USA</v>
          </cell>
          <cell r="U231" t="str">
            <v>Food</v>
          </cell>
          <cell r="V231" t="str">
            <v>chicken</v>
          </cell>
          <cell r="X231" t="str">
            <v>ERR10549446</v>
          </cell>
        </row>
        <row r="232">
          <cell r="G232" t="str">
            <v>/home/projects/cge/backup/fastq/food_seqdata/NextSeq_203/FoodQCPipeline_tmp/conc_fqs/DTU_2022_1015513_1_SI_Lm307_R1_001.fq.gz</v>
          </cell>
          <cell r="H232" t="str">
            <v>/home/projects/cge/backup/fastq/food_seqdata/NextSeq_203/FoodQCPipeline_tmp/conc_fqs/DTU_2022_1015513_1_SI_Lm307_R2_001.fq.gz</v>
          </cell>
          <cell r="I232" t="str">
            <v>Lm307</v>
          </cell>
          <cell r="J232" t="str">
            <v>Lm307</v>
          </cell>
          <cell r="K232" t="str">
            <v>Listeria monocytogenes</v>
          </cell>
          <cell r="L232">
            <v>44</v>
          </cell>
          <cell r="M232">
            <v>-72699997</v>
          </cell>
          <cell r="N232" t="str">
            <v>Vermont</v>
          </cell>
          <cell r="Q232">
            <v>1994</v>
          </cell>
          <cell r="T232" t="str">
            <v>University of Vermont, Burlington, VT, USA</v>
          </cell>
          <cell r="U232" t="str">
            <v>Food</v>
          </cell>
          <cell r="V232" t="str">
            <v>pork sausage</v>
          </cell>
          <cell r="X232" t="str">
            <v>ERR10549569</v>
          </cell>
        </row>
        <row r="233">
          <cell r="G233" t="str">
            <v>/home/projects/cge/backup/fastq/food_seqdata/NextSeq_203/FoodQCPipeline_tmp/conc_fqs/DTU_2022_1015514_1_SI_Lm323_R1_001.fq.gz</v>
          </cell>
          <cell r="H233" t="str">
            <v>/home/projects/cge/backup/fastq/food_seqdata/NextSeq_203/FoodQCPipeline_tmp/conc_fqs/DTU_2022_1015514_1_SI_Lm323_R2_001.fq.gz</v>
          </cell>
          <cell r="I233" t="str">
            <v>Lm323</v>
          </cell>
          <cell r="J233" t="str">
            <v>Lm323</v>
          </cell>
          <cell r="K233" t="str">
            <v>Listeria monocytogenes</v>
          </cell>
          <cell r="L233">
            <v>44</v>
          </cell>
          <cell r="M233">
            <v>-72699997</v>
          </cell>
          <cell r="N233" t="str">
            <v>Vermont</v>
          </cell>
          <cell r="Q233">
            <v>1994</v>
          </cell>
          <cell r="T233" t="str">
            <v>University of Vermont, Burlington, VT, USA</v>
          </cell>
          <cell r="U233" t="str">
            <v>Food</v>
          </cell>
          <cell r="V233" t="str">
            <v>Ground turkey</v>
          </cell>
          <cell r="X233" t="str">
            <v>ERR10549543</v>
          </cell>
        </row>
        <row r="234">
          <cell r="G234" t="str">
            <v>/home/projects/cge/backup/fastq/food_seqdata/NextSeq_203/FoodQCPipeline_tmp/conc_fqs/DTU_2022_1015515_1_SI_Lm327_R1_001.fq.gz</v>
          </cell>
          <cell r="H234" t="str">
            <v>/home/projects/cge/backup/fastq/food_seqdata/NextSeq_203/FoodQCPipeline_tmp/conc_fqs/DTU_2022_1015515_1_SI_Lm327_R2_001.fq.gz</v>
          </cell>
          <cell r="I234" t="str">
            <v>Lm327</v>
          </cell>
          <cell r="J234" t="str">
            <v>Lm327</v>
          </cell>
          <cell r="K234" t="str">
            <v>Listeria monocytogenes</v>
          </cell>
          <cell r="L234">
            <v>44</v>
          </cell>
          <cell r="M234">
            <v>-72699997</v>
          </cell>
          <cell r="N234" t="str">
            <v>Vermont</v>
          </cell>
          <cell r="Q234">
            <v>1994</v>
          </cell>
          <cell r="T234" t="str">
            <v>University of Vermont, Burlington, VT, USA</v>
          </cell>
          <cell r="U234" t="str">
            <v>Food</v>
          </cell>
          <cell r="V234" t="str">
            <v>Ground beef</v>
          </cell>
          <cell r="X234" t="str">
            <v>ERR10549488</v>
          </cell>
        </row>
        <row r="235">
          <cell r="G235" t="str">
            <v>/home/projects/cge/backup/fastq/food_seqdata/NextSeq_203/FoodQCPipeline_tmp/conc_fqs/DTU_2022_1015517_1_SI_Lm341_R1_001.fq.gz</v>
          </cell>
          <cell r="H235" t="str">
            <v>/home/projects/cge/backup/fastq/food_seqdata/NextSeq_203/FoodQCPipeline_tmp/conc_fqs/DTU_2022_1015517_1_SI_Lm341_R2_001.fq.gz</v>
          </cell>
          <cell r="I235" t="str">
            <v>Lm341</v>
          </cell>
          <cell r="J235" t="str">
            <v>Lm341</v>
          </cell>
          <cell r="K235" t="str">
            <v>Listeria monocytogenes</v>
          </cell>
          <cell r="L235">
            <v>44</v>
          </cell>
          <cell r="M235">
            <v>-72699997</v>
          </cell>
          <cell r="N235" t="str">
            <v>Vermont</v>
          </cell>
          <cell r="Q235">
            <v>1994</v>
          </cell>
          <cell r="T235" t="str">
            <v>University of Vermont, Burlington, VT, USA</v>
          </cell>
          <cell r="U235" t="str">
            <v>Food</v>
          </cell>
          <cell r="V235" t="str">
            <v>pork sausage</v>
          </cell>
          <cell r="X235" t="str">
            <v>ERR10549493</v>
          </cell>
        </row>
        <row r="236">
          <cell r="G236" t="str">
            <v>/home/projects/cge/backup/fastq/food_seqdata/NextSeq_198/FoodQCPipeline_tmp/conc_fqs/DTU_2022_1016834_1_SI_A2_R1_001.fq.gz</v>
          </cell>
          <cell r="H236" t="str">
            <v>/home/projects/cge/backup/fastq/food_seqdata/NextSeq_198/FoodQCPipeline_tmp/conc_fqs/DTU_2022_1016834_1_SI_A2_R2_001.fq.gz</v>
          </cell>
          <cell r="I236" t="str">
            <v>A2</v>
          </cell>
          <cell r="J236" t="str">
            <v>A2</v>
          </cell>
          <cell r="K236" t="str">
            <v>Listeria monocytogenes</v>
          </cell>
          <cell r="L236">
            <v>35771</v>
          </cell>
          <cell r="M236">
            <v>-78638</v>
          </cell>
          <cell r="N236" t="str">
            <v>North Carolina</v>
          </cell>
          <cell r="Q236">
            <v>1999</v>
          </cell>
          <cell r="T236" t="str">
            <v>North Carolina State University, Raleigh, NC, USA</v>
          </cell>
          <cell r="U236" t="str">
            <v>Natural environment</v>
          </cell>
          <cell r="X236" t="str">
            <v>ERR10616672</v>
          </cell>
        </row>
        <row r="237">
          <cell r="G237" t="str">
            <v>/home/projects/cge/backup/fastq/food_seqdata/NextSeq_198/FoodQCPipeline_tmp/conc_fqs/DTU_2022_1016835_1_SI_B2_R1_001.fq.gz</v>
          </cell>
          <cell r="H237" t="str">
            <v>/home/projects/cge/backup/fastq/food_seqdata/NextSeq_198/FoodQCPipeline_tmp/conc_fqs/DTU_2022_1016835_1_SI_B2_R2_001.fq.gz</v>
          </cell>
          <cell r="I237" t="str">
            <v>B2</v>
          </cell>
          <cell r="J237" t="str">
            <v>B2</v>
          </cell>
          <cell r="K237" t="str">
            <v>Listeria monocytogenes</v>
          </cell>
          <cell r="L237">
            <v>35771</v>
          </cell>
          <cell r="M237">
            <v>-78638</v>
          </cell>
          <cell r="N237" t="str">
            <v>North Carolina</v>
          </cell>
          <cell r="Q237">
            <v>1999</v>
          </cell>
          <cell r="T237" t="str">
            <v>North Carolina State University, Raleigh, NC, USA</v>
          </cell>
          <cell r="U237" t="str">
            <v>Natural environment</v>
          </cell>
          <cell r="X237" t="str">
            <v>ERR10616657</v>
          </cell>
        </row>
        <row r="238">
          <cell r="G238" t="str">
            <v>/home/projects/cge/backup/fastq/food_seqdata/NextSeq_216/FoodQCPipeline_tmp/conc_fqs/DTU_2022_1016859_1_SI_SK3095_R1_001.fq.gz</v>
          </cell>
          <cell r="H238" t="str">
            <v>/home/projects/cge/backup/fastq/food_seqdata/NextSeq_216/FoodQCPipeline_tmp/conc_fqs/DTU_2022_1016859_1_SI_SK3095_R2_001.fq.gz</v>
          </cell>
          <cell r="I238" t="str">
            <v>SK3095</v>
          </cell>
          <cell r="J238" t="str">
            <v>SK3095</v>
          </cell>
          <cell r="K238" t="str">
            <v>Listeria monocytogenes</v>
          </cell>
          <cell r="L238">
            <v>35771</v>
          </cell>
          <cell r="M238">
            <v>-78638</v>
          </cell>
          <cell r="N238" t="str">
            <v>North Carolina</v>
          </cell>
          <cell r="Q238">
            <v>2001</v>
          </cell>
          <cell r="T238" t="str">
            <v>North Carolina State University, Raleigh, NC, USA</v>
          </cell>
          <cell r="U238" t="str">
            <v>Food</v>
          </cell>
          <cell r="V238" t="str">
            <v>Chicken meat strips-cooked, NJ, USA</v>
          </cell>
          <cell r="X238" t="str">
            <v>ERR10549486</v>
          </cell>
        </row>
        <row r="239">
          <cell r="G239" t="str">
            <v>/home/projects/cge/backup/fastq/food_seqdata/NextSeq_216/FoodQCPipeline_tmp/conc_fqs/DTU_2022_1016856_1_SI_SK3096_R1_001.fq.gz</v>
          </cell>
          <cell r="H239" t="str">
            <v>/home/projects/cge/backup/fastq/food_seqdata/NextSeq_216/FoodQCPipeline_tmp/conc_fqs/DTU_2022_1016856_1_SI_SK3096_R2_001.fq.gz</v>
          </cell>
          <cell r="I239" t="str">
            <v>SK3096</v>
          </cell>
          <cell r="J239" t="str">
            <v>SK3096</v>
          </cell>
          <cell r="K239" t="str">
            <v>Listeria monocytogenes</v>
          </cell>
          <cell r="L239">
            <v>35771</v>
          </cell>
          <cell r="M239">
            <v>-78638</v>
          </cell>
          <cell r="N239" t="str">
            <v>North Carolina</v>
          </cell>
          <cell r="Q239">
            <v>2001</v>
          </cell>
          <cell r="T239" t="str">
            <v>North Carolina State University, Raleigh, NC, USA</v>
          </cell>
          <cell r="U239" t="str">
            <v>Food</v>
          </cell>
          <cell r="V239" t="str">
            <v>Smoked Boneless Turkey Breast, HI, USA</v>
          </cell>
          <cell r="X239" t="str">
            <v>ERR10549476</v>
          </cell>
        </row>
        <row r="240">
          <cell r="G240" t="str">
            <v>/home/projects/cge/backup/fastq/food_seqdata/NextSeq_216/FoodQCPipeline_tmp/conc_fqs/DTU_2022_1016860_1_SI_SK2025_R1_001.fq.gz</v>
          </cell>
          <cell r="H240" t="str">
            <v>/home/projects/cge/backup/fastq/food_seqdata/NextSeq_216/FoodQCPipeline_tmp/conc_fqs/DTU_2022_1016860_1_SI_SK2025_R2_001.fq.gz</v>
          </cell>
          <cell r="I240" t="str">
            <v>SK2025</v>
          </cell>
          <cell r="J240" t="str">
            <v>SK2025</v>
          </cell>
          <cell r="K240" t="str">
            <v>Listeria monocytogenes</v>
          </cell>
          <cell r="L240">
            <v>35771</v>
          </cell>
          <cell r="M240">
            <v>-78638</v>
          </cell>
          <cell r="N240" t="str">
            <v>North Carolina</v>
          </cell>
          <cell r="Q240">
            <v>2002</v>
          </cell>
          <cell r="T240" t="str">
            <v>North Carolina State University, Raleigh, NC, USA</v>
          </cell>
          <cell r="U240" t="str">
            <v>Food</v>
          </cell>
          <cell r="V240" t="str">
            <v>Food sandwich with egg, sausage, cheese</v>
          </cell>
          <cell r="X240" t="str">
            <v>ERR10549475</v>
          </cell>
        </row>
        <row r="241">
          <cell r="G241" t="str">
            <v>/home/projects/cge/backup/fastq/food_seqdata/NextSeq_216/FoodQCPipeline_tmp/conc_fqs/DTU_2022_1016862_1_SI_SK2747_R1_001.fq.gz</v>
          </cell>
          <cell r="H241" t="str">
            <v>/home/projects/cge/backup/fastq/food_seqdata/NextSeq_216/FoodQCPipeline_tmp/conc_fqs/DTU_2022_1016862_1_SI_SK2747_R2_001.fq.gz</v>
          </cell>
          <cell r="I241" t="str">
            <v>SK2747</v>
          </cell>
          <cell r="J241" t="str">
            <v>SK2747</v>
          </cell>
          <cell r="K241" t="str">
            <v>Listeria monocytogenes</v>
          </cell>
          <cell r="L241">
            <v>35771</v>
          </cell>
          <cell r="M241">
            <v>-78638</v>
          </cell>
          <cell r="N241" t="str">
            <v>North Carolina</v>
          </cell>
          <cell r="Q241">
            <v>2004</v>
          </cell>
          <cell r="T241" t="str">
            <v>North Carolina State University, Raleigh, NC, USA</v>
          </cell>
          <cell r="U241" t="str">
            <v>Human</v>
          </cell>
          <cell r="V241" t="str">
            <v>Clinical, blood, IL, USA</v>
          </cell>
          <cell r="X241" t="str">
            <v>ERR10549480</v>
          </cell>
        </row>
        <row r="242">
          <cell r="G242" t="str">
            <v>/home/projects/cge/backup/fastq/food_seqdata/NextSeq_198/FoodQCPipeline_tmp/conc_fqs/DTU_2022_1016836_1_SI_SK90_R1_001.fq.gz</v>
          </cell>
          <cell r="H242" t="str">
            <v>/home/projects/cge/backup/fastq/food_seqdata/NextSeq_198/FoodQCPipeline_tmp/conc_fqs/DTU_2022_1016836_1_SI_SK90_R2_001.fq.gz</v>
          </cell>
          <cell r="I242" t="str">
            <v>SK90</v>
          </cell>
          <cell r="J242" t="str">
            <v>SK90</v>
          </cell>
          <cell r="K242" t="str">
            <v>Listeria monocytogenes</v>
          </cell>
          <cell r="L242">
            <v>35771</v>
          </cell>
          <cell r="M242">
            <v>-78638</v>
          </cell>
          <cell r="N242" t="str">
            <v>North Carolina</v>
          </cell>
          <cell r="Q242">
            <v>2004</v>
          </cell>
          <cell r="T242" t="str">
            <v>North Carolina State University, Raleigh, NC, USA</v>
          </cell>
          <cell r="U242" t="str">
            <v>Production environment</v>
          </cell>
          <cell r="V242" t="str">
            <v>Processing Plant, NC</v>
          </cell>
          <cell r="X242" t="str">
            <v>ERR10618400</v>
          </cell>
        </row>
        <row r="243">
          <cell r="G243" t="str">
            <v>/home/projects/cge/backup/fastq/food_seqdata/NextSeq_216/FoodQCPipeline_tmp/conc_fqs/DTU_2022_1016838_1_SI_SK2509_R1_001.fq.gz</v>
          </cell>
          <cell r="H243" t="str">
            <v>/home/projects/cge/backup/fastq/food_seqdata/NextSeq_216/FoodQCPipeline_tmp/conc_fqs/DTU_2022_1016838_1_SI_SK2509_R2_001.fq.gz</v>
          </cell>
          <cell r="I243" t="str">
            <v>SK2509</v>
          </cell>
          <cell r="J243" t="str">
            <v>SK2509</v>
          </cell>
          <cell r="K243" t="str">
            <v>Listeria monocytogenes</v>
          </cell>
          <cell r="L243">
            <v>35771</v>
          </cell>
          <cell r="M243">
            <v>-78638</v>
          </cell>
          <cell r="N243" t="str">
            <v>North Carolina</v>
          </cell>
          <cell r="Q243">
            <v>2005</v>
          </cell>
          <cell r="T243" t="str">
            <v>North Carolina State University, Raleigh, NC, USA</v>
          </cell>
          <cell r="U243" t="str">
            <v>Production environment</v>
          </cell>
          <cell r="V243" t="str">
            <v>Processing Plant, MI</v>
          </cell>
          <cell r="X243" t="str">
            <v>ERR10549539</v>
          </cell>
        </row>
        <row r="244">
          <cell r="G244" t="str">
            <v>/home/projects/cge/backup/fastq/food_seqdata/NextSeq_216/FoodQCPipeline_tmp/conc_fqs/DTU_2022_1016861_1_SI_SK2709_R1_001.fq.gz</v>
          </cell>
          <cell r="H244" t="str">
            <v>/home/projects/cge/backup/fastq/food_seqdata/NextSeq_216/FoodQCPipeline_tmp/conc_fqs/DTU_2022_1016861_1_SI_SK2709_R2_001.fq.gz</v>
          </cell>
          <cell r="I244" t="str">
            <v>SK2709</v>
          </cell>
          <cell r="J244" t="str">
            <v>SK2709</v>
          </cell>
          <cell r="K244" t="str">
            <v>Listeria monocytogenes</v>
          </cell>
          <cell r="L244">
            <v>35771</v>
          </cell>
          <cell r="M244">
            <v>-78638</v>
          </cell>
          <cell r="N244" t="str">
            <v>North Carolina</v>
          </cell>
          <cell r="Q244">
            <v>2005</v>
          </cell>
          <cell r="T244" t="str">
            <v>North Carolina State University, Raleigh, NC, USA</v>
          </cell>
          <cell r="U244" t="str">
            <v>Food</v>
          </cell>
          <cell r="V244" t="str">
            <v>Food guacamole</v>
          </cell>
          <cell r="X244" t="str">
            <v>ERR10549492</v>
          </cell>
        </row>
        <row r="245">
          <cell r="G245" t="str">
            <v>/home/projects/cge/backup/fastq/food_seqdata/NextSeq_216/FoodQCPipeline_tmp/conc_fqs/DTU_2022_1016839_1_SI_2616_R1_001.fq.gz</v>
          </cell>
          <cell r="H245" t="str">
            <v>/home/projects/cge/backup/fastq/food_seqdata/NextSeq_216/FoodQCPipeline_tmp/conc_fqs/DTU_2022_1016839_1_SI_2616_R2_001.fq.gz</v>
          </cell>
          <cell r="I245" t="str">
            <v>SK2616</v>
          </cell>
          <cell r="J245" t="str">
            <v>SK2616</v>
          </cell>
          <cell r="K245" t="str">
            <v>Listeria monocytogenes</v>
          </cell>
          <cell r="L245">
            <v>35771</v>
          </cell>
          <cell r="M245">
            <v>-78638</v>
          </cell>
          <cell r="N245" t="str">
            <v>North Carolina</v>
          </cell>
          <cell r="Q245">
            <v>2006</v>
          </cell>
          <cell r="T245" t="str">
            <v>North Carolina State University, Raleigh, NC, USA</v>
          </cell>
          <cell r="U245" t="str">
            <v>Production environment</v>
          </cell>
          <cell r="V245" t="str">
            <v>Processing Plant, NC</v>
          </cell>
          <cell r="X245" t="str">
            <v>ERR10549481</v>
          </cell>
        </row>
        <row r="246">
          <cell r="G246" t="str">
            <v>/home/projects/cge/backup/fastq/food_seqdata/NextSeq_216/FoodQCPipeline_tmp/conc_fqs/DTU_2022_1016858_1_SI_SK2710_R1_001.fq.gz</v>
          </cell>
          <cell r="H246" t="str">
            <v>/home/projects/cge/backup/fastq/food_seqdata/NextSeq_216/FoodQCPipeline_tmp/conc_fqs/DTU_2022_1016858_1_SI_SK2710_R2_001.fq.gz</v>
          </cell>
          <cell r="I246" t="str">
            <v>SK2710</v>
          </cell>
          <cell r="J246" t="str">
            <v>SK2710</v>
          </cell>
          <cell r="K246" t="str">
            <v>Listeria monocytogenes</v>
          </cell>
          <cell r="L246">
            <v>35771</v>
          </cell>
          <cell r="M246">
            <v>-78638</v>
          </cell>
          <cell r="N246" t="str">
            <v>North Carolina</v>
          </cell>
          <cell r="Q246">
            <v>2006</v>
          </cell>
          <cell r="T246" t="str">
            <v>North Carolina State University, Raleigh, NC, USA</v>
          </cell>
          <cell r="U246" t="str">
            <v>Food</v>
          </cell>
          <cell r="V246" t="str">
            <v>Food, cheese</v>
          </cell>
          <cell r="X246" t="str">
            <v>ERR10549542</v>
          </cell>
        </row>
        <row r="247">
          <cell r="G247" t="str">
            <v>/home/projects/cge/backup/fastq/food_seqdata/NextSeq_216/FoodQCPipeline_tmp/conc_fqs/DTU_2022_1016863_1_SI_SK2891_R1_001.fq.gz</v>
          </cell>
          <cell r="H247" t="str">
            <v>/home/projects/cge/backup/fastq/food_seqdata/NextSeq_216/FoodQCPipeline_tmp/conc_fqs/DTU_2022_1016863_1_SI_SK2891_R2_001.fq.gz</v>
          </cell>
          <cell r="I247" t="str">
            <v>SK2891</v>
          </cell>
          <cell r="J247" t="str">
            <v>SK2891</v>
          </cell>
          <cell r="K247" t="str">
            <v>Listeria monocytogenes</v>
          </cell>
          <cell r="L247">
            <v>35771</v>
          </cell>
          <cell r="M247">
            <v>-78638</v>
          </cell>
          <cell r="N247" t="str">
            <v>North Carolina</v>
          </cell>
          <cell r="Q247">
            <v>2006</v>
          </cell>
          <cell r="T247" t="str">
            <v>North Carolina State University, Raleigh, NC, USA</v>
          </cell>
          <cell r="U247" t="str">
            <v>Human</v>
          </cell>
          <cell r="V247" t="str">
            <v>Clinical, RI, USA</v>
          </cell>
          <cell r="X247" t="str">
            <v>ERR10549491</v>
          </cell>
        </row>
        <row r="248">
          <cell r="G248" t="str">
            <v>/home/projects/cge/backup/fastq/food_seqdata/NextSeq_216/FoodQCPipeline_tmp/conc_fqs/DTU_2022_1016876_1_SI_SK3150_R1_001.fq.gz</v>
          </cell>
          <cell r="H248" t="str">
            <v>/home/projects/cge/backup/fastq/food_seqdata/NextSeq_216/FoodQCPipeline_tmp/conc_fqs/DTU_2022_1016876_1_SI_SK3150_R2_001.fq.gz</v>
          </cell>
          <cell r="I248" t="str">
            <v>SK3150</v>
          </cell>
          <cell r="J248" t="str">
            <v>SK3150</v>
          </cell>
          <cell r="K248" t="str">
            <v>Listeria monocytogenes</v>
          </cell>
          <cell r="L248">
            <v>35771</v>
          </cell>
          <cell r="M248">
            <v>-78638</v>
          </cell>
          <cell r="N248" t="str">
            <v>North Carolina</v>
          </cell>
          <cell r="Q248">
            <v>2007</v>
          </cell>
          <cell r="T248" t="str">
            <v>North Carolina State University, Raleigh, NC, USA</v>
          </cell>
          <cell r="U248" t="str">
            <v>Human</v>
          </cell>
          <cell r="V248" t="str">
            <v>Clinical uterus tissue, FL, USA</v>
          </cell>
          <cell r="X248" t="str">
            <v>ERR10549478</v>
          </cell>
        </row>
        <row r="249">
          <cell r="G249" t="str">
            <v>/home/projects/cge/backup/fastq/food_seqdata/NextSeq_216/FoodQCPipeline_tmp/conc_fqs/DTU_2022_1016868_1_SI_SK835_R1_001.fq.gz</v>
          </cell>
          <cell r="H249" t="str">
            <v>/home/projects/cge/backup/fastq/food_seqdata/NextSeq_216/FoodQCPipeline_tmp/conc_fqs/DTU_2022_1016868_1_SI_SK835_R2_001.fq.gz</v>
          </cell>
          <cell r="I249" t="str">
            <v>SK2835</v>
          </cell>
          <cell r="J249" t="str">
            <v>SK2835</v>
          </cell>
          <cell r="K249" t="str">
            <v>Listeria monocytogenes</v>
          </cell>
          <cell r="L249">
            <v>35771</v>
          </cell>
          <cell r="M249">
            <v>-78638</v>
          </cell>
          <cell r="N249" t="str">
            <v>North Carolina</v>
          </cell>
          <cell r="Q249">
            <v>2008</v>
          </cell>
          <cell r="T249" t="str">
            <v>North Carolina State University, Raleigh, NC, USA</v>
          </cell>
          <cell r="U249" t="str">
            <v>Human</v>
          </cell>
          <cell r="V249" t="str">
            <v>Clinical; Female, CSF, NC Buncombe</v>
          </cell>
          <cell r="X249" t="str">
            <v>ERR10549458</v>
          </cell>
        </row>
        <row r="250">
          <cell r="G250" t="str">
            <v>/home/projects/cge/backup/fastq/food_seqdata/NextSeq_216/FoodQCPipeline_tmp/conc_fqs/DTU_2022_1016869_1_SI_SK2902_R1_001.fq.gz</v>
          </cell>
          <cell r="H250" t="str">
            <v>/home/projects/cge/backup/fastq/food_seqdata/NextSeq_216/FoodQCPipeline_tmp/conc_fqs/DTU_2022_1016869_1_SI_SK2902_R2_001.fq.gz</v>
          </cell>
          <cell r="I250" t="str">
            <v>SK2902</v>
          </cell>
          <cell r="J250" t="str">
            <v>SK2902</v>
          </cell>
          <cell r="K250" t="str">
            <v>Listeria monocytogenes</v>
          </cell>
          <cell r="L250">
            <v>35771</v>
          </cell>
          <cell r="M250">
            <v>-78638</v>
          </cell>
          <cell r="N250" t="str">
            <v>North Carolina</v>
          </cell>
          <cell r="Q250">
            <v>2008</v>
          </cell>
          <cell r="T250" t="str">
            <v>North Carolina State University, Raleigh, NC, USA</v>
          </cell>
          <cell r="U250" t="str">
            <v>Human</v>
          </cell>
          <cell r="V250" t="str">
            <v>Clinical; male, Mecklenburg</v>
          </cell>
          <cell r="X250" t="str">
            <v>ERR10549482</v>
          </cell>
        </row>
        <row r="251">
          <cell r="G251" t="str">
            <v>/home/projects/cge/backup/fastq/food_seqdata/NextSeq_216/FoodQCPipeline_tmp/conc_fqs/DTU_2022_1016866_1_SI_SK2906_R1_001.fq.gz</v>
          </cell>
          <cell r="H251" t="str">
            <v>/home/projects/cge/backup/fastq/food_seqdata/NextSeq_216/FoodQCPipeline_tmp/conc_fqs/DTU_2022_1016866_1_SI_SK2906_R2_001.fq.gz</v>
          </cell>
          <cell r="I251" t="str">
            <v>SK2906</v>
          </cell>
          <cell r="J251" t="str">
            <v>SK2906</v>
          </cell>
          <cell r="K251" t="str">
            <v>Listeria monocytogenes</v>
          </cell>
          <cell r="L251">
            <v>35771</v>
          </cell>
          <cell r="M251">
            <v>-78638</v>
          </cell>
          <cell r="N251" t="str">
            <v>North Carolina</v>
          </cell>
          <cell r="Q251">
            <v>2008</v>
          </cell>
          <cell r="T251" t="str">
            <v>North Carolina State University, Raleigh, NC, USA</v>
          </cell>
          <cell r="U251" t="str">
            <v>Human</v>
          </cell>
          <cell r="V251" t="str">
            <v>Clinical; female, Wake County</v>
          </cell>
          <cell r="X251" t="str">
            <v>ERR10549489</v>
          </cell>
        </row>
        <row r="252">
          <cell r="G252" t="str">
            <v>/home/projects/cge/backup/fastq/food_seqdata/NextSeq_216/FoodQCPipeline_tmp/conc_fqs/DTU_2022_1016877_1_SI_SK3161_R1_001.fq.gz</v>
          </cell>
          <cell r="H252" t="str">
            <v>/home/projects/cge/backup/fastq/food_seqdata/NextSeq_216/FoodQCPipeline_tmp/conc_fqs/DTU_2022_1016877_1_SI_SK3161_R2_001.fq.gz</v>
          </cell>
          <cell r="I252" t="str">
            <v>SK3161</v>
          </cell>
          <cell r="J252" t="str">
            <v>SK3161</v>
          </cell>
          <cell r="K252" t="str">
            <v>Listeria monocytogenes</v>
          </cell>
          <cell r="L252">
            <v>35771</v>
          </cell>
          <cell r="M252">
            <v>-78638</v>
          </cell>
          <cell r="N252" t="str">
            <v>North Carolina</v>
          </cell>
          <cell r="Q252">
            <v>2008</v>
          </cell>
          <cell r="T252" t="str">
            <v>North Carolina State University, Raleigh, NC, USA</v>
          </cell>
          <cell r="U252" t="str">
            <v>Human</v>
          </cell>
          <cell r="V252" t="str">
            <v>Clinical aspirate fluid, PA, USA</v>
          </cell>
          <cell r="X252" t="str">
            <v>ERR10549494</v>
          </cell>
        </row>
        <row r="253">
          <cell r="G253" t="str">
            <v>/home/projects/cge/backup/fastq/food_seqdata/NextSeq_216/FoodQCPipeline_tmp/conc_fqs/DTU_2022_1016874_1_SI_SK3174_R1_001.fq.gz</v>
          </cell>
          <cell r="H253" t="str">
            <v>/home/projects/cge/backup/fastq/food_seqdata/NextSeq_216/FoodQCPipeline_tmp/conc_fqs/DTU_2022_1016874_1_SI_SK3174_R2_001.fq.gz</v>
          </cell>
          <cell r="I253" t="str">
            <v>SK3174</v>
          </cell>
          <cell r="J253" t="str">
            <v>SK3174</v>
          </cell>
          <cell r="K253" t="str">
            <v>Listeria monocytogenes</v>
          </cell>
          <cell r="L253">
            <v>35771</v>
          </cell>
          <cell r="M253">
            <v>-78638</v>
          </cell>
          <cell r="N253" t="str">
            <v>North Carolina</v>
          </cell>
          <cell r="Q253">
            <v>2008</v>
          </cell>
          <cell r="T253" t="str">
            <v>North Carolina State University, Raleigh, NC, USA</v>
          </cell>
          <cell r="U253" t="str">
            <v>Human</v>
          </cell>
          <cell r="V253" t="str">
            <v>Clinical, blood, FL, USA</v>
          </cell>
          <cell r="X253" t="str">
            <v>ERR10549459</v>
          </cell>
        </row>
        <row r="254">
          <cell r="G254" t="str">
            <v>/home/projects/cge/backup/fastq/food_seqdata/NextSeq_216/FoodQCPipeline_tmp/conc_fqs/DTU_2022_1016867_1_SI_SK3199_R1_001.fq.gz</v>
          </cell>
          <cell r="H254" t="str">
            <v>/home/projects/cge/backup/fastq/food_seqdata/NextSeq_216/FoodQCPipeline_tmp/conc_fqs/DTU_2022_1016867_1_SI_SK3199_R2_001.fq.gz</v>
          </cell>
          <cell r="I254" t="str">
            <v>SK3199</v>
          </cell>
          <cell r="J254" t="str">
            <v>SK3199</v>
          </cell>
          <cell r="K254" t="str">
            <v>Listeria monocytogenes</v>
          </cell>
          <cell r="L254">
            <v>35771</v>
          </cell>
          <cell r="M254">
            <v>-78638</v>
          </cell>
          <cell r="N254" t="str">
            <v>North Carolina</v>
          </cell>
          <cell r="Q254">
            <v>2010</v>
          </cell>
          <cell r="T254" t="str">
            <v>North Carolina State University, Raleigh, NC, USA</v>
          </cell>
          <cell r="U254" t="str">
            <v>Human</v>
          </cell>
          <cell r="V254" t="str">
            <v>Clinical, infant CSF, Ashe, Jefferson, NC, USA</v>
          </cell>
          <cell r="X254" t="str">
            <v>ERR10549501</v>
          </cell>
        </row>
        <row r="255">
          <cell r="G255" t="str">
            <v>/home/projects/cge/backup/fastq/food_seqdata/NextSeq_216/FoodQCPipeline_tmp/conc_fqs/DTU_2022_1016855_1_SI_SKB100_R1_001.fq.gz</v>
          </cell>
          <cell r="H255" t="str">
            <v>/home/projects/cge/backup/fastq/food_seqdata/NextSeq_216/FoodQCPipeline_tmp/conc_fqs/DTU_2022_1016855_1_SI_SKB100_R2_001.fq.gz</v>
          </cell>
          <cell r="I255" t="str">
            <v>SKB100</v>
          </cell>
          <cell r="J255" t="str">
            <v>SKB100</v>
          </cell>
          <cell r="K255" t="str">
            <v>Listeria monocytogenes</v>
          </cell>
          <cell r="L255">
            <v>35771</v>
          </cell>
          <cell r="M255">
            <v>-78638</v>
          </cell>
          <cell r="N255" t="str">
            <v>North Carolina</v>
          </cell>
          <cell r="Q255">
            <v>2014</v>
          </cell>
          <cell r="R255" t="str">
            <v>Ursidae</v>
          </cell>
          <cell r="T255" t="str">
            <v>North Carolina State University, Raleigh, NC, USA</v>
          </cell>
          <cell r="U255" t="str">
            <v>Animal</v>
          </cell>
          <cell r="V255" t="str">
            <v>Bear isolate, NC</v>
          </cell>
          <cell r="X255" t="str">
            <v>ERR10549460</v>
          </cell>
        </row>
        <row r="256">
          <cell r="G256" t="str">
            <v>/home/projects/cge/backup/fastq/food_seqdata/NextSeq_216/FoodQCPipeline_tmp/conc_fqs/DTU_2022_1016845_1_SI_SKB107_R1_001.fq.gz</v>
          </cell>
          <cell r="H256" t="str">
            <v>/home/projects/cge/backup/fastq/food_seqdata/NextSeq_216/FoodQCPipeline_tmp/conc_fqs/DTU_2022_1016845_1_SI_SKB107_R2_001.fq.gz</v>
          </cell>
          <cell r="I256" t="str">
            <v>SKB107</v>
          </cell>
          <cell r="J256" t="str">
            <v>SKB107</v>
          </cell>
          <cell r="K256" t="str">
            <v>Listeria monocytogenes</v>
          </cell>
          <cell r="L256">
            <v>35771</v>
          </cell>
          <cell r="M256">
            <v>-78638</v>
          </cell>
          <cell r="N256" t="str">
            <v>North Carolina</v>
          </cell>
          <cell r="Q256">
            <v>2014</v>
          </cell>
          <cell r="R256" t="str">
            <v>Ursidae</v>
          </cell>
          <cell r="T256" t="str">
            <v>North Carolina State University, Raleigh, NC, USA</v>
          </cell>
          <cell r="U256" t="str">
            <v>Animal</v>
          </cell>
          <cell r="V256" t="str">
            <v>Bear isolate, NC</v>
          </cell>
          <cell r="X256" t="str">
            <v>ERR10549463</v>
          </cell>
        </row>
        <row r="257">
          <cell r="G257" t="str">
            <v>/home/projects/cge/backup/fastq/food_seqdata/NextSeq_216/FoodQCPipeline_tmp/conc_fqs/DTU_2022_1016848_1_SI_SKB116_R1_001.fq.gz</v>
          </cell>
          <cell r="H257" t="str">
            <v>/home/projects/cge/backup/fastq/food_seqdata/NextSeq_216/FoodQCPipeline_tmp/conc_fqs/DTU_2022_1016848_1_SI_SKB116_R2_001.fq.gz</v>
          </cell>
          <cell r="I257" t="str">
            <v>SKB116</v>
          </cell>
          <cell r="J257" t="str">
            <v>SKB116</v>
          </cell>
          <cell r="K257" t="str">
            <v>Listeria monocytogenes</v>
          </cell>
          <cell r="L257">
            <v>35771</v>
          </cell>
          <cell r="M257">
            <v>-78638</v>
          </cell>
          <cell r="N257" t="str">
            <v>North Carolina</v>
          </cell>
          <cell r="Q257">
            <v>2014</v>
          </cell>
          <cell r="R257" t="str">
            <v>Ursidae</v>
          </cell>
          <cell r="T257" t="str">
            <v>North Carolina State University, Raleigh, NC, USA</v>
          </cell>
          <cell r="U257" t="str">
            <v>Animal</v>
          </cell>
          <cell r="V257" t="str">
            <v>Bear isolate, NC</v>
          </cell>
          <cell r="X257" t="str">
            <v>ERR10549467</v>
          </cell>
        </row>
        <row r="258">
          <cell r="G258" t="str">
            <v>/home/projects/cge/backup/fastq/food_seqdata/NextSeq_216/FoodQCPipeline_tmp/conc_fqs/DTU_2022_1016849_1_SI_SKB117_R1_001.fq.gz</v>
          </cell>
          <cell r="H258" t="str">
            <v>/home/projects/cge/backup/fastq/food_seqdata/NextSeq_216/FoodQCPipeline_tmp/conc_fqs/DTU_2022_1016849_1_SI_SKB117_R2_001.fq.gz</v>
          </cell>
          <cell r="I258" t="str">
            <v>SKB117</v>
          </cell>
          <cell r="J258" t="str">
            <v>SKB117</v>
          </cell>
          <cell r="K258" t="str">
            <v>Listeria monocytogenes</v>
          </cell>
          <cell r="L258">
            <v>35771</v>
          </cell>
          <cell r="M258">
            <v>-78638</v>
          </cell>
          <cell r="N258" t="str">
            <v>North Carolina</v>
          </cell>
          <cell r="Q258">
            <v>2014</v>
          </cell>
          <cell r="R258" t="str">
            <v>Ursidae</v>
          </cell>
          <cell r="T258" t="str">
            <v>North Carolina State University, Raleigh, NC, USA</v>
          </cell>
          <cell r="U258" t="str">
            <v>Animal</v>
          </cell>
          <cell r="V258" t="str">
            <v>Bear isolate, NC</v>
          </cell>
          <cell r="X258" t="str">
            <v>ERR10549466</v>
          </cell>
        </row>
        <row r="259">
          <cell r="G259" t="str">
            <v>/home/projects/cge/backup/fastq/food_seqdata/NextSeq_216/FoodQCPipeline_tmp/conc_fqs/DTU_2022_1016843_1_SI_SKB134_R1_001.fq.gz</v>
          </cell>
          <cell r="H259" t="str">
            <v>/home/projects/cge/backup/fastq/food_seqdata/NextSeq_216/FoodQCPipeline_tmp/conc_fqs/DTU_2022_1016843_1_SI_SKB134_R2_001.fq.gz</v>
          </cell>
          <cell r="I259" t="str">
            <v>SKB134</v>
          </cell>
          <cell r="J259" t="str">
            <v>SKB134</v>
          </cell>
          <cell r="K259" t="str">
            <v>Listeria monocytogenes</v>
          </cell>
          <cell r="L259">
            <v>35771</v>
          </cell>
          <cell r="M259">
            <v>-78638</v>
          </cell>
          <cell r="N259" t="str">
            <v>North Carolina</v>
          </cell>
          <cell r="Q259">
            <v>2014</v>
          </cell>
          <cell r="R259" t="str">
            <v>Ursidae</v>
          </cell>
          <cell r="T259" t="str">
            <v>North Carolina State University, Raleigh, NC, USA</v>
          </cell>
          <cell r="U259" t="str">
            <v>Animal</v>
          </cell>
          <cell r="V259" t="str">
            <v>Bear isolate, NC</v>
          </cell>
          <cell r="X259" t="str">
            <v>ERR10549490</v>
          </cell>
        </row>
        <row r="260">
          <cell r="G260" t="str">
            <v>/home/projects/cge/backup/fastq/food_seqdata/NextSeq_216/FoodQCPipeline_tmp/conc_fqs/DTU_2022_1016850_1_SI_SKB43_R1_001.fq.gz</v>
          </cell>
          <cell r="H260" t="str">
            <v>/home/projects/cge/backup/fastq/food_seqdata/NextSeq_216/FoodQCPipeline_tmp/conc_fqs/DTU_2022_1016850_1_SI_SKB43_R2_001.fq.gz</v>
          </cell>
          <cell r="I260" t="str">
            <v>SKB43</v>
          </cell>
          <cell r="J260" t="str">
            <v>SKB43</v>
          </cell>
          <cell r="K260" t="str">
            <v>Listeria monocytogenes</v>
          </cell>
          <cell r="L260">
            <v>35771</v>
          </cell>
          <cell r="M260">
            <v>-78638</v>
          </cell>
          <cell r="N260" t="str">
            <v>North Carolina</v>
          </cell>
          <cell r="Q260">
            <v>2014</v>
          </cell>
          <cell r="R260" t="str">
            <v>Ursidae</v>
          </cell>
          <cell r="T260" t="str">
            <v>North Carolina State University, Raleigh, NC, USA</v>
          </cell>
          <cell r="U260" t="str">
            <v>Animal</v>
          </cell>
          <cell r="V260" t="str">
            <v>Bear isolate, NC</v>
          </cell>
          <cell r="X260" t="str">
            <v>ERR10549470</v>
          </cell>
        </row>
        <row r="261">
          <cell r="G261" t="str">
            <v>/home/projects/cge/backup/fastq/food_seqdata/NextSeq_216/FoodQCPipeline_tmp/conc_fqs/DTU_2022_1016851_1_SI_SKB46_R1_001.fq.gz</v>
          </cell>
          <cell r="H261" t="str">
            <v>/home/projects/cge/backup/fastq/food_seqdata/NextSeq_216/FoodQCPipeline_tmp/conc_fqs/DTU_2022_1016851_1_SI_SKB46_R2_001.fq.gz</v>
          </cell>
          <cell r="I261" t="str">
            <v>SKB46</v>
          </cell>
          <cell r="J261" t="str">
            <v>SKB46</v>
          </cell>
          <cell r="K261" t="str">
            <v>Listeria monocytogenes</v>
          </cell>
          <cell r="L261">
            <v>35771</v>
          </cell>
          <cell r="M261">
            <v>-78638</v>
          </cell>
          <cell r="N261" t="str">
            <v>North Carolina</v>
          </cell>
          <cell r="Q261">
            <v>2014</v>
          </cell>
          <cell r="R261" t="str">
            <v>Ursidae</v>
          </cell>
          <cell r="T261" t="str">
            <v>North Carolina State University, Raleigh, NC, USA</v>
          </cell>
          <cell r="U261" t="str">
            <v>Animal</v>
          </cell>
          <cell r="V261" t="str">
            <v>Bear isolate, NC</v>
          </cell>
          <cell r="X261" t="str">
            <v>ERR10549503</v>
          </cell>
        </row>
        <row r="262">
          <cell r="G262" t="str">
            <v>/home/projects/cge/backup/fastq/food_seqdata/NextSeq_216/FoodQCPipeline_tmp/conc_fqs/DTU_2022_1016852_1_SI_SKB58_R1_001.fq.gz</v>
          </cell>
          <cell r="H262" t="str">
            <v>/home/projects/cge/backup/fastq/food_seqdata/NextSeq_216/FoodQCPipeline_tmp/conc_fqs/DTU_2022_1016852_1_SI_SKB58_R2_001.fq.gz</v>
          </cell>
          <cell r="I262" t="str">
            <v>SKB58</v>
          </cell>
          <cell r="J262" t="str">
            <v>SKB58</v>
          </cell>
          <cell r="K262" t="str">
            <v>Listeria monocytogenes</v>
          </cell>
          <cell r="L262">
            <v>35771</v>
          </cell>
          <cell r="M262">
            <v>-78638</v>
          </cell>
          <cell r="N262" t="str">
            <v>North Carolina</v>
          </cell>
          <cell r="Q262">
            <v>2014</v>
          </cell>
          <cell r="R262" t="str">
            <v>Ursidae</v>
          </cell>
          <cell r="T262" t="str">
            <v>North Carolina State University, Raleigh, NC, USA</v>
          </cell>
          <cell r="U262" t="str">
            <v>Animal</v>
          </cell>
          <cell r="V262" t="str">
            <v>Bear isolate, GA</v>
          </cell>
          <cell r="X262" t="str">
            <v>ERR10549536</v>
          </cell>
        </row>
        <row r="263">
          <cell r="G263" t="str">
            <v>/home/projects/cge/backup/fastq/food_seqdata/NextSeq_216/FoodQCPipeline_tmp/conc_fqs/DTU_2022_1016854_1_SI_SKB59_R1_001.fq.gz</v>
          </cell>
          <cell r="H263" t="str">
            <v>/home/projects/cge/backup/fastq/food_seqdata/NextSeq_216/FoodQCPipeline_tmp/conc_fqs/DTU_2022_1016854_1_SI_SKB59_R2_001.fq.gz</v>
          </cell>
          <cell r="I263" t="str">
            <v>SKB59</v>
          </cell>
          <cell r="J263" t="str">
            <v>SKB59</v>
          </cell>
          <cell r="K263" t="str">
            <v>Listeria monocytogenes</v>
          </cell>
          <cell r="L263">
            <v>35771</v>
          </cell>
          <cell r="M263">
            <v>-78638</v>
          </cell>
          <cell r="N263" t="str">
            <v>North Carolina</v>
          </cell>
          <cell r="Q263">
            <v>2014</v>
          </cell>
          <cell r="R263" t="str">
            <v>Ursidae</v>
          </cell>
          <cell r="T263" t="str">
            <v>North Carolina State University, Raleigh, NC, USA</v>
          </cell>
          <cell r="U263" t="str">
            <v>Animal</v>
          </cell>
          <cell r="V263" t="str">
            <v>Bear isolate, NC</v>
          </cell>
          <cell r="X263" t="str">
            <v>ERR10549479</v>
          </cell>
        </row>
        <row r="264">
          <cell r="G264" t="str">
            <v>/home/projects/cge/backup/fastq/food_seqdata/NextSeq_216/FoodQCPipeline_tmp/conc_fqs/DTU_2022_1016853_1_SI_SKB61_R1_001.fq.gz</v>
          </cell>
          <cell r="H264" t="str">
            <v>/home/projects/cge/backup/fastq/food_seqdata/NextSeq_216/FoodQCPipeline_tmp/conc_fqs/DTU_2022_1016853_1_SI_SKB61_R2_001.fq.gz</v>
          </cell>
          <cell r="I264" t="str">
            <v>SKB61</v>
          </cell>
          <cell r="J264" t="str">
            <v>SKB61</v>
          </cell>
          <cell r="K264" t="str">
            <v>Listeria monocytogenes</v>
          </cell>
          <cell r="L264">
            <v>35771</v>
          </cell>
          <cell r="M264">
            <v>-78638</v>
          </cell>
          <cell r="N264" t="str">
            <v>North Carolina</v>
          </cell>
          <cell r="Q264">
            <v>2014</v>
          </cell>
          <cell r="R264" t="str">
            <v>Ursidae</v>
          </cell>
          <cell r="T264" t="str">
            <v>North Carolina State University, Raleigh, NC, USA</v>
          </cell>
          <cell r="U264" t="str">
            <v>Animal</v>
          </cell>
          <cell r="V264" t="str">
            <v>Bear isolate, GA</v>
          </cell>
          <cell r="X264" t="str">
            <v>ERR10549537</v>
          </cell>
        </row>
        <row r="265">
          <cell r="G265" t="str">
            <v>/home/projects/cge/backup/fastq/food_seqdata/NextSeq_216/FoodQCPipeline_tmp/conc_fqs/DTU_2022_1016840_1_SI_3564_R1_001.fq.gz</v>
          </cell>
          <cell r="H265" t="str">
            <v>/home/projects/cge/backup/fastq/food_seqdata/NextSeq_216/FoodQCPipeline_tmp/conc_fqs/DTU_2022_1016840_1_SI_3564_R2_001.fq.gz</v>
          </cell>
          <cell r="I265" t="str">
            <v>SK3564</v>
          </cell>
          <cell r="J265" t="str">
            <v>SK3564</v>
          </cell>
          <cell r="K265" t="str">
            <v>Listeria monocytogenes</v>
          </cell>
          <cell r="L265">
            <v>35771</v>
          </cell>
          <cell r="M265">
            <v>-78638</v>
          </cell>
          <cell r="N265" t="str">
            <v>North Carolina</v>
          </cell>
          <cell r="Q265">
            <v>2016</v>
          </cell>
          <cell r="R265" t="str">
            <v>Canis lupus</v>
          </cell>
          <cell r="T265" t="str">
            <v>North Carolina State University, Raleigh, NC, USA</v>
          </cell>
          <cell r="U265" t="str">
            <v>Animal</v>
          </cell>
          <cell r="V265" t="str">
            <v>Canine pleural fluid, NC, USA</v>
          </cell>
          <cell r="X265" t="str">
            <v>ERR10549485</v>
          </cell>
        </row>
        <row r="266">
          <cell r="G266" t="str">
            <v>/home/projects/cge/backup/fastq/food_seqdata/NextSeq_216/FoodQCPipeline_tmp/conc_fqs/DTU_2022_1016821_1_SI_SKWL305_R1_001.fq.gz</v>
          </cell>
          <cell r="H266" t="str">
            <v>/home/projects/cge/backup/fastq/food_seqdata/NextSeq_216/FoodQCPipeline_tmp/conc_fqs/DTU_2022_1016821_1_SI_SKWL305_R2_001.fq.gz</v>
          </cell>
          <cell r="I266" t="str">
            <v>SKWL305</v>
          </cell>
          <cell r="J266" t="str">
            <v>SKWL305</v>
          </cell>
          <cell r="K266" t="str">
            <v>Listeria monocytogenes</v>
          </cell>
          <cell r="L266">
            <v>35771</v>
          </cell>
          <cell r="M266">
            <v>-78638</v>
          </cell>
          <cell r="N266" t="str">
            <v>North Carolina</v>
          </cell>
          <cell r="Q266">
            <v>2017</v>
          </cell>
          <cell r="T266" t="str">
            <v>North Carolina State University, Raleigh, NC, USA</v>
          </cell>
          <cell r="U266" t="str">
            <v>Natural environment</v>
          </cell>
          <cell r="V266" t="str">
            <v>Rocky Branch Creek</v>
          </cell>
          <cell r="X266" t="str">
            <v>ERR10549550</v>
          </cell>
        </row>
        <row r="267">
          <cell r="G267" t="str">
            <v>/home/projects/cge/backup/fastq/food_seqdata/NextSeq_216/FoodQCPipeline_tmp/conc_fqs/DTU_2022_1016795_1_SI_SKWL316_R1_001.fq.gz</v>
          </cell>
          <cell r="H267" t="str">
            <v>/home/projects/cge/backup/fastq/food_seqdata/NextSeq_216/FoodQCPipeline_tmp/conc_fqs/DTU_2022_1016795_1_SI_SKWL316_R2_001.fq.gz</v>
          </cell>
          <cell r="I267" t="str">
            <v>SKWL316</v>
          </cell>
          <cell r="J267" t="str">
            <v>SKWL316</v>
          </cell>
          <cell r="K267" t="str">
            <v>Listeria monocytogenes</v>
          </cell>
          <cell r="L267">
            <v>35771</v>
          </cell>
          <cell r="M267">
            <v>-78638</v>
          </cell>
          <cell r="N267" t="str">
            <v>North Carolina</v>
          </cell>
          <cell r="Q267">
            <v>2017</v>
          </cell>
          <cell r="T267" t="str">
            <v>North Carolina State University, Raleigh, NC, USA</v>
          </cell>
          <cell r="U267" t="str">
            <v>Natural environment</v>
          </cell>
          <cell r="V267" t="str">
            <v>Rocky Branch Creek</v>
          </cell>
          <cell r="X267" t="str">
            <v>ERR10549544</v>
          </cell>
        </row>
        <row r="268">
          <cell r="G268" t="str">
            <v>/home/projects/cge/backup/fastq/food_seqdata/NextSeq_216/FoodQCPipeline_tmp/conc_fqs/DTU_2022_1016807_1_SI_SKWL356_R1_001.fq.gz</v>
          </cell>
          <cell r="H268" t="str">
            <v>/home/projects/cge/backup/fastq/food_seqdata/NextSeq_216/FoodQCPipeline_tmp/conc_fqs/DTU_2022_1016807_1_SI_SKWL356_R2_001.fq.gz</v>
          </cell>
          <cell r="I268" t="str">
            <v>SKWL356</v>
          </cell>
          <cell r="J268" t="str">
            <v>SKWL356</v>
          </cell>
          <cell r="K268" t="str">
            <v>Listeria monocytogenes</v>
          </cell>
          <cell r="L268">
            <v>35771</v>
          </cell>
          <cell r="M268">
            <v>-78638</v>
          </cell>
          <cell r="N268" t="str">
            <v>North Carolina</v>
          </cell>
          <cell r="Q268">
            <v>2018</v>
          </cell>
          <cell r="T268" t="str">
            <v>North Carolina State University, Raleigh, NC, USA</v>
          </cell>
          <cell r="U268" t="str">
            <v>Natural environment</v>
          </cell>
          <cell r="V268" t="str">
            <v>Rocky Branch Creek</v>
          </cell>
          <cell r="X268" t="str">
            <v>ERR10549545</v>
          </cell>
        </row>
        <row r="269">
          <cell r="G269" t="str">
            <v>/home/projects/cge/backup/fastq/food_seqdata/NextSeq_216/FoodQCPipeline_tmp/conc_fqs/DTU_2022_1016813_1_SI_SKWL383_R1_001.fq.gz</v>
          </cell>
          <cell r="H269" t="str">
            <v>/home/projects/cge/backup/fastq/food_seqdata/NextSeq_216/FoodQCPipeline_tmp/conc_fqs/DTU_2022_1016813_1_SI_SKWL383_R2_001.fq.gz</v>
          </cell>
          <cell r="I269" t="str">
            <v>SKWL383</v>
          </cell>
          <cell r="J269" t="str">
            <v>SKWL383</v>
          </cell>
          <cell r="K269" t="str">
            <v>Listeria monocytogenes</v>
          </cell>
          <cell r="L269">
            <v>35771</v>
          </cell>
          <cell r="M269">
            <v>-78638</v>
          </cell>
          <cell r="N269" t="str">
            <v>North Carolina</v>
          </cell>
          <cell r="Q269">
            <v>2018</v>
          </cell>
          <cell r="T269" t="str">
            <v>North Carolina State University, Raleigh, NC, USA</v>
          </cell>
          <cell r="U269" t="str">
            <v>Natural environment</v>
          </cell>
          <cell r="V269" t="str">
            <v>Rocky Branch Creek</v>
          </cell>
          <cell r="X269" t="str">
            <v>ERR10549541</v>
          </cell>
        </row>
        <row r="270">
          <cell r="G270" t="str">
            <v>/home/projects/cge/backup/fastq/food_seqdata/NextSeq_216/FoodQCPipeline_tmp/conc_fqs/DTU_2022_1016814_1_SI_SKWL385_R1_001.fq.gz</v>
          </cell>
          <cell r="H270" t="str">
            <v>/home/projects/cge/backup/fastq/food_seqdata/NextSeq_216/FoodQCPipeline_tmp/conc_fqs/DTU_2022_1016814_1_SI_SKWL385_R2_001.fq.gz</v>
          </cell>
          <cell r="I270" t="str">
            <v>SKWL385</v>
          </cell>
          <cell r="J270" t="str">
            <v>SKWL385</v>
          </cell>
          <cell r="K270" t="str">
            <v>Listeria monocytogenes</v>
          </cell>
          <cell r="L270">
            <v>35771</v>
          </cell>
          <cell r="M270">
            <v>-78638</v>
          </cell>
          <cell r="N270" t="str">
            <v>North Carolina</v>
          </cell>
          <cell r="Q270">
            <v>2018</v>
          </cell>
          <cell r="T270" t="str">
            <v>North Carolina State University, Raleigh, NC, USA</v>
          </cell>
          <cell r="U270" t="str">
            <v>Natural environment</v>
          </cell>
          <cell r="V270" t="str">
            <v>Rocky Branch Creek</v>
          </cell>
          <cell r="X270" t="str">
            <v>ERR10549548</v>
          </cell>
        </row>
        <row r="271">
          <cell r="G271" t="str">
            <v>/home/projects/cge/backup/fastq/food_seqdata/NextSeq_203/FoodQCPipeline_tmp/conc_fqs/DTU_2022_1015396_2_SI_JC100_R1_001.fq.gz</v>
          </cell>
          <cell r="H271" t="str">
            <v>/home/projects/cge/backup/fastq/food_seqdata/NextSeq_203/FoodQCPipeline_tmp/conc_fqs/DTU_2022_1015396_2_SI_JC100_R2_001.fq.gz</v>
          </cell>
          <cell r="I271" t="str">
            <v>JC100</v>
          </cell>
          <cell r="J271" t="str">
            <v>JC100</v>
          </cell>
          <cell r="K271" t="str">
            <v>Listeria monocytogenes</v>
          </cell>
          <cell r="L271">
            <v>43073051</v>
          </cell>
          <cell r="M271" t="str">
            <v>-89.5</v>
          </cell>
          <cell r="N271" t="str">
            <v>Wisconsin</v>
          </cell>
          <cell r="Q271">
            <v>2019</v>
          </cell>
          <cell r="T271" t="str">
            <v>University of Wisconsin-Madison, Madison, WI, USA</v>
          </cell>
          <cell r="U271" t="str">
            <v>Feed</v>
          </cell>
          <cell r="V271" t="str">
            <v>silage</v>
          </cell>
          <cell r="X271" t="str">
            <v>ERR10549567</v>
          </cell>
        </row>
        <row r="272">
          <cell r="G272" t="str">
            <v>/home/projects/cge/backup/fastq/food_seqdata/NextSeq_209/FoodQCPipeline_tmp/conc_fqs/DTU_2022_1015397_2_SI_JC101_R1_001.fq.gz</v>
          </cell>
          <cell r="H272" t="str">
            <v>/home/projects/cge/backup/fastq/food_seqdata/NextSeq_209/FoodQCPipeline_tmp/conc_fqs/DTU_2022_1015397_2_SI_JC101_R2_001.fq.gz</v>
          </cell>
          <cell r="I272" t="str">
            <v>JC101</v>
          </cell>
          <cell r="J272" t="str">
            <v>JC101</v>
          </cell>
          <cell r="K272" t="str">
            <v>Listeria monocytogenes</v>
          </cell>
          <cell r="L272">
            <v>43073051</v>
          </cell>
          <cell r="M272" t="str">
            <v>-89.5</v>
          </cell>
          <cell r="N272" t="str">
            <v>Wisconsin</v>
          </cell>
          <cell r="Q272">
            <v>2019</v>
          </cell>
          <cell r="T272" t="str">
            <v>University of Wisconsin-Madison, Madison, WI, USA</v>
          </cell>
          <cell r="U272" t="str">
            <v>Farm environment</v>
          </cell>
          <cell r="V272" t="str">
            <v>cow feces</v>
          </cell>
          <cell r="X272" t="str">
            <v>ERR10611988</v>
          </cell>
        </row>
        <row r="273">
          <cell r="G273" t="str">
            <v>/home/projects/cge/backup/fastq/food_seqdata/NextSeq_198/FoodQCPipeline_tmp/conc_fqs/DTU_2022_1015350_1_SI_JC13_R1_001.fq.gz</v>
          </cell>
          <cell r="H273" t="str">
            <v>/home/projects/cge/backup/fastq/food_seqdata/NextSeq_198/FoodQCPipeline_tmp/conc_fqs/DTU_2022_1015350_1_SI_JC13_R2_001.fq.gz</v>
          </cell>
          <cell r="I273" t="str">
            <v>JC13</v>
          </cell>
          <cell r="J273" t="str">
            <v>JC13</v>
          </cell>
          <cell r="K273" t="str">
            <v>Listeria monocytogenes</v>
          </cell>
          <cell r="L273">
            <v>43073051</v>
          </cell>
          <cell r="M273" t="str">
            <v>-89.5</v>
          </cell>
          <cell r="N273" t="str">
            <v>Wisconsin</v>
          </cell>
          <cell r="Q273">
            <v>2019</v>
          </cell>
          <cell r="T273" t="str">
            <v>University of Wisconsin-Madison, Madison, WI, USA</v>
          </cell>
          <cell r="U273" t="str">
            <v>Farm environment</v>
          </cell>
          <cell r="V273" t="str">
            <v>cow feces</v>
          </cell>
          <cell r="X273" t="str">
            <v>ERR10611955</v>
          </cell>
        </row>
        <row r="274">
          <cell r="G274" t="str">
            <v>/home/projects/cge/backup/fastq/food_seqdata/NextSeq_198/FoodQCPipeline_tmp/conc_fqs/DTU_2022_1015351_1_SI_JC14_R1_001.fq.gz</v>
          </cell>
          <cell r="H274" t="str">
            <v>/home/projects/cge/backup/fastq/food_seqdata/NextSeq_198/FoodQCPipeline_tmp/conc_fqs/DTU_2022_1015351_1_SI_JC14_R2_001.fq.gz</v>
          </cell>
          <cell r="I274" t="str">
            <v>JC14</v>
          </cell>
          <cell r="J274" t="str">
            <v>JC14</v>
          </cell>
          <cell r="K274" t="str">
            <v>Listeria monocytogenes</v>
          </cell>
          <cell r="L274">
            <v>43073051</v>
          </cell>
          <cell r="M274" t="str">
            <v>-89.5</v>
          </cell>
          <cell r="N274" t="str">
            <v>Wisconsin</v>
          </cell>
          <cell r="Q274">
            <v>2019</v>
          </cell>
          <cell r="T274" t="str">
            <v>University of Wisconsin-Madison, Madison, WI, USA</v>
          </cell>
          <cell r="U274" t="str">
            <v>Farm environment</v>
          </cell>
          <cell r="V274" t="str">
            <v>cow feces</v>
          </cell>
          <cell r="X274" t="str">
            <v>ERR10611986</v>
          </cell>
        </row>
        <row r="275">
          <cell r="G275" t="str">
            <v>/home/projects/cge/backup/fastq/food_seqdata/NextSeq_198/FoodQCPipeline_tmp/conc_fqs/DTU_2022_1015352_1_SI_JC18_R1_001.fq.gz</v>
          </cell>
          <cell r="H275" t="str">
            <v>/home/projects/cge/backup/fastq/food_seqdata/NextSeq_198/FoodQCPipeline_tmp/conc_fqs/DTU_2022_1015352_1_SI_JC18_R2_001.fq.gz</v>
          </cell>
          <cell r="I275" t="str">
            <v>JC18</v>
          </cell>
          <cell r="J275" t="str">
            <v>JC18</v>
          </cell>
          <cell r="K275" t="str">
            <v>Listeria monocytogenes</v>
          </cell>
          <cell r="L275">
            <v>43073051</v>
          </cell>
          <cell r="M275" t="str">
            <v>-89.5</v>
          </cell>
          <cell r="N275" t="str">
            <v>Wisconsin</v>
          </cell>
          <cell r="Q275">
            <v>2019</v>
          </cell>
          <cell r="T275" t="str">
            <v>University of Wisconsin-Madison, Madison, WI, USA</v>
          </cell>
          <cell r="U275" t="str">
            <v>Farm environment</v>
          </cell>
          <cell r="V275" t="str">
            <v>cow feces</v>
          </cell>
          <cell r="X275" t="str">
            <v>ERR10611956</v>
          </cell>
        </row>
        <row r="276">
          <cell r="G276" t="str">
            <v>/home/projects/cge/backup/fastq/food_seqdata/NextSeq_198/FoodQCPipeline_tmp/conc_fqs/DTU_2022_1015353_1_SI_JC19_R1_001.fq.gz</v>
          </cell>
          <cell r="H276" t="str">
            <v>/home/projects/cge/backup/fastq/food_seqdata/NextSeq_198/FoodQCPipeline_tmp/conc_fqs/DTU_2022_1015353_1_SI_JC19_R2_001.fq.gz</v>
          </cell>
          <cell r="I276" t="str">
            <v>JC19</v>
          </cell>
          <cell r="J276" t="str">
            <v>JC19</v>
          </cell>
          <cell r="K276" t="str">
            <v>Listeria monocytogenes</v>
          </cell>
          <cell r="L276">
            <v>43073051</v>
          </cell>
          <cell r="M276" t="str">
            <v>-89.5</v>
          </cell>
          <cell r="N276" t="str">
            <v>Wisconsin</v>
          </cell>
          <cell r="Q276">
            <v>2019</v>
          </cell>
          <cell r="T276" t="str">
            <v>University of Wisconsin-Madison, Madison, WI, USA</v>
          </cell>
          <cell r="U276" t="str">
            <v>Farm environment</v>
          </cell>
          <cell r="V276" t="str">
            <v>cow feces</v>
          </cell>
          <cell r="X276" t="str">
            <v>ERR10611993</v>
          </cell>
        </row>
        <row r="277">
          <cell r="G277" t="str">
            <v>/home/projects/cge/backup/fastq/food_seqdata/NextSeq_198/FoodQCPipeline_tmp/conc_fqs/DTU_2022_1015354_1_SI_JC20_R1_001.fq.gz</v>
          </cell>
          <cell r="H277" t="str">
            <v>/home/projects/cge/backup/fastq/food_seqdata/NextSeq_198/FoodQCPipeline_tmp/conc_fqs/DTU_2022_1015354_1_SI_JC20_R2_001.fq.gz</v>
          </cell>
          <cell r="I277" t="str">
            <v>JC20</v>
          </cell>
          <cell r="J277" t="str">
            <v>JC20</v>
          </cell>
          <cell r="K277" t="str">
            <v>Listeria monocytogenes</v>
          </cell>
          <cell r="L277">
            <v>43073051</v>
          </cell>
          <cell r="M277" t="str">
            <v>-89.5</v>
          </cell>
          <cell r="N277" t="str">
            <v>Wisconsin</v>
          </cell>
          <cell r="Q277">
            <v>2019</v>
          </cell>
          <cell r="T277" t="str">
            <v>University of Wisconsin-Madison, Madison, WI, USA</v>
          </cell>
          <cell r="U277" t="str">
            <v>Farm environment</v>
          </cell>
          <cell r="V277" t="str">
            <v>cow feces</v>
          </cell>
          <cell r="X277" t="str">
            <v>ERR10611942</v>
          </cell>
        </row>
        <row r="278">
          <cell r="G278" t="str">
            <v>/home/projects/cge/backup/fastq/food_seqdata/NextSeq_198/FoodQCPipeline_tmp/conc_fqs/DTU_2022_1015355_1_SI_JC21_R1_001.fq.gz</v>
          </cell>
          <cell r="H278" t="str">
            <v>/home/projects/cge/backup/fastq/food_seqdata/NextSeq_198/FoodQCPipeline_tmp/conc_fqs/DTU_2022_1015355_1_SI_JC21_R2_001.fq.gz</v>
          </cell>
          <cell r="I278" t="str">
            <v>JC21</v>
          </cell>
          <cell r="J278" t="str">
            <v>JC21</v>
          </cell>
          <cell r="K278" t="str">
            <v>Listeria monocytogenes</v>
          </cell>
          <cell r="L278">
            <v>43073051</v>
          </cell>
          <cell r="M278" t="str">
            <v>-89.5</v>
          </cell>
          <cell r="N278" t="str">
            <v>Wisconsin</v>
          </cell>
          <cell r="Q278">
            <v>2019</v>
          </cell>
          <cell r="T278" t="str">
            <v>University of Wisconsin-Madison, Madison, WI, USA</v>
          </cell>
          <cell r="U278" t="str">
            <v>Farm environment</v>
          </cell>
          <cell r="V278" t="str">
            <v>cow feces</v>
          </cell>
          <cell r="X278" t="str">
            <v>ERR10611957</v>
          </cell>
        </row>
        <row r="279">
          <cell r="G279" t="str">
            <v>/home/projects/cge/backup/fastq/food_seqdata/NextSeq_198/FoodQCPipeline_tmp/conc_fqs/DTU_2022_1015356_2_SI_JC22_R1_001.fq.gz</v>
          </cell>
          <cell r="H279" t="str">
            <v>/home/projects/cge/backup/fastq/food_seqdata/NextSeq_198/FoodQCPipeline_tmp/conc_fqs/DTU_2022_1015356_2_SI_JC22_R2_001.fq.gz</v>
          </cell>
          <cell r="I279" t="str">
            <v>JC22</v>
          </cell>
          <cell r="J279" t="str">
            <v>JC22</v>
          </cell>
          <cell r="K279" t="str">
            <v>Listeria monocytogenes</v>
          </cell>
          <cell r="L279">
            <v>43073051</v>
          </cell>
          <cell r="M279" t="str">
            <v>-89.5</v>
          </cell>
          <cell r="N279" t="str">
            <v>Wisconsin</v>
          </cell>
          <cell r="Q279">
            <v>2019</v>
          </cell>
          <cell r="T279" t="str">
            <v>University of Wisconsin-Madison, Madison, WI, USA</v>
          </cell>
          <cell r="U279" t="str">
            <v>Farm environment</v>
          </cell>
          <cell r="V279" t="str">
            <v>cow feces</v>
          </cell>
          <cell r="X279" t="str">
            <v>ERR10616649</v>
          </cell>
        </row>
        <row r="280">
          <cell r="G280" t="str">
            <v>/home/projects/cge/backup/fastq/food_seqdata/NextSeq_198/FoodQCPipeline_tmp/conc_fqs/DTU_2022_1015357_1_SI_JC27_R1_001.fq.gz</v>
          </cell>
          <cell r="H280" t="str">
            <v>/home/projects/cge/backup/fastq/food_seqdata/NextSeq_198/FoodQCPipeline_tmp/conc_fqs/DTU_2022_1015357_1_SI_JC27_R2_001.fq.gz</v>
          </cell>
          <cell r="I280" t="str">
            <v>JC27</v>
          </cell>
          <cell r="J280" t="str">
            <v>JC27</v>
          </cell>
          <cell r="K280" t="str">
            <v>Listeria monocytogenes</v>
          </cell>
          <cell r="L280">
            <v>43073051</v>
          </cell>
          <cell r="M280" t="str">
            <v>-89.5</v>
          </cell>
          <cell r="N280" t="str">
            <v>Wisconsin</v>
          </cell>
          <cell r="Q280">
            <v>2019</v>
          </cell>
          <cell r="T280" t="str">
            <v>University of Wisconsin-Madison, Madison, WI, USA</v>
          </cell>
          <cell r="U280" t="str">
            <v>Farm environment</v>
          </cell>
          <cell r="V280" t="str">
            <v>cow feces</v>
          </cell>
          <cell r="X280" t="str">
            <v>ERR10611980</v>
          </cell>
        </row>
        <row r="281">
          <cell r="G281" t="str">
            <v>/home/projects/cge/backup/fastq/food_seqdata/NextSeq_198/FoodQCPipeline_tmp/conc_fqs/DTU_2022_1015358_1_SI_JC28_R1_001.fq.gz</v>
          </cell>
          <cell r="H281" t="str">
            <v>/home/projects/cge/backup/fastq/food_seqdata/NextSeq_198/FoodQCPipeline_tmp/conc_fqs/DTU_2022_1015358_1_SI_JC28_R2_001.fq.gz</v>
          </cell>
          <cell r="I281" t="str">
            <v>JC28</v>
          </cell>
          <cell r="J281" t="str">
            <v>JC28</v>
          </cell>
          <cell r="K281" t="str">
            <v>Listeria monocytogenes</v>
          </cell>
          <cell r="L281">
            <v>43073051</v>
          </cell>
          <cell r="M281" t="str">
            <v>-89.5</v>
          </cell>
          <cell r="N281" t="str">
            <v>Wisconsin</v>
          </cell>
          <cell r="Q281">
            <v>2019</v>
          </cell>
          <cell r="T281" t="str">
            <v>University of Wisconsin-Madison, Madison, WI, USA</v>
          </cell>
          <cell r="U281" t="str">
            <v>Farm environment</v>
          </cell>
          <cell r="V281" t="str">
            <v>cow feces</v>
          </cell>
          <cell r="X281" t="str">
            <v>ERR10611945</v>
          </cell>
        </row>
        <row r="282">
          <cell r="G282" t="str">
            <v>/home/projects/cge/backup/fastq/food_seqdata/NextSeq_198/FoodQCPipeline_tmp/conc_fqs/DTU_2022_1015359_1_SI_JC30_R1_001.fq.gz</v>
          </cell>
          <cell r="H282" t="str">
            <v>/home/projects/cge/backup/fastq/food_seqdata/NextSeq_198/FoodQCPipeline_tmp/conc_fqs/DTU_2022_1015359_1_SI_JC30_R2_001.fq.gz</v>
          </cell>
          <cell r="I282" t="str">
            <v>JC30</v>
          </cell>
          <cell r="J282" t="str">
            <v>JC30</v>
          </cell>
          <cell r="K282" t="str">
            <v>Listeria monocytogenes</v>
          </cell>
          <cell r="L282">
            <v>43073051</v>
          </cell>
          <cell r="M282" t="str">
            <v>-89.5</v>
          </cell>
          <cell r="N282" t="str">
            <v>Wisconsin</v>
          </cell>
          <cell r="Q282">
            <v>2019</v>
          </cell>
          <cell r="T282" t="str">
            <v>University of Wisconsin-Madison, Madison, WI, USA</v>
          </cell>
          <cell r="U282" t="str">
            <v>Farm environment</v>
          </cell>
          <cell r="V282" t="str">
            <v>cow feces</v>
          </cell>
          <cell r="X282" t="str">
            <v>ERR10611960</v>
          </cell>
        </row>
        <row r="283">
          <cell r="G283" t="str">
            <v>/home/projects/cge/backup/fastq/food_seqdata/NextSeq_198/FoodQCPipeline_tmp/conc_fqs/DTU_2022_1015360_1_SI_JC33_R1_001.fq.gz</v>
          </cell>
          <cell r="H283" t="str">
            <v>/home/projects/cge/backup/fastq/food_seqdata/NextSeq_198/FoodQCPipeline_tmp/conc_fqs/DTU_2022_1015360_1_SI_JC33_R2_001.fq.gz</v>
          </cell>
          <cell r="I283" t="str">
            <v>JC33</v>
          </cell>
          <cell r="J283" t="str">
            <v>JC33</v>
          </cell>
          <cell r="K283" t="str">
            <v>Listeria monocytogenes</v>
          </cell>
          <cell r="L283">
            <v>43073051</v>
          </cell>
          <cell r="M283" t="str">
            <v>-89.5</v>
          </cell>
          <cell r="N283" t="str">
            <v>Wisconsin</v>
          </cell>
          <cell r="Q283">
            <v>2019</v>
          </cell>
          <cell r="T283" t="str">
            <v>University of Wisconsin-Madison, Madison, WI, USA</v>
          </cell>
          <cell r="U283" t="str">
            <v>Farm environment</v>
          </cell>
          <cell r="V283" t="str">
            <v>cow feces</v>
          </cell>
          <cell r="X283" t="str">
            <v>ERR10611971</v>
          </cell>
        </row>
        <row r="284">
          <cell r="G284" t="str">
            <v>/home/projects/cge/backup/fastq/food_seqdata/NextSeq_198/FoodQCPipeline_tmp/conc_fqs/DTU_2022_1015361_1_SI_JC34_R1_001.fq.gz</v>
          </cell>
          <cell r="H284" t="str">
            <v>/home/projects/cge/backup/fastq/food_seqdata/NextSeq_198/FoodQCPipeline_tmp/conc_fqs/DTU_2022_1015361_1_SI_JC34_R2_001.fq.gz</v>
          </cell>
          <cell r="I284" t="str">
            <v>JC34</v>
          </cell>
          <cell r="J284" t="str">
            <v>JC34</v>
          </cell>
          <cell r="K284" t="str">
            <v>Listeria monocytogenes</v>
          </cell>
          <cell r="L284">
            <v>43073051</v>
          </cell>
          <cell r="M284" t="str">
            <v>-89.5</v>
          </cell>
          <cell r="N284" t="str">
            <v>Wisconsin</v>
          </cell>
          <cell r="Q284">
            <v>2019</v>
          </cell>
          <cell r="T284" t="str">
            <v>University of Wisconsin-Madison, Madison, WI, USA</v>
          </cell>
          <cell r="U284" t="str">
            <v>Farm environment</v>
          </cell>
          <cell r="V284" t="str">
            <v>cow feces</v>
          </cell>
          <cell r="X284" t="str">
            <v>ERR10611977</v>
          </cell>
        </row>
        <row r="285">
          <cell r="G285" t="str">
            <v>/home/projects/cge/backup/fastq/food_seqdata/NextSeq_198/FoodQCPipeline_tmp/conc_fqs/DTU_2022_1015362_1_SI_JC37_R1_001.fq.gz</v>
          </cell>
          <cell r="H285" t="str">
            <v>/home/projects/cge/backup/fastq/food_seqdata/NextSeq_198/FoodQCPipeline_tmp/conc_fqs/DTU_2022_1015362_1_SI_JC37_R2_001.fq.gz</v>
          </cell>
          <cell r="I285" t="str">
            <v>JC37</v>
          </cell>
          <cell r="J285" t="str">
            <v>JC37</v>
          </cell>
          <cell r="K285" t="str">
            <v>Listeria monocytogenes</v>
          </cell>
          <cell r="L285">
            <v>43073051</v>
          </cell>
          <cell r="M285" t="str">
            <v>-89.5</v>
          </cell>
          <cell r="N285" t="str">
            <v>Wisconsin</v>
          </cell>
          <cell r="Q285">
            <v>2019</v>
          </cell>
          <cell r="T285" t="str">
            <v>University of Wisconsin-Madison, Madison, WI, USA</v>
          </cell>
          <cell r="U285" t="str">
            <v>Farm environment</v>
          </cell>
          <cell r="V285" t="str">
            <v>cow feces</v>
          </cell>
          <cell r="X285" t="str">
            <v>ERR10611962</v>
          </cell>
        </row>
        <row r="286">
          <cell r="G286" t="str">
            <v>/home/projects/cge/backup/fastq/food_seqdata/NextSeq_198/FoodQCPipeline_tmp/conc_fqs/DTU_2022_1015363_1_SI_JC38_R1_001.fq.gz</v>
          </cell>
          <cell r="H286" t="str">
            <v>/home/projects/cge/backup/fastq/food_seqdata/NextSeq_198/FoodQCPipeline_tmp/conc_fqs/DTU_2022_1015363_1_SI_JC38_R2_001.fq.gz</v>
          </cell>
          <cell r="I286" t="str">
            <v>JC38</v>
          </cell>
          <cell r="J286" t="str">
            <v>JC38</v>
          </cell>
          <cell r="K286" t="str">
            <v>Listeria monocytogenes</v>
          </cell>
          <cell r="L286">
            <v>43073051</v>
          </cell>
          <cell r="M286" t="str">
            <v>-89.5</v>
          </cell>
          <cell r="N286" t="str">
            <v>Wisconsin</v>
          </cell>
          <cell r="Q286">
            <v>2019</v>
          </cell>
          <cell r="T286" t="str">
            <v>University of Wisconsin-Madison, Madison, WI, USA</v>
          </cell>
          <cell r="U286" t="str">
            <v>Farm environment</v>
          </cell>
          <cell r="V286" t="str">
            <v>cow feces</v>
          </cell>
          <cell r="X286" t="str">
            <v>ERR10611984</v>
          </cell>
        </row>
        <row r="287">
          <cell r="G287" t="str">
            <v>/home/projects/cge/backup/fastq/food_seqdata/NextSeq_198/FoodQCPipeline_tmp/conc_fqs/DTU_2022_1015364_1_SI_JC40_R1_001.fq.gz</v>
          </cell>
          <cell r="H287" t="str">
            <v>/home/projects/cge/backup/fastq/food_seqdata/NextSeq_198/FoodQCPipeline_tmp/conc_fqs/DTU_2022_1015364_1_SI_JC40_R2_001.fq.gz</v>
          </cell>
          <cell r="I287" t="str">
            <v>JC40</v>
          </cell>
          <cell r="J287" t="str">
            <v>JC40</v>
          </cell>
          <cell r="K287" t="str">
            <v>Listeria monocytogenes</v>
          </cell>
          <cell r="L287">
            <v>43073051</v>
          </cell>
          <cell r="M287" t="str">
            <v>-89.5</v>
          </cell>
          <cell r="N287" t="str">
            <v>Wisconsin</v>
          </cell>
          <cell r="Q287">
            <v>2019</v>
          </cell>
          <cell r="T287" t="str">
            <v>University of Wisconsin-Madison, Madison, WI, USA</v>
          </cell>
          <cell r="U287" t="str">
            <v>Farm environment</v>
          </cell>
          <cell r="V287" t="str">
            <v>cow feces</v>
          </cell>
          <cell r="X287" t="str">
            <v>ERR10611963</v>
          </cell>
        </row>
        <row r="288">
          <cell r="G288" t="str">
            <v>/home/projects/cge/backup/fastq/food_seqdata/NextSeq_198/FoodQCPipeline_tmp/conc_fqs/DTU_2022_1015365_1_SI_JC43_R1_001.fq.gz</v>
          </cell>
          <cell r="H288" t="str">
            <v>/home/projects/cge/backup/fastq/food_seqdata/NextSeq_198/FoodQCPipeline_tmp/conc_fqs/DTU_2022_1015365_1_SI_JC43_R2_001.fq.gz</v>
          </cell>
          <cell r="I288" t="str">
            <v>JC43</v>
          </cell>
          <cell r="J288" t="str">
            <v>JC43</v>
          </cell>
          <cell r="K288" t="str">
            <v>Listeria monocytogenes</v>
          </cell>
          <cell r="L288">
            <v>43073051</v>
          </cell>
          <cell r="M288" t="str">
            <v>-89.5</v>
          </cell>
          <cell r="N288" t="str">
            <v>Wisconsin</v>
          </cell>
          <cell r="Q288">
            <v>2019</v>
          </cell>
          <cell r="T288" t="str">
            <v>University of Wisconsin-Madison, Madison, WI, USA</v>
          </cell>
          <cell r="U288" t="str">
            <v>Farm environment</v>
          </cell>
          <cell r="V288" t="str">
            <v>cow feces</v>
          </cell>
          <cell r="X288" t="str">
            <v>ERR10611965</v>
          </cell>
        </row>
        <row r="289">
          <cell r="G289" t="str">
            <v>/home/projects/cge/backup/fastq/food_seqdata/NextSeq_198/FoodQCPipeline_tmp/conc_fqs/DTU_2022_1015367_1_SI_JC49_R1_001.fq.gz</v>
          </cell>
          <cell r="H289" t="str">
            <v>/home/projects/cge/backup/fastq/food_seqdata/NextSeq_198/FoodQCPipeline_tmp/conc_fqs/DTU_2022_1015367_1_SI_JC49_R2_001.fq.gz</v>
          </cell>
          <cell r="I289" t="str">
            <v>JC49</v>
          </cell>
          <cell r="J289" t="str">
            <v>JC49</v>
          </cell>
          <cell r="K289" t="str">
            <v>Listeria monocytogenes</v>
          </cell>
          <cell r="L289">
            <v>43073051</v>
          </cell>
          <cell r="M289" t="str">
            <v>-89.5</v>
          </cell>
          <cell r="N289" t="str">
            <v>Wisconsin</v>
          </cell>
          <cell r="Q289">
            <v>2019</v>
          </cell>
          <cell r="T289" t="str">
            <v>University of Wisconsin-Madison, Madison, WI, USA</v>
          </cell>
          <cell r="U289" t="str">
            <v>Farm environment</v>
          </cell>
          <cell r="V289" t="str">
            <v>cow feces</v>
          </cell>
          <cell r="X289" t="str">
            <v>ERR10611989</v>
          </cell>
        </row>
        <row r="290">
          <cell r="G290" t="str">
            <v>/home/projects/cge/backup/fastq/food_seqdata/NextSeq_198/FoodQCPipeline_tmp/conc_fqs/DTU_2022_1015368_1_SI_JC51_R1_001.fq.gz</v>
          </cell>
          <cell r="H290" t="str">
            <v>/home/projects/cge/backup/fastq/food_seqdata/NextSeq_198/FoodQCPipeline_tmp/conc_fqs/DTU_2022_1015368_1_SI_JC51_R2_001.fq.gz</v>
          </cell>
          <cell r="I290" t="str">
            <v>JC51</v>
          </cell>
          <cell r="J290" t="str">
            <v>JC51</v>
          </cell>
          <cell r="K290" t="str">
            <v>Listeria monocytogenes</v>
          </cell>
          <cell r="L290">
            <v>43073051</v>
          </cell>
          <cell r="M290" t="str">
            <v>-89.5</v>
          </cell>
          <cell r="N290" t="str">
            <v>Wisconsin</v>
          </cell>
          <cell r="Q290">
            <v>2019</v>
          </cell>
          <cell r="T290" t="str">
            <v>University of Wisconsin-Madison, Madison, WI, USA</v>
          </cell>
          <cell r="U290" t="str">
            <v>Farm environment</v>
          </cell>
          <cell r="V290" t="str">
            <v>cow feces</v>
          </cell>
          <cell r="X290" t="str">
            <v>ERR10611966</v>
          </cell>
        </row>
        <row r="291">
          <cell r="G291" t="str">
            <v>/home/projects/cge/backup/fastq/food_seqdata/NextSeq_198/FoodQCPipeline_tmp/conc_fqs/DTU_2022_1015369_1_SI_JC53_R1_001.fq.gz</v>
          </cell>
          <cell r="H291" t="str">
            <v>/home/projects/cge/backup/fastq/food_seqdata/NextSeq_198/FoodQCPipeline_tmp/conc_fqs/DTU_2022_1015369_1_SI_JC53_R2_001.fq.gz</v>
          </cell>
          <cell r="I291" t="str">
            <v>JC53</v>
          </cell>
          <cell r="J291" t="str">
            <v>JC53</v>
          </cell>
          <cell r="K291" t="str">
            <v>Listeria monocytogenes</v>
          </cell>
          <cell r="L291">
            <v>43073051</v>
          </cell>
          <cell r="M291" t="str">
            <v>-89.5</v>
          </cell>
          <cell r="N291" t="str">
            <v>Wisconsin</v>
          </cell>
          <cell r="Q291">
            <v>2019</v>
          </cell>
          <cell r="T291" t="str">
            <v>University of Wisconsin-Madison, Madison, WI, USA</v>
          </cell>
          <cell r="U291" t="str">
            <v>Farm environment</v>
          </cell>
          <cell r="V291" t="str">
            <v>cow feces</v>
          </cell>
          <cell r="X291" t="str">
            <v>ERR10611954</v>
          </cell>
        </row>
        <row r="292">
          <cell r="G292" t="str">
            <v>/home/projects/cge/backup/fastq/food_seqdata/NextSeq_198/FoodQCPipeline_tmp/conc_fqs/DTU_2022_1015371_1_SI_JC65_R1_001.fq.gz</v>
          </cell>
          <cell r="H292" t="str">
            <v>/home/projects/cge/backup/fastq/food_seqdata/NextSeq_198/FoodQCPipeline_tmp/conc_fqs/DTU_2022_1015371_1_SI_JC65_R2_001.fq.gz</v>
          </cell>
          <cell r="I292" t="str">
            <v>JC65</v>
          </cell>
          <cell r="J292" t="str">
            <v>JC65</v>
          </cell>
          <cell r="K292" t="str">
            <v>Listeria monocytogenes</v>
          </cell>
          <cell r="L292">
            <v>43073051</v>
          </cell>
          <cell r="M292" t="str">
            <v>-89.5</v>
          </cell>
          <cell r="N292" t="str">
            <v>Wisconsin</v>
          </cell>
          <cell r="Q292">
            <v>2019</v>
          </cell>
          <cell r="T292" t="str">
            <v>University of Wisconsin-Madison, Madison, WI, USA</v>
          </cell>
          <cell r="U292" t="str">
            <v>Farm environment</v>
          </cell>
          <cell r="V292" t="str">
            <v>cow feces</v>
          </cell>
          <cell r="X292" t="str">
            <v>ERR10611953</v>
          </cell>
        </row>
        <row r="293">
          <cell r="G293" t="str">
            <v>/home/projects/cge/backup/fastq/food_seqdata/NextSeq_198/FoodQCPipeline_tmp/conc_fqs/DTU_2022_1015372_2_SI_JC66_R1_001.fq.gz</v>
          </cell>
          <cell r="H293" t="str">
            <v>/home/projects/cge/backup/fastq/food_seqdata/NextSeq_198/FoodQCPipeline_tmp/conc_fqs/DTU_2022_1015372_2_SI_JC66_R2_001.fq.gz</v>
          </cell>
          <cell r="I293" t="str">
            <v>JC66</v>
          </cell>
          <cell r="J293" t="str">
            <v>JC66</v>
          </cell>
          <cell r="K293" t="str">
            <v>Listeria monocytogenes</v>
          </cell>
          <cell r="L293">
            <v>43073051</v>
          </cell>
          <cell r="M293" t="str">
            <v>-89.5</v>
          </cell>
          <cell r="N293" t="str">
            <v>Wisconsin</v>
          </cell>
          <cell r="Q293">
            <v>2019</v>
          </cell>
          <cell r="T293" t="str">
            <v>University of Wisconsin-Madison, Madison, WI, USA</v>
          </cell>
          <cell r="U293" t="str">
            <v>Farm environment</v>
          </cell>
          <cell r="V293" t="str">
            <v>cow feces</v>
          </cell>
          <cell r="X293" t="str">
            <v>ERR10617900</v>
          </cell>
        </row>
        <row r="294">
          <cell r="G294" t="str">
            <v>/home/projects/cge/backup/fastq/food_seqdata/NextSeq_198/FoodQCPipeline_tmp/conc_fqs/DTU_2022_1015373_1_SI_JC68_R1_001.fq.gz</v>
          </cell>
          <cell r="H294" t="str">
            <v>/home/projects/cge/backup/fastq/food_seqdata/NextSeq_198/FoodQCPipeline_tmp/conc_fqs/DTU_2022_1015373_1_SI_JC68_R2_001.fq.gz</v>
          </cell>
          <cell r="I294" t="str">
            <v>JC68</v>
          </cell>
          <cell r="J294" t="str">
            <v>JC68</v>
          </cell>
          <cell r="K294" t="str">
            <v>Listeria monocytogenes</v>
          </cell>
          <cell r="L294">
            <v>43073051</v>
          </cell>
          <cell r="M294" t="str">
            <v>-89.5</v>
          </cell>
          <cell r="N294" t="str">
            <v>Wisconsin</v>
          </cell>
          <cell r="Q294">
            <v>2019</v>
          </cell>
          <cell r="T294" t="str">
            <v>University of Wisconsin-Madison, Madison, WI, USA</v>
          </cell>
          <cell r="U294" t="str">
            <v>Farm environment</v>
          </cell>
          <cell r="V294" t="str">
            <v>cow feces</v>
          </cell>
          <cell r="X294" t="str">
            <v>ERR10612010</v>
          </cell>
        </row>
        <row r="295">
          <cell r="G295" t="str">
            <v>/home/projects/cge/backup/fastq/food_seqdata/NextSeq_198/FoodQCPipeline_tmp/conc_fqs/DTU_2022_1015374_1_SI_JC69_R1_001.fq.gz</v>
          </cell>
          <cell r="H295" t="str">
            <v>/home/projects/cge/backup/fastq/food_seqdata/NextSeq_198/FoodQCPipeline_tmp/conc_fqs/DTU_2022_1015374_1_SI_JC69_R2_001.fq.gz</v>
          </cell>
          <cell r="I295" t="str">
            <v>JC69</v>
          </cell>
          <cell r="J295" t="str">
            <v>JC69</v>
          </cell>
          <cell r="K295" t="str">
            <v>Listeria monocytogenes</v>
          </cell>
          <cell r="L295">
            <v>43073051</v>
          </cell>
          <cell r="M295" t="str">
            <v>-89.5</v>
          </cell>
          <cell r="N295" t="str">
            <v>Wisconsin</v>
          </cell>
          <cell r="Q295">
            <v>2019</v>
          </cell>
          <cell r="T295" t="str">
            <v>University of Wisconsin-Madison, Madison, WI, USA</v>
          </cell>
          <cell r="U295" t="str">
            <v>Farm environment</v>
          </cell>
          <cell r="V295" t="str">
            <v>cow feces</v>
          </cell>
          <cell r="X295" t="str">
            <v>ERR10611985</v>
          </cell>
        </row>
        <row r="296">
          <cell r="G296" t="str">
            <v>/home/projects/cge/backup/fastq/food_seqdata/NextSeq_198/FoodQCPipeline_tmp/conc_fqs/DTU_2022_1015375_1_SI_JC70_R1_001.fq.gz</v>
          </cell>
          <cell r="H296" t="str">
            <v>/home/projects/cge/backup/fastq/food_seqdata/NextSeq_198/FoodQCPipeline_tmp/conc_fqs/DTU_2022_1015375_1_SI_JC70_R2_001.fq.gz</v>
          </cell>
          <cell r="I296" t="str">
            <v>JC70</v>
          </cell>
          <cell r="J296" t="str">
            <v>JC70</v>
          </cell>
          <cell r="K296" t="str">
            <v>Listeria monocytogenes</v>
          </cell>
          <cell r="L296">
            <v>43073051</v>
          </cell>
          <cell r="M296" t="str">
            <v>-89.5</v>
          </cell>
          <cell r="N296" t="str">
            <v>Wisconsin</v>
          </cell>
          <cell r="Q296">
            <v>2019</v>
          </cell>
          <cell r="T296" t="str">
            <v>University of Wisconsin-Madison, Madison, WI, USA</v>
          </cell>
          <cell r="U296" t="str">
            <v>Farm environment</v>
          </cell>
          <cell r="V296" t="str">
            <v>cow feces</v>
          </cell>
          <cell r="X296" t="str">
            <v>ERR10611978</v>
          </cell>
        </row>
        <row r="297">
          <cell r="G297" t="str">
            <v>/home/projects/cge/backup/fastq/food_seqdata/NextSeq_198/FoodQCPipeline_tmp/conc_fqs/DTU_2022_1015376_1_SI_JC71_R1_001.fq.gz</v>
          </cell>
          <cell r="H297" t="str">
            <v>/home/projects/cge/backup/fastq/food_seqdata/NextSeq_198/FoodQCPipeline_tmp/conc_fqs/DTU_2022_1015376_1_SI_JC71_R2_001.fq.gz</v>
          </cell>
          <cell r="I297" t="str">
            <v>JC71</v>
          </cell>
          <cell r="J297" t="str">
            <v>JC71</v>
          </cell>
          <cell r="K297" t="str">
            <v>Listeria monocytogenes</v>
          </cell>
          <cell r="L297">
            <v>43073051</v>
          </cell>
          <cell r="M297" t="str">
            <v>-89.5</v>
          </cell>
          <cell r="N297" t="str">
            <v>Wisconsin</v>
          </cell>
          <cell r="Q297">
            <v>2019</v>
          </cell>
          <cell r="T297" t="str">
            <v>University of Wisconsin-Madison, Madison, WI, USA</v>
          </cell>
          <cell r="U297" t="str">
            <v>Farm environment</v>
          </cell>
          <cell r="V297" t="str">
            <v>cow feces</v>
          </cell>
          <cell r="X297" t="str">
            <v>ERR10611999</v>
          </cell>
        </row>
        <row r="298">
          <cell r="G298" t="str">
            <v>/home/projects/cge/backup/fastq/food_seqdata/NextSeq_198/FoodQCPipeline_tmp/conc_fqs/DTU_2022_1015377_1_SI_JC74_R1_001.fq.gz</v>
          </cell>
          <cell r="H298" t="str">
            <v>/home/projects/cge/backup/fastq/food_seqdata/NextSeq_198/FoodQCPipeline_tmp/conc_fqs/DTU_2022_1015377_1_SI_JC74_R2_001.fq.gz</v>
          </cell>
          <cell r="I298" t="str">
            <v>JC74</v>
          </cell>
          <cell r="J298" t="str">
            <v>JC74</v>
          </cell>
          <cell r="K298" t="str">
            <v>Listeria monocytogenes</v>
          </cell>
          <cell r="L298">
            <v>43073051</v>
          </cell>
          <cell r="M298" t="str">
            <v>-89.5</v>
          </cell>
          <cell r="N298" t="str">
            <v>Wisconsin</v>
          </cell>
          <cell r="Q298">
            <v>2019</v>
          </cell>
          <cell r="T298" t="str">
            <v>University of Wisconsin-Madison, Madison, WI, USA</v>
          </cell>
          <cell r="U298" t="str">
            <v>Farm environment</v>
          </cell>
          <cell r="V298" t="str">
            <v>cow feces</v>
          </cell>
          <cell r="X298" t="str">
            <v>ERR10611976</v>
          </cell>
        </row>
        <row r="299">
          <cell r="G299" t="str">
            <v>/home/projects/cge/backup/fastq/food_seqdata/NextSeq_198/FoodQCPipeline_tmp/conc_fqs/DTU_2022_1015378_1_SI_JC75_R1_001.fq.gz</v>
          </cell>
          <cell r="H299" t="str">
            <v>/home/projects/cge/backup/fastq/food_seqdata/NextSeq_198/FoodQCPipeline_tmp/conc_fqs/DTU_2022_1015378_1_SI_JC75_R2_001.fq.gz</v>
          </cell>
          <cell r="I299" t="str">
            <v>JC75</v>
          </cell>
          <cell r="J299" t="str">
            <v>JC75</v>
          </cell>
          <cell r="K299" t="str">
            <v>Listeria monocytogenes</v>
          </cell>
          <cell r="L299">
            <v>43073051</v>
          </cell>
          <cell r="M299" t="str">
            <v>-89.5</v>
          </cell>
          <cell r="N299" t="str">
            <v>Wisconsin</v>
          </cell>
          <cell r="Q299">
            <v>2019</v>
          </cell>
          <cell r="T299" t="str">
            <v>University of Wisconsin-Madison, Madison, WI, USA</v>
          </cell>
          <cell r="U299" t="str">
            <v>Farm environment</v>
          </cell>
          <cell r="V299" t="str">
            <v>cow feces</v>
          </cell>
          <cell r="X299" t="str">
            <v>ERR10549538</v>
          </cell>
        </row>
        <row r="300">
          <cell r="G300" t="str">
            <v>/home/projects/cge/backup/fastq/food_seqdata/NextSeq_203/FoodQCPipeline_tmp/conc_fqs/DTU_2022_1015379_2_SI_JC76_R1_001.fq.gz</v>
          </cell>
          <cell r="H300" t="str">
            <v>/home/projects/cge/backup/fastq/food_seqdata/NextSeq_203/FoodQCPipeline_tmp/conc_fqs/DTU_2022_1015379_2_SI_JC76_R2_001.fq.gz</v>
          </cell>
          <cell r="I300" t="str">
            <v>JC76</v>
          </cell>
          <cell r="J300" t="str">
            <v>JC76</v>
          </cell>
          <cell r="K300" t="str">
            <v>Listeria monocytogenes</v>
          </cell>
          <cell r="L300">
            <v>43073051</v>
          </cell>
          <cell r="M300" t="str">
            <v>-89.5</v>
          </cell>
          <cell r="N300" t="str">
            <v>Wisconsin</v>
          </cell>
          <cell r="Q300">
            <v>2019</v>
          </cell>
          <cell r="T300" t="str">
            <v>University of Wisconsin-Madison, Madison, WI, USA</v>
          </cell>
          <cell r="U300" t="str">
            <v>Farm environment</v>
          </cell>
          <cell r="V300" t="str">
            <v>cow feces</v>
          </cell>
          <cell r="X300" t="str">
            <v>ERR10549546</v>
          </cell>
        </row>
        <row r="301">
          <cell r="G301" t="str">
            <v>/home/projects/cge/backup/fastq/food_seqdata/NextSeq_203/FoodQCPipeline_tmp/conc_fqs/DTU_2022_1015380_2_SI_JC77_R1_001.fq.gz</v>
          </cell>
          <cell r="H301" t="str">
            <v>/home/projects/cge/backup/fastq/food_seqdata/NextSeq_203/FoodQCPipeline_tmp/conc_fqs/DTU_2022_1015380_2_SI_JC77_R2_001.fq.gz</v>
          </cell>
          <cell r="I301" t="str">
            <v>JC77</v>
          </cell>
          <cell r="J301" t="str">
            <v>JC77</v>
          </cell>
          <cell r="K301" t="str">
            <v>Listeria monocytogenes</v>
          </cell>
          <cell r="L301">
            <v>43073051</v>
          </cell>
          <cell r="M301" t="str">
            <v>-89.5</v>
          </cell>
          <cell r="N301" t="str">
            <v>Wisconsin</v>
          </cell>
          <cell r="Q301">
            <v>2019</v>
          </cell>
          <cell r="T301" t="str">
            <v>University of Wisconsin-Madison, Madison, WI, USA</v>
          </cell>
          <cell r="U301" t="str">
            <v>Farm environment</v>
          </cell>
          <cell r="V301" t="str">
            <v>cow feces</v>
          </cell>
          <cell r="X301" t="str">
            <v>ERR10549499</v>
          </cell>
        </row>
        <row r="302">
          <cell r="G302" t="str">
            <v>/home/projects/cge/backup/fastq/food_seqdata/NextSeq_203/FoodQCPipeline_tmp/conc_fqs/DTU_2022_1015381_2_SI_JC78_R1_001.fq.gz</v>
          </cell>
          <cell r="H302" t="str">
            <v>/home/projects/cge/backup/fastq/food_seqdata/NextSeq_203/FoodQCPipeline_tmp/conc_fqs/DTU_2022_1015381_2_SI_JC78_R2_001.fq.gz</v>
          </cell>
          <cell r="I302" t="str">
            <v>JC78</v>
          </cell>
          <cell r="J302" t="str">
            <v>JC78</v>
          </cell>
          <cell r="K302" t="str">
            <v>Listeria monocytogenes</v>
          </cell>
          <cell r="L302">
            <v>43073051</v>
          </cell>
          <cell r="M302" t="str">
            <v>-89.5</v>
          </cell>
          <cell r="N302" t="str">
            <v>Wisconsin</v>
          </cell>
          <cell r="Q302">
            <v>2019</v>
          </cell>
          <cell r="T302" t="str">
            <v>University of Wisconsin-Madison, Madison, WI, USA</v>
          </cell>
          <cell r="U302" t="str">
            <v>Farm environment</v>
          </cell>
          <cell r="V302" t="str">
            <v>cow feces</v>
          </cell>
          <cell r="X302" t="str">
            <v>ERR10549561</v>
          </cell>
        </row>
        <row r="303">
          <cell r="G303" t="str">
            <v>/home/projects/cge/backup/fastq/food_seqdata/NextSeq_203/FoodQCPipeline_tmp/conc_fqs/DTU_2022_1015382_2_SI_JC79_R1_001.fq.gz</v>
          </cell>
          <cell r="H303" t="str">
            <v>/home/projects/cge/backup/fastq/food_seqdata/NextSeq_203/FoodQCPipeline_tmp/conc_fqs/DTU_2022_1015382_2_SI_JC79_R2_001.fq.gz</v>
          </cell>
          <cell r="I303" t="str">
            <v>JC79</v>
          </cell>
          <cell r="J303" t="str">
            <v>JC79</v>
          </cell>
          <cell r="K303" t="str">
            <v>Listeria monocytogenes</v>
          </cell>
          <cell r="L303">
            <v>43073051</v>
          </cell>
          <cell r="M303" t="str">
            <v>-89.5</v>
          </cell>
          <cell r="N303" t="str">
            <v>Wisconsin</v>
          </cell>
          <cell r="Q303">
            <v>2019</v>
          </cell>
          <cell r="T303" t="str">
            <v>University of Wisconsin-Madison, Madison, WI, USA</v>
          </cell>
          <cell r="U303" t="str">
            <v>Farm environment</v>
          </cell>
          <cell r="V303" t="str">
            <v>cow feces</v>
          </cell>
          <cell r="X303" t="str">
            <v>ERR10549570</v>
          </cell>
        </row>
        <row r="304">
          <cell r="G304" t="str">
            <v>/home/projects/cge/backup/fastq/food_seqdata/NextSeq_203/FoodQCPipeline_tmp/conc_fqs/DTU_2022_1015383_2_SI_JC80_R1_001.fq.gz</v>
          </cell>
          <cell r="H304" t="str">
            <v>/home/projects/cge/backup/fastq/food_seqdata/NextSeq_203/FoodQCPipeline_tmp/conc_fqs/DTU_2022_1015383_2_SI_JC80_R2_001.fq.gz</v>
          </cell>
          <cell r="I304" t="str">
            <v>JC80</v>
          </cell>
          <cell r="J304" t="str">
            <v>JC80</v>
          </cell>
          <cell r="K304" t="str">
            <v>Listeria monocytogenes</v>
          </cell>
          <cell r="L304">
            <v>43073051</v>
          </cell>
          <cell r="M304" t="str">
            <v>-89.5</v>
          </cell>
          <cell r="N304" t="str">
            <v>Wisconsin</v>
          </cell>
          <cell r="Q304">
            <v>2019</v>
          </cell>
          <cell r="T304" t="str">
            <v>University of Wisconsin-Madison, Madison, WI, USA</v>
          </cell>
          <cell r="U304" t="str">
            <v>Farm environment</v>
          </cell>
          <cell r="V304" t="str">
            <v>cow feces</v>
          </cell>
          <cell r="X304" t="str">
            <v>ERR10549573</v>
          </cell>
        </row>
        <row r="305">
          <cell r="G305" t="str">
            <v>/home/projects/cge/backup/fastq/food_seqdata/NextSeq_203/FoodQCPipeline_tmp/conc_fqs/DTU_2022_1015384_2_SI_JC81_R1_001.fq.gz</v>
          </cell>
          <cell r="H305" t="str">
            <v>/home/projects/cge/backup/fastq/food_seqdata/NextSeq_203/FoodQCPipeline_tmp/conc_fqs/DTU_2022_1015384_2_SI_JC81_R2_001.fq.gz</v>
          </cell>
          <cell r="I305" t="str">
            <v>JC81</v>
          </cell>
          <cell r="J305" t="str">
            <v>JC81</v>
          </cell>
          <cell r="K305" t="str">
            <v>Listeria monocytogenes</v>
          </cell>
          <cell r="L305">
            <v>43073051</v>
          </cell>
          <cell r="M305" t="str">
            <v>-89.5</v>
          </cell>
          <cell r="N305" t="str">
            <v>Wisconsin</v>
          </cell>
          <cell r="Q305">
            <v>2019</v>
          </cell>
          <cell r="T305" t="str">
            <v>University of Wisconsin-Madison, Madison, WI, USA</v>
          </cell>
          <cell r="U305" t="str">
            <v>Farm environment</v>
          </cell>
          <cell r="V305" t="str">
            <v>cow feces</v>
          </cell>
          <cell r="X305" t="str">
            <v>ERR10549563</v>
          </cell>
        </row>
        <row r="306">
          <cell r="G306" t="str">
            <v>/home/projects/cge/backup/fastq/food_seqdata/NextSeq_203/FoodQCPipeline_tmp/conc_fqs/DTU_2022_1015385_2_SI_JC82_R1_001.fq.gz</v>
          </cell>
          <cell r="H306" t="str">
            <v>/home/projects/cge/backup/fastq/food_seqdata/NextSeq_203/FoodQCPipeline_tmp/conc_fqs/DTU_2022_1015385_2_SI_JC82_R2_001.fq.gz</v>
          </cell>
          <cell r="I306" t="str">
            <v>JC82</v>
          </cell>
          <cell r="J306" t="str">
            <v>JC82</v>
          </cell>
          <cell r="K306" t="str">
            <v>Listeria monocytogenes</v>
          </cell>
          <cell r="L306">
            <v>43073051</v>
          </cell>
          <cell r="M306" t="str">
            <v>-89.5</v>
          </cell>
          <cell r="N306" t="str">
            <v>Wisconsin</v>
          </cell>
          <cell r="Q306">
            <v>2019</v>
          </cell>
          <cell r="T306" t="str">
            <v>University of Wisconsin-Madison, Madison, WI, USA</v>
          </cell>
          <cell r="U306" t="str">
            <v>Farm environment</v>
          </cell>
          <cell r="V306" t="str">
            <v>cow feces</v>
          </cell>
          <cell r="X306" t="str">
            <v>ERR10549551</v>
          </cell>
        </row>
        <row r="307">
          <cell r="G307" t="str">
            <v>/home/projects/cge/backup/fastq/food_seqdata/NextSeq_203/FoodQCPipeline_tmp/conc_fqs/DTU_2022_1015386_2_SI_JC83_R1_001.fq.gz</v>
          </cell>
          <cell r="H307" t="str">
            <v>/home/projects/cge/backup/fastq/food_seqdata/NextSeq_203/FoodQCPipeline_tmp/conc_fqs/DTU_2022_1015386_2_SI_JC83_R2_001.fq.gz</v>
          </cell>
          <cell r="I307" t="str">
            <v>JC83</v>
          </cell>
          <cell r="J307" t="str">
            <v>JC83</v>
          </cell>
          <cell r="K307" t="str">
            <v>Listeria monocytogenes</v>
          </cell>
          <cell r="L307">
            <v>43073051</v>
          </cell>
          <cell r="M307" t="str">
            <v>-89.5</v>
          </cell>
          <cell r="N307" t="str">
            <v>Wisconsin</v>
          </cell>
          <cell r="Q307">
            <v>2019</v>
          </cell>
          <cell r="T307" t="str">
            <v>University of Wisconsin-Madison, Madison, WI, USA</v>
          </cell>
          <cell r="U307" t="str">
            <v>Farm environment</v>
          </cell>
          <cell r="V307" t="str">
            <v>cow feces</v>
          </cell>
          <cell r="X307" t="str">
            <v>ERR10549498</v>
          </cell>
        </row>
        <row r="308">
          <cell r="G308" t="str">
            <v>/home/projects/cge/backup/fastq/food_seqdata/NextSeq_203/FoodQCPipeline_tmp/conc_fqs/DTU_2022_1015387_2_SI_JC84_R1_001.fq.gz</v>
          </cell>
          <cell r="H308" t="str">
            <v>/home/projects/cge/backup/fastq/food_seqdata/NextSeq_203/FoodQCPipeline_tmp/conc_fqs/DTU_2022_1015387_2_SI_JC84_R2_001.fq.gz</v>
          </cell>
          <cell r="I308" t="str">
            <v>JC84</v>
          </cell>
          <cell r="J308" t="str">
            <v>JC84</v>
          </cell>
          <cell r="K308" t="str">
            <v>Listeria monocytogenes</v>
          </cell>
          <cell r="L308">
            <v>43073051</v>
          </cell>
          <cell r="M308" t="str">
            <v>-89.5</v>
          </cell>
          <cell r="N308" t="str">
            <v>Wisconsin</v>
          </cell>
          <cell r="Q308">
            <v>2019</v>
          </cell>
          <cell r="T308" t="str">
            <v>University of Wisconsin-Madison, Madison, WI, USA</v>
          </cell>
          <cell r="U308" t="str">
            <v>Farm environment</v>
          </cell>
          <cell r="V308" t="str">
            <v>cow feces</v>
          </cell>
          <cell r="X308" t="str">
            <v>ERR10549566</v>
          </cell>
        </row>
        <row r="309">
          <cell r="G309" t="str">
            <v>/home/projects/cge/backup/fastq/food_seqdata/NextSeq_203/FoodQCPipeline_tmp/conc_fqs/DTU_2022_1015388_2_SI_JC85_R1_001.fq.gz</v>
          </cell>
          <cell r="H309" t="str">
            <v>/home/projects/cge/backup/fastq/food_seqdata/NextSeq_203/FoodQCPipeline_tmp/conc_fqs/DTU_2022_1015388_2_SI_JC85_R2_001.fq.gz</v>
          </cell>
          <cell r="I309" t="str">
            <v>JC85</v>
          </cell>
          <cell r="J309" t="str">
            <v>JC85</v>
          </cell>
          <cell r="K309" t="str">
            <v>Listeria monocytogenes</v>
          </cell>
          <cell r="L309">
            <v>43073051</v>
          </cell>
          <cell r="M309" t="str">
            <v>-89.5</v>
          </cell>
          <cell r="N309" t="str">
            <v>Wisconsin</v>
          </cell>
          <cell r="Q309">
            <v>2019</v>
          </cell>
          <cell r="T309" t="str">
            <v>University of Wisconsin-Madison, Madison, WI, USA</v>
          </cell>
          <cell r="U309" t="str">
            <v>Farm environment</v>
          </cell>
          <cell r="V309" t="str">
            <v>cow feces</v>
          </cell>
          <cell r="X309" t="str">
            <v>ERR10549497</v>
          </cell>
        </row>
        <row r="310">
          <cell r="G310" t="str">
            <v>/home/projects/cge/backup/fastq/food_seqdata/NextSeq_203/FoodQCPipeline_tmp/conc_fqs/DTU_2022_1015389_2_SI_JC86_R1_001.fq.gz</v>
          </cell>
          <cell r="H310" t="str">
            <v>/home/projects/cge/backup/fastq/food_seqdata/NextSeq_203/FoodQCPipeline_tmp/conc_fqs/DTU_2022_1015389_2_SI_JC86_R2_001.fq.gz</v>
          </cell>
          <cell r="I310" t="str">
            <v>JC86</v>
          </cell>
          <cell r="J310" t="str">
            <v>JC86</v>
          </cell>
          <cell r="K310" t="str">
            <v>Listeria monocytogenes</v>
          </cell>
          <cell r="L310">
            <v>43073051</v>
          </cell>
          <cell r="M310" t="str">
            <v>-89.5</v>
          </cell>
          <cell r="N310" t="str">
            <v>Wisconsin</v>
          </cell>
          <cell r="Q310">
            <v>2019</v>
          </cell>
          <cell r="T310" t="str">
            <v>University of Wisconsin-Madison, Madison, WI, USA</v>
          </cell>
          <cell r="U310" t="str">
            <v>Feed</v>
          </cell>
          <cell r="V310" t="str">
            <v>silage</v>
          </cell>
          <cell r="X310" t="str">
            <v>ERR10549495</v>
          </cell>
        </row>
        <row r="311">
          <cell r="G311" t="str">
            <v>/home/projects/cge/backup/fastq/food_seqdata/NextSeq_203/FoodQCPipeline_tmp/conc_fqs/DTU_2022_1015390_2_SI_JC87_R1_001.fq.gz</v>
          </cell>
          <cell r="H311" t="str">
            <v>/home/projects/cge/backup/fastq/food_seqdata/NextSeq_203/FoodQCPipeline_tmp/conc_fqs/DTU_2022_1015390_2_SI_JC87_R2_001.fq.gz</v>
          </cell>
          <cell r="I311" t="str">
            <v>JC87</v>
          </cell>
          <cell r="J311" t="str">
            <v>JC87</v>
          </cell>
          <cell r="K311" t="str">
            <v>Listeria monocytogenes</v>
          </cell>
          <cell r="L311">
            <v>43073051</v>
          </cell>
          <cell r="M311" t="str">
            <v>-89.5</v>
          </cell>
          <cell r="N311" t="str">
            <v>Wisconsin</v>
          </cell>
          <cell r="Q311">
            <v>2019</v>
          </cell>
          <cell r="T311" t="str">
            <v>University of Wisconsin-Madison, Madison, WI, USA</v>
          </cell>
          <cell r="U311" t="str">
            <v>Feed</v>
          </cell>
          <cell r="V311" t="str">
            <v>silage</v>
          </cell>
          <cell r="X311" t="str">
            <v>ERR10549553</v>
          </cell>
        </row>
        <row r="312">
          <cell r="G312" t="str">
            <v>/home/projects/cge/backup/fastq/food_seqdata/NextSeq_203/FoodQCPipeline_tmp/conc_fqs/DTU_2022_1015391_2_SI_JC95_R1_001.fq.gz</v>
          </cell>
          <cell r="H312" t="str">
            <v>/home/projects/cge/backup/fastq/food_seqdata/NextSeq_203/FoodQCPipeline_tmp/conc_fqs/DTU_2022_1015391_2_SI_JC95_R2_001.fq.gz</v>
          </cell>
          <cell r="I312" t="str">
            <v>JC95</v>
          </cell>
          <cell r="J312" t="str">
            <v>JC95</v>
          </cell>
          <cell r="K312" t="str">
            <v>Listeria monocytogenes</v>
          </cell>
          <cell r="L312">
            <v>43073051</v>
          </cell>
          <cell r="M312" t="str">
            <v>-89.5</v>
          </cell>
          <cell r="N312" t="str">
            <v>Wisconsin</v>
          </cell>
          <cell r="Q312">
            <v>2019</v>
          </cell>
          <cell r="T312" t="str">
            <v>University of Wisconsin-Madison, Madison, WI, USA</v>
          </cell>
          <cell r="U312" t="str">
            <v>Farm environment</v>
          </cell>
          <cell r="V312" t="str">
            <v>cow feces</v>
          </cell>
          <cell r="X312" t="str">
            <v>ERR10549556</v>
          </cell>
        </row>
        <row r="313">
          <cell r="G313" t="str">
            <v>/home/projects/cge/backup/fastq/food_seqdata/NextSeq_203/FoodQCPipeline_tmp/conc_fqs/DTU_2022_1015392_2_SI_JC96_R1_001.fq.gz</v>
          </cell>
          <cell r="H313" t="str">
            <v>/home/projects/cge/backup/fastq/food_seqdata/NextSeq_203/FoodQCPipeline_tmp/conc_fqs/DTU_2022_1015392_2_SI_JC96_R2_001.fq.gz</v>
          </cell>
          <cell r="I313" t="str">
            <v>JC96</v>
          </cell>
          <cell r="J313" t="str">
            <v>JC96</v>
          </cell>
          <cell r="K313" t="str">
            <v>Listeria monocytogenes</v>
          </cell>
          <cell r="L313">
            <v>43073051</v>
          </cell>
          <cell r="M313" t="str">
            <v>-89.5</v>
          </cell>
          <cell r="N313" t="str">
            <v>Wisconsin</v>
          </cell>
          <cell r="Q313">
            <v>2019</v>
          </cell>
          <cell r="T313" t="str">
            <v>University of Wisconsin-Madison, Madison, WI, USA</v>
          </cell>
          <cell r="U313" t="str">
            <v>Farm environment</v>
          </cell>
          <cell r="V313" t="str">
            <v>cow feces</v>
          </cell>
          <cell r="X313" t="str">
            <v>ERR10549533</v>
          </cell>
        </row>
        <row r="314">
          <cell r="G314" t="str">
            <v>/home/projects/cge/backup/fastq/food_seqdata/NextSeq_203/FoodQCPipeline_tmp/conc_fqs/DTU_2022_1015393_2_SI_JC97_R1_001.fq.gz</v>
          </cell>
          <cell r="H314" t="str">
            <v>/home/projects/cge/backup/fastq/food_seqdata/NextSeq_203/FoodQCPipeline_tmp/conc_fqs/DTU_2022_1015393_2_SI_JC97_R2_001.fq.gz</v>
          </cell>
          <cell r="I314" t="str">
            <v>JC97</v>
          </cell>
          <cell r="J314" t="str">
            <v>JC97</v>
          </cell>
          <cell r="K314" t="str">
            <v>Listeria monocytogenes</v>
          </cell>
          <cell r="L314">
            <v>43073051</v>
          </cell>
          <cell r="M314" t="str">
            <v>-89.5</v>
          </cell>
          <cell r="N314" t="str">
            <v>Wisconsin</v>
          </cell>
          <cell r="Q314">
            <v>2019</v>
          </cell>
          <cell r="T314" t="str">
            <v>University of Wisconsin-Madison, Madison, WI, USA</v>
          </cell>
          <cell r="U314" t="str">
            <v>Farm environment</v>
          </cell>
          <cell r="V314" t="str">
            <v>cow feces</v>
          </cell>
          <cell r="X314" t="str">
            <v>ERR10549557</v>
          </cell>
        </row>
        <row r="315">
          <cell r="G315" t="str">
            <v>/home/projects/cge/backup/fastq/food_seqdata/NextSeq_203/FoodQCPipeline_tmp/conc_fqs/DTU_2022_1015394_2_SI_JC98_R1_001.fq.gz</v>
          </cell>
          <cell r="H315" t="str">
            <v>/home/projects/cge/backup/fastq/food_seqdata/NextSeq_203/FoodQCPipeline_tmp/conc_fqs/DTU_2022_1015394_2_SI_JC98_R2_001.fq.gz</v>
          </cell>
          <cell r="I315" t="str">
            <v>JC98</v>
          </cell>
          <cell r="J315" t="str">
            <v>JC98</v>
          </cell>
          <cell r="K315" t="str">
            <v>Listeria monocytogenes</v>
          </cell>
          <cell r="L315">
            <v>43073051</v>
          </cell>
          <cell r="M315" t="str">
            <v>-89.5</v>
          </cell>
          <cell r="N315" t="str">
            <v>Wisconsin</v>
          </cell>
          <cell r="Q315">
            <v>2019</v>
          </cell>
          <cell r="T315" t="str">
            <v>University of Wisconsin-Madison, Madison, WI, USA</v>
          </cell>
          <cell r="U315" t="str">
            <v>Farm environment</v>
          </cell>
          <cell r="V315" t="str">
            <v>cow feces</v>
          </cell>
          <cell r="X315" t="str">
            <v>ERR10549500</v>
          </cell>
        </row>
        <row r="316">
          <cell r="G316" t="str">
            <v>/home/projects/cge/backup/fastq/food_seqdata/NextSeq_203/FoodQCPipeline_tmp/conc_fqs/DTU_2022_1015395_2_SI_JC99_R1_001.fq.gz</v>
          </cell>
          <cell r="H316" t="str">
            <v>/home/projects/cge/backup/fastq/food_seqdata/NextSeq_203/FoodQCPipeline_tmp/conc_fqs/DTU_2022_1015395_2_SI_JC99_R2_001.fq.gz</v>
          </cell>
          <cell r="I316" t="str">
            <v>JC99</v>
          </cell>
          <cell r="J316" t="str">
            <v>JC99</v>
          </cell>
          <cell r="K316" t="str">
            <v>Listeria monocytogenes</v>
          </cell>
          <cell r="L316">
            <v>43073051</v>
          </cell>
          <cell r="M316" t="str">
            <v>-89.5</v>
          </cell>
          <cell r="N316" t="str">
            <v>Wisconsin</v>
          </cell>
          <cell r="Q316">
            <v>2019</v>
          </cell>
          <cell r="T316" t="str">
            <v>University of Wisconsin-Madison, Madison, WI, USA</v>
          </cell>
          <cell r="U316" t="str">
            <v>Food</v>
          </cell>
          <cell r="V316" t="str">
            <v>silage</v>
          </cell>
          <cell r="X316" t="str">
            <v>ERR10549502</v>
          </cell>
        </row>
        <row r="317">
          <cell r="G317" t="str">
            <v>/home/projects/cge/backup/fastq/food_seqdata/NextSeq_198/FoodQCPipeline_tmp/conc_fqs/DTU_2022_1016833_1_SI_JJ22_R1_001.fq.gz</v>
          </cell>
          <cell r="H317" t="str">
            <v>/home/projects/cge/backup/fastq/food_seqdata/NextSeq_198/FoodQCPipeline_tmp/conc_fqs/DTU_2022_1016833_1_SI_JJ22_R2_001.fq.gz</v>
          </cell>
          <cell r="I317" t="str">
            <v>JJ22</v>
          </cell>
          <cell r="J317" t="str">
            <v>JJ22</v>
          </cell>
          <cell r="K317" t="str">
            <v>Listeria monocytogenes</v>
          </cell>
          <cell r="L317">
            <v>35771</v>
          </cell>
          <cell r="M317">
            <v>-78638</v>
          </cell>
          <cell r="N317" t="str">
            <v>North Carolina</v>
          </cell>
          <cell r="Q317">
            <v>2021</v>
          </cell>
          <cell r="T317" t="str">
            <v>North Carolina State University, Raleigh, NC, USA</v>
          </cell>
          <cell r="U317" t="str">
            <v>Natural environment</v>
          </cell>
          <cell r="V317" t="str">
            <v>Marsh Creek</v>
          </cell>
          <cell r="X317" t="str">
            <v>ERR10616646</v>
          </cell>
        </row>
        <row r="318">
          <cell r="G318" t="str">
            <v>/home/projects/cge/backup/fastq/food_seqdata/NextSeq_198/FoodQCPipeline_tmp/conc_fqs/DTU_2022_1016830_1_SI_JJ31_R1_001.fq.gz</v>
          </cell>
          <cell r="H318" t="str">
            <v>/home/projects/cge/backup/fastq/food_seqdata/NextSeq_198/FoodQCPipeline_tmp/conc_fqs/DTU_2022_1016830_1_SI_JJ31_R2_001.fq.gz</v>
          </cell>
          <cell r="I318" t="str">
            <v>JJ31</v>
          </cell>
          <cell r="J318" t="str">
            <v>JJ31</v>
          </cell>
          <cell r="K318" t="str">
            <v>Listeria monocytogenes</v>
          </cell>
          <cell r="L318">
            <v>35771</v>
          </cell>
          <cell r="M318">
            <v>-78638</v>
          </cell>
          <cell r="N318" t="str">
            <v>North Carolina</v>
          </cell>
          <cell r="Q318">
            <v>2021</v>
          </cell>
          <cell r="T318" t="str">
            <v>North Carolina State University, Raleigh, NC, USA</v>
          </cell>
          <cell r="U318" t="str">
            <v>Natural environment</v>
          </cell>
          <cell r="V318" t="str">
            <v>Marsh Creek</v>
          </cell>
          <cell r="X318" t="str">
            <v>ERR10616643</v>
          </cell>
        </row>
        <row r="319">
          <cell r="G319" t="str">
            <v>/home/projects/cge/backup/fastq/food_seqdata/NextSeq_198/FoodQCPipeline_tmp/conc_fqs/DTU_2022_1016831_1_SI_JJ44_R1_001.fq.gz</v>
          </cell>
          <cell r="H319" t="str">
            <v>/home/projects/cge/backup/fastq/food_seqdata/NextSeq_198/FoodQCPipeline_tmp/conc_fqs/DTU_2022_1016831_1_SI_JJ44_R2_001.fq.gz</v>
          </cell>
          <cell r="I319" t="str">
            <v>JJ44</v>
          </cell>
          <cell r="J319" t="str">
            <v>JJ44</v>
          </cell>
          <cell r="K319" t="str">
            <v>Listeria monocytogenes</v>
          </cell>
          <cell r="L319">
            <v>35771</v>
          </cell>
          <cell r="M319">
            <v>-78638</v>
          </cell>
          <cell r="N319" t="str">
            <v>North Carolina</v>
          </cell>
          <cell r="Q319">
            <v>2021</v>
          </cell>
          <cell r="T319" t="str">
            <v>North Carolina State University, Raleigh, NC, USA</v>
          </cell>
          <cell r="U319" t="str">
            <v>Natural environment</v>
          </cell>
          <cell r="V319" t="str">
            <v>Crabtree Creek</v>
          </cell>
          <cell r="X319" t="str">
            <v>ERR10616663</v>
          </cell>
        </row>
        <row r="320">
          <cell r="G320" t="str">
            <v>/home/projects/cge/backup/fastq/food_seqdata/NextSeq_198/FoodQCPipeline_tmp/conc_fqs/DTU_2022_1016832_1_SI_JJ50_R1_001.fq.gz</v>
          </cell>
          <cell r="H320" t="str">
            <v>/home/projects/cge/backup/fastq/food_seqdata/NextSeq_198/FoodQCPipeline_tmp/conc_fqs/DTU_2022_1016832_1_SI_JJ50_R2_001.fq.gz</v>
          </cell>
          <cell r="I320" t="str">
            <v>JJ50</v>
          </cell>
          <cell r="J320" t="str">
            <v>JJ50</v>
          </cell>
          <cell r="K320" t="str">
            <v>Listeria monocytogenes</v>
          </cell>
          <cell r="L320">
            <v>35771</v>
          </cell>
          <cell r="M320">
            <v>-78638</v>
          </cell>
          <cell r="N320" t="str">
            <v>North Carolina</v>
          </cell>
          <cell r="Q320">
            <v>2021</v>
          </cell>
          <cell r="T320" t="str">
            <v>North Carolina State University, Raleigh, NC, USA</v>
          </cell>
          <cell r="U320" t="str">
            <v>Natural environment</v>
          </cell>
          <cell r="V320" t="str">
            <v>Duke Lemur Center</v>
          </cell>
          <cell r="X320" t="str">
            <v>ERR10616653</v>
          </cell>
        </row>
        <row r="321">
          <cell r="G321" t="str">
            <v>/home/projects/cge/backup/fastq/food_seqdata/NextSeq_203/FoodQCPipeline_tmp/conc_fqs/DTU_2022_1015493_1_SI_Lm119_R1_001.fq.gz</v>
          </cell>
          <cell r="H321" t="str">
            <v>/home/projects/cge/backup/fastq/food_seqdata/NextSeq_203/FoodQCPipeline_tmp/conc_fqs/DTU_2022_1015493_1_SI_Lm119_R2_001.fq.gz</v>
          </cell>
          <cell r="I321" t="str">
            <v>Lm119</v>
          </cell>
          <cell r="J321" t="str">
            <v>Lm119</v>
          </cell>
          <cell r="K321" t="str">
            <v>Listeria monocytogenes</v>
          </cell>
          <cell r="L321">
            <v>44</v>
          </cell>
          <cell r="M321">
            <v>-72699997</v>
          </cell>
          <cell r="N321" t="str">
            <v>Vermont</v>
          </cell>
          <cell r="Q321" t="str">
            <v>Unknown</v>
          </cell>
          <cell r="T321" t="str">
            <v>University of Vermont, Burlington, VT, USA</v>
          </cell>
          <cell r="U321" t="str">
            <v>Animal</v>
          </cell>
          <cell r="V321" t="str">
            <v>udder/LAP</v>
          </cell>
          <cell r="X321" t="str">
            <v>ERR10549578</v>
          </cell>
        </row>
        <row r="322">
          <cell r="G322" t="str">
            <v>/home/projects/cge/backup/fastq/food_seqdata/NextSeq_203/FoodQCPipeline_tmp/conc_fqs/DTU_2022_1015501_1_SI_Lm167_R1_001.fq.gz</v>
          </cell>
          <cell r="H322" t="str">
            <v>/home/projects/cge/backup/fastq/food_seqdata/NextSeq_203/FoodQCPipeline_tmp/conc_fqs/DTU_2022_1015501_1_SI_Lm167_R2_001.fq.gz</v>
          </cell>
          <cell r="I322" t="str">
            <v>Lm167</v>
          </cell>
          <cell r="J322" t="str">
            <v>Lm167</v>
          </cell>
          <cell r="K322" t="str">
            <v>Listeria monocytogenes</v>
          </cell>
          <cell r="L322">
            <v>44</v>
          </cell>
          <cell r="M322">
            <v>-72699997</v>
          </cell>
          <cell r="N322" t="str">
            <v>Vermont</v>
          </cell>
          <cell r="Q322" t="str">
            <v>Unknown</v>
          </cell>
          <cell r="R322" t="str">
            <v>Bos taurus</v>
          </cell>
          <cell r="T322" t="str">
            <v>University of Vermont, Burlington, VT, USA</v>
          </cell>
          <cell r="U322" t="str">
            <v>Animal</v>
          </cell>
          <cell r="V322" t="str">
            <v>Cow brain tissue</v>
          </cell>
          <cell r="X322" t="str">
            <v>ERR10549559</v>
          </cell>
        </row>
        <row r="323">
          <cell r="G323" t="str">
            <v>/home/projects/cge/backup/fastq/food_seqdata/NextSeq_198/FoodQCPipeline_tmp/conc_fqs/DTU_2022_1015425_1_SI_1431_R1_001.fq.gz</v>
          </cell>
          <cell r="H323" t="str">
            <v>/home/projects/cge/backup/fastq/food_seqdata/NextSeq_198/FoodQCPipeline_tmp/conc_fqs/DTU_2022_1015425_1_SI_1431_R2_001.fq.gz</v>
          </cell>
          <cell r="I323" t="str">
            <v>EGD-e</v>
          </cell>
          <cell r="J323" t="str">
            <v>EGD-e</v>
          </cell>
          <cell r="K323" t="str">
            <v>Listeria monocytogenes</v>
          </cell>
          <cell r="L323" t="str">
            <v>51.5</v>
          </cell>
          <cell r="M323" t="str">
            <v>-0.1167</v>
          </cell>
          <cell r="N323" t="str">
            <v>United Kingdom</v>
          </cell>
          <cell r="Q323">
            <v>1924</v>
          </cell>
          <cell r="U323" t="str">
            <v>Animal</v>
          </cell>
          <cell r="V323" t="str">
            <v>Tissue of rabbit</v>
          </cell>
          <cell r="X323" t="str">
            <v>ERR10549534</v>
          </cell>
        </row>
        <row r="324">
          <cell r="G324" t="str">
            <v>/home/projects/cge/backup/fastq/food_seqdata/NextSeq_198/FoodQCPipeline_tmp/conc_fqs/DTU_2022_1015421_1_SI_1424_R1_001.fq.gz</v>
          </cell>
          <cell r="H324" t="str">
            <v>/home/projects/cge/backup/fastq/food_seqdata/NextSeq_198/FoodQCPipeline_tmp/conc_fqs/DTU_2022_1015421_1_SI_1424_R2_001.fq.gz</v>
          </cell>
          <cell r="I324" t="str">
            <v>NCTC 11994</v>
          </cell>
          <cell r="J324" t="str">
            <v>NCTC 11994</v>
          </cell>
          <cell r="K324" t="str">
            <v>Listeria monocytogenes</v>
          </cell>
          <cell r="L324" t="str">
            <v>51.5</v>
          </cell>
          <cell r="M324" t="str">
            <v>-0.1167</v>
          </cell>
          <cell r="N324" t="str">
            <v>United Kingdom</v>
          </cell>
          <cell r="Q324">
            <v>1986</v>
          </cell>
          <cell r="T324" t="str">
            <v>Food Hygiene Laboratory, CPHL, United Kingdom</v>
          </cell>
          <cell r="U324" t="str">
            <v>Food</v>
          </cell>
          <cell r="X324" t="str">
            <v>ERR10549535</v>
          </cell>
        </row>
        <row r="325">
          <cell r="G325" t="str">
            <v>/home/projects/cge/data/projects/other/Listeria_disinfectant_project/Switzerland_Taurai_Tasara/Raw_data/conc_fqs/S151_ATGCGCAG-GAGCCTTA_R1_001.fastq.gz</v>
          </cell>
          <cell r="H325" t="str">
            <v>/home/projects/cge/data/projects/other/Listeria_disinfectant_project/Switzerland_Taurai_Tasara/Raw_data/conc_fqs/S151_ATGCGCAG-GAGCCTTA_R2_001.fastq.gz</v>
          </cell>
          <cell r="I325" t="str">
            <v>Lm 49</v>
          </cell>
          <cell r="J325" t="str">
            <v>Lm 49</v>
          </cell>
          <cell r="K325" t="str">
            <v>Listeria monocytogenes</v>
          </cell>
          <cell r="L325">
            <v>46204391</v>
          </cell>
          <cell r="M325">
            <v>6143158</v>
          </cell>
          <cell r="N325" t="str">
            <v>Switzerland</v>
          </cell>
          <cell r="Q325">
            <v>1999</v>
          </cell>
          <cell r="T325" t="str">
            <v>Institute for Food Safety and Hygiene, Vetsuisse Faculty, University of Z√ºrich, Zurich, Switzerland</v>
          </cell>
          <cell r="U325" t="str">
            <v>Food</v>
          </cell>
          <cell r="V325" t="str">
            <v>Meat and meat products</v>
          </cell>
          <cell r="X325" t="str">
            <v>ERR10549572</v>
          </cell>
        </row>
        <row r="326">
          <cell r="G326" t="str">
            <v>/home/projects/cge/data/projects/other/Listeria_disinfectant_project/Switzerland_Taurai_Tasara/Raw_data/conc_fqs/S154_TAGCGCTC-TTCTAGCT_R1_001.fastq.gz</v>
          </cell>
          <cell r="H326" t="str">
            <v>/home/projects/cge/data/projects/other/Listeria_disinfectant_project/Switzerland_Taurai_Tasara/Raw_data/conc_fqs/S154_TAGCGCTC-TTCTAGCT_R2_001.fastq.gz</v>
          </cell>
          <cell r="I326" t="str">
            <v>Lm 8</v>
          </cell>
          <cell r="J326" t="str">
            <v>Lm 8</v>
          </cell>
          <cell r="K326" t="str">
            <v>Listeria monocytogenes</v>
          </cell>
          <cell r="L326">
            <v>46204391</v>
          </cell>
          <cell r="M326">
            <v>6143158</v>
          </cell>
          <cell r="N326" t="str">
            <v>Switzerland</v>
          </cell>
          <cell r="Q326">
            <v>1999</v>
          </cell>
          <cell r="T326" t="str">
            <v>Institute for Food Safety and Hygiene, Vetsuisse Faculty, University of Z√ºrich, Zurich, Switzerland</v>
          </cell>
          <cell r="U326" t="str">
            <v>Food</v>
          </cell>
          <cell r="V326" t="str">
            <v>Meat and meat products</v>
          </cell>
          <cell r="X326" t="str">
            <v>ERR10549568</v>
          </cell>
        </row>
        <row r="327">
          <cell r="G327" t="str">
            <v>/home/projects/cge/data/projects/other/Listeria_disinfectant_project/Switzerland_Taurai_Tasara/Raw_data/conc_fqs/S2_TCGACGTC-CGTCTAAT_R1_001.fastq.gz</v>
          </cell>
          <cell r="H327" t="str">
            <v>/home/projects/cge/data/projects/other/Listeria_disinfectant_project/Switzerland_Taurai_Tasara/Raw_data/conc_fqs/S2_TCGACGTC-CGTCTAAT_R2_001.fastq.gz</v>
          </cell>
          <cell r="I327" t="str">
            <v>Lm 57</v>
          </cell>
          <cell r="J327" t="str">
            <v>Lm 57</v>
          </cell>
          <cell r="K327" t="str">
            <v>Listeria monocytogenes</v>
          </cell>
          <cell r="L327">
            <v>46204391</v>
          </cell>
          <cell r="M327">
            <v>6143158</v>
          </cell>
          <cell r="N327" t="str">
            <v>Switzerland</v>
          </cell>
          <cell r="Q327">
            <v>1999</v>
          </cell>
          <cell r="T327" t="str">
            <v>Institute for Food Safety and Hygiene, Vetsuisse Faculty, University of Z√ºrich, Zurich, Switzerland</v>
          </cell>
          <cell r="U327" t="str">
            <v>Food</v>
          </cell>
          <cell r="V327" t="str">
            <v>Meat and meat products</v>
          </cell>
          <cell r="X327" t="str">
            <v>ERR10549574</v>
          </cell>
        </row>
        <row r="328">
          <cell r="G328" t="str">
            <v>/home/projects/cge/data/projects/other/Listeria_disinfectant_project/Switzerland_Taurai_Tasara/Raw_data/conc_fqs/S1_TCGACGTC-CTAAGCCT_R1_001.fastq.gz</v>
          </cell>
          <cell r="H328" t="str">
            <v>/home/projects/cge/data/projects/other/Listeria_disinfectant_project/Switzerland_Taurai_Tasara/Raw_data/conc_fqs/S1_TCGACGTC-CTAAGCCT_R2_001.fastq.gz</v>
          </cell>
          <cell r="I328" t="str">
            <v>Lm 217</v>
          </cell>
          <cell r="J328" t="str">
            <v>Lm 217</v>
          </cell>
          <cell r="K328" t="str">
            <v>Listeria monocytogenes</v>
          </cell>
          <cell r="L328">
            <v>46204391</v>
          </cell>
          <cell r="M328">
            <v>6143158</v>
          </cell>
          <cell r="N328" t="str">
            <v>Switzerland</v>
          </cell>
          <cell r="Q328">
            <v>2000</v>
          </cell>
          <cell r="T328" t="str">
            <v>Institute for Food Safety and Hygiene, Vetsuisse Faculty, University of Z√ºrich, Zurich, Switzerland</v>
          </cell>
          <cell r="U328" t="str">
            <v>Food</v>
          </cell>
          <cell r="V328" t="str">
            <v>Meat and meat products</v>
          </cell>
          <cell r="X328" t="str">
            <v>ERR10549576</v>
          </cell>
        </row>
        <row r="329">
          <cell r="G329" t="str">
            <v>/home/projects/cge/data/projects/other/Listeria_disinfectant_project/Switzerland_Taurai_Tasara/Raw_data/conc_fqs/S137_TACGCTGC-TCGACTAG_R1_001.fastq.gz</v>
          </cell>
          <cell r="H329" t="str">
            <v>/home/projects/cge/data/projects/other/Listeria_disinfectant_project/Switzerland_Taurai_Tasara/Raw_data/conc_fqs/S137_TACGCTGC-TCGACTAG_R2_001.fastq.gz</v>
          </cell>
          <cell r="I329" t="str">
            <v>Lm 760</v>
          </cell>
          <cell r="J329" t="str">
            <v>Lm 760</v>
          </cell>
          <cell r="K329" t="str">
            <v>Listeria monocytogenes</v>
          </cell>
          <cell r="L329">
            <v>46204391</v>
          </cell>
          <cell r="M329">
            <v>6143158</v>
          </cell>
          <cell r="N329" t="str">
            <v>Switzerland</v>
          </cell>
          <cell r="Q329">
            <v>2001</v>
          </cell>
          <cell r="T329" t="str">
            <v>Institute for Food Safety and Hygiene, Vetsuisse Faculty, University of Z√ºrich, Zurich, Switzerland</v>
          </cell>
          <cell r="U329" t="str">
            <v>Food</v>
          </cell>
          <cell r="V329" t="str">
            <v>Meat and meat products</v>
          </cell>
          <cell r="X329" t="str">
            <v>ERR10549540</v>
          </cell>
        </row>
        <row r="330">
          <cell r="G330" t="str">
            <v>/home/projects/cge/data/projects/other/Listeria_disinfectant_project/Switzerland_Taurai_Tasara/Raw_data/conc_fqs/S124_GCGTAGTA-CTATTAAG_R1_001.fastq.gz</v>
          </cell>
          <cell r="H330" t="str">
            <v>/home/projects/cge/data/projects/other/Listeria_disinfectant_project/Switzerland_Taurai_Tasara/Raw_data/conc_fqs/S124_GCGTAGTA-CTATTAAG_R2_001.fastq.gz</v>
          </cell>
          <cell r="I330" t="str">
            <v>N12-1914</v>
          </cell>
          <cell r="J330" t="str">
            <v>N12-1914</v>
          </cell>
          <cell r="K330" t="str">
            <v>Listeria monocytogenes</v>
          </cell>
          <cell r="L330">
            <v>46204391</v>
          </cell>
          <cell r="M330">
            <v>6143158</v>
          </cell>
          <cell r="N330" t="str">
            <v>Switzerland</v>
          </cell>
          <cell r="Q330">
            <v>2002</v>
          </cell>
          <cell r="T330" t="str">
            <v>Institute for Food Safety and Hygiene, Vetsuisse Faculty, University of Z√ºrich, Zurich, Switzerland</v>
          </cell>
          <cell r="U330" t="str">
            <v>Food</v>
          </cell>
          <cell r="V330" t="str">
            <v>Milk and milk products</v>
          </cell>
          <cell r="X330" t="str">
            <v>ERR10549547</v>
          </cell>
        </row>
        <row r="331">
          <cell r="G331" t="str">
            <v>/home/projects/cge/data/projects/other/Listeria_disinfectant_project/Switzerland_Taurai_Tasara/Raw_data/conc_fqs/S135_CGGAGCCT-TTATGCGA_R1_001.fastq.gz</v>
          </cell>
          <cell r="H331" t="str">
            <v>/home/projects/cge/data/projects/other/Listeria_disinfectant_project/Switzerland_Taurai_Tasara/Raw_data/conc_fqs/S135_CGGAGCCT-TTATGCGA_R2_001.fastq.gz</v>
          </cell>
          <cell r="I331" t="str">
            <v>Lm 25/9</v>
          </cell>
          <cell r="J331" t="str">
            <v>Lm 25/9</v>
          </cell>
          <cell r="K331" t="str">
            <v>Listeria monocytogenes</v>
          </cell>
          <cell r="L331">
            <v>46204391</v>
          </cell>
          <cell r="M331">
            <v>6143158</v>
          </cell>
          <cell r="N331" t="str">
            <v>Switzerland</v>
          </cell>
          <cell r="Q331">
            <v>2002</v>
          </cell>
          <cell r="T331" t="str">
            <v>Institute for Food Safety and Hygiene, Vetsuisse Faculty, University of Z√ºrich, Zurich, Switzerland</v>
          </cell>
          <cell r="U331" t="str">
            <v>Food</v>
          </cell>
          <cell r="V331" t="str">
            <v>Meat and meat products</v>
          </cell>
          <cell r="X331" t="str">
            <v>ERR10549646</v>
          </cell>
        </row>
        <row r="332">
          <cell r="G332" t="str">
            <v>/home/projects/cge/data/projects/other/Listeria_disinfectant_project/Switzerland_Taurai_Tasara/Raw_data/conc_fqs/S10_TAAGGCGA-GAGCCTTA_R1_001.fastq.gz</v>
          </cell>
          <cell r="H332" t="str">
            <v>/home/projects/cge/data/projects/other/Listeria_disinfectant_project/Switzerland_Taurai_Tasara/Raw_data/conc_fqs/S10_TAAGGCGA-GAGCCTTA_R2_001.fastq.gz</v>
          </cell>
          <cell r="I332" t="str">
            <v>N11-1218</v>
          </cell>
          <cell r="J332" t="str">
            <v>N11-1218</v>
          </cell>
          <cell r="K332" t="str">
            <v>Listeria monocytogenes</v>
          </cell>
          <cell r="L332">
            <v>46204391</v>
          </cell>
          <cell r="M332">
            <v>6143158</v>
          </cell>
          <cell r="N332" t="str">
            <v>Switzerland</v>
          </cell>
          <cell r="Q332">
            <v>2011</v>
          </cell>
          <cell r="T332" t="str">
            <v>Institute for Food Safety and Hygiene, Vetsuisse Faculty, University of Z√ºrich, Zurich, Switzerland</v>
          </cell>
          <cell r="U332" t="str">
            <v>Food</v>
          </cell>
          <cell r="V332" t="str">
            <v>Meat and meat products</v>
          </cell>
          <cell r="X332" t="str">
            <v>ERR10549571</v>
          </cell>
        </row>
        <row r="333">
          <cell r="G333" t="str">
            <v>/home/projects/cge/data/projects/other/Listeria_disinfectant_project/Switzerland_Taurai_Tasara/Raw_data/conc_fqs/S115_GGAGCTAC-GCGTAAGA_R1_001.fastq.gz</v>
          </cell>
          <cell r="H333" t="str">
            <v>/home/projects/cge/data/projects/other/Listeria_disinfectant_project/Switzerland_Taurai_Tasara/Raw_data/conc_fqs/S115_GGAGCTAC-GCGTAAGA_R2_001.fastq.gz</v>
          </cell>
          <cell r="I333" t="str">
            <v>LmE212</v>
          </cell>
          <cell r="J333" t="str">
            <v>LmE212</v>
          </cell>
          <cell r="K333" t="str">
            <v>Listeria monocytogenes</v>
          </cell>
          <cell r="L333">
            <v>46204391</v>
          </cell>
          <cell r="M333">
            <v>6143158</v>
          </cell>
          <cell r="N333" t="str">
            <v>Switzerland</v>
          </cell>
          <cell r="Q333">
            <v>2011</v>
          </cell>
          <cell r="T333" t="str">
            <v>Institute for Food Safety and Hygiene, Vetsuisse Faculty, University of Z√ºrich, Zurich, Switzerland</v>
          </cell>
          <cell r="U333" t="str">
            <v>Food</v>
          </cell>
          <cell r="V333" t="str">
            <v>Meat and meat products</v>
          </cell>
          <cell r="X333" t="str">
            <v>ERR10549631</v>
          </cell>
        </row>
        <row r="334">
          <cell r="G334" t="str">
            <v>/home/projects/cge/data/projects/other/Listeria_disinfectant_project/Switzerland_Taurai_Tasara/Raw_data/conc_fqs/S116_GGAGCTAC-CTATTAAG_R1_001.fastq.gz</v>
          </cell>
          <cell r="H334" t="str">
            <v>/home/projects/cge/data/projects/other/Listeria_disinfectant_project/Switzerland_Taurai_Tasara/Raw_data/conc_fqs/S116_GGAGCTAC-CTATTAAG_R2_001.fastq.gz</v>
          </cell>
          <cell r="I334" t="str">
            <v>LmS2</v>
          </cell>
          <cell r="J334" t="str">
            <v>LmS2</v>
          </cell>
          <cell r="K334" t="str">
            <v>Listeria monocytogenes</v>
          </cell>
          <cell r="L334">
            <v>46204391</v>
          </cell>
          <cell r="M334">
            <v>6143158</v>
          </cell>
          <cell r="N334" t="str">
            <v>Switzerland</v>
          </cell>
          <cell r="Q334">
            <v>2011</v>
          </cell>
          <cell r="T334" t="str">
            <v>Institute for Food Safety and Hygiene, Vetsuisse Faculty, University of Z√ºrich, Zurich, Switzerland</v>
          </cell>
          <cell r="U334" t="str">
            <v xml:space="preserve">Production environment </v>
          </cell>
          <cell r="V334" t="str">
            <v xml:space="preserve">Food processing environment </v>
          </cell>
          <cell r="X334" t="str">
            <v>ERR10549575</v>
          </cell>
        </row>
        <row r="335">
          <cell r="G335" t="str">
            <v>/home/projects/cge/data/projects/other/Listeria_disinfectant_project/Switzerland_Taurai_Tasara/Raw_data/conc_fqs/S117_GGAGCTAC-AAGGCTAT_R1_001.fastq.gz</v>
          </cell>
          <cell r="H335" t="str">
            <v>/home/projects/cge/data/projects/other/Listeria_disinfectant_project/Switzerland_Taurai_Tasara/Raw_data/conc_fqs/S117_GGAGCTAC-AAGGCTAT_R2_001.fastq.gz</v>
          </cell>
          <cell r="I335" t="str">
            <v>LmSB1</v>
          </cell>
          <cell r="J335" t="str">
            <v>LmSB1</v>
          </cell>
          <cell r="K335" t="str">
            <v>Listeria monocytogenes</v>
          </cell>
          <cell r="L335">
            <v>46204391</v>
          </cell>
          <cell r="M335">
            <v>6143158</v>
          </cell>
          <cell r="N335" t="str">
            <v>Switzerland</v>
          </cell>
          <cell r="Q335">
            <v>2011</v>
          </cell>
          <cell r="T335" t="str">
            <v>Institute for Food Safety and Hygiene, Vetsuisse Faculty, University of Z√ºrich, Zurich, Switzerland</v>
          </cell>
          <cell r="U335" t="str">
            <v>Food</v>
          </cell>
          <cell r="V335" t="str">
            <v>Seafood</v>
          </cell>
          <cell r="X335" t="str">
            <v>ERR10549585</v>
          </cell>
        </row>
        <row r="336">
          <cell r="G336" t="str">
            <v>/home/projects/cge/data/projects/other/Listeria_disinfectant_project/Switzerland_Taurai_Tasara/Raw_data/conc_fqs/S118_GGAGCTAC-GAGCCTTA_R1_001.fastq.gz</v>
          </cell>
          <cell r="H336" t="str">
            <v>/home/projects/cge/data/projects/other/Listeria_disinfectant_project/Switzerland_Taurai_Tasara/Raw_data/conc_fqs/S118_GGAGCTAC-GAGCCTTA_R2_001.fastq.gz</v>
          </cell>
          <cell r="I336" t="str">
            <v>N11-1251</v>
          </cell>
          <cell r="J336" t="str">
            <v>N11-1251</v>
          </cell>
          <cell r="K336" t="str">
            <v>Listeria monocytogenes</v>
          </cell>
          <cell r="L336">
            <v>46204391</v>
          </cell>
          <cell r="M336">
            <v>6143158</v>
          </cell>
          <cell r="N336" t="str">
            <v>Switzerland</v>
          </cell>
          <cell r="Q336">
            <v>2011</v>
          </cell>
          <cell r="T336" t="str">
            <v>Institute for Food Safety and Hygiene, Vetsuisse Faculty, University of Z√ºrich, Zurich, Switzerland</v>
          </cell>
          <cell r="U336" t="str">
            <v>Food</v>
          </cell>
          <cell r="V336" t="str">
            <v>Meat and meat products</v>
          </cell>
          <cell r="X336" t="str">
            <v>ERR10549549</v>
          </cell>
        </row>
        <row r="337">
          <cell r="G337" t="str">
            <v>/home/projects/cge/data/projects/other/Listeria_disinfectant_project/Switzerland_Taurai_Tasara/Raw_data/conc_fqs/S119_GGAGCTAC-TTATGCGA_R1_001.fastq.gz</v>
          </cell>
          <cell r="H337" t="str">
            <v>/home/projects/cge/data/projects/other/Listeria_disinfectant_project/Switzerland_Taurai_Tasara/Raw_data/conc_fqs/S119_GGAGCTAC-TTATGCGA_R2_001.fastq.gz</v>
          </cell>
          <cell r="I337" t="str">
            <v>N11-1252</v>
          </cell>
          <cell r="J337" t="str">
            <v>N11-1252</v>
          </cell>
          <cell r="K337" t="str">
            <v>Listeria monocytogenes</v>
          </cell>
          <cell r="L337">
            <v>46204391</v>
          </cell>
          <cell r="M337">
            <v>6143158</v>
          </cell>
          <cell r="N337" t="str">
            <v>Switzerland</v>
          </cell>
          <cell r="Q337">
            <v>2011</v>
          </cell>
          <cell r="T337" t="str">
            <v>Institute for Food Safety and Hygiene, Vetsuisse Faculty, University of Z√ºrich, Zurich, Switzerland</v>
          </cell>
          <cell r="U337" t="str">
            <v>Food</v>
          </cell>
          <cell r="V337" t="str">
            <v xml:space="preserve">Vegetable and salads </v>
          </cell>
          <cell r="X337" t="str">
            <v>ERR10549580</v>
          </cell>
        </row>
        <row r="338">
          <cell r="G338" t="str">
            <v>/home/projects/cge/data/projects/other/Listeria_disinfectant_project/Switzerland_Taurai_Tasara/Raw_data/conc_fqs/S15_CGTACTAG-GCGTAAGA_R1_001.fastq.gz</v>
          </cell>
          <cell r="H338" t="str">
            <v>/home/projects/cge/data/projects/other/Listeria_disinfectant_project/Switzerland_Taurai_Tasara/Raw_data/conc_fqs/S15_CGTACTAG-GCGTAAGA_R2_001.fastq.gz</v>
          </cell>
          <cell r="I338" t="str">
            <v>N11-1515</v>
          </cell>
          <cell r="J338" t="str">
            <v>N11-1515</v>
          </cell>
          <cell r="K338" t="str">
            <v>Listeria monocytogenes</v>
          </cell>
          <cell r="L338">
            <v>46204391</v>
          </cell>
          <cell r="M338">
            <v>6143158</v>
          </cell>
          <cell r="N338" t="str">
            <v>Switzerland</v>
          </cell>
          <cell r="Q338">
            <v>2011</v>
          </cell>
          <cell r="T338" t="str">
            <v>Institute for Food Safety and Hygiene, Vetsuisse Faculty, University of Z√ºrich, Zurich, Switzerland</v>
          </cell>
          <cell r="U338" t="str">
            <v>Food</v>
          </cell>
          <cell r="V338" t="str">
            <v>Milk and milk products</v>
          </cell>
          <cell r="X338" t="str">
            <v>ERR10549579</v>
          </cell>
        </row>
        <row r="339">
          <cell r="G339" t="str">
            <v>/home/projects/cge/data/projects/other/Listeria_disinfectant_project/Switzerland_Taurai_Tasara/Raw_data/conc_fqs/S158_TAGCGCTC-AAGGCTAT_R1_001.fastq.gz</v>
          </cell>
          <cell r="H339" t="str">
            <v>/home/projects/cge/data/projects/other/Listeria_disinfectant_project/Switzerland_Taurai_Tasara/Raw_data/conc_fqs/S158_TAGCGCTC-AAGGCTAT_R2_001.fastq.gz</v>
          </cell>
          <cell r="I339" t="str">
            <v>LmE153</v>
          </cell>
          <cell r="J339" t="str">
            <v>LmE153</v>
          </cell>
          <cell r="K339" t="str">
            <v>Listeria monocytogenes</v>
          </cell>
          <cell r="L339">
            <v>46204391</v>
          </cell>
          <cell r="M339">
            <v>6143158</v>
          </cell>
          <cell r="N339" t="str">
            <v>Switzerland</v>
          </cell>
          <cell r="Q339">
            <v>2011</v>
          </cell>
          <cell r="T339" t="str">
            <v>Institute for Food Safety and Hygiene, Vetsuisse Faculty, University of Z√ºrich, Zurich, Switzerland</v>
          </cell>
          <cell r="U339" t="str">
            <v>Food</v>
          </cell>
          <cell r="V339" t="str">
            <v>Meat and meat products</v>
          </cell>
          <cell r="X339" t="str">
            <v>ERR10549577</v>
          </cell>
        </row>
        <row r="340">
          <cell r="G340" t="str">
            <v>/home/projects/cge/data/projects/other/Listeria_disinfectant_project/Switzerland_Taurai_Tasara/Raw_data/conc_fqs/S160_TAGCGCTC-TTATGCGA_R1_001.fastq.gz</v>
          </cell>
          <cell r="H340" t="str">
            <v>/home/projects/cge/data/projects/other/Listeria_disinfectant_project/Switzerland_Taurai_Tasara/Raw_data/conc_fqs/S160_TAGCGCTC-TTATGCGA_R2_001.fastq.gz</v>
          </cell>
          <cell r="I340" t="str">
            <v>LmE162</v>
          </cell>
          <cell r="J340" t="str">
            <v>LmE162</v>
          </cell>
          <cell r="K340" t="str">
            <v>Listeria monocytogenes</v>
          </cell>
          <cell r="L340">
            <v>46204391</v>
          </cell>
          <cell r="M340">
            <v>6143158</v>
          </cell>
          <cell r="N340" t="str">
            <v>Switzerland</v>
          </cell>
          <cell r="Q340">
            <v>2011</v>
          </cell>
          <cell r="T340" t="str">
            <v>Institute for Food Safety and Hygiene, Vetsuisse Faculty, University of Z√ºrich, Zurich, Switzerland</v>
          </cell>
          <cell r="U340" t="str">
            <v>Food</v>
          </cell>
          <cell r="V340" t="str">
            <v>Meat and meat products</v>
          </cell>
          <cell r="X340" t="str">
            <v>ERR10549582</v>
          </cell>
        </row>
        <row r="341">
          <cell r="G341" t="str">
            <v>/home/projects/cge/data/projects/other/Listeria_disinfectant_project/Switzerland_Taurai_Tasara/Raw_data/conc_fqs/S161_ACTGAGCG-TCGACTAG_R1_001.fastq.gz</v>
          </cell>
          <cell r="H341" t="str">
            <v>/home/projects/cge/data/projects/other/Listeria_disinfectant_project/Switzerland_Taurai_Tasara/Raw_data/conc_fqs/S161_ACTGAGCG-TCGACTAG_R2_001.fastq.gz</v>
          </cell>
          <cell r="I341" t="str">
            <v>N11-1846</v>
          </cell>
          <cell r="J341" t="str">
            <v>N11-1846</v>
          </cell>
          <cell r="K341" t="str">
            <v>Listeria monocytogenes</v>
          </cell>
          <cell r="L341">
            <v>46204391</v>
          </cell>
          <cell r="M341">
            <v>6143158</v>
          </cell>
          <cell r="N341" t="str">
            <v>Switzerland</v>
          </cell>
          <cell r="Q341">
            <v>2011</v>
          </cell>
          <cell r="T341" t="str">
            <v>Institute for Food Safety and Hygiene, Vetsuisse Faculty, University of Z√ºrich, Zurich, Switzerland</v>
          </cell>
          <cell r="U341" t="str">
            <v>Food</v>
          </cell>
          <cell r="V341" t="str">
            <v>Meat and meat products</v>
          </cell>
          <cell r="X341" t="str">
            <v>ERR10549552</v>
          </cell>
        </row>
        <row r="342">
          <cell r="G342" t="str">
            <v>/home/projects/cge/data/projects/other/Listeria_disinfectant_project/Switzerland_Taurai_Tasara/Raw_data/conc_fqs/S162_ACTGAGCG-TTCTAGCT_R1_001.fastq.gz</v>
          </cell>
          <cell r="H342" t="str">
            <v>/home/projects/cge/data/projects/other/Listeria_disinfectant_project/Switzerland_Taurai_Tasara/Raw_data/conc_fqs/S162_ACTGAGCG-TTCTAGCT_R2_001.fastq.gz</v>
          </cell>
          <cell r="I342" t="str">
            <v>N11-1850</v>
          </cell>
          <cell r="J342" t="str">
            <v>N11-1850</v>
          </cell>
          <cell r="K342" t="str">
            <v>Listeria monocytogenes</v>
          </cell>
          <cell r="L342">
            <v>46204391</v>
          </cell>
          <cell r="M342">
            <v>6143158</v>
          </cell>
          <cell r="N342" t="str">
            <v>Switzerland</v>
          </cell>
          <cell r="Q342">
            <v>2011</v>
          </cell>
          <cell r="T342" t="str">
            <v>Institute for Food Safety and Hygiene, Vetsuisse Faculty, University of Z√ºrich, Zurich, Switzerland</v>
          </cell>
          <cell r="U342" t="str">
            <v>Food</v>
          </cell>
          <cell r="V342" t="str">
            <v>Milk and milk products</v>
          </cell>
          <cell r="X342" t="str">
            <v>ERR10549586</v>
          </cell>
        </row>
        <row r="343">
          <cell r="G343" t="str">
            <v>/home/projects/cge/data/projects/other/Listeria_disinfectant_project/Switzerland_Taurai_Tasara/Raw_data/conc_fqs/S20_AGGCAGAA-TCGACTAG_R1_001.fastq.gz</v>
          </cell>
          <cell r="H343" t="str">
            <v>/home/projects/cge/data/projects/other/Listeria_disinfectant_project/Switzerland_Taurai_Tasara/Raw_data/conc_fqs/S20_AGGCAGAA-TCGACTAG_R2_001.fastq.gz</v>
          </cell>
          <cell r="I343" t="str">
            <v>N11-1696</v>
          </cell>
          <cell r="J343" t="str">
            <v>N11-1696</v>
          </cell>
          <cell r="K343" t="str">
            <v>Listeria monocytogenes</v>
          </cell>
          <cell r="L343">
            <v>46204391</v>
          </cell>
          <cell r="M343">
            <v>6143158</v>
          </cell>
          <cell r="N343" t="str">
            <v>Switzerland</v>
          </cell>
          <cell r="Q343">
            <v>2011</v>
          </cell>
          <cell r="T343" t="str">
            <v>Institute for Food Safety and Hygiene, Vetsuisse Faculty, University of Z√ºrich, Zurich, Switzerland</v>
          </cell>
          <cell r="U343" t="str">
            <v>Food</v>
          </cell>
          <cell r="V343" t="str">
            <v>Meat and meat products</v>
          </cell>
          <cell r="X343" t="str">
            <v>ERR10549641</v>
          </cell>
        </row>
        <row r="344">
          <cell r="G344" t="str">
            <v>/home/projects/cge/data/projects/other/Listeria_disinfectant_project/Switzerland_Taurai_Tasara/Raw_data/conc_fqs/S22_AGGCAGAA-CCTAGAGT_R1_001.fastq.gz</v>
          </cell>
          <cell r="H344" t="str">
            <v>/home/projects/cge/data/projects/other/Listeria_disinfectant_project/Switzerland_Taurai_Tasara/Raw_data/conc_fqs/S22_AGGCAGAA-CCTAGAGT_R2_001.fastq.gz</v>
          </cell>
          <cell r="I344" t="str">
            <v>N11-1845</v>
          </cell>
          <cell r="J344" t="str">
            <v>N11-1845</v>
          </cell>
          <cell r="K344" t="str">
            <v>Listeria monocytogenes</v>
          </cell>
          <cell r="L344">
            <v>46204391</v>
          </cell>
          <cell r="M344">
            <v>6143158</v>
          </cell>
          <cell r="N344" t="str">
            <v>Switzerland</v>
          </cell>
          <cell r="Q344">
            <v>2011</v>
          </cell>
          <cell r="T344" t="str">
            <v>Institute for Food Safety and Hygiene, Vetsuisse Faculty, University of Z√ºrich, Zurich, Switzerland</v>
          </cell>
          <cell r="U344" t="str">
            <v>Food</v>
          </cell>
          <cell r="V344" t="str">
            <v>Milk and milk products</v>
          </cell>
          <cell r="X344" t="str">
            <v>ERR10549554</v>
          </cell>
        </row>
        <row r="345">
          <cell r="G345" t="str">
            <v>/home/projects/cge/data/projects/other/Listeria_disinfectant_project/Switzerland_Taurai_Tasara/Raw_data/conc_fqs/S23_AGGCAGAA-GCGTAAGA_R1_001.fastq.g</v>
          </cell>
          <cell r="H345" t="str">
            <v>/home/projects/cge/data/projects/other/Listeria_disinfectant_project/Switzerland_Taurai_Tasara/Raw_data/conc_fqs/S23_AGGCAGAA-GCGTAAGA_R2_001.fastq.g</v>
          </cell>
          <cell r="I345" t="str">
            <v>N11-1905</v>
          </cell>
          <cell r="J345" t="str">
            <v>N11-1905</v>
          </cell>
          <cell r="K345" t="str">
            <v>Listeria monocytogenes</v>
          </cell>
          <cell r="L345">
            <v>46204391</v>
          </cell>
          <cell r="M345">
            <v>6143158</v>
          </cell>
          <cell r="N345" t="str">
            <v>Switzerland</v>
          </cell>
          <cell r="Q345">
            <v>2011</v>
          </cell>
          <cell r="T345" t="str">
            <v>Institute for Food Safety and Hygiene, Vetsuisse Faculty, University of Z√ºrich, Zurich, Switzerland</v>
          </cell>
          <cell r="U345" t="str">
            <v>Food</v>
          </cell>
          <cell r="V345" t="str">
            <v>Meat and meat products</v>
          </cell>
          <cell r="X345" t="str">
            <v>ERR10612104</v>
          </cell>
        </row>
        <row r="346">
          <cell r="G346" t="str">
            <v>/home/projects/cge/data/projects/other/Listeria_disinfectant_project/Switzerland_Taurai_Tasara/Raw_data/conc_fqs/S24_AGGCAGAA-CTATTAAG_R1_001.fastq.gz</v>
          </cell>
          <cell r="H346" t="str">
            <v>/home/projects/cge/data/projects/other/Listeria_disinfectant_project/Switzerland_Taurai_Tasara/Raw_data/conc_fqs/S24_AGGCAGAA-CTATTAAG_R2_001.fastq.gz</v>
          </cell>
          <cell r="I346" t="str">
            <v>N11-2183</v>
          </cell>
          <cell r="J346" t="str">
            <v>N11-2183</v>
          </cell>
          <cell r="K346" t="str">
            <v>Listeria monocytogenes</v>
          </cell>
          <cell r="L346">
            <v>46204391</v>
          </cell>
          <cell r="M346">
            <v>6143158</v>
          </cell>
          <cell r="N346" t="str">
            <v>Switzerland</v>
          </cell>
          <cell r="Q346">
            <v>2011</v>
          </cell>
          <cell r="T346" t="str">
            <v>Institute for Food Safety and Hygiene, Vetsuisse Faculty, University of Z√ºrich, Zurich, Switzerland</v>
          </cell>
          <cell r="U346" t="str">
            <v>Food</v>
          </cell>
          <cell r="V346" t="str">
            <v xml:space="preserve">Vegetable and salads </v>
          </cell>
          <cell r="X346" t="str">
            <v>ERR10549645</v>
          </cell>
        </row>
        <row r="347">
          <cell r="G347" t="str">
            <v>/home/projects/cge/data/projects/other/Listeria_disinfectant_project/Switzerland_Taurai_Tasara/Raw_data/conc_fqs/S25_AGGCAGAA-AAGGCTAT_R1_001.fastq.gz</v>
          </cell>
          <cell r="H347" t="str">
            <v>/home/projects/cge/data/projects/other/Listeria_disinfectant_project/Switzerland_Taurai_Tasara/Raw_data/conc_fqs/S25_AGGCAGAA-AAGGCTAT_R2_001.fastq.gz</v>
          </cell>
          <cell r="I347" t="str">
            <v>N11-2215</v>
          </cell>
          <cell r="J347" t="str">
            <v>N11-2215</v>
          </cell>
          <cell r="K347" t="str">
            <v>Listeria monocytogenes</v>
          </cell>
          <cell r="L347">
            <v>46204391</v>
          </cell>
          <cell r="M347">
            <v>6143158</v>
          </cell>
          <cell r="N347" t="str">
            <v>Switzerland</v>
          </cell>
          <cell r="Q347">
            <v>2011</v>
          </cell>
          <cell r="T347" t="str">
            <v>Institute for Food Safety and Hygiene, Vetsuisse Faculty, University of Z√ºrich, Zurich, Switzerland</v>
          </cell>
          <cell r="U347" t="str">
            <v>Food</v>
          </cell>
          <cell r="V347" t="str">
            <v>Milk and milk products</v>
          </cell>
          <cell r="X347" t="str">
            <v>ERR10549558</v>
          </cell>
        </row>
        <row r="348">
          <cell r="G348" t="str">
            <v>/home/projects/cge/data/projects/other/Listeria_disinfectant_project/Switzerland_Taurai_Tasara/Raw_data/conc_fqs/S27_AGGCAGAA-TTATGCGA_R1_001.fastq.gz</v>
          </cell>
          <cell r="H348" t="str">
            <v>/home/projects/cge/data/projects/other/Listeria_disinfectant_project/Switzerland_Taurai_Tasara/Raw_data/conc_fqs/S27_AGGCAGAA-TTATGCGA_R2_001.fastq.gz</v>
          </cell>
          <cell r="I348" t="str">
            <v>N11-2345</v>
          </cell>
          <cell r="J348" t="str">
            <v>N11-2345</v>
          </cell>
          <cell r="K348" t="str">
            <v>Listeria monocytogenes</v>
          </cell>
          <cell r="L348">
            <v>46204391</v>
          </cell>
          <cell r="M348">
            <v>6143158</v>
          </cell>
          <cell r="N348" t="str">
            <v>Switzerland</v>
          </cell>
          <cell r="Q348">
            <v>2011</v>
          </cell>
          <cell r="T348" t="str">
            <v>Institute for Food Safety and Hygiene, Vetsuisse Faculty, University of Z√ºrich, Zurich, Switzerland</v>
          </cell>
          <cell r="U348" t="str">
            <v>Food</v>
          </cell>
          <cell r="V348" t="str">
            <v>Meat and meat products</v>
          </cell>
          <cell r="X348" t="str">
            <v>ERR10549555</v>
          </cell>
        </row>
        <row r="349">
          <cell r="G349" t="str">
            <v>/home/projects/cge/data/projects/other/Listeria_disinfectant_project/Switzerland_Taurai_Tasara/Raw_data/conc_fqs/S29_TCCTGAGC-TTCTAGCT_R1_001.fastq.gz</v>
          </cell>
          <cell r="H349" t="str">
            <v>/home/projects/cge/data/projects/other/Listeria_disinfectant_project/Switzerland_Taurai_Tasara/Raw_data/conc_fqs/S29_TCCTGAGC-TTCTAGCT_R2_001.fastq.gz</v>
          </cell>
          <cell r="I349" t="str">
            <v>N11-2538</v>
          </cell>
          <cell r="J349" t="str">
            <v>N11-2538</v>
          </cell>
          <cell r="K349" t="str">
            <v>Listeria monocytogenes</v>
          </cell>
          <cell r="L349">
            <v>46204391</v>
          </cell>
          <cell r="M349">
            <v>6143158</v>
          </cell>
          <cell r="N349" t="str">
            <v>Switzerland</v>
          </cell>
          <cell r="Q349">
            <v>2011</v>
          </cell>
          <cell r="T349" t="str">
            <v>Institute for Food Safety and Hygiene, Vetsuisse Faculty, University of Z√ºrich, Zurich, Switzerland</v>
          </cell>
          <cell r="U349" t="str">
            <v>Food</v>
          </cell>
          <cell r="V349" t="str">
            <v>Milk and milk products</v>
          </cell>
          <cell r="X349" t="str">
            <v>ERR10549592</v>
          </cell>
        </row>
        <row r="350">
          <cell r="G350" t="str">
            <v>/home/projects/cge/data/projects/other/Listeria_disinfectant_project/Switzerland_Taurai_Tasara/Raw_data/conc_fqs/S30_TCCTGAGC-CCTAGAGT_R1_001.fastq.gz</v>
          </cell>
          <cell r="H350" t="str">
            <v>/home/projects/cge/data/projects/other/Listeria_disinfectant_project/Switzerland_Taurai_Tasara/Raw_data/conc_fqs/S30_TCCTGAGC-CCTAGAGT_R2_001.fastq.gz</v>
          </cell>
          <cell r="I350" t="str">
            <v>N11-2542</v>
          </cell>
          <cell r="J350" t="str">
            <v>N11-2542</v>
          </cell>
          <cell r="K350" t="str">
            <v>Listeria monocytogenes</v>
          </cell>
          <cell r="L350">
            <v>46204391</v>
          </cell>
          <cell r="M350">
            <v>6143158</v>
          </cell>
          <cell r="N350" t="str">
            <v>Switzerland</v>
          </cell>
          <cell r="Q350">
            <v>2011</v>
          </cell>
          <cell r="T350" t="str">
            <v>Institute for Food Safety and Hygiene, Vetsuisse Faculty, University of Z√ºrich, Zurich, Switzerland</v>
          </cell>
          <cell r="U350" t="str">
            <v>Food</v>
          </cell>
          <cell r="V350" t="str">
            <v>Milk and milk products</v>
          </cell>
          <cell r="X350" t="str">
            <v>ERR10549587</v>
          </cell>
        </row>
        <row r="351">
          <cell r="G351" t="str">
            <v>/home/projects/cge/data/projects/other/Listeria_disinfectant_project/Switzerland_Taurai_Tasara/Raw_data/conc_fqs/S31_TCCTGAGC-GCGTAAGA_R1_001.fastq.gz</v>
          </cell>
          <cell r="H351" t="str">
            <v>/home/projects/cge/data/projects/other/Listeria_disinfectant_project/Switzerland_Taurai_Tasara/Raw_data/conc_fqs/S31_TCCTGAGC-GCGTAAGA_R2_001.fastq.gz</v>
          </cell>
          <cell r="I351" t="str">
            <v>N11-2543</v>
          </cell>
          <cell r="J351" t="str">
            <v>N11-2543</v>
          </cell>
          <cell r="K351" t="str">
            <v>Listeria monocytogenes</v>
          </cell>
          <cell r="L351">
            <v>46204391</v>
          </cell>
          <cell r="M351">
            <v>6143158</v>
          </cell>
          <cell r="N351" t="str">
            <v>Switzerland</v>
          </cell>
          <cell r="Q351">
            <v>2011</v>
          </cell>
          <cell r="T351" t="str">
            <v>Institute for Food Safety and Hygiene, Vetsuisse Faculty, University of Z√ºrich, Zurich, Switzerland</v>
          </cell>
          <cell r="U351" t="str">
            <v xml:space="preserve">Production environment </v>
          </cell>
          <cell r="V351" t="str">
            <v xml:space="preserve">Food processing environment </v>
          </cell>
          <cell r="X351" t="str">
            <v>ERR10549588</v>
          </cell>
        </row>
        <row r="352">
          <cell r="G352" t="str">
            <v>/home/projects/cge/data/projects/other/Listeria_disinfectant_project/Switzerland_Taurai_Tasara/Raw_data/conc_fqs/S32_TCCTGAGC-CTATTAAG_R1_001.fastq.gz</v>
          </cell>
          <cell r="H352" t="str">
            <v>/home/projects/cge/data/projects/other/Listeria_disinfectant_project/Switzerland_Taurai_Tasara/Raw_data/conc_fqs/S32_TCCTGAGC-CTATTAAG_R2_001.fastq.gz</v>
          </cell>
          <cell r="I352" t="str">
            <v>N11-2554</v>
          </cell>
          <cell r="J352" t="str">
            <v>N11-2554</v>
          </cell>
          <cell r="K352" t="str">
            <v>Listeria monocytogenes</v>
          </cell>
          <cell r="L352">
            <v>46204391</v>
          </cell>
          <cell r="M352">
            <v>6143158</v>
          </cell>
          <cell r="N352" t="str">
            <v>Switzerland</v>
          </cell>
          <cell r="Q352">
            <v>2011</v>
          </cell>
          <cell r="T352" t="str">
            <v>Institute for Food Safety and Hygiene, Vetsuisse Faculty, University of Z√ºrich, Zurich, Switzerland</v>
          </cell>
          <cell r="U352" t="str">
            <v>Food</v>
          </cell>
          <cell r="V352" t="str">
            <v>Meat and meat products</v>
          </cell>
          <cell r="X352" t="str">
            <v>ERR10549593</v>
          </cell>
        </row>
        <row r="353">
          <cell r="G353" t="str">
            <v>/home/projects/cge/data/projects/other/Listeria_disinfectant_project/Switzerland_Taurai_Tasara/Raw_data/conc_fqs/S6_TAAGGCGA-CCTAGAGT_R1_001.fastq.gz</v>
          </cell>
          <cell r="H353" t="str">
            <v>/home/projects/cge/data/projects/other/Listeria_disinfectant_project/Switzerland_Taurai_Tasara/Raw_data/conc_fqs/S6_TAAGGCGA-CCTAGAGT_R2_001.fastq.gz</v>
          </cell>
          <cell r="I353" t="str">
            <v>LmE240</v>
          </cell>
          <cell r="J353" t="str">
            <v>LmE240</v>
          </cell>
          <cell r="K353" t="str">
            <v>Listeria monocytogenes</v>
          </cell>
          <cell r="L353">
            <v>46204391</v>
          </cell>
          <cell r="M353">
            <v>6143158</v>
          </cell>
          <cell r="N353" t="str">
            <v>Switzerland</v>
          </cell>
          <cell r="Q353">
            <v>2011</v>
          </cell>
          <cell r="T353" t="str">
            <v>Institute for Food Safety and Hygiene, Vetsuisse Faculty, University of Z√ºrich, Zurich, Switzerland</v>
          </cell>
          <cell r="U353" t="str">
            <v>Food</v>
          </cell>
          <cell r="V353" t="str">
            <v>Meat and meat products</v>
          </cell>
          <cell r="X353" t="str">
            <v>ERR10549648</v>
          </cell>
        </row>
        <row r="354">
          <cell r="G354" t="str">
            <v>/home/projects/cge/data/projects/other/Listeria_disinfectant_project/Switzerland_Taurai_Tasara/Raw_data/conc_fqs/S8_TAAGGCGA-CTATTAAG_R1_001.fastq.gz</v>
          </cell>
          <cell r="H354" t="str">
            <v>/home/projects/cge/data/projects/other/Listeria_disinfectant_project/Switzerland_Taurai_Tasara/Raw_data/conc_fqs/S8_TAAGGCGA-CTATTAAG_R2_001.fastq.gz</v>
          </cell>
          <cell r="I354" t="str">
            <v>LmS1</v>
          </cell>
          <cell r="J354" t="str">
            <v>LmS1</v>
          </cell>
          <cell r="K354" t="str">
            <v>Listeria monocytogenes</v>
          </cell>
          <cell r="L354">
            <v>46204391</v>
          </cell>
          <cell r="M354">
            <v>6143158</v>
          </cell>
          <cell r="N354" t="str">
            <v>Switzerland</v>
          </cell>
          <cell r="Q354">
            <v>2011</v>
          </cell>
          <cell r="T354" t="str">
            <v>Institute for Food Safety and Hygiene, Vetsuisse Faculty, University of Z√ºrich, Zurich, Switzerland</v>
          </cell>
          <cell r="U354" t="str">
            <v xml:space="preserve">Production environment </v>
          </cell>
          <cell r="V354" t="str">
            <v xml:space="preserve">Food processing environment </v>
          </cell>
          <cell r="X354" t="str">
            <v>ERR10549589</v>
          </cell>
        </row>
        <row r="355">
          <cell r="G355" t="str">
            <v>/home/projects/cge/data/projects/other/Listeria_disinfectant_project/Switzerland_Taurai_Tasara/Raw_data/conc_fqs/S81_GTAGAGGA-CCTAGAGT_R1_001.fastq.gz</v>
          </cell>
          <cell r="H355" t="str">
            <v>/home/projects/cge/data/projects/other/Listeria_disinfectant_project/Switzerland_Taurai_Tasara/Raw_data/conc_fqs/S81_GTAGAGGA-CCTAGAGT_R2_001.fastq.gz</v>
          </cell>
          <cell r="I355" t="str">
            <v>N11-1547</v>
          </cell>
          <cell r="J355" t="str">
            <v>N11-1547</v>
          </cell>
          <cell r="K355" t="str">
            <v>Listeria monocytogenes</v>
          </cell>
          <cell r="L355">
            <v>46204391</v>
          </cell>
          <cell r="M355">
            <v>6143158</v>
          </cell>
          <cell r="N355" t="str">
            <v>Switzerland</v>
          </cell>
          <cell r="Q355">
            <v>2011</v>
          </cell>
          <cell r="T355" t="str">
            <v>Institute for Food Safety and Hygiene, Vetsuisse Faculty, University of Z√ºrich, Zurich, Switzerland</v>
          </cell>
          <cell r="U355" t="str">
            <v>Human</v>
          </cell>
          <cell r="V355" t="str">
            <v xml:space="preserve">Human </v>
          </cell>
          <cell r="X355" t="str">
            <v>ERR10549560</v>
          </cell>
        </row>
        <row r="356">
          <cell r="G356" t="str">
            <v>/home/projects/cge/data/projects/other/Listeria_disinfectant_project/Switzerland_Taurai_Tasara/Raw_data/conc_fqs/S9_TAAGGCGA-AAGGCTAT_R1_001.fastq.gz</v>
          </cell>
          <cell r="H356" t="str">
            <v>/home/projects/cge/data/projects/other/Listeria_disinfectant_project/Switzerland_Taurai_Tasara/Raw_data/conc_fqs/S9_TAAGGCGA-AAGGCTAT_R2_001.fastq.gz</v>
          </cell>
          <cell r="I356" t="str">
            <v>LmS9</v>
          </cell>
          <cell r="J356" t="str">
            <v>LmS9</v>
          </cell>
          <cell r="K356" t="str">
            <v>Listeria monocytogenes</v>
          </cell>
          <cell r="L356">
            <v>46204391</v>
          </cell>
          <cell r="M356">
            <v>6143158</v>
          </cell>
          <cell r="N356" t="str">
            <v>Switzerland</v>
          </cell>
          <cell r="Q356">
            <v>2011</v>
          </cell>
          <cell r="T356" t="str">
            <v>Institute for Food Safety and Hygiene, Vetsuisse Faculty, University of Z√ºrich, Zurich, Switzerland</v>
          </cell>
          <cell r="U356" t="str">
            <v xml:space="preserve">Production environment </v>
          </cell>
          <cell r="V356" t="str">
            <v xml:space="preserve">Food processing environment </v>
          </cell>
          <cell r="X356" t="str">
            <v>ERR10549562</v>
          </cell>
        </row>
        <row r="357">
          <cell r="G357" t="str">
            <v>/home/projects/cge/data/projects/other/Listeria_disinfectant_project/Switzerland_Taurai_Tasara/Raw_data/conc_fqs/S109_ACTCGCTA-AAGGCTAT_R1_001.fastq.gz</v>
          </cell>
          <cell r="H357" t="str">
            <v>/home/projects/cge/data/projects/other/Listeria_disinfectant_project/Switzerland_Taurai_Tasara/Raw_data/conc_fqs/S109_ACTCGCTA-AAGGCTAT_R2_001.fastq.gz</v>
          </cell>
          <cell r="I357" t="str">
            <v>N12-0367</v>
          </cell>
          <cell r="J357" t="str">
            <v>N12-0367</v>
          </cell>
          <cell r="K357" t="str">
            <v>Listeria monocytogenes</v>
          </cell>
          <cell r="L357">
            <v>46204391</v>
          </cell>
          <cell r="M357">
            <v>6143158</v>
          </cell>
          <cell r="N357" t="str">
            <v>Switzerland</v>
          </cell>
          <cell r="Q357">
            <v>2012</v>
          </cell>
          <cell r="T357" t="str">
            <v>Institute for Food Safety and Hygiene, Vetsuisse Faculty, University of Z√ºrich, Zurich, Switzerland</v>
          </cell>
          <cell r="U357" t="str">
            <v>Human</v>
          </cell>
          <cell r="V357" t="str">
            <v xml:space="preserve">Human </v>
          </cell>
          <cell r="X357" t="str">
            <v>ERR10549633</v>
          </cell>
        </row>
        <row r="358">
          <cell r="G358" t="str">
            <v>/home/projects/cge/data/projects/other/Listeria_disinfectant_project/Switzerland_Taurai_Tasara/Raw_data/conc_fqs/S141_TACGCTGC-CTATTAAG_R1_001.fastq.gz</v>
          </cell>
          <cell r="H358" t="str">
            <v>/home/projects/cge/data/projects/other/Listeria_disinfectant_project/Switzerland_Taurai_Tasara/Raw_data/conc_fqs/S141_TACGCTGC-CTATTAAG_R2_001.fastq.gz</v>
          </cell>
          <cell r="I358" t="str">
            <v>N12-0644</v>
          </cell>
          <cell r="J358" t="str">
            <v>N12-0644</v>
          </cell>
          <cell r="K358" t="str">
            <v>Listeria monocytogenes</v>
          </cell>
          <cell r="L358">
            <v>46204391</v>
          </cell>
          <cell r="M358">
            <v>6143158</v>
          </cell>
          <cell r="N358" t="str">
            <v>Switzerland</v>
          </cell>
          <cell r="Q358">
            <v>2012</v>
          </cell>
          <cell r="T358" t="str">
            <v>Institute for Food Safety and Hygiene, Vetsuisse Faculty, University of Z√ºrich, Zurich, Switzerland</v>
          </cell>
          <cell r="U358" t="str">
            <v>Food</v>
          </cell>
          <cell r="V358" t="str">
            <v>Meat and meat products</v>
          </cell>
          <cell r="X358" t="str">
            <v>ERR10549663</v>
          </cell>
        </row>
        <row r="359">
          <cell r="G359" t="str">
            <v>/home/projects/cge/data/projects/other/Listeria_disinfectant_project/Switzerland_Taurai_Tasara/Raw_data/conc_fqs/S146_ATGCGCAG-TTCTAGCT_R1_001.fastq.gz</v>
          </cell>
          <cell r="H359" t="str">
            <v>/home/projects/cge/data/projects/other/Listeria_disinfectant_project/Switzerland_Taurai_Tasara/Raw_data/conc_fqs/S146_ATGCGCAG-TTCTAGCT_R2_001.fastq.gz</v>
          </cell>
          <cell r="I359" t="str">
            <v>N12-2151</v>
          </cell>
          <cell r="J359" t="str">
            <v>N12-2151</v>
          </cell>
          <cell r="K359" t="str">
            <v>Listeria monocytogenes</v>
          </cell>
          <cell r="L359">
            <v>46204391</v>
          </cell>
          <cell r="M359">
            <v>6143158</v>
          </cell>
          <cell r="N359" t="str">
            <v>Switzerland</v>
          </cell>
          <cell r="Q359">
            <v>2012</v>
          </cell>
          <cell r="T359" t="str">
            <v>Institute for Food Safety and Hygiene, Vetsuisse Faculty, University of Z√ºrich, Zurich, Switzerland</v>
          </cell>
          <cell r="U359" t="str">
            <v>Food</v>
          </cell>
          <cell r="V359" t="str">
            <v>Meat and meat products</v>
          </cell>
          <cell r="X359" t="str">
            <v>ERR10549598</v>
          </cell>
        </row>
        <row r="360">
          <cell r="G360" t="str">
            <v>/home/projects/cge/data/projects/other/Listeria_disinfectant_project/Switzerland_Taurai_Tasara/Raw_data/conc_fqs/S147_ATGCGCAG-CCTAGAGT_R1_001.fastq.gz</v>
          </cell>
          <cell r="H360" t="str">
            <v>/home/projects/cge/data/projects/other/Listeria_disinfectant_project/Switzerland_Taurai_Tasara/Raw_data/conc_fqs/S147_ATGCGCAG-CCTAGAGT_R2_001.fastq.gz</v>
          </cell>
          <cell r="I360" t="str">
            <v>N12-2271</v>
          </cell>
          <cell r="J360" t="str">
            <v>N12-2271</v>
          </cell>
          <cell r="K360" t="str">
            <v>Listeria monocytogenes</v>
          </cell>
          <cell r="L360">
            <v>46204391</v>
          </cell>
          <cell r="M360">
            <v>6143158</v>
          </cell>
          <cell r="N360" t="str">
            <v>Switzerland</v>
          </cell>
          <cell r="Q360">
            <v>2012</v>
          </cell>
          <cell r="T360" t="str">
            <v>Institute for Food Safety and Hygiene, Vetsuisse Faculty, University of Z√ºrich, Zurich, Switzerland</v>
          </cell>
          <cell r="U360" t="str">
            <v>Food</v>
          </cell>
          <cell r="V360" t="str">
            <v>Meat and meat products</v>
          </cell>
          <cell r="X360" t="str">
            <v>ERR10549594</v>
          </cell>
        </row>
        <row r="361">
          <cell r="G361" t="str">
            <v>/home/projects/cge/data/projects/other/Listeria_disinfectant_project/Switzerland_Taurai_Tasara/Raw_data/conc_fqs/S148_ATGCGCAG-GCGTAAGA_R1_001.fastq.gz</v>
          </cell>
          <cell r="H361" t="str">
            <v>/home/projects/cge/data/projects/other/Listeria_disinfectant_project/Switzerland_Taurai_Tasara/Raw_data/conc_fqs/S148_ATGCGCAG-GCGTAAGA_R2_001.fastq.gz</v>
          </cell>
          <cell r="I361" t="str">
            <v>N12-2386</v>
          </cell>
          <cell r="J361" t="str">
            <v>N12-2386</v>
          </cell>
          <cell r="K361" t="str">
            <v>Listeria monocytogenes</v>
          </cell>
          <cell r="L361">
            <v>46204391</v>
          </cell>
          <cell r="M361">
            <v>6143158</v>
          </cell>
          <cell r="N361" t="str">
            <v>Switzerland</v>
          </cell>
          <cell r="Q361">
            <v>2012</v>
          </cell>
          <cell r="T361" t="str">
            <v>Institute for Food Safety and Hygiene, Vetsuisse Faculty, University of Z√ºrich, Zurich, Switzerland</v>
          </cell>
          <cell r="U361" t="str">
            <v xml:space="preserve">Production environment </v>
          </cell>
          <cell r="V361" t="str">
            <v xml:space="preserve">Food processing environment </v>
          </cell>
          <cell r="X361" t="str">
            <v>ERR10549596</v>
          </cell>
        </row>
        <row r="362">
          <cell r="G362" t="str">
            <v>/home/projects/cge/data/projects/other/Listeria_disinfectant_project/Switzerland_Taurai_Tasara/Raw_data/conc_fqs/S167_ACTGAGCG-GAGCCTTA_R1_001.fastq.gz</v>
          </cell>
          <cell r="H362" t="str">
            <v>/home/projects/cge/data/projects/other/Listeria_disinfectant_project/Switzerland_Taurai_Tasara/Raw_data/conc_fqs/S167_ACTGAGCG-GAGCCTTA_R2_001.fastq.gz</v>
          </cell>
          <cell r="I362" t="str">
            <v>N12-0160</v>
          </cell>
          <cell r="J362" t="str">
            <v>N12-0160</v>
          </cell>
          <cell r="K362" t="str">
            <v>Listeria monocytogenes</v>
          </cell>
          <cell r="L362">
            <v>46204391</v>
          </cell>
          <cell r="M362">
            <v>6143158</v>
          </cell>
          <cell r="N362" t="str">
            <v>Switzerland</v>
          </cell>
          <cell r="Q362">
            <v>2012</v>
          </cell>
          <cell r="T362" t="str">
            <v>Institute for Food Safety and Hygiene, Vetsuisse Faculty, University of Z√ºrich, Zurich, Switzerland</v>
          </cell>
          <cell r="U362" t="str">
            <v>Food</v>
          </cell>
          <cell r="V362" t="str">
            <v>Meat and meat products</v>
          </cell>
          <cell r="X362" t="str">
            <v>ERR10549595</v>
          </cell>
        </row>
        <row r="363">
          <cell r="G363" t="str">
            <v>/home/projects/cge/data/projects/other/Listeria_disinfectant_project/Switzerland_Taurai_Tasara/Raw_data/conc_fqs/S181_CGATCAGT-CTATTAAG_R1_001.fastq.gz</v>
          </cell>
          <cell r="H363" t="str">
            <v>/home/projects/cge/data/projects/other/Listeria_disinfectant_project/Switzerland_Taurai_Tasara/Raw_data/conc_fqs/S181_CGATCAGT-CTATTAAG_R2_001.fastq.gz</v>
          </cell>
          <cell r="I363" t="str">
            <v>N12-1339</v>
          </cell>
          <cell r="J363" t="str">
            <v>N12-1339</v>
          </cell>
          <cell r="K363" t="str">
            <v>Listeria monocytogenes</v>
          </cell>
          <cell r="L363">
            <v>46204391</v>
          </cell>
          <cell r="M363">
            <v>6143158</v>
          </cell>
          <cell r="N363" t="str">
            <v>Switzerland</v>
          </cell>
          <cell r="Q363">
            <v>2012</v>
          </cell>
          <cell r="T363" t="str">
            <v>Institute for Food Safety and Hygiene, Vetsuisse Faculty, University of Z√ºrich, Zurich, Switzerland</v>
          </cell>
          <cell r="U363" t="str">
            <v>Food</v>
          </cell>
          <cell r="V363" t="str">
            <v>Meat and meat products</v>
          </cell>
          <cell r="X363" t="str">
            <v>ERR10549565</v>
          </cell>
        </row>
        <row r="364">
          <cell r="G364" t="str">
            <v>/home/projects/cge/data/projects/other/Listeria_disinfectant_project/Switzerland_Taurai_Tasara/Raw_data/conc_fqs/S185_CGATCAGT-TTATGCGA_R1_001.fastq.gz</v>
          </cell>
          <cell r="H364" t="str">
            <v>/home/projects/cge/data/projects/other/Listeria_disinfectant_project/Switzerland_Taurai_Tasara/Raw_data/conc_fqs/S185_CGATCAGT-TTATGCGA_R2_001.fastq.gz</v>
          </cell>
          <cell r="I364" t="str">
            <v>N12-1665</v>
          </cell>
          <cell r="J364" t="str">
            <v>N12-1665</v>
          </cell>
          <cell r="K364" t="str">
            <v>Listeria monocytogenes</v>
          </cell>
          <cell r="L364">
            <v>46204391</v>
          </cell>
          <cell r="M364">
            <v>6143158</v>
          </cell>
          <cell r="N364" t="str">
            <v>Switzerland</v>
          </cell>
          <cell r="Q364">
            <v>2012</v>
          </cell>
          <cell r="T364" t="str">
            <v>Institute for Food Safety and Hygiene, Vetsuisse Faculty, University of Z√ºrich, Zurich, Switzerland</v>
          </cell>
          <cell r="U364" t="str">
            <v xml:space="preserve">Production environment </v>
          </cell>
          <cell r="V364" t="str">
            <v xml:space="preserve">Food processing environment </v>
          </cell>
          <cell r="X364" t="str">
            <v>ERR10549599</v>
          </cell>
        </row>
        <row r="365">
          <cell r="G365" t="str">
            <v>/home/projects/cge/data/projects/other/Listeria_disinfectant_project/Switzerland_Taurai_Tasara/Raw_data/conc_fqs/S187_TGCAGCTA-TTCTAGCT_R1_001.fastq.gz</v>
          </cell>
          <cell r="H365" t="str">
            <v>/home/projects/cge/data/projects/other/Listeria_disinfectant_project/Switzerland_Taurai_Tasara/Raw_data/conc_fqs/S187_TGCAGCTA-TTCTAGCT_R2_001.fastq.gz</v>
          </cell>
          <cell r="I365" t="str">
            <v>N12-1772</v>
          </cell>
          <cell r="J365" t="str">
            <v>N12-1772</v>
          </cell>
          <cell r="K365" t="str">
            <v>Listeria monocytogenes</v>
          </cell>
          <cell r="L365">
            <v>46204391</v>
          </cell>
          <cell r="M365">
            <v>6143158</v>
          </cell>
          <cell r="N365" t="str">
            <v>Switzerland</v>
          </cell>
          <cell r="Q365">
            <v>2012</v>
          </cell>
          <cell r="T365" t="str">
            <v>Institute for Food Safety and Hygiene, Vetsuisse Faculty, University of Z√ºrich, Zurich, Switzerland</v>
          </cell>
          <cell r="U365" t="str">
            <v>Food</v>
          </cell>
          <cell r="V365" t="str">
            <v>Milk and milk products</v>
          </cell>
          <cell r="X365" t="str">
            <v>ERR10549597</v>
          </cell>
        </row>
        <row r="366">
          <cell r="G366" t="str">
            <v>/home/projects/cge/data/projects/other/Listeria_disinfectant_project/Switzerland_Taurai_Tasara/Raw_data/conc_fqs/S34_TCCTGAGC-GAGCCTTA_R1_001.fastq.gz</v>
          </cell>
          <cell r="H366" t="str">
            <v>/home/projects/cge/data/projects/other/Listeria_disinfectant_project/Switzerland_Taurai_Tasara/Raw_data/conc_fqs/S34_TCCTGAGC-GAGCCTTA_R2_001.fastq.gz</v>
          </cell>
          <cell r="I366" t="str">
            <v>N12-0088</v>
          </cell>
          <cell r="J366" t="str">
            <v>N12-0088</v>
          </cell>
          <cell r="K366" t="str">
            <v>Listeria monocytogenes</v>
          </cell>
          <cell r="L366">
            <v>46204391</v>
          </cell>
          <cell r="M366">
            <v>6143158</v>
          </cell>
          <cell r="N366" t="str">
            <v>Switzerland</v>
          </cell>
          <cell r="Q366">
            <v>2012</v>
          </cell>
          <cell r="T366" t="str">
            <v>Institute for Food Safety and Hygiene, Vetsuisse Faculty, University of Z√ºrich, Zurich, Switzerland</v>
          </cell>
          <cell r="U366" t="str">
            <v>Food</v>
          </cell>
          <cell r="V366" t="str">
            <v>Seafood</v>
          </cell>
          <cell r="X366" t="str">
            <v>ERR10549630</v>
          </cell>
        </row>
        <row r="367">
          <cell r="G367" t="str">
            <v>/home/projects/cge/data/projects/other/Listeria_disinfectant_project/Switzerland_Taurai_Tasara/Raw_data/conc_fqs/S35_TCCTGAGC-TTATGCGA_R1_001.fastq.gz</v>
          </cell>
          <cell r="H367" t="str">
            <v>/home/projects/cge/data/projects/other/Listeria_disinfectant_project/Switzerland_Taurai_Tasara/Raw_data/conc_fqs/S35_TCCTGAGC-TTATGCGA_R2_001.fastq.gz</v>
          </cell>
          <cell r="I367" t="str">
            <v>N12-0275</v>
          </cell>
          <cell r="J367" t="str">
            <v>N12-0275</v>
          </cell>
          <cell r="K367" t="str">
            <v>Listeria monocytogenes</v>
          </cell>
          <cell r="L367">
            <v>46204391</v>
          </cell>
          <cell r="M367">
            <v>6143158</v>
          </cell>
          <cell r="N367" t="str">
            <v>Switzerland</v>
          </cell>
          <cell r="Q367">
            <v>2012</v>
          </cell>
          <cell r="T367" t="str">
            <v>Institute for Food Safety and Hygiene, Vetsuisse Faculty, University of Z√ºrich, Zurich, Switzerland</v>
          </cell>
          <cell r="U367" t="str">
            <v>Food</v>
          </cell>
          <cell r="V367" t="str">
            <v>Milk and milk products</v>
          </cell>
          <cell r="X367" t="str">
            <v>ERR10549632</v>
          </cell>
        </row>
        <row r="368">
          <cell r="G368" t="str">
            <v>/home/projects/cge/data/projects/other/Listeria_disinfectant_project/Switzerland_Taurai_Tasara/Raw_data/conc_fqs/S38_GGACTCCT-CCTAGAGT_R1_001.fastq.gz</v>
          </cell>
          <cell r="H368" t="str">
            <v>/home/projects/cge/data/projects/other/Listeria_disinfectant_project/Switzerland_Taurai_Tasara/Raw_data/conc_fqs/S38_GGACTCCT-CCTAGAGT_R2_001.fastq.gz</v>
          </cell>
          <cell r="I368" t="str">
            <v>N12-0373</v>
          </cell>
          <cell r="J368" t="str">
            <v>N12-0373</v>
          </cell>
          <cell r="K368" t="str">
            <v>Listeria monocytogenes</v>
          </cell>
          <cell r="L368">
            <v>46204391</v>
          </cell>
          <cell r="M368">
            <v>6143158</v>
          </cell>
          <cell r="N368" t="str">
            <v>Switzerland</v>
          </cell>
          <cell r="Q368">
            <v>2012</v>
          </cell>
          <cell r="T368" t="str">
            <v>Institute for Food Safety and Hygiene, Vetsuisse Faculty, University of Z√ºrich, Zurich, Switzerland</v>
          </cell>
          <cell r="U368" t="str">
            <v>Food</v>
          </cell>
          <cell r="V368" t="str">
            <v>Seafood</v>
          </cell>
          <cell r="X368" t="str">
            <v>ERR10549686</v>
          </cell>
        </row>
        <row r="369">
          <cell r="G369" t="str">
            <v>/home/projects/cge/data/projects/other/Listeria_disinfectant_project/Switzerland_Taurai_Tasara/Raw_data/conc_fqs/S42_GGACTCCT-GAGCCTTA_R1_001.fastq.gz</v>
          </cell>
          <cell r="H369" t="str">
            <v>/home/projects/cge/data/projects/other/Listeria_disinfectant_project/Switzerland_Taurai_Tasara/Raw_data/conc_fqs/S42_GGACTCCT-GAGCCTTA_R2_001.fastq.gz</v>
          </cell>
          <cell r="I369" t="str">
            <v>N12-0494</v>
          </cell>
          <cell r="J369" t="str">
            <v>N12-0494</v>
          </cell>
          <cell r="K369" t="str">
            <v>Listeria monocytogenes</v>
          </cell>
          <cell r="L369">
            <v>46204391</v>
          </cell>
          <cell r="M369">
            <v>6143158</v>
          </cell>
          <cell r="N369" t="str">
            <v>Switzerland</v>
          </cell>
          <cell r="Q369">
            <v>2012</v>
          </cell>
          <cell r="T369" t="str">
            <v>Institute for Food Safety and Hygiene, Vetsuisse Faculty, University of Z√ºrich, Zurich, Switzerland</v>
          </cell>
          <cell r="U369" t="str">
            <v>Food</v>
          </cell>
          <cell r="V369" t="str">
            <v>Meat and meat products</v>
          </cell>
          <cell r="X369" t="str">
            <v>ERR10549600</v>
          </cell>
        </row>
        <row r="370">
          <cell r="G370" t="str">
            <v>/home/projects/cge/data/projects/other/Listeria_disinfectant_project/Switzerland_Taurai_Tasara/Raw_data/conc_fqs/S43_GGACTCCT-TTATGCGA_R1_001.fastq.gz</v>
          </cell>
          <cell r="H370" t="str">
            <v>/home/projects/cge/data/projects/other/Listeria_disinfectant_project/Switzerland_Taurai_Tasara/Raw_data/conc_fqs/S43_GGACTCCT-TTATGCGA_R2_001.fastq.gz</v>
          </cell>
          <cell r="I370" t="str">
            <v>N12-0561</v>
          </cell>
          <cell r="J370" t="str">
            <v>N12-0561</v>
          </cell>
          <cell r="K370" t="str">
            <v>Listeria monocytogenes</v>
          </cell>
          <cell r="L370">
            <v>46204391</v>
          </cell>
          <cell r="M370">
            <v>6143158</v>
          </cell>
          <cell r="N370" t="str">
            <v>Switzerland</v>
          </cell>
          <cell r="Q370">
            <v>2012</v>
          </cell>
          <cell r="T370" t="str">
            <v>Institute for Food Safety and Hygiene, Vetsuisse Faculty, University of Z√ºrich, Zurich, Switzerland</v>
          </cell>
          <cell r="U370" t="str">
            <v xml:space="preserve">Production environment </v>
          </cell>
          <cell r="V370" t="str">
            <v xml:space="preserve">Food processing environment </v>
          </cell>
          <cell r="X370" t="str">
            <v>ERR10549673</v>
          </cell>
        </row>
        <row r="371">
          <cell r="G371" t="str">
            <v>/home/projects/cge/data/projects/other/Listeria_disinfectant_project/Switzerland_Taurai_Tasara/Raw_data/conc_fqs/S44_TAGGCATG-TCGACTAG_R1_001.fastq.gz</v>
          </cell>
          <cell r="H371" t="str">
            <v>/home/projects/cge/data/projects/other/Listeria_disinfectant_project/Switzerland_Taurai_Tasara/Raw_data/conc_fqs/S44_TAGGCATG-TCGACTAG_R2_001.fastq.gz</v>
          </cell>
          <cell r="I371" t="str">
            <v>N12-0571</v>
          </cell>
          <cell r="J371" t="str">
            <v>N12-0571</v>
          </cell>
          <cell r="K371" t="str">
            <v>Listeria monocytogenes</v>
          </cell>
          <cell r="L371">
            <v>46204391</v>
          </cell>
          <cell r="M371">
            <v>6143158</v>
          </cell>
          <cell r="N371" t="str">
            <v>Switzerland</v>
          </cell>
          <cell r="Q371">
            <v>2012</v>
          </cell>
          <cell r="T371" t="str">
            <v>Institute for Food Safety and Hygiene, Vetsuisse Faculty, University of Z√ºrich, Zurich, Switzerland</v>
          </cell>
          <cell r="U371" t="str">
            <v>Food</v>
          </cell>
          <cell r="V371" t="str">
            <v>Meat and meat products</v>
          </cell>
          <cell r="X371" t="str">
            <v>ERR10549636</v>
          </cell>
        </row>
        <row r="372">
          <cell r="G372" t="str">
            <v>/home/projects/cge/data/projects/other/Listeria_disinfectant_project/Switzerland_Taurai_Tasara/Raw_data/conc_fqs/S45_TAGGCATG-TTCTAGCT_R1_001.fastq.gz</v>
          </cell>
          <cell r="H372" t="str">
            <v>/home/projects/cge/data/projects/other/Listeria_disinfectant_project/Switzerland_Taurai_Tasara/Raw_data/conc_fqs/S45_TAGGCATG-TTCTAGCT_R2_001.fastq.gz</v>
          </cell>
          <cell r="I372" t="str">
            <v>N12-0677</v>
          </cell>
          <cell r="J372" t="str">
            <v>N12-0677</v>
          </cell>
          <cell r="K372" t="str">
            <v>Listeria monocytogenes</v>
          </cell>
          <cell r="L372">
            <v>46204391</v>
          </cell>
          <cell r="M372">
            <v>6143158</v>
          </cell>
          <cell r="N372" t="str">
            <v>Switzerland</v>
          </cell>
          <cell r="Q372">
            <v>2012</v>
          </cell>
          <cell r="T372" t="str">
            <v>Institute for Food Safety and Hygiene, Vetsuisse Faculty, University of Z√ºrich, Zurich, Switzerland</v>
          </cell>
          <cell r="U372" t="str">
            <v>Food</v>
          </cell>
          <cell r="V372" t="str">
            <v>Meat and meat products</v>
          </cell>
          <cell r="X372" t="str">
            <v>ERR10549642</v>
          </cell>
        </row>
        <row r="373">
          <cell r="G373" t="str">
            <v>/home/projects/cge/data/projects/other/Listeria_disinfectant_project/Switzerland_Taurai_Tasara/Raw_data/conc_fqs/S47_TAGGCATG-GCGTAAGA_R1_001.fastq.gz</v>
          </cell>
          <cell r="H373" t="str">
            <v>/home/projects/cge/data/projects/other/Listeria_disinfectant_project/Switzerland_Taurai_Tasara/Raw_data/conc_fqs/S47_TAGGCATG-GCGTAAGA_R2_001.fastq.gz</v>
          </cell>
          <cell r="I373" t="str">
            <v>N12-0796</v>
          </cell>
          <cell r="J373" t="str">
            <v>N12-0796</v>
          </cell>
          <cell r="K373" t="str">
            <v>Listeria monocytogenes</v>
          </cell>
          <cell r="L373">
            <v>46204391</v>
          </cell>
          <cell r="M373">
            <v>6143158</v>
          </cell>
          <cell r="N373" t="str">
            <v>Switzerland</v>
          </cell>
          <cell r="Q373">
            <v>2012</v>
          </cell>
          <cell r="T373" t="str">
            <v>Institute for Food Safety and Hygiene, Vetsuisse Faculty, University of Z√ºrich, Zurich, Switzerland</v>
          </cell>
          <cell r="U373" t="str">
            <v>Food</v>
          </cell>
          <cell r="V373" t="str">
            <v>Meat and meat products</v>
          </cell>
          <cell r="X373" t="str">
            <v>ERR10549635</v>
          </cell>
        </row>
        <row r="374">
          <cell r="G374" t="str">
            <v>/home/projects/cge/data/projects/other/Listeria_disinfectant_project/Switzerland_Taurai_Tasara/Raw_data/conc_fqs/S50_TAGGCATG-GAGCCTTA_R1_001.fastq.gz</v>
          </cell>
          <cell r="H374" t="str">
            <v>/home/projects/cge/data/projects/other/Listeria_disinfectant_project/Switzerland_Taurai_Tasara/Raw_data/conc_fqs/S50_TAGGCATG-GAGCCTTA_R2_001.fastq.gz</v>
          </cell>
          <cell r="I374" t="str">
            <v>N12-0999</v>
          </cell>
          <cell r="J374" t="str">
            <v>N12-0999</v>
          </cell>
          <cell r="K374" t="str">
            <v>Listeria monocytogenes</v>
          </cell>
          <cell r="L374">
            <v>46204391</v>
          </cell>
          <cell r="M374">
            <v>6143158</v>
          </cell>
          <cell r="N374" t="str">
            <v>Switzerland</v>
          </cell>
          <cell r="Q374">
            <v>2012</v>
          </cell>
          <cell r="T374" t="str">
            <v>Institute for Food Safety and Hygiene, Vetsuisse Faculty, University of Z√ºrich, Zurich, Switzerland</v>
          </cell>
          <cell r="U374" t="str">
            <v xml:space="preserve">Production environment </v>
          </cell>
          <cell r="V374" t="str">
            <v xml:space="preserve">Food processing environment </v>
          </cell>
          <cell r="X374" t="str">
            <v>ERR10549581</v>
          </cell>
        </row>
        <row r="375">
          <cell r="G375" t="str">
            <v>/home/projects/cge/data/projects/other/Listeria_disinfectant_project/Switzerland_Taurai_Tasara/Raw_data/conc_fqs/S51_TAGGCATG-TTATGCGA_R1_001.fastq.gz</v>
          </cell>
          <cell r="H375" t="str">
            <v>/home/projects/cge/data/projects/other/Listeria_disinfectant_project/Switzerland_Taurai_Tasara/Raw_data/conc_fqs/S51_TAGGCATG-TTATGCGA_R2_001.fastq.gz</v>
          </cell>
          <cell r="I375" t="str">
            <v>N12-1002</v>
          </cell>
          <cell r="J375" t="str">
            <v>N12-1002</v>
          </cell>
          <cell r="K375" t="str">
            <v>Listeria monocytogenes</v>
          </cell>
          <cell r="L375">
            <v>46204391</v>
          </cell>
          <cell r="M375">
            <v>6143158</v>
          </cell>
          <cell r="N375" t="str">
            <v>Switzerland</v>
          </cell>
          <cell r="Q375">
            <v>2012</v>
          </cell>
          <cell r="T375" t="str">
            <v>Institute for Food Safety and Hygiene, Vetsuisse Faculty, University of Z√ºrich, Zurich, Switzerland</v>
          </cell>
          <cell r="U375" t="str">
            <v>Food</v>
          </cell>
          <cell r="V375" t="str">
            <v>Milk and milk products</v>
          </cell>
          <cell r="X375" t="str">
            <v>ERR10549583</v>
          </cell>
        </row>
        <row r="376">
          <cell r="G376" t="str">
            <v>/home/projects/cge/data/projects/other/Listeria_disinfectant_project/Switzerland_Taurai_Tasara/Raw_data/conc_fqs/S54_CTCTCTAC-CCTAGAGT_R1_001.fastq.gz</v>
          </cell>
          <cell r="H376" t="str">
            <v>/home/projects/cge/data/projects/other/Listeria_disinfectant_project/Switzerland_Taurai_Tasara/Raw_data/conc_fqs/S54_CTCTCTAC-CCTAGAGT_R2_001.fastq.gz</v>
          </cell>
          <cell r="I376" t="str">
            <v>N12-1436</v>
          </cell>
          <cell r="J376" t="str">
            <v>N12-1436</v>
          </cell>
          <cell r="K376" t="str">
            <v>Listeria monocytogenes</v>
          </cell>
          <cell r="L376">
            <v>46204391</v>
          </cell>
          <cell r="M376">
            <v>6143158</v>
          </cell>
          <cell r="N376" t="str">
            <v>Switzerland</v>
          </cell>
          <cell r="Q376">
            <v>2012</v>
          </cell>
          <cell r="T376" t="str">
            <v>Institute for Food Safety and Hygiene, Vetsuisse Faculty, University of Z√ºrich, Zurich, Switzerland</v>
          </cell>
          <cell r="U376" t="str">
            <v>Food</v>
          </cell>
          <cell r="V376" t="str">
            <v>Meat and meat products</v>
          </cell>
          <cell r="X376" t="str">
            <v>ERR10549638</v>
          </cell>
        </row>
        <row r="377">
          <cell r="G377" t="str">
            <v>/home/projects/cge/data/projects/other/Listeria_disinfectant_project/Switzerland_Taurai_Tasara/Raw_data/conc_fqs/S59_CTCTCTAC-GAGCCTTA_R1_001.fastq.gz</v>
          </cell>
          <cell r="H377" t="str">
            <v>/home/projects/cge/data/projects/other/Listeria_disinfectant_project/Switzerland_Taurai_Tasara/Raw_data/conc_fqs/S59_CTCTCTAC-GAGCCTTA_R2_001.fastq.gz</v>
          </cell>
          <cell r="I377" t="str">
            <v>N12-1667</v>
          </cell>
          <cell r="J377" t="str">
            <v>N12-1667</v>
          </cell>
          <cell r="K377" t="str">
            <v>Listeria monocytogenes</v>
          </cell>
          <cell r="L377">
            <v>46204391</v>
          </cell>
          <cell r="M377">
            <v>6143158</v>
          </cell>
          <cell r="N377" t="str">
            <v>Switzerland</v>
          </cell>
          <cell r="Q377">
            <v>2012</v>
          </cell>
          <cell r="T377" t="str">
            <v>Institute for Food Safety and Hygiene, Vetsuisse Faculty, University of Z√ºrich, Zurich, Switzerland</v>
          </cell>
          <cell r="U377" t="str">
            <v xml:space="preserve">Production environment </v>
          </cell>
          <cell r="V377" t="str">
            <v xml:space="preserve">Food processing environment </v>
          </cell>
          <cell r="X377" t="str">
            <v>ERR10549634</v>
          </cell>
        </row>
        <row r="378">
          <cell r="G378" t="str">
            <v>/home/projects/cge/data/projects/other/Listeria_disinfectant_project/Switzerland_Taurai_Tasara/Raw_data/conc_fqs/S61_CGAGGCTG-TCGACTAG_R1_001.fastq.gz</v>
          </cell>
          <cell r="H378" t="str">
            <v>/home/projects/cge/data/projects/other/Listeria_disinfectant_project/Switzerland_Taurai_Tasara/Raw_data/conc_fqs/S61_CGAGGCTG-TCGACTAG_R2_001.fastq.gz</v>
          </cell>
          <cell r="I378" t="str">
            <v>N12-2118</v>
          </cell>
          <cell r="J378" t="str">
            <v>N12-2118</v>
          </cell>
          <cell r="K378" t="str">
            <v>Listeria monocytogenes</v>
          </cell>
          <cell r="L378">
            <v>46204391</v>
          </cell>
          <cell r="M378">
            <v>6143158</v>
          </cell>
          <cell r="N378" t="str">
            <v>Switzerland</v>
          </cell>
          <cell r="Q378">
            <v>2012</v>
          </cell>
          <cell r="T378" t="str">
            <v>Institute for Food Safety and Hygiene, Vetsuisse Faculty, University of Z√ºrich, Zurich, Switzerland</v>
          </cell>
          <cell r="U378" t="str">
            <v>Food</v>
          </cell>
          <cell r="V378" t="str">
            <v>Meat and meat products</v>
          </cell>
          <cell r="X378" t="str">
            <v>ERR10549584</v>
          </cell>
        </row>
        <row r="379">
          <cell r="G379" t="str">
            <v>/home/projects/cge/data/projects/other/Listeria_disinfectant_project/Switzerland_Taurai_Tasara/Raw_data/conc_fqs/S63_CGAGGCTG-CCTAGAGT_R1_001.fastq.gz</v>
          </cell>
          <cell r="H379" t="str">
            <v>/home/projects/cge/data/projects/other/Listeria_disinfectant_project/Switzerland_Taurai_Tasara/Raw_data/conc_fqs/S63_CGAGGCTG-CCTAGAGT_R2_001.fastq.gz</v>
          </cell>
          <cell r="I379" t="str">
            <v>N12-2229</v>
          </cell>
          <cell r="J379" t="str">
            <v>N12-2229</v>
          </cell>
          <cell r="K379" t="str">
            <v>Listeria monocytogenes</v>
          </cell>
          <cell r="L379">
            <v>46204391</v>
          </cell>
          <cell r="M379">
            <v>6143158</v>
          </cell>
          <cell r="N379" t="str">
            <v>Switzerland</v>
          </cell>
          <cell r="Q379">
            <v>2012</v>
          </cell>
          <cell r="T379" t="str">
            <v>Institute for Food Safety and Hygiene, Vetsuisse Faculty, University of Z√ºrich, Zurich, Switzerland</v>
          </cell>
          <cell r="U379" t="str">
            <v>Food</v>
          </cell>
          <cell r="V379" t="str">
            <v>Meat and meat products</v>
          </cell>
          <cell r="X379" t="str">
            <v>ERR10549649</v>
          </cell>
        </row>
        <row r="380">
          <cell r="G380" t="str">
            <v>/home/projects/cge/data/projects/other/Listeria_disinfectant_project/Switzerland_Taurai_Tasara/Raw_data/conc_fqs/S64_CGAGGCTG-GCGTAAGA_R1_001.fastq.gz</v>
          </cell>
          <cell r="H380" t="str">
            <v>/home/projects/cge/data/projects/other/Listeria_disinfectant_project/Switzerland_Taurai_Tasara/Raw_data/conc_fqs/S64_CGAGGCTG-GCGTAAGA_R2_001.fastq.gz</v>
          </cell>
          <cell r="I380" t="str">
            <v>N12-2236</v>
          </cell>
          <cell r="J380" t="str">
            <v>N12-2236</v>
          </cell>
          <cell r="K380" t="str">
            <v>Listeria monocytogenes</v>
          </cell>
          <cell r="L380">
            <v>46204391</v>
          </cell>
          <cell r="M380">
            <v>6143158</v>
          </cell>
          <cell r="N380" t="str">
            <v>Switzerland</v>
          </cell>
          <cell r="Q380">
            <v>2012</v>
          </cell>
          <cell r="T380" t="str">
            <v>Institute for Food Safety and Hygiene, Vetsuisse Faculty, University of Z√ºrich, Zurich, Switzerland</v>
          </cell>
          <cell r="U380" t="str">
            <v>Food</v>
          </cell>
          <cell r="V380" t="str">
            <v>Meat and meat products</v>
          </cell>
          <cell r="X380" t="str">
            <v>ERR10549672</v>
          </cell>
        </row>
        <row r="381">
          <cell r="G381" t="str">
            <v>/home/projects/cge/data/projects/other/Listeria_disinfectant_project/Switzerland_Taurai_Tasara/Raw_data/conc_fqs/S92_GCTCATGA-AAGGCTAT_R1_001.fastq.gz</v>
          </cell>
          <cell r="H381" t="str">
            <v>/home/projects/cge/data/projects/other/Listeria_disinfectant_project/Switzerland_Taurai_Tasara/Raw_data/conc_fqs/S92_GCTCATGA-AAGGCTAT_R2_001.fastq.gz</v>
          </cell>
          <cell r="I381" t="str">
            <v>N12-0935</v>
          </cell>
          <cell r="J381" t="str">
            <v>N12-0935</v>
          </cell>
          <cell r="K381" t="str">
            <v>Listeria monocytogenes</v>
          </cell>
          <cell r="L381">
            <v>46204391</v>
          </cell>
          <cell r="M381">
            <v>6143158</v>
          </cell>
          <cell r="N381" t="str">
            <v>Switzerland</v>
          </cell>
          <cell r="Q381">
            <v>2012</v>
          </cell>
          <cell r="T381" t="str">
            <v>Institute for Food Safety and Hygiene, Vetsuisse Faculty, University of Z√ºrich, Zurich, Switzerland</v>
          </cell>
          <cell r="U381" t="str">
            <v>Human</v>
          </cell>
          <cell r="V381" t="str">
            <v xml:space="preserve">Human </v>
          </cell>
          <cell r="X381" t="str">
            <v>ERR10549643</v>
          </cell>
        </row>
        <row r="382">
          <cell r="G382" t="str">
            <v>/home/projects/cge/data/projects/other/Listeria_disinfectant_project/Switzerland_Taurai_Tasara/Raw_data/conc_fqs/S98_ATCTCAGG-GCGTAAGA_R1_001.fastq.gz</v>
          </cell>
          <cell r="H382" t="str">
            <v>/home/projects/cge/data/projects/other/Listeria_disinfectant_project/Switzerland_Taurai_Tasara/Raw_data/conc_fqs/S98_ATCTCAGG-GCGTAAGA_R2_001.fastq.gz</v>
          </cell>
          <cell r="I382" t="str">
            <v>N12-2082</v>
          </cell>
          <cell r="J382" t="str">
            <v>N12-2082</v>
          </cell>
          <cell r="K382" t="str">
            <v>Listeria monocytogenes</v>
          </cell>
          <cell r="L382">
            <v>46204391</v>
          </cell>
          <cell r="M382">
            <v>6143158</v>
          </cell>
          <cell r="N382" t="str">
            <v>Switzerland</v>
          </cell>
          <cell r="Q382">
            <v>2012</v>
          </cell>
          <cell r="T382" t="str">
            <v>Institute for Food Safety and Hygiene, Vetsuisse Faculty, University of Z√ºrich, Zurich, Switzerland</v>
          </cell>
          <cell r="U382" t="str">
            <v>Human</v>
          </cell>
          <cell r="V382" t="str">
            <v xml:space="preserve">Human </v>
          </cell>
          <cell r="X382" t="str">
            <v>ERR10549650</v>
          </cell>
        </row>
        <row r="383">
          <cell r="G383" t="str">
            <v>/home/projects/cge/backup/fastq/food_seqdata/NextSeq_208/FoodQCPipeline_tmp/conc_fqs/DTU_2022_1016064_1_SI_N13_0255_R1_001.fq.gz</v>
          </cell>
          <cell r="H383" t="str">
            <v>/home/projects/cge/backup/fastq/food_seqdata/NextSeq_208/FoodQCPipeline_tmp/conc_fqs/DTU_2022_1016064_1_SI_N13_0255_R2_001.fq.gz</v>
          </cell>
          <cell r="I383" t="str">
            <v>N13_0255</v>
          </cell>
          <cell r="J383" t="str">
            <v>N13_0255</v>
          </cell>
          <cell r="K383" t="str">
            <v>Listeria monocytogenes</v>
          </cell>
          <cell r="L383">
            <v>46204391</v>
          </cell>
          <cell r="M383">
            <v>6143158</v>
          </cell>
          <cell r="N383" t="str">
            <v>Switzerland</v>
          </cell>
          <cell r="Q383">
            <v>2013</v>
          </cell>
          <cell r="T383" t="str">
            <v>Institute for Food Safety and Hygiene, Vetsuisse Faculty, University of Z√ºrich, Zurich, Switzerland</v>
          </cell>
          <cell r="U383" t="str">
            <v>Food</v>
          </cell>
          <cell r="V383" t="str">
            <v>Milk / Milk product</v>
          </cell>
          <cell r="X383" t="str">
            <v>ERR10612116</v>
          </cell>
        </row>
        <row r="384">
          <cell r="G384" t="str">
            <v>/home/projects/cge/backup/fastq/food_seqdata/NextSeq_208/FoodQCPipeline_tmp/conc_fqs/DTU_2022_1016065_1_SI_N13_0402_R1_001.fq.gz</v>
          </cell>
          <cell r="H384" t="str">
            <v>/home/projects/cge/backup/fastq/food_seqdata/NextSeq_208/FoodQCPipeline_tmp/conc_fqs/DTU_2022_1016065_1_SI_N13_0402_R2_001.fq.gz</v>
          </cell>
          <cell r="I384" t="str">
            <v>N13_0402</v>
          </cell>
          <cell r="J384" t="str">
            <v>N13_0402</v>
          </cell>
          <cell r="K384" t="str">
            <v>Listeria monocytogenes</v>
          </cell>
          <cell r="L384">
            <v>46204391</v>
          </cell>
          <cell r="M384">
            <v>6143158</v>
          </cell>
          <cell r="N384" t="str">
            <v>Switzerland</v>
          </cell>
          <cell r="Q384">
            <v>2013</v>
          </cell>
          <cell r="T384" t="str">
            <v>Institute for Food Safety and Hygiene, Vetsuisse Faculty, University of Z√ºrich, Zurich, Switzerland</v>
          </cell>
          <cell r="U384" t="str">
            <v>Food</v>
          </cell>
          <cell r="V384" t="str">
            <v>Seafood</v>
          </cell>
          <cell r="X384" t="str">
            <v>ERR10612113</v>
          </cell>
        </row>
        <row r="385">
          <cell r="G385" t="str">
            <v>/home/projects/cge/data/projects/other/Listeria_disinfectant_project/Switzerland_Taurai_Tasara/Raw_data/conc_fqs/S101_ATCTCAGG-GAGCCTTA_R1_001.fastq.gz</v>
          </cell>
          <cell r="H385" t="str">
            <v>/home/projects/cge/data/projects/other/Listeria_disinfectant_project/Switzerland_Taurai_Tasara/Raw_data/conc_fqs/S101_ATCTCAGG-GAGCCTTA_R2_001.fastq.gz</v>
          </cell>
          <cell r="I385" t="str">
            <v>N13-0094</v>
          </cell>
          <cell r="J385" t="str">
            <v>N13-0094</v>
          </cell>
          <cell r="K385" t="str">
            <v>Listeria monocytogenes</v>
          </cell>
          <cell r="L385">
            <v>46204391</v>
          </cell>
          <cell r="M385">
            <v>6143158</v>
          </cell>
          <cell r="N385" t="str">
            <v>Switzerland</v>
          </cell>
          <cell r="Q385">
            <v>2013</v>
          </cell>
          <cell r="T385" t="str">
            <v>Institute for Food Safety and Hygiene, Vetsuisse Faculty, University of Z√ºrich, Zurich, Switzerland</v>
          </cell>
          <cell r="U385" t="str">
            <v>Human</v>
          </cell>
          <cell r="V385" t="str">
            <v xml:space="preserve">Human </v>
          </cell>
          <cell r="X385" t="str">
            <v>ERR10549591</v>
          </cell>
        </row>
        <row r="386">
          <cell r="G386" t="str">
            <v>/home/projects/cge/data/projects/other/Listeria_disinfectant_project/Switzerland_Taurai_Tasara/Raw_data/conc_fqs/S102_ATCTCAGG-TTATGCGA_R1_001.fastq.gz</v>
          </cell>
          <cell r="H386" t="str">
            <v>/home/projects/cge/data/projects/other/Listeria_disinfectant_project/Switzerland_Taurai_Tasara/Raw_data/conc_fqs/S102_ATCTCAGG-TTATGCGA_R2_001.fastq.gz</v>
          </cell>
          <cell r="I386" t="str">
            <v>N13-0119</v>
          </cell>
          <cell r="J386" t="str">
            <v>N13-0119</v>
          </cell>
          <cell r="K386" t="str">
            <v>Listeria monocytogenes</v>
          </cell>
          <cell r="L386">
            <v>46204391</v>
          </cell>
          <cell r="M386">
            <v>6143158</v>
          </cell>
          <cell r="N386" t="str">
            <v>Switzerland</v>
          </cell>
          <cell r="Q386">
            <v>2013</v>
          </cell>
          <cell r="T386" t="str">
            <v>Institute for Food Safety and Hygiene, Vetsuisse Faculty, University of Z√ºrich, Zurich, Switzerland</v>
          </cell>
          <cell r="U386" t="str">
            <v>Human</v>
          </cell>
          <cell r="V386" t="str">
            <v xml:space="preserve">Human </v>
          </cell>
          <cell r="X386" t="str">
            <v>ERR10549590</v>
          </cell>
        </row>
        <row r="387">
          <cell r="G387" t="str">
            <v>/home/projects/cge/data/projects/other/Listeria_disinfectant_project/Switzerland_Taurai_Tasara/Raw_data/conc_fqs/S195_TCGACGTC-TTCTAGCT_R1_001.fastq.gz</v>
          </cell>
          <cell r="H387" t="str">
            <v>/home/projects/cge/data/projects/other/Listeria_disinfectant_project/Switzerland_Taurai_Tasara/Raw_data/conc_fqs/S195_TCGACGTC-TTCTAGCT_R2_001.fastq.gz</v>
          </cell>
          <cell r="I387" t="str">
            <v>N13-0047</v>
          </cell>
          <cell r="J387" t="str">
            <v>N13-0047</v>
          </cell>
          <cell r="K387" t="str">
            <v>Listeria monocytogenes</v>
          </cell>
          <cell r="L387">
            <v>46204391</v>
          </cell>
          <cell r="M387">
            <v>6143158</v>
          </cell>
          <cell r="N387" t="str">
            <v>Switzerland</v>
          </cell>
          <cell r="Q387">
            <v>2013</v>
          </cell>
          <cell r="T387" t="str">
            <v>Institute for Food Safety and Hygiene, Vetsuisse Faculty, University of Z√ºrich, Zurich, Switzerland</v>
          </cell>
          <cell r="U387" t="str">
            <v>Food</v>
          </cell>
          <cell r="V387" t="str">
            <v>Milk and milk products</v>
          </cell>
          <cell r="X387" t="str">
            <v>ERR10549654</v>
          </cell>
        </row>
        <row r="388">
          <cell r="G388" t="str">
            <v>/home/projects/cge/data/projects/other/Listeria_disinfectant_project/Switzerland_Taurai_Tasara/Raw_data/conc_fqs/S71_AAGAGGCA-CCTAGAGT_R1_001.fastq.gz</v>
          </cell>
          <cell r="H388" t="str">
            <v>/home/projects/cge/data/projects/other/Listeria_disinfectant_project/Switzerland_Taurai_Tasara/Raw_data/conc_fqs/S71_AAGAGGCA-CCTAGAGT_R2_001.fastq.gz</v>
          </cell>
          <cell r="I388" t="str">
            <v>N13-0245</v>
          </cell>
          <cell r="J388" t="str">
            <v>N13-0245</v>
          </cell>
          <cell r="K388" t="str">
            <v>Listeria monocytogenes</v>
          </cell>
          <cell r="L388">
            <v>46204391</v>
          </cell>
          <cell r="M388">
            <v>6143158</v>
          </cell>
          <cell r="N388" t="str">
            <v>Switzerland</v>
          </cell>
          <cell r="Q388">
            <v>2013</v>
          </cell>
          <cell r="T388" t="str">
            <v>Institute for Food Safety and Hygiene, Vetsuisse Faculty, University of Z√ºrich, Zurich, Switzerland</v>
          </cell>
          <cell r="U388" t="str">
            <v>Food</v>
          </cell>
          <cell r="V388" t="str">
            <v>Meat and meat products</v>
          </cell>
          <cell r="X388" t="str">
            <v>ERR10549710</v>
          </cell>
        </row>
        <row r="389">
          <cell r="G389" t="str">
            <v>/home/projects/cge/data/projects/other/Listeria_disinfectant_project/Switzerland_Taurai_Tasara/Raw_data/conc_fqs/S72_AAGAGGCA-GCGTAAGA_R1_001.fastq.gz</v>
          </cell>
          <cell r="H389" t="str">
            <v>/home/projects/cge/data/projects/other/Listeria_disinfectant_project/Switzerland_Taurai_Tasara/Raw_data/conc_fqs/S72_AAGAGGCA-GCGTAAGA_R2_001.fastq.gz</v>
          </cell>
          <cell r="I389" t="str">
            <v>N13-0254</v>
          </cell>
          <cell r="J389" t="str">
            <v>N13-0254</v>
          </cell>
          <cell r="K389" t="str">
            <v>Listeria monocytogenes</v>
          </cell>
          <cell r="L389">
            <v>46204391</v>
          </cell>
          <cell r="M389">
            <v>6143158</v>
          </cell>
          <cell r="N389" t="str">
            <v>Switzerland</v>
          </cell>
          <cell r="Q389">
            <v>2013</v>
          </cell>
          <cell r="T389" t="str">
            <v>Institute for Food Safety and Hygiene, Vetsuisse Faculty, University of Z√ºrich, Zurich, Switzerland</v>
          </cell>
          <cell r="U389" t="str">
            <v>Food</v>
          </cell>
          <cell r="V389" t="str">
            <v>Meat and meat products</v>
          </cell>
          <cell r="X389" t="str">
            <v>ERR10549655</v>
          </cell>
        </row>
        <row r="390">
          <cell r="G390" t="str">
            <v>/home/projects/cge/data/projects/other/Listeria_disinfectant_project/Switzerland_Taurai_Tasara/Raw_data/conc_fqs/S74_AAGAGGCA-CTATTAAG_R1_001.fastq.gz</v>
          </cell>
          <cell r="H390" t="str">
            <v>/home/projects/cge/data/projects/other/Listeria_disinfectant_project/Switzerland_Taurai_Tasara/Raw_data/conc_fqs/S74_AAGAGGCA-CTATTAAG_R2_001.fastq.gz</v>
          </cell>
          <cell r="I390" t="str">
            <v>N13-0288</v>
          </cell>
          <cell r="J390" t="str">
            <v>N13-0288</v>
          </cell>
          <cell r="K390" t="str">
            <v>Listeria monocytogenes</v>
          </cell>
          <cell r="L390">
            <v>46204391</v>
          </cell>
          <cell r="M390">
            <v>6143158</v>
          </cell>
          <cell r="N390" t="str">
            <v>Switzerland</v>
          </cell>
          <cell r="Q390">
            <v>2013</v>
          </cell>
          <cell r="T390" t="str">
            <v>Institute for Food Safety and Hygiene, Vetsuisse Faculty, University of Z√ºrich, Zurich, Switzerland</v>
          </cell>
          <cell r="U390" t="str">
            <v>Food</v>
          </cell>
          <cell r="V390" t="str">
            <v>Meat and meat products</v>
          </cell>
          <cell r="X390" t="str">
            <v>ERR10549656</v>
          </cell>
        </row>
        <row r="391">
          <cell r="G391" t="str">
            <v>/home/projects/cge/data/projects/other/Listeria_disinfectant_project/Switzerland_Taurai_Tasara/Raw_data/conc_fqs/S75_AAGAGGCA-AAGGCTAT_R1_001.fastq.gz</v>
          </cell>
          <cell r="H391" t="str">
            <v>/home/projects/cge/data/projects/other/Listeria_disinfectant_project/Switzerland_Taurai_Tasara/Raw_data/conc_fqs/S75_AAGAGGCA-AAGGCTAT_R2_001.fastq.gz</v>
          </cell>
          <cell r="I391" t="str">
            <v>N13-0369</v>
          </cell>
          <cell r="J391" t="str">
            <v>N13-0369</v>
          </cell>
          <cell r="K391" t="str">
            <v>Listeria monocytogenes</v>
          </cell>
          <cell r="L391">
            <v>46204391</v>
          </cell>
          <cell r="M391">
            <v>6143158</v>
          </cell>
          <cell r="N391" t="str">
            <v>Switzerland</v>
          </cell>
          <cell r="Q391">
            <v>2013</v>
          </cell>
          <cell r="T391" t="str">
            <v>Institute for Food Safety and Hygiene, Vetsuisse Faculty, University of Z√ºrich, Zurich, Switzerland</v>
          </cell>
          <cell r="U391" t="str">
            <v>Food</v>
          </cell>
          <cell r="V391" t="str">
            <v>Meat and meat products</v>
          </cell>
          <cell r="X391" t="str">
            <v>ERR10549721</v>
          </cell>
        </row>
        <row r="392">
          <cell r="G392" t="str">
            <v>/home/projects/cge/data/projects/other/Listeria_disinfectant_project/Switzerland_Taurai_Tasara/Raw_data/conc_fqs/S79_GTAGAGGA-TCGACTAG_R1_001.fastq.gz</v>
          </cell>
          <cell r="H392" t="str">
            <v>/home/projects/cge/data/projects/other/Listeria_disinfectant_project/Switzerland_Taurai_Tasara/Raw_data/conc_fqs/S79_GTAGAGGA-TCGACTAG_R2_001.fastq.gz</v>
          </cell>
          <cell r="I392" t="str">
            <v>N13-0474</v>
          </cell>
          <cell r="J392" t="str">
            <v>N13-0474</v>
          </cell>
          <cell r="K392" t="str">
            <v>Listeria monocytogenes</v>
          </cell>
          <cell r="L392">
            <v>46204391</v>
          </cell>
          <cell r="M392">
            <v>6143158</v>
          </cell>
          <cell r="N392" t="str">
            <v>Switzerland</v>
          </cell>
          <cell r="Q392">
            <v>2013</v>
          </cell>
          <cell r="T392" t="str">
            <v>Institute for Food Safety and Hygiene, Vetsuisse Faculty, University of Z√ºrich, Zurich, Switzerland</v>
          </cell>
          <cell r="U392" t="str">
            <v>Food</v>
          </cell>
          <cell r="V392" t="str">
            <v>Meat and meat products</v>
          </cell>
          <cell r="X392" t="str">
            <v>ERR10549717</v>
          </cell>
        </row>
        <row r="393">
          <cell r="G393" t="str">
            <v>/home/projects/cge/backup/fastq/food_seqdata/NextSeq_208/FoodQCPipeline_tmp/conc_fqs/DTU_2022_1015978_1_SI_D5590_A_R1_001.fq.gz</v>
          </cell>
          <cell r="H393" t="str">
            <v>/home/projects/cge/backup/fastq/food_seqdata/NextSeq_208/FoodQCPipeline_tmp/conc_fqs/DTU_2022_1015978_1_SI_D5590_A_R2_001.fq.gz</v>
          </cell>
          <cell r="I393" t="str">
            <v>D5590_A</v>
          </cell>
          <cell r="J393" t="str">
            <v>D5590_A</v>
          </cell>
          <cell r="K393" t="str">
            <v>Listeria monocytogenes</v>
          </cell>
          <cell r="L393">
            <v>46204391</v>
          </cell>
          <cell r="M393">
            <v>6143158</v>
          </cell>
          <cell r="N393" t="str">
            <v>Switzerland</v>
          </cell>
          <cell r="Q393">
            <v>2014</v>
          </cell>
          <cell r="T393" t="str">
            <v>Institute for Food Safety and Hygiene, Vetsuisse Faculty, University of Z√ºrich, Zurich, Switzerland</v>
          </cell>
          <cell r="U393" t="str">
            <v>Food</v>
          </cell>
          <cell r="V393" t="str">
            <v>Meat</v>
          </cell>
          <cell r="X393" t="str">
            <v>ERR10611992</v>
          </cell>
        </row>
        <row r="394">
          <cell r="G394" t="str">
            <v>/home/projects/cge/backup/fastq/food_seqdata/NextSeq_208/FoodQCPipeline_tmp/conc_fqs/DTU_2022_1016066_1_SI_N14_0152_R1_001.fq.gz</v>
          </cell>
          <cell r="H394" t="str">
            <v>/home/projects/cge/backup/fastq/food_seqdata/NextSeq_208/FoodQCPipeline_tmp/conc_fqs/DTU_2022_1016066_1_SI_N14_0152_R2_001.fq.gz</v>
          </cell>
          <cell r="I394" t="str">
            <v>N14_0152</v>
          </cell>
          <cell r="J394" t="str">
            <v>N14_0152</v>
          </cell>
          <cell r="K394" t="str">
            <v>Listeria monocytogenes</v>
          </cell>
          <cell r="L394">
            <v>46204391</v>
          </cell>
          <cell r="M394">
            <v>6143158</v>
          </cell>
          <cell r="N394" t="str">
            <v>Switzerland</v>
          </cell>
          <cell r="Q394">
            <v>2014</v>
          </cell>
          <cell r="T394" t="str">
            <v>Institute for Food Safety and Hygiene, Vetsuisse Faculty, University of Z√ºrich, Zurich, Switzerland</v>
          </cell>
          <cell r="U394" t="str">
            <v>Food</v>
          </cell>
          <cell r="V394" t="str">
            <v>Vegetable and salads</v>
          </cell>
          <cell r="X394" t="str">
            <v>ERR10612127</v>
          </cell>
        </row>
        <row r="395">
          <cell r="G395" t="str">
            <v>/home/projects/cge/backup/fastq/food_seqdata/NextSeq_208/FoodQCPipeline_tmp/conc_fqs/DTU_2022_1016067_1_SI_N14_0260_R1_001.fq.gz</v>
          </cell>
          <cell r="H395" t="str">
            <v>/home/projects/cge/backup/fastq/food_seqdata/NextSeq_208/FoodQCPipeline_tmp/conc_fqs/DTU_2022_1016067_1_SI_N14_0260_R2_001.fq.gz</v>
          </cell>
          <cell r="I395" t="str">
            <v>N14_0260</v>
          </cell>
          <cell r="J395" t="str">
            <v>N14_0260</v>
          </cell>
          <cell r="K395" t="str">
            <v>Listeria monocytogenes</v>
          </cell>
          <cell r="L395">
            <v>46204391</v>
          </cell>
          <cell r="M395">
            <v>6143158</v>
          </cell>
          <cell r="N395" t="str">
            <v>Switzerland</v>
          </cell>
          <cell r="Q395">
            <v>2014</v>
          </cell>
          <cell r="T395" t="str">
            <v>Institute for Food Safety and Hygiene, Vetsuisse Faculty, University of Z√ºrich, Zurich, Switzerland</v>
          </cell>
          <cell r="U395" t="str">
            <v>Food</v>
          </cell>
          <cell r="V395" t="str">
            <v>Meat / Meat product</v>
          </cell>
          <cell r="X395" t="str">
            <v>ERR10612117</v>
          </cell>
        </row>
        <row r="396">
          <cell r="G396" t="str">
            <v>/home/projects/cge/backup/fastq/food_seqdata/NextSeq_208/FoodQCPipeline_tmp/conc_fqs/DTU_2022_1016114_1_SI_N195_R1_001.fq.gz</v>
          </cell>
          <cell r="H396" t="str">
            <v>/home/projects/cge/backup/fastq/food_seqdata/NextSeq_208/FoodQCPipeline_tmp/conc_fqs/DTU_2022_1016114_1_SI_N195_R2_001.fq.gz</v>
          </cell>
          <cell r="I396" t="str">
            <v>N195</v>
          </cell>
          <cell r="J396" t="str">
            <v>N195</v>
          </cell>
          <cell r="K396" t="str">
            <v>Listeria monocytogenes</v>
          </cell>
          <cell r="L396">
            <v>46204391</v>
          </cell>
          <cell r="M396">
            <v>6143158</v>
          </cell>
          <cell r="N396" t="str">
            <v>Switzerland</v>
          </cell>
          <cell r="Q396">
            <v>2014</v>
          </cell>
          <cell r="T396" t="str">
            <v>Institute for Food Safety and Hygiene, Vetsuisse Faculty, University of Z√ºrich, Zurich, Switzerland</v>
          </cell>
          <cell r="U396" t="str">
            <v>Food</v>
          </cell>
          <cell r="V396" t="str">
            <v>meat</v>
          </cell>
          <cell r="X396" t="str">
            <v>ERR10612125</v>
          </cell>
        </row>
        <row r="397">
          <cell r="G397" t="str">
            <v>/home/projects/cge/backup/fastq/food_seqdata/NextSeq_208/FoodQCPipeline_tmp/conc_fqs/DTU_2022_1016068_1_SI_N19_0127_R1_001.fq.gz</v>
          </cell>
          <cell r="H397" t="str">
            <v>/home/projects/cge/backup/fastq/food_seqdata/NextSeq_208/FoodQCPipeline_tmp/conc_fqs/DTU_2022_1016068_1_SI_N19_0127_R2_001.fq.gz</v>
          </cell>
          <cell r="I397" t="str">
            <v>N19_0127</v>
          </cell>
          <cell r="J397" t="str">
            <v>N19_0127</v>
          </cell>
          <cell r="K397" t="str">
            <v>Listeria monocytogenes</v>
          </cell>
          <cell r="L397">
            <v>46204391</v>
          </cell>
          <cell r="M397">
            <v>6143158</v>
          </cell>
          <cell r="N397" t="str">
            <v>Switzerland</v>
          </cell>
          <cell r="Q397">
            <v>2019</v>
          </cell>
          <cell r="T397" t="str">
            <v>Institute for Food Safety and Hygiene, Vetsuisse Faculty, University of Z√ºrich, Zurich, Switzerland</v>
          </cell>
          <cell r="U397" t="str">
            <v>Food</v>
          </cell>
          <cell r="V397" t="str">
            <v>Meat</v>
          </cell>
          <cell r="X397" t="str">
            <v>ERR10612131</v>
          </cell>
        </row>
        <row r="398">
          <cell r="G398" t="str">
            <v>/home/projects/cge/backup/fastq/food_seqdata/NextSeq_208/FoodQCPipeline_tmp/conc_fqs/DTU_2022_1016069_1_SI_N19_0128_R1_001.fq.gz</v>
          </cell>
          <cell r="H398" t="str">
            <v>/home/projects/cge/backup/fastq/food_seqdata/NextSeq_208/FoodQCPipeline_tmp/conc_fqs/DTU_2022_1016069_1_SI_N19_0128_R2_001.fq.gz</v>
          </cell>
          <cell r="I398" t="str">
            <v>N19_0128</v>
          </cell>
          <cell r="J398" t="str">
            <v>N19_0128</v>
          </cell>
          <cell r="K398" t="str">
            <v>Listeria monocytogenes</v>
          </cell>
          <cell r="L398">
            <v>46204391</v>
          </cell>
          <cell r="M398">
            <v>6143158</v>
          </cell>
          <cell r="N398" t="str">
            <v>Switzerland</v>
          </cell>
          <cell r="Q398">
            <v>2019</v>
          </cell>
          <cell r="T398" t="str">
            <v>Institute for Food Safety and Hygiene, Vetsuisse Faculty, University of Z√ºrich, Zurich, Switzerland</v>
          </cell>
          <cell r="U398" t="str">
            <v>Food</v>
          </cell>
          <cell r="V398" t="str">
            <v>Milk product</v>
          </cell>
          <cell r="X398" t="str">
            <v>ERR10612142</v>
          </cell>
        </row>
        <row r="399">
          <cell r="G399" t="str">
            <v>/home/projects/cge/backup/fastq/food_seqdata/NextSeq_208/FoodQCPipeline_tmp/conc_fqs/DTU_2022_1016070_1_SI_N19_0200_R1_001.fq.gz</v>
          </cell>
          <cell r="H399" t="str">
            <v>/home/projects/cge/backup/fastq/food_seqdata/NextSeq_208/FoodQCPipeline_tmp/conc_fqs/DTU_2022_1016070_1_SI_N19_0200_R2_001.fq.gz</v>
          </cell>
          <cell r="I399" t="str">
            <v>N19_0200</v>
          </cell>
          <cell r="J399" t="str">
            <v>N19_0200</v>
          </cell>
          <cell r="K399" t="str">
            <v>Listeria monocytogenes</v>
          </cell>
          <cell r="L399">
            <v>46204391</v>
          </cell>
          <cell r="M399">
            <v>6143158</v>
          </cell>
          <cell r="N399" t="str">
            <v>Switzerland</v>
          </cell>
          <cell r="Q399">
            <v>2019</v>
          </cell>
          <cell r="T399" t="str">
            <v>Institute for Food Safety and Hygiene, Vetsuisse Faculty, University of Z√ºrich, Zurich, Switzerland</v>
          </cell>
          <cell r="U399" t="str">
            <v>Food</v>
          </cell>
          <cell r="V399" t="str">
            <v>Seafood</v>
          </cell>
          <cell r="X399" t="str">
            <v>ERR10612159</v>
          </cell>
        </row>
        <row r="400">
          <cell r="G400" t="str">
            <v>/home/projects/cge/backup/fastq/food_seqdata/NextSeq_208/FoodQCPipeline_tmp/conc_fqs/DTU_2022_1016071_1_SI_N19_0309_R1_001.fq.gz</v>
          </cell>
          <cell r="H400" t="str">
            <v>/home/projects/cge/backup/fastq/food_seqdata/NextSeq_208/FoodQCPipeline_tmp/conc_fqs/DTU_2022_1016071_1_SI_N19_0309_R2_001.fq.gz</v>
          </cell>
          <cell r="I400" t="str">
            <v>N19_0309</v>
          </cell>
          <cell r="J400" t="str">
            <v>N19_0309</v>
          </cell>
          <cell r="K400" t="str">
            <v>Listeria monocytogenes</v>
          </cell>
          <cell r="L400">
            <v>46204391</v>
          </cell>
          <cell r="M400">
            <v>6143158</v>
          </cell>
          <cell r="N400" t="str">
            <v>Switzerland</v>
          </cell>
          <cell r="Q400">
            <v>2019</v>
          </cell>
          <cell r="T400" t="str">
            <v>Institute for Food Safety and Hygiene, Vetsuisse Faculty, University of Z√ºrich, Zurich, Switzerland</v>
          </cell>
          <cell r="U400" t="str">
            <v>Food</v>
          </cell>
          <cell r="V400" t="str">
            <v>Poultry</v>
          </cell>
          <cell r="X400" t="str">
            <v>ERR10612133</v>
          </cell>
        </row>
        <row r="401">
          <cell r="G401" t="str">
            <v>/home/projects/cge/backup/fastq/food_seqdata/NextSeq_208/FoodQCPipeline_tmp/conc_fqs/DTU_2022_1016072_1_SI_N19_0345_R1_001.fq.gz</v>
          </cell>
          <cell r="H401" t="str">
            <v>/home/projects/cge/backup/fastq/food_seqdata/NextSeq_208/FoodQCPipeline_tmp/conc_fqs/DTU_2022_1016072_1_SI_N19_0345_R2_001.fq.gz</v>
          </cell>
          <cell r="I401" t="str">
            <v>N19_0345</v>
          </cell>
          <cell r="J401" t="str">
            <v>N19_0345</v>
          </cell>
          <cell r="K401" t="str">
            <v>Listeria monocytogenes</v>
          </cell>
          <cell r="L401">
            <v>46204391</v>
          </cell>
          <cell r="M401">
            <v>6143158</v>
          </cell>
          <cell r="N401" t="str">
            <v>Switzerland</v>
          </cell>
          <cell r="Q401">
            <v>2019</v>
          </cell>
          <cell r="T401" t="str">
            <v>Institute for Food Safety and Hygiene, Vetsuisse Faculty, University of Z√ºrich, Zurich, Switzerland</v>
          </cell>
          <cell r="U401" t="str">
            <v>Food</v>
          </cell>
          <cell r="V401" t="str">
            <v>Seafood</v>
          </cell>
          <cell r="X401" t="str">
            <v>ERR10612128</v>
          </cell>
        </row>
        <row r="402">
          <cell r="G402" t="str">
            <v>/home/projects/cge/backup/fastq/food_seqdata/NextSeq_208/FoodQCPipeline_tmp/conc_fqs/DTU_2022_1016073_1_SI_N19_0351_R1_001.fq.gz</v>
          </cell>
          <cell r="H402" t="str">
            <v>/home/projects/cge/backup/fastq/food_seqdata/NextSeq_208/FoodQCPipeline_tmp/conc_fqs/DTU_2022_1016073_1_SI_N19_0351_R2_001.fq.gz</v>
          </cell>
          <cell r="I402" t="str">
            <v>N19_0351</v>
          </cell>
          <cell r="J402" t="str">
            <v>N19_0351</v>
          </cell>
          <cell r="K402" t="str">
            <v>Listeria monocytogenes</v>
          </cell>
          <cell r="L402">
            <v>46204391</v>
          </cell>
          <cell r="M402">
            <v>6143158</v>
          </cell>
          <cell r="N402" t="str">
            <v>Switzerland</v>
          </cell>
          <cell r="Q402">
            <v>2019</v>
          </cell>
          <cell r="T402" t="str">
            <v>Institute for Food Safety and Hygiene, Vetsuisse Faculty, University of Z√ºrich, Zurich, Switzerland</v>
          </cell>
          <cell r="U402" t="str">
            <v>Food</v>
          </cell>
          <cell r="V402" t="str">
            <v>Meat</v>
          </cell>
          <cell r="X402" t="str">
            <v>ERR10612101</v>
          </cell>
        </row>
        <row r="403">
          <cell r="G403" t="str">
            <v>/home/projects/cge/backup/fastq/food_seqdata/NextSeq_208/FoodQCPipeline_tmp/conc_fqs/DTU_2022_1016074_1_SI_N19_0368_R1_001.fq.gz</v>
          </cell>
          <cell r="H403" t="str">
            <v>/home/projects/cge/backup/fastq/food_seqdata/NextSeq_208/FoodQCPipeline_tmp/conc_fqs/DTU_2022_1016074_1_SI_N19_0368_R2_001.fq.gz</v>
          </cell>
          <cell r="I403" t="str">
            <v>N19_0368</v>
          </cell>
          <cell r="J403" t="str">
            <v>N19_0368</v>
          </cell>
          <cell r="K403" t="str">
            <v>Listeria monocytogenes</v>
          </cell>
          <cell r="L403">
            <v>46204391</v>
          </cell>
          <cell r="M403">
            <v>6143158</v>
          </cell>
          <cell r="N403" t="str">
            <v>Switzerland</v>
          </cell>
          <cell r="Q403">
            <v>2019</v>
          </cell>
          <cell r="T403" t="str">
            <v>Institute for Food Safety and Hygiene, Vetsuisse Faculty, University of Z√ºrich, Zurich, Switzerland</v>
          </cell>
          <cell r="U403" t="str">
            <v>Food</v>
          </cell>
          <cell r="V403" t="str">
            <v>Poultry</v>
          </cell>
          <cell r="X403" t="str">
            <v>ERR10612129</v>
          </cell>
        </row>
        <row r="404">
          <cell r="G404" t="str">
            <v>/home/projects/cge/backup/fastq/food_seqdata/NextSeq_208/FoodQCPipeline_tmp/conc_fqs/DTU_2022_1016075_1_SI_N19_0413_R1_001.fq.gz</v>
          </cell>
          <cell r="H404" t="str">
            <v>/home/projects/cge/backup/fastq/food_seqdata/NextSeq_208/FoodQCPipeline_tmp/conc_fqs/DTU_2022_1016075_1_SI_N19_0413_R2_001.fq.gz</v>
          </cell>
          <cell r="I404" t="str">
            <v>N19_0413</v>
          </cell>
          <cell r="J404" t="str">
            <v>N19_0413</v>
          </cell>
          <cell r="K404" t="str">
            <v>Listeria monocytogenes</v>
          </cell>
          <cell r="L404">
            <v>46204391</v>
          </cell>
          <cell r="M404">
            <v>6143158</v>
          </cell>
          <cell r="N404" t="str">
            <v>Switzerland</v>
          </cell>
          <cell r="Q404">
            <v>2019</v>
          </cell>
          <cell r="T404" t="str">
            <v>Institute for Food Safety and Hygiene, Vetsuisse Faculty, University of Z√ºrich, Zurich, Switzerland</v>
          </cell>
          <cell r="U404" t="str">
            <v>Food</v>
          </cell>
          <cell r="V404" t="str">
            <v>Seafood</v>
          </cell>
          <cell r="X404" t="str">
            <v>ERR10612160</v>
          </cell>
        </row>
        <row r="405">
          <cell r="G405" t="str">
            <v>/home/projects/cge/backup/fastq/food_seqdata/NextSeq_208/FoodQCPipeline_tmp/conc_fqs/DTU_2022_1016076_1_SI_N19_0486_R1_001.fq.gz</v>
          </cell>
          <cell r="H405" t="str">
            <v>/home/projects/cge/backup/fastq/food_seqdata/NextSeq_208/FoodQCPipeline_tmp/conc_fqs/DTU_2022_1016076_1_SI_N19_0486_R2_001.fq.gz</v>
          </cell>
          <cell r="I405" t="str">
            <v>N19_0486</v>
          </cell>
          <cell r="J405" t="str">
            <v>N19_0486</v>
          </cell>
          <cell r="K405" t="str">
            <v>Listeria monocytogenes</v>
          </cell>
          <cell r="L405">
            <v>46204391</v>
          </cell>
          <cell r="M405">
            <v>6143158</v>
          </cell>
          <cell r="N405" t="str">
            <v>Switzerland</v>
          </cell>
          <cell r="Q405">
            <v>2019</v>
          </cell>
          <cell r="T405" t="str">
            <v>Institute for Food Safety and Hygiene, Vetsuisse Faculty, University of Z√ºrich, Zurich, Switzerland</v>
          </cell>
          <cell r="U405" t="str">
            <v>Food</v>
          </cell>
          <cell r="V405" t="str">
            <v>Meat</v>
          </cell>
          <cell r="X405" t="str">
            <v>ERR10612137</v>
          </cell>
        </row>
        <row r="406">
          <cell r="G406" t="str">
            <v>/home/projects/cge/backup/fastq/food_seqdata/NextSeq_208/FoodQCPipeline_tmp/conc_fqs/DTU_2022_1016077_1_SI_N19_0700_R1_001.fq.gz</v>
          </cell>
          <cell r="H406" t="str">
            <v>/home/projects/cge/backup/fastq/food_seqdata/NextSeq_208/FoodQCPipeline_tmp/conc_fqs/DTU_2022_1016077_1_SI_N19_0700_R2_001.fq.gz</v>
          </cell>
          <cell r="I406" t="str">
            <v>N19_0700</v>
          </cell>
          <cell r="J406" t="str">
            <v>N19_0700</v>
          </cell>
          <cell r="K406" t="str">
            <v>Listeria monocytogenes</v>
          </cell>
          <cell r="L406">
            <v>46204391</v>
          </cell>
          <cell r="M406">
            <v>6143158</v>
          </cell>
          <cell r="N406" t="str">
            <v>Switzerland</v>
          </cell>
          <cell r="Q406">
            <v>2019</v>
          </cell>
          <cell r="T406" t="str">
            <v>Institute for Food Safety and Hygiene, Vetsuisse Faculty, University of Z√ºrich, Zurich, Switzerland</v>
          </cell>
          <cell r="U406" t="str">
            <v>Food</v>
          </cell>
          <cell r="V406" t="str">
            <v>Seafood</v>
          </cell>
          <cell r="X406" t="str">
            <v>ERR10612134</v>
          </cell>
        </row>
        <row r="407">
          <cell r="G407" t="str">
            <v>/home/projects/cge/backup/fastq/food_seqdata/NextSeq_208/FoodQCPipeline_tmp/conc_fqs/DTU_2022_1016078_1_SI_N19_0701_R1_001.fq.gz</v>
          </cell>
          <cell r="H407" t="str">
            <v>/home/projects/cge/backup/fastq/food_seqdata/NextSeq_208/FoodQCPipeline_tmp/conc_fqs/DTU_2022_1016078_1_SI_N19_0701_R2_001.fq.gz</v>
          </cell>
          <cell r="I407" t="str">
            <v>N19_0701</v>
          </cell>
          <cell r="J407" t="str">
            <v>N19_0701</v>
          </cell>
          <cell r="K407" t="str">
            <v>Listeria monocytogenes</v>
          </cell>
          <cell r="L407">
            <v>46204391</v>
          </cell>
          <cell r="M407">
            <v>6143158</v>
          </cell>
          <cell r="N407" t="str">
            <v>Switzerland</v>
          </cell>
          <cell r="Q407">
            <v>2019</v>
          </cell>
          <cell r="T407" t="str">
            <v>Institute for Food Safety and Hygiene, Vetsuisse Faculty, University of Z√ºrich, Zurich, Switzerland</v>
          </cell>
          <cell r="U407" t="str">
            <v>Food</v>
          </cell>
          <cell r="V407" t="str">
            <v>Poultry</v>
          </cell>
          <cell r="X407" t="str">
            <v>ERR10612115</v>
          </cell>
        </row>
        <row r="408">
          <cell r="G408" t="str">
            <v>/home/projects/cge/backup/fastq/food_seqdata/NextSeq_208/FoodQCPipeline_tmp/conc_fqs/DTU_2022_1016079_1_SI_N19_0706_R1_001.fq.gz</v>
          </cell>
          <cell r="H408" t="str">
            <v>/home/projects/cge/backup/fastq/food_seqdata/NextSeq_208/FoodQCPipeline_tmp/conc_fqs/DTU_2022_1016079_1_SI_N19_0706_R2_001.fq.gz</v>
          </cell>
          <cell r="I408" t="str">
            <v>N19_0706</v>
          </cell>
          <cell r="J408" t="str">
            <v>N19_0706</v>
          </cell>
          <cell r="K408" t="str">
            <v>Listeria monocytogenes</v>
          </cell>
          <cell r="L408">
            <v>46204391</v>
          </cell>
          <cell r="M408">
            <v>6143158</v>
          </cell>
          <cell r="N408" t="str">
            <v>Switzerland</v>
          </cell>
          <cell r="Q408">
            <v>2019</v>
          </cell>
          <cell r="T408" t="str">
            <v>Institute for Food Safety and Hygiene, Vetsuisse Faculty, University of Z√ºrich, Zurich, Switzerland</v>
          </cell>
          <cell r="U408" t="str">
            <v>Food</v>
          </cell>
          <cell r="V408" t="str">
            <v>Milk product</v>
          </cell>
          <cell r="X408" t="str">
            <v>ERR10612109</v>
          </cell>
        </row>
        <row r="409">
          <cell r="G409" t="str">
            <v>/home/projects/cge/backup/fastq/food_seqdata/NextSeq_208/FoodQCPipeline_tmp/conc_fqs/DTU_2022_1016080_1_SI_N19_0757_R1_001.fq.gz</v>
          </cell>
          <cell r="H409" t="str">
            <v>/home/projects/cge/backup/fastq/food_seqdata/NextSeq_208/FoodQCPipeline_tmp/conc_fqs/DTU_2022_1016080_1_SI_N19_0757_R2_001.fq.gz</v>
          </cell>
          <cell r="I409" t="str">
            <v>N19_0757</v>
          </cell>
          <cell r="J409" t="str">
            <v>N19_0757</v>
          </cell>
          <cell r="K409" t="str">
            <v>Listeria monocytogenes</v>
          </cell>
          <cell r="L409">
            <v>46204391</v>
          </cell>
          <cell r="M409">
            <v>6143158</v>
          </cell>
          <cell r="N409" t="str">
            <v>Switzerland</v>
          </cell>
          <cell r="Q409">
            <v>2019</v>
          </cell>
          <cell r="T409" t="str">
            <v>Institute for Food Safety and Hygiene, Vetsuisse Faculty, University of Z√ºrich, Zurich, Switzerland</v>
          </cell>
          <cell r="U409" t="str">
            <v>Food</v>
          </cell>
          <cell r="V409" t="str">
            <v>Seafood</v>
          </cell>
          <cell r="X409" t="str">
            <v>ERR10612162</v>
          </cell>
        </row>
        <row r="410">
          <cell r="G410" t="str">
            <v>/home/projects/cge/backup/fastq/food_seqdata/NextSeq_208/FoodQCPipeline_tmp/conc_fqs/DTU_2022_1016081_1_SI_N19_0790_R1_001.fq.gz</v>
          </cell>
          <cell r="H410" t="str">
            <v>/home/projects/cge/backup/fastq/food_seqdata/NextSeq_208/FoodQCPipeline_tmp/conc_fqs/DTU_2022_1016081_1_SI_N19_0790_R2_001.fq.gz</v>
          </cell>
          <cell r="I410" t="str">
            <v>N19_0790</v>
          </cell>
          <cell r="J410" t="str">
            <v>N19_0790</v>
          </cell>
          <cell r="K410" t="str">
            <v>Listeria monocytogenes</v>
          </cell>
          <cell r="L410">
            <v>46204391</v>
          </cell>
          <cell r="M410">
            <v>6143158</v>
          </cell>
          <cell r="N410" t="str">
            <v>Switzerland</v>
          </cell>
          <cell r="Q410">
            <v>2019</v>
          </cell>
          <cell r="T410" t="str">
            <v>Institute for Food Safety and Hygiene, Vetsuisse Faculty, University of Z√ºrich, Zurich, Switzerland</v>
          </cell>
          <cell r="U410" t="str">
            <v>Food</v>
          </cell>
          <cell r="V410" t="str">
            <v>Seafood</v>
          </cell>
          <cell r="X410" t="str">
            <v>ERR10612136</v>
          </cell>
        </row>
        <row r="411">
          <cell r="G411" t="str">
            <v>/home/projects/cge/backup/fastq/food_seqdata/NextSeq_208/FoodQCPipeline_tmp/conc_fqs/DTU_2022_1016082_1_SI_N19_1079_R1_001.fq.gz</v>
          </cell>
          <cell r="H411" t="str">
            <v>/home/projects/cge/backup/fastq/food_seqdata/NextSeq_208/FoodQCPipeline_tmp/conc_fqs/DTU_2022_1016082_1_SI_N19_1079_R2_001.fq.gz</v>
          </cell>
          <cell r="I411" t="str">
            <v>N19_1079</v>
          </cell>
          <cell r="J411" t="str">
            <v>N19_1079</v>
          </cell>
          <cell r="K411" t="str">
            <v>Listeria monocytogenes</v>
          </cell>
          <cell r="L411">
            <v>46204391</v>
          </cell>
          <cell r="M411">
            <v>6143158</v>
          </cell>
          <cell r="N411" t="str">
            <v>Switzerland</v>
          </cell>
          <cell r="Q411">
            <v>2019</v>
          </cell>
          <cell r="T411" t="str">
            <v>Institute for Food Safety and Hygiene, Vetsuisse Faculty, University of Z√ºrich, Zurich, Switzerland</v>
          </cell>
          <cell r="U411" t="str">
            <v>Food</v>
          </cell>
          <cell r="V411" t="str">
            <v>Seafood</v>
          </cell>
          <cell r="X411" t="str">
            <v>ERR10612143</v>
          </cell>
        </row>
        <row r="412">
          <cell r="G412" t="str">
            <v>/home/projects/cge/backup/fastq/food_seqdata/NextSeq_208/FoodQCPipeline_tmp/conc_fqs/DTU_2022_1016083_1_SI_N19_1165_R1_001.fq.gz</v>
          </cell>
          <cell r="H412" t="str">
            <v>/home/projects/cge/backup/fastq/food_seqdata/NextSeq_208/FoodQCPipeline_tmp/conc_fqs/DTU_2022_1016083_1_SI_N19_1165_R2_001.fq.gz</v>
          </cell>
          <cell r="I412" t="str">
            <v>N19_1165</v>
          </cell>
          <cell r="J412" t="str">
            <v>N19_1165</v>
          </cell>
          <cell r="K412" t="str">
            <v>Listeria monocytogenes</v>
          </cell>
          <cell r="L412">
            <v>46204391</v>
          </cell>
          <cell r="M412">
            <v>6143158</v>
          </cell>
          <cell r="N412" t="str">
            <v>Switzerland</v>
          </cell>
          <cell r="Q412">
            <v>2019</v>
          </cell>
          <cell r="T412" t="str">
            <v>Institute for Food Safety and Hygiene, Vetsuisse Faculty, University of Z√ºrich, Zurich, Switzerland</v>
          </cell>
          <cell r="U412" t="str">
            <v>Food</v>
          </cell>
          <cell r="V412" t="str">
            <v>Seafood</v>
          </cell>
          <cell r="X412" t="str">
            <v>ERR10612151</v>
          </cell>
        </row>
        <row r="413">
          <cell r="G413" t="str">
            <v>/home/projects/cge/backup/fastq/food_seqdata/NextSeq_208/FoodQCPipeline_tmp/conc_fqs/DTU_2022_1016084_1_SI_N19_1357_R1_001.fq.gz</v>
          </cell>
          <cell r="H413" t="str">
            <v>/home/projects/cge/backup/fastq/food_seqdata/NextSeq_208/FoodQCPipeline_tmp/conc_fqs/DTU_2022_1016084_1_SI_N19_1357_R2_001.fq.gz</v>
          </cell>
          <cell r="I413" t="str">
            <v>N19_1357</v>
          </cell>
          <cell r="J413" t="str">
            <v>N19_1357</v>
          </cell>
          <cell r="K413" t="str">
            <v>Listeria monocytogenes</v>
          </cell>
          <cell r="L413">
            <v>46204391</v>
          </cell>
          <cell r="M413">
            <v>6143158</v>
          </cell>
          <cell r="N413" t="str">
            <v>Switzerland</v>
          </cell>
          <cell r="Q413">
            <v>2019</v>
          </cell>
          <cell r="T413" t="str">
            <v>Institute for Food Safety and Hygiene, Vetsuisse Faculty, University of Z√ºrich, Zurich, Switzerland</v>
          </cell>
          <cell r="U413" t="str">
            <v>Food</v>
          </cell>
          <cell r="V413" t="str">
            <v>Meat</v>
          </cell>
          <cell r="X413" t="str">
            <v>ERR10612118</v>
          </cell>
        </row>
        <row r="414">
          <cell r="G414" t="str">
            <v>/home/projects/cge/backup/fastq/food_seqdata/NextSeq_208/FoodQCPipeline_tmp/conc_fqs/DTU_2022_1016085_1_SI_N19_1453_R1_001.fq.gz</v>
          </cell>
          <cell r="H414" t="str">
            <v>/home/projects/cge/backup/fastq/food_seqdata/NextSeq_208/FoodQCPipeline_tmp/conc_fqs/DTU_2022_1016085_1_SI_N19_1453_R2_001.fq.gz</v>
          </cell>
          <cell r="I414" t="str">
            <v>N19_1453</v>
          </cell>
          <cell r="J414" t="str">
            <v>N19_1453</v>
          </cell>
          <cell r="K414" t="str">
            <v>Listeria monocytogenes</v>
          </cell>
          <cell r="L414">
            <v>46204391</v>
          </cell>
          <cell r="M414">
            <v>6143158</v>
          </cell>
          <cell r="N414" t="str">
            <v>Switzerland</v>
          </cell>
          <cell r="Q414">
            <v>2019</v>
          </cell>
          <cell r="T414" t="str">
            <v>Institute for Food Safety and Hygiene, Vetsuisse Faculty, University of Z√ºrich, Zurich, Switzerland</v>
          </cell>
          <cell r="U414" t="str">
            <v>Food</v>
          </cell>
          <cell r="V414" t="str">
            <v>Seafood</v>
          </cell>
          <cell r="X414" t="str">
            <v>ERR10612170</v>
          </cell>
        </row>
        <row r="415">
          <cell r="G415" t="str">
            <v>/home/projects/cge/backup/fastq/food_seqdata/NextSeq_208/FoodQCPipeline_tmp/conc_fqs/DTU_2022_1016086_1_SI_N19_1506_R1_001.fq.gz</v>
          </cell>
          <cell r="H415" t="str">
            <v>/home/projects/cge/backup/fastq/food_seqdata/NextSeq_208/FoodQCPipeline_tmp/conc_fqs/DTU_2022_1016086_1_SI_N19_1506_R2_001.fq.gz</v>
          </cell>
          <cell r="I415" t="str">
            <v>N19_1506</v>
          </cell>
          <cell r="J415" t="str">
            <v>N19_1506</v>
          </cell>
          <cell r="K415" t="str">
            <v>Listeria monocytogenes</v>
          </cell>
          <cell r="L415">
            <v>46204391</v>
          </cell>
          <cell r="M415">
            <v>6143158</v>
          </cell>
          <cell r="N415" t="str">
            <v>Switzerland</v>
          </cell>
          <cell r="Q415">
            <v>2019</v>
          </cell>
          <cell r="T415" t="str">
            <v>Institute for Food Safety and Hygiene, Vetsuisse Faculty, University of Z√ºrich, Zurich, Switzerland</v>
          </cell>
          <cell r="U415" t="str">
            <v>Food</v>
          </cell>
          <cell r="V415" t="str">
            <v>Meat</v>
          </cell>
          <cell r="X415" t="str">
            <v>ERR10612145</v>
          </cell>
        </row>
        <row r="416">
          <cell r="G416" t="str">
            <v>/home/projects/cge/backup/fastq/food_seqdata/NextSeq_208/FoodQCPipeline_tmp/conc_fqs/DTU_2022_1016087_1_SI_N19_1613_R1_001.fq.gz</v>
          </cell>
          <cell r="H416" t="str">
            <v>/home/projects/cge/backup/fastq/food_seqdata/NextSeq_208/FoodQCPipeline_tmp/conc_fqs/DTU_2022_1016087_1_SI_N19_1613_R2_001.fq.gz</v>
          </cell>
          <cell r="I416" t="str">
            <v>N19_1613</v>
          </cell>
          <cell r="J416" t="str">
            <v>N19_1613</v>
          </cell>
          <cell r="K416" t="str">
            <v>Listeria monocytogenes</v>
          </cell>
          <cell r="L416">
            <v>46204391</v>
          </cell>
          <cell r="M416">
            <v>6143158</v>
          </cell>
          <cell r="N416" t="str">
            <v>Switzerland</v>
          </cell>
          <cell r="Q416">
            <v>2019</v>
          </cell>
          <cell r="T416" t="str">
            <v>Institute for Food Safety and Hygiene, Vetsuisse Faculty, University of Z√ºrich, Zurich, Switzerland</v>
          </cell>
          <cell r="U416" t="str">
            <v>Food</v>
          </cell>
          <cell r="V416" t="str">
            <v>Meat</v>
          </cell>
          <cell r="X416" t="str">
            <v>ERR10612123</v>
          </cell>
        </row>
        <row r="417">
          <cell r="G417" t="str">
            <v>/home/projects/cge/backup/fastq/food_seqdata/NextSeq_208/FoodQCPipeline_tmp/conc_fqs/DTU_2022_1016088_1_SI_N19_1748_R1_001.fq.gz</v>
          </cell>
          <cell r="H417" t="str">
            <v>/home/projects/cge/backup/fastq/food_seqdata/NextSeq_208/FoodQCPipeline_tmp/conc_fqs/DTU_2022_1016088_1_SI_N19_1748_R2_001.fq.gz</v>
          </cell>
          <cell r="I417" t="str">
            <v>N19_1748</v>
          </cell>
          <cell r="J417" t="str">
            <v>N19_1748</v>
          </cell>
          <cell r="K417" t="str">
            <v>Listeria monocytogenes</v>
          </cell>
          <cell r="L417">
            <v>46204391</v>
          </cell>
          <cell r="M417">
            <v>6143158</v>
          </cell>
          <cell r="N417" t="str">
            <v>Switzerland</v>
          </cell>
          <cell r="Q417">
            <v>2019</v>
          </cell>
          <cell r="T417" t="str">
            <v>Institute for Food Safety and Hygiene, Vetsuisse Faculty, University of Z√ºrich, Zurich, Switzerland</v>
          </cell>
          <cell r="U417" t="str">
            <v>Food</v>
          </cell>
          <cell r="V417" t="str">
            <v>Seafood</v>
          </cell>
          <cell r="X417" t="str">
            <v>ERR10612156</v>
          </cell>
        </row>
        <row r="418">
          <cell r="G418" t="str">
            <v>/home/projects/cge/backup/fastq/food_seqdata/NextSeq_208/FoodQCPipeline_tmp/conc_fqs/DTU_2022_1016089_1_SI_N19_1773_R1_001.fq.gz</v>
          </cell>
          <cell r="H418" t="str">
            <v>/home/projects/cge/backup/fastq/food_seqdata/NextSeq_208/FoodQCPipeline_tmp/conc_fqs/DTU_2022_1016089_1_SI_N19_1773_R2_001.fq.gz</v>
          </cell>
          <cell r="I418" t="str">
            <v>N19_1773</v>
          </cell>
          <cell r="J418" t="str">
            <v>N19_1773</v>
          </cell>
          <cell r="K418" t="str">
            <v>Listeria monocytogenes</v>
          </cell>
          <cell r="L418">
            <v>46204391</v>
          </cell>
          <cell r="M418">
            <v>6143158</v>
          </cell>
          <cell r="N418" t="str">
            <v>Switzerland</v>
          </cell>
          <cell r="Q418">
            <v>2019</v>
          </cell>
          <cell r="T418" t="str">
            <v>Institute for Food Safety and Hygiene, Vetsuisse Faculty, University of Z√ºrich, Zurich, Switzerland</v>
          </cell>
          <cell r="U418" t="str">
            <v>Food</v>
          </cell>
          <cell r="V418" t="str">
            <v>Poultry</v>
          </cell>
          <cell r="X418" t="str">
            <v>ERR10612148</v>
          </cell>
        </row>
        <row r="419">
          <cell r="G419" t="str">
            <v>/home/projects/cge/backup/fastq/food_seqdata/NextSeq_208/FoodQCPipeline_tmp/conc_fqs/DTU_2022_1016090_1_SI_N19_2025_R1_001.fq.gz</v>
          </cell>
          <cell r="H419" t="str">
            <v>/home/projects/cge/backup/fastq/food_seqdata/NextSeq_208/FoodQCPipeline_tmp/conc_fqs/DTU_2022_1016090_1_SI_N19_2025_R2_001.fq.gz</v>
          </cell>
          <cell r="I419" t="str">
            <v>N19_2025</v>
          </cell>
          <cell r="J419" t="str">
            <v>N19_2025</v>
          </cell>
          <cell r="K419" t="str">
            <v>Listeria monocytogenes</v>
          </cell>
          <cell r="L419">
            <v>46204391</v>
          </cell>
          <cell r="M419">
            <v>6143158</v>
          </cell>
          <cell r="N419" t="str">
            <v>Switzerland</v>
          </cell>
          <cell r="Q419">
            <v>2019</v>
          </cell>
          <cell r="T419" t="str">
            <v>Institute for Food Safety and Hygiene, Vetsuisse Faculty, University of Z√ºrich, Zurich, Switzerland</v>
          </cell>
          <cell r="U419" t="str">
            <v>Food</v>
          </cell>
          <cell r="V419" t="str">
            <v>Meat</v>
          </cell>
          <cell r="X419" t="str">
            <v>ERR10612149</v>
          </cell>
        </row>
        <row r="420">
          <cell r="G420" t="str">
            <v>/home/projects/cge/backup/fastq/food_seqdata/NextSeq_208/FoodQCPipeline_tmp/conc_fqs/DTU_2022_1016091_1_SI_N19_2162_R1_001.fq.gz</v>
          </cell>
          <cell r="H420" t="str">
            <v>/home/projects/cge/backup/fastq/food_seqdata/NextSeq_208/FoodQCPipeline_tmp/conc_fqs/DTU_2022_1016091_1_SI_N19_2162_R2_001.fq.gz</v>
          </cell>
          <cell r="I420" t="str">
            <v>N19_2162</v>
          </cell>
          <cell r="J420" t="str">
            <v>N19_2162</v>
          </cell>
          <cell r="K420" t="str">
            <v>Listeria monocytogenes</v>
          </cell>
          <cell r="L420">
            <v>46204391</v>
          </cell>
          <cell r="M420">
            <v>6143158</v>
          </cell>
          <cell r="N420" t="str">
            <v>Switzerland</v>
          </cell>
          <cell r="Q420">
            <v>2019</v>
          </cell>
          <cell r="T420" t="str">
            <v>Institute for Food Safety and Hygiene, Vetsuisse Faculty, University of Z√ºrich, Zurich, Switzerland</v>
          </cell>
          <cell r="U420" t="str">
            <v>Food</v>
          </cell>
          <cell r="V420" t="str">
            <v>Seafood</v>
          </cell>
          <cell r="X420" t="str">
            <v>ERR10612150</v>
          </cell>
        </row>
        <row r="421">
          <cell r="G421" t="str">
            <v>/home/projects/cge/backup/fastq/food_seqdata/NextSeq_208/FoodQCPipeline_tmp/conc_fqs/DTU_2022_1016092_1_SI_N19_2251_R1_001.fq.gz</v>
          </cell>
          <cell r="H421" t="str">
            <v>/home/projects/cge/backup/fastq/food_seqdata/NextSeq_208/FoodQCPipeline_tmp/conc_fqs/DTU_2022_1016092_1_SI_N19_2251_R2_001.fq.gz</v>
          </cell>
          <cell r="I421" t="str">
            <v>N19_2251</v>
          </cell>
          <cell r="J421" t="str">
            <v>N19_2251</v>
          </cell>
          <cell r="K421" t="str">
            <v>Listeria monocytogenes</v>
          </cell>
          <cell r="L421">
            <v>46204391</v>
          </cell>
          <cell r="M421">
            <v>6143158</v>
          </cell>
          <cell r="N421" t="str">
            <v>Switzerland</v>
          </cell>
          <cell r="Q421">
            <v>2019</v>
          </cell>
          <cell r="T421" t="str">
            <v>Institute for Food Safety and Hygiene, Vetsuisse Faculty, University of Z√ºrich, Zurich, Switzerland</v>
          </cell>
          <cell r="U421" t="str">
            <v>Food</v>
          </cell>
          <cell r="V421" t="str">
            <v>Seafood</v>
          </cell>
          <cell r="X421" t="str">
            <v>ERR10612126</v>
          </cell>
        </row>
        <row r="422">
          <cell r="G422" t="str">
            <v>/home/projects/cge/backup/fastq/food_seqdata/NextSeq_208/FoodQCPipeline_tmp/conc_fqs/DTU_2022_1016093_1_SI_N19_2360_R1_001.fq.gz</v>
          </cell>
          <cell r="H422" t="str">
            <v>/home/projects/cge/backup/fastq/food_seqdata/NextSeq_208/FoodQCPipeline_tmp/conc_fqs/DTU_2022_1016093_1_SI_N19_2360_R2_001.fq.gz</v>
          </cell>
          <cell r="I422" t="str">
            <v>N19_2360</v>
          </cell>
          <cell r="J422" t="str">
            <v>N19_2360</v>
          </cell>
          <cell r="K422" t="str">
            <v>Listeria monocytogenes</v>
          </cell>
          <cell r="L422">
            <v>46204391</v>
          </cell>
          <cell r="M422">
            <v>6143158</v>
          </cell>
          <cell r="N422" t="str">
            <v>Switzerland</v>
          </cell>
          <cell r="Q422">
            <v>2019</v>
          </cell>
          <cell r="T422" t="str">
            <v>Institute for Food Safety and Hygiene, Vetsuisse Faculty, University of Z√ºrich, Zurich, Switzerland</v>
          </cell>
          <cell r="U422" t="str">
            <v>Food</v>
          </cell>
          <cell r="V422" t="str">
            <v>Seafood</v>
          </cell>
          <cell r="X422" t="str">
            <v>ERR10612152</v>
          </cell>
        </row>
        <row r="423">
          <cell r="G423" t="str">
            <v>/home/projects/cge/backup/fastq/food_seqdata/NextSeq_208/FoodQCPipeline_tmp/conc_fqs/DTU_2022_1016094_1_SI_N19_2423_R1_001.fq.gz</v>
          </cell>
          <cell r="H423" t="str">
            <v>/home/projects/cge/backup/fastq/food_seqdata/NextSeq_208/FoodQCPipeline_tmp/conc_fqs/DTU_2022_1016094_1_SI_N19_2423_R2_001.fq.gz</v>
          </cell>
          <cell r="I423" t="str">
            <v>N19_2423</v>
          </cell>
          <cell r="J423" t="str">
            <v>N19_2423</v>
          </cell>
          <cell r="K423" t="str">
            <v>Listeria monocytogenes</v>
          </cell>
          <cell r="L423">
            <v>46204391</v>
          </cell>
          <cell r="M423">
            <v>6143158</v>
          </cell>
          <cell r="N423" t="str">
            <v>Switzerland</v>
          </cell>
          <cell r="Q423">
            <v>2019</v>
          </cell>
          <cell r="T423" t="str">
            <v>Institute for Food Safety and Hygiene, Vetsuisse Faculty, University of Z√ºrich, Zurich, Switzerland</v>
          </cell>
          <cell r="U423" t="str">
            <v>Food</v>
          </cell>
          <cell r="V423" t="str">
            <v>Milk product</v>
          </cell>
          <cell r="X423" t="str">
            <v>ERR10612157</v>
          </cell>
        </row>
        <row r="424">
          <cell r="G424" t="str">
            <v>/home/projects/cge/backup/fastq/food_seqdata/NextSeq_208/FoodQCPipeline_tmp/conc_fqs/DTU_2022_1016095_1_SI_N19_2431_R1_001.fq.gz</v>
          </cell>
          <cell r="H424" t="str">
            <v>/home/projects/cge/backup/fastq/food_seqdata/NextSeq_208/FoodQCPipeline_tmp/conc_fqs/DTU_2022_1016095_1_SI_N19_2431_R2_001.fq.gz</v>
          </cell>
          <cell r="I424" t="str">
            <v>N19_2431</v>
          </cell>
          <cell r="J424" t="str">
            <v>N19_2431</v>
          </cell>
          <cell r="K424" t="str">
            <v>Listeria monocytogenes</v>
          </cell>
          <cell r="L424">
            <v>46204391</v>
          </cell>
          <cell r="M424">
            <v>6143158</v>
          </cell>
          <cell r="N424" t="str">
            <v>Switzerland</v>
          </cell>
          <cell r="Q424">
            <v>2019</v>
          </cell>
          <cell r="T424" t="str">
            <v>Institute for Food Safety and Hygiene, Vetsuisse Faculty, University of Z√ºrich, Zurich, Switzerland</v>
          </cell>
          <cell r="U424" t="str">
            <v>Food</v>
          </cell>
          <cell r="V424" t="str">
            <v>Seafood</v>
          </cell>
          <cell r="X424" t="str">
            <v>ERR10612195</v>
          </cell>
        </row>
        <row r="425">
          <cell r="G425" t="str">
            <v>/home/projects/cge/backup/fastq/food_seqdata/NextSeq_208/FoodQCPipeline_tmp/conc_fqs/DTU_2022_1016096_1_SI_N19_2469_R1_001.fq.gz</v>
          </cell>
          <cell r="H425" t="str">
            <v>/home/projects/cge/backup/fastq/food_seqdata/NextSeq_208/FoodQCPipeline_tmp/conc_fqs/DTU_2022_1016096_1_SI_N19_2469_R2_001.fq.gz</v>
          </cell>
          <cell r="I425" t="str">
            <v>N19_2469</v>
          </cell>
          <cell r="J425" t="str">
            <v>N19_2469</v>
          </cell>
          <cell r="K425" t="str">
            <v>Listeria monocytogenes</v>
          </cell>
          <cell r="L425">
            <v>46204391</v>
          </cell>
          <cell r="M425">
            <v>6143158</v>
          </cell>
          <cell r="N425" t="str">
            <v>Switzerland</v>
          </cell>
          <cell r="Q425">
            <v>2019</v>
          </cell>
          <cell r="T425" t="str">
            <v>Institute for Food Safety and Hygiene, Vetsuisse Faculty, University of Z√ºrich, Zurich, Switzerland</v>
          </cell>
          <cell r="U425" t="str">
            <v>Food</v>
          </cell>
          <cell r="V425" t="str">
            <v>Milk product</v>
          </cell>
          <cell r="X425" t="str">
            <v>ERR10612206</v>
          </cell>
        </row>
        <row r="426">
          <cell r="G426" t="str">
            <v>/home/projects/cge/backup/fastq/food_seqdata/NextSeq_208/FoodQCPipeline_tmp/conc_fqs/DTU_2022_1016097_1_SI_N19_2697_R1_001.fq.gz</v>
          </cell>
          <cell r="H426" t="str">
            <v>/home/projects/cge/backup/fastq/food_seqdata/NextSeq_208/FoodQCPipeline_tmp/conc_fqs/DTU_2022_1016097_1_SI_N19_2697_R2_001.fq.gz</v>
          </cell>
          <cell r="I426" t="str">
            <v>N19_2697</v>
          </cell>
          <cell r="J426" t="str">
            <v>N19_2697</v>
          </cell>
          <cell r="K426" t="str">
            <v>Listeria monocytogenes</v>
          </cell>
          <cell r="L426">
            <v>46204391</v>
          </cell>
          <cell r="M426">
            <v>6143158</v>
          </cell>
          <cell r="N426" t="str">
            <v>Switzerland</v>
          </cell>
          <cell r="Q426">
            <v>2019</v>
          </cell>
          <cell r="T426" t="str">
            <v>Institute for Food Safety and Hygiene, Vetsuisse Faculty, University of Z√ºrich, Zurich, Switzerland</v>
          </cell>
          <cell r="U426" t="str">
            <v>Food</v>
          </cell>
          <cell r="V426" t="str">
            <v>Seafood</v>
          </cell>
          <cell r="X426" t="str">
            <v>ERR10612140</v>
          </cell>
        </row>
        <row r="427">
          <cell r="G427" t="str">
            <v>/home/projects/cge/backup/fastq/food_seqdata/NextSeq_208/FoodQCPipeline_tmp/conc_fqs/DTU_2022_1016098_1_SI_N19_2731_R1_001.fq.gz</v>
          </cell>
          <cell r="H427" t="str">
            <v>/home/projects/cge/backup/fastq/food_seqdata/NextSeq_208/FoodQCPipeline_tmp/conc_fqs/DTU_2022_1016098_1_SI_N19_2731_R2_001.fq.gz</v>
          </cell>
          <cell r="I427" t="str">
            <v>N19_2731</v>
          </cell>
          <cell r="J427" t="str">
            <v>N19_2731</v>
          </cell>
          <cell r="K427" t="str">
            <v>Listeria monocytogenes</v>
          </cell>
          <cell r="L427">
            <v>46204391</v>
          </cell>
          <cell r="M427">
            <v>6143158</v>
          </cell>
          <cell r="N427" t="str">
            <v>Switzerland</v>
          </cell>
          <cell r="Q427">
            <v>2019</v>
          </cell>
          <cell r="T427" t="str">
            <v>Institute for Food Safety and Hygiene, Vetsuisse Faculty, University of Z√ºrich, Zurich, Switzerland</v>
          </cell>
          <cell r="U427" t="str">
            <v>Food</v>
          </cell>
          <cell r="V427" t="str">
            <v>Poultry</v>
          </cell>
          <cell r="X427" t="str">
            <v>ERR10612189</v>
          </cell>
        </row>
        <row r="428">
          <cell r="G428" t="str">
            <v>/home/projects/cge/backup/fastq/food_seqdata/NextSeq_208/FoodQCPipeline_tmp/conc_fqs/DTU_2022_1016099_1_SI_N19_2837_R1_001.fq.gz</v>
          </cell>
          <cell r="H428" t="str">
            <v>/home/projects/cge/backup/fastq/food_seqdata/NextSeq_208/FoodQCPipeline_tmp/conc_fqs/DTU_2022_1016099_1_SI_N19_2837_R2_001.fq.gz</v>
          </cell>
          <cell r="I428" t="str">
            <v>N19_2837</v>
          </cell>
          <cell r="J428" t="str">
            <v>N19_2837</v>
          </cell>
          <cell r="K428" t="str">
            <v>Listeria monocytogenes</v>
          </cell>
          <cell r="L428">
            <v>46204391</v>
          </cell>
          <cell r="M428">
            <v>6143158</v>
          </cell>
          <cell r="N428" t="str">
            <v>Switzerland</v>
          </cell>
          <cell r="Q428">
            <v>2019</v>
          </cell>
          <cell r="T428" t="str">
            <v>Institute for Food Safety and Hygiene, Vetsuisse Faculty, University of Z√ºrich, Zurich, Switzerland</v>
          </cell>
          <cell r="U428" t="str">
            <v>Food</v>
          </cell>
          <cell r="V428" t="str">
            <v>Meat</v>
          </cell>
          <cell r="X428" t="str">
            <v>ERR10612164</v>
          </cell>
        </row>
        <row r="429">
          <cell r="G429" t="str">
            <v>/home/projects/cge/backup/fastq/food_seqdata/NextSeq_208/FoodQCPipeline_tmp/conc_fqs/DTU_2022_1016100_1_SI_N19_2881_R1_001.fq.gz</v>
          </cell>
          <cell r="H429" t="str">
            <v>/home/projects/cge/backup/fastq/food_seqdata/NextSeq_208/FoodQCPipeline_tmp/conc_fqs/DTU_2022_1016100_1_SI_N19_2881_R2_001.fq.gz</v>
          </cell>
          <cell r="I429" t="str">
            <v>N19_2881</v>
          </cell>
          <cell r="J429" t="str">
            <v>N19_2881</v>
          </cell>
          <cell r="K429" t="str">
            <v>Listeria monocytogenes</v>
          </cell>
          <cell r="L429">
            <v>46204391</v>
          </cell>
          <cell r="M429">
            <v>6143158</v>
          </cell>
          <cell r="N429" t="str">
            <v>Switzerland</v>
          </cell>
          <cell r="Q429">
            <v>2019</v>
          </cell>
          <cell r="T429" t="str">
            <v>Institute for Food Safety and Hygiene, Vetsuisse Faculty, University of Z√ºrich, Zurich, Switzerland</v>
          </cell>
          <cell r="U429" t="str">
            <v>Food</v>
          </cell>
          <cell r="V429" t="str">
            <v>Poultry</v>
          </cell>
          <cell r="X429" t="str">
            <v>ERR10612190</v>
          </cell>
        </row>
        <row r="430">
          <cell r="G430" t="str">
            <v>/home/projects/cge/backup/fastq/food_seqdata/NextSeq_208/FoodQCPipeline_tmp/conc_fqs/DTU_2022_1016101_1_SI_N19_2882_R1_001.fq.gz</v>
          </cell>
          <cell r="H430" t="str">
            <v>/home/projects/cge/backup/fastq/food_seqdata/NextSeq_208/FoodQCPipeline_tmp/conc_fqs/DTU_2022_1016101_1_SI_N19_2882_R2_001.fq.gz</v>
          </cell>
          <cell r="I430" t="str">
            <v>N19_2882</v>
          </cell>
          <cell r="J430" t="str">
            <v>N19_2882</v>
          </cell>
          <cell r="K430" t="str">
            <v>Listeria monocytogenes</v>
          </cell>
          <cell r="L430">
            <v>46204391</v>
          </cell>
          <cell r="M430">
            <v>6143158</v>
          </cell>
          <cell r="N430" t="str">
            <v>Switzerland</v>
          </cell>
          <cell r="Q430">
            <v>2019</v>
          </cell>
          <cell r="T430" t="str">
            <v>Institute for Food Safety and Hygiene, Vetsuisse Faculty, University of Z√ºrich, Zurich, Switzerland</v>
          </cell>
          <cell r="U430" t="str">
            <v>Food</v>
          </cell>
          <cell r="V430" t="str">
            <v>Meat</v>
          </cell>
          <cell r="X430" t="str">
            <v>ERR10612168</v>
          </cell>
        </row>
        <row r="431">
          <cell r="G431" t="str">
            <v>/home/projects/cge/backup/fastq/food_seqdata/NextSeq_208/FoodQCPipeline_tmp/conc_fqs/DTU_2022_1016102_1_SI_N19_2884_R1_001.fq.gz</v>
          </cell>
          <cell r="H431" t="str">
            <v>/home/projects/cge/backup/fastq/food_seqdata/NextSeq_208/FoodQCPipeline_tmp/conc_fqs/DTU_2022_1016102_1_SI_N19_2884_R2_001.fq.gz</v>
          </cell>
          <cell r="I431" t="str">
            <v>N19_2884</v>
          </cell>
          <cell r="J431" t="str">
            <v>N19_2884</v>
          </cell>
          <cell r="K431" t="str">
            <v>Listeria monocytogenes</v>
          </cell>
          <cell r="L431">
            <v>46204391</v>
          </cell>
          <cell r="M431">
            <v>6143158</v>
          </cell>
          <cell r="N431" t="str">
            <v>Switzerland</v>
          </cell>
          <cell r="Q431">
            <v>2019</v>
          </cell>
          <cell r="T431" t="str">
            <v>Institute for Food Safety and Hygiene, Vetsuisse Faculty, University of Z√ºrich, Zurich, Switzerland</v>
          </cell>
          <cell r="U431" t="str">
            <v>Food</v>
          </cell>
          <cell r="V431" t="str">
            <v>Meat</v>
          </cell>
          <cell r="X431" t="str">
            <v>ERR10612185</v>
          </cell>
        </row>
        <row r="432">
          <cell r="G432" t="str">
            <v>/home/projects/cge/backup/fastq/food_seqdata/NextSeq_208/FoodQCPipeline_tmp/conc_fqs/DTU_2022_1016103_1_SI_N19_2886_R1_001.fq.gz</v>
          </cell>
          <cell r="H432" t="str">
            <v>/home/projects/cge/backup/fastq/food_seqdata/NextSeq_208/FoodQCPipeline_tmp/conc_fqs/DTU_2022_1016103_1_SI_N19_2886_R2_001.fq.gz</v>
          </cell>
          <cell r="I432" t="str">
            <v>N19_2886</v>
          </cell>
          <cell r="J432" t="str">
            <v>N19_2886</v>
          </cell>
          <cell r="K432" t="str">
            <v>Listeria monocytogenes</v>
          </cell>
          <cell r="L432">
            <v>46204391</v>
          </cell>
          <cell r="M432">
            <v>6143158</v>
          </cell>
          <cell r="N432" t="str">
            <v>Switzerland</v>
          </cell>
          <cell r="Q432">
            <v>2019</v>
          </cell>
          <cell r="T432" t="str">
            <v>Institute for Food Safety and Hygiene, Vetsuisse Faculty, University of Z√ºrich, Zurich, Switzerland</v>
          </cell>
          <cell r="U432" t="str">
            <v>Food</v>
          </cell>
          <cell r="V432" t="str">
            <v>Milk product</v>
          </cell>
          <cell r="X432" t="str">
            <v>ERR10612161</v>
          </cell>
        </row>
        <row r="433">
          <cell r="G433" t="str">
            <v>/home/projects/cge/backup/fastq/food_seqdata/NextSeq_208/FoodQCPipeline_tmp/conc_fqs/DTU_2022_1016104_1_SI_N19_2918_R1_001.fq.gz</v>
          </cell>
          <cell r="H433" t="str">
            <v>/home/projects/cge/backup/fastq/food_seqdata/NextSeq_208/FoodQCPipeline_tmp/conc_fqs/DTU_2022_1016104_1_SI_N19_2918_R2_001.fq.gz</v>
          </cell>
          <cell r="I433" t="str">
            <v>N19_2918</v>
          </cell>
          <cell r="J433" t="str">
            <v>N19_2918</v>
          </cell>
          <cell r="K433" t="str">
            <v>Listeria monocytogenes</v>
          </cell>
          <cell r="L433">
            <v>46204391</v>
          </cell>
          <cell r="M433">
            <v>6143158</v>
          </cell>
          <cell r="N433" t="str">
            <v>Switzerland</v>
          </cell>
          <cell r="Q433">
            <v>2019</v>
          </cell>
          <cell r="T433" t="str">
            <v>Institute for Food Safety and Hygiene, Vetsuisse Faculty, University of Z√ºrich, Zurich, Switzerland</v>
          </cell>
          <cell r="U433" t="str">
            <v>Food</v>
          </cell>
          <cell r="V433" t="str">
            <v>Poultry</v>
          </cell>
          <cell r="X433" t="str">
            <v>ERR10612163</v>
          </cell>
        </row>
        <row r="434">
          <cell r="G434" t="str">
            <v>/home/projects/cge/backup/fastq/food_seqdata/NextSeq_208/FoodQCPipeline_tmp/conc_fqs/DTU_2022_1016105_1_SI_N19_2974_R1_001.fq.gz</v>
          </cell>
          <cell r="H434" t="str">
            <v>/home/projects/cge/backup/fastq/food_seqdata/NextSeq_208/FoodQCPipeline_tmp/conc_fqs/DTU_2022_1016105_1_SI_N19_2974_R2_001.fq.gz</v>
          </cell>
          <cell r="I434" t="str">
            <v>N19_2974</v>
          </cell>
          <cell r="J434" t="str">
            <v>N19_2974</v>
          </cell>
          <cell r="K434" t="str">
            <v>Listeria monocytogenes</v>
          </cell>
          <cell r="L434">
            <v>46204391</v>
          </cell>
          <cell r="M434">
            <v>6143158</v>
          </cell>
          <cell r="N434" t="str">
            <v>Switzerland</v>
          </cell>
          <cell r="Q434">
            <v>2019</v>
          </cell>
          <cell r="T434" t="str">
            <v>Institute for Food Safety and Hygiene, Vetsuisse Faculty, University of Z√ºrich, Zurich, Switzerland</v>
          </cell>
          <cell r="U434" t="str">
            <v>Food</v>
          </cell>
          <cell r="V434" t="str">
            <v>Seafood</v>
          </cell>
          <cell r="X434" t="str">
            <v>ERR10612192</v>
          </cell>
        </row>
        <row r="435">
          <cell r="G435" t="str">
            <v>/home/projects/cge/backup/fastq/food_seqdata/NextSeq_208/FoodQCPipeline_tmp/conc_fqs/DTU_2022_1016106_1_SI_N19_2997_R1_001.fq.gz</v>
          </cell>
          <cell r="H435" t="str">
            <v>/home/projects/cge/backup/fastq/food_seqdata/NextSeq_208/FoodQCPipeline_tmp/conc_fqs/DTU_2022_1016106_1_SI_N19_2997_R2_001.fq.gz</v>
          </cell>
          <cell r="I435" t="str">
            <v>N19_2997</v>
          </cell>
          <cell r="J435" t="str">
            <v>N19_2997</v>
          </cell>
          <cell r="K435" t="str">
            <v>Listeria monocytogenes</v>
          </cell>
          <cell r="L435">
            <v>46204391</v>
          </cell>
          <cell r="M435">
            <v>6143158</v>
          </cell>
          <cell r="N435" t="str">
            <v>Switzerland</v>
          </cell>
          <cell r="Q435">
            <v>2019</v>
          </cell>
          <cell r="T435" t="str">
            <v>Institute for Food Safety and Hygiene, Vetsuisse Faculty, University of Z√ºrich, Zurich, Switzerland</v>
          </cell>
          <cell r="U435" t="str">
            <v>Food</v>
          </cell>
          <cell r="V435" t="str">
            <v>Meat</v>
          </cell>
          <cell r="X435" t="str">
            <v>ERR10612139</v>
          </cell>
        </row>
        <row r="436">
          <cell r="G436" t="str">
            <v>/home/projects/cge/backup/fastq/food_seqdata/NextSeq_208/FoodQCPipeline_tmp/conc_fqs/DTU_2022_1016107_1_SI_N19_3008_R1_001.fq.gz</v>
          </cell>
          <cell r="H436" t="str">
            <v>/home/projects/cge/backup/fastq/food_seqdata/NextSeq_208/FoodQCPipeline_tmp/conc_fqs/DTU_2022_1016107_1_SI_N19_3008_R2_001.fq.gz</v>
          </cell>
          <cell r="I436" t="str">
            <v>N19_3008</v>
          </cell>
          <cell r="J436" t="str">
            <v>N19_3008</v>
          </cell>
          <cell r="K436" t="str">
            <v>Listeria monocytogenes</v>
          </cell>
          <cell r="L436">
            <v>46204391</v>
          </cell>
          <cell r="M436">
            <v>6143158</v>
          </cell>
          <cell r="N436" t="str">
            <v>Switzerland</v>
          </cell>
          <cell r="Q436">
            <v>2019</v>
          </cell>
          <cell r="T436" t="str">
            <v>Institute for Food Safety and Hygiene, Vetsuisse Faculty, University of Z√ºrich, Zurich, Switzerland</v>
          </cell>
          <cell r="U436" t="str">
            <v>Food</v>
          </cell>
          <cell r="V436" t="str">
            <v>Milk product</v>
          </cell>
          <cell r="X436" t="str">
            <v>ERR10612204</v>
          </cell>
        </row>
        <row r="437">
          <cell r="G437" t="str">
            <v>/home/projects/cge/backup/fastq/food_seqdata/NextSeq_208/FoodQCPipeline_tmp/conc_fqs/DTU_2022_1016108_1_SI_N19_3018_R1_001.fq.gz</v>
          </cell>
          <cell r="H437" t="str">
            <v>/home/projects/cge/backup/fastq/food_seqdata/NextSeq_208/FoodQCPipeline_tmp/conc_fqs/DTU_2022_1016108_1_SI_N19_3018_R2_001.fq.gz</v>
          </cell>
          <cell r="I437" t="str">
            <v>N19_3018</v>
          </cell>
          <cell r="J437" t="str">
            <v>N19_3018</v>
          </cell>
          <cell r="K437" t="str">
            <v>Listeria monocytogenes</v>
          </cell>
          <cell r="L437">
            <v>46204391</v>
          </cell>
          <cell r="M437">
            <v>6143158</v>
          </cell>
          <cell r="N437" t="str">
            <v>Switzerland</v>
          </cell>
          <cell r="Q437">
            <v>2019</v>
          </cell>
          <cell r="T437" t="str">
            <v>Institute for Food Safety and Hygiene, Vetsuisse Faculty, University of Z√ºrich, Zurich, Switzerland</v>
          </cell>
          <cell r="U437" t="str">
            <v>Food</v>
          </cell>
          <cell r="V437" t="str">
            <v>Poultry</v>
          </cell>
          <cell r="X437" t="str">
            <v>ERR10612197</v>
          </cell>
        </row>
        <row r="438">
          <cell r="G438" t="str">
            <v>/home/projects/cge/backup/fastq/food_seqdata/NextSeq_208/FoodQCPipeline_tmp/conc_fqs/DTU_2022_1016109_1_SI_N19_3043_R1_001.fq.gz</v>
          </cell>
          <cell r="H438" t="str">
            <v>/home/projects/cge/backup/fastq/food_seqdata/NextSeq_208/FoodQCPipeline_tmp/conc_fqs/DTU_2022_1016109_1_SI_N19_3043_R2_001.fq.gz</v>
          </cell>
          <cell r="I438" t="str">
            <v>N19_3043</v>
          </cell>
          <cell r="J438" t="str">
            <v>N19_3043</v>
          </cell>
          <cell r="K438" t="str">
            <v>Listeria monocytogenes</v>
          </cell>
          <cell r="L438">
            <v>46204391</v>
          </cell>
          <cell r="M438">
            <v>6143158</v>
          </cell>
          <cell r="N438" t="str">
            <v>Switzerland</v>
          </cell>
          <cell r="Q438">
            <v>2019</v>
          </cell>
          <cell r="T438" t="str">
            <v>Institute for Food Safety and Hygiene, Vetsuisse Faculty, University of Z√ºrich, Zurich, Switzerland</v>
          </cell>
          <cell r="U438" t="str">
            <v>Food</v>
          </cell>
          <cell r="V438" t="str">
            <v>Seafood</v>
          </cell>
          <cell r="X438" t="str">
            <v>ERR10612172</v>
          </cell>
        </row>
        <row r="439">
          <cell r="G439" t="str">
            <v>/home/projects/cge/backup/fastq/food_seqdata/NextSeq_208/FoodQCPipeline_tmp/conc_fqs/DTU_2022_1016110_1_SI_N19_3069_R1_001.fq.gz</v>
          </cell>
          <cell r="H439" t="str">
            <v>/home/projects/cge/backup/fastq/food_seqdata/NextSeq_208/FoodQCPipeline_tmp/conc_fqs/DTU_2022_1016110_1_SI_N19_3069_R2_001.fq.gz</v>
          </cell>
          <cell r="I439" t="str">
            <v>N19_3069</v>
          </cell>
          <cell r="J439" t="str">
            <v>N19_3069</v>
          </cell>
          <cell r="K439" t="str">
            <v>Listeria monocytogenes</v>
          </cell>
          <cell r="L439">
            <v>46204391</v>
          </cell>
          <cell r="M439">
            <v>6143158</v>
          </cell>
          <cell r="N439" t="str">
            <v>Switzerland</v>
          </cell>
          <cell r="Q439">
            <v>2019</v>
          </cell>
          <cell r="T439" t="str">
            <v>Institute for Food Safety and Hygiene, Vetsuisse Faculty, University of Z√ºrich, Zurich, Switzerland</v>
          </cell>
          <cell r="U439" t="str">
            <v>Food</v>
          </cell>
          <cell r="V439" t="str">
            <v>Meat</v>
          </cell>
          <cell r="X439" t="str">
            <v>ERR10612191</v>
          </cell>
        </row>
        <row r="440">
          <cell r="G440" t="str">
            <v>/home/projects/cge/backup/fastq/food_seqdata/NextSeq_208/FoodQCPipeline_tmp/conc_fqs/DTU_2022_1016111_1_SI_N19_3072_R1_001.fq.gz</v>
          </cell>
          <cell r="H440" t="str">
            <v>/home/projects/cge/backup/fastq/food_seqdata/NextSeq_208/FoodQCPipeline_tmp/conc_fqs/DTU_2022_1016111_1_SI_N19_3072_R2_001.fq.gz</v>
          </cell>
          <cell r="I440" t="str">
            <v>N19_3072</v>
          </cell>
          <cell r="J440" t="str">
            <v>N19_3072</v>
          </cell>
          <cell r="K440" t="str">
            <v>Listeria monocytogenes</v>
          </cell>
          <cell r="L440">
            <v>46204391</v>
          </cell>
          <cell r="M440">
            <v>6143158</v>
          </cell>
          <cell r="N440" t="str">
            <v>Switzerland</v>
          </cell>
          <cell r="Q440">
            <v>2019</v>
          </cell>
          <cell r="T440" t="str">
            <v>Institute for Food Safety and Hygiene, Vetsuisse Faculty, University of Z√ºrich, Zurich, Switzerland</v>
          </cell>
          <cell r="U440" t="str">
            <v>Food</v>
          </cell>
          <cell r="V440" t="str">
            <v>Milk product</v>
          </cell>
          <cell r="X440" t="str">
            <v>ERR10612144</v>
          </cell>
        </row>
        <row r="441">
          <cell r="G441" t="str">
            <v>/home/projects/cge/backup/fastq/food_seqdata/NextSeq_216/FoodQCPipeline_tmp/conc_fqs/DTU_2022_1016112_1_SI_N19_3077_R1_001.fq.gz</v>
          </cell>
          <cell r="H441" t="str">
            <v>/home/projects/cge/backup/fastq/food_seqdata/NextSeq_216/FoodQCPipeline_tmp/conc_fqs/DTU_2022_1016112_1_SI_N19_3077_R2_001.fq.gz</v>
          </cell>
          <cell r="I441" t="str">
            <v>N19_3077</v>
          </cell>
          <cell r="J441" t="str">
            <v>N19_3077</v>
          </cell>
          <cell r="K441" t="str">
            <v>Listeria monocytogenes</v>
          </cell>
          <cell r="L441">
            <v>46204391</v>
          </cell>
          <cell r="M441">
            <v>6143158</v>
          </cell>
          <cell r="N441" t="str">
            <v>Switzerland</v>
          </cell>
          <cell r="Q441">
            <v>2019</v>
          </cell>
          <cell r="T441" t="str">
            <v>Institute for Food Safety and Hygiene, Vetsuisse Faculty, University of Z√ºrich, Zurich, Switzerland</v>
          </cell>
          <cell r="U441" t="str">
            <v>Food</v>
          </cell>
          <cell r="V441" t="str">
            <v>milk product</v>
          </cell>
          <cell r="X441" t="str">
            <v>ERR10549664</v>
          </cell>
        </row>
        <row r="442">
          <cell r="G442" t="str">
            <v>/home/projects/cge/backup/fastq/food_seqdata/NextSeq_208/FoodQCPipeline_tmp/conc_fqs/DTU_2022_1016113_1_SI_N19_3097_R1_001.fq.gz</v>
          </cell>
          <cell r="H442" t="str">
            <v>/home/projects/cge/backup/fastq/food_seqdata/NextSeq_208/FoodQCPipeline_tmp/conc_fqs/DTU_2022_1016113_1_SI_N19_3097_R2_001.fq.gz</v>
          </cell>
          <cell r="I442" t="str">
            <v>N19_3097</v>
          </cell>
          <cell r="J442" t="str">
            <v>N19_3097</v>
          </cell>
          <cell r="K442" t="str">
            <v>Listeria monocytogenes</v>
          </cell>
          <cell r="L442">
            <v>46204391</v>
          </cell>
          <cell r="M442">
            <v>6143158</v>
          </cell>
          <cell r="N442" t="str">
            <v>Switzerland</v>
          </cell>
          <cell r="Q442">
            <v>2019</v>
          </cell>
          <cell r="T442" t="str">
            <v>Institute for Food Safety and Hygiene, Vetsuisse Faculty, University of Z√ºrich, Zurich, Switzerland</v>
          </cell>
          <cell r="U442" t="str">
            <v>Food</v>
          </cell>
          <cell r="V442" t="str">
            <v>Seafood</v>
          </cell>
          <cell r="X442" t="str">
            <v>ERR10612198</v>
          </cell>
        </row>
        <row r="443">
          <cell r="G443" t="str">
            <v>/home/projects/cge/backup/fastq/food_seqdata/NextSeq_208/FoodQCPipeline_tmp/conc_fqs/DTU_2022_1015979_1_SI_N19_3134_R1_001.fq.gz</v>
          </cell>
          <cell r="H443" t="str">
            <v>/home/projects/cge/backup/fastq/food_seqdata/NextSeq_208/FoodQCPipeline_tmp/conc_fqs/DTU_2022_1015979_1_SI_N19_3134_R2_001.fq.gz</v>
          </cell>
          <cell r="I443" t="str">
            <v>N19_3134</v>
          </cell>
          <cell r="J443" t="str">
            <v>N19_3134</v>
          </cell>
          <cell r="K443" t="str">
            <v>Listeria monocytogenes</v>
          </cell>
          <cell r="L443">
            <v>46204391</v>
          </cell>
          <cell r="M443">
            <v>6143158</v>
          </cell>
          <cell r="N443" t="str">
            <v>Switzerland</v>
          </cell>
          <cell r="Q443">
            <v>2019</v>
          </cell>
          <cell r="T443" t="str">
            <v>Institute for Food Safety and Hygiene, Vetsuisse Faculty, University of Z√ºrich, Zurich, Switzerland</v>
          </cell>
          <cell r="U443" t="str">
            <v>Food</v>
          </cell>
          <cell r="V443" t="str">
            <v>Seafood</v>
          </cell>
          <cell r="X443" t="str">
            <v>ERR10612146</v>
          </cell>
        </row>
        <row r="444">
          <cell r="G444" t="str">
            <v>/home/projects/cge/backup/fastq/food_seqdata/NextSeq_208/FoodQCPipeline_tmp/conc_fqs/DTU_2022_1016115_1_SI_N20_0094_R1_001.fq.gz</v>
          </cell>
          <cell r="H444" t="str">
            <v>/home/projects/cge/backup/fastq/food_seqdata/NextSeq_208/FoodQCPipeline_tmp/conc_fqs/DTU_2022_1016115_1_SI_N20_0094_R2_001.fq.gz</v>
          </cell>
          <cell r="I444" t="str">
            <v>N20_0094</v>
          </cell>
          <cell r="J444" t="str">
            <v>N20_0094</v>
          </cell>
          <cell r="K444" t="str">
            <v>Listeria monocytogenes</v>
          </cell>
          <cell r="L444">
            <v>46204391</v>
          </cell>
          <cell r="M444">
            <v>6143158</v>
          </cell>
          <cell r="N444" t="str">
            <v>Switzerland</v>
          </cell>
          <cell r="Q444">
            <v>2020</v>
          </cell>
          <cell r="T444" t="str">
            <v>Institute for Food Safety and Hygiene, Vetsuisse Faculty, University of Z√ºrich, Zurich, Switzerland</v>
          </cell>
          <cell r="U444" t="str">
            <v>Food</v>
          </cell>
          <cell r="V444" t="str">
            <v>Seafood</v>
          </cell>
          <cell r="X444" t="str">
            <v>ERR10612167</v>
          </cell>
        </row>
        <row r="445">
          <cell r="G445" t="str">
            <v>/home/projects/cge/backup/fastq/food_seqdata/NextSeq_208/FoodQCPipeline_tmp/conc_fqs/DTU_2022_1016116_1_SI_N20_0104_R1_001.fq.gz</v>
          </cell>
          <cell r="H445" t="str">
            <v>/home/projects/cge/backup/fastq/food_seqdata/NextSeq_208/FoodQCPipeline_tmp/conc_fqs/DTU_2022_1016116_1_SI_N20_0104_R2_001.fq.gz</v>
          </cell>
          <cell r="I445" t="str">
            <v>N20_0104</v>
          </cell>
          <cell r="J445" t="str">
            <v>N20_0104</v>
          </cell>
          <cell r="K445" t="str">
            <v>Listeria monocytogenes</v>
          </cell>
          <cell r="L445">
            <v>46204391</v>
          </cell>
          <cell r="M445">
            <v>6143158</v>
          </cell>
          <cell r="N445" t="str">
            <v>Switzerland</v>
          </cell>
          <cell r="Q445">
            <v>2020</v>
          </cell>
          <cell r="T445" t="str">
            <v>Institute for Food Safety and Hygiene, Vetsuisse Faculty, University of Z√ºrich, Zurich, Switzerland</v>
          </cell>
          <cell r="U445" t="str">
            <v>Food</v>
          </cell>
          <cell r="V445" t="str">
            <v>Seafood</v>
          </cell>
          <cell r="X445" t="str">
            <v>ERR10612171</v>
          </cell>
        </row>
        <row r="446">
          <cell r="G446" t="str">
            <v>/home/projects/cge/backup/fastq/food_seqdata/NextSeq_208/FoodQCPipeline_tmp/conc_fqs/DTU_2022_1016117_1_SI_N20_0149_R1_001.fq.gz</v>
          </cell>
          <cell r="H446" t="str">
            <v>/home/projects/cge/backup/fastq/food_seqdata/NextSeq_208/FoodQCPipeline_tmp/conc_fqs/DTU_2022_1016117_1_SI_N20_0149_R2_001.fq.gz</v>
          </cell>
          <cell r="I446" t="str">
            <v>N20_0149</v>
          </cell>
          <cell r="J446" t="str">
            <v>N20_0149</v>
          </cell>
          <cell r="K446" t="str">
            <v>Listeria monocytogenes</v>
          </cell>
          <cell r="L446">
            <v>46204391</v>
          </cell>
          <cell r="M446">
            <v>6143158</v>
          </cell>
          <cell r="N446" t="str">
            <v>Switzerland</v>
          </cell>
          <cell r="Q446">
            <v>2020</v>
          </cell>
          <cell r="T446" t="str">
            <v>Institute for Food Safety and Hygiene, Vetsuisse Faculty, University of Z√ºrich, Zurich, Switzerland</v>
          </cell>
          <cell r="U446" t="str">
            <v>Food</v>
          </cell>
          <cell r="V446" t="str">
            <v>Milk product</v>
          </cell>
          <cell r="X446" t="str">
            <v>ERR10612178</v>
          </cell>
        </row>
        <row r="447">
          <cell r="G447" t="str">
            <v>/home/projects/cge/backup/fastq/food_seqdata/NextSeq_208/FoodQCPipeline_tmp/conc_fqs/DTU_2022_1016118_1_SI_N20_0150_R1_001.fq.gz</v>
          </cell>
          <cell r="H447" t="str">
            <v>/home/projects/cge/backup/fastq/food_seqdata/NextSeq_208/FoodQCPipeline_tmp/conc_fqs/DTU_2022_1016118_1_SI_N20_0150_R2_001.fq.gz</v>
          </cell>
          <cell r="I447" t="str">
            <v>N20_0150</v>
          </cell>
          <cell r="J447" t="str">
            <v>N20_0150</v>
          </cell>
          <cell r="K447" t="str">
            <v>Listeria monocytogenes</v>
          </cell>
          <cell r="L447">
            <v>46204391</v>
          </cell>
          <cell r="M447">
            <v>6143158</v>
          </cell>
          <cell r="N447" t="str">
            <v>Switzerland</v>
          </cell>
          <cell r="Q447">
            <v>2020</v>
          </cell>
          <cell r="T447" t="str">
            <v>Institute for Food Safety and Hygiene, Vetsuisse Faculty, University of Z√ºrich, Zurich, Switzerland</v>
          </cell>
          <cell r="U447" t="str">
            <v>Food</v>
          </cell>
          <cell r="V447" t="str">
            <v>Meat</v>
          </cell>
          <cell r="X447" t="str">
            <v>ERR10612153</v>
          </cell>
        </row>
        <row r="448">
          <cell r="G448" t="str">
            <v>/home/projects/cge/backup/fastq/food_seqdata/NextSeq_208/FoodQCPipeline_tmp/conc_fqs/DTU_2022_1016119_1_SI_N20_0186_R1_001.fq.gz</v>
          </cell>
          <cell r="H448" t="str">
            <v>/home/projects/cge/backup/fastq/food_seqdata/NextSeq_208/FoodQCPipeline_tmp/conc_fqs/DTU_2022_1016119_1_SI_N20_0186_R2_001.fq.gz</v>
          </cell>
          <cell r="I448" t="str">
            <v>N20_0186</v>
          </cell>
          <cell r="J448" t="str">
            <v>N20_0186</v>
          </cell>
          <cell r="K448" t="str">
            <v>Listeria monocytogenes</v>
          </cell>
          <cell r="L448">
            <v>46204391</v>
          </cell>
          <cell r="M448">
            <v>6143158</v>
          </cell>
          <cell r="N448" t="str">
            <v>Switzerland</v>
          </cell>
          <cell r="Q448">
            <v>2020</v>
          </cell>
          <cell r="T448" t="str">
            <v>Institute for Food Safety and Hygiene, Vetsuisse Faculty, University of Z√ºrich, Zurich, Switzerland</v>
          </cell>
          <cell r="U448" t="str">
            <v>Food</v>
          </cell>
          <cell r="V448" t="str">
            <v>Poultry</v>
          </cell>
          <cell r="X448" t="str">
            <v>ERR10612181</v>
          </cell>
        </row>
        <row r="449">
          <cell r="G449" t="str">
            <v>/home/projects/cge/backup/fastq/food_seqdata/NextSeq_208/FoodQCPipeline_tmp/conc_fqs/DTU_2022_1016120_1_SI_N20_0187_R1_001.fq.gz</v>
          </cell>
          <cell r="H449" t="str">
            <v>/home/projects/cge/backup/fastq/food_seqdata/NextSeq_208/FoodQCPipeline_tmp/conc_fqs/DTU_2022_1016120_1_SI_N20_0187_R2_001.fq.gz</v>
          </cell>
          <cell r="I449" t="str">
            <v>N20_0187</v>
          </cell>
          <cell r="J449" t="str">
            <v>N20_0187</v>
          </cell>
          <cell r="K449" t="str">
            <v>Listeria monocytogenes</v>
          </cell>
          <cell r="L449">
            <v>46204391</v>
          </cell>
          <cell r="M449">
            <v>6143158</v>
          </cell>
          <cell r="N449" t="str">
            <v>Switzerland</v>
          </cell>
          <cell r="Q449">
            <v>2020</v>
          </cell>
          <cell r="T449" t="str">
            <v>Institute for Food Safety and Hygiene, Vetsuisse Faculty, University of Z√ºrich, Zurich, Switzerland</v>
          </cell>
          <cell r="U449" t="str">
            <v>Food</v>
          </cell>
          <cell r="V449" t="str">
            <v>Seafood</v>
          </cell>
          <cell r="X449" t="str">
            <v>ERR10612177</v>
          </cell>
        </row>
        <row r="450">
          <cell r="G450" t="str">
            <v>/home/projects/cge/backup/fastq/food_seqdata/NextSeq_208/FoodQCPipeline_tmp/conc_fqs/DTU_2022_1016121_1_SI_N20_0268_R1_001.fq.gz</v>
          </cell>
          <cell r="H450" t="str">
            <v>/home/projects/cge/backup/fastq/food_seqdata/NextSeq_208/FoodQCPipeline_tmp/conc_fqs/DTU_2022_1016121_1_SI_N20_0268_R2_001.fq.gz</v>
          </cell>
          <cell r="I450" t="str">
            <v>N20_0268</v>
          </cell>
          <cell r="J450" t="str">
            <v>N20_0268</v>
          </cell>
          <cell r="K450" t="str">
            <v>Listeria monocytogenes</v>
          </cell>
          <cell r="L450">
            <v>46204391</v>
          </cell>
          <cell r="M450">
            <v>6143158</v>
          </cell>
          <cell r="N450" t="str">
            <v>Switzerland</v>
          </cell>
          <cell r="Q450">
            <v>2020</v>
          </cell>
          <cell r="T450" t="str">
            <v>Institute for Food Safety and Hygiene, Vetsuisse Faculty, University of Z√ºrich, Zurich, Switzerland</v>
          </cell>
          <cell r="U450" t="str">
            <v>Food</v>
          </cell>
          <cell r="V450" t="str">
            <v>Seafood</v>
          </cell>
          <cell r="X450" t="str">
            <v>ERR10612155</v>
          </cell>
        </row>
        <row r="451">
          <cell r="G451" t="str">
            <v>/home/projects/cge/backup/fastq/food_seqdata/NextSeq_208/FoodQCPipeline_tmp/conc_fqs/DTU_2022_1016122_1_SI_N20_0303_R1_001.fq.gz</v>
          </cell>
          <cell r="H451" t="str">
            <v>/home/projects/cge/backup/fastq/food_seqdata/NextSeq_208/FoodQCPipeline_tmp/conc_fqs/DTU_2022_1016122_1_SI_N20_0303_R2_001.fq.gz</v>
          </cell>
          <cell r="I451" t="str">
            <v>N20_0303</v>
          </cell>
          <cell r="J451" t="str">
            <v>N20_0303</v>
          </cell>
          <cell r="K451" t="str">
            <v>Listeria monocytogenes</v>
          </cell>
          <cell r="L451">
            <v>46204391</v>
          </cell>
          <cell r="M451">
            <v>6143158</v>
          </cell>
          <cell r="N451" t="str">
            <v>Switzerland</v>
          </cell>
          <cell r="Q451">
            <v>2020</v>
          </cell>
          <cell r="T451" t="str">
            <v>Institute for Food Safety and Hygiene, Vetsuisse Faculty, University of Z√ºrich, Zurich, Switzerland</v>
          </cell>
          <cell r="U451" t="str">
            <v>Food</v>
          </cell>
          <cell r="V451" t="str">
            <v>Poultry</v>
          </cell>
          <cell r="X451" t="str">
            <v>ERR10612154</v>
          </cell>
        </row>
        <row r="452">
          <cell r="G452" t="str">
            <v>/home/projects/cge/backup/fastq/food_seqdata/NextSeq_208/FoodQCPipeline_tmp/conc_fqs/DTU_2022_1016123_1_SI_N20_0320_R1_001.fq.gz</v>
          </cell>
          <cell r="H452" t="str">
            <v>/home/projects/cge/backup/fastq/food_seqdata/NextSeq_208/FoodQCPipeline_tmp/conc_fqs/DTU_2022_1016123_1_SI_N20_0320_R2_001.fq.gz</v>
          </cell>
          <cell r="I452" t="str">
            <v>N20_0320</v>
          </cell>
          <cell r="J452" t="str">
            <v>N20_0320</v>
          </cell>
          <cell r="K452" t="str">
            <v>Listeria monocytogenes</v>
          </cell>
          <cell r="L452">
            <v>46204391</v>
          </cell>
          <cell r="M452">
            <v>6143158</v>
          </cell>
          <cell r="N452" t="str">
            <v>Switzerland</v>
          </cell>
          <cell r="Q452">
            <v>2020</v>
          </cell>
          <cell r="T452" t="str">
            <v>Institute for Food Safety and Hygiene, Vetsuisse Faculty, University of Z√ºrich, Zurich, Switzerland</v>
          </cell>
          <cell r="U452" t="str">
            <v>Food</v>
          </cell>
          <cell r="V452" t="str">
            <v>Seafood</v>
          </cell>
          <cell r="X452" t="str">
            <v>ERR10612175</v>
          </cell>
        </row>
        <row r="453">
          <cell r="G453" t="str">
            <v>/home/projects/cge/backup/fastq/food_seqdata/NextSeq_208/FoodQCPipeline_tmp/conc_fqs/DTU_2022_1016124_1_SI_N20_0332_R1_001.fq.gz</v>
          </cell>
          <cell r="H453" t="str">
            <v>/home/projects/cge/backup/fastq/food_seqdata/NextSeq_208/FoodQCPipeline_tmp/conc_fqs/DTU_2022_1016124_1_SI_N20_0332_R2_001.fq.gz</v>
          </cell>
          <cell r="I453" t="str">
            <v>N20_0332</v>
          </cell>
          <cell r="J453" t="str">
            <v>N20_0332</v>
          </cell>
          <cell r="K453" t="str">
            <v>Listeria monocytogenes</v>
          </cell>
          <cell r="L453">
            <v>46204391</v>
          </cell>
          <cell r="M453">
            <v>6143158</v>
          </cell>
          <cell r="N453" t="str">
            <v>Switzerland</v>
          </cell>
          <cell r="Q453">
            <v>2020</v>
          </cell>
          <cell r="T453" t="str">
            <v>Institute for Food Safety and Hygiene, Vetsuisse Faculty, University of Z√ºrich, Zurich, Switzerland</v>
          </cell>
          <cell r="U453" t="str">
            <v>Food</v>
          </cell>
          <cell r="V453" t="str">
            <v>Meat</v>
          </cell>
          <cell r="X453" t="str">
            <v>ERR10612158</v>
          </cell>
        </row>
        <row r="454">
          <cell r="G454" t="str">
            <v>/home/projects/cge/backup/fastq/food_seqdata/NextSeq_208/FoodQCPipeline_tmp/conc_fqs/DTU_2022_1015980_1_SI_N20_0379_R1_001.fq.gz</v>
          </cell>
          <cell r="H454" t="str">
            <v>/home/projects/cge/backup/fastq/food_seqdata/NextSeq_208/FoodQCPipeline_tmp/conc_fqs/DTU_2022_1015980_1_SI_N20_0379_R2_001.fq.gz</v>
          </cell>
          <cell r="I454" t="str">
            <v>N20_0379</v>
          </cell>
          <cell r="J454" t="str">
            <v>N20_0379</v>
          </cell>
          <cell r="K454" t="str">
            <v>Listeria monocytogenes</v>
          </cell>
          <cell r="L454">
            <v>46204391</v>
          </cell>
          <cell r="M454">
            <v>6143158</v>
          </cell>
          <cell r="N454" t="str">
            <v>Switzerland</v>
          </cell>
          <cell r="Q454">
            <v>2020</v>
          </cell>
          <cell r="T454" t="str">
            <v>Institute for Food Safety and Hygiene, Vetsuisse Faculty, University of Z√ºrich, Zurich, Switzerland</v>
          </cell>
          <cell r="U454" t="str">
            <v>Food</v>
          </cell>
          <cell r="V454" t="str">
            <v>Milk product</v>
          </cell>
          <cell r="X454" t="str">
            <v>ERR10612182</v>
          </cell>
        </row>
        <row r="455">
          <cell r="G455" t="str">
            <v>/home/projects/cge/backup/fastq/food_seqdata/NextSeq_208/FoodQCPipeline_tmp/conc_fqs/DTU_2022_1016125_1_SI_N20_0384_R1_001.fq.gz</v>
          </cell>
          <cell r="H455" t="str">
            <v>/home/projects/cge/backup/fastq/food_seqdata/NextSeq_208/FoodQCPipeline_tmp/conc_fqs/DTU_2022_1016125_1_SI_N20_0384_R2_001.fq.gz</v>
          </cell>
          <cell r="I455" t="str">
            <v>N20_0384</v>
          </cell>
          <cell r="J455" t="str">
            <v>N20_0384</v>
          </cell>
          <cell r="K455" t="str">
            <v>Listeria monocytogenes</v>
          </cell>
          <cell r="L455">
            <v>46204391</v>
          </cell>
          <cell r="M455">
            <v>6143158</v>
          </cell>
          <cell r="N455" t="str">
            <v>Switzerland</v>
          </cell>
          <cell r="Q455">
            <v>2020</v>
          </cell>
          <cell r="T455" t="str">
            <v>Institute for Food Safety and Hygiene, Vetsuisse Faculty, University of Z√ºrich, Zurich, Switzerland</v>
          </cell>
          <cell r="U455" t="str">
            <v>Food</v>
          </cell>
          <cell r="V455" t="str">
            <v>Meat</v>
          </cell>
          <cell r="X455" t="str">
            <v>ERR10612180</v>
          </cell>
        </row>
        <row r="456">
          <cell r="G456" t="str">
            <v>/home/projects/cge/backup/fastq/food_seqdata/NextSeq_208/FoodQCPipeline_tmp/conc_fqs/DTU_2022_1016126_1_SI_N20_0415_R1_001.fq.gz</v>
          </cell>
          <cell r="H456" t="str">
            <v>/home/projects/cge/backup/fastq/food_seqdata/NextSeq_208/FoodQCPipeline_tmp/conc_fqs/DTU_2022_1016126_1_SI_N20_0415_R2_001.fq.gz</v>
          </cell>
          <cell r="I456" t="str">
            <v>N20_0415</v>
          </cell>
          <cell r="J456" t="str">
            <v>N20_0415</v>
          </cell>
          <cell r="K456" t="str">
            <v>Listeria monocytogenes</v>
          </cell>
          <cell r="L456">
            <v>46204391</v>
          </cell>
          <cell r="M456">
            <v>6143158</v>
          </cell>
          <cell r="N456" t="str">
            <v>Switzerland</v>
          </cell>
          <cell r="Q456">
            <v>2020</v>
          </cell>
          <cell r="T456" t="str">
            <v>Institute for Food Safety and Hygiene, Vetsuisse Faculty, University of Z√ºrich, Zurich, Switzerland</v>
          </cell>
          <cell r="U456" t="str">
            <v>Food</v>
          </cell>
          <cell r="V456" t="str">
            <v>Poultry</v>
          </cell>
          <cell r="X456" t="str">
            <v>ERR10612202</v>
          </cell>
        </row>
        <row r="457">
          <cell r="G457" t="str">
            <v>/home/projects/cge/backup/fastq/food_seqdata/NextSeq_208/FoodQCPipeline_tmp/conc_fqs/DTU_2022_1015981_1_SI_N20_0429_R1_001.fq.gz</v>
          </cell>
          <cell r="H457" t="str">
            <v>/home/projects/cge/backup/fastq/food_seqdata/NextSeq_208/FoodQCPipeline_tmp/conc_fqs/DTU_2022_1015981_1_SI_N20_0429_R2_001.fq.gz</v>
          </cell>
          <cell r="I457" t="str">
            <v>N20_0429</v>
          </cell>
          <cell r="J457" t="str">
            <v>N20_0429</v>
          </cell>
          <cell r="K457" t="str">
            <v>Listeria monocytogenes</v>
          </cell>
          <cell r="L457">
            <v>46204391</v>
          </cell>
          <cell r="M457">
            <v>6143158</v>
          </cell>
          <cell r="N457" t="str">
            <v>Switzerland</v>
          </cell>
          <cell r="Q457">
            <v>2020</v>
          </cell>
          <cell r="T457" t="str">
            <v>Institute for Food Safety and Hygiene, Vetsuisse Faculty, University of Z√ºrich, Zurich, Switzerland</v>
          </cell>
          <cell r="U457" t="str">
            <v>Food</v>
          </cell>
          <cell r="V457" t="str">
            <v>Seafood</v>
          </cell>
          <cell r="X457" t="str">
            <v>ERR10612184</v>
          </cell>
        </row>
        <row r="458">
          <cell r="G458" t="str">
            <v>/home/projects/cge/backup/fastq/food_seqdata/NextSeq_208/FoodQCPipeline_tmp/conc_fqs/DTU_2022_1016127_1_SI_N20_0527_R1_001.fq.gz</v>
          </cell>
          <cell r="H458" t="str">
            <v>/home/projects/cge/backup/fastq/food_seqdata/NextSeq_208/FoodQCPipeline_tmp/conc_fqs/DTU_2022_1016127_1_SI_N20_0527_R2_001.fq.gz</v>
          </cell>
          <cell r="I458" t="str">
            <v>N20_0527</v>
          </cell>
          <cell r="J458" t="str">
            <v>N20_0527</v>
          </cell>
          <cell r="K458" t="str">
            <v>Listeria monocytogenes</v>
          </cell>
          <cell r="L458">
            <v>46204391</v>
          </cell>
          <cell r="M458">
            <v>6143158</v>
          </cell>
          <cell r="N458" t="str">
            <v>Switzerland</v>
          </cell>
          <cell r="Q458">
            <v>2020</v>
          </cell>
          <cell r="T458" t="str">
            <v>Institute for Food Safety and Hygiene, Vetsuisse Faculty, University of Z√ºrich, Zurich, Switzerland</v>
          </cell>
          <cell r="U458" t="str">
            <v>Food</v>
          </cell>
          <cell r="V458" t="str">
            <v>Poultry</v>
          </cell>
          <cell r="X458" t="str">
            <v>ERR10612222</v>
          </cell>
        </row>
        <row r="459">
          <cell r="G459" t="str">
            <v>/home/projects/cge/backup/fastq/food_seqdata/NextSeq_208/FoodQCPipeline_tmp/conc_fqs/DTU_2022_1015982_1_SI_N20_0558_R1_001.fq.gz</v>
          </cell>
          <cell r="H459" t="str">
            <v>/home/projects/cge/backup/fastq/food_seqdata/NextSeq_208/FoodQCPipeline_tmp/conc_fqs/DTU_2022_1015982_1_SI_N20_0558_R2_001.fq.gz</v>
          </cell>
          <cell r="I459" t="str">
            <v>N20_0558</v>
          </cell>
          <cell r="J459" t="str">
            <v>N20_0558</v>
          </cell>
          <cell r="K459" t="str">
            <v>Listeria monocytogenes</v>
          </cell>
          <cell r="L459">
            <v>46204391</v>
          </cell>
          <cell r="M459">
            <v>6143158</v>
          </cell>
          <cell r="N459" t="str">
            <v>Switzerland</v>
          </cell>
          <cell r="Q459">
            <v>2020</v>
          </cell>
          <cell r="T459" t="str">
            <v>Institute for Food Safety and Hygiene, Vetsuisse Faculty, University of Z√ºrich, Zurich, Switzerland</v>
          </cell>
          <cell r="U459" t="str">
            <v>Food</v>
          </cell>
          <cell r="V459" t="str">
            <v>Poultry</v>
          </cell>
          <cell r="X459" t="str">
            <v>ERR10612193</v>
          </cell>
        </row>
        <row r="460">
          <cell r="G460" t="str">
            <v>/home/projects/cge/backup/fastq/food_seqdata/NextSeq_208/FoodQCPipeline_tmp/conc_fqs/DTU_2022_1015983_1_SI_N20_0593_R1_001.fq.gz</v>
          </cell>
          <cell r="H460" t="str">
            <v>/home/projects/cge/backup/fastq/food_seqdata/NextSeq_208/FoodQCPipeline_tmp/conc_fqs/DTU_2022_1015983_1_SI_N20_0593_R2_001.fq.gz</v>
          </cell>
          <cell r="I460" t="str">
            <v>N20_0593</v>
          </cell>
          <cell r="J460" t="str">
            <v>N20_0593</v>
          </cell>
          <cell r="K460" t="str">
            <v>Listeria monocytogenes</v>
          </cell>
          <cell r="L460">
            <v>46204391</v>
          </cell>
          <cell r="M460">
            <v>6143158</v>
          </cell>
          <cell r="N460" t="str">
            <v>Switzerland</v>
          </cell>
          <cell r="Q460">
            <v>2020</v>
          </cell>
          <cell r="T460" t="str">
            <v>Institute for Food Safety and Hygiene, Vetsuisse Faculty, University of Z√ºrich, Zurich, Switzerland</v>
          </cell>
          <cell r="U460" t="str">
            <v>Food</v>
          </cell>
          <cell r="V460" t="str">
            <v>Meat</v>
          </cell>
          <cell r="X460" t="str">
            <v>ERR10612188</v>
          </cell>
        </row>
        <row r="461">
          <cell r="G461" t="str">
            <v>/home/projects/cge/backup/fastq/food_seqdata/NextSeq_208/FoodQCPipeline_tmp/conc_fqs/DTU_2022_1015984_1_SI_N20_0612_R1_001.fq.gz</v>
          </cell>
          <cell r="H461" t="str">
            <v>/home/projects/cge/backup/fastq/food_seqdata/NextSeq_208/FoodQCPipeline_tmp/conc_fqs/DTU_2022_1015984_1_SI_N20_0612_R2_001.fq.gz</v>
          </cell>
          <cell r="I461" t="str">
            <v>N20_0612</v>
          </cell>
          <cell r="J461" t="str">
            <v>N20_0612</v>
          </cell>
          <cell r="K461" t="str">
            <v>Listeria monocytogenes</v>
          </cell>
          <cell r="L461">
            <v>46204391</v>
          </cell>
          <cell r="M461">
            <v>6143158</v>
          </cell>
          <cell r="N461" t="str">
            <v>Switzerland</v>
          </cell>
          <cell r="Q461">
            <v>2020</v>
          </cell>
          <cell r="T461" t="str">
            <v>Institute for Food Safety and Hygiene, Vetsuisse Faculty, University of Z√ºrich, Zurich, Switzerland</v>
          </cell>
          <cell r="U461" t="str">
            <v>Food</v>
          </cell>
          <cell r="V461" t="str">
            <v>Seafood</v>
          </cell>
          <cell r="X461" t="str">
            <v>ERR10612183</v>
          </cell>
        </row>
        <row r="462">
          <cell r="G462" t="str">
            <v>/home/projects/cge/backup/fastq/food_seqdata/NextSeq_208/FoodQCPipeline_tmp/conc_fqs/DTU_2022_1015985_1_SI_N20_0634_R1_001.fq.gz</v>
          </cell>
          <cell r="H462" t="str">
            <v>/home/projects/cge/backup/fastq/food_seqdata/NextSeq_208/FoodQCPipeline_tmp/conc_fqs/DTU_2022_1015985_1_SI_N20_0634_R2_001.fq.gz</v>
          </cell>
          <cell r="I462" t="str">
            <v>N20_0634</v>
          </cell>
          <cell r="J462" t="str">
            <v>N20_0634</v>
          </cell>
          <cell r="K462" t="str">
            <v>Listeria monocytogenes</v>
          </cell>
          <cell r="L462">
            <v>46204391</v>
          </cell>
          <cell r="M462">
            <v>6143158</v>
          </cell>
          <cell r="N462" t="str">
            <v>Switzerland</v>
          </cell>
          <cell r="Q462">
            <v>2020</v>
          </cell>
          <cell r="T462" t="str">
            <v>Institute for Food Safety and Hygiene, Vetsuisse Faculty, University of Z√ºrich, Zurich, Switzerland</v>
          </cell>
          <cell r="U462" t="str">
            <v>Food</v>
          </cell>
          <cell r="V462" t="str">
            <v>Seafood</v>
          </cell>
          <cell r="X462" t="str">
            <v>ERR10612210</v>
          </cell>
        </row>
        <row r="463">
          <cell r="G463" t="str">
            <v>/home/projects/cge/backup/fastq/food_seqdata/NextSeq_208/FoodQCPipeline_tmp/conc_fqs/DTU_2022_1015986_1_SI_N20_0642_R1_001.fq.gz</v>
          </cell>
          <cell r="H463" t="str">
            <v>/home/projects/cge/backup/fastq/food_seqdata/NextSeq_208/FoodQCPipeline_tmp/conc_fqs/DTU_2022_1015986_1_SI_N20_0642_R2_001.fq.gz</v>
          </cell>
          <cell r="I463" t="str">
            <v>N20_0642</v>
          </cell>
          <cell r="J463" t="str">
            <v>N20_0642</v>
          </cell>
          <cell r="K463" t="str">
            <v>Listeria monocytogenes</v>
          </cell>
          <cell r="L463">
            <v>46204391</v>
          </cell>
          <cell r="M463">
            <v>6143158</v>
          </cell>
          <cell r="N463" t="str">
            <v>Switzerland</v>
          </cell>
          <cell r="Q463">
            <v>2020</v>
          </cell>
          <cell r="T463" t="str">
            <v>Institute for Food Safety and Hygiene, Vetsuisse Faculty, University of Z√ºrich, Zurich, Switzerland</v>
          </cell>
          <cell r="U463" t="str">
            <v>Food</v>
          </cell>
          <cell r="V463" t="str">
            <v>Milk product</v>
          </cell>
          <cell r="X463" t="str">
            <v>ERR10612186</v>
          </cell>
        </row>
        <row r="464">
          <cell r="G464" t="str">
            <v>/home/projects/cge/backup/fastq/food_seqdata/NextSeq_208/FoodQCPipeline_tmp/conc_fqs/DTU_2022_1015987_1_SI_N20_0680_R1_001.fq.gz</v>
          </cell>
          <cell r="H464" t="str">
            <v>/home/projects/cge/backup/fastq/food_seqdata/NextSeq_208/FoodQCPipeline_tmp/conc_fqs/DTU_2022_1015987_1_SI_N20_0680_R2_001.fq.gz</v>
          </cell>
          <cell r="I464" t="str">
            <v>N20_0680</v>
          </cell>
          <cell r="J464" t="str">
            <v>N20_0680</v>
          </cell>
          <cell r="K464" t="str">
            <v>Listeria monocytogenes</v>
          </cell>
          <cell r="L464">
            <v>46204391</v>
          </cell>
          <cell r="M464">
            <v>6143158</v>
          </cell>
          <cell r="N464" t="str">
            <v>Switzerland</v>
          </cell>
          <cell r="Q464">
            <v>2020</v>
          </cell>
          <cell r="T464" t="str">
            <v>Institute for Food Safety and Hygiene, Vetsuisse Faculty, University of Z√ºrich, Zurich, Switzerland</v>
          </cell>
          <cell r="U464" t="str">
            <v>Food</v>
          </cell>
          <cell r="V464" t="str">
            <v>Poultry</v>
          </cell>
          <cell r="X464" t="str">
            <v>ERR10612213</v>
          </cell>
        </row>
        <row r="465">
          <cell r="G465" t="str">
            <v>/home/projects/cge/backup/fastq/food_seqdata/NextSeq_208/FoodQCPipeline_tmp/conc_fqs/DTU_2022_1015988_1_SI_N20_0715_R1_001.fq.gz</v>
          </cell>
          <cell r="H465" t="str">
            <v>/home/projects/cge/backup/fastq/food_seqdata/NextSeq_208/FoodQCPipeline_tmp/conc_fqs/DTU_2022_1015988_1_SI_N20_0715_R2_001.fq.gz</v>
          </cell>
          <cell r="I465" t="str">
            <v>N20_0715</v>
          </cell>
          <cell r="J465" t="str">
            <v>N20_0715</v>
          </cell>
          <cell r="K465" t="str">
            <v>Listeria monocytogenes</v>
          </cell>
          <cell r="L465">
            <v>46204391</v>
          </cell>
          <cell r="M465">
            <v>6143158</v>
          </cell>
          <cell r="N465" t="str">
            <v>Switzerland</v>
          </cell>
          <cell r="Q465">
            <v>2020</v>
          </cell>
          <cell r="T465" t="str">
            <v>Institute for Food Safety and Hygiene, Vetsuisse Faculty, University of Z√ºrich, Zurich, Switzerland</v>
          </cell>
          <cell r="U465" t="str">
            <v>Food</v>
          </cell>
          <cell r="V465" t="str">
            <v>Seafood</v>
          </cell>
          <cell r="X465" t="str">
            <v>ERR10612165</v>
          </cell>
        </row>
        <row r="466">
          <cell r="G466" t="str">
            <v>/home/projects/cge/backup/fastq/food_seqdata/NextSeq_208/FoodQCPipeline_tmp/conc_fqs/DTU_2022_1015989_1_SI_N20_0749_R1_001.fq.gz</v>
          </cell>
          <cell r="H466" t="str">
            <v>/home/projects/cge/backup/fastq/food_seqdata/NextSeq_208/FoodQCPipeline_tmp/conc_fqs/DTU_2022_1015989_1_SI_N20_0749_R2_001.fq.gz</v>
          </cell>
          <cell r="I466" t="str">
            <v>N20_0749</v>
          </cell>
          <cell r="J466" t="str">
            <v>N20_0749</v>
          </cell>
          <cell r="K466" t="str">
            <v>Listeria monocytogenes</v>
          </cell>
          <cell r="L466">
            <v>46204391</v>
          </cell>
          <cell r="M466">
            <v>6143158</v>
          </cell>
          <cell r="N466" t="str">
            <v>Switzerland</v>
          </cell>
          <cell r="Q466">
            <v>2020</v>
          </cell>
          <cell r="T466" t="str">
            <v>Institute for Food Safety and Hygiene, Vetsuisse Faculty, University of Z√ºrich, Zurich, Switzerland</v>
          </cell>
          <cell r="U466" t="str">
            <v>Food</v>
          </cell>
          <cell r="V466" t="str">
            <v>Seafood</v>
          </cell>
          <cell r="X466" t="str">
            <v>ERR10612166</v>
          </cell>
        </row>
        <row r="467">
          <cell r="G467" t="str">
            <v>/home/projects/cge/backup/fastq/food_seqdata/NextSeq_208/FoodQCPipeline_tmp/conc_fqs/DTU_2022_1015990_1_SI_N20_0796_R1_001.fq.gz</v>
          </cell>
          <cell r="H467" t="str">
            <v>/home/projects/cge/backup/fastq/food_seqdata/NextSeq_208/FoodQCPipeline_tmp/conc_fqs/DTU_2022_1015990_1_SI_N20_0796_R2_001.fq.gz</v>
          </cell>
          <cell r="I467" t="str">
            <v>N20_0796</v>
          </cell>
          <cell r="J467" t="str">
            <v>N20_0796</v>
          </cell>
          <cell r="K467" t="str">
            <v>Listeria monocytogenes</v>
          </cell>
          <cell r="L467">
            <v>46204391</v>
          </cell>
          <cell r="M467">
            <v>6143158</v>
          </cell>
          <cell r="N467" t="str">
            <v>Switzerland</v>
          </cell>
          <cell r="Q467">
            <v>2020</v>
          </cell>
          <cell r="T467" t="str">
            <v>Institute for Food Safety and Hygiene, Vetsuisse Faculty, University of Z√ºrich, Zurich, Switzerland</v>
          </cell>
          <cell r="U467" t="str">
            <v>Food</v>
          </cell>
          <cell r="V467" t="str">
            <v>Seafood</v>
          </cell>
          <cell r="X467" t="str">
            <v>ERR10612215</v>
          </cell>
        </row>
        <row r="468">
          <cell r="G468" t="str">
            <v>/home/projects/cge/backup/fastq/food_seqdata/NextSeq_208/FoodQCPipeline_tmp/conc_fqs/DTU_2022_1015991_1_SI_N20_0797_R1_001.fq.gz</v>
          </cell>
          <cell r="H468" t="str">
            <v>/home/projects/cge/backup/fastq/food_seqdata/NextSeq_208/FoodQCPipeline_tmp/conc_fqs/DTU_2022_1015991_1_SI_N20_0797_R2_001.fq.gz</v>
          </cell>
          <cell r="I468" t="str">
            <v>N20_0797</v>
          </cell>
          <cell r="J468" t="str">
            <v>N20_0797</v>
          </cell>
          <cell r="K468" t="str">
            <v>Listeria monocytogenes</v>
          </cell>
          <cell r="L468">
            <v>46204391</v>
          </cell>
          <cell r="M468">
            <v>6143158</v>
          </cell>
          <cell r="N468" t="str">
            <v>Switzerland</v>
          </cell>
          <cell r="Q468">
            <v>2020</v>
          </cell>
          <cell r="T468" t="str">
            <v>Institute for Food Safety and Hygiene, Vetsuisse Faculty, University of Z√ºrich, Zurich, Switzerland</v>
          </cell>
          <cell r="U468" t="str">
            <v>Food</v>
          </cell>
          <cell r="V468" t="str">
            <v>Poultry</v>
          </cell>
          <cell r="X468" t="str">
            <v>ERR10612211</v>
          </cell>
        </row>
        <row r="469">
          <cell r="G469" t="str">
            <v>/home/projects/cge/backup/fastq/food_seqdata/NextSeq_208/FoodQCPipeline_tmp/conc_fqs/DTU_2022_1015992_1_SI_N20_0801_R1_001.fq.gz</v>
          </cell>
          <cell r="H469" t="str">
            <v>/home/projects/cge/backup/fastq/food_seqdata/NextSeq_208/FoodQCPipeline_tmp/conc_fqs/DTU_2022_1015992_1_SI_N20_0801_R2_001.fq.gz</v>
          </cell>
          <cell r="I469" t="str">
            <v>N20_0801</v>
          </cell>
          <cell r="J469" t="str">
            <v>N20_0801</v>
          </cell>
          <cell r="K469" t="str">
            <v>Listeria monocytogenes</v>
          </cell>
          <cell r="L469">
            <v>46204391</v>
          </cell>
          <cell r="M469">
            <v>6143158</v>
          </cell>
          <cell r="N469" t="str">
            <v>Switzerland</v>
          </cell>
          <cell r="Q469">
            <v>2020</v>
          </cell>
          <cell r="T469" t="str">
            <v>Institute for Food Safety and Hygiene, Vetsuisse Faculty, University of Z√ºrich, Zurich, Switzerland</v>
          </cell>
          <cell r="U469" t="str">
            <v>Food</v>
          </cell>
          <cell r="V469" t="str">
            <v>Milk product</v>
          </cell>
          <cell r="X469" t="str">
            <v>ERR10612187</v>
          </cell>
        </row>
        <row r="470">
          <cell r="G470" t="str">
            <v>/home/projects/cge/backup/fastq/food_seqdata/NextSeq_208/FoodQCPipeline_tmp/conc_fqs/DTU_2022_1015993_1_SI_N20_0805_R1_001.fq.gz</v>
          </cell>
          <cell r="H470" t="str">
            <v>/home/projects/cge/backup/fastq/food_seqdata/NextSeq_208/FoodQCPipeline_tmp/conc_fqs/DTU_2022_1015993_1_SI_N20_0805_R2_001.fq.gz</v>
          </cell>
          <cell r="I470" t="str">
            <v>N20_0805</v>
          </cell>
          <cell r="J470" t="str">
            <v>N20_0805</v>
          </cell>
          <cell r="K470" t="str">
            <v>Listeria monocytogenes</v>
          </cell>
          <cell r="L470">
            <v>46204391</v>
          </cell>
          <cell r="M470">
            <v>6143158</v>
          </cell>
          <cell r="N470" t="str">
            <v>Switzerland</v>
          </cell>
          <cell r="Q470">
            <v>2020</v>
          </cell>
          <cell r="T470" t="str">
            <v>Institute for Food Safety and Hygiene, Vetsuisse Faculty, University of Z√ºrich, Zurich, Switzerland</v>
          </cell>
          <cell r="U470" t="str">
            <v>Food</v>
          </cell>
          <cell r="V470" t="str">
            <v>Seafood</v>
          </cell>
          <cell r="X470" t="str">
            <v>ERR10612200</v>
          </cell>
        </row>
        <row r="471">
          <cell r="G471" t="str">
            <v>/home/projects/cge/backup/fastq/food_seqdata/NextSeq_208/FoodQCPipeline_tmp/conc_fqs/DTU_2022_1015994_1_SI_N20_0822_R1_001.fq.gz</v>
          </cell>
          <cell r="H471" t="str">
            <v>/home/projects/cge/backup/fastq/food_seqdata/NextSeq_208/FoodQCPipeline_tmp/conc_fqs/DTU_2022_1015994_1_SI_N20_0822_R2_001.fq.gz</v>
          </cell>
          <cell r="I471" t="str">
            <v>N20_0822</v>
          </cell>
          <cell r="J471" t="str">
            <v>N20_0822</v>
          </cell>
          <cell r="K471" t="str">
            <v>Listeria monocytogenes</v>
          </cell>
          <cell r="L471">
            <v>46204391</v>
          </cell>
          <cell r="M471">
            <v>6143158</v>
          </cell>
          <cell r="N471" t="str">
            <v>Switzerland</v>
          </cell>
          <cell r="Q471">
            <v>2020</v>
          </cell>
          <cell r="T471" t="str">
            <v>Institute for Food Safety and Hygiene, Vetsuisse Faculty, University of Z√ºrich, Zurich, Switzerland</v>
          </cell>
          <cell r="U471" t="str">
            <v>Food</v>
          </cell>
          <cell r="V471" t="str">
            <v>Milk product</v>
          </cell>
          <cell r="X471" t="str">
            <v>ERR10612169</v>
          </cell>
        </row>
        <row r="472">
          <cell r="G472" t="str">
            <v>/home/projects/cge/backup/fastq/food_seqdata/NextSeq_208/FoodQCPipeline_tmp/conc_fqs/DTU_2022_1015995_1_SI_N20_0843_R1_001.fq.gz</v>
          </cell>
          <cell r="H472" t="str">
            <v>/home/projects/cge/backup/fastq/food_seqdata/NextSeq_208/FoodQCPipeline_tmp/conc_fqs/DTU_2022_1015995_1_SI_N20_0843_R2_001.fq.gz</v>
          </cell>
          <cell r="I472" t="str">
            <v>N20_0843</v>
          </cell>
          <cell r="J472" t="str">
            <v>N20_0843</v>
          </cell>
          <cell r="K472" t="str">
            <v>Listeria monocytogenes</v>
          </cell>
          <cell r="L472">
            <v>46204391</v>
          </cell>
          <cell r="M472">
            <v>6143158</v>
          </cell>
          <cell r="N472" t="str">
            <v>Switzerland</v>
          </cell>
          <cell r="Q472">
            <v>2020</v>
          </cell>
          <cell r="T472" t="str">
            <v>Institute for Food Safety and Hygiene, Vetsuisse Faculty, University of Z√ºrich, Zurich, Switzerland</v>
          </cell>
          <cell r="U472" t="str">
            <v>Food</v>
          </cell>
          <cell r="V472" t="str">
            <v>Seafood</v>
          </cell>
          <cell r="X472" t="str">
            <v>ERR10612196</v>
          </cell>
        </row>
        <row r="473">
          <cell r="G473" t="str">
            <v>/home/projects/cge/backup/fastq/food_seqdata/NextSeq_208/FoodQCPipeline_tmp/conc_fqs/DTU_2022_1015996_1_SI_N20_0846_R1_001.fq.gz</v>
          </cell>
          <cell r="H473" t="str">
            <v>/home/projects/cge/backup/fastq/food_seqdata/NextSeq_208/FoodQCPipeline_tmp/conc_fqs/DTU_2022_1015996_1_SI_N20_0846_R2_001.fq.gz</v>
          </cell>
          <cell r="I473" t="str">
            <v>N20_0846</v>
          </cell>
          <cell r="J473" t="str">
            <v>N20_0846</v>
          </cell>
          <cell r="K473" t="str">
            <v>Listeria monocytogenes</v>
          </cell>
          <cell r="L473">
            <v>46204391</v>
          </cell>
          <cell r="M473">
            <v>6143158</v>
          </cell>
          <cell r="N473" t="str">
            <v>Switzerland</v>
          </cell>
          <cell r="Q473">
            <v>2020</v>
          </cell>
          <cell r="T473" t="str">
            <v>Institute for Food Safety and Hygiene, Vetsuisse Faculty, University of Z√ºrich, Zurich, Switzerland</v>
          </cell>
          <cell r="U473" t="str">
            <v>Food</v>
          </cell>
          <cell r="V473" t="str">
            <v>Poultry</v>
          </cell>
          <cell r="X473" t="str">
            <v>ERR10612207</v>
          </cell>
        </row>
        <row r="474">
          <cell r="G474" t="str">
            <v>/home/projects/cge/backup/fastq/food_seqdata/NextSeq_208/FoodQCPipeline_tmp/conc_fqs/DTU_2022_1015997_1_SI_N20_0858_R1_001.fq.gz</v>
          </cell>
          <cell r="H474" t="str">
            <v>/home/projects/cge/backup/fastq/food_seqdata/NextSeq_208/FoodQCPipeline_tmp/conc_fqs/DTU_2022_1015997_1_SI_N20_0858_R2_001.fq.gz</v>
          </cell>
          <cell r="I474" t="str">
            <v>N20_0858</v>
          </cell>
          <cell r="J474" t="str">
            <v>N20_0858</v>
          </cell>
          <cell r="K474" t="str">
            <v>Listeria monocytogenes</v>
          </cell>
          <cell r="L474">
            <v>46204391</v>
          </cell>
          <cell r="M474">
            <v>6143158</v>
          </cell>
          <cell r="N474" t="str">
            <v>Switzerland</v>
          </cell>
          <cell r="Q474">
            <v>2020</v>
          </cell>
          <cell r="T474" t="str">
            <v>Institute for Food Safety and Hygiene, Vetsuisse Faculty, University of Z√ºrich, Zurich, Switzerland</v>
          </cell>
          <cell r="U474" t="str">
            <v>Food</v>
          </cell>
          <cell r="V474" t="str">
            <v>Poultry</v>
          </cell>
          <cell r="X474" t="str">
            <v>ERR10612199</v>
          </cell>
        </row>
        <row r="475">
          <cell r="G475" t="str">
            <v>/home/projects/cge/backup/fastq/food_seqdata/NextSeq_208/FoodQCPipeline_tmp/conc_fqs/DTU_2022_1015998_1_SI_N20_0870_R1_001.fq.gz</v>
          </cell>
          <cell r="H475" t="str">
            <v>/home/projects/cge/backup/fastq/food_seqdata/NextSeq_208/FoodQCPipeline_tmp/conc_fqs/DTU_2022_1015998_1_SI_N20_0870_R2_001.fq.gz</v>
          </cell>
          <cell r="I475" t="str">
            <v>N20_0870</v>
          </cell>
          <cell r="J475" t="str">
            <v>N20_0870</v>
          </cell>
          <cell r="K475" t="str">
            <v>Listeria monocytogenes</v>
          </cell>
          <cell r="L475">
            <v>46204391</v>
          </cell>
          <cell r="M475">
            <v>6143158</v>
          </cell>
          <cell r="N475" t="str">
            <v>Switzerland</v>
          </cell>
          <cell r="Q475">
            <v>2020</v>
          </cell>
          <cell r="T475" t="str">
            <v>Institute for Food Safety and Hygiene, Vetsuisse Faculty, University of Z√ºrich, Zurich, Switzerland</v>
          </cell>
          <cell r="U475" t="str">
            <v>Food</v>
          </cell>
          <cell r="V475" t="str">
            <v>Seafood</v>
          </cell>
          <cell r="X475" t="str">
            <v>ERR10612228</v>
          </cell>
        </row>
        <row r="476">
          <cell r="G476" t="str">
            <v>/home/projects/cge/backup/fastq/food_seqdata/NextSeq_208/FoodQCPipeline_tmp/conc_fqs/DTU_2022_1015999_1_SI_N20_0916_R1_001.fq.gz</v>
          </cell>
          <cell r="H476" t="str">
            <v>/home/projects/cge/backup/fastq/food_seqdata/NextSeq_208/FoodQCPipeline_tmp/conc_fqs/DTU_2022_1015999_1_SI_N20_0916_R2_001.fq.gz</v>
          </cell>
          <cell r="I476" t="str">
            <v>N20_0916</v>
          </cell>
          <cell r="J476" t="str">
            <v>N20_0916</v>
          </cell>
          <cell r="K476" t="str">
            <v>Listeria monocytogenes</v>
          </cell>
          <cell r="L476">
            <v>46204391</v>
          </cell>
          <cell r="M476">
            <v>6143158</v>
          </cell>
          <cell r="N476" t="str">
            <v>Switzerland</v>
          </cell>
          <cell r="Q476">
            <v>2020</v>
          </cell>
          <cell r="T476" t="str">
            <v>Institute for Food Safety and Hygiene, Vetsuisse Faculty, University of Z√ºrich, Zurich, Switzerland</v>
          </cell>
          <cell r="U476" t="str">
            <v>Food</v>
          </cell>
          <cell r="V476" t="str">
            <v>Milk product</v>
          </cell>
          <cell r="X476" t="str">
            <v>ERR10612173</v>
          </cell>
        </row>
        <row r="477">
          <cell r="G477" t="str">
            <v>/home/projects/cge/backup/fastq/food_seqdata/NextSeq_208/FoodQCPipeline_tmp/conc_fqs/DTU_2022_1016000_1_SI_N20_0921_R1_001.fq.gz</v>
          </cell>
          <cell r="H477" t="str">
            <v>/home/projects/cge/backup/fastq/food_seqdata/NextSeq_208/FoodQCPipeline_tmp/conc_fqs/DTU_2022_1016000_1_SI_N20_0921_R2_001.fq.gz</v>
          </cell>
          <cell r="I477" t="str">
            <v>N20_0921</v>
          </cell>
          <cell r="J477" t="str">
            <v>N20_0921</v>
          </cell>
          <cell r="K477" t="str">
            <v>Listeria monocytogenes</v>
          </cell>
          <cell r="L477">
            <v>46204391</v>
          </cell>
          <cell r="M477">
            <v>6143158</v>
          </cell>
          <cell r="N477" t="str">
            <v>Switzerland</v>
          </cell>
          <cell r="Q477">
            <v>2020</v>
          </cell>
          <cell r="T477" t="str">
            <v>Institute for Food Safety and Hygiene, Vetsuisse Faculty, University of Z√ºrich, Zurich, Switzerland</v>
          </cell>
          <cell r="U477" t="str">
            <v>Food</v>
          </cell>
          <cell r="V477" t="str">
            <v>Seafood</v>
          </cell>
          <cell r="X477" t="str">
            <v>ERR10612174</v>
          </cell>
        </row>
        <row r="478">
          <cell r="G478" t="str">
            <v>/home/projects/cge/backup/fastq/food_seqdata/NextSeq_208/FoodQCPipeline_tmp/conc_fqs/DTU_2022_1016001_1_SI_N20_0944_R1_001.fq.gz</v>
          </cell>
          <cell r="H478" t="str">
            <v>/home/projects/cge/backup/fastq/food_seqdata/NextSeq_208/FoodQCPipeline_tmp/conc_fqs/DTU_2022_1016001_1_SI_N20_0944_R2_001.fq.gz</v>
          </cell>
          <cell r="I478" t="str">
            <v>N20_0944</v>
          </cell>
          <cell r="J478" t="str">
            <v>N20_0944</v>
          </cell>
          <cell r="K478" t="str">
            <v>Listeria monocytogenes</v>
          </cell>
          <cell r="L478">
            <v>46204391</v>
          </cell>
          <cell r="M478">
            <v>6143158</v>
          </cell>
          <cell r="N478" t="str">
            <v>Switzerland</v>
          </cell>
          <cell r="Q478">
            <v>2020</v>
          </cell>
          <cell r="T478" t="str">
            <v>Institute for Food Safety and Hygiene, Vetsuisse Faculty, University of Z√ºrich, Zurich, Switzerland</v>
          </cell>
          <cell r="U478" t="str">
            <v>Food</v>
          </cell>
          <cell r="V478" t="str">
            <v>Seafood</v>
          </cell>
          <cell r="X478" t="str">
            <v>ERR10612176</v>
          </cell>
        </row>
        <row r="479">
          <cell r="G479" t="str">
            <v>/home/projects/cge/backup/fastq/food_seqdata/NextSeq_208/FoodQCPipeline_tmp/conc_fqs/DTU_2022_1016002_1_SI_N20_0960_R1_001.fq.gz</v>
          </cell>
          <cell r="H479" t="str">
            <v>/home/projects/cge/backup/fastq/food_seqdata/NextSeq_208/FoodQCPipeline_tmp/conc_fqs/DTU_2022_1016002_1_SI_N20_0960_R2_001.fq.gz</v>
          </cell>
          <cell r="I479" t="str">
            <v>N20_0960</v>
          </cell>
          <cell r="J479" t="str">
            <v>N20_0960</v>
          </cell>
          <cell r="K479" t="str">
            <v>Listeria monocytogenes</v>
          </cell>
          <cell r="L479">
            <v>46204391</v>
          </cell>
          <cell r="M479">
            <v>6143158</v>
          </cell>
          <cell r="N479" t="str">
            <v>Switzerland</v>
          </cell>
          <cell r="Q479">
            <v>2020</v>
          </cell>
          <cell r="T479" t="str">
            <v>Institute for Food Safety and Hygiene, Vetsuisse Faculty, University of Z√ºrich, Zurich, Switzerland</v>
          </cell>
          <cell r="U479" t="str">
            <v>Food</v>
          </cell>
          <cell r="V479" t="str">
            <v>Seafood</v>
          </cell>
          <cell r="X479" t="str">
            <v>ERR10612194</v>
          </cell>
        </row>
        <row r="480">
          <cell r="G480" t="str">
            <v>/home/projects/cge/backup/fastq/food_seqdata/NextSeq_208/FoodQCPipeline_tmp/conc_fqs/DTU_2022_1016003_1_SI_N20_0975_R1_001.fq.gz</v>
          </cell>
          <cell r="H480" t="str">
            <v>/home/projects/cge/backup/fastq/food_seqdata/NextSeq_208/FoodQCPipeline_tmp/conc_fqs/DTU_2022_1016003_1_SI_N20_0975_R2_001.fq.gz</v>
          </cell>
          <cell r="I480" t="str">
            <v>N20_0975</v>
          </cell>
          <cell r="J480" t="str">
            <v>N20_0975</v>
          </cell>
          <cell r="K480" t="str">
            <v>Listeria monocytogenes</v>
          </cell>
          <cell r="L480">
            <v>46204391</v>
          </cell>
          <cell r="M480">
            <v>6143158</v>
          </cell>
          <cell r="N480" t="str">
            <v>Switzerland</v>
          </cell>
          <cell r="Q480">
            <v>2020</v>
          </cell>
          <cell r="T480" t="str">
            <v>Institute for Food Safety and Hygiene, Vetsuisse Faculty, University of Z√ºrich, Zurich, Switzerland</v>
          </cell>
          <cell r="U480" t="str">
            <v>Food</v>
          </cell>
          <cell r="V480" t="str">
            <v>Meat</v>
          </cell>
          <cell r="X480" t="str">
            <v>ERR10612179</v>
          </cell>
        </row>
        <row r="481">
          <cell r="G481" t="str">
            <v>/home/projects/cge/backup/fastq/food_seqdata/NextSeq_208/FoodQCPipeline_tmp/conc_fqs/DTU_2022_1016004_1_SI_N20_0994_R1_001.fq.gz</v>
          </cell>
          <cell r="H481" t="str">
            <v>/home/projects/cge/backup/fastq/food_seqdata/NextSeq_208/FoodQCPipeline_tmp/conc_fqs/DTU_2022_1016004_1_SI_N20_0994_R2_001.fq.gz</v>
          </cell>
          <cell r="I481" t="str">
            <v>N20_0994</v>
          </cell>
          <cell r="J481" t="str">
            <v>N20_0994</v>
          </cell>
          <cell r="K481" t="str">
            <v>Listeria monocytogenes</v>
          </cell>
          <cell r="L481">
            <v>46204391</v>
          </cell>
          <cell r="M481">
            <v>6143158</v>
          </cell>
          <cell r="N481" t="str">
            <v>Switzerland</v>
          </cell>
          <cell r="Q481">
            <v>2020</v>
          </cell>
          <cell r="T481" t="str">
            <v>Institute for Food Safety and Hygiene, Vetsuisse Faculty, University of Z√ºrich, Zurich, Switzerland</v>
          </cell>
          <cell r="U481" t="str">
            <v>Food</v>
          </cell>
          <cell r="V481" t="str">
            <v>Seafood</v>
          </cell>
          <cell r="X481" t="str">
            <v>ERR10612238</v>
          </cell>
        </row>
        <row r="482">
          <cell r="G482" t="str">
            <v>/home/projects/cge/backup/fastq/food_seqdata/NextSeq_208/FoodQCPipeline_tmp/conc_fqs/DTU_2022_1016005_1_SI_N20_1001_R1_001.fq.gz</v>
          </cell>
          <cell r="H482" t="str">
            <v>/home/projects/cge/backup/fastq/food_seqdata/NextSeq_208/FoodQCPipeline_tmp/conc_fqs/DTU_2022_1016005_1_SI_N20_1001_R2_001.fq.gz</v>
          </cell>
          <cell r="I482" t="str">
            <v>N20_1001</v>
          </cell>
          <cell r="J482" t="str">
            <v>N20_1001</v>
          </cell>
          <cell r="K482" t="str">
            <v>Listeria monocytogenes</v>
          </cell>
          <cell r="L482">
            <v>46204391</v>
          </cell>
          <cell r="M482">
            <v>6143158</v>
          </cell>
          <cell r="N482" t="str">
            <v>Switzerland</v>
          </cell>
          <cell r="Q482">
            <v>2020</v>
          </cell>
          <cell r="T482" t="str">
            <v>Institute for Food Safety and Hygiene, Vetsuisse Faculty, University of Z√ºrich, Zurich, Switzerland</v>
          </cell>
          <cell r="U482" t="str">
            <v>Food</v>
          </cell>
          <cell r="V482" t="str">
            <v>Seafood</v>
          </cell>
          <cell r="X482" t="str">
            <v>ERR10612217</v>
          </cell>
        </row>
        <row r="483">
          <cell r="G483" t="str">
            <v>/home/projects/cge/backup/fastq/food_seqdata/NextSeq_208/FoodQCPipeline_tmp/conc_fqs/DTU_2022_1016006_1_SI_N20_1004_R1_001.fq.gz</v>
          </cell>
          <cell r="H483" t="str">
            <v>/home/projects/cge/backup/fastq/food_seqdata/NextSeq_208/FoodQCPipeline_tmp/conc_fqs/DTU_2022_1016006_1_SI_N20_1004_R2_001.fq.gz</v>
          </cell>
          <cell r="I483" t="str">
            <v>N20_1004</v>
          </cell>
          <cell r="J483" t="str">
            <v>N20_1004</v>
          </cell>
          <cell r="K483" t="str">
            <v>Listeria monocytogenes</v>
          </cell>
          <cell r="L483">
            <v>46204391</v>
          </cell>
          <cell r="M483">
            <v>6143158</v>
          </cell>
          <cell r="N483" t="str">
            <v>Switzerland</v>
          </cell>
          <cell r="Q483">
            <v>2020</v>
          </cell>
          <cell r="T483" t="str">
            <v>Institute for Food Safety and Hygiene, Vetsuisse Faculty, University of Z√ºrich, Zurich, Switzerland</v>
          </cell>
          <cell r="U483" t="str">
            <v>Food</v>
          </cell>
          <cell r="V483" t="str">
            <v>Meat</v>
          </cell>
          <cell r="X483" t="str">
            <v>ERR10612249</v>
          </cell>
        </row>
        <row r="484">
          <cell r="G484" t="str">
            <v>/home/projects/cge/backup/fastq/food_seqdata/NextSeq_208/FoodQCPipeline_tmp/conc_fqs/DTU_2022_1016007_1_SI_N20_1127_R1_001.fq.gz</v>
          </cell>
          <cell r="H484" t="str">
            <v>/home/projects/cge/backup/fastq/food_seqdata/NextSeq_208/FoodQCPipeline_tmp/conc_fqs/DTU_2022_1016007_1_SI_N20_1127_R2_001.fq.gz</v>
          </cell>
          <cell r="I484" t="str">
            <v>N20_1127</v>
          </cell>
          <cell r="J484" t="str">
            <v>N20_1127</v>
          </cell>
          <cell r="K484" t="str">
            <v>Listeria monocytogenes</v>
          </cell>
          <cell r="L484">
            <v>46204391</v>
          </cell>
          <cell r="M484">
            <v>6143158</v>
          </cell>
          <cell r="N484" t="str">
            <v>Switzerland</v>
          </cell>
          <cell r="Q484">
            <v>2020</v>
          </cell>
          <cell r="T484" t="str">
            <v>Institute for Food Safety and Hygiene, Vetsuisse Faculty, University of Z√ºrich, Zurich, Switzerland</v>
          </cell>
          <cell r="U484" t="str">
            <v>Food</v>
          </cell>
          <cell r="V484" t="str">
            <v>Meat</v>
          </cell>
          <cell r="X484" t="str">
            <v>ERR10612237</v>
          </cell>
        </row>
        <row r="485">
          <cell r="G485" t="str">
            <v>/home/projects/cge/backup/fastq/food_seqdata/NextSeq_208/FoodQCPipeline_tmp/conc_fqs/DTU_2022_1016008_1_SI_N20_1224_R1_001.fq.gz</v>
          </cell>
          <cell r="H485" t="str">
            <v>/home/projects/cge/backup/fastq/food_seqdata/NextSeq_208/FoodQCPipeline_tmp/conc_fqs/DTU_2022_1016008_1_SI_N20_1224_R2_001.fq.gz</v>
          </cell>
          <cell r="I485" t="str">
            <v>N20_1224</v>
          </cell>
          <cell r="J485" t="str">
            <v>N20_1224</v>
          </cell>
          <cell r="K485" t="str">
            <v>Listeria monocytogenes</v>
          </cell>
          <cell r="L485">
            <v>46204391</v>
          </cell>
          <cell r="M485">
            <v>6143158</v>
          </cell>
          <cell r="N485" t="str">
            <v>Switzerland</v>
          </cell>
          <cell r="Q485">
            <v>2020</v>
          </cell>
          <cell r="T485" t="str">
            <v>Institute for Food Safety and Hygiene, Vetsuisse Faculty, University of Z√ºrich, Zurich, Switzerland</v>
          </cell>
          <cell r="U485" t="str">
            <v>Food</v>
          </cell>
          <cell r="V485" t="str">
            <v>Seafood</v>
          </cell>
          <cell r="X485" t="str">
            <v>ERR10612208</v>
          </cell>
        </row>
        <row r="486">
          <cell r="G486" t="str">
            <v>/home/projects/cge/backup/fastq/food_seqdata/NextSeq_208/FoodQCPipeline_tmp/conc_fqs/DTU_2022_1016009_1_SI_N20_1321_R1_001.fq.gz</v>
          </cell>
          <cell r="H486" t="str">
            <v>/home/projects/cge/backup/fastq/food_seqdata/NextSeq_208/FoodQCPipeline_tmp/conc_fqs/DTU_2022_1016009_1_SI_N20_1321_R2_001.fq.gz</v>
          </cell>
          <cell r="I486" t="str">
            <v>N20_1321</v>
          </cell>
          <cell r="J486" t="str">
            <v>N20_1321</v>
          </cell>
          <cell r="K486" t="str">
            <v>Listeria monocytogenes</v>
          </cell>
          <cell r="L486">
            <v>46204391</v>
          </cell>
          <cell r="M486">
            <v>6143158</v>
          </cell>
          <cell r="N486" t="str">
            <v>Switzerland</v>
          </cell>
          <cell r="Q486">
            <v>2020</v>
          </cell>
          <cell r="T486" t="str">
            <v>Institute for Food Safety and Hygiene, Vetsuisse Faculty, University of Z√ºrich, Zurich, Switzerland</v>
          </cell>
          <cell r="U486" t="str">
            <v>Food</v>
          </cell>
          <cell r="V486" t="str">
            <v>Meat</v>
          </cell>
          <cell r="X486" t="str">
            <v>ERR10612212</v>
          </cell>
        </row>
        <row r="487">
          <cell r="G487" t="str">
            <v>/home/projects/cge/backup/fastq/food_seqdata/NextSeq_208/FoodQCPipeline_tmp/conc_fqs/DTU_2022_1016010_1_SI_N20_1380_R1_001.fq.gz</v>
          </cell>
          <cell r="H487" t="str">
            <v>/home/projects/cge/backup/fastq/food_seqdata/NextSeq_208/FoodQCPipeline_tmp/conc_fqs/DTU_2022_1016010_1_SI_N20_1380_R2_001.fq.gz</v>
          </cell>
          <cell r="I487" t="str">
            <v>N20_1380</v>
          </cell>
          <cell r="J487" t="str">
            <v>N20_1380</v>
          </cell>
          <cell r="K487" t="str">
            <v>Listeria monocytogenes</v>
          </cell>
          <cell r="L487">
            <v>46204391</v>
          </cell>
          <cell r="M487">
            <v>6143158</v>
          </cell>
          <cell r="N487" t="str">
            <v>Switzerland</v>
          </cell>
          <cell r="Q487">
            <v>2020</v>
          </cell>
          <cell r="T487" t="str">
            <v>Institute for Food Safety and Hygiene, Vetsuisse Faculty, University of Z√ºrich, Zurich, Switzerland</v>
          </cell>
          <cell r="U487" t="str">
            <v>Food</v>
          </cell>
          <cell r="V487" t="str">
            <v>Poultry</v>
          </cell>
          <cell r="X487" t="str">
            <v>ERR10612221</v>
          </cell>
        </row>
        <row r="488">
          <cell r="G488" t="str">
            <v>/home/projects/cge/backup/fastq/food_seqdata/NextSeq_208/FoodQCPipeline_tmp/conc_fqs/DTU_2022_1016011_1_SI_N20_1446_R1_001.fq.gz</v>
          </cell>
          <cell r="H488" t="str">
            <v>/home/projects/cge/backup/fastq/food_seqdata/NextSeq_208/FoodQCPipeline_tmp/conc_fqs/DTU_2022_1016011_1_SI_N20_1446_R2_001.fq.gz</v>
          </cell>
          <cell r="I488" t="str">
            <v>N20_1446</v>
          </cell>
          <cell r="J488" t="str">
            <v>N20_1446</v>
          </cell>
          <cell r="K488" t="str">
            <v>Listeria monocytogenes</v>
          </cell>
          <cell r="L488">
            <v>46204391</v>
          </cell>
          <cell r="M488">
            <v>6143158</v>
          </cell>
          <cell r="N488" t="str">
            <v>Switzerland</v>
          </cell>
          <cell r="Q488">
            <v>2020</v>
          </cell>
          <cell r="T488" t="str">
            <v>Institute for Food Safety and Hygiene, Vetsuisse Faculty, University of Z√ºrich, Zurich, Switzerland</v>
          </cell>
          <cell r="U488" t="str">
            <v>Food</v>
          </cell>
          <cell r="V488" t="str">
            <v>Poultry</v>
          </cell>
          <cell r="X488" t="str">
            <v>ERR10612219</v>
          </cell>
        </row>
        <row r="489">
          <cell r="G489" t="str">
            <v>/home/projects/cge/backup/fastq/food_seqdata/NextSeq_208/FoodQCPipeline_tmp/conc_fqs/DTU_2022_1016012_1_SI_N20_1515_R1_001.fq.gz</v>
          </cell>
          <cell r="H489" t="str">
            <v>/home/projects/cge/backup/fastq/food_seqdata/NextSeq_208/FoodQCPipeline_tmp/conc_fqs/DTU_2022_1016012_1_SI_N20_1515_R2_001.fq.gz</v>
          </cell>
          <cell r="I489" t="str">
            <v>N20_1515</v>
          </cell>
          <cell r="J489" t="str">
            <v>N20_1515</v>
          </cell>
          <cell r="K489" t="str">
            <v>Listeria monocytogenes</v>
          </cell>
          <cell r="L489">
            <v>46204391</v>
          </cell>
          <cell r="M489">
            <v>6143158</v>
          </cell>
          <cell r="N489" t="str">
            <v>Switzerland</v>
          </cell>
          <cell r="Q489">
            <v>2020</v>
          </cell>
          <cell r="T489" t="str">
            <v>Institute for Food Safety and Hygiene, Vetsuisse Faculty, University of Z√ºrich, Zurich, Switzerland</v>
          </cell>
          <cell r="U489" t="str">
            <v>Food</v>
          </cell>
          <cell r="V489" t="str">
            <v>Meat</v>
          </cell>
          <cell r="X489" t="str">
            <v>ERR10612243</v>
          </cell>
        </row>
        <row r="490">
          <cell r="G490" t="str">
            <v>/home/projects/cge/backup/fastq/food_seqdata/NextSeq_208/FoodQCPipeline_tmp/conc_fqs/DTU_2022_1016013_1_SI_N20_1590_R1_001.fq.gz</v>
          </cell>
          <cell r="H490" t="str">
            <v>/home/projects/cge/backup/fastq/food_seqdata/NextSeq_208/FoodQCPipeline_tmp/conc_fqs/DTU_2022_1016013_1_SI_N20_1590_R2_001.fq.gz</v>
          </cell>
          <cell r="I490" t="str">
            <v>N20_1590</v>
          </cell>
          <cell r="J490" t="str">
            <v>N20_1590</v>
          </cell>
          <cell r="K490" t="str">
            <v>Listeria monocytogenes</v>
          </cell>
          <cell r="L490">
            <v>46204391</v>
          </cell>
          <cell r="M490">
            <v>6143158</v>
          </cell>
          <cell r="N490" t="str">
            <v>Switzerland</v>
          </cell>
          <cell r="Q490">
            <v>2020</v>
          </cell>
          <cell r="T490" t="str">
            <v>Institute for Food Safety and Hygiene, Vetsuisse Faculty, University of Z√ºrich, Zurich, Switzerland</v>
          </cell>
          <cell r="U490" t="str">
            <v>Food</v>
          </cell>
          <cell r="V490" t="str">
            <v>Meat</v>
          </cell>
          <cell r="X490" t="str">
            <v>ERR10612220</v>
          </cell>
        </row>
        <row r="491">
          <cell r="G491" t="str">
            <v>/home/projects/cge/backup/fastq/food_seqdata/NextSeq_208/FoodQCPipeline_tmp/conc_fqs/DTU_2022_1016014_1_SI_N20_1630_R1_001.fq.gz</v>
          </cell>
          <cell r="H491" t="str">
            <v>/home/projects/cge/backup/fastq/food_seqdata/NextSeq_208/FoodQCPipeline_tmp/conc_fqs/DTU_2022_1016014_1_SI_N20_1630_R2_001.fq.gz</v>
          </cell>
          <cell r="I491" t="str">
            <v>N20_1630</v>
          </cell>
          <cell r="J491" t="str">
            <v>N20_1630</v>
          </cell>
          <cell r="K491" t="str">
            <v>Listeria monocytogenes</v>
          </cell>
          <cell r="L491">
            <v>46204391</v>
          </cell>
          <cell r="M491">
            <v>6143158</v>
          </cell>
          <cell r="N491" t="str">
            <v>Switzerland</v>
          </cell>
          <cell r="Q491">
            <v>2020</v>
          </cell>
          <cell r="T491" t="str">
            <v>Institute for Food Safety and Hygiene, Vetsuisse Faculty, University of Z√ºrich, Zurich, Switzerland</v>
          </cell>
          <cell r="U491" t="str">
            <v>Food</v>
          </cell>
          <cell r="V491" t="str">
            <v>Meat</v>
          </cell>
          <cell r="X491" t="str">
            <v>ERR10612216</v>
          </cell>
        </row>
        <row r="492">
          <cell r="G492" t="str">
            <v>/home/projects/cge/backup/fastq/food_seqdata/NextSeq_208/FoodQCPipeline_tmp/conc_fqs/DTU_2022_1016015_1_SI_N20_1648_R1_001.fq.gz</v>
          </cell>
          <cell r="H492" t="str">
            <v>/home/projects/cge/backup/fastq/food_seqdata/NextSeq_208/FoodQCPipeline_tmp/conc_fqs/DTU_2022_1016015_1_SI_N20_1648_R2_001.fq.gz</v>
          </cell>
          <cell r="I492" t="str">
            <v>N20_1648</v>
          </cell>
          <cell r="J492" t="str">
            <v>N20_1648</v>
          </cell>
          <cell r="K492" t="str">
            <v>Listeria monocytogenes</v>
          </cell>
          <cell r="L492">
            <v>46204391</v>
          </cell>
          <cell r="M492">
            <v>6143158</v>
          </cell>
          <cell r="N492" t="str">
            <v>Switzerland</v>
          </cell>
          <cell r="Q492">
            <v>2020</v>
          </cell>
          <cell r="T492" t="str">
            <v>Institute for Food Safety and Hygiene, Vetsuisse Faculty, University of Z√ºrich, Zurich, Switzerland</v>
          </cell>
          <cell r="U492" t="str">
            <v>Food</v>
          </cell>
          <cell r="V492" t="str">
            <v>Seafood</v>
          </cell>
          <cell r="X492" t="str">
            <v>ERR10612247</v>
          </cell>
        </row>
        <row r="493">
          <cell r="G493" t="str">
            <v>/home/projects/cge/backup/fastq/food_seqdata/NextSeq_208/FoodQCPipeline_tmp/conc_fqs/DTU_2022_1016016_1_SI_N20_1781_R1_001.fq.gz</v>
          </cell>
          <cell r="H493" t="str">
            <v>/home/projects/cge/backup/fastq/food_seqdata/NextSeq_208/FoodQCPipeline_tmp/conc_fqs/DTU_2022_1016016_1_SI_N20_1781_R2_001.fq.gz</v>
          </cell>
          <cell r="I493" t="str">
            <v>N20_1781</v>
          </cell>
          <cell r="J493" t="str">
            <v>N20_1781</v>
          </cell>
          <cell r="K493" t="str">
            <v>Listeria monocytogenes</v>
          </cell>
          <cell r="L493">
            <v>46204391</v>
          </cell>
          <cell r="M493">
            <v>6143158</v>
          </cell>
          <cell r="N493" t="str">
            <v>Switzerland</v>
          </cell>
          <cell r="Q493">
            <v>2020</v>
          </cell>
          <cell r="T493" t="str">
            <v>Institute for Food Safety and Hygiene, Vetsuisse Faculty, University of Z√ºrich, Zurich, Switzerland</v>
          </cell>
          <cell r="U493" t="str">
            <v>Food</v>
          </cell>
          <cell r="V493" t="str">
            <v>Milk product</v>
          </cell>
          <cell r="X493" t="str">
            <v>ERR10612224</v>
          </cell>
        </row>
        <row r="494">
          <cell r="G494" t="str">
            <v>/home/projects/cge/backup/fastq/food_seqdata/NextSeq_208/FoodQCPipeline_tmp/conc_fqs/DTU_2022_1016017_1_SI_N20_1787_R1_001.fq.gz</v>
          </cell>
          <cell r="H494" t="str">
            <v>/home/projects/cge/backup/fastq/food_seqdata/NextSeq_208/FoodQCPipeline_tmp/conc_fqs/DTU_2022_1016017_1_SI_N20_1787_R2_001.fq.gz</v>
          </cell>
          <cell r="I494" t="str">
            <v>N20_1787</v>
          </cell>
          <cell r="J494" t="str">
            <v>N20_1787</v>
          </cell>
          <cell r="K494" t="str">
            <v>Listeria monocytogenes</v>
          </cell>
          <cell r="L494">
            <v>46204391</v>
          </cell>
          <cell r="M494">
            <v>6143158</v>
          </cell>
          <cell r="N494" t="str">
            <v>Switzerland</v>
          </cell>
          <cell r="Q494">
            <v>2020</v>
          </cell>
          <cell r="T494" t="str">
            <v>Institute for Food Safety and Hygiene, Vetsuisse Faculty, University of Z√ºrich, Zurich, Switzerland</v>
          </cell>
          <cell r="U494" t="str">
            <v>Food</v>
          </cell>
          <cell r="V494" t="str">
            <v>Poultry</v>
          </cell>
          <cell r="X494" t="str">
            <v>ERR10612250</v>
          </cell>
        </row>
        <row r="495">
          <cell r="G495" t="str">
            <v>/home/projects/cge/backup/fastq/food_seqdata/NextSeq_208/FoodQCPipeline_tmp/conc_fqs/DTU_2022_1016018_1_SI_N20_1809_R1_001.fq.gz</v>
          </cell>
          <cell r="H495" t="str">
            <v>/home/projects/cge/backup/fastq/food_seqdata/NextSeq_208/FoodQCPipeline_tmp/conc_fqs/DTU_2022_1016018_1_SI_N20_1809_R2_001.fq.gz</v>
          </cell>
          <cell r="I495" t="str">
            <v>N20_1809</v>
          </cell>
          <cell r="J495" t="str">
            <v>N20_1809</v>
          </cell>
          <cell r="K495" t="str">
            <v>Listeria monocytogenes</v>
          </cell>
          <cell r="L495">
            <v>46204391</v>
          </cell>
          <cell r="M495">
            <v>6143158</v>
          </cell>
          <cell r="N495" t="str">
            <v>Switzerland</v>
          </cell>
          <cell r="Q495">
            <v>2020</v>
          </cell>
          <cell r="T495" t="str">
            <v>Institute for Food Safety and Hygiene, Vetsuisse Faculty, University of Z√ºrich, Zurich, Switzerland</v>
          </cell>
          <cell r="U495" t="str">
            <v>Food</v>
          </cell>
          <cell r="V495" t="str">
            <v>Meat</v>
          </cell>
          <cell r="X495" t="str">
            <v>ERR10612262</v>
          </cell>
        </row>
        <row r="496">
          <cell r="G496" t="str">
            <v>/home/projects/cge/backup/fastq/food_seqdata/NextSeq_208/FoodQCPipeline_tmp/conc_fqs/DTU_2022_1016019_1_SI_N20_1949_R1_001.fq.gz</v>
          </cell>
          <cell r="H496" t="str">
            <v>/home/projects/cge/backup/fastq/food_seqdata/NextSeq_208/FoodQCPipeline_tmp/conc_fqs/DTU_2022_1016019_1_SI_N20_1949_R2_001.fq.gz</v>
          </cell>
          <cell r="I496" t="str">
            <v>N20_1949</v>
          </cell>
          <cell r="J496" t="str">
            <v>N20_1949</v>
          </cell>
          <cell r="K496" t="str">
            <v>Listeria monocytogenes</v>
          </cell>
          <cell r="L496">
            <v>46204391</v>
          </cell>
          <cell r="M496">
            <v>6143158</v>
          </cell>
          <cell r="N496" t="str">
            <v>Switzerland</v>
          </cell>
          <cell r="Q496">
            <v>2020</v>
          </cell>
          <cell r="T496" t="str">
            <v>Institute for Food Safety and Hygiene, Vetsuisse Faculty, University of Z√ºrich, Zurich, Switzerland</v>
          </cell>
          <cell r="U496" t="str">
            <v>Food</v>
          </cell>
          <cell r="V496" t="str">
            <v>Meat</v>
          </cell>
          <cell r="X496" t="str">
            <v>ERR10612225</v>
          </cell>
        </row>
        <row r="497">
          <cell r="G497" t="str">
            <v>/home/projects/cge/backup/fastq/food_seqdata/NextSeq_208/FoodQCPipeline_tmp/conc_fqs/DTU_2022_1016020_1_SI_N20_2010_R1_001.fq.gz</v>
          </cell>
          <cell r="H497" t="str">
            <v>/home/projects/cge/backup/fastq/food_seqdata/NextSeq_208/FoodQCPipeline_tmp/conc_fqs/DTU_2022_1016020_1_SI_N20_2010_R2_001.fq.gz</v>
          </cell>
          <cell r="I497" t="str">
            <v>N20_2010</v>
          </cell>
          <cell r="J497" t="str">
            <v>N20_2010</v>
          </cell>
          <cell r="K497" t="str">
            <v>Listeria monocytogenes</v>
          </cell>
          <cell r="L497">
            <v>46204391</v>
          </cell>
          <cell r="M497">
            <v>6143158</v>
          </cell>
          <cell r="N497" t="str">
            <v>Switzerland</v>
          </cell>
          <cell r="Q497">
            <v>2020</v>
          </cell>
          <cell r="T497" t="str">
            <v>Institute for Food Safety and Hygiene, Vetsuisse Faculty, University of Z√ºrich, Zurich, Switzerland</v>
          </cell>
          <cell r="U497" t="str">
            <v>Food</v>
          </cell>
          <cell r="V497" t="str">
            <v>Milk product</v>
          </cell>
          <cell r="X497" t="str">
            <v>ERR10612223</v>
          </cell>
        </row>
        <row r="498">
          <cell r="G498" t="str">
            <v>/home/projects/cge/backup/fastq/food_seqdata/NextSeq_208/FoodQCPipeline_tmp/conc_fqs/DTU_2022_1016021_1_SI_N20_2012_R1_001.fq.gz</v>
          </cell>
          <cell r="H498" t="str">
            <v>/home/projects/cge/backup/fastq/food_seqdata/NextSeq_208/FoodQCPipeline_tmp/conc_fqs/DTU_2022_1016021_1_SI_N20_2012_R2_001.fq.gz</v>
          </cell>
          <cell r="I498" t="str">
            <v>N20_2012</v>
          </cell>
          <cell r="J498" t="str">
            <v>N20_2012</v>
          </cell>
          <cell r="K498" t="str">
            <v>Listeria monocytogenes</v>
          </cell>
          <cell r="L498">
            <v>46204391</v>
          </cell>
          <cell r="M498">
            <v>6143158</v>
          </cell>
          <cell r="N498" t="str">
            <v>Switzerland</v>
          </cell>
          <cell r="Q498">
            <v>2020</v>
          </cell>
          <cell r="T498" t="str">
            <v>Institute for Food Safety and Hygiene, Vetsuisse Faculty, University of Z√ºrich, Zurich, Switzerland</v>
          </cell>
          <cell r="U498" t="str">
            <v>Food</v>
          </cell>
          <cell r="V498" t="str">
            <v>Seafood</v>
          </cell>
          <cell r="X498" t="str">
            <v>ERR10612201</v>
          </cell>
        </row>
        <row r="499">
          <cell r="G499" t="str">
            <v>/home/projects/cge/backup/fastq/food_seqdata/NextSeq_208/FoodQCPipeline_tmp/conc_fqs/DTU_2022_1016022_1_SI_N20_2057_R1_001.fq.gz</v>
          </cell>
          <cell r="H499" t="str">
            <v>/home/projects/cge/backup/fastq/food_seqdata/NextSeq_208/FoodQCPipeline_tmp/conc_fqs/DTU_2022_1016022_1_SI_N20_2057_R2_001.fq.gz</v>
          </cell>
          <cell r="I499" t="str">
            <v>N20_2057</v>
          </cell>
          <cell r="J499" t="str">
            <v>N20_2057</v>
          </cell>
          <cell r="K499" t="str">
            <v>Listeria monocytogenes</v>
          </cell>
          <cell r="L499">
            <v>46204391</v>
          </cell>
          <cell r="M499">
            <v>6143158</v>
          </cell>
          <cell r="N499" t="str">
            <v>Switzerland</v>
          </cell>
          <cell r="Q499">
            <v>2020</v>
          </cell>
          <cell r="T499" t="str">
            <v>Institute for Food Safety and Hygiene, Vetsuisse Faculty, University of Z√ºrich, Zurich, Switzerland</v>
          </cell>
          <cell r="U499" t="str">
            <v>Food</v>
          </cell>
          <cell r="V499" t="str">
            <v>Meat</v>
          </cell>
          <cell r="X499" t="str">
            <v>ERR10612203</v>
          </cell>
        </row>
        <row r="500">
          <cell r="G500" t="str">
            <v>/home/projects/cge/backup/fastq/food_seqdata/NextSeq_208/FoodQCPipeline_tmp/conc_fqs/DTU_2022_1016023_1_SI_N20_2102_R1_001.fq.gz</v>
          </cell>
          <cell r="H500" t="str">
            <v>/home/projects/cge/backup/fastq/food_seqdata/NextSeq_208/FoodQCPipeline_tmp/conc_fqs/DTU_2022_1016023_1_SI_N20_2102_R2_001.fq.gz</v>
          </cell>
          <cell r="I500" t="str">
            <v>N20_2102</v>
          </cell>
          <cell r="J500" t="str">
            <v>N20_2102</v>
          </cell>
          <cell r="K500" t="str">
            <v>Listeria monocytogenes</v>
          </cell>
          <cell r="L500">
            <v>46204391</v>
          </cell>
          <cell r="M500">
            <v>6143158</v>
          </cell>
          <cell r="N500" t="str">
            <v>Switzerland</v>
          </cell>
          <cell r="Q500">
            <v>2020</v>
          </cell>
          <cell r="T500" t="str">
            <v>Institute for Food Safety and Hygiene, Vetsuisse Faculty, University of Z√ºrich, Zurich, Switzerland</v>
          </cell>
          <cell r="U500" t="str">
            <v>Food</v>
          </cell>
          <cell r="V500" t="str">
            <v>Poultry</v>
          </cell>
          <cell r="X500" t="str">
            <v>ERR10612257</v>
          </cell>
        </row>
        <row r="501">
          <cell r="G501" t="str">
            <v>/home/projects/cge/backup/fastq/food_seqdata/NextSeq_208/FoodQCPipeline_tmp/conc_fqs/DTU_2022_1016024_1_SI_N20_2105_R1_001.fq.gz</v>
          </cell>
          <cell r="H501" t="str">
            <v>/home/projects/cge/backup/fastq/food_seqdata/NextSeq_208/FoodQCPipeline_tmp/conc_fqs/DTU_2022_1016024_1_SI_N20_2105_R2_001.fq.gz</v>
          </cell>
          <cell r="I501" t="str">
            <v>N20_2105</v>
          </cell>
          <cell r="J501" t="str">
            <v>N20_2105</v>
          </cell>
          <cell r="K501" t="str">
            <v>Listeria monocytogenes</v>
          </cell>
          <cell r="L501">
            <v>46204391</v>
          </cell>
          <cell r="M501">
            <v>6143158</v>
          </cell>
          <cell r="N501" t="str">
            <v>Switzerland</v>
          </cell>
          <cell r="Q501">
            <v>2020</v>
          </cell>
          <cell r="T501" t="str">
            <v>Institute for Food Safety and Hygiene, Vetsuisse Faculty, University of Z√ºrich, Zurich, Switzerland</v>
          </cell>
          <cell r="U501" t="str">
            <v>Food</v>
          </cell>
          <cell r="V501" t="str">
            <v>Meat</v>
          </cell>
          <cell r="X501" t="str">
            <v>ERR10612229</v>
          </cell>
        </row>
        <row r="502">
          <cell r="G502" t="str">
            <v>/home/projects/cge/backup/fastq/food_seqdata/NextSeq_208/FoodQCPipeline_tmp/conc_fqs/DTU_2022_1016025_1_SI_N20_2124_R1_001.fq.gz</v>
          </cell>
          <cell r="H502" t="str">
            <v>/home/projects/cge/backup/fastq/food_seqdata/NextSeq_208/FoodQCPipeline_tmp/conc_fqs/DTU_2022_1016025_1_SI_N20_2124_R2_001.fq.gz</v>
          </cell>
          <cell r="I502" t="str">
            <v>N20_2124</v>
          </cell>
          <cell r="J502" t="str">
            <v>N20_2124</v>
          </cell>
          <cell r="K502" t="str">
            <v>Listeria monocytogenes</v>
          </cell>
          <cell r="L502">
            <v>46204391</v>
          </cell>
          <cell r="M502">
            <v>6143158</v>
          </cell>
          <cell r="N502" t="str">
            <v>Switzerland</v>
          </cell>
          <cell r="Q502">
            <v>2020</v>
          </cell>
          <cell r="T502" t="str">
            <v>Institute for Food Safety and Hygiene, Vetsuisse Faculty, University of Z√ºrich, Zurich, Switzerland</v>
          </cell>
          <cell r="U502" t="str">
            <v>Food</v>
          </cell>
          <cell r="V502" t="str">
            <v>Meat</v>
          </cell>
          <cell r="X502" t="str">
            <v>ERR10612230</v>
          </cell>
        </row>
        <row r="503">
          <cell r="G503" t="str">
            <v>/home/projects/cge/backup/fastq/food_seqdata/NextSeq_208/FoodQCPipeline_tmp/conc_fqs/DTU_2022_1016026_1_SI_N20_2200_R1_001.fq.gz</v>
          </cell>
          <cell r="H503" t="str">
            <v>/home/projects/cge/backup/fastq/food_seqdata/NextSeq_208/FoodQCPipeline_tmp/conc_fqs/DTU_2022_1016026_1_SI_N20_2200_R2_001.fq.gz</v>
          </cell>
          <cell r="I503" t="str">
            <v>N20_2200</v>
          </cell>
          <cell r="J503" t="str">
            <v>N20_2200</v>
          </cell>
          <cell r="K503" t="str">
            <v>Listeria monocytogenes</v>
          </cell>
          <cell r="L503">
            <v>46204391</v>
          </cell>
          <cell r="M503">
            <v>6143158</v>
          </cell>
          <cell r="N503" t="str">
            <v>Switzerland</v>
          </cell>
          <cell r="Q503">
            <v>2020</v>
          </cell>
          <cell r="T503" t="str">
            <v>Institute for Food Safety and Hygiene, Vetsuisse Faculty, University of Z√ºrich, Zurich, Switzerland</v>
          </cell>
          <cell r="U503" t="str">
            <v>Food</v>
          </cell>
          <cell r="V503" t="str">
            <v>Seafood</v>
          </cell>
          <cell r="X503" t="str">
            <v>ERR10612246</v>
          </cell>
        </row>
        <row r="504">
          <cell r="G504" t="str">
            <v>/home/projects/cge/backup/fastq/food_seqdata/NextSeq_208/FoodQCPipeline_tmp/conc_fqs/DTU_2022_1016027_1_SI_N20_2202_R1_001.fq.gz</v>
          </cell>
          <cell r="H504" t="str">
            <v>/home/projects/cge/backup/fastq/food_seqdata/NextSeq_208/FoodQCPipeline_tmp/conc_fqs/DTU_2022_1016027_1_SI_N20_2202_R2_001.fq.gz</v>
          </cell>
          <cell r="I504" t="str">
            <v>N20_2202</v>
          </cell>
          <cell r="J504" t="str">
            <v>N20_2202</v>
          </cell>
          <cell r="K504" t="str">
            <v>Listeria monocytogenes</v>
          </cell>
          <cell r="L504">
            <v>46204391</v>
          </cell>
          <cell r="M504">
            <v>6143158</v>
          </cell>
          <cell r="N504" t="str">
            <v>Switzerland</v>
          </cell>
          <cell r="Q504">
            <v>2020</v>
          </cell>
          <cell r="T504" t="str">
            <v>Institute for Food Safety and Hygiene, Vetsuisse Faculty, University of Z√ºrich, Zurich, Switzerland</v>
          </cell>
          <cell r="U504" t="str">
            <v>Food</v>
          </cell>
          <cell r="V504" t="str">
            <v>Milk product</v>
          </cell>
          <cell r="X504" t="str">
            <v>ERR10612227</v>
          </cell>
        </row>
        <row r="505">
          <cell r="G505" t="str">
            <v>/home/projects/cge/backup/fastq/food_seqdata/NextSeq_208/FoodQCPipeline_tmp/conc_fqs/DTU_2022_1016028_1_SI_N20_2263_R1_001.fq.gz</v>
          </cell>
          <cell r="H505" t="str">
            <v>/home/projects/cge/backup/fastq/food_seqdata/NextSeq_208/FoodQCPipeline_tmp/conc_fqs/DTU_2022_1016028_1_SI_N20_2263_R2_001.fq.gz</v>
          </cell>
          <cell r="I505" t="str">
            <v>N20_2263</v>
          </cell>
          <cell r="J505" t="str">
            <v>N20_2263</v>
          </cell>
          <cell r="K505" t="str">
            <v>Listeria monocytogenes</v>
          </cell>
          <cell r="L505">
            <v>46204391</v>
          </cell>
          <cell r="M505">
            <v>6143158</v>
          </cell>
          <cell r="N505" t="str">
            <v>Switzerland</v>
          </cell>
          <cell r="Q505">
            <v>2020</v>
          </cell>
          <cell r="T505" t="str">
            <v>Institute for Food Safety and Hygiene, Vetsuisse Faculty, University of Z√ºrich, Zurich, Switzerland</v>
          </cell>
          <cell r="U505" t="str">
            <v>Food</v>
          </cell>
          <cell r="V505" t="str">
            <v>Poultry</v>
          </cell>
          <cell r="X505" t="str">
            <v>ERR10612236</v>
          </cell>
        </row>
        <row r="506">
          <cell r="G506" t="str">
            <v>/home/projects/cge/backup/fastq/food_seqdata/NextSeq_208/FoodQCPipeline_tmp/conc_fqs/DTU_2022_1016029_1_SI_N20_2292_R1_001.fq.gz</v>
          </cell>
          <cell r="H506" t="str">
            <v>/home/projects/cge/backup/fastq/food_seqdata/NextSeq_208/FoodQCPipeline_tmp/conc_fqs/DTU_2022_1016029_1_SI_N20_2292_R2_001.fq.gz</v>
          </cell>
          <cell r="I506" t="str">
            <v>N20_2292</v>
          </cell>
          <cell r="J506" t="str">
            <v>N20_2292</v>
          </cell>
          <cell r="K506" t="str">
            <v>Listeria monocytogenes</v>
          </cell>
          <cell r="L506">
            <v>46204391</v>
          </cell>
          <cell r="M506">
            <v>6143158</v>
          </cell>
          <cell r="N506" t="str">
            <v>Switzerland</v>
          </cell>
          <cell r="Q506">
            <v>2020</v>
          </cell>
          <cell r="T506" t="str">
            <v>Institute for Food Safety and Hygiene, Vetsuisse Faculty, University of Z√ºrich, Zurich, Switzerland</v>
          </cell>
          <cell r="U506" t="str">
            <v>Food</v>
          </cell>
          <cell r="V506" t="str">
            <v>Seafood</v>
          </cell>
          <cell r="X506" t="str">
            <v>ERR10612232</v>
          </cell>
        </row>
        <row r="507">
          <cell r="G507" t="str">
            <v>/home/projects/cge/backup/fastq/food_seqdata/NextSeq_208/FoodQCPipeline_tmp/conc_fqs/DTU_2022_1016030_1_SI_N20_2339_R1_001.fq.gz</v>
          </cell>
          <cell r="H507" t="str">
            <v>/home/projects/cge/backup/fastq/food_seqdata/NextSeq_208/FoodQCPipeline_tmp/conc_fqs/DTU_2022_1016030_1_SI_N20_2339_R2_001.fq.gz</v>
          </cell>
          <cell r="I507" t="str">
            <v>N20_2339</v>
          </cell>
          <cell r="J507" t="str">
            <v>N20_2339</v>
          </cell>
          <cell r="K507" t="str">
            <v>Listeria monocytogenes</v>
          </cell>
          <cell r="L507">
            <v>46204391</v>
          </cell>
          <cell r="M507">
            <v>6143158</v>
          </cell>
          <cell r="N507" t="str">
            <v>Switzerland</v>
          </cell>
          <cell r="Q507">
            <v>2020</v>
          </cell>
          <cell r="T507" t="str">
            <v>Institute for Food Safety and Hygiene, Vetsuisse Faculty, University of Z√ºrich, Zurich, Switzerland</v>
          </cell>
          <cell r="U507" t="str">
            <v>Food</v>
          </cell>
          <cell r="V507" t="str">
            <v>Milk product</v>
          </cell>
          <cell r="X507" t="str">
            <v>ERR10612205</v>
          </cell>
        </row>
        <row r="508">
          <cell r="G508" t="str">
            <v>/home/projects/cge/backup/fastq/food_seqdata/NextSeq_208/FoodQCPipeline_tmp/conc_fqs/DTU_2022_1016031_1_SI_N20_2340_R1_001.fq.gz</v>
          </cell>
          <cell r="H508" t="str">
            <v>/home/projects/cge/backup/fastq/food_seqdata/NextSeq_208/FoodQCPipeline_tmp/conc_fqs/DTU_2022_1016031_1_SI_N20_2340_R2_001.fq.gz</v>
          </cell>
          <cell r="I508" t="str">
            <v>N20_2340</v>
          </cell>
          <cell r="J508" t="str">
            <v>N20_2340</v>
          </cell>
          <cell r="K508" t="str">
            <v>Listeria monocytogenes</v>
          </cell>
          <cell r="L508">
            <v>46204391</v>
          </cell>
          <cell r="M508">
            <v>6143158</v>
          </cell>
          <cell r="N508" t="str">
            <v>Switzerland</v>
          </cell>
          <cell r="Q508">
            <v>2020</v>
          </cell>
          <cell r="T508" t="str">
            <v>Institute for Food Safety and Hygiene, Vetsuisse Faculty, University of Z√ºrich, Zurich, Switzerland</v>
          </cell>
          <cell r="U508" t="str">
            <v>Food</v>
          </cell>
          <cell r="V508" t="str">
            <v>Poultry</v>
          </cell>
          <cell r="X508" t="str">
            <v>ERR10612234</v>
          </cell>
        </row>
        <row r="509">
          <cell r="G509" t="str">
            <v>/home/projects/cge/backup/fastq/food_seqdata/NextSeq_208/FoodQCPipeline_tmp/conc_fqs/DTU_2022_1016901_1_SI_N20_2373_R1_001.fq.gz</v>
          </cell>
          <cell r="H509" t="str">
            <v>/home/projects/cge/backup/fastq/food_seqdata/NextSeq_208/FoodQCPipeline_tmp/conc_fqs/DTU_2022_1016901_1_SI_N20_2373_R2_001.fq.gz</v>
          </cell>
          <cell r="I509" t="str">
            <v>N20_2373</v>
          </cell>
          <cell r="J509" t="str">
            <v>N20_2373</v>
          </cell>
          <cell r="K509" t="str">
            <v>Listeria monocytogenes</v>
          </cell>
          <cell r="L509">
            <v>46204391</v>
          </cell>
          <cell r="M509">
            <v>6143158</v>
          </cell>
          <cell r="N509" t="str">
            <v>Switzerland</v>
          </cell>
          <cell r="Q509">
            <v>2020</v>
          </cell>
          <cell r="T509" t="str">
            <v>Institute for Food Safety and Hygiene, Vetsuisse Faculty, University of Z√ºrich, Zurich, Switzerland</v>
          </cell>
          <cell r="U509" t="str">
            <v>Food</v>
          </cell>
          <cell r="V509" t="str">
            <v>Meat</v>
          </cell>
          <cell r="X509" t="str">
            <v>ERR10616668</v>
          </cell>
        </row>
        <row r="510">
          <cell r="G510" t="str">
            <v>/home/projects/cge/backup/fastq/food_seqdata/NextSeq_208/FoodQCPipeline_tmp/conc_fqs/DTU_2022_1016033_1_SI_N20_2390_R1_001.fq.gz</v>
          </cell>
          <cell r="H510" t="str">
            <v>/home/projects/cge/backup/fastq/food_seqdata/NextSeq_208/FoodQCPipeline_tmp/conc_fqs/DTU_2022_1016033_1_SI_N20_2390_R2_001.fq.gz</v>
          </cell>
          <cell r="I510" t="str">
            <v>N20_2390</v>
          </cell>
          <cell r="J510" t="str">
            <v>N20_2390</v>
          </cell>
          <cell r="K510" t="str">
            <v>Listeria monocytogenes</v>
          </cell>
          <cell r="L510">
            <v>46204391</v>
          </cell>
          <cell r="M510">
            <v>6143158</v>
          </cell>
          <cell r="N510" t="str">
            <v>Switzerland</v>
          </cell>
          <cell r="Q510">
            <v>2020</v>
          </cell>
          <cell r="T510" t="str">
            <v>Institute for Food Safety and Hygiene, Vetsuisse Faculty, University of Z√ºrich, Zurich, Switzerland</v>
          </cell>
          <cell r="U510" t="str">
            <v>Food</v>
          </cell>
          <cell r="V510" t="str">
            <v>Seafood</v>
          </cell>
          <cell r="X510" t="str">
            <v>ERR10612265</v>
          </cell>
        </row>
        <row r="511">
          <cell r="G511" t="str">
            <v>/home/projects/cge/backup/fastq/food_seqdata/NextSeq_208/FoodQCPipeline_tmp/conc_fqs/DTU_2022_1016034_1_SI_N20_2431_R1_001.fq.gz</v>
          </cell>
          <cell r="H511" t="str">
            <v>/home/projects/cge/backup/fastq/food_seqdata/NextSeq_208/FoodQCPipeline_tmp/conc_fqs/DTU_2022_1016034_1_SI_N20_2431_R2_001.fq.gz</v>
          </cell>
          <cell r="I511" t="str">
            <v>N20_2431</v>
          </cell>
          <cell r="J511" t="str">
            <v>N20_2431</v>
          </cell>
          <cell r="K511" t="str">
            <v>Listeria monocytogenes</v>
          </cell>
          <cell r="L511">
            <v>46204391</v>
          </cell>
          <cell r="M511">
            <v>6143158</v>
          </cell>
          <cell r="N511" t="str">
            <v>Switzerland</v>
          </cell>
          <cell r="Q511">
            <v>2020</v>
          </cell>
          <cell r="T511" t="str">
            <v>Institute for Food Safety and Hygiene, Vetsuisse Faculty, University of Z√ºrich, Zurich, Switzerland</v>
          </cell>
          <cell r="U511" t="str">
            <v>Food</v>
          </cell>
          <cell r="V511" t="str">
            <v>Seafood</v>
          </cell>
          <cell r="X511" t="str">
            <v>ERR10612248</v>
          </cell>
        </row>
        <row r="512">
          <cell r="G512" t="str">
            <v>/home/projects/cge/backup/fastq/food_seqdata/NextSeq_208/FoodQCPipeline_tmp/conc_fqs/DTU_2022_1016035_1_SI_N20_2490_R1_001.fq.gz</v>
          </cell>
          <cell r="H512" t="str">
            <v>/home/projects/cge/backup/fastq/food_seqdata/NextSeq_208/FoodQCPipeline_tmp/conc_fqs/DTU_2022_1016035_1_SI_N20_2490_R2_001.fq.gz</v>
          </cell>
          <cell r="I512" t="str">
            <v>N20_2490</v>
          </cell>
          <cell r="J512" t="str">
            <v>N20_2490</v>
          </cell>
          <cell r="K512" t="str">
            <v>Listeria monocytogenes</v>
          </cell>
          <cell r="L512">
            <v>46204391</v>
          </cell>
          <cell r="M512">
            <v>6143158</v>
          </cell>
          <cell r="N512" t="str">
            <v>Switzerland</v>
          </cell>
          <cell r="Q512">
            <v>2020</v>
          </cell>
          <cell r="T512" t="str">
            <v>Institute for Food Safety and Hygiene, Vetsuisse Faculty, University of Z√ºrich, Zurich, Switzerland</v>
          </cell>
          <cell r="U512" t="str">
            <v>Food</v>
          </cell>
          <cell r="V512" t="str">
            <v>Poultry</v>
          </cell>
          <cell r="X512" t="str">
            <v>ERR10612209</v>
          </cell>
        </row>
        <row r="513">
          <cell r="G513" t="str">
            <v>/home/projects/cge/backup/fastq/food_seqdata/NextSeq_208/FoodQCPipeline_tmp/conc_fqs/DTU_2022_1016036_1_SI_N20_2513_R1_001.fq.gz</v>
          </cell>
          <cell r="H513" t="str">
            <v>/home/projects/cge/backup/fastq/food_seqdata/NextSeq_208/FoodQCPipeline_tmp/conc_fqs/DTU_2022_1016036_1_SI_N20_2513_R2_001.fq.gz</v>
          </cell>
          <cell r="I513" t="str">
            <v>N20_2513</v>
          </cell>
          <cell r="J513" t="str">
            <v>N20_2513</v>
          </cell>
          <cell r="K513" t="str">
            <v>Listeria monocytogenes</v>
          </cell>
          <cell r="L513">
            <v>46204391</v>
          </cell>
          <cell r="M513">
            <v>6143158</v>
          </cell>
          <cell r="N513" t="str">
            <v>Switzerland</v>
          </cell>
          <cell r="Q513">
            <v>2020</v>
          </cell>
          <cell r="T513" t="str">
            <v>Institute for Food Safety and Hygiene, Vetsuisse Faculty, University of Z√ºrich, Zurich, Switzerland</v>
          </cell>
          <cell r="U513" t="str">
            <v>Food</v>
          </cell>
          <cell r="V513" t="str">
            <v>Meat</v>
          </cell>
          <cell r="X513" t="str">
            <v>ERR10612259</v>
          </cell>
        </row>
        <row r="514">
          <cell r="G514" t="str">
            <v>/home/projects/cge/backup/fastq/food_seqdata/NextSeq_208/FoodQCPipeline_tmp/conc_fqs/DTU_2022_1016037_1_SI_N20_2604_R1_001.fq.gz</v>
          </cell>
          <cell r="H514" t="str">
            <v>/home/projects/cge/backup/fastq/food_seqdata/NextSeq_208/FoodQCPipeline_tmp/conc_fqs/DTU_2022_1016037_1_SI_N20_2604_R2_001.fq.gz</v>
          </cell>
          <cell r="I514" t="str">
            <v>N20_2604</v>
          </cell>
          <cell r="J514" t="str">
            <v>N20_2604</v>
          </cell>
          <cell r="K514" t="str">
            <v>Listeria monocytogenes</v>
          </cell>
          <cell r="L514">
            <v>46204391</v>
          </cell>
          <cell r="M514">
            <v>6143158</v>
          </cell>
          <cell r="N514" t="str">
            <v>Switzerland</v>
          </cell>
          <cell r="Q514">
            <v>2020</v>
          </cell>
          <cell r="T514" t="str">
            <v>Institute for Food Safety and Hygiene, Vetsuisse Faculty, University of Z√ºrich, Zurich, Switzerland</v>
          </cell>
          <cell r="U514" t="str">
            <v>Food</v>
          </cell>
          <cell r="V514" t="str">
            <v>Meat</v>
          </cell>
          <cell r="X514" t="str">
            <v>ERR10612240</v>
          </cell>
        </row>
        <row r="515">
          <cell r="G515" t="str">
            <v>/home/projects/cge/backup/fastq/food_seqdata/NextSeq_208/FoodQCPipeline_tmp/conc_fqs/DTU_2022_1016038_1_SI_N20_2611_R1_001.fq.gz</v>
          </cell>
          <cell r="H515" t="str">
            <v>/home/projects/cge/backup/fastq/food_seqdata/NextSeq_208/FoodQCPipeline_tmp/conc_fqs/DTU_2022_1016038_1_SI_N20_2611_R2_001.fq.gz</v>
          </cell>
          <cell r="I515" t="str">
            <v>N20_2611</v>
          </cell>
          <cell r="J515" t="str">
            <v>N20_2611</v>
          </cell>
          <cell r="K515" t="str">
            <v>Listeria monocytogenes</v>
          </cell>
          <cell r="L515">
            <v>46204391</v>
          </cell>
          <cell r="M515">
            <v>6143158</v>
          </cell>
          <cell r="N515" t="str">
            <v>Switzerland</v>
          </cell>
          <cell r="Q515">
            <v>2020</v>
          </cell>
          <cell r="T515" t="str">
            <v>Institute for Food Safety and Hygiene, Vetsuisse Faculty, University of Z√ºrich, Zurich, Switzerland</v>
          </cell>
          <cell r="U515" t="str">
            <v>Food</v>
          </cell>
          <cell r="V515" t="str">
            <v>Meat</v>
          </cell>
          <cell r="X515" t="str">
            <v>ERR10612214</v>
          </cell>
        </row>
        <row r="516">
          <cell r="G516" t="str">
            <v>/home/projects/cge/backup/fastq/food_seqdata/NextSeq_208/FoodQCPipeline_tmp/conc_fqs/DTU_2022_1016039_1_SI_N20_2612_R1_001.fq.gz</v>
          </cell>
          <cell r="H516" t="str">
            <v>/home/projects/cge/backup/fastq/food_seqdata/NextSeq_208/FoodQCPipeline_tmp/conc_fqs/DTU_2022_1016039_1_SI_N20_2612_R2_001.fq.gz</v>
          </cell>
          <cell r="I516" t="str">
            <v>N20_2612</v>
          </cell>
          <cell r="J516" t="str">
            <v>N20_2612</v>
          </cell>
          <cell r="K516" t="str">
            <v>Listeria monocytogenes</v>
          </cell>
          <cell r="L516">
            <v>46204391</v>
          </cell>
          <cell r="M516">
            <v>6143158</v>
          </cell>
          <cell r="N516" t="str">
            <v>Switzerland</v>
          </cell>
          <cell r="Q516">
            <v>2020</v>
          </cell>
          <cell r="T516" t="str">
            <v>Institute for Food Safety and Hygiene, Vetsuisse Faculty, University of Z√ºrich, Zurich, Switzerland</v>
          </cell>
          <cell r="U516" t="str">
            <v>Food</v>
          </cell>
          <cell r="V516" t="str">
            <v>Meat</v>
          </cell>
          <cell r="X516" t="str">
            <v>ERR10612242</v>
          </cell>
        </row>
        <row r="517">
          <cell r="G517" t="str">
            <v>/home/projects/cge/backup/fastq/food_seqdata/NextSeq_208/FoodQCPipeline_tmp/conc_fqs/DTU_2022_1016040_1_SI_N20_2614_R1_001.fq.gz</v>
          </cell>
          <cell r="H517" t="str">
            <v>/home/projects/cge/backup/fastq/food_seqdata/NextSeq_208/FoodQCPipeline_tmp/conc_fqs/DTU_2022_1016040_1_SI_N20_2614_R2_001.fq.gz</v>
          </cell>
          <cell r="I517" t="str">
            <v>N20_2614</v>
          </cell>
          <cell r="J517" t="str">
            <v>N20_2614</v>
          </cell>
          <cell r="K517" t="str">
            <v>Listeria monocytogenes</v>
          </cell>
          <cell r="L517">
            <v>46204391</v>
          </cell>
          <cell r="M517">
            <v>6143158</v>
          </cell>
          <cell r="N517" t="str">
            <v>Switzerland</v>
          </cell>
          <cell r="Q517">
            <v>2020</v>
          </cell>
          <cell r="T517" t="str">
            <v>Institute for Food Safety and Hygiene, Vetsuisse Faculty, University of Z√ºrich, Zurich, Switzerland</v>
          </cell>
          <cell r="U517" t="str">
            <v>Food</v>
          </cell>
          <cell r="V517" t="str">
            <v>Meat</v>
          </cell>
          <cell r="X517" t="str">
            <v>ERR10612218</v>
          </cell>
        </row>
        <row r="518">
          <cell r="G518" t="str">
            <v>/home/projects/cge/backup/fastq/food_seqdata/NextSeq_208/FoodQCPipeline_tmp/conc_fqs/DTU_2022_1016041_1_SI_N20_2698_R1_001.fq.gz</v>
          </cell>
          <cell r="H518" t="str">
            <v>/home/projects/cge/backup/fastq/food_seqdata/NextSeq_208/FoodQCPipeline_tmp/conc_fqs/DTU_2022_1016041_1_SI_N20_2698_R2_001.fq.gz</v>
          </cell>
          <cell r="I518" t="str">
            <v>N20_2698</v>
          </cell>
          <cell r="J518" t="str">
            <v>N20_2698</v>
          </cell>
          <cell r="K518" t="str">
            <v>Listeria monocytogenes</v>
          </cell>
          <cell r="L518">
            <v>46204391</v>
          </cell>
          <cell r="M518">
            <v>6143158</v>
          </cell>
          <cell r="N518" t="str">
            <v>Switzerland</v>
          </cell>
          <cell r="Q518">
            <v>2020</v>
          </cell>
          <cell r="T518" t="str">
            <v>Institute for Food Safety and Hygiene, Vetsuisse Faculty, University of Z√ºrich, Zurich, Switzerland</v>
          </cell>
          <cell r="U518" t="str">
            <v>Food</v>
          </cell>
          <cell r="V518" t="str">
            <v>Seafood</v>
          </cell>
          <cell r="X518" t="str">
            <v>ERR10612253</v>
          </cell>
        </row>
        <row r="519">
          <cell r="G519" t="str">
            <v>/home/projects/cge/backup/fastq/food_seqdata/NextSeq_208/FoodQCPipeline_tmp/conc_fqs/DTU_2022_1016042_1_SI_N20_2702_R1_001.fq.gz</v>
          </cell>
          <cell r="H519" t="str">
            <v>/home/projects/cge/backup/fastq/food_seqdata/NextSeq_208/FoodQCPipeline_tmp/conc_fqs/DTU_2022_1016042_1_SI_N20_2702_R2_001.fq.gz</v>
          </cell>
          <cell r="I519" t="str">
            <v>N20_2702</v>
          </cell>
          <cell r="J519" t="str">
            <v>N20_2702</v>
          </cell>
          <cell r="K519" t="str">
            <v>Listeria monocytogenes</v>
          </cell>
          <cell r="L519">
            <v>46204391</v>
          </cell>
          <cell r="M519">
            <v>6143158</v>
          </cell>
          <cell r="N519" t="str">
            <v>Switzerland</v>
          </cell>
          <cell r="Q519">
            <v>2020</v>
          </cell>
          <cell r="T519" t="str">
            <v>Institute for Food Safety and Hygiene, Vetsuisse Faculty, University of Z√ºrich, Zurich, Switzerland</v>
          </cell>
          <cell r="U519" t="str">
            <v>Food</v>
          </cell>
          <cell r="V519" t="str">
            <v>Meat</v>
          </cell>
          <cell r="X519" t="str">
            <v>ERR10612272</v>
          </cell>
        </row>
        <row r="520">
          <cell r="G520" t="str">
            <v>/home/projects/cge/backup/fastq/food_seqdata/NextSeq_208/FoodQCPipeline_tmp/conc_fqs/DTU_2022_1016043_1_SI_N20_2732_R1_001.fq.gz</v>
          </cell>
          <cell r="H520" t="str">
            <v>/home/projects/cge/backup/fastq/food_seqdata/NextSeq_208/FoodQCPipeline_tmp/conc_fqs/DTU_2022_1016043_1_SI_N20_2732_R2_001.fq.gz</v>
          </cell>
          <cell r="I520" t="str">
            <v>N20_2732</v>
          </cell>
          <cell r="J520" t="str">
            <v>N20_2732</v>
          </cell>
          <cell r="K520" t="str">
            <v>Listeria monocytogenes</v>
          </cell>
          <cell r="L520">
            <v>46204391</v>
          </cell>
          <cell r="M520">
            <v>6143158</v>
          </cell>
          <cell r="N520" t="str">
            <v>Switzerland</v>
          </cell>
          <cell r="Q520">
            <v>2020</v>
          </cell>
          <cell r="T520" t="str">
            <v>Institute for Food Safety and Hygiene, Vetsuisse Faculty, University of Z√ºrich, Zurich, Switzerland</v>
          </cell>
          <cell r="U520" t="str">
            <v>Food</v>
          </cell>
          <cell r="V520" t="str">
            <v>Milk product</v>
          </cell>
          <cell r="X520" t="str">
            <v>ERR10612252</v>
          </cell>
        </row>
        <row r="521">
          <cell r="G521" t="str">
            <v>/home/projects/cge/backup/fastq/food_seqdata/NextSeq_208/FoodQCPipeline_tmp/conc_fqs/DTU_2022_1016044_1_SI_N20_2776_R1_001.fq.gz</v>
          </cell>
          <cell r="H521" t="str">
            <v>/home/projects/cge/backup/fastq/food_seqdata/NextSeq_208/FoodQCPipeline_tmp/conc_fqs/DTU_2022_1016044_1_SI_N20_2776_R2_001.fq.gz</v>
          </cell>
          <cell r="I521" t="str">
            <v>N20_2776</v>
          </cell>
          <cell r="J521" t="str">
            <v>N20_2776</v>
          </cell>
          <cell r="K521" t="str">
            <v>Listeria monocytogenes</v>
          </cell>
          <cell r="L521">
            <v>46204391</v>
          </cell>
          <cell r="M521">
            <v>6143158</v>
          </cell>
          <cell r="N521" t="str">
            <v>Switzerland</v>
          </cell>
          <cell r="Q521">
            <v>2020</v>
          </cell>
          <cell r="T521" t="str">
            <v>Institute for Food Safety and Hygiene, Vetsuisse Faculty, University of Z√ºrich, Zurich, Switzerland</v>
          </cell>
          <cell r="U521" t="str">
            <v>Food</v>
          </cell>
          <cell r="V521" t="str">
            <v>Poultry</v>
          </cell>
          <cell r="X521" t="str">
            <v>ERR10612226</v>
          </cell>
        </row>
        <row r="522">
          <cell r="G522" t="str">
            <v>/home/projects/cge/backup/fastq/food_seqdata/NextSeq_208/FoodQCPipeline_tmp/conc_fqs/DTU_2022_1016045_1_SI_N21_0042_R1_001.fq.gz</v>
          </cell>
          <cell r="H522" t="str">
            <v>/home/projects/cge/backup/fastq/food_seqdata/NextSeq_208/FoodQCPipeline_tmp/conc_fqs/DTU_2022_1016045_1_SI_N21_0042_R2_001.fq.gz</v>
          </cell>
          <cell r="I522" t="str">
            <v>N21_0042</v>
          </cell>
          <cell r="J522" t="str">
            <v>N21_0042</v>
          </cell>
          <cell r="K522" t="str">
            <v>Listeria monocytogenes</v>
          </cell>
          <cell r="L522">
            <v>46204391</v>
          </cell>
          <cell r="M522">
            <v>6143158</v>
          </cell>
          <cell r="N522" t="str">
            <v>Switzerland</v>
          </cell>
          <cell r="Q522">
            <v>2021</v>
          </cell>
          <cell r="T522" t="str">
            <v>Institute for Food Safety and Hygiene, Vetsuisse Faculty, University of Z√ºrich, Zurich, Switzerland</v>
          </cell>
          <cell r="U522" t="str">
            <v>Food</v>
          </cell>
          <cell r="V522" t="str">
            <v>Milk product</v>
          </cell>
          <cell r="X522" t="str">
            <v>ERR10612271</v>
          </cell>
        </row>
        <row r="523">
          <cell r="G523" t="str">
            <v>/home/projects/cge/backup/fastq/food_seqdata/NextSeq_208/FoodQCPipeline_tmp/conc_fqs/DTU_2022_1016046_1_SI_N21_0064_R1_001.fq.gz</v>
          </cell>
          <cell r="H523" t="str">
            <v>/home/projects/cge/backup/fastq/food_seqdata/NextSeq_208/FoodQCPipeline_tmp/conc_fqs/DTU_2022_1016046_1_SI_N21_0064_R2_001.fq.gz</v>
          </cell>
          <cell r="I523" t="str">
            <v>N21_0064</v>
          </cell>
          <cell r="J523" t="str">
            <v>N21_0064</v>
          </cell>
          <cell r="K523" t="str">
            <v>Listeria monocytogenes</v>
          </cell>
          <cell r="L523">
            <v>46204391</v>
          </cell>
          <cell r="M523">
            <v>6143158</v>
          </cell>
          <cell r="N523" t="str">
            <v>Switzerland</v>
          </cell>
          <cell r="Q523">
            <v>2021</v>
          </cell>
          <cell r="T523" t="str">
            <v>Institute for Food Safety and Hygiene, Vetsuisse Faculty, University of Z√ºrich, Zurich, Switzerland</v>
          </cell>
          <cell r="U523" t="str">
            <v>Food</v>
          </cell>
          <cell r="V523" t="str">
            <v>Poultry</v>
          </cell>
          <cell r="X523" t="str">
            <v>ERR10612251</v>
          </cell>
        </row>
        <row r="524">
          <cell r="G524" t="str">
            <v>/home/projects/cge/backup/fastq/food_seqdata/NextSeq_208/FoodQCPipeline_tmp/conc_fqs/DTU_2022_1016047_1_SI_N21_0065_R1_001.fq.gz</v>
          </cell>
          <cell r="H524" t="str">
            <v>/home/projects/cge/backup/fastq/food_seqdata/NextSeq_208/FoodQCPipeline_tmp/conc_fqs/DTU_2022_1016047_1_SI_N21_0065_R2_001.fq.gz</v>
          </cell>
          <cell r="I524" t="str">
            <v>N21_0065</v>
          </cell>
          <cell r="J524" t="str">
            <v>N21_0065</v>
          </cell>
          <cell r="K524" t="str">
            <v>Listeria monocytogenes</v>
          </cell>
          <cell r="L524">
            <v>46204391</v>
          </cell>
          <cell r="M524">
            <v>6143158</v>
          </cell>
          <cell r="N524" t="str">
            <v>Switzerland</v>
          </cell>
          <cell r="Q524">
            <v>2021</v>
          </cell>
          <cell r="T524" t="str">
            <v>Institute for Food Safety and Hygiene, Vetsuisse Faculty, University of Z√ºrich, Zurich, Switzerland</v>
          </cell>
          <cell r="U524" t="str">
            <v>Food</v>
          </cell>
          <cell r="V524" t="str">
            <v>Meat</v>
          </cell>
          <cell r="X524" t="str">
            <v>ERR10612231</v>
          </cell>
        </row>
        <row r="525">
          <cell r="G525" t="str">
            <v>/home/projects/cge/backup/fastq/food_seqdata/NextSeq_208/FoodQCPipeline_tmp/conc_fqs/DTU_2022_1016048_1_SI_N21_0102_R1_001.fq.gz</v>
          </cell>
          <cell r="H525" t="str">
            <v>/home/projects/cge/backup/fastq/food_seqdata/NextSeq_208/FoodQCPipeline_tmp/conc_fqs/DTU_2022_1016048_1_SI_N21_0102_R2_001.fq.gz</v>
          </cell>
          <cell r="I525" t="str">
            <v>N21_0102</v>
          </cell>
          <cell r="J525" t="str">
            <v>N21_0102</v>
          </cell>
          <cell r="K525" t="str">
            <v>Listeria monocytogenes</v>
          </cell>
          <cell r="L525">
            <v>46204391</v>
          </cell>
          <cell r="M525">
            <v>6143158</v>
          </cell>
          <cell r="N525" t="str">
            <v>Switzerland</v>
          </cell>
          <cell r="Q525">
            <v>2021</v>
          </cell>
          <cell r="T525" t="str">
            <v>Institute for Food Safety and Hygiene, Vetsuisse Faculty, University of Z√ºrich, Zurich, Switzerland</v>
          </cell>
          <cell r="U525" t="str">
            <v>Food</v>
          </cell>
          <cell r="V525" t="str">
            <v>Poultry</v>
          </cell>
          <cell r="X525" t="str">
            <v>ERR10612274</v>
          </cell>
        </row>
        <row r="526">
          <cell r="G526" t="str">
            <v>/home/projects/cge/backup/fastq/food_seqdata/NextSeq_208/FoodQCPipeline_tmp/conc_fqs/DTU_2022_1016049_1_SI_N21_0121_R1_001.fq.gz</v>
          </cell>
          <cell r="H526" t="str">
            <v>/home/projects/cge/backup/fastq/food_seqdata/NextSeq_208/FoodQCPipeline_tmp/conc_fqs/DTU_2022_1016049_1_SI_N21_0121_R2_001.fq.gz</v>
          </cell>
          <cell r="I526" t="str">
            <v>N21_0121</v>
          </cell>
          <cell r="J526" t="str">
            <v>N21_0121</v>
          </cell>
          <cell r="K526" t="str">
            <v>Listeria monocytogenes</v>
          </cell>
          <cell r="L526">
            <v>46204391</v>
          </cell>
          <cell r="M526">
            <v>6143158</v>
          </cell>
          <cell r="N526" t="str">
            <v>Switzerland</v>
          </cell>
          <cell r="Q526">
            <v>2021</v>
          </cell>
          <cell r="T526" t="str">
            <v>Institute for Food Safety and Hygiene, Vetsuisse Faculty, University of Z√ºrich, Zurich, Switzerland</v>
          </cell>
          <cell r="U526" t="str">
            <v>Food</v>
          </cell>
          <cell r="V526" t="str">
            <v>Meat</v>
          </cell>
          <cell r="X526" t="str">
            <v>ERR10612233</v>
          </cell>
        </row>
        <row r="527">
          <cell r="G527" t="str">
            <v>/home/projects/cge/backup/fastq/food_seqdata/NextSeq_208/FoodQCPipeline_tmp/conc_fqs/DTU_2022_1016050_1_SI_N21_0165_R1_001.fq.gz</v>
          </cell>
          <cell r="H527" t="str">
            <v>/home/projects/cge/backup/fastq/food_seqdata/NextSeq_208/FoodQCPipeline_tmp/conc_fqs/DTU_2022_1016050_1_SI_N21_0165_R2_001.fq.gz</v>
          </cell>
          <cell r="I527" t="str">
            <v>N21_0165</v>
          </cell>
          <cell r="J527" t="str">
            <v>N21_0165</v>
          </cell>
          <cell r="K527" t="str">
            <v>Listeria monocytogenes</v>
          </cell>
          <cell r="L527">
            <v>46204391</v>
          </cell>
          <cell r="M527">
            <v>6143158</v>
          </cell>
          <cell r="N527" t="str">
            <v>Switzerland</v>
          </cell>
          <cell r="Q527">
            <v>2021</v>
          </cell>
          <cell r="T527" t="str">
            <v>Institute for Food Safety and Hygiene, Vetsuisse Faculty, University of Z√ºrich, Zurich, Switzerland</v>
          </cell>
          <cell r="U527" t="str">
            <v>Food</v>
          </cell>
          <cell r="V527" t="str">
            <v>Meat</v>
          </cell>
          <cell r="X527" t="str">
            <v>ERR10612258</v>
          </cell>
        </row>
        <row r="528">
          <cell r="G528" t="str">
            <v>/home/projects/cge/backup/fastq/food_seqdata/NextSeq_208/FoodQCPipeline_tmp/conc_fqs/DTU_2022_1016051_1_SI_N21_0201_R1_001.fq.gz</v>
          </cell>
          <cell r="H528" t="str">
            <v>/home/projects/cge/backup/fastq/food_seqdata/NextSeq_208/FoodQCPipeline_tmp/conc_fqs/DTU_2022_1016051_1_SI_N21_0201_R2_001.fq.gz</v>
          </cell>
          <cell r="I528" t="str">
            <v>N21_0201</v>
          </cell>
          <cell r="J528" t="str">
            <v>N21_0201</v>
          </cell>
          <cell r="K528" t="str">
            <v>Listeria monocytogenes</v>
          </cell>
          <cell r="L528">
            <v>46204391</v>
          </cell>
          <cell r="M528">
            <v>6143158</v>
          </cell>
          <cell r="N528" t="str">
            <v>Switzerland</v>
          </cell>
          <cell r="Q528">
            <v>2021</v>
          </cell>
          <cell r="T528" t="str">
            <v>Institute for Food Safety and Hygiene, Vetsuisse Faculty, University of Z√ºrich, Zurich, Switzerland</v>
          </cell>
          <cell r="U528" t="str">
            <v>Food</v>
          </cell>
          <cell r="V528" t="str">
            <v>Meat</v>
          </cell>
          <cell r="X528" t="str">
            <v>ERR10612264</v>
          </cell>
        </row>
        <row r="529">
          <cell r="G529" t="str">
            <v>/home/projects/cge/backup/fastq/food_seqdata/NextSeq_208/FoodQCPipeline_tmp/conc_fqs/DTU_2022_1016052_1_SI_N21_0206_R1_001.fq.gz</v>
          </cell>
          <cell r="H529" t="str">
            <v>/home/projects/cge/backup/fastq/food_seqdata/NextSeq_208/FoodQCPipeline_tmp/conc_fqs/DTU_2022_1016052_1_SI_N21_0206_R2_001.fq.gz</v>
          </cell>
          <cell r="I529" t="str">
            <v>N21_0206</v>
          </cell>
          <cell r="J529" t="str">
            <v>N21_0206</v>
          </cell>
          <cell r="K529" t="str">
            <v>Listeria monocytogenes</v>
          </cell>
          <cell r="L529">
            <v>46204391</v>
          </cell>
          <cell r="M529">
            <v>6143158</v>
          </cell>
          <cell r="N529" t="str">
            <v>Switzerland</v>
          </cell>
          <cell r="Q529">
            <v>2021</v>
          </cell>
          <cell r="T529" t="str">
            <v>Institute for Food Safety and Hygiene, Vetsuisse Faculty, University of Z√ºrich, Zurich, Switzerland</v>
          </cell>
          <cell r="U529" t="str">
            <v>Food</v>
          </cell>
          <cell r="V529" t="str">
            <v>Milk product</v>
          </cell>
          <cell r="X529" t="str">
            <v>ERR10612268</v>
          </cell>
        </row>
        <row r="530">
          <cell r="G530" t="str">
            <v>/home/projects/cge/backup/fastq/food_seqdata/NextSeq_208/FoodQCPipeline_tmp/conc_fqs/DTU_2022_1016053_1_SI_N21_0262_R1_001.fq.gz</v>
          </cell>
          <cell r="H530" t="str">
            <v>/home/projects/cge/backup/fastq/food_seqdata/NextSeq_208/FoodQCPipeline_tmp/conc_fqs/DTU_2022_1016053_1_SI_N21_0262_R2_001.fq.gz</v>
          </cell>
          <cell r="I530" t="str">
            <v>N21_0262</v>
          </cell>
          <cell r="J530" t="str">
            <v>N21_0262</v>
          </cell>
          <cell r="K530" t="str">
            <v>Listeria monocytogenes</v>
          </cell>
          <cell r="L530">
            <v>46204391</v>
          </cell>
          <cell r="M530">
            <v>6143158</v>
          </cell>
          <cell r="N530" t="str">
            <v>Switzerland</v>
          </cell>
          <cell r="Q530">
            <v>2021</v>
          </cell>
          <cell r="T530" t="str">
            <v>Institute for Food Safety and Hygiene, Vetsuisse Faculty, University of Z√ºrich, Zurich, Switzerland</v>
          </cell>
          <cell r="U530" t="str">
            <v>Food</v>
          </cell>
          <cell r="V530" t="str">
            <v>Milk product</v>
          </cell>
          <cell r="X530" t="str">
            <v>ERR10612235</v>
          </cell>
        </row>
        <row r="531">
          <cell r="G531" t="str">
            <v>/home/projects/cge/backup/fastq/food_seqdata/NextSeq_208/FoodQCPipeline_tmp/conc_fqs/DTU_2022_1016054_1_SI_N21_0274_R1_001.fq.gz</v>
          </cell>
          <cell r="H531" t="str">
            <v>/home/projects/cge/backup/fastq/food_seqdata/NextSeq_208/FoodQCPipeline_tmp/conc_fqs/DTU_2022_1016054_1_SI_N21_0274_R2_001.fq.gz</v>
          </cell>
          <cell r="I531" t="str">
            <v>N21_0274</v>
          </cell>
          <cell r="J531" t="str">
            <v>N21_0274</v>
          </cell>
          <cell r="K531" t="str">
            <v>Listeria monocytogenes</v>
          </cell>
          <cell r="L531">
            <v>46204391</v>
          </cell>
          <cell r="M531">
            <v>6143158</v>
          </cell>
          <cell r="N531" t="str">
            <v>Switzerland</v>
          </cell>
          <cell r="Q531">
            <v>2021</v>
          </cell>
          <cell r="T531" t="str">
            <v>Institute for Food Safety and Hygiene, Vetsuisse Faculty, University of Z√ºrich, Zurich, Switzerland</v>
          </cell>
          <cell r="U531" t="str">
            <v>Food</v>
          </cell>
          <cell r="V531" t="str">
            <v>Poultry</v>
          </cell>
          <cell r="X531" t="str">
            <v>ERR10612261</v>
          </cell>
        </row>
        <row r="532">
          <cell r="G532" t="str">
            <v>/home/projects/cge/backup/fastq/food_seqdata/NextSeq_208/FoodQCPipeline_tmp/conc_fqs/DTU_2022_1016055_1_SI_N21_0299_R1_001.fq.gz</v>
          </cell>
          <cell r="H532" t="str">
            <v>/home/projects/cge/backup/fastq/food_seqdata/NextSeq_208/FoodQCPipeline_tmp/conc_fqs/DTU_2022_1016055_1_SI_N21_0299_R2_001.fq.gz</v>
          </cell>
          <cell r="I532" t="str">
            <v>N21_0299</v>
          </cell>
          <cell r="J532" t="str">
            <v>N21_0299</v>
          </cell>
          <cell r="K532" t="str">
            <v>Listeria monocytogenes</v>
          </cell>
          <cell r="L532">
            <v>46204391</v>
          </cell>
          <cell r="M532">
            <v>6143158</v>
          </cell>
          <cell r="N532" t="str">
            <v>Switzerland</v>
          </cell>
          <cell r="Q532">
            <v>2021</v>
          </cell>
          <cell r="T532" t="str">
            <v>Institute for Food Safety and Hygiene, Vetsuisse Faculty, University of Z√ºrich, Zurich, Switzerland</v>
          </cell>
          <cell r="U532" t="str">
            <v>Food</v>
          </cell>
          <cell r="V532" t="str">
            <v>Meat</v>
          </cell>
          <cell r="X532" t="str">
            <v>ERR10612269</v>
          </cell>
        </row>
        <row r="533">
          <cell r="G533" t="str">
            <v>/home/projects/cge/backup/fastq/food_seqdata/NextSeq_208/FoodQCPipeline_tmp/conc_fqs/DTU_2022_1016056_1_SI_N21_0325_R1_001.fq.gz</v>
          </cell>
          <cell r="H533" t="str">
            <v>/home/projects/cge/backup/fastq/food_seqdata/NextSeq_208/FoodQCPipeline_tmp/conc_fqs/DTU_2022_1016056_1_SI_N21_0325_R2_001.fq.gz</v>
          </cell>
          <cell r="I533" t="str">
            <v>N21_0325</v>
          </cell>
          <cell r="J533" t="str">
            <v>N21_0325</v>
          </cell>
          <cell r="K533" t="str">
            <v>Listeria monocytogenes</v>
          </cell>
          <cell r="L533">
            <v>46204391</v>
          </cell>
          <cell r="M533">
            <v>6143158</v>
          </cell>
          <cell r="N533" t="str">
            <v>Switzerland</v>
          </cell>
          <cell r="Q533">
            <v>2021</v>
          </cell>
          <cell r="T533" t="str">
            <v>Institute for Food Safety and Hygiene, Vetsuisse Faculty, University of Z√ºrich, Zurich, Switzerland</v>
          </cell>
          <cell r="U533" t="str">
            <v>Food</v>
          </cell>
          <cell r="V533" t="str">
            <v>Seafood</v>
          </cell>
          <cell r="X533" t="str">
            <v>ERR10612254</v>
          </cell>
        </row>
        <row r="534">
          <cell r="G534" t="str">
            <v>/home/projects/cge/backup/fastq/food_seqdata/NextSeq_208/FoodQCPipeline_tmp/conc_fqs/DTU_2022_1016057_1_SI_N21_0326_R1_001.fq.gz</v>
          </cell>
          <cell r="H534" t="str">
            <v>/home/projects/cge/backup/fastq/food_seqdata/NextSeq_208/FoodQCPipeline_tmp/conc_fqs/DTU_2022_1016057_1_SI_N21_0326_R2_001.fq.gz</v>
          </cell>
          <cell r="I534" t="str">
            <v>N21_0326</v>
          </cell>
          <cell r="J534" t="str">
            <v>N21_0326</v>
          </cell>
          <cell r="K534" t="str">
            <v>Listeria monocytogenes</v>
          </cell>
          <cell r="L534">
            <v>46204391</v>
          </cell>
          <cell r="M534">
            <v>6143158</v>
          </cell>
          <cell r="N534" t="str">
            <v>Switzerland</v>
          </cell>
          <cell r="Q534">
            <v>2021</v>
          </cell>
          <cell r="T534" t="str">
            <v>Institute for Food Safety and Hygiene, Vetsuisse Faculty, University of Z√ºrich, Zurich, Switzerland</v>
          </cell>
          <cell r="U534" t="str">
            <v>Food</v>
          </cell>
          <cell r="V534" t="str">
            <v>Poultry</v>
          </cell>
          <cell r="X534" t="str">
            <v>ERR10612266</v>
          </cell>
        </row>
        <row r="535">
          <cell r="G535" t="str">
            <v>/home/projects/cge/backup/fastq/food_seqdata/NextSeq_208/FoodQCPipeline_tmp/conc_fqs/DTU_2022_1016058_1_SI_N21_0371_R1_001.fq.gz</v>
          </cell>
          <cell r="H535" t="str">
            <v>/home/projects/cge/backup/fastq/food_seqdata/NextSeq_208/FoodQCPipeline_tmp/conc_fqs/DTU_2022_1016058_1_SI_N21_0371_R2_001.fq.gz</v>
          </cell>
          <cell r="I535" t="str">
            <v>N21_0371</v>
          </cell>
          <cell r="J535" t="str">
            <v>N21_0371</v>
          </cell>
          <cell r="K535" t="str">
            <v>Listeria monocytogenes</v>
          </cell>
          <cell r="L535">
            <v>46204391</v>
          </cell>
          <cell r="M535">
            <v>6143158</v>
          </cell>
          <cell r="N535" t="str">
            <v>Switzerland</v>
          </cell>
          <cell r="Q535">
            <v>2021</v>
          </cell>
          <cell r="T535" t="str">
            <v>Institute for Food Safety and Hygiene, Vetsuisse Faculty, University of Z√ºrich, Zurich, Switzerland</v>
          </cell>
          <cell r="U535" t="str">
            <v>Food</v>
          </cell>
          <cell r="V535" t="str">
            <v>Meat</v>
          </cell>
          <cell r="X535" t="str">
            <v>ERR10612273</v>
          </cell>
        </row>
        <row r="536">
          <cell r="G536" t="str">
            <v>/home/projects/cge/backup/fastq/food_seqdata/NextSeq_208/FoodQCPipeline_tmp/conc_fqs/DTU_2022_1016059_1_SI_N21_0434_R1_001.fq.gz</v>
          </cell>
          <cell r="H536" t="str">
            <v>/home/projects/cge/backup/fastq/food_seqdata/NextSeq_208/FoodQCPipeline_tmp/conc_fqs/DTU_2022_1016059_1_SI_N21_0434_R2_001.fq.gz</v>
          </cell>
          <cell r="I536" t="str">
            <v>N21_0434</v>
          </cell>
          <cell r="J536" t="str">
            <v>N21_0434</v>
          </cell>
          <cell r="K536" t="str">
            <v>Listeria monocytogenes</v>
          </cell>
          <cell r="L536">
            <v>46204391</v>
          </cell>
          <cell r="M536">
            <v>6143158</v>
          </cell>
          <cell r="N536" t="str">
            <v>Switzerland</v>
          </cell>
          <cell r="Q536">
            <v>2021</v>
          </cell>
          <cell r="T536" t="str">
            <v>Institute for Food Safety and Hygiene, Vetsuisse Faculty, University of Z√ºrich, Zurich, Switzerland</v>
          </cell>
          <cell r="U536" t="str">
            <v>Food</v>
          </cell>
          <cell r="V536" t="str">
            <v>Milk product</v>
          </cell>
          <cell r="X536" t="str">
            <v>ERR10612260</v>
          </cell>
        </row>
        <row r="537">
          <cell r="G537" t="str">
            <v>/home/projects/cge/backup/fastq/food_seqdata/NextSeq_208/FoodQCPipeline_tmp/conc_fqs/DTU_2022_1016060_1_SI_N21_0465_R1_001.fq.gz</v>
          </cell>
          <cell r="H537" t="str">
            <v>/home/projects/cge/backup/fastq/food_seqdata/NextSeq_208/FoodQCPipeline_tmp/conc_fqs/DTU_2022_1016060_1_SI_N21_0465_R2_001.fq.gz</v>
          </cell>
          <cell r="I537" t="str">
            <v>N21_0465</v>
          </cell>
          <cell r="J537" t="str">
            <v>N21_0465</v>
          </cell>
          <cell r="K537" t="str">
            <v>Listeria monocytogenes</v>
          </cell>
          <cell r="L537">
            <v>46204391</v>
          </cell>
          <cell r="M537">
            <v>6143158</v>
          </cell>
          <cell r="N537" t="str">
            <v>Switzerland</v>
          </cell>
          <cell r="Q537">
            <v>2021</v>
          </cell>
          <cell r="T537" t="str">
            <v>Institute for Food Safety and Hygiene, Vetsuisse Faculty, University of Z√ºrich, Zurich, Switzerland</v>
          </cell>
          <cell r="U537" t="str">
            <v>Food</v>
          </cell>
          <cell r="V537" t="str">
            <v>Poultry</v>
          </cell>
          <cell r="X537" t="str">
            <v>ERR10612276</v>
          </cell>
        </row>
        <row r="538">
          <cell r="G538" t="str">
            <v>/home/projects/cge/backup/fastq/food_seqdata/NextSeq_208/FoodQCPipeline_tmp/conc_fqs/DTU_2022_1016061_1_SI_N21_0475_R1_001.fq.gz</v>
          </cell>
          <cell r="H538" t="str">
            <v>/home/projects/cge/backup/fastq/food_seqdata/NextSeq_208/FoodQCPipeline_tmp/conc_fqs/DTU_2022_1016061_1_SI_N21_0475_R2_001.fq.gz</v>
          </cell>
          <cell r="I538" t="str">
            <v>N21_0475</v>
          </cell>
          <cell r="J538" t="str">
            <v>N21_0475</v>
          </cell>
          <cell r="K538" t="str">
            <v>Listeria monocytogenes</v>
          </cell>
          <cell r="L538">
            <v>46204391</v>
          </cell>
          <cell r="M538">
            <v>6143158</v>
          </cell>
          <cell r="N538" t="str">
            <v>Switzerland</v>
          </cell>
          <cell r="Q538">
            <v>2021</v>
          </cell>
          <cell r="T538" t="str">
            <v>Institute for Food Safety and Hygiene, Vetsuisse Faculty, University of Z√ºrich, Zurich, Switzerland</v>
          </cell>
          <cell r="U538" t="str">
            <v>Food</v>
          </cell>
          <cell r="V538" t="str">
            <v>Meat</v>
          </cell>
          <cell r="X538" t="str">
            <v>ERR10612256</v>
          </cell>
        </row>
        <row r="539">
          <cell r="G539" t="str">
            <v>/home/projects/cge/backup/fastq/food_seqdata/NextSeq_208/FoodQCPipeline_tmp/conc_fqs/DTU_2022_1016062_1_SI_N21_0527_R1_001.fq.gz</v>
          </cell>
          <cell r="H539" t="str">
            <v>/home/projects/cge/backup/fastq/food_seqdata/NextSeq_208/FoodQCPipeline_tmp/conc_fqs/DTU_2022_1016062_1_SI_N21_0527_R2_001.fq.gz</v>
          </cell>
          <cell r="I539" t="str">
            <v>N21_0527</v>
          </cell>
          <cell r="J539" t="str">
            <v>N21_0527</v>
          </cell>
          <cell r="K539" t="str">
            <v>Listeria monocytogenes</v>
          </cell>
          <cell r="L539">
            <v>46204391</v>
          </cell>
          <cell r="M539">
            <v>6143158</v>
          </cell>
          <cell r="N539" t="str">
            <v>Switzerland</v>
          </cell>
          <cell r="Q539">
            <v>2021</v>
          </cell>
          <cell r="T539" t="str">
            <v>Institute for Food Safety and Hygiene, Vetsuisse Faculty, University of Z√ºrich, Zurich, Switzerland</v>
          </cell>
          <cell r="U539" t="str">
            <v>Food</v>
          </cell>
          <cell r="V539" t="str">
            <v>Poultry</v>
          </cell>
          <cell r="X539" t="str">
            <v>ERR10612255</v>
          </cell>
        </row>
        <row r="540">
          <cell r="G540" t="str">
            <v>/home/projects/cge/backup/fastq/food_seqdata/NextSeq_208/FoodQCPipeline_tmp/conc_fqs/DTU_2022_1016063_1_SI_N21_0556_R1_001.fq.gz</v>
          </cell>
          <cell r="H540" t="str">
            <v>/home/projects/cge/backup/fastq/food_seqdata/NextSeq_208/FoodQCPipeline_tmp/conc_fqs/DTU_2022_1016063_1_SI_N21_0556_R2_001.fq.gz</v>
          </cell>
          <cell r="I540" t="str">
            <v>N21_0556</v>
          </cell>
          <cell r="J540" t="str">
            <v>N21_0556</v>
          </cell>
          <cell r="K540" t="str">
            <v>Listeria monocytogenes</v>
          </cell>
          <cell r="L540">
            <v>46204391</v>
          </cell>
          <cell r="M540">
            <v>6143158</v>
          </cell>
          <cell r="N540" t="str">
            <v>Switzerland</v>
          </cell>
          <cell r="Q540">
            <v>2021</v>
          </cell>
          <cell r="T540" t="str">
            <v>Institute for Food Safety and Hygiene, Vetsuisse Faculty, University of Z√ºrich, Zurich, Switzerland</v>
          </cell>
          <cell r="U540" t="str">
            <v>Food</v>
          </cell>
          <cell r="V540" t="str">
            <v>Poultry</v>
          </cell>
          <cell r="X540" t="str">
            <v>ERR10612239</v>
          </cell>
        </row>
        <row r="541">
          <cell r="G541" t="str">
            <v>/home/projects/cge/backup/fastq/food_seqdata/NextSeq_206/FoodQCPipeline_tmp/conc_fqs/DTU_2022_1015728_1_SI_6022_R1_001.fq.gz</v>
          </cell>
          <cell r="H541" t="str">
            <v>/home/projects/cge/backup/fastq/food_seqdata/NextSeq_206/FoodQCPipeline_tmp/conc_fqs/DTU_2022_1015728_1_SI_6022_R2_001.fq.gz</v>
          </cell>
          <cell r="I541">
            <v>6022</v>
          </cell>
          <cell r="J541">
            <v>6022</v>
          </cell>
          <cell r="K541" t="str">
            <v>Listeria monocytogenes</v>
          </cell>
          <cell r="L541">
            <v>40416775</v>
          </cell>
          <cell r="M541">
            <v>-370379</v>
          </cell>
          <cell r="N541" t="str">
            <v>Spain</v>
          </cell>
          <cell r="Q541">
            <v>2015</v>
          </cell>
          <cell r="T541" t="str">
            <v>University of Zaragoza, Zaragoza, Spain</v>
          </cell>
          <cell r="U541" t="str">
            <v>Production environment</v>
          </cell>
          <cell r="V541" t="str">
            <v>Articulated Conveyor belt 1</v>
          </cell>
          <cell r="X541" t="str">
            <v>ERR10611905</v>
          </cell>
        </row>
        <row r="542">
          <cell r="G542" t="str">
            <v>/home/projects/cge/backup/fastq/food_seqdata/NextSeq_206/FoodQCPipeline_tmp/conc_fqs/DTU_2022_1015729_1_SI_6023_R1_001.fq.gz</v>
          </cell>
          <cell r="H542" t="str">
            <v>/home/projects/cge/backup/fastq/food_seqdata/NextSeq_206/FoodQCPipeline_tmp/conc_fqs/DTU_2022_1015729_1_SI_6023_R2_001.fq.gz</v>
          </cell>
          <cell r="I542">
            <v>6023</v>
          </cell>
          <cell r="J542">
            <v>6023</v>
          </cell>
          <cell r="K542" t="str">
            <v>Listeria monocytogenes</v>
          </cell>
          <cell r="L542">
            <v>40416775</v>
          </cell>
          <cell r="M542">
            <v>-370379</v>
          </cell>
          <cell r="N542" t="str">
            <v>Spain</v>
          </cell>
          <cell r="Q542">
            <v>2015</v>
          </cell>
          <cell r="T542" t="str">
            <v>University of Zaragoza, Zaragoza, Spain</v>
          </cell>
          <cell r="U542" t="str">
            <v>Production environment</v>
          </cell>
          <cell r="V542" t="str">
            <v>Deboning machine 1</v>
          </cell>
          <cell r="X542" t="str">
            <v>ERR10611919</v>
          </cell>
        </row>
        <row r="543">
          <cell r="G543" t="str">
            <v>/home/projects/cge/backup/fastq/food_seqdata/NextSeq_206/FoodQCPipeline_tmp/conc_fqs/DTU_2022_1015730_1_SI_6024_R1_001.fq.gz</v>
          </cell>
          <cell r="H543" t="str">
            <v>/home/projects/cge/backup/fastq/food_seqdata/NextSeq_206/FoodQCPipeline_tmp/conc_fqs/DTU_2022_1015730_1_SI_6024_R2_001.fq.gz</v>
          </cell>
          <cell r="I543">
            <v>6024</v>
          </cell>
          <cell r="J543">
            <v>6024</v>
          </cell>
          <cell r="K543" t="str">
            <v>Listeria monocytogenes</v>
          </cell>
          <cell r="L543">
            <v>40416775</v>
          </cell>
          <cell r="M543">
            <v>-370379</v>
          </cell>
          <cell r="N543" t="str">
            <v>Spain</v>
          </cell>
          <cell r="Q543">
            <v>2015</v>
          </cell>
          <cell r="T543" t="str">
            <v>University of Zaragoza, Zaragoza, Spain</v>
          </cell>
          <cell r="U543" t="str">
            <v>Production environment</v>
          </cell>
          <cell r="V543" t="str">
            <v>Molding machine</v>
          </cell>
          <cell r="X543" t="str">
            <v>ERR10611904</v>
          </cell>
        </row>
        <row r="544">
          <cell r="G544" t="str">
            <v>/home/projects/cge/backup/fastq/food_seqdata/NextSeq_206/FoodQCPipeline_tmp/conc_fqs/DTU_2022_1015731_1_SI_6025_R1_001.fq.gz</v>
          </cell>
          <cell r="H544" t="str">
            <v>/home/projects/cge/backup/fastq/food_seqdata/NextSeq_206/FoodQCPipeline_tmp/conc_fqs/DTU_2022_1015731_1_SI_6025_R2_001.fq.gz</v>
          </cell>
          <cell r="I544">
            <v>6025</v>
          </cell>
          <cell r="J544">
            <v>6025</v>
          </cell>
          <cell r="K544" t="str">
            <v>Listeria monocytogenes</v>
          </cell>
          <cell r="L544">
            <v>40416775</v>
          </cell>
          <cell r="M544">
            <v>-370379</v>
          </cell>
          <cell r="N544" t="str">
            <v>Spain</v>
          </cell>
          <cell r="Q544">
            <v>2015</v>
          </cell>
          <cell r="T544" t="str">
            <v>University of Zaragoza, Zaragoza, Spain</v>
          </cell>
          <cell r="U544" t="str">
            <v>Production environment</v>
          </cell>
          <cell r="V544" t="str">
            <v>Table 1</v>
          </cell>
          <cell r="X544" t="str">
            <v>ERR10611903</v>
          </cell>
        </row>
        <row r="545">
          <cell r="G545" t="str">
            <v>/home/projects/cge/backup/fastq/food_seqdata/NextSeq_206/FoodQCPipeline_tmp/conc_fqs/DTU_2022_1015732_1_SI_6026_R1_001.fq.gz</v>
          </cell>
          <cell r="H545" t="str">
            <v>/home/projects/cge/backup/fastq/food_seqdata/NextSeq_206/FoodQCPipeline_tmp/conc_fqs/DTU_2022_1015732_1_SI_6026_R2_001.fq.gz</v>
          </cell>
          <cell r="I545">
            <v>6026</v>
          </cell>
          <cell r="J545">
            <v>6026</v>
          </cell>
          <cell r="K545" t="str">
            <v>Listeria monocytogenes</v>
          </cell>
          <cell r="L545">
            <v>40416775</v>
          </cell>
          <cell r="M545">
            <v>-370379</v>
          </cell>
          <cell r="N545" t="str">
            <v>Spain</v>
          </cell>
          <cell r="Q545">
            <v>2015</v>
          </cell>
          <cell r="T545" t="str">
            <v>University of Zaragoza, Zaragoza, Spain</v>
          </cell>
          <cell r="U545" t="str">
            <v>Production environment</v>
          </cell>
          <cell r="V545" t="str">
            <v>Articulated Conveyor belt 2</v>
          </cell>
          <cell r="X545" t="str">
            <v>ERR10611877</v>
          </cell>
        </row>
        <row r="546">
          <cell r="G546" t="str">
            <v>/home/projects/cge/backup/fastq/food_seqdata/NextSeq_206/FoodQCPipeline_tmp/conc_fqs/DTU_2022_1015733_1_SI_6027_R1_001.fq.gz</v>
          </cell>
          <cell r="H546" t="str">
            <v>/home/projects/cge/backup/fastq/food_seqdata/NextSeq_206/FoodQCPipeline_tmp/conc_fqs/DTU_2022_1015733_1_SI_6027_R2_001.fq.gz</v>
          </cell>
          <cell r="I546">
            <v>6027</v>
          </cell>
          <cell r="J546">
            <v>6027</v>
          </cell>
          <cell r="K546" t="str">
            <v>Listeria monocytogenes</v>
          </cell>
          <cell r="L546">
            <v>40416775</v>
          </cell>
          <cell r="M546">
            <v>-370379</v>
          </cell>
          <cell r="N546" t="str">
            <v>Spain</v>
          </cell>
          <cell r="Q546">
            <v>2015</v>
          </cell>
          <cell r="T546" t="str">
            <v>University of Zaragoza, Zaragoza, Spain</v>
          </cell>
          <cell r="U546" t="str">
            <v>Production environment</v>
          </cell>
          <cell r="V546" t="str">
            <v>Table 2</v>
          </cell>
          <cell r="X546" t="str">
            <v>ERR10611926</v>
          </cell>
        </row>
        <row r="547">
          <cell r="G547" t="str">
            <v>/home/projects/cge/backup/fastq/food_seqdata/NextSeq_206/FoodQCPipeline_tmp/conc_fqs/DTU_2022_1015734_1_SI_6028_R1_001.fq.gz</v>
          </cell>
          <cell r="H547" t="str">
            <v>/home/projects/cge/backup/fastq/food_seqdata/NextSeq_206/FoodQCPipeline_tmp/conc_fqs/DTU_2022_1015734_1_SI_6028_R2_001.fq.gz</v>
          </cell>
          <cell r="I547">
            <v>6028</v>
          </cell>
          <cell r="J547">
            <v>6028</v>
          </cell>
          <cell r="K547" t="str">
            <v>Listeria monocytogenes</v>
          </cell>
          <cell r="L547">
            <v>40416775</v>
          </cell>
          <cell r="M547">
            <v>-370379</v>
          </cell>
          <cell r="N547" t="str">
            <v>Spain</v>
          </cell>
          <cell r="Q547">
            <v>2015</v>
          </cell>
          <cell r="T547" t="str">
            <v>University of Zaragoza, Zaragoza, Spain</v>
          </cell>
          <cell r="U547" t="str">
            <v>Production environment</v>
          </cell>
          <cell r="V547" t="str">
            <v>Articulated Conveyor belt 1</v>
          </cell>
          <cell r="X547" t="str">
            <v>ERR10611921</v>
          </cell>
        </row>
        <row r="548">
          <cell r="G548" t="str">
            <v>/home/projects/cge/backup/fastq/food_seqdata/NextSeq_206/FoodQCPipeline_tmp/conc_fqs/DTU_2022_1015735_1_SI_6029_R1_001.fq.gz</v>
          </cell>
          <cell r="H548" t="str">
            <v>/home/projects/cge/backup/fastq/food_seqdata/NextSeq_206/FoodQCPipeline_tmp/conc_fqs/DTU_2022_1015735_1_SI_6029_R2_001.fq.gz</v>
          </cell>
          <cell r="I548">
            <v>6029</v>
          </cell>
          <cell r="J548">
            <v>6029</v>
          </cell>
          <cell r="K548" t="str">
            <v>Listeria monocytogenes</v>
          </cell>
          <cell r="L548">
            <v>40416775</v>
          </cell>
          <cell r="M548">
            <v>-370379</v>
          </cell>
          <cell r="N548" t="str">
            <v>Spain</v>
          </cell>
          <cell r="Q548">
            <v>2015</v>
          </cell>
          <cell r="T548" t="str">
            <v>University of Zaragoza, Zaragoza, Spain</v>
          </cell>
          <cell r="U548" t="str">
            <v>Production environment</v>
          </cell>
          <cell r="V548" t="str">
            <v>Articulated Conveyor belt 2</v>
          </cell>
          <cell r="X548" t="str">
            <v>ERR10611909</v>
          </cell>
        </row>
        <row r="549">
          <cell r="G549" t="str">
            <v>/home/projects/cge/backup/fastq/food_seqdata/NextSeq_206/FoodQCPipeline_tmp/conc_fqs/DTU_2022_1015736_1_SI_6031_R1_001.fq.gz</v>
          </cell>
          <cell r="H549" t="str">
            <v>/home/projects/cge/backup/fastq/food_seqdata/NextSeq_206/FoodQCPipeline_tmp/conc_fqs/DTU_2022_1015736_1_SI_6031_R2_001.fq.gz</v>
          </cell>
          <cell r="I549">
            <v>6031</v>
          </cell>
          <cell r="J549">
            <v>6031</v>
          </cell>
          <cell r="K549" t="str">
            <v>Listeria monocytogenes</v>
          </cell>
          <cell r="L549">
            <v>40416775</v>
          </cell>
          <cell r="M549">
            <v>-370379</v>
          </cell>
          <cell r="N549" t="str">
            <v>Spain</v>
          </cell>
          <cell r="Q549">
            <v>2015</v>
          </cell>
          <cell r="T549" t="str">
            <v>University of Zaragoza, Zaragoza, Spain</v>
          </cell>
          <cell r="U549" t="str">
            <v>Production environment</v>
          </cell>
          <cell r="V549" t="str">
            <v>Deboning machine 2</v>
          </cell>
          <cell r="X549" t="str">
            <v>ERR10611897</v>
          </cell>
        </row>
        <row r="550">
          <cell r="G550" t="str">
            <v>/home/projects/cge/backup/fastq/food_seqdata/NextSeq_206/FoodQCPipeline_tmp/conc_fqs/DTU_2022_1015737_1_SI_6032_R1_001.fq.gz</v>
          </cell>
          <cell r="H550" t="str">
            <v>/home/projects/cge/backup/fastq/food_seqdata/NextSeq_206/FoodQCPipeline_tmp/conc_fqs/DTU_2022_1015737_1_SI_6032_R2_001.fq.gz</v>
          </cell>
          <cell r="I550">
            <v>6032</v>
          </cell>
          <cell r="J550">
            <v>6032</v>
          </cell>
          <cell r="K550" t="str">
            <v>Listeria monocytogenes</v>
          </cell>
          <cell r="L550">
            <v>40416775</v>
          </cell>
          <cell r="M550">
            <v>-370379</v>
          </cell>
          <cell r="N550" t="str">
            <v>Spain</v>
          </cell>
          <cell r="Q550">
            <v>2015</v>
          </cell>
          <cell r="T550" t="str">
            <v>University of Zaragoza, Zaragoza, Spain</v>
          </cell>
          <cell r="U550" t="str">
            <v>Production environment</v>
          </cell>
          <cell r="V550" t="str">
            <v>Deboning machine 1</v>
          </cell>
          <cell r="X550" t="str">
            <v>ERR10611914</v>
          </cell>
        </row>
        <row r="551">
          <cell r="G551" t="str">
            <v>/home/projects/cge/backup/fastq/food_seqdata/NextSeq_206/FoodQCPipeline_tmp/conc_fqs/DTU_2022_1015738_1_SI_6033_R1_001.fq.gz</v>
          </cell>
          <cell r="H551" t="str">
            <v>/home/projects/cge/backup/fastq/food_seqdata/NextSeq_206/FoodQCPipeline_tmp/conc_fqs/DTU_2022_1015738_1_SI_6033_R2_001.fq.gz</v>
          </cell>
          <cell r="I551">
            <v>6033</v>
          </cell>
          <cell r="J551">
            <v>6033</v>
          </cell>
          <cell r="K551" t="str">
            <v>Listeria monocytogenes</v>
          </cell>
          <cell r="L551">
            <v>40416775</v>
          </cell>
          <cell r="M551">
            <v>-370379</v>
          </cell>
          <cell r="N551" t="str">
            <v>Spain</v>
          </cell>
          <cell r="Q551">
            <v>2015</v>
          </cell>
          <cell r="T551" t="str">
            <v>University of Zaragoza, Zaragoza, Spain</v>
          </cell>
          <cell r="U551" t="str">
            <v>Production environment</v>
          </cell>
          <cell r="V551" t="str">
            <v>Molding machine</v>
          </cell>
          <cell r="X551" t="str">
            <v>ERR10611892</v>
          </cell>
        </row>
        <row r="552">
          <cell r="G552" t="str">
            <v>/home/projects/cge/backup/fastq/food_seqdata/NextSeq_206/FoodQCPipeline_tmp/conc_fqs/DTU_2022_1015739_1_SI_6034_R1_001.fq.gz</v>
          </cell>
          <cell r="H552" t="str">
            <v>/home/projects/cge/backup/fastq/food_seqdata/NextSeq_206/FoodQCPipeline_tmp/conc_fqs/DTU_2022_1015739_1_SI_6034_R2_001.fq.gz</v>
          </cell>
          <cell r="I552">
            <v>6034</v>
          </cell>
          <cell r="J552">
            <v>6034</v>
          </cell>
          <cell r="K552" t="str">
            <v>Listeria monocytogenes</v>
          </cell>
          <cell r="L552">
            <v>40416775</v>
          </cell>
          <cell r="M552">
            <v>-370379</v>
          </cell>
          <cell r="N552" t="str">
            <v>Spain</v>
          </cell>
          <cell r="Q552">
            <v>2015</v>
          </cell>
          <cell r="T552" t="str">
            <v>University of Zaragoza, Zaragoza, Spain</v>
          </cell>
          <cell r="U552" t="str">
            <v>Production environment</v>
          </cell>
          <cell r="V552" t="str">
            <v>Non-Articulated Conveyor belt 1</v>
          </cell>
          <cell r="X552" t="str">
            <v>ERR10611913</v>
          </cell>
        </row>
        <row r="553">
          <cell r="G553" t="str">
            <v>/home/projects/cge/backup/fastq/food_seqdata/NextSeq_206/FoodQCPipeline_tmp/conc_fqs/DTU_2022_1015740_1_SI_6035_R1_001.fq.gz</v>
          </cell>
          <cell r="H553" t="str">
            <v>/home/projects/cge/backup/fastq/food_seqdata/NextSeq_206/FoodQCPipeline_tmp/conc_fqs/DTU_2022_1015740_1_SI_6035_R2_001.fq.gz</v>
          </cell>
          <cell r="I553">
            <v>6035</v>
          </cell>
          <cell r="J553">
            <v>6035</v>
          </cell>
          <cell r="K553" t="str">
            <v>Listeria monocytogenes</v>
          </cell>
          <cell r="L553">
            <v>40416775</v>
          </cell>
          <cell r="M553">
            <v>-370379</v>
          </cell>
          <cell r="N553" t="str">
            <v>Spain</v>
          </cell>
          <cell r="Q553">
            <v>2015</v>
          </cell>
          <cell r="T553" t="str">
            <v>University of Zaragoza, Zaragoza, Spain</v>
          </cell>
          <cell r="U553" t="str">
            <v>Production environment</v>
          </cell>
          <cell r="V553" t="str">
            <v>Non-Articulated Conveyor belt 2</v>
          </cell>
          <cell r="X553" t="str">
            <v>ERR10611925</v>
          </cell>
        </row>
        <row r="554">
          <cell r="G554" t="str">
            <v>/home/projects/cge/backup/fastq/food_seqdata/NextSeq_216/FoodQCPipeline_tmp/conc_fqs/DTU_2022_1015726_1_SI_6019_R1_001.fq.gz</v>
          </cell>
          <cell r="H554" t="str">
            <v>/home/projects/cge/backup/fastq/food_seqdata/NextSeq_206/FoodQCPipeline_tmp/conc_fqs/DTU_2022_1015726_1_SI_6019_R2_001.fq.gz</v>
          </cell>
          <cell r="I554">
            <v>6019</v>
          </cell>
          <cell r="J554">
            <v>6019</v>
          </cell>
          <cell r="K554" t="str">
            <v>Listeria monocytogenes</v>
          </cell>
          <cell r="L554">
            <v>40416775</v>
          </cell>
          <cell r="M554">
            <v>-370379</v>
          </cell>
          <cell r="N554" t="str">
            <v>Spain</v>
          </cell>
          <cell r="Q554" t="str">
            <v>Unknown</v>
          </cell>
          <cell r="T554" t="str">
            <v>University of Zaragoza, Zaragoza, Spain</v>
          </cell>
          <cell r="U554" t="str">
            <v>Food</v>
          </cell>
          <cell r="V554" t="str">
            <v>Dry-cured ham. 7 months curing</v>
          </cell>
          <cell r="X554" t="str">
            <v>ERR10616662</v>
          </cell>
        </row>
        <row r="555">
          <cell r="G555" t="str">
            <v>/home/projects/cge/backup/fastq/food_seqdata/NextSeq_206/FoodQCPipeline_tmp/conc_fqs/DTU_2022_1015727_1_SI_6021_R1_001.fq.gz</v>
          </cell>
          <cell r="H555" t="str">
            <v>/home/projects/cge/backup/fastq/food_seqdata/NextSeq_206/FoodQCPipeline_tmp/conc_fqs/DTU_2022_1015727_1_SI_6021_R2_001.fq.gz</v>
          </cell>
          <cell r="I555">
            <v>6021</v>
          </cell>
          <cell r="J555">
            <v>6021</v>
          </cell>
          <cell r="K555" t="str">
            <v>Listeria monocytogenes</v>
          </cell>
          <cell r="L555">
            <v>40416775</v>
          </cell>
          <cell r="M555">
            <v>-370379</v>
          </cell>
          <cell r="N555" t="str">
            <v>Spain</v>
          </cell>
          <cell r="Q555" t="str">
            <v>Unknown</v>
          </cell>
          <cell r="T555" t="str">
            <v>University of Zaragoza, Zaragoza, Spain</v>
          </cell>
          <cell r="U555" t="str">
            <v>Food</v>
          </cell>
          <cell r="V555" t="str">
            <v>Dry-cured ham. 7 months curing</v>
          </cell>
          <cell r="X555" t="str">
            <v>ERR10611874</v>
          </cell>
        </row>
        <row r="556">
          <cell r="G556" t="str">
            <v>/home/projects/cge/backup/fastq/food_seqdata/NextSeq_206/FoodQCPipeline_tmp/conc_fqs/DTU_2022_1015741_1_SI_6036_R1_001.fq.gz</v>
          </cell>
          <cell r="H556" t="str">
            <v>/home/projects/cge/backup/fastq/food_seqdata/NextSeq_206/FoodQCPipeline_tmp/conc_fqs/DTU_2022_1015741_1_SI_6036_R2_001.fq.gz</v>
          </cell>
          <cell r="I556">
            <v>6036</v>
          </cell>
          <cell r="J556">
            <v>6036</v>
          </cell>
          <cell r="K556" t="str">
            <v>Listeria monocytogenes</v>
          </cell>
          <cell r="L556">
            <v>40416775</v>
          </cell>
          <cell r="M556">
            <v>-370379</v>
          </cell>
          <cell r="N556" t="str">
            <v>Spain</v>
          </cell>
          <cell r="Q556" t="str">
            <v>Unknown</v>
          </cell>
          <cell r="T556" t="str">
            <v>University of Zaragoza, Zaragoza, Spain</v>
          </cell>
          <cell r="U556" t="str">
            <v>Food</v>
          </cell>
          <cell r="V556" t="str">
            <v>Dry-cured ham. 10 months curing</v>
          </cell>
          <cell r="X556" t="str">
            <v>ERR10611918</v>
          </cell>
        </row>
        <row r="557">
          <cell r="G557" t="str">
            <v>/home/projects/cge/backup/fastq/food_seqdata/NextSeq_206/FoodQCPipeline_tmp/conc_fqs/DTU_2022_1015742_1_SI_6037_R1_001.fq.gz</v>
          </cell>
          <cell r="H557" t="str">
            <v>/home/projects/cge/backup/fastq/food_seqdata/NextSeq_206/FoodQCPipeline_tmp/conc_fqs/DTU_2022_1015742_1_SI_6037_R2_001.fq.gz</v>
          </cell>
          <cell r="I557">
            <v>6037</v>
          </cell>
          <cell r="J557">
            <v>6037</v>
          </cell>
          <cell r="K557" t="str">
            <v>Listeria monocytogenes</v>
          </cell>
          <cell r="L557">
            <v>40416775</v>
          </cell>
          <cell r="M557">
            <v>-370379</v>
          </cell>
          <cell r="N557" t="str">
            <v>Spain</v>
          </cell>
          <cell r="Q557" t="str">
            <v>Unknown</v>
          </cell>
          <cell r="T557" t="str">
            <v>University of Zaragoza, Zaragoza, Spain</v>
          </cell>
          <cell r="U557" t="str">
            <v>Production environment</v>
          </cell>
          <cell r="V557" t="str">
            <v>Articulated Conveyor belt 3</v>
          </cell>
          <cell r="X557" t="str">
            <v>ERR10611901</v>
          </cell>
        </row>
        <row r="558">
          <cell r="G558" t="str">
            <v>/home/projects/cge/backup/fastq/food_seqdata/NextSeq_206/FoodQCPipeline_tmp/conc_fqs/DTU_2022_1015743_1_SI_6038_R1_001.fq.gz</v>
          </cell>
          <cell r="H558" t="str">
            <v>/home/projects/cge/backup/fastq/food_seqdata/NextSeq_206/FoodQCPipeline_tmp/conc_fqs/DTU_2022_1015743_1_SI_6038_R2_001.fq.gz</v>
          </cell>
          <cell r="I558">
            <v>6038</v>
          </cell>
          <cell r="J558">
            <v>6038</v>
          </cell>
          <cell r="K558" t="str">
            <v>Listeria monocytogenes</v>
          </cell>
          <cell r="L558">
            <v>40416775</v>
          </cell>
          <cell r="M558">
            <v>-370379</v>
          </cell>
          <cell r="N558" t="str">
            <v>Spain</v>
          </cell>
          <cell r="Q558" t="str">
            <v>Unknown</v>
          </cell>
          <cell r="T558" t="str">
            <v>University of Zaragoza, Zaragoza, Spain</v>
          </cell>
          <cell r="U558" t="str">
            <v>Production environment</v>
          </cell>
          <cell r="V558" t="str">
            <v>Articulated Conveyor belt 1</v>
          </cell>
          <cell r="X558" t="str">
            <v>ERR10611930</v>
          </cell>
        </row>
        <row r="559">
          <cell r="G559" t="str">
            <v>/home/projects/cge/backup/fastq/food_seqdata/NextSeq_206/FoodQCPipeline_tmp/conc_fqs/DTU_2022_1015744_1_SI_6039_R1_001.fq.gz</v>
          </cell>
          <cell r="H559" t="str">
            <v>/home/projects/cge/backup/fastq/food_seqdata/NextSeq_206/FoodQCPipeline_tmp/conc_fqs/DTU_2022_1015744_1_SI_6039_R2_001.fq.gz</v>
          </cell>
          <cell r="I559">
            <v>6039</v>
          </cell>
          <cell r="J559">
            <v>6039</v>
          </cell>
          <cell r="K559" t="str">
            <v>Listeria monocytogenes</v>
          </cell>
          <cell r="L559">
            <v>40416775</v>
          </cell>
          <cell r="M559">
            <v>-370379</v>
          </cell>
          <cell r="N559" t="str">
            <v>Spain</v>
          </cell>
          <cell r="Q559" t="str">
            <v>Unknown</v>
          </cell>
          <cell r="T559" t="str">
            <v>University of Zaragoza, Zaragoza, Spain</v>
          </cell>
          <cell r="U559" t="str">
            <v>Production environment</v>
          </cell>
          <cell r="V559" t="str">
            <v>Table 1</v>
          </cell>
          <cell r="X559" t="str">
            <v>ERR10611895</v>
          </cell>
        </row>
        <row r="560">
          <cell r="G560" t="str">
            <v>/home/projects/cge/backup/fastq/food_seqdata/NextSeq_206/FoodQCPipeline_tmp/conc_fqs/DTU_2022_1015746_1_SI_6041_R1_001.fq.gz</v>
          </cell>
          <cell r="H560" t="str">
            <v>/home/projects/cge/backup/fastq/food_seqdata/NextSeq_206/FoodQCPipeline_tmp/conc_fqs/DTU_2022_1015746_1_SI_6041_R2_001.fq.gz</v>
          </cell>
          <cell r="I560">
            <v>6040</v>
          </cell>
          <cell r="J560">
            <v>6040</v>
          </cell>
          <cell r="K560" t="str">
            <v>Listeria monocytogenes</v>
          </cell>
          <cell r="L560">
            <v>40416775</v>
          </cell>
          <cell r="M560">
            <v>-370379</v>
          </cell>
          <cell r="N560" t="str">
            <v>Spain</v>
          </cell>
          <cell r="Q560" t="str">
            <v>Unknown</v>
          </cell>
          <cell r="T560" t="str">
            <v>University of Zaragoza, Zaragoza, Spain</v>
          </cell>
          <cell r="U560" t="str">
            <v>Production environment</v>
          </cell>
          <cell r="V560" t="str">
            <v>Articulated Conveyor belt 1</v>
          </cell>
          <cell r="X560" t="str">
            <v>ERR10611928</v>
          </cell>
        </row>
        <row r="561">
          <cell r="G561" t="str">
            <v>/home/projects/cge/backup/fastq/food_seqdata/NextSeq_206/FoodQCPipeline_tmp/conc_fqs/DTU_2022_1015746_1_SI_6041_R1_001.fq.gz</v>
          </cell>
          <cell r="H561" t="str">
            <v>/home/projects/cge/backup/fastq/food_seqdata/NextSeq_206/FoodQCPipeline_tmp/conc_fqs/DTU_2022_1015746_1_SI_6041_R2_001.fq.gz</v>
          </cell>
          <cell r="I561">
            <v>6041</v>
          </cell>
          <cell r="J561">
            <v>6041</v>
          </cell>
          <cell r="K561" t="str">
            <v>Listeria monocytogenes</v>
          </cell>
          <cell r="L561">
            <v>40416775</v>
          </cell>
          <cell r="M561">
            <v>-370379</v>
          </cell>
          <cell r="N561" t="str">
            <v>Spain</v>
          </cell>
          <cell r="Q561" t="str">
            <v>Unknown</v>
          </cell>
          <cell r="T561" t="str">
            <v>University of Zaragoza, Zaragoza, Spain</v>
          </cell>
          <cell r="U561" t="str">
            <v>Production environment</v>
          </cell>
          <cell r="V561" t="str">
            <v>Deboning machine 1</v>
          </cell>
          <cell r="X561" t="str">
            <v>ERR10611896</v>
          </cell>
        </row>
        <row r="562">
          <cell r="G562" t="str">
            <v>/home/projects/cge/backup/fastq/food_seqdata/NextSeq_206/FoodQCPipeline_tmp/conc_fqs/DTU_2022_1015747_1_SI_6042_R1_001.fq.gz</v>
          </cell>
          <cell r="H562" t="str">
            <v>/home/projects/cge/backup/fastq/food_seqdata/NextSeq_206/FoodQCPipeline_tmp/conc_fqs/DTU_2022_1015747_1_SI_6042_R2_001.fq.gz</v>
          </cell>
          <cell r="I562">
            <v>6042</v>
          </cell>
          <cell r="J562">
            <v>6042</v>
          </cell>
          <cell r="K562" t="str">
            <v>Listeria monocytogenes</v>
          </cell>
          <cell r="L562">
            <v>40416775</v>
          </cell>
          <cell r="M562">
            <v>-370379</v>
          </cell>
          <cell r="N562" t="str">
            <v>Spain</v>
          </cell>
          <cell r="Q562" t="str">
            <v>Unknown</v>
          </cell>
          <cell r="T562" t="str">
            <v>University of Zaragoza, Zaragoza, Spain</v>
          </cell>
          <cell r="U562" t="str">
            <v>Production environment</v>
          </cell>
          <cell r="V562" t="str">
            <v>Articulated Conveyor belt 2</v>
          </cell>
          <cell r="X562" t="str">
            <v>ERR10611964</v>
          </cell>
        </row>
        <row r="563">
          <cell r="G563" t="str">
            <v>/home/projects/cge/backup/fastq/food_seqdata/NextSeq_206/FoodQCPipeline_tmp/conc_fqs/DTU_2022_1015748_1_SI_6043_R1_001.fq.gz</v>
          </cell>
          <cell r="H563" t="str">
            <v>/home/projects/cge/backup/fastq/food_seqdata/NextSeq_206/FoodQCPipeline_tmp/conc_fqs/DTU_2022_1015748_1_SI_6043_R2_001.fq.gz</v>
          </cell>
          <cell r="I563">
            <v>6043</v>
          </cell>
          <cell r="J563">
            <v>6043</v>
          </cell>
          <cell r="K563" t="str">
            <v>Listeria monocytogenes</v>
          </cell>
          <cell r="L563">
            <v>40416775</v>
          </cell>
          <cell r="M563">
            <v>-370379</v>
          </cell>
          <cell r="N563" t="str">
            <v>Spain</v>
          </cell>
          <cell r="Q563" t="str">
            <v>Unknown</v>
          </cell>
          <cell r="T563" t="str">
            <v>University of Zaragoza, Zaragoza, Spain</v>
          </cell>
          <cell r="U563" t="str">
            <v>Production environment</v>
          </cell>
          <cell r="V563" t="str">
            <v>Non-Articulated Conveyor belt 2</v>
          </cell>
          <cell r="X563" t="str">
            <v>ERR10611935</v>
          </cell>
        </row>
        <row r="564">
          <cell r="G564" t="str">
            <v>/home/projects/cge/backup/fastq/food_seqdata/NextSeq_206/FoodQCPipeline_tmp/conc_fqs/DTU_2022_1015749_1_SI_6044_R1_001.fq.gz</v>
          </cell>
          <cell r="H564" t="str">
            <v>/home/projects/cge/backup/fastq/food_seqdata/NextSeq_206/FoodQCPipeline_tmp/conc_fqs/DTU_2022_1015749_1_SI_6044_R2_001.fq.gz</v>
          </cell>
          <cell r="I564">
            <v>6044</v>
          </cell>
          <cell r="J564">
            <v>6044</v>
          </cell>
          <cell r="K564" t="str">
            <v>Listeria monocytogenes</v>
          </cell>
          <cell r="L564">
            <v>40416775</v>
          </cell>
          <cell r="M564">
            <v>-370379</v>
          </cell>
          <cell r="N564" t="str">
            <v>Spain</v>
          </cell>
          <cell r="Q564" t="str">
            <v>Unknown</v>
          </cell>
          <cell r="T564" t="str">
            <v>University of Zaragoza, Zaragoza, Spain</v>
          </cell>
          <cell r="U564" t="str">
            <v>Food</v>
          </cell>
          <cell r="V564" t="str">
            <v>Iberian Chorizo</v>
          </cell>
          <cell r="X564" t="str">
            <v>ERR10611924</v>
          </cell>
        </row>
        <row r="565">
          <cell r="G565" t="str">
            <v>/home/projects/cge/backup/fastq/food_seqdata/NextSeq_206/FoodQCPipeline_tmp/conc_fqs/DTU_2022_1015750_1_SI_6045_R1_001.fq.gz</v>
          </cell>
          <cell r="H565" t="str">
            <v>/home/projects/cge/backup/fastq/food_seqdata/NextSeq_206/FoodQCPipeline_tmp/conc_fqs/DTU_2022_1015750_1_SI_6045_R2_001.fq.gz</v>
          </cell>
          <cell r="I565">
            <v>6045</v>
          </cell>
          <cell r="J565">
            <v>6045</v>
          </cell>
          <cell r="K565" t="str">
            <v>Listeria monocytogenes</v>
          </cell>
          <cell r="L565">
            <v>40416775</v>
          </cell>
          <cell r="M565">
            <v>-370379</v>
          </cell>
          <cell r="N565" t="str">
            <v>Spain</v>
          </cell>
          <cell r="Q565" t="str">
            <v>Unknown</v>
          </cell>
          <cell r="T565" t="str">
            <v>University of Zaragoza, Zaragoza, Spain</v>
          </cell>
          <cell r="U565" t="str">
            <v>Food</v>
          </cell>
          <cell r="V565" t="str">
            <v>Iberian Chorizo</v>
          </cell>
          <cell r="X565" t="str">
            <v>ERR10611973</v>
          </cell>
        </row>
        <row r="566">
          <cell r="G566" t="str">
            <v>/home/projects/cge/backup/fastq/food_seqdata/NextSeq_206/FoodQCPipeline_tmp/conc_fqs/DTU_2022_1015751_1_SI_6047_R1_001.fq.gz</v>
          </cell>
          <cell r="H566" t="str">
            <v>/home/projects/cge/backup/fastq/food_seqdata/NextSeq_206/FoodQCPipeline_tmp/conc_fqs/DTU_2022_1015751_1_SI_6047_R2_001.fq.gz</v>
          </cell>
          <cell r="I566">
            <v>6047</v>
          </cell>
          <cell r="J566">
            <v>6047</v>
          </cell>
          <cell r="K566" t="str">
            <v>Listeria monocytogenes</v>
          </cell>
          <cell r="L566">
            <v>40416775</v>
          </cell>
          <cell r="M566">
            <v>-370379</v>
          </cell>
          <cell r="N566" t="str">
            <v>Spain</v>
          </cell>
          <cell r="Q566" t="str">
            <v>Unknown</v>
          </cell>
          <cell r="T566" t="str">
            <v>University of Zaragoza, Zaragoza, Spain</v>
          </cell>
          <cell r="U566" t="str">
            <v>Food</v>
          </cell>
          <cell r="V566" t="str">
            <v>Iberian Chorizo</v>
          </cell>
          <cell r="X566" t="str">
            <v>ERR10611920</v>
          </cell>
        </row>
        <row r="567">
          <cell r="G567" t="str">
            <v>/home/projects/cge/backup/fastq/food_seqdata/NextSeq_206/FoodQCPipeline_tmp/conc_fqs/DTU_2022_1015752_1_SI_6049_R1_001.fq.gz</v>
          </cell>
          <cell r="H567" t="str">
            <v>/home/projects/cge/backup/fastq/food_seqdata/NextSeq_206/FoodQCPipeline_tmp/conc_fqs/DTU_2022_1015752_1_SI_6049_R2_001.fq.gz</v>
          </cell>
          <cell r="I567">
            <v>6049</v>
          </cell>
          <cell r="J567">
            <v>6049</v>
          </cell>
          <cell r="K567" t="str">
            <v>Listeria monocytogenes</v>
          </cell>
          <cell r="L567">
            <v>40416775</v>
          </cell>
          <cell r="M567">
            <v>-370379</v>
          </cell>
          <cell r="N567" t="str">
            <v>Spain</v>
          </cell>
          <cell r="Q567" t="str">
            <v>Unknown</v>
          </cell>
          <cell r="T567" t="str">
            <v>University of Zaragoza, Zaragoza, Spain</v>
          </cell>
          <cell r="U567" t="str">
            <v>Production environment</v>
          </cell>
          <cell r="V567" t="str">
            <v>Conveyor belt</v>
          </cell>
          <cell r="X567" t="str">
            <v>ERR10612051</v>
          </cell>
        </row>
        <row r="568">
          <cell r="G568" t="str">
            <v>/home/projects/cge/backup/fastq/food_seqdata/NextSeq_206/FoodQCPipeline_tmp/conc_fqs/DTU_2022_1015753_1_SI_6050_R1_001.fq.gz</v>
          </cell>
          <cell r="H568" t="str">
            <v>/home/projects/cge/backup/fastq/food_seqdata/NextSeq_206/FoodQCPipeline_tmp/conc_fqs/DTU_2022_1015753_1_SI_6050_R2_001.fq.gz</v>
          </cell>
          <cell r="I568">
            <v>6050</v>
          </cell>
          <cell r="J568">
            <v>6050</v>
          </cell>
          <cell r="K568" t="str">
            <v>Listeria monocytogenes</v>
          </cell>
          <cell r="L568">
            <v>40416775</v>
          </cell>
          <cell r="M568">
            <v>-370379</v>
          </cell>
          <cell r="N568" t="str">
            <v>Spain</v>
          </cell>
          <cell r="Q568" t="str">
            <v>Unknown</v>
          </cell>
          <cell r="T568" t="str">
            <v>University of Zaragoza, Zaragoza, Spain</v>
          </cell>
          <cell r="U568" t="str">
            <v>Production environment</v>
          </cell>
          <cell r="V568" t="str">
            <v>Conveyor belt</v>
          </cell>
          <cell r="X568" t="str">
            <v>ERR10611968</v>
          </cell>
        </row>
        <row r="569">
          <cell r="G569" t="str">
            <v>/home/projects/cge/backup/fastq/food_seqdata/NextSeq_206/FoodQCPipeline_tmp/conc_fqs/DTU_2022_1015754_1_SI_6052_R1_001.fq.gz</v>
          </cell>
          <cell r="H569" t="str">
            <v>/home/projects/cge/backup/fastq/food_seqdata/NextSeq_206/FoodQCPipeline_tmp/conc_fqs/DTU_2022_1015754_1_SI_6052_R2_001.fq.gz</v>
          </cell>
          <cell r="I569">
            <v>6052</v>
          </cell>
          <cell r="J569">
            <v>6052</v>
          </cell>
          <cell r="K569" t="str">
            <v>Listeria monocytogenes</v>
          </cell>
          <cell r="L569">
            <v>40416775</v>
          </cell>
          <cell r="M569">
            <v>-370379</v>
          </cell>
          <cell r="N569" t="str">
            <v>Spain</v>
          </cell>
          <cell r="Q569" t="str">
            <v>Unknown</v>
          </cell>
          <cell r="T569" t="str">
            <v>University of Zaragoza, Zaragoza, Spain</v>
          </cell>
          <cell r="U569" t="str">
            <v>Production environment</v>
          </cell>
          <cell r="V569" t="str">
            <v>Conveyor belt</v>
          </cell>
          <cell r="X569" t="str">
            <v>ERR10611911</v>
          </cell>
        </row>
        <row r="570">
          <cell r="G570" t="str">
            <v>/home/projects/cge/backup/fastq/food_seqdata/NextSeq_206/FoodQCPipeline_tmp/conc_fqs/DTU_2022_1015755_2_SI_6053_R1_001.fq.gz</v>
          </cell>
          <cell r="H570" t="str">
            <v>/home/projects/cge/backup/fastq/food_seqdata/NextSeq_206/FoodQCPipeline_tmp/conc_fqs/DTU_2022_1015755_2_SI_6053_R2_001.fq.gz</v>
          </cell>
          <cell r="I570">
            <v>6053</v>
          </cell>
          <cell r="J570">
            <v>6053</v>
          </cell>
          <cell r="K570" t="str">
            <v>Listeria monocytogenes</v>
          </cell>
          <cell r="L570">
            <v>40416775</v>
          </cell>
          <cell r="M570">
            <v>-370379</v>
          </cell>
          <cell r="N570" t="str">
            <v>Spain</v>
          </cell>
          <cell r="Q570" t="str">
            <v>Unknown</v>
          </cell>
          <cell r="T570" t="str">
            <v>University of Zaragoza, Zaragoza, Spain</v>
          </cell>
          <cell r="U570" t="str">
            <v>Production environment</v>
          </cell>
          <cell r="V570" t="str">
            <v>Slice machine</v>
          </cell>
          <cell r="X570" t="str">
            <v>ERR10616666</v>
          </cell>
        </row>
        <row r="571">
          <cell r="G571" t="str">
            <v>/home/projects/cge/backup/fastq/food_seqdata/NextSeq_206/FoodQCPipeline_tmp/conc_fqs/DTU_2022_1015756_1_SI_6054_R1_001.fq.gz</v>
          </cell>
          <cell r="H571" t="str">
            <v>/home/projects/cge/backup/fastq/food_seqdata/NextSeq_206/FoodQCPipeline_tmp/conc_fqs/DTU_2022_1015756_1_SI_6054_R2_001.fq.gz</v>
          </cell>
          <cell r="I571">
            <v>6054</v>
          </cell>
          <cell r="J571">
            <v>6054</v>
          </cell>
          <cell r="K571" t="str">
            <v>Listeria monocytogenes</v>
          </cell>
          <cell r="L571">
            <v>40416775</v>
          </cell>
          <cell r="M571">
            <v>-370379</v>
          </cell>
          <cell r="N571" t="str">
            <v>Spain</v>
          </cell>
          <cell r="Q571" t="str">
            <v>Unknown</v>
          </cell>
          <cell r="T571" t="str">
            <v>University of Zaragoza, Zaragoza, Spain</v>
          </cell>
          <cell r="U571" t="str">
            <v>Production environment</v>
          </cell>
          <cell r="V571" t="str">
            <v>Slice machine</v>
          </cell>
          <cell r="X571" t="str">
            <v>ERR10611941</v>
          </cell>
        </row>
        <row r="572">
          <cell r="G572" t="str">
            <v>/home/projects/cge/backup/fastq/food_seqdata/NextSeq_206/FoodQCPipeline_tmp/conc_fqs/DTU_2022_1015757_1_SI_6056_R1_001.fq.gz</v>
          </cell>
          <cell r="H572" t="str">
            <v>/home/projects/cge/backup/fastq/food_seqdata/NextSeq_206/FoodQCPipeline_tmp/conc_fqs/DTU_2022_1015757_1_SI_6056_R2_001.fq.gz</v>
          </cell>
          <cell r="I572">
            <v>6056</v>
          </cell>
          <cell r="J572">
            <v>6056</v>
          </cell>
          <cell r="K572" t="str">
            <v>Listeria monocytogenes</v>
          </cell>
          <cell r="L572">
            <v>40416775</v>
          </cell>
          <cell r="M572">
            <v>-370379</v>
          </cell>
          <cell r="N572" t="str">
            <v>Spain</v>
          </cell>
          <cell r="Q572" t="str">
            <v>Unknown</v>
          </cell>
          <cell r="T572" t="str">
            <v>University of Zaragoza, Zaragoza, Spain</v>
          </cell>
          <cell r="U572" t="str">
            <v>Production environment</v>
          </cell>
          <cell r="V572" t="str">
            <v>Table</v>
          </cell>
          <cell r="X572" t="str">
            <v>ERR10611948</v>
          </cell>
        </row>
        <row r="573">
          <cell r="G573" t="str">
            <v>/home/projects/cge/backup/fastq/food_seqdata/NextSeq_206/FoodQCPipeline_tmp/conc_fqs/DTU_2022_1015758_1_SI_6057_R1_001.fq.gz</v>
          </cell>
          <cell r="H573" t="str">
            <v>/home/projects/cge/backup/fastq/food_seqdata/NextSeq_206/FoodQCPipeline_tmp/conc_fqs/DTU_2022_1015758_1_SI_6057_R2_001.fq.gz</v>
          </cell>
          <cell r="I573">
            <v>6057</v>
          </cell>
          <cell r="J573">
            <v>6057</v>
          </cell>
          <cell r="K573" t="str">
            <v>Listeria monocytogenes</v>
          </cell>
          <cell r="L573">
            <v>40416775</v>
          </cell>
          <cell r="M573">
            <v>-370379</v>
          </cell>
          <cell r="N573" t="str">
            <v>Spain</v>
          </cell>
          <cell r="Q573" t="str">
            <v>Unknown</v>
          </cell>
          <cell r="T573" t="str">
            <v>University of Zaragoza, Zaragoza, Spain</v>
          </cell>
          <cell r="U573" t="str">
            <v>Production environment</v>
          </cell>
          <cell r="V573" t="str">
            <v>Hopper</v>
          </cell>
          <cell r="X573" t="str">
            <v>ERR10611906</v>
          </cell>
        </row>
        <row r="574">
          <cell r="G574" t="str">
            <v>/home/projects/cge/backup/fastq/food_seqdata/NextSeq_206/FoodQCPipeline_tmp/conc_fqs/DTU_2022_1015759_1_SI_6060_R1_001.fq.gz</v>
          </cell>
          <cell r="H574" t="str">
            <v>/home/projects/cge/backup/fastq/food_seqdata/NextSeq_206/FoodQCPipeline_tmp/conc_fqs/DTU_2022_1015759_1_SI_6060_R2_001.fq.gz</v>
          </cell>
          <cell r="I574">
            <v>6060</v>
          </cell>
          <cell r="J574">
            <v>6060</v>
          </cell>
          <cell r="K574" t="str">
            <v>Listeria monocytogenes</v>
          </cell>
          <cell r="L574">
            <v>40416775</v>
          </cell>
          <cell r="M574">
            <v>-370379</v>
          </cell>
          <cell r="N574" t="str">
            <v>Spain</v>
          </cell>
          <cell r="Q574" t="str">
            <v>Unknown</v>
          </cell>
          <cell r="T574" t="str">
            <v>University of Zaragoza, Zaragoza, Spain</v>
          </cell>
          <cell r="U574" t="str">
            <v>Food</v>
          </cell>
          <cell r="V574" t="str">
            <v>Longaniza Arag√≥n extra</v>
          </cell>
          <cell r="X574" t="str">
            <v>ERR10611940</v>
          </cell>
        </row>
        <row r="575">
          <cell r="G575" t="str">
            <v>/home/projects/cge/backup/fastq/food_seqdata/NextSeq_206/FoodQCPipeline_tmp/conc_fqs/DTU_2022_1015760_1_SI_6061_R1_001.fq.gz</v>
          </cell>
          <cell r="H575" t="str">
            <v>/home/projects/cge/backup/fastq/food_seqdata/NextSeq_206/FoodQCPipeline_tmp/conc_fqs/DTU_2022_1015760_1_SI_6061_R2_001.fq.gz</v>
          </cell>
          <cell r="I575">
            <v>6061</v>
          </cell>
          <cell r="J575">
            <v>6061</v>
          </cell>
          <cell r="K575" t="str">
            <v>Listeria monocytogenes</v>
          </cell>
          <cell r="L575">
            <v>40416775</v>
          </cell>
          <cell r="M575">
            <v>-370379</v>
          </cell>
          <cell r="N575" t="str">
            <v>Spain</v>
          </cell>
          <cell r="Q575" t="str">
            <v>Unknown</v>
          </cell>
          <cell r="T575" t="str">
            <v>University of Zaragoza, Zaragoza, Spain</v>
          </cell>
          <cell r="U575" t="str">
            <v>Food</v>
          </cell>
          <cell r="V575" t="str">
            <v>Longaniza de Arag√≥n</v>
          </cell>
          <cell r="X575" t="str">
            <v>ERR10611916</v>
          </cell>
        </row>
        <row r="576">
          <cell r="G576" t="str">
            <v>/home/projects/cge/backup/fastq/food_seqdata/NextSeq_206/FoodQCPipeline_tmp/conc_fqs/DTU_2022_1015761_1_SI_6062_R1_001.fq.gz</v>
          </cell>
          <cell r="H576" t="str">
            <v>/home/projects/cge/backup/fastq/food_seqdata/NextSeq_206/FoodQCPipeline_tmp/conc_fqs/DTU_2022_1015761_1_SI_6062_R2_001.fq.gz</v>
          </cell>
          <cell r="I576">
            <v>6062</v>
          </cell>
          <cell r="J576">
            <v>6062</v>
          </cell>
          <cell r="K576" t="str">
            <v>Listeria monocytogenes</v>
          </cell>
          <cell r="L576">
            <v>40416775</v>
          </cell>
          <cell r="M576">
            <v>-370379</v>
          </cell>
          <cell r="N576" t="str">
            <v>Spain</v>
          </cell>
          <cell r="Q576" t="str">
            <v>Unknown</v>
          </cell>
          <cell r="T576" t="str">
            <v>University of Zaragoza, Zaragoza, Spain</v>
          </cell>
          <cell r="U576" t="str">
            <v>Food</v>
          </cell>
          <cell r="V576" t="str">
            <v>Fresh Chorizo</v>
          </cell>
          <cell r="X576" t="str">
            <v>ERR10611933</v>
          </cell>
        </row>
        <row r="577">
          <cell r="G577" t="str">
            <v>/home/projects/cge/backup/fastq/food_seqdata/NextSeq_206/FoodQCPipeline_tmp/conc_fqs/DTU_2022_1015762_1_SI_6063_R1_001.fq.gz</v>
          </cell>
          <cell r="H577" t="str">
            <v>/home/projects/cge/backup/fastq/food_seqdata/NextSeq_206/FoodQCPipeline_tmp/conc_fqs/DTU_2022_1015762_1_SI_6063_R2_001.fq.gz</v>
          </cell>
          <cell r="I577">
            <v>6063</v>
          </cell>
          <cell r="J577">
            <v>6063</v>
          </cell>
          <cell r="K577" t="str">
            <v>Listeria monocytogenes</v>
          </cell>
          <cell r="L577">
            <v>40416775</v>
          </cell>
          <cell r="M577">
            <v>-370379</v>
          </cell>
          <cell r="N577" t="str">
            <v>Spain</v>
          </cell>
          <cell r="Q577" t="str">
            <v>Unknown</v>
          </cell>
          <cell r="T577" t="str">
            <v>University of Zaragoza, Zaragoza, Spain</v>
          </cell>
          <cell r="U577" t="str">
            <v>Food</v>
          </cell>
          <cell r="V577" t="str">
            <v>Chistorra</v>
          </cell>
          <cell r="X577" t="str">
            <v>ERR10611939</v>
          </cell>
        </row>
        <row r="578">
          <cell r="G578" t="str">
            <v>/home/projects/cge/backup/fastq/food_seqdata/NextSeq_206/FoodQCPipeline_tmp/conc_fqs/DTU_2022_1015763_1_SI_6064_R1_001.fq.gz</v>
          </cell>
          <cell r="H578" t="str">
            <v>/home/projects/cge/backup/fastq/food_seqdata/NextSeq_206/FoodQCPipeline_tmp/conc_fqs/DTU_2022_1015763_1_SI_6064_R2_001.fq.gz</v>
          </cell>
          <cell r="I578">
            <v>6064</v>
          </cell>
          <cell r="J578">
            <v>6064</v>
          </cell>
          <cell r="K578" t="str">
            <v>Listeria monocytogenes</v>
          </cell>
          <cell r="L578">
            <v>40416775</v>
          </cell>
          <cell r="M578">
            <v>-370379</v>
          </cell>
          <cell r="N578" t="str">
            <v>Spain</v>
          </cell>
          <cell r="Q578" t="str">
            <v>Unknown</v>
          </cell>
          <cell r="T578" t="str">
            <v>University of Zaragoza, Zaragoza, Spain</v>
          </cell>
          <cell r="U578" t="str">
            <v>Food</v>
          </cell>
          <cell r="V578" t="str">
            <v>Chorizo cular extra</v>
          </cell>
          <cell r="X578" t="str">
            <v>ERR10611949</v>
          </cell>
        </row>
        <row r="579">
          <cell r="G579" t="str">
            <v>/home/projects/cge/backup/fastq/food_seqdata/NextSeq_206/FoodQCPipeline_tmp/conc_fqs/DTU_2022_1015764_1_SI_6065_R1_001.fq.gz</v>
          </cell>
          <cell r="H579" t="str">
            <v>/home/projects/cge/backup/fastq/food_seqdata/NextSeq_206/FoodQCPipeline_tmp/conc_fqs/DTU_2022_1015764_1_SI_6065_R2_001.fq.gz</v>
          </cell>
          <cell r="I579">
            <v>6065</v>
          </cell>
          <cell r="J579">
            <v>6065</v>
          </cell>
          <cell r="K579" t="str">
            <v>Listeria monocytogenes</v>
          </cell>
          <cell r="L579">
            <v>40416775</v>
          </cell>
          <cell r="M579">
            <v>-370379</v>
          </cell>
          <cell r="N579" t="str">
            <v>Spain</v>
          </cell>
          <cell r="Q579" t="str">
            <v>Unknown</v>
          </cell>
          <cell r="T579" t="str">
            <v>University of Zaragoza, Zaragoza, Spain</v>
          </cell>
          <cell r="U579" t="str">
            <v>Food</v>
          </cell>
          <cell r="V579" t="str">
            <v>Table</v>
          </cell>
          <cell r="X579" t="str">
            <v>ERR10611915</v>
          </cell>
        </row>
        <row r="580">
          <cell r="G580" t="str">
            <v>/home/projects/cge/backup/fastq/food_seqdata/NextSeq_206/FoodQCPipeline_tmp/conc_fqs/DTU_2022_1015765_1_SI_6066_R1_001.fq.gz</v>
          </cell>
          <cell r="H580" t="str">
            <v>/home/projects/cge/backup/fastq/food_seqdata/NextSeq_206/FoodQCPipeline_tmp/conc_fqs/DTU_2022_1015765_1_SI_6066_R2_001.fq.gz</v>
          </cell>
          <cell r="I580">
            <v>6066</v>
          </cell>
          <cell r="J580">
            <v>6066</v>
          </cell>
          <cell r="K580" t="str">
            <v>Listeria monocytogenes</v>
          </cell>
          <cell r="L580">
            <v>40416775</v>
          </cell>
          <cell r="M580">
            <v>-370379</v>
          </cell>
          <cell r="N580" t="str">
            <v>Spain</v>
          </cell>
          <cell r="Q580" t="str">
            <v>Unknown</v>
          </cell>
          <cell r="T580" t="str">
            <v>University of Zaragoza, Zaragoza, Spain</v>
          </cell>
          <cell r="U580" t="str">
            <v>Food</v>
          </cell>
          <cell r="V580" t="str">
            <v>Chorizo ib√©rico</v>
          </cell>
          <cell r="X580" t="str">
            <v>ERR10611934</v>
          </cell>
        </row>
        <row r="581">
          <cell r="G581" t="str">
            <v>/home/projects/cge/backup/fastq/food_seqdata/NextSeq_206/FoodQCPipeline_tmp/conc_fqs/DTU_2022_1015766_1_SI_6067_R1_001.fq.gz</v>
          </cell>
          <cell r="H581" t="str">
            <v>/home/projects/cge/backup/fastq/food_seqdata/NextSeq_206/FoodQCPipeline_tmp/conc_fqs/DTU_2022_1015766_1_SI_6067_R2_001.fq.gz</v>
          </cell>
          <cell r="I581">
            <v>6067</v>
          </cell>
          <cell r="J581">
            <v>6067</v>
          </cell>
          <cell r="K581" t="str">
            <v>Listeria monocytogenes</v>
          </cell>
          <cell r="L581">
            <v>40416775</v>
          </cell>
          <cell r="M581">
            <v>-370379</v>
          </cell>
          <cell r="N581" t="str">
            <v>Spain</v>
          </cell>
          <cell r="Q581" t="str">
            <v>Unknown</v>
          </cell>
          <cell r="T581" t="str">
            <v>University of Zaragoza, Zaragoza, Spain</v>
          </cell>
          <cell r="U581" t="str">
            <v>Production environment</v>
          </cell>
          <cell r="V581" t="str">
            <v>Table</v>
          </cell>
          <cell r="X581" t="str">
            <v>ERR10611959</v>
          </cell>
        </row>
        <row r="582">
          <cell r="G582" t="str">
            <v>/home/projects/cge/backup/fastq/food_seqdata/NextSeq_206/FoodQCPipeline_tmp/conc_fqs/DTU_2022_1015767_1_SI_6069_R1_001.fq.gz</v>
          </cell>
          <cell r="H582" t="str">
            <v>/home/projects/cge/backup/fastq/food_seqdata/NextSeq_206/FoodQCPipeline_tmp/conc_fqs/DTU_2022_1015767_1_SI_6069_R2_001.fq.gz</v>
          </cell>
          <cell r="I582">
            <v>6069</v>
          </cell>
          <cell r="J582">
            <v>6069</v>
          </cell>
          <cell r="K582" t="str">
            <v>Listeria monocytogenes</v>
          </cell>
          <cell r="L582">
            <v>40416775</v>
          </cell>
          <cell r="M582">
            <v>-370379</v>
          </cell>
          <cell r="N582" t="str">
            <v>Spain</v>
          </cell>
          <cell r="Q582" t="str">
            <v>Unknown</v>
          </cell>
          <cell r="T582" t="str">
            <v>University of Zaragoza, Zaragoza, Spain</v>
          </cell>
          <cell r="U582" t="str">
            <v>Production environment</v>
          </cell>
          <cell r="V582" t="str">
            <v>Meat mincer Entry</v>
          </cell>
          <cell r="X582" t="str">
            <v>ERR10611943</v>
          </cell>
        </row>
        <row r="583">
          <cell r="G583" t="str">
            <v>/home/projects/cge/backup/fastq/food_seqdata/NextSeq_206/FoodQCPipeline_tmp/conc_fqs/DTU_2022_1015768_1_SI_6070_R1_001.fq.gz</v>
          </cell>
          <cell r="H583" t="str">
            <v>/home/projects/cge/backup/fastq/food_seqdata/NextSeq_206/FoodQCPipeline_tmp/conc_fqs/DTU_2022_1015768_1_SI_6070_R2_001.fq.gz</v>
          </cell>
          <cell r="I583">
            <v>6070</v>
          </cell>
          <cell r="J583">
            <v>6070</v>
          </cell>
          <cell r="K583" t="str">
            <v>Listeria monocytogenes</v>
          </cell>
          <cell r="L583">
            <v>40416775</v>
          </cell>
          <cell r="M583">
            <v>-370379</v>
          </cell>
          <cell r="N583" t="str">
            <v>Spain</v>
          </cell>
          <cell r="Q583" t="str">
            <v>Unknown</v>
          </cell>
          <cell r="T583" t="str">
            <v>University of Zaragoza, Zaragoza, Spain</v>
          </cell>
          <cell r="U583" t="str">
            <v>Production environment</v>
          </cell>
          <cell r="V583" t="str">
            <v>kneading machine</v>
          </cell>
          <cell r="X583" t="str">
            <v>ERR10611938</v>
          </cell>
        </row>
        <row r="584">
          <cell r="G584" t="str">
            <v>/home/projects/cge/backup/fastq/food_seqdata/NextSeq_206/FoodQCPipeline_tmp/conc_fqs/DTU_2022_1015769_1_SI_6071_R1_001.fq.gz</v>
          </cell>
          <cell r="H584" t="str">
            <v>/home/projects/cge/backup/fastq/food_seqdata/NextSeq_206/FoodQCPipeline_tmp/conc_fqs/DTU_2022_1015769_1_SI_6071_R2_001.fq.gz</v>
          </cell>
          <cell r="I584">
            <v>6071</v>
          </cell>
          <cell r="J584">
            <v>6071</v>
          </cell>
          <cell r="K584" t="str">
            <v>Listeria monocytogenes</v>
          </cell>
          <cell r="L584">
            <v>40416775</v>
          </cell>
          <cell r="M584">
            <v>-370379</v>
          </cell>
          <cell r="N584" t="str">
            <v>Spain</v>
          </cell>
          <cell r="Q584" t="str">
            <v>Unknown</v>
          </cell>
          <cell r="T584" t="str">
            <v>University of Zaragoza, Zaragoza, Spain</v>
          </cell>
          <cell r="U584" t="str">
            <v>Production environment</v>
          </cell>
          <cell r="V584" t="str">
            <v>Table</v>
          </cell>
          <cell r="X584" t="str">
            <v>ERR10611972</v>
          </cell>
        </row>
        <row r="585">
          <cell r="G585" t="str">
            <v>/home/projects/cge/backup/fastq/food_seqdata/NextSeq_206/FoodQCPipeline_tmp/conc_fqs/DTU_2022_1015770_1_SI_6072_R1_001.fq.gz</v>
          </cell>
          <cell r="H585" t="str">
            <v>/home/projects/cge/backup/fastq/food_seqdata/NextSeq_206/FoodQCPipeline_tmp/conc_fqs/DTU_2022_1015770_1_SI_6072_R2_001.fq.gz</v>
          </cell>
          <cell r="I585">
            <v>6072</v>
          </cell>
          <cell r="J585">
            <v>6072</v>
          </cell>
          <cell r="K585" t="str">
            <v>Listeria monocytogenes</v>
          </cell>
          <cell r="L585">
            <v>40416775</v>
          </cell>
          <cell r="M585">
            <v>-370379</v>
          </cell>
          <cell r="N585" t="str">
            <v>Spain</v>
          </cell>
          <cell r="Q585" t="str">
            <v>Unknown</v>
          </cell>
          <cell r="T585" t="str">
            <v>University of Zaragoza, Zaragoza, Spain</v>
          </cell>
          <cell r="U585" t="str">
            <v>Production environment</v>
          </cell>
          <cell r="V585" t="str">
            <v>Cart</v>
          </cell>
          <cell r="X585" t="str">
            <v>ERR10612003</v>
          </cell>
        </row>
        <row r="586">
          <cell r="G586" t="str">
            <v>/home/projects/cge/backup/fastq/food_seqdata/NextSeq_206/FoodQCPipeline_tmp/conc_fqs/DTU_2022_1015771_1_SI_6074_R1_001.fq.gz</v>
          </cell>
          <cell r="H586" t="str">
            <v>/home/projects/cge/backup/fastq/food_seqdata/NextSeq_206/FoodQCPipeline_tmp/conc_fqs/DTU_2022_1015771_1_SI_6074_R2_001.fq.gz</v>
          </cell>
          <cell r="I586">
            <v>6074</v>
          </cell>
          <cell r="J586">
            <v>6074</v>
          </cell>
          <cell r="K586" t="str">
            <v>Listeria monocytogenes</v>
          </cell>
          <cell r="L586">
            <v>40416775</v>
          </cell>
          <cell r="M586">
            <v>-370379</v>
          </cell>
          <cell r="N586" t="str">
            <v>Spain</v>
          </cell>
          <cell r="Q586" t="str">
            <v>Unknown</v>
          </cell>
          <cell r="T586" t="str">
            <v>University of Zaragoza, Zaragoza, Spain</v>
          </cell>
          <cell r="U586" t="str">
            <v>Food</v>
          </cell>
          <cell r="V586" t="str">
            <v>Cinta lomo ib√©rico de bellota</v>
          </cell>
          <cell r="X586" t="str">
            <v>ERR10612018</v>
          </cell>
        </row>
        <row r="587">
          <cell r="G587" t="str">
            <v>/home/projects/cge/backup/fastq/food_seqdata/NextSeq_206/FoodQCPipeline_tmp/conc_fqs/DTU_2022_1015772_1_SI_6075_R1_001.fq.gz</v>
          </cell>
          <cell r="H587" t="str">
            <v>/home/projects/cge/backup/fastq/food_seqdata/NextSeq_206/FoodQCPipeline_tmp/conc_fqs/DTU_2022_1015772_1_SI_6075_R2_001.fq.gz</v>
          </cell>
          <cell r="I587">
            <v>6075</v>
          </cell>
          <cell r="J587">
            <v>6075</v>
          </cell>
          <cell r="K587" t="str">
            <v>Listeria monocytogenes</v>
          </cell>
          <cell r="L587">
            <v>40416775</v>
          </cell>
          <cell r="M587">
            <v>-370379</v>
          </cell>
          <cell r="N587" t="str">
            <v>Spain</v>
          </cell>
          <cell r="Q587" t="str">
            <v>Unknown</v>
          </cell>
          <cell r="T587" t="str">
            <v>University of Zaragoza, Zaragoza, Spain</v>
          </cell>
          <cell r="U587" t="str">
            <v>Production environment</v>
          </cell>
          <cell r="V587" t="str">
            <v>Stuffer entry</v>
          </cell>
          <cell r="X587" t="str">
            <v>ERR10611947</v>
          </cell>
        </row>
        <row r="588">
          <cell r="G588" t="str">
            <v>/home/projects/cge/backup/fastq/food_seqdata/NextSeq_206/FoodQCPipeline_tmp/conc_fqs/DTU_2022_1015773_1_SI_6076_R1_001.fq.gz</v>
          </cell>
          <cell r="H588" t="str">
            <v>/home/projects/cge/backup/fastq/food_seqdata/NextSeq_206/FoodQCPipeline_tmp/conc_fqs/DTU_2022_1015773_1_SI_6076_R2_001.fq.gz</v>
          </cell>
          <cell r="I588">
            <v>6076</v>
          </cell>
          <cell r="J588">
            <v>6076</v>
          </cell>
          <cell r="K588" t="str">
            <v>Listeria monocytogenes</v>
          </cell>
          <cell r="L588">
            <v>40416775</v>
          </cell>
          <cell r="M588">
            <v>-370379</v>
          </cell>
          <cell r="N588" t="str">
            <v>Spain</v>
          </cell>
          <cell r="Q588" t="str">
            <v>Unknown</v>
          </cell>
          <cell r="T588" t="str">
            <v>University of Zaragoza, Zaragoza, Spain</v>
          </cell>
          <cell r="U588" t="str">
            <v>Production environment</v>
          </cell>
          <cell r="V588" t="str">
            <v>Lomo Container</v>
          </cell>
          <cell r="X588" t="str">
            <v>ERR10611967</v>
          </cell>
        </row>
        <row r="589">
          <cell r="G589" t="str">
            <v>/home/projects/cge/backup/fastq/food_seqdata/NextSeq_206/FoodQCPipeline_tmp/conc_fqs/DTU_2022_1015774_1_SI_6077_R1_001.fq.gz</v>
          </cell>
          <cell r="H589" t="str">
            <v>/home/projects/cge/backup/fastq/food_seqdata/NextSeq_206/FoodQCPipeline_tmp/conc_fqs/DTU_2022_1015774_1_SI_6077_R2_001.fq.gz</v>
          </cell>
          <cell r="I589">
            <v>6077</v>
          </cell>
          <cell r="J589">
            <v>6077</v>
          </cell>
          <cell r="K589" t="str">
            <v>Listeria monocytogenes</v>
          </cell>
          <cell r="L589">
            <v>40416775</v>
          </cell>
          <cell r="M589">
            <v>-370379</v>
          </cell>
          <cell r="N589" t="str">
            <v>Spain</v>
          </cell>
          <cell r="Q589" t="str">
            <v>Unknown</v>
          </cell>
          <cell r="T589" t="str">
            <v>University of Zaragoza, Zaragoza, Spain</v>
          </cell>
          <cell r="U589" t="str">
            <v>Production environment</v>
          </cell>
          <cell r="V589" t="str">
            <v>Meat mincer Entry</v>
          </cell>
          <cell r="X589" t="str">
            <v>ERR10611946</v>
          </cell>
        </row>
        <row r="590">
          <cell r="G590" t="str">
            <v>/home/projects/cge/backup/fastq/food_seqdata/NextSeq_206/FoodQCPipeline_tmp/conc_fqs/DTU_2022_1015775_1_SI_6078_R1_001.fq.gz</v>
          </cell>
          <cell r="H590" t="str">
            <v>/home/projects/cge/backup/fastq/food_seqdata/NextSeq_206/FoodQCPipeline_tmp/conc_fqs/DTU_2022_1015775_1_SI_6078_R2_001.fq.gz</v>
          </cell>
          <cell r="I590">
            <v>6078</v>
          </cell>
          <cell r="J590">
            <v>6078</v>
          </cell>
          <cell r="K590" t="str">
            <v>Listeria monocytogenes</v>
          </cell>
          <cell r="L590">
            <v>40416775</v>
          </cell>
          <cell r="M590">
            <v>-370379</v>
          </cell>
          <cell r="N590" t="str">
            <v>Spain</v>
          </cell>
          <cell r="Q590" t="str">
            <v>Unknown</v>
          </cell>
          <cell r="T590" t="str">
            <v>University of Zaragoza, Zaragoza, Spain</v>
          </cell>
          <cell r="U590" t="str">
            <v>Food</v>
          </cell>
          <cell r="V590" t="str">
            <v>Iberian Salchich√≥n extra</v>
          </cell>
          <cell r="X590" t="str">
            <v>ERR10611923</v>
          </cell>
        </row>
        <row r="591">
          <cell r="G591" t="str">
            <v>/home/projects/cge/backup/fastq/food_seqdata/NextSeq_206/FoodQCPipeline_tmp/conc_fqs/DTU_2022_1015776_1_SI_6080_R1_001.fq.g0</v>
          </cell>
          <cell r="H591" t="str">
            <v>/home/projects/cge/backup/fastq/food_seqdata/NextSeq_206/FoodQCPipeline_tmp/conc_fqs/DTU_2022_1015776_1_SI_6080_R2_001.fq.gz</v>
          </cell>
          <cell r="I591">
            <v>6080</v>
          </cell>
          <cell r="J591">
            <v>6080</v>
          </cell>
          <cell r="K591" t="str">
            <v>Listeria monocytogenes</v>
          </cell>
          <cell r="L591">
            <v>40416775</v>
          </cell>
          <cell r="M591">
            <v>-370379</v>
          </cell>
          <cell r="N591" t="str">
            <v>Spain</v>
          </cell>
          <cell r="Q591" t="str">
            <v>Unknown</v>
          </cell>
          <cell r="T591" t="str">
            <v>University of Zaragoza, Zaragoza, Spain</v>
          </cell>
          <cell r="U591" t="str">
            <v>Production environment</v>
          </cell>
          <cell r="V591" t="str">
            <v>Table</v>
          </cell>
          <cell r="X591" t="str">
            <v>ERR10618401</v>
          </cell>
        </row>
        <row r="592">
          <cell r="G592" t="str">
            <v>/home/projects/cge/backup/fastq/food_seqdata/NextSeq_207/FoodQCPipeline_tmp/conc_fqs/DTU_2022_1015777_1_SI_6082_R1_001.fq.gz</v>
          </cell>
          <cell r="H592" t="str">
            <v>/home/projects/cge/backup/fastq/food_seqdata/NextSeq_207/FoodQCPipeline_tmp/conc_fqs/DTU_2022_1015777_1_SI_6082_R2_001.fq.gz</v>
          </cell>
          <cell r="I592">
            <v>6082</v>
          </cell>
          <cell r="J592">
            <v>6082</v>
          </cell>
          <cell r="K592" t="str">
            <v>Listeria monocytogenes</v>
          </cell>
          <cell r="L592">
            <v>40416775</v>
          </cell>
          <cell r="M592">
            <v>-370379</v>
          </cell>
          <cell r="N592" t="str">
            <v>Spain</v>
          </cell>
          <cell r="Q592" t="str">
            <v>Unknown</v>
          </cell>
          <cell r="T592" t="str">
            <v>University of Zaragoza, Zaragoza, Spain</v>
          </cell>
          <cell r="U592" t="str">
            <v>Food</v>
          </cell>
          <cell r="V592" t="str">
            <v>Iberian Chorizo</v>
          </cell>
          <cell r="X592" t="str">
            <v>ERR10549659</v>
          </cell>
        </row>
        <row r="593">
          <cell r="G593" t="str">
            <v>/home/projects/cge/backup/fastq/food_seqdata/NextSeq_207/FoodQCPipeline_tmp/conc_fqs/DTU_2022_1015778_1_SI_6083_R1_001.fq.gz</v>
          </cell>
          <cell r="H593" t="str">
            <v>/home/projects/cge/backup/fastq/food_seqdata/NextSeq_207/FoodQCPipeline_tmp/conc_fqs/DTU_2022_1015778_1_SI_6083_R2_001.fq.gz</v>
          </cell>
          <cell r="I593">
            <v>6083</v>
          </cell>
          <cell r="J593">
            <v>6083</v>
          </cell>
          <cell r="K593" t="str">
            <v>Listeria monocytogenes</v>
          </cell>
          <cell r="L593">
            <v>40416775</v>
          </cell>
          <cell r="M593">
            <v>-370379</v>
          </cell>
          <cell r="N593" t="str">
            <v>Spain</v>
          </cell>
          <cell r="Q593" t="str">
            <v>Unknown</v>
          </cell>
          <cell r="T593" t="str">
            <v>University of Zaragoza, Zaragoza, Spain</v>
          </cell>
          <cell r="U593" t="str">
            <v>Food</v>
          </cell>
          <cell r="V593" t="str">
            <v>Salchich√≥n extra</v>
          </cell>
          <cell r="X593" t="str">
            <v>ERR10549675</v>
          </cell>
        </row>
        <row r="594">
          <cell r="G594" t="str">
            <v>/home/projects/cge/backup/fastq/food_seqdata/NextSeq_207/FoodQCPipeline_tmp/conc_fqs/DTU_2022_1015779_1_SI_6084_R1_001.fq.gz</v>
          </cell>
          <cell r="H594" t="str">
            <v>/home/projects/cge/backup/fastq/food_seqdata/NextSeq_207/FoodQCPipeline_tmp/conc_fqs/DTU_2022_1015779_1_SI_6084_R2_001.fq.gz</v>
          </cell>
          <cell r="I594">
            <v>6084</v>
          </cell>
          <cell r="J594">
            <v>6084</v>
          </cell>
          <cell r="K594" t="str">
            <v>Listeria monocytogenes</v>
          </cell>
          <cell r="L594">
            <v>40416775</v>
          </cell>
          <cell r="M594">
            <v>-370379</v>
          </cell>
          <cell r="N594" t="str">
            <v>Spain</v>
          </cell>
          <cell r="Q594" t="str">
            <v>Unknown</v>
          </cell>
          <cell r="T594" t="str">
            <v>University of Zaragoza, Zaragoza, Spain</v>
          </cell>
          <cell r="U594" t="str">
            <v>Food</v>
          </cell>
          <cell r="V594" t="str">
            <v>Chorizo ib√©rico selecci√≥n</v>
          </cell>
          <cell r="X594" t="str">
            <v>ERR10549690</v>
          </cell>
        </row>
        <row r="595">
          <cell r="G595" t="str">
            <v>/home/projects/cge/backup/fastq/food_seqdata/NextSeq_207/FoodQCPipeline_tmp/conc_fqs/DTU_2022_1015780_1_SI_6085_R1_001.fq.gz</v>
          </cell>
          <cell r="H595" t="str">
            <v>/home/projects/cge/backup/fastq/food_seqdata/NextSeq_207/FoodQCPipeline_tmp/conc_fqs/DTU_2022_1015780_1_SI_6085_R2_001.fq.gz</v>
          </cell>
          <cell r="I595">
            <v>6085</v>
          </cell>
          <cell r="J595">
            <v>6085</v>
          </cell>
          <cell r="K595" t="str">
            <v>Listeria monocytogenes</v>
          </cell>
          <cell r="L595">
            <v>40416775</v>
          </cell>
          <cell r="M595">
            <v>-370379</v>
          </cell>
          <cell r="N595" t="str">
            <v>Spain</v>
          </cell>
          <cell r="Q595" t="str">
            <v>Unknown</v>
          </cell>
          <cell r="T595" t="str">
            <v>University of Zaragoza, Zaragoza, Spain</v>
          </cell>
          <cell r="U595" t="str">
            <v>Food</v>
          </cell>
          <cell r="V595" t="str">
            <v>Cooked ham</v>
          </cell>
          <cell r="X595" t="str">
            <v>ERR10549668</v>
          </cell>
        </row>
        <row r="596">
          <cell r="G596" t="str">
            <v>/home/projects/cge/backup/fastq/food_seqdata/NextSeq_207/FoodQCPipeline_tmp/conc_fqs/DTU_2022_1015781_1_SI_6086_R1_001.fq.gz</v>
          </cell>
          <cell r="H596" t="str">
            <v>/home/projects/cge/backup/fastq/food_seqdata/NextSeq_207/FoodQCPipeline_tmp/conc_fqs/DTU_2022_1015781_1_SI_6086_R2_001.fq.gz</v>
          </cell>
          <cell r="I596">
            <v>6086</v>
          </cell>
          <cell r="J596">
            <v>6086</v>
          </cell>
          <cell r="K596" t="str">
            <v>Listeria monocytogenes</v>
          </cell>
          <cell r="L596">
            <v>40416775</v>
          </cell>
          <cell r="M596">
            <v>-370379</v>
          </cell>
          <cell r="N596" t="str">
            <v>Spain</v>
          </cell>
          <cell r="Q596" t="str">
            <v>Unknown</v>
          </cell>
          <cell r="T596" t="str">
            <v>University of Zaragoza, Zaragoza, Spain</v>
          </cell>
          <cell r="U596" t="str">
            <v>Food</v>
          </cell>
          <cell r="V596" t="str">
            <v>Cooked ham</v>
          </cell>
          <cell r="X596" t="str">
            <v>ERR10549660</v>
          </cell>
        </row>
        <row r="597">
          <cell r="G597" t="str">
            <v>/home/projects/cge/backup/fastq/food_seqdata/NextSeq_207/FoodQCPipeline_tmp/conc_fqs/DTU_2022_1015782_1_SI_6087_R1_001.fq.gz</v>
          </cell>
          <cell r="H597" t="str">
            <v>/home/projects/cge/backup/fastq/food_seqdata/NextSeq_207/FoodQCPipeline_tmp/conc_fqs/DTU_2022_1015782_1_SI_6087_R2_001.fq.gz</v>
          </cell>
          <cell r="I597">
            <v>6087</v>
          </cell>
          <cell r="J597">
            <v>6087</v>
          </cell>
          <cell r="K597" t="str">
            <v>Listeria monocytogenes</v>
          </cell>
          <cell r="L597">
            <v>40416775</v>
          </cell>
          <cell r="M597">
            <v>-370379</v>
          </cell>
          <cell r="N597" t="str">
            <v>Spain</v>
          </cell>
          <cell r="Q597" t="str">
            <v>Unknown</v>
          </cell>
          <cell r="T597" t="str">
            <v>University of Zaragoza, Zaragoza, Spain</v>
          </cell>
          <cell r="U597" t="str">
            <v>Food</v>
          </cell>
          <cell r="V597" t="str">
            <v>Cooked ham</v>
          </cell>
          <cell r="X597" t="str">
            <v>ERR10549662</v>
          </cell>
        </row>
        <row r="598">
          <cell r="G598" t="str">
            <v>/home/projects/cge/backup/fastq/food_seqdata/NextSeq_207/FoodQCPipeline_tmp/conc_fqs/DTU_2022_1015783_1_SI_6089_R1_001.fq.gz</v>
          </cell>
          <cell r="H598" t="str">
            <v>/home/projects/cge/backup/fastq/food_seqdata/NextSeq_207/FoodQCPipeline_tmp/conc_fqs/DTU_2022_1015783_1_SI_6089_R2_001.fq.gz</v>
          </cell>
          <cell r="I598">
            <v>6089</v>
          </cell>
          <cell r="J598">
            <v>6089</v>
          </cell>
          <cell r="K598" t="str">
            <v>Listeria monocytogenes</v>
          </cell>
          <cell r="L598">
            <v>40416775</v>
          </cell>
          <cell r="M598">
            <v>-370379</v>
          </cell>
          <cell r="N598" t="str">
            <v>Spain</v>
          </cell>
          <cell r="Q598" t="str">
            <v>Unknown</v>
          </cell>
          <cell r="T598" t="str">
            <v>University of Zaragoza, Zaragoza, Spain</v>
          </cell>
          <cell r="U598" t="str">
            <v>Food</v>
          </cell>
          <cell r="V598" t="str">
            <v>Cooked ham</v>
          </cell>
          <cell r="X598" t="str">
            <v>ERR10549670</v>
          </cell>
        </row>
        <row r="599">
          <cell r="G599" t="str">
            <v>/home/projects/cge/backup/fastq/food_seqdata/NextSeq_207/FoodQCPipeline_tmp/conc_fqs/DTU_2022_1015784_1_SI_6091_R1_001.fq.gz</v>
          </cell>
          <cell r="H599" t="str">
            <v>/home/projects/cge/backup/fastq/food_seqdata/NextSeq_207/FoodQCPipeline_tmp/conc_fqs/DTU_2022_1015784_1_SI_6091_R2_001.fq.gz</v>
          </cell>
          <cell r="I599">
            <v>6091</v>
          </cell>
          <cell r="J599">
            <v>6091</v>
          </cell>
          <cell r="K599" t="str">
            <v>Listeria monocytogenes</v>
          </cell>
          <cell r="L599">
            <v>40416775</v>
          </cell>
          <cell r="M599">
            <v>-370379</v>
          </cell>
          <cell r="N599" t="str">
            <v>Spain</v>
          </cell>
          <cell r="Q599" t="str">
            <v>Unknown</v>
          </cell>
          <cell r="T599" t="str">
            <v>University of Zaragoza, Zaragoza, Spain</v>
          </cell>
          <cell r="U599" t="str">
            <v>Food</v>
          </cell>
          <cell r="V599" t="str">
            <v>Cooked breast turkey</v>
          </cell>
          <cell r="X599" t="str">
            <v>ERR10549652</v>
          </cell>
        </row>
        <row r="600">
          <cell r="G600" t="str">
            <v>/home/projects/cge/backup/fastq/food_seqdata/NextSeq_207/FoodQCPipeline_tmp/conc_fqs/DTU_2022_1015785_1_SI_6092_R1_001.fq.gz</v>
          </cell>
          <cell r="H600" t="str">
            <v>/home/projects/cge/backup/fastq/food_seqdata/NextSeq_207/FoodQCPipeline_tmp/conc_fqs/DTU_2022_1015785_1_SI_6092_R2_001.fq.gz</v>
          </cell>
          <cell r="I600">
            <v>6092</v>
          </cell>
          <cell r="J600">
            <v>6092</v>
          </cell>
          <cell r="K600" t="str">
            <v>Listeria monocytogenes</v>
          </cell>
          <cell r="L600">
            <v>40416775</v>
          </cell>
          <cell r="M600">
            <v>-370379</v>
          </cell>
          <cell r="N600" t="str">
            <v>Spain</v>
          </cell>
          <cell r="Q600" t="str">
            <v>Unknown</v>
          </cell>
          <cell r="T600" t="str">
            <v>University of Zaragoza, Zaragoza, Spain</v>
          </cell>
          <cell r="U600" t="str">
            <v>Food</v>
          </cell>
          <cell r="V600" t="str">
            <v>Cooked ham</v>
          </cell>
          <cell r="X600" t="str">
            <v>ERR10549694</v>
          </cell>
        </row>
        <row r="601">
          <cell r="G601" t="str">
            <v>/home/projects/cge/backup/fastq/food_seqdata/NextSeq_207/FoodQCPipeline_tmp/conc_fqs/DTU_2022_1015786_1_SI_6094_R1_001.fq.gz</v>
          </cell>
          <cell r="H601" t="str">
            <v>/home/projects/cge/backup/fastq/food_seqdata/NextSeq_207/FoodQCPipeline_tmp/conc_fqs/DTU_2022_1015786_1_SI_6094_R2_001.fq.gz</v>
          </cell>
          <cell r="I601">
            <v>6094</v>
          </cell>
          <cell r="J601">
            <v>6094</v>
          </cell>
          <cell r="K601" t="str">
            <v>Listeria monocytogenes</v>
          </cell>
          <cell r="L601">
            <v>40416775</v>
          </cell>
          <cell r="M601">
            <v>-370379</v>
          </cell>
          <cell r="N601" t="str">
            <v>Spain</v>
          </cell>
          <cell r="Q601" t="str">
            <v>Unknown</v>
          </cell>
          <cell r="T601" t="str">
            <v>University of Zaragoza, Zaragoza, Spain</v>
          </cell>
          <cell r="U601" t="str">
            <v>Food</v>
          </cell>
          <cell r="V601" t="str">
            <v>Cooked breast turkey</v>
          </cell>
          <cell r="X601" t="str">
            <v>ERR10549640</v>
          </cell>
        </row>
        <row r="602">
          <cell r="G602" t="str">
            <v>/home/projects/cge/backup/fastq/food_seqdata/NextSeq_207/FoodQCPipeline_tmp/conc_fqs/DTU_2022_1015787_1_SI_6095_R1_001.fq.gz</v>
          </cell>
          <cell r="H602" t="str">
            <v>/home/projects/cge/backup/fastq/food_seqdata/NextSeq_207/FoodQCPipeline_tmp/conc_fqs/DTU_2022_1015787_1_SI_6095_R2_001.fq.gz</v>
          </cell>
          <cell r="I602">
            <v>6095</v>
          </cell>
          <cell r="J602">
            <v>6095</v>
          </cell>
          <cell r="K602" t="str">
            <v>Listeria monocytogenes</v>
          </cell>
          <cell r="L602">
            <v>40416775</v>
          </cell>
          <cell r="M602">
            <v>-370379</v>
          </cell>
          <cell r="N602" t="str">
            <v>Spain</v>
          </cell>
          <cell r="Q602" t="str">
            <v>Unknown</v>
          </cell>
          <cell r="T602" t="str">
            <v>University of Zaragoza, Zaragoza, Spain</v>
          </cell>
          <cell r="U602" t="str">
            <v>Food</v>
          </cell>
          <cell r="V602" t="str">
            <v>Cooked ham</v>
          </cell>
          <cell r="X602" t="str">
            <v>ERR10549637</v>
          </cell>
        </row>
        <row r="603">
          <cell r="G603" t="str">
            <v>/home/projects/cge/backup/fastq/food_seqdata/NextSeq_207/FoodQCPipeline_tmp/conc_fqs/DTU_2022_1015788_1_SI_6097_R1_001.fq.gz</v>
          </cell>
          <cell r="H603" t="str">
            <v>/home/projects/cge/backup/fastq/food_seqdata/NextSeq_207/FoodQCPipeline_tmp/conc_fqs/DTU_2022_1015788_1_SI_6097_R2_001.fq.gz</v>
          </cell>
          <cell r="I603">
            <v>6097</v>
          </cell>
          <cell r="J603">
            <v>6097</v>
          </cell>
          <cell r="K603" t="str">
            <v>Listeria monocytogenes</v>
          </cell>
          <cell r="L603">
            <v>40416775</v>
          </cell>
          <cell r="M603">
            <v>-370379</v>
          </cell>
          <cell r="N603" t="str">
            <v>Spain</v>
          </cell>
          <cell r="Q603" t="str">
            <v>Unknown</v>
          </cell>
          <cell r="T603" t="str">
            <v>University of Zaragoza, Zaragoza, Spain</v>
          </cell>
          <cell r="U603" t="str">
            <v>Food</v>
          </cell>
          <cell r="V603" t="str">
            <v>Cooked ham</v>
          </cell>
          <cell r="X603" t="str">
            <v>ERR10549651</v>
          </cell>
        </row>
        <row r="604">
          <cell r="G604" t="str">
            <v>/home/projects/cge/backup/fastq/food_seqdata/NextSeq_207/FoodQCPipeline_tmp/conc_fqs/DTU_2022_1015789_1_SI_6098_R1_001.fq.gz</v>
          </cell>
          <cell r="H604" t="str">
            <v>/home/projects/cge/backup/fastq/food_seqdata/NextSeq_207/FoodQCPipeline_tmp/conc_fqs/DTU_2022_1015789_1_SI_6098_R2_001.fq.gz</v>
          </cell>
          <cell r="I604">
            <v>6098</v>
          </cell>
          <cell r="J604">
            <v>6098</v>
          </cell>
          <cell r="K604" t="str">
            <v>Listeria monocytogenes</v>
          </cell>
          <cell r="L604">
            <v>40416775</v>
          </cell>
          <cell r="M604">
            <v>-370379</v>
          </cell>
          <cell r="N604" t="str">
            <v>Spain</v>
          </cell>
          <cell r="Q604" t="str">
            <v>Unknown</v>
          </cell>
          <cell r="T604" t="str">
            <v>University of Zaragoza, Zaragoza, Spain</v>
          </cell>
          <cell r="U604" t="str">
            <v>Food</v>
          </cell>
          <cell r="V604" t="str">
            <v>Cooked ham</v>
          </cell>
          <cell r="X604" t="str">
            <v>ERR10549639</v>
          </cell>
        </row>
        <row r="605">
          <cell r="G605" t="str">
            <v>/home/projects/cge/backup/fastq/food_seqdata/NextSeq_207/FoodQCPipeline_tmp/conc_fqs/DTU_2022_1015790_1_SI_6099_R1_001.fq.gz</v>
          </cell>
          <cell r="H605" t="str">
            <v>/home/projects/cge/backup/fastq/food_seqdata/NextSeq_207/FoodQCPipeline_tmp/conc_fqs/DTU_2022_1015790_1_SI_6099_R2_001.fq.gz</v>
          </cell>
          <cell r="I605">
            <v>6099</v>
          </cell>
          <cell r="J605">
            <v>6099</v>
          </cell>
          <cell r="K605" t="str">
            <v>Listeria monocytogenes</v>
          </cell>
          <cell r="L605">
            <v>40416775</v>
          </cell>
          <cell r="M605">
            <v>-370379</v>
          </cell>
          <cell r="N605" t="str">
            <v>Spain</v>
          </cell>
          <cell r="Q605" t="str">
            <v>Unknown</v>
          </cell>
          <cell r="T605" t="str">
            <v>University of Zaragoza, Zaragoza, Spain</v>
          </cell>
          <cell r="U605" t="str">
            <v>Food</v>
          </cell>
          <cell r="V605" t="str">
            <v>Cooked ham</v>
          </cell>
          <cell r="X605" t="str">
            <v>ERR10549667</v>
          </cell>
        </row>
        <row r="606">
          <cell r="G606" t="str">
            <v>/home/projects/cge/backup/fastq/food_seqdata/NextSeq_207/FoodQCPipeline_tmp/conc_fqs/DTU_2022_1015791_1_SI_6100_R1_001.fq.gz</v>
          </cell>
          <cell r="H606" t="str">
            <v>/home/projects/cge/backup/fastq/food_seqdata/NextSeq_207/FoodQCPipeline_tmp/conc_fqs/DTU_2022_1015791_1_SI_6100_R2_001.fq.gz</v>
          </cell>
          <cell r="I606">
            <v>6100</v>
          </cell>
          <cell r="J606">
            <v>6100</v>
          </cell>
          <cell r="K606" t="str">
            <v>Listeria monocytogenes</v>
          </cell>
          <cell r="L606">
            <v>40416775</v>
          </cell>
          <cell r="M606">
            <v>-370379</v>
          </cell>
          <cell r="N606" t="str">
            <v>Spain</v>
          </cell>
          <cell r="Q606" t="str">
            <v>Unknown</v>
          </cell>
          <cell r="T606" t="str">
            <v>University of Zaragoza, Zaragoza, Spain</v>
          </cell>
          <cell r="U606" t="str">
            <v>Food</v>
          </cell>
          <cell r="V606" t="str">
            <v>Cooked ham wild boar</v>
          </cell>
          <cell r="X606" t="str">
            <v>ERR10549697</v>
          </cell>
        </row>
        <row r="607">
          <cell r="G607" t="str">
            <v>/home/projects/cge/backup/fastq/food_seqdata/NextSeq_207/FoodQCPipeline_tmp/conc_fqs/DTU_2022_1015792_1_SI_6102_R1_001.fq.gz</v>
          </cell>
          <cell r="H607" t="str">
            <v>/home/projects/cge/backup/fastq/food_seqdata/NextSeq_207/FoodQCPipeline_tmp/conc_fqs/DTU_2022_1015792_1_SI_6102_R2_001.fq.gz</v>
          </cell>
          <cell r="I607">
            <v>6102</v>
          </cell>
          <cell r="J607">
            <v>6102</v>
          </cell>
          <cell r="K607" t="str">
            <v>Listeria monocytogenes</v>
          </cell>
          <cell r="L607">
            <v>40416775</v>
          </cell>
          <cell r="M607">
            <v>-370379</v>
          </cell>
          <cell r="N607" t="str">
            <v>Spain</v>
          </cell>
          <cell r="Q607" t="str">
            <v>Unknown</v>
          </cell>
          <cell r="T607" t="str">
            <v>University of Zaragoza, Zaragoza, Spain</v>
          </cell>
          <cell r="U607" t="str">
            <v>Food</v>
          </cell>
          <cell r="V607" t="str">
            <v>Cooked ham</v>
          </cell>
          <cell r="X607" t="str">
            <v>ERR10549671</v>
          </cell>
        </row>
        <row r="608">
          <cell r="G608" t="str">
            <v>/home/projects/cge/backup/fastq/food_seqdata/NextSeq_207/FoodQCPipeline_tmp/conc_fqs/DTU_2022_1015793_1_SI_6103_R1_001.fq.gz</v>
          </cell>
          <cell r="H608" t="str">
            <v>/home/projects/cge/backup/fastq/food_seqdata/NextSeq_207/FoodQCPipeline_tmp/conc_fqs/DTU_2022_1015793_1_SI_6103_R2_001.fq.gz</v>
          </cell>
          <cell r="I608">
            <v>6103</v>
          </cell>
          <cell r="J608">
            <v>6103</v>
          </cell>
          <cell r="K608" t="str">
            <v>Listeria monocytogenes</v>
          </cell>
          <cell r="L608">
            <v>40416775</v>
          </cell>
          <cell r="M608">
            <v>-370379</v>
          </cell>
          <cell r="N608" t="str">
            <v>Spain</v>
          </cell>
          <cell r="Q608" t="str">
            <v>Unknown</v>
          </cell>
          <cell r="T608" t="str">
            <v>University of Zaragoza, Zaragoza, Spain</v>
          </cell>
          <cell r="U608" t="str">
            <v>Food</v>
          </cell>
          <cell r="V608" t="str">
            <v>Longaniza semiseca</v>
          </cell>
          <cell r="X608" t="str">
            <v>ERR10549658</v>
          </cell>
        </row>
        <row r="609">
          <cell r="G609" t="str">
            <v>/home/projects/cge/backup/fastq/food_seqdata/NextSeq_207/FoodQCPipeline_tmp/conc_fqs/DTU_2022_1015794_1_SI_6104_R1_001.fq.gz</v>
          </cell>
          <cell r="H609" t="str">
            <v>/home/projects/cge/backup/fastq/food_seqdata/NextSeq_207/FoodQCPipeline_tmp/conc_fqs/DTU_2022_1015794_1_SI_6104_R2_001.fq.gz</v>
          </cell>
          <cell r="I609">
            <v>6104</v>
          </cell>
          <cell r="J609">
            <v>6104</v>
          </cell>
          <cell r="K609" t="str">
            <v>Listeria monocytogenes</v>
          </cell>
          <cell r="L609">
            <v>40416775</v>
          </cell>
          <cell r="M609">
            <v>-370379</v>
          </cell>
          <cell r="N609" t="str">
            <v>Spain</v>
          </cell>
          <cell r="Q609" t="str">
            <v>Unknown</v>
          </cell>
          <cell r="T609" t="str">
            <v>University of Zaragoza, Zaragoza, Spain</v>
          </cell>
          <cell r="U609" t="str">
            <v>Food</v>
          </cell>
          <cell r="V609" t="str">
            <v>Longaniza de Arag√≥n</v>
          </cell>
          <cell r="X609" t="str">
            <v>ERR10549678</v>
          </cell>
        </row>
        <row r="610">
          <cell r="G610" t="str">
            <v>/home/projects/cge/backup/fastq/food_seqdata/NextSeq_207/FoodQCPipeline_tmp/conc_fqs/DTU_2022_1015795_1_SI_6105_R1_001.fq.gz</v>
          </cell>
          <cell r="H610" t="str">
            <v>/home/projects/cge/backup/fastq/food_seqdata/NextSeq_207/FoodQCPipeline_tmp/conc_fqs/DTU_2022_1015795_1_SI_6105_R2_001.fq.gz</v>
          </cell>
          <cell r="I610">
            <v>6105</v>
          </cell>
          <cell r="J610">
            <v>6105</v>
          </cell>
          <cell r="K610" t="str">
            <v>Listeria monocytogenes</v>
          </cell>
          <cell r="L610">
            <v>40416775</v>
          </cell>
          <cell r="M610">
            <v>-370379</v>
          </cell>
          <cell r="N610" t="str">
            <v>Spain</v>
          </cell>
          <cell r="Q610" t="str">
            <v>Unknown</v>
          </cell>
          <cell r="T610" t="str">
            <v>University of Zaragoza, Zaragoza, Spain</v>
          </cell>
          <cell r="U610" t="str">
            <v>Food</v>
          </cell>
          <cell r="V610" t="str">
            <v>Longaniza</v>
          </cell>
          <cell r="X610" t="str">
            <v>ERR10549644</v>
          </cell>
        </row>
        <row r="611">
          <cell r="G611" t="str">
            <v>/home/projects/cge/backup/fastq/food_seqdata/NextSeq_207/FoodQCPipeline_tmp/conc_fqs/DTU_2022_1015796_1_SI_6106_R1_001.fq.gz</v>
          </cell>
          <cell r="H611" t="str">
            <v>/home/projects/cge/backup/fastq/food_seqdata/NextSeq_207/FoodQCPipeline_tmp/conc_fqs/DTU_2022_1015796_1_SI_6106_R2_001.fq.gz</v>
          </cell>
          <cell r="I611">
            <v>6106</v>
          </cell>
          <cell r="J611">
            <v>6106</v>
          </cell>
          <cell r="K611" t="str">
            <v>Listeria monocytogenes</v>
          </cell>
          <cell r="L611">
            <v>40416775</v>
          </cell>
          <cell r="M611">
            <v>-370379</v>
          </cell>
          <cell r="N611" t="str">
            <v>Spain</v>
          </cell>
          <cell r="Q611" t="str">
            <v>Unknown</v>
          </cell>
          <cell r="T611" t="str">
            <v>University of Zaragoza, Zaragoza, Spain</v>
          </cell>
          <cell r="U611" t="str">
            <v>Food</v>
          </cell>
          <cell r="V611" t="str">
            <v>Longaniza de Arag√≥n</v>
          </cell>
          <cell r="X611" t="str">
            <v>ERR10549647</v>
          </cell>
        </row>
        <row r="612">
          <cell r="G612" t="str">
            <v>/home/projects/cge/backup/fastq/food_seqdata/NextSeq_207/FoodQCPipeline_tmp/conc_fqs/DTU_2022_1015797_1_SI_6107_R1_001.fq.gz</v>
          </cell>
          <cell r="H612" t="str">
            <v>/home/projects/cge/backup/fastq/food_seqdata/NextSeq_207/FoodQCPipeline_tmp/conc_fqs/DTU_2022_1015797_1_SI_6107_R2_001.fq.gz</v>
          </cell>
          <cell r="I612">
            <v>6107</v>
          </cell>
          <cell r="J612">
            <v>6107</v>
          </cell>
          <cell r="K612" t="str">
            <v>Listeria monocytogenes</v>
          </cell>
          <cell r="L612">
            <v>40416775</v>
          </cell>
          <cell r="M612">
            <v>-370379</v>
          </cell>
          <cell r="N612" t="str">
            <v>Spain</v>
          </cell>
          <cell r="Q612" t="str">
            <v>Unknown</v>
          </cell>
          <cell r="T612" t="str">
            <v>University of Zaragoza, Zaragoza, Spain</v>
          </cell>
          <cell r="U612" t="str">
            <v>Food</v>
          </cell>
          <cell r="V612" t="str">
            <v>Longaniza de Arag√≥n</v>
          </cell>
          <cell r="X612" t="str">
            <v>ERR10549653</v>
          </cell>
        </row>
        <row r="613">
          <cell r="G613" t="str">
            <v>/home/projects/cge/backup/fastq/food_seqdata/NextSeq_207/FoodQCPipeline_tmp/conc_fqs/DTU_2022_1015798_1_SI_6108_R1_001.fq.gz</v>
          </cell>
          <cell r="H613" t="str">
            <v>/home/projects/cge/backup/fastq/food_seqdata/NextSeq_207/FoodQCPipeline_tmp/conc_fqs/DTU_2022_1015798_1_SI_6108_R2_001.fq.gz</v>
          </cell>
          <cell r="I613">
            <v>6108</v>
          </cell>
          <cell r="J613">
            <v>6108</v>
          </cell>
          <cell r="K613" t="str">
            <v>Listeria monocytogenes</v>
          </cell>
          <cell r="L613">
            <v>40416775</v>
          </cell>
          <cell r="M613">
            <v>-370379</v>
          </cell>
          <cell r="N613" t="str">
            <v>Spain</v>
          </cell>
          <cell r="Q613" t="str">
            <v>Unknown</v>
          </cell>
          <cell r="T613" t="str">
            <v>University of Zaragoza, Zaragoza, Spain</v>
          </cell>
          <cell r="U613" t="str">
            <v>Food</v>
          </cell>
          <cell r="V613" t="str">
            <v>dry-cured ham</v>
          </cell>
          <cell r="X613" t="str">
            <v>ERR10549674</v>
          </cell>
        </row>
        <row r="614">
          <cell r="G614" t="str">
            <v>/home/projects/cge/backup/fastq/food_seqdata/NextSeq_207/FoodQCPipeline_tmp/conc_fqs/DTU_2022_1015799_1_SI_6109_R1_001.fq.gz</v>
          </cell>
          <cell r="H614" t="str">
            <v>/home/projects/cge/backup/fastq/food_seqdata/NextSeq_207/FoodQCPipeline_tmp/conc_fqs/DTU_2022_1015799_1_SI_6109_R2_001.fq.gz</v>
          </cell>
          <cell r="I614">
            <v>6109</v>
          </cell>
          <cell r="J614">
            <v>6109</v>
          </cell>
          <cell r="K614" t="str">
            <v>Listeria monocytogenes</v>
          </cell>
          <cell r="L614">
            <v>40416775</v>
          </cell>
          <cell r="M614">
            <v>-370379</v>
          </cell>
          <cell r="N614" t="str">
            <v>Spain</v>
          </cell>
          <cell r="Q614" t="str">
            <v>Unknown</v>
          </cell>
          <cell r="T614" t="str">
            <v>University of Zaragoza, Zaragoza, Spain</v>
          </cell>
          <cell r="U614" t="str">
            <v>Food</v>
          </cell>
          <cell r="V614" t="str">
            <v>dry-cured ham</v>
          </cell>
          <cell r="X614" t="str">
            <v>ERR10549758</v>
          </cell>
        </row>
        <row r="615">
          <cell r="G615" t="str">
            <v>/home/projects/cge/backup/fastq/food_seqdata/NextSeq_207/FoodQCPipeline_tmp/conc_fqs/DTU_2022_1015800_1_SI_6110_R1_001.fq.gz</v>
          </cell>
          <cell r="H615" t="str">
            <v>/home/projects/cge/backup/fastq/food_seqdata/NextSeq_207/FoodQCPipeline_tmp/conc_fqs/DTU_2022_1015800_1_SI_6110_R2_001.fq.gz</v>
          </cell>
          <cell r="I615">
            <v>6110</v>
          </cell>
          <cell r="J615">
            <v>6110</v>
          </cell>
          <cell r="K615" t="str">
            <v>Listeria monocytogenes</v>
          </cell>
          <cell r="L615">
            <v>40416775</v>
          </cell>
          <cell r="M615">
            <v>-370379</v>
          </cell>
          <cell r="N615" t="str">
            <v>Spain</v>
          </cell>
          <cell r="Q615" t="str">
            <v>Unknown</v>
          </cell>
          <cell r="T615" t="str">
            <v>University of Zaragoza, Zaragoza, Spain</v>
          </cell>
          <cell r="U615" t="str">
            <v>Food</v>
          </cell>
          <cell r="V615" t="str">
            <v>dry-cured ham</v>
          </cell>
          <cell r="X615" t="str">
            <v>ERR10549698</v>
          </cell>
        </row>
        <row r="616">
          <cell r="G616" t="str">
            <v>/home/projects/cge/backup/fastq/food_seqdata/NextSeq_207/FoodQCPipeline_tmp/conc_fqs/DTU_2022_1015801_1_SI_8208_R1_001.fq.gz</v>
          </cell>
          <cell r="H616" t="str">
            <v>/home/projects/cge/backup/fastq/food_seqdata/NextSeq_207/FoodQCPipeline_tmp/conc_fqs/DTU_2022_1015801_1_SI_8208_R2_001.fq.gz</v>
          </cell>
          <cell r="I616">
            <v>8208</v>
          </cell>
          <cell r="J616">
            <v>8208</v>
          </cell>
          <cell r="K616" t="str">
            <v>Listeria monocytogenes</v>
          </cell>
          <cell r="L616">
            <v>40416775</v>
          </cell>
          <cell r="M616">
            <v>-370379</v>
          </cell>
          <cell r="N616" t="str">
            <v>Spain</v>
          </cell>
          <cell r="Q616" t="str">
            <v>Unknown</v>
          </cell>
          <cell r="T616" t="str">
            <v>University of Zaragoza, Zaragoza, Spain</v>
          </cell>
          <cell r="U616" t="str">
            <v>Food</v>
          </cell>
          <cell r="V616" t="str">
            <v>Dry-cured ham. 7 months curing</v>
          </cell>
          <cell r="X616" t="str">
            <v>ERR10549691</v>
          </cell>
        </row>
        <row r="617">
          <cell r="G617" t="str">
            <v>/home/projects/cge/backup/fastq/food_seqdata/NextSeq_207/FoodQCPipeline_tmp/conc_fqs/DTU_2022_1015802_1_SI_8218_R1_001.fq.gz</v>
          </cell>
          <cell r="H617" t="str">
            <v>/home/projects/cge/backup/fastq/food_seqdata/NextSeq_207/FoodQCPipeline_tmp/conc_fqs/DTU_2022_1015802_1_SI_8218_R2_001.fq.gz</v>
          </cell>
          <cell r="I617">
            <v>8218</v>
          </cell>
          <cell r="J617">
            <v>8218</v>
          </cell>
          <cell r="K617" t="str">
            <v>Listeria monocytogenes</v>
          </cell>
          <cell r="L617">
            <v>40416775</v>
          </cell>
          <cell r="M617">
            <v>-370379</v>
          </cell>
          <cell r="N617" t="str">
            <v>Spain</v>
          </cell>
          <cell r="Q617" t="str">
            <v>Unknown</v>
          </cell>
          <cell r="T617" t="str">
            <v>University of Zaragoza, Zaragoza, Spain</v>
          </cell>
          <cell r="U617" t="str">
            <v>Production environment</v>
          </cell>
          <cell r="V617" t="str">
            <v>Deboning machine 1</v>
          </cell>
          <cell r="X617" t="str">
            <v>ERR10549742</v>
          </cell>
        </row>
        <row r="618">
          <cell r="G618" t="str">
            <v>/home/projects/cge/backup/fastq/food_seqdata/NextSeq_207/FoodQCPipeline_tmp/conc_fqs/DTU_2022_1015803_1_SI_8234_R1_001.fq.gz</v>
          </cell>
          <cell r="H618" t="str">
            <v>/home/projects/cge/backup/fastq/food_seqdata/NextSeq_207/FoodQCPipeline_tmp/conc_fqs/DTU_2022_1015803_1_SI_8234_R2_001.fq.gz</v>
          </cell>
          <cell r="I618">
            <v>8234</v>
          </cell>
          <cell r="J618">
            <v>8234</v>
          </cell>
          <cell r="K618" t="str">
            <v>Listeria monocytogenes</v>
          </cell>
          <cell r="L618">
            <v>40416775</v>
          </cell>
          <cell r="M618">
            <v>-370379</v>
          </cell>
          <cell r="N618" t="str">
            <v>Spain</v>
          </cell>
          <cell r="Q618" t="str">
            <v>Unknown</v>
          </cell>
          <cell r="T618" t="str">
            <v>University of Zaragoza, Zaragoza, Spain</v>
          </cell>
          <cell r="U618" t="str">
            <v>Food</v>
          </cell>
          <cell r="V618" t="str">
            <v>Iberian Chorizo</v>
          </cell>
          <cell r="X618" t="str">
            <v>ERR10549669</v>
          </cell>
        </row>
        <row r="619">
          <cell r="G619" t="str">
            <v>/home/projects/cge/backup/fastq/food_seqdata/NextSeq_207/FoodQCPipeline_tmp/conc_fqs/DTU_2022_1015804_1_SI_8236_R1_001.fq.gz</v>
          </cell>
          <cell r="H619" t="str">
            <v>/home/projects/cge/backup/fastq/food_seqdata/NextSeq_207/FoodQCPipeline_tmp/conc_fqs/DTU_2022_1015804_1_SI_8236_R2_001.fq.gz</v>
          </cell>
          <cell r="I619">
            <v>8236</v>
          </cell>
          <cell r="J619">
            <v>8236</v>
          </cell>
          <cell r="K619" t="str">
            <v>Listeria monocytogenes</v>
          </cell>
          <cell r="L619">
            <v>40416775</v>
          </cell>
          <cell r="M619">
            <v>-370379</v>
          </cell>
          <cell r="N619" t="str">
            <v>Spain</v>
          </cell>
          <cell r="Q619" t="str">
            <v>Unknown</v>
          </cell>
          <cell r="T619" t="str">
            <v>University of Zaragoza, Zaragoza, Spain</v>
          </cell>
          <cell r="U619" t="str">
            <v>Food</v>
          </cell>
          <cell r="V619" t="str">
            <v>Iberian Chorizo</v>
          </cell>
          <cell r="X619" t="str">
            <v>ERR10549687</v>
          </cell>
        </row>
        <row r="620">
          <cell r="G620" t="str">
            <v>/home/projects/cge/backup/fastq/food_seqdata/NextSeq_207/FoodQCPipeline_tmp/conc_fqs/DTU_2022_1015805_1_SI_8239_R1_001.fq.gz</v>
          </cell>
          <cell r="H620" t="str">
            <v>/home/projects/cge/backup/fastq/food_seqdata/NextSeq_207/FoodQCPipeline_tmp/conc_fqs/DTU_2022_1015805_1_SI_8239_R2_001.fq.gz</v>
          </cell>
          <cell r="I620">
            <v>8239</v>
          </cell>
          <cell r="J620">
            <v>8239</v>
          </cell>
          <cell r="K620" t="str">
            <v>Listeria monocytogenes</v>
          </cell>
          <cell r="L620">
            <v>40416775</v>
          </cell>
          <cell r="M620">
            <v>-370379</v>
          </cell>
          <cell r="N620" t="str">
            <v>Spain</v>
          </cell>
          <cell r="Q620" t="str">
            <v>Unknown</v>
          </cell>
          <cell r="T620" t="str">
            <v>University of Zaragoza, Zaragoza, Spain</v>
          </cell>
          <cell r="U620" t="str">
            <v>Production environment</v>
          </cell>
          <cell r="V620" t="str">
            <v>Conveyor belt</v>
          </cell>
          <cell r="X620" t="str">
            <v>ERR10549676</v>
          </cell>
        </row>
        <row r="621">
          <cell r="G621" t="str">
            <v>/home/projects/cge/backup/fastq/food_seqdata/NextSeq_207/FoodQCPipeline_tmp/conc_fqs/DTU_2022_1015806_1_SI_8243_R1_001.fq.gz</v>
          </cell>
          <cell r="H621" t="str">
            <v>/home/projects/cge/backup/fastq/food_seqdata/NextSeq_207/FoodQCPipeline_tmp/conc_fqs/DTU_2022_1015806_1_SI_8243_R2_001.fq.gz</v>
          </cell>
          <cell r="I621">
            <v>8243</v>
          </cell>
          <cell r="J621">
            <v>8243</v>
          </cell>
          <cell r="K621" t="str">
            <v>Listeria monocytogenes</v>
          </cell>
          <cell r="L621">
            <v>40416775</v>
          </cell>
          <cell r="M621">
            <v>-370379</v>
          </cell>
          <cell r="N621" t="str">
            <v>Spain</v>
          </cell>
          <cell r="Q621" t="str">
            <v>Unknown</v>
          </cell>
          <cell r="T621" t="str">
            <v>University of Zaragoza, Zaragoza, Spain</v>
          </cell>
          <cell r="U621" t="str">
            <v>Production environment</v>
          </cell>
          <cell r="V621" t="str">
            <v>Knife</v>
          </cell>
          <cell r="X621" t="str">
            <v>ERR10549661</v>
          </cell>
        </row>
        <row r="622">
          <cell r="G622" t="str">
            <v>/home/projects/cge/backup/fastq/food_seqdata/NextSeq_207/FoodQCPipeline_tmp/conc_fqs/DTU_2022_1015807_1_SI_8256_R1_001.fq.gz</v>
          </cell>
          <cell r="H622" t="str">
            <v>/home/projects/cge/backup/fastq/food_seqdata/NextSeq_207/FoodQCPipeline_tmp/conc_fqs/DTU_2022_1015807_1_SI_8256_R2_001.fq.gz</v>
          </cell>
          <cell r="I622">
            <v>8256</v>
          </cell>
          <cell r="J622">
            <v>8256</v>
          </cell>
          <cell r="K622" t="str">
            <v>Listeria monocytogenes</v>
          </cell>
          <cell r="L622">
            <v>40416775</v>
          </cell>
          <cell r="M622">
            <v>-370379</v>
          </cell>
          <cell r="N622" t="str">
            <v>Spain</v>
          </cell>
          <cell r="Q622" t="str">
            <v>Unknown</v>
          </cell>
          <cell r="T622" t="str">
            <v>University of Zaragoza, Zaragoza, Spain</v>
          </cell>
          <cell r="U622" t="str">
            <v>Production environment</v>
          </cell>
          <cell r="V622" t="str">
            <v>Meat mincer</v>
          </cell>
          <cell r="X622" t="str">
            <v>ERR10549764</v>
          </cell>
        </row>
        <row r="623">
          <cell r="G623" t="str">
            <v>/home/projects/cge/backup/fastq/food_seqdata/NextSeq_207/FoodQCPipeline_tmp/conc_fqs/DTU_2022_1015808_1_SI_8261_R1_001.fq.gz</v>
          </cell>
          <cell r="H623" t="str">
            <v>/home/projects/cge/backup/fastq/food_seqdata/NextSeq_207/FoodQCPipeline_tmp/conc_fqs/DTU_2022_1015808_1_SI_8261_R2_001.fq.gz</v>
          </cell>
          <cell r="I623">
            <v>8261</v>
          </cell>
          <cell r="J623">
            <v>8261</v>
          </cell>
          <cell r="K623" t="str">
            <v>Listeria monocytogenes</v>
          </cell>
          <cell r="L623">
            <v>40416775</v>
          </cell>
          <cell r="M623">
            <v>-370379</v>
          </cell>
          <cell r="N623" t="str">
            <v>Spain</v>
          </cell>
          <cell r="Q623" t="str">
            <v>Unknown</v>
          </cell>
          <cell r="T623" t="str">
            <v>University of Zaragoza, Zaragoza, Spain</v>
          </cell>
          <cell r="U623" t="str">
            <v>Food</v>
          </cell>
          <cell r="V623" t="str">
            <v>Morcilla</v>
          </cell>
          <cell r="X623" t="str">
            <v>ERR10549665</v>
          </cell>
        </row>
        <row r="624">
          <cell r="G624" t="str">
            <v>/home/projects/cge/backup/fastq/food_seqdata/NextSeq_207/FoodQCPipeline_tmp/conc_fqs/DTU_2022_1015809_1_SI_8267_R1_001.fq.gz</v>
          </cell>
          <cell r="H624" t="str">
            <v>/home/projects/cge/backup/fastq/food_seqdata/NextSeq_207/FoodQCPipeline_tmp/conc_fqs/DTU_2022_1015809_1_SI_8267_R2_001.fq.gz</v>
          </cell>
          <cell r="I624">
            <v>8267</v>
          </cell>
          <cell r="J624">
            <v>8267</v>
          </cell>
          <cell r="K624" t="str">
            <v>Listeria monocytogenes</v>
          </cell>
          <cell r="L624">
            <v>40416775</v>
          </cell>
          <cell r="M624">
            <v>-370379</v>
          </cell>
          <cell r="N624" t="str">
            <v>Spain</v>
          </cell>
          <cell r="Q624" t="str">
            <v>Unknown</v>
          </cell>
          <cell r="T624" t="str">
            <v>University of Zaragoza, Zaragoza, Spain</v>
          </cell>
          <cell r="U624" t="str">
            <v>Food</v>
          </cell>
          <cell r="V624" t="str">
            <v>Lomo embuchado rojo extra</v>
          </cell>
          <cell r="X624" t="str">
            <v>ERR10549679</v>
          </cell>
        </row>
        <row r="625">
          <cell r="G625" t="str">
            <v>/home/projects/cge/backup/fastq/food_seqdata/NextSeq_207/FoodQCPipeline_tmp/conc_fqs/DTU_2022_1015810_1_SI_8269_R1_001.fq.gz</v>
          </cell>
          <cell r="H625" t="str">
            <v>/home/projects/cge/backup/fastq/food_seqdata/NextSeq_207/FoodQCPipeline_tmp/conc_fqs/DTU_2022_1015810_1_SI_8269_R2_001.fq.gz</v>
          </cell>
          <cell r="I625">
            <v>8269</v>
          </cell>
          <cell r="J625">
            <v>8269</v>
          </cell>
          <cell r="K625" t="str">
            <v>Listeria monocytogenes</v>
          </cell>
          <cell r="L625">
            <v>40416775</v>
          </cell>
          <cell r="M625">
            <v>-370379</v>
          </cell>
          <cell r="N625" t="str">
            <v>Spain</v>
          </cell>
          <cell r="Q625" t="str">
            <v>Unknown</v>
          </cell>
          <cell r="T625" t="str">
            <v>University of Zaragoza, Zaragoza, Spain</v>
          </cell>
          <cell r="U625" t="str">
            <v>Food</v>
          </cell>
          <cell r="V625" t="str">
            <v>Morcilla (blood sausage)</v>
          </cell>
          <cell r="X625" t="str">
            <v>ERR10549689</v>
          </cell>
        </row>
        <row r="626">
          <cell r="G626" t="str">
            <v>/home/projects/cge/backup/fastq/food_seqdata/NextSeq_207/FoodQCPipeline_tmp/conc_fqs/DTU_2022_1015811_1_SI_8276_R1_001.fq.gz</v>
          </cell>
          <cell r="H626" t="str">
            <v>/home/projects/cge/backup/fastq/food_seqdata/NextSeq_207/FoodQCPipeline_tmp/conc_fqs/DTU_2022_1015811_1_SI_8276_R2_001.fq.gz</v>
          </cell>
          <cell r="I626">
            <v>8276</v>
          </cell>
          <cell r="J626">
            <v>8276</v>
          </cell>
          <cell r="K626" t="str">
            <v>Listeria monocytogenes</v>
          </cell>
          <cell r="L626">
            <v>40416775</v>
          </cell>
          <cell r="M626">
            <v>-370379</v>
          </cell>
          <cell r="N626" t="str">
            <v>Spain</v>
          </cell>
          <cell r="Q626" t="str">
            <v>Unknown</v>
          </cell>
          <cell r="T626" t="str">
            <v>University of Zaragoza, Zaragoza, Spain</v>
          </cell>
          <cell r="U626" t="str">
            <v>Food</v>
          </cell>
          <cell r="V626" t="str">
            <v>Frankfurt sausage</v>
          </cell>
          <cell r="X626" t="str">
            <v>ERR10549713</v>
          </cell>
        </row>
        <row r="627">
          <cell r="G627" t="str">
            <v>/home/projects/cge/backup/fastq/food_seqdata/NextSeq_207/FoodQCPipeline_tmp/conc_fqs/DTU_2022_1015812_1_SI_8278_R1_001.fq.gz</v>
          </cell>
          <cell r="H627" t="str">
            <v>/home/projects/cge/backup/fastq/food_seqdata/NextSeq_207/FoodQCPipeline_tmp/conc_fqs/DTU_2022_1015812_1_SI_8278_R2_001.fq.gz</v>
          </cell>
          <cell r="I627">
            <v>8278</v>
          </cell>
          <cell r="J627">
            <v>8278</v>
          </cell>
          <cell r="K627" t="str">
            <v>Listeria monocytogenes</v>
          </cell>
          <cell r="L627">
            <v>40416775</v>
          </cell>
          <cell r="M627">
            <v>-370379</v>
          </cell>
          <cell r="N627" t="str">
            <v>Spain</v>
          </cell>
          <cell r="Q627" t="str">
            <v>Unknown</v>
          </cell>
          <cell r="T627" t="str">
            <v>University of Zaragoza, Zaragoza, Spain</v>
          </cell>
          <cell r="U627" t="str">
            <v>Food</v>
          </cell>
          <cell r="V627" t="str">
            <v>Sausage</v>
          </cell>
          <cell r="X627" t="str">
            <v>ERR10549702</v>
          </cell>
        </row>
        <row r="628">
          <cell r="G628" t="str">
            <v>/home/projects/cge/backup/fastq/food_seqdata/NextSeq_207/FoodQCPipeline_tmp/conc_fqs/DTU_2022_1015813_1_SI_8281_R1_001.fq.gz</v>
          </cell>
          <cell r="H628" t="str">
            <v>/home/projects/cge/backup/fastq/food_seqdata/NextSeq_207/FoodQCPipeline_tmp/conc_fqs/DTU_2022_1015813_1_SI_8281_R2_001.fq.gz</v>
          </cell>
          <cell r="I628">
            <v>8281</v>
          </cell>
          <cell r="J628">
            <v>8281</v>
          </cell>
          <cell r="K628" t="str">
            <v>Listeria monocytogenes</v>
          </cell>
          <cell r="L628">
            <v>40416775</v>
          </cell>
          <cell r="M628">
            <v>-370379</v>
          </cell>
          <cell r="N628" t="str">
            <v>Spain</v>
          </cell>
          <cell r="Q628" t="str">
            <v>Unknown</v>
          </cell>
          <cell r="T628" t="str">
            <v>University of Zaragoza, Zaragoza, Spain</v>
          </cell>
          <cell r="U628" t="str">
            <v>Food</v>
          </cell>
          <cell r="V628" t="str">
            <v>Cooked breast turkey</v>
          </cell>
          <cell r="X628" t="str">
            <v>ERR10549657</v>
          </cell>
        </row>
        <row r="629">
          <cell r="G629" t="str">
            <v>/home/projects/cge/backup/fastq/food_seqdata/NextSeq_207/FoodQCPipeline_tmp/conc_fqs/DTU_2022_1015814_1_SI_8284_R1_001.fq.gz</v>
          </cell>
          <cell r="H629" t="str">
            <v>/home/projects/cge/backup/fastq/food_seqdata/NextSeq_207/FoodQCPipeline_tmp/conc_fqs/DTU_2022_1015814_1_SI_8284_R2_001.fq.gz</v>
          </cell>
          <cell r="I629">
            <v>8284</v>
          </cell>
          <cell r="J629">
            <v>8284</v>
          </cell>
          <cell r="K629" t="str">
            <v>Listeria monocytogenes</v>
          </cell>
          <cell r="L629">
            <v>40416775</v>
          </cell>
          <cell r="M629">
            <v>-370379</v>
          </cell>
          <cell r="N629" t="str">
            <v>Spain</v>
          </cell>
          <cell r="Q629" t="str">
            <v>Unknown</v>
          </cell>
          <cell r="T629" t="str">
            <v>University of Zaragoza, Zaragoza, Spain</v>
          </cell>
          <cell r="U629" t="str">
            <v>Food</v>
          </cell>
          <cell r="V629" t="str">
            <v>Cooked ham</v>
          </cell>
          <cell r="X629" t="str">
            <v>ERR10549747</v>
          </cell>
        </row>
        <row r="630">
          <cell r="G630" t="str">
            <v>/home/projects/cge/backup/fastq/food_seqdata/NextSeq_207/FoodQCPipeline_tmp/conc_fqs/DTU_2022_1015815_1_SI_8289_R1_001.fq.gz</v>
          </cell>
          <cell r="H630" t="str">
            <v>/home/projects/cge/backup/fastq/food_seqdata/NextSeq_207/FoodQCPipeline_tmp/conc_fqs/DTU_2022_1015815_1_SI_8289_R2_001.fq.gz</v>
          </cell>
          <cell r="I630">
            <v>8289</v>
          </cell>
          <cell r="J630">
            <v>8289</v>
          </cell>
          <cell r="K630" t="str">
            <v>Listeria monocytogenes</v>
          </cell>
          <cell r="L630">
            <v>40416775</v>
          </cell>
          <cell r="M630">
            <v>-370379</v>
          </cell>
          <cell r="N630" t="str">
            <v>Spain</v>
          </cell>
          <cell r="Q630" t="str">
            <v>Unknown</v>
          </cell>
          <cell r="T630" t="str">
            <v>University of Zaragoza, Zaragoza, Spain</v>
          </cell>
          <cell r="U630" t="str">
            <v>Food</v>
          </cell>
          <cell r="V630" t="str">
            <v>Lomo Sajonia ( Super premium)</v>
          </cell>
          <cell r="X630" t="str">
            <v>ERR10549684</v>
          </cell>
        </row>
        <row r="631">
          <cell r="G631" t="str">
            <v>/home/projects/cge/backup/fastq/food_seqdata/NextSeq_216/FoodQCPipeline_tmp/conc_fqs/DTU_2022_1016229_1_SI_L537_R1_001.fq.gz</v>
          </cell>
          <cell r="H631" t="str">
            <v>/home/projects/cge/backup/fastq/food_seqdata/NextSeq_216/FoodQCPipeline_tmp/conc_fqs/DTU_2022_1016229_1_SI_L537_R2_001.fq.gz</v>
          </cell>
          <cell r="I631" t="str">
            <v>L537</v>
          </cell>
          <cell r="J631" t="str">
            <v>L537</v>
          </cell>
          <cell r="K631" t="str">
            <v>Listeria monocytogenes</v>
          </cell>
          <cell r="L631">
            <v>46056946</v>
          </cell>
          <cell r="M631">
            <v>14505751</v>
          </cell>
          <cell r="N631" t="str">
            <v>Slovenia</v>
          </cell>
          <cell r="Q631">
            <v>2007</v>
          </cell>
          <cell r="T631" t="str">
            <v>University of Ljubljana, Ljubljana, Slovenia</v>
          </cell>
          <cell r="U631" t="str">
            <v>Natural environment</v>
          </cell>
          <cell r="V631" t="str">
            <v>Surface water - river (natural environment)</v>
          </cell>
          <cell r="X631" t="str">
            <v>ERR10549680</v>
          </cell>
        </row>
        <row r="632">
          <cell r="G632" t="str">
            <v>/home/projects/cge/backup/fastq/food_seqdata/NextSeq_209/FoodQCPipeline_tmp/conc_fqs/DTU_2022_1016204_1_SI_L366_R1_001.fq.gz</v>
          </cell>
          <cell r="H632" t="str">
            <v>/home/projects/cge/backup/fastq/food_seqdata/NextSeq_209/FoodQCPipeline_tmp/conc_fqs/DTU_2022_1016204_1_SI_L366_R2_001.fq.gz</v>
          </cell>
          <cell r="I632" t="str">
            <v>L366</v>
          </cell>
          <cell r="J632" t="str">
            <v>L366</v>
          </cell>
          <cell r="K632" t="str">
            <v>Listeria monocytogenes</v>
          </cell>
          <cell r="L632">
            <v>46056946</v>
          </cell>
          <cell r="M632">
            <v>14505751</v>
          </cell>
          <cell r="N632" t="str">
            <v>Slovenia</v>
          </cell>
          <cell r="Q632">
            <v>2008</v>
          </cell>
          <cell r="T632" t="str">
            <v>University of Ljubljana, Ljubljana, Slovenia</v>
          </cell>
          <cell r="U632" t="str">
            <v>Natural environment</v>
          </cell>
          <cell r="V632" t="str">
            <v>Surface water (natural environment)</v>
          </cell>
          <cell r="X632" t="str">
            <v>ERR10549666</v>
          </cell>
        </row>
        <row r="633">
          <cell r="G633" t="str">
            <v>/home/projects/cge/backup/fastq/food_seqdata/NextSeq_209/FoodQCPipeline_tmp/conc_fqs/DTU_2022_1016230_1_SI_L538_R1_001.fq.gz</v>
          </cell>
          <cell r="H633" t="str">
            <v>/home/projects/cge/backup/fastq/food_seqdata/NextSeq_209/FoodQCPipeline_tmp/conc_fqs/DTU_2022_1016230_1_SI_L538_R2_001.fq.gz</v>
          </cell>
          <cell r="I633" t="str">
            <v>L538</v>
          </cell>
          <cell r="J633" t="str">
            <v>L538</v>
          </cell>
          <cell r="K633" t="str">
            <v>Listeria monocytogenes</v>
          </cell>
          <cell r="L633">
            <v>46056946</v>
          </cell>
          <cell r="M633">
            <v>14505751</v>
          </cell>
          <cell r="N633" t="str">
            <v>Slovenia</v>
          </cell>
          <cell r="Q633">
            <v>2008</v>
          </cell>
          <cell r="T633" t="str">
            <v>University of Ljubljana, Ljubljana, Slovenia</v>
          </cell>
          <cell r="U633" t="str">
            <v>Natural environment</v>
          </cell>
          <cell r="V633" t="str">
            <v>Surface water (natural environment)</v>
          </cell>
          <cell r="X633" t="str">
            <v>ERR10549700</v>
          </cell>
        </row>
        <row r="634">
          <cell r="G634" t="str">
            <v>/home/projects/cge/backup/fastq/food_seqdata/NextSeq_209/FoodQCPipeline_tmp/conc_fqs/DTU_2022_1016205_1_SI_L373_R1_001.fq.gz</v>
          </cell>
          <cell r="H634" t="str">
            <v>/home/projects/cge/backup/fastq/food_seqdata/NextSeq_209/FoodQCPipeline_tmp/conc_fqs/DTU_2022_1016205_1_SI_L373_R2_001.fq.gz</v>
          </cell>
          <cell r="I634" t="str">
            <v>L373</v>
          </cell>
          <cell r="J634" t="str">
            <v>L373</v>
          </cell>
          <cell r="K634" t="str">
            <v>Listeria monocytogenes</v>
          </cell>
          <cell r="L634">
            <v>46056946</v>
          </cell>
          <cell r="M634">
            <v>14505751</v>
          </cell>
          <cell r="N634" t="str">
            <v>Slovenia</v>
          </cell>
          <cell r="Q634">
            <v>2009</v>
          </cell>
          <cell r="T634" t="str">
            <v>University of Ljubljana, Ljubljana, Slovenia</v>
          </cell>
          <cell r="U634" t="str">
            <v>Food</v>
          </cell>
          <cell r="V634" t="str">
            <v>Ready to eat vegetables</v>
          </cell>
          <cell r="X634" t="str">
            <v>ERR10549696</v>
          </cell>
        </row>
        <row r="635">
          <cell r="G635" t="str">
            <v>/home/projects/cge/backup/fastq/food_seqdata/NextSeq_209/FoodQCPipeline_tmp/conc_fqs/DTU_2022_1016206_1_SI_L374_R1_001.fq.gz</v>
          </cell>
          <cell r="H635" t="str">
            <v>/home/projects/cge/backup/fastq/food_seqdata/NextSeq_209/FoodQCPipeline_tmp/conc_fqs/DTU_2022_1016206_1_SI_L374_R2_001.fq.gz</v>
          </cell>
          <cell r="I635" t="str">
            <v>L374</v>
          </cell>
          <cell r="J635" t="str">
            <v>L374</v>
          </cell>
          <cell r="K635" t="str">
            <v>Listeria monocytogenes</v>
          </cell>
          <cell r="L635">
            <v>46056946</v>
          </cell>
          <cell r="M635">
            <v>14505751</v>
          </cell>
          <cell r="N635" t="str">
            <v>Slovenia</v>
          </cell>
          <cell r="Q635">
            <v>2009</v>
          </cell>
          <cell r="T635" t="str">
            <v>University of Ljubljana, Ljubljana, Slovenia</v>
          </cell>
          <cell r="U635" t="str">
            <v>Food</v>
          </cell>
          <cell r="V635" t="str">
            <v>Smoked fish</v>
          </cell>
          <cell r="X635" t="str">
            <v>ERR10549722</v>
          </cell>
        </row>
        <row r="636">
          <cell r="G636" t="str">
            <v>/home/projects/cge/backup/fastq/food_seqdata/NextSeq_209/FoodQCPipeline_tmp/conc_fqs/DTU_2022_1016207_1_SI_L382_R1_001.fq.gz</v>
          </cell>
          <cell r="H636" t="str">
            <v>/home/projects/cge/backup/fastq/food_seqdata/NextSeq_209/FoodQCPipeline_tmp/conc_fqs/DTU_2022_1016207_1_SI_L382_R2_001.fq.gz</v>
          </cell>
          <cell r="I636" t="str">
            <v>L382</v>
          </cell>
          <cell r="J636" t="str">
            <v>L382</v>
          </cell>
          <cell r="K636" t="str">
            <v>Listeria monocytogenes</v>
          </cell>
          <cell r="L636">
            <v>46056946</v>
          </cell>
          <cell r="M636">
            <v>14505751</v>
          </cell>
          <cell r="N636" t="str">
            <v>Slovenia</v>
          </cell>
          <cell r="Q636">
            <v>2009</v>
          </cell>
          <cell r="T636" t="str">
            <v>University of Ljubljana, Ljubljana, Slovenia</v>
          </cell>
          <cell r="U636" t="str">
            <v>Food</v>
          </cell>
          <cell r="V636" t="str">
            <v>Salami</v>
          </cell>
          <cell r="X636" t="str">
            <v>ERR10549704</v>
          </cell>
        </row>
        <row r="637">
          <cell r="G637" t="str">
            <v>/home/projects/cge/backup/fastq/food_seqdata/NextSeq_208/FoodQCPipeline_tmp/conc_fqs/DTU_2022_1016146_1_SI_L168_R1_001.fq.gz</v>
          </cell>
          <cell r="H637" t="str">
            <v>/home/projects/cge/backup/fastq/food_seqdata/NextSeq_209/FoodQCPipeline_tmp/conc_fqs/DTU_2022_1016146_1_SI_L168_R2_001.fq.gz</v>
          </cell>
          <cell r="I637" t="str">
            <v>L168</v>
          </cell>
          <cell r="J637" t="str">
            <v>L168</v>
          </cell>
          <cell r="K637" t="str">
            <v>Listeria monocytogenes</v>
          </cell>
          <cell r="L637">
            <v>46056946</v>
          </cell>
          <cell r="M637">
            <v>14505751</v>
          </cell>
          <cell r="N637" t="str">
            <v>Slovenia</v>
          </cell>
          <cell r="Q637">
            <v>2010</v>
          </cell>
          <cell r="T637" t="str">
            <v>University of Ljubljana, Ljubljana, Slovenia</v>
          </cell>
          <cell r="U637" t="str">
            <v>Food</v>
          </cell>
          <cell r="X637" t="str">
            <v>ERR10612012</v>
          </cell>
        </row>
        <row r="638">
          <cell r="G638" t="str">
            <v>/home/projects/cge/backup/fastq/food_seqdata/NextSeq_209/FoodQCPipeline_tmp/conc_fqs/DTU_2022_1016208_1_SI_L386_R1_001.fq.gz</v>
          </cell>
          <cell r="H638" t="str">
            <v>/home/projects/cge/backup/fastq/food_seqdata/NextSeq_209/FoodQCPipeline_tmp/conc_fqs/DTU_2022_1016208_1_SI_L386_R2_001.fq.gz</v>
          </cell>
          <cell r="I638" t="str">
            <v>L386</v>
          </cell>
          <cell r="J638" t="str">
            <v>L386</v>
          </cell>
          <cell r="K638" t="str">
            <v>Listeria monocytogenes</v>
          </cell>
          <cell r="L638">
            <v>46056946</v>
          </cell>
          <cell r="M638">
            <v>14505751</v>
          </cell>
          <cell r="N638" t="str">
            <v>Slovenia</v>
          </cell>
          <cell r="Q638">
            <v>2010</v>
          </cell>
          <cell r="T638" t="str">
            <v>University of Ljubljana, Ljubljana, Slovenia</v>
          </cell>
          <cell r="U638" t="str">
            <v>Food</v>
          </cell>
          <cell r="V638" t="str">
            <v>Ready to eat dish</v>
          </cell>
          <cell r="X638" t="str">
            <v>ERR10549703</v>
          </cell>
        </row>
        <row r="639">
          <cell r="G639" t="str">
            <v>/home/projects/cge/backup/fastq/food_seqdata/NextSeq_209/FoodQCPipeline_tmp/conc_fqs/DTU_2022_1016209_1_SI_L387_R1_001.fq.gz</v>
          </cell>
          <cell r="H639" t="str">
            <v>/home/projects/cge/backup/fastq/food_seqdata/NextSeq_209/FoodQCPipeline_tmp/conc_fqs/DTU_2022_1016209_1_SI_L387_R2_001.fq.gz</v>
          </cell>
          <cell r="I639" t="str">
            <v>L387</v>
          </cell>
          <cell r="J639" t="str">
            <v>L387</v>
          </cell>
          <cell r="K639" t="str">
            <v>Listeria monocytogenes</v>
          </cell>
          <cell r="L639">
            <v>46056946</v>
          </cell>
          <cell r="M639">
            <v>14505751</v>
          </cell>
          <cell r="N639" t="str">
            <v>Slovenia</v>
          </cell>
          <cell r="Q639">
            <v>2010</v>
          </cell>
          <cell r="T639" t="str">
            <v>University of Ljubljana, Ljubljana, Slovenia</v>
          </cell>
          <cell r="U639" t="str">
            <v>Food</v>
          </cell>
          <cell r="V639" t="str">
            <v>Salad</v>
          </cell>
          <cell r="X639" t="str">
            <v>ERR10549707</v>
          </cell>
        </row>
        <row r="640">
          <cell r="G640" t="str">
            <v>/home/projects/cge/backup/fastq/food_seqdata/NextSeq_209/FoodQCPipeline_tmp/conc_fqs/DTU_2022_1016210_1_SI_L389_R1_001.fq.gz</v>
          </cell>
          <cell r="H640" t="str">
            <v>/home/projects/cge/backup/fastq/food_seqdata/NextSeq_209/FoodQCPipeline_tmp/conc_fqs/DTU_2022_1016210_1_SI_L389_R2_001.fq.gz</v>
          </cell>
          <cell r="I640" t="str">
            <v>L389</v>
          </cell>
          <cell r="J640" t="str">
            <v>L389</v>
          </cell>
          <cell r="K640" t="str">
            <v>Listeria monocytogenes</v>
          </cell>
          <cell r="L640">
            <v>46056946</v>
          </cell>
          <cell r="M640">
            <v>14505751</v>
          </cell>
          <cell r="N640" t="str">
            <v>Slovenia</v>
          </cell>
          <cell r="Q640">
            <v>2010</v>
          </cell>
          <cell r="T640" t="str">
            <v>University of Ljubljana, Ljubljana, Slovenia</v>
          </cell>
          <cell r="U640" t="str">
            <v>Food</v>
          </cell>
          <cell r="V640" t="str">
            <v>Minced lard</v>
          </cell>
          <cell r="X640" t="str">
            <v>ERR10549695</v>
          </cell>
        </row>
        <row r="641">
          <cell r="G641" t="str">
            <v>/home/projects/cge/backup/fastq/food_seqdata/NextSeq_209/FoodQCPipeline_tmp/conc_fqs/DTU_2022_1016213_1_SI_L394_R1_001.fq.gz</v>
          </cell>
          <cell r="H641" t="str">
            <v>/home/projects/cge/backup/fastq/food_seqdata/NextSeq_209/FoodQCPipeline_tmp/conc_fqs/DTU_2022_1016213_1_SI_L394_R2_001.fq.gz</v>
          </cell>
          <cell r="I641" t="str">
            <v>L394</v>
          </cell>
          <cell r="J641" t="str">
            <v>L394</v>
          </cell>
          <cell r="K641" t="str">
            <v>Listeria monocytogenes</v>
          </cell>
          <cell r="L641">
            <v>46056946</v>
          </cell>
          <cell r="M641">
            <v>14505751</v>
          </cell>
          <cell r="N641" t="str">
            <v>Slovenia</v>
          </cell>
          <cell r="Q641">
            <v>2010</v>
          </cell>
          <cell r="T641" t="str">
            <v>University of Ljubljana, Ljubljana, Slovenia</v>
          </cell>
          <cell r="U641" t="str">
            <v>Food</v>
          </cell>
          <cell r="V641" t="str">
            <v>Fresh fruit</v>
          </cell>
          <cell r="X641" t="str">
            <v>ERR10549677</v>
          </cell>
        </row>
        <row r="642">
          <cell r="G642" t="str">
            <v>/home/projects/cge/backup/fastq/food_seqdata/NextSeq_209/FoodQCPipeline_tmp/conc_fqs/DTU_2022_1016214_1_SI_L395_R1_001.fq.gz</v>
          </cell>
          <cell r="H642" t="str">
            <v>/home/projects/cge/backup/fastq/food_seqdata/NextSeq_209/FoodQCPipeline_tmp/conc_fqs/DTU_2022_1016214_1_SI_L395_R2_001.fq.gz</v>
          </cell>
          <cell r="I642" t="str">
            <v>L395</v>
          </cell>
          <cell r="J642" t="str">
            <v>L395</v>
          </cell>
          <cell r="K642" t="str">
            <v>Listeria monocytogenes</v>
          </cell>
          <cell r="L642">
            <v>46056946</v>
          </cell>
          <cell r="M642">
            <v>14505751</v>
          </cell>
          <cell r="N642" t="str">
            <v>Slovenia</v>
          </cell>
          <cell r="Q642">
            <v>2010</v>
          </cell>
          <cell r="T642" t="str">
            <v>University of Ljubljana, Ljubljana, Slovenia</v>
          </cell>
          <cell r="U642" t="str">
            <v>Production environment</v>
          </cell>
          <cell r="V642" t="str">
            <v>Surface swab - abattoir (food-processing environment)</v>
          </cell>
          <cell r="X642" t="str">
            <v>ERR10549731</v>
          </cell>
        </row>
        <row r="643">
          <cell r="G643" t="str">
            <v>/home/projects/cge/backup/fastq/food_seqdata/NextSeq_209/FoodQCPipeline_tmp/conc_fqs/DTU_2022_1016215_1_SI_L397_R1_001.fq.gz</v>
          </cell>
          <cell r="H643" t="str">
            <v>/home/projects/cge/backup/fastq/food_seqdata/NextSeq_209/FoodQCPipeline_tmp/conc_fqs/DTU_2022_1016215_1_SI_L397_R2_001.fq.gz</v>
          </cell>
          <cell r="I643" t="str">
            <v>L397</v>
          </cell>
          <cell r="J643" t="str">
            <v>L397</v>
          </cell>
          <cell r="K643" t="str">
            <v>Listeria monocytogenes</v>
          </cell>
          <cell r="L643">
            <v>46056946</v>
          </cell>
          <cell r="M643">
            <v>14505751</v>
          </cell>
          <cell r="N643" t="str">
            <v>Slovenia</v>
          </cell>
          <cell r="Q643">
            <v>2010</v>
          </cell>
          <cell r="T643" t="str">
            <v>University of Ljubljana, Ljubljana, Slovenia</v>
          </cell>
          <cell r="U643" t="str">
            <v>Production environment</v>
          </cell>
          <cell r="V643" t="str">
            <v>Surface swab - abattoir (food-processing environment)</v>
          </cell>
          <cell r="X643" t="str">
            <v>ERR10549735</v>
          </cell>
        </row>
        <row r="644">
          <cell r="G644" t="str">
            <v>/home/projects/cge/backup/fastq/food_seqdata/NextSeq_209/FoodQCPipeline_tmp/conc_fqs/DTU_2022_1016216_1_SI_L398_R1_001.fq.gz</v>
          </cell>
          <cell r="H644" t="str">
            <v>/home/projects/cge/backup/fastq/food_seqdata/NextSeq_209/FoodQCPipeline_tmp/conc_fqs/DTU_2022_1016216_1_SI_L398_R2_001.fq.gz</v>
          </cell>
          <cell r="I644" t="str">
            <v>L398</v>
          </cell>
          <cell r="J644" t="str">
            <v>L398</v>
          </cell>
          <cell r="K644" t="str">
            <v>Listeria monocytogenes</v>
          </cell>
          <cell r="L644">
            <v>46056946</v>
          </cell>
          <cell r="M644">
            <v>14505751</v>
          </cell>
          <cell r="N644" t="str">
            <v>Slovenia</v>
          </cell>
          <cell r="Q644">
            <v>2010</v>
          </cell>
          <cell r="T644" t="str">
            <v>University of Ljubljana, Ljubljana, Slovenia</v>
          </cell>
          <cell r="U644" t="str">
            <v>Production environment</v>
          </cell>
          <cell r="V644" t="str">
            <v>Surface swab - abattoir (food-processing environment)</v>
          </cell>
          <cell r="X644" t="str">
            <v>ERR10549683</v>
          </cell>
        </row>
        <row r="645">
          <cell r="G645" t="str">
            <v>/home/projects/cge/backup/fastq/food_seqdata/NextSeq_209/FoodQCPipeline_tmp/conc_fqs/DTU_2022_1016217_1_SI_L399_R1_001.fq.gz</v>
          </cell>
          <cell r="H645" t="str">
            <v>/home/projects/cge/backup/fastq/food_seqdata/NextSeq_209/FoodQCPipeline_tmp/conc_fqs/DTU_2022_1016217_1_SI_L399_R2_001.fq.gz</v>
          </cell>
          <cell r="I645" t="str">
            <v>L399</v>
          </cell>
          <cell r="J645" t="str">
            <v>L399</v>
          </cell>
          <cell r="K645" t="str">
            <v>Listeria monocytogenes</v>
          </cell>
          <cell r="L645">
            <v>46056946</v>
          </cell>
          <cell r="M645">
            <v>14505751</v>
          </cell>
          <cell r="N645" t="str">
            <v>Slovenia</v>
          </cell>
          <cell r="Q645">
            <v>2010</v>
          </cell>
          <cell r="T645" t="str">
            <v>University of Ljubljana, Ljubljana, Slovenia</v>
          </cell>
          <cell r="U645" t="str">
            <v>Food</v>
          </cell>
          <cell r="V645" t="str">
            <v>Frozen vegetables</v>
          </cell>
          <cell r="X645" t="str">
            <v>ERR10549681</v>
          </cell>
        </row>
        <row r="646">
          <cell r="G646" t="str">
            <v>/home/projects/cge/backup/fastq/food_seqdata/NextSeq_209/FoodQCPipeline_tmp/conc_fqs/DTU_2022_1016218_1_SI_L400_R1_001.fq.gz</v>
          </cell>
          <cell r="H646" t="str">
            <v>/home/projects/cge/backup/fastq/food_seqdata/NextSeq_209/FoodQCPipeline_tmp/conc_fqs/DTU_2022_1016218_1_SI_L400_R2_001.fq.gz</v>
          </cell>
          <cell r="I646" t="str">
            <v>L400</v>
          </cell>
          <cell r="J646" t="str">
            <v>L400</v>
          </cell>
          <cell r="K646" t="str">
            <v>Listeria monocytogenes</v>
          </cell>
          <cell r="L646">
            <v>46056946</v>
          </cell>
          <cell r="M646">
            <v>14505751</v>
          </cell>
          <cell r="N646" t="str">
            <v>Slovenia</v>
          </cell>
          <cell r="Q646">
            <v>2010</v>
          </cell>
          <cell r="T646" t="str">
            <v>University of Ljubljana, Ljubljana, Slovenia</v>
          </cell>
          <cell r="U646" t="str">
            <v>Food</v>
          </cell>
          <cell r="V646" t="str">
            <v>Minced lard</v>
          </cell>
          <cell r="X646" t="str">
            <v>ERR10549685</v>
          </cell>
        </row>
        <row r="647">
          <cell r="G647" t="str">
            <v>/home/projects/cge/data/projects/other/Listeria_disinfectant_project/Slovenia_Bojan_Papic/raw_data/L124_R1.fastq.gz</v>
          </cell>
          <cell r="H647" t="str">
            <v>/home/projects/cge/data/projects/other/Listeria_disinfectant_project/Slovenia_Bojan_Papic/raw_data/L124_R2.fastq.gz</v>
          </cell>
          <cell r="I647" t="str">
            <v>L124</v>
          </cell>
          <cell r="J647" t="str">
            <v>L124</v>
          </cell>
          <cell r="K647" t="str">
            <v>Listeria monocytogenes</v>
          </cell>
          <cell r="L647">
            <v>46056946</v>
          </cell>
          <cell r="M647">
            <v>14505751</v>
          </cell>
          <cell r="N647" t="str">
            <v>Slovenia</v>
          </cell>
          <cell r="Q647">
            <v>2010</v>
          </cell>
          <cell r="R647" t="str">
            <v>Ovis aries</v>
          </cell>
          <cell r="T647" t="str">
            <v>University of Ljubljana, Ljubljana, Slovenia</v>
          </cell>
          <cell r="U647" t="str">
            <v>Animal</v>
          </cell>
          <cell r="V647" t="str">
            <v>Sheep brain (neurolisteriosis)</v>
          </cell>
          <cell r="X647" t="str">
            <v>ERR10549727</v>
          </cell>
        </row>
        <row r="648">
          <cell r="G648" t="str">
            <v>/home/projects/cge/backup/fastq/food_seqdata/NextSeq_208/FoodQCPipeline_tmp/conc_fqs/DTU_2022_1016095_1_SI_N19_2431_R1_001.fq.gz</v>
          </cell>
          <cell r="H648" t="str">
            <v>/home/projects/cge/backup/fastq/food_seqdata/NextSeq_208/FoodQCPipeline_tmp/conc_fqs/DTU_2022_1016095_1_SI_N19_2431_R2_001.fq.gz</v>
          </cell>
          <cell r="I648" t="str">
            <v>L252</v>
          </cell>
          <cell r="J648" t="str">
            <v>L252</v>
          </cell>
          <cell r="K648" t="str">
            <v>Listeria monocytogenes</v>
          </cell>
          <cell r="L648">
            <v>46056946</v>
          </cell>
          <cell r="M648">
            <v>14505751</v>
          </cell>
          <cell r="N648" t="str">
            <v>Slovenia</v>
          </cell>
          <cell r="Q648">
            <v>2011</v>
          </cell>
          <cell r="T648" t="str">
            <v>University of Ljubljana, Ljubljana, Slovenia</v>
          </cell>
          <cell r="U648" t="str">
            <v>Food</v>
          </cell>
          <cell r="V648" t="str">
            <v>Marinated salmon</v>
          </cell>
          <cell r="X648" t="str">
            <v>ERR10612047</v>
          </cell>
        </row>
        <row r="649">
          <cell r="G649" t="str">
            <v>/home/projects/cge/backup/fastq/food_seqdata/NextSeq_209/FoodQCPipeline_tmp/conc_fqs/DTU_2022_1016191_1_SI_L231_R1_001.fq.gz</v>
          </cell>
          <cell r="H649" t="str">
            <v>/home/projects/cge/backup/fastq/food_seqdata/NextSeq_209/FoodQCPipeline_tmp/conc_fqs/DTU_2022_1016191_1_SI_L231_R2_001.fq.gz</v>
          </cell>
          <cell r="I649" t="str">
            <v>L231</v>
          </cell>
          <cell r="J649" t="str">
            <v>L231</v>
          </cell>
          <cell r="K649" t="str">
            <v>Listeria monocytogenes</v>
          </cell>
          <cell r="L649">
            <v>46056946</v>
          </cell>
          <cell r="M649">
            <v>14505751</v>
          </cell>
          <cell r="N649" t="str">
            <v>Slovenia</v>
          </cell>
          <cell r="Q649">
            <v>2011</v>
          </cell>
          <cell r="T649" t="str">
            <v>University of Ljubljana, Ljubljana, Slovenia</v>
          </cell>
          <cell r="U649" t="str">
            <v>Food</v>
          </cell>
          <cell r="V649" t="str">
            <v>Salmon</v>
          </cell>
          <cell r="X649" t="str">
            <v>ERR10549715</v>
          </cell>
        </row>
        <row r="650">
          <cell r="G650" t="str">
            <v>/home/projects/cge/backup/fastq/food_seqdata/NextSeq_209/FoodQCPipeline_tmp/conc_fqs/DTU_2022_1016192_1_SI_L238_R1_001.fq.gz</v>
          </cell>
          <cell r="H650" t="str">
            <v>/home/projects/cge/backup/fastq/food_seqdata/NextSeq_209/FoodQCPipeline_tmp/conc_fqs/DTU_2022_1016192_1_SI_L238_R2_001.fq.gz</v>
          </cell>
          <cell r="I650" t="str">
            <v>L238</v>
          </cell>
          <cell r="J650" t="str">
            <v>L238</v>
          </cell>
          <cell r="K650" t="str">
            <v>Listeria monocytogenes</v>
          </cell>
          <cell r="L650">
            <v>46056946</v>
          </cell>
          <cell r="M650">
            <v>14505751</v>
          </cell>
          <cell r="N650" t="str">
            <v>Slovenia</v>
          </cell>
          <cell r="Q650">
            <v>2011</v>
          </cell>
          <cell r="T650" t="str">
            <v>University of Ljubljana, Ljubljana, Slovenia</v>
          </cell>
          <cell r="U650" t="str">
            <v>Production environment</v>
          </cell>
          <cell r="V650" t="str">
            <v>Air - abattoir (food-processing environment)</v>
          </cell>
          <cell r="X650" t="str">
            <v>ERR10549688</v>
          </cell>
        </row>
        <row r="651">
          <cell r="G651" t="str">
            <v>/home/projects/cge/backup/fastq/food_seqdata/NextSeq_209/FoodQCPipeline_tmp/conc_fqs/DTU_2022_1016193_1_SI_L246_R1_001.fq.gz</v>
          </cell>
          <cell r="H651" t="str">
            <v>/home/projects/cge/backup/fastq/food_seqdata/NextSeq_209/FoodQCPipeline_tmp/conc_fqs/DTU_2022_1016193_1_SI_L246_R2_001.fq.gz</v>
          </cell>
          <cell r="I651" t="str">
            <v>L246</v>
          </cell>
          <cell r="J651" t="str">
            <v>L246</v>
          </cell>
          <cell r="K651" t="str">
            <v>Listeria monocytogenes</v>
          </cell>
          <cell r="L651">
            <v>46056946</v>
          </cell>
          <cell r="M651">
            <v>14505751</v>
          </cell>
          <cell r="N651" t="str">
            <v>Slovenia</v>
          </cell>
          <cell r="Q651">
            <v>2011</v>
          </cell>
          <cell r="T651" t="str">
            <v>University of Ljubljana, Ljubljana, Slovenia</v>
          </cell>
          <cell r="U651" t="str">
            <v>Production environment</v>
          </cell>
          <cell r="V651" t="str">
            <v>Air - abattoir (food-processing environment)</v>
          </cell>
          <cell r="X651" t="str">
            <v>ERR10549739</v>
          </cell>
        </row>
        <row r="652">
          <cell r="G652" t="str">
            <v>/home/projects/cge/backup/fastq/food_seqdata/NextSeq_209/FoodQCPipeline_tmp/conc_fqs/DTU_2022_1016194_1_SI_L251_R1_001.fq.gz</v>
          </cell>
          <cell r="H652" t="str">
            <v>/home/projects/cge/backup/fastq/food_seqdata/NextSeq_209/FoodQCPipeline_tmp/conc_fqs/DTU_2022_1016194_1_SI_L251_R2_001.fq.gz</v>
          </cell>
          <cell r="I652" t="str">
            <v>L251</v>
          </cell>
          <cell r="J652" t="str">
            <v>L251</v>
          </cell>
          <cell r="K652" t="str">
            <v>Listeria monocytogenes</v>
          </cell>
          <cell r="L652">
            <v>46056946</v>
          </cell>
          <cell r="M652">
            <v>14505751</v>
          </cell>
          <cell r="N652" t="str">
            <v>Slovenia</v>
          </cell>
          <cell r="Q652">
            <v>2011</v>
          </cell>
          <cell r="T652" t="str">
            <v>University of Ljubljana, Ljubljana, Slovenia</v>
          </cell>
          <cell r="U652" t="str">
            <v>Food</v>
          </cell>
          <cell r="V652" t="str">
            <v>Minced lard</v>
          </cell>
          <cell r="X652" t="str">
            <v>ERR10549692</v>
          </cell>
        </row>
        <row r="653">
          <cell r="G653" t="str">
            <v>/home/projects/cge/backup/fastq/food_seqdata/NextSeq_209/FoodQCPipeline_tmp/conc_fqs/DTU_2022_1016196_1_SI_L262_R1_001.fq.gz</v>
          </cell>
          <cell r="H653" t="str">
            <v>/home/projects/cge/backup/fastq/food_seqdata/NextSeq_209/FoodQCPipeline_tmp/conc_fqs/DTU_2022_1016196_1_SI_L262_R2_001.fq.gz</v>
          </cell>
          <cell r="I653" t="str">
            <v>L262</v>
          </cell>
          <cell r="J653" t="str">
            <v>L262</v>
          </cell>
          <cell r="K653" t="str">
            <v>Listeria monocytogenes</v>
          </cell>
          <cell r="L653">
            <v>46056946</v>
          </cell>
          <cell r="M653">
            <v>14505751</v>
          </cell>
          <cell r="N653" t="str">
            <v>Slovenia</v>
          </cell>
          <cell r="Q653">
            <v>2011</v>
          </cell>
          <cell r="T653" t="str">
            <v>University of Ljubljana, Ljubljana, Slovenia</v>
          </cell>
          <cell r="U653" t="str">
            <v>Food</v>
          </cell>
          <cell r="V653" t="str">
            <v>Minced lard</v>
          </cell>
          <cell r="X653" t="str">
            <v>ERR10549693</v>
          </cell>
        </row>
        <row r="654">
          <cell r="G654" t="str">
            <v>/home/projects/cge/backup/fastq/food_seqdata/NextSeq_209/FoodQCPipeline_tmp/conc_fqs/DTU_2022_1016197_1_SI_L264_R1_001.fq.gz</v>
          </cell>
          <cell r="H654" t="str">
            <v>/home/projects/cge/backup/fastq/food_seqdata/NextSeq_209/FoodQCPipeline_tmp/conc_fqs/DTU_2022_1016197_1_SI_L264_R2_001.fq.gz</v>
          </cell>
          <cell r="I654" t="str">
            <v>L264</v>
          </cell>
          <cell r="J654" t="str">
            <v>L264</v>
          </cell>
          <cell r="K654" t="str">
            <v>Listeria monocytogenes</v>
          </cell>
          <cell r="L654">
            <v>46056946</v>
          </cell>
          <cell r="M654">
            <v>14505751</v>
          </cell>
          <cell r="N654" t="str">
            <v>Slovenia</v>
          </cell>
          <cell r="Q654">
            <v>2011</v>
          </cell>
          <cell r="T654" t="str">
            <v>University of Ljubljana, Ljubljana, Slovenia</v>
          </cell>
          <cell r="U654" t="str">
            <v>Food</v>
          </cell>
          <cell r="V654" t="str">
            <v>Salmon</v>
          </cell>
          <cell r="X654" t="str">
            <v>ERR10549682</v>
          </cell>
        </row>
        <row r="655">
          <cell r="G655" t="str">
            <v>/home/projects/cge/backup/fastq/food_seqdata/NextSeq_209/FoodQCPipeline_tmp/conc_fqs/DTU_2022_1016198_1_SI_L267_R1_001.fq.gz</v>
          </cell>
          <cell r="H655" t="str">
            <v>/home/projects/cge/backup/fastq/food_seqdata/NextSeq_209/FoodQCPipeline_tmp/conc_fqs/DTU_2022_1016198_1_SI_L267_R2_001.fq.gz</v>
          </cell>
          <cell r="I655" t="str">
            <v>L267</v>
          </cell>
          <cell r="J655" t="str">
            <v>L267</v>
          </cell>
          <cell r="K655" t="str">
            <v>Listeria monocytogenes</v>
          </cell>
          <cell r="L655">
            <v>46056946</v>
          </cell>
          <cell r="M655">
            <v>14505751</v>
          </cell>
          <cell r="N655" t="str">
            <v>Slovenia</v>
          </cell>
          <cell r="Q655">
            <v>2011</v>
          </cell>
          <cell r="T655" t="str">
            <v>University of Ljubljana, Ljubljana, Slovenia</v>
          </cell>
          <cell r="U655" t="str">
            <v>Food</v>
          </cell>
          <cell r="V655" t="str">
            <v>Meat</v>
          </cell>
          <cell r="X655" t="str">
            <v>ERR10549708</v>
          </cell>
        </row>
        <row r="656">
          <cell r="G656" t="str">
            <v>/home/projects/cge/backup/fastq/food_seqdata/NextSeq_209/FoodQCPipeline_tmp/conc_fqs/DTU_2022_1016199_1_SI_L279_R1_001.fq.gz</v>
          </cell>
          <cell r="H656" t="str">
            <v>/home/projects/cge/backup/fastq/food_seqdata/NextSeq_209/FoodQCPipeline_tmp/conc_fqs/DTU_2022_1016199_1_SI_L279_R2_001.fq.gz</v>
          </cell>
          <cell r="I656" t="str">
            <v>L279</v>
          </cell>
          <cell r="J656" t="str">
            <v>L279</v>
          </cell>
          <cell r="K656" t="str">
            <v>Listeria monocytogenes</v>
          </cell>
          <cell r="L656">
            <v>46056946</v>
          </cell>
          <cell r="M656">
            <v>14505751</v>
          </cell>
          <cell r="N656" t="str">
            <v>Slovenia</v>
          </cell>
          <cell r="Q656">
            <v>2011</v>
          </cell>
          <cell r="T656" t="str">
            <v>University of Ljubljana, Ljubljana, Slovenia</v>
          </cell>
          <cell r="U656" t="str">
            <v>Food</v>
          </cell>
          <cell r="V656" t="str">
            <v>Raw milk</v>
          </cell>
          <cell r="X656" t="str">
            <v>ERR10549719</v>
          </cell>
        </row>
        <row r="657">
          <cell r="G657" t="str">
            <v>/home/projects/cge/backup/fastq/food_seqdata/NextSeq_209/FoodQCPipeline_tmp/conc_fqs/DTU_2022_1016200_1_SI_L286_R1_001.fq.gz</v>
          </cell>
          <cell r="H657" t="str">
            <v>/home/projects/cge/backup/fastq/food_seqdata/NextSeq_209/FoodQCPipeline_tmp/conc_fqs/DTU_2022_1016200_1_SI_L286_R2_001.fq.gz</v>
          </cell>
          <cell r="I657" t="str">
            <v>L286</v>
          </cell>
          <cell r="J657" t="str">
            <v>L286</v>
          </cell>
          <cell r="K657" t="str">
            <v>Listeria monocytogenes</v>
          </cell>
          <cell r="L657">
            <v>46056946</v>
          </cell>
          <cell r="M657">
            <v>14505751</v>
          </cell>
          <cell r="N657" t="str">
            <v>Slovenia</v>
          </cell>
          <cell r="Q657">
            <v>2011</v>
          </cell>
          <cell r="T657" t="str">
            <v>University of Ljubljana, Ljubljana, Slovenia</v>
          </cell>
          <cell r="U657" t="str">
            <v>Food</v>
          </cell>
          <cell r="V657" t="str">
            <v>Cooked prawn</v>
          </cell>
          <cell r="X657" t="str">
            <v>ERR10549712</v>
          </cell>
        </row>
        <row r="658">
          <cell r="G658" t="str">
            <v>/home/projects/cge/backup/fastq/food_seqdata/NextSeq_209/FoodQCPipeline_tmp/conc_fqs/DTU_2022_1016201_1_SI_L287_R1_001.fq.gz</v>
          </cell>
          <cell r="H658" t="str">
            <v>/home/projects/cge/backup/fastq/food_seqdata/NextSeq_209/FoodQCPipeline_tmp/conc_fqs/DTU_2022_1016201_1_SI_L287_R2_001.fq.gz</v>
          </cell>
          <cell r="I658" t="str">
            <v>L287</v>
          </cell>
          <cell r="J658" t="str">
            <v>L287</v>
          </cell>
          <cell r="K658" t="str">
            <v>Listeria monocytogenes</v>
          </cell>
          <cell r="L658">
            <v>46056946</v>
          </cell>
          <cell r="M658">
            <v>14505751</v>
          </cell>
          <cell r="N658" t="str">
            <v>Slovenia</v>
          </cell>
          <cell r="Q658">
            <v>2011</v>
          </cell>
          <cell r="T658" t="str">
            <v>University of Ljubljana, Ljubljana, Slovenia</v>
          </cell>
          <cell r="U658" t="str">
            <v>Food</v>
          </cell>
          <cell r="V658" t="str">
            <v>Raw spiced beef meat (RTE)</v>
          </cell>
          <cell r="X658" t="str">
            <v>ERR10549705</v>
          </cell>
        </row>
        <row r="659">
          <cell r="G659" t="str">
            <v>/home/projects/cge/backup/fastq/food_seqdata/NextSeq_209/FoodQCPipeline_tmp/conc_fqs/DTU_2022_1016202_1_SI_L309_R1_001.fq.gz</v>
          </cell>
          <cell r="H659" t="str">
            <v>/home/projects/cge/backup/fastq/food_seqdata/NextSeq_209/FoodQCPipeline_tmp/conc_fqs/DTU_2022_1016202_1_SI_L309_R2_001.fq.gz</v>
          </cell>
          <cell r="I659" t="str">
            <v>L309</v>
          </cell>
          <cell r="J659" t="str">
            <v>L309</v>
          </cell>
          <cell r="K659" t="str">
            <v>Listeria monocytogenes</v>
          </cell>
          <cell r="L659">
            <v>46056946</v>
          </cell>
          <cell r="M659">
            <v>14505751</v>
          </cell>
          <cell r="N659" t="str">
            <v>Slovenia</v>
          </cell>
          <cell r="Q659">
            <v>2011</v>
          </cell>
          <cell r="T659" t="str">
            <v>University of Ljubljana, Ljubljana, Slovenia</v>
          </cell>
          <cell r="U659" t="str">
            <v>Food</v>
          </cell>
          <cell r="V659" t="str">
            <v>Salmon</v>
          </cell>
          <cell r="X659" t="str">
            <v>ERR10549714</v>
          </cell>
        </row>
        <row r="660">
          <cell r="G660" t="str">
            <v>/home/projects/cge/backup/fastq/food_seqdata/NextSeq_209/FoodQCPipeline_tmp/conc_fqs/DTU_2022_1016220_1_SI_L405_R1_001.fq.gz</v>
          </cell>
          <cell r="H660" t="str">
            <v>/home/projects/cge/backup/fastq/food_seqdata/NextSeq_209/FoodQCPipeline_tmp/conc_fqs/DTU_2022_1016220_1_SI_L405_R2_001.fq.gz</v>
          </cell>
          <cell r="I660" t="str">
            <v>L405</v>
          </cell>
          <cell r="J660" t="str">
            <v>L405</v>
          </cell>
          <cell r="K660" t="str">
            <v>Listeria monocytogenes</v>
          </cell>
          <cell r="L660">
            <v>46056946</v>
          </cell>
          <cell r="M660">
            <v>14505751</v>
          </cell>
          <cell r="N660" t="str">
            <v>Slovenia</v>
          </cell>
          <cell r="Q660">
            <v>2011</v>
          </cell>
          <cell r="T660" t="str">
            <v>University of Ljubljana, Ljubljana, Slovenia</v>
          </cell>
          <cell r="U660" t="str">
            <v>Food</v>
          </cell>
          <cell r="V660" t="str">
            <v>Desert</v>
          </cell>
          <cell r="X660" t="str">
            <v>ERR10549718</v>
          </cell>
        </row>
        <row r="661">
          <cell r="G661" t="str">
            <v>/home/projects/cge/backup/fastq/food_seqdata/NextSeq_209/FoodQCPipeline_tmp/conc_fqs/DTU_2022_1016248_1_SI_L869_R1_001.fq.gz</v>
          </cell>
          <cell r="H661" t="str">
            <v>/home/projects/cge/backup/fastq/food_seqdata/NextSeq_209/FoodQCPipeline_tmp/conc_fqs/DTU_2022_1016248_1_SI_L869_R2_001.fq.gz</v>
          </cell>
          <cell r="I661" t="str">
            <v>L869</v>
          </cell>
          <cell r="J661" t="str">
            <v>L869</v>
          </cell>
          <cell r="K661" t="str">
            <v>Listeria monocytogenes</v>
          </cell>
          <cell r="L661">
            <v>46056946</v>
          </cell>
          <cell r="M661">
            <v>14505751</v>
          </cell>
          <cell r="N661" t="str">
            <v>Slovenia</v>
          </cell>
          <cell r="Q661">
            <v>2011</v>
          </cell>
          <cell r="T661" t="str">
            <v>University of Ljubljana, Ljubljana, Slovenia</v>
          </cell>
          <cell r="U661" t="str">
            <v>Farm environment</v>
          </cell>
          <cell r="V661" t="str">
            <v>Cow feces  (farm environment)</v>
          </cell>
          <cell r="X661" t="str">
            <v>ERR10549699</v>
          </cell>
        </row>
        <row r="662">
          <cell r="G662" t="str">
            <v>/home/projects/cge/backup/fastq/food_seqdata/NextSeq_209/FoodQCPipeline_tmp/conc_fqs/DTU_2022_1016249_1_SI_L885_R1_001.fq.gz</v>
          </cell>
          <cell r="H662" t="str">
            <v>/home/projects/cge/backup/fastq/food_seqdata/NextSeq_209/FoodQCPipeline_tmp/conc_fqs/DTU_2022_1016249_1_SI_L885_R2_001.fq.gz</v>
          </cell>
          <cell r="I662" t="str">
            <v>L885</v>
          </cell>
          <cell r="J662" t="str">
            <v>L885</v>
          </cell>
          <cell r="K662" t="str">
            <v>Listeria monocytogenes</v>
          </cell>
          <cell r="L662">
            <v>46056946</v>
          </cell>
          <cell r="M662">
            <v>14505751</v>
          </cell>
          <cell r="N662" t="str">
            <v>Slovenia</v>
          </cell>
          <cell r="Q662">
            <v>2011</v>
          </cell>
          <cell r="T662" t="str">
            <v>University of Ljubljana, Ljubljana, Slovenia</v>
          </cell>
          <cell r="U662" t="str">
            <v>Farm environment</v>
          </cell>
          <cell r="V662" t="str">
            <v>Cow feces  (farm environment)</v>
          </cell>
          <cell r="X662" t="str">
            <v>ERR10549751</v>
          </cell>
        </row>
        <row r="663">
          <cell r="G663" t="str">
            <v>/home/projects/cge/data/projects/other/Listeria_disinfectant_project/Slovenia_Bojan_Papic/raw_data/L236_R1.fastq.gz</v>
          </cell>
          <cell r="H663" t="str">
            <v>/home/projects/cge/data/projects/other/Listeria_disinfectant_project/Slovenia_Bojan_Papic/raw_data/L236_R2.fastq.gz</v>
          </cell>
          <cell r="I663" t="str">
            <v>L236</v>
          </cell>
          <cell r="J663" t="str">
            <v>L236</v>
          </cell>
          <cell r="K663" t="str">
            <v>Listeria monocytogenes</v>
          </cell>
          <cell r="L663">
            <v>46056946</v>
          </cell>
          <cell r="M663">
            <v>14505751</v>
          </cell>
          <cell r="N663" t="str">
            <v>Slovenia</v>
          </cell>
          <cell r="Q663">
            <v>2011</v>
          </cell>
          <cell r="T663" t="str">
            <v>University of Ljubljana, Ljubljana, Slovenia</v>
          </cell>
          <cell r="U663" t="str">
            <v>Food</v>
          </cell>
          <cell r="V663" t="str">
            <v>Salmon</v>
          </cell>
          <cell r="X663" t="str">
            <v>ERR10549741</v>
          </cell>
        </row>
        <row r="664">
          <cell r="G664" t="str">
            <v>/home/projects/cge/data/projects/other/Listeria_disinfectant_project/Slovenia_Bojan_Papic/raw_data/L295_R1.fastq.gz</v>
          </cell>
          <cell r="H664" t="str">
            <v>/home/projects/cge/data/projects/other/Listeria_disinfectant_project/Slovenia_Bojan_Papic/raw_data/L295_R2.fastq.gz</v>
          </cell>
          <cell r="I664" t="str">
            <v>L295</v>
          </cell>
          <cell r="J664" t="str">
            <v>L295</v>
          </cell>
          <cell r="K664" t="str">
            <v>Listeria monocytogenes</v>
          </cell>
          <cell r="L664">
            <v>46056946</v>
          </cell>
          <cell r="M664">
            <v>14505751</v>
          </cell>
          <cell r="N664" t="str">
            <v>Slovenia</v>
          </cell>
          <cell r="Q664">
            <v>2011</v>
          </cell>
          <cell r="R664" t="str">
            <v>Bos taurus</v>
          </cell>
          <cell r="T664" t="str">
            <v>University of Ljubljana, Ljubljana, Slovenia</v>
          </cell>
          <cell r="U664" t="str">
            <v>Animal</v>
          </cell>
          <cell r="V664" t="str">
            <v>Cow udder (subclinical mastitis)</v>
          </cell>
          <cell r="X664" t="str">
            <v>ERR10549701</v>
          </cell>
        </row>
        <row r="665">
          <cell r="G665" t="str">
            <v>/home/projects/cge/backup/fastq/food_seqdata/NextSeq_208/FoodQCPipeline_tmp/conc_fqs/DTU_2022_1016128_1_SI_L1007_R1_001.fq.gz</v>
          </cell>
          <cell r="H665" t="str">
            <v>/home/projects/cge/backup/fastq/food_seqdata/NextSeq_209/FoodQCPipeline_tmp/conc_fqs/DTU_2022_1016128_1_SI_L1007_R2_001.fq.gz</v>
          </cell>
          <cell r="I665" t="str">
            <v>L1007</v>
          </cell>
          <cell r="J665" t="str">
            <v>L1007</v>
          </cell>
          <cell r="K665" t="str">
            <v>Listeria monocytogenes</v>
          </cell>
          <cell r="L665">
            <v>46056946</v>
          </cell>
          <cell r="M665">
            <v>14505751</v>
          </cell>
          <cell r="N665" t="str">
            <v>Slovenia</v>
          </cell>
          <cell r="Q665">
            <v>2012</v>
          </cell>
          <cell r="T665" t="str">
            <v>University of Ljubljana, Ljubljana, Slovenia</v>
          </cell>
          <cell r="U665" t="str">
            <v>Farm environment</v>
          </cell>
          <cell r="X665" t="str">
            <v>ERR10611995</v>
          </cell>
        </row>
        <row r="666">
          <cell r="G666" t="str">
            <v>/home/projects/cge/backup/fastq/food_seqdata/NextSeq_208/FoodQCPipeline_tmp/conc_fqs/DTU_2022_1016129_1_SI_L1009_R1_001.fq.gz</v>
          </cell>
          <cell r="H666" t="str">
            <v>/home/projects/cge/backup/fastq/food_seqdata/NextSeq_209/FoodQCPipeline_tmp/conc_fqs/DTU_2022_1016129_1_SI_L1009_R2_001.fq.gz</v>
          </cell>
          <cell r="I666" t="str">
            <v>L1009</v>
          </cell>
          <cell r="J666" t="str">
            <v>L1009</v>
          </cell>
          <cell r="K666" t="str">
            <v>Listeria monocytogenes</v>
          </cell>
          <cell r="L666">
            <v>46056946</v>
          </cell>
          <cell r="M666">
            <v>14505751</v>
          </cell>
          <cell r="N666" t="str">
            <v>Slovenia</v>
          </cell>
          <cell r="Q666">
            <v>2012</v>
          </cell>
          <cell r="T666" t="str">
            <v>University of Ljubljana, Ljubljana, Slovenia</v>
          </cell>
          <cell r="U666" t="str">
            <v>Farm environment</v>
          </cell>
          <cell r="X666" t="str">
            <v>ERR10611969</v>
          </cell>
        </row>
        <row r="667">
          <cell r="G667" t="str">
            <v>/home/projects/cge/backup/fastq/food_seqdata/NextSeq_208/FoodQCPipeline_tmp/conc_fqs/DTU_2022_1016130_1_SI_L1010_R1_001.fq.gz</v>
          </cell>
          <cell r="H667" t="str">
            <v>/home/projects/cge/backup/fastq/food_seqdata/NextSeq_209/FoodQCPipeline_tmp/conc_fqs/DTU_2022_1016130_1_SI_L1010_R2_001.fq.gz</v>
          </cell>
          <cell r="I667" t="str">
            <v>L1010</v>
          </cell>
          <cell r="J667" t="str">
            <v>L1010</v>
          </cell>
          <cell r="K667" t="str">
            <v>Listeria monocytogenes</v>
          </cell>
          <cell r="L667">
            <v>46056946</v>
          </cell>
          <cell r="M667">
            <v>14505751</v>
          </cell>
          <cell r="N667" t="str">
            <v>Slovenia</v>
          </cell>
          <cell r="Q667">
            <v>2012</v>
          </cell>
          <cell r="T667" t="str">
            <v>University of Ljubljana, Ljubljana, Slovenia</v>
          </cell>
          <cell r="U667" t="str">
            <v>Farm environment</v>
          </cell>
          <cell r="X667" t="str">
            <v>ERR10612013</v>
          </cell>
        </row>
        <row r="668">
          <cell r="G668" t="str">
            <v>/home/projects/cge/backup/fastq/food_seqdata/NextSeq_208/FoodQCPipeline_tmp/conc_fqs/DTU_2022_1016132_1_SI_L1016_R1_001.fq.gz</v>
          </cell>
          <cell r="H668" t="str">
            <v>/home/projects/cge/backup/fastq/food_seqdata/NextSeq_209/FoodQCPipeline_tmp/conc_fqs/DTU_2022_1016132_1_SI_L1016_R2_001.fq.gz</v>
          </cell>
          <cell r="I668" t="str">
            <v>L1016</v>
          </cell>
          <cell r="J668" t="str">
            <v>L1016</v>
          </cell>
          <cell r="K668" t="str">
            <v>Listeria monocytogenes</v>
          </cell>
          <cell r="L668">
            <v>46056946</v>
          </cell>
          <cell r="M668">
            <v>14505751</v>
          </cell>
          <cell r="N668" t="str">
            <v>Slovenia</v>
          </cell>
          <cell r="Q668">
            <v>2012</v>
          </cell>
          <cell r="T668" t="str">
            <v>University of Ljubljana, Ljubljana, Slovenia</v>
          </cell>
          <cell r="U668" t="str">
            <v>Farm environment</v>
          </cell>
          <cell r="X668" t="str">
            <v>ERR10611970</v>
          </cell>
        </row>
        <row r="669">
          <cell r="G669" t="str">
            <v>/home/projects/cge/backup/fastq/food_seqdata/NextSeq_208/FoodQCPipeline_tmp/conc_fqs/DTU_2022_1016133_1_SI_L1020_R1_001.fq.gz</v>
          </cell>
          <cell r="H669" t="str">
            <v>/home/projects/cge/backup/fastq/food_seqdata/NextSeq_209/FoodQCPipeline_tmp/conc_fqs/DTU_2022_1016133_1_SI_L1020_R2_001.fq.gz</v>
          </cell>
          <cell r="I669" t="str">
            <v>L1020</v>
          </cell>
          <cell r="J669" t="str">
            <v>L1020</v>
          </cell>
          <cell r="K669" t="str">
            <v>Listeria monocytogenes</v>
          </cell>
          <cell r="L669">
            <v>46056946</v>
          </cell>
          <cell r="M669">
            <v>14505751</v>
          </cell>
          <cell r="N669" t="str">
            <v>Slovenia</v>
          </cell>
          <cell r="Q669">
            <v>2012</v>
          </cell>
          <cell r="T669" t="str">
            <v>University of Ljubljana, Ljubljana, Slovenia</v>
          </cell>
          <cell r="U669" t="str">
            <v>Farm environment</v>
          </cell>
          <cell r="X669" t="str">
            <v>ERR10612002</v>
          </cell>
        </row>
        <row r="670">
          <cell r="G670" t="str">
            <v>/home/projects/cge/backup/fastq/food_seqdata/NextSeq_208/FoodQCPipeline_tmp/conc_fqs/DTU_2022_1016134_1_SI_L1027_R1_001.fq.gz</v>
          </cell>
          <cell r="H670" t="str">
            <v>/home/projects/cge/backup/fastq/food_seqdata/NextSeq_209/FoodQCPipeline_tmp/conc_fqs/DTU_2022_1016134_1_SI_L1027_R2_001.fq.gz</v>
          </cell>
          <cell r="I670" t="str">
            <v>L1027</v>
          </cell>
          <cell r="J670" t="str">
            <v>L1027</v>
          </cell>
          <cell r="K670" t="str">
            <v>Listeria monocytogenes</v>
          </cell>
          <cell r="L670">
            <v>46056946</v>
          </cell>
          <cell r="M670">
            <v>14505751</v>
          </cell>
          <cell r="N670" t="str">
            <v>Slovenia</v>
          </cell>
          <cell r="Q670">
            <v>2012</v>
          </cell>
          <cell r="T670" t="str">
            <v>University of Ljubljana, Ljubljana, Slovenia</v>
          </cell>
          <cell r="U670" t="str">
            <v>Farm environment</v>
          </cell>
          <cell r="X670" t="str">
            <v>ERR10611994</v>
          </cell>
        </row>
        <row r="671">
          <cell r="G671" t="str">
            <v>/home/projects/cge/backup/fastq/food_seqdata/NextSeq_209/FoodQCPipeline_tmp/conc_fqs/DTU_2022_1016203_1_SI_L324_R1_001.fq.gz</v>
          </cell>
          <cell r="H671" t="str">
            <v>/home/projects/cge/backup/fastq/food_seqdata/NextSeq_209/FoodQCPipeline_tmp/conc_fqs/DTU_2022_1016203_1_SI_L324_R2_001.fq.gz</v>
          </cell>
          <cell r="I671" t="str">
            <v>L324</v>
          </cell>
          <cell r="J671" t="str">
            <v>L324</v>
          </cell>
          <cell r="K671" t="str">
            <v>Listeria monocytogenes</v>
          </cell>
          <cell r="L671">
            <v>46056946</v>
          </cell>
          <cell r="M671">
            <v>14505751</v>
          </cell>
          <cell r="N671" t="str">
            <v>Slovenia</v>
          </cell>
          <cell r="Q671">
            <v>2012</v>
          </cell>
          <cell r="T671" t="str">
            <v>University of Ljubljana, Ljubljana, Slovenia</v>
          </cell>
          <cell r="U671" t="str">
            <v>Farm environment</v>
          </cell>
          <cell r="V671" t="str">
            <v>Manure (farm environment)</v>
          </cell>
          <cell r="X671" t="str">
            <v>ERR10549720</v>
          </cell>
        </row>
        <row r="672">
          <cell r="G672" t="str">
            <v>/home/projects/cge/backup/fastq/food_seqdata/NextSeq_209/FoodQCPipeline_tmp/conc_fqs/DTU_2022_1016221_1_SI_L439_R1_001.fq.gz</v>
          </cell>
          <cell r="H672" t="str">
            <v>/home/projects/cge/backup/fastq/food_seqdata/NextSeq_209/FoodQCPipeline_tmp/conc_fqs/DTU_2022_1016221_1_SI_L439_R2_001.fq.gz</v>
          </cell>
          <cell r="I672" t="str">
            <v>L439</v>
          </cell>
          <cell r="J672" t="str">
            <v>L439</v>
          </cell>
          <cell r="K672" t="str">
            <v>Listeria monocytogenes</v>
          </cell>
          <cell r="L672">
            <v>46056946</v>
          </cell>
          <cell r="M672">
            <v>14505751</v>
          </cell>
          <cell r="N672" t="str">
            <v>Slovenia</v>
          </cell>
          <cell r="Q672">
            <v>2012</v>
          </cell>
          <cell r="T672" t="str">
            <v>University of Ljubljana, Ljubljana, Slovenia</v>
          </cell>
          <cell r="U672" t="str">
            <v>Farm environment</v>
          </cell>
          <cell r="V672" t="str">
            <v>Manure (farm environment)</v>
          </cell>
          <cell r="X672" t="str">
            <v>ERR10549724</v>
          </cell>
        </row>
        <row r="673">
          <cell r="G673" t="str">
            <v>/home/projects/cge/backup/fastq/food_seqdata/NextSeq_209/FoodQCPipeline_tmp/conc_fqs/DTU_2022_1016222_1_SI_L441_R1_001.fq.gz</v>
          </cell>
          <cell r="H673" t="str">
            <v>/home/projects/cge/backup/fastq/food_seqdata/NextSeq_209/FoodQCPipeline_tmp/conc_fqs/DTU_2022_1016222_1_SI_L441_R2_001.fq.gz</v>
          </cell>
          <cell r="I673" t="str">
            <v>L441</v>
          </cell>
          <cell r="J673" t="str">
            <v>L441</v>
          </cell>
          <cell r="K673" t="str">
            <v>Listeria monocytogenes</v>
          </cell>
          <cell r="L673">
            <v>46056946</v>
          </cell>
          <cell r="M673">
            <v>14505751</v>
          </cell>
          <cell r="N673" t="str">
            <v>Slovenia</v>
          </cell>
          <cell r="Q673">
            <v>2012</v>
          </cell>
          <cell r="T673" t="str">
            <v>University of Ljubljana, Ljubljana, Slovenia</v>
          </cell>
          <cell r="U673" t="str">
            <v>Farm environment</v>
          </cell>
          <cell r="V673" t="str">
            <v>Manure (farm environment)</v>
          </cell>
          <cell r="X673" t="str">
            <v>ERR10549737</v>
          </cell>
        </row>
        <row r="674">
          <cell r="G674" t="str">
            <v>/home/projects/cge/backup/fastq/food_seqdata/NextSeq_209/FoodQCPipeline_tmp/conc_fqs/DTU_2022_1016223_1_SI_L448_R1_001.fq.gz</v>
          </cell>
          <cell r="H674" t="str">
            <v>/home/projects/cge/backup/fastq/food_seqdata/NextSeq_209/FoodQCPipeline_tmp/conc_fqs/DTU_2022_1016223_1_SI_L448_R2_001.fq.gz</v>
          </cell>
          <cell r="I674" t="str">
            <v>L448</v>
          </cell>
          <cell r="J674" t="str">
            <v>L448</v>
          </cell>
          <cell r="K674" t="str">
            <v>Listeria monocytogenes</v>
          </cell>
          <cell r="L674">
            <v>46056946</v>
          </cell>
          <cell r="M674">
            <v>14505751</v>
          </cell>
          <cell r="N674" t="str">
            <v>Slovenia</v>
          </cell>
          <cell r="Q674">
            <v>2012</v>
          </cell>
          <cell r="T674" t="str">
            <v>University of Ljubljana, Ljubljana, Slovenia</v>
          </cell>
          <cell r="U674" t="str">
            <v>Farm environment</v>
          </cell>
          <cell r="V674" t="str">
            <v>Soil (farm environment)</v>
          </cell>
          <cell r="X674" t="str">
            <v>ERR10549706</v>
          </cell>
        </row>
        <row r="675">
          <cell r="G675" t="str">
            <v>/home/projects/cge/backup/fastq/food_seqdata/NextSeq_209/FoodQCPipeline_tmp/conc_fqs/DTU_2022_1016224_1_SI_L449_R1_001.fq.gz</v>
          </cell>
          <cell r="H675" t="str">
            <v>/home/projects/cge/backup/fastq/food_seqdata/NextSeq_209/FoodQCPipeline_tmp/conc_fqs/DTU_2022_1016224_1_SI_L449_R2_001.fq.gz</v>
          </cell>
          <cell r="I675" t="str">
            <v>L449</v>
          </cell>
          <cell r="J675" t="str">
            <v>L449</v>
          </cell>
          <cell r="K675" t="str">
            <v>Listeria monocytogenes</v>
          </cell>
          <cell r="L675">
            <v>46056946</v>
          </cell>
          <cell r="M675">
            <v>14505751</v>
          </cell>
          <cell r="N675" t="str">
            <v>Slovenia</v>
          </cell>
          <cell r="Q675">
            <v>2012</v>
          </cell>
          <cell r="T675" t="str">
            <v>University of Ljubljana, Ljubljana, Slovenia</v>
          </cell>
          <cell r="U675" t="str">
            <v>Farm environment</v>
          </cell>
          <cell r="V675" t="str">
            <v>Manure (farm environment)</v>
          </cell>
          <cell r="X675" t="str">
            <v>ERR10549723</v>
          </cell>
        </row>
        <row r="676">
          <cell r="G676" t="str">
            <v>/home/projects/cge/backup/fastq/food_seqdata/NextSeq_209/FoodQCPipeline_tmp/conc_fqs/DTU_2022_1016225_1_SI_L455_R1_001.fq.gz</v>
          </cell>
          <cell r="H676" t="str">
            <v>/home/projects/cge/backup/fastq/food_seqdata/NextSeq_209/FoodQCPipeline_tmp/conc_fqs/DTU_2022_1016225_1_SI_L455_R2_001.fq.gz</v>
          </cell>
          <cell r="I676" t="str">
            <v>L455</v>
          </cell>
          <cell r="J676" t="str">
            <v>L455</v>
          </cell>
          <cell r="K676" t="str">
            <v>Listeria monocytogenes</v>
          </cell>
          <cell r="L676">
            <v>46056946</v>
          </cell>
          <cell r="M676">
            <v>14505751</v>
          </cell>
          <cell r="N676" t="str">
            <v>Slovenia</v>
          </cell>
          <cell r="Q676">
            <v>2012</v>
          </cell>
          <cell r="T676" t="str">
            <v>University of Ljubljana, Ljubljana, Slovenia</v>
          </cell>
          <cell r="U676" t="str">
            <v>Farm environment</v>
          </cell>
          <cell r="V676" t="str">
            <v>Soil (farm environment)</v>
          </cell>
          <cell r="X676" t="str">
            <v>ERR10549756</v>
          </cell>
        </row>
        <row r="677">
          <cell r="G677" t="str">
            <v>/home/projects/cge/backup/fastq/food_seqdata/NextSeq_209/FoodQCPipeline_tmp/conc_fqs/DTU_2022_1016226_1_SI_L478_R1_001.fq.gz</v>
          </cell>
          <cell r="H677" t="str">
            <v>/home/projects/cge/backup/fastq/food_seqdata/NextSeq_209/FoodQCPipeline_tmp/conc_fqs/DTU_2022_1016226_1_SI_L478_R2_001.fq.gz</v>
          </cell>
          <cell r="I677" t="str">
            <v>L478</v>
          </cell>
          <cell r="J677" t="str">
            <v>L478</v>
          </cell>
          <cell r="K677" t="str">
            <v>Listeria monocytogenes</v>
          </cell>
          <cell r="L677">
            <v>46056946</v>
          </cell>
          <cell r="M677">
            <v>14505751</v>
          </cell>
          <cell r="N677" t="str">
            <v>Slovenia</v>
          </cell>
          <cell r="Q677">
            <v>2012</v>
          </cell>
          <cell r="T677" t="str">
            <v>University of Ljubljana, Ljubljana, Slovenia</v>
          </cell>
          <cell r="U677" t="str">
            <v>Production environment</v>
          </cell>
          <cell r="V677" t="str">
            <v>Surface swab - abattoir (food-processing environment)</v>
          </cell>
          <cell r="X677" t="str">
            <v>ERR10549730</v>
          </cell>
        </row>
        <row r="678">
          <cell r="G678" t="str">
            <v>/home/projects/cge/backup/fastq/food_seqdata/NextSeq_209/FoodQCPipeline_tmp/conc_fqs/DTU_2022_1016227_1_SI_L479_R1_001.fq.gz</v>
          </cell>
          <cell r="H678" t="str">
            <v>/home/projects/cge/backup/fastq/food_seqdata/NextSeq_209/FoodQCPipeline_tmp/conc_fqs/DTU_2022_1016227_1_SI_L479_R2_001.fq.gz</v>
          </cell>
          <cell r="I678" t="str">
            <v>L479</v>
          </cell>
          <cell r="J678" t="str">
            <v>L479</v>
          </cell>
          <cell r="K678" t="str">
            <v>Listeria monocytogenes</v>
          </cell>
          <cell r="L678">
            <v>46056946</v>
          </cell>
          <cell r="M678">
            <v>14505751</v>
          </cell>
          <cell r="N678" t="str">
            <v>Slovenia</v>
          </cell>
          <cell r="Q678">
            <v>2012</v>
          </cell>
          <cell r="T678" t="str">
            <v>University of Ljubljana, Ljubljana, Slovenia</v>
          </cell>
          <cell r="U678" t="str">
            <v>Production environment</v>
          </cell>
          <cell r="V678" t="str">
            <v>Surface swab - abattoir (food-processing environment)</v>
          </cell>
          <cell r="X678" t="str">
            <v>ERR10549732</v>
          </cell>
        </row>
        <row r="679">
          <cell r="G679" t="str">
            <v>/home/projects/cge/backup/fastq/food_seqdata/NextSeq_209/FoodQCPipeline_tmp/conc_fqs/DTU_2022_1016250_1_SI_L914_R1_001.fq.gz</v>
          </cell>
          <cell r="H679" t="str">
            <v>/home/projects/cge/backup/fastq/food_seqdata/NextSeq_209/FoodQCPipeline_tmp/conc_fqs/DTU_2022_1016250_1_SI_L914_R2_001.fq.gz</v>
          </cell>
          <cell r="I679" t="str">
            <v>L914</v>
          </cell>
          <cell r="J679" t="str">
            <v>L914</v>
          </cell>
          <cell r="K679" t="str">
            <v>Listeria monocytogenes</v>
          </cell>
          <cell r="L679">
            <v>46056946</v>
          </cell>
          <cell r="M679">
            <v>14505751</v>
          </cell>
          <cell r="N679" t="str">
            <v>Slovenia</v>
          </cell>
          <cell r="Q679">
            <v>2012</v>
          </cell>
          <cell r="T679" t="str">
            <v>University of Ljubljana, Ljubljana, Slovenia</v>
          </cell>
          <cell r="U679" t="str">
            <v>Farm environment</v>
          </cell>
          <cell r="V679" t="str">
            <v>Cow feces  (farm environment)</v>
          </cell>
          <cell r="X679" t="str">
            <v>ERR10549728</v>
          </cell>
        </row>
        <row r="680">
          <cell r="G680" t="str">
            <v>/home/projects/cge/backup/fastq/food_seqdata/NextSeq_209/FoodQCPipeline_tmp/conc_fqs/DTU_2022_1016252_1_SI_L924_R1_001.fq.gz</v>
          </cell>
          <cell r="H680" t="str">
            <v>/home/projects/cge/backup/fastq/food_seqdata/NextSeq_209/FoodQCPipeline_tmp/conc_fqs/DTU_2022_1016252_1_SI_L924_R2_001.fq.gz</v>
          </cell>
          <cell r="I680" t="str">
            <v>L924</v>
          </cell>
          <cell r="J680" t="str">
            <v>L924</v>
          </cell>
          <cell r="K680" t="str">
            <v>Listeria monocytogenes</v>
          </cell>
          <cell r="L680">
            <v>46056946</v>
          </cell>
          <cell r="M680">
            <v>14505751</v>
          </cell>
          <cell r="N680" t="str">
            <v>Slovenia</v>
          </cell>
          <cell r="Q680">
            <v>2012</v>
          </cell>
          <cell r="T680" t="str">
            <v>University of Ljubljana, Ljubljana, Slovenia</v>
          </cell>
          <cell r="U680" t="str">
            <v>Farm environment</v>
          </cell>
          <cell r="V680" t="str">
            <v>Cow feces  (farm environment)</v>
          </cell>
          <cell r="X680" t="str">
            <v>ERR10549734</v>
          </cell>
        </row>
        <row r="681">
          <cell r="G681" t="str">
            <v>/home/projects/cge/backup/fastq/food_seqdata/NextSeq_209/FoodQCPipeline_tmp/conc_fqs/DTU_2022_1016253_1_SI_L939_R1_001.fq.gz</v>
          </cell>
          <cell r="H681" t="str">
            <v>/home/projects/cge/backup/fastq/food_seqdata/NextSeq_209/FoodQCPipeline_tmp/conc_fqs/DTU_2022_1016253_1_SI_L939_R2_001.fq.gz</v>
          </cell>
          <cell r="I681" t="str">
            <v>L939</v>
          </cell>
          <cell r="J681" t="str">
            <v>L939</v>
          </cell>
          <cell r="K681" t="str">
            <v>Listeria monocytogenes</v>
          </cell>
          <cell r="L681">
            <v>46056946</v>
          </cell>
          <cell r="M681">
            <v>14505751</v>
          </cell>
          <cell r="N681" t="str">
            <v>Slovenia</v>
          </cell>
          <cell r="Q681">
            <v>2012</v>
          </cell>
          <cell r="T681" t="str">
            <v>University of Ljubljana, Ljubljana, Slovenia</v>
          </cell>
          <cell r="U681" t="str">
            <v>Farm environment</v>
          </cell>
          <cell r="V681" t="str">
            <v>Cow feces  (farm environment)</v>
          </cell>
          <cell r="X681" t="str">
            <v>ERR10549716</v>
          </cell>
        </row>
        <row r="682">
          <cell r="G682" t="str">
            <v>/home/projects/cge/backup/fastq/food_seqdata/NextSeq_209/FoodQCPipeline_tmp/conc_fqs/DTU_2022_1016254_1_SI_L940_R1_001.fq.gz</v>
          </cell>
          <cell r="H682" t="str">
            <v>/home/projects/cge/backup/fastq/food_seqdata/NextSeq_209/FoodQCPipeline_tmp/conc_fqs/DTU_2022_1016254_1_SI_L940_R2_001.fq.gz</v>
          </cell>
          <cell r="I682" t="str">
            <v>L940</v>
          </cell>
          <cell r="J682" t="str">
            <v>L940</v>
          </cell>
          <cell r="K682" t="str">
            <v>Listeria monocytogenes</v>
          </cell>
          <cell r="L682">
            <v>46056946</v>
          </cell>
          <cell r="M682">
            <v>14505751</v>
          </cell>
          <cell r="N682" t="str">
            <v>Slovenia</v>
          </cell>
          <cell r="Q682">
            <v>2012</v>
          </cell>
          <cell r="T682" t="str">
            <v>University of Ljubljana, Ljubljana, Slovenia</v>
          </cell>
          <cell r="U682" t="str">
            <v>Farm environment</v>
          </cell>
          <cell r="V682" t="str">
            <v>Cow feces  (farm environment)</v>
          </cell>
          <cell r="X682" t="str">
            <v>ERR10549763</v>
          </cell>
        </row>
        <row r="683">
          <cell r="G683" t="str">
            <v>/home/projects/cge/backup/fastq/food_seqdata/NextSeq_209/FoodQCPipeline_tmp/conc_fqs/DTU_2022_1016255_1_SI_L979_R1_001.fq.gz</v>
          </cell>
          <cell r="H683" t="str">
            <v>/home/projects/cge/backup/fastq/food_seqdata/NextSeq_209/FoodQCPipeline_tmp/conc_fqs/DTU_2022_1016255_1_SI_L979_R2_001.fq.gz</v>
          </cell>
          <cell r="I683" t="str">
            <v>L979</v>
          </cell>
          <cell r="J683" t="str">
            <v>L979</v>
          </cell>
          <cell r="K683" t="str">
            <v>Listeria monocytogenes</v>
          </cell>
          <cell r="L683">
            <v>46056946</v>
          </cell>
          <cell r="M683">
            <v>14505751</v>
          </cell>
          <cell r="N683" t="str">
            <v>Slovenia</v>
          </cell>
          <cell r="Q683">
            <v>2012</v>
          </cell>
          <cell r="T683" t="str">
            <v>University of Ljubljana, Ljubljana, Slovenia</v>
          </cell>
          <cell r="U683" t="str">
            <v>Farm environment</v>
          </cell>
          <cell r="V683" t="str">
            <v>Cow feces  (farm environment)</v>
          </cell>
          <cell r="X683" t="str">
            <v>ERR10549729</v>
          </cell>
        </row>
        <row r="684">
          <cell r="G684" t="str">
            <v>/home/projects/cge/backup/fastq/food_seqdata/NextSeq_209/FoodQCPipeline_tmp/conc_fqs/DTU_2022_1016257_1_SI_L994_R1_001.fq.gz</v>
          </cell>
          <cell r="H684" t="str">
            <v>/home/projects/cge/backup/fastq/food_seqdata/NextSeq_209/FoodQCPipeline_tmp/conc_fqs/DTU_2022_1016257_1_SI_L994_R2_001.fq.gz</v>
          </cell>
          <cell r="I684" t="str">
            <v>L994</v>
          </cell>
          <cell r="J684" t="str">
            <v>L994</v>
          </cell>
          <cell r="K684" t="str">
            <v>Listeria monocytogenes</v>
          </cell>
          <cell r="L684">
            <v>46056946</v>
          </cell>
          <cell r="M684">
            <v>14505751</v>
          </cell>
          <cell r="N684" t="str">
            <v>Slovenia</v>
          </cell>
          <cell r="Q684">
            <v>2012</v>
          </cell>
          <cell r="T684" t="str">
            <v>University of Ljubljana, Ljubljana, Slovenia</v>
          </cell>
          <cell r="U684" t="str">
            <v>Farm environment</v>
          </cell>
          <cell r="V684" t="str">
            <v>Cow feces  (farm environment)</v>
          </cell>
          <cell r="X684" t="str">
            <v>ERR10549750</v>
          </cell>
        </row>
        <row r="685">
          <cell r="G685" t="str">
            <v>/home/projects/cge/backup/fastq/food_seqdata/NextSeq_209/FoodQCPipeline_tmp/conc_fqs/DTU_2022_1016232_1_SI_L572_R1_001.fq.gz</v>
          </cell>
          <cell r="H685" t="str">
            <v>/home/projects/cge/backup/fastq/food_seqdata/NextSeq_209/FoodQCPipeline_tmp/conc_fqs/DTU_2022_1016232_1_SI_L572_R2_001.fq.gz</v>
          </cell>
          <cell r="I685" t="str">
            <v>L572</v>
          </cell>
          <cell r="J685" t="str">
            <v>L572</v>
          </cell>
          <cell r="K685" t="str">
            <v>Listeria monocytogenes</v>
          </cell>
          <cell r="L685">
            <v>46056946</v>
          </cell>
          <cell r="M685">
            <v>14505751</v>
          </cell>
          <cell r="N685" t="str">
            <v>Slovenia</v>
          </cell>
          <cell r="Q685">
            <v>2013</v>
          </cell>
          <cell r="T685" t="str">
            <v>University of Ljubljana, Ljubljana, Slovenia</v>
          </cell>
          <cell r="U685" t="str">
            <v>Food</v>
          </cell>
          <cell r="V685" t="str">
            <v>Baccala (codfish)</v>
          </cell>
          <cell r="X685" t="str">
            <v>ERR10549736</v>
          </cell>
        </row>
        <row r="686">
          <cell r="G686" t="str">
            <v>/home/projects/cge/backup/fastq/food_seqdata/NextSeq_209/FoodQCPipeline_tmp/conc_fqs/DTU_2022_1016233_1_SI_L599_R1_001.fq.gz</v>
          </cell>
          <cell r="H686" t="str">
            <v>/home/projects/cge/backup/fastq/food_seqdata/NextSeq_209/FoodQCPipeline_tmp/conc_fqs/DTU_2022_1016233_1_SI_L599_R2_001.fq.gz</v>
          </cell>
          <cell r="I686" t="str">
            <v>L599</v>
          </cell>
          <cell r="J686" t="str">
            <v>L599</v>
          </cell>
          <cell r="K686" t="str">
            <v>Listeria monocytogenes</v>
          </cell>
          <cell r="L686">
            <v>46056946</v>
          </cell>
          <cell r="M686">
            <v>14505751</v>
          </cell>
          <cell r="N686" t="str">
            <v>Slovenia</v>
          </cell>
          <cell r="Q686">
            <v>2013</v>
          </cell>
          <cell r="T686" t="str">
            <v>University of Ljubljana, Ljubljana, Slovenia</v>
          </cell>
          <cell r="U686" t="str">
            <v>Food</v>
          </cell>
          <cell r="V686" t="str">
            <v>Chicken meat</v>
          </cell>
          <cell r="X686" t="str">
            <v>ERR10549733</v>
          </cell>
        </row>
        <row r="687">
          <cell r="G687" t="str">
            <v>/home/projects/cge/backup/fastq/food_seqdata/NextSeq_208/FoodQCPipeline_tmp/conc_fqs/DTU_2022_1016160_1_SI_L691_R1_001.fq.gz</v>
          </cell>
          <cell r="H687" t="str">
            <v>/home/projects/cge/backup/fastq/food_seqdata/NextSeq_208/FoodQCPipeline_tmp/conc_fqs/DTU_2022_1016160_1_SI_L691_R2_001.fq.gz</v>
          </cell>
          <cell r="I687" t="str">
            <v>L691</v>
          </cell>
          <cell r="J687" t="str">
            <v>L691</v>
          </cell>
          <cell r="K687" t="str">
            <v>Listeria monocytogenes</v>
          </cell>
          <cell r="L687">
            <v>46056946</v>
          </cell>
          <cell r="M687">
            <v>14505751</v>
          </cell>
          <cell r="N687" t="str">
            <v>Slovenia</v>
          </cell>
          <cell r="Q687">
            <v>2014</v>
          </cell>
          <cell r="T687" t="str">
            <v>University of Ljubljana, Ljubljana, Slovenia</v>
          </cell>
          <cell r="U687" t="str">
            <v>Farm environment</v>
          </cell>
          <cell r="V687" t="str">
            <v>Water (water pipe in farm environment)</v>
          </cell>
          <cell r="X687" t="str">
            <v>ERR10549709</v>
          </cell>
        </row>
        <row r="688">
          <cell r="G688" t="str">
            <v>/home/projects/cge/backup/fastq/food_seqdata/NextSeq_209/FoodQCPipeline_tmp/conc_fqs/DTU_2022_1016235_1_SI_L628_R1_001.fq.gz</v>
          </cell>
          <cell r="H688" t="str">
            <v>/home/projects/cge/backup/fastq/food_seqdata/NextSeq_209/FoodQCPipeline_tmp/conc_fqs/DTU_2022_1016235_1_SI_L628_R2_001.fq.gz</v>
          </cell>
          <cell r="I688" t="str">
            <v>L628</v>
          </cell>
          <cell r="J688" t="str">
            <v>L628</v>
          </cell>
          <cell r="K688" t="str">
            <v>Listeria monocytogenes</v>
          </cell>
          <cell r="L688">
            <v>46056946</v>
          </cell>
          <cell r="M688">
            <v>14505751</v>
          </cell>
          <cell r="N688" t="str">
            <v>Slovenia</v>
          </cell>
          <cell r="Q688">
            <v>2014</v>
          </cell>
          <cell r="R688" t="str">
            <v>Bos taurus</v>
          </cell>
          <cell r="T688" t="str">
            <v>University of Ljubljana, Ljubljana, Slovenia</v>
          </cell>
          <cell r="U688" t="str">
            <v>Animal</v>
          </cell>
          <cell r="V688" t="str">
            <v>Cow brain (neurolisteriosis)</v>
          </cell>
          <cell r="X688" t="str">
            <v>ERR10549711</v>
          </cell>
        </row>
        <row r="689">
          <cell r="G689" t="str">
            <v>/home/projects/cge/backup/fastq/food_seqdata/NextSeq_209/FoodQCPipeline_tmp/conc_fqs/DTU_2022_1016236_1_SI_L629_R1_001.fq.gz</v>
          </cell>
          <cell r="H689" t="str">
            <v>/home/projects/cge/backup/fastq/food_seqdata/NextSeq_209/FoodQCPipeline_tmp/conc_fqs/DTU_2022_1016236_1_SI_L629_R2_001.fq.gz</v>
          </cell>
          <cell r="I689" t="str">
            <v>L629</v>
          </cell>
          <cell r="J689" t="str">
            <v>L629</v>
          </cell>
          <cell r="K689" t="str">
            <v>Listeria monocytogenes</v>
          </cell>
          <cell r="L689">
            <v>46056946</v>
          </cell>
          <cell r="M689">
            <v>14505751</v>
          </cell>
          <cell r="N689" t="str">
            <v>Slovenia</v>
          </cell>
          <cell r="Q689">
            <v>2014</v>
          </cell>
          <cell r="R689" t="str">
            <v>Ovis aries</v>
          </cell>
          <cell r="T689" t="str">
            <v>University of Ljubljana, Ljubljana, Slovenia</v>
          </cell>
          <cell r="U689" t="str">
            <v>Animal</v>
          </cell>
          <cell r="V689" t="str">
            <v>Sheep brain (neurolisteriosis)</v>
          </cell>
          <cell r="X689" t="str">
            <v>ERR10549744</v>
          </cell>
        </row>
        <row r="690">
          <cell r="G690" t="str">
            <v>/home/projects/cge/backup/fastq/food_seqdata/NextSeq_209/FoodQCPipeline_tmp/conc_fqs/DTU_2022_1016237_1_SI_L634_R1_001.fq.gz</v>
          </cell>
          <cell r="H690" t="str">
            <v>/home/projects/cge/backup/fastq/food_seqdata/NextSeq_209/FoodQCPipeline_tmp/conc_fqs/DTU_2022_1016237_1_SI_L634_R2_001.fq.gz</v>
          </cell>
          <cell r="I690" t="str">
            <v>L634</v>
          </cell>
          <cell r="J690" t="str">
            <v>L634</v>
          </cell>
          <cell r="K690" t="str">
            <v>Listeria monocytogenes</v>
          </cell>
          <cell r="L690">
            <v>46056946</v>
          </cell>
          <cell r="M690">
            <v>14505751</v>
          </cell>
          <cell r="N690" t="str">
            <v>Slovenia</v>
          </cell>
          <cell r="Q690">
            <v>2014</v>
          </cell>
          <cell r="R690" t="str">
            <v>Bos taurus</v>
          </cell>
          <cell r="T690" t="str">
            <v>University of Ljubljana, Ljubljana, Slovenia</v>
          </cell>
          <cell r="U690" t="str">
            <v>Animal</v>
          </cell>
          <cell r="V690" t="str">
            <v>Cow udder (subclinical mastitis)</v>
          </cell>
          <cell r="X690" t="str">
            <v>ERR10549740</v>
          </cell>
        </row>
        <row r="691">
          <cell r="G691" t="str">
            <v>/home/projects/cge/backup/fastq/food_seqdata/NextSeq_209/FoodQCPipeline_tmp/conc_fqs/DTU_2022_1016238_1_SI_L667_R1_001.fq.gz</v>
          </cell>
          <cell r="H691" t="str">
            <v>/home/projects/cge/backup/fastq/food_seqdata/NextSeq_209/FoodQCPipeline_tmp/conc_fqs/DTU_2022_1016238_1_SI_L667_R2_001.fq.gz</v>
          </cell>
          <cell r="I691" t="str">
            <v>L667</v>
          </cell>
          <cell r="J691" t="str">
            <v>L667</v>
          </cell>
          <cell r="K691" t="str">
            <v>Listeria monocytogenes</v>
          </cell>
          <cell r="L691">
            <v>46056946</v>
          </cell>
          <cell r="M691">
            <v>14505751</v>
          </cell>
          <cell r="N691" t="str">
            <v>Slovenia</v>
          </cell>
          <cell r="Q691">
            <v>2014</v>
          </cell>
          <cell r="T691" t="str">
            <v>University of Ljubljana, Ljubljana, Slovenia</v>
          </cell>
          <cell r="U691" t="str">
            <v>Farm environment</v>
          </cell>
          <cell r="V691" t="str">
            <v>Water (water pipe in farm environment)</v>
          </cell>
          <cell r="X691" t="str">
            <v>ERR10549745</v>
          </cell>
        </row>
        <row r="692">
          <cell r="G692" t="str">
            <v>/home/projects/cge/backup/fastq/food_seqdata/NextSeq_209/FoodQCPipeline_tmp/conc_fqs/DTU_2022_1016239_1_SI_L669_R1_001.fq.gz</v>
          </cell>
          <cell r="H692" t="str">
            <v>/home/projects/cge/backup/fastq/food_seqdata/NextSeq_209/FoodQCPipeline_tmp/conc_fqs/DTU_2022_1016239_1_SI_L669_R2_001.fq.gz</v>
          </cell>
          <cell r="I692" t="str">
            <v>L669</v>
          </cell>
          <cell r="J692" t="str">
            <v>L669</v>
          </cell>
          <cell r="K692" t="str">
            <v>Listeria monocytogenes</v>
          </cell>
          <cell r="L692">
            <v>46056946</v>
          </cell>
          <cell r="M692">
            <v>14505751</v>
          </cell>
          <cell r="N692" t="str">
            <v>Slovenia</v>
          </cell>
          <cell r="Q692">
            <v>2014</v>
          </cell>
          <cell r="T692" t="str">
            <v>University of Ljubljana, Ljubljana, Slovenia</v>
          </cell>
          <cell r="U692" t="str">
            <v>Farm environment</v>
          </cell>
          <cell r="V692" t="str">
            <v>Water (pond in the farm environment)</v>
          </cell>
          <cell r="X692" t="str">
            <v>ERR10549749</v>
          </cell>
        </row>
        <row r="693">
          <cell r="G693" t="str">
            <v>/home/projects/cge/backup/fastq/food_seqdata/NextSeq_209/FoodQCPipeline_tmp/conc_fqs/DTU_2022_1016240_1_SI_L670_R1_001.fq.gz</v>
          </cell>
          <cell r="H693" t="str">
            <v>/home/projects/cge/backup/fastq/food_seqdata/NextSeq_209/FoodQCPipeline_tmp/conc_fqs/DTU_2022_1016240_1_SI_L670_R2_001.fq.gz</v>
          </cell>
          <cell r="I693" t="str">
            <v>L670</v>
          </cell>
          <cell r="J693" t="str">
            <v>L670</v>
          </cell>
          <cell r="K693" t="str">
            <v>Listeria monocytogenes</v>
          </cell>
          <cell r="L693">
            <v>46056946</v>
          </cell>
          <cell r="M693">
            <v>14505751</v>
          </cell>
          <cell r="N693" t="str">
            <v>Slovenia</v>
          </cell>
          <cell r="Q693">
            <v>2014</v>
          </cell>
          <cell r="T693" t="str">
            <v>University of Ljubljana, Ljubljana, Slovenia</v>
          </cell>
          <cell r="U693" t="str">
            <v>Farm environment</v>
          </cell>
          <cell r="V693" t="str">
            <v>Roe deer feces (farm environment)</v>
          </cell>
          <cell r="X693" t="str">
            <v>ERR10549768</v>
          </cell>
        </row>
        <row r="694">
          <cell r="G694" t="str">
            <v>/home/projects/cge/backup/fastq/food_seqdata/NextSeq_209/FoodQCPipeline_tmp/conc_fqs/DTU_2022_1016241_1_SI_L710_R1_001.fq.gz</v>
          </cell>
          <cell r="H694" t="str">
            <v>/home/projects/cge/backup/fastq/food_seqdata/NextSeq_209/FoodQCPipeline_tmp/conc_fqs/DTU_2022_1016241_1_SI_L710_R2_001.fq.gz</v>
          </cell>
          <cell r="I694" t="str">
            <v>L710</v>
          </cell>
          <cell r="J694" t="str">
            <v>L710</v>
          </cell>
          <cell r="K694" t="str">
            <v>Listeria monocytogenes</v>
          </cell>
          <cell r="L694">
            <v>46056946</v>
          </cell>
          <cell r="M694">
            <v>14505751</v>
          </cell>
          <cell r="N694" t="str">
            <v>Slovenia</v>
          </cell>
          <cell r="Q694">
            <v>2014</v>
          </cell>
          <cell r="T694" t="str">
            <v>University of Ljubljana, Ljubljana, Slovenia</v>
          </cell>
          <cell r="U694" t="str">
            <v>Food</v>
          </cell>
          <cell r="V694" t="str">
            <v>Meat cheese</v>
          </cell>
          <cell r="X694" t="str">
            <v>ERR10549748</v>
          </cell>
        </row>
        <row r="695">
          <cell r="G695" t="str">
            <v>/home/projects/cge/backup/fastq/food_seqdata/NextSeq_209/FoodQCPipeline_tmp/conc_fqs/DTU_2022_1016242_1_SI_L712_R1_001.fq.gz</v>
          </cell>
          <cell r="H695" t="str">
            <v>/home/projects/cge/backup/fastq/food_seqdata/NextSeq_209/FoodQCPipeline_tmp/conc_fqs/DTU_2022_1016242_1_SI_L712_R2_001.fq.gz</v>
          </cell>
          <cell r="I695" t="str">
            <v>L712</v>
          </cell>
          <cell r="J695" t="str">
            <v>L712</v>
          </cell>
          <cell r="K695" t="str">
            <v>Listeria monocytogenes</v>
          </cell>
          <cell r="L695">
            <v>46056946</v>
          </cell>
          <cell r="M695">
            <v>14505751</v>
          </cell>
          <cell r="N695" t="str">
            <v>Slovenia</v>
          </cell>
          <cell r="Q695">
            <v>2014</v>
          </cell>
          <cell r="T695" t="str">
            <v>University of Ljubljana, Ljubljana, Slovenia</v>
          </cell>
          <cell r="U695" t="str">
            <v>Food</v>
          </cell>
          <cell r="V695" t="str">
            <v>Dried sausage</v>
          </cell>
          <cell r="X695" t="str">
            <v>ERR10549761</v>
          </cell>
        </row>
        <row r="696">
          <cell r="G696" t="str">
            <v>/home/projects/cge/backup/fastq/food_seqdata/NextSeq_209/FoodQCPipeline_tmp/conc_fqs/DTU_2022_1016243_1_SI_L715_R1_001.fq.gz</v>
          </cell>
          <cell r="H696" t="str">
            <v>/home/projects/cge/backup/fastq/food_seqdata/NextSeq_209/FoodQCPipeline_tmp/conc_fqs/DTU_2022_1016243_1_SI_L715_R2_001.fq.gz</v>
          </cell>
          <cell r="I696" t="str">
            <v>L715</v>
          </cell>
          <cell r="J696" t="str">
            <v>L715</v>
          </cell>
          <cell r="K696" t="str">
            <v>Listeria monocytogenes</v>
          </cell>
          <cell r="L696">
            <v>46056946</v>
          </cell>
          <cell r="M696">
            <v>14505751</v>
          </cell>
          <cell r="N696" t="str">
            <v>Slovenia</v>
          </cell>
          <cell r="Q696">
            <v>2014</v>
          </cell>
          <cell r="T696" t="str">
            <v>University of Ljubljana, Ljubljana, Slovenia</v>
          </cell>
          <cell r="U696" t="str">
            <v>Food</v>
          </cell>
          <cell r="V696" t="str">
            <v>Meat cheese</v>
          </cell>
          <cell r="X696" t="str">
            <v>ERR10549746</v>
          </cell>
        </row>
        <row r="697">
          <cell r="G697" t="str">
            <v>/home/projects/cge/data/projects/other/Listeria_disinfectant_project/Slovenia_Bojan_Papic/raw_data/L666_R1.fastq.gz</v>
          </cell>
          <cell r="H697" t="str">
            <v>/home/projects/cge/data/projects/other/Listeria_disinfectant_project/Slovenia_Bojan_Papic/raw_data/L666_R2.fastq.gz</v>
          </cell>
          <cell r="I697" t="str">
            <v>L666</v>
          </cell>
          <cell r="J697" t="str">
            <v>L666</v>
          </cell>
          <cell r="K697" t="str">
            <v>Listeria monocytogenes</v>
          </cell>
          <cell r="L697">
            <v>46056946</v>
          </cell>
          <cell r="M697">
            <v>14505751</v>
          </cell>
          <cell r="N697" t="str">
            <v>Slovenia</v>
          </cell>
          <cell r="Q697">
            <v>2014</v>
          </cell>
          <cell r="R697" t="str">
            <v>Capra hircus</v>
          </cell>
          <cell r="T697" t="str">
            <v>University of Ljubljana, Ljubljana, Slovenia</v>
          </cell>
          <cell r="U697" t="str">
            <v>Animal</v>
          </cell>
          <cell r="V697" t="str">
            <v>Goat brain (neurolisteriosis)</v>
          </cell>
          <cell r="X697" t="str">
            <v>ERR10549726</v>
          </cell>
        </row>
        <row r="698">
          <cell r="G698" t="str">
            <v>/home/projects/cge/backup/fastq/food_seqdata/NextSeq_209/FoodQCPipeline_tmp/conc_fqs/DTU_2022_1016244_1_SI_L793_R1_001.fq.gz</v>
          </cell>
          <cell r="H698" t="str">
            <v>/home/projects/cge/backup/fastq/food_seqdata/NextSeq_209/FoodQCPipeline_tmp/conc_fqs/DTU_2022_1016244_1_SI_L793_R2_001.fq.gz</v>
          </cell>
          <cell r="I698" t="str">
            <v>L793</v>
          </cell>
          <cell r="J698" t="str">
            <v>L793</v>
          </cell>
          <cell r="K698" t="str">
            <v>Listeria monocytogenes</v>
          </cell>
          <cell r="L698">
            <v>46056946</v>
          </cell>
          <cell r="M698">
            <v>14505751</v>
          </cell>
          <cell r="N698" t="str">
            <v>Slovenia</v>
          </cell>
          <cell r="Q698">
            <v>2015</v>
          </cell>
          <cell r="R698" t="str">
            <v>Bos taurus</v>
          </cell>
          <cell r="T698" t="str">
            <v>University of Ljubljana, Ljubljana, Slovenia</v>
          </cell>
          <cell r="U698" t="str">
            <v>Animal</v>
          </cell>
          <cell r="V698" t="str">
            <v>Cow brain (neurolisteriosis)</v>
          </cell>
          <cell r="X698" t="str">
            <v>ERR10549752</v>
          </cell>
        </row>
        <row r="699">
          <cell r="G699" t="str">
            <v>/home/projects/cge/backup/fastq/food_seqdata/NextSeq_209/FoodQCPipeline_tmp/conc_fqs/DTU_2022_1016245_1_SI_L799_R1_001.fq.gz</v>
          </cell>
          <cell r="H699" t="str">
            <v>/home/projects/cge/backup/fastq/food_seqdata/NextSeq_209/FoodQCPipeline_tmp/conc_fqs/DTU_2022_1016245_1_SI_L799_R2_001.fq.gz</v>
          </cell>
          <cell r="I699" t="str">
            <v>L799</v>
          </cell>
          <cell r="J699" t="str">
            <v>L799</v>
          </cell>
          <cell r="K699" t="str">
            <v>Listeria monocytogenes</v>
          </cell>
          <cell r="L699">
            <v>46056946</v>
          </cell>
          <cell r="M699">
            <v>14505751</v>
          </cell>
          <cell r="N699" t="str">
            <v>Slovenia</v>
          </cell>
          <cell r="Q699">
            <v>2015</v>
          </cell>
          <cell r="R699" t="str">
            <v>Ovis aries</v>
          </cell>
          <cell r="T699" t="str">
            <v>University of Ljubljana, Ljubljana, Slovenia</v>
          </cell>
          <cell r="U699" t="str">
            <v>Animal</v>
          </cell>
          <cell r="V699" t="str">
            <v>Sheep brain (neurolisteriosis)</v>
          </cell>
          <cell r="X699" t="str">
            <v>ERR10549757</v>
          </cell>
        </row>
        <row r="700">
          <cell r="G700" t="str">
            <v>/home/projects/cge/backup/fastq/food_seqdata/NextSeq_209/FoodQCPipeline_tmp/conc_fqs/DTU_2022_1016246_1_SI_L829_R1_001.fq.gz</v>
          </cell>
          <cell r="H700" t="str">
            <v>/home/projects/cge/backup/fastq/food_seqdata/NextSeq_209/FoodQCPipeline_tmp/conc_fqs/DTU_2022_1016246_1_SI_L829_R2_001.fq.gz</v>
          </cell>
          <cell r="I700" t="str">
            <v>L829</v>
          </cell>
          <cell r="J700" t="str">
            <v>L829</v>
          </cell>
          <cell r="K700" t="str">
            <v>Listeria monocytogenes</v>
          </cell>
          <cell r="L700">
            <v>46056946</v>
          </cell>
          <cell r="M700">
            <v>14505751</v>
          </cell>
          <cell r="N700" t="str">
            <v>Slovenia</v>
          </cell>
          <cell r="Q700">
            <v>2015</v>
          </cell>
          <cell r="R700" t="str">
            <v>Capra hircus</v>
          </cell>
          <cell r="T700" t="str">
            <v>University of Ljubljana, Ljubljana, Slovenia</v>
          </cell>
          <cell r="U700" t="str">
            <v>Animal</v>
          </cell>
          <cell r="V700" t="str">
            <v>Goat brain (neurolisteriosis)</v>
          </cell>
          <cell r="X700" t="str">
            <v>ERR10549725</v>
          </cell>
        </row>
        <row r="701">
          <cell r="G701" t="str">
            <v>/home/projects/cge/backup/fastq/food_seqdata/NextSeq_209/FoodQCPipeline_tmp/conc_fqs/DTU_2022_1016247_1_SI_L834_R1_001.fq.gz</v>
          </cell>
          <cell r="H701" t="str">
            <v>/home/projects/cge/backup/fastq/food_seqdata/NextSeq_209/FoodQCPipeline_tmp/conc_fqs/DTU_2022_1016247_1_SI_L834_R2_001.fq.gz</v>
          </cell>
          <cell r="I701" t="str">
            <v>L834</v>
          </cell>
          <cell r="J701" t="str">
            <v>L834</v>
          </cell>
          <cell r="K701" t="str">
            <v>Listeria monocytogenes</v>
          </cell>
          <cell r="L701">
            <v>46056946</v>
          </cell>
          <cell r="M701">
            <v>14505751</v>
          </cell>
          <cell r="N701" t="str">
            <v>Slovenia</v>
          </cell>
          <cell r="Q701">
            <v>2015</v>
          </cell>
          <cell r="R701" t="str">
            <v>Ovis aries</v>
          </cell>
          <cell r="T701" t="str">
            <v>University of Ljubljana, Ljubljana, Slovenia</v>
          </cell>
          <cell r="U701" t="str">
            <v>Animal</v>
          </cell>
          <cell r="V701" t="str">
            <v>Sheep brain (neurolisteriosis)</v>
          </cell>
          <cell r="X701" t="str">
            <v>ERR10549759</v>
          </cell>
        </row>
        <row r="702">
          <cell r="G702" t="str">
            <v>/home/projects/cge/data/projects/other/Listeria_disinfectant_project/Slovenia_Bojan_Papic/raw_data/L816_R1.fastq.gz</v>
          </cell>
          <cell r="H702" t="str">
            <v>/home/projects/cge/data/projects/other/Listeria_disinfectant_project/Slovenia_Bojan_Papic/raw_data/L816_R2.fastq.gz</v>
          </cell>
          <cell r="I702" t="str">
            <v>L816</v>
          </cell>
          <cell r="J702" t="str">
            <v>L816</v>
          </cell>
          <cell r="K702" t="str">
            <v>Listeria monocytogenes</v>
          </cell>
          <cell r="L702">
            <v>46056946</v>
          </cell>
          <cell r="M702">
            <v>14505751</v>
          </cell>
          <cell r="N702" t="str">
            <v>Slovenia</v>
          </cell>
          <cell r="Q702">
            <v>2015</v>
          </cell>
          <cell r="R702" t="str">
            <v>Cervidae</v>
          </cell>
          <cell r="T702" t="str">
            <v>University of Ljubljana, Ljubljana, Slovenia</v>
          </cell>
          <cell r="U702" t="str">
            <v>Animal</v>
          </cell>
          <cell r="V702" t="str">
            <v>Deer (Septicaemia)</v>
          </cell>
          <cell r="X702" t="str">
            <v>ERR10549767</v>
          </cell>
        </row>
        <row r="703">
          <cell r="G703" t="str">
            <v>/home/projects/cge/data/projects/other/Listeria_disinfectant_project/Slovenia_Bojan_Papic/raw_data/L831_R1.fastq.gz</v>
          </cell>
          <cell r="H703" t="str">
            <v>/home/projects/cge/data/projects/other/Listeria_disinfectant_project/Slovenia_Bojan_Papic/raw_data/L831_R2.fastq.gz</v>
          </cell>
          <cell r="I703" t="str">
            <v>L831</v>
          </cell>
          <cell r="J703" t="str">
            <v>L831</v>
          </cell>
          <cell r="K703" t="str">
            <v>Listeria monocytogenes</v>
          </cell>
          <cell r="L703">
            <v>46056946</v>
          </cell>
          <cell r="M703">
            <v>14505751</v>
          </cell>
          <cell r="N703" t="str">
            <v>Slovenia</v>
          </cell>
          <cell r="Q703">
            <v>2015</v>
          </cell>
          <cell r="R703" t="str">
            <v>Capra hircus</v>
          </cell>
          <cell r="T703" t="str">
            <v>University of Ljubljana, Ljubljana, Slovenia</v>
          </cell>
          <cell r="U703" t="str">
            <v>Animal</v>
          </cell>
          <cell r="V703" t="str">
            <v>Goat brain (neurolisteriosis)</v>
          </cell>
          <cell r="X703" t="str">
            <v>ERR10549766</v>
          </cell>
        </row>
        <row r="704">
          <cell r="G704" t="str">
            <v>/home/projects/cge/backup/fastq/food_seqdata/NextSeq_208/FoodQCPipeline_tmp/conc_fqs/DTU_2022_1016135_1_SI_L1029_R1_001.fq.gz</v>
          </cell>
          <cell r="H704" t="str">
            <v>/home/projects/cge/backup/fastq/food_seqdata/NextSeq_209/FoodQCPipeline_tmp/conc_fqs/DTU_2022_1016135_1_SI_L1029_R2_001.fq.gz</v>
          </cell>
          <cell r="I704" t="str">
            <v>L1029</v>
          </cell>
          <cell r="J704" t="str">
            <v>L1029</v>
          </cell>
          <cell r="K704" t="str">
            <v>Listeria monocytogenes</v>
          </cell>
          <cell r="L704">
            <v>46056946</v>
          </cell>
          <cell r="M704">
            <v>14505751</v>
          </cell>
          <cell r="N704" t="str">
            <v>Slovenia</v>
          </cell>
          <cell r="Q704">
            <v>2016</v>
          </cell>
          <cell r="T704" t="str">
            <v>University of Ljubljana, Ljubljana, Slovenia</v>
          </cell>
          <cell r="U704" t="str">
            <v>Animal</v>
          </cell>
          <cell r="X704" t="str">
            <v>ERR10611974</v>
          </cell>
        </row>
        <row r="705">
          <cell r="G705" t="str">
            <v>/home/projects/cge/data/projects/other/Listeria_disinfectant_project/Slovenia_Bojan_Papic/raw_data/L1030_R1.fastq.gz</v>
          </cell>
          <cell r="H705" t="str">
            <v>/home/projects/cge/data/projects/other/Listeria_disinfectant_project/Slovenia_Bojan_Papic/raw_data/L1030_R2.fastq.gz</v>
          </cell>
          <cell r="I705" t="str">
            <v>L1030</v>
          </cell>
          <cell r="J705" t="str">
            <v>L1030</v>
          </cell>
          <cell r="K705" t="str">
            <v>Listeria monocytogenes</v>
          </cell>
          <cell r="L705">
            <v>46056946</v>
          </cell>
          <cell r="M705">
            <v>14505751</v>
          </cell>
          <cell r="N705" t="str">
            <v>Slovenia</v>
          </cell>
          <cell r="Q705">
            <v>2016</v>
          </cell>
          <cell r="R705" t="str">
            <v>Ovis aries</v>
          </cell>
          <cell r="T705" t="str">
            <v>University of Ljubljana, Ljubljana, Slovenia</v>
          </cell>
          <cell r="U705" t="str">
            <v>Animal</v>
          </cell>
          <cell r="V705" t="str">
            <v>Sheep brain (neurolisteriosis)</v>
          </cell>
          <cell r="X705" t="str">
            <v>ERR10549780</v>
          </cell>
        </row>
        <row r="706">
          <cell r="G706" t="str">
            <v>/home/projects/cge/data/projects/other/Listeria_disinfectant_project/Slovenia_Bojan_Papic/raw_data/L1059_R1.fastq.gz</v>
          </cell>
          <cell r="H706" t="str">
            <v>/home/projects/cge/data/projects/other/Listeria_disinfectant_project/Slovenia_Bojan_Papic/raw_data/L1059_R2.fastq.gz</v>
          </cell>
          <cell r="I706" t="str">
            <v>L1059</v>
          </cell>
          <cell r="J706" t="str">
            <v>L1059</v>
          </cell>
          <cell r="K706" t="str">
            <v>Listeria monocytogenes</v>
          </cell>
          <cell r="L706">
            <v>46056946</v>
          </cell>
          <cell r="M706">
            <v>14505751</v>
          </cell>
          <cell r="N706" t="str">
            <v>Slovenia</v>
          </cell>
          <cell r="Q706">
            <v>2016</v>
          </cell>
          <cell r="R706" t="str">
            <v>Bos taurus</v>
          </cell>
          <cell r="T706" t="str">
            <v>University of Ljubljana, Ljubljana, Slovenia</v>
          </cell>
          <cell r="U706" t="str">
            <v>Animal</v>
          </cell>
          <cell r="V706" t="str">
            <v>Cow brain (neurolisteriosis)</v>
          </cell>
          <cell r="X706" t="str">
            <v>ERR10549774</v>
          </cell>
        </row>
        <row r="707">
          <cell r="G707" t="str">
            <v>/home/projects/cge/data/projects/other/Listeria_disinfectant_project/Slovenia_Bojan_Papic/raw_data/L1064_R1.fastq.gz</v>
          </cell>
          <cell r="H707" t="str">
            <v>/home/projects/cge/data/projects/other/Listeria_disinfectant_project/Slovenia_Bojan_Papic/raw_data/L1064_R2.fastq.gz</v>
          </cell>
          <cell r="I707" t="str">
            <v>L1064</v>
          </cell>
          <cell r="J707" t="str">
            <v>L1064</v>
          </cell>
          <cell r="K707" t="str">
            <v>Listeria monocytogenes</v>
          </cell>
          <cell r="L707">
            <v>46056946</v>
          </cell>
          <cell r="M707">
            <v>14505751</v>
          </cell>
          <cell r="N707" t="str">
            <v>Slovenia</v>
          </cell>
          <cell r="Q707">
            <v>2016</v>
          </cell>
          <cell r="R707" t="str">
            <v>Ovis aries</v>
          </cell>
          <cell r="T707" t="str">
            <v>University of Ljubljana, Ljubljana, Slovenia</v>
          </cell>
          <cell r="U707" t="str">
            <v>Animal</v>
          </cell>
          <cell r="V707" t="str">
            <v>Sheep brain (neurolisteriosis)</v>
          </cell>
          <cell r="X707" t="str">
            <v>ERR10549782</v>
          </cell>
        </row>
        <row r="708">
          <cell r="G708" t="str">
            <v>/home/projects/cge/backup/fastq/food_seqdata/NextSeq_208/FoodQCPipeline_tmp/conc_fqs/DTU_2022_1016136_1_SI_L1198_R1_001.fq.gz</v>
          </cell>
          <cell r="H708" t="str">
            <v>/home/projects/cge/backup/fastq/food_seqdata/NextSeq_209/FoodQCPipeline_tmp/conc_fqs/DTU_2022_1016136_1_SI_L1198_R2_001.fq.gz</v>
          </cell>
          <cell r="I708" t="str">
            <v>L1198</v>
          </cell>
          <cell r="J708" t="str">
            <v>L1198</v>
          </cell>
          <cell r="K708" t="str">
            <v>Listeria monocytogenes</v>
          </cell>
          <cell r="L708">
            <v>46056946</v>
          </cell>
          <cell r="M708">
            <v>14505751</v>
          </cell>
          <cell r="N708" t="str">
            <v>Slovenia</v>
          </cell>
          <cell r="Q708">
            <v>2017</v>
          </cell>
          <cell r="T708" t="str">
            <v>University of Ljubljana, Ljubljana, Slovenia</v>
          </cell>
          <cell r="U708" t="str">
            <v>Production environment</v>
          </cell>
          <cell r="X708" t="str">
            <v>ERR10611981</v>
          </cell>
        </row>
        <row r="709">
          <cell r="G709" t="str">
            <v>/home/projects/cge/backup/fastq/food_seqdata/NextSeq_208/FoodQCPipeline_tmp/conc_fqs/DTU_2022_1016137_1_SI_L1229_R1_001.fq.gz</v>
          </cell>
          <cell r="H709" t="str">
            <v>/home/projects/cge/backup/fastq/food_seqdata/NextSeq_209/FoodQCPipeline_tmp/conc_fqs/DTU_2022_1016137_1_SI_L1229_R2_001.fq.gz</v>
          </cell>
          <cell r="I709" t="str">
            <v>L1229</v>
          </cell>
          <cell r="J709" t="str">
            <v>L1229</v>
          </cell>
          <cell r="K709" t="str">
            <v>Listeria monocytogenes</v>
          </cell>
          <cell r="L709">
            <v>46056946</v>
          </cell>
          <cell r="M709">
            <v>14505751</v>
          </cell>
          <cell r="N709" t="str">
            <v>Slovenia</v>
          </cell>
          <cell r="Q709">
            <v>2017</v>
          </cell>
          <cell r="T709" t="str">
            <v>University of Ljubljana, Ljubljana, Slovenia</v>
          </cell>
          <cell r="U709" t="str">
            <v>Animal</v>
          </cell>
          <cell r="X709" t="str">
            <v>ERR10612017</v>
          </cell>
        </row>
        <row r="710">
          <cell r="G710" t="str">
            <v>/home/projects/cge/backup/fastq/food_seqdata/NextSeq_208/FoodQCPipeline_tmp/conc_fqs/DTU_2022_1016139_1_SI_L1324_R1_001.fq.gz</v>
          </cell>
          <cell r="H710" t="str">
            <v>/home/projects/cge/backup/fastq/food_seqdata/NextSeq_209/FoodQCPipeline_tmp/conc_fqs/DTU_2022_1016139_1_SI_L1324_R2_001.fq.gz</v>
          </cell>
          <cell r="I710" t="str">
            <v>L1324</v>
          </cell>
          <cell r="J710" t="str">
            <v>L1324</v>
          </cell>
          <cell r="K710" t="str">
            <v>Listeria monocytogenes</v>
          </cell>
          <cell r="L710">
            <v>46056946</v>
          </cell>
          <cell r="M710">
            <v>14505751</v>
          </cell>
          <cell r="N710" t="str">
            <v>Slovenia</v>
          </cell>
          <cell r="Q710">
            <v>2017</v>
          </cell>
          <cell r="T710" t="str">
            <v>University of Ljubljana, Ljubljana, Slovenia</v>
          </cell>
          <cell r="U710" t="str">
            <v>Animal</v>
          </cell>
          <cell r="X710" t="str">
            <v>ERR10612043</v>
          </cell>
        </row>
        <row r="711">
          <cell r="G711" t="str">
            <v>/home/projects/cge/backup/fastq/food_seqdata/NextSeq_208/FoodQCPipeline_tmp/conc_fqs/DTU_2022_1016140_1_SI_L1391_R1_001.fq.gz</v>
          </cell>
          <cell r="H711" t="str">
            <v>/home/projects/cge/backup/fastq/food_seqdata/NextSeq_209/FoodQCPipeline_tmp/conc_fqs/DTU_2022_1016140_1_SI_L1391_R2_001.fq.gz</v>
          </cell>
          <cell r="I711" t="str">
            <v>L1391</v>
          </cell>
          <cell r="J711" t="str">
            <v>L1391</v>
          </cell>
          <cell r="K711" t="str">
            <v>Listeria monocytogenes</v>
          </cell>
          <cell r="L711">
            <v>46056946</v>
          </cell>
          <cell r="M711">
            <v>14505751</v>
          </cell>
          <cell r="N711" t="str">
            <v>Slovenia</v>
          </cell>
          <cell r="Q711">
            <v>2017</v>
          </cell>
          <cell r="T711" t="str">
            <v>University of Ljubljana, Ljubljana, Slovenia</v>
          </cell>
          <cell r="U711" t="str">
            <v>Animal</v>
          </cell>
          <cell r="X711" t="str">
            <v>ERR10612038</v>
          </cell>
        </row>
        <row r="712">
          <cell r="G712" t="str">
            <v>/home/projects/cge/data/projects/other/Listeria_disinfectant_project/Slovenia_Bojan_Papic/raw_data/L1174_R1.fastq.gz</v>
          </cell>
          <cell r="H712" t="str">
            <v>/home/projects/cge/data/projects/other/Listeria_disinfectant_project/Slovenia_Bojan_Papic/raw_data/L1174_R2.fastq.gz</v>
          </cell>
          <cell r="I712" t="str">
            <v>L1174</v>
          </cell>
          <cell r="J712" t="str">
            <v>L1174</v>
          </cell>
          <cell r="K712" t="str">
            <v>Listeria monocytogenes</v>
          </cell>
          <cell r="L712">
            <v>46056946</v>
          </cell>
          <cell r="M712">
            <v>14505751</v>
          </cell>
          <cell r="N712" t="str">
            <v>Slovenia</v>
          </cell>
          <cell r="Q712">
            <v>2017</v>
          </cell>
          <cell r="R712" t="str">
            <v>Ovis aries</v>
          </cell>
          <cell r="T712" t="str">
            <v>University of Ljubljana, Ljubljana, Slovenia</v>
          </cell>
          <cell r="U712" t="str">
            <v>Animal</v>
          </cell>
          <cell r="V712" t="str">
            <v>Sheep brain (neurolisteriosis)</v>
          </cell>
          <cell r="X712" t="str">
            <v>ERR10549781</v>
          </cell>
        </row>
        <row r="713">
          <cell r="G713" t="str">
            <v>/home/projects/cge/data/projects/other/Listeria_disinfectant_project/Slovenia_Bojan_Papic/raw_data/L1180_R1.fastq.gz</v>
          </cell>
          <cell r="H713" t="str">
            <v>/home/projects/cge/data/projects/other/Listeria_disinfectant_project/Slovenia_Bojan_Papic/raw_data/L1180_R2.fastq.gz</v>
          </cell>
          <cell r="I713" t="str">
            <v>L1180</v>
          </cell>
          <cell r="J713" t="str">
            <v>L1180</v>
          </cell>
          <cell r="K713" t="str">
            <v>Listeria monocytogenes</v>
          </cell>
          <cell r="L713">
            <v>46056946</v>
          </cell>
          <cell r="M713">
            <v>14505751</v>
          </cell>
          <cell r="N713" t="str">
            <v>Slovenia</v>
          </cell>
          <cell r="Q713">
            <v>2017</v>
          </cell>
          <cell r="R713" t="str">
            <v>Capra hircus</v>
          </cell>
          <cell r="T713" t="str">
            <v>University of Ljubljana, Ljubljana, Slovenia</v>
          </cell>
          <cell r="U713" t="str">
            <v>Animal</v>
          </cell>
          <cell r="V713" t="str">
            <v>Goat brain (neurolisteriosis)</v>
          </cell>
          <cell r="X713" t="str">
            <v>ERR10549778</v>
          </cell>
        </row>
        <row r="714">
          <cell r="G714" t="str">
            <v>/home/projects/cge/data/projects/other/Listeria_disinfectant_project/Slovenia_Bojan_Papic/raw_data/L1184_R1.fastq.gz</v>
          </cell>
          <cell r="H714" t="str">
            <v>/home/projects/cge/data/projects/other/Listeria_disinfectant_project/Slovenia_Bojan_Papic/raw_data/L1184_R2.fastq.gz</v>
          </cell>
          <cell r="I714" t="str">
            <v>L1184</v>
          </cell>
          <cell r="J714" t="str">
            <v>L1184</v>
          </cell>
          <cell r="K714" t="str">
            <v>Listeria monocytogenes</v>
          </cell>
          <cell r="L714">
            <v>46056946</v>
          </cell>
          <cell r="M714">
            <v>14505751</v>
          </cell>
          <cell r="N714" t="str">
            <v>Slovenia</v>
          </cell>
          <cell r="Q714">
            <v>2017</v>
          </cell>
          <cell r="R714" t="str">
            <v>Capra hircus</v>
          </cell>
          <cell r="T714" t="str">
            <v>University of Ljubljana, Ljubljana, Slovenia</v>
          </cell>
          <cell r="U714" t="str">
            <v>Animal</v>
          </cell>
          <cell r="V714" t="str">
            <v>Goat brain (neurolisteriosis)</v>
          </cell>
          <cell r="X714" t="str">
            <v>ERR10549813</v>
          </cell>
        </row>
        <row r="715">
          <cell r="G715" t="str">
            <v>/home/projects/cge/data/projects/other/Listeria_disinfectant_project/Slovenia_Bojan_Papic/raw_data/L1237_R1.fastq.gz</v>
          </cell>
          <cell r="H715" t="str">
            <v>/home/projects/cge/data/projects/other/Listeria_disinfectant_project/Slovenia_Bojan_Papic/raw_data/L1237_R2.fastq.gz</v>
          </cell>
          <cell r="I715" t="str">
            <v>L1237</v>
          </cell>
          <cell r="J715" t="str">
            <v>L1237</v>
          </cell>
          <cell r="K715" t="str">
            <v>Listeria monocytogenes</v>
          </cell>
          <cell r="L715">
            <v>46056946</v>
          </cell>
          <cell r="M715">
            <v>14505751</v>
          </cell>
          <cell r="N715" t="str">
            <v>Slovenia</v>
          </cell>
          <cell r="Q715">
            <v>2017</v>
          </cell>
          <cell r="R715" t="str">
            <v>Ovis aries</v>
          </cell>
          <cell r="T715" t="str">
            <v>University of Ljubljana, Ljubljana, Slovenia</v>
          </cell>
          <cell r="U715" t="str">
            <v>Animal</v>
          </cell>
          <cell r="V715" t="str">
            <v>Sheep brain (neurolisteriosis)</v>
          </cell>
          <cell r="X715" t="str">
            <v>ERR10549779</v>
          </cell>
        </row>
        <row r="716">
          <cell r="G716" t="str">
            <v>/home/projects/cge/data/projects/other/Listeria_disinfectant_project/Slovenia_Bojan_Papic/raw_data/L1350_R1.fastq.gz</v>
          </cell>
          <cell r="H716" t="str">
            <v>/home/projects/cge/data/projects/other/Listeria_disinfectant_project/Slovenia_Bojan_Papic/raw_data/L1350_R2.fastq.gz</v>
          </cell>
          <cell r="I716" t="str">
            <v>L1350</v>
          </cell>
          <cell r="J716" t="str">
            <v>L1350</v>
          </cell>
          <cell r="K716" t="str">
            <v>Listeria monocytogenes</v>
          </cell>
          <cell r="L716">
            <v>46056946</v>
          </cell>
          <cell r="M716">
            <v>14505751</v>
          </cell>
          <cell r="N716" t="str">
            <v>Slovenia</v>
          </cell>
          <cell r="Q716">
            <v>2017</v>
          </cell>
          <cell r="R716" t="str">
            <v>Bos taurus</v>
          </cell>
          <cell r="T716" t="str">
            <v>University of Ljubljana, Ljubljana, Slovenia</v>
          </cell>
          <cell r="U716" t="str">
            <v>Animal</v>
          </cell>
          <cell r="V716" t="str">
            <v>Cow brain (neurolisteriosis)</v>
          </cell>
          <cell r="X716" t="str">
            <v>ERR10549802</v>
          </cell>
        </row>
        <row r="717">
          <cell r="G717" t="str">
            <v>/home/projects/cge/data/projects/other/Listeria_disinfectant_project/Slovenia_Bojan_Papic/raw_data/L1364_R1.fastq.gz</v>
          </cell>
          <cell r="H717" t="str">
            <v>/home/projects/cge/data/projects/other/Listeria_disinfectant_project/Slovenia_Bojan_Papic/raw_data/L1364_R2.fastq.gz</v>
          </cell>
          <cell r="I717" t="str">
            <v>L1364</v>
          </cell>
          <cell r="J717" t="str">
            <v>L1364</v>
          </cell>
          <cell r="K717" t="str">
            <v>Listeria monocytogenes</v>
          </cell>
          <cell r="L717">
            <v>46056946</v>
          </cell>
          <cell r="M717">
            <v>14505751</v>
          </cell>
          <cell r="N717" t="str">
            <v>Slovenia</v>
          </cell>
          <cell r="Q717">
            <v>2017</v>
          </cell>
          <cell r="R717" t="str">
            <v>Bos taurus</v>
          </cell>
          <cell r="T717" t="str">
            <v>University of Ljubljana, Ljubljana, Slovenia</v>
          </cell>
          <cell r="U717" t="str">
            <v>Animal</v>
          </cell>
          <cell r="V717" t="str">
            <v>Cow brain (neurolisteriosis)</v>
          </cell>
          <cell r="X717" t="str">
            <v>ERR10549777</v>
          </cell>
        </row>
        <row r="718">
          <cell r="G718" t="str">
            <v>/home/projects/cge/backup/fastq/food_seqdata/NextSeq_198/FoodQCPipeline_tmp/conc_fqs/DTU_2022_1015337_1_SI_L1906b1_R1_001.fq.gz</v>
          </cell>
          <cell r="H718" t="str">
            <v>/home/projects/cge/backup/fastq/food_seqdata/NextSeq_198/FoodQCPipeline_tmp/conc_fqs/DTU_2022_1015337_1_SI_L1906b1_R2_001.fq.gz</v>
          </cell>
          <cell r="I718" t="str">
            <v>L1906b1</v>
          </cell>
          <cell r="J718" t="str">
            <v>L1906b1</v>
          </cell>
          <cell r="K718" t="str">
            <v>Listeria monocytogenes</v>
          </cell>
          <cell r="L718">
            <v>46056946</v>
          </cell>
          <cell r="M718">
            <v>14505751</v>
          </cell>
          <cell r="N718" t="str">
            <v>Slovenia</v>
          </cell>
          <cell r="Q718">
            <v>2018</v>
          </cell>
          <cell r="T718" t="str">
            <v>University of Ljubljana, Ljubljana, Slovenia</v>
          </cell>
          <cell r="U718" t="str">
            <v>Food</v>
          </cell>
          <cell r="X718" t="str">
            <v>ERR10549738</v>
          </cell>
        </row>
        <row r="719">
          <cell r="G719" t="str">
            <v>/home/projects/cge/backup/fastq/food_seqdata/NextSeq_208/FoodQCPipeline_tmp/conc_fqs/DTU_2022_1016141_1_SI_L1427_R1_001.fq.gz</v>
          </cell>
          <cell r="H719" t="str">
            <v>/home/projects/cge/backup/fastq/food_seqdata/NextSeq_209/FoodQCPipeline_tmp/conc_fqs/DTU_2022_1016141_1_SI_L1427_R2_001.fq.gz</v>
          </cell>
          <cell r="I719" t="str">
            <v>L1427</v>
          </cell>
          <cell r="J719" t="str">
            <v>L1427</v>
          </cell>
          <cell r="K719" t="str">
            <v>Listeria monocytogenes</v>
          </cell>
          <cell r="L719">
            <v>46056946</v>
          </cell>
          <cell r="M719">
            <v>14505751</v>
          </cell>
          <cell r="N719" t="str">
            <v>Slovenia</v>
          </cell>
          <cell r="Q719">
            <v>2018</v>
          </cell>
          <cell r="T719" t="str">
            <v>University of Ljubljana, Ljubljana, Slovenia</v>
          </cell>
          <cell r="U719" t="str">
            <v>Animal</v>
          </cell>
          <cell r="X719" t="str">
            <v>ERR10612021</v>
          </cell>
        </row>
        <row r="720">
          <cell r="G720" t="str">
            <v>/home/projects/cge/backup/fastq/food_seqdata/NextSeq_216/FoodQCPipeline_tmp/conc_fqs/DTU_2022_1016142_1_SI_L1546_R1_001.fq.gz</v>
          </cell>
          <cell r="H720" t="str">
            <v>/home/projects/cge/backup/fastq/food_seqdata/NextSeq_209/FoodQCPipeline_tmp/conc_fqs/DTU_2022_1016142_1_SI_L1546_R2_001.fq.gz</v>
          </cell>
          <cell r="I720" t="str">
            <v>L1546</v>
          </cell>
          <cell r="J720" t="str">
            <v>L1546</v>
          </cell>
          <cell r="K720" t="str">
            <v>Listeria monocytogenes</v>
          </cell>
          <cell r="L720">
            <v>46056946</v>
          </cell>
          <cell r="M720">
            <v>14505751</v>
          </cell>
          <cell r="N720" t="str">
            <v>Slovenia</v>
          </cell>
          <cell r="Q720">
            <v>2018</v>
          </cell>
          <cell r="R720" t="str">
            <v>Bos taurus</v>
          </cell>
          <cell r="T720" t="str">
            <v>University of Ljubljana, Ljubljana, Slovenia</v>
          </cell>
          <cell r="U720" t="str">
            <v>Animal</v>
          </cell>
          <cell r="V720" t="str">
            <v>Goat brain (neurolisteriosis)</v>
          </cell>
          <cell r="X720" t="str">
            <v>ERR10612005</v>
          </cell>
        </row>
        <row r="721">
          <cell r="G721" t="str">
            <v>/home/projects/cge/backup/fastq/food_seqdata/NextSeq_209/FoodQCPipeline_tmp/conc_fqs/DTU_2022_1016162_1_SI_L1907_R1_001.fq.gz</v>
          </cell>
          <cell r="H721" t="str">
            <v>/home/projects/cge/backup/fastq/food_seqdata/NextSeq_209/FoodQCPipeline_tmp/conc_fqs/DTU_2022_1016162_1_SI_L1907_R2_001.fq.gz</v>
          </cell>
          <cell r="I721" t="str">
            <v>L1907</v>
          </cell>
          <cell r="J721" t="str">
            <v>L1907</v>
          </cell>
          <cell r="K721" t="str">
            <v>Listeria monocytogenes</v>
          </cell>
          <cell r="L721">
            <v>46056946</v>
          </cell>
          <cell r="M721">
            <v>14505751</v>
          </cell>
          <cell r="N721" t="str">
            <v>Slovenia</v>
          </cell>
          <cell r="Q721">
            <v>2018</v>
          </cell>
          <cell r="T721" t="str">
            <v>University of Ljubljana, Ljubljana, Slovenia</v>
          </cell>
          <cell r="U721" t="str">
            <v>Production environment</v>
          </cell>
          <cell r="X721" t="str">
            <v>ERR10549770</v>
          </cell>
        </row>
        <row r="722">
          <cell r="G722" t="str">
            <v>/home/projects/cge/backup/fastq/food_seqdata/NextSeq_209/FoodQCPipeline_tmp/conc_fqs/DTU_2022_1016163_1_SI_L1908_R1_001.fq.gz</v>
          </cell>
          <cell r="H722" t="str">
            <v>/home/projects/cge/backup/fastq/food_seqdata/NextSeq_209/FoodQCPipeline_tmp/conc_fqs/DTU_2022_1016163_1_SI_L1908_R2_001.fq.gz</v>
          </cell>
          <cell r="I722" t="str">
            <v>L1908</v>
          </cell>
          <cell r="J722" t="str">
            <v>L1908</v>
          </cell>
          <cell r="K722" t="str">
            <v>Listeria monocytogenes</v>
          </cell>
          <cell r="L722">
            <v>46056946</v>
          </cell>
          <cell r="M722">
            <v>14505751</v>
          </cell>
          <cell r="N722" t="str">
            <v>Slovenia</v>
          </cell>
          <cell r="Q722">
            <v>2018</v>
          </cell>
          <cell r="T722" t="str">
            <v>University of Ljubljana, Ljubljana, Slovenia</v>
          </cell>
          <cell r="U722" t="str">
            <v>Food</v>
          </cell>
          <cell r="X722" t="str">
            <v>ERR10549743</v>
          </cell>
        </row>
        <row r="723">
          <cell r="G723" t="str">
            <v>/home/projects/cge/backup/fastq/food_seqdata/NextSeq_209/FoodQCPipeline_tmp/conc_fqs/DTU_2022_1016164_1_SI_L1909_R1_001.fq.gz</v>
          </cell>
          <cell r="H723" t="str">
            <v>/home/projects/cge/backup/fastq/food_seqdata/NextSeq_209/FoodQCPipeline_tmp/conc_fqs/DTU_2022_1016164_1_SI_L1909_R2_001.fq.gz</v>
          </cell>
          <cell r="I723" t="str">
            <v>L1909</v>
          </cell>
          <cell r="J723" t="str">
            <v>L1909</v>
          </cell>
          <cell r="K723" t="str">
            <v>Listeria monocytogenes</v>
          </cell>
          <cell r="L723">
            <v>46056946</v>
          </cell>
          <cell r="M723">
            <v>14505751</v>
          </cell>
          <cell r="N723" t="str">
            <v>Slovenia</v>
          </cell>
          <cell r="Q723">
            <v>2018</v>
          </cell>
          <cell r="T723" t="str">
            <v>University of Ljubljana, Ljubljana, Slovenia</v>
          </cell>
          <cell r="U723" t="str">
            <v>Food</v>
          </cell>
          <cell r="X723" t="str">
            <v>ERR10549795</v>
          </cell>
        </row>
        <row r="724">
          <cell r="G724" t="str">
            <v>/home/projects/cge/data/projects/other/Listeria_disinfectant_project/Slovenia_Bojan_Papic/raw_data/L1472_1.fq.gz</v>
          </cell>
          <cell r="H724" t="str">
            <v>/home/projects/cge/data/projects/other/Listeria_disinfectant_project/Slovenia_Bojan_Papic/raw_data/L1472_2.fq.gz</v>
          </cell>
          <cell r="I724" t="str">
            <v>L1472</v>
          </cell>
          <cell r="J724" t="str">
            <v>L1472</v>
          </cell>
          <cell r="K724" t="str">
            <v>Listeria monocytogenes</v>
          </cell>
          <cell r="L724">
            <v>46056946</v>
          </cell>
          <cell r="M724">
            <v>14505751</v>
          </cell>
          <cell r="N724" t="str">
            <v>Slovenia</v>
          </cell>
          <cell r="Q724">
            <v>2018</v>
          </cell>
          <cell r="T724" t="str">
            <v>University of Ljubljana, Ljubljana, Slovenia</v>
          </cell>
          <cell r="U724" t="str">
            <v>Food</v>
          </cell>
          <cell r="V724" t="str">
            <v xml:space="preserve">RTE meat </v>
          </cell>
          <cell r="X724" t="str">
            <v>ERR10549803</v>
          </cell>
        </row>
        <row r="725">
          <cell r="G725" t="str">
            <v>/home/projects/cge/data/projects/other/Listeria_disinfectant_project/Slovenia_Bojan_Papic/raw_data/L1493_1.fq.gz</v>
          </cell>
          <cell r="H725" t="str">
            <v>/home/projects/cge/data/projects/other/Listeria_disinfectant_project/Slovenia_Bojan_Papic/raw_data/L1493_2.fq.gz</v>
          </cell>
          <cell r="I725" t="str">
            <v>L1493</v>
          </cell>
          <cell r="J725" t="str">
            <v>L1493</v>
          </cell>
          <cell r="K725" t="str">
            <v>Listeria monocytogenes</v>
          </cell>
          <cell r="L725">
            <v>46056946</v>
          </cell>
          <cell r="M725">
            <v>14505751</v>
          </cell>
          <cell r="N725" t="str">
            <v>Slovenia</v>
          </cell>
          <cell r="Q725">
            <v>2018</v>
          </cell>
          <cell r="T725" t="str">
            <v>University of Ljubljana, Ljubljana, Slovenia</v>
          </cell>
          <cell r="U725" t="str">
            <v>Food</v>
          </cell>
          <cell r="V725" t="str">
            <v>Baccala (codfish)</v>
          </cell>
          <cell r="X725" t="str">
            <v>ERR10549814</v>
          </cell>
        </row>
        <row r="726">
          <cell r="G726" t="str">
            <v>/home/projects/cge/data/projects/other/Listeria_disinfectant_project/Slovenia_Bojan_Papic/raw_data/L1509_1.fq.gz</v>
          </cell>
          <cell r="H726" t="str">
            <v>/home/projects/cge/data/projects/other/Listeria_disinfectant_project/Slovenia_Bojan_Papic/raw_data/L1509_2.fq.gz</v>
          </cell>
          <cell r="I726" t="str">
            <v>L1509</v>
          </cell>
          <cell r="J726" t="str">
            <v>L1509</v>
          </cell>
          <cell r="K726" t="str">
            <v>Listeria monocytogenes</v>
          </cell>
          <cell r="L726">
            <v>46056946</v>
          </cell>
          <cell r="M726">
            <v>14505751</v>
          </cell>
          <cell r="N726" t="str">
            <v>Slovenia</v>
          </cell>
          <cell r="Q726">
            <v>2018</v>
          </cell>
          <cell r="T726" t="str">
            <v>University of Ljubljana, Ljubljana, Slovenia</v>
          </cell>
          <cell r="U726" t="str">
            <v xml:space="preserve">Production environment </v>
          </cell>
          <cell r="V726" t="str">
            <v xml:space="preserve">Surface swab - chicken meat processing environment </v>
          </cell>
          <cell r="X726" t="str">
            <v>ERR10549808</v>
          </cell>
        </row>
        <row r="727">
          <cell r="G727" t="str">
            <v>/home/projects/cge/data/projects/other/Listeria_disinfectant_project/Slovenia_Bojan_Papic/raw_data/L1517_1.fq.gz</v>
          </cell>
          <cell r="H727" t="str">
            <v>/home/projects/cge/data/projects/other/Listeria_disinfectant_project/Slovenia_Bojan_Papic/raw_data/L1517_2.fq.gz</v>
          </cell>
          <cell r="I727" t="str">
            <v>L1517</v>
          </cell>
          <cell r="J727" t="str">
            <v>L1517</v>
          </cell>
          <cell r="K727" t="str">
            <v>Listeria monocytogenes</v>
          </cell>
          <cell r="L727">
            <v>46056946</v>
          </cell>
          <cell r="M727">
            <v>14505751</v>
          </cell>
          <cell r="N727" t="str">
            <v>Slovenia</v>
          </cell>
          <cell r="Q727">
            <v>2018</v>
          </cell>
          <cell r="T727" t="str">
            <v>University of Ljubljana, Ljubljana, Slovenia</v>
          </cell>
          <cell r="U727" t="str">
            <v>Food</v>
          </cell>
          <cell r="V727" t="str">
            <v xml:space="preserve">RTE meat </v>
          </cell>
          <cell r="X727" t="str">
            <v>ERR10549815</v>
          </cell>
        </row>
        <row r="728">
          <cell r="G728" t="str">
            <v>/home/projects/cge/data/projects/other/Listeria_disinfectant_project/Slovenia_Bojan_Papic/raw_data/L1538_1.fq.gz</v>
          </cell>
          <cell r="H728" t="str">
            <v>/home/projects/cge/data/projects/other/Listeria_disinfectant_project/Slovenia_Bojan_Papic/raw_data/L1538_2.fq.gz</v>
          </cell>
          <cell r="I728" t="str">
            <v>L1538</v>
          </cell>
          <cell r="J728" t="str">
            <v>L1538</v>
          </cell>
          <cell r="K728" t="str">
            <v>Listeria monocytogenes</v>
          </cell>
          <cell r="L728">
            <v>46056946</v>
          </cell>
          <cell r="M728">
            <v>14505751</v>
          </cell>
          <cell r="N728" t="str">
            <v>Slovenia</v>
          </cell>
          <cell r="Q728">
            <v>2018</v>
          </cell>
          <cell r="T728" t="str">
            <v>University of Ljubljana, Ljubljana, Slovenia</v>
          </cell>
          <cell r="U728" t="str">
            <v>Food</v>
          </cell>
          <cell r="V728" t="str">
            <v xml:space="preserve">RTE meat </v>
          </cell>
          <cell r="X728" t="str">
            <v>ERR10549914</v>
          </cell>
        </row>
        <row r="729">
          <cell r="G729" t="str">
            <v>/home/projects/cge/data/projects/other/Listeria_disinfectant_project/Slovenia_Bojan_Papic/raw_data/L1551_1.fq.gz</v>
          </cell>
          <cell r="H729" t="str">
            <v>/home/projects/cge/data/projects/other/Listeria_disinfectant_project/Slovenia_Bojan_Papic/raw_data/L1551_2.fq.gz</v>
          </cell>
          <cell r="I729" t="str">
            <v>L1551</v>
          </cell>
          <cell r="J729" t="str">
            <v>L1551</v>
          </cell>
          <cell r="K729" t="str">
            <v>Listeria monocytogenes</v>
          </cell>
          <cell r="L729">
            <v>46056946</v>
          </cell>
          <cell r="M729">
            <v>14505751</v>
          </cell>
          <cell r="N729" t="str">
            <v>Slovenia</v>
          </cell>
          <cell r="Q729">
            <v>2018</v>
          </cell>
          <cell r="T729" t="str">
            <v>University of Ljubljana, Ljubljana, Slovenia</v>
          </cell>
          <cell r="U729" t="str">
            <v>Food</v>
          </cell>
          <cell r="V729" t="str">
            <v xml:space="preserve">RTE meat </v>
          </cell>
          <cell r="X729" t="str">
            <v>ERR10549754</v>
          </cell>
        </row>
        <row r="730">
          <cell r="G730" t="str">
            <v>/home/projects/cge/backup/fastq/food_seqdata/NextSeq_208/FoodQCPipeline_tmp/conc_fqs/DTU_2022_1016143_1_SI_L1570_R1_001.fq.gz</v>
          </cell>
          <cell r="H730" t="str">
            <v>/home/projects/cge/backup/fastq/food_seqdata/NextSeq_209/FoodQCPipeline_tmp/conc_fqs/DTU_2022_1016143_1_SI_L1570_R2_001.fq.gz</v>
          </cell>
          <cell r="I730" t="str">
            <v>L1570</v>
          </cell>
          <cell r="J730" t="str">
            <v>L1570</v>
          </cell>
          <cell r="K730" t="str">
            <v>Listeria monocytogenes</v>
          </cell>
          <cell r="L730">
            <v>46056946</v>
          </cell>
          <cell r="M730">
            <v>14505751</v>
          </cell>
          <cell r="N730" t="str">
            <v>Slovenia</v>
          </cell>
          <cell r="Q730">
            <v>2019</v>
          </cell>
          <cell r="T730" t="str">
            <v>University of Ljubljana, Ljubljana, Slovenia</v>
          </cell>
          <cell r="U730" t="str">
            <v>Animal</v>
          </cell>
          <cell r="X730" t="str">
            <v>ERR10612027</v>
          </cell>
        </row>
        <row r="731">
          <cell r="G731" t="str">
            <v>/home/projects/cge/backup/fastq/food_seqdata/NextSeq_208/FoodQCPipeline_tmp/conc_fqs/DTU_2022_1016144_1_SI_L1574_R1_001.fq.gz</v>
          </cell>
          <cell r="H731" t="str">
            <v>/home/projects/cge/backup/fastq/food_seqdata/NextSeq_209/FoodQCPipeline_tmp/conc_fqs/DTU_2022_1016144_1_SI_L1574_R2_001.fq.gz</v>
          </cell>
          <cell r="I731" t="str">
            <v>L1574</v>
          </cell>
          <cell r="J731" t="str">
            <v>L1574</v>
          </cell>
          <cell r="K731" t="str">
            <v>Listeria monocytogenes</v>
          </cell>
          <cell r="L731">
            <v>46056946</v>
          </cell>
          <cell r="M731">
            <v>14505751</v>
          </cell>
          <cell r="N731" t="str">
            <v>Slovenia</v>
          </cell>
          <cell r="Q731">
            <v>2019</v>
          </cell>
          <cell r="T731" t="str">
            <v>University of Ljubljana, Ljubljana, Slovenia</v>
          </cell>
          <cell r="U731" t="str">
            <v>Animal</v>
          </cell>
          <cell r="X731" t="str">
            <v>ERR10612016</v>
          </cell>
        </row>
        <row r="732">
          <cell r="G732" t="str">
            <v>/home/projects/cge/backup/fastq/food_seqdata/NextSeq_208/FoodQCPipeline_tmp/conc_fqs/DTU_2022_1016145_1_SI_L1577_R1_001.fq.gz</v>
          </cell>
          <cell r="H732" t="str">
            <v>/home/projects/cge/backup/fastq/food_seqdata/NextSeq_209/FoodQCPipeline_tmp/conc_fqs/DTU_2022_1016145_1_SI_L1577_R2_001.fq.gz</v>
          </cell>
          <cell r="I732" t="str">
            <v>L1577</v>
          </cell>
          <cell r="J732" t="str">
            <v>L1577</v>
          </cell>
          <cell r="K732" t="str">
            <v>Listeria monocytogenes</v>
          </cell>
          <cell r="L732">
            <v>46056946</v>
          </cell>
          <cell r="M732">
            <v>14505751</v>
          </cell>
          <cell r="N732" t="str">
            <v>Slovenia</v>
          </cell>
          <cell r="Q732">
            <v>2019</v>
          </cell>
          <cell r="T732" t="str">
            <v>University of Ljubljana, Ljubljana, Slovenia</v>
          </cell>
          <cell r="U732" t="str">
            <v>Animal</v>
          </cell>
          <cell r="X732" t="str">
            <v>ERR10612009</v>
          </cell>
        </row>
        <row r="733">
          <cell r="G733" t="str">
            <v>/home/projects/cge/backup/fastq/food_seqdata/NextSeq_208/FoodQCPipeline_tmp/conc_fqs/DTU_2022_1016147_1_SI_L1682_R1_001.fq.gz</v>
          </cell>
          <cell r="H733" t="str">
            <v>/home/projects/cge/backup/fastq/food_seqdata/NextSeq_209/FoodQCPipeline_tmp/conc_fqs/DTU_2022_1016147_1_SI_L1682_R2_001.fq.gz</v>
          </cell>
          <cell r="I733" t="str">
            <v>L1682</v>
          </cell>
          <cell r="J733" t="str">
            <v>L1682</v>
          </cell>
          <cell r="K733" t="str">
            <v>Listeria monocytogenes</v>
          </cell>
          <cell r="L733">
            <v>46056946</v>
          </cell>
          <cell r="M733">
            <v>14505751</v>
          </cell>
          <cell r="N733" t="str">
            <v>Slovenia</v>
          </cell>
          <cell r="Q733">
            <v>2019</v>
          </cell>
          <cell r="T733" t="str">
            <v>University of Ljubljana, Ljubljana, Slovenia</v>
          </cell>
          <cell r="U733" t="str">
            <v>Food</v>
          </cell>
          <cell r="X733" t="str">
            <v>ERR10611991</v>
          </cell>
        </row>
        <row r="734">
          <cell r="G734" t="str">
            <v>/home/projects/cge/backup/fastq/food_seqdata/NextSeq_208/FoodQCPipeline_tmp/conc_fqs/DTU_2022_1016148_1_SI_L1690_R1_001.fq.gz</v>
          </cell>
          <cell r="H734" t="str">
            <v>/home/projects/cge/backup/fastq/food_seqdata/NextSeq_209/FoodQCPipeline_tmp/conc_fqs/DTU_2022_1016148_1_SI_L1690_R2_001.fq.gz</v>
          </cell>
          <cell r="I734" t="str">
            <v>L1690</v>
          </cell>
          <cell r="J734" t="str">
            <v>L1690</v>
          </cell>
          <cell r="K734" t="str">
            <v>Listeria monocytogenes</v>
          </cell>
          <cell r="L734">
            <v>46056946</v>
          </cell>
          <cell r="M734">
            <v>14505751</v>
          </cell>
          <cell r="N734" t="str">
            <v>Slovenia</v>
          </cell>
          <cell r="Q734">
            <v>2019</v>
          </cell>
          <cell r="T734" t="str">
            <v>University of Ljubljana, Ljubljana, Slovenia</v>
          </cell>
          <cell r="U734" t="str">
            <v>Food</v>
          </cell>
          <cell r="X734" t="str">
            <v>ERR10612042</v>
          </cell>
        </row>
        <row r="735">
          <cell r="G735" t="str">
            <v>/home/projects/cge/backup/fastq/food_seqdata/NextSeq_209/FoodQCPipeline_tmp/conc_fqs/DTU_2022_1016165_1_SI_L1910_R1_001.fq.gz</v>
          </cell>
          <cell r="H735" t="str">
            <v>/home/projects/cge/backup/fastq/food_seqdata/NextSeq_209/FoodQCPipeline_tmp/conc_fqs/DTU_2022_1016165_1_SI_L1910_R2_001.fq.gz</v>
          </cell>
          <cell r="I735" t="str">
            <v>L1910</v>
          </cell>
          <cell r="J735" t="str">
            <v>L1910</v>
          </cell>
          <cell r="K735" t="str">
            <v>Listeria monocytogenes</v>
          </cell>
          <cell r="L735">
            <v>46056946</v>
          </cell>
          <cell r="M735">
            <v>14505751</v>
          </cell>
          <cell r="N735" t="str">
            <v>Slovenia</v>
          </cell>
          <cell r="Q735">
            <v>2019</v>
          </cell>
          <cell r="T735" t="str">
            <v>University of Ljubljana, Ljubljana, Slovenia</v>
          </cell>
          <cell r="U735" t="str">
            <v>Food</v>
          </cell>
          <cell r="X735" t="str">
            <v>ERR10549771</v>
          </cell>
        </row>
        <row r="736">
          <cell r="G736" t="str">
            <v>/home/projects/cge/backup/fastq/food_seqdata/NextSeq_209/FoodQCPipeline_tmp/conc_fqs/DTU_2022_1016166_1_SI_L1911_R1_001.fq.gz</v>
          </cell>
          <cell r="H736" t="str">
            <v>/home/projects/cge/backup/fastq/food_seqdata/NextSeq_209/FoodQCPipeline_tmp/conc_fqs/DTU_2022_1016166_1_SI_L1911_R2_001.fq.gz</v>
          </cell>
          <cell r="I736" t="str">
            <v>L1911</v>
          </cell>
          <cell r="J736" t="str">
            <v>L1911</v>
          </cell>
          <cell r="K736" t="str">
            <v>Listeria monocytogenes</v>
          </cell>
          <cell r="L736">
            <v>46056946</v>
          </cell>
          <cell r="M736">
            <v>14505751</v>
          </cell>
          <cell r="N736" t="str">
            <v>Slovenia</v>
          </cell>
          <cell r="Q736">
            <v>2019</v>
          </cell>
          <cell r="T736" t="str">
            <v>University of Ljubljana, Ljubljana, Slovenia</v>
          </cell>
          <cell r="U736" t="str">
            <v>Food</v>
          </cell>
          <cell r="X736" t="str">
            <v>ERR10549785</v>
          </cell>
        </row>
        <row r="737">
          <cell r="G737" t="str">
            <v>/home/projects/cge/backup/fastq/food_seqdata/NextSeq_209/FoodQCPipeline_tmp/conc_fqs/DTU_2022_1016167_1_SI_L1912_R1_001.fq.gz</v>
          </cell>
          <cell r="H737" t="str">
            <v>/home/projects/cge/backup/fastq/food_seqdata/NextSeq_209/FoodQCPipeline_tmp/conc_fqs/DTU_2022_1016167_1_SI_L1912_R2_001.fq.gz</v>
          </cell>
          <cell r="I737" t="str">
            <v>L1912</v>
          </cell>
          <cell r="J737" t="str">
            <v>L1912</v>
          </cell>
          <cell r="K737" t="str">
            <v>Listeria monocytogenes</v>
          </cell>
          <cell r="L737">
            <v>46056946</v>
          </cell>
          <cell r="M737">
            <v>14505751</v>
          </cell>
          <cell r="N737" t="str">
            <v>Slovenia</v>
          </cell>
          <cell r="Q737">
            <v>2019</v>
          </cell>
          <cell r="T737" t="str">
            <v>University of Ljubljana, Ljubljana, Slovenia</v>
          </cell>
          <cell r="U737" t="str">
            <v>Food</v>
          </cell>
          <cell r="X737" t="str">
            <v>ERR10549792</v>
          </cell>
        </row>
        <row r="738">
          <cell r="G738" t="str">
            <v>/home/projects/cge/backup/fastq/food_seqdata/NextSeq_209/FoodQCPipeline_tmp/conc_fqs/DTU_2022_1016168_1_SI_L1913_R1_001.fq.gz</v>
          </cell>
          <cell r="H738" t="str">
            <v>/home/projects/cge/backup/fastq/food_seqdata/NextSeq_209/FoodQCPipeline_tmp/conc_fqs/DTU_2022_1016168_1_SI_L1913_R2_001.fq.gz</v>
          </cell>
          <cell r="I738" t="str">
            <v>L1913</v>
          </cell>
          <cell r="J738" t="str">
            <v>L1913</v>
          </cell>
          <cell r="K738" t="str">
            <v>Listeria monocytogenes</v>
          </cell>
          <cell r="L738">
            <v>46056946</v>
          </cell>
          <cell r="M738">
            <v>14505751</v>
          </cell>
          <cell r="N738" t="str">
            <v>Slovenia</v>
          </cell>
          <cell r="Q738">
            <v>2019</v>
          </cell>
          <cell r="T738" t="str">
            <v>University of Ljubljana, Ljubljana, Slovenia</v>
          </cell>
          <cell r="U738" t="str">
            <v>Production environment</v>
          </cell>
          <cell r="X738" t="str">
            <v>ERR10549772</v>
          </cell>
        </row>
        <row r="739">
          <cell r="G739" t="str">
            <v>/home/projects/cge/backup/fastq/food_seqdata/NextSeq_209/FoodQCPipeline_tmp/conc_fqs/DTU_2022_1016169_1_SI_L1914_R1_001.fq.gz</v>
          </cell>
          <cell r="H739" t="str">
            <v>/home/projects/cge/backup/fastq/food_seqdata/NextSeq_209/FoodQCPipeline_tmp/conc_fqs/DTU_2022_1016169_1_SI_L1914_R2_001.fq.gz</v>
          </cell>
          <cell r="I739" t="str">
            <v>L1914</v>
          </cell>
          <cell r="J739" t="str">
            <v>L1914</v>
          </cell>
          <cell r="K739" t="str">
            <v>Listeria monocytogenes</v>
          </cell>
          <cell r="L739">
            <v>46056946</v>
          </cell>
          <cell r="M739">
            <v>14505751</v>
          </cell>
          <cell r="N739" t="str">
            <v>Slovenia</v>
          </cell>
          <cell r="Q739">
            <v>2019</v>
          </cell>
          <cell r="T739" t="str">
            <v>University of Ljubljana, Ljubljana, Slovenia</v>
          </cell>
          <cell r="U739" t="str">
            <v>Production environment</v>
          </cell>
          <cell r="X739" t="str">
            <v>ERR10549753</v>
          </cell>
        </row>
        <row r="740">
          <cell r="G740" t="str">
            <v>/home/projects/cge/backup/fastq/food_seqdata/NextSeq_209/FoodQCPipeline_tmp/conc_fqs/DTU_2022_1016170_1_SI_L1915_R1_001.fq.gz</v>
          </cell>
          <cell r="H740" t="str">
            <v>/home/projects/cge/backup/fastq/food_seqdata/NextSeq_209/FoodQCPipeline_tmp/conc_fqs/DTU_2022_1016170_1_SI_L1915_R2_001.fq.gz</v>
          </cell>
          <cell r="I740" t="str">
            <v>L1915</v>
          </cell>
          <cell r="J740" t="str">
            <v>L1915</v>
          </cell>
          <cell r="K740" t="str">
            <v>Listeria monocytogenes</v>
          </cell>
          <cell r="L740">
            <v>46056946</v>
          </cell>
          <cell r="M740">
            <v>14505751</v>
          </cell>
          <cell r="N740" t="str">
            <v>Slovenia</v>
          </cell>
          <cell r="Q740">
            <v>2019</v>
          </cell>
          <cell r="T740" t="str">
            <v>University of Ljubljana, Ljubljana, Slovenia</v>
          </cell>
          <cell r="U740" t="str">
            <v>Food</v>
          </cell>
          <cell r="X740" t="str">
            <v>ERR10549773</v>
          </cell>
        </row>
        <row r="741">
          <cell r="G741" t="str">
            <v>/home/projects/cge/backup/fastq/food_seqdata/NextSeq_209/FoodQCPipeline_tmp/conc_fqs/DTU_2022_1016171_1_SI_L1916_R1_001.fq.gz</v>
          </cell>
          <cell r="H741" t="str">
            <v>/home/projects/cge/backup/fastq/food_seqdata/NextSeq_209/FoodQCPipeline_tmp/conc_fqs/DTU_2022_1016171_1_SI_L1916_R2_001.fq.gz</v>
          </cell>
          <cell r="I741" t="str">
            <v>L1916</v>
          </cell>
          <cell r="J741" t="str">
            <v>L1916</v>
          </cell>
          <cell r="K741" t="str">
            <v>Listeria monocytogenes</v>
          </cell>
          <cell r="L741">
            <v>46056946</v>
          </cell>
          <cell r="M741">
            <v>14505751</v>
          </cell>
          <cell r="N741" t="str">
            <v>Slovenia</v>
          </cell>
          <cell r="Q741">
            <v>2019</v>
          </cell>
          <cell r="T741" t="str">
            <v>University of Ljubljana, Ljubljana, Slovenia</v>
          </cell>
          <cell r="U741" t="str">
            <v>Food</v>
          </cell>
          <cell r="X741" t="str">
            <v>ERR10549755</v>
          </cell>
        </row>
        <row r="742">
          <cell r="G742" t="str">
            <v>/home/projects/cge/backup/fastq/food_seqdata/NextSeq_209/FoodQCPipeline_tmp/conc_fqs/DTU_2022_1016172_1_SI_L1917_R1_001.fq.gz</v>
          </cell>
          <cell r="H742" t="str">
            <v>/home/projects/cge/backup/fastq/food_seqdata/NextSeq_209/FoodQCPipeline_tmp/conc_fqs/DTU_2022_1016172_1_SI_L1917_R2_001.fq.gz</v>
          </cell>
          <cell r="I742" t="str">
            <v>L1917</v>
          </cell>
          <cell r="J742" t="str">
            <v>L1917</v>
          </cell>
          <cell r="K742" t="str">
            <v>Listeria monocytogenes</v>
          </cell>
          <cell r="L742">
            <v>46056946</v>
          </cell>
          <cell r="M742">
            <v>14505751</v>
          </cell>
          <cell r="N742" t="str">
            <v>Slovenia</v>
          </cell>
          <cell r="Q742">
            <v>2019</v>
          </cell>
          <cell r="T742" t="str">
            <v>University of Ljubljana, Ljubljana, Slovenia</v>
          </cell>
          <cell r="U742" t="str">
            <v>Food</v>
          </cell>
          <cell r="X742" t="str">
            <v>ERR10549775</v>
          </cell>
        </row>
        <row r="743">
          <cell r="G743" t="str">
            <v>/home/projects/cge/backup/fastq/food_seqdata/NextSeq_209/FoodQCPipeline_tmp/conc_fqs/DTU_2022_1016173_1_SI_L1918_R1_001.fq.gz</v>
          </cell>
          <cell r="H743" t="str">
            <v>/home/projects/cge/backup/fastq/food_seqdata/NextSeq_209/FoodQCPipeline_tmp/conc_fqs/DTU_2022_1016173_1_SI_L1918_R2_001.fq.gz</v>
          </cell>
          <cell r="I743" t="str">
            <v>L1918</v>
          </cell>
          <cell r="J743" t="str">
            <v>L1918</v>
          </cell>
          <cell r="K743" t="str">
            <v>Listeria monocytogenes</v>
          </cell>
          <cell r="L743">
            <v>46056946</v>
          </cell>
          <cell r="M743">
            <v>14505751</v>
          </cell>
          <cell r="N743" t="str">
            <v>Slovenia</v>
          </cell>
          <cell r="Q743">
            <v>2019</v>
          </cell>
          <cell r="T743" t="str">
            <v>University of Ljubljana, Ljubljana, Slovenia</v>
          </cell>
          <cell r="U743" t="str">
            <v>Food</v>
          </cell>
          <cell r="X743" t="str">
            <v>ERR10549793</v>
          </cell>
        </row>
        <row r="744">
          <cell r="G744" t="str">
            <v>/home/projects/cge/backup/fastq/food_seqdata/NextSeq_209/FoodQCPipeline_tmp/conc_fqs/DTU_2022_1016174_1_SI_L1919_R1_001.fq.gz</v>
          </cell>
          <cell r="H744" t="str">
            <v>/home/projects/cge/backup/fastq/food_seqdata/NextSeq_209/FoodQCPipeline_tmp/conc_fqs/DTU_2022_1016174_1_SI_L1919_R2_001.fq.gz</v>
          </cell>
          <cell r="I744" t="str">
            <v>L1919</v>
          </cell>
          <cell r="J744" t="str">
            <v>L1919</v>
          </cell>
          <cell r="K744" t="str">
            <v>Listeria monocytogenes</v>
          </cell>
          <cell r="L744">
            <v>46056946</v>
          </cell>
          <cell r="M744">
            <v>14505751</v>
          </cell>
          <cell r="N744" t="str">
            <v>Slovenia</v>
          </cell>
          <cell r="Q744">
            <v>2019</v>
          </cell>
          <cell r="T744" t="str">
            <v>University of Ljubljana, Ljubljana, Slovenia</v>
          </cell>
          <cell r="U744" t="str">
            <v>Food</v>
          </cell>
          <cell r="X744" t="str">
            <v>ERR10549810</v>
          </cell>
        </row>
        <row r="745">
          <cell r="G745" t="str">
            <v>/home/projects/cge/backup/fastq/food_seqdata/NextSeq_209/FoodQCPipeline_tmp/conc_fqs/DTU_2022_1016176_1_SI_L1921_R1_001.fq.gz</v>
          </cell>
          <cell r="H745" t="str">
            <v>/home/projects/cge/backup/fastq/food_seqdata/NextSeq_209/FoodQCPipeline_tmp/conc_fqs/DTU_2022_1016176_1_SI_L1921_R2_001.fq.gz</v>
          </cell>
          <cell r="I745" t="str">
            <v>L1921</v>
          </cell>
          <cell r="J745" t="str">
            <v>L1921</v>
          </cell>
          <cell r="K745" t="str">
            <v>Listeria monocytogenes</v>
          </cell>
          <cell r="L745">
            <v>46056946</v>
          </cell>
          <cell r="M745">
            <v>14505751</v>
          </cell>
          <cell r="N745" t="str">
            <v>Slovenia</v>
          </cell>
          <cell r="Q745">
            <v>2019</v>
          </cell>
          <cell r="T745" t="str">
            <v>University of Ljubljana, Ljubljana, Slovenia</v>
          </cell>
          <cell r="U745" t="str">
            <v>Food</v>
          </cell>
          <cell r="X745" t="str">
            <v>ERR10549760</v>
          </cell>
        </row>
        <row r="746">
          <cell r="G746" t="str">
            <v>/home/projects/cge/backup/fastq/food_seqdata/NextSeq_209/FoodQCPipeline_tmp/conc_fqs/DTU_2022_1016177_1_SI_L1922_R1_001.fq.gz</v>
          </cell>
          <cell r="H746" t="str">
            <v>/home/projects/cge/backup/fastq/food_seqdata/NextSeq_209/FoodQCPipeline_tmp/conc_fqs/DTU_2022_1016177_1_SI_L1922_R2_001.fq.gz</v>
          </cell>
          <cell r="I746" t="str">
            <v>L1922</v>
          </cell>
          <cell r="J746" t="str">
            <v>L1922</v>
          </cell>
          <cell r="K746" t="str">
            <v>Listeria monocytogenes</v>
          </cell>
          <cell r="L746">
            <v>46056946</v>
          </cell>
          <cell r="M746">
            <v>14505751</v>
          </cell>
          <cell r="N746" t="str">
            <v>Slovenia</v>
          </cell>
          <cell r="Q746">
            <v>2019</v>
          </cell>
          <cell r="T746" t="str">
            <v>University of Ljubljana, Ljubljana, Slovenia</v>
          </cell>
          <cell r="U746" t="str">
            <v>Food</v>
          </cell>
          <cell r="X746" t="str">
            <v>ERR10549783</v>
          </cell>
        </row>
        <row r="747">
          <cell r="G747" t="str">
            <v>/home/projects/cge/backup/fastq/food_seqdata/NextSeq_209/FoodQCPipeline_tmp/conc_fqs/DTU_2022_1016178_1_SI_L1923_R1_001.fq.gz</v>
          </cell>
          <cell r="H747" t="str">
            <v>/home/projects/cge/backup/fastq/food_seqdata/NextSeq_209/FoodQCPipeline_tmp/conc_fqs/DTU_2022_1016178_1_SI_L1923_R2_001.fq.gz</v>
          </cell>
          <cell r="I747" t="str">
            <v>L1923</v>
          </cell>
          <cell r="J747" t="str">
            <v>L1923</v>
          </cell>
          <cell r="K747" t="str">
            <v>Listeria monocytogenes</v>
          </cell>
          <cell r="L747">
            <v>46056946</v>
          </cell>
          <cell r="M747">
            <v>14505751</v>
          </cell>
          <cell r="N747" t="str">
            <v>Slovenia</v>
          </cell>
          <cell r="Q747">
            <v>2019</v>
          </cell>
          <cell r="T747" t="str">
            <v>University of Ljubljana, Ljubljana, Slovenia</v>
          </cell>
          <cell r="U747" t="str">
            <v>Food</v>
          </cell>
          <cell r="X747" t="str">
            <v>ERR10549791</v>
          </cell>
        </row>
        <row r="748">
          <cell r="G748" t="str">
            <v>/home/projects/cge/backup/fastq/food_seqdata/NextSeq_209/FoodQCPipeline_tmp/conc_fqs/DTU_2022_1016179_1_SI_L1924_R1_001.fq.gz</v>
          </cell>
          <cell r="H748" t="str">
            <v>/home/projects/cge/backup/fastq/food_seqdata/NextSeq_209/FoodQCPipeline_tmp/conc_fqs/DTU_2022_1016179_1_SI_L1924_R2_001.fq.gz</v>
          </cell>
          <cell r="I748" t="str">
            <v>L1924</v>
          </cell>
          <cell r="J748" t="str">
            <v>L1924</v>
          </cell>
          <cell r="K748" t="str">
            <v>Listeria monocytogenes</v>
          </cell>
          <cell r="L748">
            <v>46056946</v>
          </cell>
          <cell r="M748">
            <v>14505751</v>
          </cell>
          <cell r="N748" t="str">
            <v>Slovenia</v>
          </cell>
          <cell r="Q748">
            <v>2019</v>
          </cell>
          <cell r="T748" t="str">
            <v>University of Ljubljana, Ljubljana, Slovenia</v>
          </cell>
          <cell r="U748" t="str">
            <v>Food</v>
          </cell>
          <cell r="X748" t="str">
            <v>ERR10549788</v>
          </cell>
        </row>
        <row r="749">
          <cell r="G749" t="str">
            <v>/home/projects/cge/backup/fastq/food_seqdata/NextSeq_209/FoodQCPipeline_tmp/conc_fqs/DTU_2022_1016180_1_SI_L1925_R1_001.fq.gz</v>
          </cell>
          <cell r="H749" t="str">
            <v>/home/projects/cge/backup/fastq/food_seqdata/NextSeq_209/FoodQCPipeline_tmp/conc_fqs/DTU_2022_1016180_1_SI_L1925_R2_001.fq.gz</v>
          </cell>
          <cell r="I749" t="str">
            <v>L1925</v>
          </cell>
          <cell r="J749" t="str">
            <v>L1925</v>
          </cell>
          <cell r="K749" t="str">
            <v>Listeria monocytogenes</v>
          </cell>
          <cell r="L749">
            <v>46056946</v>
          </cell>
          <cell r="M749">
            <v>14505751</v>
          </cell>
          <cell r="N749" t="str">
            <v>Slovenia</v>
          </cell>
          <cell r="Q749">
            <v>2019</v>
          </cell>
          <cell r="T749" t="str">
            <v>University of Ljubljana, Ljubljana, Slovenia</v>
          </cell>
          <cell r="U749" t="str">
            <v>Food</v>
          </cell>
          <cell r="X749" t="str">
            <v>ERR10549790</v>
          </cell>
        </row>
        <row r="750">
          <cell r="G750" t="str">
            <v>/home/projects/cge/backup/fastq/food_seqdata/NextSeq_209/FoodQCPipeline_tmp/conc_fqs/DTU_2022_1016181_1_SI_L1926_R1_001.fq.gz</v>
          </cell>
          <cell r="H750" t="str">
            <v>/home/projects/cge/backup/fastq/food_seqdata/NextSeq_209/FoodQCPipeline_tmp/conc_fqs/DTU_2022_1016181_1_SI_L1926_R2_001.fq.gz</v>
          </cell>
          <cell r="I750" t="str">
            <v>L1926</v>
          </cell>
          <cell r="J750" t="str">
            <v>L1926</v>
          </cell>
          <cell r="K750" t="str">
            <v>Listeria monocytogenes</v>
          </cell>
          <cell r="L750">
            <v>46056946</v>
          </cell>
          <cell r="M750">
            <v>14505751</v>
          </cell>
          <cell r="N750" t="str">
            <v>Slovenia</v>
          </cell>
          <cell r="Q750">
            <v>2019</v>
          </cell>
          <cell r="T750" t="str">
            <v>University of Ljubljana, Ljubljana, Slovenia</v>
          </cell>
          <cell r="U750" t="str">
            <v>Food</v>
          </cell>
          <cell r="X750" t="str">
            <v>ERR10549762</v>
          </cell>
        </row>
        <row r="751">
          <cell r="G751" t="str">
            <v>/home/projects/cge/backup/fastq/food_seqdata/NextSeq_209/FoodQCPipeline_tmp/conc_fqs/DTU_2022_1016182_1_SI_L1927_R1_001.fq.gz</v>
          </cell>
          <cell r="H751" t="str">
            <v>/home/projects/cge/backup/fastq/food_seqdata/NextSeq_209/FoodQCPipeline_tmp/conc_fqs/DTU_2022_1016182_1_SI_L1927_R2_001.fq.gz</v>
          </cell>
          <cell r="I751" t="str">
            <v>L1927</v>
          </cell>
          <cell r="J751" t="str">
            <v>L1927</v>
          </cell>
          <cell r="K751" t="str">
            <v>Listeria monocytogenes</v>
          </cell>
          <cell r="L751">
            <v>46056946</v>
          </cell>
          <cell r="M751">
            <v>14505751</v>
          </cell>
          <cell r="N751" t="str">
            <v>Slovenia</v>
          </cell>
          <cell r="Q751">
            <v>2019</v>
          </cell>
          <cell r="T751" t="str">
            <v>University of Ljubljana, Ljubljana, Slovenia</v>
          </cell>
          <cell r="U751" t="str">
            <v>Food</v>
          </cell>
          <cell r="X751" t="str">
            <v>ERR10549765</v>
          </cell>
        </row>
        <row r="752">
          <cell r="G752" t="str">
            <v>/home/projects/cge/backup/fastq/food_seqdata/NextSeq_209/FoodQCPipeline_tmp/conc_fqs/DTU_2022_1016195_1_SI_L252_R1_001.fq.gz</v>
          </cell>
          <cell r="H752" t="str">
            <v>/home/projects/cge/backup/fastq/food_seqdata/NextSeq_209/FoodQCPipeline_tmp/conc_fqs/DTU_2022_1016195_1_SI_L252_R2_001.fq.gz</v>
          </cell>
          <cell r="I752" t="str">
            <v>L1920</v>
          </cell>
          <cell r="J752" t="str">
            <v>L1920</v>
          </cell>
          <cell r="K752" t="str">
            <v>Listeria monocytogenes</v>
          </cell>
          <cell r="L752">
            <v>46056946</v>
          </cell>
          <cell r="M752">
            <v>14505751</v>
          </cell>
          <cell r="N752" t="str">
            <v>Slovenia</v>
          </cell>
          <cell r="Q752">
            <v>2019</v>
          </cell>
          <cell r="T752" t="str">
            <v>University of Ljubljana, Ljubljana, Slovenia</v>
          </cell>
          <cell r="U752" t="str">
            <v>Food</v>
          </cell>
          <cell r="X752" t="str">
            <v>ERR10549789</v>
          </cell>
        </row>
        <row r="753">
          <cell r="G753" t="str">
            <v>/home/projects/cge/data/projects/other/Listeria_disinfectant_project/Slovenia_Bojan_Papic/raw_data/L1485_1.fq.gz</v>
          </cell>
          <cell r="H753" t="str">
            <v>/home/projects/cge/data/projects/other/Listeria_disinfectant_project/Slovenia_Bojan_Papic/raw_data/L1485_2.fq.gz</v>
          </cell>
          <cell r="I753" t="str">
            <v>L1485</v>
          </cell>
          <cell r="J753" t="str">
            <v>L1485</v>
          </cell>
          <cell r="K753" t="str">
            <v>Listeria monocytogenes</v>
          </cell>
          <cell r="L753">
            <v>46056946</v>
          </cell>
          <cell r="M753">
            <v>14505751</v>
          </cell>
          <cell r="N753" t="str">
            <v>Slovenia</v>
          </cell>
          <cell r="Q753">
            <v>2019</v>
          </cell>
          <cell r="T753" t="str">
            <v>University of Ljubljana, Ljubljana, Slovenia</v>
          </cell>
          <cell r="U753" t="str">
            <v>Food</v>
          </cell>
          <cell r="V753" t="str">
            <v xml:space="preserve">RTE meat </v>
          </cell>
          <cell r="X753" t="str">
            <v>ERR10549934</v>
          </cell>
        </row>
        <row r="754">
          <cell r="G754" t="str">
            <v>/home/projects/cge/data/projects/other/Listeria_disinfectant_project/Slovenia_Bojan_Papic/raw_data/L1578_1.fq.gz</v>
          </cell>
          <cell r="H754" t="str">
            <v>/home/projects/cge/data/projects/other/Listeria_disinfectant_project/Slovenia_Bojan_Papic/raw_data/L1578_2.fq.gz</v>
          </cell>
          <cell r="I754" t="str">
            <v>L1578</v>
          </cell>
          <cell r="J754" t="str">
            <v>L1578</v>
          </cell>
          <cell r="K754" t="str">
            <v>Listeria monocytogenes</v>
          </cell>
          <cell r="L754">
            <v>46056946</v>
          </cell>
          <cell r="M754">
            <v>14505751</v>
          </cell>
          <cell r="N754" t="str">
            <v>Slovenia</v>
          </cell>
          <cell r="Q754">
            <v>2019</v>
          </cell>
          <cell r="T754" t="str">
            <v>University of Ljubljana, Ljubljana, Slovenia</v>
          </cell>
          <cell r="U754" t="str">
            <v>Food</v>
          </cell>
          <cell r="V754" t="str">
            <v xml:space="preserve">RTE meat </v>
          </cell>
          <cell r="X754" t="str">
            <v>ERR10549769</v>
          </cell>
        </row>
        <row r="755">
          <cell r="G755" t="str">
            <v>/home/projects/cge/data/projects/other/Listeria_disinfectant_project/Slovenia_Bojan_Papic/raw_data/L1598_1.fq.gz</v>
          </cell>
          <cell r="H755" t="str">
            <v>/home/projects/cge/data/projects/other/Listeria_disinfectant_project/Slovenia_Bojan_Papic/raw_data/L1598_2.fq.gz</v>
          </cell>
          <cell r="I755" t="str">
            <v>L1598</v>
          </cell>
          <cell r="J755" t="str">
            <v>L1598</v>
          </cell>
          <cell r="K755" t="str">
            <v>Listeria monocytogenes</v>
          </cell>
          <cell r="L755">
            <v>46056946</v>
          </cell>
          <cell r="M755">
            <v>14505751</v>
          </cell>
          <cell r="N755" t="str">
            <v>Slovenia</v>
          </cell>
          <cell r="Q755">
            <v>2019</v>
          </cell>
          <cell r="T755" t="str">
            <v>University of Ljubljana, Ljubljana, Slovenia</v>
          </cell>
          <cell r="U755" t="str">
            <v>Food</v>
          </cell>
          <cell r="V755" t="str">
            <v xml:space="preserve">RTE meat </v>
          </cell>
          <cell r="X755" t="str">
            <v>ERR10549841</v>
          </cell>
        </row>
        <row r="756">
          <cell r="G756" t="str">
            <v>/home/projects/cge/data/projects/other/Listeria_disinfectant_project/Slovenia_Bojan_Papic/raw_data/L1630_1.fq.gz</v>
          </cell>
          <cell r="H756" t="str">
            <v>/home/projects/cge/data/projects/other/Listeria_disinfectant_project/Slovenia_Bojan_Papic/raw_data/L1630_2.fq.gz</v>
          </cell>
          <cell r="I756" t="str">
            <v>L1630</v>
          </cell>
          <cell r="J756" t="str">
            <v>L1630</v>
          </cell>
          <cell r="K756" t="str">
            <v>Listeria monocytogenes</v>
          </cell>
          <cell r="L756">
            <v>46056946</v>
          </cell>
          <cell r="M756">
            <v>14505751</v>
          </cell>
          <cell r="N756" t="str">
            <v>Slovenia</v>
          </cell>
          <cell r="Q756">
            <v>2019</v>
          </cell>
          <cell r="T756" t="str">
            <v>University of Ljubljana, Ljubljana, Slovenia</v>
          </cell>
          <cell r="U756" t="str">
            <v>Food</v>
          </cell>
          <cell r="V756" t="str">
            <v xml:space="preserve">RTE meat </v>
          </cell>
          <cell r="X756" t="str">
            <v>ERR10549843</v>
          </cell>
        </row>
        <row r="757">
          <cell r="G757" t="str">
            <v>/home/projects/cge/data/projects/other/Listeria_disinfectant_project/Slovenia_Bojan_Papic/raw_data/L1643_1.fq.gz</v>
          </cell>
          <cell r="H757" t="str">
            <v>/home/projects/cge/data/projects/other/Listeria_disinfectant_project/Slovenia_Bojan_Papic/raw_data/L1643_2.fq.gz</v>
          </cell>
          <cell r="I757" t="str">
            <v>L1643</v>
          </cell>
          <cell r="J757" t="str">
            <v>L1643</v>
          </cell>
          <cell r="K757" t="str">
            <v>Listeria monocytogenes</v>
          </cell>
          <cell r="L757">
            <v>46056946</v>
          </cell>
          <cell r="M757">
            <v>14505751</v>
          </cell>
          <cell r="N757" t="str">
            <v>Slovenia</v>
          </cell>
          <cell r="Q757">
            <v>2019</v>
          </cell>
          <cell r="T757" t="str">
            <v>University of Ljubljana, Ljubljana, Slovenia</v>
          </cell>
          <cell r="U757" t="str">
            <v>Food</v>
          </cell>
          <cell r="V757" t="str">
            <v>Baccala (codfish)</v>
          </cell>
          <cell r="X757" t="str">
            <v>ERR10549776</v>
          </cell>
        </row>
        <row r="758">
          <cell r="G758" t="str">
            <v>/home/projects/cge/data/projects/other/Listeria_disinfectant_project/Slovenia_Bojan_Papic/raw_data/L1704_1.fq.gz</v>
          </cell>
          <cell r="H758" t="str">
            <v>/home/projects/cge/data/projects/other/Listeria_disinfectant_project/Slovenia_Bojan_Papic/raw_data/L1704_2.fq.gz</v>
          </cell>
          <cell r="I758" t="str">
            <v>L1704</v>
          </cell>
          <cell r="J758" t="str">
            <v>L1704</v>
          </cell>
          <cell r="K758" t="str">
            <v>Listeria monocytogenes</v>
          </cell>
          <cell r="L758">
            <v>46056946</v>
          </cell>
          <cell r="M758">
            <v>14505751</v>
          </cell>
          <cell r="N758" t="str">
            <v>Slovenia</v>
          </cell>
          <cell r="Q758">
            <v>2019</v>
          </cell>
          <cell r="T758" t="str">
            <v>University of Ljubljana, Ljubljana, Slovenia</v>
          </cell>
          <cell r="U758" t="str">
            <v>Food</v>
          </cell>
          <cell r="V758" t="str">
            <v>Baccala (codfish)</v>
          </cell>
          <cell r="X758" t="str">
            <v>ERR10549913</v>
          </cell>
        </row>
        <row r="759">
          <cell r="G759" t="str">
            <v>/home/projects/cge/backup/fastq/food_seqdata/NextSeq_208/FoodQCPipeline_tmp/conc_fqs/DTU_2022_1016149_1_SI_L1823_R1_001.fq.gz</v>
          </cell>
          <cell r="H759" t="str">
            <v>/home/projects/cge/backup/fastq/food_seqdata/NextSeq_209/FoodQCPipeline_tmp/conc_fqs/DTU_2022_1016149_1_SI_L1823_R2_001.fq.gz</v>
          </cell>
          <cell r="I759" t="str">
            <v>L1823</v>
          </cell>
          <cell r="J759" t="str">
            <v>L1823</v>
          </cell>
          <cell r="K759" t="str">
            <v>Listeria monocytogenes</v>
          </cell>
          <cell r="L759">
            <v>46056946</v>
          </cell>
          <cell r="M759">
            <v>14505751</v>
          </cell>
          <cell r="N759" t="str">
            <v>Slovenia</v>
          </cell>
          <cell r="Q759">
            <v>2020</v>
          </cell>
          <cell r="T759" t="str">
            <v>University of Ljubljana, Ljubljana, Slovenia</v>
          </cell>
          <cell r="U759" t="str">
            <v>Food</v>
          </cell>
          <cell r="X759" t="str">
            <v>ERR10612014</v>
          </cell>
        </row>
        <row r="760">
          <cell r="G760" t="str">
            <v>/home/projects/cge/backup/fastq/food_seqdata/NextSeq_208/FoodQCPipeline_tmp/conc_fqs/DTU_2022_1016150_1_SI_L1841_R1_001.fq.gz</v>
          </cell>
          <cell r="H760" t="str">
            <v>/home/projects/cge/backup/fastq/food_seqdata/NextSeq_209/FoodQCPipeline_tmp/conc_fqs/DTU_2022_1016150_1_SI_L1841_R2_001.fq.gz</v>
          </cell>
          <cell r="I760" t="str">
            <v>L1841</v>
          </cell>
          <cell r="J760" t="str">
            <v>L1841</v>
          </cell>
          <cell r="K760" t="str">
            <v>Listeria monocytogenes</v>
          </cell>
          <cell r="L760">
            <v>46056946</v>
          </cell>
          <cell r="M760">
            <v>14505751</v>
          </cell>
          <cell r="N760" t="str">
            <v>Slovenia</v>
          </cell>
          <cell r="Q760">
            <v>2020</v>
          </cell>
          <cell r="T760" t="str">
            <v>University of Ljubljana, Ljubljana, Slovenia</v>
          </cell>
          <cell r="U760" t="str">
            <v>Food</v>
          </cell>
          <cell r="X760" t="str">
            <v>ERR10611982</v>
          </cell>
        </row>
        <row r="761">
          <cell r="G761" t="str">
            <v>/home/projects/cge/backup/fastq/food_seqdata/NextSeq_208/FoodQCPipeline_tmp/conc_fqs/DTU_2022_1016151_1_SI_L1848_R1_001.fq.gz</v>
          </cell>
          <cell r="H761" t="str">
            <v>/home/projects/cge/backup/fastq/food_seqdata/NextSeq_209/FoodQCPipeline_tmp/conc_fqs/DTU_2022_1016151_1_SI_L1848_R2_001.fq.gz</v>
          </cell>
          <cell r="I761" t="str">
            <v>L1848</v>
          </cell>
          <cell r="J761" t="str">
            <v>L1848</v>
          </cell>
          <cell r="K761" t="str">
            <v>Listeria monocytogenes</v>
          </cell>
          <cell r="L761">
            <v>46056946</v>
          </cell>
          <cell r="M761">
            <v>14505751</v>
          </cell>
          <cell r="N761" t="str">
            <v>Slovenia</v>
          </cell>
          <cell r="Q761">
            <v>2020</v>
          </cell>
          <cell r="T761" t="str">
            <v>University of Ljubljana, Ljubljana, Slovenia</v>
          </cell>
          <cell r="U761" t="str">
            <v>Food</v>
          </cell>
          <cell r="X761" t="str">
            <v>ERR10611987</v>
          </cell>
        </row>
        <row r="762">
          <cell r="G762" t="str">
            <v>/home/projects/cge/backup/fastq/food_seqdata/NextSeq_208/FoodQCPipeline_tmp/conc_fqs/DTU_2022_1016152_1_SI_L1851_R1_001.fq.gz</v>
          </cell>
          <cell r="H762" t="str">
            <v>/home/projects/cge/backup/fastq/food_seqdata/NextSeq_209/FoodQCPipeline_tmp/conc_fqs/DTU_2022_1016152_1_SI_L1851_R2_001.fq.gz</v>
          </cell>
          <cell r="I762" t="str">
            <v>L1851</v>
          </cell>
          <cell r="J762" t="str">
            <v>L1851</v>
          </cell>
          <cell r="K762" t="str">
            <v>Listeria monocytogenes</v>
          </cell>
          <cell r="L762">
            <v>46056946</v>
          </cell>
          <cell r="M762">
            <v>14505751</v>
          </cell>
          <cell r="N762" t="str">
            <v>Slovenia</v>
          </cell>
          <cell r="Q762">
            <v>2020</v>
          </cell>
          <cell r="T762" t="str">
            <v>University of Ljubljana, Ljubljana, Slovenia</v>
          </cell>
          <cell r="U762" t="str">
            <v>Food</v>
          </cell>
          <cell r="X762" t="str">
            <v>ERR10612019</v>
          </cell>
        </row>
        <row r="763">
          <cell r="G763" t="str">
            <v>/home/projects/cge/backup/fastq/food_seqdata/NextSeq_208/FoodQCPipeline_tmp/conc_fqs/DTU_2022_1016153_1_SI_L1852_R1_001.fq.gz</v>
          </cell>
          <cell r="H763" t="str">
            <v>/home/projects/cge/backup/fastq/food_seqdata/NextSeq_209/FoodQCPipeline_tmp/conc_fqs/DTU_2022_1016153_1_SI_L1852_R2_001.fq.gz</v>
          </cell>
          <cell r="I763" t="str">
            <v>L1852</v>
          </cell>
          <cell r="J763" t="str">
            <v>L1852</v>
          </cell>
          <cell r="K763" t="str">
            <v>Listeria monocytogenes</v>
          </cell>
          <cell r="L763">
            <v>46056946</v>
          </cell>
          <cell r="M763">
            <v>14505751</v>
          </cell>
          <cell r="N763" t="str">
            <v>Slovenia</v>
          </cell>
          <cell r="Q763">
            <v>2020</v>
          </cell>
          <cell r="T763" t="str">
            <v>University of Ljubljana, Ljubljana, Slovenia</v>
          </cell>
          <cell r="U763" t="str">
            <v>Food</v>
          </cell>
          <cell r="X763" t="str">
            <v>ERR10612050</v>
          </cell>
        </row>
        <row r="764">
          <cell r="G764" t="str">
            <v>/home/projects/cge/backup/fastq/food_seqdata/NextSeq_208/FoodQCPipeline_tmp/conc_fqs/DTU_2022_1016155_1_SI_L1862_R1_001.fq.gz</v>
          </cell>
          <cell r="H764" t="str">
            <v>/home/projects/cge/backup/fastq/food_seqdata/NextSeq_209/FoodQCPipeline_tmp/conc_fqs/DTU_2022_1016155_1_SI_L1862_R2_001.fq.gz</v>
          </cell>
          <cell r="I764" t="str">
            <v>L1862</v>
          </cell>
          <cell r="J764" t="str">
            <v>L1862</v>
          </cell>
          <cell r="K764" t="str">
            <v>Listeria monocytogenes</v>
          </cell>
          <cell r="L764">
            <v>46056946</v>
          </cell>
          <cell r="M764">
            <v>14505751</v>
          </cell>
          <cell r="N764" t="str">
            <v>Slovenia</v>
          </cell>
          <cell r="Q764">
            <v>2020</v>
          </cell>
          <cell r="T764" t="str">
            <v>University of Ljubljana, Ljubljana, Slovenia</v>
          </cell>
          <cell r="U764" t="str">
            <v>Food</v>
          </cell>
          <cell r="X764" t="str">
            <v>ERR10611996</v>
          </cell>
        </row>
        <row r="765">
          <cell r="G765" t="str">
            <v>/home/projects/cge/backup/fastq/food_seqdata/NextSeq_208/FoodQCPipeline_tmp/conc_fqs/DTU_2022_1016156_1_SI_L1874_R1_001.fq.gz</v>
          </cell>
          <cell r="H765" t="str">
            <v>/home/projects/cge/backup/fastq/food_seqdata/NextSeq_209/FoodQCPipeline_tmp/conc_fqs/DTU_2022_1016156_1_SI_L1874_R2_001.fq.gz</v>
          </cell>
          <cell r="I765" t="str">
            <v>L1874</v>
          </cell>
          <cell r="J765" t="str">
            <v>L1874</v>
          </cell>
          <cell r="K765" t="str">
            <v>Listeria monocytogenes</v>
          </cell>
          <cell r="L765">
            <v>46056946</v>
          </cell>
          <cell r="M765">
            <v>14505751</v>
          </cell>
          <cell r="N765" t="str">
            <v>Slovenia</v>
          </cell>
          <cell r="Q765">
            <v>2020</v>
          </cell>
          <cell r="T765" t="str">
            <v>University of Ljubljana, Ljubljana, Slovenia</v>
          </cell>
          <cell r="U765" t="str">
            <v>Food</v>
          </cell>
          <cell r="X765" t="str">
            <v>ERR10612032</v>
          </cell>
        </row>
        <row r="766">
          <cell r="G766" t="str">
            <v>/home/projects/cge/backup/fastq/food_seqdata/NextSeq_208/FoodQCPipeline_tmp/conc_fqs/DTU_2022_1016157_1_SI_L1876_R1_001.fq.gz</v>
          </cell>
          <cell r="H766" t="str">
            <v>/home/projects/cge/backup/fastq/food_seqdata/NextSeq_209/FoodQCPipeline_tmp/conc_fqs/DTU_2022_1016157_1_SI_L1876_R2_001.fq.gz</v>
          </cell>
          <cell r="I766" t="str">
            <v>L1876</v>
          </cell>
          <cell r="J766" t="str">
            <v>L1876</v>
          </cell>
          <cell r="K766" t="str">
            <v>Listeria monocytogenes</v>
          </cell>
          <cell r="L766">
            <v>46056946</v>
          </cell>
          <cell r="M766">
            <v>14505751</v>
          </cell>
          <cell r="N766" t="str">
            <v>Slovenia</v>
          </cell>
          <cell r="Q766">
            <v>2020</v>
          </cell>
          <cell r="T766" t="str">
            <v>University of Ljubljana, Ljubljana, Slovenia</v>
          </cell>
          <cell r="U766" t="str">
            <v>Food</v>
          </cell>
          <cell r="X766" t="str">
            <v>ERR10612011</v>
          </cell>
        </row>
        <row r="767">
          <cell r="G767" t="str">
            <v>/home/projects/cge/backup/fastq/food_seqdata/NextSeq_208/FoodQCPipeline_tmp/conc_fqs/DTU_2022_1016158_1_SI_L1878_R1_001.fq.gz</v>
          </cell>
          <cell r="H767" t="str">
            <v>/home/projects/cge/backup/fastq/food_seqdata/NextSeq_209/FoodQCPipeline_tmp/conc_fqs/DTU_2022_1016158_1_SI_L1878_R2_001.fq.gz</v>
          </cell>
          <cell r="I767" t="str">
            <v>L1878</v>
          </cell>
          <cell r="J767" t="str">
            <v>L1878</v>
          </cell>
          <cell r="K767" t="str">
            <v>Listeria monocytogenes</v>
          </cell>
          <cell r="L767">
            <v>46056946</v>
          </cell>
          <cell r="M767">
            <v>14505751</v>
          </cell>
          <cell r="N767" t="str">
            <v>Slovenia</v>
          </cell>
          <cell r="Q767">
            <v>2020</v>
          </cell>
          <cell r="T767" t="str">
            <v>University of Ljubljana, Ljubljana, Slovenia</v>
          </cell>
          <cell r="U767" t="str">
            <v>Food</v>
          </cell>
          <cell r="X767" t="str">
            <v>ERR10612000</v>
          </cell>
        </row>
        <row r="768">
          <cell r="G768" t="str">
            <v>/home/projects/cge/backup/fastq/food_seqdata/NextSeq_209/FoodQCPipeline_tmp/conc_fqs/DTU_2022_1016183_1_SI_L1928_R1_001.fq.gz</v>
          </cell>
          <cell r="H768" t="str">
            <v>/home/projects/cge/backup/fastq/food_seqdata/NextSeq_209/FoodQCPipeline_tmp/conc_fqs/DTU_2022_1016183_1_SI_L1928_R2_001.fq.gz</v>
          </cell>
          <cell r="I768" t="str">
            <v>L1928</v>
          </cell>
          <cell r="J768" t="str">
            <v>L1928</v>
          </cell>
          <cell r="K768" t="str">
            <v>Listeria monocytogenes</v>
          </cell>
          <cell r="L768">
            <v>46056946</v>
          </cell>
          <cell r="M768">
            <v>14505751</v>
          </cell>
          <cell r="N768" t="str">
            <v>Slovenia</v>
          </cell>
          <cell r="Q768">
            <v>2020</v>
          </cell>
          <cell r="T768" t="str">
            <v>University of Ljubljana, Ljubljana, Slovenia</v>
          </cell>
          <cell r="U768" t="str">
            <v>Food</v>
          </cell>
          <cell r="X768" t="str">
            <v>ERR10549809</v>
          </cell>
        </row>
        <row r="769">
          <cell r="G769" t="str">
            <v>/home/projects/cge/backup/fastq/food_seqdata/NextSeq_209/FoodQCPipeline_tmp/conc_fqs/DTU_2022_1016184_1_SI_L1929_R1_001.fq.gz</v>
          </cell>
          <cell r="H769" t="str">
            <v>/home/projects/cge/backup/fastq/food_seqdata/NextSeq_209/FoodQCPipeline_tmp/conc_fqs/DTU_2022_1016184_1_SI_L1929_R2_001.fq.gz</v>
          </cell>
          <cell r="I769" t="str">
            <v>L1929</v>
          </cell>
          <cell r="J769" t="str">
            <v>L1929</v>
          </cell>
          <cell r="K769" t="str">
            <v>Listeria monocytogenes</v>
          </cell>
          <cell r="L769">
            <v>46056946</v>
          </cell>
          <cell r="M769">
            <v>14505751</v>
          </cell>
          <cell r="N769" t="str">
            <v>Slovenia</v>
          </cell>
          <cell r="Q769">
            <v>2020</v>
          </cell>
          <cell r="T769" t="str">
            <v>University of Ljubljana, Ljubljana, Slovenia</v>
          </cell>
          <cell r="U769" t="str">
            <v>Food</v>
          </cell>
          <cell r="X769" t="str">
            <v>ERR10549799</v>
          </cell>
        </row>
        <row r="770">
          <cell r="G770" t="str">
            <v>/home/projects/cge/backup/fastq/food_seqdata/NextSeq_209/FoodQCPipeline_tmp/conc_fqs/DTU_2022_1016185_1_SI_L1930_R1_001.fq.gz</v>
          </cell>
          <cell r="H770" t="str">
            <v>/home/projects/cge/backup/fastq/food_seqdata/NextSeq_209/FoodQCPipeline_tmp/conc_fqs/DTU_2022_1016185_1_SI_L1930_R2_001.fq.gz</v>
          </cell>
          <cell r="I770" t="str">
            <v>L1930</v>
          </cell>
          <cell r="J770" t="str">
            <v>L1930</v>
          </cell>
          <cell r="K770" t="str">
            <v>Listeria monocytogenes</v>
          </cell>
          <cell r="L770">
            <v>46056946</v>
          </cell>
          <cell r="M770">
            <v>14505751</v>
          </cell>
          <cell r="N770" t="str">
            <v>Slovenia</v>
          </cell>
          <cell r="Q770">
            <v>2020</v>
          </cell>
          <cell r="T770" t="str">
            <v>University of Ljubljana, Ljubljana, Slovenia</v>
          </cell>
          <cell r="U770" t="str">
            <v>Food</v>
          </cell>
          <cell r="X770" t="str">
            <v>ERR10549794</v>
          </cell>
        </row>
        <row r="771">
          <cell r="G771" t="str">
            <v>/home/projects/cge/backup/fastq/food_seqdata/NextSeq_209/FoodQCPipeline_tmp/conc_fqs/DTU_2022_1016186_1_SI_L1931_R1_001.fq.gz</v>
          </cell>
          <cell r="H771" t="str">
            <v>/home/projects/cge/backup/fastq/food_seqdata/NextSeq_209/FoodQCPipeline_tmp/conc_fqs/DTU_2022_1016186_1_SI_L1931_R2_001.fq.gz</v>
          </cell>
          <cell r="I771" t="str">
            <v>L1931</v>
          </cell>
          <cell r="J771" t="str">
            <v>L1931</v>
          </cell>
          <cell r="K771" t="str">
            <v>Listeria monocytogenes</v>
          </cell>
          <cell r="L771">
            <v>46056946</v>
          </cell>
          <cell r="M771">
            <v>14505751</v>
          </cell>
          <cell r="N771" t="str">
            <v>Slovenia</v>
          </cell>
          <cell r="Q771">
            <v>2020</v>
          </cell>
          <cell r="T771" t="str">
            <v>University of Ljubljana, Ljubljana, Slovenia</v>
          </cell>
          <cell r="U771" t="str">
            <v>Food</v>
          </cell>
          <cell r="X771" t="str">
            <v>ERR10549784</v>
          </cell>
        </row>
        <row r="772">
          <cell r="G772" t="str">
            <v>/home/projects/cge/backup/fastq/food_seqdata/NextSeq_209/FoodQCPipeline_tmp/conc_fqs/DTU_2022_1016187_1_SI_L1932_R1_001.fq.gz</v>
          </cell>
          <cell r="H772" t="str">
            <v>/home/projects/cge/backup/fastq/food_seqdata/NextSeq_209/FoodQCPipeline_tmp/conc_fqs/DTU_2022_1016187_1_SI_L1932_R2_001.fq.gz</v>
          </cell>
          <cell r="I772" t="str">
            <v>L1932</v>
          </cell>
          <cell r="J772" t="str">
            <v>L1932</v>
          </cell>
          <cell r="K772" t="str">
            <v>Listeria monocytogenes</v>
          </cell>
          <cell r="L772">
            <v>46056946</v>
          </cell>
          <cell r="M772">
            <v>14505751</v>
          </cell>
          <cell r="N772" t="str">
            <v>Slovenia</v>
          </cell>
          <cell r="Q772">
            <v>2020</v>
          </cell>
          <cell r="T772" t="str">
            <v>University of Ljubljana, Ljubljana, Slovenia</v>
          </cell>
          <cell r="U772" t="str">
            <v>Food</v>
          </cell>
          <cell r="X772" t="str">
            <v>ERR10549786</v>
          </cell>
        </row>
        <row r="773">
          <cell r="G773" t="str">
            <v>/home/projects/cge/backup/fastq/food_seqdata/NextSeq_209/FoodQCPipeline_tmp/conc_fqs/DTU_2022_1016188_1_SI_L1933_R1_001.fq.gz</v>
          </cell>
          <cell r="H773" t="str">
            <v>/home/projects/cge/backup/fastq/food_seqdata/NextSeq_209/FoodQCPipeline_tmp/conc_fqs/DTU_2022_1016188_1_SI_L1933_R2_001.fq.gz</v>
          </cell>
          <cell r="I773" t="str">
            <v>L1933</v>
          </cell>
          <cell r="J773" t="str">
            <v>L1933</v>
          </cell>
          <cell r="K773" t="str">
            <v>Listeria monocytogenes</v>
          </cell>
          <cell r="L773">
            <v>46056946</v>
          </cell>
          <cell r="M773">
            <v>14505751</v>
          </cell>
          <cell r="N773" t="str">
            <v>Slovenia</v>
          </cell>
          <cell r="Q773">
            <v>2020</v>
          </cell>
          <cell r="T773" t="str">
            <v>University of Ljubljana, Ljubljana, Slovenia</v>
          </cell>
          <cell r="U773" t="str">
            <v>Food</v>
          </cell>
          <cell r="X773" t="str">
            <v>ERR10549817</v>
          </cell>
        </row>
        <row r="774">
          <cell r="G774" t="str">
            <v>/home/projects/cge/backup/fastq/food_seqdata/NextSeq_209/FoodQCPipeline_tmp/conc_fqs/DTU_2022_1016189_1_SI_L1934_R1_001.fq.gz</v>
          </cell>
          <cell r="H774" t="str">
            <v>/home/projects/cge/backup/fastq/food_seqdata/NextSeq_209/FoodQCPipeline_tmp/conc_fqs/DTU_2022_1016189_1_SI_L1934_R2_001.fq.gz</v>
          </cell>
          <cell r="I774" t="str">
            <v>L1934</v>
          </cell>
          <cell r="J774" t="str">
            <v>L1934</v>
          </cell>
          <cell r="K774" t="str">
            <v>Listeria monocytogenes</v>
          </cell>
          <cell r="L774">
            <v>46056946</v>
          </cell>
          <cell r="M774">
            <v>14505751</v>
          </cell>
          <cell r="N774" t="str">
            <v>Slovenia</v>
          </cell>
          <cell r="Q774">
            <v>2020</v>
          </cell>
          <cell r="T774" t="str">
            <v>University of Ljubljana, Ljubljana, Slovenia</v>
          </cell>
          <cell r="U774" t="str">
            <v>Food</v>
          </cell>
          <cell r="X774" t="str">
            <v>ERR10549824</v>
          </cell>
        </row>
        <row r="775">
          <cell r="G775" t="str">
            <v>/home/projects/cge/backup/fastq/food_seqdata/NextSeq_209/FoodQCPipeline_tmp/conc_fqs/DTU_2022_1016190_1_SI_L1935_R1_001.fq.gz</v>
          </cell>
          <cell r="H775" t="str">
            <v>/home/projects/cge/backup/fastq/food_seqdata/NextSeq_209/FoodQCPipeline_tmp/conc_fqs/DTU_2022_1016190_1_SI_L1935_R2_001.fq.gz</v>
          </cell>
          <cell r="I775" t="str">
            <v>L1935</v>
          </cell>
          <cell r="J775" t="str">
            <v>L1935</v>
          </cell>
          <cell r="K775" t="str">
            <v>Listeria monocytogenes</v>
          </cell>
          <cell r="L775">
            <v>46056946</v>
          </cell>
          <cell r="M775">
            <v>14505751</v>
          </cell>
          <cell r="N775" t="str">
            <v>Slovenia</v>
          </cell>
          <cell r="Q775">
            <v>2020</v>
          </cell>
          <cell r="T775" t="str">
            <v>University of Ljubljana, Ljubljana, Slovenia</v>
          </cell>
          <cell r="U775" t="str">
            <v>Food</v>
          </cell>
          <cell r="X775" t="str">
            <v>ERR10549787</v>
          </cell>
        </row>
        <row r="776">
          <cell r="G776" t="str">
            <v>/home/projects/cge/data/projects/other/Listeria_disinfectant_project/Slovenia_Bojan_Papic/raw_data/L1747_1.fq.gz</v>
          </cell>
          <cell r="H776" t="str">
            <v>/home/projects/cge/data/projects/other/Listeria_disinfectant_project/Slovenia_Bojan_Papic/raw_data/L1747_2.fq.gz</v>
          </cell>
          <cell r="I776" t="str">
            <v>L1747</v>
          </cell>
          <cell r="J776" t="str">
            <v>L1747</v>
          </cell>
          <cell r="K776" t="str">
            <v>Listeria monocytogenes</v>
          </cell>
          <cell r="L776">
            <v>46056946</v>
          </cell>
          <cell r="M776">
            <v>14505751</v>
          </cell>
          <cell r="N776" t="str">
            <v>Slovenia</v>
          </cell>
          <cell r="Q776">
            <v>2020</v>
          </cell>
          <cell r="T776" t="str">
            <v>University of Ljubljana, Ljubljana, Slovenia</v>
          </cell>
          <cell r="U776" t="str">
            <v>Food</v>
          </cell>
          <cell r="V776" t="str">
            <v xml:space="preserve">RTE meat </v>
          </cell>
          <cell r="X776" t="str">
            <v>ERR10549855</v>
          </cell>
        </row>
        <row r="777">
          <cell r="G777" t="str">
            <v>/home/projects/cge/data/projects/other/Listeria_disinfectant_project/Slovenia_Bojan_Papic/raw_data/L1751_1.fq.gz</v>
          </cell>
          <cell r="H777" t="str">
            <v>/home/projects/cge/data/projects/other/Listeria_disinfectant_project/Slovenia_Bojan_Papic/raw_data/L1751_2.fq.gz</v>
          </cell>
          <cell r="I777" t="str">
            <v>L1751</v>
          </cell>
          <cell r="J777" t="str">
            <v>L1751</v>
          </cell>
          <cell r="K777" t="str">
            <v>Listeria monocytogenes</v>
          </cell>
          <cell r="L777">
            <v>46056946</v>
          </cell>
          <cell r="M777">
            <v>14505751</v>
          </cell>
          <cell r="N777" t="str">
            <v>Slovenia</v>
          </cell>
          <cell r="Q777">
            <v>2020</v>
          </cell>
          <cell r="T777" t="str">
            <v>University of Ljubljana, Ljubljana, Slovenia</v>
          </cell>
          <cell r="U777" t="str">
            <v>Food</v>
          </cell>
          <cell r="V777" t="str">
            <v xml:space="preserve">RTE meat </v>
          </cell>
          <cell r="X777" t="str">
            <v>ERR10549866</v>
          </cell>
        </row>
        <row r="778">
          <cell r="G778" t="str">
            <v>/home/projects/cge/data/projects/other/Listeria_disinfectant_project/Slovenia_Bojan_Papic/raw_data/L1764_1.fq.gz</v>
          </cell>
          <cell r="H778" t="str">
            <v>/home/projects/cge/data/projects/other/Listeria_disinfectant_project/Slovenia_Bojan_Papic/raw_data/L1764_2.fq.gz</v>
          </cell>
          <cell r="I778" t="str">
            <v>L1764</v>
          </cell>
          <cell r="J778" t="str">
            <v>L1764</v>
          </cell>
          <cell r="K778" t="str">
            <v>Listeria monocytogenes</v>
          </cell>
          <cell r="L778">
            <v>46056946</v>
          </cell>
          <cell r="M778">
            <v>14505751</v>
          </cell>
          <cell r="N778" t="str">
            <v>Slovenia</v>
          </cell>
          <cell r="Q778">
            <v>2020</v>
          </cell>
          <cell r="T778" t="str">
            <v>University of Ljubljana, Ljubljana, Slovenia</v>
          </cell>
          <cell r="U778" t="str">
            <v>Food</v>
          </cell>
          <cell r="V778" t="str">
            <v xml:space="preserve">RTE meat </v>
          </cell>
          <cell r="X778" t="str">
            <v>ERR10549951</v>
          </cell>
        </row>
        <row r="779">
          <cell r="G779" t="str">
            <v>/home/projects/cge/data/projects/other/Listeria_disinfectant_project/Slovenia_Bojan_Papic/raw_data/L1767_1.fq.gz</v>
          </cell>
          <cell r="H779" t="str">
            <v>/home/projects/cge/data/projects/other/Listeria_disinfectant_project/Slovenia_Bojan_Papic/raw_data/L1767_2.fq.gz</v>
          </cell>
          <cell r="I779" t="str">
            <v>L1767</v>
          </cell>
          <cell r="J779" t="str">
            <v>L1767</v>
          </cell>
          <cell r="K779" t="str">
            <v>Listeria monocytogenes</v>
          </cell>
          <cell r="L779">
            <v>46056946</v>
          </cell>
          <cell r="M779">
            <v>14505751</v>
          </cell>
          <cell r="N779" t="str">
            <v>Slovenia</v>
          </cell>
          <cell r="Q779">
            <v>2020</v>
          </cell>
          <cell r="T779" t="str">
            <v>University of Ljubljana, Ljubljana, Slovenia</v>
          </cell>
          <cell r="U779" t="str">
            <v>Food</v>
          </cell>
          <cell r="V779" t="str">
            <v xml:space="preserve">RTE meat </v>
          </cell>
          <cell r="X779" t="str">
            <v>ERR10549989</v>
          </cell>
        </row>
        <row r="780">
          <cell r="G780" t="str">
            <v>/home/projects/cge/data/projects/other/Listeria_disinfectant_project/Slovenia_Bojan_Papic/raw_data/L1772_1.fq.gz</v>
          </cell>
          <cell r="H780" t="str">
            <v>/home/projects/cge/data/projects/other/Listeria_disinfectant_project/Slovenia_Bojan_Papic/raw_data/L1772_2.fq.gz</v>
          </cell>
          <cell r="I780" t="str">
            <v>L1772</v>
          </cell>
          <cell r="J780" t="str">
            <v>L1772</v>
          </cell>
          <cell r="K780" t="str">
            <v>Listeria monocytogenes</v>
          </cell>
          <cell r="L780">
            <v>46056946</v>
          </cell>
          <cell r="M780">
            <v>14505751</v>
          </cell>
          <cell r="N780" t="str">
            <v>Slovenia</v>
          </cell>
          <cell r="Q780">
            <v>2020</v>
          </cell>
          <cell r="T780" t="str">
            <v>University of Ljubljana, Ljubljana, Slovenia</v>
          </cell>
          <cell r="U780" t="str">
            <v>Food</v>
          </cell>
          <cell r="V780" t="str">
            <v xml:space="preserve">RTE fish </v>
          </cell>
          <cell r="X780" t="str">
            <v>ERR10549849</v>
          </cell>
        </row>
        <row r="781">
          <cell r="G781" t="str">
            <v>/home/projects/cge/data/projects/other/Listeria_disinfectant_project/Slovenia_Bojan_Papic/raw_data/L1778_1.fq.gz</v>
          </cell>
          <cell r="H781" t="str">
            <v>/home/projects/cge/data/projects/other/Listeria_disinfectant_project/Slovenia_Bojan_Papic/raw_data/L1778_2.fq.gz</v>
          </cell>
          <cell r="I781" t="str">
            <v>L1778</v>
          </cell>
          <cell r="J781" t="str">
            <v>L1778</v>
          </cell>
          <cell r="K781" t="str">
            <v>Listeria monocytogenes</v>
          </cell>
          <cell r="L781">
            <v>46056946</v>
          </cell>
          <cell r="M781">
            <v>14505751</v>
          </cell>
          <cell r="N781" t="str">
            <v>Slovenia</v>
          </cell>
          <cell r="Q781">
            <v>2020</v>
          </cell>
          <cell r="T781" t="str">
            <v>University of Ljubljana, Ljubljana, Slovenia</v>
          </cell>
          <cell r="U781" t="str">
            <v>Food</v>
          </cell>
          <cell r="V781" t="str">
            <v xml:space="preserve">RTE meat </v>
          </cell>
          <cell r="X781" t="str">
            <v>ERR10549944</v>
          </cell>
        </row>
        <row r="782">
          <cell r="G782" t="str">
            <v>/home/projects/cge/data/projects/other/Listeria_disinfectant_project/Slovenia_Bojan_Papic/raw_data/L1783a_1.fq.gz</v>
          </cell>
          <cell r="H782" t="str">
            <v>/home/projects/cge/data/projects/other/Listeria_disinfectant_project/Slovenia_Bojan_Papic/raw_data/L1783a_2.fq.gz</v>
          </cell>
          <cell r="I782" t="str">
            <v>L1783a</v>
          </cell>
          <cell r="J782" t="str">
            <v>L1783a</v>
          </cell>
          <cell r="K782" t="str">
            <v>Listeria monocytogenes</v>
          </cell>
          <cell r="L782">
            <v>46056946</v>
          </cell>
          <cell r="M782">
            <v>14505751</v>
          </cell>
          <cell r="N782" t="str">
            <v>Slovenia</v>
          </cell>
          <cell r="Q782">
            <v>2020</v>
          </cell>
          <cell r="T782" t="str">
            <v>University of Ljubljana, Ljubljana, Slovenia</v>
          </cell>
          <cell r="U782" t="str">
            <v>Food</v>
          </cell>
          <cell r="V782" t="str">
            <v xml:space="preserve">Beefsteak </v>
          </cell>
          <cell r="X782" t="str">
            <v>ERR10550018</v>
          </cell>
        </row>
        <row r="783">
          <cell r="G783" t="str">
            <v>/home/projects/cge/data/projects/other/Listeria_disinfectant_project/Slovenia_Bojan_Papic/raw_data/L1790_1.fq.gz</v>
          </cell>
          <cell r="H783" t="str">
            <v>/home/projects/cge/data/projects/other/Listeria_disinfectant_project/Slovenia_Bojan_Papic/raw_data/L1790_2.fq.gz</v>
          </cell>
          <cell r="I783" t="str">
            <v>L1790</v>
          </cell>
          <cell r="J783" t="str">
            <v>L1790</v>
          </cell>
          <cell r="K783" t="str">
            <v>Listeria monocytogenes</v>
          </cell>
          <cell r="L783">
            <v>46056946</v>
          </cell>
          <cell r="M783">
            <v>14505751</v>
          </cell>
          <cell r="N783" t="str">
            <v>Slovenia</v>
          </cell>
          <cell r="Q783">
            <v>2020</v>
          </cell>
          <cell r="T783" t="str">
            <v>University of Ljubljana, Ljubljana, Slovenia</v>
          </cell>
          <cell r="U783" t="str">
            <v>Food</v>
          </cell>
          <cell r="V783" t="str">
            <v xml:space="preserve">RTE meat </v>
          </cell>
          <cell r="X783" t="str">
            <v>ERR10549800</v>
          </cell>
        </row>
        <row r="784">
          <cell r="G784" t="str">
            <v>/home/projects/cge/data/projects/other/Listeria_disinfectant_project/Slovenia_Bojan_Papic/raw_data/L1793_1.fq.gz</v>
          </cell>
          <cell r="H784" t="str">
            <v>/home/projects/cge/data/projects/other/Listeria_disinfectant_project/Slovenia_Bojan_Papic/raw_data/L1793_2.fq.gz</v>
          </cell>
          <cell r="I784" t="str">
            <v>L1793</v>
          </cell>
          <cell r="J784" t="str">
            <v>L1793</v>
          </cell>
          <cell r="K784" t="str">
            <v>Listeria monocytogenes</v>
          </cell>
          <cell r="L784">
            <v>46056946</v>
          </cell>
          <cell r="M784">
            <v>14505751</v>
          </cell>
          <cell r="N784" t="str">
            <v>Slovenia</v>
          </cell>
          <cell r="Q784">
            <v>2020</v>
          </cell>
          <cell r="T784" t="str">
            <v>University of Ljubljana, Ljubljana, Slovenia</v>
          </cell>
          <cell r="U784" t="str">
            <v>Food</v>
          </cell>
          <cell r="V784" t="str">
            <v xml:space="preserve">Beefsteak </v>
          </cell>
          <cell r="X784" t="str">
            <v>ERR10549798</v>
          </cell>
        </row>
        <row r="785">
          <cell r="G785" t="str">
            <v>/home/projects/cge/data/projects/other/Listeria_disinfectant_project/Slovenia_Bojan_Papic/raw_data/L1758_1.fq.gz</v>
          </cell>
          <cell r="H785" t="str">
            <v>/home/projects/cge/data/projects/other/Listeria_disinfectant_project/Slovenia_Bojan_Papic/raw_data/L1758_2.fq.gz</v>
          </cell>
          <cell r="I785" t="str">
            <v>L1758</v>
          </cell>
          <cell r="J785" t="str">
            <v>L1758</v>
          </cell>
          <cell r="K785" t="str">
            <v>Listeria monocytogenes</v>
          </cell>
          <cell r="L785">
            <v>46056946</v>
          </cell>
          <cell r="M785">
            <v>14505751</v>
          </cell>
          <cell r="N785" t="str">
            <v>Slovenia</v>
          </cell>
          <cell r="Q785">
            <v>2021</v>
          </cell>
          <cell r="T785" t="str">
            <v>University of Ljubljana, Ljubljana, Slovenia</v>
          </cell>
          <cell r="U785" t="str">
            <v>Food</v>
          </cell>
          <cell r="V785" t="str">
            <v xml:space="preserve">RTE meat </v>
          </cell>
          <cell r="X785" t="str">
            <v>ERR10549862</v>
          </cell>
        </row>
        <row r="786">
          <cell r="G786" t="str">
            <v>/home/projects/cge/backup/fastq/food_seqdata/NextSeq_207/FoodQCPipeline_tmp/conc_fqs/DTU_2022_1015883_1_SI_LmRo1_R1_001.fq.gz</v>
          </cell>
          <cell r="H786" t="str">
            <v>/home/projects/cge/backup/fastq/food_seqdata/NextSeq_207/FoodQCPipeline_tmp/conc_fqs/DTU_2022_1015883_1_SI_LmRo1_R2_001.fq.gz</v>
          </cell>
          <cell r="I786" t="str">
            <v>LmRo1</v>
          </cell>
          <cell r="J786" t="str">
            <v>LmRo1</v>
          </cell>
          <cell r="K786" t="str">
            <v>Listeria monocytogenes</v>
          </cell>
          <cell r="L786">
            <v>44439663</v>
          </cell>
          <cell r="M786">
            <v>26096306</v>
          </cell>
          <cell r="N786" t="str">
            <v>Romania</v>
          </cell>
          <cell r="Q786">
            <v>2012</v>
          </cell>
          <cell r="T786" t="str">
            <v>Institute for Milk Hygiene and Unit of Food Microbiology, University of Veterinary Medicine, Vienna, Austria</v>
          </cell>
          <cell r="U786" t="str">
            <v>Food</v>
          </cell>
          <cell r="V786" t="str">
            <v>Mackerel</v>
          </cell>
          <cell r="X786" t="str">
            <v>ERR10549818</v>
          </cell>
        </row>
        <row r="787">
          <cell r="G787" t="str">
            <v>/home/projects/cge/backup/fastq/food_seqdata/NextSeq_207/FoodQCPipeline_tmp/conc_fqs/DTU_2022_1015884_1_SI_LmRo2_R1_001.fq.gz</v>
          </cell>
          <cell r="H787" t="str">
            <v>/home/projects/cge/backup/fastq/food_seqdata/NextSeq_207/FoodQCPipeline_tmp/conc_fqs/DTU_2022_1015884_1_SI_LmRo2_R2_001.fq.gz</v>
          </cell>
          <cell r="I787" t="str">
            <v>LmRo2</v>
          </cell>
          <cell r="J787" t="str">
            <v>LmRo2</v>
          </cell>
          <cell r="K787" t="str">
            <v>Listeria monocytogenes</v>
          </cell>
          <cell r="L787">
            <v>44439663</v>
          </cell>
          <cell r="M787">
            <v>26096306</v>
          </cell>
          <cell r="N787" t="str">
            <v>Romania</v>
          </cell>
          <cell r="Q787">
            <v>2012</v>
          </cell>
          <cell r="T787" t="str">
            <v>Institute for Milk Hygiene and Unit of Food Microbiology, University of Veterinary Medicine, Vienna, Austria</v>
          </cell>
          <cell r="U787" t="str">
            <v>Food</v>
          </cell>
          <cell r="V787" t="str">
            <v>Marinated fish</v>
          </cell>
          <cell r="X787" t="str">
            <v>ERR10549811</v>
          </cell>
        </row>
        <row r="788">
          <cell r="G788" t="str">
            <v>/home/projects/cge/backup/fastq/food_seqdata/NextSeq_207/FoodQCPipeline_tmp/conc_fqs/DTU_2022_1015886_2_SI_LmRo4_R1_001.fq.gz</v>
          </cell>
          <cell r="H788" t="str">
            <v>/home/projects/cge/backup/fastq/food_seqdata/NextSeq_207/FoodQCPipeline_tmp/conc_fqs/DTU_2022_1015886_2_SI_LmRo4_R2_001.fq.gz</v>
          </cell>
          <cell r="I788" t="str">
            <v>LmRo4</v>
          </cell>
          <cell r="J788" t="str">
            <v>LmRo4</v>
          </cell>
          <cell r="K788" t="str">
            <v>Listeria monocytogenes</v>
          </cell>
          <cell r="L788">
            <v>44439663</v>
          </cell>
          <cell r="M788">
            <v>26096306</v>
          </cell>
          <cell r="N788" t="str">
            <v>Romania</v>
          </cell>
          <cell r="Q788">
            <v>2012</v>
          </cell>
          <cell r="T788" t="str">
            <v>Institute for Milk Hygiene and Unit of Food Microbiology, University of Veterinary Medicine, Vienna, Austria</v>
          </cell>
          <cell r="U788" t="str">
            <v>Food</v>
          </cell>
          <cell r="V788" t="str">
            <v>Raw- dried salami</v>
          </cell>
          <cell r="X788" t="str">
            <v>ERR10616647</v>
          </cell>
        </row>
        <row r="789">
          <cell r="G789" t="str">
            <v>/home/projects/cge/backup/fastq/food_seqdata/NextSeq_207/FoodQCPipeline_tmp/conc_fqs/DTU_2022_1015887_1_SI_LmRo6_R1_001.fq.gz</v>
          </cell>
          <cell r="H789" t="str">
            <v>/home/projects/cge/backup/fastq/food_seqdata/NextSeq_207/FoodQCPipeline_tmp/conc_fqs/DTU_2022_1015887_1_SI_LmRo6_R2_001.fq.gz</v>
          </cell>
          <cell r="I789" t="str">
            <v>LmRo6</v>
          </cell>
          <cell r="J789" t="str">
            <v>LmRo6</v>
          </cell>
          <cell r="K789" t="str">
            <v>Listeria monocytogenes</v>
          </cell>
          <cell r="L789">
            <v>44439663</v>
          </cell>
          <cell r="M789">
            <v>26096306</v>
          </cell>
          <cell r="N789" t="str">
            <v>Romania</v>
          </cell>
          <cell r="Q789">
            <v>2012</v>
          </cell>
          <cell r="T789" t="str">
            <v>Institute for Milk Hygiene and Unit of Food Microbiology, University of Veterinary Medicine, Vienna, Austria</v>
          </cell>
          <cell r="U789" t="str">
            <v>Food</v>
          </cell>
          <cell r="V789" t="str">
            <v>Anchovy</v>
          </cell>
          <cell r="X789" t="str">
            <v>ERR10549801</v>
          </cell>
        </row>
        <row r="790">
          <cell r="G790" t="str">
            <v>/home/projects/cge/backup/fastq/food_seqdata/NextSeq_207/FoodQCPipeline_tmp/conc_fqs/DTU_2022_1015901_1_SI_AB27_R1_001.fq.gz</v>
          </cell>
          <cell r="H790" t="str">
            <v>/home/projects/cge/backup/fastq/food_seqdata/NextSeq_207/FoodQCPipeline_tmp/conc_fqs/DTU_2022_1015901_1_SI_AB27_R2_001.fq.gz</v>
          </cell>
          <cell r="I790" t="str">
            <v>AB27</v>
          </cell>
          <cell r="J790" t="str">
            <v>AB27</v>
          </cell>
          <cell r="K790" t="str">
            <v>Listeria monocytogenes</v>
          </cell>
          <cell r="L790">
            <v>44439663</v>
          </cell>
          <cell r="M790">
            <v>26096306</v>
          </cell>
          <cell r="N790" t="str">
            <v>Romania</v>
          </cell>
          <cell r="Q790">
            <v>2013</v>
          </cell>
          <cell r="T790" t="str">
            <v>Institute for Milk Hygiene and Unit of Food Microbiology, University of Veterinary Medicine, Vienna, Austria</v>
          </cell>
          <cell r="U790" t="str">
            <v>Production environment</v>
          </cell>
          <cell r="V790" t="str">
            <v>Production environment</v>
          </cell>
          <cell r="X790" t="str">
            <v>ERR10549804</v>
          </cell>
        </row>
        <row r="791">
          <cell r="G791" t="str">
            <v>/home/projects/cge/backup/fastq/food_seqdata/NextSeq_207/FoodQCPipeline_tmp/conc_fqs/DTU_2022_1015902_1_SI_ABS6_R1_001.fq.gz</v>
          </cell>
          <cell r="H791" t="str">
            <v>/home/projects/cge/backup/fastq/food_seqdata/NextSeq_207/FoodQCPipeline_tmp/conc_fqs/DTU_2022_1015902_1_SI_ABS6_R2_001.fq.gz</v>
          </cell>
          <cell r="I791" t="str">
            <v>ABS6</v>
          </cell>
          <cell r="J791" t="str">
            <v>ABS6</v>
          </cell>
          <cell r="K791" t="str">
            <v>Listeria monocytogenes</v>
          </cell>
          <cell r="L791">
            <v>44439663</v>
          </cell>
          <cell r="M791">
            <v>26096306</v>
          </cell>
          <cell r="N791" t="str">
            <v>Romania</v>
          </cell>
          <cell r="Q791">
            <v>2013</v>
          </cell>
          <cell r="T791" t="str">
            <v>Institute for Milk Hygiene and Unit of Food Microbiology, University of Veterinary Medicine, Vienna, Austria</v>
          </cell>
          <cell r="U791" t="str">
            <v>Production environment</v>
          </cell>
          <cell r="V791" t="str">
            <v>Production environment</v>
          </cell>
          <cell r="X791" t="str">
            <v>ERR10549820</v>
          </cell>
        </row>
        <row r="792">
          <cell r="G792" t="str">
            <v>/home/projects/cge/backup/fastq/food_seqdata/NextSeq_207/FoodQCPipeline_tmp/conc_fqs/DTU_2022_1015889_1_SI_LmRo10_R1_001.fq.gz</v>
          </cell>
          <cell r="H792" t="str">
            <v>/home/projects/cge/backup/fastq/food_seqdata/NextSeq_207/FoodQCPipeline_tmp/conc_fqs/DTU_2022_1015889_1_SI_LmRo10_R2_001.fq.gz</v>
          </cell>
          <cell r="I792" t="str">
            <v>LmRo10</v>
          </cell>
          <cell r="J792" t="str">
            <v>LmRo10</v>
          </cell>
          <cell r="K792" t="str">
            <v>Listeria monocytogenes</v>
          </cell>
          <cell r="L792">
            <v>44439663</v>
          </cell>
          <cell r="M792">
            <v>26096306</v>
          </cell>
          <cell r="N792" t="str">
            <v>Romania</v>
          </cell>
          <cell r="Q792">
            <v>2013</v>
          </cell>
          <cell r="T792" t="str">
            <v>Institute for Milk Hygiene and Unit of Food Microbiology, University of Veterinary Medicine, Vienna, Austria</v>
          </cell>
          <cell r="U792" t="str">
            <v>Food</v>
          </cell>
          <cell r="V792" t="str">
            <v>Butter</v>
          </cell>
          <cell r="X792" t="str">
            <v>ERR10549796</v>
          </cell>
        </row>
        <row r="793">
          <cell r="G793" t="str">
            <v>/home/projects/cge/backup/fastq/food_seqdata/NextSeq_207/FoodQCPipeline_tmp/conc_fqs/DTU_2022_1015890_1_SI_LmRo11_R1_001.fq.gz</v>
          </cell>
          <cell r="H793" t="str">
            <v>/home/projects/cge/backup/fastq/food_seqdata/NextSeq_207/FoodQCPipeline_tmp/conc_fqs/DTU_2022_1015890_1_SI_LmRo11_R2_001.fq.gz</v>
          </cell>
          <cell r="I793" t="str">
            <v>LmRo11</v>
          </cell>
          <cell r="J793" t="str">
            <v>LmRo11</v>
          </cell>
          <cell r="K793" t="str">
            <v>Listeria monocytogenes</v>
          </cell>
          <cell r="L793">
            <v>44439663</v>
          </cell>
          <cell r="M793">
            <v>26096306</v>
          </cell>
          <cell r="N793" t="str">
            <v>Romania</v>
          </cell>
          <cell r="Q793">
            <v>2013</v>
          </cell>
          <cell r="T793" t="str">
            <v>Institute for Milk Hygiene and Unit of Food Microbiology, University of Veterinary Medicine, Vienna, Austria</v>
          </cell>
          <cell r="U793" t="str">
            <v>Food</v>
          </cell>
          <cell r="V793" t="str">
            <v>Poultry</v>
          </cell>
          <cell r="X793" t="str">
            <v>ERR10549797</v>
          </cell>
        </row>
        <row r="794">
          <cell r="G794" t="str">
            <v>/home/projects/cge/backup/fastq/food_seqdata/NextSeq_207/FoodQCPipeline_tmp/conc_fqs/DTU_2022_1015891_1_SI_LmRo12_R1_001.fq.gz</v>
          </cell>
          <cell r="H794" t="str">
            <v>/home/projects/cge/backup/fastq/food_seqdata/NextSeq_207/FoodQCPipeline_tmp/conc_fqs/DTU_2022_1015891_1_SI_LmRo12_R2_001.fq.gz</v>
          </cell>
          <cell r="I794" t="str">
            <v>LmRo12</v>
          </cell>
          <cell r="J794" t="str">
            <v>LmRo12</v>
          </cell>
          <cell r="K794" t="str">
            <v>Listeria monocytogenes</v>
          </cell>
          <cell r="L794">
            <v>44439663</v>
          </cell>
          <cell r="M794">
            <v>26096306</v>
          </cell>
          <cell r="N794" t="str">
            <v>Romania</v>
          </cell>
          <cell r="Q794">
            <v>2013</v>
          </cell>
          <cell r="T794" t="str">
            <v>Institute for Milk Hygiene and Unit of Food Microbiology, University of Veterinary Medicine, Vienna, Austria</v>
          </cell>
          <cell r="U794" t="str">
            <v>Food</v>
          </cell>
          <cell r="V794" t="str">
            <v>Lard</v>
          </cell>
          <cell r="X794" t="str">
            <v>ERR10549807</v>
          </cell>
        </row>
        <row r="795">
          <cell r="G795" t="str">
            <v>/home/projects/cge/backup/fastq/food_seqdata/NextSeq_207/FoodQCPipeline_tmp/conc_fqs/DTU_2022_1015893_1_SI_LmRo15_R1_001.fq.gz</v>
          </cell>
          <cell r="H795" t="str">
            <v>/home/projects/cge/backup/fastq/food_seqdata/NextSeq_207/FoodQCPipeline_tmp/conc_fqs/DTU_2022_1015893_1_SI_LmRo15_R2_001.fq.gz</v>
          </cell>
          <cell r="I795" t="str">
            <v>LmRo15</v>
          </cell>
          <cell r="J795" t="str">
            <v>LmRo15</v>
          </cell>
          <cell r="K795" t="str">
            <v>Listeria monocytogenes</v>
          </cell>
          <cell r="L795">
            <v>44439663</v>
          </cell>
          <cell r="M795">
            <v>26096306</v>
          </cell>
          <cell r="N795" t="str">
            <v>Romania</v>
          </cell>
          <cell r="Q795">
            <v>2013</v>
          </cell>
          <cell r="T795" t="str">
            <v>Institute for Milk Hygiene and Unit of Food Microbiology, University of Veterinary Medicine, Vienna, Austria</v>
          </cell>
          <cell r="U795" t="str">
            <v>Food</v>
          </cell>
          <cell r="V795" t="str">
            <v>Herring with spices</v>
          </cell>
          <cell r="X795" t="str">
            <v>ERR10549812</v>
          </cell>
        </row>
        <row r="796">
          <cell r="G796" t="str">
            <v>/home/projects/cge/backup/fastq/food_seqdata/NextSeq_207/FoodQCPipeline_tmp/conc_fqs/DTU_2022_1015885_1_SI_LmRo3_R1_001.fq.gz</v>
          </cell>
          <cell r="H796" t="str">
            <v>/home/projects/cge/backup/fastq/food_seqdata/NextSeq_207/FoodQCPipeline_tmp/conc_fqs/DTU_2022_1015885_1_SI_LmRo3_R2_001.fq.gz</v>
          </cell>
          <cell r="I796" t="str">
            <v>LmRo3</v>
          </cell>
          <cell r="J796" t="str">
            <v>LmRo3</v>
          </cell>
          <cell r="K796" t="str">
            <v>Listeria monocytogenes</v>
          </cell>
          <cell r="L796">
            <v>44439663</v>
          </cell>
          <cell r="M796">
            <v>26096306</v>
          </cell>
          <cell r="N796" t="str">
            <v>Romania</v>
          </cell>
          <cell r="Q796">
            <v>2013</v>
          </cell>
          <cell r="T796" t="str">
            <v>Institute for Milk Hygiene and Unit of Food Microbiology, University of Veterinary Medicine, Vienna, Austria</v>
          </cell>
          <cell r="U796" t="str">
            <v>Food</v>
          </cell>
          <cell r="V796" t="str">
            <v>Smoked herring</v>
          </cell>
          <cell r="X796" t="str">
            <v>ERR10549805</v>
          </cell>
        </row>
        <row r="797">
          <cell r="G797" t="str">
            <v>/home/projects/cge/backup/fastq/food_seqdata/NextSeq_207/FoodQCPipeline_tmp/conc_fqs/DTU_2022_1015888_1_SI_LmRo8_R1_001.fq.gz</v>
          </cell>
          <cell r="H797" t="str">
            <v>/home/projects/cge/backup/fastq/food_seqdata/NextSeq_207/FoodQCPipeline_tmp/conc_fqs/DTU_2022_1015888_1_SI_LmRo8_R2_001.fq.gz</v>
          </cell>
          <cell r="I797" t="str">
            <v>LmRo8</v>
          </cell>
          <cell r="J797" t="str">
            <v>LmRo8</v>
          </cell>
          <cell r="K797" t="str">
            <v>Listeria monocytogenes</v>
          </cell>
          <cell r="L797">
            <v>44439663</v>
          </cell>
          <cell r="M797">
            <v>26096306</v>
          </cell>
          <cell r="N797" t="str">
            <v>Romania</v>
          </cell>
          <cell r="Q797">
            <v>2013</v>
          </cell>
          <cell r="T797" t="str">
            <v>Institute for Milk Hygiene and Unit of Food Microbiology, University of Veterinary Medicine, Vienna, Austria</v>
          </cell>
          <cell r="U797" t="str">
            <v>Food</v>
          </cell>
          <cell r="V797" t="str">
            <v>Smoked sprat</v>
          </cell>
          <cell r="X797" t="str">
            <v>ERR10549806</v>
          </cell>
        </row>
        <row r="798">
          <cell r="G798" t="str">
            <v>/home/projects/cge/backup/fastq/food_seqdata/NextSeq_209/FoodQCPipeline_tmp/conc_fqs/DTU_2022_1016657_1_SI_WRLP354_R1_001.fq.gz</v>
          </cell>
          <cell r="H798" t="str">
            <v>/home/projects/cge/backup/fastq/food_seqdata/NextSeq_209/FoodQCPipeline_tmp/conc_fqs/DTU_2022_1016657_1_SI_WRLP354_R2_001.fq.gz</v>
          </cell>
          <cell r="I798" t="str">
            <v>WRLP354</v>
          </cell>
          <cell r="J798" t="str">
            <v>WRLP354</v>
          </cell>
          <cell r="K798" t="str">
            <v>Listeria monocytogenes</v>
          </cell>
          <cell r="L798">
            <v>44931109</v>
          </cell>
          <cell r="M798">
            <v>-123029159</v>
          </cell>
          <cell r="N798" t="str">
            <v>Oregon</v>
          </cell>
          <cell r="Q798">
            <v>2018</v>
          </cell>
          <cell r="T798" t="str">
            <v>Oregon University, Eugene, OR, USA</v>
          </cell>
          <cell r="U798" t="str">
            <v>Production environment</v>
          </cell>
          <cell r="V798" t="str">
            <v>Produce Packing Environment, non-food contact surface</v>
          </cell>
          <cell r="X798" t="str">
            <v>ERR10612263</v>
          </cell>
        </row>
        <row r="799">
          <cell r="G799" t="str">
            <v>/home/projects/cge/backup/fastq/food_seqdata/NextSeq_209/FoodQCPipeline_tmp/conc_fqs/DTU_2022_1016658_1_SI_WRLP380_R1_001.fq.gz</v>
          </cell>
          <cell r="H799" t="str">
            <v>/home/projects/cge/backup/fastq/food_seqdata/NextSeq_209/FoodQCPipeline_tmp/conc_fqs/DTU_2022_1016658_1_SI_WRLP380_R2_001.fq.gz</v>
          </cell>
          <cell r="I799" t="str">
            <v>WRLP380</v>
          </cell>
          <cell r="J799" t="str">
            <v>WRLP380</v>
          </cell>
          <cell r="K799" t="str">
            <v>Listeria monocytogenes</v>
          </cell>
          <cell r="L799">
            <v>44931109</v>
          </cell>
          <cell r="M799">
            <v>-123029159</v>
          </cell>
          <cell r="N799" t="str">
            <v>Oregon</v>
          </cell>
          <cell r="Q799">
            <v>2018</v>
          </cell>
          <cell r="T799" t="str">
            <v>Oregon University, Eugene, OR, USA</v>
          </cell>
          <cell r="U799" t="str">
            <v>Production environment</v>
          </cell>
          <cell r="V799" t="str">
            <v>Produce Packing Environment, non-food contact surface</v>
          </cell>
          <cell r="X799" t="str">
            <v>ERR10612245</v>
          </cell>
        </row>
        <row r="800">
          <cell r="G800" t="str">
            <v>/home/projects/cge/backup/fastq/food_seqdata/NextSeq_209/FoodQCPipeline_tmp/conc_fqs/DTU_2022_1016659_1_SI_WRLP394_R1_001.fq.gz</v>
          </cell>
          <cell r="H800" t="str">
            <v>/home/projects/cge/backup/fastq/food_seqdata/NextSeq_209/FoodQCPipeline_tmp/conc_fqs/DTU_2022_1016659_1_SI_WRLP394_R2_001.fq.gz</v>
          </cell>
          <cell r="I800" t="str">
            <v>WRLP394</v>
          </cell>
          <cell r="J800" t="str">
            <v>WRLP394</v>
          </cell>
          <cell r="K800" t="str">
            <v>Listeria monocytogenes</v>
          </cell>
          <cell r="L800">
            <v>44931109</v>
          </cell>
          <cell r="M800">
            <v>-123029159</v>
          </cell>
          <cell r="N800" t="str">
            <v>Oregon</v>
          </cell>
          <cell r="Q800">
            <v>2018</v>
          </cell>
          <cell r="T800" t="str">
            <v>Oregon University, Eugene, OR, USA</v>
          </cell>
          <cell r="U800" t="str">
            <v>Production environment</v>
          </cell>
          <cell r="V800" t="str">
            <v>Produce Packing Environment, non-food contact surface</v>
          </cell>
          <cell r="X800" t="str">
            <v>ERR10612270</v>
          </cell>
        </row>
        <row r="801">
          <cell r="G801" t="str">
            <v>/home/projects/cge/backup/fastq/food_seqdata/NextSeq_209/FoodQCPipeline_tmp/conc_fqs/DTU_2022_1016660_1_SI_WRLP483_R1_001.fq.gz</v>
          </cell>
          <cell r="H801" t="str">
            <v>/home/projects/cge/backup/fastq/food_seqdata/NextSeq_209/FoodQCPipeline_tmp/conc_fqs/DTU_2022_1016660_1_SI_WRLP483_R2_001.fq.gz</v>
          </cell>
          <cell r="I801" t="str">
            <v>WRLP483</v>
          </cell>
          <cell r="J801" t="str">
            <v>WRLP483</v>
          </cell>
          <cell r="K801" t="str">
            <v>Listeria monocytogenes</v>
          </cell>
          <cell r="L801">
            <v>44931109</v>
          </cell>
          <cell r="M801">
            <v>-123029159</v>
          </cell>
          <cell r="N801" t="str">
            <v>Oregon</v>
          </cell>
          <cell r="Q801">
            <v>2019</v>
          </cell>
          <cell r="T801" t="str">
            <v>Oregon University, Eugene, OR, USA</v>
          </cell>
          <cell r="U801" t="str">
            <v>Production environment</v>
          </cell>
          <cell r="V801" t="str">
            <v>Produce Packing Environment, non-food contact surface</v>
          </cell>
          <cell r="X801" t="str">
            <v>ERR10612267</v>
          </cell>
        </row>
        <row r="802">
          <cell r="G802" t="str">
            <v>/home/projects/cge/backup/fastq/food_seqdata/NextSeq_209/FoodQCPipeline_tmp/conc_fqs/DTU_2022_1016661_1_SI_WRLP530_R1_001.fq.gz</v>
          </cell>
          <cell r="H802" t="str">
            <v>/home/projects/cge/backup/fastq/food_seqdata/NextSeq_209/FoodQCPipeline_tmp/conc_fqs/DTU_2022_1016661_1_SI_WRLP530_R2_001.fq.gz</v>
          </cell>
          <cell r="I802" t="str">
            <v>WRLP530</v>
          </cell>
          <cell r="J802" t="str">
            <v>WRLP530</v>
          </cell>
          <cell r="K802" t="str">
            <v>Listeria monocytogenes</v>
          </cell>
          <cell r="L802">
            <v>44931109</v>
          </cell>
          <cell r="M802">
            <v>-123029159</v>
          </cell>
          <cell r="N802" t="str">
            <v>Oregon</v>
          </cell>
          <cell r="Q802">
            <v>2019</v>
          </cell>
          <cell r="T802" t="str">
            <v>Oregon University, Eugene, OR, USA</v>
          </cell>
          <cell r="U802" t="str">
            <v>Production environment</v>
          </cell>
          <cell r="V802" t="str">
            <v>Produce Packing Environment, non-food contact surface</v>
          </cell>
          <cell r="X802" t="str">
            <v>ERR10612241</v>
          </cell>
        </row>
        <row r="803">
          <cell r="G803" t="str">
            <v>/home/projects/cge/backup/fastq/food_seqdata/NextSeq_209/FoodQCPipeline_tmp/conc_fqs/DTU_2022_1016662_1_SI_WRLP533_R1_001.fq.gz</v>
          </cell>
          <cell r="H803" t="str">
            <v>/home/projects/cge/backup/fastq/food_seqdata/NextSeq_209/FoodQCPipeline_tmp/conc_fqs/DTU_2022_1016662_1_SI_WRLP533_R2_001.fq.gz</v>
          </cell>
          <cell r="I803" t="str">
            <v>WRLP533</v>
          </cell>
          <cell r="J803" t="str">
            <v>WRLP533</v>
          </cell>
          <cell r="K803" t="str">
            <v>Listeria monocytogenes</v>
          </cell>
          <cell r="L803">
            <v>44931109</v>
          </cell>
          <cell r="M803">
            <v>-123029159</v>
          </cell>
          <cell r="N803" t="str">
            <v>Oregon</v>
          </cell>
          <cell r="Q803">
            <v>2019</v>
          </cell>
          <cell r="T803" t="str">
            <v>Oregon University, Eugene, OR, USA</v>
          </cell>
          <cell r="U803" t="str">
            <v>Production environment</v>
          </cell>
          <cell r="V803" t="str">
            <v>Produce Packing Environment, non-food contact surface</v>
          </cell>
          <cell r="X803" t="str">
            <v>ERR10612275</v>
          </cell>
        </row>
        <row r="804">
          <cell r="G804" t="str">
            <v>/home/projects/cge/backup/fastq/food_seqdata/NextSeq_206/FoodQCPipeline_tmp/conc_fqs/DTU_2022_1015631_1_SI_MF2152_R1_001.fq.gz</v>
          </cell>
          <cell r="H804" t="str">
            <v>/home/projects/cge/backup/fastq/food_seqdata/NextSeq_206/FoodQCPipeline_tmp/conc_fqs/DTU_2022_1015631_1_SI_MF2152_R2_001.fq.gz</v>
          </cell>
          <cell r="I804" t="str">
            <v>MF2152</v>
          </cell>
          <cell r="J804" t="str">
            <v>MF2152</v>
          </cell>
          <cell r="K804" t="str">
            <v>Listeria monocytogenes</v>
          </cell>
          <cell r="L804">
            <v>59911491</v>
          </cell>
          <cell r="M804">
            <v>10757933</v>
          </cell>
          <cell r="N804" t="str">
            <v>Norway</v>
          </cell>
          <cell r="Q804">
            <v>1989</v>
          </cell>
          <cell r="T804" t="str">
            <v>Nofima, √Ös, Norway</v>
          </cell>
          <cell r="U804" t="str">
            <v>Production environment</v>
          </cell>
          <cell r="V804" t="str">
            <v>meat processing environment</v>
          </cell>
          <cell r="X804" t="str">
            <v>ERR10612067</v>
          </cell>
        </row>
        <row r="805">
          <cell r="G805" t="str">
            <v>/home/projects/cge/backup/fastq/food_seqdata/NextSeq_206/FoodQCPipeline_tmp/conc_fqs/DTU_2022_1015632_1_SI_MF2153_R1_001.fq.gz</v>
          </cell>
          <cell r="H805" t="str">
            <v>/home/projects/cge/backup/fastq/food_seqdata/NextSeq_206/FoodQCPipeline_tmp/conc_fqs/DTU_2022_1015632_1_SI_MF2153_R2_001.fq.gz</v>
          </cell>
          <cell r="I805" t="str">
            <v>MF2153</v>
          </cell>
          <cell r="J805" t="str">
            <v>MF2153</v>
          </cell>
          <cell r="K805" t="str">
            <v>Listeria monocytogenes</v>
          </cell>
          <cell r="L805">
            <v>59911491</v>
          </cell>
          <cell r="M805">
            <v>10757933</v>
          </cell>
          <cell r="N805" t="str">
            <v>Norway</v>
          </cell>
          <cell r="Q805">
            <v>1989</v>
          </cell>
          <cell r="T805" t="str">
            <v>Nofima, √Ös, Norway</v>
          </cell>
          <cell r="U805" t="str">
            <v>Production environment</v>
          </cell>
          <cell r="V805" t="str">
            <v>meat processing environment</v>
          </cell>
          <cell r="X805" t="str">
            <v>ERR10612031</v>
          </cell>
        </row>
        <row r="806">
          <cell r="G806" t="str">
            <v>/home/projects/cge/backup/fastq/food_seqdata/NextSeq_206/FoodQCPipeline_tmp/conc_fqs/DTU_2022_1015656_1_SI_MF2190_R1_001.fq.gz</v>
          </cell>
          <cell r="H806" t="str">
            <v>/home/projects/cge/backup/fastq/food_seqdata/NextSeq_206/FoodQCPipeline_tmp/conc_fqs/DTU_2022_1015656_1_SI_MF2190_R2_001.fq.gz</v>
          </cell>
          <cell r="I806" t="str">
            <v>MF2190</v>
          </cell>
          <cell r="J806" t="str">
            <v>MF2190</v>
          </cell>
          <cell r="K806" t="str">
            <v>Listeria monocytogenes</v>
          </cell>
          <cell r="L806">
            <v>59911491</v>
          </cell>
          <cell r="M806">
            <v>10757933</v>
          </cell>
          <cell r="N806" t="str">
            <v>Norway</v>
          </cell>
          <cell r="Q806">
            <v>1989</v>
          </cell>
          <cell r="T806" t="str">
            <v>Nofima, √Ös, Norway</v>
          </cell>
          <cell r="U806" t="str">
            <v>Production environment</v>
          </cell>
          <cell r="V806" t="str">
            <v>meat processing environment</v>
          </cell>
          <cell r="X806" t="str">
            <v>ERR10612077</v>
          </cell>
        </row>
        <row r="807">
          <cell r="G807" t="str">
            <v>/home/projects/cge/backup/fastq/food_seqdata/NextSeq_206/FoodQCPipeline_tmp/conc_fqs/DTU_2022_1015657_1_SI_MF2191_R1_001.fq.gz</v>
          </cell>
          <cell r="H807" t="str">
            <v>/home/projects/cge/backup/fastq/food_seqdata/NextSeq_206/FoodQCPipeline_tmp/conc_fqs/DTU_2022_1015657_1_SI_MF2191_R2_001.fq.gz</v>
          </cell>
          <cell r="I807" t="str">
            <v>MF2191</v>
          </cell>
          <cell r="J807" t="str">
            <v>MF2191</v>
          </cell>
          <cell r="K807" t="str">
            <v>Listeria monocytogenes</v>
          </cell>
          <cell r="L807">
            <v>59911491</v>
          </cell>
          <cell r="M807">
            <v>10757933</v>
          </cell>
          <cell r="N807" t="str">
            <v>Norway</v>
          </cell>
          <cell r="Q807">
            <v>1989</v>
          </cell>
          <cell r="T807" t="str">
            <v>Nofima, √Ös, Norway</v>
          </cell>
          <cell r="U807" t="str">
            <v>Production environment</v>
          </cell>
          <cell r="V807" t="str">
            <v>meat processing environment</v>
          </cell>
          <cell r="X807" t="str">
            <v>ERR10612034</v>
          </cell>
        </row>
        <row r="808">
          <cell r="G808" t="str">
            <v>/home/projects/cge/backup/fastq/food_seqdata/NextSeq_206/FoodQCPipeline_tmp/conc_fqs/DTU_2022_1015628_1_SI_MF1358_R1_001.fq.gz</v>
          </cell>
          <cell r="H808" t="str">
            <v>/home/projects/cge/backup/fastq/food_seqdata/NextSeq_206/FoodQCPipeline_tmp/conc_fqs/DTU_2022_1015628_1_SI_MF1358_R2_001.fq.gz</v>
          </cell>
          <cell r="I808" t="str">
            <v>MF1358</v>
          </cell>
          <cell r="J808" t="str">
            <v>MF1358</v>
          </cell>
          <cell r="K808" t="str">
            <v>Listeria monocytogenes</v>
          </cell>
          <cell r="L808">
            <v>59911491</v>
          </cell>
          <cell r="M808">
            <v>10757933</v>
          </cell>
          <cell r="N808" t="str">
            <v>Norway</v>
          </cell>
          <cell r="Q808">
            <v>1990</v>
          </cell>
          <cell r="T808" t="str">
            <v>Nofima, √Ös, Norway</v>
          </cell>
          <cell r="U808" t="str">
            <v>Production environment</v>
          </cell>
          <cell r="V808" t="str">
            <v>salmon processing environment</v>
          </cell>
          <cell r="X808" t="str">
            <v>ERR10612007</v>
          </cell>
        </row>
        <row r="809">
          <cell r="G809" t="str">
            <v>/home/projects/cge/backup/fastq/food_seqdata/NextSeq_206/FoodQCPipeline_tmp/conc_fqs/DTU_2022_1015636_1_SI_MF2159_R1_001.fq.gz</v>
          </cell>
          <cell r="H809" t="str">
            <v>/home/projects/cge/backup/fastq/food_seqdata/NextSeq_206/FoodQCPipeline_tmp/conc_fqs/DTU_2022_1015636_1_SI_MF2159_R2_001.fq.gz</v>
          </cell>
          <cell r="I809" t="str">
            <v>MF2159</v>
          </cell>
          <cell r="J809" t="str">
            <v>MF2159</v>
          </cell>
          <cell r="K809" t="str">
            <v>Listeria monocytogenes</v>
          </cell>
          <cell r="L809">
            <v>59911491</v>
          </cell>
          <cell r="M809">
            <v>10757933</v>
          </cell>
          <cell r="N809" t="str">
            <v>Norway</v>
          </cell>
          <cell r="Q809">
            <v>1990</v>
          </cell>
          <cell r="T809" t="str">
            <v>Nofima, √Ös, Norway</v>
          </cell>
          <cell r="U809" t="str">
            <v>Production environment</v>
          </cell>
          <cell r="V809" t="str">
            <v>meat processing environment</v>
          </cell>
          <cell r="X809" t="str">
            <v>ERR10612008</v>
          </cell>
        </row>
        <row r="810">
          <cell r="G810" t="str">
            <v>/home/projects/cge/backup/fastq/food_seqdata/NextSeq_206/FoodQCPipeline_tmp/conc_fqs/DTU_2022_1015633_1_SI_MF2156_R1_001.fq.gz</v>
          </cell>
          <cell r="H810" t="str">
            <v>/home/projects/cge/backup/fastq/food_seqdata/NextSeq_206/FoodQCPipeline_tmp/conc_fqs/DTU_2022_1015633_1_SI_MF2156_R2_001.fq.gz</v>
          </cell>
          <cell r="I810" t="str">
            <v>MF2156</v>
          </cell>
          <cell r="J810" t="str">
            <v>MF2156</v>
          </cell>
          <cell r="K810" t="str">
            <v>Listeria monocytogenes</v>
          </cell>
          <cell r="L810">
            <v>59911491</v>
          </cell>
          <cell r="M810">
            <v>10757933</v>
          </cell>
          <cell r="N810" t="str">
            <v>Norway</v>
          </cell>
          <cell r="Q810">
            <v>1993</v>
          </cell>
          <cell r="T810" t="str">
            <v>Nofima, √Ös, Norway</v>
          </cell>
          <cell r="U810" t="str">
            <v>Production environment</v>
          </cell>
          <cell r="V810" t="str">
            <v>meat processing environment</v>
          </cell>
          <cell r="X810" t="str">
            <v>ERR10612024</v>
          </cell>
        </row>
        <row r="811">
          <cell r="G811" t="str">
            <v>/home/projects/cge/backup/fastq/food_seqdata/NextSeq_206/FoodQCPipeline_tmp/conc_fqs/DTU_2022_1015634_1_SI_MF2157_R1_001.fq.gz</v>
          </cell>
          <cell r="H811" t="str">
            <v>/home/projects/cge/backup/fastq/food_seqdata/NextSeq_206/FoodQCPipeline_tmp/conc_fqs/DTU_2022_1015634_1_SI_MF2157_R2_001.fq.gz</v>
          </cell>
          <cell r="I811" t="str">
            <v>MF2157</v>
          </cell>
          <cell r="J811" t="str">
            <v>MF2157</v>
          </cell>
          <cell r="K811" t="str">
            <v>Listeria monocytogenes</v>
          </cell>
          <cell r="L811">
            <v>59911491</v>
          </cell>
          <cell r="M811">
            <v>10757933</v>
          </cell>
          <cell r="N811" t="str">
            <v>Norway</v>
          </cell>
          <cell r="Q811">
            <v>1993</v>
          </cell>
          <cell r="T811" t="str">
            <v>Nofima, √Ös, Norway</v>
          </cell>
          <cell r="U811" t="str">
            <v>Production environment</v>
          </cell>
          <cell r="V811" t="str">
            <v>meat processing environment</v>
          </cell>
          <cell r="X811" t="str">
            <v>ERR10612006</v>
          </cell>
        </row>
        <row r="812">
          <cell r="G812" t="str">
            <v>/home/projects/cge/backup/fastq/food_seqdata/NextSeq_206/FoodQCPipeline_tmp/conc_fqs/DTU_2022_1015629_1_SI_MF1486_R1_001.fq.gz</v>
          </cell>
          <cell r="H812" t="str">
            <v>/home/projects/cge/backup/fastq/food_seqdata/NextSeq_206/FoodQCPipeline_tmp/conc_fqs/DTU_2022_1015629_1_SI_MF1486_R2_001.fq.gz</v>
          </cell>
          <cell r="I812" t="str">
            <v>MF1486</v>
          </cell>
          <cell r="J812" t="str">
            <v>MF1486</v>
          </cell>
          <cell r="K812" t="str">
            <v>Listeria monocytogenes</v>
          </cell>
          <cell r="L812">
            <v>59911491</v>
          </cell>
          <cell r="M812">
            <v>10757933</v>
          </cell>
          <cell r="N812" t="str">
            <v>Norway</v>
          </cell>
          <cell r="Q812">
            <v>1996</v>
          </cell>
          <cell r="T812" t="str">
            <v>Nofima, √Ös, Norway</v>
          </cell>
          <cell r="U812" t="str">
            <v>Production environment</v>
          </cell>
          <cell r="V812" t="str">
            <v>salmon processing environment</v>
          </cell>
          <cell r="X812" t="str">
            <v>ERR10612035</v>
          </cell>
        </row>
        <row r="813">
          <cell r="G813" t="str">
            <v>/home/projects/cge/backup/fastq/food_seqdata/NextSeq_206/FoodQCPipeline_tmp/conc_fqs/DTU_2022_1015630_1_SI_MF1487_R1_001.fq.gz</v>
          </cell>
          <cell r="H813" t="str">
            <v>/home/projects/cge/backup/fastq/food_seqdata/NextSeq_206/FoodQCPipeline_tmp/conc_fqs/DTU_2022_1015630_1_SI_MF1487_R2_001.fq.gz</v>
          </cell>
          <cell r="I813" t="str">
            <v>MF1487</v>
          </cell>
          <cell r="J813" t="str">
            <v>MF1487</v>
          </cell>
          <cell r="K813" t="str">
            <v>Listeria monocytogenes</v>
          </cell>
          <cell r="L813">
            <v>59911491</v>
          </cell>
          <cell r="M813">
            <v>10757933</v>
          </cell>
          <cell r="N813" t="str">
            <v>Norway</v>
          </cell>
          <cell r="Q813">
            <v>1996</v>
          </cell>
          <cell r="T813" t="str">
            <v>Nofima, √Ös, Norway</v>
          </cell>
          <cell r="U813" t="str">
            <v>Production environment</v>
          </cell>
          <cell r="V813" t="str">
            <v>salmon processing environment</v>
          </cell>
          <cell r="X813" t="str">
            <v>ERR10612044</v>
          </cell>
        </row>
        <row r="814">
          <cell r="G814" t="str">
            <v>/home/projects/cge/backup/fastq/food_seqdata/NextSeq_206/FoodQCPipeline_tmp/conc_fqs/DTU_2022_1015650_1_SI_MF2176_R1_001.fq.gz</v>
          </cell>
          <cell r="H814" t="str">
            <v>/home/projects/cge/backup/fastq/food_seqdata/NextSeq_206/FoodQCPipeline_tmp/conc_fqs/DTU_2022_1015650_1_SI_MF2176_R2_001.fq.gz</v>
          </cell>
          <cell r="I814" t="str">
            <v>MF2176</v>
          </cell>
          <cell r="J814" t="str">
            <v>MF2176</v>
          </cell>
          <cell r="K814" t="str">
            <v>Listeria monocytogenes</v>
          </cell>
          <cell r="L814">
            <v>59911491</v>
          </cell>
          <cell r="M814">
            <v>10757933</v>
          </cell>
          <cell r="N814" t="str">
            <v>Norway</v>
          </cell>
          <cell r="Q814">
            <v>1998</v>
          </cell>
          <cell r="T814" t="str">
            <v>Nofima, √Ös, Norway</v>
          </cell>
          <cell r="U814" t="str">
            <v>Production environment</v>
          </cell>
          <cell r="V814" t="str">
            <v>meat processing environment</v>
          </cell>
          <cell r="X814" t="str">
            <v>ERR10612049</v>
          </cell>
        </row>
        <row r="815">
          <cell r="G815" t="str">
            <v>/home/projects/cge/backup/fastq/food_seqdata/NextSeq_206/FoodQCPipeline_tmp/conc_fqs/DTU_2022_1015640_1_SI_MF2164_R1_001.fq.gz</v>
          </cell>
          <cell r="H815" t="str">
            <v>/home/projects/cge/backup/fastq/food_seqdata/NextSeq_206/FoodQCPipeline_tmp/conc_fqs/DTU_2022_1015640_1_SI_MF2164_R2_001.fq.gz</v>
          </cell>
          <cell r="I815" t="str">
            <v>MF2164</v>
          </cell>
          <cell r="J815" t="str">
            <v>MF2164</v>
          </cell>
          <cell r="K815" t="str">
            <v>Listeria monocytogenes</v>
          </cell>
          <cell r="L815">
            <v>59911491</v>
          </cell>
          <cell r="M815">
            <v>10757933</v>
          </cell>
          <cell r="N815" t="str">
            <v>Norway</v>
          </cell>
          <cell r="Q815">
            <v>1999</v>
          </cell>
          <cell r="T815" t="str">
            <v>Nofima, √Ös, Norway</v>
          </cell>
          <cell r="U815" t="str">
            <v>Production environment</v>
          </cell>
          <cell r="V815" t="str">
            <v>meat processing environment</v>
          </cell>
          <cell r="X815" t="str">
            <v>ERR10612059</v>
          </cell>
        </row>
        <row r="816">
          <cell r="G816" t="str">
            <v>/home/projects/cge/backup/fastq/food_seqdata/NextSeq_206/FoodQCPipeline_tmp/conc_fqs/DTU_2022_1015654_1_SI_MF2188_R1_001.fq.gz</v>
          </cell>
          <cell r="H816" t="str">
            <v>/home/projects/cge/backup/fastq/food_seqdata/NextSeq_206/FoodQCPipeline_tmp/conc_fqs/DTU_2022_1015654_1_SI_MF2188_R2_001.fq.gz</v>
          </cell>
          <cell r="I816" t="str">
            <v>MF2188</v>
          </cell>
          <cell r="J816" t="str">
            <v>MF2188</v>
          </cell>
          <cell r="K816" t="str">
            <v>Listeria monocytogenes</v>
          </cell>
          <cell r="L816">
            <v>59911491</v>
          </cell>
          <cell r="M816">
            <v>10757933</v>
          </cell>
          <cell r="N816" t="str">
            <v>Norway</v>
          </cell>
          <cell r="Q816">
            <v>1999</v>
          </cell>
          <cell r="T816" t="str">
            <v>Nofima, √Ös, Norway</v>
          </cell>
          <cell r="U816" t="str">
            <v>Production environment</v>
          </cell>
          <cell r="V816" t="str">
            <v>meat processing environment</v>
          </cell>
          <cell r="X816" t="str">
            <v>ERR10612072</v>
          </cell>
        </row>
        <row r="817">
          <cell r="G817" t="str">
            <v>/home/projects/cge/backup/fastq/food_seqdata/NextSeq_206/FoodQCPipeline_tmp/conc_fqs/DTU_2022_1015655_1_SI_MF2189_R1_001.fq.gz</v>
          </cell>
          <cell r="H817" t="str">
            <v>/home/projects/cge/backup/fastq/food_seqdata/NextSeq_206/FoodQCPipeline_tmp/conc_fqs/DTU_2022_1015655_1_SI_MF2189_R2_001.fq.gz</v>
          </cell>
          <cell r="I817" t="str">
            <v>MF2189</v>
          </cell>
          <cell r="J817" t="str">
            <v>MF2189</v>
          </cell>
          <cell r="K817" t="str">
            <v>Listeria monocytogenes</v>
          </cell>
          <cell r="L817">
            <v>59911491</v>
          </cell>
          <cell r="M817">
            <v>10757933</v>
          </cell>
          <cell r="N817" t="str">
            <v>Norway</v>
          </cell>
          <cell r="Q817">
            <v>1999</v>
          </cell>
          <cell r="T817" t="str">
            <v>Nofima, √Ös, Norway</v>
          </cell>
          <cell r="U817" t="str">
            <v>Production environment</v>
          </cell>
          <cell r="V817" t="str">
            <v>meat processing environment</v>
          </cell>
          <cell r="X817" t="str">
            <v>ERR10612078</v>
          </cell>
        </row>
        <row r="818">
          <cell r="G818" t="str">
            <v>/home/projects/cge/backup/fastq/food_seqdata/NextSeq_206/FoodQCPipeline_tmp/conc_fqs/DTU_2022_1015638_1_SI_MF2161_R1_001.fq.gz</v>
          </cell>
          <cell r="H818" t="str">
            <v>/home/projects/cge/backup/fastq/food_seqdata/NextSeq_206/FoodQCPipeline_tmp/conc_fqs/DTU_2022_1015638_1_SI_MF2161_R2_001.fq.gz</v>
          </cell>
          <cell r="I818" t="str">
            <v>MF2161</v>
          </cell>
          <cell r="J818" t="str">
            <v>MF2161</v>
          </cell>
          <cell r="K818" t="str">
            <v>Listeria monocytogenes</v>
          </cell>
          <cell r="L818">
            <v>59911491</v>
          </cell>
          <cell r="M818">
            <v>10757933</v>
          </cell>
          <cell r="N818" t="str">
            <v>Norway</v>
          </cell>
          <cell r="Q818">
            <v>2000</v>
          </cell>
          <cell r="T818" t="str">
            <v>Nofima, √Ös, Norway</v>
          </cell>
          <cell r="U818" t="str">
            <v>Production environment</v>
          </cell>
          <cell r="V818" t="str">
            <v>meat processing environment</v>
          </cell>
          <cell r="X818" t="str">
            <v>ERR10612033</v>
          </cell>
        </row>
        <row r="819">
          <cell r="G819" t="str">
            <v>/home/projects/cge/backup/fastq/food_seqdata/NextSeq_206/FoodQCPipeline_tmp/conc_fqs/DTU_2022_1015652_1_SI_MF2186_R1_001.fq.gz</v>
          </cell>
          <cell r="H819" t="str">
            <v>/home/projects/cge/backup/fastq/food_seqdata/NextSeq_206/FoodQCPipeline_tmp/conc_fqs/DTU_2022_1015652_1_SI_MF2186_R2_001.fq.gz</v>
          </cell>
          <cell r="I819" t="str">
            <v>MF2186</v>
          </cell>
          <cell r="J819" t="str">
            <v>MF2186</v>
          </cell>
          <cell r="K819" t="str">
            <v>Listeria monocytogenes</v>
          </cell>
          <cell r="L819">
            <v>59911491</v>
          </cell>
          <cell r="M819">
            <v>10757933</v>
          </cell>
          <cell r="N819" t="str">
            <v>Norway</v>
          </cell>
          <cell r="Q819">
            <v>2000</v>
          </cell>
          <cell r="T819" t="str">
            <v>Nofima, √Ös, Norway</v>
          </cell>
          <cell r="U819" t="str">
            <v>Production environment</v>
          </cell>
          <cell r="V819" t="str">
            <v>meat processing environment</v>
          </cell>
          <cell r="X819" t="str">
            <v>ERR10612048</v>
          </cell>
        </row>
        <row r="820">
          <cell r="G820" t="str">
            <v>/home/projects/cge/backup/fastq/food_seqdata/NextSeq_206/FoodQCPipeline_tmp/conc_fqs/DTU_2022_1015662_1_SI_MF4244_R1_001.fq.gz</v>
          </cell>
          <cell r="H820" t="str">
            <v>/home/projects/cge/backup/fastq/food_seqdata/NextSeq_206/FoodQCPipeline_tmp/conc_fqs/DTU_2022_1015662_1_SI_MF4244_R2_001.fq.gz</v>
          </cell>
          <cell r="I820" t="str">
            <v>MF4244</v>
          </cell>
          <cell r="J820" t="str">
            <v>MF4244</v>
          </cell>
          <cell r="K820" t="str">
            <v>Listeria monocytogenes</v>
          </cell>
          <cell r="L820">
            <v>59911491</v>
          </cell>
          <cell r="M820">
            <v>10757933</v>
          </cell>
          <cell r="N820" t="str">
            <v>Norway</v>
          </cell>
          <cell r="Q820">
            <v>2001</v>
          </cell>
          <cell r="T820" t="str">
            <v>Nofima, √Ös, Norway</v>
          </cell>
          <cell r="U820" t="str">
            <v>Production environment</v>
          </cell>
          <cell r="V820" t="str">
            <v>salmon processing environment</v>
          </cell>
          <cell r="X820" t="str">
            <v>ERR10612058</v>
          </cell>
        </row>
        <row r="821">
          <cell r="G821" t="str">
            <v>/home/projects/cge/backup/fastq/food_seqdata/NextSeq_206/FoodQCPipeline_tmp/conc_fqs/DTU_2022_1015663_1_SI_MF4252_R1_001.fq.gz</v>
          </cell>
          <cell r="H821" t="str">
            <v>/home/projects/cge/backup/fastq/food_seqdata/NextSeq_206/FoodQCPipeline_tmp/conc_fqs/DTU_2022_1015663_1_SI_MF4252_R2_001.fq.gz</v>
          </cell>
          <cell r="I821" t="str">
            <v>MF4252</v>
          </cell>
          <cell r="J821" t="str">
            <v>MF4252</v>
          </cell>
          <cell r="K821" t="str">
            <v>Listeria monocytogenes</v>
          </cell>
          <cell r="L821">
            <v>59911491</v>
          </cell>
          <cell r="M821">
            <v>10757933</v>
          </cell>
          <cell r="N821" t="str">
            <v>Norway</v>
          </cell>
          <cell r="Q821">
            <v>2001</v>
          </cell>
          <cell r="T821" t="str">
            <v>Nofima, √Ös, Norway</v>
          </cell>
          <cell r="U821" t="str">
            <v>Production environment</v>
          </cell>
          <cell r="V821" t="str">
            <v>salmon processing environment</v>
          </cell>
          <cell r="X821" t="str">
            <v>ERR10612087</v>
          </cell>
        </row>
        <row r="822">
          <cell r="G822" t="str">
            <v>/home/projects/cge/backup/fastq/food_seqdata/NextSeq_206/FoodQCPipeline_tmp/conc_fqs/DTU_2022_1015665_1_SI_MF4266_R1_001.fq.gz</v>
          </cell>
          <cell r="H822" t="str">
            <v>/home/projects/cge/backup/fastq/food_seqdata/NextSeq_206/FoodQCPipeline_tmp/conc_fqs/DTU_2022_1015665_1_SI_MF4266_R2_001.fq.gz</v>
          </cell>
          <cell r="I822" t="str">
            <v>MF4266</v>
          </cell>
          <cell r="J822" t="str">
            <v>MF4266</v>
          </cell>
          <cell r="K822" t="str">
            <v>Listeria monocytogenes</v>
          </cell>
          <cell r="L822">
            <v>59911491</v>
          </cell>
          <cell r="M822">
            <v>10757933</v>
          </cell>
          <cell r="N822" t="str">
            <v>Norway</v>
          </cell>
          <cell r="Q822">
            <v>2001</v>
          </cell>
          <cell r="T822" t="str">
            <v>Nofima, √Ös, Norway</v>
          </cell>
          <cell r="U822" t="str">
            <v>Production environment</v>
          </cell>
          <cell r="V822" t="str">
            <v>salmon processing environment</v>
          </cell>
          <cell r="X822" t="str">
            <v>ERR10612081</v>
          </cell>
        </row>
        <row r="823">
          <cell r="G823" t="str">
            <v>/home/projects/cge/backup/fastq/food_seqdata/NextSeq_206/FoodQCPipeline_tmp/conc_fqs/DTU_2022_1015666_1_SI_MF4267_R1_001.fq.gz</v>
          </cell>
          <cell r="H823" t="str">
            <v>/home/projects/cge/backup/fastq/food_seqdata/NextSeq_206/FoodQCPipeline_tmp/conc_fqs/DTU_2022_1015666_1_SI_MF4267_R2_001.fq.gz</v>
          </cell>
          <cell r="I823" t="str">
            <v>MF4267</v>
          </cell>
          <cell r="J823" t="str">
            <v>MF4267</v>
          </cell>
          <cell r="K823" t="str">
            <v>Listeria monocytogenes</v>
          </cell>
          <cell r="L823">
            <v>59911491</v>
          </cell>
          <cell r="M823">
            <v>10757933</v>
          </cell>
          <cell r="N823" t="str">
            <v>Norway</v>
          </cell>
          <cell r="Q823">
            <v>2001</v>
          </cell>
          <cell r="T823" t="str">
            <v>Nofima, √Ös, Norway</v>
          </cell>
          <cell r="U823" t="str">
            <v>Production environment</v>
          </cell>
          <cell r="V823" t="str">
            <v>salmon processing environment</v>
          </cell>
          <cell r="X823" t="str">
            <v>ERR10612037</v>
          </cell>
        </row>
        <row r="824">
          <cell r="G824" t="str">
            <v>/home/projects/cge/backup/fastq/food_seqdata/NextSeq_206/FoodQCPipeline_tmp/conc_fqs/DTU_2022_1015667_1_SI_MF4275_R1_001.fq.gz</v>
          </cell>
          <cell r="H824" t="str">
            <v>/home/projects/cge/backup/fastq/food_seqdata/NextSeq_206/FoodQCPipeline_tmp/conc_fqs/DTU_2022_1015667_1_SI_MF4275_R2_001.fq.gz</v>
          </cell>
          <cell r="I824" t="str">
            <v>MF4275</v>
          </cell>
          <cell r="J824" t="str">
            <v>MF4275</v>
          </cell>
          <cell r="K824" t="str">
            <v>Listeria monocytogenes</v>
          </cell>
          <cell r="L824">
            <v>59911491</v>
          </cell>
          <cell r="M824">
            <v>10757933</v>
          </cell>
          <cell r="N824" t="str">
            <v>Norway</v>
          </cell>
          <cell r="Q824">
            <v>2001</v>
          </cell>
          <cell r="T824" t="str">
            <v>Nofima, √Ös, Norway</v>
          </cell>
          <cell r="U824" t="str">
            <v>Production environment</v>
          </cell>
          <cell r="V824" t="str">
            <v>salmon processing environment</v>
          </cell>
          <cell r="X824" t="str">
            <v>ERR10612073</v>
          </cell>
        </row>
        <row r="825">
          <cell r="G825" t="str">
            <v>/home/projects/cge/backup/fastq/food_seqdata/NextSeq_206/FoodQCPipeline_tmp/conc_fqs/DTU_2022_1015668_1_SI_MF4282_R1_001.fq.gz</v>
          </cell>
          <cell r="H825" t="str">
            <v>/home/projects/cge/backup/fastq/food_seqdata/NextSeq_206/FoodQCPipeline_tmp/conc_fqs/DTU_2022_1015668_1_SI_MF4282_R2_001.fq.gz</v>
          </cell>
          <cell r="I825" t="str">
            <v>MF4282</v>
          </cell>
          <cell r="J825" t="str">
            <v>MF4282</v>
          </cell>
          <cell r="K825" t="str">
            <v>Listeria monocytogenes</v>
          </cell>
          <cell r="L825">
            <v>59911491</v>
          </cell>
          <cell r="M825">
            <v>10757933</v>
          </cell>
          <cell r="N825" t="str">
            <v>Norway</v>
          </cell>
          <cell r="Q825">
            <v>2001</v>
          </cell>
          <cell r="T825" t="str">
            <v>Nofima, √Ös, Norway</v>
          </cell>
          <cell r="U825" t="str">
            <v>Production environment</v>
          </cell>
          <cell r="V825" t="str">
            <v>salmon processing environment</v>
          </cell>
          <cell r="X825" t="str">
            <v>ERR10612082</v>
          </cell>
        </row>
        <row r="826">
          <cell r="G826" t="str">
            <v>/home/projects/cge/backup/fastq/food_seqdata/NextSeq_206/FoodQCPipeline_tmp/conc_fqs/DTU_2022_1015669_1_SI_MF4284_R1_001.fq.gz</v>
          </cell>
          <cell r="H826" t="str">
            <v>/home/projects/cge/backup/fastq/food_seqdata/NextSeq_206/FoodQCPipeline_tmp/conc_fqs/DTU_2022_1015669_1_SI_MF4284_R2_001.fq.gz</v>
          </cell>
          <cell r="I826" t="str">
            <v>MF4284</v>
          </cell>
          <cell r="J826" t="str">
            <v>MF4284</v>
          </cell>
          <cell r="K826" t="str">
            <v>Listeria monocytogenes</v>
          </cell>
          <cell r="L826">
            <v>59911491</v>
          </cell>
          <cell r="M826">
            <v>10757933</v>
          </cell>
          <cell r="N826" t="str">
            <v>Norway</v>
          </cell>
          <cell r="Q826">
            <v>2001</v>
          </cell>
          <cell r="T826" t="str">
            <v>Nofima, √Ös, Norway</v>
          </cell>
          <cell r="U826" t="str">
            <v>Production environment</v>
          </cell>
          <cell r="V826" t="str">
            <v>salmon processing environment</v>
          </cell>
          <cell r="X826" t="str">
            <v>ERR10612052</v>
          </cell>
        </row>
        <row r="827">
          <cell r="G827" t="str">
            <v>/home/projects/cge/backup/fastq/food_seqdata/NextSeq_206/FoodQCPipeline_tmp/conc_fqs/DTU_2022_1015670_1_SI_MF4289_R1_001.fq.gz</v>
          </cell>
          <cell r="H827" t="str">
            <v>/home/projects/cge/backup/fastq/food_seqdata/NextSeq_206/FoodQCPipeline_tmp/conc_fqs/DTU_2022_1015670_1_SI_MF4289_R2_001.fq.gz</v>
          </cell>
          <cell r="I827" t="str">
            <v>MF4289</v>
          </cell>
          <cell r="J827" t="str">
            <v>MF4289</v>
          </cell>
          <cell r="K827" t="str">
            <v>Listeria monocytogenes</v>
          </cell>
          <cell r="L827">
            <v>59911491</v>
          </cell>
          <cell r="M827">
            <v>10757933</v>
          </cell>
          <cell r="N827" t="str">
            <v>Norway</v>
          </cell>
          <cell r="Q827">
            <v>2001</v>
          </cell>
          <cell r="T827" t="str">
            <v>Nofima, √Ös, Norway</v>
          </cell>
          <cell r="U827" t="str">
            <v>Production environment</v>
          </cell>
          <cell r="V827" t="str">
            <v>salmon processing environment</v>
          </cell>
          <cell r="X827" t="str">
            <v>ERR10612062</v>
          </cell>
        </row>
        <row r="828">
          <cell r="G828" t="str">
            <v>/home/projects/cge/backup/fastq/food_seqdata/NextSeq_206/FoodQCPipeline_tmp/conc_fqs/DTU_2022_1015671_1_SI_MF4295_R1_001.fq.gz</v>
          </cell>
          <cell r="H828" t="str">
            <v>/home/projects/cge/backup/fastq/food_seqdata/NextSeq_206/FoodQCPipeline_tmp/conc_fqs/DTU_2022_1015671_1_SI_MF4295_R2_001.fq.gz</v>
          </cell>
          <cell r="I828" t="str">
            <v>MF4295</v>
          </cell>
          <cell r="J828" t="str">
            <v>MF4295</v>
          </cell>
          <cell r="K828" t="str">
            <v>Listeria monocytogenes</v>
          </cell>
          <cell r="L828">
            <v>59911491</v>
          </cell>
          <cell r="M828">
            <v>10757933</v>
          </cell>
          <cell r="N828" t="str">
            <v>Norway</v>
          </cell>
          <cell r="Q828">
            <v>2001</v>
          </cell>
          <cell r="T828" t="str">
            <v>Nofima, √Ös, Norway</v>
          </cell>
          <cell r="U828" t="str">
            <v>Production environment</v>
          </cell>
          <cell r="V828" t="str">
            <v>salmon processing environment</v>
          </cell>
          <cell r="X828" t="str">
            <v>ERR10612084</v>
          </cell>
        </row>
        <row r="829">
          <cell r="G829" t="str">
            <v>/home/projects/cge/backup/fastq/food_seqdata/NextSeq_206/FoodQCPipeline_tmp/conc_fqs/DTU_2022_1015672_1_SI_MF4302_R1_001.fq.gz</v>
          </cell>
          <cell r="H829" t="str">
            <v>/home/projects/cge/backup/fastq/food_seqdata/NextSeq_206/FoodQCPipeline_tmp/conc_fqs/DTU_2022_1015672_1_SI_MF4302_R2_001.fq.gz</v>
          </cell>
          <cell r="I829" t="str">
            <v>MF4302</v>
          </cell>
          <cell r="J829" t="str">
            <v>MF4302</v>
          </cell>
          <cell r="K829" t="str">
            <v>Listeria monocytogenes</v>
          </cell>
          <cell r="L829">
            <v>59911491</v>
          </cell>
          <cell r="M829">
            <v>10757933</v>
          </cell>
          <cell r="N829" t="str">
            <v>Norway</v>
          </cell>
          <cell r="Q829">
            <v>2001</v>
          </cell>
          <cell r="T829" t="str">
            <v>Nofima, √Ös, Norway</v>
          </cell>
          <cell r="U829" t="str">
            <v>Production environment</v>
          </cell>
          <cell r="V829" t="str">
            <v>salmon processing environment</v>
          </cell>
          <cell r="X829" t="str">
            <v>ERR10612093</v>
          </cell>
        </row>
        <row r="830">
          <cell r="G830" t="str">
            <v>/home/projects/cge/backup/fastq/food_seqdata/NextSeq_206/FoodQCPipeline_tmp/conc_fqs/DTU_2022_1015673_1_SI_MF4309_R1_001.fq.gz</v>
          </cell>
          <cell r="H830" t="str">
            <v>/home/projects/cge/backup/fastq/food_seqdata/NextSeq_206/FoodQCPipeline_tmp/conc_fqs/DTU_2022_1015673_1_SI_MF4309_R2_001.fq.gz</v>
          </cell>
          <cell r="I830" t="str">
            <v>MF4309</v>
          </cell>
          <cell r="J830" t="str">
            <v>MF4309</v>
          </cell>
          <cell r="K830" t="str">
            <v>Listeria monocytogenes</v>
          </cell>
          <cell r="L830">
            <v>59911491</v>
          </cell>
          <cell r="M830">
            <v>10757933</v>
          </cell>
          <cell r="N830" t="str">
            <v>Norway</v>
          </cell>
          <cell r="Q830">
            <v>2001</v>
          </cell>
          <cell r="T830" t="str">
            <v>Nofima, √Ös, Norway</v>
          </cell>
          <cell r="U830" t="str">
            <v>Production environment</v>
          </cell>
          <cell r="V830" t="str">
            <v>salmon processing environment</v>
          </cell>
          <cell r="X830" t="str">
            <v>ERR10612086</v>
          </cell>
        </row>
        <row r="831">
          <cell r="G831" t="str">
            <v>/home/projects/cge/backup/fastq/food_seqdata/NextSeq_206/FoodQCPipeline_tmp/conc_fqs/DTU_2022_1015675_1_SI_MF4330_R1_001.fq.gz</v>
          </cell>
          <cell r="H831" t="str">
            <v>/home/projects/cge/backup/fastq/food_seqdata/NextSeq_206/FoodQCPipeline_tmp/conc_fqs/DTU_2022_1015675_1_SI_MF4330_R2_001.fq.gz</v>
          </cell>
          <cell r="I831" t="str">
            <v>MF4330</v>
          </cell>
          <cell r="J831" t="str">
            <v>MF4330</v>
          </cell>
          <cell r="K831" t="str">
            <v>Listeria monocytogenes</v>
          </cell>
          <cell r="L831">
            <v>59911491</v>
          </cell>
          <cell r="M831">
            <v>10757933</v>
          </cell>
          <cell r="N831" t="str">
            <v>Norway</v>
          </cell>
          <cell r="Q831">
            <v>2001</v>
          </cell>
          <cell r="T831" t="str">
            <v>Nofima, √Ös, Norway</v>
          </cell>
          <cell r="U831" t="str">
            <v>Production environment</v>
          </cell>
          <cell r="V831" t="str">
            <v>salmon processing environment</v>
          </cell>
          <cell r="X831" t="str">
            <v>ERR10612045</v>
          </cell>
        </row>
        <row r="832">
          <cell r="G832" t="str">
            <v>/home/projects/cge/backup/fastq/food_seqdata/NextSeq_206/FoodQCPipeline_tmp/conc_fqs/DTU_2022_1015676_1_SI_MF4341_R1_001.fq.gz</v>
          </cell>
          <cell r="H832" t="str">
            <v>/home/projects/cge/backup/fastq/food_seqdata/NextSeq_206/FoodQCPipeline_tmp/conc_fqs/DTU_2022_1015676_1_SI_MF4341_R2_001.fq.gz</v>
          </cell>
          <cell r="I832" t="str">
            <v>MF4341</v>
          </cell>
          <cell r="J832" t="str">
            <v>MF4341</v>
          </cell>
          <cell r="K832" t="str">
            <v>Listeria monocytogenes</v>
          </cell>
          <cell r="L832">
            <v>59911491</v>
          </cell>
          <cell r="M832">
            <v>10757933</v>
          </cell>
          <cell r="N832" t="str">
            <v>Norway</v>
          </cell>
          <cell r="Q832">
            <v>2001</v>
          </cell>
          <cell r="T832" t="str">
            <v>Nofima, √Ös, Norway</v>
          </cell>
          <cell r="U832" t="str">
            <v>Production environment</v>
          </cell>
          <cell r="V832" t="str">
            <v>salmon processing environment</v>
          </cell>
          <cell r="X832" t="str">
            <v>ERR10612075</v>
          </cell>
        </row>
        <row r="833">
          <cell r="G833" t="str">
            <v>/home/projects/cge/backup/fastq/food_seqdata/NextSeq_206/FoodQCPipeline_tmp/conc_fqs/DTU_2022_1015677_1_SI_MF4345_R1_001.fq.gz</v>
          </cell>
          <cell r="H833" t="str">
            <v>/home/projects/cge/backup/fastq/food_seqdata/NextSeq_206/FoodQCPipeline_tmp/conc_fqs/DTU_2022_1015677_1_SI_MF4345_R2_001.fq.gz</v>
          </cell>
          <cell r="I833" t="str">
            <v>MF4345</v>
          </cell>
          <cell r="J833" t="str">
            <v>MF4345</v>
          </cell>
          <cell r="K833" t="str">
            <v>Listeria monocytogenes</v>
          </cell>
          <cell r="L833">
            <v>59911491</v>
          </cell>
          <cell r="M833">
            <v>10757933</v>
          </cell>
          <cell r="N833" t="str">
            <v>Norway</v>
          </cell>
          <cell r="Q833">
            <v>2001</v>
          </cell>
          <cell r="T833" t="str">
            <v>Nofima, √Ös, Norway</v>
          </cell>
          <cell r="U833" t="str">
            <v>Production environment</v>
          </cell>
          <cell r="V833" t="str">
            <v>salmon processing environment</v>
          </cell>
          <cell r="X833" t="str">
            <v>ERR10612071</v>
          </cell>
        </row>
        <row r="834">
          <cell r="G834" t="str">
            <v>/home/projects/cge/backup/fastq/food_seqdata/NextSeq_206/FoodQCPipeline_tmp/conc_fqs/DTU_2022_1015678_1_SI_MF4351_R1_001.fq.gz</v>
          </cell>
          <cell r="H834" t="str">
            <v>/home/projects/cge/backup/fastq/food_seqdata/NextSeq_206/FoodQCPipeline_tmp/conc_fqs/DTU_2022_1015678_1_SI_MF4351_R2_001.fq.gz</v>
          </cell>
          <cell r="I834" t="str">
            <v>MF4351</v>
          </cell>
          <cell r="J834" t="str">
            <v>MF4351</v>
          </cell>
          <cell r="K834" t="str">
            <v>Listeria monocytogenes</v>
          </cell>
          <cell r="L834">
            <v>59911491</v>
          </cell>
          <cell r="M834">
            <v>10757933</v>
          </cell>
          <cell r="N834" t="str">
            <v>Norway</v>
          </cell>
          <cell r="Q834">
            <v>2001</v>
          </cell>
          <cell r="T834" t="str">
            <v>Nofima, √Ös, Norway</v>
          </cell>
          <cell r="U834" t="str">
            <v>Production environment</v>
          </cell>
          <cell r="V834" t="str">
            <v>salmon processing environment</v>
          </cell>
          <cell r="X834" t="str">
            <v>ERR10612096</v>
          </cell>
        </row>
        <row r="835">
          <cell r="G835" t="str">
            <v>/home/projects/cge/backup/fastq/food_seqdata/NextSeq_206/FoodQCPipeline_tmp/conc_fqs/DTU_2022_1015635_1_SI_MF2158_R1_001.fq.gz</v>
          </cell>
          <cell r="H835" t="str">
            <v>/home/projects/cge/backup/fastq/food_seqdata/NextSeq_206/FoodQCPipeline_tmp/conc_fqs/DTU_2022_1015635_1_SI_MF2158_R2_001.fq.gz</v>
          </cell>
          <cell r="I835" t="str">
            <v>MF2158</v>
          </cell>
          <cell r="J835" t="str">
            <v>MF2158</v>
          </cell>
          <cell r="K835" t="str">
            <v>Listeria monocytogenes</v>
          </cell>
          <cell r="L835">
            <v>59911491</v>
          </cell>
          <cell r="M835">
            <v>10757933</v>
          </cell>
          <cell r="N835" t="str">
            <v>Norway</v>
          </cell>
          <cell r="Q835">
            <v>2002</v>
          </cell>
          <cell r="T835" t="str">
            <v>Nofima, √Ös, Norway</v>
          </cell>
          <cell r="U835" t="str">
            <v>Production environment</v>
          </cell>
          <cell r="V835" t="str">
            <v>meat processing environment</v>
          </cell>
          <cell r="X835" t="str">
            <v>ERR10612089</v>
          </cell>
        </row>
        <row r="836">
          <cell r="G836" t="str">
            <v>/home/projects/cge/backup/fastq/food_seqdata/NextSeq_206/FoodQCPipeline_tmp/conc_fqs/DTU_2022_1015637_1_SI_MF2160_R1_001.fq.gz</v>
          </cell>
          <cell r="H836" t="str">
            <v>/home/projects/cge/backup/fastq/food_seqdata/NextSeq_206/FoodQCPipeline_tmp/conc_fqs/DTU_2022_1015637_1_SI_MF2160_R2_001.fq.gz</v>
          </cell>
          <cell r="I836" t="str">
            <v>MF2160</v>
          </cell>
          <cell r="J836" t="str">
            <v>MF2160</v>
          </cell>
          <cell r="K836" t="str">
            <v>Listeria monocytogenes</v>
          </cell>
          <cell r="L836">
            <v>59911491</v>
          </cell>
          <cell r="M836">
            <v>10757933</v>
          </cell>
          <cell r="N836" t="str">
            <v>Norway</v>
          </cell>
          <cell r="Q836">
            <v>2002</v>
          </cell>
          <cell r="T836" t="str">
            <v>Nofima, √Ös, Norway</v>
          </cell>
          <cell r="U836" t="str">
            <v>Production environment</v>
          </cell>
          <cell r="V836" t="str">
            <v>meat processing environment</v>
          </cell>
          <cell r="X836" t="str">
            <v>ERR10612015</v>
          </cell>
        </row>
        <row r="837">
          <cell r="G837" t="str">
            <v>/home/projects/cge/backup/fastq/food_seqdata/NextSeq_206/FoodQCPipeline_tmp/conc_fqs/DTU_2022_1015639_1_SI_MF2163_R1_001.fq.gz</v>
          </cell>
          <cell r="H837" t="str">
            <v>/home/projects/cge/backup/fastq/food_seqdata/NextSeq_206/FoodQCPipeline_tmp/conc_fqs/DTU_2022_1015639_1_SI_MF2163_R2_001.fq.gz</v>
          </cell>
          <cell r="I837" t="str">
            <v>MF2163</v>
          </cell>
          <cell r="J837" t="str">
            <v>MF2163</v>
          </cell>
          <cell r="K837" t="str">
            <v>Listeria monocytogenes</v>
          </cell>
          <cell r="L837">
            <v>59911491</v>
          </cell>
          <cell r="M837">
            <v>10757933</v>
          </cell>
          <cell r="N837" t="str">
            <v>Norway</v>
          </cell>
          <cell r="Q837">
            <v>2002</v>
          </cell>
          <cell r="T837" t="str">
            <v>Nofima, √Ös, Norway</v>
          </cell>
          <cell r="U837" t="str">
            <v>Production environment</v>
          </cell>
          <cell r="V837" t="str">
            <v>meat processing environment</v>
          </cell>
          <cell r="X837" t="str">
            <v>ERR10612020</v>
          </cell>
        </row>
        <row r="838">
          <cell r="G838" t="str">
            <v>/home/projects/cge/backup/fastq/food_seqdata/NextSeq_206/FoodQCPipeline_tmp/conc_fqs/DTU_2022_1015641_1_SI_MF2165_R1_001.fq.gz</v>
          </cell>
          <cell r="H838" t="str">
            <v>/home/projects/cge/backup/fastq/food_seqdata/NextSeq_206/FoodQCPipeline_tmp/conc_fqs/DTU_2022_1015641_1_SI_MF2165_R2_001.fq.gz</v>
          </cell>
          <cell r="I838" t="str">
            <v>MF2165</v>
          </cell>
          <cell r="J838" t="str">
            <v>MF2165</v>
          </cell>
          <cell r="K838" t="str">
            <v>Listeria monocytogenes</v>
          </cell>
          <cell r="L838">
            <v>59911491</v>
          </cell>
          <cell r="M838">
            <v>10757933</v>
          </cell>
          <cell r="N838" t="str">
            <v>Norway</v>
          </cell>
          <cell r="Q838">
            <v>2002</v>
          </cell>
          <cell r="T838" t="str">
            <v>Nofima, √Ös, Norway</v>
          </cell>
          <cell r="U838" t="str">
            <v>Production environment</v>
          </cell>
          <cell r="V838" t="str">
            <v>meat processing environment</v>
          </cell>
          <cell r="X838" t="str">
            <v>ERR10612040</v>
          </cell>
        </row>
        <row r="839">
          <cell r="G839" t="str">
            <v>/home/projects/cge/backup/fastq/food_seqdata/NextSeq_206/FoodQCPipeline_tmp/conc_fqs/DTU_2022_1015642_1_SI_MF2166_R1_001.fq.gz</v>
          </cell>
          <cell r="H839" t="str">
            <v>/home/projects/cge/backup/fastq/food_seqdata/NextSeq_206/FoodQCPipeline_tmp/conc_fqs/DTU_2022_1015642_1_SI_MF2166_R2_001.fq.gz</v>
          </cell>
          <cell r="I839" t="str">
            <v>MF2166</v>
          </cell>
          <cell r="J839" t="str">
            <v>MF2166</v>
          </cell>
          <cell r="K839" t="str">
            <v>Listeria monocytogenes</v>
          </cell>
          <cell r="L839">
            <v>59911491</v>
          </cell>
          <cell r="M839">
            <v>10757933</v>
          </cell>
          <cell r="N839" t="str">
            <v>Norway</v>
          </cell>
          <cell r="Q839">
            <v>2002</v>
          </cell>
          <cell r="T839" t="str">
            <v>Nofima, √Ös, Norway</v>
          </cell>
          <cell r="U839" t="str">
            <v>Production environment</v>
          </cell>
          <cell r="V839" t="str">
            <v>meat processing environment</v>
          </cell>
          <cell r="X839" t="str">
            <v>ERR10612057</v>
          </cell>
        </row>
        <row r="840">
          <cell r="G840" t="str">
            <v>/home/projects/cge/backup/fastq/food_seqdata/NextSeq_206/FoodQCPipeline_tmp/conc_fqs/DTU_2022_1015643_1_SI_MF2167_R1_001.fq.gz</v>
          </cell>
          <cell r="H840" t="str">
            <v>/home/projects/cge/backup/fastq/food_seqdata/NextSeq_206/FoodQCPipeline_tmp/conc_fqs/DTU_2022_1015643_1_SI_MF2167_R2_001.fq.gz</v>
          </cell>
          <cell r="I840" t="str">
            <v>MF2167</v>
          </cell>
          <cell r="J840" t="str">
            <v>MF2167</v>
          </cell>
          <cell r="K840" t="str">
            <v>Listeria monocytogenes</v>
          </cell>
          <cell r="L840">
            <v>59911491</v>
          </cell>
          <cell r="M840">
            <v>10757933</v>
          </cell>
          <cell r="N840" t="str">
            <v>Norway</v>
          </cell>
          <cell r="Q840">
            <v>2002</v>
          </cell>
          <cell r="T840" t="str">
            <v>Nofima, √Ös, Norway</v>
          </cell>
          <cell r="U840" t="str">
            <v>Production environment</v>
          </cell>
          <cell r="V840" t="str">
            <v>meat processing environment</v>
          </cell>
          <cell r="X840" t="str">
            <v>ERR10612046</v>
          </cell>
        </row>
        <row r="841">
          <cell r="G841" t="str">
            <v>/home/projects/cge/backup/fastq/food_seqdata/NextSeq_206/FoodQCPipeline_tmp/conc_fqs/DTU_2022_1015644_1_SI_MF2168_R1_001.fq.gz</v>
          </cell>
          <cell r="H841" t="str">
            <v>/home/projects/cge/backup/fastq/food_seqdata/NextSeq_206/FoodQCPipeline_tmp/conc_fqs/DTU_2022_1015644_1_SI_MF2168_R2_001.fq.gz</v>
          </cell>
          <cell r="I841" t="str">
            <v>MF2168</v>
          </cell>
          <cell r="J841" t="str">
            <v>MF2168</v>
          </cell>
          <cell r="K841" t="str">
            <v>Listeria monocytogenes</v>
          </cell>
          <cell r="L841">
            <v>59911491</v>
          </cell>
          <cell r="M841">
            <v>10757933</v>
          </cell>
          <cell r="N841" t="str">
            <v>Norway</v>
          </cell>
          <cell r="Q841">
            <v>2002</v>
          </cell>
          <cell r="T841" t="str">
            <v>Nofima, √Ös, Norway</v>
          </cell>
          <cell r="U841" t="str">
            <v>Production environment</v>
          </cell>
          <cell r="V841" t="str">
            <v>meat processing environment</v>
          </cell>
          <cell r="X841" t="str">
            <v>ERR10612029</v>
          </cell>
        </row>
        <row r="842">
          <cell r="G842" t="str">
            <v>/home/projects/cge/backup/fastq/food_seqdata/NextSeq_206/FoodQCPipeline_tmp/conc_fqs/DTU_2022_1015645_1_SI_MF2169_R1_001.fq.gz</v>
          </cell>
          <cell r="H842" t="str">
            <v>/home/projects/cge/backup/fastq/food_seqdata/NextSeq_206/FoodQCPipeline_tmp/conc_fqs/DTU_2022_1015645_1_SI_MF2169_R2_001.fq.gz</v>
          </cell>
          <cell r="I842" t="str">
            <v>MF2169</v>
          </cell>
          <cell r="J842" t="str">
            <v>MF2169</v>
          </cell>
          <cell r="K842" t="str">
            <v>Listeria monocytogenes</v>
          </cell>
          <cell r="L842">
            <v>59911491</v>
          </cell>
          <cell r="M842">
            <v>10757933</v>
          </cell>
          <cell r="N842" t="str">
            <v>Norway</v>
          </cell>
          <cell r="Q842">
            <v>2002</v>
          </cell>
          <cell r="T842" t="str">
            <v>Nofima, √Ös, Norway</v>
          </cell>
          <cell r="U842" t="str">
            <v>Production environment</v>
          </cell>
          <cell r="V842" t="str">
            <v>meat processing environment</v>
          </cell>
          <cell r="X842" t="str">
            <v>ERR10612054</v>
          </cell>
        </row>
        <row r="843">
          <cell r="G843" t="str">
            <v>/home/projects/cge/backup/fastq/food_seqdata/NextSeq_206/FoodQCPipeline_tmp/conc_fqs/DTU_2022_1015646_1_SI_MF2170_R1_001.fq.gz</v>
          </cell>
          <cell r="H843" t="str">
            <v>/home/projects/cge/backup/fastq/food_seqdata/NextSeq_206/FoodQCPipeline_tmp/conc_fqs/DTU_2022_1015646_1_SI_MF2170_R2_001.fq.gz</v>
          </cell>
          <cell r="I843" t="str">
            <v>MF2170</v>
          </cell>
          <cell r="J843" t="str">
            <v>MF2170</v>
          </cell>
          <cell r="K843" t="str">
            <v>Listeria monocytogenes</v>
          </cell>
          <cell r="L843">
            <v>59911491</v>
          </cell>
          <cell r="M843">
            <v>10757933</v>
          </cell>
          <cell r="N843" t="str">
            <v>Norway</v>
          </cell>
          <cell r="Q843">
            <v>2002</v>
          </cell>
          <cell r="T843" t="str">
            <v>Nofima, √Ös, Norway</v>
          </cell>
          <cell r="U843" t="str">
            <v>Production environment</v>
          </cell>
          <cell r="V843" t="str">
            <v>meat processing environment</v>
          </cell>
          <cell r="X843" t="str">
            <v>ERR10612041</v>
          </cell>
        </row>
        <row r="844">
          <cell r="G844" t="str">
            <v>/home/projects/cge/backup/fastq/food_seqdata/NextSeq_206/FoodQCPipeline_tmp/conc_fqs/DTU_2022_1015647_1_SI_MF2171_R1_001.fq.gz</v>
          </cell>
          <cell r="H844" t="str">
            <v>/home/projects/cge/backup/fastq/food_seqdata/NextSeq_206/FoodQCPipeline_tmp/conc_fqs/DTU_2022_1015647_1_SI_MF2171_R2_001.fq.gz</v>
          </cell>
          <cell r="I844" t="str">
            <v>MF2171</v>
          </cell>
          <cell r="J844" t="str">
            <v>MF2171</v>
          </cell>
          <cell r="K844" t="str">
            <v>Listeria monocytogenes</v>
          </cell>
          <cell r="L844">
            <v>59911491</v>
          </cell>
          <cell r="M844">
            <v>10757933</v>
          </cell>
          <cell r="N844" t="str">
            <v>Norway</v>
          </cell>
          <cell r="Q844">
            <v>2002</v>
          </cell>
          <cell r="T844" t="str">
            <v>Nofima, √Ös, Norway</v>
          </cell>
          <cell r="U844" t="str">
            <v>Production environment</v>
          </cell>
          <cell r="V844" t="str">
            <v>meat processing environment</v>
          </cell>
          <cell r="X844" t="str">
            <v>ERR10612022</v>
          </cell>
        </row>
        <row r="845">
          <cell r="G845" t="str">
            <v>/home/projects/cge/backup/fastq/food_seqdata/NextSeq_206/FoodQCPipeline_tmp/conc_fqs/DTU_2022_1015648_1_SI_MF2172_R1_001.fq.gz</v>
          </cell>
          <cell r="H845" t="str">
            <v>/home/projects/cge/backup/fastq/food_seqdata/NextSeq_206/FoodQCPipeline_tmp/conc_fqs/DTU_2022_1015648_1_SI_MF2172_R2_001.fq.gz</v>
          </cell>
          <cell r="I845" t="str">
            <v>MF2172</v>
          </cell>
          <cell r="J845" t="str">
            <v>MF2172</v>
          </cell>
          <cell r="K845" t="str">
            <v>Listeria monocytogenes</v>
          </cell>
          <cell r="L845">
            <v>59911491</v>
          </cell>
          <cell r="M845">
            <v>10757933</v>
          </cell>
          <cell r="N845" t="str">
            <v>Norway</v>
          </cell>
          <cell r="Q845">
            <v>2002</v>
          </cell>
          <cell r="T845" t="str">
            <v>Nofima, √Ös, Norway</v>
          </cell>
          <cell r="U845" t="str">
            <v>Production environment</v>
          </cell>
          <cell r="V845" t="str">
            <v>meat processing environment</v>
          </cell>
          <cell r="X845" t="str">
            <v>ERR10612069</v>
          </cell>
        </row>
        <row r="846">
          <cell r="G846" t="str">
            <v>/home/projects/cge/backup/fastq/food_seqdata/NextSeq_206/FoodQCPipeline_tmp/conc_fqs/DTU_2022_1015649_1_SI_MF2173_R1_001.fq.gz</v>
          </cell>
          <cell r="H846" t="str">
            <v>/home/projects/cge/backup/fastq/food_seqdata/NextSeq_206/FoodQCPipeline_tmp/conc_fqs/DTU_2022_1015649_1_SI_MF2173_R2_001.fq.gz</v>
          </cell>
          <cell r="I846" t="str">
            <v>MF2173</v>
          </cell>
          <cell r="J846" t="str">
            <v>MF2173</v>
          </cell>
          <cell r="K846" t="str">
            <v>Listeria monocytogenes</v>
          </cell>
          <cell r="L846">
            <v>59911491</v>
          </cell>
          <cell r="M846">
            <v>10757933</v>
          </cell>
          <cell r="N846" t="str">
            <v>Norway</v>
          </cell>
          <cell r="Q846">
            <v>2002</v>
          </cell>
          <cell r="T846" t="str">
            <v>Nofima, √Ös, Norway</v>
          </cell>
          <cell r="U846" t="str">
            <v>Production environment</v>
          </cell>
          <cell r="V846" t="str">
            <v>meat processing environment</v>
          </cell>
          <cell r="X846" t="str">
            <v>ERR10612060</v>
          </cell>
        </row>
        <row r="847">
          <cell r="G847" t="str">
            <v>/home/projects/cge/backup/fastq/food_seqdata/NextSeq_206/FoodQCPipeline_tmp/conc_fqs/DTU_2022_1015651_1_SI_MF2185_R1_001.fq.gz</v>
          </cell>
          <cell r="H847" t="str">
            <v>/home/projects/cge/backup/fastq/food_seqdata/NextSeq_206/FoodQCPipeline_tmp/conc_fqs/DTU_2022_1015651_1_SI_MF2185_R2_001.fq.gz</v>
          </cell>
          <cell r="I847" t="str">
            <v>MF2185</v>
          </cell>
          <cell r="J847" t="str">
            <v>MF2185</v>
          </cell>
          <cell r="K847" t="str">
            <v>Listeria monocytogenes</v>
          </cell>
          <cell r="L847">
            <v>59911491</v>
          </cell>
          <cell r="M847">
            <v>10757933</v>
          </cell>
          <cell r="N847" t="str">
            <v>Norway</v>
          </cell>
          <cell r="Q847">
            <v>2002</v>
          </cell>
          <cell r="T847" t="str">
            <v>Nofima, √Ös, Norway</v>
          </cell>
          <cell r="U847" t="str">
            <v>Production environment</v>
          </cell>
          <cell r="V847" t="str">
            <v>meat processing environment</v>
          </cell>
          <cell r="X847" t="str">
            <v>ERR10612064</v>
          </cell>
        </row>
        <row r="848">
          <cell r="G848" t="str">
            <v>/home/projects/cge/backup/fastq/food_seqdata/NextSeq_206/FoodQCPipeline_tmp/conc_fqs/DTU_2022_1015653_1_SI_MF2187_R1_001.fq.gz</v>
          </cell>
          <cell r="H848" t="str">
            <v>/home/projects/cge/backup/fastq/food_seqdata/NextSeq_206/FoodQCPipeline_tmp/conc_fqs/DTU_2022_1015653_1_SI_MF2187_R2_001.fq.gz</v>
          </cell>
          <cell r="I848" t="str">
            <v>MF2187</v>
          </cell>
          <cell r="J848" t="str">
            <v>MF2187</v>
          </cell>
          <cell r="K848" t="str">
            <v>Listeria monocytogenes</v>
          </cell>
          <cell r="L848">
            <v>59911491</v>
          </cell>
          <cell r="M848">
            <v>10757933</v>
          </cell>
          <cell r="N848" t="str">
            <v>Norway</v>
          </cell>
          <cell r="Q848">
            <v>2002</v>
          </cell>
          <cell r="T848" t="str">
            <v>Nofima, √Ös, Norway</v>
          </cell>
          <cell r="U848" t="str">
            <v>Production environment</v>
          </cell>
          <cell r="V848" t="str">
            <v>meat processing environment</v>
          </cell>
          <cell r="X848" t="str">
            <v>ERR10612030</v>
          </cell>
        </row>
        <row r="849">
          <cell r="G849" t="str">
            <v>/home/projects/cge/backup/fastq/food_seqdata/NextSeq_206/FoodQCPipeline_tmp/conc_fqs/DTU_2022_1015659_1_SI_MF3865_R1_001.fq.gz</v>
          </cell>
          <cell r="H849" t="str">
            <v>/home/projects/cge/backup/fastq/food_seqdata/NextSeq_206/FoodQCPipeline_tmp/conc_fqs/DTU_2022_1015659_1_SI_MF3865_R2_001.fq.gz</v>
          </cell>
          <cell r="I849" t="str">
            <v>MF3865</v>
          </cell>
          <cell r="J849" t="str">
            <v>MF3865</v>
          </cell>
          <cell r="K849" t="str">
            <v>Listeria monocytogenes</v>
          </cell>
          <cell r="L849">
            <v>59911491</v>
          </cell>
          <cell r="M849">
            <v>10757933</v>
          </cell>
          <cell r="N849" t="str">
            <v>Norway</v>
          </cell>
          <cell r="Q849">
            <v>2011</v>
          </cell>
          <cell r="T849" t="str">
            <v>Nofima, √Ös, Norway</v>
          </cell>
          <cell r="U849" t="str">
            <v>Production environment</v>
          </cell>
          <cell r="V849" t="str">
            <v>salmon processing environment</v>
          </cell>
          <cell r="X849" t="str">
            <v>ERR10612061</v>
          </cell>
        </row>
        <row r="850">
          <cell r="G850" t="str">
            <v>/home/projects/cge/backup/fastq/food_seqdata/NextSeq_206/FoodQCPipeline_tmp/conc_fqs/DTU_2022_1015660_1_SI_MF3882_R1_001.fq.gz</v>
          </cell>
          <cell r="H850" t="str">
            <v>/home/projects/cge/backup/fastq/food_seqdata/NextSeq_206/FoodQCPipeline_tmp/conc_fqs/DTU_2022_1015660_1_SI_MF3882_R2_001.fq.gz</v>
          </cell>
          <cell r="I850" t="str">
            <v>MF3882</v>
          </cell>
          <cell r="J850" t="str">
            <v>MF3882</v>
          </cell>
          <cell r="K850" t="str">
            <v>Listeria monocytogenes</v>
          </cell>
          <cell r="L850">
            <v>59911491</v>
          </cell>
          <cell r="M850">
            <v>10757933</v>
          </cell>
          <cell r="N850" t="str">
            <v>Norway</v>
          </cell>
          <cell r="Q850">
            <v>2011</v>
          </cell>
          <cell r="T850" t="str">
            <v>Nofima, √Ös, Norway</v>
          </cell>
          <cell r="U850" t="str">
            <v>Production environment</v>
          </cell>
          <cell r="V850" t="str">
            <v>salmon processing environment</v>
          </cell>
          <cell r="X850" t="str">
            <v>ERR10612056</v>
          </cell>
        </row>
        <row r="851">
          <cell r="G851" t="str">
            <v>/home/projects/cge/backup/fastq/food_seqdata/NextSeq_206/FoodQCPipeline_tmp/conc_fqs/DTU_2022_1015661_1_SI_MF3976_R1_001.fq.gz</v>
          </cell>
          <cell r="H851" t="str">
            <v>/home/projects/cge/backup/fastq/food_seqdata/NextSeq_206/FoodQCPipeline_tmp/conc_fqs/DTU_2022_1015661_1_SI_MF3976_R2_001.fq.gz</v>
          </cell>
          <cell r="I851" t="str">
            <v>MF3976</v>
          </cell>
          <cell r="J851" t="str">
            <v>MF3976</v>
          </cell>
          <cell r="K851" t="str">
            <v>Listeria monocytogenes</v>
          </cell>
          <cell r="L851">
            <v>59911491</v>
          </cell>
          <cell r="M851">
            <v>10757933</v>
          </cell>
          <cell r="N851" t="str">
            <v>Norway</v>
          </cell>
          <cell r="Q851">
            <v>2011</v>
          </cell>
          <cell r="T851" t="str">
            <v>Nofima, √Ös, Norway</v>
          </cell>
          <cell r="U851" t="str">
            <v>Production environment</v>
          </cell>
          <cell r="V851" t="str">
            <v>salmon processing environment</v>
          </cell>
          <cell r="X851" t="str">
            <v>ERR10612063</v>
          </cell>
        </row>
        <row r="852">
          <cell r="G852" t="str">
            <v>/home/projects/cge/backup/fastq/food_seqdata/NextSeq_206/FoodQCPipeline_tmp/conc_fqs/DTU_2022_1015679_1_SI_MF4385_R1_001.fq.gz</v>
          </cell>
          <cell r="H852" t="str">
            <v>/home/projects/cge/backup/fastq/food_seqdata/NextSeq_206/FoodQCPipeline_tmp/conc_fqs/DTU_2022_1015679_1_SI_MF4385_R2_001.fq.gz</v>
          </cell>
          <cell r="I852" t="str">
            <v>MF4385</v>
          </cell>
          <cell r="J852" t="str">
            <v>MF4385</v>
          </cell>
          <cell r="K852" t="str">
            <v>Listeria monocytogenes</v>
          </cell>
          <cell r="L852">
            <v>59911491</v>
          </cell>
          <cell r="M852">
            <v>10757933</v>
          </cell>
          <cell r="N852" t="str">
            <v>Norway</v>
          </cell>
          <cell r="Q852">
            <v>2012</v>
          </cell>
          <cell r="T852" t="str">
            <v>Nofima, √Ös, Norway</v>
          </cell>
          <cell r="U852" t="str">
            <v>Production environment</v>
          </cell>
          <cell r="V852" t="str">
            <v>salmon processing environment</v>
          </cell>
          <cell r="X852" t="str">
            <v>ERR10612135</v>
          </cell>
        </row>
        <row r="853">
          <cell r="G853" t="str">
            <v>/home/projects/cge/backup/fastq/food_seqdata/NextSeq_206/FoodQCPipeline_tmp/conc_fqs/DTU_2022_1015680_1_SI_MF4531_R1_001.fq.gz</v>
          </cell>
          <cell r="H853" t="str">
            <v>/home/projects/cge/backup/fastq/food_seqdata/NextSeq_206/FoodQCPipeline_tmp/conc_fqs/DTU_2022_1015680_1_SI_MF4531_R2_001.fq.gz</v>
          </cell>
          <cell r="I853" t="str">
            <v>MF4531</v>
          </cell>
          <cell r="J853" t="str">
            <v>MF4531</v>
          </cell>
          <cell r="K853" t="str">
            <v>Listeria monocytogenes</v>
          </cell>
          <cell r="L853">
            <v>59911491</v>
          </cell>
          <cell r="M853">
            <v>10757933</v>
          </cell>
          <cell r="N853" t="str">
            <v>Norway</v>
          </cell>
          <cell r="Q853">
            <v>2012</v>
          </cell>
          <cell r="T853" t="str">
            <v>Nofima, √Ös, Norway</v>
          </cell>
          <cell r="U853" t="str">
            <v>Production environment</v>
          </cell>
          <cell r="V853" t="str">
            <v>salmon processing environment</v>
          </cell>
          <cell r="X853" t="str">
            <v>ERR10612107</v>
          </cell>
        </row>
        <row r="854">
          <cell r="G854" t="str">
            <v>/home/projects/cge/backup/fastq/food_seqdata/NextSeq_206/FoodQCPipeline_tmp/conc_fqs/DTU_2022_1015681_1_SI_MF4548_R1_001.fq.gz</v>
          </cell>
          <cell r="H854" t="str">
            <v>/home/projects/cge/backup/fastq/food_seqdata/NextSeq_206/FoodQCPipeline_tmp/conc_fqs/DTU_2022_1015681_1_SI_MF4548_R2_001.fq.gz</v>
          </cell>
          <cell r="I854" t="str">
            <v>MF4548</v>
          </cell>
          <cell r="J854" t="str">
            <v>MF4548</v>
          </cell>
          <cell r="K854" t="str">
            <v>Listeria monocytogenes</v>
          </cell>
          <cell r="L854">
            <v>59911491</v>
          </cell>
          <cell r="M854">
            <v>10757933</v>
          </cell>
          <cell r="N854" t="str">
            <v>Norway</v>
          </cell>
          <cell r="Q854">
            <v>2012</v>
          </cell>
          <cell r="T854" t="str">
            <v>Nofima, √Ös, Norway</v>
          </cell>
          <cell r="U854" t="str">
            <v>Production environment</v>
          </cell>
          <cell r="V854" t="str">
            <v>meat processing environment</v>
          </cell>
          <cell r="X854" t="str">
            <v>ERR10612053</v>
          </cell>
        </row>
        <row r="855">
          <cell r="G855" t="str">
            <v>/home/projects/cge/backup/fastq/food_seqdata/NextSeq_206/FoodQCPipeline_tmp/conc_fqs/DTU_2022_1015682_1_SI_MF4592_R1_001.fq.gz</v>
          </cell>
          <cell r="H855" t="str">
            <v>/home/projects/cge/backup/fastq/food_seqdata/NextSeq_206/FoodQCPipeline_tmp/conc_fqs/DTU_2022_1015682_1_SI_MF4592_R2_001.fq.gz</v>
          </cell>
          <cell r="I855" t="str">
            <v>MF4592</v>
          </cell>
          <cell r="J855" t="str">
            <v>MF4592</v>
          </cell>
          <cell r="K855" t="str">
            <v>Listeria monocytogenes</v>
          </cell>
          <cell r="L855">
            <v>59911491</v>
          </cell>
          <cell r="M855">
            <v>10757933</v>
          </cell>
          <cell r="N855" t="str">
            <v>Norway</v>
          </cell>
          <cell r="Q855">
            <v>2012</v>
          </cell>
          <cell r="T855" t="str">
            <v>Nofima, √Ös, Norway</v>
          </cell>
          <cell r="U855" t="str">
            <v>Production environment</v>
          </cell>
          <cell r="V855" t="str">
            <v>salmon processing environment</v>
          </cell>
          <cell r="X855" t="str">
            <v>ERR10612083</v>
          </cell>
        </row>
        <row r="856">
          <cell r="G856" t="str">
            <v>/home/projects/cge/backup/fastq/food_seqdata/NextSeq_206/FoodQCPipeline_tmp/conc_fqs/DTU_2022_1015683_1_SI_MF4595_R1_001.fq.gz</v>
          </cell>
          <cell r="H856" t="str">
            <v>/home/projects/cge/backup/fastq/food_seqdata/NextSeq_206/FoodQCPipeline_tmp/conc_fqs/DTU_2022_1015683_1_SI_MF4595_R2_001.fq.gz</v>
          </cell>
          <cell r="I856" t="str">
            <v>MF4595</v>
          </cell>
          <cell r="J856" t="str">
            <v>MF4595</v>
          </cell>
          <cell r="K856" t="str">
            <v>Listeria monocytogenes</v>
          </cell>
          <cell r="L856">
            <v>59911491</v>
          </cell>
          <cell r="M856">
            <v>10757933</v>
          </cell>
          <cell r="N856" t="str">
            <v>Norway</v>
          </cell>
          <cell r="Q856">
            <v>2012</v>
          </cell>
          <cell r="T856" t="str">
            <v>Nofima, √Ös, Norway</v>
          </cell>
          <cell r="U856" t="str">
            <v>Production environment</v>
          </cell>
          <cell r="V856" t="str">
            <v>salmon processing environment</v>
          </cell>
          <cell r="X856" t="str">
            <v>ERR10612055</v>
          </cell>
        </row>
        <row r="857">
          <cell r="G857" t="str">
            <v>/home/projects/cge/backup/fastq/food_seqdata/NextSeq_206/FoodQCPipeline_tmp/conc_fqs/DTU_2022_1015684_1_SI_MF4990_R1_001.fq.gz</v>
          </cell>
          <cell r="H857" t="str">
            <v>/home/projects/cge/backup/fastq/food_seqdata/NextSeq_206/FoodQCPipeline_tmp/conc_fqs/DTU_2022_1015684_1_SI_MF4990_R2_001.fq.gz</v>
          </cell>
          <cell r="I857" t="str">
            <v>MF4990</v>
          </cell>
          <cell r="J857" t="str">
            <v>MF4990</v>
          </cell>
          <cell r="K857" t="str">
            <v>Listeria monocytogenes</v>
          </cell>
          <cell r="L857">
            <v>59911491</v>
          </cell>
          <cell r="M857">
            <v>10757933</v>
          </cell>
          <cell r="N857" t="str">
            <v>Norway</v>
          </cell>
          <cell r="Q857">
            <v>2012</v>
          </cell>
          <cell r="T857" t="str">
            <v>Nofima, √Ös, Norway</v>
          </cell>
          <cell r="U857" t="str">
            <v>Production environment</v>
          </cell>
          <cell r="V857" t="str">
            <v>meat processing environment</v>
          </cell>
          <cell r="X857" t="str">
            <v>ERR10612102</v>
          </cell>
        </row>
        <row r="858">
          <cell r="G858" t="str">
            <v>/home/projects/cge/backup/fastq/food_seqdata/NextSeq_206/FoodQCPipeline_tmp/conc_fqs/DTU_2022_1015685_1_SI_MF5024_R1_001.fq.gz</v>
          </cell>
          <cell r="H858" t="str">
            <v>/home/projects/cge/backup/fastq/food_seqdata/NextSeq_206/FoodQCPipeline_tmp/conc_fqs/DTU_2022_1015685_1_SI_MF5024_R2_001.fq.gz</v>
          </cell>
          <cell r="I858" t="str">
            <v>MF5024</v>
          </cell>
          <cell r="J858" t="str">
            <v>MF5024</v>
          </cell>
          <cell r="K858" t="str">
            <v>Listeria monocytogenes</v>
          </cell>
          <cell r="L858">
            <v>59911491</v>
          </cell>
          <cell r="M858">
            <v>10757933</v>
          </cell>
          <cell r="N858" t="str">
            <v>Norway</v>
          </cell>
          <cell r="Q858">
            <v>2013</v>
          </cell>
          <cell r="T858" t="str">
            <v>Nofima, √Ös, Norway</v>
          </cell>
          <cell r="U858" t="str">
            <v>Production environment</v>
          </cell>
          <cell r="V858" t="str">
            <v>salmon processing environment</v>
          </cell>
          <cell r="X858" t="str">
            <v>ERR10612094</v>
          </cell>
        </row>
        <row r="859">
          <cell r="G859" t="str">
            <v>/home/projects/cge/backup/fastq/food_seqdata/NextSeq_206/FoodQCPipeline_tmp/conc_fqs/DTU_2022_1015686_1_SI_MF5190_R1_001.fq.gz</v>
          </cell>
          <cell r="H859" t="str">
            <v>/home/projects/cge/backup/fastq/food_seqdata/NextSeq_206/FoodQCPipeline_tmp/conc_fqs/DTU_2022_1015686_1_SI_MF5190_R2_001.fq.gz</v>
          </cell>
          <cell r="I859" t="str">
            <v>MF5190</v>
          </cell>
          <cell r="J859" t="str">
            <v>MF5190</v>
          </cell>
          <cell r="K859" t="str">
            <v>Listeria monocytogenes</v>
          </cell>
          <cell r="L859">
            <v>59911491</v>
          </cell>
          <cell r="M859">
            <v>10757933</v>
          </cell>
          <cell r="N859" t="str">
            <v>Norway</v>
          </cell>
          <cell r="Q859">
            <v>2013</v>
          </cell>
          <cell r="T859" t="str">
            <v>Nofima, √Ös, Norway</v>
          </cell>
          <cell r="U859" t="str">
            <v>Production environment</v>
          </cell>
          <cell r="V859" t="str">
            <v>salmon processing environment</v>
          </cell>
          <cell r="X859" t="str">
            <v>ERR10612106</v>
          </cell>
        </row>
        <row r="860">
          <cell r="G860" t="str">
            <v>/home/projects/cge/backup/fastq/food_seqdata/NextSeq_206/FoodQCPipeline_tmp/conc_fqs/DTU_2022_1015687_1_SI_MF5236_R1_001.fq.gz</v>
          </cell>
          <cell r="H860" t="str">
            <v>/home/projects/cge/backup/fastq/food_seqdata/NextSeq_206/FoodQCPipeline_tmp/conc_fqs/DTU_2022_1015687_1_SI_MF5236_R2_001.fq.gz</v>
          </cell>
          <cell r="I860" t="str">
            <v>MF5236</v>
          </cell>
          <cell r="J860" t="str">
            <v>MF5236</v>
          </cell>
          <cell r="K860" t="str">
            <v>Listeria monocytogenes</v>
          </cell>
          <cell r="L860">
            <v>59911491</v>
          </cell>
          <cell r="M860">
            <v>10757933</v>
          </cell>
          <cell r="N860" t="str">
            <v>Norway</v>
          </cell>
          <cell r="Q860">
            <v>2013</v>
          </cell>
          <cell r="T860" t="str">
            <v>Nofima, √Ös, Norway</v>
          </cell>
          <cell r="U860" t="str">
            <v>Production environment</v>
          </cell>
          <cell r="V860" t="str">
            <v>salmon processing environment</v>
          </cell>
          <cell r="X860" t="str">
            <v>ERR10612085</v>
          </cell>
        </row>
        <row r="861">
          <cell r="G861" t="str">
            <v>/home/projects/cge/backup/fastq/food_seqdata/NextSeq_206/FoodQCPipeline_tmp/conc_fqs/DTU_2022_1015688_1_SI_MF5241_R1_001.fq.gz</v>
          </cell>
          <cell r="H861" t="str">
            <v>/home/projects/cge/backup/fastq/food_seqdata/NextSeq_206/FoodQCPipeline_tmp/conc_fqs/DTU_2022_1015688_1_SI_MF5241_R2_001.fq.gz</v>
          </cell>
          <cell r="I861" t="str">
            <v>MF5241</v>
          </cell>
          <cell r="J861" t="str">
            <v>MF5241</v>
          </cell>
          <cell r="K861" t="str">
            <v>Listeria monocytogenes</v>
          </cell>
          <cell r="L861">
            <v>59911491</v>
          </cell>
          <cell r="M861">
            <v>10757933</v>
          </cell>
          <cell r="N861" t="str">
            <v>Norway</v>
          </cell>
          <cell r="Q861">
            <v>2013</v>
          </cell>
          <cell r="T861" t="str">
            <v>Nofima, √Ös, Norway</v>
          </cell>
          <cell r="U861" t="str">
            <v>Production environment</v>
          </cell>
          <cell r="V861" t="str">
            <v>salmon processing environment</v>
          </cell>
          <cell r="X861" t="str">
            <v>ERR10612103</v>
          </cell>
        </row>
        <row r="862">
          <cell r="G862" t="str">
            <v>/home/projects/cge/backup/fastq/food_seqdata/NextSeq_206/FoodQCPipeline_tmp/conc_fqs/DTU_2022_1015689_1_SI_MF5373_R1_001.fq.gz</v>
          </cell>
          <cell r="H862" t="str">
            <v>/home/projects/cge/backup/fastq/food_seqdata/NextSeq_206/FoodQCPipeline_tmp/conc_fqs/DTU_2022_1015689_1_SI_MF5373_R2_001.fq.gz</v>
          </cell>
          <cell r="I862" t="str">
            <v>MF5373</v>
          </cell>
          <cell r="J862" t="str">
            <v>MF5373</v>
          </cell>
          <cell r="K862" t="str">
            <v>Listeria monocytogenes</v>
          </cell>
          <cell r="L862">
            <v>59911491</v>
          </cell>
          <cell r="M862">
            <v>10757933</v>
          </cell>
          <cell r="N862" t="str">
            <v>Norway</v>
          </cell>
          <cell r="Q862">
            <v>2013</v>
          </cell>
          <cell r="T862" t="str">
            <v>Nofima, √Ös, Norway</v>
          </cell>
          <cell r="U862" t="str">
            <v>Production environment</v>
          </cell>
          <cell r="V862" t="str">
            <v>meat processing environment</v>
          </cell>
          <cell r="X862" t="str">
            <v>ERR10612065</v>
          </cell>
        </row>
        <row r="863">
          <cell r="G863" t="str">
            <v>/home/projects/cge/backup/fastq/food_seqdata/NextSeq_206/FoodQCPipeline_tmp/conc_fqs/DTU_2022_1015690_1_SI_MF5462_R1_001.fq.gz</v>
          </cell>
          <cell r="H863" t="str">
            <v>/home/projects/cge/backup/fastq/food_seqdata/NextSeq_206/FoodQCPipeline_tmp/conc_fqs/DTU_2022_1015690_1_SI_MF5462_R2_001.fq.gz</v>
          </cell>
          <cell r="I863" t="str">
            <v>MF5462</v>
          </cell>
          <cell r="J863" t="str">
            <v>MF5462</v>
          </cell>
          <cell r="K863" t="str">
            <v>Listeria monocytogenes</v>
          </cell>
          <cell r="L863">
            <v>59911491</v>
          </cell>
          <cell r="M863">
            <v>10757933</v>
          </cell>
          <cell r="N863" t="str">
            <v>Norway</v>
          </cell>
          <cell r="Q863">
            <v>2014</v>
          </cell>
          <cell r="T863" t="str">
            <v>Nofima, √Ös, Norway</v>
          </cell>
          <cell r="U863" t="str">
            <v>Production environment</v>
          </cell>
          <cell r="V863" t="str">
            <v>salmon processing environment</v>
          </cell>
          <cell r="X863" t="str">
            <v>ERR10612092</v>
          </cell>
        </row>
        <row r="864">
          <cell r="G864" t="str">
            <v>/home/projects/cge/backup/fastq/food_seqdata/NextSeq_206/FoodQCPipeline_tmp/conc_fqs/DTU_2022_1015691_1_SI_MF5463_R1_001.fq.gz</v>
          </cell>
          <cell r="H864" t="str">
            <v>/home/projects/cge/backup/fastq/food_seqdata/NextSeq_206/FoodQCPipeline_tmp/conc_fqs/DTU_2022_1015691_1_SI_MF5463_R2_001.fq.gz</v>
          </cell>
          <cell r="I864" t="str">
            <v>MF5463</v>
          </cell>
          <cell r="J864" t="str">
            <v>MF5463</v>
          </cell>
          <cell r="K864" t="str">
            <v>Listeria monocytogenes</v>
          </cell>
          <cell r="L864">
            <v>59911491</v>
          </cell>
          <cell r="M864">
            <v>10757933</v>
          </cell>
          <cell r="N864" t="str">
            <v>Norway</v>
          </cell>
          <cell r="Q864">
            <v>2014</v>
          </cell>
          <cell r="T864" t="str">
            <v>Nofima, √Ös, Norway</v>
          </cell>
          <cell r="U864" t="str">
            <v>Production environment</v>
          </cell>
          <cell r="V864" t="str">
            <v>salmon processing environment</v>
          </cell>
          <cell r="X864" t="str">
            <v>ERR10612147</v>
          </cell>
        </row>
        <row r="865">
          <cell r="G865" t="str">
            <v>/home/projects/cge/backup/fastq/food_seqdata/NextSeq_206/FoodQCPipeline_tmp/conc_fqs/DTU_2022_1015692_1_SI_MF5464_R1_001.fq.gz</v>
          </cell>
          <cell r="H865" t="str">
            <v>/home/projects/cge/backup/fastq/food_seqdata/NextSeq_206/FoodQCPipeline_tmp/conc_fqs/DTU_2022_1015692_1_SI_MF5464_R2_001.fq.gz</v>
          </cell>
          <cell r="I865" t="str">
            <v>MF5464</v>
          </cell>
          <cell r="J865" t="str">
            <v>MF5464</v>
          </cell>
          <cell r="K865" t="str">
            <v>Listeria monocytogenes</v>
          </cell>
          <cell r="L865">
            <v>59911491</v>
          </cell>
          <cell r="M865">
            <v>10757933</v>
          </cell>
          <cell r="N865" t="str">
            <v>Norway</v>
          </cell>
          <cell r="Q865">
            <v>2014</v>
          </cell>
          <cell r="T865" t="str">
            <v>Nofima, √Ös, Norway</v>
          </cell>
          <cell r="U865" t="str">
            <v>Production environment</v>
          </cell>
          <cell r="V865" t="str">
            <v>salmon processing environment</v>
          </cell>
          <cell r="X865" t="str">
            <v>ERR10612066</v>
          </cell>
        </row>
        <row r="866">
          <cell r="G866" t="str">
            <v>/home/projects/cge/backup/fastq/food_seqdata/NextSeq_206/FoodQCPipeline_tmp/conc_fqs/DTU_2022_1015693_1_SI_MF5465_R1_001.fq.gz</v>
          </cell>
          <cell r="H866" t="str">
            <v>/home/projects/cge/backup/fastq/food_seqdata/NextSeq_206/FoodQCPipeline_tmp/conc_fqs/DTU_2022_1015693_1_SI_MF5465_R2_001.fq.gz</v>
          </cell>
          <cell r="I866" t="str">
            <v>MF5465</v>
          </cell>
          <cell r="J866" t="str">
            <v>MF5465</v>
          </cell>
          <cell r="K866" t="str">
            <v>Listeria monocytogenes</v>
          </cell>
          <cell r="L866">
            <v>59911491</v>
          </cell>
          <cell r="M866">
            <v>10757933</v>
          </cell>
          <cell r="N866" t="str">
            <v>Norway</v>
          </cell>
          <cell r="Q866">
            <v>2014</v>
          </cell>
          <cell r="T866" t="str">
            <v>Nofima, √Ös, Norway</v>
          </cell>
          <cell r="U866" t="str">
            <v>Production environment</v>
          </cell>
          <cell r="V866" t="str">
            <v>salmon processing environment</v>
          </cell>
          <cell r="X866" t="str">
            <v>ERR10612095</v>
          </cell>
        </row>
        <row r="867">
          <cell r="G867" t="str">
            <v>/home/projects/cge/backup/fastq/food_seqdata/NextSeq_206/FoodQCPipeline_tmp/conc_fqs/DTU_2022_1015694_1_SI_MF5636_R1_001.fq.gz</v>
          </cell>
          <cell r="H867" t="str">
            <v>/home/projects/cge/backup/fastq/food_seqdata/NextSeq_206/FoodQCPipeline_tmp/conc_fqs/DTU_2022_1015694_1_SI_MF5636_R2_001.fq.gz</v>
          </cell>
          <cell r="I867" t="str">
            <v>MF5636</v>
          </cell>
          <cell r="J867" t="str">
            <v>MF5636</v>
          </cell>
          <cell r="K867" t="str">
            <v>Listeria monocytogenes</v>
          </cell>
          <cell r="L867">
            <v>59911491</v>
          </cell>
          <cell r="M867">
            <v>10757933</v>
          </cell>
          <cell r="N867" t="str">
            <v>Norway</v>
          </cell>
          <cell r="Q867">
            <v>2014</v>
          </cell>
          <cell r="T867" t="str">
            <v>Nofima, √Ös, Norway</v>
          </cell>
          <cell r="U867" t="str">
            <v>Production environment</v>
          </cell>
          <cell r="V867" t="str">
            <v>meat processing environment</v>
          </cell>
          <cell r="X867" t="str">
            <v>ERR10612068</v>
          </cell>
        </row>
        <row r="868">
          <cell r="G868" t="str">
            <v>/home/projects/cge/backup/fastq/food_seqdata/NextSeq_216/FoodQCPipeline_tmp/conc_fqs/DTU_2022_1016895_1_SI_MF5651_R1_001.fq.gz</v>
          </cell>
          <cell r="H868" t="str">
            <v>/home/projects/cge/backup/fastq/food_seqdata/NextSeq_216/FoodQCPipeline_tmp/conc_fqs/DTU_2022_1016895_1_SI_MF5651_R2_001.fq.gz</v>
          </cell>
          <cell r="I868" t="str">
            <v>MF5651</v>
          </cell>
          <cell r="J868" t="str">
            <v>MF5651</v>
          </cell>
          <cell r="K868" t="str">
            <v>Listeria monocytogenes</v>
          </cell>
          <cell r="L868">
            <v>59911491</v>
          </cell>
          <cell r="M868">
            <v>10757933</v>
          </cell>
          <cell r="N868" t="str">
            <v>Norway</v>
          </cell>
          <cell r="Q868">
            <v>2014</v>
          </cell>
          <cell r="T868" t="str">
            <v>Nofima, √Ös, Norway</v>
          </cell>
          <cell r="U868" t="str">
            <v>Production environment</v>
          </cell>
          <cell r="V868" t="str">
            <v>Meat processing environment</v>
          </cell>
          <cell r="X868" t="str">
            <v>ERR10549839</v>
          </cell>
        </row>
        <row r="869">
          <cell r="G869" t="str">
            <v>/home/projects/cge/backup/fastq/food_seqdata/NextSeq_216/FoodQCPipeline_tmp/conc_fqs/DTU_2022_1016894_1_SI_MF5764_R1_001.fq.gz</v>
          </cell>
          <cell r="H869" t="str">
            <v>/home/projects/cge/backup/fastq/food_seqdata/NextSeq_216/FoodQCPipeline_tmp/conc_fqs/DTU_2022_1016894_1_SI_MF5764_R2_001.fq.gz</v>
          </cell>
          <cell r="I869" t="str">
            <v>MF5764</v>
          </cell>
          <cell r="J869" t="str">
            <v>MF5764</v>
          </cell>
          <cell r="K869" t="str">
            <v>Listeria monocytogenes</v>
          </cell>
          <cell r="L869">
            <v>59911491</v>
          </cell>
          <cell r="M869">
            <v>10757933</v>
          </cell>
          <cell r="N869" t="str">
            <v>Norway</v>
          </cell>
          <cell r="Q869">
            <v>2014</v>
          </cell>
          <cell r="T869" t="str">
            <v>Nofima, √Ös, Norway</v>
          </cell>
          <cell r="U869" t="str">
            <v>Production environment</v>
          </cell>
          <cell r="V869" t="str">
            <v>Meat processing environment</v>
          </cell>
          <cell r="X869" t="str">
            <v>ERR10549842</v>
          </cell>
        </row>
        <row r="870">
          <cell r="G870" t="str">
            <v>/home/projects/cge/backup/fastq/food_seqdata/NextSeq_216/FoodQCPipeline_tmp/conc_fqs/DTU_2022_1016896_1_SI_MF5780_R1_001.fq.gz</v>
          </cell>
          <cell r="H870" t="str">
            <v>/home/projects/cge/backup/fastq/food_seqdata/NextSeq_216/FoodQCPipeline_tmp/conc_fqs/DTU_2022_1016896_1_SI_MF5780_R2_001.fq.gz</v>
          </cell>
          <cell r="I870" t="str">
            <v>MF5780</v>
          </cell>
          <cell r="J870" t="str">
            <v>MF5780</v>
          </cell>
          <cell r="K870" t="str">
            <v>Listeria monocytogenes</v>
          </cell>
          <cell r="L870">
            <v>59911491</v>
          </cell>
          <cell r="M870">
            <v>10757933</v>
          </cell>
          <cell r="N870" t="str">
            <v>Norway</v>
          </cell>
          <cell r="Q870">
            <v>2014</v>
          </cell>
          <cell r="T870" t="str">
            <v>Nofima, √Ös, Norway</v>
          </cell>
          <cell r="U870" t="str">
            <v>Production environment</v>
          </cell>
          <cell r="V870" t="str">
            <v>Meat processing environment</v>
          </cell>
          <cell r="X870" t="str">
            <v>ERR10549827</v>
          </cell>
        </row>
        <row r="871">
          <cell r="G871" t="str">
            <v>/home/projects/cge/backup/fastq/food_seqdata/NextSeq_216/FoodQCPipeline_tmp/conc_fqs/DTU_2022_1016897_1_SI_MF5787_R1_001.fq.gz</v>
          </cell>
          <cell r="H871" t="str">
            <v>/home/projects/cge/backup/fastq/food_seqdata/NextSeq_216/FoodQCPipeline_tmp/conc_fqs/DTU_2022_1016897_1_SI_MF5787_R2_001.fq.gz</v>
          </cell>
          <cell r="I871" t="str">
            <v>MF5787</v>
          </cell>
          <cell r="J871" t="str">
            <v>MF5787</v>
          </cell>
          <cell r="K871" t="str">
            <v>Listeria monocytogenes</v>
          </cell>
          <cell r="L871">
            <v>59911491</v>
          </cell>
          <cell r="M871">
            <v>10757933</v>
          </cell>
          <cell r="N871" t="str">
            <v>Norway</v>
          </cell>
          <cell r="Q871">
            <v>2014</v>
          </cell>
          <cell r="T871" t="str">
            <v>Nofima, √Ös, Norway</v>
          </cell>
          <cell r="U871" t="str">
            <v>Production environment</v>
          </cell>
          <cell r="V871" t="str">
            <v>Meat processing environment</v>
          </cell>
          <cell r="X871" t="str">
            <v>ERR10549837</v>
          </cell>
        </row>
        <row r="872">
          <cell r="G872" t="str">
            <v>/home/projects/cge/backup/fastq/food_seqdata/NextSeq_216/FoodQCPipeline_tmp/conc_fqs/DTU_2022_1016898_1_SI_MF5793_R1_001.fq.gz</v>
          </cell>
          <cell r="H872" t="str">
            <v>/home/projects/cge/backup/fastq/food_seqdata/NextSeq_216/FoodQCPipeline_tmp/conc_fqs/DTU_2022_1016898_1_SI_MF5793_R2_001.fq.gz</v>
          </cell>
          <cell r="I872" t="str">
            <v>MF5793</v>
          </cell>
          <cell r="J872" t="str">
            <v>MF5793</v>
          </cell>
          <cell r="K872" t="str">
            <v>Listeria monocytogenes</v>
          </cell>
          <cell r="L872">
            <v>59911491</v>
          </cell>
          <cell r="M872">
            <v>10757933</v>
          </cell>
          <cell r="N872" t="str">
            <v>Norway</v>
          </cell>
          <cell r="Q872">
            <v>2014</v>
          </cell>
          <cell r="T872" t="str">
            <v>Nofima, √Ös, Norway</v>
          </cell>
          <cell r="U872" t="str">
            <v>Production environment</v>
          </cell>
          <cell r="V872" t="str">
            <v>Meat processing environment, outbreak (food isolate)</v>
          </cell>
          <cell r="X872" t="str">
            <v>ERR10549838</v>
          </cell>
        </row>
        <row r="873">
          <cell r="G873" t="str">
            <v>/home/projects/cge/backup/fastq/food_seqdata/NextSeq_206/FoodQCPipeline_tmp/conc_fqs/DTU_2022_1015695_1_SI_MF5797_R1_001.fq.gz</v>
          </cell>
          <cell r="H873" t="str">
            <v>/home/projects/cge/backup/fastq/food_seqdata/NextSeq_206/FoodQCPipeline_tmp/conc_fqs/DTU_2022_1015695_1_SI_MF5797_R2_001.fq.gz</v>
          </cell>
          <cell r="I873" t="str">
            <v>MF5797</v>
          </cell>
          <cell r="J873" t="str">
            <v>MF5797</v>
          </cell>
          <cell r="K873" t="str">
            <v>Listeria monocytogenes</v>
          </cell>
          <cell r="L873">
            <v>59911491</v>
          </cell>
          <cell r="M873">
            <v>10757933</v>
          </cell>
          <cell r="N873" t="str">
            <v>Norway</v>
          </cell>
          <cell r="Q873">
            <v>2014</v>
          </cell>
          <cell r="T873" t="str">
            <v>Nofima, √Ös, Norway</v>
          </cell>
          <cell r="U873" t="str">
            <v>Production environment</v>
          </cell>
          <cell r="V873" t="str">
            <v>Salmon processing environment</v>
          </cell>
          <cell r="X873" t="str">
            <v>ERR10612091</v>
          </cell>
        </row>
        <row r="874">
          <cell r="G874" t="str">
            <v>/home/projects/cge/backup/fastq/food_seqdata/NextSeq_206/FoodQCPipeline_tmp/conc_fqs/DTU_2022_1015696_1_SI_MF5994_R1_001.fq.gz</v>
          </cell>
          <cell r="H874" t="str">
            <v>/home/projects/cge/backup/fastq/food_seqdata/NextSeq_206/FoodQCPipeline_tmp/conc_fqs/DTU_2022_1015696_1_SI_MF5994_R2_001.fq.gz</v>
          </cell>
          <cell r="I874" t="str">
            <v>MF5994</v>
          </cell>
          <cell r="J874" t="str">
            <v>MF5994</v>
          </cell>
          <cell r="K874" t="str">
            <v>Listeria monocytogenes</v>
          </cell>
          <cell r="L874">
            <v>59911491</v>
          </cell>
          <cell r="M874">
            <v>10757933</v>
          </cell>
          <cell r="N874" t="str">
            <v>Norway</v>
          </cell>
          <cell r="Q874">
            <v>2014</v>
          </cell>
          <cell r="T874" t="str">
            <v>Nofima, √Ös, Norway</v>
          </cell>
          <cell r="U874" t="str">
            <v>Production environment</v>
          </cell>
          <cell r="V874" t="str">
            <v>Salmon processing environment</v>
          </cell>
          <cell r="X874" t="str">
            <v>ERR10612124</v>
          </cell>
        </row>
        <row r="875">
          <cell r="G875" t="str">
            <v>/home/projects/cge/backup/fastq/food_seqdata/NextSeq_206/FoodQCPipeline_tmp/conc_fqs/DTU_2022_1015697_1_SI_MF5995_R1_001.fq.gz</v>
          </cell>
          <cell r="H875" t="str">
            <v>/home/projects/cge/backup/fastq/food_seqdata/NextSeq_206/FoodQCPipeline_tmp/conc_fqs/DTU_2022_1015697_1_SI_MF5995_R2_001.fq.gz</v>
          </cell>
          <cell r="I875" t="str">
            <v>MF5995</v>
          </cell>
          <cell r="J875" t="str">
            <v>MF5995</v>
          </cell>
          <cell r="K875" t="str">
            <v>Listeria monocytogenes</v>
          </cell>
          <cell r="L875">
            <v>59911491</v>
          </cell>
          <cell r="M875">
            <v>10757933</v>
          </cell>
          <cell r="N875" t="str">
            <v>Norway</v>
          </cell>
          <cell r="Q875">
            <v>2014</v>
          </cell>
          <cell r="T875" t="str">
            <v>Nofima, √Ös, Norway</v>
          </cell>
          <cell r="U875" t="str">
            <v>Production environment</v>
          </cell>
          <cell r="V875" t="str">
            <v>Salmon processing environment</v>
          </cell>
          <cell r="X875" t="str">
            <v>ERR10612105</v>
          </cell>
        </row>
        <row r="876">
          <cell r="G876" t="str">
            <v>/home/projects/cge/backup/fastq/food_seqdata/NextSeq_206/FoodQCPipeline_tmp/conc_fqs/DTU_2022_1015698_1_SI_MF6351_R1_001.fq.gz</v>
          </cell>
          <cell r="H876" t="str">
            <v>/home/projects/cge/backup/fastq/food_seqdata/NextSeq_206/FoodQCPipeline_tmp/conc_fqs/DTU_2022_1015698_1_SI_MF6351_R2_001.fq.gz</v>
          </cell>
          <cell r="I876" t="str">
            <v>MF6351</v>
          </cell>
          <cell r="J876" t="str">
            <v>MF6351</v>
          </cell>
          <cell r="K876" t="str">
            <v>Listeria monocytogenes</v>
          </cell>
          <cell r="L876">
            <v>59911491</v>
          </cell>
          <cell r="M876">
            <v>10757933</v>
          </cell>
          <cell r="N876" t="str">
            <v>Norway</v>
          </cell>
          <cell r="Q876">
            <v>2015</v>
          </cell>
          <cell r="T876" t="str">
            <v>Nofima, √Ös, Norway</v>
          </cell>
          <cell r="U876" t="str">
            <v>Production environment</v>
          </cell>
          <cell r="V876" t="str">
            <v>Meat processing environment</v>
          </cell>
          <cell r="X876" t="str">
            <v>ERR10612119</v>
          </cell>
        </row>
        <row r="877">
          <cell r="G877" t="str">
            <v>/home/projects/cge/backup/fastq/food_seqdata/NextSeq_206/FoodQCPipeline_tmp/conc_fqs/DTU_2022_1015703_1_SI_MF7322_R1_001.fq.gz</v>
          </cell>
          <cell r="H877" t="str">
            <v>/home/projects/cge/backup/fastq/food_seqdata/NextSeq_206/FoodQCPipeline_tmp/conc_fqs/DTU_2022_1015703_1_SI_MF7322_R2_001.fq.gz</v>
          </cell>
          <cell r="I877" t="str">
            <v>MF7322</v>
          </cell>
          <cell r="J877" t="str">
            <v>MF7322</v>
          </cell>
          <cell r="K877" t="str">
            <v>Listeria monocytogenes</v>
          </cell>
          <cell r="L877">
            <v>59911491</v>
          </cell>
          <cell r="M877">
            <v>10757933</v>
          </cell>
          <cell r="N877" t="str">
            <v>Norway</v>
          </cell>
          <cell r="Q877">
            <v>2017</v>
          </cell>
          <cell r="T877" t="str">
            <v>Nofima, √Ös, Norway</v>
          </cell>
          <cell r="U877" t="str">
            <v>Production environment</v>
          </cell>
          <cell r="V877" t="str">
            <v>Meat processing environment</v>
          </cell>
          <cell r="X877" t="str">
            <v>ERR10612076</v>
          </cell>
        </row>
        <row r="878">
          <cell r="G878" t="str">
            <v>/home/projects/cge/backup/fastq/food_seqdata/NextSeq_206/FoodQCPipeline_tmp/conc_fqs/DTU_2022_1015704_1_SI_MF7327_R1_001.fq.gz</v>
          </cell>
          <cell r="H878" t="str">
            <v>/home/projects/cge/backup/fastq/food_seqdata/NextSeq_206/FoodQCPipeline_tmp/conc_fqs/DTU_2022_1015704_1_SI_MF7327_R2_001.fq.gz</v>
          </cell>
          <cell r="I878" t="str">
            <v>MF7327</v>
          </cell>
          <cell r="J878" t="str">
            <v>MF7327</v>
          </cell>
          <cell r="K878" t="str">
            <v>Listeria monocytogenes</v>
          </cell>
          <cell r="L878">
            <v>59911491</v>
          </cell>
          <cell r="M878">
            <v>10757933</v>
          </cell>
          <cell r="N878" t="str">
            <v>Norway</v>
          </cell>
          <cell r="Q878">
            <v>2017</v>
          </cell>
          <cell r="T878" t="str">
            <v>Nofima, √Ös, Norway</v>
          </cell>
          <cell r="U878" t="str">
            <v>Production environment</v>
          </cell>
          <cell r="V878" t="str">
            <v>Meat processing environment</v>
          </cell>
          <cell r="X878" t="str">
            <v>ERR10612074</v>
          </cell>
        </row>
        <row r="879">
          <cell r="G879" t="str">
            <v>/home/projects/cge/backup/fastq/food_seqdata/NextSeq_206/FoodQCPipeline_tmp/conc_fqs/DTU_2022_1015705_1_SI_MF7344_R1_001.fq.gz</v>
          </cell>
          <cell r="H879" t="str">
            <v>/home/projects/cge/backup/fastq/food_seqdata/NextSeq_206/FoodQCPipeline_tmp/conc_fqs/DTU_2022_1015705_1_SI_MF7344_R2_001.fq.gz</v>
          </cell>
          <cell r="I879" t="str">
            <v>MF7344</v>
          </cell>
          <cell r="J879" t="str">
            <v>MF7344</v>
          </cell>
          <cell r="K879" t="str">
            <v>Listeria monocytogenes</v>
          </cell>
          <cell r="L879">
            <v>59911491</v>
          </cell>
          <cell r="M879">
            <v>10757933</v>
          </cell>
          <cell r="N879" t="str">
            <v>Norway</v>
          </cell>
          <cell r="Q879">
            <v>2017</v>
          </cell>
          <cell r="T879" t="str">
            <v>Nofima, √Ös, Norway</v>
          </cell>
          <cell r="U879" t="str">
            <v>Production environment</v>
          </cell>
          <cell r="V879" t="str">
            <v>Meat processing environment</v>
          </cell>
          <cell r="X879" t="str">
            <v>ERR10612132</v>
          </cell>
        </row>
        <row r="880">
          <cell r="G880" t="str">
            <v>/home/projects/cge/backup/fastq/food_seqdata/NextSeq_206/FoodQCPipeline_tmp/conc_fqs/DTU_2022_1015706_1_SI_MF7357_R1_001.fq.gz</v>
          </cell>
          <cell r="H880" t="str">
            <v>/home/projects/cge/backup/fastq/food_seqdata/NextSeq_206/FoodQCPipeline_tmp/conc_fqs/DTU_2022_1015706_1_SI_MF7357_R2_001.fq.gz</v>
          </cell>
          <cell r="I880" t="str">
            <v>MF7357</v>
          </cell>
          <cell r="J880" t="str">
            <v>MF7357</v>
          </cell>
          <cell r="K880" t="str">
            <v>Listeria monocytogenes</v>
          </cell>
          <cell r="L880">
            <v>59911491</v>
          </cell>
          <cell r="M880">
            <v>10757933</v>
          </cell>
          <cell r="N880" t="str">
            <v>Norway</v>
          </cell>
          <cell r="Q880">
            <v>2017</v>
          </cell>
          <cell r="T880" t="str">
            <v>Nofima, √Ös, Norway</v>
          </cell>
          <cell r="U880" t="str">
            <v>Production environment</v>
          </cell>
          <cell r="V880" t="str">
            <v>Salmon processing environment</v>
          </cell>
          <cell r="X880" t="str">
            <v>ERR10612079</v>
          </cell>
        </row>
        <row r="881">
          <cell r="G881" t="str">
            <v>/home/projects/cge/backup/fastq/food_seqdata/NextSeq_206/FoodQCPipeline_tmp/conc_fqs/DTU_2022_1015707_1_SI_MF7369_R1_001.fq.gz</v>
          </cell>
          <cell r="H881" t="str">
            <v>/home/projects/cge/backup/fastq/food_seqdata/NextSeq_206/FoodQCPipeline_tmp/conc_fqs/DTU_2022_1015707_1_SI_MF7369_R2_001.fq.gz</v>
          </cell>
          <cell r="I881" t="str">
            <v>MF7369</v>
          </cell>
          <cell r="J881" t="str">
            <v>MF7369</v>
          </cell>
          <cell r="K881" t="str">
            <v>Listeria monocytogenes</v>
          </cell>
          <cell r="L881">
            <v>59911491</v>
          </cell>
          <cell r="M881">
            <v>10757933</v>
          </cell>
          <cell r="N881" t="str">
            <v>Norway</v>
          </cell>
          <cell r="Q881">
            <v>2017</v>
          </cell>
          <cell r="T881" t="str">
            <v>Nofima, √Ös, Norway</v>
          </cell>
          <cell r="U881" t="str">
            <v>Production environment</v>
          </cell>
          <cell r="V881" t="str">
            <v>Salmon processing environment</v>
          </cell>
          <cell r="X881" t="str">
            <v>ERR10612138</v>
          </cell>
        </row>
        <row r="882">
          <cell r="G882" t="str">
            <v>/home/projects/cge/backup/fastq/food_seqdata/NextSeq_206/FoodQCPipeline_tmp/conc_fqs/DTU_2022_1015708_1_SI_MF7370_R1_001.fq.gz</v>
          </cell>
          <cell r="H882" t="str">
            <v>/home/projects/cge/backup/fastq/food_seqdata/NextSeq_206/FoodQCPipeline_tmp/conc_fqs/DTU_2022_1015708_1_SI_MF7370_R2_001.fq.gz</v>
          </cell>
          <cell r="I882" t="str">
            <v>MF7370</v>
          </cell>
          <cell r="J882" t="str">
            <v>MF7370</v>
          </cell>
          <cell r="K882" t="str">
            <v>Listeria monocytogenes</v>
          </cell>
          <cell r="L882">
            <v>59911491</v>
          </cell>
          <cell r="M882">
            <v>10757933</v>
          </cell>
          <cell r="N882" t="str">
            <v>Norway</v>
          </cell>
          <cell r="Q882">
            <v>2017</v>
          </cell>
          <cell r="T882" t="str">
            <v>Nofima, √Ös, Norway</v>
          </cell>
          <cell r="U882" t="str">
            <v>Production environment</v>
          </cell>
          <cell r="V882" t="str">
            <v>Salmon processing environment</v>
          </cell>
          <cell r="X882" t="str">
            <v>ERR10612098</v>
          </cell>
        </row>
        <row r="883">
          <cell r="G883" t="str">
            <v>/home/projects/cge/backup/fastq/food_seqdata/NextSeq_206/FoodQCPipeline_tmp/conc_fqs/DTU_2022_1015709_1_SI_MF7379_R1_001.fq.gz</v>
          </cell>
          <cell r="H883" t="str">
            <v>/home/projects/cge/backup/fastq/food_seqdata/NextSeq_206/FoodQCPipeline_tmp/conc_fqs/DTU_2022_1015709_1_SI_MF7379_R2_001.fq.gz</v>
          </cell>
          <cell r="I883" t="str">
            <v>MF7379</v>
          </cell>
          <cell r="J883" t="str">
            <v>MF7379</v>
          </cell>
          <cell r="K883" t="str">
            <v>Listeria monocytogenes</v>
          </cell>
          <cell r="L883">
            <v>59911491</v>
          </cell>
          <cell r="M883">
            <v>10757933</v>
          </cell>
          <cell r="N883" t="str">
            <v>Norway</v>
          </cell>
          <cell r="Q883">
            <v>2017</v>
          </cell>
          <cell r="T883" t="str">
            <v>Nofima, √Ös, Norway</v>
          </cell>
          <cell r="U883" t="str">
            <v>Production environment</v>
          </cell>
          <cell r="V883" t="str">
            <v>Salmon processing environment</v>
          </cell>
          <cell r="X883" t="str">
            <v>ERR10612100</v>
          </cell>
        </row>
        <row r="884">
          <cell r="G884" t="str">
            <v>/home/projects/cge/backup/fastq/food_seqdata/NextSeq_206/FoodQCPipeline_tmp/conc_fqs/DTU_2022_1015699_1_SI_MF7075_R1_001.fq.gz</v>
          </cell>
          <cell r="H884" t="str">
            <v>/home/projects/cge/backup/fastq/food_seqdata/NextSeq_206/FoodQCPipeline_tmp/conc_fqs/DTU_2022_1015699_1_SI_MF7075_R2_001.fq.gz</v>
          </cell>
          <cell r="I884" t="str">
            <v>MF7075</v>
          </cell>
          <cell r="J884" t="str">
            <v>MF7075</v>
          </cell>
          <cell r="K884" t="str">
            <v>Listeria monocytogenes</v>
          </cell>
          <cell r="L884">
            <v>59911491</v>
          </cell>
          <cell r="M884">
            <v>10757933</v>
          </cell>
          <cell r="N884" t="str">
            <v>Norway</v>
          </cell>
          <cell r="Q884">
            <v>2018</v>
          </cell>
          <cell r="T884" t="str">
            <v>Nofima, √Ös, Norway</v>
          </cell>
          <cell r="U884" t="str">
            <v>Production environment</v>
          </cell>
          <cell r="V884" t="str">
            <v>Meat processing environment</v>
          </cell>
          <cell r="X884" t="str">
            <v>ERR10612070</v>
          </cell>
        </row>
        <row r="885">
          <cell r="G885" t="str">
            <v>/home/projects/cge/backup/fastq/food_seqdata/NextSeq_206/FoodQCPipeline_tmp/conc_fqs/DTU_2022_1015700_1_SI_MF7082_R1_001.fq.gz</v>
          </cell>
          <cell r="H885" t="str">
            <v>/home/projects/cge/backup/fastq/food_seqdata/NextSeq_206/FoodQCPipeline_tmp/conc_fqs/DTU_2022_1015700_1_SI_MF7082_R2_001.fq.gz</v>
          </cell>
          <cell r="I885" t="str">
            <v>MF7082</v>
          </cell>
          <cell r="J885" t="str">
            <v>MF7082</v>
          </cell>
          <cell r="K885" t="str">
            <v>Listeria monocytogenes</v>
          </cell>
          <cell r="L885">
            <v>59911491</v>
          </cell>
          <cell r="M885">
            <v>10757933</v>
          </cell>
          <cell r="N885" t="str">
            <v>Norway</v>
          </cell>
          <cell r="Q885">
            <v>2018</v>
          </cell>
          <cell r="T885" t="str">
            <v>Nofima, √Ös, Norway</v>
          </cell>
          <cell r="U885" t="str">
            <v>Production environment</v>
          </cell>
          <cell r="V885" t="str">
            <v>Meat processing environment</v>
          </cell>
          <cell r="X885" t="str">
            <v>ERR10612097</v>
          </cell>
        </row>
        <row r="886">
          <cell r="G886" t="str">
            <v>/home/projects/cge/backup/fastq/food_seqdata/NextSeq_206/FoodQCPipeline_tmp/conc_fqs/DTU_2022_1015701_1_SI_MF7085_R1_001.fq.gz</v>
          </cell>
          <cell r="H886" t="str">
            <v>/home/projects/cge/backup/fastq/food_seqdata/NextSeq_206/FoodQCPipeline_tmp/conc_fqs/DTU_2022_1015701_1_SI_MF7085_R2_001.fq.gz</v>
          </cell>
          <cell r="I886" t="str">
            <v>MF7085</v>
          </cell>
          <cell r="J886" t="str">
            <v>MF7085</v>
          </cell>
          <cell r="K886" t="str">
            <v>Listeria monocytogenes</v>
          </cell>
          <cell r="L886">
            <v>59911491</v>
          </cell>
          <cell r="M886">
            <v>10757933</v>
          </cell>
          <cell r="N886" t="str">
            <v>Norway</v>
          </cell>
          <cell r="Q886">
            <v>2018</v>
          </cell>
          <cell r="T886" t="str">
            <v>Nofima, √Ös, Norway</v>
          </cell>
          <cell r="U886" t="str">
            <v>Production environment</v>
          </cell>
          <cell r="V886" t="str">
            <v>Salmon processing environment</v>
          </cell>
          <cell r="X886" t="str">
            <v>ERR10612112</v>
          </cell>
        </row>
        <row r="887">
          <cell r="G887" t="str">
            <v>/home/projects/cge/backup/fastq/food_seqdata/NextSeq_206/FoodQCPipeline_tmp/conc_fqs/DTU_2022_1015682_1_SI_MF4592_R1_001.fq.gz</v>
          </cell>
          <cell r="H887" t="str">
            <v>/home/projects/cge/backup/fastq/food_seqdata/NextSeq_206/FoodQCPipeline_tmp/conc_fqs/DTU_2022_1015682_1_SI_MF4592_R2_001.fq.gz</v>
          </cell>
          <cell r="I887" t="str">
            <v>MF7091</v>
          </cell>
          <cell r="J887" t="str">
            <v>MF7091</v>
          </cell>
          <cell r="K887" t="str">
            <v>Listeria monocytogenes</v>
          </cell>
          <cell r="L887">
            <v>59911491</v>
          </cell>
          <cell r="M887">
            <v>10757933</v>
          </cell>
          <cell r="N887" t="str">
            <v>Norway</v>
          </cell>
          <cell r="Q887">
            <v>2018</v>
          </cell>
          <cell r="T887" t="str">
            <v>Nofima, √Ös, Norway</v>
          </cell>
          <cell r="U887" t="str">
            <v>Production environment</v>
          </cell>
          <cell r="V887" t="str">
            <v>Meat processing environment</v>
          </cell>
          <cell r="X887" t="str">
            <v>ERR10612099</v>
          </cell>
        </row>
        <row r="888">
          <cell r="G888" t="str">
            <v>/home/projects/cge/backup/fastq/food_seqdata/NextSeq_206/FoodQCPipeline_tmp/conc_fqs/DTU_2022_1015710_1_SI_MF7402_R1_001.fq.gz</v>
          </cell>
          <cell r="H888" t="str">
            <v>/home/projects/cge/backup/fastq/food_seqdata/NextSeq_206/FoodQCPipeline_tmp/conc_fqs/DTU_2022_1015710_1_SI_MF7402_R2_001.fq.gz</v>
          </cell>
          <cell r="I888" t="str">
            <v>MF7402</v>
          </cell>
          <cell r="J888" t="str">
            <v>MF7402</v>
          </cell>
          <cell r="K888" t="str">
            <v>Listeria monocytogenes</v>
          </cell>
          <cell r="L888">
            <v>59911491</v>
          </cell>
          <cell r="M888">
            <v>10757933</v>
          </cell>
          <cell r="N888" t="str">
            <v>Norway</v>
          </cell>
          <cell r="Q888">
            <v>2018</v>
          </cell>
          <cell r="T888" t="str">
            <v>Nofima, √Ös, Norway</v>
          </cell>
          <cell r="U888" t="str">
            <v>Production environment</v>
          </cell>
          <cell r="V888" t="str">
            <v>Salmon processing environment</v>
          </cell>
          <cell r="X888" t="str">
            <v>ERR10612088</v>
          </cell>
        </row>
        <row r="889">
          <cell r="G889" t="str">
            <v>/home/projects/cge/backup/fastq/food_seqdata/NextSeq_206/FoodQCPipeline_tmp/conc_fqs/DTU_2022_1015711_1_SI_MF7405_R1_001.fq.gz</v>
          </cell>
          <cell r="H889" t="str">
            <v>/home/projects/cge/backup/fastq/food_seqdata/NextSeq_206/FoodQCPipeline_tmp/conc_fqs/DTU_2022_1015711_1_SI_MF7405_R2_001.fq.gz</v>
          </cell>
          <cell r="I889" t="str">
            <v>MF7405</v>
          </cell>
          <cell r="J889" t="str">
            <v>MF7405</v>
          </cell>
          <cell r="K889" t="str">
            <v>Listeria monocytogenes</v>
          </cell>
          <cell r="L889">
            <v>59911491</v>
          </cell>
          <cell r="M889">
            <v>10757933</v>
          </cell>
          <cell r="N889" t="str">
            <v>Norway</v>
          </cell>
          <cell r="Q889">
            <v>2018</v>
          </cell>
          <cell r="T889" t="str">
            <v>Nofima, √Ös, Norway</v>
          </cell>
          <cell r="U889" t="str">
            <v>Production environment</v>
          </cell>
          <cell r="V889" t="str">
            <v>Salmon processing environment</v>
          </cell>
          <cell r="X889" t="str">
            <v>ERR10612080</v>
          </cell>
        </row>
        <row r="890">
          <cell r="G890" t="str">
            <v>/home/projects/cge/backup/fastq/food_seqdata/NextSeq_206/FoodQCPipeline_tmp/conc_fqs/DTU_2022_1015712_1_SI_MF7411_R1_001.fq.gz</v>
          </cell>
          <cell r="H890" t="str">
            <v>/home/projects/cge/backup/fastq/food_seqdata/NextSeq_206/FoodQCPipeline_tmp/conc_fqs/DTU_2022_1015712_1_SI_MF7411_R2_001.fq.gz</v>
          </cell>
          <cell r="I890" t="str">
            <v>MF7411</v>
          </cell>
          <cell r="J890" t="str">
            <v>MF7411</v>
          </cell>
          <cell r="K890" t="str">
            <v>Listeria monocytogenes</v>
          </cell>
          <cell r="L890">
            <v>59911491</v>
          </cell>
          <cell r="M890">
            <v>10757933</v>
          </cell>
          <cell r="N890" t="str">
            <v>Norway</v>
          </cell>
          <cell r="Q890">
            <v>2018</v>
          </cell>
          <cell r="T890" t="str">
            <v>Nofima, √Ös, Norway</v>
          </cell>
          <cell r="U890" t="str">
            <v>Production environment</v>
          </cell>
          <cell r="V890" t="str">
            <v>Salmon processing environment</v>
          </cell>
          <cell r="X890" t="str">
            <v>ERR10612108</v>
          </cell>
        </row>
        <row r="891">
          <cell r="G891" t="str">
            <v>/home/projects/cge/backup/fastq/food_seqdata/NextSeq_206/FoodQCPipeline_tmp/conc_fqs/DTU_2022_1015713_1_SI_MF7412_R1_001.fq.gz</v>
          </cell>
          <cell r="H891" t="str">
            <v>/home/projects/cge/backup/fastq/food_seqdata/NextSeq_206/FoodQCPipeline_tmp/conc_fqs/DTU_2022_1015713_1_SI_MF7412_R2_001.fq.gz</v>
          </cell>
          <cell r="I891" t="str">
            <v>MF7412</v>
          </cell>
          <cell r="J891" t="str">
            <v>MF7412</v>
          </cell>
          <cell r="K891" t="str">
            <v>Listeria monocytogenes</v>
          </cell>
          <cell r="L891">
            <v>59911491</v>
          </cell>
          <cell r="M891">
            <v>10757933</v>
          </cell>
          <cell r="N891" t="str">
            <v>Norway</v>
          </cell>
          <cell r="Q891">
            <v>2018</v>
          </cell>
          <cell r="T891" t="str">
            <v>Nofima, √Ös, Norway</v>
          </cell>
          <cell r="U891" t="str">
            <v>Production environment</v>
          </cell>
          <cell r="V891" t="str">
            <v>Salmon processing environment</v>
          </cell>
          <cell r="X891" t="str">
            <v>ERR10612121</v>
          </cell>
        </row>
        <row r="892">
          <cell r="G892" t="str">
            <v>/home/projects/cge/backup/fastq/food_seqdata/NextSeq_206/FoodQCPipeline_tmp/conc_fqs/DTU_2022_1015714_1_SI_MF7419_R1_001.fq.gz</v>
          </cell>
          <cell r="H892" t="str">
            <v>/home/projects/cge/backup/fastq/food_seqdata/NextSeq_206/FoodQCPipeline_tmp/conc_fqs/DTU_2022_1015714_1_SI_MF7419_R2_001.fq.gz</v>
          </cell>
          <cell r="I892" t="str">
            <v>MF7419</v>
          </cell>
          <cell r="J892" t="str">
            <v>MF7419</v>
          </cell>
          <cell r="K892" t="str">
            <v>Listeria monocytogenes</v>
          </cell>
          <cell r="L892">
            <v>59911491</v>
          </cell>
          <cell r="M892">
            <v>10757933</v>
          </cell>
          <cell r="N892" t="str">
            <v>Norway</v>
          </cell>
          <cell r="Q892">
            <v>2019</v>
          </cell>
          <cell r="T892" t="str">
            <v>Nofima, √Ös, Norway</v>
          </cell>
          <cell r="U892" t="str">
            <v>Production environment</v>
          </cell>
          <cell r="V892" t="str">
            <v>Salmon processing environment</v>
          </cell>
          <cell r="X892" t="str">
            <v>ERR10612130</v>
          </cell>
        </row>
        <row r="893">
          <cell r="G893" t="str">
            <v>/home/projects/cge/backup/fastq/food_seqdata/NextSeq_206/FoodQCPipeline_tmp/conc_fqs/DTU_2022_1015715_1_SI_MF7435_R1_001.fq.gz</v>
          </cell>
          <cell r="H893" t="str">
            <v>/home/projects/cge/backup/fastq/food_seqdata/NextSeq_206/FoodQCPipeline_tmp/conc_fqs/DTU_2022_1015715_1_SI_MF7435_R2_001.fq.gz</v>
          </cell>
          <cell r="I893" t="str">
            <v>MF7435</v>
          </cell>
          <cell r="J893" t="str">
            <v>MF7435</v>
          </cell>
          <cell r="K893" t="str">
            <v>Listeria monocytogenes</v>
          </cell>
          <cell r="L893">
            <v>59911491</v>
          </cell>
          <cell r="M893">
            <v>10757933</v>
          </cell>
          <cell r="N893" t="str">
            <v>Norway</v>
          </cell>
          <cell r="Q893">
            <v>2019</v>
          </cell>
          <cell r="T893" t="str">
            <v>Nofima, √Ös, Norway</v>
          </cell>
          <cell r="U893" t="str">
            <v>Production environment</v>
          </cell>
          <cell r="V893" t="str">
            <v>Salmon processing environment</v>
          </cell>
          <cell r="X893" t="str">
            <v>ERR10612090</v>
          </cell>
        </row>
        <row r="894">
          <cell r="G894" t="str">
            <v>/home/projects/cge/backup/fastq/food_seqdata/NextSeq_206/FoodQCPipeline_tmp/conc_fqs/DTU_2022_1015716_1_SI_MF7627_R1_001.fq.gz</v>
          </cell>
          <cell r="H894" t="str">
            <v>/home/projects/cge/backup/fastq/food_seqdata/NextSeq_206/FoodQCPipeline_tmp/conc_fqs/DTU_2022_1015716_1_SI_MF7627_R2_001.fq.gz</v>
          </cell>
          <cell r="I894" t="str">
            <v>MF7627</v>
          </cell>
          <cell r="J894" t="str">
            <v>MF7627</v>
          </cell>
          <cell r="K894" t="str">
            <v>Listeria monocytogenes</v>
          </cell>
          <cell r="L894">
            <v>59911491</v>
          </cell>
          <cell r="M894">
            <v>10757933</v>
          </cell>
          <cell r="N894" t="str">
            <v>Norway</v>
          </cell>
          <cell r="Q894">
            <v>2019</v>
          </cell>
          <cell r="T894" t="str">
            <v>Nofima, √Ös, Norway</v>
          </cell>
          <cell r="U894" t="str">
            <v>Production environment</v>
          </cell>
          <cell r="V894" t="str">
            <v>Salmon processing environment</v>
          </cell>
          <cell r="X894" t="str">
            <v>ERR10612122</v>
          </cell>
        </row>
        <row r="895">
          <cell r="G895" t="str">
            <v>/home/projects/cge/backup/fastq/food_seqdata/NextSeq_206/FoodQCPipeline_tmp/conc_fqs/DTU_2022_1015717_1_SI_MF7628_R1_001.fq.gz</v>
          </cell>
          <cell r="H895" t="str">
            <v>/home/projects/cge/backup/fastq/food_seqdata/NextSeq_206/FoodQCPipeline_tmp/conc_fqs/DTU_2022_1015717_1_SI_MF7628_R2_001.fq.gz</v>
          </cell>
          <cell r="I895" t="str">
            <v>MF7628</v>
          </cell>
          <cell r="J895" t="str">
            <v>MF7628</v>
          </cell>
          <cell r="K895" t="str">
            <v>Listeria monocytogenes</v>
          </cell>
          <cell r="L895">
            <v>59911491</v>
          </cell>
          <cell r="M895">
            <v>10757933</v>
          </cell>
          <cell r="N895" t="str">
            <v>Norway</v>
          </cell>
          <cell r="Q895">
            <v>2019</v>
          </cell>
          <cell r="T895" t="str">
            <v>Nofima, √Ös, Norway</v>
          </cell>
          <cell r="U895" t="str">
            <v>Production environment</v>
          </cell>
          <cell r="V895" t="str">
            <v>Salmon processing environment</v>
          </cell>
          <cell r="X895" t="str">
            <v>ERR10612111</v>
          </cell>
        </row>
        <row r="896">
          <cell r="G896" t="str">
            <v>/home/projects/cge/backup/fastq/food_seqdata/NextSeq_206/FoodQCPipeline_tmp/conc_fqs/DTU_2022_1015718_1_SI_MF7631_R1_001.fq.gz</v>
          </cell>
          <cell r="H896" t="str">
            <v>/home/projects/cge/backup/fastq/food_seqdata/NextSeq_206/FoodQCPipeline_tmp/conc_fqs/DTU_2022_1015718_1_SI_MF7631_R2_001.fq.gz</v>
          </cell>
          <cell r="I896" t="str">
            <v>MF7631</v>
          </cell>
          <cell r="J896" t="str">
            <v>MF7631</v>
          </cell>
          <cell r="K896" t="str">
            <v>Listeria monocytogenes</v>
          </cell>
          <cell r="L896">
            <v>59911491</v>
          </cell>
          <cell r="M896">
            <v>10757933</v>
          </cell>
          <cell r="N896" t="str">
            <v>Norway</v>
          </cell>
          <cell r="Q896">
            <v>2019</v>
          </cell>
          <cell r="T896" t="str">
            <v>Nofima, √Ös, Norway</v>
          </cell>
          <cell r="U896" t="str">
            <v>Production environment</v>
          </cell>
          <cell r="V896" t="str">
            <v>Meat processing environment</v>
          </cell>
          <cell r="X896" t="str">
            <v>ERR10612141</v>
          </cell>
        </row>
        <row r="897">
          <cell r="G897" t="str">
            <v>/home/projects/cge/backup/fastq/food_seqdata/NextSeq_206/FoodQCPipeline_tmp/conc_fqs/DTU_2022_1015719_1_SI_MF7632_R1_001.fq.gz</v>
          </cell>
          <cell r="H897" t="str">
            <v>/home/projects/cge/backup/fastq/food_seqdata/NextSeq_206/FoodQCPipeline_tmp/conc_fqs/DTU_2022_1015719_1_SI_MF7632_R2_001.fq.gz</v>
          </cell>
          <cell r="I897" t="str">
            <v>MF7632</v>
          </cell>
          <cell r="J897" t="str">
            <v>MF7632</v>
          </cell>
          <cell r="K897" t="str">
            <v>Listeria monocytogenes</v>
          </cell>
          <cell r="L897">
            <v>59911491</v>
          </cell>
          <cell r="M897">
            <v>10757933</v>
          </cell>
          <cell r="N897" t="str">
            <v>Norway</v>
          </cell>
          <cell r="Q897">
            <v>2019</v>
          </cell>
          <cell r="T897" t="str">
            <v>Nofima, √Ös, Norway</v>
          </cell>
          <cell r="U897" t="str">
            <v>Production environment</v>
          </cell>
          <cell r="V897" t="str">
            <v>Meat processing environment</v>
          </cell>
          <cell r="X897" t="str">
            <v>ERR10612120</v>
          </cell>
        </row>
        <row r="898">
          <cell r="G898" t="str">
            <v>/home/projects/cge/backup/fastq/food_seqdata/NextSeq_206/FoodQCPipeline_tmp/conc_fqs/DTU_2022_1015720_1_SI_MF7633_R1_001.fq.gz</v>
          </cell>
          <cell r="H898" t="str">
            <v>/home/projects/cge/backup/fastq/food_seqdata/NextSeq_206/FoodQCPipeline_tmp/conc_fqs/DTU_2022_1015720_1_SI_MF7633_R2_001.fq.gz</v>
          </cell>
          <cell r="I898" t="str">
            <v>MF7633</v>
          </cell>
          <cell r="J898" t="str">
            <v>MF7633</v>
          </cell>
          <cell r="K898" t="str">
            <v>Listeria monocytogenes</v>
          </cell>
          <cell r="L898">
            <v>59911491</v>
          </cell>
          <cell r="M898">
            <v>10757933</v>
          </cell>
          <cell r="N898" t="str">
            <v>Norway</v>
          </cell>
          <cell r="Q898">
            <v>2019</v>
          </cell>
          <cell r="T898" t="str">
            <v>Nofima, √Ös, Norway</v>
          </cell>
          <cell r="U898" t="str">
            <v>Production environment</v>
          </cell>
          <cell r="V898" t="str">
            <v>Meat processing environment</v>
          </cell>
          <cell r="X898" t="str">
            <v>ERR10612110</v>
          </cell>
        </row>
        <row r="899">
          <cell r="G899" t="str">
            <v>/home/projects/cge/backup/fastq/food_seqdata/NextSeq_206/FoodQCPipeline_tmp/conc_fqs/DTU_2022_1015721_1_SI_MF7638_R1_001.fq.gz</v>
          </cell>
          <cell r="H899" t="str">
            <v>/home/projects/cge/backup/fastq/food_seqdata/NextSeq_206/FoodQCPipeline_tmp/conc_fqs/DTU_2022_1015721_1_SI_MF7638_R2_001.fq.gz</v>
          </cell>
          <cell r="I899" t="str">
            <v>MF7638</v>
          </cell>
          <cell r="J899" t="str">
            <v>MF7638</v>
          </cell>
          <cell r="K899" t="str">
            <v>Listeria monocytogenes</v>
          </cell>
          <cell r="L899">
            <v>59911491</v>
          </cell>
          <cell r="M899">
            <v>10757933</v>
          </cell>
          <cell r="N899" t="str">
            <v>Norway</v>
          </cell>
          <cell r="Q899">
            <v>2019</v>
          </cell>
          <cell r="T899" t="str">
            <v>Nofima, √Ös, Norway</v>
          </cell>
          <cell r="U899" t="str">
            <v>Production environment</v>
          </cell>
          <cell r="V899" t="str">
            <v>Meat processing environment</v>
          </cell>
          <cell r="X899" t="str">
            <v>ERR10612114</v>
          </cell>
        </row>
        <row r="900">
          <cell r="G900" t="str">
            <v>/home/projects/cge/backup/fastq/food_seqdata/NextSeq_203/FoodQCPipeline_tmp/conc_fqs/DTU_2022_1015540_1_SI_45_R1_001.fq.gz</v>
          </cell>
          <cell r="H900" t="str">
            <v>/home/projects/cge/backup/fastq/food_seqdata/NextSeq_203/FoodQCPipeline_tmp/conc_fqs/DTU_2022_1015540_1_SI_45_R2_001.fq.gz</v>
          </cell>
          <cell r="I900">
            <v>45</v>
          </cell>
          <cell r="J900">
            <v>45</v>
          </cell>
          <cell r="K900" t="str">
            <v>Listeria monocytogenes</v>
          </cell>
          <cell r="L900">
            <v>41902782</v>
          </cell>
          <cell r="M900">
            <v>12496366</v>
          </cell>
          <cell r="N900" t="str">
            <v>Italy</v>
          </cell>
          <cell r="Q900">
            <v>2014</v>
          </cell>
          <cell r="T900" t="str">
            <v>Istituto Zooprofilattico Sperimentale dell ‚ÄòAbruzzo e del Molise "Giuseppe Caporale", Teramo, Italy</v>
          </cell>
          <cell r="U900" t="str">
            <v>Food</v>
          </cell>
          <cell r="V900" t="str">
            <v>SCAMORZA CHEESE</v>
          </cell>
          <cell r="X900" t="str">
            <v>ERR10549829</v>
          </cell>
        </row>
        <row r="901">
          <cell r="G901" t="str">
            <v>/home/projects/cge/backup/fastq/food_seqdata/NextSeq_203/FoodQCPipeline_tmp/conc_fqs/DTU_2022_1015549_1_SI_54_R1_001.fq.gz</v>
          </cell>
          <cell r="H901" t="str">
            <v>/home/projects/cge/backup/fastq/food_seqdata/NextSeq_203/FoodQCPipeline_tmp/conc_fqs/DTU_2022_1015549_1_SI_54_R2_001.fq.gz</v>
          </cell>
          <cell r="I901">
            <v>54</v>
          </cell>
          <cell r="J901">
            <v>54</v>
          </cell>
          <cell r="K901" t="str">
            <v>Listeria monocytogenes</v>
          </cell>
          <cell r="L901">
            <v>41902782</v>
          </cell>
          <cell r="M901">
            <v>12496366</v>
          </cell>
          <cell r="N901" t="str">
            <v>Italy</v>
          </cell>
          <cell r="Q901">
            <v>2014</v>
          </cell>
          <cell r="T901" t="str">
            <v>Istituto Zooprofilattico Sperimentale dell ‚ÄòAbruzzo e del Molise "Giuseppe Caporale", Teramo, Italy</v>
          </cell>
          <cell r="U901" t="str">
            <v>Food</v>
          </cell>
          <cell r="V901" t="str">
            <v>STRACCHINO CHEESE</v>
          </cell>
          <cell r="X901" t="str">
            <v>ERR10549835</v>
          </cell>
        </row>
        <row r="902">
          <cell r="G902" t="str">
            <v>/home/projects/cge/backup/fastq/food_seqdata/NextSeq_203/FoodQCPipeline_tmp/conc_fqs/DTU_2022_1015550_1_SI_55_R1_001.fq.gz</v>
          </cell>
          <cell r="H902" t="str">
            <v>/home/projects/cge/backup/fastq/food_seqdata/NextSeq_203/FoodQCPipeline_tmp/conc_fqs/DTU_2022_1015550_1_SI_55_R2_001.fq.gz</v>
          </cell>
          <cell r="I902">
            <v>55</v>
          </cell>
          <cell r="J902">
            <v>55</v>
          </cell>
          <cell r="K902" t="str">
            <v>Listeria monocytogenes</v>
          </cell>
          <cell r="L902">
            <v>41902782</v>
          </cell>
          <cell r="M902">
            <v>12496366</v>
          </cell>
          <cell r="N902" t="str">
            <v>Italy</v>
          </cell>
          <cell r="Q902">
            <v>2014</v>
          </cell>
          <cell r="T902" t="str">
            <v>Istituto Zooprofilattico Sperimentale dell ‚ÄòAbruzzo e del Molise "Giuseppe Caporale", Teramo, Italy</v>
          </cell>
          <cell r="U902" t="str">
            <v>Food</v>
          </cell>
          <cell r="V902" t="str">
            <v xml:space="preserve">SALSICCIA (DRIED SAUSAGE) </v>
          </cell>
          <cell r="X902" t="str">
            <v>ERR10549816</v>
          </cell>
        </row>
        <row r="903">
          <cell r="G903" t="str">
            <v>/home/projects/cge/backup/fastq/food_seqdata/NextSeq_203/FoodQCPipeline_tmp/conc_fqs/DTU_2022_1015551_1_SI_56_R1_001.fq.gz</v>
          </cell>
          <cell r="H903" t="str">
            <v>/home/projects/cge/backup/fastq/food_seqdata/NextSeq_203/FoodQCPipeline_tmp/conc_fqs/DTU_2022_1015551_1_SI_56_R2_001.fq.gz</v>
          </cell>
          <cell r="I903">
            <v>56</v>
          </cell>
          <cell r="J903">
            <v>56</v>
          </cell>
          <cell r="K903" t="str">
            <v>Listeria monocytogenes</v>
          </cell>
          <cell r="L903">
            <v>41902782</v>
          </cell>
          <cell r="M903">
            <v>12496366</v>
          </cell>
          <cell r="N903" t="str">
            <v>Italy</v>
          </cell>
          <cell r="Q903">
            <v>2014</v>
          </cell>
          <cell r="T903" t="str">
            <v>Istituto Zooprofilattico Sperimentale dell ‚ÄòAbruzzo e del Molise "Giuseppe Caporale", Teramo, Italy</v>
          </cell>
          <cell r="U903" t="str">
            <v>Food</v>
          </cell>
          <cell r="V903" t="str">
            <v xml:space="preserve">SALSICCIA (DRIED SAUSAGE) </v>
          </cell>
          <cell r="X903" t="str">
            <v>ERR10549860</v>
          </cell>
        </row>
        <row r="904">
          <cell r="G904" t="str">
            <v>/home/projects/cge/backup/fastq/food_seqdata/NextSeq_203/FoodQCPipeline_tmp/conc_fqs/DTU_2022_1015553_1_SI_58_R1_001.fq.gz</v>
          </cell>
          <cell r="H904" t="str">
            <v>/home/projects/cge/backup/fastq/food_seqdata/NextSeq_203/FoodQCPipeline_tmp/conc_fqs/DTU_2022_1015553_1_SI_58_R2_001.fq.gz</v>
          </cell>
          <cell r="I904">
            <v>58</v>
          </cell>
          <cell r="J904">
            <v>58</v>
          </cell>
          <cell r="K904" t="str">
            <v>Listeria monocytogenes</v>
          </cell>
          <cell r="L904">
            <v>41902782</v>
          </cell>
          <cell r="M904">
            <v>12496366</v>
          </cell>
          <cell r="N904" t="str">
            <v>Italy</v>
          </cell>
          <cell r="Q904">
            <v>2014</v>
          </cell>
          <cell r="T904" t="str">
            <v>Istituto Zooprofilattico Sperimentale dell ‚ÄòAbruzzo e del Molise "Giuseppe Caporale", Teramo, Italy</v>
          </cell>
          <cell r="U904" t="str">
            <v>Food</v>
          </cell>
          <cell r="V904" t="str">
            <v>SALAME</v>
          </cell>
          <cell r="X904" t="str">
            <v>ERR10549821</v>
          </cell>
        </row>
        <row r="905">
          <cell r="G905" t="str">
            <v>/home/projects/cge/backup/fastq/food_seqdata/NextSeq_203/FoodQCPipeline_tmp/conc_fqs/DTU_2022_1015554_1_SI_59_R1_001.fq.gz</v>
          </cell>
          <cell r="H905" t="str">
            <v>/home/projects/cge/backup/fastq/food_seqdata/NextSeq_203/FoodQCPipeline_tmp/conc_fqs/DTU_2022_1015554_1_SI_59_R2_001.fq.gz</v>
          </cell>
          <cell r="I905">
            <v>59</v>
          </cell>
          <cell r="J905">
            <v>59</v>
          </cell>
          <cell r="K905" t="str">
            <v>Listeria monocytogenes</v>
          </cell>
          <cell r="L905">
            <v>41902782</v>
          </cell>
          <cell r="M905">
            <v>12496366</v>
          </cell>
          <cell r="N905" t="str">
            <v>Italy</v>
          </cell>
          <cell r="Q905">
            <v>2014</v>
          </cell>
          <cell r="T905" t="str">
            <v>Istituto Zooprofilattico Sperimentale dell ‚ÄòAbruzzo e del Molise "Giuseppe Caporale", Teramo, Italy</v>
          </cell>
          <cell r="U905" t="str">
            <v>Food</v>
          </cell>
          <cell r="V905" t="str">
            <v>SALAME</v>
          </cell>
          <cell r="X905" t="str">
            <v>ERR10549833</v>
          </cell>
        </row>
        <row r="906">
          <cell r="G906" t="str">
            <v>/home/projects/cge/backup/fastq/food_seqdata/NextSeq_203/FoodQCPipeline_tmp/conc_fqs/DTU_2022_1015555_1_SI_60_R1_001.fq.gz</v>
          </cell>
          <cell r="H906" t="str">
            <v>/home/projects/cge/backup/fastq/food_seqdata/NextSeq_203/FoodQCPipeline_tmp/conc_fqs/DTU_2022_1015555_1_SI_60_R2_001.fq.gz</v>
          </cell>
          <cell r="I906">
            <v>60</v>
          </cell>
          <cell r="J906">
            <v>60</v>
          </cell>
          <cell r="K906" t="str">
            <v>Listeria monocytogenes</v>
          </cell>
          <cell r="L906">
            <v>41902782</v>
          </cell>
          <cell r="M906">
            <v>12496366</v>
          </cell>
          <cell r="N906" t="str">
            <v>Italy</v>
          </cell>
          <cell r="Q906">
            <v>2014</v>
          </cell>
          <cell r="T906" t="str">
            <v>Istituto Zooprofilattico Sperimentale dell ‚ÄòAbruzzo e del Molise "Giuseppe Caporale", Teramo, Italy</v>
          </cell>
          <cell r="U906" t="str">
            <v>Food</v>
          </cell>
          <cell r="V906" t="str">
            <v>COPPA</v>
          </cell>
          <cell r="X906" t="str">
            <v>ERR10549828</v>
          </cell>
        </row>
        <row r="907">
          <cell r="G907" t="str">
            <v>/home/projects/cge/backup/fastq/food_seqdata/NextSeq_203/FoodQCPipeline_tmp/conc_fqs/DTU_2022_1015556_1_SI_61_R1_001.fq.gz</v>
          </cell>
          <cell r="H907" t="str">
            <v>/home/projects/cge/backup/fastq/food_seqdata/NextSeq_203/FoodQCPipeline_tmp/conc_fqs/DTU_2022_1015556_1_SI_61_R2_001.fq.gz</v>
          </cell>
          <cell r="I907">
            <v>61</v>
          </cell>
          <cell r="J907">
            <v>61</v>
          </cell>
          <cell r="K907" t="str">
            <v>Listeria monocytogenes</v>
          </cell>
          <cell r="L907">
            <v>41902782</v>
          </cell>
          <cell r="M907">
            <v>12496366</v>
          </cell>
          <cell r="N907" t="str">
            <v>Italy</v>
          </cell>
          <cell r="Q907">
            <v>2014</v>
          </cell>
          <cell r="T907" t="str">
            <v>Istituto Zooprofilattico Sperimentale dell ‚ÄòAbruzzo e del Molise "Giuseppe Caporale", Teramo, Italy</v>
          </cell>
          <cell r="U907" t="str">
            <v>Food</v>
          </cell>
          <cell r="V907" t="str">
            <v>SALAME</v>
          </cell>
          <cell r="X907" t="str">
            <v>ERR10549845</v>
          </cell>
        </row>
        <row r="908">
          <cell r="G908" t="str">
            <v>/home/projects/cge/backup/fastq/food_seqdata/NextSeq_209/FoodQCPipeline_tmp/conc_fqs/DTU_2022_1015557_2_SI_62_R1_001.fq.gz</v>
          </cell>
          <cell r="H908" t="str">
            <v>/home/projects/cge/backup/fastq/food_seqdata/NextSeq_209/FoodQCPipeline_tmp/conc_fqs/DTU_2022_1015557_2_SI_62_R2_001.fq.gz</v>
          </cell>
          <cell r="I908">
            <v>62</v>
          </cell>
          <cell r="J908">
            <v>62</v>
          </cell>
          <cell r="K908" t="str">
            <v>Listeria monocytogenes</v>
          </cell>
          <cell r="L908">
            <v>41902782</v>
          </cell>
          <cell r="M908">
            <v>12496366</v>
          </cell>
          <cell r="N908" t="str">
            <v>Italy</v>
          </cell>
          <cell r="Q908">
            <v>2014</v>
          </cell>
          <cell r="T908" t="str">
            <v>Istituto Zooprofilattico Sperimentale dell ‚ÄòAbruzzo e del Molise "Giuseppe Caporale", Teramo, Italy</v>
          </cell>
          <cell r="U908" t="str">
            <v>Food</v>
          </cell>
          <cell r="V908" t="str">
            <v>PREPARAZIONI ALIMENTARI MISTE E PREPARAZIONI GASTRONOMICHE</v>
          </cell>
          <cell r="X908" t="str">
            <v>ERR10611944</v>
          </cell>
        </row>
        <row r="909">
          <cell r="G909" t="str">
            <v>/home/projects/cge/backup/fastq/food_seqdata/NextSeq_203/FoodQCPipeline_tmp/conc_fqs/DTU_2022_1015558_1_SI_63_R1_001.fq.gz</v>
          </cell>
          <cell r="H909" t="str">
            <v>/home/projects/cge/backup/fastq/food_seqdata/NextSeq_203/FoodQCPipeline_tmp/conc_fqs/DTU_2022_1015558_1_SI_63_R2_001.fq.gz</v>
          </cell>
          <cell r="I909">
            <v>63</v>
          </cell>
          <cell r="J909">
            <v>63</v>
          </cell>
          <cell r="K909" t="str">
            <v>Listeria monocytogenes</v>
          </cell>
          <cell r="L909">
            <v>41902782</v>
          </cell>
          <cell r="M909">
            <v>12496366</v>
          </cell>
          <cell r="N909" t="str">
            <v>Italy</v>
          </cell>
          <cell r="Q909">
            <v>2014</v>
          </cell>
          <cell r="T909" t="str">
            <v>Istituto Zooprofilattico Sperimentale dell ‚ÄòAbruzzo e del Molise "Giuseppe Caporale", Teramo, Italy</v>
          </cell>
          <cell r="U909" t="str">
            <v>Food</v>
          </cell>
          <cell r="V909" t="str">
            <v>SALAME</v>
          </cell>
          <cell r="X909" t="str">
            <v>ERR10549822</v>
          </cell>
        </row>
        <row r="910">
          <cell r="G910" t="str">
            <v>/home/projects/cge/backup/fastq/food_seqdata/NextSeq_203/FoodQCPipeline_tmp/conc_fqs/DTU_2022_1015559_1_SI_64_R1_001.fq.gz</v>
          </cell>
          <cell r="H910" t="str">
            <v>/home/projects/cge/backup/fastq/food_seqdata/NextSeq_203/FoodQCPipeline_tmp/conc_fqs/DTU_2022_1015559_1_SI_64_R2_001.fq.gz</v>
          </cell>
          <cell r="I910">
            <v>64</v>
          </cell>
          <cell r="J910">
            <v>64</v>
          </cell>
          <cell r="K910" t="str">
            <v>Listeria monocytogenes</v>
          </cell>
          <cell r="L910">
            <v>41902782</v>
          </cell>
          <cell r="M910">
            <v>12496366</v>
          </cell>
          <cell r="N910" t="str">
            <v>Italy</v>
          </cell>
          <cell r="Q910">
            <v>2014</v>
          </cell>
          <cell r="T910" t="str">
            <v>Istituto Zooprofilattico Sperimentale dell ‚ÄòAbruzzo e del Molise "Giuseppe Caporale", Teramo, Italy</v>
          </cell>
          <cell r="U910" t="str">
            <v>Food</v>
          </cell>
          <cell r="V910" t="str">
            <v>SALAME</v>
          </cell>
          <cell r="X910" t="str">
            <v>ERR10549819</v>
          </cell>
        </row>
        <row r="911">
          <cell r="G911" t="str">
            <v>/home/projects/cge/backup/fastq/food_seqdata/NextSeq_209/FoodQCPipeline_tmp/conc_fqs/DTU_2022_1016674_1_SI_65_R1_001.fq.gz</v>
          </cell>
          <cell r="H911" t="str">
            <v>/home/projects/cge/backup/fastq/food_seqdata/NextSeq_209/FoodQCPipeline_tmp/conc_fqs/DTU_2022_1016674_1_SI_65_R2_001.fq.gz</v>
          </cell>
          <cell r="I911">
            <v>65</v>
          </cell>
          <cell r="J911">
            <v>65</v>
          </cell>
          <cell r="K911" t="str">
            <v>Listeria monocytogenes</v>
          </cell>
          <cell r="L911">
            <v>45424721</v>
          </cell>
          <cell r="M911">
            <v>-75695</v>
          </cell>
          <cell r="N911" t="str">
            <v>Canada</v>
          </cell>
          <cell r="Q911" t="str">
            <v>Unknown</v>
          </cell>
          <cell r="T911" t="str">
            <v xml:space="preserve">University of Ottawa, Ottawa, Ontario, ON, Canada </v>
          </cell>
          <cell r="U911" t="str">
            <v>Food</v>
          </cell>
          <cell r="V911" t="str">
            <v>Meat (food)</v>
          </cell>
          <cell r="X911" t="str">
            <v>ERR10549832</v>
          </cell>
        </row>
        <row r="912">
          <cell r="G912" t="str">
            <v>/home/projects/cge/backup/fastq/food_seqdata/NextSeq_203/FoodQCPipeline_tmp/conc_fqs/DTU_2022_1015561_1_SI_66_R1_001.fq.gz</v>
          </cell>
          <cell r="H912" t="str">
            <v>/home/projects/cge/backup/fastq/food_seqdata/NextSeq_203/FoodQCPipeline_tmp/conc_fqs/DTU_2022_1015561_1_SI_66_R2_001.fq.gz</v>
          </cell>
          <cell r="I912">
            <v>66</v>
          </cell>
          <cell r="J912">
            <v>66</v>
          </cell>
          <cell r="K912" t="str">
            <v>Listeria monocytogenes</v>
          </cell>
          <cell r="L912">
            <v>41902782</v>
          </cell>
          <cell r="M912">
            <v>12496366</v>
          </cell>
          <cell r="N912" t="str">
            <v>Italy</v>
          </cell>
          <cell r="Q912">
            <v>2014</v>
          </cell>
          <cell r="T912" t="str">
            <v>Istituto Zooprofilattico Sperimentale dell ‚ÄòAbruzzo e del Molise "Giuseppe Caporale", Teramo, Italy</v>
          </cell>
          <cell r="U912" t="str">
            <v>Food</v>
          </cell>
          <cell r="V912" t="str">
            <v>SALAME</v>
          </cell>
          <cell r="X912" t="str">
            <v>ERR10549830</v>
          </cell>
        </row>
        <row r="913">
          <cell r="G913" t="str">
            <v>/home/projects/cge/backup/fastq/food_seqdata/NextSeq_203/FoodQCPipeline_tmp/conc_fqs/DTU_2022_1015562_1_SI_67_R1_001.fq.gz</v>
          </cell>
          <cell r="H913" t="str">
            <v>/home/projects/cge/backup/fastq/food_seqdata/NextSeq_203/FoodQCPipeline_tmp/conc_fqs/DTU_2022_1015562_1_SI_67_R2_001.fq.gz</v>
          </cell>
          <cell r="I913">
            <v>67</v>
          </cell>
          <cell r="J913">
            <v>67</v>
          </cell>
          <cell r="K913" t="str">
            <v>Listeria monocytogenes</v>
          </cell>
          <cell r="L913">
            <v>41902782</v>
          </cell>
          <cell r="M913">
            <v>12496366</v>
          </cell>
          <cell r="N913" t="str">
            <v>Italy</v>
          </cell>
          <cell r="Q913">
            <v>2014</v>
          </cell>
          <cell r="T913" t="str">
            <v>Istituto Zooprofilattico Sperimentale dell ‚ÄòAbruzzo e del Molise "Giuseppe Caporale", Teramo, Italy</v>
          </cell>
          <cell r="U913" t="str">
            <v>Food</v>
          </cell>
          <cell r="V913" t="str">
            <v>SALAME</v>
          </cell>
          <cell r="X913" t="str">
            <v>ERR10549826</v>
          </cell>
        </row>
        <row r="914">
          <cell r="G914" t="str">
            <v>/home/projects/cge/backup/fastq/food_seqdata/NextSeq_203/FoodQCPipeline_tmp/conc_fqs/DTU_2022_1015563_1_SI_68_R1_001.fq.gz</v>
          </cell>
          <cell r="H914" t="str">
            <v>/home/projects/cge/backup/fastq/food_seqdata/NextSeq_203/FoodQCPipeline_tmp/conc_fqs/DTU_2022_1015563_1_SI_68_R2_001.fq.gz</v>
          </cell>
          <cell r="I914">
            <v>68</v>
          </cell>
          <cell r="J914">
            <v>68</v>
          </cell>
          <cell r="K914" t="str">
            <v>Listeria monocytogenes</v>
          </cell>
          <cell r="L914">
            <v>41902782</v>
          </cell>
          <cell r="M914">
            <v>12496366</v>
          </cell>
          <cell r="N914" t="str">
            <v>Italy</v>
          </cell>
          <cell r="Q914">
            <v>2014</v>
          </cell>
          <cell r="T914" t="str">
            <v>Istituto Zooprofilattico Sperimentale dell ‚ÄòAbruzzo e del Molise "Giuseppe Caporale", Teramo, Italy</v>
          </cell>
          <cell r="U914" t="str">
            <v>Food</v>
          </cell>
          <cell r="V914" t="str">
            <v>SALAME</v>
          </cell>
          <cell r="X914" t="str">
            <v>ERR10549859</v>
          </cell>
        </row>
        <row r="915">
          <cell r="G915" t="str">
            <v>/home/projects/cge/backup/fastq/food_seqdata/NextSeq_203/FoodQCPipeline_tmp/conc_fqs/DTU_2022_1015564_1_SI_69_R1_001.fq.gz</v>
          </cell>
          <cell r="H915" t="str">
            <v>/home/projects/cge/backup/fastq/food_seqdata/NextSeq_203/FoodQCPipeline_tmp/conc_fqs/DTU_2022_1015564_1_SI_69_R2_001.fq.gz</v>
          </cell>
          <cell r="I915">
            <v>69</v>
          </cell>
          <cell r="J915">
            <v>69</v>
          </cell>
          <cell r="K915" t="str">
            <v>Listeria monocytogenes</v>
          </cell>
          <cell r="L915">
            <v>41902782</v>
          </cell>
          <cell r="M915">
            <v>12496366</v>
          </cell>
          <cell r="N915" t="str">
            <v>Italy</v>
          </cell>
          <cell r="Q915">
            <v>2014</v>
          </cell>
          <cell r="T915" t="str">
            <v>Istituto Zooprofilattico Sperimentale dell ‚ÄòAbruzzo e del Molise "Giuseppe Caporale", Teramo, Italy</v>
          </cell>
          <cell r="U915" t="str">
            <v>Food</v>
          </cell>
          <cell r="V915" t="str">
            <v>SALAME</v>
          </cell>
          <cell r="X915" t="str">
            <v>ERR10549834</v>
          </cell>
        </row>
        <row r="916">
          <cell r="G916" t="str">
            <v>/home/projects/cge/backup/fastq/food_seqdata/NextSeq_203/FoodQCPipeline_tmp/conc_fqs/DTU_2022_1015565_1_SI_70_R1_001.fq.gz</v>
          </cell>
          <cell r="H916" t="str">
            <v>/home/projects/cge/backup/fastq/food_seqdata/NextSeq_203/FoodQCPipeline_tmp/conc_fqs/DTU_2022_1015565_1_SI_70_R2_001.fq.gz</v>
          </cell>
          <cell r="I916">
            <v>70</v>
          </cell>
          <cell r="J916">
            <v>70</v>
          </cell>
          <cell r="K916" t="str">
            <v>Listeria monocytogenes</v>
          </cell>
          <cell r="L916">
            <v>41902782</v>
          </cell>
          <cell r="M916">
            <v>12496366</v>
          </cell>
          <cell r="N916" t="str">
            <v>Italy</v>
          </cell>
          <cell r="Q916">
            <v>2014</v>
          </cell>
          <cell r="T916" t="str">
            <v>Istituto Zooprofilattico Sperimentale dell ‚ÄòAbruzzo e del Molise "Giuseppe Caporale", Teramo, Italy</v>
          </cell>
          <cell r="U916" t="str">
            <v>Food</v>
          </cell>
          <cell r="V916" t="str">
            <v>SALAME</v>
          </cell>
          <cell r="X916" t="str">
            <v>ERR10549823</v>
          </cell>
        </row>
        <row r="917">
          <cell r="G917" t="str">
            <v>/home/projects/cge/backup/fastq/food_seqdata/NextSeq_203/FoodQCPipeline_tmp/conc_fqs/DTU_2022_1015566_1_SI_71_R1_001.fq.gz</v>
          </cell>
          <cell r="H917" t="str">
            <v>/home/projects/cge/backup/fastq/food_seqdata/NextSeq_203/FoodQCPipeline_tmp/conc_fqs/DTU_2022_1015566_1_SI_71_R2_001.fq.gz</v>
          </cell>
          <cell r="I917">
            <v>71</v>
          </cell>
          <cell r="J917">
            <v>71</v>
          </cell>
          <cell r="K917" t="str">
            <v>Listeria monocytogenes</v>
          </cell>
          <cell r="L917">
            <v>41902782</v>
          </cell>
          <cell r="M917">
            <v>12496366</v>
          </cell>
          <cell r="N917" t="str">
            <v>Italy</v>
          </cell>
          <cell r="Q917">
            <v>2014</v>
          </cell>
          <cell r="T917" t="str">
            <v>Istituto Zooprofilattico Sperimentale dell ‚ÄòAbruzzo e del Molise "Giuseppe Caporale", Teramo, Italy</v>
          </cell>
          <cell r="U917" t="str">
            <v>Food</v>
          </cell>
          <cell r="V917" t="str">
            <v>SALAME</v>
          </cell>
          <cell r="X917" t="str">
            <v>ERR10549854</v>
          </cell>
        </row>
        <row r="918">
          <cell r="G918" t="str">
            <v>/home/projects/cge/backup/fastq/food_seqdata/NextSeq_203/FoodQCPipeline_tmp/conc_fqs/DTU_2022_1015567_1_SI_72_R1_001.fq.gz</v>
          </cell>
          <cell r="H918" t="str">
            <v>/home/projects/cge/backup/fastq/food_seqdata/NextSeq_203/FoodQCPipeline_tmp/conc_fqs/DTU_2022_1015567_1_SI_72_R2_001.fq.gz</v>
          </cell>
          <cell r="I918">
            <v>72</v>
          </cell>
          <cell r="J918">
            <v>72</v>
          </cell>
          <cell r="K918" t="str">
            <v>Listeria monocytogenes</v>
          </cell>
          <cell r="L918">
            <v>41902782</v>
          </cell>
          <cell r="M918">
            <v>12496366</v>
          </cell>
          <cell r="N918" t="str">
            <v>Italy</v>
          </cell>
          <cell r="Q918">
            <v>2014</v>
          </cell>
          <cell r="T918" t="str">
            <v>Istituto Zooprofilattico Sperimentale dell ‚ÄòAbruzzo e del Molise "Giuseppe Caporale", Teramo, Italy</v>
          </cell>
          <cell r="U918" t="str">
            <v>Food</v>
          </cell>
          <cell r="V918" t="str">
            <v>PECORINO CHEESE</v>
          </cell>
          <cell r="X918" t="str">
            <v>ERR10549825</v>
          </cell>
        </row>
        <row r="919">
          <cell r="G919" t="str">
            <v>/home/projects/cge/backup/fastq/food_seqdata/NextSeq_203/FoodQCPipeline_tmp/conc_fqs/DTU_2022_1015568_1_SI_73_R1_001.fq.gz</v>
          </cell>
          <cell r="H919" t="str">
            <v>/home/projects/cge/backup/fastq/food_seqdata/NextSeq_203/FoodQCPipeline_tmp/conc_fqs/DTU_2022_1015568_1_SI_73_R2_001.fq.gz</v>
          </cell>
          <cell r="I919">
            <v>73</v>
          </cell>
          <cell r="J919">
            <v>73</v>
          </cell>
          <cell r="K919" t="str">
            <v>Listeria monocytogenes</v>
          </cell>
          <cell r="L919">
            <v>41902782</v>
          </cell>
          <cell r="M919">
            <v>12496366</v>
          </cell>
          <cell r="N919" t="str">
            <v>Italy</v>
          </cell>
          <cell r="Q919">
            <v>2014</v>
          </cell>
          <cell r="T919" t="str">
            <v>Istituto Zooprofilattico Sperimentale dell ‚ÄòAbruzzo e del Molise "Giuseppe Caporale", Teramo, Italy</v>
          </cell>
          <cell r="U919" t="str">
            <v>Food</v>
          </cell>
          <cell r="V919" t="str">
            <v>PECORINO CHEESE</v>
          </cell>
          <cell r="X919" t="str">
            <v>ERR10549847</v>
          </cell>
        </row>
        <row r="920">
          <cell r="G920" t="str">
            <v>/home/projects/cge/backup/fastq/food_seqdata/NextSeq_209/FoodQCPipeline_tmp/conc_fqs/DTU_2022_1015569_2_SI_74_R1_001.fq.gz</v>
          </cell>
          <cell r="H920" t="str">
            <v>/home/projects/cge/backup/fastq/food_seqdata/NextSeq_209/FoodQCPipeline_tmp/conc_fqs/DTU_2022_1015569_2_SI_74_R2_001.fq.gz</v>
          </cell>
          <cell r="I920">
            <v>74</v>
          </cell>
          <cell r="J920">
            <v>74</v>
          </cell>
          <cell r="K920" t="str">
            <v>Listeria monocytogenes</v>
          </cell>
          <cell r="L920">
            <v>41902782</v>
          </cell>
          <cell r="M920">
            <v>12496366</v>
          </cell>
          <cell r="N920" t="str">
            <v>Italy</v>
          </cell>
          <cell r="Q920">
            <v>2014</v>
          </cell>
          <cell r="T920" t="str">
            <v>Istituto Zooprofilattico Sperimentale dell ‚ÄòAbruzzo e del Molise "Giuseppe Caporale", Teramo, Italy</v>
          </cell>
          <cell r="U920" t="str">
            <v>Food</v>
          </cell>
          <cell r="V920" t="str">
            <v>PECORINO CHEESE</v>
          </cell>
          <cell r="X920" t="str">
            <v>ERR10611983</v>
          </cell>
        </row>
        <row r="921">
          <cell r="G921" t="str">
            <v>/home/projects/cge/backup/fastq/food_seqdata/NextSeq_203/FoodQCPipeline_tmp/conc_fqs/DTU_2022_1015570_1_SI_75_R1_001.fq.gz</v>
          </cell>
          <cell r="H921" t="str">
            <v>/home/projects/cge/backup/fastq/food_seqdata/NextSeq_203/FoodQCPipeline_tmp/conc_fqs/DTU_2022_1015570_1_SI_75_R2_001.fq.gz</v>
          </cell>
          <cell r="I921">
            <v>75</v>
          </cell>
          <cell r="J921">
            <v>75</v>
          </cell>
          <cell r="K921" t="str">
            <v>Listeria monocytogenes</v>
          </cell>
          <cell r="L921">
            <v>41902782</v>
          </cell>
          <cell r="M921">
            <v>12496366</v>
          </cell>
          <cell r="N921" t="str">
            <v>Italy</v>
          </cell>
          <cell r="Q921">
            <v>2014</v>
          </cell>
          <cell r="T921" t="str">
            <v>Istituto Zooprofilattico Sperimentale dell ‚ÄòAbruzzo e del Molise "Giuseppe Caporale", Teramo, Italy</v>
          </cell>
          <cell r="U921" t="str">
            <v>Food</v>
          </cell>
          <cell r="V921" t="str">
            <v>SALAME</v>
          </cell>
          <cell r="X921" t="str">
            <v>ERR10549888</v>
          </cell>
        </row>
        <row r="922">
          <cell r="G922" t="str">
            <v>/home/projects/cge/backup/fastq/food_seqdata/NextSeq_203/FoodQCPipeline_tmp/conc_fqs/DTU_2022_1015571_1_SI_76_R1_001.fq.gz</v>
          </cell>
          <cell r="H922" t="str">
            <v>/home/projects/cge/backup/fastq/food_seqdata/NextSeq_203/FoodQCPipeline_tmp/conc_fqs/DTU_2022_1015571_1_SI_76_R2_001.fq.gz</v>
          </cell>
          <cell r="I922">
            <v>76</v>
          </cell>
          <cell r="J922">
            <v>76</v>
          </cell>
          <cell r="K922" t="str">
            <v>Listeria monocytogenes</v>
          </cell>
          <cell r="L922">
            <v>41902782</v>
          </cell>
          <cell r="M922">
            <v>12496366</v>
          </cell>
          <cell r="N922" t="str">
            <v>Italy</v>
          </cell>
          <cell r="Q922">
            <v>2014</v>
          </cell>
          <cell r="T922" t="str">
            <v>Istituto Zooprofilattico Sperimentale dell ‚ÄòAbruzzo e del Molise "Giuseppe Caporale", Teramo, Italy</v>
          </cell>
          <cell r="U922" t="str">
            <v>Food</v>
          </cell>
          <cell r="V922" t="str">
            <v>SALAME</v>
          </cell>
          <cell r="X922" t="str">
            <v>ERR10549846</v>
          </cell>
        </row>
        <row r="923">
          <cell r="G923" t="str">
            <v>/home/projects/cge/backup/fastq/food_seqdata/NextSeq_203/FoodQCPipeline_tmp/conc_fqs/DTU_2022_1015572_1_SI_77_R1_001.fq.gz</v>
          </cell>
          <cell r="H923" t="str">
            <v>/home/projects/cge/backup/fastq/food_seqdata/NextSeq_203/FoodQCPipeline_tmp/conc_fqs/DTU_2022_1015572_1_SI_77_R2_001.fq.gz</v>
          </cell>
          <cell r="I923">
            <v>77</v>
          </cell>
          <cell r="J923">
            <v>77</v>
          </cell>
          <cell r="K923" t="str">
            <v>Listeria monocytogenes</v>
          </cell>
          <cell r="L923">
            <v>41902782</v>
          </cell>
          <cell r="M923">
            <v>12496366</v>
          </cell>
          <cell r="N923" t="str">
            <v>Italy</v>
          </cell>
          <cell r="Q923">
            <v>2014</v>
          </cell>
          <cell r="T923" t="str">
            <v>Istituto Zooprofilattico Sperimentale dell ‚ÄòAbruzzo e del Molise "Giuseppe Caporale", Teramo, Italy</v>
          </cell>
          <cell r="U923" t="str">
            <v>Food</v>
          </cell>
          <cell r="V923" t="str">
            <v>SALAME</v>
          </cell>
          <cell r="X923" t="str">
            <v>ERR10549870</v>
          </cell>
        </row>
        <row r="924">
          <cell r="G924" t="str">
            <v>/home/projects/cge/backup/fastq/food_seqdata/NextSeq_203/FoodQCPipeline_tmp/conc_fqs/DTU_2022_1015573_1_SI_78_R1_001.fq.gz</v>
          </cell>
          <cell r="H924" t="str">
            <v>/home/projects/cge/backup/fastq/food_seqdata/NextSeq_203/FoodQCPipeline_tmp/conc_fqs/DTU_2022_1015573_1_SI_78_R2_001.fq.gz</v>
          </cell>
          <cell r="I924">
            <v>78</v>
          </cell>
          <cell r="J924">
            <v>78</v>
          </cell>
          <cell r="K924" t="str">
            <v>Listeria monocytogenes</v>
          </cell>
          <cell r="L924">
            <v>41902782</v>
          </cell>
          <cell r="M924">
            <v>12496366</v>
          </cell>
          <cell r="N924" t="str">
            <v>Italy</v>
          </cell>
          <cell r="Q924">
            <v>2014</v>
          </cell>
          <cell r="T924" t="str">
            <v>Istituto Zooprofilattico Sperimentale dell ‚ÄòAbruzzo e del Molise "Giuseppe Caporale", Teramo, Italy</v>
          </cell>
          <cell r="U924" t="str">
            <v>Food</v>
          </cell>
          <cell r="V924" t="str">
            <v>SALAME</v>
          </cell>
          <cell r="X924" t="str">
            <v>ERR10549836</v>
          </cell>
        </row>
        <row r="925">
          <cell r="G925" t="str">
            <v>/home/projects/cge/backup/fastq/food_seqdata/NextSeq_203/FoodQCPipeline_tmp/conc_fqs/DTU_2022_1015574_1_SI_79_R1_001.fq.gz</v>
          </cell>
          <cell r="H925" t="str">
            <v>/home/projects/cge/backup/fastq/food_seqdata/NextSeq_203/FoodQCPipeline_tmp/conc_fqs/DTU_2022_1015574_1_SI_79_R2_001.fq.gz</v>
          </cell>
          <cell r="I925">
            <v>79</v>
          </cell>
          <cell r="J925">
            <v>79</v>
          </cell>
          <cell r="K925" t="str">
            <v>Listeria monocytogenes</v>
          </cell>
          <cell r="L925">
            <v>41902782</v>
          </cell>
          <cell r="M925">
            <v>12496366</v>
          </cell>
          <cell r="N925" t="str">
            <v>Italy</v>
          </cell>
          <cell r="Q925">
            <v>2014</v>
          </cell>
          <cell r="T925" t="str">
            <v>Istituto Zooprofilattico Sperimentale dell ‚ÄòAbruzzo e del Molise "Giuseppe Caporale", Teramo, Italy</v>
          </cell>
          <cell r="U925" t="str">
            <v>Production environment</v>
          </cell>
          <cell r="V925" t="str">
            <v>PREPARAZIONI ALIMENTARI MISTE E PREPARAZIONI GASTRONOMICHE</v>
          </cell>
          <cell r="X925" t="str">
            <v>ERR10549851</v>
          </cell>
        </row>
        <row r="926">
          <cell r="G926" t="str">
            <v>/home/projects/cge/backup/fastq/food_seqdata/NextSeq_203/FoodQCPipeline_tmp/conc_fqs/DTU_2022_1015575_1_SI_80_R1_001.fq.gz</v>
          </cell>
          <cell r="H926" t="str">
            <v>/home/projects/cge/backup/fastq/food_seqdata/NextSeq_203/FoodQCPipeline_tmp/conc_fqs/DTU_2022_1015575_1_SI_80_R2_001.fq.gz</v>
          </cell>
          <cell r="I926">
            <v>80</v>
          </cell>
          <cell r="J926">
            <v>80</v>
          </cell>
          <cell r="K926" t="str">
            <v>Listeria monocytogenes</v>
          </cell>
          <cell r="L926">
            <v>41902782</v>
          </cell>
          <cell r="M926">
            <v>12496366</v>
          </cell>
          <cell r="N926" t="str">
            <v>Italy</v>
          </cell>
          <cell r="Q926">
            <v>2014</v>
          </cell>
          <cell r="T926" t="str">
            <v>Istituto Zooprofilattico Sperimentale dell ‚ÄòAbruzzo e del Molise "Giuseppe Caporale", Teramo, Italy</v>
          </cell>
          <cell r="U926" t="str">
            <v>Food</v>
          </cell>
          <cell r="V926" t="str">
            <v>SALAME</v>
          </cell>
          <cell r="X926" t="str">
            <v>ERR10549931</v>
          </cell>
        </row>
        <row r="927">
          <cell r="G927" t="str">
            <v>/home/projects/cge/backup/fastq/food_seqdata/NextSeq_203/FoodQCPipeline_tmp/conc_fqs/DTU_2022_1015576_1_SI_81_R1_001.fq.gz</v>
          </cell>
          <cell r="H927" t="str">
            <v>/home/projects/cge/backup/fastq/food_seqdata/NextSeq_203/FoodQCPipeline_tmp/conc_fqs/DTU_2022_1015576_1_SI_81_R2_001.fq.gz</v>
          </cell>
          <cell r="I927">
            <v>81</v>
          </cell>
          <cell r="J927">
            <v>81</v>
          </cell>
          <cell r="K927" t="str">
            <v>Listeria monocytogenes</v>
          </cell>
          <cell r="L927">
            <v>41902782</v>
          </cell>
          <cell r="M927">
            <v>12496366</v>
          </cell>
          <cell r="N927" t="str">
            <v>Italy</v>
          </cell>
          <cell r="Q927">
            <v>2014</v>
          </cell>
          <cell r="T927" t="str">
            <v>Istituto Zooprofilattico Sperimentale dell ‚ÄòAbruzzo e del Molise "Giuseppe Caporale", Teramo, Italy</v>
          </cell>
          <cell r="U927" t="str">
            <v>Food</v>
          </cell>
          <cell r="V927" t="str">
            <v>SALAME</v>
          </cell>
          <cell r="X927" t="str">
            <v>ERR10549868</v>
          </cell>
        </row>
        <row r="928">
          <cell r="G928" t="str">
            <v>/home/projects/cge/backup/fastq/food_seqdata/NextSeq_203/FoodQCPipeline_tmp/conc_fqs/DTU_2022_1015577_1_SI_82_R1_001.fq.gz</v>
          </cell>
          <cell r="H928" t="str">
            <v>/home/projects/cge/backup/fastq/food_seqdata/NextSeq_203/FoodQCPipeline_tmp/conc_fqs/DTU_2022_1015577_1_SI_82_R2_001.fq.gz</v>
          </cell>
          <cell r="I928">
            <v>82</v>
          </cell>
          <cell r="J928">
            <v>82</v>
          </cell>
          <cell r="K928" t="str">
            <v>Listeria monocytogenes</v>
          </cell>
          <cell r="L928">
            <v>41902782</v>
          </cell>
          <cell r="M928">
            <v>12496366</v>
          </cell>
          <cell r="N928" t="str">
            <v>Italy</v>
          </cell>
          <cell r="Q928">
            <v>2014</v>
          </cell>
          <cell r="T928" t="str">
            <v>Istituto Zooprofilattico Sperimentale dell ‚ÄòAbruzzo e del Molise "Giuseppe Caporale", Teramo, Italy</v>
          </cell>
          <cell r="U928" t="str">
            <v>Food</v>
          </cell>
          <cell r="V928" t="str">
            <v>COPPA</v>
          </cell>
          <cell r="X928" t="str">
            <v>ERR10549850</v>
          </cell>
        </row>
        <row r="929">
          <cell r="G929" t="str">
            <v>/home/projects/cge/backup/fastq/food_seqdata/NextSeq_203/FoodQCPipeline_tmp/conc_fqs/DTU_2022_1015578_1_SI_83_R1_001.fq.gz</v>
          </cell>
          <cell r="H929" t="str">
            <v>/home/projects/cge/backup/fastq/food_seqdata/NextSeq_203/FoodQCPipeline_tmp/conc_fqs/DTU_2022_1015578_1_SI_83_R2_001.fq.gz</v>
          </cell>
          <cell r="I929">
            <v>83</v>
          </cell>
          <cell r="J929">
            <v>83</v>
          </cell>
          <cell r="K929" t="str">
            <v>Listeria monocytogenes</v>
          </cell>
          <cell r="L929">
            <v>41902782</v>
          </cell>
          <cell r="M929">
            <v>12496366</v>
          </cell>
          <cell r="N929" t="str">
            <v>Italy</v>
          </cell>
          <cell r="Q929">
            <v>2014</v>
          </cell>
          <cell r="T929" t="str">
            <v>Istituto Zooprofilattico Sperimentale dell ‚ÄòAbruzzo e del Molise "Giuseppe Caporale", Teramo, Italy</v>
          </cell>
          <cell r="U929" t="str">
            <v>Food</v>
          </cell>
          <cell r="V929" t="str">
            <v>COPPA</v>
          </cell>
          <cell r="X929" t="str">
            <v>ERR10549856</v>
          </cell>
        </row>
        <row r="930">
          <cell r="G930" t="str">
            <v>/home/projects/cge/backup/fastq/food_seqdata/NextSeq_203/FoodQCPipeline_tmp/conc_fqs/DTU_2022_1015579_1_SI_84_R1_001.fq.gz</v>
          </cell>
          <cell r="H930" t="str">
            <v>/home/projects/cge/backup/fastq/food_seqdata/NextSeq_203/FoodQCPipeline_tmp/conc_fqs/DTU_2022_1015579_1_SI_84_R2_001.fq.gz</v>
          </cell>
          <cell r="I930">
            <v>84</v>
          </cell>
          <cell r="J930">
            <v>84</v>
          </cell>
          <cell r="K930" t="str">
            <v>Listeria monocytogenes</v>
          </cell>
          <cell r="L930">
            <v>41902782</v>
          </cell>
          <cell r="M930">
            <v>12496366</v>
          </cell>
          <cell r="N930" t="str">
            <v>Italy</v>
          </cell>
          <cell r="Q930">
            <v>2014</v>
          </cell>
          <cell r="T930" t="str">
            <v>Istituto Zooprofilattico Sperimentale dell ‚ÄòAbruzzo e del Molise "Giuseppe Caporale", Teramo, Italy</v>
          </cell>
          <cell r="U930" t="str">
            <v>Food</v>
          </cell>
          <cell r="V930" t="str">
            <v xml:space="preserve">SALSICCIA (DRIED SAUSAGE) </v>
          </cell>
          <cell r="X930" t="str">
            <v>ERR10549831</v>
          </cell>
        </row>
        <row r="931">
          <cell r="G931" t="str">
            <v>/home/projects/cge/backup/fastq/food_seqdata/NextSeq_198/FoodQCPipeline_tmp/conc_fqs/DTU_2022_1015410_1_SI_85_R1_001.fq.gz</v>
          </cell>
          <cell r="H931" t="str">
            <v>/home/projects/cge/backup/fastq/food_seqdata/NextSeq_198/FoodQCPipeline_tmp/conc_fqs/DTU_2022_1015410_1_SI_85_R2_001.fq.gz</v>
          </cell>
          <cell r="I931">
            <v>85</v>
          </cell>
          <cell r="J931">
            <v>85</v>
          </cell>
          <cell r="K931" t="str">
            <v>Listeria monocytogenes</v>
          </cell>
          <cell r="L931">
            <v>52520008</v>
          </cell>
          <cell r="M931">
            <v>13404954</v>
          </cell>
          <cell r="N931" t="str">
            <v>Germany</v>
          </cell>
          <cell r="Q931">
            <v>2005</v>
          </cell>
          <cell r="T931" t="str">
            <v>Ludwig-Maximilians-University Munich, Munich, Germany</v>
          </cell>
          <cell r="U931" t="str">
            <v>Food</v>
          </cell>
          <cell r="X931" t="str">
            <v>ERR10549840</v>
          </cell>
        </row>
        <row r="932">
          <cell r="G932" t="str">
            <v>/home/projects/cge/backup/fastq/food_seqdata/NextSeq_209/FoodQCPipeline_tmp/conc_fqs/DTU_2022_1015581_2_SI_86_R1_001.fq.gz</v>
          </cell>
          <cell r="H932" t="str">
            <v>/home/projects/cge/backup/fastq/food_seqdata/NextSeq_209/FoodQCPipeline_tmp/conc_fqs/DTU_2022_1015581_2_SI_86_R2_001.fq.gz</v>
          </cell>
          <cell r="I932">
            <v>86</v>
          </cell>
          <cell r="J932">
            <v>86</v>
          </cell>
          <cell r="K932" t="str">
            <v>Listeria monocytogenes</v>
          </cell>
          <cell r="L932">
            <v>41902782</v>
          </cell>
          <cell r="M932">
            <v>12496366</v>
          </cell>
          <cell r="N932" t="str">
            <v>Italy</v>
          </cell>
          <cell r="Q932">
            <v>2014</v>
          </cell>
          <cell r="T932" t="str">
            <v>Istituto Zooprofilattico Sperimentale dell ‚ÄòAbruzzo e del Molise "Giuseppe Caporale", Teramo, Italy</v>
          </cell>
          <cell r="U932" t="str">
            <v>Food</v>
          </cell>
          <cell r="V932" t="str">
            <v xml:space="preserve">SALSICCIA (DRIED SAUSAGE) </v>
          </cell>
          <cell r="X932" t="str">
            <v>ERR10611950</v>
          </cell>
        </row>
        <row r="933">
          <cell r="G933" t="str">
            <v>/home/projects/cge/backup/fastq/food_seqdata/NextSeq_203/FoodQCPipeline_tmp/conc_fqs/DTU_2022_1015582_1_SI_87_R1_001.fq.gz</v>
          </cell>
          <cell r="H933" t="str">
            <v>/home/projects/cge/backup/fastq/food_seqdata/NextSeq_203/FoodQCPipeline_tmp/conc_fqs/DTU_2022_1015582_1_SI_87_R2_001.fq.gz</v>
          </cell>
          <cell r="I933">
            <v>87</v>
          </cell>
          <cell r="J933">
            <v>87</v>
          </cell>
          <cell r="K933" t="str">
            <v>Listeria monocytogenes</v>
          </cell>
          <cell r="L933">
            <v>41902782</v>
          </cell>
          <cell r="M933">
            <v>12496366</v>
          </cell>
          <cell r="N933" t="str">
            <v>Italy</v>
          </cell>
          <cell r="Q933">
            <v>2014</v>
          </cell>
          <cell r="T933" t="str">
            <v>Istituto Zooprofilattico Sperimentale dell ‚ÄòAbruzzo e del Molise "Giuseppe Caporale", Teramo, Italy</v>
          </cell>
          <cell r="U933" t="str">
            <v>Food</v>
          </cell>
          <cell r="V933" t="str">
            <v xml:space="preserve">SALSICCIA (DRIED SAUSAGE) </v>
          </cell>
          <cell r="X933" t="str">
            <v>ERR10549872</v>
          </cell>
        </row>
        <row r="934">
          <cell r="G934" t="str">
            <v>/home/projects/cge/backup/fastq/food_seqdata/NextSeq_203/FoodQCPipeline_tmp/conc_fqs/DTU_2022_1015585_1_SI_90_R1_001.fq.gz</v>
          </cell>
          <cell r="H934" t="str">
            <v>/home/projects/cge/backup/fastq/food_seqdata/NextSeq_203/FoodQCPipeline_tmp/conc_fqs/DTU_2022_1015585_1_SI_90_R2_001.fq.gz</v>
          </cell>
          <cell r="I934">
            <v>90</v>
          </cell>
          <cell r="J934">
            <v>90</v>
          </cell>
          <cell r="K934" t="str">
            <v>Listeria monocytogenes</v>
          </cell>
          <cell r="L934">
            <v>41902782</v>
          </cell>
          <cell r="M934">
            <v>12496366</v>
          </cell>
          <cell r="N934" t="str">
            <v>Italy</v>
          </cell>
          <cell r="Q934">
            <v>2014</v>
          </cell>
          <cell r="T934" t="str">
            <v>Istituto Zooprofilattico Sperimentale dell ‚ÄòAbruzzo e del Molise "Giuseppe Caporale", Teramo, Italy</v>
          </cell>
          <cell r="U934" t="str">
            <v>Food</v>
          </cell>
          <cell r="V934" t="str">
            <v>STRACCHINO CHEESE</v>
          </cell>
          <cell r="X934" t="str">
            <v>ERR10549852</v>
          </cell>
        </row>
        <row r="935">
          <cell r="G935" t="str">
            <v>/home/projects/cge/backup/fastq/food_seqdata/NextSeq_203/FoodQCPipeline_tmp/conc_fqs/DTU_2022_1015590_1_SI_95_R1_001.fq.gz</v>
          </cell>
          <cell r="H935" t="str">
            <v>/home/projects/cge/backup/fastq/food_seqdata/NextSeq_203/FoodQCPipeline_tmp/conc_fqs/DTU_2022_1015590_1_SI_95_R2_001.fq.gz</v>
          </cell>
          <cell r="I935">
            <v>95</v>
          </cell>
          <cell r="J935">
            <v>95</v>
          </cell>
          <cell r="K935" t="str">
            <v>Listeria monocytogenes</v>
          </cell>
          <cell r="L935">
            <v>41902782</v>
          </cell>
          <cell r="M935">
            <v>12496366</v>
          </cell>
          <cell r="N935" t="str">
            <v>Italy</v>
          </cell>
          <cell r="Q935">
            <v>2014</v>
          </cell>
          <cell r="T935" t="str">
            <v>Istituto Zooprofilattico Sperimentale dell ‚ÄòAbruzzo e del Molise "Giuseppe Caporale", Teramo, Italy</v>
          </cell>
          <cell r="U935" t="str">
            <v>Food</v>
          </cell>
          <cell r="V935" t="str">
            <v>SALAME</v>
          </cell>
          <cell r="X935" t="str">
            <v>ERR10549863</v>
          </cell>
        </row>
        <row r="936">
          <cell r="G936" t="str">
            <v>/home/projects/cge/backup/fastq/food_seqdata/NextSeq_203/FoodQCPipeline_tmp/conc_fqs/DTU_2022_1015541_1_SI_46_R1_001.fq.gz</v>
          </cell>
          <cell r="H936" t="str">
            <v>/home/projects/cge/backup/fastq/food_seqdata/NextSeq_203/FoodQCPipeline_tmp/conc_fqs/DTU_2022_1015541_1_SI_46_R2_001.fq.gz</v>
          </cell>
          <cell r="I936">
            <v>46</v>
          </cell>
          <cell r="J936">
            <v>46</v>
          </cell>
          <cell r="K936" t="str">
            <v>Listeria monocytogenes</v>
          </cell>
          <cell r="L936">
            <v>41902782</v>
          </cell>
          <cell r="M936">
            <v>12496366</v>
          </cell>
          <cell r="N936" t="str">
            <v>Italy</v>
          </cell>
          <cell r="Q936">
            <v>2015</v>
          </cell>
          <cell r="T936" t="str">
            <v>Istituto Zooprofilattico Sperimentale dell ‚ÄòAbruzzo e del Molise "Giuseppe Caporale", Teramo, Italy</v>
          </cell>
          <cell r="U936" t="str">
            <v>Food</v>
          </cell>
          <cell r="V936" t="str">
            <v>SOPPRESSATA</v>
          </cell>
          <cell r="X936" t="str">
            <v>ERR10549874</v>
          </cell>
        </row>
        <row r="937">
          <cell r="G937" t="str">
            <v>/home/projects/cge/backup/fastq/food_seqdata/NextSeq_203/FoodQCPipeline_tmp/conc_fqs/DTU_2022_1015542_1_SI_47_R1_001.fq.gz</v>
          </cell>
          <cell r="H937" t="str">
            <v>/home/projects/cge/backup/fastq/food_seqdata/NextSeq_203/FoodQCPipeline_tmp/conc_fqs/DTU_2022_1015542_1_SI_47_R2_001.fq.gz</v>
          </cell>
          <cell r="I937">
            <v>47</v>
          </cell>
          <cell r="J937">
            <v>47</v>
          </cell>
          <cell r="K937" t="str">
            <v>Listeria monocytogenes</v>
          </cell>
          <cell r="L937">
            <v>41902782</v>
          </cell>
          <cell r="M937">
            <v>12496366</v>
          </cell>
          <cell r="N937" t="str">
            <v>Italy</v>
          </cell>
          <cell r="Q937">
            <v>2015</v>
          </cell>
          <cell r="T937" t="str">
            <v>Istituto Zooprofilattico Sperimentale dell ‚ÄòAbruzzo e del Molise "Giuseppe Caporale", Teramo, Italy</v>
          </cell>
          <cell r="U937" t="str">
            <v>Food</v>
          </cell>
          <cell r="V937" t="str">
            <v>SALAME</v>
          </cell>
          <cell r="X937" t="str">
            <v>ERR10549861</v>
          </cell>
        </row>
        <row r="938">
          <cell r="G938" t="str">
            <v>/home/projects/cge/backup/fastq/food_seqdata/NextSeq_203/FoodQCPipeline_tmp/conc_fqs/DTU_2022_1015543_1_SI_48_R1_001.fq.gz</v>
          </cell>
          <cell r="H938" t="str">
            <v>/home/projects/cge/backup/fastq/food_seqdata/NextSeq_203/FoodQCPipeline_tmp/conc_fqs/DTU_2022_1015543_1_SI_48_R2_001.fq.gz</v>
          </cell>
          <cell r="I938">
            <v>48</v>
          </cell>
          <cell r="J938">
            <v>48</v>
          </cell>
          <cell r="K938" t="str">
            <v>Listeria monocytogenes</v>
          </cell>
          <cell r="L938">
            <v>41902782</v>
          </cell>
          <cell r="M938">
            <v>12496366</v>
          </cell>
          <cell r="N938" t="str">
            <v>Italy</v>
          </cell>
          <cell r="Q938">
            <v>2015</v>
          </cell>
          <cell r="T938" t="str">
            <v>Istituto Zooprofilattico Sperimentale dell ‚ÄòAbruzzo e del Molise "Giuseppe Caporale", Teramo, Italy</v>
          </cell>
          <cell r="U938" t="str">
            <v>Food</v>
          </cell>
          <cell r="V938" t="str">
            <v>SOPPRESSATA</v>
          </cell>
          <cell r="X938" t="str">
            <v>ERR10549864</v>
          </cell>
        </row>
        <row r="939">
          <cell r="G939" t="str">
            <v>/home/projects/cge/backup/fastq/food_seqdata/NextSeq_203/FoodQCPipeline_tmp/conc_fqs/DTU_2022_1015544_1_SI_49_R1_001.fq.gz</v>
          </cell>
          <cell r="H939" t="str">
            <v>/home/projects/cge/backup/fastq/food_seqdata/NextSeq_203/FoodQCPipeline_tmp/conc_fqs/DTU_2022_1015544_1_SI_49_R2_001.fq.gz</v>
          </cell>
          <cell r="I939">
            <v>49</v>
          </cell>
          <cell r="J939">
            <v>49</v>
          </cell>
          <cell r="K939" t="str">
            <v>Listeria monocytogenes</v>
          </cell>
          <cell r="L939">
            <v>41902782</v>
          </cell>
          <cell r="M939">
            <v>12496366</v>
          </cell>
          <cell r="N939" t="str">
            <v>Italy</v>
          </cell>
          <cell r="Q939">
            <v>2015</v>
          </cell>
          <cell r="T939" t="str">
            <v>Istituto Zooprofilattico Sperimentale dell ‚ÄòAbruzzo e del Molise "Giuseppe Caporale", Teramo, Italy</v>
          </cell>
          <cell r="U939" t="str">
            <v>Food</v>
          </cell>
          <cell r="V939" t="str">
            <v>SOPPRESSATA</v>
          </cell>
          <cell r="X939" t="str">
            <v>ERR10549848</v>
          </cell>
        </row>
        <row r="940">
          <cell r="G940" t="str">
            <v>/home/projects/cge/backup/fastq/food_seqdata/NextSeq_209/FoodQCPipeline_tmp/conc_fqs/DTU_2022_1015545_2_SI_50_R1_001.fq.gz</v>
          </cell>
          <cell r="H940" t="str">
            <v>/home/projects/cge/backup/fastq/food_seqdata/NextSeq_209/FoodQCPipeline_tmp/conc_fqs/DTU_2022_1015545_2_SI_50_R2_001.fq.gz</v>
          </cell>
          <cell r="I940">
            <v>50</v>
          </cell>
          <cell r="J940">
            <v>50</v>
          </cell>
          <cell r="K940" t="str">
            <v>Listeria monocytogenes</v>
          </cell>
          <cell r="L940">
            <v>41902782</v>
          </cell>
          <cell r="M940">
            <v>12496366</v>
          </cell>
          <cell r="N940" t="str">
            <v>Italy</v>
          </cell>
          <cell r="Q940">
            <v>2015</v>
          </cell>
          <cell r="T940" t="str">
            <v>Istituto Zooprofilattico Sperimentale dell ‚ÄòAbruzzo e del Molise "Giuseppe Caporale", Teramo, Italy</v>
          </cell>
          <cell r="U940" t="str">
            <v>Food</v>
          </cell>
          <cell r="V940" t="str">
            <v>FISHERY PRODUCTS</v>
          </cell>
          <cell r="X940" t="str">
            <v>ERR10611937</v>
          </cell>
        </row>
        <row r="941">
          <cell r="G941" t="str">
            <v>/home/projects/cge/backup/fastq/food_seqdata/NextSeq_203/FoodQCPipeline_tmp/conc_fqs/DTU_2022_1015546_1_SI_51_R1_001.fq.gz</v>
          </cell>
          <cell r="H941" t="str">
            <v>/home/projects/cge/backup/fastq/food_seqdata/NextSeq_203/FoodQCPipeline_tmp/conc_fqs/DTU_2022_1015546_1_SI_51_R2_001.fq.gz</v>
          </cell>
          <cell r="I941">
            <v>51</v>
          </cell>
          <cell r="J941">
            <v>51</v>
          </cell>
          <cell r="K941" t="str">
            <v>Listeria monocytogenes</v>
          </cell>
          <cell r="L941">
            <v>41902782</v>
          </cell>
          <cell r="M941">
            <v>12496366</v>
          </cell>
          <cell r="N941" t="str">
            <v>Italy</v>
          </cell>
          <cell r="Q941">
            <v>2015</v>
          </cell>
          <cell r="T941" t="str">
            <v>Istituto Zooprofilattico Sperimentale dell ‚ÄòAbruzzo e del Molise "Giuseppe Caporale", Teramo, Italy</v>
          </cell>
          <cell r="U941" t="str">
            <v>Food</v>
          </cell>
          <cell r="V941" t="str">
            <v>SOPPRESSATA</v>
          </cell>
          <cell r="X941" t="str">
            <v>ERR10549878</v>
          </cell>
        </row>
        <row r="942">
          <cell r="G942" t="str">
            <v>/home/projects/cge/backup/fastq/food_seqdata/NextSeq_203/FoodQCPipeline_tmp/conc_fqs/DTU_2022_1015547_1_SI_52_R1_001.fq.gz</v>
          </cell>
          <cell r="H942" t="str">
            <v>/home/projects/cge/backup/fastq/food_seqdata/NextSeq_203/FoodQCPipeline_tmp/conc_fqs/DTU_2022_1015547_1_SI_52_R2_001.fq.gz</v>
          </cell>
          <cell r="I942">
            <v>52</v>
          </cell>
          <cell r="J942">
            <v>52</v>
          </cell>
          <cell r="K942" t="str">
            <v>Listeria monocytogenes</v>
          </cell>
          <cell r="L942">
            <v>41902782</v>
          </cell>
          <cell r="M942">
            <v>12496366</v>
          </cell>
          <cell r="N942" t="str">
            <v>Italy</v>
          </cell>
          <cell r="Q942">
            <v>2015</v>
          </cell>
          <cell r="T942" t="str">
            <v>Istituto Zooprofilattico Sperimentale dell ‚ÄòAbruzzo e del Molise "Giuseppe Caporale", Teramo, Italy</v>
          </cell>
          <cell r="U942" t="str">
            <v>Food</v>
          </cell>
          <cell r="V942" t="str">
            <v>SOPPRESSATA</v>
          </cell>
          <cell r="X942" t="str">
            <v>ERR10549873</v>
          </cell>
        </row>
        <row r="943">
          <cell r="G943" t="str">
            <v>/home/projects/cge/backup/fastq/food_seqdata/NextSeq_203/FoodQCPipeline_tmp/conc_fqs/DTU_2022_1015548_1_SI_53_R1_001.fq.gz</v>
          </cell>
          <cell r="H943" t="str">
            <v>/home/projects/cge/backup/fastq/food_seqdata/NextSeq_203/FoodQCPipeline_tmp/conc_fqs/DTU_2022_1015548_1_SI_53_R2_001.fq.gz</v>
          </cell>
          <cell r="I943">
            <v>53</v>
          </cell>
          <cell r="J943">
            <v>53</v>
          </cell>
          <cell r="K943" t="str">
            <v>Listeria monocytogenes</v>
          </cell>
          <cell r="L943">
            <v>41902782</v>
          </cell>
          <cell r="M943">
            <v>12496366</v>
          </cell>
          <cell r="N943" t="str">
            <v>Italy</v>
          </cell>
          <cell r="Q943">
            <v>2015</v>
          </cell>
          <cell r="T943" t="str">
            <v>Istituto Zooprofilattico Sperimentale dell ‚ÄòAbruzzo e del Molise "Giuseppe Caporale", Teramo, Italy</v>
          </cell>
          <cell r="U943" t="str">
            <v>Food</v>
          </cell>
          <cell r="V943" t="str">
            <v>SOPPRESSATA</v>
          </cell>
          <cell r="X943" t="str">
            <v>ERR10549844</v>
          </cell>
        </row>
        <row r="944">
          <cell r="G944" t="str">
            <v>/home/projects/cge/backup/fastq/food_seqdata/NextSeq_203/FoodQCPipeline_tmp/conc_fqs/DTU_2022_1015552_1_SI_57_R1_001.fq.gz</v>
          </cell>
          <cell r="H944" t="str">
            <v>/home/projects/cge/backup/fastq/food_seqdata/NextSeq_203/FoodQCPipeline_tmp/conc_fqs/DTU_2022_1015552_1_SI_57_R2_001.fq.gz</v>
          </cell>
          <cell r="I944">
            <v>57</v>
          </cell>
          <cell r="J944">
            <v>57</v>
          </cell>
          <cell r="K944" t="str">
            <v>Listeria monocytogenes</v>
          </cell>
          <cell r="L944">
            <v>41902782</v>
          </cell>
          <cell r="M944">
            <v>12496366</v>
          </cell>
          <cell r="N944" t="str">
            <v>Italy</v>
          </cell>
          <cell r="Q944">
            <v>2015</v>
          </cell>
          <cell r="T944" t="str">
            <v>Istituto Zooprofilattico Sperimentale dell ‚ÄòAbruzzo e del Molise "Giuseppe Caporale", Teramo, Italy</v>
          </cell>
          <cell r="U944" t="str">
            <v>Production environment</v>
          </cell>
          <cell r="V944" t="str">
            <v>PREPARAZIONI ALIMENTARI MISTE E PREPARAZIONI GASTRONOMICHE</v>
          </cell>
          <cell r="X944" t="str">
            <v>ERR10549879</v>
          </cell>
        </row>
        <row r="945">
          <cell r="G945" t="str">
            <v>/home/projects/cge/backup/fastq/food_seqdata/NextSeq_203/FoodQCPipeline_tmp/conc_fqs/DTU_2022_1015583_1_SI_88_R1_001.fq.gz</v>
          </cell>
          <cell r="H945" t="str">
            <v>/home/projects/cge/backup/fastq/food_seqdata/NextSeq_203/FoodQCPipeline_tmp/conc_fqs/DTU_2022_1015583_1_SI_88_R2_001.fq.gz</v>
          </cell>
          <cell r="I945">
            <v>88</v>
          </cell>
          <cell r="J945">
            <v>88</v>
          </cell>
          <cell r="K945" t="str">
            <v>Listeria monocytogenes</v>
          </cell>
          <cell r="L945">
            <v>41902782</v>
          </cell>
          <cell r="M945">
            <v>12496366</v>
          </cell>
          <cell r="N945" t="str">
            <v>Italy</v>
          </cell>
          <cell r="Q945">
            <v>2015</v>
          </cell>
          <cell r="T945" t="str">
            <v>Istituto Zooprofilattico Sperimentale dell ‚ÄòAbruzzo e del Molise "Giuseppe Caporale", Teramo, Italy</v>
          </cell>
          <cell r="U945" t="str">
            <v>Food</v>
          </cell>
          <cell r="V945" t="str">
            <v>SOPPRESSATA</v>
          </cell>
          <cell r="X945" t="str">
            <v>ERR10549853</v>
          </cell>
        </row>
        <row r="946">
          <cell r="G946" t="str">
            <v>/home/projects/cge/backup/fastq/food_seqdata/NextSeq_203/FoodQCPipeline_tmp/conc_fqs/DTU_2022_1015584_1_SI_89_R1_001.fq.gz</v>
          </cell>
          <cell r="H946" t="str">
            <v>/home/projects/cge/backup/fastq/food_seqdata/NextSeq_203/FoodQCPipeline_tmp/conc_fqs/DTU_2022_1015584_1_SI_89_R2_001.fq.gz</v>
          </cell>
          <cell r="I946">
            <v>89</v>
          </cell>
          <cell r="J946">
            <v>89</v>
          </cell>
          <cell r="K946" t="str">
            <v>Listeria monocytogenes</v>
          </cell>
          <cell r="L946">
            <v>41902782</v>
          </cell>
          <cell r="M946">
            <v>12496366</v>
          </cell>
          <cell r="N946" t="str">
            <v>Italy</v>
          </cell>
          <cell r="Q946">
            <v>2015</v>
          </cell>
          <cell r="T946" t="str">
            <v>Istituto Zooprofilattico Sperimentale dell ‚ÄòAbruzzo e del Molise "Giuseppe Caporale", Teramo, Italy</v>
          </cell>
          <cell r="U946" t="str">
            <v>Food</v>
          </cell>
          <cell r="V946" t="str">
            <v>SALAME</v>
          </cell>
          <cell r="X946" t="str">
            <v>ERR10549871</v>
          </cell>
        </row>
        <row r="947">
          <cell r="G947" t="str">
            <v>/home/projects/cge/backup/fastq/food_seqdata/NextSeq_203/FoodQCPipeline_tmp/conc_fqs/DTU_2022_1015586_1_SI_91_R1_001.fq.gz</v>
          </cell>
          <cell r="H947" t="str">
            <v>/home/projects/cge/backup/fastq/food_seqdata/NextSeq_203/FoodQCPipeline_tmp/conc_fqs/DTU_2022_1015586_1_SI_91_R2_001.fq.gz</v>
          </cell>
          <cell r="I947">
            <v>91</v>
          </cell>
          <cell r="J947">
            <v>91</v>
          </cell>
          <cell r="K947" t="str">
            <v>Listeria monocytogenes</v>
          </cell>
          <cell r="L947">
            <v>41902782</v>
          </cell>
          <cell r="M947">
            <v>12496366</v>
          </cell>
          <cell r="N947" t="str">
            <v>Italy</v>
          </cell>
          <cell r="Q947">
            <v>2015</v>
          </cell>
          <cell r="T947" t="str">
            <v>Istituto Zooprofilattico Sperimentale dell ‚ÄòAbruzzo e del Molise "Giuseppe Caporale", Teramo, Italy</v>
          </cell>
          <cell r="U947" t="str">
            <v>Production environment</v>
          </cell>
          <cell r="V947" t="str">
            <v>PREPARAZIONI ALIMENTARI MISTE E PREPARAZIONI GASTRONOMICHE</v>
          </cell>
          <cell r="X947" t="str">
            <v>ERR10549882</v>
          </cell>
        </row>
        <row r="948">
          <cell r="G948" t="str">
            <v>/home/projects/cge/backup/fastq/food_seqdata/NextSeq_203/FoodQCPipeline_tmp/conc_fqs/DTU_2022_1015587_1_SI_92_R1_001.fq.gz</v>
          </cell>
          <cell r="H948" t="str">
            <v>/home/projects/cge/backup/fastq/food_seqdata/NextSeq_203/FoodQCPipeline_tmp/conc_fqs/DTU_2022_1015587_1_SI_92_R2_001.fq.gz</v>
          </cell>
          <cell r="I948">
            <v>92</v>
          </cell>
          <cell r="J948">
            <v>92</v>
          </cell>
          <cell r="K948" t="str">
            <v>Listeria monocytogenes</v>
          </cell>
          <cell r="L948">
            <v>41902782</v>
          </cell>
          <cell r="M948">
            <v>12496366</v>
          </cell>
          <cell r="N948" t="str">
            <v>Italy</v>
          </cell>
          <cell r="Q948">
            <v>2015</v>
          </cell>
          <cell r="T948" t="str">
            <v>Istituto Zooprofilattico Sperimentale dell ‚ÄòAbruzzo e del Molise "Giuseppe Caporale", Teramo, Italy</v>
          </cell>
          <cell r="U948" t="str">
            <v>Food</v>
          </cell>
          <cell r="V948" t="str">
            <v xml:space="preserve">SALSICCIA (DRIED SAUSAGE) </v>
          </cell>
          <cell r="X948" t="str">
            <v>ERR10549911</v>
          </cell>
        </row>
        <row r="949">
          <cell r="G949" t="str">
            <v>/home/projects/cge/backup/fastq/food_seqdata/NextSeq_209/FoodQCPipeline_tmp/conc_fqs/DTU_2022_1016675_1_SI_93_R1_001.fq.gz</v>
          </cell>
          <cell r="H949" t="str">
            <v>/home/projects/cge/backup/fastq/food_seqdata/NextSeq_209/FoodQCPipeline_tmp/conc_fqs/DTU_2022_1016675_1_SI_93_R2_001.fq.gz</v>
          </cell>
          <cell r="I949">
            <v>93</v>
          </cell>
          <cell r="J949">
            <v>93</v>
          </cell>
          <cell r="K949" t="str">
            <v>Listeria monocytogenes</v>
          </cell>
          <cell r="L949">
            <v>45424721</v>
          </cell>
          <cell r="M949">
            <v>-75695</v>
          </cell>
          <cell r="N949" t="str">
            <v>Canada</v>
          </cell>
          <cell r="Q949" t="str">
            <v>Unknown</v>
          </cell>
          <cell r="T949" t="str">
            <v xml:space="preserve">University of Ottawa, Ottawa, Ontario, ON, Canada </v>
          </cell>
          <cell r="U949" t="str">
            <v>Food</v>
          </cell>
          <cell r="V949" t="str">
            <v>Meat (food)</v>
          </cell>
          <cell r="X949" t="str">
            <v>ERR10549895</v>
          </cell>
        </row>
        <row r="950">
          <cell r="G950" t="str">
            <v>/home/projects/cge/backup/fastq/food_seqdata/NextSeq_203/FoodQCPipeline_tmp/conc_fqs/DTU_2022_1015589_1_SI_94_R1_001.fq.gz</v>
          </cell>
          <cell r="H950" t="str">
            <v>/home/projects/cge/backup/fastq/food_seqdata/NextSeq_203/FoodQCPipeline_tmp/conc_fqs/DTU_2022_1015589_1_SI_94_R2_001.fq.gz</v>
          </cell>
          <cell r="I950">
            <v>94</v>
          </cell>
          <cell r="J950">
            <v>94</v>
          </cell>
          <cell r="K950" t="str">
            <v>Listeria monocytogenes</v>
          </cell>
          <cell r="L950">
            <v>41902782</v>
          </cell>
          <cell r="M950">
            <v>12496366</v>
          </cell>
          <cell r="N950" t="str">
            <v>Italy</v>
          </cell>
          <cell r="Q950">
            <v>2015</v>
          </cell>
          <cell r="T950" t="str">
            <v>Istituto Zooprofilattico Sperimentale dell ‚ÄòAbruzzo e del Molise "Giuseppe Caporale", Teramo, Italy</v>
          </cell>
          <cell r="U950" t="str">
            <v>Food</v>
          </cell>
          <cell r="V950" t="str">
            <v>SOPPRESSATA</v>
          </cell>
          <cell r="X950" t="str">
            <v>ERR10549896</v>
          </cell>
        </row>
        <row r="951">
          <cell r="G951" t="str">
            <v>/home/projects/cge/backup/fastq/food_seqdata/NextSeq_203/FoodQCPipeline_tmp/conc_fqs/DTU_2022_1015598_1_SI_103_R1_001.fq.gz</v>
          </cell>
          <cell r="H951" t="str">
            <v>/home/projects/cge/backup/fastq/food_seqdata/NextSeq_203/FoodQCPipeline_tmp/conc_fqs/DTU_2022_1015598_1_SI_103_R2_001.fq.gz</v>
          </cell>
          <cell r="I951">
            <v>103</v>
          </cell>
          <cell r="J951">
            <v>103</v>
          </cell>
          <cell r="K951" t="str">
            <v>Listeria monocytogenes</v>
          </cell>
          <cell r="L951">
            <v>41902782</v>
          </cell>
          <cell r="M951">
            <v>12496366</v>
          </cell>
          <cell r="N951" t="str">
            <v>Italy</v>
          </cell>
          <cell r="Q951">
            <v>2015</v>
          </cell>
          <cell r="T951" t="str">
            <v>Istituto Zooprofilattico Sperimentale dell ‚ÄòAbruzzo e del Molise "Giuseppe Caporale", Teramo, Italy</v>
          </cell>
          <cell r="U951" t="str">
            <v>Production environment</v>
          </cell>
          <cell r="V951" t="str">
            <v>PREPARAZIONI ALIMENTARI MISTE E PREPARAZIONI GASTRONOMICHE</v>
          </cell>
          <cell r="X951" t="str">
            <v>ERR10549857</v>
          </cell>
        </row>
        <row r="952">
          <cell r="G952" t="str">
            <v>/home/projects/cge/backup/fastq/food_seqdata/NextSeq_203/FoodQCPipeline_tmp/conc_fqs/DTU_2022_1015590_1_SI_95_R1_001.fq.gz</v>
          </cell>
          <cell r="H952" t="str">
            <v>/home/projects/cge/backup/fastq/food_seqdata/NextSeq_203/FoodQCPipeline_tmp/conc_fqs/DTU_2022_1015590_1_SI_95_R2_001.fq.gz</v>
          </cell>
          <cell r="I952">
            <v>104</v>
          </cell>
          <cell r="J952">
            <v>104</v>
          </cell>
          <cell r="K952" t="str">
            <v>Listeria monocytogenes</v>
          </cell>
          <cell r="L952">
            <v>41902782</v>
          </cell>
          <cell r="M952">
            <v>12496366</v>
          </cell>
          <cell r="N952" t="str">
            <v>Italy</v>
          </cell>
          <cell r="Q952">
            <v>2015</v>
          </cell>
          <cell r="T952" t="str">
            <v>Istituto Zooprofilattico Sperimentale dell ‚ÄòAbruzzo e del Molise "Giuseppe Caporale", Teramo, Italy</v>
          </cell>
          <cell r="U952" t="str">
            <v>Food</v>
          </cell>
          <cell r="V952" t="str">
            <v>SALAME</v>
          </cell>
          <cell r="X952" t="str">
            <v>ERR10549875</v>
          </cell>
        </row>
        <row r="953">
          <cell r="G953" t="str">
            <v>/home/projects/cge/backup/fastq/food_seqdata/NextSeq_203/FoodQCPipeline_tmp/conc_fqs/DTU_2022_1015600_1_SI_105_R1_001.fq.gz</v>
          </cell>
          <cell r="H953" t="str">
            <v>/home/projects/cge/backup/fastq/food_seqdata/NextSeq_203/FoodQCPipeline_tmp/conc_fqs/DTU_2022_1015600_1_SI_105_R2_001.fq.gz</v>
          </cell>
          <cell r="I953">
            <v>105</v>
          </cell>
          <cell r="J953">
            <v>105</v>
          </cell>
          <cell r="K953" t="str">
            <v>Listeria monocytogenes</v>
          </cell>
          <cell r="L953">
            <v>41902782</v>
          </cell>
          <cell r="M953">
            <v>12496366</v>
          </cell>
          <cell r="N953" t="str">
            <v>Italy</v>
          </cell>
          <cell r="Q953">
            <v>2015</v>
          </cell>
          <cell r="T953" t="str">
            <v>Istituto Zooprofilattico Sperimentale dell ‚ÄòAbruzzo e del Molise "Giuseppe Caporale", Teramo, Italy</v>
          </cell>
          <cell r="U953" t="str">
            <v>Food</v>
          </cell>
          <cell r="V953" t="str">
            <v>SOPPRESSATA</v>
          </cell>
          <cell r="X953" t="str">
            <v>ERR10549858</v>
          </cell>
        </row>
        <row r="954">
          <cell r="G954" t="str">
            <v>/home/projects/cge/backup/fastq/food_seqdata/NextSeq_203/FoodQCPipeline_tmp/conc_fqs/DTU_2022_1015601_1_SI_106_R1_001.fq.gz</v>
          </cell>
          <cell r="H954" t="str">
            <v>/home/projects/cge/backup/fastq/food_seqdata/NextSeq_203/FoodQCPipeline_tmp/conc_fqs/DTU_2022_1015601_1_SI_106_R2_001.fq.gz</v>
          </cell>
          <cell r="I954">
            <v>106</v>
          </cell>
          <cell r="J954">
            <v>106</v>
          </cell>
          <cell r="K954" t="str">
            <v>Listeria monocytogenes</v>
          </cell>
          <cell r="L954">
            <v>41902782</v>
          </cell>
          <cell r="M954">
            <v>12496366</v>
          </cell>
          <cell r="N954" t="str">
            <v>Italy</v>
          </cell>
          <cell r="Q954">
            <v>2015</v>
          </cell>
          <cell r="T954" t="str">
            <v>Istituto Zooprofilattico Sperimentale dell ‚ÄòAbruzzo e del Molise "Giuseppe Caporale", Teramo, Italy</v>
          </cell>
          <cell r="U954" t="str">
            <v>Food</v>
          </cell>
          <cell r="V954" t="str">
            <v>SALAME</v>
          </cell>
          <cell r="X954" t="str">
            <v>ERR10549897</v>
          </cell>
        </row>
        <row r="955">
          <cell r="G955" t="str">
            <v>/home/projects/cge/backup/fastq/food_seqdata/NextSeq_203/FoodQCPipeline_tmp/conc_fqs/DTU_2022_1015602_1_SI_107_R1_001.fq.gz</v>
          </cell>
          <cell r="H955" t="str">
            <v>/home/projects/cge/backup/fastq/food_seqdata/NextSeq_203/FoodQCPipeline_tmp/conc_fqs/DTU_2022_1015602_1_SI_107_R2_001.fq.gz</v>
          </cell>
          <cell r="I955">
            <v>107</v>
          </cell>
          <cell r="J955">
            <v>107</v>
          </cell>
          <cell r="K955" t="str">
            <v>Listeria monocytogenes</v>
          </cell>
          <cell r="L955">
            <v>41902782</v>
          </cell>
          <cell r="M955">
            <v>12496366</v>
          </cell>
          <cell r="N955" t="str">
            <v>Italy</v>
          </cell>
          <cell r="Q955">
            <v>2015</v>
          </cell>
          <cell r="T955" t="str">
            <v>Istituto Zooprofilattico Sperimentale dell ‚ÄòAbruzzo e del Molise "Giuseppe Caporale", Teramo, Italy</v>
          </cell>
          <cell r="U955" t="str">
            <v>Production environment</v>
          </cell>
          <cell r="V955" t="str">
            <v>PREPARAZIONI ALIMENTARI MISTE E PREPARAZIONI GASTRONOMICHE</v>
          </cell>
          <cell r="X955" t="str">
            <v>ERR10549903</v>
          </cell>
        </row>
        <row r="956">
          <cell r="G956" t="str">
            <v>/home/projects/cge/backup/fastq/food_seqdata/NextSeq_203/FoodQCPipeline_tmp/conc_fqs/DTU_2022_1015603_1_SI_108_R1_001.fq.gz</v>
          </cell>
          <cell r="H956" t="str">
            <v>/home/projects/cge/backup/fastq/food_seqdata/NextSeq_203/FoodQCPipeline_tmp/conc_fqs/DTU_2022_1015603_1_SI_108_R2_001.fq.gz</v>
          </cell>
          <cell r="I956">
            <v>108</v>
          </cell>
          <cell r="J956">
            <v>108</v>
          </cell>
          <cell r="K956" t="str">
            <v>Listeria monocytogenes</v>
          </cell>
          <cell r="L956">
            <v>41902782</v>
          </cell>
          <cell r="M956">
            <v>12496366</v>
          </cell>
          <cell r="N956" t="str">
            <v>Italy</v>
          </cell>
          <cell r="Q956">
            <v>2015</v>
          </cell>
          <cell r="T956" t="str">
            <v>Istituto Zooprofilattico Sperimentale dell ‚ÄòAbruzzo e del Molise "Giuseppe Caporale", Teramo, Italy</v>
          </cell>
          <cell r="U956" t="str">
            <v>Production environment</v>
          </cell>
          <cell r="V956" t="str">
            <v>PREPARAZIONI ALIMENTARI MISTE E PREPARAZIONI GASTRONOMICHE</v>
          </cell>
          <cell r="X956" t="str">
            <v>ERR10549865</v>
          </cell>
        </row>
        <row r="957">
          <cell r="G957" t="str">
            <v>/home/projects/cge/backup/fastq/food_seqdata/NextSeq_203/FoodQCPipeline_tmp/conc_fqs/DTU_2022_1015604_1_SI_109_R1_001.fq.gz</v>
          </cell>
          <cell r="H957" t="str">
            <v>/home/projects/cge/backup/fastq/food_seqdata/NextSeq_203/FoodQCPipeline_tmp/conc_fqs/DTU_2022_1015604_1_SI_109_R2_001.fq.gz</v>
          </cell>
          <cell r="I957">
            <v>109</v>
          </cell>
          <cell r="J957">
            <v>109</v>
          </cell>
          <cell r="K957" t="str">
            <v>Listeria monocytogenes</v>
          </cell>
          <cell r="L957">
            <v>41902782</v>
          </cell>
          <cell r="M957">
            <v>12496366</v>
          </cell>
          <cell r="N957" t="str">
            <v>Italy</v>
          </cell>
          <cell r="Q957">
            <v>2015</v>
          </cell>
          <cell r="T957" t="str">
            <v>Istituto Zooprofilattico Sperimentale dell ‚ÄòAbruzzo e del Molise "Giuseppe Caporale", Teramo, Italy</v>
          </cell>
          <cell r="U957" t="str">
            <v>Food</v>
          </cell>
          <cell r="V957" t="str">
            <v>SOPPRESSATA</v>
          </cell>
          <cell r="X957" t="str">
            <v>ERR10549894</v>
          </cell>
        </row>
        <row r="958">
          <cell r="G958" t="str">
            <v>/home/projects/cge/backup/fastq/food_seqdata/NextSeq_209/FoodQCPipeline_tmp/conc_fqs/DTU_2022_1015605_2_SI_110_R1_001.fq.gz</v>
          </cell>
          <cell r="H958" t="str">
            <v>/home/projects/cge/backup/fastq/food_seqdata/NextSeq_209/FoodQCPipeline_tmp/conc_fqs/DTU_2022_1015605_2_SI_110_R2_001.fq.gz</v>
          </cell>
          <cell r="I958">
            <v>110</v>
          </cell>
          <cell r="J958">
            <v>110</v>
          </cell>
          <cell r="K958" t="str">
            <v>Listeria monocytogenes</v>
          </cell>
          <cell r="L958">
            <v>41902782</v>
          </cell>
          <cell r="M958">
            <v>12496366</v>
          </cell>
          <cell r="N958" t="str">
            <v>Italy</v>
          </cell>
          <cell r="Q958">
            <v>2015</v>
          </cell>
          <cell r="T958" t="str">
            <v>Istituto Zooprofilattico Sperimentale dell ‚ÄòAbruzzo e del Molise "Giuseppe Caporale", Teramo, Italy</v>
          </cell>
          <cell r="U958" t="str">
            <v>Food</v>
          </cell>
          <cell r="V958" t="str">
            <v>SALAME</v>
          </cell>
          <cell r="X958" t="str">
            <v>ERR10611880</v>
          </cell>
        </row>
        <row r="959">
          <cell r="G959" t="str">
            <v>/home/projects/cge/backup/fastq/food_seqdata/NextSeq_206/FoodQCPipeline_tmp/conc_fqs/DTU_2022_1015616_1_SI_121_R1_001.fq.gz</v>
          </cell>
          <cell r="H959" t="str">
            <v>/home/projects/cge/backup/fastq/food_seqdata/NextSeq_206/FoodQCPipeline_tmp/conc_fqs/DTU_2022_1015616_1_SI_121_R2_001.fq.gz</v>
          </cell>
          <cell r="I959">
            <v>121</v>
          </cell>
          <cell r="J959">
            <v>121</v>
          </cell>
          <cell r="K959" t="str">
            <v>Listeria monocytogenes</v>
          </cell>
          <cell r="L959">
            <v>41902782</v>
          </cell>
          <cell r="M959">
            <v>12496366</v>
          </cell>
          <cell r="N959" t="str">
            <v>Italy</v>
          </cell>
          <cell r="Q959">
            <v>2016</v>
          </cell>
          <cell r="T959" t="str">
            <v>Istituto Zooprofilattico Sperimentale dell ‚ÄòAbruzzo e del Molise "Giuseppe Caporale", Teramo, Italy</v>
          </cell>
          <cell r="U959" t="str">
            <v>Food</v>
          </cell>
          <cell r="V959" t="str">
            <v>SMOKED FISH</v>
          </cell>
          <cell r="X959" t="str">
            <v>ERR10611859</v>
          </cell>
        </row>
        <row r="960">
          <cell r="G960" t="str">
            <v>/home/projects/cge/backup/fastq/food_seqdata/NextSeq_206/FoodQCPipeline_tmp/conc_fqs/DTU_2022_1015617_1_SI_122_R1_001.fq.gz</v>
          </cell>
          <cell r="H960" t="str">
            <v>/home/projects/cge/backup/fastq/food_seqdata/NextSeq_206/FoodQCPipeline_tmp/conc_fqs/DTU_2022_1015617_1_SI_122_R2_001.fq.gz</v>
          </cell>
          <cell r="I960">
            <v>122</v>
          </cell>
          <cell r="J960">
            <v>122</v>
          </cell>
          <cell r="K960" t="str">
            <v>Listeria monocytogenes</v>
          </cell>
          <cell r="L960">
            <v>41902782</v>
          </cell>
          <cell r="M960">
            <v>12496366</v>
          </cell>
          <cell r="N960" t="str">
            <v>Italy</v>
          </cell>
          <cell r="Q960">
            <v>2016</v>
          </cell>
          <cell r="T960" t="str">
            <v>Istituto Zooprofilattico Sperimentale dell ‚ÄòAbruzzo e del Molise "Giuseppe Caporale", Teramo, Italy</v>
          </cell>
          <cell r="U960" t="str">
            <v>Food</v>
          </cell>
          <cell r="V960" t="str">
            <v xml:space="preserve">SALSICCIA (DRIED SAUSAGE) </v>
          </cell>
          <cell r="X960" t="str">
            <v>ERR10611890</v>
          </cell>
        </row>
        <row r="961">
          <cell r="G961" t="str">
            <v>/home/projects/cge/backup/fastq/food_seqdata/NextSeq_206/FoodQCPipeline_tmp/conc_fqs/DTU_2022_1015618_1_SI_123_R1_001.fq.gz</v>
          </cell>
          <cell r="H961" t="str">
            <v>/home/projects/cge/backup/fastq/food_seqdata/NextSeq_206/FoodQCPipeline_tmp/conc_fqs/DTU_2022_1015618_1_SI_123_R2_001.fq.gz</v>
          </cell>
          <cell r="I961">
            <v>123</v>
          </cell>
          <cell r="J961">
            <v>123</v>
          </cell>
          <cell r="K961" t="str">
            <v>Listeria monocytogenes</v>
          </cell>
          <cell r="L961">
            <v>41902782</v>
          </cell>
          <cell r="M961">
            <v>12496366</v>
          </cell>
          <cell r="N961" t="str">
            <v>Italy</v>
          </cell>
          <cell r="Q961">
            <v>2016</v>
          </cell>
          <cell r="T961" t="str">
            <v>Istituto Zooprofilattico Sperimentale dell ‚ÄòAbruzzo e del Molise "Giuseppe Caporale", Teramo, Italy</v>
          </cell>
          <cell r="U961" t="str">
            <v>Food</v>
          </cell>
          <cell r="V961" t="str">
            <v>SMOKED FISH</v>
          </cell>
          <cell r="X961" t="str">
            <v>ERR10611860</v>
          </cell>
        </row>
        <row r="962">
          <cell r="G962" t="str">
            <v>/home/projects/cge/backup/fastq/food_seqdata/NextSeq_203/FoodQCPipeline_tmp/conc_fqs/DTU_2022_1015591_1_SI_96_R1_001.fq.gz</v>
          </cell>
          <cell r="H962" t="str">
            <v>/home/projects/cge/backup/fastq/food_seqdata/NextSeq_203/FoodQCPipeline_tmp/conc_fqs/DTU_2022_1015591_1_SI_96_R2_001.fq.gz</v>
          </cell>
          <cell r="I962">
            <v>96</v>
          </cell>
          <cell r="J962">
            <v>96</v>
          </cell>
          <cell r="K962" t="str">
            <v>Listeria monocytogenes</v>
          </cell>
          <cell r="L962">
            <v>41902782</v>
          </cell>
          <cell r="M962">
            <v>12496366</v>
          </cell>
          <cell r="N962" t="str">
            <v>Italy</v>
          </cell>
          <cell r="Q962">
            <v>2017</v>
          </cell>
          <cell r="T962" t="str">
            <v>Istituto Zooprofilattico Sperimentale dell ‚ÄòAbruzzo e del Molise "Giuseppe Caporale", Teramo, Italy</v>
          </cell>
          <cell r="U962" t="str">
            <v>Production environment</v>
          </cell>
          <cell r="V962" t="str">
            <v>PREPARAZIONI ALIMENTARI MISTE E PREPARAZIONI GASTRONOMICHE</v>
          </cell>
          <cell r="X962" t="str">
            <v>ERR10549891</v>
          </cell>
        </row>
        <row r="963">
          <cell r="G963" t="str">
            <v>/home/projects/cge/backup/fastq/food_seqdata/NextSeq_203/FoodQCPipeline_tmp/conc_fqs/DTU_2022_1015592_1_SI_97_R1_001.fq.gz</v>
          </cell>
          <cell r="H963" t="str">
            <v>/home/projects/cge/backup/fastq/food_seqdata/NextSeq_203/FoodQCPipeline_tmp/conc_fqs/DTU_2022_1015592_1_SI_97_R2_001.fq.gz</v>
          </cell>
          <cell r="I963">
            <v>97</v>
          </cell>
          <cell r="J963">
            <v>97</v>
          </cell>
          <cell r="K963" t="str">
            <v>Listeria monocytogenes</v>
          </cell>
          <cell r="L963">
            <v>41902782</v>
          </cell>
          <cell r="M963">
            <v>12496366</v>
          </cell>
          <cell r="N963" t="str">
            <v>Italy</v>
          </cell>
          <cell r="Q963">
            <v>2017</v>
          </cell>
          <cell r="T963" t="str">
            <v>Istituto Zooprofilattico Sperimentale dell ‚ÄòAbruzzo e del Molise "Giuseppe Caporale", Teramo, Italy</v>
          </cell>
          <cell r="U963" t="str">
            <v>Food</v>
          </cell>
          <cell r="V963" t="str">
            <v xml:space="preserve">SALSICCIA (DRIED SAUSAGE) </v>
          </cell>
          <cell r="X963" t="str">
            <v>ERR10549867</v>
          </cell>
        </row>
        <row r="964">
          <cell r="G964" t="str">
            <v>/home/projects/cge/backup/fastq/food_seqdata/NextSeq_209/FoodQCPipeline_tmp/conc_fqs/DTU_2022_1015593_2_SI_98_R1_001.fq.gz</v>
          </cell>
          <cell r="H964" t="str">
            <v>/home/projects/cge/backup/fastq/food_seqdata/NextSeq_209/FoodQCPipeline_tmp/conc_fqs/DTU_2022_1015593_2_SI_98_R2_001.fq.gz</v>
          </cell>
          <cell r="I964">
            <v>98</v>
          </cell>
          <cell r="J964">
            <v>98</v>
          </cell>
          <cell r="K964" t="str">
            <v>Listeria monocytogenes</v>
          </cell>
          <cell r="L964">
            <v>41902782</v>
          </cell>
          <cell r="M964">
            <v>12496366</v>
          </cell>
          <cell r="N964" t="str">
            <v>Italy</v>
          </cell>
          <cell r="Q964">
            <v>2017</v>
          </cell>
          <cell r="T964" t="str">
            <v>Istituto Zooprofilattico Sperimentale dell ‚ÄòAbruzzo e del Molise "Giuseppe Caporale", Teramo, Italy</v>
          </cell>
          <cell r="U964" t="str">
            <v>Food</v>
          </cell>
          <cell r="V964" t="str">
            <v>MOZZARELLA</v>
          </cell>
          <cell r="X964" t="str">
            <v>ERR10611975</v>
          </cell>
        </row>
        <row r="965">
          <cell r="G965" t="str">
            <v>/home/projects/cge/backup/fastq/food_seqdata/NextSeq_203/FoodQCPipeline_tmp/conc_fqs/DTU_2022_1015594_1_SI_99_R1_001.fq.gz</v>
          </cell>
          <cell r="H965" t="str">
            <v>/home/projects/cge/backup/fastq/food_seqdata/NextSeq_203/FoodQCPipeline_tmp/conc_fqs/DTU_2022_1015594_1_SI_99_R2_001.fq.gz</v>
          </cell>
          <cell r="I965">
            <v>99</v>
          </cell>
          <cell r="J965">
            <v>99</v>
          </cell>
          <cell r="K965" t="str">
            <v>Listeria monocytogenes</v>
          </cell>
          <cell r="L965">
            <v>41902782</v>
          </cell>
          <cell r="M965">
            <v>12496366</v>
          </cell>
          <cell r="N965" t="str">
            <v>Italy</v>
          </cell>
          <cell r="Q965">
            <v>2017</v>
          </cell>
          <cell r="T965" t="str">
            <v>Istituto Zooprofilattico Sperimentale dell ‚ÄòAbruzzo e del Molise "Giuseppe Caporale", Teramo, Italy</v>
          </cell>
          <cell r="U965" t="str">
            <v>Food</v>
          </cell>
          <cell r="V965" t="str">
            <v>COPPA</v>
          </cell>
          <cell r="X965" t="str">
            <v>ERR10549889</v>
          </cell>
        </row>
        <row r="966">
          <cell r="G966" t="str">
            <v>/home/projects/cge/backup/fastq/food_seqdata/NextSeq_203/FoodQCPipeline_tmp/conc_fqs/DTU_2022_1015595_1_SI_100_R1_001.fq.gz</v>
          </cell>
          <cell r="H966" t="str">
            <v>/home/projects/cge/backup/fastq/food_seqdata/NextSeq_203/FoodQCPipeline_tmp/conc_fqs/DTU_2022_1015595_1_SI_100_R2_001.fq.gz</v>
          </cell>
          <cell r="I966">
            <v>100</v>
          </cell>
          <cell r="J966">
            <v>100</v>
          </cell>
          <cell r="K966" t="str">
            <v>Listeria monocytogenes</v>
          </cell>
          <cell r="L966">
            <v>41902782</v>
          </cell>
          <cell r="M966">
            <v>12496366</v>
          </cell>
          <cell r="N966" t="str">
            <v>Italy</v>
          </cell>
          <cell r="Q966">
            <v>2017</v>
          </cell>
          <cell r="T966" t="str">
            <v>Istituto Zooprofilattico Sperimentale dell ‚ÄòAbruzzo e del Molise "Giuseppe Caporale", Teramo, Italy</v>
          </cell>
          <cell r="U966" t="str">
            <v>Food</v>
          </cell>
          <cell r="V966" t="str">
            <v>SALAME</v>
          </cell>
          <cell r="X966" t="str">
            <v>ERR10549876</v>
          </cell>
        </row>
        <row r="967">
          <cell r="G967" t="str">
            <v>/home/projects/cge/backup/fastq/food_seqdata/NextSeq_203/FoodQCPipeline_tmp/conc_fqs/DTU_2022_1015596_1_SI_101_R1_001.fq.gz</v>
          </cell>
          <cell r="H967" t="str">
            <v>/home/projects/cge/backup/fastq/food_seqdata/NextSeq_203/FoodQCPipeline_tmp/conc_fqs/DTU_2022_1015596_1_SI_101_R2_001.fq.gz</v>
          </cell>
          <cell r="I967">
            <v>101</v>
          </cell>
          <cell r="J967">
            <v>101</v>
          </cell>
          <cell r="K967" t="str">
            <v>Listeria monocytogenes</v>
          </cell>
          <cell r="L967">
            <v>41902782</v>
          </cell>
          <cell r="M967">
            <v>12496366</v>
          </cell>
          <cell r="N967" t="str">
            <v>Italy</v>
          </cell>
          <cell r="Q967">
            <v>2017</v>
          </cell>
          <cell r="T967" t="str">
            <v>Istituto Zooprofilattico Sperimentale dell ‚ÄòAbruzzo e del Molise "Giuseppe Caporale", Teramo, Italy</v>
          </cell>
          <cell r="U967" t="str">
            <v>Food</v>
          </cell>
          <cell r="V967" t="str">
            <v>MOZZARELLA</v>
          </cell>
          <cell r="X967" t="str">
            <v>ERR10549869</v>
          </cell>
        </row>
        <row r="968">
          <cell r="G968" t="str">
            <v>/home/projects/cge/backup/fastq/food_seqdata/NextSeq_203/FoodQCPipeline_tmp/conc_fqs/DTU_2022_1015606_1_SI_111_R1_001.fq.gz</v>
          </cell>
          <cell r="H968" t="str">
            <v>/home/projects/cge/backup/fastq/food_seqdata/NextSeq_203/FoodQCPipeline_tmp/conc_fqs/DTU_2022_1015606_1_SI_111_R2_001.fq.gz</v>
          </cell>
          <cell r="I968">
            <v>111</v>
          </cell>
          <cell r="J968">
            <v>111</v>
          </cell>
          <cell r="K968" t="str">
            <v>Listeria monocytogenes</v>
          </cell>
          <cell r="L968">
            <v>41902782</v>
          </cell>
          <cell r="M968">
            <v>12496366</v>
          </cell>
          <cell r="N968" t="str">
            <v>Italy</v>
          </cell>
          <cell r="Q968">
            <v>2017</v>
          </cell>
          <cell r="T968" t="str">
            <v>Istituto Zooprofilattico Sperimentale dell ‚ÄòAbruzzo e del Molise "Giuseppe Caporale", Teramo, Italy</v>
          </cell>
          <cell r="U968" t="str">
            <v>Food</v>
          </cell>
          <cell r="V968" t="str">
            <v xml:space="preserve">SALSICCIA (DRIED SAUSAGE) </v>
          </cell>
          <cell r="X968" t="str">
            <v>ERR10549902</v>
          </cell>
        </row>
        <row r="969">
          <cell r="G969" t="str">
            <v>/home/projects/cge/backup/fastq/food_seqdata/NextSeq_203/FoodQCPipeline_tmp/conc_fqs/DTU_2022_1015607_1_SI_112_R1_001.fq.gz</v>
          </cell>
          <cell r="H969" t="str">
            <v>/home/projects/cge/backup/fastq/food_seqdata/NextSeq_203/FoodQCPipeline_tmp/conc_fqs/DTU_2022_1015607_1_SI_112_R2_001.fq.gz</v>
          </cell>
          <cell r="I969">
            <v>112</v>
          </cell>
          <cell r="J969">
            <v>112</v>
          </cell>
          <cell r="K969" t="str">
            <v>Listeria monocytogenes</v>
          </cell>
          <cell r="L969">
            <v>41902782</v>
          </cell>
          <cell r="M969">
            <v>12496366</v>
          </cell>
          <cell r="N969" t="str">
            <v>Italy</v>
          </cell>
          <cell r="Q969">
            <v>2017</v>
          </cell>
          <cell r="T969" t="str">
            <v>Istituto Zooprofilattico Sperimentale dell ‚ÄòAbruzzo e del Molise "Giuseppe Caporale", Teramo, Italy</v>
          </cell>
          <cell r="U969" t="str">
            <v>Food</v>
          </cell>
          <cell r="V969" t="str">
            <v>MINCED MEAT</v>
          </cell>
          <cell r="X969" t="str">
            <v>ERR10549887</v>
          </cell>
        </row>
        <row r="970">
          <cell r="G970" t="str">
            <v>/home/projects/cge/backup/fastq/food_seqdata/NextSeq_203/FoodQCPipeline_tmp/conc_fqs/DTU_2022_1015608_1_SI_113_R1_001.fq.gz</v>
          </cell>
          <cell r="H970" t="str">
            <v>/home/projects/cge/backup/fastq/food_seqdata/NextSeq_203/FoodQCPipeline_tmp/conc_fqs/DTU_2022_1015608_1_SI_113_R2_001.fq.gz</v>
          </cell>
          <cell r="I970">
            <v>113</v>
          </cell>
          <cell r="J970">
            <v>113</v>
          </cell>
          <cell r="K970" t="str">
            <v>Listeria monocytogenes</v>
          </cell>
          <cell r="L970">
            <v>41902782</v>
          </cell>
          <cell r="M970">
            <v>12496366</v>
          </cell>
          <cell r="N970" t="str">
            <v>Italy</v>
          </cell>
          <cell r="Q970">
            <v>2017</v>
          </cell>
          <cell r="T970" t="str">
            <v>Istituto Zooprofilattico Sperimentale dell ‚ÄòAbruzzo e del Molise "Giuseppe Caporale", Teramo, Italy</v>
          </cell>
          <cell r="U970" t="str">
            <v>Food</v>
          </cell>
          <cell r="V970" t="str">
            <v>MINCED MEAT</v>
          </cell>
          <cell r="X970" t="str">
            <v>ERR10549899</v>
          </cell>
        </row>
        <row r="971">
          <cell r="G971" t="str">
            <v>/home/projects/cge/backup/fastq/food_seqdata/NextSeq_206/FoodQCPipeline_tmp/conc_fqs/DTU_2022_1015609_1_SI_114_R1_001.fq.gz</v>
          </cell>
          <cell r="H971" t="str">
            <v>/home/projects/cge/backup/fastq/food_seqdata/NextSeq_206/FoodQCPipeline_tmp/conc_fqs/DTU_2022_1015609_1_SI_114_R2_001.fq.gz</v>
          </cell>
          <cell r="I971">
            <v>114</v>
          </cell>
          <cell r="J971">
            <v>114</v>
          </cell>
          <cell r="K971" t="str">
            <v>Listeria monocytogenes</v>
          </cell>
          <cell r="L971">
            <v>41902782</v>
          </cell>
          <cell r="M971">
            <v>12496366</v>
          </cell>
          <cell r="N971" t="str">
            <v>Italy</v>
          </cell>
          <cell r="Q971">
            <v>2017</v>
          </cell>
          <cell r="T971" t="str">
            <v>Istituto Zooprofilattico Sperimentale dell ‚ÄòAbruzzo e del Molise "Giuseppe Caporale", Teramo, Italy</v>
          </cell>
          <cell r="U971" t="str">
            <v>Food</v>
          </cell>
          <cell r="V971" t="str">
            <v>SALAMELLE (SALAME)</v>
          </cell>
          <cell r="X971" t="str">
            <v>ERR10611862</v>
          </cell>
        </row>
        <row r="972">
          <cell r="G972" t="str">
            <v>/home/projects/cge/backup/fastq/food_seqdata/NextSeq_206/FoodQCPipeline_tmp/conc_fqs/DTU_2022_1015610_1_SI_115_R1_001.fq.gz</v>
          </cell>
          <cell r="H972" t="str">
            <v>/home/projects/cge/backup/fastq/food_seqdata/NextSeq_206/FoodQCPipeline_tmp/conc_fqs/DTU_2022_1015610_1_SI_115_R2_001.fq.gz</v>
          </cell>
          <cell r="I972">
            <v>115</v>
          </cell>
          <cell r="J972">
            <v>115</v>
          </cell>
          <cell r="K972" t="str">
            <v>Listeria monocytogenes</v>
          </cell>
          <cell r="L972">
            <v>41902782</v>
          </cell>
          <cell r="M972">
            <v>12496366</v>
          </cell>
          <cell r="N972" t="str">
            <v>Italy</v>
          </cell>
          <cell r="Q972">
            <v>2017</v>
          </cell>
          <cell r="T972" t="str">
            <v>Istituto Zooprofilattico Sperimentale dell ‚ÄòAbruzzo e del Molise "Giuseppe Caporale", Teramo, Italy</v>
          </cell>
          <cell r="U972" t="str">
            <v>Production environment</v>
          </cell>
          <cell r="V972" t="str">
            <v>PREPARAZIONI ALIMENTARI MISTE E PREPARAZIONI GASTRONOMICHE</v>
          </cell>
          <cell r="X972" t="str">
            <v>ERR10611876</v>
          </cell>
        </row>
        <row r="973">
          <cell r="G973" t="str">
            <v>/home/projects/cge/backup/fastq/food_seqdata/NextSeq_206/FoodQCPipeline_tmp/conc_fqs/DTU_2022_1015611_1_SI_116_R1_001.fq.gz</v>
          </cell>
          <cell r="H973" t="str">
            <v>/home/projects/cge/backup/fastq/food_seqdata/NextSeq_206/FoodQCPipeline_tmp/conc_fqs/DTU_2022_1015611_1_SI_116_R2_001.fq.gz</v>
          </cell>
          <cell r="I973">
            <v>116</v>
          </cell>
          <cell r="J973">
            <v>116</v>
          </cell>
          <cell r="K973" t="str">
            <v>Listeria monocytogenes</v>
          </cell>
          <cell r="L973">
            <v>41902782</v>
          </cell>
          <cell r="M973">
            <v>12496366</v>
          </cell>
          <cell r="N973" t="str">
            <v>Italy</v>
          </cell>
          <cell r="Q973">
            <v>2017</v>
          </cell>
          <cell r="T973" t="str">
            <v>Istituto Zooprofilattico Sperimentale dell ‚ÄòAbruzzo e del Molise "Giuseppe Caporale", Teramo, Italy</v>
          </cell>
          <cell r="U973" t="str">
            <v>Food</v>
          </cell>
          <cell r="V973" t="str">
            <v>SEMIDRY CHEESE</v>
          </cell>
          <cell r="X973" t="str">
            <v>ERR10611883</v>
          </cell>
        </row>
        <row r="974">
          <cell r="G974" t="str">
            <v>/home/projects/cge/backup/fastq/food_seqdata/NextSeq_206/FoodQCPipeline_tmp/conc_fqs/DTU_2022_1015612_1_SI_117_R1_001.fq.gz</v>
          </cell>
          <cell r="H974" t="str">
            <v>/home/projects/cge/backup/fastq/food_seqdata/NextSeq_206/FoodQCPipeline_tmp/conc_fqs/DTU_2022_1015612_1_SI_117_R2_001.fq.gz</v>
          </cell>
          <cell r="I974">
            <v>117</v>
          </cell>
          <cell r="J974">
            <v>117</v>
          </cell>
          <cell r="K974" t="str">
            <v>Listeria monocytogenes</v>
          </cell>
          <cell r="L974">
            <v>41902782</v>
          </cell>
          <cell r="M974">
            <v>12496366</v>
          </cell>
          <cell r="N974" t="str">
            <v>Italy</v>
          </cell>
          <cell r="Q974">
            <v>2017</v>
          </cell>
          <cell r="T974" t="str">
            <v>Istituto Zooprofilattico Sperimentale dell ‚ÄòAbruzzo e del Molise "Giuseppe Caporale", Teramo, Italy</v>
          </cell>
          <cell r="U974" t="str">
            <v>Food</v>
          </cell>
          <cell r="V974" t="str">
            <v>SALAME</v>
          </cell>
          <cell r="X974" t="str">
            <v>ERR10611868</v>
          </cell>
        </row>
        <row r="975">
          <cell r="G975" t="str">
            <v>/home/projects/cge/backup/fastq/food_seqdata/NextSeq_198/FoodQCPipeline_tmp/conc_fqs/DTU_2022_1015452_1_SI_1_R1_001.fq.gz</v>
          </cell>
          <cell r="H975" t="str">
            <v>/home/projects/cge/backup/fastq/food_seqdata/NextSeq_198/FoodQCPipeline_tmp/conc_fqs/DTU_2022_1015452_1_SI_1_R2_001.fq.gz</v>
          </cell>
          <cell r="I975">
            <v>1</v>
          </cell>
          <cell r="J975">
            <v>1</v>
          </cell>
          <cell r="K975" t="str">
            <v>Listeria monocytogenes</v>
          </cell>
          <cell r="L975">
            <v>41902782</v>
          </cell>
          <cell r="M975">
            <v>12496366</v>
          </cell>
          <cell r="N975" t="str">
            <v>Italy</v>
          </cell>
          <cell r="Q975">
            <v>2018</v>
          </cell>
          <cell r="T975" t="str">
            <v>Istituto Zooprofilattico Sperimentale dell ‚ÄòAbruzzo e del Molise "Giuseppe Caporale", Teramo, Italy</v>
          </cell>
          <cell r="U975" t="str">
            <v>Production environment</v>
          </cell>
          <cell r="V975" t="str">
            <v>ENVIRONMENTAL SPONGE</v>
          </cell>
          <cell r="X975" t="str">
            <v>ERR10549900</v>
          </cell>
        </row>
        <row r="976">
          <cell r="G976" t="str">
            <v>/home/projects/cge/backup/fastq/food_seqdata/NextSeq_198/FoodQCPipeline_tmp/conc_fqs/DTU_2022_1015460_1_SI_9_R1_001.fq.gz</v>
          </cell>
          <cell r="H976" t="str">
            <v>/home/projects/cge/backup/fastq/food_seqdata/NextSeq_198/FoodQCPipeline_tmp/conc_fqs/DTU_2022_1015460_1_SI_9_R2_001.fq.gz</v>
          </cell>
          <cell r="I976">
            <v>9</v>
          </cell>
          <cell r="J976">
            <v>9</v>
          </cell>
          <cell r="K976" t="str">
            <v>Listeria monocytogenes</v>
          </cell>
          <cell r="L976">
            <v>41902782</v>
          </cell>
          <cell r="M976">
            <v>12496366</v>
          </cell>
          <cell r="N976" t="str">
            <v>Italy</v>
          </cell>
          <cell r="Q976">
            <v>2018</v>
          </cell>
          <cell r="T976" t="str">
            <v>Istituto Zooprofilattico Sperimentale dell ‚ÄòAbruzzo e del Molise "Giuseppe Caporale", Teramo, Italy</v>
          </cell>
          <cell r="U976" t="str">
            <v>Food</v>
          </cell>
          <cell r="V976" t="str">
            <v>FISHERY PRODUCTS</v>
          </cell>
          <cell r="X976" t="str">
            <v>ERR10549883</v>
          </cell>
        </row>
        <row r="977">
          <cell r="G977" t="str">
            <v>/home/projects/cge/backup/fastq/food_seqdata/NextSeq_198/FoodQCPipeline_tmp/conc_fqs/DTU_2022_1015461_1_SI_10_R1_001.fq.gz</v>
          </cell>
          <cell r="H977" t="str">
            <v>/home/projects/cge/backup/fastq/food_seqdata/NextSeq_198/FoodQCPipeline_tmp/conc_fqs/DTU_2022_1015461_1_SI_10_R2_001.fq.gz</v>
          </cell>
          <cell r="I977">
            <v>10</v>
          </cell>
          <cell r="J977">
            <v>10</v>
          </cell>
          <cell r="K977" t="str">
            <v>Listeria monocytogenes</v>
          </cell>
          <cell r="L977">
            <v>41902782</v>
          </cell>
          <cell r="M977">
            <v>12496366</v>
          </cell>
          <cell r="N977" t="str">
            <v>Italy</v>
          </cell>
          <cell r="Q977">
            <v>2018</v>
          </cell>
          <cell r="T977" t="str">
            <v>Istituto Zooprofilattico Sperimentale dell ‚ÄòAbruzzo e del Molise "Giuseppe Caporale", Teramo, Italy</v>
          </cell>
          <cell r="U977" t="str">
            <v>Food</v>
          </cell>
          <cell r="V977" t="str">
            <v xml:space="preserve">SALSICCIA (DRIED SAUSAGE) </v>
          </cell>
          <cell r="X977" t="str">
            <v>ERR10549932</v>
          </cell>
        </row>
        <row r="978">
          <cell r="G978" t="str">
            <v>/home/projects/cge/backup/fastq/food_seqdata/NextSeq_198/FoodQCPipeline_tmp/conc_fqs/DTU_2022_1015465_1_SI_14_R1_001.fq.gz</v>
          </cell>
          <cell r="H978" t="str">
            <v>/home/projects/cge/backup/fastq/food_seqdata/NextSeq_198/FoodQCPipeline_tmp/conc_fqs/DTU_2022_1015465_1_SI_14_R2_001.fq.gz</v>
          </cell>
          <cell r="I978">
            <v>14</v>
          </cell>
          <cell r="J978">
            <v>14</v>
          </cell>
          <cell r="K978" t="str">
            <v>Listeria monocytogenes</v>
          </cell>
          <cell r="L978">
            <v>41902782</v>
          </cell>
          <cell r="M978">
            <v>12496366</v>
          </cell>
          <cell r="N978" t="str">
            <v>Italy</v>
          </cell>
          <cell r="Q978">
            <v>2018</v>
          </cell>
          <cell r="T978" t="str">
            <v>Istituto Zooprofilattico Sperimentale dell ‚ÄòAbruzzo e del Molise "Giuseppe Caporale", Teramo, Italy</v>
          </cell>
          <cell r="U978" t="str">
            <v>Food</v>
          </cell>
          <cell r="V978" t="str">
            <v>SMOKED FISH</v>
          </cell>
          <cell r="X978" t="str">
            <v>ERR10549886</v>
          </cell>
        </row>
        <row r="979">
          <cell r="G979" t="str">
            <v>/home/projects/cge/backup/fastq/food_seqdata/NextSeq_198/FoodQCPipeline_tmp/conc_fqs/DTU_2022_1015467_1_SI_16_R1_001.fq.gz</v>
          </cell>
          <cell r="H979" t="str">
            <v>/home/projects/cge/backup/fastq/food_seqdata/NextSeq_198/FoodQCPipeline_tmp/conc_fqs/DTU_2022_1015467_1_SI_16_R2_001.fq.gz</v>
          </cell>
          <cell r="I979">
            <v>16</v>
          </cell>
          <cell r="J979">
            <v>16</v>
          </cell>
          <cell r="K979" t="str">
            <v>Listeria monocytogenes</v>
          </cell>
          <cell r="L979">
            <v>41902782</v>
          </cell>
          <cell r="M979">
            <v>12496366</v>
          </cell>
          <cell r="N979" t="str">
            <v>Italy</v>
          </cell>
          <cell r="Q979">
            <v>2018</v>
          </cell>
          <cell r="T979" t="str">
            <v>Istituto Zooprofilattico Sperimentale dell ‚ÄòAbruzzo e del Molise "Giuseppe Caporale", Teramo, Italy</v>
          </cell>
          <cell r="U979" t="str">
            <v>Production environment</v>
          </cell>
          <cell r="V979" t="str">
            <v>ENVIRONMENTAL SPONGE</v>
          </cell>
          <cell r="X979" t="str">
            <v>ERR10549892</v>
          </cell>
        </row>
        <row r="980">
          <cell r="G980" t="str">
            <v>/home/projects/cge/backup/fastq/food_seqdata/NextSeq_198/FoodQCPipeline_tmp/conc_fqs/DTU_2022_1015468_1_SI_17_R1_001.fq.gz</v>
          </cell>
          <cell r="H980" t="str">
            <v>/home/projects/cge/backup/fastq/food_seqdata/NextSeq_198/FoodQCPipeline_tmp/conc_fqs/DTU_2022_1015468_1_SI_17_R2_001.fq.gz</v>
          </cell>
          <cell r="I980">
            <v>17</v>
          </cell>
          <cell r="J980">
            <v>17</v>
          </cell>
          <cell r="K980" t="str">
            <v>Listeria monocytogenes</v>
          </cell>
          <cell r="L980">
            <v>41902782</v>
          </cell>
          <cell r="M980">
            <v>12496366</v>
          </cell>
          <cell r="N980" t="str">
            <v>Italy</v>
          </cell>
          <cell r="Q980">
            <v>2018</v>
          </cell>
          <cell r="T980" t="str">
            <v>Istituto Zooprofilattico Sperimentale dell ‚ÄòAbruzzo e del Molise "Giuseppe Caporale", Teramo, Italy</v>
          </cell>
          <cell r="U980" t="str">
            <v>Food</v>
          </cell>
          <cell r="V980" t="str">
            <v>HAMBURGER</v>
          </cell>
          <cell r="X980" t="str">
            <v>ERR10549909</v>
          </cell>
        </row>
        <row r="981">
          <cell r="G981" t="str">
            <v>/home/projects/cge/backup/fastq/food_seqdata/NextSeq_198/FoodQCPipeline_tmp/conc_fqs/DTU_2022_1015469_1_SI_18_R1_001.fq.gz</v>
          </cell>
          <cell r="H981" t="str">
            <v>/home/projects/cge/backup/fastq/food_seqdata/NextSeq_198/FoodQCPipeline_tmp/conc_fqs/DTU_2022_1015469_1_SI_18_R2_001.fq.gz</v>
          </cell>
          <cell r="I981">
            <v>18</v>
          </cell>
          <cell r="J981">
            <v>18</v>
          </cell>
          <cell r="K981" t="str">
            <v>Listeria monocytogenes</v>
          </cell>
          <cell r="L981">
            <v>41902782</v>
          </cell>
          <cell r="M981">
            <v>12496366</v>
          </cell>
          <cell r="N981" t="str">
            <v>Italy</v>
          </cell>
          <cell r="Q981">
            <v>2018</v>
          </cell>
          <cell r="T981" t="str">
            <v>Istituto Zooprofilattico Sperimentale dell ‚ÄòAbruzzo e del Molise "Giuseppe Caporale", Teramo, Italy</v>
          </cell>
          <cell r="U981" t="str">
            <v>Food</v>
          </cell>
          <cell r="V981" t="str">
            <v>SMOKED FISH</v>
          </cell>
          <cell r="X981" t="str">
            <v>ERR10549885</v>
          </cell>
        </row>
        <row r="982">
          <cell r="G982" t="str">
            <v>/home/projects/cge/backup/fastq/food_seqdata/NextSeq_198/FoodQCPipeline_tmp/conc_fqs/DTU_2022_1015473_1_SI_22_R1_001.fq.gz</v>
          </cell>
          <cell r="H982" t="str">
            <v>/home/projects/cge/backup/fastq/food_seqdata/NextSeq_198/FoodQCPipeline_tmp/conc_fqs/DTU_2022_1015473_1_SI_22_R2_001.fq.gz</v>
          </cell>
          <cell r="I982">
            <v>22</v>
          </cell>
          <cell r="J982">
            <v>22</v>
          </cell>
          <cell r="K982" t="str">
            <v>Listeria monocytogenes</v>
          </cell>
          <cell r="L982">
            <v>41902782</v>
          </cell>
          <cell r="M982">
            <v>12496366</v>
          </cell>
          <cell r="N982" t="str">
            <v>Italy</v>
          </cell>
          <cell r="Q982">
            <v>2018</v>
          </cell>
          <cell r="T982" t="str">
            <v>Istituto Zooprofilattico Sperimentale dell ‚ÄòAbruzzo e del Molise "Giuseppe Caporale", Teramo, Italy</v>
          </cell>
          <cell r="U982" t="str">
            <v>Food</v>
          </cell>
          <cell r="V982" t="str">
            <v xml:space="preserve"> HAM</v>
          </cell>
          <cell r="X982" t="str">
            <v>ERR10549877</v>
          </cell>
        </row>
        <row r="983">
          <cell r="G983" t="str">
            <v>/home/projects/cge/backup/fastq/food_seqdata/NextSeq_203/FoodQCPipeline_tmp/conc_fqs/DTU_2022_1015518_1_SI_23_R1_001.fq.gz</v>
          </cell>
          <cell r="H983" t="str">
            <v>/home/projects/cge/backup/fastq/food_seqdata/NextSeq_203/FoodQCPipeline_tmp/conc_fqs/DTU_2022_1015518_1_SI_23_R2_001.fq.gz</v>
          </cell>
          <cell r="I983">
            <v>23</v>
          </cell>
          <cell r="J983">
            <v>23</v>
          </cell>
          <cell r="K983" t="str">
            <v>Listeria monocytogenes</v>
          </cell>
          <cell r="L983">
            <v>41902782</v>
          </cell>
          <cell r="M983">
            <v>12496366</v>
          </cell>
          <cell r="N983" t="str">
            <v>Italy</v>
          </cell>
          <cell r="Q983">
            <v>2018</v>
          </cell>
          <cell r="T983" t="str">
            <v>Istituto Zooprofilattico Sperimentale dell ‚ÄòAbruzzo e del Molise "Giuseppe Caporale", Teramo, Italy</v>
          </cell>
          <cell r="U983" t="str">
            <v>Food</v>
          </cell>
          <cell r="V983" t="str">
            <v>HAM</v>
          </cell>
          <cell r="X983" t="str">
            <v>ERR10549898</v>
          </cell>
        </row>
        <row r="984">
          <cell r="G984" t="str">
            <v>/home/projects/cge/backup/fastq/food_seqdata/NextSeq_203/FoodQCPipeline_tmp/conc_fqs/DTU_2022_1015521_1_SI_26_R1_001.fq.gz</v>
          </cell>
          <cell r="H984" t="str">
            <v>/home/projects/cge/backup/fastq/food_seqdata/NextSeq_203/FoodQCPipeline_tmp/conc_fqs/DTU_2022_1015521_1_SI_26_R2_001.fq.gz</v>
          </cell>
          <cell r="I984">
            <v>26</v>
          </cell>
          <cell r="J984">
            <v>26</v>
          </cell>
          <cell r="K984" t="str">
            <v>Listeria monocytogenes</v>
          </cell>
          <cell r="L984">
            <v>41902782</v>
          </cell>
          <cell r="M984">
            <v>12496366</v>
          </cell>
          <cell r="N984" t="str">
            <v>Italy</v>
          </cell>
          <cell r="Q984">
            <v>2018</v>
          </cell>
          <cell r="T984" t="str">
            <v>Istituto Zooprofilattico Sperimentale dell ‚ÄòAbruzzo e del Molise "Giuseppe Caporale", Teramo, Italy</v>
          </cell>
          <cell r="U984" t="str">
            <v>Production environment</v>
          </cell>
          <cell r="V984" t="str">
            <v>ENVIRONMENTAL SPONGE</v>
          </cell>
          <cell r="X984" t="str">
            <v>ERR10549910</v>
          </cell>
        </row>
        <row r="985">
          <cell r="G985" t="str">
            <v>/home/projects/cge/backup/fastq/food_seqdata/NextSeq_203/FoodQCPipeline_tmp/conc_fqs/DTU_2022_1015522_1_SI_27_R1_001.fq.gz</v>
          </cell>
          <cell r="H985" t="str">
            <v>/home/projects/cge/backup/fastq/food_seqdata/NextSeq_203/FoodQCPipeline_tmp/conc_fqs/DTU_2022_1015522_1_SI_27_R2_001.fq.gz</v>
          </cell>
          <cell r="I985">
            <v>27</v>
          </cell>
          <cell r="J985">
            <v>27</v>
          </cell>
          <cell r="K985" t="str">
            <v>Listeria monocytogenes</v>
          </cell>
          <cell r="L985">
            <v>41902782</v>
          </cell>
          <cell r="M985">
            <v>12496366</v>
          </cell>
          <cell r="N985" t="str">
            <v>Italy</v>
          </cell>
          <cell r="Q985">
            <v>2018</v>
          </cell>
          <cell r="T985" t="str">
            <v>Istituto Zooprofilattico Sperimentale dell ‚ÄòAbruzzo e del Molise "Giuseppe Caporale", Teramo, Italy</v>
          </cell>
          <cell r="U985" t="str">
            <v>Production environment</v>
          </cell>
          <cell r="V985" t="str">
            <v>ENVIRONMENTAL SPONGE</v>
          </cell>
          <cell r="X985" t="str">
            <v>ERR10549880</v>
          </cell>
        </row>
        <row r="986">
          <cell r="G986" t="str">
            <v>/home/projects/cge/backup/fastq/food_seqdata/NextSeq_203/FoodQCPipeline_tmp/conc_fqs/DTU_2022_1015523_1_SI_28_R1_001.fq.gz</v>
          </cell>
          <cell r="H986" t="str">
            <v>/home/projects/cge/backup/fastq/food_seqdata/NextSeq_203/FoodQCPipeline_tmp/conc_fqs/DTU_2022_1015523_1_SI_28_R2_001.fq.gz</v>
          </cell>
          <cell r="I986">
            <v>28</v>
          </cell>
          <cell r="J986">
            <v>28</v>
          </cell>
          <cell r="K986" t="str">
            <v>Listeria monocytogenes</v>
          </cell>
          <cell r="L986">
            <v>41902782</v>
          </cell>
          <cell r="M986">
            <v>12496366</v>
          </cell>
          <cell r="N986" t="str">
            <v>Italy</v>
          </cell>
          <cell r="Q986">
            <v>2018</v>
          </cell>
          <cell r="T986" t="str">
            <v>Istituto Zooprofilattico Sperimentale dell ‚ÄòAbruzzo e del Molise "Giuseppe Caporale", Teramo, Italy</v>
          </cell>
          <cell r="U986" t="str">
            <v>Production environment</v>
          </cell>
          <cell r="V986" t="str">
            <v>ENVIRONMENTAL SPONGE</v>
          </cell>
          <cell r="X986" t="str">
            <v>ERR10549905</v>
          </cell>
        </row>
        <row r="987">
          <cell r="G987" t="str">
            <v>/home/projects/cge/backup/fastq/food_seqdata/NextSeq_203/FoodQCPipeline_tmp/conc_fqs/DTU_2022_1015530_1_SI_35_R1_001.fq.gz</v>
          </cell>
          <cell r="H987" t="str">
            <v>/home/projects/cge/backup/fastq/food_seqdata/NextSeq_203/FoodQCPipeline_tmp/conc_fqs/DTU_2022_1015530_1_SI_35_R2_001.fq.gz</v>
          </cell>
          <cell r="I987">
            <v>35</v>
          </cell>
          <cell r="J987">
            <v>35</v>
          </cell>
          <cell r="K987" t="str">
            <v>Listeria monocytogenes</v>
          </cell>
          <cell r="L987">
            <v>41902782</v>
          </cell>
          <cell r="M987">
            <v>12496366</v>
          </cell>
          <cell r="N987" t="str">
            <v>Italy</v>
          </cell>
          <cell r="Q987">
            <v>2018</v>
          </cell>
          <cell r="T987" t="str">
            <v>Istituto Zooprofilattico Sperimentale dell ‚ÄòAbruzzo e del Molise "Giuseppe Caporale", Teramo, Italy</v>
          </cell>
          <cell r="U987" t="str">
            <v>Food</v>
          </cell>
          <cell r="V987" t="str">
            <v>FISH BASED PREPARATION</v>
          </cell>
          <cell r="X987" t="str">
            <v>ERR10549912</v>
          </cell>
        </row>
        <row r="988">
          <cell r="G988" t="str">
            <v>/home/projects/cge/backup/fastq/food_seqdata/NextSeq_203/FoodQCPipeline_tmp/conc_fqs/DTU_2022_1015531_1_SI_36_R1_001.fq.gz</v>
          </cell>
          <cell r="H988" t="str">
            <v>/home/projects/cge/backup/fastq/food_seqdata/NextSeq_203/FoodQCPipeline_tmp/conc_fqs/DTU_2022_1015531_1_SI_36_R2_001.fq.gz</v>
          </cell>
          <cell r="I988">
            <v>36</v>
          </cell>
          <cell r="J988">
            <v>36</v>
          </cell>
          <cell r="K988" t="str">
            <v>Listeria monocytogenes</v>
          </cell>
          <cell r="L988">
            <v>41902782</v>
          </cell>
          <cell r="M988">
            <v>12496366</v>
          </cell>
          <cell r="N988" t="str">
            <v>Italy</v>
          </cell>
          <cell r="Q988">
            <v>2018</v>
          </cell>
          <cell r="T988" t="str">
            <v>Istituto Zooprofilattico Sperimentale dell ‚ÄòAbruzzo e del Molise "Giuseppe Caporale", Teramo, Italy</v>
          </cell>
          <cell r="U988" t="str">
            <v>Production environment</v>
          </cell>
          <cell r="V988" t="str">
            <v>ENVIRONMENTAL SPONGE</v>
          </cell>
          <cell r="X988" t="str">
            <v>ERR10549917</v>
          </cell>
        </row>
        <row r="989">
          <cell r="G989" t="str">
            <v>/home/projects/cge/backup/fastq/food_seqdata/NextSeq_203/FoodQCPipeline_tmp/conc_fqs/DTU_2022_1015532_1_SI_37_R1_001.fq.gz</v>
          </cell>
          <cell r="H989" t="str">
            <v>/home/projects/cge/backup/fastq/food_seqdata/NextSeq_203/FoodQCPipeline_tmp/conc_fqs/DTU_2022_1015532_1_SI_37_R2_001.fq.gz</v>
          </cell>
          <cell r="I989">
            <v>37</v>
          </cell>
          <cell r="J989">
            <v>37</v>
          </cell>
          <cell r="K989" t="str">
            <v>Listeria monocytogenes</v>
          </cell>
          <cell r="L989">
            <v>41902782</v>
          </cell>
          <cell r="M989">
            <v>12496366</v>
          </cell>
          <cell r="N989" t="str">
            <v>Italy</v>
          </cell>
          <cell r="Q989">
            <v>2018</v>
          </cell>
          <cell r="T989" t="str">
            <v>Istituto Zooprofilattico Sperimentale dell ‚ÄòAbruzzo e del Molise "Giuseppe Caporale", Teramo, Italy</v>
          </cell>
          <cell r="U989" t="str">
            <v>Food</v>
          </cell>
          <cell r="V989" t="str">
            <v>SEME-PRESERVED MEAT PRODUCTS</v>
          </cell>
          <cell r="X989" t="str">
            <v>ERR10549884</v>
          </cell>
        </row>
        <row r="990">
          <cell r="G990" t="str">
            <v>/home/projects/cge/backup/fastq/food_seqdata/NextSeq_209/FoodQCPipeline_tmp/conc_fqs/DTU_2022_1015533_2_SI_38_R1_001.fq.gz</v>
          </cell>
          <cell r="H990" t="str">
            <v>/home/projects/cge/backup/fastq/food_seqdata/NextSeq_209/FoodQCPipeline_tmp/conc_fqs/DTU_2022_1015533_2_SI_38_R2_001.fq.gz</v>
          </cell>
          <cell r="I990">
            <v>38</v>
          </cell>
          <cell r="J990">
            <v>38</v>
          </cell>
          <cell r="K990" t="str">
            <v>Listeria monocytogenes</v>
          </cell>
          <cell r="L990">
            <v>41902782</v>
          </cell>
          <cell r="M990">
            <v>12496366</v>
          </cell>
          <cell r="N990" t="str">
            <v>Italy</v>
          </cell>
          <cell r="Q990">
            <v>2018</v>
          </cell>
          <cell r="T990" t="str">
            <v>Istituto Zooprofilattico Sperimentale dell ‚ÄòAbruzzo e del Molise "Giuseppe Caporale", Teramo, Italy</v>
          </cell>
          <cell r="U990" t="str">
            <v>Food</v>
          </cell>
          <cell r="V990" t="str">
            <v>COOKED HAM</v>
          </cell>
          <cell r="X990" t="str">
            <v>ERR10611898</v>
          </cell>
        </row>
        <row r="991">
          <cell r="G991" t="str">
            <v>/home/projects/cge/backup/fastq/food_seqdata/NextSeq_203/FoodQCPipeline_tmp/conc_fqs/DTU_2022_1015535_1_SI_40_R1_001.fq.gz</v>
          </cell>
          <cell r="H991" t="str">
            <v>/home/projects/cge/backup/fastq/food_seqdata/NextSeq_203/FoodQCPipeline_tmp/conc_fqs/DTU_2022_1015535_1_SI_40_R2_001.fq.gz</v>
          </cell>
          <cell r="I991">
            <v>40</v>
          </cell>
          <cell r="J991">
            <v>40</v>
          </cell>
          <cell r="K991" t="str">
            <v>Listeria monocytogenes</v>
          </cell>
          <cell r="L991">
            <v>41902782</v>
          </cell>
          <cell r="M991">
            <v>12496366</v>
          </cell>
          <cell r="N991" t="str">
            <v>Italy</v>
          </cell>
          <cell r="Q991">
            <v>2018</v>
          </cell>
          <cell r="T991" t="str">
            <v>Istituto Zooprofilattico Sperimentale dell ‚ÄòAbruzzo e del Molise "Giuseppe Caporale", Teramo, Italy</v>
          </cell>
          <cell r="U991" t="str">
            <v>Production environment</v>
          </cell>
          <cell r="V991" t="str">
            <v>ENVIRONMENTAL SPONGE</v>
          </cell>
          <cell r="X991" t="str">
            <v>ERR10549921</v>
          </cell>
        </row>
        <row r="992">
          <cell r="G992" t="str">
            <v>/home/projects/cge/backup/fastq/food_seqdata/NextSeq_203/FoodQCPipeline_tmp/conc_fqs/DTU_2022_1015536_1_SI_41_R1_001.fq.gz</v>
          </cell>
          <cell r="H992" t="str">
            <v>/home/projects/cge/backup/fastq/food_seqdata/NextSeq_203/FoodQCPipeline_tmp/conc_fqs/DTU_2022_1015536_1_SI_41_R2_001.fq.gz</v>
          </cell>
          <cell r="I992">
            <v>41</v>
          </cell>
          <cell r="J992">
            <v>41</v>
          </cell>
          <cell r="K992" t="str">
            <v>Listeria monocytogenes</v>
          </cell>
          <cell r="L992">
            <v>41902782</v>
          </cell>
          <cell r="M992">
            <v>12496366</v>
          </cell>
          <cell r="N992" t="str">
            <v>Italy</v>
          </cell>
          <cell r="Q992">
            <v>2018</v>
          </cell>
          <cell r="T992" t="str">
            <v>Istituto Zooprofilattico Sperimentale dell ‚ÄòAbruzzo e del Molise "Giuseppe Caporale", Teramo, Italy</v>
          </cell>
          <cell r="U992" t="str">
            <v>Food</v>
          </cell>
          <cell r="V992" t="str">
            <v>SMOKED FISH</v>
          </cell>
          <cell r="X992" t="str">
            <v>ERR10549881</v>
          </cell>
        </row>
        <row r="993">
          <cell r="G993" t="str">
            <v>/home/projects/cge/backup/fastq/food_seqdata/NextSeq_203/FoodQCPipeline_tmp/conc_fqs/DTU_2022_1015537_1_SI_42_R1_001.fq.gz</v>
          </cell>
          <cell r="H993" t="str">
            <v>/home/projects/cge/backup/fastq/food_seqdata/NextSeq_203/FoodQCPipeline_tmp/conc_fqs/DTU_2022_1015537_1_SI_42_R2_001.fq.gz</v>
          </cell>
          <cell r="I993">
            <v>42</v>
          </cell>
          <cell r="J993">
            <v>42</v>
          </cell>
          <cell r="K993" t="str">
            <v>Listeria monocytogenes</v>
          </cell>
          <cell r="L993">
            <v>41902782</v>
          </cell>
          <cell r="M993">
            <v>12496366</v>
          </cell>
          <cell r="N993" t="str">
            <v>Italy</v>
          </cell>
          <cell r="Q993">
            <v>2018</v>
          </cell>
          <cell r="T993" t="str">
            <v>Istituto Zooprofilattico Sperimentale dell ‚ÄòAbruzzo e del Molise "Giuseppe Caporale", Teramo, Italy</v>
          </cell>
          <cell r="U993" t="str">
            <v>Production environment</v>
          </cell>
          <cell r="V993" t="str">
            <v>ENVIRONMENTAL SPONGE</v>
          </cell>
          <cell r="X993" t="str">
            <v>ERR10549908</v>
          </cell>
        </row>
        <row r="994">
          <cell r="G994" t="str">
            <v>/home/projects/cge/backup/fastq/food_seqdata/NextSeq_203/FoodQCPipeline_tmp/conc_fqs/DTU_2022_1015538_1_SI_43_R1_001.fq.gz</v>
          </cell>
          <cell r="H994" t="str">
            <v>/home/projects/cge/backup/fastq/food_seqdata/NextSeq_203/FoodQCPipeline_tmp/conc_fqs/DTU_2022_1015538_1_SI_43_R2_001.fq.gz</v>
          </cell>
          <cell r="I994">
            <v>43</v>
          </cell>
          <cell r="J994">
            <v>43</v>
          </cell>
          <cell r="K994" t="str">
            <v>Listeria monocytogenes</v>
          </cell>
          <cell r="L994">
            <v>41902782</v>
          </cell>
          <cell r="M994">
            <v>12496366</v>
          </cell>
          <cell r="N994" t="str">
            <v>Italy</v>
          </cell>
          <cell r="Q994">
            <v>2018</v>
          </cell>
          <cell r="T994" t="str">
            <v>Istituto Zooprofilattico Sperimentale dell ‚ÄòAbruzzo e del Molise "Giuseppe Caporale", Teramo, Italy</v>
          </cell>
          <cell r="U994" t="str">
            <v>Food</v>
          </cell>
          <cell r="V994" t="str">
            <v>SMOKED FISH</v>
          </cell>
          <cell r="X994" t="str">
            <v>ERR10549890</v>
          </cell>
        </row>
        <row r="995">
          <cell r="G995" t="str">
            <v>/home/projects/cge/backup/fastq/food_seqdata/NextSeq_206/FoodQCPipeline_tmp/conc_fqs/DTU_2022_1015621_1_SI_126_R1_001.fq.gz</v>
          </cell>
          <cell r="H995" t="str">
            <v>/home/projects/cge/backup/fastq/food_seqdata/NextSeq_206/FoodQCPipeline_tmp/conc_fqs/DTU_2022_1015621_1_SI_126_R2_001.fq.gz</v>
          </cell>
          <cell r="I995">
            <v>126</v>
          </cell>
          <cell r="J995">
            <v>126</v>
          </cell>
          <cell r="K995" t="str">
            <v>Listeria monocytogenes</v>
          </cell>
          <cell r="L995">
            <v>41902782</v>
          </cell>
          <cell r="M995">
            <v>12496366</v>
          </cell>
          <cell r="N995" t="str">
            <v>Italy</v>
          </cell>
          <cell r="Q995">
            <v>2018</v>
          </cell>
          <cell r="T995" t="str">
            <v>Istituto Zooprofilattico Sperimentale dell ‚ÄòAbruzzo e del Molise "Giuseppe Caporale", Teramo, Italy</v>
          </cell>
          <cell r="U995" t="str">
            <v>Production environment</v>
          </cell>
          <cell r="V995" t="str">
            <v>ENVIRONMENTAL SPONGE</v>
          </cell>
          <cell r="X995" t="str">
            <v>ERR10611894</v>
          </cell>
        </row>
        <row r="996">
          <cell r="G996" t="str">
            <v>/home/projects/cge/backup/fastq/food_seqdata/NextSeq_198/FoodQCPipeline_tmp/conc_fqs/DTU_2022_1015464_1_SI_13_R1_001.fq.gz</v>
          </cell>
          <cell r="H996" t="str">
            <v>/home/projects/cge/backup/fastq/food_seqdata/NextSeq_198/FoodQCPipeline_tmp/conc_fqs/DTU_2022_1015464_1_SI_13_R2_001.fq.gz</v>
          </cell>
          <cell r="I996">
            <v>13</v>
          </cell>
          <cell r="J996">
            <v>13</v>
          </cell>
          <cell r="K996" t="str">
            <v>Listeria monocytogenes</v>
          </cell>
          <cell r="L996">
            <v>41902782</v>
          </cell>
          <cell r="M996">
            <v>12496366</v>
          </cell>
          <cell r="N996" t="str">
            <v>Italy</v>
          </cell>
          <cell r="Q996">
            <v>2019</v>
          </cell>
          <cell r="T996" t="str">
            <v>Istituto Zooprofilattico Sperimentale dell ‚ÄòAbruzzo e del Molise "Giuseppe Caporale", Teramo, Italy</v>
          </cell>
          <cell r="U996" t="str">
            <v>Food</v>
          </cell>
          <cell r="V996" t="str">
            <v>FROZEN CRUSTACEAN</v>
          </cell>
          <cell r="X996" t="str">
            <v>ERR10549893</v>
          </cell>
        </row>
        <row r="997">
          <cell r="G997" t="str">
            <v>/home/projects/cge/backup/fastq/food_seqdata/NextSeq_198/FoodQCPipeline_tmp/conc_fqs/DTU_2022_1015466_1_SI_15_R1_001.fq.gz</v>
          </cell>
          <cell r="H997" t="str">
            <v>/home/projects/cge/backup/fastq/food_seqdata/NextSeq_198/FoodQCPipeline_tmp/conc_fqs/DTU_2022_1015466_1_SI_15_R2_001.fq.gz</v>
          </cell>
          <cell r="I997">
            <v>15</v>
          </cell>
          <cell r="J997">
            <v>15</v>
          </cell>
          <cell r="K997" t="str">
            <v>Listeria monocytogenes</v>
          </cell>
          <cell r="L997">
            <v>41902782</v>
          </cell>
          <cell r="M997">
            <v>12496366</v>
          </cell>
          <cell r="N997" t="str">
            <v>Italy</v>
          </cell>
          <cell r="Q997">
            <v>2019</v>
          </cell>
          <cell r="T997" t="str">
            <v>Istituto Zooprofilattico Sperimentale dell ‚ÄòAbruzzo e del Molise "Giuseppe Caporale", Teramo, Italy</v>
          </cell>
          <cell r="U997" t="str">
            <v>Food</v>
          </cell>
          <cell r="V997" t="str">
            <v>CUT MEAT</v>
          </cell>
          <cell r="X997" t="str">
            <v>ERR10549918</v>
          </cell>
        </row>
        <row r="998">
          <cell r="G998" t="str">
            <v>/home/projects/cge/backup/fastq/food_seqdata/NextSeq_198/FoodQCPipeline_tmp/conc_fqs/DTU_2022_1015470_1_SI_19_R1_001.fq.gz</v>
          </cell>
          <cell r="H998" t="str">
            <v>/home/projects/cge/backup/fastq/food_seqdata/NextSeq_198/FoodQCPipeline_tmp/conc_fqs/DTU_2022_1015470_1_SI_19_R2_001.fq.gz</v>
          </cell>
          <cell r="I998">
            <v>19</v>
          </cell>
          <cell r="J998">
            <v>19</v>
          </cell>
          <cell r="K998" t="str">
            <v>Listeria monocytogenes</v>
          </cell>
          <cell r="L998">
            <v>41902782</v>
          </cell>
          <cell r="M998">
            <v>12496366</v>
          </cell>
          <cell r="N998" t="str">
            <v>Italy</v>
          </cell>
          <cell r="Q998">
            <v>2019</v>
          </cell>
          <cell r="T998" t="str">
            <v>Istituto Zooprofilattico Sperimentale dell ‚ÄòAbruzzo e del Molise "Giuseppe Caporale", Teramo, Italy</v>
          </cell>
          <cell r="U998" t="str">
            <v>Food</v>
          </cell>
          <cell r="V998" t="str">
            <v xml:space="preserve"> HAM</v>
          </cell>
          <cell r="X998" t="str">
            <v>ERR10549919</v>
          </cell>
        </row>
        <row r="999">
          <cell r="G999" t="str">
            <v>/home/projects/cge/backup/fastq/food_seqdata/NextSeq_198/FoodQCPipeline_tmp/conc_fqs/DTU_2022_1015471_1_SI_20_R1_001.fq.gz</v>
          </cell>
          <cell r="H999" t="str">
            <v>/home/projects/cge/backup/fastq/food_seqdata/NextSeq_198/FoodQCPipeline_tmp/conc_fqs/DTU_2022_1015471_1_SI_20_R2_001.fq.gz</v>
          </cell>
          <cell r="I999">
            <v>20</v>
          </cell>
          <cell r="J999">
            <v>20</v>
          </cell>
          <cell r="K999" t="str">
            <v>Listeria monocytogenes</v>
          </cell>
          <cell r="L999">
            <v>41902782</v>
          </cell>
          <cell r="M999">
            <v>12496366</v>
          </cell>
          <cell r="N999" t="str">
            <v>Italy</v>
          </cell>
          <cell r="Q999">
            <v>2019</v>
          </cell>
          <cell r="T999" t="str">
            <v>Istituto Zooprofilattico Sperimentale dell ‚ÄòAbruzzo e del Molise "Giuseppe Caporale", Teramo, Italy</v>
          </cell>
          <cell r="U999" t="str">
            <v>Food</v>
          </cell>
          <cell r="V999" t="str">
            <v>SAUCE BASE</v>
          </cell>
          <cell r="X999" t="str">
            <v>ERR10549901</v>
          </cell>
        </row>
        <row r="1000">
          <cell r="G1000" t="str">
            <v>/home/projects/cge/backup/fastq/food_seqdata/NextSeq_198/FoodQCPipeline_tmp/conc_fqs/DTU_2022_1015472_1_SI_21_R1_001.fq.gz</v>
          </cell>
          <cell r="H1000" t="str">
            <v>/home/projects/cge/backup/fastq/food_seqdata/NextSeq_198/FoodQCPipeline_tmp/conc_fqs/DTU_2022_1015472_1_SI_21_R2_001.fq.gz</v>
          </cell>
          <cell r="I1000">
            <v>21</v>
          </cell>
          <cell r="J1000">
            <v>21</v>
          </cell>
          <cell r="K1000" t="str">
            <v>Listeria monocytogenes</v>
          </cell>
          <cell r="L1000">
            <v>41902782</v>
          </cell>
          <cell r="M1000">
            <v>12496366</v>
          </cell>
          <cell r="N1000" t="str">
            <v>Italy</v>
          </cell>
          <cell r="Q1000">
            <v>2019</v>
          </cell>
          <cell r="T1000" t="str">
            <v>Istituto Zooprofilattico Sperimentale dell ‚ÄòAbruzzo e del Molise "Giuseppe Caporale", Teramo, Italy</v>
          </cell>
          <cell r="U1000" t="str">
            <v>Food</v>
          </cell>
          <cell r="V1000" t="str">
            <v>MINCED MEAT</v>
          </cell>
          <cell r="X1000" t="str">
            <v>ERR10549920</v>
          </cell>
        </row>
        <row r="1001">
          <cell r="G1001" t="str">
            <v>/home/projects/cge/backup/fastq/food_seqdata/NextSeq_203/FoodQCPipeline_tmp/conc_fqs/DTU_2022_1015519_1_SI_24_R1_001.fq.gz</v>
          </cell>
          <cell r="H1001" t="str">
            <v>/home/projects/cge/backup/fastq/food_seqdata/NextSeq_203/FoodQCPipeline_tmp/conc_fqs/DTU_2022_1015519_1_SI_24_R2_001.fq.gz</v>
          </cell>
          <cell r="I1001">
            <v>24</v>
          </cell>
          <cell r="J1001">
            <v>24</v>
          </cell>
          <cell r="K1001" t="str">
            <v>Listeria monocytogenes</v>
          </cell>
          <cell r="L1001">
            <v>41902782</v>
          </cell>
          <cell r="M1001">
            <v>12496366</v>
          </cell>
          <cell r="N1001" t="str">
            <v>Italy</v>
          </cell>
          <cell r="Q1001">
            <v>2019</v>
          </cell>
          <cell r="T1001" t="str">
            <v>Istituto Zooprofilattico Sperimentale dell ‚ÄòAbruzzo e del Molise "Giuseppe Caporale", Teramo, Italy</v>
          </cell>
          <cell r="U1001" t="str">
            <v>Food</v>
          </cell>
          <cell r="V1001" t="str">
            <v>HAM</v>
          </cell>
          <cell r="X1001" t="str">
            <v>ERR10549930</v>
          </cell>
        </row>
        <row r="1002">
          <cell r="G1002" t="str">
            <v>/home/projects/cge/backup/fastq/food_seqdata/NextSeq_203/FoodQCPipeline_tmp/conc_fqs/DTU_2022_1015520_1_SI_25_R1_001.fq.gz</v>
          </cell>
          <cell r="H1002" t="str">
            <v>/home/projects/cge/backup/fastq/food_seqdata/NextSeq_203/FoodQCPipeline_tmp/conc_fqs/DTU_2022_1015520_1_SI_25_R2_001.fq.gz</v>
          </cell>
          <cell r="I1002">
            <v>25</v>
          </cell>
          <cell r="J1002">
            <v>25</v>
          </cell>
          <cell r="K1002" t="str">
            <v>Listeria monocytogenes</v>
          </cell>
          <cell r="L1002">
            <v>41902782</v>
          </cell>
          <cell r="M1002">
            <v>12496366</v>
          </cell>
          <cell r="N1002" t="str">
            <v>Italy</v>
          </cell>
          <cell r="Q1002">
            <v>2019</v>
          </cell>
          <cell r="T1002" t="str">
            <v>Istituto Zooprofilattico Sperimentale dell ‚ÄòAbruzzo e del Molise "Giuseppe Caporale", Teramo, Italy</v>
          </cell>
          <cell r="U1002" t="str">
            <v>Food</v>
          </cell>
          <cell r="V1002" t="str">
            <v>HAM</v>
          </cell>
          <cell r="X1002" t="str">
            <v>ERR10549923</v>
          </cell>
        </row>
        <row r="1003">
          <cell r="G1003" t="str">
            <v>/home/projects/cge/backup/fastq/food_seqdata/NextSeq_203/FoodQCPipeline_tmp/conc_fqs/DTU_2022_1015524_1_SI_29_R1_001.fq.gz</v>
          </cell>
          <cell r="H1003" t="str">
            <v>/home/projects/cge/backup/fastq/food_seqdata/NextSeq_203/FoodQCPipeline_tmp/conc_fqs/DTU_2022_1015524_1_SI_29_R2_001.fq.gz</v>
          </cell>
          <cell r="I1003">
            <v>29</v>
          </cell>
          <cell r="J1003">
            <v>29</v>
          </cell>
          <cell r="K1003" t="str">
            <v>Listeria monocytogenes</v>
          </cell>
          <cell r="L1003">
            <v>41902782</v>
          </cell>
          <cell r="M1003">
            <v>12496366</v>
          </cell>
          <cell r="N1003" t="str">
            <v>Italy</v>
          </cell>
          <cell r="Q1003">
            <v>2019</v>
          </cell>
          <cell r="T1003" t="str">
            <v>Istituto Zooprofilattico Sperimentale dell ‚ÄòAbruzzo e del Molise "Giuseppe Caporale", Teramo, Italy</v>
          </cell>
          <cell r="U1003" t="str">
            <v>Production environment</v>
          </cell>
          <cell r="V1003" t="str">
            <v>ENVIRONMENTAL SPONGE</v>
          </cell>
          <cell r="X1003" t="str">
            <v>ERR10549927</v>
          </cell>
        </row>
        <row r="1004">
          <cell r="G1004" t="str">
            <v>/home/projects/cge/backup/fastq/food_seqdata/NextSeq_203/FoodQCPipeline_tmp/conc_fqs/DTU_2022_1015525_1_SI_30_R1_001.fq.gz</v>
          </cell>
          <cell r="H1004" t="str">
            <v>/home/projects/cge/backup/fastq/food_seqdata/NextSeq_203/FoodQCPipeline_tmp/conc_fqs/DTU_2022_1015525_1_SI_30_R2_001.fq.gz</v>
          </cell>
          <cell r="I1004">
            <v>30</v>
          </cell>
          <cell r="J1004">
            <v>30</v>
          </cell>
          <cell r="K1004" t="str">
            <v>Listeria monocytogenes</v>
          </cell>
          <cell r="L1004">
            <v>41902782</v>
          </cell>
          <cell r="M1004">
            <v>12496366</v>
          </cell>
          <cell r="N1004" t="str">
            <v>Italy</v>
          </cell>
          <cell r="Q1004">
            <v>2019</v>
          </cell>
          <cell r="T1004" t="str">
            <v>Istituto Zooprofilattico Sperimentale dell ‚ÄòAbruzzo e del Molise "Giuseppe Caporale", Teramo, Italy</v>
          </cell>
          <cell r="U1004" t="str">
            <v>Food</v>
          </cell>
          <cell r="V1004" t="str">
            <v>HAM</v>
          </cell>
          <cell r="X1004" t="str">
            <v>ERR10549904</v>
          </cell>
        </row>
        <row r="1005">
          <cell r="G1005" t="str">
            <v>/home/projects/cge/backup/fastq/food_seqdata/NextSeq_203/FoodQCPipeline_tmp/conc_fqs/DTU_2022_1015526_1_SI_31_R1_001.fq.gz</v>
          </cell>
          <cell r="H1005" t="str">
            <v>/home/projects/cge/backup/fastq/food_seqdata/NextSeq_203/FoodQCPipeline_tmp/conc_fqs/DTU_2022_1015526_1_SI_31_R2_001.fq.gz</v>
          </cell>
          <cell r="I1005">
            <v>31</v>
          </cell>
          <cell r="J1005">
            <v>31</v>
          </cell>
          <cell r="K1005" t="str">
            <v>Listeria monocytogenes</v>
          </cell>
          <cell r="L1005">
            <v>41902782</v>
          </cell>
          <cell r="M1005">
            <v>12496366</v>
          </cell>
          <cell r="N1005" t="str">
            <v>Italy</v>
          </cell>
          <cell r="Q1005">
            <v>2019</v>
          </cell>
          <cell r="T1005" t="str">
            <v>Istituto Zooprofilattico Sperimentale dell ‚ÄòAbruzzo e del Molise "Giuseppe Caporale", Teramo, Italy</v>
          </cell>
          <cell r="U1005" t="str">
            <v>Food</v>
          </cell>
          <cell r="V1005" t="str">
            <v>SMOKED FISH</v>
          </cell>
          <cell r="X1005" t="str">
            <v>ERR10549925</v>
          </cell>
        </row>
        <row r="1006">
          <cell r="G1006" t="str">
            <v>/home/projects/cge/backup/fastq/food_seqdata/NextSeq_203/FoodQCPipeline_tmp/conc_fqs/DTU_2022_1015527_1_SI_32_R1_001.fq.gz</v>
          </cell>
          <cell r="H1006" t="str">
            <v>/home/projects/cge/backup/fastq/food_seqdata/NextSeq_203/FoodQCPipeline_tmp/conc_fqs/DTU_2022_1015527_1_SI_32_R2_001.fq.gz</v>
          </cell>
          <cell r="I1006">
            <v>32</v>
          </cell>
          <cell r="J1006">
            <v>32</v>
          </cell>
          <cell r="K1006" t="str">
            <v>Listeria monocytogenes</v>
          </cell>
          <cell r="L1006">
            <v>41902782</v>
          </cell>
          <cell r="M1006">
            <v>12496366</v>
          </cell>
          <cell r="N1006" t="str">
            <v>Italy</v>
          </cell>
          <cell r="Q1006">
            <v>2019</v>
          </cell>
          <cell r="T1006" t="str">
            <v>Istituto Zooprofilattico Sperimentale dell ‚ÄòAbruzzo e del Molise "Giuseppe Caporale", Teramo, Italy</v>
          </cell>
          <cell r="U1006" t="str">
            <v>Food</v>
          </cell>
          <cell r="V1006" t="str">
            <v>CRUSTACEAN BASED PRODUCT</v>
          </cell>
          <cell r="X1006" t="str">
            <v>ERR10549928</v>
          </cell>
        </row>
        <row r="1007">
          <cell r="G1007" t="str">
            <v>/home/projects/cge/backup/fastq/food_seqdata/NextSeq_203/FoodQCPipeline_tmp/conc_fqs/DTU_2022_1015528_1_SI_33_R1_001.fq.gz</v>
          </cell>
          <cell r="H1007" t="str">
            <v>/home/projects/cge/backup/fastq/food_seqdata/NextSeq_203/FoodQCPipeline_tmp/conc_fqs/DTU_2022_1015528_1_SI_33_R2_001.fq.gz</v>
          </cell>
          <cell r="I1007">
            <v>33</v>
          </cell>
          <cell r="J1007">
            <v>33</v>
          </cell>
          <cell r="K1007" t="str">
            <v>Listeria monocytogenes</v>
          </cell>
          <cell r="L1007">
            <v>41902782</v>
          </cell>
          <cell r="M1007">
            <v>12496366</v>
          </cell>
          <cell r="N1007" t="str">
            <v>Italy</v>
          </cell>
          <cell r="Q1007">
            <v>2019</v>
          </cell>
          <cell r="T1007" t="str">
            <v>Istituto Zooprofilattico Sperimentale dell ‚ÄòAbruzzo e del Molise "Giuseppe Caporale", Teramo, Italy</v>
          </cell>
          <cell r="U1007" t="str">
            <v>Food</v>
          </cell>
          <cell r="V1007" t="str">
            <v>ASIAGO (CHEESE)</v>
          </cell>
          <cell r="X1007" t="str">
            <v>ERR10549929</v>
          </cell>
        </row>
        <row r="1008">
          <cell r="G1008" t="str">
            <v>/home/projects/cge/backup/fastq/food_seqdata/NextSeq_203/FoodQCPipeline_tmp/conc_fqs/DTU_2022_1015529_1_SI_34_R1_001.fq.gz</v>
          </cell>
          <cell r="H1008" t="str">
            <v>/home/projects/cge/backup/fastq/food_seqdata/NextSeq_203/FoodQCPipeline_tmp/conc_fqs/DTU_2022_1015529_1_SI_34_R2_001.fq.gz</v>
          </cell>
          <cell r="I1008">
            <v>34</v>
          </cell>
          <cell r="J1008">
            <v>34</v>
          </cell>
          <cell r="K1008" t="str">
            <v>Listeria monocytogenes</v>
          </cell>
          <cell r="L1008">
            <v>41902782</v>
          </cell>
          <cell r="M1008">
            <v>12496366</v>
          </cell>
          <cell r="N1008" t="str">
            <v>Italy</v>
          </cell>
          <cell r="Q1008">
            <v>2019</v>
          </cell>
          <cell r="T1008" t="str">
            <v>Istituto Zooprofilattico Sperimentale dell ‚ÄòAbruzzo e del Molise "Giuseppe Caporale", Teramo, Italy</v>
          </cell>
          <cell r="U1008" t="str">
            <v>Food</v>
          </cell>
          <cell r="V1008" t="str">
            <v>MINCED MEAT</v>
          </cell>
          <cell r="X1008" t="str">
            <v>ERR10549935</v>
          </cell>
        </row>
        <row r="1009">
          <cell r="G1009" t="str">
            <v>/home/projects/cge/backup/fastq/food_seqdata/NextSeq_203/FoodQCPipeline_tmp/conc_fqs/DTU_2022_1015534_1_SI_39_R1_001.fq.gz</v>
          </cell>
          <cell r="H1009" t="str">
            <v>/home/projects/cge/backup/fastq/food_seqdata/NextSeq_203/FoodQCPipeline_tmp/conc_fqs/DTU_2022_1015534_1_SI_39_R2_001.fq.gz</v>
          </cell>
          <cell r="I1009">
            <v>39</v>
          </cell>
          <cell r="J1009">
            <v>39</v>
          </cell>
          <cell r="K1009" t="str">
            <v>Listeria monocytogenes</v>
          </cell>
          <cell r="L1009">
            <v>41902782</v>
          </cell>
          <cell r="M1009">
            <v>12496366</v>
          </cell>
          <cell r="N1009" t="str">
            <v>Italy</v>
          </cell>
          <cell r="Q1009">
            <v>2019</v>
          </cell>
          <cell r="T1009" t="str">
            <v>Istituto Zooprofilattico Sperimentale dell ‚ÄòAbruzzo e del Molise "Giuseppe Caporale", Teramo, Italy</v>
          </cell>
          <cell r="U1009" t="str">
            <v>Food</v>
          </cell>
          <cell r="V1009" t="str">
            <v>SMOKED FISH</v>
          </cell>
          <cell r="X1009" t="str">
            <v>ERR10549924</v>
          </cell>
        </row>
        <row r="1010">
          <cell r="G1010" t="str">
            <v>/home/projects/cge/backup/fastq/food_seqdata/NextSeq_203/FoodQCPipeline_tmp/conc_fqs/DTU_2022_1015539_1_SI_44_R1_001.fq.gz</v>
          </cell>
          <cell r="H1010" t="str">
            <v>/home/projects/cge/backup/fastq/food_seqdata/NextSeq_203/FoodQCPipeline_tmp/conc_fqs/DTU_2022_1015539_1_SI_44_R2_001.fq.gz</v>
          </cell>
          <cell r="I1010">
            <v>44</v>
          </cell>
          <cell r="J1010">
            <v>44</v>
          </cell>
          <cell r="K1010" t="str">
            <v>Listeria monocytogenes</v>
          </cell>
          <cell r="L1010">
            <v>41902782</v>
          </cell>
          <cell r="M1010">
            <v>12496366</v>
          </cell>
          <cell r="N1010" t="str">
            <v>Italy</v>
          </cell>
          <cell r="Q1010">
            <v>2019</v>
          </cell>
          <cell r="T1010" t="str">
            <v>Istituto Zooprofilattico Sperimentale dell ‚ÄòAbruzzo e del Molise "Giuseppe Caporale", Teramo, Italy</v>
          </cell>
          <cell r="U1010" t="str">
            <v>Food</v>
          </cell>
          <cell r="V1010" t="str">
            <v>SALAME</v>
          </cell>
          <cell r="X1010" t="str">
            <v>ERR10549939</v>
          </cell>
        </row>
        <row r="1011">
          <cell r="G1011" t="str">
            <v>/home/projects/cge/backup/fastq/food_seqdata/NextSeq_206/FoodQCPipeline_tmp/conc_fqs/DTU_2022_1015613_1_SI_118_R1_001.fq.gz</v>
          </cell>
          <cell r="H1011" t="str">
            <v>/home/projects/cge/backup/fastq/food_seqdata/NextSeq_206/FoodQCPipeline_tmp/conc_fqs/DTU_2022_1015613_1_SI_118_R2_001.fq.gz</v>
          </cell>
          <cell r="I1011">
            <v>118</v>
          </cell>
          <cell r="J1011">
            <v>118</v>
          </cell>
          <cell r="K1011" t="str">
            <v>Listeria monocytogenes</v>
          </cell>
          <cell r="L1011">
            <v>41902782</v>
          </cell>
          <cell r="M1011">
            <v>12496366</v>
          </cell>
          <cell r="N1011" t="str">
            <v>Italy</v>
          </cell>
          <cell r="Q1011">
            <v>2019</v>
          </cell>
          <cell r="T1011" t="str">
            <v>Istituto Zooprofilattico Sperimentale dell ‚ÄòAbruzzo e del Molise "Giuseppe Caporale", Teramo, Italy</v>
          </cell>
          <cell r="U1011" t="str">
            <v>Food</v>
          </cell>
          <cell r="V1011" t="str">
            <v>SALAME</v>
          </cell>
          <cell r="X1011" t="str">
            <v>ERR10611855</v>
          </cell>
        </row>
        <row r="1012">
          <cell r="G1012" t="str">
            <v>/home/projects/cge/backup/fastq/food_seqdata/NextSeq_206/FoodQCPipeline_tmp/conc_fqs/DTU_2022_1015614_1_SI_119_R1_001.fq.gz</v>
          </cell>
          <cell r="H1012" t="str">
            <v>/home/projects/cge/backup/fastq/food_seqdata/NextSeq_206/FoodQCPipeline_tmp/conc_fqs/DTU_2022_1015614_1_SI_119_R2_001.fq.gz</v>
          </cell>
          <cell r="I1012">
            <v>119</v>
          </cell>
          <cell r="J1012">
            <v>119</v>
          </cell>
          <cell r="K1012" t="str">
            <v>Listeria monocytogenes</v>
          </cell>
          <cell r="L1012">
            <v>41902782</v>
          </cell>
          <cell r="M1012">
            <v>12496366</v>
          </cell>
          <cell r="N1012" t="str">
            <v>Italy</v>
          </cell>
          <cell r="Q1012">
            <v>2019</v>
          </cell>
          <cell r="T1012" t="str">
            <v>Istituto Zooprofilattico Sperimentale dell ‚ÄòAbruzzo e del Molise "Giuseppe Caporale", Teramo, Italy</v>
          </cell>
          <cell r="U1012" t="str">
            <v>Food</v>
          </cell>
          <cell r="V1012" t="str">
            <v xml:space="preserve">SALSICCIA (DRIED SAUSAGE) </v>
          </cell>
          <cell r="X1012" t="str">
            <v>ERR10611863</v>
          </cell>
        </row>
        <row r="1013">
          <cell r="G1013" t="str">
            <v>/home/projects/cge/backup/fastq/food_seqdata/NextSeq_206/FoodQCPipeline_tmp/conc_fqs/DTU_2022_1015615_1_SI_120_R1_001.fq.gz</v>
          </cell>
          <cell r="H1013" t="str">
            <v>/home/projects/cge/backup/fastq/food_seqdata/NextSeq_206/FoodQCPipeline_tmp/conc_fqs/DTU_2022_1015615_1_SI_120_R2_001.fq.gz</v>
          </cell>
          <cell r="I1013">
            <v>120</v>
          </cell>
          <cell r="J1013">
            <v>120</v>
          </cell>
          <cell r="K1013" t="str">
            <v>Listeria monocytogenes</v>
          </cell>
          <cell r="L1013">
            <v>41902782</v>
          </cell>
          <cell r="M1013">
            <v>12496366</v>
          </cell>
          <cell r="N1013" t="str">
            <v>Italy</v>
          </cell>
          <cell r="Q1013">
            <v>2019</v>
          </cell>
          <cell r="T1013" t="str">
            <v>Istituto Zooprofilattico Sperimentale dell ‚ÄòAbruzzo e del Molise "Giuseppe Caporale", Teramo, Italy</v>
          </cell>
          <cell r="U1013" t="str">
            <v>Food</v>
          </cell>
          <cell r="V1013" t="str">
            <v>SALAME</v>
          </cell>
          <cell r="X1013" t="str">
            <v>ERR10611888</v>
          </cell>
        </row>
        <row r="1014">
          <cell r="G1014" t="str">
            <v>/home/projects/cge/backup/fastq/food_seqdata/NextSeq_206/FoodQCPipeline_tmp/conc_fqs/DTU_2022_1015620_1_SI_125_R1_001.fq.gz</v>
          </cell>
          <cell r="H1014" t="str">
            <v>/home/projects/cge/backup/fastq/food_seqdata/NextSeq_206/FoodQCPipeline_tmp/conc_fqs/DTU_2022_1015620_1_SI_125_R2_001.fq.gz</v>
          </cell>
          <cell r="I1014">
            <v>125</v>
          </cell>
          <cell r="J1014">
            <v>125</v>
          </cell>
          <cell r="K1014" t="str">
            <v>Listeria monocytogenes</v>
          </cell>
          <cell r="L1014">
            <v>41902782</v>
          </cell>
          <cell r="M1014">
            <v>12496366</v>
          </cell>
          <cell r="N1014" t="str">
            <v>Italy</v>
          </cell>
          <cell r="Q1014">
            <v>2019</v>
          </cell>
          <cell r="T1014" t="str">
            <v>Istituto Zooprofilattico Sperimentale dell ‚ÄòAbruzzo e del Molise "Giuseppe Caporale", Teramo, Italy</v>
          </cell>
          <cell r="U1014" t="str">
            <v>Food</v>
          </cell>
          <cell r="V1014" t="str">
            <v>SMOKED FISH</v>
          </cell>
          <cell r="X1014" t="str">
            <v>ERR10611857</v>
          </cell>
        </row>
        <row r="1015">
          <cell r="G1015" t="str">
            <v>/home/projects/cge/backup/fastq/food_seqdata/NextSeq_206/FoodQCPipeline_tmp/conc_fqs/DTU_2022_1015622_1_SI_127_R1_001.fq.gz</v>
          </cell>
          <cell r="H1015" t="str">
            <v>/home/projects/cge/backup/fastq/food_seqdata/NextSeq_206/FoodQCPipeline_tmp/conc_fqs/DTU_2022_1015622_1_SI_127_R2_001.fq.gz</v>
          </cell>
          <cell r="I1015">
            <v>127</v>
          </cell>
          <cell r="J1015">
            <v>127</v>
          </cell>
          <cell r="K1015" t="str">
            <v>Listeria monocytogenes</v>
          </cell>
          <cell r="L1015">
            <v>41902782</v>
          </cell>
          <cell r="M1015">
            <v>12496366</v>
          </cell>
          <cell r="N1015" t="str">
            <v>Italy</v>
          </cell>
          <cell r="Q1015">
            <v>2019</v>
          </cell>
          <cell r="T1015" t="str">
            <v>Istituto Zooprofilattico Sperimentale dell ‚ÄòAbruzzo e del Molise "Giuseppe Caporale", Teramo, Italy</v>
          </cell>
          <cell r="U1015" t="str">
            <v>Food</v>
          </cell>
          <cell r="V1015" t="str">
            <v xml:space="preserve">SALSICCIA (DRIED SAUSAGE) </v>
          </cell>
          <cell r="X1015" t="str">
            <v>ERR10611873</v>
          </cell>
        </row>
        <row r="1016">
          <cell r="G1016" t="str">
            <v>/home/projects/cge/backup/fastq/food_seqdata/NextSeq_206/FoodQCPipeline_tmp/conc_fqs/DTU_2022_1015623_1_SI_128_R1_001.fq.gz</v>
          </cell>
          <cell r="H1016" t="str">
            <v>/home/projects/cge/backup/fastq/food_seqdata/NextSeq_206/FoodQCPipeline_tmp/conc_fqs/DTU_2022_1015623_1_SI_128_R2_001.fq.gz</v>
          </cell>
          <cell r="I1016">
            <v>128</v>
          </cell>
          <cell r="J1016">
            <v>128</v>
          </cell>
          <cell r="K1016" t="str">
            <v>Listeria monocytogenes</v>
          </cell>
          <cell r="L1016">
            <v>41902782</v>
          </cell>
          <cell r="M1016">
            <v>12496366</v>
          </cell>
          <cell r="N1016" t="str">
            <v>Italy</v>
          </cell>
          <cell r="Q1016">
            <v>2019</v>
          </cell>
          <cell r="T1016" t="str">
            <v>Istituto Zooprofilattico Sperimentale dell ‚ÄòAbruzzo e del Molise "Giuseppe Caporale", Teramo, Italy</v>
          </cell>
          <cell r="U1016" t="str">
            <v>Food</v>
          </cell>
          <cell r="V1016" t="str">
            <v>COPPA</v>
          </cell>
          <cell r="X1016" t="str">
            <v>ERR10611864</v>
          </cell>
        </row>
        <row r="1017">
          <cell r="G1017" t="str">
            <v>/home/projects/cge/backup/fastq/food_seqdata/NextSeq_206/FoodQCPipeline_tmp/conc_fqs/DTU_2022_1015624_1_SI_129_R1_001.fq.gz</v>
          </cell>
          <cell r="H1017" t="str">
            <v>/home/projects/cge/backup/fastq/food_seqdata/NextSeq_206/FoodQCPipeline_tmp/conc_fqs/DTU_2022_1015624_1_SI_129_R2_001.fq.gz</v>
          </cell>
          <cell r="I1017">
            <v>129</v>
          </cell>
          <cell r="J1017">
            <v>129</v>
          </cell>
          <cell r="K1017" t="str">
            <v>Listeria monocytogenes</v>
          </cell>
          <cell r="L1017">
            <v>41902782</v>
          </cell>
          <cell r="M1017">
            <v>12496366</v>
          </cell>
          <cell r="N1017" t="str">
            <v>Italy</v>
          </cell>
          <cell r="Q1017">
            <v>2019</v>
          </cell>
          <cell r="T1017" t="str">
            <v>Istituto Zooprofilattico Sperimentale dell ‚ÄòAbruzzo e del Molise "Giuseppe Caporale", Teramo, Italy</v>
          </cell>
          <cell r="U1017" t="str">
            <v>Food</v>
          </cell>
          <cell r="V1017" t="str">
            <v>GORGONZOLA (CHEESE)</v>
          </cell>
          <cell r="X1017" t="str">
            <v>ERR10611885</v>
          </cell>
        </row>
        <row r="1018">
          <cell r="G1018" t="str">
            <v>/home/projects/cge/backup/fastq/food_seqdata/NextSeq_206/FoodQCPipeline_tmp/conc_fqs/DTU_2022_1015625_1_SI_130_R1_001.fq.gz</v>
          </cell>
          <cell r="H1018" t="str">
            <v>/home/projects/cge/backup/fastq/food_seqdata/NextSeq_206/FoodQCPipeline_tmp/conc_fqs/DTU_2022_1015625_1_SI_130_R2_001.fq.gz</v>
          </cell>
          <cell r="I1018">
            <v>130</v>
          </cell>
          <cell r="J1018">
            <v>130</v>
          </cell>
          <cell r="K1018" t="str">
            <v>Listeria monocytogenes</v>
          </cell>
          <cell r="L1018">
            <v>41902782</v>
          </cell>
          <cell r="M1018">
            <v>12496366</v>
          </cell>
          <cell r="N1018" t="str">
            <v>Italy</v>
          </cell>
          <cell r="Q1018">
            <v>2019</v>
          </cell>
          <cell r="T1018" t="str">
            <v>Istituto Zooprofilattico Sperimentale dell ‚ÄòAbruzzo e del Molise "Giuseppe Caporale", Teramo, Italy</v>
          </cell>
          <cell r="U1018" t="str">
            <v>Food</v>
          </cell>
          <cell r="V1018" t="str">
            <v>MINCED MEAT AND MEAT BASED PREPARATION</v>
          </cell>
          <cell r="X1018" t="str">
            <v>ERR10611867</v>
          </cell>
        </row>
        <row r="1019">
          <cell r="G1019" t="str">
            <v>/home/projects/cge/backup/fastq/food_seqdata/NextSeq_206/FoodQCPipeline_tmp/conc_fqs/DTU_2022_1015626_1_SI_131_R1_001.fq.gz</v>
          </cell>
          <cell r="H1019" t="str">
            <v>/home/projects/cge/backup/fastq/food_seqdata/NextSeq_206/FoodQCPipeline_tmp/conc_fqs/DTU_2022_1015626_1_SI_131_R2_001.fq.gz</v>
          </cell>
          <cell r="I1019">
            <v>131</v>
          </cell>
          <cell r="J1019">
            <v>131</v>
          </cell>
          <cell r="K1019" t="str">
            <v>Listeria monocytogenes</v>
          </cell>
          <cell r="L1019">
            <v>41902782</v>
          </cell>
          <cell r="M1019">
            <v>12496366</v>
          </cell>
          <cell r="N1019" t="str">
            <v>Italy</v>
          </cell>
          <cell r="Q1019">
            <v>2019</v>
          </cell>
          <cell r="T1019" t="str">
            <v>Istituto Zooprofilattico Sperimentale dell ‚ÄòAbruzzo e del Molise "Giuseppe Caporale", Teramo, Italy</v>
          </cell>
          <cell r="U1019" t="str">
            <v>Food</v>
          </cell>
          <cell r="V1019" t="str">
            <v>PORCHETTA</v>
          </cell>
          <cell r="X1019" t="str">
            <v>ERR10611858</v>
          </cell>
        </row>
        <row r="1020">
          <cell r="G1020" t="str">
            <v>/home/projects/cge/backup/fastq/food_seqdata/NextSeq_206/FoodQCPipeline_tmp/conc_fqs/DTU_2022_1015627_1_SI_132_R1_001.fq.gz</v>
          </cell>
          <cell r="H1020" t="str">
            <v>/home/projects/cge/backup/fastq/food_seqdata/NextSeq_206/FoodQCPipeline_tmp/conc_fqs/DTU_2022_1015627_1_SI_132_R2_001.fq.gz</v>
          </cell>
          <cell r="I1020">
            <v>132</v>
          </cell>
          <cell r="J1020">
            <v>132</v>
          </cell>
          <cell r="K1020" t="str">
            <v>Listeria monocytogenes</v>
          </cell>
          <cell r="L1020">
            <v>41902782</v>
          </cell>
          <cell r="M1020">
            <v>12496366</v>
          </cell>
          <cell r="N1020" t="str">
            <v>Italy</v>
          </cell>
          <cell r="Q1020">
            <v>2019</v>
          </cell>
          <cell r="T1020" t="str">
            <v>Istituto Zooprofilattico Sperimentale dell ‚ÄòAbruzzo e del Molise "Giuseppe Caporale", Teramo, Italy</v>
          </cell>
          <cell r="U1020" t="str">
            <v>Food</v>
          </cell>
          <cell r="V1020" t="str">
            <v>COOKED COD</v>
          </cell>
          <cell r="X1020" t="str">
            <v>ERR10611912</v>
          </cell>
        </row>
        <row r="1021">
          <cell r="G1021" t="str">
            <v>/home/projects/cge/backup/fastq/food_seqdata/NextSeq_209/FoodQCPipeline_tmp/conc_fqs/DTU_2022_1016673_1_SI_2_R1_001.fq.gz</v>
          </cell>
          <cell r="H1021" t="str">
            <v>/home/projects/cge/backup/fastq/food_seqdata/NextSeq_209/FoodQCPipeline_tmp/conc_fqs/DTU_2022_1016673_1_SI_2_R2_001.fq.gz</v>
          </cell>
          <cell r="I1021">
            <v>2</v>
          </cell>
          <cell r="J1021">
            <v>2</v>
          </cell>
          <cell r="K1021" t="str">
            <v>Listeria monocytogenes</v>
          </cell>
          <cell r="L1021">
            <v>45424721</v>
          </cell>
          <cell r="M1021">
            <v>-75695</v>
          </cell>
          <cell r="N1021" t="str">
            <v>Canada</v>
          </cell>
          <cell r="Q1021">
            <v>1981</v>
          </cell>
          <cell r="T1021" t="str">
            <v xml:space="preserve">University of Ottawa, Ottawa, Ontario, ON, Canada </v>
          </cell>
          <cell r="U1021" t="str">
            <v>Food</v>
          </cell>
          <cell r="V1021" t="str">
            <v>Coleslaw (food)</v>
          </cell>
          <cell r="X1021" t="str">
            <v>ERR10549906</v>
          </cell>
        </row>
        <row r="1022">
          <cell r="G1022" t="str">
            <v>/home/projects/cge/backup/fastq/food_seqdata/NextSeq_198/FoodQCPipeline_tmp/conc_fqs/DTU_2022_1015454_1_SI_3_R1_001.fq.gz</v>
          </cell>
          <cell r="H1022" t="str">
            <v>/home/projects/cge/backup/fastq/food_seqdata/NextSeq_198/FoodQCPipeline_tmp/conc_fqs/DTU_2022_1015454_1_SI_3_R2_001.fq.gz</v>
          </cell>
          <cell r="I1022">
            <v>3</v>
          </cell>
          <cell r="J1022">
            <v>3</v>
          </cell>
          <cell r="K1022" t="str">
            <v>Listeria monocytogenes</v>
          </cell>
          <cell r="L1022">
            <v>41902782</v>
          </cell>
          <cell r="M1022">
            <v>12496366</v>
          </cell>
          <cell r="N1022" t="str">
            <v>Italy</v>
          </cell>
          <cell r="Q1022">
            <v>2020</v>
          </cell>
          <cell r="T1022" t="str">
            <v>Istituto Zooprofilattico Sperimentale dell ‚ÄòAbruzzo e del Molise "Giuseppe Caporale", Teramo, Italy</v>
          </cell>
          <cell r="U1022" t="str">
            <v>Production environment</v>
          </cell>
          <cell r="V1022" t="str">
            <v>ENVIRONMENTAL SPONGE</v>
          </cell>
          <cell r="X1022" t="str">
            <v>ERR10549926</v>
          </cell>
        </row>
        <row r="1023">
          <cell r="G1023" t="str">
            <v>/home/projects/cge/backup/fastq/food_seqdata/NextSeq_198/FoodQCPipeline_tmp/conc_fqs/DTU_2022_1015455_1_SI_4_R1_001.fq.gz</v>
          </cell>
          <cell r="H1023" t="str">
            <v>/home/projects/cge/backup/fastq/food_seqdata/NextSeq_198/FoodQCPipeline_tmp/conc_fqs/DTU_2022_1015455_1_SI_4_R2_001.fq.gz</v>
          </cell>
          <cell r="I1023">
            <v>4</v>
          </cell>
          <cell r="J1023">
            <v>4</v>
          </cell>
          <cell r="K1023" t="str">
            <v>Listeria monocytogenes</v>
          </cell>
          <cell r="L1023">
            <v>41902782</v>
          </cell>
          <cell r="M1023">
            <v>12496366</v>
          </cell>
          <cell r="N1023" t="str">
            <v>Italy</v>
          </cell>
          <cell r="Q1023">
            <v>2020</v>
          </cell>
          <cell r="T1023" t="str">
            <v>Istituto Zooprofilattico Sperimentale dell ‚ÄòAbruzzo e del Molise "Giuseppe Caporale", Teramo, Italy</v>
          </cell>
          <cell r="U1023" t="str">
            <v>Production environment</v>
          </cell>
          <cell r="V1023" t="str">
            <v>ENVIRONMENTAL SPONGE</v>
          </cell>
          <cell r="X1023" t="str">
            <v>ERR10549907</v>
          </cell>
        </row>
        <row r="1024">
          <cell r="G1024" t="str">
            <v>/home/projects/cge/backup/fastq/food_seqdata/NextSeq_198/FoodQCPipeline_tmp/conc_fqs/DTU_2022_1015456_1_SI_5_R1_001.fq.gz</v>
          </cell>
          <cell r="H1024" t="str">
            <v>/home/projects/cge/backup/fastq/food_seqdata/NextSeq_198/FoodQCPipeline_tmp/conc_fqs/DTU_2022_1015456_1_SI_5_R2_001.fq.gz</v>
          </cell>
          <cell r="I1024">
            <v>5</v>
          </cell>
          <cell r="J1024">
            <v>5</v>
          </cell>
          <cell r="K1024" t="str">
            <v>Listeria monocytogenes</v>
          </cell>
          <cell r="L1024">
            <v>41902782</v>
          </cell>
          <cell r="M1024">
            <v>12496366</v>
          </cell>
          <cell r="N1024" t="str">
            <v>Italy</v>
          </cell>
          <cell r="Q1024">
            <v>2020</v>
          </cell>
          <cell r="T1024" t="str">
            <v>Istituto Zooprofilattico Sperimentale dell ‚ÄòAbruzzo e del Molise "Giuseppe Caporale", Teramo, Italy</v>
          </cell>
          <cell r="U1024" t="str">
            <v>Production environment</v>
          </cell>
          <cell r="V1024" t="str">
            <v>ENVIRONMENTAL SPONGE</v>
          </cell>
          <cell r="X1024" t="str">
            <v>ERR10549973</v>
          </cell>
        </row>
        <row r="1025">
          <cell r="G1025" t="str">
            <v>/home/projects/cge/backup/fastq/food_seqdata/NextSeq_198/FoodQCPipeline_tmp/conc_fqs/DTU_2022_1015457_1_SI_6_R1_001.fq.gz</v>
          </cell>
          <cell r="H1025" t="str">
            <v>/home/projects/cge/backup/fastq/food_seqdata/NextSeq_198/FoodQCPipeline_tmp/conc_fqs/DTU_2022_1015457_1_SI_6_R2_001.fq.gz</v>
          </cell>
          <cell r="I1025">
            <v>6</v>
          </cell>
          <cell r="J1025">
            <v>6</v>
          </cell>
          <cell r="K1025" t="str">
            <v>Listeria monocytogenes</v>
          </cell>
          <cell r="L1025">
            <v>41902782</v>
          </cell>
          <cell r="M1025">
            <v>12496366</v>
          </cell>
          <cell r="N1025" t="str">
            <v>Italy</v>
          </cell>
          <cell r="Q1025">
            <v>2020</v>
          </cell>
          <cell r="T1025" t="str">
            <v>Istituto Zooprofilattico Sperimentale dell ‚ÄòAbruzzo e del Molise "Giuseppe Caporale", Teramo, Italy</v>
          </cell>
          <cell r="U1025" t="str">
            <v>Production environment</v>
          </cell>
          <cell r="V1025" t="str">
            <v>ENVIRONMENTAL SPONGE</v>
          </cell>
          <cell r="X1025" t="str">
            <v>ERR10549960</v>
          </cell>
        </row>
        <row r="1026">
          <cell r="G1026" t="str">
            <v>/home/projects/cge/backup/fastq/food_seqdata/NextSeq_198/FoodQCPipeline_tmp/conc_fqs/DTU_2022_1015458_1_SI_7_R1_001.fq.gz</v>
          </cell>
          <cell r="H1026" t="str">
            <v>/home/projects/cge/backup/fastq/food_seqdata/NextSeq_198/FoodQCPipeline_tmp/conc_fqs/DTU_2022_1015458_1_SI_7_R2_001.fq.gz</v>
          </cell>
          <cell r="I1026">
            <v>7</v>
          </cell>
          <cell r="J1026">
            <v>7</v>
          </cell>
          <cell r="K1026" t="str">
            <v>Listeria monocytogenes</v>
          </cell>
          <cell r="L1026">
            <v>41902782</v>
          </cell>
          <cell r="M1026">
            <v>12496366</v>
          </cell>
          <cell r="N1026" t="str">
            <v>Italy</v>
          </cell>
          <cell r="Q1026">
            <v>2020</v>
          </cell>
          <cell r="T1026" t="str">
            <v>Istituto Zooprofilattico Sperimentale dell ‚ÄòAbruzzo e del Molise "Giuseppe Caporale", Teramo, Italy</v>
          </cell>
          <cell r="U1026" t="str">
            <v>Food</v>
          </cell>
          <cell r="V1026" t="str">
            <v>MORTADELLA</v>
          </cell>
          <cell r="X1026" t="str">
            <v>ERR10549937</v>
          </cell>
        </row>
        <row r="1027">
          <cell r="G1027" t="str">
            <v>/home/projects/cge/backup/fastq/food_seqdata/NextSeq_198/FoodQCPipeline_tmp/conc_fqs/DTU_2022_1015459_1_SI_8_R1_001.fq.gz</v>
          </cell>
          <cell r="H1027" t="str">
            <v>/home/projects/cge/backup/fastq/food_seqdata/NextSeq_198/FoodQCPipeline_tmp/conc_fqs/DTU_2022_1015459_1_SI_8_R2_001.fq.gz</v>
          </cell>
          <cell r="I1027">
            <v>8</v>
          </cell>
          <cell r="J1027">
            <v>8</v>
          </cell>
          <cell r="K1027" t="str">
            <v>Listeria monocytogenes</v>
          </cell>
          <cell r="L1027">
            <v>41902782</v>
          </cell>
          <cell r="M1027">
            <v>12496366</v>
          </cell>
          <cell r="N1027" t="str">
            <v>Italy</v>
          </cell>
          <cell r="Q1027">
            <v>2020</v>
          </cell>
          <cell r="T1027" t="str">
            <v>Istituto Zooprofilattico Sperimentale dell ‚ÄòAbruzzo e del Molise "Giuseppe Caporale", Teramo, Italy</v>
          </cell>
          <cell r="U1027" t="str">
            <v>Production environment</v>
          </cell>
          <cell r="V1027" t="str">
            <v>ENVIRONMENTAL SPONGE</v>
          </cell>
          <cell r="X1027" t="str">
            <v>ERR10549948</v>
          </cell>
        </row>
        <row r="1028">
          <cell r="G1028" t="str">
            <v>/home/projects/cge/backup/fastq/food_seqdata/NextSeq_198/FoodQCPipeline_tmp/conc_fqs/DTU_2022_1015462_1_SI_11_R1_001.fq.gz</v>
          </cell>
          <cell r="H1028" t="str">
            <v>/home/projects/cge/backup/fastq/food_seqdata/NextSeq_198/FoodQCPipeline_tmp/conc_fqs/DTU_2022_1015462_1_SI_11_R2_001.fq.gz</v>
          </cell>
          <cell r="I1028">
            <v>11</v>
          </cell>
          <cell r="J1028">
            <v>11</v>
          </cell>
          <cell r="K1028" t="str">
            <v>Listeria monocytogenes</v>
          </cell>
          <cell r="L1028">
            <v>41902782</v>
          </cell>
          <cell r="M1028">
            <v>12496366</v>
          </cell>
          <cell r="N1028" t="str">
            <v>Italy</v>
          </cell>
          <cell r="Q1028">
            <v>2020</v>
          </cell>
          <cell r="T1028" t="str">
            <v>Istituto Zooprofilattico Sperimentale dell ‚ÄòAbruzzo e del Molise "Giuseppe Caporale", Teramo, Italy</v>
          </cell>
          <cell r="U1028" t="str">
            <v>Food</v>
          </cell>
          <cell r="V1028" t="str">
            <v>SALAME</v>
          </cell>
          <cell r="X1028" t="str">
            <v>ERR10549967</v>
          </cell>
        </row>
        <row r="1029">
          <cell r="G1029" t="str">
            <v>/home/projects/cge/backup/fastq/food_seqdata/NextSeq_206/FoodQCPipeline_tmp/conc_fqs/DTU_2022_1015619_1_SI_124_R1_001.fq.gz</v>
          </cell>
          <cell r="H1029" t="str">
            <v>/home/projects/cge/backup/fastq/food_seqdata/NextSeq_206/FoodQCPipeline_tmp/conc_fqs/DTU_2022_1015619_1_SI_124_R2_001.fq.gz</v>
          </cell>
          <cell r="I1029">
            <v>124</v>
          </cell>
          <cell r="J1029">
            <v>124</v>
          </cell>
          <cell r="K1029" t="str">
            <v>Listeria monocytogenes</v>
          </cell>
          <cell r="L1029">
            <v>41902782</v>
          </cell>
          <cell r="M1029">
            <v>12496366</v>
          </cell>
          <cell r="N1029" t="str">
            <v>Italy</v>
          </cell>
          <cell r="Q1029">
            <v>2020</v>
          </cell>
          <cell r="T1029" t="str">
            <v>Istituto Zooprofilattico Sperimentale dell ‚ÄòAbruzzo e del Molise "Giuseppe Caporale", Teramo, Italy</v>
          </cell>
          <cell r="U1029" t="str">
            <v>Food</v>
          </cell>
          <cell r="V1029" t="str">
            <v>GORGONZOLA (CHEESE)</v>
          </cell>
          <cell r="X1029" t="str">
            <v>ERR10611891</v>
          </cell>
        </row>
        <row r="1030">
          <cell r="G1030" t="str">
            <v>/home/projects/cge/backup/fastq/food_seqdata/NextSeq_198/FoodQCPipeline_tmp/conc_fqs/DTU_2022_1015410_1_SI_85_R1_001.fq.gz</v>
          </cell>
          <cell r="H1030" t="str">
            <v>/home/projects/cge/backup/fastq/food_seqdata/NextSeq_198/FoodQCPipeline_tmp/conc_fqs/DTU_2022_1015410_1_SI_85_R2_001.fq.gz</v>
          </cell>
          <cell r="I1030">
            <v>85</v>
          </cell>
          <cell r="J1030">
            <v>85</v>
          </cell>
          <cell r="K1030" t="str">
            <v>Listeria monocytogenes</v>
          </cell>
          <cell r="L1030">
            <v>52520008</v>
          </cell>
          <cell r="M1030">
            <v>13404954</v>
          </cell>
          <cell r="N1030" t="str">
            <v>Germany</v>
          </cell>
          <cell r="Q1030">
            <v>2005</v>
          </cell>
          <cell r="T1030" t="str">
            <v>Ludwig-Maximilians-University Munich, Munich, Germany</v>
          </cell>
          <cell r="U1030" t="str">
            <v>Food</v>
          </cell>
          <cell r="X1030" t="str">
            <v>ERR10549933</v>
          </cell>
        </row>
        <row r="1031">
          <cell r="G1031" t="str">
            <v>/home/projects/cge/backup/fastq/food_seqdata/NextSeq_198/FoodQCPipeline_tmp/conc_fqs/DTU_2022_1015411_1_SI_968_R1_001.fq.gz</v>
          </cell>
          <cell r="H1031" t="str">
            <v>/home/projects/cge/backup/fastq/food_seqdata/NextSeq_198/FoodQCPipeline_tmp/conc_fqs/DTU_2022_1015411_1_SI_968_R2_001.fq.gz</v>
          </cell>
          <cell r="I1031">
            <v>968</v>
          </cell>
          <cell r="J1031">
            <v>968</v>
          </cell>
          <cell r="K1031" t="str">
            <v>Listeria monocytogenes</v>
          </cell>
          <cell r="L1031">
            <v>52520008</v>
          </cell>
          <cell r="M1031">
            <v>13404954</v>
          </cell>
          <cell r="N1031" t="str">
            <v>Germany</v>
          </cell>
          <cell r="Q1031">
            <v>2009</v>
          </cell>
          <cell r="T1031" t="str">
            <v>Ludwig-Maximilians-University Munich, Munich, Germany</v>
          </cell>
          <cell r="U1031" t="str">
            <v>Food</v>
          </cell>
          <cell r="X1031" t="str">
            <v>ERR10549915</v>
          </cell>
        </row>
        <row r="1032">
          <cell r="G1032" t="str">
            <v>/home/projects/cge/backup/fastq/food_seqdata/NextSeq_198/FoodQCPipeline_tmp/conc_fqs/DTU_2022_1015412_1_SI_971_R1_001.fq.gz</v>
          </cell>
          <cell r="H1032" t="str">
            <v>/home/projects/cge/backup/fastq/food_seqdata/NextSeq_198/FoodQCPipeline_tmp/conc_fqs/DTU_2022_1015412_1_SI_971_R2_001.fq.gz</v>
          </cell>
          <cell r="I1032">
            <v>971</v>
          </cell>
          <cell r="J1032">
            <v>971</v>
          </cell>
          <cell r="K1032" t="str">
            <v>Listeria monocytogenes</v>
          </cell>
          <cell r="L1032">
            <v>52520008</v>
          </cell>
          <cell r="M1032">
            <v>13404954</v>
          </cell>
          <cell r="N1032" t="str">
            <v>Germany</v>
          </cell>
          <cell r="Q1032">
            <v>2009</v>
          </cell>
          <cell r="T1032" t="str">
            <v>Ludwig-Maximilians-University Munich, Munich, Germany</v>
          </cell>
          <cell r="U1032" t="str">
            <v>Food</v>
          </cell>
          <cell r="X1032" t="str">
            <v>ERR10549916</v>
          </cell>
        </row>
        <row r="1033">
          <cell r="G1033" t="str">
            <v>/home/projects/cge/backup/fastq/food_seqdata/NextSeq_198/FoodQCPipeline_tmp/conc_fqs/DTU_2022_1015414_1_SI_990_R1_001.fq.gz</v>
          </cell>
          <cell r="H1033" t="str">
            <v>/home/projects/cge/backup/fastq/food_seqdata/NextSeq_198/FoodQCPipeline_tmp/conc_fqs/DTU_2022_1015414_1_SI_990_R2_001.fq.gz</v>
          </cell>
          <cell r="I1033">
            <v>990</v>
          </cell>
          <cell r="J1033">
            <v>990</v>
          </cell>
          <cell r="K1033" t="str">
            <v>Listeria monocytogenes</v>
          </cell>
          <cell r="L1033">
            <v>52520008</v>
          </cell>
          <cell r="M1033">
            <v>13404954</v>
          </cell>
          <cell r="N1033" t="str">
            <v>Germany</v>
          </cell>
          <cell r="Q1033">
            <v>2010</v>
          </cell>
          <cell r="T1033" t="str">
            <v>Ludwig-Maximilians-University Munich, Munich, Germany</v>
          </cell>
          <cell r="U1033" t="str">
            <v>Food</v>
          </cell>
          <cell r="X1033" t="str">
            <v>ERR10549941</v>
          </cell>
        </row>
        <row r="1034">
          <cell r="G1034" t="str">
            <v>/home/projects/cge/backup/fastq/food_seqdata/NextSeq_198/FoodQCPipeline_tmp/conc_fqs/DTU_2022_1015415_1_SI_993_R1_001.fq.gz</v>
          </cell>
          <cell r="H1034" t="str">
            <v>/home/projects/cge/backup/fastq/food_seqdata/NextSeq_198/FoodQCPipeline_tmp/conc_fqs/DTU_2022_1015415_1_SI_993_R2_001.fq.gz</v>
          </cell>
          <cell r="I1034">
            <v>993</v>
          </cell>
          <cell r="J1034">
            <v>993</v>
          </cell>
          <cell r="K1034" t="str">
            <v>Listeria monocytogenes</v>
          </cell>
          <cell r="L1034">
            <v>52520008</v>
          </cell>
          <cell r="M1034">
            <v>13404954</v>
          </cell>
          <cell r="N1034" t="str">
            <v>Germany</v>
          </cell>
          <cell r="Q1034">
            <v>2010</v>
          </cell>
          <cell r="T1034" t="str">
            <v>Ludwig-Maximilians-University Munich, Munich, Germany</v>
          </cell>
          <cell r="U1034" t="str">
            <v>Food</v>
          </cell>
          <cell r="X1034" t="str">
            <v>ERR10549943</v>
          </cell>
        </row>
        <row r="1035">
          <cell r="G1035" t="str">
            <v>/home/projects/cge/backup/fastq/food_seqdata/NextSeq_198/FoodQCPipeline_tmp/conc_fqs/DTU_2022_1015416_1_SI_994_R1_001.fq.gz</v>
          </cell>
          <cell r="H1035" t="str">
            <v>/home/projects/cge/backup/fastq/food_seqdata/NextSeq_198/FoodQCPipeline_tmp/conc_fqs/DTU_2022_1015416_1_SI_994_R2_001.fq.gz</v>
          </cell>
          <cell r="I1035">
            <v>994</v>
          </cell>
          <cell r="J1035">
            <v>994</v>
          </cell>
          <cell r="K1035" t="str">
            <v>Listeria monocytogenes</v>
          </cell>
          <cell r="L1035">
            <v>52520008</v>
          </cell>
          <cell r="M1035">
            <v>13404954</v>
          </cell>
          <cell r="N1035" t="str">
            <v>Germany</v>
          </cell>
          <cell r="Q1035">
            <v>2010</v>
          </cell>
          <cell r="T1035" t="str">
            <v>Ludwig-Maximilians-University Munich, Munich, Germany</v>
          </cell>
          <cell r="U1035" t="str">
            <v>Food</v>
          </cell>
          <cell r="X1035" t="str">
            <v>ERR10549945</v>
          </cell>
        </row>
        <row r="1036">
          <cell r="G1036" t="str">
            <v>/home/projects/cge/backup/fastq/food_seqdata/NextSeq_198/FoodQCPipeline_tmp/conc_fqs/DTU_2022_1015417_1_SI_999_R1_001.fq.gz</v>
          </cell>
          <cell r="H1036" t="str">
            <v>/home/projects/cge/backup/fastq/food_seqdata/NextSeq_198/FoodQCPipeline_tmp/conc_fqs/DTU_2022_1015417_1_SI_999_R2_001.fq.gz</v>
          </cell>
          <cell r="I1036">
            <v>999</v>
          </cell>
          <cell r="J1036">
            <v>999</v>
          </cell>
          <cell r="K1036" t="str">
            <v>Listeria monocytogenes</v>
          </cell>
          <cell r="L1036">
            <v>52520008</v>
          </cell>
          <cell r="M1036">
            <v>13404954</v>
          </cell>
          <cell r="N1036" t="str">
            <v>Germany</v>
          </cell>
          <cell r="Q1036">
            <v>2010</v>
          </cell>
          <cell r="T1036" t="str">
            <v>Ludwig-Maximilians-University Munich, Munich, Germany</v>
          </cell>
          <cell r="U1036" t="str">
            <v>Food</v>
          </cell>
          <cell r="X1036" t="str">
            <v>ERR10549949</v>
          </cell>
        </row>
        <row r="1037">
          <cell r="G1037" t="str">
            <v>/home/projects/cge/backup/fastq/food_seqdata/NextSeq_198/FoodQCPipeline_tmp/conc_fqs/DTU_2022_1015440_1_SI_6287_R1_001.fq.gz</v>
          </cell>
          <cell r="H1037" t="str">
            <v>/home/projects/cge/backup/fastq/food_seqdata/NextSeq_198/FoodQCPipeline_tmp/conc_fqs/DTU_2022_1015440_1_SI_6287_R2_001.fq.gz</v>
          </cell>
          <cell r="I1037">
            <v>6287</v>
          </cell>
          <cell r="J1037">
            <v>6287</v>
          </cell>
          <cell r="K1037" t="str">
            <v>Listeria monocytogenes</v>
          </cell>
          <cell r="L1037">
            <v>52520008</v>
          </cell>
          <cell r="M1037">
            <v>13404954</v>
          </cell>
          <cell r="N1037" t="str">
            <v>Germany</v>
          </cell>
          <cell r="Q1037">
            <v>2010</v>
          </cell>
          <cell r="T1037" t="str">
            <v>Ludwig-Maximilians-University Munich, Munich, Germany</v>
          </cell>
          <cell r="U1037" t="str">
            <v>Animal</v>
          </cell>
          <cell r="X1037" t="str">
            <v>ERR10549922</v>
          </cell>
        </row>
        <row r="1038">
          <cell r="G1038" t="str">
            <v>/home/projects/cge/backup/fastq/food_seqdata/NextSeq_198/FoodQCPipeline_tmp/conc_fqs/DTU_2022_1015441_1_SI_6288_R1_001.fq.gz</v>
          </cell>
          <cell r="H1038" t="str">
            <v>/home/projects/cge/backup/fastq/food_seqdata/NextSeq_198/FoodQCPipeline_tmp/conc_fqs/DTU_2022_1015441_1_SI_6288_R2_001.fq.gz</v>
          </cell>
          <cell r="I1038">
            <v>6288</v>
          </cell>
          <cell r="J1038">
            <v>6288</v>
          </cell>
          <cell r="K1038" t="str">
            <v>Listeria monocytogenes</v>
          </cell>
          <cell r="L1038">
            <v>52520008</v>
          </cell>
          <cell r="M1038">
            <v>13404954</v>
          </cell>
          <cell r="N1038" t="str">
            <v>Germany</v>
          </cell>
          <cell r="Q1038">
            <v>2010</v>
          </cell>
          <cell r="T1038" t="str">
            <v>Ludwig-Maximilians-University Munich, Munich, Germany</v>
          </cell>
          <cell r="U1038" t="str">
            <v>Animal</v>
          </cell>
          <cell r="X1038" t="str">
            <v>ERR10549942</v>
          </cell>
        </row>
        <row r="1039">
          <cell r="G1039" t="str">
            <v>/home/projects/cge/backup/fastq/food_seqdata/NextSeq_198/FoodQCPipeline_tmp/conc_fqs/DTU_2022_1015442_1_SI_6289_R1_001.fq.gz</v>
          </cell>
          <cell r="H1039" t="str">
            <v>/home/projects/cge/backup/fastq/food_seqdata/NextSeq_198/FoodQCPipeline_tmp/conc_fqs/DTU_2022_1015442_1_SI_6289_R2_001.fq.gz</v>
          </cell>
          <cell r="I1039">
            <v>6289</v>
          </cell>
          <cell r="J1039">
            <v>6289</v>
          </cell>
          <cell r="K1039" t="str">
            <v>Listeria monocytogenes</v>
          </cell>
          <cell r="L1039">
            <v>52520008</v>
          </cell>
          <cell r="M1039">
            <v>13404954</v>
          </cell>
          <cell r="N1039" t="str">
            <v>Germany</v>
          </cell>
          <cell r="Q1039">
            <v>2010</v>
          </cell>
          <cell r="T1039" t="str">
            <v>Ludwig-Maximilians-University Munich, Munich, Germany</v>
          </cell>
          <cell r="U1039" t="str">
            <v>Animal</v>
          </cell>
          <cell r="X1039" t="str">
            <v>ERR10549946</v>
          </cell>
        </row>
        <row r="1040">
          <cell r="G1040" t="str">
            <v>/home/projects/cge/backup/fastq/food_seqdata/NextSeq_198/FoodQCPipeline_tmp/conc_fqs/DTU_2022_1015443_1_SI_6290_R1_001.fq.gz</v>
          </cell>
          <cell r="H1040" t="str">
            <v>/home/projects/cge/backup/fastq/food_seqdata/NextSeq_198/FoodQCPipeline_tmp/conc_fqs/DTU_2022_1015443_1_SI_6290_R2_001.fq.gz</v>
          </cell>
          <cell r="I1040">
            <v>6290</v>
          </cell>
          <cell r="J1040">
            <v>6290</v>
          </cell>
          <cell r="K1040" t="str">
            <v>Listeria monocytogenes</v>
          </cell>
          <cell r="L1040">
            <v>52520008</v>
          </cell>
          <cell r="M1040">
            <v>13404954</v>
          </cell>
          <cell r="N1040" t="str">
            <v>Germany</v>
          </cell>
          <cell r="Q1040">
            <v>2010</v>
          </cell>
          <cell r="T1040" t="str">
            <v>Ludwig-Maximilians-University Munich, Munich, Germany</v>
          </cell>
          <cell r="U1040" t="str">
            <v>Animal</v>
          </cell>
          <cell r="X1040" t="str">
            <v>ERR10549950</v>
          </cell>
        </row>
        <row r="1041">
          <cell r="G1041" t="str">
            <v>/home/projects/cge/backup/fastq/food_seqdata/NextSeq_198/FoodQCPipeline_tmp/conc_fqs/DTU_2022_1015444_1_SI_6303_R1_001.fq.gz</v>
          </cell>
          <cell r="H1041" t="str">
            <v>/home/projects/cge/backup/fastq/food_seqdata/NextSeq_198/FoodQCPipeline_tmp/conc_fqs/DTU_2022_1015444_1_SI_6303_R2_001.fq.gz</v>
          </cell>
          <cell r="I1041">
            <v>6303</v>
          </cell>
          <cell r="J1041">
            <v>6303</v>
          </cell>
          <cell r="K1041" t="str">
            <v>Listeria monocytogenes</v>
          </cell>
          <cell r="L1041">
            <v>52520008</v>
          </cell>
          <cell r="M1041">
            <v>13404954</v>
          </cell>
          <cell r="N1041" t="str">
            <v>Germany</v>
          </cell>
          <cell r="Q1041">
            <v>2010</v>
          </cell>
          <cell r="T1041" t="str">
            <v>Ludwig-Maximilians-University Munich, Munich, Germany</v>
          </cell>
          <cell r="U1041" t="str">
            <v>Animal</v>
          </cell>
          <cell r="X1041" t="str">
            <v>ERR10549958</v>
          </cell>
        </row>
        <row r="1042">
          <cell r="G1042" t="str">
            <v>/home/projects/cge/backup/fastq/food_seqdata/NextSeq_198/FoodQCPipeline_tmp/conc_fqs/DTU_2022_1015445_1_SI_6304_R1_001.fq.gz</v>
          </cell>
          <cell r="H1042" t="str">
            <v>/home/projects/cge/backup/fastq/food_seqdata/NextSeq_198/FoodQCPipeline_tmp/conc_fqs/DTU_2022_1015445_1_SI_6304_R2_001.fq.gz</v>
          </cell>
          <cell r="I1042">
            <v>6304</v>
          </cell>
          <cell r="J1042">
            <v>6304</v>
          </cell>
          <cell r="K1042" t="str">
            <v>Listeria monocytogenes</v>
          </cell>
          <cell r="L1042">
            <v>52520008</v>
          </cell>
          <cell r="M1042">
            <v>13404954</v>
          </cell>
          <cell r="N1042" t="str">
            <v>Germany</v>
          </cell>
          <cell r="Q1042">
            <v>2010</v>
          </cell>
          <cell r="T1042" t="str">
            <v>Ludwig-Maximilians-University Munich, Munich, Germany</v>
          </cell>
          <cell r="U1042" t="str">
            <v>Animal</v>
          </cell>
          <cell r="X1042" t="str">
            <v>ERR10549940</v>
          </cell>
        </row>
        <row r="1043">
          <cell r="G1043" t="str">
            <v>/home/projects/cge/backup/fastq/food_seqdata/NextSeq_198/FoodQCPipeline_tmp/conc_fqs/DTU_2022_1015450_1_SI_15502_R1_001.fq.gz</v>
          </cell>
          <cell r="H1043" t="str">
            <v>/home/projects/cge/backup/fastq/food_seqdata/NextSeq_198/FoodQCPipeline_tmp/conc_fqs/DTU_2022_1015450_1_SI_15502_R2_001.fq.gz</v>
          </cell>
          <cell r="I1043">
            <v>15502</v>
          </cell>
          <cell r="J1043">
            <v>15502</v>
          </cell>
          <cell r="K1043" t="str">
            <v>Listeria monocytogenes</v>
          </cell>
          <cell r="L1043">
            <v>52520008</v>
          </cell>
          <cell r="M1043">
            <v>13404954</v>
          </cell>
          <cell r="N1043" t="str">
            <v>Germany</v>
          </cell>
          <cell r="Q1043">
            <v>2010</v>
          </cell>
          <cell r="T1043" t="str">
            <v>Ludwig-Maximilians-University Munich, Munich, Germany</v>
          </cell>
          <cell r="U1043" t="str">
            <v>Animal</v>
          </cell>
          <cell r="X1043" t="str">
            <v>ERR10549957</v>
          </cell>
        </row>
        <row r="1044">
          <cell r="G1044" t="str">
            <v>/home/projects/cge/backup/fastq/food_seqdata/NextSeq_198/FoodQCPipeline_tmp/conc_fqs/DTU_2022_1015430_1_SI_6220_R1_001.fq.gz</v>
          </cell>
          <cell r="H1044" t="str">
            <v>/home/projects/cge/backup/fastq/food_seqdata/NextSeq_198/FoodQCPipeline_tmp/conc_fqs/DTU_2022_1015430_1_SI_6220_R2_001.fq.gz</v>
          </cell>
          <cell r="I1044">
            <v>6220</v>
          </cell>
          <cell r="J1044">
            <v>6220</v>
          </cell>
          <cell r="K1044" t="str">
            <v>Listeria monocytogenes</v>
          </cell>
          <cell r="L1044">
            <v>52520008</v>
          </cell>
          <cell r="M1044">
            <v>13404954</v>
          </cell>
          <cell r="N1044" t="str">
            <v>Germany</v>
          </cell>
          <cell r="Q1044">
            <v>2011</v>
          </cell>
          <cell r="R1044" t="str">
            <v>Cervidae</v>
          </cell>
          <cell r="T1044" t="str">
            <v>Ludwig-Maximilians-University Munich, Munich, Germany</v>
          </cell>
          <cell r="U1044" t="str">
            <v>Animal</v>
          </cell>
          <cell r="V1044" t="str">
            <v>deer</v>
          </cell>
          <cell r="X1044" t="str">
            <v>ERR10550002</v>
          </cell>
        </row>
        <row r="1045">
          <cell r="G1045" t="str">
            <v>/home/projects/cge/backup/fastq/food_seqdata/NextSeq_198/FoodQCPipeline_tmp/conc_fqs/DTU_2022_1015431_1_SI_6225_R1_001.fq.gz</v>
          </cell>
          <cell r="H1045" t="str">
            <v>/home/projects/cge/backup/fastq/food_seqdata/NextSeq_198/FoodQCPipeline_tmp/conc_fqs/DTU_2022_1015431_1_SI_6225_R2_001.fq.gz</v>
          </cell>
          <cell r="I1045">
            <v>6225</v>
          </cell>
          <cell r="J1045">
            <v>6225</v>
          </cell>
          <cell r="K1045" t="str">
            <v>Listeria monocytogenes</v>
          </cell>
          <cell r="L1045">
            <v>52520008</v>
          </cell>
          <cell r="M1045">
            <v>13404954</v>
          </cell>
          <cell r="N1045" t="str">
            <v>Germany</v>
          </cell>
          <cell r="Q1045">
            <v>2011</v>
          </cell>
          <cell r="T1045" t="str">
            <v>Ludwig-Maximilians-University Munich, Munich, Germany</v>
          </cell>
          <cell r="U1045" t="str">
            <v>Animal</v>
          </cell>
          <cell r="X1045" t="str">
            <v>ERR10549953</v>
          </cell>
        </row>
        <row r="1046">
          <cell r="G1046" t="str">
            <v>/home/projects/cge/backup/fastq/food_seqdata/NextSeq_198/FoodQCPipeline_tmp/conc_fqs/DTU_2022_1015432_1_SI_6232_R1_001.fq.gz</v>
          </cell>
          <cell r="H1046" t="str">
            <v>/home/projects/cge/backup/fastq/food_seqdata/NextSeq_198/FoodQCPipeline_tmp/conc_fqs/DTU_2022_1015432_1_SI_6232_R2_001.fq.gz</v>
          </cell>
          <cell r="I1046">
            <v>6232</v>
          </cell>
          <cell r="J1046">
            <v>6232</v>
          </cell>
          <cell r="K1046" t="str">
            <v>Listeria monocytogenes</v>
          </cell>
          <cell r="L1046">
            <v>52520008</v>
          </cell>
          <cell r="M1046">
            <v>13404954</v>
          </cell>
          <cell r="N1046" t="str">
            <v>Germany</v>
          </cell>
          <cell r="Q1046">
            <v>2011</v>
          </cell>
          <cell r="T1046" t="str">
            <v>Ludwig-Maximilians-University Munich, Munich, Germany</v>
          </cell>
          <cell r="U1046" t="str">
            <v>Animal</v>
          </cell>
          <cell r="X1046" t="str">
            <v>ERR10549952</v>
          </cell>
        </row>
        <row r="1047">
          <cell r="G1047" t="str">
            <v>/home/projects/cge/backup/fastq/food_seqdata/NextSeq_198/FoodQCPipeline_tmp/conc_fqs/DTU_2022_1015433_1_SI_6234_R1_001.fq.gz</v>
          </cell>
          <cell r="H1047" t="str">
            <v>/home/projects/cge/backup/fastq/food_seqdata/NextSeq_198/FoodQCPipeline_tmp/conc_fqs/DTU_2022_1015433_1_SI_6234_R2_001.fq.gz</v>
          </cell>
          <cell r="I1047">
            <v>6234</v>
          </cell>
          <cell r="J1047">
            <v>6234</v>
          </cell>
          <cell r="K1047" t="str">
            <v>Listeria monocytogenes</v>
          </cell>
          <cell r="L1047">
            <v>52520008</v>
          </cell>
          <cell r="M1047">
            <v>13404954</v>
          </cell>
          <cell r="N1047" t="str">
            <v>Germany</v>
          </cell>
          <cell r="Q1047">
            <v>2011</v>
          </cell>
          <cell r="T1047" t="str">
            <v>Ludwig-Maximilians-University Munich, Munich, Germany</v>
          </cell>
          <cell r="U1047" t="str">
            <v>Animal</v>
          </cell>
          <cell r="X1047" t="str">
            <v>ERR10549954</v>
          </cell>
        </row>
        <row r="1048">
          <cell r="G1048" t="str">
            <v>/home/projects/cge/backup/fastq/food_seqdata/NextSeq_198/FoodQCPipeline_tmp/conc_fqs/DTU_2022_1015446_1_SI_6319_R1_001.fq.gz</v>
          </cell>
          <cell r="H1048" t="str">
            <v>/home/projects/cge/backup/fastq/food_seqdata/NextSeq_198/FoodQCPipeline_tmp/conc_fqs/DTU_2022_1015446_1_SI_6319_R2_001.fq.gz</v>
          </cell>
          <cell r="I1048">
            <v>6319</v>
          </cell>
          <cell r="J1048">
            <v>6319</v>
          </cell>
          <cell r="K1048" t="str">
            <v>Listeria monocytogenes</v>
          </cell>
          <cell r="L1048">
            <v>52520008</v>
          </cell>
          <cell r="M1048">
            <v>13404954</v>
          </cell>
          <cell r="N1048" t="str">
            <v>Germany</v>
          </cell>
          <cell r="Q1048">
            <v>2011</v>
          </cell>
          <cell r="T1048" t="str">
            <v>Ludwig-Maximilians-University Munich, Munich, Germany</v>
          </cell>
          <cell r="U1048" t="str">
            <v>Animal</v>
          </cell>
          <cell r="X1048" t="str">
            <v>ERR10549955</v>
          </cell>
        </row>
        <row r="1049">
          <cell r="G1049" t="str">
            <v>/home/projects/cge/backup/fastq/food_seqdata/NextSeq_198/FoodQCPipeline_tmp/conc_fqs/DTU_2022_1015447_1_SI_6322_R1_001.fq.gz</v>
          </cell>
          <cell r="H1049" t="str">
            <v>/home/projects/cge/backup/fastq/food_seqdata/NextSeq_198/FoodQCPipeline_tmp/conc_fqs/DTU_2022_1015447_1_SI_6322_R2_001.fq.gz</v>
          </cell>
          <cell r="I1049">
            <v>6322</v>
          </cell>
          <cell r="J1049">
            <v>6322</v>
          </cell>
          <cell r="K1049" t="str">
            <v>Listeria monocytogenes</v>
          </cell>
          <cell r="L1049">
            <v>52520008</v>
          </cell>
          <cell r="M1049">
            <v>13404954</v>
          </cell>
          <cell r="N1049" t="str">
            <v>Germany</v>
          </cell>
          <cell r="Q1049">
            <v>2011</v>
          </cell>
          <cell r="T1049" t="str">
            <v>Ludwig-Maximilians-University Munich, Munich, Germany</v>
          </cell>
          <cell r="U1049" t="str">
            <v>Animal</v>
          </cell>
          <cell r="X1049" t="str">
            <v>ERR10550001</v>
          </cell>
        </row>
        <row r="1050">
          <cell r="G1050" t="str">
            <v>/home/projects/cge/backup/fastq/food_seqdata/NextSeq_198/FoodQCPipeline_tmp/conc_fqs/DTU_2022_1015418_1_SI_1000_R1_001.fq.gz</v>
          </cell>
          <cell r="H1050" t="str">
            <v>/home/projects/cge/backup/fastq/food_seqdata/NextSeq_198/FoodQCPipeline_tmp/conc_fqs/DTU_2022_1015418_1_SI_1000_R2_001.fq.gz</v>
          </cell>
          <cell r="I1050">
            <v>1000</v>
          </cell>
          <cell r="J1050">
            <v>1000</v>
          </cell>
          <cell r="K1050" t="str">
            <v>Listeria monocytogenes</v>
          </cell>
          <cell r="L1050">
            <v>52520008</v>
          </cell>
          <cell r="M1050">
            <v>13404954</v>
          </cell>
          <cell r="N1050" t="str">
            <v>Germany</v>
          </cell>
          <cell r="Q1050">
            <v>2012</v>
          </cell>
          <cell r="T1050" t="str">
            <v>Ludwig-Maximilians-University Munich, Munich, Germany</v>
          </cell>
          <cell r="U1050" t="str">
            <v>Food</v>
          </cell>
          <cell r="X1050" t="str">
            <v>ERR10549963</v>
          </cell>
        </row>
        <row r="1051">
          <cell r="G1051" t="str">
            <v>/home/projects/cge/backup/fastq/food_seqdata/NextSeq_198/FoodQCPipeline_tmp/conc_fqs/DTU_2022_1015419_1_SI_1001_R1_001.fq.gz</v>
          </cell>
          <cell r="H1051" t="str">
            <v>/home/projects/cge/backup/fastq/food_seqdata/NextSeq_198/FoodQCPipeline_tmp/conc_fqs/DTU_2022_1015419_1_SI_1001_R2_001.fq.gz</v>
          </cell>
          <cell r="I1051">
            <v>1001</v>
          </cell>
          <cell r="J1051">
            <v>1001</v>
          </cell>
          <cell r="K1051" t="str">
            <v>Listeria monocytogenes</v>
          </cell>
          <cell r="L1051">
            <v>52520008</v>
          </cell>
          <cell r="M1051">
            <v>13404954</v>
          </cell>
          <cell r="N1051" t="str">
            <v>Germany</v>
          </cell>
          <cell r="Q1051">
            <v>2012</v>
          </cell>
          <cell r="T1051" t="str">
            <v>Ludwig-Maximilians-University Munich, Munich, Germany</v>
          </cell>
          <cell r="U1051" t="str">
            <v>Food</v>
          </cell>
          <cell r="X1051" t="str">
            <v>ERR10549959</v>
          </cell>
        </row>
        <row r="1052">
          <cell r="G1052" t="str">
            <v>/home/projects/cge/backup/fastq/food_seqdata/NextSeq_198/FoodQCPipeline_tmp/conc_fqs/DTU_2022_1015420_1_SI_1002_R1_001.fq.gz</v>
          </cell>
          <cell r="H1052" t="str">
            <v>/home/projects/cge/backup/fastq/food_seqdata/NextSeq_198/FoodQCPipeline_tmp/conc_fqs/DTU_2022_1015420_1_SI_1002_R2_001.fq.gz</v>
          </cell>
          <cell r="I1052">
            <v>1002</v>
          </cell>
          <cell r="J1052">
            <v>1002</v>
          </cell>
          <cell r="K1052" t="str">
            <v>Listeria monocytogenes</v>
          </cell>
          <cell r="L1052">
            <v>52520008</v>
          </cell>
          <cell r="M1052">
            <v>13404954</v>
          </cell>
          <cell r="N1052" t="str">
            <v>Germany</v>
          </cell>
          <cell r="Q1052">
            <v>2012</v>
          </cell>
          <cell r="T1052" t="str">
            <v>Ludwig-Maximilians-University Munich, Munich, Germany</v>
          </cell>
          <cell r="U1052" t="str">
            <v>Food</v>
          </cell>
          <cell r="X1052" t="str">
            <v>ERR10549978</v>
          </cell>
        </row>
        <row r="1053">
          <cell r="G1053" t="str">
            <v>/home/projects/cge/backup/fastq/food_seqdata/NextSeq_198/FoodQCPipeline_tmp/conc_fqs/DTU_2022_1015434_1_SI_6235_R1_001.fq.gz</v>
          </cell>
          <cell r="H1053" t="str">
            <v>/home/projects/cge/backup/fastq/food_seqdata/NextSeq_198/FoodQCPipeline_tmp/conc_fqs/DTU_2022_1015434_1_SI_6235_R2_001.fq.gz</v>
          </cell>
          <cell r="I1053">
            <v>6235</v>
          </cell>
          <cell r="J1053">
            <v>6235</v>
          </cell>
          <cell r="K1053" t="str">
            <v>Listeria monocytogenes</v>
          </cell>
          <cell r="L1053">
            <v>52520008</v>
          </cell>
          <cell r="M1053">
            <v>13404954</v>
          </cell>
          <cell r="N1053" t="str">
            <v>Germany</v>
          </cell>
          <cell r="Q1053">
            <v>2012</v>
          </cell>
          <cell r="T1053" t="str">
            <v>Ludwig-Maximilians-University Munich, Munich, Germany</v>
          </cell>
          <cell r="U1053" t="str">
            <v>Animal</v>
          </cell>
          <cell r="X1053" t="str">
            <v>ERR10549961</v>
          </cell>
        </row>
        <row r="1054">
          <cell r="G1054" t="str">
            <v>/home/projects/cge/backup/fastq/food_seqdata/NextSeq_198/FoodQCPipeline_tmp/conc_fqs/DTU_2022_1015435_1_SI_6255_R1_001.fq.gz</v>
          </cell>
          <cell r="H1054" t="str">
            <v>/home/projects/cge/backup/fastq/food_seqdata/NextSeq_198/FoodQCPipeline_tmp/conc_fqs/DTU_2022_1015435_1_SI_6255_R2_001.fq.gz</v>
          </cell>
          <cell r="I1054">
            <v>6255</v>
          </cell>
          <cell r="J1054">
            <v>6255</v>
          </cell>
          <cell r="K1054" t="str">
            <v>Listeria monocytogenes</v>
          </cell>
          <cell r="L1054">
            <v>52520008</v>
          </cell>
          <cell r="M1054">
            <v>13404954</v>
          </cell>
          <cell r="N1054" t="str">
            <v>Germany</v>
          </cell>
          <cell r="Q1054">
            <v>2012</v>
          </cell>
          <cell r="T1054" t="str">
            <v>Ludwig-Maximilians-University Munich, Munich, Germany</v>
          </cell>
          <cell r="U1054" t="str">
            <v>Animal</v>
          </cell>
          <cell r="X1054" t="str">
            <v>ERR10549965</v>
          </cell>
        </row>
        <row r="1055">
          <cell r="G1055" t="str">
            <v>/home/projects/cge/backup/fastq/food_seqdata/NextSeq_198/FoodQCPipeline_tmp/conc_fqs/DTU_2022_1015436_1_SI_6263_R1_001.fq.gz</v>
          </cell>
          <cell r="H1055" t="str">
            <v>/home/projects/cge/backup/fastq/food_seqdata/NextSeq_198/FoodQCPipeline_tmp/conc_fqs/DTU_2022_1015436_1_SI_6263_R2_001.fq.gz</v>
          </cell>
          <cell r="I1055">
            <v>6263</v>
          </cell>
          <cell r="J1055">
            <v>6263</v>
          </cell>
          <cell r="K1055" t="str">
            <v>Listeria monocytogenes</v>
          </cell>
          <cell r="L1055">
            <v>52520008</v>
          </cell>
          <cell r="M1055">
            <v>13404954</v>
          </cell>
          <cell r="N1055" t="str">
            <v>Germany</v>
          </cell>
          <cell r="Q1055">
            <v>2012</v>
          </cell>
          <cell r="T1055" t="str">
            <v>Ludwig-Maximilians-University Munich, Munich, Germany</v>
          </cell>
          <cell r="U1055" t="str">
            <v>Animal</v>
          </cell>
          <cell r="X1055" t="str">
            <v>ERR10549995</v>
          </cell>
        </row>
        <row r="1056">
          <cell r="G1056" t="str">
            <v>/home/projects/cge/backup/fastq/food_seqdata/NextSeq_198/FoodQCPipeline_tmp/conc_fqs/DTU_2022_1015437_1_SI_6269_R1_001.fq.gz</v>
          </cell>
          <cell r="H1056" t="str">
            <v>/home/projects/cge/backup/fastq/food_seqdata/NextSeq_198/FoodQCPipeline_tmp/conc_fqs/DTU_2022_1015437_1_SI_6269_R2_001.fq.gz</v>
          </cell>
          <cell r="I1056">
            <v>6269</v>
          </cell>
          <cell r="J1056">
            <v>6269</v>
          </cell>
          <cell r="K1056" t="str">
            <v>Listeria monocytogenes</v>
          </cell>
          <cell r="L1056">
            <v>52520008</v>
          </cell>
          <cell r="M1056">
            <v>13404954</v>
          </cell>
          <cell r="N1056" t="str">
            <v>Germany</v>
          </cell>
          <cell r="Q1056">
            <v>2012</v>
          </cell>
          <cell r="T1056" t="str">
            <v>Ludwig-Maximilians-University Munich, Munich, Germany</v>
          </cell>
          <cell r="U1056" t="str">
            <v>Animal</v>
          </cell>
          <cell r="X1056" t="str">
            <v>ERR10549938</v>
          </cell>
        </row>
        <row r="1057">
          <cell r="G1057" t="str">
            <v>/home/projects/cge/backup/fastq/food_seqdata/NextSeq_198/FoodQCPipeline_tmp/conc_fqs/DTU_2022_1015438_1_SI_6272_R1_001.fq.gz</v>
          </cell>
          <cell r="H1057" t="str">
            <v>/home/projects/cge/backup/fastq/food_seqdata/NextSeq_198/FoodQCPipeline_tmp/conc_fqs/DTU_2022_1015438_1_SI_6272_R2_001.fq.gz</v>
          </cell>
          <cell r="I1057">
            <v>6272</v>
          </cell>
          <cell r="J1057">
            <v>6272</v>
          </cell>
          <cell r="K1057" t="str">
            <v>Listeria monocytogenes</v>
          </cell>
          <cell r="L1057">
            <v>52520008</v>
          </cell>
          <cell r="M1057">
            <v>13404954</v>
          </cell>
          <cell r="N1057" t="str">
            <v>Germany</v>
          </cell>
          <cell r="Q1057">
            <v>2012</v>
          </cell>
          <cell r="T1057" t="str">
            <v>Ludwig-Maximilians-University Munich, Munich, Germany</v>
          </cell>
          <cell r="U1057" t="str">
            <v>Animal</v>
          </cell>
          <cell r="X1057" t="str">
            <v>ERR10549936</v>
          </cell>
        </row>
        <row r="1058">
          <cell r="G1058" t="str">
            <v>/home/projects/cge/backup/fastq/food_seqdata/NextSeq_198/FoodQCPipeline_tmp/conc_fqs/DTU_2022_1015439_1_SI_6275_R1_001.fq.gz</v>
          </cell>
          <cell r="H1058" t="str">
            <v>/home/projects/cge/backup/fastq/food_seqdata/NextSeq_198/FoodQCPipeline_tmp/conc_fqs/DTU_2022_1015439_1_SI_6275_R2_001.fq.gz</v>
          </cell>
          <cell r="I1058">
            <v>6275</v>
          </cell>
          <cell r="J1058">
            <v>6275</v>
          </cell>
          <cell r="K1058" t="str">
            <v>Listeria monocytogenes</v>
          </cell>
          <cell r="L1058">
            <v>52520008</v>
          </cell>
          <cell r="M1058">
            <v>13404954</v>
          </cell>
          <cell r="N1058" t="str">
            <v>Germany</v>
          </cell>
          <cell r="Q1058">
            <v>2012</v>
          </cell>
          <cell r="T1058" t="str">
            <v>Ludwig-Maximilians-University Munich, Munich, Germany</v>
          </cell>
          <cell r="U1058" t="str">
            <v>Animal</v>
          </cell>
          <cell r="X1058" t="str">
            <v>ERR10550006</v>
          </cell>
        </row>
        <row r="1059">
          <cell r="G1059" t="str">
            <v>/home/projects/cge/backup/fastq/food_seqdata/NextSeq_198/FoodQCPipeline_tmp/conc_fqs/DTU_2022_1015422_1_SI_1425_R1_001.fq.gz</v>
          </cell>
          <cell r="H1059" t="str">
            <v>/home/projects/cge/backup/fastq/food_seqdata/NextSeq_198/FoodQCPipeline_tmp/conc_fqs/DTU_2022_1015422_1_SI_1425_R2_001.fq.gz</v>
          </cell>
          <cell r="I1059">
            <v>1425</v>
          </cell>
          <cell r="J1059">
            <v>1425</v>
          </cell>
          <cell r="K1059" t="str">
            <v>Listeria monocytogenes</v>
          </cell>
          <cell r="L1059">
            <v>52520008</v>
          </cell>
          <cell r="M1059">
            <v>13404954</v>
          </cell>
          <cell r="N1059" t="str">
            <v>Germany</v>
          </cell>
          <cell r="Q1059">
            <v>2016</v>
          </cell>
          <cell r="T1059" t="str">
            <v>Ludwig-Maximilians-University Munich, Munich, Germany</v>
          </cell>
          <cell r="U1059" t="str">
            <v>Food</v>
          </cell>
          <cell r="X1059" t="str">
            <v>ERR10549970</v>
          </cell>
        </row>
        <row r="1060">
          <cell r="G1060" t="str">
            <v>/home/projects/cge/backup/fastq/food_seqdata/NextSeq_198/FoodQCPipeline_tmp/conc_fqs/DTU_2022_1015423_1_SI_1427_R1_001.fq.gz</v>
          </cell>
          <cell r="H1060" t="str">
            <v>/home/projects/cge/backup/fastq/food_seqdata/NextSeq_198/FoodQCPipeline_tmp/conc_fqs/DTU_2022_1015423_1_SI_1427_R2_001.fq.gz</v>
          </cell>
          <cell r="I1060">
            <v>1427</v>
          </cell>
          <cell r="J1060">
            <v>1427</v>
          </cell>
          <cell r="K1060" t="str">
            <v>Listeria monocytogenes</v>
          </cell>
          <cell r="L1060">
            <v>52520008</v>
          </cell>
          <cell r="M1060">
            <v>13404954</v>
          </cell>
          <cell r="N1060" t="str">
            <v>Germany</v>
          </cell>
          <cell r="Q1060">
            <v>2016</v>
          </cell>
          <cell r="T1060" t="str">
            <v>Ludwig-Maximilians-University Munich, Munich, Germany</v>
          </cell>
          <cell r="U1060" t="str">
            <v>Human</v>
          </cell>
          <cell r="X1060" t="str">
            <v>ERR10549981</v>
          </cell>
        </row>
        <row r="1061">
          <cell r="G1061" t="str">
            <v>/home/projects/cge/backup/fastq/food_seqdata/NextSeq_198/FoodQCPipeline_tmp/conc_fqs/DTU_2022_1015424_1_SI_1429_R1_001.fq.gz</v>
          </cell>
          <cell r="H1061" t="str">
            <v>/home/projects/cge/backup/fastq/food_seqdata/NextSeq_198/FoodQCPipeline_tmp/conc_fqs/DTU_2022_1015424_1_SI_1429_R2_001.fq.gz</v>
          </cell>
          <cell r="I1061">
            <v>1429</v>
          </cell>
          <cell r="J1061">
            <v>1429</v>
          </cell>
          <cell r="K1061" t="str">
            <v>Listeria monocytogenes</v>
          </cell>
          <cell r="L1061">
            <v>52520008</v>
          </cell>
          <cell r="M1061">
            <v>13404954</v>
          </cell>
          <cell r="N1061" t="str">
            <v>Germany</v>
          </cell>
          <cell r="Q1061">
            <v>2016</v>
          </cell>
          <cell r="T1061" t="str">
            <v>Ludwig-Maximilians-University Munich, Munich, Germany</v>
          </cell>
          <cell r="U1061" t="str">
            <v>Food</v>
          </cell>
          <cell r="X1061" t="str">
            <v>ERR10549996</v>
          </cell>
        </row>
        <row r="1062">
          <cell r="G1062" t="str">
            <v>/home/projects/cge/backup/fastq/food_seqdata/NextSeq_198/FoodQCPipeline_tmp/conc_fqs/DTU_2022_1015426_1_SI_1433_R1_001.fq.gz</v>
          </cell>
          <cell r="H1062" t="str">
            <v>/home/projects/cge/backup/fastq/food_seqdata/NextSeq_198/FoodQCPipeline_tmp/conc_fqs/DTU_2022_1015426_1_SI_1433_R2_001.fq.gz</v>
          </cell>
          <cell r="I1062">
            <v>1433</v>
          </cell>
          <cell r="J1062">
            <v>1433</v>
          </cell>
          <cell r="K1062" t="str">
            <v>Listeria monocytogenes</v>
          </cell>
          <cell r="L1062">
            <v>52520008</v>
          </cell>
          <cell r="M1062">
            <v>13404954</v>
          </cell>
          <cell r="N1062" t="str">
            <v>Germany</v>
          </cell>
          <cell r="Q1062">
            <v>2016</v>
          </cell>
          <cell r="T1062" t="str">
            <v>Ludwig-Maximilians-University Munich, Munich, Germany</v>
          </cell>
          <cell r="U1062" t="str">
            <v>Human</v>
          </cell>
          <cell r="X1062" t="str">
            <v>ERR10550008</v>
          </cell>
        </row>
        <row r="1063">
          <cell r="G1063" t="str">
            <v>/home/projects/cge/backup/fastq/food_seqdata/NextSeq_198/FoodQCPipeline_tmp/conc_fqs/DTU_2022_1015427_1_SI_1748_R1_001.fq.gz</v>
          </cell>
          <cell r="H1063" t="str">
            <v>/home/projects/cge/backup/fastq/food_seqdata/NextSeq_198/FoodQCPipeline_tmp/conc_fqs/DTU_2022_1015427_1_SI_1748_R2_001.fq.gz</v>
          </cell>
          <cell r="I1063">
            <v>1748</v>
          </cell>
          <cell r="J1063">
            <v>1748</v>
          </cell>
          <cell r="K1063" t="str">
            <v>Listeria monocytogenes</v>
          </cell>
          <cell r="L1063">
            <v>52520008</v>
          </cell>
          <cell r="M1063">
            <v>13404954</v>
          </cell>
          <cell r="N1063" t="str">
            <v>Germany</v>
          </cell>
          <cell r="Q1063">
            <v>2016</v>
          </cell>
          <cell r="T1063" t="str">
            <v>Ludwig-Maximilians-University Munich, Munich, Germany</v>
          </cell>
          <cell r="U1063" t="str">
            <v>Food</v>
          </cell>
          <cell r="X1063" t="str">
            <v>ERR10549987</v>
          </cell>
        </row>
        <row r="1064">
          <cell r="G1064" t="str">
            <v>/home/projects/cge/backup/fastq/food_seqdata/NextSeq_198/FoodQCPipeline_tmp/conc_fqs/DTU_2022_1015428_1_SI_2087_R1_001.fq.gz</v>
          </cell>
          <cell r="H1064" t="str">
            <v>/home/projects/cge/backup/fastq/food_seqdata/NextSeq_198/FoodQCPipeline_tmp/conc_fqs/DTU_2022_1015428_1_SI_2087_R2_001.fq.gz</v>
          </cell>
          <cell r="I1064">
            <v>2087</v>
          </cell>
          <cell r="J1064">
            <v>2087</v>
          </cell>
          <cell r="K1064" t="str">
            <v>Listeria monocytogenes</v>
          </cell>
          <cell r="L1064">
            <v>52520008</v>
          </cell>
          <cell r="M1064">
            <v>13404954</v>
          </cell>
          <cell r="N1064" t="str">
            <v>Germany</v>
          </cell>
          <cell r="Q1064">
            <v>2017</v>
          </cell>
          <cell r="T1064" t="str">
            <v>Ludwig-Maximilians-University Munich, Munich, Germany</v>
          </cell>
          <cell r="U1064" t="str">
            <v>Food</v>
          </cell>
          <cell r="X1064" t="str">
            <v>ERR10550009</v>
          </cell>
        </row>
        <row r="1065">
          <cell r="G1065" t="str">
            <v>/home/projects/cge/backup/fastq/food_seqdata/NextSeq_198/FoodQCPipeline_tmp/conc_fqs/DTU_2022_1015448_1_SI_8366_R1_001.fq.gz</v>
          </cell>
          <cell r="H1065" t="str">
            <v>/home/projects/cge/backup/fastq/food_seqdata/NextSeq_198/FoodQCPipeline_tmp/conc_fqs/DTU_2022_1015448_1_SI_8366_R2_001.fq.gz</v>
          </cell>
          <cell r="I1065">
            <v>8366</v>
          </cell>
          <cell r="J1065">
            <v>8366</v>
          </cell>
          <cell r="K1065" t="str">
            <v>Listeria monocytogenes</v>
          </cell>
          <cell r="L1065">
            <v>52520008</v>
          </cell>
          <cell r="M1065">
            <v>13404954</v>
          </cell>
          <cell r="N1065" t="str">
            <v>Germany</v>
          </cell>
          <cell r="Q1065">
            <v>2018</v>
          </cell>
          <cell r="T1065" t="str">
            <v>Ludwig-Maximilians-University Munich, Munich, Germany</v>
          </cell>
          <cell r="U1065" t="str">
            <v>Animal</v>
          </cell>
          <cell r="X1065" t="str">
            <v>ERR10549947</v>
          </cell>
        </row>
        <row r="1066">
          <cell r="G1066" t="str">
            <v>/home/projects/cge/backup/fastq/food_seqdata/NextSeq_209/FoodQCPipeline_tmp/conc_fqs/DTU_2022_1016892_1_SI_3R23_1_R1_001.fq.gz</v>
          </cell>
          <cell r="H1066" t="str">
            <v>/home/projects/cge/backup/fastq/food_seqdata/NextSeq_209/FoodQCPipeline_tmp/conc_fqs/DTU_2022_1016892_1_SI_3R23_1_R2_001.fq.gz</v>
          </cell>
          <cell r="I1066" t="str">
            <v>3R23_1</v>
          </cell>
          <cell r="J1066" t="str">
            <v>3R23_1</v>
          </cell>
          <cell r="K1066" t="str">
            <v>Listeria monocytogenes</v>
          </cell>
          <cell r="L1066">
            <v>5476906</v>
          </cell>
          <cell r="M1066">
            <v>12568337</v>
          </cell>
          <cell r="N1066" t="str">
            <v>Denmark</v>
          </cell>
          <cell r="Q1066">
            <v>2003</v>
          </cell>
          <cell r="T1066" t="str">
            <v>Department of Biotechnology and Biomedicine, Technical University of Denmark</v>
          </cell>
          <cell r="U1066" t="str">
            <v>Production environment</v>
          </cell>
          <cell r="V1066" t="str">
            <v>Environment</v>
          </cell>
          <cell r="X1066" t="str">
            <v>ERR10616644</v>
          </cell>
        </row>
        <row r="1067">
          <cell r="G1067" t="str">
            <v>/home/projects/cge/backup/fastq/food_seqdata/NextSeq_216/FoodQCPipeline_tmp/conc_fqs/DTU_2022_1016893_1_SI_No40_1_R1_001.fq.gz</v>
          </cell>
          <cell r="H1067" t="str">
            <v>/home/projects/cge/backup/fastq/food_seqdata/NextSeq_216/FoodQCPipeline_tmp/conc_fqs/DTU_2022_1016893_1_SI_No40_1_R2_001.fq.gz</v>
          </cell>
          <cell r="I1067" t="str">
            <v>No40_1</v>
          </cell>
          <cell r="J1067" t="str">
            <v>No40_1</v>
          </cell>
          <cell r="K1067" t="str">
            <v>Listeria monocytogenes</v>
          </cell>
          <cell r="L1067">
            <v>5476906</v>
          </cell>
          <cell r="M1067">
            <v>12568337</v>
          </cell>
          <cell r="N1067" t="str">
            <v>Denmark</v>
          </cell>
          <cell r="Q1067">
            <v>2003</v>
          </cell>
          <cell r="T1067" t="str">
            <v>Department of Biotechnology and Biomedicine, Technical University of Denmark</v>
          </cell>
          <cell r="U1067" t="str">
            <v>Production environment</v>
          </cell>
          <cell r="V1067" t="str">
            <v>Environment</v>
          </cell>
          <cell r="X1067" t="str">
            <v>ERR10549964</v>
          </cell>
        </row>
        <row r="1068">
          <cell r="G1068" t="str">
            <v>/home/projects/cge/backup/fastq/food_seqdata/NextSeq_216/FoodQCPipeline_tmp/conc_fqs/DTU_2022_1016891_1_SI_No80_1_R1_001.fq.gz</v>
          </cell>
          <cell r="H1068" t="str">
            <v>/home/projects/cge/backup/fastq/food_seqdata/NextSeq_216/FoodQCPipeline_tmp/conc_fqs/DTU_2022_1016891_1_SI_No80_1_R2_001.fq.gz</v>
          </cell>
          <cell r="I1068" t="str">
            <v>No80_1</v>
          </cell>
          <cell r="J1068" t="str">
            <v>No80_1</v>
          </cell>
          <cell r="K1068" t="str">
            <v>Listeria monocytogenes</v>
          </cell>
          <cell r="L1068">
            <v>5476906</v>
          </cell>
          <cell r="M1068">
            <v>12568337</v>
          </cell>
          <cell r="N1068" t="str">
            <v>Denmark</v>
          </cell>
          <cell r="Q1068">
            <v>2003</v>
          </cell>
          <cell r="T1068" t="str">
            <v>Department of Biotechnology and Biomedicine, Technical University of Denmark</v>
          </cell>
          <cell r="U1068" t="str">
            <v>Production environment</v>
          </cell>
          <cell r="V1068" t="str">
            <v>Environment</v>
          </cell>
          <cell r="X1068" t="str">
            <v>ERR10549976</v>
          </cell>
        </row>
        <row r="1069">
          <cell r="G1069" t="str">
            <v>/home/projects/cge/backup/fastq/food_seqdata/NextSeq_209/FoodQCPipeline_tmp/conc_fqs/DTU_2022_1016683_1_SI_4470_R1_001.fq.gz</v>
          </cell>
          <cell r="H1069" t="str">
            <v>/home/projects/cge/backup/fastq/food_seqdata/NextSeq_209/FoodQCPipeline_tmp/conc_fqs/DTU_2022_1016683_1_SI_4470_R2_001.fq.gz</v>
          </cell>
          <cell r="I1069">
            <v>4470</v>
          </cell>
          <cell r="J1069">
            <v>4470</v>
          </cell>
          <cell r="K1069" t="str">
            <v>Listeria monocytogenes</v>
          </cell>
          <cell r="L1069">
            <v>5476906</v>
          </cell>
          <cell r="M1069">
            <v>12568337</v>
          </cell>
          <cell r="N1069" t="str">
            <v>Denmark</v>
          </cell>
          <cell r="Q1069" t="str">
            <v>Unknown</v>
          </cell>
          <cell r="T1069" t="str">
            <v>Department of Biotechnology and Biomedicine, Technical University of Denmark</v>
          </cell>
          <cell r="U1069" t="str">
            <v>Unknown</v>
          </cell>
          <cell r="X1069" t="str">
            <v>ERR10611899</v>
          </cell>
        </row>
        <row r="1070">
          <cell r="G1070" t="str">
            <v>/home/projects/cge/backup/fastq/food_seqdata/NextSeq_209/FoodQCPipeline_tmp/conc_fqs/DTU_2022_1016684_1_SI_1135_13_R1_001.fq.gz</v>
          </cell>
          <cell r="H1070" t="str">
            <v>/home/projects/cge/backup/fastq/food_seqdata/NextSeq_209/FoodQCPipeline_tmp/conc_fqs/DTU_2022_1016684_1_SI_1135_13_R2_001.fq.gz</v>
          </cell>
          <cell r="I1070" t="str">
            <v>1135_13</v>
          </cell>
          <cell r="J1070" t="str">
            <v>1135_13</v>
          </cell>
          <cell r="K1070" t="str">
            <v>Listeria monocytogenes</v>
          </cell>
          <cell r="L1070">
            <v>5476906</v>
          </cell>
          <cell r="M1070">
            <v>12568337</v>
          </cell>
          <cell r="N1070" t="str">
            <v>Denmark</v>
          </cell>
          <cell r="Q1070" t="str">
            <v>Unknown</v>
          </cell>
          <cell r="T1070" t="str">
            <v>Department of Biotechnology and Biomedicine, Technical University of Denmark</v>
          </cell>
          <cell r="U1070" t="str">
            <v>Unknown</v>
          </cell>
          <cell r="X1070" t="str">
            <v>ERR10611861</v>
          </cell>
        </row>
        <row r="1071">
          <cell r="G1071" t="str">
            <v>/home/projects/cge/backup/fastq/food_seqdata/NextSeq_209/FoodQCPipeline_tmp/conc_fqs/DTU_2022_1016685_1_SI_1146_13_R1_001.fq.gz</v>
          </cell>
          <cell r="H1071" t="str">
            <v>/home/projects/cge/backup/fastq/food_seqdata/NextSeq_209/FoodQCPipeline_tmp/conc_fqs/DTU_2022_1016685_1_SI_1146_13_R2_001.fq.gz</v>
          </cell>
          <cell r="I1071" t="str">
            <v>1146_13</v>
          </cell>
          <cell r="J1071" t="str">
            <v>1146_13</v>
          </cell>
          <cell r="K1071" t="str">
            <v>Listeria monocytogenes</v>
          </cell>
          <cell r="L1071">
            <v>5476906</v>
          </cell>
          <cell r="M1071">
            <v>12568337</v>
          </cell>
          <cell r="N1071" t="str">
            <v>Denmark</v>
          </cell>
          <cell r="Q1071" t="str">
            <v>Unknown</v>
          </cell>
          <cell r="T1071" t="str">
            <v>Department of Biotechnology and Biomedicine, Technical University of Denmark</v>
          </cell>
          <cell r="U1071" t="str">
            <v>Unknown</v>
          </cell>
          <cell r="X1071" t="str">
            <v>ERR10611884</v>
          </cell>
        </row>
        <row r="1072">
          <cell r="G1072" t="str">
            <v>/home/projects/cge/backup/fastq/food_seqdata/NextSeq_209/FoodQCPipeline_tmp/conc_fqs/DTU_2022_1016686_1_SI_1156_13_R1_001.fq.gz</v>
          </cell>
          <cell r="H1072" t="str">
            <v>/home/projects/cge/backup/fastq/food_seqdata/NextSeq_209/FoodQCPipeline_tmp/conc_fqs/DTU_2022_1016686_1_SI_1156_13_R2_001.fq.gz</v>
          </cell>
          <cell r="I1072" t="str">
            <v>1156_13</v>
          </cell>
          <cell r="J1072" t="str">
            <v>1156_13</v>
          </cell>
          <cell r="K1072" t="str">
            <v>Listeria monocytogenes</v>
          </cell>
          <cell r="L1072">
            <v>5476906</v>
          </cell>
          <cell r="M1072">
            <v>12568337</v>
          </cell>
          <cell r="N1072" t="str">
            <v>Denmark</v>
          </cell>
          <cell r="Q1072" t="str">
            <v>Unknown</v>
          </cell>
          <cell r="T1072" t="str">
            <v>Department of Biotechnology and Biomedicine, Technical University of Denmark</v>
          </cell>
          <cell r="U1072" t="str">
            <v>Unknown</v>
          </cell>
          <cell r="X1072" t="str">
            <v>ERR10611856</v>
          </cell>
        </row>
        <row r="1073">
          <cell r="G1073" t="str">
            <v>/home/projects/cge/backup/fastq/food_seqdata/NextSeq_209/FoodQCPipeline_tmp/conc_fqs/DTU_2022_1016687_1_SI_1680_13_R1_001.fq.gz</v>
          </cell>
          <cell r="H1073" t="str">
            <v>/home/projects/cge/backup/fastq/food_seqdata/NextSeq_209/FoodQCPipeline_tmp/conc_fqs/DTU_2022_1016687_1_SI_1680_13_R2_001.fq.gz</v>
          </cell>
          <cell r="I1073" t="str">
            <v>1680_13</v>
          </cell>
          <cell r="J1073" t="str">
            <v>1680_13</v>
          </cell>
          <cell r="K1073" t="str">
            <v>Listeria monocytogenes</v>
          </cell>
          <cell r="L1073">
            <v>5476906</v>
          </cell>
          <cell r="M1073">
            <v>12568337</v>
          </cell>
          <cell r="N1073" t="str">
            <v>Denmark</v>
          </cell>
          <cell r="Q1073" t="str">
            <v>Unknown</v>
          </cell>
          <cell r="T1073" t="str">
            <v>Department of Biotechnology and Biomedicine, Technical University of Denmark</v>
          </cell>
          <cell r="U1073" t="str">
            <v>Unknown</v>
          </cell>
          <cell r="X1073" t="str">
            <v>ERR10611893</v>
          </cell>
        </row>
        <row r="1074">
          <cell r="G1074" t="str">
            <v>/home/projects/cge/backup/fastq/food_seqdata/NextSeq_209/FoodQCPipeline_tmp/conc_fqs/DTU_2022_1016688_1_SI_1682_13_R1_001.fq.gz</v>
          </cell>
          <cell r="H1074" t="str">
            <v>/home/projects/cge/backup/fastq/food_seqdata/NextSeq_209/FoodQCPipeline_tmp/conc_fqs/DTU_2022_1016688_1_SI_1682_13_R2_001.fq.gz</v>
          </cell>
          <cell r="I1074" t="str">
            <v>1682_13</v>
          </cell>
          <cell r="J1074" t="str">
            <v>1682_13</v>
          </cell>
          <cell r="K1074" t="str">
            <v>Listeria monocytogenes</v>
          </cell>
          <cell r="L1074">
            <v>5476906</v>
          </cell>
          <cell r="M1074">
            <v>12568337</v>
          </cell>
          <cell r="N1074" t="str">
            <v>Denmark</v>
          </cell>
          <cell r="Q1074" t="str">
            <v>Unknown</v>
          </cell>
          <cell r="T1074" t="str">
            <v>Department of Biotechnology and Biomedicine, Technical University of Denmark</v>
          </cell>
          <cell r="U1074" t="str">
            <v>Unknown</v>
          </cell>
          <cell r="X1074" t="str">
            <v>ERR10611917</v>
          </cell>
        </row>
        <row r="1075">
          <cell r="G1075" t="str">
            <v>/home/projects/cge/backup/fastq/food_seqdata/NextSeq_209/FoodQCPipeline_tmp/conc_fqs/DTU_2022_1016689_1_SI_1691_13_R1_001.fq.gz</v>
          </cell>
          <cell r="H1075" t="str">
            <v>/home/projects/cge/backup/fastq/food_seqdata/NextSeq_209/FoodQCPipeline_tmp/conc_fqs/DTU_2022_1016689_1_SI_1691_13_R2_001.fq.gz</v>
          </cell>
          <cell r="I1075" t="str">
            <v>1691_13</v>
          </cell>
          <cell r="J1075" t="str">
            <v>1691_13</v>
          </cell>
          <cell r="K1075" t="str">
            <v>Listeria monocytogenes</v>
          </cell>
          <cell r="L1075">
            <v>5476906</v>
          </cell>
          <cell r="M1075">
            <v>12568337</v>
          </cell>
          <cell r="N1075" t="str">
            <v>Denmark</v>
          </cell>
          <cell r="Q1075" t="str">
            <v>Unknown</v>
          </cell>
          <cell r="T1075" t="str">
            <v>Department of Biotechnology and Biomedicine, Technical University of Denmark</v>
          </cell>
          <cell r="U1075" t="str">
            <v>Unknown</v>
          </cell>
          <cell r="X1075" t="str">
            <v>ERR10611887</v>
          </cell>
        </row>
        <row r="1076">
          <cell r="G1076" t="str">
            <v>/home/projects/cge/backup/fastq/food_seqdata/NextSeq_209/FoodQCPipeline_tmp/conc_fqs/DTU_2022_1016690_1_SI_1705_13_R1_001.fq.gz</v>
          </cell>
          <cell r="H1076" t="str">
            <v>/home/projects/cge/backup/fastq/food_seqdata/NextSeq_209/FoodQCPipeline_tmp/conc_fqs/DTU_2022_1016690_1_SI_1705_13_R2_001.fq.gz</v>
          </cell>
          <cell r="I1076" t="str">
            <v>1705_13</v>
          </cell>
          <cell r="J1076" t="str">
            <v>1705_13</v>
          </cell>
          <cell r="K1076" t="str">
            <v>Listeria monocytogenes</v>
          </cell>
          <cell r="L1076">
            <v>5476906</v>
          </cell>
          <cell r="M1076">
            <v>12568337</v>
          </cell>
          <cell r="N1076" t="str">
            <v>Denmark</v>
          </cell>
          <cell r="Q1076" t="str">
            <v>Unknown</v>
          </cell>
          <cell r="T1076" t="str">
            <v>Department of Biotechnology and Biomedicine, Technical University of Denmark</v>
          </cell>
          <cell r="U1076" t="str">
            <v>Unknown</v>
          </cell>
          <cell r="X1076" t="str">
            <v>ERR10611879</v>
          </cell>
        </row>
        <row r="1077">
          <cell r="G1077" t="str">
            <v>/home/projects/cge/backup/fastq/food_seqdata/NextSeq_209/FoodQCPipeline_tmp/conc_fqs/DTU_2022_1016691_1_SI_1729_13_R1_001.fq.gz</v>
          </cell>
          <cell r="H1077" t="str">
            <v>/home/projects/cge/backup/fastq/food_seqdata/NextSeq_209/FoodQCPipeline_tmp/conc_fqs/DTU_2022_1016691_1_SI_1729_13_R2_001.fq.gz</v>
          </cell>
          <cell r="I1077" t="str">
            <v>1729_13</v>
          </cell>
          <cell r="J1077" t="str">
            <v>1729_13</v>
          </cell>
          <cell r="K1077" t="str">
            <v>Listeria monocytogenes</v>
          </cell>
          <cell r="L1077">
            <v>5476906</v>
          </cell>
          <cell r="M1077">
            <v>12568337</v>
          </cell>
          <cell r="N1077" t="str">
            <v>Denmark</v>
          </cell>
          <cell r="Q1077" t="str">
            <v>Unknown</v>
          </cell>
          <cell r="T1077" t="str">
            <v>Department of Biotechnology and Biomedicine, Technical University of Denmark</v>
          </cell>
          <cell r="U1077" t="str">
            <v>Unknown</v>
          </cell>
          <cell r="X1077" t="str">
            <v>ERR10611882</v>
          </cell>
        </row>
        <row r="1078">
          <cell r="G1078" t="str">
            <v>/home/projects/cge/backup/fastq/food_seqdata/NextSeq_209/FoodQCPipeline_tmp/conc_fqs/DTU_2022_1016692_1_SI_1792_13_R1_001.fq.gz</v>
          </cell>
          <cell r="H1078" t="str">
            <v>/home/projects/cge/backup/fastq/food_seqdata/NextSeq_209/FoodQCPipeline_tmp/conc_fqs/DTU_2022_1016692_1_SI_1792_13_R2_001.fq.gz</v>
          </cell>
          <cell r="I1078" t="str">
            <v>1792_13</v>
          </cell>
          <cell r="J1078" t="str">
            <v>1792_13</v>
          </cell>
          <cell r="K1078" t="str">
            <v>Listeria monocytogenes</v>
          </cell>
          <cell r="L1078">
            <v>5476906</v>
          </cell>
          <cell r="M1078">
            <v>12568337</v>
          </cell>
          <cell r="N1078" t="str">
            <v>Denmark</v>
          </cell>
          <cell r="Q1078" t="str">
            <v>Unknown</v>
          </cell>
          <cell r="T1078" t="str">
            <v>Department of Biotechnology and Biomedicine, Technical University of Denmark</v>
          </cell>
          <cell r="U1078" t="str">
            <v>Unknown</v>
          </cell>
          <cell r="X1078" t="str">
            <v>ERR10611907</v>
          </cell>
        </row>
        <row r="1079">
          <cell r="G1079" t="str">
            <v>/home/projects/cge/backup/fastq/food_seqdata/NextSeq_209/FoodQCPipeline_tmp/conc_fqs/DTU_2022_1016693_1_SI_1834_13_R1_001.fq.gz</v>
          </cell>
          <cell r="H1079" t="str">
            <v>/home/projects/cge/backup/fastq/food_seqdata/NextSeq_209/FoodQCPipeline_tmp/conc_fqs/DTU_2022_1016693_1_SI_1834_13_R2_001.fq.gz</v>
          </cell>
          <cell r="I1079" t="str">
            <v>1834_13</v>
          </cell>
          <cell r="J1079" t="str">
            <v>1834_13</v>
          </cell>
          <cell r="K1079" t="str">
            <v>Listeria monocytogenes</v>
          </cell>
          <cell r="L1079">
            <v>5476906</v>
          </cell>
          <cell r="M1079">
            <v>12568337</v>
          </cell>
          <cell r="N1079" t="str">
            <v>Denmark</v>
          </cell>
          <cell r="Q1079" t="str">
            <v>Unknown</v>
          </cell>
          <cell r="T1079" t="str">
            <v>Department of Biotechnology and Biomedicine, Technical University of Denmark</v>
          </cell>
          <cell r="U1079" t="str">
            <v>Unknown</v>
          </cell>
          <cell r="X1079" t="str">
            <v>ERR10611865</v>
          </cell>
        </row>
        <row r="1080">
          <cell r="G1080" t="str">
            <v>/home/projects/cge/backup/fastq/food_seqdata/NextSeq_209/FoodQCPipeline_tmp/conc_fqs/DTU_2022_1016694_1_SI_1896_13_R1_001.fq.gz</v>
          </cell>
          <cell r="H1080" t="str">
            <v>/home/projects/cge/backup/fastq/food_seqdata/NextSeq_209/FoodQCPipeline_tmp/conc_fqs/DTU_2022_1016694_1_SI_1896_13_R2_001.fq.gz</v>
          </cell>
          <cell r="I1080" t="str">
            <v>1896_13</v>
          </cell>
          <cell r="J1080" t="str">
            <v>1896_13</v>
          </cell>
          <cell r="K1080" t="str">
            <v>Listeria monocytogenes</v>
          </cell>
          <cell r="L1080">
            <v>5476906</v>
          </cell>
          <cell r="M1080">
            <v>12568337</v>
          </cell>
          <cell r="N1080" t="str">
            <v>Denmark</v>
          </cell>
          <cell r="Q1080" t="str">
            <v>Unknown</v>
          </cell>
          <cell r="T1080" t="str">
            <v>Department of Biotechnology and Biomedicine, Technical University of Denmark</v>
          </cell>
          <cell r="U1080" t="str">
            <v>Unknown</v>
          </cell>
          <cell r="X1080" t="str">
            <v>ERR10611979</v>
          </cell>
        </row>
        <row r="1081">
          <cell r="G1081" t="str">
            <v>/home/projects/cge/backup/fastq/food_seqdata/NextSeq_209/FoodQCPipeline_tmp/conc_fqs/DTU_2022_1016695_1_SI_1978_13_R1_001.fq.gz</v>
          </cell>
          <cell r="H1081" t="str">
            <v>/home/projects/cge/backup/fastq/food_seqdata/NextSeq_209/FoodQCPipeline_tmp/conc_fqs/DTU_2022_1016695_1_SI_1978_13_R2_001.fq.gz</v>
          </cell>
          <cell r="I1081" t="str">
            <v>1978_13</v>
          </cell>
          <cell r="J1081" t="str">
            <v>1978_13</v>
          </cell>
          <cell r="K1081" t="str">
            <v>Listeria monocytogenes</v>
          </cell>
          <cell r="L1081">
            <v>5476906</v>
          </cell>
          <cell r="M1081">
            <v>12568337</v>
          </cell>
          <cell r="N1081" t="str">
            <v>Denmark</v>
          </cell>
          <cell r="Q1081" t="str">
            <v>Unknown</v>
          </cell>
          <cell r="T1081" t="str">
            <v>Department of Biotechnology and Biomedicine, Technical University of Denmark</v>
          </cell>
          <cell r="U1081" t="str">
            <v>Unknown</v>
          </cell>
          <cell r="X1081" t="str">
            <v>ERR10611872</v>
          </cell>
        </row>
        <row r="1082">
          <cell r="G1082" t="str">
            <v>/home/projects/cge/backup/fastq/food_seqdata/NextSeq_209/FoodQCPipeline_tmp/conc_fqs/DTU_2022_1016696_1_SI_1979_13_R1_001.fq.gz</v>
          </cell>
          <cell r="H1082" t="str">
            <v>/home/projects/cge/backup/fastq/food_seqdata/NextSeq_209/FoodQCPipeline_tmp/conc_fqs/DTU_2022_1016696_1_SI_1979_13_R2_001.fq.gz</v>
          </cell>
          <cell r="I1082" t="str">
            <v>1979_13</v>
          </cell>
          <cell r="J1082" t="str">
            <v>1979_13</v>
          </cell>
          <cell r="K1082" t="str">
            <v>Listeria monocytogenes</v>
          </cell>
          <cell r="L1082">
            <v>5476906</v>
          </cell>
          <cell r="M1082">
            <v>12568337</v>
          </cell>
          <cell r="N1082" t="str">
            <v>Denmark</v>
          </cell>
          <cell r="Q1082" t="str">
            <v>Unknown</v>
          </cell>
          <cell r="T1082" t="str">
            <v>Department of Biotechnology and Biomedicine, Technical University of Denmark</v>
          </cell>
          <cell r="U1082" t="str">
            <v>Unknown</v>
          </cell>
          <cell r="X1082" t="str">
            <v>ERR10611875</v>
          </cell>
        </row>
        <row r="1083">
          <cell r="G1083" t="str">
            <v>/home/projects/cge/backup/fastq/food_seqdata/NextSeq_209/FoodQCPipeline_tmp/conc_fqs/DTU_2022_1016697_1_SI_2370_13_R1_001.fq.gz</v>
          </cell>
          <cell r="H1083" t="str">
            <v>/home/projects/cge/backup/fastq/food_seqdata/NextSeq_209/FoodQCPipeline_tmp/conc_fqs/DTU_2022_1016697_1_SI_2370_13_R2_001.fq.gz</v>
          </cell>
          <cell r="I1083" t="str">
            <v>2370_13</v>
          </cell>
          <cell r="J1083" t="str">
            <v>2370_13</v>
          </cell>
          <cell r="K1083" t="str">
            <v>Listeria monocytogenes</v>
          </cell>
          <cell r="L1083">
            <v>5476906</v>
          </cell>
          <cell r="M1083">
            <v>12568337</v>
          </cell>
          <cell r="N1083" t="str">
            <v>Denmark</v>
          </cell>
          <cell r="Q1083" t="str">
            <v>Unknown</v>
          </cell>
          <cell r="T1083" t="str">
            <v>Department of Biotechnology and Biomedicine, Technical University of Denmark</v>
          </cell>
          <cell r="U1083" t="str">
            <v>Unknown</v>
          </cell>
          <cell r="X1083" t="str">
            <v>ERR10611902</v>
          </cell>
        </row>
        <row r="1084">
          <cell r="G1084" t="str">
            <v>/home/projects/cge/backup/fastq/food_seqdata/NextSeq_209/FoodQCPipeline_tmp/conc_fqs/DTU_2022_1016698_1_SI_721_13_R1_001.fq.gz</v>
          </cell>
          <cell r="H1084" t="str">
            <v>/home/projects/cge/backup/fastq/food_seqdata/NextSeq_209/FoodQCPipeline_tmp/conc_fqs/DTU_2022_1016698_1_SI_721_13_R2_001.fq.gz</v>
          </cell>
          <cell r="I1084" t="str">
            <v>721_13</v>
          </cell>
          <cell r="J1084" t="str">
            <v>721_13</v>
          </cell>
          <cell r="K1084" t="str">
            <v>Listeria monocytogenes</v>
          </cell>
          <cell r="L1084">
            <v>5476906</v>
          </cell>
          <cell r="M1084">
            <v>12568337</v>
          </cell>
          <cell r="N1084" t="str">
            <v>Denmark</v>
          </cell>
          <cell r="Q1084" t="str">
            <v>Unknown</v>
          </cell>
          <cell r="T1084" t="str">
            <v>Department of Biotechnology and Biomedicine, Technical University of Denmark</v>
          </cell>
          <cell r="U1084" t="str">
            <v>Unknown</v>
          </cell>
          <cell r="X1084" t="str">
            <v>ERR10611990</v>
          </cell>
        </row>
        <row r="1085">
          <cell r="G1085" t="str">
            <v>/home/projects/cge/backup/fastq/food_seqdata/NextSeq_209/FoodQCPipeline_tmp/conc_fqs/DTU_2022_1016699_1_SI_723_13_R1_001.fq.gz</v>
          </cell>
          <cell r="H1085" t="str">
            <v>/home/projects/cge/backup/fastq/food_seqdata/NextSeq_209/FoodQCPipeline_tmp/conc_fqs/DTU_2022_1016699_1_SI_723_13_R2_001.fq.gz</v>
          </cell>
          <cell r="I1085" t="str">
            <v>723_13</v>
          </cell>
          <cell r="J1085" t="str">
            <v>723_13</v>
          </cell>
          <cell r="K1085" t="str">
            <v>Listeria monocytogenes</v>
          </cell>
          <cell r="L1085">
            <v>5476906</v>
          </cell>
          <cell r="M1085">
            <v>12568337</v>
          </cell>
          <cell r="N1085" t="str">
            <v>Denmark</v>
          </cell>
          <cell r="Q1085" t="str">
            <v>Unknown</v>
          </cell>
          <cell r="T1085" t="str">
            <v>Department of Biotechnology and Biomedicine, Technical University of Denmark</v>
          </cell>
          <cell r="U1085" t="str">
            <v>Unknown</v>
          </cell>
          <cell r="X1085" t="str">
            <v>ERR10611951</v>
          </cell>
        </row>
        <row r="1086">
          <cell r="G1086" t="str">
            <v>/home/projects/cge/backup/fastq/food_seqdata/NextSeq_209/FoodQCPipeline_tmp/conc_fqs/DTU_2022_1016700_1_SI_725_13_R1_001.fq.gz</v>
          </cell>
          <cell r="H1086" t="str">
            <v>/home/projects/cge/backup/fastq/food_seqdata/NextSeq_209/FoodQCPipeline_tmp/conc_fqs/DTU_2022_1016700_1_SI_725_13_R2_001.fq.gz</v>
          </cell>
          <cell r="I1086" t="str">
            <v>725_13</v>
          </cell>
          <cell r="J1086" t="str">
            <v>725_13</v>
          </cell>
          <cell r="K1086" t="str">
            <v>Listeria monocytogenes</v>
          </cell>
          <cell r="L1086">
            <v>5476906</v>
          </cell>
          <cell r="M1086">
            <v>12568337</v>
          </cell>
          <cell r="N1086" t="str">
            <v>Denmark</v>
          </cell>
          <cell r="Q1086" t="str">
            <v>Unknown</v>
          </cell>
          <cell r="T1086" t="str">
            <v>Department of Biotechnology and Biomedicine, Technical University of Denmark</v>
          </cell>
          <cell r="U1086" t="str">
            <v>Unknown</v>
          </cell>
          <cell r="X1086" t="str">
            <v>ERR10611929</v>
          </cell>
        </row>
        <row r="1087">
          <cell r="G1087" t="str">
            <v>/home/projects/cge/backup/fastq/food_seqdata/NextSeq_209/FoodQCPipeline_tmp/conc_fqs/DTU_2022_1016701_1_SI_925_13_R1_001.fq.gz</v>
          </cell>
          <cell r="H1087" t="str">
            <v>/home/projects/cge/backup/fastq/food_seqdata/NextSeq_209/FoodQCPipeline_tmp/conc_fqs/DTU_2022_1016701_1_SI_925_13_R2_001.fq.gz</v>
          </cell>
          <cell r="I1087" t="str">
            <v>925_13</v>
          </cell>
          <cell r="J1087" t="str">
            <v>925_13</v>
          </cell>
          <cell r="K1087" t="str">
            <v>Listeria monocytogenes</v>
          </cell>
          <cell r="L1087">
            <v>5476906</v>
          </cell>
          <cell r="M1087">
            <v>12568337</v>
          </cell>
          <cell r="N1087" t="str">
            <v>Denmark</v>
          </cell>
          <cell r="Q1087" t="str">
            <v>Unknown</v>
          </cell>
          <cell r="T1087" t="str">
            <v>Department of Biotechnology and Biomedicine, Technical University of Denmark</v>
          </cell>
          <cell r="U1087" t="str">
            <v>Unknown</v>
          </cell>
          <cell r="X1087" t="str">
            <v>ERR10611932</v>
          </cell>
        </row>
        <row r="1088">
          <cell r="G1088" t="str">
            <v>/home/projects/cge/backup/fastq/food_seqdata/NextSeq_209/FoodQCPipeline_tmp/conc_fqs/DTU_2022_1016702_1_SI_993_13_R1_001.fq.gz</v>
          </cell>
          <cell r="H1088" t="str">
            <v>/home/projects/cge/backup/fastq/food_seqdata/NextSeq_209/FoodQCPipeline_tmp/conc_fqs/DTU_2022_1016702_1_SI_993_13_R2_001.fq.gz</v>
          </cell>
          <cell r="I1088" t="str">
            <v>993_13</v>
          </cell>
          <cell r="J1088" t="str">
            <v>993_13</v>
          </cell>
          <cell r="K1088" t="str">
            <v>Listeria monocytogenes</v>
          </cell>
          <cell r="L1088">
            <v>5476906</v>
          </cell>
          <cell r="M1088">
            <v>12568337</v>
          </cell>
          <cell r="N1088" t="str">
            <v>Denmark</v>
          </cell>
          <cell r="Q1088" t="str">
            <v>Unknown</v>
          </cell>
          <cell r="T1088" t="str">
            <v>Department of Biotechnology and Biomedicine, Technical University of Denmark</v>
          </cell>
          <cell r="U1088" t="str">
            <v>Unknown</v>
          </cell>
          <cell r="X1088" t="str">
            <v>ERR10611952</v>
          </cell>
        </row>
        <row r="1089">
          <cell r="G1089" t="str">
            <v>/home/projects/cge/backup/fastq/food_seqdata/NextSeq_216/FoodQCPipeline_tmp/conc_fqs/DTU_2022_1016703_1_SI_La28_R1_001.fq.gz</v>
          </cell>
          <cell r="H1089" t="str">
            <v>/home/projects/cge/backup/fastq/food_seqdata/NextSeq_216/FoodQCPipeline_tmp/conc_fqs/DTU_2022_1016703_1_SI_La28_R2_001.fq.gz</v>
          </cell>
          <cell r="I1089" t="str">
            <v>La28</v>
          </cell>
          <cell r="J1089" t="str">
            <v>La28</v>
          </cell>
          <cell r="K1089" t="str">
            <v>Listeria monocytogenes</v>
          </cell>
          <cell r="L1089">
            <v>5476906</v>
          </cell>
          <cell r="M1089">
            <v>12568337</v>
          </cell>
          <cell r="N1089" t="str">
            <v>Denmark</v>
          </cell>
          <cell r="Q1089" t="str">
            <v>Unknown</v>
          </cell>
          <cell r="T1089" t="str">
            <v>Department of Biotechnology and Biomedicine, Technical University of Denmark</v>
          </cell>
          <cell r="U1089" t="str">
            <v>Unknown</v>
          </cell>
          <cell r="X1089" t="str">
            <v>ERR10549988</v>
          </cell>
        </row>
        <row r="1090">
          <cell r="G1090" t="str">
            <v>/home/projects/cge/backup/fastq/food_seqdata/NextSeq_216/FoodQCPipeline_tmp/conc_fqs/DTU_2022_1016882_1_SI_LV0157_R1_001.fq.gz</v>
          </cell>
          <cell r="H1090" t="str">
            <v>/home/projects/cge/backup/fastq/food_seqdata/NextSeq_216/FoodQCPipeline_tmp/conc_fqs/DTU_2022_1016882_1_SI_LV0157_R2_001.fq.gz</v>
          </cell>
          <cell r="I1090" t="str">
            <v>LV0157</v>
          </cell>
          <cell r="J1090" t="str">
            <v>LV0157</v>
          </cell>
          <cell r="K1090" t="str">
            <v>Listeria monocytogenes</v>
          </cell>
          <cell r="L1090">
            <v>50073658</v>
          </cell>
          <cell r="M1090">
            <v>1441854</v>
          </cell>
          <cell r="N1090" t="str">
            <v>Czech Republic</v>
          </cell>
          <cell r="Q1090">
            <v>2014</v>
          </cell>
          <cell r="T1090" t="str">
            <v>Veterinary Research Institute, Brno, Czech Republic</v>
          </cell>
          <cell r="U1090" t="str">
            <v>Food</v>
          </cell>
          <cell r="V1090" t="str">
            <v>vegetables</v>
          </cell>
          <cell r="X1090" t="str">
            <v>ERR10549983</v>
          </cell>
        </row>
        <row r="1091">
          <cell r="G1091" t="str">
            <v>/home/projects/cge/backup/fastq/food_seqdata/NextSeq_216/FoodQCPipeline_tmp/conc_fqs/DTU_2022_1016884_1_SI_LV0214_R1_001.fq.gz</v>
          </cell>
          <cell r="H1091" t="str">
            <v>/home/projects/cge/backup/fastq/food_seqdata/NextSeq_216/FoodQCPipeline_tmp/conc_fqs/DTU_2022_1016884_1_SI_LV0214_R2_001.fq.gz</v>
          </cell>
          <cell r="I1091" t="str">
            <v>LV0214</v>
          </cell>
          <cell r="J1091" t="str">
            <v>LV0214</v>
          </cell>
          <cell r="K1091" t="str">
            <v>Listeria monocytogenes</v>
          </cell>
          <cell r="L1091">
            <v>50073658</v>
          </cell>
          <cell r="M1091">
            <v>1441854</v>
          </cell>
          <cell r="N1091" t="str">
            <v>Czech Republic</v>
          </cell>
          <cell r="Q1091">
            <v>2014</v>
          </cell>
          <cell r="T1091" t="str">
            <v>Veterinary Research Institute, Brno, Czech Republic</v>
          </cell>
          <cell r="U1091" t="str">
            <v>Food</v>
          </cell>
          <cell r="V1091" t="str">
            <v>vegetables</v>
          </cell>
          <cell r="X1091" t="str">
            <v>ERR10549985</v>
          </cell>
        </row>
        <row r="1092">
          <cell r="G1092" t="str">
            <v>/home/projects/cge/backup/fastq/food_seqdata/NextSeq_216/FoodQCPipeline_tmp/conc_fqs/DTU_2022_1016885_1_SI_LV0215_R1_001.fq.gz</v>
          </cell>
          <cell r="H1092" t="str">
            <v>/home/projects/cge/backup/fastq/food_seqdata/NextSeq_216/FoodQCPipeline_tmp/conc_fqs/DTU_2022_1016885_1_SI_LV0215_R2_001.fq.gz</v>
          </cell>
          <cell r="I1092" t="str">
            <v>LV0215</v>
          </cell>
          <cell r="J1092" t="str">
            <v>LV0215</v>
          </cell>
          <cell r="K1092" t="str">
            <v>Listeria monocytogenes</v>
          </cell>
          <cell r="L1092">
            <v>50073658</v>
          </cell>
          <cell r="M1092">
            <v>1441854</v>
          </cell>
          <cell r="N1092" t="str">
            <v>Czech Republic</v>
          </cell>
          <cell r="Q1092">
            <v>2014</v>
          </cell>
          <cell r="T1092" t="str">
            <v>Veterinary Research Institute, Brno, Czech Republic</v>
          </cell>
          <cell r="U1092" t="str">
            <v>Food</v>
          </cell>
          <cell r="V1092" t="str">
            <v>vegetables</v>
          </cell>
          <cell r="X1092" t="str">
            <v>ERR10549999</v>
          </cell>
        </row>
        <row r="1093">
          <cell r="G1093" t="str">
            <v>/home/projects/cge/backup/fastq/food_seqdata/NextSeq_206/FoodQCPipeline_tmp/conc_fqs/DTU_2022_1015408_2_SI_LV0335_R1_001.fq.gz</v>
          </cell>
          <cell r="H1093" t="str">
            <v>/home/projects/cge/backup/fastq/food_seqdata/NextSeq_206/FoodQCPipeline_tmp/conc_fqs/DTU_2022_1015408_2_SI_LV0335_R2_001.fq.gz</v>
          </cell>
          <cell r="I1093" t="str">
            <v>LV0335</v>
          </cell>
          <cell r="J1093" t="str">
            <v>LV0335</v>
          </cell>
          <cell r="K1093" t="str">
            <v>Listeria monocytogenes</v>
          </cell>
          <cell r="L1093">
            <v>50073658</v>
          </cell>
          <cell r="M1093">
            <v>1441854</v>
          </cell>
          <cell r="N1093" t="str">
            <v>Czech Republic</v>
          </cell>
          <cell r="Q1093">
            <v>2014</v>
          </cell>
          <cell r="T1093" t="str">
            <v>Veterinary Research Institute, Brno, Czech Republic</v>
          </cell>
          <cell r="U1093" t="str">
            <v>Food</v>
          </cell>
          <cell r="V1093" t="str">
            <v>vegetables</v>
          </cell>
          <cell r="X1093" t="str">
            <v>ERR10612036</v>
          </cell>
        </row>
        <row r="1094">
          <cell r="G1094" t="str">
            <v>/home/projects/cge/backup/fastq/food_seqdata/NextSeq_206/FoodQCPipeline_tmp/conc_fqs/DTU_2022_1015409_2_SI_LV0360_R1_001.fq.gz</v>
          </cell>
          <cell r="H1094" t="str">
            <v>/home/projects/cge/backup/fastq/food_seqdata/NextSeq_206/FoodQCPipeline_tmp/conc_fqs/DTU_2022_1015409_2_SI_LV0360_R2_001.fq.gz</v>
          </cell>
          <cell r="I1094" t="str">
            <v>LV0360</v>
          </cell>
          <cell r="J1094" t="str">
            <v>LV0360</v>
          </cell>
          <cell r="K1094" t="str">
            <v>Listeria monocytogenes</v>
          </cell>
          <cell r="L1094">
            <v>50073658</v>
          </cell>
          <cell r="M1094">
            <v>1441854</v>
          </cell>
          <cell r="N1094" t="str">
            <v>Czech Republic</v>
          </cell>
          <cell r="Q1094">
            <v>2014</v>
          </cell>
          <cell r="T1094" t="str">
            <v>Veterinary Research Institute, Brno, Czech Republic</v>
          </cell>
          <cell r="U1094" t="str">
            <v>Food</v>
          </cell>
          <cell r="V1094" t="str">
            <v>vegetables</v>
          </cell>
          <cell r="X1094" t="str">
            <v>ERR10611998</v>
          </cell>
        </row>
        <row r="1095">
          <cell r="G1095" t="str">
            <v>/home/projects/cge/backup/fastq/food_seqdata/NextSeq_206/FoodQCPipeline_tmp/conc_fqs/DTU_2022_1015399_2_SI_LV0534_R1_001.fq.gz</v>
          </cell>
          <cell r="H1095" t="str">
            <v>/home/projects/cge/backup/fastq/food_seqdata/NextSeq_206/FoodQCPipeline_tmp/conc_fqs/DTU_2022_1015399_2_SI_LV0534_R2_001.fq.gz</v>
          </cell>
          <cell r="I1095" t="str">
            <v>LV0534</v>
          </cell>
          <cell r="J1095" t="str">
            <v>LV0534</v>
          </cell>
          <cell r="K1095" t="str">
            <v>Listeria monocytogenes</v>
          </cell>
          <cell r="L1095">
            <v>50073658</v>
          </cell>
          <cell r="M1095">
            <v>1441854</v>
          </cell>
          <cell r="N1095" t="str">
            <v>Czech Republic</v>
          </cell>
          <cell r="Q1095">
            <v>2015</v>
          </cell>
          <cell r="R1095" t="str">
            <v>Ovis aries</v>
          </cell>
          <cell r="T1095" t="str">
            <v>Veterinary Research Institute, Brno, Czech Republic</v>
          </cell>
          <cell r="U1095" t="str">
            <v>Animal</v>
          </cell>
          <cell r="V1095" t="str">
            <v>sheep-rectal swab</v>
          </cell>
          <cell r="X1095" t="str">
            <v>ERR10611997</v>
          </cell>
        </row>
        <row r="1096">
          <cell r="G1096" t="str">
            <v>/home/projects/cge/backup/fastq/food_seqdata/NextSeq_206/FoodQCPipeline_tmp/conc_fqs/DTU_2022_1015402_2_SI_LV0544_R1_001.fq.gz</v>
          </cell>
          <cell r="H1096" t="str">
            <v>/home/projects/cge/backup/fastq/food_seqdata/NextSeq_206/FoodQCPipeline_tmp/conc_fqs/DTU_2022_1015402_2_SI_LV0544_R2_001.fq.gz</v>
          </cell>
          <cell r="I1096" t="str">
            <v>LV0544</v>
          </cell>
          <cell r="J1096" t="str">
            <v>LV0544</v>
          </cell>
          <cell r="K1096" t="str">
            <v>Listeria monocytogenes</v>
          </cell>
          <cell r="L1096">
            <v>50073658</v>
          </cell>
          <cell r="M1096">
            <v>1441854</v>
          </cell>
          <cell r="N1096" t="str">
            <v>Czech Republic</v>
          </cell>
          <cell r="Q1096">
            <v>2015</v>
          </cell>
          <cell r="T1096" t="str">
            <v>Veterinary Research Institute, Brno, Czech Republic</v>
          </cell>
          <cell r="U1096" t="str">
            <v>Food</v>
          </cell>
          <cell r="V1096" t="str">
            <v>dairy product</v>
          </cell>
          <cell r="X1096" t="str">
            <v>ERR10612039</v>
          </cell>
        </row>
        <row r="1097">
          <cell r="G1097" t="str">
            <v>/home/projects/cge/backup/fastq/food_seqdata/NextSeq_216/FoodQCPipeline_tmp/conc_fqs/DTU_2022_1016886_1_SI_LV0593_R1_001.fq.gz</v>
          </cell>
          <cell r="H1097" t="str">
            <v>/home/projects/cge/backup/fastq/food_seqdata/NextSeq_216/FoodQCPipeline_tmp/conc_fqs/DTU_2022_1016886_1_SI_LV0593_R2_001.fq.gz</v>
          </cell>
          <cell r="I1097" t="str">
            <v>LV0593</v>
          </cell>
          <cell r="J1097" t="str">
            <v>LV0593</v>
          </cell>
          <cell r="K1097" t="str">
            <v>Listeria monocytogenes</v>
          </cell>
          <cell r="L1097">
            <v>50073658</v>
          </cell>
          <cell r="M1097">
            <v>1441854</v>
          </cell>
          <cell r="N1097" t="str">
            <v>Czech Republic</v>
          </cell>
          <cell r="Q1097">
            <v>2015</v>
          </cell>
          <cell r="T1097" t="str">
            <v>Veterinary Research Institute, Brno, Czech Republic</v>
          </cell>
          <cell r="U1097" t="str">
            <v>Food</v>
          </cell>
          <cell r="V1097" t="str">
            <v>dairy product</v>
          </cell>
          <cell r="X1097" t="str">
            <v>ERR10549991</v>
          </cell>
        </row>
        <row r="1098">
          <cell r="G1098" t="str">
            <v>/home/projects/cge/backup/fastq/food_seqdata/NextSeq_206/FoodQCPipeline_tmp/conc_fqs/DTU_2022_1015403_2_SI_LV0600_R1_001.fq.gz</v>
          </cell>
          <cell r="H1098" t="str">
            <v>/home/projects/cge/backup/fastq/food_seqdata/NextSeq_206/FoodQCPipeline_tmp/conc_fqs/DTU_2022_1015403_2_SI_LV0600_R2_001.fq.gz</v>
          </cell>
          <cell r="I1098" t="str">
            <v>LV0600</v>
          </cell>
          <cell r="J1098" t="str">
            <v>LV0600</v>
          </cell>
          <cell r="K1098" t="str">
            <v>Listeria monocytogenes</v>
          </cell>
          <cell r="L1098">
            <v>50073658</v>
          </cell>
          <cell r="M1098">
            <v>1441854</v>
          </cell>
          <cell r="N1098" t="str">
            <v>Czech Republic</v>
          </cell>
          <cell r="Q1098">
            <v>2015</v>
          </cell>
          <cell r="T1098" t="str">
            <v>Veterinary Research Institute, Brno, Czech Republic</v>
          </cell>
          <cell r="U1098" t="str">
            <v>Food</v>
          </cell>
          <cell r="V1098" t="str">
            <v>Dairy product</v>
          </cell>
          <cell r="X1098" t="str">
            <v>ERR10612001</v>
          </cell>
        </row>
        <row r="1099">
          <cell r="G1099" t="str">
            <v>/home/projects/cge/backup/fastq/food_seqdata/NextSeq_206/FoodQCPipeline_tmp/conc_fqs/DTU_2022_1015404_2_SI_LV0786_R1_001.fq.gz</v>
          </cell>
          <cell r="H1099" t="str">
            <v>/home/projects/cge/backup/fastq/food_seqdata/NextSeq_206/FoodQCPipeline_tmp/conc_fqs/DTU_2022_1015404_2_SI_LV0786_R2_001.fq.gz</v>
          </cell>
          <cell r="I1099" t="str">
            <v>LV0786</v>
          </cell>
          <cell r="J1099" t="str">
            <v>LV0786</v>
          </cell>
          <cell r="K1099" t="str">
            <v>Listeria monocytogenes</v>
          </cell>
          <cell r="L1099">
            <v>50073658</v>
          </cell>
          <cell r="M1099">
            <v>1441854</v>
          </cell>
          <cell r="N1099" t="str">
            <v>Czech Republic</v>
          </cell>
          <cell r="Q1099">
            <v>2016</v>
          </cell>
          <cell r="T1099" t="str">
            <v>Veterinary Research Institute, Brno, Czech Republic</v>
          </cell>
          <cell r="U1099" t="str">
            <v>Food</v>
          </cell>
          <cell r="V1099" t="str">
            <v>Meat product</v>
          </cell>
          <cell r="X1099" t="str">
            <v>ERR10612026</v>
          </cell>
        </row>
        <row r="1100">
          <cell r="G1100" t="str">
            <v>/home/projects/cge/backup/fastq/food_seqdata/NextSeq_206/FoodQCPipeline_tmp/conc_fqs/DTU_2022_1015405_2_SI_LV0906_R1_001.fq.gz</v>
          </cell>
          <cell r="H1100" t="str">
            <v>/home/projects/cge/backup/fastq/food_seqdata/NextSeq_206/FoodQCPipeline_tmp/conc_fqs/DTU_2022_1015405_2_SI_LV0906_R2_001.fq.gz</v>
          </cell>
          <cell r="I1100" t="str">
            <v>LV0906</v>
          </cell>
          <cell r="J1100" t="str">
            <v>LV0906</v>
          </cell>
          <cell r="K1100" t="str">
            <v>Listeria monocytogenes</v>
          </cell>
          <cell r="L1100">
            <v>50073658</v>
          </cell>
          <cell r="M1100">
            <v>1441854</v>
          </cell>
          <cell r="N1100" t="str">
            <v>Czech Republic</v>
          </cell>
          <cell r="Q1100">
            <v>2016</v>
          </cell>
          <cell r="T1100" t="str">
            <v>Veterinary Research Institute, Brno, Czech Republic</v>
          </cell>
          <cell r="U1100" t="str">
            <v>Food</v>
          </cell>
          <cell r="V1100" t="str">
            <v>Meat product</v>
          </cell>
          <cell r="X1100" t="str">
            <v>ERR10612028</v>
          </cell>
        </row>
        <row r="1101">
          <cell r="G1101" t="str">
            <v>/home/projects/cge/backup/fastq/food_seqdata/NextSeq_216/FoodQCPipeline_tmp/conc_fqs/DTU_2022_1016887_1_SI_LV0952_R1_001.fq.gz</v>
          </cell>
          <cell r="H1101" t="str">
            <v>/home/projects/cge/backup/fastq/food_seqdata/NextSeq_216/FoodQCPipeline_tmp/conc_fqs/DTU_2022_1016887_1_SI_LV0952_R2_001.fq.gz</v>
          </cell>
          <cell r="I1101" t="str">
            <v>LV0952</v>
          </cell>
          <cell r="J1101" t="str">
            <v>LV0952</v>
          </cell>
          <cell r="K1101" t="str">
            <v>Listeria monocytogenes</v>
          </cell>
          <cell r="L1101">
            <v>50073658</v>
          </cell>
          <cell r="M1101">
            <v>1441854</v>
          </cell>
          <cell r="N1101" t="str">
            <v>Czech Republic</v>
          </cell>
          <cell r="Q1101">
            <v>2016</v>
          </cell>
          <cell r="T1101" t="str">
            <v>Veterinary Research Institute, Brno, Czech Republic</v>
          </cell>
          <cell r="U1101" t="str">
            <v>Food</v>
          </cell>
          <cell r="V1101" t="str">
            <v>dairy product</v>
          </cell>
          <cell r="X1101" t="str">
            <v>ERR10549956</v>
          </cell>
        </row>
        <row r="1102">
          <cell r="G1102" t="str">
            <v>/home/projects/cge/backup/fastq/food_seqdata/NextSeq_206/FoodQCPipeline_tmp/conc_fqs/DTU_2022_1015401_2_SI_LV1162_R1_001.fq.gz</v>
          </cell>
          <cell r="H1102" t="str">
            <v>/home/projects/cge/backup/fastq/food_seqdata/NextSeq_206/FoodQCPipeline_tmp/conc_fqs/DTU_2022_1015401_2_SI_LV1162_R2_001.fq.gz</v>
          </cell>
          <cell r="I1102" t="str">
            <v>LV1162</v>
          </cell>
          <cell r="J1102" t="str">
            <v>LV1162</v>
          </cell>
          <cell r="K1102" t="str">
            <v>Listeria monocytogenes</v>
          </cell>
          <cell r="L1102">
            <v>50073658</v>
          </cell>
          <cell r="M1102">
            <v>1441854</v>
          </cell>
          <cell r="N1102" t="str">
            <v>Czech Republic</v>
          </cell>
          <cell r="Q1102">
            <v>2018</v>
          </cell>
          <cell r="R1102" t="str">
            <v>Bos taurus</v>
          </cell>
          <cell r="T1102" t="str">
            <v>Veterinary Research Institute, Brno, Czech Republic</v>
          </cell>
          <cell r="U1102" t="str">
            <v>Animal</v>
          </cell>
          <cell r="V1102" t="str">
            <v>cow-rectal swab</v>
          </cell>
          <cell r="X1102" t="str">
            <v>ERR10612004</v>
          </cell>
        </row>
        <row r="1103">
          <cell r="G1103" t="str">
            <v>/home/projects/cge/backup/fastq/food_seqdata/NextSeq_206/FoodQCPipeline_tmp/conc_fqs/DTU_2022_1015400_2_SI_LV1161_R1_001.fq.gz</v>
          </cell>
          <cell r="H1103" t="str">
            <v>/home/projects/cge/backup/fastq/food_seqdata/NextSeq_206/FoodQCPipeline_tmp/conc_fqs/DTU_2022_1015400_2_SI_LV1161_R2_001.fq.gz</v>
          </cell>
          <cell r="I1103" t="str">
            <v>V1161</v>
          </cell>
          <cell r="J1103" t="str">
            <v>V1161</v>
          </cell>
          <cell r="K1103" t="str">
            <v>Listeria monocytogenes</v>
          </cell>
          <cell r="L1103">
            <v>50073658</v>
          </cell>
          <cell r="M1103">
            <v>1441854</v>
          </cell>
          <cell r="N1103" t="str">
            <v>Czech Republic</v>
          </cell>
          <cell r="Q1103">
            <v>2018</v>
          </cell>
          <cell r="R1103" t="str">
            <v>Bos taurus</v>
          </cell>
          <cell r="T1103" t="str">
            <v>Veterinary Research Institute, Brno, Czech Republic</v>
          </cell>
          <cell r="U1103" t="str">
            <v>Animal</v>
          </cell>
          <cell r="V1103" t="str">
            <v>cow-rectal swab</v>
          </cell>
          <cell r="X1103" t="str">
            <v>ERR10612244</v>
          </cell>
        </row>
        <row r="1104">
          <cell r="G1104" t="str">
            <v>/home/projects/cge/backup/fastq/food_seqdata/NextSeq_206/FoodQCPipeline_tmp/conc_fqs/DTU_2022_1015406_2_SI_LV1318_R1_001.fq.gz</v>
          </cell>
          <cell r="H1104" t="str">
            <v>/home/projects/cge/backup/fastq/food_seqdata/NextSeq_206/FoodQCPipeline_tmp/conc_fqs/DTU_2022_1015406_2_SI_LV1318_R2_001.fq.gz</v>
          </cell>
          <cell r="I1104" t="str">
            <v>LV1318</v>
          </cell>
          <cell r="J1104" t="str">
            <v>LV1318</v>
          </cell>
          <cell r="K1104" t="str">
            <v>Listeria monocytogenes</v>
          </cell>
          <cell r="L1104">
            <v>50073658</v>
          </cell>
          <cell r="M1104">
            <v>1441854</v>
          </cell>
          <cell r="N1104" t="str">
            <v>Czech Republic</v>
          </cell>
          <cell r="Q1104">
            <v>2019</v>
          </cell>
          <cell r="T1104" t="str">
            <v>Veterinary Research Institute, Brno, Czech Republic</v>
          </cell>
          <cell r="U1104" t="str">
            <v>Food</v>
          </cell>
          <cell r="V1104" t="str">
            <v>meat product</v>
          </cell>
          <cell r="X1104" t="str">
            <v>ERR10612023</v>
          </cell>
        </row>
        <row r="1105">
          <cell r="G1105" t="str">
            <v>/home/projects/cge/backup/fastq/food_seqdata/NextSeq_206/FoodQCPipeline_tmp/conc_fqs/DTU_2022_1015407_2_SI_LV1388_R1_001.fq.gz</v>
          </cell>
          <cell r="H1105" t="str">
            <v>/home/projects/cge/backup/fastq/food_seqdata/NextSeq_206/FoodQCPipeline_tmp/conc_fqs/DTU_2022_1015407_2_SI_LV1388_R2_001.fq.gz</v>
          </cell>
          <cell r="I1105" t="str">
            <v>LV1388</v>
          </cell>
          <cell r="J1105" t="str">
            <v>LV1388</v>
          </cell>
          <cell r="K1105" t="str">
            <v>Listeria monocytogenes</v>
          </cell>
          <cell r="L1105">
            <v>50073658</v>
          </cell>
          <cell r="M1105">
            <v>1441854</v>
          </cell>
          <cell r="N1105" t="str">
            <v>Czech Republic</v>
          </cell>
          <cell r="Q1105">
            <v>2020</v>
          </cell>
          <cell r="T1105" t="str">
            <v>Veterinary Research Institute, Brno, Czech Republic</v>
          </cell>
          <cell r="U1105" t="str">
            <v>Food</v>
          </cell>
          <cell r="V1105" t="str">
            <v>meat product</v>
          </cell>
          <cell r="X1105" t="str">
            <v>ERR10612025</v>
          </cell>
        </row>
        <row r="1106">
          <cell r="G1106" t="str">
            <v>/home/projects/cge/backup/fastq/food_seqdata/NextSeq_209/FoodQCPipeline_tmp/conc_fqs/DTU_2022_1016673_1_SI_2_R1_001.fq.gz</v>
          </cell>
          <cell r="H1106" t="str">
            <v>/home/projects/cge/backup/fastq/food_seqdata/NextSeq_209/FoodQCPipeline_tmp/conc_fqs/DTU_2022_1016673_1_SI_2_R2_001.fq.gz</v>
          </cell>
          <cell r="I1106">
            <v>2</v>
          </cell>
          <cell r="J1106">
            <v>2</v>
          </cell>
          <cell r="K1106" t="str">
            <v>Listeria monocytogenes</v>
          </cell>
          <cell r="L1106">
            <v>45424721</v>
          </cell>
          <cell r="M1106">
            <v>-75695</v>
          </cell>
          <cell r="N1106" t="str">
            <v>Canada</v>
          </cell>
          <cell r="Q1106">
            <v>1981</v>
          </cell>
          <cell r="T1106" t="str">
            <v xml:space="preserve">University of Ottawa, Ottawa, Ontario, ON, Canada </v>
          </cell>
          <cell r="U1106" t="str">
            <v>Food</v>
          </cell>
          <cell r="V1106" t="str">
            <v>Coleslaw (food)</v>
          </cell>
          <cell r="X1106" t="str">
            <v>ERR10549977</v>
          </cell>
        </row>
        <row r="1107">
          <cell r="G1107" t="str">
            <v>/home/projects/cge/backup/fastq/food_seqdata/NextSeq_209/FoodQCPipeline_tmp/conc_fqs/DTU_2022_1016677_1_SI_1808_R1_001.fq.gz</v>
          </cell>
          <cell r="H1107" t="str">
            <v>/home/projects/cge/backup/fastq/food_seqdata/NextSeq_209/FoodQCPipeline_tmp/conc_fqs/DTU_2022_1016677_1_SI_1808_R2_001.fq.gz</v>
          </cell>
          <cell r="I1107">
            <v>1808</v>
          </cell>
          <cell r="J1107">
            <v>1808</v>
          </cell>
          <cell r="K1107" t="str">
            <v>Listeria monocytogenes</v>
          </cell>
          <cell r="L1107">
            <v>45424721</v>
          </cell>
          <cell r="M1107">
            <v>-75695</v>
          </cell>
          <cell r="N1107" t="str">
            <v>Canada</v>
          </cell>
          <cell r="Q1107">
            <v>1985</v>
          </cell>
          <cell r="T1107" t="str">
            <v xml:space="preserve">University of Ottawa, Ottawa, Ontario, ON, Canada </v>
          </cell>
          <cell r="U1107" t="str">
            <v>Food</v>
          </cell>
          <cell r="V1107" t="str">
            <v>Food (N. Engl. J. Med. 319: 823-828)</v>
          </cell>
          <cell r="X1107" t="str">
            <v>ERR10611866</v>
          </cell>
        </row>
        <row r="1108">
          <cell r="G1108" t="str">
            <v>/home/projects/cge/backup/fastq/food_seqdata/NextSeq_209/FoodQCPipeline_tmp/conc_fqs/DTU_2022_1016668_1_SI_2522_R1_001.fq.gz</v>
          </cell>
          <cell r="H1108" t="str">
            <v>/home/projects/cge/backup/fastq/food_seqdata/NextSeq_209/FoodQCPipeline_tmp/conc_fqs/DTU_2022_1016668_1_SI_2522_R2_001.fq.gz</v>
          </cell>
          <cell r="I1108">
            <v>2522</v>
          </cell>
          <cell r="J1108">
            <v>2522</v>
          </cell>
          <cell r="K1108" t="str">
            <v>Listeria monocytogenes</v>
          </cell>
          <cell r="L1108">
            <v>45424721</v>
          </cell>
          <cell r="M1108">
            <v>-75695</v>
          </cell>
          <cell r="N1108" t="str">
            <v>Canada</v>
          </cell>
          <cell r="Q1108">
            <v>2000</v>
          </cell>
          <cell r="T1108" t="str">
            <v xml:space="preserve">University of Ottawa, Ottawa, Ontario, ON, Canada </v>
          </cell>
          <cell r="U1108" t="str">
            <v>Animal</v>
          </cell>
          <cell r="V1108" t="str">
            <v>Goat milk (animal)</v>
          </cell>
          <cell r="X1108" t="str">
            <v>ERR10611927</v>
          </cell>
        </row>
        <row r="1109">
          <cell r="G1109" t="str">
            <v>/home/projects/cge/backup/fastq/food_seqdata/NextSeq_209/FoodQCPipeline_tmp/conc_fqs/DTU_2022_1016669_1_SI_2523_R1_001.fq.gz</v>
          </cell>
          <cell r="H1109" t="str">
            <v>/home/projects/cge/backup/fastq/food_seqdata/NextSeq_209/FoodQCPipeline_tmp/conc_fqs/DTU_2022_1016669_1_SI_2523_R2_001.fq.gz</v>
          </cell>
          <cell r="I1109">
            <v>2523</v>
          </cell>
          <cell r="J1109">
            <v>2523</v>
          </cell>
          <cell r="K1109" t="str">
            <v>Listeria monocytogenes</v>
          </cell>
          <cell r="L1109">
            <v>45424721</v>
          </cell>
          <cell r="M1109">
            <v>-75695</v>
          </cell>
          <cell r="N1109" t="str">
            <v>Canada</v>
          </cell>
          <cell r="Q1109">
            <v>2000</v>
          </cell>
          <cell r="R1109" t="str">
            <v>Ovis aries</v>
          </cell>
          <cell r="T1109" t="str">
            <v xml:space="preserve">University of Ottawa, Ottawa, Ontario, ON, Canada </v>
          </cell>
          <cell r="U1109" t="str">
            <v>Animal</v>
          </cell>
          <cell r="V1109" t="str">
            <v>Sheep milk (animal)</v>
          </cell>
          <cell r="X1109" t="str">
            <v>ERR10549974</v>
          </cell>
        </row>
        <row r="1110">
          <cell r="G1110" t="str">
            <v>/home/projects/cge/backup/fastq/food_seqdata/NextSeq_209/FoodQCPipeline_tmp/conc_fqs/DTU_2022_1016681_1_SI_3942_R1_001.fq.gz</v>
          </cell>
          <cell r="H1110" t="str">
            <v>/home/projects/cge/backup/fastq/food_seqdata/NextSeq_209/FoodQCPipeline_tmp/conc_fqs/DTU_2022_1016681_1_SI_3942_R2_001.fq.gz</v>
          </cell>
          <cell r="I1110">
            <v>3940</v>
          </cell>
          <cell r="J1110">
            <v>3940</v>
          </cell>
          <cell r="K1110" t="str">
            <v>Listeria monocytogenes</v>
          </cell>
          <cell r="L1110">
            <v>45424721</v>
          </cell>
          <cell r="M1110">
            <v>-75695</v>
          </cell>
          <cell r="N1110" t="str">
            <v>Canada</v>
          </cell>
          <cell r="Q1110">
            <v>2004</v>
          </cell>
          <cell r="T1110" t="str">
            <v xml:space="preserve">University of Ottawa, Ottawa, Ontario, ON, Canada </v>
          </cell>
          <cell r="U1110" t="str">
            <v>Food</v>
          </cell>
          <cell r="V1110" t="str">
            <v>Chicken cuts (food)</v>
          </cell>
          <cell r="X1110" t="str">
            <v>ERR10611871</v>
          </cell>
        </row>
        <row r="1111">
          <cell r="G1111" t="str">
            <v>/home/projects/cge/backup/fastq/food_seqdata/NextSeq_209/FoodQCPipeline_tmp/conc_fqs/DTU_2022_1016682_1_SI_4186_R1_001.fq.gz</v>
          </cell>
          <cell r="H1111" t="str">
            <v>/home/projects/cge/backup/fastq/food_seqdata/NextSeq_209/FoodQCPipeline_tmp/conc_fqs/DTU_2022_1016682_1_SI_4186_R2_001.fq.gz</v>
          </cell>
          <cell r="I1111">
            <v>4186</v>
          </cell>
          <cell r="J1111">
            <v>4186</v>
          </cell>
          <cell r="K1111" t="str">
            <v>Listeria monocytogenes</v>
          </cell>
          <cell r="L1111">
            <v>45424721</v>
          </cell>
          <cell r="M1111">
            <v>-75695</v>
          </cell>
          <cell r="N1111" t="str">
            <v>Canada</v>
          </cell>
          <cell r="Q1111">
            <v>2005</v>
          </cell>
          <cell r="T1111" t="str">
            <v xml:space="preserve">University of Ottawa, Ottawa, Ontario, ON, Canada </v>
          </cell>
          <cell r="U1111" t="str">
            <v>Animal</v>
          </cell>
          <cell r="V1111" t="str">
            <v>bovine</v>
          </cell>
          <cell r="X1111" t="str">
            <v>ERR10611908</v>
          </cell>
        </row>
        <row r="1112">
          <cell r="G1112" t="str">
            <v>/home/projects/cge/backup/fastq/food_seqdata/NextSeq_209/FoodQCPipeline_tmp/conc_fqs/DTU_2022_1016670_1_SI_4715_R1_001.fq.gz</v>
          </cell>
          <cell r="H1112" t="str">
            <v>/home/projects/cge/backup/fastq/food_seqdata/NextSeq_209/FoodQCPipeline_tmp/conc_fqs/DTU_2022_1016670_1_SI_4715_R2_001.fq.gz</v>
          </cell>
          <cell r="I1112">
            <v>4715</v>
          </cell>
          <cell r="J1112">
            <v>4715</v>
          </cell>
          <cell r="K1112" t="str">
            <v>Listeria monocytogenes</v>
          </cell>
          <cell r="L1112">
            <v>45424721</v>
          </cell>
          <cell r="M1112">
            <v>-75695</v>
          </cell>
          <cell r="N1112" t="str">
            <v>Canada</v>
          </cell>
          <cell r="Q1112">
            <v>2007</v>
          </cell>
          <cell r="T1112" t="str">
            <v xml:space="preserve">University of Ottawa, Ottawa, Ontario, ON, Canada </v>
          </cell>
          <cell r="U1112" t="str">
            <v>Environment (unknown)</v>
          </cell>
          <cell r="V1112" t="str">
            <v>Refrigerator door swab from restaurant (environmental)</v>
          </cell>
          <cell r="X1112" t="str">
            <v>ERR10611931</v>
          </cell>
        </row>
        <row r="1113">
          <cell r="G1113" t="str">
            <v>/home/projects/cge/backup/fastq/food_seqdata/NextSeq_209/FoodQCPipeline_tmp/conc_fqs/DTU_2022_1016671_1_SI_5176_R1_001.fq.gz</v>
          </cell>
          <cell r="H1113" t="str">
            <v>/home/projects/cge/backup/fastq/food_seqdata/NextSeq_209/FoodQCPipeline_tmp/conc_fqs/DTU_2022_1016671_1_SI_5176_R2_001.fq.gz</v>
          </cell>
          <cell r="I1113">
            <v>5716</v>
          </cell>
          <cell r="J1113">
            <v>5716</v>
          </cell>
          <cell r="K1113" t="str">
            <v>Listeria monocytogenes</v>
          </cell>
          <cell r="L1113">
            <v>45424721</v>
          </cell>
          <cell r="M1113">
            <v>-75695</v>
          </cell>
          <cell r="N1113" t="str">
            <v>Canada</v>
          </cell>
          <cell r="Q1113">
            <v>2008</v>
          </cell>
          <cell r="T1113" t="str">
            <v xml:space="preserve">University of Ottawa, Ottawa, Ontario, ON, Canada </v>
          </cell>
          <cell r="U1113" t="str">
            <v>Animal</v>
          </cell>
          <cell r="V1113" t="str">
            <v>Milking cow (animal)</v>
          </cell>
          <cell r="X1113" t="str">
            <v>ERR10611910</v>
          </cell>
        </row>
        <row r="1114">
          <cell r="G1114" t="str">
            <v>/home/projects/cge/backup/fastq/food_seqdata/NextSeq_209/FoodQCPipeline_tmp/conc_fqs/DTU_2022_1016672_1_SI_6632_R1_001.fq.gz</v>
          </cell>
          <cell r="H1114" t="str">
            <v>/home/projects/cge/backup/fastq/food_seqdata/NextSeq_209/FoodQCPipeline_tmp/conc_fqs/DTU_2022_1016672_1_SI_6632_R2_001.fq.gz</v>
          </cell>
          <cell r="I1114">
            <v>6632</v>
          </cell>
          <cell r="J1114">
            <v>6632</v>
          </cell>
          <cell r="K1114" t="str">
            <v>Listeria monocytogenes</v>
          </cell>
          <cell r="L1114">
            <v>45424721</v>
          </cell>
          <cell r="M1114">
            <v>-75695</v>
          </cell>
          <cell r="N1114" t="str">
            <v>Canada</v>
          </cell>
          <cell r="Q1114">
            <v>2011</v>
          </cell>
          <cell r="T1114" t="str">
            <v xml:space="preserve">University of Ottawa, Ottawa, Ontario, ON, Canada </v>
          </cell>
          <cell r="U1114" t="str">
            <v>Animal</v>
          </cell>
          <cell r="V1114" t="str">
            <v>Milk sample from reservoir of milking cow (animal)</v>
          </cell>
          <cell r="X1114" t="str">
            <v>ERR10611961</v>
          </cell>
        </row>
        <row r="1115">
          <cell r="G1115" t="str">
            <v>/home/projects/cge/backup/fastq/food_seqdata/NextSeq_216/FoodQCPipeline_tmp/conc_fqs/DTU_2022_1016899_1_SI_CP4_R1_001.fq.gz</v>
          </cell>
          <cell r="H1115" t="str">
            <v>/home/projects/cge/backup/fastq/food_seqdata/NextSeq_216/FoodQCPipeline_tmp/conc_fqs/DTU_2022_1016899_1_SI_CP4_R2_001.fq.gz</v>
          </cell>
          <cell r="I1115" t="str">
            <v>CP4</v>
          </cell>
          <cell r="J1115" t="str">
            <v>CP4</v>
          </cell>
          <cell r="K1115" t="str">
            <v>Listeria monocytogenes</v>
          </cell>
          <cell r="L1115">
            <v>45424721</v>
          </cell>
          <cell r="M1115">
            <v>-75695</v>
          </cell>
          <cell r="N1115" t="str">
            <v>Canada</v>
          </cell>
          <cell r="Q1115">
            <v>2012</v>
          </cell>
          <cell r="U1115" t="str">
            <v>Natural environment</v>
          </cell>
          <cell r="V1115" t="str">
            <v>fresh water</v>
          </cell>
          <cell r="X1115" t="str">
            <v>ERR10549962</v>
          </cell>
        </row>
        <row r="1116">
          <cell r="G1116" t="str">
            <v>/home/projects/cge/backup/fastq/food_seqdata/NextSeq_209/FoodQCPipeline_tmp/conc_fqs/DTU_2022_1016674_1_SI_65_R1_001.fq.gz</v>
          </cell>
          <cell r="H1116" t="str">
            <v>/home/projects/cge/backup/fastq/food_seqdata/NextSeq_209/FoodQCPipeline_tmp/conc_fqs/DTU_2022_1016674_1_SI_65_R2_001.fq.gz</v>
          </cell>
          <cell r="I1116">
            <v>65</v>
          </cell>
          <cell r="J1116">
            <v>65</v>
          </cell>
          <cell r="K1116" t="str">
            <v>Listeria monocytogenes</v>
          </cell>
          <cell r="L1116">
            <v>45424721</v>
          </cell>
          <cell r="M1116">
            <v>-75695</v>
          </cell>
          <cell r="N1116" t="str">
            <v>Canada</v>
          </cell>
          <cell r="Q1116" t="str">
            <v>Unknown</v>
          </cell>
          <cell r="T1116" t="str">
            <v xml:space="preserve">University of Ottawa, Ottawa, Ontario, ON, Canada </v>
          </cell>
          <cell r="U1116" t="str">
            <v>Food</v>
          </cell>
          <cell r="V1116" t="str">
            <v>Meat (food)</v>
          </cell>
          <cell r="X1116" t="str">
            <v>ERR10550012</v>
          </cell>
        </row>
        <row r="1117">
          <cell r="G1117" t="str">
            <v>/home/projects/cge/backup/fastq/food_seqdata/NextSeq_209/FoodQCPipeline_tmp/conc_fqs/DTU_2022_1016675_1_SI_93_R1_001.fq.gz</v>
          </cell>
          <cell r="H1117" t="str">
            <v>/home/projects/cge/backup/fastq/food_seqdata/NextSeq_209/FoodQCPipeline_tmp/conc_fqs/DTU_2022_1016675_1_SI_93_R2_001.fq.gz</v>
          </cell>
          <cell r="I1117">
            <v>93</v>
          </cell>
          <cell r="J1117">
            <v>93</v>
          </cell>
          <cell r="K1117" t="str">
            <v>Listeria monocytogenes</v>
          </cell>
          <cell r="L1117">
            <v>45424721</v>
          </cell>
          <cell r="M1117">
            <v>-75695</v>
          </cell>
          <cell r="N1117" t="str">
            <v>Canada</v>
          </cell>
          <cell r="Q1117" t="str">
            <v>Unknown</v>
          </cell>
          <cell r="T1117" t="str">
            <v xml:space="preserve">University of Ottawa, Ottawa, Ontario, ON, Canada </v>
          </cell>
          <cell r="U1117" t="str">
            <v>Food</v>
          </cell>
          <cell r="V1117" t="str">
            <v>Meat (food)</v>
          </cell>
          <cell r="X1117" t="str">
            <v>ERR10549966</v>
          </cell>
        </row>
        <row r="1118">
          <cell r="G1118" t="str">
            <v>/home/projects/cge/backup/fastq/food_seqdata/NextSeq_209/FoodQCPipeline_tmp/conc_fqs/DTU_2022_1016663_1_SI_318_R1_001.fq.gz</v>
          </cell>
          <cell r="H1118" t="str">
            <v>/home/projects/cge/backup/fastq/food_seqdata/NextSeq_209/FoodQCPipeline_tmp/conc_fqs/DTU_2022_1016663_1_SI_318_R2_001.fq.gz</v>
          </cell>
          <cell r="I1118">
            <v>318</v>
          </cell>
          <cell r="J1118">
            <v>318</v>
          </cell>
          <cell r="K1118" t="str">
            <v>Listeria monocytogenes</v>
          </cell>
          <cell r="L1118">
            <v>45424721</v>
          </cell>
          <cell r="M1118">
            <v>-75695</v>
          </cell>
          <cell r="N1118" t="str">
            <v>Canada</v>
          </cell>
          <cell r="Q1118" t="str">
            <v>Unknown</v>
          </cell>
          <cell r="T1118" t="str">
            <v xml:space="preserve">University of Ottawa, Ottawa, Ontario, ON, Canada </v>
          </cell>
          <cell r="U1118" t="str">
            <v>Production environment</v>
          </cell>
          <cell r="V1118" t="str">
            <v>Dairy plant swab isolate (environmental)</v>
          </cell>
          <cell r="X1118" t="str">
            <v>ERR10611869</v>
          </cell>
        </row>
        <row r="1119">
          <cell r="G1119" t="str">
            <v>/home/projects/cge/backup/fastq/food_seqdata/NextSeq_209/FoodQCPipeline_tmp/conc_fqs/DTU_2022_1016676_1_SI_1110_R1_001.fq.gz</v>
          </cell>
          <cell r="H1119" t="str">
            <v>/home/projects/cge/backup/fastq/food_seqdata/NextSeq_209/FoodQCPipeline_tmp/conc_fqs/DTU_2022_1016676_1_SI_1110_R2_001.fq.gz</v>
          </cell>
          <cell r="I1119">
            <v>1110</v>
          </cell>
          <cell r="J1119">
            <v>1110</v>
          </cell>
          <cell r="K1119" t="str">
            <v>Listeria monocytogenes</v>
          </cell>
          <cell r="L1119">
            <v>45424721</v>
          </cell>
          <cell r="M1119">
            <v>-75695</v>
          </cell>
          <cell r="N1119" t="str">
            <v>Canada</v>
          </cell>
          <cell r="Q1119" t="str">
            <v>Unknown</v>
          </cell>
          <cell r="T1119" t="str">
            <v xml:space="preserve">University of Ottawa, Ottawa, Ontario, ON, Canada </v>
          </cell>
          <cell r="U1119" t="str">
            <v>Food</v>
          </cell>
          <cell r="V1119" t="str">
            <v>Turkey franks (food)</v>
          </cell>
          <cell r="X1119" t="str">
            <v>ERR10611889</v>
          </cell>
        </row>
        <row r="1120">
          <cell r="G1120" t="str">
            <v>/home/projects/cge/backup/fastq/food_seqdata/NextSeq_209/FoodQCPipeline_tmp/conc_fqs/DTU_2022_1016664_1_SI_1698_R1_001.fq.gz</v>
          </cell>
          <cell r="H1120" t="str">
            <v>/home/projects/cge/backup/fastq/food_seqdata/NextSeq_209/FoodQCPipeline_tmp/conc_fqs/DTU_2022_1016664_1_SI_1698_R2_001.fq.gz</v>
          </cell>
          <cell r="I1120">
            <v>1698</v>
          </cell>
          <cell r="J1120">
            <v>1698</v>
          </cell>
          <cell r="K1120" t="str">
            <v>Listeria monocytogenes</v>
          </cell>
          <cell r="L1120">
            <v>45424721</v>
          </cell>
          <cell r="M1120">
            <v>-75695</v>
          </cell>
          <cell r="N1120" t="str">
            <v>Canada</v>
          </cell>
          <cell r="Q1120" t="str">
            <v>Unknown</v>
          </cell>
          <cell r="T1120" t="str">
            <v xml:space="preserve">University of Ottawa, Ottawa, Ontario, ON, Canada </v>
          </cell>
          <cell r="U1120" t="str">
            <v>Food</v>
          </cell>
          <cell r="V1120" t="str">
            <v>Semi-soft pasteurized cheese (food)</v>
          </cell>
          <cell r="X1120" t="str">
            <v>ERR10611886</v>
          </cell>
        </row>
        <row r="1121">
          <cell r="G1121" t="str">
            <v>/home/projects/cge/backup/fastq/food_seqdata/NextSeq_209/FoodQCPipeline_tmp/conc_fqs/DTU_2022_1016665_1_SI_1707_R1_001.fq.gz</v>
          </cell>
          <cell r="H1121" t="str">
            <v>/home/projects/cge/backup/fastq/food_seqdata/NextSeq_209/FoodQCPipeline_tmp/conc_fqs/DTU_2022_1016665_1_SI_1707_R2_001.fq.gz</v>
          </cell>
          <cell r="I1121">
            <v>1707</v>
          </cell>
          <cell r="J1121">
            <v>1707</v>
          </cell>
          <cell r="K1121" t="str">
            <v>Listeria monocytogenes</v>
          </cell>
          <cell r="L1121">
            <v>45424721</v>
          </cell>
          <cell r="M1121">
            <v>-75695</v>
          </cell>
          <cell r="N1121" t="str">
            <v>Canada</v>
          </cell>
          <cell r="Q1121" t="str">
            <v>Unknown</v>
          </cell>
          <cell r="T1121" t="str">
            <v xml:space="preserve">University of Ottawa, Ottawa, Ontario, ON, Canada </v>
          </cell>
          <cell r="U1121" t="str">
            <v>Food</v>
          </cell>
          <cell r="V1121" t="str">
            <v>Semi-soft pasteurized cheese (food)</v>
          </cell>
          <cell r="X1121" t="str">
            <v>ERR10611900</v>
          </cell>
        </row>
        <row r="1122">
          <cell r="G1122" t="str">
            <v>/home/projects/cge/backup/fastq/food_seqdata/NextSeq_209/FoodQCPipeline_tmp/conc_fqs/DTU_2022_1016666_1_SI_1883_R1_001.fq.gz</v>
          </cell>
          <cell r="H1122" t="str">
            <v>/home/projects/cge/backup/fastq/food_seqdata/NextSeq_209/FoodQCPipeline_tmp/conc_fqs/DTU_2022_1016666_1_SI_1883_R2_001.fq.gz</v>
          </cell>
          <cell r="I1122">
            <v>1883</v>
          </cell>
          <cell r="J1122">
            <v>1883</v>
          </cell>
          <cell r="K1122" t="str">
            <v>Listeria monocytogenes</v>
          </cell>
          <cell r="L1122">
            <v>45424721</v>
          </cell>
          <cell r="M1122">
            <v>-75695</v>
          </cell>
          <cell r="N1122" t="str">
            <v>Canada</v>
          </cell>
          <cell r="Q1122" t="str">
            <v>Unknown</v>
          </cell>
          <cell r="T1122" t="str">
            <v xml:space="preserve">University of Ottawa, Ottawa, Ontario, ON, Canada </v>
          </cell>
          <cell r="U1122" t="str">
            <v>Food</v>
          </cell>
          <cell r="V1122" t="str">
            <v>Soft unpasteurized cheese (food)</v>
          </cell>
          <cell r="X1122" t="str">
            <v>ERR10611870</v>
          </cell>
        </row>
        <row r="1123">
          <cell r="G1123" t="str">
            <v>/home/projects/cge/backup/fastq/food_seqdata/NextSeq_209/FoodQCPipeline_tmp/conc_fqs/DTU_2022_1016667_1_SI_2355_R1_001.fq.gz</v>
          </cell>
          <cell r="H1123" t="str">
            <v>/home/projects/cge/backup/fastq/food_seqdata/NextSeq_209/FoodQCPipeline_tmp/conc_fqs/DTU_2022_1016667_1_SI_2355_R2_001.fq.gz</v>
          </cell>
          <cell r="I1123">
            <v>2355</v>
          </cell>
          <cell r="J1123">
            <v>2355</v>
          </cell>
          <cell r="K1123" t="str">
            <v>Listeria monocytogenes</v>
          </cell>
          <cell r="L1123">
            <v>45424721</v>
          </cell>
          <cell r="M1123">
            <v>-75695</v>
          </cell>
          <cell r="N1123" t="str">
            <v>Canada</v>
          </cell>
          <cell r="Q1123" t="str">
            <v>Unknown</v>
          </cell>
          <cell r="T1123" t="str">
            <v xml:space="preserve">University of Ottawa, Ottawa, Ontario, ON, Canada </v>
          </cell>
          <cell r="U1123" t="str">
            <v>Production environment</v>
          </cell>
          <cell r="V1123" t="str">
            <v>Dairy (environmental)</v>
          </cell>
          <cell r="X1123" t="str">
            <v>ERR10611854</v>
          </cell>
        </row>
        <row r="1124">
          <cell r="G1124" t="str">
            <v>/home/projects/cge/backup/fastq/food_seqdata/NextSeq_209/FoodQCPipeline_tmp/conc_fqs/DTU_2022_1016678_1_SI_2436_R1_001.fq.gz</v>
          </cell>
          <cell r="H1124" t="str">
            <v>/home/projects/cge/backup/fastq/food_seqdata/NextSeq_209/FoodQCPipeline_tmp/conc_fqs/DTU_2022_1016678_1_SI_2436_R2_001.fq.gz</v>
          </cell>
          <cell r="I1124">
            <v>2436</v>
          </cell>
          <cell r="J1124">
            <v>2436</v>
          </cell>
          <cell r="K1124" t="str">
            <v>Listeria monocytogenes</v>
          </cell>
          <cell r="L1124">
            <v>45424721</v>
          </cell>
          <cell r="M1124">
            <v>-75695</v>
          </cell>
          <cell r="N1124" t="str">
            <v>Canada</v>
          </cell>
          <cell r="Q1124" t="str">
            <v>Unknown</v>
          </cell>
          <cell r="T1124" t="str">
            <v xml:space="preserve">University of Ottawa, Ottawa, Ontario, ON, Canada </v>
          </cell>
          <cell r="U1124" t="str">
            <v>Food</v>
          </cell>
          <cell r="V1124" t="str">
            <v>Raw milk used to make Roquefort cheese</v>
          </cell>
          <cell r="X1124" t="str">
            <v>ERR10611878</v>
          </cell>
        </row>
        <row r="1125">
          <cell r="G1125" t="str">
            <v>/home/projects/cge/backup/fastq/food_seqdata/NextSeq_209/FoodQCPipeline_tmp/conc_fqs/DTU_2022_1016679_1_SI_2573_R1_001.fq.gz</v>
          </cell>
          <cell r="H1125" t="str">
            <v>/home/projects/cge/backup/fastq/food_seqdata/NextSeq_209/FoodQCPipeline_tmp/conc_fqs/DTU_2022_1016679_1_SI_2573_R2_001.fq.gz</v>
          </cell>
          <cell r="I1125">
            <v>2573</v>
          </cell>
          <cell r="J1125">
            <v>2573</v>
          </cell>
          <cell r="K1125" t="str">
            <v>Listeria monocytogenes</v>
          </cell>
          <cell r="L1125">
            <v>45424721</v>
          </cell>
          <cell r="M1125">
            <v>-75695</v>
          </cell>
          <cell r="N1125" t="str">
            <v>Canada</v>
          </cell>
          <cell r="Q1125" t="str">
            <v>Unknown</v>
          </cell>
          <cell r="T1125" t="str">
            <v xml:space="preserve">University of Ottawa, Ottawa, Ontario, ON, Canada </v>
          </cell>
          <cell r="U1125" t="str">
            <v>Food</v>
          </cell>
          <cell r="V1125" t="str">
            <v>Chop Suey (food)</v>
          </cell>
          <cell r="X1125" t="str">
            <v>ERR10611881</v>
          </cell>
        </row>
        <row r="1126">
          <cell r="I1126">
            <v>3576</v>
          </cell>
          <cell r="J1126">
            <v>3576</v>
          </cell>
          <cell r="K1126" t="str">
            <v>Listeria monocytogenes</v>
          </cell>
          <cell r="L1126">
            <v>45424721</v>
          </cell>
          <cell r="M1126">
            <v>-75695</v>
          </cell>
          <cell r="N1126" t="str">
            <v>Canada</v>
          </cell>
          <cell r="Q1126" t="str">
            <v>Unknown</v>
          </cell>
          <cell r="T1126" t="str">
            <v xml:space="preserve">University of Ottawa, Ottawa, Ontario, ON, Canada </v>
          </cell>
          <cell r="U1126" t="str">
            <v>Food</v>
          </cell>
          <cell r="V1126" t="str">
            <v>Frozen, unpasteurized egg yolk (food)</v>
          </cell>
          <cell r="X1126" t="str">
            <v>ERR10611922</v>
          </cell>
        </row>
        <row r="1127">
          <cell r="G1127" t="str">
            <v>/home/projects/cge/backup/fastq/food_seqdata/NextSeq_207/FoodQCPipeline_tmp/conc_fqs/DTU_2022_1015869_1_SI_CDL74_R1_001.fq.gz</v>
          </cell>
          <cell r="H1127" t="str">
            <v>/home/projects/cge/backup/fastq/food_seqdata/NextSeq_207/FoodQCPipeline_tmp/conc_fqs/DTU_2022_1015869_1_SI_CDL74_R2_001.fq.gz</v>
          </cell>
          <cell r="I1127" t="str">
            <v>CDL74</v>
          </cell>
          <cell r="J1127" t="str">
            <v>CDL74</v>
          </cell>
          <cell r="K1127" t="str">
            <v>Listeria monocytogenes</v>
          </cell>
          <cell r="L1127">
            <v>508476</v>
          </cell>
          <cell r="M1127">
            <v>43572</v>
          </cell>
          <cell r="N1127" t="str">
            <v>Belgium</v>
          </cell>
          <cell r="Q1127" t="str">
            <v>Unknown</v>
          </cell>
          <cell r="T1127" t="str">
            <v>Institute for Milk Hygiene and Unit of Food Microbiology, University of Veterinary Medicine, Vienna, Austria</v>
          </cell>
          <cell r="U1127" t="str">
            <v>Food</v>
          </cell>
          <cell r="V1127" t="str">
            <v>Food</v>
          </cell>
          <cell r="X1127" t="str">
            <v>ERR10549998</v>
          </cell>
        </row>
        <row r="1128">
          <cell r="G1128" t="str">
            <v>/home/projects/cge/backup/fastq/food_seqdata/NextSeq_207/FoodQCPipeline_tmp/conc_fqs/DTU_2022_1015823_1_SI_5089_R1_001.fq.gz</v>
          </cell>
          <cell r="H1128" t="str">
            <v>/home/projects/cge/backup/fastq/food_seqdata/NextSeq_207/FoodQCPipeline_tmp/conc_fqs/DTU_2022_1015823_1_SI_5089_R2_001.fq.gz</v>
          </cell>
          <cell r="I1128">
            <v>5089</v>
          </cell>
          <cell r="J1128">
            <v>5089</v>
          </cell>
          <cell r="K1128" t="str">
            <v>Listeria monocytogenes</v>
          </cell>
          <cell r="L1128">
            <v>48210033</v>
          </cell>
          <cell r="M1128">
            <v>16363449</v>
          </cell>
          <cell r="N1128" t="str">
            <v>Austria</v>
          </cell>
          <cell r="Q1128">
            <v>1986</v>
          </cell>
          <cell r="T1128" t="str">
            <v>Institute for Milk Hygiene and Unit of Food Microbiology, University of Veterinary Medicine, Vienna, Austria</v>
          </cell>
          <cell r="U1128" t="str">
            <v>Food</v>
          </cell>
          <cell r="V1128" t="str">
            <v>Food</v>
          </cell>
          <cell r="X1128" t="str">
            <v>ERR10550000</v>
          </cell>
        </row>
        <row r="1129">
          <cell r="G1129" t="str">
            <v>/home/projects/cge/backup/fastq/food_seqdata/NextSeq_207/FoodQCPipeline_tmp/conc_fqs/DTU_2022_1015824_1_SI_5091_R1_001.fq.gz</v>
          </cell>
          <cell r="H1129" t="str">
            <v>/home/projects/cge/backup/fastq/food_seqdata/NextSeq_207/FoodQCPipeline_tmp/conc_fqs/DTU_2022_1015824_1_SI_5091_R2_001.fq.gz</v>
          </cell>
          <cell r="I1129">
            <v>5091</v>
          </cell>
          <cell r="J1129">
            <v>5091</v>
          </cell>
          <cell r="K1129" t="str">
            <v>Listeria monocytogenes</v>
          </cell>
          <cell r="L1129">
            <v>48210033</v>
          </cell>
          <cell r="M1129">
            <v>16363449</v>
          </cell>
          <cell r="N1129" t="str">
            <v>Austria</v>
          </cell>
          <cell r="Q1129">
            <v>1986</v>
          </cell>
          <cell r="T1129" t="str">
            <v>Institute for Milk Hygiene and Unit of Food Microbiology, University of Veterinary Medicine, Vienna, Austria</v>
          </cell>
          <cell r="U1129" t="str">
            <v>Food</v>
          </cell>
          <cell r="V1129" t="str">
            <v>Food</v>
          </cell>
          <cell r="X1129" t="str">
            <v>ERR10550017</v>
          </cell>
        </row>
        <row r="1130">
          <cell r="G1130" t="str">
            <v>/home/projects/cge/backup/fastq/food_seqdata/NextSeq_207/FoodQCPipeline_tmp/conc_fqs/DTU_2022_1015825_1_SI_5095_R1_001.fq.gz</v>
          </cell>
          <cell r="H1130" t="str">
            <v>/home/projects/cge/backup/fastq/food_seqdata/NextSeq_207/FoodQCPipeline_tmp/conc_fqs/DTU_2022_1015825_1_SI_5095_R2_001.fq.gz</v>
          </cell>
          <cell r="I1130">
            <v>5095</v>
          </cell>
          <cell r="J1130">
            <v>5095</v>
          </cell>
          <cell r="K1130" t="str">
            <v>Listeria monocytogenes</v>
          </cell>
          <cell r="L1130">
            <v>48210033</v>
          </cell>
          <cell r="M1130">
            <v>16363449</v>
          </cell>
          <cell r="N1130" t="str">
            <v>Austria</v>
          </cell>
          <cell r="Q1130">
            <v>1986</v>
          </cell>
          <cell r="T1130" t="str">
            <v>Institute for Milk Hygiene and Unit of Food Microbiology, University of Veterinary Medicine, Vienna, Austria</v>
          </cell>
          <cell r="U1130" t="str">
            <v>Food</v>
          </cell>
          <cell r="V1130" t="str">
            <v>Food</v>
          </cell>
          <cell r="X1130" t="str">
            <v>ERR10549968</v>
          </cell>
        </row>
        <row r="1131">
          <cell r="G1131" t="str">
            <v>/home/projects/cge/backup/fastq/food_seqdata/NextSeq_207/FoodQCPipeline_tmp/conc_fqs/DTU_2022_1015826_1_SI_5096_R1_001.fq.gz</v>
          </cell>
          <cell r="H1131" t="str">
            <v>/home/projects/cge/backup/fastq/food_seqdata/NextSeq_207/FoodQCPipeline_tmp/conc_fqs/DTU_2022_1015826_1_SI_5096_R2_001.fq.gz</v>
          </cell>
          <cell r="I1131">
            <v>5096</v>
          </cell>
          <cell r="J1131">
            <v>5096</v>
          </cell>
          <cell r="K1131" t="str">
            <v>Listeria monocytogenes</v>
          </cell>
          <cell r="L1131">
            <v>48210033</v>
          </cell>
          <cell r="M1131">
            <v>16363449</v>
          </cell>
          <cell r="N1131" t="str">
            <v>Austria</v>
          </cell>
          <cell r="Q1131">
            <v>1986</v>
          </cell>
          <cell r="T1131" t="str">
            <v>Institute for Milk Hygiene and Unit of Food Microbiology, University of Veterinary Medicine, Vienna, Austria</v>
          </cell>
          <cell r="U1131" t="str">
            <v>Food</v>
          </cell>
          <cell r="V1131" t="str">
            <v>Food</v>
          </cell>
          <cell r="X1131" t="str">
            <v>ERR10549997</v>
          </cell>
        </row>
        <row r="1132">
          <cell r="G1132" t="str">
            <v>/home/projects/cge/backup/fastq/food_seqdata/NextSeq_207/FoodQCPipeline_tmp/conc_fqs/DTU_2022_1015821_1_SI_5087_R1_001.fq.gz</v>
          </cell>
          <cell r="H1132" t="str">
            <v>/home/projects/cge/backup/fastq/food_seqdata/NextSeq_207/FoodQCPipeline_tmp/conc_fqs/DTU_2022_1015821_1_SI_5087_R2_001.fq.gz</v>
          </cell>
          <cell r="I1132">
            <v>5087</v>
          </cell>
          <cell r="J1132">
            <v>5087</v>
          </cell>
          <cell r="K1132" t="str">
            <v>Listeria monocytogenes</v>
          </cell>
          <cell r="L1132">
            <v>48210033</v>
          </cell>
          <cell r="M1132">
            <v>16363449</v>
          </cell>
          <cell r="N1132" t="str">
            <v>Austria</v>
          </cell>
          <cell r="Q1132">
            <v>1987</v>
          </cell>
          <cell r="T1132" t="str">
            <v>Institute for Milk Hygiene and Unit of Food Microbiology, University of Veterinary Medicine, Vienna, Austria</v>
          </cell>
          <cell r="U1132" t="str">
            <v>Animal</v>
          </cell>
          <cell r="X1132" t="str">
            <v>ERR10550005</v>
          </cell>
        </row>
        <row r="1133">
          <cell r="G1133" t="str">
            <v>/home/projects/cge/backup/fastq/food_seqdata/NextSeq_207/FoodQCPipeline_tmp/conc_fqs/DTU_2022_1015822_1_SI_5088_R1_001.fq.gz</v>
          </cell>
          <cell r="H1133" t="str">
            <v>/home/projects/cge/backup/fastq/food_seqdata/NextSeq_207/FoodQCPipeline_tmp/conc_fqs/DTU_2022_1015822_1_SI_5088_R2_001.fq.gz</v>
          </cell>
          <cell r="I1133">
            <v>5088</v>
          </cell>
          <cell r="J1133">
            <v>5088</v>
          </cell>
          <cell r="K1133" t="str">
            <v>Listeria monocytogenes</v>
          </cell>
          <cell r="L1133">
            <v>48210033</v>
          </cell>
          <cell r="M1133">
            <v>16363449</v>
          </cell>
          <cell r="N1133" t="str">
            <v>Austria</v>
          </cell>
          <cell r="Q1133">
            <v>1987</v>
          </cell>
          <cell r="T1133" t="str">
            <v>Institute for Milk Hygiene and Unit of Food Microbiology, University of Veterinary Medicine, Vienna, Austria</v>
          </cell>
          <cell r="U1133" t="str">
            <v>Food</v>
          </cell>
          <cell r="V1133" t="str">
            <v>Food</v>
          </cell>
          <cell r="X1133" t="str">
            <v>ERR10549972</v>
          </cell>
        </row>
        <row r="1134">
          <cell r="G1134" t="str">
            <v>/home/projects/cge/backup/fastq/food_seqdata/NextSeq_207/FoodQCPipeline_tmp/conc_fqs/DTU_2022_1015880_1_SI_3831_R1_001.fq.gz</v>
          </cell>
          <cell r="H1134" t="str">
            <v>/home/projects/cge/backup/fastq/food_seqdata/NextSeq_207/FoodQCPipeline_tmp/conc_fqs/DTU_2022_1015880_1_SI_3831_R2_001.fq.gz</v>
          </cell>
          <cell r="I1134">
            <v>3831</v>
          </cell>
          <cell r="J1134">
            <v>3831</v>
          </cell>
          <cell r="K1134" t="str">
            <v>Listeria monocytogenes</v>
          </cell>
          <cell r="L1134">
            <v>48210033</v>
          </cell>
          <cell r="M1134">
            <v>16363449</v>
          </cell>
          <cell r="N1134" t="str">
            <v>Austria</v>
          </cell>
          <cell r="Q1134">
            <v>1999</v>
          </cell>
          <cell r="T1134" t="str">
            <v>Institute for Milk Hygiene and Unit of Food Microbiology, University of Veterinary Medicine, Vienna, Austria</v>
          </cell>
          <cell r="U1134" t="str">
            <v>Food</v>
          </cell>
          <cell r="V1134" t="str">
            <v>Food</v>
          </cell>
          <cell r="X1134" t="str">
            <v>ERR10549969</v>
          </cell>
        </row>
        <row r="1135">
          <cell r="G1135" t="str">
            <v>/home/projects/cge/backup/fastq/food_seqdata/NextSeq_207/FoodQCPipeline_tmp/conc_fqs/DTU_2022_1015899_1_SI_5007_R1_001.fq.gz</v>
          </cell>
          <cell r="H1135" t="str">
            <v>/home/projects/cge/backup/fastq/food_seqdata/NextSeq_207/FoodQCPipeline_tmp/conc_fqs/DTU_2022_1015899_1_SI_5007_R2_001.fq.gz</v>
          </cell>
          <cell r="I1135">
            <v>5007</v>
          </cell>
          <cell r="J1135">
            <v>5007</v>
          </cell>
          <cell r="K1135" t="str">
            <v>Listeria monocytogenes</v>
          </cell>
          <cell r="L1135">
            <v>48210033</v>
          </cell>
          <cell r="M1135">
            <v>16363449</v>
          </cell>
          <cell r="N1135" t="str">
            <v>Austria</v>
          </cell>
          <cell r="Q1135">
            <v>2000</v>
          </cell>
          <cell r="T1135" t="str">
            <v>Institute for Milk Hygiene and Unit of Food Microbiology, University of Veterinary Medicine, Vienna, Austria</v>
          </cell>
          <cell r="U1135" t="str">
            <v>Food</v>
          </cell>
          <cell r="V1135" t="str">
            <v>Food</v>
          </cell>
          <cell r="X1135" t="str">
            <v>ERR10549971</v>
          </cell>
        </row>
        <row r="1136">
          <cell r="G1136" t="str">
            <v>/home/projects/cge/backup/fastq/food_seqdata/NextSeq_207/FoodQCPipeline_tmp/conc_fqs/DTU_2022_1015881_1_SI_3269_R1_001.fq.gz</v>
          </cell>
          <cell r="H1136" t="str">
            <v>/home/projects/cge/backup/fastq/food_seqdata/NextSeq_207/FoodQCPipeline_tmp/conc_fqs/DTU_2022_1015881_1_SI_3269_R2_001.fq.gz</v>
          </cell>
          <cell r="I1136">
            <v>3269</v>
          </cell>
          <cell r="J1136">
            <v>3269</v>
          </cell>
          <cell r="K1136" t="str">
            <v>Listeria monocytogenes</v>
          </cell>
          <cell r="L1136">
            <v>48210033</v>
          </cell>
          <cell r="M1136">
            <v>16363449</v>
          </cell>
          <cell r="N1136" t="str">
            <v>Austria</v>
          </cell>
          <cell r="Q1136">
            <v>2001</v>
          </cell>
          <cell r="T1136" t="str">
            <v>Institute for Milk Hygiene and Unit of Food Microbiology, University of Veterinary Medicine, Vienna, Austria</v>
          </cell>
          <cell r="U1136" t="str">
            <v>Production environment</v>
          </cell>
          <cell r="V1136" t="str">
            <v>Production environment</v>
          </cell>
          <cell r="X1136" t="str">
            <v>ERR10549993</v>
          </cell>
        </row>
        <row r="1137">
          <cell r="G1137" t="str">
            <v>/home/projects/cge/backup/fastq/food_seqdata/NextSeq_207/FoodQCPipeline_tmp/conc_fqs/DTU_2022_1015882_1_SI_3472_R1_001.fq.gz</v>
          </cell>
          <cell r="H1137" t="str">
            <v>/home/projects/cge/backup/fastq/food_seqdata/NextSeq_207/FoodQCPipeline_tmp/conc_fqs/DTU_2022_1015882_1_SI_3472_R2_001.fq.gz</v>
          </cell>
          <cell r="I1137">
            <v>3472</v>
          </cell>
          <cell r="J1137">
            <v>3472</v>
          </cell>
          <cell r="K1137" t="str">
            <v>Listeria monocytogenes</v>
          </cell>
          <cell r="L1137">
            <v>48210033</v>
          </cell>
          <cell r="M1137">
            <v>16363449</v>
          </cell>
          <cell r="N1137" t="str">
            <v>Austria</v>
          </cell>
          <cell r="Q1137">
            <v>2001</v>
          </cell>
          <cell r="T1137" t="str">
            <v>Institute for Milk Hygiene and Unit of Food Microbiology, University of Veterinary Medicine, Vienna, Austria</v>
          </cell>
          <cell r="U1137" t="str">
            <v>Food</v>
          </cell>
          <cell r="V1137" t="str">
            <v>Food</v>
          </cell>
          <cell r="X1137" t="str">
            <v>ERR10549994</v>
          </cell>
        </row>
        <row r="1138">
          <cell r="G1138" t="str">
            <v>/home/projects/cge/backup/fastq/food_seqdata/NextSeq_207/FoodQCPipeline_tmp/conc_fqs/DTU_2022_1015898_1_SI_5605_R1_001.fq.gz</v>
          </cell>
          <cell r="H1138" t="str">
            <v>/home/projects/cge/backup/fastq/food_seqdata/NextSeq_207/FoodQCPipeline_tmp/conc_fqs/DTU_2022_1015898_1_SI_5605_R2_001.fq.gz</v>
          </cell>
          <cell r="I1138">
            <v>5605</v>
          </cell>
          <cell r="J1138">
            <v>5605</v>
          </cell>
          <cell r="K1138" t="str">
            <v>Listeria monocytogenes</v>
          </cell>
          <cell r="L1138">
            <v>48210033</v>
          </cell>
          <cell r="M1138">
            <v>16363449</v>
          </cell>
          <cell r="N1138" t="str">
            <v>Austria</v>
          </cell>
          <cell r="Q1138">
            <v>2010</v>
          </cell>
          <cell r="T1138" t="str">
            <v>Institute for Milk Hygiene and Unit of Food Microbiology, University of Veterinary Medicine, Vienna, Austria</v>
          </cell>
          <cell r="U1138" t="str">
            <v>Food</v>
          </cell>
          <cell r="V1138" t="str">
            <v>Food</v>
          </cell>
          <cell r="X1138" t="str">
            <v>ERR10550003</v>
          </cell>
        </row>
        <row r="1139">
          <cell r="G1139" t="str">
            <v>/home/projects/cge/backup/fastq/food_seqdata/NextSeq_207/FoodQCPipeline_tmp/conc_fqs/DTU_2022_1015892_1_SI_5624_R1_001.fq.gz</v>
          </cell>
          <cell r="H1139" t="str">
            <v>/home/projects/cge/backup/fastq/food_seqdata/NextSeq_207/FoodQCPipeline_tmp/conc_fqs/DTU_2022_1015892_1_SI_5624_R2_001.fq.gz</v>
          </cell>
          <cell r="I1139">
            <v>5624</v>
          </cell>
          <cell r="J1139">
            <v>5624</v>
          </cell>
          <cell r="K1139" t="str">
            <v>Listeria monocytogenes</v>
          </cell>
          <cell r="L1139">
            <v>48210033</v>
          </cell>
          <cell r="M1139">
            <v>16363449</v>
          </cell>
          <cell r="N1139" t="str">
            <v>Austria</v>
          </cell>
          <cell r="Q1139">
            <v>2010</v>
          </cell>
          <cell r="T1139" t="str">
            <v>Institute for Milk Hygiene and Unit of Food Microbiology, University of Veterinary Medicine, Vienna, Austria</v>
          </cell>
          <cell r="U1139" t="str">
            <v>Production environment</v>
          </cell>
          <cell r="V1139" t="str">
            <v>Production environment</v>
          </cell>
          <cell r="X1139" t="str">
            <v>ERR10550004</v>
          </cell>
        </row>
        <row r="1140">
          <cell r="G1140" t="str">
            <v>/home/projects/cge/backup/fastq/food_seqdata/NextSeq_207/FoodQCPipeline_tmp/conc_fqs/DTU_2022_1015895_1_SI_5633_R1_001.fq.gz</v>
          </cell>
          <cell r="H1140" t="str">
            <v>/home/projects/cge/backup/fastq/food_seqdata/NextSeq_207/FoodQCPipeline_tmp/conc_fqs/DTU_2022_1015895_1_SI_5633_R2_001.fq.gz</v>
          </cell>
          <cell r="I1140">
            <v>5633</v>
          </cell>
          <cell r="J1140">
            <v>5633</v>
          </cell>
          <cell r="K1140" t="str">
            <v>Listeria monocytogenes</v>
          </cell>
          <cell r="L1140">
            <v>48210033</v>
          </cell>
          <cell r="M1140">
            <v>16363449</v>
          </cell>
          <cell r="N1140" t="str">
            <v>Austria</v>
          </cell>
          <cell r="Q1140">
            <v>2010</v>
          </cell>
          <cell r="T1140" t="str">
            <v>Institute for Milk Hygiene and Unit of Food Microbiology, University of Veterinary Medicine, Vienna, Austria</v>
          </cell>
          <cell r="U1140" t="str">
            <v>Production environment</v>
          </cell>
          <cell r="V1140" t="str">
            <v>Production environment</v>
          </cell>
          <cell r="X1140" t="str">
            <v>ERR10549975</v>
          </cell>
        </row>
        <row r="1141">
          <cell r="G1141" t="str">
            <v>/home/projects/cge/backup/fastq/food_seqdata/NextSeq_208/FoodQCPipeline_tmp/conc_fqs/DTU_2022_1015970_1_SI_5857_R1_001.fq.gz</v>
          </cell>
          <cell r="H1141" t="str">
            <v>/home/projects/cge/backup/fastq/food_seqdata/NextSeq_208/FoodQCPipeline_tmp/conc_fqs/DTU_2022_1015970_1_SI_5857_R2_001.fq.gz</v>
          </cell>
          <cell r="I1141">
            <v>5857</v>
          </cell>
          <cell r="J1141">
            <v>5857</v>
          </cell>
          <cell r="K1141" t="str">
            <v>Listeria monocytogenes</v>
          </cell>
          <cell r="L1141">
            <v>48210033</v>
          </cell>
          <cell r="M1141">
            <v>16363449</v>
          </cell>
          <cell r="N1141" t="str">
            <v>Austria</v>
          </cell>
          <cell r="Q1141">
            <v>2011</v>
          </cell>
          <cell r="T1141" t="str">
            <v>Institute for Milk Hygiene and Unit of Food Microbiology, University of Veterinary Medicine, Vienna, Austria</v>
          </cell>
          <cell r="U1141" t="str">
            <v>Food</v>
          </cell>
          <cell r="V1141" t="str">
            <v>Food</v>
          </cell>
          <cell r="X1141" t="str">
            <v>ERR10549979</v>
          </cell>
        </row>
        <row r="1142">
          <cell r="G1142" t="str">
            <v>/home/projects/cge/backup/fastq/food_seqdata/NextSeq_208/FoodQCPipeline_tmp/conc_fqs/DTU_2022_1015971_1_SI_5859_R1_001.fq.gz</v>
          </cell>
          <cell r="H1142" t="str">
            <v>/home/projects/cge/backup/fastq/food_seqdata/NextSeq_208/FoodQCPipeline_tmp/conc_fqs/DTU_2022_1015971_1_SI_5859_R2_001.fq.gz</v>
          </cell>
          <cell r="I1142">
            <v>5859</v>
          </cell>
          <cell r="J1142">
            <v>5859</v>
          </cell>
          <cell r="K1142" t="str">
            <v>Listeria monocytogenes</v>
          </cell>
          <cell r="L1142">
            <v>48210033</v>
          </cell>
          <cell r="M1142">
            <v>16363449</v>
          </cell>
          <cell r="N1142" t="str">
            <v>Austria</v>
          </cell>
          <cell r="Q1142">
            <v>2011</v>
          </cell>
          <cell r="T1142" t="str">
            <v>Institute for Milk Hygiene and Unit of Food Microbiology, University of Veterinary Medicine, Vienna, Austria</v>
          </cell>
          <cell r="U1142" t="str">
            <v>Food</v>
          </cell>
          <cell r="V1142" t="str">
            <v>Food</v>
          </cell>
          <cell r="X1142" t="str">
            <v>ERR10549982</v>
          </cell>
        </row>
        <row r="1143">
          <cell r="G1143" t="str">
            <v>/home/projects/cge/backup/fastq/food_seqdata/NextSeq_208/FoodQCPipeline_tmp/conc_fqs/DTU_2022_1015972_1_SI_5891_R1_001.fq.gz</v>
          </cell>
          <cell r="H1143" t="str">
            <v>/home/projects/cge/backup/fastq/food_seqdata/NextSeq_208/FoodQCPipeline_tmp/conc_fqs/DTU_2022_1015972_1_SI_5891_R2_001.fq.gz</v>
          </cell>
          <cell r="I1143">
            <v>5891</v>
          </cell>
          <cell r="J1143">
            <v>5891</v>
          </cell>
          <cell r="K1143" t="str">
            <v>Listeria monocytogenes</v>
          </cell>
          <cell r="L1143">
            <v>48210033</v>
          </cell>
          <cell r="M1143">
            <v>16363449</v>
          </cell>
          <cell r="N1143" t="str">
            <v>Austria</v>
          </cell>
          <cell r="Q1143">
            <v>2011</v>
          </cell>
          <cell r="T1143" t="str">
            <v>Institute for Milk Hygiene and Unit of Food Microbiology, University of Veterinary Medicine, Vienna, Austria</v>
          </cell>
          <cell r="U1143" t="str">
            <v>Food</v>
          </cell>
          <cell r="V1143" t="str">
            <v>Food</v>
          </cell>
          <cell r="X1143" t="str">
            <v>ERR10549980</v>
          </cell>
        </row>
        <row r="1144">
          <cell r="G1144" t="str">
            <v>/home/projects/cge/backup/fastq/food_seqdata/NextSeq_207/FoodQCPipeline_tmp/conc_fqs/DTU_2022_1015896_1_SI_5907_R1_001.fq.gz</v>
          </cell>
          <cell r="H1144" t="str">
            <v>/home/projects/cge/backup/fastq/food_seqdata/NextSeq_207/FoodQCPipeline_tmp/conc_fqs/DTU_2022_1015896_1_SI_5907_R2_001.fq.gz</v>
          </cell>
          <cell r="I1144">
            <v>5907</v>
          </cell>
          <cell r="J1144">
            <v>5907</v>
          </cell>
          <cell r="K1144" t="str">
            <v>Listeria monocytogenes</v>
          </cell>
          <cell r="L1144">
            <v>48210033</v>
          </cell>
          <cell r="M1144">
            <v>16363449</v>
          </cell>
          <cell r="N1144" t="str">
            <v>Austria</v>
          </cell>
          <cell r="Q1144">
            <v>2011</v>
          </cell>
          <cell r="T1144" t="str">
            <v>Institute for Milk Hygiene and Unit of Food Microbiology, University of Veterinary Medicine, Vienna, Austria</v>
          </cell>
          <cell r="U1144" t="str">
            <v>Production environment</v>
          </cell>
          <cell r="V1144" t="str">
            <v>Production environment</v>
          </cell>
          <cell r="X1144" t="str">
            <v>ERR10550015</v>
          </cell>
        </row>
        <row r="1145">
          <cell r="G1145" t="str">
            <v>/home/projects/cge/backup/fastq/food_seqdata/NextSeq_208/FoodQCPipeline_tmp/conc_fqs/DTU_2022_1015969_1_SI_5908_R1_001.fq.gz</v>
          </cell>
          <cell r="H1145" t="str">
            <v>/home/projects/cge/backup/fastq/food_seqdata/NextSeq_208/FoodQCPipeline_tmp/conc_fqs/DTU_2022_1015969_1_SI_5908_R2_001.fq.gz</v>
          </cell>
          <cell r="I1145">
            <v>5908</v>
          </cell>
          <cell r="J1145">
            <v>5908</v>
          </cell>
          <cell r="K1145" t="str">
            <v>Listeria monocytogenes</v>
          </cell>
          <cell r="L1145">
            <v>48210033</v>
          </cell>
          <cell r="M1145">
            <v>16363449</v>
          </cell>
          <cell r="N1145" t="str">
            <v>Austria</v>
          </cell>
          <cell r="Q1145">
            <v>2011</v>
          </cell>
          <cell r="T1145" t="str">
            <v>Institute for Milk Hygiene and Unit of Food Microbiology, University of Veterinary Medicine, Vienna, Austria</v>
          </cell>
          <cell r="U1145" t="str">
            <v>Food</v>
          </cell>
          <cell r="V1145" t="str">
            <v>Food</v>
          </cell>
          <cell r="X1145" t="str">
            <v>ERR10550007</v>
          </cell>
        </row>
        <row r="1146">
          <cell r="G1146" t="str">
            <v>/home/projects/cge/backup/fastq/food_seqdata/NextSeq_208/FoodQCPipeline_tmp/conc_fqs/DTU_2022_1015974_1_SI_6541_R1_001.fq.gz</v>
          </cell>
          <cell r="H1146" t="str">
            <v>/home/projects/cge/backup/fastq/food_seqdata/NextSeq_208/FoodQCPipeline_tmp/conc_fqs/DTU_2022_1015974_1_SI_6541_R2_001.fq.gz</v>
          </cell>
          <cell r="I1146">
            <v>6541</v>
          </cell>
          <cell r="J1146">
            <v>6541</v>
          </cell>
          <cell r="K1146" t="str">
            <v>Listeria monocytogenes</v>
          </cell>
          <cell r="L1146">
            <v>48210033</v>
          </cell>
          <cell r="M1146">
            <v>16363449</v>
          </cell>
          <cell r="N1146" t="str">
            <v>Austria</v>
          </cell>
          <cell r="Q1146">
            <v>2012</v>
          </cell>
          <cell r="T1146" t="str">
            <v>Institute for Milk Hygiene and Unit of Food Microbiology, University of Veterinary Medicine, Vienna, Austria</v>
          </cell>
          <cell r="U1146" t="str">
            <v>Food</v>
          </cell>
          <cell r="V1146" t="str">
            <v>Food</v>
          </cell>
          <cell r="X1146" t="str">
            <v>ERR10550016</v>
          </cell>
        </row>
        <row r="1147">
          <cell r="G1147" t="str">
            <v>/home/projects/cge/backup/fastq/food_seqdata/NextSeq_208/FoodQCPipeline_tmp/conc_fqs/DTU_2022_1015975_1_SI_6551_R1_001.fq.gz</v>
          </cell>
          <cell r="H1147" t="str">
            <v>/home/projects/cge/backup/fastq/food_seqdata/NextSeq_208/FoodQCPipeline_tmp/conc_fqs/DTU_2022_1015975_1_SI_6551_R2_001.fq.gz</v>
          </cell>
          <cell r="I1147">
            <v>6551</v>
          </cell>
          <cell r="J1147">
            <v>6551</v>
          </cell>
          <cell r="K1147" t="str">
            <v>Listeria monocytogenes</v>
          </cell>
          <cell r="L1147">
            <v>48210033</v>
          </cell>
          <cell r="M1147">
            <v>16363449</v>
          </cell>
          <cell r="N1147" t="str">
            <v>Austria</v>
          </cell>
          <cell r="Q1147">
            <v>2012</v>
          </cell>
          <cell r="T1147" t="str">
            <v>Institute for Milk Hygiene and Unit of Food Microbiology, University of Veterinary Medicine, Vienna, Austria</v>
          </cell>
          <cell r="U1147" t="str">
            <v>Food</v>
          </cell>
          <cell r="V1147" t="str">
            <v>Food</v>
          </cell>
          <cell r="X1147" t="str">
            <v>ERR10549984</v>
          </cell>
        </row>
        <row r="1148">
          <cell r="G1148" t="str">
            <v>/home/projects/cge/backup/fastq/food_seqdata/NextSeq_208/FoodQCPipeline_tmp/conc_fqs/DTU_2022_1015973_1_SI_6594_R1_001.fq.gz</v>
          </cell>
          <cell r="H1148" t="str">
            <v>/home/projects/cge/backup/fastq/food_seqdata/NextSeq_208/FoodQCPipeline_tmp/conc_fqs/DTU_2022_1015973_1_SI_6594_R2_001.fq.gz</v>
          </cell>
          <cell r="I1148">
            <v>6594</v>
          </cell>
          <cell r="J1148">
            <v>6594</v>
          </cell>
          <cell r="K1148" t="str">
            <v>Listeria monocytogenes</v>
          </cell>
          <cell r="L1148">
            <v>48210033</v>
          </cell>
          <cell r="M1148">
            <v>16363449</v>
          </cell>
          <cell r="N1148" t="str">
            <v>Austria</v>
          </cell>
          <cell r="Q1148">
            <v>2013</v>
          </cell>
          <cell r="T1148" t="str">
            <v>Institute for Milk Hygiene and Unit of Food Microbiology, University of Veterinary Medicine, Vienna, Austria</v>
          </cell>
          <cell r="U1148" t="str">
            <v>Food</v>
          </cell>
          <cell r="V1148" t="str">
            <v>Food</v>
          </cell>
          <cell r="X1148" t="str">
            <v>ERR10550011</v>
          </cell>
        </row>
        <row r="1149">
          <cell r="G1149" t="str">
            <v>/home/projects/cge/backup/fastq/food_seqdata/NextSeq_208/FoodQCPipeline_tmp/conc_fqs/DTU_2022_1015976_1_SI_59_6_1_R1_001.fq.gz</v>
          </cell>
          <cell r="H1149" t="str">
            <v>/home/projects/cge/backup/fastq/food_seqdata/NextSeq_208/FoodQCPipeline_tmp/conc_fqs/DTU_2022_1015976_1_SI_59_6_1_R2_001.fq.gz</v>
          </cell>
          <cell r="I1149" t="str">
            <v>59_6_1</v>
          </cell>
          <cell r="J1149" t="str">
            <v>59_6_1</v>
          </cell>
          <cell r="K1149" t="str">
            <v>Listeria monocytogenes</v>
          </cell>
          <cell r="L1149">
            <v>48210033</v>
          </cell>
          <cell r="M1149">
            <v>16363449</v>
          </cell>
          <cell r="N1149" t="str">
            <v>Austria</v>
          </cell>
          <cell r="Q1149">
            <v>2013</v>
          </cell>
          <cell r="T1149" t="str">
            <v>Institute for Milk Hygiene and Unit of Food Microbiology, University of Veterinary Medicine, Vienna, Austria</v>
          </cell>
          <cell r="U1149" t="str">
            <v>Production environment</v>
          </cell>
          <cell r="V1149" t="str">
            <v>Production environment</v>
          </cell>
          <cell r="X1149" t="str">
            <v>ERR10549986</v>
          </cell>
        </row>
        <row r="1150">
          <cell r="G1150" t="str">
            <v>/home/projects/cge/backup/fastq/food_seqdata/NextSeq_207/FoodQCPipeline_tmp/conc_fqs/DTU_2022_1015903_1_SI_3253_R1_001.fq.gz</v>
          </cell>
          <cell r="H1150" t="str">
            <v>/home/projects/cge/backup/fastq/food_seqdata/NextSeq_207/FoodQCPipeline_tmp/conc_fqs/DTU_2022_1015903_1_SI_3253_R2_001.fq.gz</v>
          </cell>
          <cell r="I1150">
            <v>3253</v>
          </cell>
          <cell r="J1150">
            <v>3253</v>
          </cell>
          <cell r="K1150" t="str">
            <v>Listeria monocytogenes</v>
          </cell>
          <cell r="L1150">
            <v>48210033</v>
          </cell>
          <cell r="M1150">
            <v>16363449</v>
          </cell>
          <cell r="N1150" t="str">
            <v>Austria</v>
          </cell>
          <cell r="Q1150">
            <v>2014</v>
          </cell>
          <cell r="T1150" t="str">
            <v>Institute for Milk Hygiene and Unit of Food Microbiology, University of Veterinary Medicine, Vienna, Austria</v>
          </cell>
          <cell r="U1150" t="str">
            <v>Food</v>
          </cell>
          <cell r="V1150" t="str">
            <v>Food</v>
          </cell>
          <cell r="X1150" t="str">
            <v>ERR10549992</v>
          </cell>
        </row>
        <row r="1151">
          <cell r="G1151" t="str">
            <v>/home/projects/cge/backup/fastq/food_seqdata/NextSeq_207/FoodQCPipeline_tmp/conc_fqs/DTU_2022_1015897_1_SI_7605_R1_001.fq.gz</v>
          </cell>
          <cell r="H1151" t="str">
            <v>/home/projects/cge/backup/fastq/food_seqdata/NextSeq_207/FoodQCPipeline_tmp/conc_fqs/DTU_2022_1015897_1_SI_7605_R2_001.fq.gz</v>
          </cell>
          <cell r="I1151">
            <v>7605</v>
          </cell>
          <cell r="J1151">
            <v>7605</v>
          </cell>
          <cell r="K1151" t="str">
            <v>Listeria monocytogenes</v>
          </cell>
          <cell r="L1151">
            <v>48210033</v>
          </cell>
          <cell r="M1151">
            <v>16363449</v>
          </cell>
          <cell r="N1151" t="str">
            <v>Austria</v>
          </cell>
          <cell r="Q1151">
            <v>2014</v>
          </cell>
          <cell r="T1151" t="str">
            <v>Institute for Milk Hygiene and Unit of Food Microbiology, University of Veterinary Medicine, Vienna, Austria</v>
          </cell>
          <cell r="U1151" t="str">
            <v>Natural environment</v>
          </cell>
          <cell r="V1151" t="str">
            <v>Natural environment</v>
          </cell>
          <cell r="X1151" t="str">
            <v>ERR10549990</v>
          </cell>
        </row>
        <row r="1152">
          <cell r="G1152" t="str">
            <v>/home/projects/cge/backup/fastq/food_seqdata/NextSeq_208/FoodQCPipeline_tmp/conc_fqs/DTU_2022_1015977_1_SI_45_2_1_R1_001.fq.gz</v>
          </cell>
          <cell r="H1152" t="str">
            <v>/home/projects/cge/backup/fastq/food_seqdata/NextSeq_208/FoodQCPipeline_tmp/conc_fqs/DTU_2022_1015977_1_SI_45_2_1_R2_001.fq.gz</v>
          </cell>
          <cell r="I1152" t="str">
            <v>45_2_1</v>
          </cell>
          <cell r="J1152" t="str">
            <v>45_2_1</v>
          </cell>
          <cell r="K1152" t="str">
            <v>Listeria monocytogenes</v>
          </cell>
          <cell r="L1152">
            <v>48210033</v>
          </cell>
          <cell r="M1152">
            <v>16363449</v>
          </cell>
          <cell r="N1152" t="str">
            <v>Austria</v>
          </cell>
          <cell r="Q1152">
            <v>2015</v>
          </cell>
          <cell r="T1152" t="str">
            <v>Institute for Milk Hygiene and Unit of Food Microbiology, University of Veterinary Medicine, Vienna, Austria</v>
          </cell>
          <cell r="U1152" t="str">
            <v>Production environment</v>
          </cell>
          <cell r="V1152" t="str">
            <v>Production environment</v>
          </cell>
          <cell r="X1152" t="str">
            <v>ERR10550013</v>
          </cell>
        </row>
        <row r="1153">
          <cell r="G1153" t="str">
            <v>/home/projects/cge/backup/fastq/food_seqdata/NextSeq_206/FoodQCPipeline_tmp/conc_fqs/DTU_2022_1015725_1_SI_F02_R1_001.fq.gz</v>
          </cell>
          <cell r="H1153" t="str">
            <v>/home/projects/cge/backup/fastq/food_seqdata/NextSeq_206/FoodQCPipeline_tmp/conc_fqs/DTU_2022_1015725_1_SI_F02_R2_001.fq.gz</v>
          </cell>
          <cell r="I1153" t="str">
            <v>F02</v>
          </cell>
          <cell r="J1153" t="str">
            <v>F02</v>
          </cell>
          <cell r="K1153" t="str">
            <v>Listeria monocytogenes</v>
          </cell>
          <cell r="L1153">
            <v>48210033</v>
          </cell>
          <cell r="M1153">
            <v>16363449</v>
          </cell>
          <cell r="N1153" t="str">
            <v>Austria</v>
          </cell>
          <cell r="Q1153">
            <v>2017</v>
          </cell>
          <cell r="T1153" t="str">
            <v>Institute for Medical Microbiology and Hygiene in the Austrian Agency for Health and Food Safety, Vienna, Austria</v>
          </cell>
          <cell r="U1153" t="str">
            <v>Food</v>
          </cell>
          <cell r="V1153" t="str">
            <v>fish products</v>
          </cell>
          <cell r="X1153" t="str">
            <v>ERR10611936</v>
          </cell>
        </row>
        <row r="1154">
          <cell r="G1154" t="str">
            <v>/home/projects/cge/backup/fastq/food_seqdata/NextSeq_207/FoodQCPipeline_tmp/conc_fqs/DTU_2022_1015905_1_SI_13KMS_R1_001.fq.gz</v>
          </cell>
          <cell r="H1154" t="str">
            <v>/home/projects/cge/backup/fastq/food_seqdata/NextSeq_207/FoodQCPipeline_tmp/conc_fqs/DTU_2022_1015905_1_SI_13KMS_R2_001.fq.gz</v>
          </cell>
          <cell r="I1154" t="str">
            <v>13KMS</v>
          </cell>
          <cell r="J1154" t="str">
            <v>13KMS</v>
          </cell>
          <cell r="K1154" t="str">
            <v>Listeria monocytogenes</v>
          </cell>
          <cell r="L1154">
            <v>48210033</v>
          </cell>
          <cell r="M1154">
            <v>16363449</v>
          </cell>
          <cell r="N1154" t="str">
            <v>Austria</v>
          </cell>
          <cell r="Q1154" t="str">
            <v>Unknown</v>
          </cell>
          <cell r="T1154" t="str">
            <v>Institute for Milk Hygiene and Unit of Food Microbiology, University of Veterinary Medicine, Vienna, Austria</v>
          </cell>
          <cell r="U1154" t="str">
            <v>Food</v>
          </cell>
          <cell r="V1154" t="str">
            <v>Food</v>
          </cell>
          <cell r="X1154" t="str">
            <v>ERR10550014</v>
          </cell>
        </row>
        <row r="1155">
          <cell r="G1155" t="str">
            <v>/home/projects/cge/backup/fastq/food_seqdata/NextSeq_207/FoodQCPipeline_tmp/conc_fqs/DTU_2022_1015904_1_SI_4KMS_R1_001.fq.gz</v>
          </cell>
          <cell r="H1155" t="str">
            <v>/home/projects/cge/backup/fastq/food_seqdata/NextSeq_207/FoodQCPipeline_tmp/conc_fqs/DTU_2022_1015904_1_SI_4KMS_R2_001.fq.gz</v>
          </cell>
          <cell r="I1155" t="str">
            <v>4KMS</v>
          </cell>
          <cell r="J1155" t="str">
            <v>4KMS</v>
          </cell>
          <cell r="K1155" t="str">
            <v>Listeria monocytogenes</v>
          </cell>
          <cell r="L1155">
            <v>48210033</v>
          </cell>
          <cell r="M1155">
            <v>16363449</v>
          </cell>
          <cell r="N1155" t="str">
            <v>Austria</v>
          </cell>
          <cell r="Q1155" t="str">
            <v>Unknown</v>
          </cell>
          <cell r="T1155" t="str">
            <v>Institute for Milk Hygiene and Unit of Food Microbiology, University of Veterinary Medicine, Vienna, Austria</v>
          </cell>
          <cell r="U1155" t="str">
            <v>Food</v>
          </cell>
          <cell r="V1155" t="str">
            <v>Food</v>
          </cell>
          <cell r="X1155" t="str">
            <v>ERR10550010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_Total"/>
      <sheetName val="Sheet2_Two QAC genes"/>
      <sheetName val="qacH variants"/>
      <sheetName val="Country_gene"/>
      <sheetName val="CC_gene"/>
      <sheetName val="CC_gene2"/>
      <sheetName val="CC_gene3"/>
      <sheetName val="Source_gene"/>
    </sheetNames>
    <sheetDataSet>
      <sheetData sheetId="0">
        <row r="10959">
          <cell r="B10959" t="str">
            <v>qacH</v>
          </cell>
          <cell r="C10959">
            <v>18.908061718250707</v>
          </cell>
        </row>
        <row r="10960">
          <cell r="B10960" t="str">
            <v>bcrABC</v>
          </cell>
          <cell r="C10960">
            <v>72.473294987674606</v>
          </cell>
        </row>
        <row r="10961">
          <cell r="B10961" t="str">
            <v>emrC</v>
          </cell>
          <cell r="C10961">
            <v>6.7196201953802621</v>
          </cell>
        </row>
        <row r="10962">
          <cell r="B10962" t="str">
            <v>emrE</v>
          </cell>
          <cell r="C10962">
            <v>1.8990230986944217</v>
          </cell>
        </row>
      </sheetData>
      <sheetData sheetId="1"/>
      <sheetData sheetId="2"/>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0000"/>
    <pageSetUpPr fitToPage="1"/>
  </sheetPr>
  <dimension ref="A1:Y1676"/>
  <sheetViews>
    <sheetView tabSelected="1" topLeftCell="C1" zoomScale="85" zoomScaleNormal="80" workbookViewId="0">
      <pane ySplit="2" topLeftCell="A33" activePane="bottomLeft" state="frozen"/>
      <selection activeCell="C1" sqref="C1"/>
      <selection pane="bottomLeft" activeCell="H18" sqref="H18"/>
    </sheetView>
  </sheetViews>
  <sheetFormatPr defaultColWidth="8.77734375" defaultRowHeight="15.6"/>
  <cols>
    <col min="1" max="1" width="53.44140625" style="3" customWidth="1"/>
    <col min="2" max="2" width="17.33203125" style="2" customWidth="1"/>
    <col min="3" max="3" width="18.109375" style="2" customWidth="1"/>
    <col min="4" max="4" width="25.6640625" style="68" customWidth="1"/>
    <col min="5" max="5" width="17.6640625" style="2" customWidth="1"/>
    <col min="6" max="6" width="23.77734375" style="2" customWidth="1"/>
    <col min="7" max="7" width="23.44140625" style="2" customWidth="1"/>
    <col min="8" max="8" width="74.44140625" style="2" customWidth="1"/>
    <col min="9" max="9" width="23.6640625" style="2" customWidth="1"/>
    <col min="10" max="10" width="15" style="2" customWidth="1"/>
    <col min="11" max="11" width="32.109375" style="2" customWidth="1"/>
    <col min="12" max="12" width="19" style="2" customWidth="1"/>
    <col min="13" max="13" width="29.109375" style="2" customWidth="1"/>
    <col min="14" max="14" width="28.77734375" style="2" customWidth="1"/>
    <col min="15" max="15" width="18.44140625" style="2" customWidth="1"/>
    <col min="16" max="16" width="21.6640625" style="2" bestFit="1" customWidth="1"/>
    <col min="17" max="17" width="15.109375" style="2" bestFit="1" customWidth="1"/>
    <col min="18" max="18" width="21.109375" style="2" bestFit="1" customWidth="1"/>
    <col min="19" max="19" width="13" style="2" bestFit="1" customWidth="1"/>
    <col min="20" max="20" width="18.77734375" style="2" bestFit="1" customWidth="1"/>
    <col min="21" max="21" width="12" style="2" customWidth="1"/>
    <col min="22" max="23" width="10.44140625" style="2" customWidth="1"/>
    <col min="24" max="24" width="18" style="2" bestFit="1" customWidth="1"/>
    <col min="25" max="25" width="19.6640625" style="2" bestFit="1" customWidth="1"/>
    <col min="26" max="16384" width="8.77734375" style="2"/>
  </cols>
  <sheetData>
    <row r="1" spans="1:25" s="64" customFormat="1">
      <c r="A1" s="70" t="s">
        <v>17486</v>
      </c>
      <c r="B1" s="70"/>
      <c r="C1" s="70"/>
      <c r="D1" s="70"/>
      <c r="E1" s="70"/>
      <c r="F1" s="70"/>
      <c r="G1" s="70"/>
      <c r="H1" s="70"/>
      <c r="I1" s="70" t="s">
        <v>17487</v>
      </c>
      <c r="J1" s="70"/>
      <c r="K1" s="70"/>
      <c r="L1" s="70"/>
      <c r="M1" s="70"/>
      <c r="N1" s="70"/>
      <c r="O1" s="70" t="s">
        <v>17485</v>
      </c>
      <c r="P1" s="70"/>
      <c r="Q1" s="70"/>
      <c r="R1" s="70"/>
      <c r="S1" s="70"/>
      <c r="T1" s="70"/>
      <c r="U1" s="70" t="s">
        <v>17484</v>
      </c>
      <c r="V1" s="70"/>
      <c r="W1" s="70"/>
      <c r="X1" s="70"/>
      <c r="Y1" s="70"/>
    </row>
    <row r="2" spans="1:25" s="64" customFormat="1">
      <c r="A2" s="65" t="s">
        <v>4770</v>
      </c>
      <c r="B2" s="64" t="s">
        <v>17425</v>
      </c>
      <c r="C2" s="64" t="s">
        <v>17426</v>
      </c>
      <c r="D2" s="12" t="s">
        <v>17427</v>
      </c>
      <c r="E2" s="64" t="s">
        <v>17428</v>
      </c>
      <c r="F2" s="64" t="s">
        <v>17429</v>
      </c>
      <c r="G2" s="64" t="s">
        <v>17424</v>
      </c>
      <c r="H2" s="64" t="s">
        <v>0</v>
      </c>
      <c r="I2" s="64" t="s">
        <v>1</v>
      </c>
      <c r="J2" s="64" t="s">
        <v>3</v>
      </c>
      <c r="K2" s="64" t="s">
        <v>4777</v>
      </c>
      <c r="L2" s="64" t="s">
        <v>2</v>
      </c>
      <c r="M2" s="64" t="s">
        <v>4771</v>
      </c>
      <c r="N2" s="64" t="s">
        <v>4778</v>
      </c>
      <c r="O2" s="64" t="s">
        <v>17481</v>
      </c>
      <c r="P2" s="64" t="s">
        <v>16960</v>
      </c>
      <c r="Q2" s="64" t="s">
        <v>17482</v>
      </c>
      <c r="R2" s="64" t="s">
        <v>16961</v>
      </c>
      <c r="S2" s="64" t="s">
        <v>17483</v>
      </c>
      <c r="T2" s="64" t="s">
        <v>16962</v>
      </c>
      <c r="U2" s="64" t="s">
        <v>2628</v>
      </c>
      <c r="V2" s="64" t="s">
        <v>2629</v>
      </c>
      <c r="W2" s="64" t="s">
        <v>2630</v>
      </c>
      <c r="X2" s="64" t="s">
        <v>4779</v>
      </c>
      <c r="Y2" s="64" t="s">
        <v>17491</v>
      </c>
    </row>
    <row r="3" spans="1:25" hidden="1">
      <c r="A3" s="3" t="s">
        <v>3458</v>
      </c>
      <c r="B3" s="2" t="s">
        <v>2419</v>
      </c>
      <c r="D3" s="28" t="s">
        <v>17328</v>
      </c>
      <c r="E3" s="2">
        <v>2008</v>
      </c>
      <c r="F3" s="2" t="s">
        <v>36</v>
      </c>
      <c r="G3" s="2" t="s">
        <v>27</v>
      </c>
      <c r="H3" s="2" t="s">
        <v>1725</v>
      </c>
      <c r="I3" s="2" t="s">
        <v>2288</v>
      </c>
      <c r="J3" s="2" t="s">
        <v>29</v>
      </c>
      <c r="K3" s="2" t="s">
        <v>42</v>
      </c>
      <c r="L3" s="2" t="s">
        <v>28</v>
      </c>
      <c r="M3" s="2">
        <v>292</v>
      </c>
      <c r="N3" s="2" t="s">
        <v>9</v>
      </c>
      <c r="T3" s="2" t="s">
        <v>16963</v>
      </c>
      <c r="W3" s="67" t="s">
        <v>2627</v>
      </c>
    </row>
    <row r="4" spans="1:25" hidden="1">
      <c r="A4" s="3" t="s">
        <v>3562</v>
      </c>
      <c r="B4" s="2" t="s">
        <v>2064</v>
      </c>
      <c r="D4" s="66" t="s">
        <v>16969</v>
      </c>
      <c r="E4" s="2">
        <v>2013</v>
      </c>
      <c r="F4" s="2" t="s">
        <v>17044</v>
      </c>
      <c r="G4" s="2" t="s">
        <v>2295</v>
      </c>
      <c r="H4" s="2" t="s">
        <v>2313</v>
      </c>
      <c r="I4" s="2" t="s">
        <v>10</v>
      </c>
      <c r="J4" s="2" t="s">
        <v>59</v>
      </c>
      <c r="K4" s="2" t="s">
        <v>68</v>
      </c>
      <c r="L4" s="2" t="s">
        <v>58</v>
      </c>
      <c r="M4" s="2">
        <v>6</v>
      </c>
      <c r="N4" s="2" t="s">
        <v>18</v>
      </c>
      <c r="T4" s="2" t="s">
        <v>16963</v>
      </c>
      <c r="V4" s="67" t="s">
        <v>2627</v>
      </c>
    </row>
    <row r="5" spans="1:25" hidden="1">
      <c r="A5" s="3" t="s">
        <v>3538</v>
      </c>
      <c r="B5" s="2" t="s">
        <v>2065</v>
      </c>
      <c r="D5" s="1" t="s">
        <v>16970</v>
      </c>
      <c r="E5" s="2">
        <v>2013</v>
      </c>
      <c r="F5" s="2" t="s">
        <v>17044</v>
      </c>
      <c r="G5" s="2" t="s">
        <v>2295</v>
      </c>
      <c r="H5" s="2" t="s">
        <v>2313</v>
      </c>
      <c r="I5" s="2" t="s">
        <v>2288</v>
      </c>
      <c r="J5" s="2" t="s">
        <v>20</v>
      </c>
      <c r="K5" s="2" t="s">
        <v>4691</v>
      </c>
      <c r="L5" s="2" t="s">
        <v>19</v>
      </c>
      <c r="M5" s="2">
        <v>9</v>
      </c>
      <c r="N5" s="2" t="s">
        <v>21</v>
      </c>
      <c r="T5" s="2" t="s">
        <v>16964</v>
      </c>
    </row>
    <row r="6" spans="1:25" hidden="1">
      <c r="A6" s="3" t="s">
        <v>3074</v>
      </c>
      <c r="B6" s="2" t="s">
        <v>2066</v>
      </c>
      <c r="D6" s="1" t="s">
        <v>16971</v>
      </c>
      <c r="E6" s="2">
        <v>2013</v>
      </c>
      <c r="F6" s="2" t="s">
        <v>17044</v>
      </c>
      <c r="G6" s="2" t="s">
        <v>2295</v>
      </c>
      <c r="H6" s="2" t="s">
        <v>2313</v>
      </c>
      <c r="I6" s="2" t="s">
        <v>2288</v>
      </c>
      <c r="J6" s="2" t="s">
        <v>782</v>
      </c>
      <c r="K6" s="2" t="s">
        <v>4483</v>
      </c>
      <c r="L6" s="2" t="s">
        <v>55</v>
      </c>
      <c r="M6" s="2">
        <v>11</v>
      </c>
      <c r="N6" s="2" t="s">
        <v>9</v>
      </c>
      <c r="T6" s="2" t="s">
        <v>16964</v>
      </c>
    </row>
    <row r="7" spans="1:25" hidden="1">
      <c r="A7" s="3" t="s">
        <v>3368</v>
      </c>
      <c r="B7" s="2" t="s">
        <v>2067</v>
      </c>
      <c r="D7" s="1" t="s">
        <v>16972</v>
      </c>
      <c r="E7" s="2">
        <v>2013</v>
      </c>
      <c r="F7" s="2" t="s">
        <v>17044</v>
      </c>
      <c r="G7" s="2" t="s">
        <v>2295</v>
      </c>
      <c r="H7" s="2" t="s">
        <v>2313</v>
      </c>
      <c r="I7" s="2" t="s">
        <v>2288</v>
      </c>
      <c r="J7" s="2" t="s">
        <v>29</v>
      </c>
      <c r="K7" s="2" t="s">
        <v>66</v>
      </c>
      <c r="L7" s="2" t="s">
        <v>28</v>
      </c>
      <c r="M7" s="2">
        <v>8</v>
      </c>
      <c r="N7" s="2" t="s">
        <v>9</v>
      </c>
      <c r="T7" s="2" t="s">
        <v>16964</v>
      </c>
    </row>
    <row r="8" spans="1:25" hidden="1">
      <c r="A8" s="3" t="s">
        <v>3792</v>
      </c>
      <c r="B8" s="2" t="s">
        <v>2068</v>
      </c>
      <c r="D8" s="1" t="s">
        <v>16973</v>
      </c>
      <c r="E8" s="2">
        <v>2013</v>
      </c>
      <c r="F8" s="2" t="s">
        <v>17044</v>
      </c>
      <c r="G8" s="2" t="s">
        <v>2295</v>
      </c>
      <c r="H8" s="2" t="s">
        <v>2313</v>
      </c>
      <c r="I8" s="2" t="s">
        <v>10</v>
      </c>
      <c r="J8" s="2" t="s">
        <v>17</v>
      </c>
      <c r="K8" s="2" t="s">
        <v>4547</v>
      </c>
      <c r="L8" s="2" t="s">
        <v>16</v>
      </c>
      <c r="M8" s="2">
        <v>2</v>
      </c>
      <c r="N8" s="2" t="s">
        <v>18</v>
      </c>
      <c r="T8" s="2" t="s">
        <v>16964</v>
      </c>
    </row>
    <row r="9" spans="1:25" hidden="1">
      <c r="A9" s="3" t="s">
        <v>3793</v>
      </c>
      <c r="B9" s="2" t="s">
        <v>2069</v>
      </c>
      <c r="D9" s="1" t="s">
        <v>16974</v>
      </c>
      <c r="E9" s="2">
        <v>2013</v>
      </c>
      <c r="F9" s="2" t="s">
        <v>17044</v>
      </c>
      <c r="G9" s="2" t="s">
        <v>2295</v>
      </c>
      <c r="H9" s="2" t="s">
        <v>2313</v>
      </c>
      <c r="I9" s="2" t="s">
        <v>10</v>
      </c>
      <c r="J9" s="2" t="s">
        <v>17</v>
      </c>
      <c r="K9" s="2" t="s">
        <v>4547</v>
      </c>
      <c r="L9" s="2" t="s">
        <v>16</v>
      </c>
      <c r="M9" s="2">
        <v>2</v>
      </c>
      <c r="N9" s="2" t="s">
        <v>18</v>
      </c>
      <c r="T9" s="2" t="s">
        <v>16964</v>
      </c>
    </row>
    <row r="10" spans="1:25" hidden="1">
      <c r="A10" s="3" t="s">
        <v>3660</v>
      </c>
      <c r="B10" s="2" t="s">
        <v>2070</v>
      </c>
      <c r="D10" s="1" t="s">
        <v>16975</v>
      </c>
      <c r="E10" s="2">
        <v>2013</v>
      </c>
      <c r="F10" s="2" t="s">
        <v>17044</v>
      </c>
      <c r="G10" s="2" t="s">
        <v>2295</v>
      </c>
      <c r="H10" s="2" t="s">
        <v>2313</v>
      </c>
      <c r="I10" s="2" t="s">
        <v>10</v>
      </c>
      <c r="J10" s="2" t="s">
        <v>35</v>
      </c>
      <c r="K10" s="2" t="s">
        <v>4649</v>
      </c>
      <c r="L10" s="2" t="s">
        <v>34</v>
      </c>
      <c r="M10" s="2">
        <v>5</v>
      </c>
      <c r="N10" s="2" t="s">
        <v>14</v>
      </c>
      <c r="T10" s="2" t="s">
        <v>16964</v>
      </c>
    </row>
    <row r="11" spans="1:25" hidden="1">
      <c r="A11" s="3" t="s">
        <v>3263</v>
      </c>
      <c r="B11" s="2" t="s">
        <v>2071</v>
      </c>
      <c r="D11" s="1" t="s">
        <v>16976</v>
      </c>
      <c r="E11" s="2">
        <v>2014</v>
      </c>
      <c r="F11" s="2" t="s">
        <v>17044</v>
      </c>
      <c r="G11" s="2" t="s">
        <v>2295</v>
      </c>
      <c r="H11" s="2" t="s">
        <v>2313</v>
      </c>
      <c r="I11" s="2" t="s">
        <v>2288</v>
      </c>
      <c r="J11" s="2" t="s">
        <v>8</v>
      </c>
      <c r="K11" s="2" t="s">
        <v>90</v>
      </c>
      <c r="L11" s="2" t="s">
        <v>7</v>
      </c>
      <c r="M11" s="2">
        <v>121</v>
      </c>
      <c r="N11" s="2" t="s">
        <v>9</v>
      </c>
      <c r="T11" s="2" t="s">
        <v>16963</v>
      </c>
      <c r="X11" s="67" t="s">
        <v>4722</v>
      </c>
    </row>
    <row r="12" spans="1:25" hidden="1">
      <c r="A12" s="3" t="s">
        <v>3332</v>
      </c>
      <c r="B12" s="2" t="s">
        <v>2072</v>
      </c>
      <c r="D12" s="1" t="s">
        <v>16977</v>
      </c>
      <c r="E12" s="2">
        <v>2014</v>
      </c>
      <c r="F12" s="2" t="s">
        <v>17044</v>
      </c>
      <c r="G12" s="2" t="s">
        <v>2295</v>
      </c>
      <c r="H12" s="2" t="s">
        <v>2313</v>
      </c>
      <c r="I12" s="2" t="s">
        <v>2288</v>
      </c>
      <c r="J12" s="2" t="s">
        <v>29</v>
      </c>
      <c r="K12" s="2" t="s">
        <v>4680</v>
      </c>
      <c r="L12" s="2" t="s">
        <v>28</v>
      </c>
      <c r="M12" s="2">
        <v>8</v>
      </c>
      <c r="N12" s="2" t="s">
        <v>9</v>
      </c>
      <c r="T12" s="2" t="s">
        <v>16964</v>
      </c>
    </row>
    <row r="13" spans="1:25" hidden="1">
      <c r="A13" s="3" t="s">
        <v>3647</v>
      </c>
      <c r="B13" s="2" t="s">
        <v>2073</v>
      </c>
      <c r="D13" s="1" t="s">
        <v>16978</v>
      </c>
      <c r="E13" s="2">
        <v>2014</v>
      </c>
      <c r="F13" s="2" t="s">
        <v>17044</v>
      </c>
      <c r="G13" s="2" t="s">
        <v>2295</v>
      </c>
      <c r="H13" s="2" t="s">
        <v>2313</v>
      </c>
      <c r="I13" s="2" t="s">
        <v>10</v>
      </c>
      <c r="J13" s="2" t="s">
        <v>17</v>
      </c>
      <c r="K13" s="2" t="s">
        <v>4548</v>
      </c>
      <c r="L13" s="2" t="s">
        <v>16</v>
      </c>
      <c r="M13" s="2">
        <v>2</v>
      </c>
      <c r="N13" s="2" t="s">
        <v>18</v>
      </c>
      <c r="T13" s="2" t="s">
        <v>16964</v>
      </c>
    </row>
    <row r="14" spans="1:25" hidden="1">
      <c r="A14" s="3" t="s">
        <v>4086</v>
      </c>
      <c r="B14" s="2" t="s">
        <v>2074</v>
      </c>
      <c r="D14" s="1" t="s">
        <v>16979</v>
      </c>
      <c r="E14" s="2">
        <v>2011</v>
      </c>
      <c r="F14" s="2" t="s">
        <v>17044</v>
      </c>
      <c r="G14" s="2" t="s">
        <v>2295</v>
      </c>
      <c r="H14" s="2" t="s">
        <v>2313</v>
      </c>
      <c r="I14" s="2" t="s">
        <v>10</v>
      </c>
      <c r="J14" s="2" t="s">
        <v>12</v>
      </c>
      <c r="K14" s="2" t="s">
        <v>4593</v>
      </c>
      <c r="L14" s="2" t="s">
        <v>11</v>
      </c>
      <c r="M14" s="2">
        <v>3</v>
      </c>
      <c r="N14" s="2" t="s">
        <v>14</v>
      </c>
      <c r="T14" s="2" t="s">
        <v>16964</v>
      </c>
    </row>
    <row r="15" spans="1:25" hidden="1">
      <c r="A15" s="3" t="s">
        <v>3412</v>
      </c>
      <c r="B15" s="2" t="s">
        <v>2075</v>
      </c>
      <c r="D15" s="1" t="s">
        <v>16980</v>
      </c>
      <c r="E15" s="2">
        <v>2014</v>
      </c>
      <c r="F15" s="2" t="s">
        <v>17044</v>
      </c>
      <c r="G15" s="2" t="s">
        <v>2295</v>
      </c>
      <c r="H15" s="2" t="s">
        <v>2313</v>
      </c>
      <c r="I15" s="2" t="s">
        <v>2288</v>
      </c>
      <c r="J15" s="2" t="s">
        <v>20</v>
      </c>
      <c r="K15" s="2" t="s">
        <v>4692</v>
      </c>
      <c r="L15" s="2" t="s">
        <v>19</v>
      </c>
      <c r="M15" s="2">
        <v>9</v>
      </c>
      <c r="N15" s="2" t="s">
        <v>21</v>
      </c>
      <c r="T15" s="2" t="s">
        <v>16964</v>
      </c>
    </row>
    <row r="16" spans="1:25" hidden="1">
      <c r="A16" s="3" t="s">
        <v>3411</v>
      </c>
      <c r="B16" s="2" t="s">
        <v>2076</v>
      </c>
      <c r="D16" s="1" t="s">
        <v>16981</v>
      </c>
      <c r="E16" s="2">
        <v>2014</v>
      </c>
      <c r="F16" s="2" t="s">
        <v>17044</v>
      </c>
      <c r="G16" s="2" t="s">
        <v>2295</v>
      </c>
      <c r="H16" s="2" t="s">
        <v>2313</v>
      </c>
      <c r="I16" s="2" t="s">
        <v>2288</v>
      </c>
      <c r="J16" s="2" t="s">
        <v>20</v>
      </c>
      <c r="K16" s="2" t="s">
        <v>4692</v>
      </c>
      <c r="L16" s="2" t="s">
        <v>19</v>
      </c>
      <c r="M16" s="2">
        <v>9</v>
      </c>
      <c r="N16" s="2" t="s">
        <v>21</v>
      </c>
      <c r="T16" s="2" t="s">
        <v>16964</v>
      </c>
    </row>
    <row r="17" spans="1:24">
      <c r="A17" s="3" t="s">
        <v>3460</v>
      </c>
      <c r="B17" s="2">
        <v>4470</v>
      </c>
      <c r="D17" s="66" t="str">
        <f>VLOOKUP("*"&amp;A17&amp;"*",[2]Sheet1!$G$2:$X$1155,18,FALSE)</f>
        <v>ERR10611899</v>
      </c>
      <c r="E17" s="2" t="s">
        <v>118</v>
      </c>
      <c r="F17" s="2" t="s">
        <v>2573</v>
      </c>
      <c r="G17" s="2" t="s">
        <v>118</v>
      </c>
      <c r="I17" s="2" t="s">
        <v>6</v>
      </c>
      <c r="J17" s="2" t="s">
        <v>29</v>
      </c>
      <c r="K17" s="2" t="s">
        <v>1393</v>
      </c>
      <c r="L17" s="2" t="s">
        <v>28</v>
      </c>
      <c r="M17" s="2">
        <v>8</v>
      </c>
      <c r="N17" s="2" t="s">
        <v>9</v>
      </c>
      <c r="T17" s="2" t="s">
        <v>16964</v>
      </c>
    </row>
    <row r="18" spans="1:24">
      <c r="A18" s="3" t="s">
        <v>2793</v>
      </c>
      <c r="B18" s="2" t="s">
        <v>1394</v>
      </c>
      <c r="D18" s="66" t="str">
        <f>VLOOKUP("*"&amp;A18&amp;"*",[2]Sheet1!$G$2:$X$1155,18,FALSE)</f>
        <v>ERR10611861</v>
      </c>
      <c r="E18" s="2" t="s">
        <v>118</v>
      </c>
      <c r="F18" s="2" t="s">
        <v>2573</v>
      </c>
      <c r="G18" s="2" t="s">
        <v>118</v>
      </c>
      <c r="I18" s="2" t="s">
        <v>6</v>
      </c>
      <c r="J18" s="2" t="s">
        <v>24</v>
      </c>
      <c r="K18" s="2" t="s">
        <v>1395</v>
      </c>
      <c r="L18" s="2" t="s">
        <v>23</v>
      </c>
      <c r="M18" s="2">
        <v>14</v>
      </c>
      <c r="N18" s="2" t="s">
        <v>9</v>
      </c>
      <c r="T18" s="2" t="s">
        <v>16964</v>
      </c>
    </row>
    <row r="19" spans="1:24">
      <c r="A19" s="3" t="s">
        <v>3166</v>
      </c>
      <c r="B19" s="2" t="s">
        <v>1396</v>
      </c>
      <c r="D19" s="66" t="str">
        <f>VLOOKUP("*"&amp;A19&amp;"*",[2]Sheet1!$G$2:$X$1155,18,FALSE)</f>
        <v>ERR10611884</v>
      </c>
      <c r="E19" s="2" t="s">
        <v>118</v>
      </c>
      <c r="F19" s="2" t="s">
        <v>2573</v>
      </c>
      <c r="G19" s="2" t="s">
        <v>118</v>
      </c>
      <c r="I19" s="2" t="s">
        <v>6</v>
      </c>
      <c r="J19" s="2" t="s">
        <v>26</v>
      </c>
      <c r="K19" s="2" t="s">
        <v>1397</v>
      </c>
      <c r="L19" s="2" t="s">
        <v>25</v>
      </c>
      <c r="M19" s="2">
        <v>101</v>
      </c>
      <c r="N19" s="2" t="s">
        <v>9</v>
      </c>
      <c r="T19" s="2" t="s">
        <v>16964</v>
      </c>
    </row>
    <row r="20" spans="1:24">
      <c r="A20" s="3" t="s">
        <v>3343</v>
      </c>
      <c r="B20" s="2" t="s">
        <v>1398</v>
      </c>
      <c r="D20" s="66" t="str">
        <f>VLOOKUP("*"&amp;A20&amp;"*",[2]Sheet1!$G$2:$X$1155,18,FALSE)</f>
        <v>ERR10611856</v>
      </c>
      <c r="E20" s="2" t="s">
        <v>118</v>
      </c>
      <c r="F20" s="2" t="s">
        <v>2573</v>
      </c>
      <c r="G20" s="2" t="s">
        <v>118</v>
      </c>
      <c r="I20" s="2" t="s">
        <v>6</v>
      </c>
      <c r="J20" s="2" t="s">
        <v>29</v>
      </c>
      <c r="K20" s="2" t="s">
        <v>439</v>
      </c>
      <c r="L20" s="2" t="s">
        <v>28</v>
      </c>
      <c r="M20" s="2">
        <v>8</v>
      </c>
      <c r="N20" s="2" t="s">
        <v>9</v>
      </c>
      <c r="T20" s="2" t="s">
        <v>16964</v>
      </c>
    </row>
    <row r="21" spans="1:24">
      <c r="A21" s="3" t="s">
        <v>2949</v>
      </c>
      <c r="B21" s="2" t="s">
        <v>1399</v>
      </c>
      <c r="D21" s="66" t="str">
        <f>VLOOKUP("*"&amp;A21&amp;"*",[2]Sheet1!$G$2:$X$1155,18,FALSE)</f>
        <v>ERR10611893</v>
      </c>
      <c r="E21" s="2" t="s">
        <v>118</v>
      </c>
      <c r="F21" s="2" t="s">
        <v>2573</v>
      </c>
      <c r="G21" s="2" t="s">
        <v>118</v>
      </c>
      <c r="I21" s="2" t="s">
        <v>6</v>
      </c>
      <c r="J21" s="2" t="s">
        <v>8</v>
      </c>
      <c r="K21" s="2" t="s">
        <v>1400</v>
      </c>
      <c r="L21" s="2" t="s">
        <v>7</v>
      </c>
      <c r="M21" s="2">
        <v>121</v>
      </c>
      <c r="N21" s="2" t="s">
        <v>9</v>
      </c>
      <c r="T21" s="2" t="s">
        <v>16963</v>
      </c>
      <c r="X21" s="67" t="s">
        <v>4722</v>
      </c>
    </row>
    <row r="22" spans="1:24">
      <c r="A22" s="3" t="s">
        <v>3287</v>
      </c>
      <c r="B22" s="2" t="s">
        <v>1401</v>
      </c>
      <c r="D22" s="66" t="str">
        <f>VLOOKUP("*"&amp;A22&amp;"*",[2]Sheet1!$G$2:$X$1155,18,FALSE)</f>
        <v>ERR10611917</v>
      </c>
      <c r="E22" s="2" t="s">
        <v>118</v>
      </c>
      <c r="F22" s="2" t="s">
        <v>2573</v>
      </c>
      <c r="G22" s="2" t="s">
        <v>118</v>
      </c>
      <c r="I22" s="2" t="s">
        <v>6</v>
      </c>
      <c r="J22" s="2" t="s">
        <v>26</v>
      </c>
      <c r="K22" s="2" t="s">
        <v>1397</v>
      </c>
      <c r="L22" s="2" t="s">
        <v>25</v>
      </c>
      <c r="M22" s="2">
        <v>101</v>
      </c>
      <c r="N22" s="2" t="s">
        <v>9</v>
      </c>
      <c r="T22" s="2" t="s">
        <v>16964</v>
      </c>
    </row>
    <row r="23" spans="1:24">
      <c r="A23" s="3" t="s">
        <v>4073</v>
      </c>
      <c r="B23" s="2" t="s">
        <v>1402</v>
      </c>
      <c r="D23" s="66" t="str">
        <f>VLOOKUP("*"&amp;A23&amp;"*",[2]Sheet1!$G$2:$X$1155,18,FALSE)</f>
        <v>ERR10611887</v>
      </c>
      <c r="E23" s="2" t="s">
        <v>118</v>
      </c>
      <c r="F23" s="2" t="s">
        <v>2573</v>
      </c>
      <c r="G23" s="2" t="s">
        <v>118</v>
      </c>
      <c r="I23" s="2" t="s">
        <v>6</v>
      </c>
      <c r="J23" s="2" t="s">
        <v>102</v>
      </c>
      <c r="K23" s="2" t="s">
        <v>1403</v>
      </c>
      <c r="L23" s="2" t="s">
        <v>101</v>
      </c>
      <c r="M23" s="2">
        <v>7</v>
      </c>
      <c r="N23" s="2" t="s">
        <v>9</v>
      </c>
      <c r="T23" s="2" t="s">
        <v>16964</v>
      </c>
    </row>
    <row r="24" spans="1:24">
      <c r="A24" s="3" t="s">
        <v>3211</v>
      </c>
      <c r="B24" s="2" t="s">
        <v>1404</v>
      </c>
      <c r="D24" s="66" t="str">
        <f>VLOOKUP("*"&amp;A24&amp;"*",[2]Sheet1!$G$2:$X$1155,18,FALSE)</f>
        <v>ERR10611879</v>
      </c>
      <c r="E24" s="2" t="s">
        <v>118</v>
      </c>
      <c r="F24" s="2" t="s">
        <v>2573</v>
      </c>
      <c r="G24" s="2" t="s">
        <v>118</v>
      </c>
      <c r="I24" s="2" t="s">
        <v>6</v>
      </c>
      <c r="J24" s="2" t="s">
        <v>29</v>
      </c>
      <c r="K24" s="2" t="s">
        <v>1405</v>
      </c>
      <c r="L24" s="2" t="s">
        <v>28</v>
      </c>
      <c r="M24" s="2">
        <v>8</v>
      </c>
      <c r="N24" s="2" t="s">
        <v>9</v>
      </c>
      <c r="T24" s="2" t="s">
        <v>16964</v>
      </c>
    </row>
    <row r="25" spans="1:24">
      <c r="A25" s="3" t="s">
        <v>3029</v>
      </c>
      <c r="B25" s="2" t="s">
        <v>1406</v>
      </c>
      <c r="D25" s="66" t="str">
        <f>VLOOKUP("*"&amp;A25&amp;"*",[2]Sheet1!$G$2:$X$1155,18,FALSE)</f>
        <v>ERR10611882</v>
      </c>
      <c r="E25" s="2" t="s">
        <v>118</v>
      </c>
      <c r="F25" s="2" t="s">
        <v>2573</v>
      </c>
      <c r="G25" s="2" t="s">
        <v>118</v>
      </c>
      <c r="I25" s="2" t="s">
        <v>6</v>
      </c>
      <c r="J25" s="2" t="s">
        <v>8</v>
      </c>
      <c r="K25" s="2" t="s">
        <v>22</v>
      </c>
      <c r="L25" s="2" t="s">
        <v>7</v>
      </c>
      <c r="M25" s="2">
        <v>121</v>
      </c>
      <c r="N25" s="2" t="s">
        <v>9</v>
      </c>
      <c r="T25" s="2" t="s">
        <v>16964</v>
      </c>
    </row>
    <row r="26" spans="1:24">
      <c r="A26" s="3" t="s">
        <v>2785</v>
      </c>
      <c r="B26" s="2" t="s">
        <v>1407</v>
      </c>
      <c r="D26" s="66" t="str">
        <f>VLOOKUP("*"&amp;A26&amp;"*",[2]Sheet1!$G$2:$X$1155,18,FALSE)</f>
        <v>ERR10611907</v>
      </c>
      <c r="E26" s="2" t="s">
        <v>118</v>
      </c>
      <c r="F26" s="2" t="s">
        <v>2573</v>
      </c>
      <c r="G26" s="2" t="s">
        <v>118</v>
      </c>
      <c r="I26" s="2" t="s">
        <v>6</v>
      </c>
      <c r="J26" s="2" t="s">
        <v>108</v>
      </c>
      <c r="K26" s="2" t="s">
        <v>109</v>
      </c>
      <c r="L26" s="2" t="s">
        <v>107</v>
      </c>
      <c r="M26" s="2">
        <v>193</v>
      </c>
      <c r="N26" s="2" t="s">
        <v>9</v>
      </c>
      <c r="T26" s="2" t="s">
        <v>16963</v>
      </c>
      <c r="X26" s="67" t="s">
        <v>4722</v>
      </c>
    </row>
    <row r="27" spans="1:24">
      <c r="A27" s="3" t="s">
        <v>2947</v>
      </c>
      <c r="B27" s="2" t="s">
        <v>1408</v>
      </c>
      <c r="D27" s="66" t="str">
        <f>VLOOKUP("*"&amp;A27&amp;"*",[2]Sheet1!$G$2:$X$1155,18,FALSE)</f>
        <v>ERR10611865</v>
      </c>
      <c r="E27" s="2" t="s">
        <v>118</v>
      </c>
      <c r="F27" s="2" t="s">
        <v>2573</v>
      </c>
      <c r="G27" s="2" t="s">
        <v>118</v>
      </c>
      <c r="I27" s="2" t="s">
        <v>6</v>
      </c>
      <c r="J27" s="2" t="s">
        <v>8</v>
      </c>
      <c r="K27" s="2" t="s">
        <v>1400</v>
      </c>
      <c r="L27" s="2" t="s">
        <v>7</v>
      </c>
      <c r="M27" s="2">
        <v>121</v>
      </c>
      <c r="N27" s="2" t="s">
        <v>9</v>
      </c>
      <c r="T27" s="2" t="s">
        <v>16963</v>
      </c>
      <c r="X27" s="67" t="s">
        <v>4722</v>
      </c>
    </row>
    <row r="28" spans="1:24">
      <c r="A28" s="3" t="s">
        <v>3515</v>
      </c>
      <c r="B28" s="2" t="s">
        <v>1409</v>
      </c>
      <c r="D28" s="66" t="str">
        <f>VLOOKUP("*"&amp;A28&amp;"*",[2]Sheet1!$G$2:$X$1155,18,FALSE)</f>
        <v>ERR10611979</v>
      </c>
      <c r="E28" s="2" t="s">
        <v>118</v>
      </c>
      <c r="F28" s="2" t="s">
        <v>2573</v>
      </c>
      <c r="G28" s="2" t="s">
        <v>118</v>
      </c>
      <c r="I28" s="2" t="s">
        <v>6</v>
      </c>
      <c r="J28" s="2" t="s">
        <v>102</v>
      </c>
      <c r="K28" s="2" t="s">
        <v>1410</v>
      </c>
      <c r="L28" s="2" t="s">
        <v>101</v>
      </c>
      <c r="M28" s="2">
        <v>7</v>
      </c>
      <c r="N28" s="2" t="s">
        <v>9</v>
      </c>
      <c r="T28" s="2" t="s">
        <v>16964</v>
      </c>
    </row>
    <row r="29" spans="1:24">
      <c r="A29" s="3" t="s">
        <v>2783</v>
      </c>
      <c r="B29" s="2" t="s">
        <v>1411</v>
      </c>
      <c r="D29" s="66" t="str">
        <f>VLOOKUP("*"&amp;A29&amp;"*",[2]Sheet1!$G$2:$X$1155,18,FALSE)</f>
        <v>ERR10611872</v>
      </c>
      <c r="E29" s="2" t="s">
        <v>118</v>
      </c>
      <c r="F29" s="2" t="s">
        <v>2573</v>
      </c>
      <c r="G29" s="2" t="s">
        <v>118</v>
      </c>
      <c r="I29" s="2" t="s">
        <v>6</v>
      </c>
      <c r="J29" s="2" t="s">
        <v>24</v>
      </c>
      <c r="K29" s="2" t="s">
        <v>1395</v>
      </c>
      <c r="L29" s="2" t="s">
        <v>23</v>
      </c>
      <c r="M29" s="2">
        <v>14</v>
      </c>
      <c r="N29" s="2" t="s">
        <v>9</v>
      </c>
      <c r="T29" s="2" t="s">
        <v>16964</v>
      </c>
    </row>
    <row r="30" spans="1:24" hidden="1">
      <c r="A30" s="3" t="s">
        <v>2930</v>
      </c>
      <c r="B30" s="2" t="s">
        <v>2077</v>
      </c>
      <c r="D30" s="1" t="s">
        <v>16982</v>
      </c>
      <c r="E30" s="2">
        <v>2015</v>
      </c>
      <c r="F30" s="2" t="s">
        <v>17044</v>
      </c>
      <c r="G30" s="2" t="s">
        <v>2295</v>
      </c>
      <c r="H30" s="2" t="s">
        <v>2313</v>
      </c>
      <c r="I30" s="2" t="s">
        <v>10</v>
      </c>
      <c r="J30" s="2" t="s">
        <v>17</v>
      </c>
      <c r="K30" s="2" t="s">
        <v>4549</v>
      </c>
      <c r="L30" s="2" t="s">
        <v>16</v>
      </c>
      <c r="M30" s="2">
        <v>2</v>
      </c>
      <c r="N30" s="2" t="s">
        <v>18</v>
      </c>
      <c r="T30" s="2" t="s">
        <v>16964</v>
      </c>
    </row>
    <row r="31" spans="1:24">
      <c r="A31" s="3" t="s">
        <v>3165</v>
      </c>
      <c r="B31" s="2" t="s">
        <v>1412</v>
      </c>
      <c r="D31" s="66" t="str">
        <f>VLOOKUP("*"&amp;A31&amp;"*",[2]Sheet1!$G$2:$X$1155,18,FALSE)</f>
        <v>ERR10611875</v>
      </c>
      <c r="E31" s="2" t="s">
        <v>118</v>
      </c>
      <c r="F31" s="2" t="s">
        <v>2573</v>
      </c>
      <c r="G31" s="2" t="s">
        <v>118</v>
      </c>
      <c r="I31" s="2" t="s">
        <v>6</v>
      </c>
      <c r="J31" s="2" t="s">
        <v>26</v>
      </c>
      <c r="K31" s="2" t="s">
        <v>1397</v>
      </c>
      <c r="L31" s="2" t="s">
        <v>25</v>
      </c>
      <c r="M31" s="2">
        <v>101</v>
      </c>
      <c r="N31" s="2" t="s">
        <v>9</v>
      </c>
      <c r="T31" s="2" t="s">
        <v>16964</v>
      </c>
    </row>
    <row r="32" spans="1:24">
      <c r="A32" s="3" t="s">
        <v>4085</v>
      </c>
      <c r="B32" s="2" t="s">
        <v>1413</v>
      </c>
      <c r="D32" s="66" t="str">
        <f>VLOOKUP("*"&amp;A32&amp;"*",[2]Sheet1!$G$2:$X$1155,18,FALSE)</f>
        <v>ERR10611902</v>
      </c>
      <c r="E32" s="2" t="s">
        <v>118</v>
      </c>
      <c r="F32" s="2" t="s">
        <v>2573</v>
      </c>
      <c r="G32" s="2" t="s">
        <v>118</v>
      </c>
      <c r="I32" s="2" t="s">
        <v>6</v>
      </c>
      <c r="J32" s="2" t="s">
        <v>20</v>
      </c>
      <c r="K32" s="2" t="s">
        <v>1414</v>
      </c>
      <c r="L32" s="2" t="s">
        <v>19</v>
      </c>
      <c r="M32" s="2">
        <v>9</v>
      </c>
      <c r="N32" s="2" t="s">
        <v>21</v>
      </c>
      <c r="T32" s="2" t="s">
        <v>16964</v>
      </c>
    </row>
    <row r="33" spans="1:24">
      <c r="A33" s="3" t="s">
        <v>2786</v>
      </c>
      <c r="B33" s="2" t="s">
        <v>1415</v>
      </c>
      <c r="D33" s="66" t="str">
        <f>VLOOKUP("*"&amp;A33&amp;"*",[2]Sheet1!$G$2:$X$1155,18,FALSE)</f>
        <v>ERR10611990</v>
      </c>
      <c r="E33" s="2" t="s">
        <v>118</v>
      </c>
      <c r="F33" s="2" t="s">
        <v>2573</v>
      </c>
      <c r="G33" s="2" t="s">
        <v>118</v>
      </c>
      <c r="I33" s="2" t="s">
        <v>6</v>
      </c>
      <c r="J33" s="2" t="s">
        <v>108</v>
      </c>
      <c r="K33" s="2" t="s">
        <v>109</v>
      </c>
      <c r="L33" s="2" t="s">
        <v>107</v>
      </c>
      <c r="M33" s="2">
        <v>193</v>
      </c>
      <c r="N33" s="2" t="s">
        <v>9</v>
      </c>
      <c r="T33" s="2" t="s">
        <v>16964</v>
      </c>
    </row>
    <row r="34" spans="1:24">
      <c r="A34" s="3" t="s">
        <v>4072</v>
      </c>
      <c r="B34" s="2" t="s">
        <v>1416</v>
      </c>
      <c r="D34" s="66" t="str">
        <f>VLOOKUP("*"&amp;A34&amp;"*",[2]Sheet1!$G$2:$X$1155,18,FALSE)</f>
        <v>ERR10611951</v>
      </c>
      <c r="E34" s="2" t="s">
        <v>118</v>
      </c>
      <c r="F34" s="2" t="s">
        <v>2573</v>
      </c>
      <c r="G34" s="2" t="s">
        <v>118</v>
      </c>
      <c r="I34" s="2" t="s">
        <v>6</v>
      </c>
      <c r="J34" s="2" t="s">
        <v>102</v>
      </c>
      <c r="K34" s="2" t="s">
        <v>1403</v>
      </c>
      <c r="L34" s="2" t="s">
        <v>101</v>
      </c>
      <c r="M34" s="2">
        <v>7</v>
      </c>
      <c r="N34" s="2" t="s">
        <v>9</v>
      </c>
      <c r="T34" s="2" t="s">
        <v>16964</v>
      </c>
    </row>
    <row r="35" spans="1:24">
      <c r="A35" s="3" t="s">
        <v>2787</v>
      </c>
      <c r="B35" s="2" t="s">
        <v>1417</v>
      </c>
      <c r="D35" s="66" t="str">
        <f>VLOOKUP("*"&amp;A35&amp;"*",[2]Sheet1!$G$2:$X$1155,18,FALSE)</f>
        <v>ERR10611929</v>
      </c>
      <c r="E35" s="2" t="s">
        <v>118</v>
      </c>
      <c r="F35" s="2" t="s">
        <v>2573</v>
      </c>
      <c r="G35" s="2" t="s">
        <v>118</v>
      </c>
      <c r="I35" s="2" t="s">
        <v>6</v>
      </c>
      <c r="J35" s="2" t="s">
        <v>108</v>
      </c>
      <c r="K35" s="2" t="s">
        <v>109</v>
      </c>
      <c r="L35" s="2" t="s">
        <v>107</v>
      </c>
      <c r="M35" s="2">
        <v>193</v>
      </c>
      <c r="N35" s="2" t="s">
        <v>9</v>
      </c>
      <c r="T35" s="2" t="s">
        <v>16964</v>
      </c>
    </row>
    <row r="36" spans="1:24">
      <c r="A36" s="3" t="s">
        <v>2788</v>
      </c>
      <c r="B36" s="2" t="s">
        <v>1418</v>
      </c>
      <c r="D36" s="66" t="str">
        <f>VLOOKUP("*"&amp;A36&amp;"*",[2]Sheet1!$G$2:$X$1155,18,FALSE)</f>
        <v>ERR10611932</v>
      </c>
      <c r="E36" s="2" t="s">
        <v>118</v>
      </c>
      <c r="F36" s="2" t="s">
        <v>2573</v>
      </c>
      <c r="G36" s="2" t="s">
        <v>118</v>
      </c>
      <c r="I36" s="2" t="s">
        <v>6</v>
      </c>
      <c r="J36" s="2" t="s">
        <v>108</v>
      </c>
      <c r="K36" s="2" t="s">
        <v>109</v>
      </c>
      <c r="L36" s="2" t="s">
        <v>107</v>
      </c>
      <c r="M36" s="2">
        <v>193</v>
      </c>
      <c r="N36" s="2" t="s">
        <v>9</v>
      </c>
      <c r="T36" s="2" t="s">
        <v>16964</v>
      </c>
    </row>
    <row r="37" spans="1:24">
      <c r="A37" s="3" t="s">
        <v>2951</v>
      </c>
      <c r="B37" s="2" t="s">
        <v>1419</v>
      </c>
      <c r="D37" s="66" t="str">
        <f>VLOOKUP("*"&amp;A37&amp;"*",[2]Sheet1!$G$2:$X$1155,18,FALSE)</f>
        <v>ERR10611952</v>
      </c>
      <c r="E37" s="2" t="s">
        <v>118</v>
      </c>
      <c r="F37" s="2" t="s">
        <v>2573</v>
      </c>
      <c r="G37" s="2" t="s">
        <v>118</v>
      </c>
      <c r="I37" s="2" t="s">
        <v>6</v>
      </c>
      <c r="J37" s="2" t="s">
        <v>8</v>
      </c>
      <c r="K37" s="2" t="s">
        <v>1400</v>
      </c>
      <c r="L37" s="2" t="s">
        <v>7</v>
      </c>
      <c r="M37" s="2">
        <v>121</v>
      </c>
      <c r="N37" s="2" t="s">
        <v>9</v>
      </c>
      <c r="T37" s="2" t="s">
        <v>16963</v>
      </c>
      <c r="X37" s="67" t="s">
        <v>4722</v>
      </c>
    </row>
    <row r="38" spans="1:24">
      <c r="A38" s="3" t="s">
        <v>3402</v>
      </c>
      <c r="B38" s="2" t="s">
        <v>1477</v>
      </c>
      <c r="D38" s="66" t="str">
        <f>VLOOKUP("*"&amp;A38&amp;"*",[2]Sheet1!$G$2:$X$1155,18,FALSE)</f>
        <v>ERR10549988</v>
      </c>
      <c r="E38" s="2" t="s">
        <v>118</v>
      </c>
      <c r="F38" s="2" t="s">
        <v>2573</v>
      </c>
      <c r="G38" s="2" t="s">
        <v>118</v>
      </c>
      <c r="I38" s="2" t="s">
        <v>6</v>
      </c>
      <c r="J38" s="2" t="s">
        <v>20</v>
      </c>
      <c r="K38" s="2" t="s">
        <v>141</v>
      </c>
      <c r="L38" s="2" t="s">
        <v>19</v>
      </c>
      <c r="M38" s="2">
        <v>9</v>
      </c>
      <c r="N38" s="2" t="s">
        <v>21</v>
      </c>
      <c r="T38" s="2" t="s">
        <v>16964</v>
      </c>
    </row>
    <row r="39" spans="1:24">
      <c r="A39" s="3" t="s">
        <v>4154</v>
      </c>
      <c r="B39" s="2" t="s">
        <v>2599</v>
      </c>
      <c r="D39" s="1" t="s">
        <v>17305</v>
      </c>
      <c r="E39" s="2">
        <v>2018</v>
      </c>
      <c r="F39" s="2" t="s">
        <v>2573</v>
      </c>
      <c r="G39" s="2" t="s">
        <v>5</v>
      </c>
      <c r="I39" s="2" t="s">
        <v>6</v>
      </c>
      <c r="J39" s="2" t="s">
        <v>40</v>
      </c>
      <c r="K39" s="2" t="s">
        <v>63</v>
      </c>
      <c r="L39" s="2" t="s">
        <v>39</v>
      </c>
      <c r="M39" s="2">
        <v>37</v>
      </c>
      <c r="N39" s="2" t="s">
        <v>9</v>
      </c>
      <c r="T39" s="2" t="s">
        <v>16964</v>
      </c>
    </row>
    <row r="40" spans="1:24">
      <c r="A40" s="3" t="s">
        <v>4060</v>
      </c>
      <c r="B40" s="2" t="s">
        <v>2598</v>
      </c>
      <c r="D40" s="1" t="s">
        <v>17306</v>
      </c>
      <c r="E40" s="2">
        <v>2018</v>
      </c>
      <c r="F40" s="2" t="s">
        <v>2573</v>
      </c>
      <c r="G40" s="2" t="s">
        <v>5</v>
      </c>
      <c r="I40" s="2" t="s">
        <v>10</v>
      </c>
      <c r="J40" s="2" t="s">
        <v>59</v>
      </c>
      <c r="K40" s="2" t="s">
        <v>60</v>
      </c>
      <c r="L40" s="2" t="s">
        <v>58</v>
      </c>
      <c r="M40" s="2">
        <v>6</v>
      </c>
      <c r="N40" s="2" t="s">
        <v>18</v>
      </c>
      <c r="T40" s="2" t="s">
        <v>16964</v>
      </c>
    </row>
    <row r="41" spans="1:24">
      <c r="A41" s="3" t="s">
        <v>4273</v>
      </c>
      <c r="B41" s="2" t="s">
        <v>2597</v>
      </c>
      <c r="D41" s="1" t="s">
        <v>17307</v>
      </c>
      <c r="E41" s="2">
        <v>2018</v>
      </c>
      <c r="F41" s="2" t="s">
        <v>2573</v>
      </c>
      <c r="G41" s="2" t="s">
        <v>5</v>
      </c>
      <c r="I41" s="2" t="s">
        <v>10</v>
      </c>
      <c r="J41" s="2" t="s">
        <v>59</v>
      </c>
      <c r="K41" s="2" t="s">
        <v>60</v>
      </c>
      <c r="L41" s="2" t="s">
        <v>58</v>
      </c>
      <c r="M41" s="2">
        <v>6</v>
      </c>
      <c r="N41" s="2" t="s">
        <v>18</v>
      </c>
      <c r="T41" s="2" t="s">
        <v>16964</v>
      </c>
    </row>
    <row r="42" spans="1:24">
      <c r="A42" s="3" t="s">
        <v>4064</v>
      </c>
      <c r="B42" s="2" t="s">
        <v>2596</v>
      </c>
      <c r="D42" s="1" t="s">
        <v>17308</v>
      </c>
      <c r="E42" s="2">
        <v>2018</v>
      </c>
      <c r="F42" s="2" t="s">
        <v>2573</v>
      </c>
      <c r="G42" s="2" t="s">
        <v>5</v>
      </c>
      <c r="I42" s="2" t="s">
        <v>10</v>
      </c>
      <c r="J42" s="2" t="s">
        <v>59</v>
      </c>
      <c r="K42" s="2" t="s">
        <v>60</v>
      </c>
      <c r="L42" s="2" t="s">
        <v>58</v>
      </c>
      <c r="M42" s="2">
        <v>6</v>
      </c>
      <c r="N42" s="2" t="s">
        <v>18</v>
      </c>
      <c r="T42" s="2" t="s">
        <v>16964</v>
      </c>
    </row>
    <row r="43" spans="1:24">
      <c r="A43" s="3" t="s">
        <v>4274</v>
      </c>
      <c r="B43" s="2" t="s">
        <v>2595</v>
      </c>
      <c r="D43" s="1" t="s">
        <v>17309</v>
      </c>
      <c r="E43" s="2">
        <v>2018</v>
      </c>
      <c r="F43" s="2" t="s">
        <v>2573</v>
      </c>
      <c r="G43" s="2" t="s">
        <v>5</v>
      </c>
      <c r="I43" s="2" t="s">
        <v>10</v>
      </c>
      <c r="J43" s="2" t="s">
        <v>59</v>
      </c>
      <c r="K43" s="2" t="s">
        <v>60</v>
      </c>
      <c r="L43" s="2" t="s">
        <v>58</v>
      </c>
      <c r="M43" s="2">
        <v>6</v>
      </c>
      <c r="N43" s="2" t="s">
        <v>18</v>
      </c>
      <c r="T43" s="2" t="s">
        <v>16964</v>
      </c>
    </row>
    <row r="44" spans="1:24">
      <c r="A44" s="3" t="s">
        <v>3903</v>
      </c>
      <c r="B44" s="2" t="s">
        <v>2594</v>
      </c>
      <c r="D44" s="1" t="s">
        <v>17310</v>
      </c>
      <c r="E44" s="2">
        <v>2018</v>
      </c>
      <c r="F44" s="2" t="s">
        <v>2573</v>
      </c>
      <c r="G44" s="2" t="s">
        <v>5</v>
      </c>
      <c r="I44" s="2" t="s">
        <v>6</v>
      </c>
      <c r="J44" s="2" t="s">
        <v>29</v>
      </c>
      <c r="K44" s="2" t="s">
        <v>62</v>
      </c>
      <c r="L44" s="2" t="s">
        <v>28</v>
      </c>
      <c r="M44" s="2">
        <v>8</v>
      </c>
      <c r="N44" s="2" t="s">
        <v>9</v>
      </c>
      <c r="T44" s="2" t="s">
        <v>16964</v>
      </c>
    </row>
    <row r="45" spans="1:24">
      <c r="A45" s="3" t="s">
        <v>3789</v>
      </c>
      <c r="B45" s="2" t="s">
        <v>2587</v>
      </c>
      <c r="D45" s="1" t="s">
        <v>17311</v>
      </c>
      <c r="E45" s="2">
        <v>2018</v>
      </c>
      <c r="F45" s="2" t="s">
        <v>2573</v>
      </c>
      <c r="G45" s="2" t="s">
        <v>5</v>
      </c>
      <c r="I45" s="2" t="s">
        <v>6</v>
      </c>
      <c r="J45" s="2" t="s">
        <v>20</v>
      </c>
      <c r="K45" s="2" t="s">
        <v>61</v>
      </c>
      <c r="L45" s="2" t="s">
        <v>19</v>
      </c>
      <c r="M45" s="2">
        <v>9</v>
      </c>
      <c r="N45" s="2" t="s">
        <v>21</v>
      </c>
      <c r="T45" s="2" t="s">
        <v>16964</v>
      </c>
    </row>
    <row r="46" spans="1:24">
      <c r="A46" s="3" t="s">
        <v>3798</v>
      </c>
      <c r="B46" s="2" t="s">
        <v>2593</v>
      </c>
      <c r="D46" s="1" t="s">
        <v>17312</v>
      </c>
      <c r="E46" s="2">
        <v>2018</v>
      </c>
      <c r="F46" s="2" t="s">
        <v>2573</v>
      </c>
      <c r="G46" s="2" t="s">
        <v>5</v>
      </c>
      <c r="I46" s="2" t="s">
        <v>10</v>
      </c>
      <c r="J46" s="2" t="s">
        <v>59</v>
      </c>
      <c r="K46" s="2" t="s">
        <v>60</v>
      </c>
      <c r="L46" s="2" t="s">
        <v>58</v>
      </c>
      <c r="M46" s="2">
        <v>6</v>
      </c>
      <c r="N46" s="2" t="s">
        <v>18</v>
      </c>
      <c r="T46" s="2" t="s">
        <v>16964</v>
      </c>
    </row>
    <row r="47" spans="1:24" hidden="1">
      <c r="A47" s="3" t="s">
        <v>2982</v>
      </c>
      <c r="B47" s="2" t="s">
        <v>2078</v>
      </c>
      <c r="D47" s="1" t="s">
        <v>16983</v>
      </c>
      <c r="E47" s="2">
        <v>2015</v>
      </c>
      <c r="F47" s="2" t="s">
        <v>17044</v>
      </c>
      <c r="G47" s="2" t="s">
        <v>2295</v>
      </c>
      <c r="H47" s="2" t="s">
        <v>2313</v>
      </c>
      <c r="I47" s="2" t="s">
        <v>2288</v>
      </c>
      <c r="J47" s="2" t="s">
        <v>8</v>
      </c>
      <c r="K47" s="2" t="s">
        <v>4491</v>
      </c>
      <c r="L47" s="2" t="s">
        <v>7</v>
      </c>
      <c r="M47" s="2">
        <v>121</v>
      </c>
      <c r="N47" s="2" t="s">
        <v>9</v>
      </c>
      <c r="T47" s="2" t="s">
        <v>16963</v>
      </c>
      <c r="X47" s="67" t="s">
        <v>4722</v>
      </c>
    </row>
    <row r="48" spans="1:24" hidden="1">
      <c r="A48" s="3" t="s">
        <v>3568</v>
      </c>
      <c r="B48" s="2" t="s">
        <v>2079</v>
      </c>
      <c r="D48" s="1" t="s">
        <v>16984</v>
      </c>
      <c r="E48" s="2">
        <v>2016</v>
      </c>
      <c r="F48" s="2" t="s">
        <v>17044</v>
      </c>
      <c r="G48" s="2" t="s">
        <v>2295</v>
      </c>
      <c r="H48" s="2" t="s">
        <v>2313</v>
      </c>
      <c r="I48" s="2" t="s">
        <v>10</v>
      </c>
      <c r="J48" s="2" t="s">
        <v>17</v>
      </c>
      <c r="K48" s="2" t="s">
        <v>4550</v>
      </c>
      <c r="L48" s="2" t="s">
        <v>16</v>
      </c>
      <c r="M48" s="2">
        <v>2</v>
      </c>
      <c r="N48" s="2" t="s">
        <v>18</v>
      </c>
      <c r="T48" s="2" t="s">
        <v>16964</v>
      </c>
    </row>
    <row r="49" spans="1:24" hidden="1">
      <c r="A49" s="3" t="s">
        <v>3991</v>
      </c>
      <c r="B49" s="2" t="s">
        <v>2080</v>
      </c>
      <c r="D49" s="1" t="s">
        <v>16985</v>
      </c>
      <c r="E49" s="2">
        <v>2016</v>
      </c>
      <c r="F49" s="2" t="s">
        <v>17044</v>
      </c>
      <c r="G49" s="2" t="s">
        <v>2295</v>
      </c>
      <c r="H49" s="2" t="s">
        <v>2313</v>
      </c>
      <c r="I49" s="2" t="s">
        <v>10</v>
      </c>
      <c r="J49" s="2" t="s">
        <v>187</v>
      </c>
      <c r="K49" s="2" t="s">
        <v>4515</v>
      </c>
      <c r="L49" s="2" t="s">
        <v>186</v>
      </c>
      <c r="M49" s="2">
        <v>330</v>
      </c>
      <c r="N49" s="2" t="s">
        <v>14</v>
      </c>
      <c r="T49" s="2" t="s">
        <v>16964</v>
      </c>
    </row>
    <row r="50" spans="1:24" hidden="1">
      <c r="A50" s="3" t="s">
        <v>3971</v>
      </c>
      <c r="B50" s="2" t="s">
        <v>16968</v>
      </c>
      <c r="D50" s="1" t="s">
        <v>16986</v>
      </c>
      <c r="E50" s="2">
        <v>2017</v>
      </c>
      <c r="F50" s="2" t="s">
        <v>17044</v>
      </c>
      <c r="G50" s="2" t="s">
        <v>2295</v>
      </c>
      <c r="H50" s="2" t="s">
        <v>2313</v>
      </c>
      <c r="I50" s="2" t="s">
        <v>2288</v>
      </c>
      <c r="J50" s="2" t="s">
        <v>56</v>
      </c>
      <c r="K50" s="2" t="s">
        <v>1144</v>
      </c>
      <c r="L50" s="2" t="s">
        <v>55</v>
      </c>
      <c r="M50" s="2">
        <v>451</v>
      </c>
      <c r="N50" s="2" t="s">
        <v>9</v>
      </c>
      <c r="T50" s="2" t="s">
        <v>16964</v>
      </c>
    </row>
    <row r="51" spans="1:24">
      <c r="A51" s="3" t="s">
        <v>4047</v>
      </c>
      <c r="B51" s="2" t="s">
        <v>2605</v>
      </c>
      <c r="D51" s="1" t="s">
        <v>17295</v>
      </c>
      <c r="E51" s="2">
        <v>2017</v>
      </c>
      <c r="F51" s="2" t="s">
        <v>2573</v>
      </c>
      <c r="G51" s="2" t="s">
        <v>5</v>
      </c>
      <c r="I51" s="2" t="s">
        <v>6</v>
      </c>
      <c r="J51" s="2" t="s">
        <v>56</v>
      </c>
      <c r="K51" s="2" t="s">
        <v>72</v>
      </c>
      <c r="L51" s="2" t="s">
        <v>55</v>
      </c>
      <c r="M51" s="2">
        <v>451</v>
      </c>
      <c r="N51" s="2" t="s">
        <v>9</v>
      </c>
      <c r="T51" s="2" t="s">
        <v>16964</v>
      </c>
    </row>
    <row r="52" spans="1:24">
      <c r="A52" s="3" t="s">
        <v>3497</v>
      </c>
      <c r="B52" s="2" t="s">
        <v>2604</v>
      </c>
      <c r="D52" s="1" t="s">
        <v>17296</v>
      </c>
      <c r="E52" s="2">
        <v>2017</v>
      </c>
      <c r="F52" s="2" t="s">
        <v>2573</v>
      </c>
      <c r="G52" s="2" t="s">
        <v>5</v>
      </c>
      <c r="I52" s="2" t="s">
        <v>6</v>
      </c>
      <c r="J52" s="2" t="s">
        <v>29</v>
      </c>
      <c r="K52" s="2" t="s">
        <v>71</v>
      </c>
      <c r="L52" s="2" t="s">
        <v>28</v>
      </c>
      <c r="M52" s="2">
        <v>8</v>
      </c>
      <c r="N52" s="2" t="s">
        <v>9</v>
      </c>
      <c r="T52" s="2" t="s">
        <v>16964</v>
      </c>
    </row>
    <row r="53" spans="1:24">
      <c r="A53" s="3" t="s">
        <v>2996</v>
      </c>
      <c r="B53" s="2" t="s">
        <v>2603</v>
      </c>
      <c r="D53" s="1" t="s">
        <v>17297</v>
      </c>
      <c r="E53" s="2">
        <v>2017</v>
      </c>
      <c r="F53" s="2" t="s">
        <v>2573</v>
      </c>
      <c r="G53" s="2" t="s">
        <v>5</v>
      </c>
      <c r="I53" s="2" t="s">
        <v>6</v>
      </c>
      <c r="J53" s="2" t="s">
        <v>24</v>
      </c>
      <c r="K53" s="2" t="s">
        <v>70</v>
      </c>
      <c r="L53" s="2" t="s">
        <v>23</v>
      </c>
      <c r="M53" s="2">
        <v>14</v>
      </c>
      <c r="N53" s="2" t="s">
        <v>9</v>
      </c>
      <c r="T53" s="2" t="s">
        <v>16964</v>
      </c>
    </row>
    <row r="54" spans="1:24">
      <c r="A54" s="3" t="s">
        <v>3441</v>
      </c>
      <c r="B54" s="2">
        <v>17031763</v>
      </c>
      <c r="D54" s="1" t="s">
        <v>17261</v>
      </c>
      <c r="E54" s="2">
        <v>2017</v>
      </c>
      <c r="F54" s="2" t="s">
        <v>2573</v>
      </c>
      <c r="G54" s="2" t="s">
        <v>5</v>
      </c>
      <c r="I54" s="2" t="s">
        <v>6</v>
      </c>
      <c r="J54" s="2" t="s">
        <v>29</v>
      </c>
      <c r="K54" s="2" t="s">
        <v>69</v>
      </c>
      <c r="L54" s="2" t="s">
        <v>28</v>
      </c>
      <c r="M54" s="2">
        <v>8</v>
      </c>
      <c r="N54" s="2" t="s">
        <v>9</v>
      </c>
      <c r="T54" s="2" t="s">
        <v>16964</v>
      </c>
    </row>
    <row r="55" spans="1:24">
      <c r="A55" s="3" t="s">
        <v>3558</v>
      </c>
      <c r="B55" s="2" t="s">
        <v>2602</v>
      </c>
      <c r="D55" s="1" t="s">
        <v>17298</v>
      </c>
      <c r="E55" s="2">
        <v>2017</v>
      </c>
      <c r="F55" s="2" t="s">
        <v>2573</v>
      </c>
      <c r="G55" s="2" t="s">
        <v>5</v>
      </c>
      <c r="I55" s="2" t="s">
        <v>10</v>
      </c>
      <c r="J55" s="2" t="s">
        <v>59</v>
      </c>
      <c r="K55" s="2" t="s">
        <v>68</v>
      </c>
      <c r="L55" s="2" t="s">
        <v>58</v>
      </c>
      <c r="M55" s="2">
        <v>6</v>
      </c>
      <c r="N55" s="2" t="s">
        <v>18</v>
      </c>
      <c r="T55" s="2" t="s">
        <v>16964</v>
      </c>
    </row>
    <row r="56" spans="1:24">
      <c r="A56" s="3" t="s">
        <v>3141</v>
      </c>
      <c r="B56" s="2" t="s">
        <v>2583</v>
      </c>
      <c r="D56" s="1" t="s">
        <v>17299</v>
      </c>
      <c r="E56" s="2">
        <v>2017</v>
      </c>
      <c r="F56" s="2" t="s">
        <v>2573</v>
      </c>
      <c r="G56" s="2" t="s">
        <v>5</v>
      </c>
      <c r="I56" s="2" t="s">
        <v>6</v>
      </c>
      <c r="J56" s="2" t="s">
        <v>8</v>
      </c>
      <c r="K56" s="2" t="s">
        <v>22</v>
      </c>
      <c r="L56" s="2" t="s">
        <v>7</v>
      </c>
      <c r="M56" s="2">
        <v>121</v>
      </c>
      <c r="N56" s="2" t="s">
        <v>9</v>
      </c>
      <c r="T56" s="2" t="s">
        <v>16963</v>
      </c>
      <c r="X56" s="67" t="s">
        <v>4722</v>
      </c>
    </row>
    <row r="57" spans="1:24">
      <c r="A57" s="3" t="s">
        <v>2970</v>
      </c>
      <c r="B57" s="2" t="s">
        <v>2584</v>
      </c>
      <c r="D57" s="1" t="s">
        <v>17300</v>
      </c>
      <c r="E57" s="2">
        <v>2017</v>
      </c>
      <c r="F57" s="2" t="s">
        <v>2573</v>
      </c>
      <c r="G57" s="2" t="s">
        <v>5</v>
      </c>
      <c r="I57" s="2" t="s">
        <v>6</v>
      </c>
      <c r="J57" s="2" t="s">
        <v>8</v>
      </c>
      <c r="K57" s="2" t="s">
        <v>67</v>
      </c>
      <c r="L57" s="2" t="s">
        <v>7</v>
      </c>
      <c r="M57" s="2">
        <v>121</v>
      </c>
      <c r="N57" s="2" t="s">
        <v>9</v>
      </c>
      <c r="T57" s="2" t="s">
        <v>16963</v>
      </c>
      <c r="X57" s="67" t="s">
        <v>4722</v>
      </c>
    </row>
    <row r="58" spans="1:24">
      <c r="A58" s="3" t="s">
        <v>3572</v>
      </c>
      <c r="B58" s="2" t="s">
        <v>2601</v>
      </c>
      <c r="D58" s="1" t="s">
        <v>17301</v>
      </c>
      <c r="E58" s="2">
        <v>2017</v>
      </c>
      <c r="F58" s="2" t="s">
        <v>2573</v>
      </c>
      <c r="G58" s="2" t="s">
        <v>5</v>
      </c>
      <c r="I58" s="2" t="s">
        <v>6</v>
      </c>
      <c r="J58" s="2" t="s">
        <v>29</v>
      </c>
      <c r="K58" s="2" t="s">
        <v>66</v>
      </c>
      <c r="L58" s="2" t="s">
        <v>28</v>
      </c>
      <c r="M58" s="2">
        <v>8</v>
      </c>
      <c r="N58" s="2" t="s">
        <v>9</v>
      </c>
      <c r="T58" s="2" t="s">
        <v>16964</v>
      </c>
    </row>
    <row r="59" spans="1:24">
      <c r="A59" s="3" t="s">
        <v>4288</v>
      </c>
      <c r="B59" s="2" t="s">
        <v>2600</v>
      </c>
      <c r="D59" s="1" t="s">
        <v>17302</v>
      </c>
      <c r="E59" s="2">
        <v>2017</v>
      </c>
      <c r="F59" s="2" t="s">
        <v>2573</v>
      </c>
      <c r="G59" s="2" t="s">
        <v>5</v>
      </c>
      <c r="I59" s="2" t="s">
        <v>6</v>
      </c>
      <c r="J59" s="2" t="s">
        <v>56</v>
      </c>
      <c r="K59" s="2" t="s">
        <v>65</v>
      </c>
      <c r="L59" s="2" t="s">
        <v>55</v>
      </c>
      <c r="M59" s="2">
        <v>451</v>
      </c>
      <c r="N59" s="2" t="s">
        <v>9</v>
      </c>
      <c r="T59" s="2" t="s">
        <v>16964</v>
      </c>
    </row>
    <row r="60" spans="1:24">
      <c r="A60" s="3" t="s">
        <v>3664</v>
      </c>
      <c r="B60" s="2">
        <v>17054043</v>
      </c>
      <c r="D60" s="1" t="s">
        <v>17262</v>
      </c>
      <c r="E60" s="2">
        <v>2017</v>
      </c>
      <c r="F60" s="2" t="s">
        <v>2573</v>
      </c>
      <c r="G60" s="2" t="s">
        <v>5</v>
      </c>
      <c r="I60" s="2" t="s">
        <v>6</v>
      </c>
      <c r="J60" s="2" t="s">
        <v>20</v>
      </c>
      <c r="K60" s="2" t="s">
        <v>112</v>
      </c>
      <c r="L60" s="2" t="s">
        <v>19</v>
      </c>
      <c r="M60" s="2">
        <v>9</v>
      </c>
      <c r="N60" s="2" t="s">
        <v>21</v>
      </c>
      <c r="T60" s="2" t="s">
        <v>16964</v>
      </c>
    </row>
    <row r="61" spans="1:24">
      <c r="A61" s="3" t="s">
        <v>2971</v>
      </c>
      <c r="B61" s="2">
        <v>17054682</v>
      </c>
      <c r="D61" s="1" t="s">
        <v>17263</v>
      </c>
      <c r="E61" s="2">
        <v>2017</v>
      </c>
      <c r="F61" s="2" t="s">
        <v>2573</v>
      </c>
      <c r="G61" s="2" t="s">
        <v>5</v>
      </c>
      <c r="I61" s="2" t="s">
        <v>6</v>
      </c>
      <c r="J61" s="2" t="s">
        <v>8</v>
      </c>
      <c r="K61" s="2" t="s">
        <v>64</v>
      </c>
      <c r="L61" s="2" t="s">
        <v>7</v>
      </c>
      <c r="M61" s="2">
        <v>121</v>
      </c>
      <c r="N61" s="2" t="s">
        <v>9</v>
      </c>
      <c r="T61" s="2" t="s">
        <v>16963</v>
      </c>
      <c r="X61" s="67" t="s">
        <v>4722</v>
      </c>
    </row>
    <row r="62" spans="1:24">
      <c r="A62" s="3" t="s">
        <v>2902</v>
      </c>
      <c r="B62" s="2" t="s">
        <v>2585</v>
      </c>
      <c r="D62" s="1" t="s">
        <v>17303</v>
      </c>
      <c r="E62" s="2">
        <v>2017</v>
      </c>
      <c r="F62" s="2" t="s">
        <v>2573</v>
      </c>
      <c r="G62" s="2" t="s">
        <v>5</v>
      </c>
      <c r="I62" s="2" t="s">
        <v>6</v>
      </c>
      <c r="J62" s="2" t="s">
        <v>8</v>
      </c>
      <c r="K62" s="2" t="s">
        <v>64</v>
      </c>
      <c r="L62" s="2" t="s">
        <v>7</v>
      </c>
      <c r="M62" s="2">
        <v>121</v>
      </c>
      <c r="N62" s="2" t="s">
        <v>9</v>
      </c>
      <c r="T62" s="2" t="s">
        <v>16963</v>
      </c>
      <c r="X62" s="67" t="s">
        <v>4722</v>
      </c>
    </row>
    <row r="63" spans="1:24">
      <c r="A63" s="3" t="s">
        <v>2969</v>
      </c>
      <c r="B63" s="2" t="s">
        <v>2586</v>
      </c>
      <c r="D63" s="1" t="s">
        <v>17304</v>
      </c>
      <c r="E63" s="2">
        <v>2017</v>
      </c>
      <c r="F63" s="2" t="s">
        <v>2573</v>
      </c>
      <c r="G63" s="2" t="s">
        <v>5</v>
      </c>
      <c r="I63" s="2" t="s">
        <v>6</v>
      </c>
      <c r="J63" s="2" t="s">
        <v>8</v>
      </c>
      <c r="K63" s="2" t="s">
        <v>64</v>
      </c>
      <c r="L63" s="2" t="s">
        <v>7</v>
      </c>
      <c r="M63" s="2">
        <v>121</v>
      </c>
      <c r="N63" s="2" t="s">
        <v>9</v>
      </c>
      <c r="T63" s="2" t="s">
        <v>16963</v>
      </c>
      <c r="X63" s="67" t="s">
        <v>4722</v>
      </c>
    </row>
    <row r="64" spans="1:24" hidden="1">
      <c r="A64" s="3" t="s">
        <v>3672</v>
      </c>
      <c r="B64" s="2" t="s">
        <v>2081</v>
      </c>
      <c r="D64" s="1" t="s">
        <v>16987</v>
      </c>
      <c r="E64" s="2">
        <v>2018</v>
      </c>
      <c r="F64" s="2" t="s">
        <v>17044</v>
      </c>
      <c r="G64" s="2" t="s">
        <v>2295</v>
      </c>
      <c r="H64" s="2" t="s">
        <v>2313</v>
      </c>
      <c r="I64" s="2" t="s">
        <v>2288</v>
      </c>
      <c r="J64" s="2" t="s">
        <v>29</v>
      </c>
      <c r="K64" s="2" t="s">
        <v>66</v>
      </c>
      <c r="L64" s="2" t="s">
        <v>28</v>
      </c>
      <c r="M64" s="2">
        <v>8</v>
      </c>
      <c r="N64" s="2" t="s">
        <v>9</v>
      </c>
      <c r="T64" s="2" t="s">
        <v>16964</v>
      </c>
    </row>
    <row r="65" spans="1:24" hidden="1">
      <c r="A65" s="3" t="s">
        <v>4367</v>
      </c>
      <c r="B65" s="2" t="s">
        <v>2082</v>
      </c>
      <c r="D65" s="1" t="s">
        <v>16988</v>
      </c>
      <c r="E65" s="2">
        <v>2018</v>
      </c>
      <c r="F65" s="2" t="s">
        <v>17044</v>
      </c>
      <c r="G65" s="2" t="s">
        <v>2295</v>
      </c>
      <c r="H65" s="2" t="s">
        <v>2313</v>
      </c>
      <c r="I65" s="2" t="s">
        <v>10</v>
      </c>
      <c r="J65" s="2" t="s">
        <v>129</v>
      </c>
      <c r="K65" s="2" t="s">
        <v>4460</v>
      </c>
      <c r="L65" s="2" t="s">
        <v>128</v>
      </c>
      <c r="M65" s="2">
        <v>1</v>
      </c>
      <c r="N65" s="2" t="s">
        <v>18</v>
      </c>
      <c r="T65" s="2" t="s">
        <v>16964</v>
      </c>
    </row>
    <row r="66" spans="1:24" hidden="1">
      <c r="A66" s="3" t="s">
        <v>3680</v>
      </c>
      <c r="B66" s="2" t="s">
        <v>2083</v>
      </c>
      <c r="D66" s="1" t="s">
        <v>16989</v>
      </c>
      <c r="E66" s="2">
        <v>2018</v>
      </c>
      <c r="F66" s="2" t="s">
        <v>17044</v>
      </c>
      <c r="G66" s="2" t="s">
        <v>2295</v>
      </c>
      <c r="H66" s="2" t="s">
        <v>2313</v>
      </c>
      <c r="I66" s="2" t="s">
        <v>10</v>
      </c>
      <c r="J66" s="2" t="s">
        <v>12</v>
      </c>
      <c r="K66" s="2" t="s">
        <v>4594</v>
      </c>
      <c r="L66" s="2" t="s">
        <v>11</v>
      </c>
      <c r="M66" s="2">
        <v>3</v>
      </c>
      <c r="N66" s="2" t="s">
        <v>14</v>
      </c>
      <c r="T66" s="2" t="s">
        <v>16964</v>
      </c>
    </row>
    <row r="67" spans="1:24" hidden="1">
      <c r="A67" s="3" t="s">
        <v>3110</v>
      </c>
      <c r="B67" s="2" t="s">
        <v>2084</v>
      </c>
      <c r="D67" s="1" t="s">
        <v>16990</v>
      </c>
      <c r="E67" s="2">
        <v>2018</v>
      </c>
      <c r="F67" s="2" t="s">
        <v>17044</v>
      </c>
      <c r="G67" s="2" t="s">
        <v>2295</v>
      </c>
      <c r="H67" s="2" t="s">
        <v>2313</v>
      </c>
      <c r="I67" s="2" t="s">
        <v>2288</v>
      </c>
      <c r="J67" s="2" t="s">
        <v>76</v>
      </c>
      <c r="K67" s="2" t="s">
        <v>4647</v>
      </c>
      <c r="L67" s="2" t="s">
        <v>75</v>
      </c>
      <c r="M67" s="2">
        <v>504</v>
      </c>
      <c r="N67" s="2" t="s">
        <v>9</v>
      </c>
      <c r="T67" s="2" t="s">
        <v>16964</v>
      </c>
    </row>
    <row r="68" spans="1:24" hidden="1">
      <c r="A68" s="3" t="s">
        <v>3115</v>
      </c>
      <c r="B68" s="2" t="s">
        <v>2085</v>
      </c>
      <c r="D68" s="1" t="s">
        <v>16991</v>
      </c>
      <c r="E68" s="2">
        <v>2018</v>
      </c>
      <c r="F68" s="2" t="s">
        <v>17044</v>
      </c>
      <c r="G68" s="2" t="s">
        <v>2295</v>
      </c>
      <c r="H68" s="2" t="s">
        <v>2313</v>
      </c>
      <c r="I68" s="2" t="s">
        <v>2288</v>
      </c>
      <c r="J68" s="2" t="s">
        <v>20</v>
      </c>
      <c r="K68" s="2" t="s">
        <v>4693</v>
      </c>
      <c r="L68" s="2" t="s">
        <v>19</v>
      </c>
      <c r="M68" s="2">
        <v>9</v>
      </c>
      <c r="N68" s="2" t="s">
        <v>21</v>
      </c>
      <c r="T68" s="2" t="s">
        <v>16964</v>
      </c>
    </row>
    <row r="69" spans="1:24">
      <c r="A69" s="3" t="s">
        <v>3054</v>
      </c>
      <c r="B69" s="2" t="s">
        <v>2582</v>
      </c>
      <c r="D69" s="66" t="s">
        <v>17293</v>
      </c>
      <c r="E69" s="2">
        <v>2016</v>
      </c>
      <c r="F69" s="2" t="s">
        <v>2573</v>
      </c>
      <c r="G69" s="2" t="s">
        <v>5</v>
      </c>
      <c r="I69" s="2" t="s">
        <v>6</v>
      </c>
      <c r="J69" s="2" t="s">
        <v>8</v>
      </c>
      <c r="K69" s="2" t="s">
        <v>33</v>
      </c>
      <c r="L69" s="2" t="s">
        <v>7</v>
      </c>
      <c r="M69" s="2">
        <v>121</v>
      </c>
      <c r="N69" s="2" t="s">
        <v>9</v>
      </c>
      <c r="T69" s="2" t="s">
        <v>16963</v>
      </c>
      <c r="X69" s="67" t="s">
        <v>4722</v>
      </c>
    </row>
    <row r="70" spans="1:24">
      <c r="A70" s="3" t="s">
        <v>3081</v>
      </c>
      <c r="B70" s="2">
        <v>16003017</v>
      </c>
      <c r="D70" s="66" t="s">
        <v>17260</v>
      </c>
      <c r="E70" s="2">
        <v>2016</v>
      </c>
      <c r="F70" s="2" t="s">
        <v>2573</v>
      </c>
      <c r="G70" s="2" t="s">
        <v>5</v>
      </c>
      <c r="I70" s="2" t="s">
        <v>6</v>
      </c>
      <c r="J70" s="2" t="s">
        <v>76</v>
      </c>
      <c r="K70" s="2" t="s">
        <v>77</v>
      </c>
      <c r="L70" s="2" t="s">
        <v>75</v>
      </c>
      <c r="M70" s="2">
        <v>504</v>
      </c>
      <c r="N70" s="2" t="s">
        <v>9</v>
      </c>
      <c r="T70" s="2" t="s">
        <v>16964</v>
      </c>
    </row>
    <row r="71" spans="1:24">
      <c r="A71" s="3" t="s">
        <v>2803</v>
      </c>
      <c r="B71" s="2" t="s">
        <v>2606</v>
      </c>
      <c r="D71" s="66" t="s">
        <v>17294</v>
      </c>
      <c r="E71" s="2">
        <v>2016</v>
      </c>
      <c r="F71" s="2" t="s">
        <v>2573</v>
      </c>
      <c r="G71" s="2" t="s">
        <v>5</v>
      </c>
      <c r="I71" s="2" t="s">
        <v>6</v>
      </c>
      <c r="J71" s="2" t="s">
        <v>73</v>
      </c>
      <c r="K71" s="2" t="s">
        <v>74</v>
      </c>
      <c r="L71" s="2" t="s">
        <v>23</v>
      </c>
      <c r="M71" s="2">
        <v>399</v>
      </c>
      <c r="N71" s="2" t="s">
        <v>9</v>
      </c>
      <c r="T71" s="2" t="s">
        <v>16964</v>
      </c>
    </row>
    <row r="72" spans="1:24">
      <c r="A72" s="3" t="s">
        <v>3056</v>
      </c>
      <c r="B72" s="2" t="s">
        <v>2615</v>
      </c>
      <c r="D72" s="1" t="s">
        <v>17280</v>
      </c>
      <c r="E72" s="2">
        <v>2015</v>
      </c>
      <c r="F72" s="2" t="s">
        <v>2573</v>
      </c>
      <c r="G72" s="2" t="s">
        <v>5</v>
      </c>
      <c r="I72" s="2" t="s">
        <v>6</v>
      </c>
      <c r="J72" s="2" t="s">
        <v>8</v>
      </c>
      <c r="K72" s="2" t="s">
        <v>22</v>
      </c>
      <c r="L72" s="2" t="s">
        <v>7</v>
      </c>
      <c r="M72" s="2">
        <v>121</v>
      </c>
      <c r="N72" s="2" t="s">
        <v>9</v>
      </c>
      <c r="T72" s="2" t="s">
        <v>16963</v>
      </c>
      <c r="X72" s="67" t="s">
        <v>4722</v>
      </c>
    </row>
    <row r="73" spans="1:24">
      <c r="A73" s="3" t="s">
        <v>3566</v>
      </c>
      <c r="B73" s="2" t="s">
        <v>2578</v>
      </c>
      <c r="D73" s="1" t="s">
        <v>17281</v>
      </c>
      <c r="E73" s="2">
        <v>2015</v>
      </c>
      <c r="F73" s="2" t="s">
        <v>2573</v>
      </c>
      <c r="G73" s="2" t="s">
        <v>5</v>
      </c>
      <c r="I73" s="2" t="s">
        <v>6</v>
      </c>
      <c r="J73" s="2" t="s">
        <v>8</v>
      </c>
      <c r="K73" s="2" t="s">
        <v>90</v>
      </c>
      <c r="L73" s="2" t="s">
        <v>7</v>
      </c>
      <c r="M73" s="2">
        <v>236</v>
      </c>
      <c r="N73" s="2" t="s">
        <v>9</v>
      </c>
      <c r="T73" s="2" t="s">
        <v>16963</v>
      </c>
      <c r="X73" s="67" t="s">
        <v>4722</v>
      </c>
    </row>
    <row r="74" spans="1:24">
      <c r="A74" s="3" t="s">
        <v>2856</v>
      </c>
      <c r="B74" s="2" t="s">
        <v>2614</v>
      </c>
      <c r="D74" s="1" t="s">
        <v>17282</v>
      </c>
      <c r="E74" s="2">
        <v>2015</v>
      </c>
      <c r="F74" s="2" t="s">
        <v>2573</v>
      </c>
      <c r="G74" s="2" t="s">
        <v>5</v>
      </c>
      <c r="I74" s="2" t="s">
        <v>6</v>
      </c>
      <c r="J74" s="2" t="s">
        <v>73</v>
      </c>
      <c r="K74" s="2" t="s">
        <v>74</v>
      </c>
      <c r="L74" s="2" t="s">
        <v>23</v>
      </c>
      <c r="M74" s="2">
        <v>399</v>
      </c>
      <c r="N74" s="2" t="s">
        <v>9</v>
      </c>
      <c r="T74" s="2" t="s">
        <v>16964</v>
      </c>
    </row>
    <row r="75" spans="1:24">
      <c r="A75" s="3" t="s">
        <v>2877</v>
      </c>
      <c r="B75" s="2" t="s">
        <v>2613</v>
      </c>
      <c r="D75" s="1" t="s">
        <v>17283</v>
      </c>
      <c r="E75" s="2">
        <v>2015</v>
      </c>
      <c r="F75" s="2" t="s">
        <v>2573</v>
      </c>
      <c r="G75" s="2" t="s">
        <v>5</v>
      </c>
      <c r="I75" s="2" t="s">
        <v>6</v>
      </c>
      <c r="J75" s="2" t="s">
        <v>73</v>
      </c>
      <c r="K75" s="2" t="s">
        <v>74</v>
      </c>
      <c r="L75" s="2" t="s">
        <v>23</v>
      </c>
      <c r="M75" s="2">
        <v>399</v>
      </c>
      <c r="N75" s="2" t="s">
        <v>9</v>
      </c>
      <c r="T75" s="2" t="s">
        <v>16964</v>
      </c>
    </row>
    <row r="76" spans="1:24">
      <c r="A76" s="3" t="s">
        <v>3202</v>
      </c>
      <c r="B76" s="2">
        <v>15085723</v>
      </c>
      <c r="D76" s="1" t="s">
        <v>17255</v>
      </c>
      <c r="E76" s="2">
        <v>2015</v>
      </c>
      <c r="F76" s="2" t="s">
        <v>2573</v>
      </c>
      <c r="G76" s="2" t="s">
        <v>5</v>
      </c>
      <c r="I76" s="2" t="s">
        <v>6</v>
      </c>
      <c r="J76" s="2" t="s">
        <v>20</v>
      </c>
      <c r="K76" s="2" t="s">
        <v>113</v>
      </c>
      <c r="L76" s="2" t="s">
        <v>19</v>
      </c>
      <c r="M76" s="2">
        <v>9</v>
      </c>
      <c r="N76" s="2" t="s">
        <v>21</v>
      </c>
      <c r="T76" s="2" t="s">
        <v>16964</v>
      </c>
    </row>
    <row r="77" spans="1:24" hidden="1">
      <c r="A77" s="3" t="s">
        <v>4195</v>
      </c>
      <c r="B77" s="2" t="s">
        <v>2086</v>
      </c>
      <c r="D77" s="1" t="s">
        <v>16992</v>
      </c>
      <c r="E77" s="2">
        <v>2019</v>
      </c>
      <c r="F77" s="2" t="s">
        <v>17044</v>
      </c>
      <c r="G77" s="2" t="s">
        <v>2295</v>
      </c>
      <c r="H77" s="2" t="s">
        <v>2313</v>
      </c>
      <c r="I77" s="2" t="s">
        <v>2288</v>
      </c>
      <c r="J77" s="2" t="s">
        <v>20</v>
      </c>
      <c r="K77" s="2" t="s">
        <v>4694</v>
      </c>
      <c r="L77" s="2" t="s">
        <v>19</v>
      </c>
      <c r="M77" s="2">
        <v>9</v>
      </c>
      <c r="N77" s="2" t="s">
        <v>21</v>
      </c>
      <c r="T77" s="2" t="s">
        <v>16964</v>
      </c>
    </row>
    <row r="78" spans="1:24" hidden="1">
      <c r="A78" s="3" t="s">
        <v>4292</v>
      </c>
      <c r="B78" s="2" t="s">
        <v>2087</v>
      </c>
      <c r="D78" s="1" t="s">
        <v>16993</v>
      </c>
      <c r="E78" s="2">
        <v>2019</v>
      </c>
      <c r="F78" s="2" t="s">
        <v>17044</v>
      </c>
      <c r="G78" s="2" t="s">
        <v>2295</v>
      </c>
      <c r="H78" s="2" t="s">
        <v>2313</v>
      </c>
      <c r="I78" s="2" t="s">
        <v>10</v>
      </c>
      <c r="J78" s="2" t="s">
        <v>765</v>
      </c>
      <c r="K78" s="2" t="s">
        <v>4626</v>
      </c>
      <c r="L78" s="2" t="s">
        <v>764</v>
      </c>
      <c r="M78" s="2">
        <v>4</v>
      </c>
      <c r="N78" s="2" t="s">
        <v>18</v>
      </c>
      <c r="T78" s="2" t="s">
        <v>16964</v>
      </c>
    </row>
    <row r="79" spans="1:24" hidden="1">
      <c r="A79" s="3" t="s">
        <v>4289</v>
      </c>
      <c r="B79" s="2" t="s">
        <v>16966</v>
      </c>
      <c r="D79" s="1" t="s">
        <v>16994</v>
      </c>
      <c r="E79" s="2">
        <v>2019</v>
      </c>
      <c r="F79" s="2" t="s">
        <v>17044</v>
      </c>
      <c r="G79" s="2" t="s">
        <v>2295</v>
      </c>
      <c r="H79" s="2" t="s">
        <v>2313</v>
      </c>
      <c r="I79" s="2" t="s">
        <v>10</v>
      </c>
      <c r="J79" s="2" t="s">
        <v>129</v>
      </c>
      <c r="K79" s="2" t="s">
        <v>4461</v>
      </c>
      <c r="L79" s="2" t="s">
        <v>128</v>
      </c>
      <c r="M79" s="2">
        <v>1</v>
      </c>
      <c r="N79" s="2" t="s">
        <v>18</v>
      </c>
      <c r="T79" s="2" t="s">
        <v>16964</v>
      </c>
    </row>
    <row r="80" spans="1:24" hidden="1">
      <c r="A80" s="3" t="s">
        <v>3797</v>
      </c>
      <c r="B80" s="2" t="s">
        <v>2088</v>
      </c>
      <c r="D80" s="1" t="s">
        <v>16995</v>
      </c>
      <c r="E80" s="2">
        <v>2019</v>
      </c>
      <c r="F80" s="2" t="s">
        <v>17044</v>
      </c>
      <c r="G80" s="2" t="s">
        <v>2295</v>
      </c>
      <c r="H80" s="2" t="s">
        <v>2313</v>
      </c>
      <c r="I80" s="2" t="s">
        <v>10</v>
      </c>
      <c r="J80" s="2" t="s">
        <v>59</v>
      </c>
      <c r="K80" s="2" t="s">
        <v>4661</v>
      </c>
      <c r="L80" s="2" t="s">
        <v>58</v>
      </c>
      <c r="M80" s="2">
        <v>6</v>
      </c>
      <c r="N80" s="2" t="s">
        <v>18</v>
      </c>
      <c r="T80" s="2" t="s">
        <v>16964</v>
      </c>
    </row>
    <row r="81" spans="1:20" hidden="1">
      <c r="A81" s="3" t="s">
        <v>3870</v>
      </c>
      <c r="B81" s="2" t="s">
        <v>2089</v>
      </c>
      <c r="D81" s="1" t="s">
        <v>16996</v>
      </c>
      <c r="E81" s="2">
        <v>2019</v>
      </c>
      <c r="F81" s="2" t="s">
        <v>17044</v>
      </c>
      <c r="G81" s="2" t="s">
        <v>2295</v>
      </c>
      <c r="H81" s="2" t="s">
        <v>2313</v>
      </c>
      <c r="I81" s="2" t="s">
        <v>2288</v>
      </c>
      <c r="J81" s="2" t="s">
        <v>40</v>
      </c>
      <c r="K81" s="2" t="s">
        <v>4615</v>
      </c>
      <c r="L81" s="2" t="s">
        <v>39</v>
      </c>
      <c r="M81" s="2">
        <v>37</v>
      </c>
      <c r="N81" s="2" t="s">
        <v>9</v>
      </c>
      <c r="T81" s="2" t="s">
        <v>16964</v>
      </c>
    </row>
    <row r="82" spans="1:20" hidden="1">
      <c r="A82" s="3" t="s">
        <v>4205</v>
      </c>
      <c r="B82" s="2" t="s">
        <v>2090</v>
      </c>
      <c r="D82" s="1" t="s">
        <v>16997</v>
      </c>
      <c r="E82" s="2">
        <v>2019</v>
      </c>
      <c r="F82" s="2" t="s">
        <v>17044</v>
      </c>
      <c r="G82" s="2" t="s">
        <v>2295</v>
      </c>
      <c r="H82" s="2" t="s">
        <v>2313</v>
      </c>
      <c r="I82" s="2" t="s">
        <v>10</v>
      </c>
      <c r="J82" s="2" t="s">
        <v>12</v>
      </c>
      <c r="K82" s="2" t="s">
        <v>4595</v>
      </c>
      <c r="L82" s="2" t="s">
        <v>11</v>
      </c>
      <c r="M82" s="2">
        <v>3</v>
      </c>
      <c r="N82" s="2" t="s">
        <v>14</v>
      </c>
      <c r="T82" s="2" t="s">
        <v>16964</v>
      </c>
    </row>
    <row r="83" spans="1:20" hidden="1">
      <c r="A83" s="3" t="s">
        <v>4033</v>
      </c>
      <c r="B83" s="2" t="s">
        <v>2091</v>
      </c>
      <c r="D83" s="1" t="s">
        <v>16998</v>
      </c>
      <c r="E83" s="2">
        <v>2019</v>
      </c>
      <c r="F83" s="2" t="s">
        <v>17044</v>
      </c>
      <c r="G83" s="2" t="s">
        <v>2295</v>
      </c>
      <c r="H83" s="2" t="s">
        <v>2313</v>
      </c>
      <c r="I83" s="2" t="s">
        <v>2288</v>
      </c>
      <c r="J83" s="2" t="s">
        <v>935</v>
      </c>
      <c r="K83" s="2" t="s">
        <v>4588</v>
      </c>
      <c r="L83" s="2" t="s">
        <v>217</v>
      </c>
      <c r="M83" s="2">
        <v>427</v>
      </c>
      <c r="N83" s="2" t="s">
        <v>9</v>
      </c>
      <c r="T83" s="2" t="s">
        <v>16964</v>
      </c>
    </row>
    <row r="84" spans="1:20" hidden="1">
      <c r="A84" s="3" t="s">
        <v>3890</v>
      </c>
      <c r="B84" s="2" t="s">
        <v>2092</v>
      </c>
      <c r="D84" s="1" t="s">
        <v>16999</v>
      </c>
      <c r="E84" s="2">
        <v>2019</v>
      </c>
      <c r="F84" s="2" t="s">
        <v>17044</v>
      </c>
      <c r="G84" s="2" t="s">
        <v>2295</v>
      </c>
      <c r="H84" s="2" t="s">
        <v>2313</v>
      </c>
      <c r="I84" s="2" t="s">
        <v>10</v>
      </c>
      <c r="J84" s="2" t="s">
        <v>129</v>
      </c>
      <c r="K84" s="2" t="s">
        <v>4462</v>
      </c>
      <c r="L84" s="2" t="s">
        <v>128</v>
      </c>
      <c r="M84" s="2">
        <v>1</v>
      </c>
      <c r="N84" s="2" t="s">
        <v>18</v>
      </c>
      <c r="T84" s="2" t="s">
        <v>16964</v>
      </c>
    </row>
    <row r="85" spans="1:20" hidden="1">
      <c r="A85" s="3" t="s">
        <v>4431</v>
      </c>
      <c r="B85" s="2" t="s">
        <v>2093</v>
      </c>
      <c r="D85" s="1" t="s">
        <v>17000</v>
      </c>
      <c r="E85" s="2">
        <v>2019</v>
      </c>
      <c r="F85" s="2" t="s">
        <v>17044</v>
      </c>
      <c r="G85" s="2" t="s">
        <v>2295</v>
      </c>
      <c r="H85" s="2" t="s">
        <v>2313</v>
      </c>
      <c r="I85" s="2" t="s">
        <v>2288</v>
      </c>
      <c r="J85" s="2" t="s">
        <v>1329</v>
      </c>
      <c r="K85" s="2" t="s">
        <v>4562</v>
      </c>
      <c r="L85" s="2" t="s">
        <v>1328</v>
      </c>
      <c r="M85" s="2">
        <v>200</v>
      </c>
      <c r="N85" s="2" t="s">
        <v>9</v>
      </c>
      <c r="T85" s="2" t="s">
        <v>16964</v>
      </c>
    </row>
    <row r="86" spans="1:20" hidden="1">
      <c r="A86" s="3" t="s">
        <v>3560</v>
      </c>
      <c r="B86" s="2" t="s">
        <v>2094</v>
      </c>
      <c r="D86" s="1" t="s">
        <v>17001</v>
      </c>
      <c r="E86" s="2">
        <v>2019</v>
      </c>
      <c r="F86" s="2" t="s">
        <v>17044</v>
      </c>
      <c r="G86" s="2" t="s">
        <v>2295</v>
      </c>
      <c r="H86" s="2" t="s">
        <v>2313</v>
      </c>
      <c r="I86" s="2" t="s">
        <v>10</v>
      </c>
      <c r="J86" s="2" t="s">
        <v>12</v>
      </c>
      <c r="K86" s="2" t="s">
        <v>4596</v>
      </c>
      <c r="L86" s="2" t="s">
        <v>11</v>
      </c>
      <c r="M86" s="2">
        <v>3</v>
      </c>
      <c r="N86" s="2" t="s">
        <v>14</v>
      </c>
      <c r="T86" s="2" t="s">
        <v>16964</v>
      </c>
    </row>
    <row r="87" spans="1:20" hidden="1">
      <c r="A87" s="3" t="s">
        <v>3820</v>
      </c>
      <c r="B87" s="2" t="s">
        <v>2095</v>
      </c>
      <c r="D87" s="1" t="s">
        <v>17002</v>
      </c>
      <c r="E87" s="2">
        <v>2019</v>
      </c>
      <c r="F87" s="2" t="s">
        <v>17044</v>
      </c>
      <c r="G87" s="2" t="s">
        <v>2295</v>
      </c>
      <c r="H87" s="2" t="s">
        <v>2313</v>
      </c>
      <c r="I87" s="2" t="s">
        <v>10</v>
      </c>
      <c r="J87" s="2" t="s">
        <v>12</v>
      </c>
      <c r="K87" s="2" t="s">
        <v>4597</v>
      </c>
      <c r="L87" s="2" t="s">
        <v>11</v>
      </c>
      <c r="M87" s="2">
        <v>3</v>
      </c>
      <c r="N87" s="2" t="s">
        <v>14</v>
      </c>
      <c r="T87" s="2" t="s">
        <v>16964</v>
      </c>
    </row>
    <row r="88" spans="1:20" hidden="1">
      <c r="A88" s="3" t="s">
        <v>4176</v>
      </c>
      <c r="B88" s="2" t="s">
        <v>2096</v>
      </c>
      <c r="D88" s="1" t="s">
        <v>17003</v>
      </c>
      <c r="E88" s="2">
        <v>2019</v>
      </c>
      <c r="F88" s="2" t="s">
        <v>17044</v>
      </c>
      <c r="G88" s="2" t="s">
        <v>2295</v>
      </c>
      <c r="H88" s="2" t="s">
        <v>2313</v>
      </c>
      <c r="I88" s="2" t="s">
        <v>10</v>
      </c>
      <c r="J88" s="2" t="s">
        <v>4721</v>
      </c>
      <c r="K88" s="2" t="s">
        <v>4721</v>
      </c>
      <c r="L88" s="2" t="s">
        <v>128</v>
      </c>
      <c r="M88" s="2">
        <v>1</v>
      </c>
      <c r="N88" s="2" t="s">
        <v>18</v>
      </c>
      <c r="T88" s="2" t="s">
        <v>16964</v>
      </c>
    </row>
    <row r="89" spans="1:20" hidden="1">
      <c r="A89" s="3" t="s">
        <v>3449</v>
      </c>
      <c r="B89" s="2" t="s">
        <v>2097</v>
      </c>
      <c r="D89" s="1" t="s">
        <v>17004</v>
      </c>
      <c r="E89" s="2">
        <v>2019</v>
      </c>
      <c r="F89" s="2" t="s">
        <v>17044</v>
      </c>
      <c r="G89" s="2" t="s">
        <v>2295</v>
      </c>
      <c r="H89" s="2" t="s">
        <v>2313</v>
      </c>
      <c r="I89" s="2" t="s">
        <v>10</v>
      </c>
      <c r="J89" s="2" t="s">
        <v>17</v>
      </c>
      <c r="K89" s="2" t="s">
        <v>4551</v>
      </c>
      <c r="L89" s="2" t="s">
        <v>16</v>
      </c>
      <c r="M89" s="2">
        <v>2</v>
      </c>
      <c r="N89" s="2" t="s">
        <v>18</v>
      </c>
      <c r="T89" s="2" t="s">
        <v>16964</v>
      </c>
    </row>
    <row r="90" spans="1:20" hidden="1">
      <c r="A90" s="3" t="s">
        <v>3893</v>
      </c>
      <c r="B90" s="2" t="s">
        <v>2098</v>
      </c>
      <c r="D90" s="1" t="s">
        <v>17005</v>
      </c>
      <c r="E90" s="2">
        <v>2019</v>
      </c>
      <c r="F90" s="2" t="s">
        <v>17044</v>
      </c>
      <c r="G90" s="2" t="s">
        <v>2295</v>
      </c>
      <c r="H90" s="2" t="s">
        <v>2313</v>
      </c>
      <c r="I90" s="2" t="s">
        <v>10</v>
      </c>
      <c r="J90" s="2" t="s">
        <v>129</v>
      </c>
      <c r="K90" s="2" t="s">
        <v>4463</v>
      </c>
      <c r="L90" s="2" t="s">
        <v>128</v>
      </c>
      <c r="M90" s="2">
        <v>1</v>
      </c>
      <c r="N90" s="2" t="s">
        <v>18</v>
      </c>
      <c r="T90" s="2" t="s">
        <v>16964</v>
      </c>
    </row>
    <row r="91" spans="1:20" hidden="1">
      <c r="A91" s="3" t="s">
        <v>3308</v>
      </c>
      <c r="B91" s="2" t="s">
        <v>2099</v>
      </c>
      <c r="D91" s="1" t="s">
        <v>17006</v>
      </c>
      <c r="E91" s="2">
        <v>2019</v>
      </c>
      <c r="F91" s="2" t="s">
        <v>17044</v>
      </c>
      <c r="G91" s="2" t="s">
        <v>2295</v>
      </c>
      <c r="H91" s="2" t="s">
        <v>2313</v>
      </c>
      <c r="I91" s="2" t="s">
        <v>10</v>
      </c>
      <c r="J91" s="2" t="s">
        <v>17</v>
      </c>
      <c r="K91" s="2" t="s">
        <v>4549</v>
      </c>
      <c r="L91" s="2" t="s">
        <v>16</v>
      </c>
      <c r="M91" s="2">
        <v>2</v>
      </c>
      <c r="N91" s="2" t="s">
        <v>18</v>
      </c>
      <c r="T91" s="2" t="s">
        <v>16964</v>
      </c>
    </row>
    <row r="92" spans="1:20" hidden="1">
      <c r="A92" s="3" t="s">
        <v>3128</v>
      </c>
      <c r="B92" s="2" t="s">
        <v>2100</v>
      </c>
      <c r="D92" s="1" t="s">
        <v>17007</v>
      </c>
      <c r="E92" s="2">
        <v>2019</v>
      </c>
      <c r="F92" s="2" t="s">
        <v>17044</v>
      </c>
      <c r="G92" s="2" t="s">
        <v>2295</v>
      </c>
      <c r="H92" s="2" t="s">
        <v>2313</v>
      </c>
      <c r="I92" s="2" t="s">
        <v>10</v>
      </c>
      <c r="J92" s="2" t="s">
        <v>17</v>
      </c>
      <c r="K92" s="2" t="s">
        <v>4598</v>
      </c>
      <c r="L92" s="2" t="s">
        <v>11</v>
      </c>
      <c r="M92" s="2">
        <v>3</v>
      </c>
      <c r="N92" s="2" t="s">
        <v>18</v>
      </c>
      <c r="T92" s="2" t="s">
        <v>16964</v>
      </c>
    </row>
    <row r="93" spans="1:20" hidden="1">
      <c r="A93" s="3" t="s">
        <v>3608</v>
      </c>
      <c r="B93" s="2" t="s">
        <v>2101</v>
      </c>
      <c r="D93" s="1" t="s">
        <v>17008</v>
      </c>
      <c r="E93" s="2">
        <v>2019</v>
      </c>
      <c r="F93" s="2" t="s">
        <v>17044</v>
      </c>
      <c r="G93" s="2" t="s">
        <v>2295</v>
      </c>
      <c r="H93" s="2" t="s">
        <v>2313</v>
      </c>
      <c r="I93" s="2" t="s">
        <v>2288</v>
      </c>
      <c r="J93" s="2" t="s">
        <v>20</v>
      </c>
      <c r="K93" s="2" t="s">
        <v>4691</v>
      </c>
      <c r="L93" s="2" t="s">
        <v>19</v>
      </c>
      <c r="M93" s="2">
        <v>9</v>
      </c>
      <c r="N93" s="2" t="s">
        <v>21</v>
      </c>
      <c r="T93" s="2" t="s">
        <v>16964</v>
      </c>
    </row>
    <row r="94" spans="1:20" hidden="1">
      <c r="A94" s="3" t="s">
        <v>3862</v>
      </c>
      <c r="B94" s="2" t="s">
        <v>2107</v>
      </c>
      <c r="D94" s="1" t="s">
        <v>17009</v>
      </c>
      <c r="E94" s="2">
        <v>2019</v>
      </c>
      <c r="F94" s="2" t="s">
        <v>17044</v>
      </c>
      <c r="G94" s="2" t="s">
        <v>2295</v>
      </c>
      <c r="H94" s="2" t="s">
        <v>2313</v>
      </c>
      <c r="I94" s="2" t="s">
        <v>2288</v>
      </c>
      <c r="J94" s="2" t="s">
        <v>120</v>
      </c>
      <c r="K94" s="2" t="s">
        <v>4528</v>
      </c>
      <c r="L94" s="2" t="s">
        <v>119</v>
      </c>
      <c r="M94" s="2">
        <v>155</v>
      </c>
      <c r="N94" s="2" t="s">
        <v>9</v>
      </c>
      <c r="T94" s="2" t="s">
        <v>16964</v>
      </c>
    </row>
    <row r="95" spans="1:20" hidden="1">
      <c r="A95" s="3" t="s">
        <v>4300</v>
      </c>
      <c r="B95" s="2" t="s">
        <v>2108</v>
      </c>
      <c r="D95" s="1" t="s">
        <v>17010</v>
      </c>
      <c r="E95" s="2">
        <v>2020</v>
      </c>
      <c r="F95" s="2" t="s">
        <v>17044</v>
      </c>
      <c r="G95" s="2" t="s">
        <v>2295</v>
      </c>
      <c r="H95" s="2" t="s">
        <v>2313</v>
      </c>
      <c r="I95" s="2" t="s">
        <v>10</v>
      </c>
      <c r="J95" s="2" t="s">
        <v>12</v>
      </c>
      <c r="K95" s="2" t="s">
        <v>4599</v>
      </c>
      <c r="L95" s="2" t="s">
        <v>11</v>
      </c>
      <c r="M95" s="2">
        <v>3</v>
      </c>
      <c r="N95" s="2" t="s">
        <v>14</v>
      </c>
      <c r="T95" s="2" t="s">
        <v>16964</v>
      </c>
    </row>
    <row r="96" spans="1:20" hidden="1">
      <c r="A96" s="3" t="s">
        <v>3347</v>
      </c>
      <c r="B96" s="2" t="s">
        <v>2109</v>
      </c>
      <c r="D96" s="1" t="s">
        <v>17011</v>
      </c>
      <c r="E96" s="2">
        <v>2020</v>
      </c>
      <c r="F96" s="2" t="s">
        <v>17044</v>
      </c>
      <c r="G96" s="2" t="s">
        <v>2295</v>
      </c>
      <c r="H96" s="2" t="s">
        <v>2313</v>
      </c>
      <c r="I96" s="2" t="s">
        <v>2288</v>
      </c>
      <c r="J96" s="2" t="s">
        <v>29</v>
      </c>
      <c r="K96" s="2" t="s">
        <v>66</v>
      </c>
      <c r="L96" s="2" t="s">
        <v>28</v>
      </c>
      <c r="M96" s="2">
        <v>8</v>
      </c>
      <c r="N96" s="2" t="s">
        <v>9</v>
      </c>
      <c r="T96" s="2" t="s">
        <v>16964</v>
      </c>
    </row>
    <row r="97" spans="1:22" hidden="1">
      <c r="A97" s="3" t="s">
        <v>3288</v>
      </c>
      <c r="B97" s="2" t="s">
        <v>2110</v>
      </c>
      <c r="D97" s="1" t="s">
        <v>17012</v>
      </c>
      <c r="E97" s="2">
        <v>2020</v>
      </c>
      <c r="F97" s="2" t="s">
        <v>17044</v>
      </c>
      <c r="G97" s="2" t="s">
        <v>2295</v>
      </c>
      <c r="H97" s="2" t="s">
        <v>2313</v>
      </c>
      <c r="I97" s="2" t="s">
        <v>2288</v>
      </c>
      <c r="J97" s="2" t="s">
        <v>150</v>
      </c>
      <c r="K97" s="2" t="s">
        <v>4634</v>
      </c>
      <c r="L97" s="2" t="s">
        <v>149</v>
      </c>
      <c r="M97" s="2">
        <v>403</v>
      </c>
      <c r="N97" s="2" t="s">
        <v>9</v>
      </c>
      <c r="T97" s="2" t="s">
        <v>16964</v>
      </c>
    </row>
    <row r="98" spans="1:22" hidden="1">
      <c r="A98" s="3" t="s">
        <v>4290</v>
      </c>
      <c r="B98" s="2" t="s">
        <v>2111</v>
      </c>
      <c r="D98" s="1" t="s">
        <v>17013</v>
      </c>
      <c r="E98" s="2">
        <v>2020</v>
      </c>
      <c r="F98" s="2" t="s">
        <v>17044</v>
      </c>
      <c r="G98" s="2" t="s">
        <v>2295</v>
      </c>
      <c r="H98" s="2" t="s">
        <v>2313</v>
      </c>
      <c r="I98" s="2" t="s">
        <v>10</v>
      </c>
      <c r="J98" s="2" t="s">
        <v>129</v>
      </c>
      <c r="K98" s="2" t="s">
        <v>4460</v>
      </c>
      <c r="L98" s="2" t="s">
        <v>128</v>
      </c>
      <c r="M98" s="2">
        <v>1</v>
      </c>
      <c r="N98" s="2" t="s">
        <v>4458</v>
      </c>
      <c r="T98" s="2" t="s">
        <v>16964</v>
      </c>
    </row>
    <row r="99" spans="1:22" hidden="1">
      <c r="A99" s="3" t="s">
        <v>3636</v>
      </c>
      <c r="B99" s="2" t="s">
        <v>2112</v>
      </c>
      <c r="D99" s="1" t="s">
        <v>17014</v>
      </c>
      <c r="E99" s="2">
        <v>2020</v>
      </c>
      <c r="F99" s="2" t="s">
        <v>17044</v>
      </c>
      <c r="G99" s="2" t="s">
        <v>2295</v>
      </c>
      <c r="H99" s="2" t="s">
        <v>2313</v>
      </c>
      <c r="I99" s="2" t="s">
        <v>10</v>
      </c>
      <c r="J99" s="2" t="s">
        <v>17</v>
      </c>
      <c r="K99" s="2" t="s">
        <v>4552</v>
      </c>
      <c r="L99" s="2" t="s">
        <v>16</v>
      </c>
      <c r="M99" s="2">
        <v>2</v>
      </c>
      <c r="N99" s="2" t="s">
        <v>18</v>
      </c>
      <c r="T99" s="2" t="s">
        <v>16964</v>
      </c>
    </row>
    <row r="100" spans="1:22" hidden="1">
      <c r="A100" s="3" t="s">
        <v>2832</v>
      </c>
      <c r="B100" s="2" t="s">
        <v>16965</v>
      </c>
      <c r="D100" s="66" t="s">
        <v>17015</v>
      </c>
      <c r="E100" s="2">
        <v>2020</v>
      </c>
      <c r="F100" s="2" t="s">
        <v>17044</v>
      </c>
      <c r="G100" s="2" t="s">
        <v>2295</v>
      </c>
      <c r="H100" s="2" t="s">
        <v>2313</v>
      </c>
      <c r="I100" s="2" t="s">
        <v>2288</v>
      </c>
      <c r="J100" s="2" t="s">
        <v>88</v>
      </c>
      <c r="K100" s="2" t="s">
        <v>4611</v>
      </c>
      <c r="L100" s="2" t="s">
        <v>87</v>
      </c>
      <c r="M100" s="2">
        <v>31</v>
      </c>
      <c r="N100" s="2" t="s">
        <v>9</v>
      </c>
      <c r="T100" s="2" t="s">
        <v>16963</v>
      </c>
      <c r="V100" s="67" t="s">
        <v>2627</v>
      </c>
    </row>
    <row r="101" spans="1:22" hidden="1">
      <c r="A101" s="3" t="s">
        <v>4332</v>
      </c>
      <c r="B101" s="2" t="s">
        <v>2113</v>
      </c>
      <c r="D101" s="1" t="s">
        <v>17016</v>
      </c>
      <c r="E101" s="2">
        <v>2020</v>
      </c>
      <c r="F101" s="2" t="s">
        <v>17044</v>
      </c>
      <c r="G101" s="2" t="s">
        <v>2295</v>
      </c>
      <c r="H101" s="2" t="s">
        <v>2313</v>
      </c>
      <c r="I101" s="2" t="s">
        <v>10</v>
      </c>
      <c r="J101" s="2" t="s">
        <v>765</v>
      </c>
      <c r="K101" s="2" t="s">
        <v>4627</v>
      </c>
      <c r="L101" s="2" t="s">
        <v>764</v>
      </c>
      <c r="M101" s="2">
        <v>4</v>
      </c>
      <c r="N101" s="2" t="s">
        <v>18</v>
      </c>
      <c r="T101" s="2" t="s">
        <v>16964</v>
      </c>
    </row>
    <row r="102" spans="1:22" hidden="1">
      <c r="A102" s="3" t="s">
        <v>4045</v>
      </c>
      <c r="B102" s="2" t="s">
        <v>16967</v>
      </c>
      <c r="D102" s="1" t="s">
        <v>17017</v>
      </c>
      <c r="E102" s="2">
        <v>2020</v>
      </c>
      <c r="F102" s="2" t="s">
        <v>17044</v>
      </c>
      <c r="G102" s="2" t="s">
        <v>2295</v>
      </c>
      <c r="H102" s="2" t="s">
        <v>2313</v>
      </c>
      <c r="I102" s="2" t="s">
        <v>2288</v>
      </c>
      <c r="J102" s="2" t="s">
        <v>220</v>
      </c>
      <c r="K102" s="2" t="s">
        <v>4589</v>
      </c>
      <c r="L102" s="2" t="s">
        <v>217</v>
      </c>
      <c r="M102" s="2">
        <v>29</v>
      </c>
      <c r="N102" s="2" t="s">
        <v>9</v>
      </c>
      <c r="T102" s="2" t="s">
        <v>16964</v>
      </c>
    </row>
    <row r="103" spans="1:22" hidden="1">
      <c r="A103" s="3" t="s">
        <v>3864</v>
      </c>
      <c r="B103" s="2" t="s">
        <v>2114</v>
      </c>
      <c r="D103" s="1" t="s">
        <v>17018</v>
      </c>
      <c r="E103" s="2">
        <v>2020</v>
      </c>
      <c r="F103" s="2" t="s">
        <v>17044</v>
      </c>
      <c r="G103" s="2" t="s">
        <v>2295</v>
      </c>
      <c r="H103" s="2" t="s">
        <v>2313</v>
      </c>
      <c r="I103" s="2" t="s">
        <v>2288</v>
      </c>
      <c r="J103" s="2" t="s">
        <v>120</v>
      </c>
      <c r="K103" s="2" t="s">
        <v>4528</v>
      </c>
      <c r="L103" s="2" t="s">
        <v>119</v>
      </c>
      <c r="M103" s="2">
        <v>155</v>
      </c>
      <c r="N103" s="2" t="s">
        <v>9</v>
      </c>
      <c r="T103" s="2" t="s">
        <v>16964</v>
      </c>
    </row>
    <row r="104" spans="1:22" hidden="1">
      <c r="A104" s="3" t="s">
        <v>3105</v>
      </c>
      <c r="B104" s="2" t="s">
        <v>2115</v>
      </c>
      <c r="D104" s="1" t="s">
        <v>17019</v>
      </c>
      <c r="E104" s="2">
        <v>2020</v>
      </c>
      <c r="F104" s="2" t="s">
        <v>17044</v>
      </c>
      <c r="G104" s="2" t="s">
        <v>2295</v>
      </c>
      <c r="H104" s="2" t="s">
        <v>2313</v>
      </c>
      <c r="I104" s="2" t="s">
        <v>2288</v>
      </c>
      <c r="J104" s="2" t="s">
        <v>20</v>
      </c>
      <c r="K104" s="2" t="s">
        <v>424</v>
      </c>
      <c r="L104" s="2" t="s">
        <v>19</v>
      </c>
      <c r="M104" s="2">
        <v>580</v>
      </c>
      <c r="N104" s="2" t="s">
        <v>14</v>
      </c>
      <c r="T104" s="2" t="s">
        <v>16964</v>
      </c>
    </row>
    <row r="105" spans="1:22" hidden="1">
      <c r="A105" s="3" t="s">
        <v>3872</v>
      </c>
      <c r="B105" s="2" t="s">
        <v>2116</v>
      </c>
      <c r="D105" s="1" t="s">
        <v>17020</v>
      </c>
      <c r="E105" s="2">
        <v>2020</v>
      </c>
      <c r="F105" s="2" t="s">
        <v>17044</v>
      </c>
      <c r="G105" s="2" t="s">
        <v>2295</v>
      </c>
      <c r="H105" s="2" t="s">
        <v>2313</v>
      </c>
      <c r="I105" s="2" t="s">
        <v>2288</v>
      </c>
      <c r="J105" s="2" t="s">
        <v>40</v>
      </c>
      <c r="K105" s="2" t="s">
        <v>4616</v>
      </c>
      <c r="L105" s="2" t="s">
        <v>39</v>
      </c>
      <c r="M105" s="2">
        <v>37</v>
      </c>
      <c r="N105" s="2" t="s">
        <v>9</v>
      </c>
      <c r="T105" s="2" t="s">
        <v>16964</v>
      </c>
    </row>
    <row r="106" spans="1:22" hidden="1">
      <c r="A106" s="3" t="s">
        <v>3222</v>
      </c>
      <c r="B106" s="2" t="s">
        <v>2117</v>
      </c>
      <c r="D106" s="1" t="s">
        <v>17021</v>
      </c>
      <c r="E106" s="2">
        <v>2020</v>
      </c>
      <c r="F106" s="2" t="s">
        <v>17044</v>
      </c>
      <c r="G106" s="2" t="s">
        <v>2295</v>
      </c>
      <c r="H106" s="2" t="s">
        <v>2313</v>
      </c>
      <c r="I106" s="2" t="s">
        <v>2288</v>
      </c>
      <c r="J106" s="2" t="s">
        <v>29</v>
      </c>
      <c r="K106" s="2" t="s">
        <v>66</v>
      </c>
      <c r="L106" s="2" t="s">
        <v>28</v>
      </c>
      <c r="M106" s="2">
        <v>8</v>
      </c>
      <c r="N106" s="2" t="s">
        <v>9</v>
      </c>
      <c r="T106" s="2" t="s">
        <v>16964</v>
      </c>
    </row>
    <row r="107" spans="1:22" hidden="1">
      <c r="A107" s="3" t="s">
        <v>4346</v>
      </c>
      <c r="B107" s="2" t="s">
        <v>2118</v>
      </c>
      <c r="D107" s="1" t="s">
        <v>17022</v>
      </c>
      <c r="E107" s="2">
        <v>2020</v>
      </c>
      <c r="F107" s="2" t="s">
        <v>17044</v>
      </c>
      <c r="G107" s="2" t="s">
        <v>2295</v>
      </c>
      <c r="H107" s="2" t="s">
        <v>2313</v>
      </c>
      <c r="I107" s="2" t="s">
        <v>10</v>
      </c>
      <c r="J107" s="2" t="s">
        <v>765</v>
      </c>
      <c r="K107" s="2" t="s">
        <v>4628</v>
      </c>
      <c r="L107" s="2" t="s">
        <v>764</v>
      </c>
      <c r="M107" s="2">
        <v>4</v>
      </c>
      <c r="N107" s="2" t="s">
        <v>18</v>
      </c>
      <c r="T107" s="2" t="s">
        <v>16964</v>
      </c>
    </row>
    <row r="108" spans="1:22" hidden="1">
      <c r="A108" s="3" t="s">
        <v>4364</v>
      </c>
      <c r="B108" s="2" t="s">
        <v>2119</v>
      </c>
      <c r="D108" s="1" t="s">
        <v>17023</v>
      </c>
      <c r="E108" s="2">
        <v>2020</v>
      </c>
      <c r="F108" s="2" t="s">
        <v>17044</v>
      </c>
      <c r="G108" s="2" t="s">
        <v>2295</v>
      </c>
      <c r="H108" s="2" t="s">
        <v>2313</v>
      </c>
      <c r="I108" s="2" t="s">
        <v>2288</v>
      </c>
      <c r="J108" s="2" t="s">
        <v>220</v>
      </c>
      <c r="K108" s="2" t="s">
        <v>4590</v>
      </c>
      <c r="L108" s="2" t="s">
        <v>217</v>
      </c>
      <c r="M108" s="2">
        <v>29</v>
      </c>
      <c r="N108" s="2" t="s">
        <v>9</v>
      </c>
      <c r="T108" s="2" t="s">
        <v>16964</v>
      </c>
    </row>
    <row r="109" spans="1:22" hidden="1">
      <c r="A109" s="3" t="s">
        <v>3600</v>
      </c>
      <c r="B109" s="2" t="s">
        <v>2120</v>
      </c>
      <c r="D109" s="1" t="s">
        <v>17024</v>
      </c>
      <c r="E109" s="2">
        <v>2020</v>
      </c>
      <c r="F109" s="2" t="s">
        <v>17044</v>
      </c>
      <c r="G109" s="2" t="s">
        <v>2295</v>
      </c>
      <c r="H109" s="2" t="s">
        <v>2313</v>
      </c>
      <c r="I109" s="2" t="s">
        <v>10</v>
      </c>
      <c r="J109" s="2" t="s">
        <v>12</v>
      </c>
      <c r="K109" s="2" t="s">
        <v>4600</v>
      </c>
      <c r="L109" s="2" t="s">
        <v>11</v>
      </c>
      <c r="M109" s="2">
        <v>3</v>
      </c>
      <c r="N109" s="2" t="s">
        <v>14</v>
      </c>
      <c r="T109" s="2" t="s">
        <v>16964</v>
      </c>
    </row>
    <row r="110" spans="1:22" hidden="1">
      <c r="A110" s="3" t="s">
        <v>4382</v>
      </c>
      <c r="B110" s="2" t="s">
        <v>2121</v>
      </c>
      <c r="D110" s="1" t="s">
        <v>17025</v>
      </c>
      <c r="E110" s="2">
        <v>2020</v>
      </c>
      <c r="F110" s="2" t="s">
        <v>17044</v>
      </c>
      <c r="G110" s="2" t="s">
        <v>2295</v>
      </c>
      <c r="H110" s="2" t="s">
        <v>2313</v>
      </c>
      <c r="I110" s="2" t="s">
        <v>10</v>
      </c>
      <c r="J110" s="2" t="s">
        <v>12</v>
      </c>
      <c r="K110" s="2" t="s">
        <v>4601</v>
      </c>
      <c r="L110" s="2" t="s">
        <v>11</v>
      </c>
      <c r="M110" s="2">
        <v>3</v>
      </c>
      <c r="N110" s="2" t="s">
        <v>14</v>
      </c>
      <c r="T110" s="2" t="s">
        <v>16964</v>
      </c>
    </row>
    <row r="111" spans="1:22" hidden="1">
      <c r="A111" s="3" t="s">
        <v>3776</v>
      </c>
      <c r="B111" s="2" t="s">
        <v>2122</v>
      </c>
      <c r="D111" s="1" t="s">
        <v>17026</v>
      </c>
      <c r="E111" s="2">
        <v>2020</v>
      </c>
      <c r="F111" s="2" t="s">
        <v>17044</v>
      </c>
      <c r="G111" s="2" t="s">
        <v>2295</v>
      </c>
      <c r="H111" s="2" t="s">
        <v>2313</v>
      </c>
      <c r="I111" s="2" t="s">
        <v>2288</v>
      </c>
      <c r="J111" s="2" t="s">
        <v>120</v>
      </c>
      <c r="K111" s="2" t="s">
        <v>4529</v>
      </c>
      <c r="L111" s="2" t="s">
        <v>119</v>
      </c>
      <c r="M111" s="2">
        <v>155</v>
      </c>
      <c r="N111" s="2" t="s">
        <v>9</v>
      </c>
      <c r="T111" s="2" t="s">
        <v>16964</v>
      </c>
    </row>
    <row r="112" spans="1:22" hidden="1">
      <c r="A112" s="3" t="s">
        <v>4416</v>
      </c>
      <c r="B112" s="2" t="s">
        <v>2123</v>
      </c>
      <c r="D112" s="1" t="s">
        <v>17027</v>
      </c>
      <c r="E112" s="2">
        <v>2020</v>
      </c>
      <c r="F112" s="2" t="s">
        <v>17044</v>
      </c>
      <c r="G112" s="2" t="s">
        <v>2295</v>
      </c>
      <c r="H112" s="2" t="s">
        <v>2313</v>
      </c>
      <c r="I112" s="2" t="s">
        <v>2288</v>
      </c>
      <c r="J112" s="2" t="s">
        <v>535</v>
      </c>
      <c r="K112" s="2" t="s">
        <v>4642</v>
      </c>
      <c r="L112" s="2" t="s">
        <v>534</v>
      </c>
      <c r="M112" s="2">
        <v>394</v>
      </c>
      <c r="N112" s="2" t="s">
        <v>9</v>
      </c>
      <c r="T112" s="2" t="s">
        <v>16964</v>
      </c>
    </row>
    <row r="113" spans="1:24" hidden="1">
      <c r="A113" s="3" t="s">
        <v>4403</v>
      </c>
      <c r="B113" s="2" t="s">
        <v>2124</v>
      </c>
      <c r="D113" s="1" t="s">
        <v>17028</v>
      </c>
      <c r="E113" s="2">
        <v>2020</v>
      </c>
      <c r="F113" s="2" t="s">
        <v>17044</v>
      </c>
      <c r="G113" s="2" t="s">
        <v>2295</v>
      </c>
      <c r="H113" s="2" t="s">
        <v>2313</v>
      </c>
      <c r="I113" s="2" t="s">
        <v>2288</v>
      </c>
      <c r="J113" s="2" t="s">
        <v>8</v>
      </c>
      <c r="K113" s="2" t="s">
        <v>4492</v>
      </c>
      <c r="L113" s="2" t="s">
        <v>7</v>
      </c>
      <c r="M113" s="2">
        <v>121</v>
      </c>
      <c r="N113" s="2" t="s">
        <v>9</v>
      </c>
      <c r="T113" s="2" t="s">
        <v>16964</v>
      </c>
    </row>
    <row r="114" spans="1:24" hidden="1">
      <c r="A114" s="3" t="s">
        <v>3765</v>
      </c>
      <c r="B114" s="2" t="s">
        <v>2125</v>
      </c>
      <c r="D114" s="1" t="s">
        <v>17029</v>
      </c>
      <c r="E114" s="2">
        <v>2020</v>
      </c>
      <c r="F114" s="2" t="s">
        <v>17044</v>
      </c>
      <c r="G114" s="2" t="s">
        <v>2295</v>
      </c>
      <c r="H114" s="2" t="s">
        <v>2313</v>
      </c>
      <c r="I114" s="2" t="s">
        <v>2288</v>
      </c>
      <c r="J114" s="2" t="s">
        <v>120</v>
      </c>
      <c r="K114" s="2" t="s">
        <v>4530</v>
      </c>
      <c r="L114" s="2" t="s">
        <v>119</v>
      </c>
      <c r="M114" s="2">
        <v>155</v>
      </c>
      <c r="N114" s="2" t="s">
        <v>9</v>
      </c>
      <c r="T114" s="2" t="s">
        <v>16964</v>
      </c>
    </row>
    <row r="115" spans="1:24" hidden="1">
      <c r="A115" s="3" t="s">
        <v>3163</v>
      </c>
      <c r="B115" s="2" t="s">
        <v>2126</v>
      </c>
      <c r="D115" s="1" t="s">
        <v>17030</v>
      </c>
      <c r="E115" s="2">
        <v>2020</v>
      </c>
      <c r="F115" s="2" t="s">
        <v>17044</v>
      </c>
      <c r="G115" s="2" t="s">
        <v>2295</v>
      </c>
      <c r="H115" s="2" t="s">
        <v>2313</v>
      </c>
      <c r="I115" s="2" t="s">
        <v>2288</v>
      </c>
      <c r="J115" s="2" t="s">
        <v>20</v>
      </c>
      <c r="K115" s="2" t="s">
        <v>4695</v>
      </c>
      <c r="L115" s="2" t="s">
        <v>19</v>
      </c>
      <c r="M115" s="2">
        <v>9</v>
      </c>
      <c r="N115" s="2" t="s">
        <v>9</v>
      </c>
      <c r="T115" s="2" t="s">
        <v>16964</v>
      </c>
    </row>
    <row r="116" spans="1:24" hidden="1">
      <c r="A116" s="3" t="s">
        <v>3422</v>
      </c>
      <c r="B116" s="2" t="s">
        <v>2127</v>
      </c>
      <c r="D116" s="1" t="s">
        <v>17031</v>
      </c>
      <c r="E116" s="2">
        <v>2020</v>
      </c>
      <c r="F116" s="2" t="s">
        <v>17044</v>
      </c>
      <c r="G116" s="2" t="s">
        <v>2295</v>
      </c>
      <c r="H116" s="2" t="s">
        <v>2313</v>
      </c>
      <c r="I116" s="2" t="s">
        <v>10</v>
      </c>
      <c r="J116" s="2" t="s">
        <v>12</v>
      </c>
      <c r="K116" s="2" t="s">
        <v>4602</v>
      </c>
      <c r="L116" s="2" t="s">
        <v>11</v>
      </c>
      <c r="M116" s="2">
        <v>3</v>
      </c>
      <c r="N116" s="2" t="s">
        <v>14</v>
      </c>
      <c r="T116" s="2" t="s">
        <v>16964</v>
      </c>
    </row>
    <row r="117" spans="1:24" hidden="1">
      <c r="A117" s="3" t="s">
        <v>3819</v>
      </c>
      <c r="B117" s="2" t="s">
        <v>2128</v>
      </c>
      <c r="D117" s="1" t="s">
        <v>17032</v>
      </c>
      <c r="E117" s="2">
        <v>2020</v>
      </c>
      <c r="F117" s="2" t="s">
        <v>17044</v>
      </c>
      <c r="G117" s="2" t="s">
        <v>2295</v>
      </c>
      <c r="H117" s="2" t="s">
        <v>2313</v>
      </c>
      <c r="I117" s="2" t="s">
        <v>10</v>
      </c>
      <c r="J117" s="2" t="s">
        <v>12</v>
      </c>
      <c r="K117" s="2" t="s">
        <v>4603</v>
      </c>
      <c r="L117" s="2" t="s">
        <v>11</v>
      </c>
      <c r="M117" s="2">
        <v>3</v>
      </c>
      <c r="N117" s="2" t="s">
        <v>14</v>
      </c>
      <c r="T117" s="2" t="s">
        <v>16964</v>
      </c>
    </row>
    <row r="118" spans="1:24" hidden="1">
      <c r="A118" s="3" t="s">
        <v>4301</v>
      </c>
      <c r="B118" s="2" t="s">
        <v>2129</v>
      </c>
      <c r="D118" s="1" t="s">
        <v>17033</v>
      </c>
      <c r="E118" s="2">
        <v>2020</v>
      </c>
      <c r="F118" s="2" t="s">
        <v>17044</v>
      </c>
      <c r="G118" s="2" t="s">
        <v>2295</v>
      </c>
      <c r="H118" s="2" t="s">
        <v>2313</v>
      </c>
      <c r="I118" s="2" t="s">
        <v>2288</v>
      </c>
      <c r="J118" s="2" t="s">
        <v>8</v>
      </c>
      <c r="K118" s="2" t="s">
        <v>4493</v>
      </c>
      <c r="L118" s="2" t="s">
        <v>7</v>
      </c>
      <c r="M118" s="2">
        <v>121</v>
      </c>
      <c r="N118" s="2" t="s">
        <v>9</v>
      </c>
      <c r="T118" s="2" t="s">
        <v>16964</v>
      </c>
    </row>
    <row r="119" spans="1:24" hidden="1">
      <c r="A119" s="3" t="s">
        <v>3947</v>
      </c>
      <c r="B119" s="2" t="s">
        <v>2130</v>
      </c>
      <c r="D119" s="1" t="s">
        <v>17034</v>
      </c>
      <c r="E119" s="2">
        <v>2020</v>
      </c>
      <c r="F119" s="2" t="s">
        <v>17044</v>
      </c>
      <c r="G119" s="2" t="s">
        <v>2295</v>
      </c>
      <c r="H119" s="2" t="s">
        <v>2313</v>
      </c>
      <c r="I119" s="2" t="s">
        <v>2288</v>
      </c>
      <c r="J119" s="2" t="s">
        <v>398</v>
      </c>
      <c r="K119" s="2" t="s">
        <v>4586</v>
      </c>
      <c r="L119" s="2" t="s">
        <v>397</v>
      </c>
      <c r="M119" s="2">
        <v>26</v>
      </c>
      <c r="N119" s="2" t="s">
        <v>9</v>
      </c>
      <c r="T119" s="2" t="s">
        <v>16964</v>
      </c>
    </row>
    <row r="120" spans="1:24" hidden="1">
      <c r="A120" s="3" t="s">
        <v>2974</v>
      </c>
      <c r="B120" s="2" t="s">
        <v>2102</v>
      </c>
      <c r="D120" s="1" t="s">
        <v>17035</v>
      </c>
      <c r="E120" s="2">
        <v>2010</v>
      </c>
      <c r="F120" s="2" t="s">
        <v>17044</v>
      </c>
      <c r="G120" s="2" t="s">
        <v>2295</v>
      </c>
      <c r="H120" s="2" t="s">
        <v>2313</v>
      </c>
      <c r="I120" s="2" t="s">
        <v>2288</v>
      </c>
      <c r="J120" s="2" t="s">
        <v>8</v>
      </c>
      <c r="K120" s="2" t="s">
        <v>832</v>
      </c>
      <c r="L120" s="2" t="s">
        <v>7</v>
      </c>
      <c r="M120" s="2">
        <v>121</v>
      </c>
      <c r="N120" s="2" t="s">
        <v>9</v>
      </c>
      <c r="T120" s="2" t="s">
        <v>16963</v>
      </c>
      <c r="X120" s="67" t="s">
        <v>4722</v>
      </c>
    </row>
    <row r="121" spans="1:24" hidden="1">
      <c r="A121" s="3" t="s">
        <v>4012</v>
      </c>
      <c r="B121" s="2" t="s">
        <v>2103</v>
      </c>
      <c r="D121" s="1" t="s">
        <v>17036</v>
      </c>
      <c r="E121" s="2">
        <v>2011</v>
      </c>
      <c r="F121" s="2" t="s">
        <v>17044</v>
      </c>
      <c r="G121" s="2" t="s">
        <v>2295</v>
      </c>
      <c r="H121" s="2" t="s">
        <v>2313</v>
      </c>
      <c r="I121" s="2" t="s">
        <v>2288</v>
      </c>
      <c r="J121" s="2" t="s">
        <v>4666</v>
      </c>
      <c r="K121" s="2" t="s">
        <v>4667</v>
      </c>
      <c r="L121" s="2" t="s">
        <v>101</v>
      </c>
      <c r="M121" s="2">
        <v>7</v>
      </c>
      <c r="N121" s="2" t="s">
        <v>9</v>
      </c>
      <c r="T121" s="2" t="s">
        <v>16964</v>
      </c>
    </row>
    <row r="122" spans="1:24" hidden="1">
      <c r="A122" s="3" t="s">
        <v>3601</v>
      </c>
      <c r="B122" s="2" t="s">
        <v>2105</v>
      </c>
      <c r="D122" s="1" t="s">
        <v>17037</v>
      </c>
      <c r="E122" s="2">
        <v>2012</v>
      </c>
      <c r="F122" s="2" t="s">
        <v>17044</v>
      </c>
      <c r="G122" s="2" t="s">
        <v>2295</v>
      </c>
      <c r="H122" s="2" t="s">
        <v>2313</v>
      </c>
      <c r="I122" s="2" t="s">
        <v>2288</v>
      </c>
      <c r="J122" s="2" t="s">
        <v>40</v>
      </c>
      <c r="K122" s="2" t="s">
        <v>4615</v>
      </c>
      <c r="L122" s="2" t="s">
        <v>39</v>
      </c>
      <c r="M122" s="2">
        <v>37</v>
      </c>
      <c r="N122" s="2" t="s">
        <v>9</v>
      </c>
      <c r="T122" s="2" t="s">
        <v>16964</v>
      </c>
    </row>
    <row r="123" spans="1:24" hidden="1">
      <c r="A123" s="3" t="s">
        <v>4368</v>
      </c>
      <c r="B123" s="2" t="s">
        <v>2106</v>
      </c>
      <c r="D123" s="1" t="s">
        <v>17038</v>
      </c>
      <c r="E123" s="2">
        <v>2012</v>
      </c>
      <c r="F123" s="2" t="s">
        <v>17044</v>
      </c>
      <c r="G123" s="2" t="s">
        <v>2295</v>
      </c>
      <c r="H123" s="2" t="s">
        <v>2313</v>
      </c>
      <c r="I123" s="2" t="s">
        <v>2288</v>
      </c>
      <c r="J123" s="2" t="s">
        <v>402</v>
      </c>
      <c r="K123" s="2" t="s">
        <v>515</v>
      </c>
      <c r="L123" s="2" t="s">
        <v>401</v>
      </c>
      <c r="M123" s="2">
        <v>18</v>
      </c>
      <c r="N123" s="2" t="s">
        <v>9</v>
      </c>
      <c r="T123" s="2" t="s">
        <v>16964</v>
      </c>
    </row>
    <row r="124" spans="1:24" hidden="1">
      <c r="A124" s="3" t="s">
        <v>4333</v>
      </c>
      <c r="B124" s="2" t="s">
        <v>2104</v>
      </c>
      <c r="D124" s="1" t="s">
        <v>17039</v>
      </c>
      <c r="E124" s="2">
        <v>2011</v>
      </c>
      <c r="F124" s="2" t="s">
        <v>17044</v>
      </c>
      <c r="G124" s="2" t="s">
        <v>2295</v>
      </c>
      <c r="H124" s="2" t="s">
        <v>2313</v>
      </c>
      <c r="I124" s="2" t="s">
        <v>2288</v>
      </c>
      <c r="J124" s="2" t="s">
        <v>402</v>
      </c>
      <c r="K124" s="2" t="s">
        <v>4539</v>
      </c>
      <c r="L124" s="2" t="s">
        <v>401</v>
      </c>
      <c r="M124" s="2">
        <v>18</v>
      </c>
      <c r="N124" s="2" t="s">
        <v>9</v>
      </c>
      <c r="T124" s="2" t="s">
        <v>16964</v>
      </c>
    </row>
    <row r="125" spans="1:24" hidden="1">
      <c r="A125" s="3" t="s">
        <v>4091</v>
      </c>
      <c r="B125" s="2" t="s">
        <v>2131</v>
      </c>
      <c r="D125" s="1" t="s">
        <v>17040</v>
      </c>
      <c r="E125" s="2">
        <v>2021</v>
      </c>
      <c r="F125" s="2" t="s">
        <v>17044</v>
      </c>
      <c r="G125" s="2" t="s">
        <v>2295</v>
      </c>
      <c r="H125" s="2" t="s">
        <v>2313</v>
      </c>
      <c r="I125" s="2" t="s">
        <v>10</v>
      </c>
      <c r="J125" s="2" t="s">
        <v>12</v>
      </c>
      <c r="K125" s="2" t="s">
        <v>4604</v>
      </c>
      <c r="L125" s="2" t="s">
        <v>11</v>
      </c>
      <c r="M125" s="2">
        <v>3</v>
      </c>
      <c r="N125" s="2" t="s">
        <v>14</v>
      </c>
      <c r="T125" s="2" t="s">
        <v>16964</v>
      </c>
    </row>
    <row r="126" spans="1:24" hidden="1">
      <c r="A126" s="3" t="s">
        <v>3777</v>
      </c>
      <c r="B126" s="2" t="s">
        <v>2132</v>
      </c>
      <c r="D126" s="1" t="s">
        <v>17041</v>
      </c>
      <c r="E126" s="2">
        <v>2021</v>
      </c>
      <c r="F126" s="2" t="s">
        <v>17044</v>
      </c>
      <c r="G126" s="2" t="s">
        <v>2295</v>
      </c>
      <c r="H126" s="2" t="s">
        <v>2313</v>
      </c>
      <c r="I126" s="2" t="s">
        <v>2288</v>
      </c>
      <c r="J126" s="2" t="s">
        <v>120</v>
      </c>
      <c r="K126" s="2" t="s">
        <v>4529</v>
      </c>
      <c r="L126" s="2" t="s">
        <v>119</v>
      </c>
      <c r="M126" s="2">
        <v>155</v>
      </c>
      <c r="N126" s="2" t="s">
        <v>9</v>
      </c>
      <c r="T126" s="2" t="s">
        <v>16964</v>
      </c>
    </row>
    <row r="127" spans="1:24" hidden="1">
      <c r="A127" s="3" t="s">
        <v>2863</v>
      </c>
      <c r="B127" s="2" t="s">
        <v>2133</v>
      </c>
      <c r="D127" s="1" t="s">
        <v>17042</v>
      </c>
      <c r="E127" s="2">
        <v>2021</v>
      </c>
      <c r="F127" s="2" t="s">
        <v>17044</v>
      </c>
      <c r="G127" s="2" t="s">
        <v>2295</v>
      </c>
      <c r="H127" s="2" t="s">
        <v>2313</v>
      </c>
      <c r="I127" s="2" t="s">
        <v>2288</v>
      </c>
      <c r="J127" s="2" t="s">
        <v>8</v>
      </c>
      <c r="K127" s="2" t="s">
        <v>4494</v>
      </c>
      <c r="L127" s="2" t="s">
        <v>7</v>
      </c>
      <c r="M127" s="2">
        <v>121</v>
      </c>
      <c r="N127" s="2" t="s">
        <v>9</v>
      </c>
      <c r="T127" s="2" t="s">
        <v>16963</v>
      </c>
      <c r="X127" s="67" t="s">
        <v>4722</v>
      </c>
    </row>
    <row r="128" spans="1:24" hidden="1">
      <c r="A128" s="3" t="s">
        <v>4399</v>
      </c>
      <c r="B128" s="2" t="s">
        <v>2134</v>
      </c>
      <c r="D128" s="1" t="s">
        <v>17043</v>
      </c>
      <c r="E128" s="2">
        <v>2021</v>
      </c>
      <c r="F128" s="2" t="s">
        <v>17044</v>
      </c>
      <c r="G128" s="2" t="s">
        <v>2295</v>
      </c>
      <c r="H128" s="2" t="s">
        <v>2313</v>
      </c>
      <c r="I128" s="2" t="s">
        <v>10</v>
      </c>
      <c r="J128" s="2" t="s">
        <v>129</v>
      </c>
      <c r="K128" s="2" t="s">
        <v>4464</v>
      </c>
      <c r="L128" s="2" t="s">
        <v>128</v>
      </c>
      <c r="M128" s="2">
        <v>1</v>
      </c>
      <c r="N128" s="2" t="s">
        <v>18</v>
      </c>
      <c r="T128" s="2" t="s">
        <v>16964</v>
      </c>
    </row>
    <row r="129" spans="1:24" hidden="1">
      <c r="A129" s="3" t="s">
        <v>2800</v>
      </c>
      <c r="B129" s="2" t="s">
        <v>1903</v>
      </c>
      <c r="D129" s="68" t="s">
        <v>17101</v>
      </c>
      <c r="E129" s="2">
        <v>2011</v>
      </c>
      <c r="F129" s="2" t="s">
        <v>449</v>
      </c>
      <c r="G129" s="2" t="s">
        <v>2295</v>
      </c>
      <c r="H129" s="2" t="s">
        <v>2316</v>
      </c>
      <c r="I129" s="2" t="s">
        <v>2288</v>
      </c>
      <c r="J129" s="2" t="s">
        <v>24</v>
      </c>
      <c r="K129" s="2" t="s">
        <v>556</v>
      </c>
      <c r="L129" s="2" t="s">
        <v>23</v>
      </c>
      <c r="M129" s="2">
        <v>14</v>
      </c>
      <c r="N129" s="2" t="s">
        <v>9</v>
      </c>
      <c r="O129" s="2">
        <f>VLOOKUP(B129,[1]Sheet1!$B$624:$E$1665,4,FALSE)</f>
        <v>0.2</v>
      </c>
      <c r="P129" s="2" t="s">
        <v>16964</v>
      </c>
      <c r="T129" s="2" t="s">
        <v>16964</v>
      </c>
    </row>
    <row r="130" spans="1:24" hidden="1">
      <c r="A130" s="3" t="s">
        <v>3665</v>
      </c>
      <c r="B130" s="2" t="s">
        <v>1902</v>
      </c>
      <c r="D130" s="68" t="s">
        <v>17102</v>
      </c>
      <c r="E130" s="2">
        <v>2011</v>
      </c>
      <c r="F130" s="2" t="s">
        <v>449</v>
      </c>
      <c r="G130" s="2" t="s">
        <v>2295</v>
      </c>
      <c r="H130" s="2" t="s">
        <v>2316</v>
      </c>
      <c r="I130" s="2" t="s">
        <v>2288</v>
      </c>
      <c r="J130" s="2" t="s">
        <v>102</v>
      </c>
      <c r="K130" s="2" t="s">
        <v>4675</v>
      </c>
      <c r="L130" s="2" t="s">
        <v>101</v>
      </c>
      <c r="M130" s="2">
        <v>732</v>
      </c>
      <c r="N130" s="2" t="s">
        <v>9</v>
      </c>
      <c r="O130" s="2">
        <f>VLOOKUP(B130,[1]Sheet1!$B$624:$E$1665,4,FALSE)</f>
        <v>0.2</v>
      </c>
      <c r="P130" s="2" t="s">
        <v>16964</v>
      </c>
      <c r="T130" s="2" t="s">
        <v>16964</v>
      </c>
    </row>
    <row r="131" spans="1:24" hidden="1">
      <c r="A131" s="3" t="s">
        <v>2874</v>
      </c>
      <c r="B131" s="2" t="s">
        <v>1900</v>
      </c>
      <c r="D131" s="68" t="s">
        <v>17104</v>
      </c>
      <c r="E131" s="2">
        <v>2011</v>
      </c>
      <c r="F131" s="2" t="s">
        <v>449</v>
      </c>
      <c r="G131" s="2" t="s">
        <v>2295</v>
      </c>
      <c r="H131" s="2" t="s">
        <v>2316</v>
      </c>
      <c r="I131" s="2" t="s">
        <v>2288</v>
      </c>
      <c r="J131" s="2" t="s">
        <v>24</v>
      </c>
      <c r="K131" s="2" t="s">
        <v>70</v>
      </c>
      <c r="L131" s="2" t="s">
        <v>23</v>
      </c>
      <c r="M131" s="2">
        <v>14</v>
      </c>
      <c r="N131" s="2" t="s">
        <v>9</v>
      </c>
      <c r="O131" s="2">
        <f>VLOOKUP(B131,[1]Sheet1!$B$624:$E$1665,4,FALSE)</f>
        <v>0.2</v>
      </c>
      <c r="P131" s="2" t="s">
        <v>16964</v>
      </c>
      <c r="T131" s="2" t="s">
        <v>16964</v>
      </c>
    </row>
    <row r="132" spans="1:24">
      <c r="A132" s="3" t="s">
        <v>3824</v>
      </c>
      <c r="B132" s="2" t="s">
        <v>2579</v>
      </c>
      <c r="D132" s="1" t="s">
        <v>17284</v>
      </c>
      <c r="E132" s="2">
        <v>2015</v>
      </c>
      <c r="F132" s="2" t="s">
        <v>2573</v>
      </c>
      <c r="G132" s="2" t="s">
        <v>5</v>
      </c>
      <c r="I132" s="2" t="s">
        <v>6</v>
      </c>
      <c r="J132" s="2" t="s">
        <v>88</v>
      </c>
      <c r="K132" s="2" t="s">
        <v>89</v>
      </c>
      <c r="L132" s="2" t="s">
        <v>87</v>
      </c>
      <c r="M132" s="2">
        <v>31</v>
      </c>
      <c r="N132" s="2" t="s">
        <v>9</v>
      </c>
      <c r="T132" s="2" t="s">
        <v>16964</v>
      </c>
    </row>
    <row r="133" spans="1:24">
      <c r="A133" s="3" t="s">
        <v>2612</v>
      </c>
      <c r="B133" s="2" t="s">
        <v>2612</v>
      </c>
      <c r="D133" s="1" t="s">
        <v>17285</v>
      </c>
      <c r="E133" s="2">
        <v>2015</v>
      </c>
      <c r="F133" s="2" t="s">
        <v>2573</v>
      </c>
      <c r="G133" s="2" t="s">
        <v>5</v>
      </c>
      <c r="I133" s="2" t="s">
        <v>6</v>
      </c>
      <c r="J133" s="2" t="s">
        <v>8</v>
      </c>
      <c r="K133" s="2" t="s">
        <v>86</v>
      </c>
      <c r="L133" s="2" t="s">
        <v>7</v>
      </c>
      <c r="M133" s="2">
        <v>121</v>
      </c>
      <c r="N133" s="2" t="s">
        <v>9</v>
      </c>
      <c r="T133" s="2" t="s">
        <v>16963</v>
      </c>
      <c r="X133" s="67" t="s">
        <v>4722</v>
      </c>
    </row>
    <row r="134" spans="1:24">
      <c r="A134" s="3" t="s">
        <v>2876</v>
      </c>
      <c r="B134" s="2">
        <v>15086220</v>
      </c>
      <c r="D134" s="1" t="s">
        <v>17256</v>
      </c>
      <c r="E134" s="2">
        <v>2015</v>
      </c>
      <c r="F134" s="2" t="s">
        <v>2573</v>
      </c>
      <c r="G134" s="2" t="s">
        <v>5</v>
      </c>
      <c r="I134" s="2" t="s">
        <v>6</v>
      </c>
      <c r="J134" s="2" t="s">
        <v>73</v>
      </c>
      <c r="K134" s="2" t="s">
        <v>74</v>
      </c>
      <c r="L134" s="2" t="s">
        <v>23</v>
      </c>
      <c r="M134" s="2">
        <v>399</v>
      </c>
      <c r="N134" s="2" t="s">
        <v>9</v>
      </c>
      <c r="T134" s="2" t="s">
        <v>16964</v>
      </c>
    </row>
    <row r="135" spans="1:24" hidden="1">
      <c r="A135" s="3" t="s">
        <v>3336</v>
      </c>
      <c r="B135" s="2" t="s">
        <v>1897</v>
      </c>
      <c r="D135" s="68" t="s">
        <v>17107</v>
      </c>
      <c r="E135" s="2">
        <v>2001</v>
      </c>
      <c r="F135" s="2" t="s">
        <v>449</v>
      </c>
      <c r="G135" s="2" t="s">
        <v>2295</v>
      </c>
      <c r="H135" s="2" t="s">
        <v>2316</v>
      </c>
      <c r="I135" s="2" t="s">
        <v>2288</v>
      </c>
      <c r="J135" s="2" t="s">
        <v>29</v>
      </c>
      <c r="K135" s="2" t="s">
        <v>66</v>
      </c>
      <c r="L135" s="2" t="s">
        <v>28</v>
      </c>
      <c r="M135" s="2">
        <v>8</v>
      </c>
      <c r="N135" s="2" t="s">
        <v>9</v>
      </c>
      <c r="O135" s="2">
        <f>VLOOKUP(B135,[1]Sheet1!$B$624:$E$1665,4,FALSE)</f>
        <v>0.2</v>
      </c>
      <c r="P135" s="2" t="s">
        <v>16964</v>
      </c>
      <c r="T135" s="2" t="s">
        <v>16964</v>
      </c>
    </row>
    <row r="136" spans="1:24" hidden="1">
      <c r="A136" s="3" t="s">
        <v>3181</v>
      </c>
      <c r="B136" s="2" t="s">
        <v>1895</v>
      </c>
      <c r="D136" s="68" t="s">
        <v>7142</v>
      </c>
      <c r="E136" s="2">
        <v>2012</v>
      </c>
      <c r="F136" s="2" t="s">
        <v>449</v>
      </c>
      <c r="G136" s="2" t="s">
        <v>2295</v>
      </c>
      <c r="H136" s="2" t="s">
        <v>2314</v>
      </c>
      <c r="I136" s="2" t="s">
        <v>2317</v>
      </c>
      <c r="J136" s="2" t="s">
        <v>20</v>
      </c>
      <c r="K136" s="2" t="s">
        <v>361</v>
      </c>
      <c r="L136" s="2" t="s">
        <v>19</v>
      </c>
      <c r="M136" s="2">
        <v>9</v>
      </c>
      <c r="N136" s="2" t="s">
        <v>21</v>
      </c>
      <c r="O136" s="13">
        <f>VLOOKUP(B136,[1]Sheet1!$B$624:$E$1665,4,FALSE)</f>
        <v>0.2</v>
      </c>
      <c r="P136" s="13" t="s">
        <v>16964</v>
      </c>
      <c r="T136" s="2" t="s">
        <v>16963</v>
      </c>
      <c r="X136" s="67" t="s">
        <v>4723</v>
      </c>
    </row>
    <row r="137" spans="1:24" hidden="1">
      <c r="A137" s="3" t="s">
        <v>4160</v>
      </c>
      <c r="B137" s="2" t="s">
        <v>1894</v>
      </c>
      <c r="D137" s="68" t="s">
        <v>17108</v>
      </c>
      <c r="E137" s="2">
        <v>2012</v>
      </c>
      <c r="F137" s="2" t="s">
        <v>449</v>
      </c>
      <c r="G137" s="2" t="s">
        <v>2295</v>
      </c>
      <c r="H137" s="2" t="s">
        <v>1494</v>
      </c>
      <c r="I137" s="2" t="s">
        <v>2288</v>
      </c>
      <c r="J137" s="2" t="s">
        <v>102</v>
      </c>
      <c r="K137" s="2" t="s">
        <v>4668</v>
      </c>
      <c r="L137" s="2" t="s">
        <v>101</v>
      </c>
      <c r="M137" s="2">
        <v>7</v>
      </c>
      <c r="N137" s="2" t="s">
        <v>9</v>
      </c>
      <c r="O137" s="2">
        <f>VLOOKUP(B137,[1]Sheet1!$B$624:$E$1665,4,FALSE)</f>
        <v>0.2</v>
      </c>
      <c r="P137" s="2" t="s">
        <v>16964</v>
      </c>
      <c r="T137" s="2" t="s">
        <v>16964</v>
      </c>
    </row>
    <row r="138" spans="1:24" hidden="1">
      <c r="A138" s="3" t="s">
        <v>3345</v>
      </c>
      <c r="B138" s="2" t="s">
        <v>1882</v>
      </c>
      <c r="D138" s="68" t="s">
        <v>17117</v>
      </c>
      <c r="E138" s="2">
        <v>2011</v>
      </c>
      <c r="F138" s="2" t="s">
        <v>449</v>
      </c>
      <c r="G138" s="2" t="s">
        <v>2295</v>
      </c>
      <c r="H138" s="2" t="s">
        <v>1494</v>
      </c>
      <c r="I138" s="2" t="s">
        <v>2288</v>
      </c>
      <c r="J138" s="2" t="s">
        <v>29</v>
      </c>
      <c r="K138" s="2" t="s">
        <v>4681</v>
      </c>
      <c r="L138" s="2" t="s">
        <v>28</v>
      </c>
      <c r="M138" s="2">
        <v>8</v>
      </c>
      <c r="N138" s="2" t="s">
        <v>9</v>
      </c>
      <c r="O138" s="2">
        <f>VLOOKUP(B138,[1]Sheet1!$B$624:$E$1665,4,FALSE)</f>
        <v>0.4</v>
      </c>
      <c r="P138" s="2" t="s">
        <v>16964</v>
      </c>
      <c r="T138" s="2" t="s">
        <v>16964</v>
      </c>
    </row>
    <row r="139" spans="1:24" hidden="1">
      <c r="A139" s="3" t="s">
        <v>3623</v>
      </c>
      <c r="B139" s="2" t="s">
        <v>1865</v>
      </c>
      <c r="D139" s="68" t="s">
        <v>17131</v>
      </c>
      <c r="E139" s="2">
        <v>2018</v>
      </c>
      <c r="F139" s="2" t="s">
        <v>449</v>
      </c>
      <c r="G139" s="2" t="s">
        <v>2295</v>
      </c>
      <c r="H139" s="2" t="s">
        <v>1494</v>
      </c>
      <c r="I139" s="2" t="s">
        <v>10</v>
      </c>
      <c r="J139" s="2" t="s">
        <v>129</v>
      </c>
      <c r="K139" s="2" t="s">
        <v>558</v>
      </c>
      <c r="L139" s="2" t="s">
        <v>128</v>
      </c>
      <c r="M139" s="2">
        <v>1</v>
      </c>
      <c r="N139" s="2" t="s">
        <v>18</v>
      </c>
      <c r="O139" s="2">
        <f>VLOOKUP(B139,[1]Sheet1!$B$624:$E$1665,4,FALSE)</f>
        <v>0.4</v>
      </c>
      <c r="P139" s="2" t="s">
        <v>16964</v>
      </c>
      <c r="T139" s="2" t="s">
        <v>16964</v>
      </c>
    </row>
    <row r="140" spans="1:24" hidden="1">
      <c r="A140" s="3" t="s">
        <v>4277</v>
      </c>
      <c r="B140" s="2" t="s">
        <v>2027</v>
      </c>
      <c r="D140" s="28" t="s">
        <v>17329</v>
      </c>
      <c r="E140" s="2">
        <v>1926</v>
      </c>
      <c r="F140" s="2" t="s">
        <v>2198</v>
      </c>
      <c r="G140" s="2" t="s">
        <v>318</v>
      </c>
      <c r="H140" s="2" t="s">
        <v>2348</v>
      </c>
      <c r="I140" s="2" t="s">
        <v>10</v>
      </c>
      <c r="J140" s="2" t="s">
        <v>4721</v>
      </c>
      <c r="K140" s="2" t="s">
        <v>4721</v>
      </c>
      <c r="L140" s="2" t="s">
        <v>16</v>
      </c>
      <c r="M140" s="2">
        <v>145</v>
      </c>
      <c r="N140" s="2" t="s">
        <v>18</v>
      </c>
      <c r="T140" s="2" t="s">
        <v>16964</v>
      </c>
    </row>
    <row r="141" spans="1:24" hidden="1">
      <c r="A141" s="3" t="s">
        <v>3394</v>
      </c>
      <c r="B141" s="2" t="s">
        <v>1911</v>
      </c>
      <c r="D141" s="28" t="s">
        <v>17351</v>
      </c>
      <c r="E141" s="2">
        <v>2014</v>
      </c>
      <c r="F141" s="2" t="s">
        <v>2690</v>
      </c>
      <c r="G141" s="2" t="s">
        <v>4456</v>
      </c>
      <c r="H141" s="2" t="s">
        <v>2287</v>
      </c>
      <c r="I141" s="2" t="s">
        <v>2288</v>
      </c>
      <c r="J141" s="2" t="s">
        <v>415</v>
      </c>
      <c r="K141" s="2" t="s">
        <v>4564</v>
      </c>
      <c r="L141" s="2" t="s">
        <v>414</v>
      </c>
      <c r="M141" s="2">
        <v>204</v>
      </c>
      <c r="N141" s="2" t="s">
        <v>9</v>
      </c>
      <c r="O141" s="2">
        <f>VLOOKUP(B141,[1]Sheet1!$B$624:$E$1665,4,FALSE)</f>
        <v>0.1</v>
      </c>
      <c r="P141" s="2" t="s">
        <v>16964</v>
      </c>
      <c r="T141" s="2" t="s">
        <v>16964</v>
      </c>
    </row>
    <row r="142" spans="1:24" hidden="1">
      <c r="A142" s="3" t="s">
        <v>2844</v>
      </c>
      <c r="B142" s="2" t="s">
        <v>1912</v>
      </c>
      <c r="D142" s="28" t="s">
        <v>17352</v>
      </c>
      <c r="E142" s="2">
        <v>2019</v>
      </c>
      <c r="F142" s="2" t="s">
        <v>2690</v>
      </c>
      <c r="G142" s="2" t="s">
        <v>4456</v>
      </c>
      <c r="H142" s="2" t="s">
        <v>2287</v>
      </c>
      <c r="I142" s="2" t="s">
        <v>2288</v>
      </c>
      <c r="J142" s="2" t="s">
        <v>24</v>
      </c>
      <c r="K142" s="2" t="s">
        <v>4520</v>
      </c>
      <c r="L142" s="2" t="s">
        <v>23</v>
      </c>
      <c r="M142" s="2">
        <v>14</v>
      </c>
      <c r="N142" s="2" t="s">
        <v>9</v>
      </c>
      <c r="O142" s="2">
        <f>VLOOKUP(B142,[1]Sheet1!$B$624:$E$1665,4,FALSE)</f>
        <v>0.2</v>
      </c>
      <c r="P142" s="2" t="s">
        <v>16964</v>
      </c>
      <c r="T142" s="2" t="s">
        <v>16964</v>
      </c>
    </row>
    <row r="143" spans="1:24" hidden="1">
      <c r="A143" s="3" t="s">
        <v>3790</v>
      </c>
      <c r="B143" s="2" t="s">
        <v>1913</v>
      </c>
      <c r="D143" s="28" t="s">
        <v>17353</v>
      </c>
      <c r="E143" s="2">
        <v>2020</v>
      </c>
      <c r="F143" s="2" t="s">
        <v>2690</v>
      </c>
      <c r="G143" s="2" t="s">
        <v>4456</v>
      </c>
      <c r="H143" s="2" t="s">
        <v>2287</v>
      </c>
      <c r="I143" s="2" t="s">
        <v>2288</v>
      </c>
      <c r="J143" s="2" t="s">
        <v>120</v>
      </c>
      <c r="K143" s="2" t="s">
        <v>4531</v>
      </c>
      <c r="L143" s="2" t="s">
        <v>119</v>
      </c>
      <c r="M143" s="2">
        <v>155</v>
      </c>
      <c r="N143" s="2" t="s">
        <v>9</v>
      </c>
      <c r="O143" s="2">
        <f>VLOOKUP(B143,[1]Sheet1!$B$624:$E$1665,4,FALSE)</f>
        <v>0.2</v>
      </c>
      <c r="P143" s="2" t="s">
        <v>16964</v>
      </c>
      <c r="T143" s="2" t="s">
        <v>16964</v>
      </c>
    </row>
    <row r="144" spans="1:24" hidden="1">
      <c r="A144" s="3" t="s">
        <v>2845</v>
      </c>
      <c r="B144" s="2" t="s">
        <v>1914</v>
      </c>
      <c r="D144" s="28" t="s">
        <v>17354</v>
      </c>
      <c r="E144" s="2">
        <v>2020</v>
      </c>
      <c r="F144" s="2" t="s">
        <v>2690</v>
      </c>
      <c r="G144" s="2" t="s">
        <v>4456</v>
      </c>
      <c r="H144" s="2" t="s">
        <v>2287</v>
      </c>
      <c r="I144" s="2" t="s">
        <v>2288</v>
      </c>
      <c r="J144" s="2" t="s">
        <v>24</v>
      </c>
      <c r="K144" s="2" t="s">
        <v>4521</v>
      </c>
      <c r="L144" s="2" t="s">
        <v>23</v>
      </c>
      <c r="M144" s="2">
        <v>14</v>
      </c>
      <c r="N144" s="2" t="s">
        <v>9</v>
      </c>
      <c r="O144" s="2">
        <f>VLOOKUP(B144,[1]Sheet1!$B$624:$E$1665,4,FALSE)</f>
        <v>0.1</v>
      </c>
      <c r="P144" s="2" t="s">
        <v>16964</v>
      </c>
      <c r="T144" s="2" t="s">
        <v>16964</v>
      </c>
    </row>
    <row r="145" spans="1:24" hidden="1">
      <c r="A145" s="3" t="s">
        <v>4344</v>
      </c>
      <c r="B145" s="2" t="s">
        <v>1915</v>
      </c>
      <c r="D145" s="66" t="s">
        <v>17370</v>
      </c>
      <c r="E145" s="2">
        <v>2020</v>
      </c>
      <c r="F145" s="2" t="s">
        <v>2690</v>
      </c>
      <c r="G145" s="2" t="s">
        <v>4456</v>
      </c>
      <c r="H145" s="2" t="s">
        <v>2287</v>
      </c>
      <c r="I145" s="2" t="s">
        <v>2288</v>
      </c>
      <c r="J145" s="2" t="s">
        <v>220</v>
      </c>
      <c r="K145" s="2" t="s">
        <v>4591</v>
      </c>
      <c r="L145" s="2" t="s">
        <v>217</v>
      </c>
      <c r="M145" s="2">
        <v>29</v>
      </c>
      <c r="N145" s="2" t="s">
        <v>9</v>
      </c>
      <c r="O145" s="2">
        <f>VLOOKUP(B145,[1]Sheet1!$B$624:$E$1665,4,FALSE)</f>
        <v>0.1</v>
      </c>
      <c r="P145" s="2" t="s">
        <v>16964</v>
      </c>
      <c r="T145" s="2" t="s">
        <v>16964</v>
      </c>
    </row>
    <row r="146" spans="1:24" hidden="1">
      <c r="A146" s="3" t="s">
        <v>4397</v>
      </c>
      <c r="B146" s="2" t="s">
        <v>1916</v>
      </c>
      <c r="D146" s="66" t="s">
        <v>17411</v>
      </c>
      <c r="E146" s="2">
        <v>2020</v>
      </c>
      <c r="F146" s="2" t="s">
        <v>2690</v>
      </c>
      <c r="G146" s="2" t="s">
        <v>4456</v>
      </c>
      <c r="H146" s="2" t="s">
        <v>2287</v>
      </c>
      <c r="I146" s="2" t="s">
        <v>10</v>
      </c>
      <c r="J146" s="2" t="s">
        <v>129</v>
      </c>
      <c r="K146" s="2" t="s">
        <v>4465</v>
      </c>
      <c r="L146" s="2" t="s">
        <v>128</v>
      </c>
      <c r="M146" s="2">
        <v>1</v>
      </c>
      <c r="N146" s="2" t="s">
        <v>18</v>
      </c>
      <c r="O146" s="2">
        <f>VLOOKUP(B146,[1]Sheet1!$B$624:$E$1665,4,FALSE)</f>
        <v>0.1</v>
      </c>
      <c r="P146" s="2" t="s">
        <v>16964</v>
      </c>
      <c r="T146" s="2" t="s">
        <v>16964</v>
      </c>
    </row>
    <row r="147" spans="1:24" hidden="1">
      <c r="A147" s="3" t="s">
        <v>4063</v>
      </c>
      <c r="B147" s="2" t="s">
        <v>1917</v>
      </c>
      <c r="D147" s="66" t="s">
        <v>17408</v>
      </c>
      <c r="E147" s="2">
        <v>2020</v>
      </c>
      <c r="F147" s="2" t="s">
        <v>2690</v>
      </c>
      <c r="G147" s="2" t="s">
        <v>4456</v>
      </c>
      <c r="H147" s="2" t="s">
        <v>2287</v>
      </c>
      <c r="I147" s="2" t="s">
        <v>10</v>
      </c>
      <c r="J147" s="2" t="s">
        <v>4577</v>
      </c>
      <c r="K147" s="2" t="s">
        <v>4658</v>
      </c>
      <c r="L147" s="2" t="s">
        <v>2290</v>
      </c>
      <c r="M147" s="2">
        <v>517</v>
      </c>
      <c r="N147" s="2" t="s">
        <v>14</v>
      </c>
      <c r="O147" s="2">
        <f>VLOOKUP(B147,[1]Sheet1!$B$624:$E$1665,4,FALSE)</f>
        <v>0.2</v>
      </c>
      <c r="P147" s="2" t="s">
        <v>16964</v>
      </c>
      <c r="T147" s="2" t="s">
        <v>16964</v>
      </c>
    </row>
    <row r="148" spans="1:24" hidden="1">
      <c r="A148" s="3" t="s">
        <v>3106</v>
      </c>
      <c r="B148" s="2" t="s">
        <v>1918</v>
      </c>
      <c r="D148" s="66" t="s">
        <v>17409</v>
      </c>
      <c r="E148" s="2">
        <v>2021</v>
      </c>
      <c r="F148" s="2" t="s">
        <v>2690</v>
      </c>
      <c r="G148" s="2" t="s">
        <v>4456</v>
      </c>
      <c r="H148" s="2" t="s">
        <v>2287</v>
      </c>
      <c r="I148" s="2" t="s">
        <v>10</v>
      </c>
      <c r="J148" s="2" t="s">
        <v>17</v>
      </c>
      <c r="K148" s="2" t="s">
        <v>4553</v>
      </c>
      <c r="L148" s="2" t="s">
        <v>16</v>
      </c>
      <c r="M148" s="2">
        <v>2</v>
      </c>
      <c r="N148" s="2" t="s">
        <v>18</v>
      </c>
      <c r="O148" s="13">
        <f>VLOOKUP(B148,[1]Sheet1!$B$624:$E$1665,4,FALSE)</f>
        <v>0.4</v>
      </c>
      <c r="P148" s="13" t="s">
        <v>16964</v>
      </c>
      <c r="T148" s="2" t="s">
        <v>16963</v>
      </c>
      <c r="X148" s="67" t="s">
        <v>4724</v>
      </c>
    </row>
    <row r="149" spans="1:24" hidden="1">
      <c r="A149" s="3" t="s">
        <v>3380</v>
      </c>
      <c r="B149" s="2" t="s">
        <v>1919</v>
      </c>
      <c r="D149" s="66" t="s">
        <v>17412</v>
      </c>
      <c r="E149" s="2">
        <v>2021</v>
      </c>
      <c r="F149" s="2" t="s">
        <v>2690</v>
      </c>
      <c r="G149" s="2" t="s">
        <v>4456</v>
      </c>
      <c r="H149" s="2" t="s">
        <v>2287</v>
      </c>
      <c r="I149" s="2" t="s">
        <v>2288</v>
      </c>
      <c r="J149" s="2" t="s">
        <v>1078</v>
      </c>
      <c r="K149" s="2" t="s">
        <v>4641</v>
      </c>
      <c r="L149" s="2" t="s">
        <v>1077</v>
      </c>
      <c r="M149" s="2">
        <v>412</v>
      </c>
      <c r="N149" s="2" t="s">
        <v>9</v>
      </c>
      <c r="O149" s="2">
        <f>VLOOKUP(B149,[1]Sheet1!$B$624:$E$1665,4,FALSE)</f>
        <v>0.1</v>
      </c>
      <c r="P149" s="2" t="s">
        <v>16964</v>
      </c>
      <c r="T149" s="2" t="s">
        <v>16964</v>
      </c>
    </row>
    <row r="150" spans="1:24" hidden="1">
      <c r="A150" s="3" t="s">
        <v>3925</v>
      </c>
      <c r="B150" s="2" t="s">
        <v>1920</v>
      </c>
      <c r="D150" s="66" t="s">
        <v>17410</v>
      </c>
      <c r="E150" s="2">
        <v>2021</v>
      </c>
      <c r="F150" s="2" t="s">
        <v>2690</v>
      </c>
      <c r="G150" s="2" t="s">
        <v>4456</v>
      </c>
      <c r="H150" s="2" t="s">
        <v>2287</v>
      </c>
      <c r="I150" s="2" t="s">
        <v>2288</v>
      </c>
      <c r="J150" s="2" t="s">
        <v>115</v>
      </c>
      <c r="K150" s="2" t="s">
        <v>4570</v>
      </c>
      <c r="L150" s="2" t="s">
        <v>114</v>
      </c>
      <c r="M150" s="2">
        <v>21</v>
      </c>
      <c r="N150" s="2" t="s">
        <v>9</v>
      </c>
      <c r="O150" s="2">
        <f>VLOOKUP(B150,[1]Sheet1!$B$624:$E$1665,4,FALSE)</f>
        <v>0.2</v>
      </c>
      <c r="P150" s="2" t="s">
        <v>16964</v>
      </c>
      <c r="T150" s="2" t="s">
        <v>16964</v>
      </c>
    </row>
    <row r="151" spans="1:24" hidden="1">
      <c r="A151" s="3" t="s">
        <v>4228</v>
      </c>
      <c r="B151" s="2" t="s">
        <v>1921</v>
      </c>
      <c r="D151" s="66" t="s">
        <v>17413</v>
      </c>
      <c r="E151" s="2">
        <v>2021</v>
      </c>
      <c r="F151" s="2" t="s">
        <v>2690</v>
      </c>
      <c r="G151" s="2" t="s">
        <v>4456</v>
      </c>
      <c r="H151" s="2" t="s">
        <v>2287</v>
      </c>
      <c r="I151" s="2" t="s">
        <v>2288</v>
      </c>
      <c r="J151" s="2" t="s">
        <v>398</v>
      </c>
      <c r="K151" s="2" t="s">
        <v>4587</v>
      </c>
      <c r="L151" s="2" t="s">
        <v>397</v>
      </c>
      <c r="M151" s="2">
        <v>26</v>
      </c>
      <c r="N151" s="2" t="s">
        <v>9</v>
      </c>
      <c r="O151" s="2">
        <f>VLOOKUP(B151,[1]Sheet1!$B$624:$E$1665,4,FALSE)</f>
        <v>0.2</v>
      </c>
      <c r="P151" s="2" t="s">
        <v>16964</v>
      </c>
      <c r="T151" s="2" t="s">
        <v>16964</v>
      </c>
    </row>
    <row r="152" spans="1:24" hidden="1">
      <c r="A152" s="3" t="s">
        <v>3994</v>
      </c>
      <c r="B152" s="2" t="s">
        <v>1922</v>
      </c>
      <c r="D152" s="66" t="s">
        <v>17405</v>
      </c>
      <c r="E152" s="2">
        <v>2021</v>
      </c>
      <c r="F152" s="2" t="s">
        <v>2690</v>
      </c>
      <c r="G152" s="2" t="s">
        <v>4456</v>
      </c>
      <c r="H152" s="2" t="s">
        <v>2287</v>
      </c>
      <c r="I152" s="2" t="s">
        <v>10</v>
      </c>
      <c r="J152" s="2" t="s">
        <v>35</v>
      </c>
      <c r="K152" s="2" t="s">
        <v>4650</v>
      </c>
      <c r="L152" s="2" t="s">
        <v>34</v>
      </c>
      <c r="M152" s="2">
        <v>5</v>
      </c>
      <c r="N152" s="2" t="s">
        <v>14</v>
      </c>
      <c r="O152" s="2">
        <f>VLOOKUP(B152,[1]Sheet1!$B$624:$E$1665,4,FALSE)</f>
        <v>0.2</v>
      </c>
      <c r="P152" s="2" t="s">
        <v>16964</v>
      </c>
      <c r="T152" s="2" t="s">
        <v>16964</v>
      </c>
    </row>
    <row r="153" spans="1:24" hidden="1">
      <c r="A153" s="3" t="s">
        <v>3833</v>
      </c>
      <c r="B153" s="2" t="s">
        <v>1923</v>
      </c>
      <c r="D153" s="66" t="s">
        <v>17406</v>
      </c>
      <c r="E153" s="2">
        <v>2021</v>
      </c>
      <c r="F153" s="2" t="s">
        <v>2690</v>
      </c>
      <c r="G153" s="2" t="s">
        <v>4456</v>
      </c>
      <c r="H153" s="2" t="s">
        <v>2287</v>
      </c>
      <c r="I153" s="2" t="s">
        <v>2288</v>
      </c>
      <c r="J153" s="2" t="s">
        <v>102</v>
      </c>
      <c r="K153" s="2" t="s">
        <v>4669</v>
      </c>
      <c r="L153" s="2" t="s">
        <v>101</v>
      </c>
      <c r="M153" s="2">
        <v>511</v>
      </c>
      <c r="N153" s="2" t="s">
        <v>9</v>
      </c>
      <c r="O153" s="2">
        <f>VLOOKUP(B153,[1]Sheet1!$B$624:$E$1665,4,FALSE)</f>
        <v>0.2</v>
      </c>
      <c r="P153" s="2" t="s">
        <v>16964</v>
      </c>
      <c r="T153" s="2" t="s">
        <v>16964</v>
      </c>
    </row>
    <row r="154" spans="1:24" hidden="1">
      <c r="A154" s="3" t="s">
        <v>3878</v>
      </c>
      <c r="B154" s="2" t="s">
        <v>1924</v>
      </c>
      <c r="D154" s="66" t="s">
        <v>17407</v>
      </c>
      <c r="E154" s="2">
        <v>2021</v>
      </c>
      <c r="F154" s="2" t="s">
        <v>2690</v>
      </c>
      <c r="G154" s="2" t="s">
        <v>4456</v>
      </c>
      <c r="H154" s="2" t="s">
        <v>2287</v>
      </c>
      <c r="I154" s="2" t="s">
        <v>10</v>
      </c>
      <c r="J154" s="2" t="s">
        <v>320</v>
      </c>
      <c r="K154" s="2" t="s">
        <v>4702</v>
      </c>
      <c r="L154" s="2" t="s">
        <v>319</v>
      </c>
      <c r="M154" s="2">
        <v>581</v>
      </c>
      <c r="N154" s="2" t="s">
        <v>14</v>
      </c>
      <c r="O154" s="2">
        <f>VLOOKUP(B154,[1]Sheet1!$B$624:$E$1665,4,FALSE)</f>
        <v>0.2</v>
      </c>
      <c r="P154" s="2" t="s">
        <v>16964</v>
      </c>
      <c r="T154" s="2" t="s">
        <v>16964</v>
      </c>
    </row>
    <row r="155" spans="1:24" hidden="1">
      <c r="A155" s="3" t="s">
        <v>4108</v>
      </c>
      <c r="B155" s="2" t="s">
        <v>1925</v>
      </c>
      <c r="D155" s="66" t="s">
        <v>17403</v>
      </c>
      <c r="E155" s="2">
        <v>2017</v>
      </c>
      <c r="F155" s="2" t="s">
        <v>2690</v>
      </c>
      <c r="G155" s="2" t="s">
        <v>5</v>
      </c>
      <c r="H155" s="2" t="s">
        <v>2291</v>
      </c>
      <c r="I155" s="2" t="s">
        <v>2288</v>
      </c>
      <c r="J155" s="2" t="s">
        <v>102</v>
      </c>
      <c r="K155" s="2" t="s">
        <v>4670</v>
      </c>
      <c r="L155" s="2" t="s">
        <v>101</v>
      </c>
      <c r="M155" s="2">
        <v>511</v>
      </c>
      <c r="N155" s="2" t="s">
        <v>9</v>
      </c>
      <c r="O155" s="2">
        <f>VLOOKUP(B155,[1]Sheet1!$B$624:$E$1665,4,FALSE)</f>
        <v>0.1</v>
      </c>
      <c r="P155" s="2" t="s">
        <v>16964</v>
      </c>
      <c r="T155" s="2" t="s">
        <v>16964</v>
      </c>
    </row>
    <row r="156" spans="1:24" hidden="1">
      <c r="A156" s="3" t="s">
        <v>4244</v>
      </c>
      <c r="B156" s="2" t="s">
        <v>1926</v>
      </c>
      <c r="D156" s="66" t="s">
        <v>17404</v>
      </c>
      <c r="E156" s="2">
        <v>2017</v>
      </c>
      <c r="F156" s="2" t="s">
        <v>2690</v>
      </c>
      <c r="G156" s="2" t="s">
        <v>5</v>
      </c>
      <c r="H156" s="2" t="s">
        <v>2291</v>
      </c>
      <c r="I156" s="2" t="s">
        <v>2288</v>
      </c>
      <c r="J156" s="2" t="s">
        <v>102</v>
      </c>
      <c r="K156" s="2" t="s">
        <v>4671</v>
      </c>
      <c r="L156" s="2" t="s">
        <v>101</v>
      </c>
      <c r="M156" s="2">
        <v>7</v>
      </c>
      <c r="N156" s="2" t="s">
        <v>9</v>
      </c>
      <c r="O156" s="2">
        <f>VLOOKUP(B156,[1]Sheet1!$B$624:$E$1665,4,FALSE)</f>
        <v>0.2</v>
      </c>
      <c r="P156" s="2" t="s">
        <v>16964</v>
      </c>
      <c r="T156" s="2" t="s">
        <v>16964</v>
      </c>
    </row>
    <row r="157" spans="1:24" hidden="1">
      <c r="A157" s="3" t="s">
        <v>4004</v>
      </c>
      <c r="B157" s="2" t="s">
        <v>1927</v>
      </c>
      <c r="D157" s="66" t="s">
        <v>17398</v>
      </c>
      <c r="E157" s="2">
        <v>2017</v>
      </c>
      <c r="F157" s="2" t="s">
        <v>2690</v>
      </c>
      <c r="G157" s="2" t="s">
        <v>5</v>
      </c>
      <c r="H157" s="2" t="s">
        <v>2291</v>
      </c>
      <c r="I157" s="2" t="s">
        <v>2288</v>
      </c>
      <c r="J157" s="2" t="s">
        <v>29</v>
      </c>
      <c r="K157" s="2" t="s">
        <v>66</v>
      </c>
      <c r="L157" s="2" t="s">
        <v>28</v>
      </c>
      <c r="M157" s="2">
        <v>8</v>
      </c>
      <c r="N157" s="2" t="s">
        <v>9</v>
      </c>
      <c r="O157" s="2">
        <f>VLOOKUP(B157,[1]Sheet1!$B$624:$E$1665,4,FALSE)</f>
        <v>0.2</v>
      </c>
      <c r="P157" s="2" t="s">
        <v>16964</v>
      </c>
      <c r="T157" s="2" t="s">
        <v>16964</v>
      </c>
    </row>
    <row r="158" spans="1:24" hidden="1">
      <c r="A158" s="3" t="s">
        <v>4365</v>
      </c>
      <c r="B158" s="2" t="s">
        <v>1928</v>
      </c>
      <c r="D158" s="66" t="s">
        <v>17399</v>
      </c>
      <c r="E158" s="2">
        <v>2018</v>
      </c>
      <c r="F158" s="2" t="s">
        <v>2690</v>
      </c>
      <c r="G158" s="2" t="s">
        <v>5</v>
      </c>
      <c r="H158" s="2" t="s">
        <v>2291</v>
      </c>
      <c r="I158" s="2" t="s">
        <v>2288</v>
      </c>
      <c r="J158" s="2" t="s">
        <v>102</v>
      </c>
      <c r="K158" s="2" t="s">
        <v>4672</v>
      </c>
      <c r="L158" s="2" t="s">
        <v>101</v>
      </c>
      <c r="M158" s="2">
        <v>7</v>
      </c>
      <c r="N158" s="2" t="s">
        <v>9</v>
      </c>
      <c r="O158" s="2">
        <f>VLOOKUP(B158,[1]Sheet1!$B$624:$E$1665,4,FALSE)</f>
        <v>0.2</v>
      </c>
      <c r="P158" s="2" t="s">
        <v>16964</v>
      </c>
      <c r="T158" s="2" t="s">
        <v>16964</v>
      </c>
    </row>
    <row r="159" spans="1:24" hidden="1">
      <c r="A159" s="3" t="s">
        <v>4336</v>
      </c>
      <c r="B159" s="2" t="s">
        <v>1929</v>
      </c>
      <c r="D159" s="66" t="s">
        <v>17400</v>
      </c>
      <c r="E159" s="2">
        <v>2018</v>
      </c>
      <c r="F159" s="2" t="s">
        <v>2690</v>
      </c>
      <c r="G159" s="2" t="s">
        <v>5</v>
      </c>
      <c r="H159" s="2" t="s">
        <v>2291</v>
      </c>
      <c r="I159" s="2" t="s">
        <v>10</v>
      </c>
      <c r="J159" s="2" t="s">
        <v>129</v>
      </c>
      <c r="K159" s="2" t="s">
        <v>4466</v>
      </c>
      <c r="L159" s="2" t="s">
        <v>128</v>
      </c>
      <c r="M159" s="2">
        <v>1</v>
      </c>
      <c r="N159" s="2" t="s">
        <v>18</v>
      </c>
      <c r="O159" s="2">
        <f>VLOOKUP(B159,[1]Sheet1!$B$624:$E$1665,4,FALSE)</f>
        <v>0.2</v>
      </c>
      <c r="P159" s="2" t="s">
        <v>16964</v>
      </c>
      <c r="T159" s="2" t="s">
        <v>16964</v>
      </c>
    </row>
    <row r="160" spans="1:24" hidden="1">
      <c r="A160" s="3" t="s">
        <v>4366</v>
      </c>
      <c r="B160" s="2" t="s">
        <v>1930</v>
      </c>
      <c r="D160" s="66" t="s">
        <v>17401</v>
      </c>
      <c r="E160" s="2">
        <v>2018</v>
      </c>
      <c r="F160" s="2" t="s">
        <v>2690</v>
      </c>
      <c r="G160" s="2" t="s">
        <v>5</v>
      </c>
      <c r="H160" s="2" t="s">
        <v>2291</v>
      </c>
      <c r="I160" s="2" t="s">
        <v>2288</v>
      </c>
      <c r="J160" s="2" t="s">
        <v>220</v>
      </c>
      <c r="K160" s="2" t="s">
        <v>4592</v>
      </c>
      <c r="L160" s="2" t="s">
        <v>217</v>
      </c>
      <c r="M160" s="2">
        <v>29</v>
      </c>
      <c r="N160" s="2" t="s">
        <v>9</v>
      </c>
      <c r="O160" s="2">
        <f>VLOOKUP(B160,[1]Sheet1!$B$624:$E$1665,4,FALSE)</f>
        <v>0.2</v>
      </c>
      <c r="P160" s="2" t="s">
        <v>16964</v>
      </c>
      <c r="T160" s="2" t="s">
        <v>16964</v>
      </c>
    </row>
    <row r="161" spans="1:24" hidden="1">
      <c r="A161" s="3" t="s">
        <v>3450</v>
      </c>
      <c r="B161" s="2" t="s">
        <v>1931</v>
      </c>
      <c r="D161" s="66" t="s">
        <v>17402</v>
      </c>
      <c r="E161" s="2">
        <v>2019</v>
      </c>
      <c r="F161" s="2" t="s">
        <v>2690</v>
      </c>
      <c r="G161" s="2" t="s">
        <v>5</v>
      </c>
      <c r="H161" s="2" t="s">
        <v>2291</v>
      </c>
      <c r="I161" s="2" t="s">
        <v>2288</v>
      </c>
      <c r="J161" s="2" t="s">
        <v>8</v>
      </c>
      <c r="K161" s="2" t="s">
        <v>4495</v>
      </c>
      <c r="L161" s="2" t="s">
        <v>7</v>
      </c>
      <c r="M161" s="2">
        <v>121</v>
      </c>
      <c r="N161" s="2" t="s">
        <v>9</v>
      </c>
      <c r="O161" s="13">
        <f>VLOOKUP(B161,[1]Sheet1!$B$624:$E$1665,4,FALSE)</f>
        <v>0.2</v>
      </c>
      <c r="P161" s="13" t="s">
        <v>16964</v>
      </c>
      <c r="T161" s="2" t="s">
        <v>16963</v>
      </c>
      <c r="X161" s="67" t="s">
        <v>4722</v>
      </c>
    </row>
    <row r="162" spans="1:24" hidden="1">
      <c r="A162" s="3" t="s">
        <v>4295</v>
      </c>
      <c r="B162" s="2" t="s">
        <v>1932</v>
      </c>
      <c r="D162" s="66" t="s">
        <v>17414</v>
      </c>
      <c r="E162" s="2">
        <v>2019</v>
      </c>
      <c r="F162" s="2" t="s">
        <v>2690</v>
      </c>
      <c r="G162" s="2" t="s">
        <v>5</v>
      </c>
      <c r="H162" s="2" t="s">
        <v>2291</v>
      </c>
      <c r="I162" s="2" t="s">
        <v>2288</v>
      </c>
      <c r="J162" s="2" t="s">
        <v>146</v>
      </c>
      <c r="K162" s="2" t="s">
        <v>4559</v>
      </c>
      <c r="L162" s="2" t="s">
        <v>145</v>
      </c>
      <c r="M162" s="2">
        <v>20</v>
      </c>
      <c r="N162" s="2" t="s">
        <v>9</v>
      </c>
      <c r="O162" s="2">
        <f>VLOOKUP(B162,[1]Sheet1!$B$624:$E$1665,4,FALSE)</f>
        <v>0.4</v>
      </c>
      <c r="P162" s="2" t="s">
        <v>16964</v>
      </c>
      <c r="T162" s="2" t="s">
        <v>16964</v>
      </c>
    </row>
    <row r="163" spans="1:24" hidden="1">
      <c r="A163" s="3" t="s">
        <v>3637</v>
      </c>
      <c r="B163" s="2" t="s">
        <v>1933</v>
      </c>
      <c r="D163" s="66" t="s">
        <v>17396</v>
      </c>
      <c r="E163" s="2">
        <v>2019</v>
      </c>
      <c r="F163" s="2" t="s">
        <v>2690</v>
      </c>
      <c r="G163" s="2" t="s">
        <v>5</v>
      </c>
      <c r="H163" s="2" t="s">
        <v>2291</v>
      </c>
      <c r="I163" s="2" t="s">
        <v>10</v>
      </c>
      <c r="J163" s="2" t="s">
        <v>17</v>
      </c>
      <c r="K163" s="2" t="s">
        <v>4554</v>
      </c>
      <c r="L163" s="2" t="s">
        <v>16</v>
      </c>
      <c r="M163" s="2">
        <v>2</v>
      </c>
      <c r="N163" s="2" t="s">
        <v>18</v>
      </c>
      <c r="O163" s="2">
        <f>VLOOKUP(B163,[1]Sheet1!$B$624:$E$1665,4,FALSE)</f>
        <v>0.4</v>
      </c>
      <c r="P163" s="2" t="s">
        <v>16964</v>
      </c>
      <c r="T163" s="2" t="s">
        <v>16964</v>
      </c>
    </row>
    <row r="164" spans="1:24" hidden="1">
      <c r="A164" s="3" t="s">
        <v>3832</v>
      </c>
      <c r="B164" s="2" t="s">
        <v>1934</v>
      </c>
      <c r="D164" s="66" t="s">
        <v>17397</v>
      </c>
      <c r="E164" s="2">
        <v>2019</v>
      </c>
      <c r="F164" s="2" t="s">
        <v>2690</v>
      </c>
      <c r="G164" s="2" t="s">
        <v>5</v>
      </c>
      <c r="H164" s="2" t="s">
        <v>2291</v>
      </c>
      <c r="I164" s="2" t="s">
        <v>2288</v>
      </c>
      <c r="J164" s="2" t="s">
        <v>102</v>
      </c>
      <c r="K164" s="2" t="s">
        <v>4673</v>
      </c>
      <c r="L164" s="2" t="s">
        <v>101</v>
      </c>
      <c r="M164" s="2">
        <v>7</v>
      </c>
      <c r="N164" s="2" t="s">
        <v>9</v>
      </c>
      <c r="O164" s="2">
        <f>VLOOKUP(B164,[1]Sheet1!$B$624:$E$1665,4,FALSE)</f>
        <v>0.2</v>
      </c>
      <c r="P164" s="2" t="s">
        <v>16964</v>
      </c>
      <c r="T164" s="2" t="s">
        <v>16964</v>
      </c>
    </row>
    <row r="165" spans="1:24" hidden="1">
      <c r="A165" s="3" t="s">
        <v>3946</v>
      </c>
      <c r="B165" s="2" t="s">
        <v>17190</v>
      </c>
      <c r="D165" s="66" t="s">
        <v>17200</v>
      </c>
      <c r="E165" s="2">
        <v>2003</v>
      </c>
      <c r="F165" s="2" t="s">
        <v>2692</v>
      </c>
      <c r="G165" s="2" t="s">
        <v>43</v>
      </c>
      <c r="I165" s="2" t="s">
        <v>10</v>
      </c>
      <c r="J165" s="2" t="s">
        <v>157</v>
      </c>
      <c r="K165" s="2" t="s">
        <v>158</v>
      </c>
      <c r="L165" s="2" t="s">
        <v>156</v>
      </c>
      <c r="M165" s="2">
        <v>554</v>
      </c>
      <c r="N165" s="2" t="s">
        <v>159</v>
      </c>
      <c r="Q165" s="1">
        <v>0.16</v>
      </c>
      <c r="R165" s="1"/>
      <c r="S165" s="1"/>
      <c r="T165" s="2" t="s">
        <v>16964</v>
      </c>
    </row>
    <row r="166" spans="1:24" hidden="1">
      <c r="A166" s="3" t="s">
        <v>2810</v>
      </c>
      <c r="B166" s="2" t="s">
        <v>216</v>
      </c>
      <c r="D166" s="66" t="s">
        <v>17231</v>
      </c>
      <c r="E166" s="2">
        <v>2006</v>
      </c>
      <c r="F166" s="2" t="s">
        <v>2692</v>
      </c>
      <c r="G166" s="2" t="s">
        <v>43</v>
      </c>
      <c r="I166" s="2" t="s">
        <v>6</v>
      </c>
      <c r="J166" s="2" t="s">
        <v>53</v>
      </c>
      <c r="K166" s="2" t="s">
        <v>184</v>
      </c>
      <c r="L166" s="2" t="s">
        <v>52</v>
      </c>
      <c r="M166" s="2">
        <v>321</v>
      </c>
      <c r="N166" s="2" t="s">
        <v>9</v>
      </c>
      <c r="Q166" s="2">
        <f>VLOOKUP(B166,[1]Sheet1!$A$426:$D$1672,4,FALSE)</f>
        <v>0.63</v>
      </c>
      <c r="T166" s="2" t="s">
        <v>16963</v>
      </c>
      <c r="U166" s="67" t="s">
        <v>2627</v>
      </c>
    </row>
    <row r="167" spans="1:24" hidden="1">
      <c r="A167" s="3" t="s">
        <v>2807</v>
      </c>
      <c r="B167" s="2" t="s">
        <v>183</v>
      </c>
      <c r="D167" s="66" t="s">
        <v>17210</v>
      </c>
      <c r="E167" s="2">
        <v>2003</v>
      </c>
      <c r="F167" s="2" t="s">
        <v>2692</v>
      </c>
      <c r="G167" s="2" t="s">
        <v>43</v>
      </c>
      <c r="I167" s="2" t="s">
        <v>6</v>
      </c>
      <c r="J167" s="2" t="s">
        <v>53</v>
      </c>
      <c r="K167" s="2" t="s">
        <v>184</v>
      </c>
      <c r="L167" s="2" t="s">
        <v>52</v>
      </c>
      <c r="M167" s="2">
        <v>321</v>
      </c>
      <c r="N167" s="2" t="s">
        <v>9</v>
      </c>
      <c r="Q167" s="1">
        <v>0.63</v>
      </c>
      <c r="R167" s="1"/>
      <c r="S167" s="1"/>
      <c r="T167" s="2" t="s">
        <v>16964</v>
      </c>
    </row>
    <row r="168" spans="1:24" hidden="1">
      <c r="A168" s="3" t="s">
        <v>4217</v>
      </c>
      <c r="B168" s="2" t="s">
        <v>162</v>
      </c>
      <c r="D168" s="66" t="s">
        <v>17197</v>
      </c>
      <c r="E168" s="2">
        <v>2004</v>
      </c>
      <c r="F168" s="2" t="s">
        <v>2692</v>
      </c>
      <c r="G168" s="2" t="s">
        <v>43</v>
      </c>
      <c r="I168" s="2" t="s">
        <v>10</v>
      </c>
      <c r="J168" s="2" t="s">
        <v>35</v>
      </c>
      <c r="K168" s="2" t="s">
        <v>163</v>
      </c>
      <c r="L168" s="2" t="s">
        <v>34</v>
      </c>
      <c r="M168" s="2">
        <v>820</v>
      </c>
      <c r="N168" s="2" t="s">
        <v>14</v>
      </c>
      <c r="Q168" s="2">
        <f>VLOOKUP(B168,[1]Sheet1!$A$426:$D$1672,4,FALSE)</f>
        <v>0.63</v>
      </c>
      <c r="T168" s="2" t="s">
        <v>16963</v>
      </c>
      <c r="U168" s="67" t="s">
        <v>2627</v>
      </c>
    </row>
    <row r="169" spans="1:24" hidden="1">
      <c r="A169" s="3" t="s">
        <v>2808</v>
      </c>
      <c r="B169" s="2" t="s">
        <v>204</v>
      </c>
      <c r="D169" s="66" t="s">
        <v>17221</v>
      </c>
      <c r="E169" s="2">
        <v>2005</v>
      </c>
      <c r="F169" s="2" t="s">
        <v>2692</v>
      </c>
      <c r="G169" s="2" t="s">
        <v>43</v>
      </c>
      <c r="I169" s="2" t="s">
        <v>6</v>
      </c>
      <c r="J169" s="2" t="s">
        <v>53</v>
      </c>
      <c r="K169" s="2" t="s">
        <v>197</v>
      </c>
      <c r="L169" s="2" t="s">
        <v>52</v>
      </c>
      <c r="M169" s="2">
        <v>321</v>
      </c>
      <c r="N169" s="2" t="s">
        <v>9</v>
      </c>
      <c r="Q169" s="2">
        <f>VLOOKUP(B169,[1]Sheet1!$A$426:$D$1672,4,FALSE)</f>
        <v>0.63</v>
      </c>
      <c r="T169" s="2" t="s">
        <v>16963</v>
      </c>
      <c r="U169" s="67" t="s">
        <v>2627</v>
      </c>
    </row>
    <row r="170" spans="1:24" hidden="1">
      <c r="A170" s="3" t="s">
        <v>2809</v>
      </c>
      <c r="B170" s="2" t="s">
        <v>258</v>
      </c>
      <c r="D170" s="66" t="s">
        <v>17195</v>
      </c>
      <c r="E170" s="2">
        <v>2004</v>
      </c>
      <c r="F170" s="2" t="s">
        <v>2692</v>
      </c>
      <c r="G170" s="2" t="s">
        <v>43</v>
      </c>
      <c r="I170" s="2" t="s">
        <v>6</v>
      </c>
      <c r="J170" s="2" t="s">
        <v>53</v>
      </c>
      <c r="K170" s="2" t="s">
        <v>197</v>
      </c>
      <c r="L170" s="2" t="s">
        <v>52</v>
      </c>
      <c r="M170" s="2">
        <v>321</v>
      </c>
      <c r="N170" s="2" t="s">
        <v>9</v>
      </c>
      <c r="Q170" s="2">
        <f>VLOOKUP(B170,[1]Sheet1!$A$426:$D$1672,4,FALSE)</f>
        <v>0.63</v>
      </c>
      <c r="T170" s="2" t="s">
        <v>16963</v>
      </c>
      <c r="U170" s="67" t="s">
        <v>2627</v>
      </c>
    </row>
    <row r="171" spans="1:24" hidden="1">
      <c r="A171" s="3" t="s">
        <v>3666</v>
      </c>
      <c r="B171" s="2" t="s">
        <v>173</v>
      </c>
      <c r="D171" s="66" t="s">
        <v>17204</v>
      </c>
      <c r="E171" s="2">
        <v>2004</v>
      </c>
      <c r="F171" s="2" t="s">
        <v>2692</v>
      </c>
      <c r="G171" s="2" t="s">
        <v>43</v>
      </c>
      <c r="I171" s="2" t="s">
        <v>6</v>
      </c>
      <c r="J171" s="2" t="s">
        <v>120</v>
      </c>
      <c r="K171" s="2" t="s">
        <v>174</v>
      </c>
      <c r="L171" s="2" t="s">
        <v>119</v>
      </c>
      <c r="M171" s="2">
        <v>155</v>
      </c>
      <c r="N171" s="2" t="s">
        <v>9</v>
      </c>
      <c r="Q171" s="2">
        <f>VLOOKUP(B171,[1]Sheet1!$A$426:$D$1672,4,FALSE)</f>
        <v>0.63</v>
      </c>
      <c r="T171" s="2" t="s">
        <v>16963</v>
      </c>
      <c r="U171" s="67" t="s">
        <v>2627</v>
      </c>
    </row>
    <row r="172" spans="1:24" hidden="1">
      <c r="A172" s="3" t="s">
        <v>2880</v>
      </c>
      <c r="B172" s="2" t="s">
        <v>189</v>
      </c>
      <c r="D172" s="66" t="s">
        <v>17212</v>
      </c>
      <c r="E172" s="2">
        <v>2004</v>
      </c>
      <c r="F172" s="2" t="s">
        <v>2692</v>
      </c>
      <c r="G172" s="2" t="s">
        <v>43</v>
      </c>
      <c r="I172" s="2" t="s">
        <v>6</v>
      </c>
      <c r="J172" s="2" t="s">
        <v>53</v>
      </c>
      <c r="K172" s="2" t="s">
        <v>178</v>
      </c>
      <c r="L172" s="2" t="s">
        <v>52</v>
      </c>
      <c r="M172" s="2">
        <v>321</v>
      </c>
      <c r="N172" s="2" t="s">
        <v>9</v>
      </c>
      <c r="Q172" s="2">
        <f>VLOOKUP(B172,[1]Sheet1!$A$426:$D$1672,4,FALSE)</f>
        <v>0.63</v>
      </c>
      <c r="T172" s="2" t="s">
        <v>16963</v>
      </c>
      <c r="U172" s="67" t="s">
        <v>2627</v>
      </c>
    </row>
    <row r="173" spans="1:24" hidden="1">
      <c r="A173" s="3" t="s">
        <v>4306</v>
      </c>
      <c r="B173" s="2" t="s">
        <v>232</v>
      </c>
      <c r="D173" s="66" t="s">
        <v>17236</v>
      </c>
      <c r="E173" s="2">
        <v>2003</v>
      </c>
      <c r="F173" s="2" t="s">
        <v>2692</v>
      </c>
      <c r="G173" s="2" t="s">
        <v>43</v>
      </c>
      <c r="I173" s="2" t="s">
        <v>10</v>
      </c>
      <c r="J173" s="2" t="s">
        <v>35</v>
      </c>
      <c r="K173" s="2" t="s">
        <v>233</v>
      </c>
      <c r="L173" s="2" t="s">
        <v>34</v>
      </c>
      <c r="M173" s="2">
        <v>5</v>
      </c>
      <c r="N173" s="2" t="s">
        <v>14</v>
      </c>
      <c r="Q173" s="2">
        <f>VLOOKUP(B173,[1]Sheet1!$A$426:$D$1672,4,FALSE)</f>
        <v>0.63</v>
      </c>
      <c r="T173" s="2" t="s">
        <v>16963</v>
      </c>
      <c r="U173" s="67" t="s">
        <v>2627</v>
      </c>
    </row>
    <row r="174" spans="1:24" hidden="1">
      <c r="A174" s="3" t="s">
        <v>2995</v>
      </c>
      <c r="B174" s="2" t="s">
        <v>226</v>
      </c>
      <c r="D174" s="66" t="s">
        <v>17233</v>
      </c>
      <c r="E174" s="2">
        <v>2003</v>
      </c>
      <c r="F174" s="2" t="s">
        <v>2692</v>
      </c>
      <c r="G174" s="2" t="s">
        <v>43</v>
      </c>
      <c r="I174" s="2" t="s">
        <v>10</v>
      </c>
      <c r="J174" s="2" t="s">
        <v>228</v>
      </c>
      <c r="K174" s="2" t="s">
        <v>229</v>
      </c>
      <c r="L174" s="2" t="s">
        <v>227</v>
      </c>
      <c r="M174" s="2">
        <v>506</v>
      </c>
      <c r="N174" s="2" t="s">
        <v>14</v>
      </c>
      <c r="Q174" s="2">
        <f>VLOOKUP(B174,[1]Sheet1!$A$426:$D$1672,4,FALSE)</f>
        <v>0.16</v>
      </c>
      <c r="T174" s="2" t="s">
        <v>16964</v>
      </c>
    </row>
    <row r="175" spans="1:24" hidden="1">
      <c r="A175" s="3" t="s">
        <v>3941</v>
      </c>
      <c r="B175" s="2" t="s">
        <v>194</v>
      </c>
      <c r="D175" s="66" t="s">
        <v>17215</v>
      </c>
      <c r="E175" s="2">
        <v>2004</v>
      </c>
      <c r="F175" s="2" t="s">
        <v>2692</v>
      </c>
      <c r="G175" s="2" t="s">
        <v>43</v>
      </c>
      <c r="I175" s="2" t="s">
        <v>10</v>
      </c>
      <c r="J175" s="2" t="s">
        <v>157</v>
      </c>
      <c r="K175" s="2" t="s">
        <v>158</v>
      </c>
      <c r="L175" s="2" t="s">
        <v>156</v>
      </c>
      <c r="M175" s="2">
        <v>554</v>
      </c>
      <c r="N175" s="2" t="s">
        <v>159</v>
      </c>
      <c r="Q175" s="2">
        <f>VLOOKUP(B175,[1]Sheet1!$A$426:$D$1672,4,FALSE)</f>
        <v>0.16</v>
      </c>
      <c r="T175" s="2" t="s">
        <v>16964</v>
      </c>
    </row>
    <row r="176" spans="1:24" hidden="1">
      <c r="A176" s="3" t="s">
        <v>3985</v>
      </c>
      <c r="B176" s="2" t="s">
        <v>2225</v>
      </c>
      <c r="D176" s="66" t="s">
        <v>17235</v>
      </c>
      <c r="E176" s="2">
        <v>2003</v>
      </c>
      <c r="F176" s="2" t="s">
        <v>2692</v>
      </c>
      <c r="G176" s="2" t="s">
        <v>43</v>
      </c>
      <c r="I176" s="2" t="s">
        <v>10</v>
      </c>
      <c r="J176" s="2" t="s">
        <v>266</v>
      </c>
      <c r="K176" s="2" t="s">
        <v>267</v>
      </c>
      <c r="L176" s="2" t="s">
        <v>265</v>
      </c>
      <c r="M176" s="2">
        <v>87</v>
      </c>
      <c r="N176" s="2" t="s">
        <v>14</v>
      </c>
      <c r="Q176" s="2">
        <f>VLOOKUP(B176,[1]Sheet1!$A$426:$D$1672,4,FALSE)</f>
        <v>0.16</v>
      </c>
      <c r="T176" s="2" t="s">
        <v>16964</v>
      </c>
    </row>
    <row r="177" spans="1:21" hidden="1">
      <c r="A177" s="3" t="s">
        <v>3569</v>
      </c>
      <c r="B177" s="2" t="s">
        <v>190</v>
      </c>
      <c r="D177" s="66" t="s">
        <v>17213</v>
      </c>
      <c r="E177" s="2">
        <v>2004</v>
      </c>
      <c r="F177" s="2" t="s">
        <v>2692</v>
      </c>
      <c r="G177" s="2" t="s">
        <v>43</v>
      </c>
      <c r="I177" s="2" t="s">
        <v>6</v>
      </c>
      <c r="J177" s="2" t="s">
        <v>166</v>
      </c>
      <c r="K177" s="2" t="s">
        <v>191</v>
      </c>
      <c r="L177" s="2" t="s">
        <v>165</v>
      </c>
      <c r="M177" s="2">
        <v>391</v>
      </c>
      <c r="N177" s="2" t="s">
        <v>9</v>
      </c>
      <c r="Q177" s="2">
        <f>VLOOKUP(B177,[1]Sheet1!$A$426:$D$1672,4,FALSE)</f>
        <v>0.63</v>
      </c>
      <c r="T177" s="2" t="s">
        <v>16963</v>
      </c>
      <c r="U177" s="67" t="s">
        <v>2627</v>
      </c>
    </row>
    <row r="178" spans="1:21" hidden="1">
      <c r="A178" s="3" t="s">
        <v>4213</v>
      </c>
      <c r="B178" s="2" t="s">
        <v>192</v>
      </c>
      <c r="D178" s="66" t="s">
        <v>17214</v>
      </c>
      <c r="E178" s="2">
        <v>2004</v>
      </c>
      <c r="F178" s="2" t="s">
        <v>2692</v>
      </c>
      <c r="G178" s="2" t="s">
        <v>43</v>
      </c>
      <c r="I178" s="2" t="s">
        <v>10</v>
      </c>
      <c r="J178" s="2" t="s">
        <v>35</v>
      </c>
      <c r="K178" s="2" t="s">
        <v>193</v>
      </c>
      <c r="L178" s="2" t="s">
        <v>34</v>
      </c>
      <c r="M178" s="2">
        <v>5</v>
      </c>
      <c r="N178" s="2" t="s">
        <v>14</v>
      </c>
      <c r="Q178" s="2">
        <f>VLOOKUP(B178,[1]Sheet1!$A$426:$D$1672,4,FALSE)</f>
        <v>0.16</v>
      </c>
      <c r="T178" s="2" t="s">
        <v>16964</v>
      </c>
    </row>
    <row r="179" spans="1:21" hidden="1">
      <c r="A179" s="3" t="s">
        <v>2824</v>
      </c>
      <c r="B179" s="2" t="s">
        <v>202</v>
      </c>
      <c r="D179" s="66" t="s">
        <v>17220</v>
      </c>
      <c r="E179" s="2">
        <v>2005</v>
      </c>
      <c r="F179" s="2" t="s">
        <v>2692</v>
      </c>
      <c r="G179" s="2" t="s">
        <v>43</v>
      </c>
      <c r="I179" s="2" t="s">
        <v>6</v>
      </c>
      <c r="J179" s="2" t="s">
        <v>53</v>
      </c>
      <c r="K179" s="2" t="s">
        <v>203</v>
      </c>
      <c r="L179" s="2" t="s">
        <v>52</v>
      </c>
      <c r="M179" s="2">
        <v>321</v>
      </c>
      <c r="N179" s="2" t="s">
        <v>9</v>
      </c>
      <c r="Q179" s="2">
        <f>VLOOKUP(B179,[1]Sheet1!$A$426:$D$1672,4,FALSE)</f>
        <v>0.63</v>
      </c>
      <c r="T179" s="2" t="s">
        <v>16963</v>
      </c>
      <c r="U179" s="67" t="s">
        <v>2627</v>
      </c>
    </row>
    <row r="180" spans="1:21" hidden="1">
      <c r="A180" s="3" t="s">
        <v>3158</v>
      </c>
      <c r="B180" s="2" t="s">
        <v>200</v>
      </c>
      <c r="D180" s="66" t="s">
        <v>17219</v>
      </c>
      <c r="E180" s="2">
        <v>2005</v>
      </c>
      <c r="F180" s="2" t="s">
        <v>2692</v>
      </c>
      <c r="G180" s="2" t="s">
        <v>43</v>
      </c>
      <c r="I180" s="2" t="s">
        <v>10</v>
      </c>
      <c r="J180" s="2" t="s">
        <v>35</v>
      </c>
      <c r="K180" s="2" t="s">
        <v>201</v>
      </c>
      <c r="L180" s="2" t="s">
        <v>34</v>
      </c>
      <c r="M180" s="2">
        <v>5</v>
      </c>
      <c r="N180" s="2" t="s">
        <v>14</v>
      </c>
      <c r="Q180" s="2">
        <f>VLOOKUP(B180,[1]Sheet1!$A$426:$D$1672,4,FALSE)</f>
        <v>0.63</v>
      </c>
      <c r="T180" s="2" t="s">
        <v>16963</v>
      </c>
      <c r="U180" s="67" t="s">
        <v>2627</v>
      </c>
    </row>
    <row r="181" spans="1:21" hidden="1">
      <c r="A181" s="3" t="s">
        <v>2857</v>
      </c>
      <c r="B181" s="2" t="s">
        <v>196</v>
      </c>
      <c r="D181" s="66" t="s">
        <v>17217</v>
      </c>
      <c r="E181" s="2">
        <v>2004</v>
      </c>
      <c r="F181" s="2" t="s">
        <v>2692</v>
      </c>
      <c r="G181" s="2" t="s">
        <v>43</v>
      </c>
      <c r="I181" s="2" t="s">
        <v>6</v>
      </c>
      <c r="J181" s="2" t="s">
        <v>53</v>
      </c>
      <c r="K181" s="2" t="s">
        <v>197</v>
      </c>
      <c r="L181" s="2" t="s">
        <v>52</v>
      </c>
      <c r="M181" s="2">
        <v>321</v>
      </c>
      <c r="N181" s="2" t="s">
        <v>9</v>
      </c>
      <c r="Q181" s="2">
        <f>VLOOKUP(B181,[1]Sheet1!$A$426:$D$1672,4,FALSE)</f>
        <v>0.63</v>
      </c>
      <c r="T181" s="2" t="s">
        <v>16963</v>
      </c>
      <c r="U181" s="67" t="s">
        <v>2627</v>
      </c>
    </row>
    <row r="182" spans="1:21" hidden="1">
      <c r="A182" s="3" t="s">
        <v>3190</v>
      </c>
      <c r="B182" s="2" t="s">
        <v>238</v>
      </c>
      <c r="D182" s="66" t="s">
        <v>17240</v>
      </c>
      <c r="E182" s="2">
        <v>2004</v>
      </c>
      <c r="F182" s="2" t="s">
        <v>2692</v>
      </c>
      <c r="G182" s="2" t="s">
        <v>43</v>
      </c>
      <c r="I182" s="2" t="s">
        <v>10</v>
      </c>
      <c r="J182" s="2" t="s">
        <v>129</v>
      </c>
      <c r="K182" s="2" t="s">
        <v>237</v>
      </c>
      <c r="L182" s="2" t="s">
        <v>128</v>
      </c>
      <c r="M182" s="2">
        <v>1</v>
      </c>
      <c r="N182" s="2" t="s">
        <v>18</v>
      </c>
      <c r="Q182" s="2">
        <f>VLOOKUP(B182,[1]Sheet1!$A$426:$D$1672,4,FALSE)</f>
        <v>0.16</v>
      </c>
      <c r="T182" s="2" t="s">
        <v>16964</v>
      </c>
    </row>
    <row r="183" spans="1:21" hidden="1">
      <c r="A183" s="3" t="s">
        <v>3187</v>
      </c>
      <c r="B183" s="2" t="s">
        <v>153</v>
      </c>
      <c r="D183" s="66" t="s">
        <v>17192</v>
      </c>
      <c r="E183" s="2">
        <v>2003</v>
      </c>
      <c r="F183" s="2" t="s">
        <v>2692</v>
      </c>
      <c r="G183" s="2" t="s">
        <v>43</v>
      </c>
      <c r="I183" s="2" t="s">
        <v>6</v>
      </c>
      <c r="J183" s="2" t="s">
        <v>53</v>
      </c>
      <c r="K183" s="2" t="s">
        <v>154</v>
      </c>
      <c r="L183" s="2" t="s">
        <v>52</v>
      </c>
      <c r="M183" s="2">
        <v>321</v>
      </c>
      <c r="N183" s="2" t="s">
        <v>9</v>
      </c>
      <c r="Q183" s="2">
        <f>VLOOKUP(B183,[1]Sheet1!$A$426:$D$1672,4,FALSE)</f>
        <v>0.63</v>
      </c>
      <c r="T183" s="2" t="s">
        <v>16963</v>
      </c>
      <c r="U183" s="67" t="s">
        <v>2627</v>
      </c>
    </row>
    <row r="184" spans="1:21" hidden="1">
      <c r="A184" s="3" t="s">
        <v>4216</v>
      </c>
      <c r="B184" s="2" t="s">
        <v>260</v>
      </c>
      <c r="D184" s="66" t="s">
        <v>17203</v>
      </c>
      <c r="E184" s="2">
        <v>2004</v>
      </c>
      <c r="F184" s="2" t="s">
        <v>2692</v>
      </c>
      <c r="G184" s="2" t="s">
        <v>43</v>
      </c>
      <c r="I184" s="2" t="s">
        <v>10</v>
      </c>
      <c r="J184" s="2" t="s">
        <v>35</v>
      </c>
      <c r="K184" s="2" t="s">
        <v>163</v>
      </c>
      <c r="L184" s="2" t="s">
        <v>34</v>
      </c>
      <c r="M184" s="2">
        <v>820</v>
      </c>
      <c r="N184" s="2" t="s">
        <v>14</v>
      </c>
      <c r="Q184" s="1">
        <v>0.63</v>
      </c>
      <c r="R184" s="1"/>
      <c r="S184" s="1"/>
      <c r="T184" s="2" t="s">
        <v>16963</v>
      </c>
      <c r="U184" s="67" t="s">
        <v>2627</v>
      </c>
    </row>
    <row r="185" spans="1:21" hidden="1">
      <c r="A185" s="3" t="s">
        <v>3661</v>
      </c>
      <c r="B185" s="2" t="s">
        <v>234</v>
      </c>
      <c r="D185" s="66" t="s">
        <v>17237</v>
      </c>
      <c r="E185" s="2">
        <v>2003</v>
      </c>
      <c r="F185" s="2" t="s">
        <v>2692</v>
      </c>
      <c r="G185" s="2" t="s">
        <v>43</v>
      </c>
      <c r="I185" s="2" t="s">
        <v>10</v>
      </c>
      <c r="J185" s="2" t="s">
        <v>35</v>
      </c>
      <c r="K185" s="2" t="s">
        <v>235</v>
      </c>
      <c r="L185" s="2" t="s">
        <v>34</v>
      </c>
      <c r="M185" s="2">
        <v>5</v>
      </c>
      <c r="N185" s="2" t="s">
        <v>14</v>
      </c>
      <c r="Q185" s="2">
        <f>VLOOKUP(B185,[1]Sheet1!$A$426:$D$1672,4,FALSE)</f>
        <v>0.16</v>
      </c>
      <c r="T185" s="2" t="s">
        <v>16964</v>
      </c>
    </row>
    <row r="186" spans="1:21" hidden="1">
      <c r="A186" s="3" t="s">
        <v>3102</v>
      </c>
      <c r="B186" s="2" t="s">
        <v>17368</v>
      </c>
      <c r="D186" s="66" t="s">
        <v>17201</v>
      </c>
      <c r="E186" s="2">
        <v>2003</v>
      </c>
      <c r="F186" s="2" t="s">
        <v>2692</v>
      </c>
      <c r="G186" s="2" t="s">
        <v>43</v>
      </c>
      <c r="I186" s="2" t="s">
        <v>6</v>
      </c>
      <c r="J186" s="2" t="s">
        <v>166</v>
      </c>
      <c r="K186" s="2" t="s">
        <v>169</v>
      </c>
      <c r="L186" s="2" t="s">
        <v>165</v>
      </c>
      <c r="M186" s="2">
        <v>391</v>
      </c>
      <c r="N186" s="2" t="s">
        <v>9</v>
      </c>
      <c r="Q186" s="2">
        <f>VLOOKUP(B186,[1]Sheet1!$A$426:$D$1672,4,FALSE)</f>
        <v>0.16</v>
      </c>
      <c r="T186" s="2" t="s">
        <v>16964</v>
      </c>
    </row>
    <row r="187" spans="1:21" hidden="1">
      <c r="A187" s="3" t="s">
        <v>3088</v>
      </c>
      <c r="B187" s="2" t="s">
        <v>236</v>
      </c>
      <c r="D187" s="66" t="s">
        <v>17238</v>
      </c>
      <c r="E187" s="2">
        <v>2003</v>
      </c>
      <c r="F187" s="2" t="s">
        <v>2692</v>
      </c>
      <c r="G187" s="2" t="s">
        <v>43</v>
      </c>
      <c r="I187" s="2" t="s">
        <v>10</v>
      </c>
      <c r="J187" s="2" t="s">
        <v>129</v>
      </c>
      <c r="K187" s="2" t="s">
        <v>237</v>
      </c>
      <c r="L187" s="2" t="s">
        <v>128</v>
      </c>
      <c r="M187" s="2">
        <v>1</v>
      </c>
      <c r="N187" s="2" t="s">
        <v>18</v>
      </c>
      <c r="Q187" s="2">
        <f>VLOOKUP(B187,[1]Sheet1!$A$426:$D$1672,4,FALSE)</f>
        <v>0.16</v>
      </c>
      <c r="T187" s="2" t="s">
        <v>16964</v>
      </c>
    </row>
    <row r="188" spans="1:21" hidden="1">
      <c r="A188" s="3" t="s">
        <v>3846</v>
      </c>
      <c r="B188" s="2" t="s">
        <v>155</v>
      </c>
      <c r="D188" s="66" t="s">
        <v>17193</v>
      </c>
      <c r="E188" s="2">
        <v>2004</v>
      </c>
      <c r="F188" s="2" t="s">
        <v>2692</v>
      </c>
      <c r="G188" s="2" t="s">
        <v>43</v>
      </c>
      <c r="I188" s="2" t="s">
        <v>10</v>
      </c>
      <c r="J188" s="2" t="s">
        <v>157</v>
      </c>
      <c r="K188" s="2" t="s">
        <v>158</v>
      </c>
      <c r="L188" s="2" t="s">
        <v>156</v>
      </c>
      <c r="M188" s="2">
        <v>554</v>
      </c>
      <c r="N188" s="2" t="s">
        <v>159</v>
      </c>
      <c r="Q188" s="2">
        <f>VLOOKUP(B188,[1]Sheet1!$A$426:$D$1672,4,FALSE)</f>
        <v>0.16</v>
      </c>
      <c r="T188" s="2" t="s">
        <v>16964</v>
      </c>
    </row>
    <row r="189" spans="1:21" hidden="1">
      <c r="A189" s="3" t="s">
        <v>2852</v>
      </c>
      <c r="B189" s="2" t="s">
        <v>261</v>
      </c>
      <c r="D189" s="66" t="s">
        <v>17209</v>
      </c>
      <c r="E189" s="2">
        <v>2004</v>
      </c>
      <c r="F189" s="2" t="s">
        <v>2692</v>
      </c>
      <c r="G189" s="2" t="s">
        <v>43</v>
      </c>
      <c r="I189" s="2" t="s">
        <v>6</v>
      </c>
      <c r="J189" s="2" t="s">
        <v>53</v>
      </c>
      <c r="K189" s="2" t="s">
        <v>262</v>
      </c>
      <c r="L189" s="2" t="s">
        <v>52</v>
      </c>
      <c r="M189" s="2">
        <v>321</v>
      </c>
      <c r="N189" s="2" t="s">
        <v>9</v>
      </c>
      <c r="Q189" s="2">
        <f>VLOOKUP(B189,[1]Sheet1!$A$426:$D$1672,4,FALSE)</f>
        <v>0.63</v>
      </c>
      <c r="T189" s="2" t="s">
        <v>16963</v>
      </c>
      <c r="U189" s="67" t="s">
        <v>2627</v>
      </c>
    </row>
    <row r="190" spans="1:21" hidden="1">
      <c r="A190" s="3" t="s">
        <v>3611</v>
      </c>
      <c r="B190" s="2" t="s">
        <v>185</v>
      </c>
      <c r="D190" s="66" t="s">
        <v>17211</v>
      </c>
      <c r="E190" s="2">
        <v>2004</v>
      </c>
      <c r="F190" s="2" t="s">
        <v>2692</v>
      </c>
      <c r="G190" s="2" t="s">
        <v>43</v>
      </c>
      <c r="I190" s="2" t="s">
        <v>10</v>
      </c>
      <c r="J190" s="2" t="s">
        <v>187</v>
      </c>
      <c r="K190" s="2" t="s">
        <v>188</v>
      </c>
      <c r="L190" s="2" t="s">
        <v>186</v>
      </c>
      <c r="M190" s="2">
        <v>288</v>
      </c>
      <c r="N190" s="2" t="s">
        <v>14</v>
      </c>
      <c r="Q190" s="2">
        <f>VLOOKUP(B190,[1]Sheet1!$A$426:$D$1672,4,FALSE)</f>
        <v>0.16</v>
      </c>
      <c r="T190" s="2" t="s">
        <v>16964</v>
      </c>
    </row>
    <row r="191" spans="1:21" hidden="1">
      <c r="A191" s="3" t="s">
        <v>3142</v>
      </c>
      <c r="B191" s="2" t="s">
        <v>181</v>
      </c>
      <c r="D191" s="66" t="s">
        <v>17208</v>
      </c>
      <c r="E191" s="2">
        <v>2004</v>
      </c>
      <c r="F191" s="2" t="s">
        <v>2692</v>
      </c>
      <c r="G191" s="2" t="s">
        <v>43</v>
      </c>
      <c r="I191" s="2" t="s">
        <v>6</v>
      </c>
      <c r="J191" s="2" t="s">
        <v>166</v>
      </c>
      <c r="K191" s="2" t="s">
        <v>182</v>
      </c>
      <c r="L191" s="2" t="s">
        <v>165</v>
      </c>
      <c r="M191" s="2">
        <v>391</v>
      </c>
      <c r="N191" s="2" t="s">
        <v>9</v>
      </c>
      <c r="Q191" s="2">
        <f>VLOOKUP(B191,[1]Sheet1!$A$426:$D$1672,4,FALSE)</f>
        <v>0.63</v>
      </c>
      <c r="T191" s="2" t="s">
        <v>16963</v>
      </c>
      <c r="U191" s="67" t="s">
        <v>2627</v>
      </c>
    </row>
    <row r="192" spans="1:21" hidden="1">
      <c r="A192" s="3" t="s">
        <v>4427</v>
      </c>
      <c r="B192" s="2" t="s">
        <v>205</v>
      </c>
      <c r="D192" s="66" t="s">
        <v>17222</v>
      </c>
      <c r="E192" s="2">
        <v>2005</v>
      </c>
      <c r="F192" s="2" t="s">
        <v>2692</v>
      </c>
      <c r="G192" s="2" t="s">
        <v>43</v>
      </c>
      <c r="I192" s="2" t="s">
        <v>10</v>
      </c>
      <c r="J192" s="2" t="s">
        <v>35</v>
      </c>
      <c r="K192" s="2" t="s">
        <v>206</v>
      </c>
      <c r="L192" s="2" t="s">
        <v>34</v>
      </c>
      <c r="M192" s="2">
        <v>5</v>
      </c>
      <c r="N192" s="2" t="s">
        <v>14</v>
      </c>
      <c r="Q192" s="2">
        <f>VLOOKUP(B192,[1]Sheet1!$A$426:$D$1672,4,FALSE)</f>
        <v>0.63</v>
      </c>
      <c r="T192" s="2" t="s">
        <v>16963</v>
      </c>
      <c r="U192" s="67" t="s">
        <v>2627</v>
      </c>
    </row>
    <row r="193" spans="1:21" hidden="1">
      <c r="A193" s="3" t="s">
        <v>3013</v>
      </c>
      <c r="B193" s="2" t="s">
        <v>259</v>
      </c>
      <c r="D193" s="66" t="s">
        <v>17196</v>
      </c>
      <c r="E193" s="2">
        <v>2004</v>
      </c>
      <c r="F193" s="2" t="s">
        <v>2692</v>
      </c>
      <c r="G193" s="2" t="s">
        <v>43</v>
      </c>
      <c r="I193" s="2" t="s">
        <v>6</v>
      </c>
      <c r="J193" s="2" t="s">
        <v>166</v>
      </c>
      <c r="K193" s="2" t="s">
        <v>169</v>
      </c>
      <c r="L193" s="2" t="s">
        <v>165</v>
      </c>
      <c r="M193" s="2">
        <v>391</v>
      </c>
      <c r="N193" s="2" t="s">
        <v>9</v>
      </c>
      <c r="Q193" s="2">
        <f>VLOOKUP(B193,[1]Sheet1!$A$426:$D$1672,4,FALSE)</f>
        <v>0.63</v>
      </c>
      <c r="T193" s="2" t="s">
        <v>16963</v>
      </c>
      <c r="U193" s="67" t="s">
        <v>2627</v>
      </c>
    </row>
    <row r="194" spans="1:21" hidden="1">
      <c r="A194" s="3" t="s">
        <v>3575</v>
      </c>
      <c r="B194" s="2" t="s">
        <v>160</v>
      </c>
      <c r="D194" s="66" t="s">
        <v>17194</v>
      </c>
      <c r="E194" s="2">
        <v>2004</v>
      </c>
      <c r="F194" s="2" t="s">
        <v>2692</v>
      </c>
      <c r="G194" s="2" t="s">
        <v>43</v>
      </c>
      <c r="I194" s="2" t="s">
        <v>10</v>
      </c>
      <c r="J194" s="2" t="s">
        <v>35</v>
      </c>
      <c r="K194" s="2" t="s">
        <v>161</v>
      </c>
      <c r="L194" s="2" t="s">
        <v>34</v>
      </c>
      <c r="M194" s="2">
        <v>5</v>
      </c>
      <c r="N194" s="2" t="s">
        <v>14</v>
      </c>
      <c r="Q194" s="2">
        <f>VLOOKUP(B194,[1]Sheet1!$A$426:$D$1672,4,FALSE)</f>
        <v>0.63</v>
      </c>
      <c r="T194" s="2" t="s">
        <v>16963</v>
      </c>
      <c r="U194" s="67" t="s">
        <v>2627</v>
      </c>
    </row>
    <row r="195" spans="1:21" hidden="1">
      <c r="A195" s="3" t="s">
        <v>2941</v>
      </c>
      <c r="B195" s="2" t="s">
        <v>170</v>
      </c>
      <c r="D195" s="66" t="s">
        <v>17202</v>
      </c>
      <c r="E195" s="2">
        <v>2004</v>
      </c>
      <c r="F195" s="2" t="s">
        <v>2692</v>
      </c>
      <c r="G195" s="2" t="s">
        <v>43</v>
      </c>
      <c r="I195" s="2" t="s">
        <v>6</v>
      </c>
      <c r="J195" s="2" t="s">
        <v>166</v>
      </c>
      <c r="K195" s="2" t="s">
        <v>171</v>
      </c>
      <c r="L195" s="2" t="s">
        <v>165</v>
      </c>
      <c r="M195" s="2">
        <v>391</v>
      </c>
      <c r="N195" s="2" t="s">
        <v>9</v>
      </c>
      <c r="Q195" s="2">
        <f>VLOOKUP(B195,[1]Sheet1!$A$426:$D$1672,4,FALSE)</f>
        <v>0.63</v>
      </c>
      <c r="T195" s="2" t="s">
        <v>16963</v>
      </c>
      <c r="U195" s="67" t="s">
        <v>2627</v>
      </c>
    </row>
    <row r="196" spans="1:21" hidden="1">
      <c r="A196" s="3" t="s">
        <v>4429</v>
      </c>
      <c r="B196" s="2" t="s">
        <v>198</v>
      </c>
      <c r="D196" s="66" t="s">
        <v>17218</v>
      </c>
      <c r="E196" s="2">
        <v>2004</v>
      </c>
      <c r="F196" s="2" t="s">
        <v>2692</v>
      </c>
      <c r="G196" s="2" t="s">
        <v>43</v>
      </c>
      <c r="H196" s="2" t="s">
        <v>2350</v>
      </c>
      <c r="I196" s="2" t="s">
        <v>10</v>
      </c>
      <c r="J196" s="2" t="s">
        <v>35</v>
      </c>
      <c r="K196" s="2" t="s">
        <v>199</v>
      </c>
      <c r="L196" s="2" t="s">
        <v>34</v>
      </c>
      <c r="M196" s="2">
        <v>5</v>
      </c>
      <c r="N196" s="2" t="s">
        <v>4459</v>
      </c>
      <c r="Q196" s="2">
        <f>VLOOKUP(B196,[1]Sheet1!$A$426:$D$1672,4,FALSE)</f>
        <v>0.63</v>
      </c>
      <c r="T196" s="2" t="s">
        <v>16963</v>
      </c>
      <c r="U196" s="67" t="s">
        <v>2627</v>
      </c>
    </row>
    <row r="197" spans="1:21" hidden="1">
      <c r="A197" s="3" t="s">
        <v>3379</v>
      </c>
      <c r="B197" s="2" t="s">
        <v>179</v>
      </c>
      <c r="D197" s="66" t="s">
        <v>17207</v>
      </c>
      <c r="E197" s="2">
        <v>2004</v>
      </c>
      <c r="F197" s="2" t="s">
        <v>2692</v>
      </c>
      <c r="G197" s="2" t="s">
        <v>43</v>
      </c>
      <c r="I197" s="2" t="s">
        <v>10</v>
      </c>
      <c r="J197" s="2" t="s">
        <v>35</v>
      </c>
      <c r="K197" s="2" t="s">
        <v>180</v>
      </c>
      <c r="L197" s="2" t="s">
        <v>34</v>
      </c>
      <c r="M197" s="2">
        <v>5</v>
      </c>
      <c r="N197" s="2" t="s">
        <v>14</v>
      </c>
      <c r="Q197" s="2">
        <f>VLOOKUP(B197,[1]Sheet1!$A$426:$D$1672,4,FALSE)</f>
        <v>0.63</v>
      </c>
      <c r="T197" s="2" t="s">
        <v>16963</v>
      </c>
      <c r="U197" s="67" t="s">
        <v>2627</v>
      </c>
    </row>
    <row r="198" spans="1:21" hidden="1">
      <c r="A198" s="3" t="s">
        <v>4355</v>
      </c>
      <c r="B198" s="2" t="s">
        <v>207</v>
      </c>
      <c r="D198" s="66" t="s">
        <v>17223</v>
      </c>
      <c r="E198" s="2">
        <v>2005</v>
      </c>
      <c r="F198" s="2" t="s">
        <v>2692</v>
      </c>
      <c r="G198" s="2" t="s">
        <v>43</v>
      </c>
      <c r="I198" s="2" t="s">
        <v>10</v>
      </c>
      <c r="J198" s="2" t="s">
        <v>35</v>
      </c>
      <c r="K198" s="2" t="s">
        <v>208</v>
      </c>
      <c r="L198" s="2" t="s">
        <v>34</v>
      </c>
      <c r="M198" s="2">
        <v>5</v>
      </c>
      <c r="N198" s="2" t="s">
        <v>14</v>
      </c>
      <c r="Q198" s="2">
        <f>VLOOKUP(B198,[1]Sheet1!$A$426:$D$1672,4,FALSE)</f>
        <v>0.16</v>
      </c>
      <c r="T198" s="2" t="s">
        <v>16964</v>
      </c>
    </row>
    <row r="199" spans="1:21" hidden="1">
      <c r="A199" s="3" t="s">
        <v>3062</v>
      </c>
      <c r="B199" s="2" t="s">
        <v>211</v>
      </c>
      <c r="D199" s="66" t="s">
        <v>17225</v>
      </c>
      <c r="E199" s="2">
        <v>2005</v>
      </c>
      <c r="F199" s="2" t="s">
        <v>2692</v>
      </c>
      <c r="G199" s="2" t="s">
        <v>43</v>
      </c>
      <c r="I199" s="2" t="s">
        <v>10</v>
      </c>
      <c r="J199" s="2" t="s">
        <v>12</v>
      </c>
      <c r="K199" s="2" t="s">
        <v>212</v>
      </c>
      <c r="L199" s="2" t="s">
        <v>11</v>
      </c>
      <c r="M199" s="2">
        <v>3</v>
      </c>
      <c r="N199" s="2" t="s">
        <v>14</v>
      </c>
      <c r="Q199" s="2">
        <f>VLOOKUP(B199,[1]Sheet1!$A$426:$D$1672,4,FALSE)</f>
        <v>0.63</v>
      </c>
      <c r="T199" s="2" t="s">
        <v>16963</v>
      </c>
      <c r="U199" s="67" t="s">
        <v>2627</v>
      </c>
    </row>
    <row r="200" spans="1:21" hidden="1">
      <c r="A200" s="3" t="s">
        <v>3657</v>
      </c>
      <c r="B200" s="2" t="s">
        <v>247</v>
      </c>
      <c r="D200" s="66" t="s">
        <v>17246</v>
      </c>
      <c r="E200" s="2">
        <v>2004</v>
      </c>
      <c r="F200" s="2" t="s">
        <v>2692</v>
      </c>
      <c r="G200" s="2" t="s">
        <v>43</v>
      </c>
      <c r="I200" s="2" t="s">
        <v>10</v>
      </c>
      <c r="J200" s="2" t="s">
        <v>59</v>
      </c>
      <c r="K200" s="2" t="s">
        <v>240</v>
      </c>
      <c r="L200" s="2" t="s">
        <v>58</v>
      </c>
      <c r="M200" s="2">
        <v>6</v>
      </c>
      <c r="N200" s="2" t="s">
        <v>18</v>
      </c>
      <c r="Q200" s="2">
        <f>VLOOKUP(B200,[1]Sheet1!$A$426:$D$1672,4,FALSE)</f>
        <v>0.16</v>
      </c>
      <c r="T200" s="2" t="s">
        <v>16964</v>
      </c>
    </row>
    <row r="201" spans="1:21" hidden="1">
      <c r="A201" s="3" t="s">
        <v>3730</v>
      </c>
      <c r="B201" s="2" t="s">
        <v>251</v>
      </c>
      <c r="D201" s="66" t="s">
        <v>17250</v>
      </c>
      <c r="E201" s="2">
        <v>2005</v>
      </c>
      <c r="F201" s="2" t="s">
        <v>2692</v>
      </c>
      <c r="G201" s="2" t="s">
        <v>43</v>
      </c>
      <c r="I201" s="2" t="s">
        <v>10</v>
      </c>
      <c r="J201" s="2" t="s">
        <v>98</v>
      </c>
      <c r="K201" s="2" t="s">
        <v>249</v>
      </c>
      <c r="L201" s="2" t="s">
        <v>97</v>
      </c>
      <c r="M201" s="2">
        <v>550</v>
      </c>
      <c r="N201" s="2" t="s">
        <v>14</v>
      </c>
      <c r="Q201" s="2">
        <f>VLOOKUP(B201,[1]Sheet1!$A$426:$D$1672,4,FALSE)</f>
        <v>0.16</v>
      </c>
      <c r="T201" s="2" t="s">
        <v>16964</v>
      </c>
    </row>
    <row r="202" spans="1:21" hidden="1">
      <c r="A202" s="3" t="s">
        <v>3356</v>
      </c>
      <c r="B202" s="2" t="s">
        <v>252</v>
      </c>
      <c r="D202" s="66" t="s">
        <v>17251</v>
      </c>
      <c r="E202" s="2">
        <v>2005</v>
      </c>
      <c r="F202" s="2" t="s">
        <v>2692</v>
      </c>
      <c r="G202" s="2" t="s">
        <v>43</v>
      </c>
      <c r="I202" s="2" t="s">
        <v>6</v>
      </c>
      <c r="J202" s="2" t="s">
        <v>29</v>
      </c>
      <c r="K202" s="2" t="s">
        <v>253</v>
      </c>
      <c r="L202" s="2" t="s">
        <v>28</v>
      </c>
      <c r="M202" s="2">
        <v>551</v>
      </c>
      <c r="N202" s="2" t="s">
        <v>9</v>
      </c>
      <c r="Q202" s="2">
        <f>VLOOKUP(B202,[1]Sheet1!$A$426:$D$1672,4,FALSE)</f>
        <v>0.16</v>
      </c>
      <c r="T202" s="2" t="s">
        <v>16964</v>
      </c>
    </row>
    <row r="203" spans="1:21" hidden="1">
      <c r="A203" s="3" t="s">
        <v>3570</v>
      </c>
      <c r="B203" s="2" t="s">
        <v>250</v>
      </c>
      <c r="D203" s="66" t="s">
        <v>17249</v>
      </c>
      <c r="E203" s="2">
        <v>2005</v>
      </c>
      <c r="F203" s="2" t="s">
        <v>2692</v>
      </c>
      <c r="G203" s="2" t="s">
        <v>43</v>
      </c>
      <c r="I203" s="2" t="s">
        <v>10</v>
      </c>
      <c r="J203" s="2" t="s">
        <v>35</v>
      </c>
      <c r="K203" s="2" t="s">
        <v>235</v>
      </c>
      <c r="L203" s="2" t="s">
        <v>34</v>
      </c>
      <c r="M203" s="2">
        <v>5</v>
      </c>
      <c r="N203" s="2" t="s">
        <v>14</v>
      </c>
      <c r="Q203" s="2">
        <f>VLOOKUP(B203,[1]Sheet1!$A$426:$D$1672,4,FALSE)</f>
        <v>0.16</v>
      </c>
      <c r="T203" s="2" t="s">
        <v>16964</v>
      </c>
    </row>
    <row r="204" spans="1:21" hidden="1">
      <c r="A204" s="3" t="s">
        <v>3717</v>
      </c>
      <c r="B204" s="2" t="s">
        <v>213</v>
      </c>
      <c r="D204" s="66" t="s">
        <v>17226</v>
      </c>
      <c r="E204" s="2">
        <v>2006</v>
      </c>
      <c r="F204" s="2" t="s">
        <v>2692</v>
      </c>
      <c r="G204" s="2" t="s">
        <v>43</v>
      </c>
      <c r="I204" s="2" t="s">
        <v>10</v>
      </c>
      <c r="J204" s="2" t="s">
        <v>157</v>
      </c>
      <c r="K204" s="2" t="s">
        <v>214</v>
      </c>
      <c r="L204" s="2" t="s">
        <v>156</v>
      </c>
      <c r="M204" s="2">
        <v>554</v>
      </c>
      <c r="N204" s="2" t="s">
        <v>159</v>
      </c>
      <c r="Q204" s="1">
        <v>0.16</v>
      </c>
      <c r="R204" s="1"/>
      <c r="S204" s="1"/>
      <c r="T204" s="2" t="s">
        <v>16964</v>
      </c>
    </row>
    <row r="205" spans="1:21" hidden="1">
      <c r="A205" s="3" t="s">
        <v>4354</v>
      </c>
      <c r="B205" s="2" t="s">
        <v>209</v>
      </c>
      <c r="D205" s="66" t="s">
        <v>17224</v>
      </c>
      <c r="E205" s="2">
        <v>2005</v>
      </c>
      <c r="F205" s="2" t="s">
        <v>2692</v>
      </c>
      <c r="G205" s="2" t="s">
        <v>43</v>
      </c>
      <c r="I205" s="2" t="s">
        <v>10</v>
      </c>
      <c r="J205" s="2" t="s">
        <v>35</v>
      </c>
      <c r="K205" s="2" t="s">
        <v>210</v>
      </c>
      <c r="L205" s="2" t="s">
        <v>34</v>
      </c>
      <c r="M205" s="2">
        <v>5</v>
      </c>
      <c r="N205" s="2" t="s">
        <v>14</v>
      </c>
      <c r="Q205" s="2">
        <f>VLOOKUP(B205,[1]Sheet1!$A$426:$D$1672,4,FALSE)</f>
        <v>0.16</v>
      </c>
      <c r="T205" s="2" t="s">
        <v>16964</v>
      </c>
    </row>
    <row r="206" spans="1:21" hidden="1">
      <c r="A206" s="3" t="s">
        <v>2879</v>
      </c>
      <c r="B206" s="2" t="s">
        <v>195</v>
      </c>
      <c r="D206" s="66" t="s">
        <v>17216</v>
      </c>
      <c r="E206" s="2">
        <v>2004</v>
      </c>
      <c r="F206" s="2" t="s">
        <v>2692</v>
      </c>
      <c r="G206" s="2" t="s">
        <v>43</v>
      </c>
      <c r="I206" s="2" t="s">
        <v>6</v>
      </c>
      <c r="J206" s="2" t="s">
        <v>166</v>
      </c>
      <c r="K206" s="2" t="s">
        <v>169</v>
      </c>
      <c r="L206" s="2" t="s">
        <v>165</v>
      </c>
      <c r="M206" s="2">
        <v>391</v>
      </c>
      <c r="N206" s="2" t="s">
        <v>9</v>
      </c>
      <c r="Q206" s="2">
        <f>VLOOKUP(B206,[1]Sheet1!$A$426:$D$1672,4,FALSE)</f>
        <v>0.16</v>
      </c>
      <c r="T206" s="2" t="s">
        <v>16964</v>
      </c>
    </row>
    <row r="207" spans="1:21" hidden="1">
      <c r="A207" s="3" t="s">
        <v>4233</v>
      </c>
      <c r="B207" s="2" t="s">
        <v>268</v>
      </c>
      <c r="D207" s="66" t="s">
        <v>17227</v>
      </c>
      <c r="E207" s="2">
        <v>2005</v>
      </c>
      <c r="F207" s="2" t="s">
        <v>2692</v>
      </c>
      <c r="G207" s="2" t="s">
        <v>43</v>
      </c>
      <c r="I207" s="2" t="s">
        <v>6</v>
      </c>
      <c r="J207" s="2" t="s">
        <v>218</v>
      </c>
      <c r="K207" s="2" t="s">
        <v>219</v>
      </c>
      <c r="L207" s="2" t="s">
        <v>217</v>
      </c>
      <c r="M207" s="2">
        <v>29</v>
      </c>
      <c r="N207" s="2" t="s">
        <v>9</v>
      </c>
      <c r="Q207" s="2">
        <f>VLOOKUP(B207,[1]Sheet1!$A$426:$D$1672,4,FALSE)</f>
        <v>0.16</v>
      </c>
      <c r="T207" s="2" t="s">
        <v>16964</v>
      </c>
    </row>
    <row r="208" spans="1:21" hidden="1">
      <c r="A208" s="3" t="s">
        <v>4356</v>
      </c>
      <c r="B208" s="2" t="s">
        <v>2223</v>
      </c>
      <c r="D208" s="66" t="s">
        <v>17229</v>
      </c>
      <c r="E208" s="2">
        <v>2005</v>
      </c>
      <c r="F208" s="2" t="s">
        <v>2692</v>
      </c>
      <c r="G208" s="2" t="s">
        <v>43</v>
      </c>
      <c r="I208" s="2" t="s">
        <v>6</v>
      </c>
      <c r="J208" s="2" t="s">
        <v>102</v>
      </c>
      <c r="K208" s="2" t="s">
        <v>222</v>
      </c>
      <c r="L208" s="2" t="s">
        <v>101</v>
      </c>
      <c r="M208" s="2">
        <v>7</v>
      </c>
      <c r="N208" s="2" t="s">
        <v>9</v>
      </c>
      <c r="Q208" s="2">
        <f>VLOOKUP(B208,[1]Sheet1!$A$426:$D$1672,4,FALSE)</f>
        <v>0.16</v>
      </c>
      <c r="T208" s="2" t="s">
        <v>16964</v>
      </c>
    </row>
    <row r="209" spans="1:21" hidden="1">
      <c r="A209" s="3" t="s">
        <v>3606</v>
      </c>
      <c r="B209" s="2" t="s">
        <v>2222</v>
      </c>
      <c r="D209" s="66" t="s">
        <v>17232</v>
      </c>
      <c r="E209" s="2">
        <v>2005</v>
      </c>
      <c r="F209" s="2" t="s">
        <v>2692</v>
      </c>
      <c r="G209" s="2" t="s">
        <v>43</v>
      </c>
      <c r="I209" s="2" t="s">
        <v>6</v>
      </c>
      <c r="J209" s="2" t="s">
        <v>20</v>
      </c>
      <c r="K209" s="2" t="s">
        <v>231</v>
      </c>
      <c r="L209" s="2" t="s">
        <v>19</v>
      </c>
      <c r="M209" s="2">
        <v>9</v>
      </c>
      <c r="N209" s="2" t="s">
        <v>9</v>
      </c>
      <c r="Q209" s="2">
        <f>VLOOKUP(B209,[1]Sheet1!$A$426:$D$1672,4,FALSE)</f>
        <v>0.16</v>
      </c>
      <c r="T209" s="2" t="s">
        <v>16964</v>
      </c>
    </row>
    <row r="210" spans="1:21" hidden="1">
      <c r="A210" s="3" t="s">
        <v>4155</v>
      </c>
      <c r="B210" s="2" t="s">
        <v>2224</v>
      </c>
      <c r="D210" s="66" t="s">
        <v>17228</v>
      </c>
      <c r="E210" s="2">
        <v>2005</v>
      </c>
      <c r="F210" s="2" t="s">
        <v>2692</v>
      </c>
      <c r="G210" s="2" t="s">
        <v>43</v>
      </c>
      <c r="I210" s="2" t="s">
        <v>6</v>
      </c>
      <c r="J210" s="2" t="s">
        <v>220</v>
      </c>
      <c r="K210" s="2" t="s">
        <v>221</v>
      </c>
      <c r="L210" s="2" t="s">
        <v>217</v>
      </c>
      <c r="M210" s="2">
        <v>29</v>
      </c>
      <c r="N210" s="2" t="s">
        <v>9</v>
      </c>
      <c r="Q210" s="2">
        <f>VLOOKUP(B210,[1]Sheet1!$A$426:$D$1672,4,FALSE)</f>
        <v>0.16</v>
      </c>
      <c r="T210" s="2" t="s">
        <v>16964</v>
      </c>
    </row>
    <row r="211" spans="1:21" hidden="1">
      <c r="A211" s="3" t="s">
        <v>3836</v>
      </c>
      <c r="B211" s="2" t="s">
        <v>1443</v>
      </c>
      <c r="D211" s="66" t="s">
        <v>17191</v>
      </c>
      <c r="E211" s="2">
        <v>2004</v>
      </c>
      <c r="F211" s="2" t="s">
        <v>2692</v>
      </c>
      <c r="G211" s="2" t="s">
        <v>43</v>
      </c>
      <c r="H211" s="2" t="s">
        <v>1444</v>
      </c>
      <c r="I211" s="2" t="s">
        <v>6</v>
      </c>
      <c r="J211" s="2" t="s">
        <v>40</v>
      </c>
      <c r="K211" s="2" t="s">
        <v>1445</v>
      </c>
      <c r="L211" s="2" t="s">
        <v>39</v>
      </c>
      <c r="M211" s="2">
        <v>37</v>
      </c>
      <c r="N211" s="2" t="s">
        <v>9</v>
      </c>
      <c r="Q211" s="2">
        <v>0.16</v>
      </c>
      <c r="T211" s="2" t="s">
        <v>16964</v>
      </c>
    </row>
    <row r="212" spans="1:21" hidden="1">
      <c r="A212" s="3" t="s">
        <v>3799</v>
      </c>
      <c r="B212" s="2" t="s">
        <v>241</v>
      </c>
      <c r="D212" s="66" t="s">
        <v>17242</v>
      </c>
      <c r="E212" s="2">
        <v>2004</v>
      </c>
      <c r="F212" s="2" t="s">
        <v>2692</v>
      </c>
      <c r="G212" s="2" t="s">
        <v>43</v>
      </c>
      <c r="I212" s="2" t="s">
        <v>10</v>
      </c>
      <c r="J212" s="2" t="s">
        <v>187</v>
      </c>
      <c r="K212" s="2" t="s">
        <v>242</v>
      </c>
      <c r="L212" s="2" t="s">
        <v>186</v>
      </c>
      <c r="M212" s="2">
        <v>288</v>
      </c>
      <c r="N212" s="2" t="s">
        <v>14</v>
      </c>
      <c r="Q212" s="2">
        <f>VLOOKUP(B212,[1]Sheet1!$A$426:$D$1672,4,FALSE)</f>
        <v>0.16</v>
      </c>
      <c r="T212" s="2" t="s">
        <v>16964</v>
      </c>
    </row>
    <row r="213" spans="1:21" hidden="1">
      <c r="A213" s="3" t="s">
        <v>2812</v>
      </c>
      <c r="B213" s="2" t="s">
        <v>177</v>
      </c>
      <c r="D213" s="66" t="s">
        <v>17206</v>
      </c>
      <c r="E213" s="2">
        <v>2004</v>
      </c>
      <c r="F213" s="2" t="s">
        <v>2692</v>
      </c>
      <c r="G213" s="2" t="s">
        <v>43</v>
      </c>
      <c r="I213" s="2" t="s">
        <v>6</v>
      </c>
      <c r="J213" s="2" t="s">
        <v>53</v>
      </c>
      <c r="K213" s="2" t="s">
        <v>178</v>
      </c>
      <c r="L213" s="2" t="s">
        <v>52</v>
      </c>
      <c r="M213" s="2">
        <v>321</v>
      </c>
      <c r="N213" s="2" t="s">
        <v>9</v>
      </c>
      <c r="Q213" s="2">
        <f>VLOOKUP(B213,[1]Sheet1!$A$426:$D$1672,4,FALSE)</f>
        <v>0.63</v>
      </c>
      <c r="T213" s="2" t="s">
        <v>16963</v>
      </c>
      <c r="U213" s="67" t="s">
        <v>2627</v>
      </c>
    </row>
    <row r="214" spans="1:21" hidden="1">
      <c r="A214" s="3" t="s">
        <v>3025</v>
      </c>
      <c r="B214" s="2" t="s">
        <v>164</v>
      </c>
      <c r="D214" s="66" t="s">
        <v>17198</v>
      </c>
      <c r="E214" s="2">
        <v>2004</v>
      </c>
      <c r="F214" s="2" t="s">
        <v>2692</v>
      </c>
      <c r="G214" s="2" t="s">
        <v>43</v>
      </c>
      <c r="I214" s="2" t="s">
        <v>6</v>
      </c>
      <c r="J214" s="2" t="s">
        <v>166</v>
      </c>
      <c r="K214" s="2" t="s">
        <v>167</v>
      </c>
      <c r="L214" s="2" t="s">
        <v>165</v>
      </c>
      <c r="M214" s="2">
        <v>391</v>
      </c>
      <c r="N214" s="2" t="s">
        <v>9</v>
      </c>
      <c r="Q214" s="2">
        <f>VLOOKUP(B214,[1]Sheet1!$A$426:$D$1672,4,FALSE)</f>
        <v>0.63</v>
      </c>
      <c r="T214" s="2" t="s">
        <v>16963</v>
      </c>
      <c r="U214" s="67" t="s">
        <v>2627</v>
      </c>
    </row>
    <row r="215" spans="1:21" hidden="1">
      <c r="A215" s="3" t="s">
        <v>3723</v>
      </c>
      <c r="B215" s="2" t="s">
        <v>248</v>
      </c>
      <c r="D215" s="66" t="s">
        <v>17248</v>
      </c>
      <c r="E215" s="2">
        <v>2005</v>
      </c>
      <c r="F215" s="2" t="s">
        <v>2692</v>
      </c>
      <c r="G215" s="2" t="s">
        <v>43</v>
      </c>
      <c r="I215" s="2" t="s">
        <v>10</v>
      </c>
      <c r="J215" s="2" t="s">
        <v>98</v>
      </c>
      <c r="K215" s="2" t="s">
        <v>249</v>
      </c>
      <c r="L215" s="2" t="s">
        <v>97</v>
      </c>
      <c r="M215" s="2">
        <v>550</v>
      </c>
      <c r="N215" s="2" t="s">
        <v>14</v>
      </c>
      <c r="Q215" s="2">
        <f>VLOOKUP(B215,[1]Sheet1!$A$426:$D$1672,4,FALSE)</f>
        <v>0.16</v>
      </c>
      <c r="T215" s="2" t="s">
        <v>16964</v>
      </c>
    </row>
    <row r="216" spans="1:21" hidden="1">
      <c r="A216" s="3" t="s">
        <v>2917</v>
      </c>
      <c r="B216" s="2" t="s">
        <v>254</v>
      </c>
      <c r="D216" s="66" t="s">
        <v>17252</v>
      </c>
      <c r="E216" s="2">
        <v>2005</v>
      </c>
      <c r="F216" s="2" t="s">
        <v>2692</v>
      </c>
      <c r="G216" s="2" t="s">
        <v>43</v>
      </c>
      <c r="I216" s="2" t="s">
        <v>6</v>
      </c>
      <c r="J216" s="2" t="s">
        <v>8</v>
      </c>
      <c r="K216" s="2" t="s">
        <v>255</v>
      </c>
      <c r="L216" s="2" t="s">
        <v>7</v>
      </c>
      <c r="M216" s="2">
        <v>121</v>
      </c>
      <c r="N216" s="2" t="s">
        <v>9</v>
      </c>
      <c r="Q216" s="2">
        <f>VLOOKUP(B216,[1]Sheet1!$A$426:$D$1672,4,FALSE)</f>
        <v>0.16</v>
      </c>
      <c r="T216" s="2" t="s">
        <v>16964</v>
      </c>
    </row>
    <row r="217" spans="1:21" hidden="1">
      <c r="A217" s="3" t="s">
        <v>4048</v>
      </c>
      <c r="B217" s="2" t="s">
        <v>1167</v>
      </c>
      <c r="D217" s="66" t="str">
        <f>VLOOKUP("*"&amp;A217&amp;"*",[2]Sheet1!$G$2:$X$1155,18,FALSE)</f>
        <v>ERR10549738</v>
      </c>
      <c r="E217" s="2">
        <v>2018</v>
      </c>
      <c r="F217" s="2" t="s">
        <v>1112</v>
      </c>
      <c r="G217" s="2" t="s">
        <v>5</v>
      </c>
      <c r="I217" s="2" t="s">
        <v>6</v>
      </c>
      <c r="J217" s="2" t="s">
        <v>40</v>
      </c>
      <c r="K217" s="2" t="s">
        <v>1164</v>
      </c>
      <c r="L217" s="2" t="s">
        <v>39</v>
      </c>
      <c r="M217" s="2">
        <v>37</v>
      </c>
      <c r="N217" s="2" t="s">
        <v>9</v>
      </c>
      <c r="T217" s="2" t="s">
        <v>16964</v>
      </c>
    </row>
    <row r="218" spans="1:21" hidden="1">
      <c r="A218" s="3" t="s">
        <v>3914</v>
      </c>
      <c r="B218" s="2" t="s">
        <v>215</v>
      </c>
      <c r="D218" s="66" t="s">
        <v>17230</v>
      </c>
      <c r="E218" s="2">
        <v>2006</v>
      </c>
      <c r="F218" s="2" t="s">
        <v>2692</v>
      </c>
      <c r="G218" s="2" t="s">
        <v>43</v>
      </c>
      <c r="I218" s="2" t="s">
        <v>10</v>
      </c>
      <c r="J218" s="2" t="s">
        <v>35</v>
      </c>
      <c r="K218" s="2" t="s">
        <v>161</v>
      </c>
      <c r="L218" s="2" t="s">
        <v>34</v>
      </c>
      <c r="M218" s="2">
        <v>5</v>
      </c>
      <c r="N218" s="2" t="s">
        <v>14</v>
      </c>
      <c r="Q218" s="2">
        <f>VLOOKUP(B218,[1]Sheet1!$A$426:$D$1672,4,FALSE)</f>
        <v>0.63</v>
      </c>
      <c r="T218" s="2" t="s">
        <v>16963</v>
      </c>
      <c r="U218" s="67" t="s">
        <v>2627</v>
      </c>
    </row>
    <row r="219" spans="1:21" hidden="1">
      <c r="A219" s="3" t="s">
        <v>3455</v>
      </c>
      <c r="B219" s="2" t="s">
        <v>256</v>
      </c>
      <c r="D219" s="66" t="s">
        <v>17253</v>
      </c>
      <c r="E219" s="2">
        <v>2005</v>
      </c>
      <c r="F219" s="2" t="s">
        <v>2692</v>
      </c>
      <c r="G219" s="2" t="s">
        <v>43</v>
      </c>
      <c r="I219" s="2" t="s">
        <v>10</v>
      </c>
      <c r="J219" s="2" t="s">
        <v>35</v>
      </c>
      <c r="K219" s="2" t="s">
        <v>257</v>
      </c>
      <c r="L219" s="2" t="s">
        <v>34</v>
      </c>
      <c r="M219" s="2">
        <v>552</v>
      </c>
      <c r="N219" s="2" t="s">
        <v>14</v>
      </c>
      <c r="Q219" s="2">
        <f>VLOOKUP(B219,[1]Sheet1!$A$426:$D$1672,4,FALSE)</f>
        <v>0.16</v>
      </c>
      <c r="T219" s="2" t="s">
        <v>16964</v>
      </c>
    </row>
    <row r="220" spans="1:21" hidden="1">
      <c r="A220" s="3" t="s">
        <v>4305</v>
      </c>
      <c r="B220" s="2" t="s">
        <v>175</v>
      </c>
      <c r="D220" s="66" t="s">
        <v>17205</v>
      </c>
      <c r="E220" s="2">
        <v>2004</v>
      </c>
      <c r="F220" s="2" t="s">
        <v>2692</v>
      </c>
      <c r="G220" s="2" t="s">
        <v>43</v>
      </c>
      <c r="I220" s="2" t="s">
        <v>10</v>
      </c>
      <c r="J220" s="2" t="s">
        <v>35</v>
      </c>
      <c r="K220" s="2" t="s">
        <v>176</v>
      </c>
      <c r="L220" s="2" t="s">
        <v>34</v>
      </c>
      <c r="M220" s="2">
        <v>5</v>
      </c>
      <c r="N220" s="2" t="s">
        <v>14</v>
      </c>
      <c r="Q220" s="2">
        <f>VLOOKUP(B220,[1]Sheet1!$A$426:$D$1672,4,FALSE)</f>
        <v>0.63</v>
      </c>
      <c r="T220" s="2" t="s">
        <v>16963</v>
      </c>
      <c r="U220" s="67" t="s">
        <v>2627</v>
      </c>
    </row>
    <row r="221" spans="1:21" hidden="1">
      <c r="A221" s="3" t="s">
        <v>2889</v>
      </c>
      <c r="B221" s="2" t="s">
        <v>168</v>
      </c>
      <c r="D221" s="66" t="s">
        <v>17199</v>
      </c>
      <c r="E221" s="2">
        <v>2004</v>
      </c>
      <c r="F221" s="2" t="s">
        <v>2692</v>
      </c>
      <c r="G221" s="2" t="s">
        <v>43</v>
      </c>
      <c r="I221" s="2" t="s">
        <v>6</v>
      </c>
      <c r="J221" s="2" t="s">
        <v>166</v>
      </c>
      <c r="K221" s="2" t="s">
        <v>169</v>
      </c>
      <c r="L221" s="2" t="s">
        <v>165</v>
      </c>
      <c r="M221" s="2">
        <v>391</v>
      </c>
      <c r="N221" s="2" t="s">
        <v>9</v>
      </c>
      <c r="Q221" s="2">
        <f>VLOOKUP(B221,[1]Sheet1!$A$426:$D$1672,4,FALSE)</f>
        <v>0.63</v>
      </c>
      <c r="T221" s="2" t="s">
        <v>16963</v>
      </c>
      <c r="U221" s="67" t="s">
        <v>2627</v>
      </c>
    </row>
    <row r="222" spans="1:21" hidden="1">
      <c r="A222" s="3" t="s">
        <v>3200</v>
      </c>
      <c r="B222" s="2" t="s">
        <v>264</v>
      </c>
      <c r="D222" s="66" t="s">
        <v>17247</v>
      </c>
      <c r="E222" s="2">
        <v>2004</v>
      </c>
      <c r="F222" s="2" t="s">
        <v>2692</v>
      </c>
      <c r="G222" s="2" t="s">
        <v>43</v>
      </c>
      <c r="I222" s="2" t="s">
        <v>10</v>
      </c>
      <c r="J222" s="2" t="s">
        <v>59</v>
      </c>
      <c r="K222" s="2" t="s">
        <v>240</v>
      </c>
      <c r="L222" s="2" t="s">
        <v>58</v>
      </c>
      <c r="M222" s="2">
        <v>6</v>
      </c>
      <c r="N222" s="2" t="s">
        <v>18</v>
      </c>
      <c r="Q222" s="2">
        <f>VLOOKUP(B222,[1]Sheet1!$A$426:$D$1672,4,FALSE)</f>
        <v>0.16</v>
      </c>
      <c r="T222" s="2" t="s">
        <v>16964</v>
      </c>
    </row>
    <row r="223" spans="1:21" hidden="1">
      <c r="A223" s="3" t="s">
        <v>2994</v>
      </c>
      <c r="B223" s="2" t="s">
        <v>230</v>
      </c>
      <c r="D223" s="66" t="s">
        <v>17234</v>
      </c>
      <c r="E223" s="2">
        <v>2003</v>
      </c>
      <c r="F223" s="2" t="s">
        <v>2692</v>
      </c>
      <c r="G223" s="2" t="s">
        <v>43</v>
      </c>
      <c r="I223" s="2" t="s">
        <v>10</v>
      </c>
      <c r="J223" s="2" t="s">
        <v>228</v>
      </c>
      <c r="K223" s="2" t="s">
        <v>229</v>
      </c>
      <c r="L223" s="2" t="s">
        <v>227</v>
      </c>
      <c r="M223" s="2">
        <v>506</v>
      </c>
      <c r="N223" s="2" t="s">
        <v>14</v>
      </c>
      <c r="Q223" s="2">
        <f>VLOOKUP(B223,[1]Sheet1!$A$426:$D$1672,4,FALSE)</f>
        <v>0.08</v>
      </c>
      <c r="T223" s="2" t="s">
        <v>16964</v>
      </c>
    </row>
    <row r="224" spans="1:21" hidden="1">
      <c r="A224" s="3" t="s">
        <v>3205</v>
      </c>
      <c r="B224" s="2" t="s">
        <v>246</v>
      </c>
      <c r="D224" s="66" t="s">
        <v>17245</v>
      </c>
      <c r="E224" s="2">
        <v>2004</v>
      </c>
      <c r="F224" s="2" t="s">
        <v>2692</v>
      </c>
      <c r="G224" s="2" t="s">
        <v>43</v>
      </c>
      <c r="I224" s="2" t="s">
        <v>10</v>
      </c>
      <c r="J224" s="2" t="s">
        <v>59</v>
      </c>
      <c r="K224" s="2" t="s">
        <v>240</v>
      </c>
      <c r="L224" s="2" t="s">
        <v>58</v>
      </c>
      <c r="M224" s="2">
        <v>6</v>
      </c>
      <c r="N224" s="2" t="s">
        <v>18</v>
      </c>
      <c r="Q224" s="2">
        <f>VLOOKUP(B224,[1]Sheet1!$A$426:$D$1672,4,FALSE)</f>
        <v>0.08</v>
      </c>
      <c r="T224" s="2" t="s">
        <v>16964</v>
      </c>
    </row>
    <row r="225" spans="1:20" hidden="1">
      <c r="A225" s="3" t="s">
        <v>3302</v>
      </c>
      <c r="B225" s="2" t="s">
        <v>263</v>
      </c>
      <c r="D225" s="66" t="s">
        <v>17239</v>
      </c>
      <c r="E225" s="2">
        <v>2003</v>
      </c>
      <c r="F225" s="2" t="s">
        <v>2692</v>
      </c>
      <c r="G225" s="2" t="s">
        <v>43</v>
      </c>
      <c r="I225" s="2" t="s">
        <v>10</v>
      </c>
      <c r="J225" s="2" t="s">
        <v>59</v>
      </c>
      <c r="K225" s="2" t="s">
        <v>240</v>
      </c>
      <c r="L225" s="2" t="s">
        <v>58</v>
      </c>
      <c r="M225" s="2">
        <v>6</v>
      </c>
      <c r="N225" s="2" t="s">
        <v>18</v>
      </c>
      <c r="Q225" s="2">
        <f>VLOOKUP(B225,[1]Sheet1!$A$426:$D$1672,4,FALSE)</f>
        <v>0.16</v>
      </c>
      <c r="T225" s="2" t="s">
        <v>16964</v>
      </c>
    </row>
    <row r="226" spans="1:20" hidden="1">
      <c r="A226" s="3" t="s">
        <v>3121</v>
      </c>
      <c r="B226" s="2" t="s">
        <v>243</v>
      </c>
      <c r="D226" s="66" t="s">
        <v>17243</v>
      </c>
      <c r="E226" s="2">
        <v>2004</v>
      </c>
      <c r="F226" s="2" t="s">
        <v>2692</v>
      </c>
      <c r="G226" s="2" t="s">
        <v>43</v>
      </c>
      <c r="I226" s="2" t="s">
        <v>10</v>
      </c>
      <c r="J226" s="2" t="s">
        <v>59</v>
      </c>
      <c r="K226" s="2" t="s">
        <v>244</v>
      </c>
      <c r="L226" s="2" t="s">
        <v>58</v>
      </c>
      <c r="M226" s="2">
        <v>6</v>
      </c>
      <c r="N226" s="2" t="s">
        <v>18</v>
      </c>
      <c r="Q226" s="2">
        <f>VLOOKUP(B226,[1]Sheet1!$A$426:$D$1672,4,FALSE)</f>
        <v>0.16</v>
      </c>
      <c r="T226" s="2" t="s">
        <v>16964</v>
      </c>
    </row>
    <row r="227" spans="1:20" hidden="1">
      <c r="A227" s="3" t="s">
        <v>3104</v>
      </c>
      <c r="B227" s="2" t="s">
        <v>239</v>
      </c>
      <c r="D227" s="66" t="s">
        <v>17241</v>
      </c>
      <c r="E227" s="2">
        <v>2004</v>
      </c>
      <c r="F227" s="2" t="s">
        <v>2692</v>
      </c>
      <c r="G227" s="2" t="s">
        <v>43</v>
      </c>
      <c r="I227" s="2" t="s">
        <v>10</v>
      </c>
      <c r="J227" s="2" t="s">
        <v>59</v>
      </c>
      <c r="K227" s="2" t="s">
        <v>240</v>
      </c>
      <c r="L227" s="2" t="s">
        <v>58</v>
      </c>
      <c r="M227" s="2">
        <v>6</v>
      </c>
      <c r="N227" s="2" t="s">
        <v>18</v>
      </c>
      <c r="Q227" s="2">
        <f>VLOOKUP(B227,[1]Sheet1!$A$426:$D$1672,4,FALSE)</f>
        <v>0.16</v>
      </c>
      <c r="T227" s="2" t="s">
        <v>16964</v>
      </c>
    </row>
    <row r="228" spans="1:20" hidden="1">
      <c r="A228" s="3" t="s">
        <v>3204</v>
      </c>
      <c r="B228" s="2" t="s">
        <v>245</v>
      </c>
      <c r="D228" s="66" t="s">
        <v>17244</v>
      </c>
      <c r="E228" s="2">
        <v>2004</v>
      </c>
      <c r="F228" s="2" t="s">
        <v>2692</v>
      </c>
      <c r="G228" s="2" t="s">
        <v>43</v>
      </c>
      <c r="I228" s="2" t="s">
        <v>10</v>
      </c>
      <c r="J228" s="2" t="s">
        <v>59</v>
      </c>
      <c r="K228" s="2" t="s">
        <v>240</v>
      </c>
      <c r="L228" s="2" t="s">
        <v>58</v>
      </c>
      <c r="M228" s="2">
        <v>6</v>
      </c>
      <c r="N228" s="2" t="s">
        <v>18</v>
      </c>
      <c r="Q228" s="2">
        <f>VLOOKUP(B228,[1]Sheet1!$A$426:$D$1672,4,FALSE)</f>
        <v>0.16</v>
      </c>
      <c r="T228" s="2" t="s">
        <v>16964</v>
      </c>
    </row>
    <row r="229" spans="1:20" hidden="1">
      <c r="A229" s="3" t="s">
        <v>3949</v>
      </c>
      <c r="B229" s="2" t="s">
        <v>803</v>
      </c>
      <c r="D229" s="66" t="str">
        <f>VLOOKUP("*"&amp;A229&amp;"*",[2]Sheet1!$G$2:$X$1155,18,FALSE)</f>
        <v>ERR10611955</v>
      </c>
      <c r="E229" s="2">
        <v>2019</v>
      </c>
      <c r="F229" s="2" t="s">
        <v>2692</v>
      </c>
      <c r="G229" s="2" t="s">
        <v>270</v>
      </c>
      <c r="H229" s="2" t="s">
        <v>2470</v>
      </c>
      <c r="I229" s="2" t="s">
        <v>10</v>
      </c>
      <c r="J229" s="2" t="s">
        <v>804</v>
      </c>
      <c r="K229" s="2" t="s">
        <v>805</v>
      </c>
      <c r="L229" s="2" t="s">
        <v>34</v>
      </c>
      <c r="M229" s="2">
        <v>1107</v>
      </c>
      <c r="N229" s="2" t="s">
        <v>14</v>
      </c>
      <c r="Q229" s="2">
        <f>VLOOKUP(B229,[1]Sheet1!$A$426:$D$1672,4,FALSE)</f>
        <v>0.16</v>
      </c>
      <c r="T229" s="2" t="s">
        <v>16964</v>
      </c>
    </row>
    <row r="230" spans="1:20" hidden="1">
      <c r="A230" s="3" t="s">
        <v>3767</v>
      </c>
      <c r="B230" s="2" t="s">
        <v>806</v>
      </c>
      <c r="D230" s="66" t="str">
        <f>VLOOKUP("*"&amp;A230&amp;"*",[2]Sheet1!$G$2:$X$1155,18,FALSE)</f>
        <v>ERR10611986</v>
      </c>
      <c r="E230" s="2">
        <v>2019</v>
      </c>
      <c r="F230" s="2" t="s">
        <v>2692</v>
      </c>
      <c r="G230" s="2" t="s">
        <v>270</v>
      </c>
      <c r="H230" s="2" t="s">
        <v>2470</v>
      </c>
      <c r="I230" s="2" t="s">
        <v>10</v>
      </c>
      <c r="J230" s="2" t="s">
        <v>271</v>
      </c>
      <c r="K230" s="2" t="s">
        <v>272</v>
      </c>
      <c r="L230" s="2" t="s">
        <v>80</v>
      </c>
      <c r="M230" s="2">
        <v>379</v>
      </c>
      <c r="N230" s="2" t="s">
        <v>14</v>
      </c>
      <c r="Q230" s="2">
        <f>VLOOKUP(B230,[1]Sheet1!$A$426:$D$1672,4,FALSE)</f>
        <v>0.16</v>
      </c>
      <c r="T230" s="2" t="s">
        <v>16964</v>
      </c>
    </row>
    <row r="231" spans="1:20" hidden="1">
      <c r="A231" s="3" t="s">
        <v>3764</v>
      </c>
      <c r="B231" s="2" t="s">
        <v>807</v>
      </c>
      <c r="D231" s="66" t="str">
        <f>VLOOKUP("*"&amp;A231&amp;"*",[2]Sheet1!$G$2:$X$1155,18,FALSE)</f>
        <v>ERR10611956</v>
      </c>
      <c r="E231" s="2">
        <v>2019</v>
      </c>
      <c r="F231" s="2" t="s">
        <v>2692</v>
      </c>
      <c r="G231" s="2" t="s">
        <v>270</v>
      </c>
      <c r="H231" s="2" t="s">
        <v>2470</v>
      </c>
      <c r="I231" s="2" t="s">
        <v>10</v>
      </c>
      <c r="J231" s="2" t="s">
        <v>271</v>
      </c>
      <c r="K231" s="2" t="s">
        <v>272</v>
      </c>
      <c r="L231" s="2" t="s">
        <v>80</v>
      </c>
      <c r="M231" s="2">
        <v>379</v>
      </c>
      <c r="N231" s="2" t="s">
        <v>14</v>
      </c>
      <c r="Q231" s="2">
        <f>VLOOKUP(B231,[1]Sheet1!$A$426:$D$1672,4,FALSE)</f>
        <v>0.16</v>
      </c>
      <c r="T231" s="2" t="s">
        <v>16964</v>
      </c>
    </row>
    <row r="232" spans="1:20" hidden="1">
      <c r="A232" s="3" t="s">
        <v>4037</v>
      </c>
      <c r="B232" s="2" t="s">
        <v>808</v>
      </c>
      <c r="D232" s="66" t="str">
        <f>VLOOKUP("*"&amp;A232&amp;"*",[2]Sheet1!$G$2:$X$1155,18,FALSE)</f>
        <v>ERR10611993</v>
      </c>
      <c r="E232" s="2">
        <v>2019</v>
      </c>
      <c r="F232" s="2" t="s">
        <v>2692</v>
      </c>
      <c r="G232" s="2" t="s">
        <v>270</v>
      </c>
      <c r="H232" s="2" t="s">
        <v>2470</v>
      </c>
      <c r="I232" s="2" t="s">
        <v>10</v>
      </c>
      <c r="J232" s="2" t="s">
        <v>274</v>
      </c>
      <c r="K232" s="2" t="s">
        <v>275</v>
      </c>
      <c r="L232" s="2" t="s">
        <v>34</v>
      </c>
      <c r="M232" s="2">
        <v>1107</v>
      </c>
      <c r="N232" s="2" t="s">
        <v>14</v>
      </c>
      <c r="Q232" s="2">
        <f>VLOOKUP(B232,[1]Sheet1!$A$426:$D$1672,4,FALSE)</f>
        <v>0.08</v>
      </c>
      <c r="T232" s="2" t="s">
        <v>16964</v>
      </c>
    </row>
    <row r="233" spans="1:20" hidden="1">
      <c r="A233" s="3" t="s">
        <v>4237</v>
      </c>
      <c r="B233" s="2" t="s">
        <v>809</v>
      </c>
      <c r="D233" s="66" t="str">
        <f>VLOOKUP("*"&amp;A233&amp;"*",[2]Sheet1!$G$2:$X$1155,18,FALSE)</f>
        <v>ERR10611942</v>
      </c>
      <c r="E233" s="2">
        <v>2019</v>
      </c>
      <c r="F233" s="2" t="s">
        <v>2692</v>
      </c>
      <c r="G233" s="2" t="s">
        <v>270</v>
      </c>
      <c r="H233" s="2" t="s">
        <v>2470</v>
      </c>
      <c r="I233" s="2" t="s">
        <v>10</v>
      </c>
      <c r="J233" s="2" t="s">
        <v>129</v>
      </c>
      <c r="K233" s="2" t="s">
        <v>278</v>
      </c>
      <c r="L233" s="2" t="s">
        <v>128</v>
      </c>
      <c r="M233" s="2">
        <v>1</v>
      </c>
      <c r="N233" s="2" t="s">
        <v>18</v>
      </c>
      <c r="Q233" s="2">
        <f>VLOOKUP(B233,[1]Sheet1!$A$426:$D$1672,4,FALSE)</f>
        <v>0.08</v>
      </c>
      <c r="T233" s="2" t="s">
        <v>16964</v>
      </c>
    </row>
    <row r="234" spans="1:20" hidden="1">
      <c r="A234" s="3" t="s">
        <v>4052</v>
      </c>
      <c r="B234" s="2" t="s">
        <v>810</v>
      </c>
      <c r="D234" s="66" t="str">
        <f>VLOOKUP("*"&amp;A234&amp;"*",[2]Sheet1!$G$2:$X$1155,18,FALSE)</f>
        <v>ERR10611957</v>
      </c>
      <c r="E234" s="2">
        <v>2019</v>
      </c>
      <c r="F234" s="2" t="s">
        <v>2692</v>
      </c>
      <c r="G234" s="2" t="s">
        <v>270</v>
      </c>
      <c r="H234" s="2" t="s">
        <v>2470</v>
      </c>
      <c r="I234" s="2" t="s">
        <v>10</v>
      </c>
      <c r="J234" s="2" t="s">
        <v>271</v>
      </c>
      <c r="K234" s="2" t="s">
        <v>272</v>
      </c>
      <c r="L234" s="2" t="s">
        <v>80</v>
      </c>
      <c r="M234" s="2">
        <v>379</v>
      </c>
      <c r="N234" s="2" t="s">
        <v>14</v>
      </c>
      <c r="Q234" s="2">
        <f>VLOOKUP(B234,[1]Sheet1!$A$426:$D$1672,4,FALSE)</f>
        <v>0.16</v>
      </c>
      <c r="T234" s="2" t="s">
        <v>16964</v>
      </c>
    </row>
    <row r="235" spans="1:20" hidden="1">
      <c r="A235" s="3" t="s">
        <v>3769</v>
      </c>
      <c r="B235" s="2" t="s">
        <v>269</v>
      </c>
      <c r="D235" s="66" t="str">
        <f>VLOOKUP("*"&amp;A235&amp;"*",[2]Sheet1!$G$2:$X$1155,18,FALSE)</f>
        <v>ERR10616649</v>
      </c>
      <c r="E235" s="2">
        <v>2019</v>
      </c>
      <c r="F235" s="2" t="s">
        <v>2692</v>
      </c>
      <c r="G235" s="2" t="s">
        <v>270</v>
      </c>
      <c r="H235" s="2" t="s">
        <v>2470</v>
      </c>
      <c r="I235" s="2" t="s">
        <v>10</v>
      </c>
      <c r="J235" s="2" t="s">
        <v>271</v>
      </c>
      <c r="K235" s="2" t="s">
        <v>272</v>
      </c>
      <c r="L235" s="2" t="s">
        <v>80</v>
      </c>
      <c r="M235" s="2">
        <v>379</v>
      </c>
      <c r="N235" s="2" t="s">
        <v>14</v>
      </c>
      <c r="Q235" s="2">
        <f>VLOOKUP(B235,[1]Sheet1!$A$426:$D$1672,4,FALSE)</f>
        <v>0.16</v>
      </c>
      <c r="T235" s="2" t="s">
        <v>16964</v>
      </c>
    </row>
    <row r="236" spans="1:20" hidden="1">
      <c r="A236" s="3" t="s">
        <v>3950</v>
      </c>
      <c r="B236" s="2" t="s">
        <v>811</v>
      </c>
      <c r="D236" s="66" t="str">
        <f>VLOOKUP("*"&amp;A236&amp;"*",[2]Sheet1!$G$2:$X$1155,18,FALSE)</f>
        <v>ERR10611980</v>
      </c>
      <c r="E236" s="2">
        <v>2019</v>
      </c>
      <c r="F236" s="2" t="s">
        <v>2692</v>
      </c>
      <c r="G236" s="2" t="s">
        <v>270</v>
      </c>
      <c r="H236" s="2" t="s">
        <v>2470</v>
      </c>
      <c r="I236" s="2" t="s">
        <v>10</v>
      </c>
      <c r="J236" s="2" t="s">
        <v>274</v>
      </c>
      <c r="K236" s="2" t="s">
        <v>275</v>
      </c>
      <c r="L236" s="2" t="s">
        <v>34</v>
      </c>
      <c r="M236" s="2">
        <v>1107</v>
      </c>
      <c r="N236" s="2" t="s">
        <v>14</v>
      </c>
      <c r="Q236" s="2">
        <f>VLOOKUP(B236,[1]Sheet1!$A$426:$D$1672,4,FALSE)</f>
        <v>0.16</v>
      </c>
      <c r="T236" s="2" t="s">
        <v>16964</v>
      </c>
    </row>
    <row r="237" spans="1:20" hidden="1">
      <c r="A237" s="3" t="s">
        <v>4254</v>
      </c>
      <c r="B237" s="2" t="s">
        <v>812</v>
      </c>
      <c r="D237" s="66" t="str">
        <f>VLOOKUP("*"&amp;A237&amp;"*",[2]Sheet1!$G$2:$X$1155,18,FALSE)</f>
        <v>ERR10611945</v>
      </c>
      <c r="E237" s="2">
        <v>2019</v>
      </c>
      <c r="F237" s="2" t="s">
        <v>2692</v>
      </c>
      <c r="G237" s="2" t="s">
        <v>270</v>
      </c>
      <c r="H237" s="2" t="s">
        <v>2470</v>
      </c>
      <c r="I237" s="2" t="s">
        <v>10</v>
      </c>
      <c r="J237" s="2" t="s">
        <v>129</v>
      </c>
      <c r="K237" s="2" t="s">
        <v>278</v>
      </c>
      <c r="L237" s="2" t="s">
        <v>128</v>
      </c>
      <c r="M237" s="2">
        <v>1</v>
      </c>
      <c r="N237" s="2" t="s">
        <v>18</v>
      </c>
      <c r="Q237" s="2">
        <f>VLOOKUP(B237,[1]Sheet1!$A$426:$D$1672,4,FALSE)</f>
        <v>0.16</v>
      </c>
      <c r="T237" s="2" t="s">
        <v>16964</v>
      </c>
    </row>
    <row r="238" spans="1:20" hidden="1">
      <c r="A238" s="3" t="s">
        <v>4326</v>
      </c>
      <c r="B238" s="2" t="s">
        <v>813</v>
      </c>
      <c r="D238" s="66" t="str">
        <f>VLOOKUP("*"&amp;A238&amp;"*",[2]Sheet1!$G$2:$X$1155,18,FALSE)</f>
        <v>ERR10611960</v>
      </c>
      <c r="E238" s="2">
        <v>2019</v>
      </c>
      <c r="F238" s="2" t="s">
        <v>2692</v>
      </c>
      <c r="G238" s="2" t="s">
        <v>270</v>
      </c>
      <c r="H238" s="2" t="s">
        <v>2470</v>
      </c>
      <c r="I238" s="2" t="s">
        <v>10</v>
      </c>
      <c r="J238" s="2" t="s">
        <v>129</v>
      </c>
      <c r="K238" s="2" t="s">
        <v>278</v>
      </c>
      <c r="L238" s="2" t="s">
        <v>128</v>
      </c>
      <c r="M238" s="2">
        <v>1</v>
      </c>
      <c r="N238" s="2" t="s">
        <v>18</v>
      </c>
      <c r="Q238" s="2">
        <f>VLOOKUP(B238,[1]Sheet1!$A$426:$D$1672,4,FALSE)</f>
        <v>0.16</v>
      </c>
      <c r="T238" s="2" t="s">
        <v>16964</v>
      </c>
    </row>
    <row r="239" spans="1:20" hidden="1">
      <c r="A239" s="3" t="s">
        <v>3774</v>
      </c>
      <c r="B239" s="2" t="s">
        <v>814</v>
      </c>
      <c r="D239" s="66" t="str">
        <f>VLOOKUP("*"&amp;A239&amp;"*",[2]Sheet1!$G$2:$X$1155,18,FALSE)</f>
        <v>ERR10611971</v>
      </c>
      <c r="E239" s="2">
        <v>2019</v>
      </c>
      <c r="F239" s="2" t="s">
        <v>2692</v>
      </c>
      <c r="G239" s="2" t="s">
        <v>270</v>
      </c>
      <c r="H239" s="2" t="s">
        <v>2470</v>
      </c>
      <c r="I239" s="2" t="s">
        <v>10</v>
      </c>
      <c r="J239" s="2" t="s">
        <v>271</v>
      </c>
      <c r="K239" s="2" t="s">
        <v>272</v>
      </c>
      <c r="L239" s="2" t="s">
        <v>80</v>
      </c>
      <c r="M239" s="2">
        <v>379</v>
      </c>
      <c r="N239" s="2" t="s">
        <v>14</v>
      </c>
      <c r="Q239" s="2">
        <f>VLOOKUP(B239,[1]Sheet1!$A$426:$D$1672,4,FALSE)</f>
        <v>0.16</v>
      </c>
      <c r="T239" s="2" t="s">
        <v>16964</v>
      </c>
    </row>
    <row r="240" spans="1:20" hidden="1">
      <c r="A240" s="3" t="s">
        <v>4324</v>
      </c>
      <c r="B240" s="2" t="s">
        <v>815</v>
      </c>
      <c r="D240" s="66" t="str">
        <f>VLOOKUP("*"&amp;A240&amp;"*",[2]Sheet1!$G$2:$X$1155,18,FALSE)</f>
        <v>ERR10611977</v>
      </c>
      <c r="E240" s="2">
        <v>2019</v>
      </c>
      <c r="F240" s="2" t="s">
        <v>2692</v>
      </c>
      <c r="G240" s="2" t="s">
        <v>270</v>
      </c>
      <c r="H240" s="2" t="s">
        <v>2470</v>
      </c>
      <c r="I240" s="2" t="s">
        <v>10</v>
      </c>
      <c r="J240" s="2" t="s">
        <v>129</v>
      </c>
      <c r="K240" s="2" t="s">
        <v>278</v>
      </c>
      <c r="L240" s="2" t="s">
        <v>128</v>
      </c>
      <c r="M240" s="2">
        <v>1</v>
      </c>
      <c r="N240" s="2" t="s">
        <v>18</v>
      </c>
      <c r="Q240" s="2">
        <f>VLOOKUP(B240,[1]Sheet1!$A$426:$D$1672,4,FALSE)</f>
        <v>0.16</v>
      </c>
      <c r="T240" s="2" t="s">
        <v>16964</v>
      </c>
    </row>
    <row r="241" spans="1:20" hidden="1">
      <c r="A241" s="3" t="s">
        <v>3771</v>
      </c>
      <c r="B241" s="2" t="s">
        <v>816</v>
      </c>
      <c r="D241" s="66" t="str">
        <f>VLOOKUP("*"&amp;A241&amp;"*",[2]Sheet1!$G$2:$X$1155,18,FALSE)</f>
        <v>ERR10611962</v>
      </c>
      <c r="E241" s="2">
        <v>2019</v>
      </c>
      <c r="F241" s="2" t="s">
        <v>2692</v>
      </c>
      <c r="G241" s="2" t="s">
        <v>270</v>
      </c>
      <c r="H241" s="2" t="s">
        <v>2470</v>
      </c>
      <c r="I241" s="2" t="s">
        <v>10</v>
      </c>
      <c r="J241" s="2" t="s">
        <v>271</v>
      </c>
      <c r="K241" s="2" t="s">
        <v>272</v>
      </c>
      <c r="L241" s="2" t="s">
        <v>80</v>
      </c>
      <c r="M241" s="2">
        <v>379</v>
      </c>
      <c r="N241" s="2" t="s">
        <v>14</v>
      </c>
      <c r="Q241" s="2">
        <f>VLOOKUP(B241,[1]Sheet1!$A$426:$D$1672,4,FALSE)</f>
        <v>0.08</v>
      </c>
      <c r="T241" s="2" t="s">
        <v>16964</v>
      </c>
    </row>
    <row r="242" spans="1:20" hidden="1">
      <c r="A242" s="3" t="s">
        <v>3712</v>
      </c>
      <c r="B242" s="2" t="s">
        <v>817</v>
      </c>
      <c r="D242" s="66" t="str">
        <f>VLOOKUP("*"&amp;A242&amp;"*",[2]Sheet1!$G$2:$X$1155,18,FALSE)</f>
        <v>ERR10611984</v>
      </c>
      <c r="E242" s="2">
        <v>2019</v>
      </c>
      <c r="F242" s="2" t="s">
        <v>2692</v>
      </c>
      <c r="G242" s="2" t="s">
        <v>270</v>
      </c>
      <c r="H242" s="2" t="s">
        <v>2470</v>
      </c>
      <c r="I242" s="2" t="s">
        <v>10</v>
      </c>
      <c r="J242" s="2" t="s">
        <v>129</v>
      </c>
      <c r="K242" s="2" t="s">
        <v>280</v>
      </c>
      <c r="L242" s="2" t="s">
        <v>128</v>
      </c>
      <c r="M242" s="2">
        <v>1</v>
      </c>
      <c r="N242" s="2" t="s">
        <v>18</v>
      </c>
      <c r="Q242" s="2">
        <f>VLOOKUP(B242,[1]Sheet1!$A$426:$D$1672,4,FALSE)</f>
        <v>0.16</v>
      </c>
      <c r="T242" s="2" t="s">
        <v>16964</v>
      </c>
    </row>
    <row r="243" spans="1:20" hidden="1">
      <c r="A243" s="3" t="s">
        <v>3762</v>
      </c>
      <c r="B243" s="2" t="s">
        <v>818</v>
      </c>
      <c r="D243" s="66" t="str">
        <f>VLOOKUP("*"&amp;A243&amp;"*",[2]Sheet1!$G$2:$X$1155,18,FALSE)</f>
        <v>ERR10611963</v>
      </c>
      <c r="E243" s="2">
        <v>2019</v>
      </c>
      <c r="F243" s="2" t="s">
        <v>2692</v>
      </c>
      <c r="G243" s="2" t="s">
        <v>270</v>
      </c>
      <c r="H243" s="2" t="s">
        <v>2470</v>
      </c>
      <c r="I243" s="2" t="s">
        <v>10</v>
      </c>
      <c r="J243" s="2" t="s">
        <v>271</v>
      </c>
      <c r="K243" s="2" t="s">
        <v>272</v>
      </c>
      <c r="L243" s="2" t="s">
        <v>80</v>
      </c>
      <c r="M243" s="2">
        <v>379</v>
      </c>
      <c r="N243" s="2" t="s">
        <v>14</v>
      </c>
      <c r="Q243" s="2">
        <f>VLOOKUP(B243,[1]Sheet1!$A$426:$D$1672,4,FALSE)</f>
        <v>0.16</v>
      </c>
      <c r="T243" s="2" t="s">
        <v>16964</v>
      </c>
    </row>
    <row r="244" spans="1:20" hidden="1">
      <c r="A244" s="3" t="s">
        <v>3705</v>
      </c>
      <c r="B244" s="2" t="s">
        <v>819</v>
      </c>
      <c r="D244" s="66" t="str">
        <f>VLOOKUP("*"&amp;A244&amp;"*",[2]Sheet1!$G$2:$X$1155,18,FALSE)</f>
        <v>ERR10611965</v>
      </c>
      <c r="E244" s="2">
        <v>2019</v>
      </c>
      <c r="F244" s="2" t="s">
        <v>2692</v>
      </c>
      <c r="G244" s="2" t="s">
        <v>270</v>
      </c>
      <c r="H244" s="2" t="s">
        <v>2470</v>
      </c>
      <c r="I244" s="2" t="s">
        <v>10</v>
      </c>
      <c r="J244" s="2" t="s">
        <v>129</v>
      </c>
      <c r="K244" s="2" t="s">
        <v>280</v>
      </c>
      <c r="L244" s="2" t="s">
        <v>128</v>
      </c>
      <c r="M244" s="2">
        <v>1</v>
      </c>
      <c r="N244" s="2" t="s">
        <v>18</v>
      </c>
      <c r="Q244" s="2">
        <f>VLOOKUP(B244,[1]Sheet1!$A$426:$D$1672,4,FALSE)</f>
        <v>0.16</v>
      </c>
      <c r="T244" s="2" t="s">
        <v>16964</v>
      </c>
    </row>
    <row r="245" spans="1:20" hidden="1">
      <c r="A245" s="3" t="s">
        <v>3877</v>
      </c>
      <c r="B245" s="2" t="s">
        <v>820</v>
      </c>
      <c r="D245" s="66" t="str">
        <f>VLOOKUP("*"&amp;A245&amp;"*",[2]Sheet1!$G$2:$X$1155,18,FALSE)</f>
        <v>ERR10611989</v>
      </c>
      <c r="E245" s="2">
        <v>2019</v>
      </c>
      <c r="F245" s="2" t="s">
        <v>2692</v>
      </c>
      <c r="G245" s="2" t="s">
        <v>270</v>
      </c>
      <c r="H245" s="2" t="s">
        <v>2470</v>
      </c>
      <c r="I245" s="2" t="s">
        <v>10</v>
      </c>
      <c r="J245" s="2" t="s">
        <v>271</v>
      </c>
      <c r="K245" s="2" t="s">
        <v>272</v>
      </c>
      <c r="L245" s="2" t="s">
        <v>80</v>
      </c>
      <c r="M245" s="2">
        <v>379</v>
      </c>
      <c r="N245" s="2" t="s">
        <v>14</v>
      </c>
      <c r="Q245" s="2">
        <f>VLOOKUP(B245,[1]Sheet1!$A$426:$D$1672,4,FALSE)</f>
        <v>0.16</v>
      </c>
      <c r="T245" s="2" t="s">
        <v>16964</v>
      </c>
    </row>
    <row r="246" spans="1:20" hidden="1">
      <c r="A246" s="3" t="s">
        <v>4054</v>
      </c>
      <c r="B246" s="2" t="s">
        <v>821</v>
      </c>
      <c r="D246" s="66" t="str">
        <f>VLOOKUP("*"&amp;A246&amp;"*",[2]Sheet1!$G$2:$X$1155,18,FALSE)</f>
        <v>ERR10611966</v>
      </c>
      <c r="E246" s="2">
        <v>2019</v>
      </c>
      <c r="F246" s="2" t="s">
        <v>2692</v>
      </c>
      <c r="G246" s="2" t="s">
        <v>270</v>
      </c>
      <c r="H246" s="2" t="s">
        <v>2470</v>
      </c>
      <c r="I246" s="2" t="s">
        <v>10</v>
      </c>
      <c r="J246" s="2" t="s">
        <v>271</v>
      </c>
      <c r="K246" s="2" t="s">
        <v>272</v>
      </c>
      <c r="L246" s="2" t="s">
        <v>80</v>
      </c>
      <c r="M246" s="2">
        <v>379</v>
      </c>
      <c r="N246" s="2" t="s">
        <v>14</v>
      </c>
      <c r="Q246" s="2">
        <f>VLOOKUP(B246,[1]Sheet1!$A$426:$D$1672,4,FALSE)</f>
        <v>0.08</v>
      </c>
      <c r="T246" s="2" t="s">
        <v>16964</v>
      </c>
    </row>
    <row r="247" spans="1:20" hidden="1">
      <c r="A247" s="3" t="s">
        <v>4036</v>
      </c>
      <c r="B247" s="2" t="s">
        <v>822</v>
      </c>
      <c r="D247" s="66" t="str">
        <f>VLOOKUP("*"&amp;A247&amp;"*",[2]Sheet1!$G$2:$X$1155,18,FALSE)</f>
        <v>ERR10611954</v>
      </c>
      <c r="E247" s="2">
        <v>2019</v>
      </c>
      <c r="F247" s="2" t="s">
        <v>2692</v>
      </c>
      <c r="G247" s="2" t="s">
        <v>270</v>
      </c>
      <c r="H247" s="2" t="s">
        <v>2470</v>
      </c>
      <c r="I247" s="2" t="s">
        <v>10</v>
      </c>
      <c r="J247" s="2" t="s">
        <v>274</v>
      </c>
      <c r="K247" s="2" t="s">
        <v>275</v>
      </c>
      <c r="L247" s="2" t="s">
        <v>34</v>
      </c>
      <c r="M247" s="2">
        <v>1107</v>
      </c>
      <c r="N247" s="2" t="s">
        <v>14</v>
      </c>
      <c r="Q247" s="2">
        <f>VLOOKUP(B247,[1]Sheet1!$A$426:$D$1672,4,FALSE)</f>
        <v>0.08</v>
      </c>
      <c r="T247" s="2" t="s">
        <v>16964</v>
      </c>
    </row>
    <row r="248" spans="1:20" hidden="1">
      <c r="A248" s="3" t="s">
        <v>4386</v>
      </c>
      <c r="B248" s="2" t="s">
        <v>823</v>
      </c>
      <c r="D248" s="66" t="str">
        <f>VLOOKUP("*"&amp;A248&amp;"*",[2]Sheet1!$G$2:$X$1155,18,FALSE)</f>
        <v>ERR10611953</v>
      </c>
      <c r="E248" s="2">
        <v>2019</v>
      </c>
      <c r="F248" s="2" t="s">
        <v>2692</v>
      </c>
      <c r="G248" s="2" t="s">
        <v>270</v>
      </c>
      <c r="H248" s="2" t="s">
        <v>2470</v>
      </c>
      <c r="I248" s="2" t="s">
        <v>10</v>
      </c>
      <c r="J248" s="2" t="s">
        <v>129</v>
      </c>
      <c r="K248" s="2" t="s">
        <v>824</v>
      </c>
      <c r="L248" s="2" t="s">
        <v>128</v>
      </c>
      <c r="M248" s="2">
        <v>1</v>
      </c>
      <c r="N248" s="2" t="s">
        <v>18</v>
      </c>
      <c r="Q248" s="2">
        <f>VLOOKUP(B248,[1]Sheet1!$A$426:$D$1672,4,FALSE)</f>
        <v>0.08</v>
      </c>
      <c r="T248" s="2" t="s">
        <v>16964</v>
      </c>
    </row>
    <row r="249" spans="1:20" hidden="1">
      <c r="A249" s="3" t="s">
        <v>3598</v>
      </c>
      <c r="B249" s="2" t="s">
        <v>1168</v>
      </c>
      <c r="D249" s="66" t="str">
        <f>VLOOKUP("*"&amp;A249&amp;"*",[2]Sheet1!$G$2:$X$1155,18,FALSE)</f>
        <v>ERR10617900</v>
      </c>
      <c r="E249" s="2">
        <v>2019</v>
      </c>
      <c r="F249" s="2" t="s">
        <v>2692</v>
      </c>
      <c r="G249" s="2" t="s">
        <v>270</v>
      </c>
      <c r="H249" s="2" t="s">
        <v>2470</v>
      </c>
      <c r="I249" s="2" t="s">
        <v>10</v>
      </c>
      <c r="J249" s="2" t="s">
        <v>271</v>
      </c>
      <c r="K249" s="2" t="s">
        <v>272</v>
      </c>
      <c r="L249" s="2" t="s">
        <v>80</v>
      </c>
      <c r="M249" s="2">
        <v>379</v>
      </c>
      <c r="N249" s="2" t="s">
        <v>14</v>
      </c>
      <c r="Q249" s="2">
        <f>VLOOKUP(B249,[1]Sheet1!$A$426:$D$1672,4,FALSE)</f>
        <v>0.08</v>
      </c>
      <c r="T249" s="2" t="s">
        <v>16964</v>
      </c>
    </row>
    <row r="250" spans="1:20" hidden="1">
      <c r="A250" s="3" t="s">
        <v>3710</v>
      </c>
      <c r="B250" s="2" t="s">
        <v>825</v>
      </c>
      <c r="D250" s="66" t="str">
        <f>VLOOKUP("*"&amp;A250&amp;"*",[2]Sheet1!$G$2:$X$1155,18,FALSE)</f>
        <v>ERR10612010</v>
      </c>
      <c r="E250" s="2">
        <v>2019</v>
      </c>
      <c r="F250" s="2" t="s">
        <v>2692</v>
      </c>
      <c r="G250" s="2" t="s">
        <v>270</v>
      </c>
      <c r="H250" s="2" t="s">
        <v>2470</v>
      </c>
      <c r="I250" s="2" t="s">
        <v>10</v>
      </c>
      <c r="J250" s="2" t="s">
        <v>129</v>
      </c>
      <c r="K250" s="2" t="s">
        <v>280</v>
      </c>
      <c r="L250" s="2" t="s">
        <v>128</v>
      </c>
      <c r="M250" s="2">
        <v>1</v>
      </c>
      <c r="N250" s="2" t="s">
        <v>18</v>
      </c>
      <c r="Q250" s="2">
        <f>VLOOKUP(B250,[1]Sheet1!$A$426:$D$1672,4,FALSE)</f>
        <v>0.16</v>
      </c>
      <c r="T250" s="2" t="s">
        <v>16964</v>
      </c>
    </row>
    <row r="251" spans="1:20" hidden="1">
      <c r="A251" s="3" t="s">
        <v>4157</v>
      </c>
      <c r="B251" s="2" t="s">
        <v>826</v>
      </c>
      <c r="D251" s="66" t="str">
        <f>VLOOKUP("*"&amp;A251&amp;"*",[2]Sheet1!$G$2:$X$1155,18,FALSE)</f>
        <v>ERR10611985</v>
      </c>
      <c r="E251" s="2">
        <v>2019</v>
      </c>
      <c r="F251" s="2" t="s">
        <v>2692</v>
      </c>
      <c r="G251" s="2" t="s">
        <v>270</v>
      </c>
      <c r="H251" s="2" t="s">
        <v>2470</v>
      </c>
      <c r="I251" s="2" t="s">
        <v>10</v>
      </c>
      <c r="J251" s="2" t="s">
        <v>274</v>
      </c>
      <c r="K251" s="2" t="s">
        <v>275</v>
      </c>
      <c r="L251" s="2" t="s">
        <v>34</v>
      </c>
      <c r="M251" s="2">
        <v>1107</v>
      </c>
      <c r="N251" s="2" t="s">
        <v>14</v>
      </c>
      <c r="Q251" s="2">
        <f>VLOOKUP(B251,[1]Sheet1!$A$426:$D$1672,4,FALSE)</f>
        <v>0.08</v>
      </c>
      <c r="T251" s="2" t="s">
        <v>16964</v>
      </c>
    </row>
    <row r="252" spans="1:20" hidden="1">
      <c r="A252" s="3" t="s">
        <v>4388</v>
      </c>
      <c r="B252" s="2" t="s">
        <v>827</v>
      </c>
      <c r="D252" s="66" t="str">
        <f>VLOOKUP("*"&amp;A252&amp;"*",[2]Sheet1!$G$2:$X$1155,18,FALSE)</f>
        <v>ERR10611978</v>
      </c>
      <c r="E252" s="2">
        <v>2019</v>
      </c>
      <c r="F252" s="2" t="s">
        <v>2692</v>
      </c>
      <c r="G252" s="2" t="s">
        <v>270</v>
      </c>
      <c r="H252" s="2" t="s">
        <v>2470</v>
      </c>
      <c r="I252" s="2" t="s">
        <v>10</v>
      </c>
      <c r="J252" s="2" t="s">
        <v>129</v>
      </c>
      <c r="K252" s="2" t="s">
        <v>280</v>
      </c>
      <c r="L252" s="2" t="s">
        <v>128</v>
      </c>
      <c r="M252" s="2">
        <v>1</v>
      </c>
      <c r="N252" s="2" t="s">
        <v>18</v>
      </c>
      <c r="Q252" s="2">
        <f>VLOOKUP(B252,[1]Sheet1!$A$426:$D$1672,4,FALSE)</f>
        <v>0.08</v>
      </c>
      <c r="T252" s="2" t="s">
        <v>16964</v>
      </c>
    </row>
    <row r="253" spans="1:20" hidden="1">
      <c r="A253" s="3" t="s">
        <v>4428</v>
      </c>
      <c r="B253" s="2" t="s">
        <v>828</v>
      </c>
      <c r="D253" s="66" t="str">
        <f>VLOOKUP("*"&amp;A253&amp;"*",[2]Sheet1!$G$2:$X$1155,18,FALSE)</f>
        <v>ERR10611999</v>
      </c>
      <c r="E253" s="2">
        <v>2019</v>
      </c>
      <c r="F253" s="2" t="s">
        <v>2692</v>
      </c>
      <c r="G253" s="2" t="s">
        <v>270</v>
      </c>
      <c r="H253" s="2" t="s">
        <v>2470</v>
      </c>
      <c r="I253" s="2" t="s">
        <v>10</v>
      </c>
      <c r="J253" s="2" t="s">
        <v>129</v>
      </c>
      <c r="K253" s="2" t="s">
        <v>278</v>
      </c>
      <c r="L253" s="2" t="s">
        <v>128</v>
      </c>
      <c r="M253" s="2">
        <v>1</v>
      </c>
      <c r="N253" s="2" t="s">
        <v>18</v>
      </c>
      <c r="Q253" s="2">
        <f>VLOOKUP(B253,[1]Sheet1!$A$426:$D$1672,4,FALSE)</f>
        <v>0.08</v>
      </c>
      <c r="T253" s="2" t="s">
        <v>16964</v>
      </c>
    </row>
    <row r="254" spans="1:20" hidden="1">
      <c r="A254" s="3" t="s">
        <v>3840</v>
      </c>
      <c r="B254" s="2" t="s">
        <v>829</v>
      </c>
      <c r="D254" s="66" t="str">
        <f>VLOOKUP("*"&amp;A254&amp;"*",[2]Sheet1!$G$2:$X$1155,18,FALSE)</f>
        <v>ERR10611976</v>
      </c>
      <c r="E254" s="2">
        <v>2019</v>
      </c>
      <c r="F254" s="2" t="s">
        <v>2692</v>
      </c>
      <c r="G254" s="2" t="s">
        <v>270</v>
      </c>
      <c r="H254" s="2" t="s">
        <v>2470</v>
      </c>
      <c r="I254" s="2" t="s">
        <v>10</v>
      </c>
      <c r="J254" s="2" t="s">
        <v>129</v>
      </c>
      <c r="K254" s="2" t="s">
        <v>280</v>
      </c>
      <c r="L254" s="2" t="s">
        <v>128</v>
      </c>
      <c r="M254" s="2">
        <v>1</v>
      </c>
      <c r="N254" s="2" t="s">
        <v>18</v>
      </c>
      <c r="Q254" s="2">
        <f>VLOOKUP(B254,[1]Sheet1!$A$426:$D$1672,4,FALSE)</f>
        <v>0.08</v>
      </c>
      <c r="T254" s="2" t="s">
        <v>16964</v>
      </c>
    </row>
    <row r="255" spans="1:20" hidden="1">
      <c r="A255" s="3" t="s">
        <v>3706</v>
      </c>
      <c r="B255" s="2" t="s">
        <v>830</v>
      </c>
      <c r="D255" s="66" t="str">
        <f>VLOOKUP("*"&amp;A255&amp;"*",[2]Sheet1!$G$2:$X$1155,18,FALSE)</f>
        <v>ERR10549538</v>
      </c>
      <c r="E255" s="2">
        <v>2019</v>
      </c>
      <c r="F255" s="2" t="s">
        <v>2692</v>
      </c>
      <c r="G255" s="2" t="s">
        <v>270</v>
      </c>
      <c r="H255" s="2" t="s">
        <v>2470</v>
      </c>
      <c r="I255" s="2" t="s">
        <v>10</v>
      </c>
      <c r="J255" s="2" t="s">
        <v>129</v>
      </c>
      <c r="K255" s="2" t="s">
        <v>280</v>
      </c>
      <c r="L255" s="2" t="s">
        <v>128</v>
      </c>
      <c r="M255" s="2">
        <v>1</v>
      </c>
      <c r="N255" s="2" t="s">
        <v>18</v>
      </c>
      <c r="Q255" s="2">
        <f>VLOOKUP(B255,[1]Sheet1!$A$426:$D$1672,4,FALSE)</f>
        <v>0.08</v>
      </c>
      <c r="T255" s="2" t="s">
        <v>16964</v>
      </c>
    </row>
    <row r="256" spans="1:20" hidden="1">
      <c r="A256" s="3" t="s">
        <v>3957</v>
      </c>
      <c r="B256" s="2" t="s">
        <v>273</v>
      </c>
      <c r="D256" s="66" t="str">
        <f>VLOOKUP("*"&amp;A256&amp;"*",[2]Sheet1!$G$2:$X$1155,18,FALSE)</f>
        <v>ERR10549546</v>
      </c>
      <c r="E256" s="2">
        <v>2019</v>
      </c>
      <c r="F256" s="2" t="s">
        <v>2692</v>
      </c>
      <c r="G256" s="2" t="s">
        <v>270</v>
      </c>
      <c r="H256" s="2" t="s">
        <v>2470</v>
      </c>
      <c r="I256" s="2" t="s">
        <v>10</v>
      </c>
      <c r="J256" s="2" t="s">
        <v>274</v>
      </c>
      <c r="K256" s="2" t="s">
        <v>275</v>
      </c>
      <c r="L256" s="2" t="s">
        <v>34</v>
      </c>
      <c r="M256" s="2">
        <v>1107</v>
      </c>
      <c r="N256" s="2" t="s">
        <v>14</v>
      </c>
      <c r="Q256" s="2">
        <f>VLOOKUP(B256,[1]Sheet1!$A$426:$D$1672,4,FALSE)</f>
        <v>0.16</v>
      </c>
      <c r="T256" s="2" t="s">
        <v>16964</v>
      </c>
    </row>
    <row r="257" spans="1:20" hidden="1">
      <c r="A257" s="3" t="s">
        <v>3773</v>
      </c>
      <c r="B257" s="2" t="s">
        <v>276</v>
      </c>
      <c r="D257" s="66" t="str">
        <f>VLOOKUP("*"&amp;A257&amp;"*",[2]Sheet1!$G$2:$X$1155,18,FALSE)</f>
        <v>ERR10549499</v>
      </c>
      <c r="E257" s="2">
        <v>2019</v>
      </c>
      <c r="F257" s="2" t="s">
        <v>2692</v>
      </c>
      <c r="G257" s="2" t="s">
        <v>270</v>
      </c>
      <c r="H257" s="2" t="s">
        <v>2470</v>
      </c>
      <c r="I257" s="2" t="s">
        <v>10</v>
      </c>
      <c r="J257" s="2" t="s">
        <v>271</v>
      </c>
      <c r="K257" s="2" t="s">
        <v>272</v>
      </c>
      <c r="L257" s="2" t="s">
        <v>80</v>
      </c>
      <c r="M257" s="2">
        <v>379</v>
      </c>
      <c r="N257" s="2" t="s">
        <v>14</v>
      </c>
      <c r="Q257" s="2">
        <f>VLOOKUP(B257,[1]Sheet1!$A$426:$D$1672,4,FALSE)</f>
        <v>0.16</v>
      </c>
      <c r="T257" s="2" t="s">
        <v>16964</v>
      </c>
    </row>
    <row r="258" spans="1:20" hidden="1">
      <c r="A258" s="3" t="s">
        <v>4255</v>
      </c>
      <c r="B258" s="2" t="s">
        <v>277</v>
      </c>
      <c r="D258" s="66" t="str">
        <f>VLOOKUP("*"&amp;A258&amp;"*",[2]Sheet1!$G$2:$X$1155,18,FALSE)</f>
        <v>ERR10549561</v>
      </c>
      <c r="E258" s="2">
        <v>2019</v>
      </c>
      <c r="F258" s="2" t="s">
        <v>2692</v>
      </c>
      <c r="G258" s="2" t="s">
        <v>270</v>
      </c>
      <c r="H258" s="2" t="s">
        <v>2470</v>
      </c>
      <c r="I258" s="2" t="s">
        <v>10</v>
      </c>
      <c r="J258" s="2" t="s">
        <v>129</v>
      </c>
      <c r="K258" s="2" t="s">
        <v>278</v>
      </c>
      <c r="L258" s="2" t="s">
        <v>128</v>
      </c>
      <c r="M258" s="2">
        <v>1</v>
      </c>
      <c r="N258" s="2" t="s">
        <v>18</v>
      </c>
      <c r="Q258" s="2">
        <f>VLOOKUP(B258,[1]Sheet1!$A$426:$D$1672,4,FALSE)</f>
        <v>0.16</v>
      </c>
      <c r="T258" s="2" t="s">
        <v>16964</v>
      </c>
    </row>
    <row r="259" spans="1:20" hidden="1">
      <c r="A259" s="3" t="s">
        <v>3711</v>
      </c>
      <c r="B259" s="2" t="s">
        <v>279</v>
      </c>
      <c r="D259" s="66" t="str">
        <f>VLOOKUP("*"&amp;A259&amp;"*",[2]Sheet1!$G$2:$X$1155,18,FALSE)</f>
        <v>ERR10549570</v>
      </c>
      <c r="E259" s="2">
        <v>2019</v>
      </c>
      <c r="F259" s="2" t="s">
        <v>2692</v>
      </c>
      <c r="G259" s="2" t="s">
        <v>270</v>
      </c>
      <c r="H259" s="2" t="s">
        <v>2470</v>
      </c>
      <c r="I259" s="2" t="s">
        <v>10</v>
      </c>
      <c r="J259" s="2" t="s">
        <v>129</v>
      </c>
      <c r="K259" s="2" t="s">
        <v>280</v>
      </c>
      <c r="L259" s="2" t="s">
        <v>128</v>
      </c>
      <c r="M259" s="2">
        <v>1</v>
      </c>
      <c r="N259" s="2" t="s">
        <v>18</v>
      </c>
      <c r="Q259" s="2">
        <f>VLOOKUP(B259,[1]Sheet1!$A$426:$D$1672,4,FALSE)</f>
        <v>0.08</v>
      </c>
      <c r="T259" s="2" t="s">
        <v>16964</v>
      </c>
    </row>
    <row r="260" spans="1:20" hidden="1">
      <c r="A260" s="3" t="s">
        <v>3952</v>
      </c>
      <c r="B260" s="2" t="s">
        <v>281</v>
      </c>
      <c r="D260" s="66" t="str">
        <f>VLOOKUP("*"&amp;A260&amp;"*",[2]Sheet1!$G$2:$X$1155,18,FALSE)</f>
        <v>ERR10549573</v>
      </c>
      <c r="E260" s="2">
        <v>2019</v>
      </c>
      <c r="F260" s="2" t="s">
        <v>2692</v>
      </c>
      <c r="G260" s="2" t="s">
        <v>270</v>
      </c>
      <c r="H260" s="2" t="s">
        <v>2470</v>
      </c>
      <c r="I260" s="2" t="s">
        <v>10</v>
      </c>
      <c r="J260" s="2" t="s">
        <v>274</v>
      </c>
      <c r="K260" s="2" t="s">
        <v>275</v>
      </c>
      <c r="L260" s="2" t="s">
        <v>34</v>
      </c>
      <c r="M260" s="2">
        <v>1107</v>
      </c>
      <c r="N260" s="2" t="s">
        <v>14</v>
      </c>
      <c r="Q260" s="2">
        <f>VLOOKUP(B260,[1]Sheet1!$A$426:$D$1672,4,FALSE)</f>
        <v>0.08</v>
      </c>
      <c r="T260" s="2" t="s">
        <v>16964</v>
      </c>
    </row>
    <row r="261" spans="1:20" hidden="1">
      <c r="A261" s="3" t="s">
        <v>4040</v>
      </c>
      <c r="B261" s="2" t="s">
        <v>282</v>
      </c>
      <c r="D261" s="66" t="str">
        <f>VLOOKUP("*"&amp;A261&amp;"*",[2]Sheet1!$G$2:$X$1155,18,FALSE)</f>
        <v>ERR10549563</v>
      </c>
      <c r="E261" s="2">
        <v>2019</v>
      </c>
      <c r="F261" s="2" t="s">
        <v>2692</v>
      </c>
      <c r="G261" s="2" t="s">
        <v>270</v>
      </c>
      <c r="H261" s="2" t="s">
        <v>2470</v>
      </c>
      <c r="I261" s="2" t="s">
        <v>10</v>
      </c>
      <c r="J261" s="2" t="s">
        <v>274</v>
      </c>
      <c r="K261" s="2" t="s">
        <v>275</v>
      </c>
      <c r="L261" s="2" t="s">
        <v>34</v>
      </c>
      <c r="M261" s="2">
        <v>1107</v>
      </c>
      <c r="N261" s="2" t="s">
        <v>14</v>
      </c>
      <c r="Q261" s="2">
        <f>VLOOKUP(B261,[1]Sheet1!$A$426:$D$1672,4,FALSE)</f>
        <v>0.08</v>
      </c>
      <c r="T261" s="2" t="s">
        <v>16964</v>
      </c>
    </row>
    <row r="262" spans="1:20" hidden="1">
      <c r="A262" s="3" t="s">
        <v>4039</v>
      </c>
      <c r="B262" s="2" t="s">
        <v>283</v>
      </c>
      <c r="D262" s="66" t="str">
        <f>VLOOKUP("*"&amp;A262&amp;"*",[2]Sheet1!$G$2:$X$1155,18,FALSE)</f>
        <v>ERR10549551</v>
      </c>
      <c r="E262" s="2">
        <v>2019</v>
      </c>
      <c r="F262" s="2" t="s">
        <v>2692</v>
      </c>
      <c r="G262" s="2" t="s">
        <v>270</v>
      </c>
      <c r="H262" s="2" t="s">
        <v>2470</v>
      </c>
      <c r="I262" s="2" t="s">
        <v>10</v>
      </c>
      <c r="J262" s="2" t="s">
        <v>274</v>
      </c>
      <c r="K262" s="2" t="s">
        <v>275</v>
      </c>
      <c r="L262" s="2" t="s">
        <v>34</v>
      </c>
      <c r="M262" s="2">
        <v>1107</v>
      </c>
      <c r="N262" s="2" t="s">
        <v>14</v>
      </c>
      <c r="Q262" s="2">
        <f>VLOOKUP(B262,[1]Sheet1!$A$426:$D$1672,4,FALSE)</f>
        <v>0.08</v>
      </c>
      <c r="T262" s="2" t="s">
        <v>16964</v>
      </c>
    </row>
    <row r="263" spans="1:20" hidden="1">
      <c r="A263" s="3" t="s">
        <v>4041</v>
      </c>
      <c r="B263" s="2" t="s">
        <v>284</v>
      </c>
      <c r="D263" s="66" t="str">
        <f>VLOOKUP("*"&amp;A263&amp;"*",[2]Sheet1!$G$2:$X$1155,18,FALSE)</f>
        <v>ERR10549498</v>
      </c>
      <c r="E263" s="2">
        <v>2019</v>
      </c>
      <c r="F263" s="2" t="s">
        <v>2692</v>
      </c>
      <c r="G263" s="2" t="s">
        <v>270</v>
      </c>
      <c r="H263" s="2" t="s">
        <v>2470</v>
      </c>
      <c r="I263" s="2" t="s">
        <v>10</v>
      </c>
      <c r="J263" s="2" t="s">
        <v>274</v>
      </c>
      <c r="K263" s="2" t="s">
        <v>275</v>
      </c>
      <c r="L263" s="2" t="s">
        <v>34</v>
      </c>
      <c r="M263" s="2">
        <v>1107</v>
      </c>
      <c r="N263" s="2" t="s">
        <v>14</v>
      </c>
      <c r="Q263" s="2">
        <f>VLOOKUP(B263,[1]Sheet1!$A$426:$D$1672,4,FALSE)</f>
        <v>0.16</v>
      </c>
      <c r="T263" s="2" t="s">
        <v>16964</v>
      </c>
    </row>
    <row r="264" spans="1:20" hidden="1">
      <c r="A264" s="3" t="s">
        <v>4259</v>
      </c>
      <c r="B264" s="2" t="s">
        <v>285</v>
      </c>
      <c r="D264" s="66" t="str">
        <f>VLOOKUP("*"&amp;A264&amp;"*",[2]Sheet1!$G$2:$X$1155,18,FALSE)</f>
        <v>ERR10549566</v>
      </c>
      <c r="E264" s="2">
        <v>2019</v>
      </c>
      <c r="F264" s="2" t="s">
        <v>2692</v>
      </c>
      <c r="G264" s="2" t="s">
        <v>270</v>
      </c>
      <c r="H264" s="2" t="s">
        <v>2470</v>
      </c>
      <c r="I264" s="2" t="s">
        <v>10</v>
      </c>
      <c r="J264" s="2" t="s">
        <v>129</v>
      </c>
      <c r="K264" s="2" t="s">
        <v>278</v>
      </c>
      <c r="L264" s="2" t="s">
        <v>128</v>
      </c>
      <c r="M264" s="2">
        <v>1</v>
      </c>
      <c r="N264" s="2" t="s">
        <v>18</v>
      </c>
      <c r="Q264" s="2">
        <f>VLOOKUP(B264,[1]Sheet1!$A$426:$D$1672,4,FALSE)</f>
        <v>0.16</v>
      </c>
      <c r="T264" s="2" t="s">
        <v>16964</v>
      </c>
    </row>
    <row r="265" spans="1:20" hidden="1">
      <c r="A265" s="3" t="s">
        <v>3956</v>
      </c>
      <c r="B265" s="2" t="s">
        <v>286</v>
      </c>
      <c r="D265" s="66" t="str">
        <f>VLOOKUP("*"&amp;A265&amp;"*",[2]Sheet1!$G$2:$X$1155,18,FALSE)</f>
        <v>ERR10549497</v>
      </c>
      <c r="E265" s="2">
        <v>2019</v>
      </c>
      <c r="F265" s="2" t="s">
        <v>2692</v>
      </c>
      <c r="G265" s="2" t="s">
        <v>270</v>
      </c>
      <c r="H265" s="2" t="s">
        <v>2470</v>
      </c>
      <c r="I265" s="2" t="s">
        <v>10</v>
      </c>
      <c r="J265" s="2" t="s">
        <v>274</v>
      </c>
      <c r="K265" s="2" t="s">
        <v>275</v>
      </c>
      <c r="L265" s="2" t="s">
        <v>34</v>
      </c>
      <c r="M265" s="2">
        <v>1107</v>
      </c>
      <c r="N265" s="2" t="s">
        <v>14</v>
      </c>
      <c r="Q265" s="2">
        <f>VLOOKUP(B265,[1]Sheet1!$A$426:$D$1672,4,FALSE)</f>
        <v>0.08</v>
      </c>
      <c r="T265" s="2" t="s">
        <v>16964</v>
      </c>
    </row>
    <row r="266" spans="1:20" hidden="1">
      <c r="A266" s="3" t="s">
        <v>3955</v>
      </c>
      <c r="B266" s="2" t="s">
        <v>287</v>
      </c>
      <c r="D266" s="66" t="str">
        <f>VLOOKUP("*"&amp;A266&amp;"*",[2]Sheet1!$G$2:$X$1155,18,FALSE)</f>
        <v>ERR10549495</v>
      </c>
      <c r="E266" s="2">
        <v>2019</v>
      </c>
      <c r="F266" s="2" t="s">
        <v>2692</v>
      </c>
      <c r="G266" s="2" t="s">
        <v>315</v>
      </c>
      <c r="H266" s="2" t="s">
        <v>2554</v>
      </c>
      <c r="I266" s="2" t="s">
        <v>10</v>
      </c>
      <c r="J266" s="2" t="s">
        <v>274</v>
      </c>
      <c r="K266" s="2" t="s">
        <v>275</v>
      </c>
      <c r="L266" s="2" t="s">
        <v>34</v>
      </c>
      <c r="M266" s="2">
        <v>1107</v>
      </c>
      <c r="N266" s="2" t="s">
        <v>14</v>
      </c>
      <c r="Q266" s="2">
        <f>VLOOKUP(B266,[1]Sheet1!$A$426:$D$1672,4,FALSE)</f>
        <v>0.08</v>
      </c>
      <c r="T266" s="2" t="s">
        <v>16964</v>
      </c>
    </row>
    <row r="267" spans="1:20" hidden="1">
      <c r="A267" s="3" t="s">
        <v>4038</v>
      </c>
      <c r="B267" s="2" t="s">
        <v>288</v>
      </c>
      <c r="D267" s="66" t="str">
        <f>VLOOKUP("*"&amp;A267&amp;"*",[2]Sheet1!$G$2:$X$1155,18,FALSE)</f>
        <v>ERR10549553</v>
      </c>
      <c r="E267" s="2">
        <v>2019</v>
      </c>
      <c r="F267" s="2" t="s">
        <v>2692</v>
      </c>
      <c r="G267" s="2" t="s">
        <v>315</v>
      </c>
      <c r="H267" s="2" t="s">
        <v>2554</v>
      </c>
      <c r="I267" s="2" t="s">
        <v>10</v>
      </c>
      <c r="J267" s="2" t="s">
        <v>274</v>
      </c>
      <c r="K267" s="2" t="s">
        <v>275</v>
      </c>
      <c r="L267" s="2" t="s">
        <v>34</v>
      </c>
      <c r="M267" s="2">
        <v>1107</v>
      </c>
      <c r="N267" s="2" t="s">
        <v>14</v>
      </c>
      <c r="Q267" s="2">
        <f>VLOOKUP(B267,[1]Sheet1!$A$426:$D$1672,4,FALSE)</f>
        <v>0.08</v>
      </c>
      <c r="T267" s="2" t="s">
        <v>16964</v>
      </c>
    </row>
    <row r="268" spans="1:20" hidden="1">
      <c r="A268" s="3" t="s">
        <v>2985</v>
      </c>
      <c r="B268" s="2" t="s">
        <v>289</v>
      </c>
      <c r="D268" s="66" t="str">
        <f>VLOOKUP("*"&amp;A268&amp;"*",[2]Sheet1!$G$2:$X$1155,18,FALSE)</f>
        <v>ERR10549556</v>
      </c>
      <c r="E268" s="2">
        <v>2019</v>
      </c>
      <c r="F268" s="2" t="s">
        <v>2692</v>
      </c>
      <c r="G268" s="2" t="s">
        <v>270</v>
      </c>
      <c r="H268" s="2" t="s">
        <v>2470</v>
      </c>
      <c r="I268" s="2" t="s">
        <v>10</v>
      </c>
      <c r="J268" s="2" t="s">
        <v>129</v>
      </c>
      <c r="K268" s="2" t="s">
        <v>278</v>
      </c>
      <c r="L268" s="2" t="s">
        <v>128</v>
      </c>
      <c r="M268" s="2">
        <v>1</v>
      </c>
      <c r="N268" s="2" t="s">
        <v>18</v>
      </c>
      <c r="Q268" s="2">
        <f>VLOOKUP(B268,[1]Sheet1!$A$426:$D$1672,4,FALSE)</f>
        <v>0.08</v>
      </c>
      <c r="T268" s="2" t="s">
        <v>16964</v>
      </c>
    </row>
    <row r="269" spans="1:20" hidden="1">
      <c r="A269" s="3" t="s">
        <v>3713</v>
      </c>
      <c r="B269" s="2" t="s">
        <v>290</v>
      </c>
      <c r="D269" s="66" t="str">
        <f>VLOOKUP("*"&amp;A269&amp;"*",[2]Sheet1!$G$2:$X$1155,18,FALSE)</f>
        <v>ERR10549533</v>
      </c>
      <c r="E269" s="2">
        <v>2019</v>
      </c>
      <c r="F269" s="2" t="s">
        <v>2692</v>
      </c>
      <c r="G269" s="2" t="s">
        <v>270</v>
      </c>
      <c r="H269" s="2" t="s">
        <v>2470</v>
      </c>
      <c r="I269" s="2" t="s">
        <v>10</v>
      </c>
      <c r="J269" s="2" t="s">
        <v>129</v>
      </c>
      <c r="K269" s="2" t="s">
        <v>280</v>
      </c>
      <c r="L269" s="2" t="s">
        <v>128</v>
      </c>
      <c r="M269" s="2">
        <v>1</v>
      </c>
      <c r="N269" s="2" t="s">
        <v>18</v>
      </c>
      <c r="Q269" s="2">
        <f>VLOOKUP(B269,[1]Sheet1!$A$426:$D$1672,4,FALSE)</f>
        <v>0.08</v>
      </c>
      <c r="T269" s="2" t="s">
        <v>16964</v>
      </c>
    </row>
    <row r="270" spans="1:20" hidden="1">
      <c r="A270" s="3" t="s">
        <v>4260</v>
      </c>
      <c r="B270" s="2" t="s">
        <v>291</v>
      </c>
      <c r="D270" s="66" t="str">
        <f>VLOOKUP("*"&amp;A270&amp;"*",[2]Sheet1!$G$2:$X$1155,18,FALSE)</f>
        <v>ERR10549557</v>
      </c>
      <c r="E270" s="2">
        <v>2019</v>
      </c>
      <c r="F270" s="2" t="s">
        <v>2692</v>
      </c>
      <c r="G270" s="2" t="s">
        <v>270</v>
      </c>
      <c r="H270" s="2" t="s">
        <v>2470</v>
      </c>
      <c r="I270" s="2" t="s">
        <v>10</v>
      </c>
      <c r="J270" s="2" t="s">
        <v>129</v>
      </c>
      <c r="K270" s="2" t="s">
        <v>278</v>
      </c>
      <c r="L270" s="2" t="s">
        <v>128</v>
      </c>
      <c r="M270" s="2">
        <v>1</v>
      </c>
      <c r="N270" s="2" t="s">
        <v>18</v>
      </c>
      <c r="Q270" s="2">
        <f>VLOOKUP(B270,[1]Sheet1!$A$426:$D$1672,4,FALSE)</f>
        <v>0.08</v>
      </c>
      <c r="T270" s="2" t="s">
        <v>16964</v>
      </c>
    </row>
    <row r="271" spans="1:20" hidden="1">
      <c r="A271" s="3" t="s">
        <v>3768</v>
      </c>
      <c r="B271" s="2" t="s">
        <v>292</v>
      </c>
      <c r="D271" s="66" t="str">
        <f>VLOOKUP("*"&amp;A271&amp;"*",[2]Sheet1!$G$2:$X$1155,18,FALSE)</f>
        <v>ERR10549500</v>
      </c>
      <c r="E271" s="2">
        <v>2019</v>
      </c>
      <c r="F271" s="2" t="s">
        <v>2692</v>
      </c>
      <c r="G271" s="2" t="s">
        <v>270</v>
      </c>
      <c r="H271" s="2" t="s">
        <v>2470</v>
      </c>
      <c r="I271" s="2" t="s">
        <v>10</v>
      </c>
      <c r="J271" s="2" t="s">
        <v>271</v>
      </c>
      <c r="K271" s="2" t="s">
        <v>272</v>
      </c>
      <c r="L271" s="2" t="s">
        <v>80</v>
      </c>
      <c r="M271" s="2">
        <v>379</v>
      </c>
      <c r="N271" s="2" t="s">
        <v>14</v>
      </c>
      <c r="Q271" s="2">
        <f>VLOOKUP(B271,[1]Sheet1!$A$426:$D$1672,4,FALSE)</f>
        <v>0.08</v>
      </c>
      <c r="T271" s="2" t="s">
        <v>16964</v>
      </c>
    </row>
    <row r="272" spans="1:20" hidden="1">
      <c r="A272" s="3" t="s">
        <v>3770</v>
      </c>
      <c r="B272" s="2" t="s">
        <v>293</v>
      </c>
      <c r="D272" s="66" t="str">
        <f>VLOOKUP("*"&amp;A272&amp;"*",[2]Sheet1!$G$2:$X$1155,18,FALSE)</f>
        <v>ERR10549502</v>
      </c>
      <c r="E272" s="2">
        <v>2019</v>
      </c>
      <c r="F272" s="2" t="s">
        <v>2692</v>
      </c>
      <c r="G272" s="2" t="s">
        <v>5</v>
      </c>
      <c r="H272" s="2" t="s">
        <v>2554</v>
      </c>
      <c r="I272" s="2" t="s">
        <v>10</v>
      </c>
      <c r="J272" s="2" t="s">
        <v>271</v>
      </c>
      <c r="K272" s="2" t="s">
        <v>272</v>
      </c>
      <c r="L272" s="2" t="s">
        <v>80</v>
      </c>
      <c r="M272" s="2">
        <v>379</v>
      </c>
      <c r="N272" s="2" t="s">
        <v>14</v>
      </c>
      <c r="Q272" s="2">
        <f>VLOOKUP(B272,[1]Sheet1!$A$426:$D$1672,4,FALSE)</f>
        <v>0.08</v>
      </c>
      <c r="T272" s="2" t="s">
        <v>16964</v>
      </c>
    </row>
    <row r="273" spans="1:24" hidden="1">
      <c r="A273" s="3" t="s">
        <v>3714</v>
      </c>
      <c r="B273" s="2" t="s">
        <v>294</v>
      </c>
      <c r="D273" s="66" t="str">
        <f>VLOOKUP("*"&amp;A273&amp;"*",[2]Sheet1!$G$2:$X$1155,18,FALSE)</f>
        <v>ERR10549567</v>
      </c>
      <c r="E273" s="2">
        <v>2019</v>
      </c>
      <c r="F273" s="2" t="s">
        <v>2692</v>
      </c>
      <c r="G273" s="2" t="s">
        <v>315</v>
      </c>
      <c r="H273" s="2" t="s">
        <v>2554</v>
      </c>
      <c r="I273" s="2" t="s">
        <v>10</v>
      </c>
      <c r="J273" s="2" t="s">
        <v>129</v>
      </c>
      <c r="K273" s="2" t="s">
        <v>280</v>
      </c>
      <c r="L273" s="2" t="s">
        <v>128</v>
      </c>
      <c r="M273" s="2">
        <v>1</v>
      </c>
      <c r="N273" s="2" t="s">
        <v>18</v>
      </c>
      <c r="Q273" s="2">
        <f>VLOOKUP(B273,[1]Sheet1!$A$426:$D$1672,4,FALSE)</f>
        <v>0.08</v>
      </c>
      <c r="T273" s="2" t="s">
        <v>16964</v>
      </c>
    </row>
    <row r="274" spans="1:24" hidden="1">
      <c r="A274" s="3" t="s">
        <v>4261</v>
      </c>
      <c r="B274" s="2" t="s">
        <v>295</v>
      </c>
      <c r="D274" s="66" t="str">
        <f>VLOOKUP("*"&amp;A274&amp;"*",[2]Sheet1!$G$2:$X$1155,18,FALSE)</f>
        <v>ERR10611988</v>
      </c>
      <c r="E274" s="2">
        <v>2019</v>
      </c>
      <c r="F274" s="2" t="s">
        <v>2692</v>
      </c>
      <c r="G274" s="2" t="s">
        <v>270</v>
      </c>
      <c r="H274" s="2" t="s">
        <v>2470</v>
      </c>
      <c r="I274" s="2" t="s">
        <v>10</v>
      </c>
      <c r="J274" s="2" t="s">
        <v>129</v>
      </c>
      <c r="K274" s="2" t="s">
        <v>278</v>
      </c>
      <c r="L274" s="2" t="s">
        <v>128</v>
      </c>
      <c r="M274" s="2">
        <v>1</v>
      </c>
      <c r="N274" s="2" t="s">
        <v>18</v>
      </c>
      <c r="Q274" s="2">
        <f>VLOOKUP(B274,[1]Sheet1!$A$426:$D$1672,4,FALSE)</f>
        <v>0.08</v>
      </c>
      <c r="T274" s="2" t="s">
        <v>16964</v>
      </c>
    </row>
    <row r="275" spans="1:24" hidden="1">
      <c r="A275" s="3" t="s">
        <v>3931</v>
      </c>
      <c r="B275" s="2" t="s">
        <v>407</v>
      </c>
      <c r="D275" s="66" t="str">
        <f>VLOOKUP("*"&amp;A275&amp;"*",[2]Sheet1!$G$2:$X$1155,18,FALSE)</f>
        <v>ERR10611997</v>
      </c>
      <c r="E275" s="2">
        <v>2015</v>
      </c>
      <c r="F275" s="2" t="s">
        <v>406</v>
      </c>
      <c r="G275" s="2" t="s">
        <v>318</v>
      </c>
      <c r="H275" s="2" t="s">
        <v>2433</v>
      </c>
      <c r="I275" s="2" t="s">
        <v>6</v>
      </c>
      <c r="J275" s="2" t="s">
        <v>102</v>
      </c>
      <c r="K275" s="2" t="s">
        <v>408</v>
      </c>
      <c r="L275" s="2" t="s">
        <v>101</v>
      </c>
      <c r="M275" s="2">
        <v>7</v>
      </c>
      <c r="N275" s="2" t="s">
        <v>9</v>
      </c>
      <c r="O275" s="2">
        <f>VLOOKUP(B275,[1]Sheet1!$B$624:$E$1665,4,FALSE)</f>
        <v>0.4</v>
      </c>
      <c r="P275" s="2" t="s">
        <v>16964</v>
      </c>
      <c r="T275" s="2" t="s">
        <v>16964</v>
      </c>
    </row>
    <row r="276" spans="1:24" hidden="1">
      <c r="A276" s="3" t="s">
        <v>4243</v>
      </c>
      <c r="B276" s="2" t="s">
        <v>409</v>
      </c>
      <c r="D276" s="66" t="str">
        <f>VLOOKUP("*"&amp;A276&amp;"*",[2]Sheet1!$G$2:$X$1155,18,FALSE)</f>
        <v>ERR10612244</v>
      </c>
      <c r="E276" s="2">
        <v>2018</v>
      </c>
      <c r="F276" s="2" t="s">
        <v>406</v>
      </c>
      <c r="G276" s="2" t="s">
        <v>318</v>
      </c>
      <c r="H276" s="2" t="s">
        <v>2434</v>
      </c>
      <c r="I276" s="2" t="s">
        <v>10</v>
      </c>
      <c r="J276" s="2" t="s">
        <v>129</v>
      </c>
      <c r="K276" s="2" t="s">
        <v>410</v>
      </c>
      <c r="L276" s="2" t="s">
        <v>128</v>
      </c>
      <c r="M276" s="2">
        <v>1</v>
      </c>
      <c r="N276" s="2" t="s">
        <v>18</v>
      </c>
      <c r="T276" s="2" t="s">
        <v>16964</v>
      </c>
    </row>
    <row r="277" spans="1:24" hidden="1">
      <c r="A277" s="3" t="s">
        <v>3493</v>
      </c>
      <c r="B277" s="2" t="s">
        <v>411</v>
      </c>
      <c r="D277" s="66" t="str">
        <f>VLOOKUP("*"&amp;A277&amp;"*",[2]Sheet1!$G$2:$X$1155,18,FALSE)</f>
        <v>ERR10612004</v>
      </c>
      <c r="E277" s="2">
        <v>2018</v>
      </c>
      <c r="F277" s="2" t="s">
        <v>406</v>
      </c>
      <c r="G277" s="2" t="s">
        <v>318</v>
      </c>
      <c r="H277" s="2" t="s">
        <v>2434</v>
      </c>
      <c r="I277" s="2" t="s">
        <v>6</v>
      </c>
      <c r="J277" s="2" t="s">
        <v>40</v>
      </c>
      <c r="K277" s="2" t="s">
        <v>412</v>
      </c>
      <c r="L277" s="2" t="s">
        <v>39</v>
      </c>
      <c r="M277" s="2">
        <v>37</v>
      </c>
      <c r="N277" s="2" t="s">
        <v>9</v>
      </c>
      <c r="T277" s="2" t="s">
        <v>16964</v>
      </c>
    </row>
    <row r="278" spans="1:24" hidden="1">
      <c r="A278" s="3" t="s">
        <v>2918</v>
      </c>
      <c r="B278" s="2" t="s">
        <v>413</v>
      </c>
      <c r="D278" s="66" t="str">
        <f>VLOOKUP("*"&amp;A278&amp;"*",[2]Sheet1!$G$2:$X$1155,18,FALSE)</f>
        <v>ERR10612039</v>
      </c>
      <c r="E278" s="2">
        <v>2015</v>
      </c>
      <c r="F278" s="2" t="s">
        <v>406</v>
      </c>
      <c r="G278" s="2" t="s">
        <v>5</v>
      </c>
      <c r="H278" s="2" t="s">
        <v>1486</v>
      </c>
      <c r="I278" s="2" t="s">
        <v>6</v>
      </c>
      <c r="J278" s="2" t="s">
        <v>415</v>
      </c>
      <c r="K278" s="2" t="s">
        <v>416</v>
      </c>
      <c r="L278" s="2" t="s">
        <v>414</v>
      </c>
      <c r="M278" s="2">
        <v>204</v>
      </c>
      <c r="N278" s="2" t="s">
        <v>9</v>
      </c>
      <c r="O278" s="2">
        <f>VLOOKUP(B278,[1]Sheet1!$B$624:$E$1665,4,FALSE)</f>
        <v>0.4</v>
      </c>
      <c r="P278" s="2" t="s">
        <v>16964</v>
      </c>
      <c r="T278" s="2" t="s">
        <v>16964</v>
      </c>
    </row>
    <row r="279" spans="1:24" hidden="1">
      <c r="A279" s="3" t="s">
        <v>2867</v>
      </c>
      <c r="B279" s="2" t="s">
        <v>417</v>
      </c>
      <c r="D279" s="66" t="str">
        <f>VLOOKUP("*"&amp;A279&amp;"*",[2]Sheet1!$G$2:$X$1155,18,FALSE)</f>
        <v>ERR10612001</v>
      </c>
      <c r="E279" s="2">
        <v>2015</v>
      </c>
      <c r="F279" s="2" t="s">
        <v>406</v>
      </c>
      <c r="G279" s="2" t="s">
        <v>5</v>
      </c>
      <c r="H279" s="2" t="s">
        <v>2298</v>
      </c>
      <c r="I279" s="2" t="s">
        <v>6</v>
      </c>
      <c r="J279" s="2" t="s">
        <v>415</v>
      </c>
      <c r="K279" s="2" t="s">
        <v>418</v>
      </c>
      <c r="L279" s="2" t="s">
        <v>414</v>
      </c>
      <c r="M279" s="2">
        <v>204</v>
      </c>
      <c r="N279" s="2" t="s">
        <v>9</v>
      </c>
      <c r="O279" s="2">
        <f>VLOOKUP(B279,[1]Sheet1!$B$624:$E$1665,4,FALSE)</f>
        <v>0.4</v>
      </c>
      <c r="P279" s="2" t="s">
        <v>16964</v>
      </c>
      <c r="T279" s="2" t="s">
        <v>16964</v>
      </c>
    </row>
    <row r="280" spans="1:24" hidden="1">
      <c r="A280" s="3" t="s">
        <v>3237</v>
      </c>
      <c r="B280" s="2" t="s">
        <v>419</v>
      </c>
      <c r="D280" s="66" t="str">
        <f>VLOOKUP("*"&amp;A280&amp;"*",[2]Sheet1!$G$2:$X$1155,18,FALSE)</f>
        <v>ERR10612026</v>
      </c>
      <c r="E280" s="2">
        <v>2016</v>
      </c>
      <c r="F280" s="2" t="s">
        <v>406</v>
      </c>
      <c r="G280" s="2" t="s">
        <v>5</v>
      </c>
      <c r="H280" s="2" t="s">
        <v>2300</v>
      </c>
      <c r="I280" s="2" t="s">
        <v>6</v>
      </c>
      <c r="J280" s="2" t="s">
        <v>29</v>
      </c>
      <c r="K280" s="2" t="s">
        <v>420</v>
      </c>
      <c r="L280" s="2" t="s">
        <v>28</v>
      </c>
      <c r="M280" s="2">
        <v>8</v>
      </c>
      <c r="N280" s="2" t="s">
        <v>9</v>
      </c>
      <c r="O280" s="2">
        <f>VLOOKUP(B280,[1]Sheet1!$B$624:$E$1665,4,FALSE)</f>
        <v>0.2</v>
      </c>
      <c r="P280" s="2" t="s">
        <v>16964</v>
      </c>
      <c r="T280" s="2" t="s">
        <v>16964</v>
      </c>
    </row>
    <row r="281" spans="1:24" hidden="1">
      <c r="A281" s="3" t="s">
        <v>3177</v>
      </c>
      <c r="B281" s="2" t="s">
        <v>421</v>
      </c>
      <c r="D281" s="66" t="str">
        <f>VLOOKUP("*"&amp;A281&amp;"*",[2]Sheet1!$G$2:$X$1155,18,FALSE)</f>
        <v>ERR10612028</v>
      </c>
      <c r="E281" s="2">
        <v>2016</v>
      </c>
      <c r="F281" s="2" t="s">
        <v>406</v>
      </c>
      <c r="G281" s="2" t="s">
        <v>5</v>
      </c>
      <c r="H281" s="2" t="s">
        <v>2300</v>
      </c>
      <c r="I281" s="2" t="s">
        <v>6</v>
      </c>
      <c r="J281" s="2" t="s">
        <v>26</v>
      </c>
      <c r="K281" s="2" t="s">
        <v>422</v>
      </c>
      <c r="L281" s="2" t="s">
        <v>25</v>
      </c>
      <c r="M281" s="2">
        <v>101</v>
      </c>
      <c r="N281" s="2" t="s">
        <v>9</v>
      </c>
      <c r="O281" s="2">
        <f>VLOOKUP(B281,[1]Sheet1!$B$624:$E$1665,4,FALSE)</f>
        <v>0.4</v>
      </c>
      <c r="P281" s="2" t="s">
        <v>16964</v>
      </c>
      <c r="T281" s="2" t="s">
        <v>16964</v>
      </c>
    </row>
    <row r="282" spans="1:24" hidden="1">
      <c r="A282" s="3" t="s">
        <v>3293</v>
      </c>
      <c r="B282" s="2" t="s">
        <v>423</v>
      </c>
      <c r="D282" s="66" t="str">
        <f>VLOOKUP("*"&amp;A282&amp;"*",[2]Sheet1!$G$2:$X$1155,18,FALSE)</f>
        <v>ERR10612023</v>
      </c>
      <c r="E282" s="2">
        <v>2019</v>
      </c>
      <c r="F282" s="2" t="s">
        <v>406</v>
      </c>
      <c r="G282" s="2" t="s">
        <v>5</v>
      </c>
      <c r="H282" s="2" t="s">
        <v>2432</v>
      </c>
      <c r="I282" s="2" t="s">
        <v>6</v>
      </c>
      <c r="J282" s="2" t="s">
        <v>20</v>
      </c>
      <c r="K282" s="2" t="s">
        <v>424</v>
      </c>
      <c r="L282" s="2" t="s">
        <v>19</v>
      </c>
      <c r="M282" s="2">
        <v>580</v>
      </c>
      <c r="N282" s="2" t="s">
        <v>21</v>
      </c>
      <c r="O282" s="2">
        <f>VLOOKUP(B282,[1]Sheet1!$B$624:$E$1665,4,FALSE)</f>
        <v>0.4</v>
      </c>
      <c r="P282" s="2" t="s">
        <v>16964</v>
      </c>
      <c r="T282" s="2" t="s">
        <v>16964</v>
      </c>
    </row>
    <row r="283" spans="1:24" hidden="1">
      <c r="A283" s="3" t="s">
        <v>2942</v>
      </c>
      <c r="B283" s="2" t="s">
        <v>425</v>
      </c>
      <c r="D283" s="66" t="str">
        <f>VLOOKUP("*"&amp;A283&amp;"*",[2]Sheet1!$G$2:$X$1155,18,FALSE)</f>
        <v>ERR10612025</v>
      </c>
      <c r="E283" s="2">
        <v>2020</v>
      </c>
      <c r="F283" s="2" t="s">
        <v>406</v>
      </c>
      <c r="G283" s="2" t="s">
        <v>5</v>
      </c>
      <c r="H283" s="2" t="s">
        <v>2432</v>
      </c>
      <c r="I283" s="2" t="s">
        <v>6</v>
      </c>
      <c r="J283" s="2" t="s">
        <v>8</v>
      </c>
      <c r="K283" s="2" t="s">
        <v>426</v>
      </c>
      <c r="L283" s="2" t="s">
        <v>7</v>
      </c>
      <c r="M283" s="2">
        <v>121</v>
      </c>
      <c r="N283" s="2" t="s">
        <v>9</v>
      </c>
      <c r="O283" s="2">
        <f>VLOOKUP(B283,[1]Sheet1!$B$624:$E$1665,4,FALSE)</f>
        <v>1.6</v>
      </c>
      <c r="P283" s="2" t="s">
        <v>16963</v>
      </c>
      <c r="T283" s="2" t="s">
        <v>16963</v>
      </c>
      <c r="X283" s="67" t="s">
        <v>4722</v>
      </c>
    </row>
    <row r="284" spans="1:24" hidden="1">
      <c r="A284" s="3" t="s">
        <v>3694</v>
      </c>
      <c r="B284" s="2" t="s">
        <v>427</v>
      </c>
      <c r="D284" s="66" t="str">
        <f>VLOOKUP("*"&amp;A284&amp;"*",[2]Sheet1!$G$2:$X$1155,18,FALSE)</f>
        <v>ERR10612036</v>
      </c>
      <c r="E284" s="2">
        <v>2014</v>
      </c>
      <c r="F284" s="2" t="s">
        <v>406</v>
      </c>
      <c r="G284" s="2" t="s">
        <v>5</v>
      </c>
      <c r="H284" s="2" t="s">
        <v>1479</v>
      </c>
      <c r="I284" s="2" t="s">
        <v>6</v>
      </c>
      <c r="J284" s="2" t="s">
        <v>102</v>
      </c>
      <c r="K284" s="2" t="s">
        <v>428</v>
      </c>
      <c r="L284" s="2" t="s">
        <v>101</v>
      </c>
      <c r="M284" s="2">
        <v>511</v>
      </c>
      <c r="N284" s="2" t="s">
        <v>9</v>
      </c>
      <c r="O284" s="2">
        <f>VLOOKUP(B284,[1]Sheet1!$B$624:$E$1665,4,FALSE)</f>
        <v>0.2</v>
      </c>
      <c r="P284" s="2" t="s">
        <v>16964</v>
      </c>
      <c r="T284" s="2" t="s">
        <v>16964</v>
      </c>
    </row>
    <row r="285" spans="1:24" hidden="1">
      <c r="A285" s="3" t="s">
        <v>3114</v>
      </c>
      <c r="B285" s="2" t="s">
        <v>429</v>
      </c>
      <c r="D285" s="66" t="str">
        <f>VLOOKUP("*"&amp;A285&amp;"*",[2]Sheet1!$G$2:$X$1155,18,FALSE)</f>
        <v>ERR10611998</v>
      </c>
      <c r="E285" s="2">
        <v>2014</v>
      </c>
      <c r="F285" s="2" t="s">
        <v>406</v>
      </c>
      <c r="G285" s="2" t="s">
        <v>5</v>
      </c>
      <c r="H285" s="2" t="s">
        <v>1479</v>
      </c>
      <c r="I285" s="2" t="s">
        <v>6</v>
      </c>
      <c r="J285" s="2" t="s">
        <v>26</v>
      </c>
      <c r="K285" s="2" t="s">
        <v>430</v>
      </c>
      <c r="L285" s="2" t="s">
        <v>25</v>
      </c>
      <c r="M285" s="2">
        <v>101</v>
      </c>
      <c r="N285" s="2" t="s">
        <v>9</v>
      </c>
      <c r="O285" s="2">
        <f>VLOOKUP(B285,[1]Sheet1!$B$624:$E$1665,4,FALSE)</f>
        <v>0.4</v>
      </c>
      <c r="P285" s="2" t="s">
        <v>16964</v>
      </c>
      <c r="T285" s="2" t="s">
        <v>16964</v>
      </c>
    </row>
    <row r="286" spans="1:24" hidden="1">
      <c r="A286" s="3" t="s">
        <v>2988</v>
      </c>
      <c r="B286" s="2" t="s">
        <v>2275</v>
      </c>
      <c r="D286" s="66" t="str">
        <f>VLOOKUP("*"&amp;A286&amp;"*",[2]Sheet1!$G$2:$X$1155,18,FALSE)</f>
        <v>ERR10549840</v>
      </c>
      <c r="E286" s="2">
        <v>2005</v>
      </c>
      <c r="F286" s="2" t="s">
        <v>2360</v>
      </c>
      <c r="G286" s="2" t="s">
        <v>5</v>
      </c>
      <c r="I286" s="2" t="s">
        <v>6</v>
      </c>
      <c r="J286" s="2" t="s">
        <v>115</v>
      </c>
      <c r="K286" s="2" t="s">
        <v>831</v>
      </c>
      <c r="L286" s="2" t="s">
        <v>114</v>
      </c>
      <c r="M286" s="2">
        <v>21</v>
      </c>
      <c r="N286" s="2" t="s">
        <v>9</v>
      </c>
      <c r="T286" s="2" t="s">
        <v>16964</v>
      </c>
    </row>
    <row r="287" spans="1:24" hidden="1">
      <c r="A287" s="3" t="s">
        <v>2948</v>
      </c>
      <c r="B287" s="2">
        <v>968</v>
      </c>
      <c r="D287" s="66" t="str">
        <f>VLOOKUP("*"&amp;A287&amp;"*",[2]Sheet1!$G$2:$X$1155,18,FALSE)</f>
        <v>ERR10549915</v>
      </c>
      <c r="E287" s="2">
        <v>2009</v>
      </c>
      <c r="F287" s="2" t="s">
        <v>2360</v>
      </c>
      <c r="G287" s="2" t="s">
        <v>5</v>
      </c>
      <c r="I287" s="2" t="s">
        <v>6</v>
      </c>
      <c r="J287" s="2" t="s">
        <v>8</v>
      </c>
      <c r="K287" s="2" t="s">
        <v>90</v>
      </c>
      <c r="L287" s="2" t="s">
        <v>7</v>
      </c>
      <c r="M287" s="2">
        <v>121</v>
      </c>
      <c r="N287" s="2" t="s">
        <v>9</v>
      </c>
      <c r="T287" s="2" t="s">
        <v>16963</v>
      </c>
      <c r="X287" s="67" t="s">
        <v>4722</v>
      </c>
    </row>
    <row r="288" spans="1:24" hidden="1">
      <c r="A288" s="3" t="s">
        <v>2950</v>
      </c>
      <c r="B288" s="2">
        <v>971</v>
      </c>
      <c r="D288" s="66" t="str">
        <f>VLOOKUP("*"&amp;A288&amp;"*",[2]Sheet1!$G$2:$X$1155,18,FALSE)</f>
        <v>ERR10549916</v>
      </c>
      <c r="E288" s="2">
        <v>2009</v>
      </c>
      <c r="F288" s="2" t="s">
        <v>2360</v>
      </c>
      <c r="G288" s="2" t="s">
        <v>5</v>
      </c>
      <c r="I288" s="2" t="s">
        <v>6</v>
      </c>
      <c r="J288" s="2" t="s">
        <v>8</v>
      </c>
      <c r="K288" s="2" t="s">
        <v>90</v>
      </c>
      <c r="L288" s="2" t="s">
        <v>7</v>
      </c>
      <c r="M288" s="2">
        <v>121</v>
      </c>
      <c r="N288" s="2" t="s">
        <v>9</v>
      </c>
      <c r="T288" s="2" t="s">
        <v>16963</v>
      </c>
      <c r="X288" s="67" t="s">
        <v>4722</v>
      </c>
    </row>
    <row r="289" spans="1:25" hidden="1">
      <c r="A289" s="3" t="s">
        <v>2898</v>
      </c>
      <c r="B289" s="2">
        <v>990</v>
      </c>
      <c r="D289" s="66" t="str">
        <f>VLOOKUP("*"&amp;A289&amp;"*",[2]Sheet1!$G$2:$X$1155,18,FALSE)</f>
        <v>ERR10549941</v>
      </c>
      <c r="E289" s="2">
        <v>2010</v>
      </c>
      <c r="F289" s="2" t="s">
        <v>2360</v>
      </c>
      <c r="G289" s="2" t="s">
        <v>5</v>
      </c>
      <c r="I289" s="2" t="s">
        <v>6</v>
      </c>
      <c r="J289" s="2" t="s">
        <v>8</v>
      </c>
      <c r="K289" s="2" t="s">
        <v>832</v>
      </c>
      <c r="L289" s="2" t="s">
        <v>7</v>
      </c>
      <c r="M289" s="2">
        <v>121</v>
      </c>
      <c r="N289" s="2" t="s">
        <v>9</v>
      </c>
      <c r="T289" s="2" t="s">
        <v>16963</v>
      </c>
      <c r="X289" s="67" t="s">
        <v>4722</v>
      </c>
    </row>
    <row r="290" spans="1:25" hidden="1">
      <c r="A290" s="3" t="s">
        <v>3579</v>
      </c>
      <c r="B290" s="2">
        <v>993</v>
      </c>
      <c r="D290" s="66" t="str">
        <f>VLOOKUP("*"&amp;A290&amp;"*",[2]Sheet1!$G$2:$X$1155,18,FALSE)</f>
        <v>ERR10549943</v>
      </c>
      <c r="E290" s="2">
        <v>2010</v>
      </c>
      <c r="F290" s="2" t="s">
        <v>2360</v>
      </c>
      <c r="G290" s="2" t="s">
        <v>5</v>
      </c>
      <c r="I290" s="2" t="s">
        <v>6</v>
      </c>
      <c r="J290" s="2" t="s">
        <v>8</v>
      </c>
      <c r="K290" s="2" t="s">
        <v>4568</v>
      </c>
      <c r="L290" s="2" t="s">
        <v>7</v>
      </c>
      <c r="M290" s="2">
        <v>121</v>
      </c>
      <c r="N290" s="2" t="s">
        <v>9</v>
      </c>
      <c r="T290" s="2" t="s">
        <v>16963</v>
      </c>
      <c r="X290" s="67" t="s">
        <v>4722</v>
      </c>
    </row>
    <row r="291" spans="1:25" hidden="1">
      <c r="A291" s="3" t="s">
        <v>3123</v>
      </c>
      <c r="B291" s="2">
        <v>994</v>
      </c>
      <c r="D291" s="66" t="str">
        <f>VLOOKUP("*"&amp;A291&amp;"*",[2]Sheet1!$G$2:$X$1155,18,FALSE)</f>
        <v>ERR10549945</v>
      </c>
      <c r="E291" s="2">
        <v>2010</v>
      </c>
      <c r="F291" s="2" t="s">
        <v>2360</v>
      </c>
      <c r="G291" s="2" t="s">
        <v>5</v>
      </c>
      <c r="I291" s="2" t="s">
        <v>6</v>
      </c>
      <c r="J291" s="2" t="s">
        <v>29</v>
      </c>
      <c r="K291" s="2" t="s">
        <v>833</v>
      </c>
      <c r="L291" s="2" t="s">
        <v>28</v>
      </c>
      <c r="M291" s="2">
        <v>8</v>
      </c>
      <c r="N291" s="2" t="s">
        <v>9</v>
      </c>
      <c r="T291" s="2" t="s">
        <v>16964</v>
      </c>
    </row>
    <row r="292" spans="1:25" hidden="1">
      <c r="A292" s="3" t="s">
        <v>3124</v>
      </c>
      <c r="B292" s="2">
        <v>999</v>
      </c>
      <c r="D292" s="66" t="str">
        <f>VLOOKUP("*"&amp;A292&amp;"*",[2]Sheet1!$G$2:$X$1155,18,FALSE)</f>
        <v>ERR10549949</v>
      </c>
      <c r="E292" s="2">
        <v>2010</v>
      </c>
      <c r="F292" s="2" t="s">
        <v>2360</v>
      </c>
      <c r="G292" s="2" t="s">
        <v>5</v>
      </c>
      <c r="I292" s="2" t="s">
        <v>6</v>
      </c>
      <c r="J292" s="2" t="s">
        <v>29</v>
      </c>
      <c r="K292" s="2" t="s">
        <v>834</v>
      </c>
      <c r="L292" s="2" t="s">
        <v>28</v>
      </c>
      <c r="M292" s="2">
        <v>8</v>
      </c>
      <c r="N292" s="2" t="s">
        <v>9</v>
      </c>
      <c r="T292" s="2" t="s">
        <v>16964</v>
      </c>
    </row>
    <row r="293" spans="1:25" hidden="1">
      <c r="A293" s="3" t="s">
        <v>2986</v>
      </c>
      <c r="B293" s="2">
        <v>1000</v>
      </c>
      <c r="D293" s="66" t="str">
        <f>VLOOKUP("*"&amp;A293&amp;"*",[2]Sheet1!$G$2:$X$1155,18,FALSE)</f>
        <v>ERR10549963</v>
      </c>
      <c r="E293" s="2">
        <v>2012</v>
      </c>
      <c r="F293" s="2" t="s">
        <v>2360</v>
      </c>
      <c r="G293" s="2" t="s">
        <v>5</v>
      </c>
      <c r="I293" s="2" t="s">
        <v>6</v>
      </c>
      <c r="J293" s="2" t="s">
        <v>115</v>
      </c>
      <c r="K293" s="2" t="s">
        <v>831</v>
      </c>
      <c r="L293" s="2" t="s">
        <v>114</v>
      </c>
      <c r="M293" s="2">
        <v>21</v>
      </c>
      <c r="N293" s="2" t="s">
        <v>9</v>
      </c>
      <c r="T293" s="2" t="s">
        <v>16964</v>
      </c>
    </row>
    <row r="294" spans="1:25" hidden="1">
      <c r="A294" s="3" t="s">
        <v>2987</v>
      </c>
      <c r="B294" s="2">
        <v>1001</v>
      </c>
      <c r="D294" s="66" t="str">
        <f>VLOOKUP("*"&amp;A294&amp;"*",[2]Sheet1!$G$2:$X$1155,18,FALSE)</f>
        <v>ERR10549959</v>
      </c>
      <c r="E294" s="2">
        <v>2012</v>
      </c>
      <c r="F294" s="2" t="s">
        <v>2360</v>
      </c>
      <c r="G294" s="2" t="s">
        <v>5</v>
      </c>
      <c r="I294" s="2" t="s">
        <v>6</v>
      </c>
      <c r="J294" s="2" t="s">
        <v>115</v>
      </c>
      <c r="K294" s="2" t="s">
        <v>831</v>
      </c>
      <c r="L294" s="2" t="s">
        <v>114</v>
      </c>
      <c r="M294" s="2">
        <v>21</v>
      </c>
      <c r="N294" s="2" t="s">
        <v>9</v>
      </c>
      <c r="T294" s="2" t="s">
        <v>16964</v>
      </c>
    </row>
    <row r="295" spans="1:25" hidden="1">
      <c r="A295" s="3" t="s">
        <v>2959</v>
      </c>
      <c r="B295" s="2">
        <v>1002</v>
      </c>
      <c r="D295" s="66" t="str">
        <f>VLOOKUP("*"&amp;A295&amp;"*",[2]Sheet1!$G$2:$X$1155,18,FALSE)</f>
        <v>ERR10549978</v>
      </c>
      <c r="E295" s="2">
        <v>2012</v>
      </c>
      <c r="F295" s="2" t="s">
        <v>2360</v>
      </c>
      <c r="G295" s="2" t="s">
        <v>5</v>
      </c>
      <c r="I295" s="2" t="s">
        <v>6</v>
      </c>
      <c r="J295" s="2" t="s">
        <v>8</v>
      </c>
      <c r="K295" s="2" t="s">
        <v>33</v>
      </c>
      <c r="L295" s="2" t="s">
        <v>7</v>
      </c>
      <c r="M295" s="2">
        <v>121</v>
      </c>
      <c r="N295" s="2" t="s">
        <v>9</v>
      </c>
      <c r="T295" s="2" t="s">
        <v>16963</v>
      </c>
      <c r="X295" s="67" t="s">
        <v>4722</v>
      </c>
    </row>
    <row r="296" spans="1:25" hidden="1">
      <c r="A296" s="3" t="s">
        <v>3785</v>
      </c>
      <c r="B296" s="2" t="s">
        <v>2231</v>
      </c>
      <c r="D296" s="66" t="str">
        <f>VLOOKUP("*"&amp;A296&amp;"*",[2]Sheet1!$G$2:$X$1155,18,FALSE)</f>
        <v>ERR10549535</v>
      </c>
      <c r="E296" s="2">
        <v>1986</v>
      </c>
      <c r="F296" s="2" t="s">
        <v>2360</v>
      </c>
      <c r="G296" s="2" t="s">
        <v>5</v>
      </c>
      <c r="I296" s="2" t="s">
        <v>10</v>
      </c>
      <c r="J296" s="2" t="s">
        <v>129</v>
      </c>
      <c r="K296" s="2" t="s">
        <v>138</v>
      </c>
      <c r="L296" s="2" t="s">
        <v>128</v>
      </c>
      <c r="M296" s="2">
        <v>328</v>
      </c>
      <c r="N296" s="2" t="s">
        <v>18</v>
      </c>
      <c r="T296" s="2" t="s">
        <v>16963</v>
      </c>
      <c r="Y296" s="2" t="s">
        <v>2627</v>
      </c>
    </row>
    <row r="297" spans="1:25" hidden="1">
      <c r="A297" s="3" t="s">
        <v>3133</v>
      </c>
      <c r="B297" s="2">
        <v>1425</v>
      </c>
      <c r="D297" s="66" t="str">
        <f>VLOOKUP("*"&amp;A297&amp;"*",[2]Sheet1!$G$2:$X$1155,18,FALSE)</f>
        <v>ERR10549970</v>
      </c>
      <c r="E297" s="2">
        <v>2016</v>
      </c>
      <c r="F297" s="2" t="s">
        <v>2360</v>
      </c>
      <c r="G297" s="2" t="s">
        <v>5</v>
      </c>
      <c r="I297" s="2" t="s">
        <v>6</v>
      </c>
      <c r="J297" s="2" t="s">
        <v>8</v>
      </c>
      <c r="K297" s="2" t="s">
        <v>835</v>
      </c>
      <c r="L297" s="2" t="s">
        <v>7</v>
      </c>
      <c r="M297" s="2">
        <v>236</v>
      </c>
      <c r="N297" s="2" t="s">
        <v>9</v>
      </c>
      <c r="T297" s="2" t="s">
        <v>16963</v>
      </c>
      <c r="X297" s="67" t="s">
        <v>4722</v>
      </c>
    </row>
    <row r="298" spans="1:25" hidden="1">
      <c r="A298" s="3" t="s">
        <v>4202</v>
      </c>
      <c r="B298" s="2">
        <v>1427</v>
      </c>
      <c r="D298" s="66" t="str">
        <f>VLOOKUP("*"&amp;A298&amp;"*",[2]Sheet1!$G$2:$X$1155,18,FALSE)</f>
        <v>ERR10549981</v>
      </c>
      <c r="E298" s="2">
        <v>2016</v>
      </c>
      <c r="F298" s="2" t="s">
        <v>2360</v>
      </c>
      <c r="G298" s="2" t="s">
        <v>27</v>
      </c>
      <c r="I298" s="2" t="s">
        <v>10</v>
      </c>
      <c r="J298" s="2" t="s">
        <v>12</v>
      </c>
      <c r="K298" s="2" t="s">
        <v>836</v>
      </c>
      <c r="L298" s="2" t="s">
        <v>11</v>
      </c>
      <c r="M298" s="2">
        <v>3</v>
      </c>
      <c r="N298" s="2" t="s">
        <v>14</v>
      </c>
      <c r="T298" s="2" t="s">
        <v>16964</v>
      </c>
    </row>
    <row r="299" spans="1:25" hidden="1">
      <c r="A299" s="3" t="s">
        <v>3478</v>
      </c>
      <c r="B299" s="2">
        <v>1429</v>
      </c>
      <c r="D299" s="66" t="str">
        <f>VLOOKUP("*"&amp;A299&amp;"*",[2]Sheet1!$G$2:$X$1155,18,FALSE)</f>
        <v>ERR10549996</v>
      </c>
      <c r="E299" s="2">
        <v>2016</v>
      </c>
      <c r="F299" s="2" t="s">
        <v>2360</v>
      </c>
      <c r="G299" s="2" t="s">
        <v>5</v>
      </c>
      <c r="I299" s="2" t="s">
        <v>6</v>
      </c>
      <c r="J299" s="2" t="s">
        <v>29</v>
      </c>
      <c r="K299" s="2" t="s">
        <v>66</v>
      </c>
      <c r="L299" s="2" t="s">
        <v>28</v>
      </c>
      <c r="M299" s="2">
        <v>8</v>
      </c>
      <c r="N299" s="2" t="s">
        <v>9</v>
      </c>
      <c r="T299" s="2" t="s">
        <v>16964</v>
      </c>
    </row>
    <row r="300" spans="1:25" hidden="1">
      <c r="A300" s="3" t="s">
        <v>4357</v>
      </c>
      <c r="B300" s="2" t="s">
        <v>2230</v>
      </c>
      <c r="D300" s="66" t="str">
        <f>VLOOKUP("*"&amp;A300&amp;"*",[2]Sheet1!$G$2:$X$1155,18,FALSE)</f>
        <v>ERR10549534</v>
      </c>
      <c r="E300" s="2">
        <v>1924</v>
      </c>
      <c r="F300" s="2" t="s">
        <v>2360</v>
      </c>
      <c r="G300" s="2" t="s">
        <v>318</v>
      </c>
      <c r="I300" s="2" t="s">
        <v>6</v>
      </c>
      <c r="J300" s="2" t="s">
        <v>102</v>
      </c>
      <c r="K300" s="2" t="s">
        <v>679</v>
      </c>
      <c r="L300" s="2" t="s">
        <v>101</v>
      </c>
      <c r="M300" s="2">
        <v>107</v>
      </c>
      <c r="N300" s="2" t="s">
        <v>9</v>
      </c>
      <c r="T300" s="2" t="s">
        <v>16964</v>
      </c>
    </row>
    <row r="301" spans="1:25" hidden="1">
      <c r="A301" s="3" t="s">
        <v>3295</v>
      </c>
      <c r="B301" s="2">
        <v>1433</v>
      </c>
      <c r="D301" s="66" t="str">
        <f>VLOOKUP("*"&amp;A301&amp;"*",[2]Sheet1!$G$2:$X$1155,18,FALSE)</f>
        <v>ERR10550008</v>
      </c>
      <c r="E301" s="2">
        <v>2016</v>
      </c>
      <c r="F301" s="2" t="s">
        <v>2360</v>
      </c>
      <c r="G301" s="2" t="s">
        <v>27</v>
      </c>
      <c r="I301" s="2" t="s">
        <v>6</v>
      </c>
      <c r="J301" s="2" t="s">
        <v>20</v>
      </c>
      <c r="K301" s="2" t="s">
        <v>694</v>
      </c>
      <c r="L301" s="2" t="s">
        <v>19</v>
      </c>
      <c r="M301" s="2">
        <v>122</v>
      </c>
      <c r="N301" s="2" t="s">
        <v>21</v>
      </c>
      <c r="T301" s="2" t="s">
        <v>16964</v>
      </c>
    </row>
    <row r="302" spans="1:25" hidden="1">
      <c r="A302" s="3" t="s">
        <v>3130</v>
      </c>
      <c r="B302" s="2">
        <v>1748</v>
      </c>
      <c r="D302" s="66" t="str">
        <f>VLOOKUP("*"&amp;A302&amp;"*",[2]Sheet1!$G$2:$X$1155,18,FALSE)</f>
        <v>ERR10549987</v>
      </c>
      <c r="E302" s="2">
        <v>2016</v>
      </c>
      <c r="F302" s="2" t="s">
        <v>2360</v>
      </c>
      <c r="G302" s="2" t="s">
        <v>5</v>
      </c>
      <c r="I302" s="2" t="s">
        <v>6</v>
      </c>
      <c r="J302" s="2" t="s">
        <v>8</v>
      </c>
      <c r="K302" s="2" t="s">
        <v>835</v>
      </c>
      <c r="L302" s="2" t="s">
        <v>7</v>
      </c>
      <c r="M302" s="2">
        <v>236</v>
      </c>
      <c r="N302" s="2" t="s">
        <v>9</v>
      </c>
      <c r="T302" s="2" t="s">
        <v>16963</v>
      </c>
      <c r="X302" s="67" t="s">
        <v>4722</v>
      </c>
    </row>
    <row r="303" spans="1:25" hidden="1">
      <c r="A303" s="3" t="s">
        <v>3257</v>
      </c>
      <c r="B303" s="2">
        <v>2087</v>
      </c>
      <c r="D303" s="66" t="str">
        <f>VLOOKUP("*"&amp;A303&amp;"*",[2]Sheet1!$G$2:$X$1155,18,FALSE)</f>
        <v>ERR10550009</v>
      </c>
      <c r="E303" s="2">
        <v>2017</v>
      </c>
      <c r="F303" s="2" t="s">
        <v>2360</v>
      </c>
      <c r="G303" s="2" t="s">
        <v>5</v>
      </c>
      <c r="I303" s="2" t="s">
        <v>6</v>
      </c>
      <c r="J303" s="2" t="s">
        <v>8</v>
      </c>
      <c r="K303" s="2" t="s">
        <v>835</v>
      </c>
      <c r="L303" s="2" t="s">
        <v>7</v>
      </c>
      <c r="M303" s="2">
        <v>236</v>
      </c>
      <c r="N303" s="2" t="s">
        <v>9</v>
      </c>
      <c r="T303" s="2" t="s">
        <v>16963</v>
      </c>
      <c r="X303" s="67" t="s">
        <v>4722</v>
      </c>
    </row>
    <row r="304" spans="1:25" hidden="1">
      <c r="A304" s="3" t="s">
        <v>3160</v>
      </c>
      <c r="B304" s="2">
        <v>6220</v>
      </c>
      <c r="D304" s="66" t="str">
        <f>VLOOKUP("*"&amp;A304&amp;"*",[2]Sheet1!$G$2:$X$1155,18,FALSE)</f>
        <v>ERR10550002</v>
      </c>
      <c r="E304" s="2">
        <v>2011</v>
      </c>
      <c r="F304" s="2" t="s">
        <v>2360</v>
      </c>
      <c r="G304" s="2" t="s">
        <v>318</v>
      </c>
      <c r="H304" s="2" t="s">
        <v>2689</v>
      </c>
      <c r="I304" s="2" t="s">
        <v>6</v>
      </c>
      <c r="J304" s="2" t="s">
        <v>115</v>
      </c>
      <c r="K304" s="2" t="s">
        <v>837</v>
      </c>
      <c r="L304" s="2" t="s">
        <v>114</v>
      </c>
      <c r="M304" s="2">
        <v>21</v>
      </c>
      <c r="N304" s="2" t="s">
        <v>9</v>
      </c>
      <c r="T304" s="2" t="s">
        <v>16964</v>
      </c>
    </row>
    <row r="305" spans="1:24" hidden="1">
      <c r="A305" s="3" t="s">
        <v>4448</v>
      </c>
      <c r="B305" s="2">
        <v>6225</v>
      </c>
      <c r="D305" s="66" t="str">
        <f>VLOOKUP("*"&amp;A305&amp;"*",[2]Sheet1!$G$2:$X$1155,18,FALSE)</f>
        <v>ERR10549953</v>
      </c>
      <c r="E305" s="2">
        <v>2011</v>
      </c>
      <c r="F305" s="2" t="s">
        <v>2360</v>
      </c>
      <c r="G305" s="2" t="s">
        <v>318</v>
      </c>
      <c r="I305" s="2" t="s">
        <v>338</v>
      </c>
      <c r="J305" s="2" t="s">
        <v>839</v>
      </c>
      <c r="K305" s="2" t="s">
        <v>840</v>
      </c>
      <c r="L305" s="2" t="s">
        <v>838</v>
      </c>
      <c r="M305" s="2">
        <v>70</v>
      </c>
      <c r="N305" s="2" t="s">
        <v>152</v>
      </c>
      <c r="T305" s="2" t="s">
        <v>16964</v>
      </c>
    </row>
    <row r="306" spans="1:24" hidden="1">
      <c r="A306" s="3" t="s">
        <v>4258</v>
      </c>
      <c r="B306" s="2">
        <v>6232</v>
      </c>
      <c r="D306" s="66" t="str">
        <f>VLOOKUP("*"&amp;A306&amp;"*",[2]Sheet1!$G$2:$X$1155,18,FALSE)</f>
        <v>ERR10549952</v>
      </c>
      <c r="E306" s="2">
        <v>2011</v>
      </c>
      <c r="F306" s="2" t="s">
        <v>2360</v>
      </c>
      <c r="G306" s="2" t="s">
        <v>318</v>
      </c>
      <c r="I306" s="2" t="s">
        <v>6</v>
      </c>
      <c r="J306" s="2" t="s">
        <v>402</v>
      </c>
      <c r="K306" s="2" t="s">
        <v>841</v>
      </c>
      <c r="L306" s="2" t="s">
        <v>401</v>
      </c>
      <c r="M306" s="2">
        <v>18</v>
      </c>
      <c r="N306" s="2" t="s">
        <v>9</v>
      </c>
      <c r="T306" s="2" t="s">
        <v>16964</v>
      </c>
    </row>
    <row r="307" spans="1:24" hidden="1">
      <c r="A307" s="3" t="s">
        <v>4449</v>
      </c>
      <c r="B307" s="2">
        <v>6234</v>
      </c>
      <c r="D307" s="66" t="str">
        <f>VLOOKUP("*"&amp;A307&amp;"*",[2]Sheet1!$G$2:$X$1155,18,FALSE)</f>
        <v>ERR10549954</v>
      </c>
      <c r="E307" s="2">
        <v>2011</v>
      </c>
      <c r="F307" s="2" t="s">
        <v>2360</v>
      </c>
      <c r="G307" s="2" t="s">
        <v>318</v>
      </c>
      <c r="I307" s="2" t="s">
        <v>338</v>
      </c>
      <c r="J307" s="2" t="s">
        <v>839</v>
      </c>
      <c r="K307" s="2" t="s">
        <v>840</v>
      </c>
      <c r="L307" s="2" t="s">
        <v>838</v>
      </c>
      <c r="M307" s="2">
        <v>70</v>
      </c>
      <c r="N307" s="2" t="s">
        <v>152</v>
      </c>
      <c r="T307" s="2" t="s">
        <v>16964</v>
      </c>
    </row>
    <row r="308" spans="1:24" hidden="1">
      <c r="A308" s="3" t="s">
        <v>3159</v>
      </c>
      <c r="B308" s="2">
        <v>6235</v>
      </c>
      <c r="D308" s="66" t="str">
        <f>VLOOKUP("*"&amp;A308&amp;"*",[2]Sheet1!$G$2:$X$1155,18,FALSE)</f>
        <v>ERR10549961</v>
      </c>
      <c r="E308" s="2">
        <v>2012</v>
      </c>
      <c r="F308" s="2" t="s">
        <v>2360</v>
      </c>
      <c r="G308" s="2" t="s">
        <v>318</v>
      </c>
      <c r="I308" s="2" t="s">
        <v>6</v>
      </c>
      <c r="J308" s="2" t="s">
        <v>115</v>
      </c>
      <c r="K308" s="2" t="s">
        <v>837</v>
      </c>
      <c r="L308" s="2" t="s">
        <v>114</v>
      </c>
      <c r="M308" s="2">
        <v>21</v>
      </c>
      <c r="N308" s="2" t="s">
        <v>9</v>
      </c>
      <c r="T308" s="2" t="s">
        <v>16964</v>
      </c>
    </row>
    <row r="309" spans="1:24" hidden="1">
      <c r="A309" s="3" t="s">
        <v>3709</v>
      </c>
      <c r="B309" s="2">
        <v>6255</v>
      </c>
      <c r="D309" s="66" t="str">
        <f>VLOOKUP("*"&amp;A309&amp;"*",[2]Sheet1!$G$2:$X$1155,18,FALSE)</f>
        <v>ERR10549965</v>
      </c>
      <c r="E309" s="2">
        <v>2012</v>
      </c>
      <c r="F309" s="2" t="s">
        <v>2360</v>
      </c>
      <c r="G309" s="2" t="s">
        <v>318</v>
      </c>
      <c r="I309" s="2" t="s">
        <v>10</v>
      </c>
      <c r="J309" s="2" t="s">
        <v>31</v>
      </c>
      <c r="K309" s="2" t="s">
        <v>842</v>
      </c>
      <c r="L309" s="2" t="s">
        <v>30</v>
      </c>
      <c r="M309" s="2">
        <v>59</v>
      </c>
      <c r="N309" s="2" t="s">
        <v>14</v>
      </c>
      <c r="T309" s="2" t="s">
        <v>16964</v>
      </c>
    </row>
    <row r="310" spans="1:24" hidden="1">
      <c r="A310" s="3" t="s">
        <v>4031</v>
      </c>
      <c r="B310" s="2">
        <v>6263</v>
      </c>
      <c r="D310" s="66" t="str">
        <f>VLOOKUP("*"&amp;A310&amp;"*",[2]Sheet1!$G$2:$X$1155,18,FALSE)</f>
        <v>ERR10549995</v>
      </c>
      <c r="E310" s="2">
        <v>2012</v>
      </c>
      <c r="F310" s="2" t="s">
        <v>2360</v>
      </c>
      <c r="G310" s="2" t="s">
        <v>318</v>
      </c>
      <c r="I310" s="2" t="s">
        <v>10</v>
      </c>
      <c r="J310" s="2" t="s">
        <v>844</v>
      </c>
      <c r="K310" s="2" t="s">
        <v>845</v>
      </c>
      <c r="L310" s="2" t="s">
        <v>843</v>
      </c>
      <c r="M310" s="2">
        <v>220</v>
      </c>
      <c r="N310" s="2" t="s">
        <v>18</v>
      </c>
      <c r="T310" s="2" t="s">
        <v>16964</v>
      </c>
    </row>
    <row r="311" spans="1:24" hidden="1">
      <c r="A311" s="3" t="s">
        <v>3544</v>
      </c>
      <c r="B311" s="2">
        <v>6269</v>
      </c>
      <c r="D311" s="66" t="str">
        <f>VLOOKUP("*"&amp;A311&amp;"*",[2]Sheet1!$G$2:$X$1155,18,FALSE)</f>
        <v>ERR10549938</v>
      </c>
      <c r="E311" s="2">
        <v>2012</v>
      </c>
      <c r="F311" s="2" t="s">
        <v>2360</v>
      </c>
      <c r="G311" s="2" t="s">
        <v>318</v>
      </c>
      <c r="I311" s="2" t="s">
        <v>6</v>
      </c>
      <c r="J311" s="2" t="s">
        <v>8</v>
      </c>
      <c r="K311" s="2" t="s">
        <v>702</v>
      </c>
      <c r="L311" s="2" t="s">
        <v>7</v>
      </c>
      <c r="M311" s="2">
        <v>121</v>
      </c>
      <c r="N311" s="2" t="s">
        <v>9</v>
      </c>
      <c r="T311" s="2" t="s">
        <v>16963</v>
      </c>
      <c r="X311" s="67" t="s">
        <v>4725</v>
      </c>
    </row>
    <row r="312" spans="1:24" hidden="1">
      <c r="A312" s="3" t="s">
        <v>3068</v>
      </c>
      <c r="B312" s="2">
        <v>6272</v>
      </c>
      <c r="D312" s="66" t="str">
        <f>VLOOKUP("*"&amp;A312&amp;"*",[2]Sheet1!$G$2:$X$1155,18,FALSE)</f>
        <v>ERR10549936</v>
      </c>
      <c r="E312" s="2">
        <v>2012</v>
      </c>
      <c r="F312" s="2" t="s">
        <v>2360</v>
      </c>
      <c r="G312" s="2" t="s">
        <v>318</v>
      </c>
      <c r="I312" s="2" t="s">
        <v>6</v>
      </c>
      <c r="J312" s="2" t="s">
        <v>115</v>
      </c>
      <c r="K312" s="2" t="s">
        <v>846</v>
      </c>
      <c r="L312" s="2" t="s">
        <v>114</v>
      </c>
      <c r="M312" s="2">
        <v>21</v>
      </c>
      <c r="N312" s="2" t="s">
        <v>9</v>
      </c>
      <c r="T312" s="2" t="s">
        <v>16964</v>
      </c>
    </row>
    <row r="313" spans="1:24" hidden="1">
      <c r="A313" s="3" t="s">
        <v>3599</v>
      </c>
      <c r="B313" s="2">
        <v>6275</v>
      </c>
      <c r="D313" s="66" t="str">
        <f>VLOOKUP("*"&amp;A313&amp;"*",[2]Sheet1!$G$2:$X$1155,18,FALSE)</f>
        <v>ERR10550006</v>
      </c>
      <c r="E313" s="2">
        <v>2012</v>
      </c>
      <c r="F313" s="2" t="s">
        <v>2360</v>
      </c>
      <c r="G313" s="2" t="s">
        <v>318</v>
      </c>
      <c r="I313" s="2" t="s">
        <v>10</v>
      </c>
      <c r="J313" s="2" t="s">
        <v>847</v>
      </c>
      <c r="K313" s="2" t="s">
        <v>848</v>
      </c>
      <c r="L313" s="2" t="s">
        <v>128</v>
      </c>
      <c r="M313" s="2">
        <v>404</v>
      </c>
      <c r="N313" s="2" t="s">
        <v>18</v>
      </c>
      <c r="T313" s="2" t="s">
        <v>16964</v>
      </c>
    </row>
    <row r="314" spans="1:24" hidden="1">
      <c r="A314" s="3" t="s">
        <v>3530</v>
      </c>
      <c r="B314" s="2">
        <v>6287</v>
      </c>
      <c r="D314" s="66" t="str">
        <f>VLOOKUP("*"&amp;A314&amp;"*",[2]Sheet1!$G$2:$X$1155,18,FALSE)</f>
        <v>ERR10549922</v>
      </c>
      <c r="E314" s="2">
        <v>2010</v>
      </c>
      <c r="F314" s="2" t="s">
        <v>2360</v>
      </c>
      <c r="G314" s="2" t="s">
        <v>318</v>
      </c>
      <c r="I314" s="2" t="s">
        <v>6</v>
      </c>
      <c r="J314" s="2" t="s">
        <v>40</v>
      </c>
      <c r="K314" s="2" t="s">
        <v>849</v>
      </c>
      <c r="L314" s="2" t="s">
        <v>39</v>
      </c>
      <c r="M314" s="2">
        <v>37</v>
      </c>
      <c r="N314" s="2" t="s">
        <v>9</v>
      </c>
      <c r="T314" s="2" t="s">
        <v>16964</v>
      </c>
    </row>
    <row r="315" spans="1:24" hidden="1">
      <c r="A315" s="3" t="s">
        <v>3197</v>
      </c>
      <c r="B315" s="2">
        <v>6288</v>
      </c>
      <c r="D315" s="66" t="str">
        <f>VLOOKUP("*"&amp;A315&amp;"*",[2]Sheet1!$G$2:$X$1155,18,FALSE)</f>
        <v>ERR10549942</v>
      </c>
      <c r="E315" s="2">
        <v>2010</v>
      </c>
      <c r="F315" s="2" t="s">
        <v>2360</v>
      </c>
      <c r="G315" s="2" t="s">
        <v>318</v>
      </c>
      <c r="I315" s="2" t="s">
        <v>6</v>
      </c>
      <c r="J315" s="2" t="s">
        <v>40</v>
      </c>
      <c r="K315" s="2" t="s">
        <v>849</v>
      </c>
      <c r="L315" s="2" t="s">
        <v>39</v>
      </c>
      <c r="M315" s="2">
        <v>37</v>
      </c>
      <c r="N315" s="2" t="s">
        <v>9</v>
      </c>
      <c r="T315" s="2" t="s">
        <v>16964</v>
      </c>
    </row>
    <row r="316" spans="1:24" hidden="1">
      <c r="A316" s="3" t="s">
        <v>3195</v>
      </c>
      <c r="B316" s="2">
        <v>6289</v>
      </c>
      <c r="D316" s="66" t="str">
        <f>VLOOKUP("*"&amp;A316&amp;"*",[2]Sheet1!$G$2:$X$1155,18,FALSE)</f>
        <v>ERR10549946</v>
      </c>
      <c r="E316" s="2">
        <v>2010</v>
      </c>
      <c r="F316" s="2" t="s">
        <v>2360</v>
      </c>
      <c r="G316" s="2" t="s">
        <v>318</v>
      </c>
      <c r="I316" s="2" t="s">
        <v>6</v>
      </c>
      <c r="J316" s="2" t="s">
        <v>40</v>
      </c>
      <c r="K316" s="2" t="s">
        <v>849</v>
      </c>
      <c r="L316" s="2" t="s">
        <v>39</v>
      </c>
      <c r="M316" s="2">
        <v>37</v>
      </c>
      <c r="N316" s="2" t="s">
        <v>9</v>
      </c>
      <c r="T316" s="2" t="s">
        <v>16964</v>
      </c>
    </row>
    <row r="317" spans="1:24" hidden="1">
      <c r="A317" s="3" t="s">
        <v>3198</v>
      </c>
      <c r="B317" s="2">
        <v>6290</v>
      </c>
      <c r="D317" s="66" t="str">
        <f>VLOOKUP("*"&amp;A317&amp;"*",[2]Sheet1!$G$2:$X$1155,18,FALSE)</f>
        <v>ERR10549950</v>
      </c>
      <c r="E317" s="2">
        <v>2010</v>
      </c>
      <c r="F317" s="2" t="s">
        <v>2360</v>
      </c>
      <c r="G317" s="2" t="s">
        <v>318</v>
      </c>
      <c r="I317" s="2" t="s">
        <v>6</v>
      </c>
      <c r="J317" s="2" t="s">
        <v>40</v>
      </c>
      <c r="K317" s="2" t="s">
        <v>849</v>
      </c>
      <c r="L317" s="2" t="s">
        <v>39</v>
      </c>
      <c r="M317" s="2">
        <v>37</v>
      </c>
      <c r="N317" s="2" t="s">
        <v>9</v>
      </c>
      <c r="T317" s="2" t="s">
        <v>16964</v>
      </c>
    </row>
    <row r="318" spans="1:24" hidden="1">
      <c r="A318" s="3" t="s">
        <v>3199</v>
      </c>
      <c r="B318" s="2">
        <v>6303</v>
      </c>
      <c r="D318" s="66" t="str">
        <f>VLOOKUP("*"&amp;A318&amp;"*",[2]Sheet1!$G$2:$X$1155,18,FALSE)</f>
        <v>ERR10549958</v>
      </c>
      <c r="E318" s="2">
        <v>2010</v>
      </c>
      <c r="F318" s="2" t="s">
        <v>2360</v>
      </c>
      <c r="G318" s="2" t="s">
        <v>318</v>
      </c>
      <c r="I318" s="2" t="s">
        <v>6</v>
      </c>
      <c r="J318" s="2" t="s">
        <v>40</v>
      </c>
      <c r="K318" s="2" t="s">
        <v>849</v>
      </c>
      <c r="L318" s="2" t="s">
        <v>39</v>
      </c>
      <c r="M318" s="2">
        <v>37</v>
      </c>
      <c r="N318" s="2" t="s">
        <v>9</v>
      </c>
      <c r="T318" s="2" t="s">
        <v>16964</v>
      </c>
    </row>
    <row r="319" spans="1:24" hidden="1">
      <c r="A319" s="3" t="s">
        <v>3194</v>
      </c>
      <c r="B319" s="2">
        <v>6304</v>
      </c>
      <c r="D319" s="66" t="str">
        <f>VLOOKUP("*"&amp;A319&amp;"*",[2]Sheet1!$G$2:$X$1155,18,FALSE)</f>
        <v>ERR10549940</v>
      </c>
      <c r="E319" s="2">
        <v>2010</v>
      </c>
      <c r="F319" s="2" t="s">
        <v>2360</v>
      </c>
      <c r="G319" s="2" t="s">
        <v>318</v>
      </c>
      <c r="I319" s="2" t="s">
        <v>6</v>
      </c>
      <c r="J319" s="2" t="s">
        <v>40</v>
      </c>
      <c r="K319" s="2" t="s">
        <v>849</v>
      </c>
      <c r="L319" s="2" t="s">
        <v>39</v>
      </c>
      <c r="M319" s="2">
        <v>37</v>
      </c>
      <c r="N319" s="2" t="s">
        <v>9</v>
      </c>
      <c r="T319" s="2" t="s">
        <v>16964</v>
      </c>
    </row>
    <row r="320" spans="1:24" hidden="1">
      <c r="A320" s="3" t="s">
        <v>2819</v>
      </c>
      <c r="B320" s="2">
        <v>6319</v>
      </c>
      <c r="D320" s="66" t="str">
        <f>VLOOKUP("*"&amp;A320&amp;"*",[2]Sheet1!$G$2:$X$1155,18,FALSE)</f>
        <v>ERR10549955</v>
      </c>
      <c r="E320" s="2">
        <v>2011</v>
      </c>
      <c r="F320" s="2" t="s">
        <v>2360</v>
      </c>
      <c r="G320" s="2" t="s">
        <v>318</v>
      </c>
      <c r="I320" s="2" t="s">
        <v>6</v>
      </c>
      <c r="J320" s="2" t="s">
        <v>24</v>
      </c>
      <c r="K320" s="2" t="s">
        <v>850</v>
      </c>
      <c r="L320" s="2" t="s">
        <v>23</v>
      </c>
      <c r="M320" s="2">
        <v>14</v>
      </c>
      <c r="N320" s="2" t="s">
        <v>9</v>
      </c>
      <c r="T320" s="2" t="s">
        <v>16964</v>
      </c>
    </row>
    <row r="321" spans="1:25" hidden="1">
      <c r="A321" s="3" t="s">
        <v>3498</v>
      </c>
      <c r="B321" s="2">
        <v>6322</v>
      </c>
      <c r="D321" s="66" t="str">
        <f>VLOOKUP("*"&amp;A321&amp;"*",[2]Sheet1!$G$2:$X$1155,18,FALSE)</f>
        <v>ERR10550001</v>
      </c>
      <c r="E321" s="2">
        <v>2011</v>
      </c>
      <c r="F321" s="2" t="s">
        <v>2360</v>
      </c>
      <c r="G321" s="2" t="s">
        <v>318</v>
      </c>
      <c r="I321" s="2" t="s">
        <v>6</v>
      </c>
      <c r="J321" s="2" t="s">
        <v>40</v>
      </c>
      <c r="K321" s="2" t="s">
        <v>851</v>
      </c>
      <c r="L321" s="2" t="s">
        <v>39</v>
      </c>
      <c r="M321" s="2">
        <v>37</v>
      </c>
      <c r="N321" s="2" t="s">
        <v>9</v>
      </c>
      <c r="T321" s="2" t="s">
        <v>16964</v>
      </c>
    </row>
    <row r="322" spans="1:25" hidden="1">
      <c r="A322" s="3" t="s">
        <v>3307</v>
      </c>
      <c r="B322" s="2">
        <v>8366</v>
      </c>
      <c r="D322" s="66" t="str">
        <f>VLOOKUP("*"&amp;A322&amp;"*",[2]Sheet1!$G$2:$X$1155,18,FALSE)</f>
        <v>ERR10549947</v>
      </c>
      <c r="E322" s="2">
        <v>2018</v>
      </c>
      <c r="F322" s="2" t="s">
        <v>2360</v>
      </c>
      <c r="G322" s="2" t="s">
        <v>318</v>
      </c>
      <c r="I322" s="2" t="s">
        <v>10</v>
      </c>
      <c r="J322" s="2" t="s">
        <v>17</v>
      </c>
      <c r="K322" s="2" t="s">
        <v>852</v>
      </c>
      <c r="L322" s="2" t="s">
        <v>16</v>
      </c>
      <c r="M322" s="2">
        <v>2</v>
      </c>
      <c r="N322" s="2" t="s">
        <v>18</v>
      </c>
      <c r="T322" s="2" t="s">
        <v>16964</v>
      </c>
    </row>
    <row r="323" spans="1:25" hidden="1">
      <c r="A323" s="3" t="s">
        <v>2952</v>
      </c>
      <c r="B323" s="2">
        <v>15502</v>
      </c>
      <c r="D323" s="66" t="str">
        <f>VLOOKUP("*"&amp;A323&amp;"*",[2]Sheet1!$G$2:$X$1155,18,FALSE)</f>
        <v>ERR10549957</v>
      </c>
      <c r="E323" s="2">
        <v>2010</v>
      </c>
      <c r="F323" s="2" t="s">
        <v>2360</v>
      </c>
      <c r="G323" s="2" t="s">
        <v>318</v>
      </c>
      <c r="I323" s="2" t="s">
        <v>6</v>
      </c>
      <c r="J323" s="2" t="s">
        <v>8</v>
      </c>
      <c r="K323" s="2" t="s">
        <v>90</v>
      </c>
      <c r="L323" s="2" t="s">
        <v>7</v>
      </c>
      <c r="M323" s="2">
        <v>121</v>
      </c>
      <c r="N323" s="2" t="s">
        <v>9</v>
      </c>
      <c r="T323" s="2" t="s">
        <v>16963</v>
      </c>
      <c r="X323" s="67" t="s">
        <v>4722</v>
      </c>
    </row>
    <row r="324" spans="1:25" hidden="1">
      <c r="A324" s="3" t="s">
        <v>3421</v>
      </c>
      <c r="B324" s="2">
        <v>1</v>
      </c>
      <c r="D324" s="66" t="str">
        <f>VLOOKUP("*"&amp;A324&amp;"*",[2]Sheet1!$G$2:$X$1155,18,FALSE)</f>
        <v>ERR10549900</v>
      </c>
      <c r="E324" s="2">
        <v>2018</v>
      </c>
      <c r="F324" s="2" t="s">
        <v>139</v>
      </c>
      <c r="G324" s="2" t="s">
        <v>43</v>
      </c>
      <c r="H324" s="2" t="s">
        <v>2435</v>
      </c>
      <c r="I324" s="2" t="s">
        <v>10</v>
      </c>
      <c r="J324" s="2" t="s">
        <v>12</v>
      </c>
      <c r="K324" s="2" t="s">
        <v>853</v>
      </c>
      <c r="L324" s="2" t="s">
        <v>11</v>
      </c>
      <c r="M324" s="2">
        <v>3</v>
      </c>
      <c r="N324" s="2" t="s">
        <v>14</v>
      </c>
      <c r="T324" s="2" t="s">
        <v>16964</v>
      </c>
    </row>
    <row r="325" spans="1:25" hidden="1">
      <c r="A325" s="11" t="s">
        <v>3317</v>
      </c>
      <c r="B325" s="13" t="s">
        <v>17360</v>
      </c>
      <c r="C325" s="13"/>
      <c r="D325" s="66" t="s">
        <v>17359</v>
      </c>
      <c r="E325" s="13">
        <v>2020</v>
      </c>
      <c r="F325" s="13" t="s">
        <v>139</v>
      </c>
      <c r="G325" s="13" t="s">
        <v>5</v>
      </c>
      <c r="H325" s="13" t="s">
        <v>2466</v>
      </c>
      <c r="I325" s="13" t="s">
        <v>6</v>
      </c>
      <c r="J325" s="13" t="s">
        <v>20</v>
      </c>
      <c r="K325" s="13" t="s">
        <v>854</v>
      </c>
      <c r="L325" s="13" t="s">
        <v>19</v>
      </c>
      <c r="M325" s="13">
        <v>9</v>
      </c>
      <c r="N325" s="13" t="s">
        <v>21</v>
      </c>
      <c r="O325" s="13"/>
      <c r="P325" s="13"/>
      <c r="Q325" s="13"/>
      <c r="R325" s="13"/>
      <c r="S325" s="13"/>
      <c r="T325" s="13" t="s">
        <v>16964</v>
      </c>
      <c r="U325" s="13"/>
      <c r="V325" s="13"/>
      <c r="W325" s="13"/>
      <c r="X325" s="13"/>
      <c r="Y325" s="13"/>
    </row>
    <row r="326" spans="1:25" hidden="1">
      <c r="A326" s="3" t="s">
        <v>3823</v>
      </c>
      <c r="B326" s="2">
        <v>3</v>
      </c>
      <c r="D326" s="66" t="str">
        <f>VLOOKUP("*"&amp;A326&amp;"*",[2]Sheet1!$G$2:$X$1155,18,FALSE)</f>
        <v>ERR10549926</v>
      </c>
      <c r="E326" s="2">
        <v>2020</v>
      </c>
      <c r="F326" s="2" t="s">
        <v>139</v>
      </c>
      <c r="G326" s="2" t="s">
        <v>43</v>
      </c>
      <c r="H326" s="2" t="s">
        <v>2435</v>
      </c>
      <c r="I326" s="2" t="s">
        <v>10</v>
      </c>
      <c r="J326" s="2" t="s">
        <v>12</v>
      </c>
      <c r="K326" s="2" t="s">
        <v>855</v>
      </c>
      <c r="L326" s="2" t="s">
        <v>11</v>
      </c>
      <c r="M326" s="2">
        <v>3</v>
      </c>
      <c r="N326" s="2" t="s">
        <v>14</v>
      </c>
      <c r="T326" s="2" t="s">
        <v>16964</v>
      </c>
    </row>
    <row r="327" spans="1:25" hidden="1">
      <c r="A327" s="3" t="s">
        <v>3301</v>
      </c>
      <c r="B327" s="2">
        <v>4</v>
      </c>
      <c r="D327" s="66" t="str">
        <f>VLOOKUP("*"&amp;A327&amp;"*",[2]Sheet1!$G$2:$X$1155,18,FALSE)</f>
        <v>ERR10549907</v>
      </c>
      <c r="E327" s="2">
        <v>2020</v>
      </c>
      <c r="F327" s="2" t="s">
        <v>139</v>
      </c>
      <c r="G327" s="2" t="s">
        <v>43</v>
      </c>
      <c r="H327" s="2" t="s">
        <v>2435</v>
      </c>
      <c r="I327" s="2" t="s">
        <v>10</v>
      </c>
      <c r="J327" s="2" t="s">
        <v>12</v>
      </c>
      <c r="K327" s="2" t="s">
        <v>853</v>
      </c>
      <c r="L327" s="2" t="s">
        <v>11</v>
      </c>
      <c r="M327" s="2">
        <v>3</v>
      </c>
      <c r="N327" s="2" t="s">
        <v>14</v>
      </c>
      <c r="T327" s="2" t="s">
        <v>16964</v>
      </c>
    </row>
    <row r="328" spans="1:25" hidden="1">
      <c r="A328" s="3" t="s">
        <v>3485</v>
      </c>
      <c r="B328" s="2">
        <v>5</v>
      </c>
      <c r="D328" s="66" t="str">
        <f>VLOOKUP("*"&amp;A328&amp;"*",[2]Sheet1!$G$2:$X$1155,18,FALSE)</f>
        <v>ERR10549973</v>
      </c>
      <c r="E328" s="2">
        <v>2020</v>
      </c>
      <c r="F328" s="2" t="s">
        <v>139</v>
      </c>
      <c r="G328" s="2" t="s">
        <v>43</v>
      </c>
      <c r="H328" s="2" t="s">
        <v>2435</v>
      </c>
      <c r="I328" s="2" t="s">
        <v>6</v>
      </c>
      <c r="J328" s="2" t="s">
        <v>29</v>
      </c>
      <c r="K328" s="2" t="s">
        <v>856</v>
      </c>
      <c r="L328" s="2" t="s">
        <v>28</v>
      </c>
      <c r="M328" s="2">
        <v>8</v>
      </c>
      <c r="N328" s="2" t="s">
        <v>9</v>
      </c>
      <c r="T328" s="2" t="s">
        <v>16964</v>
      </c>
    </row>
    <row r="329" spans="1:25" hidden="1">
      <c r="A329" s="3" t="s">
        <v>3236</v>
      </c>
      <c r="B329" s="2">
        <v>6</v>
      </c>
      <c r="D329" s="66" t="str">
        <f>VLOOKUP("*"&amp;A329&amp;"*",[2]Sheet1!$G$2:$X$1155,18,FALSE)</f>
        <v>ERR10549960</v>
      </c>
      <c r="E329" s="2">
        <v>2020</v>
      </c>
      <c r="F329" s="2" t="s">
        <v>139</v>
      </c>
      <c r="G329" s="2" t="s">
        <v>43</v>
      </c>
      <c r="H329" s="2" t="s">
        <v>2435</v>
      </c>
      <c r="I329" s="2" t="s">
        <v>10</v>
      </c>
      <c r="J329" s="2" t="s">
        <v>12</v>
      </c>
      <c r="K329" s="2" t="s">
        <v>857</v>
      </c>
      <c r="L329" s="2" t="s">
        <v>11</v>
      </c>
      <c r="M329" s="2">
        <v>3</v>
      </c>
      <c r="N329" s="2" t="s">
        <v>14</v>
      </c>
      <c r="T329" s="2" t="s">
        <v>16964</v>
      </c>
    </row>
    <row r="330" spans="1:25" hidden="1">
      <c r="A330" s="3" t="s">
        <v>3738</v>
      </c>
      <c r="B330" s="2">
        <v>7</v>
      </c>
      <c r="D330" s="66" t="str">
        <f>VLOOKUP("*"&amp;A330&amp;"*",[2]Sheet1!$G$2:$X$1155,18,FALSE)</f>
        <v>ERR10549937</v>
      </c>
      <c r="E330" s="2">
        <v>2020</v>
      </c>
      <c r="F330" s="2" t="s">
        <v>139</v>
      </c>
      <c r="G330" s="2" t="s">
        <v>5</v>
      </c>
      <c r="H330" s="2" t="s">
        <v>2436</v>
      </c>
      <c r="I330" s="2" t="s">
        <v>10</v>
      </c>
      <c r="J330" s="2" t="s">
        <v>17</v>
      </c>
      <c r="K330" s="2" t="s">
        <v>316</v>
      </c>
      <c r="L330" s="2" t="s">
        <v>16</v>
      </c>
      <c r="M330" s="2">
        <v>145</v>
      </c>
      <c r="N330" s="2" t="s">
        <v>18</v>
      </c>
      <c r="T330" s="2" t="s">
        <v>16964</v>
      </c>
    </row>
    <row r="331" spans="1:25" hidden="1">
      <c r="A331" s="3" t="s">
        <v>4111</v>
      </c>
      <c r="B331" s="2">
        <v>8</v>
      </c>
      <c r="D331" s="66" t="str">
        <f>VLOOKUP("*"&amp;A331&amp;"*",[2]Sheet1!$G$2:$X$1155,18,FALSE)</f>
        <v>ERR10549948</v>
      </c>
      <c r="E331" s="2">
        <v>2020</v>
      </c>
      <c r="F331" s="2" t="s">
        <v>139</v>
      </c>
      <c r="G331" s="2" t="s">
        <v>43</v>
      </c>
      <c r="H331" s="2" t="s">
        <v>2435</v>
      </c>
      <c r="I331" s="2" t="s">
        <v>6</v>
      </c>
      <c r="J331" s="2" t="s">
        <v>56</v>
      </c>
      <c r="K331" s="2" t="s">
        <v>858</v>
      </c>
      <c r="L331" s="2" t="s">
        <v>55</v>
      </c>
      <c r="M331" s="2">
        <v>451</v>
      </c>
      <c r="N331" s="2" t="s">
        <v>9</v>
      </c>
      <c r="T331" s="2" t="s">
        <v>16964</v>
      </c>
    </row>
    <row r="332" spans="1:25" hidden="1">
      <c r="A332" s="3" t="s">
        <v>2804</v>
      </c>
      <c r="B332" s="2">
        <v>9</v>
      </c>
      <c r="D332" s="66" t="str">
        <f>VLOOKUP("*"&amp;A332&amp;"*",[2]Sheet1!$G$2:$X$1155,18,FALSE)</f>
        <v>ERR10549883</v>
      </c>
      <c r="E332" s="2">
        <v>2018</v>
      </c>
      <c r="F332" s="2" t="s">
        <v>139</v>
      </c>
      <c r="G332" s="2" t="s">
        <v>5</v>
      </c>
      <c r="H332" s="2" t="s">
        <v>2437</v>
      </c>
      <c r="I332" s="2" t="s">
        <v>6</v>
      </c>
      <c r="J332" s="2" t="s">
        <v>415</v>
      </c>
      <c r="K332" s="2" t="s">
        <v>859</v>
      </c>
      <c r="L332" s="2" t="s">
        <v>414</v>
      </c>
      <c r="M332" s="2">
        <v>204</v>
      </c>
      <c r="N332" s="2" t="s">
        <v>9</v>
      </c>
      <c r="T332" s="2" t="s">
        <v>16963</v>
      </c>
      <c r="U332" s="67" t="s">
        <v>2627</v>
      </c>
    </row>
    <row r="333" spans="1:25" hidden="1">
      <c r="A333" s="3" t="s">
        <v>4184</v>
      </c>
      <c r="B333" s="2">
        <v>10</v>
      </c>
      <c r="D333" s="66" t="str">
        <f>VLOOKUP("*"&amp;A333&amp;"*",[2]Sheet1!$G$2:$X$1155,18,FALSE)</f>
        <v>ERR10549932</v>
      </c>
      <c r="E333" s="2">
        <v>2018</v>
      </c>
      <c r="F333" s="2" t="s">
        <v>139</v>
      </c>
      <c r="G333" s="2" t="s">
        <v>5</v>
      </c>
      <c r="H333" s="2" t="s">
        <v>2438</v>
      </c>
      <c r="I333" s="2" t="s">
        <v>10</v>
      </c>
      <c r="J333" s="2" t="s">
        <v>35</v>
      </c>
      <c r="K333" s="2" t="s">
        <v>860</v>
      </c>
      <c r="L333" s="2" t="s">
        <v>34</v>
      </c>
      <c r="M333" s="2">
        <v>5</v>
      </c>
      <c r="N333" s="2" t="s">
        <v>14</v>
      </c>
      <c r="T333" s="2" t="s">
        <v>16964</v>
      </c>
    </row>
    <row r="334" spans="1:25" hidden="1">
      <c r="A334" s="3" t="s">
        <v>3231</v>
      </c>
      <c r="B334" s="2">
        <v>11</v>
      </c>
      <c r="D334" s="66" t="str">
        <f>VLOOKUP("*"&amp;A334&amp;"*",[2]Sheet1!$G$2:$X$1155,18,FALSE)</f>
        <v>ERR10549967</v>
      </c>
      <c r="E334" s="2">
        <v>2020</v>
      </c>
      <c r="F334" s="2" t="s">
        <v>139</v>
      </c>
      <c r="G334" s="2" t="s">
        <v>5</v>
      </c>
      <c r="H334" s="2" t="s">
        <v>2439</v>
      </c>
      <c r="I334" s="2" t="s">
        <v>6</v>
      </c>
      <c r="J334" s="2" t="s">
        <v>29</v>
      </c>
      <c r="K334" s="2" t="s">
        <v>861</v>
      </c>
      <c r="L334" s="2" t="s">
        <v>28</v>
      </c>
      <c r="M334" s="2">
        <v>8</v>
      </c>
      <c r="N334" s="2" t="s">
        <v>9</v>
      </c>
      <c r="T334" s="2" t="s">
        <v>16964</v>
      </c>
    </row>
    <row r="335" spans="1:25" hidden="1">
      <c r="A335" s="3" t="s">
        <v>3304</v>
      </c>
      <c r="B335" s="2">
        <v>13</v>
      </c>
      <c r="D335" s="66" t="str">
        <f>VLOOKUP("*"&amp;A335&amp;"*",[2]Sheet1!$G$2:$X$1155,18,FALSE)</f>
        <v>ERR10549893</v>
      </c>
      <c r="E335" s="2">
        <v>2019</v>
      </c>
      <c r="F335" s="2" t="s">
        <v>139</v>
      </c>
      <c r="G335" s="2" t="s">
        <v>5</v>
      </c>
      <c r="H335" s="2" t="s">
        <v>2440</v>
      </c>
      <c r="I335" s="2" t="s">
        <v>10</v>
      </c>
      <c r="J335" s="2" t="s">
        <v>862</v>
      </c>
      <c r="K335" s="2" t="s">
        <v>863</v>
      </c>
      <c r="L335" s="2" t="s">
        <v>34</v>
      </c>
      <c r="M335" s="2">
        <v>1584</v>
      </c>
      <c r="N335" s="2" t="s">
        <v>14</v>
      </c>
      <c r="T335" s="2" t="s">
        <v>16964</v>
      </c>
    </row>
    <row r="336" spans="1:25" hidden="1">
      <c r="A336" s="3" t="s">
        <v>3645</v>
      </c>
      <c r="B336" s="2">
        <v>14</v>
      </c>
      <c r="D336" s="66" t="str">
        <f>VLOOKUP("*"&amp;A336&amp;"*",[2]Sheet1!$G$2:$X$1155,18,FALSE)</f>
        <v>ERR10549886</v>
      </c>
      <c r="E336" s="2">
        <v>2018</v>
      </c>
      <c r="F336" s="2" t="s">
        <v>139</v>
      </c>
      <c r="G336" s="2" t="s">
        <v>5</v>
      </c>
      <c r="H336" s="2" t="s">
        <v>2441</v>
      </c>
      <c r="I336" s="2" t="s">
        <v>6</v>
      </c>
      <c r="J336" s="2" t="s">
        <v>40</v>
      </c>
      <c r="K336" s="2" t="s">
        <v>864</v>
      </c>
      <c r="L336" s="2" t="s">
        <v>39</v>
      </c>
      <c r="M336" s="2">
        <v>37</v>
      </c>
      <c r="N336" s="2" t="s">
        <v>9</v>
      </c>
      <c r="T336" s="2" t="s">
        <v>16964</v>
      </c>
    </row>
    <row r="337" spans="1:24" hidden="1">
      <c r="A337" s="3" t="s">
        <v>3357</v>
      </c>
      <c r="B337" s="2">
        <v>15</v>
      </c>
      <c r="D337" s="66" t="str">
        <f>VLOOKUP("*"&amp;A337&amp;"*",[2]Sheet1!$G$2:$X$1155,18,FALSE)</f>
        <v>ERR10549918</v>
      </c>
      <c r="E337" s="2">
        <v>2019</v>
      </c>
      <c r="F337" s="2" t="s">
        <v>139</v>
      </c>
      <c r="G337" s="2" t="s">
        <v>5</v>
      </c>
      <c r="H337" s="2" t="s">
        <v>2442</v>
      </c>
      <c r="I337" s="2" t="s">
        <v>10</v>
      </c>
      <c r="J337" s="2" t="s">
        <v>12</v>
      </c>
      <c r="K337" s="2" t="s">
        <v>865</v>
      </c>
      <c r="L337" s="2" t="s">
        <v>11</v>
      </c>
      <c r="M337" s="2">
        <v>3</v>
      </c>
      <c r="N337" s="2" t="s">
        <v>14</v>
      </c>
      <c r="T337" s="2" t="s">
        <v>16964</v>
      </c>
    </row>
    <row r="338" spans="1:24" hidden="1">
      <c r="A338" s="3" t="s">
        <v>3134</v>
      </c>
      <c r="B338" s="2">
        <v>16</v>
      </c>
      <c r="D338" s="66" t="str">
        <f>VLOOKUP("*"&amp;A338&amp;"*",[2]Sheet1!$G$2:$X$1155,18,FALSE)</f>
        <v>ERR10549892</v>
      </c>
      <c r="E338" s="2">
        <v>2018</v>
      </c>
      <c r="F338" s="2" t="s">
        <v>139</v>
      </c>
      <c r="G338" s="2" t="s">
        <v>43</v>
      </c>
      <c r="H338" s="2" t="s">
        <v>2435</v>
      </c>
      <c r="I338" s="2" t="s">
        <v>6</v>
      </c>
      <c r="J338" s="2" t="s">
        <v>8</v>
      </c>
      <c r="K338" s="2" t="s">
        <v>866</v>
      </c>
      <c r="L338" s="2" t="s">
        <v>7</v>
      </c>
      <c r="M338" s="2">
        <v>121</v>
      </c>
      <c r="N338" s="2" t="s">
        <v>9</v>
      </c>
      <c r="T338" s="2" t="s">
        <v>16963</v>
      </c>
      <c r="X338" s="67" t="s">
        <v>4722</v>
      </c>
    </row>
    <row r="339" spans="1:24" hidden="1">
      <c r="A339" s="3" t="s">
        <v>4120</v>
      </c>
      <c r="B339" s="2">
        <v>17</v>
      </c>
      <c r="D339" s="66" t="str">
        <f>VLOOKUP("*"&amp;A339&amp;"*",[2]Sheet1!$G$2:$X$1155,18,FALSE)</f>
        <v>ERR10549909</v>
      </c>
      <c r="E339" s="2">
        <v>2018</v>
      </c>
      <c r="F339" s="2" t="s">
        <v>139</v>
      </c>
      <c r="G339" s="2" t="s">
        <v>5</v>
      </c>
      <c r="H339" s="2" t="s">
        <v>2443</v>
      </c>
      <c r="I339" s="2" t="s">
        <v>6</v>
      </c>
      <c r="J339" s="2" t="s">
        <v>402</v>
      </c>
      <c r="K339" s="2" t="s">
        <v>867</v>
      </c>
      <c r="L339" s="2" t="s">
        <v>401</v>
      </c>
      <c r="M339" s="2">
        <v>18</v>
      </c>
      <c r="N339" s="2" t="s">
        <v>9</v>
      </c>
      <c r="T339" s="2" t="s">
        <v>16964</v>
      </c>
    </row>
    <row r="340" spans="1:24" hidden="1">
      <c r="A340" s="3" t="s">
        <v>3486</v>
      </c>
      <c r="B340" s="2">
        <v>18</v>
      </c>
      <c r="D340" s="66" t="str">
        <f>VLOOKUP("*"&amp;A340&amp;"*",[2]Sheet1!$G$2:$X$1155,18,FALSE)</f>
        <v>ERR10549885</v>
      </c>
      <c r="E340" s="2">
        <v>2018</v>
      </c>
      <c r="F340" s="2" t="s">
        <v>139</v>
      </c>
      <c r="G340" s="2" t="s">
        <v>5</v>
      </c>
      <c r="H340" s="2" t="s">
        <v>2441</v>
      </c>
      <c r="I340" s="2" t="s">
        <v>6</v>
      </c>
      <c r="J340" s="2" t="s">
        <v>29</v>
      </c>
      <c r="K340" s="2" t="s">
        <v>370</v>
      </c>
      <c r="L340" s="2" t="s">
        <v>28</v>
      </c>
      <c r="M340" s="2">
        <v>1247</v>
      </c>
      <c r="N340" s="2" t="s">
        <v>9</v>
      </c>
      <c r="T340" s="2" t="s">
        <v>16964</v>
      </c>
    </row>
    <row r="341" spans="1:24" hidden="1">
      <c r="A341" s="3" t="s">
        <v>3871</v>
      </c>
      <c r="B341" s="2">
        <v>19</v>
      </c>
      <c r="D341" s="66" t="str">
        <f>VLOOKUP("*"&amp;A341&amp;"*",[2]Sheet1!$G$2:$X$1155,18,FALSE)</f>
        <v>ERR10549919</v>
      </c>
      <c r="E341" s="2">
        <v>2019</v>
      </c>
      <c r="F341" s="2" t="s">
        <v>139</v>
      </c>
      <c r="G341" s="2" t="s">
        <v>5</v>
      </c>
      <c r="H341" s="2" t="s">
        <v>2444</v>
      </c>
      <c r="I341" s="2" t="s">
        <v>6</v>
      </c>
      <c r="J341" s="2" t="s">
        <v>120</v>
      </c>
      <c r="K341" s="2" t="s">
        <v>4706</v>
      </c>
      <c r="L341" s="2" t="s">
        <v>119</v>
      </c>
      <c r="M341" s="2">
        <v>155</v>
      </c>
      <c r="N341" s="2" t="s">
        <v>9</v>
      </c>
      <c r="T341" s="2" t="s">
        <v>16964</v>
      </c>
    </row>
    <row r="342" spans="1:24" hidden="1">
      <c r="A342" s="3" t="s">
        <v>2830</v>
      </c>
      <c r="B342" s="2">
        <v>20</v>
      </c>
      <c r="D342" s="66" t="str">
        <f>VLOOKUP("*"&amp;A342&amp;"*",[2]Sheet1!$G$2:$X$1155,18,FALSE)</f>
        <v>ERR10549901</v>
      </c>
      <c r="E342" s="2">
        <v>2019</v>
      </c>
      <c r="F342" s="2" t="s">
        <v>139</v>
      </c>
      <c r="G342" s="2" t="s">
        <v>5</v>
      </c>
      <c r="H342" s="2" t="s">
        <v>2445</v>
      </c>
      <c r="I342" s="2" t="s">
        <v>6</v>
      </c>
      <c r="J342" s="2" t="s">
        <v>415</v>
      </c>
      <c r="K342" s="2" t="s">
        <v>868</v>
      </c>
      <c r="L342" s="2" t="s">
        <v>414</v>
      </c>
      <c r="M342" s="2">
        <v>204</v>
      </c>
      <c r="N342" s="2" t="s">
        <v>9</v>
      </c>
      <c r="T342" s="2" t="s">
        <v>16963</v>
      </c>
      <c r="U342" s="67" t="s">
        <v>2627</v>
      </c>
    </row>
    <row r="343" spans="1:24" hidden="1">
      <c r="A343" s="3" t="s">
        <v>4191</v>
      </c>
      <c r="B343" s="2">
        <v>21</v>
      </c>
      <c r="D343" s="66" t="str">
        <f>VLOOKUP("*"&amp;A343&amp;"*",[2]Sheet1!$G$2:$X$1155,18,FALSE)</f>
        <v>ERR10549920</v>
      </c>
      <c r="E343" s="2">
        <v>2019</v>
      </c>
      <c r="F343" s="2" t="s">
        <v>139</v>
      </c>
      <c r="G343" s="2" t="s">
        <v>5</v>
      </c>
      <c r="H343" s="2" t="s">
        <v>2446</v>
      </c>
      <c r="I343" s="2" t="s">
        <v>6</v>
      </c>
      <c r="J343" s="2" t="s">
        <v>20</v>
      </c>
      <c r="K343" s="2" t="s">
        <v>4710</v>
      </c>
      <c r="L343" s="2" t="s">
        <v>19</v>
      </c>
      <c r="M343" s="2">
        <v>9</v>
      </c>
      <c r="N343" s="2" t="s">
        <v>21</v>
      </c>
      <c r="T343" s="2" t="s">
        <v>16964</v>
      </c>
    </row>
    <row r="344" spans="1:24" hidden="1">
      <c r="A344" s="3" t="s">
        <v>3736</v>
      </c>
      <c r="B344" s="2">
        <v>22</v>
      </c>
      <c r="D344" s="66" t="str">
        <f>VLOOKUP("*"&amp;A344&amp;"*",[2]Sheet1!$G$2:$X$1155,18,FALSE)</f>
        <v>ERR10549877</v>
      </c>
      <c r="E344" s="2">
        <v>2018</v>
      </c>
      <c r="F344" s="2" t="s">
        <v>139</v>
      </c>
      <c r="G344" s="2" t="s">
        <v>5</v>
      </c>
      <c r="H344" s="2" t="s">
        <v>2444</v>
      </c>
      <c r="I344" s="2" t="s">
        <v>6</v>
      </c>
      <c r="J344" s="2" t="s">
        <v>102</v>
      </c>
      <c r="K344" s="2" t="s">
        <v>356</v>
      </c>
      <c r="L344" s="2" t="s">
        <v>101</v>
      </c>
      <c r="M344" s="2">
        <v>7</v>
      </c>
      <c r="N344" s="2" t="s">
        <v>9</v>
      </c>
      <c r="T344" s="2" t="s">
        <v>16964</v>
      </c>
    </row>
    <row r="345" spans="1:24" hidden="1">
      <c r="A345" s="3" t="s">
        <v>4122</v>
      </c>
      <c r="B345" s="2" t="s">
        <v>296</v>
      </c>
      <c r="D345" s="66" t="str">
        <f>VLOOKUP("*"&amp;A345&amp;"*",[2]Sheet1!$G$2:$X$1155,18,FALSE)</f>
        <v>ERR10549469</v>
      </c>
      <c r="E345" s="2">
        <v>1989</v>
      </c>
      <c r="F345" s="2" t="s">
        <v>2692</v>
      </c>
      <c r="G345" s="2" t="s">
        <v>5</v>
      </c>
      <c r="H345" s="2" t="s">
        <v>2551</v>
      </c>
      <c r="I345" s="2" t="s">
        <v>6</v>
      </c>
      <c r="J345" s="2" t="s">
        <v>102</v>
      </c>
      <c r="K345" s="2" t="s">
        <v>297</v>
      </c>
      <c r="L345" s="2" t="s">
        <v>101</v>
      </c>
      <c r="M345" s="2">
        <v>7</v>
      </c>
      <c r="N345" s="2" t="s">
        <v>9</v>
      </c>
      <c r="Q345" s="2">
        <f>VLOOKUP(B345,[1]Sheet1!$A$426:$D$1672,4,FALSE)</f>
        <v>0.16</v>
      </c>
      <c r="T345" s="2" t="s">
        <v>16964</v>
      </c>
    </row>
    <row r="346" spans="1:24" hidden="1">
      <c r="A346" s="3" t="s">
        <v>4118</v>
      </c>
      <c r="B346" s="2" t="s">
        <v>298</v>
      </c>
      <c r="D346" s="66" t="str">
        <f>VLOOKUP("*"&amp;A346&amp;"*",[2]Sheet1!$G$2:$X$1155,18,FALSE)</f>
        <v>ERR10549477</v>
      </c>
      <c r="E346" s="2">
        <v>1989</v>
      </c>
      <c r="F346" s="2" t="s">
        <v>2692</v>
      </c>
      <c r="G346" s="2" t="s">
        <v>5</v>
      </c>
      <c r="H346" s="2" t="s">
        <v>2551</v>
      </c>
      <c r="I346" s="2" t="s">
        <v>6</v>
      </c>
      <c r="J346" s="2" t="s">
        <v>102</v>
      </c>
      <c r="K346" s="2" t="s">
        <v>297</v>
      </c>
      <c r="L346" s="2" t="s">
        <v>101</v>
      </c>
      <c r="M346" s="2">
        <v>7</v>
      </c>
      <c r="N346" s="2" t="s">
        <v>9</v>
      </c>
      <c r="Q346" s="2">
        <f>VLOOKUP(B346,[1]Sheet1!$A$426:$D$1672,4,FALSE)</f>
        <v>0.08</v>
      </c>
      <c r="T346" s="2" t="s">
        <v>16964</v>
      </c>
    </row>
    <row r="347" spans="1:24" hidden="1">
      <c r="A347" s="3" t="s">
        <v>4011</v>
      </c>
      <c r="B347" s="2" t="s">
        <v>299</v>
      </c>
      <c r="D347" s="66" t="str">
        <f>VLOOKUP("*"&amp;A347&amp;"*",[2]Sheet1!$G$2:$X$1155,18,FALSE)</f>
        <v>ERR10549456</v>
      </c>
      <c r="E347" s="2">
        <v>1989</v>
      </c>
      <c r="F347" s="2" t="s">
        <v>2692</v>
      </c>
      <c r="G347" s="2" t="s">
        <v>5</v>
      </c>
      <c r="H347" s="2" t="s">
        <v>2552</v>
      </c>
      <c r="I347" s="2" t="s">
        <v>6</v>
      </c>
      <c r="J347" s="2" t="s">
        <v>301</v>
      </c>
      <c r="K347" s="2" t="s">
        <v>302</v>
      </c>
      <c r="L347" s="2" t="s">
        <v>300</v>
      </c>
      <c r="M347" s="2">
        <v>585</v>
      </c>
      <c r="N347" s="2" t="s">
        <v>9</v>
      </c>
      <c r="Q347" s="2">
        <f>VLOOKUP(B347,[1]Sheet1!$A$426:$D$1672,4,FALSE)</f>
        <v>0.08</v>
      </c>
      <c r="T347" s="2" t="s">
        <v>16964</v>
      </c>
    </row>
    <row r="348" spans="1:24" hidden="1">
      <c r="A348" s="3" t="s">
        <v>4124</v>
      </c>
      <c r="B348" s="2" t="s">
        <v>303</v>
      </c>
      <c r="D348" s="66" t="str">
        <f>VLOOKUP("*"&amp;A348&amp;"*",[2]Sheet1!$G$2:$X$1155,18,FALSE)</f>
        <v>ERR10549441</v>
      </c>
      <c r="E348" s="2">
        <v>1989</v>
      </c>
      <c r="F348" s="2" t="s">
        <v>2692</v>
      </c>
      <c r="G348" s="2" t="s">
        <v>5</v>
      </c>
      <c r="H348" s="2" t="s">
        <v>2553</v>
      </c>
      <c r="I348" s="2" t="s">
        <v>6</v>
      </c>
      <c r="J348" s="2" t="s">
        <v>102</v>
      </c>
      <c r="K348" s="2" t="s">
        <v>297</v>
      </c>
      <c r="L348" s="2" t="s">
        <v>101</v>
      </c>
      <c r="M348" s="2">
        <v>7</v>
      </c>
      <c r="N348" s="2" t="s">
        <v>9</v>
      </c>
      <c r="Q348" s="2">
        <f>VLOOKUP(B348,[1]Sheet1!$A$426:$D$1672,4,FALSE)</f>
        <v>0.08</v>
      </c>
      <c r="T348" s="2" t="s">
        <v>16964</v>
      </c>
    </row>
    <row r="349" spans="1:24" hidden="1">
      <c r="A349" s="3" t="s">
        <v>4125</v>
      </c>
      <c r="B349" s="2" t="s">
        <v>304</v>
      </c>
      <c r="D349" s="66" t="str">
        <f>VLOOKUP("*"&amp;A349&amp;"*",[2]Sheet1!$G$2:$X$1155,18,FALSE)</f>
        <v>ERR10549417</v>
      </c>
      <c r="E349" s="2">
        <v>1989</v>
      </c>
      <c r="F349" s="2" t="s">
        <v>2692</v>
      </c>
      <c r="G349" s="2" t="s">
        <v>5</v>
      </c>
      <c r="H349" s="2" t="s">
        <v>2553</v>
      </c>
      <c r="I349" s="2" t="s">
        <v>6</v>
      </c>
      <c r="J349" s="2" t="s">
        <v>102</v>
      </c>
      <c r="K349" s="2" t="s">
        <v>297</v>
      </c>
      <c r="L349" s="2" t="s">
        <v>101</v>
      </c>
      <c r="M349" s="2">
        <v>7</v>
      </c>
      <c r="N349" s="2" t="s">
        <v>9</v>
      </c>
      <c r="Q349" s="2">
        <f>VLOOKUP(B349,[1]Sheet1!$A$426:$D$1672,4,FALSE)</f>
        <v>0.16</v>
      </c>
      <c r="T349" s="2" t="s">
        <v>16964</v>
      </c>
    </row>
    <row r="350" spans="1:24" hidden="1">
      <c r="A350" s="3" t="s">
        <v>4130</v>
      </c>
      <c r="B350" s="2" t="s">
        <v>305</v>
      </c>
      <c r="D350" s="66" t="str">
        <f>VLOOKUP("*"&amp;A350&amp;"*",[2]Sheet1!$G$2:$X$1155,18,FALSE)</f>
        <v>ERR10549452</v>
      </c>
      <c r="E350" s="2">
        <v>1985</v>
      </c>
      <c r="F350" s="2" t="s">
        <v>2692</v>
      </c>
      <c r="G350" s="2" t="s">
        <v>5</v>
      </c>
      <c r="H350" s="2" t="s">
        <v>2553</v>
      </c>
      <c r="I350" s="2" t="s">
        <v>6</v>
      </c>
      <c r="J350" s="2" t="s">
        <v>102</v>
      </c>
      <c r="K350" s="2" t="s">
        <v>297</v>
      </c>
      <c r="L350" s="2" t="s">
        <v>101</v>
      </c>
      <c r="M350" s="2">
        <v>106</v>
      </c>
      <c r="N350" s="2" t="s">
        <v>9</v>
      </c>
      <c r="Q350" s="2">
        <f>VLOOKUP(B350,[1]Sheet1!$A$426:$D$1672,4,FALSE)</f>
        <v>0.16</v>
      </c>
      <c r="T350" s="2" t="s">
        <v>16964</v>
      </c>
    </row>
    <row r="351" spans="1:24" hidden="1">
      <c r="A351" s="3" t="s">
        <v>4123</v>
      </c>
      <c r="B351" s="2" t="s">
        <v>306</v>
      </c>
      <c r="D351" s="66" t="str">
        <f>VLOOKUP("*"&amp;A351&amp;"*",[2]Sheet1!$G$2:$X$1155,18,FALSE)</f>
        <v>ERR10549437</v>
      </c>
      <c r="E351" s="2">
        <v>1985</v>
      </c>
      <c r="F351" s="2" t="s">
        <v>2692</v>
      </c>
      <c r="G351" s="2" t="s">
        <v>5</v>
      </c>
      <c r="H351" s="2" t="s">
        <v>2553</v>
      </c>
      <c r="I351" s="2" t="s">
        <v>6</v>
      </c>
      <c r="J351" s="2" t="s">
        <v>102</v>
      </c>
      <c r="K351" s="2" t="s">
        <v>297</v>
      </c>
      <c r="L351" s="2" t="s">
        <v>101</v>
      </c>
      <c r="M351" s="2">
        <v>7</v>
      </c>
      <c r="N351" s="2" t="s">
        <v>9</v>
      </c>
      <c r="Q351" s="2">
        <f>VLOOKUP(B351,[1]Sheet1!$A$426:$D$1672,4,FALSE)</f>
        <v>0.16</v>
      </c>
      <c r="T351" s="2" t="s">
        <v>16964</v>
      </c>
    </row>
    <row r="352" spans="1:24" hidden="1">
      <c r="A352" s="3" t="s">
        <v>4126</v>
      </c>
      <c r="B352" s="2" t="s">
        <v>307</v>
      </c>
      <c r="D352" s="66" t="str">
        <f>VLOOKUP("*"&amp;A352&amp;"*",[2]Sheet1!$G$2:$X$1155,18,FALSE)</f>
        <v>ERR10549412</v>
      </c>
      <c r="E352" s="2">
        <v>1985</v>
      </c>
      <c r="F352" s="2" t="s">
        <v>2692</v>
      </c>
      <c r="G352" s="2" t="s">
        <v>5</v>
      </c>
      <c r="H352" s="2" t="s">
        <v>2553</v>
      </c>
      <c r="I352" s="2" t="s">
        <v>6</v>
      </c>
      <c r="J352" s="2" t="s">
        <v>102</v>
      </c>
      <c r="K352" s="2" t="s">
        <v>297</v>
      </c>
      <c r="L352" s="2" t="s">
        <v>101</v>
      </c>
      <c r="M352" s="2">
        <v>7</v>
      </c>
      <c r="N352" s="2" t="s">
        <v>9</v>
      </c>
      <c r="Q352" s="2">
        <f>VLOOKUP(B352,[1]Sheet1!$A$426:$D$1672,4,FALSE)</f>
        <v>0.08</v>
      </c>
      <c r="T352" s="2" t="s">
        <v>16964</v>
      </c>
    </row>
    <row r="353" spans="1:21" hidden="1">
      <c r="A353" s="3" t="s">
        <v>4119</v>
      </c>
      <c r="B353" s="2" t="s">
        <v>308</v>
      </c>
      <c r="D353" s="66" t="str">
        <f>VLOOKUP("*"&amp;A353&amp;"*",[2]Sheet1!$G$2:$X$1155,18,FALSE)</f>
        <v>ERR10549433</v>
      </c>
      <c r="E353" s="2">
        <v>1985</v>
      </c>
      <c r="F353" s="2" t="s">
        <v>2692</v>
      </c>
      <c r="G353" s="2" t="s">
        <v>5</v>
      </c>
      <c r="H353" s="2" t="s">
        <v>2553</v>
      </c>
      <c r="I353" s="2" t="s">
        <v>6</v>
      </c>
      <c r="J353" s="2" t="s">
        <v>102</v>
      </c>
      <c r="K353" s="2" t="s">
        <v>297</v>
      </c>
      <c r="L353" s="2" t="s">
        <v>101</v>
      </c>
      <c r="M353" s="2">
        <v>7</v>
      </c>
      <c r="N353" s="2" t="s">
        <v>9</v>
      </c>
      <c r="Q353" s="2">
        <f>VLOOKUP(B353,[1]Sheet1!$A$426:$D$1672,4,FALSE)</f>
        <v>0.08</v>
      </c>
      <c r="T353" s="2" t="s">
        <v>16964</v>
      </c>
    </row>
    <row r="354" spans="1:21" hidden="1">
      <c r="A354" s="3" t="s">
        <v>4128</v>
      </c>
      <c r="B354" s="2" t="s">
        <v>309</v>
      </c>
      <c r="D354" s="66" t="str">
        <f>VLOOKUP("*"&amp;A354&amp;"*",[2]Sheet1!$G$2:$X$1155,18,FALSE)</f>
        <v>ERR10549440</v>
      </c>
      <c r="E354" s="2">
        <v>1985</v>
      </c>
      <c r="F354" s="2" t="s">
        <v>2692</v>
      </c>
      <c r="G354" s="2" t="s">
        <v>5</v>
      </c>
      <c r="H354" s="2" t="s">
        <v>2553</v>
      </c>
      <c r="I354" s="2" t="s">
        <v>6</v>
      </c>
      <c r="J354" s="2" t="s">
        <v>102</v>
      </c>
      <c r="K354" s="2" t="s">
        <v>297</v>
      </c>
      <c r="L354" s="2" t="s">
        <v>101</v>
      </c>
      <c r="M354" s="2">
        <v>7</v>
      </c>
      <c r="N354" s="2" t="s">
        <v>9</v>
      </c>
      <c r="Q354" s="2">
        <f>VLOOKUP(B354,[1]Sheet1!$A$426:$D$1672,4,FALSE)</f>
        <v>0.08</v>
      </c>
      <c r="T354" s="2" t="s">
        <v>16964</v>
      </c>
    </row>
    <row r="355" spans="1:21" hidden="1">
      <c r="A355" s="3" t="s">
        <v>4117</v>
      </c>
      <c r="B355" s="2" t="s">
        <v>310</v>
      </c>
      <c r="D355" s="66" t="str">
        <f>VLOOKUP("*"&amp;A355&amp;"*",[2]Sheet1!$G$2:$X$1155,18,FALSE)</f>
        <v>ERR10549471</v>
      </c>
      <c r="E355" s="2">
        <v>1985</v>
      </c>
      <c r="F355" s="2" t="s">
        <v>2692</v>
      </c>
      <c r="G355" s="2" t="s">
        <v>5</v>
      </c>
      <c r="H355" s="2" t="s">
        <v>2553</v>
      </c>
      <c r="I355" s="2" t="s">
        <v>6</v>
      </c>
      <c r="J355" s="2" t="s">
        <v>102</v>
      </c>
      <c r="K355" s="2" t="s">
        <v>297</v>
      </c>
      <c r="L355" s="2" t="s">
        <v>101</v>
      </c>
      <c r="M355" s="2">
        <v>7</v>
      </c>
      <c r="N355" s="2" t="s">
        <v>9</v>
      </c>
      <c r="Q355" s="2">
        <f>VLOOKUP(B355,[1]Sheet1!$A$426:$D$1672,4,FALSE)</f>
        <v>0.08</v>
      </c>
      <c r="T355" s="2" t="s">
        <v>16964</v>
      </c>
    </row>
    <row r="356" spans="1:21" hidden="1">
      <c r="A356" s="3" t="s">
        <v>4127</v>
      </c>
      <c r="B356" s="2" t="s">
        <v>311</v>
      </c>
      <c r="D356" s="66" t="str">
        <f>VLOOKUP("*"&amp;A356&amp;"*",[2]Sheet1!$G$2:$X$1155,18,FALSE)</f>
        <v>ERR10549415</v>
      </c>
      <c r="E356" s="2">
        <v>1985</v>
      </c>
      <c r="F356" s="2" t="s">
        <v>2692</v>
      </c>
      <c r="G356" s="2" t="s">
        <v>5</v>
      </c>
      <c r="H356" s="2" t="s">
        <v>2553</v>
      </c>
      <c r="I356" s="2" t="s">
        <v>6</v>
      </c>
      <c r="J356" s="2" t="s">
        <v>102</v>
      </c>
      <c r="K356" s="2" t="s">
        <v>297</v>
      </c>
      <c r="L356" s="2" t="s">
        <v>101</v>
      </c>
      <c r="M356" s="2">
        <v>7</v>
      </c>
      <c r="N356" s="2" t="s">
        <v>9</v>
      </c>
      <c r="Q356" s="2">
        <f>VLOOKUP(B356,[1]Sheet1!$A$426:$D$1672,4,FALSE)</f>
        <v>0.16</v>
      </c>
      <c r="T356" s="2" t="s">
        <v>16964</v>
      </c>
    </row>
    <row r="357" spans="1:21" hidden="1">
      <c r="A357" s="3" t="s">
        <v>4129</v>
      </c>
      <c r="B357" s="2" t="s">
        <v>312</v>
      </c>
      <c r="D357" s="66" t="str">
        <f>VLOOKUP("*"&amp;A357&amp;"*",[2]Sheet1!$G$2:$X$1155,18,FALSE)</f>
        <v>ERR10549450</v>
      </c>
      <c r="E357" s="2">
        <v>1985</v>
      </c>
      <c r="F357" s="2" t="s">
        <v>2692</v>
      </c>
      <c r="G357" s="2" t="s">
        <v>5</v>
      </c>
      <c r="H357" s="2" t="s">
        <v>2553</v>
      </c>
      <c r="I357" s="2" t="s">
        <v>6</v>
      </c>
      <c r="J357" s="2" t="s">
        <v>102</v>
      </c>
      <c r="K357" s="2" t="s">
        <v>297</v>
      </c>
      <c r="L357" s="2" t="s">
        <v>101</v>
      </c>
      <c r="M357" s="2">
        <v>7</v>
      </c>
      <c r="N357" s="2" t="s">
        <v>9</v>
      </c>
      <c r="Q357" s="2">
        <f>VLOOKUP(B357,[1]Sheet1!$A$426:$D$1672,4,FALSE)</f>
        <v>0.16</v>
      </c>
      <c r="T357" s="2" t="s">
        <v>16964</v>
      </c>
    </row>
    <row r="358" spans="1:21" hidden="1">
      <c r="A358" s="3" t="s">
        <v>4019</v>
      </c>
      <c r="B358" s="2" t="s">
        <v>313</v>
      </c>
      <c r="D358" s="66" t="str">
        <f>VLOOKUP("*"&amp;A358&amp;"*",[2]Sheet1!$G$2:$X$1155,18,FALSE)</f>
        <v>ERR10549448</v>
      </c>
      <c r="E358" s="2">
        <v>1985</v>
      </c>
      <c r="F358" s="2" t="s">
        <v>2692</v>
      </c>
      <c r="G358" s="2" t="s">
        <v>5</v>
      </c>
      <c r="H358" s="2" t="s">
        <v>2553</v>
      </c>
      <c r="I358" s="2" t="s">
        <v>6</v>
      </c>
      <c r="J358" s="2" t="s">
        <v>102</v>
      </c>
      <c r="K358" s="2" t="s">
        <v>297</v>
      </c>
      <c r="L358" s="2" t="s">
        <v>101</v>
      </c>
      <c r="M358" s="2">
        <v>7</v>
      </c>
      <c r="N358" s="2" t="s">
        <v>9</v>
      </c>
      <c r="Q358" s="2">
        <f>VLOOKUP(B358,[1]Sheet1!$A$426:$D$1672,4,FALSE)</f>
        <v>0.08</v>
      </c>
      <c r="T358" s="2" t="s">
        <v>16964</v>
      </c>
    </row>
    <row r="359" spans="1:21" hidden="1">
      <c r="A359" s="3" t="s">
        <v>3737</v>
      </c>
      <c r="B359" s="2" t="s">
        <v>314</v>
      </c>
      <c r="D359" s="66" t="str">
        <f>VLOOKUP("*"&amp;A359&amp;"*",[2]Sheet1!$G$2:$X$1155,18,FALSE)</f>
        <v>ERR10549438</v>
      </c>
      <c r="E359" s="2">
        <v>1994</v>
      </c>
      <c r="F359" s="2" t="s">
        <v>2692</v>
      </c>
      <c r="G359" s="2" t="s">
        <v>315</v>
      </c>
      <c r="H359" s="2" t="s">
        <v>2554</v>
      </c>
      <c r="I359" s="2" t="s">
        <v>10</v>
      </c>
      <c r="J359" s="2" t="s">
        <v>17</v>
      </c>
      <c r="K359" s="2" t="s">
        <v>316</v>
      </c>
      <c r="L359" s="2" t="s">
        <v>16</v>
      </c>
      <c r="M359" s="2">
        <v>145</v>
      </c>
      <c r="N359" s="2" t="s">
        <v>18</v>
      </c>
      <c r="Q359" s="2">
        <f>VLOOKUP(B359,[1]Sheet1!$A$426:$D$1672,4,FALSE)</f>
        <v>0.08</v>
      </c>
      <c r="T359" s="2" t="s">
        <v>16964</v>
      </c>
    </row>
    <row r="360" spans="1:21" hidden="1">
      <c r="A360" s="3" t="s">
        <v>4028</v>
      </c>
      <c r="B360" s="2" t="s">
        <v>317</v>
      </c>
      <c r="D360" s="66" t="str">
        <f>VLOOKUP("*"&amp;A360&amp;"*",[2]Sheet1!$G$2:$X$1155,18,FALSE)</f>
        <v>ERR10549465</v>
      </c>
      <c r="E360" s="2">
        <v>1994</v>
      </c>
      <c r="F360" s="2" t="s">
        <v>2692</v>
      </c>
      <c r="G360" s="2" t="s">
        <v>318</v>
      </c>
      <c r="H360" s="2" t="s">
        <v>2555</v>
      </c>
      <c r="I360" s="2" t="s">
        <v>10</v>
      </c>
      <c r="J360" s="2" t="s">
        <v>320</v>
      </c>
      <c r="K360" s="2" t="s">
        <v>321</v>
      </c>
      <c r="L360" s="2" t="s">
        <v>319</v>
      </c>
      <c r="M360" s="2">
        <v>581</v>
      </c>
      <c r="N360" s="2" t="s">
        <v>14</v>
      </c>
      <c r="Q360" s="2">
        <f>VLOOKUP(B360,[1]Sheet1!$A$426:$D$1672,4,FALSE)</f>
        <v>0.16</v>
      </c>
      <c r="T360" s="2" t="s">
        <v>16964</v>
      </c>
    </row>
    <row r="361" spans="1:21" hidden="1">
      <c r="A361" s="3" t="s">
        <v>4232</v>
      </c>
      <c r="B361" s="2" t="s">
        <v>322</v>
      </c>
      <c r="D361" s="66" t="str">
        <f>VLOOKUP("*"&amp;A361&amp;"*",[2]Sheet1!$G$2:$X$1155,18,FALSE)</f>
        <v>ERR10549578</v>
      </c>
      <c r="E361" s="2" t="s">
        <v>118</v>
      </c>
      <c r="F361" s="2" t="s">
        <v>2692</v>
      </c>
      <c r="G361" s="2" t="s">
        <v>318</v>
      </c>
      <c r="H361" s="2" t="s">
        <v>2556</v>
      </c>
      <c r="I361" s="2" t="s">
        <v>6</v>
      </c>
      <c r="J361" s="2" t="s">
        <v>218</v>
      </c>
      <c r="K361" s="2" t="s">
        <v>323</v>
      </c>
      <c r="L361" s="2" t="s">
        <v>217</v>
      </c>
      <c r="M361" s="2">
        <v>29</v>
      </c>
      <c r="N361" s="2" t="s">
        <v>9</v>
      </c>
      <c r="Q361" s="2">
        <f>VLOOKUP(B361,[1]Sheet1!$A$426:$D$1672,4,FALSE)</f>
        <v>0.16</v>
      </c>
      <c r="T361" s="2" t="s">
        <v>16964</v>
      </c>
    </row>
    <row r="362" spans="1:21" hidden="1">
      <c r="A362" s="3" t="s">
        <v>4121</v>
      </c>
      <c r="B362" s="2" t="s">
        <v>324</v>
      </c>
      <c r="D362" s="66" t="str">
        <f>VLOOKUP("*"&amp;A362&amp;"*",[2]Sheet1!$G$2:$X$1155,18,FALSE)</f>
        <v>ERR10549487</v>
      </c>
      <c r="E362" s="2">
        <v>1994</v>
      </c>
      <c r="F362" s="2" t="s">
        <v>2692</v>
      </c>
      <c r="G362" s="2" t="s">
        <v>5</v>
      </c>
      <c r="H362" s="2" t="s">
        <v>2557</v>
      </c>
      <c r="I362" s="2" t="s">
        <v>6</v>
      </c>
      <c r="J362" s="2" t="s">
        <v>102</v>
      </c>
      <c r="K362" s="2" t="s">
        <v>297</v>
      </c>
      <c r="L362" s="2" t="s">
        <v>101</v>
      </c>
      <c r="M362" s="2">
        <v>7</v>
      </c>
      <c r="N362" s="2" t="s">
        <v>9</v>
      </c>
      <c r="Q362" s="2">
        <f>VLOOKUP(B362,[1]Sheet1!$A$426:$D$1672,4,FALSE)</f>
        <v>0.08</v>
      </c>
      <c r="T362" s="2" t="s">
        <v>16964</v>
      </c>
    </row>
    <row r="363" spans="1:21" hidden="1">
      <c r="A363" s="3" t="s">
        <v>2957</v>
      </c>
      <c r="B363" s="2" t="s">
        <v>325</v>
      </c>
      <c r="D363" s="66" t="str">
        <f>VLOOKUP("*"&amp;A363&amp;"*",[2]Sheet1!$G$2:$X$1155,18,FALSE)</f>
        <v>ERR10549418</v>
      </c>
      <c r="E363" s="2">
        <v>1991</v>
      </c>
      <c r="F363" s="2" t="s">
        <v>2692</v>
      </c>
      <c r="G363" s="2" t="s">
        <v>5</v>
      </c>
      <c r="H363" s="2" t="s">
        <v>2558</v>
      </c>
      <c r="I363" s="2" t="s">
        <v>10</v>
      </c>
      <c r="J363" s="2" t="s">
        <v>12</v>
      </c>
      <c r="K363" s="2" t="s">
        <v>326</v>
      </c>
      <c r="L363" s="2" t="s">
        <v>11</v>
      </c>
      <c r="M363" s="2">
        <v>3</v>
      </c>
      <c r="N363" s="2" t="s">
        <v>14</v>
      </c>
      <c r="Q363" s="2">
        <f>VLOOKUP(B363,[1]Sheet1!$A$426:$D$1672,4,FALSE)</f>
        <v>0.16</v>
      </c>
      <c r="T363" s="2" t="s">
        <v>16964</v>
      </c>
    </row>
    <row r="364" spans="1:21" hidden="1">
      <c r="A364" s="3" t="s">
        <v>3772</v>
      </c>
      <c r="B364" s="2" t="s">
        <v>327</v>
      </c>
      <c r="D364" s="66" t="str">
        <f>VLOOKUP("*"&amp;A364&amp;"*",[2]Sheet1!$G$2:$X$1155,18,FALSE)</f>
        <v>ERR10549445</v>
      </c>
      <c r="E364" s="2">
        <v>1993</v>
      </c>
      <c r="F364" s="2" t="s">
        <v>2692</v>
      </c>
      <c r="G364" s="2" t="s">
        <v>318</v>
      </c>
      <c r="H364" s="2" t="s">
        <v>2559</v>
      </c>
      <c r="I364" s="2" t="s">
        <v>10</v>
      </c>
      <c r="J364" s="2" t="s">
        <v>271</v>
      </c>
      <c r="K364" s="2" t="s">
        <v>328</v>
      </c>
      <c r="L364" s="2" t="s">
        <v>80</v>
      </c>
      <c r="M364" s="2">
        <v>379</v>
      </c>
      <c r="N364" s="2" t="s">
        <v>14</v>
      </c>
      <c r="Q364" s="2">
        <f>VLOOKUP(B364,[1]Sheet1!$A$426:$D$1672,4,FALSE)</f>
        <v>0.16</v>
      </c>
      <c r="T364" s="2" t="s">
        <v>16964</v>
      </c>
    </row>
    <row r="365" spans="1:21" hidden="1">
      <c r="A365" s="3" t="s">
        <v>3726</v>
      </c>
      <c r="B365" s="2" t="s">
        <v>329</v>
      </c>
      <c r="D365" s="66" t="str">
        <f>VLOOKUP("*"&amp;A365&amp;"*",[2]Sheet1!$G$2:$X$1155,18,FALSE)</f>
        <v>ERR10549461</v>
      </c>
      <c r="E365" s="2">
        <v>1994</v>
      </c>
      <c r="F365" s="2" t="s">
        <v>2692</v>
      </c>
      <c r="G365" s="2" t="s">
        <v>5</v>
      </c>
      <c r="H365" s="2" t="s">
        <v>2560</v>
      </c>
      <c r="I365" s="2" t="s">
        <v>6</v>
      </c>
      <c r="J365" s="2" t="s">
        <v>331</v>
      </c>
      <c r="K365" s="2" t="s">
        <v>332</v>
      </c>
      <c r="L365" s="2" t="s">
        <v>330</v>
      </c>
      <c r="M365" s="2">
        <v>271</v>
      </c>
      <c r="N365" s="2" t="s">
        <v>9</v>
      </c>
      <c r="Q365" s="2">
        <f>VLOOKUP(B365,[1]Sheet1!$A$426:$D$1672,4,FALSE)</f>
        <v>0.16</v>
      </c>
      <c r="T365" s="2" t="s">
        <v>16964</v>
      </c>
    </row>
    <row r="366" spans="1:21" hidden="1">
      <c r="A366" s="3" t="s">
        <v>3725</v>
      </c>
      <c r="B366" s="2" t="s">
        <v>333</v>
      </c>
      <c r="D366" s="66" t="str">
        <f>VLOOKUP("*"&amp;A366&amp;"*",[2]Sheet1!$G$2:$X$1155,18,FALSE)</f>
        <v>ERR10549496</v>
      </c>
      <c r="E366" s="2">
        <v>1994</v>
      </c>
      <c r="F366" s="2" t="s">
        <v>2692</v>
      </c>
      <c r="G366" s="2" t="s">
        <v>5</v>
      </c>
      <c r="H366" s="2" t="s">
        <v>2560</v>
      </c>
      <c r="I366" s="2" t="s">
        <v>6</v>
      </c>
      <c r="J366" s="2" t="s">
        <v>331</v>
      </c>
      <c r="K366" s="2" t="s">
        <v>332</v>
      </c>
      <c r="L366" s="2" t="s">
        <v>330</v>
      </c>
      <c r="M366" s="2">
        <v>271</v>
      </c>
      <c r="N366" s="2" t="s">
        <v>9</v>
      </c>
      <c r="Q366" s="2">
        <f>VLOOKUP(B366,[1]Sheet1!$A$426:$D$1672,4,FALSE)</f>
        <v>0.16</v>
      </c>
      <c r="T366" s="2" t="s">
        <v>16964</v>
      </c>
    </row>
    <row r="367" spans="1:21" hidden="1">
      <c r="A367" s="3" t="s">
        <v>4008</v>
      </c>
      <c r="B367" s="2" t="s">
        <v>334</v>
      </c>
      <c r="D367" s="66" t="str">
        <f>VLOOKUP("*"&amp;A367&amp;"*",[2]Sheet1!$G$2:$X$1155,18,FALSE)</f>
        <v>ERR10549474</v>
      </c>
      <c r="E367" s="2">
        <v>1994</v>
      </c>
      <c r="F367" s="2" t="s">
        <v>2692</v>
      </c>
      <c r="G367" s="2" t="s">
        <v>5</v>
      </c>
      <c r="H367" s="2" t="s">
        <v>2561</v>
      </c>
      <c r="I367" s="2" t="s">
        <v>10</v>
      </c>
      <c r="J367" s="2" t="s">
        <v>35</v>
      </c>
      <c r="K367" s="2" t="s">
        <v>335</v>
      </c>
      <c r="L367" s="2" t="s">
        <v>34</v>
      </c>
      <c r="M367" s="2">
        <v>5</v>
      </c>
      <c r="N367" s="2" t="s">
        <v>14</v>
      </c>
      <c r="Q367" s="2">
        <f>VLOOKUP(B367,[1]Sheet1!$A$426:$D$1672,4,FALSE)</f>
        <v>0.08</v>
      </c>
      <c r="T367" s="2" t="s">
        <v>16964</v>
      </c>
    </row>
    <row r="368" spans="1:21" hidden="1">
      <c r="A368" s="3" t="s">
        <v>3671</v>
      </c>
      <c r="B368" s="2" t="s">
        <v>336</v>
      </c>
      <c r="D368" s="66" t="str">
        <f>VLOOKUP("*"&amp;A368&amp;"*",[2]Sheet1!$G$2:$X$1155,18,FALSE)</f>
        <v>ERR10549439</v>
      </c>
      <c r="E368" s="2">
        <v>1994</v>
      </c>
      <c r="F368" s="2" t="s">
        <v>2692</v>
      </c>
      <c r="G368" s="2" t="s">
        <v>5</v>
      </c>
      <c r="H368" s="2" t="s">
        <v>2562</v>
      </c>
      <c r="I368" s="2" t="s">
        <v>10</v>
      </c>
      <c r="J368" s="2" t="s">
        <v>35</v>
      </c>
      <c r="K368" s="2" t="s">
        <v>131</v>
      </c>
      <c r="L368" s="2" t="s">
        <v>34</v>
      </c>
      <c r="M368" s="2">
        <v>5</v>
      </c>
      <c r="N368" s="2" t="s">
        <v>14</v>
      </c>
      <c r="Q368" s="2">
        <f>VLOOKUP(B368,[1]Sheet1!$A$426:$D$1672,4,FALSE)</f>
        <v>0.63</v>
      </c>
      <c r="T368" s="2" t="s">
        <v>16963</v>
      </c>
      <c r="U368" s="67" t="s">
        <v>2627</v>
      </c>
    </row>
    <row r="369" spans="1:25" hidden="1">
      <c r="A369" s="3" t="s">
        <v>4443</v>
      </c>
      <c r="B369" s="2" t="s">
        <v>337</v>
      </c>
      <c r="D369" s="66" t="str">
        <f>VLOOKUP("*"&amp;A369&amp;"*",[2]Sheet1!$G$2:$X$1155,18,FALSE)</f>
        <v>ERR10549559</v>
      </c>
      <c r="E369" s="2" t="s">
        <v>118</v>
      </c>
      <c r="F369" s="2" t="s">
        <v>2692</v>
      </c>
      <c r="G369" s="2" t="s">
        <v>318</v>
      </c>
      <c r="H369" s="2" t="s">
        <v>2563</v>
      </c>
      <c r="I369" s="2" t="s">
        <v>338</v>
      </c>
      <c r="J369" s="2" t="s">
        <v>340</v>
      </c>
      <c r="K369" s="2" t="s">
        <v>341</v>
      </c>
      <c r="L369" s="2" t="s">
        <v>339</v>
      </c>
      <c r="M369" s="2">
        <v>1023</v>
      </c>
      <c r="N369" s="2" t="s">
        <v>152</v>
      </c>
      <c r="Q369" s="2">
        <f>VLOOKUP(B369,[1]Sheet1!$A$426:$D$1672,4,FALSE)</f>
        <v>0.08</v>
      </c>
      <c r="T369" s="2" t="s">
        <v>16964</v>
      </c>
    </row>
    <row r="370" spans="1:25" hidden="1">
      <c r="A370" s="3" t="s">
        <v>2866</v>
      </c>
      <c r="B370" s="2" t="s">
        <v>1169</v>
      </c>
      <c r="D370" s="66" t="str">
        <f>VLOOKUP("*"&amp;A370&amp;"*",[2]Sheet1!$G$2:$X$1155,18,FALSE)</f>
        <v>ERR10616669</v>
      </c>
      <c r="E370" s="2">
        <v>1994</v>
      </c>
      <c r="F370" s="2" t="s">
        <v>2692</v>
      </c>
      <c r="G370" s="2" t="s">
        <v>5</v>
      </c>
      <c r="H370" s="2" t="s">
        <v>2564</v>
      </c>
      <c r="I370" s="2" t="s">
        <v>10</v>
      </c>
      <c r="J370" s="2" t="s">
        <v>35</v>
      </c>
      <c r="K370" s="2" t="s">
        <v>335</v>
      </c>
      <c r="L370" s="2" t="s">
        <v>34</v>
      </c>
      <c r="M370" s="2">
        <v>5</v>
      </c>
      <c r="N370" s="2" t="s">
        <v>14</v>
      </c>
      <c r="Q370" s="2">
        <f>VLOOKUP(B370,[1]Sheet1!$A$426:$D$1672,4,FALSE)</f>
        <v>0.63</v>
      </c>
      <c r="T370" s="2" t="s">
        <v>16963</v>
      </c>
      <c r="U370" s="67" t="s">
        <v>2627</v>
      </c>
    </row>
    <row r="371" spans="1:25" hidden="1">
      <c r="A371" s="3" t="s">
        <v>3131</v>
      </c>
      <c r="B371" s="2" t="s">
        <v>1170</v>
      </c>
      <c r="D371" s="66" t="str">
        <f>VLOOKUP("*"&amp;A371&amp;"*",[2]Sheet1!$G$2:$X$1155,18,FALSE)</f>
        <v>ERR10616658</v>
      </c>
      <c r="E371" s="2">
        <v>1994</v>
      </c>
      <c r="F371" s="2" t="s">
        <v>2692</v>
      </c>
      <c r="G371" s="2" t="s">
        <v>5</v>
      </c>
      <c r="H371" s="2" t="s">
        <v>2565</v>
      </c>
      <c r="I371" s="2" t="s">
        <v>10</v>
      </c>
      <c r="J371" s="2" t="s">
        <v>187</v>
      </c>
      <c r="K371" s="2" t="s">
        <v>1171</v>
      </c>
      <c r="L371" s="2" t="s">
        <v>186</v>
      </c>
      <c r="M371" s="2">
        <v>288</v>
      </c>
      <c r="N371" s="2" t="s">
        <v>14</v>
      </c>
      <c r="Q371" s="2">
        <f>VLOOKUP(B371,[1]Sheet1!$A$426:$D$1672,4,FALSE)</f>
        <v>0.08</v>
      </c>
      <c r="T371" s="2" t="s">
        <v>16964</v>
      </c>
    </row>
    <row r="372" spans="1:25" hidden="1">
      <c r="A372" s="3" t="s">
        <v>4090</v>
      </c>
      <c r="B372" s="2" t="s">
        <v>1172</v>
      </c>
      <c r="D372" s="66" t="str">
        <f>VLOOKUP("*"&amp;A372&amp;"*",[2]Sheet1!$G$2:$X$1155,18,FALSE)</f>
        <v>ERR10616670</v>
      </c>
      <c r="E372" s="2">
        <v>1994</v>
      </c>
      <c r="F372" s="2" t="s">
        <v>2692</v>
      </c>
      <c r="G372" s="2" t="s">
        <v>5</v>
      </c>
      <c r="H372" s="2" t="s">
        <v>2566</v>
      </c>
      <c r="I372" s="2" t="s">
        <v>10</v>
      </c>
      <c r="J372" s="2" t="s">
        <v>35</v>
      </c>
      <c r="K372" s="2" t="s">
        <v>1173</v>
      </c>
      <c r="L372" s="2" t="s">
        <v>34</v>
      </c>
      <c r="M372" s="2">
        <v>5</v>
      </c>
      <c r="N372" s="2" t="s">
        <v>14</v>
      </c>
      <c r="Q372" s="2">
        <f>VLOOKUP(B372,[1]Sheet1!$A$426:$D$1672,4,FALSE)</f>
        <v>0.08</v>
      </c>
      <c r="T372" s="2" t="s">
        <v>16964</v>
      </c>
    </row>
    <row r="373" spans="1:25" hidden="1">
      <c r="A373" s="3" t="s">
        <v>3778</v>
      </c>
      <c r="B373" s="2" t="s">
        <v>1174</v>
      </c>
      <c r="D373" s="66" t="str">
        <f>VLOOKUP("*"&amp;A373&amp;"*",[2]Sheet1!$G$2:$X$1155,18,FALSE)</f>
        <v>ERR10549462</v>
      </c>
      <c r="E373" s="2">
        <v>1994</v>
      </c>
      <c r="F373" s="2" t="s">
        <v>2692</v>
      </c>
      <c r="G373" s="2" t="s">
        <v>5</v>
      </c>
      <c r="H373" s="2" t="s">
        <v>2567</v>
      </c>
      <c r="I373" s="2" t="s">
        <v>10</v>
      </c>
      <c r="J373" s="2" t="s">
        <v>187</v>
      </c>
      <c r="K373" s="2" t="s">
        <v>347</v>
      </c>
      <c r="L373" s="2" t="s">
        <v>186</v>
      </c>
      <c r="M373" s="2">
        <v>288</v>
      </c>
      <c r="N373" s="2" t="s">
        <v>14</v>
      </c>
      <c r="Q373" s="2">
        <f>VLOOKUP(B373,[1]Sheet1!$A$426:$D$1672,4,FALSE)</f>
        <v>0.08</v>
      </c>
      <c r="T373" s="2" t="s">
        <v>16964</v>
      </c>
    </row>
    <row r="374" spans="1:25" hidden="1">
      <c r="A374" s="3" t="s">
        <v>2826</v>
      </c>
      <c r="B374" s="2" t="s">
        <v>1175</v>
      </c>
      <c r="D374" s="66" t="str">
        <f>VLOOKUP("*"&amp;A374&amp;"*",[2]Sheet1!$G$2:$X$1155,18,FALSE)</f>
        <v>ERR10616651</v>
      </c>
      <c r="E374" s="2">
        <v>1994</v>
      </c>
      <c r="F374" s="2" t="s">
        <v>2692</v>
      </c>
      <c r="G374" s="2" t="s">
        <v>5</v>
      </c>
      <c r="H374" s="2" t="s">
        <v>2568</v>
      </c>
      <c r="I374" s="2" t="s">
        <v>6</v>
      </c>
      <c r="J374" s="2" t="s">
        <v>53</v>
      </c>
      <c r="K374" s="2" t="s">
        <v>197</v>
      </c>
      <c r="L374" s="2" t="s">
        <v>52</v>
      </c>
      <c r="M374" s="2">
        <v>321</v>
      </c>
      <c r="N374" s="2" t="s">
        <v>9</v>
      </c>
      <c r="Q374" s="2">
        <f>VLOOKUP(B374,[1]Sheet1!$A$426:$D$1672,4,FALSE)</f>
        <v>0.08</v>
      </c>
      <c r="T374" s="2" t="s">
        <v>16964</v>
      </c>
    </row>
    <row r="375" spans="1:25" hidden="1">
      <c r="A375" s="3" t="s">
        <v>3958</v>
      </c>
      <c r="B375" s="2" t="s">
        <v>1176</v>
      </c>
      <c r="D375" s="66" t="str">
        <f>VLOOKUP("*"&amp;A375&amp;"*",[2]Sheet1!$G$2:$X$1155,18,FALSE)</f>
        <v>ERR10616654</v>
      </c>
      <c r="E375" s="2">
        <v>1994</v>
      </c>
      <c r="F375" s="2" t="s">
        <v>2692</v>
      </c>
      <c r="G375" s="2" t="s">
        <v>5</v>
      </c>
      <c r="H375" s="2" t="s">
        <v>2565</v>
      </c>
      <c r="I375" s="2" t="s">
        <v>10</v>
      </c>
      <c r="J375" s="2" t="s">
        <v>1177</v>
      </c>
      <c r="K375" s="2" t="s">
        <v>1178</v>
      </c>
      <c r="L375" s="2" t="s">
        <v>186</v>
      </c>
      <c r="M375" s="2">
        <v>323</v>
      </c>
      <c r="N375" s="2" t="s">
        <v>14</v>
      </c>
      <c r="Q375" s="2">
        <f>VLOOKUP(B375,[1]Sheet1!$A$426:$D$1672,4,FALSE)</f>
        <v>0.08</v>
      </c>
      <c r="T375" s="2" t="s">
        <v>16964</v>
      </c>
    </row>
    <row r="376" spans="1:25" hidden="1">
      <c r="A376" s="3" t="s">
        <v>3203</v>
      </c>
      <c r="B376" s="2" t="s">
        <v>1179</v>
      </c>
      <c r="D376" s="66" t="str">
        <f>VLOOKUP("*"&amp;A376&amp;"*",[2]Sheet1!$G$2:$X$1155,18,FALSE)</f>
        <v>ERR10616661</v>
      </c>
      <c r="E376" s="2">
        <v>1994</v>
      </c>
      <c r="F376" s="2" t="s">
        <v>2692</v>
      </c>
      <c r="G376" s="2" t="s">
        <v>5</v>
      </c>
      <c r="H376" s="2" t="s">
        <v>2569</v>
      </c>
      <c r="I376" s="2" t="s">
        <v>6</v>
      </c>
      <c r="J376" s="2" t="s">
        <v>20</v>
      </c>
      <c r="K376" s="2" t="s">
        <v>4711</v>
      </c>
      <c r="L376" s="2" t="s">
        <v>19</v>
      </c>
      <c r="M376" s="2">
        <v>9</v>
      </c>
      <c r="N376" s="2" t="s">
        <v>21</v>
      </c>
      <c r="Q376" s="2">
        <f>VLOOKUP(B376,[1]Sheet1!$A$426:$D$1672,4,FALSE)</f>
        <v>0.08</v>
      </c>
      <c r="T376" s="2" t="s">
        <v>16964</v>
      </c>
    </row>
    <row r="377" spans="1:25" hidden="1">
      <c r="A377" s="3" t="s">
        <v>3681</v>
      </c>
      <c r="B377" s="2" t="s">
        <v>342</v>
      </c>
      <c r="D377" s="66" t="str">
        <f>VLOOKUP("*"&amp;A377&amp;"*",[2]Sheet1!$G$2:$X$1155,18,FALSE)</f>
        <v>ERR10549483</v>
      </c>
      <c r="E377" s="2">
        <v>1994</v>
      </c>
      <c r="F377" s="2" t="s">
        <v>2692</v>
      </c>
      <c r="G377" s="2" t="s">
        <v>5</v>
      </c>
      <c r="H377" s="2" t="s">
        <v>2570</v>
      </c>
      <c r="I377" s="2" t="s">
        <v>10</v>
      </c>
      <c r="J377" s="2" t="s">
        <v>12</v>
      </c>
      <c r="K377" s="2" t="s">
        <v>343</v>
      </c>
      <c r="L377" s="2" t="s">
        <v>11</v>
      </c>
      <c r="M377" s="2">
        <v>3</v>
      </c>
      <c r="N377" s="2" t="s">
        <v>14</v>
      </c>
      <c r="Q377" s="2">
        <f>VLOOKUP(B377,[1]Sheet1!$A$426:$D$1672,4,FALSE)</f>
        <v>0.16</v>
      </c>
      <c r="T377" s="2" t="s">
        <v>16964</v>
      </c>
    </row>
    <row r="378" spans="1:25" hidden="1">
      <c r="A378" s="3" t="s">
        <v>4215</v>
      </c>
      <c r="B378" s="2" t="s">
        <v>344</v>
      </c>
      <c r="D378" s="66" t="str">
        <f>VLOOKUP("*"&amp;A378&amp;"*",[2]Sheet1!$G$2:$X$1155,18,FALSE)</f>
        <v>ERR10549472</v>
      </c>
      <c r="E378" s="2">
        <v>1994</v>
      </c>
      <c r="F378" s="2" t="s">
        <v>2692</v>
      </c>
      <c r="G378" s="2" t="s">
        <v>5</v>
      </c>
      <c r="H378" s="2" t="s">
        <v>2569</v>
      </c>
      <c r="I378" s="2" t="s">
        <v>10</v>
      </c>
      <c r="J378" s="2" t="s">
        <v>35</v>
      </c>
      <c r="K378" s="2" t="s">
        <v>345</v>
      </c>
      <c r="L378" s="2" t="s">
        <v>34</v>
      </c>
      <c r="M378" s="2">
        <v>5</v>
      </c>
      <c r="N378" s="2" t="s">
        <v>14</v>
      </c>
      <c r="Q378" s="2">
        <f>VLOOKUP(B378,[1]Sheet1!$A$426:$D$1672,4,FALSE)</f>
        <v>0.16</v>
      </c>
      <c r="T378" s="2" t="s">
        <v>16964</v>
      </c>
    </row>
    <row r="379" spans="1:25" hidden="1">
      <c r="A379" s="3" t="s">
        <v>3779</v>
      </c>
      <c r="B379" s="2" t="s">
        <v>346</v>
      </c>
      <c r="D379" s="66" t="str">
        <f>VLOOKUP("*"&amp;A379&amp;"*",[2]Sheet1!$G$2:$X$1155,18,FALSE)</f>
        <v>ERR10549446</v>
      </c>
      <c r="E379" s="2">
        <v>1994</v>
      </c>
      <c r="F379" s="2" t="s">
        <v>2692</v>
      </c>
      <c r="G379" s="2" t="s">
        <v>5</v>
      </c>
      <c r="H379" s="2" t="s">
        <v>2565</v>
      </c>
      <c r="I379" s="2" t="s">
        <v>10</v>
      </c>
      <c r="J379" s="2" t="s">
        <v>187</v>
      </c>
      <c r="K379" s="2" t="s">
        <v>347</v>
      </c>
      <c r="L379" s="2" t="s">
        <v>186</v>
      </c>
      <c r="M379" s="2">
        <v>288</v>
      </c>
      <c r="N379" s="2" t="s">
        <v>14</v>
      </c>
      <c r="Q379" s="2">
        <f>VLOOKUP(B379,[1]Sheet1!$A$426:$D$1672,4,FALSE)</f>
        <v>0.08</v>
      </c>
      <c r="T379" s="2" t="s">
        <v>16964</v>
      </c>
    </row>
    <row r="380" spans="1:25" hidden="1">
      <c r="A380" s="3" t="s">
        <v>3112</v>
      </c>
      <c r="B380" s="2" t="s">
        <v>348</v>
      </c>
      <c r="D380" s="66" t="str">
        <f>VLOOKUP("*"&amp;A380&amp;"*",[2]Sheet1!$G$2:$X$1155,18,FALSE)</f>
        <v>ERR10549569</v>
      </c>
      <c r="E380" s="2">
        <v>1994</v>
      </c>
      <c r="F380" s="2" t="s">
        <v>2692</v>
      </c>
      <c r="G380" s="2" t="s">
        <v>5</v>
      </c>
      <c r="H380" s="2" t="s">
        <v>2571</v>
      </c>
      <c r="I380" s="2" t="s">
        <v>6</v>
      </c>
      <c r="J380" s="2" t="s">
        <v>20</v>
      </c>
      <c r="K380" s="2" t="s">
        <v>4712</v>
      </c>
      <c r="L380" s="2" t="s">
        <v>19</v>
      </c>
      <c r="M380" s="2">
        <v>9</v>
      </c>
      <c r="N380" s="2" t="s">
        <v>21</v>
      </c>
      <c r="Q380" s="2">
        <f>VLOOKUP(B380,[1]Sheet1!$A$426:$D$1672,4,FALSE)</f>
        <v>0.63</v>
      </c>
      <c r="T380" s="2" t="s">
        <v>16963</v>
      </c>
      <c r="Y380" s="67" t="s">
        <v>2627</v>
      </c>
    </row>
    <row r="381" spans="1:25" hidden="1">
      <c r="A381" s="3" t="s">
        <v>3860</v>
      </c>
      <c r="B381" s="2" t="s">
        <v>349</v>
      </c>
      <c r="D381" s="66" t="str">
        <f>VLOOKUP("*"&amp;A381&amp;"*",[2]Sheet1!$G$2:$X$1155,18,FALSE)</f>
        <v>ERR10549543</v>
      </c>
      <c r="E381" s="2">
        <v>1994</v>
      </c>
      <c r="F381" s="2" t="s">
        <v>2692</v>
      </c>
      <c r="G381" s="2" t="s">
        <v>5</v>
      </c>
      <c r="H381" s="2" t="s">
        <v>2570</v>
      </c>
      <c r="I381" s="2" t="s">
        <v>10</v>
      </c>
      <c r="J381" s="2" t="s">
        <v>98</v>
      </c>
      <c r="K381" s="2" t="s">
        <v>350</v>
      </c>
      <c r="L381" s="2" t="s">
        <v>97</v>
      </c>
      <c r="M381" s="2">
        <v>3013</v>
      </c>
      <c r="N381" s="2" t="s">
        <v>14</v>
      </c>
      <c r="Q381" s="2">
        <f>VLOOKUP(B381,[1]Sheet1!$A$426:$D$1672,4,FALSE)</f>
        <v>0.16</v>
      </c>
      <c r="T381" s="2" t="s">
        <v>16964</v>
      </c>
    </row>
    <row r="382" spans="1:25" hidden="1">
      <c r="A382" s="3" t="s">
        <v>3111</v>
      </c>
      <c r="B382" s="2" t="s">
        <v>351</v>
      </c>
      <c r="D382" s="66" t="str">
        <f>VLOOKUP("*"&amp;A382&amp;"*",[2]Sheet1!$G$2:$X$1155,18,FALSE)</f>
        <v>ERR10549488</v>
      </c>
      <c r="E382" s="2">
        <v>1994</v>
      </c>
      <c r="F382" s="2" t="s">
        <v>2692</v>
      </c>
      <c r="G382" s="2" t="s">
        <v>5</v>
      </c>
      <c r="H382" s="2" t="s">
        <v>2569</v>
      </c>
      <c r="I382" s="2" t="s">
        <v>6</v>
      </c>
      <c r="J382" s="2" t="s">
        <v>20</v>
      </c>
      <c r="K382" s="2" t="s">
        <v>4713</v>
      </c>
      <c r="L382" s="2" t="s">
        <v>19</v>
      </c>
      <c r="M382" s="2">
        <v>9</v>
      </c>
      <c r="N382" s="2" t="s">
        <v>21</v>
      </c>
      <c r="Q382" s="2">
        <f>VLOOKUP(B382,[1]Sheet1!$A$426:$D$1672,4,FALSE)</f>
        <v>0.16</v>
      </c>
      <c r="T382" s="2" t="s">
        <v>16963</v>
      </c>
      <c r="Y382" s="67" t="s">
        <v>2627</v>
      </c>
    </row>
    <row r="383" spans="1:25" hidden="1">
      <c r="A383" s="3" t="s">
        <v>3113</v>
      </c>
      <c r="B383" s="2" t="s">
        <v>352</v>
      </c>
      <c r="D383" s="66" t="str">
        <f>VLOOKUP("*"&amp;A383&amp;"*",[2]Sheet1!$G$2:$X$1155,18,FALSE)</f>
        <v>ERR10549493</v>
      </c>
      <c r="E383" s="2">
        <v>1994</v>
      </c>
      <c r="F383" s="2" t="s">
        <v>2692</v>
      </c>
      <c r="G383" s="2" t="s">
        <v>5</v>
      </c>
      <c r="H383" s="2" t="s">
        <v>2571</v>
      </c>
      <c r="I383" s="2" t="s">
        <v>6</v>
      </c>
      <c r="J383" s="2" t="s">
        <v>20</v>
      </c>
      <c r="K383" s="2" t="s">
        <v>4713</v>
      </c>
      <c r="L383" s="2" t="s">
        <v>19</v>
      </c>
      <c r="M383" s="2">
        <v>9</v>
      </c>
      <c r="N383" s="2" t="s">
        <v>21</v>
      </c>
      <c r="Q383" s="2">
        <f>VLOOKUP(B383,[1]Sheet1!$A$426:$D$1672,4,FALSE)</f>
        <v>0.63</v>
      </c>
      <c r="T383" s="2" t="s">
        <v>16963</v>
      </c>
      <c r="Y383" s="67" t="s">
        <v>2627</v>
      </c>
    </row>
    <row r="384" spans="1:25" hidden="1">
      <c r="A384" s="3" t="s">
        <v>3987</v>
      </c>
      <c r="B384" s="2">
        <v>23</v>
      </c>
      <c r="D384" s="66" t="str">
        <f>VLOOKUP("*"&amp;A384&amp;"*",[2]Sheet1!$G$2:$X$1155,18,FALSE)</f>
        <v>ERR10549898</v>
      </c>
      <c r="E384" s="2">
        <v>2018</v>
      </c>
      <c r="F384" s="2" t="s">
        <v>139</v>
      </c>
      <c r="G384" s="2" t="s">
        <v>5</v>
      </c>
      <c r="H384" s="2" t="s">
        <v>2447</v>
      </c>
      <c r="I384" s="2" t="s">
        <v>6</v>
      </c>
      <c r="J384" s="2" t="s">
        <v>8</v>
      </c>
      <c r="K384" s="2" t="s">
        <v>353</v>
      </c>
      <c r="L384" s="2" t="s">
        <v>7</v>
      </c>
      <c r="M384" s="2">
        <v>121</v>
      </c>
      <c r="N384" s="2" t="s">
        <v>9</v>
      </c>
      <c r="T384" s="2" t="s">
        <v>16964</v>
      </c>
    </row>
    <row r="385" spans="1:24" hidden="1">
      <c r="A385" s="3" t="s">
        <v>3060</v>
      </c>
      <c r="B385" s="2">
        <v>24</v>
      </c>
      <c r="D385" s="66" t="str">
        <f>VLOOKUP("*"&amp;A385&amp;"*",[2]Sheet1!$G$2:$X$1155,18,FALSE)</f>
        <v>ERR10549930</v>
      </c>
      <c r="E385" s="2">
        <v>2019</v>
      </c>
      <c r="F385" s="2" t="s">
        <v>139</v>
      </c>
      <c r="G385" s="2" t="s">
        <v>5</v>
      </c>
      <c r="H385" s="2" t="s">
        <v>2447</v>
      </c>
      <c r="I385" s="2" t="s">
        <v>6</v>
      </c>
      <c r="J385" s="2" t="s">
        <v>8</v>
      </c>
      <c r="K385" s="2" t="s">
        <v>354</v>
      </c>
      <c r="L385" s="2" t="s">
        <v>7</v>
      </c>
      <c r="M385" s="2">
        <v>121</v>
      </c>
      <c r="N385" s="2" t="s">
        <v>9</v>
      </c>
      <c r="T385" s="2" t="s">
        <v>16963</v>
      </c>
      <c r="X385" s="67" t="s">
        <v>4722</v>
      </c>
    </row>
    <row r="386" spans="1:24" hidden="1">
      <c r="A386" s="3" t="s">
        <v>3908</v>
      </c>
      <c r="B386" s="2">
        <v>25</v>
      </c>
      <c r="D386" s="66" t="str">
        <f>VLOOKUP("*"&amp;A386&amp;"*",[2]Sheet1!$G$2:$X$1155,18,FALSE)</f>
        <v>ERR10549923</v>
      </c>
      <c r="E386" s="2">
        <v>2019</v>
      </c>
      <c r="F386" s="2" t="s">
        <v>139</v>
      </c>
      <c r="G386" s="2" t="s">
        <v>5</v>
      </c>
      <c r="H386" s="2" t="s">
        <v>2447</v>
      </c>
      <c r="I386" s="2" t="s">
        <v>10</v>
      </c>
      <c r="J386" s="2" t="s">
        <v>12</v>
      </c>
      <c r="K386" s="2" t="s">
        <v>355</v>
      </c>
      <c r="L386" s="2" t="s">
        <v>11</v>
      </c>
      <c r="M386" s="2">
        <v>3</v>
      </c>
      <c r="N386" s="2" t="s">
        <v>14</v>
      </c>
      <c r="T386" s="2" t="s">
        <v>16964</v>
      </c>
    </row>
    <row r="387" spans="1:24" hidden="1">
      <c r="A387" s="3" t="s">
        <v>3627</v>
      </c>
      <c r="B387" s="2">
        <v>26</v>
      </c>
      <c r="D387" s="66" t="str">
        <f>VLOOKUP("*"&amp;A387&amp;"*",[2]Sheet1!$G$2:$X$1155,18,FALSE)</f>
        <v>ERR10549910</v>
      </c>
      <c r="E387" s="2">
        <v>2018</v>
      </c>
      <c r="F387" s="2" t="s">
        <v>139</v>
      </c>
      <c r="G387" s="2" t="s">
        <v>43</v>
      </c>
      <c r="H387" s="2" t="s">
        <v>2435</v>
      </c>
      <c r="I387" s="2" t="s">
        <v>6</v>
      </c>
      <c r="J387" s="2" t="s">
        <v>102</v>
      </c>
      <c r="K387" s="2" t="s">
        <v>356</v>
      </c>
      <c r="L387" s="2" t="s">
        <v>101</v>
      </c>
      <c r="M387" s="2">
        <v>7</v>
      </c>
      <c r="N387" s="2" t="s">
        <v>9</v>
      </c>
      <c r="T387" s="2" t="s">
        <v>16963</v>
      </c>
      <c r="U387" s="67" t="s">
        <v>2627</v>
      </c>
    </row>
    <row r="388" spans="1:24" hidden="1">
      <c r="A388" s="3" t="s">
        <v>3649</v>
      </c>
      <c r="B388" s="2">
        <v>27</v>
      </c>
      <c r="D388" s="66" t="str">
        <f>VLOOKUP("*"&amp;A388&amp;"*",[2]Sheet1!$G$2:$X$1155,18,FALSE)</f>
        <v>ERR10549880</v>
      </c>
      <c r="E388" s="2">
        <v>2018</v>
      </c>
      <c r="F388" s="2" t="s">
        <v>139</v>
      </c>
      <c r="G388" s="2" t="s">
        <v>43</v>
      </c>
      <c r="H388" s="2" t="s">
        <v>2435</v>
      </c>
      <c r="I388" s="2" t="s">
        <v>10</v>
      </c>
      <c r="J388" s="2" t="s">
        <v>35</v>
      </c>
      <c r="K388" s="2" t="s">
        <v>357</v>
      </c>
      <c r="L388" s="2" t="s">
        <v>34</v>
      </c>
      <c r="M388" s="2">
        <v>5</v>
      </c>
      <c r="N388" s="2" t="s">
        <v>14</v>
      </c>
      <c r="T388" s="2" t="s">
        <v>16964</v>
      </c>
    </row>
    <row r="389" spans="1:24" hidden="1">
      <c r="A389" s="3" t="s">
        <v>3907</v>
      </c>
      <c r="B389" s="2">
        <v>28</v>
      </c>
      <c r="D389" s="66" t="str">
        <f>VLOOKUP("*"&amp;A389&amp;"*",[2]Sheet1!$G$2:$X$1155,18,FALSE)</f>
        <v>ERR10549905</v>
      </c>
      <c r="E389" s="2">
        <v>2018</v>
      </c>
      <c r="F389" s="2" t="s">
        <v>139</v>
      </c>
      <c r="G389" s="2" t="s">
        <v>43</v>
      </c>
      <c r="H389" s="2" t="s">
        <v>2435</v>
      </c>
      <c r="I389" s="2" t="s">
        <v>10</v>
      </c>
      <c r="J389" s="2" t="s">
        <v>12</v>
      </c>
      <c r="K389" s="2" t="s">
        <v>358</v>
      </c>
      <c r="L389" s="2" t="s">
        <v>11</v>
      </c>
      <c r="M389" s="2">
        <v>3</v>
      </c>
      <c r="N389" s="2" t="s">
        <v>14</v>
      </c>
      <c r="T389" s="2" t="s">
        <v>16964</v>
      </c>
    </row>
    <row r="390" spans="1:24" hidden="1">
      <c r="A390" s="3" t="s">
        <v>3477</v>
      </c>
      <c r="B390" s="2">
        <v>29</v>
      </c>
      <c r="D390" s="66" t="str">
        <f>VLOOKUP("*"&amp;A390&amp;"*",[2]Sheet1!$G$2:$X$1155,18,FALSE)</f>
        <v>ERR10549927</v>
      </c>
      <c r="E390" s="2">
        <v>2019</v>
      </c>
      <c r="F390" s="2" t="s">
        <v>139</v>
      </c>
      <c r="G390" s="2" t="s">
        <v>43</v>
      </c>
      <c r="H390" s="2" t="s">
        <v>2435</v>
      </c>
      <c r="I390" s="2" t="s">
        <v>6</v>
      </c>
      <c r="J390" s="2" t="s">
        <v>29</v>
      </c>
      <c r="K390" s="2" t="s">
        <v>359</v>
      </c>
      <c r="L390" s="2" t="s">
        <v>28</v>
      </c>
      <c r="M390" s="2">
        <v>8</v>
      </c>
      <c r="N390" s="2" t="s">
        <v>9</v>
      </c>
      <c r="T390" s="2" t="s">
        <v>16964</v>
      </c>
    </row>
    <row r="391" spans="1:24" hidden="1">
      <c r="A391" s="3" t="s">
        <v>3414</v>
      </c>
      <c r="B391" s="2">
        <v>30</v>
      </c>
      <c r="D391" s="66" t="str">
        <f>VLOOKUP("*"&amp;A391&amp;"*",[2]Sheet1!$G$2:$X$1155,18,FALSE)</f>
        <v>ERR10549904</v>
      </c>
      <c r="E391" s="2">
        <v>2019</v>
      </c>
      <c r="F391" s="2" t="s">
        <v>139</v>
      </c>
      <c r="G391" s="2" t="s">
        <v>5</v>
      </c>
      <c r="H391" s="2" t="s">
        <v>2447</v>
      </c>
      <c r="I391" s="2" t="s">
        <v>6</v>
      </c>
      <c r="J391" s="2" t="s">
        <v>20</v>
      </c>
      <c r="K391" s="2" t="s">
        <v>360</v>
      </c>
      <c r="L391" s="2" t="s">
        <v>19</v>
      </c>
      <c r="M391" s="2">
        <v>9</v>
      </c>
      <c r="N391" s="2" t="s">
        <v>21</v>
      </c>
      <c r="T391" s="2" t="s">
        <v>16963</v>
      </c>
      <c r="X391" s="67" t="s">
        <v>4723</v>
      </c>
    </row>
    <row r="392" spans="1:24" hidden="1">
      <c r="A392" s="3" t="s">
        <v>3517</v>
      </c>
      <c r="B392" s="2">
        <v>31</v>
      </c>
      <c r="D392" s="66" t="str">
        <f>VLOOKUP("*"&amp;A392&amp;"*",[2]Sheet1!$G$2:$X$1155,18,FALSE)</f>
        <v>ERR10549925</v>
      </c>
      <c r="E392" s="2">
        <v>2019</v>
      </c>
      <c r="F392" s="2" t="s">
        <v>139</v>
      </c>
      <c r="G392" s="2" t="s">
        <v>5</v>
      </c>
      <c r="H392" s="2" t="s">
        <v>2441</v>
      </c>
      <c r="I392" s="2" t="s">
        <v>6</v>
      </c>
      <c r="J392" s="2" t="s">
        <v>20</v>
      </c>
      <c r="K392" s="2" t="s">
        <v>361</v>
      </c>
      <c r="L392" s="2" t="s">
        <v>19</v>
      </c>
      <c r="M392" s="2">
        <v>9</v>
      </c>
      <c r="N392" s="2" t="s">
        <v>9</v>
      </c>
      <c r="T392" s="2" t="s">
        <v>16963</v>
      </c>
      <c r="X392" s="67" t="s">
        <v>4723</v>
      </c>
    </row>
    <row r="393" spans="1:24" hidden="1">
      <c r="A393" s="3" t="s">
        <v>3445</v>
      </c>
      <c r="B393" s="2">
        <v>32</v>
      </c>
      <c r="D393" s="66" t="str">
        <f>VLOOKUP("*"&amp;A393&amp;"*",[2]Sheet1!$G$2:$X$1155,18,FALSE)</f>
        <v>ERR10549928</v>
      </c>
      <c r="E393" s="2">
        <v>2019</v>
      </c>
      <c r="F393" s="2" t="s">
        <v>139</v>
      </c>
      <c r="G393" s="2" t="s">
        <v>5</v>
      </c>
      <c r="H393" s="2" t="s">
        <v>2448</v>
      </c>
      <c r="I393" s="2" t="s">
        <v>10</v>
      </c>
      <c r="J393" s="2" t="s">
        <v>187</v>
      </c>
      <c r="K393" s="2" t="s">
        <v>362</v>
      </c>
      <c r="L393" s="2" t="s">
        <v>186</v>
      </c>
      <c r="M393" s="2">
        <v>330</v>
      </c>
      <c r="N393" s="2" t="s">
        <v>14</v>
      </c>
      <c r="T393" s="2" t="s">
        <v>16964</v>
      </c>
    </row>
    <row r="394" spans="1:24" hidden="1">
      <c r="A394" s="3" t="s">
        <v>4304</v>
      </c>
      <c r="B394" s="2">
        <v>33</v>
      </c>
      <c r="D394" s="66" t="str">
        <f>VLOOKUP("*"&amp;A394&amp;"*",[2]Sheet1!$G$2:$X$1155,18,FALSE)</f>
        <v>ERR10549929</v>
      </c>
      <c r="E394" s="2">
        <v>2019</v>
      </c>
      <c r="F394" s="2" t="s">
        <v>139</v>
      </c>
      <c r="G394" s="2" t="s">
        <v>5</v>
      </c>
      <c r="H394" s="2" t="s">
        <v>2449</v>
      </c>
      <c r="I394" s="2" t="s">
        <v>10</v>
      </c>
      <c r="J394" s="2" t="s">
        <v>12</v>
      </c>
      <c r="K394" s="2" t="s">
        <v>363</v>
      </c>
      <c r="L394" s="2" t="s">
        <v>11</v>
      </c>
      <c r="M394" s="2">
        <v>3014</v>
      </c>
      <c r="N394" s="2" t="s">
        <v>14</v>
      </c>
      <c r="T394" s="2" t="s">
        <v>16963</v>
      </c>
      <c r="U394" s="67" t="s">
        <v>2627</v>
      </c>
    </row>
    <row r="395" spans="1:24" hidden="1">
      <c r="A395" s="3" t="s">
        <v>3101</v>
      </c>
      <c r="B395" s="2">
        <v>34</v>
      </c>
      <c r="D395" s="66" t="str">
        <f>VLOOKUP("*"&amp;A395&amp;"*",[2]Sheet1!$G$2:$X$1155,18,FALSE)</f>
        <v>ERR10549935</v>
      </c>
      <c r="E395" s="2">
        <v>2019</v>
      </c>
      <c r="F395" s="2" t="s">
        <v>139</v>
      </c>
      <c r="G395" s="2" t="s">
        <v>5</v>
      </c>
      <c r="H395" s="2" t="s">
        <v>2446</v>
      </c>
      <c r="I395" s="2" t="s">
        <v>6</v>
      </c>
      <c r="J395" s="2" t="s">
        <v>20</v>
      </c>
      <c r="K395" s="2" t="s">
        <v>364</v>
      </c>
      <c r="L395" s="2" t="s">
        <v>19</v>
      </c>
      <c r="M395" s="2">
        <v>580</v>
      </c>
      <c r="N395" s="2" t="s">
        <v>21</v>
      </c>
      <c r="T395" s="2" t="s">
        <v>16964</v>
      </c>
    </row>
    <row r="396" spans="1:24" hidden="1">
      <c r="A396" s="3" t="s">
        <v>3440</v>
      </c>
      <c r="B396" s="2">
        <v>35</v>
      </c>
      <c r="D396" s="66" t="str">
        <f>VLOOKUP("*"&amp;A396&amp;"*",[2]Sheet1!$G$2:$X$1155,18,FALSE)</f>
        <v>ERR10549912</v>
      </c>
      <c r="E396" s="2">
        <v>2018</v>
      </c>
      <c r="F396" s="2" t="s">
        <v>139</v>
      </c>
      <c r="G396" s="2" t="s">
        <v>5</v>
      </c>
      <c r="H396" s="2" t="s">
        <v>2450</v>
      </c>
      <c r="I396" s="2" t="s">
        <v>10</v>
      </c>
      <c r="J396" s="2" t="s">
        <v>35</v>
      </c>
      <c r="K396" s="2" t="s">
        <v>365</v>
      </c>
      <c r="L396" s="2" t="s">
        <v>34</v>
      </c>
      <c r="M396" s="2">
        <v>5</v>
      </c>
      <c r="N396" s="2" t="s">
        <v>14</v>
      </c>
      <c r="T396" s="2" t="s">
        <v>16964</v>
      </c>
    </row>
    <row r="397" spans="1:24" hidden="1">
      <c r="A397" s="3" t="s">
        <v>3516</v>
      </c>
      <c r="B397" s="2">
        <v>36</v>
      </c>
      <c r="D397" s="66" t="str">
        <f>VLOOKUP("*"&amp;A397&amp;"*",[2]Sheet1!$G$2:$X$1155,18,FALSE)</f>
        <v>ERR10549917</v>
      </c>
      <c r="E397" s="2">
        <v>2018</v>
      </c>
      <c r="F397" s="2" t="s">
        <v>139</v>
      </c>
      <c r="G397" s="2" t="s">
        <v>43</v>
      </c>
      <c r="H397" s="2" t="s">
        <v>2435</v>
      </c>
      <c r="I397" s="2" t="s">
        <v>6</v>
      </c>
      <c r="J397" s="2" t="s">
        <v>366</v>
      </c>
      <c r="K397" s="2" t="s">
        <v>367</v>
      </c>
      <c r="L397" s="2" t="s">
        <v>28</v>
      </c>
      <c r="M397" s="2">
        <v>16</v>
      </c>
      <c r="N397" s="2" t="s">
        <v>9</v>
      </c>
      <c r="T397" s="2" t="s">
        <v>16964</v>
      </c>
    </row>
    <row r="398" spans="1:24" hidden="1">
      <c r="A398" s="3" t="s">
        <v>4006</v>
      </c>
      <c r="B398" s="2">
        <v>37</v>
      </c>
      <c r="D398" s="66" t="str">
        <f>VLOOKUP("*"&amp;A398&amp;"*",[2]Sheet1!$G$2:$X$1155,18,FALSE)</f>
        <v>ERR10549884</v>
      </c>
      <c r="E398" s="2">
        <v>2018</v>
      </c>
      <c r="F398" s="2" t="s">
        <v>139</v>
      </c>
      <c r="G398" s="2" t="s">
        <v>5</v>
      </c>
      <c r="H398" s="2" t="s">
        <v>2451</v>
      </c>
      <c r="I398" s="2" t="s">
        <v>6</v>
      </c>
      <c r="J398" s="2" t="s">
        <v>8</v>
      </c>
      <c r="K398" s="2" t="s">
        <v>368</v>
      </c>
      <c r="L398" s="2" t="s">
        <v>7</v>
      </c>
      <c r="M398" s="2">
        <v>121</v>
      </c>
      <c r="N398" s="2" t="s">
        <v>9</v>
      </c>
      <c r="T398" s="2" t="s">
        <v>16963</v>
      </c>
      <c r="X398" s="67" t="s">
        <v>4722</v>
      </c>
    </row>
    <row r="399" spans="1:24" hidden="1">
      <c r="A399" s="3" t="s">
        <v>3052</v>
      </c>
      <c r="B399" s="2">
        <v>38</v>
      </c>
      <c r="D399" s="66" t="str">
        <f>VLOOKUP("*"&amp;A399&amp;"*",[2]Sheet1!$G$2:$X$1155,18,FALSE)</f>
        <v>ERR10611898</v>
      </c>
      <c r="E399" s="2">
        <v>2018</v>
      </c>
      <c r="F399" s="2" t="s">
        <v>139</v>
      </c>
      <c r="G399" s="2" t="s">
        <v>5</v>
      </c>
      <c r="H399" s="2" t="s">
        <v>2452</v>
      </c>
      <c r="I399" s="2" t="s">
        <v>6</v>
      </c>
      <c r="J399" s="2" t="s">
        <v>8</v>
      </c>
      <c r="K399" s="2" t="s">
        <v>1180</v>
      </c>
      <c r="L399" s="2" t="s">
        <v>7</v>
      </c>
      <c r="M399" s="2">
        <v>121</v>
      </c>
      <c r="N399" s="2" t="s">
        <v>9</v>
      </c>
      <c r="T399" s="2" t="s">
        <v>16963</v>
      </c>
      <c r="X399" s="67" t="s">
        <v>4722</v>
      </c>
    </row>
    <row r="400" spans="1:24" hidden="1">
      <c r="A400" s="3" t="s">
        <v>3409</v>
      </c>
      <c r="B400" s="2">
        <v>39</v>
      </c>
      <c r="D400" s="66" t="str">
        <f>VLOOKUP("*"&amp;A400&amp;"*",[2]Sheet1!$G$2:$X$1155,18,FALSE)</f>
        <v>ERR10549924</v>
      </c>
      <c r="E400" s="2">
        <v>2019</v>
      </c>
      <c r="F400" s="2" t="s">
        <v>139</v>
      </c>
      <c r="G400" s="2" t="s">
        <v>5</v>
      </c>
      <c r="H400" s="2" t="s">
        <v>2441</v>
      </c>
      <c r="I400" s="2" t="s">
        <v>10</v>
      </c>
      <c r="J400" s="2" t="s">
        <v>31</v>
      </c>
      <c r="K400" s="2" t="s">
        <v>32</v>
      </c>
      <c r="L400" s="2" t="s">
        <v>30</v>
      </c>
      <c r="M400" s="2">
        <v>59</v>
      </c>
      <c r="N400" s="2" t="s">
        <v>14</v>
      </c>
      <c r="T400" s="2" t="s">
        <v>16964</v>
      </c>
    </row>
    <row r="401" spans="1:24" hidden="1">
      <c r="A401" s="3" t="s">
        <v>3554</v>
      </c>
      <c r="B401" s="2">
        <v>40</v>
      </c>
      <c r="D401" s="66" t="str">
        <f>VLOOKUP("*"&amp;A401&amp;"*",[2]Sheet1!$G$2:$X$1155,18,FALSE)</f>
        <v>ERR10549921</v>
      </c>
      <c r="E401" s="2">
        <v>2018</v>
      </c>
      <c r="F401" s="2" t="s">
        <v>139</v>
      </c>
      <c r="G401" s="2" t="s">
        <v>43</v>
      </c>
      <c r="H401" s="2" t="s">
        <v>2435</v>
      </c>
      <c r="I401" s="2" t="s">
        <v>10</v>
      </c>
      <c r="J401" s="2" t="s">
        <v>12</v>
      </c>
      <c r="K401" s="2" t="s">
        <v>369</v>
      </c>
      <c r="L401" s="2" t="s">
        <v>11</v>
      </c>
      <c r="M401" s="2">
        <v>3</v>
      </c>
      <c r="N401" s="2" t="s">
        <v>14</v>
      </c>
      <c r="T401" s="2" t="s">
        <v>16964</v>
      </c>
    </row>
    <row r="402" spans="1:24" hidden="1">
      <c r="A402" s="3" t="s">
        <v>3483</v>
      </c>
      <c r="B402" s="2">
        <v>41</v>
      </c>
      <c r="D402" s="66" t="str">
        <f>VLOOKUP("*"&amp;A402&amp;"*",[2]Sheet1!$G$2:$X$1155,18,FALSE)</f>
        <v>ERR10549881</v>
      </c>
      <c r="E402" s="2">
        <v>2018</v>
      </c>
      <c r="F402" s="2" t="s">
        <v>139</v>
      </c>
      <c r="G402" s="2" t="s">
        <v>5</v>
      </c>
      <c r="H402" s="2" t="s">
        <v>2441</v>
      </c>
      <c r="I402" s="2" t="s">
        <v>6</v>
      </c>
      <c r="J402" s="2" t="s">
        <v>29</v>
      </c>
      <c r="K402" s="2" t="s">
        <v>370</v>
      </c>
      <c r="L402" s="2" t="s">
        <v>28</v>
      </c>
      <c r="M402" s="2">
        <v>1247</v>
      </c>
      <c r="N402" s="2" t="s">
        <v>9</v>
      </c>
      <c r="T402" s="2" t="s">
        <v>16964</v>
      </c>
    </row>
    <row r="403" spans="1:24" hidden="1">
      <c r="A403" s="3" t="s">
        <v>4079</v>
      </c>
      <c r="B403" s="2">
        <v>42</v>
      </c>
      <c r="D403" s="66" t="str">
        <f>VLOOKUP("*"&amp;A403&amp;"*",[2]Sheet1!$G$2:$X$1155,18,FALSE)</f>
        <v>ERR10549908</v>
      </c>
      <c r="E403" s="2">
        <v>2018</v>
      </c>
      <c r="F403" s="2" t="s">
        <v>139</v>
      </c>
      <c r="G403" s="2" t="s">
        <v>43</v>
      </c>
      <c r="H403" s="2" t="s">
        <v>2435</v>
      </c>
      <c r="I403" s="2" t="s">
        <v>6</v>
      </c>
      <c r="J403" s="2" t="s">
        <v>20</v>
      </c>
      <c r="K403" s="2" t="s">
        <v>4714</v>
      </c>
      <c r="L403" s="2" t="s">
        <v>19</v>
      </c>
      <c r="M403" s="2">
        <v>9</v>
      </c>
      <c r="N403" s="2" t="s">
        <v>21</v>
      </c>
      <c r="T403" s="2" t="s">
        <v>16964</v>
      </c>
    </row>
    <row r="404" spans="1:24" hidden="1">
      <c r="A404" s="3" t="s">
        <v>3487</v>
      </c>
      <c r="B404" s="2">
        <v>43</v>
      </c>
      <c r="D404" s="66" t="str">
        <f>VLOOKUP("*"&amp;A404&amp;"*",[2]Sheet1!$G$2:$X$1155,18,FALSE)</f>
        <v>ERR10549890</v>
      </c>
      <c r="E404" s="2">
        <v>2018</v>
      </c>
      <c r="F404" s="2" t="s">
        <v>139</v>
      </c>
      <c r="G404" s="2" t="s">
        <v>5</v>
      </c>
      <c r="H404" s="2" t="s">
        <v>2441</v>
      </c>
      <c r="I404" s="2" t="s">
        <v>6</v>
      </c>
      <c r="J404" s="2" t="s">
        <v>29</v>
      </c>
      <c r="K404" s="2" t="s">
        <v>370</v>
      </c>
      <c r="L404" s="2" t="s">
        <v>28</v>
      </c>
      <c r="M404" s="2">
        <v>1247</v>
      </c>
      <c r="N404" s="2" t="s">
        <v>9</v>
      </c>
      <c r="T404" s="2" t="s">
        <v>16964</v>
      </c>
    </row>
    <row r="405" spans="1:24" hidden="1">
      <c r="A405" s="3" t="s">
        <v>3732</v>
      </c>
      <c r="B405" s="2">
        <v>44</v>
      </c>
      <c r="D405" s="66" t="str">
        <f>VLOOKUP("*"&amp;A405&amp;"*",[2]Sheet1!$G$2:$X$1155,18,FALSE)</f>
        <v>ERR10549939</v>
      </c>
      <c r="E405" s="2">
        <v>2019</v>
      </c>
      <c r="F405" s="2" t="s">
        <v>139</v>
      </c>
      <c r="G405" s="2" t="s">
        <v>5</v>
      </c>
      <c r="H405" s="2" t="s">
        <v>2439</v>
      </c>
      <c r="I405" s="2" t="s">
        <v>10</v>
      </c>
      <c r="J405" s="2" t="s">
        <v>98</v>
      </c>
      <c r="K405" s="2" t="s">
        <v>371</v>
      </c>
      <c r="L405" s="2" t="s">
        <v>97</v>
      </c>
      <c r="M405" s="2">
        <v>224</v>
      </c>
      <c r="N405" s="2" t="s">
        <v>14</v>
      </c>
      <c r="T405" s="2" t="s">
        <v>16964</v>
      </c>
    </row>
    <row r="406" spans="1:24" hidden="1">
      <c r="A406" s="3" t="s">
        <v>3247</v>
      </c>
      <c r="B406" s="2">
        <v>45</v>
      </c>
      <c r="D406" s="66" t="str">
        <f>VLOOKUP("*"&amp;A406&amp;"*",[2]Sheet1!$G$2:$X$1155,18,FALSE)</f>
        <v>ERR10549829</v>
      </c>
      <c r="E406" s="2">
        <v>2014</v>
      </c>
      <c r="F406" s="2" t="s">
        <v>139</v>
      </c>
      <c r="G406" s="2" t="s">
        <v>5</v>
      </c>
      <c r="H406" s="2" t="s">
        <v>2453</v>
      </c>
      <c r="I406" s="2" t="s">
        <v>6</v>
      </c>
      <c r="J406" s="2" t="s">
        <v>29</v>
      </c>
      <c r="K406" s="2" t="s">
        <v>372</v>
      </c>
      <c r="L406" s="2" t="s">
        <v>28</v>
      </c>
      <c r="M406" s="2">
        <v>8</v>
      </c>
      <c r="N406" s="2" t="s">
        <v>9</v>
      </c>
      <c r="T406" s="2" t="s">
        <v>16964</v>
      </c>
    </row>
    <row r="407" spans="1:24" hidden="1">
      <c r="A407" s="3" t="s">
        <v>3744</v>
      </c>
      <c r="B407" s="2">
        <v>46</v>
      </c>
      <c r="D407" s="66" t="str">
        <f>VLOOKUP("*"&amp;A407&amp;"*",[2]Sheet1!$G$2:$X$1155,18,FALSE)</f>
        <v>ERR10549874</v>
      </c>
      <c r="E407" s="2">
        <v>2015</v>
      </c>
      <c r="F407" s="2" t="s">
        <v>139</v>
      </c>
      <c r="G407" s="2" t="s">
        <v>5</v>
      </c>
      <c r="H407" s="2" t="s">
        <v>2454</v>
      </c>
      <c r="I407" s="2" t="s">
        <v>6</v>
      </c>
      <c r="J407" s="2" t="s">
        <v>40</v>
      </c>
      <c r="K407" s="2" t="s">
        <v>373</v>
      </c>
      <c r="L407" s="2" t="s">
        <v>39</v>
      </c>
      <c r="M407" s="2">
        <v>37</v>
      </c>
      <c r="N407" s="2" t="s">
        <v>9</v>
      </c>
      <c r="T407" s="2" t="s">
        <v>16964</v>
      </c>
    </row>
    <row r="408" spans="1:24" hidden="1">
      <c r="A408" s="3" t="s">
        <v>3228</v>
      </c>
      <c r="B408" s="2">
        <v>47</v>
      </c>
      <c r="D408" s="66" t="str">
        <f>VLOOKUP("*"&amp;A408&amp;"*",[2]Sheet1!$G$2:$X$1155,18,FALSE)</f>
        <v>ERR10549861</v>
      </c>
      <c r="E408" s="2">
        <v>2015</v>
      </c>
      <c r="F408" s="2" t="s">
        <v>139</v>
      </c>
      <c r="G408" s="2" t="s">
        <v>5</v>
      </c>
      <c r="H408" s="2" t="s">
        <v>2439</v>
      </c>
      <c r="I408" s="2" t="s">
        <v>6</v>
      </c>
      <c r="J408" s="2" t="s">
        <v>8</v>
      </c>
      <c r="K408" s="2" t="s">
        <v>374</v>
      </c>
      <c r="L408" s="2" t="s">
        <v>7</v>
      </c>
      <c r="M408" s="2">
        <v>121</v>
      </c>
      <c r="N408" s="2" t="s">
        <v>9</v>
      </c>
      <c r="T408" s="2" t="s">
        <v>16963</v>
      </c>
      <c r="X408" s="67" t="s">
        <v>4722</v>
      </c>
    </row>
    <row r="409" spans="1:24" hidden="1">
      <c r="A409" s="3" t="s">
        <v>3739</v>
      </c>
      <c r="B409" s="2">
        <v>48</v>
      </c>
      <c r="D409" s="66" t="str">
        <f>VLOOKUP("*"&amp;A409&amp;"*",[2]Sheet1!$G$2:$X$1155,18,FALSE)</f>
        <v>ERR10549864</v>
      </c>
      <c r="E409" s="2">
        <v>2015</v>
      </c>
      <c r="F409" s="2" t="s">
        <v>139</v>
      </c>
      <c r="G409" s="2" t="s">
        <v>5</v>
      </c>
      <c r="H409" s="2" t="s">
        <v>2454</v>
      </c>
      <c r="I409" s="2" t="s">
        <v>6</v>
      </c>
      <c r="J409" s="2" t="s">
        <v>40</v>
      </c>
      <c r="K409" s="2" t="s">
        <v>373</v>
      </c>
      <c r="L409" s="2" t="s">
        <v>39</v>
      </c>
      <c r="M409" s="2">
        <v>37</v>
      </c>
      <c r="N409" s="2" t="s">
        <v>9</v>
      </c>
      <c r="T409" s="2" t="s">
        <v>16964</v>
      </c>
    </row>
    <row r="410" spans="1:24" hidden="1">
      <c r="A410" s="3" t="s">
        <v>3750</v>
      </c>
      <c r="B410" s="2">
        <v>49</v>
      </c>
      <c r="D410" s="66" t="str">
        <f>VLOOKUP("*"&amp;A410&amp;"*",[2]Sheet1!$G$2:$X$1155,18,FALSE)</f>
        <v>ERR10549848</v>
      </c>
      <c r="E410" s="2">
        <v>2015</v>
      </c>
      <c r="F410" s="2" t="s">
        <v>139</v>
      </c>
      <c r="G410" s="2" t="s">
        <v>5</v>
      </c>
      <c r="H410" s="2" t="s">
        <v>2454</v>
      </c>
      <c r="I410" s="2" t="s">
        <v>6</v>
      </c>
      <c r="J410" s="2" t="s">
        <v>40</v>
      </c>
      <c r="K410" s="2" t="s">
        <v>373</v>
      </c>
      <c r="L410" s="2" t="s">
        <v>39</v>
      </c>
      <c r="M410" s="2">
        <v>37</v>
      </c>
      <c r="N410" s="2" t="s">
        <v>9</v>
      </c>
      <c r="T410" s="2" t="s">
        <v>16964</v>
      </c>
    </row>
    <row r="411" spans="1:24" hidden="1">
      <c r="A411" s="3" t="s">
        <v>2903</v>
      </c>
      <c r="B411" s="2">
        <v>50</v>
      </c>
      <c r="D411" s="66" t="str">
        <f>VLOOKUP("*"&amp;A411&amp;"*",[2]Sheet1!$G$2:$X$1155,18,FALSE)</f>
        <v>ERR10611937</v>
      </c>
      <c r="E411" s="2">
        <v>2015</v>
      </c>
      <c r="F411" s="2" t="s">
        <v>139</v>
      </c>
      <c r="G411" s="2" t="s">
        <v>5</v>
      </c>
      <c r="H411" s="2" t="s">
        <v>2437</v>
      </c>
      <c r="I411" s="2" t="s">
        <v>6</v>
      </c>
      <c r="J411" s="2" t="s">
        <v>8</v>
      </c>
      <c r="K411" s="2" t="s">
        <v>908</v>
      </c>
      <c r="L411" s="2" t="s">
        <v>7</v>
      </c>
      <c r="M411" s="2">
        <v>121</v>
      </c>
      <c r="N411" s="2" t="s">
        <v>9</v>
      </c>
      <c r="T411" s="2" t="s">
        <v>16963</v>
      </c>
      <c r="X411" s="67" t="s">
        <v>4722</v>
      </c>
    </row>
    <row r="412" spans="1:24" hidden="1">
      <c r="A412" s="3" t="s">
        <v>3748</v>
      </c>
      <c r="B412" s="2">
        <v>51</v>
      </c>
      <c r="D412" s="66" t="str">
        <f>VLOOKUP("*"&amp;A412&amp;"*",[2]Sheet1!$G$2:$X$1155,18,FALSE)</f>
        <v>ERR10549878</v>
      </c>
      <c r="E412" s="2">
        <v>2015</v>
      </c>
      <c r="F412" s="2" t="s">
        <v>139</v>
      </c>
      <c r="G412" s="2" t="s">
        <v>5</v>
      </c>
      <c r="H412" s="2" t="s">
        <v>2454</v>
      </c>
      <c r="I412" s="2" t="s">
        <v>6</v>
      </c>
      <c r="J412" s="2" t="s">
        <v>40</v>
      </c>
      <c r="K412" s="2" t="s">
        <v>373</v>
      </c>
      <c r="L412" s="2" t="s">
        <v>39</v>
      </c>
      <c r="M412" s="2">
        <v>37</v>
      </c>
      <c r="N412" s="2" t="s">
        <v>9</v>
      </c>
      <c r="T412" s="2" t="s">
        <v>16964</v>
      </c>
    </row>
    <row r="413" spans="1:24" hidden="1">
      <c r="A413" s="3" t="s">
        <v>3755</v>
      </c>
      <c r="B413" s="2">
        <v>52</v>
      </c>
      <c r="D413" s="66" t="str">
        <f>VLOOKUP("*"&amp;A413&amp;"*",[2]Sheet1!$G$2:$X$1155,18,FALSE)</f>
        <v>ERR10549873</v>
      </c>
      <c r="E413" s="2">
        <v>2015</v>
      </c>
      <c r="F413" s="2" t="s">
        <v>139</v>
      </c>
      <c r="G413" s="2" t="s">
        <v>5</v>
      </c>
      <c r="H413" s="2" t="s">
        <v>2454</v>
      </c>
      <c r="I413" s="2" t="s">
        <v>6</v>
      </c>
      <c r="J413" s="2" t="s">
        <v>40</v>
      </c>
      <c r="K413" s="2" t="s">
        <v>373</v>
      </c>
      <c r="L413" s="2" t="s">
        <v>39</v>
      </c>
      <c r="M413" s="2">
        <v>37</v>
      </c>
      <c r="N413" s="2" t="s">
        <v>9</v>
      </c>
      <c r="T413" s="2" t="s">
        <v>16964</v>
      </c>
    </row>
    <row r="414" spans="1:24" hidden="1">
      <c r="A414" s="3" t="s">
        <v>3746</v>
      </c>
      <c r="B414" s="2">
        <v>53</v>
      </c>
      <c r="D414" s="66" t="str">
        <f>VLOOKUP("*"&amp;A414&amp;"*",[2]Sheet1!$G$2:$X$1155,18,FALSE)</f>
        <v>ERR10549844</v>
      </c>
      <c r="E414" s="2">
        <v>2015</v>
      </c>
      <c r="F414" s="2" t="s">
        <v>139</v>
      </c>
      <c r="G414" s="2" t="s">
        <v>5</v>
      </c>
      <c r="H414" s="2" t="s">
        <v>2454</v>
      </c>
      <c r="I414" s="2" t="s">
        <v>6</v>
      </c>
      <c r="J414" s="2" t="s">
        <v>40</v>
      </c>
      <c r="K414" s="2" t="s">
        <v>373</v>
      </c>
      <c r="L414" s="2" t="s">
        <v>39</v>
      </c>
      <c r="M414" s="2">
        <v>37</v>
      </c>
      <c r="N414" s="2" t="s">
        <v>9</v>
      </c>
      <c r="T414" s="2" t="s">
        <v>16964</v>
      </c>
    </row>
    <row r="415" spans="1:24" hidden="1">
      <c r="A415" s="3" t="s">
        <v>3729</v>
      </c>
      <c r="B415" s="2">
        <v>54</v>
      </c>
      <c r="D415" s="66" t="str">
        <f>VLOOKUP("*"&amp;A415&amp;"*",[2]Sheet1!$G$2:$X$1155,18,FALSE)</f>
        <v>ERR10549835</v>
      </c>
      <c r="E415" s="2">
        <v>2014</v>
      </c>
      <c r="F415" s="2" t="s">
        <v>139</v>
      </c>
      <c r="G415" s="2" t="s">
        <v>5</v>
      </c>
      <c r="H415" s="2" t="s">
        <v>2455</v>
      </c>
      <c r="I415" s="2" t="s">
        <v>6</v>
      </c>
      <c r="J415" s="2" t="s">
        <v>56</v>
      </c>
      <c r="K415" s="2" t="s">
        <v>375</v>
      </c>
      <c r="L415" s="2" t="s">
        <v>55</v>
      </c>
      <c r="M415" s="2">
        <v>451</v>
      </c>
      <c r="N415" s="2" t="s">
        <v>9</v>
      </c>
      <c r="T415" s="2" t="s">
        <v>16964</v>
      </c>
    </row>
    <row r="416" spans="1:24" hidden="1">
      <c r="A416" s="3" t="s">
        <v>3371</v>
      </c>
      <c r="B416" s="2">
        <v>55</v>
      </c>
      <c r="D416" s="66" t="str">
        <f>VLOOKUP("*"&amp;A416&amp;"*",[2]Sheet1!$G$2:$X$1155,18,FALSE)</f>
        <v>ERR10549816</v>
      </c>
      <c r="E416" s="2">
        <v>2014</v>
      </c>
      <c r="F416" s="2" t="s">
        <v>139</v>
      </c>
      <c r="G416" s="2" t="s">
        <v>5</v>
      </c>
      <c r="H416" s="2" t="s">
        <v>2438</v>
      </c>
      <c r="I416" s="2" t="s">
        <v>6</v>
      </c>
      <c r="J416" s="2" t="s">
        <v>8</v>
      </c>
      <c r="K416" s="2" t="s">
        <v>376</v>
      </c>
      <c r="L416" s="2" t="s">
        <v>7</v>
      </c>
      <c r="M416" s="2">
        <v>121</v>
      </c>
      <c r="N416" s="2" t="s">
        <v>9</v>
      </c>
      <c r="T416" s="2" t="s">
        <v>16963</v>
      </c>
      <c r="X416" s="67" t="s">
        <v>4725</v>
      </c>
    </row>
    <row r="417" spans="1:24" hidden="1">
      <c r="A417" s="3" t="s">
        <v>4104</v>
      </c>
      <c r="B417" s="2">
        <v>56</v>
      </c>
      <c r="D417" s="66" t="str">
        <f>VLOOKUP("*"&amp;A417&amp;"*",[2]Sheet1!$G$2:$X$1155,18,FALSE)</f>
        <v>ERR10549860</v>
      </c>
      <c r="E417" s="2">
        <v>2014</v>
      </c>
      <c r="F417" s="2" t="s">
        <v>139</v>
      </c>
      <c r="G417" s="2" t="s">
        <v>5</v>
      </c>
      <c r="H417" s="2" t="s">
        <v>2438</v>
      </c>
      <c r="I417" s="2" t="s">
        <v>6</v>
      </c>
      <c r="J417" s="2" t="s">
        <v>120</v>
      </c>
      <c r="K417" s="2" t="s">
        <v>4707</v>
      </c>
      <c r="L417" s="2" t="s">
        <v>119</v>
      </c>
      <c r="M417" s="2">
        <v>155</v>
      </c>
      <c r="N417" s="2" t="s">
        <v>9</v>
      </c>
      <c r="T417" s="2" t="s">
        <v>16964</v>
      </c>
    </row>
    <row r="418" spans="1:24" hidden="1">
      <c r="A418" s="3" t="s">
        <v>2899</v>
      </c>
      <c r="B418" s="2">
        <v>57</v>
      </c>
      <c r="D418" s="66" t="str">
        <f>VLOOKUP("*"&amp;A418&amp;"*",[2]Sheet1!$G$2:$X$1155,18,FALSE)</f>
        <v>ERR10549879</v>
      </c>
      <c r="E418" s="2">
        <v>2015</v>
      </c>
      <c r="F418" s="2" t="s">
        <v>139</v>
      </c>
      <c r="G418" s="2" t="s">
        <v>43</v>
      </c>
      <c r="H418" s="2" t="s">
        <v>2456</v>
      </c>
      <c r="I418" s="2" t="s">
        <v>6</v>
      </c>
      <c r="J418" s="2" t="s">
        <v>8</v>
      </c>
      <c r="K418" s="2" t="s">
        <v>377</v>
      </c>
      <c r="L418" s="2" t="s">
        <v>7</v>
      </c>
      <c r="M418" s="2">
        <v>121</v>
      </c>
      <c r="N418" s="2" t="s">
        <v>9</v>
      </c>
      <c r="T418" s="2" t="s">
        <v>16963</v>
      </c>
      <c r="X418" s="67" t="s">
        <v>4722</v>
      </c>
    </row>
    <row r="419" spans="1:24" hidden="1">
      <c r="A419" s="3" t="s">
        <v>3262</v>
      </c>
      <c r="B419" s="2">
        <v>58</v>
      </c>
      <c r="D419" s="66" t="str">
        <f>VLOOKUP("*"&amp;A419&amp;"*",[2]Sheet1!$G$2:$X$1155,18,FALSE)</f>
        <v>ERR10549821</v>
      </c>
      <c r="E419" s="2">
        <v>2014</v>
      </c>
      <c r="F419" s="2" t="s">
        <v>139</v>
      </c>
      <c r="G419" s="2" t="s">
        <v>5</v>
      </c>
      <c r="H419" s="2" t="s">
        <v>2439</v>
      </c>
      <c r="I419" s="2" t="s">
        <v>6</v>
      </c>
      <c r="J419" s="2" t="s">
        <v>8</v>
      </c>
      <c r="K419" s="2" t="s">
        <v>378</v>
      </c>
      <c r="L419" s="2" t="s">
        <v>7</v>
      </c>
      <c r="M419" s="2">
        <v>121</v>
      </c>
      <c r="N419" s="2" t="s">
        <v>9</v>
      </c>
      <c r="T419" s="2" t="s">
        <v>16963</v>
      </c>
      <c r="X419" s="67" t="s">
        <v>4722</v>
      </c>
    </row>
    <row r="420" spans="1:24" hidden="1">
      <c r="A420" s="3" t="s">
        <v>2975</v>
      </c>
      <c r="B420" s="2">
        <v>59</v>
      </c>
      <c r="D420" s="66" t="str">
        <f>VLOOKUP("*"&amp;A420&amp;"*",[2]Sheet1!$G$2:$X$1155,18,FALSE)</f>
        <v>ERR10549833</v>
      </c>
      <c r="E420" s="2">
        <v>2014</v>
      </c>
      <c r="F420" s="2" t="s">
        <v>139</v>
      </c>
      <c r="G420" s="2" t="s">
        <v>5</v>
      </c>
      <c r="H420" s="2" t="s">
        <v>2439</v>
      </c>
      <c r="I420" s="2" t="s">
        <v>6</v>
      </c>
      <c r="J420" s="2" t="s">
        <v>8</v>
      </c>
      <c r="K420" s="2" t="s">
        <v>379</v>
      </c>
      <c r="L420" s="2" t="s">
        <v>7</v>
      </c>
      <c r="M420" s="2">
        <v>121</v>
      </c>
      <c r="N420" s="2" t="s">
        <v>9</v>
      </c>
      <c r="T420" s="2" t="s">
        <v>16963</v>
      </c>
      <c r="X420" s="67" t="s">
        <v>4722</v>
      </c>
    </row>
    <row r="421" spans="1:24" hidden="1">
      <c r="A421" s="3" t="s">
        <v>3147</v>
      </c>
      <c r="B421" s="2">
        <v>60</v>
      </c>
      <c r="D421" s="66" t="str">
        <f>VLOOKUP("*"&amp;A421&amp;"*",[2]Sheet1!$G$2:$X$1155,18,FALSE)</f>
        <v>ERR10549828</v>
      </c>
      <c r="E421" s="2">
        <v>2014</v>
      </c>
      <c r="F421" s="2" t="s">
        <v>139</v>
      </c>
      <c r="G421" s="2" t="s">
        <v>5</v>
      </c>
      <c r="H421" s="2" t="s">
        <v>2457</v>
      </c>
      <c r="I421" s="2" t="s">
        <v>6</v>
      </c>
      <c r="J421" s="2" t="s">
        <v>8</v>
      </c>
      <c r="K421" s="2" t="s">
        <v>380</v>
      </c>
      <c r="L421" s="2" t="s">
        <v>7</v>
      </c>
      <c r="M421" s="2">
        <v>121</v>
      </c>
      <c r="N421" s="2" t="s">
        <v>9</v>
      </c>
      <c r="T421" s="2" t="s">
        <v>16963</v>
      </c>
      <c r="X421" s="67" t="s">
        <v>4722</v>
      </c>
    </row>
    <row r="422" spans="1:24" hidden="1">
      <c r="A422" s="3" t="s">
        <v>2979</v>
      </c>
      <c r="B422" s="2">
        <v>61</v>
      </c>
      <c r="D422" s="66" t="str">
        <f>VLOOKUP("*"&amp;A422&amp;"*",[2]Sheet1!$G$2:$X$1155,18,FALSE)</f>
        <v>ERR10549845</v>
      </c>
      <c r="E422" s="2">
        <v>2014</v>
      </c>
      <c r="F422" s="2" t="s">
        <v>139</v>
      </c>
      <c r="G422" s="2" t="s">
        <v>5</v>
      </c>
      <c r="H422" s="2" t="s">
        <v>2439</v>
      </c>
      <c r="I422" s="2" t="s">
        <v>6</v>
      </c>
      <c r="J422" s="2" t="s">
        <v>8</v>
      </c>
      <c r="K422" s="2" t="s">
        <v>379</v>
      </c>
      <c r="L422" s="2" t="s">
        <v>7</v>
      </c>
      <c r="M422" s="2">
        <v>121</v>
      </c>
      <c r="N422" s="2" t="s">
        <v>9</v>
      </c>
      <c r="T422" s="2" t="s">
        <v>16963</v>
      </c>
      <c r="X422" s="67" t="s">
        <v>4722</v>
      </c>
    </row>
    <row r="423" spans="1:24" hidden="1">
      <c r="A423" s="3" t="s">
        <v>3866</v>
      </c>
      <c r="B423" s="2">
        <v>62</v>
      </c>
      <c r="D423" s="66" t="str">
        <f>VLOOKUP("*"&amp;A423&amp;"*",[2]Sheet1!$G$2:$X$1155,18,FALSE)</f>
        <v>ERR10611944</v>
      </c>
      <c r="E423" s="2">
        <v>2014</v>
      </c>
      <c r="F423" s="2" t="s">
        <v>139</v>
      </c>
      <c r="G423" s="2" t="s">
        <v>5</v>
      </c>
      <c r="H423" s="2" t="s">
        <v>2456</v>
      </c>
      <c r="I423" s="2" t="s">
        <v>10</v>
      </c>
      <c r="J423" s="2" t="s">
        <v>12</v>
      </c>
      <c r="K423" s="2" t="s">
        <v>387</v>
      </c>
      <c r="L423" s="2" t="s">
        <v>11</v>
      </c>
      <c r="M423" s="2">
        <v>3</v>
      </c>
      <c r="N423" s="2" t="s">
        <v>14</v>
      </c>
      <c r="T423" s="2" t="s">
        <v>16964</v>
      </c>
    </row>
    <row r="424" spans="1:24" hidden="1">
      <c r="A424" s="3" t="s">
        <v>3100</v>
      </c>
      <c r="B424" s="2">
        <v>63</v>
      </c>
      <c r="D424" s="66" t="str">
        <f>VLOOKUP("*"&amp;A424&amp;"*",[2]Sheet1!$G$2:$X$1155,18,FALSE)</f>
        <v>ERR10549822</v>
      </c>
      <c r="E424" s="2">
        <v>2014</v>
      </c>
      <c r="F424" s="2" t="s">
        <v>139</v>
      </c>
      <c r="G424" s="2" t="s">
        <v>5</v>
      </c>
      <c r="H424" s="2" t="s">
        <v>2439</v>
      </c>
      <c r="I424" s="2" t="s">
        <v>10</v>
      </c>
      <c r="J424" s="2" t="s">
        <v>17</v>
      </c>
      <c r="K424" s="2" t="s">
        <v>381</v>
      </c>
      <c r="L424" s="2" t="s">
        <v>16</v>
      </c>
      <c r="M424" s="2">
        <v>2</v>
      </c>
      <c r="N424" s="2" t="s">
        <v>18</v>
      </c>
      <c r="T424" s="2" t="s">
        <v>16964</v>
      </c>
    </row>
    <row r="425" spans="1:24" hidden="1">
      <c r="A425" s="3" t="s">
        <v>3260</v>
      </c>
      <c r="B425" s="2">
        <v>64</v>
      </c>
      <c r="D425" s="66" t="str">
        <f>VLOOKUP("*"&amp;A425&amp;"*",[2]Sheet1!$G$2:$X$1155,18,FALSE)</f>
        <v>ERR10549819</v>
      </c>
      <c r="E425" s="2">
        <v>2014</v>
      </c>
      <c r="F425" s="2" t="s">
        <v>139</v>
      </c>
      <c r="G425" s="2" t="s">
        <v>5</v>
      </c>
      <c r="H425" s="2" t="s">
        <v>2439</v>
      </c>
      <c r="I425" s="2" t="s">
        <v>6</v>
      </c>
      <c r="J425" s="2" t="s">
        <v>8</v>
      </c>
      <c r="K425" s="2" t="s">
        <v>379</v>
      </c>
      <c r="L425" s="2" t="s">
        <v>7</v>
      </c>
      <c r="M425" s="2">
        <v>121</v>
      </c>
      <c r="N425" s="2" t="s">
        <v>9</v>
      </c>
      <c r="T425" s="2" t="s">
        <v>16963</v>
      </c>
      <c r="X425" s="67" t="s">
        <v>4722</v>
      </c>
    </row>
    <row r="426" spans="1:24" hidden="1">
      <c r="A426" s="3" t="s">
        <v>2859</v>
      </c>
      <c r="B426" s="2" t="s">
        <v>17364</v>
      </c>
      <c r="D426" s="66" t="s">
        <v>17361</v>
      </c>
      <c r="E426" s="2">
        <v>2014</v>
      </c>
      <c r="F426" s="2" t="s">
        <v>139</v>
      </c>
      <c r="G426" s="2" t="s">
        <v>5</v>
      </c>
      <c r="H426" s="2" t="s">
        <v>2439</v>
      </c>
      <c r="I426" s="2" t="s">
        <v>10</v>
      </c>
      <c r="J426" s="2" t="s">
        <v>383</v>
      </c>
      <c r="K426" s="2" t="s">
        <v>384</v>
      </c>
      <c r="L426" s="2" t="s">
        <v>382</v>
      </c>
      <c r="M426" s="2">
        <v>191</v>
      </c>
      <c r="N426" s="2" t="s">
        <v>14</v>
      </c>
      <c r="T426" s="2" t="s">
        <v>16964</v>
      </c>
    </row>
    <row r="427" spans="1:24" hidden="1">
      <c r="A427" s="3" t="s">
        <v>3009</v>
      </c>
      <c r="B427" s="2">
        <v>66</v>
      </c>
      <c r="D427" s="66" t="str">
        <f>VLOOKUP("*"&amp;A427&amp;"*",[2]Sheet1!$G$2:$X$1155,18,FALSE)</f>
        <v>ERR10549830</v>
      </c>
      <c r="E427" s="2">
        <v>2014</v>
      </c>
      <c r="F427" s="2" t="s">
        <v>139</v>
      </c>
      <c r="G427" s="2" t="s">
        <v>5</v>
      </c>
      <c r="H427" s="2" t="s">
        <v>2439</v>
      </c>
      <c r="I427" s="2" t="s">
        <v>10</v>
      </c>
      <c r="J427" s="2" t="s">
        <v>12</v>
      </c>
      <c r="K427" s="2" t="s">
        <v>385</v>
      </c>
      <c r="L427" s="2" t="s">
        <v>11</v>
      </c>
      <c r="M427" s="2">
        <v>3</v>
      </c>
      <c r="N427" s="2" t="s">
        <v>14</v>
      </c>
      <c r="T427" s="2" t="s">
        <v>16964</v>
      </c>
    </row>
    <row r="428" spans="1:24" hidden="1">
      <c r="A428" s="3" t="s">
        <v>3313</v>
      </c>
      <c r="B428" s="2">
        <v>67</v>
      </c>
      <c r="D428" s="66" t="str">
        <f>VLOOKUP("*"&amp;A428&amp;"*",[2]Sheet1!$G$2:$X$1155,18,FALSE)</f>
        <v>ERR10549826</v>
      </c>
      <c r="E428" s="2">
        <v>2014</v>
      </c>
      <c r="F428" s="2" t="s">
        <v>139</v>
      </c>
      <c r="G428" s="2" t="s">
        <v>5</v>
      </c>
      <c r="H428" s="2" t="s">
        <v>2439</v>
      </c>
      <c r="I428" s="2" t="s">
        <v>6</v>
      </c>
      <c r="J428" s="2" t="s">
        <v>20</v>
      </c>
      <c r="K428" s="2" t="s">
        <v>386</v>
      </c>
      <c r="L428" s="2" t="s">
        <v>19</v>
      </c>
      <c r="M428" s="2">
        <v>9</v>
      </c>
      <c r="N428" s="2" t="s">
        <v>21</v>
      </c>
      <c r="T428" s="2" t="s">
        <v>16964</v>
      </c>
    </row>
    <row r="429" spans="1:24" hidden="1">
      <c r="A429" s="3" t="s">
        <v>3312</v>
      </c>
      <c r="B429" s="2">
        <v>68</v>
      </c>
      <c r="D429" s="66" t="str">
        <f>VLOOKUP("*"&amp;A429&amp;"*",[2]Sheet1!$G$2:$X$1155,18,FALSE)</f>
        <v>ERR10549859</v>
      </c>
      <c r="E429" s="2">
        <v>2014</v>
      </c>
      <c r="F429" s="2" t="s">
        <v>139</v>
      </c>
      <c r="G429" s="2" t="s">
        <v>5</v>
      </c>
      <c r="H429" s="2" t="s">
        <v>2439</v>
      </c>
      <c r="I429" s="2" t="s">
        <v>6</v>
      </c>
      <c r="J429" s="2" t="s">
        <v>20</v>
      </c>
      <c r="K429" s="2" t="s">
        <v>386</v>
      </c>
      <c r="L429" s="2" t="s">
        <v>19</v>
      </c>
      <c r="M429" s="2">
        <v>9</v>
      </c>
      <c r="N429" s="2" t="s">
        <v>21</v>
      </c>
      <c r="T429" s="2" t="s">
        <v>16964</v>
      </c>
    </row>
    <row r="430" spans="1:24" hidden="1">
      <c r="A430" s="3" t="s">
        <v>3428</v>
      </c>
      <c r="B430" s="2">
        <v>69</v>
      </c>
      <c r="D430" s="66" t="str">
        <f>VLOOKUP("*"&amp;A430&amp;"*",[2]Sheet1!$G$2:$X$1155,18,FALSE)</f>
        <v>ERR10549834</v>
      </c>
      <c r="E430" s="2">
        <v>2014</v>
      </c>
      <c r="F430" s="2" t="s">
        <v>139</v>
      </c>
      <c r="G430" s="2" t="s">
        <v>5</v>
      </c>
      <c r="H430" s="2" t="s">
        <v>2439</v>
      </c>
      <c r="I430" s="2" t="s">
        <v>6</v>
      </c>
      <c r="J430" s="2" t="s">
        <v>20</v>
      </c>
      <c r="K430" s="2" t="s">
        <v>386</v>
      </c>
      <c r="L430" s="2" t="s">
        <v>19</v>
      </c>
      <c r="M430" s="2">
        <v>9</v>
      </c>
      <c r="N430" s="2" t="s">
        <v>21</v>
      </c>
      <c r="T430" s="2" t="s">
        <v>16964</v>
      </c>
    </row>
    <row r="431" spans="1:24" hidden="1">
      <c r="A431" s="3" t="s">
        <v>3309</v>
      </c>
      <c r="B431" s="2">
        <v>70</v>
      </c>
      <c r="D431" s="66" t="str">
        <f>VLOOKUP("*"&amp;A431&amp;"*",[2]Sheet1!$G$2:$X$1155,18,FALSE)</f>
        <v>ERR10549823</v>
      </c>
      <c r="E431" s="2">
        <v>2014</v>
      </c>
      <c r="F431" s="2" t="s">
        <v>139</v>
      </c>
      <c r="G431" s="2" t="s">
        <v>5</v>
      </c>
      <c r="H431" s="2" t="s">
        <v>2439</v>
      </c>
      <c r="I431" s="2" t="s">
        <v>6</v>
      </c>
      <c r="J431" s="2" t="s">
        <v>20</v>
      </c>
      <c r="K431" s="2" t="s">
        <v>386</v>
      </c>
      <c r="L431" s="2" t="s">
        <v>19</v>
      </c>
      <c r="M431" s="2">
        <v>9</v>
      </c>
      <c r="N431" s="2" t="s">
        <v>21</v>
      </c>
      <c r="T431" s="2" t="s">
        <v>16964</v>
      </c>
    </row>
    <row r="432" spans="1:24" hidden="1">
      <c r="A432" s="3" t="s">
        <v>3310</v>
      </c>
      <c r="B432" s="2">
        <v>71</v>
      </c>
      <c r="D432" s="66" t="str">
        <f>VLOOKUP("*"&amp;A432&amp;"*",[2]Sheet1!$G$2:$X$1155,18,FALSE)</f>
        <v>ERR10549854</v>
      </c>
      <c r="E432" s="2">
        <v>2014</v>
      </c>
      <c r="F432" s="2" t="s">
        <v>139</v>
      </c>
      <c r="G432" s="2" t="s">
        <v>5</v>
      </c>
      <c r="H432" s="2" t="s">
        <v>2439</v>
      </c>
      <c r="I432" s="2" t="s">
        <v>6</v>
      </c>
      <c r="J432" s="2" t="s">
        <v>20</v>
      </c>
      <c r="K432" s="2" t="s">
        <v>386</v>
      </c>
      <c r="L432" s="2" t="s">
        <v>19</v>
      </c>
      <c r="M432" s="2">
        <v>9</v>
      </c>
      <c r="N432" s="2" t="s">
        <v>21</v>
      </c>
      <c r="T432" s="2" t="s">
        <v>16964</v>
      </c>
    </row>
    <row r="433" spans="1:24" hidden="1">
      <c r="A433" s="3" t="s">
        <v>3859</v>
      </c>
      <c r="B433" s="2">
        <v>72</v>
      </c>
      <c r="D433" s="66" t="str">
        <f>VLOOKUP("*"&amp;A433&amp;"*",[2]Sheet1!$G$2:$X$1155,18,FALSE)</f>
        <v>ERR10549825</v>
      </c>
      <c r="E433" s="2">
        <v>2014</v>
      </c>
      <c r="F433" s="2" t="s">
        <v>139</v>
      </c>
      <c r="G433" s="2" t="s">
        <v>5</v>
      </c>
      <c r="H433" s="2" t="s">
        <v>2458</v>
      </c>
      <c r="I433" s="2" t="s">
        <v>10</v>
      </c>
      <c r="J433" s="2" t="s">
        <v>12</v>
      </c>
      <c r="K433" s="2" t="s">
        <v>387</v>
      </c>
      <c r="L433" s="2" t="s">
        <v>11</v>
      </c>
      <c r="M433" s="2">
        <v>3</v>
      </c>
      <c r="N433" s="2" t="s">
        <v>14</v>
      </c>
      <c r="T433" s="2" t="s">
        <v>16964</v>
      </c>
    </row>
    <row r="434" spans="1:24" hidden="1">
      <c r="A434" s="3" t="s">
        <v>3098</v>
      </c>
      <c r="B434" s="2">
        <v>73</v>
      </c>
      <c r="D434" s="66" t="str">
        <f>VLOOKUP("*"&amp;A434&amp;"*",[2]Sheet1!$G$2:$X$1155,18,FALSE)</f>
        <v>ERR10549847</v>
      </c>
      <c r="E434" s="2">
        <v>2014</v>
      </c>
      <c r="F434" s="2" t="s">
        <v>139</v>
      </c>
      <c r="G434" s="2" t="s">
        <v>5</v>
      </c>
      <c r="H434" s="2" t="s">
        <v>2458</v>
      </c>
      <c r="I434" s="2" t="s">
        <v>10</v>
      </c>
      <c r="J434" s="2" t="s">
        <v>17</v>
      </c>
      <c r="K434" s="2" t="s">
        <v>388</v>
      </c>
      <c r="L434" s="2" t="s">
        <v>16</v>
      </c>
      <c r="M434" s="2">
        <v>2</v>
      </c>
      <c r="N434" s="2" t="s">
        <v>18</v>
      </c>
      <c r="T434" s="2" t="s">
        <v>16964</v>
      </c>
    </row>
    <row r="435" spans="1:24" hidden="1">
      <c r="A435" s="3" t="s">
        <v>3582</v>
      </c>
      <c r="B435" s="2">
        <v>74</v>
      </c>
      <c r="D435" s="66" t="str">
        <f>VLOOKUP("*"&amp;A435&amp;"*",[2]Sheet1!$G$2:$X$1155,18,FALSE)</f>
        <v>ERR10611983</v>
      </c>
      <c r="E435" s="2">
        <v>2014</v>
      </c>
      <c r="F435" s="2" t="s">
        <v>139</v>
      </c>
      <c r="G435" s="2" t="s">
        <v>5</v>
      </c>
      <c r="H435" s="2" t="s">
        <v>2458</v>
      </c>
      <c r="I435" s="2" t="s">
        <v>6</v>
      </c>
      <c r="J435" s="2" t="s">
        <v>166</v>
      </c>
      <c r="K435" s="2" t="s">
        <v>1181</v>
      </c>
      <c r="L435" s="2" t="s">
        <v>165</v>
      </c>
      <c r="M435" s="2">
        <v>391</v>
      </c>
      <c r="N435" s="2" t="s">
        <v>9</v>
      </c>
      <c r="T435" s="2" t="s">
        <v>16964</v>
      </c>
    </row>
    <row r="436" spans="1:24" hidden="1">
      <c r="A436" s="3" t="s">
        <v>3592</v>
      </c>
      <c r="B436" s="2">
        <v>75</v>
      </c>
      <c r="D436" s="66" t="str">
        <f>VLOOKUP("*"&amp;A436&amp;"*",[2]Sheet1!$G$2:$X$1155,18,FALSE)</f>
        <v>ERR10549888</v>
      </c>
      <c r="E436" s="2">
        <v>2014</v>
      </c>
      <c r="F436" s="2" t="s">
        <v>139</v>
      </c>
      <c r="G436" s="2" t="s">
        <v>5</v>
      </c>
      <c r="H436" s="2" t="s">
        <v>2439</v>
      </c>
      <c r="I436" s="2" t="s">
        <v>6</v>
      </c>
      <c r="J436" s="2" t="s">
        <v>40</v>
      </c>
      <c r="K436" s="2" t="s">
        <v>373</v>
      </c>
      <c r="L436" s="2" t="s">
        <v>39</v>
      </c>
      <c r="M436" s="2">
        <v>37</v>
      </c>
      <c r="N436" s="2" t="s">
        <v>9</v>
      </c>
      <c r="T436" s="2" t="s">
        <v>16964</v>
      </c>
    </row>
    <row r="437" spans="1:24" hidden="1">
      <c r="A437" s="3" t="s">
        <v>3396</v>
      </c>
      <c r="B437" s="2">
        <v>76</v>
      </c>
      <c r="D437" s="66" t="str">
        <f>VLOOKUP("*"&amp;A437&amp;"*",[2]Sheet1!$G$2:$X$1155,18,FALSE)</f>
        <v>ERR10549846</v>
      </c>
      <c r="E437" s="2">
        <v>2014</v>
      </c>
      <c r="F437" s="2" t="s">
        <v>139</v>
      </c>
      <c r="G437" s="2" t="s">
        <v>5</v>
      </c>
      <c r="H437" s="2" t="s">
        <v>2439</v>
      </c>
      <c r="I437" s="2" t="s">
        <v>6</v>
      </c>
      <c r="J437" s="2" t="s">
        <v>20</v>
      </c>
      <c r="K437" s="2" t="s">
        <v>4715</v>
      </c>
      <c r="L437" s="2" t="s">
        <v>19</v>
      </c>
      <c r="M437" s="2">
        <v>9</v>
      </c>
      <c r="N437" s="2" t="s">
        <v>21</v>
      </c>
      <c r="T437" s="2" t="s">
        <v>16964</v>
      </c>
    </row>
    <row r="438" spans="1:24" hidden="1">
      <c r="A438" s="3" t="s">
        <v>4194</v>
      </c>
      <c r="B438" s="2">
        <v>77</v>
      </c>
      <c r="D438" s="66" t="str">
        <f>VLOOKUP("*"&amp;A438&amp;"*",[2]Sheet1!$G$2:$X$1155,18,FALSE)</f>
        <v>ERR10549870</v>
      </c>
      <c r="E438" s="2">
        <v>2014</v>
      </c>
      <c r="F438" s="2" t="s">
        <v>139</v>
      </c>
      <c r="G438" s="2" t="s">
        <v>5</v>
      </c>
      <c r="H438" s="2" t="s">
        <v>2439</v>
      </c>
      <c r="I438" s="2" t="s">
        <v>6</v>
      </c>
      <c r="J438" s="2" t="s">
        <v>20</v>
      </c>
      <c r="K438" s="2" t="s">
        <v>4710</v>
      </c>
      <c r="L438" s="2" t="s">
        <v>19</v>
      </c>
      <c r="M438" s="2">
        <v>9</v>
      </c>
      <c r="N438" s="2" t="s">
        <v>21</v>
      </c>
      <c r="T438" s="2" t="s">
        <v>16964</v>
      </c>
    </row>
    <row r="439" spans="1:24" hidden="1">
      <c r="A439" s="3" t="s">
        <v>2972</v>
      </c>
      <c r="B439" s="2">
        <v>78</v>
      </c>
      <c r="D439" s="66" t="str">
        <f>VLOOKUP("*"&amp;A439&amp;"*",[2]Sheet1!$G$2:$X$1155,18,FALSE)</f>
        <v>ERR10549836</v>
      </c>
      <c r="E439" s="2">
        <v>2014</v>
      </c>
      <c r="F439" s="2" t="s">
        <v>139</v>
      </c>
      <c r="G439" s="2" t="s">
        <v>5</v>
      </c>
      <c r="H439" s="2" t="s">
        <v>2439</v>
      </c>
      <c r="I439" s="2" t="s">
        <v>6</v>
      </c>
      <c r="J439" s="2" t="s">
        <v>8</v>
      </c>
      <c r="K439" s="2" t="s">
        <v>379</v>
      </c>
      <c r="L439" s="2" t="s">
        <v>7</v>
      </c>
      <c r="M439" s="2">
        <v>121</v>
      </c>
      <c r="N439" s="2" t="s">
        <v>9</v>
      </c>
      <c r="T439" s="2" t="s">
        <v>16963</v>
      </c>
      <c r="X439" s="67" t="s">
        <v>4722</v>
      </c>
    </row>
    <row r="440" spans="1:24" hidden="1">
      <c r="A440" s="3" t="s">
        <v>3861</v>
      </c>
      <c r="B440" s="2">
        <v>79</v>
      </c>
      <c r="D440" s="66" t="str">
        <f>VLOOKUP("*"&amp;A440&amp;"*",[2]Sheet1!$G$2:$X$1155,18,FALSE)</f>
        <v>ERR10549851</v>
      </c>
      <c r="E440" s="2">
        <v>2014</v>
      </c>
      <c r="F440" s="2" t="s">
        <v>139</v>
      </c>
      <c r="G440" s="2" t="s">
        <v>43</v>
      </c>
      <c r="H440" s="2" t="s">
        <v>2456</v>
      </c>
      <c r="I440" s="2" t="s">
        <v>10</v>
      </c>
      <c r="J440" s="2" t="s">
        <v>12</v>
      </c>
      <c r="K440" s="2" t="s">
        <v>387</v>
      </c>
      <c r="L440" s="2" t="s">
        <v>11</v>
      </c>
      <c r="M440" s="2">
        <v>3</v>
      </c>
      <c r="N440" s="2" t="s">
        <v>14</v>
      </c>
      <c r="T440" s="2" t="s">
        <v>16964</v>
      </c>
    </row>
    <row r="441" spans="1:24" hidden="1">
      <c r="A441" s="3" t="s">
        <v>2976</v>
      </c>
      <c r="B441" s="2">
        <v>80</v>
      </c>
      <c r="D441" s="66" t="str">
        <f>VLOOKUP("*"&amp;A441&amp;"*",[2]Sheet1!$G$2:$X$1155,18,FALSE)</f>
        <v>ERR10549931</v>
      </c>
      <c r="E441" s="2">
        <v>2014</v>
      </c>
      <c r="F441" s="2" t="s">
        <v>139</v>
      </c>
      <c r="G441" s="2" t="s">
        <v>5</v>
      </c>
      <c r="H441" s="2" t="s">
        <v>2439</v>
      </c>
      <c r="I441" s="2" t="s">
        <v>6</v>
      </c>
      <c r="J441" s="2" t="s">
        <v>8</v>
      </c>
      <c r="K441" s="2" t="s">
        <v>379</v>
      </c>
      <c r="L441" s="2" t="s">
        <v>7</v>
      </c>
      <c r="M441" s="2">
        <v>121</v>
      </c>
      <c r="N441" s="2" t="s">
        <v>9</v>
      </c>
      <c r="T441" s="2" t="s">
        <v>16963</v>
      </c>
      <c r="X441" s="67" t="s">
        <v>4722</v>
      </c>
    </row>
    <row r="442" spans="1:24" hidden="1">
      <c r="A442" s="3" t="s">
        <v>2978</v>
      </c>
      <c r="B442" s="2">
        <v>81</v>
      </c>
      <c r="D442" s="66" t="str">
        <f>VLOOKUP("*"&amp;A442&amp;"*",[2]Sheet1!$G$2:$X$1155,18,FALSE)</f>
        <v>ERR10549868</v>
      </c>
      <c r="E442" s="2">
        <v>2014</v>
      </c>
      <c r="F442" s="2" t="s">
        <v>139</v>
      </c>
      <c r="G442" s="2" t="s">
        <v>5</v>
      </c>
      <c r="H442" s="2" t="s">
        <v>2439</v>
      </c>
      <c r="I442" s="2" t="s">
        <v>6</v>
      </c>
      <c r="J442" s="2" t="s">
        <v>8</v>
      </c>
      <c r="K442" s="2" t="s">
        <v>379</v>
      </c>
      <c r="L442" s="2" t="s">
        <v>7</v>
      </c>
      <c r="M442" s="2">
        <v>121</v>
      </c>
      <c r="N442" s="2" t="s">
        <v>9</v>
      </c>
      <c r="T442" s="2" t="s">
        <v>16963</v>
      </c>
      <c r="X442" s="67" t="s">
        <v>4722</v>
      </c>
    </row>
    <row r="443" spans="1:24" hidden="1">
      <c r="A443" s="3" t="s">
        <v>3040</v>
      </c>
      <c r="B443" s="2">
        <v>82</v>
      </c>
      <c r="D443" s="66" t="str">
        <f>VLOOKUP("*"&amp;A443&amp;"*",[2]Sheet1!$G$2:$X$1155,18,FALSE)</f>
        <v>ERR10549850</v>
      </c>
      <c r="E443" s="2">
        <v>2014</v>
      </c>
      <c r="F443" s="2" t="s">
        <v>139</v>
      </c>
      <c r="G443" s="2" t="s">
        <v>5</v>
      </c>
      <c r="H443" s="2" t="s">
        <v>2457</v>
      </c>
      <c r="I443" s="2" t="s">
        <v>6</v>
      </c>
      <c r="J443" s="2" t="s">
        <v>8</v>
      </c>
      <c r="K443" s="2" t="s">
        <v>389</v>
      </c>
      <c r="L443" s="2" t="s">
        <v>7</v>
      </c>
      <c r="M443" s="2">
        <v>121</v>
      </c>
      <c r="N443" s="2" t="s">
        <v>9</v>
      </c>
      <c r="T443" s="2" t="s">
        <v>16963</v>
      </c>
      <c r="X443" s="67" t="s">
        <v>4722</v>
      </c>
    </row>
    <row r="444" spans="1:24" hidden="1">
      <c r="A444" s="3" t="s">
        <v>2923</v>
      </c>
      <c r="B444" s="2">
        <v>83</v>
      </c>
      <c r="D444" s="66" t="str">
        <f>VLOOKUP("*"&amp;A444&amp;"*",[2]Sheet1!$G$2:$X$1155,18,FALSE)</f>
        <v>ERR10549856</v>
      </c>
      <c r="E444" s="2">
        <v>2014</v>
      </c>
      <c r="F444" s="2" t="s">
        <v>139</v>
      </c>
      <c r="G444" s="2" t="s">
        <v>5</v>
      </c>
      <c r="H444" s="2" t="s">
        <v>2457</v>
      </c>
      <c r="I444" s="2" t="s">
        <v>6</v>
      </c>
      <c r="J444" s="2" t="s">
        <v>108</v>
      </c>
      <c r="K444" s="2" t="s">
        <v>390</v>
      </c>
      <c r="L444" s="2" t="s">
        <v>107</v>
      </c>
      <c r="M444" s="2">
        <v>996</v>
      </c>
      <c r="N444" s="2" t="s">
        <v>9</v>
      </c>
      <c r="T444" s="2" t="s">
        <v>16964</v>
      </c>
    </row>
    <row r="445" spans="1:24" hidden="1">
      <c r="A445" s="3" t="s">
        <v>3675</v>
      </c>
      <c r="B445" s="2">
        <v>84</v>
      </c>
      <c r="D445" s="66" t="str">
        <f>VLOOKUP("*"&amp;A445&amp;"*",[2]Sheet1!$G$2:$X$1155,18,FALSE)</f>
        <v>ERR10549831</v>
      </c>
      <c r="E445" s="2">
        <v>2014</v>
      </c>
      <c r="F445" s="2" t="s">
        <v>139</v>
      </c>
      <c r="G445" s="2" t="s">
        <v>5</v>
      </c>
      <c r="H445" s="2" t="s">
        <v>2438</v>
      </c>
      <c r="I445" s="2" t="s">
        <v>6</v>
      </c>
      <c r="J445" s="2" t="s">
        <v>20</v>
      </c>
      <c r="K445" s="2" t="s">
        <v>391</v>
      </c>
      <c r="L445" s="2" t="s">
        <v>19</v>
      </c>
      <c r="M445" s="2">
        <v>9</v>
      </c>
      <c r="N445" s="2" t="s">
        <v>21</v>
      </c>
      <c r="T445" s="2" t="s">
        <v>16963</v>
      </c>
      <c r="U445" s="67" t="s">
        <v>2627</v>
      </c>
    </row>
    <row r="446" spans="1:24" hidden="1">
      <c r="A446" s="3" t="s">
        <v>2928</v>
      </c>
      <c r="B446" s="2" t="s">
        <v>17365</v>
      </c>
      <c r="D446" s="66" t="s">
        <v>17362</v>
      </c>
      <c r="E446" s="2">
        <v>2014</v>
      </c>
      <c r="F446" s="2" t="s">
        <v>139</v>
      </c>
      <c r="G446" s="2" t="s">
        <v>5</v>
      </c>
      <c r="H446" s="2" t="s">
        <v>2459</v>
      </c>
      <c r="I446" s="2" t="s">
        <v>10</v>
      </c>
      <c r="J446" s="2" t="s">
        <v>12</v>
      </c>
      <c r="K446" s="2" t="s">
        <v>392</v>
      </c>
      <c r="L446" s="2" t="s">
        <v>11</v>
      </c>
      <c r="M446" s="2">
        <v>3</v>
      </c>
      <c r="N446" s="2" t="s">
        <v>14</v>
      </c>
      <c r="T446" s="2" t="s">
        <v>16964</v>
      </c>
    </row>
    <row r="447" spans="1:24" hidden="1">
      <c r="A447" s="3" t="s">
        <v>4394</v>
      </c>
      <c r="B447" s="2">
        <v>86</v>
      </c>
      <c r="D447" s="66" t="str">
        <f>VLOOKUP("*"&amp;A447&amp;"*",[2]Sheet1!$G$2:$X$1155,18,FALSE)</f>
        <v>ERR10611950</v>
      </c>
      <c r="E447" s="2">
        <v>2014</v>
      </c>
      <c r="F447" s="2" t="s">
        <v>139</v>
      </c>
      <c r="G447" s="2" t="s">
        <v>5</v>
      </c>
      <c r="H447" s="2" t="s">
        <v>2438</v>
      </c>
      <c r="I447" s="2" t="s">
        <v>10</v>
      </c>
      <c r="J447" s="2" t="s">
        <v>765</v>
      </c>
      <c r="K447" s="2" t="s">
        <v>1182</v>
      </c>
      <c r="L447" s="2" t="s">
        <v>764</v>
      </c>
      <c r="M447" s="2">
        <v>4</v>
      </c>
      <c r="N447" s="2" t="s">
        <v>18</v>
      </c>
      <c r="T447" s="2" t="s">
        <v>16964</v>
      </c>
    </row>
    <row r="448" spans="1:24" hidden="1">
      <c r="A448" s="3" t="s">
        <v>3314</v>
      </c>
      <c r="B448" s="2">
        <v>87</v>
      </c>
      <c r="D448" s="66" t="str">
        <f>VLOOKUP("*"&amp;A448&amp;"*",[2]Sheet1!$G$2:$X$1155,18,FALSE)</f>
        <v>ERR10549872</v>
      </c>
      <c r="E448" s="2">
        <v>2014</v>
      </c>
      <c r="F448" s="2" t="s">
        <v>139</v>
      </c>
      <c r="G448" s="2" t="s">
        <v>5</v>
      </c>
      <c r="H448" s="2" t="s">
        <v>2438</v>
      </c>
      <c r="I448" s="2" t="s">
        <v>6</v>
      </c>
      <c r="J448" s="2" t="s">
        <v>20</v>
      </c>
      <c r="K448" s="2" t="s">
        <v>393</v>
      </c>
      <c r="L448" s="2" t="s">
        <v>19</v>
      </c>
      <c r="M448" s="2">
        <v>9</v>
      </c>
      <c r="N448" s="2" t="s">
        <v>21</v>
      </c>
      <c r="T448" s="2" t="s">
        <v>16964</v>
      </c>
    </row>
    <row r="449" spans="1:24" hidden="1">
      <c r="A449" s="3" t="s">
        <v>2795</v>
      </c>
      <c r="B449" s="2">
        <v>88</v>
      </c>
      <c r="D449" s="66" t="str">
        <f>VLOOKUP("*"&amp;A449&amp;"*",[2]Sheet1!$G$2:$X$1155,18,FALSE)</f>
        <v>ERR10549853</v>
      </c>
      <c r="E449" s="2">
        <v>2015</v>
      </c>
      <c r="F449" s="2" t="s">
        <v>139</v>
      </c>
      <c r="G449" s="2" t="s">
        <v>5</v>
      </c>
      <c r="H449" s="2" t="s">
        <v>2454</v>
      </c>
      <c r="I449" s="2" t="s">
        <v>10</v>
      </c>
      <c r="J449" s="2" t="s">
        <v>129</v>
      </c>
      <c r="K449" s="2" t="s">
        <v>394</v>
      </c>
      <c r="L449" s="2" t="s">
        <v>128</v>
      </c>
      <c r="M449" s="2">
        <v>1</v>
      </c>
      <c r="N449" s="2" t="s">
        <v>18</v>
      </c>
      <c r="T449" s="2" t="s">
        <v>16963</v>
      </c>
      <c r="X449" s="67" t="s">
        <v>4726</v>
      </c>
    </row>
    <row r="450" spans="1:24" hidden="1">
      <c r="A450" s="3" t="s">
        <v>2794</v>
      </c>
      <c r="B450" s="2">
        <v>89</v>
      </c>
      <c r="D450" s="66" t="str">
        <f>VLOOKUP("*"&amp;A450&amp;"*",[2]Sheet1!$G$2:$X$1155,18,FALSE)</f>
        <v>ERR10549871</v>
      </c>
      <c r="E450" s="2">
        <v>2015</v>
      </c>
      <c r="F450" s="2" t="s">
        <v>139</v>
      </c>
      <c r="G450" s="2" t="s">
        <v>5</v>
      </c>
      <c r="H450" s="2" t="s">
        <v>2439</v>
      </c>
      <c r="I450" s="2" t="s">
        <v>10</v>
      </c>
      <c r="J450" s="2" t="s">
        <v>129</v>
      </c>
      <c r="K450" s="2" t="s">
        <v>394</v>
      </c>
      <c r="L450" s="2" t="s">
        <v>128</v>
      </c>
      <c r="M450" s="2">
        <v>1</v>
      </c>
      <c r="N450" s="2" t="s">
        <v>18</v>
      </c>
      <c r="T450" s="2" t="s">
        <v>16963</v>
      </c>
      <c r="X450" s="67" t="s">
        <v>4726</v>
      </c>
    </row>
    <row r="451" spans="1:24" hidden="1">
      <c r="A451" s="3" t="s">
        <v>3927</v>
      </c>
      <c r="B451" s="2">
        <v>90</v>
      </c>
      <c r="D451" s="66" t="str">
        <f>VLOOKUP("*"&amp;A451&amp;"*",[2]Sheet1!$G$2:$X$1155,18,FALSE)</f>
        <v>ERR10549852</v>
      </c>
      <c r="E451" s="2">
        <v>2014</v>
      </c>
      <c r="F451" s="2" t="s">
        <v>139</v>
      </c>
      <c r="G451" s="2" t="s">
        <v>5</v>
      </c>
      <c r="H451" s="2" t="s">
        <v>2455</v>
      </c>
      <c r="I451" s="2" t="s">
        <v>6</v>
      </c>
      <c r="J451" s="2" t="s">
        <v>56</v>
      </c>
      <c r="K451" s="2" t="s">
        <v>375</v>
      </c>
      <c r="L451" s="2" t="s">
        <v>55</v>
      </c>
      <c r="M451" s="2">
        <v>451</v>
      </c>
      <c r="N451" s="2" t="s">
        <v>9</v>
      </c>
      <c r="T451" s="2" t="s">
        <v>16964</v>
      </c>
    </row>
    <row r="452" spans="1:24" hidden="1">
      <c r="A452" s="3" t="s">
        <v>2901</v>
      </c>
      <c r="B452" s="2">
        <v>91</v>
      </c>
      <c r="D452" s="66" t="str">
        <f>VLOOKUP("*"&amp;A452&amp;"*",[2]Sheet1!$G$2:$X$1155,18,FALSE)</f>
        <v>ERR10549882</v>
      </c>
      <c r="E452" s="2">
        <v>2015</v>
      </c>
      <c r="F452" s="2" t="s">
        <v>139</v>
      </c>
      <c r="G452" s="2" t="s">
        <v>43</v>
      </c>
      <c r="H452" s="2" t="s">
        <v>2456</v>
      </c>
      <c r="I452" s="2" t="s">
        <v>6</v>
      </c>
      <c r="J452" s="2" t="s">
        <v>8</v>
      </c>
      <c r="K452" s="2" t="s">
        <v>395</v>
      </c>
      <c r="L452" s="2" t="s">
        <v>7</v>
      </c>
      <c r="M452" s="2">
        <v>121</v>
      </c>
      <c r="N452" s="2" t="s">
        <v>9</v>
      </c>
      <c r="T452" s="2" t="s">
        <v>16963</v>
      </c>
      <c r="X452" s="67" t="s">
        <v>4722</v>
      </c>
    </row>
    <row r="453" spans="1:24" hidden="1">
      <c r="A453" s="3" t="s">
        <v>3506</v>
      </c>
      <c r="B453" s="2">
        <v>92</v>
      </c>
      <c r="D453" s="66" t="str">
        <f>VLOOKUP("*"&amp;A453&amp;"*",[2]Sheet1!$G$2:$X$1155,18,FALSE)</f>
        <v>ERR10549911</v>
      </c>
      <c r="E453" s="2">
        <v>2015</v>
      </c>
      <c r="F453" s="2" t="s">
        <v>139</v>
      </c>
      <c r="G453" s="2" t="s">
        <v>5</v>
      </c>
      <c r="H453" s="2" t="s">
        <v>2438</v>
      </c>
      <c r="I453" s="2" t="s">
        <v>6</v>
      </c>
      <c r="J453" s="2" t="s">
        <v>20</v>
      </c>
      <c r="K453" s="2" t="s">
        <v>396</v>
      </c>
      <c r="L453" s="2" t="s">
        <v>19</v>
      </c>
      <c r="M453" s="2">
        <v>9</v>
      </c>
      <c r="N453" s="2" t="s">
        <v>21</v>
      </c>
      <c r="T453" s="2" t="s">
        <v>16964</v>
      </c>
    </row>
    <row r="454" spans="1:24" hidden="1">
      <c r="A454" s="3" t="s">
        <v>3747</v>
      </c>
      <c r="B454" s="2" t="s">
        <v>17366</v>
      </c>
      <c r="D454" s="66" t="s">
        <v>17363</v>
      </c>
      <c r="E454" s="2">
        <v>2015</v>
      </c>
      <c r="F454" s="2" t="s">
        <v>139</v>
      </c>
      <c r="G454" s="2" t="s">
        <v>5</v>
      </c>
      <c r="H454" s="2" t="s">
        <v>2454</v>
      </c>
      <c r="I454" s="2" t="s">
        <v>6</v>
      </c>
      <c r="J454" s="2" t="s">
        <v>40</v>
      </c>
      <c r="K454" s="2" t="s">
        <v>373</v>
      </c>
      <c r="L454" s="2" t="s">
        <v>39</v>
      </c>
      <c r="M454" s="2">
        <v>37</v>
      </c>
      <c r="N454" s="2" t="s">
        <v>9</v>
      </c>
      <c r="T454" s="2" t="s">
        <v>16964</v>
      </c>
    </row>
    <row r="455" spans="1:24" hidden="1">
      <c r="A455" s="3" t="s">
        <v>3754</v>
      </c>
      <c r="B455" s="2">
        <v>94</v>
      </c>
      <c r="D455" s="66" t="str">
        <f>VLOOKUP("*"&amp;A455&amp;"*",[2]Sheet1!$G$2:$X$1155,18,FALSE)</f>
        <v>ERR10549896</v>
      </c>
      <c r="E455" s="2">
        <v>2015</v>
      </c>
      <c r="F455" s="2" t="s">
        <v>139</v>
      </c>
      <c r="G455" s="2" t="s">
        <v>5</v>
      </c>
      <c r="H455" s="2" t="s">
        <v>2454</v>
      </c>
      <c r="I455" s="2" t="s">
        <v>6</v>
      </c>
      <c r="J455" s="2" t="s">
        <v>40</v>
      </c>
      <c r="K455" s="2" t="s">
        <v>373</v>
      </c>
      <c r="L455" s="2" t="s">
        <v>39</v>
      </c>
      <c r="M455" s="2">
        <v>37</v>
      </c>
      <c r="N455" s="2" t="s">
        <v>9</v>
      </c>
      <c r="T455" s="2" t="s">
        <v>16964</v>
      </c>
    </row>
    <row r="456" spans="1:24" hidden="1">
      <c r="A456" s="3" t="s">
        <v>3311</v>
      </c>
      <c r="B456" s="2">
        <v>95</v>
      </c>
      <c r="D456" s="66" t="str">
        <f>VLOOKUP("*"&amp;A456&amp;"*",[2]Sheet1!$G$2:$X$1155,18,FALSE)</f>
        <v>ERR10549863</v>
      </c>
      <c r="E456" s="2">
        <v>2014</v>
      </c>
      <c r="F456" s="2" t="s">
        <v>139</v>
      </c>
      <c r="G456" s="2" t="s">
        <v>5</v>
      </c>
      <c r="H456" s="2" t="s">
        <v>2439</v>
      </c>
      <c r="I456" s="2" t="s">
        <v>6</v>
      </c>
      <c r="J456" s="2" t="s">
        <v>20</v>
      </c>
      <c r="K456" s="2" t="s">
        <v>386</v>
      </c>
      <c r="L456" s="2" t="s">
        <v>19</v>
      </c>
      <c r="M456" s="2">
        <v>9</v>
      </c>
      <c r="N456" s="2" t="s">
        <v>21</v>
      </c>
      <c r="T456" s="2" t="s">
        <v>16964</v>
      </c>
    </row>
    <row r="457" spans="1:24" hidden="1">
      <c r="A457" s="3" t="s">
        <v>3504</v>
      </c>
      <c r="B457" s="2">
        <v>96</v>
      </c>
      <c r="D457" s="66" t="str">
        <f>VLOOKUP("*"&amp;A457&amp;"*",[2]Sheet1!$G$2:$X$1155,18,FALSE)</f>
        <v>ERR10549891</v>
      </c>
      <c r="E457" s="2">
        <v>2017</v>
      </c>
      <c r="F457" s="2" t="s">
        <v>139</v>
      </c>
      <c r="G457" s="2" t="s">
        <v>43</v>
      </c>
      <c r="H457" s="2" t="s">
        <v>2456</v>
      </c>
      <c r="I457" s="2" t="s">
        <v>6</v>
      </c>
      <c r="J457" s="2" t="s">
        <v>398</v>
      </c>
      <c r="K457" s="2" t="s">
        <v>399</v>
      </c>
      <c r="L457" s="2" t="s">
        <v>397</v>
      </c>
      <c r="M457" s="2">
        <v>26</v>
      </c>
      <c r="N457" s="2" t="s">
        <v>9</v>
      </c>
      <c r="T457" s="2" t="s">
        <v>16964</v>
      </c>
    </row>
    <row r="458" spans="1:24" hidden="1">
      <c r="A458" s="3" t="s">
        <v>3642</v>
      </c>
      <c r="B458" s="2">
        <v>97</v>
      </c>
      <c r="D458" s="66" t="str">
        <f>VLOOKUP("*"&amp;A458&amp;"*",[2]Sheet1!$G$2:$X$1155,18,FALSE)</f>
        <v>ERR10549867</v>
      </c>
      <c r="E458" s="2">
        <v>2017</v>
      </c>
      <c r="F458" s="2" t="s">
        <v>139</v>
      </c>
      <c r="G458" s="2" t="s">
        <v>5</v>
      </c>
      <c r="H458" s="2" t="s">
        <v>2438</v>
      </c>
      <c r="I458" s="2" t="s">
        <v>10</v>
      </c>
      <c r="J458" s="2" t="s">
        <v>129</v>
      </c>
      <c r="K458" s="2" t="s">
        <v>4703</v>
      </c>
      <c r="L458" s="2" t="s">
        <v>128</v>
      </c>
      <c r="M458" s="2">
        <v>1</v>
      </c>
      <c r="N458" s="2" t="s">
        <v>18</v>
      </c>
      <c r="T458" s="2" t="s">
        <v>16964</v>
      </c>
    </row>
    <row r="459" spans="1:24" hidden="1">
      <c r="A459" s="3" t="s">
        <v>4337</v>
      </c>
      <c r="B459" s="2">
        <v>98</v>
      </c>
      <c r="D459" s="66" t="str">
        <f>VLOOKUP("*"&amp;A459&amp;"*",[2]Sheet1!$G$2:$X$1155,18,FALSE)</f>
        <v>ERR10611975</v>
      </c>
      <c r="E459" s="2">
        <v>2017</v>
      </c>
      <c r="F459" s="2" t="s">
        <v>139</v>
      </c>
      <c r="G459" s="2" t="s">
        <v>5</v>
      </c>
      <c r="H459" s="2" t="s">
        <v>2459</v>
      </c>
      <c r="I459" s="2" t="s">
        <v>6</v>
      </c>
      <c r="J459" s="2" t="s">
        <v>402</v>
      </c>
      <c r="K459" s="2" t="s">
        <v>403</v>
      </c>
      <c r="L459" s="2" t="s">
        <v>401</v>
      </c>
      <c r="M459" s="2">
        <v>3015</v>
      </c>
      <c r="N459" s="2" t="s">
        <v>9</v>
      </c>
      <c r="T459" s="2" t="s">
        <v>16964</v>
      </c>
    </row>
    <row r="460" spans="1:24" hidden="1">
      <c r="A460" s="3" t="s">
        <v>4415</v>
      </c>
      <c r="B460" s="2">
        <v>99</v>
      </c>
      <c r="D460" s="66" t="str">
        <f>VLOOKUP("*"&amp;A460&amp;"*",[2]Sheet1!$G$2:$X$1155,18,FALSE)</f>
        <v>ERR10549889</v>
      </c>
      <c r="E460" s="2">
        <v>2017</v>
      </c>
      <c r="F460" s="2" t="s">
        <v>139</v>
      </c>
      <c r="G460" s="2" t="s">
        <v>5</v>
      </c>
      <c r="H460" s="2" t="s">
        <v>2457</v>
      </c>
      <c r="I460" s="2" t="s">
        <v>6</v>
      </c>
      <c r="J460" s="2" t="s">
        <v>20</v>
      </c>
      <c r="K460" s="2" t="s">
        <v>4714</v>
      </c>
      <c r="L460" s="2" t="s">
        <v>19</v>
      </c>
      <c r="M460" s="2">
        <v>9</v>
      </c>
      <c r="N460" s="2" t="s">
        <v>21</v>
      </c>
      <c r="T460" s="2" t="s">
        <v>16964</v>
      </c>
    </row>
    <row r="461" spans="1:24" hidden="1">
      <c r="A461" s="3" t="s">
        <v>2837</v>
      </c>
      <c r="B461" s="2">
        <v>100</v>
      </c>
      <c r="D461" s="66" t="str">
        <f>VLOOKUP("*"&amp;A461&amp;"*",[2]Sheet1!$G$2:$X$1155,18,FALSE)</f>
        <v>ERR10549876</v>
      </c>
      <c r="E461" s="2">
        <v>2017</v>
      </c>
      <c r="F461" s="2" t="s">
        <v>139</v>
      </c>
      <c r="G461" s="2" t="s">
        <v>5</v>
      </c>
      <c r="H461" s="2" t="s">
        <v>2439</v>
      </c>
      <c r="I461" s="2" t="s">
        <v>6</v>
      </c>
      <c r="J461" s="2" t="s">
        <v>24</v>
      </c>
      <c r="K461" s="2" t="s">
        <v>400</v>
      </c>
      <c r="L461" s="2" t="s">
        <v>23</v>
      </c>
      <c r="M461" s="2">
        <v>14</v>
      </c>
      <c r="N461" s="2" t="s">
        <v>9</v>
      </c>
      <c r="T461" s="2" t="s">
        <v>16964</v>
      </c>
    </row>
    <row r="462" spans="1:24" hidden="1">
      <c r="A462" s="3" t="s">
        <v>4268</v>
      </c>
      <c r="B462" s="2">
        <v>101</v>
      </c>
      <c r="D462" s="66" t="str">
        <f>VLOOKUP("*"&amp;A462&amp;"*",[2]Sheet1!$G$2:$X$1155,18,FALSE)</f>
        <v>ERR10549869</v>
      </c>
      <c r="E462" s="2">
        <v>2017</v>
      </c>
      <c r="F462" s="2" t="s">
        <v>139</v>
      </c>
      <c r="G462" s="2" t="s">
        <v>5</v>
      </c>
      <c r="H462" s="2" t="s">
        <v>2459</v>
      </c>
      <c r="I462" s="2" t="s">
        <v>6</v>
      </c>
      <c r="J462" s="2" t="s">
        <v>402</v>
      </c>
      <c r="K462" s="2" t="s">
        <v>403</v>
      </c>
      <c r="L462" s="2" t="s">
        <v>401</v>
      </c>
      <c r="M462" s="2">
        <v>3015</v>
      </c>
      <c r="N462" s="2" t="s">
        <v>9</v>
      </c>
      <c r="T462" s="2" t="s">
        <v>16964</v>
      </c>
    </row>
    <row r="463" spans="1:24" hidden="1">
      <c r="A463" s="3" t="s">
        <v>2907</v>
      </c>
      <c r="B463" s="2">
        <v>103</v>
      </c>
      <c r="D463" s="66" t="str">
        <f>VLOOKUP("*"&amp;A463&amp;"*",[2]Sheet1!$G$2:$X$1155,18,FALSE)</f>
        <v>ERR10549857</v>
      </c>
      <c r="E463" s="2">
        <v>2015</v>
      </c>
      <c r="F463" s="2" t="s">
        <v>139</v>
      </c>
      <c r="G463" s="2" t="s">
        <v>43</v>
      </c>
      <c r="H463" s="2" t="s">
        <v>2456</v>
      </c>
      <c r="I463" s="2" t="s">
        <v>6</v>
      </c>
      <c r="J463" s="2" t="s">
        <v>8</v>
      </c>
      <c r="K463" s="2" t="s">
        <v>377</v>
      </c>
      <c r="L463" s="2" t="s">
        <v>7</v>
      </c>
      <c r="M463" s="2">
        <v>121</v>
      </c>
      <c r="N463" s="2" t="s">
        <v>9</v>
      </c>
      <c r="T463" s="2" t="s">
        <v>16963</v>
      </c>
      <c r="X463" s="67" t="s">
        <v>4722</v>
      </c>
    </row>
    <row r="464" spans="1:24" hidden="1">
      <c r="A464" s="3" t="s">
        <v>3010</v>
      </c>
      <c r="B464" s="2">
        <v>104</v>
      </c>
      <c r="D464" s="66" t="s">
        <v>17322</v>
      </c>
      <c r="E464" s="2">
        <v>2015</v>
      </c>
      <c r="F464" s="2" t="s">
        <v>139</v>
      </c>
      <c r="G464" s="2" t="s">
        <v>5</v>
      </c>
      <c r="H464" s="2" t="s">
        <v>2439</v>
      </c>
      <c r="I464" s="2" t="s">
        <v>10</v>
      </c>
      <c r="J464" s="2" t="s">
        <v>12</v>
      </c>
      <c r="K464" s="2" t="s">
        <v>385</v>
      </c>
      <c r="L464" s="2" t="s">
        <v>11</v>
      </c>
      <c r="M464" s="2">
        <v>3</v>
      </c>
      <c r="N464" s="2" t="s">
        <v>14</v>
      </c>
      <c r="T464" s="2" t="s">
        <v>16964</v>
      </c>
    </row>
    <row r="465" spans="1:24" hidden="1">
      <c r="A465" s="3" t="s">
        <v>3751</v>
      </c>
      <c r="B465" s="2">
        <v>105</v>
      </c>
      <c r="D465" s="66" t="str">
        <f>VLOOKUP("*"&amp;A465&amp;"*",[2]Sheet1!$G$2:$X$1155,18,FALSE)</f>
        <v>ERR10549858</v>
      </c>
      <c r="E465" s="2">
        <v>2015</v>
      </c>
      <c r="F465" s="2" t="s">
        <v>139</v>
      </c>
      <c r="G465" s="2" t="s">
        <v>5</v>
      </c>
      <c r="H465" s="2" t="s">
        <v>2454</v>
      </c>
      <c r="I465" s="2" t="s">
        <v>6</v>
      </c>
      <c r="J465" s="2" t="s">
        <v>40</v>
      </c>
      <c r="K465" s="2" t="s">
        <v>373</v>
      </c>
      <c r="L465" s="2" t="s">
        <v>39</v>
      </c>
      <c r="M465" s="2">
        <v>37</v>
      </c>
      <c r="N465" s="2" t="s">
        <v>9</v>
      </c>
      <c r="T465" s="2" t="s">
        <v>16964</v>
      </c>
    </row>
    <row r="466" spans="1:24" hidden="1">
      <c r="A466" s="3" t="s">
        <v>3212</v>
      </c>
      <c r="B466" s="2">
        <v>106</v>
      </c>
      <c r="D466" s="66" t="str">
        <f>VLOOKUP("*"&amp;A466&amp;"*",[2]Sheet1!$G$2:$X$1155,18,FALSE)</f>
        <v>ERR10549897</v>
      </c>
      <c r="E466" s="2">
        <v>2015</v>
      </c>
      <c r="F466" s="2" t="s">
        <v>139</v>
      </c>
      <c r="G466" s="2" t="s">
        <v>5</v>
      </c>
      <c r="H466" s="2" t="s">
        <v>2439</v>
      </c>
      <c r="I466" s="2" t="s">
        <v>6</v>
      </c>
      <c r="J466" s="2" t="s">
        <v>29</v>
      </c>
      <c r="K466" s="2" t="s">
        <v>66</v>
      </c>
      <c r="L466" s="2" t="s">
        <v>28</v>
      </c>
      <c r="M466" s="2">
        <v>8</v>
      </c>
      <c r="N466" s="2" t="s">
        <v>9</v>
      </c>
      <c r="T466" s="2" t="s">
        <v>16964</v>
      </c>
    </row>
    <row r="467" spans="1:24" hidden="1">
      <c r="A467" s="3" t="s">
        <v>2897</v>
      </c>
      <c r="B467" s="2">
        <v>107</v>
      </c>
      <c r="D467" s="66" t="str">
        <f>VLOOKUP("*"&amp;A467&amp;"*",[2]Sheet1!$G$2:$X$1155,18,FALSE)</f>
        <v>ERR10549903</v>
      </c>
      <c r="E467" s="2">
        <v>2015</v>
      </c>
      <c r="F467" s="2" t="s">
        <v>139</v>
      </c>
      <c r="G467" s="2" t="s">
        <v>43</v>
      </c>
      <c r="H467" s="2" t="s">
        <v>2456</v>
      </c>
      <c r="I467" s="2" t="s">
        <v>6</v>
      </c>
      <c r="J467" s="2" t="s">
        <v>8</v>
      </c>
      <c r="K467" s="2" t="s">
        <v>377</v>
      </c>
      <c r="L467" s="2" t="s">
        <v>7</v>
      </c>
      <c r="M467" s="2">
        <v>121</v>
      </c>
      <c r="N467" s="2" t="s">
        <v>9</v>
      </c>
      <c r="T467" s="2" t="s">
        <v>16963</v>
      </c>
      <c r="X467" s="67" t="s">
        <v>4722</v>
      </c>
    </row>
    <row r="468" spans="1:24" hidden="1">
      <c r="A468" s="3" t="s">
        <v>2946</v>
      </c>
      <c r="B468" s="2">
        <v>108</v>
      </c>
      <c r="D468" s="66" t="str">
        <f>VLOOKUP("*"&amp;A468&amp;"*",[2]Sheet1!$G$2:$X$1155,18,FALSE)</f>
        <v>ERR10549865</v>
      </c>
      <c r="E468" s="2">
        <v>2015</v>
      </c>
      <c r="F468" s="2" t="s">
        <v>139</v>
      </c>
      <c r="G468" s="2" t="s">
        <v>43</v>
      </c>
      <c r="H468" s="2" t="s">
        <v>2456</v>
      </c>
      <c r="I468" s="2" t="s">
        <v>6</v>
      </c>
      <c r="J468" s="2" t="s">
        <v>8</v>
      </c>
      <c r="K468" s="2" t="s">
        <v>377</v>
      </c>
      <c r="L468" s="2" t="s">
        <v>7</v>
      </c>
      <c r="M468" s="2">
        <v>121</v>
      </c>
      <c r="N468" s="2" t="s">
        <v>9</v>
      </c>
      <c r="T468" s="2" t="s">
        <v>16963</v>
      </c>
      <c r="X468" s="67" t="s">
        <v>4722</v>
      </c>
    </row>
    <row r="469" spans="1:24" hidden="1">
      <c r="A469" s="3" t="s">
        <v>3749</v>
      </c>
      <c r="B469" s="2">
        <v>109</v>
      </c>
      <c r="D469" s="66" t="str">
        <f>VLOOKUP("*"&amp;A469&amp;"*",[2]Sheet1!$G$2:$X$1155,18,FALSE)</f>
        <v>ERR10549894</v>
      </c>
      <c r="E469" s="2">
        <v>2015</v>
      </c>
      <c r="F469" s="2" t="s">
        <v>139</v>
      </c>
      <c r="G469" s="2" t="s">
        <v>5</v>
      </c>
      <c r="H469" s="2" t="s">
        <v>2454</v>
      </c>
      <c r="I469" s="2" t="s">
        <v>6</v>
      </c>
      <c r="J469" s="2" t="s">
        <v>40</v>
      </c>
      <c r="K469" s="2" t="s">
        <v>373</v>
      </c>
      <c r="L469" s="2" t="s">
        <v>39</v>
      </c>
      <c r="M469" s="2">
        <v>37</v>
      </c>
      <c r="N469" s="2" t="s">
        <v>9</v>
      </c>
      <c r="T469" s="2" t="s">
        <v>16964</v>
      </c>
    </row>
    <row r="470" spans="1:24" hidden="1">
      <c r="A470" s="3" t="s">
        <v>3418</v>
      </c>
      <c r="B470" s="2">
        <v>110</v>
      </c>
      <c r="D470" s="66" t="str">
        <f>VLOOKUP("*"&amp;A470&amp;"*",[2]Sheet1!$G$2:$X$1155,18,FALSE)</f>
        <v>ERR10611880</v>
      </c>
      <c r="E470" s="2">
        <v>2015</v>
      </c>
      <c r="F470" s="2" t="s">
        <v>139</v>
      </c>
      <c r="G470" s="2" t="s">
        <v>5</v>
      </c>
      <c r="H470" s="2" t="s">
        <v>2439</v>
      </c>
      <c r="I470" s="2" t="s">
        <v>6</v>
      </c>
      <c r="J470" s="2" t="s">
        <v>20</v>
      </c>
      <c r="K470" s="2" t="s">
        <v>386</v>
      </c>
      <c r="L470" s="2" t="s">
        <v>19</v>
      </c>
      <c r="M470" s="2">
        <v>9</v>
      </c>
      <c r="N470" s="2" t="s">
        <v>21</v>
      </c>
      <c r="T470" s="2" t="s">
        <v>16964</v>
      </c>
    </row>
    <row r="471" spans="1:24" hidden="1">
      <c r="A471" s="3" t="s">
        <v>3315</v>
      </c>
      <c r="B471" s="2">
        <v>111</v>
      </c>
      <c r="D471" s="66" t="str">
        <f>VLOOKUP("*"&amp;A471&amp;"*",[2]Sheet1!$G$2:$X$1155,18,FALSE)</f>
        <v>ERR10549902</v>
      </c>
      <c r="E471" s="2">
        <v>2017</v>
      </c>
      <c r="F471" s="2" t="s">
        <v>139</v>
      </c>
      <c r="G471" s="2" t="s">
        <v>5</v>
      </c>
      <c r="H471" s="2" t="s">
        <v>2438</v>
      </c>
      <c r="I471" s="2" t="s">
        <v>6</v>
      </c>
      <c r="J471" s="2" t="s">
        <v>20</v>
      </c>
      <c r="K471" s="2" t="s">
        <v>393</v>
      </c>
      <c r="L471" s="2" t="s">
        <v>19</v>
      </c>
      <c r="M471" s="2">
        <v>9</v>
      </c>
      <c r="N471" s="2" t="s">
        <v>21</v>
      </c>
      <c r="T471" s="2" t="s">
        <v>16964</v>
      </c>
    </row>
    <row r="472" spans="1:24" hidden="1">
      <c r="A472" s="3" t="s">
        <v>3232</v>
      </c>
      <c r="B472" s="2">
        <v>112</v>
      </c>
      <c r="D472" s="66" t="str">
        <f>VLOOKUP("*"&amp;A472&amp;"*",[2]Sheet1!$G$2:$X$1155,18,FALSE)</f>
        <v>ERR10549887</v>
      </c>
      <c r="E472" s="2">
        <v>2017</v>
      </c>
      <c r="F472" s="2" t="s">
        <v>139</v>
      </c>
      <c r="G472" s="2" t="s">
        <v>5</v>
      </c>
      <c r="H472" s="2" t="s">
        <v>2446</v>
      </c>
      <c r="I472" s="2" t="s">
        <v>6</v>
      </c>
      <c r="J472" s="2" t="s">
        <v>8</v>
      </c>
      <c r="K472" s="2" t="s">
        <v>404</v>
      </c>
      <c r="L472" s="2" t="s">
        <v>7</v>
      </c>
      <c r="M472" s="2">
        <v>121</v>
      </c>
      <c r="N472" s="2" t="s">
        <v>9</v>
      </c>
      <c r="T472" s="2" t="s">
        <v>16963</v>
      </c>
      <c r="X472" s="67" t="s">
        <v>4722</v>
      </c>
    </row>
    <row r="473" spans="1:24" hidden="1">
      <c r="A473" s="3" t="s">
        <v>3103</v>
      </c>
      <c r="B473" s="2">
        <v>113</v>
      </c>
      <c r="D473" s="66" t="str">
        <f>VLOOKUP("*"&amp;A473&amp;"*",[2]Sheet1!$G$2:$X$1155,18,FALSE)</f>
        <v>ERR10549899</v>
      </c>
      <c r="E473" s="2">
        <v>2017</v>
      </c>
      <c r="F473" s="2" t="s">
        <v>139</v>
      </c>
      <c r="G473" s="2" t="s">
        <v>5</v>
      </c>
      <c r="H473" s="2" t="s">
        <v>2446</v>
      </c>
      <c r="I473" s="2" t="s">
        <v>6</v>
      </c>
      <c r="J473" s="2" t="s">
        <v>20</v>
      </c>
      <c r="K473" s="2" t="s">
        <v>405</v>
      </c>
      <c r="L473" s="2" t="s">
        <v>19</v>
      </c>
      <c r="M473" s="2">
        <v>580</v>
      </c>
      <c r="N473" s="2" t="s">
        <v>21</v>
      </c>
      <c r="T473" s="2" t="s">
        <v>16964</v>
      </c>
    </row>
    <row r="474" spans="1:24" hidden="1">
      <c r="A474" s="3" t="s">
        <v>4077</v>
      </c>
      <c r="B474" s="2">
        <v>114</v>
      </c>
      <c r="D474" s="66" t="str">
        <f>VLOOKUP("*"&amp;A474&amp;"*",[2]Sheet1!$G$2:$X$1155,18,FALSE)</f>
        <v>ERR10611862</v>
      </c>
      <c r="E474" s="2">
        <v>2017</v>
      </c>
      <c r="F474" s="2" t="s">
        <v>139</v>
      </c>
      <c r="G474" s="2" t="s">
        <v>5</v>
      </c>
      <c r="H474" s="2" t="s">
        <v>2460</v>
      </c>
      <c r="I474" s="2" t="s">
        <v>6</v>
      </c>
      <c r="J474" s="2" t="s">
        <v>20</v>
      </c>
      <c r="K474" s="2" t="s">
        <v>4716</v>
      </c>
      <c r="L474" s="2" t="s">
        <v>19</v>
      </c>
      <c r="M474" s="2">
        <v>9</v>
      </c>
      <c r="N474" s="2" t="s">
        <v>21</v>
      </c>
      <c r="T474" s="2" t="s">
        <v>16964</v>
      </c>
    </row>
    <row r="475" spans="1:24" hidden="1">
      <c r="A475" s="3" t="s">
        <v>4146</v>
      </c>
      <c r="B475" s="2">
        <v>115</v>
      </c>
      <c r="D475" s="66" t="str">
        <f>VLOOKUP("*"&amp;A475&amp;"*",[2]Sheet1!$G$2:$X$1155,18,FALSE)</f>
        <v>ERR10611876</v>
      </c>
      <c r="E475" s="2">
        <v>2017</v>
      </c>
      <c r="F475" s="2" t="s">
        <v>139</v>
      </c>
      <c r="G475" s="2" t="s">
        <v>43</v>
      </c>
      <c r="H475" s="2" t="s">
        <v>2456</v>
      </c>
      <c r="I475" s="2" t="s">
        <v>10</v>
      </c>
      <c r="J475" s="2" t="s">
        <v>432</v>
      </c>
      <c r="K475" s="2" t="s">
        <v>433</v>
      </c>
      <c r="L475" s="2" t="s">
        <v>431</v>
      </c>
      <c r="M475" s="2">
        <v>560</v>
      </c>
      <c r="N475" s="2" t="s">
        <v>14</v>
      </c>
      <c r="T475" s="2" t="s">
        <v>16964</v>
      </c>
    </row>
    <row r="476" spans="1:24" hidden="1">
      <c r="A476" s="3" t="s">
        <v>4229</v>
      </c>
      <c r="B476" s="2">
        <v>116</v>
      </c>
      <c r="D476" s="66" t="str">
        <f>VLOOKUP("*"&amp;A476&amp;"*",[2]Sheet1!$G$2:$X$1155,18,FALSE)</f>
        <v>ERR10611883</v>
      </c>
      <c r="E476" s="2">
        <v>2017</v>
      </c>
      <c r="F476" s="2" t="s">
        <v>139</v>
      </c>
      <c r="G476" s="2" t="s">
        <v>5</v>
      </c>
      <c r="H476" s="2" t="s">
        <v>2461</v>
      </c>
      <c r="I476" s="2" t="s">
        <v>10</v>
      </c>
      <c r="J476" s="2" t="s">
        <v>435</v>
      </c>
      <c r="K476" s="2" t="s">
        <v>436</v>
      </c>
      <c r="L476" s="2" t="s">
        <v>434</v>
      </c>
      <c r="M476" s="2">
        <v>489</v>
      </c>
      <c r="N476" s="2" t="s">
        <v>14</v>
      </c>
      <c r="T476" s="2" t="s">
        <v>16964</v>
      </c>
    </row>
    <row r="477" spans="1:24" hidden="1">
      <c r="A477" s="3" t="s">
        <v>4080</v>
      </c>
      <c r="B477" s="2">
        <v>117</v>
      </c>
      <c r="D477" s="66" t="str">
        <f>VLOOKUP("*"&amp;A477&amp;"*",[2]Sheet1!$G$2:$X$1155,18,FALSE)</f>
        <v>ERR10611868</v>
      </c>
      <c r="E477" s="2">
        <v>2017</v>
      </c>
      <c r="F477" s="2" t="s">
        <v>139</v>
      </c>
      <c r="G477" s="2" t="s">
        <v>5</v>
      </c>
      <c r="H477" s="2" t="s">
        <v>2439</v>
      </c>
      <c r="I477" s="2" t="s">
        <v>6</v>
      </c>
      <c r="J477" s="2" t="s">
        <v>20</v>
      </c>
      <c r="K477" s="2" t="s">
        <v>4710</v>
      </c>
      <c r="L477" s="2" t="s">
        <v>19</v>
      </c>
      <c r="M477" s="2">
        <v>9</v>
      </c>
      <c r="N477" s="2" t="s">
        <v>21</v>
      </c>
      <c r="T477" s="2" t="s">
        <v>16964</v>
      </c>
    </row>
    <row r="478" spans="1:24" hidden="1">
      <c r="A478" s="3" t="s">
        <v>4084</v>
      </c>
      <c r="B478" s="2">
        <v>118</v>
      </c>
      <c r="D478" s="66" t="str">
        <f>VLOOKUP("*"&amp;A478&amp;"*",[2]Sheet1!$G$2:$X$1155,18,FALSE)</f>
        <v>ERR10611855</v>
      </c>
      <c r="E478" s="2">
        <v>2019</v>
      </c>
      <c r="F478" s="2" t="s">
        <v>139</v>
      </c>
      <c r="G478" s="2" t="s">
        <v>5</v>
      </c>
      <c r="H478" s="2" t="s">
        <v>2439</v>
      </c>
      <c r="I478" s="2" t="s">
        <v>6</v>
      </c>
      <c r="J478" s="2" t="s">
        <v>20</v>
      </c>
      <c r="K478" s="2" t="s">
        <v>437</v>
      </c>
      <c r="L478" s="2" t="s">
        <v>19</v>
      </c>
      <c r="M478" s="2">
        <v>9</v>
      </c>
      <c r="N478" s="2" t="s">
        <v>21</v>
      </c>
      <c r="T478" s="2" t="s">
        <v>16963</v>
      </c>
      <c r="U478" s="67" t="s">
        <v>2627</v>
      </c>
    </row>
    <row r="479" spans="1:24" hidden="1">
      <c r="A479" s="3" t="s">
        <v>3674</v>
      </c>
      <c r="B479" s="2">
        <v>119</v>
      </c>
      <c r="D479" s="66" t="str">
        <f>VLOOKUP("*"&amp;A479&amp;"*",[2]Sheet1!$G$2:$X$1155,18,FALSE)</f>
        <v>ERR10611863</v>
      </c>
      <c r="E479" s="2">
        <v>2019</v>
      </c>
      <c r="F479" s="2" t="s">
        <v>139</v>
      </c>
      <c r="G479" s="2" t="s">
        <v>5</v>
      </c>
      <c r="H479" s="2" t="s">
        <v>2438</v>
      </c>
      <c r="I479" s="2" t="s">
        <v>6</v>
      </c>
      <c r="J479" s="2" t="s">
        <v>20</v>
      </c>
      <c r="K479" s="2" t="s">
        <v>391</v>
      </c>
      <c r="L479" s="2" t="s">
        <v>19</v>
      </c>
      <c r="M479" s="2">
        <v>9</v>
      </c>
      <c r="N479" s="2" t="s">
        <v>21</v>
      </c>
      <c r="T479" s="2" t="s">
        <v>16963</v>
      </c>
      <c r="U479" s="67" t="s">
        <v>2627</v>
      </c>
    </row>
    <row r="480" spans="1:24" hidden="1">
      <c r="A480" s="3" t="s">
        <v>3525</v>
      </c>
      <c r="B480" s="2">
        <v>120</v>
      </c>
      <c r="D480" s="66" t="str">
        <f>VLOOKUP("*"&amp;A480&amp;"*",[2]Sheet1!$G$2:$X$1155,18,FALSE)</f>
        <v>ERR10611888</v>
      </c>
      <c r="E480" s="2">
        <v>2019</v>
      </c>
      <c r="F480" s="2" t="s">
        <v>139</v>
      </c>
      <c r="G480" s="2" t="s">
        <v>5</v>
      </c>
      <c r="H480" s="2" t="s">
        <v>2439</v>
      </c>
      <c r="I480" s="2" t="s">
        <v>6</v>
      </c>
      <c r="J480" s="2" t="s">
        <v>20</v>
      </c>
      <c r="K480" s="2" t="s">
        <v>438</v>
      </c>
      <c r="L480" s="2" t="s">
        <v>19</v>
      </c>
      <c r="M480" s="2">
        <v>9</v>
      </c>
      <c r="N480" s="2" t="s">
        <v>21</v>
      </c>
      <c r="T480" s="2" t="s">
        <v>16964</v>
      </c>
    </row>
    <row r="481" spans="1:24" hidden="1">
      <c r="A481" s="3" t="s">
        <v>3119</v>
      </c>
      <c r="B481" s="2">
        <v>121</v>
      </c>
      <c r="D481" s="66" t="str">
        <f>VLOOKUP("*"&amp;A481&amp;"*",[2]Sheet1!$G$2:$X$1155,18,FALSE)</f>
        <v>ERR10611859</v>
      </c>
      <c r="E481" s="2">
        <v>2016</v>
      </c>
      <c r="F481" s="2" t="s">
        <v>139</v>
      </c>
      <c r="G481" s="2" t="s">
        <v>5</v>
      </c>
      <c r="H481" s="2" t="s">
        <v>2441</v>
      </c>
      <c r="I481" s="2" t="s">
        <v>6</v>
      </c>
      <c r="J481" s="2" t="s">
        <v>29</v>
      </c>
      <c r="K481" s="2" t="s">
        <v>439</v>
      </c>
      <c r="L481" s="2" t="s">
        <v>28</v>
      </c>
      <c r="M481" s="2">
        <v>8</v>
      </c>
      <c r="N481" s="2" t="s">
        <v>9</v>
      </c>
      <c r="T481" s="2" t="s">
        <v>16964</v>
      </c>
    </row>
    <row r="482" spans="1:24" hidden="1">
      <c r="A482" s="3" t="s">
        <v>3535</v>
      </c>
      <c r="B482" s="2">
        <v>122</v>
      </c>
      <c r="D482" s="66" t="str">
        <f>VLOOKUP("*"&amp;A482&amp;"*",[2]Sheet1!$G$2:$X$1155,18,FALSE)</f>
        <v>ERR10611890</v>
      </c>
      <c r="E482" s="2">
        <v>2016</v>
      </c>
      <c r="F482" s="2" t="s">
        <v>139</v>
      </c>
      <c r="G482" s="2" t="s">
        <v>5</v>
      </c>
      <c r="H482" s="2" t="s">
        <v>2438</v>
      </c>
      <c r="I482" s="2" t="s">
        <v>10</v>
      </c>
      <c r="J482" s="2" t="s">
        <v>17</v>
      </c>
      <c r="K482" s="2" t="s">
        <v>440</v>
      </c>
      <c r="L482" s="2" t="s">
        <v>16</v>
      </c>
      <c r="M482" s="2">
        <v>2</v>
      </c>
      <c r="N482" s="2" t="s">
        <v>18</v>
      </c>
      <c r="T482" s="2" t="s">
        <v>16963</v>
      </c>
      <c r="X482" s="67" t="s">
        <v>4723</v>
      </c>
    </row>
    <row r="483" spans="1:24" hidden="1">
      <c r="A483" s="3" t="s">
        <v>3118</v>
      </c>
      <c r="B483" s="2">
        <v>123</v>
      </c>
      <c r="D483" s="66" t="str">
        <f>VLOOKUP("*"&amp;A483&amp;"*",[2]Sheet1!$G$2:$X$1155,18,FALSE)</f>
        <v>ERR10611860</v>
      </c>
      <c r="E483" s="2">
        <v>2016</v>
      </c>
      <c r="F483" s="2" t="s">
        <v>139</v>
      </c>
      <c r="G483" s="2" t="s">
        <v>5</v>
      </c>
      <c r="H483" s="2" t="s">
        <v>2441</v>
      </c>
      <c r="I483" s="2" t="s">
        <v>6</v>
      </c>
      <c r="J483" s="2" t="s">
        <v>29</v>
      </c>
      <c r="K483" s="2" t="s">
        <v>439</v>
      </c>
      <c r="L483" s="2" t="s">
        <v>28</v>
      </c>
      <c r="M483" s="2">
        <v>8</v>
      </c>
      <c r="N483" s="2" t="s">
        <v>9</v>
      </c>
      <c r="T483" s="2" t="s">
        <v>16964</v>
      </c>
    </row>
    <row r="484" spans="1:24" hidden="1">
      <c r="A484" s="3" t="s">
        <v>3000</v>
      </c>
      <c r="B484" s="2">
        <v>124</v>
      </c>
      <c r="D484" s="66" t="str">
        <f>VLOOKUP("*"&amp;A484&amp;"*",[2]Sheet1!$G$2:$X$1155,18,FALSE)</f>
        <v>ERR10611891</v>
      </c>
      <c r="E484" s="2">
        <v>2020</v>
      </c>
      <c r="F484" s="2" t="s">
        <v>139</v>
      </c>
      <c r="G484" s="2" t="s">
        <v>5</v>
      </c>
      <c r="H484" s="2" t="s">
        <v>2462</v>
      </c>
      <c r="I484" s="2" t="s">
        <v>6</v>
      </c>
      <c r="J484" s="2" t="s">
        <v>441</v>
      </c>
      <c r="K484" s="2" t="s">
        <v>442</v>
      </c>
      <c r="L484" s="2" t="s">
        <v>87</v>
      </c>
      <c r="M484" s="2">
        <v>325</v>
      </c>
      <c r="N484" s="2" t="s">
        <v>9</v>
      </c>
      <c r="T484" s="2" t="s">
        <v>16964</v>
      </c>
    </row>
    <row r="485" spans="1:24" hidden="1">
      <c r="A485" s="3" t="s">
        <v>2913</v>
      </c>
      <c r="B485" s="2">
        <v>125</v>
      </c>
      <c r="D485" s="66" t="str">
        <f>VLOOKUP("*"&amp;A485&amp;"*",[2]Sheet1!$G$2:$X$1155,18,FALSE)</f>
        <v>ERR10611857</v>
      </c>
      <c r="E485" s="2">
        <v>2019</v>
      </c>
      <c r="F485" s="2" t="s">
        <v>139</v>
      </c>
      <c r="G485" s="2" t="s">
        <v>5</v>
      </c>
      <c r="H485" s="2" t="s">
        <v>2441</v>
      </c>
      <c r="I485" s="2" t="s">
        <v>6</v>
      </c>
      <c r="J485" s="2" t="s">
        <v>8</v>
      </c>
      <c r="K485" s="2" t="s">
        <v>22</v>
      </c>
      <c r="L485" s="2" t="s">
        <v>7</v>
      </c>
      <c r="M485" s="2">
        <v>121</v>
      </c>
      <c r="N485" s="2" t="s">
        <v>9</v>
      </c>
      <c r="T485" s="2" t="s">
        <v>16963</v>
      </c>
      <c r="X485" s="67" t="s">
        <v>4722</v>
      </c>
    </row>
    <row r="486" spans="1:24" hidden="1">
      <c r="A486" s="3" t="s">
        <v>3676</v>
      </c>
      <c r="B486" s="2">
        <v>126</v>
      </c>
      <c r="D486" s="66" t="str">
        <f>VLOOKUP("*"&amp;A486&amp;"*",[2]Sheet1!$G$2:$X$1155,18,FALSE)</f>
        <v>ERR10611894</v>
      </c>
      <c r="E486" s="2">
        <v>2018</v>
      </c>
      <c r="F486" s="2" t="s">
        <v>139</v>
      </c>
      <c r="G486" s="2" t="s">
        <v>43</v>
      </c>
      <c r="H486" s="2" t="s">
        <v>2435</v>
      </c>
      <c r="I486" s="2" t="s">
        <v>6</v>
      </c>
      <c r="J486" s="2" t="s">
        <v>20</v>
      </c>
      <c r="K486" s="2" t="s">
        <v>443</v>
      </c>
      <c r="L486" s="2" t="s">
        <v>19</v>
      </c>
      <c r="M486" s="2">
        <v>9</v>
      </c>
      <c r="N486" s="2" t="s">
        <v>21</v>
      </c>
      <c r="T486" s="2" t="s">
        <v>16963</v>
      </c>
      <c r="U486" s="67" t="s">
        <v>2627</v>
      </c>
    </row>
    <row r="487" spans="1:24" hidden="1">
      <c r="A487" s="3" t="s">
        <v>3563</v>
      </c>
      <c r="B487" s="2">
        <v>127</v>
      </c>
      <c r="D487" s="66" t="str">
        <f>VLOOKUP("*"&amp;A487&amp;"*",[2]Sheet1!$G$2:$X$1155,18,FALSE)</f>
        <v>ERR10611873</v>
      </c>
      <c r="E487" s="2">
        <v>2019</v>
      </c>
      <c r="F487" s="2" t="s">
        <v>139</v>
      </c>
      <c r="G487" s="2" t="s">
        <v>5</v>
      </c>
      <c r="H487" s="2" t="s">
        <v>2438</v>
      </c>
      <c r="I487" s="2" t="s">
        <v>10</v>
      </c>
      <c r="J487" s="2" t="s">
        <v>35</v>
      </c>
      <c r="K487" s="2" t="s">
        <v>444</v>
      </c>
      <c r="L487" s="2" t="s">
        <v>34</v>
      </c>
      <c r="M487" s="2">
        <v>5</v>
      </c>
      <c r="N487" s="2" t="s">
        <v>14</v>
      </c>
      <c r="T487" s="2" t="s">
        <v>16964</v>
      </c>
    </row>
    <row r="488" spans="1:24" hidden="1">
      <c r="A488" s="3" t="s">
        <v>3398</v>
      </c>
      <c r="B488" s="2">
        <v>128</v>
      </c>
      <c r="D488" s="66" t="str">
        <f>VLOOKUP("*"&amp;A488&amp;"*",[2]Sheet1!$G$2:$X$1155,18,FALSE)</f>
        <v>ERR10611864</v>
      </c>
      <c r="E488" s="2">
        <v>2019</v>
      </c>
      <c r="F488" s="2" t="s">
        <v>139</v>
      </c>
      <c r="G488" s="2" t="s">
        <v>5</v>
      </c>
      <c r="H488" s="2" t="s">
        <v>2457</v>
      </c>
      <c r="I488" s="2" t="s">
        <v>6</v>
      </c>
      <c r="J488" s="2" t="s">
        <v>20</v>
      </c>
      <c r="K488" s="2" t="s">
        <v>393</v>
      </c>
      <c r="L488" s="2" t="s">
        <v>19</v>
      </c>
      <c r="M488" s="2">
        <v>9</v>
      </c>
      <c r="N488" s="2" t="s">
        <v>21</v>
      </c>
      <c r="T488" s="2" t="s">
        <v>16964</v>
      </c>
    </row>
    <row r="489" spans="1:24" hidden="1">
      <c r="A489" s="3" t="s">
        <v>3436</v>
      </c>
      <c r="B489" s="2">
        <v>129</v>
      </c>
      <c r="D489" s="66" t="str">
        <f>VLOOKUP("*"&amp;A489&amp;"*",[2]Sheet1!$G$2:$X$1155,18,FALSE)</f>
        <v>ERR10611885</v>
      </c>
      <c r="E489" s="2">
        <v>2019</v>
      </c>
      <c r="F489" s="2" t="s">
        <v>139</v>
      </c>
      <c r="G489" s="2" t="s">
        <v>5</v>
      </c>
      <c r="H489" s="2" t="s">
        <v>2462</v>
      </c>
      <c r="I489" s="2" t="s">
        <v>6</v>
      </c>
      <c r="J489" s="2" t="s">
        <v>26</v>
      </c>
      <c r="K489" s="2" t="s">
        <v>445</v>
      </c>
      <c r="L489" s="2" t="s">
        <v>25</v>
      </c>
      <c r="M489" s="2">
        <v>38</v>
      </c>
      <c r="N489" s="2" t="s">
        <v>9</v>
      </c>
      <c r="T489" s="2" t="s">
        <v>16964</v>
      </c>
    </row>
    <row r="490" spans="1:24" hidden="1">
      <c r="A490" s="3" t="s">
        <v>4203</v>
      </c>
      <c r="B490" s="2">
        <v>130</v>
      </c>
      <c r="D490" s="66" t="str">
        <f>VLOOKUP("*"&amp;A490&amp;"*",[2]Sheet1!$G$2:$X$1155,18,FALSE)</f>
        <v>ERR10611867</v>
      </c>
      <c r="E490" s="2">
        <v>2019</v>
      </c>
      <c r="F490" s="2" t="s">
        <v>139</v>
      </c>
      <c r="G490" s="2" t="s">
        <v>5</v>
      </c>
      <c r="H490" s="2" t="s">
        <v>2463</v>
      </c>
      <c r="I490" s="2" t="s">
        <v>6</v>
      </c>
      <c r="J490" s="2" t="s">
        <v>8</v>
      </c>
      <c r="K490" s="2" t="s">
        <v>446</v>
      </c>
      <c r="L490" s="2" t="s">
        <v>7</v>
      </c>
      <c r="M490" s="2">
        <v>121</v>
      </c>
      <c r="N490" s="2" t="s">
        <v>9</v>
      </c>
      <c r="T490" s="2" t="s">
        <v>16964</v>
      </c>
    </row>
    <row r="491" spans="1:24" hidden="1">
      <c r="A491" s="3" t="s">
        <v>4201</v>
      </c>
      <c r="B491" s="2">
        <v>131</v>
      </c>
      <c r="D491" s="66" t="str">
        <f>VLOOKUP("*"&amp;A491&amp;"*",[2]Sheet1!$G$2:$X$1155,18,FALSE)</f>
        <v>ERR10611858</v>
      </c>
      <c r="E491" s="2">
        <v>2019</v>
      </c>
      <c r="F491" s="2" t="s">
        <v>139</v>
      </c>
      <c r="G491" s="2" t="s">
        <v>5</v>
      </c>
      <c r="H491" s="2" t="s">
        <v>2464</v>
      </c>
      <c r="I491" s="2" t="s">
        <v>10</v>
      </c>
      <c r="J491" s="2" t="s">
        <v>12</v>
      </c>
      <c r="K491" s="2" t="s">
        <v>447</v>
      </c>
      <c r="L491" s="2" t="s">
        <v>11</v>
      </c>
      <c r="M491" s="2">
        <v>3</v>
      </c>
      <c r="N491" s="2" t="s">
        <v>14</v>
      </c>
      <c r="T491" s="2" t="s">
        <v>16964</v>
      </c>
    </row>
    <row r="492" spans="1:24" hidden="1">
      <c r="A492" s="3" t="s">
        <v>4192</v>
      </c>
      <c r="B492" s="2">
        <v>132</v>
      </c>
      <c r="D492" s="66" t="str">
        <f>VLOOKUP("*"&amp;A492&amp;"*",[2]Sheet1!$G$2:$X$1155,18,FALSE)</f>
        <v>ERR10611912</v>
      </c>
      <c r="E492" s="2">
        <v>2019</v>
      </c>
      <c r="F492" s="2" t="s">
        <v>139</v>
      </c>
      <c r="G492" s="2" t="s">
        <v>5</v>
      </c>
      <c r="H492" s="2" t="s">
        <v>2465</v>
      </c>
      <c r="I492" s="2" t="s">
        <v>6</v>
      </c>
      <c r="J492" s="2" t="s">
        <v>20</v>
      </c>
      <c r="K492" s="2" t="s">
        <v>4710</v>
      </c>
      <c r="L492" s="2" t="s">
        <v>19</v>
      </c>
      <c r="M492" s="2">
        <v>9</v>
      </c>
      <c r="N492" s="2" t="s">
        <v>21</v>
      </c>
      <c r="T492" s="2" t="s">
        <v>16964</v>
      </c>
    </row>
    <row r="493" spans="1:24" hidden="1">
      <c r="A493" s="3" t="s">
        <v>3454</v>
      </c>
      <c r="B493" s="2" t="s">
        <v>448</v>
      </c>
      <c r="D493" s="66" t="str">
        <f>VLOOKUP("*"&amp;A493&amp;"*",[2]Sheet1!$G$2:$X$1155,18,FALSE)</f>
        <v>ERR10612007</v>
      </c>
      <c r="E493" s="2">
        <v>1990</v>
      </c>
      <c r="F493" s="2" t="s">
        <v>449</v>
      </c>
      <c r="G493" s="2" t="s">
        <v>43</v>
      </c>
      <c r="H493" s="2" t="s">
        <v>2467</v>
      </c>
      <c r="I493" s="2" t="s">
        <v>6</v>
      </c>
      <c r="J493" s="2" t="s">
        <v>26</v>
      </c>
      <c r="K493" s="2" t="s">
        <v>450</v>
      </c>
      <c r="L493" s="2" t="s">
        <v>25</v>
      </c>
      <c r="M493" s="2">
        <v>101</v>
      </c>
      <c r="N493" s="2" t="s">
        <v>9</v>
      </c>
      <c r="T493" s="2" t="s">
        <v>16964</v>
      </c>
    </row>
    <row r="494" spans="1:24" hidden="1">
      <c r="A494" s="3" t="s">
        <v>3532</v>
      </c>
      <c r="B494" s="2" t="s">
        <v>451</v>
      </c>
      <c r="D494" s="66" t="str">
        <f>VLOOKUP("*"&amp;A494&amp;"*",[2]Sheet1!$G$2:$X$1155,18,FALSE)</f>
        <v>ERR10612035</v>
      </c>
      <c r="E494" s="2">
        <v>1996</v>
      </c>
      <c r="F494" s="2" t="s">
        <v>449</v>
      </c>
      <c r="G494" s="2" t="s">
        <v>43</v>
      </c>
      <c r="H494" s="2" t="s">
        <v>2467</v>
      </c>
      <c r="I494" s="2" t="s">
        <v>10</v>
      </c>
      <c r="J494" s="2" t="s">
        <v>17</v>
      </c>
      <c r="K494" s="2" t="s">
        <v>452</v>
      </c>
      <c r="L494" s="2" t="s">
        <v>16</v>
      </c>
      <c r="M494" s="2">
        <v>2</v>
      </c>
      <c r="N494" s="2" t="s">
        <v>18</v>
      </c>
      <c r="T494" s="2" t="s">
        <v>16964</v>
      </c>
    </row>
    <row r="495" spans="1:24" hidden="1">
      <c r="A495" s="3" t="s">
        <v>4145</v>
      </c>
      <c r="B495" s="2" t="s">
        <v>453</v>
      </c>
      <c r="D495" s="66" t="str">
        <f>VLOOKUP("*"&amp;A495&amp;"*",[2]Sheet1!$G$2:$X$1155,18,FALSE)</f>
        <v>ERR10612044</v>
      </c>
      <c r="E495" s="2">
        <v>1996</v>
      </c>
      <c r="F495" s="2" t="s">
        <v>449</v>
      </c>
      <c r="G495" s="2" t="s">
        <v>43</v>
      </c>
      <c r="H495" s="2" t="s">
        <v>2467</v>
      </c>
      <c r="I495" s="2" t="s">
        <v>10</v>
      </c>
      <c r="J495" s="2" t="s">
        <v>17</v>
      </c>
      <c r="K495" s="2" t="s">
        <v>452</v>
      </c>
      <c r="L495" s="2" t="s">
        <v>16</v>
      </c>
      <c r="M495" s="2">
        <v>2</v>
      </c>
      <c r="N495" s="2" t="s">
        <v>18</v>
      </c>
      <c r="T495" s="2" t="s">
        <v>16964</v>
      </c>
    </row>
    <row r="496" spans="1:24" hidden="1">
      <c r="A496" s="3" t="s">
        <v>4352</v>
      </c>
      <c r="B496" s="2" t="s">
        <v>454</v>
      </c>
      <c r="D496" s="66" t="str">
        <f>VLOOKUP("*"&amp;A496&amp;"*",[2]Sheet1!$G$2:$X$1155,18,FALSE)</f>
        <v>ERR10612067</v>
      </c>
      <c r="E496" s="2">
        <v>1989</v>
      </c>
      <c r="F496" s="2" t="s">
        <v>449</v>
      </c>
      <c r="G496" s="2" t="s">
        <v>43</v>
      </c>
      <c r="H496" s="2" t="s">
        <v>2468</v>
      </c>
      <c r="I496" s="2" t="s">
        <v>10</v>
      </c>
      <c r="J496" s="2" t="s">
        <v>12</v>
      </c>
      <c r="K496" s="2" t="s">
        <v>455</v>
      </c>
      <c r="L496" s="2" t="s">
        <v>11</v>
      </c>
      <c r="M496" s="2">
        <v>3</v>
      </c>
      <c r="N496" s="2" t="s">
        <v>14</v>
      </c>
      <c r="T496" s="2" t="s">
        <v>16964</v>
      </c>
    </row>
    <row r="497" spans="1:25" hidden="1">
      <c r="A497" s="3" t="s">
        <v>3034</v>
      </c>
      <c r="B497" s="2" t="s">
        <v>456</v>
      </c>
      <c r="D497" s="66" t="str">
        <f>VLOOKUP("*"&amp;A497&amp;"*",[2]Sheet1!$G$2:$X$1155,18,FALSE)</f>
        <v>ERR10612031</v>
      </c>
      <c r="E497" s="2">
        <v>1989</v>
      </c>
      <c r="F497" s="2" t="s">
        <v>449</v>
      </c>
      <c r="G497" s="2" t="s">
        <v>43</v>
      </c>
      <c r="H497" s="2" t="s">
        <v>2468</v>
      </c>
      <c r="I497" s="2" t="s">
        <v>10</v>
      </c>
      <c r="J497" s="2" t="s">
        <v>12</v>
      </c>
      <c r="K497" s="2" t="s">
        <v>457</v>
      </c>
      <c r="L497" s="2" t="s">
        <v>11</v>
      </c>
      <c r="M497" s="2">
        <v>3</v>
      </c>
      <c r="N497" s="2" t="s">
        <v>14</v>
      </c>
      <c r="T497" s="2" t="s">
        <v>16964</v>
      </c>
    </row>
    <row r="498" spans="1:25" hidden="1">
      <c r="A498" s="3" t="s">
        <v>3135</v>
      </c>
      <c r="B498" s="2" t="s">
        <v>458</v>
      </c>
      <c r="D498" s="66" t="str">
        <f>VLOOKUP("*"&amp;A498&amp;"*",[2]Sheet1!$G$2:$X$1155,18,FALSE)</f>
        <v>ERR10612024</v>
      </c>
      <c r="E498" s="2">
        <v>1993</v>
      </c>
      <c r="F498" s="2" t="s">
        <v>449</v>
      </c>
      <c r="G498" s="2" t="s">
        <v>43</v>
      </c>
      <c r="H498" s="2" t="s">
        <v>2468</v>
      </c>
      <c r="I498" s="2" t="s">
        <v>10</v>
      </c>
      <c r="J498" s="2" t="s">
        <v>12</v>
      </c>
      <c r="K498" s="2" t="s">
        <v>457</v>
      </c>
      <c r="L498" s="2" t="s">
        <v>11</v>
      </c>
      <c r="M498" s="2">
        <v>3</v>
      </c>
      <c r="N498" s="2" t="s">
        <v>14</v>
      </c>
      <c r="T498" s="2" t="s">
        <v>16964</v>
      </c>
    </row>
    <row r="499" spans="1:25" hidden="1">
      <c r="A499" s="3" t="s">
        <v>4088</v>
      </c>
      <c r="B499" s="2" t="s">
        <v>459</v>
      </c>
      <c r="D499" s="66" t="str">
        <f>VLOOKUP("*"&amp;A499&amp;"*",[2]Sheet1!$G$2:$X$1155,18,FALSE)</f>
        <v>ERR10612006</v>
      </c>
      <c r="E499" s="2">
        <v>1993</v>
      </c>
      <c r="F499" s="2" t="s">
        <v>449</v>
      </c>
      <c r="G499" s="2" t="s">
        <v>43</v>
      </c>
      <c r="H499" s="2" t="s">
        <v>2468</v>
      </c>
      <c r="I499" s="2" t="s">
        <v>10</v>
      </c>
      <c r="J499" s="2" t="s">
        <v>12</v>
      </c>
      <c r="K499" s="2" t="s">
        <v>455</v>
      </c>
      <c r="L499" s="2" t="s">
        <v>11</v>
      </c>
      <c r="M499" s="2">
        <v>3</v>
      </c>
      <c r="N499" s="2" t="s">
        <v>14</v>
      </c>
      <c r="T499" s="2" t="s">
        <v>16963</v>
      </c>
      <c r="Y499" s="67" t="s">
        <v>2627</v>
      </c>
    </row>
    <row r="500" spans="1:25" hidden="1">
      <c r="A500" s="3" t="s">
        <v>2999</v>
      </c>
      <c r="B500" s="2" t="s">
        <v>460</v>
      </c>
      <c r="D500" s="66" t="str">
        <f>VLOOKUP("*"&amp;A500&amp;"*",[2]Sheet1!$G$2:$X$1155,18,FALSE)</f>
        <v>ERR10612089</v>
      </c>
      <c r="E500" s="2">
        <v>2002</v>
      </c>
      <c r="F500" s="2" t="s">
        <v>449</v>
      </c>
      <c r="G500" s="2" t="s">
        <v>43</v>
      </c>
      <c r="H500" s="2" t="s">
        <v>2468</v>
      </c>
      <c r="I500" s="2" t="s">
        <v>6</v>
      </c>
      <c r="J500" s="2" t="s">
        <v>20</v>
      </c>
      <c r="K500" s="2" t="s">
        <v>361</v>
      </c>
      <c r="L500" s="2" t="s">
        <v>19</v>
      </c>
      <c r="M500" s="2">
        <v>9</v>
      </c>
      <c r="N500" s="2" t="s">
        <v>21</v>
      </c>
      <c r="T500" s="2" t="s">
        <v>16963</v>
      </c>
      <c r="X500" s="67" t="s">
        <v>4723</v>
      </c>
    </row>
    <row r="501" spans="1:25" hidden="1">
      <c r="A501" s="3" t="s">
        <v>3358</v>
      </c>
      <c r="B501" s="2" t="s">
        <v>461</v>
      </c>
      <c r="D501" s="66" t="str">
        <f>VLOOKUP("*"&amp;A501&amp;"*",[2]Sheet1!$G$2:$X$1155,18,FALSE)</f>
        <v>ERR10612008</v>
      </c>
      <c r="E501" s="2">
        <v>1990</v>
      </c>
      <c r="F501" s="2" t="s">
        <v>449</v>
      </c>
      <c r="G501" s="2" t="s">
        <v>43</v>
      </c>
      <c r="H501" s="2" t="s">
        <v>2468</v>
      </c>
      <c r="I501" s="2" t="s">
        <v>6</v>
      </c>
      <c r="J501" s="2" t="s">
        <v>8</v>
      </c>
      <c r="K501" s="2" t="s">
        <v>462</v>
      </c>
      <c r="L501" s="2" t="s">
        <v>7</v>
      </c>
      <c r="M501" s="2">
        <v>121</v>
      </c>
      <c r="N501" s="2" t="s">
        <v>9</v>
      </c>
      <c r="T501" s="2" t="s">
        <v>16964</v>
      </c>
    </row>
    <row r="502" spans="1:25" hidden="1">
      <c r="A502" s="3" t="s">
        <v>3335</v>
      </c>
      <c r="B502" s="2" t="s">
        <v>463</v>
      </c>
      <c r="D502" s="66" t="str">
        <f>VLOOKUP("*"&amp;A502&amp;"*",[2]Sheet1!$G$2:$X$1155,18,FALSE)</f>
        <v>ERR10612015</v>
      </c>
      <c r="E502" s="2">
        <v>2002</v>
      </c>
      <c r="F502" s="2" t="s">
        <v>449</v>
      </c>
      <c r="G502" s="2" t="s">
        <v>43</v>
      </c>
      <c r="H502" s="2" t="s">
        <v>2468</v>
      </c>
      <c r="I502" s="2" t="s">
        <v>6</v>
      </c>
      <c r="J502" s="2" t="s">
        <v>29</v>
      </c>
      <c r="K502" s="2" t="s">
        <v>66</v>
      </c>
      <c r="L502" s="2" t="s">
        <v>28</v>
      </c>
      <c r="M502" s="2">
        <v>8</v>
      </c>
      <c r="N502" s="2" t="s">
        <v>9</v>
      </c>
      <c r="T502" s="2" t="s">
        <v>16964</v>
      </c>
    </row>
    <row r="503" spans="1:25" hidden="1">
      <c r="A503" s="3" t="s">
        <v>3880</v>
      </c>
      <c r="B503" s="2" t="s">
        <v>464</v>
      </c>
      <c r="D503" s="66" t="str">
        <f>VLOOKUP("*"&amp;A503&amp;"*",[2]Sheet1!$G$2:$X$1155,18,FALSE)</f>
        <v>ERR10612033</v>
      </c>
      <c r="E503" s="2">
        <v>2000</v>
      </c>
      <c r="F503" s="2" t="s">
        <v>449</v>
      </c>
      <c r="G503" s="2" t="s">
        <v>43</v>
      </c>
      <c r="H503" s="2" t="s">
        <v>2468</v>
      </c>
      <c r="I503" s="2" t="s">
        <v>6</v>
      </c>
      <c r="J503" s="2" t="s">
        <v>102</v>
      </c>
      <c r="K503" s="2" t="s">
        <v>465</v>
      </c>
      <c r="L503" s="2" t="s">
        <v>101</v>
      </c>
      <c r="M503" s="2">
        <v>7</v>
      </c>
      <c r="N503" s="2" t="s">
        <v>9</v>
      </c>
      <c r="T503" s="2" t="s">
        <v>16964</v>
      </c>
    </row>
    <row r="504" spans="1:25" hidden="1">
      <c r="A504" s="3" t="s">
        <v>3417</v>
      </c>
      <c r="B504" s="2" t="s">
        <v>466</v>
      </c>
      <c r="D504" s="66" t="str">
        <f>VLOOKUP("*"&amp;A504&amp;"*",[2]Sheet1!$G$2:$X$1155,18,FALSE)</f>
        <v>ERR10612020</v>
      </c>
      <c r="E504" s="2">
        <v>2002</v>
      </c>
      <c r="F504" s="2" t="s">
        <v>449</v>
      </c>
      <c r="G504" s="2" t="s">
        <v>43</v>
      </c>
      <c r="H504" s="2" t="s">
        <v>2468</v>
      </c>
      <c r="I504" s="2" t="s">
        <v>6</v>
      </c>
      <c r="J504" s="2" t="s">
        <v>102</v>
      </c>
      <c r="K504" s="2" t="s">
        <v>465</v>
      </c>
      <c r="L504" s="2" t="s">
        <v>101</v>
      </c>
      <c r="M504" s="2">
        <v>7</v>
      </c>
      <c r="N504" s="2" t="s">
        <v>9</v>
      </c>
      <c r="T504" s="2" t="s">
        <v>16964</v>
      </c>
    </row>
    <row r="505" spans="1:25" hidden="1">
      <c r="A505" s="3" t="s">
        <v>3881</v>
      </c>
      <c r="B505" s="2" t="s">
        <v>467</v>
      </c>
      <c r="D505" s="66" t="str">
        <f>VLOOKUP("*"&amp;A505&amp;"*",[2]Sheet1!$G$2:$X$1155,18,FALSE)</f>
        <v>ERR10612059</v>
      </c>
      <c r="E505" s="2">
        <v>1999</v>
      </c>
      <c r="F505" s="2" t="s">
        <v>449</v>
      </c>
      <c r="G505" s="2" t="s">
        <v>43</v>
      </c>
      <c r="H505" s="2" t="s">
        <v>2468</v>
      </c>
      <c r="I505" s="2" t="s">
        <v>6</v>
      </c>
      <c r="J505" s="2" t="s">
        <v>102</v>
      </c>
      <c r="K505" s="2" t="s">
        <v>465</v>
      </c>
      <c r="L505" s="2" t="s">
        <v>101</v>
      </c>
      <c r="M505" s="2">
        <v>7</v>
      </c>
      <c r="N505" s="2" t="s">
        <v>9</v>
      </c>
      <c r="T505" s="2" t="s">
        <v>16964</v>
      </c>
    </row>
    <row r="506" spans="1:25" hidden="1">
      <c r="A506" s="3" t="s">
        <v>4083</v>
      </c>
      <c r="B506" s="2" t="s">
        <v>468</v>
      </c>
      <c r="D506" s="66" t="str">
        <f>VLOOKUP("*"&amp;A506&amp;"*",[2]Sheet1!$G$2:$X$1155,18,FALSE)</f>
        <v>ERR10612040</v>
      </c>
      <c r="E506" s="2">
        <v>2002</v>
      </c>
      <c r="F506" s="2" t="s">
        <v>449</v>
      </c>
      <c r="G506" s="2" t="s">
        <v>43</v>
      </c>
      <c r="H506" s="2" t="s">
        <v>2468</v>
      </c>
      <c r="I506" s="2" t="s">
        <v>6</v>
      </c>
      <c r="J506" s="2" t="s">
        <v>8</v>
      </c>
      <c r="K506" s="2" t="s">
        <v>469</v>
      </c>
      <c r="L506" s="2" t="s">
        <v>7</v>
      </c>
      <c r="M506" s="2">
        <v>121</v>
      </c>
      <c r="N506" s="2" t="s">
        <v>9</v>
      </c>
      <c r="T506" s="2" t="s">
        <v>16964</v>
      </c>
    </row>
    <row r="507" spans="1:25" hidden="1">
      <c r="A507" s="3" t="s">
        <v>3541</v>
      </c>
      <c r="B507" s="2" t="s">
        <v>470</v>
      </c>
      <c r="D507" s="66" t="str">
        <f>VLOOKUP("*"&amp;A507&amp;"*",[2]Sheet1!$G$2:$X$1155,18,FALSE)</f>
        <v>ERR10612057</v>
      </c>
      <c r="E507" s="2">
        <v>2002</v>
      </c>
      <c r="F507" s="2" t="s">
        <v>449</v>
      </c>
      <c r="G507" s="2" t="s">
        <v>43</v>
      </c>
      <c r="H507" s="2" t="s">
        <v>2468</v>
      </c>
      <c r="I507" s="2" t="s">
        <v>6</v>
      </c>
      <c r="J507" s="2" t="s">
        <v>102</v>
      </c>
      <c r="K507" s="2" t="s">
        <v>465</v>
      </c>
      <c r="L507" s="2" t="s">
        <v>101</v>
      </c>
      <c r="M507" s="2">
        <v>7</v>
      </c>
      <c r="N507" s="2" t="s">
        <v>9</v>
      </c>
      <c r="T507" s="2" t="s">
        <v>16964</v>
      </c>
    </row>
    <row r="508" spans="1:25" hidden="1">
      <c r="A508" s="3" t="s">
        <v>3884</v>
      </c>
      <c r="B508" s="2" t="s">
        <v>471</v>
      </c>
      <c r="D508" s="66" t="str">
        <f>VLOOKUP("*"&amp;A508&amp;"*",[2]Sheet1!$G$2:$X$1155,18,FALSE)</f>
        <v>ERR10612046</v>
      </c>
      <c r="E508" s="2">
        <v>2002</v>
      </c>
      <c r="F508" s="2" t="s">
        <v>449</v>
      </c>
      <c r="G508" s="2" t="s">
        <v>43</v>
      </c>
      <c r="H508" s="2" t="s">
        <v>2468</v>
      </c>
      <c r="I508" s="2" t="s">
        <v>6</v>
      </c>
      <c r="J508" s="2" t="s">
        <v>102</v>
      </c>
      <c r="K508" s="2" t="s">
        <v>472</v>
      </c>
      <c r="L508" s="2" t="s">
        <v>101</v>
      </c>
      <c r="M508" s="2">
        <v>7</v>
      </c>
      <c r="N508" s="2" t="s">
        <v>9</v>
      </c>
      <c r="T508" s="2" t="s">
        <v>16964</v>
      </c>
    </row>
    <row r="509" spans="1:25" hidden="1">
      <c r="A509" s="3" t="s">
        <v>3416</v>
      </c>
      <c r="B509" s="2" t="s">
        <v>473</v>
      </c>
      <c r="D509" s="66" t="str">
        <f>VLOOKUP("*"&amp;A509&amp;"*",[2]Sheet1!$G$2:$X$1155,18,FALSE)</f>
        <v>ERR10612029</v>
      </c>
      <c r="E509" s="2">
        <v>2002</v>
      </c>
      <c r="F509" s="2" t="s">
        <v>449</v>
      </c>
      <c r="G509" s="2" t="s">
        <v>43</v>
      </c>
      <c r="H509" s="2" t="s">
        <v>2468</v>
      </c>
      <c r="I509" s="2" t="s">
        <v>6</v>
      </c>
      <c r="J509" s="2" t="s">
        <v>102</v>
      </c>
      <c r="K509" s="2" t="s">
        <v>465</v>
      </c>
      <c r="L509" s="2" t="s">
        <v>101</v>
      </c>
      <c r="M509" s="2">
        <v>7</v>
      </c>
      <c r="N509" s="2" t="s">
        <v>9</v>
      </c>
      <c r="T509" s="2" t="s">
        <v>16964</v>
      </c>
    </row>
    <row r="510" spans="1:25" hidden="1">
      <c r="A510" s="3" t="s">
        <v>3540</v>
      </c>
      <c r="B510" s="2" t="s">
        <v>474</v>
      </c>
      <c r="D510" s="66" t="str">
        <f>VLOOKUP("*"&amp;A510&amp;"*",[2]Sheet1!$G$2:$X$1155,18,FALSE)</f>
        <v>ERR10612054</v>
      </c>
      <c r="E510" s="2">
        <v>2002</v>
      </c>
      <c r="F510" s="2" t="s">
        <v>449</v>
      </c>
      <c r="G510" s="2" t="s">
        <v>43</v>
      </c>
      <c r="H510" s="2" t="s">
        <v>2468</v>
      </c>
      <c r="I510" s="2" t="s">
        <v>6</v>
      </c>
      <c r="J510" s="2" t="s">
        <v>102</v>
      </c>
      <c r="K510" s="2" t="s">
        <v>465</v>
      </c>
      <c r="L510" s="2" t="s">
        <v>101</v>
      </c>
      <c r="M510" s="2">
        <v>7</v>
      </c>
      <c r="N510" s="2" t="s">
        <v>9</v>
      </c>
      <c r="T510" s="2" t="s">
        <v>16964</v>
      </c>
    </row>
    <row r="511" spans="1:25" hidden="1">
      <c r="A511" s="3" t="s">
        <v>3813</v>
      </c>
      <c r="B511" s="2" t="s">
        <v>475</v>
      </c>
      <c r="D511" s="66" t="str">
        <f>VLOOKUP("*"&amp;A511&amp;"*",[2]Sheet1!$G$2:$X$1155,18,FALSE)</f>
        <v>ERR10612041</v>
      </c>
      <c r="E511" s="2">
        <v>2002</v>
      </c>
      <c r="F511" s="2" t="s">
        <v>449</v>
      </c>
      <c r="G511" s="2" t="s">
        <v>43</v>
      </c>
      <c r="H511" s="2" t="s">
        <v>2468</v>
      </c>
      <c r="I511" s="2" t="s">
        <v>6</v>
      </c>
      <c r="J511" s="2" t="s">
        <v>29</v>
      </c>
      <c r="K511" s="2" t="s">
        <v>66</v>
      </c>
      <c r="L511" s="2" t="s">
        <v>28</v>
      </c>
      <c r="M511" s="2">
        <v>8</v>
      </c>
      <c r="N511" s="2" t="s">
        <v>9</v>
      </c>
      <c r="T511" s="2" t="s">
        <v>16964</v>
      </c>
    </row>
    <row r="512" spans="1:25" hidden="1">
      <c r="A512" s="3" t="s">
        <v>3740</v>
      </c>
      <c r="B512" s="2" t="s">
        <v>476</v>
      </c>
      <c r="D512" s="66" t="str">
        <f>VLOOKUP("*"&amp;A512&amp;"*",[2]Sheet1!$G$2:$X$1155,18,FALSE)</f>
        <v>ERR10612022</v>
      </c>
      <c r="E512" s="2">
        <v>2002</v>
      </c>
      <c r="F512" s="2" t="s">
        <v>449</v>
      </c>
      <c r="G512" s="2" t="s">
        <v>43</v>
      </c>
      <c r="H512" s="2" t="s">
        <v>2468</v>
      </c>
      <c r="I512" s="2" t="s">
        <v>10</v>
      </c>
      <c r="J512" s="2" t="s">
        <v>17</v>
      </c>
      <c r="K512" s="2" t="s">
        <v>477</v>
      </c>
      <c r="L512" s="2" t="s">
        <v>16</v>
      </c>
      <c r="M512" s="2">
        <v>2</v>
      </c>
      <c r="N512" s="2" t="s">
        <v>18</v>
      </c>
      <c r="T512" s="2" t="s">
        <v>16964</v>
      </c>
    </row>
    <row r="513" spans="1:24" hidden="1">
      <c r="A513" s="3" t="s">
        <v>3512</v>
      </c>
      <c r="B513" s="2" t="s">
        <v>478</v>
      </c>
      <c r="D513" s="66" t="str">
        <f>VLOOKUP("*"&amp;A513&amp;"*",[2]Sheet1!$G$2:$X$1155,18,FALSE)</f>
        <v>ERR10612069</v>
      </c>
      <c r="E513" s="2">
        <v>2002</v>
      </c>
      <c r="F513" s="2" t="s">
        <v>449</v>
      </c>
      <c r="G513" s="2" t="s">
        <v>43</v>
      </c>
      <c r="H513" s="2" t="s">
        <v>2468</v>
      </c>
      <c r="I513" s="2" t="s">
        <v>6</v>
      </c>
      <c r="J513" s="2" t="s">
        <v>102</v>
      </c>
      <c r="K513" s="2" t="s">
        <v>479</v>
      </c>
      <c r="L513" s="2" t="s">
        <v>101</v>
      </c>
      <c r="M513" s="2">
        <v>7</v>
      </c>
      <c r="N513" s="2" t="s">
        <v>9</v>
      </c>
      <c r="T513" s="2" t="s">
        <v>16964</v>
      </c>
    </row>
    <row r="514" spans="1:24" hidden="1">
      <c r="A514" s="3" t="s">
        <v>3084</v>
      </c>
      <c r="B514" s="2" t="s">
        <v>480</v>
      </c>
      <c r="D514" s="66" t="str">
        <f>VLOOKUP("*"&amp;A514&amp;"*",[2]Sheet1!$G$2:$X$1155,18,FALSE)</f>
        <v>ERR10612060</v>
      </c>
      <c r="E514" s="2">
        <v>2002</v>
      </c>
      <c r="F514" s="2" t="s">
        <v>449</v>
      </c>
      <c r="G514" s="2" t="s">
        <v>43</v>
      </c>
      <c r="H514" s="2" t="s">
        <v>2468</v>
      </c>
      <c r="I514" s="2" t="s">
        <v>6</v>
      </c>
      <c r="J514" s="2" t="s">
        <v>20</v>
      </c>
      <c r="K514" s="2" t="s">
        <v>361</v>
      </c>
      <c r="L514" s="2" t="s">
        <v>19</v>
      </c>
      <c r="M514" s="2">
        <v>9</v>
      </c>
      <c r="N514" s="2" t="s">
        <v>21</v>
      </c>
      <c r="T514" s="2" t="s">
        <v>16963</v>
      </c>
      <c r="X514" s="67" t="s">
        <v>4723</v>
      </c>
    </row>
    <row r="515" spans="1:24" hidden="1">
      <c r="A515" s="3" t="s">
        <v>2998</v>
      </c>
      <c r="B515" s="2" t="s">
        <v>481</v>
      </c>
      <c r="D515" s="66" t="str">
        <f>VLOOKUP("*"&amp;A515&amp;"*",[2]Sheet1!$G$2:$X$1155,18,FALSE)</f>
        <v>ERR10612049</v>
      </c>
      <c r="E515" s="2">
        <v>1998</v>
      </c>
      <c r="F515" s="2" t="s">
        <v>449</v>
      </c>
      <c r="G515" s="2" t="s">
        <v>43</v>
      </c>
      <c r="H515" s="2" t="s">
        <v>2468</v>
      </c>
      <c r="I515" s="2" t="s">
        <v>6</v>
      </c>
      <c r="J515" s="2" t="s">
        <v>20</v>
      </c>
      <c r="K515" s="2" t="s">
        <v>361</v>
      </c>
      <c r="L515" s="2" t="s">
        <v>19</v>
      </c>
      <c r="M515" s="2">
        <v>9</v>
      </c>
      <c r="N515" s="2" t="s">
        <v>21</v>
      </c>
      <c r="T515" s="2" t="s">
        <v>16963</v>
      </c>
      <c r="X515" s="67" t="s">
        <v>4723</v>
      </c>
    </row>
    <row r="516" spans="1:24" hidden="1">
      <c r="A516" s="3" t="s">
        <v>3995</v>
      </c>
      <c r="B516" s="2" t="s">
        <v>482</v>
      </c>
      <c r="D516" s="66" t="str">
        <f>VLOOKUP("*"&amp;A516&amp;"*",[2]Sheet1!$G$2:$X$1155,18,FALSE)</f>
        <v>ERR10612064</v>
      </c>
      <c r="E516" s="2">
        <v>2002</v>
      </c>
      <c r="F516" s="2" t="s">
        <v>449</v>
      </c>
      <c r="G516" s="2" t="s">
        <v>43</v>
      </c>
      <c r="H516" s="2" t="s">
        <v>2468</v>
      </c>
      <c r="I516" s="2" t="s">
        <v>6</v>
      </c>
      <c r="J516" s="2" t="s">
        <v>20</v>
      </c>
      <c r="K516" s="2" t="s">
        <v>483</v>
      </c>
      <c r="L516" s="2" t="s">
        <v>19</v>
      </c>
      <c r="M516" s="2">
        <v>9</v>
      </c>
      <c r="N516" s="2" t="s">
        <v>21</v>
      </c>
      <c r="T516" s="2" t="s">
        <v>16964</v>
      </c>
    </row>
    <row r="517" spans="1:24" hidden="1">
      <c r="A517" s="3" t="s">
        <v>3612</v>
      </c>
      <c r="B517" s="2" t="s">
        <v>484</v>
      </c>
      <c r="D517" s="66" t="str">
        <f>VLOOKUP("*"&amp;A517&amp;"*",[2]Sheet1!$G$2:$X$1155,18,FALSE)</f>
        <v>ERR10612048</v>
      </c>
      <c r="E517" s="2">
        <v>2000</v>
      </c>
      <c r="F517" s="2" t="s">
        <v>449</v>
      </c>
      <c r="G517" s="2" t="s">
        <v>43</v>
      </c>
      <c r="H517" s="2" t="s">
        <v>2468</v>
      </c>
      <c r="I517" s="2" t="s">
        <v>6</v>
      </c>
      <c r="J517" s="2" t="s">
        <v>102</v>
      </c>
      <c r="K517" s="2" t="s">
        <v>479</v>
      </c>
      <c r="L517" s="2" t="s">
        <v>101</v>
      </c>
      <c r="M517" s="2">
        <v>7</v>
      </c>
      <c r="N517" s="2" t="s">
        <v>9</v>
      </c>
      <c r="T517" s="2" t="s">
        <v>16964</v>
      </c>
    </row>
    <row r="518" spans="1:24" hidden="1">
      <c r="A518" s="3" t="s">
        <v>3926</v>
      </c>
      <c r="B518" s="2" t="s">
        <v>485</v>
      </c>
      <c r="D518" s="66" t="str">
        <f>VLOOKUP("*"&amp;A518&amp;"*",[2]Sheet1!$G$2:$X$1155,18,FALSE)</f>
        <v>ERR10612030</v>
      </c>
      <c r="E518" s="2">
        <v>2002</v>
      </c>
      <c r="F518" s="2" t="s">
        <v>449</v>
      </c>
      <c r="G518" s="2" t="s">
        <v>43</v>
      </c>
      <c r="H518" s="2" t="s">
        <v>2468</v>
      </c>
      <c r="I518" s="2" t="s">
        <v>6</v>
      </c>
      <c r="J518" s="2" t="s">
        <v>486</v>
      </c>
      <c r="K518" s="2" t="s">
        <v>487</v>
      </c>
      <c r="L518" s="2" t="s">
        <v>330</v>
      </c>
      <c r="M518" s="2">
        <v>177</v>
      </c>
      <c r="N518" s="2" t="s">
        <v>9</v>
      </c>
      <c r="T518" s="2" t="s">
        <v>16964</v>
      </c>
    </row>
    <row r="519" spans="1:24" hidden="1">
      <c r="A519" s="3" t="s">
        <v>3341</v>
      </c>
      <c r="B519" s="2" t="s">
        <v>488</v>
      </c>
      <c r="D519" s="66" t="str">
        <f>VLOOKUP("*"&amp;A519&amp;"*",[2]Sheet1!$G$2:$X$1155,18,FALSE)</f>
        <v>ERR10612072</v>
      </c>
      <c r="E519" s="2">
        <v>1999</v>
      </c>
      <c r="F519" s="2" t="s">
        <v>449</v>
      </c>
      <c r="G519" s="2" t="s">
        <v>43</v>
      </c>
      <c r="H519" s="2" t="s">
        <v>2468</v>
      </c>
      <c r="I519" s="2" t="s">
        <v>6</v>
      </c>
      <c r="J519" s="2" t="s">
        <v>102</v>
      </c>
      <c r="K519" s="2" t="s">
        <v>489</v>
      </c>
      <c r="L519" s="2" t="s">
        <v>101</v>
      </c>
      <c r="M519" s="2">
        <v>7</v>
      </c>
      <c r="N519" s="2" t="s">
        <v>9</v>
      </c>
      <c r="T519" s="2" t="s">
        <v>16964</v>
      </c>
    </row>
    <row r="520" spans="1:24" hidden="1">
      <c r="A520" s="3" t="s">
        <v>3882</v>
      </c>
      <c r="B520" s="2" t="s">
        <v>490</v>
      </c>
      <c r="D520" s="66" t="str">
        <f>VLOOKUP("*"&amp;A520&amp;"*",[2]Sheet1!$G$2:$X$1155,18,FALSE)</f>
        <v>ERR10612078</v>
      </c>
      <c r="E520" s="2">
        <v>1999</v>
      </c>
      <c r="F520" s="2" t="s">
        <v>449</v>
      </c>
      <c r="G520" s="2" t="s">
        <v>43</v>
      </c>
      <c r="H520" s="2" t="s">
        <v>2468</v>
      </c>
      <c r="I520" s="2" t="s">
        <v>6</v>
      </c>
      <c r="J520" s="2" t="s">
        <v>102</v>
      </c>
      <c r="K520" s="2" t="s">
        <v>465</v>
      </c>
      <c r="L520" s="2" t="s">
        <v>101</v>
      </c>
      <c r="M520" s="2">
        <v>7</v>
      </c>
      <c r="N520" s="2" t="s">
        <v>9</v>
      </c>
      <c r="T520" s="2" t="s">
        <v>16964</v>
      </c>
    </row>
    <row r="521" spans="1:24" hidden="1">
      <c r="A521" s="3" t="s">
        <v>4165</v>
      </c>
      <c r="B521" s="2" t="s">
        <v>491</v>
      </c>
      <c r="D521" s="66" t="str">
        <f>VLOOKUP("*"&amp;A521&amp;"*",[2]Sheet1!$G$2:$X$1155,18,FALSE)</f>
        <v>ERR10612077</v>
      </c>
      <c r="E521" s="2">
        <v>1989</v>
      </c>
      <c r="F521" s="2" t="s">
        <v>449</v>
      </c>
      <c r="G521" s="2" t="s">
        <v>43</v>
      </c>
      <c r="H521" s="2" t="s">
        <v>2468</v>
      </c>
      <c r="I521" s="2" t="s">
        <v>10</v>
      </c>
      <c r="J521" s="2" t="s">
        <v>129</v>
      </c>
      <c r="K521" s="2" t="s">
        <v>492</v>
      </c>
      <c r="L521" s="2" t="s">
        <v>128</v>
      </c>
      <c r="M521" s="2">
        <v>1</v>
      </c>
      <c r="N521" s="2" t="s">
        <v>18</v>
      </c>
      <c r="T521" s="2" t="s">
        <v>16964</v>
      </c>
    </row>
    <row r="522" spans="1:24" hidden="1">
      <c r="A522" s="3" t="s">
        <v>4164</v>
      </c>
      <c r="B522" s="2" t="s">
        <v>493</v>
      </c>
      <c r="D522" s="66" t="str">
        <f>VLOOKUP("*"&amp;A522&amp;"*",[2]Sheet1!$G$2:$X$1155,18,FALSE)</f>
        <v>ERR10612034</v>
      </c>
      <c r="E522" s="2">
        <v>1989</v>
      </c>
      <c r="F522" s="2" t="s">
        <v>449</v>
      </c>
      <c r="G522" s="2" t="s">
        <v>43</v>
      </c>
      <c r="H522" s="2" t="s">
        <v>2468</v>
      </c>
      <c r="I522" s="2" t="s">
        <v>10</v>
      </c>
      <c r="J522" s="2" t="s">
        <v>129</v>
      </c>
      <c r="K522" s="2" t="s">
        <v>492</v>
      </c>
      <c r="L522" s="2" t="s">
        <v>128</v>
      </c>
      <c r="M522" s="2">
        <v>1</v>
      </c>
      <c r="N522" s="2" t="s">
        <v>18</v>
      </c>
      <c r="T522" s="2" t="s">
        <v>16964</v>
      </c>
    </row>
    <row r="523" spans="1:24" hidden="1">
      <c r="A523" s="3" t="s">
        <v>3806</v>
      </c>
      <c r="B523" s="2" t="s">
        <v>494</v>
      </c>
      <c r="D523" s="66" t="str">
        <f>VLOOKUP("*"&amp;A523&amp;"*",[2]Sheet1!$G$2:$X$1155,18,FALSE)</f>
        <v>ERR10612061</v>
      </c>
      <c r="E523" s="2">
        <v>2011</v>
      </c>
      <c r="F523" s="2" t="s">
        <v>449</v>
      </c>
      <c r="G523" s="2" t="s">
        <v>43</v>
      </c>
      <c r="H523" s="2" t="s">
        <v>2467</v>
      </c>
      <c r="I523" s="2" t="s">
        <v>6</v>
      </c>
      <c r="J523" s="2" t="s">
        <v>146</v>
      </c>
      <c r="K523" s="2" t="s">
        <v>495</v>
      </c>
      <c r="L523" s="2" t="s">
        <v>145</v>
      </c>
      <c r="M523" s="2">
        <v>20</v>
      </c>
      <c r="N523" s="2" t="s">
        <v>9</v>
      </c>
      <c r="T523" s="2" t="s">
        <v>16964</v>
      </c>
    </row>
    <row r="524" spans="1:24" hidden="1">
      <c r="A524" s="3" t="s">
        <v>2984</v>
      </c>
      <c r="B524" s="2" t="s">
        <v>496</v>
      </c>
      <c r="D524" s="66" t="str">
        <f>VLOOKUP("*"&amp;A524&amp;"*",[2]Sheet1!$G$2:$X$1155,18,FALSE)</f>
        <v>ERR10612056</v>
      </c>
      <c r="E524" s="2">
        <v>2011</v>
      </c>
      <c r="F524" s="2" t="s">
        <v>449</v>
      </c>
      <c r="G524" s="2" t="s">
        <v>43</v>
      </c>
      <c r="H524" s="2" t="s">
        <v>2467</v>
      </c>
      <c r="I524" s="2" t="s">
        <v>6</v>
      </c>
      <c r="J524" s="2" t="s">
        <v>88</v>
      </c>
      <c r="K524" s="2" t="s">
        <v>497</v>
      </c>
      <c r="L524" s="2" t="s">
        <v>87</v>
      </c>
      <c r="M524" s="2">
        <v>31</v>
      </c>
      <c r="N524" s="2" t="s">
        <v>9</v>
      </c>
      <c r="T524" s="2" t="s">
        <v>16964</v>
      </c>
    </row>
    <row r="525" spans="1:24" hidden="1">
      <c r="A525" s="3" t="s">
        <v>3896</v>
      </c>
      <c r="B525" s="2" t="s">
        <v>498</v>
      </c>
      <c r="D525" s="66" t="str">
        <f>VLOOKUP("*"&amp;A525&amp;"*",[2]Sheet1!$G$2:$X$1155,18,FALSE)</f>
        <v>ERR10612063</v>
      </c>
      <c r="E525" s="2">
        <v>2011</v>
      </c>
      <c r="F525" s="2" t="s">
        <v>449</v>
      </c>
      <c r="G525" s="2" t="s">
        <v>43</v>
      </c>
      <c r="H525" s="2" t="s">
        <v>2467</v>
      </c>
      <c r="I525" s="2" t="s">
        <v>6</v>
      </c>
      <c r="J525" s="2" t="s">
        <v>146</v>
      </c>
      <c r="K525" s="2" t="s">
        <v>495</v>
      </c>
      <c r="L525" s="2" t="s">
        <v>145</v>
      </c>
      <c r="M525" s="2">
        <v>20</v>
      </c>
      <c r="N525" s="2" t="s">
        <v>9</v>
      </c>
      <c r="T525" s="2" t="s">
        <v>16964</v>
      </c>
    </row>
    <row r="526" spans="1:24" hidden="1">
      <c r="A526" s="3" t="s">
        <v>3337</v>
      </c>
      <c r="B526" s="2" t="s">
        <v>499</v>
      </c>
      <c r="D526" s="66" t="str">
        <f>VLOOKUP("*"&amp;A526&amp;"*",[2]Sheet1!$G$2:$X$1155,18,FALSE)</f>
        <v>ERR10612058</v>
      </c>
      <c r="E526" s="2">
        <v>2001</v>
      </c>
      <c r="F526" s="2" t="s">
        <v>449</v>
      </c>
      <c r="G526" s="2" t="s">
        <v>43</v>
      </c>
      <c r="H526" s="2" t="s">
        <v>2467</v>
      </c>
      <c r="I526" s="2" t="s">
        <v>6</v>
      </c>
      <c r="J526" s="2" t="s">
        <v>29</v>
      </c>
      <c r="K526" s="2" t="s">
        <v>66</v>
      </c>
      <c r="L526" s="2" t="s">
        <v>28</v>
      </c>
      <c r="M526" s="2">
        <v>8</v>
      </c>
      <c r="N526" s="2" t="s">
        <v>9</v>
      </c>
      <c r="T526" s="2" t="s">
        <v>16964</v>
      </c>
    </row>
    <row r="527" spans="1:24" hidden="1">
      <c r="A527" s="3" t="s">
        <v>4329</v>
      </c>
      <c r="B527" s="2" t="s">
        <v>500</v>
      </c>
      <c r="D527" s="66" t="str">
        <f>VLOOKUP("*"&amp;A527&amp;"*",[2]Sheet1!$G$2:$X$1155,18,FALSE)</f>
        <v>ERR10612087</v>
      </c>
      <c r="E527" s="2">
        <v>2001</v>
      </c>
      <c r="F527" s="2" t="s">
        <v>449</v>
      </c>
      <c r="G527" s="2" t="s">
        <v>43</v>
      </c>
      <c r="H527" s="2" t="s">
        <v>2467</v>
      </c>
      <c r="I527" s="2" t="s">
        <v>6</v>
      </c>
      <c r="J527" s="2" t="s">
        <v>402</v>
      </c>
      <c r="K527" s="2" t="s">
        <v>501</v>
      </c>
      <c r="L527" s="2" t="s">
        <v>401</v>
      </c>
      <c r="M527" s="2">
        <v>18</v>
      </c>
      <c r="N527" s="2" t="s">
        <v>9</v>
      </c>
      <c r="T527" s="2" t="s">
        <v>16964</v>
      </c>
    </row>
    <row r="528" spans="1:24" hidden="1">
      <c r="A528" s="3" t="s">
        <v>4330</v>
      </c>
      <c r="B528" s="2" t="s">
        <v>502</v>
      </c>
      <c r="D528" s="66" t="str">
        <f>VLOOKUP("*"&amp;A528&amp;"*",[2]Sheet1!$G$2:$X$1155,18,FALSE)</f>
        <v>ERR10612081</v>
      </c>
      <c r="E528" s="2">
        <v>2001</v>
      </c>
      <c r="F528" s="2" t="s">
        <v>449</v>
      </c>
      <c r="G528" s="2" t="s">
        <v>43</v>
      </c>
      <c r="H528" s="2" t="s">
        <v>2467</v>
      </c>
      <c r="I528" s="2" t="s">
        <v>6</v>
      </c>
      <c r="J528" s="2" t="s">
        <v>402</v>
      </c>
      <c r="K528" s="2" t="s">
        <v>501</v>
      </c>
      <c r="L528" s="2" t="s">
        <v>401</v>
      </c>
      <c r="M528" s="2">
        <v>18</v>
      </c>
      <c r="N528" s="2" t="s">
        <v>9</v>
      </c>
      <c r="T528" s="2" t="s">
        <v>16964</v>
      </c>
    </row>
    <row r="529" spans="1:24" hidden="1">
      <c r="A529" s="3" t="s">
        <v>2909</v>
      </c>
      <c r="B529" s="2" t="s">
        <v>503</v>
      </c>
      <c r="D529" s="66" t="str">
        <f>VLOOKUP("*"&amp;A529&amp;"*",[2]Sheet1!$G$2:$X$1155,18,FALSE)</f>
        <v>ERR10612037</v>
      </c>
      <c r="E529" s="2">
        <v>2001</v>
      </c>
      <c r="F529" s="2" t="s">
        <v>449</v>
      </c>
      <c r="G529" s="2" t="s">
        <v>43</v>
      </c>
      <c r="H529" s="2" t="s">
        <v>2467</v>
      </c>
      <c r="I529" s="2" t="s">
        <v>6</v>
      </c>
      <c r="J529" s="2" t="s">
        <v>8</v>
      </c>
      <c r="K529" s="2" t="s">
        <v>504</v>
      </c>
      <c r="L529" s="2" t="s">
        <v>7</v>
      </c>
      <c r="M529" s="2">
        <v>121</v>
      </c>
      <c r="N529" s="2" t="s">
        <v>9</v>
      </c>
      <c r="T529" s="2" t="s">
        <v>16963</v>
      </c>
      <c r="X529" s="67" t="s">
        <v>4722</v>
      </c>
    </row>
    <row r="530" spans="1:24" hidden="1">
      <c r="A530" s="3" t="s">
        <v>4071</v>
      </c>
      <c r="B530" s="2" t="s">
        <v>505</v>
      </c>
      <c r="D530" s="66" t="str">
        <f>VLOOKUP("*"&amp;A530&amp;"*",[2]Sheet1!$G$2:$X$1155,18,FALSE)</f>
        <v>ERR10612073</v>
      </c>
      <c r="E530" s="2">
        <v>2001</v>
      </c>
      <c r="F530" s="2" t="s">
        <v>449</v>
      </c>
      <c r="G530" s="2" t="s">
        <v>43</v>
      </c>
      <c r="H530" s="2" t="s">
        <v>2467</v>
      </c>
      <c r="I530" s="2" t="s">
        <v>6</v>
      </c>
      <c r="J530" s="2" t="s">
        <v>402</v>
      </c>
      <c r="K530" s="2" t="s">
        <v>501</v>
      </c>
      <c r="L530" s="2" t="s">
        <v>401</v>
      </c>
      <c r="M530" s="2">
        <v>18</v>
      </c>
      <c r="N530" s="2" t="s">
        <v>9</v>
      </c>
      <c r="T530" s="2" t="s">
        <v>16964</v>
      </c>
    </row>
    <row r="531" spans="1:24" hidden="1">
      <c r="A531" s="3" t="s">
        <v>4070</v>
      </c>
      <c r="B531" s="2" t="s">
        <v>506</v>
      </c>
      <c r="D531" s="66" t="str">
        <f>VLOOKUP("*"&amp;A531&amp;"*",[2]Sheet1!$G$2:$X$1155,18,FALSE)</f>
        <v>ERR10612082</v>
      </c>
      <c r="E531" s="2">
        <v>2001</v>
      </c>
      <c r="F531" s="2" t="s">
        <v>449</v>
      </c>
      <c r="G531" s="2" t="s">
        <v>43</v>
      </c>
      <c r="H531" s="2" t="s">
        <v>2467</v>
      </c>
      <c r="I531" s="2" t="s">
        <v>6</v>
      </c>
      <c r="J531" s="2" t="s">
        <v>402</v>
      </c>
      <c r="K531" s="2" t="s">
        <v>501</v>
      </c>
      <c r="L531" s="2" t="s">
        <v>401</v>
      </c>
      <c r="M531" s="2">
        <v>18</v>
      </c>
      <c r="N531" s="2" t="s">
        <v>9</v>
      </c>
      <c r="T531" s="2" t="s">
        <v>16964</v>
      </c>
    </row>
    <row r="532" spans="1:24" hidden="1">
      <c r="A532" s="3" t="s">
        <v>4323</v>
      </c>
      <c r="B532" s="2" t="s">
        <v>507</v>
      </c>
      <c r="D532" s="66" t="str">
        <f>VLOOKUP("*"&amp;A532&amp;"*",[2]Sheet1!$G$2:$X$1155,18,FALSE)</f>
        <v>ERR10612052</v>
      </c>
      <c r="E532" s="2">
        <v>2001</v>
      </c>
      <c r="F532" s="2" t="s">
        <v>449</v>
      </c>
      <c r="G532" s="2" t="s">
        <v>43</v>
      </c>
      <c r="H532" s="2" t="s">
        <v>2467</v>
      </c>
      <c r="I532" s="2" t="s">
        <v>6</v>
      </c>
      <c r="J532" s="2" t="s">
        <v>402</v>
      </c>
      <c r="K532" s="2" t="s">
        <v>501</v>
      </c>
      <c r="L532" s="2" t="s">
        <v>401</v>
      </c>
      <c r="M532" s="2">
        <v>18</v>
      </c>
      <c r="N532" s="2" t="s">
        <v>9</v>
      </c>
      <c r="T532" s="2" t="s">
        <v>16964</v>
      </c>
    </row>
    <row r="533" spans="1:24" hidden="1">
      <c r="A533" s="3" t="s">
        <v>4331</v>
      </c>
      <c r="B533" s="2" t="s">
        <v>508</v>
      </c>
      <c r="D533" s="66" t="str">
        <f>VLOOKUP("*"&amp;A533&amp;"*",[2]Sheet1!$G$2:$X$1155,18,FALSE)</f>
        <v>ERR10612062</v>
      </c>
      <c r="E533" s="2">
        <v>2001</v>
      </c>
      <c r="F533" s="2" t="s">
        <v>449</v>
      </c>
      <c r="G533" s="2" t="s">
        <v>43</v>
      </c>
      <c r="H533" s="2" t="s">
        <v>2467</v>
      </c>
      <c r="I533" s="2" t="s">
        <v>6</v>
      </c>
      <c r="J533" s="2" t="s">
        <v>402</v>
      </c>
      <c r="K533" s="2" t="s">
        <v>501</v>
      </c>
      <c r="L533" s="2" t="s">
        <v>401</v>
      </c>
      <c r="M533" s="2">
        <v>18</v>
      </c>
      <c r="N533" s="2" t="s">
        <v>9</v>
      </c>
      <c r="T533" s="2" t="s">
        <v>16964</v>
      </c>
    </row>
    <row r="534" spans="1:24" hidden="1">
      <c r="A534" s="3" t="s">
        <v>4322</v>
      </c>
      <c r="B534" s="2" t="s">
        <v>509</v>
      </c>
      <c r="D534" s="66" t="str">
        <f>VLOOKUP("*"&amp;A534&amp;"*",[2]Sheet1!$G$2:$X$1155,18,FALSE)</f>
        <v>ERR10612084</v>
      </c>
      <c r="E534" s="2">
        <v>2001</v>
      </c>
      <c r="F534" s="2" t="s">
        <v>449</v>
      </c>
      <c r="G534" s="2" t="s">
        <v>43</v>
      </c>
      <c r="H534" s="2" t="s">
        <v>2467</v>
      </c>
      <c r="I534" s="2" t="s">
        <v>6</v>
      </c>
      <c r="J534" s="2" t="s">
        <v>402</v>
      </c>
      <c r="K534" s="2" t="s">
        <v>501</v>
      </c>
      <c r="L534" s="2" t="s">
        <v>401</v>
      </c>
      <c r="M534" s="2">
        <v>18</v>
      </c>
      <c r="N534" s="2" t="s">
        <v>9</v>
      </c>
      <c r="T534" s="2" t="s">
        <v>16964</v>
      </c>
    </row>
    <row r="535" spans="1:24" hidden="1">
      <c r="A535" s="3" t="s">
        <v>3480</v>
      </c>
      <c r="B535" s="2" t="s">
        <v>510</v>
      </c>
      <c r="D535" s="66" t="str">
        <f>VLOOKUP("*"&amp;A535&amp;"*",[2]Sheet1!$G$2:$X$1155,18,FALSE)</f>
        <v>ERR10612093</v>
      </c>
      <c r="E535" s="2">
        <v>2001</v>
      </c>
      <c r="F535" s="2" t="s">
        <v>449</v>
      </c>
      <c r="G535" s="2" t="s">
        <v>43</v>
      </c>
      <c r="H535" s="2" t="s">
        <v>2467</v>
      </c>
      <c r="I535" s="2" t="s">
        <v>6</v>
      </c>
      <c r="J535" s="2" t="s">
        <v>29</v>
      </c>
      <c r="K535" s="2" t="s">
        <v>66</v>
      </c>
      <c r="L535" s="2" t="s">
        <v>28</v>
      </c>
      <c r="M535" s="2">
        <v>8</v>
      </c>
      <c r="N535" s="2" t="s">
        <v>9</v>
      </c>
      <c r="T535" s="2" t="s">
        <v>16964</v>
      </c>
    </row>
    <row r="536" spans="1:24" hidden="1">
      <c r="A536" s="3" t="s">
        <v>4327</v>
      </c>
      <c r="B536" s="2" t="s">
        <v>511</v>
      </c>
      <c r="D536" s="66" t="str">
        <f>VLOOKUP("*"&amp;A536&amp;"*",[2]Sheet1!$G$2:$X$1155,18,FALSE)</f>
        <v>ERR10612086</v>
      </c>
      <c r="E536" s="2">
        <v>2001</v>
      </c>
      <c r="F536" s="2" t="s">
        <v>449</v>
      </c>
      <c r="G536" s="2" t="s">
        <v>43</v>
      </c>
      <c r="H536" s="2" t="s">
        <v>2467</v>
      </c>
      <c r="I536" s="2" t="s">
        <v>6</v>
      </c>
      <c r="J536" s="2" t="s">
        <v>402</v>
      </c>
      <c r="K536" s="2" t="s">
        <v>501</v>
      </c>
      <c r="L536" s="2" t="s">
        <v>401</v>
      </c>
      <c r="M536" s="2">
        <v>18</v>
      </c>
      <c r="N536" s="2" t="s">
        <v>9</v>
      </c>
      <c r="T536" s="2" t="s">
        <v>16964</v>
      </c>
    </row>
    <row r="537" spans="1:24" hidden="1">
      <c r="A537" s="3" t="s">
        <v>3333</v>
      </c>
      <c r="B537" s="2" t="s">
        <v>512</v>
      </c>
      <c r="D537" s="66" t="str">
        <f>VLOOKUP("*"&amp;A537&amp;"*",[2]Sheet1!$G$2:$X$1155,18,FALSE)</f>
        <v>ERR10612045</v>
      </c>
      <c r="E537" s="2">
        <v>2001</v>
      </c>
      <c r="F537" s="2" t="s">
        <v>449</v>
      </c>
      <c r="G537" s="2" t="s">
        <v>43</v>
      </c>
      <c r="H537" s="2" t="s">
        <v>2467</v>
      </c>
      <c r="I537" s="2" t="s">
        <v>6</v>
      </c>
      <c r="J537" s="2" t="s">
        <v>29</v>
      </c>
      <c r="K537" s="2" t="s">
        <v>66</v>
      </c>
      <c r="L537" s="2" t="s">
        <v>28</v>
      </c>
      <c r="M537" s="2">
        <v>8</v>
      </c>
      <c r="N537" s="2" t="s">
        <v>9</v>
      </c>
      <c r="T537" s="2" t="s">
        <v>16964</v>
      </c>
    </row>
    <row r="538" spans="1:24" hidden="1">
      <c r="A538" s="3" t="s">
        <v>4328</v>
      </c>
      <c r="B538" s="2" t="s">
        <v>513</v>
      </c>
      <c r="D538" s="66" t="str">
        <f>VLOOKUP("*"&amp;A538&amp;"*",[2]Sheet1!$G$2:$X$1155,18,FALSE)</f>
        <v>ERR10612075</v>
      </c>
      <c r="E538" s="2">
        <v>2001</v>
      </c>
      <c r="F538" s="2" t="s">
        <v>449</v>
      </c>
      <c r="G538" s="2" t="s">
        <v>43</v>
      </c>
      <c r="H538" s="2" t="s">
        <v>2467</v>
      </c>
      <c r="I538" s="2" t="s">
        <v>6</v>
      </c>
      <c r="J538" s="2" t="s">
        <v>402</v>
      </c>
      <c r="K538" s="2" t="s">
        <v>501</v>
      </c>
      <c r="L538" s="2" t="s">
        <v>401</v>
      </c>
      <c r="M538" s="2">
        <v>18</v>
      </c>
      <c r="N538" s="2" t="s">
        <v>9</v>
      </c>
      <c r="T538" s="2" t="s">
        <v>16964</v>
      </c>
    </row>
    <row r="539" spans="1:24" hidden="1">
      <c r="A539" s="3" t="s">
        <v>4251</v>
      </c>
      <c r="B539" s="2" t="s">
        <v>514</v>
      </c>
      <c r="D539" s="66" t="str">
        <f>VLOOKUP("*"&amp;A539&amp;"*",[2]Sheet1!$G$2:$X$1155,18,FALSE)</f>
        <v>ERR10612071</v>
      </c>
      <c r="E539" s="2">
        <v>2001</v>
      </c>
      <c r="F539" s="2" t="s">
        <v>449</v>
      </c>
      <c r="G539" s="2" t="s">
        <v>43</v>
      </c>
      <c r="H539" s="2" t="s">
        <v>2467</v>
      </c>
      <c r="I539" s="2" t="s">
        <v>6</v>
      </c>
      <c r="J539" s="2" t="s">
        <v>402</v>
      </c>
      <c r="K539" s="2" t="s">
        <v>515</v>
      </c>
      <c r="L539" s="2" t="s">
        <v>401</v>
      </c>
      <c r="M539" s="2">
        <v>18</v>
      </c>
      <c r="N539" s="2" t="s">
        <v>9</v>
      </c>
      <c r="T539" s="2" t="s">
        <v>16964</v>
      </c>
    </row>
    <row r="540" spans="1:24" hidden="1">
      <c r="A540" s="3" t="s">
        <v>3215</v>
      </c>
      <c r="B540" s="2" t="s">
        <v>516</v>
      </c>
      <c r="D540" s="66" t="str">
        <f>VLOOKUP("*"&amp;A540&amp;"*",[2]Sheet1!$G$2:$X$1155,18,FALSE)</f>
        <v>ERR10612096</v>
      </c>
      <c r="E540" s="2">
        <v>2001</v>
      </c>
      <c r="F540" s="2" t="s">
        <v>449</v>
      </c>
      <c r="G540" s="2" t="s">
        <v>43</v>
      </c>
      <c r="H540" s="2" t="s">
        <v>2467</v>
      </c>
      <c r="I540" s="2" t="s">
        <v>6</v>
      </c>
      <c r="J540" s="2" t="s">
        <v>29</v>
      </c>
      <c r="K540" s="2" t="s">
        <v>66</v>
      </c>
      <c r="L540" s="2" t="s">
        <v>28</v>
      </c>
      <c r="M540" s="2">
        <v>8</v>
      </c>
      <c r="N540" s="2" t="s">
        <v>9</v>
      </c>
      <c r="T540" s="2" t="s">
        <v>16964</v>
      </c>
    </row>
    <row r="541" spans="1:24" hidden="1">
      <c r="A541" s="3" t="s">
        <v>2862</v>
      </c>
      <c r="B541" s="2" t="s">
        <v>517</v>
      </c>
      <c r="D541" s="66" t="str">
        <f>VLOOKUP("*"&amp;A541&amp;"*",[2]Sheet1!$G$2:$X$1155,18,FALSE)</f>
        <v>ERR10612135</v>
      </c>
      <c r="E541" s="2">
        <v>2012</v>
      </c>
      <c r="F541" s="2" t="s">
        <v>449</v>
      </c>
      <c r="G541" s="2" t="s">
        <v>43</v>
      </c>
      <c r="H541" s="2" t="s">
        <v>2467</v>
      </c>
      <c r="I541" s="2" t="s">
        <v>6</v>
      </c>
      <c r="J541" s="2" t="s">
        <v>88</v>
      </c>
      <c r="K541" s="2" t="s">
        <v>518</v>
      </c>
      <c r="L541" s="2" t="s">
        <v>87</v>
      </c>
      <c r="M541" s="2">
        <v>31</v>
      </c>
      <c r="N541" s="2" t="s">
        <v>9</v>
      </c>
      <c r="T541" s="2" t="s">
        <v>16964</v>
      </c>
    </row>
    <row r="542" spans="1:24" hidden="1">
      <c r="A542" s="3" t="s">
        <v>3389</v>
      </c>
      <c r="B542" s="2" t="s">
        <v>519</v>
      </c>
      <c r="D542" s="66" t="str">
        <f>VLOOKUP("*"&amp;A542&amp;"*",[2]Sheet1!$G$2:$X$1155,18,FALSE)</f>
        <v>ERR10612107</v>
      </c>
      <c r="E542" s="2">
        <v>2012</v>
      </c>
      <c r="F542" s="2" t="s">
        <v>449</v>
      </c>
      <c r="G542" s="2" t="s">
        <v>43</v>
      </c>
      <c r="H542" s="2" t="s">
        <v>2467</v>
      </c>
      <c r="I542" s="2" t="s">
        <v>6</v>
      </c>
      <c r="J542" s="2" t="s">
        <v>146</v>
      </c>
      <c r="K542" s="2" t="s">
        <v>520</v>
      </c>
      <c r="L542" s="2" t="s">
        <v>145</v>
      </c>
      <c r="M542" s="2">
        <v>20</v>
      </c>
      <c r="N542" s="2" t="s">
        <v>9</v>
      </c>
      <c r="T542" s="2" t="s">
        <v>16964</v>
      </c>
    </row>
    <row r="543" spans="1:24" hidden="1">
      <c r="A543" s="3" t="s">
        <v>4253</v>
      </c>
      <c r="B543" s="2" t="s">
        <v>521</v>
      </c>
      <c r="D543" s="66" t="str">
        <f>VLOOKUP("*"&amp;A543&amp;"*",[2]Sheet1!$G$2:$X$1155,18,FALSE)</f>
        <v>ERR10612053</v>
      </c>
      <c r="E543" s="2">
        <v>2012</v>
      </c>
      <c r="F543" s="2" t="s">
        <v>449</v>
      </c>
      <c r="G543" s="2" t="s">
        <v>43</v>
      </c>
      <c r="H543" s="2" t="s">
        <v>2468</v>
      </c>
      <c r="I543" s="2" t="s">
        <v>6</v>
      </c>
      <c r="J543" s="2" t="s">
        <v>402</v>
      </c>
      <c r="K543" s="2" t="s">
        <v>522</v>
      </c>
      <c r="L543" s="2" t="s">
        <v>401</v>
      </c>
      <c r="M543" s="2">
        <v>18</v>
      </c>
      <c r="N543" s="2" t="s">
        <v>9</v>
      </c>
      <c r="T543" s="2" t="s">
        <v>16964</v>
      </c>
    </row>
    <row r="544" spans="1:24" hidden="1">
      <c r="A544" s="3" t="s">
        <v>4256</v>
      </c>
      <c r="B544" s="2" t="s">
        <v>523</v>
      </c>
      <c r="D544" s="66" t="str">
        <f>VLOOKUP("*"&amp;A544&amp;"*",[2]Sheet1!$G$2:$X$1155,18,FALSE)</f>
        <v>ERR10612083</v>
      </c>
      <c r="E544" s="2">
        <v>2012</v>
      </c>
      <c r="F544" s="2" t="s">
        <v>449</v>
      </c>
      <c r="G544" s="2" t="s">
        <v>43</v>
      </c>
      <c r="H544" s="2" t="s">
        <v>2467</v>
      </c>
      <c r="I544" s="2" t="s">
        <v>6</v>
      </c>
      <c r="J544" s="2" t="s">
        <v>402</v>
      </c>
      <c r="K544" s="2" t="s">
        <v>515</v>
      </c>
      <c r="L544" s="2" t="s">
        <v>401</v>
      </c>
      <c r="M544" s="2">
        <v>18</v>
      </c>
      <c r="N544" s="2" t="s">
        <v>9</v>
      </c>
      <c r="T544" s="2" t="s">
        <v>16964</v>
      </c>
    </row>
    <row r="545" spans="1:24" hidden="1">
      <c r="A545" s="3" t="s">
        <v>2860</v>
      </c>
      <c r="B545" s="2" t="s">
        <v>524</v>
      </c>
      <c r="D545" s="66" t="str">
        <f>VLOOKUP("*"&amp;A545&amp;"*",[2]Sheet1!$G$2:$X$1155,18,FALSE)</f>
        <v>ERR10612055</v>
      </c>
      <c r="E545" s="2">
        <v>2012</v>
      </c>
      <c r="F545" s="2" t="s">
        <v>449</v>
      </c>
      <c r="G545" s="2" t="s">
        <v>43</v>
      </c>
      <c r="H545" s="2" t="s">
        <v>2467</v>
      </c>
      <c r="I545" s="2" t="s">
        <v>6</v>
      </c>
      <c r="J545" s="2" t="s">
        <v>88</v>
      </c>
      <c r="K545" s="2" t="s">
        <v>525</v>
      </c>
      <c r="L545" s="2" t="s">
        <v>87</v>
      </c>
      <c r="M545" s="2">
        <v>31</v>
      </c>
      <c r="N545" s="2" t="s">
        <v>9</v>
      </c>
      <c r="T545" s="2" t="s">
        <v>16964</v>
      </c>
    </row>
    <row r="546" spans="1:24" hidden="1">
      <c r="A546" s="3" t="s">
        <v>2924</v>
      </c>
      <c r="B546" s="2" t="s">
        <v>526</v>
      </c>
      <c r="D546" s="66" t="str">
        <f>VLOOKUP("*"&amp;A546&amp;"*",[2]Sheet1!$G$2:$X$1155,18,FALSE)</f>
        <v>ERR10612102</v>
      </c>
      <c r="E546" s="2">
        <v>2012</v>
      </c>
      <c r="F546" s="2" t="s">
        <v>449</v>
      </c>
      <c r="G546" s="2" t="s">
        <v>43</v>
      </c>
      <c r="H546" s="2" t="s">
        <v>2468</v>
      </c>
      <c r="I546" s="2" t="s">
        <v>10</v>
      </c>
      <c r="J546" s="2" t="s">
        <v>17</v>
      </c>
      <c r="K546" s="2" t="s">
        <v>527</v>
      </c>
      <c r="L546" s="2" t="s">
        <v>16</v>
      </c>
      <c r="M546" s="2">
        <v>2</v>
      </c>
      <c r="N546" s="2" t="s">
        <v>18</v>
      </c>
      <c r="T546" s="2" t="s">
        <v>16963</v>
      </c>
      <c r="X546" s="67" t="s">
        <v>4723</v>
      </c>
    </row>
    <row r="547" spans="1:24" hidden="1">
      <c r="A547" s="3" t="s">
        <v>2945</v>
      </c>
      <c r="B547" s="2" t="s">
        <v>528</v>
      </c>
      <c r="D547" s="66" t="str">
        <f>VLOOKUP("*"&amp;A547&amp;"*",[2]Sheet1!$G$2:$X$1155,18,FALSE)</f>
        <v>ERR10612094</v>
      </c>
      <c r="E547" s="2">
        <v>2013</v>
      </c>
      <c r="F547" s="2" t="s">
        <v>449</v>
      </c>
      <c r="G547" s="2" t="s">
        <v>43</v>
      </c>
      <c r="H547" s="2" t="s">
        <v>2467</v>
      </c>
      <c r="I547" s="2" t="s">
        <v>6</v>
      </c>
      <c r="J547" s="2" t="s">
        <v>8</v>
      </c>
      <c r="K547" s="2" t="s">
        <v>504</v>
      </c>
      <c r="L547" s="2" t="s">
        <v>7</v>
      </c>
      <c r="M547" s="2">
        <v>121</v>
      </c>
      <c r="N547" s="2" t="s">
        <v>9</v>
      </c>
      <c r="T547" s="2" t="s">
        <v>16963</v>
      </c>
      <c r="X547" s="67" t="s">
        <v>4722</v>
      </c>
    </row>
    <row r="548" spans="1:24" hidden="1">
      <c r="A548" s="3" t="s">
        <v>4158</v>
      </c>
      <c r="B548" s="2" t="s">
        <v>529</v>
      </c>
      <c r="D548" s="66" t="str">
        <f>VLOOKUP("*"&amp;A548&amp;"*",[2]Sheet1!$G$2:$X$1155,18,FALSE)</f>
        <v>ERR10612106</v>
      </c>
      <c r="E548" s="2">
        <v>2013</v>
      </c>
      <c r="F548" s="2" t="s">
        <v>449</v>
      </c>
      <c r="G548" s="2" t="s">
        <v>43</v>
      </c>
      <c r="H548" s="2" t="s">
        <v>2467</v>
      </c>
      <c r="I548" s="2" t="s">
        <v>6</v>
      </c>
      <c r="J548" s="2" t="s">
        <v>402</v>
      </c>
      <c r="K548" s="2" t="s">
        <v>515</v>
      </c>
      <c r="L548" s="2" t="s">
        <v>401</v>
      </c>
      <c r="M548" s="2">
        <v>18</v>
      </c>
      <c r="N548" s="2" t="s">
        <v>9</v>
      </c>
      <c r="T548" s="2" t="s">
        <v>16964</v>
      </c>
    </row>
    <row r="549" spans="1:24" hidden="1">
      <c r="A549" s="3" t="s">
        <v>3132</v>
      </c>
      <c r="B549" s="2" t="s">
        <v>530</v>
      </c>
      <c r="D549" s="66" t="str">
        <f>VLOOKUP("*"&amp;A549&amp;"*",[2]Sheet1!$G$2:$X$1155,18,FALSE)</f>
        <v>ERR10612085</v>
      </c>
      <c r="E549" s="2">
        <v>2013</v>
      </c>
      <c r="F549" s="2" t="s">
        <v>449</v>
      </c>
      <c r="G549" s="2" t="s">
        <v>43</v>
      </c>
      <c r="H549" s="2" t="s">
        <v>2467</v>
      </c>
      <c r="I549" s="2" t="s">
        <v>6</v>
      </c>
      <c r="J549" s="2" t="s">
        <v>8</v>
      </c>
      <c r="K549" s="2" t="s">
        <v>22</v>
      </c>
      <c r="L549" s="2" t="s">
        <v>7</v>
      </c>
      <c r="M549" s="2">
        <v>121</v>
      </c>
      <c r="N549" s="2" t="s">
        <v>9</v>
      </c>
      <c r="T549" s="2" t="s">
        <v>16963</v>
      </c>
      <c r="X549" s="67" t="s">
        <v>4722</v>
      </c>
    </row>
    <row r="550" spans="1:24" hidden="1">
      <c r="A550" s="3" t="s">
        <v>3963</v>
      </c>
      <c r="B550" s="2" t="s">
        <v>531</v>
      </c>
      <c r="D550" s="66" t="str">
        <f>VLOOKUP("*"&amp;A550&amp;"*",[2]Sheet1!$G$2:$X$1155,18,FALSE)</f>
        <v>ERR10612103</v>
      </c>
      <c r="E550" s="2">
        <v>2013</v>
      </c>
      <c r="F550" s="2" t="s">
        <v>449</v>
      </c>
      <c r="G550" s="2" t="s">
        <v>43</v>
      </c>
      <c r="H550" s="2" t="s">
        <v>2467</v>
      </c>
      <c r="I550" s="2" t="s">
        <v>6</v>
      </c>
      <c r="J550" s="2" t="s">
        <v>402</v>
      </c>
      <c r="K550" s="2" t="s">
        <v>532</v>
      </c>
      <c r="L550" s="2" t="s">
        <v>401</v>
      </c>
      <c r="M550" s="2">
        <v>18</v>
      </c>
      <c r="N550" s="2" t="s">
        <v>9</v>
      </c>
      <c r="T550" s="2" t="s">
        <v>16964</v>
      </c>
    </row>
    <row r="551" spans="1:24" hidden="1">
      <c r="A551" s="3" t="s">
        <v>4034</v>
      </c>
      <c r="B551" s="2" t="s">
        <v>533</v>
      </c>
      <c r="D551" s="66" t="str">
        <f>VLOOKUP("*"&amp;A551&amp;"*",[2]Sheet1!$G$2:$X$1155,18,FALSE)</f>
        <v>ERR10612065</v>
      </c>
      <c r="E551" s="2">
        <v>2013</v>
      </c>
      <c r="F551" s="2" t="s">
        <v>449</v>
      </c>
      <c r="G551" s="2" t="s">
        <v>43</v>
      </c>
      <c r="H551" s="2" t="s">
        <v>2468</v>
      </c>
      <c r="I551" s="2" t="s">
        <v>6</v>
      </c>
      <c r="J551" s="2" t="s">
        <v>535</v>
      </c>
      <c r="K551" s="2" t="s">
        <v>536</v>
      </c>
      <c r="L551" s="2" t="s">
        <v>534</v>
      </c>
      <c r="M551" s="2">
        <v>394</v>
      </c>
      <c r="N551" s="2" t="s">
        <v>9</v>
      </c>
      <c r="T551" s="2" t="s">
        <v>16964</v>
      </c>
    </row>
    <row r="552" spans="1:24" hidden="1">
      <c r="A552" s="3" t="s">
        <v>2905</v>
      </c>
      <c r="B552" s="2" t="s">
        <v>537</v>
      </c>
      <c r="D552" s="66" t="str">
        <f>VLOOKUP("*"&amp;A552&amp;"*",[2]Sheet1!$G$2:$X$1155,18,FALSE)</f>
        <v>ERR10612092</v>
      </c>
      <c r="E552" s="2">
        <v>2014</v>
      </c>
      <c r="F552" s="2" t="s">
        <v>449</v>
      </c>
      <c r="G552" s="2" t="s">
        <v>43</v>
      </c>
      <c r="H552" s="2" t="s">
        <v>2467</v>
      </c>
      <c r="I552" s="2" t="s">
        <v>6</v>
      </c>
      <c r="J552" s="2" t="s">
        <v>8</v>
      </c>
      <c r="K552" s="2" t="s">
        <v>538</v>
      </c>
      <c r="L552" s="2" t="s">
        <v>7</v>
      </c>
      <c r="M552" s="2">
        <v>121</v>
      </c>
      <c r="N552" s="2" t="s">
        <v>9</v>
      </c>
      <c r="T552" s="2" t="s">
        <v>16963</v>
      </c>
      <c r="X552" s="67" t="s">
        <v>4722</v>
      </c>
    </row>
    <row r="553" spans="1:24" hidden="1">
      <c r="A553" s="3" t="s">
        <v>3559</v>
      </c>
      <c r="B553" s="2" t="s">
        <v>539</v>
      </c>
      <c r="D553" s="66" t="str">
        <f>VLOOKUP("*"&amp;A553&amp;"*",[2]Sheet1!$G$2:$X$1155,18,FALSE)</f>
        <v>ERR10612147</v>
      </c>
      <c r="E553" s="2">
        <v>2014</v>
      </c>
      <c r="F553" s="2" t="s">
        <v>449</v>
      </c>
      <c r="G553" s="2" t="s">
        <v>43</v>
      </c>
      <c r="H553" s="2" t="s">
        <v>2467</v>
      </c>
      <c r="I553" s="2" t="s">
        <v>6</v>
      </c>
      <c r="J553" s="2" t="s">
        <v>26</v>
      </c>
      <c r="K553" s="2" t="s">
        <v>540</v>
      </c>
      <c r="L553" s="2" t="s">
        <v>25</v>
      </c>
      <c r="M553" s="2">
        <v>101</v>
      </c>
      <c r="N553" s="2" t="s">
        <v>9</v>
      </c>
      <c r="T553" s="2" t="s">
        <v>16964</v>
      </c>
    </row>
    <row r="554" spans="1:24" hidden="1">
      <c r="A554" s="3" t="s">
        <v>4075</v>
      </c>
      <c r="B554" s="2" t="s">
        <v>541</v>
      </c>
      <c r="D554" s="66" t="str">
        <f>VLOOKUP("*"&amp;A554&amp;"*",[2]Sheet1!$G$2:$X$1155,18,FALSE)</f>
        <v>ERR10612066</v>
      </c>
      <c r="E554" s="2">
        <v>2014</v>
      </c>
      <c r="F554" s="2" t="s">
        <v>449</v>
      </c>
      <c r="G554" s="2" t="s">
        <v>43</v>
      </c>
      <c r="H554" s="2" t="s">
        <v>2467</v>
      </c>
      <c r="I554" s="2" t="s">
        <v>10</v>
      </c>
      <c r="J554" s="2" t="s">
        <v>542</v>
      </c>
      <c r="K554" s="2" t="s">
        <v>543</v>
      </c>
      <c r="L554" s="2" t="s">
        <v>122</v>
      </c>
      <c r="M554" s="2">
        <v>296</v>
      </c>
      <c r="N554" s="2" t="s">
        <v>14</v>
      </c>
      <c r="T554" s="2" t="s">
        <v>16963</v>
      </c>
      <c r="U554" s="67" t="s">
        <v>2627</v>
      </c>
    </row>
    <row r="555" spans="1:24" hidden="1">
      <c r="A555" s="3" t="s">
        <v>3821</v>
      </c>
      <c r="B555" s="2" t="s">
        <v>544</v>
      </c>
      <c r="D555" s="66" t="str">
        <f>VLOOKUP("*"&amp;A555&amp;"*",[2]Sheet1!$G$2:$X$1155,18,FALSE)</f>
        <v>ERR10612095</v>
      </c>
      <c r="E555" s="2">
        <v>2014</v>
      </c>
      <c r="F555" s="2" t="s">
        <v>449</v>
      </c>
      <c r="G555" s="2" t="s">
        <v>43</v>
      </c>
      <c r="H555" s="2" t="s">
        <v>2467</v>
      </c>
      <c r="I555" s="2" t="s">
        <v>6</v>
      </c>
      <c r="J555" s="2" t="s">
        <v>29</v>
      </c>
      <c r="K555" s="2" t="s">
        <v>545</v>
      </c>
      <c r="L555" s="2" t="s">
        <v>28</v>
      </c>
      <c r="M555" s="2">
        <v>8</v>
      </c>
      <c r="N555" s="2" t="s">
        <v>9</v>
      </c>
      <c r="T555" s="2" t="s">
        <v>16964</v>
      </c>
    </row>
    <row r="556" spans="1:24" hidden="1">
      <c r="A556" s="3" t="s">
        <v>4267</v>
      </c>
      <c r="B556" s="2" t="s">
        <v>546</v>
      </c>
      <c r="D556" s="66" t="str">
        <f>VLOOKUP("*"&amp;A556&amp;"*",[2]Sheet1!$G$2:$X$1155,18,FALSE)</f>
        <v>ERR10612068</v>
      </c>
      <c r="E556" s="2">
        <v>2014</v>
      </c>
      <c r="F556" s="2" t="s">
        <v>449</v>
      </c>
      <c r="G556" s="2" t="s">
        <v>43</v>
      </c>
      <c r="H556" s="2" t="s">
        <v>2468</v>
      </c>
      <c r="I556" s="2" t="s">
        <v>6</v>
      </c>
      <c r="J556" s="2" t="s">
        <v>402</v>
      </c>
      <c r="K556" s="2" t="s">
        <v>547</v>
      </c>
      <c r="L556" s="2" t="s">
        <v>401</v>
      </c>
      <c r="M556" s="2">
        <v>18</v>
      </c>
      <c r="N556" s="2" t="s">
        <v>9</v>
      </c>
      <c r="T556" s="2" t="s">
        <v>16964</v>
      </c>
    </row>
    <row r="557" spans="1:24" hidden="1">
      <c r="A557" s="3" t="s">
        <v>4400</v>
      </c>
      <c r="B557" s="2" t="s">
        <v>548</v>
      </c>
      <c r="D557" s="66" t="str">
        <f>VLOOKUP("*"&amp;A557&amp;"*",[2]Sheet1!$G$2:$X$1155,18,FALSE)</f>
        <v>ERR10612091</v>
      </c>
      <c r="E557" s="2">
        <v>2014</v>
      </c>
      <c r="F557" s="2" t="s">
        <v>449</v>
      </c>
      <c r="G557" s="2" t="s">
        <v>43</v>
      </c>
      <c r="H557" s="2" t="s">
        <v>1494</v>
      </c>
      <c r="I557" s="2" t="s">
        <v>10</v>
      </c>
      <c r="J557" s="2" t="s">
        <v>129</v>
      </c>
      <c r="K557" s="2" t="s">
        <v>549</v>
      </c>
      <c r="L557" s="2" t="s">
        <v>128</v>
      </c>
      <c r="M557" s="2">
        <v>1</v>
      </c>
      <c r="N557" s="2" t="s">
        <v>18</v>
      </c>
      <c r="T557" s="2" t="s">
        <v>16964</v>
      </c>
    </row>
    <row r="558" spans="1:24" hidden="1">
      <c r="A558" s="3" t="s">
        <v>2900</v>
      </c>
      <c r="B558" s="2" t="s">
        <v>550</v>
      </c>
      <c r="D558" s="66" t="str">
        <f>VLOOKUP("*"&amp;A558&amp;"*",[2]Sheet1!$G$2:$X$1155,18,FALSE)</f>
        <v>ERR10612124</v>
      </c>
      <c r="E558" s="2">
        <v>2014</v>
      </c>
      <c r="F558" s="2" t="s">
        <v>449</v>
      </c>
      <c r="G558" s="2" t="s">
        <v>43</v>
      </c>
      <c r="H558" s="2" t="s">
        <v>1494</v>
      </c>
      <c r="I558" s="2" t="s">
        <v>6</v>
      </c>
      <c r="J558" s="2" t="s">
        <v>8</v>
      </c>
      <c r="K558" s="2" t="s">
        <v>538</v>
      </c>
      <c r="L558" s="2" t="s">
        <v>7</v>
      </c>
      <c r="M558" s="2">
        <v>121</v>
      </c>
      <c r="N558" s="2" t="s">
        <v>9</v>
      </c>
      <c r="T558" s="2" t="s">
        <v>16963</v>
      </c>
      <c r="X558" s="67" t="s">
        <v>4722</v>
      </c>
    </row>
    <row r="559" spans="1:24" hidden="1">
      <c r="A559" s="3" t="s">
        <v>3513</v>
      </c>
      <c r="B559" s="2" t="s">
        <v>551</v>
      </c>
      <c r="D559" s="66" t="str">
        <f>VLOOKUP("*"&amp;A559&amp;"*",[2]Sheet1!$G$2:$X$1155,18,FALSE)</f>
        <v>ERR10612105</v>
      </c>
      <c r="E559" s="2">
        <v>2014</v>
      </c>
      <c r="F559" s="2" t="s">
        <v>449</v>
      </c>
      <c r="G559" s="2" t="s">
        <v>43</v>
      </c>
      <c r="H559" s="2" t="s">
        <v>1494</v>
      </c>
      <c r="I559" s="2" t="s">
        <v>6</v>
      </c>
      <c r="J559" s="2" t="s">
        <v>102</v>
      </c>
      <c r="K559" s="2" t="s">
        <v>552</v>
      </c>
      <c r="L559" s="2" t="s">
        <v>101</v>
      </c>
      <c r="M559" s="2">
        <v>7</v>
      </c>
      <c r="N559" s="2" t="s">
        <v>9</v>
      </c>
      <c r="T559" s="2" t="s">
        <v>16964</v>
      </c>
    </row>
    <row r="560" spans="1:24" hidden="1">
      <c r="A560" s="3" t="s">
        <v>3724</v>
      </c>
      <c r="B560" s="2" t="s">
        <v>553</v>
      </c>
      <c r="D560" s="66" t="str">
        <f>VLOOKUP("*"&amp;A560&amp;"*",[2]Sheet1!$G$2:$X$1155,18,FALSE)</f>
        <v>ERR10612119</v>
      </c>
      <c r="E560" s="2">
        <v>2015</v>
      </c>
      <c r="F560" s="2" t="s">
        <v>449</v>
      </c>
      <c r="G560" s="2" t="s">
        <v>43</v>
      </c>
      <c r="H560" s="2" t="s">
        <v>1491</v>
      </c>
      <c r="I560" s="2" t="s">
        <v>10</v>
      </c>
      <c r="J560" s="2" t="s">
        <v>129</v>
      </c>
      <c r="K560" s="2" t="s">
        <v>554</v>
      </c>
      <c r="L560" s="2" t="s">
        <v>128</v>
      </c>
      <c r="M560" s="2">
        <v>1</v>
      </c>
      <c r="N560" s="2" t="s">
        <v>18</v>
      </c>
      <c r="T560" s="2" t="s">
        <v>16964</v>
      </c>
    </row>
    <row r="561" spans="1:24" hidden="1">
      <c r="A561" s="3" t="s">
        <v>2805</v>
      </c>
      <c r="B561" s="2" t="s">
        <v>555</v>
      </c>
      <c r="D561" s="66" t="str">
        <f>VLOOKUP("*"&amp;A561&amp;"*",[2]Sheet1!$G$2:$X$1155,18,FALSE)</f>
        <v>ERR10612070</v>
      </c>
      <c r="E561" s="2">
        <v>2018</v>
      </c>
      <c r="F561" s="2" t="s">
        <v>449</v>
      </c>
      <c r="G561" s="2" t="s">
        <v>43</v>
      </c>
      <c r="H561" s="2" t="s">
        <v>1491</v>
      </c>
      <c r="I561" s="2" t="s">
        <v>6</v>
      </c>
      <c r="J561" s="2" t="s">
        <v>24</v>
      </c>
      <c r="K561" s="2" t="s">
        <v>556</v>
      </c>
      <c r="L561" s="2" t="s">
        <v>23</v>
      </c>
      <c r="M561" s="2">
        <v>14</v>
      </c>
      <c r="N561" s="2" t="s">
        <v>9</v>
      </c>
      <c r="T561" s="2" t="s">
        <v>16964</v>
      </c>
    </row>
    <row r="562" spans="1:24" hidden="1">
      <c r="A562" s="3" t="s">
        <v>3621</v>
      </c>
      <c r="B562" s="2" t="s">
        <v>557</v>
      </c>
      <c r="D562" s="66" t="str">
        <f>VLOOKUP("*"&amp;A562&amp;"*",[2]Sheet1!$G$2:$X$1155,18,FALSE)</f>
        <v>ERR10612097</v>
      </c>
      <c r="E562" s="2">
        <v>2018</v>
      </c>
      <c r="F562" s="2" t="s">
        <v>449</v>
      </c>
      <c r="G562" s="2" t="s">
        <v>43</v>
      </c>
      <c r="H562" s="2" t="s">
        <v>1491</v>
      </c>
      <c r="I562" s="2" t="s">
        <v>10</v>
      </c>
      <c r="J562" s="2" t="s">
        <v>129</v>
      </c>
      <c r="K562" s="2" t="s">
        <v>558</v>
      </c>
      <c r="L562" s="2" t="s">
        <v>128</v>
      </c>
      <c r="M562" s="2">
        <v>1</v>
      </c>
      <c r="N562" s="2" t="s">
        <v>18</v>
      </c>
      <c r="T562" s="2" t="s">
        <v>16964</v>
      </c>
    </row>
    <row r="563" spans="1:24" hidden="1">
      <c r="A563" s="3" t="s">
        <v>2796</v>
      </c>
      <c r="B563" s="2" t="s">
        <v>559</v>
      </c>
      <c r="D563" s="66" t="str">
        <f>VLOOKUP("*"&amp;A563&amp;"*",[2]Sheet1!$G$2:$X$1155,18,FALSE)</f>
        <v>ERR10612112</v>
      </c>
      <c r="E563" s="2">
        <v>2018</v>
      </c>
      <c r="F563" s="2" t="s">
        <v>449</v>
      </c>
      <c r="G563" s="2" t="s">
        <v>43</v>
      </c>
      <c r="H563" s="2" t="s">
        <v>1494</v>
      </c>
      <c r="I563" s="2" t="s">
        <v>6</v>
      </c>
      <c r="J563" s="2" t="s">
        <v>24</v>
      </c>
      <c r="K563" s="2" t="s">
        <v>556</v>
      </c>
      <c r="L563" s="2" t="s">
        <v>23</v>
      </c>
      <c r="M563" s="2">
        <v>14</v>
      </c>
      <c r="N563" s="2" t="s">
        <v>9</v>
      </c>
      <c r="T563" s="2" t="s">
        <v>16964</v>
      </c>
    </row>
    <row r="564" spans="1:24" hidden="1">
      <c r="A564" s="3" t="s">
        <v>2827</v>
      </c>
      <c r="B564" s="68" t="s">
        <v>560</v>
      </c>
      <c r="D564" s="66" t="s">
        <v>17325</v>
      </c>
      <c r="E564" s="2">
        <v>2018</v>
      </c>
      <c r="F564" s="2" t="s">
        <v>449</v>
      </c>
      <c r="G564" s="2" t="s">
        <v>43</v>
      </c>
      <c r="H564" s="2" t="s">
        <v>1491</v>
      </c>
      <c r="I564" s="2" t="s">
        <v>6</v>
      </c>
      <c r="J564" s="2" t="s">
        <v>88</v>
      </c>
      <c r="K564" s="2" t="s">
        <v>518</v>
      </c>
      <c r="L564" s="2" t="s">
        <v>87</v>
      </c>
      <c r="M564" s="2">
        <v>31</v>
      </c>
      <c r="N564" s="2" t="s">
        <v>9</v>
      </c>
      <c r="T564" s="2" t="s">
        <v>16964</v>
      </c>
    </row>
    <row r="565" spans="1:24" hidden="1">
      <c r="A565" s="3" t="s">
        <v>3116</v>
      </c>
      <c r="B565" s="2" t="s">
        <v>561</v>
      </c>
      <c r="D565" s="66" t="str">
        <f>VLOOKUP("*"&amp;A565&amp;"*",[2]Sheet1!$G$2:$X$1155,18,FALSE)</f>
        <v>ERR10612076</v>
      </c>
      <c r="E565" s="2">
        <v>2017</v>
      </c>
      <c r="F565" s="2" t="s">
        <v>449</v>
      </c>
      <c r="G565" s="2" t="s">
        <v>43</v>
      </c>
      <c r="H565" s="2" t="s">
        <v>1491</v>
      </c>
      <c r="I565" s="2" t="s">
        <v>6</v>
      </c>
      <c r="J565" s="2" t="s">
        <v>8</v>
      </c>
      <c r="K565" s="2" t="s">
        <v>562</v>
      </c>
      <c r="L565" s="2" t="s">
        <v>7</v>
      </c>
      <c r="M565" s="2">
        <v>121</v>
      </c>
      <c r="N565" s="2" t="s">
        <v>9</v>
      </c>
      <c r="T565" s="2" t="s">
        <v>16963</v>
      </c>
      <c r="X565" s="67" t="s">
        <v>4722</v>
      </c>
    </row>
    <row r="566" spans="1:24" hidden="1">
      <c r="A566" s="3" t="s">
        <v>3839</v>
      </c>
      <c r="B566" s="2" t="s">
        <v>563</v>
      </c>
      <c r="D566" s="66" t="str">
        <f>VLOOKUP("*"&amp;A566&amp;"*",[2]Sheet1!$G$2:$X$1155,18,FALSE)</f>
        <v>ERR10612074</v>
      </c>
      <c r="E566" s="2">
        <v>2017</v>
      </c>
      <c r="F566" s="2" t="s">
        <v>449</v>
      </c>
      <c r="G566" s="2" t="s">
        <v>43</v>
      </c>
      <c r="H566" s="2" t="s">
        <v>1491</v>
      </c>
      <c r="I566" s="2" t="s">
        <v>6</v>
      </c>
      <c r="J566" s="2" t="s">
        <v>564</v>
      </c>
      <c r="K566" s="2" t="s">
        <v>565</v>
      </c>
      <c r="L566" s="2" t="s">
        <v>23</v>
      </c>
      <c r="M566" s="2">
        <v>91</v>
      </c>
      <c r="N566" s="2" t="s">
        <v>9</v>
      </c>
      <c r="T566" s="2" t="s">
        <v>16964</v>
      </c>
    </row>
    <row r="567" spans="1:24" hidden="1">
      <c r="A567" s="3" t="s">
        <v>3385</v>
      </c>
      <c r="B567" s="2" t="s">
        <v>566</v>
      </c>
      <c r="D567" s="66" t="str">
        <f>VLOOKUP("*"&amp;A567&amp;"*",[2]Sheet1!$G$2:$X$1155,18,FALSE)</f>
        <v>ERR10612132</v>
      </c>
      <c r="E567" s="2">
        <v>2017</v>
      </c>
      <c r="F567" s="2" t="s">
        <v>449</v>
      </c>
      <c r="G567" s="2" t="s">
        <v>43</v>
      </c>
      <c r="H567" s="2" t="s">
        <v>1491</v>
      </c>
      <c r="I567" s="2" t="s">
        <v>6</v>
      </c>
      <c r="J567" s="2" t="s">
        <v>150</v>
      </c>
      <c r="K567" s="2" t="s">
        <v>567</v>
      </c>
      <c r="L567" s="2" t="s">
        <v>149</v>
      </c>
      <c r="M567" s="2">
        <v>403</v>
      </c>
      <c r="N567" s="2" t="s">
        <v>9</v>
      </c>
      <c r="T567" s="2" t="s">
        <v>16964</v>
      </c>
    </row>
    <row r="568" spans="1:24" hidden="1">
      <c r="A568" s="3" t="s">
        <v>3462</v>
      </c>
      <c r="B568" s="2" t="s">
        <v>568</v>
      </c>
      <c r="D568" s="66" t="str">
        <f>VLOOKUP("*"&amp;A568&amp;"*",[2]Sheet1!$G$2:$X$1155,18,FALSE)</f>
        <v>ERR10612079</v>
      </c>
      <c r="E568" s="2">
        <v>2017</v>
      </c>
      <c r="F568" s="2" t="s">
        <v>449</v>
      </c>
      <c r="G568" s="2" t="s">
        <v>43</v>
      </c>
      <c r="H568" s="2" t="s">
        <v>1494</v>
      </c>
      <c r="I568" s="2" t="s">
        <v>6</v>
      </c>
      <c r="J568" s="2" t="s">
        <v>150</v>
      </c>
      <c r="K568" s="2" t="s">
        <v>567</v>
      </c>
      <c r="L568" s="2" t="s">
        <v>149</v>
      </c>
      <c r="M568" s="2">
        <v>403</v>
      </c>
      <c r="N568" s="2" t="s">
        <v>9</v>
      </c>
      <c r="T568" s="2" t="s">
        <v>16964</v>
      </c>
    </row>
    <row r="569" spans="1:24" hidden="1">
      <c r="A569" s="3" t="s">
        <v>3381</v>
      </c>
      <c r="B569" s="2" t="s">
        <v>569</v>
      </c>
      <c r="D569" s="66" t="str">
        <f>VLOOKUP("*"&amp;A569&amp;"*",[2]Sheet1!$G$2:$X$1155,18,FALSE)</f>
        <v>ERR10612138</v>
      </c>
      <c r="E569" s="2">
        <v>2017</v>
      </c>
      <c r="F569" s="2" t="s">
        <v>449</v>
      </c>
      <c r="G569" s="2" t="s">
        <v>43</v>
      </c>
      <c r="H569" s="2" t="s">
        <v>1494</v>
      </c>
      <c r="I569" s="2" t="s">
        <v>6</v>
      </c>
      <c r="J569" s="2" t="s">
        <v>150</v>
      </c>
      <c r="K569" s="2" t="s">
        <v>567</v>
      </c>
      <c r="L569" s="2" t="s">
        <v>149</v>
      </c>
      <c r="M569" s="2">
        <v>403</v>
      </c>
      <c r="N569" s="2" t="s">
        <v>9</v>
      </c>
      <c r="T569" s="2" t="s">
        <v>16964</v>
      </c>
    </row>
    <row r="570" spans="1:24" hidden="1">
      <c r="A570" s="3" t="s">
        <v>3382</v>
      </c>
      <c r="B570" s="2" t="s">
        <v>570</v>
      </c>
      <c r="D570" s="66" t="str">
        <f>VLOOKUP("*"&amp;A570&amp;"*",[2]Sheet1!$G$2:$X$1155,18,FALSE)</f>
        <v>ERR10612098</v>
      </c>
      <c r="E570" s="2">
        <v>2017</v>
      </c>
      <c r="F570" s="2" t="s">
        <v>449</v>
      </c>
      <c r="G570" s="2" t="s">
        <v>43</v>
      </c>
      <c r="H570" s="2" t="s">
        <v>1494</v>
      </c>
      <c r="I570" s="2" t="s">
        <v>6</v>
      </c>
      <c r="J570" s="2" t="s">
        <v>150</v>
      </c>
      <c r="K570" s="2" t="s">
        <v>567</v>
      </c>
      <c r="L570" s="2" t="s">
        <v>149</v>
      </c>
      <c r="M570" s="2">
        <v>403</v>
      </c>
      <c r="N570" s="2" t="s">
        <v>9</v>
      </c>
      <c r="T570" s="2" t="s">
        <v>16964</v>
      </c>
    </row>
    <row r="571" spans="1:24" hidden="1">
      <c r="A571" s="3" t="s">
        <v>3383</v>
      </c>
      <c r="B571" s="2" t="s">
        <v>571</v>
      </c>
      <c r="D571" s="66" t="str">
        <f>VLOOKUP("*"&amp;A571&amp;"*",[2]Sheet1!$G$2:$X$1155,18,FALSE)</f>
        <v>ERR10612100</v>
      </c>
      <c r="E571" s="2">
        <v>2017</v>
      </c>
      <c r="F571" s="2" t="s">
        <v>449</v>
      </c>
      <c r="G571" s="2" t="s">
        <v>43</v>
      </c>
      <c r="H571" s="2" t="s">
        <v>1494</v>
      </c>
      <c r="I571" s="2" t="s">
        <v>6</v>
      </c>
      <c r="J571" s="2" t="s">
        <v>150</v>
      </c>
      <c r="K571" s="2" t="s">
        <v>567</v>
      </c>
      <c r="L571" s="2" t="s">
        <v>149</v>
      </c>
      <c r="M571" s="2">
        <v>403</v>
      </c>
      <c r="N571" s="2" t="s">
        <v>9</v>
      </c>
      <c r="T571" s="2" t="s">
        <v>16964</v>
      </c>
    </row>
    <row r="572" spans="1:24" hidden="1">
      <c r="A572" s="3" t="s">
        <v>2993</v>
      </c>
      <c r="B572" s="2" t="s">
        <v>572</v>
      </c>
      <c r="D572" s="66" t="str">
        <f>VLOOKUP("*"&amp;A572&amp;"*",[2]Sheet1!$G$2:$X$1155,18,FALSE)</f>
        <v>ERR10612088</v>
      </c>
      <c r="E572" s="2">
        <v>2018</v>
      </c>
      <c r="F572" s="2" t="s">
        <v>449</v>
      </c>
      <c r="G572" s="2" t="s">
        <v>43</v>
      </c>
      <c r="H572" s="2" t="s">
        <v>1494</v>
      </c>
      <c r="I572" s="2" t="s">
        <v>6</v>
      </c>
      <c r="J572" s="2" t="s">
        <v>20</v>
      </c>
      <c r="K572" s="2" t="s">
        <v>361</v>
      </c>
      <c r="L572" s="2" t="s">
        <v>19</v>
      </c>
      <c r="M572" s="2">
        <v>9</v>
      </c>
      <c r="N572" s="2" t="s">
        <v>21</v>
      </c>
      <c r="T572" s="2" t="s">
        <v>16963</v>
      </c>
      <c r="X572" s="67" t="s">
        <v>4723</v>
      </c>
    </row>
    <row r="573" spans="1:24" hidden="1">
      <c r="A573" s="3" t="s">
        <v>3085</v>
      </c>
      <c r="B573" s="2" t="s">
        <v>573</v>
      </c>
      <c r="D573" s="66" t="str">
        <f>VLOOKUP("*"&amp;A573&amp;"*",[2]Sheet1!$G$2:$X$1155,18,FALSE)</f>
        <v>ERR10612080</v>
      </c>
      <c r="E573" s="2">
        <v>2018</v>
      </c>
      <c r="F573" s="2" t="s">
        <v>449</v>
      </c>
      <c r="G573" s="2" t="s">
        <v>43</v>
      </c>
      <c r="H573" s="2" t="s">
        <v>1494</v>
      </c>
      <c r="I573" s="2" t="s">
        <v>6</v>
      </c>
      <c r="J573" s="2" t="s">
        <v>20</v>
      </c>
      <c r="K573" s="2" t="s">
        <v>361</v>
      </c>
      <c r="L573" s="2" t="s">
        <v>19</v>
      </c>
      <c r="M573" s="2">
        <v>9</v>
      </c>
      <c r="T573" s="2" t="s">
        <v>16963</v>
      </c>
      <c r="X573" s="67" t="s">
        <v>4723</v>
      </c>
    </row>
    <row r="574" spans="1:24" hidden="1">
      <c r="A574" s="3" t="s">
        <v>3234</v>
      </c>
      <c r="B574" s="2" t="s">
        <v>574</v>
      </c>
      <c r="D574" s="66" t="str">
        <f>VLOOKUP("*"&amp;A574&amp;"*",[2]Sheet1!$G$2:$X$1155,18,FALSE)</f>
        <v>ERR10612108</v>
      </c>
      <c r="E574" s="2">
        <v>2018</v>
      </c>
      <c r="F574" s="2" t="s">
        <v>449</v>
      </c>
      <c r="G574" s="2" t="s">
        <v>43</v>
      </c>
      <c r="H574" s="2" t="s">
        <v>1494</v>
      </c>
      <c r="I574" s="2" t="s">
        <v>6</v>
      </c>
      <c r="J574" s="2" t="s">
        <v>8</v>
      </c>
      <c r="K574" s="2" t="s">
        <v>562</v>
      </c>
      <c r="L574" s="2" t="s">
        <v>7</v>
      </c>
      <c r="M574" s="2">
        <v>121</v>
      </c>
      <c r="N574" s="2" t="s">
        <v>9</v>
      </c>
      <c r="T574" s="2" t="s">
        <v>16963</v>
      </c>
      <c r="X574" s="67" t="s">
        <v>4722</v>
      </c>
    </row>
    <row r="575" spans="1:24" hidden="1">
      <c r="A575" s="3" t="s">
        <v>3280</v>
      </c>
      <c r="B575" s="2" t="s">
        <v>575</v>
      </c>
      <c r="D575" s="66" t="str">
        <f>VLOOKUP("*"&amp;A575&amp;"*",[2]Sheet1!$G$2:$X$1155,18,FALSE)</f>
        <v>ERR10612121</v>
      </c>
      <c r="E575" s="2">
        <v>2018</v>
      </c>
      <c r="F575" s="2" t="s">
        <v>449</v>
      </c>
      <c r="G575" s="2" t="s">
        <v>43</v>
      </c>
      <c r="H575" s="2" t="s">
        <v>1494</v>
      </c>
      <c r="I575" s="2" t="s">
        <v>6</v>
      </c>
      <c r="J575" s="2" t="s">
        <v>20</v>
      </c>
      <c r="K575" s="2" t="s">
        <v>361</v>
      </c>
      <c r="L575" s="2" t="s">
        <v>19</v>
      </c>
      <c r="M575" s="2">
        <v>9</v>
      </c>
      <c r="N575" s="2" t="s">
        <v>21</v>
      </c>
      <c r="T575" s="2" t="s">
        <v>16963</v>
      </c>
      <c r="X575" s="67" t="s">
        <v>4723</v>
      </c>
    </row>
    <row r="576" spans="1:24" hidden="1">
      <c r="A576" s="3" t="s">
        <v>3117</v>
      </c>
      <c r="B576" s="2" t="s">
        <v>576</v>
      </c>
      <c r="D576" s="66" t="str">
        <f>VLOOKUP("*"&amp;A576&amp;"*",[2]Sheet1!$G$2:$X$1155,18,FALSE)</f>
        <v>ERR10612130</v>
      </c>
      <c r="E576" s="2">
        <v>2019</v>
      </c>
      <c r="F576" s="2" t="s">
        <v>449</v>
      </c>
      <c r="G576" s="2" t="s">
        <v>43</v>
      </c>
      <c r="H576" s="2" t="s">
        <v>1494</v>
      </c>
      <c r="I576" s="2" t="s">
        <v>6</v>
      </c>
      <c r="J576" s="2" t="s">
        <v>8</v>
      </c>
      <c r="K576" s="2" t="s">
        <v>562</v>
      </c>
      <c r="L576" s="2" t="s">
        <v>7</v>
      </c>
      <c r="M576" s="2">
        <v>121</v>
      </c>
      <c r="N576" s="2" t="s">
        <v>9</v>
      </c>
      <c r="T576" s="2" t="s">
        <v>16963</v>
      </c>
      <c r="X576" s="67" t="s">
        <v>4722</v>
      </c>
    </row>
    <row r="577" spans="1:24" hidden="1">
      <c r="A577" s="3" t="s">
        <v>2883</v>
      </c>
      <c r="B577" s="2" t="s">
        <v>577</v>
      </c>
      <c r="D577" s="66" t="str">
        <f>VLOOKUP("*"&amp;A577&amp;"*",[2]Sheet1!$G$2:$X$1155,18,FALSE)</f>
        <v>ERR10612090</v>
      </c>
      <c r="E577" s="2">
        <v>2019</v>
      </c>
      <c r="F577" s="2" t="s">
        <v>449</v>
      </c>
      <c r="G577" s="2" t="s">
        <v>43</v>
      </c>
      <c r="H577" s="2" t="s">
        <v>1494</v>
      </c>
      <c r="I577" s="2" t="s">
        <v>6</v>
      </c>
      <c r="J577" s="2" t="s">
        <v>579</v>
      </c>
      <c r="K577" s="2" t="s">
        <v>580</v>
      </c>
      <c r="L577" s="2" t="s">
        <v>578</v>
      </c>
      <c r="M577" s="2">
        <v>199</v>
      </c>
      <c r="N577" s="2" t="s">
        <v>9</v>
      </c>
      <c r="T577" s="2" t="s">
        <v>16964</v>
      </c>
    </row>
    <row r="578" spans="1:24" hidden="1">
      <c r="A578" s="3" t="s">
        <v>3078</v>
      </c>
      <c r="B578" s="2" t="s">
        <v>581</v>
      </c>
      <c r="D578" s="66" t="str">
        <f>VLOOKUP("*"&amp;A578&amp;"*",[2]Sheet1!$G$2:$X$1155,18,FALSE)</f>
        <v>ERR10612122</v>
      </c>
      <c r="E578" s="2">
        <v>2019</v>
      </c>
      <c r="F578" s="2" t="s">
        <v>449</v>
      </c>
      <c r="G578" s="2" t="s">
        <v>43</v>
      </c>
      <c r="H578" s="2" t="s">
        <v>1494</v>
      </c>
      <c r="I578" s="2" t="s">
        <v>6</v>
      </c>
      <c r="J578" s="2" t="s">
        <v>20</v>
      </c>
      <c r="K578" s="2" t="s">
        <v>361</v>
      </c>
      <c r="L578" s="2" t="s">
        <v>19</v>
      </c>
      <c r="M578" s="2">
        <v>9</v>
      </c>
      <c r="N578" s="2" t="s">
        <v>21</v>
      </c>
      <c r="T578" s="2" t="s">
        <v>16963</v>
      </c>
      <c r="X578" s="67" t="s">
        <v>4723</v>
      </c>
    </row>
    <row r="579" spans="1:24" hidden="1">
      <c r="A579" s="3" t="s">
        <v>3279</v>
      </c>
      <c r="B579" s="2" t="s">
        <v>582</v>
      </c>
      <c r="D579" s="66" t="str">
        <f>VLOOKUP("*"&amp;A579&amp;"*",[2]Sheet1!$G$2:$X$1155,18,FALSE)</f>
        <v>ERR10612111</v>
      </c>
      <c r="E579" s="2">
        <v>2019</v>
      </c>
      <c r="F579" s="2" t="s">
        <v>449</v>
      </c>
      <c r="G579" s="2" t="s">
        <v>43</v>
      </c>
      <c r="H579" s="2" t="s">
        <v>1494</v>
      </c>
      <c r="I579" s="2" t="s">
        <v>6</v>
      </c>
      <c r="J579" s="2" t="s">
        <v>20</v>
      </c>
      <c r="K579" s="2" t="s">
        <v>361</v>
      </c>
      <c r="L579" s="2" t="s">
        <v>19</v>
      </c>
      <c r="M579" s="2">
        <v>9</v>
      </c>
      <c r="N579" s="2" t="s">
        <v>21</v>
      </c>
      <c r="T579" s="2" t="s">
        <v>16963</v>
      </c>
      <c r="X579" s="67" t="s">
        <v>4723</v>
      </c>
    </row>
    <row r="580" spans="1:24" hidden="1">
      <c r="A580" s="3" t="s">
        <v>3175</v>
      </c>
      <c r="B580" s="2" t="s">
        <v>583</v>
      </c>
      <c r="D580" s="66" t="str">
        <f>VLOOKUP("*"&amp;A580&amp;"*",[2]Sheet1!$G$2:$X$1155,18,FALSE)</f>
        <v>ERR10612141</v>
      </c>
      <c r="E580" s="2">
        <v>2019</v>
      </c>
      <c r="F580" s="2" t="s">
        <v>449</v>
      </c>
      <c r="G580" s="2" t="s">
        <v>43</v>
      </c>
      <c r="H580" s="2" t="s">
        <v>1491</v>
      </c>
      <c r="I580" s="2" t="s">
        <v>6</v>
      </c>
      <c r="J580" s="2" t="s">
        <v>20</v>
      </c>
      <c r="K580" s="2" t="s">
        <v>361</v>
      </c>
      <c r="L580" s="2" t="s">
        <v>19</v>
      </c>
      <c r="M580" s="2">
        <v>9</v>
      </c>
      <c r="N580" s="2" t="s">
        <v>21</v>
      </c>
      <c r="T580" s="2" t="s">
        <v>16963</v>
      </c>
      <c r="X580" s="67" t="s">
        <v>4723</v>
      </c>
    </row>
    <row r="581" spans="1:24" hidden="1">
      <c r="A581" s="3" t="s">
        <v>2997</v>
      </c>
      <c r="B581" s="2" t="s">
        <v>584</v>
      </c>
      <c r="D581" s="66" t="str">
        <f>VLOOKUP("*"&amp;A581&amp;"*",[2]Sheet1!$G$2:$X$1155,18,FALSE)</f>
        <v>ERR10612120</v>
      </c>
      <c r="E581" s="2">
        <v>2019</v>
      </c>
      <c r="F581" s="2" t="s">
        <v>449</v>
      </c>
      <c r="G581" s="2" t="s">
        <v>43</v>
      </c>
      <c r="H581" s="2" t="s">
        <v>1491</v>
      </c>
      <c r="I581" s="2" t="s">
        <v>6</v>
      </c>
      <c r="J581" s="2" t="s">
        <v>20</v>
      </c>
      <c r="K581" s="2" t="s">
        <v>361</v>
      </c>
      <c r="L581" s="2" t="s">
        <v>19</v>
      </c>
      <c r="M581" s="2">
        <v>9</v>
      </c>
      <c r="N581" s="2" t="s">
        <v>21</v>
      </c>
      <c r="T581" s="2" t="s">
        <v>16963</v>
      </c>
      <c r="X581" s="67" t="s">
        <v>4723</v>
      </c>
    </row>
    <row r="582" spans="1:24" hidden="1">
      <c r="A582" s="3" t="s">
        <v>3233</v>
      </c>
      <c r="B582" s="2" t="s">
        <v>585</v>
      </c>
      <c r="D582" s="66" t="str">
        <f>VLOOKUP("*"&amp;A582&amp;"*",[2]Sheet1!$G$2:$X$1155,18,FALSE)</f>
        <v>ERR10612110</v>
      </c>
      <c r="E582" s="2">
        <v>2019</v>
      </c>
      <c r="F582" s="2" t="s">
        <v>449</v>
      </c>
      <c r="G582" s="2" t="s">
        <v>43</v>
      </c>
      <c r="H582" s="2" t="s">
        <v>1491</v>
      </c>
      <c r="I582" s="2" t="s">
        <v>6</v>
      </c>
      <c r="J582" s="2" t="s">
        <v>8</v>
      </c>
      <c r="K582" s="2" t="s">
        <v>562</v>
      </c>
      <c r="L582" s="2" t="s">
        <v>7</v>
      </c>
      <c r="M582" s="2">
        <v>121</v>
      </c>
      <c r="N582" s="2" t="s">
        <v>9</v>
      </c>
      <c r="T582" s="2" t="s">
        <v>16963</v>
      </c>
      <c r="X582" s="67" t="s">
        <v>4722</v>
      </c>
    </row>
    <row r="583" spans="1:24" hidden="1">
      <c r="A583" s="3" t="s">
        <v>3083</v>
      </c>
      <c r="B583" s="2" t="s">
        <v>586</v>
      </c>
      <c r="D583" s="66" t="str">
        <f>VLOOKUP("*"&amp;A583&amp;"*",[2]Sheet1!$G$2:$X$1155,18,FALSE)</f>
        <v>ERR10612114</v>
      </c>
      <c r="E583" s="2">
        <v>2019</v>
      </c>
      <c r="F583" s="2" t="s">
        <v>449</v>
      </c>
      <c r="G583" s="2" t="s">
        <v>43</v>
      </c>
      <c r="H583" s="2" t="s">
        <v>1491</v>
      </c>
      <c r="I583" s="2" t="s">
        <v>6</v>
      </c>
      <c r="J583" s="2" t="s">
        <v>20</v>
      </c>
      <c r="K583" s="2" t="s">
        <v>361</v>
      </c>
      <c r="L583" s="2" t="s">
        <v>19</v>
      </c>
      <c r="M583" s="2">
        <v>9</v>
      </c>
      <c r="N583" s="2" t="s">
        <v>21</v>
      </c>
      <c r="T583" s="2" t="s">
        <v>16963</v>
      </c>
      <c r="X583" s="67" t="s">
        <v>4723</v>
      </c>
    </row>
    <row r="584" spans="1:24" hidden="1">
      <c r="A584" s="3" t="s">
        <v>3036</v>
      </c>
      <c r="B584" s="2" t="s">
        <v>587</v>
      </c>
      <c r="D584" s="66" t="str">
        <f>VLOOKUP("*"&amp;A584&amp;"*",[2]Sheet1!$G$2:$X$1155,18,FALSE)</f>
        <v>ERR10611936</v>
      </c>
      <c r="E584" s="2">
        <v>2017</v>
      </c>
      <c r="F584" s="2" t="s">
        <v>2690</v>
      </c>
      <c r="G584" s="2" t="s">
        <v>5</v>
      </c>
      <c r="H584" s="2" t="s">
        <v>2292</v>
      </c>
      <c r="I584" s="2" t="s">
        <v>6</v>
      </c>
      <c r="J584" s="2" t="s">
        <v>8</v>
      </c>
      <c r="K584" s="2" t="s">
        <v>504</v>
      </c>
      <c r="L584" s="2" t="s">
        <v>7</v>
      </c>
      <c r="M584" s="2">
        <v>121</v>
      </c>
      <c r="N584" s="2" t="s">
        <v>9</v>
      </c>
      <c r="O584" s="2">
        <f>VLOOKUP(B584,[1]Sheet1!$B$624:$E$1665,4,FALSE)</f>
        <v>0.8</v>
      </c>
      <c r="P584" s="2" t="s">
        <v>16963</v>
      </c>
      <c r="T584" s="2" t="s">
        <v>16963</v>
      </c>
      <c r="X584" s="67" t="s">
        <v>4722</v>
      </c>
    </row>
    <row r="585" spans="1:24" hidden="1">
      <c r="A585" s="3" t="s">
        <v>3413</v>
      </c>
      <c r="B585" s="2">
        <v>6019</v>
      </c>
      <c r="D585" s="66" t="str">
        <f>VLOOKUP("*"&amp;A585&amp;"*",[2]Sheet1!$G$2:$X$1155,18,FALSE)</f>
        <v>ERR10616662</v>
      </c>
      <c r="E585" s="2" t="s">
        <v>118</v>
      </c>
      <c r="F585" s="2" t="s">
        <v>588</v>
      </c>
      <c r="G585" s="2" t="s">
        <v>5</v>
      </c>
      <c r="H585" s="2" t="s">
        <v>2499</v>
      </c>
      <c r="I585" s="2" t="s">
        <v>6</v>
      </c>
      <c r="J585" s="2" t="s">
        <v>20</v>
      </c>
      <c r="K585" s="2" t="s">
        <v>589</v>
      </c>
      <c r="L585" s="2" t="s">
        <v>19</v>
      </c>
      <c r="M585" s="2">
        <v>9</v>
      </c>
      <c r="N585" s="2" t="s">
        <v>21</v>
      </c>
      <c r="T585" s="2" t="s">
        <v>16964</v>
      </c>
    </row>
    <row r="586" spans="1:24" hidden="1">
      <c r="A586" s="3" t="s">
        <v>2936</v>
      </c>
      <c r="B586" s="2">
        <v>6021</v>
      </c>
      <c r="D586" s="66" t="str">
        <f>VLOOKUP("*"&amp;A586&amp;"*",[2]Sheet1!$G$2:$X$1155,18,FALSE)</f>
        <v>ERR10611874</v>
      </c>
      <c r="E586" s="2" t="s">
        <v>118</v>
      </c>
      <c r="F586" s="2" t="s">
        <v>588</v>
      </c>
      <c r="G586" s="2" t="s">
        <v>5</v>
      </c>
      <c r="H586" s="2" t="s">
        <v>2499</v>
      </c>
      <c r="I586" s="2" t="s">
        <v>6</v>
      </c>
      <c r="J586" s="2" t="s">
        <v>8</v>
      </c>
      <c r="K586" s="2" t="s">
        <v>426</v>
      </c>
      <c r="L586" s="2" t="s">
        <v>7</v>
      </c>
      <c r="M586" s="2">
        <v>121</v>
      </c>
      <c r="N586" s="2" t="s">
        <v>9</v>
      </c>
      <c r="T586" s="2" t="s">
        <v>16963</v>
      </c>
      <c r="X586" s="67" t="s">
        <v>4722</v>
      </c>
    </row>
    <row r="587" spans="1:24" hidden="1">
      <c r="A587" s="3" t="s">
        <v>3044</v>
      </c>
      <c r="B587" s="2">
        <v>6022</v>
      </c>
      <c r="D587" s="66" t="str">
        <f>VLOOKUP("*"&amp;A587&amp;"*",[2]Sheet1!$G$2:$X$1155,18,FALSE)</f>
        <v>ERR10611905</v>
      </c>
      <c r="E587" s="2">
        <v>2015</v>
      </c>
      <c r="F587" s="2" t="s">
        <v>588</v>
      </c>
      <c r="G587" s="2" t="s">
        <v>43</v>
      </c>
      <c r="H587" s="2" t="s">
        <v>2500</v>
      </c>
      <c r="I587" s="2" t="s">
        <v>6</v>
      </c>
      <c r="J587" s="2" t="s">
        <v>8</v>
      </c>
      <c r="K587" s="2" t="s">
        <v>426</v>
      </c>
      <c r="L587" s="2" t="s">
        <v>7</v>
      </c>
      <c r="M587" s="2">
        <v>121</v>
      </c>
      <c r="N587" s="2" t="s">
        <v>9</v>
      </c>
      <c r="T587" s="2" t="s">
        <v>16963</v>
      </c>
      <c r="X587" s="67" t="s">
        <v>4722</v>
      </c>
    </row>
    <row r="588" spans="1:24" hidden="1">
      <c r="A588" s="3" t="s">
        <v>2938</v>
      </c>
      <c r="B588" s="2">
        <v>6023</v>
      </c>
      <c r="D588" s="66" t="str">
        <f>VLOOKUP("*"&amp;A588&amp;"*",[2]Sheet1!$G$2:$X$1155,18,FALSE)</f>
        <v>ERR10611919</v>
      </c>
      <c r="E588" s="2">
        <v>2015</v>
      </c>
      <c r="F588" s="2" t="s">
        <v>588</v>
      </c>
      <c r="G588" s="2" t="s">
        <v>43</v>
      </c>
      <c r="H588" s="2" t="s">
        <v>2501</v>
      </c>
      <c r="I588" s="2" t="s">
        <v>6</v>
      </c>
      <c r="J588" s="2" t="s">
        <v>8</v>
      </c>
      <c r="K588" s="2" t="s">
        <v>426</v>
      </c>
      <c r="L588" s="2" t="s">
        <v>7</v>
      </c>
      <c r="M588" s="2">
        <v>121</v>
      </c>
      <c r="N588" s="2" t="s">
        <v>9</v>
      </c>
      <c r="T588" s="2" t="s">
        <v>16963</v>
      </c>
      <c r="X588" s="67" t="s">
        <v>4722</v>
      </c>
    </row>
    <row r="589" spans="1:24" hidden="1">
      <c r="A589" s="3" t="s">
        <v>3276</v>
      </c>
      <c r="B589" s="2">
        <v>6024</v>
      </c>
      <c r="D589" s="66" t="str">
        <f>VLOOKUP("*"&amp;A589&amp;"*",[2]Sheet1!$G$2:$X$1155,18,FALSE)</f>
        <v>ERR10611904</v>
      </c>
      <c r="E589" s="2">
        <v>2015</v>
      </c>
      <c r="F589" s="2" t="s">
        <v>588</v>
      </c>
      <c r="G589" s="2" t="s">
        <v>43</v>
      </c>
      <c r="H589" s="2" t="s">
        <v>2502</v>
      </c>
      <c r="I589" s="2" t="s">
        <v>6</v>
      </c>
      <c r="J589" s="2" t="s">
        <v>8</v>
      </c>
      <c r="K589" s="2" t="s">
        <v>590</v>
      </c>
      <c r="L589" s="2" t="s">
        <v>7</v>
      </c>
      <c r="M589" s="2">
        <v>1442</v>
      </c>
      <c r="N589" s="2" t="s">
        <v>9</v>
      </c>
      <c r="T589" s="2" t="s">
        <v>16964</v>
      </c>
    </row>
    <row r="590" spans="1:24" hidden="1">
      <c r="A590" s="3" t="s">
        <v>3157</v>
      </c>
      <c r="B590" s="2">
        <v>6025</v>
      </c>
      <c r="D590" s="66" t="str">
        <f>VLOOKUP("*"&amp;A590&amp;"*",[2]Sheet1!$G$2:$X$1155,18,FALSE)</f>
        <v>ERR10611903</v>
      </c>
      <c r="E590" s="2">
        <v>2015</v>
      </c>
      <c r="F590" s="2" t="s">
        <v>588</v>
      </c>
      <c r="G590" s="2" t="s">
        <v>43</v>
      </c>
      <c r="H590" s="2" t="s">
        <v>2503</v>
      </c>
      <c r="I590" s="2" t="s">
        <v>6</v>
      </c>
      <c r="J590" s="2" t="s">
        <v>8</v>
      </c>
      <c r="K590" s="2" t="s">
        <v>590</v>
      </c>
      <c r="L590" s="2" t="s">
        <v>7</v>
      </c>
      <c r="M590" s="2">
        <v>1442</v>
      </c>
      <c r="N590" s="2" t="s">
        <v>9</v>
      </c>
      <c r="T590" s="2" t="s">
        <v>16964</v>
      </c>
    </row>
    <row r="591" spans="1:24" hidden="1">
      <c r="A591" s="3" t="s">
        <v>4405</v>
      </c>
      <c r="B591" s="2">
        <v>6026</v>
      </c>
      <c r="D591" s="66" t="str">
        <f>VLOOKUP("*"&amp;A591&amp;"*",[2]Sheet1!$G$2:$X$1155,18,FALSE)</f>
        <v>ERR10611877</v>
      </c>
      <c r="E591" s="2">
        <v>2015</v>
      </c>
      <c r="F591" s="2" t="s">
        <v>588</v>
      </c>
      <c r="G591" s="2" t="s">
        <v>43</v>
      </c>
      <c r="H591" s="2" t="s">
        <v>2504</v>
      </c>
      <c r="I591" s="2" t="s">
        <v>6</v>
      </c>
      <c r="J591" s="2" t="s">
        <v>8</v>
      </c>
      <c r="K591" s="2" t="s">
        <v>591</v>
      </c>
      <c r="L591" s="2" t="s">
        <v>7</v>
      </c>
      <c r="M591" s="2">
        <v>121</v>
      </c>
      <c r="N591" s="2" t="s">
        <v>9</v>
      </c>
      <c r="T591" s="2" t="s">
        <v>16964</v>
      </c>
    </row>
    <row r="592" spans="1:24" hidden="1">
      <c r="A592" s="3" t="s">
        <v>3042</v>
      </c>
      <c r="B592" s="2">
        <v>6027</v>
      </c>
      <c r="D592" s="66" t="str">
        <f>VLOOKUP("*"&amp;A592&amp;"*",[2]Sheet1!$G$2:$X$1155,18,FALSE)</f>
        <v>ERR10611926</v>
      </c>
      <c r="E592" s="2">
        <v>2015</v>
      </c>
      <c r="F592" s="2" t="s">
        <v>588</v>
      </c>
      <c r="G592" s="2" t="s">
        <v>43</v>
      </c>
      <c r="H592" s="2" t="s">
        <v>2505</v>
      </c>
      <c r="I592" s="2" t="s">
        <v>6</v>
      </c>
      <c r="J592" s="2" t="s">
        <v>8</v>
      </c>
      <c r="K592" s="2" t="s">
        <v>426</v>
      </c>
      <c r="L592" s="2" t="s">
        <v>7</v>
      </c>
      <c r="M592" s="2">
        <v>121</v>
      </c>
      <c r="N592" s="2" t="s">
        <v>9</v>
      </c>
      <c r="T592" s="2" t="s">
        <v>16963</v>
      </c>
      <c r="X592" s="67" t="s">
        <v>4722</v>
      </c>
    </row>
    <row r="593" spans="1:25" hidden="1">
      <c r="A593" s="3" t="s">
        <v>3043</v>
      </c>
      <c r="B593" s="2">
        <v>6028</v>
      </c>
      <c r="D593" s="66" t="str">
        <f>VLOOKUP("*"&amp;A593&amp;"*",[2]Sheet1!$G$2:$X$1155,18,FALSE)</f>
        <v>ERR10611921</v>
      </c>
      <c r="E593" s="2">
        <v>2015</v>
      </c>
      <c r="F593" s="2" t="s">
        <v>588</v>
      </c>
      <c r="G593" s="2" t="s">
        <v>43</v>
      </c>
      <c r="H593" s="2" t="s">
        <v>2500</v>
      </c>
      <c r="I593" s="2" t="s">
        <v>6</v>
      </c>
      <c r="J593" s="2" t="s">
        <v>8</v>
      </c>
      <c r="K593" s="2" t="s">
        <v>426</v>
      </c>
      <c r="L593" s="2" t="s">
        <v>7</v>
      </c>
      <c r="M593" s="2">
        <v>121</v>
      </c>
      <c r="N593" s="2" t="s">
        <v>9</v>
      </c>
      <c r="T593" s="2" t="s">
        <v>16963</v>
      </c>
      <c r="X593" s="67" t="s">
        <v>4722</v>
      </c>
    </row>
    <row r="594" spans="1:25" hidden="1">
      <c r="A594" s="3" t="s">
        <v>4199</v>
      </c>
      <c r="B594" s="2">
        <v>6029</v>
      </c>
      <c r="D594" s="66" t="str">
        <f>VLOOKUP("*"&amp;A594&amp;"*",[2]Sheet1!$G$2:$X$1155,18,FALSE)</f>
        <v>ERR10611909</v>
      </c>
      <c r="E594" s="2">
        <v>2015</v>
      </c>
      <c r="F594" s="2" t="s">
        <v>588</v>
      </c>
      <c r="G594" s="2" t="s">
        <v>43</v>
      </c>
      <c r="H594" s="2" t="s">
        <v>2504</v>
      </c>
      <c r="I594" s="2" t="s">
        <v>10</v>
      </c>
      <c r="J594" s="2" t="s">
        <v>12</v>
      </c>
      <c r="K594" s="2" t="s">
        <v>592</v>
      </c>
      <c r="L594" s="2" t="s">
        <v>11</v>
      </c>
      <c r="M594" s="2">
        <v>3</v>
      </c>
      <c r="N594" s="2" t="s">
        <v>14</v>
      </c>
      <c r="T594" s="2" t="s">
        <v>16964</v>
      </c>
    </row>
    <row r="595" spans="1:25" hidden="1">
      <c r="A595" s="3" t="s">
        <v>2935</v>
      </c>
      <c r="B595" s="2">
        <v>6031</v>
      </c>
      <c r="D595" s="66" t="str">
        <f>VLOOKUP("*"&amp;A595&amp;"*",[2]Sheet1!$G$2:$X$1155,18,FALSE)</f>
        <v>ERR10611897</v>
      </c>
      <c r="E595" s="2">
        <v>2015</v>
      </c>
      <c r="F595" s="2" t="s">
        <v>588</v>
      </c>
      <c r="G595" s="2" t="s">
        <v>43</v>
      </c>
      <c r="H595" s="2" t="s">
        <v>2506</v>
      </c>
      <c r="I595" s="2" t="s">
        <v>6</v>
      </c>
      <c r="J595" s="2" t="s">
        <v>8</v>
      </c>
      <c r="K595" s="2" t="s">
        <v>426</v>
      </c>
      <c r="L595" s="2" t="s">
        <v>7</v>
      </c>
      <c r="M595" s="2">
        <v>121</v>
      </c>
      <c r="N595" s="2" t="s">
        <v>9</v>
      </c>
      <c r="T595" s="2" t="s">
        <v>16963</v>
      </c>
      <c r="X595" s="67" t="s">
        <v>4722</v>
      </c>
    </row>
    <row r="596" spans="1:25" hidden="1">
      <c r="A596" s="3" t="s">
        <v>2933</v>
      </c>
      <c r="B596" s="2">
        <v>6032</v>
      </c>
      <c r="D596" s="66" t="str">
        <f>VLOOKUP("*"&amp;A596&amp;"*",[2]Sheet1!$G$2:$X$1155,18,FALSE)</f>
        <v>ERR10611914</v>
      </c>
      <c r="E596" s="2">
        <v>2015</v>
      </c>
      <c r="F596" s="2" t="s">
        <v>588</v>
      </c>
      <c r="G596" s="2" t="s">
        <v>43</v>
      </c>
      <c r="H596" s="2" t="s">
        <v>2501</v>
      </c>
      <c r="I596" s="2" t="s">
        <v>6</v>
      </c>
      <c r="J596" s="2" t="s">
        <v>8</v>
      </c>
      <c r="K596" s="2" t="s">
        <v>426</v>
      </c>
      <c r="L596" s="2" t="s">
        <v>7</v>
      </c>
      <c r="M596" s="2">
        <v>121</v>
      </c>
      <c r="N596" s="2" t="s">
        <v>9</v>
      </c>
      <c r="T596" s="2" t="s">
        <v>16963</v>
      </c>
      <c r="X596" s="67" t="s">
        <v>4722</v>
      </c>
    </row>
    <row r="597" spans="1:25" hidden="1">
      <c r="A597" s="3" t="s">
        <v>4411</v>
      </c>
      <c r="B597" s="2">
        <v>6033</v>
      </c>
      <c r="D597" s="66" t="str">
        <f>VLOOKUP("*"&amp;A597&amp;"*",[2]Sheet1!$G$2:$X$1155,18,FALSE)</f>
        <v>ERR10611892</v>
      </c>
      <c r="E597" s="2">
        <v>2015</v>
      </c>
      <c r="F597" s="2" t="s">
        <v>588</v>
      </c>
      <c r="G597" s="2" t="s">
        <v>43</v>
      </c>
      <c r="H597" s="2" t="s">
        <v>2502</v>
      </c>
      <c r="I597" s="2" t="s">
        <v>6</v>
      </c>
      <c r="J597" s="2" t="s">
        <v>8</v>
      </c>
      <c r="K597" s="2" t="s">
        <v>593</v>
      </c>
      <c r="L597" s="2" t="s">
        <v>7</v>
      </c>
      <c r="M597" s="2">
        <v>121</v>
      </c>
      <c r="N597" s="2" t="s">
        <v>9</v>
      </c>
      <c r="T597" s="2" t="s">
        <v>16963</v>
      </c>
      <c r="X597" s="67" t="s">
        <v>4722</v>
      </c>
    </row>
    <row r="598" spans="1:25" hidden="1">
      <c r="A598" s="3" t="s">
        <v>3024</v>
      </c>
      <c r="B598" s="2">
        <v>6034</v>
      </c>
      <c r="D598" s="66" t="str">
        <f>VLOOKUP("*"&amp;A598&amp;"*",[2]Sheet1!$G$2:$X$1155,18,FALSE)</f>
        <v>ERR10611913</v>
      </c>
      <c r="E598" s="2">
        <v>2015</v>
      </c>
      <c r="F598" s="2" t="s">
        <v>588</v>
      </c>
      <c r="G598" s="2" t="s">
        <v>43</v>
      </c>
      <c r="H598" s="2" t="s">
        <v>2507</v>
      </c>
      <c r="I598" s="2" t="s">
        <v>6</v>
      </c>
      <c r="J598" s="2" t="s">
        <v>8</v>
      </c>
      <c r="K598" s="2" t="s">
        <v>426</v>
      </c>
      <c r="L598" s="2" t="s">
        <v>7</v>
      </c>
      <c r="M598" s="2">
        <v>121</v>
      </c>
      <c r="N598" s="2" t="s">
        <v>9</v>
      </c>
      <c r="T598" s="2" t="s">
        <v>16963</v>
      </c>
      <c r="X598" s="67" t="s">
        <v>4722</v>
      </c>
    </row>
    <row r="599" spans="1:25" hidden="1">
      <c r="A599" s="3" t="s">
        <v>3129</v>
      </c>
      <c r="B599" s="2">
        <v>6035</v>
      </c>
      <c r="D599" s="66" t="str">
        <f>VLOOKUP("*"&amp;A599&amp;"*",[2]Sheet1!$G$2:$X$1155,18,FALSE)</f>
        <v>ERR10611925</v>
      </c>
      <c r="E599" s="2">
        <v>2015</v>
      </c>
      <c r="F599" s="2" t="s">
        <v>588</v>
      </c>
      <c r="G599" s="2" t="s">
        <v>43</v>
      </c>
      <c r="H599" s="2" t="s">
        <v>2508</v>
      </c>
      <c r="I599" s="2" t="s">
        <v>6</v>
      </c>
      <c r="J599" s="2" t="s">
        <v>8</v>
      </c>
      <c r="K599" s="2" t="s">
        <v>426</v>
      </c>
      <c r="L599" s="2" t="s">
        <v>7</v>
      </c>
      <c r="M599" s="2">
        <v>121</v>
      </c>
      <c r="N599" s="2" t="s">
        <v>9</v>
      </c>
      <c r="T599" s="2" t="s">
        <v>16963</v>
      </c>
      <c r="X599" s="67" t="s">
        <v>4722</v>
      </c>
    </row>
    <row r="600" spans="1:25" hidden="1">
      <c r="A600" s="3" t="s">
        <v>4198</v>
      </c>
      <c r="B600" s="2">
        <v>6036</v>
      </c>
      <c r="D600" s="66" t="str">
        <f>VLOOKUP("*"&amp;A600&amp;"*",[2]Sheet1!$G$2:$X$1155,18,FALSE)</f>
        <v>ERR10611918</v>
      </c>
      <c r="E600" s="2" t="s">
        <v>118</v>
      </c>
      <c r="F600" s="2" t="s">
        <v>588</v>
      </c>
      <c r="G600" s="2" t="s">
        <v>5</v>
      </c>
      <c r="H600" s="2" t="s">
        <v>2509</v>
      </c>
      <c r="I600" s="2" t="s">
        <v>10</v>
      </c>
      <c r="J600" s="2" t="s">
        <v>12</v>
      </c>
      <c r="K600" s="2" t="s">
        <v>592</v>
      </c>
      <c r="L600" s="2" t="s">
        <v>11</v>
      </c>
      <c r="M600" s="2">
        <v>3</v>
      </c>
      <c r="N600" s="2" t="s">
        <v>14</v>
      </c>
      <c r="T600" s="2" t="s">
        <v>16964</v>
      </c>
    </row>
    <row r="601" spans="1:25" hidden="1">
      <c r="A601" s="3" t="s">
        <v>3607</v>
      </c>
      <c r="B601" s="2">
        <v>6037</v>
      </c>
      <c r="D601" s="66" t="str">
        <f>VLOOKUP("*"&amp;A601&amp;"*",[2]Sheet1!$G$2:$X$1155,18,FALSE)</f>
        <v>ERR10611901</v>
      </c>
      <c r="E601" s="2" t="s">
        <v>118</v>
      </c>
      <c r="F601" s="2" t="s">
        <v>588</v>
      </c>
      <c r="G601" s="2" t="s">
        <v>43</v>
      </c>
      <c r="H601" s="2" t="s">
        <v>2510</v>
      </c>
      <c r="I601" s="2" t="s">
        <v>6</v>
      </c>
      <c r="J601" s="2" t="s">
        <v>20</v>
      </c>
      <c r="K601" s="2" t="s">
        <v>594</v>
      </c>
      <c r="L601" s="2" t="s">
        <v>19</v>
      </c>
      <c r="M601" s="2">
        <v>9</v>
      </c>
      <c r="T601" s="2" t="s">
        <v>16963</v>
      </c>
      <c r="Y601" s="67" t="s">
        <v>2627</v>
      </c>
    </row>
    <row r="602" spans="1:25" hidden="1">
      <c r="A602" s="3" t="s">
        <v>2854</v>
      </c>
      <c r="B602" s="2">
        <v>6038</v>
      </c>
      <c r="D602" s="68" t="str">
        <f>VLOOKUP("*"&amp;A602&amp;"*",[2]Sheet1!$G$2:$X$1155,18,FALSE)</f>
        <v>ERR10611930</v>
      </c>
      <c r="E602" s="2" t="s">
        <v>118</v>
      </c>
      <c r="F602" s="2" t="s">
        <v>588</v>
      </c>
      <c r="G602" s="2" t="s">
        <v>43</v>
      </c>
      <c r="H602" s="2" t="s">
        <v>2500</v>
      </c>
      <c r="I602" s="2" t="s">
        <v>6</v>
      </c>
      <c r="J602" s="2" t="s">
        <v>24</v>
      </c>
      <c r="K602" s="2" t="s">
        <v>595</v>
      </c>
      <c r="L602" s="2" t="s">
        <v>23</v>
      </c>
      <c r="M602" s="2">
        <v>14</v>
      </c>
      <c r="N602" s="2" t="s">
        <v>9</v>
      </c>
      <c r="T602" s="2" t="s">
        <v>16963</v>
      </c>
      <c r="V602" s="67" t="s">
        <v>2627</v>
      </c>
    </row>
    <row r="603" spans="1:25" hidden="1">
      <c r="A603" s="3" t="s">
        <v>4207</v>
      </c>
      <c r="B603" s="2">
        <v>6039</v>
      </c>
      <c r="D603" s="66" t="str">
        <f>VLOOKUP("*"&amp;A603&amp;"*",[2]Sheet1!$G$2:$X$1155,18,FALSE)</f>
        <v>ERR10611895</v>
      </c>
      <c r="E603" s="2" t="s">
        <v>118</v>
      </c>
      <c r="F603" s="2" t="s">
        <v>588</v>
      </c>
      <c r="G603" s="2" t="s">
        <v>43</v>
      </c>
      <c r="H603" s="2" t="s">
        <v>2503</v>
      </c>
      <c r="I603" s="2" t="s">
        <v>6</v>
      </c>
      <c r="J603" s="2" t="s">
        <v>8</v>
      </c>
      <c r="K603" s="2" t="s">
        <v>596</v>
      </c>
      <c r="L603" s="2" t="s">
        <v>7</v>
      </c>
      <c r="M603" s="2">
        <v>121</v>
      </c>
      <c r="N603" s="2" t="s">
        <v>9</v>
      </c>
      <c r="T603" s="2" t="s">
        <v>16963</v>
      </c>
      <c r="X603" s="67" t="s">
        <v>4722</v>
      </c>
    </row>
    <row r="604" spans="1:25" hidden="1">
      <c r="A604" s="3" t="s">
        <v>2853</v>
      </c>
      <c r="B604" s="2">
        <v>6040</v>
      </c>
      <c r="D604" s="1" t="s">
        <v>17327</v>
      </c>
      <c r="E604" s="2" t="s">
        <v>118</v>
      </c>
      <c r="F604" s="2" t="s">
        <v>588</v>
      </c>
      <c r="G604" s="2" t="s">
        <v>43</v>
      </c>
      <c r="H604" s="2" t="s">
        <v>2500</v>
      </c>
      <c r="I604" s="2" t="s">
        <v>6</v>
      </c>
      <c r="J604" s="2" t="s">
        <v>24</v>
      </c>
      <c r="K604" s="2" t="s">
        <v>595</v>
      </c>
      <c r="L604" s="2" t="s">
        <v>23</v>
      </c>
      <c r="M604" s="2">
        <v>14</v>
      </c>
      <c r="N604" s="2" t="s">
        <v>9</v>
      </c>
      <c r="T604" s="2" t="s">
        <v>16963</v>
      </c>
      <c r="V604" s="67" t="s">
        <v>2627</v>
      </c>
    </row>
    <row r="605" spans="1:25" hidden="1">
      <c r="A605" s="3" t="s">
        <v>2932</v>
      </c>
      <c r="B605" s="2">
        <v>6041</v>
      </c>
      <c r="D605" s="66" t="str">
        <f>VLOOKUP("*"&amp;A605&amp;"*",[2]Sheet1!$G$2:$X$1155,18,FALSE)</f>
        <v>ERR10611928</v>
      </c>
      <c r="E605" s="2" t="s">
        <v>118</v>
      </c>
      <c r="F605" s="2" t="s">
        <v>588</v>
      </c>
      <c r="G605" s="2" t="s">
        <v>43</v>
      </c>
      <c r="H605" s="2" t="s">
        <v>2501</v>
      </c>
      <c r="I605" s="2" t="s">
        <v>6</v>
      </c>
      <c r="J605" s="2" t="s">
        <v>8</v>
      </c>
      <c r="K605" s="2" t="s">
        <v>426</v>
      </c>
      <c r="L605" s="2" t="s">
        <v>7</v>
      </c>
      <c r="M605" s="2">
        <v>121</v>
      </c>
      <c r="N605" s="2" t="s">
        <v>9</v>
      </c>
      <c r="T605" s="2" t="s">
        <v>16963</v>
      </c>
      <c r="X605" s="67" t="s">
        <v>4722</v>
      </c>
    </row>
    <row r="606" spans="1:25" hidden="1">
      <c r="A606" s="3" t="s">
        <v>2855</v>
      </c>
      <c r="B606" s="2">
        <v>6042</v>
      </c>
      <c r="D606" s="66" t="str">
        <f>VLOOKUP("*"&amp;A606&amp;"*",[2]Sheet1!$G$2:$X$1155,18,FALSE)</f>
        <v>ERR10611964</v>
      </c>
      <c r="E606" s="2" t="s">
        <v>118</v>
      </c>
      <c r="F606" s="2" t="s">
        <v>588</v>
      </c>
      <c r="G606" s="2" t="s">
        <v>43</v>
      </c>
      <c r="H606" s="2" t="s">
        <v>2504</v>
      </c>
      <c r="I606" s="2" t="s">
        <v>6</v>
      </c>
      <c r="J606" s="2" t="s">
        <v>24</v>
      </c>
      <c r="K606" s="2" t="s">
        <v>595</v>
      </c>
      <c r="L606" s="2" t="s">
        <v>23</v>
      </c>
      <c r="M606" s="2">
        <v>14</v>
      </c>
      <c r="N606" s="2" t="s">
        <v>9</v>
      </c>
      <c r="T606" s="2" t="s">
        <v>16963</v>
      </c>
      <c r="V606" s="67" t="s">
        <v>2627</v>
      </c>
    </row>
    <row r="607" spans="1:25" hidden="1">
      <c r="A607" s="3" t="s">
        <v>2929</v>
      </c>
      <c r="B607" s="2">
        <v>6043</v>
      </c>
      <c r="D607" s="66" t="str">
        <f>VLOOKUP("*"&amp;A607&amp;"*",[2]Sheet1!$G$2:$X$1155,18,FALSE)</f>
        <v>ERR10611935</v>
      </c>
      <c r="E607" s="2" t="s">
        <v>118</v>
      </c>
      <c r="F607" s="2" t="s">
        <v>588</v>
      </c>
      <c r="G607" s="2" t="s">
        <v>43</v>
      </c>
      <c r="H607" s="2" t="s">
        <v>2508</v>
      </c>
      <c r="I607" s="2" t="s">
        <v>6</v>
      </c>
      <c r="J607" s="2" t="s">
        <v>8</v>
      </c>
      <c r="K607" s="2" t="s">
        <v>426</v>
      </c>
      <c r="L607" s="2" t="s">
        <v>7</v>
      </c>
      <c r="M607" s="2">
        <v>121</v>
      </c>
      <c r="N607" s="2" t="s">
        <v>9</v>
      </c>
      <c r="T607" s="2" t="s">
        <v>16963</v>
      </c>
      <c r="X607" s="67" t="s">
        <v>4722</v>
      </c>
    </row>
    <row r="608" spans="1:25" hidden="1">
      <c r="A608" s="3" t="s">
        <v>4200</v>
      </c>
      <c r="B608" s="2">
        <v>6044</v>
      </c>
      <c r="D608" s="66" t="str">
        <f>VLOOKUP("*"&amp;A608&amp;"*",[2]Sheet1!$G$2:$X$1155,18,FALSE)</f>
        <v>ERR10611924</v>
      </c>
      <c r="E608" s="2" t="s">
        <v>118</v>
      </c>
      <c r="F608" s="2" t="s">
        <v>588</v>
      </c>
      <c r="G608" s="2" t="s">
        <v>5</v>
      </c>
      <c r="H608" s="2" t="s">
        <v>2511</v>
      </c>
      <c r="I608" s="2" t="s">
        <v>10</v>
      </c>
      <c r="J608" s="2" t="s">
        <v>12</v>
      </c>
      <c r="K608" s="2" t="s">
        <v>597</v>
      </c>
      <c r="L608" s="2" t="s">
        <v>11</v>
      </c>
      <c r="M608" s="2">
        <v>3</v>
      </c>
      <c r="N608" s="2" t="s">
        <v>14</v>
      </c>
      <c r="T608" s="2" t="s">
        <v>16964</v>
      </c>
    </row>
    <row r="609" spans="1:24" hidden="1">
      <c r="A609" s="3" t="s">
        <v>3834</v>
      </c>
      <c r="B609" s="2">
        <v>6045</v>
      </c>
      <c r="D609" s="66" t="str">
        <f>VLOOKUP("*"&amp;A609&amp;"*",[2]Sheet1!$G$2:$X$1155,18,FALSE)</f>
        <v>ERR10611973</v>
      </c>
      <c r="E609" s="2" t="s">
        <v>118</v>
      </c>
      <c r="F609" s="2" t="s">
        <v>588</v>
      </c>
      <c r="G609" s="2" t="s">
        <v>5</v>
      </c>
      <c r="H609" s="2" t="s">
        <v>2511</v>
      </c>
      <c r="I609" s="2" t="s">
        <v>6</v>
      </c>
      <c r="J609" s="2" t="s">
        <v>366</v>
      </c>
      <c r="K609" s="2" t="s">
        <v>598</v>
      </c>
      <c r="L609" s="2" t="s">
        <v>28</v>
      </c>
      <c r="M609" s="2">
        <v>16</v>
      </c>
      <c r="N609" s="2" t="s">
        <v>9</v>
      </c>
      <c r="T609" s="2" t="s">
        <v>16964</v>
      </c>
    </row>
    <row r="610" spans="1:24" hidden="1">
      <c r="A610" s="3" t="s">
        <v>4197</v>
      </c>
      <c r="B610" s="2">
        <v>6047</v>
      </c>
      <c r="D610" s="66" t="str">
        <f>VLOOKUP("*"&amp;A610&amp;"*",[2]Sheet1!$G$2:$X$1155,18,FALSE)</f>
        <v>ERR10611920</v>
      </c>
      <c r="E610" s="2" t="s">
        <v>118</v>
      </c>
      <c r="F610" s="2" t="s">
        <v>588</v>
      </c>
      <c r="G610" s="2" t="s">
        <v>5</v>
      </c>
      <c r="H610" s="2" t="s">
        <v>2511</v>
      </c>
      <c r="I610" s="2" t="s">
        <v>10</v>
      </c>
      <c r="J610" s="2" t="s">
        <v>12</v>
      </c>
      <c r="K610" s="2" t="s">
        <v>597</v>
      </c>
      <c r="L610" s="2" t="s">
        <v>11</v>
      </c>
      <c r="M610" s="2">
        <v>3</v>
      </c>
      <c r="N610" s="2" t="s">
        <v>14</v>
      </c>
      <c r="T610" s="2" t="s">
        <v>16964</v>
      </c>
    </row>
    <row r="611" spans="1:24" hidden="1">
      <c r="A611" s="3" t="s">
        <v>3051</v>
      </c>
      <c r="B611" s="2">
        <v>6049</v>
      </c>
      <c r="D611" s="66" t="str">
        <f>VLOOKUP("*"&amp;A611&amp;"*",[2]Sheet1!$G$2:$X$1155,18,FALSE)</f>
        <v>ERR10612051</v>
      </c>
      <c r="E611" s="2" t="s">
        <v>118</v>
      </c>
      <c r="F611" s="2" t="s">
        <v>588</v>
      </c>
      <c r="G611" s="2" t="s">
        <v>43</v>
      </c>
      <c r="H611" s="2" t="s">
        <v>2512</v>
      </c>
      <c r="I611" s="2" t="s">
        <v>10</v>
      </c>
      <c r="J611" s="2" t="s">
        <v>12</v>
      </c>
      <c r="K611" s="2" t="s">
        <v>599</v>
      </c>
      <c r="L611" s="2" t="s">
        <v>11</v>
      </c>
      <c r="M611" s="2">
        <v>3016</v>
      </c>
      <c r="N611" s="2" t="s">
        <v>14</v>
      </c>
      <c r="T611" s="2" t="s">
        <v>16963</v>
      </c>
      <c r="X611" s="67" t="s">
        <v>4726</v>
      </c>
    </row>
    <row r="612" spans="1:24" hidden="1">
      <c r="A612" s="3" t="s">
        <v>2904</v>
      </c>
      <c r="B612" s="2">
        <v>6050</v>
      </c>
      <c r="D612" s="66" t="str">
        <f>VLOOKUP("*"&amp;A612&amp;"*",[2]Sheet1!$G$2:$X$1155,18,FALSE)</f>
        <v>ERR10611968</v>
      </c>
      <c r="E612" s="2" t="s">
        <v>118</v>
      </c>
      <c r="F612" s="2" t="s">
        <v>588</v>
      </c>
      <c r="G612" s="2" t="s">
        <v>43</v>
      </c>
      <c r="H612" s="2" t="s">
        <v>2512</v>
      </c>
      <c r="I612" s="2" t="s">
        <v>6</v>
      </c>
      <c r="J612" s="2" t="s">
        <v>8</v>
      </c>
      <c r="K612" s="2" t="s">
        <v>600</v>
      </c>
      <c r="L612" s="2" t="s">
        <v>7</v>
      </c>
      <c r="M612" s="2">
        <v>121</v>
      </c>
      <c r="N612" s="2" t="s">
        <v>9</v>
      </c>
      <c r="T612" s="2" t="s">
        <v>16963</v>
      </c>
      <c r="X612" s="67" t="s">
        <v>4722</v>
      </c>
    </row>
    <row r="613" spans="1:24" hidden="1">
      <c r="A613" s="3" t="s">
        <v>2790</v>
      </c>
      <c r="B613" s="2">
        <v>6052</v>
      </c>
      <c r="D613" s="66" t="str">
        <f>VLOOKUP("*"&amp;A613&amp;"*",[2]Sheet1!$G$2:$X$1155,18,FALSE)</f>
        <v>ERR10611911</v>
      </c>
      <c r="E613" s="2" t="s">
        <v>118</v>
      </c>
      <c r="F613" s="2" t="s">
        <v>588</v>
      </c>
      <c r="G613" s="2" t="s">
        <v>43</v>
      </c>
      <c r="H613" s="2" t="s">
        <v>2512</v>
      </c>
      <c r="I613" s="2" t="s">
        <v>6</v>
      </c>
      <c r="J613" s="2" t="s">
        <v>29</v>
      </c>
      <c r="K613" s="2" t="s">
        <v>66</v>
      </c>
      <c r="L613" s="2" t="s">
        <v>28</v>
      </c>
      <c r="M613" s="2">
        <v>8</v>
      </c>
      <c r="N613" s="2" t="s">
        <v>9</v>
      </c>
      <c r="T613" s="2" t="s">
        <v>16963</v>
      </c>
      <c r="X613" s="67" t="s">
        <v>4726</v>
      </c>
    </row>
    <row r="614" spans="1:24" hidden="1">
      <c r="A614" s="3" t="s">
        <v>2931</v>
      </c>
      <c r="B614" s="2">
        <v>6053</v>
      </c>
      <c r="D614" s="66" t="str">
        <f>VLOOKUP("*"&amp;A614&amp;"*",[2]Sheet1!$G$2:$X$1155,18,FALSE)</f>
        <v>ERR10616666</v>
      </c>
      <c r="E614" s="2" t="s">
        <v>118</v>
      </c>
      <c r="F614" s="2" t="s">
        <v>588</v>
      </c>
      <c r="G614" s="2" t="s">
        <v>43</v>
      </c>
      <c r="H614" s="2" t="s">
        <v>2513</v>
      </c>
      <c r="I614" s="2" t="s">
        <v>6</v>
      </c>
      <c r="J614" s="2" t="s">
        <v>8</v>
      </c>
      <c r="K614" s="2" t="s">
        <v>1183</v>
      </c>
      <c r="L614" s="2" t="s">
        <v>7</v>
      </c>
      <c r="M614" s="2">
        <v>236</v>
      </c>
      <c r="N614" s="2" t="s">
        <v>9</v>
      </c>
      <c r="T614" s="2" t="s">
        <v>16963</v>
      </c>
      <c r="X614" s="67" t="s">
        <v>4722</v>
      </c>
    </row>
    <row r="615" spans="1:24" hidden="1">
      <c r="A615" s="3" t="s">
        <v>2961</v>
      </c>
      <c r="B615" s="2">
        <v>6054</v>
      </c>
      <c r="D615" s="66" t="str">
        <f>VLOOKUP("*"&amp;A615&amp;"*",[2]Sheet1!$G$2:$X$1155,18,FALSE)</f>
        <v>ERR10611941</v>
      </c>
      <c r="E615" s="2" t="s">
        <v>118</v>
      </c>
      <c r="F615" s="2" t="s">
        <v>588</v>
      </c>
      <c r="G615" s="2" t="s">
        <v>43</v>
      </c>
      <c r="H615" s="2" t="s">
        <v>2513</v>
      </c>
      <c r="I615" s="2" t="s">
        <v>6</v>
      </c>
      <c r="J615" s="2" t="s">
        <v>8</v>
      </c>
      <c r="K615" s="2" t="s">
        <v>600</v>
      </c>
      <c r="L615" s="2" t="s">
        <v>7</v>
      </c>
      <c r="M615" s="2">
        <v>121</v>
      </c>
      <c r="N615" s="2" t="s">
        <v>9</v>
      </c>
      <c r="T615" s="2" t="s">
        <v>16963</v>
      </c>
      <c r="X615" s="67" t="s">
        <v>4722</v>
      </c>
    </row>
    <row r="616" spans="1:24" hidden="1">
      <c r="A616" s="3" t="s">
        <v>2943</v>
      </c>
      <c r="B616" s="2">
        <v>6056</v>
      </c>
      <c r="D616" s="66" t="str">
        <f>VLOOKUP("*"&amp;A616&amp;"*",[2]Sheet1!$G$2:$X$1155,18,FALSE)</f>
        <v>ERR10611948</v>
      </c>
      <c r="E616" s="2" t="s">
        <v>118</v>
      </c>
      <c r="F616" s="2" t="s">
        <v>588</v>
      </c>
      <c r="G616" s="2" t="s">
        <v>43</v>
      </c>
      <c r="H616" s="2" t="s">
        <v>2514</v>
      </c>
      <c r="I616" s="2" t="s">
        <v>6</v>
      </c>
      <c r="J616" s="2" t="s">
        <v>8</v>
      </c>
      <c r="K616" s="2" t="s">
        <v>601</v>
      </c>
      <c r="L616" s="2" t="s">
        <v>7</v>
      </c>
      <c r="M616" s="2">
        <v>236</v>
      </c>
      <c r="N616" s="2" t="s">
        <v>9</v>
      </c>
      <c r="T616" s="2" t="s">
        <v>16963</v>
      </c>
      <c r="X616" s="67" t="s">
        <v>4722</v>
      </c>
    </row>
    <row r="617" spans="1:24" hidden="1">
      <c r="A617" s="3" t="s">
        <v>3669</v>
      </c>
      <c r="B617" s="2">
        <v>6057</v>
      </c>
      <c r="D617" s="66" t="str">
        <f>VLOOKUP("*"&amp;A617&amp;"*",[2]Sheet1!$G$2:$X$1155,18,FALSE)</f>
        <v>ERR10611906</v>
      </c>
      <c r="E617" s="2" t="s">
        <v>118</v>
      </c>
      <c r="F617" s="2" t="s">
        <v>588</v>
      </c>
      <c r="G617" s="2" t="s">
        <v>43</v>
      </c>
      <c r="H617" s="2" t="s">
        <v>2515</v>
      </c>
      <c r="I617" s="2" t="s">
        <v>10</v>
      </c>
      <c r="J617" s="2" t="s">
        <v>35</v>
      </c>
      <c r="K617" s="2" t="s">
        <v>602</v>
      </c>
      <c r="L617" s="2" t="s">
        <v>34</v>
      </c>
      <c r="M617" s="2">
        <v>5</v>
      </c>
      <c r="N617" s="2" t="s">
        <v>14</v>
      </c>
      <c r="T617" s="2" t="s">
        <v>16964</v>
      </c>
    </row>
    <row r="618" spans="1:24" hidden="1">
      <c r="A618" s="3" t="s">
        <v>2806</v>
      </c>
      <c r="B618" s="2">
        <v>6060</v>
      </c>
      <c r="D618" s="66" t="str">
        <f>VLOOKUP("*"&amp;A618&amp;"*",[2]Sheet1!$G$2:$X$1155,18,FALSE)</f>
        <v>ERR10611940</v>
      </c>
      <c r="E618" s="2" t="s">
        <v>118</v>
      </c>
      <c r="F618" s="2" t="s">
        <v>588</v>
      </c>
      <c r="G618" s="2" t="s">
        <v>5</v>
      </c>
      <c r="H618" s="2" t="s">
        <v>2516</v>
      </c>
      <c r="I618" s="2" t="s">
        <v>6</v>
      </c>
      <c r="J618" s="2" t="s">
        <v>603</v>
      </c>
      <c r="K618" s="2" t="s">
        <v>604</v>
      </c>
      <c r="L618" s="2" t="s">
        <v>87</v>
      </c>
      <c r="M618" s="2">
        <v>31</v>
      </c>
      <c r="N618" s="2" t="s">
        <v>9</v>
      </c>
      <c r="T618" s="2" t="s">
        <v>16964</v>
      </c>
    </row>
    <row r="619" spans="1:24" hidden="1">
      <c r="A619" s="3" t="s">
        <v>3329</v>
      </c>
      <c r="B619" s="2">
        <v>6061</v>
      </c>
      <c r="D619" s="66" t="str">
        <f>VLOOKUP("*"&amp;A619&amp;"*",[2]Sheet1!$G$2:$X$1155,18,FALSE)</f>
        <v>ERR10611916</v>
      </c>
      <c r="E619" s="2" t="s">
        <v>118</v>
      </c>
      <c r="F619" s="2" t="s">
        <v>588</v>
      </c>
      <c r="G619" s="2" t="s">
        <v>5</v>
      </c>
      <c r="H619" s="2" t="s">
        <v>2517</v>
      </c>
      <c r="I619" s="2" t="s">
        <v>6</v>
      </c>
      <c r="J619" s="2" t="s">
        <v>29</v>
      </c>
      <c r="K619" s="2" t="s">
        <v>66</v>
      </c>
      <c r="L619" s="2" t="s">
        <v>28</v>
      </c>
      <c r="M619" s="2">
        <v>8</v>
      </c>
      <c r="N619" s="2" t="s">
        <v>9</v>
      </c>
      <c r="T619" s="2" t="s">
        <v>16964</v>
      </c>
    </row>
    <row r="620" spans="1:24" hidden="1">
      <c r="A620" s="3" t="s">
        <v>3342</v>
      </c>
      <c r="B620" s="2">
        <v>6062</v>
      </c>
      <c r="D620" s="66" t="str">
        <f>VLOOKUP("*"&amp;A620&amp;"*",[2]Sheet1!$G$2:$X$1155,18,FALSE)</f>
        <v>ERR10611933</v>
      </c>
      <c r="E620" s="2" t="s">
        <v>118</v>
      </c>
      <c r="F620" s="2" t="s">
        <v>588</v>
      </c>
      <c r="G620" s="2" t="s">
        <v>5</v>
      </c>
      <c r="H620" s="2" t="s">
        <v>2518</v>
      </c>
      <c r="I620" s="2" t="s">
        <v>6</v>
      </c>
      <c r="J620" s="2" t="s">
        <v>29</v>
      </c>
      <c r="K620" s="2" t="s">
        <v>605</v>
      </c>
      <c r="L620" s="2" t="s">
        <v>28</v>
      </c>
      <c r="M620" s="2">
        <v>8</v>
      </c>
      <c r="N620" s="2" t="s">
        <v>9</v>
      </c>
      <c r="T620" s="2" t="s">
        <v>16964</v>
      </c>
    </row>
    <row r="621" spans="1:24" hidden="1">
      <c r="A621" s="3" t="s">
        <v>3348</v>
      </c>
      <c r="B621" s="2">
        <v>6063</v>
      </c>
      <c r="D621" s="66" t="str">
        <f>VLOOKUP("*"&amp;A621&amp;"*",[2]Sheet1!$G$2:$X$1155,18,FALSE)</f>
        <v>ERR10611939</v>
      </c>
      <c r="E621" s="2" t="s">
        <v>118</v>
      </c>
      <c r="F621" s="2" t="s">
        <v>588</v>
      </c>
      <c r="G621" s="2" t="s">
        <v>5</v>
      </c>
      <c r="H621" s="2" t="s">
        <v>2519</v>
      </c>
      <c r="I621" s="2" t="s">
        <v>6</v>
      </c>
      <c r="J621" s="2" t="s">
        <v>29</v>
      </c>
      <c r="K621" s="2" t="s">
        <v>605</v>
      </c>
      <c r="L621" s="2" t="s">
        <v>28</v>
      </c>
      <c r="M621" s="2">
        <v>8</v>
      </c>
      <c r="N621" s="2" t="s">
        <v>9</v>
      </c>
      <c r="T621" s="2" t="s">
        <v>16964</v>
      </c>
    </row>
    <row r="622" spans="1:24" hidden="1">
      <c r="A622" s="3" t="s">
        <v>3297</v>
      </c>
      <c r="B622" s="2">
        <v>6064</v>
      </c>
      <c r="D622" s="66" t="str">
        <f>VLOOKUP("*"&amp;A622&amp;"*",[2]Sheet1!$G$2:$X$1155,18,FALSE)</f>
        <v>ERR10611958</v>
      </c>
      <c r="E622" s="2" t="s">
        <v>118</v>
      </c>
      <c r="F622" s="2" t="s">
        <v>588</v>
      </c>
      <c r="G622" s="2" t="s">
        <v>5</v>
      </c>
      <c r="H622" s="2" t="s">
        <v>2520</v>
      </c>
      <c r="I622" s="2" t="s">
        <v>6</v>
      </c>
      <c r="J622" s="2" t="s">
        <v>20</v>
      </c>
      <c r="K622" s="2" t="s">
        <v>606</v>
      </c>
      <c r="L622" s="2" t="s">
        <v>19</v>
      </c>
      <c r="M622" s="2">
        <v>9</v>
      </c>
      <c r="N622" s="2" t="s">
        <v>21</v>
      </c>
      <c r="T622" s="2" t="s">
        <v>16964</v>
      </c>
    </row>
    <row r="623" spans="1:24" hidden="1">
      <c r="A623" s="3" t="s">
        <v>3652</v>
      </c>
      <c r="B623" s="2">
        <v>6065</v>
      </c>
      <c r="D623" s="66" t="str">
        <f>VLOOKUP("*"&amp;A623&amp;"*",[2]Sheet1!$G$2:$X$1155,18,FALSE)</f>
        <v>ERR10611915</v>
      </c>
      <c r="E623" s="2" t="s">
        <v>118</v>
      </c>
      <c r="F623" s="2" t="s">
        <v>588</v>
      </c>
      <c r="G623" s="2" t="s">
        <v>5</v>
      </c>
      <c r="H623" s="2" t="s">
        <v>2514</v>
      </c>
      <c r="I623" s="2" t="s">
        <v>6</v>
      </c>
      <c r="J623" s="2" t="s">
        <v>8</v>
      </c>
      <c r="K623" s="2" t="s">
        <v>607</v>
      </c>
      <c r="L623" s="2" t="s">
        <v>7</v>
      </c>
      <c r="M623" s="2">
        <v>121</v>
      </c>
      <c r="N623" s="2" t="s">
        <v>9</v>
      </c>
      <c r="T623" s="2" t="s">
        <v>16964</v>
      </c>
    </row>
    <row r="624" spans="1:24" hidden="1">
      <c r="A624" s="3" t="s">
        <v>4299</v>
      </c>
      <c r="B624" s="2">
        <v>6066</v>
      </c>
      <c r="D624" s="66" t="str">
        <f>VLOOKUP("*"&amp;A624&amp;"*",[2]Sheet1!$G$2:$X$1155,18,FALSE)</f>
        <v>ERR10611934</v>
      </c>
      <c r="E624" s="2" t="s">
        <v>118</v>
      </c>
      <c r="F624" s="2" t="s">
        <v>588</v>
      </c>
      <c r="G624" s="2" t="s">
        <v>5</v>
      </c>
      <c r="H624" s="2" t="s">
        <v>2521</v>
      </c>
      <c r="I624" s="2" t="s">
        <v>10</v>
      </c>
      <c r="J624" s="2" t="s">
        <v>12</v>
      </c>
      <c r="K624" s="2" t="s">
        <v>608</v>
      </c>
      <c r="L624" s="2" t="s">
        <v>11</v>
      </c>
      <c r="M624" s="2">
        <v>3</v>
      </c>
      <c r="N624" s="2" t="s">
        <v>14</v>
      </c>
      <c r="T624" s="2" t="s">
        <v>16964</v>
      </c>
    </row>
    <row r="625" spans="1:20" hidden="1">
      <c r="A625" s="3" t="s">
        <v>3352</v>
      </c>
      <c r="B625" s="2">
        <v>6067</v>
      </c>
      <c r="D625" s="66" t="str">
        <f>VLOOKUP("*"&amp;A625&amp;"*",[2]Sheet1!$G$2:$X$1155,18,FALSE)</f>
        <v>ERR10611959</v>
      </c>
      <c r="E625" s="2" t="s">
        <v>118</v>
      </c>
      <c r="F625" s="2" t="s">
        <v>588</v>
      </c>
      <c r="G625" s="2" t="s">
        <v>43</v>
      </c>
      <c r="H625" s="2" t="s">
        <v>2514</v>
      </c>
      <c r="I625" s="2" t="s">
        <v>6</v>
      </c>
      <c r="J625" s="2" t="s">
        <v>29</v>
      </c>
      <c r="K625" s="2" t="s">
        <v>66</v>
      </c>
      <c r="L625" s="2" t="s">
        <v>28</v>
      </c>
      <c r="M625" s="2">
        <v>8</v>
      </c>
      <c r="N625" s="2" t="s">
        <v>9</v>
      </c>
      <c r="T625" s="2" t="s">
        <v>16964</v>
      </c>
    </row>
    <row r="626" spans="1:20" hidden="1">
      <c r="A626" s="3" t="s">
        <v>3251</v>
      </c>
      <c r="B626" s="2">
        <v>6069</v>
      </c>
      <c r="D626" s="66" t="str">
        <f>VLOOKUP("*"&amp;A626&amp;"*",[2]Sheet1!$G$2:$X$1155,18,FALSE)</f>
        <v>ERR10611943</v>
      </c>
      <c r="E626" s="2" t="s">
        <v>118</v>
      </c>
      <c r="F626" s="2" t="s">
        <v>588</v>
      </c>
      <c r="G626" s="2" t="s">
        <v>43</v>
      </c>
      <c r="H626" s="2" t="s">
        <v>2522</v>
      </c>
      <c r="I626" s="2" t="s">
        <v>6</v>
      </c>
      <c r="J626" s="2" t="s">
        <v>8</v>
      </c>
      <c r="K626" s="2" t="s">
        <v>609</v>
      </c>
      <c r="L626" s="2" t="s">
        <v>7</v>
      </c>
      <c r="M626" s="2">
        <v>121</v>
      </c>
      <c r="N626" s="2" t="s">
        <v>9</v>
      </c>
      <c r="T626" s="2" t="s">
        <v>16964</v>
      </c>
    </row>
    <row r="627" spans="1:20" hidden="1">
      <c r="A627" s="3" t="s">
        <v>3399</v>
      </c>
      <c r="B627" s="2">
        <v>6070</v>
      </c>
      <c r="D627" s="66" t="str">
        <f>VLOOKUP("*"&amp;A627&amp;"*",[2]Sheet1!$G$2:$X$1155,18,FALSE)</f>
        <v>ERR10611938</v>
      </c>
      <c r="E627" s="2" t="s">
        <v>118</v>
      </c>
      <c r="F627" s="2" t="s">
        <v>588</v>
      </c>
      <c r="G627" s="2" t="s">
        <v>43</v>
      </c>
      <c r="H627" s="2" t="s">
        <v>2523</v>
      </c>
      <c r="I627" s="2" t="s">
        <v>6</v>
      </c>
      <c r="J627" s="2" t="s">
        <v>20</v>
      </c>
      <c r="K627" s="2" t="s">
        <v>606</v>
      </c>
      <c r="L627" s="2" t="s">
        <v>19</v>
      </c>
      <c r="M627" s="2">
        <v>9</v>
      </c>
      <c r="N627" s="2" t="s">
        <v>21</v>
      </c>
      <c r="T627" s="2" t="s">
        <v>16964</v>
      </c>
    </row>
    <row r="628" spans="1:20" hidden="1">
      <c r="A628" s="3" t="s">
        <v>4381</v>
      </c>
      <c r="B628" s="2">
        <v>6071</v>
      </c>
      <c r="D628" s="66" t="str">
        <f>VLOOKUP("*"&amp;A628&amp;"*",[2]Sheet1!$G$2:$X$1155,18,FALSE)</f>
        <v>ERR10611972</v>
      </c>
      <c r="E628" s="2" t="s">
        <v>118</v>
      </c>
      <c r="F628" s="2" t="s">
        <v>588</v>
      </c>
      <c r="G628" s="2" t="s">
        <v>43</v>
      </c>
      <c r="H628" s="2" t="s">
        <v>2514</v>
      </c>
      <c r="I628" s="2" t="s">
        <v>6</v>
      </c>
      <c r="J628" s="2" t="s">
        <v>20</v>
      </c>
      <c r="K628" s="2" t="s">
        <v>4716</v>
      </c>
      <c r="L628" s="2" t="s">
        <v>19</v>
      </c>
      <c r="M628" s="2">
        <v>9</v>
      </c>
      <c r="N628" s="2" t="s">
        <v>21</v>
      </c>
      <c r="T628" s="2" t="s">
        <v>16964</v>
      </c>
    </row>
    <row r="629" spans="1:20" hidden="1">
      <c r="A629" s="3" t="s">
        <v>3401</v>
      </c>
      <c r="B629" s="2">
        <v>6072</v>
      </c>
      <c r="D629" s="66" t="str">
        <f>VLOOKUP("*"&amp;A629&amp;"*",[2]Sheet1!$G$2:$X$1155,18,FALSE)</f>
        <v>ERR10612003</v>
      </c>
      <c r="E629" s="2" t="s">
        <v>118</v>
      </c>
      <c r="F629" s="2" t="s">
        <v>588</v>
      </c>
      <c r="G629" s="2" t="s">
        <v>43</v>
      </c>
      <c r="H629" s="2" t="s">
        <v>2524</v>
      </c>
      <c r="I629" s="2" t="s">
        <v>6</v>
      </c>
      <c r="J629" s="2" t="s">
        <v>20</v>
      </c>
      <c r="K629" s="2" t="s">
        <v>606</v>
      </c>
      <c r="L629" s="2" t="s">
        <v>19</v>
      </c>
      <c r="M629" s="2">
        <v>9</v>
      </c>
      <c r="N629" s="2" t="s">
        <v>21</v>
      </c>
      <c r="T629" s="2" t="s">
        <v>16964</v>
      </c>
    </row>
    <row r="630" spans="1:20" hidden="1">
      <c r="A630" s="3" t="s">
        <v>3977</v>
      </c>
      <c r="B630" s="2">
        <v>6074</v>
      </c>
      <c r="D630" s="66" t="str">
        <f>VLOOKUP("*"&amp;A630&amp;"*",[2]Sheet1!$G$2:$X$1155,18,FALSE)</f>
        <v>ERR10612018</v>
      </c>
      <c r="E630" s="2" t="s">
        <v>118</v>
      </c>
      <c r="F630" s="2" t="s">
        <v>588</v>
      </c>
      <c r="G630" s="2" t="s">
        <v>5</v>
      </c>
      <c r="H630" s="2" t="s">
        <v>2525</v>
      </c>
      <c r="I630" s="2" t="s">
        <v>10</v>
      </c>
      <c r="J630" s="2" t="s">
        <v>266</v>
      </c>
      <c r="K630" s="2" t="s">
        <v>610</v>
      </c>
      <c r="L630" s="2" t="s">
        <v>265</v>
      </c>
      <c r="M630" s="2">
        <v>87</v>
      </c>
      <c r="N630" s="2" t="s">
        <v>14</v>
      </c>
      <c r="T630" s="2" t="s">
        <v>16964</v>
      </c>
    </row>
    <row r="631" spans="1:20" hidden="1">
      <c r="A631" s="3" t="s">
        <v>4404</v>
      </c>
      <c r="B631" s="2">
        <v>6075</v>
      </c>
      <c r="D631" s="66" t="str">
        <f>VLOOKUP("*"&amp;A631&amp;"*",[2]Sheet1!$G$2:$X$1155,18,FALSE)</f>
        <v>ERR10611947</v>
      </c>
      <c r="E631" s="2" t="s">
        <v>118</v>
      </c>
      <c r="F631" s="2" t="s">
        <v>588</v>
      </c>
      <c r="G631" s="2" t="s">
        <v>43</v>
      </c>
      <c r="H631" s="2" t="s">
        <v>2526</v>
      </c>
      <c r="I631" s="2" t="s">
        <v>6</v>
      </c>
      <c r="J631" s="2" t="s">
        <v>8</v>
      </c>
      <c r="K631" s="2" t="s">
        <v>611</v>
      </c>
      <c r="L631" s="2" t="s">
        <v>7</v>
      </c>
      <c r="M631" s="2">
        <v>121</v>
      </c>
      <c r="N631" s="2" t="s">
        <v>9</v>
      </c>
      <c r="T631" s="2" t="s">
        <v>16964</v>
      </c>
    </row>
    <row r="632" spans="1:20" hidden="1">
      <c r="A632" s="3" t="s">
        <v>3223</v>
      </c>
      <c r="B632" s="2">
        <v>6076</v>
      </c>
      <c r="D632" s="66" t="str">
        <f>VLOOKUP("*"&amp;A632&amp;"*",[2]Sheet1!$G$2:$X$1155,18,FALSE)</f>
        <v>ERR10611967</v>
      </c>
      <c r="E632" s="2" t="s">
        <v>118</v>
      </c>
      <c r="F632" s="2" t="s">
        <v>588</v>
      </c>
      <c r="G632" s="2" t="s">
        <v>43</v>
      </c>
      <c r="H632" s="2" t="s">
        <v>2527</v>
      </c>
      <c r="I632" s="2" t="s">
        <v>6</v>
      </c>
      <c r="J632" s="2" t="s">
        <v>20</v>
      </c>
      <c r="K632" s="2" t="s">
        <v>612</v>
      </c>
      <c r="L632" s="2" t="s">
        <v>19</v>
      </c>
      <c r="M632" s="2">
        <v>9</v>
      </c>
      <c r="N632" s="2" t="s">
        <v>21</v>
      </c>
      <c r="T632" s="2" t="s">
        <v>16964</v>
      </c>
    </row>
    <row r="633" spans="1:20" hidden="1">
      <c r="A633" s="3" t="s">
        <v>3296</v>
      </c>
      <c r="B633" s="2">
        <v>6077</v>
      </c>
      <c r="D633" s="66" t="str">
        <f>VLOOKUP("*"&amp;A633&amp;"*",[2]Sheet1!$G$2:$X$1155,18,FALSE)</f>
        <v>ERR10611946</v>
      </c>
      <c r="E633" s="2" t="s">
        <v>118</v>
      </c>
      <c r="F633" s="2" t="s">
        <v>588</v>
      </c>
      <c r="G633" s="2" t="s">
        <v>43</v>
      </c>
      <c r="H633" s="2" t="s">
        <v>2522</v>
      </c>
      <c r="I633" s="2" t="s">
        <v>6</v>
      </c>
      <c r="J633" s="2" t="s">
        <v>20</v>
      </c>
      <c r="K633" s="2" t="s">
        <v>606</v>
      </c>
      <c r="L633" s="2" t="s">
        <v>19</v>
      </c>
      <c r="M633" s="2">
        <v>9</v>
      </c>
      <c r="N633" s="2" t="s">
        <v>21</v>
      </c>
      <c r="T633" s="2" t="s">
        <v>16964</v>
      </c>
    </row>
    <row r="634" spans="1:20" hidden="1">
      <c r="A634" s="3" t="s">
        <v>4298</v>
      </c>
      <c r="B634" s="2">
        <v>6078</v>
      </c>
      <c r="D634" s="66" t="str">
        <f>VLOOKUP("*"&amp;A634&amp;"*",[2]Sheet1!$G$2:$X$1155,18,FALSE)</f>
        <v>ERR10611923</v>
      </c>
      <c r="E634" s="2" t="s">
        <v>118</v>
      </c>
      <c r="F634" s="2" t="s">
        <v>588</v>
      </c>
      <c r="G634" s="2" t="s">
        <v>5</v>
      </c>
      <c r="H634" s="2" t="s">
        <v>2528</v>
      </c>
      <c r="I634" s="2" t="s">
        <v>10</v>
      </c>
      <c r="J634" s="2" t="s">
        <v>12</v>
      </c>
      <c r="K634" s="2" t="s">
        <v>613</v>
      </c>
      <c r="L634" s="2" t="s">
        <v>11</v>
      </c>
      <c r="M634" s="2">
        <v>3017</v>
      </c>
      <c r="N634" s="2" t="s">
        <v>14</v>
      </c>
      <c r="T634" s="2" t="s">
        <v>16964</v>
      </c>
    </row>
    <row r="635" spans="1:20" hidden="1">
      <c r="A635" s="3" t="s">
        <v>3321</v>
      </c>
      <c r="B635" s="2">
        <v>6080</v>
      </c>
      <c r="D635" s="66" t="str">
        <f>VLOOKUP("*"&amp;A635&amp;"*",[2]Sheet1!$G$2:$X$1155,18,FALSE)</f>
        <v>ERR10618401</v>
      </c>
      <c r="E635" s="2" t="s">
        <v>118</v>
      </c>
      <c r="F635" s="2" t="s">
        <v>588</v>
      </c>
      <c r="G635" s="2" t="s">
        <v>43</v>
      </c>
      <c r="H635" s="2" t="s">
        <v>2514</v>
      </c>
      <c r="I635" s="2" t="s">
        <v>6</v>
      </c>
      <c r="J635" s="2" t="s">
        <v>29</v>
      </c>
      <c r="K635" s="2" t="s">
        <v>614</v>
      </c>
      <c r="L635" s="2" t="s">
        <v>28</v>
      </c>
      <c r="M635" s="2">
        <v>8</v>
      </c>
      <c r="N635" s="2" t="s">
        <v>9</v>
      </c>
      <c r="T635" s="2" t="s">
        <v>16964</v>
      </c>
    </row>
    <row r="636" spans="1:20" hidden="1">
      <c r="A636" s="3" t="s">
        <v>3702</v>
      </c>
      <c r="B636" s="2">
        <v>6082</v>
      </c>
      <c r="D636" s="66" t="str">
        <f>VLOOKUP("*"&amp;A636&amp;"*",[2]Sheet1!$G$2:$X$1155,18,FALSE)</f>
        <v>ERR10549659</v>
      </c>
      <c r="E636" s="2" t="s">
        <v>118</v>
      </c>
      <c r="F636" s="2" t="s">
        <v>588</v>
      </c>
      <c r="G636" s="2" t="s">
        <v>5</v>
      </c>
      <c r="H636" s="2" t="s">
        <v>2511</v>
      </c>
      <c r="I636" s="2" t="s">
        <v>6</v>
      </c>
      <c r="J636" s="2" t="s">
        <v>366</v>
      </c>
      <c r="K636" s="2" t="s">
        <v>598</v>
      </c>
      <c r="L636" s="2" t="s">
        <v>28</v>
      </c>
      <c r="M636" s="2">
        <v>16</v>
      </c>
      <c r="N636" s="2" t="s">
        <v>9</v>
      </c>
      <c r="T636" s="2" t="s">
        <v>16964</v>
      </c>
    </row>
    <row r="637" spans="1:20" hidden="1">
      <c r="A637" s="3" t="s">
        <v>4407</v>
      </c>
      <c r="B637" s="2">
        <v>6083</v>
      </c>
      <c r="D637" s="66" t="str">
        <f>VLOOKUP("*"&amp;A637&amp;"*",[2]Sheet1!$G$2:$X$1155,18,FALSE)</f>
        <v>ERR10549675</v>
      </c>
      <c r="E637" s="2" t="s">
        <v>118</v>
      </c>
      <c r="F637" s="2" t="s">
        <v>588</v>
      </c>
      <c r="G637" s="2" t="s">
        <v>5</v>
      </c>
      <c r="H637" s="2" t="s">
        <v>2529</v>
      </c>
      <c r="I637" s="2" t="s">
        <v>6</v>
      </c>
      <c r="J637" s="2" t="s">
        <v>8</v>
      </c>
      <c r="K637" s="2" t="s">
        <v>611</v>
      </c>
      <c r="L637" s="2" t="s">
        <v>7</v>
      </c>
      <c r="M637" s="2">
        <v>121</v>
      </c>
      <c r="N637" s="2" t="s">
        <v>9</v>
      </c>
      <c r="T637" s="2" t="s">
        <v>16964</v>
      </c>
    </row>
    <row r="638" spans="1:20" hidden="1">
      <c r="A638" s="3" t="s">
        <v>4131</v>
      </c>
      <c r="B638" s="2">
        <v>6084</v>
      </c>
      <c r="D638" s="66" t="str">
        <f>VLOOKUP("*"&amp;A638&amp;"*",[2]Sheet1!$G$2:$X$1155,18,FALSE)</f>
        <v>ERR10549690</v>
      </c>
      <c r="E638" s="2" t="s">
        <v>118</v>
      </c>
      <c r="F638" s="2" t="s">
        <v>588</v>
      </c>
      <c r="G638" s="2" t="s">
        <v>5</v>
      </c>
      <c r="H638" s="2" t="s">
        <v>2530</v>
      </c>
      <c r="I638" s="2" t="s">
        <v>10</v>
      </c>
      <c r="J638" s="2" t="s">
        <v>616</v>
      </c>
      <c r="K638" s="2" t="s">
        <v>617</v>
      </c>
      <c r="L638" s="2" t="s">
        <v>615</v>
      </c>
      <c r="M638" s="2">
        <v>736</v>
      </c>
      <c r="N638" s="2" t="s">
        <v>14</v>
      </c>
      <c r="T638" s="2" t="s">
        <v>16964</v>
      </c>
    </row>
    <row r="639" spans="1:20" hidden="1">
      <c r="A639" s="3" t="s">
        <v>3682</v>
      </c>
      <c r="B639" s="2">
        <v>6085</v>
      </c>
      <c r="D639" s="66" t="str">
        <f>VLOOKUP("*"&amp;A639&amp;"*",[2]Sheet1!$G$2:$X$1155,18,FALSE)</f>
        <v>ERR10549668</v>
      </c>
      <c r="E639" s="2" t="s">
        <v>118</v>
      </c>
      <c r="F639" s="2" t="s">
        <v>588</v>
      </c>
      <c r="G639" s="2" t="s">
        <v>5</v>
      </c>
      <c r="H639" s="2" t="s">
        <v>2531</v>
      </c>
      <c r="I639" s="2" t="s">
        <v>6</v>
      </c>
      <c r="J639" s="2" t="s">
        <v>88</v>
      </c>
      <c r="K639" s="2" t="s">
        <v>618</v>
      </c>
      <c r="L639" s="2" t="s">
        <v>87</v>
      </c>
      <c r="M639" s="2">
        <v>31</v>
      </c>
      <c r="N639" s="2" t="s">
        <v>9</v>
      </c>
      <c r="T639" s="2" t="s">
        <v>16964</v>
      </c>
    </row>
    <row r="640" spans="1:20" hidden="1">
      <c r="A640" s="3" t="s">
        <v>3325</v>
      </c>
      <c r="B640" s="2">
        <v>6086</v>
      </c>
      <c r="D640" s="66" t="str">
        <f>VLOOKUP("*"&amp;A640&amp;"*",[2]Sheet1!$G$2:$X$1155,18,FALSE)</f>
        <v>ERR10549660</v>
      </c>
      <c r="E640" s="2" t="s">
        <v>118</v>
      </c>
      <c r="F640" s="2" t="s">
        <v>588</v>
      </c>
      <c r="G640" s="2" t="s">
        <v>5</v>
      </c>
      <c r="H640" s="2" t="s">
        <v>2531</v>
      </c>
      <c r="I640" s="2" t="s">
        <v>6</v>
      </c>
      <c r="J640" s="2" t="s">
        <v>29</v>
      </c>
      <c r="K640" s="2" t="s">
        <v>66</v>
      </c>
      <c r="L640" s="2" t="s">
        <v>28</v>
      </c>
      <c r="M640" s="2">
        <v>8</v>
      </c>
      <c r="N640" s="2" t="s">
        <v>9</v>
      </c>
      <c r="T640" s="2" t="s">
        <v>16964</v>
      </c>
    </row>
    <row r="641" spans="1:24" hidden="1">
      <c r="A641" s="3" t="s">
        <v>3316</v>
      </c>
      <c r="B641" s="2">
        <v>6087</v>
      </c>
      <c r="D641" s="66" t="str">
        <f>VLOOKUP("*"&amp;A641&amp;"*",[2]Sheet1!$G$2:$X$1155,18,FALSE)</f>
        <v>ERR10549662</v>
      </c>
      <c r="E641" s="2" t="s">
        <v>118</v>
      </c>
      <c r="F641" s="2" t="s">
        <v>588</v>
      </c>
      <c r="G641" s="2" t="s">
        <v>5</v>
      </c>
      <c r="H641" s="2" t="s">
        <v>2531</v>
      </c>
      <c r="I641" s="2" t="s">
        <v>6</v>
      </c>
      <c r="J641" s="2" t="s">
        <v>29</v>
      </c>
      <c r="K641" s="2" t="s">
        <v>66</v>
      </c>
      <c r="L641" s="2" t="s">
        <v>28</v>
      </c>
      <c r="M641" s="2">
        <v>8</v>
      </c>
      <c r="N641" s="2" t="s">
        <v>9</v>
      </c>
      <c r="T641" s="2" t="s">
        <v>16964</v>
      </c>
    </row>
    <row r="642" spans="1:24" hidden="1">
      <c r="A642" s="3" t="s">
        <v>3326</v>
      </c>
      <c r="B642" s="2">
        <v>6089</v>
      </c>
      <c r="D642" s="66" t="str">
        <f>VLOOKUP("*"&amp;A642&amp;"*",[2]Sheet1!$G$2:$X$1155,18,FALSE)</f>
        <v>ERR10549670</v>
      </c>
      <c r="E642" s="2" t="s">
        <v>118</v>
      </c>
      <c r="F642" s="2" t="s">
        <v>588</v>
      </c>
      <c r="G642" s="2" t="s">
        <v>5</v>
      </c>
      <c r="H642" s="2" t="s">
        <v>2531</v>
      </c>
      <c r="I642" s="2" t="s">
        <v>6</v>
      </c>
      <c r="J642" s="2" t="s">
        <v>29</v>
      </c>
      <c r="K642" s="2" t="s">
        <v>66</v>
      </c>
      <c r="L642" s="2" t="s">
        <v>28</v>
      </c>
      <c r="M642" s="2">
        <v>8</v>
      </c>
      <c r="N642" s="2" t="s">
        <v>9</v>
      </c>
      <c r="T642" s="2" t="s">
        <v>16964</v>
      </c>
    </row>
    <row r="643" spans="1:24" hidden="1">
      <c r="A643" s="3" t="s">
        <v>3126</v>
      </c>
      <c r="B643" s="2">
        <v>6091</v>
      </c>
      <c r="D643" s="66" t="str">
        <f>VLOOKUP("*"&amp;A643&amp;"*",[2]Sheet1!$G$2:$X$1155,18,FALSE)</f>
        <v>ERR10549652</v>
      </c>
      <c r="E643" s="2" t="s">
        <v>118</v>
      </c>
      <c r="F643" s="2" t="s">
        <v>588</v>
      </c>
      <c r="G643" s="2" t="s">
        <v>5</v>
      </c>
      <c r="H643" s="2" t="s">
        <v>2532</v>
      </c>
      <c r="I643" s="2" t="s">
        <v>10</v>
      </c>
      <c r="J643" s="2" t="s">
        <v>59</v>
      </c>
      <c r="K643" s="2" t="s">
        <v>68</v>
      </c>
      <c r="L643" s="2" t="s">
        <v>58</v>
      </c>
      <c r="M643" s="2">
        <v>6</v>
      </c>
      <c r="N643" s="2" t="s">
        <v>18</v>
      </c>
      <c r="T643" s="2" t="s">
        <v>16963</v>
      </c>
      <c r="V643" s="67" t="s">
        <v>2627</v>
      </c>
    </row>
    <row r="644" spans="1:24" hidden="1">
      <c r="A644" s="3" t="s">
        <v>3350</v>
      </c>
      <c r="B644" s="2">
        <v>6092</v>
      </c>
      <c r="D644" s="66" t="str">
        <f>VLOOKUP("*"&amp;A644&amp;"*",[2]Sheet1!$G$2:$X$1155,18,FALSE)</f>
        <v>ERR10549694</v>
      </c>
      <c r="E644" s="2" t="s">
        <v>118</v>
      </c>
      <c r="F644" s="2" t="s">
        <v>588</v>
      </c>
      <c r="G644" s="2" t="s">
        <v>5</v>
      </c>
      <c r="H644" s="2" t="s">
        <v>2531</v>
      </c>
      <c r="I644" s="2" t="s">
        <v>6</v>
      </c>
      <c r="J644" s="2" t="s">
        <v>29</v>
      </c>
      <c r="K644" s="2" t="s">
        <v>619</v>
      </c>
      <c r="L644" s="2" t="s">
        <v>28</v>
      </c>
      <c r="M644" s="2">
        <v>8</v>
      </c>
      <c r="N644" s="2" t="s">
        <v>9</v>
      </c>
      <c r="T644" s="2" t="s">
        <v>16964</v>
      </c>
    </row>
    <row r="645" spans="1:24" hidden="1">
      <c r="A645" s="3" t="s">
        <v>3021</v>
      </c>
      <c r="B645" s="2">
        <v>6094</v>
      </c>
      <c r="D645" s="66" t="str">
        <f>VLOOKUP("*"&amp;A645&amp;"*",[2]Sheet1!$G$2:$X$1155,18,FALSE)</f>
        <v>ERR10549640</v>
      </c>
      <c r="E645" s="2" t="s">
        <v>118</v>
      </c>
      <c r="F645" s="2" t="s">
        <v>588</v>
      </c>
      <c r="G645" s="2" t="s">
        <v>5</v>
      </c>
      <c r="H645" s="2" t="s">
        <v>2532</v>
      </c>
      <c r="I645" s="2" t="s">
        <v>10</v>
      </c>
      <c r="J645" s="2" t="s">
        <v>59</v>
      </c>
      <c r="K645" s="2" t="s">
        <v>68</v>
      </c>
      <c r="L645" s="2" t="s">
        <v>58</v>
      </c>
      <c r="M645" s="2">
        <v>6</v>
      </c>
      <c r="N645" s="2" t="s">
        <v>18</v>
      </c>
      <c r="T645" s="2" t="s">
        <v>16963</v>
      </c>
      <c r="V645" s="67" t="s">
        <v>2627</v>
      </c>
    </row>
    <row r="646" spans="1:24" hidden="1">
      <c r="A646" s="3" t="s">
        <v>3019</v>
      </c>
      <c r="B646" s="2">
        <v>6095</v>
      </c>
      <c r="D646" s="66" t="str">
        <f>VLOOKUP("*"&amp;A646&amp;"*",[2]Sheet1!$G$2:$X$1155,18,FALSE)</f>
        <v>ERR10549637</v>
      </c>
      <c r="E646" s="2" t="s">
        <v>118</v>
      </c>
      <c r="F646" s="2" t="s">
        <v>588</v>
      </c>
      <c r="G646" s="2" t="s">
        <v>5</v>
      </c>
      <c r="H646" s="2" t="s">
        <v>2531</v>
      </c>
      <c r="I646" s="2" t="s">
        <v>10</v>
      </c>
      <c r="J646" s="2" t="s">
        <v>59</v>
      </c>
      <c r="K646" s="2" t="s">
        <v>68</v>
      </c>
      <c r="L646" s="2" t="s">
        <v>58</v>
      </c>
      <c r="M646" s="2">
        <v>6</v>
      </c>
      <c r="N646" s="2" t="s">
        <v>18</v>
      </c>
      <c r="T646" s="2" t="s">
        <v>16963</v>
      </c>
      <c r="V646" s="67" t="s">
        <v>2627</v>
      </c>
    </row>
    <row r="647" spans="1:24" hidden="1">
      <c r="A647" s="3" t="s">
        <v>3120</v>
      </c>
      <c r="B647" s="2">
        <v>6097</v>
      </c>
      <c r="D647" s="66" t="str">
        <f>VLOOKUP("*"&amp;A647&amp;"*",[2]Sheet1!$G$2:$X$1155,18,FALSE)</f>
        <v>ERR10549651</v>
      </c>
      <c r="E647" s="2" t="s">
        <v>118</v>
      </c>
      <c r="F647" s="2" t="s">
        <v>588</v>
      </c>
      <c r="G647" s="2" t="s">
        <v>5</v>
      </c>
      <c r="H647" s="2" t="s">
        <v>2531</v>
      </c>
      <c r="I647" s="2" t="s">
        <v>10</v>
      </c>
      <c r="J647" s="2" t="s">
        <v>59</v>
      </c>
      <c r="K647" s="2" t="s">
        <v>68</v>
      </c>
      <c r="L647" s="2" t="s">
        <v>58</v>
      </c>
      <c r="M647" s="2">
        <v>6</v>
      </c>
      <c r="N647" s="2" t="s">
        <v>18</v>
      </c>
      <c r="T647" s="2" t="s">
        <v>16963</v>
      </c>
      <c r="V647" s="67" t="s">
        <v>2627</v>
      </c>
    </row>
    <row r="648" spans="1:24" hidden="1">
      <c r="A648" s="3" t="s">
        <v>3018</v>
      </c>
      <c r="B648" s="2">
        <v>6098</v>
      </c>
      <c r="D648" s="66" t="str">
        <f>VLOOKUP("*"&amp;A648&amp;"*",[2]Sheet1!$G$2:$X$1155,18,FALSE)</f>
        <v>ERR10549639</v>
      </c>
      <c r="E648" s="2" t="s">
        <v>118</v>
      </c>
      <c r="F648" s="2" t="s">
        <v>588</v>
      </c>
      <c r="G648" s="2" t="s">
        <v>5</v>
      </c>
      <c r="H648" s="2" t="s">
        <v>2531</v>
      </c>
      <c r="I648" s="2" t="s">
        <v>10</v>
      </c>
      <c r="J648" s="2" t="s">
        <v>59</v>
      </c>
      <c r="K648" s="2" t="s">
        <v>68</v>
      </c>
      <c r="L648" s="2" t="s">
        <v>58</v>
      </c>
      <c r="M648" s="2">
        <v>6</v>
      </c>
      <c r="N648" s="2" t="s">
        <v>18</v>
      </c>
      <c r="T648" s="2" t="s">
        <v>16963</v>
      </c>
      <c r="V648" s="67" t="s">
        <v>2627</v>
      </c>
    </row>
    <row r="649" spans="1:24" hidden="1">
      <c r="A649" s="3" t="s">
        <v>3020</v>
      </c>
      <c r="B649" s="2">
        <v>6099</v>
      </c>
      <c r="D649" s="66" t="str">
        <f>VLOOKUP("*"&amp;A649&amp;"*",[2]Sheet1!$G$2:$X$1155,18,FALSE)</f>
        <v>ERR10549667</v>
      </c>
      <c r="E649" s="2" t="s">
        <v>118</v>
      </c>
      <c r="F649" s="2" t="s">
        <v>588</v>
      </c>
      <c r="G649" s="2" t="s">
        <v>5</v>
      </c>
      <c r="H649" s="2" t="s">
        <v>2531</v>
      </c>
      <c r="I649" s="2" t="s">
        <v>10</v>
      </c>
      <c r="J649" s="2" t="s">
        <v>59</v>
      </c>
      <c r="K649" s="2" t="s">
        <v>68</v>
      </c>
      <c r="L649" s="2" t="s">
        <v>58</v>
      </c>
      <c r="M649" s="2">
        <v>6</v>
      </c>
      <c r="N649" s="2" t="s">
        <v>18</v>
      </c>
      <c r="T649" s="2" t="s">
        <v>16963</v>
      </c>
      <c r="V649" s="67" t="s">
        <v>2627</v>
      </c>
    </row>
    <row r="650" spans="1:24" hidden="1">
      <c r="A650" s="3" t="s">
        <v>2966</v>
      </c>
      <c r="B650" s="2">
        <v>6100</v>
      </c>
      <c r="D650" s="66" t="str">
        <f>VLOOKUP("*"&amp;A650&amp;"*",[2]Sheet1!$G$2:$X$1155,18,FALSE)</f>
        <v>ERR10549697</v>
      </c>
      <c r="E650" s="2" t="s">
        <v>118</v>
      </c>
      <c r="F650" s="2" t="s">
        <v>588</v>
      </c>
      <c r="G650" s="2" t="s">
        <v>5</v>
      </c>
      <c r="H650" s="2" t="s">
        <v>2533</v>
      </c>
      <c r="I650" s="2" t="s">
        <v>6</v>
      </c>
      <c r="J650" s="2" t="s">
        <v>8</v>
      </c>
      <c r="K650" s="2" t="s">
        <v>620</v>
      </c>
      <c r="L650" s="2" t="s">
        <v>7</v>
      </c>
      <c r="M650" s="2">
        <v>121</v>
      </c>
      <c r="N650" s="2" t="s">
        <v>9</v>
      </c>
      <c r="T650" s="2" t="s">
        <v>16963</v>
      </c>
      <c r="X650" s="67" t="s">
        <v>4722</v>
      </c>
    </row>
    <row r="651" spans="1:24" hidden="1">
      <c r="A651" s="3" t="s">
        <v>2912</v>
      </c>
      <c r="B651" s="2">
        <v>6102</v>
      </c>
      <c r="D651" s="66" t="str">
        <f>VLOOKUP("*"&amp;A651&amp;"*",[2]Sheet1!$G$2:$X$1155,18,FALSE)</f>
        <v>ERR10549671</v>
      </c>
      <c r="E651" s="2" t="s">
        <v>118</v>
      </c>
      <c r="F651" s="2" t="s">
        <v>588</v>
      </c>
      <c r="G651" s="2" t="s">
        <v>5</v>
      </c>
      <c r="H651" s="2" t="s">
        <v>2531</v>
      </c>
      <c r="I651" s="2" t="s">
        <v>6</v>
      </c>
      <c r="J651" s="2" t="s">
        <v>8</v>
      </c>
      <c r="K651" s="2" t="s">
        <v>620</v>
      </c>
      <c r="L651" s="2" t="s">
        <v>7</v>
      </c>
      <c r="M651" s="2">
        <v>121</v>
      </c>
      <c r="N651" s="2" t="s">
        <v>9</v>
      </c>
      <c r="T651" s="2" t="s">
        <v>16963</v>
      </c>
      <c r="X651" s="67" t="s">
        <v>4722</v>
      </c>
    </row>
    <row r="652" spans="1:24" hidden="1">
      <c r="A652" s="3" t="s">
        <v>3338</v>
      </c>
      <c r="B652" s="2">
        <v>6103</v>
      </c>
      <c r="D652" s="66" t="str">
        <f>VLOOKUP("*"&amp;A652&amp;"*",[2]Sheet1!$G$2:$X$1155,18,FALSE)</f>
        <v>ERR10549658</v>
      </c>
      <c r="E652" s="2" t="s">
        <v>118</v>
      </c>
      <c r="F652" s="2" t="s">
        <v>588</v>
      </c>
      <c r="G652" s="2" t="s">
        <v>5</v>
      </c>
      <c r="H652" s="2" t="s">
        <v>2534</v>
      </c>
      <c r="I652" s="2" t="s">
        <v>6</v>
      </c>
      <c r="J652" s="2" t="s">
        <v>29</v>
      </c>
      <c r="K652" s="2" t="s">
        <v>605</v>
      </c>
      <c r="L652" s="2" t="s">
        <v>28</v>
      </c>
      <c r="M652" s="2">
        <v>8</v>
      </c>
      <c r="N652" s="2" t="s">
        <v>9</v>
      </c>
      <c r="T652" s="2" t="s">
        <v>16964</v>
      </c>
    </row>
    <row r="653" spans="1:24" hidden="1">
      <c r="A653" s="3" t="s">
        <v>2963</v>
      </c>
      <c r="B653" s="2">
        <v>6104</v>
      </c>
      <c r="D653" s="66" t="str">
        <f>VLOOKUP("*"&amp;A653&amp;"*",[2]Sheet1!$G$2:$X$1155,18,FALSE)</f>
        <v>ERR10549678</v>
      </c>
      <c r="E653" s="2" t="s">
        <v>118</v>
      </c>
      <c r="F653" s="2" t="s">
        <v>588</v>
      </c>
      <c r="G653" s="2" t="s">
        <v>5</v>
      </c>
      <c r="H653" s="2" t="s">
        <v>2517</v>
      </c>
      <c r="I653" s="2" t="s">
        <v>6</v>
      </c>
      <c r="J653" s="2" t="s">
        <v>8</v>
      </c>
      <c r="K653" s="2" t="s">
        <v>621</v>
      </c>
      <c r="L653" s="2" t="s">
        <v>7</v>
      </c>
      <c r="M653" s="2">
        <v>121</v>
      </c>
      <c r="N653" s="2" t="s">
        <v>9</v>
      </c>
      <c r="T653" s="2" t="s">
        <v>16963</v>
      </c>
      <c r="X653" s="67" t="s">
        <v>4722</v>
      </c>
    </row>
    <row r="654" spans="1:24" hidden="1">
      <c r="A654" s="3" t="s">
        <v>2964</v>
      </c>
      <c r="B654" s="2">
        <v>6105</v>
      </c>
      <c r="D654" s="66" t="str">
        <f>VLOOKUP("*"&amp;A654&amp;"*",[2]Sheet1!$G$2:$X$1155,18,FALSE)</f>
        <v>ERR10549644</v>
      </c>
      <c r="E654" s="2" t="s">
        <v>118</v>
      </c>
      <c r="F654" s="2" t="s">
        <v>588</v>
      </c>
      <c r="G654" s="2" t="s">
        <v>5</v>
      </c>
      <c r="H654" s="2" t="s">
        <v>2535</v>
      </c>
      <c r="I654" s="2" t="s">
        <v>6</v>
      </c>
      <c r="J654" s="2" t="s">
        <v>8</v>
      </c>
      <c r="K654" s="2" t="s">
        <v>621</v>
      </c>
      <c r="L654" s="2" t="s">
        <v>7</v>
      </c>
      <c r="M654" s="2">
        <v>121</v>
      </c>
      <c r="N654" s="2" t="s">
        <v>9</v>
      </c>
      <c r="T654" s="2" t="s">
        <v>16963</v>
      </c>
      <c r="X654" s="67" t="s">
        <v>4722</v>
      </c>
    </row>
    <row r="655" spans="1:24" hidden="1">
      <c r="A655" s="3" t="s">
        <v>3355</v>
      </c>
      <c r="B655" s="2">
        <v>6106</v>
      </c>
      <c r="D655" s="66" t="str">
        <f>VLOOKUP("*"&amp;A655&amp;"*",[2]Sheet1!$G$2:$X$1155,18,FALSE)</f>
        <v>ERR10549647</v>
      </c>
      <c r="E655" s="2" t="s">
        <v>118</v>
      </c>
      <c r="F655" s="2" t="s">
        <v>588</v>
      </c>
      <c r="G655" s="2" t="s">
        <v>5</v>
      </c>
      <c r="H655" s="2" t="s">
        <v>2517</v>
      </c>
      <c r="I655" s="2" t="s">
        <v>6</v>
      </c>
      <c r="J655" s="2" t="s">
        <v>29</v>
      </c>
      <c r="K655" s="2" t="s">
        <v>622</v>
      </c>
      <c r="L655" s="2" t="s">
        <v>28</v>
      </c>
      <c r="M655" s="2">
        <v>8</v>
      </c>
      <c r="N655" s="2" t="s">
        <v>9</v>
      </c>
      <c r="T655" s="2" t="s">
        <v>16964</v>
      </c>
    </row>
    <row r="656" spans="1:24" hidden="1">
      <c r="A656" s="3" t="s">
        <v>3030</v>
      </c>
      <c r="B656" s="2">
        <v>6107</v>
      </c>
      <c r="D656" s="66" t="str">
        <f>VLOOKUP("*"&amp;A656&amp;"*",[2]Sheet1!$G$2:$X$1155,18,FALSE)</f>
        <v>ERR10549653</v>
      </c>
      <c r="E656" s="2" t="s">
        <v>118</v>
      </c>
      <c r="F656" s="2" t="s">
        <v>588</v>
      </c>
      <c r="G656" s="2" t="s">
        <v>5</v>
      </c>
      <c r="H656" s="2" t="s">
        <v>2517</v>
      </c>
      <c r="I656" s="2" t="s">
        <v>6</v>
      </c>
      <c r="J656" s="2" t="s">
        <v>8</v>
      </c>
      <c r="K656" s="2" t="s">
        <v>623</v>
      </c>
      <c r="L656" s="2" t="s">
        <v>7</v>
      </c>
      <c r="M656" s="2">
        <v>236</v>
      </c>
      <c r="N656" s="2" t="s">
        <v>9</v>
      </c>
      <c r="T656" s="2" t="s">
        <v>16963</v>
      </c>
      <c r="X656" s="67" t="s">
        <v>4722</v>
      </c>
    </row>
    <row r="657" spans="1:24" hidden="1">
      <c r="A657" s="3" t="s">
        <v>2962</v>
      </c>
      <c r="B657" s="2">
        <v>6108</v>
      </c>
      <c r="D657" s="66" t="str">
        <f>VLOOKUP("*"&amp;A657&amp;"*",[2]Sheet1!$G$2:$X$1155,18,FALSE)</f>
        <v>ERR10549674</v>
      </c>
      <c r="E657" s="2" t="s">
        <v>118</v>
      </c>
      <c r="F657" s="2" t="s">
        <v>588</v>
      </c>
      <c r="G657" s="2" t="s">
        <v>5</v>
      </c>
      <c r="H657" s="2" t="s">
        <v>2536</v>
      </c>
      <c r="I657" s="2" t="s">
        <v>6</v>
      </c>
      <c r="J657" s="2" t="s">
        <v>8</v>
      </c>
      <c r="K657" s="2" t="s">
        <v>600</v>
      </c>
      <c r="L657" s="2" t="s">
        <v>7</v>
      </c>
      <c r="M657" s="2">
        <v>121</v>
      </c>
      <c r="N657" s="2" t="s">
        <v>9</v>
      </c>
      <c r="T657" s="2" t="s">
        <v>16963</v>
      </c>
      <c r="X657" s="67" t="s">
        <v>4722</v>
      </c>
    </row>
    <row r="658" spans="1:24" hidden="1">
      <c r="A658" s="3" t="s">
        <v>4406</v>
      </c>
      <c r="B658" s="2">
        <v>6109</v>
      </c>
      <c r="D658" s="66" t="str">
        <f>VLOOKUP("*"&amp;A658&amp;"*",[2]Sheet1!$G$2:$X$1155,18,FALSE)</f>
        <v>ERR10549758</v>
      </c>
      <c r="E658" s="2" t="s">
        <v>118</v>
      </c>
      <c r="F658" s="2" t="s">
        <v>588</v>
      </c>
      <c r="G658" s="2" t="s">
        <v>5</v>
      </c>
      <c r="H658" s="2" t="s">
        <v>2536</v>
      </c>
      <c r="I658" s="2" t="s">
        <v>6</v>
      </c>
      <c r="J658" s="2" t="s">
        <v>8</v>
      </c>
      <c r="K658" s="2" t="s">
        <v>611</v>
      </c>
      <c r="L658" s="2" t="s">
        <v>7</v>
      </c>
      <c r="M658" s="2">
        <v>121</v>
      </c>
      <c r="N658" s="2" t="s">
        <v>9</v>
      </c>
      <c r="T658" s="2" t="s">
        <v>16964</v>
      </c>
    </row>
    <row r="659" spans="1:24" hidden="1">
      <c r="A659" s="3" t="s">
        <v>3050</v>
      </c>
      <c r="B659" s="2">
        <v>6110</v>
      </c>
      <c r="D659" s="66" t="str">
        <f>VLOOKUP("*"&amp;A659&amp;"*",[2]Sheet1!$G$2:$X$1155,18,FALSE)</f>
        <v>ERR10549698</v>
      </c>
      <c r="E659" s="2" t="s">
        <v>118</v>
      </c>
      <c r="F659" s="2" t="s">
        <v>588</v>
      </c>
      <c r="G659" s="2" t="s">
        <v>5</v>
      </c>
      <c r="H659" s="2" t="s">
        <v>2536</v>
      </c>
      <c r="I659" s="2" t="s">
        <v>10</v>
      </c>
      <c r="J659" s="2" t="s">
        <v>12</v>
      </c>
      <c r="K659" s="2" t="s">
        <v>599</v>
      </c>
      <c r="L659" s="2" t="s">
        <v>11</v>
      </c>
      <c r="M659" s="2">
        <v>3016</v>
      </c>
      <c r="N659" s="2" t="s">
        <v>14</v>
      </c>
      <c r="T659" s="2" t="s">
        <v>16963</v>
      </c>
      <c r="X659" s="67" t="s">
        <v>4726</v>
      </c>
    </row>
    <row r="660" spans="1:24" hidden="1">
      <c r="A660" s="3" t="s">
        <v>2934</v>
      </c>
      <c r="B660" s="2">
        <v>8208</v>
      </c>
      <c r="D660" s="66" t="str">
        <f>VLOOKUP("*"&amp;A660&amp;"*",[2]Sheet1!$G$2:$X$1155,18,FALSE)</f>
        <v>ERR10549691</v>
      </c>
      <c r="E660" s="2" t="s">
        <v>118</v>
      </c>
      <c r="F660" s="2" t="s">
        <v>588</v>
      </c>
      <c r="G660" s="2" t="s">
        <v>5</v>
      </c>
      <c r="H660" s="2" t="s">
        <v>2499</v>
      </c>
      <c r="I660" s="2" t="s">
        <v>6</v>
      </c>
      <c r="J660" s="2" t="s">
        <v>8</v>
      </c>
      <c r="K660" s="2" t="s">
        <v>426</v>
      </c>
      <c r="L660" s="2" t="s">
        <v>7</v>
      </c>
      <c r="M660" s="2">
        <v>121</v>
      </c>
      <c r="N660" s="2" t="s">
        <v>9</v>
      </c>
      <c r="T660" s="2" t="s">
        <v>16963</v>
      </c>
      <c r="X660" s="67" t="s">
        <v>4722</v>
      </c>
    </row>
    <row r="661" spans="1:24" hidden="1">
      <c r="A661" s="3" t="s">
        <v>2937</v>
      </c>
      <c r="B661" s="2">
        <v>8218</v>
      </c>
      <c r="D661" s="66" t="str">
        <f>VLOOKUP("*"&amp;A661&amp;"*",[2]Sheet1!$G$2:$X$1155,18,FALSE)</f>
        <v>ERR10549742</v>
      </c>
      <c r="E661" s="2" t="s">
        <v>118</v>
      </c>
      <c r="F661" s="2" t="s">
        <v>588</v>
      </c>
      <c r="G661" s="2" t="s">
        <v>43</v>
      </c>
      <c r="H661" s="2" t="s">
        <v>2501</v>
      </c>
      <c r="I661" s="2" t="s">
        <v>6</v>
      </c>
      <c r="J661" s="2" t="s">
        <v>8</v>
      </c>
      <c r="K661" s="2" t="s">
        <v>426</v>
      </c>
      <c r="L661" s="2" t="s">
        <v>7</v>
      </c>
      <c r="M661" s="2">
        <v>121</v>
      </c>
      <c r="N661" s="2" t="s">
        <v>9</v>
      </c>
      <c r="T661" s="2" t="s">
        <v>16963</v>
      </c>
      <c r="X661" s="67" t="s">
        <v>4722</v>
      </c>
    </row>
    <row r="662" spans="1:24" hidden="1">
      <c r="A662" s="3" t="s">
        <v>4340</v>
      </c>
      <c r="B662" s="2">
        <v>8234</v>
      </c>
      <c r="D662" s="66" t="str">
        <f>VLOOKUP("*"&amp;A662&amp;"*",[2]Sheet1!$G$2:$X$1155,18,FALSE)</f>
        <v>ERR10549669</v>
      </c>
      <c r="E662" s="2" t="s">
        <v>118</v>
      </c>
      <c r="F662" s="2" t="s">
        <v>588</v>
      </c>
      <c r="G662" s="2" t="s">
        <v>5</v>
      </c>
      <c r="H662" s="2" t="s">
        <v>2511</v>
      </c>
      <c r="I662" s="2" t="s">
        <v>10</v>
      </c>
      <c r="J662" s="2" t="s">
        <v>266</v>
      </c>
      <c r="K662" s="2" t="s">
        <v>624</v>
      </c>
      <c r="L662" s="2" t="s">
        <v>265</v>
      </c>
      <c r="M662" s="2">
        <v>87</v>
      </c>
      <c r="N662" s="2" t="s">
        <v>14</v>
      </c>
      <c r="T662" s="2" t="s">
        <v>16964</v>
      </c>
    </row>
    <row r="663" spans="1:24" hidden="1">
      <c r="A663" s="3" t="s">
        <v>3239</v>
      </c>
      <c r="B663" s="2">
        <v>8236</v>
      </c>
      <c r="D663" s="66" t="str">
        <f>VLOOKUP("*"&amp;A663&amp;"*",[2]Sheet1!$G$2:$X$1155,18,FALSE)</f>
        <v>ERR10549687</v>
      </c>
      <c r="E663" s="2" t="s">
        <v>118</v>
      </c>
      <c r="F663" s="2" t="s">
        <v>588</v>
      </c>
      <c r="G663" s="2" t="s">
        <v>5</v>
      </c>
      <c r="H663" s="2" t="s">
        <v>2511</v>
      </c>
      <c r="I663" s="2" t="s">
        <v>6</v>
      </c>
      <c r="J663" s="2" t="s">
        <v>29</v>
      </c>
      <c r="K663" s="2" t="s">
        <v>625</v>
      </c>
      <c r="L663" s="2" t="s">
        <v>28</v>
      </c>
      <c r="M663" s="2">
        <v>8</v>
      </c>
      <c r="N663" s="2" t="s">
        <v>9</v>
      </c>
      <c r="T663" s="2" t="s">
        <v>16964</v>
      </c>
    </row>
    <row r="664" spans="1:24" hidden="1">
      <c r="A664" s="3" t="s">
        <v>3415</v>
      </c>
      <c r="B664" s="2">
        <v>8239</v>
      </c>
      <c r="D664" s="66" t="str">
        <f>VLOOKUP("*"&amp;A664&amp;"*",[2]Sheet1!$G$2:$X$1155,18,FALSE)</f>
        <v>ERR10549676</v>
      </c>
      <c r="E664" s="2" t="s">
        <v>118</v>
      </c>
      <c r="F664" s="2" t="s">
        <v>588</v>
      </c>
      <c r="G664" s="2" t="s">
        <v>43</v>
      </c>
      <c r="H664" s="2" t="s">
        <v>2512</v>
      </c>
      <c r="I664" s="2" t="s">
        <v>6</v>
      </c>
      <c r="J664" s="2" t="s">
        <v>20</v>
      </c>
      <c r="K664" s="2" t="s">
        <v>626</v>
      </c>
      <c r="L664" s="2" t="s">
        <v>19</v>
      </c>
      <c r="M664" s="2">
        <v>9</v>
      </c>
      <c r="N664" s="2" t="s">
        <v>21</v>
      </c>
      <c r="T664" s="2" t="s">
        <v>16964</v>
      </c>
    </row>
    <row r="665" spans="1:24" hidden="1">
      <c r="A665" s="3" t="s">
        <v>4003</v>
      </c>
      <c r="B665" s="2">
        <v>8243</v>
      </c>
      <c r="D665" s="66" t="str">
        <f>VLOOKUP("*"&amp;A665&amp;"*",[2]Sheet1!$G$2:$X$1155,18,FALSE)</f>
        <v>ERR10549661</v>
      </c>
      <c r="E665" s="2" t="s">
        <v>118</v>
      </c>
      <c r="F665" s="2" t="s">
        <v>588</v>
      </c>
      <c r="G665" s="2" t="s">
        <v>43</v>
      </c>
      <c r="H665" s="2" t="s">
        <v>2537</v>
      </c>
      <c r="I665" s="2" t="s">
        <v>10</v>
      </c>
      <c r="J665" s="2" t="s">
        <v>12</v>
      </c>
      <c r="K665" s="2" t="s">
        <v>627</v>
      </c>
      <c r="L665" s="2" t="s">
        <v>11</v>
      </c>
      <c r="M665" s="2">
        <v>3</v>
      </c>
      <c r="N665" s="2" t="s">
        <v>14</v>
      </c>
      <c r="T665" s="2" t="s">
        <v>16964</v>
      </c>
    </row>
    <row r="666" spans="1:24" hidden="1">
      <c r="A666" s="3" t="s">
        <v>2914</v>
      </c>
      <c r="B666" s="2">
        <v>8256</v>
      </c>
      <c r="D666" s="66" t="str">
        <f>VLOOKUP("*"&amp;A666&amp;"*",[2]Sheet1!$G$2:$X$1155,18,FALSE)</f>
        <v>ERR10549764</v>
      </c>
      <c r="E666" s="2" t="s">
        <v>118</v>
      </c>
      <c r="F666" s="2" t="s">
        <v>588</v>
      </c>
      <c r="G666" s="2" t="s">
        <v>43</v>
      </c>
      <c r="H666" s="2" t="s">
        <v>2538</v>
      </c>
      <c r="I666" s="2" t="s">
        <v>6</v>
      </c>
      <c r="J666" s="2" t="s">
        <v>8</v>
      </c>
      <c r="K666" s="2" t="s">
        <v>628</v>
      </c>
      <c r="L666" s="2" t="s">
        <v>7</v>
      </c>
      <c r="M666" s="2">
        <v>121</v>
      </c>
      <c r="N666" s="2" t="s">
        <v>9</v>
      </c>
      <c r="T666" s="2" t="s">
        <v>16963</v>
      </c>
      <c r="X666" s="67" t="s">
        <v>4722</v>
      </c>
    </row>
    <row r="667" spans="1:24" hidden="1">
      <c r="A667" s="3" t="s">
        <v>4066</v>
      </c>
      <c r="B667" s="2">
        <v>8261</v>
      </c>
      <c r="D667" s="66" t="str">
        <f>VLOOKUP("*"&amp;A667&amp;"*",[2]Sheet1!$G$2:$X$1155,18,FALSE)</f>
        <v>ERR10549665</v>
      </c>
      <c r="E667" s="2" t="s">
        <v>118</v>
      </c>
      <c r="F667" s="2" t="s">
        <v>588</v>
      </c>
      <c r="G667" s="2" t="s">
        <v>5</v>
      </c>
      <c r="H667" s="2" t="s">
        <v>2539</v>
      </c>
      <c r="I667" s="2" t="s">
        <v>6</v>
      </c>
      <c r="J667" s="2" t="s">
        <v>8</v>
      </c>
      <c r="K667" s="2" t="s">
        <v>629</v>
      </c>
      <c r="L667" s="2" t="s">
        <v>7</v>
      </c>
      <c r="M667" s="2">
        <v>121</v>
      </c>
      <c r="N667" s="2" t="s">
        <v>9</v>
      </c>
      <c r="T667" s="2" t="s">
        <v>16964</v>
      </c>
    </row>
    <row r="668" spans="1:24" hidden="1">
      <c r="A668" s="3" t="s">
        <v>3766</v>
      </c>
      <c r="B668" s="2">
        <v>8267</v>
      </c>
      <c r="D668" s="66" t="str">
        <f>VLOOKUP("*"&amp;A668&amp;"*",[2]Sheet1!$G$2:$X$1155,18,FALSE)</f>
        <v>ERR10549679</v>
      </c>
      <c r="E668" s="2" t="s">
        <v>118</v>
      </c>
      <c r="F668" s="2" t="s">
        <v>588</v>
      </c>
      <c r="G668" s="2" t="s">
        <v>5</v>
      </c>
      <c r="H668" s="2" t="s">
        <v>2540</v>
      </c>
      <c r="I668" s="2" t="s">
        <v>6</v>
      </c>
      <c r="J668" s="2" t="s">
        <v>20</v>
      </c>
      <c r="K668" s="2" t="s">
        <v>606</v>
      </c>
      <c r="L668" s="2" t="s">
        <v>19</v>
      </c>
      <c r="M668" s="2">
        <v>9</v>
      </c>
      <c r="N668" s="2" t="s">
        <v>21</v>
      </c>
      <c r="T668" s="2" t="s">
        <v>16964</v>
      </c>
    </row>
    <row r="669" spans="1:24" hidden="1">
      <c r="A669" s="3" t="s">
        <v>4002</v>
      </c>
      <c r="B669" s="2">
        <v>8269</v>
      </c>
      <c r="D669" s="66" t="str">
        <f>VLOOKUP("*"&amp;A669&amp;"*",[2]Sheet1!$G$2:$X$1155,18,FALSE)</f>
        <v>ERR10549689</v>
      </c>
      <c r="E669" s="2" t="s">
        <v>118</v>
      </c>
      <c r="F669" s="2" t="s">
        <v>588</v>
      </c>
      <c r="G669" s="2" t="s">
        <v>5</v>
      </c>
      <c r="H669" s="2" t="s">
        <v>2541</v>
      </c>
      <c r="I669" s="2" t="s">
        <v>10</v>
      </c>
      <c r="J669" s="2" t="s">
        <v>12</v>
      </c>
      <c r="K669" s="2" t="s">
        <v>630</v>
      </c>
      <c r="L669" s="2" t="s">
        <v>11</v>
      </c>
      <c r="M669" s="2">
        <v>3</v>
      </c>
      <c r="N669" s="2" t="s">
        <v>14</v>
      </c>
      <c r="T669" s="2" t="s">
        <v>16964</v>
      </c>
    </row>
    <row r="670" spans="1:24" hidden="1">
      <c r="A670" s="3" t="s">
        <v>3964</v>
      </c>
      <c r="B670" s="2">
        <v>8276</v>
      </c>
      <c r="D670" s="66" t="str">
        <f>VLOOKUP("*"&amp;A670&amp;"*",[2]Sheet1!$G$2:$X$1155,18,FALSE)</f>
        <v>ERR10549713</v>
      </c>
      <c r="E670" s="2" t="s">
        <v>118</v>
      </c>
      <c r="F670" s="2" t="s">
        <v>588</v>
      </c>
      <c r="G670" s="2" t="s">
        <v>5</v>
      </c>
      <c r="H670" s="2" t="s">
        <v>2542</v>
      </c>
      <c r="I670" s="2" t="s">
        <v>10</v>
      </c>
      <c r="J670" s="2" t="s">
        <v>12</v>
      </c>
      <c r="K670" s="2" t="s">
        <v>631</v>
      </c>
      <c r="L670" s="2" t="s">
        <v>11</v>
      </c>
      <c r="M670" s="2">
        <v>3</v>
      </c>
      <c r="N670" s="2" t="s">
        <v>14</v>
      </c>
      <c r="T670" s="2" t="s">
        <v>16964</v>
      </c>
    </row>
    <row r="671" spans="1:24" hidden="1">
      <c r="A671" s="3" t="s">
        <v>3022</v>
      </c>
      <c r="B671" s="2">
        <v>8278</v>
      </c>
      <c r="D671" s="66" t="str">
        <f>VLOOKUP("*"&amp;A671&amp;"*",[2]Sheet1!$G$2:$X$1155,18,FALSE)</f>
        <v>ERR10549702</v>
      </c>
      <c r="E671" s="2" t="s">
        <v>118</v>
      </c>
      <c r="F671" s="2" t="s">
        <v>588</v>
      </c>
      <c r="G671" s="2" t="s">
        <v>5</v>
      </c>
      <c r="H671" s="2" t="s">
        <v>2543</v>
      </c>
      <c r="I671" s="2" t="s">
        <v>10</v>
      </c>
      <c r="J671" s="2" t="s">
        <v>59</v>
      </c>
      <c r="K671" s="2" t="s">
        <v>68</v>
      </c>
      <c r="L671" s="2" t="s">
        <v>58</v>
      </c>
      <c r="M671" s="2">
        <v>6</v>
      </c>
      <c r="N671" s="2" t="s">
        <v>18</v>
      </c>
      <c r="T671" s="2" t="s">
        <v>16963</v>
      </c>
      <c r="V671" s="67" t="s">
        <v>2627</v>
      </c>
    </row>
    <row r="672" spans="1:24" hidden="1">
      <c r="A672" s="3" t="s">
        <v>3017</v>
      </c>
      <c r="B672" s="2">
        <v>8281</v>
      </c>
      <c r="D672" s="66" t="str">
        <f>VLOOKUP("*"&amp;A672&amp;"*",[2]Sheet1!$G$2:$X$1155,18,FALSE)</f>
        <v>ERR10549657</v>
      </c>
      <c r="E672" s="2" t="s">
        <v>118</v>
      </c>
      <c r="F672" s="2" t="s">
        <v>588</v>
      </c>
      <c r="G672" s="2" t="s">
        <v>5</v>
      </c>
      <c r="H672" s="2" t="s">
        <v>2532</v>
      </c>
      <c r="I672" s="2" t="s">
        <v>10</v>
      </c>
      <c r="J672" s="2" t="s">
        <v>59</v>
      </c>
      <c r="K672" s="2" t="s">
        <v>68</v>
      </c>
      <c r="L672" s="2" t="s">
        <v>58</v>
      </c>
      <c r="M672" s="2">
        <v>6</v>
      </c>
      <c r="N672" s="2" t="s">
        <v>18</v>
      </c>
      <c r="T672" s="2" t="s">
        <v>16963</v>
      </c>
      <c r="V672" s="67" t="s">
        <v>2627</v>
      </c>
    </row>
    <row r="673" spans="1:22" hidden="1">
      <c r="A673" s="3" t="s">
        <v>3023</v>
      </c>
      <c r="B673" s="2">
        <v>8284</v>
      </c>
      <c r="D673" s="66" t="str">
        <f>VLOOKUP("*"&amp;A673&amp;"*",[2]Sheet1!$G$2:$X$1155,18,FALSE)</f>
        <v>ERR10549747</v>
      </c>
      <c r="E673" s="2" t="s">
        <v>118</v>
      </c>
      <c r="F673" s="2" t="s">
        <v>588</v>
      </c>
      <c r="G673" s="2" t="s">
        <v>5</v>
      </c>
      <c r="H673" s="2" t="s">
        <v>2531</v>
      </c>
      <c r="I673" s="2" t="s">
        <v>10</v>
      </c>
      <c r="J673" s="2" t="s">
        <v>59</v>
      </c>
      <c r="K673" s="2" t="s">
        <v>68</v>
      </c>
      <c r="L673" s="2" t="s">
        <v>58</v>
      </c>
      <c r="M673" s="2">
        <v>6</v>
      </c>
      <c r="N673" s="2" t="s">
        <v>18</v>
      </c>
      <c r="T673" s="2" t="s">
        <v>16963</v>
      </c>
      <c r="V673" s="67" t="s">
        <v>2627</v>
      </c>
    </row>
    <row r="674" spans="1:22" hidden="1">
      <c r="A674" s="3" t="s">
        <v>3349</v>
      </c>
      <c r="B674" s="2">
        <v>8289</v>
      </c>
      <c r="D674" s="66" t="str">
        <f>VLOOKUP("*"&amp;A674&amp;"*",[2]Sheet1!$G$2:$X$1155,18,FALSE)</f>
        <v>ERR10549684</v>
      </c>
      <c r="E674" s="2" t="s">
        <v>118</v>
      </c>
      <c r="F674" s="2" t="s">
        <v>588</v>
      </c>
      <c r="G674" s="2" t="s">
        <v>5</v>
      </c>
      <c r="H674" s="2" t="s">
        <v>2544</v>
      </c>
      <c r="I674" s="2" t="s">
        <v>6</v>
      </c>
      <c r="J674" s="2" t="s">
        <v>20</v>
      </c>
      <c r="K674" s="2" t="s">
        <v>632</v>
      </c>
      <c r="L674" s="2" t="s">
        <v>19</v>
      </c>
      <c r="M674" s="2">
        <v>9</v>
      </c>
      <c r="N674" s="2" t="s">
        <v>21</v>
      </c>
      <c r="T674" s="2" t="s">
        <v>16964</v>
      </c>
    </row>
    <row r="675" spans="1:22" hidden="1">
      <c r="A675" s="3" t="s">
        <v>4396</v>
      </c>
      <c r="B675" s="2">
        <v>2305</v>
      </c>
      <c r="D675" s="66" t="str">
        <f>VLOOKUP("*"&amp;A675&amp;"*",[2]Sheet1!$G$2:$X$1155,18,FALSE)</f>
        <v>ERR10549288</v>
      </c>
      <c r="E675" s="2" t="s">
        <v>118</v>
      </c>
      <c r="F675" s="2" t="s">
        <v>118</v>
      </c>
      <c r="G675" s="2" t="s">
        <v>318</v>
      </c>
      <c r="H675" s="2" t="s">
        <v>2777</v>
      </c>
      <c r="I675" s="2" t="s">
        <v>6</v>
      </c>
      <c r="J675" s="2" t="s">
        <v>146</v>
      </c>
      <c r="K675" s="2" t="s">
        <v>633</v>
      </c>
      <c r="L675" s="2" t="s">
        <v>145</v>
      </c>
      <c r="M675" s="2">
        <v>20</v>
      </c>
      <c r="N675" s="2" t="s">
        <v>9</v>
      </c>
      <c r="T675" s="2" t="s">
        <v>16964</v>
      </c>
    </row>
    <row r="676" spans="1:22" hidden="1">
      <c r="A676" s="3" t="s">
        <v>3842</v>
      </c>
      <c r="B676" s="2">
        <v>2823</v>
      </c>
      <c r="D676" s="66" t="str">
        <f>VLOOKUP("*"&amp;A676&amp;"*",[2]Sheet1!$G$2:$X$1155,18,FALSE)</f>
        <v>ERR10549346</v>
      </c>
      <c r="E676" s="2" t="s">
        <v>118</v>
      </c>
      <c r="F676" s="2" t="s">
        <v>118</v>
      </c>
      <c r="G676" s="2" t="s">
        <v>318</v>
      </c>
      <c r="H676" s="2" t="s">
        <v>2779</v>
      </c>
      <c r="I676" s="2" t="s">
        <v>6</v>
      </c>
      <c r="J676" s="2" t="s">
        <v>120</v>
      </c>
      <c r="K676" s="2" t="s">
        <v>634</v>
      </c>
      <c r="L676" s="2" t="s">
        <v>119</v>
      </c>
      <c r="M676" s="2">
        <v>155</v>
      </c>
      <c r="N676" s="2" t="s">
        <v>9</v>
      </c>
      <c r="T676" s="2" t="s">
        <v>16964</v>
      </c>
    </row>
    <row r="677" spans="1:22" hidden="1">
      <c r="A677" s="3" t="s">
        <v>4167</v>
      </c>
      <c r="B677" s="2">
        <v>2992</v>
      </c>
      <c r="D677" s="66" t="str">
        <f>VLOOKUP("*"&amp;A677&amp;"*",[2]Sheet1!$G$2:$X$1155,18,FALSE)</f>
        <v>ERR10549296</v>
      </c>
      <c r="E677" s="2" t="s">
        <v>118</v>
      </c>
      <c r="F677" s="2" t="s">
        <v>118</v>
      </c>
      <c r="G677" s="2" t="s">
        <v>318</v>
      </c>
      <c r="H677" s="2" t="s">
        <v>2413</v>
      </c>
      <c r="I677" s="2" t="s">
        <v>10</v>
      </c>
      <c r="J677" s="2" t="s">
        <v>129</v>
      </c>
      <c r="K677" s="2" t="s">
        <v>635</v>
      </c>
      <c r="L677" s="2" t="s">
        <v>128</v>
      </c>
      <c r="M677" s="2">
        <v>1</v>
      </c>
      <c r="N677" s="2" t="s">
        <v>18</v>
      </c>
      <c r="T677" s="2" t="s">
        <v>16964</v>
      </c>
    </row>
    <row r="678" spans="1:22" hidden="1">
      <c r="A678" s="3" t="s">
        <v>3584</v>
      </c>
      <c r="B678" s="2">
        <v>2993</v>
      </c>
      <c r="D678" s="66" t="str">
        <f>VLOOKUP("*"&amp;A678&amp;"*",[2]Sheet1!$G$2:$X$1155,18,FALSE)</f>
        <v>ERR10549363</v>
      </c>
      <c r="E678" s="2" t="s">
        <v>118</v>
      </c>
      <c r="F678" s="2" t="s">
        <v>118</v>
      </c>
      <c r="G678" s="2" t="s">
        <v>318</v>
      </c>
      <c r="H678" s="2" t="s">
        <v>2780</v>
      </c>
      <c r="I678" s="2" t="s">
        <v>6</v>
      </c>
      <c r="J678" s="2" t="s">
        <v>564</v>
      </c>
      <c r="K678" s="2" t="s">
        <v>636</v>
      </c>
      <c r="L678" s="2" t="s">
        <v>23</v>
      </c>
      <c r="M678" s="2">
        <v>91</v>
      </c>
      <c r="N678" s="2" t="s">
        <v>9</v>
      </c>
      <c r="T678" s="2" t="s">
        <v>16964</v>
      </c>
    </row>
    <row r="679" spans="1:22" hidden="1">
      <c r="A679" s="3" t="s">
        <v>4081</v>
      </c>
      <c r="B679" s="2">
        <v>5087</v>
      </c>
      <c r="D679" s="66" t="str">
        <f>VLOOKUP("*"&amp;A679&amp;"*",[2]Sheet1!$G$2:$X$1155,18,FALSE)</f>
        <v>ERR10550005</v>
      </c>
      <c r="E679" s="2">
        <v>1987</v>
      </c>
      <c r="F679" s="2" t="s">
        <v>2690</v>
      </c>
      <c r="G679" s="2" t="s">
        <v>318</v>
      </c>
      <c r="I679" s="2" t="s">
        <v>6</v>
      </c>
      <c r="J679" s="2" t="s">
        <v>20</v>
      </c>
      <c r="K679" s="2" t="s">
        <v>637</v>
      </c>
      <c r="L679" s="2" t="s">
        <v>19</v>
      </c>
      <c r="M679" s="2">
        <v>9</v>
      </c>
      <c r="N679" s="2" t="s">
        <v>21</v>
      </c>
      <c r="T679" s="2" t="s">
        <v>16964</v>
      </c>
    </row>
    <row r="680" spans="1:22" hidden="1">
      <c r="A680" s="3" t="s">
        <v>3993</v>
      </c>
      <c r="B680" s="2">
        <v>5088</v>
      </c>
      <c r="D680" s="66" t="str">
        <f>VLOOKUP("*"&amp;A680&amp;"*",[2]Sheet1!$G$2:$X$1155,18,FALSE)</f>
        <v>ERR10549972</v>
      </c>
      <c r="E680" s="2">
        <v>1987</v>
      </c>
      <c r="F680" s="2" t="s">
        <v>2690</v>
      </c>
      <c r="G680" s="2" t="s">
        <v>5</v>
      </c>
      <c r="H680" s="2" t="s">
        <v>5</v>
      </c>
      <c r="I680" s="2" t="s">
        <v>6</v>
      </c>
      <c r="J680" s="2" t="s">
        <v>20</v>
      </c>
      <c r="K680" s="2" t="s">
        <v>4717</v>
      </c>
      <c r="L680" s="2" t="s">
        <v>19</v>
      </c>
      <c r="M680" s="2">
        <v>9</v>
      </c>
      <c r="N680" s="2" t="s">
        <v>21</v>
      </c>
      <c r="T680" s="2" t="s">
        <v>16964</v>
      </c>
    </row>
    <row r="681" spans="1:22" hidden="1">
      <c r="A681" s="3" t="s">
        <v>4224</v>
      </c>
      <c r="B681" s="2">
        <v>5089</v>
      </c>
      <c r="D681" s="66" t="str">
        <f>VLOOKUP("*"&amp;A681&amp;"*",[2]Sheet1!$G$2:$X$1155,18,FALSE)</f>
        <v>ERR10550000</v>
      </c>
      <c r="E681" s="2">
        <v>1986</v>
      </c>
      <c r="F681" s="2" t="s">
        <v>2690</v>
      </c>
      <c r="G681" s="2" t="s">
        <v>5</v>
      </c>
      <c r="H681" s="2" t="s">
        <v>5</v>
      </c>
      <c r="I681" s="2" t="s">
        <v>6</v>
      </c>
      <c r="J681" s="2" t="s">
        <v>638</v>
      </c>
      <c r="K681" s="2" t="s">
        <v>639</v>
      </c>
      <c r="L681" s="2" t="s">
        <v>23</v>
      </c>
      <c r="M681" s="2">
        <v>91</v>
      </c>
      <c r="N681" s="2" t="s">
        <v>9</v>
      </c>
      <c r="T681" s="2" t="s">
        <v>16964</v>
      </c>
    </row>
    <row r="682" spans="1:22" hidden="1">
      <c r="A682" s="3" t="s">
        <v>3602</v>
      </c>
      <c r="B682" s="2">
        <v>5091</v>
      </c>
      <c r="D682" s="66" t="str">
        <f>VLOOKUP("*"&amp;A682&amp;"*",[2]Sheet1!$G$2:$X$1155,18,FALSE)</f>
        <v>ERR10550017</v>
      </c>
      <c r="E682" s="2">
        <v>1986</v>
      </c>
      <c r="F682" s="2" t="s">
        <v>2690</v>
      </c>
      <c r="G682" s="2" t="s">
        <v>5</v>
      </c>
      <c r="H682" s="2" t="s">
        <v>5</v>
      </c>
      <c r="I682" s="2" t="s">
        <v>10</v>
      </c>
      <c r="J682" s="2" t="s">
        <v>12</v>
      </c>
      <c r="K682" s="2" t="s">
        <v>640</v>
      </c>
      <c r="L682" s="2" t="s">
        <v>11</v>
      </c>
      <c r="M682" s="2">
        <v>3</v>
      </c>
      <c r="N682" s="2" t="s">
        <v>14</v>
      </c>
      <c r="T682" s="2" t="s">
        <v>16964</v>
      </c>
    </row>
    <row r="683" spans="1:22" hidden="1">
      <c r="A683" s="3" t="s">
        <v>3603</v>
      </c>
      <c r="B683" s="2">
        <v>5095</v>
      </c>
      <c r="D683" s="66" t="str">
        <f>VLOOKUP("*"&amp;A683&amp;"*",[2]Sheet1!$G$2:$X$1155,18,FALSE)</f>
        <v>ERR10549968</v>
      </c>
      <c r="E683" s="2">
        <v>1986</v>
      </c>
      <c r="F683" s="2" t="s">
        <v>2360</v>
      </c>
      <c r="G683" s="2" t="s">
        <v>5</v>
      </c>
      <c r="H683" s="2" t="s">
        <v>5</v>
      </c>
      <c r="I683" s="2" t="s">
        <v>6</v>
      </c>
      <c r="J683" s="2" t="s">
        <v>20</v>
      </c>
      <c r="K683" s="2" t="s">
        <v>641</v>
      </c>
      <c r="L683" s="2" t="s">
        <v>19</v>
      </c>
      <c r="M683" s="2">
        <v>478</v>
      </c>
      <c r="T683" s="2" t="s">
        <v>16964</v>
      </c>
    </row>
    <row r="684" spans="1:22" hidden="1">
      <c r="A684" s="3" t="s">
        <v>3318</v>
      </c>
      <c r="B684" s="2">
        <v>5096</v>
      </c>
      <c r="D684" s="66" t="str">
        <f>VLOOKUP("*"&amp;A684&amp;"*",[2]Sheet1!$G$2:$X$1155,18,FALSE)</f>
        <v>ERR10549997</v>
      </c>
      <c r="E684" s="2">
        <v>1986</v>
      </c>
      <c r="F684" s="2" t="s">
        <v>2360</v>
      </c>
      <c r="G684" s="2" t="s">
        <v>5</v>
      </c>
      <c r="H684" s="2" t="s">
        <v>5</v>
      </c>
      <c r="I684" s="2" t="s">
        <v>6</v>
      </c>
      <c r="J684" s="2" t="s">
        <v>20</v>
      </c>
      <c r="K684" s="2" t="s">
        <v>642</v>
      </c>
      <c r="L684" s="2" t="s">
        <v>19</v>
      </c>
      <c r="M684" s="2">
        <v>9</v>
      </c>
      <c r="N684" s="2" t="s">
        <v>21</v>
      </c>
      <c r="T684" s="2" t="s">
        <v>16964</v>
      </c>
    </row>
    <row r="685" spans="1:22" hidden="1">
      <c r="A685" s="3" t="s">
        <v>4163</v>
      </c>
      <c r="B685" s="2">
        <v>535</v>
      </c>
      <c r="D685" s="66" t="str">
        <f>VLOOKUP("*"&amp;A685&amp;"*",[2]Sheet1!$G$2:$X$1155,18,FALSE)</f>
        <v>ERR10549309</v>
      </c>
      <c r="E685" s="2" t="s">
        <v>118</v>
      </c>
      <c r="F685" s="2" t="s">
        <v>118</v>
      </c>
      <c r="G685" s="2" t="s">
        <v>5</v>
      </c>
      <c r="H685" s="2" t="s">
        <v>2778</v>
      </c>
      <c r="I685" s="2" t="s">
        <v>10</v>
      </c>
      <c r="J685" s="2" t="s">
        <v>129</v>
      </c>
      <c r="K685" s="2" t="s">
        <v>643</v>
      </c>
      <c r="L685" s="2" t="s">
        <v>128</v>
      </c>
      <c r="M685" s="2">
        <v>1</v>
      </c>
      <c r="N685" s="2" t="s">
        <v>18</v>
      </c>
      <c r="T685" s="2" t="s">
        <v>16964</v>
      </c>
    </row>
    <row r="686" spans="1:22" hidden="1">
      <c r="A686" s="3" t="s">
        <v>4348</v>
      </c>
      <c r="B686" s="2">
        <v>3202</v>
      </c>
      <c r="D686" s="66" t="str">
        <f>VLOOKUP("*"&amp;A686&amp;"*",[2]Sheet1!$G$2:$X$1155,18,FALSE)</f>
        <v>ERR10549333</v>
      </c>
      <c r="E686" s="2" t="s">
        <v>118</v>
      </c>
      <c r="F686" s="2" t="s">
        <v>118</v>
      </c>
      <c r="G686" s="2" t="s">
        <v>43</v>
      </c>
      <c r="H686" s="2" t="s">
        <v>43</v>
      </c>
      <c r="I686" s="2" t="s">
        <v>10</v>
      </c>
      <c r="J686" s="2" t="s">
        <v>12</v>
      </c>
      <c r="K686" s="2" t="s">
        <v>644</v>
      </c>
      <c r="L686" s="2" t="s">
        <v>11</v>
      </c>
      <c r="M686" s="2">
        <v>576</v>
      </c>
      <c r="N686" s="2" t="s">
        <v>14</v>
      </c>
      <c r="T686" s="2" t="s">
        <v>16964</v>
      </c>
    </row>
    <row r="687" spans="1:22" hidden="1">
      <c r="A687" s="3" t="s">
        <v>4350</v>
      </c>
      <c r="B687" s="2">
        <v>3243</v>
      </c>
      <c r="D687" s="66" t="str">
        <f>VLOOKUP("*"&amp;A687&amp;"*",[2]Sheet1!$G$2:$X$1155,18,FALSE)</f>
        <v>ERR10549329</v>
      </c>
      <c r="E687" s="2" t="s">
        <v>118</v>
      </c>
      <c r="F687" s="2" t="s">
        <v>118</v>
      </c>
      <c r="G687" s="2" t="s">
        <v>43</v>
      </c>
      <c r="H687" s="2" t="s">
        <v>43</v>
      </c>
      <c r="I687" s="2" t="s">
        <v>10</v>
      </c>
      <c r="J687" s="2" t="s">
        <v>12</v>
      </c>
      <c r="K687" s="2" t="s">
        <v>644</v>
      </c>
      <c r="L687" s="2" t="s">
        <v>11</v>
      </c>
      <c r="M687" s="2">
        <v>576</v>
      </c>
      <c r="N687" s="2" t="s">
        <v>14</v>
      </c>
      <c r="T687" s="2" t="s">
        <v>16964</v>
      </c>
    </row>
    <row r="688" spans="1:22" hidden="1">
      <c r="A688" s="3" t="s">
        <v>3097</v>
      </c>
      <c r="B688" s="2">
        <v>3261</v>
      </c>
      <c r="D688" s="66" t="str">
        <f>VLOOKUP("*"&amp;A688&amp;"*",[2]Sheet1!$G$2:$X$1155,18,FALSE)</f>
        <v>ERR10549328</v>
      </c>
      <c r="E688" s="2" t="s">
        <v>118</v>
      </c>
      <c r="F688" s="2" t="s">
        <v>118</v>
      </c>
      <c r="G688" s="2" t="s">
        <v>5</v>
      </c>
      <c r="H688" s="2" t="s">
        <v>5</v>
      </c>
      <c r="I688" s="2" t="s">
        <v>6</v>
      </c>
      <c r="J688" s="2" t="s">
        <v>645</v>
      </c>
      <c r="K688" s="2" t="s">
        <v>646</v>
      </c>
      <c r="L688" s="2" t="s">
        <v>87</v>
      </c>
      <c r="M688" s="2">
        <v>325</v>
      </c>
      <c r="N688" s="2" t="s">
        <v>9</v>
      </c>
      <c r="T688" s="2" t="s">
        <v>16964</v>
      </c>
    </row>
    <row r="689" spans="1:24" hidden="1">
      <c r="A689" s="3" t="s">
        <v>3259</v>
      </c>
      <c r="B689" s="2" t="s">
        <v>647</v>
      </c>
      <c r="D689" s="66" t="str">
        <f>VLOOKUP("*"&amp;A689&amp;"*",[2]Sheet1!$G$2:$X$1155,18,FALSE)</f>
        <v>ERR10549374</v>
      </c>
      <c r="E689" s="2" t="s">
        <v>118</v>
      </c>
      <c r="F689" s="2" t="s">
        <v>118</v>
      </c>
      <c r="G689" s="2" t="s">
        <v>43</v>
      </c>
      <c r="H689" s="2" t="s">
        <v>43</v>
      </c>
      <c r="I689" s="2" t="s">
        <v>6</v>
      </c>
      <c r="J689" s="2" t="s">
        <v>8</v>
      </c>
      <c r="K689" s="2" t="s">
        <v>648</v>
      </c>
      <c r="L689" s="2" t="s">
        <v>7</v>
      </c>
      <c r="M689" s="2">
        <v>121</v>
      </c>
      <c r="N689" s="2" t="s">
        <v>9</v>
      </c>
      <c r="T689" s="2" t="s">
        <v>16963</v>
      </c>
      <c r="X689" s="67" t="s">
        <v>4722</v>
      </c>
    </row>
    <row r="690" spans="1:24" hidden="1">
      <c r="A690" s="3" t="s">
        <v>3138</v>
      </c>
      <c r="B690" s="2" t="s">
        <v>649</v>
      </c>
      <c r="D690" s="66" t="str">
        <f>VLOOKUP("*"&amp;A690&amp;"*",[2]Sheet1!$G$2:$X$1155,18,FALSE)</f>
        <v>ERR10549298</v>
      </c>
      <c r="E690" s="2" t="s">
        <v>118</v>
      </c>
      <c r="F690" s="2" t="s">
        <v>118</v>
      </c>
      <c r="G690" s="2" t="s">
        <v>5</v>
      </c>
      <c r="H690" s="2" t="s">
        <v>5</v>
      </c>
      <c r="I690" s="2" t="s">
        <v>6</v>
      </c>
      <c r="J690" s="2" t="s">
        <v>8</v>
      </c>
      <c r="K690" s="2" t="s">
        <v>648</v>
      </c>
      <c r="L690" s="2" t="s">
        <v>7</v>
      </c>
      <c r="M690" s="2">
        <v>121</v>
      </c>
      <c r="N690" s="2" t="s">
        <v>9</v>
      </c>
      <c r="T690" s="2" t="s">
        <v>16963</v>
      </c>
      <c r="X690" s="67" t="s">
        <v>4722</v>
      </c>
    </row>
    <row r="691" spans="1:24" hidden="1">
      <c r="A691" s="3" t="s">
        <v>2847</v>
      </c>
      <c r="B691" s="2" t="s">
        <v>650</v>
      </c>
      <c r="D691" s="66" t="str">
        <f>VLOOKUP("*"&amp;A691&amp;"*",[2]Sheet1!$G$2:$X$1155,18,FALSE)</f>
        <v>ERR10549337</v>
      </c>
      <c r="E691" s="2" t="s">
        <v>118</v>
      </c>
      <c r="F691" s="2" t="s">
        <v>118</v>
      </c>
      <c r="G691" s="2" t="s">
        <v>43</v>
      </c>
      <c r="H691" s="2" t="s">
        <v>43</v>
      </c>
      <c r="I691" s="2" t="s">
        <v>6</v>
      </c>
      <c r="J691" s="2" t="s">
        <v>24</v>
      </c>
      <c r="K691" s="2" t="s">
        <v>651</v>
      </c>
      <c r="L691" s="2" t="s">
        <v>23</v>
      </c>
      <c r="M691" s="2">
        <v>14</v>
      </c>
      <c r="N691" s="2" t="s">
        <v>9</v>
      </c>
      <c r="T691" s="2" t="s">
        <v>16964</v>
      </c>
    </row>
    <row r="692" spans="1:24" hidden="1">
      <c r="A692" s="3" t="s">
        <v>3852</v>
      </c>
      <c r="B692" s="2" t="s">
        <v>652</v>
      </c>
      <c r="D692" s="66" t="str">
        <f>VLOOKUP("*"&amp;A692&amp;"*",[2]Sheet1!$G$2:$X$1155,18,FALSE)</f>
        <v>ERR10549311</v>
      </c>
      <c r="E692" s="2" t="s">
        <v>118</v>
      </c>
      <c r="F692" s="2" t="s">
        <v>118</v>
      </c>
      <c r="G692" s="2" t="s">
        <v>318</v>
      </c>
      <c r="H692" s="2" t="s">
        <v>2386</v>
      </c>
      <c r="I692" s="2" t="s">
        <v>10</v>
      </c>
      <c r="J692" s="2" t="s">
        <v>129</v>
      </c>
      <c r="K692" s="2" t="s">
        <v>653</v>
      </c>
      <c r="L692" s="2" t="s">
        <v>128</v>
      </c>
      <c r="M692" s="2">
        <v>73</v>
      </c>
      <c r="N692" s="2" t="s">
        <v>18</v>
      </c>
      <c r="T692" s="2" t="s">
        <v>16964</v>
      </c>
    </row>
    <row r="693" spans="1:24" hidden="1">
      <c r="A693" s="3" t="s">
        <v>3227</v>
      </c>
      <c r="B693" s="2" t="s">
        <v>654</v>
      </c>
      <c r="D693" s="66" t="str">
        <f>VLOOKUP("*"&amp;A693&amp;"*",[2]Sheet1!$G$2:$X$1155,18,FALSE)</f>
        <v>ERR10549332</v>
      </c>
      <c r="E693" s="2" t="s">
        <v>118</v>
      </c>
      <c r="F693" s="2" t="s">
        <v>118</v>
      </c>
      <c r="G693" s="2" t="s">
        <v>43</v>
      </c>
      <c r="H693" s="2" t="s">
        <v>43</v>
      </c>
      <c r="I693" s="2" t="s">
        <v>10</v>
      </c>
      <c r="J693" s="2" t="s">
        <v>12</v>
      </c>
      <c r="K693" s="2" t="s">
        <v>655</v>
      </c>
      <c r="L693" s="2" t="s">
        <v>11</v>
      </c>
      <c r="M693" s="2">
        <v>576</v>
      </c>
      <c r="N693" s="2" t="s">
        <v>14</v>
      </c>
      <c r="T693" s="2" t="s">
        <v>16964</v>
      </c>
    </row>
    <row r="694" spans="1:24" hidden="1">
      <c r="A694" s="3" t="s">
        <v>3916</v>
      </c>
      <c r="B694" s="2" t="s">
        <v>656</v>
      </c>
      <c r="D694" s="66" t="str">
        <f>VLOOKUP("*"&amp;A694&amp;"*",[2]Sheet1!$G$2:$X$1155,18,FALSE)</f>
        <v>ERR10549334</v>
      </c>
      <c r="E694" s="2" t="s">
        <v>118</v>
      </c>
      <c r="F694" s="2" t="s">
        <v>118</v>
      </c>
      <c r="G694" s="2" t="s">
        <v>43</v>
      </c>
      <c r="H694" s="2" t="s">
        <v>43</v>
      </c>
      <c r="I694" s="2" t="s">
        <v>10</v>
      </c>
      <c r="J694" s="2" t="s">
        <v>12</v>
      </c>
      <c r="K694" s="2" t="s">
        <v>657</v>
      </c>
      <c r="L694" s="2" t="s">
        <v>11</v>
      </c>
      <c r="M694" s="2">
        <v>3</v>
      </c>
      <c r="N694" s="2" t="s">
        <v>14</v>
      </c>
      <c r="T694" s="2" t="s">
        <v>16964</v>
      </c>
    </row>
    <row r="695" spans="1:24" hidden="1">
      <c r="A695" s="3" t="s">
        <v>4204</v>
      </c>
      <c r="B695" s="2" t="s">
        <v>658</v>
      </c>
      <c r="D695" s="66" t="str">
        <f>VLOOKUP("*"&amp;A695&amp;"*",[2]Sheet1!$G$2:$X$1155,18,FALSE)</f>
        <v>ERR10549335</v>
      </c>
      <c r="E695" s="2" t="s">
        <v>118</v>
      </c>
      <c r="F695" s="2" t="s">
        <v>118</v>
      </c>
      <c r="G695" s="2" t="s">
        <v>5</v>
      </c>
      <c r="H695" s="2" t="s">
        <v>5</v>
      </c>
      <c r="I695" s="2" t="s">
        <v>10</v>
      </c>
      <c r="J695" s="2" t="s">
        <v>12</v>
      </c>
      <c r="K695" s="2" t="s">
        <v>644</v>
      </c>
      <c r="L695" s="2" t="s">
        <v>11</v>
      </c>
      <c r="M695" s="2">
        <v>576</v>
      </c>
      <c r="N695" s="2" t="s">
        <v>14</v>
      </c>
      <c r="T695" s="2" t="s">
        <v>16964</v>
      </c>
    </row>
    <row r="696" spans="1:24" hidden="1">
      <c r="A696" s="3" t="s">
        <v>3076</v>
      </c>
      <c r="B696" s="2" t="s">
        <v>659</v>
      </c>
      <c r="D696" s="66" t="str">
        <f>VLOOKUP("*"&amp;A696&amp;"*",[2]Sheet1!$G$2:$X$1155,18,FALSE)</f>
        <v>ERR10549326</v>
      </c>
      <c r="E696" s="2" t="s">
        <v>118</v>
      </c>
      <c r="F696" s="2" t="s">
        <v>118</v>
      </c>
      <c r="G696" s="2" t="s">
        <v>5</v>
      </c>
      <c r="H696" s="2" t="s">
        <v>5</v>
      </c>
      <c r="I696" s="2" t="s">
        <v>6</v>
      </c>
      <c r="J696" s="2" t="s">
        <v>26</v>
      </c>
      <c r="K696" s="2" t="s">
        <v>126</v>
      </c>
      <c r="L696" s="2" t="s">
        <v>25</v>
      </c>
      <c r="M696" s="2">
        <v>38</v>
      </c>
      <c r="N696" s="2" t="s">
        <v>9</v>
      </c>
      <c r="T696" s="2" t="s">
        <v>16964</v>
      </c>
    </row>
    <row r="697" spans="1:24" hidden="1">
      <c r="A697" s="3" t="s">
        <v>3095</v>
      </c>
      <c r="B697" s="2" t="s">
        <v>660</v>
      </c>
      <c r="D697" s="66" t="str">
        <f>VLOOKUP("*"&amp;A697&amp;"*",[2]Sheet1!$G$2:$X$1155,18,FALSE)</f>
        <v>ERR10549322</v>
      </c>
      <c r="E697" s="2" t="s">
        <v>118</v>
      </c>
      <c r="F697" s="2" t="s">
        <v>118</v>
      </c>
      <c r="G697" s="2" t="s">
        <v>5</v>
      </c>
      <c r="H697" s="2" t="s">
        <v>5</v>
      </c>
      <c r="I697" s="2" t="s">
        <v>6</v>
      </c>
      <c r="J697" s="2" t="s">
        <v>645</v>
      </c>
      <c r="K697" s="2" t="s">
        <v>646</v>
      </c>
      <c r="L697" s="2" t="s">
        <v>87</v>
      </c>
      <c r="M697" s="2">
        <v>325</v>
      </c>
      <c r="N697" s="2" t="s">
        <v>9</v>
      </c>
      <c r="T697" s="2" t="s">
        <v>16964</v>
      </c>
    </row>
    <row r="698" spans="1:24" hidden="1">
      <c r="A698" s="3" t="s">
        <v>3619</v>
      </c>
      <c r="B698" s="2" t="s">
        <v>661</v>
      </c>
      <c r="D698" s="66" t="str">
        <f>VLOOKUP("*"&amp;A698&amp;"*",[2]Sheet1!$G$2:$X$1155,18,FALSE)</f>
        <v>ERR10549330</v>
      </c>
      <c r="E698" s="2" t="s">
        <v>118</v>
      </c>
      <c r="F698" s="2" t="s">
        <v>118</v>
      </c>
      <c r="G698" s="2" t="s">
        <v>5</v>
      </c>
      <c r="H698" s="2" t="s">
        <v>5</v>
      </c>
      <c r="I698" s="2" t="s">
        <v>10</v>
      </c>
      <c r="J698" s="2" t="s">
        <v>129</v>
      </c>
      <c r="K698" s="2" t="s">
        <v>662</v>
      </c>
      <c r="L698" s="2" t="s">
        <v>128</v>
      </c>
      <c r="M698" s="2">
        <v>1</v>
      </c>
      <c r="N698" s="2" t="s">
        <v>18</v>
      </c>
      <c r="T698" s="2" t="s">
        <v>16964</v>
      </c>
    </row>
    <row r="699" spans="1:24" hidden="1">
      <c r="A699" s="3" t="s">
        <v>3620</v>
      </c>
      <c r="B699" s="2" t="s">
        <v>663</v>
      </c>
      <c r="D699" s="66" t="str">
        <f>VLOOKUP("*"&amp;A699&amp;"*",[2]Sheet1!$G$2:$X$1155,18,FALSE)</f>
        <v>ERR10549303</v>
      </c>
      <c r="E699" s="2" t="s">
        <v>118</v>
      </c>
      <c r="F699" s="2" t="s">
        <v>118</v>
      </c>
      <c r="G699" s="2" t="s">
        <v>5</v>
      </c>
      <c r="H699" s="2" t="s">
        <v>5</v>
      </c>
      <c r="I699" s="2" t="s">
        <v>10</v>
      </c>
      <c r="J699" s="2" t="s">
        <v>129</v>
      </c>
      <c r="K699" s="2" t="s">
        <v>662</v>
      </c>
      <c r="L699" s="2" t="s">
        <v>128</v>
      </c>
      <c r="M699" s="2">
        <v>1</v>
      </c>
      <c r="N699" s="2" t="s">
        <v>18</v>
      </c>
      <c r="T699" s="2" t="s">
        <v>16964</v>
      </c>
    </row>
    <row r="700" spans="1:24" hidden="1">
      <c r="A700" s="3" t="s">
        <v>3230</v>
      </c>
      <c r="B700" s="2" t="s">
        <v>664</v>
      </c>
      <c r="D700" s="66" t="str">
        <f>VLOOKUP("*"&amp;A700&amp;"*",[2]Sheet1!$G$2:$X$1155,18,FALSE)</f>
        <v>ERR10549320</v>
      </c>
      <c r="E700" s="2" t="s">
        <v>118</v>
      </c>
      <c r="F700" s="2" t="s">
        <v>118</v>
      </c>
      <c r="G700" s="2" t="s">
        <v>5</v>
      </c>
      <c r="H700" s="2" t="s">
        <v>5</v>
      </c>
      <c r="I700" s="2" t="s">
        <v>10</v>
      </c>
      <c r="J700" s="2" t="s">
        <v>12</v>
      </c>
      <c r="K700" s="2" t="s">
        <v>665</v>
      </c>
      <c r="L700" s="2" t="s">
        <v>11</v>
      </c>
      <c r="M700" s="2">
        <v>3</v>
      </c>
      <c r="N700" s="2" t="s">
        <v>14</v>
      </c>
      <c r="T700" s="2" t="s">
        <v>16964</v>
      </c>
    </row>
    <row r="701" spans="1:24" hidden="1">
      <c r="A701" s="3" t="s">
        <v>3961</v>
      </c>
      <c r="B701" s="2" t="s">
        <v>666</v>
      </c>
      <c r="D701" s="66" t="str">
        <f>VLOOKUP("*"&amp;A701&amp;"*",[2]Sheet1!$G$2:$X$1155,18,FALSE)</f>
        <v>ERR10549381</v>
      </c>
      <c r="E701" s="2" t="s">
        <v>118</v>
      </c>
      <c r="F701" s="2" t="s">
        <v>118</v>
      </c>
      <c r="G701" s="2" t="s">
        <v>5</v>
      </c>
      <c r="H701" s="2" t="s">
        <v>5</v>
      </c>
      <c r="I701" s="2" t="s">
        <v>10</v>
      </c>
      <c r="J701" s="2" t="s">
        <v>129</v>
      </c>
      <c r="K701" s="2" t="s">
        <v>667</v>
      </c>
      <c r="L701" s="2" t="s">
        <v>128</v>
      </c>
      <c r="M701" s="2">
        <v>1</v>
      </c>
      <c r="N701" s="2" t="s">
        <v>18</v>
      </c>
      <c r="T701" s="2" t="s">
        <v>16964</v>
      </c>
    </row>
    <row r="702" spans="1:24" hidden="1">
      <c r="A702" s="3" t="s">
        <v>3184</v>
      </c>
      <c r="B702" s="2" t="s">
        <v>668</v>
      </c>
      <c r="D702" s="66" t="str">
        <f>VLOOKUP("*"&amp;A702&amp;"*",[2]Sheet1!$G$2:$X$1155,18,FALSE)</f>
        <v>ERR10549308</v>
      </c>
      <c r="E702" s="2" t="s">
        <v>118</v>
      </c>
      <c r="F702" s="2" t="s">
        <v>118</v>
      </c>
      <c r="G702" s="2" t="s">
        <v>5</v>
      </c>
      <c r="H702" s="2" t="s">
        <v>5</v>
      </c>
      <c r="I702" s="2" t="s">
        <v>6</v>
      </c>
      <c r="J702" s="2" t="s">
        <v>20</v>
      </c>
      <c r="K702" s="2" t="s">
        <v>669</v>
      </c>
      <c r="L702" s="2" t="s">
        <v>19</v>
      </c>
      <c r="M702" s="2">
        <v>9</v>
      </c>
      <c r="N702" s="2" t="s">
        <v>21</v>
      </c>
      <c r="T702" s="2" t="s">
        <v>16964</v>
      </c>
    </row>
    <row r="703" spans="1:24" hidden="1">
      <c r="A703" s="3" t="s">
        <v>3298</v>
      </c>
      <c r="B703" s="2" t="s">
        <v>670</v>
      </c>
      <c r="D703" s="66" t="str">
        <f>VLOOKUP("*"&amp;A703&amp;"*",[2]Sheet1!$G$2:$X$1155,18,FALSE)</f>
        <v>ERR10549339</v>
      </c>
      <c r="E703" s="2" t="s">
        <v>118</v>
      </c>
      <c r="F703" s="2" t="s">
        <v>118</v>
      </c>
      <c r="G703" s="2" t="s">
        <v>43</v>
      </c>
      <c r="H703" s="2" t="s">
        <v>43</v>
      </c>
      <c r="I703" s="2" t="s">
        <v>6</v>
      </c>
      <c r="J703" s="2" t="s">
        <v>20</v>
      </c>
      <c r="K703" s="2" t="s">
        <v>669</v>
      </c>
      <c r="L703" s="2" t="s">
        <v>19</v>
      </c>
      <c r="M703" s="2">
        <v>9</v>
      </c>
      <c r="T703" s="2" t="s">
        <v>16963</v>
      </c>
      <c r="V703" s="67" t="s">
        <v>2627</v>
      </c>
    </row>
    <row r="704" spans="1:24" hidden="1">
      <c r="A704" s="3" t="s">
        <v>3299</v>
      </c>
      <c r="B704" s="2" t="s">
        <v>671</v>
      </c>
      <c r="D704" s="66" t="str">
        <f>VLOOKUP("*"&amp;A704&amp;"*",[2]Sheet1!$G$2:$X$1155,18,FALSE)</f>
        <v>ERR10549341</v>
      </c>
      <c r="E704" s="2" t="s">
        <v>118</v>
      </c>
      <c r="F704" s="2" t="s">
        <v>118</v>
      </c>
      <c r="G704" s="2" t="s">
        <v>5</v>
      </c>
      <c r="H704" s="2" t="s">
        <v>5</v>
      </c>
      <c r="I704" s="2" t="s">
        <v>6</v>
      </c>
      <c r="J704" s="2" t="s">
        <v>20</v>
      </c>
      <c r="K704" s="2" t="s">
        <v>669</v>
      </c>
      <c r="L704" s="2" t="s">
        <v>19</v>
      </c>
      <c r="M704" s="2">
        <v>9</v>
      </c>
      <c r="N704" s="2" t="s">
        <v>21</v>
      </c>
      <c r="T704" s="2" t="s">
        <v>16964</v>
      </c>
    </row>
    <row r="705" spans="1:25" hidden="1">
      <c r="A705" s="3" t="s">
        <v>3589</v>
      </c>
      <c r="B705" s="2" t="s">
        <v>672</v>
      </c>
      <c r="D705" s="66" t="str">
        <f>VLOOKUP("*"&amp;A705&amp;"*",[2]Sheet1!$G$2:$X$1155,18,FALSE)</f>
        <v>ERR10549307</v>
      </c>
      <c r="E705" s="2" t="s">
        <v>118</v>
      </c>
      <c r="F705" s="2" t="s">
        <v>118</v>
      </c>
      <c r="G705" s="2" t="s">
        <v>5</v>
      </c>
      <c r="H705" s="2" t="s">
        <v>5</v>
      </c>
      <c r="I705" s="2" t="s">
        <v>6</v>
      </c>
      <c r="J705" s="2" t="s">
        <v>146</v>
      </c>
      <c r="K705" s="2" t="s">
        <v>673</v>
      </c>
      <c r="L705" s="2" t="s">
        <v>145</v>
      </c>
      <c r="M705" s="2">
        <v>20</v>
      </c>
      <c r="N705" s="2" t="s">
        <v>9</v>
      </c>
      <c r="T705" s="2" t="s">
        <v>16964</v>
      </c>
    </row>
    <row r="706" spans="1:25" hidden="1">
      <c r="A706" s="3" t="s">
        <v>4317</v>
      </c>
      <c r="B706" s="2" t="s">
        <v>674</v>
      </c>
      <c r="D706" s="66" t="str">
        <f>VLOOKUP("*"&amp;A706&amp;"*",[2]Sheet1!$G$2:$X$1155,18,FALSE)</f>
        <v>ERR10549444</v>
      </c>
      <c r="E706" s="2" t="s">
        <v>118</v>
      </c>
      <c r="F706" s="2" t="s">
        <v>118</v>
      </c>
      <c r="G706" s="2" t="s">
        <v>5</v>
      </c>
      <c r="H706" s="2" t="s">
        <v>5</v>
      </c>
      <c r="I706" s="2" t="s">
        <v>6</v>
      </c>
      <c r="J706" s="2" t="s">
        <v>402</v>
      </c>
      <c r="K706" s="2" t="s">
        <v>675</v>
      </c>
      <c r="L706" s="2" t="s">
        <v>401</v>
      </c>
      <c r="M706" s="2">
        <v>18</v>
      </c>
      <c r="N706" s="2" t="s">
        <v>9</v>
      </c>
      <c r="T706" s="2" t="s">
        <v>16964</v>
      </c>
    </row>
    <row r="707" spans="1:25" hidden="1">
      <c r="A707" s="3" t="s">
        <v>3635</v>
      </c>
      <c r="B707" s="2" t="s">
        <v>676</v>
      </c>
      <c r="D707" s="66" t="str">
        <f>VLOOKUP("*"&amp;A707&amp;"*",[2]Sheet1!$G$2:$X$1155,18,FALSE)</f>
        <v>ERR10549323</v>
      </c>
      <c r="E707" s="2" t="s">
        <v>118</v>
      </c>
      <c r="F707" s="2" t="s">
        <v>118</v>
      </c>
      <c r="G707" s="2" t="s">
        <v>5</v>
      </c>
      <c r="H707" s="2" t="s">
        <v>5</v>
      </c>
      <c r="I707" s="2" t="s">
        <v>10</v>
      </c>
      <c r="J707" s="2" t="s">
        <v>17</v>
      </c>
      <c r="K707" s="2" t="s">
        <v>677</v>
      </c>
      <c r="L707" s="2" t="s">
        <v>16</v>
      </c>
      <c r="M707" s="2">
        <v>2</v>
      </c>
      <c r="N707" s="2" t="s">
        <v>18</v>
      </c>
      <c r="T707" s="2" t="s">
        <v>16964</v>
      </c>
    </row>
    <row r="708" spans="1:25" hidden="1">
      <c r="A708" s="3" t="s">
        <v>4358</v>
      </c>
      <c r="B708" s="2" t="s">
        <v>678</v>
      </c>
      <c r="D708" s="66" t="str">
        <f>VLOOKUP("*"&amp;A708&amp;"*",[2]Sheet1!$G$2:$X$1155,18,FALSE)</f>
        <v>ERR10549399</v>
      </c>
      <c r="E708" s="2" t="s">
        <v>118</v>
      </c>
      <c r="F708" s="2" t="s">
        <v>118</v>
      </c>
      <c r="G708" s="2" t="s">
        <v>318</v>
      </c>
      <c r="H708" s="2" t="s">
        <v>2386</v>
      </c>
      <c r="I708" s="2" t="s">
        <v>6</v>
      </c>
      <c r="J708" s="2" t="s">
        <v>102</v>
      </c>
      <c r="K708" s="2" t="s">
        <v>679</v>
      </c>
      <c r="L708" s="2" t="s">
        <v>101</v>
      </c>
      <c r="M708" s="2">
        <v>107</v>
      </c>
      <c r="N708" s="2" t="s">
        <v>9</v>
      </c>
      <c r="T708" s="2" t="s">
        <v>16964</v>
      </c>
    </row>
    <row r="709" spans="1:25" hidden="1">
      <c r="A709" s="3" t="s">
        <v>4221</v>
      </c>
      <c r="B709" s="2" t="s">
        <v>680</v>
      </c>
      <c r="D709" s="66" t="str">
        <f>VLOOKUP("*"&amp;A709&amp;"*",[2]Sheet1!$G$2:$X$1155,18,FALSE)</f>
        <v>ERR10549345</v>
      </c>
      <c r="E709" s="2" t="s">
        <v>118</v>
      </c>
      <c r="F709" s="2" t="s">
        <v>118</v>
      </c>
      <c r="G709" s="2" t="s">
        <v>318</v>
      </c>
      <c r="H709" s="2" t="s">
        <v>2386</v>
      </c>
      <c r="I709" s="2" t="s">
        <v>6</v>
      </c>
      <c r="J709" s="2" t="s">
        <v>681</v>
      </c>
      <c r="K709" s="2" t="s">
        <v>682</v>
      </c>
      <c r="L709" s="2" t="s">
        <v>145</v>
      </c>
      <c r="M709" s="2">
        <v>20</v>
      </c>
      <c r="N709" s="2" t="s">
        <v>9</v>
      </c>
      <c r="T709" s="2" t="s">
        <v>16964</v>
      </c>
    </row>
    <row r="710" spans="1:25" hidden="1">
      <c r="A710" s="3" t="s">
        <v>4441</v>
      </c>
      <c r="B710" s="2" t="s">
        <v>683</v>
      </c>
      <c r="D710" s="66" t="str">
        <f>VLOOKUP("*"&amp;A710&amp;"*",[2]Sheet1!$G$2:$X$1155,18,FALSE)</f>
        <v>ERR10549364</v>
      </c>
      <c r="E710" s="2" t="s">
        <v>118</v>
      </c>
      <c r="F710" s="2" t="s">
        <v>118</v>
      </c>
      <c r="G710" s="2" t="s">
        <v>318</v>
      </c>
      <c r="H710" s="2" t="s">
        <v>2386</v>
      </c>
      <c r="I710" s="2" t="s">
        <v>338</v>
      </c>
      <c r="J710" s="2" t="s">
        <v>685</v>
      </c>
      <c r="K710" s="2" t="s">
        <v>686</v>
      </c>
      <c r="L710" s="2" t="s">
        <v>684</v>
      </c>
      <c r="M710" s="2">
        <v>202</v>
      </c>
      <c r="N710" s="2" t="s">
        <v>152</v>
      </c>
      <c r="T710" s="2" t="s">
        <v>16964</v>
      </c>
    </row>
    <row r="711" spans="1:25" s="13" customFormat="1" hidden="1">
      <c r="A711" s="3" t="s">
        <v>4444</v>
      </c>
      <c r="B711" s="2" t="s">
        <v>687</v>
      </c>
      <c r="C711" s="2"/>
      <c r="D711" s="66" t="str">
        <f>VLOOKUP("*"&amp;A711&amp;"*",[2]Sheet1!$G$2:$X$1155,18,FALSE)</f>
        <v>ERR10549336</v>
      </c>
      <c r="E711" s="2" t="s">
        <v>118</v>
      </c>
      <c r="F711" s="2" t="s">
        <v>118</v>
      </c>
      <c r="G711" s="2" t="s">
        <v>318</v>
      </c>
      <c r="H711" s="2" t="s">
        <v>2386</v>
      </c>
      <c r="I711" s="2" t="s">
        <v>338</v>
      </c>
      <c r="J711" s="2" t="s">
        <v>689</v>
      </c>
      <c r="K711" s="2" t="s">
        <v>690</v>
      </c>
      <c r="L711" s="2" t="s">
        <v>688</v>
      </c>
      <c r="M711" s="2">
        <v>131</v>
      </c>
      <c r="N711" s="2" t="s">
        <v>152</v>
      </c>
      <c r="O711" s="2"/>
      <c r="P711" s="2"/>
      <c r="Q711" s="2"/>
      <c r="R711" s="2"/>
      <c r="S711" s="2"/>
      <c r="T711" s="2" t="s">
        <v>16964</v>
      </c>
      <c r="U711" s="2"/>
      <c r="V711" s="2"/>
      <c r="W711" s="2"/>
      <c r="X711" s="2"/>
      <c r="Y711" s="2"/>
    </row>
    <row r="712" spans="1:25" hidden="1">
      <c r="A712" s="3" t="s">
        <v>4206</v>
      </c>
      <c r="B712" s="2" t="s">
        <v>691</v>
      </c>
      <c r="D712" s="66" t="str">
        <f>VLOOKUP("*"&amp;A712&amp;"*",[2]Sheet1!$G$2:$X$1155,18,FALSE)</f>
        <v>ERR10549343</v>
      </c>
      <c r="E712" s="2" t="s">
        <v>118</v>
      </c>
      <c r="F712" s="2" t="s">
        <v>118</v>
      </c>
      <c r="G712" s="2" t="s">
        <v>318</v>
      </c>
      <c r="H712" s="2" t="s">
        <v>2386</v>
      </c>
      <c r="I712" s="2" t="s">
        <v>10</v>
      </c>
      <c r="J712" s="2" t="s">
        <v>12</v>
      </c>
      <c r="K712" s="2" t="s">
        <v>692</v>
      </c>
      <c r="L712" s="2" t="s">
        <v>11</v>
      </c>
      <c r="M712" s="2">
        <v>66</v>
      </c>
      <c r="N712" s="2" t="s">
        <v>14</v>
      </c>
      <c r="T712" s="2" t="s">
        <v>16964</v>
      </c>
    </row>
    <row r="713" spans="1:25" hidden="1">
      <c r="A713" s="3" t="s">
        <v>3186</v>
      </c>
      <c r="B713" s="2" t="s">
        <v>693</v>
      </c>
      <c r="D713" s="66" t="str">
        <f>VLOOKUP("*"&amp;A713&amp;"*",[2]Sheet1!$G$2:$X$1155,18,FALSE)</f>
        <v>ERR10549344</v>
      </c>
      <c r="E713" s="2" t="s">
        <v>118</v>
      </c>
      <c r="F713" s="2" t="s">
        <v>118</v>
      </c>
      <c r="G713" s="2" t="s">
        <v>5</v>
      </c>
      <c r="H713" s="2" t="s">
        <v>5</v>
      </c>
      <c r="I713" s="2" t="s">
        <v>6</v>
      </c>
      <c r="J713" s="2" t="s">
        <v>20</v>
      </c>
      <c r="K713" s="2" t="s">
        <v>694</v>
      </c>
      <c r="L713" s="2" t="s">
        <v>19</v>
      </c>
      <c r="M713" s="2">
        <v>122</v>
      </c>
      <c r="N713" s="2" t="s">
        <v>21</v>
      </c>
      <c r="T713" s="2" t="s">
        <v>16964</v>
      </c>
    </row>
    <row r="714" spans="1:25" hidden="1">
      <c r="A714" s="3" t="s">
        <v>2940</v>
      </c>
      <c r="B714" s="2" t="s">
        <v>695</v>
      </c>
      <c r="D714" s="66" t="str">
        <f>VLOOKUP("*"&amp;A714&amp;"*",[2]Sheet1!$G$2:$X$1155,18,FALSE)</f>
        <v>ERR10549413</v>
      </c>
      <c r="E714" s="2" t="s">
        <v>118</v>
      </c>
      <c r="F714" s="2" t="s">
        <v>118</v>
      </c>
      <c r="G714" s="2" t="s">
        <v>5</v>
      </c>
      <c r="H714" s="2" t="s">
        <v>5</v>
      </c>
      <c r="I714" s="2" t="s">
        <v>6</v>
      </c>
      <c r="J714" s="2" t="s">
        <v>8</v>
      </c>
      <c r="K714" s="2" t="s">
        <v>696</v>
      </c>
      <c r="L714" s="2" t="s">
        <v>7</v>
      </c>
      <c r="M714" s="2">
        <v>121</v>
      </c>
      <c r="N714" s="2" t="s">
        <v>9</v>
      </c>
      <c r="T714" s="2" t="s">
        <v>16963</v>
      </c>
      <c r="X714" s="67" t="s">
        <v>4722</v>
      </c>
    </row>
    <row r="715" spans="1:25" hidden="1">
      <c r="A715" s="3" t="s">
        <v>4189</v>
      </c>
      <c r="B715" s="2" t="s">
        <v>697</v>
      </c>
      <c r="D715" s="66" t="str">
        <f>VLOOKUP("*"&amp;A715&amp;"*",[2]Sheet1!$G$2:$X$1155,18,FALSE)</f>
        <v>ERR10549342</v>
      </c>
      <c r="E715" s="2" t="s">
        <v>118</v>
      </c>
      <c r="F715" s="2" t="s">
        <v>118</v>
      </c>
      <c r="G715" s="2" t="s">
        <v>5</v>
      </c>
      <c r="H715" s="2" t="s">
        <v>5</v>
      </c>
      <c r="I715" s="2" t="s">
        <v>6</v>
      </c>
      <c r="J715" s="2" t="s">
        <v>120</v>
      </c>
      <c r="K715" s="2" t="s">
        <v>698</v>
      </c>
      <c r="L715" s="2" t="s">
        <v>119</v>
      </c>
      <c r="M715" s="2">
        <v>155</v>
      </c>
      <c r="N715" s="2" t="s">
        <v>9</v>
      </c>
      <c r="T715" s="2" t="s">
        <v>16964</v>
      </c>
    </row>
    <row r="716" spans="1:25" hidden="1">
      <c r="A716" s="3" t="s">
        <v>2868</v>
      </c>
      <c r="B716" s="2" t="s">
        <v>699</v>
      </c>
      <c r="D716" s="66" t="str">
        <f>VLOOKUP("*"&amp;A716&amp;"*",[2]Sheet1!$G$2:$X$1155,18,FALSE)</f>
        <v>ERR10549416</v>
      </c>
      <c r="E716" s="2" t="s">
        <v>118</v>
      </c>
      <c r="F716" s="2" t="s">
        <v>118</v>
      </c>
      <c r="G716" s="2" t="s">
        <v>5</v>
      </c>
      <c r="H716" s="2" t="s">
        <v>5</v>
      </c>
      <c r="I716" s="2" t="s">
        <v>6</v>
      </c>
      <c r="J716" s="2" t="s">
        <v>415</v>
      </c>
      <c r="K716" s="2" t="s">
        <v>700</v>
      </c>
      <c r="L716" s="2" t="s">
        <v>414</v>
      </c>
      <c r="M716" s="2">
        <v>204</v>
      </c>
      <c r="N716" s="2" t="s">
        <v>9</v>
      </c>
      <c r="T716" s="2" t="s">
        <v>16964</v>
      </c>
    </row>
    <row r="717" spans="1:25" hidden="1">
      <c r="A717" s="3" t="s">
        <v>3979</v>
      </c>
      <c r="B717" s="2" t="s">
        <v>701</v>
      </c>
      <c r="D717" s="66" t="str">
        <f>VLOOKUP("*"&amp;A717&amp;"*",[2]Sheet1!$G$2:$X$1155,18,FALSE)</f>
        <v>ERR10549321</v>
      </c>
      <c r="E717" s="2" t="s">
        <v>118</v>
      </c>
      <c r="F717" s="2" t="s">
        <v>118</v>
      </c>
      <c r="G717" s="2" t="s">
        <v>5</v>
      </c>
      <c r="H717" s="2" t="s">
        <v>5</v>
      </c>
      <c r="I717" s="2" t="s">
        <v>6</v>
      </c>
      <c r="J717" s="2" t="s">
        <v>8</v>
      </c>
      <c r="K717" s="2" t="s">
        <v>702</v>
      </c>
      <c r="L717" s="2" t="s">
        <v>7</v>
      </c>
      <c r="M717" s="2">
        <v>121</v>
      </c>
      <c r="N717" s="2" t="s">
        <v>9</v>
      </c>
      <c r="T717" s="2" t="s">
        <v>16963</v>
      </c>
      <c r="X717" s="67" t="s">
        <v>4725</v>
      </c>
    </row>
    <row r="718" spans="1:25" hidden="1">
      <c r="A718" s="3" t="s">
        <v>3758</v>
      </c>
      <c r="B718" s="2" t="s">
        <v>703</v>
      </c>
      <c r="D718" s="66" t="str">
        <f>VLOOKUP("*"&amp;A718&amp;"*",[2]Sheet1!$G$2:$X$1155,18,FALSE)</f>
        <v>ERR10549362</v>
      </c>
      <c r="E718" s="2" t="s">
        <v>118</v>
      </c>
      <c r="F718" s="2" t="s">
        <v>118</v>
      </c>
      <c r="G718" s="2" t="s">
        <v>5</v>
      </c>
      <c r="H718" s="2" t="s">
        <v>5</v>
      </c>
      <c r="I718" s="2" t="s">
        <v>6</v>
      </c>
      <c r="J718" s="2" t="s">
        <v>40</v>
      </c>
      <c r="K718" s="2" t="s">
        <v>704</v>
      </c>
      <c r="L718" s="2" t="s">
        <v>39</v>
      </c>
      <c r="M718" s="2">
        <v>37</v>
      </c>
      <c r="N718" s="2" t="s">
        <v>9</v>
      </c>
      <c r="T718" s="2" t="s">
        <v>16964</v>
      </c>
    </row>
    <row r="719" spans="1:25" hidden="1">
      <c r="A719" s="3" t="s">
        <v>3254</v>
      </c>
      <c r="B719" s="2" t="s">
        <v>705</v>
      </c>
      <c r="D719" s="66" t="str">
        <f>VLOOKUP("*"&amp;A719&amp;"*",[2]Sheet1!$G$2:$X$1155,18,FALSE)</f>
        <v>ERR10549406</v>
      </c>
      <c r="E719" s="2" t="s">
        <v>118</v>
      </c>
      <c r="F719" s="2" t="s">
        <v>118</v>
      </c>
      <c r="G719" s="2" t="s">
        <v>5</v>
      </c>
      <c r="H719" s="2" t="s">
        <v>5</v>
      </c>
      <c r="I719" s="2" t="s">
        <v>6</v>
      </c>
      <c r="J719" s="2" t="s">
        <v>120</v>
      </c>
      <c r="K719" s="2" t="s">
        <v>4708</v>
      </c>
      <c r="L719" s="2" t="s">
        <v>119</v>
      </c>
      <c r="M719" s="2">
        <v>155</v>
      </c>
      <c r="N719" s="2" t="s">
        <v>9</v>
      </c>
      <c r="T719" s="2" t="s">
        <v>16963</v>
      </c>
      <c r="U719" s="67" t="s">
        <v>2627</v>
      </c>
    </row>
    <row r="720" spans="1:25" hidden="1">
      <c r="A720" s="3" t="s">
        <v>3828</v>
      </c>
      <c r="B720" s="2" t="s">
        <v>706</v>
      </c>
      <c r="D720" s="66" t="str">
        <f>VLOOKUP("*"&amp;A720&amp;"*",[2]Sheet1!$G$2:$X$1155,18,FALSE)</f>
        <v>ERR10549404</v>
      </c>
      <c r="E720" s="2" t="s">
        <v>118</v>
      </c>
      <c r="F720" s="2" t="s">
        <v>118</v>
      </c>
      <c r="G720" s="2" t="s">
        <v>5</v>
      </c>
      <c r="H720" s="2" t="s">
        <v>5</v>
      </c>
      <c r="I720" s="2" t="s">
        <v>10</v>
      </c>
      <c r="J720" s="2" t="s">
        <v>12</v>
      </c>
      <c r="K720" s="2" t="s">
        <v>707</v>
      </c>
      <c r="L720" s="2" t="s">
        <v>11</v>
      </c>
      <c r="M720" s="2">
        <v>3</v>
      </c>
      <c r="N720" s="2" t="s">
        <v>14</v>
      </c>
      <c r="T720" s="2" t="s">
        <v>16964</v>
      </c>
    </row>
    <row r="721" spans="1:24" hidden="1">
      <c r="A721" s="3" t="s">
        <v>3901</v>
      </c>
      <c r="B721" s="2" t="s">
        <v>708</v>
      </c>
      <c r="D721" s="66" t="s">
        <v>17323</v>
      </c>
      <c r="E721" s="2" t="s">
        <v>118</v>
      </c>
      <c r="F721" s="2" t="s">
        <v>118</v>
      </c>
      <c r="G721" s="2" t="s">
        <v>5</v>
      </c>
      <c r="H721" s="2" t="s">
        <v>5</v>
      </c>
      <c r="I721" s="2" t="s">
        <v>10</v>
      </c>
      <c r="J721" s="2" t="s">
        <v>35</v>
      </c>
      <c r="K721" s="2" t="s">
        <v>131</v>
      </c>
      <c r="L721" s="2" t="s">
        <v>34</v>
      </c>
      <c r="M721" s="2">
        <v>52</v>
      </c>
      <c r="N721" s="2" t="s">
        <v>14</v>
      </c>
      <c r="T721" s="2" t="s">
        <v>16963</v>
      </c>
      <c r="U721" s="67" t="s">
        <v>2627</v>
      </c>
    </row>
    <row r="722" spans="1:24" hidden="1">
      <c r="A722" s="3" t="s">
        <v>4351</v>
      </c>
      <c r="B722" s="2" t="s">
        <v>709</v>
      </c>
      <c r="D722" s="66" t="str">
        <f>VLOOKUP("*"&amp;A722&amp;"*",[2]Sheet1!$G$2:$X$1155,18,FALSE)</f>
        <v>ERR10549325</v>
      </c>
      <c r="E722" s="2" t="s">
        <v>118</v>
      </c>
      <c r="F722" s="2" t="s">
        <v>118</v>
      </c>
      <c r="G722" s="2" t="s">
        <v>5</v>
      </c>
      <c r="H722" s="2" t="s">
        <v>5</v>
      </c>
      <c r="I722" s="2" t="s">
        <v>6</v>
      </c>
      <c r="J722" s="2" t="s">
        <v>20</v>
      </c>
      <c r="K722" s="2" t="s">
        <v>710</v>
      </c>
      <c r="L722" s="2" t="s">
        <v>19</v>
      </c>
      <c r="M722" s="2">
        <v>9</v>
      </c>
      <c r="N722" s="2" t="s">
        <v>21</v>
      </c>
      <c r="T722" s="2" t="s">
        <v>16964</v>
      </c>
    </row>
    <row r="723" spans="1:24" hidden="1">
      <c r="A723" s="3" t="s">
        <v>3109</v>
      </c>
      <c r="B723" s="2" t="s">
        <v>711</v>
      </c>
      <c r="D723" s="66" t="str">
        <f>VLOOKUP("*"&amp;A723&amp;"*",[2]Sheet1!$G$2:$X$1155,18,FALSE)</f>
        <v>ERR10549351</v>
      </c>
      <c r="E723" s="2" t="s">
        <v>118</v>
      </c>
      <c r="F723" s="2" t="s">
        <v>118</v>
      </c>
      <c r="G723" s="2" t="s">
        <v>5</v>
      </c>
      <c r="H723" s="2" t="s">
        <v>5</v>
      </c>
      <c r="I723" s="2" t="s">
        <v>6</v>
      </c>
      <c r="J723" s="2" t="s">
        <v>20</v>
      </c>
      <c r="K723" s="2" t="s">
        <v>712</v>
      </c>
      <c r="L723" s="2" t="s">
        <v>19</v>
      </c>
      <c r="M723" s="2">
        <v>9</v>
      </c>
      <c r="N723" s="2" t="s">
        <v>21</v>
      </c>
      <c r="T723" s="2" t="s">
        <v>16964</v>
      </c>
    </row>
    <row r="724" spans="1:24" hidden="1">
      <c r="A724" s="3" t="s">
        <v>3673</v>
      </c>
      <c r="B724" s="2" t="s">
        <v>713</v>
      </c>
      <c r="D724" s="66" t="str">
        <f>VLOOKUP("*"&amp;A724&amp;"*",[2]Sheet1!$G$2:$X$1155,18,FALSE)</f>
        <v>ERR10549331</v>
      </c>
      <c r="E724" s="2" t="s">
        <v>118</v>
      </c>
      <c r="F724" s="2" t="s">
        <v>118</v>
      </c>
      <c r="G724" s="2" t="s">
        <v>5</v>
      </c>
      <c r="H724" s="2" t="s">
        <v>5</v>
      </c>
      <c r="I724" s="2" t="s">
        <v>6</v>
      </c>
      <c r="J724" s="2" t="s">
        <v>20</v>
      </c>
      <c r="K724" s="2" t="s">
        <v>714</v>
      </c>
      <c r="L724" s="2" t="s">
        <v>19</v>
      </c>
      <c r="M724" s="2">
        <v>9</v>
      </c>
      <c r="N724" s="2" t="s">
        <v>21</v>
      </c>
      <c r="T724" s="2" t="s">
        <v>16963</v>
      </c>
      <c r="U724" s="67" t="s">
        <v>2627</v>
      </c>
    </row>
    <row r="725" spans="1:24" hidden="1">
      <c r="A725" s="3" t="s">
        <v>2894</v>
      </c>
      <c r="B725" s="2" t="s">
        <v>715</v>
      </c>
      <c r="D725" s="66" t="str">
        <f>VLOOKUP("*"&amp;A725&amp;"*",[2]Sheet1!$G$2:$X$1155,18,FALSE)</f>
        <v>ERR10549372</v>
      </c>
      <c r="E725" s="2" t="s">
        <v>118</v>
      </c>
      <c r="F725" s="2" t="s">
        <v>118</v>
      </c>
      <c r="G725" s="2" t="s">
        <v>5</v>
      </c>
      <c r="H725" s="2" t="s">
        <v>5</v>
      </c>
      <c r="I725" s="2" t="s">
        <v>6</v>
      </c>
      <c r="J725" s="2" t="s">
        <v>603</v>
      </c>
      <c r="K725" s="2" t="s">
        <v>716</v>
      </c>
      <c r="L725" s="2" t="s">
        <v>87</v>
      </c>
      <c r="M725" s="2">
        <v>31</v>
      </c>
      <c r="N725" s="2" t="s">
        <v>9</v>
      </c>
      <c r="T725" s="2" t="s">
        <v>16964</v>
      </c>
    </row>
    <row r="726" spans="1:24" hidden="1">
      <c r="A726" s="3" t="s">
        <v>3143</v>
      </c>
      <c r="B726" s="2" t="s">
        <v>717</v>
      </c>
      <c r="D726" s="66" t="str">
        <f>VLOOKUP("*"&amp;A726&amp;"*",[2]Sheet1!$G$2:$X$1155,18,FALSE)</f>
        <v>ERR10549340</v>
      </c>
      <c r="E726" s="2" t="s">
        <v>118</v>
      </c>
      <c r="F726" s="2" t="s">
        <v>118</v>
      </c>
      <c r="G726" s="2" t="s">
        <v>5</v>
      </c>
      <c r="H726" s="2" t="s">
        <v>5</v>
      </c>
      <c r="I726" s="2" t="s">
        <v>6</v>
      </c>
      <c r="J726" s="2" t="s">
        <v>8</v>
      </c>
      <c r="K726" s="2" t="s">
        <v>718</v>
      </c>
      <c r="L726" s="2" t="s">
        <v>7</v>
      </c>
      <c r="M726" s="2">
        <v>121</v>
      </c>
      <c r="N726" s="2" t="s">
        <v>9</v>
      </c>
      <c r="T726" s="2" t="s">
        <v>16963</v>
      </c>
      <c r="X726" s="67" t="s">
        <v>4722</v>
      </c>
    </row>
    <row r="727" spans="1:24" hidden="1">
      <c r="A727" s="3" t="s">
        <v>3185</v>
      </c>
      <c r="B727" s="2" t="s">
        <v>719</v>
      </c>
      <c r="D727" s="66" t="str">
        <f>VLOOKUP("*"&amp;A727&amp;"*",[2]Sheet1!$G$2:$X$1155,18,FALSE)</f>
        <v>ERR10549998</v>
      </c>
      <c r="E727" s="2" t="s">
        <v>118</v>
      </c>
      <c r="F727" s="2" t="s">
        <v>2696</v>
      </c>
      <c r="G727" s="2" t="s">
        <v>5</v>
      </c>
      <c r="H727" s="2" t="s">
        <v>5</v>
      </c>
      <c r="I727" s="2" t="s">
        <v>6</v>
      </c>
      <c r="J727" s="2" t="s">
        <v>20</v>
      </c>
      <c r="K727" s="2" t="s">
        <v>720</v>
      </c>
      <c r="L727" s="2" t="s">
        <v>19</v>
      </c>
      <c r="M727" s="2">
        <v>9</v>
      </c>
      <c r="N727" s="2" t="s">
        <v>21</v>
      </c>
      <c r="T727" s="2" t="s">
        <v>16963</v>
      </c>
      <c r="X727" s="67" t="s">
        <v>4723</v>
      </c>
    </row>
    <row r="728" spans="1:24" hidden="1">
      <c r="A728" s="3" t="s">
        <v>3196</v>
      </c>
      <c r="B728" s="2" t="s">
        <v>721</v>
      </c>
      <c r="D728" s="66" t="str">
        <f>VLOOKUP("*"&amp;A728&amp;"*",[2]Sheet1!$G$2:$X$1155,18,FALSE)</f>
        <v>ERR10549327</v>
      </c>
      <c r="E728" s="2" t="s">
        <v>118</v>
      </c>
      <c r="F728" s="2" t="s">
        <v>118</v>
      </c>
      <c r="G728" s="2" t="s">
        <v>5</v>
      </c>
      <c r="H728" s="2" t="s">
        <v>5</v>
      </c>
      <c r="I728" s="2" t="s">
        <v>10</v>
      </c>
      <c r="J728" s="2" t="s">
        <v>17</v>
      </c>
      <c r="K728" s="2" t="s">
        <v>722</v>
      </c>
      <c r="L728" s="2" t="s">
        <v>16</v>
      </c>
      <c r="M728" s="2">
        <v>2</v>
      </c>
      <c r="N728" s="2" t="s">
        <v>18</v>
      </c>
      <c r="T728" s="2" t="s">
        <v>16964</v>
      </c>
    </row>
    <row r="729" spans="1:24" hidden="1">
      <c r="A729" s="3" t="s">
        <v>2864</v>
      </c>
      <c r="B729" s="2" t="s">
        <v>1184</v>
      </c>
      <c r="D729" s="66" t="str">
        <f>VLOOKUP("*"&amp;A729&amp;"*",[2]Sheet1!$G$2:$X$1155,18,FALSE)</f>
        <v>ERR10616656</v>
      </c>
      <c r="E729" s="2" t="s">
        <v>118</v>
      </c>
      <c r="F729" s="2" t="s">
        <v>118</v>
      </c>
      <c r="G729" s="2" t="s">
        <v>43</v>
      </c>
      <c r="H729" s="2" t="s">
        <v>43</v>
      </c>
      <c r="I729" s="2" t="s">
        <v>10</v>
      </c>
      <c r="J729" s="2" t="s">
        <v>12</v>
      </c>
      <c r="K729" s="2" t="s">
        <v>1185</v>
      </c>
      <c r="L729" s="2" t="s">
        <v>11</v>
      </c>
      <c r="M729" s="2">
        <v>3</v>
      </c>
      <c r="N729" s="2" t="s">
        <v>14</v>
      </c>
      <c r="T729" s="2" t="s">
        <v>16964</v>
      </c>
    </row>
    <row r="730" spans="1:24" hidden="1">
      <c r="A730" s="3" t="s">
        <v>2869</v>
      </c>
      <c r="B730" s="2" t="s">
        <v>723</v>
      </c>
      <c r="D730" s="66" t="str">
        <f>VLOOKUP("*"&amp;A730&amp;"*",[2]Sheet1!$G$2:$X$1155,18,FALSE)</f>
        <v>ERR10549350</v>
      </c>
      <c r="E730" s="2" t="s">
        <v>118</v>
      </c>
      <c r="F730" s="2" t="s">
        <v>118</v>
      </c>
      <c r="G730" s="2" t="s">
        <v>43</v>
      </c>
      <c r="H730" s="2" t="s">
        <v>43</v>
      </c>
      <c r="I730" s="2" t="s">
        <v>6</v>
      </c>
      <c r="J730" s="2" t="s">
        <v>415</v>
      </c>
      <c r="K730" s="2" t="s">
        <v>724</v>
      </c>
      <c r="L730" s="2" t="s">
        <v>414</v>
      </c>
      <c r="M730" s="2">
        <v>204</v>
      </c>
      <c r="N730" s="2" t="s">
        <v>9</v>
      </c>
      <c r="T730" s="2" t="s">
        <v>16964</v>
      </c>
    </row>
    <row r="731" spans="1:24" hidden="1">
      <c r="A731" s="3" t="s">
        <v>2833</v>
      </c>
      <c r="B731" s="2" t="s">
        <v>725</v>
      </c>
      <c r="D731" s="66" t="str">
        <f>VLOOKUP("*"&amp;A731&amp;"*",[2]Sheet1!$G$2:$X$1155,18,FALSE)</f>
        <v>ERR10549349</v>
      </c>
      <c r="E731" s="2" t="s">
        <v>118</v>
      </c>
      <c r="F731" s="2" t="s">
        <v>118</v>
      </c>
      <c r="G731" s="2" t="s">
        <v>5</v>
      </c>
      <c r="H731" s="2" t="s">
        <v>5</v>
      </c>
      <c r="I731" s="2" t="s">
        <v>6</v>
      </c>
      <c r="J731" s="2" t="s">
        <v>415</v>
      </c>
      <c r="K731" s="2" t="s">
        <v>416</v>
      </c>
      <c r="L731" s="2" t="s">
        <v>414</v>
      </c>
      <c r="M731" s="2">
        <v>204</v>
      </c>
      <c r="N731" s="2" t="s">
        <v>9</v>
      </c>
      <c r="T731" s="2" t="s">
        <v>16964</v>
      </c>
    </row>
    <row r="732" spans="1:24" hidden="1">
      <c r="A732" s="3" t="s">
        <v>2973</v>
      </c>
      <c r="B732" s="2" t="s">
        <v>726</v>
      </c>
      <c r="D732" s="66" t="str">
        <f>VLOOKUP("*"&amp;A732&amp;"*",[2]Sheet1!$G$2:$X$1155,18,FALSE)</f>
        <v>ERR10549352</v>
      </c>
      <c r="E732" s="2" t="s">
        <v>118</v>
      </c>
      <c r="F732" s="2" t="s">
        <v>118</v>
      </c>
      <c r="G732" s="2" t="s">
        <v>5</v>
      </c>
      <c r="H732" s="2" t="s">
        <v>2387</v>
      </c>
      <c r="I732" s="2" t="s">
        <v>6</v>
      </c>
      <c r="J732" s="2" t="s">
        <v>8</v>
      </c>
      <c r="K732" s="2" t="s">
        <v>504</v>
      </c>
      <c r="L732" s="2" t="s">
        <v>7</v>
      </c>
      <c r="M732" s="2">
        <v>121</v>
      </c>
      <c r="N732" s="2" t="s">
        <v>9</v>
      </c>
      <c r="T732" s="2" t="s">
        <v>16963</v>
      </c>
      <c r="X732" s="67" t="s">
        <v>4722</v>
      </c>
    </row>
    <row r="733" spans="1:24" hidden="1">
      <c r="A733" s="3" t="s">
        <v>3032</v>
      </c>
      <c r="B733" s="2" t="s">
        <v>727</v>
      </c>
      <c r="D733" s="66" t="str">
        <f>VLOOKUP("*"&amp;A733&amp;"*",[2]Sheet1!$G$2:$X$1155,18,FALSE)</f>
        <v>ERR10549347</v>
      </c>
      <c r="E733" s="2" t="s">
        <v>118</v>
      </c>
      <c r="F733" s="2" t="s">
        <v>118</v>
      </c>
      <c r="G733" s="2" t="s">
        <v>5</v>
      </c>
      <c r="H733" s="2" t="s">
        <v>2388</v>
      </c>
      <c r="I733" s="2" t="s">
        <v>6</v>
      </c>
      <c r="J733" s="2" t="s">
        <v>8</v>
      </c>
      <c r="K733" s="2" t="s">
        <v>728</v>
      </c>
      <c r="L733" s="2" t="s">
        <v>7</v>
      </c>
      <c r="M733" s="2">
        <v>121</v>
      </c>
      <c r="N733" s="2" t="s">
        <v>9</v>
      </c>
      <c r="T733" s="2" t="s">
        <v>16963</v>
      </c>
      <c r="X733" s="67" t="s">
        <v>4722</v>
      </c>
    </row>
    <row r="734" spans="1:24" hidden="1">
      <c r="A734" s="3" t="s">
        <v>3048</v>
      </c>
      <c r="B734" s="2" t="s">
        <v>729</v>
      </c>
      <c r="D734" s="66" t="str">
        <f>VLOOKUP("*"&amp;A734&amp;"*",[2]Sheet1!$G$2:$X$1155,18,FALSE)</f>
        <v>ERR10549357</v>
      </c>
      <c r="E734" s="2" t="s">
        <v>118</v>
      </c>
      <c r="F734" s="2" t="s">
        <v>118</v>
      </c>
      <c r="G734" s="2" t="s">
        <v>5</v>
      </c>
      <c r="H734" s="2" t="s">
        <v>2370</v>
      </c>
      <c r="I734" s="2" t="s">
        <v>6</v>
      </c>
      <c r="J734" s="2" t="s">
        <v>8</v>
      </c>
      <c r="K734" s="2" t="s">
        <v>730</v>
      </c>
      <c r="L734" s="2" t="s">
        <v>7</v>
      </c>
      <c r="M734" s="2">
        <v>121</v>
      </c>
      <c r="N734" s="2" t="s">
        <v>9</v>
      </c>
      <c r="T734" s="2" t="s">
        <v>16963</v>
      </c>
      <c r="X734" s="67" t="s">
        <v>4722</v>
      </c>
    </row>
    <row r="735" spans="1:24" hidden="1">
      <c r="A735" s="3" t="s">
        <v>3378</v>
      </c>
      <c r="B735" s="2" t="s">
        <v>731</v>
      </c>
      <c r="D735" s="66" t="str">
        <f>VLOOKUP("*"&amp;A735&amp;"*",[2]Sheet1!$G$2:$X$1155,18,FALSE)</f>
        <v>ERR10549348</v>
      </c>
      <c r="E735" s="2" t="s">
        <v>118</v>
      </c>
      <c r="F735" s="2" t="s">
        <v>118</v>
      </c>
      <c r="G735" s="2" t="s">
        <v>43</v>
      </c>
      <c r="H735" s="2" t="s">
        <v>2399</v>
      </c>
      <c r="I735" s="2" t="s">
        <v>6</v>
      </c>
      <c r="J735" s="2" t="s">
        <v>8</v>
      </c>
      <c r="K735" s="2" t="s">
        <v>732</v>
      </c>
      <c r="L735" s="2" t="s">
        <v>7</v>
      </c>
      <c r="M735" s="2">
        <v>121</v>
      </c>
      <c r="N735" s="2" t="s">
        <v>9</v>
      </c>
      <c r="T735" s="2" t="s">
        <v>16963</v>
      </c>
      <c r="X735" s="67" t="s">
        <v>4722</v>
      </c>
    </row>
    <row r="736" spans="1:24" hidden="1">
      <c r="A736" s="3" t="s">
        <v>3330</v>
      </c>
      <c r="B736" s="2" t="s">
        <v>733</v>
      </c>
      <c r="D736" s="66" t="str">
        <f>VLOOKUP("*"&amp;A736&amp;"*",[2]Sheet1!$G$2:$X$1155,18,FALSE)</f>
        <v>ERR10549358</v>
      </c>
      <c r="E736" s="2" t="s">
        <v>118</v>
      </c>
      <c r="F736" s="2" t="s">
        <v>118</v>
      </c>
      <c r="G736" s="2" t="s">
        <v>5</v>
      </c>
      <c r="H736" s="2" t="s">
        <v>2387</v>
      </c>
      <c r="I736" s="2" t="s">
        <v>6</v>
      </c>
      <c r="J736" s="2" t="s">
        <v>29</v>
      </c>
      <c r="K736" s="2" t="s">
        <v>66</v>
      </c>
      <c r="L736" s="2" t="s">
        <v>28</v>
      </c>
      <c r="M736" s="2">
        <v>8</v>
      </c>
      <c r="N736" s="2" t="s">
        <v>9</v>
      </c>
      <c r="T736" s="2" t="s">
        <v>16964</v>
      </c>
    </row>
    <row r="737" spans="1:24" hidden="1">
      <c r="A737" s="3" t="s">
        <v>3328</v>
      </c>
      <c r="B737" s="2" t="s">
        <v>734</v>
      </c>
      <c r="D737" s="66" t="str">
        <f>VLOOKUP("*"&amp;A737&amp;"*",[2]Sheet1!$G$2:$X$1155,18,FALSE)</f>
        <v>ERR10549360</v>
      </c>
      <c r="E737" s="2" t="s">
        <v>118</v>
      </c>
      <c r="F737" s="2" t="s">
        <v>118</v>
      </c>
      <c r="G737" s="2" t="s">
        <v>43</v>
      </c>
      <c r="H737" s="2" t="s">
        <v>2400</v>
      </c>
      <c r="I737" s="2" t="s">
        <v>6</v>
      </c>
      <c r="J737" s="2" t="s">
        <v>29</v>
      </c>
      <c r="K737" s="2" t="s">
        <v>735</v>
      </c>
      <c r="L737" s="2" t="s">
        <v>28</v>
      </c>
      <c r="M737" s="2">
        <v>8</v>
      </c>
      <c r="N737" s="2" t="s">
        <v>9</v>
      </c>
      <c r="T737" s="2" t="s">
        <v>16964</v>
      </c>
    </row>
    <row r="738" spans="1:24" hidden="1">
      <c r="A738" s="3" t="s">
        <v>3267</v>
      </c>
      <c r="B738" s="2">
        <v>3831</v>
      </c>
      <c r="D738" s="66" t="str">
        <f>VLOOKUP("*"&amp;A738&amp;"*",[2]Sheet1!$G$2:$X$1155,18,FALSE)</f>
        <v>ERR10549969</v>
      </c>
      <c r="E738" s="2">
        <v>1999</v>
      </c>
      <c r="F738" s="2" t="s">
        <v>2690</v>
      </c>
      <c r="G738" s="2" t="s">
        <v>5</v>
      </c>
      <c r="H738" s="2" t="s">
        <v>5</v>
      </c>
      <c r="I738" s="2" t="s">
        <v>6</v>
      </c>
      <c r="J738" s="2" t="s">
        <v>8</v>
      </c>
      <c r="K738" s="2" t="s">
        <v>648</v>
      </c>
      <c r="L738" s="2" t="s">
        <v>7</v>
      </c>
      <c r="M738" s="2">
        <v>121</v>
      </c>
      <c r="N738" s="2" t="s">
        <v>9</v>
      </c>
      <c r="T738" s="2" t="s">
        <v>16963</v>
      </c>
      <c r="X738" s="67" t="s">
        <v>4722</v>
      </c>
    </row>
    <row r="739" spans="1:24" hidden="1">
      <c r="A739" s="3" t="s">
        <v>3655</v>
      </c>
      <c r="B739" s="2">
        <v>3269</v>
      </c>
      <c r="D739" s="66" t="str">
        <f>VLOOKUP("*"&amp;A739&amp;"*",[2]Sheet1!$G$2:$X$1155,18,FALSE)</f>
        <v>ERR10549993</v>
      </c>
      <c r="E739" s="2">
        <v>2001</v>
      </c>
      <c r="F739" s="2" t="s">
        <v>2690</v>
      </c>
      <c r="G739" s="2" t="s">
        <v>43</v>
      </c>
      <c r="H739" s="2" t="s">
        <v>43</v>
      </c>
      <c r="I739" s="2" t="s">
        <v>6</v>
      </c>
      <c r="J739" s="2" t="s">
        <v>8</v>
      </c>
      <c r="K739" s="2" t="s">
        <v>504</v>
      </c>
      <c r="L739" s="2" t="s">
        <v>7</v>
      </c>
      <c r="M739" s="2">
        <v>121</v>
      </c>
      <c r="N739" s="2" t="s">
        <v>9</v>
      </c>
      <c r="T739" s="2" t="s">
        <v>16963</v>
      </c>
      <c r="X739" s="67" t="s">
        <v>4722</v>
      </c>
    </row>
    <row r="740" spans="1:24" hidden="1">
      <c r="A740" s="3" t="s">
        <v>2939</v>
      </c>
      <c r="B740" s="2">
        <v>3472</v>
      </c>
      <c r="D740" s="66" t="str">
        <f>VLOOKUP("*"&amp;A740&amp;"*",[2]Sheet1!$G$2:$X$1155,18,FALSE)</f>
        <v>ERR10549994</v>
      </c>
      <c r="E740" s="2">
        <v>2001</v>
      </c>
      <c r="F740" s="2" t="s">
        <v>2690</v>
      </c>
      <c r="G740" s="2" t="s">
        <v>5</v>
      </c>
      <c r="H740" s="2" t="s">
        <v>5</v>
      </c>
      <c r="I740" s="2" t="s">
        <v>6</v>
      </c>
      <c r="J740" s="2" t="s">
        <v>8</v>
      </c>
      <c r="K740" s="2" t="s">
        <v>736</v>
      </c>
      <c r="L740" s="2" t="s">
        <v>7</v>
      </c>
      <c r="M740" s="2">
        <v>121</v>
      </c>
      <c r="N740" s="2" t="s">
        <v>9</v>
      </c>
      <c r="T740" s="2" t="s">
        <v>16963</v>
      </c>
      <c r="X740" s="67" t="s">
        <v>4722</v>
      </c>
    </row>
    <row r="741" spans="1:24" hidden="1">
      <c r="A741" s="3" t="s">
        <v>3701</v>
      </c>
      <c r="B741" s="2" t="s">
        <v>737</v>
      </c>
      <c r="D741" s="66" t="str">
        <f>VLOOKUP("*"&amp;A741&amp;"*",[2]Sheet1!$G$2:$X$1155,18,FALSE)</f>
        <v>ERR10549818</v>
      </c>
      <c r="E741" s="2">
        <v>2012</v>
      </c>
      <c r="F741" s="2" t="s">
        <v>2773</v>
      </c>
      <c r="G741" s="2" t="s">
        <v>5</v>
      </c>
      <c r="H741" s="2" t="s">
        <v>2389</v>
      </c>
      <c r="I741" s="2" t="s">
        <v>6</v>
      </c>
      <c r="J741" s="2" t="s">
        <v>146</v>
      </c>
      <c r="K741" s="2" t="s">
        <v>738</v>
      </c>
      <c r="L741" s="2" t="s">
        <v>145</v>
      </c>
      <c r="M741" s="2">
        <v>20</v>
      </c>
      <c r="N741" s="2" t="s">
        <v>9</v>
      </c>
      <c r="T741" s="2" t="s">
        <v>16964</v>
      </c>
    </row>
    <row r="742" spans="1:24" hidden="1">
      <c r="A742" s="3" t="s">
        <v>3406</v>
      </c>
      <c r="B742" s="2" t="s">
        <v>739</v>
      </c>
      <c r="D742" s="66" t="str">
        <f>VLOOKUP("*"&amp;A742&amp;"*",[2]Sheet1!$G$2:$X$1155,18,FALSE)</f>
        <v>ERR10549811</v>
      </c>
      <c r="E742" s="2">
        <v>2012</v>
      </c>
      <c r="F742" s="2" t="s">
        <v>2773</v>
      </c>
      <c r="G742" s="2" t="s">
        <v>5</v>
      </c>
      <c r="H742" s="2" t="s">
        <v>2394</v>
      </c>
      <c r="I742" s="2" t="s">
        <v>6</v>
      </c>
      <c r="J742" s="2" t="s">
        <v>29</v>
      </c>
      <c r="K742" s="2" t="s">
        <v>740</v>
      </c>
      <c r="L742" s="2" t="s">
        <v>28</v>
      </c>
      <c r="M742" s="2">
        <v>8</v>
      </c>
      <c r="N742" s="2" t="s">
        <v>9</v>
      </c>
      <c r="T742" s="2" t="s">
        <v>16964</v>
      </c>
    </row>
    <row r="743" spans="1:24" hidden="1">
      <c r="A743" s="3" t="s">
        <v>3700</v>
      </c>
      <c r="B743" s="2" t="s">
        <v>741</v>
      </c>
      <c r="D743" s="66" t="str">
        <f>VLOOKUP("*"&amp;A743&amp;"*",[2]Sheet1!$G$2:$X$1155,18,FALSE)</f>
        <v>ERR10549805</v>
      </c>
      <c r="E743" s="2">
        <v>2013</v>
      </c>
      <c r="F743" s="2" t="s">
        <v>2773</v>
      </c>
      <c r="G743" s="2" t="s">
        <v>5</v>
      </c>
      <c r="H743" s="2" t="s">
        <v>2395</v>
      </c>
      <c r="I743" s="2" t="s">
        <v>6</v>
      </c>
      <c r="J743" s="2" t="s">
        <v>146</v>
      </c>
      <c r="K743" s="2" t="s">
        <v>738</v>
      </c>
      <c r="L743" s="2" t="s">
        <v>145</v>
      </c>
      <c r="M743" s="2">
        <v>20</v>
      </c>
      <c r="N743" s="2" t="s">
        <v>9</v>
      </c>
      <c r="T743" s="2" t="s">
        <v>16964</v>
      </c>
    </row>
    <row r="744" spans="1:24" hidden="1">
      <c r="A744" s="3" t="s">
        <v>3697</v>
      </c>
      <c r="B744" s="2" t="s">
        <v>1186</v>
      </c>
      <c r="D744" s="66" t="str">
        <f>VLOOKUP("*"&amp;A744&amp;"*",[2]Sheet1!$G$2:$X$1155,18,FALSE)</f>
        <v>ERR10616647</v>
      </c>
      <c r="E744" s="2">
        <v>2012</v>
      </c>
      <c r="F744" s="2" t="s">
        <v>2773</v>
      </c>
      <c r="G744" s="2" t="s">
        <v>5</v>
      </c>
      <c r="H744" s="2" t="s">
        <v>2396</v>
      </c>
      <c r="I744" s="2" t="s">
        <v>6</v>
      </c>
      <c r="J744" s="2" t="s">
        <v>146</v>
      </c>
      <c r="K744" s="2" t="s">
        <v>738</v>
      </c>
      <c r="L744" s="2" t="s">
        <v>145</v>
      </c>
      <c r="M744" s="2">
        <v>20</v>
      </c>
      <c r="N744" s="2" t="s">
        <v>9</v>
      </c>
      <c r="T744" s="2" t="s">
        <v>16964</v>
      </c>
    </row>
    <row r="745" spans="1:24" hidden="1">
      <c r="A745" s="3" t="s">
        <v>3696</v>
      </c>
      <c r="B745" s="2" t="s">
        <v>742</v>
      </c>
      <c r="D745" s="66" t="str">
        <f>VLOOKUP("*"&amp;A745&amp;"*",[2]Sheet1!$G$2:$X$1155,18,FALSE)</f>
        <v>ERR10549801</v>
      </c>
      <c r="E745" s="2">
        <v>2012</v>
      </c>
      <c r="F745" s="2" t="s">
        <v>2773</v>
      </c>
      <c r="G745" s="2" t="s">
        <v>5</v>
      </c>
      <c r="H745" s="2" t="s">
        <v>2397</v>
      </c>
      <c r="I745" s="2" t="s">
        <v>6</v>
      </c>
      <c r="J745" s="2" t="s">
        <v>146</v>
      </c>
      <c r="K745" s="2" t="s">
        <v>738</v>
      </c>
      <c r="L745" s="2" t="s">
        <v>145</v>
      </c>
      <c r="M745" s="2">
        <v>20</v>
      </c>
      <c r="N745" s="2" t="s">
        <v>9</v>
      </c>
      <c r="T745" s="2" t="s">
        <v>16964</v>
      </c>
    </row>
    <row r="746" spans="1:24" hidden="1">
      <c r="A746" s="3" t="s">
        <v>3699</v>
      </c>
      <c r="B746" s="2" t="s">
        <v>743</v>
      </c>
      <c r="D746" s="66" t="str">
        <f>VLOOKUP("*"&amp;A746&amp;"*",[2]Sheet1!$G$2:$X$1155,18,FALSE)</f>
        <v>ERR10549806</v>
      </c>
      <c r="E746" s="2">
        <v>2013</v>
      </c>
      <c r="F746" s="2" t="s">
        <v>2773</v>
      </c>
      <c r="G746" s="2" t="s">
        <v>5</v>
      </c>
      <c r="H746" s="2" t="s">
        <v>2398</v>
      </c>
      <c r="I746" s="2" t="s">
        <v>6</v>
      </c>
      <c r="J746" s="2" t="s">
        <v>146</v>
      </c>
      <c r="K746" s="2" t="s">
        <v>738</v>
      </c>
      <c r="L746" s="2" t="s">
        <v>145</v>
      </c>
      <c r="M746" s="2">
        <v>20</v>
      </c>
      <c r="N746" s="2" t="s">
        <v>9</v>
      </c>
      <c r="T746" s="2" t="s">
        <v>16964</v>
      </c>
    </row>
    <row r="747" spans="1:24" hidden="1">
      <c r="A747" s="3" t="s">
        <v>2891</v>
      </c>
      <c r="B747" s="2" t="s">
        <v>744</v>
      </c>
      <c r="D747" s="66" t="str">
        <f>VLOOKUP("*"&amp;A747&amp;"*",[2]Sheet1!$G$2:$X$1155,18,FALSE)</f>
        <v>ERR10549796</v>
      </c>
      <c r="E747" s="2">
        <v>2013</v>
      </c>
      <c r="F747" s="2" t="s">
        <v>2773</v>
      </c>
      <c r="G747" s="2" t="s">
        <v>5</v>
      </c>
      <c r="H747" s="2" t="s">
        <v>2390</v>
      </c>
      <c r="I747" s="2" t="s">
        <v>6</v>
      </c>
      <c r="J747" s="2" t="s">
        <v>8</v>
      </c>
      <c r="K747" s="2" t="s">
        <v>4704</v>
      </c>
      <c r="L747" s="2" t="s">
        <v>7</v>
      </c>
      <c r="M747" s="2">
        <v>121</v>
      </c>
      <c r="N747" s="2" t="s">
        <v>9</v>
      </c>
      <c r="T747" s="2" t="s">
        <v>16963</v>
      </c>
      <c r="X747" s="67" t="s">
        <v>4722</v>
      </c>
    </row>
    <row r="748" spans="1:24" hidden="1">
      <c r="A748" s="3" t="s">
        <v>3580</v>
      </c>
      <c r="B748" s="2" t="s">
        <v>745</v>
      </c>
      <c r="D748" s="66" t="str">
        <f>VLOOKUP("*"&amp;A748&amp;"*",[2]Sheet1!$G$2:$X$1155,18,FALSE)</f>
        <v>ERR10549797</v>
      </c>
      <c r="E748" s="2">
        <v>2013</v>
      </c>
      <c r="F748" s="2" t="s">
        <v>2773</v>
      </c>
      <c r="G748" s="2" t="s">
        <v>5</v>
      </c>
      <c r="H748" s="2" t="s">
        <v>2391</v>
      </c>
      <c r="I748" s="2" t="s">
        <v>6</v>
      </c>
      <c r="J748" s="2" t="s">
        <v>8</v>
      </c>
      <c r="K748" s="2" t="s">
        <v>426</v>
      </c>
      <c r="L748" s="2" t="s">
        <v>7</v>
      </c>
      <c r="M748" s="2">
        <v>121</v>
      </c>
      <c r="N748" s="2" t="s">
        <v>9</v>
      </c>
      <c r="T748" s="2" t="s">
        <v>16963</v>
      </c>
      <c r="X748" s="67" t="s">
        <v>4722</v>
      </c>
    </row>
    <row r="749" spans="1:24" hidden="1">
      <c r="A749" s="3" t="s">
        <v>3479</v>
      </c>
      <c r="B749" s="2" t="s">
        <v>746</v>
      </c>
      <c r="D749" s="66" t="str">
        <f>VLOOKUP("*"&amp;A749&amp;"*",[2]Sheet1!$G$2:$X$1155,18,FALSE)</f>
        <v>ERR10549807</v>
      </c>
      <c r="E749" s="2">
        <v>2013</v>
      </c>
      <c r="F749" s="2" t="s">
        <v>2773</v>
      </c>
      <c r="G749" s="2" t="s">
        <v>5</v>
      </c>
      <c r="H749" s="2" t="s">
        <v>2392</v>
      </c>
      <c r="I749" s="2" t="s">
        <v>6</v>
      </c>
      <c r="J749" s="2" t="s">
        <v>29</v>
      </c>
      <c r="K749" s="2" t="s">
        <v>747</v>
      </c>
      <c r="L749" s="2" t="s">
        <v>28</v>
      </c>
      <c r="M749" s="2">
        <v>8</v>
      </c>
      <c r="N749" s="2" t="s">
        <v>9</v>
      </c>
      <c r="T749" s="2" t="s">
        <v>16964</v>
      </c>
    </row>
    <row r="750" spans="1:24" hidden="1">
      <c r="A750" s="3" t="s">
        <v>3387</v>
      </c>
      <c r="B750" s="2">
        <v>5624</v>
      </c>
      <c r="D750" s="66" t="str">
        <f>VLOOKUP("*"&amp;A750&amp;"*",[2]Sheet1!$G$2:$X$1155,18,FALSE)</f>
        <v>ERR10550004</v>
      </c>
      <c r="E750" s="2">
        <v>2010</v>
      </c>
      <c r="F750" s="2" t="s">
        <v>2690</v>
      </c>
      <c r="G750" s="2" t="s">
        <v>43</v>
      </c>
      <c r="H750" s="2" t="s">
        <v>43</v>
      </c>
      <c r="I750" s="2" t="s">
        <v>6</v>
      </c>
      <c r="J750" s="2" t="s">
        <v>115</v>
      </c>
      <c r="K750" s="2" t="s">
        <v>748</v>
      </c>
      <c r="L750" s="2" t="s">
        <v>114</v>
      </c>
      <c r="M750" s="2">
        <v>21</v>
      </c>
      <c r="N750" s="2" t="s">
        <v>9</v>
      </c>
      <c r="T750" s="2" t="s">
        <v>16964</v>
      </c>
    </row>
    <row r="751" spans="1:24" hidden="1">
      <c r="A751" s="3" t="s">
        <v>3745</v>
      </c>
      <c r="B751" s="2" t="s">
        <v>749</v>
      </c>
      <c r="D751" s="66" t="str">
        <f>VLOOKUP("*"&amp;A751&amp;"*",[2]Sheet1!$G$2:$X$1155,18,FALSE)</f>
        <v>ERR10549812</v>
      </c>
      <c r="E751" s="2">
        <v>2013</v>
      </c>
      <c r="F751" s="2" t="s">
        <v>2773</v>
      </c>
      <c r="G751" s="2" t="s">
        <v>5</v>
      </c>
      <c r="H751" s="2" t="s">
        <v>2393</v>
      </c>
      <c r="I751" s="2" t="s">
        <v>10</v>
      </c>
      <c r="J751" s="2" t="s">
        <v>17</v>
      </c>
      <c r="K751" s="2" t="s">
        <v>750</v>
      </c>
      <c r="L751" s="2" t="s">
        <v>16</v>
      </c>
      <c r="M751" s="2">
        <v>2</v>
      </c>
      <c r="N751" s="2" t="s">
        <v>18</v>
      </c>
      <c r="T751" s="2" t="s">
        <v>16964</v>
      </c>
    </row>
    <row r="752" spans="1:24" hidden="1">
      <c r="A752" s="3" t="s">
        <v>4262</v>
      </c>
      <c r="B752" s="2" t="s">
        <v>751</v>
      </c>
      <c r="D752" s="66" t="str">
        <f>VLOOKUP("*"&amp;A752&amp;"*",[2]Sheet1!$G$2:$X$1155,18,FALSE)</f>
        <v>ERR10549451</v>
      </c>
      <c r="E752" s="2">
        <v>1985</v>
      </c>
      <c r="F752" s="2" t="s">
        <v>2692</v>
      </c>
      <c r="G752" s="2" t="s">
        <v>5</v>
      </c>
      <c r="H752" s="2" t="s">
        <v>2370</v>
      </c>
      <c r="I752" s="2" t="s">
        <v>10</v>
      </c>
      <c r="J752" s="2" t="s">
        <v>129</v>
      </c>
      <c r="K752" s="2" t="s">
        <v>752</v>
      </c>
      <c r="L752" s="2" t="s">
        <v>128</v>
      </c>
      <c r="M752" s="2">
        <v>1</v>
      </c>
      <c r="N752" s="2" t="s">
        <v>18</v>
      </c>
      <c r="T752" s="2" t="s">
        <v>16964</v>
      </c>
    </row>
    <row r="753" spans="1:24" hidden="1">
      <c r="A753" s="3" t="s">
        <v>3470</v>
      </c>
      <c r="B753" s="2">
        <v>5633</v>
      </c>
      <c r="D753" s="66" t="str">
        <f>VLOOKUP("*"&amp;A753&amp;"*",[2]Sheet1!$G$2:$X$1155,18,FALSE)</f>
        <v>ERR10549975</v>
      </c>
      <c r="E753" s="2">
        <v>2010</v>
      </c>
      <c r="F753" s="2" t="s">
        <v>2690</v>
      </c>
      <c r="G753" s="2" t="s">
        <v>43</v>
      </c>
      <c r="H753" s="2" t="s">
        <v>43</v>
      </c>
      <c r="I753" s="2" t="s">
        <v>6</v>
      </c>
      <c r="J753" s="2" t="s">
        <v>115</v>
      </c>
      <c r="K753" s="2" t="s">
        <v>748</v>
      </c>
      <c r="L753" s="2" t="s">
        <v>114</v>
      </c>
      <c r="M753" s="2">
        <v>21</v>
      </c>
      <c r="N753" s="2" t="s">
        <v>9</v>
      </c>
      <c r="T753" s="2" t="s">
        <v>16964</v>
      </c>
    </row>
    <row r="754" spans="1:24" hidden="1">
      <c r="A754" s="3" t="s">
        <v>3899</v>
      </c>
      <c r="B754" s="2">
        <v>5907</v>
      </c>
      <c r="D754" s="66" t="str">
        <f>VLOOKUP("*"&amp;A754&amp;"*",[2]Sheet1!$G$2:$X$1155,18,FALSE)</f>
        <v>ERR10550015</v>
      </c>
      <c r="E754" s="2">
        <v>2011</v>
      </c>
      <c r="F754" s="2" t="s">
        <v>2690</v>
      </c>
      <c r="G754" s="2" t="s">
        <v>43</v>
      </c>
      <c r="H754" s="2" t="s">
        <v>43</v>
      </c>
      <c r="I754" s="2" t="s">
        <v>10</v>
      </c>
      <c r="J754" s="2" t="s">
        <v>35</v>
      </c>
      <c r="K754" s="2" t="s">
        <v>753</v>
      </c>
      <c r="L754" s="2" t="s">
        <v>34</v>
      </c>
      <c r="M754" s="2">
        <v>5</v>
      </c>
      <c r="N754" s="2" t="s">
        <v>14</v>
      </c>
      <c r="T754" s="2" t="s">
        <v>16963</v>
      </c>
      <c r="U754" s="67" t="s">
        <v>2627</v>
      </c>
    </row>
    <row r="755" spans="1:24" hidden="1">
      <c r="A755" s="3" t="s">
        <v>3071</v>
      </c>
      <c r="B755" s="2">
        <v>7605</v>
      </c>
      <c r="D755" s="66" t="str">
        <f>VLOOKUP("*"&amp;A755&amp;"*",[2]Sheet1!$G$2:$X$1155,18,FALSE)</f>
        <v>ERR10549990</v>
      </c>
      <c r="E755" s="2">
        <v>2014</v>
      </c>
      <c r="F755" s="2" t="s">
        <v>2690</v>
      </c>
      <c r="G755" s="2" t="s">
        <v>44</v>
      </c>
      <c r="H755" s="2" t="s">
        <v>44</v>
      </c>
      <c r="I755" s="2" t="s">
        <v>6</v>
      </c>
      <c r="J755" s="2" t="s">
        <v>115</v>
      </c>
      <c r="K755" s="2" t="s">
        <v>754</v>
      </c>
      <c r="L755" s="2" t="s">
        <v>114</v>
      </c>
      <c r="M755" s="2">
        <v>21</v>
      </c>
      <c r="N755" s="2" t="s">
        <v>9</v>
      </c>
      <c r="T755" s="2" t="s">
        <v>16964</v>
      </c>
    </row>
    <row r="756" spans="1:24" hidden="1">
      <c r="A756" s="3" t="s">
        <v>3046</v>
      </c>
      <c r="B756" s="2">
        <v>5605</v>
      </c>
      <c r="D756" s="66" t="str">
        <f>VLOOKUP("*"&amp;A756&amp;"*",[2]Sheet1!$G$2:$X$1155,18,FALSE)</f>
        <v>ERR10550003</v>
      </c>
      <c r="E756" s="2">
        <v>2010</v>
      </c>
      <c r="F756" s="2" t="s">
        <v>2690</v>
      </c>
      <c r="G756" s="2" t="s">
        <v>5</v>
      </c>
      <c r="H756" s="2" t="s">
        <v>5</v>
      </c>
      <c r="I756" s="2" t="s">
        <v>6</v>
      </c>
      <c r="J756" s="2" t="s">
        <v>8</v>
      </c>
      <c r="K756" s="2" t="s">
        <v>730</v>
      </c>
      <c r="L756" s="2" t="s">
        <v>7</v>
      </c>
      <c r="M756" s="2">
        <v>121</v>
      </c>
      <c r="N756" s="2" t="s">
        <v>9</v>
      </c>
      <c r="T756" s="2" t="s">
        <v>16963</v>
      </c>
      <c r="X756" s="67" t="s">
        <v>4722</v>
      </c>
    </row>
    <row r="757" spans="1:24" hidden="1">
      <c r="A757" s="3" t="s">
        <v>2895</v>
      </c>
      <c r="B757" s="2">
        <v>5007</v>
      </c>
      <c r="D757" s="66" t="str">
        <f>VLOOKUP("*"&amp;A757&amp;"*",[2]Sheet1!$G$2:$X$1155,18,FALSE)</f>
        <v>ERR10549971</v>
      </c>
      <c r="E757" s="2">
        <v>2000</v>
      </c>
      <c r="F757" s="2" t="s">
        <v>2690</v>
      </c>
      <c r="G757" s="2" t="s">
        <v>5</v>
      </c>
      <c r="H757" s="2" t="s">
        <v>5</v>
      </c>
      <c r="I757" s="2" t="s">
        <v>6</v>
      </c>
      <c r="J757" s="2" t="s">
        <v>8</v>
      </c>
      <c r="K757" s="2" t="s">
        <v>755</v>
      </c>
      <c r="L757" s="2" t="s">
        <v>7</v>
      </c>
      <c r="M757" s="2">
        <v>121</v>
      </c>
      <c r="N757" s="2" t="s">
        <v>9</v>
      </c>
      <c r="T757" s="2" t="s">
        <v>16963</v>
      </c>
      <c r="X757" s="67" t="s">
        <v>4722</v>
      </c>
    </row>
    <row r="758" spans="1:24" hidden="1">
      <c r="A758" s="3" t="s">
        <v>3539</v>
      </c>
      <c r="B758" s="2" t="s">
        <v>756</v>
      </c>
      <c r="D758" s="66" t="str">
        <f>VLOOKUP("*"&amp;A758&amp;"*",[2]Sheet1!$G$2:$X$1155,18,FALSE)</f>
        <v>ERR10549295</v>
      </c>
      <c r="E758" s="2">
        <v>2013</v>
      </c>
      <c r="F758" s="2" t="s">
        <v>118</v>
      </c>
      <c r="G758" s="2" t="s">
        <v>5</v>
      </c>
      <c r="H758" s="2" t="s">
        <v>2285</v>
      </c>
      <c r="I758" s="2" t="s">
        <v>6</v>
      </c>
      <c r="J758" s="2" t="s">
        <v>8</v>
      </c>
      <c r="K758" s="2" t="s">
        <v>757</v>
      </c>
      <c r="L758" s="2" t="s">
        <v>7</v>
      </c>
      <c r="M758" s="2">
        <v>121</v>
      </c>
      <c r="N758" s="2" t="s">
        <v>9</v>
      </c>
      <c r="T758" s="2" t="s">
        <v>16964</v>
      </c>
    </row>
    <row r="759" spans="1:24" hidden="1">
      <c r="A759" s="3" t="s">
        <v>4417</v>
      </c>
      <c r="B759" s="2" t="s">
        <v>758</v>
      </c>
      <c r="D759" s="66" t="str">
        <f>VLOOKUP("*"&amp;A759&amp;"*",[2]Sheet1!$G$2:$X$1155,18,FALSE)</f>
        <v>ERR10549804</v>
      </c>
      <c r="E759" s="2">
        <v>2013</v>
      </c>
      <c r="F759" s="2" t="s">
        <v>2773</v>
      </c>
      <c r="G759" s="2" t="s">
        <v>43</v>
      </c>
      <c r="H759" s="2" t="s">
        <v>43</v>
      </c>
      <c r="I759" s="2" t="s">
        <v>6</v>
      </c>
      <c r="J759" s="2" t="s">
        <v>8</v>
      </c>
      <c r="K759" s="2" t="s">
        <v>611</v>
      </c>
      <c r="L759" s="2" t="s">
        <v>7</v>
      </c>
      <c r="M759" s="2">
        <v>121</v>
      </c>
      <c r="N759" s="2" t="s">
        <v>9</v>
      </c>
      <c r="T759" s="2" t="s">
        <v>16964</v>
      </c>
    </row>
    <row r="760" spans="1:24" hidden="1">
      <c r="A760" s="3" t="s">
        <v>3226</v>
      </c>
      <c r="B760" s="2" t="s">
        <v>759</v>
      </c>
      <c r="D760" s="66" t="str">
        <f>VLOOKUP("*"&amp;A760&amp;"*",[2]Sheet1!$G$2:$X$1155,18,FALSE)</f>
        <v>ERR10549820</v>
      </c>
      <c r="E760" s="2">
        <v>2013</v>
      </c>
      <c r="F760" s="2" t="s">
        <v>2773</v>
      </c>
      <c r="G760" s="2" t="s">
        <v>43</v>
      </c>
      <c r="H760" s="2" t="s">
        <v>43</v>
      </c>
      <c r="I760" s="2" t="s">
        <v>6</v>
      </c>
      <c r="J760" s="2" t="s">
        <v>8</v>
      </c>
      <c r="K760" s="2" t="s">
        <v>760</v>
      </c>
      <c r="L760" s="2" t="s">
        <v>7</v>
      </c>
      <c r="M760" s="2">
        <v>121</v>
      </c>
      <c r="N760" s="2" t="s">
        <v>9</v>
      </c>
      <c r="T760" s="2" t="s">
        <v>16963</v>
      </c>
      <c r="X760" s="67" t="s">
        <v>4722</v>
      </c>
    </row>
    <row r="761" spans="1:24" hidden="1">
      <c r="A761" s="3" t="s">
        <v>3144</v>
      </c>
      <c r="B761" s="2">
        <v>3253</v>
      </c>
      <c r="D761" s="66" t="str">
        <f>VLOOKUP("*"&amp;A761&amp;"*",[2]Sheet1!$G$2:$X$1155,18,FALSE)</f>
        <v>ERR10549992</v>
      </c>
      <c r="E761" s="2">
        <v>2014</v>
      </c>
      <c r="F761" s="2" t="s">
        <v>2690</v>
      </c>
      <c r="G761" s="2" t="s">
        <v>5</v>
      </c>
      <c r="H761" s="2" t="s">
        <v>5</v>
      </c>
      <c r="I761" s="2" t="s">
        <v>6</v>
      </c>
      <c r="J761" s="2" t="s">
        <v>8</v>
      </c>
      <c r="K761" s="2" t="s">
        <v>761</v>
      </c>
      <c r="L761" s="2" t="s">
        <v>7</v>
      </c>
      <c r="M761" s="2">
        <v>121</v>
      </c>
      <c r="N761" s="2" t="s">
        <v>9</v>
      </c>
      <c r="T761" s="2" t="s">
        <v>16963</v>
      </c>
      <c r="X761" s="67" t="s">
        <v>4722</v>
      </c>
    </row>
    <row r="762" spans="1:24" hidden="1">
      <c r="A762" s="3" t="s">
        <v>3997</v>
      </c>
      <c r="B762" s="2" t="s">
        <v>762</v>
      </c>
      <c r="D762" s="66" t="str">
        <f>VLOOKUP("*"&amp;A762&amp;"*",[2]Sheet1!$G$2:$X$1155,18,FALSE)</f>
        <v>ERR10550010</v>
      </c>
      <c r="E762" s="2" t="s">
        <v>118</v>
      </c>
      <c r="F762" s="2" t="s">
        <v>2690</v>
      </c>
      <c r="G762" s="2" t="s">
        <v>5</v>
      </c>
      <c r="H762" s="2" t="s">
        <v>5</v>
      </c>
      <c r="I762" s="2" t="s">
        <v>10</v>
      </c>
      <c r="J762" s="2" t="s">
        <v>35</v>
      </c>
      <c r="K762" s="2" t="s">
        <v>753</v>
      </c>
      <c r="L762" s="2" t="s">
        <v>34</v>
      </c>
      <c r="M762" s="2">
        <v>5</v>
      </c>
      <c r="N762" s="2" t="s">
        <v>14</v>
      </c>
      <c r="T762" s="2" t="s">
        <v>16963</v>
      </c>
      <c r="U762" s="67" t="s">
        <v>2627</v>
      </c>
    </row>
    <row r="763" spans="1:24" hidden="1">
      <c r="A763" s="3" t="s">
        <v>3898</v>
      </c>
      <c r="B763" s="2" t="s">
        <v>763</v>
      </c>
      <c r="D763" s="66" t="str">
        <f>VLOOKUP("*"&amp;A763&amp;"*",[2]Sheet1!$G$2:$X$1155,18,FALSE)</f>
        <v>ERR10550014</v>
      </c>
      <c r="E763" s="2" t="s">
        <v>118</v>
      </c>
      <c r="F763" s="2" t="s">
        <v>2690</v>
      </c>
      <c r="G763" s="2" t="s">
        <v>5</v>
      </c>
      <c r="H763" s="2" t="s">
        <v>5</v>
      </c>
      <c r="I763" s="2" t="s">
        <v>10</v>
      </c>
      <c r="J763" s="2" t="s">
        <v>35</v>
      </c>
      <c r="K763" s="2" t="s">
        <v>753</v>
      </c>
      <c r="L763" s="2" t="s">
        <v>34</v>
      </c>
      <c r="M763" s="2">
        <v>5</v>
      </c>
      <c r="N763" s="2" t="s">
        <v>14</v>
      </c>
      <c r="T763" s="2" t="s">
        <v>16963</v>
      </c>
      <c r="U763" s="67" t="s">
        <v>2627</v>
      </c>
    </row>
    <row r="764" spans="1:24" hidden="1">
      <c r="A764" s="3" t="s">
        <v>4338</v>
      </c>
      <c r="B764" s="2">
        <v>3491</v>
      </c>
      <c r="D764" s="66" t="str">
        <f>VLOOKUP("*"&amp;A764&amp;"*",[2]Sheet1!$G$2:$X$1155,18,FALSE)</f>
        <v>ERR10549300</v>
      </c>
      <c r="E764" s="2">
        <v>2001</v>
      </c>
      <c r="F764" s="2" t="s">
        <v>118</v>
      </c>
      <c r="G764" s="2" t="s">
        <v>5</v>
      </c>
      <c r="H764" s="2" t="s">
        <v>5</v>
      </c>
      <c r="I764" s="2" t="s">
        <v>10</v>
      </c>
      <c r="J764" s="2" t="s">
        <v>765</v>
      </c>
      <c r="K764" s="2" t="s">
        <v>766</v>
      </c>
      <c r="L764" s="2" t="s">
        <v>764</v>
      </c>
      <c r="M764" s="2">
        <v>4</v>
      </c>
      <c r="N764" s="2" t="s">
        <v>18</v>
      </c>
      <c r="T764" s="2" t="s">
        <v>16964</v>
      </c>
    </row>
    <row r="765" spans="1:24" hidden="1">
      <c r="A765" s="3" t="s">
        <v>3094</v>
      </c>
      <c r="B765" s="2">
        <v>3493</v>
      </c>
      <c r="D765" s="66" t="str">
        <f>VLOOKUP("*"&amp;A765&amp;"*",[2]Sheet1!$G$2:$X$1155,18,FALSE)</f>
        <v>ERR10549276</v>
      </c>
      <c r="E765" s="2">
        <v>2001</v>
      </c>
      <c r="F765" s="2" t="s">
        <v>118</v>
      </c>
      <c r="G765" s="2" t="s">
        <v>5</v>
      </c>
      <c r="H765" s="2" t="s">
        <v>5</v>
      </c>
      <c r="I765" s="2" t="s">
        <v>6</v>
      </c>
      <c r="J765" s="2" t="s">
        <v>20</v>
      </c>
      <c r="K765" s="2" t="s">
        <v>767</v>
      </c>
      <c r="L765" s="2" t="s">
        <v>19</v>
      </c>
      <c r="M765" s="2">
        <v>9</v>
      </c>
      <c r="N765" s="2" t="s">
        <v>21</v>
      </c>
      <c r="T765" s="2" t="s">
        <v>16964</v>
      </c>
    </row>
    <row r="766" spans="1:24" hidden="1">
      <c r="A766" s="3" t="s">
        <v>3305</v>
      </c>
      <c r="B766" s="2">
        <v>3499</v>
      </c>
      <c r="D766" s="66" t="str">
        <f>VLOOKUP("*"&amp;A766&amp;"*",[2]Sheet1!$G$2:$X$1155,18,FALSE)</f>
        <v>ERR10549270</v>
      </c>
      <c r="E766" s="2">
        <v>2001</v>
      </c>
      <c r="F766" s="2" t="s">
        <v>118</v>
      </c>
      <c r="G766" s="2" t="s">
        <v>43</v>
      </c>
      <c r="H766" s="2" t="s">
        <v>43</v>
      </c>
      <c r="I766" s="2" t="s">
        <v>10</v>
      </c>
      <c r="J766" s="2" t="s">
        <v>129</v>
      </c>
      <c r="K766" s="2" t="s">
        <v>662</v>
      </c>
      <c r="L766" s="2" t="s">
        <v>128</v>
      </c>
      <c r="M766" s="2">
        <v>1</v>
      </c>
      <c r="N766" s="2" t="s">
        <v>18</v>
      </c>
      <c r="T766" s="2" t="s">
        <v>16964</v>
      </c>
    </row>
    <row r="767" spans="1:24" hidden="1">
      <c r="A767" s="3" t="s">
        <v>3646</v>
      </c>
      <c r="B767" s="2">
        <v>3506</v>
      </c>
      <c r="D767" s="66" t="str">
        <f>VLOOKUP("*"&amp;A767&amp;"*",[2]Sheet1!$G$2:$X$1155,18,FALSE)</f>
        <v>ERR10549302</v>
      </c>
      <c r="E767" s="2">
        <v>2001</v>
      </c>
      <c r="F767" s="2" t="s">
        <v>118</v>
      </c>
      <c r="G767" s="2" t="s">
        <v>43</v>
      </c>
      <c r="H767" s="2" t="s">
        <v>43</v>
      </c>
      <c r="I767" s="2" t="s">
        <v>10</v>
      </c>
      <c r="J767" s="2" t="s">
        <v>12</v>
      </c>
      <c r="K767" s="2" t="s">
        <v>768</v>
      </c>
      <c r="L767" s="2" t="s">
        <v>11</v>
      </c>
      <c r="M767" s="2">
        <v>3</v>
      </c>
      <c r="N767" s="2" t="s">
        <v>14</v>
      </c>
      <c r="T767" s="2" t="s">
        <v>16964</v>
      </c>
    </row>
    <row r="768" spans="1:24" hidden="1">
      <c r="A768" s="3" t="s">
        <v>3982</v>
      </c>
      <c r="B768" s="2">
        <v>3516</v>
      </c>
      <c r="D768" s="66" t="str">
        <f>VLOOKUP("*"&amp;A768&amp;"*",[2]Sheet1!$G$2:$X$1155,18,FALSE)</f>
        <v>ERR10616659</v>
      </c>
      <c r="E768" s="2">
        <v>2001</v>
      </c>
      <c r="F768" s="2" t="s">
        <v>118</v>
      </c>
      <c r="G768" s="2" t="s">
        <v>5</v>
      </c>
      <c r="H768" s="2" t="s">
        <v>43</v>
      </c>
      <c r="I768" s="2" t="s">
        <v>10</v>
      </c>
      <c r="J768" s="2" t="s">
        <v>17</v>
      </c>
      <c r="K768" s="2" t="s">
        <v>1187</v>
      </c>
      <c r="L768" s="2" t="s">
        <v>16</v>
      </c>
      <c r="M768" s="2">
        <v>2</v>
      </c>
      <c r="N768" s="2" t="s">
        <v>18</v>
      </c>
      <c r="T768" s="2" t="s">
        <v>16964</v>
      </c>
    </row>
    <row r="769" spans="1:24" hidden="1">
      <c r="A769" s="3" t="s">
        <v>4114</v>
      </c>
      <c r="B769" s="2">
        <v>4201</v>
      </c>
      <c r="D769" s="66" t="str">
        <f>VLOOKUP("*"&amp;A769&amp;"*",[2]Sheet1!$G$2:$X$1155,18,FALSE)</f>
        <v>ERR10549271</v>
      </c>
      <c r="E769" s="2">
        <v>2003</v>
      </c>
      <c r="F769" s="2" t="s">
        <v>118</v>
      </c>
      <c r="G769" s="2" t="s">
        <v>5</v>
      </c>
      <c r="H769" s="2" t="s">
        <v>5</v>
      </c>
      <c r="I769" s="2" t="s">
        <v>6</v>
      </c>
      <c r="J769" s="2" t="s">
        <v>102</v>
      </c>
      <c r="K769" s="2" t="s">
        <v>769</v>
      </c>
      <c r="L769" s="2" t="s">
        <v>101</v>
      </c>
      <c r="M769" s="2">
        <v>7</v>
      </c>
      <c r="N769" s="2" t="s">
        <v>9</v>
      </c>
      <c r="T769" s="2" t="s">
        <v>16964</v>
      </c>
    </row>
    <row r="770" spans="1:24" hidden="1">
      <c r="A770" s="3" t="s">
        <v>3962</v>
      </c>
      <c r="B770" s="2">
        <v>4206</v>
      </c>
      <c r="D770" s="66" t="str">
        <f>VLOOKUP("*"&amp;A770&amp;"*",[2]Sheet1!$G$2:$X$1155,18,FALSE)</f>
        <v>ERR10549278</v>
      </c>
      <c r="E770" s="2">
        <v>2004</v>
      </c>
      <c r="F770" s="2" t="s">
        <v>118</v>
      </c>
      <c r="G770" s="2" t="s">
        <v>5</v>
      </c>
      <c r="H770" s="2" t="s">
        <v>5</v>
      </c>
      <c r="I770" s="2" t="s">
        <v>6</v>
      </c>
      <c r="J770" s="2" t="s">
        <v>102</v>
      </c>
      <c r="K770" s="2" t="s">
        <v>770</v>
      </c>
      <c r="L770" s="2" t="s">
        <v>101</v>
      </c>
      <c r="M770" s="2">
        <v>7</v>
      </c>
      <c r="N770" s="2" t="s">
        <v>9</v>
      </c>
      <c r="T770" s="2" t="s">
        <v>16964</v>
      </c>
    </row>
    <row r="771" spans="1:24" hidden="1">
      <c r="A771" s="3" t="s">
        <v>3264</v>
      </c>
      <c r="B771" s="2">
        <v>4392</v>
      </c>
      <c r="D771" s="66" t="str">
        <f>VLOOKUP("*"&amp;A771&amp;"*",[2]Sheet1!$G$2:$X$1155,18,FALSE)</f>
        <v>ERR10549274</v>
      </c>
      <c r="E771" s="2">
        <v>2004</v>
      </c>
      <c r="F771" s="2" t="s">
        <v>118</v>
      </c>
      <c r="G771" s="2" t="s">
        <v>5</v>
      </c>
      <c r="H771" s="2" t="s">
        <v>5</v>
      </c>
      <c r="I771" s="2" t="s">
        <v>6</v>
      </c>
      <c r="J771" s="2" t="s">
        <v>8</v>
      </c>
      <c r="K771" s="2" t="s">
        <v>648</v>
      </c>
      <c r="L771" s="2" t="s">
        <v>7</v>
      </c>
      <c r="M771" s="2">
        <v>121</v>
      </c>
      <c r="N771" s="2" t="s">
        <v>9</v>
      </c>
      <c r="T771" s="2" t="s">
        <v>16963</v>
      </c>
      <c r="X771" s="67" t="s">
        <v>4722</v>
      </c>
    </row>
    <row r="772" spans="1:24" hidden="1">
      <c r="A772" s="3" t="s">
        <v>3386</v>
      </c>
      <c r="B772" s="2">
        <v>5294</v>
      </c>
      <c r="D772" s="66" t="str">
        <f>VLOOKUP("*"&amp;A772&amp;"*",[2]Sheet1!$G$2:$X$1155,18,FALSE)</f>
        <v>ERR10549279</v>
      </c>
      <c r="E772" s="2">
        <v>2010</v>
      </c>
      <c r="F772" s="2" t="s">
        <v>118</v>
      </c>
      <c r="G772" s="2" t="s">
        <v>43</v>
      </c>
      <c r="H772" s="2" t="s">
        <v>5</v>
      </c>
      <c r="I772" s="2" t="s">
        <v>6</v>
      </c>
      <c r="J772" s="2" t="s">
        <v>150</v>
      </c>
      <c r="K772" s="2" t="s">
        <v>771</v>
      </c>
      <c r="L772" s="2" t="s">
        <v>149</v>
      </c>
      <c r="M772" s="2">
        <v>403</v>
      </c>
      <c r="N772" s="2" t="s">
        <v>9</v>
      </c>
      <c r="T772" s="2" t="s">
        <v>16964</v>
      </c>
    </row>
    <row r="773" spans="1:24" hidden="1">
      <c r="A773" s="3" t="s">
        <v>3972</v>
      </c>
      <c r="B773" s="2">
        <v>5510</v>
      </c>
      <c r="D773" s="66" t="str">
        <f>VLOOKUP("*"&amp;A773&amp;"*",[2]Sheet1!$G$2:$X$1155,18,FALSE)</f>
        <v>ERR10549301</v>
      </c>
      <c r="E773" s="2">
        <v>2010</v>
      </c>
      <c r="F773" s="2" t="s">
        <v>118</v>
      </c>
      <c r="G773" s="2" t="s">
        <v>5</v>
      </c>
      <c r="H773" s="2" t="s">
        <v>43</v>
      </c>
      <c r="I773" s="2" t="s">
        <v>6</v>
      </c>
      <c r="J773" s="2" t="s">
        <v>40</v>
      </c>
      <c r="K773" s="2" t="s">
        <v>772</v>
      </c>
      <c r="L773" s="2" t="s">
        <v>39</v>
      </c>
      <c r="M773" s="2">
        <v>37</v>
      </c>
      <c r="N773" s="2" t="s">
        <v>9</v>
      </c>
      <c r="T773" s="2" t="s">
        <v>16964</v>
      </c>
    </row>
    <row r="774" spans="1:24" hidden="1">
      <c r="A774" s="3" t="s">
        <v>3468</v>
      </c>
      <c r="B774" s="2">
        <v>5516</v>
      </c>
      <c r="D774" s="66" t="str">
        <f>VLOOKUP("*"&amp;A774&amp;"*",[2]Sheet1!$G$2:$X$1155,18,FALSE)</f>
        <v>ERR10549265</v>
      </c>
      <c r="E774" s="2">
        <v>2010</v>
      </c>
      <c r="F774" s="2" t="s">
        <v>118</v>
      </c>
      <c r="G774" s="2" t="s">
        <v>5</v>
      </c>
      <c r="H774" s="2" t="s">
        <v>5</v>
      </c>
      <c r="I774" s="2" t="s">
        <v>6</v>
      </c>
      <c r="J774" s="2" t="s">
        <v>115</v>
      </c>
      <c r="K774" s="2" t="s">
        <v>748</v>
      </c>
      <c r="L774" s="2" t="s">
        <v>114</v>
      </c>
      <c r="M774" s="2">
        <v>21</v>
      </c>
      <c r="N774" s="2" t="s">
        <v>9</v>
      </c>
      <c r="T774" s="2" t="s">
        <v>16964</v>
      </c>
    </row>
    <row r="775" spans="1:24" hidden="1">
      <c r="A775" s="3" t="s">
        <v>3469</v>
      </c>
      <c r="B775" s="2">
        <v>5517</v>
      </c>
      <c r="D775" s="66" t="str">
        <f>VLOOKUP("*"&amp;A775&amp;"*",[2]Sheet1!$G$2:$X$1155,18,FALSE)</f>
        <v>ERR10549277</v>
      </c>
      <c r="E775" s="2">
        <v>2010</v>
      </c>
      <c r="F775" s="2" t="s">
        <v>118</v>
      </c>
      <c r="G775" s="2" t="s">
        <v>5</v>
      </c>
      <c r="H775" s="2" t="s">
        <v>5</v>
      </c>
      <c r="I775" s="2" t="s">
        <v>6</v>
      </c>
      <c r="J775" s="2" t="s">
        <v>115</v>
      </c>
      <c r="K775" s="2" t="s">
        <v>748</v>
      </c>
      <c r="L775" s="2" t="s">
        <v>114</v>
      </c>
      <c r="M775" s="2">
        <v>21</v>
      </c>
      <c r="N775" s="2" t="s">
        <v>9</v>
      </c>
      <c r="T775" s="2" t="s">
        <v>16964</v>
      </c>
    </row>
    <row r="776" spans="1:24" hidden="1">
      <c r="A776" s="3" t="s">
        <v>3277</v>
      </c>
      <c r="B776" s="2">
        <v>6714</v>
      </c>
      <c r="D776" s="66" t="str">
        <f>VLOOKUP("*"&amp;A776&amp;"*",[2]Sheet1!$G$2:$X$1155,18,FALSE)</f>
        <v>ERR10549280</v>
      </c>
      <c r="E776" s="2">
        <v>2013</v>
      </c>
      <c r="F776" s="2" t="s">
        <v>118</v>
      </c>
      <c r="G776" s="2" t="s">
        <v>43</v>
      </c>
      <c r="H776" s="2" t="s">
        <v>5</v>
      </c>
      <c r="I776" s="2" t="s">
        <v>6</v>
      </c>
      <c r="J776" s="2" t="s">
        <v>8</v>
      </c>
      <c r="K776" s="2" t="s">
        <v>773</v>
      </c>
      <c r="L776" s="2" t="s">
        <v>7</v>
      </c>
      <c r="M776" s="2">
        <v>121</v>
      </c>
      <c r="N776" s="2" t="s">
        <v>9</v>
      </c>
      <c r="T776" s="2" t="s">
        <v>16963</v>
      </c>
      <c r="X776" s="67" t="s">
        <v>4722</v>
      </c>
    </row>
    <row r="777" spans="1:24" hidden="1">
      <c r="A777" s="3" t="s">
        <v>2968</v>
      </c>
      <c r="B777" s="2">
        <v>6728</v>
      </c>
      <c r="D777" s="66" t="str">
        <f>VLOOKUP("*"&amp;A777&amp;"*",[2]Sheet1!$G$2:$X$1155,18,FALSE)</f>
        <v>ERR10549292</v>
      </c>
      <c r="E777" s="2">
        <v>2013</v>
      </c>
      <c r="F777" s="2" t="s">
        <v>118</v>
      </c>
      <c r="G777" s="2" t="s">
        <v>43</v>
      </c>
      <c r="H777" s="2" t="s">
        <v>5</v>
      </c>
      <c r="I777" s="2" t="s">
        <v>6</v>
      </c>
      <c r="J777" s="2" t="s">
        <v>8</v>
      </c>
      <c r="K777" s="2" t="s">
        <v>774</v>
      </c>
      <c r="L777" s="2" t="s">
        <v>7</v>
      </c>
      <c r="M777" s="2">
        <v>121</v>
      </c>
      <c r="N777" s="2" t="s">
        <v>9</v>
      </c>
      <c r="T777" s="2" t="s">
        <v>16963</v>
      </c>
      <c r="X777" s="67" t="s">
        <v>4722</v>
      </c>
    </row>
    <row r="778" spans="1:24" hidden="1">
      <c r="A778" s="3" t="s">
        <v>3002</v>
      </c>
      <c r="B778" s="2">
        <v>6790</v>
      </c>
      <c r="D778" s="66" t="str">
        <f>VLOOKUP("*"&amp;A778&amp;"*",[2]Sheet1!$G$2:$X$1155,18,FALSE)</f>
        <v>ERR10549294</v>
      </c>
      <c r="E778" s="2">
        <v>2013</v>
      </c>
      <c r="F778" s="2" t="s">
        <v>118</v>
      </c>
      <c r="G778" s="2" t="s">
        <v>43</v>
      </c>
      <c r="H778" s="2" t="s">
        <v>43</v>
      </c>
      <c r="I778" s="2" t="s">
        <v>10</v>
      </c>
      <c r="J778" s="2" t="s">
        <v>17</v>
      </c>
      <c r="K778" s="2" t="s">
        <v>775</v>
      </c>
      <c r="L778" s="2" t="s">
        <v>16</v>
      </c>
      <c r="M778" s="2">
        <v>2</v>
      </c>
      <c r="N778" s="2" t="s">
        <v>18</v>
      </c>
      <c r="T778" s="2" t="s">
        <v>16963</v>
      </c>
      <c r="X778" s="67" t="s">
        <v>4724</v>
      </c>
    </row>
    <row r="779" spans="1:24" hidden="1">
      <c r="A779" s="3" t="s">
        <v>3814</v>
      </c>
      <c r="B779" s="2">
        <v>6978</v>
      </c>
      <c r="D779" s="66" t="str">
        <f>VLOOKUP("*"&amp;A779&amp;"*",[2]Sheet1!$G$2:$X$1155,18,FALSE)</f>
        <v>ERR10616650</v>
      </c>
      <c r="E779" s="2">
        <v>2013</v>
      </c>
      <c r="F779" s="2" t="s">
        <v>118</v>
      </c>
      <c r="G779" s="2" t="s">
        <v>5</v>
      </c>
      <c r="H779" s="2" t="s">
        <v>5</v>
      </c>
      <c r="I779" s="2" t="s">
        <v>6</v>
      </c>
      <c r="J779" s="2" t="s">
        <v>20</v>
      </c>
      <c r="K779" s="2" t="s">
        <v>1188</v>
      </c>
      <c r="L779" s="2" t="s">
        <v>19</v>
      </c>
      <c r="M779" s="2">
        <v>9</v>
      </c>
      <c r="N779" s="2" t="s">
        <v>21</v>
      </c>
      <c r="T779" s="2" t="s">
        <v>16963</v>
      </c>
      <c r="U779" s="67" t="s">
        <v>2627</v>
      </c>
    </row>
    <row r="780" spans="1:24" hidden="1">
      <c r="A780" s="3" t="s">
        <v>2823</v>
      </c>
      <c r="B780" s="2">
        <v>7000</v>
      </c>
      <c r="D780" s="66" t="str">
        <f>VLOOKUP("*"&amp;A780&amp;"*",[2]Sheet1!$G$2:$X$1155,18,FALSE)</f>
        <v>ERR10549316</v>
      </c>
      <c r="E780" s="2">
        <v>2013</v>
      </c>
      <c r="F780" s="2" t="s">
        <v>118</v>
      </c>
      <c r="G780" s="2" t="s">
        <v>5</v>
      </c>
      <c r="H780" s="2" t="s">
        <v>5</v>
      </c>
      <c r="I780" s="2" t="s">
        <v>6</v>
      </c>
      <c r="J780" s="2" t="s">
        <v>29</v>
      </c>
      <c r="K780" s="2" t="s">
        <v>776</v>
      </c>
      <c r="L780" s="2" t="s">
        <v>28</v>
      </c>
      <c r="M780" s="2">
        <v>8</v>
      </c>
      <c r="N780" s="2" t="s">
        <v>9</v>
      </c>
      <c r="T780" s="2" t="s">
        <v>16964</v>
      </c>
    </row>
    <row r="781" spans="1:24" hidden="1">
      <c r="A781" s="3" t="s">
        <v>3981</v>
      </c>
      <c r="B781" s="2">
        <v>7001</v>
      </c>
      <c r="D781" s="66" t="str">
        <f>VLOOKUP("*"&amp;A781&amp;"*",[2]Sheet1!$G$2:$X$1155,18,FALSE)</f>
        <v>ERR10549314</v>
      </c>
      <c r="E781" s="2">
        <v>2013</v>
      </c>
      <c r="F781" s="2" t="s">
        <v>118</v>
      </c>
      <c r="G781" s="2" t="s">
        <v>5</v>
      </c>
      <c r="H781" s="2" t="s">
        <v>5</v>
      </c>
      <c r="I781" s="2" t="s">
        <v>10</v>
      </c>
      <c r="J781" s="2" t="s">
        <v>778</v>
      </c>
      <c r="K781" s="2" t="s">
        <v>779</v>
      </c>
      <c r="L781" s="2" t="s">
        <v>777</v>
      </c>
      <c r="M781" s="2">
        <v>2348</v>
      </c>
      <c r="N781" s="2" t="s">
        <v>14</v>
      </c>
      <c r="T781" s="2" t="s">
        <v>16964</v>
      </c>
    </row>
    <row r="782" spans="1:24" hidden="1">
      <c r="A782" s="3" t="s">
        <v>3812</v>
      </c>
      <c r="B782" s="2">
        <v>7020</v>
      </c>
      <c r="D782" s="66" t="str">
        <f>VLOOKUP("*"&amp;A782&amp;"*",[2]Sheet1!$G$2:$X$1155,18,FALSE)</f>
        <v>ERR10549291</v>
      </c>
      <c r="E782" s="2">
        <v>2013</v>
      </c>
      <c r="F782" s="2" t="s">
        <v>118</v>
      </c>
      <c r="G782" s="2" t="s">
        <v>44</v>
      </c>
      <c r="H782" s="2" t="s">
        <v>5</v>
      </c>
      <c r="I782" s="2" t="s">
        <v>6</v>
      </c>
      <c r="J782" s="2" t="s">
        <v>20</v>
      </c>
      <c r="K782" s="2" t="s">
        <v>780</v>
      </c>
      <c r="L782" s="2" t="s">
        <v>19</v>
      </c>
      <c r="M782" s="2">
        <v>9</v>
      </c>
      <c r="T782" s="2" t="s">
        <v>16963</v>
      </c>
      <c r="U782" s="67" t="s">
        <v>2627</v>
      </c>
    </row>
    <row r="783" spans="1:24" hidden="1">
      <c r="A783" s="3" t="s">
        <v>3520</v>
      </c>
      <c r="B783" s="2">
        <v>7021</v>
      </c>
      <c r="D783" s="66" t="str">
        <f>VLOOKUP("*"&amp;A783&amp;"*",[2]Sheet1!$G$2:$X$1155,18,FALSE)</f>
        <v>ERR10549289</v>
      </c>
      <c r="E783" s="2">
        <v>2013</v>
      </c>
      <c r="F783" s="2" t="s">
        <v>118</v>
      </c>
      <c r="G783" s="2" t="s">
        <v>5</v>
      </c>
      <c r="H783" s="2" t="s">
        <v>43</v>
      </c>
      <c r="I783" s="2" t="s">
        <v>6</v>
      </c>
      <c r="J783" s="2" t="s">
        <v>29</v>
      </c>
      <c r="K783" s="2" t="s">
        <v>66</v>
      </c>
      <c r="L783" s="2" t="s">
        <v>28</v>
      </c>
      <c r="M783" s="2">
        <v>8</v>
      </c>
      <c r="N783" s="2" t="s">
        <v>9</v>
      </c>
      <c r="T783" s="2" t="s">
        <v>16964</v>
      </c>
    </row>
    <row r="784" spans="1:24" hidden="1">
      <c r="A784" s="3" t="s">
        <v>2916</v>
      </c>
      <c r="B784" s="2">
        <v>7023</v>
      </c>
      <c r="D784" s="66" t="str">
        <f>VLOOKUP("*"&amp;A784&amp;"*",[2]Sheet1!$G$2:$X$1155,18,FALSE)</f>
        <v>ERR10549283</v>
      </c>
      <c r="E784" s="2">
        <v>2013</v>
      </c>
      <c r="F784" s="2" t="s">
        <v>118</v>
      </c>
      <c r="G784" s="2" t="s">
        <v>5</v>
      </c>
      <c r="H784" s="2" t="s">
        <v>43</v>
      </c>
      <c r="I784" s="2" t="s">
        <v>6</v>
      </c>
      <c r="J784" s="2" t="s">
        <v>8</v>
      </c>
      <c r="K784" s="2" t="s">
        <v>4705</v>
      </c>
      <c r="L784" s="2" t="s">
        <v>7</v>
      </c>
      <c r="M784" s="2">
        <v>121</v>
      </c>
      <c r="N784" s="2" t="s">
        <v>9</v>
      </c>
      <c r="T784" s="2" t="s">
        <v>16963</v>
      </c>
      <c r="X784" s="67" t="s">
        <v>4722</v>
      </c>
    </row>
    <row r="785" spans="1:24" hidden="1">
      <c r="A785" s="3" t="s">
        <v>4171</v>
      </c>
      <c r="B785" s="2">
        <v>7029</v>
      </c>
      <c r="D785" s="66" t="str">
        <f>VLOOKUP("*"&amp;A785&amp;"*",[2]Sheet1!$G$2:$X$1155,18,FALSE)</f>
        <v>ERR10549286</v>
      </c>
      <c r="E785" s="2">
        <v>2013</v>
      </c>
      <c r="F785" s="2" t="s">
        <v>118</v>
      </c>
      <c r="G785" s="2" t="s">
        <v>43</v>
      </c>
      <c r="H785" s="2" t="s">
        <v>43</v>
      </c>
      <c r="I785" s="2" t="s">
        <v>10</v>
      </c>
      <c r="J785" s="2" t="s">
        <v>129</v>
      </c>
      <c r="K785" s="2" t="s">
        <v>781</v>
      </c>
      <c r="L785" s="2" t="s">
        <v>128</v>
      </c>
      <c r="M785" s="2">
        <v>1</v>
      </c>
      <c r="N785" s="2" t="s">
        <v>18</v>
      </c>
      <c r="T785" s="2" t="s">
        <v>16964</v>
      </c>
    </row>
    <row r="786" spans="1:24" hidden="1">
      <c r="A786" s="3" t="s">
        <v>2851</v>
      </c>
      <c r="B786" s="2">
        <v>7037</v>
      </c>
      <c r="D786" s="66" t="str">
        <f>VLOOKUP("*"&amp;A786&amp;"*",[2]Sheet1!$G$2:$X$1155,18,FALSE)</f>
        <v>ERR10549268</v>
      </c>
      <c r="E786" s="2">
        <v>2013</v>
      </c>
      <c r="F786" s="2" t="s">
        <v>118</v>
      </c>
      <c r="G786" s="2" t="s">
        <v>5</v>
      </c>
      <c r="H786" s="2" t="s">
        <v>5</v>
      </c>
      <c r="I786" s="2" t="s">
        <v>6</v>
      </c>
      <c r="J786" s="2" t="s">
        <v>782</v>
      </c>
      <c r="K786" s="2" t="s">
        <v>783</v>
      </c>
      <c r="L786" s="2" t="s">
        <v>55</v>
      </c>
      <c r="M786" s="2">
        <v>11</v>
      </c>
      <c r="N786" s="2" t="s">
        <v>9</v>
      </c>
      <c r="T786" s="2" t="s">
        <v>16964</v>
      </c>
    </row>
    <row r="787" spans="1:24" hidden="1">
      <c r="A787" s="3" t="s">
        <v>3331</v>
      </c>
      <c r="B787" s="2">
        <v>7044</v>
      </c>
      <c r="D787" s="66" t="str">
        <f>VLOOKUP("*"&amp;A787&amp;"*",[2]Sheet1!$G$2:$X$1155,18,FALSE)</f>
        <v>ERR10549285</v>
      </c>
      <c r="E787" s="2">
        <v>2014</v>
      </c>
      <c r="F787" s="2" t="s">
        <v>118</v>
      </c>
      <c r="G787" s="2" t="s">
        <v>43</v>
      </c>
      <c r="H787" s="2" t="s">
        <v>5</v>
      </c>
      <c r="I787" s="2" t="s">
        <v>6</v>
      </c>
      <c r="J787" s="2" t="s">
        <v>20</v>
      </c>
      <c r="K787" s="2" t="s">
        <v>231</v>
      </c>
      <c r="L787" s="2" t="s">
        <v>19</v>
      </c>
      <c r="M787" s="2">
        <v>9</v>
      </c>
      <c r="N787" s="2" t="s">
        <v>21</v>
      </c>
      <c r="T787" s="2" t="s">
        <v>16963</v>
      </c>
      <c r="U787" s="67" t="s">
        <v>2627</v>
      </c>
    </row>
    <row r="788" spans="1:24" hidden="1">
      <c r="A788" s="3" t="s">
        <v>3057</v>
      </c>
      <c r="B788" s="2">
        <v>7064</v>
      </c>
      <c r="D788" s="66" t="str">
        <f>VLOOKUP("*"&amp;A788&amp;"*",[2]Sheet1!$G$2:$X$1155,18,FALSE)</f>
        <v>ERR10549284</v>
      </c>
      <c r="E788" s="2">
        <v>2014</v>
      </c>
      <c r="F788" s="2" t="s">
        <v>118</v>
      </c>
      <c r="G788" s="2" t="s">
        <v>43</v>
      </c>
      <c r="H788" s="2" t="s">
        <v>5</v>
      </c>
      <c r="I788" s="2" t="s">
        <v>6</v>
      </c>
      <c r="J788" s="2" t="s">
        <v>8</v>
      </c>
      <c r="K788" s="2" t="s">
        <v>774</v>
      </c>
      <c r="L788" s="2" t="s">
        <v>7</v>
      </c>
      <c r="M788" s="2">
        <v>121</v>
      </c>
      <c r="N788" s="2" t="s">
        <v>9</v>
      </c>
      <c r="T788" s="2" t="s">
        <v>16963</v>
      </c>
      <c r="X788" s="67" t="s">
        <v>4722</v>
      </c>
    </row>
    <row r="789" spans="1:24" hidden="1">
      <c r="A789" s="3" t="s">
        <v>4410</v>
      </c>
      <c r="B789" s="2">
        <v>7079</v>
      </c>
      <c r="D789" s="66" t="str">
        <f>VLOOKUP("*"&amp;A789&amp;"*",[2]Sheet1!$G$2:$X$1155,18,FALSE)</f>
        <v>ERR10549287</v>
      </c>
      <c r="E789" s="2">
        <v>2014</v>
      </c>
      <c r="F789" s="2" t="s">
        <v>118</v>
      </c>
      <c r="G789" s="2" t="s">
        <v>5</v>
      </c>
      <c r="H789" s="2" t="s">
        <v>44</v>
      </c>
      <c r="I789" s="2" t="s">
        <v>6</v>
      </c>
      <c r="J789" s="2" t="s">
        <v>8</v>
      </c>
      <c r="K789" s="2" t="s">
        <v>596</v>
      </c>
      <c r="L789" s="2" t="s">
        <v>7</v>
      </c>
      <c r="M789" s="2">
        <v>121</v>
      </c>
      <c r="N789" s="2" t="s">
        <v>9</v>
      </c>
      <c r="T789" s="2" t="s">
        <v>16963</v>
      </c>
      <c r="X789" s="67" t="s">
        <v>4722</v>
      </c>
    </row>
    <row r="790" spans="1:24" hidden="1">
      <c r="A790" s="3" t="s">
        <v>4389</v>
      </c>
      <c r="B790" s="2">
        <v>7159</v>
      </c>
      <c r="D790" s="66" t="str">
        <f>VLOOKUP("*"&amp;A790&amp;"*",[2]Sheet1!$G$2:$X$1155,18,FALSE)</f>
        <v>ERR10549267</v>
      </c>
      <c r="E790" s="2">
        <v>2014</v>
      </c>
      <c r="F790" s="2" t="s">
        <v>118</v>
      </c>
      <c r="G790" s="2" t="s">
        <v>5</v>
      </c>
      <c r="H790" s="2" t="s">
        <v>5</v>
      </c>
      <c r="I790" s="2" t="s">
        <v>10</v>
      </c>
      <c r="J790" s="2" t="s">
        <v>765</v>
      </c>
      <c r="K790" s="2" t="s">
        <v>784</v>
      </c>
      <c r="L790" s="2" t="s">
        <v>764</v>
      </c>
      <c r="M790" s="2">
        <v>4</v>
      </c>
      <c r="N790" s="2" t="s">
        <v>18</v>
      </c>
      <c r="T790" s="2" t="s">
        <v>16964</v>
      </c>
    </row>
    <row r="791" spans="1:24" hidden="1">
      <c r="A791" s="3" t="s">
        <v>2911</v>
      </c>
      <c r="B791" s="2">
        <v>7185</v>
      </c>
      <c r="D791" s="66" t="str">
        <f>VLOOKUP("*"&amp;A791&amp;"*",[2]Sheet1!$G$2:$X$1155,18,FALSE)</f>
        <v>ERR10549297</v>
      </c>
      <c r="E791" s="2">
        <v>2014</v>
      </c>
      <c r="F791" s="2" t="s">
        <v>118</v>
      </c>
      <c r="G791" s="2" t="s">
        <v>43</v>
      </c>
      <c r="H791" s="2" t="s">
        <v>5</v>
      </c>
      <c r="I791" s="2" t="s">
        <v>6</v>
      </c>
      <c r="J791" s="2" t="s">
        <v>8</v>
      </c>
      <c r="K791" s="2" t="s">
        <v>785</v>
      </c>
      <c r="L791" s="2" t="s">
        <v>7</v>
      </c>
      <c r="M791" s="2">
        <v>121</v>
      </c>
      <c r="N791" s="2" t="s">
        <v>9</v>
      </c>
      <c r="T791" s="2" t="s">
        <v>16963</v>
      </c>
      <c r="X791" s="67" t="s">
        <v>4722</v>
      </c>
    </row>
    <row r="792" spans="1:24" hidden="1">
      <c r="A792" s="3" t="s">
        <v>3505</v>
      </c>
      <c r="B792" s="2">
        <v>7226</v>
      </c>
      <c r="D792" s="66" t="str">
        <f>VLOOKUP("*"&amp;A792&amp;"*",[2]Sheet1!$G$2:$X$1155,18,FALSE)</f>
        <v>ERR10549290</v>
      </c>
      <c r="E792" s="2">
        <v>2014</v>
      </c>
      <c r="F792" s="2" t="s">
        <v>118</v>
      </c>
      <c r="G792" s="2" t="s">
        <v>5</v>
      </c>
      <c r="H792" s="2" t="s">
        <v>43</v>
      </c>
      <c r="I792" s="2" t="s">
        <v>6</v>
      </c>
      <c r="J792" s="2" t="s">
        <v>20</v>
      </c>
      <c r="K792" s="2" t="s">
        <v>786</v>
      </c>
      <c r="L792" s="2" t="s">
        <v>19</v>
      </c>
      <c r="M792" s="2">
        <v>9</v>
      </c>
      <c r="N792" s="2" t="s">
        <v>21</v>
      </c>
      <c r="T792" s="2" t="s">
        <v>16964</v>
      </c>
    </row>
    <row r="793" spans="1:24" hidden="1">
      <c r="A793" s="3" t="s">
        <v>4287</v>
      </c>
      <c r="B793" s="2">
        <v>7228</v>
      </c>
      <c r="D793" s="66" t="str">
        <f>VLOOKUP("*"&amp;A793&amp;"*",[2]Sheet1!$G$2:$X$1155,18,FALSE)</f>
        <v>ERR10549266</v>
      </c>
      <c r="E793" s="2">
        <v>2014</v>
      </c>
      <c r="F793" s="2" t="s">
        <v>118</v>
      </c>
      <c r="G793" s="2" t="s">
        <v>5</v>
      </c>
      <c r="H793" s="2" t="s">
        <v>5</v>
      </c>
      <c r="I793" s="2" t="s">
        <v>10</v>
      </c>
      <c r="J793" s="2" t="s">
        <v>765</v>
      </c>
      <c r="K793" s="2" t="s">
        <v>787</v>
      </c>
      <c r="L793" s="2" t="s">
        <v>764</v>
      </c>
      <c r="M793" s="2">
        <v>4</v>
      </c>
      <c r="N793" s="2" t="s">
        <v>18</v>
      </c>
      <c r="T793" s="2" t="s">
        <v>16964</v>
      </c>
    </row>
    <row r="794" spans="1:24" hidden="1">
      <c r="A794" s="3" t="s">
        <v>3942</v>
      </c>
      <c r="B794" s="2">
        <v>7230</v>
      </c>
      <c r="D794" s="66" t="str">
        <f>VLOOKUP("*"&amp;A794&amp;"*",[2]Sheet1!$G$2:$X$1155,18,FALSE)</f>
        <v>ERR10549264</v>
      </c>
      <c r="E794" s="2">
        <v>2014</v>
      </c>
      <c r="F794" s="2" t="s">
        <v>118</v>
      </c>
      <c r="G794" s="2" t="s">
        <v>5</v>
      </c>
      <c r="H794" s="2" t="s">
        <v>43</v>
      </c>
      <c r="I794" s="2" t="s">
        <v>10</v>
      </c>
      <c r="J794" s="2" t="s">
        <v>435</v>
      </c>
      <c r="K794" s="2" t="s">
        <v>788</v>
      </c>
      <c r="L794" s="2" t="s">
        <v>434</v>
      </c>
      <c r="M794" s="2">
        <v>489</v>
      </c>
      <c r="N794" s="2" t="s">
        <v>14</v>
      </c>
      <c r="T794" s="2" t="s">
        <v>16964</v>
      </c>
    </row>
    <row r="795" spans="1:24" hidden="1">
      <c r="A795" s="3" t="s">
        <v>3268</v>
      </c>
      <c r="B795" s="2">
        <v>7301</v>
      </c>
      <c r="D795" s="66" t="str">
        <f>VLOOKUP("*"&amp;A795&amp;"*",[2]Sheet1!$G$2:$X$1155,18,FALSE)</f>
        <v>ERR10549281</v>
      </c>
      <c r="E795" s="2">
        <v>2014</v>
      </c>
      <c r="F795" s="2" t="s">
        <v>118</v>
      </c>
      <c r="G795" s="2" t="s">
        <v>5</v>
      </c>
      <c r="H795" s="2" t="s">
        <v>43</v>
      </c>
      <c r="I795" s="2" t="s">
        <v>6</v>
      </c>
      <c r="J795" s="2" t="s">
        <v>8</v>
      </c>
      <c r="K795" s="2" t="s">
        <v>789</v>
      </c>
      <c r="L795" s="2" t="s">
        <v>7</v>
      </c>
      <c r="M795" s="2">
        <v>121</v>
      </c>
      <c r="N795" s="2" t="s">
        <v>9</v>
      </c>
      <c r="T795" s="2" t="s">
        <v>16963</v>
      </c>
      <c r="X795" s="67" t="s">
        <v>4722</v>
      </c>
    </row>
    <row r="796" spans="1:24" hidden="1">
      <c r="A796" s="3" t="s">
        <v>3225</v>
      </c>
      <c r="B796" s="2">
        <v>7411</v>
      </c>
      <c r="D796" s="66" t="str">
        <f>VLOOKUP("*"&amp;A796&amp;"*",[2]Sheet1!$G$2:$X$1155,18,FALSE)</f>
        <v>ERR10549304</v>
      </c>
      <c r="E796" s="2">
        <v>2014</v>
      </c>
      <c r="F796" s="2" t="s">
        <v>118</v>
      </c>
      <c r="G796" s="2" t="s">
        <v>5</v>
      </c>
      <c r="H796" s="2" t="s">
        <v>5</v>
      </c>
      <c r="I796" s="2" t="s">
        <v>6</v>
      </c>
      <c r="J796" s="2" t="s">
        <v>20</v>
      </c>
      <c r="K796" s="2" t="s">
        <v>790</v>
      </c>
      <c r="L796" s="2" t="s">
        <v>19</v>
      </c>
      <c r="M796" s="2">
        <v>9</v>
      </c>
      <c r="N796" s="2" t="s">
        <v>21</v>
      </c>
      <c r="T796" s="2" t="s">
        <v>16964</v>
      </c>
    </row>
    <row r="797" spans="1:24" hidden="1">
      <c r="A797" s="3" t="s">
        <v>4169</v>
      </c>
      <c r="B797" s="2">
        <v>7459</v>
      </c>
      <c r="D797" s="66" t="str">
        <f>VLOOKUP("*"&amp;A797&amp;"*",[2]Sheet1!$G$2:$X$1155,18,FALSE)</f>
        <v>ERR10549312</v>
      </c>
      <c r="E797" s="2">
        <v>2014</v>
      </c>
      <c r="F797" s="2" t="s">
        <v>118</v>
      </c>
      <c r="G797" s="2" t="s">
        <v>5</v>
      </c>
      <c r="H797" s="2" t="s">
        <v>5</v>
      </c>
      <c r="I797" s="2" t="s">
        <v>10</v>
      </c>
      <c r="J797" s="2" t="s">
        <v>129</v>
      </c>
      <c r="K797" s="2" t="s">
        <v>791</v>
      </c>
      <c r="L797" s="2" t="s">
        <v>128</v>
      </c>
      <c r="M797" s="2">
        <v>1</v>
      </c>
      <c r="N797" s="2" t="s">
        <v>18</v>
      </c>
      <c r="T797" s="2" t="s">
        <v>16964</v>
      </c>
    </row>
    <row r="798" spans="1:24" hidden="1">
      <c r="A798" s="3" t="s">
        <v>3273</v>
      </c>
      <c r="B798" s="2">
        <v>7478</v>
      </c>
      <c r="D798" s="66" t="str">
        <f>VLOOKUP("*"&amp;A798&amp;"*",[2]Sheet1!$G$2:$X$1155,18,FALSE)</f>
        <v>ERR10549305</v>
      </c>
      <c r="E798" s="2">
        <v>2014</v>
      </c>
      <c r="F798" s="2" t="s">
        <v>118</v>
      </c>
      <c r="G798" s="2" t="s">
        <v>5</v>
      </c>
      <c r="H798" s="2" t="s">
        <v>43</v>
      </c>
      <c r="I798" s="2" t="s">
        <v>6</v>
      </c>
      <c r="J798" s="2" t="s">
        <v>8</v>
      </c>
      <c r="K798" s="2" t="s">
        <v>792</v>
      </c>
      <c r="L798" s="2" t="s">
        <v>7</v>
      </c>
      <c r="M798" s="2">
        <v>121</v>
      </c>
      <c r="N798" s="2" t="s">
        <v>9</v>
      </c>
      <c r="T798" s="2" t="s">
        <v>16963</v>
      </c>
      <c r="X798" s="67" t="s">
        <v>4722</v>
      </c>
    </row>
    <row r="799" spans="1:24" hidden="1">
      <c r="A799" s="3" t="s">
        <v>3272</v>
      </c>
      <c r="B799" s="2">
        <v>7534</v>
      </c>
      <c r="D799" s="66" t="str">
        <f>VLOOKUP("*"&amp;A799&amp;"*",[2]Sheet1!$G$2:$X$1155,18,FALSE)</f>
        <v>ERR10549319</v>
      </c>
      <c r="E799" s="2">
        <v>2014</v>
      </c>
      <c r="F799" s="2" t="s">
        <v>118</v>
      </c>
      <c r="G799" s="2" t="s">
        <v>5</v>
      </c>
      <c r="H799" s="2" t="s">
        <v>5</v>
      </c>
      <c r="I799" s="2" t="s">
        <v>6</v>
      </c>
      <c r="J799" s="2" t="s">
        <v>8</v>
      </c>
      <c r="K799" s="2" t="s">
        <v>761</v>
      </c>
      <c r="L799" s="2" t="s">
        <v>7</v>
      </c>
      <c r="M799" s="2">
        <v>121</v>
      </c>
      <c r="N799" s="2" t="s">
        <v>9</v>
      </c>
      <c r="T799" s="2" t="s">
        <v>16963</v>
      </c>
      <c r="X799" s="67" t="s">
        <v>4722</v>
      </c>
    </row>
    <row r="800" spans="1:24" hidden="1">
      <c r="A800" s="3" t="s">
        <v>2873</v>
      </c>
      <c r="B800" s="2">
        <v>7584</v>
      </c>
      <c r="D800" s="66" t="str">
        <f>VLOOKUP("*"&amp;A800&amp;"*",[2]Sheet1!$G$2:$X$1155,18,FALSE)</f>
        <v>ERR10549269</v>
      </c>
      <c r="E800" s="2">
        <v>2014</v>
      </c>
      <c r="F800" s="2" t="s">
        <v>118</v>
      </c>
      <c r="G800" s="2" t="s">
        <v>5</v>
      </c>
      <c r="H800" s="2" t="s">
        <v>5</v>
      </c>
      <c r="I800" s="2" t="s">
        <v>6</v>
      </c>
      <c r="J800" s="2" t="s">
        <v>638</v>
      </c>
      <c r="K800" s="2" t="s">
        <v>793</v>
      </c>
      <c r="L800" s="2" t="s">
        <v>23</v>
      </c>
      <c r="M800" s="2">
        <v>3018</v>
      </c>
      <c r="N800" s="2" t="s">
        <v>9</v>
      </c>
      <c r="T800" s="2" t="s">
        <v>16963</v>
      </c>
      <c r="X800" s="67" t="s">
        <v>4722</v>
      </c>
    </row>
    <row r="801" spans="1:24" hidden="1">
      <c r="A801" s="3" t="s">
        <v>3265</v>
      </c>
      <c r="B801" s="2">
        <v>7587</v>
      </c>
      <c r="D801" s="66" t="str">
        <f>VLOOKUP("*"&amp;A801&amp;"*",[2]Sheet1!$G$2:$X$1155,18,FALSE)</f>
        <v>ERR10549282</v>
      </c>
      <c r="E801" s="2">
        <v>2014</v>
      </c>
      <c r="F801" s="2" t="s">
        <v>118</v>
      </c>
      <c r="G801" s="2" t="s">
        <v>43</v>
      </c>
      <c r="H801" s="2" t="s">
        <v>5</v>
      </c>
      <c r="I801" s="2" t="s">
        <v>6</v>
      </c>
      <c r="J801" s="2" t="s">
        <v>8</v>
      </c>
      <c r="K801" s="2" t="s">
        <v>789</v>
      </c>
      <c r="L801" s="2" t="s">
        <v>7</v>
      </c>
      <c r="M801" s="2">
        <v>121</v>
      </c>
      <c r="N801" s="2" t="s">
        <v>9</v>
      </c>
      <c r="T801" s="2" t="s">
        <v>16964</v>
      </c>
    </row>
    <row r="802" spans="1:24" hidden="1">
      <c r="A802" s="3" t="s">
        <v>3214</v>
      </c>
      <c r="B802" s="2">
        <v>7595</v>
      </c>
      <c r="D802" s="66" t="str">
        <f>VLOOKUP("*"&amp;A802&amp;"*",[2]Sheet1!$G$2:$X$1155,18,FALSE)</f>
        <v>ERR10549313</v>
      </c>
      <c r="E802" s="2">
        <v>2015</v>
      </c>
      <c r="F802" s="2" t="s">
        <v>118</v>
      </c>
      <c r="G802" s="2" t="s">
        <v>43</v>
      </c>
      <c r="H802" s="2" t="s">
        <v>5</v>
      </c>
      <c r="I802" s="2" t="s">
        <v>6</v>
      </c>
      <c r="J802" s="2" t="s">
        <v>20</v>
      </c>
      <c r="K802" s="2" t="s">
        <v>231</v>
      </c>
      <c r="L802" s="2" t="s">
        <v>19</v>
      </c>
      <c r="M802" s="2">
        <v>9</v>
      </c>
      <c r="N802" s="2" t="s">
        <v>21</v>
      </c>
      <c r="T802" s="2" t="s">
        <v>16963</v>
      </c>
      <c r="U802" s="67" t="s">
        <v>2627</v>
      </c>
    </row>
    <row r="803" spans="1:24" hidden="1">
      <c r="A803" s="3" t="s">
        <v>3294</v>
      </c>
      <c r="B803" s="2">
        <v>7597</v>
      </c>
      <c r="D803" s="66" t="str">
        <f>VLOOKUP("*"&amp;A803&amp;"*",[2]Sheet1!$G$2:$X$1155,18,FALSE)</f>
        <v>ERR10549293</v>
      </c>
      <c r="E803" s="2">
        <v>2015</v>
      </c>
      <c r="F803" s="2" t="s">
        <v>118</v>
      </c>
      <c r="G803" s="2" t="s">
        <v>43</v>
      </c>
      <c r="H803" s="2" t="s">
        <v>5</v>
      </c>
      <c r="I803" s="2" t="s">
        <v>6</v>
      </c>
      <c r="J803" s="2" t="s">
        <v>415</v>
      </c>
      <c r="K803" s="2" t="s">
        <v>794</v>
      </c>
      <c r="L803" s="2" t="s">
        <v>414</v>
      </c>
      <c r="M803" s="2">
        <v>204</v>
      </c>
      <c r="N803" s="2" t="s">
        <v>9</v>
      </c>
      <c r="T803" s="2" t="s">
        <v>16964</v>
      </c>
    </row>
    <row r="804" spans="1:24" hidden="1">
      <c r="A804" s="3" t="s">
        <v>4318</v>
      </c>
      <c r="B804" s="2">
        <v>7599</v>
      </c>
      <c r="D804" s="66" t="str">
        <f>VLOOKUP("*"&amp;A804&amp;"*",[2]Sheet1!$G$2:$X$1155,18,FALSE)</f>
        <v>ERR10549299</v>
      </c>
      <c r="E804" s="2">
        <v>2014</v>
      </c>
      <c r="F804" s="2" t="s">
        <v>118</v>
      </c>
      <c r="G804" s="2" t="s">
        <v>43</v>
      </c>
      <c r="H804" s="2" t="s">
        <v>5</v>
      </c>
      <c r="I804" s="2" t="s">
        <v>10</v>
      </c>
      <c r="J804" s="2" t="s">
        <v>129</v>
      </c>
      <c r="K804" s="2" t="s">
        <v>795</v>
      </c>
      <c r="L804" s="2" t="s">
        <v>128</v>
      </c>
      <c r="M804" s="2">
        <v>1</v>
      </c>
      <c r="N804" s="2" t="s">
        <v>18</v>
      </c>
      <c r="T804" s="2" t="s">
        <v>16964</v>
      </c>
    </row>
    <row r="805" spans="1:24" hidden="1">
      <c r="A805" s="3" t="s">
        <v>4347</v>
      </c>
      <c r="B805" s="2">
        <v>7623</v>
      </c>
      <c r="D805" s="66" t="str">
        <f>VLOOKUP("*"&amp;A805&amp;"*",[2]Sheet1!$G$2:$X$1155,18,FALSE)</f>
        <v>ERR10549315</v>
      </c>
      <c r="E805" s="2">
        <v>2014</v>
      </c>
      <c r="F805" s="2" t="s">
        <v>118</v>
      </c>
      <c r="G805" s="2" t="s">
        <v>5</v>
      </c>
      <c r="H805" s="2" t="s">
        <v>5</v>
      </c>
      <c r="I805" s="2" t="s">
        <v>6</v>
      </c>
      <c r="J805" s="2" t="s">
        <v>366</v>
      </c>
      <c r="K805" s="2" t="s">
        <v>796</v>
      </c>
      <c r="L805" s="2" t="s">
        <v>28</v>
      </c>
      <c r="M805" s="2">
        <v>16</v>
      </c>
      <c r="N805" s="2" t="s">
        <v>9</v>
      </c>
      <c r="T805" s="2" t="s">
        <v>16964</v>
      </c>
    </row>
    <row r="806" spans="1:24" hidden="1">
      <c r="A806" s="3" t="s">
        <v>3271</v>
      </c>
      <c r="B806" s="2">
        <v>7630</v>
      </c>
      <c r="D806" s="66" t="str">
        <f>VLOOKUP("*"&amp;A806&amp;"*",[2]Sheet1!$G$2:$X$1155,18,FALSE)</f>
        <v>ERR10549273</v>
      </c>
      <c r="E806" s="2">
        <v>2015</v>
      </c>
      <c r="F806" s="2" t="s">
        <v>118</v>
      </c>
      <c r="G806" s="2" t="s">
        <v>5</v>
      </c>
      <c r="H806" s="2" t="s">
        <v>5</v>
      </c>
      <c r="I806" s="2" t="s">
        <v>6</v>
      </c>
      <c r="J806" s="2" t="s">
        <v>8</v>
      </c>
      <c r="K806" s="2" t="s">
        <v>789</v>
      </c>
      <c r="L806" s="2" t="s">
        <v>7</v>
      </c>
      <c r="M806" s="2">
        <v>121</v>
      </c>
      <c r="N806" s="2" t="s">
        <v>9</v>
      </c>
      <c r="T806" s="2" t="s">
        <v>16963</v>
      </c>
      <c r="X806" s="67" t="s">
        <v>4722</v>
      </c>
    </row>
    <row r="807" spans="1:24" hidden="1">
      <c r="A807" s="3" t="s">
        <v>3708</v>
      </c>
      <c r="B807" s="2">
        <v>7747</v>
      </c>
      <c r="D807" s="66" t="str">
        <f>VLOOKUP("*"&amp;A807&amp;"*",[2]Sheet1!$G$2:$X$1155,18,FALSE)</f>
        <v>ERR10549306</v>
      </c>
      <c r="E807" s="2">
        <v>2015</v>
      </c>
      <c r="F807" s="2" t="s">
        <v>118</v>
      </c>
      <c r="G807" s="2" t="s">
        <v>43</v>
      </c>
      <c r="H807" s="2" t="s">
        <v>43</v>
      </c>
      <c r="I807" s="2" t="s">
        <v>10</v>
      </c>
      <c r="J807" s="2" t="s">
        <v>31</v>
      </c>
      <c r="K807" s="2" t="s">
        <v>797</v>
      </c>
      <c r="L807" s="2" t="s">
        <v>30</v>
      </c>
      <c r="M807" s="2">
        <v>59</v>
      </c>
      <c r="N807" s="2" t="s">
        <v>14</v>
      </c>
      <c r="T807" s="2" t="s">
        <v>16964</v>
      </c>
    </row>
    <row r="808" spans="1:24" hidden="1">
      <c r="A808" s="3" t="s">
        <v>3761</v>
      </c>
      <c r="B808" s="2">
        <v>7755</v>
      </c>
      <c r="D808" s="66" t="str">
        <f>VLOOKUP("*"&amp;A808&amp;"*",[2]Sheet1!$G$2:$X$1155,18,FALSE)</f>
        <v>ERR10549272</v>
      </c>
      <c r="E808" s="2">
        <v>2015</v>
      </c>
      <c r="F808" s="2" t="s">
        <v>118</v>
      </c>
      <c r="G808" s="2" t="s">
        <v>43</v>
      </c>
      <c r="H808" s="2" t="s">
        <v>43</v>
      </c>
      <c r="I808" s="2" t="s">
        <v>6</v>
      </c>
      <c r="J808" s="2" t="s">
        <v>29</v>
      </c>
      <c r="K808" s="2" t="s">
        <v>798</v>
      </c>
      <c r="L808" s="2" t="s">
        <v>28</v>
      </c>
      <c r="M808" s="2">
        <v>1462</v>
      </c>
      <c r="N808" s="2" t="s">
        <v>9</v>
      </c>
      <c r="T808" s="2" t="s">
        <v>16964</v>
      </c>
    </row>
    <row r="809" spans="1:24" hidden="1">
      <c r="A809" s="3" t="s">
        <v>2896</v>
      </c>
      <c r="B809" s="2">
        <v>7812</v>
      </c>
      <c r="D809" s="66" t="str">
        <f>VLOOKUP("*"&amp;A809&amp;"*",[2]Sheet1!$G$2:$X$1155,18,FALSE)</f>
        <v>ERR10549275</v>
      </c>
      <c r="E809" s="2">
        <v>2015</v>
      </c>
      <c r="F809" s="2" t="s">
        <v>118</v>
      </c>
      <c r="G809" s="2" t="s">
        <v>43</v>
      </c>
      <c r="H809" s="2" t="s">
        <v>43</v>
      </c>
      <c r="I809" s="2" t="s">
        <v>6</v>
      </c>
      <c r="J809" s="2" t="s">
        <v>8</v>
      </c>
      <c r="K809" s="2" t="s">
        <v>799</v>
      </c>
      <c r="L809" s="2" t="s">
        <v>7</v>
      </c>
      <c r="M809" s="2">
        <v>121</v>
      </c>
      <c r="N809" s="2" t="s">
        <v>9</v>
      </c>
      <c r="T809" s="2" t="s">
        <v>16963</v>
      </c>
      <c r="X809" s="67" t="s">
        <v>4722</v>
      </c>
    </row>
    <row r="810" spans="1:24" hidden="1">
      <c r="A810" s="3" t="s">
        <v>4144</v>
      </c>
      <c r="B810" s="2">
        <v>7882</v>
      </c>
      <c r="D810" s="66" t="str">
        <f>VLOOKUP("*"&amp;A810&amp;"*",[2]Sheet1!$G$2:$X$1155,18,FALSE)</f>
        <v>ERR10549338</v>
      </c>
      <c r="E810" s="2">
        <v>2015</v>
      </c>
      <c r="F810" s="2" t="s">
        <v>118</v>
      </c>
      <c r="G810" s="2" t="s">
        <v>43</v>
      </c>
      <c r="H810" s="2" t="s">
        <v>43</v>
      </c>
      <c r="I810" s="2" t="s">
        <v>10</v>
      </c>
      <c r="J810" s="2" t="s">
        <v>129</v>
      </c>
      <c r="K810" s="2" t="s">
        <v>800</v>
      </c>
      <c r="L810" s="2" t="s">
        <v>128</v>
      </c>
      <c r="M810" s="2">
        <v>1</v>
      </c>
      <c r="N810" s="2" t="s">
        <v>18</v>
      </c>
      <c r="T810" s="2" t="s">
        <v>16964</v>
      </c>
    </row>
    <row r="811" spans="1:24" hidden="1">
      <c r="A811" s="3" t="s">
        <v>3488</v>
      </c>
      <c r="B811" s="2">
        <v>7992</v>
      </c>
      <c r="D811" s="66" t="str">
        <f>VLOOKUP("*"&amp;A811&amp;"*",[2]Sheet1!$G$2:$X$1155,18,FALSE)</f>
        <v>ERR10549324</v>
      </c>
      <c r="E811" s="2">
        <v>2016</v>
      </c>
      <c r="F811" s="2" t="s">
        <v>118</v>
      </c>
      <c r="G811" s="2" t="s">
        <v>43</v>
      </c>
      <c r="H811" s="2" t="s">
        <v>44</v>
      </c>
      <c r="I811" s="2" t="s">
        <v>6</v>
      </c>
      <c r="J811" s="2" t="s">
        <v>29</v>
      </c>
      <c r="K811" s="2" t="s">
        <v>798</v>
      </c>
      <c r="L811" s="2" t="s">
        <v>28</v>
      </c>
      <c r="M811" s="2">
        <v>1462</v>
      </c>
      <c r="N811" s="2" t="s">
        <v>9</v>
      </c>
      <c r="T811" s="2" t="s">
        <v>16964</v>
      </c>
    </row>
    <row r="812" spans="1:24" hidden="1">
      <c r="A812" s="3" t="s">
        <v>3193</v>
      </c>
      <c r="B812" s="2">
        <v>8109</v>
      </c>
      <c r="D812" s="66" t="str">
        <f>VLOOKUP("*"&amp;A812&amp;"*",[2]Sheet1!$G$2:$X$1155,18,FALSE)</f>
        <v>ERR10549318</v>
      </c>
      <c r="E812" s="2">
        <v>2016</v>
      </c>
      <c r="F812" s="2" t="s">
        <v>118</v>
      </c>
      <c r="G812" s="2" t="s">
        <v>43</v>
      </c>
      <c r="H812" s="2" t="s">
        <v>5</v>
      </c>
      <c r="I812" s="2" t="s">
        <v>6</v>
      </c>
      <c r="J812" s="2" t="s">
        <v>146</v>
      </c>
      <c r="K812" s="2" t="s">
        <v>801</v>
      </c>
      <c r="L812" s="2" t="s">
        <v>145</v>
      </c>
      <c r="M812" s="2">
        <v>20</v>
      </c>
      <c r="N812" s="2" t="s">
        <v>9</v>
      </c>
      <c r="T812" s="2" t="s">
        <v>16964</v>
      </c>
    </row>
    <row r="813" spans="1:24" hidden="1">
      <c r="A813" s="3" t="s">
        <v>3484</v>
      </c>
      <c r="B813" s="2">
        <v>8110</v>
      </c>
      <c r="D813" s="66" t="str">
        <f>VLOOKUP("*"&amp;A813&amp;"*",[2]Sheet1!$G$2:$X$1155,18,FALSE)</f>
        <v>ERR10549317</v>
      </c>
      <c r="E813" s="2">
        <v>2016</v>
      </c>
      <c r="F813" s="2" t="s">
        <v>118</v>
      </c>
      <c r="G813" s="2" t="s">
        <v>5</v>
      </c>
      <c r="H813" s="2" t="s">
        <v>5</v>
      </c>
      <c r="I813" s="2" t="s">
        <v>6</v>
      </c>
      <c r="J813" s="2" t="s">
        <v>29</v>
      </c>
      <c r="K813" s="2" t="s">
        <v>798</v>
      </c>
      <c r="L813" s="2" t="s">
        <v>28</v>
      </c>
      <c r="M813" s="2">
        <v>1462</v>
      </c>
      <c r="N813" s="2" t="s">
        <v>9</v>
      </c>
      <c r="T813" s="2" t="s">
        <v>16964</v>
      </c>
    </row>
    <row r="814" spans="1:24" hidden="1">
      <c r="A814" s="3" t="s">
        <v>4307</v>
      </c>
      <c r="B814" s="2">
        <v>8130</v>
      </c>
      <c r="D814" s="66" t="str">
        <f>VLOOKUP("*"&amp;A814&amp;"*",[2]Sheet1!$G$2:$X$1155,18,FALSE)</f>
        <v>ERR10549310</v>
      </c>
      <c r="E814" s="2">
        <v>2016</v>
      </c>
      <c r="F814" s="2" t="s">
        <v>118</v>
      </c>
      <c r="G814" s="2" t="s">
        <v>43</v>
      </c>
      <c r="H814" s="2" t="s">
        <v>43</v>
      </c>
      <c r="I814" s="2" t="s">
        <v>6</v>
      </c>
      <c r="J814" s="2" t="s">
        <v>56</v>
      </c>
      <c r="K814" s="2" t="s">
        <v>802</v>
      </c>
      <c r="L814" s="2" t="s">
        <v>55</v>
      </c>
      <c r="M814" s="2">
        <v>451</v>
      </c>
      <c r="N814" s="2" t="s">
        <v>9</v>
      </c>
      <c r="T814" s="2" t="s">
        <v>16964</v>
      </c>
    </row>
    <row r="815" spans="1:24" hidden="1">
      <c r="A815" s="3" t="s">
        <v>4143</v>
      </c>
      <c r="B815" s="2">
        <v>5908</v>
      </c>
      <c r="D815" s="66" t="str">
        <f>VLOOKUP("*"&amp;A815&amp;"*",[2]Sheet1!$G$2:$X$1155,18,FALSE)</f>
        <v>ERR10550007</v>
      </c>
      <c r="E815" s="2">
        <v>2011</v>
      </c>
      <c r="F815" s="2" t="s">
        <v>2690</v>
      </c>
      <c r="G815" s="2" t="s">
        <v>5</v>
      </c>
      <c r="H815" s="2" t="s">
        <v>5</v>
      </c>
      <c r="I815" s="2" t="s">
        <v>10</v>
      </c>
      <c r="J815" s="2" t="s">
        <v>129</v>
      </c>
      <c r="K815" s="2" t="s">
        <v>800</v>
      </c>
      <c r="L815" s="2" t="s">
        <v>128</v>
      </c>
      <c r="M815" s="2">
        <v>1</v>
      </c>
      <c r="N815" s="2" t="s">
        <v>18</v>
      </c>
      <c r="T815" s="2" t="s">
        <v>16964</v>
      </c>
    </row>
    <row r="816" spans="1:24" hidden="1">
      <c r="A816" s="3" t="s">
        <v>3996</v>
      </c>
      <c r="B816" s="2">
        <v>5857</v>
      </c>
      <c r="D816" s="66" t="str">
        <f>VLOOKUP("*"&amp;A816&amp;"*",[2]Sheet1!$G$2:$X$1155,18,FALSE)</f>
        <v>ERR10549979</v>
      </c>
      <c r="E816" s="2">
        <v>2011</v>
      </c>
      <c r="F816" s="2" t="s">
        <v>2690</v>
      </c>
      <c r="G816" s="2" t="s">
        <v>5</v>
      </c>
      <c r="H816" s="2" t="s">
        <v>5</v>
      </c>
      <c r="I816" s="2" t="s">
        <v>10</v>
      </c>
      <c r="J816" s="2" t="s">
        <v>35</v>
      </c>
      <c r="K816" s="2" t="s">
        <v>753</v>
      </c>
      <c r="L816" s="2" t="s">
        <v>34</v>
      </c>
      <c r="M816" s="2">
        <v>5</v>
      </c>
      <c r="N816" s="2" t="s">
        <v>14</v>
      </c>
      <c r="T816" s="2" t="s">
        <v>16963</v>
      </c>
      <c r="U816" s="67" t="s">
        <v>2627</v>
      </c>
    </row>
    <row r="817" spans="1:24" hidden="1">
      <c r="A817" s="3" t="s">
        <v>3482</v>
      </c>
      <c r="B817" s="2">
        <v>5859</v>
      </c>
      <c r="D817" s="66" t="str">
        <f>VLOOKUP("*"&amp;A817&amp;"*",[2]Sheet1!$G$2:$X$1155,18,FALSE)</f>
        <v>ERR10549982</v>
      </c>
      <c r="E817" s="2">
        <v>2011</v>
      </c>
      <c r="F817" s="2" t="s">
        <v>2690</v>
      </c>
      <c r="G817" s="2" t="s">
        <v>5</v>
      </c>
      <c r="H817" s="2" t="s">
        <v>5</v>
      </c>
      <c r="I817" s="2" t="s">
        <v>6</v>
      </c>
      <c r="J817" s="2" t="s">
        <v>29</v>
      </c>
      <c r="K817" s="2" t="s">
        <v>869</v>
      </c>
      <c r="L817" s="2" t="s">
        <v>28</v>
      </c>
      <c r="M817" s="2">
        <v>1462</v>
      </c>
      <c r="N817" s="2" t="s">
        <v>9</v>
      </c>
      <c r="T817" s="2" t="s">
        <v>16964</v>
      </c>
    </row>
    <row r="818" spans="1:24" hidden="1">
      <c r="A818" s="3" t="s">
        <v>3481</v>
      </c>
      <c r="B818" s="2">
        <v>5891</v>
      </c>
      <c r="D818" s="66" t="str">
        <f>VLOOKUP("*"&amp;A818&amp;"*",[2]Sheet1!$G$2:$X$1155,18,FALSE)</f>
        <v>ERR10549980</v>
      </c>
      <c r="E818" s="2">
        <v>2011</v>
      </c>
      <c r="F818" s="2" t="s">
        <v>2690</v>
      </c>
      <c r="G818" s="2" t="s">
        <v>5</v>
      </c>
      <c r="H818" s="2" t="s">
        <v>5</v>
      </c>
      <c r="I818" s="2" t="s">
        <v>6</v>
      </c>
      <c r="J818" s="2" t="s">
        <v>29</v>
      </c>
      <c r="K818" s="2" t="s">
        <v>869</v>
      </c>
      <c r="L818" s="2" t="s">
        <v>28</v>
      </c>
      <c r="M818" s="2">
        <v>1462</v>
      </c>
      <c r="N818" s="2" t="s">
        <v>9</v>
      </c>
      <c r="T818" s="2" t="s">
        <v>16964</v>
      </c>
    </row>
    <row r="819" spans="1:24" hidden="1">
      <c r="A819" s="3" t="s">
        <v>3998</v>
      </c>
      <c r="B819" s="2">
        <v>6594</v>
      </c>
      <c r="D819" s="66" t="str">
        <f>VLOOKUP("*"&amp;A819&amp;"*",[2]Sheet1!$G$2:$X$1155,18,FALSE)</f>
        <v>ERR10550011</v>
      </c>
      <c r="E819" s="2">
        <v>2013</v>
      </c>
      <c r="F819" s="2" t="s">
        <v>2690</v>
      </c>
      <c r="G819" s="2" t="s">
        <v>5</v>
      </c>
      <c r="H819" s="2" t="s">
        <v>5</v>
      </c>
      <c r="I819" s="2" t="s">
        <v>10</v>
      </c>
      <c r="J819" s="2" t="s">
        <v>35</v>
      </c>
      <c r="K819" s="2" t="s">
        <v>753</v>
      </c>
      <c r="L819" s="2" t="s">
        <v>34</v>
      </c>
      <c r="M819" s="2">
        <v>5</v>
      </c>
      <c r="N819" s="2" t="s">
        <v>14</v>
      </c>
      <c r="T819" s="2" t="s">
        <v>16963</v>
      </c>
      <c r="U819" s="67" t="s">
        <v>2627</v>
      </c>
    </row>
    <row r="820" spans="1:24" hidden="1">
      <c r="A820" s="3" t="s">
        <v>3091</v>
      </c>
      <c r="B820" s="2">
        <v>6541</v>
      </c>
      <c r="D820" s="66" t="str">
        <f>VLOOKUP("*"&amp;A820&amp;"*",[2]Sheet1!$G$2:$X$1155,18,FALSE)</f>
        <v>ERR10550016</v>
      </c>
      <c r="E820" s="2">
        <v>2012</v>
      </c>
      <c r="F820" s="2" t="s">
        <v>2690</v>
      </c>
      <c r="G820" s="2" t="s">
        <v>5</v>
      </c>
      <c r="H820" s="2" t="s">
        <v>5</v>
      </c>
      <c r="I820" s="2" t="s">
        <v>10</v>
      </c>
      <c r="J820" s="2" t="s">
        <v>17</v>
      </c>
      <c r="K820" s="2" t="s">
        <v>870</v>
      </c>
      <c r="L820" s="2" t="s">
        <v>16</v>
      </c>
      <c r="M820" s="2">
        <v>2</v>
      </c>
      <c r="N820" s="2" t="s">
        <v>18</v>
      </c>
      <c r="T820" s="2" t="s">
        <v>16964</v>
      </c>
    </row>
    <row r="821" spans="1:24" hidden="1">
      <c r="A821" s="3" t="s">
        <v>3800</v>
      </c>
      <c r="B821" s="2">
        <v>6551</v>
      </c>
      <c r="D821" s="66" t="str">
        <f>VLOOKUP("*"&amp;A821&amp;"*",[2]Sheet1!$G$2:$X$1155,18,FALSE)</f>
        <v>ERR10549984</v>
      </c>
      <c r="E821" s="2">
        <v>2012</v>
      </c>
      <c r="F821" s="2" t="s">
        <v>2690</v>
      </c>
      <c r="G821" s="2" t="s">
        <v>5</v>
      </c>
      <c r="H821" s="2" t="s">
        <v>5</v>
      </c>
      <c r="I821" s="2" t="s">
        <v>6</v>
      </c>
      <c r="J821" s="2" t="s">
        <v>8</v>
      </c>
      <c r="K821" s="2" t="s">
        <v>871</v>
      </c>
      <c r="L821" s="2" t="s">
        <v>7</v>
      </c>
      <c r="M821" s="2">
        <v>121</v>
      </c>
      <c r="N821" s="2" t="s">
        <v>9</v>
      </c>
      <c r="T821" s="2" t="s">
        <v>16964</v>
      </c>
    </row>
    <row r="822" spans="1:24" hidden="1">
      <c r="A822" s="3" t="s">
        <v>2908</v>
      </c>
      <c r="B822" s="2" t="s">
        <v>872</v>
      </c>
      <c r="D822" s="66" t="str">
        <f>VLOOKUP("*"&amp;A822&amp;"*",[2]Sheet1!$G$2:$X$1155,18,FALSE)</f>
        <v>ERR10549986</v>
      </c>
      <c r="E822" s="2">
        <v>2013</v>
      </c>
      <c r="F822" s="2" t="s">
        <v>2690</v>
      </c>
      <c r="G822" s="2" t="s">
        <v>43</v>
      </c>
      <c r="H822" s="2" t="s">
        <v>43</v>
      </c>
      <c r="I822" s="2" t="s">
        <v>6</v>
      </c>
      <c r="J822" s="2" t="s">
        <v>8</v>
      </c>
      <c r="K822" s="2" t="s">
        <v>785</v>
      </c>
      <c r="L822" s="2" t="s">
        <v>7</v>
      </c>
      <c r="M822" s="2">
        <v>121</v>
      </c>
      <c r="N822" s="2" t="s">
        <v>9</v>
      </c>
      <c r="T822" s="2" t="s">
        <v>16963</v>
      </c>
      <c r="X822" s="67" t="s">
        <v>4722</v>
      </c>
    </row>
    <row r="823" spans="1:24" hidden="1">
      <c r="A823" s="3" t="s">
        <v>3353</v>
      </c>
      <c r="B823" s="2" t="s">
        <v>873</v>
      </c>
      <c r="D823" s="66" t="str">
        <f>VLOOKUP("*"&amp;A823&amp;"*",[2]Sheet1!$G$2:$X$1155,18,FALSE)</f>
        <v>ERR10550013</v>
      </c>
      <c r="E823" s="2">
        <v>2015</v>
      </c>
      <c r="F823" s="2" t="s">
        <v>2690</v>
      </c>
      <c r="G823" s="2" t="s">
        <v>43</v>
      </c>
      <c r="H823" s="2" t="s">
        <v>43</v>
      </c>
      <c r="I823" s="2" t="s">
        <v>6</v>
      </c>
      <c r="J823" s="2" t="s">
        <v>29</v>
      </c>
      <c r="K823" s="2" t="s">
        <v>874</v>
      </c>
      <c r="L823" s="2" t="s">
        <v>28</v>
      </c>
      <c r="M823" s="2">
        <v>8</v>
      </c>
      <c r="N823" s="2" t="s">
        <v>9</v>
      </c>
      <c r="T823" s="2" t="s">
        <v>16964</v>
      </c>
    </row>
    <row r="824" spans="1:24" hidden="1">
      <c r="A824" s="3" t="s">
        <v>3863</v>
      </c>
      <c r="B824" s="2" t="s">
        <v>875</v>
      </c>
      <c r="D824" s="66" t="str">
        <f>VLOOKUP("*"&amp;A824&amp;"*",[2]Sheet1!$G$2:$X$1155,18,FALSE)</f>
        <v>ERR10611992</v>
      </c>
      <c r="E824" s="2">
        <v>2014</v>
      </c>
      <c r="F824" s="2" t="s">
        <v>876</v>
      </c>
      <c r="G824" s="2" t="s">
        <v>5</v>
      </c>
      <c r="H824" s="2" t="s">
        <v>2496</v>
      </c>
      <c r="I824" s="2" t="s">
        <v>10</v>
      </c>
      <c r="J824" s="2" t="s">
        <v>59</v>
      </c>
      <c r="K824" s="2" t="s">
        <v>877</v>
      </c>
      <c r="L824" s="2" t="s">
        <v>58</v>
      </c>
      <c r="M824" s="2">
        <v>6</v>
      </c>
      <c r="N824" s="2" t="s">
        <v>18</v>
      </c>
      <c r="O824" s="2">
        <v>0.2</v>
      </c>
      <c r="P824" s="2" t="s">
        <v>16964</v>
      </c>
      <c r="T824" s="2" t="s">
        <v>16964</v>
      </c>
    </row>
    <row r="825" spans="1:24" hidden="1">
      <c r="A825" s="3" t="s">
        <v>2849</v>
      </c>
      <c r="B825" s="2" t="s">
        <v>878</v>
      </c>
      <c r="D825" s="66" t="str">
        <f>VLOOKUP("*"&amp;A825&amp;"*",[2]Sheet1!$G$2:$X$1155,18,FALSE)</f>
        <v>ERR10612146</v>
      </c>
      <c r="E825" s="2">
        <v>2019</v>
      </c>
      <c r="F825" s="2" t="s">
        <v>876</v>
      </c>
      <c r="G825" s="2" t="s">
        <v>5</v>
      </c>
      <c r="H825" s="2" t="s">
        <v>2332</v>
      </c>
      <c r="I825" s="2" t="s">
        <v>6</v>
      </c>
      <c r="J825" s="2" t="s">
        <v>879</v>
      </c>
      <c r="K825" s="2" t="s">
        <v>880</v>
      </c>
      <c r="L825" s="2" t="s">
        <v>23</v>
      </c>
      <c r="M825" s="2">
        <v>206</v>
      </c>
      <c r="N825" s="2" t="s">
        <v>9</v>
      </c>
      <c r="T825" s="2" t="s">
        <v>16964</v>
      </c>
    </row>
    <row r="826" spans="1:24" hidden="1">
      <c r="A826" s="3" t="s">
        <v>3179</v>
      </c>
      <c r="B826" s="2" t="s">
        <v>897</v>
      </c>
      <c r="D826" s="66" t="str">
        <f>VLOOKUP("*"&amp;A826&amp;"*",[2]Sheet1!$G$2:$X$1155,18,FALSE)</f>
        <v>ERR10612182</v>
      </c>
      <c r="E826" s="2">
        <v>2020</v>
      </c>
      <c r="F826" s="2" t="s">
        <v>876</v>
      </c>
      <c r="G826" s="2" t="s">
        <v>5</v>
      </c>
      <c r="H826" s="2" t="s">
        <v>2548</v>
      </c>
      <c r="I826" s="2" t="s">
        <v>6</v>
      </c>
      <c r="J826" s="2" t="s">
        <v>20</v>
      </c>
      <c r="K826" s="2" t="s">
        <v>694</v>
      </c>
      <c r="L826" s="2" t="s">
        <v>19</v>
      </c>
      <c r="M826" s="2">
        <v>122</v>
      </c>
      <c r="N826" s="2" t="s">
        <v>21</v>
      </c>
      <c r="O826" s="2">
        <f>VLOOKUP(B826,[1]Sheet1!$B$624:$E$1665,4,FALSE)</f>
        <v>0.2</v>
      </c>
      <c r="P826" s="2" t="s">
        <v>16964</v>
      </c>
      <c r="T826" s="2" t="s">
        <v>16964</v>
      </c>
    </row>
    <row r="827" spans="1:24" hidden="1">
      <c r="A827" s="3" t="s">
        <v>3670</v>
      </c>
      <c r="B827" s="2" t="s">
        <v>901</v>
      </c>
      <c r="D827" s="66" t="str">
        <f>VLOOKUP("*"&amp;A827&amp;"*",[2]Sheet1!$G$2:$X$1155,18,FALSE)</f>
        <v>ERR10612184</v>
      </c>
      <c r="E827" s="2">
        <v>2020</v>
      </c>
      <c r="F827" s="2" t="s">
        <v>876</v>
      </c>
      <c r="G827" s="2" t="s">
        <v>5</v>
      </c>
      <c r="H827" s="2" t="s">
        <v>2332</v>
      </c>
      <c r="I827" s="2" t="s">
        <v>6</v>
      </c>
      <c r="J827" s="2" t="s">
        <v>146</v>
      </c>
      <c r="K827" s="2" t="s">
        <v>902</v>
      </c>
      <c r="L827" s="2" t="s">
        <v>145</v>
      </c>
      <c r="M827" s="2">
        <v>20</v>
      </c>
      <c r="N827" s="2" t="s">
        <v>9</v>
      </c>
      <c r="T827" s="2" t="s">
        <v>16964</v>
      </c>
    </row>
    <row r="828" spans="1:24" hidden="1">
      <c r="A828" s="3" t="s">
        <v>3003</v>
      </c>
      <c r="B828" s="2" t="s">
        <v>905</v>
      </c>
      <c r="D828" s="66" t="str">
        <f>VLOOKUP("*"&amp;A828&amp;"*",[2]Sheet1!$G$2:$X$1155,18,FALSE)</f>
        <v>ERR10612193</v>
      </c>
      <c r="E828" s="2">
        <v>2020</v>
      </c>
      <c r="F828" s="2" t="s">
        <v>876</v>
      </c>
      <c r="G828" s="2" t="s">
        <v>5</v>
      </c>
      <c r="H828" s="2" t="s">
        <v>2391</v>
      </c>
      <c r="I828" s="2" t="s">
        <v>6</v>
      </c>
      <c r="J828" s="2" t="s">
        <v>20</v>
      </c>
      <c r="K828" s="2" t="s">
        <v>904</v>
      </c>
      <c r="L828" s="2" t="s">
        <v>19</v>
      </c>
      <c r="M828" s="2">
        <v>9</v>
      </c>
      <c r="N828" s="2" t="s">
        <v>21</v>
      </c>
      <c r="T828" s="2" t="s">
        <v>16963</v>
      </c>
      <c r="X828" s="67" t="s">
        <v>4724</v>
      </c>
    </row>
    <row r="829" spans="1:24" hidden="1">
      <c r="A829" s="3" t="s">
        <v>3282</v>
      </c>
      <c r="B829" s="2" t="s">
        <v>906</v>
      </c>
      <c r="D829" s="66" t="str">
        <f>VLOOKUP("*"&amp;A829&amp;"*",[2]Sheet1!$G$2:$X$1155,18,FALSE)</f>
        <v>ERR10612188</v>
      </c>
      <c r="E829" s="2">
        <v>2020</v>
      </c>
      <c r="F829" s="2" t="s">
        <v>876</v>
      </c>
      <c r="G829" s="2" t="s">
        <v>5</v>
      </c>
      <c r="H829" s="2" t="s">
        <v>2496</v>
      </c>
      <c r="I829" s="2" t="s">
        <v>6</v>
      </c>
      <c r="J829" s="2" t="s">
        <v>415</v>
      </c>
      <c r="K829" s="2" t="s">
        <v>700</v>
      </c>
      <c r="L829" s="2" t="s">
        <v>414</v>
      </c>
      <c r="M829" s="2">
        <v>204</v>
      </c>
      <c r="N829" s="2" t="s">
        <v>9</v>
      </c>
      <c r="O829" s="2">
        <f>VLOOKUP(B829,[1]Sheet1!$B$624:$E$1665,4,FALSE)</f>
        <v>0.2</v>
      </c>
      <c r="P829" s="2" t="s">
        <v>16964</v>
      </c>
      <c r="T829" s="2" t="s">
        <v>16964</v>
      </c>
    </row>
    <row r="830" spans="1:24" hidden="1">
      <c r="A830" s="3" t="s">
        <v>3261</v>
      </c>
      <c r="B830" s="2" t="s">
        <v>907</v>
      </c>
      <c r="D830" s="66" t="str">
        <f>VLOOKUP("*"&amp;A830&amp;"*",[2]Sheet1!$G$2:$X$1155,18,FALSE)</f>
        <v>ERR10612183</v>
      </c>
      <c r="E830" s="2">
        <v>2020</v>
      </c>
      <c r="F830" s="2" t="s">
        <v>876</v>
      </c>
      <c r="G830" s="2" t="s">
        <v>5</v>
      </c>
      <c r="H830" s="2" t="s">
        <v>2332</v>
      </c>
      <c r="I830" s="2" t="s">
        <v>6</v>
      </c>
      <c r="J830" s="2" t="s">
        <v>8</v>
      </c>
      <c r="K830" s="2" t="s">
        <v>908</v>
      </c>
      <c r="L830" s="2" t="s">
        <v>7</v>
      </c>
      <c r="M830" s="2">
        <v>121</v>
      </c>
      <c r="N830" s="2" t="s">
        <v>9</v>
      </c>
      <c r="T830" s="2" t="s">
        <v>16963</v>
      </c>
      <c r="X830" s="67" t="s">
        <v>4722</v>
      </c>
    </row>
    <row r="831" spans="1:24" hidden="1">
      <c r="A831" s="3" t="s">
        <v>3219</v>
      </c>
      <c r="B831" s="2" t="s">
        <v>909</v>
      </c>
      <c r="D831" s="66" t="str">
        <f>VLOOKUP("*"&amp;A831&amp;"*",[2]Sheet1!$G$2:$X$1155,18,FALSE)</f>
        <v>ERR10612210</v>
      </c>
      <c r="E831" s="2">
        <v>2020</v>
      </c>
      <c r="F831" s="2" t="s">
        <v>876</v>
      </c>
      <c r="G831" s="2" t="s">
        <v>5</v>
      </c>
      <c r="H831" s="2" t="s">
        <v>2332</v>
      </c>
      <c r="I831" s="2" t="s">
        <v>6</v>
      </c>
      <c r="J831" s="2" t="s">
        <v>20</v>
      </c>
      <c r="K831" s="2" t="s">
        <v>231</v>
      </c>
      <c r="L831" s="2" t="s">
        <v>19</v>
      </c>
      <c r="M831" s="2">
        <v>1031</v>
      </c>
      <c r="N831" s="2" t="s">
        <v>21</v>
      </c>
      <c r="T831" s="2" t="s">
        <v>16963</v>
      </c>
      <c r="U831" s="67" t="s">
        <v>2627</v>
      </c>
    </row>
    <row r="832" spans="1:24" hidden="1">
      <c r="A832" s="3" t="s">
        <v>4137</v>
      </c>
      <c r="B832" s="2" t="s">
        <v>910</v>
      </c>
      <c r="D832" s="66" t="str">
        <f>VLOOKUP("*"&amp;A832&amp;"*",[2]Sheet1!$G$2:$X$1155,18,FALSE)</f>
        <v>ERR10612186</v>
      </c>
      <c r="E832" s="2">
        <v>2020</v>
      </c>
      <c r="F832" s="2" t="s">
        <v>876</v>
      </c>
      <c r="G832" s="2" t="s">
        <v>5</v>
      </c>
      <c r="H832" s="2" t="s">
        <v>2548</v>
      </c>
      <c r="I832" s="2" t="s">
        <v>10</v>
      </c>
      <c r="J832" s="2" t="s">
        <v>59</v>
      </c>
      <c r="K832" s="2" t="s">
        <v>911</v>
      </c>
      <c r="L832" s="2" t="s">
        <v>58</v>
      </c>
      <c r="M832" s="2">
        <v>6</v>
      </c>
      <c r="N832" s="2" t="s">
        <v>18</v>
      </c>
      <c r="O832" s="2">
        <f>VLOOKUP(B832,[1]Sheet1!$B$624:$E$1665,4,FALSE)</f>
        <v>0.4</v>
      </c>
      <c r="P832" s="2" t="s">
        <v>16964</v>
      </c>
      <c r="T832" s="2" t="s">
        <v>16964</v>
      </c>
    </row>
    <row r="833" spans="1:25" hidden="1">
      <c r="A833" s="3" t="s">
        <v>4095</v>
      </c>
      <c r="B833" s="2" t="s">
        <v>912</v>
      </c>
      <c r="D833" s="66" t="str">
        <f>VLOOKUP("*"&amp;A833&amp;"*",[2]Sheet1!$G$2:$X$1155,18,FALSE)</f>
        <v>ERR10612213</v>
      </c>
      <c r="E833" s="2">
        <v>2020</v>
      </c>
      <c r="F833" s="2" t="s">
        <v>876</v>
      </c>
      <c r="G833" s="2" t="s">
        <v>5</v>
      </c>
      <c r="H833" s="2" t="s">
        <v>2391</v>
      </c>
      <c r="I833" s="2" t="s">
        <v>6</v>
      </c>
      <c r="J833" s="2" t="s">
        <v>889</v>
      </c>
      <c r="K833" s="2" t="s">
        <v>890</v>
      </c>
      <c r="L833" s="2" t="s">
        <v>888</v>
      </c>
      <c r="M833" s="2">
        <v>398</v>
      </c>
      <c r="N833" s="2" t="s">
        <v>9</v>
      </c>
      <c r="T833" s="2" t="s">
        <v>16964</v>
      </c>
    </row>
    <row r="834" spans="1:25" hidden="1">
      <c r="A834" s="3" t="s">
        <v>3320</v>
      </c>
      <c r="B834" s="2" t="s">
        <v>913</v>
      </c>
      <c r="D834" s="66" t="str">
        <f>VLOOKUP("*"&amp;A834&amp;"*",[2]Sheet1!$G$2:$X$1155,18,FALSE)</f>
        <v>ERR10612165</v>
      </c>
      <c r="E834" s="2">
        <v>2020</v>
      </c>
      <c r="F834" s="2" t="s">
        <v>876</v>
      </c>
      <c r="G834" s="2" t="s">
        <v>5</v>
      </c>
      <c r="H834" s="2" t="s">
        <v>2332</v>
      </c>
      <c r="I834" s="2" t="s">
        <v>6</v>
      </c>
      <c r="J834" s="2" t="s">
        <v>20</v>
      </c>
      <c r="K834" s="2" t="s">
        <v>231</v>
      </c>
      <c r="L834" s="2" t="s">
        <v>19</v>
      </c>
      <c r="M834" s="2">
        <v>1031</v>
      </c>
      <c r="N834" s="2" t="s">
        <v>9</v>
      </c>
      <c r="T834" s="2" t="s">
        <v>16963</v>
      </c>
      <c r="U834" s="67" t="s">
        <v>2627</v>
      </c>
    </row>
    <row r="835" spans="1:25" hidden="1">
      <c r="A835" s="3" t="s">
        <v>3684</v>
      </c>
      <c r="B835" s="2" t="s">
        <v>914</v>
      </c>
      <c r="D835" s="66" t="str">
        <f>VLOOKUP("*"&amp;A835&amp;"*",[2]Sheet1!$G$2:$X$1155,18,FALSE)</f>
        <v>ERR10612166</v>
      </c>
      <c r="E835" s="2">
        <v>2020</v>
      </c>
      <c r="F835" s="2" t="s">
        <v>876</v>
      </c>
      <c r="G835" s="2" t="s">
        <v>5</v>
      </c>
      <c r="H835" s="2" t="s">
        <v>2332</v>
      </c>
      <c r="I835" s="2" t="s">
        <v>6</v>
      </c>
      <c r="J835" s="2" t="s">
        <v>8</v>
      </c>
      <c r="K835" s="2" t="s">
        <v>883</v>
      </c>
      <c r="L835" s="2" t="s">
        <v>7</v>
      </c>
      <c r="M835" s="2">
        <v>121</v>
      </c>
      <c r="N835" s="2" t="s">
        <v>9</v>
      </c>
      <c r="T835" s="2" t="s">
        <v>16963</v>
      </c>
      <c r="X835" s="67" t="s">
        <v>4722</v>
      </c>
    </row>
    <row r="836" spans="1:25" hidden="1">
      <c r="A836" s="3" t="s">
        <v>3220</v>
      </c>
      <c r="B836" s="2" t="s">
        <v>915</v>
      </c>
      <c r="D836" s="66" t="str">
        <f>VLOOKUP("*"&amp;A836&amp;"*",[2]Sheet1!$G$2:$X$1155,18,FALSE)</f>
        <v>ERR10612215</v>
      </c>
      <c r="E836" s="2">
        <v>2020</v>
      </c>
      <c r="F836" s="2" t="s">
        <v>876</v>
      </c>
      <c r="G836" s="2" t="s">
        <v>5</v>
      </c>
      <c r="H836" s="2" t="s">
        <v>2332</v>
      </c>
      <c r="I836" s="2" t="s">
        <v>6</v>
      </c>
      <c r="J836" s="2" t="s">
        <v>20</v>
      </c>
      <c r="K836" s="2" t="s">
        <v>231</v>
      </c>
      <c r="L836" s="2" t="s">
        <v>19</v>
      </c>
      <c r="M836" s="2">
        <v>1031</v>
      </c>
      <c r="N836" s="2" t="s">
        <v>21</v>
      </c>
      <c r="T836" s="2" t="s">
        <v>16963</v>
      </c>
      <c r="U836" s="67" t="s">
        <v>2627</v>
      </c>
    </row>
    <row r="837" spans="1:25" hidden="1">
      <c r="A837" s="3" t="s">
        <v>4100</v>
      </c>
      <c r="B837" s="2" t="s">
        <v>916</v>
      </c>
      <c r="D837" s="66" t="str">
        <f>VLOOKUP("*"&amp;A837&amp;"*",[2]Sheet1!$G$2:$X$1155,18,FALSE)</f>
        <v>ERR10612211</v>
      </c>
      <c r="E837" s="2">
        <v>2020</v>
      </c>
      <c r="F837" s="2" t="s">
        <v>876</v>
      </c>
      <c r="G837" s="2" t="s">
        <v>5</v>
      </c>
      <c r="H837" s="2" t="s">
        <v>2391</v>
      </c>
      <c r="I837" s="2" t="s">
        <v>6</v>
      </c>
      <c r="J837" s="2" t="s">
        <v>889</v>
      </c>
      <c r="K837" s="2" t="s">
        <v>890</v>
      </c>
      <c r="L837" s="2" t="s">
        <v>888</v>
      </c>
      <c r="M837" s="2">
        <v>398</v>
      </c>
      <c r="N837" s="2" t="s">
        <v>9</v>
      </c>
      <c r="T837" s="2" t="s">
        <v>16964</v>
      </c>
    </row>
    <row r="838" spans="1:25" hidden="1">
      <c r="A838" s="3" t="s">
        <v>4134</v>
      </c>
      <c r="B838" s="2" t="s">
        <v>917</v>
      </c>
      <c r="D838" s="66" t="str">
        <f>VLOOKUP("*"&amp;A838&amp;"*",[2]Sheet1!$G$2:$X$1155,18,FALSE)</f>
        <v>ERR10612187</v>
      </c>
      <c r="E838" s="2">
        <v>2020</v>
      </c>
      <c r="F838" s="2" t="s">
        <v>876</v>
      </c>
      <c r="G838" s="2" t="s">
        <v>5</v>
      </c>
      <c r="H838" s="2" t="s">
        <v>2548</v>
      </c>
      <c r="I838" s="2" t="s">
        <v>10</v>
      </c>
      <c r="J838" s="2" t="s">
        <v>59</v>
      </c>
      <c r="K838" s="2" t="s">
        <v>911</v>
      </c>
      <c r="L838" s="2" t="s">
        <v>58</v>
      </c>
      <c r="M838" s="2">
        <v>6</v>
      </c>
      <c r="N838" s="2" t="s">
        <v>18</v>
      </c>
      <c r="O838" s="2">
        <f>VLOOKUP(B838,[1]Sheet1!$B$624:$E$1665,4,FALSE)</f>
        <v>0.4</v>
      </c>
      <c r="P838" s="2" t="s">
        <v>16964</v>
      </c>
      <c r="T838" s="2" t="s">
        <v>16964</v>
      </c>
    </row>
    <row r="839" spans="1:25" hidden="1">
      <c r="A839" s="3" t="s">
        <v>2955</v>
      </c>
      <c r="B839" s="2" t="s">
        <v>918</v>
      </c>
      <c r="D839" s="66" t="str">
        <f>VLOOKUP("*"&amp;A839&amp;"*",[2]Sheet1!$G$2:$X$1155,18,FALSE)</f>
        <v>ERR10612200</v>
      </c>
      <c r="E839" s="2">
        <v>2020</v>
      </c>
      <c r="F839" s="2" t="s">
        <v>876</v>
      </c>
      <c r="G839" s="2" t="s">
        <v>5</v>
      </c>
      <c r="H839" s="2" t="s">
        <v>2332</v>
      </c>
      <c r="I839" s="2" t="s">
        <v>10</v>
      </c>
      <c r="J839" s="2" t="s">
        <v>12</v>
      </c>
      <c r="K839" s="2" t="s">
        <v>919</v>
      </c>
      <c r="L839" s="2" t="s">
        <v>11</v>
      </c>
      <c r="M839" s="2">
        <v>3</v>
      </c>
      <c r="N839" s="2" t="s">
        <v>14</v>
      </c>
      <c r="T839" s="2" t="s">
        <v>16964</v>
      </c>
    </row>
    <row r="840" spans="1:25" hidden="1">
      <c r="A840" s="3" t="s">
        <v>4132</v>
      </c>
      <c r="B840" s="2" t="s">
        <v>920</v>
      </c>
      <c r="D840" s="66" t="str">
        <f>VLOOKUP("*"&amp;A840&amp;"*",[2]Sheet1!$G$2:$X$1155,18,FALSE)</f>
        <v>ERR10612169</v>
      </c>
      <c r="E840" s="2">
        <v>2020</v>
      </c>
      <c r="F840" s="2" t="s">
        <v>876</v>
      </c>
      <c r="G840" s="2" t="s">
        <v>5</v>
      </c>
      <c r="H840" s="2" t="s">
        <v>2548</v>
      </c>
      <c r="I840" s="2" t="s">
        <v>10</v>
      </c>
      <c r="J840" s="2" t="s">
        <v>59</v>
      </c>
      <c r="K840" s="2" t="s">
        <v>911</v>
      </c>
      <c r="L840" s="2" t="s">
        <v>58</v>
      </c>
      <c r="M840" s="2">
        <v>6</v>
      </c>
      <c r="N840" s="2" t="s">
        <v>18</v>
      </c>
      <c r="T840" s="2" t="s">
        <v>16964</v>
      </c>
    </row>
    <row r="841" spans="1:25" hidden="1">
      <c r="A841" s="3" t="s">
        <v>3217</v>
      </c>
      <c r="B841" s="2" t="s">
        <v>921</v>
      </c>
      <c r="D841" s="66" t="str">
        <f>VLOOKUP("*"&amp;A841&amp;"*",[2]Sheet1!$G$2:$X$1155,18,FALSE)</f>
        <v>ERR10612196</v>
      </c>
      <c r="E841" s="2">
        <v>2020</v>
      </c>
      <c r="F841" s="2" t="s">
        <v>876</v>
      </c>
      <c r="G841" s="2" t="s">
        <v>5</v>
      </c>
      <c r="H841" s="2" t="s">
        <v>2332</v>
      </c>
      <c r="I841" s="2" t="s">
        <v>6</v>
      </c>
      <c r="J841" s="2" t="s">
        <v>20</v>
      </c>
      <c r="K841" s="2" t="s">
        <v>231</v>
      </c>
      <c r="L841" s="2" t="s">
        <v>19</v>
      </c>
      <c r="M841" s="2">
        <v>1031</v>
      </c>
      <c r="N841" s="2" t="s">
        <v>21</v>
      </c>
      <c r="T841" s="2" t="s">
        <v>16963</v>
      </c>
      <c r="U841" s="67" t="s">
        <v>2627</v>
      </c>
    </row>
    <row r="842" spans="1:25" hidden="1">
      <c r="A842" s="3" t="s">
        <v>4093</v>
      </c>
      <c r="B842" s="2" t="s">
        <v>922</v>
      </c>
      <c r="D842" s="66" t="str">
        <f>VLOOKUP("*"&amp;A842&amp;"*",[2]Sheet1!$G$2:$X$1155,18,FALSE)</f>
        <v>ERR10612207</v>
      </c>
      <c r="E842" s="2">
        <v>2020</v>
      </c>
      <c r="F842" s="2" t="s">
        <v>876</v>
      </c>
      <c r="G842" s="2" t="s">
        <v>5</v>
      </c>
      <c r="H842" s="2" t="s">
        <v>2391</v>
      </c>
      <c r="I842" s="2" t="s">
        <v>6</v>
      </c>
      <c r="J842" s="2" t="s">
        <v>889</v>
      </c>
      <c r="K842" s="2" t="s">
        <v>890</v>
      </c>
      <c r="L842" s="2" t="s">
        <v>888</v>
      </c>
      <c r="M842" s="2">
        <v>398</v>
      </c>
      <c r="N842" s="2" t="s">
        <v>9</v>
      </c>
      <c r="O842" s="2">
        <f>VLOOKUP(B842,[1]Sheet1!$B$624:$E$1665,4,FALSE)</f>
        <v>0.8</v>
      </c>
      <c r="P842" s="2" t="s">
        <v>16963</v>
      </c>
      <c r="T842" s="2" t="s">
        <v>16963</v>
      </c>
      <c r="Y842" s="67" t="s">
        <v>2627</v>
      </c>
    </row>
    <row r="843" spans="1:25" hidden="1">
      <c r="A843" s="3" t="s">
        <v>2925</v>
      </c>
      <c r="B843" s="2" t="s">
        <v>923</v>
      </c>
      <c r="D843" s="66" t="str">
        <f>VLOOKUP("*"&amp;A843&amp;"*",[2]Sheet1!$G$2:$X$1155,18,FALSE)</f>
        <v>ERR10612199</v>
      </c>
      <c r="E843" s="2">
        <v>2020</v>
      </c>
      <c r="F843" s="2" t="s">
        <v>876</v>
      </c>
      <c r="G843" s="2" t="s">
        <v>5</v>
      </c>
      <c r="H843" s="2" t="s">
        <v>2391</v>
      </c>
      <c r="I843" s="2" t="s">
        <v>6</v>
      </c>
      <c r="J843" s="2" t="s">
        <v>20</v>
      </c>
      <c r="K843" s="2" t="s">
        <v>904</v>
      </c>
      <c r="L843" s="2" t="s">
        <v>19</v>
      </c>
      <c r="M843" s="2">
        <v>9</v>
      </c>
      <c r="N843" s="2" t="s">
        <v>21</v>
      </c>
      <c r="T843" s="2" t="s">
        <v>16963</v>
      </c>
      <c r="X843" s="67" t="s">
        <v>4724</v>
      </c>
    </row>
    <row r="844" spans="1:25" hidden="1">
      <c r="A844" s="3" t="s">
        <v>3362</v>
      </c>
      <c r="B844" s="2" t="s">
        <v>924</v>
      </c>
      <c r="D844" s="66" t="str">
        <f>VLOOKUP("*"&amp;A844&amp;"*",[2]Sheet1!$G$2:$X$1155,18,FALSE)</f>
        <v>ERR10612228</v>
      </c>
      <c r="E844" s="2">
        <v>2020</v>
      </c>
      <c r="F844" s="2" t="s">
        <v>876</v>
      </c>
      <c r="G844" s="2" t="s">
        <v>5</v>
      </c>
      <c r="H844" s="2" t="s">
        <v>2332</v>
      </c>
      <c r="I844" s="2" t="s">
        <v>10</v>
      </c>
      <c r="J844" s="2" t="s">
        <v>187</v>
      </c>
      <c r="K844" s="2" t="s">
        <v>362</v>
      </c>
      <c r="L844" s="2" t="s">
        <v>186</v>
      </c>
      <c r="M844" s="2">
        <v>330</v>
      </c>
      <c r="N844" s="2" t="s">
        <v>14</v>
      </c>
      <c r="T844" s="2" t="s">
        <v>16964</v>
      </c>
    </row>
    <row r="845" spans="1:25" hidden="1">
      <c r="A845" s="3" t="s">
        <v>3001</v>
      </c>
      <c r="B845" s="2" t="s">
        <v>925</v>
      </c>
      <c r="D845" s="66" t="str">
        <f>VLOOKUP("*"&amp;A845&amp;"*",[2]Sheet1!$G$2:$X$1155,18,FALSE)</f>
        <v>ERR10612173</v>
      </c>
      <c r="E845" s="2">
        <v>2020</v>
      </c>
      <c r="F845" s="2" t="s">
        <v>876</v>
      </c>
      <c r="G845" s="2" t="s">
        <v>5</v>
      </c>
      <c r="H845" s="2" t="s">
        <v>2548</v>
      </c>
      <c r="I845" s="2" t="s">
        <v>6</v>
      </c>
      <c r="J845" s="2" t="s">
        <v>441</v>
      </c>
      <c r="K845" s="2" t="s">
        <v>442</v>
      </c>
      <c r="L845" s="2" t="s">
        <v>87</v>
      </c>
      <c r="M845" s="2">
        <v>325</v>
      </c>
      <c r="N845" s="2" t="s">
        <v>9</v>
      </c>
      <c r="T845" s="2" t="s">
        <v>16964</v>
      </c>
    </row>
    <row r="846" spans="1:25" hidden="1">
      <c r="A846" s="3" t="s">
        <v>3508</v>
      </c>
      <c r="B846" s="2" t="s">
        <v>926</v>
      </c>
      <c r="D846" s="66" t="str">
        <f>VLOOKUP("*"&amp;A846&amp;"*",[2]Sheet1!$G$2:$X$1155,18,FALSE)</f>
        <v>ERR10612174</v>
      </c>
      <c r="E846" s="2">
        <v>2020</v>
      </c>
      <c r="F846" s="2" t="s">
        <v>876</v>
      </c>
      <c r="G846" s="2" t="s">
        <v>5</v>
      </c>
      <c r="H846" s="2" t="s">
        <v>2332</v>
      </c>
      <c r="I846" s="2" t="s">
        <v>6</v>
      </c>
      <c r="J846" s="2" t="s">
        <v>20</v>
      </c>
      <c r="K846" s="2" t="s">
        <v>231</v>
      </c>
      <c r="L846" s="2" t="s">
        <v>19</v>
      </c>
      <c r="M846" s="2">
        <v>1031</v>
      </c>
      <c r="N846" s="2" t="s">
        <v>21</v>
      </c>
      <c r="T846" s="2" t="s">
        <v>16964</v>
      </c>
    </row>
    <row r="847" spans="1:25" hidden="1">
      <c r="A847" s="3" t="s">
        <v>3397</v>
      </c>
      <c r="B847" s="2" t="s">
        <v>2549</v>
      </c>
      <c r="D847" s="66" t="str">
        <f>VLOOKUP("*"&amp;A847&amp;"*",[2]Sheet1!$G$2:$X$1155,18,FALSE)</f>
        <v>ERR10612176</v>
      </c>
      <c r="E847" s="2">
        <v>2020</v>
      </c>
      <c r="F847" s="2" t="s">
        <v>876</v>
      </c>
      <c r="G847" s="2" t="s">
        <v>5</v>
      </c>
      <c r="H847" s="2" t="s">
        <v>2332</v>
      </c>
      <c r="I847" s="2" t="s">
        <v>6</v>
      </c>
      <c r="J847" s="2" t="s">
        <v>20</v>
      </c>
      <c r="K847" s="2" t="s">
        <v>231</v>
      </c>
      <c r="L847" s="2" t="s">
        <v>19</v>
      </c>
      <c r="M847" s="2">
        <v>1031</v>
      </c>
      <c r="N847" s="2" t="s">
        <v>21</v>
      </c>
      <c r="T847" s="2" t="s">
        <v>16964</v>
      </c>
    </row>
    <row r="848" spans="1:25" hidden="1">
      <c r="A848" s="3" t="s">
        <v>3370</v>
      </c>
      <c r="B848" s="2" t="s">
        <v>927</v>
      </c>
      <c r="D848" s="66" t="str">
        <f>VLOOKUP("*"&amp;A848&amp;"*",[2]Sheet1!$G$2:$X$1155,18,FALSE)</f>
        <v>ERR10612194</v>
      </c>
      <c r="E848" s="2">
        <v>2020</v>
      </c>
      <c r="F848" s="2" t="s">
        <v>876</v>
      </c>
      <c r="G848" s="2" t="s">
        <v>5</v>
      </c>
      <c r="H848" s="2" t="s">
        <v>2332</v>
      </c>
      <c r="I848" s="2" t="s">
        <v>6</v>
      </c>
      <c r="J848" s="2" t="s">
        <v>8</v>
      </c>
      <c r="K848" s="2" t="s">
        <v>928</v>
      </c>
      <c r="L848" s="2" t="s">
        <v>7</v>
      </c>
      <c r="M848" s="2">
        <v>121</v>
      </c>
      <c r="N848" s="2" t="s">
        <v>9</v>
      </c>
      <c r="T848" s="2" t="s">
        <v>16963</v>
      </c>
      <c r="X848" s="67" t="s">
        <v>4722</v>
      </c>
    </row>
    <row r="849" spans="1:24" hidden="1">
      <c r="A849" s="3" t="s">
        <v>3616</v>
      </c>
      <c r="B849" s="2" t="s">
        <v>929</v>
      </c>
      <c r="D849" s="66" t="str">
        <f>VLOOKUP("*"&amp;A849&amp;"*",[2]Sheet1!$G$2:$X$1155,18,FALSE)</f>
        <v>ERR10612179</v>
      </c>
      <c r="E849" s="2">
        <v>2020</v>
      </c>
      <c r="F849" s="2" t="s">
        <v>876</v>
      </c>
      <c r="G849" s="2" t="s">
        <v>5</v>
      </c>
      <c r="H849" s="2" t="s">
        <v>2496</v>
      </c>
      <c r="I849" s="2" t="s">
        <v>10</v>
      </c>
      <c r="J849" s="2" t="s">
        <v>129</v>
      </c>
      <c r="K849" s="2" t="s">
        <v>930</v>
      </c>
      <c r="L849" s="2" t="s">
        <v>128</v>
      </c>
      <c r="M849" s="2">
        <v>1</v>
      </c>
      <c r="N849" s="2" t="s">
        <v>18</v>
      </c>
      <c r="T849" s="2" t="s">
        <v>16964</v>
      </c>
    </row>
    <row r="850" spans="1:24" hidden="1">
      <c r="A850" s="3" t="s">
        <v>4313</v>
      </c>
      <c r="B850" s="2" t="s">
        <v>931</v>
      </c>
      <c r="D850" s="66" t="str">
        <f>VLOOKUP("*"&amp;A850&amp;"*",[2]Sheet1!$G$2:$X$1155,18,FALSE)</f>
        <v>ERR10612238</v>
      </c>
      <c r="E850" s="2">
        <v>2020</v>
      </c>
      <c r="F850" s="2" t="s">
        <v>876</v>
      </c>
      <c r="G850" s="2" t="s">
        <v>5</v>
      </c>
      <c r="H850" s="2" t="s">
        <v>2332</v>
      </c>
      <c r="I850" s="2" t="s">
        <v>10</v>
      </c>
      <c r="J850" s="2" t="s">
        <v>616</v>
      </c>
      <c r="K850" s="2" t="s">
        <v>932</v>
      </c>
      <c r="L850" s="2" t="s">
        <v>615</v>
      </c>
      <c r="M850" s="2">
        <v>736</v>
      </c>
      <c r="N850" s="2" t="s">
        <v>14</v>
      </c>
      <c r="O850" s="2">
        <v>0.2</v>
      </c>
      <c r="P850" s="2" t="s">
        <v>16964</v>
      </c>
      <c r="T850" s="2" t="s">
        <v>16964</v>
      </c>
    </row>
    <row r="851" spans="1:24" hidden="1">
      <c r="A851" s="3" t="s">
        <v>3510</v>
      </c>
      <c r="B851" s="2" t="s">
        <v>933</v>
      </c>
      <c r="D851" s="66" t="str">
        <f>VLOOKUP("*"&amp;A851&amp;"*",[2]Sheet1!$G$2:$X$1155,18,FALSE)</f>
        <v>ERR10612217</v>
      </c>
      <c r="E851" s="2">
        <v>2020</v>
      </c>
      <c r="F851" s="2" t="s">
        <v>876</v>
      </c>
      <c r="G851" s="2" t="s">
        <v>5</v>
      </c>
      <c r="H851" s="2" t="s">
        <v>2332</v>
      </c>
      <c r="I851" s="2" t="s">
        <v>6</v>
      </c>
      <c r="J851" s="2" t="s">
        <v>20</v>
      </c>
      <c r="K851" s="2" t="s">
        <v>231</v>
      </c>
      <c r="L851" s="2" t="s">
        <v>19</v>
      </c>
      <c r="M851" s="2">
        <v>1031</v>
      </c>
      <c r="O851" s="2">
        <f>VLOOKUP(B851,[1]Sheet1!$B$624:$E$1665,4,FALSE)</f>
        <v>0.2</v>
      </c>
      <c r="P851" s="2" t="s">
        <v>16964</v>
      </c>
      <c r="T851" s="2" t="s">
        <v>16964</v>
      </c>
    </row>
    <row r="852" spans="1:24" hidden="1">
      <c r="A852" s="3" t="s">
        <v>4385</v>
      </c>
      <c r="B852" s="2" t="s">
        <v>934</v>
      </c>
      <c r="D852" s="66" t="str">
        <f>VLOOKUP("*"&amp;A852&amp;"*",[2]Sheet1!$G$2:$X$1155,18,FALSE)</f>
        <v>ERR10612249</v>
      </c>
      <c r="E852" s="2">
        <v>2020</v>
      </c>
      <c r="F852" s="2" t="s">
        <v>876</v>
      </c>
      <c r="G852" s="2" t="s">
        <v>5</v>
      </c>
      <c r="H852" s="2" t="s">
        <v>2496</v>
      </c>
      <c r="I852" s="2" t="s">
        <v>6</v>
      </c>
      <c r="J852" s="2" t="s">
        <v>935</v>
      </c>
      <c r="K852" s="2" t="s">
        <v>936</v>
      </c>
      <c r="L852" s="2" t="s">
        <v>217</v>
      </c>
      <c r="M852" s="2">
        <v>427</v>
      </c>
      <c r="N852" s="2" t="s">
        <v>9</v>
      </c>
      <c r="T852" s="2" t="s">
        <v>16964</v>
      </c>
    </row>
    <row r="853" spans="1:24" hidden="1">
      <c r="A853" s="3" t="s">
        <v>4235</v>
      </c>
      <c r="B853" s="2" t="s">
        <v>937</v>
      </c>
      <c r="D853" s="66" t="str">
        <f>VLOOKUP("*"&amp;A853&amp;"*",[2]Sheet1!$G$2:$X$1155,18,FALSE)</f>
        <v>ERR10612237</v>
      </c>
      <c r="E853" s="2">
        <v>2020</v>
      </c>
      <c r="F853" s="2" t="s">
        <v>876</v>
      </c>
      <c r="G853" s="2" t="s">
        <v>5</v>
      </c>
      <c r="H853" s="2" t="s">
        <v>2496</v>
      </c>
      <c r="I853" s="2" t="s">
        <v>10</v>
      </c>
      <c r="J853" s="2" t="s">
        <v>129</v>
      </c>
      <c r="K853" s="2" t="s">
        <v>938</v>
      </c>
      <c r="L853" s="2" t="s">
        <v>128</v>
      </c>
      <c r="M853" s="2">
        <v>1</v>
      </c>
      <c r="N853" s="2" t="s">
        <v>18</v>
      </c>
      <c r="T853" s="2" t="s">
        <v>16964</v>
      </c>
    </row>
    <row r="854" spans="1:24" hidden="1">
      <c r="A854" s="3" t="s">
        <v>2829</v>
      </c>
      <c r="B854" s="2" t="s">
        <v>939</v>
      </c>
      <c r="D854" s="66" t="str">
        <f>VLOOKUP("*"&amp;A854&amp;"*",[2]Sheet1!$G$2:$X$1155,18,FALSE)</f>
        <v>ERR10612208</v>
      </c>
      <c r="E854" s="2">
        <v>2020</v>
      </c>
      <c r="F854" s="2" t="s">
        <v>876</v>
      </c>
      <c r="G854" s="2" t="s">
        <v>5</v>
      </c>
      <c r="H854" s="2" t="s">
        <v>2332</v>
      </c>
      <c r="I854" s="2" t="s">
        <v>6</v>
      </c>
      <c r="J854" s="2" t="s">
        <v>415</v>
      </c>
      <c r="K854" s="2" t="s">
        <v>940</v>
      </c>
      <c r="L854" s="2" t="s">
        <v>414</v>
      </c>
      <c r="M854" s="2">
        <v>204</v>
      </c>
      <c r="N854" s="2" t="s">
        <v>9</v>
      </c>
      <c r="O854" s="2">
        <v>0.8</v>
      </c>
      <c r="P854" s="2" t="s">
        <v>16963</v>
      </c>
      <c r="T854" s="2" t="s">
        <v>16963</v>
      </c>
      <c r="U854" s="67" t="s">
        <v>2627</v>
      </c>
    </row>
    <row r="855" spans="1:24" hidden="1">
      <c r="A855" s="3" t="s">
        <v>3435</v>
      </c>
      <c r="B855" s="2" t="s">
        <v>941</v>
      </c>
      <c r="D855" s="66" t="str">
        <f>VLOOKUP("*"&amp;A855&amp;"*",[2]Sheet1!$G$2:$X$1155,18,FALSE)</f>
        <v>ERR10612212</v>
      </c>
      <c r="E855" s="2">
        <v>2020</v>
      </c>
      <c r="F855" s="2" t="s">
        <v>876</v>
      </c>
      <c r="G855" s="2" t="s">
        <v>5</v>
      </c>
      <c r="H855" s="2" t="s">
        <v>2496</v>
      </c>
      <c r="I855" s="2" t="s">
        <v>6</v>
      </c>
      <c r="J855" s="2" t="s">
        <v>20</v>
      </c>
      <c r="K855" s="2" t="s">
        <v>669</v>
      </c>
      <c r="L855" s="2" t="s">
        <v>19</v>
      </c>
      <c r="M855" s="2">
        <v>9</v>
      </c>
      <c r="N855" s="2" t="s">
        <v>21</v>
      </c>
      <c r="O855" s="2">
        <f>VLOOKUP(B855,[1]Sheet1!$B$624:$E$1665,4,FALSE)</f>
        <v>0.2</v>
      </c>
      <c r="P855" s="2" t="s">
        <v>16964</v>
      </c>
      <c r="T855" s="2" t="s">
        <v>16964</v>
      </c>
    </row>
    <row r="856" spans="1:24" hidden="1">
      <c r="A856" s="3" t="s">
        <v>3360</v>
      </c>
      <c r="B856" s="2" t="s">
        <v>942</v>
      </c>
      <c r="D856" s="66" t="str">
        <f>VLOOKUP("*"&amp;A856&amp;"*",[2]Sheet1!$G$2:$X$1155,18,FALSE)</f>
        <v>ERR10612221</v>
      </c>
      <c r="E856" s="2">
        <v>2020</v>
      </c>
      <c r="F856" s="2" t="s">
        <v>876</v>
      </c>
      <c r="G856" s="2" t="s">
        <v>5</v>
      </c>
      <c r="H856" s="2" t="s">
        <v>2391</v>
      </c>
      <c r="I856" s="2" t="s">
        <v>6</v>
      </c>
      <c r="J856" s="2" t="s">
        <v>8</v>
      </c>
      <c r="K856" s="2" t="s">
        <v>943</v>
      </c>
      <c r="L856" s="2" t="s">
        <v>7</v>
      </c>
      <c r="M856" s="2">
        <v>121</v>
      </c>
      <c r="N856" s="2" t="s">
        <v>9</v>
      </c>
      <c r="T856" s="2" t="s">
        <v>16963</v>
      </c>
      <c r="X856" s="67" t="s">
        <v>4722</v>
      </c>
    </row>
    <row r="857" spans="1:24" hidden="1">
      <c r="A857" s="3" t="s">
        <v>4098</v>
      </c>
      <c r="B857" s="2" t="s">
        <v>944</v>
      </c>
      <c r="D857" s="66" t="str">
        <f>VLOOKUP("*"&amp;A857&amp;"*",[2]Sheet1!$G$2:$X$1155,18,FALSE)</f>
        <v>ERR10612219</v>
      </c>
      <c r="E857" s="2">
        <v>2020</v>
      </c>
      <c r="F857" s="2" t="s">
        <v>876</v>
      </c>
      <c r="G857" s="2" t="s">
        <v>5</v>
      </c>
      <c r="H857" s="2" t="s">
        <v>2391</v>
      </c>
      <c r="I857" s="2" t="s">
        <v>6</v>
      </c>
      <c r="J857" s="2" t="s">
        <v>889</v>
      </c>
      <c r="K857" s="2" t="s">
        <v>890</v>
      </c>
      <c r="L857" s="2" t="s">
        <v>888</v>
      </c>
      <c r="M857" s="2">
        <v>398</v>
      </c>
      <c r="N857" s="2" t="s">
        <v>9</v>
      </c>
      <c r="T857" s="2" t="s">
        <v>16964</v>
      </c>
    </row>
    <row r="858" spans="1:24" hidden="1">
      <c r="A858" s="3" t="s">
        <v>4284</v>
      </c>
      <c r="B858" s="2" t="s">
        <v>945</v>
      </c>
      <c r="D858" s="66" t="str">
        <f>VLOOKUP("*"&amp;A858&amp;"*",[2]Sheet1!$G$2:$X$1155,18,FALSE)</f>
        <v>ERR10612243</v>
      </c>
      <c r="E858" s="2">
        <v>2020</v>
      </c>
      <c r="F858" s="2" t="s">
        <v>876</v>
      </c>
      <c r="G858" s="2" t="s">
        <v>5</v>
      </c>
      <c r="H858" s="2" t="s">
        <v>2496</v>
      </c>
      <c r="I858" s="2" t="s">
        <v>6</v>
      </c>
      <c r="J858" s="2" t="s">
        <v>402</v>
      </c>
      <c r="K858" s="2" t="s">
        <v>946</v>
      </c>
      <c r="L858" s="2" t="s">
        <v>401</v>
      </c>
      <c r="M858" s="2">
        <v>18</v>
      </c>
      <c r="N858" s="2" t="s">
        <v>9</v>
      </c>
      <c r="T858" s="2" t="s">
        <v>16964</v>
      </c>
    </row>
    <row r="859" spans="1:24" hidden="1">
      <c r="A859" s="3" t="s">
        <v>3090</v>
      </c>
      <c r="B859" s="2" t="s">
        <v>947</v>
      </c>
      <c r="D859" s="66" t="str">
        <f>VLOOKUP("*"&amp;A859&amp;"*",[2]Sheet1!$G$2:$X$1155,18,FALSE)</f>
        <v>ERR10612220</v>
      </c>
      <c r="E859" s="2">
        <v>2020</v>
      </c>
      <c r="F859" s="2" t="s">
        <v>876</v>
      </c>
      <c r="G859" s="2" t="s">
        <v>5</v>
      </c>
      <c r="H859" s="2" t="s">
        <v>2496</v>
      </c>
      <c r="I859" s="2" t="s">
        <v>6</v>
      </c>
      <c r="J859" s="2" t="s">
        <v>20</v>
      </c>
      <c r="K859" s="2" t="s">
        <v>948</v>
      </c>
      <c r="L859" s="2" t="s">
        <v>19</v>
      </c>
      <c r="M859" s="2">
        <v>9</v>
      </c>
      <c r="N859" s="2" t="s">
        <v>21</v>
      </c>
      <c r="T859" s="2" t="s">
        <v>16964</v>
      </c>
    </row>
    <row r="860" spans="1:24" hidden="1">
      <c r="A860" s="3" t="s">
        <v>4140</v>
      </c>
      <c r="B860" s="2" t="s">
        <v>949</v>
      </c>
      <c r="D860" s="66" t="str">
        <f>VLOOKUP("*"&amp;A860&amp;"*",[2]Sheet1!$G$2:$X$1155,18,FALSE)</f>
        <v>ERR10612216</v>
      </c>
      <c r="E860" s="2">
        <v>2020</v>
      </c>
      <c r="F860" s="2" t="s">
        <v>876</v>
      </c>
      <c r="G860" s="2" t="s">
        <v>5</v>
      </c>
      <c r="H860" s="2" t="s">
        <v>2496</v>
      </c>
      <c r="I860" s="2" t="s">
        <v>10</v>
      </c>
      <c r="J860" s="2" t="s">
        <v>59</v>
      </c>
      <c r="K860" s="2" t="s">
        <v>950</v>
      </c>
      <c r="L860" s="2" t="s">
        <v>58</v>
      </c>
      <c r="M860" s="2">
        <v>6</v>
      </c>
      <c r="N860" s="2" t="s">
        <v>18</v>
      </c>
      <c r="O860" s="2">
        <f>VLOOKUP(B860,[1]Sheet1!$B$624:$E$1665,4,FALSE)</f>
        <v>0.2</v>
      </c>
      <c r="P860" s="2" t="s">
        <v>16964</v>
      </c>
      <c r="T860" s="2" t="s">
        <v>16964</v>
      </c>
    </row>
    <row r="861" spans="1:24" hidden="1">
      <c r="A861" s="3" t="s">
        <v>3989</v>
      </c>
      <c r="B861" s="2" t="s">
        <v>951</v>
      </c>
      <c r="D861" s="66" t="str">
        <f>VLOOKUP("*"&amp;A861&amp;"*",[2]Sheet1!$G$2:$X$1155,18,FALSE)</f>
        <v>ERR10612247</v>
      </c>
      <c r="E861" s="2">
        <v>2020</v>
      </c>
      <c r="F861" s="2" t="s">
        <v>876</v>
      </c>
      <c r="G861" s="2" t="s">
        <v>5</v>
      </c>
      <c r="H861" s="2" t="s">
        <v>2332</v>
      </c>
      <c r="I861" s="2" t="s">
        <v>10</v>
      </c>
      <c r="J861" s="2" t="s">
        <v>266</v>
      </c>
      <c r="K861" s="2" t="s">
        <v>4690</v>
      </c>
      <c r="L861" s="2" t="s">
        <v>265</v>
      </c>
      <c r="M861" s="2">
        <v>87</v>
      </c>
      <c r="N861" s="2" t="s">
        <v>14</v>
      </c>
      <c r="O861" s="2">
        <f>VLOOKUP(B861,[1]Sheet1!$B$624:$E$1665,4,FALSE)</f>
        <v>0.2</v>
      </c>
      <c r="P861" s="2" t="s">
        <v>16964</v>
      </c>
      <c r="T861" s="2" t="s">
        <v>16964</v>
      </c>
    </row>
    <row r="862" spans="1:24" hidden="1">
      <c r="A862" s="3" t="s">
        <v>2802</v>
      </c>
      <c r="B862" s="2" t="s">
        <v>952</v>
      </c>
      <c r="D862" s="66" t="str">
        <f>VLOOKUP("*"&amp;A862&amp;"*",[2]Sheet1!$G$2:$X$1155,18,FALSE)</f>
        <v>ERR10612224</v>
      </c>
      <c r="E862" s="2">
        <v>2020</v>
      </c>
      <c r="F862" s="2" t="s">
        <v>876</v>
      </c>
      <c r="G862" s="2" t="s">
        <v>5</v>
      </c>
      <c r="H862" s="2" t="s">
        <v>2548</v>
      </c>
      <c r="I862" s="2" t="s">
        <v>6</v>
      </c>
      <c r="J862" s="2" t="s">
        <v>415</v>
      </c>
      <c r="K862" s="2" t="s">
        <v>953</v>
      </c>
      <c r="L862" s="2" t="s">
        <v>414</v>
      </c>
      <c r="M862" s="2">
        <v>204</v>
      </c>
      <c r="N862" s="2" t="s">
        <v>9</v>
      </c>
      <c r="T862" s="2" t="s">
        <v>16964</v>
      </c>
    </row>
    <row r="863" spans="1:24" hidden="1">
      <c r="A863" s="3" t="s">
        <v>4297</v>
      </c>
      <c r="B863" s="2" t="s">
        <v>954</v>
      </c>
      <c r="D863" s="66" t="str">
        <f>VLOOKUP("*"&amp;A863&amp;"*",[2]Sheet1!$G$2:$X$1155,18,FALSE)</f>
        <v>ERR10612250</v>
      </c>
      <c r="E863" s="2">
        <v>2020</v>
      </c>
      <c r="F863" s="2" t="s">
        <v>876</v>
      </c>
      <c r="G863" s="2" t="s">
        <v>5</v>
      </c>
      <c r="H863" s="2" t="s">
        <v>2391</v>
      </c>
      <c r="I863" s="2" t="s">
        <v>10</v>
      </c>
      <c r="J863" s="2" t="s">
        <v>129</v>
      </c>
      <c r="K863" s="2" t="s">
        <v>955</v>
      </c>
      <c r="L863" s="2" t="s">
        <v>128</v>
      </c>
      <c r="M863" s="2">
        <v>1</v>
      </c>
      <c r="N863" s="2" t="s">
        <v>18</v>
      </c>
      <c r="T863" s="2" t="s">
        <v>16964</v>
      </c>
    </row>
    <row r="864" spans="1:24" hidden="1">
      <c r="A864" s="3" t="s">
        <v>4220</v>
      </c>
      <c r="B864" s="2" t="s">
        <v>956</v>
      </c>
      <c r="D864" s="66" t="str">
        <f>VLOOKUP("*"&amp;A864&amp;"*",[2]Sheet1!$G$2:$X$1155,18,FALSE)</f>
        <v>ERR10612262</v>
      </c>
      <c r="E864" s="2">
        <v>2020</v>
      </c>
      <c r="F864" s="2" t="s">
        <v>876</v>
      </c>
      <c r="G864" s="2" t="s">
        <v>5</v>
      </c>
      <c r="H864" s="2" t="s">
        <v>2496</v>
      </c>
      <c r="I864" s="2" t="s">
        <v>6</v>
      </c>
      <c r="J864" s="2" t="s">
        <v>958</v>
      </c>
      <c r="K864" s="2" t="s">
        <v>959</v>
      </c>
      <c r="L864" s="2" t="s">
        <v>957</v>
      </c>
      <c r="M864" s="2">
        <v>226</v>
      </c>
      <c r="N864" s="2" t="s">
        <v>9</v>
      </c>
      <c r="O864" s="2">
        <f>VLOOKUP(B864,[1]Sheet1!$B$624:$E$1665,4,FALSE)</f>
        <v>0.4</v>
      </c>
      <c r="P864" s="2" t="s">
        <v>16964</v>
      </c>
      <c r="T864" s="2" t="s">
        <v>16964</v>
      </c>
    </row>
    <row r="865" spans="1:24" hidden="1">
      <c r="A865" s="3" t="s">
        <v>3093</v>
      </c>
      <c r="B865" s="2" t="s">
        <v>960</v>
      </c>
      <c r="D865" s="66" t="str">
        <f>VLOOKUP("*"&amp;A865&amp;"*",[2]Sheet1!$G$2:$X$1155,18,FALSE)</f>
        <v>ERR10612225</v>
      </c>
      <c r="E865" s="2">
        <v>2020</v>
      </c>
      <c r="F865" s="2" t="s">
        <v>876</v>
      </c>
      <c r="G865" s="2" t="s">
        <v>5</v>
      </c>
      <c r="H865" s="2" t="s">
        <v>2496</v>
      </c>
      <c r="I865" s="2" t="s">
        <v>6</v>
      </c>
      <c r="J865" s="2" t="s">
        <v>441</v>
      </c>
      <c r="K865" s="2" t="s">
        <v>442</v>
      </c>
      <c r="L865" s="2" t="s">
        <v>87</v>
      </c>
      <c r="M865" s="2">
        <v>325</v>
      </c>
      <c r="N865" s="2" t="s">
        <v>9</v>
      </c>
      <c r="T865" s="2" t="s">
        <v>16964</v>
      </c>
    </row>
    <row r="866" spans="1:24" hidden="1">
      <c r="A866" s="3" t="s">
        <v>3795</v>
      </c>
      <c r="B866" s="2" t="s">
        <v>961</v>
      </c>
      <c r="D866" s="66" t="str">
        <f>VLOOKUP("*"&amp;A866&amp;"*",[2]Sheet1!$G$2:$X$1155,18,FALSE)</f>
        <v>ERR10612223</v>
      </c>
      <c r="E866" s="2">
        <v>2020</v>
      </c>
      <c r="F866" s="2" t="s">
        <v>876</v>
      </c>
      <c r="G866" s="2" t="s">
        <v>5</v>
      </c>
      <c r="H866" s="2" t="s">
        <v>2548</v>
      </c>
      <c r="I866" s="2" t="s">
        <v>10</v>
      </c>
      <c r="J866" s="2" t="s">
        <v>17</v>
      </c>
      <c r="K866" s="2" t="s">
        <v>962</v>
      </c>
      <c r="L866" s="2" t="s">
        <v>16</v>
      </c>
      <c r="M866" s="2">
        <v>2</v>
      </c>
      <c r="N866" s="2" t="s">
        <v>18</v>
      </c>
      <c r="T866" s="2" t="s">
        <v>16964</v>
      </c>
    </row>
    <row r="867" spans="1:24" hidden="1">
      <c r="A867" s="3" t="s">
        <v>3618</v>
      </c>
      <c r="B867" s="2" t="s">
        <v>963</v>
      </c>
      <c r="D867" s="66" t="str">
        <f>VLOOKUP("*"&amp;A867&amp;"*",[2]Sheet1!$G$2:$X$1155,18,FALSE)</f>
        <v>ERR10612201</v>
      </c>
      <c r="E867" s="2">
        <v>2020</v>
      </c>
      <c r="F867" s="2" t="s">
        <v>876</v>
      </c>
      <c r="G867" s="2" t="s">
        <v>5</v>
      </c>
      <c r="H867" s="2" t="s">
        <v>2332</v>
      </c>
      <c r="I867" s="2" t="s">
        <v>10</v>
      </c>
      <c r="J867" s="2" t="s">
        <v>59</v>
      </c>
      <c r="K867" s="2" t="s">
        <v>964</v>
      </c>
      <c r="L867" s="2" t="s">
        <v>58</v>
      </c>
      <c r="M867" s="2">
        <v>6</v>
      </c>
      <c r="N867" s="2" t="s">
        <v>18</v>
      </c>
      <c r="T867" s="2" t="s">
        <v>16964</v>
      </c>
    </row>
    <row r="868" spans="1:24" hidden="1">
      <c r="A868" s="3" t="s">
        <v>3107</v>
      </c>
      <c r="B868" s="2" t="s">
        <v>965</v>
      </c>
      <c r="D868" s="66" t="str">
        <f>VLOOKUP("*"&amp;A868&amp;"*",[2]Sheet1!$G$2:$X$1155,18,FALSE)</f>
        <v>ERR10612203</v>
      </c>
      <c r="E868" s="2">
        <v>2020</v>
      </c>
      <c r="F868" s="2" t="s">
        <v>876</v>
      </c>
      <c r="G868" s="2" t="s">
        <v>5</v>
      </c>
      <c r="H868" s="2" t="s">
        <v>2496</v>
      </c>
      <c r="I868" s="2" t="s">
        <v>6</v>
      </c>
      <c r="J868" s="2" t="s">
        <v>20</v>
      </c>
      <c r="K868" s="2" t="s">
        <v>904</v>
      </c>
      <c r="L868" s="2" t="s">
        <v>19</v>
      </c>
      <c r="M868" s="2">
        <v>9</v>
      </c>
      <c r="N868" s="2" t="s">
        <v>21</v>
      </c>
      <c r="T868" s="2" t="s">
        <v>16963</v>
      </c>
      <c r="X868" s="67" t="s">
        <v>4724</v>
      </c>
    </row>
    <row r="869" spans="1:24" hidden="1">
      <c r="A869" s="3" t="s">
        <v>3045</v>
      </c>
      <c r="B869" s="2" t="s">
        <v>966</v>
      </c>
      <c r="D869" s="66" t="str">
        <f>VLOOKUP("*"&amp;A869&amp;"*",[2]Sheet1!$G$2:$X$1155,18,FALSE)</f>
        <v>ERR10612257</v>
      </c>
      <c r="E869" s="2">
        <v>2020</v>
      </c>
      <c r="F869" s="2" t="s">
        <v>876</v>
      </c>
      <c r="G869" s="2" t="s">
        <v>5</v>
      </c>
      <c r="H869" s="2" t="s">
        <v>2391</v>
      </c>
      <c r="I869" s="2" t="s">
        <v>6</v>
      </c>
      <c r="J869" s="2" t="s">
        <v>20</v>
      </c>
      <c r="K869" s="2" t="s">
        <v>231</v>
      </c>
      <c r="L869" s="2" t="s">
        <v>19</v>
      </c>
      <c r="M869" s="2">
        <v>9</v>
      </c>
      <c r="N869" s="2" t="s">
        <v>21</v>
      </c>
      <c r="T869" s="2" t="s">
        <v>16963</v>
      </c>
      <c r="U869" s="67" t="s">
        <v>2627</v>
      </c>
    </row>
    <row r="870" spans="1:24" hidden="1">
      <c r="A870" s="3" t="s">
        <v>3900</v>
      </c>
      <c r="B870" s="2" t="s">
        <v>967</v>
      </c>
      <c r="D870" s="66" t="str">
        <f>VLOOKUP("*"&amp;A870&amp;"*",[2]Sheet1!$G$2:$X$1155,18,FALSE)</f>
        <v>ERR10612229</v>
      </c>
      <c r="E870" s="2">
        <v>2020</v>
      </c>
      <c r="F870" s="2" t="s">
        <v>876</v>
      </c>
      <c r="G870" s="2" t="s">
        <v>5</v>
      </c>
      <c r="H870" s="2" t="s">
        <v>2496</v>
      </c>
      <c r="I870" s="2" t="s">
        <v>10</v>
      </c>
      <c r="J870" s="2" t="s">
        <v>35</v>
      </c>
      <c r="K870" s="2" t="s">
        <v>968</v>
      </c>
      <c r="L870" s="2" t="s">
        <v>34</v>
      </c>
      <c r="M870" s="2">
        <v>5</v>
      </c>
      <c r="N870" s="2" t="s">
        <v>14</v>
      </c>
      <c r="T870" s="2" t="s">
        <v>16963</v>
      </c>
      <c r="U870" s="67" t="s">
        <v>2627</v>
      </c>
    </row>
    <row r="871" spans="1:24" hidden="1">
      <c r="A871" s="3" t="s">
        <v>3523</v>
      </c>
      <c r="B871" s="2" t="s">
        <v>969</v>
      </c>
      <c r="D871" s="66" t="str">
        <f>VLOOKUP("*"&amp;A871&amp;"*",[2]Sheet1!$G$2:$X$1155,18,FALSE)</f>
        <v>ERR10612230</v>
      </c>
      <c r="E871" s="2">
        <v>2020</v>
      </c>
      <c r="F871" s="2" t="s">
        <v>876</v>
      </c>
      <c r="G871" s="2" t="s">
        <v>5</v>
      </c>
      <c r="H871" s="2" t="s">
        <v>2496</v>
      </c>
      <c r="I871" s="2" t="s">
        <v>10</v>
      </c>
      <c r="J871" s="2" t="s">
        <v>17</v>
      </c>
      <c r="K871" s="2" t="s">
        <v>970</v>
      </c>
      <c r="L871" s="2" t="s">
        <v>16</v>
      </c>
      <c r="M871" s="2">
        <v>2</v>
      </c>
      <c r="N871" s="2" t="s">
        <v>18</v>
      </c>
      <c r="T871" s="2" t="s">
        <v>16964</v>
      </c>
    </row>
    <row r="872" spans="1:24" hidden="1">
      <c r="A872" s="3" t="s">
        <v>3780</v>
      </c>
      <c r="B872" s="2" t="s">
        <v>971</v>
      </c>
      <c r="D872" s="66" t="str">
        <f>VLOOKUP("*"&amp;A872&amp;"*",[2]Sheet1!$G$2:$X$1155,18,FALSE)</f>
        <v>ERR10612246</v>
      </c>
      <c r="E872" s="2">
        <v>2020</v>
      </c>
      <c r="F872" s="2" t="s">
        <v>876</v>
      </c>
      <c r="G872" s="2" t="s">
        <v>5</v>
      </c>
      <c r="H872" s="2" t="s">
        <v>2332</v>
      </c>
      <c r="I872" s="2" t="s">
        <v>6</v>
      </c>
      <c r="J872" s="2" t="s">
        <v>535</v>
      </c>
      <c r="K872" s="2" t="s">
        <v>972</v>
      </c>
      <c r="L872" s="2" t="s">
        <v>534</v>
      </c>
      <c r="M872" s="2">
        <v>415</v>
      </c>
      <c r="N872" s="2" t="s">
        <v>9</v>
      </c>
      <c r="T872" s="2" t="s">
        <v>16964</v>
      </c>
    </row>
    <row r="873" spans="1:24" hidden="1">
      <c r="A873" s="3" t="s">
        <v>3015</v>
      </c>
      <c r="B873" s="2" t="s">
        <v>973</v>
      </c>
      <c r="D873" s="66" t="str">
        <f>VLOOKUP("*"&amp;A873&amp;"*",[2]Sheet1!$G$2:$X$1155,18,FALSE)</f>
        <v>ERR10612227</v>
      </c>
      <c r="E873" s="2">
        <v>2020</v>
      </c>
      <c r="F873" s="2" t="s">
        <v>876</v>
      </c>
      <c r="G873" s="2" t="s">
        <v>5</v>
      </c>
      <c r="H873" s="2" t="s">
        <v>2548</v>
      </c>
      <c r="I873" s="2" t="s">
        <v>6</v>
      </c>
      <c r="J873" s="2" t="s">
        <v>20</v>
      </c>
      <c r="K873" s="2" t="s">
        <v>904</v>
      </c>
      <c r="L873" s="2" t="s">
        <v>19</v>
      </c>
      <c r="M873" s="2">
        <v>9</v>
      </c>
      <c r="N873" s="2" t="s">
        <v>21</v>
      </c>
      <c r="T873" s="2" t="s">
        <v>16963</v>
      </c>
      <c r="X873" s="67" t="s">
        <v>4724</v>
      </c>
    </row>
    <row r="874" spans="1:24" hidden="1">
      <c r="A874" s="3" t="s">
        <v>3690</v>
      </c>
      <c r="B874" s="2" t="s">
        <v>974</v>
      </c>
      <c r="D874" s="66" t="str">
        <f>VLOOKUP("*"&amp;A874&amp;"*",[2]Sheet1!$G$2:$X$1155,18,FALSE)</f>
        <v>ERR10612236</v>
      </c>
      <c r="E874" s="2">
        <v>2020</v>
      </c>
      <c r="F874" s="2" t="s">
        <v>876</v>
      </c>
      <c r="G874" s="2" t="s">
        <v>5</v>
      </c>
      <c r="H874" s="2" t="s">
        <v>2391</v>
      </c>
      <c r="I874" s="2" t="s">
        <v>6</v>
      </c>
      <c r="J874" s="2" t="s">
        <v>8</v>
      </c>
      <c r="K874" s="2" t="s">
        <v>883</v>
      </c>
      <c r="L874" s="2" t="s">
        <v>7</v>
      </c>
      <c r="M874" s="2">
        <v>121</v>
      </c>
      <c r="N874" s="2" t="s">
        <v>9</v>
      </c>
      <c r="T874" s="2" t="s">
        <v>16963</v>
      </c>
      <c r="X874" s="67" t="s">
        <v>4722</v>
      </c>
    </row>
    <row r="875" spans="1:24" hidden="1">
      <c r="A875" s="3" t="s">
        <v>4139</v>
      </c>
      <c r="B875" s="2" t="s">
        <v>975</v>
      </c>
      <c r="D875" s="66" t="str">
        <f>VLOOKUP("*"&amp;A875&amp;"*",[2]Sheet1!$G$2:$X$1155,18,FALSE)</f>
        <v>ERR10612232</v>
      </c>
      <c r="E875" s="2">
        <v>2020</v>
      </c>
      <c r="F875" s="2" t="s">
        <v>876</v>
      </c>
      <c r="G875" s="2" t="s">
        <v>5</v>
      </c>
      <c r="H875" s="2" t="s">
        <v>2332</v>
      </c>
      <c r="I875" s="2" t="s">
        <v>10</v>
      </c>
      <c r="J875" s="2" t="s">
        <v>59</v>
      </c>
      <c r="K875" s="2" t="s">
        <v>4709</v>
      </c>
      <c r="L875" s="2" t="s">
        <v>58</v>
      </c>
      <c r="M875" s="2">
        <v>6</v>
      </c>
      <c r="N875" s="2" t="s">
        <v>18</v>
      </c>
      <c r="O875" s="2">
        <f>VLOOKUP(B875,[1]Sheet1!$B$624:$E$1665,4,FALSE)</f>
        <v>0.4</v>
      </c>
      <c r="P875" s="2" t="s">
        <v>16964</v>
      </c>
      <c r="T875" s="2" t="s">
        <v>16964</v>
      </c>
    </row>
    <row r="876" spans="1:24" hidden="1">
      <c r="A876" s="3" t="s">
        <v>4043</v>
      </c>
      <c r="B876" s="2" t="s">
        <v>976</v>
      </c>
      <c r="D876" s="66" t="str">
        <f>VLOOKUP("*"&amp;A876&amp;"*",[2]Sheet1!$G$2:$X$1155,18,FALSE)</f>
        <v>ERR10612205</v>
      </c>
      <c r="E876" s="2">
        <v>2020</v>
      </c>
      <c r="F876" s="2" t="s">
        <v>876</v>
      </c>
      <c r="G876" s="2" t="s">
        <v>5</v>
      </c>
      <c r="H876" s="2" t="s">
        <v>2548</v>
      </c>
      <c r="I876" s="2" t="s">
        <v>6</v>
      </c>
      <c r="J876" s="2" t="s">
        <v>102</v>
      </c>
      <c r="K876" s="2" t="s">
        <v>977</v>
      </c>
      <c r="L876" s="2" t="s">
        <v>101</v>
      </c>
      <c r="M876" s="2">
        <v>7</v>
      </c>
      <c r="N876" s="2" t="s">
        <v>9</v>
      </c>
      <c r="T876" s="2" t="s">
        <v>16964</v>
      </c>
    </row>
    <row r="877" spans="1:24" hidden="1">
      <c r="A877" s="3" t="s">
        <v>3521</v>
      </c>
      <c r="B877" s="2" t="s">
        <v>978</v>
      </c>
      <c r="D877" s="66" t="str">
        <f>VLOOKUP("*"&amp;A877&amp;"*",[2]Sheet1!$G$2:$X$1155,18,FALSE)</f>
        <v>ERR10612234</v>
      </c>
      <c r="E877" s="2">
        <v>2020</v>
      </c>
      <c r="F877" s="2" t="s">
        <v>876</v>
      </c>
      <c r="G877" s="2" t="s">
        <v>5</v>
      </c>
      <c r="H877" s="2" t="s">
        <v>2391</v>
      </c>
      <c r="I877" s="2" t="s">
        <v>10</v>
      </c>
      <c r="J877" s="2" t="s">
        <v>17</v>
      </c>
      <c r="K877" s="2" t="s">
        <v>979</v>
      </c>
      <c r="L877" s="2" t="s">
        <v>16</v>
      </c>
      <c r="M877" s="2">
        <v>2</v>
      </c>
      <c r="N877" s="2" t="s">
        <v>18</v>
      </c>
      <c r="O877" s="2">
        <f>VLOOKUP(B877,[1]Sheet1!$B$624:$E$1665,4,FALSE)</f>
        <v>0.2</v>
      </c>
      <c r="P877" s="2" t="s">
        <v>16964</v>
      </c>
      <c r="T877" s="2" t="s">
        <v>16964</v>
      </c>
    </row>
    <row r="878" spans="1:24" hidden="1">
      <c r="A878" s="3" t="s">
        <v>4234</v>
      </c>
      <c r="B878" s="2" t="s">
        <v>1095</v>
      </c>
      <c r="D878" s="66" t="str">
        <f>VLOOKUP("*"&amp;A878&amp;"*",[2]Sheet1!$G$2:$X$1155,18,FALSE)</f>
        <v>ERR10612265</v>
      </c>
      <c r="E878" s="2">
        <v>2020</v>
      </c>
      <c r="F878" s="2" t="s">
        <v>876</v>
      </c>
      <c r="G878" s="2" t="s">
        <v>5</v>
      </c>
      <c r="H878" s="2" t="s">
        <v>2332</v>
      </c>
      <c r="I878" s="2" t="s">
        <v>10</v>
      </c>
      <c r="J878" s="2" t="s">
        <v>616</v>
      </c>
      <c r="K878" s="2" t="s">
        <v>932</v>
      </c>
      <c r="L878" s="2" t="s">
        <v>615</v>
      </c>
      <c r="M878" s="2">
        <v>736</v>
      </c>
      <c r="N878" s="2" t="s">
        <v>14</v>
      </c>
      <c r="O878" s="2">
        <f>VLOOKUP(B878,[1]Sheet1!$B$624:$E$1665,4,FALSE)</f>
        <v>0.2</v>
      </c>
      <c r="P878" s="2" t="s">
        <v>16964</v>
      </c>
      <c r="T878" s="2" t="s">
        <v>16964</v>
      </c>
    </row>
    <row r="879" spans="1:24" hidden="1">
      <c r="A879" s="3" t="s">
        <v>3742</v>
      </c>
      <c r="B879" s="2" t="s">
        <v>1096</v>
      </c>
      <c r="D879" s="66" t="str">
        <f>VLOOKUP("*"&amp;A879&amp;"*",[2]Sheet1!$G$2:$X$1155,18,FALSE)</f>
        <v>ERR10612248</v>
      </c>
      <c r="E879" s="2">
        <v>2020</v>
      </c>
      <c r="F879" s="2" t="s">
        <v>876</v>
      </c>
      <c r="G879" s="2" t="s">
        <v>5</v>
      </c>
      <c r="H879" s="2" t="s">
        <v>2332</v>
      </c>
      <c r="I879" s="2" t="s">
        <v>6</v>
      </c>
      <c r="J879" s="2" t="s">
        <v>102</v>
      </c>
      <c r="K879" s="2" t="s">
        <v>1097</v>
      </c>
      <c r="L879" s="2" t="s">
        <v>101</v>
      </c>
      <c r="M879" s="2">
        <v>7</v>
      </c>
      <c r="N879" s="2" t="s">
        <v>9</v>
      </c>
      <c r="O879" s="2">
        <f>VLOOKUP(B879,[1]Sheet1!$B$624:$E$1665,4,FALSE)</f>
        <v>0.2</v>
      </c>
      <c r="P879" s="2" t="s">
        <v>16964</v>
      </c>
      <c r="T879" s="2" t="s">
        <v>16964</v>
      </c>
    </row>
    <row r="880" spans="1:24" hidden="1">
      <c r="A880" s="3" t="s">
        <v>3006</v>
      </c>
      <c r="B880" s="2" t="s">
        <v>1098</v>
      </c>
      <c r="D880" s="66" t="str">
        <f>VLOOKUP("*"&amp;A880&amp;"*",[2]Sheet1!$G$2:$X$1155,18,FALSE)</f>
        <v>ERR10612209</v>
      </c>
      <c r="E880" s="2">
        <v>2020</v>
      </c>
      <c r="F880" s="2" t="s">
        <v>876</v>
      </c>
      <c r="G880" s="2" t="s">
        <v>5</v>
      </c>
      <c r="H880" s="2" t="s">
        <v>2391</v>
      </c>
      <c r="I880" s="2" t="s">
        <v>6</v>
      </c>
      <c r="J880" s="2" t="s">
        <v>20</v>
      </c>
      <c r="K880" s="2" t="s">
        <v>904</v>
      </c>
      <c r="L880" s="2" t="s">
        <v>19</v>
      </c>
      <c r="M880" s="2">
        <v>9</v>
      </c>
      <c r="N880" s="2" t="s">
        <v>21</v>
      </c>
      <c r="O880" s="2">
        <f>VLOOKUP(B880,[1]Sheet1!$B$624:$E$1665,4,FALSE)</f>
        <v>0.8</v>
      </c>
      <c r="P880" s="2" t="s">
        <v>16963</v>
      </c>
      <c r="T880" s="2" t="s">
        <v>16963</v>
      </c>
      <c r="X880" s="67" t="s">
        <v>4724</v>
      </c>
    </row>
    <row r="881" spans="1:25" hidden="1">
      <c r="A881" s="3" t="s">
        <v>3086</v>
      </c>
      <c r="B881" s="2" t="s">
        <v>1099</v>
      </c>
      <c r="D881" s="66" t="str">
        <f>VLOOKUP("*"&amp;A881&amp;"*",[2]Sheet1!$G$2:$X$1155,18,FALSE)</f>
        <v>ERR10612259</v>
      </c>
      <c r="E881" s="2">
        <v>2020</v>
      </c>
      <c r="F881" s="2" t="s">
        <v>876</v>
      </c>
      <c r="G881" s="2" t="s">
        <v>5</v>
      </c>
      <c r="H881" s="2" t="s">
        <v>2496</v>
      </c>
      <c r="I881" s="2" t="s">
        <v>6</v>
      </c>
      <c r="J881" s="2" t="s">
        <v>29</v>
      </c>
      <c r="K881" s="2" t="s">
        <v>1100</v>
      </c>
      <c r="L881" s="2" t="s">
        <v>28</v>
      </c>
      <c r="M881" s="2">
        <v>8</v>
      </c>
      <c r="N881" s="2" t="s">
        <v>9</v>
      </c>
      <c r="T881" s="2" t="s">
        <v>16964</v>
      </c>
    </row>
    <row r="882" spans="1:25" hidden="1">
      <c r="A882" s="3" t="s">
        <v>3902</v>
      </c>
      <c r="B882" s="2" t="s">
        <v>1101</v>
      </c>
      <c r="D882" s="66" t="str">
        <f>VLOOKUP("*"&amp;A882&amp;"*",[2]Sheet1!$G$2:$X$1155,18,FALSE)</f>
        <v>ERR10612240</v>
      </c>
      <c r="E882" s="2">
        <v>2020</v>
      </c>
      <c r="F882" s="2" t="s">
        <v>876</v>
      </c>
      <c r="G882" s="2" t="s">
        <v>5</v>
      </c>
      <c r="H882" s="2" t="s">
        <v>2496</v>
      </c>
      <c r="I882" s="2" t="s">
        <v>10</v>
      </c>
      <c r="J882" s="2" t="s">
        <v>35</v>
      </c>
      <c r="K882" s="2" t="s">
        <v>968</v>
      </c>
      <c r="L882" s="2" t="s">
        <v>34</v>
      </c>
      <c r="M882" s="2">
        <v>5</v>
      </c>
      <c r="N882" s="2" t="s">
        <v>14</v>
      </c>
      <c r="T882" s="2" t="s">
        <v>16963</v>
      </c>
      <c r="U882" s="67" t="s">
        <v>2627</v>
      </c>
    </row>
    <row r="883" spans="1:25" hidden="1">
      <c r="A883" s="3" t="s">
        <v>3300</v>
      </c>
      <c r="B883" s="2" t="s">
        <v>1102</v>
      </c>
      <c r="D883" s="66" t="str">
        <f>VLOOKUP("*"&amp;A883&amp;"*",[2]Sheet1!$G$2:$X$1155,18,FALSE)</f>
        <v>ERR10612214</v>
      </c>
      <c r="E883" s="2">
        <v>2020</v>
      </c>
      <c r="F883" s="2" t="s">
        <v>876</v>
      </c>
      <c r="G883" s="2" t="s">
        <v>5</v>
      </c>
      <c r="H883" s="2" t="s">
        <v>2496</v>
      </c>
      <c r="I883" s="2" t="s">
        <v>6</v>
      </c>
      <c r="J883" s="2" t="s">
        <v>20</v>
      </c>
      <c r="K883" s="2" t="s">
        <v>4718</v>
      </c>
      <c r="L883" s="2" t="s">
        <v>19</v>
      </c>
      <c r="M883" s="2">
        <v>3020</v>
      </c>
      <c r="N883" s="2" t="s">
        <v>21</v>
      </c>
      <c r="T883" s="2" t="s">
        <v>16964</v>
      </c>
    </row>
    <row r="884" spans="1:25" hidden="1">
      <c r="A884" s="3" t="s">
        <v>4147</v>
      </c>
      <c r="B884" s="2" t="s">
        <v>1103</v>
      </c>
      <c r="D884" s="66" t="str">
        <f>VLOOKUP("*"&amp;A884&amp;"*",[2]Sheet1!$G$2:$X$1155,18,FALSE)</f>
        <v>ERR10612242</v>
      </c>
      <c r="E884" s="2">
        <v>2020</v>
      </c>
      <c r="F884" s="2" t="s">
        <v>876</v>
      </c>
      <c r="G884" s="2" t="s">
        <v>5</v>
      </c>
      <c r="H884" s="2" t="s">
        <v>2496</v>
      </c>
      <c r="I884" s="2" t="s">
        <v>10</v>
      </c>
      <c r="J884" s="2" t="s">
        <v>224</v>
      </c>
      <c r="K884" s="2" t="s">
        <v>1104</v>
      </c>
      <c r="L884" s="2" t="s">
        <v>223</v>
      </c>
      <c r="M884" s="2">
        <v>388</v>
      </c>
      <c r="N884" s="2" t="s">
        <v>18</v>
      </c>
      <c r="T884" s="2" t="s">
        <v>16964</v>
      </c>
    </row>
    <row r="885" spans="1:25" hidden="1">
      <c r="A885" s="3" t="s">
        <v>3224</v>
      </c>
      <c r="B885" s="2" t="s">
        <v>1105</v>
      </c>
      <c r="D885" s="66" t="str">
        <f>VLOOKUP("*"&amp;A885&amp;"*",[2]Sheet1!$G$2:$X$1155,18,FALSE)</f>
        <v>ERR10612218</v>
      </c>
      <c r="E885" s="2">
        <v>2020</v>
      </c>
      <c r="F885" s="2" t="s">
        <v>876</v>
      </c>
      <c r="G885" s="2" t="s">
        <v>5</v>
      </c>
      <c r="H885" s="2" t="s">
        <v>2496</v>
      </c>
      <c r="I885" s="2" t="s">
        <v>6</v>
      </c>
      <c r="J885" s="2" t="s">
        <v>26</v>
      </c>
      <c r="K885" s="2" t="s">
        <v>1106</v>
      </c>
      <c r="L885" s="2" t="s">
        <v>25</v>
      </c>
      <c r="M885" s="2">
        <v>101</v>
      </c>
      <c r="N885" s="2" t="s">
        <v>9</v>
      </c>
      <c r="T885" s="2" t="s">
        <v>16964</v>
      </c>
    </row>
    <row r="886" spans="1:25" hidden="1">
      <c r="A886" s="3" t="s">
        <v>2798</v>
      </c>
      <c r="B886" s="2" t="s">
        <v>1107</v>
      </c>
      <c r="D886" s="66" t="str">
        <f>VLOOKUP("*"&amp;A886&amp;"*",[2]Sheet1!$G$2:$X$1155,18,FALSE)</f>
        <v>ERR10612253</v>
      </c>
      <c r="E886" s="2">
        <v>2020</v>
      </c>
      <c r="F886" s="2" t="s">
        <v>876</v>
      </c>
      <c r="G886" s="2" t="s">
        <v>5</v>
      </c>
      <c r="H886" s="2" t="s">
        <v>2332</v>
      </c>
      <c r="I886" s="2" t="s">
        <v>6</v>
      </c>
      <c r="J886" s="2" t="s">
        <v>415</v>
      </c>
      <c r="K886" s="2" t="s">
        <v>859</v>
      </c>
      <c r="L886" s="2" t="s">
        <v>414</v>
      </c>
      <c r="M886" s="2">
        <v>204</v>
      </c>
      <c r="N886" s="2" t="s">
        <v>9</v>
      </c>
      <c r="O886" s="2">
        <f>VLOOKUP(B886,[1]Sheet1!$B$624:$E$1665,4,FALSE)</f>
        <v>0.8</v>
      </c>
      <c r="P886" s="2" t="s">
        <v>16963</v>
      </c>
      <c r="T886" s="2" t="s">
        <v>16963</v>
      </c>
      <c r="U886" s="67" t="s">
        <v>2627</v>
      </c>
    </row>
    <row r="887" spans="1:25" hidden="1">
      <c r="A887" s="3" t="s">
        <v>3974</v>
      </c>
      <c r="B887" s="2" t="s">
        <v>1108</v>
      </c>
      <c r="D887" s="66" t="str">
        <f>VLOOKUP("*"&amp;A887&amp;"*",[2]Sheet1!$G$2:$X$1155,18,FALSE)</f>
        <v>ERR10612272</v>
      </c>
      <c r="E887" s="2">
        <v>2020</v>
      </c>
      <c r="F887" s="2" t="s">
        <v>876</v>
      </c>
      <c r="G887" s="2" t="s">
        <v>5</v>
      </c>
      <c r="H887" s="2" t="s">
        <v>2496</v>
      </c>
      <c r="I887" s="2" t="s">
        <v>10</v>
      </c>
      <c r="J887" s="2" t="s">
        <v>35</v>
      </c>
      <c r="K887" s="2" t="s">
        <v>968</v>
      </c>
      <c r="L887" s="2" t="s">
        <v>34</v>
      </c>
      <c r="M887" s="2">
        <v>5</v>
      </c>
      <c r="N887" s="2" t="s">
        <v>14</v>
      </c>
      <c r="T887" s="2" t="s">
        <v>16964</v>
      </c>
    </row>
    <row r="888" spans="1:25" hidden="1">
      <c r="A888" s="3" t="s">
        <v>3873</v>
      </c>
      <c r="B888" s="2" t="s">
        <v>1109</v>
      </c>
      <c r="D888" s="66" t="str">
        <f>VLOOKUP("*"&amp;A888&amp;"*",[2]Sheet1!$G$2:$X$1155,18,FALSE)</f>
        <v>ERR10612252</v>
      </c>
      <c r="E888" s="2">
        <v>2020</v>
      </c>
      <c r="F888" s="2" t="s">
        <v>876</v>
      </c>
      <c r="G888" s="2" t="s">
        <v>5</v>
      </c>
      <c r="H888" s="2" t="s">
        <v>2548</v>
      </c>
      <c r="I888" s="2" t="s">
        <v>10</v>
      </c>
      <c r="J888" s="2" t="s">
        <v>35</v>
      </c>
      <c r="K888" s="2" t="s">
        <v>968</v>
      </c>
      <c r="L888" s="2" t="s">
        <v>34</v>
      </c>
      <c r="M888" s="2">
        <v>5</v>
      </c>
      <c r="N888" s="2" t="s">
        <v>14</v>
      </c>
      <c r="T888" s="2" t="s">
        <v>16963</v>
      </c>
      <c r="Y888" s="67" t="s">
        <v>2627</v>
      </c>
    </row>
    <row r="889" spans="1:25" hidden="1">
      <c r="A889" s="3" t="s">
        <v>3975</v>
      </c>
      <c r="B889" s="2" t="s">
        <v>1110</v>
      </c>
      <c r="D889" s="66" t="str">
        <f>VLOOKUP("*"&amp;A889&amp;"*",[2]Sheet1!$G$2:$X$1155,18,FALSE)</f>
        <v>ERR10612226</v>
      </c>
      <c r="E889" s="2">
        <v>2020</v>
      </c>
      <c r="F889" s="2" t="s">
        <v>876</v>
      </c>
      <c r="G889" s="2" t="s">
        <v>5</v>
      </c>
      <c r="H889" s="2" t="s">
        <v>2391</v>
      </c>
      <c r="I889" s="2" t="s">
        <v>10</v>
      </c>
      <c r="J889" s="2" t="s">
        <v>35</v>
      </c>
      <c r="K889" s="2" t="s">
        <v>968</v>
      </c>
      <c r="L889" s="2" t="s">
        <v>34</v>
      </c>
      <c r="M889" s="2">
        <v>5</v>
      </c>
      <c r="N889" s="2" t="s">
        <v>14</v>
      </c>
      <c r="T889" s="2" t="s">
        <v>16964</v>
      </c>
    </row>
    <row r="890" spans="1:25" hidden="1">
      <c r="A890" s="3" t="s">
        <v>3026</v>
      </c>
      <c r="B890" s="2" t="s">
        <v>980</v>
      </c>
      <c r="D890" s="66" t="str">
        <f>VLOOKUP("*"&amp;A890&amp;"*",[2]Sheet1!$G$2:$X$1155,18,FALSE)</f>
        <v>ERR10612271</v>
      </c>
      <c r="E890" s="2">
        <v>2021</v>
      </c>
      <c r="F890" s="2" t="s">
        <v>876</v>
      </c>
      <c r="G890" s="2" t="s">
        <v>5</v>
      </c>
      <c r="H890" s="2" t="s">
        <v>2548</v>
      </c>
      <c r="I890" s="2" t="s">
        <v>10</v>
      </c>
      <c r="J890" s="2" t="s">
        <v>12</v>
      </c>
      <c r="K890" s="2" t="s">
        <v>981</v>
      </c>
      <c r="L890" s="2" t="s">
        <v>11</v>
      </c>
      <c r="M890" s="2">
        <v>3</v>
      </c>
      <c r="N890" s="2" t="s">
        <v>14</v>
      </c>
      <c r="O890" s="2">
        <f>VLOOKUP(B890,[1]Sheet1!$B$624:$E$1665,4,FALSE)</f>
        <v>0.2</v>
      </c>
      <c r="P890" s="2" t="s">
        <v>16964</v>
      </c>
      <c r="T890" s="2" t="s">
        <v>16964</v>
      </c>
    </row>
    <row r="891" spans="1:25" hidden="1">
      <c r="A891" s="3" t="s">
        <v>3658</v>
      </c>
      <c r="B891" s="2" t="s">
        <v>982</v>
      </c>
      <c r="D891" s="66" t="str">
        <f>VLOOKUP("*"&amp;A891&amp;"*",[2]Sheet1!$G$2:$X$1155,18,FALSE)</f>
        <v>ERR10612251</v>
      </c>
      <c r="E891" s="2">
        <v>2021</v>
      </c>
      <c r="F891" s="2" t="s">
        <v>876</v>
      </c>
      <c r="G891" s="2" t="s">
        <v>5</v>
      </c>
      <c r="H891" s="2" t="s">
        <v>2391</v>
      </c>
      <c r="I891" s="2" t="s">
        <v>6</v>
      </c>
      <c r="J891" s="2" t="s">
        <v>26</v>
      </c>
      <c r="K891" s="2" t="s">
        <v>983</v>
      </c>
      <c r="L891" s="2" t="s">
        <v>25</v>
      </c>
      <c r="M891" s="2">
        <v>101</v>
      </c>
      <c r="N891" s="2" t="s">
        <v>9</v>
      </c>
      <c r="T891" s="2" t="s">
        <v>16964</v>
      </c>
    </row>
    <row r="892" spans="1:25" hidden="1">
      <c r="A892" s="3" t="s">
        <v>3626</v>
      </c>
      <c r="B892" s="2" t="s">
        <v>984</v>
      </c>
      <c r="D892" s="66" t="str">
        <f>VLOOKUP("*"&amp;A892&amp;"*",[2]Sheet1!$G$2:$X$1155,18,FALSE)</f>
        <v>ERR10612231</v>
      </c>
      <c r="E892" s="2">
        <v>2021</v>
      </c>
      <c r="F892" s="2" t="s">
        <v>876</v>
      </c>
      <c r="G892" s="2" t="s">
        <v>5</v>
      </c>
      <c r="H892" s="2" t="s">
        <v>2496</v>
      </c>
      <c r="I892" s="2" t="s">
        <v>10</v>
      </c>
      <c r="J892" s="2" t="s">
        <v>59</v>
      </c>
      <c r="K892" s="2" t="s">
        <v>964</v>
      </c>
      <c r="L892" s="2" t="s">
        <v>58</v>
      </c>
      <c r="M892" s="2">
        <v>6</v>
      </c>
      <c r="N892" s="2" t="s">
        <v>18</v>
      </c>
      <c r="T892" s="2" t="s">
        <v>16964</v>
      </c>
    </row>
    <row r="893" spans="1:25" hidden="1">
      <c r="A893" s="3" t="s">
        <v>2781</v>
      </c>
      <c r="B893" s="2" t="s">
        <v>985</v>
      </c>
      <c r="D893" s="66" t="str">
        <f>VLOOKUP("*"&amp;A893&amp;"*",[2]Sheet1!$G$2:$X$1155,18,FALSE)</f>
        <v>ERR10612274</v>
      </c>
      <c r="E893" s="2">
        <v>2021</v>
      </c>
      <c r="F893" s="2" t="s">
        <v>876</v>
      </c>
      <c r="G893" s="2" t="s">
        <v>5</v>
      </c>
      <c r="H893" s="2" t="s">
        <v>2391</v>
      </c>
      <c r="I893" s="2" t="s">
        <v>10</v>
      </c>
      <c r="J893" s="2" t="s">
        <v>129</v>
      </c>
      <c r="K893" s="2" t="s">
        <v>986</v>
      </c>
      <c r="L893" s="2" t="s">
        <v>128</v>
      </c>
      <c r="M893" s="2">
        <v>1</v>
      </c>
      <c r="N893" s="2" t="s">
        <v>18</v>
      </c>
      <c r="O893" s="2">
        <f>VLOOKUP(B893,[1]Sheet1!$B$624:$E$1665,4,FALSE)</f>
        <v>0.8</v>
      </c>
      <c r="P893" s="2" t="s">
        <v>16963</v>
      </c>
      <c r="T893" s="2" t="s">
        <v>16963</v>
      </c>
      <c r="U893" s="67" t="s">
        <v>2627</v>
      </c>
    </row>
    <row r="894" spans="1:25" hidden="1">
      <c r="A894" s="3" t="s">
        <v>2954</v>
      </c>
      <c r="B894" s="2" t="s">
        <v>987</v>
      </c>
      <c r="D894" s="66" t="str">
        <f>VLOOKUP("*"&amp;A894&amp;"*",[2]Sheet1!$G$2:$X$1155,18,FALSE)</f>
        <v>ERR10612233</v>
      </c>
      <c r="E894" s="2">
        <v>2021</v>
      </c>
      <c r="F894" s="2" t="s">
        <v>876</v>
      </c>
      <c r="G894" s="2" t="s">
        <v>5</v>
      </c>
      <c r="H894" s="2" t="s">
        <v>2496</v>
      </c>
      <c r="I894" s="2" t="s">
        <v>10</v>
      </c>
      <c r="J894" s="2" t="s">
        <v>12</v>
      </c>
      <c r="K894" s="2" t="s">
        <v>919</v>
      </c>
      <c r="L894" s="2" t="s">
        <v>11</v>
      </c>
      <c r="M894" s="2">
        <v>3</v>
      </c>
      <c r="N894" s="2" t="s">
        <v>14</v>
      </c>
      <c r="O894" s="2">
        <f>VLOOKUP(B894,[1]Sheet1!$B$624:$E$1665,4,FALSE)</f>
        <v>0.2</v>
      </c>
      <c r="P894" s="2" t="s">
        <v>16964</v>
      </c>
      <c r="T894" s="2" t="s">
        <v>16964</v>
      </c>
    </row>
    <row r="895" spans="1:25" hidden="1">
      <c r="A895" s="3" t="s">
        <v>3008</v>
      </c>
      <c r="B895" s="2" t="s">
        <v>988</v>
      </c>
      <c r="D895" s="66" t="str">
        <f>VLOOKUP("*"&amp;A895&amp;"*",[2]Sheet1!$G$2:$X$1155,18,FALSE)</f>
        <v>ERR10612258</v>
      </c>
      <c r="E895" s="2">
        <v>2021</v>
      </c>
      <c r="F895" s="2" t="s">
        <v>876</v>
      </c>
      <c r="G895" s="2" t="s">
        <v>5</v>
      </c>
      <c r="H895" s="2" t="s">
        <v>2496</v>
      </c>
      <c r="I895" s="2" t="s">
        <v>6</v>
      </c>
      <c r="J895" s="2" t="s">
        <v>20</v>
      </c>
      <c r="K895" s="2" t="s">
        <v>904</v>
      </c>
      <c r="L895" s="2" t="s">
        <v>19</v>
      </c>
      <c r="M895" s="2">
        <v>9</v>
      </c>
      <c r="N895" s="2" t="s">
        <v>21</v>
      </c>
      <c r="O895" s="2">
        <f>VLOOKUP(B895,[1]Sheet1!$B$624:$E$1665,4,FALSE)</f>
        <v>0.8</v>
      </c>
      <c r="P895" s="2" t="s">
        <v>16963</v>
      </c>
      <c r="T895" s="2" t="s">
        <v>16963</v>
      </c>
      <c r="X895" s="67" t="s">
        <v>4724</v>
      </c>
    </row>
    <row r="896" spans="1:25" hidden="1">
      <c r="A896" s="3" t="s">
        <v>3038</v>
      </c>
      <c r="B896" s="2" t="s">
        <v>989</v>
      </c>
      <c r="D896" s="66" t="str">
        <f>VLOOKUP("*"&amp;A896&amp;"*",[2]Sheet1!$G$2:$X$1155,18,FALSE)</f>
        <v>ERR10612264</v>
      </c>
      <c r="E896" s="2">
        <v>2021</v>
      </c>
      <c r="F896" s="2" t="s">
        <v>876</v>
      </c>
      <c r="G896" s="2" t="s">
        <v>5</v>
      </c>
      <c r="H896" s="2" t="s">
        <v>2496</v>
      </c>
      <c r="I896" s="2" t="s">
        <v>6</v>
      </c>
      <c r="J896" s="2" t="s">
        <v>8</v>
      </c>
      <c r="K896" s="2" t="s">
        <v>943</v>
      </c>
      <c r="L896" s="2" t="s">
        <v>7</v>
      </c>
      <c r="M896" s="2">
        <v>121</v>
      </c>
      <c r="N896" s="2" t="s">
        <v>9</v>
      </c>
      <c r="O896" s="2">
        <f>VLOOKUP(B896,[1]Sheet1!$B$624:$E$1665,4,FALSE)</f>
        <v>0.8</v>
      </c>
      <c r="P896" s="2" t="s">
        <v>16963</v>
      </c>
      <c r="T896" s="2" t="s">
        <v>16963</v>
      </c>
      <c r="X896" s="67" t="s">
        <v>4722</v>
      </c>
    </row>
    <row r="897" spans="1:24" hidden="1">
      <c r="A897" s="3" t="s">
        <v>3027</v>
      </c>
      <c r="B897" s="2" t="s">
        <v>990</v>
      </c>
      <c r="D897" s="66" t="str">
        <f>VLOOKUP("*"&amp;A897&amp;"*",[2]Sheet1!$G$2:$X$1155,18,FALSE)</f>
        <v>ERR10612268</v>
      </c>
      <c r="E897" s="2">
        <v>2021</v>
      </c>
      <c r="F897" s="2" t="s">
        <v>876</v>
      </c>
      <c r="G897" s="2" t="s">
        <v>5</v>
      </c>
      <c r="H897" s="2" t="s">
        <v>2548</v>
      </c>
      <c r="I897" s="2" t="s">
        <v>10</v>
      </c>
      <c r="J897" s="2" t="s">
        <v>12</v>
      </c>
      <c r="K897" s="2" t="s">
        <v>981</v>
      </c>
      <c r="L897" s="2" t="s">
        <v>11</v>
      </c>
      <c r="M897" s="2">
        <v>3</v>
      </c>
      <c r="N897" s="2" t="s">
        <v>14</v>
      </c>
      <c r="T897" s="2" t="s">
        <v>16964</v>
      </c>
    </row>
    <row r="898" spans="1:24" hidden="1">
      <c r="A898" s="3" t="s">
        <v>3359</v>
      </c>
      <c r="B898" s="2" t="s">
        <v>991</v>
      </c>
      <c r="D898" s="66" t="str">
        <f>VLOOKUP("*"&amp;A898&amp;"*",[2]Sheet1!$G$2:$X$1155,18,FALSE)</f>
        <v>ERR10612235</v>
      </c>
      <c r="E898" s="2">
        <v>2021</v>
      </c>
      <c r="F898" s="2" t="s">
        <v>876</v>
      </c>
      <c r="G898" s="2" t="s">
        <v>5</v>
      </c>
      <c r="H898" s="2" t="s">
        <v>2548</v>
      </c>
      <c r="I898" s="2" t="s">
        <v>10</v>
      </c>
      <c r="J898" s="2" t="s">
        <v>12</v>
      </c>
      <c r="K898" s="2" t="s">
        <v>992</v>
      </c>
      <c r="L898" s="2" t="s">
        <v>11</v>
      </c>
      <c r="M898" s="2">
        <v>3</v>
      </c>
      <c r="N898" s="2" t="s">
        <v>14</v>
      </c>
      <c r="T898" s="2" t="s">
        <v>16964</v>
      </c>
    </row>
    <row r="899" spans="1:24" hidden="1">
      <c r="A899" s="3" t="s">
        <v>3089</v>
      </c>
      <c r="B899" s="2" t="s">
        <v>993</v>
      </c>
      <c r="D899" s="66" t="str">
        <f>VLOOKUP("*"&amp;A899&amp;"*",[2]Sheet1!$G$2:$X$1155,18,FALSE)</f>
        <v>ERR10612261</v>
      </c>
      <c r="E899" s="2">
        <v>2021</v>
      </c>
      <c r="F899" s="2" t="s">
        <v>876</v>
      </c>
      <c r="G899" s="2" t="s">
        <v>5</v>
      </c>
      <c r="H899" s="2" t="s">
        <v>2391</v>
      </c>
      <c r="I899" s="2" t="s">
        <v>6</v>
      </c>
      <c r="J899" s="2" t="s">
        <v>20</v>
      </c>
      <c r="K899" s="2" t="s">
        <v>948</v>
      </c>
      <c r="L899" s="2" t="s">
        <v>19</v>
      </c>
      <c r="M899" s="2">
        <v>9</v>
      </c>
      <c r="N899" s="2" t="s">
        <v>21</v>
      </c>
      <c r="O899" s="2">
        <f>VLOOKUP(B899,[1]Sheet1!$B$624:$E$1665,4,FALSE)</f>
        <v>0.2</v>
      </c>
      <c r="P899" s="2" t="s">
        <v>16964</v>
      </c>
      <c r="T899" s="2" t="s">
        <v>16964</v>
      </c>
    </row>
    <row r="900" spans="1:24" hidden="1">
      <c r="A900" s="3" t="s">
        <v>2822</v>
      </c>
      <c r="B900" s="2" t="s">
        <v>994</v>
      </c>
      <c r="D900" s="66" t="str">
        <f>VLOOKUP("*"&amp;A900&amp;"*",[2]Sheet1!$G$2:$X$1155,18,FALSE)</f>
        <v>ERR10612269</v>
      </c>
      <c r="E900" s="2">
        <v>2021</v>
      </c>
      <c r="F900" s="2" t="s">
        <v>876</v>
      </c>
      <c r="G900" s="2" t="s">
        <v>5</v>
      </c>
      <c r="H900" s="2" t="s">
        <v>2496</v>
      </c>
      <c r="I900" s="2" t="s">
        <v>6</v>
      </c>
      <c r="J900" s="2" t="s">
        <v>879</v>
      </c>
      <c r="K900" s="2" t="s">
        <v>880</v>
      </c>
      <c r="L900" s="2" t="s">
        <v>23</v>
      </c>
      <c r="M900" s="2">
        <v>206</v>
      </c>
      <c r="N900" s="2" t="s">
        <v>9</v>
      </c>
      <c r="T900" s="2" t="s">
        <v>16964</v>
      </c>
    </row>
    <row r="901" spans="1:24" hidden="1">
      <c r="A901" s="3" t="s">
        <v>3207</v>
      </c>
      <c r="B901" s="2" t="s">
        <v>995</v>
      </c>
      <c r="D901" s="66" t="str">
        <f>VLOOKUP("*"&amp;A901&amp;"*",[2]Sheet1!$G$2:$X$1155,18,FALSE)</f>
        <v>ERR10612254</v>
      </c>
      <c r="E901" s="2">
        <v>2021</v>
      </c>
      <c r="F901" s="2" t="s">
        <v>876</v>
      </c>
      <c r="G901" s="2" t="s">
        <v>5</v>
      </c>
      <c r="H901" s="2" t="s">
        <v>2332</v>
      </c>
      <c r="I901" s="2" t="s">
        <v>10</v>
      </c>
      <c r="J901" s="2" t="s">
        <v>17</v>
      </c>
      <c r="K901" s="2" t="s">
        <v>996</v>
      </c>
      <c r="L901" s="2" t="s">
        <v>16</v>
      </c>
      <c r="M901" s="2">
        <v>2</v>
      </c>
      <c r="N901" s="2" t="s">
        <v>18</v>
      </c>
      <c r="O901" s="2">
        <f>VLOOKUP(B901,[1]Sheet1!$B$624:$E$1665,4,FALSE)</f>
        <v>0.2</v>
      </c>
      <c r="P901" s="2" t="s">
        <v>16964</v>
      </c>
      <c r="T901" s="2" t="s">
        <v>16964</v>
      </c>
    </row>
    <row r="902" spans="1:24" hidden="1">
      <c r="A902" s="3" t="s">
        <v>2893</v>
      </c>
      <c r="B902" s="2" t="s">
        <v>997</v>
      </c>
      <c r="D902" s="66" t="str">
        <f>VLOOKUP("*"&amp;A902&amp;"*",[2]Sheet1!$G$2:$X$1155,18,FALSE)</f>
        <v>ERR10612266</v>
      </c>
      <c r="E902" s="2">
        <v>2021</v>
      </c>
      <c r="F902" s="2" t="s">
        <v>876</v>
      </c>
      <c r="G902" s="2" t="s">
        <v>5</v>
      </c>
      <c r="H902" s="2" t="s">
        <v>2391</v>
      </c>
      <c r="I902" s="2" t="s">
        <v>6</v>
      </c>
      <c r="J902" s="2" t="s">
        <v>102</v>
      </c>
      <c r="K902" s="2" t="s">
        <v>998</v>
      </c>
      <c r="L902" s="2" t="s">
        <v>101</v>
      </c>
      <c r="M902" s="2">
        <v>3019</v>
      </c>
      <c r="N902" s="2" t="s">
        <v>9</v>
      </c>
      <c r="T902" s="2" t="s">
        <v>16964</v>
      </c>
    </row>
    <row r="903" spans="1:24" hidden="1">
      <c r="A903" s="3" t="s">
        <v>3448</v>
      </c>
      <c r="B903" s="2" t="s">
        <v>999</v>
      </c>
      <c r="D903" s="66" t="str">
        <f>VLOOKUP("*"&amp;A903&amp;"*",[2]Sheet1!$G$2:$X$1155,18,FALSE)</f>
        <v>ERR10612273</v>
      </c>
      <c r="E903" s="2">
        <v>2021</v>
      </c>
      <c r="F903" s="2" t="s">
        <v>876</v>
      </c>
      <c r="G903" s="2" t="s">
        <v>5</v>
      </c>
      <c r="H903" s="2" t="s">
        <v>2496</v>
      </c>
      <c r="I903" s="2" t="s">
        <v>10</v>
      </c>
      <c r="J903" s="2" t="s">
        <v>17</v>
      </c>
      <c r="K903" s="2" t="s">
        <v>1000</v>
      </c>
      <c r="L903" s="2" t="s">
        <v>16</v>
      </c>
      <c r="M903" s="2">
        <v>2</v>
      </c>
      <c r="N903" s="2" t="s">
        <v>18</v>
      </c>
      <c r="T903" s="2" t="s">
        <v>16964</v>
      </c>
    </row>
    <row r="904" spans="1:24" hidden="1">
      <c r="A904" s="3" t="s">
        <v>2814</v>
      </c>
      <c r="B904" s="2" t="s">
        <v>1001</v>
      </c>
      <c r="D904" s="66" t="str">
        <f>VLOOKUP("*"&amp;A904&amp;"*",[2]Sheet1!$G$2:$X$1155,18,FALSE)</f>
        <v>ERR10612260</v>
      </c>
      <c r="E904" s="2">
        <v>2021</v>
      </c>
      <c r="F904" s="2" t="s">
        <v>876</v>
      </c>
      <c r="G904" s="2" t="s">
        <v>5</v>
      </c>
      <c r="H904" s="2" t="s">
        <v>2548</v>
      </c>
      <c r="I904" s="2" t="s">
        <v>6</v>
      </c>
      <c r="J904" s="2" t="s">
        <v>441</v>
      </c>
      <c r="K904" s="2" t="s">
        <v>1002</v>
      </c>
      <c r="L904" s="2" t="s">
        <v>87</v>
      </c>
      <c r="M904" s="2">
        <v>325</v>
      </c>
      <c r="N904" s="2" t="s">
        <v>9</v>
      </c>
      <c r="T904" s="2" t="s">
        <v>16963</v>
      </c>
      <c r="U904" s="67" t="s">
        <v>2627</v>
      </c>
    </row>
    <row r="905" spans="1:24" hidden="1">
      <c r="A905" s="3" t="s">
        <v>3625</v>
      </c>
      <c r="B905" s="2" t="s">
        <v>1003</v>
      </c>
      <c r="D905" s="66" t="str">
        <f>VLOOKUP("*"&amp;A905&amp;"*",[2]Sheet1!$G$2:$X$1155,18,FALSE)</f>
        <v>ERR10612276</v>
      </c>
      <c r="E905" s="2">
        <v>2021</v>
      </c>
      <c r="F905" s="2" t="s">
        <v>876</v>
      </c>
      <c r="G905" s="2" t="s">
        <v>5</v>
      </c>
      <c r="H905" s="2" t="s">
        <v>2391</v>
      </c>
      <c r="I905" s="2" t="s">
        <v>10</v>
      </c>
      <c r="J905" s="2" t="s">
        <v>59</v>
      </c>
      <c r="K905" s="2" t="s">
        <v>964</v>
      </c>
      <c r="L905" s="2" t="s">
        <v>58</v>
      </c>
      <c r="M905" s="2">
        <v>6</v>
      </c>
      <c r="N905" s="2" t="s">
        <v>18</v>
      </c>
      <c r="T905" s="2" t="s">
        <v>16964</v>
      </c>
    </row>
    <row r="906" spans="1:24" hidden="1">
      <c r="A906" s="3" t="s">
        <v>3855</v>
      </c>
      <c r="B906" s="2" t="s">
        <v>1004</v>
      </c>
      <c r="D906" s="66" t="str">
        <f>VLOOKUP("*"&amp;A906&amp;"*",[2]Sheet1!$G$2:$X$1155,18,FALSE)</f>
        <v>ERR10612256</v>
      </c>
      <c r="E906" s="2">
        <v>2021</v>
      </c>
      <c r="F906" s="2" t="s">
        <v>876</v>
      </c>
      <c r="G906" s="2" t="s">
        <v>5</v>
      </c>
      <c r="H906" s="2" t="s">
        <v>2496</v>
      </c>
      <c r="I906" s="2" t="s">
        <v>10</v>
      </c>
      <c r="J906" s="2" t="s">
        <v>59</v>
      </c>
      <c r="K906" s="2" t="s">
        <v>1005</v>
      </c>
      <c r="L906" s="2" t="s">
        <v>58</v>
      </c>
      <c r="M906" s="2">
        <v>6</v>
      </c>
      <c r="N906" s="2" t="s">
        <v>18</v>
      </c>
      <c r="T906" s="2" t="s">
        <v>16964</v>
      </c>
    </row>
    <row r="907" spans="1:24" hidden="1">
      <c r="A907" s="3" t="s">
        <v>3854</v>
      </c>
      <c r="B907" s="2" t="s">
        <v>1006</v>
      </c>
      <c r="D907" s="66" t="str">
        <f>VLOOKUP("*"&amp;A907&amp;"*",[2]Sheet1!$G$2:$X$1155,18,FALSE)</f>
        <v>ERR10612255</v>
      </c>
      <c r="E907" s="2">
        <v>2021</v>
      </c>
      <c r="F907" s="2" t="s">
        <v>876</v>
      </c>
      <c r="G907" s="2" t="s">
        <v>5</v>
      </c>
      <c r="H907" s="2" t="s">
        <v>2391</v>
      </c>
      <c r="I907" s="2" t="s">
        <v>6</v>
      </c>
      <c r="J907" s="2" t="s">
        <v>102</v>
      </c>
      <c r="K907" s="2" t="s">
        <v>1007</v>
      </c>
      <c r="L907" s="2" t="s">
        <v>101</v>
      </c>
      <c r="M907" s="2">
        <v>7</v>
      </c>
      <c r="N907" s="2" t="s">
        <v>9</v>
      </c>
      <c r="T907" s="2" t="s">
        <v>16964</v>
      </c>
    </row>
    <row r="908" spans="1:24" hidden="1">
      <c r="A908" s="3" t="s">
        <v>3968</v>
      </c>
      <c r="B908" s="2" t="s">
        <v>1008</v>
      </c>
      <c r="D908" s="66" t="str">
        <f>VLOOKUP("*"&amp;A908&amp;"*",[2]Sheet1!$G$2:$X$1155,18,FALSE)</f>
        <v>ERR10612239</v>
      </c>
      <c r="E908" s="2">
        <v>2021</v>
      </c>
      <c r="F908" s="2" t="s">
        <v>876</v>
      </c>
      <c r="G908" s="2" t="s">
        <v>5</v>
      </c>
      <c r="H908" s="2" t="s">
        <v>2391</v>
      </c>
      <c r="I908" s="2" t="s">
        <v>10</v>
      </c>
      <c r="J908" s="2" t="s">
        <v>35</v>
      </c>
      <c r="K908" s="2" t="s">
        <v>968</v>
      </c>
      <c r="L908" s="2" t="s">
        <v>34</v>
      </c>
      <c r="M908" s="2">
        <v>5</v>
      </c>
      <c r="N908" s="2" t="s">
        <v>14</v>
      </c>
      <c r="O908" s="2">
        <f>VLOOKUP(B908,[1]Sheet1!$B$624:$E$1665,4,FALSE)</f>
        <v>0.2</v>
      </c>
      <c r="P908" s="2" t="s">
        <v>16964</v>
      </c>
      <c r="T908" s="2" t="s">
        <v>16964</v>
      </c>
    </row>
    <row r="909" spans="1:24" hidden="1">
      <c r="A909" s="3" t="s">
        <v>3039</v>
      </c>
      <c r="B909" s="2" t="s">
        <v>1009</v>
      </c>
      <c r="D909" s="66" t="str">
        <f>VLOOKUP("*"&amp;A909&amp;"*",[2]Sheet1!$G$2:$X$1155,18,FALSE)</f>
        <v>ERR10612116</v>
      </c>
      <c r="E909" s="2">
        <v>2013</v>
      </c>
      <c r="F909" s="2" t="s">
        <v>876</v>
      </c>
      <c r="G909" s="2" t="s">
        <v>5</v>
      </c>
      <c r="H909" s="2" t="s">
        <v>2545</v>
      </c>
      <c r="I909" s="2" t="s">
        <v>6</v>
      </c>
      <c r="J909" s="2" t="s">
        <v>8</v>
      </c>
      <c r="K909" s="2" t="s">
        <v>1010</v>
      </c>
      <c r="L909" s="2" t="s">
        <v>7</v>
      </c>
      <c r="M909" s="2">
        <v>121</v>
      </c>
      <c r="N909" s="2" t="s">
        <v>9</v>
      </c>
      <c r="O909" s="2">
        <f>VLOOKUP(B909,[1]Sheet1!$B$624:$E$1665,4,FALSE)</f>
        <v>0.8</v>
      </c>
      <c r="P909" s="2" t="s">
        <v>16963</v>
      </c>
      <c r="T909" s="2" t="s">
        <v>16963</v>
      </c>
      <c r="X909" s="67" t="s">
        <v>4722</v>
      </c>
    </row>
    <row r="910" spans="1:24" hidden="1">
      <c r="A910" s="3" t="s">
        <v>3976</v>
      </c>
      <c r="B910" s="2" t="s">
        <v>1011</v>
      </c>
      <c r="D910" s="66" t="str">
        <f>VLOOKUP("*"&amp;A910&amp;"*",[2]Sheet1!$G$2:$X$1155,18,FALSE)</f>
        <v>ERR10612113</v>
      </c>
      <c r="E910" s="2">
        <v>2013</v>
      </c>
      <c r="F910" s="2" t="s">
        <v>876</v>
      </c>
      <c r="G910" s="2" t="s">
        <v>5</v>
      </c>
      <c r="H910" s="2" t="s">
        <v>2332</v>
      </c>
      <c r="I910" s="2" t="s">
        <v>10</v>
      </c>
      <c r="J910" s="2" t="s">
        <v>35</v>
      </c>
      <c r="K910" s="2" t="s">
        <v>1012</v>
      </c>
      <c r="L910" s="2" t="s">
        <v>34</v>
      </c>
      <c r="M910" s="2">
        <v>5</v>
      </c>
      <c r="N910" s="2" t="s">
        <v>14</v>
      </c>
      <c r="O910" s="2">
        <f>VLOOKUP(B910,[1]Sheet1!$B$624:$E$1665,4,FALSE)</f>
        <v>0.2</v>
      </c>
      <c r="P910" s="2" t="s">
        <v>16964</v>
      </c>
      <c r="T910" s="2" t="s">
        <v>16964</v>
      </c>
    </row>
    <row r="911" spans="1:24" hidden="1">
      <c r="A911" s="3" t="s">
        <v>3073</v>
      </c>
      <c r="B911" s="2" t="s">
        <v>1013</v>
      </c>
      <c r="D911" s="66" t="str">
        <f>VLOOKUP("*"&amp;A911&amp;"*",[2]Sheet1!$G$2:$X$1155,18,FALSE)</f>
        <v>ERR10612127</v>
      </c>
      <c r="E911" s="2">
        <v>2014</v>
      </c>
      <c r="F911" s="2" t="s">
        <v>876</v>
      </c>
      <c r="G911" s="2" t="s">
        <v>5</v>
      </c>
      <c r="H911" s="2" t="s">
        <v>2546</v>
      </c>
      <c r="I911" s="2" t="s">
        <v>6</v>
      </c>
      <c r="J911" s="2" t="s">
        <v>1015</v>
      </c>
      <c r="K911" s="2" t="s">
        <v>1016</v>
      </c>
      <c r="L911" s="2" t="s">
        <v>1014</v>
      </c>
      <c r="M911" s="2">
        <v>307</v>
      </c>
      <c r="N911" s="2" t="s">
        <v>9</v>
      </c>
      <c r="O911" s="2">
        <f>VLOOKUP(B911,[1]Sheet1!$B$624:$E$1665,4,FALSE)</f>
        <v>0.2</v>
      </c>
      <c r="P911" s="2" t="s">
        <v>16964</v>
      </c>
      <c r="T911" s="2" t="s">
        <v>16964</v>
      </c>
    </row>
    <row r="912" spans="1:24" hidden="1">
      <c r="A912" s="3" t="s">
        <v>3153</v>
      </c>
      <c r="B912" s="2" t="s">
        <v>1017</v>
      </c>
      <c r="D912" s="66" t="str">
        <f>VLOOKUP("*"&amp;A912&amp;"*",[2]Sheet1!$G$2:$X$1155,18,FALSE)</f>
        <v>ERR10612117</v>
      </c>
      <c r="E912" s="2">
        <v>2014</v>
      </c>
      <c r="F912" s="2" t="s">
        <v>876</v>
      </c>
      <c r="G912" s="2" t="s">
        <v>5</v>
      </c>
      <c r="H912" s="2" t="s">
        <v>2547</v>
      </c>
      <c r="I912" s="2" t="s">
        <v>6</v>
      </c>
      <c r="J912" s="2" t="s">
        <v>120</v>
      </c>
      <c r="K912" s="2" t="s">
        <v>4533</v>
      </c>
      <c r="L912" s="2" t="s">
        <v>119</v>
      </c>
      <c r="M912" s="2">
        <v>155</v>
      </c>
      <c r="N912" s="2" t="s">
        <v>9</v>
      </c>
      <c r="O912" s="2">
        <f>VLOOKUP(B912,[1]Sheet1!$B$624:$E$1665,4,FALSE)</f>
        <v>0.2</v>
      </c>
      <c r="P912" s="2" t="s">
        <v>16964</v>
      </c>
      <c r="T912" s="2" t="s">
        <v>16964</v>
      </c>
    </row>
    <row r="913" spans="1:24" hidden="1">
      <c r="A913" s="3" t="s">
        <v>4371</v>
      </c>
      <c r="B913" s="2" t="s">
        <v>1018</v>
      </c>
      <c r="D913" s="66" t="str">
        <f>VLOOKUP("*"&amp;A913&amp;"*",[2]Sheet1!$G$2:$X$1155,18,FALSE)</f>
        <v>ERR10612131</v>
      </c>
      <c r="E913" s="2">
        <v>2019</v>
      </c>
      <c r="F913" s="2" t="s">
        <v>876</v>
      </c>
      <c r="G913" s="2" t="s">
        <v>5</v>
      </c>
      <c r="H913" s="2" t="s">
        <v>2496</v>
      </c>
      <c r="I913" s="2" t="s">
        <v>10</v>
      </c>
      <c r="J913" s="2" t="s">
        <v>765</v>
      </c>
      <c r="K913" s="2" t="s">
        <v>1019</v>
      </c>
      <c r="L913" s="2" t="s">
        <v>764</v>
      </c>
      <c r="M913" s="2">
        <v>4</v>
      </c>
      <c r="N913" s="2" t="s">
        <v>18</v>
      </c>
      <c r="O913" s="2">
        <f>VLOOKUP(B913,[1]Sheet1!$B$624:$E$1665,4,FALSE)</f>
        <v>0.4</v>
      </c>
      <c r="P913" s="2" t="s">
        <v>16964</v>
      </c>
      <c r="T913" s="2" t="s">
        <v>16964</v>
      </c>
    </row>
    <row r="914" spans="1:24" hidden="1">
      <c r="A914" s="3" t="s">
        <v>4099</v>
      </c>
      <c r="B914" s="2" t="s">
        <v>1020</v>
      </c>
      <c r="D914" s="66" t="str">
        <f>VLOOKUP("*"&amp;A914&amp;"*",[2]Sheet1!$G$2:$X$1155,18,FALSE)</f>
        <v>ERR10612142</v>
      </c>
      <c r="E914" s="2">
        <v>2019</v>
      </c>
      <c r="F914" s="2" t="s">
        <v>876</v>
      </c>
      <c r="G914" s="2" t="s">
        <v>5</v>
      </c>
      <c r="H914" s="2" t="s">
        <v>2548</v>
      </c>
      <c r="I914" s="2" t="s">
        <v>6</v>
      </c>
      <c r="J914" s="2" t="s">
        <v>958</v>
      </c>
      <c r="K914" s="2" t="s">
        <v>959</v>
      </c>
      <c r="L914" s="2" t="s">
        <v>957</v>
      </c>
      <c r="M914" s="2">
        <v>226</v>
      </c>
      <c r="N914" s="2" t="s">
        <v>9</v>
      </c>
      <c r="O914" s="2">
        <f>VLOOKUP(B914,[1]Sheet1!$B$624:$E$1665,4,FALSE)</f>
        <v>0.2</v>
      </c>
      <c r="P914" s="2" t="s">
        <v>16964</v>
      </c>
      <c r="T914" s="2" t="s">
        <v>16964</v>
      </c>
    </row>
    <row r="915" spans="1:24" hidden="1">
      <c r="A915" s="3" t="s">
        <v>3686</v>
      </c>
      <c r="B915" s="2" t="s">
        <v>1021</v>
      </c>
      <c r="D915" s="66" t="str">
        <f>VLOOKUP("*"&amp;A915&amp;"*",[2]Sheet1!$G$2:$X$1155,18,FALSE)</f>
        <v>ERR10612159</v>
      </c>
      <c r="E915" s="2">
        <v>2019</v>
      </c>
      <c r="F915" s="2" t="s">
        <v>876</v>
      </c>
      <c r="G915" s="2" t="s">
        <v>5</v>
      </c>
      <c r="H915" s="2" t="s">
        <v>2332</v>
      </c>
      <c r="I915" s="2" t="s">
        <v>6</v>
      </c>
      <c r="J915" s="2" t="s">
        <v>8</v>
      </c>
      <c r="K915" s="2" t="s">
        <v>883</v>
      </c>
      <c r="L915" s="2" t="s">
        <v>7</v>
      </c>
      <c r="M915" s="2">
        <v>121</v>
      </c>
      <c r="N915" s="2" t="s">
        <v>9</v>
      </c>
      <c r="T915" s="2" t="s">
        <v>16963</v>
      </c>
      <c r="X915" s="67" t="s">
        <v>4722</v>
      </c>
    </row>
    <row r="916" spans="1:24" hidden="1">
      <c r="A916" s="3" t="s">
        <v>3443</v>
      </c>
      <c r="B916" s="2" t="s">
        <v>1022</v>
      </c>
      <c r="D916" s="66" t="str">
        <f>VLOOKUP("*"&amp;A916&amp;"*",[2]Sheet1!$G$2:$X$1155,18,FALSE)</f>
        <v>ERR10612133</v>
      </c>
      <c r="E916" s="2">
        <v>2019</v>
      </c>
      <c r="F916" s="2" t="s">
        <v>876</v>
      </c>
      <c r="G916" s="2" t="s">
        <v>5</v>
      </c>
      <c r="H916" s="2" t="s">
        <v>2391</v>
      </c>
      <c r="I916" s="2" t="s">
        <v>6</v>
      </c>
      <c r="J916" s="2" t="s">
        <v>415</v>
      </c>
      <c r="K916" s="2" t="s">
        <v>1023</v>
      </c>
      <c r="L916" s="2" t="s">
        <v>414</v>
      </c>
      <c r="M916" s="2">
        <v>204</v>
      </c>
      <c r="N916" s="2" t="s">
        <v>9</v>
      </c>
      <c r="O916" s="2">
        <f>VLOOKUP(B916,[1]Sheet1!$B$624:$E$1665,4,FALSE)</f>
        <v>0.8</v>
      </c>
      <c r="P916" s="2" t="s">
        <v>16963</v>
      </c>
      <c r="T916" s="2" t="s">
        <v>16963</v>
      </c>
      <c r="U916" s="67" t="s">
        <v>2627</v>
      </c>
    </row>
    <row r="917" spans="1:24" hidden="1">
      <c r="A917" s="3" t="s">
        <v>3005</v>
      </c>
      <c r="B917" s="2" t="s">
        <v>1024</v>
      </c>
      <c r="D917" s="66" t="str">
        <f>VLOOKUP("*"&amp;A917&amp;"*",[2]Sheet1!$G$2:$X$1155,18,FALSE)</f>
        <v>ERR10612128</v>
      </c>
      <c r="E917" s="2">
        <v>2019</v>
      </c>
      <c r="F917" s="2" t="s">
        <v>876</v>
      </c>
      <c r="G917" s="2" t="s">
        <v>5</v>
      </c>
      <c r="H917" s="2" t="s">
        <v>2332</v>
      </c>
      <c r="I917" s="2" t="s">
        <v>6</v>
      </c>
      <c r="J917" s="2" t="s">
        <v>20</v>
      </c>
      <c r="K917" s="2" t="s">
        <v>1025</v>
      </c>
      <c r="L917" s="2" t="s">
        <v>19</v>
      </c>
      <c r="M917" s="2">
        <v>9</v>
      </c>
      <c r="T917" s="2" t="s">
        <v>16963</v>
      </c>
      <c r="X917" s="67" t="s">
        <v>4723</v>
      </c>
    </row>
    <row r="918" spans="1:24" hidden="1">
      <c r="A918" s="3" t="s">
        <v>4186</v>
      </c>
      <c r="B918" s="2" t="s">
        <v>1026</v>
      </c>
      <c r="D918" s="66" t="str">
        <f>VLOOKUP("*"&amp;A918&amp;"*",[2]Sheet1!$G$2:$X$1155,18,FALSE)</f>
        <v>ERR10612101</v>
      </c>
      <c r="E918" s="2">
        <v>2019</v>
      </c>
      <c r="F918" s="2" t="s">
        <v>876</v>
      </c>
      <c r="G918" s="2" t="s">
        <v>5</v>
      </c>
      <c r="H918" s="2" t="s">
        <v>2496</v>
      </c>
      <c r="I918" s="2" t="s">
        <v>6</v>
      </c>
      <c r="J918" s="2" t="s">
        <v>366</v>
      </c>
      <c r="K918" s="2" t="s">
        <v>1027</v>
      </c>
      <c r="L918" s="2" t="s">
        <v>28</v>
      </c>
      <c r="M918" s="2">
        <v>16</v>
      </c>
      <c r="N918" s="2" t="s">
        <v>9</v>
      </c>
      <c r="O918" s="2">
        <f>VLOOKUP(B918,[1]Sheet1!$B$624:$E$1665,4,FALSE)</f>
        <v>0.4</v>
      </c>
      <c r="P918" s="2" t="s">
        <v>16964</v>
      </c>
      <c r="T918" s="2" t="s">
        <v>16964</v>
      </c>
    </row>
    <row r="919" spans="1:24" hidden="1">
      <c r="A919" s="3" t="s">
        <v>3229</v>
      </c>
      <c r="B919" s="2" t="s">
        <v>1028</v>
      </c>
      <c r="D919" s="66" t="str">
        <f>VLOOKUP("*"&amp;A919&amp;"*",[2]Sheet1!$G$2:$X$1155,18,FALSE)</f>
        <v>ERR10612129</v>
      </c>
      <c r="E919" s="2">
        <v>2019</v>
      </c>
      <c r="F919" s="2" t="s">
        <v>876</v>
      </c>
      <c r="G919" s="2" t="s">
        <v>5</v>
      </c>
      <c r="H919" s="2" t="s">
        <v>2391</v>
      </c>
      <c r="I919" s="2" t="s">
        <v>6</v>
      </c>
      <c r="J919" s="2" t="s">
        <v>8</v>
      </c>
      <c r="K919" s="2" t="s">
        <v>1029</v>
      </c>
      <c r="L919" s="2" t="s">
        <v>7</v>
      </c>
      <c r="M919" s="2">
        <v>121</v>
      </c>
      <c r="N919" s="2" t="s">
        <v>9</v>
      </c>
      <c r="O919" s="2">
        <f>VLOOKUP(B919,[1]Sheet1!$B$624:$E$1665,4,FALSE)</f>
        <v>0.8</v>
      </c>
      <c r="P919" s="2" t="s">
        <v>16963</v>
      </c>
      <c r="T919" s="2" t="s">
        <v>16963</v>
      </c>
      <c r="X919" s="67" t="s">
        <v>4725</v>
      </c>
    </row>
    <row r="920" spans="1:24" hidden="1">
      <c r="A920" s="3" t="s">
        <v>3685</v>
      </c>
      <c r="B920" s="2" t="s">
        <v>1030</v>
      </c>
      <c r="D920" s="66" t="str">
        <f>VLOOKUP("*"&amp;A920&amp;"*",[2]Sheet1!$G$2:$X$1155,18,FALSE)</f>
        <v>ERR10612160</v>
      </c>
      <c r="E920" s="2">
        <v>2019</v>
      </c>
      <c r="F920" s="2" t="s">
        <v>876</v>
      </c>
      <c r="G920" s="2" t="s">
        <v>5</v>
      </c>
      <c r="H920" s="2" t="s">
        <v>2332</v>
      </c>
      <c r="I920" s="2" t="s">
        <v>6</v>
      </c>
      <c r="J920" s="2" t="s">
        <v>8</v>
      </c>
      <c r="K920" s="2" t="s">
        <v>883</v>
      </c>
      <c r="L920" s="2" t="s">
        <v>7</v>
      </c>
      <c r="M920" s="2">
        <v>121</v>
      </c>
      <c r="N920" s="2" t="s">
        <v>9</v>
      </c>
      <c r="T920" s="2" t="s">
        <v>16963</v>
      </c>
      <c r="X920" s="67" t="s">
        <v>4722</v>
      </c>
    </row>
    <row r="921" spans="1:24" hidden="1">
      <c r="A921" s="3" t="s">
        <v>3817</v>
      </c>
      <c r="B921" s="2" t="s">
        <v>1031</v>
      </c>
      <c r="D921" s="66" t="str">
        <f>VLOOKUP("*"&amp;A921&amp;"*",[2]Sheet1!$G$2:$X$1155,18,FALSE)</f>
        <v>ERR10612137</v>
      </c>
      <c r="E921" s="2">
        <v>2019</v>
      </c>
      <c r="F921" s="2" t="s">
        <v>876</v>
      </c>
      <c r="G921" s="2" t="s">
        <v>5</v>
      </c>
      <c r="H921" s="2" t="s">
        <v>2496</v>
      </c>
      <c r="I921" s="2" t="s">
        <v>6</v>
      </c>
      <c r="J921" s="2" t="s">
        <v>20</v>
      </c>
      <c r="K921" s="2" t="s">
        <v>1032</v>
      </c>
      <c r="L921" s="2" t="s">
        <v>19</v>
      </c>
      <c r="M921" s="2">
        <v>9</v>
      </c>
      <c r="N921" s="2" t="s">
        <v>21</v>
      </c>
      <c r="T921" s="2" t="s">
        <v>16964</v>
      </c>
    </row>
    <row r="922" spans="1:24" hidden="1">
      <c r="A922" s="3" t="s">
        <v>3037</v>
      </c>
      <c r="B922" s="2" t="s">
        <v>1033</v>
      </c>
      <c r="D922" s="66" t="str">
        <f>VLOOKUP("*"&amp;A922&amp;"*",[2]Sheet1!$G$2:$X$1155,18,FALSE)</f>
        <v>ERR10612134</v>
      </c>
      <c r="E922" s="2">
        <v>2019</v>
      </c>
      <c r="F922" s="2" t="s">
        <v>876</v>
      </c>
      <c r="G922" s="2" t="s">
        <v>5</v>
      </c>
      <c r="H922" s="2" t="s">
        <v>2332</v>
      </c>
      <c r="I922" s="2" t="s">
        <v>6</v>
      </c>
      <c r="J922" s="2" t="s">
        <v>8</v>
      </c>
      <c r="K922" s="2" t="s">
        <v>1034</v>
      </c>
      <c r="L922" s="2" t="s">
        <v>7</v>
      </c>
      <c r="M922" s="2">
        <v>121</v>
      </c>
      <c r="N922" s="2" t="s">
        <v>9</v>
      </c>
      <c r="T922" s="2" t="s">
        <v>16963</v>
      </c>
      <c r="X922" s="67" t="s">
        <v>4722</v>
      </c>
    </row>
    <row r="923" spans="1:24" hidden="1">
      <c r="A923" s="3" t="s">
        <v>3033</v>
      </c>
      <c r="B923" s="2" t="s">
        <v>1035</v>
      </c>
      <c r="D923" s="66" t="str">
        <f>VLOOKUP("*"&amp;A923&amp;"*",[2]Sheet1!$G$2:$X$1155,18,FALSE)</f>
        <v>ERR10612115</v>
      </c>
      <c r="E923" s="2">
        <v>2019</v>
      </c>
      <c r="F923" s="2" t="s">
        <v>876</v>
      </c>
      <c r="G923" s="2" t="s">
        <v>5</v>
      </c>
      <c r="H923" s="2" t="s">
        <v>2391</v>
      </c>
      <c r="I923" s="2" t="s">
        <v>6</v>
      </c>
      <c r="J923" s="2" t="s">
        <v>8</v>
      </c>
      <c r="K923" s="2" t="s">
        <v>1034</v>
      </c>
      <c r="L923" s="2" t="s">
        <v>7</v>
      </c>
      <c r="M923" s="2">
        <v>121</v>
      </c>
      <c r="N923" s="2" t="s">
        <v>9</v>
      </c>
      <c r="O923" s="2">
        <f>VLOOKUP(B923,[1]Sheet1!$B$624:$E$1665,4,FALSE)</f>
        <v>0.8</v>
      </c>
      <c r="P923" s="2" t="s">
        <v>16963</v>
      </c>
      <c r="T923" s="2" t="s">
        <v>16963</v>
      </c>
      <c r="X923" s="67" t="s">
        <v>4722</v>
      </c>
    </row>
    <row r="924" spans="1:24" hidden="1">
      <c r="A924" s="3" t="s">
        <v>4291</v>
      </c>
      <c r="B924" s="2" t="s">
        <v>1036</v>
      </c>
      <c r="D924" s="66" t="str">
        <f>VLOOKUP("*"&amp;A924&amp;"*",[2]Sheet1!$G$2:$X$1155,18,FALSE)</f>
        <v>ERR10612109</v>
      </c>
      <c r="E924" s="2">
        <v>2019</v>
      </c>
      <c r="F924" s="2" t="s">
        <v>876</v>
      </c>
      <c r="G924" s="2" t="s">
        <v>5</v>
      </c>
      <c r="H924" s="2" t="s">
        <v>2548</v>
      </c>
      <c r="I924" s="2" t="s">
        <v>10</v>
      </c>
      <c r="J924" s="2" t="s">
        <v>1037</v>
      </c>
      <c r="K924" s="2" t="s">
        <v>1038</v>
      </c>
      <c r="L924" s="2" t="s">
        <v>764</v>
      </c>
      <c r="M924" s="2">
        <v>219</v>
      </c>
      <c r="N924" s="2" t="s">
        <v>18</v>
      </c>
      <c r="T924" s="2" t="s">
        <v>16964</v>
      </c>
    </row>
    <row r="925" spans="1:24" hidden="1">
      <c r="A925" s="3" t="s">
        <v>3638</v>
      </c>
      <c r="B925" s="2" t="s">
        <v>1039</v>
      </c>
      <c r="D925" s="66" t="str">
        <f>VLOOKUP("*"&amp;A925&amp;"*",[2]Sheet1!$G$2:$X$1155,18,FALSE)</f>
        <v>ERR10612162</v>
      </c>
      <c r="E925" s="2">
        <v>2019</v>
      </c>
      <c r="F925" s="2" t="s">
        <v>876</v>
      </c>
      <c r="G925" s="2" t="s">
        <v>5</v>
      </c>
      <c r="H925" s="2" t="s">
        <v>2332</v>
      </c>
      <c r="I925" s="2" t="s">
        <v>10</v>
      </c>
      <c r="J925" s="2" t="s">
        <v>17</v>
      </c>
      <c r="K925" s="2" t="s">
        <v>1040</v>
      </c>
      <c r="L925" s="2" t="s">
        <v>16</v>
      </c>
      <c r="M925" s="2">
        <v>2</v>
      </c>
      <c r="N925" s="2" t="s">
        <v>18</v>
      </c>
      <c r="T925" s="2" t="s">
        <v>16964</v>
      </c>
    </row>
    <row r="926" spans="1:24" hidden="1">
      <c r="A926" s="3" t="s">
        <v>2944</v>
      </c>
      <c r="B926" s="2" t="s">
        <v>1041</v>
      </c>
      <c r="D926" s="66" t="str">
        <f>VLOOKUP("*"&amp;A926&amp;"*",[2]Sheet1!$G$2:$X$1155,18,FALSE)</f>
        <v>ERR10612136</v>
      </c>
      <c r="E926" s="2">
        <v>2019</v>
      </c>
      <c r="F926" s="2" t="s">
        <v>876</v>
      </c>
      <c r="G926" s="2" t="s">
        <v>5</v>
      </c>
      <c r="H926" s="2" t="s">
        <v>2332</v>
      </c>
      <c r="I926" s="2" t="s">
        <v>6</v>
      </c>
      <c r="J926" s="2" t="s">
        <v>8</v>
      </c>
      <c r="K926" s="2" t="s">
        <v>943</v>
      </c>
      <c r="L926" s="2" t="s">
        <v>7</v>
      </c>
      <c r="M926" s="2">
        <v>121</v>
      </c>
      <c r="N926" s="2" t="s">
        <v>9</v>
      </c>
      <c r="T926" s="2" t="s">
        <v>16963</v>
      </c>
      <c r="X926" s="67" t="s">
        <v>4722</v>
      </c>
    </row>
    <row r="927" spans="1:24" hidden="1">
      <c r="A927" s="3" t="s">
        <v>4113</v>
      </c>
      <c r="B927" s="2" t="s">
        <v>1042</v>
      </c>
      <c r="D927" s="66" t="str">
        <f>VLOOKUP("*"&amp;A927&amp;"*",[2]Sheet1!$G$2:$X$1155,18,FALSE)</f>
        <v>ERR10612143</v>
      </c>
      <c r="E927" s="2">
        <v>2019</v>
      </c>
      <c r="F927" s="2" t="s">
        <v>876</v>
      </c>
      <c r="G927" s="2" t="s">
        <v>5</v>
      </c>
      <c r="H927" s="2" t="s">
        <v>2332</v>
      </c>
      <c r="I927" s="2" t="s">
        <v>6</v>
      </c>
      <c r="J927" s="2" t="s">
        <v>102</v>
      </c>
      <c r="K927" s="2" t="s">
        <v>1043</v>
      </c>
      <c r="L927" s="2" t="s">
        <v>101</v>
      </c>
      <c r="M927" s="2">
        <v>7</v>
      </c>
      <c r="N927" s="2" t="s">
        <v>9</v>
      </c>
      <c r="T927" s="2" t="s">
        <v>16964</v>
      </c>
    </row>
    <row r="928" spans="1:24" hidden="1">
      <c r="A928" s="3" t="s">
        <v>3999</v>
      </c>
      <c r="B928" s="2" t="s">
        <v>1044</v>
      </c>
      <c r="D928" s="66" t="str">
        <f>VLOOKUP("*"&amp;A928&amp;"*",[2]Sheet1!$G$2:$X$1155,18,FALSE)</f>
        <v>ERR10612151</v>
      </c>
      <c r="E928" s="2">
        <v>2019</v>
      </c>
      <c r="F928" s="2" t="s">
        <v>876</v>
      </c>
      <c r="G928" s="2" t="s">
        <v>5</v>
      </c>
      <c r="H928" s="2" t="s">
        <v>2332</v>
      </c>
      <c r="I928" s="2" t="s">
        <v>6</v>
      </c>
      <c r="J928" s="2" t="s">
        <v>20</v>
      </c>
      <c r="K928" s="2" t="s">
        <v>4719</v>
      </c>
      <c r="L928" s="2" t="s">
        <v>19</v>
      </c>
      <c r="M928" s="2">
        <v>9</v>
      </c>
      <c r="N928" s="2" t="s">
        <v>21</v>
      </c>
      <c r="O928" s="2">
        <v>0.2</v>
      </c>
      <c r="P928" s="2" t="s">
        <v>16964</v>
      </c>
      <c r="T928" s="2" t="s">
        <v>16964</v>
      </c>
    </row>
    <row r="929" spans="1:24" hidden="1">
      <c r="A929" s="3" t="s">
        <v>3136</v>
      </c>
      <c r="B929" s="2" t="s">
        <v>1045</v>
      </c>
      <c r="D929" s="66" t="str">
        <f>VLOOKUP("*"&amp;A929&amp;"*",[2]Sheet1!$G$2:$X$1155,18,FALSE)</f>
        <v>ERR10612118</v>
      </c>
      <c r="E929" s="2">
        <v>2019</v>
      </c>
      <c r="F929" s="2" t="s">
        <v>876</v>
      </c>
      <c r="G929" s="2" t="s">
        <v>5</v>
      </c>
      <c r="H929" s="2" t="s">
        <v>2496</v>
      </c>
      <c r="I929" s="2" t="s">
        <v>6</v>
      </c>
      <c r="J929" s="2" t="s">
        <v>8</v>
      </c>
      <c r="K929" s="2" t="s">
        <v>885</v>
      </c>
      <c r="L929" s="2" t="s">
        <v>7</v>
      </c>
      <c r="M929" s="2">
        <v>121</v>
      </c>
      <c r="N929" s="2" t="s">
        <v>9</v>
      </c>
      <c r="T929" s="2" t="s">
        <v>16963</v>
      </c>
      <c r="X929" s="67" t="s">
        <v>4722</v>
      </c>
    </row>
    <row r="930" spans="1:24" hidden="1">
      <c r="A930" s="3" t="s">
        <v>3691</v>
      </c>
      <c r="B930" s="2" t="s">
        <v>1046</v>
      </c>
      <c r="D930" s="66" t="str">
        <f>VLOOKUP("*"&amp;A930&amp;"*",[2]Sheet1!$G$2:$X$1155,18,FALSE)</f>
        <v>ERR10612170</v>
      </c>
      <c r="E930" s="2">
        <v>2019</v>
      </c>
      <c r="F930" s="2" t="s">
        <v>876</v>
      </c>
      <c r="G930" s="2" t="s">
        <v>5</v>
      </c>
      <c r="H930" s="2" t="s">
        <v>2332</v>
      </c>
      <c r="I930" s="2" t="s">
        <v>6</v>
      </c>
      <c r="J930" s="2" t="s">
        <v>8</v>
      </c>
      <c r="K930" s="2" t="s">
        <v>883</v>
      </c>
      <c r="L930" s="2" t="s">
        <v>7</v>
      </c>
      <c r="M930" s="2">
        <v>121</v>
      </c>
      <c r="N930" s="2" t="s">
        <v>9</v>
      </c>
      <c r="T930" s="2" t="s">
        <v>16963</v>
      </c>
      <c r="X930" s="67" t="s">
        <v>4722</v>
      </c>
    </row>
    <row r="931" spans="1:24" hidden="1">
      <c r="A931" s="3" t="s">
        <v>3628</v>
      </c>
      <c r="B931" s="2" t="s">
        <v>1047</v>
      </c>
      <c r="D931" s="66" t="str">
        <f>VLOOKUP("*"&amp;A931&amp;"*",[2]Sheet1!$G$2:$X$1155,18,FALSE)</f>
        <v>ERR10612145</v>
      </c>
      <c r="E931" s="2">
        <v>2019</v>
      </c>
      <c r="F931" s="2" t="s">
        <v>876</v>
      </c>
      <c r="G931" s="2" t="s">
        <v>5</v>
      </c>
      <c r="H931" s="2" t="s">
        <v>2496</v>
      </c>
      <c r="I931" s="2" t="s">
        <v>10</v>
      </c>
      <c r="J931" s="2" t="s">
        <v>59</v>
      </c>
      <c r="K931" s="2" t="s">
        <v>1048</v>
      </c>
      <c r="L931" s="2" t="s">
        <v>58</v>
      </c>
      <c r="M931" s="2">
        <v>6</v>
      </c>
      <c r="N931" s="2" t="s">
        <v>18</v>
      </c>
      <c r="O931" s="2">
        <f>VLOOKUP(B931,[1]Sheet1!$B$624:$E$1665,4,FALSE)</f>
        <v>0.2</v>
      </c>
      <c r="P931" s="2" t="s">
        <v>16964</v>
      </c>
      <c r="T931" s="2" t="s">
        <v>16964</v>
      </c>
    </row>
    <row r="932" spans="1:24" hidden="1">
      <c r="A932" s="3" t="s">
        <v>2927</v>
      </c>
      <c r="B932" s="2" t="s">
        <v>1049</v>
      </c>
      <c r="D932" s="66" t="str">
        <f>VLOOKUP("*"&amp;A932&amp;"*",[2]Sheet1!$G$2:$X$1155,18,FALSE)</f>
        <v>ERR10612123</v>
      </c>
      <c r="E932" s="2">
        <v>2019</v>
      </c>
      <c r="F932" s="2" t="s">
        <v>876</v>
      </c>
      <c r="G932" s="2" t="s">
        <v>5</v>
      </c>
      <c r="H932" s="2" t="s">
        <v>2496</v>
      </c>
      <c r="I932" s="2" t="s">
        <v>6</v>
      </c>
      <c r="J932" s="2" t="s">
        <v>20</v>
      </c>
      <c r="K932" s="2" t="s">
        <v>1050</v>
      </c>
      <c r="L932" s="2" t="s">
        <v>19</v>
      </c>
      <c r="M932" s="2">
        <v>9</v>
      </c>
      <c r="N932" s="2" t="s">
        <v>21</v>
      </c>
      <c r="O932" s="2">
        <f>VLOOKUP(B932,[1]Sheet1!$B$624:$E$1665,4,FALSE)</f>
        <v>0.2</v>
      </c>
      <c r="P932" s="2" t="s">
        <v>16964</v>
      </c>
      <c r="T932" s="2" t="s">
        <v>16964</v>
      </c>
    </row>
    <row r="933" spans="1:24" hidden="1">
      <c r="A933" s="3" t="s">
        <v>4078</v>
      </c>
      <c r="B933" s="2" t="s">
        <v>1051</v>
      </c>
      <c r="D933" s="66" t="str">
        <f>VLOOKUP("*"&amp;A933&amp;"*",[2]Sheet1!$G$2:$X$1155,18,FALSE)</f>
        <v>ERR10612156</v>
      </c>
      <c r="E933" s="2">
        <v>2019</v>
      </c>
      <c r="F933" s="2" t="s">
        <v>876</v>
      </c>
      <c r="G933" s="2" t="s">
        <v>5</v>
      </c>
      <c r="H933" s="2" t="s">
        <v>2332</v>
      </c>
      <c r="I933" s="2" t="s">
        <v>6</v>
      </c>
      <c r="J933" s="2" t="s">
        <v>20</v>
      </c>
      <c r="K933" s="2" t="s">
        <v>4710</v>
      </c>
      <c r="L933" s="2" t="s">
        <v>19</v>
      </c>
      <c r="M933" s="2">
        <v>9</v>
      </c>
      <c r="N933" s="2" t="s">
        <v>21</v>
      </c>
      <c r="T933" s="2" t="s">
        <v>16964</v>
      </c>
    </row>
    <row r="934" spans="1:24" hidden="1">
      <c r="A934" s="3" t="s">
        <v>2836</v>
      </c>
      <c r="B934" s="2" t="s">
        <v>1052</v>
      </c>
      <c r="D934" s="66" t="str">
        <f>VLOOKUP("*"&amp;A934&amp;"*",[2]Sheet1!$G$2:$X$1155,18,FALSE)</f>
        <v>ERR10612148</v>
      </c>
      <c r="E934" s="2">
        <v>2019</v>
      </c>
      <c r="F934" s="2" t="s">
        <v>876</v>
      </c>
      <c r="G934" s="2" t="s">
        <v>5</v>
      </c>
      <c r="H934" s="2" t="s">
        <v>2391</v>
      </c>
      <c r="I934" s="2" t="s">
        <v>6</v>
      </c>
      <c r="J934" s="2" t="s">
        <v>76</v>
      </c>
      <c r="K934" s="2" t="s">
        <v>1053</v>
      </c>
      <c r="L934" s="2" t="s">
        <v>75</v>
      </c>
      <c r="M934" s="2">
        <v>504</v>
      </c>
      <c r="N934" s="2" t="s">
        <v>9</v>
      </c>
      <c r="T934" s="2" t="s">
        <v>16963</v>
      </c>
      <c r="V934" s="67" t="s">
        <v>2627</v>
      </c>
    </row>
    <row r="935" spans="1:24" hidden="1">
      <c r="A935" s="3" t="s">
        <v>3913</v>
      </c>
      <c r="B935" s="2" t="s">
        <v>1054</v>
      </c>
      <c r="D935" s="66" t="str">
        <f>VLOOKUP("*"&amp;A935&amp;"*",[2]Sheet1!$G$2:$X$1155,18,FALSE)</f>
        <v>ERR10612149</v>
      </c>
      <c r="E935" s="2">
        <v>2019</v>
      </c>
      <c r="F935" s="2" t="s">
        <v>876</v>
      </c>
      <c r="G935" s="2" t="s">
        <v>5</v>
      </c>
      <c r="H935" s="2" t="s">
        <v>2496</v>
      </c>
      <c r="I935" s="2" t="s">
        <v>10</v>
      </c>
      <c r="J935" s="2" t="s">
        <v>12</v>
      </c>
      <c r="K935" s="2" t="s">
        <v>1055</v>
      </c>
      <c r="L935" s="2" t="s">
        <v>11</v>
      </c>
      <c r="M935" s="2">
        <v>3</v>
      </c>
      <c r="N935" s="2" t="s">
        <v>14</v>
      </c>
      <c r="T935" s="2" t="s">
        <v>16964</v>
      </c>
    </row>
    <row r="936" spans="1:24" hidden="1">
      <c r="A936" s="3" t="s">
        <v>3604</v>
      </c>
      <c r="B936" s="2" t="s">
        <v>1056</v>
      </c>
      <c r="D936" s="66" t="str">
        <f>VLOOKUP("*"&amp;A936&amp;"*",[2]Sheet1!$G$2:$X$1155,18,FALSE)</f>
        <v>ERR10612150</v>
      </c>
      <c r="E936" s="2">
        <v>2019</v>
      </c>
      <c r="F936" s="2" t="s">
        <v>876</v>
      </c>
      <c r="G936" s="2" t="s">
        <v>5</v>
      </c>
      <c r="H936" s="2" t="s">
        <v>2332</v>
      </c>
      <c r="I936" s="2" t="s">
        <v>10</v>
      </c>
      <c r="J936" s="2" t="s">
        <v>1058</v>
      </c>
      <c r="K936" s="2" t="s">
        <v>1059</v>
      </c>
      <c r="L936" s="2" t="s">
        <v>1057</v>
      </c>
      <c r="M936" s="2">
        <v>54</v>
      </c>
      <c r="N936" s="2" t="s">
        <v>18</v>
      </c>
      <c r="O936" s="2">
        <v>0.2</v>
      </c>
      <c r="P936" s="2" t="s">
        <v>16964</v>
      </c>
      <c r="T936" s="2" t="s">
        <v>16964</v>
      </c>
    </row>
    <row r="937" spans="1:24" hidden="1">
      <c r="A937" s="3" t="s">
        <v>3689</v>
      </c>
      <c r="B937" s="2" t="s">
        <v>1060</v>
      </c>
      <c r="D937" s="66" t="str">
        <f>VLOOKUP("*"&amp;A937&amp;"*",[2]Sheet1!$G$2:$X$1155,18,FALSE)</f>
        <v>ERR10612126</v>
      </c>
      <c r="E937" s="2">
        <v>2019</v>
      </c>
      <c r="F937" s="2" t="s">
        <v>876</v>
      </c>
      <c r="G937" s="2" t="s">
        <v>5</v>
      </c>
      <c r="H937" s="2" t="s">
        <v>2332</v>
      </c>
      <c r="I937" s="2" t="s">
        <v>6</v>
      </c>
      <c r="J937" s="2" t="s">
        <v>8</v>
      </c>
      <c r="K937" s="2" t="s">
        <v>883</v>
      </c>
      <c r="L937" s="2" t="s">
        <v>7</v>
      </c>
      <c r="M937" s="2">
        <v>121</v>
      </c>
      <c r="N937" s="2" t="s">
        <v>9</v>
      </c>
      <c r="T937" s="2" t="s">
        <v>16963</v>
      </c>
      <c r="X937" s="67" t="s">
        <v>4722</v>
      </c>
    </row>
    <row r="938" spans="1:24" hidden="1">
      <c r="A938" s="3" t="s">
        <v>3035</v>
      </c>
      <c r="B938" s="2" t="s">
        <v>1061</v>
      </c>
      <c r="D938" s="66" t="str">
        <f>VLOOKUP("*"&amp;A938&amp;"*",[2]Sheet1!$G$2:$X$1155,18,FALSE)</f>
        <v>ERR10612152</v>
      </c>
      <c r="E938" s="2">
        <v>2019</v>
      </c>
      <c r="F938" s="2" t="s">
        <v>876</v>
      </c>
      <c r="G938" s="2" t="s">
        <v>5</v>
      </c>
      <c r="H938" s="2" t="s">
        <v>2332</v>
      </c>
      <c r="I938" s="2" t="s">
        <v>6</v>
      </c>
      <c r="J938" s="2" t="s">
        <v>8</v>
      </c>
      <c r="K938" s="2" t="s">
        <v>1062</v>
      </c>
      <c r="L938" s="2" t="s">
        <v>7</v>
      </c>
      <c r="M938" s="2">
        <v>121</v>
      </c>
      <c r="N938" s="2" t="s">
        <v>9</v>
      </c>
      <c r="T938" s="2" t="s">
        <v>16963</v>
      </c>
      <c r="X938" s="67" t="s">
        <v>4722</v>
      </c>
    </row>
    <row r="939" spans="1:24" hidden="1">
      <c r="A939" s="3" t="s">
        <v>3285</v>
      </c>
      <c r="B939" s="2" t="s">
        <v>1063</v>
      </c>
      <c r="D939" s="66" t="str">
        <f>VLOOKUP("*"&amp;A939&amp;"*",[2]Sheet1!$G$2:$X$1155,18,FALSE)</f>
        <v>ERR10612157</v>
      </c>
      <c r="E939" s="2">
        <v>2019</v>
      </c>
      <c r="F939" s="2" t="s">
        <v>876</v>
      </c>
      <c r="G939" s="2" t="s">
        <v>5</v>
      </c>
      <c r="H939" s="2" t="s">
        <v>2548</v>
      </c>
      <c r="I939" s="2" t="s">
        <v>10</v>
      </c>
      <c r="J939" s="2" t="s">
        <v>31</v>
      </c>
      <c r="K939" s="2" t="s">
        <v>1064</v>
      </c>
      <c r="L939" s="2" t="s">
        <v>30</v>
      </c>
      <c r="M939" s="2">
        <v>59</v>
      </c>
      <c r="N939" s="2" t="s">
        <v>14</v>
      </c>
      <c r="T939" s="2" t="s">
        <v>16964</v>
      </c>
    </row>
    <row r="940" spans="1:24" hidden="1">
      <c r="A940" s="3" t="s">
        <v>2791</v>
      </c>
      <c r="B940" s="2" t="s">
        <v>1065</v>
      </c>
      <c r="D940" s="66" t="str">
        <f>VLOOKUP("*"&amp;A940&amp;"*",[2]Sheet1!$G$2:$X$1155,18,FALSE)</f>
        <v>ERR10612195</v>
      </c>
      <c r="E940" s="2">
        <v>2019</v>
      </c>
      <c r="F940" s="2" t="s">
        <v>876</v>
      </c>
      <c r="G940" s="2" t="s">
        <v>5</v>
      </c>
      <c r="H940" s="2" t="s">
        <v>2332</v>
      </c>
      <c r="I940" s="2" t="s">
        <v>6</v>
      </c>
      <c r="J940" s="2" t="s">
        <v>415</v>
      </c>
      <c r="K940" s="2" t="s">
        <v>859</v>
      </c>
      <c r="L940" s="2" t="s">
        <v>414</v>
      </c>
      <c r="M940" s="2">
        <v>204</v>
      </c>
      <c r="N940" s="2" t="s">
        <v>9</v>
      </c>
      <c r="T940" s="2" t="s">
        <v>16964</v>
      </c>
    </row>
    <row r="941" spans="1:24" hidden="1">
      <c r="A941" s="3" t="s">
        <v>2831</v>
      </c>
      <c r="B941" s="2" t="s">
        <v>1066</v>
      </c>
      <c r="D941" s="66" t="str">
        <f>VLOOKUP("*"&amp;A941&amp;"*",[2]Sheet1!$G$2:$X$1155,18,FALSE)</f>
        <v>ERR10612206</v>
      </c>
      <c r="E941" s="2">
        <v>2019</v>
      </c>
      <c r="F941" s="2" t="s">
        <v>876</v>
      </c>
      <c r="G941" s="2" t="s">
        <v>5</v>
      </c>
      <c r="H941" s="2" t="s">
        <v>2548</v>
      </c>
      <c r="I941" s="2" t="s">
        <v>6</v>
      </c>
      <c r="J941" s="2" t="s">
        <v>441</v>
      </c>
      <c r="K941" s="2" t="s">
        <v>1002</v>
      </c>
      <c r="L941" s="2" t="s">
        <v>87</v>
      </c>
      <c r="M941" s="2">
        <v>325</v>
      </c>
      <c r="N941" s="2" t="s">
        <v>9</v>
      </c>
      <c r="T941" s="2" t="s">
        <v>16963</v>
      </c>
      <c r="U941" s="67" t="s">
        <v>2627</v>
      </c>
    </row>
    <row r="942" spans="1:24" hidden="1">
      <c r="A942" s="3" t="s">
        <v>3139</v>
      </c>
      <c r="B942" s="2" t="s">
        <v>1067</v>
      </c>
      <c r="D942" s="66" t="str">
        <f>VLOOKUP("*"&amp;A942&amp;"*",[2]Sheet1!$G$2:$X$1155,18,FALSE)</f>
        <v>ERR10612140</v>
      </c>
      <c r="E942" s="2">
        <v>2019</v>
      </c>
      <c r="F942" s="2" t="s">
        <v>876</v>
      </c>
      <c r="G942" s="2" t="s">
        <v>5</v>
      </c>
      <c r="H942" s="2" t="s">
        <v>2332</v>
      </c>
      <c r="I942" s="2" t="s">
        <v>6</v>
      </c>
      <c r="J942" s="2" t="s">
        <v>8</v>
      </c>
      <c r="K942" s="2" t="s">
        <v>908</v>
      </c>
      <c r="L942" s="2" t="s">
        <v>7</v>
      </c>
      <c r="M942" s="2">
        <v>121</v>
      </c>
      <c r="N942" s="2" t="s">
        <v>9</v>
      </c>
      <c r="T942" s="2" t="s">
        <v>16963</v>
      </c>
      <c r="X942" s="67" t="s">
        <v>4722</v>
      </c>
    </row>
    <row r="943" spans="1:24" hidden="1">
      <c r="A943" s="3" t="s">
        <v>4096</v>
      </c>
      <c r="B943" s="2" t="s">
        <v>1068</v>
      </c>
      <c r="D943" s="66" t="str">
        <f>VLOOKUP("*"&amp;A943&amp;"*",[2]Sheet1!$G$2:$X$1155,18,FALSE)</f>
        <v>ERR10612189</v>
      </c>
      <c r="E943" s="2">
        <v>2019</v>
      </c>
      <c r="F943" s="2" t="s">
        <v>876</v>
      </c>
      <c r="G943" s="2" t="s">
        <v>5</v>
      </c>
      <c r="H943" s="2" t="s">
        <v>2391</v>
      </c>
      <c r="I943" s="2" t="s">
        <v>6</v>
      </c>
      <c r="J943" s="2" t="s">
        <v>889</v>
      </c>
      <c r="K943" s="2" t="s">
        <v>890</v>
      </c>
      <c r="L943" s="2" t="s">
        <v>888</v>
      </c>
      <c r="M943" s="2">
        <v>398</v>
      </c>
      <c r="N943" s="2" t="s">
        <v>9</v>
      </c>
      <c r="T943" s="2" t="s">
        <v>16964</v>
      </c>
    </row>
    <row r="944" spans="1:24" hidden="1">
      <c r="A944" s="3" t="s">
        <v>4168</v>
      </c>
      <c r="B944" s="2" t="s">
        <v>1069</v>
      </c>
      <c r="D944" s="66" t="str">
        <f>VLOOKUP("*"&amp;A944&amp;"*",[2]Sheet1!$G$2:$X$1155,18,FALSE)</f>
        <v>ERR10612164</v>
      </c>
      <c r="E944" s="2">
        <v>2019</v>
      </c>
      <c r="F944" s="2" t="s">
        <v>876</v>
      </c>
      <c r="G944" s="2" t="s">
        <v>5</v>
      </c>
      <c r="H944" s="2" t="s">
        <v>2496</v>
      </c>
      <c r="I944" s="2" t="s">
        <v>10</v>
      </c>
      <c r="J944" s="2" t="s">
        <v>129</v>
      </c>
      <c r="K944" s="2" t="s">
        <v>1070</v>
      </c>
      <c r="L944" s="2" t="s">
        <v>128</v>
      </c>
      <c r="M944" s="2">
        <v>1</v>
      </c>
      <c r="N944" s="2" t="s">
        <v>18</v>
      </c>
      <c r="T944" s="2" t="s">
        <v>16964</v>
      </c>
    </row>
    <row r="945" spans="1:24" hidden="1">
      <c r="A945" s="3" t="s">
        <v>4010</v>
      </c>
      <c r="B945" s="2" t="s">
        <v>1071</v>
      </c>
      <c r="D945" s="66" t="str">
        <f>VLOOKUP("*"&amp;A945&amp;"*",[2]Sheet1!$G$2:$X$1155,18,FALSE)</f>
        <v>ERR10612190</v>
      </c>
      <c r="E945" s="2">
        <v>2019</v>
      </c>
      <c r="F945" s="2" t="s">
        <v>876</v>
      </c>
      <c r="G945" s="2" t="s">
        <v>5</v>
      </c>
      <c r="H945" s="2" t="s">
        <v>2391</v>
      </c>
      <c r="I945" s="2" t="s">
        <v>6</v>
      </c>
      <c r="J945" s="2" t="s">
        <v>889</v>
      </c>
      <c r="K945" s="2" t="s">
        <v>890</v>
      </c>
      <c r="L945" s="2" t="s">
        <v>888</v>
      </c>
      <c r="M945" s="2">
        <v>398</v>
      </c>
      <c r="N945" s="2" t="s">
        <v>9</v>
      </c>
      <c r="T945" s="2" t="s">
        <v>16964</v>
      </c>
    </row>
    <row r="946" spans="1:24" hidden="1">
      <c r="A946" s="3" t="s">
        <v>4042</v>
      </c>
      <c r="B946" s="2" t="s">
        <v>1072</v>
      </c>
      <c r="D946" s="66" t="str">
        <f>VLOOKUP("*"&amp;A946&amp;"*",[2]Sheet1!$G$2:$X$1155,18,FALSE)</f>
        <v>ERR10612168</v>
      </c>
      <c r="E946" s="2">
        <v>2019</v>
      </c>
      <c r="F946" s="2" t="s">
        <v>876</v>
      </c>
      <c r="G946" s="2" t="s">
        <v>5</v>
      </c>
      <c r="H946" s="2" t="s">
        <v>2496</v>
      </c>
      <c r="I946" s="2" t="s">
        <v>6</v>
      </c>
      <c r="J946" s="2" t="s">
        <v>402</v>
      </c>
      <c r="K946" s="2" t="s">
        <v>1073</v>
      </c>
      <c r="L946" s="2" t="s">
        <v>401</v>
      </c>
      <c r="M946" s="2">
        <v>18</v>
      </c>
      <c r="N946" s="2" t="s">
        <v>9</v>
      </c>
      <c r="T946" s="2" t="s">
        <v>16964</v>
      </c>
    </row>
    <row r="947" spans="1:24" hidden="1">
      <c r="A947" s="3" t="s">
        <v>3810</v>
      </c>
      <c r="B947" s="2" t="s">
        <v>1074</v>
      </c>
      <c r="D947" s="66" t="str">
        <f>VLOOKUP("*"&amp;A947&amp;"*",[2]Sheet1!$G$2:$X$1155,18,FALSE)</f>
        <v>ERR10612185</v>
      </c>
      <c r="E947" s="2">
        <v>2019</v>
      </c>
      <c r="F947" s="2" t="s">
        <v>876</v>
      </c>
      <c r="G947" s="2" t="s">
        <v>5</v>
      </c>
      <c r="H947" s="2" t="s">
        <v>2496</v>
      </c>
      <c r="I947" s="2" t="s">
        <v>6</v>
      </c>
      <c r="J947" s="2" t="s">
        <v>20</v>
      </c>
      <c r="K947" s="2" t="s">
        <v>1075</v>
      </c>
      <c r="L947" s="2" t="s">
        <v>19</v>
      </c>
      <c r="M947" s="2">
        <v>9</v>
      </c>
      <c r="O947" s="2">
        <f>VLOOKUP(B947,[1]Sheet1!$B$624:$E$1665,4,FALSE)</f>
        <v>0.2</v>
      </c>
      <c r="P947" s="2" t="s">
        <v>16964</v>
      </c>
      <c r="T947" s="2" t="s">
        <v>16964</v>
      </c>
    </row>
    <row r="948" spans="1:24" hidden="1">
      <c r="A948" s="3" t="s">
        <v>3278</v>
      </c>
      <c r="B948" s="2" t="s">
        <v>1076</v>
      </c>
      <c r="D948" s="66" t="str">
        <f>VLOOKUP("*"&amp;A948&amp;"*",[2]Sheet1!$G$2:$X$1155,18,FALSE)</f>
        <v>ERR10612161</v>
      </c>
      <c r="E948" s="2">
        <v>2019</v>
      </c>
      <c r="F948" s="2" t="s">
        <v>876</v>
      </c>
      <c r="G948" s="2" t="s">
        <v>5</v>
      </c>
      <c r="H948" s="2" t="s">
        <v>2548</v>
      </c>
      <c r="I948" s="2" t="s">
        <v>6</v>
      </c>
      <c r="J948" s="2" t="s">
        <v>1078</v>
      </c>
      <c r="K948" s="2" t="s">
        <v>1079</v>
      </c>
      <c r="L948" s="2" t="s">
        <v>1077</v>
      </c>
      <c r="M948" s="2">
        <v>412</v>
      </c>
      <c r="N948" s="2" t="s">
        <v>9</v>
      </c>
      <c r="O948" s="2">
        <f>VLOOKUP(B948,[1]Sheet1!$B$624:$E$1665,4,FALSE)</f>
        <v>0.2</v>
      </c>
      <c r="P948" s="2" t="s">
        <v>16964</v>
      </c>
      <c r="T948" s="2" t="s">
        <v>16964</v>
      </c>
    </row>
    <row r="949" spans="1:24" hidden="1">
      <c r="A949" s="3" t="s">
        <v>4094</v>
      </c>
      <c r="B949" s="2" t="s">
        <v>1080</v>
      </c>
      <c r="D949" s="66" t="str">
        <f>VLOOKUP("*"&amp;A949&amp;"*",[2]Sheet1!$G$2:$X$1155,18,FALSE)</f>
        <v>ERR10612163</v>
      </c>
      <c r="E949" s="2">
        <v>2019</v>
      </c>
      <c r="F949" s="2" t="s">
        <v>876</v>
      </c>
      <c r="G949" s="2" t="s">
        <v>5</v>
      </c>
      <c r="H949" s="2" t="s">
        <v>2391</v>
      </c>
      <c r="I949" s="2" t="s">
        <v>6</v>
      </c>
      <c r="J949" s="2" t="s">
        <v>889</v>
      </c>
      <c r="K949" s="2" t="s">
        <v>890</v>
      </c>
      <c r="L949" s="2" t="s">
        <v>888</v>
      </c>
      <c r="M949" s="2">
        <v>398</v>
      </c>
      <c r="N949" s="2" t="s">
        <v>9</v>
      </c>
      <c r="T949" s="2" t="s">
        <v>16964</v>
      </c>
    </row>
    <row r="950" spans="1:24" hidden="1">
      <c r="A950" s="3" t="s">
        <v>3688</v>
      </c>
      <c r="B950" s="2" t="s">
        <v>1081</v>
      </c>
      <c r="D950" s="66" t="str">
        <f>VLOOKUP("*"&amp;A950&amp;"*",[2]Sheet1!$G$2:$X$1155,18,FALSE)</f>
        <v>ERR10612192</v>
      </c>
      <c r="E950" s="2">
        <v>2019</v>
      </c>
      <c r="F950" s="2" t="s">
        <v>876</v>
      </c>
      <c r="G950" s="2" t="s">
        <v>5</v>
      </c>
      <c r="H950" s="2" t="s">
        <v>2332</v>
      </c>
      <c r="I950" s="2" t="s">
        <v>6</v>
      </c>
      <c r="J950" s="2" t="s">
        <v>8</v>
      </c>
      <c r="K950" s="2" t="s">
        <v>883</v>
      </c>
      <c r="L950" s="2" t="s">
        <v>7</v>
      </c>
      <c r="M950" s="2">
        <v>121</v>
      </c>
      <c r="N950" s="2" t="s">
        <v>9</v>
      </c>
      <c r="T950" s="2" t="s">
        <v>16963</v>
      </c>
      <c r="X950" s="67" t="s">
        <v>4722</v>
      </c>
    </row>
    <row r="951" spans="1:24" hidden="1">
      <c r="A951" s="3" t="s">
        <v>3576</v>
      </c>
      <c r="B951" s="2" t="s">
        <v>1082</v>
      </c>
      <c r="D951" s="66" t="str">
        <f>VLOOKUP("*"&amp;A951&amp;"*",[2]Sheet1!$G$2:$X$1155,18,FALSE)</f>
        <v>ERR10612139</v>
      </c>
      <c r="E951" s="2">
        <v>2019</v>
      </c>
      <c r="F951" s="2" t="s">
        <v>876</v>
      </c>
      <c r="G951" s="2" t="s">
        <v>5</v>
      </c>
      <c r="H951" s="2" t="s">
        <v>2496</v>
      </c>
      <c r="I951" s="2" t="s">
        <v>6</v>
      </c>
      <c r="J951" s="2" t="s">
        <v>20</v>
      </c>
      <c r="K951" s="2" t="s">
        <v>1083</v>
      </c>
      <c r="L951" s="2" t="s">
        <v>19</v>
      </c>
      <c r="M951" s="2">
        <v>9</v>
      </c>
      <c r="N951" s="2" t="s">
        <v>21</v>
      </c>
      <c r="T951" s="2" t="s">
        <v>16963</v>
      </c>
      <c r="U951" s="67" t="s">
        <v>2627</v>
      </c>
    </row>
    <row r="952" spans="1:24" hidden="1">
      <c r="A952" s="3" t="s">
        <v>2813</v>
      </c>
      <c r="B952" s="2" t="s">
        <v>1084</v>
      </c>
      <c r="D952" s="66" t="str">
        <f>VLOOKUP("*"&amp;A952&amp;"*",[2]Sheet1!$G$2:$X$1155,18,FALSE)</f>
        <v>ERR10612204</v>
      </c>
      <c r="E952" s="2">
        <v>2019</v>
      </c>
      <c r="F952" s="2" t="s">
        <v>876</v>
      </c>
      <c r="G952" s="2" t="s">
        <v>5</v>
      </c>
      <c r="H952" s="2" t="s">
        <v>2548</v>
      </c>
      <c r="I952" s="2" t="s">
        <v>6</v>
      </c>
      <c r="J952" s="2" t="s">
        <v>441</v>
      </c>
      <c r="K952" s="2" t="s">
        <v>1002</v>
      </c>
      <c r="L952" s="2" t="s">
        <v>87</v>
      </c>
      <c r="M952" s="2">
        <v>325</v>
      </c>
      <c r="N952" s="2" t="s">
        <v>9</v>
      </c>
      <c r="T952" s="2" t="s">
        <v>16963</v>
      </c>
      <c r="U952" s="67" t="s">
        <v>2627</v>
      </c>
    </row>
    <row r="953" spans="1:24" hidden="1">
      <c r="A953" s="3" t="s">
        <v>2850</v>
      </c>
      <c r="B953" s="2" t="s">
        <v>1085</v>
      </c>
      <c r="D953" s="66" t="str">
        <f>VLOOKUP("*"&amp;A953&amp;"*",[2]Sheet1!$G$2:$X$1155,18,FALSE)</f>
        <v>ERR10612197</v>
      </c>
      <c r="E953" s="2">
        <v>2019</v>
      </c>
      <c r="F953" s="2" t="s">
        <v>876</v>
      </c>
      <c r="G953" s="2" t="s">
        <v>5</v>
      </c>
      <c r="H953" s="2" t="s">
        <v>2391</v>
      </c>
      <c r="I953" s="2" t="s">
        <v>6</v>
      </c>
      <c r="J953" s="2" t="s">
        <v>879</v>
      </c>
      <c r="K953" s="2" t="s">
        <v>880</v>
      </c>
      <c r="L953" s="2" t="s">
        <v>23</v>
      </c>
      <c r="M953" s="2">
        <v>206</v>
      </c>
      <c r="N953" s="2" t="s">
        <v>9</v>
      </c>
      <c r="T953" s="2" t="s">
        <v>16964</v>
      </c>
    </row>
    <row r="954" spans="1:24" hidden="1">
      <c r="A954" s="3" t="s">
        <v>3687</v>
      </c>
      <c r="B954" s="2" t="s">
        <v>1086</v>
      </c>
      <c r="D954" s="66" t="str">
        <f>VLOOKUP("*"&amp;A954&amp;"*",[2]Sheet1!$G$2:$X$1155,18,FALSE)</f>
        <v>ERR10612172</v>
      </c>
      <c r="E954" s="2">
        <v>2019</v>
      </c>
      <c r="F954" s="2" t="s">
        <v>876</v>
      </c>
      <c r="G954" s="2" t="s">
        <v>5</v>
      </c>
      <c r="H954" s="2" t="s">
        <v>2332</v>
      </c>
      <c r="I954" s="2" t="s">
        <v>6</v>
      </c>
      <c r="J954" s="2" t="s">
        <v>8</v>
      </c>
      <c r="K954" s="2" t="s">
        <v>883</v>
      </c>
      <c r="L954" s="2" t="s">
        <v>7</v>
      </c>
      <c r="M954" s="2">
        <v>121</v>
      </c>
      <c r="N954" s="2" t="s">
        <v>9</v>
      </c>
      <c r="T954" s="2" t="s">
        <v>16963</v>
      </c>
      <c r="X954" s="67" t="s">
        <v>4722</v>
      </c>
    </row>
    <row r="955" spans="1:24" hidden="1">
      <c r="A955" s="3" t="s">
        <v>3216</v>
      </c>
      <c r="B955" s="2" t="s">
        <v>1087</v>
      </c>
      <c r="D955" s="66" t="str">
        <f>VLOOKUP("*"&amp;A955&amp;"*",[2]Sheet1!$G$2:$X$1155,18,FALSE)</f>
        <v>ERR10612191</v>
      </c>
      <c r="E955" s="2">
        <v>2019</v>
      </c>
      <c r="F955" s="2" t="s">
        <v>876</v>
      </c>
      <c r="G955" s="2" t="s">
        <v>5</v>
      </c>
      <c r="H955" s="2" t="s">
        <v>2496</v>
      </c>
      <c r="I955" s="2" t="s">
        <v>6</v>
      </c>
      <c r="J955" s="2" t="s">
        <v>29</v>
      </c>
      <c r="K955" s="2" t="s">
        <v>1088</v>
      </c>
      <c r="L955" s="2" t="s">
        <v>28</v>
      </c>
      <c r="M955" s="2">
        <v>8</v>
      </c>
      <c r="N955" s="2" t="s">
        <v>9</v>
      </c>
      <c r="T955" s="2" t="s">
        <v>16964</v>
      </c>
    </row>
    <row r="956" spans="1:24" hidden="1">
      <c r="A956" s="3" t="s">
        <v>4107</v>
      </c>
      <c r="B956" s="2" t="s">
        <v>1089</v>
      </c>
      <c r="D956" s="66" t="str">
        <f>VLOOKUP("*"&amp;A956&amp;"*",[2]Sheet1!$G$2:$X$1155,18,FALSE)</f>
        <v>ERR10612144</v>
      </c>
      <c r="E956" s="2">
        <v>2019</v>
      </c>
      <c r="F956" s="2" t="s">
        <v>876</v>
      </c>
      <c r="G956" s="2" t="s">
        <v>5</v>
      </c>
      <c r="H956" s="2" t="s">
        <v>2548</v>
      </c>
      <c r="I956" s="2" t="s">
        <v>6</v>
      </c>
      <c r="J956" s="2" t="s">
        <v>398</v>
      </c>
      <c r="K956" s="2" t="s">
        <v>1090</v>
      </c>
      <c r="L956" s="2" t="s">
        <v>397</v>
      </c>
      <c r="M956" s="2">
        <v>26</v>
      </c>
      <c r="N956" s="2" t="s">
        <v>9</v>
      </c>
      <c r="T956" s="2" t="s">
        <v>16964</v>
      </c>
    </row>
    <row r="957" spans="1:24" hidden="1">
      <c r="A957" s="3" t="s">
        <v>3286</v>
      </c>
      <c r="B957" s="2" t="s">
        <v>1499</v>
      </c>
      <c r="D957" s="66" t="str">
        <f>VLOOKUP("*"&amp;A957&amp;"*",[2]Sheet1!$G$2:$X$1155,18,FALSE)</f>
        <v>ERR10549664</v>
      </c>
      <c r="E957" s="2">
        <v>2019</v>
      </c>
      <c r="F957" s="2" t="s">
        <v>876</v>
      </c>
      <c r="G957" s="2" t="s">
        <v>5</v>
      </c>
      <c r="H957" s="2" t="s">
        <v>1500</v>
      </c>
      <c r="I957" s="2" t="s">
        <v>10</v>
      </c>
      <c r="J957" s="2" t="s">
        <v>31</v>
      </c>
      <c r="K957" s="2" t="s">
        <v>1064</v>
      </c>
      <c r="L957" s="2" t="s">
        <v>30</v>
      </c>
      <c r="M957" s="2">
        <v>59</v>
      </c>
      <c r="N957" s="2" t="s">
        <v>14</v>
      </c>
      <c r="O957" s="2">
        <f>VLOOKUP(B957,[1]Sheet1!$B$624:$E$1665,4,FALSE)</f>
        <v>0.2</v>
      </c>
      <c r="P957" s="2" t="s">
        <v>16964</v>
      </c>
      <c r="T957" s="2" t="s">
        <v>16964</v>
      </c>
    </row>
    <row r="958" spans="1:24" hidden="1">
      <c r="A958" s="3" t="s">
        <v>3905</v>
      </c>
      <c r="B958" s="2" t="s">
        <v>1091</v>
      </c>
      <c r="D958" s="66" t="str">
        <f>VLOOKUP("*"&amp;A958&amp;"*",[2]Sheet1!$G$2:$X$1155,18,FALSE)</f>
        <v>ERR10612198</v>
      </c>
      <c r="E958" s="2">
        <v>2019</v>
      </c>
      <c r="F958" s="2" t="s">
        <v>876</v>
      </c>
      <c r="G958" s="2" t="s">
        <v>5</v>
      </c>
      <c r="H958" s="2" t="s">
        <v>2332</v>
      </c>
      <c r="I958" s="2" t="s">
        <v>6</v>
      </c>
      <c r="J958" s="2" t="s">
        <v>20</v>
      </c>
      <c r="K958" s="2" t="s">
        <v>4710</v>
      </c>
      <c r="L958" s="2" t="s">
        <v>19</v>
      </c>
      <c r="M958" s="2">
        <v>9</v>
      </c>
      <c r="N958" s="2" t="s">
        <v>21</v>
      </c>
      <c r="T958" s="2" t="s">
        <v>16964</v>
      </c>
    </row>
    <row r="959" spans="1:24" hidden="1">
      <c r="A959" s="3" t="s">
        <v>3154</v>
      </c>
      <c r="B959" s="2" t="s">
        <v>1092</v>
      </c>
      <c r="D959" s="66" t="str">
        <f>VLOOKUP("*"&amp;A959&amp;"*",[2]Sheet1!$G$2:$X$1155,18,FALSE)</f>
        <v>ERR10612125</v>
      </c>
      <c r="E959" s="2">
        <v>2014</v>
      </c>
      <c r="F959" s="2" t="s">
        <v>876</v>
      </c>
      <c r="G959" s="2" t="s">
        <v>5</v>
      </c>
      <c r="H959" s="2" t="s">
        <v>1475</v>
      </c>
      <c r="I959" s="2" t="s">
        <v>6</v>
      </c>
      <c r="J959" s="2" t="s">
        <v>603</v>
      </c>
      <c r="K959" s="2" t="s">
        <v>1093</v>
      </c>
      <c r="L959" s="2" t="s">
        <v>87</v>
      </c>
      <c r="M959" s="2">
        <v>31</v>
      </c>
      <c r="N959" s="2" t="s">
        <v>9</v>
      </c>
      <c r="O959" s="2">
        <f>VLOOKUP(B959,[1]Sheet1!$B$624:$E$1665,4,FALSE)</f>
        <v>0.8</v>
      </c>
      <c r="P959" s="2" t="s">
        <v>16963</v>
      </c>
      <c r="T959" s="2" t="s">
        <v>16963</v>
      </c>
      <c r="V959" s="67" t="s">
        <v>2627</v>
      </c>
    </row>
    <row r="960" spans="1:24" hidden="1">
      <c r="A960" s="3" t="s">
        <v>3904</v>
      </c>
      <c r="B960" s="2" t="s">
        <v>881</v>
      </c>
      <c r="D960" s="66" t="str">
        <f>VLOOKUP("*"&amp;A960&amp;"*",[2]Sheet1!$G$2:$X$1155,18,FALSE)</f>
        <v>ERR10612167</v>
      </c>
      <c r="E960" s="2">
        <v>2020</v>
      </c>
      <c r="F960" s="2" t="s">
        <v>876</v>
      </c>
      <c r="G960" s="2" t="s">
        <v>5</v>
      </c>
      <c r="H960" s="2" t="s">
        <v>2332</v>
      </c>
      <c r="I960" s="2" t="s">
        <v>6</v>
      </c>
      <c r="J960" s="2" t="s">
        <v>20</v>
      </c>
      <c r="K960" s="2" t="s">
        <v>4710</v>
      </c>
      <c r="L960" s="2" t="s">
        <v>19</v>
      </c>
      <c r="M960" s="2">
        <v>9</v>
      </c>
      <c r="N960" s="2" t="s">
        <v>21</v>
      </c>
      <c r="T960" s="2" t="s">
        <v>16964</v>
      </c>
    </row>
    <row r="961" spans="1:24" hidden="1">
      <c r="A961" s="3" t="s">
        <v>3692</v>
      </c>
      <c r="B961" s="2" t="s">
        <v>882</v>
      </c>
      <c r="D961" s="66" t="str">
        <f>VLOOKUP("*"&amp;A961&amp;"*",[2]Sheet1!$G$2:$X$1155,18,FALSE)</f>
        <v>ERR10612171</v>
      </c>
      <c r="E961" s="2">
        <v>2020</v>
      </c>
      <c r="F961" s="2" t="s">
        <v>876</v>
      </c>
      <c r="G961" s="2" t="s">
        <v>5</v>
      </c>
      <c r="H961" s="2" t="s">
        <v>2332</v>
      </c>
      <c r="I961" s="2" t="s">
        <v>6</v>
      </c>
      <c r="J961" s="2" t="s">
        <v>8</v>
      </c>
      <c r="K961" s="2" t="s">
        <v>883</v>
      </c>
      <c r="L961" s="2" t="s">
        <v>7</v>
      </c>
      <c r="M961" s="2">
        <v>121</v>
      </c>
      <c r="N961" s="2" t="s">
        <v>9</v>
      </c>
      <c r="T961" s="2" t="s">
        <v>16963</v>
      </c>
      <c r="X961" s="67" t="s">
        <v>4722</v>
      </c>
    </row>
    <row r="962" spans="1:24" hidden="1">
      <c r="A962" s="3" t="s">
        <v>3137</v>
      </c>
      <c r="B962" s="2" t="s">
        <v>884</v>
      </c>
      <c r="D962" s="66" t="str">
        <f>VLOOKUP("*"&amp;A962&amp;"*",[2]Sheet1!$G$2:$X$1155,18,FALSE)</f>
        <v>ERR10612178</v>
      </c>
      <c r="E962" s="2">
        <v>2020</v>
      </c>
      <c r="F962" s="2" t="s">
        <v>876</v>
      </c>
      <c r="G962" s="2" t="s">
        <v>5</v>
      </c>
      <c r="H962" s="2" t="s">
        <v>2548</v>
      </c>
      <c r="I962" s="2" t="s">
        <v>6</v>
      </c>
      <c r="J962" s="2" t="s">
        <v>8</v>
      </c>
      <c r="K962" s="2" t="s">
        <v>885</v>
      </c>
      <c r="L962" s="2" t="s">
        <v>7</v>
      </c>
      <c r="M962" s="2">
        <v>121</v>
      </c>
      <c r="N962" s="2" t="s">
        <v>9</v>
      </c>
      <c r="T962" s="2" t="s">
        <v>16963</v>
      </c>
      <c r="X962" s="67" t="s">
        <v>4722</v>
      </c>
    </row>
    <row r="963" spans="1:24" hidden="1">
      <c r="A963" s="3" t="s">
        <v>3031</v>
      </c>
      <c r="B963" s="2" t="s">
        <v>886</v>
      </c>
      <c r="D963" s="66" t="str">
        <f>VLOOKUP("*"&amp;A963&amp;"*",[2]Sheet1!$G$2:$X$1155,18,FALSE)</f>
        <v>ERR10612153</v>
      </c>
      <c r="E963" s="2">
        <v>2020</v>
      </c>
      <c r="F963" s="2" t="s">
        <v>876</v>
      </c>
      <c r="G963" s="2" t="s">
        <v>5</v>
      </c>
      <c r="H963" s="2" t="s">
        <v>2496</v>
      </c>
      <c r="I963" s="2" t="s">
        <v>6</v>
      </c>
      <c r="J963" s="2" t="s">
        <v>8</v>
      </c>
      <c r="K963" s="2" t="s">
        <v>885</v>
      </c>
      <c r="L963" s="2" t="s">
        <v>7</v>
      </c>
      <c r="M963" s="2">
        <v>121</v>
      </c>
      <c r="N963" s="2" t="s">
        <v>9</v>
      </c>
      <c r="T963" s="2" t="s">
        <v>16963</v>
      </c>
      <c r="X963" s="67" t="s">
        <v>4722</v>
      </c>
    </row>
    <row r="964" spans="1:24" hidden="1">
      <c r="A964" s="3" t="s">
        <v>4097</v>
      </c>
      <c r="B964" s="2" t="s">
        <v>887</v>
      </c>
      <c r="D964" s="66" t="str">
        <f>VLOOKUP("*"&amp;A964&amp;"*",[2]Sheet1!$G$2:$X$1155,18,FALSE)</f>
        <v>ERR10612181</v>
      </c>
      <c r="E964" s="2">
        <v>2020</v>
      </c>
      <c r="F964" s="2" t="s">
        <v>876</v>
      </c>
      <c r="G964" s="2" t="s">
        <v>5</v>
      </c>
      <c r="H964" s="2" t="s">
        <v>2391</v>
      </c>
      <c r="I964" s="2" t="s">
        <v>6</v>
      </c>
      <c r="J964" s="2" t="s">
        <v>889</v>
      </c>
      <c r="K964" s="2" t="s">
        <v>890</v>
      </c>
      <c r="L964" s="2" t="s">
        <v>888</v>
      </c>
      <c r="M964" s="2">
        <v>398</v>
      </c>
      <c r="N964" s="2" t="s">
        <v>9</v>
      </c>
      <c r="O964" s="2">
        <f>VLOOKUP(B964,[1]Sheet1!$B$624:$E$1665,4,FALSE)</f>
        <v>0.2</v>
      </c>
      <c r="P964" s="2" t="s">
        <v>16964</v>
      </c>
      <c r="T964" s="2" t="s">
        <v>16964</v>
      </c>
    </row>
    <row r="965" spans="1:24" hidden="1">
      <c r="A965" s="3" t="s">
        <v>3906</v>
      </c>
      <c r="B965" s="2" t="s">
        <v>891</v>
      </c>
      <c r="D965" s="66" t="str">
        <f>VLOOKUP("*"&amp;A965&amp;"*",[2]Sheet1!$G$2:$X$1155,18,FALSE)</f>
        <v>ERR10612177</v>
      </c>
      <c r="E965" s="2">
        <v>2020</v>
      </c>
      <c r="F965" s="2" t="s">
        <v>876</v>
      </c>
      <c r="G965" s="2" t="s">
        <v>5</v>
      </c>
      <c r="H965" s="2" t="s">
        <v>2332</v>
      </c>
      <c r="I965" s="2" t="s">
        <v>6</v>
      </c>
      <c r="J965" s="2" t="s">
        <v>20</v>
      </c>
      <c r="K965" s="2" t="s">
        <v>4710</v>
      </c>
      <c r="L965" s="2" t="s">
        <v>19</v>
      </c>
      <c r="M965" s="2">
        <v>9</v>
      </c>
      <c r="N965" s="2" t="s">
        <v>21</v>
      </c>
      <c r="T965" s="2" t="s">
        <v>16964</v>
      </c>
    </row>
    <row r="966" spans="1:24" hidden="1">
      <c r="A966" s="3" t="s">
        <v>3808</v>
      </c>
      <c r="B966" s="2" t="s">
        <v>892</v>
      </c>
      <c r="D966" s="66" t="str">
        <f>VLOOKUP("*"&amp;A966&amp;"*",[2]Sheet1!$G$2:$X$1155,18,FALSE)</f>
        <v>ERR10612155</v>
      </c>
      <c r="E966" s="2">
        <v>2020</v>
      </c>
      <c r="F966" s="2" t="s">
        <v>876</v>
      </c>
      <c r="G966" s="2" t="s">
        <v>5</v>
      </c>
      <c r="H966" s="2" t="s">
        <v>2332</v>
      </c>
      <c r="I966" s="2" t="s">
        <v>6</v>
      </c>
      <c r="J966" s="2" t="s">
        <v>20</v>
      </c>
      <c r="K966" s="2" t="s">
        <v>4710</v>
      </c>
      <c r="L966" s="2" t="s">
        <v>19</v>
      </c>
      <c r="M966" s="2">
        <v>9</v>
      </c>
      <c r="N966" s="2" t="s">
        <v>21</v>
      </c>
      <c r="T966" s="2" t="s">
        <v>16964</v>
      </c>
    </row>
    <row r="967" spans="1:24" hidden="1">
      <c r="A967" s="3" t="s">
        <v>2848</v>
      </c>
      <c r="B967" s="2" t="s">
        <v>893</v>
      </c>
      <c r="D967" s="66" t="str">
        <f>VLOOKUP("*"&amp;A967&amp;"*",[2]Sheet1!$G$2:$X$1155,18,FALSE)</f>
        <v>ERR10612154</v>
      </c>
      <c r="E967" s="2">
        <v>2020</v>
      </c>
      <c r="F967" s="2" t="s">
        <v>876</v>
      </c>
      <c r="G967" s="2" t="s">
        <v>5</v>
      </c>
      <c r="H967" s="2" t="s">
        <v>2391</v>
      </c>
      <c r="I967" s="2" t="s">
        <v>6</v>
      </c>
      <c r="J967" s="2" t="s">
        <v>879</v>
      </c>
      <c r="K967" s="2" t="s">
        <v>880</v>
      </c>
      <c r="L967" s="2" t="s">
        <v>23</v>
      </c>
      <c r="M967" s="2">
        <v>206</v>
      </c>
      <c r="N967" s="2" t="s">
        <v>9</v>
      </c>
      <c r="T967" s="2" t="s">
        <v>16964</v>
      </c>
    </row>
    <row r="968" spans="1:24" hidden="1">
      <c r="A968" s="3" t="s">
        <v>3918</v>
      </c>
      <c r="B968" s="2" t="s">
        <v>894</v>
      </c>
      <c r="D968" s="66" t="str">
        <f>VLOOKUP("*"&amp;A968&amp;"*",[2]Sheet1!$G$2:$X$1155,18,FALSE)</f>
        <v>ERR10612175</v>
      </c>
      <c r="E968" s="2">
        <v>2020</v>
      </c>
      <c r="F968" s="2" t="s">
        <v>876</v>
      </c>
      <c r="G968" s="2" t="s">
        <v>5</v>
      </c>
      <c r="H968" s="2" t="s">
        <v>2332</v>
      </c>
      <c r="I968" s="2" t="s">
        <v>6</v>
      </c>
      <c r="J968" s="2" t="s">
        <v>8</v>
      </c>
      <c r="K968" s="2" t="s">
        <v>883</v>
      </c>
      <c r="L968" s="2" t="s">
        <v>7</v>
      </c>
      <c r="M968" s="2">
        <v>121</v>
      </c>
      <c r="N968" s="2" t="s">
        <v>9</v>
      </c>
      <c r="T968" s="2" t="s">
        <v>16963</v>
      </c>
      <c r="X968" s="67" t="s">
        <v>4722</v>
      </c>
    </row>
    <row r="969" spans="1:24" hidden="1">
      <c r="A969" s="3" t="s">
        <v>4373</v>
      </c>
      <c r="B969" s="2" t="s">
        <v>895</v>
      </c>
      <c r="D969" s="66" t="str">
        <f>VLOOKUP("*"&amp;A969&amp;"*",[2]Sheet1!$G$2:$X$1155,18,FALSE)</f>
        <v>ERR10612158</v>
      </c>
      <c r="E969" s="2">
        <v>2020</v>
      </c>
      <c r="F969" s="2" t="s">
        <v>876</v>
      </c>
      <c r="G969" s="2" t="s">
        <v>5</v>
      </c>
      <c r="H969" s="2" t="s">
        <v>2496</v>
      </c>
      <c r="I969" s="2" t="s">
        <v>10</v>
      </c>
      <c r="J969" s="2" t="s">
        <v>765</v>
      </c>
      <c r="K969" s="2" t="s">
        <v>896</v>
      </c>
      <c r="L969" s="2" t="s">
        <v>764</v>
      </c>
      <c r="M969" s="2">
        <v>4</v>
      </c>
      <c r="N969" s="2" t="s">
        <v>18</v>
      </c>
      <c r="O969" s="2">
        <f>VLOOKUP(B969,[1]Sheet1!$B$624:$E$1665,4,FALSE)</f>
        <v>0.4</v>
      </c>
      <c r="P969" s="2" t="s">
        <v>16964</v>
      </c>
      <c r="T969" s="2" t="s">
        <v>16964</v>
      </c>
    </row>
    <row r="970" spans="1:24" hidden="1">
      <c r="A970" s="3" t="s">
        <v>3543</v>
      </c>
      <c r="B970" s="2" t="s">
        <v>898</v>
      </c>
      <c r="D970" s="66" t="str">
        <f>VLOOKUP("*"&amp;A970&amp;"*",[2]Sheet1!$G$2:$X$1155,18,FALSE)</f>
        <v>ERR10612180</v>
      </c>
      <c r="E970" s="2">
        <v>2020</v>
      </c>
      <c r="F970" s="2" t="s">
        <v>876</v>
      </c>
      <c r="G970" s="2" t="s">
        <v>5</v>
      </c>
      <c r="H970" s="2" t="s">
        <v>2496</v>
      </c>
      <c r="I970" s="2" t="s">
        <v>6</v>
      </c>
      <c r="J970" s="2" t="s">
        <v>40</v>
      </c>
      <c r="K970" s="2" t="s">
        <v>899</v>
      </c>
      <c r="L970" s="2" t="s">
        <v>39</v>
      </c>
      <c r="M970" s="2">
        <v>37</v>
      </c>
      <c r="N970" s="2" t="s">
        <v>9</v>
      </c>
      <c r="T970" s="2" t="s">
        <v>16964</v>
      </c>
    </row>
    <row r="971" spans="1:24" hidden="1">
      <c r="A971" s="3" t="s">
        <v>4009</v>
      </c>
      <c r="B971" s="2" t="s">
        <v>900</v>
      </c>
      <c r="D971" s="66" t="str">
        <f>VLOOKUP("*"&amp;A971&amp;"*",[2]Sheet1!$G$2:$X$1155,18,FALSE)</f>
        <v>ERR10612202</v>
      </c>
      <c r="E971" s="2">
        <v>2020</v>
      </c>
      <c r="F971" s="2" t="s">
        <v>876</v>
      </c>
      <c r="G971" s="2" t="s">
        <v>5</v>
      </c>
      <c r="H971" s="2" t="s">
        <v>2391</v>
      </c>
      <c r="I971" s="2" t="s">
        <v>6</v>
      </c>
      <c r="J971" s="2" t="s">
        <v>889</v>
      </c>
      <c r="K971" s="2" t="s">
        <v>890</v>
      </c>
      <c r="L971" s="2" t="s">
        <v>888</v>
      </c>
      <c r="M971" s="2">
        <v>398</v>
      </c>
      <c r="N971" s="2" t="s">
        <v>9</v>
      </c>
      <c r="T971" s="2" t="s">
        <v>16964</v>
      </c>
    </row>
    <row r="972" spans="1:24" hidden="1">
      <c r="A972" s="3" t="s">
        <v>3007</v>
      </c>
      <c r="B972" s="2" t="s">
        <v>903</v>
      </c>
      <c r="D972" s="66" t="str">
        <f>VLOOKUP("*"&amp;A972&amp;"*",[2]Sheet1!$G$2:$X$1155,18,FALSE)</f>
        <v>ERR10612222</v>
      </c>
      <c r="E972" s="2">
        <v>2020</v>
      </c>
      <c r="F972" s="2" t="s">
        <v>876</v>
      </c>
      <c r="G972" s="2" t="s">
        <v>5</v>
      </c>
      <c r="H972" s="2" t="s">
        <v>2391</v>
      </c>
      <c r="I972" s="2" t="s">
        <v>6</v>
      </c>
      <c r="J972" s="2" t="s">
        <v>20</v>
      </c>
      <c r="K972" s="2" t="s">
        <v>904</v>
      </c>
      <c r="L972" s="2" t="s">
        <v>19</v>
      </c>
      <c r="M972" s="2">
        <v>9</v>
      </c>
      <c r="N972" s="2" t="s">
        <v>21</v>
      </c>
      <c r="O972" s="2">
        <f>VLOOKUP(B972,[1]Sheet1!$B$624:$E$1665,4,FALSE)</f>
        <v>0.8</v>
      </c>
      <c r="P972" s="2" t="s">
        <v>16963</v>
      </c>
      <c r="T972" s="2" t="s">
        <v>16963</v>
      </c>
      <c r="X972" s="67" t="s">
        <v>4724</v>
      </c>
    </row>
    <row r="973" spans="1:24" hidden="1">
      <c r="A973" s="3" t="s">
        <v>4238</v>
      </c>
      <c r="B973" s="2" t="s">
        <v>1111</v>
      </c>
      <c r="D973" s="66" t="str">
        <f>VLOOKUP("*"&amp;A973&amp;"*",[2]Sheet1!$G$2:$X$1155,18,FALSE)</f>
        <v>ERR10611995</v>
      </c>
      <c r="E973" s="2">
        <v>2012</v>
      </c>
      <c r="F973" s="2" t="s">
        <v>1112</v>
      </c>
      <c r="G973" s="2" t="s">
        <v>270</v>
      </c>
      <c r="I973" s="2" t="s">
        <v>10</v>
      </c>
      <c r="J973" s="2" t="s">
        <v>129</v>
      </c>
      <c r="K973" s="2" t="s">
        <v>1113</v>
      </c>
      <c r="L973" s="2" t="s">
        <v>128</v>
      </c>
      <c r="M973" s="2">
        <v>1</v>
      </c>
      <c r="N973" s="2" t="s">
        <v>18</v>
      </c>
      <c r="T973" s="2" t="s">
        <v>16964</v>
      </c>
    </row>
    <row r="974" spans="1:24" hidden="1">
      <c r="A974" s="3" t="s">
        <v>4239</v>
      </c>
      <c r="B974" s="2" t="s">
        <v>1114</v>
      </c>
      <c r="D974" s="66" t="str">
        <f>VLOOKUP("*"&amp;A974&amp;"*",[2]Sheet1!$G$2:$X$1155,18,FALSE)</f>
        <v>ERR10611969</v>
      </c>
      <c r="E974" s="2">
        <v>2012</v>
      </c>
      <c r="F974" s="2" t="s">
        <v>1112</v>
      </c>
      <c r="G974" s="2" t="s">
        <v>270</v>
      </c>
      <c r="I974" s="2" t="s">
        <v>10</v>
      </c>
      <c r="J974" s="2" t="s">
        <v>129</v>
      </c>
      <c r="K974" s="2" t="s">
        <v>1113</v>
      </c>
      <c r="L974" s="2" t="s">
        <v>128</v>
      </c>
      <c r="M974" s="2">
        <v>1</v>
      </c>
      <c r="N974" s="2" t="s">
        <v>18</v>
      </c>
      <c r="T974" s="2" t="s">
        <v>16964</v>
      </c>
    </row>
    <row r="975" spans="1:24" hidden="1">
      <c r="A975" s="3" t="s">
        <v>4374</v>
      </c>
      <c r="B975" s="2" t="s">
        <v>1115</v>
      </c>
      <c r="D975" s="66" t="str">
        <f>VLOOKUP("*"&amp;A975&amp;"*",[2]Sheet1!$G$2:$X$1155,18,FALSE)</f>
        <v>ERR10612013</v>
      </c>
      <c r="E975" s="2">
        <v>2012</v>
      </c>
      <c r="F975" s="2" t="s">
        <v>1112</v>
      </c>
      <c r="G975" s="2" t="s">
        <v>270</v>
      </c>
      <c r="I975" s="2" t="s">
        <v>10</v>
      </c>
      <c r="J975" s="2" t="s">
        <v>765</v>
      </c>
      <c r="K975" s="2" t="s">
        <v>1116</v>
      </c>
      <c r="L975" s="2" t="s">
        <v>764</v>
      </c>
      <c r="M975" s="2">
        <v>4</v>
      </c>
      <c r="N975" s="2" t="s">
        <v>18</v>
      </c>
      <c r="T975" s="2" t="s">
        <v>16964</v>
      </c>
    </row>
    <row r="976" spans="1:24" hidden="1">
      <c r="A976" s="3" t="s">
        <v>4369</v>
      </c>
      <c r="B976" s="2" t="s">
        <v>1117</v>
      </c>
      <c r="D976" s="66" t="str">
        <f>VLOOKUP("*"&amp;A976&amp;"*",[2]Sheet1!$G$2:$X$1155,18,FALSE)</f>
        <v>ERR10611970</v>
      </c>
      <c r="E976" s="2">
        <v>2012</v>
      </c>
      <c r="F976" s="2" t="s">
        <v>1112</v>
      </c>
      <c r="G976" s="2" t="s">
        <v>270</v>
      </c>
      <c r="I976" s="2" t="s">
        <v>10</v>
      </c>
      <c r="J976" s="2" t="s">
        <v>765</v>
      </c>
      <c r="K976" s="2" t="s">
        <v>1118</v>
      </c>
      <c r="L976" s="2" t="s">
        <v>764</v>
      </c>
      <c r="M976" s="2">
        <v>4</v>
      </c>
      <c r="N976" s="2" t="s">
        <v>18</v>
      </c>
      <c r="T976" s="2" t="s">
        <v>16964</v>
      </c>
    </row>
    <row r="977" spans="1:20" hidden="1">
      <c r="A977" s="3" t="s">
        <v>4263</v>
      </c>
      <c r="B977" s="2" t="s">
        <v>1119</v>
      </c>
      <c r="D977" s="66" t="str">
        <f>VLOOKUP("*"&amp;A977&amp;"*",[2]Sheet1!$G$2:$X$1155,18,FALSE)</f>
        <v>ERR10612002</v>
      </c>
      <c r="E977" s="2">
        <v>2012</v>
      </c>
      <c r="F977" s="2" t="s">
        <v>1112</v>
      </c>
      <c r="G977" s="2" t="s">
        <v>270</v>
      </c>
      <c r="I977" s="2" t="s">
        <v>10</v>
      </c>
      <c r="J977" s="2" t="s">
        <v>129</v>
      </c>
      <c r="K977" s="2" t="s">
        <v>1120</v>
      </c>
      <c r="L977" s="2" t="s">
        <v>128</v>
      </c>
      <c r="M977" s="2">
        <v>1</v>
      </c>
      <c r="N977" s="2" t="s">
        <v>18</v>
      </c>
      <c r="T977" s="2" t="s">
        <v>16964</v>
      </c>
    </row>
    <row r="978" spans="1:20" hidden="1">
      <c r="A978" s="3" t="s">
        <v>2989</v>
      </c>
      <c r="B978" s="2" t="s">
        <v>1121</v>
      </c>
      <c r="D978" s="66" t="str">
        <f>VLOOKUP("*"&amp;A978&amp;"*",[2]Sheet1!$G$2:$X$1155,18,FALSE)</f>
        <v>ERR10611994</v>
      </c>
      <c r="E978" s="2">
        <v>2012</v>
      </c>
      <c r="F978" s="2" t="s">
        <v>1112</v>
      </c>
      <c r="G978" s="2" t="s">
        <v>270</v>
      </c>
      <c r="I978" s="2" t="s">
        <v>6</v>
      </c>
      <c r="J978" s="2" t="s">
        <v>115</v>
      </c>
      <c r="K978" s="2" t="s">
        <v>1122</v>
      </c>
      <c r="L978" s="2" t="s">
        <v>114</v>
      </c>
      <c r="M978" s="2">
        <v>21</v>
      </c>
      <c r="N978" s="2" t="s">
        <v>9</v>
      </c>
      <c r="T978" s="2" t="s">
        <v>16964</v>
      </c>
    </row>
    <row r="979" spans="1:20" hidden="1">
      <c r="A979" s="3" t="s">
        <v>3064</v>
      </c>
      <c r="B979" s="2" t="s">
        <v>1123</v>
      </c>
      <c r="D979" s="66" t="str">
        <f>VLOOKUP("*"&amp;A979&amp;"*",[2]Sheet1!$G$2:$X$1155,18,FALSE)</f>
        <v>ERR10611974</v>
      </c>
      <c r="E979" s="2">
        <v>2016</v>
      </c>
      <c r="F979" s="2" t="s">
        <v>1112</v>
      </c>
      <c r="G979" s="2" t="s">
        <v>318</v>
      </c>
      <c r="I979" s="2" t="s">
        <v>6</v>
      </c>
      <c r="J979" s="2" t="s">
        <v>115</v>
      </c>
      <c r="K979" s="2" t="s">
        <v>1124</v>
      </c>
      <c r="L979" s="2" t="s">
        <v>114</v>
      </c>
      <c r="M979" s="2">
        <v>1303</v>
      </c>
      <c r="N979" s="2" t="s">
        <v>9</v>
      </c>
      <c r="T979" s="2" t="s">
        <v>16964</v>
      </c>
    </row>
    <row r="980" spans="1:20" hidden="1">
      <c r="A980" s="3" t="s">
        <v>3757</v>
      </c>
      <c r="B980" s="2" t="s">
        <v>1125</v>
      </c>
      <c r="D980" s="66" t="str">
        <f>VLOOKUP("*"&amp;A980&amp;"*",[2]Sheet1!$G$2:$X$1155,18,FALSE)</f>
        <v>ERR10611981</v>
      </c>
      <c r="E980" s="2">
        <v>2017</v>
      </c>
      <c r="F980" s="2" t="s">
        <v>1112</v>
      </c>
      <c r="G980" s="2" t="s">
        <v>43</v>
      </c>
      <c r="I980" s="2" t="s">
        <v>6</v>
      </c>
      <c r="J980" s="2" t="s">
        <v>40</v>
      </c>
      <c r="K980" s="2" t="s">
        <v>1126</v>
      </c>
      <c r="L980" s="2" t="s">
        <v>39</v>
      </c>
      <c r="M980" s="2">
        <v>37</v>
      </c>
      <c r="N980" s="2" t="s">
        <v>9</v>
      </c>
      <c r="T980" s="2" t="s">
        <v>16964</v>
      </c>
    </row>
    <row r="981" spans="1:20" hidden="1">
      <c r="A981" s="3" t="s">
        <v>4055</v>
      </c>
      <c r="B981" s="2" t="s">
        <v>1127</v>
      </c>
      <c r="D981" s="66" t="str">
        <f>VLOOKUP("*"&amp;A981&amp;"*",[2]Sheet1!$G$2:$X$1155,18,FALSE)</f>
        <v>ERR10612017</v>
      </c>
      <c r="E981" s="2">
        <v>2017</v>
      </c>
      <c r="F981" s="2" t="s">
        <v>1112</v>
      </c>
      <c r="G981" s="2" t="s">
        <v>318</v>
      </c>
      <c r="I981" s="2" t="s">
        <v>10</v>
      </c>
      <c r="J981" s="2" t="s">
        <v>129</v>
      </c>
      <c r="K981" s="2" t="s">
        <v>1128</v>
      </c>
      <c r="L981" s="2" t="s">
        <v>128</v>
      </c>
      <c r="M981" s="2">
        <v>1</v>
      </c>
      <c r="N981" s="2" t="s">
        <v>18</v>
      </c>
      <c r="T981" s="2" t="s">
        <v>16964</v>
      </c>
    </row>
    <row r="982" spans="1:20" hidden="1">
      <c r="A982" s="3" t="s">
        <v>3070</v>
      </c>
      <c r="B982" s="2" t="s">
        <v>1129</v>
      </c>
      <c r="D982" s="66" t="str">
        <f>VLOOKUP("*"&amp;A982&amp;"*",[2]Sheet1!$G$2:$X$1155,18,FALSE)</f>
        <v>ERR10612043</v>
      </c>
      <c r="E982" s="2">
        <v>2017</v>
      </c>
      <c r="F982" s="2" t="s">
        <v>1112</v>
      </c>
      <c r="G982" s="2" t="s">
        <v>318</v>
      </c>
      <c r="I982" s="2" t="s">
        <v>6</v>
      </c>
      <c r="J982" s="2" t="s">
        <v>115</v>
      </c>
      <c r="K982" s="2" t="s">
        <v>1130</v>
      </c>
      <c r="L982" s="2" t="s">
        <v>114</v>
      </c>
      <c r="M982" s="2">
        <v>21</v>
      </c>
      <c r="N982" s="2" t="s">
        <v>9</v>
      </c>
      <c r="T982" s="2" t="s">
        <v>16964</v>
      </c>
    </row>
    <row r="983" spans="1:20" hidden="1">
      <c r="A983" s="3" t="s">
        <v>4372</v>
      </c>
      <c r="B983" s="2" t="s">
        <v>1131</v>
      </c>
      <c r="D983" s="66" t="str">
        <f>VLOOKUP("*"&amp;A983&amp;"*",[2]Sheet1!$G$2:$X$1155,18,FALSE)</f>
        <v>ERR10612038</v>
      </c>
      <c r="E983" s="2">
        <v>2017</v>
      </c>
      <c r="F983" s="2" t="s">
        <v>1112</v>
      </c>
      <c r="G983" s="2" t="s">
        <v>318</v>
      </c>
      <c r="I983" s="2" t="s">
        <v>10</v>
      </c>
      <c r="J983" s="2" t="s">
        <v>765</v>
      </c>
      <c r="K983" s="2" t="s">
        <v>1132</v>
      </c>
      <c r="L983" s="2" t="s">
        <v>764</v>
      </c>
      <c r="M983" s="2">
        <v>4</v>
      </c>
      <c r="N983" s="2" t="s">
        <v>18</v>
      </c>
      <c r="T983" s="2" t="s">
        <v>16964</v>
      </c>
    </row>
    <row r="984" spans="1:20" hidden="1">
      <c r="A984" s="3" t="s">
        <v>4240</v>
      </c>
      <c r="B984" s="2" t="s">
        <v>1133</v>
      </c>
      <c r="D984" s="66" t="str">
        <f>VLOOKUP("*"&amp;A984&amp;"*",[2]Sheet1!$G$2:$X$1155,18,FALSE)</f>
        <v>ERR10612021</v>
      </c>
      <c r="E984" s="2">
        <v>2018</v>
      </c>
      <c r="F984" s="2" t="s">
        <v>1112</v>
      </c>
      <c r="G984" s="2" t="s">
        <v>318</v>
      </c>
      <c r="I984" s="2" t="s">
        <v>10</v>
      </c>
      <c r="J984" s="2" t="s">
        <v>129</v>
      </c>
      <c r="K984" s="2" t="s">
        <v>1134</v>
      </c>
      <c r="L984" s="2" t="s">
        <v>128</v>
      </c>
      <c r="M984" s="2">
        <v>1</v>
      </c>
      <c r="N984" s="2" t="s">
        <v>18</v>
      </c>
      <c r="T984" s="2" t="s">
        <v>16964</v>
      </c>
    </row>
    <row r="985" spans="1:20" hidden="1">
      <c r="A985" s="3" t="s">
        <v>4264</v>
      </c>
      <c r="B985" s="2" t="s">
        <v>1471</v>
      </c>
      <c r="D985" s="66" t="str">
        <f>VLOOKUP("*"&amp;A985&amp;"*",[2]Sheet1!$G$2:$X$1155,18,FALSE)</f>
        <v>ERR10612005</v>
      </c>
      <c r="E985" s="2">
        <v>2018</v>
      </c>
      <c r="F985" s="2" t="s">
        <v>1112</v>
      </c>
      <c r="G985" s="2" t="s">
        <v>318</v>
      </c>
      <c r="H985" s="2" t="s">
        <v>1472</v>
      </c>
      <c r="I985" s="2" t="s">
        <v>10</v>
      </c>
      <c r="J985" s="2" t="s">
        <v>129</v>
      </c>
      <c r="K985" s="2" t="s">
        <v>1473</v>
      </c>
      <c r="L985" s="2" t="s">
        <v>128</v>
      </c>
      <c r="M985" s="2">
        <v>1</v>
      </c>
      <c r="N985" s="2" t="s">
        <v>18</v>
      </c>
      <c r="T985" s="2" t="s">
        <v>16964</v>
      </c>
    </row>
    <row r="986" spans="1:20" hidden="1">
      <c r="A986" s="3" t="s">
        <v>4166</v>
      </c>
      <c r="B986" s="2" t="s">
        <v>1135</v>
      </c>
      <c r="D986" s="66" t="str">
        <f>VLOOKUP("*"&amp;A986&amp;"*",[2]Sheet1!$G$2:$X$1155,18,FALSE)</f>
        <v>ERR10612027</v>
      </c>
      <c r="E986" s="2">
        <v>2019</v>
      </c>
      <c r="F986" s="2" t="s">
        <v>1112</v>
      </c>
      <c r="G986" s="2" t="s">
        <v>318</v>
      </c>
      <c r="I986" s="2" t="s">
        <v>10</v>
      </c>
      <c r="J986" s="2" t="s">
        <v>129</v>
      </c>
      <c r="K986" s="2" t="s">
        <v>1136</v>
      </c>
      <c r="L986" s="2" t="s">
        <v>128</v>
      </c>
      <c r="M986" s="2">
        <v>1</v>
      </c>
      <c r="N986" s="2" t="s">
        <v>18</v>
      </c>
      <c r="T986" s="2" t="s">
        <v>16964</v>
      </c>
    </row>
    <row r="987" spans="1:20" hidden="1">
      <c r="A987" s="3" t="s">
        <v>4249</v>
      </c>
      <c r="B987" s="2" t="s">
        <v>1137</v>
      </c>
      <c r="D987" s="66" t="str">
        <f>VLOOKUP("*"&amp;A987&amp;"*",[2]Sheet1!$G$2:$X$1155,18,FALSE)</f>
        <v>ERR10612016</v>
      </c>
      <c r="E987" s="2">
        <v>2019</v>
      </c>
      <c r="F987" s="2" t="s">
        <v>1112</v>
      </c>
      <c r="G987" s="2" t="s">
        <v>318</v>
      </c>
      <c r="I987" s="2" t="s">
        <v>10</v>
      </c>
      <c r="J987" s="2" t="s">
        <v>129</v>
      </c>
      <c r="K987" s="2" t="s">
        <v>1138</v>
      </c>
      <c r="L987" s="2" t="s">
        <v>128</v>
      </c>
      <c r="M987" s="2">
        <v>1</v>
      </c>
      <c r="N987" s="2" t="s">
        <v>18</v>
      </c>
      <c r="T987" s="2" t="s">
        <v>16964</v>
      </c>
    </row>
    <row r="988" spans="1:20" hidden="1">
      <c r="A988" s="3" t="s">
        <v>4082</v>
      </c>
      <c r="B988" s="2" t="s">
        <v>1139</v>
      </c>
      <c r="D988" s="66" t="str">
        <f>VLOOKUP("*"&amp;A988&amp;"*",[2]Sheet1!$G$2:$X$1155,18,FALSE)</f>
        <v>ERR10612009</v>
      </c>
      <c r="E988" s="2">
        <v>2019</v>
      </c>
      <c r="F988" s="2" t="s">
        <v>1112</v>
      </c>
      <c r="G988" s="2" t="s">
        <v>318</v>
      </c>
      <c r="I988" s="2" t="s">
        <v>10</v>
      </c>
      <c r="J988" s="2" t="s">
        <v>129</v>
      </c>
      <c r="K988" s="2" t="s">
        <v>1140</v>
      </c>
      <c r="L988" s="2" t="s">
        <v>128</v>
      </c>
      <c r="M988" s="2">
        <v>1</v>
      </c>
      <c r="N988" s="2" t="s">
        <v>18</v>
      </c>
      <c r="T988" s="2" t="s">
        <v>16964</v>
      </c>
    </row>
    <row r="989" spans="1:20" hidden="1">
      <c r="A989" s="3" t="s">
        <v>3419</v>
      </c>
      <c r="B989" s="2" t="s">
        <v>1141</v>
      </c>
      <c r="D989" s="66" t="str">
        <f>VLOOKUP("*"&amp;A989&amp;"*",[2]Sheet1!$G$2:$X$1155,18,FALSE)</f>
        <v>ERR10612012</v>
      </c>
      <c r="E989" s="2">
        <v>2010</v>
      </c>
      <c r="F989" s="2" t="s">
        <v>1112</v>
      </c>
      <c r="G989" s="2" t="s">
        <v>5</v>
      </c>
      <c r="I989" s="2" t="s">
        <v>6</v>
      </c>
      <c r="J989" s="2" t="s">
        <v>29</v>
      </c>
      <c r="K989" s="2" t="s">
        <v>1142</v>
      </c>
      <c r="L989" s="2" t="s">
        <v>28</v>
      </c>
      <c r="M989" s="2">
        <v>8</v>
      </c>
      <c r="N989" s="2" t="s">
        <v>9</v>
      </c>
      <c r="T989" s="2" t="s">
        <v>16964</v>
      </c>
    </row>
    <row r="990" spans="1:20" hidden="1">
      <c r="A990" s="3" t="s">
        <v>3588</v>
      </c>
      <c r="B990" s="2" t="s">
        <v>1143</v>
      </c>
      <c r="D990" s="66" t="str">
        <f>VLOOKUP("*"&amp;A990&amp;"*",[2]Sheet1!$G$2:$X$1155,18,FALSE)</f>
        <v>ERR10611991</v>
      </c>
      <c r="E990" s="2">
        <v>2019</v>
      </c>
      <c r="F990" s="2" t="s">
        <v>1112</v>
      </c>
      <c r="G990" s="2" t="s">
        <v>5</v>
      </c>
      <c r="I990" s="2" t="s">
        <v>6</v>
      </c>
      <c r="J990" s="2" t="s">
        <v>56</v>
      </c>
      <c r="K990" s="2" t="s">
        <v>1144</v>
      </c>
      <c r="L990" s="2" t="s">
        <v>55</v>
      </c>
      <c r="M990" s="2">
        <v>451</v>
      </c>
      <c r="N990" s="2" t="s">
        <v>9</v>
      </c>
      <c r="T990" s="2" t="s">
        <v>16964</v>
      </c>
    </row>
    <row r="991" spans="1:20" hidden="1">
      <c r="A991" s="3" t="s">
        <v>3847</v>
      </c>
      <c r="B991" s="2" t="s">
        <v>1145</v>
      </c>
      <c r="D991" s="66" t="str">
        <f>VLOOKUP("*"&amp;A991&amp;"*",[2]Sheet1!$G$2:$X$1155,18,FALSE)</f>
        <v>ERR10612042</v>
      </c>
      <c r="E991" s="2">
        <v>2019</v>
      </c>
      <c r="F991" s="2" t="s">
        <v>1112</v>
      </c>
      <c r="G991" s="2" t="s">
        <v>5</v>
      </c>
      <c r="I991" s="2" t="s">
        <v>10</v>
      </c>
      <c r="J991" s="2" t="s">
        <v>1147</v>
      </c>
      <c r="K991" s="2" t="s">
        <v>1148</v>
      </c>
      <c r="L991" s="2" t="s">
        <v>1146</v>
      </c>
      <c r="M991" s="2">
        <v>217</v>
      </c>
      <c r="N991" s="2" t="s">
        <v>18</v>
      </c>
      <c r="T991" s="2" t="s">
        <v>16964</v>
      </c>
    </row>
    <row r="992" spans="1:20" hidden="1">
      <c r="A992" s="3" t="s">
        <v>3969</v>
      </c>
      <c r="B992" s="2" t="s">
        <v>1149</v>
      </c>
      <c r="D992" s="66" t="str">
        <f>VLOOKUP("*"&amp;A992&amp;"*",[2]Sheet1!$G$2:$X$1155,18,FALSE)</f>
        <v>ERR10612014</v>
      </c>
      <c r="E992" s="2">
        <v>2020</v>
      </c>
      <c r="F992" s="2" t="s">
        <v>1112</v>
      </c>
      <c r="G992" s="2" t="s">
        <v>5</v>
      </c>
      <c r="I992" s="2" t="s">
        <v>10</v>
      </c>
      <c r="J992" s="2" t="s">
        <v>59</v>
      </c>
      <c r="K992" s="2" t="s">
        <v>1150</v>
      </c>
      <c r="L992" s="2" t="s">
        <v>58</v>
      </c>
      <c r="M992" s="2">
        <v>6</v>
      </c>
      <c r="N992" s="2" t="s">
        <v>18</v>
      </c>
      <c r="T992" s="2" t="s">
        <v>16964</v>
      </c>
    </row>
    <row r="993" spans="1:24" hidden="1">
      <c r="A993" s="3" t="s">
        <v>3221</v>
      </c>
      <c r="B993" s="2" t="s">
        <v>1151</v>
      </c>
      <c r="D993" s="66" t="str">
        <f>VLOOKUP("*"&amp;A993&amp;"*",[2]Sheet1!$G$2:$X$1155,18,FALSE)</f>
        <v>ERR10611982</v>
      </c>
      <c r="E993" s="2">
        <v>2020</v>
      </c>
      <c r="F993" s="2" t="s">
        <v>1112</v>
      </c>
      <c r="G993" s="2" t="s">
        <v>5</v>
      </c>
      <c r="I993" s="2" t="s">
        <v>6</v>
      </c>
      <c r="J993" s="2" t="s">
        <v>29</v>
      </c>
      <c r="K993" s="2" t="s">
        <v>1152</v>
      </c>
      <c r="L993" s="2" t="s">
        <v>28</v>
      </c>
      <c r="M993" s="2">
        <v>8</v>
      </c>
      <c r="N993" s="2" t="s">
        <v>9</v>
      </c>
      <c r="T993" s="2" t="s">
        <v>16964</v>
      </c>
    </row>
    <row r="994" spans="1:24" hidden="1">
      <c r="A994" s="3" t="s">
        <v>3826</v>
      </c>
      <c r="B994" s="2" t="s">
        <v>1153</v>
      </c>
      <c r="D994" s="66" t="str">
        <f>VLOOKUP("*"&amp;A994&amp;"*",[2]Sheet1!$G$2:$X$1155,18,FALSE)</f>
        <v>ERR10611987</v>
      </c>
      <c r="E994" s="2">
        <v>2020</v>
      </c>
      <c r="F994" s="2" t="s">
        <v>1112</v>
      </c>
      <c r="G994" s="2" t="s">
        <v>5</v>
      </c>
      <c r="I994" s="2" t="s">
        <v>6</v>
      </c>
      <c r="J994" s="2" t="s">
        <v>8</v>
      </c>
      <c r="K994" s="2" t="s">
        <v>1154</v>
      </c>
      <c r="L994" s="2" t="s">
        <v>7</v>
      </c>
      <c r="M994" s="2">
        <v>121</v>
      </c>
      <c r="N994" s="2" t="s">
        <v>9</v>
      </c>
      <c r="T994" s="2" t="s">
        <v>16963</v>
      </c>
      <c r="X994" s="67" t="s">
        <v>4722</v>
      </c>
    </row>
    <row r="995" spans="1:24" hidden="1">
      <c r="A995" s="3" t="s">
        <v>3240</v>
      </c>
      <c r="B995" s="2" t="s">
        <v>1155</v>
      </c>
      <c r="D995" s="66" t="str">
        <f>VLOOKUP("*"&amp;A995&amp;"*",[2]Sheet1!$G$2:$X$1155,18,FALSE)</f>
        <v>ERR10612019</v>
      </c>
      <c r="E995" s="2">
        <v>2020</v>
      </c>
      <c r="F995" s="2" t="s">
        <v>1112</v>
      </c>
      <c r="G995" s="2" t="s">
        <v>5</v>
      </c>
      <c r="I995" s="2" t="s">
        <v>6</v>
      </c>
      <c r="J995" s="2" t="s">
        <v>29</v>
      </c>
      <c r="K995" s="2" t="s">
        <v>66</v>
      </c>
      <c r="L995" s="2" t="s">
        <v>28</v>
      </c>
      <c r="M995" s="2">
        <v>8</v>
      </c>
      <c r="N995" s="2" t="s">
        <v>9</v>
      </c>
      <c r="T995" s="2" t="s">
        <v>16964</v>
      </c>
    </row>
    <row r="996" spans="1:24" hidden="1">
      <c r="A996" s="3" t="s">
        <v>4314</v>
      </c>
      <c r="B996" s="2" t="s">
        <v>1156</v>
      </c>
      <c r="D996" s="66" t="str">
        <f>VLOOKUP("*"&amp;A996&amp;"*",[2]Sheet1!$G$2:$X$1155,18,FALSE)</f>
        <v>ERR10612050</v>
      </c>
      <c r="E996" s="2">
        <v>2020</v>
      </c>
      <c r="F996" s="2" t="s">
        <v>1112</v>
      </c>
      <c r="G996" s="2" t="s">
        <v>5</v>
      </c>
      <c r="I996" s="2" t="s">
        <v>10</v>
      </c>
      <c r="J996" s="2" t="s">
        <v>1158</v>
      </c>
      <c r="K996" s="2" t="s">
        <v>1159</v>
      </c>
      <c r="L996" s="2" t="s">
        <v>1157</v>
      </c>
      <c r="M996" s="2">
        <v>2342</v>
      </c>
      <c r="N996" s="2" t="s">
        <v>14</v>
      </c>
      <c r="T996" s="2" t="s">
        <v>16964</v>
      </c>
    </row>
    <row r="997" spans="1:24" hidden="1">
      <c r="A997" s="3" t="s">
        <v>3241</v>
      </c>
      <c r="B997" s="2" t="s">
        <v>1160</v>
      </c>
      <c r="D997" s="66" t="str">
        <f>VLOOKUP("*"&amp;A997&amp;"*",[2]Sheet1!$G$2:$X$1155,18,FALSE)</f>
        <v>ERR10611996</v>
      </c>
      <c r="E997" s="2">
        <v>2020</v>
      </c>
      <c r="F997" s="2" t="s">
        <v>1112</v>
      </c>
      <c r="G997" s="2" t="s">
        <v>5</v>
      </c>
      <c r="I997" s="2" t="s">
        <v>6</v>
      </c>
      <c r="J997" s="2" t="s">
        <v>29</v>
      </c>
      <c r="K997" s="2" t="s">
        <v>66</v>
      </c>
      <c r="L997" s="2" t="s">
        <v>28</v>
      </c>
      <c r="M997" s="2">
        <v>8</v>
      </c>
      <c r="N997" s="2" t="s">
        <v>9</v>
      </c>
      <c r="T997" s="2" t="s">
        <v>16964</v>
      </c>
    </row>
    <row r="998" spans="1:24" hidden="1">
      <c r="A998" s="3" t="s">
        <v>3578</v>
      </c>
      <c r="B998" s="2" t="s">
        <v>1161</v>
      </c>
      <c r="D998" s="66" t="str">
        <f>VLOOKUP("*"&amp;A998&amp;"*",[2]Sheet1!$G$2:$X$1155,18,FALSE)</f>
        <v>ERR10612032</v>
      </c>
      <c r="E998" s="2">
        <v>2020</v>
      </c>
      <c r="F998" s="2" t="s">
        <v>1112</v>
      </c>
      <c r="G998" s="2" t="s">
        <v>5</v>
      </c>
      <c r="I998" s="2" t="s">
        <v>10</v>
      </c>
      <c r="J998" s="2" t="s">
        <v>12</v>
      </c>
      <c r="K998" s="2" t="s">
        <v>1162</v>
      </c>
      <c r="L998" s="2" t="s">
        <v>11</v>
      </c>
      <c r="M998" s="2">
        <v>3</v>
      </c>
      <c r="N998" s="2" t="s">
        <v>14</v>
      </c>
      <c r="T998" s="2" t="s">
        <v>16964</v>
      </c>
    </row>
    <row r="999" spans="1:24" hidden="1">
      <c r="A999" s="3" t="s">
        <v>3391</v>
      </c>
      <c r="B999" s="2" t="s">
        <v>1163</v>
      </c>
      <c r="D999" s="66" t="str">
        <f>VLOOKUP("*"&amp;A999&amp;"*",[2]Sheet1!$G$2:$X$1155,18,FALSE)</f>
        <v>ERR10612011</v>
      </c>
      <c r="E999" s="2">
        <v>2020</v>
      </c>
      <c r="F999" s="2" t="s">
        <v>1112</v>
      </c>
      <c r="G999" s="2" t="s">
        <v>5</v>
      </c>
      <c r="I999" s="2" t="s">
        <v>6</v>
      </c>
      <c r="J999" s="2" t="s">
        <v>40</v>
      </c>
      <c r="K999" s="2" t="s">
        <v>1164</v>
      </c>
      <c r="L999" s="2" t="s">
        <v>39</v>
      </c>
      <c r="M999" s="2">
        <v>37</v>
      </c>
      <c r="N999" s="2" t="s">
        <v>9</v>
      </c>
      <c r="T999" s="2" t="s">
        <v>16964</v>
      </c>
    </row>
    <row r="1000" spans="1:24" hidden="1">
      <c r="A1000" s="3" t="s">
        <v>3590</v>
      </c>
      <c r="B1000" s="2" t="s">
        <v>1165</v>
      </c>
      <c r="D1000" s="66" t="str">
        <f>VLOOKUP("*"&amp;A1000&amp;"*",[2]Sheet1!$G$2:$X$1155,18,FALSE)</f>
        <v>ERR10612000</v>
      </c>
      <c r="E1000" s="2">
        <v>2020</v>
      </c>
      <c r="F1000" s="2" t="s">
        <v>1112</v>
      </c>
      <c r="G1000" s="2" t="s">
        <v>5</v>
      </c>
      <c r="I1000" s="2" t="s">
        <v>6</v>
      </c>
      <c r="J1000" s="2" t="s">
        <v>56</v>
      </c>
      <c r="K1000" s="2" t="s">
        <v>1166</v>
      </c>
      <c r="L1000" s="2" t="s">
        <v>55</v>
      </c>
      <c r="M1000" s="2">
        <v>451</v>
      </c>
      <c r="N1000" s="2" t="s">
        <v>9</v>
      </c>
      <c r="T1000" s="2" t="s">
        <v>16964</v>
      </c>
    </row>
    <row r="1001" spans="1:24" hidden="1">
      <c r="A1001" s="3" t="s">
        <v>3727</v>
      </c>
      <c r="B1001" s="2" t="s">
        <v>1332</v>
      </c>
      <c r="D1001" s="66" t="str">
        <f>VLOOKUP("*"&amp;A1001&amp;"*",[2]Sheet1!$G$2:$X$1155,18,FALSE)</f>
        <v>ERR10549709</v>
      </c>
      <c r="E1001" s="2">
        <v>2014</v>
      </c>
      <c r="F1001" s="2" t="s">
        <v>1112</v>
      </c>
      <c r="G1001" s="2" t="s">
        <v>270</v>
      </c>
      <c r="H1001" s="2" t="s">
        <v>2474</v>
      </c>
      <c r="I1001" s="2" t="s">
        <v>10</v>
      </c>
      <c r="J1001" s="2" t="s">
        <v>129</v>
      </c>
      <c r="K1001" s="2" t="s">
        <v>1333</v>
      </c>
      <c r="L1001" s="2" t="s">
        <v>128</v>
      </c>
      <c r="M1001" s="2">
        <v>515</v>
      </c>
      <c r="N1001" s="2" t="s">
        <v>18</v>
      </c>
      <c r="T1001" s="2" t="s">
        <v>16964</v>
      </c>
    </row>
    <row r="1002" spans="1:24" hidden="1">
      <c r="A1002" s="3" t="s">
        <v>3499</v>
      </c>
      <c r="B1002" s="2" t="s">
        <v>2226</v>
      </c>
      <c r="D1002" s="66" t="s">
        <v>17254</v>
      </c>
      <c r="E1002" s="2">
        <v>2005</v>
      </c>
      <c r="F1002" s="2" t="s">
        <v>2692</v>
      </c>
      <c r="G1002" s="2" t="s">
        <v>43</v>
      </c>
      <c r="H1002" s="2" t="s">
        <v>2349</v>
      </c>
      <c r="I1002" s="2" t="s">
        <v>10</v>
      </c>
      <c r="J1002" s="2" t="s">
        <v>59</v>
      </c>
      <c r="K1002" s="2" t="s">
        <v>240</v>
      </c>
      <c r="L1002" s="2" t="s">
        <v>97</v>
      </c>
      <c r="M1002" s="2">
        <v>550</v>
      </c>
      <c r="N1002" s="2" t="s">
        <v>14</v>
      </c>
      <c r="Q1002" s="2">
        <f>VLOOKUP(B1002,[1]Sheet1!$A$426:$D$1672,4,FALSE)</f>
        <v>0.16</v>
      </c>
      <c r="T1002" s="2" t="s">
        <v>16964</v>
      </c>
    </row>
    <row r="1003" spans="1:24" hidden="1">
      <c r="A1003" s="3" t="s">
        <v>4419</v>
      </c>
      <c r="B1003" s="2" t="s">
        <v>1189</v>
      </c>
      <c r="D1003" s="66" t="str">
        <f>VLOOKUP("*"&amp;A1003&amp;"*",[2]Sheet1!$G$2:$X$1155,18,FALSE)</f>
        <v>ERR10549770</v>
      </c>
      <c r="E1003" s="2">
        <v>2018</v>
      </c>
      <c r="F1003" s="2" t="s">
        <v>1112</v>
      </c>
      <c r="G1003" s="2" t="s">
        <v>43</v>
      </c>
      <c r="I1003" s="2" t="s">
        <v>6</v>
      </c>
      <c r="J1003" s="2" t="s">
        <v>8</v>
      </c>
      <c r="K1003" s="2" t="s">
        <v>1190</v>
      </c>
      <c r="L1003" s="2" t="s">
        <v>7</v>
      </c>
      <c r="M1003" s="2">
        <v>121</v>
      </c>
      <c r="N1003" s="2" t="s">
        <v>9</v>
      </c>
      <c r="T1003" s="2" t="s">
        <v>16964</v>
      </c>
    </row>
    <row r="1004" spans="1:24" hidden="1">
      <c r="A1004" s="3" t="s">
        <v>3151</v>
      </c>
      <c r="B1004" s="2" t="s">
        <v>1191</v>
      </c>
      <c r="D1004" s="66" t="str">
        <f>VLOOKUP("*"&amp;A1004&amp;"*",[2]Sheet1!$G$2:$X$1155,18,FALSE)</f>
        <v>ERR10549743</v>
      </c>
      <c r="E1004" s="2">
        <v>2018</v>
      </c>
      <c r="F1004" s="2" t="s">
        <v>1112</v>
      </c>
      <c r="G1004" s="2" t="s">
        <v>5</v>
      </c>
      <c r="I1004" s="2" t="s">
        <v>10</v>
      </c>
      <c r="J1004" s="2" t="s">
        <v>1193</v>
      </c>
      <c r="K1004" s="2" t="s">
        <v>1194</v>
      </c>
      <c r="L1004" s="2" t="s">
        <v>1192</v>
      </c>
      <c r="M1004" s="2">
        <v>195</v>
      </c>
      <c r="N1004" s="2" t="s">
        <v>14</v>
      </c>
      <c r="T1004" s="2" t="s">
        <v>16964</v>
      </c>
    </row>
    <row r="1005" spans="1:24" hidden="1">
      <c r="A1005" s="3" t="s">
        <v>3928</v>
      </c>
      <c r="B1005" s="2" t="s">
        <v>1195</v>
      </c>
      <c r="D1005" s="66" t="str">
        <f>VLOOKUP("*"&amp;A1005&amp;"*",[2]Sheet1!$G$2:$X$1155,18,FALSE)</f>
        <v>ERR10549795</v>
      </c>
      <c r="E1005" s="2">
        <v>2018</v>
      </c>
      <c r="F1005" s="2" t="s">
        <v>1112</v>
      </c>
      <c r="G1005" s="2" t="s">
        <v>5</v>
      </c>
      <c r="I1005" s="2" t="s">
        <v>6</v>
      </c>
      <c r="J1005" s="2" t="s">
        <v>56</v>
      </c>
      <c r="K1005" s="2" t="s">
        <v>1196</v>
      </c>
      <c r="L1005" s="2" t="s">
        <v>55</v>
      </c>
      <c r="M1005" s="2">
        <v>451</v>
      </c>
      <c r="N1005" s="2" t="s">
        <v>9</v>
      </c>
      <c r="T1005" s="2" t="s">
        <v>16964</v>
      </c>
    </row>
    <row r="1006" spans="1:24" hidden="1">
      <c r="A1006" s="3" t="s">
        <v>3838</v>
      </c>
      <c r="B1006" s="2" t="s">
        <v>1197</v>
      </c>
      <c r="D1006" s="66" t="str">
        <f>VLOOKUP("*"&amp;A1006&amp;"*",[2]Sheet1!$G$2:$X$1155,18,FALSE)</f>
        <v>ERR10549771</v>
      </c>
      <c r="E1006" s="2">
        <v>2019</v>
      </c>
      <c r="F1006" s="2" t="s">
        <v>1112</v>
      </c>
      <c r="G1006" s="2" t="s">
        <v>5</v>
      </c>
      <c r="I1006" s="2" t="s">
        <v>6</v>
      </c>
      <c r="J1006" s="2" t="s">
        <v>40</v>
      </c>
      <c r="K1006" s="2" t="s">
        <v>1198</v>
      </c>
      <c r="L1006" s="2" t="s">
        <v>39</v>
      </c>
      <c r="M1006" s="2">
        <v>37</v>
      </c>
      <c r="N1006" s="2" t="s">
        <v>9</v>
      </c>
      <c r="T1006" s="2" t="s">
        <v>16964</v>
      </c>
    </row>
    <row r="1007" spans="1:24" hidden="1">
      <c r="A1007" s="3" t="s">
        <v>2965</v>
      </c>
      <c r="B1007" s="2" t="s">
        <v>1199</v>
      </c>
      <c r="D1007" s="66" t="str">
        <f>VLOOKUP("*"&amp;A1007&amp;"*",[2]Sheet1!$G$2:$X$1155,18,FALSE)</f>
        <v>ERR10549785</v>
      </c>
      <c r="E1007" s="2">
        <v>2019</v>
      </c>
      <c r="F1007" s="2" t="s">
        <v>1112</v>
      </c>
      <c r="G1007" s="2" t="s">
        <v>5</v>
      </c>
      <c r="I1007" s="2" t="s">
        <v>6</v>
      </c>
      <c r="J1007" s="2" t="s">
        <v>8</v>
      </c>
      <c r="K1007" s="2" t="s">
        <v>1200</v>
      </c>
      <c r="L1007" s="2" t="s">
        <v>7</v>
      </c>
      <c r="M1007" s="2">
        <v>121</v>
      </c>
      <c r="N1007" s="2" t="s">
        <v>9</v>
      </c>
      <c r="T1007" s="2" t="s">
        <v>16963</v>
      </c>
      <c r="X1007" s="67" t="s">
        <v>4722</v>
      </c>
    </row>
    <row r="1008" spans="1:24" hidden="1">
      <c r="A1008" s="3" t="s">
        <v>3201</v>
      </c>
      <c r="B1008" s="2" t="s">
        <v>1201</v>
      </c>
      <c r="D1008" s="66" t="str">
        <f>VLOOKUP("*"&amp;A1008&amp;"*",[2]Sheet1!$G$2:$X$1155,18,FALSE)</f>
        <v>ERR10549792</v>
      </c>
      <c r="E1008" s="2">
        <v>2019</v>
      </c>
      <c r="F1008" s="2" t="s">
        <v>1112</v>
      </c>
      <c r="G1008" s="2" t="s">
        <v>5</v>
      </c>
      <c r="I1008" s="2" t="s">
        <v>10</v>
      </c>
      <c r="J1008" s="2" t="s">
        <v>17</v>
      </c>
      <c r="K1008" s="2" t="s">
        <v>1202</v>
      </c>
      <c r="L1008" s="2" t="s">
        <v>16</v>
      </c>
      <c r="M1008" s="2">
        <v>2</v>
      </c>
      <c r="N1008" s="2" t="s">
        <v>18</v>
      </c>
      <c r="T1008" s="2" t="s">
        <v>16964</v>
      </c>
    </row>
    <row r="1009" spans="1:20" hidden="1">
      <c r="A1009" s="3" t="s">
        <v>3351</v>
      </c>
      <c r="B1009" s="2" t="s">
        <v>1203</v>
      </c>
      <c r="D1009" s="66" t="str">
        <f>VLOOKUP("*"&amp;A1009&amp;"*",[2]Sheet1!$G$2:$X$1155,18,FALSE)</f>
        <v>ERR10549772</v>
      </c>
      <c r="E1009" s="2">
        <v>2019</v>
      </c>
      <c r="F1009" s="2" t="s">
        <v>1112</v>
      </c>
      <c r="G1009" s="2" t="s">
        <v>43</v>
      </c>
      <c r="I1009" s="2" t="s">
        <v>6</v>
      </c>
      <c r="J1009" s="2" t="s">
        <v>29</v>
      </c>
      <c r="K1009" s="2" t="s">
        <v>66</v>
      </c>
      <c r="L1009" s="2" t="s">
        <v>28</v>
      </c>
      <c r="M1009" s="2">
        <v>8</v>
      </c>
      <c r="N1009" s="2" t="s">
        <v>9</v>
      </c>
      <c r="T1009" s="2" t="s">
        <v>16964</v>
      </c>
    </row>
    <row r="1010" spans="1:20" hidden="1">
      <c r="A1010" s="3" t="s">
        <v>4276</v>
      </c>
      <c r="B1010" s="2" t="s">
        <v>1204</v>
      </c>
      <c r="D1010" s="66" t="str">
        <f>VLOOKUP("*"&amp;A1010&amp;"*",[2]Sheet1!$G$2:$X$1155,18,FALSE)</f>
        <v>ERR10549753</v>
      </c>
      <c r="E1010" s="2">
        <v>2019</v>
      </c>
      <c r="F1010" s="2" t="s">
        <v>1112</v>
      </c>
      <c r="G1010" s="2" t="s">
        <v>43</v>
      </c>
      <c r="I1010" s="2" t="s">
        <v>10</v>
      </c>
      <c r="J1010" s="2" t="s">
        <v>17</v>
      </c>
      <c r="K1010" s="2" t="s">
        <v>1205</v>
      </c>
      <c r="L1010" s="2" t="s">
        <v>16</v>
      </c>
      <c r="M1010" s="2">
        <v>2</v>
      </c>
      <c r="N1010" s="2" t="s">
        <v>18</v>
      </c>
      <c r="T1010" s="2" t="s">
        <v>16964</v>
      </c>
    </row>
    <row r="1011" spans="1:20" hidden="1">
      <c r="A1011" s="3" t="s">
        <v>3339</v>
      </c>
      <c r="B1011" s="2" t="s">
        <v>1206</v>
      </c>
      <c r="D1011" s="66" t="str">
        <f>VLOOKUP("*"&amp;A1011&amp;"*",[2]Sheet1!$G$2:$X$1155,18,FALSE)</f>
        <v>ERR10549773</v>
      </c>
      <c r="E1011" s="2">
        <v>2019</v>
      </c>
      <c r="F1011" s="2" t="s">
        <v>1112</v>
      </c>
      <c r="G1011" s="2" t="s">
        <v>5</v>
      </c>
      <c r="I1011" s="2" t="s">
        <v>6</v>
      </c>
      <c r="J1011" s="2" t="s">
        <v>29</v>
      </c>
      <c r="K1011" s="2" t="s">
        <v>1207</v>
      </c>
      <c r="L1011" s="2" t="s">
        <v>28</v>
      </c>
      <c r="M1011" s="2">
        <v>8</v>
      </c>
      <c r="N1011" s="2" t="s">
        <v>9</v>
      </c>
      <c r="T1011" s="2" t="s">
        <v>16964</v>
      </c>
    </row>
    <row r="1012" spans="1:20" hidden="1">
      <c r="A1012" s="3" t="s">
        <v>3897</v>
      </c>
      <c r="B1012" s="2" t="s">
        <v>1208</v>
      </c>
      <c r="D1012" s="66" t="str">
        <f>VLOOKUP("*"&amp;A1012&amp;"*",[2]Sheet1!$G$2:$X$1155,18,FALSE)</f>
        <v>ERR10549755</v>
      </c>
      <c r="E1012" s="2">
        <v>2019</v>
      </c>
      <c r="F1012" s="2" t="s">
        <v>1112</v>
      </c>
      <c r="G1012" s="2" t="s">
        <v>5</v>
      </c>
      <c r="I1012" s="2" t="s">
        <v>6</v>
      </c>
      <c r="J1012" s="2" t="s">
        <v>40</v>
      </c>
      <c r="K1012" s="2" t="s">
        <v>1209</v>
      </c>
      <c r="L1012" s="2" t="s">
        <v>39</v>
      </c>
      <c r="M1012" s="2">
        <v>37</v>
      </c>
      <c r="N1012" s="2" t="s">
        <v>9</v>
      </c>
      <c r="T1012" s="2" t="s">
        <v>16964</v>
      </c>
    </row>
    <row r="1013" spans="1:20" hidden="1">
      <c r="A1013" s="3" t="s">
        <v>3495</v>
      </c>
      <c r="B1013" s="2" t="s">
        <v>1210</v>
      </c>
      <c r="D1013" s="66" t="str">
        <f>VLOOKUP("*"&amp;A1013&amp;"*",[2]Sheet1!$G$2:$X$1155,18,FALSE)</f>
        <v>ERR10549775</v>
      </c>
      <c r="E1013" s="2">
        <v>2019</v>
      </c>
      <c r="F1013" s="2" t="s">
        <v>1112</v>
      </c>
      <c r="G1013" s="2" t="s">
        <v>5</v>
      </c>
      <c r="I1013" s="2" t="s">
        <v>6</v>
      </c>
      <c r="J1013" s="2" t="s">
        <v>40</v>
      </c>
      <c r="K1013" s="2" t="s">
        <v>1211</v>
      </c>
      <c r="L1013" s="2" t="s">
        <v>39</v>
      </c>
      <c r="M1013" s="2">
        <v>37</v>
      </c>
      <c r="N1013" s="2" t="s">
        <v>9</v>
      </c>
      <c r="T1013" s="2" t="s">
        <v>16964</v>
      </c>
    </row>
    <row r="1014" spans="1:20" hidden="1">
      <c r="A1014" s="3" t="s">
        <v>3213</v>
      </c>
      <c r="B1014" s="2" t="s">
        <v>1212</v>
      </c>
      <c r="D1014" s="66" t="str">
        <f>VLOOKUP("*"&amp;A1014&amp;"*",[2]Sheet1!$G$2:$X$1155,18,FALSE)</f>
        <v>ERR10549793</v>
      </c>
      <c r="E1014" s="2">
        <v>2019</v>
      </c>
      <c r="F1014" s="2" t="s">
        <v>1112</v>
      </c>
      <c r="G1014" s="2" t="s">
        <v>5</v>
      </c>
      <c r="I1014" s="2" t="s">
        <v>6</v>
      </c>
      <c r="J1014" s="2" t="s">
        <v>29</v>
      </c>
      <c r="K1014" s="2" t="s">
        <v>1207</v>
      </c>
      <c r="L1014" s="2" t="s">
        <v>28</v>
      </c>
      <c r="M1014" s="2">
        <v>8</v>
      </c>
      <c r="N1014" s="2" t="s">
        <v>9</v>
      </c>
      <c r="T1014" s="2" t="s">
        <v>16964</v>
      </c>
    </row>
    <row r="1015" spans="1:20" hidden="1">
      <c r="A1015" s="3" t="s">
        <v>3659</v>
      </c>
      <c r="B1015" s="2" t="s">
        <v>1213</v>
      </c>
      <c r="D1015" s="66" t="str">
        <f>VLOOKUP("*"&amp;A1015&amp;"*",[2]Sheet1!$G$2:$X$1155,18,FALSE)</f>
        <v>ERR10549810</v>
      </c>
      <c r="E1015" s="2">
        <v>2019</v>
      </c>
      <c r="F1015" s="2" t="s">
        <v>1112</v>
      </c>
      <c r="G1015" s="2" t="s">
        <v>5</v>
      </c>
      <c r="I1015" s="2" t="s">
        <v>6</v>
      </c>
      <c r="J1015" s="2" t="s">
        <v>20</v>
      </c>
      <c r="K1015" s="2" t="s">
        <v>1214</v>
      </c>
      <c r="L1015" s="2" t="s">
        <v>19</v>
      </c>
      <c r="M1015" s="2">
        <v>9</v>
      </c>
      <c r="N1015" s="2" t="s">
        <v>21</v>
      </c>
      <c r="T1015" s="2" t="s">
        <v>16964</v>
      </c>
    </row>
    <row r="1016" spans="1:20" hidden="1">
      <c r="A1016" s="3" t="s">
        <v>3587</v>
      </c>
      <c r="B1016" s="2" t="s">
        <v>1215</v>
      </c>
      <c r="D1016" s="66" t="s">
        <v>17324</v>
      </c>
      <c r="E1016" s="2">
        <v>2019</v>
      </c>
      <c r="F1016" s="2" t="s">
        <v>1112</v>
      </c>
      <c r="G1016" s="2" t="s">
        <v>5</v>
      </c>
      <c r="I1016" s="2" t="s">
        <v>10</v>
      </c>
      <c r="J1016" s="2" t="s">
        <v>1217</v>
      </c>
      <c r="K1016" s="2" t="s">
        <v>1218</v>
      </c>
      <c r="L1016" s="2" t="s">
        <v>1216</v>
      </c>
      <c r="M1016" s="2">
        <v>3021</v>
      </c>
      <c r="N1016" s="2" t="s">
        <v>159</v>
      </c>
      <c r="T1016" s="2" t="s">
        <v>16964</v>
      </c>
    </row>
    <row r="1017" spans="1:20" hidden="1">
      <c r="A1017" s="3" t="s">
        <v>4418</v>
      </c>
      <c r="B1017" s="2" t="s">
        <v>1219</v>
      </c>
      <c r="D1017" s="66" t="str">
        <f>VLOOKUP("*"&amp;A1017&amp;"*",[2]Sheet1!$G$2:$X$1155,18,FALSE)</f>
        <v>ERR10549760</v>
      </c>
      <c r="E1017" s="2">
        <v>2019</v>
      </c>
      <c r="F1017" s="2" t="s">
        <v>1112</v>
      </c>
      <c r="G1017" s="2" t="s">
        <v>5</v>
      </c>
      <c r="I1017" s="2" t="s">
        <v>6</v>
      </c>
      <c r="J1017" s="2" t="s">
        <v>8</v>
      </c>
      <c r="K1017" s="2" t="s">
        <v>1220</v>
      </c>
      <c r="L1017" s="2" t="s">
        <v>7</v>
      </c>
      <c r="M1017" s="2">
        <v>121</v>
      </c>
      <c r="N1017" s="2" t="s">
        <v>9</v>
      </c>
      <c r="T1017" s="2" t="s">
        <v>16964</v>
      </c>
    </row>
    <row r="1018" spans="1:20" hidden="1">
      <c r="A1018" s="3" t="s">
        <v>3182</v>
      </c>
      <c r="B1018" s="2" t="s">
        <v>1221</v>
      </c>
      <c r="D1018" s="66" t="str">
        <f>VLOOKUP("*"&amp;A1018&amp;"*",[2]Sheet1!$G$2:$X$1155,18,FALSE)</f>
        <v>ERR10549783</v>
      </c>
      <c r="E1018" s="2">
        <v>2019</v>
      </c>
      <c r="F1018" s="2" t="s">
        <v>1112</v>
      </c>
      <c r="G1018" s="2" t="s">
        <v>5</v>
      </c>
      <c r="I1018" s="2" t="s">
        <v>6</v>
      </c>
      <c r="J1018" s="2" t="s">
        <v>40</v>
      </c>
      <c r="K1018" s="2" t="s">
        <v>1222</v>
      </c>
      <c r="L1018" s="2" t="s">
        <v>39</v>
      </c>
      <c r="M1018" s="2">
        <v>37</v>
      </c>
      <c r="N1018" s="2" t="s">
        <v>9</v>
      </c>
      <c r="T1018" s="2" t="s">
        <v>16964</v>
      </c>
    </row>
    <row r="1019" spans="1:20" hidden="1">
      <c r="A1019" s="3" t="s">
        <v>4279</v>
      </c>
      <c r="B1019" s="2" t="s">
        <v>1223</v>
      </c>
      <c r="D1019" s="66" t="str">
        <f>VLOOKUP("*"&amp;A1019&amp;"*",[2]Sheet1!$G$2:$X$1155,18,FALSE)</f>
        <v>ERR10549791</v>
      </c>
      <c r="E1019" s="2">
        <v>2019</v>
      </c>
      <c r="F1019" s="2" t="s">
        <v>1112</v>
      </c>
      <c r="G1019" s="2" t="s">
        <v>5</v>
      </c>
      <c r="I1019" s="2" t="s">
        <v>6</v>
      </c>
      <c r="J1019" s="2" t="s">
        <v>220</v>
      </c>
      <c r="K1019" s="2" t="s">
        <v>1224</v>
      </c>
      <c r="L1019" s="2" t="s">
        <v>217</v>
      </c>
      <c r="M1019" s="2">
        <v>29</v>
      </c>
      <c r="N1019" s="2" t="s">
        <v>9</v>
      </c>
      <c r="T1019" s="2" t="s">
        <v>16964</v>
      </c>
    </row>
    <row r="1020" spans="1:20" hidden="1">
      <c r="A1020" s="3" t="s">
        <v>3830</v>
      </c>
      <c r="B1020" s="2" t="s">
        <v>1225</v>
      </c>
      <c r="D1020" s="66" t="str">
        <f>VLOOKUP("*"&amp;A1020&amp;"*",[2]Sheet1!$G$2:$X$1155,18,FALSE)</f>
        <v>ERR10549788</v>
      </c>
      <c r="E1020" s="2">
        <v>2019</v>
      </c>
      <c r="F1020" s="2" t="s">
        <v>1112</v>
      </c>
      <c r="G1020" s="2" t="s">
        <v>5</v>
      </c>
      <c r="I1020" s="2" t="s">
        <v>6</v>
      </c>
      <c r="J1020" s="2" t="s">
        <v>486</v>
      </c>
      <c r="K1020" s="2" t="s">
        <v>1226</v>
      </c>
      <c r="L1020" s="2" t="s">
        <v>330</v>
      </c>
      <c r="M1020" s="2">
        <v>177</v>
      </c>
      <c r="N1020" s="2" t="s">
        <v>9</v>
      </c>
      <c r="T1020" s="2" t="s">
        <v>16964</v>
      </c>
    </row>
    <row r="1021" spans="1:20" hidden="1">
      <c r="A1021" s="3" t="s">
        <v>4343</v>
      </c>
      <c r="B1021" s="2" t="s">
        <v>1227</v>
      </c>
      <c r="D1021" s="66" t="str">
        <f>VLOOKUP("*"&amp;A1021&amp;"*",[2]Sheet1!$G$2:$X$1155,18,FALSE)</f>
        <v>ERR10549790</v>
      </c>
      <c r="E1021" s="2">
        <v>2019</v>
      </c>
      <c r="F1021" s="2" t="s">
        <v>1112</v>
      </c>
      <c r="G1021" s="2" t="s">
        <v>5</v>
      </c>
      <c r="I1021" s="2" t="s">
        <v>6</v>
      </c>
      <c r="J1021" s="2" t="s">
        <v>220</v>
      </c>
      <c r="K1021" s="2" t="s">
        <v>1228</v>
      </c>
      <c r="L1021" s="2" t="s">
        <v>217</v>
      </c>
      <c r="M1021" s="2">
        <v>29</v>
      </c>
      <c r="N1021" s="2" t="s">
        <v>9</v>
      </c>
      <c r="T1021" s="2" t="s">
        <v>16964</v>
      </c>
    </row>
    <row r="1022" spans="1:20" hidden="1">
      <c r="A1022" s="3" t="s">
        <v>3557</v>
      </c>
      <c r="B1022" s="2" t="s">
        <v>1229</v>
      </c>
      <c r="D1022" s="66" t="str">
        <f>VLOOKUP("*"&amp;A1022&amp;"*",[2]Sheet1!$G$2:$X$1155,18,FALSE)</f>
        <v>ERR10549762</v>
      </c>
      <c r="E1022" s="2">
        <v>2019</v>
      </c>
      <c r="F1022" s="2" t="s">
        <v>1112</v>
      </c>
      <c r="G1022" s="2" t="s">
        <v>5</v>
      </c>
      <c r="I1022" s="2" t="s">
        <v>6</v>
      </c>
      <c r="J1022" s="2" t="s">
        <v>20</v>
      </c>
      <c r="K1022" s="2" t="s">
        <v>1214</v>
      </c>
      <c r="L1022" s="2" t="s">
        <v>19</v>
      </c>
      <c r="M1022" s="2">
        <v>9</v>
      </c>
      <c r="N1022" s="2" t="s">
        <v>21</v>
      </c>
      <c r="T1022" s="2" t="s">
        <v>16964</v>
      </c>
    </row>
    <row r="1023" spans="1:20" hidden="1">
      <c r="A1023" s="3" t="s">
        <v>4425</v>
      </c>
      <c r="B1023" s="2" t="s">
        <v>1230</v>
      </c>
      <c r="D1023" s="66" t="str">
        <f>VLOOKUP("*"&amp;A1023&amp;"*",[2]Sheet1!$G$2:$X$1155,18,FALSE)</f>
        <v>ERR10549765</v>
      </c>
      <c r="E1023" s="2">
        <v>2019</v>
      </c>
      <c r="F1023" s="2" t="s">
        <v>1112</v>
      </c>
      <c r="G1023" s="2" t="s">
        <v>5</v>
      </c>
      <c r="I1023" s="2" t="s">
        <v>10</v>
      </c>
      <c r="J1023" s="2" t="s">
        <v>59</v>
      </c>
      <c r="K1023" s="2" t="s">
        <v>1231</v>
      </c>
      <c r="L1023" s="2" t="s">
        <v>58</v>
      </c>
      <c r="M1023" s="2">
        <v>6</v>
      </c>
      <c r="N1023" s="2" t="s">
        <v>18</v>
      </c>
      <c r="T1023" s="2" t="s">
        <v>16964</v>
      </c>
    </row>
    <row r="1024" spans="1:20" hidden="1">
      <c r="A1024" s="3" t="s">
        <v>3246</v>
      </c>
      <c r="B1024" s="2" t="s">
        <v>1232</v>
      </c>
      <c r="D1024" s="66" t="str">
        <f>VLOOKUP("*"&amp;A1024&amp;"*",[2]Sheet1!$G$2:$X$1155,18,FALSE)</f>
        <v>ERR10549809</v>
      </c>
      <c r="E1024" s="2">
        <v>2020</v>
      </c>
      <c r="F1024" s="2" t="s">
        <v>1112</v>
      </c>
      <c r="G1024" s="2" t="s">
        <v>5</v>
      </c>
      <c r="I1024" s="2" t="s">
        <v>6</v>
      </c>
      <c r="J1024" s="2" t="s">
        <v>29</v>
      </c>
      <c r="K1024" s="2" t="s">
        <v>66</v>
      </c>
      <c r="L1024" s="2" t="s">
        <v>28</v>
      </c>
      <c r="M1024" s="2">
        <v>8</v>
      </c>
      <c r="N1024" s="2" t="s">
        <v>9</v>
      </c>
      <c r="T1024" s="2" t="s">
        <v>16964</v>
      </c>
    </row>
    <row r="1025" spans="1:25" hidden="1">
      <c r="A1025" s="3" t="s">
        <v>3218</v>
      </c>
      <c r="B1025" s="2" t="s">
        <v>1233</v>
      </c>
      <c r="D1025" s="66" t="str">
        <f>VLOOKUP("*"&amp;A1025&amp;"*",[2]Sheet1!$G$2:$X$1155,18,FALSE)</f>
        <v>ERR10549799</v>
      </c>
      <c r="E1025" s="2">
        <v>2020</v>
      </c>
      <c r="F1025" s="2" t="s">
        <v>1112</v>
      </c>
      <c r="G1025" s="2" t="s">
        <v>5</v>
      </c>
      <c r="I1025" s="2" t="s">
        <v>6</v>
      </c>
      <c r="J1025" s="2" t="s">
        <v>20</v>
      </c>
      <c r="K1025" s="2" t="s">
        <v>231</v>
      </c>
      <c r="L1025" s="2" t="s">
        <v>19</v>
      </c>
      <c r="M1025" s="2">
        <v>9</v>
      </c>
      <c r="N1025" s="2" t="s">
        <v>21</v>
      </c>
      <c r="T1025" s="2" t="s">
        <v>16963</v>
      </c>
      <c r="U1025" s="67" t="s">
        <v>2627</v>
      </c>
    </row>
    <row r="1026" spans="1:25" hidden="1">
      <c r="A1026" s="3" t="s">
        <v>3210</v>
      </c>
      <c r="B1026" s="2" t="s">
        <v>1234</v>
      </c>
      <c r="D1026" s="66" t="str">
        <f>VLOOKUP("*"&amp;A1026&amp;"*",[2]Sheet1!$G$2:$X$1155,18,FALSE)</f>
        <v>ERR10549794</v>
      </c>
      <c r="E1026" s="2">
        <v>2020</v>
      </c>
      <c r="F1026" s="2" t="s">
        <v>1112</v>
      </c>
      <c r="G1026" s="2" t="s">
        <v>5</v>
      </c>
      <c r="I1026" s="2" t="s">
        <v>6</v>
      </c>
      <c r="J1026" s="2" t="s">
        <v>20</v>
      </c>
      <c r="K1026" s="2" t="s">
        <v>231</v>
      </c>
      <c r="L1026" s="2" t="s">
        <v>19</v>
      </c>
      <c r="M1026" s="2">
        <v>9</v>
      </c>
      <c r="N1026" s="2" t="s">
        <v>21</v>
      </c>
      <c r="T1026" s="2" t="s">
        <v>16963</v>
      </c>
      <c r="U1026" s="67" t="s">
        <v>2627</v>
      </c>
    </row>
    <row r="1027" spans="1:25" hidden="1">
      <c r="A1027" s="3" t="s">
        <v>4005</v>
      </c>
      <c r="B1027" s="2" t="s">
        <v>1235</v>
      </c>
      <c r="D1027" s="66" t="str">
        <f>VLOOKUP("*"&amp;A1027&amp;"*",[2]Sheet1!$G$2:$X$1155,18,FALSE)</f>
        <v>ERR10549784</v>
      </c>
      <c r="E1027" s="2">
        <v>2020</v>
      </c>
      <c r="F1027" s="2" t="s">
        <v>1112</v>
      </c>
      <c r="G1027" s="2" t="s">
        <v>5</v>
      </c>
      <c r="I1027" s="2" t="s">
        <v>10</v>
      </c>
      <c r="J1027" s="2" t="s">
        <v>12</v>
      </c>
      <c r="K1027" s="2" t="s">
        <v>1236</v>
      </c>
      <c r="L1027" s="2" t="s">
        <v>11</v>
      </c>
      <c r="M1027" s="2" t="s">
        <v>2199</v>
      </c>
      <c r="N1027" s="2" t="s">
        <v>14</v>
      </c>
      <c r="T1027" s="2" t="s">
        <v>16964</v>
      </c>
    </row>
    <row r="1028" spans="1:25" hidden="1">
      <c r="A1028" s="3" t="s">
        <v>4211</v>
      </c>
      <c r="B1028" s="2" t="s">
        <v>1237</v>
      </c>
      <c r="D1028" s="66" t="str">
        <f>VLOOKUP("*"&amp;A1028&amp;"*",[2]Sheet1!$G$2:$X$1155,18,FALSE)</f>
        <v>ERR10549786</v>
      </c>
      <c r="E1028" s="2">
        <v>2020</v>
      </c>
      <c r="F1028" s="2" t="s">
        <v>1112</v>
      </c>
      <c r="G1028" s="2" t="s">
        <v>5</v>
      </c>
      <c r="I1028" s="2" t="s">
        <v>10</v>
      </c>
      <c r="J1028" s="2" t="s">
        <v>12</v>
      </c>
      <c r="K1028" s="2" t="s">
        <v>1238</v>
      </c>
      <c r="L1028" s="2" t="s">
        <v>11</v>
      </c>
      <c r="M1028" s="2">
        <v>3</v>
      </c>
      <c r="N1028" s="2" t="s">
        <v>14</v>
      </c>
      <c r="T1028" s="2" t="s">
        <v>16964</v>
      </c>
    </row>
    <row r="1029" spans="1:25" hidden="1">
      <c r="A1029" s="3" t="s">
        <v>3243</v>
      </c>
      <c r="B1029" s="2" t="s">
        <v>1239</v>
      </c>
      <c r="D1029" s="66" t="str">
        <f>VLOOKUP("*"&amp;A1029&amp;"*",[2]Sheet1!$G$2:$X$1155,18,FALSE)</f>
        <v>ERR10549817</v>
      </c>
      <c r="E1029" s="2">
        <v>2020</v>
      </c>
      <c r="F1029" s="2" t="s">
        <v>1112</v>
      </c>
      <c r="G1029" s="2" t="s">
        <v>5</v>
      </c>
      <c r="I1029" s="2" t="s">
        <v>6</v>
      </c>
      <c r="J1029" s="2" t="s">
        <v>29</v>
      </c>
      <c r="K1029" s="2" t="s">
        <v>66</v>
      </c>
      <c r="L1029" s="2" t="s">
        <v>28</v>
      </c>
      <c r="M1029" s="2">
        <v>8</v>
      </c>
      <c r="N1029" s="2" t="s">
        <v>9</v>
      </c>
      <c r="T1029" s="2" t="s">
        <v>16964</v>
      </c>
    </row>
    <row r="1030" spans="1:25" hidden="1">
      <c r="A1030" s="3" t="s">
        <v>3242</v>
      </c>
      <c r="B1030" s="2" t="s">
        <v>1240</v>
      </c>
      <c r="D1030" s="66" t="str">
        <f>VLOOKUP("*"&amp;A1030&amp;"*",[2]Sheet1!$G$2:$X$1155,18,FALSE)</f>
        <v>ERR10549824</v>
      </c>
      <c r="E1030" s="2">
        <v>2020</v>
      </c>
      <c r="F1030" s="2" t="s">
        <v>1112</v>
      </c>
      <c r="G1030" s="2" t="s">
        <v>5</v>
      </c>
      <c r="I1030" s="2" t="s">
        <v>6</v>
      </c>
      <c r="J1030" s="2" t="s">
        <v>29</v>
      </c>
      <c r="K1030" s="2" t="s">
        <v>66</v>
      </c>
      <c r="L1030" s="2" t="s">
        <v>28</v>
      </c>
      <c r="M1030" s="2">
        <v>8</v>
      </c>
      <c r="N1030" s="2" t="s">
        <v>9</v>
      </c>
      <c r="T1030" s="2" t="s">
        <v>16964</v>
      </c>
    </row>
    <row r="1031" spans="1:25" hidden="1">
      <c r="A1031" s="3" t="s">
        <v>3125</v>
      </c>
      <c r="B1031" s="2" t="s">
        <v>1241</v>
      </c>
      <c r="D1031" s="66" t="str">
        <f>VLOOKUP("*"&amp;A1031&amp;"*",[2]Sheet1!$G$2:$X$1155,18,FALSE)</f>
        <v>ERR10549787</v>
      </c>
      <c r="E1031" s="2">
        <v>2020</v>
      </c>
      <c r="F1031" s="2" t="s">
        <v>1112</v>
      </c>
      <c r="G1031" s="2" t="s">
        <v>5</v>
      </c>
      <c r="I1031" s="2" t="s">
        <v>6</v>
      </c>
      <c r="J1031" s="2" t="s">
        <v>29</v>
      </c>
      <c r="K1031" s="2" t="s">
        <v>66</v>
      </c>
      <c r="L1031" s="2" t="s">
        <v>28</v>
      </c>
      <c r="M1031" s="2">
        <v>8</v>
      </c>
      <c r="N1031" s="2" t="s">
        <v>9</v>
      </c>
      <c r="T1031" s="2" t="s">
        <v>16964</v>
      </c>
    </row>
    <row r="1032" spans="1:25" hidden="1">
      <c r="A1032" s="3" t="s">
        <v>2953</v>
      </c>
      <c r="B1032" s="2" t="s">
        <v>1242</v>
      </c>
      <c r="D1032" s="66" t="str">
        <f>VLOOKUP("*"&amp;A1032&amp;"*",[2]Sheet1!$G$2:$X$1155,18,FALSE)</f>
        <v>ERR10549715</v>
      </c>
      <c r="E1032" s="2">
        <v>2011</v>
      </c>
      <c r="F1032" s="2" t="s">
        <v>1112</v>
      </c>
      <c r="G1032" s="2" t="s">
        <v>5</v>
      </c>
      <c r="H1032" s="2" t="s">
        <v>2329</v>
      </c>
      <c r="I1032" s="2" t="s">
        <v>6</v>
      </c>
      <c r="J1032" s="2" t="s">
        <v>8</v>
      </c>
      <c r="K1032" s="2" t="s">
        <v>4568</v>
      </c>
      <c r="L1032" s="2" t="s">
        <v>7</v>
      </c>
      <c r="M1032" s="2">
        <v>121</v>
      </c>
      <c r="N1032" s="2" t="s">
        <v>9</v>
      </c>
      <c r="T1032" s="2" t="s">
        <v>16963</v>
      </c>
      <c r="X1032" s="67" t="s">
        <v>4722</v>
      </c>
    </row>
    <row r="1033" spans="1:25" hidden="1">
      <c r="A1033" s="3" t="s">
        <v>4112</v>
      </c>
      <c r="B1033" s="2" t="s">
        <v>1243</v>
      </c>
      <c r="D1033" s="66" t="str">
        <f>VLOOKUP("*"&amp;A1033&amp;"*",[2]Sheet1!$G$2:$X$1155,18,FALSE)</f>
        <v>ERR10549688</v>
      </c>
      <c r="E1033" s="2">
        <v>2011</v>
      </c>
      <c r="F1033" s="2" t="s">
        <v>1112</v>
      </c>
      <c r="G1033" s="2" t="s">
        <v>43</v>
      </c>
      <c r="H1033" s="2" t="s">
        <v>2498</v>
      </c>
      <c r="I1033" s="2" t="s">
        <v>6</v>
      </c>
      <c r="J1033" s="2" t="s">
        <v>102</v>
      </c>
      <c r="K1033" s="2" t="s">
        <v>1244</v>
      </c>
      <c r="L1033" s="2" t="s">
        <v>101</v>
      </c>
      <c r="M1033" s="2">
        <v>7</v>
      </c>
      <c r="N1033" s="2" t="s">
        <v>9</v>
      </c>
      <c r="T1033" s="2" t="s">
        <v>16964</v>
      </c>
    </row>
    <row r="1034" spans="1:25" hidden="1">
      <c r="A1034" s="3" t="s">
        <v>4116</v>
      </c>
      <c r="B1034" s="2" t="s">
        <v>1245</v>
      </c>
      <c r="D1034" s="66" t="str">
        <f>VLOOKUP("*"&amp;A1034&amp;"*",[2]Sheet1!$G$2:$X$1155,18,FALSE)</f>
        <v>ERR10549739</v>
      </c>
      <c r="E1034" s="2">
        <v>2011</v>
      </c>
      <c r="F1034" s="2" t="s">
        <v>1112</v>
      </c>
      <c r="G1034" s="2" t="s">
        <v>43</v>
      </c>
      <c r="H1034" s="2" t="s">
        <v>2498</v>
      </c>
      <c r="I1034" s="2" t="s">
        <v>6</v>
      </c>
      <c r="J1034" s="2" t="s">
        <v>102</v>
      </c>
      <c r="K1034" s="2" t="s">
        <v>1244</v>
      </c>
      <c r="L1034" s="2" t="s">
        <v>101</v>
      </c>
      <c r="M1034" s="2">
        <v>7</v>
      </c>
      <c r="N1034" s="2" t="s">
        <v>9</v>
      </c>
      <c r="T1034" s="2" t="s">
        <v>16963</v>
      </c>
      <c r="Y1034" s="67" t="s">
        <v>2627</v>
      </c>
    </row>
    <row r="1035" spans="1:25" hidden="1">
      <c r="A1035" s="3" t="s">
        <v>4069</v>
      </c>
      <c r="B1035" s="2" t="s">
        <v>1246</v>
      </c>
      <c r="D1035" s="66" t="str">
        <f>VLOOKUP("*"&amp;A1035&amp;"*",[2]Sheet1!$G$2:$X$1155,18,FALSE)</f>
        <v>ERR10549692</v>
      </c>
      <c r="E1035" s="2">
        <v>2011</v>
      </c>
      <c r="F1035" s="2" t="s">
        <v>1112</v>
      </c>
      <c r="G1035" s="2" t="s">
        <v>5</v>
      </c>
      <c r="H1035" s="2" t="s">
        <v>2485</v>
      </c>
      <c r="I1035" s="2" t="s">
        <v>10</v>
      </c>
      <c r="J1035" s="2" t="s">
        <v>35</v>
      </c>
      <c r="K1035" s="2" t="s">
        <v>1247</v>
      </c>
      <c r="L1035" s="2" t="s">
        <v>34</v>
      </c>
      <c r="M1035" s="2">
        <v>5</v>
      </c>
      <c r="N1035" s="2" t="s">
        <v>14</v>
      </c>
      <c r="T1035" s="2" t="s">
        <v>16964</v>
      </c>
    </row>
    <row r="1036" spans="1:25" hidden="1">
      <c r="A1036" s="3" t="s">
        <v>4379</v>
      </c>
      <c r="B1036" s="2" t="s">
        <v>1248</v>
      </c>
      <c r="D1036" s="66" t="str">
        <f>VLOOKUP("*"&amp;A1036&amp;"*",[2]Sheet1!$G$2:$X$1155,18,FALSE)</f>
        <v>ERR10549789</v>
      </c>
      <c r="E1036" s="2">
        <v>2011</v>
      </c>
      <c r="F1036" s="2" t="s">
        <v>1112</v>
      </c>
      <c r="G1036" s="2" t="s">
        <v>5</v>
      </c>
      <c r="H1036" s="2" t="s">
        <v>2497</v>
      </c>
      <c r="I1036" s="2" t="s">
        <v>6</v>
      </c>
      <c r="J1036" s="2" t="s">
        <v>120</v>
      </c>
      <c r="K1036" s="2" t="s">
        <v>1249</v>
      </c>
      <c r="L1036" s="2" t="s">
        <v>119</v>
      </c>
      <c r="M1036" s="2">
        <v>155</v>
      </c>
      <c r="N1036" s="2" t="s">
        <v>9</v>
      </c>
      <c r="T1036" s="2" t="s">
        <v>16964</v>
      </c>
    </row>
    <row r="1037" spans="1:25" hidden="1">
      <c r="A1037" s="3" t="s">
        <v>4392</v>
      </c>
      <c r="B1037" s="2" t="s">
        <v>1250</v>
      </c>
      <c r="D1037" s="66" t="str">
        <f>VLOOKUP("*"&amp;A1037&amp;"*",[2]Sheet1!$G$2:$X$1155,18,FALSE)</f>
        <v>ERR10549693</v>
      </c>
      <c r="E1037" s="2">
        <v>2011</v>
      </c>
      <c r="F1037" s="2" t="s">
        <v>1112</v>
      </c>
      <c r="G1037" s="2" t="s">
        <v>5</v>
      </c>
      <c r="H1037" s="2" t="s">
        <v>2485</v>
      </c>
      <c r="I1037" s="2" t="s">
        <v>6</v>
      </c>
      <c r="J1037" s="2" t="s">
        <v>40</v>
      </c>
      <c r="K1037" s="2" t="s">
        <v>1251</v>
      </c>
      <c r="L1037" s="2" t="s">
        <v>39</v>
      </c>
      <c r="M1037" s="2">
        <v>37</v>
      </c>
      <c r="N1037" s="2" t="s">
        <v>9</v>
      </c>
      <c r="T1037" s="2" t="s">
        <v>16964</v>
      </c>
    </row>
    <row r="1038" spans="1:25" hidden="1">
      <c r="A1038" s="3" t="s">
        <v>4378</v>
      </c>
      <c r="B1038" s="2" t="s">
        <v>1474</v>
      </c>
      <c r="D1038" s="66" t="str">
        <f>VLOOKUP("*"&amp;A1038&amp;"*",[2]Sheet1!$G$2:$X$1155,18,FALSE)</f>
        <v>ERR10549682</v>
      </c>
      <c r="E1038" s="2">
        <v>2011</v>
      </c>
      <c r="F1038" s="2" t="s">
        <v>1112</v>
      </c>
      <c r="G1038" s="2" t="s">
        <v>5</v>
      </c>
      <c r="H1038" s="2" t="s">
        <v>2329</v>
      </c>
      <c r="I1038" s="2" t="s">
        <v>6</v>
      </c>
      <c r="J1038" s="2" t="s">
        <v>29</v>
      </c>
      <c r="K1038" s="2" t="s">
        <v>1476</v>
      </c>
      <c r="L1038" s="2" t="s">
        <v>28</v>
      </c>
      <c r="M1038" s="2">
        <v>8</v>
      </c>
      <c r="N1038" s="2" t="s">
        <v>9</v>
      </c>
      <c r="T1038" s="2" t="s">
        <v>16964</v>
      </c>
    </row>
    <row r="1039" spans="1:25" hidden="1">
      <c r="A1039" s="3" t="s">
        <v>3266</v>
      </c>
      <c r="B1039" s="2" t="s">
        <v>1252</v>
      </c>
      <c r="D1039" s="66" t="str">
        <f>VLOOKUP("*"&amp;A1039&amp;"*",[2]Sheet1!$G$2:$X$1155,18,FALSE)</f>
        <v>ERR10549708</v>
      </c>
      <c r="E1039" s="2">
        <v>2011</v>
      </c>
      <c r="F1039" s="2" t="s">
        <v>1112</v>
      </c>
      <c r="G1039" s="2" t="s">
        <v>5</v>
      </c>
      <c r="H1039" s="2" t="s">
        <v>2496</v>
      </c>
      <c r="I1039" s="2" t="s">
        <v>6</v>
      </c>
      <c r="J1039" s="2" t="s">
        <v>8</v>
      </c>
      <c r="K1039" s="2" t="s">
        <v>1253</v>
      </c>
      <c r="L1039" s="2" t="s">
        <v>7</v>
      </c>
      <c r="M1039" s="2">
        <v>121</v>
      </c>
      <c r="N1039" s="2" t="s">
        <v>9</v>
      </c>
      <c r="T1039" s="2" t="s">
        <v>16963</v>
      </c>
      <c r="X1039" s="67" t="s">
        <v>4722</v>
      </c>
    </row>
    <row r="1040" spans="1:25" hidden="1">
      <c r="A1040" s="3" t="s">
        <v>4024</v>
      </c>
      <c r="B1040" s="2" t="s">
        <v>1254</v>
      </c>
      <c r="D1040" s="66" t="str">
        <f>VLOOKUP("*"&amp;A1040&amp;"*",[2]Sheet1!$G$2:$X$1155,18,FALSE)</f>
        <v>ERR10549719</v>
      </c>
      <c r="E1040" s="2">
        <v>2011</v>
      </c>
      <c r="F1040" s="2" t="s">
        <v>1112</v>
      </c>
      <c r="G1040" s="2" t="s">
        <v>5</v>
      </c>
      <c r="H1040" s="2" t="s">
        <v>2495</v>
      </c>
      <c r="I1040" s="2" t="s">
        <v>6</v>
      </c>
      <c r="J1040" s="2" t="s">
        <v>56</v>
      </c>
      <c r="K1040" s="2" t="s">
        <v>1255</v>
      </c>
      <c r="L1040" s="2" t="s">
        <v>55</v>
      </c>
      <c r="M1040" s="2">
        <v>451</v>
      </c>
      <c r="N1040" s="2" t="s">
        <v>9</v>
      </c>
      <c r="T1040" s="2" t="s">
        <v>16964</v>
      </c>
    </row>
    <row r="1041" spans="1:24" hidden="1">
      <c r="A1041" s="3" t="s">
        <v>3703</v>
      </c>
      <c r="B1041" s="2" t="s">
        <v>1256</v>
      </c>
      <c r="D1041" s="66" t="str">
        <f>VLOOKUP("*"&amp;A1041&amp;"*",[2]Sheet1!$G$2:$X$1155,18,FALSE)</f>
        <v>ERR10549712</v>
      </c>
      <c r="E1041" s="2">
        <v>2011</v>
      </c>
      <c r="F1041" s="2" t="s">
        <v>1112</v>
      </c>
      <c r="G1041" s="2" t="s">
        <v>5</v>
      </c>
      <c r="H1041" s="2" t="s">
        <v>2494</v>
      </c>
      <c r="I1041" s="2" t="s">
        <v>6</v>
      </c>
      <c r="J1041" s="2" t="s">
        <v>1258</v>
      </c>
      <c r="K1041" s="2" t="s">
        <v>1259</v>
      </c>
      <c r="L1041" s="2" t="s">
        <v>1257</v>
      </c>
      <c r="M1041" s="2">
        <v>124</v>
      </c>
      <c r="N1041" s="2" t="s">
        <v>9</v>
      </c>
      <c r="T1041" s="2" t="s">
        <v>16964</v>
      </c>
    </row>
    <row r="1042" spans="1:24" hidden="1">
      <c r="A1042" s="3" t="s">
        <v>4000</v>
      </c>
      <c r="B1042" s="2" t="s">
        <v>1260</v>
      </c>
      <c r="D1042" s="66" t="str">
        <f>VLOOKUP("*"&amp;A1042&amp;"*",[2]Sheet1!$G$2:$X$1155,18,FALSE)</f>
        <v>ERR10549705</v>
      </c>
      <c r="E1042" s="2">
        <v>2011</v>
      </c>
      <c r="F1042" s="2" t="s">
        <v>1112</v>
      </c>
      <c r="G1042" s="2" t="s">
        <v>5</v>
      </c>
      <c r="H1042" s="2" t="s">
        <v>2493</v>
      </c>
      <c r="I1042" s="2" t="s">
        <v>6</v>
      </c>
      <c r="J1042" s="2" t="s">
        <v>20</v>
      </c>
      <c r="K1042" s="2" t="s">
        <v>1261</v>
      </c>
      <c r="L1042" s="2" t="s">
        <v>19</v>
      </c>
      <c r="M1042" s="2">
        <v>9</v>
      </c>
      <c r="N1042" s="2" t="s">
        <v>21</v>
      </c>
      <c r="T1042" s="2" t="s">
        <v>16964</v>
      </c>
    </row>
    <row r="1043" spans="1:24" hidden="1">
      <c r="A1043" s="3" t="s">
        <v>3384</v>
      </c>
      <c r="B1043" s="2" t="s">
        <v>1262</v>
      </c>
      <c r="D1043" s="66" t="str">
        <f>VLOOKUP("*"&amp;A1043&amp;"*",[2]Sheet1!$G$2:$X$1155,18,FALSE)</f>
        <v>ERR10549714</v>
      </c>
      <c r="E1043" s="2">
        <v>2011</v>
      </c>
      <c r="F1043" s="2" t="s">
        <v>1112</v>
      </c>
      <c r="G1043" s="2" t="s">
        <v>5</v>
      </c>
      <c r="H1043" s="2" t="s">
        <v>2329</v>
      </c>
      <c r="I1043" s="2" t="s">
        <v>6</v>
      </c>
      <c r="J1043" s="2" t="s">
        <v>150</v>
      </c>
      <c r="K1043" s="2" t="s">
        <v>1263</v>
      </c>
      <c r="L1043" s="2" t="s">
        <v>149</v>
      </c>
      <c r="M1043" s="2">
        <v>403</v>
      </c>
      <c r="N1043" s="2" t="s">
        <v>9</v>
      </c>
      <c r="T1043" s="2" t="s">
        <v>16964</v>
      </c>
    </row>
    <row r="1044" spans="1:24" hidden="1">
      <c r="A1044" s="3" t="s">
        <v>2920</v>
      </c>
      <c r="B1044" s="2" t="s">
        <v>1264</v>
      </c>
      <c r="D1044" s="66" t="str">
        <f>VLOOKUP("*"&amp;A1044&amp;"*",[2]Sheet1!$G$2:$X$1155,18,FALSE)</f>
        <v>ERR10549720</v>
      </c>
      <c r="E1044" s="2">
        <v>2012</v>
      </c>
      <c r="F1044" s="2" t="s">
        <v>1112</v>
      </c>
      <c r="G1044" s="2" t="s">
        <v>270</v>
      </c>
      <c r="H1044" s="2" t="s">
        <v>2483</v>
      </c>
      <c r="I1044" s="2" t="s">
        <v>6</v>
      </c>
      <c r="J1044" s="2" t="s">
        <v>115</v>
      </c>
      <c r="K1044" s="2" t="s">
        <v>1265</v>
      </c>
      <c r="L1044" s="2" t="s">
        <v>114</v>
      </c>
      <c r="M1044" s="2">
        <v>21</v>
      </c>
      <c r="N1044" s="2" t="s">
        <v>9</v>
      </c>
      <c r="T1044" s="2" t="s">
        <v>16964</v>
      </c>
    </row>
    <row r="1045" spans="1:24" hidden="1">
      <c r="A1045" s="3" t="s">
        <v>4377</v>
      </c>
      <c r="B1045" s="2" t="s">
        <v>1266</v>
      </c>
      <c r="D1045" s="66" t="str">
        <f>VLOOKUP("*"&amp;A1045&amp;"*",[2]Sheet1!$G$2:$X$1155,18,FALSE)</f>
        <v>ERR10549666</v>
      </c>
      <c r="E1045" s="2">
        <v>2008</v>
      </c>
      <c r="F1045" s="2" t="s">
        <v>1112</v>
      </c>
      <c r="G1045" s="2" t="s">
        <v>44</v>
      </c>
      <c r="H1045" s="2" t="s">
        <v>2479</v>
      </c>
      <c r="I1045" s="2" t="s">
        <v>10</v>
      </c>
      <c r="J1045" s="2" t="s">
        <v>31</v>
      </c>
      <c r="K1045" s="2" t="s">
        <v>1267</v>
      </c>
      <c r="L1045" s="2" t="s">
        <v>30</v>
      </c>
      <c r="M1045" s="2">
        <v>59</v>
      </c>
      <c r="N1045" s="2" t="s">
        <v>14</v>
      </c>
      <c r="T1045" s="2" t="s">
        <v>16964</v>
      </c>
    </row>
    <row r="1046" spans="1:24" hidden="1">
      <c r="A1046" s="3" t="s">
        <v>4320</v>
      </c>
      <c r="B1046" s="2" t="s">
        <v>1268</v>
      </c>
      <c r="D1046" s="66" t="str">
        <f>VLOOKUP("*"&amp;A1046&amp;"*",[2]Sheet1!$G$2:$X$1155,18,FALSE)</f>
        <v>ERR10549696</v>
      </c>
      <c r="E1046" s="2">
        <v>2009</v>
      </c>
      <c r="F1046" s="2" t="s">
        <v>1112</v>
      </c>
      <c r="G1046" s="2" t="s">
        <v>5</v>
      </c>
      <c r="H1046" s="2" t="s">
        <v>2492</v>
      </c>
      <c r="I1046" s="2" t="s">
        <v>10</v>
      </c>
      <c r="J1046" s="2" t="s">
        <v>129</v>
      </c>
      <c r="K1046" s="2" t="s">
        <v>1269</v>
      </c>
      <c r="L1046" s="2" t="s">
        <v>128</v>
      </c>
      <c r="M1046" s="2">
        <v>1</v>
      </c>
      <c r="N1046" s="2" t="s">
        <v>18</v>
      </c>
      <c r="T1046" s="2" t="s">
        <v>16964</v>
      </c>
    </row>
    <row r="1047" spans="1:24" hidden="1">
      <c r="A1047" s="3" t="s">
        <v>3663</v>
      </c>
      <c r="B1047" s="2" t="s">
        <v>1270</v>
      </c>
      <c r="D1047" s="66" t="str">
        <f>VLOOKUP("*"&amp;A1047&amp;"*",[2]Sheet1!$G$2:$X$1155,18,FALSE)</f>
        <v>ERR10549722</v>
      </c>
      <c r="E1047" s="2">
        <v>2009</v>
      </c>
      <c r="F1047" s="2" t="s">
        <v>1112</v>
      </c>
      <c r="G1047" s="2" t="s">
        <v>5</v>
      </c>
      <c r="H1047" s="2" t="s">
        <v>2491</v>
      </c>
      <c r="I1047" s="2" t="s">
        <v>10</v>
      </c>
      <c r="J1047" s="2" t="s">
        <v>35</v>
      </c>
      <c r="K1047" s="2" t="s">
        <v>1271</v>
      </c>
      <c r="L1047" s="2" t="s">
        <v>34</v>
      </c>
      <c r="M1047" s="2">
        <v>5</v>
      </c>
      <c r="N1047" s="2" t="s">
        <v>14</v>
      </c>
      <c r="T1047" s="2" t="s">
        <v>16964</v>
      </c>
    </row>
    <row r="1048" spans="1:24" hidden="1">
      <c r="A1048" s="3" t="s">
        <v>3269</v>
      </c>
      <c r="B1048" s="2" t="s">
        <v>1272</v>
      </c>
      <c r="D1048" s="66" t="str">
        <f>VLOOKUP("*"&amp;A1048&amp;"*",[2]Sheet1!$G$2:$X$1155,18,FALSE)</f>
        <v>ERR10549704</v>
      </c>
      <c r="E1048" s="2">
        <v>2009</v>
      </c>
      <c r="F1048" s="2" t="s">
        <v>1112</v>
      </c>
      <c r="G1048" s="2" t="s">
        <v>5</v>
      </c>
      <c r="H1048" s="2" t="s">
        <v>2490</v>
      </c>
      <c r="I1048" s="2" t="s">
        <v>6</v>
      </c>
      <c r="J1048" s="2" t="s">
        <v>8</v>
      </c>
      <c r="K1048" s="2" t="s">
        <v>94</v>
      </c>
      <c r="L1048" s="2" t="s">
        <v>7</v>
      </c>
      <c r="M1048" s="2">
        <v>121</v>
      </c>
      <c r="N1048" s="2" t="s">
        <v>9</v>
      </c>
      <c r="T1048" s="2" t="s">
        <v>16963</v>
      </c>
      <c r="X1048" s="67" t="s">
        <v>4722</v>
      </c>
    </row>
    <row r="1049" spans="1:24" hidden="1">
      <c r="A1049" s="3" t="s">
        <v>2980</v>
      </c>
      <c r="B1049" s="2" t="s">
        <v>1273</v>
      </c>
      <c r="D1049" s="66" t="str">
        <f>VLOOKUP("*"&amp;A1049&amp;"*",[2]Sheet1!$G$2:$X$1155,18,FALSE)</f>
        <v>ERR10549703</v>
      </c>
      <c r="E1049" s="2">
        <v>2010</v>
      </c>
      <c r="F1049" s="2" t="s">
        <v>1112</v>
      </c>
      <c r="G1049" s="2" t="s">
        <v>5</v>
      </c>
      <c r="H1049" s="2" t="s">
        <v>2489</v>
      </c>
      <c r="I1049" s="2" t="s">
        <v>6</v>
      </c>
      <c r="J1049" s="2" t="s">
        <v>8</v>
      </c>
      <c r="K1049" s="2" t="s">
        <v>1274</v>
      </c>
      <c r="L1049" s="2" t="s">
        <v>7</v>
      </c>
      <c r="M1049" s="2">
        <v>121</v>
      </c>
      <c r="N1049" s="2" t="s">
        <v>9</v>
      </c>
      <c r="T1049" s="2" t="s">
        <v>16963</v>
      </c>
      <c r="X1049" s="67" t="s">
        <v>4722</v>
      </c>
    </row>
    <row r="1050" spans="1:24" hidden="1">
      <c r="A1050" s="3" t="s">
        <v>3929</v>
      </c>
      <c r="B1050" s="2" t="s">
        <v>1275</v>
      </c>
      <c r="D1050" s="66" t="str">
        <f>VLOOKUP("*"&amp;A1050&amp;"*",[2]Sheet1!$G$2:$X$1155,18,FALSE)</f>
        <v>ERR10549707</v>
      </c>
      <c r="E1050" s="2">
        <v>2010</v>
      </c>
      <c r="F1050" s="2" t="s">
        <v>1112</v>
      </c>
      <c r="G1050" s="2" t="s">
        <v>5</v>
      </c>
      <c r="H1050" s="2" t="s">
        <v>2488</v>
      </c>
      <c r="I1050" s="2" t="s">
        <v>10</v>
      </c>
      <c r="J1050" s="2" t="s">
        <v>98</v>
      </c>
      <c r="K1050" s="2" t="s">
        <v>1276</v>
      </c>
      <c r="L1050" s="2" t="s">
        <v>97</v>
      </c>
      <c r="M1050" s="2">
        <v>224</v>
      </c>
      <c r="N1050" s="2" t="s">
        <v>14</v>
      </c>
      <c r="T1050" s="2" t="s">
        <v>16964</v>
      </c>
    </row>
    <row r="1051" spans="1:24" hidden="1">
      <c r="A1051" s="3" t="s">
        <v>4183</v>
      </c>
      <c r="B1051" s="2" t="s">
        <v>1277</v>
      </c>
      <c r="D1051" s="66" t="str">
        <f>VLOOKUP("*"&amp;A1051&amp;"*",[2]Sheet1!$G$2:$X$1155,18,FALSE)</f>
        <v>ERR10549695</v>
      </c>
      <c r="E1051" s="2">
        <v>2010</v>
      </c>
      <c r="F1051" s="2" t="s">
        <v>1112</v>
      </c>
      <c r="G1051" s="2" t="s">
        <v>5</v>
      </c>
      <c r="H1051" s="2" t="s">
        <v>2485</v>
      </c>
      <c r="I1051" s="2" t="s">
        <v>10</v>
      </c>
      <c r="J1051" s="2" t="s">
        <v>35</v>
      </c>
      <c r="K1051" s="2" t="s">
        <v>1278</v>
      </c>
      <c r="L1051" s="2" t="s">
        <v>34</v>
      </c>
      <c r="M1051" s="2">
        <v>5</v>
      </c>
      <c r="N1051" s="2" t="s">
        <v>14</v>
      </c>
      <c r="T1051" s="2" t="s">
        <v>16964</v>
      </c>
    </row>
    <row r="1052" spans="1:24" hidden="1">
      <c r="A1052" s="3" t="s">
        <v>4190</v>
      </c>
      <c r="B1052" s="2" t="s">
        <v>1279</v>
      </c>
      <c r="D1052" s="66" t="str">
        <f>VLOOKUP("*"&amp;A1052&amp;"*",[2]Sheet1!$G$2:$X$1155,18,FALSE)</f>
        <v>ERR10549677</v>
      </c>
      <c r="E1052" s="2">
        <v>2010</v>
      </c>
      <c r="F1052" s="2" t="s">
        <v>1112</v>
      </c>
      <c r="G1052" s="2" t="s">
        <v>5</v>
      </c>
      <c r="H1052" s="2" t="s">
        <v>2487</v>
      </c>
      <c r="I1052" s="2" t="s">
        <v>6</v>
      </c>
      <c r="J1052" s="2" t="s">
        <v>20</v>
      </c>
      <c r="K1052" s="2" t="s">
        <v>1280</v>
      </c>
      <c r="L1052" s="2" t="s">
        <v>19</v>
      </c>
      <c r="M1052" s="2">
        <v>9</v>
      </c>
      <c r="N1052" s="2" t="s">
        <v>21</v>
      </c>
      <c r="T1052" s="2" t="s">
        <v>16964</v>
      </c>
    </row>
    <row r="1053" spans="1:24" hidden="1">
      <c r="A1053" s="3" t="s">
        <v>3937</v>
      </c>
      <c r="B1053" s="2" t="s">
        <v>1281</v>
      </c>
      <c r="D1053" s="66" t="str">
        <f>VLOOKUP("*"&amp;A1053&amp;"*",[2]Sheet1!$G$2:$X$1155,18,FALSE)</f>
        <v>ERR10549731</v>
      </c>
      <c r="E1053" s="2">
        <v>2010</v>
      </c>
      <c r="F1053" s="2" t="s">
        <v>1112</v>
      </c>
      <c r="G1053" s="2" t="s">
        <v>43</v>
      </c>
      <c r="H1053" s="2" t="s">
        <v>2481</v>
      </c>
      <c r="I1053" s="2" t="s">
        <v>6</v>
      </c>
      <c r="J1053" s="2" t="s">
        <v>40</v>
      </c>
      <c r="K1053" s="2" t="s">
        <v>1282</v>
      </c>
      <c r="L1053" s="2" t="s">
        <v>39</v>
      </c>
      <c r="M1053" s="2">
        <v>37</v>
      </c>
      <c r="N1053" s="2" t="s">
        <v>9</v>
      </c>
      <c r="T1053" s="2" t="s">
        <v>16964</v>
      </c>
    </row>
    <row r="1054" spans="1:24" hidden="1">
      <c r="A1054" s="3" t="s">
        <v>4230</v>
      </c>
      <c r="B1054" s="2" t="s">
        <v>1283</v>
      </c>
      <c r="D1054" s="66" t="str">
        <f>VLOOKUP("*"&amp;A1054&amp;"*",[2]Sheet1!$G$2:$X$1155,18,FALSE)</f>
        <v>ERR10549735</v>
      </c>
      <c r="E1054" s="2">
        <v>2010</v>
      </c>
      <c r="F1054" s="2" t="s">
        <v>1112</v>
      </c>
      <c r="G1054" s="2" t="s">
        <v>43</v>
      </c>
      <c r="H1054" s="2" t="s">
        <v>2481</v>
      </c>
      <c r="I1054" s="2" t="s">
        <v>6</v>
      </c>
      <c r="J1054" s="2" t="s">
        <v>218</v>
      </c>
      <c r="K1054" s="2" t="s">
        <v>1284</v>
      </c>
      <c r="L1054" s="2" t="s">
        <v>217</v>
      </c>
      <c r="M1054" s="2">
        <v>29</v>
      </c>
      <c r="N1054" s="2" t="s">
        <v>9</v>
      </c>
      <c r="T1054" s="2" t="s">
        <v>16964</v>
      </c>
    </row>
    <row r="1055" spans="1:24" hidden="1">
      <c r="A1055" s="3" t="s">
        <v>3721</v>
      </c>
      <c r="B1055" s="2" t="s">
        <v>1285</v>
      </c>
      <c r="D1055" s="66" t="str">
        <f>VLOOKUP("*"&amp;A1055&amp;"*",[2]Sheet1!$G$2:$X$1155,18,FALSE)</f>
        <v>ERR10549683</v>
      </c>
      <c r="E1055" s="2">
        <v>2010</v>
      </c>
      <c r="F1055" s="2" t="s">
        <v>1112</v>
      </c>
      <c r="G1055" s="2" t="s">
        <v>43</v>
      </c>
      <c r="H1055" s="2" t="s">
        <v>2481</v>
      </c>
      <c r="I1055" s="2" t="s">
        <v>10</v>
      </c>
      <c r="J1055" s="2" t="s">
        <v>1287</v>
      </c>
      <c r="K1055" s="2" t="s">
        <v>1288</v>
      </c>
      <c r="L1055" s="2" t="s">
        <v>1286</v>
      </c>
      <c r="M1055" s="2">
        <v>520</v>
      </c>
      <c r="N1055" s="2" t="s">
        <v>18</v>
      </c>
      <c r="T1055" s="2" t="s">
        <v>16964</v>
      </c>
    </row>
    <row r="1056" spans="1:24" hidden="1">
      <c r="A1056" s="3" t="s">
        <v>3518</v>
      </c>
      <c r="B1056" s="2" t="s">
        <v>1289</v>
      </c>
      <c r="D1056" s="66" t="str">
        <f>VLOOKUP("*"&amp;A1056&amp;"*",[2]Sheet1!$G$2:$X$1155,18,FALSE)</f>
        <v>ERR10549681</v>
      </c>
      <c r="E1056" s="2">
        <v>2010</v>
      </c>
      <c r="F1056" s="2" t="s">
        <v>1112</v>
      </c>
      <c r="G1056" s="2" t="s">
        <v>5</v>
      </c>
      <c r="H1056" s="2" t="s">
        <v>2486</v>
      </c>
      <c r="I1056" s="2" t="s">
        <v>6</v>
      </c>
      <c r="J1056" s="2" t="s">
        <v>102</v>
      </c>
      <c r="K1056" s="2" t="s">
        <v>1290</v>
      </c>
      <c r="L1056" s="2" t="s">
        <v>101</v>
      </c>
      <c r="M1056" s="2">
        <v>7</v>
      </c>
      <c r="N1056" s="2" t="s">
        <v>9</v>
      </c>
      <c r="T1056" s="2" t="s">
        <v>16964</v>
      </c>
    </row>
    <row r="1057" spans="1:25" hidden="1">
      <c r="A1057" s="3" t="s">
        <v>3883</v>
      </c>
      <c r="B1057" s="2" t="s">
        <v>1291</v>
      </c>
      <c r="D1057" s="66" t="str">
        <f>VLOOKUP("*"&amp;A1057&amp;"*",[2]Sheet1!$G$2:$X$1155,18,FALSE)</f>
        <v>ERR10549685</v>
      </c>
      <c r="E1057" s="2">
        <v>2010</v>
      </c>
      <c r="F1057" s="2" t="s">
        <v>1112</v>
      </c>
      <c r="G1057" s="2" t="s">
        <v>5</v>
      </c>
      <c r="H1057" s="2" t="s">
        <v>2485</v>
      </c>
      <c r="I1057" s="2" t="s">
        <v>10</v>
      </c>
      <c r="J1057" s="2" t="s">
        <v>35</v>
      </c>
      <c r="K1057" s="2" t="s">
        <v>1292</v>
      </c>
      <c r="L1057" s="2" t="s">
        <v>34</v>
      </c>
      <c r="M1057" s="2">
        <v>5</v>
      </c>
      <c r="N1057" s="2" t="s">
        <v>14</v>
      </c>
      <c r="T1057" s="2" t="s">
        <v>16964</v>
      </c>
    </row>
    <row r="1058" spans="1:25" hidden="1">
      <c r="A1058" s="3" t="s">
        <v>3509</v>
      </c>
      <c r="B1058" s="2" t="s">
        <v>1293</v>
      </c>
      <c r="D1058" s="66" t="str">
        <f>VLOOKUP("*"&amp;A1058&amp;"*",[2]Sheet1!$G$2:$X$1155,18,FALSE)</f>
        <v>ERR10549718</v>
      </c>
      <c r="E1058" s="2">
        <v>2011</v>
      </c>
      <c r="F1058" s="2" t="s">
        <v>1112</v>
      </c>
      <c r="G1058" s="2" t="s">
        <v>5</v>
      </c>
      <c r="H1058" s="2" t="s">
        <v>2484</v>
      </c>
      <c r="I1058" s="2" t="s">
        <v>10</v>
      </c>
      <c r="J1058" s="2" t="s">
        <v>1287</v>
      </c>
      <c r="K1058" s="2" t="s">
        <v>1294</v>
      </c>
      <c r="L1058" s="2" t="s">
        <v>1286</v>
      </c>
      <c r="M1058" s="2">
        <v>520</v>
      </c>
      <c r="N1058" s="2" t="s">
        <v>18</v>
      </c>
      <c r="T1058" s="2" t="s">
        <v>16964</v>
      </c>
    </row>
    <row r="1059" spans="1:25" hidden="1">
      <c r="A1059" s="3" t="s">
        <v>3743</v>
      </c>
      <c r="B1059" s="2" t="s">
        <v>1295</v>
      </c>
      <c r="D1059" s="66" t="str">
        <f>VLOOKUP("*"&amp;A1059&amp;"*",[2]Sheet1!$G$2:$X$1155,18,FALSE)</f>
        <v>ERR10549724</v>
      </c>
      <c r="E1059" s="2">
        <v>2012</v>
      </c>
      <c r="F1059" s="2" t="s">
        <v>1112</v>
      </c>
      <c r="G1059" s="2" t="s">
        <v>270</v>
      </c>
      <c r="H1059" s="2" t="s">
        <v>2483</v>
      </c>
      <c r="I1059" s="2" t="s">
        <v>6</v>
      </c>
      <c r="J1059" s="2" t="s">
        <v>56</v>
      </c>
      <c r="K1059" s="2" t="s">
        <v>1296</v>
      </c>
      <c r="L1059" s="2" t="s">
        <v>55</v>
      </c>
      <c r="M1059" s="2">
        <v>451</v>
      </c>
      <c r="N1059" s="2" t="s">
        <v>9</v>
      </c>
      <c r="T1059" s="2" t="s">
        <v>16964</v>
      </c>
    </row>
    <row r="1060" spans="1:25" hidden="1">
      <c r="A1060" s="3" t="s">
        <v>3393</v>
      </c>
      <c r="B1060" s="2" t="s">
        <v>1297</v>
      </c>
      <c r="D1060" s="66" t="str">
        <f>VLOOKUP("*"&amp;A1060&amp;"*",[2]Sheet1!$G$2:$X$1155,18,FALSE)</f>
        <v>ERR10549737</v>
      </c>
      <c r="E1060" s="2">
        <v>2012</v>
      </c>
      <c r="F1060" s="2" t="s">
        <v>1112</v>
      </c>
      <c r="G1060" s="2" t="s">
        <v>270</v>
      </c>
      <c r="H1060" s="2" t="s">
        <v>2483</v>
      </c>
      <c r="I1060" s="2" t="s">
        <v>6</v>
      </c>
      <c r="J1060" s="2" t="s">
        <v>1299</v>
      </c>
      <c r="K1060" s="2" t="s">
        <v>1300</v>
      </c>
      <c r="L1060" s="2" t="s">
        <v>1298</v>
      </c>
      <c r="M1060" s="2">
        <v>1110</v>
      </c>
      <c r="N1060" s="2" t="s">
        <v>9</v>
      </c>
      <c r="T1060" s="2" t="s">
        <v>16964</v>
      </c>
    </row>
    <row r="1061" spans="1:25" hidden="1">
      <c r="A1061" s="3" t="s">
        <v>4423</v>
      </c>
      <c r="B1061" s="2" t="s">
        <v>1301</v>
      </c>
      <c r="D1061" s="66" t="str">
        <f>VLOOKUP("*"&amp;A1061&amp;"*",[2]Sheet1!$G$2:$X$1155,18,FALSE)</f>
        <v>ERR10549706</v>
      </c>
      <c r="E1061" s="2">
        <v>2012</v>
      </c>
      <c r="F1061" s="2" t="s">
        <v>1112</v>
      </c>
      <c r="G1061" s="2" t="s">
        <v>270</v>
      </c>
      <c r="H1061" s="2" t="s">
        <v>2482</v>
      </c>
      <c r="I1061" s="2" t="s">
        <v>10</v>
      </c>
      <c r="J1061" s="2" t="s">
        <v>129</v>
      </c>
      <c r="K1061" s="2" t="s">
        <v>1302</v>
      </c>
      <c r="L1061" s="2" t="s">
        <v>128</v>
      </c>
      <c r="M1061" s="2">
        <v>1</v>
      </c>
      <c r="N1061" s="2" t="s">
        <v>18</v>
      </c>
      <c r="T1061" s="2" t="s">
        <v>16964</v>
      </c>
    </row>
    <row r="1062" spans="1:25" hidden="1">
      <c r="A1062" s="3" t="s">
        <v>4422</v>
      </c>
      <c r="B1062" s="2" t="s">
        <v>1303</v>
      </c>
      <c r="D1062" s="66" t="str">
        <f>VLOOKUP("*"&amp;A1062&amp;"*",[2]Sheet1!$G$2:$X$1155,18,FALSE)</f>
        <v>ERR10549723</v>
      </c>
      <c r="E1062" s="2">
        <v>2012</v>
      </c>
      <c r="F1062" s="2" t="s">
        <v>1112</v>
      </c>
      <c r="G1062" s="2" t="s">
        <v>270</v>
      </c>
      <c r="H1062" s="2" t="s">
        <v>2483</v>
      </c>
      <c r="I1062" s="2" t="s">
        <v>10</v>
      </c>
      <c r="J1062" s="2" t="s">
        <v>129</v>
      </c>
      <c r="K1062" s="2" t="s">
        <v>1304</v>
      </c>
      <c r="L1062" s="2" t="s">
        <v>128</v>
      </c>
      <c r="M1062" s="2">
        <v>1</v>
      </c>
      <c r="N1062" s="2" t="s">
        <v>18</v>
      </c>
      <c r="T1062" s="2" t="s">
        <v>16964</v>
      </c>
    </row>
    <row r="1063" spans="1:25" hidden="1">
      <c r="A1063" s="3" t="s">
        <v>4174</v>
      </c>
      <c r="B1063" s="2" t="s">
        <v>1305</v>
      </c>
      <c r="D1063" s="66" t="str">
        <f>VLOOKUP("*"&amp;A1063&amp;"*",[2]Sheet1!$G$2:$X$1155,18,FALSE)</f>
        <v>ERR10549756</v>
      </c>
      <c r="E1063" s="2">
        <v>2012</v>
      </c>
      <c r="F1063" s="2" t="s">
        <v>1112</v>
      </c>
      <c r="G1063" s="2" t="s">
        <v>270</v>
      </c>
      <c r="H1063" s="2" t="s">
        <v>2482</v>
      </c>
      <c r="I1063" s="2" t="s">
        <v>10</v>
      </c>
      <c r="J1063" s="2" t="s">
        <v>129</v>
      </c>
      <c r="K1063" s="2" t="s">
        <v>1306</v>
      </c>
      <c r="L1063" s="2" t="s">
        <v>128</v>
      </c>
      <c r="M1063" s="2">
        <v>1</v>
      </c>
      <c r="N1063" s="2" t="s">
        <v>18</v>
      </c>
      <c r="T1063" s="2" t="s">
        <v>16964</v>
      </c>
    </row>
    <row r="1064" spans="1:25" hidden="1">
      <c r="A1064" s="3" t="s">
        <v>3463</v>
      </c>
      <c r="B1064" s="2" t="s">
        <v>1307</v>
      </c>
      <c r="D1064" s="66" t="str">
        <f>VLOOKUP("*"&amp;A1064&amp;"*",[2]Sheet1!$G$2:$X$1155,18,FALSE)</f>
        <v>ERR10549730</v>
      </c>
      <c r="E1064" s="2">
        <v>2012</v>
      </c>
      <c r="F1064" s="2" t="s">
        <v>1112</v>
      </c>
      <c r="G1064" s="2" t="s">
        <v>43</v>
      </c>
      <c r="H1064" s="2" t="s">
        <v>2481</v>
      </c>
      <c r="I1064" s="2" t="s">
        <v>6</v>
      </c>
      <c r="J1064" s="2" t="s">
        <v>1309</v>
      </c>
      <c r="K1064" s="2" t="s">
        <v>1310</v>
      </c>
      <c r="L1064" s="2" t="s">
        <v>1308</v>
      </c>
      <c r="M1064" s="2">
        <v>570</v>
      </c>
      <c r="N1064" s="2" t="s">
        <v>9</v>
      </c>
      <c r="T1064" s="2" t="s">
        <v>16964</v>
      </c>
    </row>
    <row r="1065" spans="1:25" hidden="1">
      <c r="A1065" s="3" t="s">
        <v>3061</v>
      </c>
      <c r="B1065" s="2" t="s">
        <v>1311</v>
      </c>
      <c r="D1065" s="66" t="str">
        <f>VLOOKUP("*"&amp;A1065&amp;"*",[2]Sheet1!$G$2:$X$1155,18,FALSE)</f>
        <v>ERR10549732</v>
      </c>
      <c r="E1065" s="2">
        <v>2012</v>
      </c>
      <c r="F1065" s="2" t="s">
        <v>1112</v>
      </c>
      <c r="G1065" s="2" t="s">
        <v>43</v>
      </c>
      <c r="H1065" s="2" t="s">
        <v>2481</v>
      </c>
      <c r="I1065" s="2" t="s">
        <v>6</v>
      </c>
      <c r="J1065" s="2" t="s">
        <v>8</v>
      </c>
      <c r="K1065" s="2" t="s">
        <v>1312</v>
      </c>
      <c r="L1065" s="2" t="s">
        <v>7</v>
      </c>
      <c r="M1065" s="2">
        <v>121</v>
      </c>
      <c r="N1065" s="2" t="s">
        <v>9</v>
      </c>
      <c r="T1065" s="2" t="s">
        <v>16963</v>
      </c>
      <c r="X1065" s="67" t="s">
        <v>4722</v>
      </c>
    </row>
    <row r="1066" spans="1:25" hidden="1">
      <c r="A1066" s="3" t="s">
        <v>3876</v>
      </c>
      <c r="B1066" s="2" t="s">
        <v>1313</v>
      </c>
      <c r="D1066" s="66" t="str">
        <f>VLOOKUP("*"&amp;A1066&amp;"*",[2]Sheet1!$G$2:$X$1155,18,FALSE)</f>
        <v>ERR10549680</v>
      </c>
      <c r="E1066" s="2">
        <v>2007</v>
      </c>
      <c r="F1066" s="2" t="s">
        <v>1112</v>
      </c>
      <c r="G1066" s="2" t="s">
        <v>44</v>
      </c>
      <c r="H1066" s="2" t="s">
        <v>2480</v>
      </c>
      <c r="I1066" s="2" t="s">
        <v>6</v>
      </c>
      <c r="J1066" s="2" t="s">
        <v>29</v>
      </c>
      <c r="K1066" s="2" t="s">
        <v>66</v>
      </c>
      <c r="L1066" s="2" t="s">
        <v>28</v>
      </c>
      <c r="M1066" s="2">
        <v>8</v>
      </c>
      <c r="N1066" s="2" t="s">
        <v>9</v>
      </c>
      <c r="T1066" s="2" t="s">
        <v>16964</v>
      </c>
    </row>
    <row r="1067" spans="1:25" hidden="1">
      <c r="A1067" s="3" t="s">
        <v>3653</v>
      </c>
      <c r="B1067" s="2" t="s">
        <v>1314</v>
      </c>
      <c r="D1067" s="66" t="str">
        <f>VLOOKUP("*"&amp;A1067&amp;"*",[2]Sheet1!$G$2:$X$1155,18,FALSE)</f>
        <v>ERR10549700</v>
      </c>
      <c r="E1067" s="2">
        <v>2008</v>
      </c>
      <c r="F1067" s="2" t="s">
        <v>1112</v>
      </c>
      <c r="G1067" s="2" t="s">
        <v>44</v>
      </c>
      <c r="H1067" s="2" t="s">
        <v>2479</v>
      </c>
      <c r="I1067" s="2" t="s">
        <v>10</v>
      </c>
      <c r="J1067" s="2" t="s">
        <v>12</v>
      </c>
      <c r="K1067" s="2" t="s">
        <v>1315</v>
      </c>
      <c r="L1067" s="2" t="s">
        <v>11</v>
      </c>
      <c r="M1067" s="2">
        <v>39</v>
      </c>
      <c r="N1067" s="2" t="s">
        <v>14</v>
      </c>
      <c r="T1067" s="2" t="s">
        <v>16964</v>
      </c>
    </row>
    <row r="1068" spans="1:25" hidden="1">
      <c r="A1068" s="3" t="s">
        <v>4401</v>
      </c>
      <c r="B1068" s="2" t="s">
        <v>1316</v>
      </c>
      <c r="D1068" s="66" t="str">
        <f>VLOOKUP("*"&amp;A1068&amp;"*",[2]Sheet1!$G$2:$X$1155,18,FALSE)</f>
        <v>ERR10549736</v>
      </c>
      <c r="E1068" s="2">
        <v>2013</v>
      </c>
      <c r="F1068" s="2" t="s">
        <v>1112</v>
      </c>
      <c r="G1068" s="2" t="s">
        <v>5</v>
      </c>
      <c r="H1068" s="2" t="s">
        <v>2323</v>
      </c>
      <c r="I1068" s="2" t="s">
        <v>10</v>
      </c>
      <c r="J1068" s="2" t="s">
        <v>12</v>
      </c>
      <c r="K1068" s="2" t="s">
        <v>1317</v>
      </c>
      <c r="L1068" s="2" t="s">
        <v>11</v>
      </c>
      <c r="M1068" s="2">
        <v>3</v>
      </c>
      <c r="N1068" s="2" t="s">
        <v>14</v>
      </c>
      <c r="T1068" s="2" t="s">
        <v>16963</v>
      </c>
      <c r="Y1068" s="67" t="s">
        <v>2627</v>
      </c>
    </row>
    <row r="1069" spans="1:25" hidden="1">
      <c r="A1069" s="3" t="s">
        <v>4001</v>
      </c>
      <c r="B1069" s="2" t="s">
        <v>1318</v>
      </c>
      <c r="D1069" s="66" t="str">
        <f>VLOOKUP("*"&amp;A1069&amp;"*",[2]Sheet1!$G$2:$X$1155,18,FALSE)</f>
        <v>ERR10549733</v>
      </c>
      <c r="E1069" s="2">
        <v>2013</v>
      </c>
      <c r="F1069" s="2" t="s">
        <v>1112</v>
      </c>
      <c r="G1069" s="2" t="s">
        <v>5</v>
      </c>
      <c r="H1069" s="2" t="s">
        <v>2478</v>
      </c>
      <c r="I1069" s="2" t="s">
        <v>6</v>
      </c>
      <c r="J1069" s="2" t="s">
        <v>20</v>
      </c>
      <c r="K1069" s="2" t="s">
        <v>1319</v>
      </c>
      <c r="L1069" s="2" t="s">
        <v>19</v>
      </c>
      <c r="M1069" s="2">
        <v>9</v>
      </c>
      <c r="N1069" s="2" t="s">
        <v>21</v>
      </c>
      <c r="T1069" s="2" t="s">
        <v>16963</v>
      </c>
      <c r="X1069" s="67" t="s">
        <v>4725</v>
      </c>
    </row>
    <row r="1070" spans="1:25" hidden="1">
      <c r="A1070" s="3" t="s">
        <v>4246</v>
      </c>
      <c r="B1070" s="2" t="s">
        <v>1320</v>
      </c>
      <c r="D1070" s="66" t="str">
        <f>VLOOKUP("*"&amp;A1070&amp;"*",[2]Sheet1!$G$2:$X$1155,18,FALSE)</f>
        <v>ERR10549711</v>
      </c>
      <c r="E1070" s="2">
        <v>2014</v>
      </c>
      <c r="F1070" s="2" t="s">
        <v>1112</v>
      </c>
      <c r="G1070" s="2" t="s">
        <v>318</v>
      </c>
      <c r="H1070" s="2" t="s">
        <v>2320</v>
      </c>
      <c r="I1070" s="2" t="s">
        <v>10</v>
      </c>
      <c r="J1070" s="2" t="s">
        <v>129</v>
      </c>
      <c r="K1070" s="2" t="s">
        <v>1321</v>
      </c>
      <c r="L1070" s="2" t="s">
        <v>128</v>
      </c>
      <c r="M1070" s="2">
        <v>1</v>
      </c>
      <c r="N1070" s="2" t="s">
        <v>18</v>
      </c>
      <c r="T1070" s="2" t="s">
        <v>16964</v>
      </c>
    </row>
    <row r="1071" spans="1:25" hidden="1">
      <c r="A1071" s="3" t="s">
        <v>4178</v>
      </c>
      <c r="B1071" s="2" t="s">
        <v>1322</v>
      </c>
      <c r="D1071" s="66" t="str">
        <f>VLOOKUP("*"&amp;A1071&amp;"*",[2]Sheet1!$G$2:$X$1155,18,FALSE)</f>
        <v>ERR10549744</v>
      </c>
      <c r="E1071" s="2">
        <v>2014</v>
      </c>
      <c r="F1071" s="2" t="s">
        <v>1112</v>
      </c>
      <c r="G1071" s="2" t="s">
        <v>318</v>
      </c>
      <c r="H1071" s="2" t="s">
        <v>2319</v>
      </c>
      <c r="I1071" s="2" t="s">
        <v>10</v>
      </c>
      <c r="J1071" s="2" t="s">
        <v>129</v>
      </c>
      <c r="K1071" s="2" t="s">
        <v>1323</v>
      </c>
      <c r="L1071" s="2" t="s">
        <v>128</v>
      </c>
      <c r="M1071" s="2">
        <v>1</v>
      </c>
      <c r="N1071" s="2" t="s">
        <v>18</v>
      </c>
      <c r="T1071" s="2" t="s">
        <v>16964</v>
      </c>
    </row>
    <row r="1072" spans="1:25" hidden="1">
      <c r="A1072" s="3" t="s">
        <v>4049</v>
      </c>
      <c r="B1072" s="2" t="s">
        <v>1324</v>
      </c>
      <c r="D1072" s="66" t="str">
        <f>VLOOKUP("*"&amp;A1072&amp;"*",[2]Sheet1!$G$2:$X$1155,18,FALSE)</f>
        <v>ERR10549740</v>
      </c>
      <c r="E1072" s="2">
        <v>2014</v>
      </c>
      <c r="F1072" s="2" t="s">
        <v>1112</v>
      </c>
      <c r="G1072" s="2" t="s">
        <v>318</v>
      </c>
      <c r="H1072" s="2" t="s">
        <v>2477</v>
      </c>
      <c r="I1072" s="2" t="s">
        <v>10</v>
      </c>
      <c r="J1072" s="2" t="s">
        <v>765</v>
      </c>
      <c r="K1072" s="2" t="s">
        <v>1325</v>
      </c>
      <c r="L1072" s="2" t="s">
        <v>764</v>
      </c>
      <c r="M1072" s="2">
        <v>4</v>
      </c>
      <c r="N1072" s="2" t="s">
        <v>18</v>
      </c>
      <c r="T1072" s="2" t="s">
        <v>16964</v>
      </c>
    </row>
    <row r="1073" spans="1:20" hidden="1">
      <c r="A1073" s="3" t="s">
        <v>3069</v>
      </c>
      <c r="B1073" s="2" t="s">
        <v>1326</v>
      </c>
      <c r="D1073" s="66" t="str">
        <f>VLOOKUP("*"&amp;A1073&amp;"*",[2]Sheet1!$G$2:$X$1155,18,FALSE)</f>
        <v>ERR10549745</v>
      </c>
      <c r="E1073" s="2">
        <v>2014</v>
      </c>
      <c r="F1073" s="2" t="s">
        <v>1112</v>
      </c>
      <c r="G1073" s="2" t="s">
        <v>270</v>
      </c>
      <c r="H1073" s="2" t="s">
        <v>2474</v>
      </c>
      <c r="I1073" s="2" t="s">
        <v>6</v>
      </c>
      <c r="J1073" s="2" t="s">
        <v>115</v>
      </c>
      <c r="K1073" s="2" t="s">
        <v>1124</v>
      </c>
      <c r="L1073" s="2" t="s">
        <v>114</v>
      </c>
      <c r="M1073" s="2">
        <v>21</v>
      </c>
      <c r="N1073" s="2" t="s">
        <v>9</v>
      </c>
      <c r="T1073" s="2" t="s">
        <v>16964</v>
      </c>
    </row>
    <row r="1074" spans="1:20" hidden="1">
      <c r="A1074" s="3" t="s">
        <v>3933</v>
      </c>
      <c r="B1074" s="2" t="s">
        <v>1327</v>
      </c>
      <c r="D1074" s="66" t="str">
        <f>VLOOKUP("*"&amp;A1074&amp;"*",[2]Sheet1!$G$2:$X$1155,18,FALSE)</f>
        <v>ERR10549749</v>
      </c>
      <c r="E1074" s="2">
        <v>2014</v>
      </c>
      <c r="F1074" s="2" t="s">
        <v>1112</v>
      </c>
      <c r="G1074" s="2" t="s">
        <v>270</v>
      </c>
      <c r="H1074" s="2" t="s">
        <v>2476</v>
      </c>
      <c r="I1074" s="2" t="s">
        <v>6</v>
      </c>
      <c r="J1074" s="2" t="s">
        <v>1329</v>
      </c>
      <c r="K1074" s="2" t="s">
        <v>1330</v>
      </c>
      <c r="L1074" s="2" t="s">
        <v>1328</v>
      </c>
      <c r="M1074" s="2">
        <v>200</v>
      </c>
      <c r="N1074" s="2" t="s">
        <v>9</v>
      </c>
      <c r="T1074" s="2" t="s">
        <v>16964</v>
      </c>
    </row>
    <row r="1075" spans="1:20" hidden="1">
      <c r="A1075" s="3" t="s">
        <v>4311</v>
      </c>
      <c r="B1075" s="2" t="s">
        <v>1331</v>
      </c>
      <c r="D1075" s="66" t="str">
        <f>VLOOKUP("*"&amp;A1075&amp;"*",[2]Sheet1!$G$2:$X$1155,18,FALSE)</f>
        <v>ERR10549768</v>
      </c>
      <c r="E1075" s="2">
        <v>2014</v>
      </c>
      <c r="F1075" s="2" t="s">
        <v>1112</v>
      </c>
      <c r="G1075" s="2" t="s">
        <v>270</v>
      </c>
      <c r="H1075" s="2" t="s">
        <v>2475</v>
      </c>
      <c r="I1075" s="2" t="s">
        <v>6</v>
      </c>
      <c r="J1075" s="2" t="s">
        <v>218</v>
      </c>
      <c r="K1075" s="2" t="s">
        <v>1284</v>
      </c>
      <c r="L1075" s="2" t="s">
        <v>217</v>
      </c>
      <c r="M1075" s="2">
        <v>29</v>
      </c>
      <c r="N1075" s="2" t="s">
        <v>9</v>
      </c>
      <c r="T1075" s="2" t="s">
        <v>16964</v>
      </c>
    </row>
    <row r="1076" spans="1:20" hidden="1">
      <c r="A1076" s="3" t="s">
        <v>3837</v>
      </c>
      <c r="B1076" s="2" t="s">
        <v>1334</v>
      </c>
      <c r="D1076" s="66" t="str">
        <f>VLOOKUP("*"&amp;A1076&amp;"*",[2]Sheet1!$G$2:$X$1155,18,FALSE)</f>
        <v>ERR10549748</v>
      </c>
      <c r="E1076" s="2">
        <v>2014</v>
      </c>
      <c r="F1076" s="2" t="s">
        <v>1112</v>
      </c>
      <c r="G1076" s="2" t="s">
        <v>5</v>
      </c>
      <c r="H1076" s="2" t="s">
        <v>2472</v>
      </c>
      <c r="I1076" s="2" t="s">
        <v>6</v>
      </c>
      <c r="J1076" s="2" t="s">
        <v>40</v>
      </c>
      <c r="K1076" s="2" t="s">
        <v>1335</v>
      </c>
      <c r="L1076" s="2" t="s">
        <v>39</v>
      </c>
      <c r="M1076" s="2">
        <v>37</v>
      </c>
      <c r="N1076" s="2" t="s">
        <v>9</v>
      </c>
      <c r="T1076" s="2" t="s">
        <v>16964</v>
      </c>
    </row>
    <row r="1077" spans="1:20" hidden="1">
      <c r="A1077" s="3" t="s">
        <v>3630</v>
      </c>
      <c r="B1077" s="2" t="s">
        <v>1336</v>
      </c>
      <c r="D1077" s="66" t="str">
        <f>VLOOKUP("*"&amp;A1077&amp;"*",[2]Sheet1!$G$2:$X$1155,18,FALSE)</f>
        <v>ERR10549761</v>
      </c>
      <c r="E1077" s="2">
        <v>2014</v>
      </c>
      <c r="F1077" s="2" t="s">
        <v>1112</v>
      </c>
      <c r="G1077" s="2" t="s">
        <v>5</v>
      </c>
      <c r="H1077" s="2" t="s">
        <v>2473</v>
      </c>
      <c r="I1077" s="2" t="s">
        <v>10</v>
      </c>
      <c r="J1077" s="2" t="s">
        <v>17</v>
      </c>
      <c r="K1077" s="2" t="s">
        <v>1337</v>
      </c>
      <c r="L1077" s="2" t="s">
        <v>16</v>
      </c>
      <c r="M1077" s="2">
        <v>2</v>
      </c>
      <c r="N1077" s="2" t="s">
        <v>18</v>
      </c>
      <c r="T1077" s="2" t="s">
        <v>16964</v>
      </c>
    </row>
    <row r="1078" spans="1:20" hidden="1">
      <c r="A1078" s="3" t="s">
        <v>4177</v>
      </c>
      <c r="B1078" s="2" t="s">
        <v>1338</v>
      </c>
      <c r="D1078" s="66" t="str">
        <f>VLOOKUP("*"&amp;A1078&amp;"*",[2]Sheet1!$G$2:$X$1155,18,FALSE)</f>
        <v>ERR10549746</v>
      </c>
      <c r="E1078" s="2">
        <v>2014</v>
      </c>
      <c r="F1078" s="2" t="s">
        <v>1112</v>
      </c>
      <c r="G1078" s="2" t="s">
        <v>5</v>
      </c>
      <c r="H1078" s="2" t="s">
        <v>2472</v>
      </c>
      <c r="I1078" s="2" t="s">
        <v>10</v>
      </c>
      <c r="J1078" s="2" t="s">
        <v>129</v>
      </c>
      <c r="K1078" s="2" t="s">
        <v>1339</v>
      </c>
      <c r="L1078" s="2" t="s">
        <v>128</v>
      </c>
      <c r="M1078" s="2">
        <v>3022</v>
      </c>
      <c r="N1078" s="2" t="s">
        <v>18</v>
      </c>
      <c r="T1078" s="2" t="s">
        <v>16964</v>
      </c>
    </row>
    <row r="1079" spans="1:20" hidden="1">
      <c r="A1079" s="3" t="s">
        <v>4375</v>
      </c>
      <c r="B1079" s="2" t="s">
        <v>1340</v>
      </c>
      <c r="D1079" s="66" t="str">
        <f>VLOOKUP("*"&amp;A1079&amp;"*",[2]Sheet1!$G$2:$X$1155,18,FALSE)</f>
        <v>ERR10549752</v>
      </c>
      <c r="E1079" s="2">
        <v>2015</v>
      </c>
      <c r="F1079" s="2" t="s">
        <v>1112</v>
      </c>
      <c r="G1079" s="2" t="s">
        <v>318</v>
      </c>
      <c r="H1079" s="2" t="s">
        <v>2320</v>
      </c>
      <c r="I1079" s="2" t="s">
        <v>10</v>
      </c>
      <c r="J1079" s="2" t="s">
        <v>765</v>
      </c>
      <c r="K1079" s="2" t="s">
        <v>1132</v>
      </c>
      <c r="L1079" s="2" t="s">
        <v>764</v>
      </c>
      <c r="M1079" s="2">
        <v>4</v>
      </c>
      <c r="N1079" s="2" t="s">
        <v>18</v>
      </c>
      <c r="T1079" s="2" t="s">
        <v>16964</v>
      </c>
    </row>
    <row r="1080" spans="1:20" hidden="1">
      <c r="A1080" s="3" t="s">
        <v>4061</v>
      </c>
      <c r="B1080" s="2" t="s">
        <v>1341</v>
      </c>
      <c r="D1080" s="66" t="str">
        <f>VLOOKUP("*"&amp;A1080&amp;"*",[2]Sheet1!$G$2:$X$1155,18,FALSE)</f>
        <v>ERR10549757</v>
      </c>
      <c r="E1080" s="2">
        <v>2015</v>
      </c>
      <c r="F1080" s="2" t="s">
        <v>1112</v>
      </c>
      <c r="G1080" s="2" t="s">
        <v>318</v>
      </c>
      <c r="H1080" s="2" t="s">
        <v>2319</v>
      </c>
      <c r="I1080" s="2" t="s">
        <v>10</v>
      </c>
      <c r="J1080" s="2" t="s">
        <v>129</v>
      </c>
      <c r="K1080" s="2" t="s">
        <v>1342</v>
      </c>
      <c r="L1080" s="2" t="s">
        <v>128</v>
      </c>
      <c r="M1080" s="2">
        <v>1</v>
      </c>
      <c r="N1080" s="2" t="s">
        <v>18</v>
      </c>
      <c r="T1080" s="2" t="s">
        <v>16964</v>
      </c>
    </row>
    <row r="1081" spans="1:20" hidden="1">
      <c r="A1081" s="3" t="s">
        <v>4172</v>
      </c>
      <c r="B1081" s="2" t="s">
        <v>1343</v>
      </c>
      <c r="D1081" s="66" t="str">
        <f>VLOOKUP("*"&amp;A1081&amp;"*",[2]Sheet1!$G$2:$X$1155,18,FALSE)</f>
        <v>ERR10549725</v>
      </c>
      <c r="E1081" s="2">
        <v>2015</v>
      </c>
      <c r="F1081" s="2" t="s">
        <v>1112</v>
      </c>
      <c r="G1081" s="2" t="s">
        <v>318</v>
      </c>
      <c r="H1081" s="2" t="s">
        <v>1472</v>
      </c>
      <c r="I1081" s="2" t="s">
        <v>10</v>
      </c>
      <c r="J1081" s="2" t="s">
        <v>129</v>
      </c>
      <c r="K1081" s="2" t="s">
        <v>1344</v>
      </c>
      <c r="L1081" s="2" t="s">
        <v>128</v>
      </c>
      <c r="M1081" s="2">
        <v>1</v>
      </c>
      <c r="N1081" s="2" t="s">
        <v>18</v>
      </c>
      <c r="T1081" s="2" t="s">
        <v>16964</v>
      </c>
    </row>
    <row r="1082" spans="1:20" hidden="1">
      <c r="A1082" s="3" t="s">
        <v>3722</v>
      </c>
      <c r="B1082" s="2" t="s">
        <v>1345</v>
      </c>
      <c r="D1082" s="66" t="str">
        <f>VLOOKUP("*"&amp;A1082&amp;"*",[2]Sheet1!$G$2:$X$1155,18,FALSE)</f>
        <v>ERR10549759</v>
      </c>
      <c r="E1082" s="2">
        <v>2015</v>
      </c>
      <c r="F1082" s="2" t="s">
        <v>1112</v>
      </c>
      <c r="G1082" s="2" t="s">
        <v>318</v>
      </c>
      <c r="H1082" s="2" t="s">
        <v>2319</v>
      </c>
      <c r="I1082" s="2" t="s">
        <v>10</v>
      </c>
      <c r="J1082" s="2" t="s">
        <v>1287</v>
      </c>
      <c r="K1082" s="2" t="s">
        <v>1346</v>
      </c>
      <c r="L1082" s="2" t="s">
        <v>1286</v>
      </c>
      <c r="M1082" s="2">
        <v>194</v>
      </c>
      <c r="N1082" s="2" t="s">
        <v>18</v>
      </c>
      <c r="T1082" s="2" t="s">
        <v>16964</v>
      </c>
    </row>
    <row r="1083" spans="1:20" hidden="1">
      <c r="A1083" s="3" t="s">
        <v>3695</v>
      </c>
      <c r="B1083" s="2" t="s">
        <v>1347</v>
      </c>
      <c r="D1083" s="66" t="str">
        <f>VLOOKUP("*"&amp;A1083&amp;"*",[2]Sheet1!$G$2:$X$1155,18,FALSE)</f>
        <v>ERR10549699</v>
      </c>
      <c r="E1083" s="2">
        <v>2011</v>
      </c>
      <c r="F1083" s="2" t="s">
        <v>1112</v>
      </c>
      <c r="G1083" s="2" t="s">
        <v>270</v>
      </c>
      <c r="H1083" s="2" t="s">
        <v>2471</v>
      </c>
      <c r="I1083" s="2" t="s">
        <v>6</v>
      </c>
      <c r="J1083" s="2" t="s">
        <v>102</v>
      </c>
      <c r="K1083" s="2" t="s">
        <v>1348</v>
      </c>
      <c r="L1083" s="2" t="s">
        <v>101</v>
      </c>
      <c r="M1083" s="2">
        <v>511</v>
      </c>
      <c r="N1083" s="2" t="s">
        <v>9</v>
      </c>
      <c r="T1083" s="2" t="s">
        <v>16964</v>
      </c>
    </row>
    <row r="1084" spans="1:20" hidden="1">
      <c r="A1084" s="3" t="s">
        <v>3759</v>
      </c>
      <c r="B1084" s="2" t="s">
        <v>1349</v>
      </c>
      <c r="D1084" s="66" t="str">
        <f>VLOOKUP("*"&amp;A1084&amp;"*",[2]Sheet1!$G$2:$X$1155,18,FALSE)</f>
        <v>ERR10549751</v>
      </c>
      <c r="E1084" s="2">
        <v>2011</v>
      </c>
      <c r="F1084" s="2" t="s">
        <v>1112</v>
      </c>
      <c r="G1084" s="2" t="s">
        <v>270</v>
      </c>
      <c r="H1084" s="2" t="s">
        <v>2471</v>
      </c>
      <c r="I1084" s="2" t="s">
        <v>6</v>
      </c>
      <c r="J1084" s="2" t="s">
        <v>40</v>
      </c>
      <c r="K1084" s="2" t="s">
        <v>1350</v>
      </c>
      <c r="L1084" s="2" t="s">
        <v>39</v>
      </c>
      <c r="M1084" s="2">
        <v>37</v>
      </c>
      <c r="N1084" s="2" t="s">
        <v>9</v>
      </c>
      <c r="T1084" s="2" t="s">
        <v>16964</v>
      </c>
    </row>
    <row r="1085" spans="1:20" hidden="1">
      <c r="A1085" s="3" t="s">
        <v>4133</v>
      </c>
      <c r="B1085" s="2" t="s">
        <v>1351</v>
      </c>
      <c r="D1085" s="66" t="str">
        <f>VLOOKUP("*"&amp;A1085&amp;"*",[2]Sheet1!$G$2:$X$1155,18,FALSE)</f>
        <v>ERR10549728</v>
      </c>
      <c r="E1085" s="2">
        <v>2012</v>
      </c>
      <c r="F1085" s="2" t="s">
        <v>1112</v>
      </c>
      <c r="G1085" s="2" t="s">
        <v>270</v>
      </c>
      <c r="H1085" s="2" t="s">
        <v>2471</v>
      </c>
      <c r="I1085" s="2" t="s">
        <v>10</v>
      </c>
      <c r="J1085" s="2" t="s">
        <v>59</v>
      </c>
      <c r="K1085" s="2" t="s">
        <v>1352</v>
      </c>
      <c r="L1085" s="2" t="s">
        <v>58</v>
      </c>
      <c r="M1085" s="2">
        <v>6</v>
      </c>
      <c r="N1085" s="2" t="s">
        <v>18</v>
      </c>
      <c r="T1085" s="2" t="s">
        <v>16964</v>
      </c>
    </row>
    <row r="1086" spans="1:20" hidden="1">
      <c r="A1086" s="3" t="s">
        <v>4138</v>
      </c>
      <c r="B1086" s="2" t="s">
        <v>1353</v>
      </c>
      <c r="D1086" s="66" t="str">
        <f>VLOOKUP("*"&amp;A1086&amp;"*",[2]Sheet1!$G$2:$X$1155,18,FALSE)</f>
        <v>ERR10549734</v>
      </c>
      <c r="E1086" s="2">
        <v>2012</v>
      </c>
      <c r="F1086" s="2" t="s">
        <v>1112</v>
      </c>
      <c r="G1086" s="2" t="s">
        <v>270</v>
      </c>
      <c r="H1086" s="2" t="s">
        <v>2471</v>
      </c>
      <c r="I1086" s="2" t="s">
        <v>10</v>
      </c>
      <c r="J1086" s="2" t="s">
        <v>59</v>
      </c>
      <c r="K1086" s="2" t="s">
        <v>1354</v>
      </c>
      <c r="L1086" s="2" t="s">
        <v>58</v>
      </c>
      <c r="M1086" s="2">
        <v>6</v>
      </c>
      <c r="N1086" s="2" t="s">
        <v>18</v>
      </c>
      <c r="T1086" s="2" t="s">
        <v>16964</v>
      </c>
    </row>
    <row r="1087" spans="1:20" hidden="1">
      <c r="A1087" s="3" t="s">
        <v>3529</v>
      </c>
      <c r="B1087" s="2" t="s">
        <v>1355</v>
      </c>
      <c r="D1087" s="66" t="str">
        <f>VLOOKUP("*"&amp;A1087&amp;"*",[2]Sheet1!$G$2:$X$1155,18,FALSE)</f>
        <v>ERR10549716</v>
      </c>
      <c r="E1087" s="2">
        <v>2012</v>
      </c>
      <c r="F1087" s="2" t="s">
        <v>1112</v>
      </c>
      <c r="G1087" s="2" t="s">
        <v>270</v>
      </c>
      <c r="H1087" s="2" t="s">
        <v>2471</v>
      </c>
      <c r="I1087" s="2" t="s">
        <v>6</v>
      </c>
      <c r="J1087" s="2" t="s">
        <v>40</v>
      </c>
      <c r="K1087" s="2" t="s">
        <v>1356</v>
      </c>
      <c r="L1087" s="2" t="s">
        <v>39</v>
      </c>
      <c r="M1087" s="2">
        <v>37</v>
      </c>
      <c r="N1087" s="2" t="s">
        <v>9</v>
      </c>
      <c r="T1087" s="2" t="s">
        <v>16964</v>
      </c>
    </row>
    <row r="1088" spans="1:20" hidden="1">
      <c r="A1088" s="3" t="s">
        <v>3533</v>
      </c>
      <c r="B1088" s="2" t="s">
        <v>1357</v>
      </c>
      <c r="D1088" s="66" t="str">
        <f>VLOOKUP("*"&amp;A1088&amp;"*",[2]Sheet1!$G$2:$X$1155,18,FALSE)</f>
        <v>ERR10549763</v>
      </c>
      <c r="E1088" s="2">
        <v>2012</v>
      </c>
      <c r="F1088" s="2" t="s">
        <v>1112</v>
      </c>
      <c r="G1088" s="2" t="s">
        <v>270</v>
      </c>
      <c r="H1088" s="2" t="s">
        <v>2471</v>
      </c>
      <c r="I1088" s="2" t="s">
        <v>6</v>
      </c>
      <c r="J1088" s="2" t="s">
        <v>40</v>
      </c>
      <c r="K1088" s="2" t="s">
        <v>1356</v>
      </c>
      <c r="L1088" s="2" t="s">
        <v>39</v>
      </c>
      <c r="M1088" s="2">
        <v>37</v>
      </c>
      <c r="N1088" s="2" t="s">
        <v>9</v>
      </c>
      <c r="T1088" s="2" t="s">
        <v>16964</v>
      </c>
    </row>
    <row r="1089" spans="1:25" hidden="1">
      <c r="A1089" s="3" t="s">
        <v>4370</v>
      </c>
      <c r="B1089" s="2" t="s">
        <v>1358</v>
      </c>
      <c r="D1089" s="66" t="str">
        <f>VLOOKUP("*"&amp;A1089&amp;"*",[2]Sheet1!$G$2:$X$1155,18,FALSE)</f>
        <v>ERR10549729</v>
      </c>
      <c r="E1089" s="2">
        <v>2012</v>
      </c>
      <c r="F1089" s="2" t="s">
        <v>1112</v>
      </c>
      <c r="G1089" s="2" t="s">
        <v>270</v>
      </c>
      <c r="H1089" s="2" t="s">
        <v>2471</v>
      </c>
      <c r="I1089" s="2" t="s">
        <v>10</v>
      </c>
      <c r="J1089" s="2" t="s">
        <v>765</v>
      </c>
      <c r="K1089" s="2" t="s">
        <v>1116</v>
      </c>
      <c r="L1089" s="2" t="s">
        <v>764</v>
      </c>
      <c r="M1089" s="2">
        <v>4</v>
      </c>
      <c r="N1089" s="2" t="s">
        <v>18</v>
      </c>
      <c r="T1089" s="2" t="s">
        <v>16964</v>
      </c>
    </row>
    <row r="1090" spans="1:25" hidden="1">
      <c r="A1090" s="3" t="s">
        <v>3848</v>
      </c>
      <c r="B1090" s="2" t="s">
        <v>1359</v>
      </c>
      <c r="D1090" s="66" t="str">
        <f>VLOOKUP("*"&amp;A1090&amp;"*",[2]Sheet1!$G$2:$X$1155,18,FALSE)</f>
        <v>ERR10549750</v>
      </c>
      <c r="E1090" s="2">
        <v>2012</v>
      </c>
      <c r="F1090" s="2" t="s">
        <v>1112</v>
      </c>
      <c r="G1090" s="2" t="s">
        <v>270</v>
      </c>
      <c r="H1090" s="2" t="s">
        <v>2471</v>
      </c>
      <c r="I1090" s="2" t="s">
        <v>10</v>
      </c>
      <c r="J1090" s="2" t="s">
        <v>1287</v>
      </c>
      <c r="K1090" s="2" t="s">
        <v>1360</v>
      </c>
      <c r="L1090" s="2" t="s">
        <v>1286</v>
      </c>
      <c r="M1090" s="2">
        <v>520</v>
      </c>
      <c r="N1090" s="2" t="s">
        <v>18</v>
      </c>
      <c r="T1090" s="2" t="s">
        <v>16964</v>
      </c>
    </row>
    <row r="1091" spans="1:25" hidden="1">
      <c r="A1091" s="3" t="s">
        <v>2811</v>
      </c>
      <c r="B1091" s="2" t="s">
        <v>1361</v>
      </c>
      <c r="D1091" s="66" t="str">
        <f>VLOOKUP("*"&amp;A1091&amp;"*",[2]Sheet1!$G$2:$X$1155,18,FALSE)</f>
        <v>ERR10612263</v>
      </c>
      <c r="E1091" s="2">
        <v>2018</v>
      </c>
      <c r="F1091" s="2" t="s">
        <v>2692</v>
      </c>
      <c r="G1091" s="2" t="s">
        <v>43</v>
      </c>
      <c r="H1091" s="2" t="s">
        <v>2550</v>
      </c>
      <c r="I1091" s="2" t="s">
        <v>10</v>
      </c>
      <c r="J1091" s="2" t="s">
        <v>17</v>
      </c>
      <c r="K1091" s="2" t="s">
        <v>1362</v>
      </c>
      <c r="L1091" s="2" t="s">
        <v>16</v>
      </c>
      <c r="M1091" s="2">
        <v>2</v>
      </c>
      <c r="N1091" s="2" t="s">
        <v>18</v>
      </c>
      <c r="Q1091" s="2">
        <f>VLOOKUP(B1091,[1]Sheet1!$A$426:$D$1672,4,FALSE)</f>
        <v>0.16</v>
      </c>
      <c r="T1091" s="2" t="s">
        <v>16964</v>
      </c>
    </row>
    <row r="1092" spans="1:25" hidden="1">
      <c r="A1092" s="3" t="s">
        <v>2792</v>
      </c>
      <c r="B1092" s="2" t="s">
        <v>1363</v>
      </c>
      <c r="D1092" s="66" t="str">
        <f>VLOOKUP("*"&amp;A1092&amp;"*",[2]Sheet1!$G$2:$X$1155,18,FALSE)</f>
        <v>ERR10612245</v>
      </c>
      <c r="E1092" s="2">
        <v>2018</v>
      </c>
      <c r="F1092" s="2" t="s">
        <v>2692</v>
      </c>
      <c r="G1092" s="2" t="s">
        <v>43</v>
      </c>
      <c r="H1092" s="2" t="s">
        <v>2550</v>
      </c>
      <c r="I1092" s="2" t="s">
        <v>10</v>
      </c>
      <c r="J1092" s="2" t="s">
        <v>17</v>
      </c>
      <c r="K1092" s="2" t="s">
        <v>1364</v>
      </c>
      <c r="L1092" s="2" t="s">
        <v>16</v>
      </c>
      <c r="M1092" s="2">
        <v>2</v>
      </c>
      <c r="N1092" s="2" t="s">
        <v>18</v>
      </c>
      <c r="Q1092" s="2">
        <f>VLOOKUP(B1092,[1]Sheet1!$A$426:$D$1672,4,FALSE)</f>
        <v>0.16</v>
      </c>
      <c r="T1092" s="2" t="s">
        <v>16964</v>
      </c>
    </row>
    <row r="1093" spans="1:25" hidden="1">
      <c r="A1093" s="3" t="s">
        <v>4293</v>
      </c>
      <c r="B1093" s="2" t="s">
        <v>1365</v>
      </c>
      <c r="D1093" s="66" t="str">
        <f>VLOOKUP("*"&amp;A1093&amp;"*",[2]Sheet1!$G$2:$X$1155,18,FALSE)</f>
        <v>ERR10612270</v>
      </c>
      <c r="E1093" s="2">
        <v>2018</v>
      </c>
      <c r="F1093" s="2" t="s">
        <v>2692</v>
      </c>
      <c r="G1093" s="2" t="s">
        <v>43</v>
      </c>
      <c r="H1093" s="2" t="s">
        <v>2550</v>
      </c>
      <c r="I1093" s="2" t="s">
        <v>10</v>
      </c>
      <c r="J1093" s="2" t="s">
        <v>1037</v>
      </c>
      <c r="K1093" s="2" t="s">
        <v>1366</v>
      </c>
      <c r="L1093" s="2" t="s">
        <v>764</v>
      </c>
      <c r="M1093" s="2">
        <v>3023</v>
      </c>
      <c r="N1093" s="2" t="s">
        <v>18</v>
      </c>
      <c r="Q1093" s="2">
        <f>VLOOKUP(B1093,[1]Sheet1!$A$426:$D$1672,4,FALSE)</f>
        <v>0.16</v>
      </c>
      <c r="T1093" s="2" t="s">
        <v>16964</v>
      </c>
    </row>
    <row r="1094" spans="1:25" hidden="1">
      <c r="A1094" s="3" t="s">
        <v>4294</v>
      </c>
      <c r="B1094" s="2" t="s">
        <v>1367</v>
      </c>
      <c r="D1094" s="66" t="str">
        <f>VLOOKUP("*"&amp;A1094&amp;"*",[2]Sheet1!$G$2:$X$1155,18,FALSE)</f>
        <v>ERR10612267</v>
      </c>
      <c r="E1094" s="2">
        <v>2019</v>
      </c>
      <c r="F1094" s="2" t="s">
        <v>2692</v>
      </c>
      <c r="G1094" s="2" t="s">
        <v>43</v>
      </c>
      <c r="H1094" s="2" t="s">
        <v>2550</v>
      </c>
      <c r="I1094" s="2" t="s">
        <v>10</v>
      </c>
      <c r="J1094" s="2" t="s">
        <v>1037</v>
      </c>
      <c r="K1094" s="2" t="s">
        <v>1368</v>
      </c>
      <c r="L1094" s="2" t="s">
        <v>764</v>
      </c>
      <c r="M1094" s="2">
        <v>219</v>
      </c>
      <c r="N1094" s="2" t="s">
        <v>18</v>
      </c>
      <c r="Q1094" s="2">
        <f>VLOOKUP(B1094,[1]Sheet1!$A$426:$D$1672,4,FALSE)</f>
        <v>0.16</v>
      </c>
      <c r="T1094" s="2" t="s">
        <v>16964</v>
      </c>
    </row>
    <row r="1095" spans="1:25" hidden="1">
      <c r="A1095" s="3" t="s">
        <v>4135</v>
      </c>
      <c r="B1095" s="2" t="s">
        <v>1369</v>
      </c>
      <c r="D1095" s="66" t="str">
        <f>VLOOKUP("*"&amp;A1095&amp;"*",[2]Sheet1!$G$2:$X$1155,18,FALSE)</f>
        <v>ERR10612241</v>
      </c>
      <c r="E1095" s="2">
        <v>2019</v>
      </c>
      <c r="F1095" s="2" t="s">
        <v>2692</v>
      </c>
      <c r="G1095" s="2" t="s">
        <v>43</v>
      </c>
      <c r="H1095" s="2" t="s">
        <v>2550</v>
      </c>
      <c r="I1095" s="2" t="s">
        <v>10</v>
      </c>
      <c r="J1095" s="2" t="s">
        <v>59</v>
      </c>
      <c r="K1095" s="2" t="s">
        <v>1370</v>
      </c>
      <c r="L1095" s="2" t="s">
        <v>58</v>
      </c>
      <c r="M1095" s="2">
        <v>6</v>
      </c>
      <c r="N1095" s="2" t="s">
        <v>18</v>
      </c>
      <c r="Q1095" s="2">
        <f>VLOOKUP(B1095,[1]Sheet1!$A$426:$D$1672,4,FALSE)</f>
        <v>0.16</v>
      </c>
      <c r="T1095" s="2" t="s">
        <v>16964</v>
      </c>
    </row>
    <row r="1096" spans="1:25" hidden="1">
      <c r="A1096" s="3" t="s">
        <v>4136</v>
      </c>
      <c r="B1096" s="2" t="s">
        <v>1371</v>
      </c>
      <c r="D1096" s="66" t="str">
        <f>VLOOKUP("*"&amp;A1096&amp;"*",[2]Sheet1!$G$2:$X$1155,18,FALSE)</f>
        <v>ERR10612275</v>
      </c>
      <c r="E1096" s="2">
        <v>2019</v>
      </c>
      <c r="F1096" s="2" t="s">
        <v>2692</v>
      </c>
      <c r="G1096" s="2" t="s">
        <v>43</v>
      </c>
      <c r="H1096" s="2" t="s">
        <v>2550</v>
      </c>
      <c r="I1096" s="2" t="s">
        <v>10</v>
      </c>
      <c r="J1096" s="2" t="s">
        <v>59</v>
      </c>
      <c r="K1096" s="2" t="s">
        <v>1370</v>
      </c>
      <c r="L1096" s="2" t="s">
        <v>58</v>
      </c>
      <c r="M1096" s="2">
        <v>6</v>
      </c>
      <c r="N1096" s="2" t="s">
        <v>18</v>
      </c>
      <c r="Q1096" s="2">
        <f>VLOOKUP(B1096,[1]Sheet1!$A$426:$D$1672,4,FALSE)</f>
        <v>0.16</v>
      </c>
      <c r="T1096" s="2" t="s">
        <v>16964</v>
      </c>
    </row>
    <row r="1097" spans="1:25" hidden="1">
      <c r="A1097" s="3" t="s">
        <v>2892</v>
      </c>
      <c r="B1097" s="2">
        <v>318</v>
      </c>
      <c r="D1097" s="66" t="str">
        <f>VLOOKUP("*"&amp;A1097&amp;"*",[2]Sheet1!$G$2:$X$1155,18,FALSE)</f>
        <v>ERR10611869</v>
      </c>
      <c r="E1097" s="2" t="s">
        <v>118</v>
      </c>
      <c r="F1097" s="2" t="s">
        <v>36</v>
      </c>
      <c r="G1097" s="2" t="s">
        <v>43</v>
      </c>
      <c r="H1097" s="2" t="s">
        <v>2401</v>
      </c>
      <c r="I1097" s="2" t="s">
        <v>10</v>
      </c>
      <c r="J1097" s="2" t="s">
        <v>17</v>
      </c>
      <c r="K1097" s="2" t="s">
        <v>1372</v>
      </c>
      <c r="L1097" s="2" t="s">
        <v>16</v>
      </c>
      <c r="M1097" s="2">
        <v>2</v>
      </c>
      <c r="N1097" s="2" t="s">
        <v>18</v>
      </c>
      <c r="T1097" s="2" t="s">
        <v>16964</v>
      </c>
    </row>
    <row r="1098" spans="1:25" hidden="1">
      <c r="A1098" s="3" t="s">
        <v>2818</v>
      </c>
      <c r="B1098" s="2">
        <v>1698</v>
      </c>
      <c r="D1098" s="66" t="str">
        <f>VLOOKUP("*"&amp;A1098&amp;"*",[2]Sheet1!$G$2:$X$1155,18,FALSE)</f>
        <v>ERR10611886</v>
      </c>
      <c r="E1098" s="2" t="s">
        <v>118</v>
      </c>
      <c r="F1098" s="2" t="s">
        <v>36</v>
      </c>
      <c r="G1098" s="2" t="s">
        <v>5</v>
      </c>
      <c r="H1098" s="2" t="s">
        <v>2403</v>
      </c>
      <c r="I1098" s="2" t="s">
        <v>6</v>
      </c>
      <c r="J1098" s="2" t="s">
        <v>24</v>
      </c>
      <c r="K1098" s="2" t="s">
        <v>1373</v>
      </c>
      <c r="L1098" s="2" t="s">
        <v>23</v>
      </c>
      <c r="M1098" s="2">
        <v>14</v>
      </c>
      <c r="N1098" s="2" t="s">
        <v>9</v>
      </c>
      <c r="T1098" s="2" t="s">
        <v>16964</v>
      </c>
    </row>
    <row r="1099" spans="1:25" hidden="1">
      <c r="A1099" s="3" t="s">
        <v>2840</v>
      </c>
      <c r="B1099" s="2">
        <v>1707</v>
      </c>
      <c r="D1099" s="66" t="str">
        <f>VLOOKUP("*"&amp;A1099&amp;"*",[2]Sheet1!$G$2:$X$1155,18,FALSE)</f>
        <v>ERR10611900</v>
      </c>
      <c r="E1099" s="2" t="s">
        <v>118</v>
      </c>
      <c r="F1099" s="2" t="s">
        <v>36</v>
      </c>
      <c r="G1099" s="2" t="s">
        <v>5</v>
      </c>
      <c r="H1099" s="2" t="s">
        <v>2403</v>
      </c>
      <c r="I1099" s="2" t="s">
        <v>6</v>
      </c>
      <c r="J1099" s="2" t="s">
        <v>24</v>
      </c>
      <c r="K1099" s="2" t="s">
        <v>1373</v>
      </c>
      <c r="L1099" s="2" t="s">
        <v>23</v>
      </c>
      <c r="M1099" s="2">
        <v>14</v>
      </c>
      <c r="N1099" s="2" t="s">
        <v>9</v>
      </c>
      <c r="T1099" s="2" t="s">
        <v>16964</v>
      </c>
    </row>
    <row r="1100" spans="1:25" hidden="1">
      <c r="A1100" s="3" t="s">
        <v>3796</v>
      </c>
      <c r="B1100" s="2">
        <v>1883</v>
      </c>
      <c r="D1100" s="66" t="str">
        <f>VLOOKUP("*"&amp;A1100&amp;"*",[2]Sheet1!$G$2:$X$1155,18,FALSE)</f>
        <v>ERR10611870</v>
      </c>
      <c r="E1100" s="2" t="s">
        <v>118</v>
      </c>
      <c r="F1100" s="2" t="s">
        <v>36</v>
      </c>
      <c r="G1100" s="2" t="s">
        <v>5</v>
      </c>
      <c r="H1100" s="2" t="s">
        <v>2405</v>
      </c>
      <c r="I1100" s="2" t="s">
        <v>10</v>
      </c>
      <c r="J1100" s="2" t="s">
        <v>129</v>
      </c>
      <c r="K1100" s="2" t="s">
        <v>1374</v>
      </c>
      <c r="L1100" s="2" t="s">
        <v>128</v>
      </c>
      <c r="M1100" s="2">
        <v>1</v>
      </c>
      <c r="N1100" s="2" t="s">
        <v>18</v>
      </c>
      <c r="T1100" s="2" t="s">
        <v>16963</v>
      </c>
      <c r="Y1100" s="67" t="s">
        <v>2627</v>
      </c>
    </row>
    <row r="1101" spans="1:25" hidden="1">
      <c r="A1101" s="3" t="s">
        <v>3452</v>
      </c>
      <c r="B1101" s="2">
        <v>2355</v>
      </c>
      <c r="D1101" s="66" t="str">
        <f>VLOOKUP("*"&amp;A1101&amp;"*",[2]Sheet1!$G$2:$X$1155,18,FALSE)</f>
        <v>ERR10611854</v>
      </c>
      <c r="E1101" s="2" t="s">
        <v>118</v>
      </c>
      <c r="F1101" s="2" t="s">
        <v>36</v>
      </c>
      <c r="G1101" s="2" t="s">
        <v>43</v>
      </c>
      <c r="H1101" s="2" t="s">
        <v>2406</v>
      </c>
      <c r="I1101" s="2" t="s">
        <v>6</v>
      </c>
      <c r="J1101" s="2" t="s">
        <v>29</v>
      </c>
      <c r="K1101" s="2" t="s">
        <v>1375</v>
      </c>
      <c r="L1101" s="2" t="s">
        <v>28</v>
      </c>
      <c r="M1101" s="2">
        <v>120</v>
      </c>
      <c r="N1101" s="2" t="s">
        <v>9</v>
      </c>
      <c r="T1101" s="2" t="s">
        <v>16963</v>
      </c>
      <c r="W1101" s="67" t="s">
        <v>2627</v>
      </c>
    </row>
    <row r="1102" spans="1:25" hidden="1">
      <c r="A1102" s="3" t="s">
        <v>3327</v>
      </c>
      <c r="B1102" s="2">
        <v>2522</v>
      </c>
      <c r="D1102" s="66" t="str">
        <f>VLOOKUP("*"&amp;A1102&amp;"*",[2]Sheet1!$G$2:$X$1155,18,FALSE)</f>
        <v>ERR10611927</v>
      </c>
      <c r="E1102" s="2">
        <v>2000</v>
      </c>
      <c r="F1102" s="2" t="s">
        <v>36</v>
      </c>
      <c r="G1102" s="2" t="s">
        <v>318</v>
      </c>
      <c r="H1102" s="2" t="s">
        <v>2408</v>
      </c>
      <c r="I1102" s="2" t="s">
        <v>6</v>
      </c>
      <c r="J1102" s="2" t="s">
        <v>102</v>
      </c>
      <c r="K1102" s="2" t="s">
        <v>1376</v>
      </c>
      <c r="L1102" s="2" t="s">
        <v>101</v>
      </c>
      <c r="M1102" s="2">
        <v>7</v>
      </c>
      <c r="N1102" s="2" t="s">
        <v>9</v>
      </c>
      <c r="T1102" s="2" t="s">
        <v>16964</v>
      </c>
    </row>
    <row r="1103" spans="1:25" hidden="1">
      <c r="A1103" s="3" t="s">
        <v>4222</v>
      </c>
      <c r="B1103" s="2">
        <v>2523</v>
      </c>
      <c r="D1103" s="66" t="str">
        <f>VLOOKUP("*"&amp;A1103&amp;"*",[2]Sheet1!$G$2:$X$1155,18,FALSE)</f>
        <v>ERR10549974</v>
      </c>
      <c r="E1103" s="2">
        <v>2000</v>
      </c>
      <c r="F1103" s="2" t="s">
        <v>36</v>
      </c>
      <c r="G1103" s="2" t="s">
        <v>318</v>
      </c>
      <c r="H1103" s="2" t="s">
        <v>2409</v>
      </c>
      <c r="I1103" s="2" t="s">
        <v>6</v>
      </c>
      <c r="J1103" s="2" t="s">
        <v>535</v>
      </c>
      <c r="K1103" s="2" t="s">
        <v>1377</v>
      </c>
      <c r="L1103" s="2" t="s">
        <v>534</v>
      </c>
      <c r="M1103" s="2">
        <v>394</v>
      </c>
      <c r="N1103" s="2" t="s">
        <v>9</v>
      </c>
      <c r="T1103" s="2" t="s">
        <v>16964</v>
      </c>
    </row>
    <row r="1104" spans="1:25" hidden="1">
      <c r="A1104" s="3" t="s">
        <v>3894</v>
      </c>
      <c r="B1104" s="2">
        <v>4715</v>
      </c>
      <c r="D1104" s="66" t="str">
        <f>VLOOKUP("*"&amp;A1104&amp;"*",[2]Sheet1!$G$2:$X$1155,18,FALSE)</f>
        <v>ERR10611931</v>
      </c>
      <c r="E1104" s="2">
        <v>2007</v>
      </c>
      <c r="F1104" s="2" t="s">
        <v>36</v>
      </c>
      <c r="G1104" s="2" t="s">
        <v>4457</v>
      </c>
      <c r="H1104" s="2" t="s">
        <v>2414</v>
      </c>
      <c r="I1104" s="2" t="s">
        <v>6</v>
      </c>
      <c r="J1104" s="2" t="s">
        <v>29</v>
      </c>
      <c r="K1104" s="2" t="s">
        <v>42</v>
      </c>
      <c r="L1104" s="2" t="s">
        <v>28</v>
      </c>
      <c r="M1104" s="2">
        <v>120</v>
      </c>
      <c r="N1104" s="2" t="s">
        <v>9</v>
      </c>
      <c r="T1104" s="2" t="s">
        <v>16963</v>
      </c>
      <c r="W1104" s="67" t="s">
        <v>2627</v>
      </c>
    </row>
    <row r="1105" spans="1:25" hidden="1">
      <c r="A1105" s="3" t="s">
        <v>3388</v>
      </c>
      <c r="B1105" s="2">
        <v>5176</v>
      </c>
      <c r="D1105" s="66" t="str">
        <f>VLOOKUP("*"&amp;A1105&amp;"*",[2]Sheet1!$G$2:$X$1155,18,FALSE)</f>
        <v>ERR10611910</v>
      </c>
      <c r="E1105" s="2">
        <v>2008</v>
      </c>
      <c r="F1105" s="2" t="s">
        <v>36</v>
      </c>
      <c r="G1105" s="2" t="s">
        <v>318</v>
      </c>
      <c r="H1105" s="2" t="s">
        <v>2415</v>
      </c>
      <c r="I1105" s="2" t="s">
        <v>6</v>
      </c>
      <c r="J1105" s="2" t="s">
        <v>1379</v>
      </c>
      <c r="K1105" s="2" t="s">
        <v>1380</v>
      </c>
      <c r="L1105" s="2" t="s">
        <v>1378</v>
      </c>
      <c r="M1105" s="2">
        <v>207</v>
      </c>
      <c r="N1105" s="2" t="s">
        <v>9</v>
      </c>
      <c r="T1105" s="2" t="s">
        <v>16964</v>
      </c>
    </row>
    <row r="1106" spans="1:25" hidden="1">
      <c r="A1106" s="3" t="s">
        <v>3921</v>
      </c>
      <c r="B1106" s="2">
        <v>6632</v>
      </c>
      <c r="D1106" s="66" t="str">
        <f>VLOOKUP("*"&amp;A1106&amp;"*",[2]Sheet1!$G$2:$X$1155,18,FALSE)</f>
        <v>ERR10611961</v>
      </c>
      <c r="E1106" s="2">
        <v>2011</v>
      </c>
      <c r="F1106" s="2" t="s">
        <v>36</v>
      </c>
      <c r="G1106" s="2" t="s">
        <v>318</v>
      </c>
      <c r="H1106" s="2" t="s">
        <v>2416</v>
      </c>
      <c r="I1106" s="2" t="s">
        <v>6</v>
      </c>
      <c r="J1106" s="2" t="s">
        <v>1309</v>
      </c>
      <c r="K1106" s="2" t="s">
        <v>1381</v>
      </c>
      <c r="L1106" s="2" t="s">
        <v>1308</v>
      </c>
      <c r="M1106" s="2">
        <v>570</v>
      </c>
      <c r="N1106" s="2" t="s">
        <v>9</v>
      </c>
      <c r="T1106" s="2" t="s">
        <v>16964</v>
      </c>
    </row>
    <row r="1107" spans="1:25" hidden="1">
      <c r="A1107" s="11" t="s">
        <v>3895</v>
      </c>
      <c r="B1107" s="13" t="s">
        <v>2274</v>
      </c>
      <c r="C1107" s="13"/>
      <c r="D1107" s="66" t="str">
        <f>VLOOKUP("*"&amp;A1107&amp;"*",[2]Sheet1!$G$2:$X$1155,18,FALSE)</f>
        <v>ERR10549906</v>
      </c>
      <c r="E1107" s="13">
        <v>1981</v>
      </c>
      <c r="F1107" s="13" t="s">
        <v>36</v>
      </c>
      <c r="G1107" s="13" t="s">
        <v>5</v>
      </c>
      <c r="H1107" s="13" t="s">
        <v>2417</v>
      </c>
      <c r="I1107" s="13" t="s">
        <v>6</v>
      </c>
      <c r="J1107" s="13" t="s">
        <v>120</v>
      </c>
      <c r="K1107" s="13" t="s">
        <v>1382</v>
      </c>
      <c r="L1107" s="13" t="s">
        <v>119</v>
      </c>
      <c r="M1107" s="13">
        <v>155</v>
      </c>
      <c r="N1107" s="13" t="s">
        <v>9</v>
      </c>
      <c r="O1107" s="13"/>
      <c r="P1107" s="13"/>
      <c r="Q1107" s="13"/>
      <c r="R1107" s="13"/>
      <c r="S1107" s="13"/>
      <c r="T1107" s="13" t="s">
        <v>16964</v>
      </c>
      <c r="U1107" s="13"/>
      <c r="V1107" s="13"/>
      <c r="W1107" s="13"/>
      <c r="X1107" s="13"/>
      <c r="Y1107" s="13"/>
    </row>
    <row r="1108" spans="1:25" hidden="1">
      <c r="A1108" s="3" t="s">
        <v>3176</v>
      </c>
      <c r="B1108" s="2" t="s">
        <v>2273</v>
      </c>
      <c r="D1108" s="66" t="str">
        <f>VLOOKUP("*"&amp;A1108&amp;"*",[2]Sheet1!$G$2:$X$1155,18,FALSE)</f>
        <v>ERR10549832</v>
      </c>
      <c r="E1108" s="2" t="s">
        <v>118</v>
      </c>
      <c r="F1108" s="2" t="s">
        <v>36</v>
      </c>
      <c r="G1108" s="2" t="s">
        <v>5</v>
      </c>
      <c r="H1108" s="2" t="s">
        <v>2418</v>
      </c>
      <c r="I1108" s="2" t="s">
        <v>6</v>
      </c>
      <c r="J1108" s="2" t="s">
        <v>120</v>
      </c>
      <c r="K1108" s="2" t="s">
        <v>1383</v>
      </c>
      <c r="L1108" s="2" t="s">
        <v>119</v>
      </c>
      <c r="M1108" s="2">
        <v>155</v>
      </c>
      <c r="N1108" s="2" t="s">
        <v>9</v>
      </c>
      <c r="T1108" s="2" t="s">
        <v>16964</v>
      </c>
    </row>
    <row r="1109" spans="1:25" hidden="1">
      <c r="A1109" s="3" t="s">
        <v>3292</v>
      </c>
      <c r="B1109" s="2" t="s">
        <v>2272</v>
      </c>
      <c r="D1109" s="66" t="str">
        <f>VLOOKUP("*"&amp;A1109&amp;"*",[2]Sheet1!$G$2:$X$1155,18,FALSE)</f>
        <v>ERR10549895</v>
      </c>
      <c r="E1109" s="2" t="s">
        <v>118</v>
      </c>
      <c r="F1109" s="2" t="s">
        <v>36</v>
      </c>
      <c r="G1109" s="2" t="s">
        <v>5</v>
      </c>
      <c r="H1109" s="2" t="s">
        <v>2418</v>
      </c>
      <c r="I1109" s="2" t="s">
        <v>10</v>
      </c>
      <c r="J1109" s="2" t="s">
        <v>17</v>
      </c>
      <c r="K1109" s="2" t="s">
        <v>1384</v>
      </c>
      <c r="L1109" s="2" t="s">
        <v>16</v>
      </c>
      <c r="M1109" s="2">
        <v>2</v>
      </c>
      <c r="N1109" s="2" t="s">
        <v>18</v>
      </c>
      <c r="T1109" s="2" t="s">
        <v>16964</v>
      </c>
    </row>
    <row r="1110" spans="1:25" hidden="1">
      <c r="A1110" s="3" t="s">
        <v>2843</v>
      </c>
      <c r="B1110" s="2">
        <v>1110</v>
      </c>
      <c r="D1110" s="66" t="str">
        <f>VLOOKUP("*"&amp;A1110&amp;"*",[2]Sheet1!$G$2:$X$1155,18,FALSE)</f>
        <v>ERR10611889</v>
      </c>
      <c r="E1110" s="2" t="s">
        <v>118</v>
      </c>
      <c r="F1110" s="2" t="s">
        <v>36</v>
      </c>
      <c r="G1110" s="2" t="s">
        <v>5</v>
      </c>
      <c r="H1110" s="2" t="s">
        <v>2402</v>
      </c>
      <c r="I1110" s="2" t="s">
        <v>6</v>
      </c>
      <c r="J1110" s="2" t="s">
        <v>782</v>
      </c>
      <c r="K1110" s="2" t="s">
        <v>1385</v>
      </c>
      <c r="L1110" s="2" t="s">
        <v>55</v>
      </c>
      <c r="M1110" s="2">
        <v>11</v>
      </c>
      <c r="N1110" s="2" t="s">
        <v>9</v>
      </c>
      <c r="T1110" s="2" t="s">
        <v>16964</v>
      </c>
    </row>
    <row r="1111" spans="1:25" hidden="1">
      <c r="A1111" s="3" t="s">
        <v>4265</v>
      </c>
      <c r="B1111" s="2">
        <v>1808</v>
      </c>
      <c r="D1111" s="66" t="str">
        <f>VLOOKUP("*"&amp;A1111&amp;"*",[2]Sheet1!$G$2:$X$1155,18,FALSE)</f>
        <v>ERR10611866</v>
      </c>
      <c r="E1111" s="2">
        <v>1985</v>
      </c>
      <c r="F1111" s="2" t="s">
        <v>36</v>
      </c>
      <c r="G1111" s="2" t="s">
        <v>5</v>
      </c>
      <c r="H1111" s="2" t="s">
        <v>2404</v>
      </c>
      <c r="I1111" s="2" t="s">
        <v>10</v>
      </c>
      <c r="J1111" s="2" t="s">
        <v>129</v>
      </c>
      <c r="K1111" s="2" t="s">
        <v>752</v>
      </c>
      <c r="L1111" s="2" t="s">
        <v>128</v>
      </c>
      <c r="M1111" s="2">
        <v>1</v>
      </c>
      <c r="N1111" s="2" t="s">
        <v>18</v>
      </c>
      <c r="T1111" s="2" t="s">
        <v>16964</v>
      </c>
    </row>
    <row r="1112" spans="1:25" hidden="1">
      <c r="A1112" s="3" t="s">
        <v>4252</v>
      </c>
      <c r="B1112" s="2">
        <v>2436</v>
      </c>
      <c r="D1112" s="66" t="str">
        <f>VLOOKUP("*"&amp;A1112&amp;"*",[2]Sheet1!$G$2:$X$1155,18,FALSE)</f>
        <v>ERR10611878</v>
      </c>
      <c r="E1112" s="2" t="s">
        <v>118</v>
      </c>
      <c r="F1112" s="2" t="s">
        <v>36</v>
      </c>
      <c r="G1112" s="2" t="s">
        <v>5</v>
      </c>
      <c r="H1112" s="2" t="s">
        <v>2407</v>
      </c>
      <c r="I1112" s="2" t="s">
        <v>6</v>
      </c>
      <c r="J1112" s="2" t="s">
        <v>402</v>
      </c>
      <c r="K1112" s="2" t="s">
        <v>1386</v>
      </c>
      <c r="L1112" s="2" t="s">
        <v>401</v>
      </c>
      <c r="M1112" s="2">
        <v>18</v>
      </c>
      <c r="N1112" s="2" t="s">
        <v>9</v>
      </c>
      <c r="T1112" s="2" t="s">
        <v>16964</v>
      </c>
    </row>
    <row r="1113" spans="1:25" hidden="1">
      <c r="A1113" s="3" t="s">
        <v>3856</v>
      </c>
      <c r="B1113" s="2">
        <v>2573</v>
      </c>
      <c r="D1113" s="66" t="str">
        <f>VLOOKUP("*"&amp;A1113&amp;"*",[2]Sheet1!$G$2:$X$1155,18,FALSE)</f>
        <v>ERR10611881</v>
      </c>
      <c r="E1113" s="2" t="s">
        <v>118</v>
      </c>
      <c r="F1113" s="2" t="s">
        <v>36</v>
      </c>
      <c r="G1113" s="2" t="s">
        <v>5</v>
      </c>
      <c r="H1113" s="2" t="s">
        <v>2410</v>
      </c>
      <c r="I1113" s="2" t="s">
        <v>6</v>
      </c>
      <c r="J1113" s="2" t="s">
        <v>102</v>
      </c>
      <c r="K1113" s="2" t="s">
        <v>1387</v>
      </c>
      <c r="L1113" s="2" t="s">
        <v>101</v>
      </c>
      <c r="M1113" s="2">
        <v>7</v>
      </c>
      <c r="N1113" s="2" t="s">
        <v>9</v>
      </c>
      <c r="T1113" s="2" t="s">
        <v>16964</v>
      </c>
    </row>
    <row r="1114" spans="1:25" hidden="1">
      <c r="A1114" s="3" t="s">
        <v>4231</v>
      </c>
      <c r="B1114" s="2">
        <v>3576</v>
      </c>
      <c r="D1114" s="66" t="s">
        <v>17326</v>
      </c>
      <c r="E1114" s="2" t="s">
        <v>118</v>
      </c>
      <c r="F1114" s="2" t="s">
        <v>36</v>
      </c>
      <c r="G1114" s="2" t="s">
        <v>5</v>
      </c>
      <c r="H1114" s="2" t="s">
        <v>2411</v>
      </c>
      <c r="I1114" s="2" t="s">
        <v>6</v>
      </c>
      <c r="J1114" s="2" t="s">
        <v>218</v>
      </c>
      <c r="K1114" s="2" t="s">
        <v>1388</v>
      </c>
      <c r="L1114" s="2" t="s">
        <v>217</v>
      </c>
      <c r="M1114" s="2">
        <v>29</v>
      </c>
      <c r="N1114" s="2" t="s">
        <v>9</v>
      </c>
      <c r="T1114" s="2" t="s">
        <v>16964</v>
      </c>
    </row>
    <row r="1115" spans="1:25" hidden="1">
      <c r="A1115" s="3" t="s">
        <v>3174</v>
      </c>
      <c r="B1115" s="2">
        <v>3942</v>
      </c>
      <c r="D1115" s="66" t="str">
        <f>VLOOKUP("*"&amp;A1115&amp;"*",[2]Sheet1!$G$2:$X$1155,18,FALSE)</f>
        <v>ERR10611871</v>
      </c>
      <c r="E1115" s="2">
        <v>2004</v>
      </c>
      <c r="F1115" s="2" t="s">
        <v>36</v>
      </c>
      <c r="G1115" s="2" t="s">
        <v>5</v>
      </c>
      <c r="H1115" s="2" t="s">
        <v>2412</v>
      </c>
      <c r="I1115" s="2" t="s">
        <v>10</v>
      </c>
      <c r="J1115" s="2" t="s">
        <v>1390</v>
      </c>
      <c r="K1115" s="2" t="s">
        <v>1391</v>
      </c>
      <c r="L1115" s="2" t="s">
        <v>1389</v>
      </c>
      <c r="M1115" s="2">
        <v>218</v>
      </c>
      <c r="N1115" s="2" t="s">
        <v>159</v>
      </c>
      <c r="T1115" s="2" t="s">
        <v>16964</v>
      </c>
    </row>
    <row r="1116" spans="1:25" hidden="1">
      <c r="A1116" s="3" t="s">
        <v>3537</v>
      </c>
      <c r="B1116" s="2">
        <v>4186</v>
      </c>
      <c r="D1116" s="66" t="str">
        <f>VLOOKUP("*"&amp;A1116&amp;"*",[2]Sheet1!$G$2:$X$1155,18,FALSE)</f>
        <v>ERR10611908</v>
      </c>
      <c r="E1116" s="2">
        <v>2005</v>
      </c>
      <c r="F1116" s="2" t="s">
        <v>36</v>
      </c>
      <c r="G1116" s="2" t="s">
        <v>318</v>
      </c>
      <c r="H1116" s="2" t="s">
        <v>2413</v>
      </c>
      <c r="I1116" s="2" t="s">
        <v>10</v>
      </c>
      <c r="J1116" s="2" t="s">
        <v>271</v>
      </c>
      <c r="K1116" s="2" t="s">
        <v>1392</v>
      </c>
      <c r="L1116" s="2" t="s">
        <v>80</v>
      </c>
      <c r="M1116" s="2">
        <v>379</v>
      </c>
      <c r="N1116" s="2" t="s">
        <v>14</v>
      </c>
      <c r="T1116" s="2" t="s">
        <v>16964</v>
      </c>
    </row>
    <row r="1117" spans="1:25">
      <c r="A1117" s="3" t="s">
        <v>4335</v>
      </c>
      <c r="B1117" s="2" t="s">
        <v>2611</v>
      </c>
      <c r="D1117" s="1" t="s">
        <v>17286</v>
      </c>
      <c r="E1117" s="2">
        <v>2015</v>
      </c>
      <c r="F1117" s="2" t="s">
        <v>2573</v>
      </c>
      <c r="G1117" s="2" t="s">
        <v>5</v>
      </c>
      <c r="I1117" s="2" t="s">
        <v>6</v>
      </c>
      <c r="J1117" s="2" t="s">
        <v>56</v>
      </c>
      <c r="K1117" s="2" t="s">
        <v>85</v>
      </c>
      <c r="L1117" s="2" t="s">
        <v>55</v>
      </c>
      <c r="M1117" s="2">
        <v>451</v>
      </c>
      <c r="N1117" s="2" t="s">
        <v>9</v>
      </c>
      <c r="T1117" s="2" t="s">
        <v>16964</v>
      </c>
    </row>
    <row r="1118" spans="1:25">
      <c r="A1118" s="3" t="s">
        <v>4057</v>
      </c>
      <c r="B1118" s="2" t="s">
        <v>2610</v>
      </c>
      <c r="D1118" s="1" t="s">
        <v>17287</v>
      </c>
      <c r="E1118" s="2">
        <v>2015</v>
      </c>
      <c r="F1118" s="2" t="s">
        <v>2573</v>
      </c>
      <c r="G1118" s="2" t="s">
        <v>5</v>
      </c>
      <c r="I1118" s="2" t="s">
        <v>10</v>
      </c>
      <c r="J1118" s="2" t="s">
        <v>59</v>
      </c>
      <c r="K1118" s="2" t="s">
        <v>78</v>
      </c>
      <c r="L1118" s="2" t="s">
        <v>58</v>
      </c>
      <c r="M1118" s="2">
        <v>6</v>
      </c>
      <c r="N1118" s="2" t="s">
        <v>18</v>
      </c>
      <c r="T1118" s="2" t="s">
        <v>16964</v>
      </c>
    </row>
    <row r="1119" spans="1:25">
      <c r="A1119" s="3" t="s">
        <v>3012</v>
      </c>
      <c r="B1119" s="2" t="s">
        <v>2609</v>
      </c>
      <c r="D1119" s="1" t="s">
        <v>17288</v>
      </c>
      <c r="E1119" s="2">
        <v>2015</v>
      </c>
      <c r="F1119" s="2" t="s">
        <v>2573</v>
      </c>
      <c r="G1119" s="2" t="s">
        <v>5</v>
      </c>
      <c r="I1119" s="2" t="s">
        <v>10</v>
      </c>
      <c r="J1119" s="2" t="s">
        <v>17</v>
      </c>
      <c r="K1119" s="2" t="s">
        <v>84</v>
      </c>
      <c r="L1119" s="2" t="s">
        <v>16</v>
      </c>
      <c r="M1119" s="2">
        <v>2</v>
      </c>
      <c r="N1119" s="2" t="s">
        <v>18</v>
      </c>
      <c r="T1119" s="2" t="s">
        <v>16964</v>
      </c>
    </row>
    <row r="1120" spans="1:25">
      <c r="A1120" s="3" t="s">
        <v>3917</v>
      </c>
      <c r="B1120" s="2" t="s">
        <v>2580</v>
      </c>
      <c r="D1120" s="1" t="s">
        <v>17289</v>
      </c>
      <c r="E1120" s="2">
        <v>2015</v>
      </c>
      <c r="F1120" s="2" t="s">
        <v>2573</v>
      </c>
      <c r="G1120" s="2" t="s">
        <v>5</v>
      </c>
      <c r="I1120" s="2" t="s">
        <v>6</v>
      </c>
      <c r="J1120" s="2" t="s">
        <v>20</v>
      </c>
      <c r="K1120" s="2" t="s">
        <v>83</v>
      </c>
      <c r="L1120" s="2" t="s">
        <v>19</v>
      </c>
      <c r="M1120" s="2">
        <v>9</v>
      </c>
      <c r="N1120" s="2" t="s">
        <v>21</v>
      </c>
      <c r="T1120" s="2" t="s">
        <v>16964</v>
      </c>
    </row>
    <row r="1121" spans="1:24">
      <c r="A1121" s="3" t="s">
        <v>4007</v>
      </c>
      <c r="B1121" s="2">
        <v>15088511</v>
      </c>
      <c r="D1121" s="1" t="s">
        <v>17257</v>
      </c>
      <c r="E1121" s="2">
        <v>2015</v>
      </c>
      <c r="F1121" s="2" t="s">
        <v>2573</v>
      </c>
      <c r="G1121" s="2" t="s">
        <v>5</v>
      </c>
      <c r="I1121" s="2" t="s">
        <v>6</v>
      </c>
      <c r="J1121" s="2" t="s">
        <v>20</v>
      </c>
      <c r="K1121" s="2" t="s">
        <v>83</v>
      </c>
      <c r="L1121" s="2" t="s">
        <v>19</v>
      </c>
      <c r="M1121" s="2">
        <v>9</v>
      </c>
      <c r="N1121" s="2" t="s">
        <v>21</v>
      </c>
      <c r="T1121" s="2" t="s">
        <v>16964</v>
      </c>
    </row>
    <row r="1122" spans="1:24">
      <c r="A1122" s="3" t="s">
        <v>4278</v>
      </c>
      <c r="B1122" s="2" t="s">
        <v>2608</v>
      </c>
      <c r="D1122" s="1" t="s">
        <v>17290</v>
      </c>
      <c r="E1122" s="2">
        <v>2015</v>
      </c>
      <c r="F1122" s="2" t="s">
        <v>2573</v>
      </c>
      <c r="G1122" s="2" t="s">
        <v>5</v>
      </c>
      <c r="I1122" s="2" t="s">
        <v>10</v>
      </c>
      <c r="J1122" s="2" t="s">
        <v>81</v>
      </c>
      <c r="K1122" s="2" t="s">
        <v>82</v>
      </c>
      <c r="L1122" s="2" t="s">
        <v>80</v>
      </c>
      <c r="M1122" s="2">
        <v>808</v>
      </c>
      <c r="N1122" s="2" t="s">
        <v>14</v>
      </c>
      <c r="T1122" s="2" t="s">
        <v>16964</v>
      </c>
    </row>
    <row r="1123" spans="1:24">
      <c r="A1123" s="3" t="s">
        <v>2865</v>
      </c>
      <c r="B1123" s="2">
        <v>15099078</v>
      </c>
      <c r="D1123" s="1" t="s">
        <v>17258</v>
      </c>
      <c r="E1123" s="2">
        <v>2015</v>
      </c>
      <c r="F1123" s="2" t="s">
        <v>2573</v>
      </c>
      <c r="G1123" s="2" t="s">
        <v>5</v>
      </c>
      <c r="I1123" s="2" t="s">
        <v>6</v>
      </c>
      <c r="J1123" s="2" t="s">
        <v>8</v>
      </c>
      <c r="K1123" s="2" t="s">
        <v>22</v>
      </c>
      <c r="L1123" s="2" t="s">
        <v>7</v>
      </c>
      <c r="M1123" s="2">
        <v>121</v>
      </c>
      <c r="N1123" s="2" t="s">
        <v>9</v>
      </c>
      <c r="T1123" s="2" t="s">
        <v>16963</v>
      </c>
      <c r="X1123" s="67" t="s">
        <v>4722</v>
      </c>
    </row>
    <row r="1124" spans="1:24">
      <c r="A1124" s="3" t="s">
        <v>2977</v>
      </c>
      <c r="B1124" s="2" t="s">
        <v>2581</v>
      </c>
      <c r="D1124" s="1" t="s">
        <v>17291</v>
      </c>
      <c r="E1124" s="2">
        <v>2015</v>
      </c>
      <c r="F1124" s="2" t="s">
        <v>2573</v>
      </c>
      <c r="G1124" s="2" t="s">
        <v>5</v>
      </c>
      <c r="I1124" s="2" t="s">
        <v>6</v>
      </c>
      <c r="J1124" s="2" t="s">
        <v>8</v>
      </c>
      <c r="K1124" s="2" t="s">
        <v>22</v>
      </c>
      <c r="L1124" s="2" t="s">
        <v>7</v>
      </c>
      <c r="M1124" s="2">
        <v>121</v>
      </c>
      <c r="N1124" s="2" t="s">
        <v>9</v>
      </c>
      <c r="T1124" s="2" t="s">
        <v>16963</v>
      </c>
      <c r="X1124" s="67" t="s">
        <v>4722</v>
      </c>
    </row>
    <row r="1125" spans="1:24">
      <c r="A1125" s="3" t="s">
        <v>2967</v>
      </c>
      <c r="B1125" s="2" t="s">
        <v>2607</v>
      </c>
      <c r="D1125" s="66" t="s">
        <v>17292</v>
      </c>
      <c r="E1125" s="2">
        <v>2015</v>
      </c>
      <c r="F1125" s="2" t="s">
        <v>2573</v>
      </c>
      <c r="G1125" s="2" t="s">
        <v>5</v>
      </c>
      <c r="I1125" s="2" t="s">
        <v>6</v>
      </c>
      <c r="J1125" s="2" t="s">
        <v>8</v>
      </c>
      <c r="K1125" s="2" t="s">
        <v>79</v>
      </c>
      <c r="L1125" s="2" t="s">
        <v>7</v>
      </c>
      <c r="M1125" s="2">
        <v>121</v>
      </c>
      <c r="N1125" s="2" t="s">
        <v>9</v>
      </c>
      <c r="T1125" s="2" t="s">
        <v>16963</v>
      </c>
      <c r="X1125" s="67" t="s">
        <v>4722</v>
      </c>
    </row>
    <row r="1126" spans="1:24">
      <c r="A1126" s="3" t="s">
        <v>4059</v>
      </c>
      <c r="B1126" s="2">
        <v>15123774</v>
      </c>
      <c r="D1126" s="66" t="s">
        <v>17259</v>
      </c>
      <c r="E1126" s="2">
        <v>2015</v>
      </c>
      <c r="F1126" s="2" t="s">
        <v>2573</v>
      </c>
      <c r="G1126" s="2" t="s">
        <v>5</v>
      </c>
      <c r="I1126" s="2" t="s">
        <v>10</v>
      </c>
      <c r="J1126" s="2" t="s">
        <v>59</v>
      </c>
      <c r="K1126" s="2" t="s">
        <v>78</v>
      </c>
      <c r="L1126" s="2" t="s">
        <v>58</v>
      </c>
      <c r="M1126" s="2">
        <v>6</v>
      </c>
      <c r="N1126" s="2" t="s">
        <v>18</v>
      </c>
      <c r="T1126" s="2" t="s">
        <v>16964</v>
      </c>
    </row>
    <row r="1127" spans="1:24">
      <c r="A1127" s="3" t="s">
        <v>2789</v>
      </c>
      <c r="B1127" s="2" t="s">
        <v>2574</v>
      </c>
      <c r="D1127" s="1" t="s">
        <v>17267</v>
      </c>
      <c r="E1127" s="2">
        <v>2014</v>
      </c>
      <c r="F1127" s="2" t="s">
        <v>2573</v>
      </c>
      <c r="G1127" s="2" t="s">
        <v>5</v>
      </c>
      <c r="I1127" s="2" t="s">
        <v>6</v>
      </c>
      <c r="J1127" s="2" t="s">
        <v>108</v>
      </c>
      <c r="K1127" s="2" t="s">
        <v>109</v>
      </c>
      <c r="L1127" s="2" t="s">
        <v>107</v>
      </c>
      <c r="M1127" s="2">
        <v>193</v>
      </c>
      <c r="N1127" s="2" t="s">
        <v>9</v>
      </c>
      <c r="T1127" s="2" t="s">
        <v>16964</v>
      </c>
    </row>
    <row r="1128" spans="1:24">
      <c r="A1128" s="3" t="s">
        <v>17367</v>
      </c>
      <c r="B1128" s="2" t="s">
        <v>2624</v>
      </c>
      <c r="D1128" s="1" t="s">
        <v>17268</v>
      </c>
      <c r="E1128" s="2">
        <v>2014</v>
      </c>
      <c r="F1128" s="2" t="s">
        <v>2573</v>
      </c>
      <c r="G1128" s="2" t="s">
        <v>5</v>
      </c>
      <c r="I1128" s="2" t="s">
        <v>10</v>
      </c>
      <c r="J1128" s="2" t="s">
        <v>35</v>
      </c>
      <c r="K1128" s="2" t="s">
        <v>106</v>
      </c>
      <c r="L1128" s="2" t="s">
        <v>34</v>
      </c>
      <c r="M1128" s="2">
        <v>5</v>
      </c>
      <c r="N1128" s="2" t="s">
        <v>14</v>
      </c>
      <c r="T1128" s="2" t="s">
        <v>16964</v>
      </c>
    </row>
    <row r="1129" spans="1:24">
      <c r="A1129" s="3" t="s">
        <v>3108</v>
      </c>
      <c r="B1129" s="2" t="s">
        <v>2575</v>
      </c>
      <c r="D1129" s="1" t="s">
        <v>17269</v>
      </c>
      <c r="E1129" s="2">
        <v>2014</v>
      </c>
      <c r="F1129" s="2" t="s">
        <v>2573</v>
      </c>
      <c r="G1129" s="2" t="s">
        <v>5</v>
      </c>
      <c r="I1129" s="2" t="s">
        <v>6</v>
      </c>
      <c r="J1129" s="2" t="s">
        <v>20</v>
      </c>
      <c r="K1129" s="2" t="s">
        <v>105</v>
      </c>
      <c r="L1129" s="2" t="s">
        <v>19</v>
      </c>
      <c r="M1129" s="2">
        <v>580</v>
      </c>
      <c r="N1129" s="2" t="s">
        <v>21</v>
      </c>
      <c r="T1129" s="2" t="s">
        <v>16964</v>
      </c>
    </row>
    <row r="1130" spans="1:24">
      <c r="A1130" s="3" t="s">
        <v>3938</v>
      </c>
      <c r="B1130" s="2" t="s">
        <v>2623</v>
      </c>
      <c r="D1130" s="1" t="s">
        <v>17270</v>
      </c>
      <c r="E1130" s="2">
        <v>2014</v>
      </c>
      <c r="F1130" s="2" t="s">
        <v>2573</v>
      </c>
      <c r="G1130" s="2" t="s">
        <v>5</v>
      </c>
      <c r="I1130" s="2" t="s">
        <v>6</v>
      </c>
      <c r="J1130" s="2" t="s">
        <v>40</v>
      </c>
      <c r="K1130" s="2" t="s">
        <v>104</v>
      </c>
      <c r="L1130" s="2" t="s">
        <v>39</v>
      </c>
      <c r="M1130" s="2">
        <v>37</v>
      </c>
      <c r="N1130" s="2" t="s">
        <v>9</v>
      </c>
      <c r="T1130" s="2" t="s">
        <v>16964</v>
      </c>
    </row>
    <row r="1131" spans="1:24">
      <c r="A1131" s="3" t="s">
        <v>3654</v>
      </c>
      <c r="B1131" s="2" t="s">
        <v>2576</v>
      </c>
      <c r="D1131" s="1" t="s">
        <v>17271</v>
      </c>
      <c r="E1131" s="2">
        <v>2014</v>
      </c>
      <c r="F1131" s="2" t="s">
        <v>2573</v>
      </c>
      <c r="G1131" s="2" t="s">
        <v>5</v>
      </c>
      <c r="I1131" s="2" t="s">
        <v>6</v>
      </c>
      <c r="J1131" s="2" t="s">
        <v>102</v>
      </c>
      <c r="K1131" s="2" t="s">
        <v>103</v>
      </c>
      <c r="L1131" s="2" t="s">
        <v>101</v>
      </c>
      <c r="M1131" s="2">
        <v>7</v>
      </c>
      <c r="N1131" s="2" t="s">
        <v>9</v>
      </c>
      <c r="T1131" s="2" t="s">
        <v>16964</v>
      </c>
    </row>
    <row r="1132" spans="1:24">
      <c r="A1132" s="3" t="s">
        <v>4296</v>
      </c>
      <c r="B1132" s="2" t="s">
        <v>2622</v>
      </c>
      <c r="D1132" s="1" t="s">
        <v>17272</v>
      </c>
      <c r="E1132" s="2">
        <v>2014</v>
      </c>
      <c r="F1132" s="2" t="s">
        <v>2573</v>
      </c>
      <c r="G1132" s="2" t="s">
        <v>5</v>
      </c>
      <c r="I1132" s="2" t="s">
        <v>6</v>
      </c>
      <c r="J1132" s="2" t="s">
        <v>40</v>
      </c>
      <c r="K1132" s="2" t="s">
        <v>100</v>
      </c>
      <c r="L1132" s="2" t="s">
        <v>39</v>
      </c>
      <c r="M1132" s="2">
        <v>37</v>
      </c>
      <c r="N1132" s="2" t="s">
        <v>9</v>
      </c>
      <c r="T1132" s="2" t="s">
        <v>16964</v>
      </c>
    </row>
    <row r="1133" spans="1:24">
      <c r="A1133" s="3" t="s">
        <v>3591</v>
      </c>
      <c r="B1133" s="2" t="s">
        <v>2621</v>
      </c>
      <c r="D1133" s="1" t="s">
        <v>17273</v>
      </c>
      <c r="E1133" s="2">
        <v>2014</v>
      </c>
      <c r="F1133" s="2" t="s">
        <v>2573</v>
      </c>
      <c r="G1133" s="2" t="s">
        <v>5</v>
      </c>
      <c r="I1133" s="2" t="s">
        <v>10</v>
      </c>
      <c r="J1133" s="2" t="s">
        <v>98</v>
      </c>
      <c r="K1133" s="2" t="s">
        <v>99</v>
      </c>
      <c r="L1133" s="2" t="s">
        <v>97</v>
      </c>
      <c r="M1133" s="2">
        <v>224</v>
      </c>
      <c r="N1133" s="2" t="s">
        <v>14</v>
      </c>
      <c r="T1133" s="2" t="s">
        <v>16964</v>
      </c>
    </row>
    <row r="1134" spans="1:24">
      <c r="A1134" s="3" t="s">
        <v>3631</v>
      </c>
      <c r="B1134" s="2" t="s">
        <v>2620</v>
      </c>
      <c r="D1134" s="1" t="s">
        <v>17274</v>
      </c>
      <c r="E1134" s="2">
        <v>2014</v>
      </c>
      <c r="F1134" s="2" t="s">
        <v>2573</v>
      </c>
      <c r="G1134" s="2" t="s">
        <v>5</v>
      </c>
      <c r="I1134" s="2" t="s">
        <v>10</v>
      </c>
      <c r="J1134" s="2" t="s">
        <v>17</v>
      </c>
      <c r="K1134" s="2" t="s">
        <v>96</v>
      </c>
      <c r="L1134" s="2" t="s">
        <v>16</v>
      </c>
      <c r="M1134" s="2">
        <v>2</v>
      </c>
      <c r="N1134" s="2" t="s">
        <v>18</v>
      </c>
      <c r="T1134" s="2" t="s">
        <v>16964</v>
      </c>
    </row>
    <row r="1135" spans="1:24">
      <c r="A1135" s="3" t="s">
        <v>3425</v>
      </c>
      <c r="B1135" s="2" t="s">
        <v>2619</v>
      </c>
      <c r="D1135" s="1" t="s">
        <v>17275</v>
      </c>
      <c r="E1135" s="2">
        <v>2014</v>
      </c>
      <c r="F1135" s="2" t="s">
        <v>2573</v>
      </c>
      <c r="G1135" s="2" t="s">
        <v>5</v>
      </c>
      <c r="I1135" s="2" t="s">
        <v>6</v>
      </c>
      <c r="J1135" s="2" t="s">
        <v>20</v>
      </c>
      <c r="K1135" s="2" t="s">
        <v>95</v>
      </c>
      <c r="L1135" s="2" t="s">
        <v>19</v>
      </c>
      <c r="M1135" s="2">
        <v>9</v>
      </c>
      <c r="N1135" s="2" t="s">
        <v>21</v>
      </c>
      <c r="T1135" s="2" t="s">
        <v>16964</v>
      </c>
    </row>
    <row r="1136" spans="1:24">
      <c r="A1136" s="3" t="s">
        <v>3058</v>
      </c>
      <c r="B1136" s="2" t="s">
        <v>2577</v>
      </c>
      <c r="D1136" s="1" t="s">
        <v>17276</v>
      </c>
      <c r="E1136" s="2">
        <v>2014</v>
      </c>
      <c r="F1136" s="2" t="s">
        <v>2573</v>
      </c>
      <c r="G1136" s="2" t="s">
        <v>5</v>
      </c>
      <c r="I1136" s="2" t="s">
        <v>6</v>
      </c>
      <c r="J1136" s="2" t="s">
        <v>8</v>
      </c>
      <c r="K1136" s="2" t="s">
        <v>94</v>
      </c>
      <c r="L1136" s="2" t="s">
        <v>7</v>
      </c>
      <c r="M1136" s="2">
        <v>121</v>
      </c>
      <c r="N1136" s="2" t="s">
        <v>9</v>
      </c>
      <c r="T1136" s="2" t="s">
        <v>16963</v>
      </c>
      <c r="X1136" s="67" t="s">
        <v>4722</v>
      </c>
    </row>
    <row r="1137" spans="1:21">
      <c r="A1137" s="3" t="s">
        <v>3574</v>
      </c>
      <c r="B1137" s="2" t="s">
        <v>2618</v>
      </c>
      <c r="D1137" s="1" t="s">
        <v>17277</v>
      </c>
      <c r="E1137" s="2">
        <v>2014</v>
      </c>
      <c r="F1137" s="2" t="s">
        <v>2573</v>
      </c>
      <c r="G1137" s="2" t="s">
        <v>5</v>
      </c>
      <c r="I1137" s="2" t="s">
        <v>6</v>
      </c>
      <c r="J1137" s="2" t="s">
        <v>24</v>
      </c>
      <c r="K1137" s="2" t="s">
        <v>93</v>
      </c>
      <c r="L1137" s="2" t="s">
        <v>23</v>
      </c>
      <c r="M1137" s="2">
        <v>14</v>
      </c>
      <c r="N1137" s="2" t="s">
        <v>9</v>
      </c>
      <c r="T1137" s="2" t="s">
        <v>16963</v>
      </c>
      <c r="U1137" s="67" t="s">
        <v>2627</v>
      </c>
    </row>
    <row r="1138" spans="1:21" hidden="1">
      <c r="A1138" s="3" t="s">
        <v>4115</v>
      </c>
      <c r="B1138" s="2" t="s">
        <v>1420</v>
      </c>
      <c r="D1138" s="66" t="str">
        <f>VLOOKUP("*"&amp;A1138&amp;"*",[2]Sheet1!$G$2:$X$1155,18,FALSE)</f>
        <v>ERR10616664</v>
      </c>
      <c r="E1138" s="2">
        <v>1926</v>
      </c>
      <c r="F1138" s="2" t="s">
        <v>2692</v>
      </c>
      <c r="G1138" s="2" t="s">
        <v>44</v>
      </c>
      <c r="I1138" s="2" t="s">
        <v>6</v>
      </c>
      <c r="J1138" s="2" t="s">
        <v>102</v>
      </c>
      <c r="K1138" s="2" t="s">
        <v>1421</v>
      </c>
      <c r="L1138" s="2" t="s">
        <v>101</v>
      </c>
      <c r="M1138" s="2">
        <v>158</v>
      </c>
      <c r="N1138" s="2" t="s">
        <v>9</v>
      </c>
      <c r="T1138" s="2" t="s">
        <v>16964</v>
      </c>
    </row>
    <row r="1139" spans="1:21" hidden="1">
      <c r="A1139" s="3" t="s">
        <v>4445</v>
      </c>
      <c r="B1139" s="2" t="s">
        <v>1422</v>
      </c>
      <c r="D1139" s="66" t="str">
        <f>VLOOKUP("*"&amp;A1139&amp;"*",[2]Sheet1!$G$2:$X$1155,18,FALSE)</f>
        <v>ERR10616648</v>
      </c>
      <c r="E1139" s="2">
        <v>1933</v>
      </c>
      <c r="F1139" s="2" t="s">
        <v>2692</v>
      </c>
      <c r="G1139" s="2" t="s">
        <v>318</v>
      </c>
      <c r="I1139" s="2" t="s">
        <v>338</v>
      </c>
      <c r="J1139" s="2" t="s">
        <v>689</v>
      </c>
      <c r="K1139" s="2" t="s">
        <v>690</v>
      </c>
      <c r="L1139" s="2" t="s">
        <v>688</v>
      </c>
      <c r="M1139" s="2">
        <v>623</v>
      </c>
      <c r="N1139" s="2" t="s">
        <v>152</v>
      </c>
      <c r="T1139" s="2" t="s">
        <v>16964</v>
      </c>
    </row>
    <row r="1140" spans="1:21" hidden="1">
      <c r="A1140" s="3" t="s">
        <v>4446</v>
      </c>
      <c r="B1140" s="2" t="s">
        <v>1423</v>
      </c>
      <c r="D1140" s="66" t="str">
        <f>VLOOKUP("*"&amp;A1140&amp;"*",[2]Sheet1!$G$2:$X$1155,18,FALSE)</f>
        <v>ERR10616673</v>
      </c>
      <c r="E1140" s="2">
        <v>1933</v>
      </c>
      <c r="F1140" s="2" t="s">
        <v>2692</v>
      </c>
      <c r="G1140" s="2" t="s">
        <v>318</v>
      </c>
      <c r="I1140" s="2" t="s">
        <v>338</v>
      </c>
      <c r="J1140" s="2" t="s">
        <v>689</v>
      </c>
      <c r="K1140" s="2" t="s">
        <v>690</v>
      </c>
      <c r="L1140" s="2" t="s">
        <v>688</v>
      </c>
      <c r="M1140" s="2">
        <v>623</v>
      </c>
      <c r="N1140" s="2" t="s">
        <v>152</v>
      </c>
      <c r="T1140" s="2" t="s">
        <v>16964</v>
      </c>
    </row>
    <row r="1141" spans="1:21" hidden="1">
      <c r="A1141" s="3" t="s">
        <v>4439</v>
      </c>
      <c r="B1141" s="2" t="s">
        <v>1424</v>
      </c>
      <c r="D1141" s="66" t="str">
        <f>VLOOKUP("*"&amp;A1141&amp;"*",[2]Sheet1!$G$2:$X$1155,18,FALSE)</f>
        <v>ERR10616660</v>
      </c>
      <c r="E1141" s="2">
        <v>1933</v>
      </c>
      <c r="F1141" s="2" t="s">
        <v>2692</v>
      </c>
      <c r="G1141" s="2" t="s">
        <v>318</v>
      </c>
      <c r="I1141" s="2" t="s">
        <v>338</v>
      </c>
      <c r="J1141" s="2" t="s">
        <v>1426</v>
      </c>
      <c r="K1141" s="2" t="s">
        <v>1427</v>
      </c>
      <c r="L1141" s="2" t="s">
        <v>1425</v>
      </c>
      <c r="M1141" s="2">
        <v>2948</v>
      </c>
      <c r="N1141" s="2" t="s">
        <v>152</v>
      </c>
      <c r="T1141" s="2" t="s">
        <v>16964</v>
      </c>
    </row>
    <row r="1142" spans="1:21" hidden="1">
      <c r="A1142" s="3" t="s">
        <v>3853</v>
      </c>
      <c r="B1142" s="2" t="s">
        <v>1428</v>
      </c>
      <c r="D1142" s="66" t="str">
        <f>VLOOKUP("*"&amp;A1142&amp;"*",[2]Sheet1!$G$2:$X$1155,18,FALSE)</f>
        <v>ERR10616667</v>
      </c>
      <c r="E1142" s="2">
        <v>1933</v>
      </c>
      <c r="F1142" s="2" t="s">
        <v>2692</v>
      </c>
      <c r="G1142" s="2" t="s">
        <v>318</v>
      </c>
      <c r="I1142" s="2" t="s">
        <v>10</v>
      </c>
      <c r="J1142" s="2" t="s">
        <v>129</v>
      </c>
      <c r="K1142" s="2" t="s">
        <v>1429</v>
      </c>
      <c r="L1142" s="2" t="s">
        <v>128</v>
      </c>
      <c r="M1142" s="2">
        <v>73</v>
      </c>
      <c r="N1142" s="2" t="s">
        <v>18</v>
      </c>
      <c r="T1142" s="2" t="s">
        <v>16964</v>
      </c>
    </row>
    <row r="1143" spans="1:21" hidden="1">
      <c r="A1143" s="3" t="s">
        <v>4056</v>
      </c>
      <c r="B1143" s="2" t="s">
        <v>1430</v>
      </c>
      <c r="D1143" s="66" t="str">
        <f>VLOOKUP("*"&amp;A1143&amp;"*",[2]Sheet1!$G$2:$X$1155,18,FALSE)</f>
        <v>ERR10616655</v>
      </c>
      <c r="E1143" s="2">
        <v>1934</v>
      </c>
      <c r="F1143" s="2" t="s">
        <v>2692</v>
      </c>
      <c r="G1143" s="2" t="s">
        <v>27</v>
      </c>
      <c r="I1143" s="2" t="s">
        <v>10</v>
      </c>
      <c r="J1143" s="2" t="s">
        <v>765</v>
      </c>
      <c r="K1143" s="2" t="s">
        <v>1431</v>
      </c>
      <c r="L1143" s="2" t="s">
        <v>764</v>
      </c>
      <c r="M1143" s="2">
        <v>118</v>
      </c>
      <c r="N1143" s="2" t="s">
        <v>18</v>
      </c>
      <c r="T1143" s="2" t="s">
        <v>16964</v>
      </c>
    </row>
    <row r="1144" spans="1:21" hidden="1">
      <c r="A1144" s="3" t="s">
        <v>3719</v>
      </c>
      <c r="B1144" s="2" t="s">
        <v>1432</v>
      </c>
      <c r="D1144" s="66" t="str">
        <f>VLOOKUP("*"&amp;A1144&amp;"*",[2]Sheet1!$G$2:$X$1155,18,FALSE)</f>
        <v>ERR10616665</v>
      </c>
      <c r="E1144" s="2">
        <v>1933</v>
      </c>
      <c r="F1144" s="2" t="s">
        <v>2692</v>
      </c>
      <c r="G1144" s="2" t="s">
        <v>27</v>
      </c>
      <c r="I1144" s="2" t="s">
        <v>6</v>
      </c>
      <c r="J1144" s="2" t="s">
        <v>20</v>
      </c>
      <c r="K1144" s="2" t="s">
        <v>1433</v>
      </c>
      <c r="L1144" s="2" t="s">
        <v>19</v>
      </c>
      <c r="M1144" s="2">
        <v>478</v>
      </c>
      <c r="N1144" s="2" t="s">
        <v>21</v>
      </c>
      <c r="T1144" s="2" t="s">
        <v>16964</v>
      </c>
    </row>
    <row r="1145" spans="1:21" hidden="1">
      <c r="A1145" s="3" t="s">
        <v>3407</v>
      </c>
      <c r="B1145" s="2" t="s">
        <v>1434</v>
      </c>
      <c r="D1145" s="66" t="str">
        <f>VLOOKUP("*"&amp;A1145&amp;"*",[2]Sheet1!$G$2:$X$1155,18,FALSE)</f>
        <v>ERR10616652</v>
      </c>
      <c r="E1145" s="2">
        <v>1934</v>
      </c>
      <c r="F1145" s="2" t="s">
        <v>2692</v>
      </c>
      <c r="G1145" s="2" t="s">
        <v>27</v>
      </c>
      <c r="I1145" s="2" t="s">
        <v>10</v>
      </c>
      <c r="J1145" s="2" t="s">
        <v>1435</v>
      </c>
      <c r="K1145" s="2" t="s">
        <v>1436</v>
      </c>
      <c r="L1145" s="2" t="s">
        <v>128</v>
      </c>
      <c r="M1145" s="2">
        <v>308</v>
      </c>
      <c r="N1145" s="2" t="s">
        <v>18</v>
      </c>
      <c r="T1145" s="2" t="s">
        <v>16964</v>
      </c>
    </row>
    <row r="1146" spans="1:21" hidden="1">
      <c r="A1146" s="3" t="s">
        <v>4250</v>
      </c>
      <c r="B1146" s="2" t="s">
        <v>1437</v>
      </c>
      <c r="D1146" s="66" t="str">
        <f>VLOOKUP("*"&amp;A1146&amp;"*",[2]Sheet1!$G$2:$X$1155,18,FALSE)</f>
        <v>ERR10616645</v>
      </c>
      <c r="E1146" s="2">
        <v>1937</v>
      </c>
      <c r="F1146" s="2" t="s">
        <v>2692</v>
      </c>
      <c r="G1146" s="2" t="s">
        <v>318</v>
      </c>
      <c r="I1146" s="2" t="s">
        <v>10</v>
      </c>
      <c r="J1146" s="2" t="s">
        <v>129</v>
      </c>
      <c r="K1146" s="2" t="s">
        <v>1438</v>
      </c>
      <c r="L1146" s="2" t="s">
        <v>128</v>
      </c>
      <c r="M1146" s="2">
        <v>278</v>
      </c>
      <c r="N1146" s="2" t="s">
        <v>18</v>
      </c>
      <c r="T1146" s="2" t="s">
        <v>16964</v>
      </c>
    </row>
    <row r="1147" spans="1:21" hidden="1">
      <c r="A1147" s="3" t="s">
        <v>4440</v>
      </c>
      <c r="B1147" s="2" t="s">
        <v>1439</v>
      </c>
      <c r="D1147" s="66" t="str">
        <f>VLOOKUP("*"&amp;A1147&amp;"*",[2]Sheet1!$G$2:$X$1155,18,FALSE)</f>
        <v>ERR10616671</v>
      </c>
      <c r="E1147" s="2">
        <v>1937</v>
      </c>
      <c r="F1147" s="2" t="s">
        <v>2692</v>
      </c>
      <c r="G1147" s="2" t="s">
        <v>318</v>
      </c>
      <c r="I1147" s="2" t="s">
        <v>338</v>
      </c>
      <c r="J1147" s="2" t="s">
        <v>685</v>
      </c>
      <c r="K1147" s="2" t="s">
        <v>686</v>
      </c>
      <c r="L1147" s="2" t="s">
        <v>684</v>
      </c>
      <c r="M1147" s="2">
        <v>2949</v>
      </c>
      <c r="N1147" s="2" t="s">
        <v>152</v>
      </c>
      <c r="T1147" s="2" t="s">
        <v>16964</v>
      </c>
    </row>
    <row r="1148" spans="1:21" hidden="1">
      <c r="A1148" s="3" t="s">
        <v>4433</v>
      </c>
      <c r="B1148" s="2" t="s">
        <v>1565</v>
      </c>
      <c r="D1148" s="66" t="str">
        <f>VLOOKUP("*"&amp;A1148&amp;"*",[2]Sheet1!$G$2:$X$1155,18,FALSE)</f>
        <v>ERR10549380</v>
      </c>
      <c r="E1148" s="2">
        <v>1937</v>
      </c>
      <c r="F1148" s="2" t="s">
        <v>2692</v>
      </c>
      <c r="G1148" s="2" t="s">
        <v>318</v>
      </c>
      <c r="H1148" s="2" t="s">
        <v>1566</v>
      </c>
      <c r="I1148" s="2" t="s">
        <v>338</v>
      </c>
      <c r="J1148" s="2" t="s">
        <v>685</v>
      </c>
      <c r="K1148" s="2" t="s">
        <v>1567</v>
      </c>
      <c r="L1148" s="2" t="s">
        <v>684</v>
      </c>
      <c r="M1148" s="2">
        <v>202</v>
      </c>
      <c r="N1148" s="2" t="s">
        <v>152</v>
      </c>
      <c r="T1148" s="2" t="s">
        <v>16964</v>
      </c>
    </row>
    <row r="1149" spans="1:21" hidden="1">
      <c r="A1149" s="3" t="s">
        <v>3096</v>
      </c>
      <c r="B1149" s="2" t="s">
        <v>1568</v>
      </c>
      <c r="D1149" s="66" t="str">
        <f>VLOOKUP("*"&amp;A1149&amp;"*",[2]Sheet1!$G$2:$X$1155,18,FALSE)</f>
        <v>ERR10549369</v>
      </c>
      <c r="E1149" s="2">
        <v>1938</v>
      </c>
      <c r="F1149" s="2" t="s">
        <v>2692</v>
      </c>
      <c r="G1149" s="2" t="s">
        <v>27</v>
      </c>
      <c r="H1149" s="2" t="s">
        <v>1569</v>
      </c>
      <c r="I1149" s="2" t="s">
        <v>6</v>
      </c>
      <c r="J1149" s="2" t="s">
        <v>20</v>
      </c>
      <c r="K1149" s="2" t="s">
        <v>694</v>
      </c>
      <c r="L1149" s="2" t="s">
        <v>19</v>
      </c>
      <c r="M1149" s="2">
        <v>122</v>
      </c>
      <c r="T1149" s="2" t="s">
        <v>16964</v>
      </c>
    </row>
    <row r="1150" spans="1:21" hidden="1">
      <c r="A1150" s="3" t="s">
        <v>3583</v>
      </c>
      <c r="B1150" s="2" t="s">
        <v>1570</v>
      </c>
      <c r="D1150" s="66" t="str">
        <f>VLOOKUP("*"&amp;A1150&amp;"*",[2]Sheet1!$G$2:$X$1155,18,FALSE)</f>
        <v>ERR10549368</v>
      </c>
      <c r="E1150" s="2">
        <v>1938</v>
      </c>
      <c r="F1150" s="2" t="s">
        <v>2692</v>
      </c>
      <c r="G1150" s="2" t="s">
        <v>318</v>
      </c>
      <c r="H1150" s="2" t="s">
        <v>1571</v>
      </c>
      <c r="I1150" s="2" t="s">
        <v>6</v>
      </c>
      <c r="J1150" s="2" t="s">
        <v>638</v>
      </c>
      <c r="K1150" s="2" t="s">
        <v>1572</v>
      </c>
      <c r="L1150" s="2" t="s">
        <v>23</v>
      </c>
      <c r="M1150" s="2">
        <v>545</v>
      </c>
      <c r="N1150" s="2" t="s">
        <v>9</v>
      </c>
      <c r="T1150" s="2" t="s">
        <v>16964</v>
      </c>
    </row>
    <row r="1151" spans="1:21" hidden="1">
      <c r="A1151" s="3" t="s">
        <v>3004</v>
      </c>
      <c r="B1151" s="2" t="s">
        <v>1573</v>
      </c>
      <c r="D1151" s="66" t="str">
        <f>VLOOKUP("*"&amp;A1151&amp;"*",[2]Sheet1!$G$2:$X$1155,18,FALSE)</f>
        <v>ERR10549366</v>
      </c>
      <c r="E1151" s="2">
        <v>1938</v>
      </c>
      <c r="F1151" s="2" t="s">
        <v>2692</v>
      </c>
      <c r="G1151" s="2" t="s">
        <v>318</v>
      </c>
      <c r="H1151" s="2" t="s">
        <v>1574</v>
      </c>
      <c r="I1151" s="2" t="s">
        <v>6</v>
      </c>
      <c r="J1151" s="2" t="s">
        <v>1575</v>
      </c>
      <c r="K1151" s="2" t="s">
        <v>1576</v>
      </c>
      <c r="L1151" s="2" t="s">
        <v>87</v>
      </c>
      <c r="M1151" s="2">
        <v>325</v>
      </c>
      <c r="N1151" s="2" t="s">
        <v>9</v>
      </c>
      <c r="T1151" s="2" t="s">
        <v>16964</v>
      </c>
    </row>
    <row r="1152" spans="1:21" hidden="1">
      <c r="A1152" s="3" t="s">
        <v>3092</v>
      </c>
      <c r="B1152" s="2" t="s">
        <v>1577</v>
      </c>
      <c r="D1152" s="66" t="str">
        <f>VLOOKUP("*"&amp;A1152&amp;"*",[2]Sheet1!$G$2:$X$1155,18,FALSE)</f>
        <v>ERR10549354</v>
      </c>
      <c r="E1152" s="2">
        <v>1938</v>
      </c>
      <c r="F1152" s="2" t="s">
        <v>2692</v>
      </c>
      <c r="G1152" s="2" t="s">
        <v>318</v>
      </c>
      <c r="H1152" s="2" t="s">
        <v>1574</v>
      </c>
      <c r="I1152" s="2" t="s">
        <v>6</v>
      </c>
      <c r="J1152" s="2" t="s">
        <v>1575</v>
      </c>
      <c r="K1152" s="2" t="s">
        <v>1578</v>
      </c>
      <c r="L1152" s="2" t="s">
        <v>87</v>
      </c>
      <c r="M1152" s="2">
        <v>325</v>
      </c>
      <c r="N1152" s="2" t="s">
        <v>9</v>
      </c>
      <c r="T1152" s="2" t="s">
        <v>16964</v>
      </c>
    </row>
    <row r="1153" spans="1:20" hidden="1">
      <c r="A1153" s="3" t="s">
        <v>4390</v>
      </c>
      <c r="B1153" s="2" t="s">
        <v>1579</v>
      </c>
      <c r="D1153" s="66" t="str">
        <f>VLOOKUP("*"&amp;A1153&amp;"*",[2]Sheet1!$G$2:$X$1155,18,FALSE)</f>
        <v>ERR10549379</v>
      </c>
      <c r="E1153" s="2">
        <v>1938</v>
      </c>
      <c r="F1153" s="2" t="s">
        <v>2692</v>
      </c>
      <c r="G1153" s="2" t="s">
        <v>27</v>
      </c>
      <c r="H1153" s="2" t="s">
        <v>1580</v>
      </c>
      <c r="I1153" s="2" t="s">
        <v>10</v>
      </c>
      <c r="J1153" s="2" t="s">
        <v>765</v>
      </c>
      <c r="K1153" s="2" t="s">
        <v>1581</v>
      </c>
      <c r="L1153" s="2" t="s">
        <v>764</v>
      </c>
      <c r="M1153" s="2">
        <v>2967</v>
      </c>
      <c r="N1153" s="2" t="s">
        <v>18</v>
      </c>
      <c r="T1153" s="2" t="s">
        <v>16964</v>
      </c>
    </row>
    <row r="1154" spans="1:20" hidden="1">
      <c r="A1154" s="3" t="s">
        <v>4013</v>
      </c>
      <c r="B1154" s="2" t="s">
        <v>1582</v>
      </c>
      <c r="D1154" s="66" t="str">
        <f>VLOOKUP("*"&amp;A1154&amp;"*",[2]Sheet1!$G$2:$X$1155,18,FALSE)</f>
        <v>ERR10549411</v>
      </c>
      <c r="E1154" s="2">
        <v>1939</v>
      </c>
      <c r="F1154" s="2" t="s">
        <v>2692</v>
      </c>
      <c r="G1154" s="2" t="s">
        <v>27</v>
      </c>
      <c r="H1154" s="2" t="s">
        <v>1569</v>
      </c>
      <c r="I1154" s="2" t="s">
        <v>6</v>
      </c>
      <c r="J1154" s="2" t="s">
        <v>20</v>
      </c>
      <c r="K1154" s="2" t="s">
        <v>1583</v>
      </c>
      <c r="L1154" s="2" t="s">
        <v>19</v>
      </c>
      <c r="M1154" s="2">
        <v>9</v>
      </c>
      <c r="N1154" s="2" t="s">
        <v>21</v>
      </c>
      <c r="T1154" s="2" t="s">
        <v>16964</v>
      </c>
    </row>
    <row r="1155" spans="1:20" hidden="1">
      <c r="A1155" s="3" t="s">
        <v>4414</v>
      </c>
      <c r="B1155" s="2" t="s">
        <v>1584</v>
      </c>
      <c r="D1155" s="66" t="str">
        <f>VLOOKUP("*"&amp;A1155&amp;"*",[2]Sheet1!$G$2:$X$1155,18,FALSE)</f>
        <v>ERR10549353</v>
      </c>
      <c r="E1155" s="2">
        <v>1940</v>
      </c>
      <c r="F1155" s="2" t="s">
        <v>2692</v>
      </c>
      <c r="G1155" s="2" t="s">
        <v>27</v>
      </c>
      <c r="H1155" s="2" t="s">
        <v>1585</v>
      </c>
      <c r="I1155" s="2" t="s">
        <v>10</v>
      </c>
      <c r="J1155" s="2" t="s">
        <v>765</v>
      </c>
      <c r="K1155" s="2" t="s">
        <v>1586</v>
      </c>
      <c r="L1155" s="2" t="s">
        <v>764</v>
      </c>
      <c r="M1155" s="2">
        <v>4</v>
      </c>
      <c r="N1155" s="2" t="s">
        <v>18</v>
      </c>
      <c r="T1155" s="2" t="s">
        <v>16964</v>
      </c>
    </row>
    <row r="1156" spans="1:20" hidden="1">
      <c r="A1156" s="3" t="s">
        <v>4341</v>
      </c>
      <c r="B1156" s="2" t="s">
        <v>1587</v>
      </c>
      <c r="D1156" s="66" t="str">
        <f>VLOOKUP("*"&amp;A1156&amp;"*",[2]Sheet1!$G$2:$X$1155,18,FALSE)</f>
        <v>ERR10549367</v>
      </c>
      <c r="E1156" s="2">
        <v>1937</v>
      </c>
      <c r="F1156" s="2" t="s">
        <v>2692</v>
      </c>
      <c r="G1156" s="2" t="s">
        <v>318</v>
      </c>
      <c r="H1156" s="2" t="s">
        <v>1588</v>
      </c>
      <c r="I1156" s="2" t="s">
        <v>338</v>
      </c>
      <c r="J1156" s="2" t="s">
        <v>1590</v>
      </c>
      <c r="K1156" s="2" t="s">
        <v>1591</v>
      </c>
      <c r="L1156" s="2" t="s">
        <v>1589</v>
      </c>
      <c r="M1156" s="2">
        <v>1263</v>
      </c>
      <c r="N1156" s="2" t="s">
        <v>152</v>
      </c>
      <c r="T1156" s="2" t="s">
        <v>16964</v>
      </c>
    </row>
    <row r="1157" spans="1:20" hidden="1">
      <c r="A1157" s="3" t="s">
        <v>3858</v>
      </c>
      <c r="B1157" s="2" t="s">
        <v>1592</v>
      </c>
      <c r="D1157" s="66" t="str">
        <f>VLOOKUP("*"&amp;A1157&amp;"*",[2]Sheet1!$G$2:$X$1155,18,FALSE)</f>
        <v>ERR10549405</v>
      </c>
      <c r="E1157" s="2">
        <v>1938</v>
      </c>
      <c r="F1157" s="2" t="s">
        <v>2692</v>
      </c>
      <c r="G1157" s="2" t="s">
        <v>318</v>
      </c>
      <c r="H1157" s="2" t="s">
        <v>1593</v>
      </c>
      <c r="I1157" s="2" t="s">
        <v>6</v>
      </c>
      <c r="J1157" s="2" t="s">
        <v>102</v>
      </c>
      <c r="K1157" s="2" t="s">
        <v>1594</v>
      </c>
      <c r="L1157" s="2" t="s">
        <v>101</v>
      </c>
      <c r="M1157" s="2">
        <v>7</v>
      </c>
      <c r="N1157" s="2" t="s">
        <v>9</v>
      </c>
      <c r="T1157" s="2" t="s">
        <v>16964</v>
      </c>
    </row>
    <row r="1158" spans="1:20" hidden="1">
      <c r="A1158" s="3" t="s">
        <v>4432</v>
      </c>
      <c r="B1158" s="2" t="s">
        <v>1595</v>
      </c>
      <c r="D1158" s="66" t="str">
        <f>VLOOKUP("*"&amp;A1158&amp;"*",[2]Sheet1!$G$2:$X$1155,18,FALSE)</f>
        <v>ERR10549356</v>
      </c>
      <c r="E1158" s="2">
        <v>1939</v>
      </c>
      <c r="F1158" s="2" t="s">
        <v>2692</v>
      </c>
      <c r="G1158" s="2" t="s">
        <v>318</v>
      </c>
      <c r="H1158" s="2" t="s">
        <v>1596</v>
      </c>
      <c r="I1158" s="2" t="s">
        <v>338</v>
      </c>
      <c r="J1158" s="2" t="s">
        <v>1598</v>
      </c>
      <c r="K1158" s="2" t="s">
        <v>1599</v>
      </c>
      <c r="L1158" s="2" t="s">
        <v>1597</v>
      </c>
      <c r="M1158" s="2">
        <v>2968</v>
      </c>
      <c r="N1158" s="2" t="s">
        <v>152</v>
      </c>
      <c r="T1158" s="2" t="s">
        <v>16964</v>
      </c>
    </row>
    <row r="1159" spans="1:20" hidden="1">
      <c r="A1159" s="3" t="s">
        <v>3400</v>
      </c>
      <c r="B1159" s="2" t="s">
        <v>1600</v>
      </c>
      <c r="D1159" s="66" t="str">
        <f>VLOOKUP("*"&amp;A1159&amp;"*",[2]Sheet1!$G$2:$X$1155,18,FALSE)</f>
        <v>ERR10549397</v>
      </c>
      <c r="E1159" s="2">
        <v>1949</v>
      </c>
      <c r="F1159" s="2" t="s">
        <v>2692</v>
      </c>
      <c r="G1159" s="2" t="s">
        <v>318</v>
      </c>
      <c r="H1159" s="2" t="s">
        <v>1601</v>
      </c>
      <c r="I1159" s="2" t="s">
        <v>6</v>
      </c>
      <c r="J1159" s="2" t="s">
        <v>20</v>
      </c>
      <c r="K1159" s="2" t="s">
        <v>1602</v>
      </c>
      <c r="L1159" s="2" t="s">
        <v>19</v>
      </c>
      <c r="M1159" s="2">
        <v>9</v>
      </c>
      <c r="N1159" s="2" t="s">
        <v>21</v>
      </c>
      <c r="T1159" s="2" t="s">
        <v>16964</v>
      </c>
    </row>
    <row r="1160" spans="1:20" hidden="1">
      <c r="A1160" s="3" t="s">
        <v>3291</v>
      </c>
      <c r="B1160" s="2" t="s">
        <v>1603</v>
      </c>
      <c r="D1160" s="66" t="str">
        <f>VLOOKUP("*"&amp;A1160&amp;"*",[2]Sheet1!$G$2:$X$1155,18,FALSE)</f>
        <v>ERR10549355</v>
      </c>
      <c r="E1160" s="2">
        <v>1948</v>
      </c>
      <c r="F1160" s="2" t="s">
        <v>2692</v>
      </c>
      <c r="G1160" s="2" t="s">
        <v>27</v>
      </c>
      <c r="H1160" s="2" t="s">
        <v>1604</v>
      </c>
      <c r="I1160" s="2" t="s">
        <v>6</v>
      </c>
      <c r="J1160" s="2" t="s">
        <v>120</v>
      </c>
      <c r="K1160" s="2" t="s">
        <v>1605</v>
      </c>
      <c r="L1160" s="2" t="s">
        <v>119</v>
      </c>
      <c r="M1160" s="2">
        <v>155</v>
      </c>
      <c r="N1160" s="2" t="s">
        <v>9</v>
      </c>
      <c r="T1160" s="2" t="s">
        <v>16964</v>
      </c>
    </row>
    <row r="1161" spans="1:20" hidden="1">
      <c r="A1161" s="3" t="s">
        <v>4316</v>
      </c>
      <c r="B1161" s="2" t="s">
        <v>1606</v>
      </c>
      <c r="D1161" s="66" t="str">
        <f>VLOOKUP("*"&amp;A1161&amp;"*",[2]Sheet1!$G$2:$X$1155,18,FALSE)</f>
        <v>ERR10549375</v>
      </c>
      <c r="E1161" s="2">
        <v>1949</v>
      </c>
      <c r="F1161" s="2" t="s">
        <v>2692</v>
      </c>
      <c r="G1161" s="2" t="s">
        <v>318</v>
      </c>
      <c r="H1161" s="2" t="s">
        <v>1607</v>
      </c>
      <c r="I1161" s="2" t="s">
        <v>10</v>
      </c>
      <c r="J1161" s="2" t="s">
        <v>129</v>
      </c>
      <c r="K1161" s="2" t="s">
        <v>1608</v>
      </c>
      <c r="L1161" s="2" t="s">
        <v>128</v>
      </c>
      <c r="M1161" s="2">
        <v>1</v>
      </c>
      <c r="N1161" s="2" t="s">
        <v>18</v>
      </c>
      <c r="T1161" s="2" t="s">
        <v>16964</v>
      </c>
    </row>
    <row r="1162" spans="1:20" hidden="1">
      <c r="A1162" s="3" t="s">
        <v>4391</v>
      </c>
      <c r="B1162" s="2" t="s">
        <v>1609</v>
      </c>
      <c r="D1162" s="66" t="str">
        <f>VLOOKUP("*"&amp;A1162&amp;"*",[2]Sheet1!$G$2:$X$1155,18,FALSE)</f>
        <v>ERR10549382</v>
      </c>
      <c r="E1162" s="2">
        <v>1950</v>
      </c>
      <c r="F1162" s="2" t="s">
        <v>2692</v>
      </c>
      <c r="G1162" s="2" t="s">
        <v>318</v>
      </c>
      <c r="H1162" s="2" t="s">
        <v>1610</v>
      </c>
      <c r="I1162" s="2" t="s">
        <v>10</v>
      </c>
      <c r="J1162" s="2" t="s">
        <v>765</v>
      </c>
      <c r="K1162" s="2" t="s">
        <v>1586</v>
      </c>
      <c r="L1162" s="2" t="s">
        <v>764</v>
      </c>
      <c r="M1162" s="2">
        <v>4</v>
      </c>
      <c r="N1162" s="2" t="s">
        <v>18</v>
      </c>
      <c r="T1162" s="2" t="s">
        <v>16964</v>
      </c>
    </row>
    <row r="1163" spans="1:20" hidden="1">
      <c r="A1163" s="3" t="s">
        <v>2870</v>
      </c>
      <c r="B1163" s="2" t="s">
        <v>1611</v>
      </c>
      <c r="D1163" s="66" t="str">
        <f>VLOOKUP("*"&amp;A1163&amp;"*",[2]Sheet1!$G$2:$X$1155,18,FALSE)</f>
        <v>ERR10549361</v>
      </c>
      <c r="E1163" s="2">
        <v>1950</v>
      </c>
      <c r="F1163" s="2" t="s">
        <v>2692</v>
      </c>
      <c r="G1163" s="2" t="s">
        <v>318</v>
      </c>
      <c r="H1163" s="2" t="s">
        <v>1612</v>
      </c>
      <c r="I1163" s="2" t="s">
        <v>6</v>
      </c>
      <c r="J1163" s="2" t="s">
        <v>73</v>
      </c>
      <c r="K1163" s="2" t="s">
        <v>1613</v>
      </c>
      <c r="L1163" s="2" t="s">
        <v>23</v>
      </c>
      <c r="M1163" s="2">
        <v>2969</v>
      </c>
      <c r="N1163" s="2" t="s">
        <v>9</v>
      </c>
      <c r="T1163" s="2" t="s">
        <v>16964</v>
      </c>
    </row>
    <row r="1164" spans="1:20" hidden="1">
      <c r="A1164" s="3" t="s">
        <v>3290</v>
      </c>
      <c r="B1164" s="2" t="s">
        <v>1614</v>
      </c>
      <c r="D1164" s="66" t="str">
        <f>VLOOKUP("*"&amp;A1164&amp;"*",[2]Sheet1!$G$2:$X$1155,18,FALSE)</f>
        <v>ERR10549359</v>
      </c>
      <c r="E1164" s="2">
        <v>1948</v>
      </c>
      <c r="F1164" s="2" t="s">
        <v>2692</v>
      </c>
      <c r="G1164" s="2" t="s">
        <v>27</v>
      </c>
      <c r="H1164" s="2" t="s">
        <v>1615</v>
      </c>
      <c r="I1164" s="2" t="s">
        <v>6</v>
      </c>
      <c r="J1164" s="2" t="s">
        <v>120</v>
      </c>
      <c r="K1164" s="2" t="s">
        <v>1605</v>
      </c>
      <c r="L1164" s="2" t="s">
        <v>119</v>
      </c>
      <c r="M1164" s="2">
        <v>155</v>
      </c>
      <c r="N1164" s="2" t="s">
        <v>9</v>
      </c>
      <c r="T1164" s="2" t="s">
        <v>16964</v>
      </c>
    </row>
    <row r="1165" spans="1:20" hidden="1">
      <c r="A1165" s="3" t="s">
        <v>3586</v>
      </c>
      <c r="B1165" s="2" t="s">
        <v>1616</v>
      </c>
      <c r="D1165" s="66" t="str">
        <f>VLOOKUP("*"&amp;A1165&amp;"*",[2]Sheet1!$G$2:$X$1155,18,FALSE)</f>
        <v>ERR10549387</v>
      </c>
      <c r="E1165" s="2">
        <v>1951</v>
      </c>
      <c r="F1165" s="2" t="s">
        <v>2692</v>
      </c>
      <c r="G1165" s="2" t="s">
        <v>27</v>
      </c>
      <c r="H1165" s="2" t="s">
        <v>1617</v>
      </c>
      <c r="I1165" s="2" t="s">
        <v>6</v>
      </c>
      <c r="J1165" s="2" t="s">
        <v>26</v>
      </c>
      <c r="K1165" s="2" t="s">
        <v>1618</v>
      </c>
      <c r="L1165" s="2" t="s">
        <v>25</v>
      </c>
      <c r="M1165" s="2">
        <v>103</v>
      </c>
      <c r="N1165" s="2" t="s">
        <v>9</v>
      </c>
      <c r="T1165" s="2" t="s">
        <v>16964</v>
      </c>
    </row>
    <row r="1166" spans="1:20" hidden="1">
      <c r="A1166" s="3" t="s">
        <v>3472</v>
      </c>
      <c r="B1166" s="2" t="s">
        <v>1619</v>
      </c>
      <c r="D1166" s="66" t="str">
        <f>VLOOKUP("*"&amp;A1166&amp;"*",[2]Sheet1!$G$2:$X$1155,18,FALSE)</f>
        <v>ERR10549377</v>
      </c>
      <c r="E1166" s="2">
        <v>1951</v>
      </c>
      <c r="F1166" s="2" t="s">
        <v>2692</v>
      </c>
      <c r="G1166" s="2" t="s">
        <v>27</v>
      </c>
      <c r="H1166" s="2" t="s">
        <v>1620</v>
      </c>
      <c r="I1166" s="2" t="s">
        <v>6</v>
      </c>
      <c r="J1166" s="2" t="s">
        <v>26</v>
      </c>
      <c r="K1166" s="2" t="s">
        <v>1621</v>
      </c>
      <c r="L1166" s="2" t="s">
        <v>25</v>
      </c>
      <c r="M1166" s="2">
        <v>113</v>
      </c>
      <c r="N1166" s="2" t="s">
        <v>9</v>
      </c>
      <c r="T1166" s="2" t="s">
        <v>16964</v>
      </c>
    </row>
    <row r="1167" spans="1:20" hidden="1">
      <c r="A1167" s="3" t="s">
        <v>3624</v>
      </c>
      <c r="B1167" s="2" t="s">
        <v>1631</v>
      </c>
      <c r="D1167" s="66" t="str">
        <f>VLOOKUP("*"&amp;A1167&amp;"*",[2]Sheet1!$G$2:$X$1155,18,FALSE)</f>
        <v>ERR10549386</v>
      </c>
      <c r="E1167" s="2">
        <v>1951</v>
      </c>
      <c r="F1167" s="2" t="s">
        <v>2692</v>
      </c>
      <c r="G1167" s="2" t="s">
        <v>27</v>
      </c>
      <c r="H1167" s="2" t="s">
        <v>1520</v>
      </c>
      <c r="I1167" s="2" t="s">
        <v>10</v>
      </c>
      <c r="J1167" s="2" t="s">
        <v>129</v>
      </c>
      <c r="K1167" s="2" t="s">
        <v>1632</v>
      </c>
      <c r="L1167" s="2" t="s">
        <v>128</v>
      </c>
      <c r="M1167" s="2">
        <v>1</v>
      </c>
      <c r="N1167" s="2" t="s">
        <v>18</v>
      </c>
      <c r="T1167" s="2" t="s">
        <v>16964</v>
      </c>
    </row>
    <row r="1168" spans="1:20" hidden="1">
      <c r="A1168" s="3" t="s">
        <v>4436</v>
      </c>
      <c r="B1168" s="2" t="s">
        <v>1633</v>
      </c>
      <c r="D1168" s="66" t="str">
        <f>VLOOKUP("*"&amp;A1168&amp;"*",[2]Sheet1!$G$2:$X$1155,18,FALSE)</f>
        <v>ERR10549389</v>
      </c>
      <c r="E1168" s="2">
        <v>1953</v>
      </c>
      <c r="F1168" s="2" t="s">
        <v>2692</v>
      </c>
      <c r="G1168" s="2" t="s">
        <v>318</v>
      </c>
      <c r="H1168" s="2" t="s">
        <v>1607</v>
      </c>
      <c r="I1168" s="2" t="s">
        <v>338</v>
      </c>
      <c r="J1168" s="2" t="s">
        <v>1635</v>
      </c>
      <c r="K1168" s="2" t="s">
        <v>1636</v>
      </c>
      <c r="L1168" s="2" t="s">
        <v>1634</v>
      </c>
      <c r="M1168" s="2">
        <v>2971</v>
      </c>
      <c r="N1168" s="2" t="s">
        <v>152</v>
      </c>
      <c r="T1168" s="2" t="s">
        <v>16964</v>
      </c>
    </row>
    <row r="1169" spans="1:20" hidden="1">
      <c r="A1169" s="3" t="s">
        <v>4334</v>
      </c>
      <c r="B1169" s="2" t="s">
        <v>1637</v>
      </c>
      <c r="D1169" s="66" t="str">
        <f>VLOOKUP("*"&amp;A1169&amp;"*",[2]Sheet1!$G$2:$X$1155,18,FALSE)</f>
        <v>ERR10549410</v>
      </c>
      <c r="E1169" s="2">
        <v>1951</v>
      </c>
      <c r="F1169" s="2" t="s">
        <v>2692</v>
      </c>
      <c r="G1169" s="2" t="s">
        <v>318</v>
      </c>
      <c r="H1169" s="2" t="s">
        <v>1638</v>
      </c>
      <c r="I1169" s="2" t="s">
        <v>10</v>
      </c>
      <c r="J1169" s="2" t="s">
        <v>129</v>
      </c>
      <c r="K1169" s="2" t="s">
        <v>1639</v>
      </c>
      <c r="L1169" s="2" t="s">
        <v>128</v>
      </c>
      <c r="M1169" s="2">
        <v>63</v>
      </c>
      <c r="N1169" s="2" t="s">
        <v>18</v>
      </c>
      <c r="T1169" s="2" t="s">
        <v>16964</v>
      </c>
    </row>
    <row r="1170" spans="1:20" hidden="1">
      <c r="A1170" s="3" t="s">
        <v>4248</v>
      </c>
      <c r="B1170" s="2" t="s">
        <v>1640</v>
      </c>
      <c r="D1170" s="66" t="str">
        <f>VLOOKUP("*"&amp;A1170&amp;"*",[2]Sheet1!$G$2:$X$1155,18,FALSE)</f>
        <v>ERR10549422</v>
      </c>
      <c r="E1170" s="2">
        <v>1952</v>
      </c>
      <c r="F1170" s="2" t="s">
        <v>2692</v>
      </c>
      <c r="G1170" s="2" t="s">
        <v>318</v>
      </c>
      <c r="H1170" s="2" t="s">
        <v>1641</v>
      </c>
      <c r="I1170" s="2" t="s">
        <v>10</v>
      </c>
      <c r="J1170" s="2" t="s">
        <v>129</v>
      </c>
      <c r="K1170" s="2" t="s">
        <v>1639</v>
      </c>
      <c r="L1170" s="2" t="s">
        <v>128</v>
      </c>
      <c r="M1170" s="2">
        <v>2099</v>
      </c>
      <c r="N1170" s="2" t="s">
        <v>18</v>
      </c>
      <c r="T1170" s="2" t="s">
        <v>16964</v>
      </c>
    </row>
    <row r="1171" spans="1:20" hidden="1">
      <c r="A1171" s="3" t="s">
        <v>4345</v>
      </c>
      <c r="B1171" s="2" t="s">
        <v>1642</v>
      </c>
      <c r="D1171" s="66" t="str">
        <f>VLOOKUP("*"&amp;A1171&amp;"*",[2]Sheet1!$G$2:$X$1155,18,FALSE)</f>
        <v>ERR10549408</v>
      </c>
      <c r="E1171" s="2">
        <v>1953</v>
      </c>
      <c r="F1171" s="2" t="s">
        <v>2692</v>
      </c>
      <c r="G1171" s="2" t="s">
        <v>318</v>
      </c>
      <c r="H1171" s="2" t="s">
        <v>1638</v>
      </c>
      <c r="I1171" s="2" t="s">
        <v>10</v>
      </c>
      <c r="J1171" s="2" t="s">
        <v>129</v>
      </c>
      <c r="K1171" s="2" t="s">
        <v>1643</v>
      </c>
      <c r="L1171" s="2" t="s">
        <v>128</v>
      </c>
      <c r="M1171" s="2">
        <v>1</v>
      </c>
      <c r="N1171" s="2" t="s">
        <v>18</v>
      </c>
      <c r="T1171" s="2" t="s">
        <v>16964</v>
      </c>
    </row>
    <row r="1172" spans="1:20" hidden="1">
      <c r="A1172" s="3" t="s">
        <v>3324</v>
      </c>
      <c r="B1172" s="2" t="s">
        <v>1622</v>
      </c>
      <c r="D1172" s="66" t="str">
        <f>VLOOKUP("*"&amp;A1172&amp;"*",[2]Sheet1!$G$2:$X$1155,18,FALSE)</f>
        <v>ERR10549365</v>
      </c>
      <c r="E1172" s="2">
        <v>1951</v>
      </c>
      <c r="F1172" s="2" t="s">
        <v>2692</v>
      </c>
      <c r="G1172" s="2" t="s">
        <v>27</v>
      </c>
      <c r="H1172" s="2" t="s">
        <v>1620</v>
      </c>
      <c r="I1172" s="2" t="s">
        <v>6</v>
      </c>
      <c r="J1172" s="2" t="s">
        <v>102</v>
      </c>
      <c r="K1172" s="2" t="s">
        <v>1623</v>
      </c>
      <c r="L1172" s="2" t="s">
        <v>101</v>
      </c>
      <c r="M1172" s="2">
        <v>7</v>
      </c>
      <c r="N1172" s="2" t="s">
        <v>9</v>
      </c>
      <c r="T1172" s="2" t="s">
        <v>16964</v>
      </c>
    </row>
    <row r="1173" spans="1:20" hidden="1">
      <c r="A1173" s="3" t="s">
        <v>4106</v>
      </c>
      <c r="B1173" s="2" t="s">
        <v>1644</v>
      </c>
      <c r="D1173" s="66" t="str">
        <f>VLOOKUP("*"&amp;A1173&amp;"*",[2]Sheet1!$G$2:$X$1155,18,FALSE)</f>
        <v>ERR10549394</v>
      </c>
      <c r="E1173" s="2">
        <v>1953</v>
      </c>
      <c r="F1173" s="2" t="s">
        <v>2692</v>
      </c>
      <c r="G1173" s="2" t="s">
        <v>318</v>
      </c>
      <c r="H1173" s="2" t="s">
        <v>1645</v>
      </c>
      <c r="I1173" s="2" t="s">
        <v>6</v>
      </c>
      <c r="J1173" s="2" t="s">
        <v>564</v>
      </c>
      <c r="K1173" s="2" t="s">
        <v>1646</v>
      </c>
      <c r="L1173" s="2" t="s">
        <v>23</v>
      </c>
      <c r="M1173" s="2">
        <v>91</v>
      </c>
      <c r="N1173" s="2" t="s">
        <v>9</v>
      </c>
      <c r="T1173" s="2" t="s">
        <v>16964</v>
      </c>
    </row>
    <row r="1174" spans="1:20" hidden="1">
      <c r="A1174" s="3" t="s">
        <v>4266</v>
      </c>
      <c r="B1174" s="2" t="s">
        <v>1648</v>
      </c>
      <c r="D1174" s="66" t="str">
        <f>VLOOKUP("*"&amp;A1174&amp;"*",[2]Sheet1!$G$2:$X$1155,18,FALSE)</f>
        <v>ERR10549390</v>
      </c>
      <c r="E1174" s="2">
        <v>1953</v>
      </c>
      <c r="F1174" s="2" t="s">
        <v>2692</v>
      </c>
      <c r="G1174" s="2" t="s">
        <v>318</v>
      </c>
      <c r="H1174" s="2" t="s">
        <v>1647</v>
      </c>
      <c r="I1174" s="2" t="s">
        <v>6</v>
      </c>
      <c r="J1174" s="2" t="s">
        <v>102</v>
      </c>
      <c r="K1174" s="2" t="s">
        <v>1649</v>
      </c>
      <c r="L1174" s="2" t="s">
        <v>101</v>
      </c>
      <c r="M1174" s="2">
        <v>7</v>
      </c>
      <c r="N1174" s="2" t="s">
        <v>9</v>
      </c>
      <c r="T1174" s="2" t="s">
        <v>16964</v>
      </c>
    </row>
    <row r="1175" spans="1:20" hidden="1">
      <c r="A1175" s="3" t="s">
        <v>3438</v>
      </c>
      <c r="B1175" s="2" t="s">
        <v>1650</v>
      </c>
      <c r="D1175" s="66" t="str">
        <f>VLOOKUP("*"&amp;A1175&amp;"*",[2]Sheet1!$G$2:$X$1155,18,FALSE)</f>
        <v>ERR10549392</v>
      </c>
      <c r="E1175" s="2">
        <v>1953</v>
      </c>
      <c r="F1175" s="2" t="s">
        <v>2692</v>
      </c>
      <c r="G1175" s="2" t="s">
        <v>27</v>
      </c>
      <c r="H1175" s="2" t="s">
        <v>1517</v>
      </c>
      <c r="I1175" s="2" t="s">
        <v>10</v>
      </c>
      <c r="J1175" s="2" t="s">
        <v>129</v>
      </c>
      <c r="K1175" s="2" t="s">
        <v>1632</v>
      </c>
      <c r="L1175" s="2" t="s">
        <v>128</v>
      </c>
      <c r="M1175" s="2">
        <v>1</v>
      </c>
      <c r="N1175" s="2" t="s">
        <v>18</v>
      </c>
      <c r="T1175" s="2" t="s">
        <v>16964</v>
      </c>
    </row>
    <row r="1176" spans="1:20" hidden="1">
      <c r="A1176" s="3" t="s">
        <v>4225</v>
      </c>
      <c r="B1176" s="2" t="s">
        <v>1651</v>
      </c>
      <c r="D1176" s="66" t="str">
        <f>VLOOKUP("*"&amp;A1176&amp;"*",[2]Sheet1!$G$2:$X$1155,18,FALSE)</f>
        <v>ERR10549373</v>
      </c>
      <c r="E1176" s="2">
        <v>1937</v>
      </c>
      <c r="F1176" s="2" t="s">
        <v>2692</v>
      </c>
      <c r="G1176" s="2" t="s">
        <v>318</v>
      </c>
      <c r="H1176" s="2" t="s">
        <v>1652</v>
      </c>
      <c r="I1176" s="2" t="s">
        <v>6</v>
      </c>
      <c r="J1176" s="2" t="s">
        <v>564</v>
      </c>
      <c r="K1176" s="2" t="s">
        <v>1646</v>
      </c>
      <c r="L1176" s="2" t="s">
        <v>23</v>
      </c>
      <c r="M1176" s="2">
        <v>91</v>
      </c>
      <c r="N1176" s="2" t="s">
        <v>9</v>
      </c>
      <c r="T1176" s="2" t="s">
        <v>16964</v>
      </c>
    </row>
    <row r="1177" spans="1:20" hidden="1">
      <c r="A1177" s="3" t="s">
        <v>3502</v>
      </c>
      <c r="B1177" s="2" t="s">
        <v>1653</v>
      </c>
      <c r="D1177" s="66" t="str">
        <f>VLOOKUP("*"&amp;A1177&amp;"*",[2]Sheet1!$G$2:$X$1155,18,FALSE)</f>
        <v>ERR10549370</v>
      </c>
      <c r="E1177" s="2">
        <v>1953</v>
      </c>
      <c r="F1177" s="2" t="s">
        <v>2692</v>
      </c>
      <c r="G1177" s="2" t="s">
        <v>318</v>
      </c>
      <c r="H1177" s="2" t="s">
        <v>1654</v>
      </c>
      <c r="I1177" s="2" t="s">
        <v>6</v>
      </c>
      <c r="J1177" s="2" t="s">
        <v>638</v>
      </c>
      <c r="K1177" s="2" t="s">
        <v>1655</v>
      </c>
      <c r="L1177" s="2" t="s">
        <v>23</v>
      </c>
      <c r="M1177" s="2">
        <v>91</v>
      </c>
      <c r="N1177" s="2" t="s">
        <v>9</v>
      </c>
      <c r="T1177" s="2" t="s">
        <v>16964</v>
      </c>
    </row>
    <row r="1178" spans="1:20" hidden="1">
      <c r="A1178" s="3" t="s">
        <v>3439</v>
      </c>
      <c r="B1178" s="2" t="s">
        <v>1656</v>
      </c>
      <c r="D1178" s="66" t="str">
        <f>VLOOKUP("*"&amp;A1178&amp;"*",[2]Sheet1!$G$2:$X$1155,18,FALSE)</f>
        <v>ERR10549425</v>
      </c>
      <c r="E1178" s="2">
        <v>1953</v>
      </c>
      <c r="F1178" s="2" t="s">
        <v>2692</v>
      </c>
      <c r="G1178" s="2" t="s">
        <v>27</v>
      </c>
      <c r="H1178" s="2" t="s">
        <v>1520</v>
      </c>
      <c r="I1178" s="2" t="s">
        <v>10</v>
      </c>
      <c r="J1178" s="2" t="s">
        <v>129</v>
      </c>
      <c r="K1178" s="2" t="s">
        <v>1632</v>
      </c>
      <c r="L1178" s="2" t="s">
        <v>128</v>
      </c>
      <c r="M1178" s="2">
        <v>1</v>
      </c>
      <c r="N1178" s="2" t="s">
        <v>18</v>
      </c>
      <c r="T1178" s="2" t="s">
        <v>16964</v>
      </c>
    </row>
    <row r="1179" spans="1:20" hidden="1">
      <c r="A1179" s="3" t="s">
        <v>3573</v>
      </c>
      <c r="B1179" s="2" t="s">
        <v>1657</v>
      </c>
      <c r="D1179" s="66" t="str">
        <f>VLOOKUP("*"&amp;A1179&amp;"*",[2]Sheet1!$G$2:$X$1155,18,FALSE)</f>
        <v>ERR10549383</v>
      </c>
      <c r="E1179" s="2">
        <v>1952</v>
      </c>
      <c r="F1179" s="2" t="s">
        <v>2692</v>
      </c>
      <c r="G1179" s="2" t="s">
        <v>27</v>
      </c>
      <c r="H1179" s="2" t="s">
        <v>1620</v>
      </c>
      <c r="I1179" s="2" t="s">
        <v>6</v>
      </c>
      <c r="J1179" s="2" t="s">
        <v>20</v>
      </c>
      <c r="K1179" s="2" t="s">
        <v>1658</v>
      </c>
      <c r="L1179" s="2" t="s">
        <v>19</v>
      </c>
      <c r="M1179" s="2">
        <v>9</v>
      </c>
      <c r="N1179" s="2" t="s">
        <v>21</v>
      </c>
      <c r="T1179" s="2" t="s">
        <v>16964</v>
      </c>
    </row>
    <row r="1180" spans="1:20" hidden="1">
      <c r="A1180" s="3" t="s">
        <v>3641</v>
      </c>
      <c r="B1180" s="2" t="s">
        <v>1659</v>
      </c>
      <c r="D1180" s="66" t="str">
        <f>VLOOKUP("*"&amp;A1180&amp;"*",[2]Sheet1!$G$2:$X$1155,18,FALSE)</f>
        <v>ERR10549407</v>
      </c>
      <c r="E1180" s="2">
        <v>1954</v>
      </c>
      <c r="F1180" s="2" t="s">
        <v>2692</v>
      </c>
      <c r="G1180" s="2" t="s">
        <v>27</v>
      </c>
      <c r="H1180" s="2" t="s">
        <v>1520</v>
      </c>
      <c r="I1180" s="2" t="s">
        <v>10</v>
      </c>
      <c r="J1180" s="2" t="s">
        <v>17</v>
      </c>
      <c r="K1180" s="2" t="s">
        <v>1660</v>
      </c>
      <c r="L1180" s="2" t="s">
        <v>16</v>
      </c>
      <c r="M1180" s="2">
        <v>2</v>
      </c>
      <c r="N1180" s="2" t="s">
        <v>18</v>
      </c>
      <c r="T1180" s="2" t="s">
        <v>16964</v>
      </c>
    </row>
    <row r="1181" spans="1:20" hidden="1">
      <c r="A1181" s="3" t="s">
        <v>3640</v>
      </c>
      <c r="B1181" s="2" t="s">
        <v>1661</v>
      </c>
      <c r="D1181" s="66" t="str">
        <f>VLOOKUP("*"&amp;A1181&amp;"*",[2]Sheet1!$G$2:$X$1155,18,FALSE)</f>
        <v>ERR10549402</v>
      </c>
      <c r="E1181" s="2">
        <v>1954</v>
      </c>
      <c r="F1181" s="2" t="s">
        <v>2692</v>
      </c>
      <c r="G1181" s="2" t="s">
        <v>27</v>
      </c>
      <c r="H1181" s="2" t="s">
        <v>1520</v>
      </c>
      <c r="I1181" s="2" t="s">
        <v>10</v>
      </c>
      <c r="J1181" s="2" t="s">
        <v>17</v>
      </c>
      <c r="K1181" s="2" t="s">
        <v>1660</v>
      </c>
      <c r="L1181" s="2" t="s">
        <v>16</v>
      </c>
      <c r="M1181" s="2">
        <v>2</v>
      </c>
      <c r="N1181" s="2" t="s">
        <v>18</v>
      </c>
      <c r="T1181" s="2" t="s">
        <v>16964</v>
      </c>
    </row>
    <row r="1182" spans="1:20" hidden="1">
      <c r="A1182" s="3" t="s">
        <v>4280</v>
      </c>
      <c r="B1182" s="2" t="s">
        <v>1662</v>
      </c>
      <c r="D1182" s="66" t="str">
        <f>VLOOKUP("*"&amp;A1182&amp;"*",[2]Sheet1!$G$2:$X$1155,18,FALSE)</f>
        <v>ERR10549371</v>
      </c>
      <c r="E1182" s="2">
        <v>1954</v>
      </c>
      <c r="F1182" s="2" t="s">
        <v>2692</v>
      </c>
      <c r="G1182" s="2" t="s">
        <v>27</v>
      </c>
      <c r="H1182" s="2" t="s">
        <v>1520</v>
      </c>
      <c r="I1182" s="2" t="s">
        <v>10</v>
      </c>
      <c r="J1182" s="2" t="s">
        <v>1508</v>
      </c>
      <c r="K1182" s="2" t="s">
        <v>1509</v>
      </c>
      <c r="L1182" s="2" t="s">
        <v>1507</v>
      </c>
      <c r="M1182" s="2">
        <v>1258</v>
      </c>
      <c r="N1182" s="2" t="s">
        <v>18</v>
      </c>
      <c r="T1182" s="2" t="s">
        <v>16964</v>
      </c>
    </row>
    <row r="1183" spans="1:20" hidden="1">
      <c r="A1183" s="3" t="s">
        <v>4021</v>
      </c>
      <c r="B1183" s="2" t="s">
        <v>1663</v>
      </c>
      <c r="D1183" s="66" t="str">
        <f>VLOOKUP("*"&amp;A1183&amp;"*",[2]Sheet1!$G$2:$X$1155,18,FALSE)</f>
        <v>ERR10549443</v>
      </c>
      <c r="E1183" s="2">
        <v>1954</v>
      </c>
      <c r="F1183" s="2" t="s">
        <v>2692</v>
      </c>
      <c r="G1183" s="2" t="s">
        <v>118</v>
      </c>
      <c r="H1183" s="2" t="s">
        <v>118</v>
      </c>
      <c r="I1183" s="2" t="s">
        <v>6</v>
      </c>
      <c r="J1183" s="2" t="s">
        <v>102</v>
      </c>
      <c r="K1183" s="2" t="s">
        <v>1664</v>
      </c>
      <c r="L1183" s="2" t="s">
        <v>101</v>
      </c>
      <c r="M1183" s="2">
        <v>98</v>
      </c>
      <c r="N1183" s="2" t="s">
        <v>9</v>
      </c>
      <c r="T1183" s="2" t="s">
        <v>16964</v>
      </c>
    </row>
    <row r="1184" spans="1:20" hidden="1">
      <c r="A1184" s="3" t="s">
        <v>4442</v>
      </c>
      <c r="B1184" s="2" t="s">
        <v>1665</v>
      </c>
      <c r="D1184" s="66" t="str">
        <f>VLOOKUP("*"&amp;A1184&amp;"*",[2]Sheet1!$G$2:$X$1155,18,FALSE)</f>
        <v>ERR10549414</v>
      </c>
      <c r="E1184" s="2">
        <v>1953</v>
      </c>
      <c r="F1184" s="2" t="s">
        <v>2692</v>
      </c>
      <c r="G1184" s="2" t="s">
        <v>318</v>
      </c>
      <c r="H1184" s="2" t="s">
        <v>1666</v>
      </c>
      <c r="I1184" s="2" t="s">
        <v>338</v>
      </c>
      <c r="J1184" s="2" t="s">
        <v>685</v>
      </c>
      <c r="K1184" s="2" t="s">
        <v>686</v>
      </c>
      <c r="L1184" s="2" t="s">
        <v>684</v>
      </c>
      <c r="M1184" s="2">
        <v>201</v>
      </c>
      <c r="N1184" s="2" t="s">
        <v>152</v>
      </c>
      <c r="T1184" s="2" t="s">
        <v>16964</v>
      </c>
    </row>
    <row r="1185" spans="1:20" hidden="1">
      <c r="A1185" s="3" t="s">
        <v>4450</v>
      </c>
      <c r="B1185" s="2" t="s">
        <v>1667</v>
      </c>
      <c r="D1185" s="66" t="str">
        <f>VLOOKUP("*"&amp;A1185&amp;"*",[2]Sheet1!$G$2:$X$1155,18,FALSE)</f>
        <v>ERR10549385</v>
      </c>
      <c r="E1185" s="2">
        <v>1949</v>
      </c>
      <c r="F1185" s="2" t="s">
        <v>2692</v>
      </c>
      <c r="G1185" s="2" t="s">
        <v>27</v>
      </c>
      <c r="H1185" s="2" t="s">
        <v>1668</v>
      </c>
      <c r="I1185" s="2" t="s">
        <v>338</v>
      </c>
      <c r="J1185" s="2" t="s">
        <v>1669</v>
      </c>
      <c r="K1185" s="2" t="s">
        <v>1670</v>
      </c>
      <c r="L1185" s="2" t="s">
        <v>688</v>
      </c>
      <c r="M1185" s="2">
        <v>144</v>
      </c>
      <c r="N1185" s="2" t="s">
        <v>152</v>
      </c>
      <c r="T1185" s="2" t="s">
        <v>16964</v>
      </c>
    </row>
    <row r="1186" spans="1:20" hidden="1">
      <c r="A1186" s="3" t="s">
        <v>3162</v>
      </c>
      <c r="B1186" s="2" t="s">
        <v>1671</v>
      </c>
      <c r="D1186" s="66" t="str">
        <f>VLOOKUP("*"&amp;A1186&amp;"*",[2]Sheet1!$G$2:$X$1155,18,FALSE)</f>
        <v>ERR10549455</v>
      </c>
      <c r="E1186" s="2">
        <v>1954</v>
      </c>
      <c r="F1186" s="2" t="s">
        <v>2692</v>
      </c>
      <c r="G1186" s="2" t="s">
        <v>27</v>
      </c>
      <c r="H1186" s="2" t="s">
        <v>1672</v>
      </c>
      <c r="I1186" s="2" t="s">
        <v>6</v>
      </c>
      <c r="J1186" s="2" t="s">
        <v>26</v>
      </c>
      <c r="K1186" s="2" t="s">
        <v>1673</v>
      </c>
      <c r="L1186" s="2" t="s">
        <v>25</v>
      </c>
      <c r="M1186" s="2">
        <v>101</v>
      </c>
      <c r="N1186" s="2" t="s">
        <v>9</v>
      </c>
      <c r="T1186" s="2" t="s">
        <v>16964</v>
      </c>
    </row>
    <row r="1187" spans="1:20" hidden="1">
      <c r="A1187" s="3" t="s">
        <v>3492</v>
      </c>
      <c r="B1187" s="2" t="s">
        <v>1674</v>
      </c>
      <c r="D1187" s="66" t="str">
        <f>VLOOKUP("*"&amp;A1187&amp;"*",[2]Sheet1!$G$2:$X$1155,18,FALSE)</f>
        <v>ERR10549376</v>
      </c>
      <c r="E1187" s="2">
        <v>1954</v>
      </c>
      <c r="F1187" s="2" t="s">
        <v>2692</v>
      </c>
      <c r="G1187" s="2" t="s">
        <v>27</v>
      </c>
      <c r="H1187" s="2" t="s">
        <v>1520</v>
      </c>
      <c r="I1187" s="2" t="s">
        <v>10</v>
      </c>
      <c r="J1187" s="2" t="s">
        <v>1435</v>
      </c>
      <c r="K1187" s="2" t="s">
        <v>1675</v>
      </c>
      <c r="L1187" s="2" t="s">
        <v>128</v>
      </c>
      <c r="M1187" s="2">
        <v>308</v>
      </c>
      <c r="N1187" s="2" t="s">
        <v>18</v>
      </c>
      <c r="T1187" s="2" t="s">
        <v>16964</v>
      </c>
    </row>
    <row r="1188" spans="1:20" hidden="1">
      <c r="A1188" s="3" t="s">
        <v>3857</v>
      </c>
      <c r="B1188" s="2" t="s">
        <v>1676</v>
      </c>
      <c r="D1188" s="66" t="str">
        <f>VLOOKUP("*"&amp;A1188&amp;"*",[2]Sheet1!$G$2:$X$1155,18,FALSE)</f>
        <v>ERR10549378</v>
      </c>
      <c r="E1188" s="2">
        <v>1954</v>
      </c>
      <c r="F1188" s="2" t="s">
        <v>2692</v>
      </c>
      <c r="G1188" s="2" t="s">
        <v>27</v>
      </c>
      <c r="H1188" s="2" t="s">
        <v>1514</v>
      </c>
      <c r="I1188" s="2" t="s">
        <v>10</v>
      </c>
      <c r="J1188" s="2" t="s">
        <v>129</v>
      </c>
      <c r="K1188" s="2" t="s">
        <v>1677</v>
      </c>
      <c r="L1188" s="2" t="s">
        <v>128</v>
      </c>
      <c r="M1188" s="2">
        <v>1</v>
      </c>
      <c r="N1188" s="2" t="s">
        <v>18</v>
      </c>
      <c r="T1188" s="2" t="s">
        <v>16964</v>
      </c>
    </row>
    <row r="1189" spans="1:20" hidden="1">
      <c r="A1189" s="3" t="s">
        <v>3614</v>
      </c>
      <c r="B1189" s="2" t="s">
        <v>1678</v>
      </c>
      <c r="D1189" s="66" t="str">
        <f>VLOOKUP("*"&amp;A1189&amp;"*",[2]Sheet1!$G$2:$X$1155,18,FALSE)</f>
        <v>ERR10549419</v>
      </c>
      <c r="E1189" s="2">
        <v>1955</v>
      </c>
      <c r="F1189" s="2" t="s">
        <v>2692</v>
      </c>
      <c r="G1189" s="2" t="s">
        <v>27</v>
      </c>
      <c r="H1189" s="2" t="s">
        <v>1514</v>
      </c>
      <c r="I1189" s="2" t="s">
        <v>10</v>
      </c>
      <c r="J1189" s="2" t="s">
        <v>129</v>
      </c>
      <c r="K1189" s="2" t="s">
        <v>1679</v>
      </c>
      <c r="L1189" s="2" t="s">
        <v>128</v>
      </c>
      <c r="M1189" s="2">
        <v>1</v>
      </c>
      <c r="N1189" s="2" t="s">
        <v>18</v>
      </c>
      <c r="T1189" s="2" t="s">
        <v>16964</v>
      </c>
    </row>
    <row r="1190" spans="1:20" hidden="1">
      <c r="A1190" s="3" t="s">
        <v>3471</v>
      </c>
      <c r="B1190" s="2" t="s">
        <v>1624</v>
      </c>
      <c r="D1190" s="66" t="str">
        <f>VLOOKUP("*"&amp;A1190&amp;"*",[2]Sheet1!$G$2:$X$1155,18,FALSE)</f>
        <v>ERR10549388</v>
      </c>
      <c r="E1190" s="2">
        <v>1951</v>
      </c>
      <c r="F1190" s="2" t="s">
        <v>2692</v>
      </c>
      <c r="G1190" s="2" t="s">
        <v>27</v>
      </c>
      <c r="H1190" s="2" t="s">
        <v>1620</v>
      </c>
      <c r="I1190" s="2" t="s">
        <v>6</v>
      </c>
      <c r="J1190" s="2" t="s">
        <v>26</v>
      </c>
      <c r="K1190" s="2" t="s">
        <v>1625</v>
      </c>
      <c r="L1190" s="2" t="s">
        <v>25</v>
      </c>
      <c r="M1190" s="2">
        <v>2996</v>
      </c>
      <c r="N1190" s="2" t="s">
        <v>9</v>
      </c>
      <c r="T1190" s="2" t="s">
        <v>16964</v>
      </c>
    </row>
    <row r="1191" spans="1:20" hidden="1">
      <c r="A1191" s="3" t="s">
        <v>3423</v>
      </c>
      <c r="B1191" s="2" t="s">
        <v>1503</v>
      </c>
      <c r="D1191" s="66" t="str">
        <f>VLOOKUP("*"&amp;A1191&amp;"*",[2]Sheet1!$G$2:$X$1155,18,FALSE)</f>
        <v>ERR10549391</v>
      </c>
      <c r="E1191" s="2">
        <v>1955</v>
      </c>
      <c r="F1191" s="2" t="s">
        <v>2692</v>
      </c>
      <c r="G1191" s="2" t="s">
        <v>27</v>
      </c>
      <c r="H1191" s="2" t="s">
        <v>1504</v>
      </c>
      <c r="I1191" s="2" t="s">
        <v>10</v>
      </c>
      <c r="J1191" s="2" t="s">
        <v>17</v>
      </c>
      <c r="K1191" s="2" t="s">
        <v>1505</v>
      </c>
      <c r="L1191" s="2" t="s">
        <v>16</v>
      </c>
      <c r="M1191" s="2">
        <v>2</v>
      </c>
      <c r="N1191" s="2" t="s">
        <v>18</v>
      </c>
      <c r="T1191" s="2" t="s">
        <v>16964</v>
      </c>
    </row>
    <row r="1192" spans="1:20" hidden="1">
      <c r="A1192" s="3" t="s">
        <v>4152</v>
      </c>
      <c r="B1192" s="2" t="s">
        <v>1506</v>
      </c>
      <c r="D1192" s="66" t="str">
        <f>VLOOKUP("*"&amp;A1192&amp;"*",[2]Sheet1!$G$2:$X$1155,18,FALSE)</f>
        <v>ERR10549420</v>
      </c>
      <c r="E1192" s="2">
        <v>1955</v>
      </c>
      <c r="F1192" s="2" t="s">
        <v>2692</v>
      </c>
      <c r="G1192" s="2" t="s">
        <v>27</v>
      </c>
      <c r="H1192" s="2" t="s">
        <v>1504</v>
      </c>
      <c r="I1192" s="2" t="s">
        <v>10</v>
      </c>
      <c r="J1192" s="2" t="s">
        <v>1508</v>
      </c>
      <c r="K1192" s="2" t="s">
        <v>1509</v>
      </c>
      <c r="L1192" s="2" t="s">
        <v>1507</v>
      </c>
      <c r="M1192" s="2">
        <v>1258</v>
      </c>
      <c r="N1192" s="2" t="s">
        <v>18</v>
      </c>
      <c r="T1192" s="2" t="s">
        <v>16964</v>
      </c>
    </row>
    <row r="1193" spans="1:20" hidden="1">
      <c r="A1193" s="3" t="s">
        <v>4151</v>
      </c>
      <c r="B1193" s="2" t="s">
        <v>1510</v>
      </c>
      <c r="D1193" s="66" t="str">
        <f>VLOOKUP("*"&amp;A1193&amp;"*",[2]Sheet1!$G$2:$X$1155,18,FALSE)</f>
        <v>ERR10549393</v>
      </c>
      <c r="E1193" s="2">
        <v>1956</v>
      </c>
      <c r="F1193" s="2" t="s">
        <v>2692</v>
      </c>
      <c r="G1193" s="2" t="s">
        <v>27</v>
      </c>
      <c r="H1193" s="2" t="s">
        <v>1504</v>
      </c>
      <c r="I1193" s="2" t="s">
        <v>10</v>
      </c>
      <c r="J1193" s="2" t="s">
        <v>1508</v>
      </c>
      <c r="K1193" s="2" t="s">
        <v>1509</v>
      </c>
      <c r="L1193" s="2" t="s">
        <v>1507</v>
      </c>
      <c r="M1193" s="2">
        <v>1258</v>
      </c>
      <c r="N1193" s="2" t="s">
        <v>18</v>
      </c>
      <c r="T1193" s="2" t="s">
        <v>16964</v>
      </c>
    </row>
    <row r="1194" spans="1:20" hidden="1">
      <c r="A1194" s="3" t="s">
        <v>3643</v>
      </c>
      <c r="B1194" s="2" t="s">
        <v>1511</v>
      </c>
      <c r="D1194" s="66" t="str">
        <f>VLOOKUP("*"&amp;A1194&amp;"*",[2]Sheet1!$G$2:$X$1155,18,FALSE)</f>
        <v>ERR10549421</v>
      </c>
      <c r="E1194" s="2">
        <v>1956</v>
      </c>
      <c r="F1194" s="2" t="s">
        <v>2692</v>
      </c>
      <c r="G1194" s="2" t="s">
        <v>27</v>
      </c>
      <c r="H1194" s="2" t="s">
        <v>1504</v>
      </c>
      <c r="I1194" s="2" t="s">
        <v>10</v>
      </c>
      <c r="J1194" s="2" t="s">
        <v>17</v>
      </c>
      <c r="K1194" s="2" t="s">
        <v>1512</v>
      </c>
      <c r="L1194" s="2" t="s">
        <v>16</v>
      </c>
      <c r="M1194" s="2">
        <v>2</v>
      </c>
      <c r="N1194" s="2" t="s">
        <v>18</v>
      </c>
      <c r="T1194" s="2" t="s">
        <v>16964</v>
      </c>
    </row>
    <row r="1195" spans="1:20" hidden="1">
      <c r="A1195" s="3" t="s">
        <v>3531</v>
      </c>
      <c r="B1195" s="2" t="s">
        <v>1513</v>
      </c>
      <c r="D1195" s="66" t="str">
        <f>VLOOKUP("*"&amp;A1195&amp;"*",[2]Sheet1!$G$2:$X$1155,18,FALSE)</f>
        <v>ERR10549400</v>
      </c>
      <c r="E1195" s="2">
        <v>1956</v>
      </c>
      <c r="F1195" s="2" t="s">
        <v>2692</v>
      </c>
      <c r="G1195" s="2" t="s">
        <v>27</v>
      </c>
      <c r="H1195" s="2" t="s">
        <v>1514</v>
      </c>
      <c r="I1195" s="2" t="s">
        <v>10</v>
      </c>
      <c r="J1195" s="2" t="s">
        <v>17</v>
      </c>
      <c r="K1195" s="2" t="s">
        <v>1515</v>
      </c>
      <c r="L1195" s="2" t="s">
        <v>16</v>
      </c>
      <c r="M1195" s="2">
        <v>2</v>
      </c>
      <c r="N1195" s="2" t="s">
        <v>18</v>
      </c>
      <c r="T1195" s="2" t="s">
        <v>16964</v>
      </c>
    </row>
    <row r="1196" spans="1:20" hidden="1">
      <c r="A1196" s="3" t="s">
        <v>3255</v>
      </c>
      <c r="B1196" s="2" t="s">
        <v>1516</v>
      </c>
      <c r="D1196" s="66" t="str">
        <f>VLOOKUP("*"&amp;A1196&amp;"*",[2]Sheet1!$G$2:$X$1155,18,FALSE)</f>
        <v>ERR10549396</v>
      </c>
      <c r="E1196" s="2">
        <v>1957</v>
      </c>
      <c r="F1196" s="2" t="s">
        <v>2692</v>
      </c>
      <c r="G1196" s="2" t="s">
        <v>27</v>
      </c>
      <c r="H1196" s="2" t="s">
        <v>1517</v>
      </c>
      <c r="I1196" s="2" t="s">
        <v>10</v>
      </c>
      <c r="J1196" s="2" t="s">
        <v>17</v>
      </c>
      <c r="K1196" s="2" t="s">
        <v>1518</v>
      </c>
      <c r="L1196" s="2" t="s">
        <v>16</v>
      </c>
      <c r="M1196" s="2">
        <v>2</v>
      </c>
      <c r="N1196" s="2" t="s">
        <v>18</v>
      </c>
      <c r="T1196" s="2" t="s">
        <v>16964</v>
      </c>
    </row>
    <row r="1197" spans="1:20" hidden="1">
      <c r="A1197" s="3" t="s">
        <v>3253</v>
      </c>
      <c r="B1197" s="2" t="s">
        <v>1519</v>
      </c>
      <c r="D1197" s="66" t="str">
        <f>VLOOKUP("*"&amp;A1197&amp;"*",[2]Sheet1!$G$2:$X$1155,18,FALSE)</f>
        <v>ERR10549434</v>
      </c>
      <c r="E1197" s="2">
        <v>1957</v>
      </c>
      <c r="F1197" s="2" t="s">
        <v>2692</v>
      </c>
      <c r="G1197" s="2" t="s">
        <v>27</v>
      </c>
      <c r="H1197" s="2" t="s">
        <v>1520</v>
      </c>
      <c r="I1197" s="2" t="s">
        <v>10</v>
      </c>
      <c r="J1197" s="2" t="s">
        <v>17</v>
      </c>
      <c r="K1197" s="2" t="s">
        <v>1518</v>
      </c>
      <c r="L1197" s="2" t="s">
        <v>16</v>
      </c>
      <c r="M1197" s="2">
        <v>2</v>
      </c>
      <c r="N1197" s="2" t="s">
        <v>18</v>
      </c>
      <c r="T1197" s="2" t="s">
        <v>16964</v>
      </c>
    </row>
    <row r="1198" spans="1:20" hidden="1">
      <c r="A1198" s="3" t="s">
        <v>3920</v>
      </c>
      <c r="B1198" s="2" t="s">
        <v>1626</v>
      </c>
      <c r="D1198" s="66" t="str">
        <f>VLOOKUP("*"&amp;A1198&amp;"*",[2]Sheet1!$G$2:$X$1155,18,FALSE)</f>
        <v>ERR10549423</v>
      </c>
      <c r="E1198" s="2">
        <v>1953</v>
      </c>
      <c r="F1198" s="2" t="s">
        <v>2692</v>
      </c>
      <c r="G1198" s="2" t="s">
        <v>27</v>
      </c>
      <c r="H1198" s="2" t="s">
        <v>1520</v>
      </c>
      <c r="I1198" s="2" t="s">
        <v>1627</v>
      </c>
      <c r="J1198" s="2" t="s">
        <v>1629</v>
      </c>
      <c r="K1198" s="2" t="s">
        <v>1630</v>
      </c>
      <c r="L1198" s="2" t="s">
        <v>1628</v>
      </c>
      <c r="M1198" s="2">
        <v>3024</v>
      </c>
      <c r="N1198" s="2" t="s">
        <v>4459</v>
      </c>
      <c r="T1198" s="2" t="s">
        <v>16964</v>
      </c>
    </row>
    <row r="1199" spans="1:20" hidden="1">
      <c r="A1199" s="3" t="s">
        <v>3633</v>
      </c>
      <c r="B1199" s="2" t="s">
        <v>1521</v>
      </c>
      <c r="D1199" s="66" t="str">
        <f>VLOOKUP("*"&amp;A1199&amp;"*",[2]Sheet1!$G$2:$X$1155,18,FALSE)</f>
        <v>ERR10549398</v>
      </c>
      <c r="E1199" s="2">
        <v>1958</v>
      </c>
      <c r="F1199" s="2" t="s">
        <v>2692</v>
      </c>
      <c r="G1199" s="2" t="s">
        <v>27</v>
      </c>
      <c r="H1199" s="2" t="s">
        <v>1517</v>
      </c>
      <c r="I1199" s="2" t="s">
        <v>10</v>
      </c>
      <c r="J1199" s="2" t="s">
        <v>17</v>
      </c>
      <c r="K1199" s="2" t="s">
        <v>1522</v>
      </c>
      <c r="L1199" s="2" t="s">
        <v>16</v>
      </c>
      <c r="M1199" s="2">
        <v>2</v>
      </c>
      <c r="N1199" s="2" t="s">
        <v>18</v>
      </c>
      <c r="T1199" s="2" t="s">
        <v>16964</v>
      </c>
    </row>
    <row r="1200" spans="1:20" hidden="1">
      <c r="A1200" s="3" t="s">
        <v>3634</v>
      </c>
      <c r="B1200" s="2" t="s">
        <v>1528</v>
      </c>
      <c r="D1200" s="66" t="str">
        <f>VLOOKUP("*"&amp;A1200&amp;"*",[2]Sheet1!$G$2:$X$1155,18,FALSE)</f>
        <v>ERR10549426</v>
      </c>
      <c r="E1200" s="2">
        <v>1959</v>
      </c>
      <c r="F1200" s="2" t="s">
        <v>2692</v>
      </c>
      <c r="G1200" s="2" t="s">
        <v>318</v>
      </c>
      <c r="H1200" s="2" t="s">
        <v>1529</v>
      </c>
      <c r="I1200" s="2" t="s">
        <v>10</v>
      </c>
      <c r="J1200" s="2" t="s">
        <v>17</v>
      </c>
      <c r="K1200" s="2" t="s">
        <v>1530</v>
      </c>
      <c r="L1200" s="2" t="s">
        <v>16</v>
      </c>
      <c r="M1200" s="2">
        <v>2</v>
      </c>
      <c r="N1200" s="2" t="s">
        <v>18</v>
      </c>
      <c r="T1200" s="2" t="s">
        <v>16964</v>
      </c>
    </row>
    <row r="1201" spans="1:20" hidden="1">
      <c r="A1201" s="3" t="s">
        <v>3841</v>
      </c>
      <c r="B1201" s="2" t="s">
        <v>1531</v>
      </c>
      <c r="D1201" s="66" t="str">
        <f>VLOOKUP("*"&amp;A1201&amp;"*",[2]Sheet1!$G$2:$X$1155,18,FALSE)</f>
        <v>ERR10549384</v>
      </c>
      <c r="E1201" s="2">
        <v>1955</v>
      </c>
      <c r="F1201" s="2" t="s">
        <v>2692</v>
      </c>
      <c r="G1201" s="2" t="s">
        <v>27</v>
      </c>
      <c r="H1201" s="2" t="s">
        <v>1532</v>
      </c>
      <c r="I1201" s="2" t="s">
        <v>10</v>
      </c>
      <c r="J1201" s="2" t="s">
        <v>31</v>
      </c>
      <c r="K1201" s="2" t="s">
        <v>1533</v>
      </c>
      <c r="L1201" s="2" t="s">
        <v>30</v>
      </c>
      <c r="M1201" s="2">
        <v>2997</v>
      </c>
      <c r="N1201" s="2" t="s">
        <v>14</v>
      </c>
      <c r="T1201" s="2" t="s">
        <v>16964</v>
      </c>
    </row>
    <row r="1202" spans="1:20" hidden="1">
      <c r="A1202" s="3" t="s">
        <v>3171</v>
      </c>
      <c r="B1202" s="2" t="s">
        <v>1534</v>
      </c>
      <c r="D1202" s="66" t="str">
        <f>VLOOKUP("*"&amp;A1202&amp;"*",[2]Sheet1!$G$2:$X$1155,18,FALSE)</f>
        <v>ERR10549401</v>
      </c>
      <c r="E1202" s="2">
        <v>1960</v>
      </c>
      <c r="F1202" s="2" t="s">
        <v>2692</v>
      </c>
      <c r="G1202" s="2" t="s">
        <v>27</v>
      </c>
      <c r="H1202" s="2" t="s">
        <v>1535</v>
      </c>
      <c r="I1202" s="2" t="s">
        <v>10</v>
      </c>
      <c r="J1202" s="2" t="s">
        <v>1537</v>
      </c>
      <c r="K1202" s="2" t="s">
        <v>1538</v>
      </c>
      <c r="L1202" s="2" t="s">
        <v>1536</v>
      </c>
      <c r="M1202" s="2">
        <v>2966</v>
      </c>
      <c r="N1202" s="2" t="s">
        <v>14</v>
      </c>
      <c r="T1202" s="2" t="s">
        <v>16964</v>
      </c>
    </row>
    <row r="1203" spans="1:20" hidden="1">
      <c r="A1203" s="3" t="s">
        <v>3289</v>
      </c>
      <c r="B1203" s="2" t="s">
        <v>1539</v>
      </c>
      <c r="D1203" s="66" t="str">
        <f>VLOOKUP("*"&amp;A1203&amp;"*",[2]Sheet1!$G$2:$X$1155,18,FALSE)</f>
        <v>ERR10549464</v>
      </c>
      <c r="E1203" s="2">
        <v>1960</v>
      </c>
      <c r="F1203" s="2" t="s">
        <v>2692</v>
      </c>
      <c r="G1203" s="2" t="s">
        <v>318</v>
      </c>
      <c r="H1203" s="2" t="s">
        <v>1540</v>
      </c>
      <c r="I1203" s="2" t="s">
        <v>6</v>
      </c>
      <c r="J1203" s="2" t="s">
        <v>20</v>
      </c>
      <c r="K1203" s="2" t="s">
        <v>1541</v>
      </c>
      <c r="L1203" s="2" t="s">
        <v>19</v>
      </c>
      <c r="M1203" s="2">
        <v>35</v>
      </c>
      <c r="T1203" s="2" t="s">
        <v>16964</v>
      </c>
    </row>
    <row r="1204" spans="1:20" hidden="1">
      <c r="A1204" s="3" t="s">
        <v>3629</v>
      </c>
      <c r="B1204" s="2" t="s">
        <v>1542</v>
      </c>
      <c r="D1204" s="66" t="str">
        <f>VLOOKUP("*"&amp;A1204&amp;"*",[2]Sheet1!$G$2:$X$1155,18,FALSE)</f>
        <v>ERR10549424</v>
      </c>
      <c r="E1204" s="2">
        <v>1961</v>
      </c>
      <c r="F1204" s="2" t="s">
        <v>2692</v>
      </c>
      <c r="G1204" s="2" t="s">
        <v>27</v>
      </c>
      <c r="H1204" s="2" t="s">
        <v>1517</v>
      </c>
      <c r="I1204" s="2" t="s">
        <v>10</v>
      </c>
      <c r="J1204" s="2" t="s">
        <v>17</v>
      </c>
      <c r="K1204" s="2" t="s">
        <v>1543</v>
      </c>
      <c r="L1204" s="2" t="s">
        <v>16</v>
      </c>
      <c r="M1204" s="2">
        <v>2</v>
      </c>
      <c r="N1204" s="2" t="s">
        <v>18</v>
      </c>
      <c r="T1204" s="2" t="s">
        <v>16964</v>
      </c>
    </row>
    <row r="1205" spans="1:20" hidden="1">
      <c r="A1205" s="3" t="s">
        <v>3617</v>
      </c>
      <c r="B1205" s="2" t="s">
        <v>1523</v>
      </c>
      <c r="D1205" s="66" t="str">
        <f>VLOOKUP("*"&amp;A1205&amp;"*",[2]Sheet1!$G$2:$X$1155,18,FALSE)</f>
        <v>ERR10549454</v>
      </c>
      <c r="E1205" s="2">
        <v>1959</v>
      </c>
      <c r="F1205" s="2" t="s">
        <v>2692</v>
      </c>
      <c r="G1205" s="2" t="s">
        <v>27</v>
      </c>
      <c r="H1205" s="2" t="s">
        <v>1517</v>
      </c>
      <c r="I1205" s="2" t="s">
        <v>10</v>
      </c>
      <c r="J1205" s="2" t="s">
        <v>129</v>
      </c>
      <c r="K1205" s="2" t="s">
        <v>1524</v>
      </c>
      <c r="L1205" s="2" t="s">
        <v>128</v>
      </c>
      <c r="M1205" s="2">
        <v>1</v>
      </c>
      <c r="N1205" s="2" t="s">
        <v>18</v>
      </c>
      <c r="T1205" s="2" t="s">
        <v>16964</v>
      </c>
    </row>
    <row r="1206" spans="1:20" hidden="1">
      <c r="A1206" s="3" t="s">
        <v>3786</v>
      </c>
      <c r="B1206" s="2" t="s">
        <v>1544</v>
      </c>
      <c r="D1206" s="66" t="str">
        <f>VLOOKUP("*"&amp;A1206&amp;"*",[2]Sheet1!$G$2:$X$1155,18,FALSE)</f>
        <v>ERR10549395</v>
      </c>
      <c r="E1206" s="2">
        <v>1956</v>
      </c>
      <c r="F1206" s="2" t="s">
        <v>2692</v>
      </c>
      <c r="G1206" s="2" t="s">
        <v>318</v>
      </c>
      <c r="H1206" s="2" t="s">
        <v>1545</v>
      </c>
      <c r="I1206" s="2" t="s">
        <v>10</v>
      </c>
      <c r="J1206" s="2" t="s">
        <v>129</v>
      </c>
      <c r="K1206" s="2" t="s">
        <v>1546</v>
      </c>
      <c r="L1206" s="2" t="s">
        <v>128</v>
      </c>
      <c r="M1206" s="2">
        <v>1</v>
      </c>
      <c r="N1206" s="2" t="s">
        <v>18</v>
      </c>
      <c r="T1206" s="2" t="s">
        <v>16964</v>
      </c>
    </row>
    <row r="1207" spans="1:20" hidden="1">
      <c r="A1207" s="3" t="s">
        <v>3783</v>
      </c>
      <c r="B1207" s="2" t="s">
        <v>1547</v>
      </c>
      <c r="D1207" s="66" t="str">
        <f>VLOOKUP("*"&amp;A1207&amp;"*",[2]Sheet1!$G$2:$X$1155,18,FALSE)</f>
        <v>ERR10549403</v>
      </c>
      <c r="E1207" s="2">
        <v>1960</v>
      </c>
      <c r="F1207" s="2" t="s">
        <v>2692</v>
      </c>
      <c r="G1207" s="2" t="s">
        <v>27</v>
      </c>
      <c r="H1207" s="2" t="s">
        <v>1548</v>
      </c>
      <c r="I1207" s="2" t="s">
        <v>10</v>
      </c>
      <c r="J1207" s="2" t="s">
        <v>129</v>
      </c>
      <c r="K1207" s="2" t="s">
        <v>1546</v>
      </c>
      <c r="L1207" s="2" t="s">
        <v>128</v>
      </c>
      <c r="M1207" s="2">
        <v>1</v>
      </c>
      <c r="N1207" s="2" t="s">
        <v>18</v>
      </c>
      <c r="T1207" s="2" t="s">
        <v>16964</v>
      </c>
    </row>
    <row r="1208" spans="1:20" hidden="1">
      <c r="A1208" s="3" t="s">
        <v>4286</v>
      </c>
      <c r="B1208" s="2" t="s">
        <v>1549</v>
      </c>
      <c r="D1208" s="66" t="str">
        <f>VLOOKUP("*"&amp;A1208&amp;"*",[2]Sheet1!$G$2:$X$1155,18,FALSE)</f>
        <v>ERR10549428</v>
      </c>
      <c r="E1208" s="2">
        <v>1961</v>
      </c>
      <c r="F1208" s="2" t="s">
        <v>2692</v>
      </c>
      <c r="G1208" s="2" t="s">
        <v>27</v>
      </c>
      <c r="H1208" s="2" t="s">
        <v>1520</v>
      </c>
      <c r="I1208" s="2" t="s">
        <v>10</v>
      </c>
      <c r="J1208" s="2" t="s">
        <v>129</v>
      </c>
      <c r="K1208" s="2" t="s">
        <v>1550</v>
      </c>
      <c r="L1208" s="2" t="s">
        <v>128</v>
      </c>
      <c r="M1208" s="2">
        <v>1</v>
      </c>
      <c r="N1208" s="2" t="s">
        <v>18</v>
      </c>
      <c r="T1208" s="2" t="s">
        <v>16964</v>
      </c>
    </row>
    <row r="1209" spans="1:20" hidden="1">
      <c r="A1209" s="3" t="s">
        <v>3869</v>
      </c>
      <c r="B1209" s="2" t="s">
        <v>1551</v>
      </c>
      <c r="D1209" s="66" t="str">
        <f>VLOOKUP("*"&amp;A1209&amp;"*",[2]Sheet1!$G$2:$X$1155,18,FALSE)</f>
        <v>ERR10549435</v>
      </c>
      <c r="E1209" s="2">
        <v>1961</v>
      </c>
      <c r="F1209" s="2" t="s">
        <v>2692</v>
      </c>
      <c r="G1209" s="2" t="s">
        <v>27</v>
      </c>
      <c r="H1209" s="2" t="s">
        <v>1552</v>
      </c>
      <c r="I1209" s="2" t="s">
        <v>10</v>
      </c>
      <c r="J1209" s="2" t="s">
        <v>17</v>
      </c>
      <c r="K1209" s="2" t="s">
        <v>316</v>
      </c>
      <c r="L1209" s="2" t="s">
        <v>16</v>
      </c>
      <c r="M1209" s="2">
        <v>2998</v>
      </c>
      <c r="N1209" s="2" t="s">
        <v>18</v>
      </c>
      <c r="T1209" s="2" t="s">
        <v>16964</v>
      </c>
    </row>
    <row r="1210" spans="1:20" hidden="1">
      <c r="A1210" s="3" t="s">
        <v>3613</v>
      </c>
      <c r="B1210" s="2" t="s">
        <v>1553</v>
      </c>
      <c r="D1210" s="66" t="str">
        <f>VLOOKUP("*"&amp;A1210&amp;"*",[2]Sheet1!$G$2:$X$1155,18,FALSE)</f>
        <v>ERR10549429</v>
      </c>
      <c r="E1210" s="2">
        <v>1961</v>
      </c>
      <c r="F1210" s="2" t="s">
        <v>2692</v>
      </c>
      <c r="G1210" s="2" t="s">
        <v>27</v>
      </c>
      <c r="H1210" s="2" t="s">
        <v>1554</v>
      </c>
      <c r="I1210" s="2" t="s">
        <v>10</v>
      </c>
      <c r="J1210" s="2" t="s">
        <v>129</v>
      </c>
      <c r="K1210" s="2" t="s">
        <v>1555</v>
      </c>
      <c r="L1210" s="2" t="s">
        <v>128</v>
      </c>
      <c r="M1210" s="2">
        <v>1</v>
      </c>
      <c r="N1210" s="2" t="s">
        <v>18</v>
      </c>
      <c r="T1210" s="2" t="s">
        <v>16964</v>
      </c>
    </row>
    <row r="1211" spans="1:20" hidden="1">
      <c r="A1211" s="3" t="s">
        <v>3014</v>
      </c>
      <c r="B1211" s="2" t="s">
        <v>1556</v>
      </c>
      <c r="D1211" s="66" t="str">
        <f>VLOOKUP("*"&amp;A1211&amp;"*",[2]Sheet1!$G$2:$X$1155,18,FALSE)</f>
        <v>ERR10549457</v>
      </c>
      <c r="E1211" s="2">
        <v>1963</v>
      </c>
      <c r="F1211" s="2" t="s">
        <v>2692</v>
      </c>
      <c r="G1211" s="2" t="s">
        <v>27</v>
      </c>
      <c r="H1211" s="2" t="s">
        <v>1557</v>
      </c>
      <c r="I1211" s="2" t="s">
        <v>10</v>
      </c>
      <c r="J1211" s="2" t="s">
        <v>17</v>
      </c>
      <c r="K1211" s="2" t="s">
        <v>1558</v>
      </c>
      <c r="L1211" s="2" t="s">
        <v>16</v>
      </c>
      <c r="M1211" s="2">
        <v>2</v>
      </c>
      <c r="N1211" s="2" t="s">
        <v>18</v>
      </c>
      <c r="T1211" s="2" t="s">
        <v>16964</v>
      </c>
    </row>
    <row r="1212" spans="1:20" hidden="1">
      <c r="A1212" s="3" t="s">
        <v>3782</v>
      </c>
      <c r="B1212" s="2" t="s">
        <v>1559</v>
      </c>
      <c r="D1212" s="66" t="str">
        <f>VLOOKUP("*"&amp;A1212&amp;"*",[2]Sheet1!$G$2:$X$1155,18,FALSE)</f>
        <v>ERR10549468</v>
      </c>
      <c r="E1212" s="2">
        <v>1963</v>
      </c>
      <c r="F1212" s="2" t="s">
        <v>2692</v>
      </c>
      <c r="G1212" s="2" t="s">
        <v>27</v>
      </c>
      <c r="H1212" s="2" t="s">
        <v>1548</v>
      </c>
      <c r="I1212" s="2" t="s">
        <v>10</v>
      </c>
      <c r="J1212" s="2" t="s">
        <v>129</v>
      </c>
      <c r="K1212" s="2" t="s">
        <v>1560</v>
      </c>
      <c r="L1212" s="2" t="s">
        <v>128</v>
      </c>
      <c r="M1212" s="2">
        <v>1</v>
      </c>
      <c r="N1212" s="2" t="s">
        <v>18</v>
      </c>
      <c r="T1212" s="2" t="s">
        <v>16964</v>
      </c>
    </row>
    <row r="1213" spans="1:20" hidden="1">
      <c r="A1213" s="3" t="s">
        <v>2926</v>
      </c>
      <c r="B1213" s="2" t="s">
        <v>1561</v>
      </c>
      <c r="D1213" s="66" t="str">
        <f>VLOOKUP("*"&amp;A1213&amp;"*",[2]Sheet1!$G$2:$X$1155,18,FALSE)</f>
        <v>ERR10549436</v>
      </c>
      <c r="E1213" s="2">
        <v>1963</v>
      </c>
      <c r="F1213" s="2" t="s">
        <v>2692</v>
      </c>
      <c r="G1213" s="2" t="s">
        <v>27</v>
      </c>
      <c r="H1213" s="2" t="s">
        <v>1548</v>
      </c>
      <c r="I1213" s="2" t="s">
        <v>10</v>
      </c>
      <c r="J1213" s="2" t="s">
        <v>17</v>
      </c>
      <c r="K1213" s="2" t="s">
        <v>1562</v>
      </c>
      <c r="L1213" s="2" t="s">
        <v>16</v>
      </c>
      <c r="M1213" s="2">
        <v>2</v>
      </c>
      <c r="N1213" s="2" t="s">
        <v>18</v>
      </c>
      <c r="T1213" s="2" t="s">
        <v>16964</v>
      </c>
    </row>
    <row r="1214" spans="1:20" hidden="1">
      <c r="A1214" s="3" t="s">
        <v>3632</v>
      </c>
      <c r="B1214" s="2" t="s">
        <v>1563</v>
      </c>
      <c r="D1214" s="66" t="str">
        <f>VLOOKUP("*"&amp;A1214&amp;"*",[2]Sheet1!$G$2:$X$1155,18,FALSE)</f>
        <v>ERR10549409</v>
      </c>
      <c r="E1214" s="2">
        <v>1964</v>
      </c>
      <c r="F1214" s="2" t="s">
        <v>2692</v>
      </c>
      <c r="G1214" s="2" t="s">
        <v>27</v>
      </c>
      <c r="H1214" s="2" t="s">
        <v>1520</v>
      </c>
      <c r="I1214" s="2" t="s">
        <v>10</v>
      </c>
      <c r="J1214" s="2" t="s">
        <v>17</v>
      </c>
      <c r="K1214" s="2" t="s">
        <v>1564</v>
      </c>
      <c r="L1214" s="2" t="s">
        <v>16</v>
      </c>
      <c r="M1214" s="2">
        <v>2</v>
      </c>
      <c r="N1214" s="2" t="s">
        <v>18</v>
      </c>
      <c r="T1214" s="2" t="s">
        <v>16964</v>
      </c>
    </row>
    <row r="1215" spans="1:20" hidden="1">
      <c r="A1215" s="3" t="s">
        <v>4319</v>
      </c>
      <c r="B1215" s="2" t="s">
        <v>1525</v>
      </c>
      <c r="D1215" s="66" t="str">
        <f>VLOOKUP("*"&amp;A1215&amp;"*",[2]Sheet1!$G$2:$X$1155,18,FALSE)</f>
        <v>ERR10549432</v>
      </c>
      <c r="E1215" s="2">
        <v>1959</v>
      </c>
      <c r="F1215" s="2" t="s">
        <v>2692</v>
      </c>
      <c r="G1215" s="2" t="s">
        <v>318</v>
      </c>
      <c r="H1215" s="2" t="s">
        <v>1526</v>
      </c>
      <c r="I1215" s="2" t="s">
        <v>10</v>
      </c>
      <c r="J1215" s="2" t="s">
        <v>129</v>
      </c>
      <c r="K1215" s="2" t="s">
        <v>1527</v>
      </c>
      <c r="L1215" s="2" t="s">
        <v>128</v>
      </c>
      <c r="M1215" s="2">
        <v>1</v>
      </c>
      <c r="N1215" s="2" t="s">
        <v>18</v>
      </c>
      <c r="T1215" s="2" t="s">
        <v>16964</v>
      </c>
    </row>
    <row r="1216" spans="1:20" hidden="1">
      <c r="A1216" s="3" t="s">
        <v>3172</v>
      </c>
      <c r="B1216" s="2" t="s">
        <v>1783</v>
      </c>
      <c r="D1216" s="66" t="s">
        <v>17336</v>
      </c>
      <c r="E1216" s="2">
        <v>2016</v>
      </c>
      <c r="F1216" s="2" t="s">
        <v>2692</v>
      </c>
      <c r="G1216" s="2" t="s">
        <v>44</v>
      </c>
      <c r="H1216" s="2" t="s">
        <v>1784</v>
      </c>
      <c r="I1216" s="2" t="s">
        <v>6</v>
      </c>
      <c r="J1216" s="2" t="s">
        <v>1786</v>
      </c>
      <c r="K1216" s="2" t="s">
        <v>1787</v>
      </c>
      <c r="L1216" s="2" t="s">
        <v>1785</v>
      </c>
      <c r="M1216" s="2">
        <v>1494</v>
      </c>
      <c r="N1216" s="2" t="s">
        <v>14</v>
      </c>
      <c r="T1216" s="2" t="s">
        <v>16964</v>
      </c>
    </row>
    <row r="1217" spans="1:20" hidden="1">
      <c r="A1217" s="3" t="s">
        <v>3099</v>
      </c>
      <c r="B1217" s="2" t="s">
        <v>1790</v>
      </c>
      <c r="D1217" s="66" t="str">
        <f>VLOOKUP("*"&amp;A1217&amp;"*",[2]Sheet1!$G$2:$X$1155,18,FALSE)</f>
        <v>ERR10549544</v>
      </c>
      <c r="E1217" s="2">
        <v>2017</v>
      </c>
      <c r="F1217" s="2" t="s">
        <v>2692</v>
      </c>
      <c r="G1217" s="2" t="s">
        <v>44</v>
      </c>
      <c r="H1217" s="2" t="s">
        <v>1784</v>
      </c>
      <c r="I1217" s="2" t="s">
        <v>10</v>
      </c>
      <c r="J1217" s="2" t="s">
        <v>129</v>
      </c>
      <c r="K1217" s="2" t="s">
        <v>1791</v>
      </c>
      <c r="L1217" s="2" t="s">
        <v>128</v>
      </c>
      <c r="M1217" s="2">
        <v>1</v>
      </c>
      <c r="N1217" s="2" t="s">
        <v>18</v>
      </c>
      <c r="T1217" s="2" t="s">
        <v>16964</v>
      </c>
    </row>
    <row r="1218" spans="1:20" hidden="1">
      <c r="A1218" s="3" t="s">
        <v>3716</v>
      </c>
      <c r="B1218" s="2" t="s">
        <v>1792</v>
      </c>
      <c r="D1218" s="66" t="s">
        <v>17337</v>
      </c>
      <c r="E1218" s="2">
        <v>2018</v>
      </c>
      <c r="F1218" s="2" t="s">
        <v>2692</v>
      </c>
      <c r="G1218" s="2" t="s">
        <v>44</v>
      </c>
      <c r="H1218" s="2" t="s">
        <v>1784</v>
      </c>
      <c r="I1218" s="2" t="s">
        <v>6</v>
      </c>
      <c r="J1218" s="2" t="s">
        <v>1767</v>
      </c>
      <c r="K1218" s="2" t="s">
        <v>1793</v>
      </c>
      <c r="L1218" s="2" t="s">
        <v>1766</v>
      </c>
      <c r="M1218" s="2">
        <v>912</v>
      </c>
      <c r="T1218" s="2" t="s">
        <v>16964</v>
      </c>
    </row>
    <row r="1219" spans="1:20" hidden="1">
      <c r="A1219" s="3" t="s">
        <v>3161</v>
      </c>
      <c r="B1219" s="2" t="s">
        <v>1794</v>
      </c>
      <c r="D1219" s="66" t="s">
        <v>17338</v>
      </c>
      <c r="E1219" s="2">
        <v>2018</v>
      </c>
      <c r="F1219" s="2" t="s">
        <v>2692</v>
      </c>
      <c r="G1219" s="2" t="s">
        <v>44</v>
      </c>
      <c r="H1219" s="2" t="s">
        <v>1784</v>
      </c>
      <c r="I1219" s="2" t="s">
        <v>6</v>
      </c>
      <c r="J1219" s="2" t="s">
        <v>1786</v>
      </c>
      <c r="K1219" s="2" t="s">
        <v>1795</v>
      </c>
      <c r="L1219" s="2" t="s">
        <v>1785</v>
      </c>
      <c r="M1219" s="2">
        <v>1494</v>
      </c>
      <c r="N1219" s="2" t="s">
        <v>14</v>
      </c>
      <c r="T1219" s="2" t="s">
        <v>16964</v>
      </c>
    </row>
    <row r="1220" spans="1:20" hidden="1">
      <c r="A1220" s="3" t="s">
        <v>3831</v>
      </c>
      <c r="B1220" s="2" t="s">
        <v>1796</v>
      </c>
      <c r="D1220" s="66" t="str">
        <f>VLOOKUP("*"&amp;A1220&amp;"*",[2]Sheet1!$G$2:$X$1155,18,FALSE)</f>
        <v>ERR10549545</v>
      </c>
      <c r="E1220" s="2">
        <v>2018</v>
      </c>
      <c r="F1220" s="2" t="s">
        <v>2692</v>
      </c>
      <c r="G1220" s="2" t="s">
        <v>44</v>
      </c>
      <c r="H1220" s="2" t="s">
        <v>1784</v>
      </c>
      <c r="I1220" s="2" t="s">
        <v>6</v>
      </c>
      <c r="J1220" s="2" t="s">
        <v>1798</v>
      </c>
      <c r="K1220" s="2" t="s">
        <v>1395</v>
      </c>
      <c r="L1220" s="2" t="s">
        <v>1797</v>
      </c>
      <c r="M1220" s="2">
        <v>935</v>
      </c>
      <c r="N1220" s="2" t="s">
        <v>9</v>
      </c>
      <c r="T1220" s="2" t="s">
        <v>16964</v>
      </c>
    </row>
    <row r="1221" spans="1:20" hidden="1">
      <c r="A1221" s="3" t="s">
        <v>3474</v>
      </c>
      <c r="B1221" s="2" t="s">
        <v>1799</v>
      </c>
      <c r="D1221" s="66" t="str">
        <f>VLOOKUP("*"&amp;A1221&amp;"*",[2]Sheet1!$G$2:$X$1155,18,FALSE)</f>
        <v>ERR10549541</v>
      </c>
      <c r="E1221" s="2">
        <v>2018</v>
      </c>
      <c r="F1221" s="2" t="s">
        <v>2692</v>
      </c>
      <c r="G1221" s="2" t="s">
        <v>44</v>
      </c>
      <c r="H1221" s="2" t="s">
        <v>1784</v>
      </c>
      <c r="I1221" s="2" t="s">
        <v>10</v>
      </c>
      <c r="J1221" s="2" t="s">
        <v>129</v>
      </c>
      <c r="K1221" s="2" t="s">
        <v>1800</v>
      </c>
      <c r="L1221" s="2" t="s">
        <v>128</v>
      </c>
      <c r="M1221" s="2">
        <v>1</v>
      </c>
      <c r="N1221" s="2" t="s">
        <v>18</v>
      </c>
      <c r="T1221" s="2" t="s">
        <v>16964</v>
      </c>
    </row>
    <row r="1222" spans="1:20" hidden="1">
      <c r="A1222" s="3" t="s">
        <v>3473</v>
      </c>
      <c r="B1222" s="2" t="s">
        <v>1801</v>
      </c>
      <c r="D1222" s="66" t="str">
        <f>VLOOKUP("*"&amp;A1222&amp;"*",[2]Sheet1!$G$2:$X$1155,18,FALSE)</f>
        <v>ERR10549548</v>
      </c>
      <c r="E1222" s="2">
        <v>2018</v>
      </c>
      <c r="F1222" s="2" t="s">
        <v>2692</v>
      </c>
      <c r="G1222" s="2" t="s">
        <v>44</v>
      </c>
      <c r="H1222" s="2" t="s">
        <v>1784</v>
      </c>
      <c r="I1222" s="2" t="s">
        <v>10</v>
      </c>
      <c r="J1222" s="2" t="s">
        <v>129</v>
      </c>
      <c r="K1222" s="2" t="s">
        <v>1800</v>
      </c>
      <c r="L1222" s="2" t="s">
        <v>128</v>
      </c>
      <c r="M1222" s="2">
        <v>1</v>
      </c>
      <c r="N1222" s="2" t="s">
        <v>18</v>
      </c>
      <c r="T1222" s="2" t="s">
        <v>16964</v>
      </c>
    </row>
    <row r="1223" spans="1:20" hidden="1">
      <c r="A1223" s="3" t="s">
        <v>2921</v>
      </c>
      <c r="B1223" s="2" t="s">
        <v>1802</v>
      </c>
      <c r="D1223" s="66" t="s">
        <v>17339</v>
      </c>
      <c r="E1223" s="2">
        <v>2018</v>
      </c>
      <c r="F1223" s="2" t="s">
        <v>2692</v>
      </c>
      <c r="G1223" s="2" t="s">
        <v>44</v>
      </c>
      <c r="H1223" s="2" t="s">
        <v>1784</v>
      </c>
      <c r="I1223" s="2" t="s">
        <v>6</v>
      </c>
      <c r="J1223" s="2" t="s">
        <v>1804</v>
      </c>
      <c r="K1223" s="2" t="s">
        <v>1805</v>
      </c>
      <c r="L1223" s="2" t="s">
        <v>1803</v>
      </c>
      <c r="M1223" s="2">
        <v>1492</v>
      </c>
      <c r="N1223" s="2" t="s">
        <v>14</v>
      </c>
      <c r="T1223" s="2" t="s">
        <v>16964</v>
      </c>
    </row>
    <row r="1224" spans="1:20" hidden="1">
      <c r="A1224" s="3" t="s">
        <v>2922</v>
      </c>
      <c r="B1224" s="2" t="s">
        <v>1806</v>
      </c>
      <c r="D1224" s="66" t="s">
        <v>17340</v>
      </c>
      <c r="E1224" s="2">
        <v>2018</v>
      </c>
      <c r="F1224" s="2" t="s">
        <v>2692</v>
      </c>
      <c r="G1224" s="2" t="s">
        <v>44</v>
      </c>
      <c r="H1224" s="2" t="s">
        <v>1784</v>
      </c>
      <c r="I1224" s="2" t="s">
        <v>6</v>
      </c>
      <c r="J1224" s="2" t="s">
        <v>1804</v>
      </c>
      <c r="K1224" s="2" t="s">
        <v>1805</v>
      </c>
      <c r="L1224" s="2" t="s">
        <v>1803</v>
      </c>
      <c r="M1224" s="2">
        <v>1492</v>
      </c>
      <c r="N1224" s="2" t="s">
        <v>14</v>
      </c>
      <c r="T1224" s="2" t="s">
        <v>16964</v>
      </c>
    </row>
    <row r="1225" spans="1:20" hidden="1">
      <c r="A1225" s="3" t="s">
        <v>3390</v>
      </c>
      <c r="B1225" s="2" t="s">
        <v>1788</v>
      </c>
      <c r="D1225" s="66" t="str">
        <f>VLOOKUP("*"&amp;A1225&amp;"*",[2]Sheet1!$G$2:$X$1155,18,FALSE)</f>
        <v>ERR10549550</v>
      </c>
      <c r="E1225" s="2">
        <v>2017</v>
      </c>
      <c r="F1225" s="2" t="s">
        <v>2692</v>
      </c>
      <c r="G1225" s="2" t="s">
        <v>44</v>
      </c>
      <c r="H1225" s="2" t="s">
        <v>1784</v>
      </c>
      <c r="I1225" s="2" t="s">
        <v>10</v>
      </c>
      <c r="J1225" s="2" t="s">
        <v>129</v>
      </c>
      <c r="K1225" s="2" t="s">
        <v>1789</v>
      </c>
      <c r="L1225" s="2" t="s">
        <v>128</v>
      </c>
      <c r="M1225" s="2">
        <v>1</v>
      </c>
      <c r="N1225" s="2" t="s">
        <v>18</v>
      </c>
      <c r="T1225" s="2" t="s">
        <v>16964</v>
      </c>
    </row>
    <row r="1226" spans="1:20" hidden="1">
      <c r="A1226" s="3" t="s">
        <v>3072</v>
      </c>
      <c r="B1226" s="2" t="s">
        <v>1812</v>
      </c>
      <c r="D1226" s="66" t="s">
        <v>17341</v>
      </c>
      <c r="E1226" s="2">
        <v>2019</v>
      </c>
      <c r="F1226" s="2" t="s">
        <v>2692</v>
      </c>
      <c r="G1226" s="2" t="s">
        <v>44</v>
      </c>
      <c r="H1226" s="2" t="s">
        <v>1784</v>
      </c>
      <c r="I1226" s="2" t="s">
        <v>6</v>
      </c>
      <c r="J1226" s="2" t="s">
        <v>1786</v>
      </c>
      <c r="K1226" s="2" t="s">
        <v>1795</v>
      </c>
      <c r="L1226" s="2" t="s">
        <v>1785</v>
      </c>
      <c r="M1226" s="2">
        <v>1494</v>
      </c>
      <c r="N1226" s="2" t="s">
        <v>14</v>
      </c>
      <c r="T1226" s="2" t="s">
        <v>16964</v>
      </c>
    </row>
    <row r="1227" spans="1:20" hidden="1">
      <c r="A1227" s="3" t="s">
        <v>3704</v>
      </c>
      <c r="B1227" s="2" t="s">
        <v>1807</v>
      </c>
      <c r="D1227" s="66" t="s">
        <v>17334</v>
      </c>
      <c r="E1227" s="2">
        <v>2016</v>
      </c>
      <c r="F1227" s="2" t="s">
        <v>2692</v>
      </c>
      <c r="G1227" s="2" t="s">
        <v>44</v>
      </c>
      <c r="H1227" s="2" t="s">
        <v>1784</v>
      </c>
      <c r="I1227" s="2" t="s">
        <v>6</v>
      </c>
      <c r="J1227" s="2" t="s">
        <v>1809</v>
      </c>
      <c r="K1227" s="2" t="s">
        <v>1810</v>
      </c>
      <c r="L1227" s="2" t="s">
        <v>1808</v>
      </c>
      <c r="M1227" s="2">
        <v>1503</v>
      </c>
      <c r="N1227" s="2" t="s">
        <v>1811</v>
      </c>
      <c r="T1227" s="2" t="s">
        <v>16964</v>
      </c>
    </row>
    <row r="1228" spans="1:20" hidden="1">
      <c r="A1228" s="3" t="s">
        <v>2991</v>
      </c>
      <c r="B1228" s="2" t="s">
        <v>1459</v>
      </c>
      <c r="D1228" s="66" t="s">
        <v>17335</v>
      </c>
      <c r="E1228" s="2">
        <v>2021</v>
      </c>
      <c r="F1228" s="2" t="s">
        <v>2692</v>
      </c>
      <c r="G1228" s="2" t="s">
        <v>44</v>
      </c>
      <c r="H1228" s="2" t="s">
        <v>1460</v>
      </c>
      <c r="I1228" s="2" t="s">
        <v>6</v>
      </c>
      <c r="J1228" s="2" t="s">
        <v>1462</v>
      </c>
      <c r="K1228" s="2" t="s">
        <v>1463</v>
      </c>
      <c r="L1228" s="2" t="s">
        <v>1461</v>
      </c>
      <c r="M1228" s="2">
        <v>1055</v>
      </c>
      <c r="N1228" s="2" t="s">
        <v>14</v>
      </c>
      <c r="T1228" s="2" t="s">
        <v>16964</v>
      </c>
    </row>
    <row r="1229" spans="1:20" hidden="1">
      <c r="A1229" s="3" t="s">
        <v>3735</v>
      </c>
      <c r="B1229" s="2" t="s">
        <v>1464</v>
      </c>
      <c r="D1229" s="66" t="str">
        <f>VLOOKUP("*"&amp;A1229&amp;"*",[2]Sheet1!$G$2:$X$1155,18,FALSE)</f>
        <v>ERR10616643</v>
      </c>
      <c r="E1229" s="2">
        <v>2021</v>
      </c>
      <c r="F1229" s="2" t="s">
        <v>2692</v>
      </c>
      <c r="G1229" s="2" t="s">
        <v>44</v>
      </c>
      <c r="H1229" s="2" t="s">
        <v>1455</v>
      </c>
      <c r="I1229" s="2" t="s">
        <v>10</v>
      </c>
      <c r="J1229" s="2" t="s">
        <v>1457</v>
      </c>
      <c r="K1229" s="2" t="s">
        <v>1458</v>
      </c>
      <c r="L1229" s="2" t="s">
        <v>1456</v>
      </c>
      <c r="M1229" s="2">
        <v>1046</v>
      </c>
      <c r="N1229" s="2" t="s">
        <v>152</v>
      </c>
      <c r="T1229" s="2" t="s">
        <v>16964</v>
      </c>
    </row>
    <row r="1230" spans="1:20" hidden="1">
      <c r="A1230" s="3" t="s">
        <v>3944</v>
      </c>
      <c r="B1230" s="2" t="s">
        <v>1466</v>
      </c>
      <c r="D1230" s="66" t="str">
        <f>VLOOKUP("*"&amp;A1230&amp;"*",[2]Sheet1!$G$2:$X$1155,18,FALSE)</f>
        <v>ERR10616663</v>
      </c>
      <c r="E1230" s="2">
        <v>2021</v>
      </c>
      <c r="F1230" s="2" t="s">
        <v>2692</v>
      </c>
      <c r="G1230" s="2" t="s">
        <v>44</v>
      </c>
      <c r="H1230" s="2" t="s">
        <v>1465</v>
      </c>
      <c r="I1230" s="2" t="s">
        <v>10</v>
      </c>
      <c r="J1230" s="2" t="s">
        <v>1147</v>
      </c>
      <c r="K1230" s="2" t="s">
        <v>1467</v>
      </c>
      <c r="L1230" s="2" t="s">
        <v>1146</v>
      </c>
      <c r="M1230" s="2">
        <v>217</v>
      </c>
      <c r="N1230" s="2" t="s">
        <v>18</v>
      </c>
      <c r="T1230" s="2" t="s">
        <v>16964</v>
      </c>
    </row>
    <row r="1231" spans="1:20" hidden="1">
      <c r="A1231" s="3" t="s">
        <v>3720</v>
      </c>
      <c r="B1231" s="2" t="s">
        <v>1468</v>
      </c>
      <c r="D1231" s="66" t="str">
        <f>VLOOKUP("*"&amp;A1231&amp;"*",[2]Sheet1!$G$2:$X$1155,18,FALSE)</f>
        <v>ERR10616653</v>
      </c>
      <c r="E1231" s="2">
        <v>2021</v>
      </c>
      <c r="F1231" s="2" t="s">
        <v>2692</v>
      </c>
      <c r="G1231" s="2" t="s">
        <v>44</v>
      </c>
      <c r="H1231" s="2" t="s">
        <v>1469</v>
      </c>
      <c r="I1231" s="2" t="s">
        <v>10</v>
      </c>
      <c r="J1231" s="2" t="s">
        <v>1217</v>
      </c>
      <c r="K1231" s="2" t="s">
        <v>1470</v>
      </c>
      <c r="L1231" s="2" t="s">
        <v>1216</v>
      </c>
      <c r="M1231" s="2">
        <v>382</v>
      </c>
      <c r="N1231" s="2" t="s">
        <v>159</v>
      </c>
      <c r="T1231" s="2" t="s">
        <v>16964</v>
      </c>
    </row>
    <row r="1232" spans="1:20" hidden="1">
      <c r="A1232" s="3" t="s">
        <v>3733</v>
      </c>
      <c r="B1232" s="2" t="s">
        <v>1454</v>
      </c>
      <c r="D1232" s="66" t="str">
        <f>VLOOKUP("*"&amp;A1232&amp;"*",[2]Sheet1!$G$2:$X$1155,18,FALSE)</f>
        <v>ERR10616646</v>
      </c>
      <c r="E1232" s="2">
        <v>2021</v>
      </c>
      <c r="F1232" s="2" t="s">
        <v>2692</v>
      </c>
      <c r="G1232" s="2" t="s">
        <v>44</v>
      </c>
      <c r="H1232" s="2" t="s">
        <v>1455</v>
      </c>
      <c r="I1232" s="2" t="s">
        <v>10</v>
      </c>
      <c r="J1232" s="2" t="s">
        <v>1457</v>
      </c>
      <c r="K1232" s="2" t="s">
        <v>1458</v>
      </c>
      <c r="L1232" s="2" t="s">
        <v>1456</v>
      </c>
      <c r="M1232" s="2">
        <v>1046</v>
      </c>
      <c r="N1232" s="2" t="s">
        <v>152</v>
      </c>
      <c r="T1232" s="2" t="s">
        <v>16964</v>
      </c>
    </row>
    <row r="1233" spans="1:20" hidden="1">
      <c r="A1233" s="3" t="s">
        <v>4438</v>
      </c>
      <c r="B1233" s="2" t="s">
        <v>117</v>
      </c>
      <c r="D1233" s="66" t="str">
        <f>VLOOKUP("*"&amp;A1233&amp;"*",[2]Sheet1!$G$2:$X$1155,18,FALSE)</f>
        <v>ERR10616672</v>
      </c>
      <c r="E1233" s="2">
        <v>1999</v>
      </c>
      <c r="F1233" s="2" t="s">
        <v>2692</v>
      </c>
      <c r="G1233" s="2" t="s">
        <v>44</v>
      </c>
      <c r="I1233" s="2" t="s">
        <v>338</v>
      </c>
      <c r="J1233" s="2" t="s">
        <v>1449</v>
      </c>
      <c r="K1233" s="2" t="s">
        <v>1450</v>
      </c>
      <c r="L1233" s="2" t="s">
        <v>1448</v>
      </c>
      <c r="M1233" s="2">
        <v>1264</v>
      </c>
      <c r="N1233" s="2" t="s">
        <v>152</v>
      </c>
      <c r="T1233" s="2" t="s">
        <v>16964</v>
      </c>
    </row>
    <row r="1234" spans="1:20" hidden="1">
      <c r="A1234" s="3" t="s">
        <v>4437</v>
      </c>
      <c r="B1234" s="2" t="s">
        <v>1451</v>
      </c>
      <c r="D1234" s="66" t="str">
        <f>VLOOKUP("*"&amp;A1234&amp;"*",[2]Sheet1!$G$2:$X$1155,18,FALSE)</f>
        <v>ERR10616657</v>
      </c>
      <c r="E1234" s="2">
        <v>1999</v>
      </c>
      <c r="F1234" s="2" t="s">
        <v>2692</v>
      </c>
      <c r="G1234" s="2" t="s">
        <v>44</v>
      </c>
      <c r="I1234" s="2" t="s">
        <v>338</v>
      </c>
      <c r="J1234" s="2" t="s">
        <v>1449</v>
      </c>
      <c r="K1234" s="2" t="s">
        <v>1450</v>
      </c>
      <c r="L1234" s="2" t="s">
        <v>1448</v>
      </c>
      <c r="M1234" s="2">
        <v>1264</v>
      </c>
      <c r="N1234" s="2" t="s">
        <v>152</v>
      </c>
      <c r="T1234" s="2" t="s">
        <v>16964</v>
      </c>
    </row>
    <row r="1235" spans="1:20" hidden="1">
      <c r="A1235" s="3" t="s">
        <v>3252</v>
      </c>
      <c r="B1235" s="2" t="s">
        <v>1744</v>
      </c>
      <c r="D1235" s="66" t="str">
        <f>VLOOKUP("*"&amp;A1235&amp;"*",[2]Sheet1!$G$2:$X$1155,18,FALSE)</f>
        <v>ERR10618400</v>
      </c>
      <c r="E1235" s="2">
        <v>2004</v>
      </c>
      <c r="F1235" s="2" t="s">
        <v>2692</v>
      </c>
      <c r="G1235" s="2" t="s">
        <v>43</v>
      </c>
      <c r="H1235" s="2" t="s">
        <v>1440</v>
      </c>
      <c r="I1235" s="2" t="s">
        <v>6</v>
      </c>
      <c r="J1235" s="2" t="s">
        <v>8</v>
      </c>
      <c r="K1235" s="2" t="s">
        <v>172</v>
      </c>
      <c r="L1235" s="2" t="s">
        <v>7</v>
      </c>
      <c r="M1235" s="2">
        <v>121</v>
      </c>
      <c r="N1235" s="2" t="s">
        <v>9</v>
      </c>
      <c r="Q1235" s="2">
        <v>0.16</v>
      </c>
      <c r="R1235" s="2" t="s">
        <v>16964</v>
      </c>
      <c r="T1235" s="2" t="s">
        <v>16964</v>
      </c>
    </row>
    <row r="1236" spans="1:20" hidden="1">
      <c r="A1236" s="3" t="s">
        <v>4149</v>
      </c>
      <c r="B1236" s="2" t="s">
        <v>1683</v>
      </c>
      <c r="D1236" s="66" t="str">
        <f>VLOOKUP("*"&amp;A1236&amp;"*",[2]Sheet1!$G$2:$X$1155,18,FALSE)</f>
        <v>ERR10549539</v>
      </c>
      <c r="E1236" s="2">
        <v>2005</v>
      </c>
      <c r="F1236" s="2" t="s">
        <v>2692</v>
      </c>
      <c r="G1236" s="2" t="s">
        <v>43</v>
      </c>
      <c r="H1236" s="2" t="s">
        <v>1444</v>
      </c>
      <c r="I1236" s="2" t="s">
        <v>10</v>
      </c>
      <c r="J1236" s="2" t="s">
        <v>224</v>
      </c>
      <c r="K1236" s="2" t="s">
        <v>225</v>
      </c>
      <c r="L1236" s="2" t="s">
        <v>223</v>
      </c>
      <c r="M1236" s="2">
        <v>388</v>
      </c>
      <c r="N1236" s="2" t="s">
        <v>18</v>
      </c>
      <c r="Q1236" s="2">
        <v>0.16</v>
      </c>
      <c r="R1236" s="2" t="s">
        <v>16964</v>
      </c>
      <c r="T1236" s="2" t="s">
        <v>16964</v>
      </c>
    </row>
    <row r="1237" spans="1:20" hidden="1">
      <c r="A1237" s="3" t="s">
        <v>3844</v>
      </c>
      <c r="B1237" s="2" t="s">
        <v>2227</v>
      </c>
      <c r="D1237" s="66" t="str">
        <f>VLOOKUP("*"&amp;A1237&amp;"*",[2]Sheet1!$G$2:$X$1155,18,FALSE)</f>
        <v>ERR10549481</v>
      </c>
      <c r="E1237" s="2">
        <v>2006</v>
      </c>
      <c r="F1237" s="2" t="s">
        <v>2692</v>
      </c>
      <c r="G1237" s="2" t="s">
        <v>43</v>
      </c>
      <c r="H1237" s="2" t="s">
        <v>1440</v>
      </c>
      <c r="I1237" s="2" t="s">
        <v>10</v>
      </c>
      <c r="J1237" s="2" t="s">
        <v>157</v>
      </c>
      <c r="K1237" s="2" t="s">
        <v>214</v>
      </c>
      <c r="L1237" s="2" t="s">
        <v>156</v>
      </c>
      <c r="M1237" s="2">
        <v>554</v>
      </c>
      <c r="N1237" s="2" t="s">
        <v>159</v>
      </c>
      <c r="T1237" s="2" t="s">
        <v>16964</v>
      </c>
    </row>
    <row r="1238" spans="1:20" hidden="1">
      <c r="A1238" s="3" t="s">
        <v>2784</v>
      </c>
      <c r="B1238" s="2" t="s">
        <v>2229</v>
      </c>
      <c r="D1238" s="66" t="str">
        <f>VLOOKUP("*"&amp;A1238&amp;"*",[2]Sheet1!$G$2:$X$1155,18,FALSE)</f>
        <v>ERR10549485</v>
      </c>
      <c r="E1238" s="2">
        <v>2016</v>
      </c>
      <c r="F1238" s="2" t="s">
        <v>2692</v>
      </c>
      <c r="G1238" s="2" t="s">
        <v>318</v>
      </c>
      <c r="H1238" s="2" t="s">
        <v>1441</v>
      </c>
      <c r="I1238" s="2" t="s">
        <v>10</v>
      </c>
      <c r="J1238" s="2" t="s">
        <v>765</v>
      </c>
      <c r="K1238" s="2" t="s">
        <v>1442</v>
      </c>
      <c r="L1238" s="2" t="s">
        <v>764</v>
      </c>
      <c r="M1238" s="2">
        <v>4</v>
      </c>
      <c r="N1238" s="2" t="s">
        <v>4459</v>
      </c>
      <c r="T1238" s="2" t="s">
        <v>16964</v>
      </c>
    </row>
    <row r="1239" spans="1:20" hidden="1">
      <c r="A1239" s="3" t="s">
        <v>2990</v>
      </c>
      <c r="B1239" s="2" t="s">
        <v>1765</v>
      </c>
      <c r="D1239" s="66" t="s">
        <v>17332</v>
      </c>
      <c r="E1239" s="2">
        <v>2016</v>
      </c>
      <c r="F1239" s="2" t="s">
        <v>2692</v>
      </c>
      <c r="G1239" s="2" t="s">
        <v>318</v>
      </c>
      <c r="H1239" s="2" t="s">
        <v>1746</v>
      </c>
      <c r="I1239" s="2" t="s">
        <v>6</v>
      </c>
      <c r="J1239" s="2" t="s">
        <v>1767</v>
      </c>
      <c r="K1239" s="2" t="s">
        <v>1768</v>
      </c>
      <c r="L1239" s="2" t="s">
        <v>1766</v>
      </c>
      <c r="M1239" s="2">
        <v>1383</v>
      </c>
      <c r="T1239" s="2" t="s">
        <v>16964</v>
      </c>
    </row>
    <row r="1240" spans="1:20" hidden="1">
      <c r="A1240" s="3" t="s">
        <v>3392</v>
      </c>
      <c r="B1240" s="2" t="s">
        <v>1769</v>
      </c>
      <c r="D1240" s="66" t="s">
        <v>17333</v>
      </c>
      <c r="E1240" s="2">
        <v>2016</v>
      </c>
      <c r="F1240" s="2" t="s">
        <v>2692</v>
      </c>
      <c r="G1240" s="2" t="s">
        <v>318</v>
      </c>
      <c r="H1240" s="2" t="s">
        <v>1746</v>
      </c>
      <c r="I1240" s="2" t="s">
        <v>6</v>
      </c>
      <c r="J1240" s="2" t="s">
        <v>1767</v>
      </c>
      <c r="K1240" s="2" t="s">
        <v>1770</v>
      </c>
      <c r="L1240" s="2" t="s">
        <v>1766</v>
      </c>
      <c r="M1240" s="2">
        <v>912</v>
      </c>
      <c r="T1240" s="2" t="s">
        <v>16964</v>
      </c>
    </row>
    <row r="1241" spans="1:20" hidden="1">
      <c r="A1241" s="3" t="s">
        <v>4413</v>
      </c>
      <c r="B1241" s="2" t="s">
        <v>1762</v>
      </c>
      <c r="D1241" s="66" t="str">
        <f>VLOOKUP("*"&amp;A1241&amp;"*",[2]Sheet1!$G$2:$X$1155,18,FALSE)</f>
        <v>ERR10549490</v>
      </c>
      <c r="E1241" s="2">
        <v>2014</v>
      </c>
      <c r="F1241" s="2" t="s">
        <v>2692</v>
      </c>
      <c r="G1241" s="2" t="s">
        <v>318</v>
      </c>
      <c r="H1241" s="2" t="s">
        <v>1746</v>
      </c>
      <c r="I1241" s="2" t="s">
        <v>10</v>
      </c>
      <c r="J1241" s="2" t="s">
        <v>1763</v>
      </c>
      <c r="K1241" s="2" t="s">
        <v>1764</v>
      </c>
      <c r="L1241" s="2" t="s">
        <v>764</v>
      </c>
      <c r="M1241" s="2">
        <v>631</v>
      </c>
      <c r="N1241" s="2" t="s">
        <v>18</v>
      </c>
      <c r="T1241" s="2" t="s">
        <v>16964</v>
      </c>
    </row>
    <row r="1242" spans="1:20" hidden="1">
      <c r="A1242" s="3" t="s">
        <v>3395</v>
      </c>
      <c r="B1242" s="2" t="s">
        <v>1750</v>
      </c>
      <c r="D1242" s="66" t="s">
        <v>17331</v>
      </c>
      <c r="E1242" s="2">
        <v>2014</v>
      </c>
      <c r="F1242" s="2" t="s">
        <v>2692</v>
      </c>
      <c r="G1242" s="2" t="s">
        <v>318</v>
      </c>
      <c r="H1242" s="2" t="s">
        <v>1751</v>
      </c>
      <c r="I1242" s="2" t="s">
        <v>6</v>
      </c>
      <c r="J1242" s="2" t="s">
        <v>1753</v>
      </c>
      <c r="K1242" s="2" t="s">
        <v>1754</v>
      </c>
      <c r="L1242" s="2" t="s">
        <v>1752</v>
      </c>
      <c r="M1242" s="2">
        <v>1365</v>
      </c>
      <c r="T1242" s="2" t="s">
        <v>16964</v>
      </c>
    </row>
    <row r="1243" spans="1:20" hidden="1">
      <c r="A1243" s="3" t="s">
        <v>3490</v>
      </c>
      <c r="B1243" s="2" t="s">
        <v>1755</v>
      </c>
      <c r="D1243" s="66" t="str">
        <f>VLOOKUP("*"&amp;A1243&amp;"*",[2]Sheet1!$G$2:$X$1155,18,FALSE)</f>
        <v>ERR10549463</v>
      </c>
      <c r="E1243" s="2">
        <v>2014</v>
      </c>
      <c r="F1243" s="2" t="s">
        <v>2692</v>
      </c>
      <c r="G1243" s="2" t="s">
        <v>318</v>
      </c>
      <c r="H1243" s="2" t="s">
        <v>1746</v>
      </c>
      <c r="I1243" s="2" t="s">
        <v>6</v>
      </c>
      <c r="J1243" s="2" t="s">
        <v>1711</v>
      </c>
      <c r="K1243" s="2" t="s">
        <v>1756</v>
      </c>
      <c r="L1243" s="2" t="s">
        <v>1710</v>
      </c>
      <c r="M1243" s="2">
        <v>789</v>
      </c>
      <c r="N1243" s="2" t="s">
        <v>21</v>
      </c>
      <c r="T1243" s="2" t="s">
        <v>16964</v>
      </c>
    </row>
    <row r="1244" spans="1:20" hidden="1">
      <c r="A1244" s="3" t="s">
        <v>4310</v>
      </c>
      <c r="B1244" s="2" t="s">
        <v>1757</v>
      </c>
      <c r="D1244" s="66" t="str">
        <f>VLOOKUP("*"&amp;A1244&amp;"*",[2]Sheet1!$G$2:$X$1155,18,FALSE)</f>
        <v>ERR10549467</v>
      </c>
      <c r="E1244" s="2">
        <v>2014</v>
      </c>
      <c r="F1244" s="2" t="s">
        <v>2692</v>
      </c>
      <c r="G1244" s="2" t="s">
        <v>318</v>
      </c>
      <c r="H1244" s="2" t="s">
        <v>1746</v>
      </c>
      <c r="I1244" s="2" t="s">
        <v>6</v>
      </c>
      <c r="J1244" s="2" t="s">
        <v>1759</v>
      </c>
      <c r="K1244" s="2" t="s">
        <v>1760</v>
      </c>
      <c r="L1244" s="2" t="s">
        <v>1758</v>
      </c>
      <c r="M1244" s="2">
        <v>1362</v>
      </c>
      <c r="N1244" s="2" t="s">
        <v>9</v>
      </c>
      <c r="T1244" s="2" t="s">
        <v>16964</v>
      </c>
    </row>
    <row r="1245" spans="1:20" hidden="1">
      <c r="A1245" s="3" t="s">
        <v>4309</v>
      </c>
      <c r="B1245" s="2" t="s">
        <v>1761</v>
      </c>
      <c r="D1245" s="66" t="str">
        <f>VLOOKUP("*"&amp;A1245&amp;"*",[2]Sheet1!$G$2:$X$1155,18,FALSE)</f>
        <v>ERR10549466</v>
      </c>
      <c r="E1245" s="2">
        <v>2014</v>
      </c>
      <c r="F1245" s="2" t="s">
        <v>2692</v>
      </c>
      <c r="G1245" s="2" t="s">
        <v>318</v>
      </c>
      <c r="H1245" s="2" t="s">
        <v>1746</v>
      </c>
      <c r="I1245" s="2" t="s">
        <v>6</v>
      </c>
      <c r="J1245" s="2" t="s">
        <v>1759</v>
      </c>
      <c r="K1245" s="2" t="s">
        <v>1760</v>
      </c>
      <c r="L1245" s="2" t="s">
        <v>1758</v>
      </c>
      <c r="M1245" s="2">
        <v>1362</v>
      </c>
      <c r="N1245" s="2" t="s">
        <v>9</v>
      </c>
      <c r="T1245" s="2" t="s">
        <v>16964</v>
      </c>
    </row>
    <row r="1246" spans="1:20" hidden="1">
      <c r="A1246" s="3" t="s">
        <v>4150</v>
      </c>
      <c r="B1246" s="2" t="s">
        <v>1771</v>
      </c>
      <c r="D1246" s="66" t="str">
        <f>VLOOKUP("*"&amp;A1246&amp;"*",[2]Sheet1!$G$2:$X$1155,18,FALSE)</f>
        <v>ERR10549470</v>
      </c>
      <c r="E1246" s="2">
        <v>2014</v>
      </c>
      <c r="F1246" s="2" t="s">
        <v>2692</v>
      </c>
      <c r="G1246" s="2" t="s">
        <v>318</v>
      </c>
      <c r="H1246" s="2" t="s">
        <v>1746</v>
      </c>
      <c r="I1246" s="2" t="s">
        <v>10</v>
      </c>
      <c r="J1246" s="2" t="s">
        <v>157</v>
      </c>
      <c r="K1246" s="2" t="s">
        <v>1772</v>
      </c>
      <c r="L1246" s="2" t="s">
        <v>156</v>
      </c>
      <c r="M1246" s="2">
        <v>999</v>
      </c>
      <c r="N1246" s="2" t="s">
        <v>159</v>
      </c>
      <c r="T1246" s="2" t="s">
        <v>16964</v>
      </c>
    </row>
    <row r="1247" spans="1:20" hidden="1">
      <c r="A1247" s="3" t="s">
        <v>4148</v>
      </c>
      <c r="B1247" s="2" t="s">
        <v>1773</v>
      </c>
      <c r="D1247" s="66" t="str">
        <f>VLOOKUP("*"&amp;A1247&amp;"*",[2]Sheet1!$G$2:$X$1155,18,FALSE)</f>
        <v>ERR10549503</v>
      </c>
      <c r="E1247" s="2">
        <v>2014</v>
      </c>
      <c r="F1247" s="2" t="s">
        <v>2692</v>
      </c>
      <c r="G1247" s="2" t="s">
        <v>318</v>
      </c>
      <c r="H1247" s="2" t="s">
        <v>1746</v>
      </c>
      <c r="I1247" s="2" t="s">
        <v>10</v>
      </c>
      <c r="J1247" s="2" t="s">
        <v>157</v>
      </c>
      <c r="K1247" s="2" t="s">
        <v>1772</v>
      </c>
      <c r="L1247" s="2" t="s">
        <v>156</v>
      </c>
      <c r="M1247" s="2">
        <v>999</v>
      </c>
      <c r="N1247" s="2" t="s">
        <v>159</v>
      </c>
      <c r="T1247" s="2" t="s">
        <v>16964</v>
      </c>
    </row>
    <row r="1248" spans="1:20" hidden="1">
      <c r="A1248" s="3" t="s">
        <v>3427</v>
      </c>
      <c r="B1248" s="2" t="s">
        <v>1774</v>
      </c>
      <c r="D1248" s="66" t="str">
        <f>VLOOKUP("*"&amp;A1248&amp;"*",[2]Sheet1!$G$2:$X$1155,18,FALSE)</f>
        <v>ERR10549536</v>
      </c>
      <c r="E1248" s="2">
        <v>2014</v>
      </c>
      <c r="F1248" s="2" t="s">
        <v>2692</v>
      </c>
      <c r="G1248" s="2" t="s">
        <v>318</v>
      </c>
      <c r="H1248" s="2" t="s">
        <v>1775</v>
      </c>
      <c r="I1248" s="2" t="s">
        <v>10</v>
      </c>
      <c r="J1248" s="2" t="s">
        <v>1777</v>
      </c>
      <c r="K1248" s="2" t="s">
        <v>1778</v>
      </c>
      <c r="L1248" s="2" t="s">
        <v>1776</v>
      </c>
      <c r="M1248" s="2">
        <v>2973</v>
      </c>
      <c r="N1248" s="2" t="s">
        <v>14</v>
      </c>
      <c r="T1248" s="2" t="s">
        <v>16964</v>
      </c>
    </row>
    <row r="1249" spans="1:21" hidden="1">
      <c r="A1249" s="3" t="s">
        <v>4312</v>
      </c>
      <c r="B1249" s="2" t="s">
        <v>1780</v>
      </c>
      <c r="D1249" s="66" t="str">
        <f>VLOOKUP("*"&amp;A1249&amp;"*",[2]Sheet1!$G$2:$X$1155,18,FALSE)</f>
        <v>ERR10549537</v>
      </c>
      <c r="E1249" s="2">
        <v>2014</v>
      </c>
      <c r="F1249" s="2" t="s">
        <v>2692</v>
      </c>
      <c r="G1249" s="2" t="s">
        <v>318</v>
      </c>
      <c r="H1249" s="2" t="s">
        <v>1775</v>
      </c>
      <c r="I1249" s="2" t="s">
        <v>10</v>
      </c>
      <c r="J1249" s="2" t="s">
        <v>1781</v>
      </c>
      <c r="K1249" s="2" t="s">
        <v>1782</v>
      </c>
      <c r="L1249" s="2" t="s">
        <v>223</v>
      </c>
      <c r="M1249" s="2">
        <v>2145</v>
      </c>
      <c r="N1249" s="2" t="s">
        <v>18</v>
      </c>
      <c r="T1249" s="2" t="s">
        <v>16964</v>
      </c>
    </row>
    <row r="1250" spans="1:21" hidden="1">
      <c r="A1250" s="3" t="s">
        <v>3426</v>
      </c>
      <c r="B1250" s="2" t="s">
        <v>1779</v>
      </c>
      <c r="D1250" s="66" t="str">
        <f>VLOOKUP("*"&amp;A1250&amp;"*",[2]Sheet1!$G$2:$X$1155,18,FALSE)</f>
        <v>ERR10549479</v>
      </c>
      <c r="E1250" s="2">
        <v>2014</v>
      </c>
      <c r="F1250" s="2" t="s">
        <v>2692</v>
      </c>
      <c r="G1250" s="2" t="s">
        <v>318</v>
      </c>
      <c r="H1250" s="2" t="s">
        <v>1746</v>
      </c>
      <c r="I1250" s="2" t="s">
        <v>10</v>
      </c>
      <c r="J1250" s="2" t="s">
        <v>1777</v>
      </c>
      <c r="K1250" s="2" t="s">
        <v>1778</v>
      </c>
      <c r="L1250" s="2" t="s">
        <v>1776</v>
      </c>
      <c r="M1250" s="2">
        <v>2973</v>
      </c>
      <c r="N1250" s="2" t="s">
        <v>14</v>
      </c>
      <c r="T1250" s="2" t="s">
        <v>16964</v>
      </c>
    </row>
    <row r="1251" spans="1:21" hidden="1">
      <c r="A1251" s="3" t="s">
        <v>4015</v>
      </c>
      <c r="B1251" s="2" t="s">
        <v>1745</v>
      </c>
      <c r="D1251" s="66" t="str">
        <f>VLOOKUP("*"&amp;A1251&amp;"*",[2]Sheet1!$G$2:$X$1155,18,FALSE)</f>
        <v>ERR10549460</v>
      </c>
      <c r="E1251" s="2">
        <v>2014</v>
      </c>
      <c r="F1251" s="2" t="s">
        <v>2692</v>
      </c>
      <c r="G1251" s="2" t="s">
        <v>318</v>
      </c>
      <c r="H1251" s="2" t="s">
        <v>1746</v>
      </c>
      <c r="I1251" s="2" t="s">
        <v>6</v>
      </c>
      <c r="J1251" s="2" t="s">
        <v>1748</v>
      </c>
      <c r="K1251" s="2" t="s">
        <v>1749</v>
      </c>
      <c r="L1251" s="2" t="s">
        <v>1747</v>
      </c>
      <c r="M1251" s="2">
        <v>838</v>
      </c>
      <c r="N1251" s="2" t="s">
        <v>21</v>
      </c>
      <c r="T1251" s="2" t="s">
        <v>16964</v>
      </c>
    </row>
    <row r="1252" spans="1:21" hidden="1">
      <c r="A1252" s="3" t="s">
        <v>3369</v>
      </c>
      <c r="B1252" s="2" t="s">
        <v>1705</v>
      </c>
      <c r="D1252" s="66" t="str">
        <f>VLOOKUP("*"&amp;A1252&amp;"*",[2]Sheet1!$G$2:$X$1155,18,FALSE)</f>
        <v>ERR10549476</v>
      </c>
      <c r="E1252" s="2">
        <v>2001</v>
      </c>
      <c r="F1252" s="2" t="s">
        <v>2692</v>
      </c>
      <c r="G1252" s="2" t="s">
        <v>5</v>
      </c>
      <c r="H1252" s="2" t="s">
        <v>1706</v>
      </c>
      <c r="I1252" s="2" t="s">
        <v>6</v>
      </c>
      <c r="J1252" s="2" t="s">
        <v>20</v>
      </c>
      <c r="K1252" s="2" t="s">
        <v>1707</v>
      </c>
      <c r="L1252" s="2" t="s">
        <v>19</v>
      </c>
      <c r="M1252" s="2">
        <v>9</v>
      </c>
      <c r="T1252" s="2" t="s">
        <v>16963</v>
      </c>
      <c r="U1252" s="67" t="s">
        <v>2627</v>
      </c>
    </row>
    <row r="1253" spans="1:21" hidden="1">
      <c r="A1253" s="3" t="s">
        <v>4283</v>
      </c>
      <c r="B1253" s="2" t="s">
        <v>1686</v>
      </c>
      <c r="D1253" s="66" t="str">
        <f>VLOOKUP("*"&amp;A1253&amp;"*",[2]Sheet1!$G$2:$X$1155,18,FALSE)</f>
        <v>ERR10549542</v>
      </c>
      <c r="E1253" s="2">
        <v>2006</v>
      </c>
      <c r="F1253" s="2" t="s">
        <v>2692</v>
      </c>
      <c r="G1253" s="2" t="s">
        <v>5</v>
      </c>
      <c r="H1253" s="2" t="s">
        <v>1687</v>
      </c>
      <c r="I1253" s="2" t="s">
        <v>10</v>
      </c>
      <c r="J1253" s="2" t="s">
        <v>1689</v>
      </c>
      <c r="K1253" s="2" t="s">
        <v>1690</v>
      </c>
      <c r="L1253" s="2" t="s">
        <v>1688</v>
      </c>
      <c r="M1253" s="2">
        <v>639</v>
      </c>
      <c r="N1253" s="2" t="s">
        <v>18</v>
      </c>
      <c r="T1253" s="2" t="s">
        <v>16964</v>
      </c>
    </row>
    <row r="1254" spans="1:21" hidden="1">
      <c r="A1254" s="3" t="s">
        <v>3571</v>
      </c>
      <c r="B1254" s="2" t="s">
        <v>1702</v>
      </c>
      <c r="D1254" s="66" t="str">
        <f>VLOOKUP("*"&amp;A1254&amp;"*",[2]Sheet1!$G$2:$X$1155,18,FALSE)</f>
        <v>ERR10549486</v>
      </c>
      <c r="E1254" s="2">
        <v>2001</v>
      </c>
      <c r="F1254" s="2" t="s">
        <v>2692</v>
      </c>
      <c r="G1254" s="2" t="s">
        <v>5</v>
      </c>
      <c r="H1254" s="2" t="s">
        <v>1703</v>
      </c>
      <c r="I1254" s="2" t="s">
        <v>6</v>
      </c>
      <c r="J1254" s="2" t="s">
        <v>20</v>
      </c>
      <c r="K1254" s="2" t="s">
        <v>1704</v>
      </c>
      <c r="L1254" s="2" t="s">
        <v>19</v>
      </c>
      <c r="M1254" s="2">
        <v>9</v>
      </c>
      <c r="N1254" s="2" t="s">
        <v>21</v>
      </c>
      <c r="T1254" s="2" t="s">
        <v>16963</v>
      </c>
      <c r="U1254" s="67" t="s">
        <v>2627</v>
      </c>
    </row>
    <row r="1255" spans="1:21" hidden="1">
      <c r="A1255" s="3" t="s">
        <v>2888</v>
      </c>
      <c r="B1255" s="2" t="s">
        <v>1680</v>
      </c>
      <c r="D1255" s="66" t="str">
        <f>VLOOKUP("*"&amp;A1255&amp;"*",[2]Sheet1!$G$2:$X$1155,18,FALSE)</f>
        <v>ERR10549475</v>
      </c>
      <c r="E1255" s="2">
        <v>2002</v>
      </c>
      <c r="F1255" s="2" t="s">
        <v>2692</v>
      </c>
      <c r="G1255" s="2" t="s">
        <v>5</v>
      </c>
      <c r="H1255" s="2" t="s">
        <v>1681</v>
      </c>
      <c r="I1255" s="2" t="s">
        <v>6</v>
      </c>
      <c r="J1255" s="2" t="s">
        <v>20</v>
      </c>
      <c r="K1255" s="2" t="s">
        <v>1682</v>
      </c>
      <c r="L1255" s="2" t="s">
        <v>19</v>
      </c>
      <c r="M1255" s="2">
        <v>9</v>
      </c>
      <c r="T1255" s="2" t="s">
        <v>16964</v>
      </c>
    </row>
    <row r="1256" spans="1:21" hidden="1">
      <c r="A1256" s="3" t="s">
        <v>3127</v>
      </c>
      <c r="B1256" s="2" t="s">
        <v>1684</v>
      </c>
      <c r="D1256" s="66" t="str">
        <f>VLOOKUP("*"&amp;A1256&amp;"*",[2]Sheet1!$G$2:$X$1155,18,FALSE)</f>
        <v>ERR10549492</v>
      </c>
      <c r="E1256" s="2">
        <v>2005</v>
      </c>
      <c r="F1256" s="2" t="s">
        <v>2692</v>
      </c>
      <c r="G1256" s="2" t="s">
        <v>5</v>
      </c>
      <c r="H1256" s="2" t="s">
        <v>1685</v>
      </c>
      <c r="I1256" s="2" t="s">
        <v>6</v>
      </c>
      <c r="J1256" s="2" t="s">
        <v>20</v>
      </c>
      <c r="K1256" s="2" t="s">
        <v>231</v>
      </c>
      <c r="L1256" s="2" t="s">
        <v>19</v>
      </c>
      <c r="M1256" s="2">
        <v>9</v>
      </c>
      <c r="T1256" s="2" t="s">
        <v>16963</v>
      </c>
      <c r="U1256" s="67" t="s">
        <v>2627</v>
      </c>
    </row>
    <row r="1257" spans="1:21" hidden="1">
      <c r="A1257" s="3" t="s">
        <v>3959</v>
      </c>
      <c r="B1257" s="2" t="s">
        <v>1691</v>
      </c>
      <c r="D1257" s="66" t="str">
        <f>VLOOKUP("*"&amp;A1257&amp;"*",[2]Sheet1!$G$2:$X$1155,18,FALSE)</f>
        <v>ERR10549480</v>
      </c>
      <c r="E1257" s="2">
        <v>2004</v>
      </c>
      <c r="F1257" s="2" t="s">
        <v>2692</v>
      </c>
      <c r="G1257" s="2" t="s">
        <v>27</v>
      </c>
      <c r="H1257" s="2" t="s">
        <v>1692</v>
      </c>
      <c r="I1257" s="2" t="s">
        <v>10</v>
      </c>
      <c r="J1257" s="2" t="s">
        <v>1689</v>
      </c>
      <c r="K1257" s="2" t="s">
        <v>1693</v>
      </c>
      <c r="L1257" s="2" t="s">
        <v>1688</v>
      </c>
      <c r="M1257" s="2">
        <v>639</v>
      </c>
      <c r="N1257" s="2" t="s">
        <v>18</v>
      </c>
      <c r="T1257" s="2" t="s">
        <v>16964</v>
      </c>
    </row>
    <row r="1258" spans="1:21" hidden="1">
      <c r="A1258" s="3" t="s">
        <v>3781</v>
      </c>
      <c r="B1258" s="2" t="s">
        <v>1694</v>
      </c>
      <c r="D1258" s="66" t="str">
        <f>VLOOKUP("*"&amp;A1258&amp;"*",[2]Sheet1!$G$2:$X$1155,18,FALSE)</f>
        <v>ERR10549491</v>
      </c>
      <c r="E1258" s="2">
        <v>2006</v>
      </c>
      <c r="F1258" s="2" t="s">
        <v>2692</v>
      </c>
      <c r="G1258" s="2" t="s">
        <v>27</v>
      </c>
      <c r="H1258" s="2" t="s">
        <v>1695</v>
      </c>
      <c r="I1258" s="2" t="s">
        <v>10</v>
      </c>
      <c r="J1258" s="2" t="s">
        <v>1147</v>
      </c>
      <c r="K1258" s="2" t="s">
        <v>1696</v>
      </c>
      <c r="L1258" s="2" t="s">
        <v>1146</v>
      </c>
      <c r="M1258" s="2">
        <v>217</v>
      </c>
      <c r="N1258" s="2" t="s">
        <v>18</v>
      </c>
      <c r="T1258" s="2" t="s">
        <v>16964</v>
      </c>
    </row>
    <row r="1259" spans="1:21" hidden="1">
      <c r="A1259" s="3" t="s">
        <v>3208</v>
      </c>
      <c r="B1259" s="2" t="s">
        <v>1724</v>
      </c>
      <c r="D1259" s="66" t="str">
        <f>VLOOKUP("*"&amp;A1259&amp;"*",[2]Sheet1!$G$2:$X$1155,18,FALSE)</f>
        <v>ERR10549447</v>
      </c>
      <c r="E1259" s="2">
        <v>1994</v>
      </c>
      <c r="F1259" s="2" t="s">
        <v>2692</v>
      </c>
      <c r="G1259" s="2" t="s">
        <v>27</v>
      </c>
      <c r="H1259" s="2" t="s">
        <v>1725</v>
      </c>
      <c r="I1259" s="2" t="s">
        <v>10</v>
      </c>
      <c r="J1259" s="2" t="s">
        <v>12</v>
      </c>
      <c r="K1259" s="2" t="s">
        <v>1726</v>
      </c>
      <c r="L1259" s="2" t="s">
        <v>11</v>
      </c>
      <c r="M1259" s="2">
        <v>3</v>
      </c>
      <c r="N1259" s="2" t="s">
        <v>14</v>
      </c>
      <c r="T1259" s="2" t="s">
        <v>16964</v>
      </c>
    </row>
    <row r="1260" spans="1:21" hidden="1">
      <c r="A1260" s="3" t="s">
        <v>3209</v>
      </c>
      <c r="B1260" s="2" t="s">
        <v>1727</v>
      </c>
      <c r="D1260" s="66" t="str">
        <f>VLOOKUP("*"&amp;A1260&amp;"*",[2]Sheet1!$G$2:$X$1155,18,FALSE)</f>
        <v>ERR10549564</v>
      </c>
      <c r="E1260" s="2">
        <v>1994</v>
      </c>
      <c r="F1260" s="2" t="s">
        <v>2692</v>
      </c>
      <c r="G1260" s="2" t="s">
        <v>27</v>
      </c>
      <c r="H1260" s="2" t="s">
        <v>1725</v>
      </c>
      <c r="I1260" s="2" t="s">
        <v>10</v>
      </c>
      <c r="J1260" s="2" t="s">
        <v>12</v>
      </c>
      <c r="K1260" s="2" t="s">
        <v>1726</v>
      </c>
      <c r="L1260" s="2" t="s">
        <v>11</v>
      </c>
      <c r="M1260" s="2">
        <v>3</v>
      </c>
      <c r="N1260" s="2" t="s">
        <v>14</v>
      </c>
      <c r="T1260" s="2" t="s">
        <v>16964</v>
      </c>
    </row>
    <row r="1261" spans="1:21" hidden="1">
      <c r="A1261" s="3" t="s">
        <v>2958</v>
      </c>
      <c r="B1261" s="2" t="s">
        <v>1699</v>
      </c>
      <c r="D1261" s="66" t="str">
        <f>VLOOKUP("*"&amp;A1261&amp;"*",[2]Sheet1!$G$2:$X$1155,18,FALSE)</f>
        <v>ERR10549489</v>
      </c>
      <c r="E1261" s="2">
        <v>2008</v>
      </c>
      <c r="F1261" s="2" t="s">
        <v>2692</v>
      </c>
      <c r="G1261" s="2" t="s">
        <v>27</v>
      </c>
      <c r="H1261" s="2" t="s">
        <v>1700</v>
      </c>
      <c r="I1261" s="2" t="s">
        <v>6</v>
      </c>
      <c r="J1261" s="2" t="s">
        <v>20</v>
      </c>
      <c r="K1261" s="2" t="s">
        <v>1701</v>
      </c>
      <c r="L1261" s="2" t="s">
        <v>19</v>
      </c>
      <c r="M1261" s="2">
        <v>9</v>
      </c>
      <c r="N1261" s="2" t="s">
        <v>21</v>
      </c>
      <c r="T1261" s="2" t="s">
        <v>16964</v>
      </c>
    </row>
    <row r="1262" spans="1:21" hidden="1">
      <c r="A1262" s="3" t="s">
        <v>3843</v>
      </c>
      <c r="B1262" s="2" t="s">
        <v>1719</v>
      </c>
      <c r="D1262" s="66" t="str">
        <f>VLOOKUP("*"&amp;A1262&amp;"*",[2]Sheet1!$G$2:$X$1155,18,FALSE)</f>
        <v>ERR10549501</v>
      </c>
      <c r="E1262" s="2">
        <v>2010</v>
      </c>
      <c r="F1262" s="2" t="s">
        <v>2692</v>
      </c>
      <c r="G1262" s="2" t="s">
        <v>27</v>
      </c>
      <c r="H1262" s="2" t="s">
        <v>1720</v>
      </c>
      <c r="I1262" s="2" t="s">
        <v>6</v>
      </c>
      <c r="J1262" s="2" t="s">
        <v>1722</v>
      </c>
      <c r="K1262" s="2" t="s">
        <v>1723</v>
      </c>
      <c r="L1262" s="2" t="s">
        <v>1721</v>
      </c>
      <c r="M1262" s="2">
        <v>1062</v>
      </c>
      <c r="N1262" s="2" t="s">
        <v>9</v>
      </c>
      <c r="T1262" s="2" t="s">
        <v>16964</v>
      </c>
    </row>
    <row r="1263" spans="1:21" hidden="1">
      <c r="A1263" s="3" t="s">
        <v>4342</v>
      </c>
      <c r="B1263" s="2" t="s">
        <v>2228</v>
      </c>
      <c r="D1263" s="66" t="str">
        <f>VLOOKUP("*"&amp;A1263&amp;"*",[2]Sheet1!$G$2:$X$1155,18,FALSE)</f>
        <v>ERR10549458</v>
      </c>
      <c r="E1263" s="2">
        <v>2008</v>
      </c>
      <c r="F1263" s="2" t="s">
        <v>2692</v>
      </c>
      <c r="G1263" s="2" t="s">
        <v>27</v>
      </c>
      <c r="H1263" s="2" t="s">
        <v>1741</v>
      </c>
      <c r="I1263" s="2" t="s">
        <v>10</v>
      </c>
      <c r="J1263" s="2" t="s">
        <v>1742</v>
      </c>
      <c r="K1263" s="2" t="s">
        <v>1743</v>
      </c>
      <c r="L1263" s="2" t="s">
        <v>16</v>
      </c>
      <c r="M1263" s="2">
        <v>1039</v>
      </c>
      <c r="N1263" s="2" t="s">
        <v>18</v>
      </c>
      <c r="T1263" s="2" t="s">
        <v>16964</v>
      </c>
    </row>
    <row r="1264" spans="1:21" hidden="1">
      <c r="A1264" s="3" t="s">
        <v>3915</v>
      </c>
      <c r="B1264" s="2" t="s">
        <v>1697</v>
      </c>
      <c r="D1264" s="66" t="str">
        <f>VLOOKUP("*"&amp;A1264&amp;"*",[2]Sheet1!$G$2:$X$1155,18,FALSE)</f>
        <v>ERR10549482</v>
      </c>
      <c r="E1264" s="2">
        <v>2008</v>
      </c>
      <c r="F1264" s="2" t="s">
        <v>2692</v>
      </c>
      <c r="G1264" s="2" t="s">
        <v>27</v>
      </c>
      <c r="H1264" s="2" t="s">
        <v>1698</v>
      </c>
      <c r="I1264" s="2" t="s">
        <v>6</v>
      </c>
      <c r="J1264" s="2" t="s">
        <v>20</v>
      </c>
      <c r="K1264" s="2" t="s">
        <v>4720</v>
      </c>
      <c r="L1264" s="2" t="s">
        <v>19</v>
      </c>
      <c r="M1264" s="2">
        <v>2972</v>
      </c>
      <c r="N1264" s="2" t="s">
        <v>21</v>
      </c>
      <c r="T1264" s="2" t="s">
        <v>16963</v>
      </c>
      <c r="U1264" s="67" t="s">
        <v>2627</v>
      </c>
    </row>
    <row r="1265" spans="1:25" hidden="1">
      <c r="A1265" s="3" t="s">
        <v>3191</v>
      </c>
      <c r="B1265" s="2" t="s">
        <v>1731</v>
      </c>
      <c r="D1265" s="66" t="str">
        <f>VLOOKUP("*"&amp;A1265&amp;"*",[2]Sheet1!$G$2:$X$1155,18,FALSE)</f>
        <v>ERR10549453</v>
      </c>
      <c r="E1265" s="2">
        <v>1994</v>
      </c>
      <c r="F1265" s="2" t="s">
        <v>2692</v>
      </c>
      <c r="G1265" s="2" t="s">
        <v>27</v>
      </c>
      <c r="H1265" s="2" t="s">
        <v>1729</v>
      </c>
      <c r="I1265" s="2" t="s">
        <v>10</v>
      </c>
      <c r="J1265" s="2" t="s">
        <v>12</v>
      </c>
      <c r="K1265" s="2" t="s">
        <v>1726</v>
      </c>
      <c r="L1265" s="2" t="s">
        <v>11</v>
      </c>
      <c r="M1265" s="2">
        <v>3</v>
      </c>
      <c r="N1265" s="2" t="s">
        <v>14</v>
      </c>
      <c r="T1265" s="2" t="s">
        <v>16964</v>
      </c>
    </row>
    <row r="1266" spans="1:25" hidden="1">
      <c r="A1266" s="3" t="s">
        <v>2886</v>
      </c>
      <c r="B1266" s="2" t="s">
        <v>1732</v>
      </c>
      <c r="D1266" s="66" t="str">
        <f>VLOOKUP("*"&amp;A1266&amp;"*",[2]Sheet1!$G$2:$X$1155,18,FALSE)</f>
        <v>ERR10549427</v>
      </c>
      <c r="E1266" s="2">
        <v>1994</v>
      </c>
      <c r="F1266" s="2" t="s">
        <v>2692</v>
      </c>
      <c r="G1266" s="2" t="s">
        <v>27</v>
      </c>
      <c r="H1266" s="2" t="s">
        <v>1729</v>
      </c>
      <c r="I1266" s="2" t="s">
        <v>10</v>
      </c>
      <c r="J1266" s="2" t="s">
        <v>12</v>
      </c>
      <c r="K1266" s="2" t="s">
        <v>1726</v>
      </c>
      <c r="L1266" s="2" t="s">
        <v>11</v>
      </c>
      <c r="M1266" s="2">
        <v>3</v>
      </c>
      <c r="N1266" s="2" t="s">
        <v>14</v>
      </c>
      <c r="T1266" s="2" t="s">
        <v>16964</v>
      </c>
    </row>
    <row r="1267" spans="1:25" hidden="1">
      <c r="A1267" s="3" t="s">
        <v>3192</v>
      </c>
      <c r="B1267" s="2" t="s">
        <v>1728</v>
      </c>
      <c r="D1267" s="66" t="str">
        <f>VLOOKUP("*"&amp;A1267&amp;"*",[2]Sheet1!$G$2:$X$1155,18,FALSE)</f>
        <v>ERR10549430</v>
      </c>
      <c r="E1267" s="2">
        <v>1994</v>
      </c>
      <c r="F1267" s="2" t="s">
        <v>2692</v>
      </c>
      <c r="G1267" s="2" t="s">
        <v>27</v>
      </c>
      <c r="H1267" s="2" t="s">
        <v>1729</v>
      </c>
      <c r="I1267" s="2" t="s">
        <v>10</v>
      </c>
      <c r="J1267" s="2" t="s">
        <v>12</v>
      </c>
      <c r="K1267" s="2" t="s">
        <v>1726</v>
      </c>
      <c r="L1267" s="2" t="s">
        <v>11</v>
      </c>
      <c r="M1267" s="2">
        <v>3</v>
      </c>
      <c r="N1267" s="2" t="s">
        <v>14</v>
      </c>
      <c r="T1267" s="2" t="s">
        <v>16964</v>
      </c>
    </row>
    <row r="1268" spans="1:25" hidden="1">
      <c r="A1268" s="3" t="s">
        <v>2887</v>
      </c>
      <c r="B1268" s="2" t="s">
        <v>1730</v>
      </c>
      <c r="D1268" s="66" t="str">
        <f>VLOOKUP("*"&amp;A1268&amp;"*",[2]Sheet1!$G$2:$X$1155,18,FALSE)</f>
        <v>ERR10549442</v>
      </c>
      <c r="E1268" s="2">
        <v>1994</v>
      </c>
      <c r="F1268" s="2" t="s">
        <v>2692</v>
      </c>
      <c r="G1268" s="2" t="s">
        <v>27</v>
      </c>
      <c r="H1268" s="2" t="s">
        <v>1729</v>
      </c>
      <c r="I1268" s="2" t="s">
        <v>10</v>
      </c>
      <c r="J1268" s="2" t="s">
        <v>12</v>
      </c>
      <c r="K1268" s="2" t="s">
        <v>1726</v>
      </c>
      <c r="L1268" s="2" t="s">
        <v>11</v>
      </c>
      <c r="M1268" s="2">
        <v>3</v>
      </c>
      <c r="N1268" s="2" t="s">
        <v>14</v>
      </c>
      <c r="T1268" s="2" t="s">
        <v>16964</v>
      </c>
    </row>
    <row r="1269" spans="1:25" hidden="1">
      <c r="A1269" s="3" t="s">
        <v>4321</v>
      </c>
      <c r="B1269" s="2" t="s">
        <v>1716</v>
      </c>
      <c r="D1269" s="66" t="str">
        <f>VLOOKUP("*"&amp;A1269&amp;"*",[2]Sheet1!$G$2:$X$1155,18,FALSE)</f>
        <v>ERR10549459</v>
      </c>
      <c r="E1269" s="2">
        <v>2008</v>
      </c>
      <c r="F1269" s="2" t="s">
        <v>2692</v>
      </c>
      <c r="G1269" s="2" t="s">
        <v>27</v>
      </c>
      <c r="H1269" s="2" t="s">
        <v>1717</v>
      </c>
      <c r="I1269" s="2" t="s">
        <v>10</v>
      </c>
      <c r="J1269" s="2" t="s">
        <v>1689</v>
      </c>
      <c r="K1269" s="2" t="s">
        <v>1718</v>
      </c>
      <c r="L1269" s="2" t="s">
        <v>1688</v>
      </c>
      <c r="M1269" s="2">
        <v>639</v>
      </c>
      <c r="N1269" s="2" t="s">
        <v>18</v>
      </c>
      <c r="T1269" s="2" t="s">
        <v>16964</v>
      </c>
    </row>
    <row r="1270" spans="1:25" hidden="1">
      <c r="A1270" s="3" t="s">
        <v>4101</v>
      </c>
      <c r="B1270" s="2" t="s">
        <v>1708</v>
      </c>
      <c r="D1270" s="66" t="str">
        <f>VLOOKUP("*"&amp;A1270&amp;"*",[2]Sheet1!$G$2:$X$1155,18,FALSE)</f>
        <v>ERR10549478</v>
      </c>
      <c r="E1270" s="2">
        <v>2007</v>
      </c>
      <c r="F1270" s="2" t="s">
        <v>2692</v>
      </c>
      <c r="G1270" s="2" t="s">
        <v>27</v>
      </c>
      <c r="H1270" s="2" t="s">
        <v>1709</v>
      </c>
      <c r="I1270" s="2" t="s">
        <v>6</v>
      </c>
      <c r="J1270" s="2" t="s">
        <v>1711</v>
      </c>
      <c r="K1270" s="2" t="s">
        <v>1712</v>
      </c>
      <c r="L1270" s="2" t="s">
        <v>1710</v>
      </c>
      <c r="M1270" s="2">
        <v>789</v>
      </c>
      <c r="N1270" s="2" t="s">
        <v>21</v>
      </c>
      <c r="T1270" s="2" t="s">
        <v>16964</v>
      </c>
    </row>
    <row r="1271" spans="1:25" hidden="1">
      <c r="A1271" s="3" t="s">
        <v>3951</v>
      </c>
      <c r="B1271" s="2" t="s">
        <v>1713</v>
      </c>
      <c r="D1271" s="66" t="str">
        <f>VLOOKUP("*"&amp;A1271&amp;"*",[2]Sheet1!$G$2:$X$1155,18,FALSE)</f>
        <v>ERR10549494</v>
      </c>
      <c r="E1271" s="2">
        <v>2008</v>
      </c>
      <c r="F1271" s="2" t="s">
        <v>2692</v>
      </c>
      <c r="G1271" s="2" t="s">
        <v>27</v>
      </c>
      <c r="H1271" s="2" t="s">
        <v>1714</v>
      </c>
      <c r="I1271" s="2" t="s">
        <v>10</v>
      </c>
      <c r="J1271" s="2" t="s">
        <v>1147</v>
      </c>
      <c r="K1271" s="2" t="s">
        <v>1715</v>
      </c>
      <c r="L1271" s="2" t="s">
        <v>1146</v>
      </c>
      <c r="M1271" s="2">
        <v>217</v>
      </c>
      <c r="N1271" s="2" t="s">
        <v>18</v>
      </c>
      <c r="T1271" s="2" t="s">
        <v>16964</v>
      </c>
    </row>
    <row r="1272" spans="1:25" hidden="1">
      <c r="A1272" s="3" t="s">
        <v>3945</v>
      </c>
      <c r="B1272" s="2" t="s">
        <v>1737</v>
      </c>
      <c r="D1272" s="66" t="str">
        <f>VLOOKUP("*"&amp;A1272&amp;"*",[2]Sheet1!$G$2:$X$1155,18,FALSE)</f>
        <v>ERR10549431</v>
      </c>
      <c r="E1272" s="2">
        <v>1994</v>
      </c>
      <c r="F1272" s="2" t="s">
        <v>2692</v>
      </c>
      <c r="G1272" s="2" t="s">
        <v>27</v>
      </c>
      <c r="H1272" s="2" t="s">
        <v>1734</v>
      </c>
      <c r="I1272" s="2" t="s">
        <v>10</v>
      </c>
      <c r="J1272" s="2" t="s">
        <v>1147</v>
      </c>
      <c r="K1272" s="2" t="s">
        <v>1738</v>
      </c>
      <c r="L1272" s="2" t="s">
        <v>1146</v>
      </c>
      <c r="M1272" s="2">
        <v>217</v>
      </c>
      <c r="N1272" s="2" t="s">
        <v>18</v>
      </c>
      <c r="T1272" s="2" t="s">
        <v>16964</v>
      </c>
    </row>
    <row r="1273" spans="1:25" hidden="1">
      <c r="A1273" s="3" t="s">
        <v>3526</v>
      </c>
      <c r="B1273" s="2" t="s">
        <v>1739</v>
      </c>
      <c r="D1273" s="66" t="str">
        <f>VLOOKUP("*"&amp;A1273&amp;"*",[2]Sheet1!$G$2:$X$1155,18,FALSE)</f>
        <v>ERR10549484</v>
      </c>
      <c r="E1273" s="2">
        <v>1994</v>
      </c>
      <c r="F1273" s="2" t="s">
        <v>2692</v>
      </c>
      <c r="G1273" s="2" t="s">
        <v>27</v>
      </c>
      <c r="H1273" s="2" t="s">
        <v>1740</v>
      </c>
      <c r="I1273" s="2" t="s">
        <v>10</v>
      </c>
      <c r="J1273" s="2" t="s">
        <v>17</v>
      </c>
      <c r="K1273" s="2" t="s">
        <v>1480</v>
      </c>
      <c r="L1273" s="2" t="s">
        <v>16</v>
      </c>
      <c r="M1273" s="2">
        <v>2</v>
      </c>
      <c r="N1273" s="2" t="s">
        <v>18</v>
      </c>
      <c r="T1273" s="2" t="s">
        <v>16964</v>
      </c>
    </row>
    <row r="1274" spans="1:25" hidden="1">
      <c r="A1274" s="3" t="s">
        <v>3524</v>
      </c>
      <c r="B1274" s="2" t="s">
        <v>1733</v>
      </c>
      <c r="D1274" s="66" t="str">
        <f>VLOOKUP("*"&amp;A1274&amp;"*",[2]Sheet1!$G$2:$X$1155,18,FALSE)</f>
        <v>ERR10549449</v>
      </c>
      <c r="E1274" s="2">
        <v>1994</v>
      </c>
      <c r="F1274" s="2" t="s">
        <v>2692</v>
      </c>
      <c r="G1274" s="2" t="s">
        <v>27</v>
      </c>
      <c r="H1274" s="2" t="s">
        <v>1734</v>
      </c>
      <c r="I1274" s="2" t="s">
        <v>10</v>
      </c>
      <c r="J1274" s="2" t="s">
        <v>17</v>
      </c>
      <c r="K1274" s="2" t="s">
        <v>1480</v>
      </c>
      <c r="L1274" s="2" t="s">
        <v>16</v>
      </c>
      <c r="M1274" s="2">
        <v>2</v>
      </c>
      <c r="N1274" s="2" t="s">
        <v>18</v>
      </c>
      <c r="T1274" s="2" t="s">
        <v>16964</v>
      </c>
    </row>
    <row r="1275" spans="1:25" hidden="1">
      <c r="A1275" s="3" t="s">
        <v>3527</v>
      </c>
      <c r="B1275" s="2" t="s">
        <v>1735</v>
      </c>
      <c r="D1275" s="66" t="str">
        <f>VLOOKUP("*"&amp;A1275&amp;"*",[2]Sheet1!$G$2:$X$1155,18,FALSE)</f>
        <v>ERR10549473</v>
      </c>
      <c r="E1275" s="2">
        <v>1994</v>
      </c>
      <c r="F1275" s="2" t="s">
        <v>2692</v>
      </c>
      <c r="G1275" s="2" t="s">
        <v>27</v>
      </c>
      <c r="H1275" s="2" t="s">
        <v>1736</v>
      </c>
      <c r="I1275" s="2" t="s">
        <v>10</v>
      </c>
      <c r="J1275" s="2" t="s">
        <v>17</v>
      </c>
      <c r="K1275" s="2" t="s">
        <v>1480</v>
      </c>
      <c r="L1275" s="2" t="s">
        <v>16</v>
      </c>
      <c r="M1275" s="2">
        <v>2</v>
      </c>
      <c r="N1275" s="2" t="s">
        <v>18</v>
      </c>
      <c r="T1275" s="2" t="s">
        <v>16964</v>
      </c>
    </row>
    <row r="1276" spans="1:25" hidden="1">
      <c r="A1276" s="3" t="s">
        <v>3528</v>
      </c>
      <c r="B1276" s="2" t="s">
        <v>1478</v>
      </c>
      <c r="D1276" s="66" t="str">
        <f>VLOOKUP("*"&amp;A1276&amp;"*",[2]Sheet1!$G$2:$X$1155,18,FALSE)</f>
        <v>ERR10549983</v>
      </c>
      <c r="E1276" s="2">
        <v>2014</v>
      </c>
      <c r="F1276" s="2" t="s">
        <v>406</v>
      </c>
      <c r="G1276" s="2" t="s">
        <v>5</v>
      </c>
      <c r="H1276" s="2" t="s">
        <v>1479</v>
      </c>
      <c r="I1276" s="2" t="s">
        <v>10</v>
      </c>
      <c r="J1276" s="2" t="s">
        <v>17</v>
      </c>
      <c r="K1276" s="2" t="s">
        <v>1480</v>
      </c>
      <c r="L1276" s="2" t="s">
        <v>16</v>
      </c>
      <c r="M1276" s="2">
        <v>2</v>
      </c>
      <c r="N1276" s="2" t="s">
        <v>18</v>
      </c>
      <c r="O1276" s="2">
        <f>VLOOKUP(B1276,[1]Sheet1!$B$624:$E$1665,4,FALSE)</f>
        <v>0.8</v>
      </c>
      <c r="P1276" s="2" t="s">
        <v>16963</v>
      </c>
      <c r="T1276" s="2" t="s">
        <v>16963</v>
      </c>
      <c r="Y1276" s="67" t="s">
        <v>2627</v>
      </c>
    </row>
    <row r="1277" spans="1:25" hidden="1">
      <c r="A1277" s="3" t="s">
        <v>3420</v>
      </c>
      <c r="B1277" s="2" t="s">
        <v>1481</v>
      </c>
      <c r="D1277" s="66" t="str">
        <f>VLOOKUP("*"&amp;A1277&amp;"*",[2]Sheet1!$G$2:$X$1155,18,FALSE)</f>
        <v>ERR10549985</v>
      </c>
      <c r="E1277" s="2">
        <v>2014</v>
      </c>
      <c r="F1277" s="2" t="s">
        <v>406</v>
      </c>
      <c r="G1277" s="2" t="s">
        <v>5</v>
      </c>
      <c r="H1277" s="2" t="s">
        <v>1479</v>
      </c>
      <c r="I1277" s="2" t="s">
        <v>10</v>
      </c>
      <c r="J1277" s="2" t="s">
        <v>129</v>
      </c>
      <c r="K1277" s="2" t="s">
        <v>1482</v>
      </c>
      <c r="L1277" s="2" t="s">
        <v>128</v>
      </c>
      <c r="M1277" s="2">
        <v>1</v>
      </c>
      <c r="N1277" s="2" t="s">
        <v>18</v>
      </c>
      <c r="O1277" s="2">
        <f>VLOOKUP(B1277,[1]Sheet1!$B$624:$E$1665,4,FALSE)</f>
        <v>0.2</v>
      </c>
      <c r="P1277" s="2" t="s">
        <v>16964</v>
      </c>
      <c r="T1277" s="2" t="s">
        <v>16964</v>
      </c>
    </row>
    <row r="1278" spans="1:25" hidden="1">
      <c r="A1278" s="3" t="s">
        <v>4408</v>
      </c>
      <c r="B1278" s="2" t="s">
        <v>1483</v>
      </c>
      <c r="D1278" s="66" t="str">
        <f>VLOOKUP("*"&amp;A1278&amp;"*",[2]Sheet1!$G$2:$X$1155,18,FALSE)</f>
        <v>ERR10549999</v>
      </c>
      <c r="E1278" s="2">
        <v>2014</v>
      </c>
      <c r="F1278" s="2" t="s">
        <v>406</v>
      </c>
      <c r="G1278" s="2" t="s">
        <v>5</v>
      </c>
      <c r="H1278" s="2" t="s">
        <v>1479</v>
      </c>
      <c r="I1278" s="2" t="s">
        <v>6</v>
      </c>
      <c r="J1278" s="2" t="s">
        <v>8</v>
      </c>
      <c r="K1278" s="2" t="s">
        <v>1484</v>
      </c>
      <c r="L1278" s="2" t="s">
        <v>7</v>
      </c>
      <c r="M1278" s="2">
        <v>121</v>
      </c>
      <c r="N1278" s="2" t="s">
        <v>9</v>
      </c>
      <c r="O1278" s="2">
        <f>VLOOKUP(B1278,[1]Sheet1!$B$624:$E$1665,4,FALSE)</f>
        <v>0.2</v>
      </c>
      <c r="P1278" s="2" t="s">
        <v>16964</v>
      </c>
      <c r="T1278" s="2" t="s">
        <v>16964</v>
      </c>
    </row>
    <row r="1279" spans="1:25" hidden="1">
      <c r="A1279" s="3" t="s">
        <v>3970</v>
      </c>
      <c r="B1279" s="2" t="s">
        <v>1485</v>
      </c>
      <c r="D1279" s="66" t="str">
        <f>VLOOKUP("*"&amp;A1279&amp;"*",[2]Sheet1!$G$2:$X$1155,18,FALSE)</f>
        <v>ERR10549991</v>
      </c>
      <c r="E1279" s="2">
        <v>2015</v>
      </c>
      <c r="F1279" s="2" t="s">
        <v>406</v>
      </c>
      <c r="G1279" s="2" t="s">
        <v>5</v>
      </c>
      <c r="H1279" s="2" t="s">
        <v>1486</v>
      </c>
      <c r="I1279" s="2" t="s">
        <v>10</v>
      </c>
      <c r="J1279" s="2" t="s">
        <v>59</v>
      </c>
      <c r="K1279" s="2" t="s">
        <v>1487</v>
      </c>
      <c r="L1279" s="2" t="s">
        <v>58</v>
      </c>
      <c r="M1279" s="2">
        <v>6</v>
      </c>
      <c r="N1279" s="2" t="s">
        <v>18</v>
      </c>
      <c r="O1279" s="2">
        <f>VLOOKUP(B1279,[1]Sheet1!$B$624:$E$1665,4,FALSE)</f>
        <v>0.2</v>
      </c>
      <c r="P1279" s="2" t="s">
        <v>16964</v>
      </c>
      <c r="T1279" s="2" t="s">
        <v>16964</v>
      </c>
    </row>
    <row r="1280" spans="1:25" hidden="1">
      <c r="A1280" s="3" t="s">
        <v>3731</v>
      </c>
      <c r="B1280" s="2" t="s">
        <v>1488</v>
      </c>
      <c r="D1280" s="66" t="str">
        <f>VLOOKUP("*"&amp;A1280&amp;"*",[2]Sheet1!$G$2:$X$1155,18,FALSE)</f>
        <v>ERR10549956</v>
      </c>
      <c r="E1280" s="2">
        <v>2016</v>
      </c>
      <c r="F1280" s="2" t="s">
        <v>406</v>
      </c>
      <c r="G1280" s="2" t="s">
        <v>5</v>
      </c>
      <c r="H1280" s="2" t="s">
        <v>1486</v>
      </c>
      <c r="I1280" s="2" t="s">
        <v>6</v>
      </c>
      <c r="J1280" s="2" t="s">
        <v>56</v>
      </c>
      <c r="K1280" s="2" t="s">
        <v>1489</v>
      </c>
      <c r="L1280" s="2" t="s">
        <v>55</v>
      </c>
      <c r="M1280" s="2">
        <v>451</v>
      </c>
      <c r="N1280" s="2" t="s">
        <v>9</v>
      </c>
      <c r="O1280" s="2">
        <f>VLOOKUP(B1280,[1]Sheet1!$B$624:$E$1665,4,FALSE)</f>
        <v>0.2</v>
      </c>
      <c r="P1280" s="2" t="s">
        <v>16964</v>
      </c>
      <c r="T1280" s="2" t="s">
        <v>16964</v>
      </c>
    </row>
    <row r="1281" spans="1:25">
      <c r="A1281" s="3" t="s">
        <v>3150</v>
      </c>
      <c r="B1281" s="2" t="s">
        <v>2617</v>
      </c>
      <c r="D1281" s="1" t="s">
        <v>17278</v>
      </c>
      <c r="E1281" s="2">
        <v>2014</v>
      </c>
      <c r="F1281" s="2" t="s">
        <v>2573</v>
      </c>
      <c r="G1281" s="2" t="s">
        <v>5</v>
      </c>
      <c r="I1281" s="2" t="s">
        <v>6</v>
      </c>
      <c r="J1281" s="2" t="s">
        <v>8</v>
      </c>
      <c r="K1281" s="2" t="s">
        <v>92</v>
      </c>
      <c r="L1281" s="2" t="s">
        <v>7</v>
      </c>
      <c r="M1281" s="2">
        <v>236</v>
      </c>
      <c r="N1281" s="2" t="s">
        <v>9</v>
      </c>
      <c r="T1281" s="2" t="s">
        <v>16963</v>
      </c>
      <c r="X1281" s="67" t="s">
        <v>4722</v>
      </c>
    </row>
    <row r="1282" spans="1:25">
      <c r="A1282" s="3" t="s">
        <v>3238</v>
      </c>
      <c r="B1282" s="2" t="s">
        <v>2616</v>
      </c>
      <c r="D1282" s="1" t="s">
        <v>17279</v>
      </c>
      <c r="E1282" s="2">
        <v>2014</v>
      </c>
      <c r="F1282" s="2" t="s">
        <v>2573</v>
      </c>
      <c r="G1282" s="2" t="s">
        <v>5</v>
      </c>
      <c r="I1282" s="2" t="s">
        <v>6</v>
      </c>
      <c r="J1282" s="2" t="s">
        <v>29</v>
      </c>
      <c r="K1282" s="2" t="s">
        <v>91</v>
      </c>
      <c r="L1282" s="2" t="s">
        <v>28</v>
      </c>
      <c r="M1282" s="2">
        <v>8</v>
      </c>
      <c r="N1282" s="2" t="s">
        <v>9</v>
      </c>
      <c r="T1282" s="2" t="s">
        <v>16964</v>
      </c>
    </row>
    <row r="1283" spans="1:25">
      <c r="A1283" s="3" t="s">
        <v>3245</v>
      </c>
      <c r="B1283" s="2">
        <v>413002151</v>
      </c>
      <c r="D1283" s="1" t="s">
        <v>17264</v>
      </c>
      <c r="E1283" s="2">
        <v>2013</v>
      </c>
      <c r="F1283" s="2" t="s">
        <v>2573</v>
      </c>
      <c r="G1283" s="2" t="s">
        <v>5</v>
      </c>
      <c r="I1283" s="2" t="s">
        <v>6</v>
      </c>
      <c r="J1283" s="2" t="s">
        <v>29</v>
      </c>
      <c r="K1283" s="2" t="s">
        <v>111</v>
      </c>
      <c r="L1283" s="2" t="s">
        <v>28</v>
      </c>
      <c r="M1283" s="2">
        <v>8</v>
      </c>
      <c r="N1283" s="2" t="s">
        <v>9</v>
      </c>
      <c r="T1283" s="2" t="s">
        <v>16964</v>
      </c>
    </row>
    <row r="1284" spans="1:25" hidden="1">
      <c r="A1284" s="3" t="s">
        <v>3829</v>
      </c>
      <c r="B1284" s="2" t="s">
        <v>1493</v>
      </c>
      <c r="D1284" s="66" t="str">
        <f>VLOOKUP("*"&amp;A1284&amp;"*",[2]Sheet1!$G$2:$X$1155,18,FALSE)</f>
        <v>ERR10549842</v>
      </c>
      <c r="E1284" s="2">
        <v>2014</v>
      </c>
      <c r="F1284" s="2" t="s">
        <v>449</v>
      </c>
      <c r="G1284" s="2" t="s">
        <v>43</v>
      </c>
      <c r="H1284" s="2" t="s">
        <v>1491</v>
      </c>
      <c r="I1284" s="2" t="s">
        <v>6</v>
      </c>
      <c r="J1284" s="2" t="s">
        <v>889</v>
      </c>
      <c r="K1284" s="2" t="s">
        <v>1495</v>
      </c>
      <c r="L1284" s="2" t="s">
        <v>888</v>
      </c>
      <c r="M1284" s="2">
        <v>398</v>
      </c>
      <c r="N1284" s="2" t="s">
        <v>9</v>
      </c>
      <c r="T1284" s="2" t="s">
        <v>16963</v>
      </c>
      <c r="Y1284" s="67" t="s">
        <v>2627</v>
      </c>
    </row>
    <row r="1285" spans="1:25" hidden="1">
      <c r="A1285" s="3" t="s">
        <v>3306</v>
      </c>
      <c r="B1285" s="2" t="s">
        <v>1490</v>
      </c>
      <c r="D1285" s="66" t="str">
        <f>VLOOKUP("*"&amp;A1285&amp;"*",[2]Sheet1!$G$2:$X$1155,18,FALSE)</f>
        <v>ERR10549839</v>
      </c>
      <c r="E1285" s="2">
        <v>2014</v>
      </c>
      <c r="F1285" s="2" t="s">
        <v>449</v>
      </c>
      <c r="G1285" s="2" t="s">
        <v>43</v>
      </c>
      <c r="H1285" s="2" t="s">
        <v>1491</v>
      </c>
      <c r="I1285" s="2" t="s">
        <v>6</v>
      </c>
      <c r="J1285" s="2" t="s">
        <v>402</v>
      </c>
      <c r="K1285" s="2" t="s">
        <v>1492</v>
      </c>
      <c r="L1285" s="2" t="s">
        <v>401</v>
      </c>
      <c r="M1285" s="2">
        <v>18</v>
      </c>
      <c r="N1285" s="2" t="s">
        <v>9</v>
      </c>
      <c r="T1285" s="2" t="s">
        <v>16964</v>
      </c>
    </row>
    <row r="1286" spans="1:25" hidden="1">
      <c r="A1286" s="3" t="s">
        <v>2910</v>
      </c>
      <c r="B1286" s="2" t="s">
        <v>1496</v>
      </c>
      <c r="D1286" s="66" t="str">
        <f>VLOOKUP("*"&amp;A1286&amp;"*",[2]Sheet1!$G$2:$X$1155,18,FALSE)</f>
        <v>ERR10549827</v>
      </c>
      <c r="E1286" s="2">
        <v>2014</v>
      </c>
      <c r="F1286" s="2" t="s">
        <v>449</v>
      </c>
      <c r="G1286" s="2" t="s">
        <v>43</v>
      </c>
      <c r="H1286" s="2" t="s">
        <v>1491</v>
      </c>
      <c r="I1286" s="2" t="s">
        <v>6</v>
      </c>
      <c r="J1286" s="2" t="s">
        <v>8</v>
      </c>
      <c r="K1286" s="2" t="s">
        <v>538</v>
      </c>
      <c r="L1286" s="2" t="s">
        <v>7</v>
      </c>
      <c r="M1286" s="2">
        <v>121</v>
      </c>
      <c r="N1286" s="2" t="s">
        <v>9</v>
      </c>
      <c r="T1286" s="2" t="s">
        <v>16963</v>
      </c>
      <c r="X1286" s="67" t="s">
        <v>4722</v>
      </c>
    </row>
    <row r="1287" spans="1:25" hidden="1">
      <c r="A1287" s="3" t="s">
        <v>3988</v>
      </c>
      <c r="B1287" s="2" t="s">
        <v>1497</v>
      </c>
      <c r="D1287" s="66" t="str">
        <f>VLOOKUP("*"&amp;A1287&amp;"*",[2]Sheet1!$G$2:$X$1155,18,FALSE)</f>
        <v>ERR10549837</v>
      </c>
      <c r="E1287" s="2">
        <v>2014</v>
      </c>
      <c r="F1287" s="2" t="s">
        <v>449</v>
      </c>
      <c r="G1287" s="2" t="s">
        <v>43</v>
      </c>
      <c r="H1287" s="2" t="s">
        <v>1491</v>
      </c>
      <c r="I1287" s="2" t="s">
        <v>6</v>
      </c>
      <c r="J1287" s="2" t="s">
        <v>146</v>
      </c>
      <c r="K1287" s="2" t="s">
        <v>495</v>
      </c>
      <c r="L1287" s="2" t="s">
        <v>145</v>
      </c>
      <c r="M1287" s="2">
        <v>20</v>
      </c>
      <c r="N1287" s="2" t="s">
        <v>9</v>
      </c>
      <c r="T1287" s="2" t="s">
        <v>16964</v>
      </c>
    </row>
    <row r="1288" spans="1:25" hidden="1">
      <c r="A1288" s="3" t="s">
        <v>2906</v>
      </c>
      <c r="B1288" s="2" t="s">
        <v>1498</v>
      </c>
      <c r="D1288" s="66" t="str">
        <f>VLOOKUP("*"&amp;A1288&amp;"*",[2]Sheet1!$G$2:$X$1155,18,FALSE)</f>
        <v>ERR10549838</v>
      </c>
      <c r="E1288" s="2">
        <v>2014</v>
      </c>
      <c r="F1288" s="2" t="s">
        <v>449</v>
      </c>
      <c r="G1288" s="2" t="s">
        <v>43</v>
      </c>
      <c r="H1288" s="2" t="s">
        <v>2469</v>
      </c>
      <c r="I1288" s="2" t="s">
        <v>6</v>
      </c>
      <c r="J1288" s="2" t="s">
        <v>8</v>
      </c>
      <c r="K1288" s="2" t="s">
        <v>538</v>
      </c>
      <c r="L1288" s="2" t="s">
        <v>7</v>
      </c>
      <c r="M1288" s="2">
        <v>121</v>
      </c>
      <c r="N1288" s="2" t="s">
        <v>9</v>
      </c>
      <c r="T1288" s="2" t="s">
        <v>16963</v>
      </c>
      <c r="X1288" s="67" t="s">
        <v>4722</v>
      </c>
    </row>
    <row r="1289" spans="1:25" hidden="1">
      <c r="A1289" s="3" t="s">
        <v>3835</v>
      </c>
      <c r="B1289" s="2" t="s">
        <v>1452</v>
      </c>
      <c r="D1289" s="66" t="str">
        <f>VLOOKUP("*"&amp;A1289&amp;"*",[2]Sheet1!$G$2:$X$1155,18,FALSE)</f>
        <v>ERR10549962</v>
      </c>
      <c r="E1289" s="2">
        <v>2012</v>
      </c>
      <c r="F1289" s="2" t="s">
        <v>36</v>
      </c>
      <c r="G1289" s="2" t="s">
        <v>44</v>
      </c>
      <c r="H1289" s="2" t="s">
        <v>1453</v>
      </c>
      <c r="I1289" s="2" t="s">
        <v>6</v>
      </c>
      <c r="J1289" s="2" t="s">
        <v>40</v>
      </c>
      <c r="K1289" s="2" t="s">
        <v>49</v>
      </c>
      <c r="L1289" s="2" t="s">
        <v>39</v>
      </c>
      <c r="M1289" s="2">
        <v>37</v>
      </c>
      <c r="N1289" s="2" t="s">
        <v>9</v>
      </c>
      <c r="T1289" s="2" t="s">
        <v>16964</v>
      </c>
    </row>
    <row r="1290" spans="1:25" hidden="1">
      <c r="A1290" s="3" t="s">
        <v>3874</v>
      </c>
      <c r="B1290" s="2" t="s">
        <v>1094</v>
      </c>
      <c r="D1290" s="66" t="str">
        <f>VLOOKUP("*"&amp;A1290&amp;"*",[2]Sheet1!$G$2:$X$1155,18,FALSE)</f>
        <v>ERR10616668</v>
      </c>
      <c r="E1290" s="2">
        <v>2020</v>
      </c>
      <c r="F1290" s="2" t="s">
        <v>876</v>
      </c>
      <c r="G1290" s="2" t="s">
        <v>5</v>
      </c>
      <c r="H1290" s="2" t="s">
        <v>2496</v>
      </c>
      <c r="I1290" s="2" t="s">
        <v>10</v>
      </c>
      <c r="J1290" s="2" t="s">
        <v>35</v>
      </c>
      <c r="K1290" s="2" t="s">
        <v>968</v>
      </c>
      <c r="L1290" s="2" t="s">
        <v>34</v>
      </c>
      <c r="M1290" s="2">
        <v>5</v>
      </c>
      <c r="N1290" s="2" t="s">
        <v>14</v>
      </c>
      <c r="T1290" s="2" t="s">
        <v>16964</v>
      </c>
    </row>
    <row r="1291" spans="1:25" hidden="1">
      <c r="A1291" s="3" t="s">
        <v>3456</v>
      </c>
      <c r="B1291" s="2" t="s">
        <v>2420</v>
      </c>
      <c r="D1291" s="66" t="s">
        <v>17313</v>
      </c>
      <c r="E1291" s="2">
        <v>2001</v>
      </c>
      <c r="F1291" s="2" t="s">
        <v>36</v>
      </c>
      <c r="G1291" s="2" t="s">
        <v>5</v>
      </c>
      <c r="I1291" s="2" t="s">
        <v>6</v>
      </c>
      <c r="J1291" s="2" t="s">
        <v>29</v>
      </c>
      <c r="K1291" s="2" t="s">
        <v>37</v>
      </c>
      <c r="L1291" s="2" t="s">
        <v>28</v>
      </c>
      <c r="M1291" s="2">
        <v>120</v>
      </c>
      <c r="N1291" s="2" t="s">
        <v>9</v>
      </c>
      <c r="T1291" s="2" t="s">
        <v>16963</v>
      </c>
      <c r="W1291" s="67" t="s">
        <v>2627</v>
      </c>
    </row>
    <row r="1292" spans="1:25" hidden="1">
      <c r="A1292" s="3" t="s">
        <v>3801</v>
      </c>
      <c r="B1292" s="2" t="s">
        <v>2424</v>
      </c>
      <c r="D1292" s="66" t="s">
        <v>17314</v>
      </c>
      <c r="E1292" s="2">
        <v>1997</v>
      </c>
      <c r="F1292" s="2" t="s">
        <v>36</v>
      </c>
      <c r="G1292" s="2" t="s">
        <v>27</v>
      </c>
      <c r="I1292" s="2" t="s">
        <v>6</v>
      </c>
      <c r="J1292" s="2" t="s">
        <v>29</v>
      </c>
      <c r="K1292" s="2" t="s">
        <v>38</v>
      </c>
      <c r="L1292" s="2" t="s">
        <v>28</v>
      </c>
      <c r="M1292" s="2">
        <v>120</v>
      </c>
      <c r="N1292" s="2" t="s">
        <v>9</v>
      </c>
      <c r="T1292" s="2" t="s">
        <v>16963</v>
      </c>
      <c r="W1292" s="67" t="s">
        <v>2627</v>
      </c>
    </row>
    <row r="1293" spans="1:25" hidden="1">
      <c r="A1293" s="3" t="s">
        <v>3935</v>
      </c>
      <c r="B1293" s="2" t="s">
        <v>2425</v>
      </c>
      <c r="D1293" s="66" t="s">
        <v>17315</v>
      </c>
      <c r="E1293" s="2">
        <v>2002</v>
      </c>
      <c r="F1293" s="2" t="s">
        <v>36</v>
      </c>
      <c r="G1293" s="2" t="s">
        <v>27</v>
      </c>
      <c r="I1293" s="2" t="s">
        <v>6</v>
      </c>
      <c r="J1293" s="2" t="s">
        <v>40</v>
      </c>
      <c r="K1293" s="2" t="s">
        <v>41</v>
      </c>
      <c r="L1293" s="2" t="s">
        <v>39</v>
      </c>
      <c r="M1293" s="2">
        <v>37</v>
      </c>
      <c r="N1293" s="2" t="s">
        <v>9</v>
      </c>
      <c r="T1293" s="2" t="s">
        <v>16964</v>
      </c>
    </row>
    <row r="1294" spans="1:25" hidden="1">
      <c r="A1294" s="3" t="s">
        <v>3457</v>
      </c>
      <c r="B1294" s="2" t="s">
        <v>2426</v>
      </c>
      <c r="D1294" s="66" t="s">
        <v>17316</v>
      </c>
      <c r="E1294" s="2">
        <v>2008</v>
      </c>
      <c r="F1294" s="2" t="s">
        <v>36</v>
      </c>
      <c r="G1294" s="2" t="s">
        <v>27</v>
      </c>
      <c r="I1294" s="2" t="s">
        <v>6</v>
      </c>
      <c r="J1294" s="2" t="s">
        <v>29</v>
      </c>
      <c r="K1294" s="2" t="s">
        <v>42</v>
      </c>
      <c r="L1294" s="2" t="s">
        <v>28</v>
      </c>
      <c r="M1294" s="2">
        <v>292</v>
      </c>
      <c r="N1294" s="2" t="s">
        <v>9</v>
      </c>
      <c r="T1294" s="2" t="s">
        <v>16963</v>
      </c>
      <c r="W1294" s="67" t="s">
        <v>2627</v>
      </c>
    </row>
    <row r="1295" spans="1:25" hidden="1">
      <c r="A1295" s="3" t="s">
        <v>3451</v>
      </c>
      <c r="B1295" s="2" t="s">
        <v>2427</v>
      </c>
      <c r="D1295" s="66" t="s">
        <v>17317</v>
      </c>
      <c r="E1295" s="2">
        <v>2008</v>
      </c>
      <c r="F1295" s="2" t="s">
        <v>36</v>
      </c>
      <c r="G1295" s="2" t="s">
        <v>43</v>
      </c>
      <c r="I1295" s="2" t="s">
        <v>6</v>
      </c>
      <c r="J1295" s="2" t="s">
        <v>29</v>
      </c>
      <c r="K1295" s="2" t="s">
        <v>42</v>
      </c>
      <c r="L1295" s="2" t="s">
        <v>28</v>
      </c>
      <c r="M1295" s="2">
        <v>292</v>
      </c>
      <c r="N1295" s="2" t="s">
        <v>9</v>
      </c>
      <c r="T1295" s="2" t="s">
        <v>16963</v>
      </c>
      <c r="W1295" s="67" t="s">
        <v>2627</v>
      </c>
    </row>
    <row r="1296" spans="1:25" hidden="1">
      <c r="A1296" s="3" t="s">
        <v>3542</v>
      </c>
      <c r="B1296" s="28" t="s">
        <v>2428</v>
      </c>
      <c r="D1296" s="66" t="s">
        <v>17342</v>
      </c>
      <c r="E1296" s="2">
        <v>2012</v>
      </c>
      <c r="F1296" s="2" t="s">
        <v>36</v>
      </c>
      <c r="G1296" s="2" t="s">
        <v>44</v>
      </c>
      <c r="I1296" s="2" t="s">
        <v>10</v>
      </c>
      <c r="J1296" s="2" t="s">
        <v>35</v>
      </c>
      <c r="K1296" s="2" t="s">
        <v>45</v>
      </c>
      <c r="L1296" s="2" t="s">
        <v>34</v>
      </c>
      <c r="M1296" s="2">
        <v>5</v>
      </c>
      <c r="N1296" s="2" t="s">
        <v>14</v>
      </c>
      <c r="T1296" s="2" t="s">
        <v>16964</v>
      </c>
    </row>
    <row r="1297" spans="1:21" hidden="1">
      <c r="A1297" s="3" t="s">
        <v>3763</v>
      </c>
      <c r="B1297" s="28" t="s">
        <v>2429</v>
      </c>
      <c r="D1297" s="66" t="s">
        <v>17343</v>
      </c>
      <c r="E1297" s="2">
        <v>2012</v>
      </c>
      <c r="F1297" s="2" t="s">
        <v>36</v>
      </c>
      <c r="G1297" s="2" t="s">
        <v>44</v>
      </c>
      <c r="I1297" s="2" t="s">
        <v>6</v>
      </c>
      <c r="J1297" s="2" t="s">
        <v>47</v>
      </c>
      <c r="K1297" s="2" t="s">
        <v>48</v>
      </c>
      <c r="L1297" s="2" t="s">
        <v>46</v>
      </c>
      <c r="M1297" s="2">
        <v>368</v>
      </c>
      <c r="N1297" s="2" t="s">
        <v>9</v>
      </c>
      <c r="T1297" s="2" t="s">
        <v>16964</v>
      </c>
    </row>
    <row r="1298" spans="1:21" hidden="1">
      <c r="A1298" s="3" t="s">
        <v>3593</v>
      </c>
      <c r="B1298" s="28" t="s">
        <v>2430</v>
      </c>
      <c r="D1298" s="66" t="s">
        <v>17344</v>
      </c>
      <c r="E1298" s="2">
        <v>2012</v>
      </c>
      <c r="F1298" s="2" t="s">
        <v>36</v>
      </c>
      <c r="G1298" s="2" t="s">
        <v>44</v>
      </c>
      <c r="I1298" s="2" t="s">
        <v>6</v>
      </c>
      <c r="J1298" s="2" t="s">
        <v>47</v>
      </c>
      <c r="K1298" s="2" t="s">
        <v>48</v>
      </c>
      <c r="L1298" s="2" t="s">
        <v>46</v>
      </c>
      <c r="M1298" s="2">
        <v>368</v>
      </c>
      <c r="N1298" s="2" t="s">
        <v>9</v>
      </c>
      <c r="T1298" s="2" t="s">
        <v>16964</v>
      </c>
    </row>
    <row r="1299" spans="1:21" hidden="1">
      <c r="A1299" s="3" t="s">
        <v>3934</v>
      </c>
      <c r="B1299" s="2" t="s">
        <v>2431</v>
      </c>
      <c r="D1299" s="66" t="s">
        <v>17321</v>
      </c>
      <c r="E1299" s="2">
        <v>1999</v>
      </c>
      <c r="F1299" s="2" t="s">
        <v>36</v>
      </c>
      <c r="G1299" s="2" t="s">
        <v>43</v>
      </c>
      <c r="I1299" s="2" t="s">
        <v>6</v>
      </c>
      <c r="J1299" s="2" t="s">
        <v>40</v>
      </c>
      <c r="K1299" s="2" t="s">
        <v>49</v>
      </c>
      <c r="L1299" s="2" t="s">
        <v>39</v>
      </c>
      <c r="M1299" s="2">
        <v>37</v>
      </c>
      <c r="N1299" s="2" t="s">
        <v>9</v>
      </c>
      <c r="T1299" s="2" t="s">
        <v>16964</v>
      </c>
    </row>
    <row r="1300" spans="1:21" hidden="1">
      <c r="A1300" s="3" t="s">
        <v>4102</v>
      </c>
      <c r="B1300" s="2" t="s">
        <v>2421</v>
      </c>
      <c r="D1300" s="66" t="s">
        <v>17318</v>
      </c>
      <c r="E1300" s="2">
        <v>2012</v>
      </c>
      <c r="F1300" s="2" t="s">
        <v>36</v>
      </c>
      <c r="G1300" s="2" t="s">
        <v>44</v>
      </c>
      <c r="I1300" s="2" t="s">
        <v>6</v>
      </c>
      <c r="J1300" s="2" t="s">
        <v>50</v>
      </c>
      <c r="K1300" s="2" t="s">
        <v>51</v>
      </c>
      <c r="L1300" s="2" t="s">
        <v>23</v>
      </c>
      <c r="M1300" s="2">
        <v>365</v>
      </c>
      <c r="N1300" s="2" t="s">
        <v>9</v>
      </c>
      <c r="T1300" s="2" t="s">
        <v>16964</v>
      </c>
    </row>
    <row r="1301" spans="1:21" hidden="1">
      <c r="A1301" s="3" t="s">
        <v>3879</v>
      </c>
      <c r="B1301" s="2" t="s">
        <v>2422</v>
      </c>
      <c r="D1301" s="66" t="s">
        <v>17319</v>
      </c>
      <c r="E1301" s="2">
        <v>2012</v>
      </c>
      <c r="F1301" s="2" t="s">
        <v>36</v>
      </c>
      <c r="G1301" s="2" t="s">
        <v>44</v>
      </c>
      <c r="I1301" s="2" t="s">
        <v>6</v>
      </c>
      <c r="J1301" s="2" t="s">
        <v>47</v>
      </c>
      <c r="K1301" s="2" t="s">
        <v>48</v>
      </c>
      <c r="L1301" s="2" t="s">
        <v>46</v>
      </c>
      <c r="M1301" s="2">
        <v>368</v>
      </c>
      <c r="N1301" s="2" t="s">
        <v>9</v>
      </c>
      <c r="T1301" s="2" t="s">
        <v>16964</v>
      </c>
    </row>
    <row r="1302" spans="1:21" hidden="1">
      <c r="A1302" s="3" t="s">
        <v>3170</v>
      </c>
      <c r="B1302" s="2" t="s">
        <v>2423</v>
      </c>
      <c r="D1302" s="66" t="s">
        <v>17320</v>
      </c>
      <c r="E1302" s="2">
        <v>1999</v>
      </c>
      <c r="F1302" s="2" t="s">
        <v>36</v>
      </c>
      <c r="G1302" s="2" t="s">
        <v>5</v>
      </c>
      <c r="I1302" s="2" t="s">
        <v>6</v>
      </c>
      <c r="J1302" s="2" t="s">
        <v>53</v>
      </c>
      <c r="K1302" s="2" t="s">
        <v>54</v>
      </c>
      <c r="L1302" s="2" t="s">
        <v>52</v>
      </c>
      <c r="M1302" s="2">
        <v>321</v>
      </c>
      <c r="N1302" s="2" t="s">
        <v>9</v>
      </c>
      <c r="T1302" s="2" t="s">
        <v>16963</v>
      </c>
      <c r="U1302" s="67" t="s">
        <v>2627</v>
      </c>
    </row>
    <row r="1303" spans="1:21" hidden="1">
      <c r="A1303" s="3" t="s">
        <v>4308</v>
      </c>
      <c r="B1303" s="2">
        <v>568</v>
      </c>
      <c r="D1303" s="66" t="s">
        <v>17189</v>
      </c>
      <c r="E1303" s="2">
        <v>2004</v>
      </c>
      <c r="F1303" s="2" t="s">
        <v>2691</v>
      </c>
      <c r="G1303" s="2" t="s">
        <v>43</v>
      </c>
      <c r="I1303" s="2" t="s">
        <v>6</v>
      </c>
      <c r="J1303" s="2" t="s">
        <v>56</v>
      </c>
      <c r="K1303" s="2" t="s">
        <v>57</v>
      </c>
      <c r="L1303" s="2" t="s">
        <v>55</v>
      </c>
      <c r="M1303" s="2">
        <v>451</v>
      </c>
      <c r="N1303" s="2" t="s">
        <v>9</v>
      </c>
      <c r="T1303" s="2" t="s">
        <v>16964</v>
      </c>
    </row>
    <row r="1304" spans="1:21">
      <c r="A1304" s="3" t="s">
        <v>3080</v>
      </c>
      <c r="B1304" s="2">
        <v>413002239</v>
      </c>
      <c r="D1304" s="1" t="s">
        <v>17265</v>
      </c>
      <c r="E1304" s="2">
        <v>2013</v>
      </c>
      <c r="F1304" s="2" t="s">
        <v>2573</v>
      </c>
      <c r="G1304" s="2" t="s">
        <v>5</v>
      </c>
      <c r="I1304" s="2" t="s">
        <v>6</v>
      </c>
      <c r="J1304" s="2" t="s">
        <v>20</v>
      </c>
      <c r="K1304" s="2" t="s">
        <v>110</v>
      </c>
      <c r="L1304" s="2" t="s">
        <v>19</v>
      </c>
      <c r="M1304" s="2">
        <v>9</v>
      </c>
      <c r="N1304" s="2" t="s">
        <v>21</v>
      </c>
      <c r="T1304" s="2" t="s">
        <v>16964</v>
      </c>
    </row>
    <row r="1305" spans="1:21">
      <c r="A1305" s="3" t="s">
        <v>3609</v>
      </c>
      <c r="B1305" s="2">
        <v>413007484</v>
      </c>
      <c r="D1305" s="1" t="s">
        <v>17266</v>
      </c>
      <c r="E1305" s="2">
        <v>2013</v>
      </c>
      <c r="F1305" s="2" t="s">
        <v>2573</v>
      </c>
      <c r="G1305" s="2" t="s">
        <v>5</v>
      </c>
      <c r="I1305" s="2" t="s">
        <v>6</v>
      </c>
      <c r="J1305" s="2" t="s">
        <v>20</v>
      </c>
      <c r="K1305" s="2" t="s">
        <v>95</v>
      </c>
      <c r="L1305" s="2" t="s">
        <v>19</v>
      </c>
      <c r="M1305" s="2">
        <v>9</v>
      </c>
      <c r="N1305" s="2" t="s">
        <v>21</v>
      </c>
      <c r="T1305" s="2" t="s">
        <v>16964</v>
      </c>
    </row>
    <row r="1306" spans="1:21">
      <c r="A1306" s="3" t="s">
        <v>3494</v>
      </c>
      <c r="B1306" s="2" t="s">
        <v>1501</v>
      </c>
      <c r="D1306" s="66" t="str">
        <f>VLOOKUP("*"&amp;A1306&amp;"*",[2]Sheet1!$G$2:$X$1155,18,FALSE)</f>
        <v>ERR10549976</v>
      </c>
      <c r="E1306" s="2">
        <v>2003</v>
      </c>
      <c r="F1306" s="2" t="s">
        <v>2573</v>
      </c>
      <c r="G1306" s="2" t="s">
        <v>43</v>
      </c>
      <c r="H1306" s="2" t="s">
        <v>1446</v>
      </c>
      <c r="I1306" s="2" t="s">
        <v>6</v>
      </c>
      <c r="J1306" s="2" t="s">
        <v>415</v>
      </c>
      <c r="K1306" s="2" t="s">
        <v>940</v>
      </c>
      <c r="L1306" s="2" t="s">
        <v>414</v>
      </c>
      <c r="M1306" s="2">
        <v>204</v>
      </c>
      <c r="N1306" s="2" t="s">
        <v>9</v>
      </c>
      <c r="T1306" s="2" t="s">
        <v>16964</v>
      </c>
    </row>
    <row r="1307" spans="1:21">
      <c r="A1307" s="3" t="s">
        <v>2817</v>
      </c>
      <c r="B1307" s="2" t="s">
        <v>17369</v>
      </c>
      <c r="D1307" s="66" t="str">
        <f>VLOOKUP("*"&amp;A1307&amp;"*",[2]Sheet1!$G$2:$X$1155,18,FALSE)</f>
        <v>ERR10616644</v>
      </c>
      <c r="E1307" s="2">
        <v>2003</v>
      </c>
      <c r="F1307" s="2" t="s">
        <v>2573</v>
      </c>
      <c r="G1307" s="2" t="s">
        <v>43</v>
      </c>
      <c r="H1307" s="2" t="s">
        <v>1446</v>
      </c>
      <c r="I1307" s="2" t="s">
        <v>6</v>
      </c>
      <c r="J1307" s="2" t="s">
        <v>415</v>
      </c>
      <c r="K1307" s="2" t="s">
        <v>1447</v>
      </c>
      <c r="L1307" s="2" t="s">
        <v>414</v>
      </c>
      <c r="M1307" s="2">
        <v>888</v>
      </c>
      <c r="N1307" s="2" t="s">
        <v>9</v>
      </c>
      <c r="T1307" s="2" t="s">
        <v>16964</v>
      </c>
    </row>
    <row r="1308" spans="1:21">
      <c r="A1308" s="3" t="s">
        <v>2816</v>
      </c>
      <c r="B1308" s="2" t="s">
        <v>1502</v>
      </c>
      <c r="D1308" s="66" t="str">
        <f>VLOOKUP("*"&amp;A1308&amp;"*",[2]Sheet1!$G$2:$X$1155,18,FALSE)</f>
        <v>ERR10549964</v>
      </c>
      <c r="E1308" s="2">
        <v>2003</v>
      </c>
      <c r="F1308" s="2" t="s">
        <v>2573</v>
      </c>
      <c r="G1308" s="2" t="s">
        <v>43</v>
      </c>
      <c r="H1308" s="2" t="s">
        <v>1446</v>
      </c>
      <c r="I1308" s="2" t="s">
        <v>6</v>
      </c>
      <c r="J1308" s="2" t="s">
        <v>415</v>
      </c>
      <c r="K1308" s="2" t="s">
        <v>940</v>
      </c>
      <c r="L1308" s="2" t="s">
        <v>414</v>
      </c>
      <c r="M1308" s="2">
        <v>204</v>
      </c>
      <c r="N1308" s="2" t="s">
        <v>9</v>
      </c>
      <c r="T1308" s="2" t="s">
        <v>16964</v>
      </c>
    </row>
    <row r="1309" spans="1:21" hidden="1">
      <c r="A1309" s="3" t="s">
        <v>4434</v>
      </c>
      <c r="B1309" s="2" t="s">
        <v>2351</v>
      </c>
      <c r="C1309"/>
      <c r="D1309" s="66" t="s">
        <v>17045</v>
      </c>
      <c r="E1309" s="2" t="s">
        <v>118</v>
      </c>
      <c r="F1309" s="2" t="s">
        <v>2360</v>
      </c>
      <c r="G1309" s="2" t="s">
        <v>5</v>
      </c>
      <c r="H1309" s="2" t="s">
        <v>2362</v>
      </c>
      <c r="I1309" s="2" t="s">
        <v>6</v>
      </c>
      <c r="J1309" s="2" t="s">
        <v>115</v>
      </c>
      <c r="K1309" s="2" t="s">
        <v>116</v>
      </c>
      <c r="L1309" s="2" t="s">
        <v>114</v>
      </c>
      <c r="M1309" s="2">
        <v>21</v>
      </c>
      <c r="N1309" s="2" t="s">
        <v>9</v>
      </c>
      <c r="T1309" s="2" t="s">
        <v>16964</v>
      </c>
    </row>
    <row r="1310" spans="1:21" hidden="1">
      <c r="A1310" s="3" t="s">
        <v>3919</v>
      </c>
      <c r="B1310" s="2" t="s">
        <v>2352</v>
      </c>
      <c r="C1310"/>
      <c r="D1310" s="66" t="s">
        <v>17046</v>
      </c>
      <c r="E1310" s="2" t="s">
        <v>118</v>
      </c>
      <c r="F1310" s="2" t="s">
        <v>2360</v>
      </c>
      <c r="G1310" s="2" t="s">
        <v>5</v>
      </c>
      <c r="H1310" s="2" t="s">
        <v>2363</v>
      </c>
      <c r="I1310" s="2" t="s">
        <v>10</v>
      </c>
      <c r="J1310" s="2" t="s">
        <v>12</v>
      </c>
      <c r="K1310" s="2" t="s">
        <v>13</v>
      </c>
      <c r="L1310" s="2" t="s">
        <v>11</v>
      </c>
      <c r="M1310" s="2">
        <v>2733</v>
      </c>
      <c r="N1310" s="2" t="s">
        <v>14</v>
      </c>
      <c r="T1310" s="2" t="s">
        <v>16964</v>
      </c>
    </row>
    <row r="1311" spans="1:21" hidden="1">
      <c r="A1311" s="3" t="s">
        <v>3555</v>
      </c>
      <c r="B1311" s="2" t="s">
        <v>2353</v>
      </c>
      <c r="C1311"/>
      <c r="D1311" s="66" t="s">
        <v>17047</v>
      </c>
      <c r="E1311" s="2" t="s">
        <v>118</v>
      </c>
      <c r="F1311" s="2" t="s">
        <v>2360</v>
      </c>
      <c r="G1311" s="2" t="s">
        <v>5</v>
      </c>
      <c r="H1311" s="2" t="s">
        <v>2364</v>
      </c>
      <c r="I1311" s="2" t="s">
        <v>6</v>
      </c>
      <c r="J1311" s="2" t="s">
        <v>115</v>
      </c>
      <c r="K1311" s="2" t="s">
        <v>116</v>
      </c>
      <c r="L1311" s="2" t="s">
        <v>114</v>
      </c>
      <c r="M1311" s="2">
        <v>21</v>
      </c>
      <c r="N1311" s="2" t="s">
        <v>9</v>
      </c>
      <c r="T1311" s="2" t="s">
        <v>16964</v>
      </c>
    </row>
    <row r="1312" spans="1:21" hidden="1">
      <c r="A1312" s="3" t="s">
        <v>3827</v>
      </c>
      <c r="B1312" s="2" t="s">
        <v>2354</v>
      </c>
      <c r="C1312"/>
      <c r="D1312" s="66" t="s">
        <v>17048</v>
      </c>
      <c r="E1312" s="2" t="s">
        <v>118</v>
      </c>
      <c r="F1312" s="2" t="s">
        <v>2360</v>
      </c>
      <c r="G1312" s="2" t="s">
        <v>5</v>
      </c>
      <c r="H1312" s="2" t="s">
        <v>2365</v>
      </c>
      <c r="I1312" s="2" t="s">
        <v>10</v>
      </c>
      <c r="J1312" s="2" t="s">
        <v>12</v>
      </c>
      <c r="K1312" s="2" t="s">
        <v>13</v>
      </c>
      <c r="L1312" s="2" t="s">
        <v>11</v>
      </c>
      <c r="M1312" s="2">
        <v>2733</v>
      </c>
      <c r="N1312" s="2" t="s">
        <v>14</v>
      </c>
      <c r="T1312" s="2" t="s">
        <v>16964</v>
      </c>
    </row>
    <row r="1313" spans="1:22" hidden="1">
      <c r="A1313" s="3" t="s">
        <v>3678</v>
      </c>
      <c r="B1313" s="2" t="s">
        <v>2355</v>
      </c>
      <c r="C1313"/>
      <c r="D1313" s="66" t="s">
        <v>17049</v>
      </c>
      <c r="E1313" s="2" t="s">
        <v>118</v>
      </c>
      <c r="F1313" s="2" t="s">
        <v>2360</v>
      </c>
      <c r="G1313" s="2" t="s">
        <v>5</v>
      </c>
      <c r="H1313" s="2" t="s">
        <v>2366</v>
      </c>
      <c r="I1313" s="2" t="s">
        <v>10</v>
      </c>
      <c r="J1313" s="2" t="s">
        <v>12</v>
      </c>
      <c r="K1313" s="2" t="s">
        <v>13</v>
      </c>
      <c r="L1313" s="2" t="s">
        <v>11</v>
      </c>
      <c r="M1313" s="2">
        <v>2733</v>
      </c>
      <c r="N1313" s="2" t="s">
        <v>14</v>
      </c>
      <c r="T1313" s="2" t="s">
        <v>16964</v>
      </c>
    </row>
    <row r="1314" spans="1:22" hidden="1">
      <c r="A1314" s="3" t="s">
        <v>3581</v>
      </c>
      <c r="B1314" s="2" t="s">
        <v>2356</v>
      </c>
      <c r="C1314"/>
      <c r="D1314" s="66" t="s">
        <v>17050</v>
      </c>
      <c r="E1314" s="2" t="s">
        <v>118</v>
      </c>
      <c r="F1314" s="2" t="s">
        <v>2360</v>
      </c>
      <c r="G1314" s="2" t="s">
        <v>5</v>
      </c>
      <c r="H1314" s="2" t="s">
        <v>2367</v>
      </c>
      <c r="I1314" s="2" t="s">
        <v>10</v>
      </c>
      <c r="J1314" s="2" t="s">
        <v>12</v>
      </c>
      <c r="K1314" s="2" t="s">
        <v>13</v>
      </c>
      <c r="L1314" s="2" t="s">
        <v>11</v>
      </c>
      <c r="M1314" s="2">
        <v>2733</v>
      </c>
      <c r="N1314" s="2" t="s">
        <v>14</v>
      </c>
      <c r="T1314" s="2" t="s">
        <v>16964</v>
      </c>
    </row>
    <row r="1315" spans="1:22" hidden="1">
      <c r="A1315" s="3" t="s">
        <v>3679</v>
      </c>
      <c r="B1315" s="2" t="s">
        <v>2357</v>
      </c>
      <c r="C1315"/>
      <c r="D1315" s="66" t="s">
        <v>17051</v>
      </c>
      <c r="E1315" s="2" t="s">
        <v>118</v>
      </c>
      <c r="F1315" s="2" t="s">
        <v>2360</v>
      </c>
      <c r="G1315" s="2" t="s">
        <v>5</v>
      </c>
      <c r="H1315" s="2" t="s">
        <v>2368</v>
      </c>
      <c r="I1315" s="2" t="s">
        <v>10</v>
      </c>
      <c r="J1315" s="2" t="s">
        <v>12</v>
      </c>
      <c r="K1315" s="2" t="s">
        <v>13</v>
      </c>
      <c r="L1315" s="2" t="s">
        <v>11</v>
      </c>
      <c r="M1315" s="2">
        <v>2733</v>
      </c>
      <c r="N1315" s="2" t="s">
        <v>14</v>
      </c>
      <c r="T1315" s="2" t="s">
        <v>16964</v>
      </c>
    </row>
    <row r="1316" spans="1:22" hidden="1">
      <c r="A1316" s="3" t="s">
        <v>2956</v>
      </c>
      <c r="B1316" s="2" t="s">
        <v>2358</v>
      </c>
      <c r="C1316"/>
      <c r="D1316" s="66" t="s">
        <v>17052</v>
      </c>
      <c r="E1316" s="2" t="s">
        <v>118</v>
      </c>
      <c r="F1316" s="2" t="s">
        <v>2360</v>
      </c>
      <c r="G1316" s="2" t="s">
        <v>5</v>
      </c>
      <c r="H1316" s="2" t="s">
        <v>2369</v>
      </c>
      <c r="I1316" s="2" t="s">
        <v>6</v>
      </c>
      <c r="J1316" s="2" t="s">
        <v>115</v>
      </c>
      <c r="K1316" s="2" t="s">
        <v>116</v>
      </c>
      <c r="L1316" s="2" t="s">
        <v>114</v>
      </c>
      <c r="M1316" s="2">
        <v>21</v>
      </c>
      <c r="N1316" s="2" t="s">
        <v>9</v>
      </c>
      <c r="T1316" s="2" t="s">
        <v>16963</v>
      </c>
      <c r="V1316" s="67" t="s">
        <v>2627</v>
      </c>
    </row>
    <row r="1317" spans="1:22" hidden="1">
      <c r="A1317" s="3" t="s">
        <v>4223</v>
      </c>
      <c r="B1317" s="2" t="s">
        <v>2359</v>
      </c>
      <c r="C1317"/>
      <c r="D1317" s="66" t="s">
        <v>17053</v>
      </c>
      <c r="E1317" s="2" t="s">
        <v>118</v>
      </c>
      <c r="F1317" s="2" t="s">
        <v>118</v>
      </c>
      <c r="G1317" s="2" t="s">
        <v>5</v>
      </c>
      <c r="H1317" s="2" t="s">
        <v>2370</v>
      </c>
      <c r="I1317" s="2" t="s">
        <v>6</v>
      </c>
      <c r="J1317" s="2" t="s">
        <v>120</v>
      </c>
      <c r="K1317" s="2" t="s">
        <v>121</v>
      </c>
      <c r="L1317" s="2" t="s">
        <v>119</v>
      </c>
      <c r="M1317" s="2">
        <v>155</v>
      </c>
      <c r="N1317" s="2" t="s">
        <v>9</v>
      </c>
      <c r="T1317" s="2" t="s">
        <v>16964</v>
      </c>
    </row>
    <row r="1318" spans="1:22" hidden="1">
      <c r="A1318" s="3" t="s">
        <v>3366</v>
      </c>
      <c r="B1318" s="2" t="s">
        <v>2233</v>
      </c>
      <c r="C1318"/>
      <c r="D1318" s="66" t="s">
        <v>17054</v>
      </c>
      <c r="E1318" s="2" t="s">
        <v>118</v>
      </c>
      <c r="F1318" s="2" t="s">
        <v>118</v>
      </c>
      <c r="G1318" s="2" t="s">
        <v>5</v>
      </c>
      <c r="H1318" s="2" t="s">
        <v>2370</v>
      </c>
      <c r="I1318" s="2" t="s">
        <v>10</v>
      </c>
      <c r="J1318" s="2" t="s">
        <v>123</v>
      </c>
      <c r="K1318" s="2" t="s">
        <v>124</v>
      </c>
      <c r="L1318" s="2" t="s">
        <v>122</v>
      </c>
      <c r="M1318" s="2">
        <v>88</v>
      </c>
      <c r="N1318" s="2" t="s">
        <v>14</v>
      </c>
      <c r="T1318" s="2" t="s">
        <v>16964</v>
      </c>
    </row>
    <row r="1319" spans="1:22" hidden="1">
      <c r="A1319" s="3" t="s">
        <v>3548</v>
      </c>
      <c r="B1319" s="2" t="s">
        <v>2234</v>
      </c>
      <c r="C1319"/>
      <c r="D1319" s="66" t="s">
        <v>17055</v>
      </c>
      <c r="E1319" s="2" t="s">
        <v>118</v>
      </c>
      <c r="F1319" s="2" t="s">
        <v>118</v>
      </c>
      <c r="G1319" s="2" t="s">
        <v>5</v>
      </c>
      <c r="H1319" s="2" t="s">
        <v>2371</v>
      </c>
      <c r="I1319" s="2" t="s">
        <v>10</v>
      </c>
      <c r="J1319" s="2" t="s">
        <v>12</v>
      </c>
      <c r="K1319" s="2" t="s">
        <v>125</v>
      </c>
      <c r="L1319" s="2" t="s">
        <v>11</v>
      </c>
      <c r="M1319" s="2">
        <v>3</v>
      </c>
      <c r="N1319" s="2" t="s">
        <v>14</v>
      </c>
      <c r="T1319" s="2" t="s">
        <v>16964</v>
      </c>
    </row>
    <row r="1320" spans="1:22" hidden="1">
      <c r="A1320" s="3" t="s">
        <v>3281</v>
      </c>
      <c r="B1320" s="2" t="s">
        <v>2235</v>
      </c>
      <c r="C1320"/>
      <c r="D1320" s="66" t="s">
        <v>17056</v>
      </c>
      <c r="E1320" s="2" t="s">
        <v>118</v>
      </c>
      <c r="F1320" s="2" t="s">
        <v>118</v>
      </c>
      <c r="G1320" s="2" t="s">
        <v>5</v>
      </c>
      <c r="H1320" s="2" t="s">
        <v>2372</v>
      </c>
      <c r="I1320" s="2" t="s">
        <v>6</v>
      </c>
      <c r="J1320" s="2" t="s">
        <v>26</v>
      </c>
      <c r="K1320" s="2" t="s">
        <v>126</v>
      </c>
      <c r="L1320" s="2" t="s">
        <v>25</v>
      </c>
      <c r="M1320" s="2">
        <v>38</v>
      </c>
      <c r="N1320" s="2" t="s">
        <v>9</v>
      </c>
      <c r="T1320" s="2" t="s">
        <v>16964</v>
      </c>
    </row>
    <row r="1321" spans="1:22" hidden="1">
      <c r="A1321" s="3" t="s">
        <v>4035</v>
      </c>
      <c r="B1321" s="2" t="s">
        <v>2236</v>
      </c>
      <c r="C1321"/>
      <c r="D1321" s="66" t="s">
        <v>17057</v>
      </c>
      <c r="E1321" s="2" t="s">
        <v>118</v>
      </c>
      <c r="F1321" s="2" t="s">
        <v>118</v>
      </c>
      <c r="G1321" s="2" t="s">
        <v>5</v>
      </c>
      <c r="H1321" s="2" t="s">
        <v>2373</v>
      </c>
      <c r="I1321" s="2" t="s">
        <v>6</v>
      </c>
      <c r="J1321" s="2" t="s">
        <v>102</v>
      </c>
      <c r="K1321" s="2" t="s">
        <v>127</v>
      </c>
      <c r="L1321" s="2" t="s">
        <v>101</v>
      </c>
      <c r="M1321" s="2">
        <v>7</v>
      </c>
      <c r="N1321" s="2" t="s">
        <v>9</v>
      </c>
      <c r="T1321" s="2" t="s">
        <v>16964</v>
      </c>
    </row>
    <row r="1322" spans="1:22" hidden="1">
      <c r="A1322" s="3" t="s">
        <v>3503</v>
      </c>
      <c r="B1322" s="2" t="s">
        <v>2237</v>
      </c>
      <c r="C1322"/>
      <c r="D1322" s="66" t="s">
        <v>17058</v>
      </c>
      <c r="E1322" s="2" t="s">
        <v>118</v>
      </c>
      <c r="F1322" s="2" t="s">
        <v>118</v>
      </c>
      <c r="G1322" s="2" t="s">
        <v>5</v>
      </c>
      <c r="H1322" s="2" t="s">
        <v>2374</v>
      </c>
      <c r="I1322" s="2" t="s">
        <v>10</v>
      </c>
      <c r="J1322" s="2" t="s">
        <v>129</v>
      </c>
      <c r="K1322" s="2" t="s">
        <v>130</v>
      </c>
      <c r="L1322" s="2" t="s">
        <v>128</v>
      </c>
      <c r="M1322" s="2">
        <v>1</v>
      </c>
      <c r="N1322" s="2" t="s">
        <v>18</v>
      </c>
      <c r="T1322" s="2" t="s">
        <v>16964</v>
      </c>
    </row>
    <row r="1323" spans="1:22" hidden="1">
      <c r="A1323" s="3" t="s">
        <v>3811</v>
      </c>
      <c r="B1323" s="2" t="s">
        <v>2238</v>
      </c>
      <c r="C1323"/>
      <c r="D1323" s="66" t="s">
        <v>17059</v>
      </c>
      <c r="E1323" s="2" t="s">
        <v>118</v>
      </c>
      <c r="F1323" s="2" t="s">
        <v>118</v>
      </c>
      <c r="G1323" s="2" t="s">
        <v>5</v>
      </c>
      <c r="H1323" s="2" t="s">
        <v>2375</v>
      </c>
      <c r="I1323" s="2" t="s">
        <v>10</v>
      </c>
      <c r="J1323" s="2" t="s">
        <v>35</v>
      </c>
      <c r="K1323" s="2" t="s">
        <v>131</v>
      </c>
      <c r="L1323" s="2" t="s">
        <v>34</v>
      </c>
      <c r="M1323" s="2">
        <v>5</v>
      </c>
      <c r="N1323" s="2" t="s">
        <v>14</v>
      </c>
      <c r="T1323" s="2" t="s">
        <v>16963</v>
      </c>
      <c r="U1323" s="67" t="s">
        <v>2627</v>
      </c>
    </row>
    <row r="1324" spans="1:22" hidden="1">
      <c r="A1324" s="3" t="s">
        <v>3249</v>
      </c>
      <c r="B1324" s="2" t="s">
        <v>2239</v>
      </c>
      <c r="C1324"/>
      <c r="D1324" s="66" t="s">
        <v>17060</v>
      </c>
      <c r="E1324" s="2" t="s">
        <v>118</v>
      </c>
      <c r="F1324" s="2" t="s">
        <v>118</v>
      </c>
      <c r="G1324" s="2" t="s">
        <v>5</v>
      </c>
      <c r="H1324" s="2" t="s">
        <v>2376</v>
      </c>
      <c r="I1324" s="2" t="s">
        <v>6</v>
      </c>
      <c r="J1324" s="2" t="s">
        <v>29</v>
      </c>
      <c r="K1324" s="2" t="s">
        <v>132</v>
      </c>
      <c r="L1324" s="2" t="s">
        <v>28</v>
      </c>
      <c r="M1324" s="2">
        <v>8</v>
      </c>
      <c r="N1324" s="2" t="s">
        <v>9</v>
      </c>
      <c r="T1324" s="2" t="s">
        <v>16964</v>
      </c>
    </row>
    <row r="1325" spans="1:22" hidden="1">
      <c r="A1325" s="3" t="s">
        <v>3865</v>
      </c>
      <c r="B1325" s="2" t="s">
        <v>2240</v>
      </c>
      <c r="C1325"/>
      <c r="D1325" s="66" t="s">
        <v>17061</v>
      </c>
      <c r="E1325" s="2" t="s">
        <v>118</v>
      </c>
      <c r="F1325" s="2" t="s">
        <v>118</v>
      </c>
      <c r="G1325" s="2" t="s">
        <v>5</v>
      </c>
      <c r="H1325" s="2" t="s">
        <v>2377</v>
      </c>
      <c r="I1325" s="2" t="s">
        <v>6</v>
      </c>
      <c r="J1325" s="2" t="s">
        <v>102</v>
      </c>
      <c r="K1325" s="2" t="s">
        <v>133</v>
      </c>
      <c r="L1325" s="2" t="s">
        <v>101</v>
      </c>
      <c r="M1325" s="2">
        <v>2441</v>
      </c>
      <c r="N1325" s="2" t="s">
        <v>9</v>
      </c>
      <c r="T1325" s="2" t="s">
        <v>16964</v>
      </c>
    </row>
    <row r="1326" spans="1:22" hidden="1">
      <c r="A1326" s="3" t="s">
        <v>4025</v>
      </c>
      <c r="B1326" s="2" t="s">
        <v>2241</v>
      </c>
      <c r="C1326"/>
      <c r="D1326" s="66" t="s">
        <v>17062</v>
      </c>
      <c r="E1326" s="2" t="s">
        <v>118</v>
      </c>
      <c r="F1326" s="2" t="s">
        <v>118</v>
      </c>
      <c r="G1326" s="2" t="s">
        <v>5</v>
      </c>
      <c r="H1326" s="2" t="s">
        <v>2378</v>
      </c>
      <c r="I1326" s="2" t="s">
        <v>6</v>
      </c>
      <c r="J1326" s="2" t="s">
        <v>102</v>
      </c>
      <c r="K1326" s="2" t="s">
        <v>134</v>
      </c>
      <c r="L1326" s="2" t="s">
        <v>101</v>
      </c>
      <c r="M1326" s="2">
        <v>691</v>
      </c>
      <c r="N1326" s="2" t="s">
        <v>9</v>
      </c>
      <c r="T1326" s="2" t="s">
        <v>16963</v>
      </c>
      <c r="V1326" s="67" t="s">
        <v>2627</v>
      </c>
    </row>
    <row r="1327" spans="1:22" hidden="1">
      <c r="A1327" s="3" t="s">
        <v>3434</v>
      </c>
      <c r="B1327" s="2" t="s">
        <v>2242</v>
      </c>
      <c r="C1327"/>
      <c r="D1327" s="66" t="s">
        <v>17063</v>
      </c>
      <c r="E1327" s="2" t="s">
        <v>118</v>
      </c>
      <c r="F1327" s="2" t="s">
        <v>118</v>
      </c>
      <c r="G1327" s="2" t="s">
        <v>5</v>
      </c>
      <c r="H1327" s="2" t="s">
        <v>2379</v>
      </c>
      <c r="I1327" s="2" t="s">
        <v>6</v>
      </c>
      <c r="J1327" s="2" t="s">
        <v>20</v>
      </c>
      <c r="K1327" s="2" t="s">
        <v>135</v>
      </c>
      <c r="L1327" s="2" t="s">
        <v>19</v>
      </c>
      <c r="M1327" s="2">
        <v>9</v>
      </c>
      <c r="N1327" s="2" t="s">
        <v>21</v>
      </c>
      <c r="T1327" s="2" t="s">
        <v>16963</v>
      </c>
      <c r="V1327" s="67" t="s">
        <v>2627</v>
      </c>
    </row>
    <row r="1328" spans="1:22" hidden="1">
      <c r="A1328" s="3" t="s">
        <v>4281</v>
      </c>
      <c r="B1328" s="2" t="s">
        <v>2243</v>
      </c>
      <c r="C1328"/>
      <c r="D1328" s="66" t="s">
        <v>17064</v>
      </c>
      <c r="E1328" s="2" t="s">
        <v>118</v>
      </c>
      <c r="F1328" s="2" t="s">
        <v>118</v>
      </c>
      <c r="G1328" s="2" t="s">
        <v>5</v>
      </c>
      <c r="H1328" s="2" t="s">
        <v>2380</v>
      </c>
      <c r="I1328" s="2" t="s">
        <v>10</v>
      </c>
      <c r="J1328" s="2" t="s">
        <v>129</v>
      </c>
      <c r="K1328" s="2" t="s">
        <v>136</v>
      </c>
      <c r="L1328" s="2" t="s">
        <v>128</v>
      </c>
      <c r="M1328" s="2">
        <v>1</v>
      </c>
      <c r="N1328" s="2" t="s">
        <v>18</v>
      </c>
      <c r="T1328" s="2" t="s">
        <v>16964</v>
      </c>
    </row>
    <row r="1329" spans="1:25" hidden="1">
      <c r="A1329" s="3" t="s">
        <v>4103</v>
      </c>
      <c r="B1329" s="2" t="s">
        <v>2244</v>
      </c>
      <c r="C1329"/>
      <c r="D1329" s="66" t="s">
        <v>17065</v>
      </c>
      <c r="E1329" s="2" t="s">
        <v>118</v>
      </c>
      <c r="F1329" s="2" t="s">
        <v>2361</v>
      </c>
      <c r="G1329" s="2" t="s">
        <v>5</v>
      </c>
      <c r="H1329" s="2" t="s">
        <v>2381</v>
      </c>
      <c r="I1329" s="2" t="s">
        <v>6</v>
      </c>
      <c r="J1329" s="2" t="s">
        <v>120</v>
      </c>
      <c r="K1329" s="2" t="s">
        <v>121</v>
      </c>
      <c r="L1329" s="2" t="s">
        <v>119</v>
      </c>
      <c r="M1329" s="2">
        <v>155</v>
      </c>
      <c r="N1329" s="2" t="s">
        <v>9</v>
      </c>
      <c r="T1329" s="2" t="s">
        <v>16964</v>
      </c>
    </row>
    <row r="1330" spans="1:25" hidden="1">
      <c r="A1330" s="3" t="s">
        <v>3545</v>
      </c>
      <c r="B1330" s="2" t="s">
        <v>2245</v>
      </c>
      <c r="C1330"/>
      <c r="D1330" s="66" t="s">
        <v>17066</v>
      </c>
      <c r="E1330" s="2" t="s">
        <v>118</v>
      </c>
      <c r="F1330" s="2" t="s">
        <v>118</v>
      </c>
      <c r="G1330" s="2" t="s">
        <v>5</v>
      </c>
      <c r="H1330" s="2" t="s">
        <v>2370</v>
      </c>
      <c r="I1330" s="2" t="s">
        <v>10</v>
      </c>
      <c r="J1330" s="2" t="s">
        <v>12</v>
      </c>
      <c r="K1330" s="2" t="s">
        <v>125</v>
      </c>
      <c r="L1330" s="2" t="s">
        <v>11</v>
      </c>
      <c r="M1330" s="2">
        <v>3</v>
      </c>
      <c r="N1330" s="2" t="s">
        <v>14</v>
      </c>
      <c r="T1330" s="2" t="s">
        <v>16964</v>
      </c>
    </row>
    <row r="1331" spans="1:25" hidden="1">
      <c r="A1331" s="3" t="s">
        <v>4270</v>
      </c>
      <c r="B1331" s="2" t="s">
        <v>2246</v>
      </c>
      <c r="C1331"/>
      <c r="D1331" s="66" t="s">
        <v>17067</v>
      </c>
      <c r="E1331" s="2" t="s">
        <v>118</v>
      </c>
      <c r="F1331" s="2" t="s">
        <v>118</v>
      </c>
      <c r="G1331" s="2" t="s">
        <v>5</v>
      </c>
      <c r="H1331" s="2" t="s">
        <v>2382</v>
      </c>
      <c r="I1331" s="2" t="s">
        <v>10</v>
      </c>
      <c r="J1331" s="2" t="s">
        <v>129</v>
      </c>
      <c r="K1331" s="2" t="s">
        <v>137</v>
      </c>
      <c r="L1331" s="2" t="s">
        <v>128</v>
      </c>
      <c r="M1331" s="2">
        <v>1</v>
      </c>
      <c r="N1331" s="2" t="s">
        <v>18</v>
      </c>
      <c r="T1331" s="2" t="s">
        <v>16964</v>
      </c>
    </row>
    <row r="1332" spans="1:25" hidden="1">
      <c r="A1332" s="3" t="s">
        <v>3549</v>
      </c>
      <c r="B1332" s="2" t="s">
        <v>2247</v>
      </c>
      <c r="C1332"/>
      <c r="D1332" s="66" t="s">
        <v>17068</v>
      </c>
      <c r="E1332" s="2" t="s">
        <v>118</v>
      </c>
      <c r="F1332" s="2" t="s">
        <v>118</v>
      </c>
      <c r="G1332" s="2" t="s">
        <v>5</v>
      </c>
      <c r="H1332" s="2" t="s">
        <v>2370</v>
      </c>
      <c r="I1332" s="2" t="s">
        <v>10</v>
      </c>
      <c r="J1332" s="2" t="s">
        <v>12</v>
      </c>
      <c r="K1332" s="2" t="s">
        <v>125</v>
      </c>
      <c r="L1332" s="2" t="s">
        <v>11</v>
      </c>
      <c r="M1332" s="2">
        <v>3</v>
      </c>
      <c r="N1332" s="2" t="s">
        <v>14</v>
      </c>
      <c r="T1332" s="2" t="s">
        <v>16964</v>
      </c>
    </row>
    <row r="1333" spans="1:25" hidden="1">
      <c r="A1333" s="3" t="s">
        <v>3892</v>
      </c>
      <c r="B1333" s="2" t="s">
        <v>2248</v>
      </c>
      <c r="C1333"/>
      <c r="D1333" s="66" t="s">
        <v>17069</v>
      </c>
      <c r="E1333" s="2" t="s">
        <v>118</v>
      </c>
      <c r="F1333" s="2" t="s">
        <v>118</v>
      </c>
      <c r="G1333" s="2" t="s">
        <v>5</v>
      </c>
      <c r="H1333" s="2" t="s">
        <v>2370</v>
      </c>
      <c r="I1333" s="2" t="s">
        <v>10</v>
      </c>
      <c r="J1333" s="2" t="s">
        <v>129</v>
      </c>
      <c r="K1333" s="2" t="s">
        <v>138</v>
      </c>
      <c r="L1333" s="2" t="s">
        <v>128</v>
      </c>
      <c r="M1333" s="2">
        <v>328</v>
      </c>
      <c r="N1333" s="2" t="s">
        <v>18</v>
      </c>
      <c r="T1333" s="2" t="s">
        <v>16963</v>
      </c>
      <c r="Y1333" s="67" t="s">
        <v>2627</v>
      </c>
    </row>
    <row r="1334" spans="1:25" hidden="1">
      <c r="A1334" s="3" t="s">
        <v>3077</v>
      </c>
      <c r="B1334" s="2" t="s">
        <v>2249</v>
      </c>
      <c r="C1334"/>
      <c r="D1334" s="66" t="s">
        <v>17070</v>
      </c>
      <c r="E1334" s="2" t="s">
        <v>118</v>
      </c>
      <c r="F1334" s="2" t="s">
        <v>139</v>
      </c>
      <c r="G1334" s="2" t="s">
        <v>5</v>
      </c>
      <c r="H1334" s="2" t="s">
        <v>2383</v>
      </c>
      <c r="I1334" s="2" t="s">
        <v>6</v>
      </c>
      <c r="J1334" s="2" t="s">
        <v>26</v>
      </c>
      <c r="K1334" s="2" t="s">
        <v>126</v>
      </c>
      <c r="L1334" s="2" t="s">
        <v>25</v>
      </c>
      <c r="M1334" s="2">
        <v>38</v>
      </c>
      <c r="N1334" s="2" t="s">
        <v>9</v>
      </c>
      <c r="T1334" s="2" t="s">
        <v>16964</v>
      </c>
    </row>
    <row r="1335" spans="1:25" hidden="1">
      <c r="A1335" s="3" t="s">
        <v>3082</v>
      </c>
      <c r="B1335" s="2" t="s">
        <v>2250</v>
      </c>
      <c r="C1335"/>
      <c r="D1335" s="66" t="s">
        <v>17071</v>
      </c>
      <c r="E1335" s="2" t="s">
        <v>118</v>
      </c>
      <c r="F1335" s="2" t="s">
        <v>139</v>
      </c>
      <c r="G1335" s="2" t="s">
        <v>5</v>
      </c>
      <c r="H1335" s="2" t="s">
        <v>2383</v>
      </c>
      <c r="I1335" s="2" t="s">
        <v>6</v>
      </c>
      <c r="J1335" s="2" t="s">
        <v>26</v>
      </c>
      <c r="K1335" s="2" t="s">
        <v>126</v>
      </c>
      <c r="L1335" s="2" t="s">
        <v>25</v>
      </c>
      <c r="M1335" s="2">
        <v>38</v>
      </c>
      <c r="N1335" s="2" t="s">
        <v>9</v>
      </c>
      <c r="T1335" s="2" t="s">
        <v>16964</v>
      </c>
    </row>
    <row r="1336" spans="1:25" hidden="1">
      <c r="A1336" s="3" t="s">
        <v>2992</v>
      </c>
      <c r="B1336" s="2" t="s">
        <v>2251</v>
      </c>
      <c r="C1336"/>
      <c r="D1336" s="66" t="s">
        <v>17072</v>
      </c>
      <c r="E1336" s="2" t="s">
        <v>118</v>
      </c>
      <c r="F1336" s="2" t="s">
        <v>139</v>
      </c>
      <c r="G1336" s="2" t="s">
        <v>5</v>
      </c>
      <c r="H1336" s="2" t="s">
        <v>2383</v>
      </c>
      <c r="I1336" s="2" t="s">
        <v>6</v>
      </c>
      <c r="J1336" s="2" t="s">
        <v>26</v>
      </c>
      <c r="K1336" s="2" t="s">
        <v>126</v>
      </c>
      <c r="L1336" s="2" t="s">
        <v>25</v>
      </c>
      <c r="M1336" s="2">
        <v>38</v>
      </c>
      <c r="N1336" s="2" t="s">
        <v>9</v>
      </c>
      <c r="T1336" s="2" t="s">
        <v>16964</v>
      </c>
    </row>
    <row r="1337" spans="1:25" hidden="1">
      <c r="A1337" s="3" t="s">
        <v>3075</v>
      </c>
      <c r="B1337" s="2" t="s">
        <v>2252</v>
      </c>
      <c r="C1337"/>
      <c r="D1337" s="66" t="s">
        <v>17073</v>
      </c>
      <c r="E1337" s="2" t="s">
        <v>118</v>
      </c>
      <c r="F1337" s="2" t="s">
        <v>139</v>
      </c>
      <c r="G1337" s="2" t="s">
        <v>5</v>
      </c>
      <c r="H1337" s="2" t="s">
        <v>2383</v>
      </c>
      <c r="I1337" s="2" t="s">
        <v>6</v>
      </c>
      <c r="J1337" s="2" t="s">
        <v>26</v>
      </c>
      <c r="K1337" s="2" t="s">
        <v>126</v>
      </c>
      <c r="L1337" s="2" t="s">
        <v>25</v>
      </c>
      <c r="M1337" s="2">
        <v>38</v>
      </c>
      <c r="N1337" s="2" t="s">
        <v>9</v>
      </c>
      <c r="T1337" s="2" t="s">
        <v>16964</v>
      </c>
    </row>
    <row r="1338" spans="1:25" hidden="1">
      <c r="A1338" s="3" t="s">
        <v>3552</v>
      </c>
      <c r="B1338" s="2" t="s">
        <v>2253</v>
      </c>
      <c r="C1338"/>
      <c r="D1338" s="66" t="s">
        <v>17074</v>
      </c>
      <c r="E1338" s="2" t="s">
        <v>118</v>
      </c>
      <c r="F1338" s="2" t="s">
        <v>118</v>
      </c>
      <c r="G1338" s="2" t="s">
        <v>5</v>
      </c>
      <c r="H1338" s="2" t="s">
        <v>2370</v>
      </c>
      <c r="I1338" s="2" t="s">
        <v>10</v>
      </c>
      <c r="J1338" s="2" t="s">
        <v>12</v>
      </c>
      <c r="K1338" s="2" t="s">
        <v>125</v>
      </c>
      <c r="L1338" s="2" t="s">
        <v>11</v>
      </c>
      <c r="M1338" s="2">
        <v>3</v>
      </c>
      <c r="N1338" s="2" t="s">
        <v>14</v>
      </c>
      <c r="T1338" s="2" t="s">
        <v>16964</v>
      </c>
    </row>
    <row r="1339" spans="1:25" hidden="1">
      <c r="A1339" s="3" t="s">
        <v>3547</v>
      </c>
      <c r="B1339" s="2" t="s">
        <v>2254</v>
      </c>
      <c r="C1339"/>
      <c r="D1339" s="66" t="s">
        <v>17075</v>
      </c>
      <c r="E1339" s="2" t="s">
        <v>118</v>
      </c>
      <c r="F1339" s="2" t="s">
        <v>118</v>
      </c>
      <c r="G1339" s="2" t="s">
        <v>5</v>
      </c>
      <c r="H1339" s="2" t="s">
        <v>2370</v>
      </c>
      <c r="I1339" s="2" t="s">
        <v>10</v>
      </c>
      <c r="J1339" s="2" t="s">
        <v>12</v>
      </c>
      <c r="K1339" s="2" t="s">
        <v>15</v>
      </c>
      <c r="L1339" s="2" t="s">
        <v>11</v>
      </c>
      <c r="M1339" s="2">
        <v>2734</v>
      </c>
      <c r="N1339" s="2" t="s">
        <v>14</v>
      </c>
      <c r="T1339" s="2" t="s">
        <v>16964</v>
      </c>
    </row>
    <row r="1340" spans="1:25" hidden="1">
      <c r="A1340" s="3" t="s">
        <v>4023</v>
      </c>
      <c r="B1340" s="2" t="s">
        <v>2255</v>
      </c>
      <c r="C1340"/>
      <c r="D1340" s="66" t="s">
        <v>17076</v>
      </c>
      <c r="E1340" s="2" t="s">
        <v>118</v>
      </c>
      <c r="F1340" s="2" t="s">
        <v>118</v>
      </c>
      <c r="G1340" s="2" t="s">
        <v>5</v>
      </c>
      <c r="H1340" s="2" t="s">
        <v>2370</v>
      </c>
      <c r="I1340" s="2" t="s">
        <v>6</v>
      </c>
      <c r="J1340" s="2" t="s">
        <v>102</v>
      </c>
      <c r="K1340" s="2" t="s">
        <v>140</v>
      </c>
      <c r="L1340" s="2" t="s">
        <v>101</v>
      </c>
      <c r="M1340" s="2">
        <v>12</v>
      </c>
      <c r="N1340" s="2" t="s">
        <v>9</v>
      </c>
      <c r="T1340" s="2" t="s">
        <v>16964</v>
      </c>
    </row>
    <row r="1341" spans="1:25" hidden="1">
      <c r="A1341" s="3" t="s">
        <v>4022</v>
      </c>
      <c r="B1341" s="2" t="s">
        <v>2256</v>
      </c>
      <c r="C1341"/>
      <c r="D1341" s="66" t="s">
        <v>17077</v>
      </c>
      <c r="E1341" s="2" t="s">
        <v>118</v>
      </c>
      <c r="F1341" s="2" t="s">
        <v>118</v>
      </c>
      <c r="G1341" s="2" t="s">
        <v>5</v>
      </c>
      <c r="H1341" s="2" t="s">
        <v>2370</v>
      </c>
      <c r="I1341" s="2" t="s">
        <v>6</v>
      </c>
      <c r="J1341" s="2" t="s">
        <v>102</v>
      </c>
      <c r="K1341" s="2" t="s">
        <v>140</v>
      </c>
      <c r="L1341" s="2" t="s">
        <v>101</v>
      </c>
      <c r="M1341" s="2">
        <v>12</v>
      </c>
      <c r="N1341" s="2" t="s">
        <v>9</v>
      </c>
      <c r="T1341" s="2" t="s">
        <v>16964</v>
      </c>
    </row>
    <row r="1342" spans="1:25" hidden="1">
      <c r="A1342" s="3" t="s">
        <v>3519</v>
      </c>
      <c r="B1342" s="2" t="s">
        <v>2257</v>
      </c>
      <c r="C1342"/>
      <c r="D1342" s="66" t="s">
        <v>17078</v>
      </c>
      <c r="E1342" s="2" t="s">
        <v>118</v>
      </c>
      <c r="F1342" s="2" t="s">
        <v>118</v>
      </c>
      <c r="G1342" s="2" t="s">
        <v>5</v>
      </c>
      <c r="H1342" s="2" t="s">
        <v>2370</v>
      </c>
      <c r="I1342" s="2" t="s">
        <v>6</v>
      </c>
      <c r="J1342" s="2" t="s">
        <v>20</v>
      </c>
      <c r="K1342" s="2" t="s">
        <v>141</v>
      </c>
      <c r="L1342" s="2" t="s">
        <v>19</v>
      </c>
      <c r="M1342" s="2">
        <v>9</v>
      </c>
      <c r="N1342" s="2" t="s">
        <v>21</v>
      </c>
      <c r="T1342" s="2" t="s">
        <v>16964</v>
      </c>
    </row>
    <row r="1343" spans="1:25" hidden="1">
      <c r="A1343" s="3" t="s">
        <v>3553</v>
      </c>
      <c r="B1343" s="2" t="s">
        <v>2258</v>
      </c>
      <c r="C1343"/>
      <c r="D1343" s="66" t="s">
        <v>17079</v>
      </c>
      <c r="E1343" s="2" t="s">
        <v>118</v>
      </c>
      <c r="F1343" s="2" t="s">
        <v>118</v>
      </c>
      <c r="G1343" s="2" t="s">
        <v>5</v>
      </c>
      <c r="H1343" s="2" t="s">
        <v>2370</v>
      </c>
      <c r="I1343" s="2" t="s">
        <v>10</v>
      </c>
      <c r="J1343" s="2" t="s">
        <v>12</v>
      </c>
      <c r="K1343" s="2" t="s">
        <v>125</v>
      </c>
      <c r="L1343" s="2" t="s">
        <v>11</v>
      </c>
      <c r="M1343" s="2">
        <v>3</v>
      </c>
      <c r="N1343" s="2" t="s">
        <v>14</v>
      </c>
      <c r="T1343" s="2" t="s">
        <v>16964</v>
      </c>
    </row>
    <row r="1344" spans="1:25" hidden="1">
      <c r="A1344" s="3" t="s">
        <v>3546</v>
      </c>
      <c r="B1344" s="2" t="s">
        <v>2259</v>
      </c>
      <c r="C1344"/>
      <c r="D1344" s="66" t="s">
        <v>17080</v>
      </c>
      <c r="E1344" s="2" t="s">
        <v>118</v>
      </c>
      <c r="F1344" s="2" t="s">
        <v>118</v>
      </c>
      <c r="G1344" s="2" t="s">
        <v>5</v>
      </c>
      <c r="H1344" s="2" t="s">
        <v>2370</v>
      </c>
      <c r="I1344" s="2" t="s">
        <v>10</v>
      </c>
      <c r="J1344" s="2" t="s">
        <v>12</v>
      </c>
      <c r="K1344" s="2" t="s">
        <v>125</v>
      </c>
      <c r="L1344" s="2" t="s">
        <v>11</v>
      </c>
      <c r="M1344" s="2">
        <v>3</v>
      </c>
      <c r="N1344" s="2" t="s">
        <v>14</v>
      </c>
      <c r="T1344" s="2" t="s">
        <v>16964</v>
      </c>
    </row>
    <row r="1345" spans="1:24" hidden="1">
      <c r="A1345" s="3" t="s">
        <v>3550</v>
      </c>
      <c r="B1345" s="2" t="s">
        <v>2260</v>
      </c>
      <c r="C1345"/>
      <c r="D1345" s="66" t="s">
        <v>17081</v>
      </c>
      <c r="E1345" s="2" t="s">
        <v>118</v>
      </c>
      <c r="F1345" s="2" t="s">
        <v>118</v>
      </c>
      <c r="G1345" s="2" t="s">
        <v>5</v>
      </c>
      <c r="H1345" s="2" t="s">
        <v>2370</v>
      </c>
      <c r="I1345" s="2" t="s">
        <v>10</v>
      </c>
      <c r="J1345" s="2" t="s">
        <v>12</v>
      </c>
      <c r="K1345" s="2" t="s">
        <v>125</v>
      </c>
      <c r="L1345" s="2" t="s">
        <v>11</v>
      </c>
      <c r="M1345" s="2">
        <v>3</v>
      </c>
      <c r="N1345" s="2" t="s">
        <v>14</v>
      </c>
      <c r="T1345" s="2" t="s">
        <v>16964</v>
      </c>
    </row>
    <row r="1346" spans="1:24" hidden="1">
      <c r="A1346" s="3" t="s">
        <v>3303</v>
      </c>
      <c r="B1346" s="2" t="s">
        <v>2261</v>
      </c>
      <c r="C1346"/>
      <c r="D1346" s="66" t="s">
        <v>17082</v>
      </c>
      <c r="E1346" s="2" t="s">
        <v>118</v>
      </c>
      <c r="F1346" s="2" t="s">
        <v>118</v>
      </c>
      <c r="G1346" s="2" t="s">
        <v>5</v>
      </c>
      <c r="H1346" s="2" t="s">
        <v>2370</v>
      </c>
      <c r="I1346" s="2" t="s">
        <v>6</v>
      </c>
      <c r="J1346" s="2" t="s">
        <v>142</v>
      </c>
      <c r="K1346" s="2" t="s">
        <v>143</v>
      </c>
      <c r="L1346" s="2" t="s">
        <v>55</v>
      </c>
      <c r="M1346" s="2">
        <v>400</v>
      </c>
      <c r="N1346" s="2" t="s">
        <v>9</v>
      </c>
      <c r="T1346" s="2" t="s">
        <v>16964</v>
      </c>
    </row>
    <row r="1347" spans="1:24" hidden="1">
      <c r="A1347" s="3" t="s">
        <v>3140</v>
      </c>
      <c r="B1347" s="2" t="s">
        <v>2262</v>
      </c>
      <c r="C1347"/>
      <c r="D1347" s="66" t="s">
        <v>17083</v>
      </c>
      <c r="E1347" s="2" t="s">
        <v>118</v>
      </c>
      <c r="F1347" s="2" t="s">
        <v>118</v>
      </c>
      <c r="G1347" s="2" t="s">
        <v>5</v>
      </c>
      <c r="H1347" s="2" t="s">
        <v>2370</v>
      </c>
      <c r="I1347" s="2" t="s">
        <v>6</v>
      </c>
      <c r="J1347" s="2" t="s">
        <v>29</v>
      </c>
      <c r="K1347" s="2" t="s">
        <v>144</v>
      </c>
      <c r="L1347" s="2" t="s">
        <v>28</v>
      </c>
      <c r="M1347" s="2">
        <v>8</v>
      </c>
      <c r="N1347" s="2" t="s">
        <v>9</v>
      </c>
      <c r="T1347" s="2" t="s">
        <v>16964</v>
      </c>
    </row>
    <row r="1348" spans="1:24" hidden="1">
      <c r="A1348" s="3" t="s">
        <v>3475</v>
      </c>
      <c r="B1348" s="2" t="s">
        <v>2263</v>
      </c>
      <c r="C1348"/>
      <c r="D1348" s="66" t="s">
        <v>17084</v>
      </c>
      <c r="E1348" s="2" t="s">
        <v>118</v>
      </c>
      <c r="F1348" s="2" t="s">
        <v>118</v>
      </c>
      <c r="G1348" s="2" t="s">
        <v>5</v>
      </c>
      <c r="H1348" s="2" t="s">
        <v>2370</v>
      </c>
      <c r="I1348" s="2" t="s">
        <v>6</v>
      </c>
      <c r="J1348" s="2" t="s">
        <v>146</v>
      </c>
      <c r="K1348" s="2" t="s">
        <v>147</v>
      </c>
      <c r="L1348" s="2" t="s">
        <v>145</v>
      </c>
      <c r="M1348" s="2">
        <v>759</v>
      </c>
      <c r="N1348" s="2" t="s">
        <v>9</v>
      </c>
      <c r="T1348" s="2" t="s">
        <v>16964</v>
      </c>
    </row>
    <row r="1349" spans="1:24" hidden="1">
      <c r="A1349" s="3" t="s">
        <v>3429</v>
      </c>
      <c r="B1349" s="2" t="s">
        <v>2264</v>
      </c>
      <c r="C1349"/>
      <c r="D1349" s="66" t="s">
        <v>17085</v>
      </c>
      <c r="E1349" s="2" t="s">
        <v>118</v>
      </c>
      <c r="F1349" s="2" t="s">
        <v>118</v>
      </c>
      <c r="G1349" s="2" t="s">
        <v>5</v>
      </c>
      <c r="H1349" s="2" t="s">
        <v>2370</v>
      </c>
      <c r="I1349" s="2" t="s">
        <v>10</v>
      </c>
      <c r="J1349" s="2" t="s">
        <v>123</v>
      </c>
      <c r="K1349" s="2" t="s">
        <v>148</v>
      </c>
      <c r="L1349" s="2" t="s">
        <v>122</v>
      </c>
      <c r="M1349" s="2">
        <v>88</v>
      </c>
      <c r="N1349" s="2" t="s">
        <v>14</v>
      </c>
      <c r="T1349" s="2" t="s">
        <v>16964</v>
      </c>
    </row>
    <row r="1350" spans="1:24" hidden="1">
      <c r="A1350" s="3" t="s">
        <v>3364</v>
      </c>
      <c r="B1350" s="2" t="s">
        <v>2265</v>
      </c>
      <c r="C1350"/>
      <c r="D1350" s="66" t="s">
        <v>17086</v>
      </c>
      <c r="E1350" s="2" t="s">
        <v>118</v>
      </c>
      <c r="F1350" s="2" t="s">
        <v>118</v>
      </c>
      <c r="G1350" s="2" t="s">
        <v>5</v>
      </c>
      <c r="H1350" s="2" t="s">
        <v>2370</v>
      </c>
      <c r="I1350" s="2" t="s">
        <v>10</v>
      </c>
      <c r="J1350" s="2" t="s">
        <v>123</v>
      </c>
      <c r="K1350" s="2" t="s">
        <v>124</v>
      </c>
      <c r="L1350" s="2" t="s">
        <v>122</v>
      </c>
      <c r="M1350" s="2">
        <v>88</v>
      </c>
      <c r="N1350" s="2" t="s">
        <v>14</v>
      </c>
      <c r="T1350" s="2" t="s">
        <v>16964</v>
      </c>
    </row>
    <row r="1351" spans="1:24" hidden="1">
      <c r="A1351" s="3" t="s">
        <v>3430</v>
      </c>
      <c r="B1351" s="2" t="s">
        <v>2266</v>
      </c>
      <c r="C1351"/>
      <c r="D1351" s="66" t="s">
        <v>17087</v>
      </c>
      <c r="E1351" s="2" t="s">
        <v>118</v>
      </c>
      <c r="F1351" s="2" t="s">
        <v>118</v>
      </c>
      <c r="G1351" s="2" t="s">
        <v>5</v>
      </c>
      <c r="H1351" s="2" t="s">
        <v>2370</v>
      </c>
      <c r="I1351" s="2" t="s">
        <v>10</v>
      </c>
      <c r="J1351" s="2" t="s">
        <v>123</v>
      </c>
      <c r="K1351" s="2" t="s">
        <v>148</v>
      </c>
      <c r="L1351" s="2" t="s">
        <v>122</v>
      </c>
      <c r="M1351" s="2">
        <v>88</v>
      </c>
      <c r="N1351" s="2" t="s">
        <v>14</v>
      </c>
      <c r="T1351" s="2" t="s">
        <v>16964</v>
      </c>
    </row>
    <row r="1352" spans="1:24" hidden="1">
      <c r="A1352" s="3" t="s">
        <v>3433</v>
      </c>
      <c r="B1352" s="2" t="s">
        <v>2267</v>
      </c>
      <c r="C1352"/>
      <c r="D1352" s="66" t="s">
        <v>17088</v>
      </c>
      <c r="E1352" s="2" t="s">
        <v>118</v>
      </c>
      <c r="F1352" s="2" t="s">
        <v>118</v>
      </c>
      <c r="G1352" s="2" t="s">
        <v>5</v>
      </c>
      <c r="H1352" s="2" t="s">
        <v>2370</v>
      </c>
      <c r="I1352" s="2" t="s">
        <v>10</v>
      </c>
      <c r="J1352" s="2" t="s">
        <v>123</v>
      </c>
      <c r="K1352" s="2" t="s">
        <v>148</v>
      </c>
      <c r="L1352" s="2" t="s">
        <v>122</v>
      </c>
      <c r="M1352" s="2">
        <v>88</v>
      </c>
      <c r="N1352" s="2" t="s">
        <v>14</v>
      </c>
      <c r="T1352" s="2" t="s">
        <v>16964</v>
      </c>
    </row>
    <row r="1353" spans="1:24" hidden="1">
      <c r="A1353" s="3" t="s">
        <v>3432</v>
      </c>
      <c r="B1353" s="2" t="s">
        <v>2268</v>
      </c>
      <c r="C1353"/>
      <c r="D1353" s="66" t="s">
        <v>17089</v>
      </c>
      <c r="E1353" s="2" t="s">
        <v>118</v>
      </c>
      <c r="F1353" s="2" t="s">
        <v>118</v>
      </c>
      <c r="G1353" s="2" t="s">
        <v>5</v>
      </c>
      <c r="H1353" s="2" t="s">
        <v>2370</v>
      </c>
      <c r="I1353" s="2" t="s">
        <v>10</v>
      </c>
      <c r="J1353" s="2" t="s">
        <v>123</v>
      </c>
      <c r="K1353" s="2" t="s">
        <v>148</v>
      </c>
      <c r="L1353" s="2" t="s">
        <v>122</v>
      </c>
      <c r="M1353" s="2">
        <v>88</v>
      </c>
      <c r="N1353" s="2" t="s">
        <v>14</v>
      </c>
      <c r="T1353" s="2" t="s">
        <v>16964</v>
      </c>
    </row>
    <row r="1354" spans="1:24" hidden="1">
      <c r="A1354" s="3" t="s">
        <v>3431</v>
      </c>
      <c r="B1354" s="2" t="s">
        <v>2269</v>
      </c>
      <c r="C1354"/>
      <c r="D1354" s="66" t="s">
        <v>17090</v>
      </c>
      <c r="E1354" s="2" t="s">
        <v>118</v>
      </c>
      <c r="F1354" s="2" t="s">
        <v>118</v>
      </c>
      <c r="G1354" s="2" t="s">
        <v>5</v>
      </c>
      <c r="H1354" s="2" t="s">
        <v>2370</v>
      </c>
      <c r="I1354" s="2" t="s">
        <v>10</v>
      </c>
      <c r="J1354" s="2" t="s">
        <v>123</v>
      </c>
      <c r="K1354" s="2" t="s">
        <v>148</v>
      </c>
      <c r="L1354" s="2" t="s">
        <v>122</v>
      </c>
      <c r="M1354" s="2">
        <v>88</v>
      </c>
      <c r="N1354" s="2" t="s">
        <v>14</v>
      </c>
      <c r="T1354" s="2" t="s">
        <v>16964</v>
      </c>
    </row>
    <row r="1355" spans="1:24" hidden="1">
      <c r="A1355" s="3" t="s">
        <v>3365</v>
      </c>
      <c r="B1355" s="2" t="s">
        <v>2270</v>
      </c>
      <c r="C1355"/>
      <c r="D1355" s="66" t="s">
        <v>17091</v>
      </c>
      <c r="E1355" s="2" t="s">
        <v>118</v>
      </c>
      <c r="F1355" s="2" t="s">
        <v>118</v>
      </c>
      <c r="G1355" s="2" t="s">
        <v>5</v>
      </c>
      <c r="H1355" s="2" t="s">
        <v>2370</v>
      </c>
      <c r="I1355" s="2" t="s">
        <v>10</v>
      </c>
      <c r="J1355" s="2" t="s">
        <v>123</v>
      </c>
      <c r="K1355" s="2" t="s">
        <v>124</v>
      </c>
      <c r="L1355" s="2" t="s">
        <v>122</v>
      </c>
      <c r="M1355" s="2">
        <v>88</v>
      </c>
      <c r="N1355" s="2" t="s">
        <v>14</v>
      </c>
      <c r="T1355" s="2" t="s">
        <v>16964</v>
      </c>
    </row>
    <row r="1356" spans="1:24" hidden="1">
      <c r="A1356" s="3" t="s">
        <v>3164</v>
      </c>
      <c r="B1356" s="2" t="s">
        <v>2232</v>
      </c>
      <c r="C1356"/>
      <c r="D1356" s="66" t="s">
        <v>17092</v>
      </c>
      <c r="E1356" s="2" t="s">
        <v>118</v>
      </c>
      <c r="F1356" s="2" t="s">
        <v>118</v>
      </c>
      <c r="G1356" s="2" t="s">
        <v>5</v>
      </c>
      <c r="H1356" s="2" t="s">
        <v>2384</v>
      </c>
      <c r="I1356" s="2" t="s">
        <v>6</v>
      </c>
      <c r="J1356" s="2" t="s">
        <v>150</v>
      </c>
      <c r="K1356" s="2" t="s">
        <v>151</v>
      </c>
      <c r="L1356" s="2" t="s">
        <v>149</v>
      </c>
      <c r="M1356" s="2">
        <v>403</v>
      </c>
      <c r="N1356" s="2" t="s">
        <v>9</v>
      </c>
      <c r="T1356" s="2" t="s">
        <v>16964</v>
      </c>
    </row>
    <row r="1357" spans="1:24" hidden="1">
      <c r="A1357" s="3" t="s">
        <v>3551</v>
      </c>
      <c r="B1357" s="2" t="s">
        <v>2271</v>
      </c>
      <c r="C1357"/>
      <c r="D1357" s="66" t="s">
        <v>17093</v>
      </c>
      <c r="E1357" s="2" t="s">
        <v>118</v>
      </c>
      <c r="F1357" s="2" t="s">
        <v>118</v>
      </c>
      <c r="G1357" s="2" t="s">
        <v>5</v>
      </c>
      <c r="H1357" s="2" t="s">
        <v>2385</v>
      </c>
      <c r="I1357" s="2" t="s">
        <v>10</v>
      </c>
      <c r="J1357" s="2" t="s">
        <v>12</v>
      </c>
      <c r="K1357" s="2" t="s">
        <v>125</v>
      </c>
      <c r="L1357" s="2" t="s">
        <v>11</v>
      </c>
      <c r="M1357" s="2">
        <v>3</v>
      </c>
      <c r="N1357" s="2" t="s">
        <v>14</v>
      </c>
      <c r="T1357" s="2" t="s">
        <v>16964</v>
      </c>
    </row>
    <row r="1358" spans="1:24">
      <c r="A1358" s="3" t="s">
        <v>3615</v>
      </c>
      <c r="B1358" s="2" t="s">
        <v>2210</v>
      </c>
      <c r="D1358" s="66" t="s">
        <v>2676</v>
      </c>
      <c r="E1358" s="2">
        <v>2003</v>
      </c>
      <c r="F1358" s="2" t="s">
        <v>2573</v>
      </c>
      <c r="G1358" s="2" t="s">
        <v>2295</v>
      </c>
      <c r="H1358" s="2" t="s">
        <v>1446</v>
      </c>
      <c r="I1358" s="2" t="s">
        <v>6</v>
      </c>
      <c r="J1358" s="2" t="s">
        <v>102</v>
      </c>
      <c r="K1358" s="2" t="s">
        <v>1410</v>
      </c>
      <c r="L1358" s="2" t="s">
        <v>101</v>
      </c>
      <c r="M1358" s="2">
        <v>7</v>
      </c>
      <c r="N1358" s="2" t="s">
        <v>9</v>
      </c>
      <c r="T1358" s="2" t="s">
        <v>16964</v>
      </c>
    </row>
    <row r="1359" spans="1:24">
      <c r="A1359" s="3" t="s">
        <v>3556</v>
      </c>
      <c r="B1359" s="2" t="s">
        <v>2211</v>
      </c>
      <c r="D1359" s="66" t="s">
        <v>2677</v>
      </c>
      <c r="E1359" s="2">
        <v>2003</v>
      </c>
      <c r="F1359" s="2" t="s">
        <v>2573</v>
      </c>
      <c r="G1359" s="2" t="s">
        <v>2295</v>
      </c>
      <c r="H1359" s="2" t="s">
        <v>1446</v>
      </c>
      <c r="I1359" s="2" t="s">
        <v>6</v>
      </c>
      <c r="J1359" s="2" t="s">
        <v>8</v>
      </c>
      <c r="K1359" s="2" t="s">
        <v>94</v>
      </c>
      <c r="L1359" s="2" t="s">
        <v>7</v>
      </c>
      <c r="M1359" s="2">
        <v>121</v>
      </c>
      <c r="N1359" s="2" t="s">
        <v>9</v>
      </c>
      <c r="T1359" s="2" t="s">
        <v>16963</v>
      </c>
      <c r="X1359" s="67" t="s">
        <v>4722</v>
      </c>
    </row>
    <row r="1360" spans="1:24">
      <c r="A1360" s="3" t="s">
        <v>4175</v>
      </c>
      <c r="B1360" s="2" t="s">
        <v>2218</v>
      </c>
      <c r="D1360" s="66" t="s">
        <v>2683</v>
      </c>
      <c r="E1360" s="2">
        <v>2003</v>
      </c>
      <c r="F1360" s="2" t="s">
        <v>2573</v>
      </c>
      <c r="G1360" s="2" t="s">
        <v>2295</v>
      </c>
      <c r="H1360" s="2" t="s">
        <v>1446</v>
      </c>
      <c r="I1360" s="2" t="s">
        <v>6</v>
      </c>
      <c r="J1360" s="2" t="s">
        <v>102</v>
      </c>
      <c r="K1360" s="2" t="s">
        <v>4668</v>
      </c>
      <c r="L1360" s="2" t="s">
        <v>101</v>
      </c>
      <c r="M1360" s="2">
        <v>7</v>
      </c>
      <c r="N1360" s="2" t="s">
        <v>9</v>
      </c>
      <c r="T1360" s="2" t="s">
        <v>16964</v>
      </c>
    </row>
    <row r="1361" spans="1:24">
      <c r="A1361" s="3" t="s">
        <v>4161</v>
      </c>
      <c r="B1361" s="2" t="s">
        <v>2219</v>
      </c>
      <c r="D1361" s="66" t="s">
        <v>2685</v>
      </c>
      <c r="E1361" s="2">
        <v>2003</v>
      </c>
      <c r="F1361" s="2" t="s">
        <v>2573</v>
      </c>
      <c r="G1361" s="2" t="s">
        <v>2295</v>
      </c>
      <c r="H1361" s="2" t="s">
        <v>1446</v>
      </c>
      <c r="I1361" s="2" t="s">
        <v>6</v>
      </c>
      <c r="J1361" s="2" t="s">
        <v>102</v>
      </c>
      <c r="K1361" s="2" t="s">
        <v>4668</v>
      </c>
      <c r="L1361" s="2" t="s">
        <v>101</v>
      </c>
      <c r="M1361" s="2">
        <v>7</v>
      </c>
      <c r="N1361" s="2" t="s">
        <v>9</v>
      </c>
      <c r="T1361" s="2" t="s">
        <v>16964</v>
      </c>
    </row>
    <row r="1362" spans="1:24">
      <c r="A1362" s="3" t="s">
        <v>4409</v>
      </c>
      <c r="B1362" s="2" t="s">
        <v>2216</v>
      </c>
      <c r="D1362" s="66" t="s">
        <v>2682</v>
      </c>
      <c r="E1362" s="2">
        <v>2002</v>
      </c>
      <c r="F1362" s="2" t="s">
        <v>2573</v>
      </c>
      <c r="G1362" s="2" t="s">
        <v>2295</v>
      </c>
      <c r="H1362" s="2" t="s">
        <v>1446</v>
      </c>
      <c r="I1362" s="2" t="s">
        <v>6</v>
      </c>
      <c r="J1362" s="2" t="s">
        <v>8</v>
      </c>
      <c r="K1362" s="2" t="s">
        <v>596</v>
      </c>
      <c r="L1362" s="2" t="s">
        <v>7</v>
      </c>
      <c r="M1362" s="2">
        <v>121</v>
      </c>
      <c r="N1362" s="2" t="s">
        <v>9</v>
      </c>
      <c r="T1362" s="2" t="s">
        <v>16963</v>
      </c>
      <c r="X1362" s="67" t="s">
        <v>4722</v>
      </c>
    </row>
    <row r="1363" spans="1:24">
      <c r="A1363" s="3" t="s">
        <v>3459</v>
      </c>
      <c r="B1363" s="2" t="s">
        <v>2217</v>
      </c>
      <c r="D1363" s="66" t="s">
        <v>2589</v>
      </c>
      <c r="E1363" s="2">
        <v>2002</v>
      </c>
      <c r="F1363" s="2" t="s">
        <v>2573</v>
      </c>
      <c r="G1363" s="2" t="s">
        <v>2295</v>
      </c>
      <c r="H1363" s="2" t="s">
        <v>1446</v>
      </c>
      <c r="I1363" s="2" t="s">
        <v>6</v>
      </c>
      <c r="J1363" s="2" t="s">
        <v>88</v>
      </c>
      <c r="K1363" s="2" t="s">
        <v>4735</v>
      </c>
      <c r="L1363" s="2" t="s">
        <v>87</v>
      </c>
      <c r="M1363" s="2">
        <v>31</v>
      </c>
      <c r="N1363" s="2" t="s">
        <v>9</v>
      </c>
      <c r="T1363" s="2" t="s">
        <v>16964</v>
      </c>
    </row>
    <row r="1364" spans="1:24">
      <c r="A1364" s="3" t="s">
        <v>3677</v>
      </c>
      <c r="B1364" s="2" t="s">
        <v>4</v>
      </c>
      <c r="D1364" s="66" t="s">
        <v>2684</v>
      </c>
      <c r="E1364" s="2">
        <v>2002</v>
      </c>
      <c r="F1364" s="2" t="s">
        <v>2573</v>
      </c>
      <c r="G1364" s="2" t="s">
        <v>2295</v>
      </c>
      <c r="H1364" s="2" t="s">
        <v>1446</v>
      </c>
      <c r="I1364" s="2" t="s">
        <v>6</v>
      </c>
      <c r="J1364" s="2" t="s">
        <v>8</v>
      </c>
      <c r="K1364" s="2" t="s">
        <v>4727</v>
      </c>
      <c r="L1364" s="2" t="s">
        <v>7</v>
      </c>
      <c r="M1364" s="2">
        <v>121</v>
      </c>
      <c r="N1364" s="2" t="s">
        <v>9</v>
      </c>
      <c r="T1364" s="2" t="s">
        <v>16963</v>
      </c>
      <c r="X1364" s="67" t="s">
        <v>4722</v>
      </c>
    </row>
    <row r="1365" spans="1:24">
      <c r="A1365" s="3" t="s">
        <v>3461</v>
      </c>
      <c r="B1365" s="2">
        <v>4239</v>
      </c>
      <c r="D1365" s="66" t="s">
        <v>2668</v>
      </c>
      <c r="E1365" s="2">
        <v>1998</v>
      </c>
      <c r="F1365" s="2" t="s">
        <v>2573</v>
      </c>
      <c r="G1365" s="2" t="s">
        <v>27</v>
      </c>
      <c r="H1365" s="2" t="s">
        <v>2302</v>
      </c>
      <c r="I1365" s="2" t="s">
        <v>6</v>
      </c>
      <c r="J1365" s="2" t="s">
        <v>29</v>
      </c>
      <c r="K1365" s="2" t="s">
        <v>1393</v>
      </c>
      <c r="L1365" s="2" t="s">
        <v>28</v>
      </c>
      <c r="M1365" s="2">
        <v>8</v>
      </c>
      <c r="N1365" s="2" t="s">
        <v>9</v>
      </c>
      <c r="T1365" s="2" t="s">
        <v>16964</v>
      </c>
    </row>
    <row r="1366" spans="1:24">
      <c r="A1366" s="3" t="s">
        <v>3011</v>
      </c>
      <c r="B1366" s="2">
        <v>4446</v>
      </c>
      <c r="D1366" s="66" t="s">
        <v>2588</v>
      </c>
      <c r="E1366" s="2">
        <v>1998</v>
      </c>
      <c r="F1366" s="2" t="s">
        <v>2573</v>
      </c>
      <c r="G1366" s="2" t="s">
        <v>27</v>
      </c>
      <c r="H1366" s="2" t="s">
        <v>2303</v>
      </c>
      <c r="I1366" s="2" t="s">
        <v>10</v>
      </c>
      <c r="J1366" s="2" t="s">
        <v>12</v>
      </c>
      <c r="K1366" s="2" t="s">
        <v>4730</v>
      </c>
      <c r="L1366" s="2" t="s">
        <v>11</v>
      </c>
      <c r="M1366" s="2">
        <v>3</v>
      </c>
      <c r="N1366" s="2" t="s">
        <v>14</v>
      </c>
      <c r="T1366" s="2" t="s">
        <v>16964</v>
      </c>
    </row>
    <row r="1367" spans="1:24">
      <c r="A1367" s="3" t="s">
        <v>3476</v>
      </c>
      <c r="B1367" s="2">
        <v>4459</v>
      </c>
      <c r="D1367" s="66" t="s">
        <v>2669</v>
      </c>
      <c r="E1367" s="2">
        <v>1998</v>
      </c>
      <c r="F1367" s="2" t="s">
        <v>2573</v>
      </c>
      <c r="G1367" s="2" t="s">
        <v>27</v>
      </c>
      <c r="H1367" s="2" t="s">
        <v>2304</v>
      </c>
      <c r="I1367" s="2" t="s">
        <v>6</v>
      </c>
      <c r="J1367" s="2" t="s">
        <v>29</v>
      </c>
      <c r="K1367" s="2" t="s">
        <v>66</v>
      </c>
      <c r="L1367" s="2" t="s">
        <v>28</v>
      </c>
      <c r="M1367" s="2">
        <v>8</v>
      </c>
      <c r="N1367" s="2" t="s">
        <v>9</v>
      </c>
      <c r="T1367" s="2" t="s">
        <v>16964</v>
      </c>
    </row>
    <row r="1368" spans="1:24">
      <c r="A1368" s="3" t="s">
        <v>2842</v>
      </c>
      <c r="B1368" s="2">
        <v>4549</v>
      </c>
      <c r="D1368" s="66" t="s">
        <v>2670</v>
      </c>
      <c r="E1368" s="2">
        <v>1998</v>
      </c>
      <c r="F1368" s="2" t="s">
        <v>2573</v>
      </c>
      <c r="G1368" s="2" t="s">
        <v>27</v>
      </c>
      <c r="H1368" s="2" t="s">
        <v>2305</v>
      </c>
      <c r="I1368" s="2" t="s">
        <v>6</v>
      </c>
      <c r="J1368" s="2" t="s">
        <v>24</v>
      </c>
      <c r="K1368" s="2" t="s">
        <v>4728</v>
      </c>
      <c r="L1368" s="2" t="s">
        <v>23</v>
      </c>
      <c r="M1368" s="2">
        <v>14</v>
      </c>
      <c r="N1368" s="2" t="s">
        <v>9</v>
      </c>
      <c r="T1368" s="2" t="s">
        <v>16964</v>
      </c>
    </row>
    <row r="1369" spans="1:24">
      <c r="A1369" s="3" t="s">
        <v>3967</v>
      </c>
      <c r="B1369" s="2">
        <v>4666</v>
      </c>
      <c r="D1369" s="66" t="s">
        <v>2671</v>
      </c>
      <c r="E1369" s="2">
        <v>1998</v>
      </c>
      <c r="F1369" s="2" t="s">
        <v>2573</v>
      </c>
      <c r="G1369" s="2" t="s">
        <v>27</v>
      </c>
      <c r="H1369" s="2" t="s">
        <v>2306</v>
      </c>
      <c r="I1369" s="2" t="s">
        <v>10</v>
      </c>
      <c r="J1369" s="2" t="s">
        <v>129</v>
      </c>
      <c r="K1369" s="2" t="s">
        <v>4729</v>
      </c>
      <c r="L1369" s="2" t="s">
        <v>128</v>
      </c>
      <c r="M1369" s="2">
        <v>1</v>
      </c>
      <c r="N1369" s="2" t="s">
        <v>18</v>
      </c>
      <c r="T1369" s="2" t="s">
        <v>16964</v>
      </c>
    </row>
    <row r="1370" spans="1:24">
      <c r="A1370" s="3" t="s">
        <v>3741</v>
      </c>
      <c r="B1370" s="2">
        <v>6895</v>
      </c>
      <c r="D1370" s="66" t="s">
        <v>2672</v>
      </c>
      <c r="E1370" s="2">
        <v>1998</v>
      </c>
      <c r="F1370" s="2" t="s">
        <v>2573</v>
      </c>
      <c r="G1370" s="2" t="s">
        <v>5</v>
      </c>
      <c r="H1370" s="2" t="s">
        <v>2307</v>
      </c>
      <c r="I1370" s="2" t="s">
        <v>6</v>
      </c>
      <c r="J1370" s="2" t="s">
        <v>102</v>
      </c>
      <c r="K1370" s="2" t="s">
        <v>4731</v>
      </c>
      <c r="L1370" s="2" t="s">
        <v>101</v>
      </c>
      <c r="M1370" s="2">
        <v>7</v>
      </c>
      <c r="N1370" s="2" t="s">
        <v>9</v>
      </c>
      <c r="T1370" s="2" t="s">
        <v>16964</v>
      </c>
    </row>
    <row r="1371" spans="1:24">
      <c r="A1371" s="3" t="s">
        <v>2839</v>
      </c>
      <c r="B1371" s="2">
        <v>7282</v>
      </c>
      <c r="D1371" s="66" t="s">
        <v>2673</v>
      </c>
      <c r="E1371" s="2">
        <v>1998</v>
      </c>
      <c r="F1371" s="2" t="s">
        <v>2573</v>
      </c>
      <c r="G1371" s="2" t="s">
        <v>5</v>
      </c>
      <c r="H1371" s="2" t="s">
        <v>2308</v>
      </c>
      <c r="I1371" s="2" t="s">
        <v>6</v>
      </c>
      <c r="J1371" s="2" t="s">
        <v>24</v>
      </c>
      <c r="K1371" s="2" t="s">
        <v>4732</v>
      </c>
      <c r="L1371" s="2" t="s">
        <v>23</v>
      </c>
      <c r="M1371" s="2">
        <v>14</v>
      </c>
      <c r="N1371" s="2" t="s">
        <v>9</v>
      </c>
      <c r="T1371" s="2" t="s">
        <v>16964</v>
      </c>
    </row>
    <row r="1372" spans="1:24">
      <c r="A1372" s="3" t="s">
        <v>3973</v>
      </c>
      <c r="B1372" s="2">
        <v>7291</v>
      </c>
      <c r="D1372" s="66" t="s">
        <v>2674</v>
      </c>
      <c r="E1372" s="2">
        <v>1998</v>
      </c>
      <c r="F1372" s="2" t="s">
        <v>2573</v>
      </c>
      <c r="G1372" s="2" t="s">
        <v>5</v>
      </c>
      <c r="H1372" s="2" t="s">
        <v>2309</v>
      </c>
      <c r="I1372" s="2" t="s">
        <v>10</v>
      </c>
      <c r="J1372" s="2" t="s">
        <v>59</v>
      </c>
      <c r="K1372" s="2" t="s">
        <v>4733</v>
      </c>
      <c r="L1372" s="2" t="s">
        <v>58</v>
      </c>
      <c r="M1372" s="2">
        <v>6</v>
      </c>
      <c r="N1372" s="2" t="s">
        <v>18</v>
      </c>
      <c r="T1372" s="2" t="s">
        <v>16964</v>
      </c>
    </row>
    <row r="1373" spans="1:24">
      <c r="A1373" s="3" t="s">
        <v>3361</v>
      </c>
      <c r="B1373" s="2">
        <v>7418</v>
      </c>
      <c r="D1373" s="66" t="s">
        <v>2675</v>
      </c>
      <c r="E1373" s="2">
        <v>1998</v>
      </c>
      <c r="F1373" s="2" t="s">
        <v>2573</v>
      </c>
      <c r="G1373" s="2" t="s">
        <v>5</v>
      </c>
      <c r="H1373" s="2" t="s">
        <v>2310</v>
      </c>
      <c r="I1373" s="2" t="s">
        <v>10</v>
      </c>
      <c r="J1373" s="2" t="s">
        <v>12</v>
      </c>
      <c r="K1373" s="2" t="s">
        <v>4734</v>
      </c>
      <c r="L1373" s="2" t="s">
        <v>11</v>
      </c>
      <c r="M1373" s="2">
        <v>3</v>
      </c>
      <c r="N1373" s="2" t="s">
        <v>14</v>
      </c>
      <c r="T1373" s="2" t="s">
        <v>16964</v>
      </c>
    </row>
    <row r="1374" spans="1:24">
      <c r="A1374" s="3" t="s">
        <v>4173</v>
      </c>
      <c r="B1374" s="2" t="s">
        <v>2221</v>
      </c>
      <c r="D1374" s="66" t="s">
        <v>2687</v>
      </c>
      <c r="E1374" s="2">
        <v>1998</v>
      </c>
      <c r="F1374" s="2" t="s">
        <v>2573</v>
      </c>
      <c r="G1374" s="2" t="s">
        <v>2295</v>
      </c>
      <c r="H1374" s="2" t="s">
        <v>1446</v>
      </c>
      <c r="I1374" s="2" t="s">
        <v>10</v>
      </c>
      <c r="J1374" s="2" t="s">
        <v>59</v>
      </c>
      <c r="K1374" s="2" t="s">
        <v>4768</v>
      </c>
      <c r="L1374" s="2" t="s">
        <v>58</v>
      </c>
      <c r="M1374" s="2">
        <v>6</v>
      </c>
      <c r="N1374" s="2" t="s">
        <v>18</v>
      </c>
      <c r="T1374" s="2" t="s">
        <v>16964</v>
      </c>
    </row>
    <row r="1375" spans="1:24">
      <c r="A1375" s="3" t="s">
        <v>3667</v>
      </c>
      <c r="B1375" s="2" t="s">
        <v>2212</v>
      </c>
      <c r="D1375" s="66" t="s">
        <v>2678</v>
      </c>
      <c r="E1375" s="2">
        <v>1996</v>
      </c>
      <c r="F1375" s="2" t="s">
        <v>2573</v>
      </c>
      <c r="G1375" s="2" t="s">
        <v>5</v>
      </c>
      <c r="H1375" s="2" t="s">
        <v>2311</v>
      </c>
      <c r="I1375" s="2" t="s">
        <v>6</v>
      </c>
      <c r="J1375" s="2" t="s">
        <v>8</v>
      </c>
      <c r="K1375" s="2" t="s">
        <v>90</v>
      </c>
      <c r="L1375" s="2" t="s">
        <v>7</v>
      </c>
      <c r="M1375" s="2">
        <v>121</v>
      </c>
      <c r="N1375" s="2" t="s">
        <v>9</v>
      </c>
      <c r="T1375" s="2" t="s">
        <v>16963</v>
      </c>
      <c r="X1375" s="67" t="s">
        <v>4722</v>
      </c>
    </row>
    <row r="1376" spans="1:24">
      <c r="A1376" s="3" t="s">
        <v>3055</v>
      </c>
      <c r="B1376" s="2" t="s">
        <v>2213</v>
      </c>
      <c r="D1376" s="66" t="s">
        <v>2679</v>
      </c>
      <c r="E1376" s="2">
        <v>1996</v>
      </c>
      <c r="F1376" s="2" t="s">
        <v>2573</v>
      </c>
      <c r="G1376" s="2" t="s">
        <v>2295</v>
      </c>
      <c r="H1376" s="2" t="s">
        <v>1446</v>
      </c>
      <c r="I1376" s="2" t="s">
        <v>6</v>
      </c>
      <c r="J1376" s="2" t="s">
        <v>8</v>
      </c>
      <c r="K1376" s="2" t="s">
        <v>90</v>
      </c>
      <c r="L1376" s="2" t="s">
        <v>7</v>
      </c>
      <c r="M1376" s="2">
        <v>121</v>
      </c>
      <c r="N1376" s="2" t="s">
        <v>9</v>
      </c>
      <c r="T1376" s="2" t="s">
        <v>16963</v>
      </c>
      <c r="X1376" s="67" t="s">
        <v>4722</v>
      </c>
    </row>
    <row r="1377" spans="1:25">
      <c r="A1377" s="3" t="s">
        <v>3656</v>
      </c>
      <c r="B1377" s="2" t="s">
        <v>2215</v>
      </c>
      <c r="D1377" s="66" t="s">
        <v>2681</v>
      </c>
      <c r="E1377" s="2">
        <v>1996</v>
      </c>
      <c r="F1377" s="2" t="s">
        <v>2573</v>
      </c>
      <c r="G1377" s="2" t="s">
        <v>2295</v>
      </c>
      <c r="H1377" s="2" t="s">
        <v>1446</v>
      </c>
      <c r="I1377" s="2" t="s">
        <v>6</v>
      </c>
      <c r="J1377" s="2" t="s">
        <v>24</v>
      </c>
      <c r="K1377" s="2" t="s">
        <v>4521</v>
      </c>
      <c r="L1377" s="2" t="s">
        <v>7</v>
      </c>
      <c r="M1377" s="2">
        <v>121</v>
      </c>
      <c r="N1377" s="2" t="s">
        <v>9</v>
      </c>
      <c r="T1377" s="2" t="s">
        <v>16963</v>
      </c>
      <c r="X1377" s="67" t="s">
        <v>4722</v>
      </c>
    </row>
    <row r="1378" spans="1:25">
      <c r="A1378" s="3" t="s">
        <v>2871</v>
      </c>
      <c r="B1378" s="2" t="s">
        <v>2214</v>
      </c>
      <c r="D1378" s="66" t="s">
        <v>2680</v>
      </c>
      <c r="E1378" s="2">
        <v>1995</v>
      </c>
      <c r="F1378" s="2" t="s">
        <v>2573</v>
      </c>
      <c r="G1378" s="2" t="s">
        <v>5</v>
      </c>
      <c r="H1378" s="2" t="s">
        <v>2311</v>
      </c>
      <c r="I1378" s="2" t="s">
        <v>6</v>
      </c>
      <c r="J1378" s="2" t="s">
        <v>24</v>
      </c>
      <c r="K1378" s="2" t="s">
        <v>4521</v>
      </c>
      <c r="L1378" s="2" t="s">
        <v>23</v>
      </c>
      <c r="M1378" s="2">
        <v>14</v>
      </c>
      <c r="N1378" s="2" t="s">
        <v>9</v>
      </c>
      <c r="T1378" s="2" t="s">
        <v>16964</v>
      </c>
    </row>
    <row r="1379" spans="1:25">
      <c r="A1379" s="3" t="s">
        <v>3178</v>
      </c>
      <c r="B1379" s="2" t="s">
        <v>2220</v>
      </c>
      <c r="D1379" s="66" t="s">
        <v>2686</v>
      </c>
      <c r="E1379" s="2">
        <v>1989</v>
      </c>
      <c r="F1379" s="2" t="s">
        <v>2573</v>
      </c>
      <c r="G1379" s="2" t="s">
        <v>5</v>
      </c>
      <c r="H1379" s="2" t="s">
        <v>2312</v>
      </c>
      <c r="I1379" s="2" t="s">
        <v>6</v>
      </c>
      <c r="J1379" s="2" t="s">
        <v>120</v>
      </c>
      <c r="K1379" s="2" t="s">
        <v>4736</v>
      </c>
      <c r="L1379" s="2" t="s">
        <v>119</v>
      </c>
      <c r="M1379" s="2">
        <v>372</v>
      </c>
      <c r="N1379" s="2" t="s">
        <v>9</v>
      </c>
      <c r="T1379" s="2" t="s">
        <v>16963</v>
      </c>
      <c r="Y1379" s="67" t="s">
        <v>2627</v>
      </c>
    </row>
    <row r="1380" spans="1:25" hidden="1">
      <c r="A1380" s="3" t="s">
        <v>3049</v>
      </c>
      <c r="B1380" s="2" t="s">
        <v>2063</v>
      </c>
      <c r="D1380" s="66" t="s">
        <v>2639</v>
      </c>
      <c r="E1380" s="2">
        <v>2014</v>
      </c>
      <c r="F1380" s="2" t="s">
        <v>406</v>
      </c>
      <c r="G1380" s="2" t="s">
        <v>5</v>
      </c>
      <c r="H1380" s="2" t="s">
        <v>2300</v>
      </c>
      <c r="I1380" s="2" t="s">
        <v>2288</v>
      </c>
      <c r="J1380" s="2" t="s">
        <v>8</v>
      </c>
      <c r="K1380" s="2" t="s">
        <v>4737</v>
      </c>
      <c r="L1380" s="2" t="s">
        <v>7</v>
      </c>
      <c r="M1380" s="2">
        <v>121</v>
      </c>
      <c r="N1380" s="2" t="s">
        <v>9</v>
      </c>
      <c r="O1380" s="2">
        <f>VLOOKUP(B1380,[1]Sheet1!$B$624:$E$1665,4,FALSE)</f>
        <v>0.8</v>
      </c>
      <c r="P1380" s="2" t="s">
        <v>16963</v>
      </c>
      <c r="T1380" s="2" t="s">
        <v>16963</v>
      </c>
      <c r="X1380" s="67" t="s">
        <v>4722</v>
      </c>
    </row>
    <row r="1381" spans="1:25" hidden="1">
      <c r="A1381" s="3" t="s">
        <v>3978</v>
      </c>
      <c r="B1381" s="2" t="s">
        <v>2062</v>
      </c>
      <c r="D1381" s="66" t="s">
        <v>2640</v>
      </c>
      <c r="E1381" s="2">
        <v>2014</v>
      </c>
      <c r="F1381" s="2" t="s">
        <v>406</v>
      </c>
      <c r="G1381" s="2" t="s">
        <v>5</v>
      </c>
      <c r="H1381" s="2" t="s">
        <v>2300</v>
      </c>
      <c r="I1381" s="2" t="s">
        <v>10</v>
      </c>
      <c r="J1381" s="2" t="s">
        <v>59</v>
      </c>
      <c r="K1381" s="2" t="s">
        <v>4738</v>
      </c>
      <c r="L1381" s="2" t="s">
        <v>58</v>
      </c>
      <c r="M1381" s="2">
        <v>6</v>
      </c>
      <c r="N1381" s="2" t="s">
        <v>18</v>
      </c>
      <c r="O1381" s="2">
        <f>VLOOKUP(B1381,[1]Sheet1!$B$624:$E$1665,4,FALSE)</f>
        <v>0.2</v>
      </c>
      <c r="P1381" s="2" t="s">
        <v>16964</v>
      </c>
      <c r="T1381" s="2" t="s">
        <v>16964</v>
      </c>
    </row>
    <row r="1382" spans="1:25" hidden="1">
      <c r="A1382" s="3" t="s">
        <v>3275</v>
      </c>
      <c r="B1382" s="2" t="s">
        <v>2061</v>
      </c>
      <c r="D1382" s="66" t="s">
        <v>2642</v>
      </c>
      <c r="E1382" s="2">
        <v>2014</v>
      </c>
      <c r="F1382" s="2" t="s">
        <v>406</v>
      </c>
      <c r="G1382" s="2" t="s">
        <v>5</v>
      </c>
      <c r="H1382" s="2" t="s">
        <v>2300</v>
      </c>
      <c r="I1382" s="2" t="s">
        <v>10</v>
      </c>
      <c r="J1382" s="2" t="s">
        <v>17</v>
      </c>
      <c r="K1382" s="2" t="s">
        <v>4739</v>
      </c>
      <c r="L1382" s="2" t="s">
        <v>16</v>
      </c>
      <c r="M1382" s="2">
        <v>2102</v>
      </c>
      <c r="N1382" s="2" t="s">
        <v>18</v>
      </c>
      <c r="O1382" s="2">
        <f>VLOOKUP(B1382,[1]Sheet1!$B$624:$E$1665,4,FALSE)</f>
        <v>0.2</v>
      </c>
      <c r="P1382" s="2" t="s">
        <v>16964</v>
      </c>
      <c r="T1382" s="2" t="s">
        <v>16964</v>
      </c>
    </row>
    <row r="1383" spans="1:25" hidden="1">
      <c r="A1383" s="3" t="s">
        <v>4182</v>
      </c>
      <c r="B1383" s="2" t="s">
        <v>2060</v>
      </c>
      <c r="D1383" s="66" t="s">
        <v>2646</v>
      </c>
      <c r="E1383" s="2">
        <v>2016</v>
      </c>
      <c r="F1383" s="2" t="s">
        <v>406</v>
      </c>
      <c r="G1383" s="2" t="s">
        <v>5</v>
      </c>
      <c r="H1383" s="2" t="s">
        <v>2300</v>
      </c>
      <c r="I1383" s="2" t="s">
        <v>10</v>
      </c>
      <c r="J1383" s="2" t="s">
        <v>266</v>
      </c>
      <c r="K1383" s="2" t="s">
        <v>4740</v>
      </c>
      <c r="L1383" s="2" t="s">
        <v>265</v>
      </c>
      <c r="M1383" s="2">
        <v>87</v>
      </c>
      <c r="N1383" s="2" t="s">
        <v>14</v>
      </c>
      <c r="O1383" s="2">
        <f>VLOOKUP(B1383,[1]Sheet1!$B$624:$E$1665,4,FALSE)</f>
        <v>0.2</v>
      </c>
      <c r="P1383" s="2" t="s">
        <v>16964</v>
      </c>
      <c r="T1383" s="2" t="s">
        <v>16964</v>
      </c>
    </row>
    <row r="1384" spans="1:25" hidden="1">
      <c r="A1384" s="3" t="s">
        <v>3787</v>
      </c>
      <c r="B1384" s="2" t="s">
        <v>2059</v>
      </c>
      <c r="D1384" s="66" t="s">
        <v>2648</v>
      </c>
      <c r="E1384" s="2">
        <v>2016</v>
      </c>
      <c r="F1384" s="2" t="s">
        <v>406</v>
      </c>
      <c r="G1384" s="2" t="s">
        <v>5</v>
      </c>
      <c r="H1384" s="2" t="s">
        <v>2300</v>
      </c>
      <c r="I1384" s="2" t="s">
        <v>2288</v>
      </c>
      <c r="J1384" s="2" t="s">
        <v>402</v>
      </c>
      <c r="K1384" s="2" t="s">
        <v>4741</v>
      </c>
      <c r="L1384" s="2" t="s">
        <v>401</v>
      </c>
      <c r="M1384" s="2">
        <v>18</v>
      </c>
      <c r="N1384" s="2" t="s">
        <v>9</v>
      </c>
      <c r="O1384" s="2">
        <f>VLOOKUP(B1384,[1]Sheet1!$B$624:$E$1665,4,FALSE)</f>
        <v>0.2</v>
      </c>
      <c r="P1384" s="2" t="s">
        <v>16964</v>
      </c>
      <c r="T1384" s="2" t="s">
        <v>16964</v>
      </c>
    </row>
    <row r="1385" spans="1:25" hidden="1">
      <c r="A1385" s="3" t="s">
        <v>2835</v>
      </c>
      <c r="B1385" s="2" t="s">
        <v>2058</v>
      </c>
      <c r="D1385" s="66" t="s">
        <v>2649</v>
      </c>
      <c r="E1385" s="2">
        <v>2016</v>
      </c>
      <c r="F1385" s="2" t="s">
        <v>406</v>
      </c>
      <c r="G1385" s="2" t="s">
        <v>5</v>
      </c>
      <c r="H1385" s="2" t="s">
        <v>2300</v>
      </c>
      <c r="I1385" s="2" t="s">
        <v>2288</v>
      </c>
      <c r="J1385" s="2" t="s">
        <v>76</v>
      </c>
      <c r="K1385" s="2" t="s">
        <v>4742</v>
      </c>
      <c r="L1385" s="2" t="s">
        <v>75</v>
      </c>
      <c r="M1385" s="2">
        <v>504</v>
      </c>
      <c r="N1385" s="2" t="s">
        <v>9</v>
      </c>
      <c r="O1385" s="2">
        <f>VLOOKUP(B1385,[1]Sheet1!$B$624:$E$1665,4,FALSE)</f>
        <v>0.4</v>
      </c>
      <c r="P1385" s="2" t="s">
        <v>16964</v>
      </c>
      <c r="T1385" s="2" t="s">
        <v>16964</v>
      </c>
    </row>
    <row r="1386" spans="1:25" hidden="1">
      <c r="A1386" s="3" t="s">
        <v>3284</v>
      </c>
      <c r="B1386" s="2" t="s">
        <v>2057</v>
      </c>
      <c r="D1386" s="66" t="s">
        <v>2650</v>
      </c>
      <c r="E1386" s="2">
        <v>2016</v>
      </c>
      <c r="F1386" s="2" t="s">
        <v>406</v>
      </c>
      <c r="G1386" s="2" t="s">
        <v>5</v>
      </c>
      <c r="H1386" s="2" t="s">
        <v>2300</v>
      </c>
      <c r="I1386" s="2" t="s">
        <v>2288</v>
      </c>
      <c r="J1386" s="2" t="s">
        <v>1258</v>
      </c>
      <c r="K1386" s="2" t="s">
        <v>4743</v>
      </c>
      <c r="L1386" s="2" t="s">
        <v>1257</v>
      </c>
      <c r="M1386" s="2">
        <v>124</v>
      </c>
      <c r="N1386" s="2" t="s">
        <v>9</v>
      </c>
      <c r="O1386" s="2">
        <f>VLOOKUP(B1386,[1]Sheet1!$B$624:$E$1665,4,FALSE)</f>
        <v>0.2</v>
      </c>
      <c r="P1386" s="2" t="s">
        <v>16964</v>
      </c>
      <c r="T1386" s="2" t="s">
        <v>16964</v>
      </c>
    </row>
    <row r="1387" spans="1:25" hidden="1">
      <c r="A1387" s="3" t="s">
        <v>4383</v>
      </c>
      <c r="B1387" s="2" t="s">
        <v>2056</v>
      </c>
      <c r="D1387" s="66" t="s">
        <v>2651</v>
      </c>
      <c r="E1387" s="2">
        <v>2016</v>
      </c>
      <c r="F1387" s="2" t="s">
        <v>406</v>
      </c>
      <c r="G1387" s="2" t="s">
        <v>5</v>
      </c>
      <c r="H1387" s="2" t="s">
        <v>2300</v>
      </c>
      <c r="I1387" s="2" t="s">
        <v>10</v>
      </c>
      <c r="J1387" s="2" t="s">
        <v>12</v>
      </c>
      <c r="K1387" s="2" t="s">
        <v>4744</v>
      </c>
      <c r="L1387" s="2" t="s">
        <v>11</v>
      </c>
      <c r="M1387" s="2">
        <v>3</v>
      </c>
      <c r="N1387" s="2" t="s">
        <v>14</v>
      </c>
      <c r="O1387" s="2">
        <f>VLOOKUP(B1387,[1]Sheet1!$B$624:$E$1665,4,FALSE)</f>
        <v>0.4</v>
      </c>
      <c r="P1387" s="2" t="s">
        <v>16964</v>
      </c>
      <c r="T1387" s="2" t="s">
        <v>16964</v>
      </c>
    </row>
    <row r="1388" spans="1:25" hidden="1">
      <c r="A1388" s="3" t="s">
        <v>4109</v>
      </c>
      <c r="B1388" s="2" t="s">
        <v>2055</v>
      </c>
      <c r="D1388" s="66" t="s">
        <v>2653</v>
      </c>
      <c r="E1388" s="2">
        <v>2016</v>
      </c>
      <c r="F1388" s="2" t="s">
        <v>406</v>
      </c>
      <c r="G1388" s="2" t="s">
        <v>5</v>
      </c>
      <c r="H1388" s="2" t="s">
        <v>2300</v>
      </c>
      <c r="I1388" s="2" t="s">
        <v>2288</v>
      </c>
      <c r="J1388" s="2" t="s">
        <v>102</v>
      </c>
      <c r="K1388" s="2" t="s">
        <v>4745</v>
      </c>
      <c r="L1388" s="2" t="s">
        <v>101</v>
      </c>
      <c r="M1388" s="2">
        <v>7</v>
      </c>
      <c r="N1388" s="2" t="s">
        <v>9</v>
      </c>
      <c r="O1388" s="2">
        <f>VLOOKUP(B1388,[1]Sheet1!$B$624:$E$1665,4,FALSE)</f>
        <v>0.4</v>
      </c>
      <c r="P1388" s="2" t="s">
        <v>16964</v>
      </c>
      <c r="T1388" s="2" t="s">
        <v>16964</v>
      </c>
    </row>
    <row r="1389" spans="1:25" hidden="1">
      <c r="A1389" s="3" t="s">
        <v>4272</v>
      </c>
      <c r="B1389" s="2" t="s">
        <v>2054</v>
      </c>
      <c r="D1389" s="66" t="s">
        <v>2655</v>
      </c>
      <c r="E1389" s="2">
        <v>2016</v>
      </c>
      <c r="F1389" s="2" t="s">
        <v>406</v>
      </c>
      <c r="G1389" s="2" t="s">
        <v>5</v>
      </c>
      <c r="H1389" s="2" t="s">
        <v>2300</v>
      </c>
      <c r="I1389" s="2" t="s">
        <v>2288</v>
      </c>
      <c r="J1389" s="2" t="s">
        <v>56</v>
      </c>
      <c r="K1389" s="2" t="s">
        <v>4768</v>
      </c>
      <c r="L1389" s="2" t="s">
        <v>55</v>
      </c>
      <c r="M1389" s="2">
        <v>451</v>
      </c>
      <c r="N1389" s="2" t="s">
        <v>9</v>
      </c>
      <c r="O1389" s="2">
        <f>VLOOKUP(B1389,[1]Sheet1!$B$624:$E$1665,4,FALSE)</f>
        <v>0.4</v>
      </c>
      <c r="P1389" s="2" t="s">
        <v>16964</v>
      </c>
      <c r="T1389" s="2" t="s">
        <v>16964</v>
      </c>
    </row>
    <row r="1390" spans="1:25" hidden="1">
      <c r="A1390" s="3" t="s">
        <v>2834</v>
      </c>
      <c r="B1390" s="2" t="s">
        <v>2053</v>
      </c>
      <c r="D1390" s="66" t="s">
        <v>2657</v>
      </c>
      <c r="E1390" s="2">
        <v>2016</v>
      </c>
      <c r="F1390" s="2" t="s">
        <v>406</v>
      </c>
      <c r="G1390" s="2" t="s">
        <v>5</v>
      </c>
      <c r="H1390" s="2" t="s">
        <v>2300</v>
      </c>
      <c r="I1390" s="2" t="s">
        <v>2288</v>
      </c>
      <c r="J1390" s="2" t="s">
        <v>108</v>
      </c>
      <c r="K1390" s="2" t="s">
        <v>4746</v>
      </c>
      <c r="L1390" s="2" t="s">
        <v>107</v>
      </c>
      <c r="M1390" s="2">
        <v>193</v>
      </c>
      <c r="N1390" s="2" t="s">
        <v>9</v>
      </c>
      <c r="O1390" s="2">
        <f>VLOOKUP(B1390,[1]Sheet1!$B$624:$E$1665,4,FALSE)</f>
        <v>0.2</v>
      </c>
      <c r="P1390" s="2" t="s">
        <v>16964</v>
      </c>
      <c r="T1390" s="2" t="s">
        <v>16964</v>
      </c>
    </row>
    <row r="1391" spans="1:25" hidden="1">
      <c r="A1391" s="3" t="s">
        <v>3804</v>
      </c>
      <c r="B1391" s="2" t="s">
        <v>2052</v>
      </c>
      <c r="D1391" s="66" t="s">
        <v>2660</v>
      </c>
      <c r="E1391" s="2">
        <v>2017</v>
      </c>
      <c r="F1391" s="2" t="s">
        <v>406</v>
      </c>
      <c r="G1391" s="2" t="s">
        <v>5</v>
      </c>
      <c r="H1391" s="2" t="s">
        <v>2300</v>
      </c>
      <c r="I1391" s="2" t="s">
        <v>10</v>
      </c>
      <c r="J1391" s="2" t="s">
        <v>17</v>
      </c>
      <c r="K1391" s="2" t="s">
        <v>4747</v>
      </c>
      <c r="L1391" s="2" t="s">
        <v>16</v>
      </c>
      <c r="M1391" s="2">
        <v>2</v>
      </c>
      <c r="N1391" s="2" t="s">
        <v>18</v>
      </c>
      <c r="O1391" s="2">
        <f>VLOOKUP(B1391,[1]Sheet1!$B$624:$E$1665,4,FALSE)</f>
        <v>0.2</v>
      </c>
      <c r="P1391" s="2" t="s">
        <v>16964</v>
      </c>
      <c r="T1391" s="2" t="s">
        <v>16964</v>
      </c>
    </row>
    <row r="1392" spans="1:25" hidden="1">
      <c r="A1392" s="3" t="s">
        <v>3756</v>
      </c>
      <c r="B1392" s="2" t="s">
        <v>2051</v>
      </c>
      <c r="D1392" s="66" t="s">
        <v>2661</v>
      </c>
      <c r="E1392" s="2">
        <v>2017</v>
      </c>
      <c r="F1392" s="2" t="s">
        <v>406</v>
      </c>
      <c r="G1392" s="2" t="s">
        <v>5</v>
      </c>
      <c r="H1392" s="2" t="s">
        <v>2300</v>
      </c>
      <c r="I1392" s="2" t="s">
        <v>2288</v>
      </c>
      <c r="J1392" s="2" t="s">
        <v>40</v>
      </c>
      <c r="K1392" s="2" t="s">
        <v>4748</v>
      </c>
      <c r="L1392" s="2" t="s">
        <v>39</v>
      </c>
      <c r="M1392" s="2">
        <v>37</v>
      </c>
      <c r="N1392" s="2" t="s">
        <v>9</v>
      </c>
      <c r="O1392" s="2">
        <f>VLOOKUP(B1392,[1]Sheet1!$B$624:$E$1665,4,FALSE)</f>
        <v>0.2</v>
      </c>
      <c r="P1392" s="2" t="s">
        <v>16964</v>
      </c>
      <c r="T1392" s="2" t="s">
        <v>16964</v>
      </c>
    </row>
    <row r="1393" spans="1:20" hidden="1">
      <c r="A1393" s="3" t="s">
        <v>3489</v>
      </c>
      <c r="B1393" s="2" t="s">
        <v>2050</v>
      </c>
      <c r="D1393" s="66" t="s">
        <v>2662</v>
      </c>
      <c r="E1393" s="2">
        <v>2017</v>
      </c>
      <c r="F1393" s="2" t="s">
        <v>406</v>
      </c>
      <c r="G1393" s="2" t="s">
        <v>5</v>
      </c>
      <c r="H1393" s="2" t="s">
        <v>2300</v>
      </c>
      <c r="I1393" s="2" t="s">
        <v>2288</v>
      </c>
      <c r="J1393" s="2" t="s">
        <v>29</v>
      </c>
      <c r="K1393" s="2" t="s">
        <v>4749</v>
      </c>
      <c r="L1393" s="2" t="s">
        <v>28</v>
      </c>
      <c r="M1393" s="2">
        <v>8</v>
      </c>
      <c r="N1393" s="2" t="s">
        <v>9</v>
      </c>
      <c r="O1393" s="2">
        <f>VLOOKUP(B1393,[1]Sheet1!$B$624:$E$1665,4,FALSE)</f>
        <v>0.2</v>
      </c>
      <c r="P1393" s="2" t="s">
        <v>16964</v>
      </c>
      <c r="T1393" s="2" t="s">
        <v>16964</v>
      </c>
    </row>
    <row r="1394" spans="1:20" hidden="1">
      <c r="A1394" s="3" t="s">
        <v>4236</v>
      </c>
      <c r="B1394" s="2" t="s">
        <v>2049</v>
      </c>
      <c r="D1394" s="66" t="s">
        <v>2663</v>
      </c>
      <c r="E1394" s="2">
        <v>2018</v>
      </c>
      <c r="F1394" s="2" t="s">
        <v>406</v>
      </c>
      <c r="G1394" s="2" t="s">
        <v>5</v>
      </c>
      <c r="H1394" s="2" t="s">
        <v>2300</v>
      </c>
      <c r="I1394" s="2" t="s">
        <v>10</v>
      </c>
      <c r="J1394" s="2" t="s">
        <v>129</v>
      </c>
      <c r="K1394" s="2" t="s">
        <v>4750</v>
      </c>
      <c r="L1394" s="2" t="s">
        <v>128</v>
      </c>
      <c r="M1394" s="2">
        <v>1</v>
      </c>
      <c r="N1394" s="2" t="s">
        <v>18</v>
      </c>
      <c r="O1394" s="2">
        <f>VLOOKUP(B1394,[1]Sheet1!$B$624:$E$1665,4,FALSE)</f>
        <v>0.2</v>
      </c>
      <c r="P1394" s="2" t="s">
        <v>16964</v>
      </c>
      <c r="T1394" s="2" t="s">
        <v>16964</v>
      </c>
    </row>
    <row r="1395" spans="1:20" hidden="1">
      <c r="A1395" s="3" t="s">
        <v>4062</v>
      </c>
      <c r="B1395" s="2" t="s">
        <v>2048</v>
      </c>
      <c r="D1395" s="66" t="s">
        <v>2633</v>
      </c>
      <c r="E1395" s="2">
        <v>2013</v>
      </c>
      <c r="F1395" s="2" t="s">
        <v>406</v>
      </c>
      <c r="G1395" s="2" t="s">
        <v>5</v>
      </c>
      <c r="H1395" s="2" t="s">
        <v>2298</v>
      </c>
      <c r="I1395" s="2" t="s">
        <v>10</v>
      </c>
      <c r="J1395" s="2" t="s">
        <v>35</v>
      </c>
      <c r="K1395" s="2" t="s">
        <v>4751</v>
      </c>
      <c r="L1395" s="2" t="s">
        <v>34</v>
      </c>
      <c r="M1395" s="2">
        <v>2101</v>
      </c>
      <c r="N1395" s="2" t="s">
        <v>14</v>
      </c>
      <c r="O1395" s="2">
        <f>VLOOKUP(B1395,[1]Sheet1!$B$624:$E$1665,4,FALSE)</f>
        <v>0.2</v>
      </c>
      <c r="P1395" s="2" t="s">
        <v>16964</v>
      </c>
      <c r="T1395" s="2" t="s">
        <v>16964</v>
      </c>
    </row>
    <row r="1396" spans="1:20" hidden="1">
      <c r="A1396" s="3" t="s">
        <v>3965</v>
      </c>
      <c r="B1396" s="2" t="s">
        <v>2047</v>
      </c>
      <c r="D1396" s="66" t="s">
        <v>2634</v>
      </c>
      <c r="E1396" s="2">
        <v>2013</v>
      </c>
      <c r="F1396" s="2" t="s">
        <v>406</v>
      </c>
      <c r="G1396" s="2" t="s">
        <v>5</v>
      </c>
      <c r="H1396" s="2" t="s">
        <v>2298</v>
      </c>
      <c r="I1396" s="2" t="s">
        <v>2288</v>
      </c>
      <c r="J1396" s="2" t="s">
        <v>366</v>
      </c>
      <c r="K1396" s="2" t="s">
        <v>4752</v>
      </c>
      <c r="L1396" s="2" t="s">
        <v>28</v>
      </c>
      <c r="M1396" s="2">
        <v>16</v>
      </c>
      <c r="N1396" s="2" t="s">
        <v>9</v>
      </c>
      <c r="O1396" s="2">
        <f>VLOOKUP(B1396,[1]Sheet1!$B$624:$E$1665,4,FALSE)</f>
        <v>0.2</v>
      </c>
      <c r="P1396" s="2" t="s">
        <v>16964</v>
      </c>
      <c r="T1396" s="2" t="s">
        <v>16964</v>
      </c>
    </row>
    <row r="1397" spans="1:20" hidden="1">
      <c r="A1397" s="3" t="s">
        <v>3885</v>
      </c>
      <c r="B1397" s="2" t="s">
        <v>2046</v>
      </c>
      <c r="D1397" s="66" t="s">
        <v>2641</v>
      </c>
      <c r="E1397" s="2">
        <v>2014</v>
      </c>
      <c r="F1397" s="2" t="s">
        <v>406</v>
      </c>
      <c r="G1397" s="2" t="s">
        <v>5</v>
      </c>
      <c r="H1397" s="2" t="s">
        <v>2298</v>
      </c>
      <c r="I1397" s="2" t="s">
        <v>2288</v>
      </c>
      <c r="J1397" s="2" t="s">
        <v>102</v>
      </c>
      <c r="K1397" s="2" t="s">
        <v>4768</v>
      </c>
      <c r="L1397" s="2" t="s">
        <v>101</v>
      </c>
      <c r="M1397" s="2">
        <v>7</v>
      </c>
      <c r="N1397" s="2" t="s">
        <v>9</v>
      </c>
      <c r="O1397" s="2">
        <f>VLOOKUP(B1397,[1]Sheet1!$B$624:$E$1665,4,FALSE)</f>
        <v>0.4</v>
      </c>
      <c r="P1397" s="2" t="s">
        <v>16964</v>
      </c>
      <c r="T1397" s="2" t="s">
        <v>16964</v>
      </c>
    </row>
    <row r="1398" spans="1:20" hidden="1">
      <c r="A1398" s="3" t="s">
        <v>3536</v>
      </c>
      <c r="B1398" s="2" t="s">
        <v>2045</v>
      </c>
      <c r="D1398" s="66" t="s">
        <v>2645</v>
      </c>
      <c r="E1398" s="2">
        <v>2016</v>
      </c>
      <c r="F1398" s="2" t="s">
        <v>406</v>
      </c>
      <c r="G1398" s="2" t="s">
        <v>5</v>
      </c>
      <c r="H1398" s="2" t="s">
        <v>2298</v>
      </c>
      <c r="I1398" s="2" t="s">
        <v>2288</v>
      </c>
      <c r="J1398" s="2" t="s">
        <v>115</v>
      </c>
      <c r="K1398" s="2" t="s">
        <v>4485</v>
      </c>
      <c r="L1398" s="2" t="s">
        <v>114</v>
      </c>
      <c r="M1398" s="2">
        <v>21</v>
      </c>
      <c r="N1398" s="2" t="s">
        <v>9</v>
      </c>
      <c r="O1398" s="2">
        <f>VLOOKUP(B1398,[1]Sheet1!$B$624:$E$1665,4,FALSE)</f>
        <v>0.2</v>
      </c>
      <c r="P1398" s="2" t="s">
        <v>16964</v>
      </c>
      <c r="T1398" s="2" t="s">
        <v>16964</v>
      </c>
    </row>
    <row r="1399" spans="1:20" hidden="1">
      <c r="A1399" s="3" t="s">
        <v>2846</v>
      </c>
      <c r="B1399" s="2" t="s">
        <v>2044</v>
      </c>
      <c r="D1399" s="66" t="s">
        <v>2654</v>
      </c>
      <c r="E1399" s="2">
        <v>2016</v>
      </c>
      <c r="F1399" s="2" t="s">
        <v>406</v>
      </c>
      <c r="G1399" s="2" t="s">
        <v>5</v>
      </c>
      <c r="H1399" s="2" t="s">
        <v>2298</v>
      </c>
      <c r="I1399" s="2" t="s">
        <v>2288</v>
      </c>
      <c r="J1399" s="2" t="s">
        <v>24</v>
      </c>
      <c r="K1399" s="2" t="s">
        <v>4753</v>
      </c>
      <c r="L1399" s="2" t="s">
        <v>23</v>
      </c>
      <c r="M1399" s="2">
        <v>14</v>
      </c>
      <c r="N1399" s="2" t="s">
        <v>9</v>
      </c>
      <c r="O1399" s="2">
        <f>VLOOKUP(B1399,[1]Sheet1!$B$624:$E$1665,4,FALSE)</f>
        <v>0.2</v>
      </c>
      <c r="P1399" s="2" t="s">
        <v>16964</v>
      </c>
      <c r="T1399" s="2" t="s">
        <v>16964</v>
      </c>
    </row>
    <row r="1400" spans="1:20" hidden="1">
      <c r="A1400" s="3" t="s">
        <v>3501</v>
      </c>
      <c r="B1400" s="2" t="s">
        <v>2043</v>
      </c>
      <c r="D1400" s="66" t="s">
        <v>2664</v>
      </c>
      <c r="E1400" s="2">
        <v>2018</v>
      </c>
      <c r="F1400" s="2" t="s">
        <v>406</v>
      </c>
      <c r="G1400" s="2" t="s">
        <v>5</v>
      </c>
      <c r="H1400" s="2" t="s">
        <v>2298</v>
      </c>
      <c r="I1400" s="2" t="s">
        <v>2288</v>
      </c>
      <c r="J1400" s="2" t="s">
        <v>120</v>
      </c>
      <c r="K1400" s="2" t="s">
        <v>4754</v>
      </c>
      <c r="L1400" s="2" t="s">
        <v>119</v>
      </c>
      <c r="M1400" s="2">
        <v>155</v>
      </c>
      <c r="N1400" s="2" t="s">
        <v>9</v>
      </c>
      <c r="O1400" s="2">
        <f>VLOOKUP(B1400,[1]Sheet1!$B$624:$E$1665,4,FALSE)</f>
        <v>0.4</v>
      </c>
      <c r="P1400" s="2" t="s">
        <v>16964</v>
      </c>
      <c r="T1400" s="2" t="s">
        <v>16964</v>
      </c>
    </row>
    <row r="1401" spans="1:20" hidden="1">
      <c r="A1401" s="3" t="s">
        <v>3760</v>
      </c>
      <c r="B1401" s="2" t="s">
        <v>2042</v>
      </c>
      <c r="D1401" s="66" t="s">
        <v>2665</v>
      </c>
      <c r="E1401" s="2">
        <v>2019</v>
      </c>
      <c r="F1401" s="2" t="s">
        <v>406</v>
      </c>
      <c r="G1401" s="2" t="s">
        <v>5</v>
      </c>
      <c r="H1401" s="2" t="s">
        <v>2298</v>
      </c>
      <c r="I1401" s="2" t="s">
        <v>2288</v>
      </c>
      <c r="J1401" s="2" t="s">
        <v>40</v>
      </c>
      <c r="K1401" s="2" t="s">
        <v>4755</v>
      </c>
      <c r="L1401" s="2" t="s">
        <v>39</v>
      </c>
      <c r="M1401" s="2">
        <v>37</v>
      </c>
      <c r="N1401" s="2" t="s">
        <v>9</v>
      </c>
      <c r="O1401" s="2">
        <f>VLOOKUP(B1401,[1]Sheet1!$B$624:$E$1665,4,FALSE)</f>
        <v>0.2</v>
      </c>
      <c r="P1401" s="2" t="s">
        <v>16964</v>
      </c>
      <c r="T1401" s="2" t="s">
        <v>16964</v>
      </c>
    </row>
    <row r="1402" spans="1:20" hidden="1">
      <c r="A1402" s="3" t="s">
        <v>3372</v>
      </c>
      <c r="B1402" s="2" t="s">
        <v>2041</v>
      </c>
      <c r="D1402" s="66" t="s">
        <v>2666</v>
      </c>
      <c r="E1402" s="2">
        <v>2016</v>
      </c>
      <c r="F1402" s="2" t="s">
        <v>406</v>
      </c>
      <c r="G1402" s="2" t="s">
        <v>5</v>
      </c>
      <c r="H1402" s="2" t="s">
        <v>2298</v>
      </c>
      <c r="I1402" s="2" t="s">
        <v>2288</v>
      </c>
      <c r="J1402" s="2" t="s">
        <v>26</v>
      </c>
      <c r="K1402" s="2" t="s">
        <v>4756</v>
      </c>
      <c r="L1402" s="2" t="s">
        <v>25</v>
      </c>
      <c r="M1402" s="2">
        <v>101</v>
      </c>
      <c r="N1402" s="2" t="s">
        <v>9</v>
      </c>
      <c r="O1402" s="2">
        <f>VLOOKUP(B1402,[1]Sheet1!$B$624:$E$1665,4,FALSE)</f>
        <v>0.2</v>
      </c>
      <c r="P1402" s="2" t="s">
        <v>16964</v>
      </c>
      <c r="T1402" s="2" t="s">
        <v>16964</v>
      </c>
    </row>
    <row r="1403" spans="1:20" hidden="1">
      <c r="A1403" s="3" t="s">
        <v>3028</v>
      </c>
      <c r="B1403" s="2" t="s">
        <v>2040</v>
      </c>
      <c r="D1403" s="66" t="s">
        <v>2667</v>
      </c>
      <c r="E1403" s="2">
        <v>2019</v>
      </c>
      <c r="F1403" s="2" t="s">
        <v>406</v>
      </c>
      <c r="G1403" s="2" t="s">
        <v>5</v>
      </c>
      <c r="H1403" s="2" t="s">
        <v>2298</v>
      </c>
      <c r="I1403" s="2" t="s">
        <v>10</v>
      </c>
      <c r="J1403" s="2" t="s">
        <v>12</v>
      </c>
      <c r="K1403" s="2" t="s">
        <v>4757</v>
      </c>
      <c r="L1403" s="2" t="s">
        <v>11</v>
      </c>
      <c r="M1403" s="2">
        <v>3</v>
      </c>
      <c r="N1403" s="2" t="s">
        <v>14</v>
      </c>
      <c r="O1403" s="2">
        <f>VLOOKUP(B1403,[1]Sheet1!$B$624:$E$1665,4,FALSE)</f>
        <v>0.2</v>
      </c>
      <c r="P1403" s="2" t="s">
        <v>16964</v>
      </c>
      <c r="T1403" s="2" t="s">
        <v>16964</v>
      </c>
    </row>
    <row r="1404" spans="1:20" hidden="1">
      <c r="A1404" s="3" t="s">
        <v>4219</v>
      </c>
      <c r="B1404" s="2" t="s">
        <v>2039</v>
      </c>
      <c r="D1404" s="66" t="s">
        <v>2643</v>
      </c>
      <c r="E1404" s="2">
        <v>2016</v>
      </c>
      <c r="F1404" s="2" t="s">
        <v>406</v>
      </c>
      <c r="G1404" s="2" t="s">
        <v>5</v>
      </c>
      <c r="H1404" s="2" t="s">
        <v>2301</v>
      </c>
      <c r="I1404" s="2" t="s">
        <v>2288</v>
      </c>
      <c r="J1404" s="2" t="s">
        <v>889</v>
      </c>
      <c r="K1404" s="2" t="s">
        <v>4768</v>
      </c>
      <c r="L1404" s="2" t="s">
        <v>888</v>
      </c>
      <c r="M1404" s="2">
        <v>398</v>
      </c>
      <c r="N1404" s="2" t="s">
        <v>9</v>
      </c>
      <c r="O1404" s="2">
        <f>VLOOKUP(B1404,[1]Sheet1!$B$624:$E$1665,4,FALSE)</f>
        <v>0.2</v>
      </c>
      <c r="P1404" s="2" t="s">
        <v>16964</v>
      </c>
      <c r="T1404" s="2" t="s">
        <v>16964</v>
      </c>
    </row>
    <row r="1405" spans="1:20" hidden="1">
      <c r="A1405" s="3" t="s">
        <v>3270</v>
      </c>
      <c r="B1405" s="2" t="s">
        <v>2038</v>
      </c>
      <c r="D1405" s="66" t="s">
        <v>2647</v>
      </c>
      <c r="E1405" s="2">
        <v>2016</v>
      </c>
      <c r="F1405" s="2" t="s">
        <v>406</v>
      </c>
      <c r="G1405" s="2" t="s">
        <v>5</v>
      </c>
      <c r="H1405" s="2" t="s">
        <v>2301</v>
      </c>
      <c r="I1405" s="2" t="s">
        <v>2288</v>
      </c>
      <c r="J1405" s="2" t="s">
        <v>8</v>
      </c>
      <c r="K1405" s="2" t="s">
        <v>4758</v>
      </c>
      <c r="L1405" s="2" t="s">
        <v>7</v>
      </c>
      <c r="M1405" s="2">
        <v>1349</v>
      </c>
      <c r="N1405" s="2" t="s">
        <v>9</v>
      </c>
      <c r="O1405" s="2">
        <f>VLOOKUP(B1405,[1]Sheet1!$B$624:$E$1665,4,FALSE)</f>
        <v>0.2</v>
      </c>
      <c r="P1405" s="2" t="s">
        <v>16964</v>
      </c>
      <c r="T1405" s="2" t="s">
        <v>16964</v>
      </c>
    </row>
    <row r="1406" spans="1:20" hidden="1">
      <c r="A1406" s="3" t="s">
        <v>3986</v>
      </c>
      <c r="B1406" s="2" t="s">
        <v>2037</v>
      </c>
      <c r="D1406" s="66" t="s">
        <v>2632</v>
      </c>
      <c r="E1406" s="2">
        <v>2013</v>
      </c>
      <c r="F1406" s="2" t="s">
        <v>406</v>
      </c>
      <c r="G1406" s="2" t="s">
        <v>5</v>
      </c>
      <c r="H1406" s="2" t="s">
        <v>2297</v>
      </c>
      <c r="I1406" s="2" t="s">
        <v>10</v>
      </c>
      <c r="J1406" s="2" t="s">
        <v>35</v>
      </c>
      <c r="K1406" s="2" t="s">
        <v>4759</v>
      </c>
      <c r="L1406" s="2" t="s">
        <v>34</v>
      </c>
      <c r="M1406" s="2">
        <v>5</v>
      </c>
      <c r="N1406" s="2" t="s">
        <v>14</v>
      </c>
      <c r="O1406" s="2">
        <f>VLOOKUP(B1406,[1]Sheet1!$B$624:$E$1665,4,FALSE)</f>
        <v>0.2</v>
      </c>
      <c r="P1406" s="2" t="s">
        <v>16964</v>
      </c>
      <c r="T1406" s="2" t="s">
        <v>16964</v>
      </c>
    </row>
    <row r="1407" spans="1:20" hidden="1">
      <c r="A1407" s="3" t="s">
        <v>3805</v>
      </c>
      <c r="B1407" s="2" t="s">
        <v>2036</v>
      </c>
      <c r="D1407" s="66" t="s">
        <v>2644</v>
      </c>
      <c r="E1407" s="2">
        <v>2016</v>
      </c>
      <c r="F1407" s="2" t="s">
        <v>406</v>
      </c>
      <c r="G1407" s="2" t="s">
        <v>5</v>
      </c>
      <c r="H1407" s="2" t="s">
        <v>2297</v>
      </c>
      <c r="I1407" s="2" t="s">
        <v>10</v>
      </c>
      <c r="J1407" s="2" t="s">
        <v>17</v>
      </c>
      <c r="K1407" s="2" t="s">
        <v>4760</v>
      </c>
      <c r="L1407" s="2" t="s">
        <v>16</v>
      </c>
      <c r="M1407" s="2">
        <v>2</v>
      </c>
      <c r="N1407" s="2" t="s">
        <v>18</v>
      </c>
      <c r="O1407" s="2">
        <f>VLOOKUP(B1407,[1]Sheet1!$B$624:$E$1665,4,FALSE)</f>
        <v>0.2</v>
      </c>
      <c r="P1407" s="2" t="s">
        <v>16964</v>
      </c>
      <c r="T1407" s="2" t="s">
        <v>16964</v>
      </c>
    </row>
    <row r="1408" spans="1:20" hidden="1">
      <c r="A1408" s="3" t="s">
        <v>3784</v>
      </c>
      <c r="B1408" s="2" t="s">
        <v>2035</v>
      </c>
      <c r="D1408" s="66" t="s">
        <v>2652</v>
      </c>
      <c r="E1408" s="2">
        <v>2016</v>
      </c>
      <c r="F1408" s="2" t="s">
        <v>406</v>
      </c>
      <c r="G1408" s="2" t="s">
        <v>5</v>
      </c>
      <c r="H1408" s="2" t="s">
        <v>2297</v>
      </c>
      <c r="I1408" s="2" t="s">
        <v>10</v>
      </c>
      <c r="J1408" s="2" t="s">
        <v>129</v>
      </c>
      <c r="K1408" s="2" t="s">
        <v>4761</v>
      </c>
      <c r="L1408" s="2" t="s">
        <v>128</v>
      </c>
      <c r="M1408" s="2">
        <v>1</v>
      </c>
      <c r="N1408" s="2" t="s">
        <v>18</v>
      </c>
      <c r="O1408" s="2">
        <f>VLOOKUP(B1408,[1]Sheet1!$B$624:$E$1665,4,FALSE)</f>
        <v>0.4</v>
      </c>
      <c r="P1408" s="2" t="s">
        <v>16964</v>
      </c>
      <c r="T1408" s="2" t="s">
        <v>16964</v>
      </c>
    </row>
    <row r="1409" spans="1:24" hidden="1">
      <c r="A1409" s="3" t="s">
        <v>4376</v>
      </c>
      <c r="B1409" s="2" t="s">
        <v>2034</v>
      </c>
      <c r="D1409" s="66" t="s">
        <v>2656</v>
      </c>
      <c r="E1409" s="2">
        <v>2016</v>
      </c>
      <c r="F1409" s="2" t="s">
        <v>406</v>
      </c>
      <c r="G1409" s="2" t="s">
        <v>5</v>
      </c>
      <c r="H1409" s="2" t="s">
        <v>2298</v>
      </c>
      <c r="I1409" s="2" t="s">
        <v>10</v>
      </c>
      <c r="J1409" s="2" t="s">
        <v>266</v>
      </c>
      <c r="K1409" s="2" t="s">
        <v>4762</v>
      </c>
      <c r="L1409" s="2" t="s">
        <v>265</v>
      </c>
      <c r="M1409" s="2">
        <v>87</v>
      </c>
      <c r="N1409" s="2" t="s">
        <v>14</v>
      </c>
      <c r="O1409" s="2">
        <f>VLOOKUP(B1409,[1]Sheet1!$B$624:$E$1665,4,FALSE)</f>
        <v>0.4</v>
      </c>
      <c r="P1409" s="2" t="s">
        <v>16964</v>
      </c>
      <c r="T1409" s="2" t="s">
        <v>16964</v>
      </c>
    </row>
    <row r="1410" spans="1:24" hidden="1">
      <c r="A1410" s="3" t="s">
        <v>3403</v>
      </c>
      <c r="B1410" s="2" t="s">
        <v>2033</v>
      </c>
      <c r="D1410" s="66" t="s">
        <v>2658</v>
      </c>
      <c r="E1410" s="2">
        <v>2016</v>
      </c>
      <c r="F1410" s="2" t="s">
        <v>406</v>
      </c>
      <c r="G1410" s="2" t="s">
        <v>5</v>
      </c>
      <c r="H1410" s="2" t="s">
        <v>2297</v>
      </c>
      <c r="I1410" s="2" t="s">
        <v>10</v>
      </c>
      <c r="J1410" s="2" t="s">
        <v>1287</v>
      </c>
      <c r="K1410" s="2" t="s">
        <v>4763</v>
      </c>
      <c r="L1410" s="2" t="s">
        <v>1286</v>
      </c>
      <c r="M1410" s="2">
        <v>249</v>
      </c>
      <c r="N1410" s="2" t="s">
        <v>18</v>
      </c>
      <c r="O1410" s="2">
        <f>VLOOKUP(B1410,[1]Sheet1!$B$624:$E$1665,4,FALSE)</f>
        <v>0.2</v>
      </c>
      <c r="P1410" s="2" t="s">
        <v>16964</v>
      </c>
      <c r="T1410" s="2" t="s">
        <v>16964</v>
      </c>
    </row>
    <row r="1411" spans="1:24" hidden="1">
      <c r="A1411" s="3" t="s">
        <v>4181</v>
      </c>
      <c r="B1411" s="2" t="s">
        <v>2032</v>
      </c>
      <c r="D1411" s="66" t="s">
        <v>2635</v>
      </c>
      <c r="E1411" s="2">
        <v>2014</v>
      </c>
      <c r="F1411" s="2" t="s">
        <v>406</v>
      </c>
      <c r="G1411" s="2" t="s">
        <v>5</v>
      </c>
      <c r="H1411" s="2" t="s">
        <v>2299</v>
      </c>
      <c r="I1411" s="2" t="s">
        <v>10</v>
      </c>
      <c r="J1411" s="2" t="s">
        <v>35</v>
      </c>
      <c r="K1411" s="2" t="s">
        <v>4764</v>
      </c>
      <c r="L1411" s="2" t="s">
        <v>34</v>
      </c>
      <c r="M1411" s="2">
        <v>5</v>
      </c>
      <c r="N1411" s="2" t="s">
        <v>14</v>
      </c>
      <c r="O1411" s="2">
        <f>VLOOKUP(B1411,[1]Sheet1!$B$624:$E$1665,4,FALSE)</f>
        <v>0.2</v>
      </c>
      <c r="P1411" s="2" t="s">
        <v>16964</v>
      </c>
      <c r="T1411" s="2" t="s">
        <v>16964</v>
      </c>
    </row>
    <row r="1412" spans="1:24" hidden="1">
      <c r="A1412" s="3" t="s">
        <v>3753</v>
      </c>
      <c r="B1412" s="2" t="s">
        <v>2031</v>
      </c>
      <c r="D1412" s="66" t="s">
        <v>2637</v>
      </c>
      <c r="E1412" s="2">
        <v>2014</v>
      </c>
      <c r="F1412" s="2" t="s">
        <v>406</v>
      </c>
      <c r="G1412" s="2" t="s">
        <v>5</v>
      </c>
      <c r="H1412" s="2" t="s">
        <v>2299</v>
      </c>
      <c r="I1412" s="2" t="s">
        <v>2288</v>
      </c>
      <c r="J1412" s="2" t="s">
        <v>40</v>
      </c>
      <c r="K1412" s="2" t="s">
        <v>4765</v>
      </c>
      <c r="L1412" s="2" t="s">
        <v>39</v>
      </c>
      <c r="M1412" s="2">
        <v>37</v>
      </c>
      <c r="N1412" s="2" t="s">
        <v>9</v>
      </c>
      <c r="O1412" s="2">
        <f>VLOOKUP(B1412,[1]Sheet1!$B$624:$E$1665,4,FALSE)</f>
        <v>0.2</v>
      </c>
      <c r="P1412" s="2" t="s">
        <v>16964</v>
      </c>
      <c r="T1412" s="2" t="s">
        <v>16964</v>
      </c>
    </row>
    <row r="1413" spans="1:24" hidden="1">
      <c r="A1413" s="3" t="s">
        <v>4393</v>
      </c>
      <c r="B1413" s="2" t="s">
        <v>2030</v>
      </c>
      <c r="D1413" s="66" t="s">
        <v>2638</v>
      </c>
      <c r="E1413" s="2">
        <v>2014</v>
      </c>
      <c r="F1413" s="2" t="s">
        <v>406</v>
      </c>
      <c r="G1413" s="2" t="s">
        <v>5</v>
      </c>
      <c r="H1413" s="2" t="s">
        <v>2299</v>
      </c>
      <c r="I1413" s="2" t="s">
        <v>10</v>
      </c>
      <c r="J1413" s="2" t="s">
        <v>1037</v>
      </c>
      <c r="K1413" s="2" t="s">
        <v>4766</v>
      </c>
      <c r="L1413" s="2" t="s">
        <v>764</v>
      </c>
      <c r="M1413" s="2">
        <v>219</v>
      </c>
      <c r="N1413" s="2" t="s">
        <v>18</v>
      </c>
      <c r="O1413" s="2">
        <f>VLOOKUP(B1413,[1]Sheet1!$B$624:$E$1665,4,FALSE)</f>
        <v>0.2</v>
      </c>
      <c r="P1413" s="2" t="s">
        <v>16964</v>
      </c>
      <c r="T1413" s="2" t="s">
        <v>16964</v>
      </c>
    </row>
    <row r="1414" spans="1:24" hidden="1">
      <c r="A1414" s="3" t="s">
        <v>3698</v>
      </c>
      <c r="B1414" s="2" t="s">
        <v>2029</v>
      </c>
      <c r="D1414" s="66" t="s">
        <v>2636</v>
      </c>
      <c r="E1414" s="2">
        <v>2014</v>
      </c>
      <c r="F1414" s="2" t="s">
        <v>406</v>
      </c>
      <c r="G1414" s="2" t="s">
        <v>5</v>
      </c>
      <c r="H1414" s="2" t="s">
        <v>2299</v>
      </c>
      <c r="I1414" s="2" t="s">
        <v>2288</v>
      </c>
      <c r="J1414" s="2" t="s">
        <v>146</v>
      </c>
      <c r="K1414" s="2" t="s">
        <v>738</v>
      </c>
      <c r="L1414" s="2" t="s">
        <v>145</v>
      </c>
      <c r="M1414" s="2">
        <v>20</v>
      </c>
      <c r="N1414" s="2" t="s">
        <v>9</v>
      </c>
      <c r="O1414" s="2">
        <f>VLOOKUP(B1414,[1]Sheet1!$B$624:$E$1665,4,FALSE)</f>
        <v>0.2</v>
      </c>
      <c r="P1414" s="2" t="s">
        <v>16964</v>
      </c>
      <c r="T1414" s="2" t="s">
        <v>16964</v>
      </c>
    </row>
    <row r="1415" spans="1:24" hidden="1">
      <c r="A1415" s="3" t="s">
        <v>4339</v>
      </c>
      <c r="B1415" s="2" t="s">
        <v>2028</v>
      </c>
      <c r="D1415" s="66" t="s">
        <v>2659</v>
      </c>
      <c r="E1415" s="2">
        <v>2017</v>
      </c>
      <c r="F1415" s="2" t="s">
        <v>406</v>
      </c>
      <c r="G1415" s="2" t="s">
        <v>5</v>
      </c>
      <c r="H1415" s="2" t="s">
        <v>2297</v>
      </c>
      <c r="I1415" s="2" t="s">
        <v>10</v>
      </c>
      <c r="J1415" s="2" t="s">
        <v>266</v>
      </c>
      <c r="K1415" s="2" t="s">
        <v>4767</v>
      </c>
      <c r="L1415" s="2" t="s">
        <v>265</v>
      </c>
      <c r="M1415" s="2">
        <v>2103</v>
      </c>
      <c r="N1415" s="2" t="s">
        <v>14</v>
      </c>
      <c r="O1415" s="2">
        <f>VLOOKUP(B1415,[1]Sheet1!$B$624:$E$1665,4,FALSE)</f>
        <v>0.8</v>
      </c>
      <c r="P1415" s="13" t="s">
        <v>16963</v>
      </c>
      <c r="T1415" s="2" t="s">
        <v>16964</v>
      </c>
    </row>
    <row r="1416" spans="1:24" hidden="1">
      <c r="A1416" s="3" t="s">
        <v>2828</v>
      </c>
      <c r="B1416" s="2" t="s">
        <v>1935</v>
      </c>
      <c r="D1416" s="66" t="s">
        <v>17415</v>
      </c>
      <c r="E1416" s="2">
        <v>2016</v>
      </c>
      <c r="F1416" s="2" t="s">
        <v>2690</v>
      </c>
      <c r="G1416" s="2" t="s">
        <v>5</v>
      </c>
      <c r="H1416" s="2" t="s">
        <v>2292</v>
      </c>
      <c r="I1416" s="2" t="s">
        <v>2288</v>
      </c>
      <c r="J1416" s="2" t="s">
        <v>415</v>
      </c>
      <c r="K1416" s="2" t="s">
        <v>4565</v>
      </c>
      <c r="L1416" s="2" t="s">
        <v>414</v>
      </c>
      <c r="M1416" s="2">
        <v>204</v>
      </c>
      <c r="N1416" s="2" t="s">
        <v>9</v>
      </c>
      <c r="O1416" s="2">
        <f>VLOOKUP(B1416,[1]Sheet1!$B$624:$E$1665,4,FALSE)</f>
        <v>1.6</v>
      </c>
      <c r="P1416" s="2" t="s">
        <v>16963</v>
      </c>
      <c r="T1416" s="2" t="s">
        <v>16963</v>
      </c>
      <c r="U1416" s="67" t="s">
        <v>2627</v>
      </c>
    </row>
    <row r="1417" spans="1:24" hidden="1">
      <c r="A1417" s="3" t="s">
        <v>4065</v>
      </c>
      <c r="B1417" s="2" t="s">
        <v>1936</v>
      </c>
      <c r="D1417" s="66" t="s">
        <v>17416</v>
      </c>
      <c r="E1417" s="2">
        <v>2017</v>
      </c>
      <c r="F1417" s="2" t="s">
        <v>2690</v>
      </c>
      <c r="G1417" s="2" t="s">
        <v>5</v>
      </c>
      <c r="H1417" s="2" t="s">
        <v>2772</v>
      </c>
      <c r="I1417" s="2" t="s">
        <v>10</v>
      </c>
      <c r="J1417" s="2" t="s">
        <v>59</v>
      </c>
      <c r="K1417" s="2" t="s">
        <v>4662</v>
      </c>
      <c r="L1417" s="2" t="s">
        <v>58</v>
      </c>
      <c r="M1417" s="2">
        <v>6</v>
      </c>
      <c r="N1417" s="2" t="s">
        <v>18</v>
      </c>
      <c r="O1417" s="2">
        <f>VLOOKUP(B1417,[1]Sheet1!$B$624:$E$1665,4,FALSE)</f>
        <v>0.4</v>
      </c>
      <c r="P1417" s="2" t="s">
        <v>16964</v>
      </c>
      <c r="T1417" s="2" t="s">
        <v>16964</v>
      </c>
    </row>
    <row r="1418" spans="1:24" hidden="1">
      <c r="A1418" s="3" t="s">
        <v>4435</v>
      </c>
      <c r="B1418" s="2" t="s">
        <v>1937</v>
      </c>
      <c r="D1418" s="66" t="s">
        <v>17391</v>
      </c>
      <c r="E1418" s="2">
        <v>2017</v>
      </c>
      <c r="F1418" s="2" t="s">
        <v>2690</v>
      </c>
      <c r="G1418" s="2" t="s">
        <v>5</v>
      </c>
      <c r="H1418" s="2" t="s">
        <v>2292</v>
      </c>
      <c r="I1418" s="2" t="s">
        <v>2288</v>
      </c>
      <c r="J1418" s="2" t="s">
        <v>8</v>
      </c>
      <c r="K1418" s="2" t="s">
        <v>596</v>
      </c>
      <c r="L1418" s="2" t="s">
        <v>7</v>
      </c>
      <c r="M1418" s="2">
        <v>121</v>
      </c>
      <c r="N1418" s="2" t="s">
        <v>9</v>
      </c>
      <c r="O1418" s="2">
        <f>VLOOKUP(B1418,[1]Sheet1!$B$624:$E$1665,4,FALSE)</f>
        <v>1.6</v>
      </c>
      <c r="P1418" s="2" t="s">
        <v>16963</v>
      </c>
      <c r="T1418" s="2" t="s">
        <v>16963</v>
      </c>
      <c r="X1418" s="67" t="s">
        <v>4722</v>
      </c>
    </row>
    <row r="1419" spans="1:24" hidden="1">
      <c r="A1419" s="3" t="s">
        <v>3408</v>
      </c>
      <c r="B1419" s="2" t="s">
        <v>1938</v>
      </c>
      <c r="D1419" s="66" t="s">
        <v>17392</v>
      </c>
      <c r="E1419" s="2">
        <v>2018</v>
      </c>
      <c r="F1419" s="2" t="s">
        <v>2690</v>
      </c>
      <c r="G1419" s="2" t="s">
        <v>5</v>
      </c>
      <c r="H1419" s="2" t="s">
        <v>2292</v>
      </c>
      <c r="I1419" s="2" t="s">
        <v>10</v>
      </c>
      <c r="J1419" s="2" t="s">
        <v>17</v>
      </c>
      <c r="K1419" s="2" t="s">
        <v>4555</v>
      </c>
      <c r="L1419" s="2" t="s">
        <v>16</v>
      </c>
      <c r="M1419" s="2">
        <v>2</v>
      </c>
      <c r="N1419" s="2" t="s">
        <v>18</v>
      </c>
      <c r="O1419" s="2">
        <f>VLOOKUP(B1419,[1]Sheet1!$B$624:$E$1665,4,FALSE)</f>
        <v>0.8</v>
      </c>
      <c r="P1419" s="2" t="s">
        <v>16963</v>
      </c>
      <c r="T1419" s="2" t="s">
        <v>16963</v>
      </c>
      <c r="X1419" s="67" t="s">
        <v>4724</v>
      </c>
    </row>
    <row r="1420" spans="1:24" hidden="1">
      <c r="A1420" s="3" t="s">
        <v>3453</v>
      </c>
      <c r="B1420" s="2" t="s">
        <v>1939</v>
      </c>
      <c r="D1420" s="66" t="s">
        <v>17393</v>
      </c>
      <c r="E1420" s="2">
        <v>2018</v>
      </c>
      <c r="F1420" s="2" t="s">
        <v>2690</v>
      </c>
      <c r="G1420" s="2" t="s">
        <v>5</v>
      </c>
      <c r="H1420" s="2" t="s">
        <v>2292</v>
      </c>
      <c r="I1420" s="2" t="s">
        <v>2288</v>
      </c>
      <c r="J1420" s="2" t="s">
        <v>8</v>
      </c>
      <c r="K1420" s="2" t="s">
        <v>4496</v>
      </c>
      <c r="L1420" s="2" t="s">
        <v>7</v>
      </c>
      <c r="M1420" s="2">
        <v>121</v>
      </c>
      <c r="N1420" s="2" t="s">
        <v>9</v>
      </c>
      <c r="O1420" s="2">
        <f>VLOOKUP(B1420,[1]Sheet1!$B$624:$E$1665,4,FALSE)</f>
        <v>0.8</v>
      </c>
      <c r="P1420" s="2" t="s">
        <v>16963</v>
      </c>
      <c r="T1420" s="2" t="s">
        <v>16963</v>
      </c>
      <c r="X1420" s="67" t="s">
        <v>4722</v>
      </c>
    </row>
    <row r="1421" spans="1:24" hidden="1">
      <c r="A1421" s="3" t="s">
        <v>2872</v>
      </c>
      <c r="B1421" s="2" t="s">
        <v>1940</v>
      </c>
      <c r="D1421" s="66" t="s">
        <v>17394</v>
      </c>
      <c r="E1421" s="2">
        <v>2018</v>
      </c>
      <c r="F1421" s="2" t="s">
        <v>2690</v>
      </c>
      <c r="G1421" s="2" t="s">
        <v>5</v>
      </c>
      <c r="H1421" s="2" t="s">
        <v>2292</v>
      </c>
      <c r="I1421" s="2" t="s">
        <v>2288</v>
      </c>
      <c r="J1421" s="2" t="s">
        <v>415</v>
      </c>
      <c r="K1421" s="2" t="s">
        <v>4565</v>
      </c>
      <c r="L1421" s="2" t="s">
        <v>414</v>
      </c>
      <c r="M1421" s="2">
        <v>204</v>
      </c>
      <c r="N1421" s="2" t="s">
        <v>9</v>
      </c>
      <c r="O1421" s="2">
        <f>VLOOKUP(B1421,[1]Sheet1!$B$624:$E$1665,4,FALSE)</f>
        <v>0.4</v>
      </c>
      <c r="P1421" s="2" t="s">
        <v>16964</v>
      </c>
      <c r="T1421" s="2" t="s">
        <v>16964</v>
      </c>
    </row>
    <row r="1422" spans="1:24" hidden="1">
      <c r="A1422" s="3" t="s">
        <v>3053</v>
      </c>
      <c r="B1422" s="2" t="s">
        <v>1941</v>
      </c>
      <c r="D1422" s="66" t="s">
        <v>17395</v>
      </c>
      <c r="E1422" s="2">
        <v>2019</v>
      </c>
      <c r="F1422" s="2" t="s">
        <v>2690</v>
      </c>
      <c r="G1422" s="2" t="s">
        <v>5</v>
      </c>
      <c r="H1422" s="2" t="s">
        <v>2772</v>
      </c>
      <c r="I1422" s="2" t="s">
        <v>2288</v>
      </c>
      <c r="J1422" s="2" t="s">
        <v>8</v>
      </c>
      <c r="K1422" s="2" t="s">
        <v>22</v>
      </c>
      <c r="L1422" s="2" t="s">
        <v>7</v>
      </c>
      <c r="M1422" s="2">
        <v>121</v>
      </c>
      <c r="N1422" s="2" t="s">
        <v>9</v>
      </c>
      <c r="O1422" s="2">
        <f>VLOOKUP(B1422,[1]Sheet1!$B$624:$E$1665,4,FALSE)</f>
        <v>0.8</v>
      </c>
      <c r="P1422" s="2" t="s">
        <v>16963</v>
      </c>
      <c r="T1422" s="2" t="s">
        <v>16963</v>
      </c>
      <c r="X1422" s="67" t="s">
        <v>4722</v>
      </c>
    </row>
    <row r="1423" spans="1:24" hidden="1">
      <c r="A1423" s="3" t="s">
        <v>4384</v>
      </c>
      <c r="B1423" s="2" t="s">
        <v>1942</v>
      </c>
      <c r="D1423" s="66" t="s">
        <v>17390</v>
      </c>
      <c r="E1423" s="2">
        <v>2019</v>
      </c>
      <c r="F1423" s="2" t="s">
        <v>2690</v>
      </c>
      <c r="G1423" s="2" t="s">
        <v>5</v>
      </c>
      <c r="H1423" s="2" t="s">
        <v>2292</v>
      </c>
      <c r="I1423" s="2" t="s">
        <v>2288</v>
      </c>
      <c r="J1423" s="2" t="s">
        <v>20</v>
      </c>
      <c r="K1423" s="2" t="s">
        <v>4687</v>
      </c>
      <c r="L1423" s="2" t="s">
        <v>19</v>
      </c>
      <c r="M1423" s="2">
        <v>9</v>
      </c>
      <c r="N1423" s="2" t="s">
        <v>21</v>
      </c>
      <c r="O1423" s="2">
        <f>VLOOKUP(B1423,[1]Sheet1!$B$624:$E$1665,4,FALSE)</f>
        <v>0.4</v>
      </c>
      <c r="P1423" s="2" t="s">
        <v>16964</v>
      </c>
      <c r="T1423" s="2" t="s">
        <v>16964</v>
      </c>
    </row>
    <row r="1424" spans="1:24" hidden="1">
      <c r="A1424" s="3" t="s">
        <v>3594</v>
      </c>
      <c r="B1424" s="2" t="s">
        <v>1943</v>
      </c>
      <c r="D1424" s="66" t="s">
        <v>17417</v>
      </c>
      <c r="E1424" s="2">
        <v>2019</v>
      </c>
      <c r="F1424" s="2" t="s">
        <v>2690</v>
      </c>
      <c r="G1424" s="2" t="s">
        <v>5</v>
      </c>
      <c r="H1424" s="2" t="s">
        <v>2292</v>
      </c>
      <c r="I1424" s="2" t="s">
        <v>2288</v>
      </c>
      <c r="J1424" s="2" t="s">
        <v>40</v>
      </c>
      <c r="K1424" s="2" t="s">
        <v>4617</v>
      </c>
      <c r="L1424" s="2" t="s">
        <v>39</v>
      </c>
      <c r="M1424" s="2">
        <v>37</v>
      </c>
      <c r="N1424" s="2" t="s">
        <v>9</v>
      </c>
      <c r="O1424" s="2">
        <f>VLOOKUP(B1424,[1]Sheet1!$B$624:$E$1665,4,FALSE)</f>
        <v>0.4</v>
      </c>
      <c r="P1424" s="2" t="s">
        <v>16964</v>
      </c>
      <c r="T1424" s="2" t="s">
        <v>16964</v>
      </c>
    </row>
    <row r="1425" spans="1:20" hidden="1">
      <c r="A1425" s="3" t="s">
        <v>4074</v>
      </c>
      <c r="B1425" s="2" t="s">
        <v>1944</v>
      </c>
      <c r="D1425" s="66" t="s">
        <v>17389</v>
      </c>
      <c r="E1425" s="2">
        <v>2020</v>
      </c>
      <c r="F1425" s="2" t="s">
        <v>2690</v>
      </c>
      <c r="G1425" s="2" t="s">
        <v>5</v>
      </c>
      <c r="H1425" s="2" t="s">
        <v>2292</v>
      </c>
      <c r="I1425" s="2" t="s">
        <v>2288</v>
      </c>
      <c r="J1425" s="2" t="s">
        <v>120</v>
      </c>
      <c r="K1425" s="2" t="s">
        <v>4532</v>
      </c>
      <c r="L1425" s="2" t="s">
        <v>119</v>
      </c>
      <c r="M1425" s="2">
        <v>155</v>
      </c>
      <c r="N1425" s="2" t="s">
        <v>9</v>
      </c>
      <c r="O1425" s="2">
        <f>VLOOKUP(B1425,[1]Sheet1!$B$624:$E$1665,4,FALSE)</f>
        <v>0.4</v>
      </c>
      <c r="P1425" s="2" t="s">
        <v>16964</v>
      </c>
      <c r="T1425" s="2" t="s">
        <v>16964</v>
      </c>
    </row>
    <row r="1426" spans="1:20" hidden="1">
      <c r="A1426" s="3" t="s">
        <v>4162</v>
      </c>
      <c r="B1426" s="2" t="s">
        <v>1945</v>
      </c>
      <c r="D1426" s="66" t="s">
        <v>17418</v>
      </c>
      <c r="E1426" s="2">
        <v>2021</v>
      </c>
      <c r="F1426" s="2" t="s">
        <v>2690</v>
      </c>
      <c r="G1426" s="2" t="s">
        <v>5</v>
      </c>
      <c r="H1426" s="2" t="s">
        <v>2292</v>
      </c>
      <c r="I1426" s="2" t="s">
        <v>2288</v>
      </c>
      <c r="J1426" s="2" t="s">
        <v>102</v>
      </c>
      <c r="K1426" s="2" t="s">
        <v>4668</v>
      </c>
      <c r="L1426" s="2" t="s">
        <v>101</v>
      </c>
      <c r="M1426" s="2">
        <v>7</v>
      </c>
      <c r="N1426" s="2" t="s">
        <v>9</v>
      </c>
      <c r="O1426" s="2">
        <f>VLOOKUP(B1426,[1]Sheet1!$B$624:$E$1665,4,FALSE)</f>
        <v>0.4</v>
      </c>
      <c r="P1426" s="2" t="s">
        <v>16964</v>
      </c>
      <c r="T1426" s="2" t="s">
        <v>16964</v>
      </c>
    </row>
    <row r="1427" spans="1:20" hidden="1">
      <c r="A1427" s="3" t="s">
        <v>4051</v>
      </c>
      <c r="B1427" s="2" t="s">
        <v>1980</v>
      </c>
      <c r="D1427" s="66" t="str">
        <f>VLOOKUP("*"&amp;A1427&amp;"*",[2]Sheet1!$G$2:$X$1155,18,FALSE)</f>
        <v>ERR10549780</v>
      </c>
      <c r="E1427" s="2">
        <v>2016</v>
      </c>
      <c r="F1427" s="2" t="s">
        <v>1112</v>
      </c>
      <c r="G1427" s="2" t="s">
        <v>318</v>
      </c>
      <c r="H1427" s="2" t="s">
        <v>2319</v>
      </c>
      <c r="I1427" s="2" t="s">
        <v>10</v>
      </c>
      <c r="J1427" s="2" t="s">
        <v>129</v>
      </c>
      <c r="K1427" s="2" t="s">
        <v>4467</v>
      </c>
      <c r="L1427" s="2" t="s">
        <v>128</v>
      </c>
      <c r="M1427" s="2">
        <v>1</v>
      </c>
      <c r="N1427" s="2" t="s">
        <v>18</v>
      </c>
      <c r="T1427" s="2" t="s">
        <v>16964</v>
      </c>
    </row>
    <row r="1428" spans="1:20" hidden="1">
      <c r="A1428" s="3" t="s">
        <v>4257</v>
      </c>
      <c r="B1428" s="2" t="s">
        <v>1981</v>
      </c>
      <c r="D1428" s="66" t="str">
        <f>VLOOKUP("*"&amp;A1428&amp;"*",[2]Sheet1!$G$2:$X$1155,18,FALSE)</f>
        <v>ERR10549774</v>
      </c>
      <c r="E1428" s="2">
        <v>2016</v>
      </c>
      <c r="F1428" s="2" t="s">
        <v>1112</v>
      </c>
      <c r="G1428" s="2" t="s">
        <v>318</v>
      </c>
      <c r="H1428" s="2" t="s">
        <v>2320</v>
      </c>
      <c r="I1428" s="2" t="s">
        <v>10</v>
      </c>
      <c r="J1428" s="2" t="s">
        <v>129</v>
      </c>
      <c r="K1428" s="2" t="s">
        <v>4468</v>
      </c>
      <c r="L1428" s="2" t="s">
        <v>128</v>
      </c>
      <c r="M1428" s="2">
        <v>1</v>
      </c>
      <c r="N1428" s="2" t="s">
        <v>18</v>
      </c>
      <c r="T1428" s="2" t="s">
        <v>16964</v>
      </c>
    </row>
    <row r="1429" spans="1:20" hidden="1">
      <c r="A1429" s="3" t="s">
        <v>4424</v>
      </c>
      <c r="B1429" s="2" t="s">
        <v>1982</v>
      </c>
      <c r="D1429" s="66" t="str">
        <f>VLOOKUP("*"&amp;A1429&amp;"*",[2]Sheet1!$G$2:$X$1155,18,FALSE)</f>
        <v>ERR10549782</v>
      </c>
      <c r="E1429" s="2">
        <v>2016</v>
      </c>
      <c r="F1429" s="2" t="s">
        <v>1112</v>
      </c>
      <c r="G1429" s="2" t="s">
        <v>318</v>
      </c>
      <c r="H1429" s="2" t="s">
        <v>2319</v>
      </c>
      <c r="I1429" s="2" t="s">
        <v>10</v>
      </c>
      <c r="J1429" s="2" t="s">
        <v>129</v>
      </c>
      <c r="K1429" s="2" t="s">
        <v>4469</v>
      </c>
      <c r="L1429" s="2" t="s">
        <v>128</v>
      </c>
      <c r="M1429" s="2">
        <v>1</v>
      </c>
      <c r="N1429" s="2" t="s">
        <v>18</v>
      </c>
      <c r="T1429" s="2" t="s">
        <v>16964</v>
      </c>
    </row>
    <row r="1430" spans="1:20" hidden="1">
      <c r="A1430" s="3" t="s">
        <v>3932</v>
      </c>
      <c r="B1430" s="2" t="s">
        <v>1983</v>
      </c>
      <c r="D1430" s="66" t="str">
        <f>VLOOKUP("*"&amp;A1430&amp;"*",[2]Sheet1!$G$2:$X$1155,18,FALSE)</f>
        <v>ERR10549781</v>
      </c>
      <c r="E1430" s="2">
        <v>2017</v>
      </c>
      <c r="F1430" s="2" t="s">
        <v>1112</v>
      </c>
      <c r="G1430" s="2" t="s">
        <v>318</v>
      </c>
      <c r="H1430" s="2" t="s">
        <v>2319</v>
      </c>
      <c r="I1430" s="2" t="s">
        <v>2288</v>
      </c>
      <c r="J1430" s="2" t="s">
        <v>4470</v>
      </c>
      <c r="K1430" s="2" t="s">
        <v>4471</v>
      </c>
      <c r="L1430" s="2" t="s">
        <v>2321</v>
      </c>
      <c r="M1430" s="2">
        <v>184</v>
      </c>
      <c r="N1430" s="2" t="s">
        <v>21</v>
      </c>
      <c r="T1430" s="2" t="s">
        <v>16964</v>
      </c>
    </row>
    <row r="1431" spans="1:20" hidden="1">
      <c r="A1431" s="3" t="s">
        <v>3065</v>
      </c>
      <c r="B1431" s="2" t="s">
        <v>1984</v>
      </c>
      <c r="D1431" s="66" t="str">
        <f>VLOOKUP("*"&amp;A1431&amp;"*",[2]Sheet1!$G$2:$X$1155,18,FALSE)</f>
        <v>ERR10549778</v>
      </c>
      <c r="E1431" s="2">
        <v>2017</v>
      </c>
      <c r="F1431" s="2" t="s">
        <v>1112</v>
      </c>
      <c r="G1431" s="2" t="s">
        <v>318</v>
      </c>
      <c r="H1431" s="2" t="s">
        <v>1472</v>
      </c>
      <c r="I1431" s="2" t="s">
        <v>2288</v>
      </c>
      <c r="J1431" s="2" t="s">
        <v>115</v>
      </c>
      <c r="K1431" s="2" t="s">
        <v>1124</v>
      </c>
      <c r="L1431" s="2" t="s">
        <v>114</v>
      </c>
      <c r="M1431" s="2">
        <v>21</v>
      </c>
      <c r="N1431" s="2" t="s">
        <v>9</v>
      </c>
      <c r="T1431" s="2" t="s">
        <v>16964</v>
      </c>
    </row>
    <row r="1432" spans="1:20" hidden="1">
      <c r="A1432" s="3" t="s">
        <v>3561</v>
      </c>
      <c r="B1432" s="2" t="s">
        <v>1985</v>
      </c>
      <c r="D1432" s="66" t="str">
        <f>VLOOKUP("*"&amp;A1432&amp;"*",[2]Sheet1!$G$2:$X$1155,18,FALSE)</f>
        <v>ERR10549813</v>
      </c>
      <c r="E1432" s="2">
        <v>2017</v>
      </c>
      <c r="F1432" s="2" t="s">
        <v>1112</v>
      </c>
      <c r="G1432" s="2" t="s">
        <v>318</v>
      </c>
      <c r="H1432" s="2" t="s">
        <v>1472</v>
      </c>
      <c r="I1432" s="2" t="s">
        <v>2288</v>
      </c>
      <c r="J1432" s="2" t="s">
        <v>4470</v>
      </c>
      <c r="K1432" s="2" t="s">
        <v>4472</v>
      </c>
      <c r="L1432" s="2" t="s">
        <v>2321</v>
      </c>
      <c r="M1432" s="2">
        <v>184</v>
      </c>
      <c r="N1432" s="2" t="s">
        <v>21</v>
      </c>
      <c r="T1432" s="2" t="s">
        <v>16964</v>
      </c>
    </row>
    <row r="1433" spans="1:20" hidden="1">
      <c r="A1433" s="3" t="s">
        <v>4241</v>
      </c>
      <c r="B1433" s="2" t="s">
        <v>1986</v>
      </c>
      <c r="D1433" s="66" t="str">
        <f>VLOOKUP("*"&amp;A1433&amp;"*",[2]Sheet1!$G$2:$X$1155,18,FALSE)</f>
        <v>ERR10549779</v>
      </c>
      <c r="E1433" s="2">
        <v>2017</v>
      </c>
      <c r="F1433" s="2" t="s">
        <v>1112</v>
      </c>
      <c r="G1433" s="2" t="s">
        <v>318</v>
      </c>
      <c r="H1433" s="2" t="s">
        <v>2319</v>
      </c>
      <c r="I1433" s="2" t="s">
        <v>10</v>
      </c>
      <c r="J1433" s="2" t="s">
        <v>129</v>
      </c>
      <c r="K1433" s="2" t="s">
        <v>4473</v>
      </c>
      <c r="L1433" s="2" t="s">
        <v>128</v>
      </c>
      <c r="M1433" s="2">
        <v>1</v>
      </c>
      <c r="N1433" s="2" t="s">
        <v>18</v>
      </c>
      <c r="T1433" s="2" t="s">
        <v>16964</v>
      </c>
    </row>
    <row r="1434" spans="1:20" hidden="1">
      <c r="A1434" s="3" t="s">
        <v>4050</v>
      </c>
      <c r="B1434" s="2" t="s">
        <v>1987</v>
      </c>
      <c r="D1434" s="66" t="str">
        <f>VLOOKUP("*"&amp;A1434&amp;"*",[2]Sheet1!$G$2:$X$1155,18,FALSE)</f>
        <v>ERR10549727</v>
      </c>
      <c r="E1434" s="2">
        <v>2010</v>
      </c>
      <c r="F1434" s="2" t="s">
        <v>1112</v>
      </c>
      <c r="G1434" s="2" t="s">
        <v>318</v>
      </c>
      <c r="H1434" s="2" t="s">
        <v>2319</v>
      </c>
      <c r="I1434" s="2" t="s">
        <v>10</v>
      </c>
      <c r="J1434" s="2" t="s">
        <v>129</v>
      </c>
      <c r="K1434" s="2" t="s">
        <v>4474</v>
      </c>
      <c r="L1434" s="2" t="s">
        <v>128</v>
      </c>
      <c r="M1434" s="2">
        <v>1</v>
      </c>
      <c r="N1434" s="2" t="s">
        <v>18</v>
      </c>
      <c r="T1434" s="2" t="s">
        <v>16964</v>
      </c>
    </row>
    <row r="1435" spans="1:20" hidden="1">
      <c r="A1435" s="3" t="s">
        <v>3891</v>
      </c>
      <c r="B1435" s="2" t="s">
        <v>1988</v>
      </c>
      <c r="D1435" s="66" t="str">
        <f>VLOOKUP("*"&amp;A1435&amp;"*",[2]Sheet1!$G$2:$X$1155,18,FALSE)</f>
        <v>ERR10549802</v>
      </c>
      <c r="E1435" s="2">
        <v>2017</v>
      </c>
      <c r="F1435" s="2" t="s">
        <v>1112</v>
      </c>
      <c r="G1435" s="2" t="s">
        <v>318</v>
      </c>
      <c r="H1435" s="2" t="s">
        <v>2320</v>
      </c>
      <c r="I1435" s="2" t="s">
        <v>10</v>
      </c>
      <c r="J1435" s="2" t="s">
        <v>765</v>
      </c>
      <c r="K1435" s="2" t="s">
        <v>4475</v>
      </c>
      <c r="L1435" s="2" t="s">
        <v>764</v>
      </c>
      <c r="M1435" s="2">
        <v>4</v>
      </c>
      <c r="N1435" s="2" t="s">
        <v>18</v>
      </c>
      <c r="T1435" s="2" t="s">
        <v>16964</v>
      </c>
    </row>
    <row r="1436" spans="1:20" hidden="1">
      <c r="A1436" s="3" t="s">
        <v>4058</v>
      </c>
      <c r="B1436" s="2" t="s">
        <v>1989</v>
      </c>
      <c r="D1436" s="66" t="str">
        <f>VLOOKUP("*"&amp;A1436&amp;"*",[2]Sheet1!$G$2:$X$1155,18,FALSE)</f>
        <v>ERR10549777</v>
      </c>
      <c r="E1436" s="2">
        <v>2017</v>
      </c>
      <c r="F1436" s="2" t="s">
        <v>1112</v>
      </c>
      <c r="G1436" s="2" t="s">
        <v>318</v>
      </c>
      <c r="H1436" s="2" t="s">
        <v>2320</v>
      </c>
      <c r="I1436" s="2" t="s">
        <v>10</v>
      </c>
      <c r="J1436" s="2" t="s">
        <v>129</v>
      </c>
      <c r="K1436" s="2" t="s">
        <v>4476</v>
      </c>
      <c r="L1436" s="2" t="s">
        <v>128</v>
      </c>
      <c r="M1436" s="2">
        <v>1</v>
      </c>
      <c r="N1436" s="2" t="s">
        <v>18</v>
      </c>
      <c r="T1436" s="2" t="s">
        <v>16964</v>
      </c>
    </row>
    <row r="1437" spans="1:20" hidden="1">
      <c r="A1437" s="3" t="s">
        <v>4269</v>
      </c>
      <c r="B1437" s="2" t="s">
        <v>1990</v>
      </c>
      <c r="D1437" s="66" t="str">
        <f>VLOOKUP("*"&amp;A1437&amp;"*",[2]Sheet1!$G$2:$X$1155,18,FALSE)</f>
        <v>ERR10549803</v>
      </c>
      <c r="E1437" s="2">
        <v>2018</v>
      </c>
      <c r="F1437" s="2" t="s">
        <v>1112</v>
      </c>
      <c r="G1437" s="2" t="s">
        <v>5</v>
      </c>
      <c r="H1437" s="2" t="s">
        <v>2322</v>
      </c>
      <c r="I1437" s="2" t="s">
        <v>10</v>
      </c>
      <c r="J1437" s="2" t="s">
        <v>129</v>
      </c>
      <c r="K1437" s="2" t="s">
        <v>4477</v>
      </c>
      <c r="L1437" s="2" t="s">
        <v>128</v>
      </c>
      <c r="M1437" s="2">
        <v>1</v>
      </c>
      <c r="N1437" s="2" t="s">
        <v>18</v>
      </c>
      <c r="T1437" s="2" t="s">
        <v>16964</v>
      </c>
    </row>
    <row r="1438" spans="1:20" hidden="1">
      <c r="A1438" s="3" t="s">
        <v>4017</v>
      </c>
      <c r="B1438" s="2" t="s">
        <v>1991</v>
      </c>
      <c r="D1438" s="66" t="str">
        <f>VLOOKUP("*"&amp;A1438&amp;"*",[2]Sheet1!$G$2:$X$1155,18,FALSE)</f>
        <v>ERR10549934</v>
      </c>
      <c r="E1438" s="2">
        <v>2019</v>
      </c>
      <c r="F1438" s="2" t="s">
        <v>1112</v>
      </c>
      <c r="G1438" s="2" t="s">
        <v>5</v>
      </c>
      <c r="H1438" s="2" t="s">
        <v>2322</v>
      </c>
      <c r="I1438" s="2" t="s">
        <v>2288</v>
      </c>
      <c r="J1438" s="2" t="s">
        <v>889</v>
      </c>
      <c r="K1438" s="2" t="s">
        <v>4478</v>
      </c>
      <c r="L1438" s="2" t="s">
        <v>888</v>
      </c>
      <c r="M1438" s="2">
        <v>398</v>
      </c>
      <c r="N1438" s="2" t="s">
        <v>9</v>
      </c>
      <c r="T1438" s="2" t="s">
        <v>16964</v>
      </c>
    </row>
    <row r="1439" spans="1:20" hidden="1">
      <c r="A1439" s="3" t="s">
        <v>4110</v>
      </c>
      <c r="B1439" s="2" t="s">
        <v>1992</v>
      </c>
      <c r="D1439" s="66" t="s">
        <v>2703</v>
      </c>
      <c r="E1439" s="2">
        <v>2018</v>
      </c>
      <c r="F1439" s="2" t="s">
        <v>1112</v>
      </c>
      <c r="G1439" s="2" t="s">
        <v>318</v>
      </c>
      <c r="H1439" s="2" t="s">
        <v>1472</v>
      </c>
      <c r="I1439" s="2" t="s">
        <v>10</v>
      </c>
      <c r="J1439" s="2" t="s">
        <v>129</v>
      </c>
      <c r="K1439" s="2" t="s">
        <v>4479</v>
      </c>
      <c r="L1439" s="2" t="s">
        <v>128</v>
      </c>
      <c r="M1439" s="2">
        <v>1</v>
      </c>
      <c r="N1439" s="2" t="s">
        <v>18</v>
      </c>
      <c r="T1439" s="2" t="s">
        <v>16964</v>
      </c>
    </row>
    <row r="1440" spans="1:20" hidden="1">
      <c r="A1440" s="3" t="s">
        <v>4029</v>
      </c>
      <c r="B1440" s="2" t="s">
        <v>1993</v>
      </c>
      <c r="D1440" s="66" t="str">
        <f>VLOOKUP("*"&amp;A1440&amp;"*",[2]Sheet1!$G$2:$X$1155,18,FALSE)</f>
        <v>ERR10549814</v>
      </c>
      <c r="E1440" s="2">
        <v>2018</v>
      </c>
      <c r="F1440" s="2" t="s">
        <v>1112</v>
      </c>
      <c r="G1440" s="2" t="s">
        <v>5</v>
      </c>
      <c r="H1440" s="2" t="s">
        <v>2323</v>
      </c>
      <c r="I1440" s="2" t="s">
        <v>2288</v>
      </c>
      <c r="J1440" s="2" t="s">
        <v>40</v>
      </c>
      <c r="K1440" s="2" t="s">
        <v>4480</v>
      </c>
      <c r="L1440" s="2" t="s">
        <v>2324</v>
      </c>
      <c r="M1440" s="2">
        <v>37</v>
      </c>
      <c r="N1440" s="2" t="s">
        <v>9</v>
      </c>
      <c r="T1440" s="2" t="s">
        <v>16964</v>
      </c>
    </row>
    <row r="1441" spans="1:25" hidden="1">
      <c r="A1441" s="3" t="s">
        <v>3235</v>
      </c>
      <c r="B1441" s="2" t="s">
        <v>1994</v>
      </c>
      <c r="D1441" s="66" t="str">
        <f>VLOOKUP("*"&amp;A1441&amp;"*",[2]Sheet1!$G$2:$X$1155,18,FALSE)</f>
        <v>ERR10549808</v>
      </c>
      <c r="E1441" s="2">
        <v>2018</v>
      </c>
      <c r="F1441" s="2" t="s">
        <v>1112</v>
      </c>
      <c r="G1441" s="2" t="s">
        <v>2295</v>
      </c>
      <c r="H1441" s="2" t="s">
        <v>2325</v>
      </c>
      <c r="I1441" s="2" t="s">
        <v>10</v>
      </c>
      <c r="J1441" s="2" t="s">
        <v>35</v>
      </c>
      <c r="K1441" s="2" t="s">
        <v>4484</v>
      </c>
      <c r="L1441" s="2" t="s">
        <v>34</v>
      </c>
      <c r="M1441" s="2">
        <v>5</v>
      </c>
      <c r="N1441" s="2" t="s">
        <v>14</v>
      </c>
      <c r="T1441" s="2" t="s">
        <v>16964</v>
      </c>
    </row>
    <row r="1442" spans="1:25" hidden="1">
      <c r="A1442" s="3" t="s">
        <v>3410</v>
      </c>
      <c r="B1442" s="2" t="s">
        <v>1995</v>
      </c>
      <c r="D1442" s="66" t="str">
        <f>VLOOKUP("*"&amp;A1442&amp;"*",[2]Sheet1!$G$2:$X$1155,18,FALSE)</f>
        <v>ERR10549815</v>
      </c>
      <c r="E1442" s="2">
        <v>2018</v>
      </c>
      <c r="F1442" s="2" t="s">
        <v>1112</v>
      </c>
      <c r="G1442" s="2" t="s">
        <v>5</v>
      </c>
      <c r="H1442" s="2" t="s">
        <v>2322</v>
      </c>
      <c r="I1442" s="2" t="s">
        <v>2288</v>
      </c>
      <c r="J1442" s="2" t="s">
        <v>20</v>
      </c>
      <c r="K1442" s="2" t="s">
        <v>4485</v>
      </c>
      <c r="L1442" s="2" t="s">
        <v>19</v>
      </c>
      <c r="M1442" s="2">
        <v>9</v>
      </c>
      <c r="N1442" s="2" t="s">
        <v>21</v>
      </c>
      <c r="T1442" s="2" t="s">
        <v>16964</v>
      </c>
    </row>
    <row r="1443" spans="1:25" hidden="1">
      <c r="A1443" s="3" t="s">
        <v>2960</v>
      </c>
      <c r="B1443" s="2" t="s">
        <v>1996</v>
      </c>
      <c r="D1443" s="66" t="str">
        <f>VLOOKUP("*"&amp;A1443&amp;"*",[2]Sheet1!$G$2:$X$1155,18,FALSE)</f>
        <v>ERR10549914</v>
      </c>
      <c r="E1443" s="2">
        <v>2018</v>
      </c>
      <c r="F1443" s="2" t="s">
        <v>1112</v>
      </c>
      <c r="G1443" s="2" t="s">
        <v>5</v>
      </c>
      <c r="H1443" s="2" t="s">
        <v>2322</v>
      </c>
      <c r="I1443" s="2" t="s">
        <v>2288</v>
      </c>
      <c r="J1443" s="2" t="s">
        <v>8</v>
      </c>
      <c r="K1443" s="2" t="s">
        <v>4486</v>
      </c>
      <c r="L1443" s="2" t="s">
        <v>7</v>
      </c>
      <c r="M1443" s="2">
        <v>121</v>
      </c>
      <c r="N1443" s="2" t="s">
        <v>9</v>
      </c>
      <c r="T1443" s="2" t="s">
        <v>16963</v>
      </c>
      <c r="X1443" s="67" t="s">
        <v>4722</v>
      </c>
    </row>
    <row r="1444" spans="1:25" hidden="1">
      <c r="A1444" s="3" t="s">
        <v>3734</v>
      </c>
      <c r="B1444" s="2" t="s">
        <v>1997</v>
      </c>
      <c r="D1444" s="66" t="str">
        <f>VLOOKUP("*"&amp;A1444&amp;"*",[2]Sheet1!$G$2:$X$1155,18,FALSE)</f>
        <v>ERR10549754</v>
      </c>
      <c r="E1444" s="2">
        <v>2018</v>
      </c>
      <c r="F1444" s="2" t="s">
        <v>1112</v>
      </c>
      <c r="G1444" s="2" t="s">
        <v>5</v>
      </c>
      <c r="H1444" s="2" t="s">
        <v>2322</v>
      </c>
      <c r="I1444" s="2" t="s">
        <v>2289</v>
      </c>
      <c r="J1444" s="2" t="s">
        <v>98</v>
      </c>
      <c r="K1444" s="2" t="s">
        <v>4490</v>
      </c>
      <c r="L1444" s="2" t="s">
        <v>17492</v>
      </c>
      <c r="M1444" s="2">
        <v>224</v>
      </c>
      <c r="N1444" s="2" t="s">
        <v>14</v>
      </c>
      <c r="T1444" s="2" t="s">
        <v>16964</v>
      </c>
    </row>
    <row r="1445" spans="1:25" hidden="1">
      <c r="A1445" s="3" t="s">
        <v>4387</v>
      </c>
      <c r="B1445" s="2" t="s">
        <v>1998</v>
      </c>
      <c r="D1445" s="66" t="str">
        <f>VLOOKUP("*"&amp;A1445&amp;"*",[2]Sheet1!$G$2:$X$1155,18,FALSE)</f>
        <v>ERR10549769</v>
      </c>
      <c r="E1445" s="2">
        <v>2019</v>
      </c>
      <c r="F1445" s="2" t="s">
        <v>1112</v>
      </c>
      <c r="G1445" s="2" t="s">
        <v>5</v>
      </c>
      <c r="H1445" s="2" t="s">
        <v>2322</v>
      </c>
      <c r="I1445" s="2" t="s">
        <v>2288</v>
      </c>
      <c r="J1445" s="2" t="s">
        <v>220</v>
      </c>
      <c r="K1445" s="2" t="s">
        <v>4497</v>
      </c>
      <c r="L1445" s="2" t="s">
        <v>217</v>
      </c>
      <c r="M1445" s="2">
        <v>29</v>
      </c>
      <c r="N1445" s="2" t="s">
        <v>9</v>
      </c>
      <c r="T1445" s="2" t="s">
        <v>16964</v>
      </c>
    </row>
    <row r="1446" spans="1:25" hidden="1">
      <c r="A1446" s="3" t="s">
        <v>3983</v>
      </c>
      <c r="B1446" s="2" t="s">
        <v>1999</v>
      </c>
      <c r="D1446" s="66" t="str">
        <f>VLOOKUP("*"&amp;A1446&amp;"*",[2]Sheet1!$G$2:$X$1155,18,FALSE)</f>
        <v>ERR10549841</v>
      </c>
      <c r="E1446" s="2">
        <v>2019</v>
      </c>
      <c r="F1446" s="2" t="s">
        <v>1112</v>
      </c>
      <c r="G1446" s="2" t="s">
        <v>5</v>
      </c>
      <c r="H1446" s="2" t="s">
        <v>2322</v>
      </c>
      <c r="I1446" s="2" t="s">
        <v>10</v>
      </c>
      <c r="J1446" s="2" t="s">
        <v>4498</v>
      </c>
      <c r="K1446" s="2" t="s">
        <v>4499</v>
      </c>
      <c r="L1446" s="2" t="s">
        <v>2326</v>
      </c>
      <c r="M1446" s="2">
        <v>1460</v>
      </c>
      <c r="N1446" s="2" t="s">
        <v>14</v>
      </c>
      <c r="T1446" s="2" t="s">
        <v>16964</v>
      </c>
    </row>
    <row r="1447" spans="1:25" hidden="1">
      <c r="A1447" s="3" t="s">
        <v>3016</v>
      </c>
      <c r="B1447" s="2" t="s">
        <v>2000</v>
      </c>
      <c r="D1447" s="66" t="str">
        <f>VLOOKUP("*"&amp;A1447&amp;"*",[2]Sheet1!$G$2:$X$1155,18,FALSE)</f>
        <v>ERR10549843</v>
      </c>
      <c r="E1447" s="2">
        <v>2019</v>
      </c>
      <c r="F1447" s="2" t="s">
        <v>1112</v>
      </c>
      <c r="G1447" s="2" t="s">
        <v>5</v>
      </c>
      <c r="H1447" s="2" t="s">
        <v>2322</v>
      </c>
      <c r="I1447" s="2" t="s">
        <v>2288</v>
      </c>
      <c r="J1447" s="2" t="s">
        <v>29</v>
      </c>
      <c r="K1447" s="2" t="s">
        <v>66</v>
      </c>
      <c r="L1447" s="2" t="s">
        <v>28</v>
      </c>
      <c r="M1447" s="2">
        <v>8</v>
      </c>
      <c r="N1447" s="2" t="s">
        <v>9</v>
      </c>
      <c r="T1447" s="2" t="s">
        <v>16964</v>
      </c>
    </row>
    <row r="1448" spans="1:25" hidden="1">
      <c r="A1448" s="3" t="s">
        <v>4193</v>
      </c>
      <c r="B1448" s="2" t="s">
        <v>2001</v>
      </c>
      <c r="D1448" s="66" t="str">
        <f>VLOOKUP("*"&amp;A1448&amp;"*",[2]Sheet1!$G$2:$X$1155,18,FALSE)</f>
        <v>ERR10549776</v>
      </c>
      <c r="E1448" s="2">
        <v>2019</v>
      </c>
      <c r="F1448" s="2" t="s">
        <v>1112</v>
      </c>
      <c r="G1448" s="2" t="s">
        <v>5</v>
      </c>
      <c r="H1448" s="2" t="s">
        <v>2323</v>
      </c>
      <c r="I1448" s="2" t="s">
        <v>2288</v>
      </c>
      <c r="J1448" s="2" t="s">
        <v>20</v>
      </c>
      <c r="K1448" s="2" t="s">
        <v>4508</v>
      </c>
      <c r="L1448" s="2" t="s">
        <v>19</v>
      </c>
      <c r="M1448" s="2">
        <v>9</v>
      </c>
      <c r="N1448" s="2" t="s">
        <v>21</v>
      </c>
      <c r="T1448" s="2" t="s">
        <v>16964</v>
      </c>
    </row>
    <row r="1449" spans="1:25" hidden="1">
      <c r="A1449" s="3" t="s">
        <v>3610</v>
      </c>
      <c r="B1449" s="2" t="s">
        <v>2002</v>
      </c>
      <c r="D1449" s="66" t="str">
        <f>VLOOKUP("*"&amp;A1449&amp;"*",[2]Sheet1!$G$2:$X$1155,18,FALSE)</f>
        <v>ERR10549913</v>
      </c>
      <c r="E1449" s="2">
        <v>2019</v>
      </c>
      <c r="F1449" s="2" t="s">
        <v>1112</v>
      </c>
      <c r="G1449" s="2" t="s">
        <v>5</v>
      </c>
      <c r="H1449" s="2" t="s">
        <v>2323</v>
      </c>
      <c r="I1449" s="2" t="s">
        <v>10</v>
      </c>
      <c r="J1449" s="2" t="s">
        <v>129</v>
      </c>
      <c r="K1449" s="2" t="s">
        <v>4509</v>
      </c>
      <c r="L1449" s="2" t="s">
        <v>128</v>
      </c>
      <c r="M1449" s="2">
        <v>1</v>
      </c>
      <c r="N1449" s="2" t="s">
        <v>18</v>
      </c>
      <c r="T1449" s="2" t="s">
        <v>16964</v>
      </c>
    </row>
    <row r="1450" spans="1:25" hidden="1">
      <c r="A1450" s="3" t="s">
        <v>4214</v>
      </c>
      <c r="B1450" s="2" t="s">
        <v>2003</v>
      </c>
      <c r="D1450" s="66" t="str">
        <f>VLOOKUP("*"&amp;A1450&amp;"*",[2]Sheet1!$G$2:$X$1155,18,FALSE)</f>
        <v>ERR10549855</v>
      </c>
      <c r="E1450" s="2">
        <v>2020</v>
      </c>
      <c r="F1450" s="2" t="s">
        <v>1112</v>
      </c>
      <c r="G1450" s="2" t="s">
        <v>5</v>
      </c>
      <c r="H1450" s="2" t="s">
        <v>2322</v>
      </c>
      <c r="I1450" s="2" t="s">
        <v>10</v>
      </c>
      <c r="J1450" s="2" t="s">
        <v>35</v>
      </c>
      <c r="K1450" s="2" t="s">
        <v>4510</v>
      </c>
      <c r="L1450" s="2" t="s">
        <v>34</v>
      </c>
      <c r="M1450" s="2">
        <v>5</v>
      </c>
      <c r="N1450" s="2" t="s">
        <v>14</v>
      </c>
      <c r="T1450" s="2" t="s">
        <v>16964</v>
      </c>
    </row>
    <row r="1451" spans="1:25" hidden="1">
      <c r="A1451" s="3" t="s">
        <v>3875</v>
      </c>
      <c r="B1451" s="2" t="s">
        <v>2004</v>
      </c>
      <c r="D1451" s="66" t="str">
        <f>VLOOKUP("*"&amp;A1451&amp;"*",[2]Sheet1!$G$2:$X$1155,18,FALSE)</f>
        <v>ERR10549866</v>
      </c>
      <c r="E1451" s="2">
        <v>2020</v>
      </c>
      <c r="F1451" s="2" t="s">
        <v>1112</v>
      </c>
      <c r="G1451" s="2" t="s">
        <v>5</v>
      </c>
      <c r="H1451" s="2" t="s">
        <v>2322</v>
      </c>
      <c r="I1451" s="2" t="s">
        <v>2288</v>
      </c>
      <c r="J1451" s="2" t="s">
        <v>40</v>
      </c>
      <c r="K1451" s="2" t="s">
        <v>4511</v>
      </c>
      <c r="L1451" s="2" t="s">
        <v>2324</v>
      </c>
      <c r="M1451" s="2">
        <v>37</v>
      </c>
      <c r="N1451" s="2" t="s">
        <v>9</v>
      </c>
      <c r="T1451" s="2" t="s">
        <v>16963</v>
      </c>
      <c r="Y1451" s="67" t="s">
        <v>2627</v>
      </c>
    </row>
    <row r="1452" spans="1:25" hidden="1">
      <c r="A1452" s="3" t="s">
        <v>4271</v>
      </c>
      <c r="B1452" s="2" t="s">
        <v>2005</v>
      </c>
      <c r="D1452" s="66" t="str">
        <f>VLOOKUP("*"&amp;A1452&amp;"*",[2]Sheet1!$G$2:$X$1155,18,FALSE)</f>
        <v>ERR10549862</v>
      </c>
      <c r="E1452" s="2">
        <v>2021</v>
      </c>
      <c r="F1452" s="2" t="s">
        <v>1112</v>
      </c>
      <c r="G1452" s="2" t="s">
        <v>5</v>
      </c>
      <c r="H1452" s="2" t="s">
        <v>2322</v>
      </c>
      <c r="I1452" s="2" t="s">
        <v>2288</v>
      </c>
      <c r="J1452" s="2" t="s">
        <v>56</v>
      </c>
      <c r="K1452" s="2" t="s">
        <v>4512</v>
      </c>
      <c r="L1452" s="2" t="s">
        <v>55</v>
      </c>
      <c r="M1452" s="2">
        <v>451</v>
      </c>
      <c r="N1452" s="2" t="s">
        <v>9</v>
      </c>
      <c r="T1452" s="2" t="s">
        <v>16964</v>
      </c>
    </row>
    <row r="1453" spans="1:25" hidden="1">
      <c r="A1453" s="3" t="s">
        <v>3274</v>
      </c>
      <c r="B1453" s="2" t="s">
        <v>2006</v>
      </c>
      <c r="D1453" s="66" t="str">
        <f>VLOOKUP("*"&amp;A1453&amp;"*",[2]Sheet1!$G$2:$X$1155,18,FALSE)</f>
        <v>ERR10549951</v>
      </c>
      <c r="E1453" s="2">
        <v>2020</v>
      </c>
      <c r="F1453" s="2" t="s">
        <v>1112</v>
      </c>
      <c r="G1453" s="2" t="s">
        <v>5</v>
      </c>
      <c r="H1453" s="2" t="s">
        <v>2322</v>
      </c>
      <c r="I1453" s="2" t="s">
        <v>2288</v>
      </c>
      <c r="J1453" s="2" t="s">
        <v>8</v>
      </c>
      <c r="K1453" s="2" t="s">
        <v>4513</v>
      </c>
      <c r="L1453" s="2" t="s">
        <v>7</v>
      </c>
      <c r="M1453" s="2">
        <v>121</v>
      </c>
      <c r="N1453" s="2" t="s">
        <v>9</v>
      </c>
      <c r="T1453" s="2" t="s">
        <v>16963</v>
      </c>
      <c r="X1453" s="67" t="s">
        <v>4725</v>
      </c>
    </row>
    <row r="1454" spans="1:25" hidden="1">
      <c r="A1454" s="3" t="s">
        <v>3595</v>
      </c>
      <c r="B1454" s="2" t="s">
        <v>2007</v>
      </c>
      <c r="D1454" s="66" t="str">
        <f>VLOOKUP("*"&amp;A1454&amp;"*",[2]Sheet1!$G$2:$X$1155,18,FALSE)</f>
        <v>ERR10549989</v>
      </c>
      <c r="E1454" s="2">
        <v>2020</v>
      </c>
      <c r="F1454" s="2" t="s">
        <v>1112</v>
      </c>
      <c r="G1454" s="2" t="s">
        <v>5</v>
      </c>
      <c r="H1454" s="2" t="s">
        <v>2322</v>
      </c>
      <c r="I1454" s="2" t="s">
        <v>2288</v>
      </c>
      <c r="J1454" s="2" t="s">
        <v>40</v>
      </c>
      <c r="K1454" s="2" t="s">
        <v>4514</v>
      </c>
      <c r="L1454" s="2" t="s">
        <v>39</v>
      </c>
      <c r="M1454" s="2">
        <v>37</v>
      </c>
      <c r="N1454" s="2" t="s">
        <v>9</v>
      </c>
      <c r="T1454" s="2" t="s">
        <v>16964</v>
      </c>
    </row>
    <row r="1455" spans="1:25" hidden="1">
      <c r="A1455" s="3" t="s">
        <v>4212</v>
      </c>
      <c r="B1455" s="2" t="s">
        <v>2008</v>
      </c>
      <c r="D1455" s="66" t="str">
        <f>VLOOKUP("*"&amp;A1455&amp;"*",[2]Sheet1!$G$2:$X$1155,18,FALSE)</f>
        <v>ERR10549849</v>
      </c>
      <c r="E1455" s="2">
        <v>2020</v>
      </c>
      <c r="F1455" s="2" t="s">
        <v>1112</v>
      </c>
      <c r="G1455" s="2" t="s">
        <v>5</v>
      </c>
      <c r="H1455" s="2" t="s">
        <v>2327</v>
      </c>
      <c r="I1455" s="2" t="s">
        <v>10</v>
      </c>
      <c r="J1455" s="2" t="s">
        <v>12</v>
      </c>
      <c r="K1455" s="2" t="s">
        <v>1238</v>
      </c>
      <c r="L1455" s="2" t="s">
        <v>11</v>
      </c>
      <c r="M1455" s="2">
        <v>3</v>
      </c>
      <c r="N1455" s="2" t="s">
        <v>14</v>
      </c>
      <c r="T1455" s="2" t="s">
        <v>16964</v>
      </c>
    </row>
    <row r="1456" spans="1:25" hidden="1">
      <c r="A1456" s="3" t="s">
        <v>3244</v>
      </c>
      <c r="B1456" s="2" t="s">
        <v>2009</v>
      </c>
      <c r="D1456" s="66" t="str">
        <f>VLOOKUP("*"&amp;A1456&amp;"*",[2]Sheet1!$G$2:$X$1155,18,FALSE)</f>
        <v>ERR10549944</v>
      </c>
      <c r="E1456" s="2">
        <v>2020</v>
      </c>
      <c r="F1456" s="2" t="s">
        <v>1112</v>
      </c>
      <c r="G1456" s="2" t="s">
        <v>5</v>
      </c>
      <c r="H1456" s="2" t="s">
        <v>2322</v>
      </c>
      <c r="I1456" s="2" t="s">
        <v>2288</v>
      </c>
      <c r="J1456" s="2" t="s">
        <v>29</v>
      </c>
      <c r="K1456" s="2" t="s">
        <v>66</v>
      </c>
      <c r="L1456" s="2" t="s">
        <v>28</v>
      </c>
      <c r="M1456" s="2">
        <v>8</v>
      </c>
      <c r="N1456" s="2" t="s">
        <v>9</v>
      </c>
      <c r="T1456" s="2" t="s">
        <v>16964</v>
      </c>
    </row>
    <row r="1457" spans="1:25" hidden="1">
      <c r="A1457" s="3" t="s">
        <v>4451</v>
      </c>
      <c r="B1457" s="2" t="s">
        <v>2010</v>
      </c>
      <c r="D1457" s="66" t="str">
        <f>VLOOKUP("*"&amp;A1457&amp;"*",[2]Sheet1!$G$2:$X$1155,18,FALSE)</f>
        <v>ERR10550018</v>
      </c>
      <c r="E1457" s="2">
        <v>2020</v>
      </c>
      <c r="F1457" s="2" t="s">
        <v>1112</v>
      </c>
      <c r="G1457" s="2" t="s">
        <v>5</v>
      </c>
      <c r="H1457" s="2" t="s">
        <v>2328</v>
      </c>
      <c r="I1457" s="2" t="s">
        <v>2288</v>
      </c>
      <c r="J1457" s="2" t="s">
        <v>20</v>
      </c>
      <c r="K1457" s="2" t="s">
        <v>4515</v>
      </c>
      <c r="L1457" s="2" t="s">
        <v>19</v>
      </c>
      <c r="M1457" s="2">
        <v>9</v>
      </c>
      <c r="N1457" s="2" t="s">
        <v>21</v>
      </c>
      <c r="T1457" s="2" t="s">
        <v>16964</v>
      </c>
    </row>
    <row r="1458" spans="1:25" hidden="1">
      <c r="A1458" s="3" t="s">
        <v>3047</v>
      </c>
      <c r="B1458" s="2" t="s">
        <v>2011</v>
      </c>
      <c r="D1458" s="66" t="str">
        <f>VLOOKUP("*"&amp;A1458&amp;"*",[2]Sheet1!$G$2:$X$1155,18,FALSE)</f>
        <v>ERR10549800</v>
      </c>
      <c r="E1458" s="2">
        <v>2020</v>
      </c>
      <c r="F1458" s="2" t="s">
        <v>1112</v>
      </c>
      <c r="G1458" s="2" t="s">
        <v>5</v>
      </c>
      <c r="H1458" s="2" t="s">
        <v>2322</v>
      </c>
      <c r="I1458" s="2" t="s">
        <v>2288</v>
      </c>
      <c r="J1458" s="2" t="s">
        <v>8</v>
      </c>
      <c r="K1458" s="2" t="s">
        <v>4516</v>
      </c>
      <c r="L1458" s="2" t="s">
        <v>7</v>
      </c>
      <c r="M1458" s="2">
        <v>121</v>
      </c>
      <c r="N1458" s="2" t="s">
        <v>9</v>
      </c>
      <c r="T1458" s="2" t="s">
        <v>16963</v>
      </c>
      <c r="X1458" s="67" t="s">
        <v>4722</v>
      </c>
    </row>
    <row r="1459" spans="1:25" hidden="1">
      <c r="A1459" s="3" t="s">
        <v>4247</v>
      </c>
      <c r="B1459" s="2" t="s">
        <v>2012</v>
      </c>
      <c r="D1459" s="66" t="str">
        <f>VLOOKUP("*"&amp;A1459&amp;"*",[2]Sheet1!$G$2:$X$1155,18,FALSE)</f>
        <v>ERR10549798</v>
      </c>
      <c r="E1459" s="2">
        <v>2020</v>
      </c>
      <c r="F1459" s="2" t="s">
        <v>1112</v>
      </c>
      <c r="G1459" s="2" t="s">
        <v>5</v>
      </c>
      <c r="H1459" s="2" t="s">
        <v>2328</v>
      </c>
      <c r="I1459" s="2" t="s">
        <v>2288</v>
      </c>
      <c r="J1459" s="2" t="s">
        <v>102</v>
      </c>
      <c r="K1459" s="2" t="s">
        <v>4517</v>
      </c>
      <c r="L1459" s="2" t="s">
        <v>101</v>
      </c>
      <c r="M1459" s="2">
        <v>7</v>
      </c>
      <c r="N1459" s="2" t="s">
        <v>9</v>
      </c>
      <c r="T1459" s="2" t="s">
        <v>16964</v>
      </c>
    </row>
    <row r="1460" spans="1:25" hidden="1">
      <c r="A1460" s="3" t="s">
        <v>3514</v>
      </c>
      <c r="B1460" s="2" t="s">
        <v>2013</v>
      </c>
      <c r="D1460" s="66" t="str">
        <f>VLOOKUP("*"&amp;A1460&amp;"*",[2]Sheet1!$G$2:$X$1155,18,FALSE)</f>
        <v>ERR10549741</v>
      </c>
      <c r="E1460" s="2">
        <v>2011</v>
      </c>
      <c r="F1460" s="2" t="s">
        <v>1112</v>
      </c>
      <c r="G1460" s="2" t="s">
        <v>5</v>
      </c>
      <c r="H1460" s="2" t="s">
        <v>2329</v>
      </c>
      <c r="I1460" s="2" t="s">
        <v>2288</v>
      </c>
      <c r="J1460" s="2" t="s">
        <v>29</v>
      </c>
      <c r="K1460" s="2" t="s">
        <v>4527</v>
      </c>
      <c r="L1460" s="2" t="s">
        <v>28</v>
      </c>
      <c r="M1460" s="2">
        <v>8</v>
      </c>
      <c r="N1460" s="2" t="s">
        <v>9</v>
      </c>
      <c r="T1460" s="2" t="s">
        <v>16964</v>
      </c>
    </row>
    <row r="1461" spans="1:25" hidden="1">
      <c r="A1461" s="3" t="s">
        <v>3930</v>
      </c>
      <c r="B1461" s="2" t="s">
        <v>2014</v>
      </c>
      <c r="D1461" s="66" t="str">
        <f>VLOOKUP("*"&amp;A1461&amp;"*",[2]Sheet1!$G$2:$X$1155,18,FALSE)</f>
        <v>ERR10549701</v>
      </c>
      <c r="E1461" s="2">
        <v>2011</v>
      </c>
      <c r="F1461" s="2" t="s">
        <v>1112</v>
      </c>
      <c r="G1461" s="2" t="s">
        <v>318</v>
      </c>
      <c r="H1461" s="2" t="s">
        <v>2477</v>
      </c>
      <c r="I1461" s="2" t="s">
        <v>2288</v>
      </c>
      <c r="J1461" s="2" t="s">
        <v>56</v>
      </c>
      <c r="K1461" s="2" t="s">
        <v>1255</v>
      </c>
      <c r="L1461" s="2" t="s">
        <v>55</v>
      </c>
      <c r="M1461" s="2">
        <v>451</v>
      </c>
      <c r="N1461" s="2" t="s">
        <v>9</v>
      </c>
      <c r="T1461" s="2" t="s">
        <v>16963</v>
      </c>
      <c r="Y1461" s="67" t="s">
        <v>2627</v>
      </c>
    </row>
    <row r="1462" spans="1:25" hidden="1">
      <c r="A1462" s="3" t="s">
        <v>2820</v>
      </c>
      <c r="B1462" s="2" t="s">
        <v>2015</v>
      </c>
      <c r="D1462" s="66" t="s">
        <v>2704</v>
      </c>
      <c r="E1462" s="2">
        <v>2014</v>
      </c>
      <c r="F1462" s="2" t="s">
        <v>1112</v>
      </c>
      <c r="G1462" s="2" t="s">
        <v>318</v>
      </c>
      <c r="H1462" s="2" t="s">
        <v>2477</v>
      </c>
      <c r="I1462" s="2" t="s">
        <v>2288</v>
      </c>
      <c r="J1462" s="2" t="s">
        <v>782</v>
      </c>
      <c r="K1462" s="2" t="s">
        <v>4538</v>
      </c>
      <c r="L1462" s="2" t="s">
        <v>55</v>
      </c>
      <c r="M1462" s="2">
        <v>1279</v>
      </c>
      <c r="N1462" s="2" t="s">
        <v>9</v>
      </c>
      <c r="T1462" s="2" t="s">
        <v>16964</v>
      </c>
    </row>
    <row r="1463" spans="1:25" hidden="1">
      <c r="A1463" s="3" t="s">
        <v>4380</v>
      </c>
      <c r="B1463" s="2" t="s">
        <v>2016</v>
      </c>
      <c r="D1463" s="66" t="str">
        <f>VLOOKUP("*"&amp;A1463&amp;"*",[2]Sheet1!$G$2:$X$1155,18,FALSE)</f>
        <v>ERR10549726</v>
      </c>
      <c r="E1463" s="2">
        <v>2014</v>
      </c>
      <c r="F1463" s="2" t="s">
        <v>1112</v>
      </c>
      <c r="G1463" s="2" t="s">
        <v>318</v>
      </c>
      <c r="H1463" s="2" t="s">
        <v>1472</v>
      </c>
      <c r="I1463" s="2" t="s">
        <v>10</v>
      </c>
      <c r="J1463" s="2" t="s">
        <v>129</v>
      </c>
      <c r="K1463" s="2" t="s">
        <v>4541</v>
      </c>
      <c r="L1463" s="2" t="s">
        <v>128</v>
      </c>
      <c r="M1463" s="2">
        <v>1</v>
      </c>
      <c r="N1463" s="2" t="s">
        <v>18</v>
      </c>
      <c r="T1463" s="2" t="s">
        <v>16964</v>
      </c>
    </row>
    <row r="1464" spans="1:25" hidden="1">
      <c r="A1464" s="3" t="s">
        <v>3066</v>
      </c>
      <c r="B1464" s="2" t="s">
        <v>2017</v>
      </c>
      <c r="D1464" s="66" t="s">
        <v>2705</v>
      </c>
      <c r="E1464" s="2">
        <v>2015</v>
      </c>
      <c r="F1464" s="2" t="s">
        <v>1112</v>
      </c>
      <c r="G1464" s="2" t="s">
        <v>318</v>
      </c>
      <c r="H1464" s="2" t="s">
        <v>2319</v>
      </c>
      <c r="I1464" s="2" t="s">
        <v>2288</v>
      </c>
      <c r="J1464" s="2" t="s">
        <v>115</v>
      </c>
      <c r="K1464" s="2" t="s">
        <v>1124</v>
      </c>
      <c r="L1464" s="2" t="s">
        <v>114</v>
      </c>
      <c r="M1464" s="2">
        <v>21</v>
      </c>
      <c r="N1464" s="2" t="s">
        <v>9</v>
      </c>
      <c r="T1464" s="2" t="s">
        <v>16964</v>
      </c>
    </row>
    <row r="1465" spans="1:25" hidden="1">
      <c r="A1465" s="3" t="s">
        <v>3067</v>
      </c>
      <c r="B1465" s="2" t="s">
        <v>2018</v>
      </c>
      <c r="D1465" s="66" t="str">
        <f>VLOOKUP("*"&amp;A1465&amp;"*",[2]Sheet1!$G$2:$X$1155,18,FALSE)</f>
        <v>ERR10549767</v>
      </c>
      <c r="E1465" s="2">
        <v>2015</v>
      </c>
      <c r="F1465" s="2" t="s">
        <v>1112</v>
      </c>
      <c r="G1465" s="2" t="s">
        <v>318</v>
      </c>
      <c r="H1465" s="2" t="s">
        <v>2330</v>
      </c>
      <c r="I1465" s="2" t="s">
        <v>2288</v>
      </c>
      <c r="J1465" s="2" t="s">
        <v>115</v>
      </c>
      <c r="K1465" s="2" t="s">
        <v>4546</v>
      </c>
      <c r="L1465" s="2" t="s">
        <v>114</v>
      </c>
      <c r="M1465" s="2">
        <v>21</v>
      </c>
      <c r="N1465" s="2" t="s">
        <v>9</v>
      </c>
      <c r="T1465" s="2" t="s">
        <v>16964</v>
      </c>
    </row>
    <row r="1466" spans="1:25" hidden="1">
      <c r="A1466" s="3" t="s">
        <v>2878</v>
      </c>
      <c r="B1466" s="2" t="s">
        <v>2019</v>
      </c>
      <c r="D1466" s="66" t="str">
        <f>VLOOKUP("*"&amp;A1466&amp;"*",[2]Sheet1!$G$2:$X$1155,18,FALSE)</f>
        <v>ERR10549766</v>
      </c>
      <c r="E1466" s="2">
        <v>2015</v>
      </c>
      <c r="F1466" s="2" t="s">
        <v>1112</v>
      </c>
      <c r="G1466" s="2" t="s">
        <v>318</v>
      </c>
      <c r="H1466" s="2" t="s">
        <v>1472</v>
      </c>
      <c r="I1466" s="2" t="s">
        <v>10</v>
      </c>
      <c r="J1466" s="2" t="s">
        <v>765</v>
      </c>
      <c r="K1466" s="2" t="s">
        <v>4556</v>
      </c>
      <c r="L1466" s="2" t="s">
        <v>764</v>
      </c>
      <c r="M1466" s="2">
        <v>4</v>
      </c>
      <c r="N1466" s="2" t="s">
        <v>18</v>
      </c>
      <c r="T1466" s="2" t="s">
        <v>16964</v>
      </c>
    </row>
    <row r="1467" spans="1:25" hidden="1">
      <c r="A1467" s="3" t="s">
        <v>2838</v>
      </c>
      <c r="B1467" s="2" t="s">
        <v>1946</v>
      </c>
      <c r="D1467" s="66" t="s">
        <v>17388</v>
      </c>
      <c r="E1467" s="2">
        <v>2016</v>
      </c>
      <c r="F1467" s="2" t="s">
        <v>2690</v>
      </c>
      <c r="G1467" s="2" t="s">
        <v>5</v>
      </c>
      <c r="H1467" s="2" t="s">
        <v>2293</v>
      </c>
      <c r="I1467" s="2" t="s">
        <v>2288</v>
      </c>
      <c r="J1467" s="2" t="s">
        <v>415</v>
      </c>
      <c r="K1467" s="2" t="s">
        <v>700</v>
      </c>
      <c r="L1467" s="2" t="s">
        <v>414</v>
      </c>
      <c r="M1467" s="2">
        <v>204</v>
      </c>
      <c r="N1467" s="2" t="s">
        <v>9</v>
      </c>
      <c r="O1467" s="2">
        <f>VLOOKUP(B1467,[1]Sheet1!$B$624:$E$1665,4,FALSE)</f>
        <v>0.4</v>
      </c>
      <c r="P1467" s="2" t="s">
        <v>16964</v>
      </c>
      <c r="T1467" s="2" t="s">
        <v>16964</v>
      </c>
    </row>
    <row r="1468" spans="1:25" hidden="1">
      <c r="A1468" s="3" t="s">
        <v>3936</v>
      </c>
      <c r="B1468" s="2" t="s">
        <v>1947</v>
      </c>
      <c r="D1468" s="66" t="s">
        <v>17419</v>
      </c>
      <c r="E1468" s="2">
        <v>2019</v>
      </c>
      <c r="F1468" s="2" t="s">
        <v>2690</v>
      </c>
      <c r="G1468" s="2" t="s">
        <v>5</v>
      </c>
      <c r="H1468" s="2" t="s">
        <v>2293</v>
      </c>
      <c r="I1468" s="2" t="s">
        <v>2288</v>
      </c>
      <c r="J1468" s="2" t="s">
        <v>40</v>
      </c>
      <c r="K1468" s="2" t="s">
        <v>4619</v>
      </c>
      <c r="L1468" s="2" t="s">
        <v>39</v>
      </c>
      <c r="M1468" s="2">
        <v>37</v>
      </c>
      <c r="N1468" s="2" t="s">
        <v>9</v>
      </c>
      <c r="O1468" s="2">
        <f>VLOOKUP(B1468,[1]Sheet1!$B$624:$E$1665,4,FALSE)</f>
        <v>0.4</v>
      </c>
      <c r="P1468" s="2" t="s">
        <v>16964</v>
      </c>
      <c r="T1468" s="2" t="s">
        <v>16964</v>
      </c>
    </row>
    <row r="1469" spans="1:25" hidden="1">
      <c r="A1469" s="3" t="s">
        <v>4087</v>
      </c>
      <c r="B1469" s="2" t="s">
        <v>1948</v>
      </c>
      <c r="D1469" s="66" t="s">
        <v>17420</v>
      </c>
      <c r="E1469" s="2">
        <v>2019</v>
      </c>
      <c r="F1469" s="2" t="s">
        <v>2690</v>
      </c>
      <c r="G1469" s="2" t="s">
        <v>5</v>
      </c>
      <c r="H1469" s="2" t="s">
        <v>2293</v>
      </c>
      <c r="I1469" s="2" t="s">
        <v>10</v>
      </c>
      <c r="J1469" s="2" t="s">
        <v>12</v>
      </c>
      <c r="K1469" s="2" t="s">
        <v>4605</v>
      </c>
      <c r="L1469" s="2" t="s">
        <v>11</v>
      </c>
      <c r="M1469" s="2">
        <v>3</v>
      </c>
      <c r="N1469" s="2" t="s">
        <v>14</v>
      </c>
      <c r="O1469" s="2">
        <f>VLOOKUP(B1469,[1]Sheet1!$B$624:$E$1665,4,FALSE)</f>
        <v>0.4</v>
      </c>
      <c r="P1469" s="2" t="s">
        <v>16964</v>
      </c>
      <c r="T1469" s="2" t="s">
        <v>16964</v>
      </c>
    </row>
    <row r="1470" spans="1:25" hidden="1">
      <c r="A1470" s="3" t="s">
        <v>4242</v>
      </c>
      <c r="B1470" s="2" t="s">
        <v>1949</v>
      </c>
      <c r="D1470" s="66" t="s">
        <v>17387</v>
      </c>
      <c r="E1470" s="2">
        <v>2019</v>
      </c>
      <c r="F1470" s="2" t="s">
        <v>2690</v>
      </c>
      <c r="G1470" s="2" t="s">
        <v>5</v>
      </c>
      <c r="H1470" s="2" t="s">
        <v>2293</v>
      </c>
      <c r="I1470" s="2" t="s">
        <v>2288</v>
      </c>
      <c r="J1470" s="2" t="s">
        <v>102</v>
      </c>
      <c r="K1470" s="2" t="s">
        <v>4674</v>
      </c>
      <c r="L1470" s="2" t="s">
        <v>101</v>
      </c>
      <c r="M1470" s="2">
        <v>7</v>
      </c>
      <c r="N1470" s="2" t="s">
        <v>9</v>
      </c>
      <c r="O1470" s="2">
        <f>VLOOKUP(B1470,[1]Sheet1!$B$624:$E$1665,4,FALSE)</f>
        <v>0.2</v>
      </c>
      <c r="P1470" s="2" t="s">
        <v>16964</v>
      </c>
      <c r="T1470" s="2" t="s">
        <v>16964</v>
      </c>
    </row>
    <row r="1471" spans="1:25" hidden="1">
      <c r="A1471" s="3" t="s">
        <v>3662</v>
      </c>
      <c r="B1471" s="2" t="s">
        <v>1950</v>
      </c>
      <c r="D1471" s="66" t="s">
        <v>17421</v>
      </c>
      <c r="E1471" s="2">
        <v>2019</v>
      </c>
      <c r="F1471" s="2" t="s">
        <v>2690</v>
      </c>
      <c r="G1471" s="2" t="s">
        <v>5</v>
      </c>
      <c r="H1471" s="2" t="s">
        <v>2293</v>
      </c>
      <c r="I1471" s="2" t="s">
        <v>2288</v>
      </c>
      <c r="J1471" s="2" t="s">
        <v>20</v>
      </c>
      <c r="K1471" s="2" t="s">
        <v>1214</v>
      </c>
      <c r="L1471" s="2" t="s">
        <v>19</v>
      </c>
      <c r="M1471" s="2">
        <v>9</v>
      </c>
      <c r="N1471" s="2" t="s">
        <v>21</v>
      </c>
      <c r="O1471" s="2">
        <f>VLOOKUP(B1471,[1]Sheet1!$B$624:$E$1665,4,FALSE)</f>
        <v>0.4</v>
      </c>
      <c r="P1471" s="2" t="s">
        <v>16964</v>
      </c>
      <c r="T1471" s="2" t="s">
        <v>16964</v>
      </c>
    </row>
    <row r="1472" spans="1:25" hidden="1">
      <c r="A1472" s="3" t="s">
        <v>3334</v>
      </c>
      <c r="B1472" s="2" t="s">
        <v>1951</v>
      </c>
      <c r="D1472" s="66" t="s">
        <v>17384</v>
      </c>
      <c r="E1472" s="2">
        <v>2019</v>
      </c>
      <c r="F1472" s="2" t="s">
        <v>2690</v>
      </c>
      <c r="G1472" s="2" t="s">
        <v>5</v>
      </c>
      <c r="H1472" s="2" t="s">
        <v>2293</v>
      </c>
      <c r="I1472" s="2" t="s">
        <v>2288</v>
      </c>
      <c r="J1472" s="2" t="s">
        <v>29</v>
      </c>
      <c r="K1472" s="2" t="s">
        <v>4684</v>
      </c>
      <c r="L1472" s="2" t="s">
        <v>28</v>
      </c>
      <c r="M1472" s="2">
        <v>8</v>
      </c>
      <c r="N1472" s="2" t="s">
        <v>9</v>
      </c>
      <c r="O1472" s="2">
        <f>VLOOKUP(B1472,[1]Sheet1!$B$624:$E$1665,4,FALSE)</f>
        <v>0.4</v>
      </c>
      <c r="P1472" s="2" t="s">
        <v>16964</v>
      </c>
      <c r="T1472" s="2" t="s">
        <v>16964</v>
      </c>
    </row>
    <row r="1473" spans="1:20" hidden="1">
      <c r="A1473" s="3" t="s">
        <v>3943</v>
      </c>
      <c r="B1473" s="2" t="s">
        <v>1952</v>
      </c>
      <c r="D1473" s="66" t="s">
        <v>17385</v>
      </c>
      <c r="E1473" s="2">
        <v>2019</v>
      </c>
      <c r="F1473" s="2" t="s">
        <v>2690</v>
      </c>
      <c r="G1473" s="2" t="s">
        <v>5</v>
      </c>
      <c r="H1473" s="2" t="s">
        <v>2293</v>
      </c>
      <c r="I1473" s="2" t="s">
        <v>2288</v>
      </c>
      <c r="J1473" s="2" t="s">
        <v>120</v>
      </c>
      <c r="K1473" s="2" t="s">
        <v>4533</v>
      </c>
      <c r="L1473" s="2" t="s">
        <v>119</v>
      </c>
      <c r="M1473" s="2">
        <v>155</v>
      </c>
      <c r="N1473" s="2" t="s">
        <v>9</v>
      </c>
      <c r="O1473" s="2">
        <f>VLOOKUP(B1473,[1]Sheet1!$B$624:$E$1665,4,FALSE)</f>
        <v>0.4</v>
      </c>
      <c r="P1473" s="2" t="s">
        <v>16964</v>
      </c>
      <c r="T1473" s="2" t="s">
        <v>16964</v>
      </c>
    </row>
    <row r="1474" spans="1:20" hidden="1">
      <c r="A1474" s="3" t="s">
        <v>3775</v>
      </c>
      <c r="B1474" s="2" t="s">
        <v>1953</v>
      </c>
      <c r="D1474" s="66" t="s">
        <v>17386</v>
      </c>
      <c r="E1474" s="2">
        <v>2019</v>
      </c>
      <c r="F1474" s="2" t="s">
        <v>2690</v>
      </c>
      <c r="G1474" s="2" t="s">
        <v>5</v>
      </c>
      <c r="H1474" s="2" t="s">
        <v>2293</v>
      </c>
      <c r="I1474" s="2" t="s">
        <v>2288</v>
      </c>
      <c r="J1474" s="2" t="s">
        <v>120</v>
      </c>
      <c r="K1474" s="2" t="s">
        <v>4533</v>
      </c>
      <c r="L1474" s="2" t="s">
        <v>119</v>
      </c>
      <c r="M1474" s="2">
        <v>155</v>
      </c>
      <c r="N1474" s="2" t="s">
        <v>9</v>
      </c>
      <c r="O1474" s="2">
        <f>VLOOKUP(B1474,[1]Sheet1!$B$624:$E$1665,4,FALSE)</f>
        <v>0.4</v>
      </c>
      <c r="P1474" s="2" t="s">
        <v>16964</v>
      </c>
      <c r="T1474" s="2" t="s">
        <v>16964</v>
      </c>
    </row>
    <row r="1475" spans="1:20" hidden="1">
      <c r="A1475" s="3" t="s">
        <v>2919</v>
      </c>
      <c r="B1475" s="2" t="s">
        <v>1954</v>
      </c>
      <c r="D1475" s="66" t="s">
        <v>17382</v>
      </c>
      <c r="E1475" s="2">
        <v>2019</v>
      </c>
      <c r="F1475" s="2" t="s">
        <v>2690</v>
      </c>
      <c r="G1475" s="2" t="s">
        <v>5</v>
      </c>
      <c r="H1475" s="2" t="s">
        <v>2293</v>
      </c>
      <c r="I1475" s="2" t="s">
        <v>2288</v>
      </c>
      <c r="J1475" s="2" t="s">
        <v>415</v>
      </c>
      <c r="K1475" s="2" t="s">
        <v>4566</v>
      </c>
      <c r="L1475" s="2" t="s">
        <v>414</v>
      </c>
      <c r="M1475" s="2">
        <v>204</v>
      </c>
      <c r="N1475" s="2" t="s">
        <v>9</v>
      </c>
      <c r="O1475" s="2">
        <f>VLOOKUP(B1475,[1]Sheet1!$B$624:$E$1665,4,FALSE)</f>
        <v>0.4</v>
      </c>
      <c r="P1475" s="2" t="s">
        <v>16964</v>
      </c>
      <c r="T1475" s="2" t="s">
        <v>16964</v>
      </c>
    </row>
    <row r="1476" spans="1:20" hidden="1">
      <c r="A1476" s="3" t="s">
        <v>3651</v>
      </c>
      <c r="B1476" s="2" t="s">
        <v>1955</v>
      </c>
      <c r="D1476" s="66" t="s">
        <v>17383</v>
      </c>
      <c r="E1476" s="2">
        <v>2019</v>
      </c>
      <c r="F1476" s="2" t="s">
        <v>2690</v>
      </c>
      <c r="G1476" s="2" t="s">
        <v>5</v>
      </c>
      <c r="H1476" s="2" t="s">
        <v>2293</v>
      </c>
      <c r="I1476" s="2" t="s">
        <v>2288</v>
      </c>
      <c r="J1476" s="2" t="s">
        <v>120</v>
      </c>
      <c r="K1476" s="2" t="s">
        <v>4534</v>
      </c>
      <c r="L1476" s="2" t="s">
        <v>119</v>
      </c>
      <c r="M1476" s="2">
        <v>155</v>
      </c>
      <c r="N1476" s="2" t="s">
        <v>9</v>
      </c>
      <c r="O1476" s="2">
        <f>VLOOKUP(B1476,[1]Sheet1!$B$624:$E$1665,4,FALSE)</f>
        <v>0.4</v>
      </c>
      <c r="P1476" s="2" t="s">
        <v>16964</v>
      </c>
      <c r="T1476" s="2" t="s">
        <v>16964</v>
      </c>
    </row>
    <row r="1477" spans="1:20" hidden="1">
      <c r="A1477" s="3" t="s">
        <v>3491</v>
      </c>
      <c r="B1477" s="2" t="s">
        <v>1956</v>
      </c>
      <c r="D1477" s="66" t="s">
        <v>17383</v>
      </c>
      <c r="E1477" s="2">
        <v>2021</v>
      </c>
      <c r="F1477" s="2" t="s">
        <v>2690</v>
      </c>
      <c r="G1477" s="2" t="s">
        <v>5</v>
      </c>
      <c r="H1477" s="2" t="s">
        <v>2293</v>
      </c>
      <c r="I1477" s="2" t="s">
        <v>10</v>
      </c>
      <c r="J1477" s="2" t="s">
        <v>98</v>
      </c>
      <c r="K1477" s="2" t="s">
        <v>4582</v>
      </c>
      <c r="L1477" s="2" t="s">
        <v>97</v>
      </c>
      <c r="M1477" s="2">
        <v>224</v>
      </c>
      <c r="N1477" s="2" t="s">
        <v>14</v>
      </c>
      <c r="O1477" s="2">
        <f>VLOOKUP(B1477,[1]Sheet1!$B$624:$E$1665,4,FALSE)</f>
        <v>0.4</v>
      </c>
      <c r="P1477" s="2" t="s">
        <v>16964</v>
      </c>
      <c r="T1477" s="2" t="s">
        <v>16964</v>
      </c>
    </row>
    <row r="1478" spans="1:20" hidden="1">
      <c r="A1478" s="3" t="s">
        <v>4361</v>
      </c>
      <c r="B1478" s="2" t="s">
        <v>1957</v>
      </c>
      <c r="D1478" s="66" t="s">
        <v>17381</v>
      </c>
      <c r="E1478" s="2">
        <v>2021</v>
      </c>
      <c r="F1478" s="2" t="s">
        <v>2690</v>
      </c>
      <c r="G1478" s="2" t="s">
        <v>5</v>
      </c>
      <c r="H1478" s="2" t="s">
        <v>2293</v>
      </c>
      <c r="I1478" s="2" t="s">
        <v>2288</v>
      </c>
      <c r="J1478" s="2" t="s">
        <v>56</v>
      </c>
      <c r="K1478" s="2" t="s">
        <v>1144</v>
      </c>
      <c r="L1478" s="2" t="s">
        <v>55</v>
      </c>
      <c r="M1478" s="2">
        <v>451</v>
      </c>
      <c r="N1478" s="2" t="s">
        <v>9</v>
      </c>
      <c r="O1478" s="2">
        <f>VLOOKUP(B1478,[1]Sheet1!$B$624:$E$1665,4,FALSE)</f>
        <v>0.4</v>
      </c>
      <c r="P1478" s="2" t="s">
        <v>16964</v>
      </c>
      <c r="T1478" s="2" t="s">
        <v>16964</v>
      </c>
    </row>
    <row r="1479" spans="1:20" hidden="1">
      <c r="A1479" s="3" t="s">
        <v>4275</v>
      </c>
      <c r="B1479" s="2" t="s">
        <v>1958</v>
      </c>
      <c r="D1479" s="66" t="s">
        <v>17422</v>
      </c>
      <c r="E1479" s="2">
        <v>2021</v>
      </c>
      <c r="F1479" s="2" t="s">
        <v>2690</v>
      </c>
      <c r="G1479" s="2" t="s">
        <v>5</v>
      </c>
      <c r="H1479" s="2" t="s">
        <v>2293</v>
      </c>
      <c r="I1479" s="2" t="s">
        <v>2288</v>
      </c>
      <c r="J1479" s="2" t="s">
        <v>56</v>
      </c>
      <c r="K1479" s="2" t="s">
        <v>1144</v>
      </c>
      <c r="L1479" s="2" t="s">
        <v>55</v>
      </c>
      <c r="M1479" s="2">
        <v>451</v>
      </c>
      <c r="N1479" s="2" t="s">
        <v>9</v>
      </c>
      <c r="O1479" s="2">
        <f>VLOOKUP(B1479,[1]Sheet1!$B$624:$E$1665,4,FALSE)</f>
        <v>0.4</v>
      </c>
      <c r="P1479" s="2" t="s">
        <v>16964</v>
      </c>
      <c r="T1479" s="2" t="s">
        <v>16964</v>
      </c>
    </row>
    <row r="1480" spans="1:20" hidden="1">
      <c r="A1480" s="3" t="s">
        <v>3534</v>
      </c>
      <c r="B1480" s="2" t="s">
        <v>1959</v>
      </c>
      <c r="D1480" s="66" t="s">
        <v>17380</v>
      </c>
      <c r="E1480" s="2">
        <v>2021</v>
      </c>
      <c r="F1480" s="2" t="s">
        <v>2690</v>
      </c>
      <c r="G1480" s="2" t="s">
        <v>5</v>
      </c>
      <c r="H1480" s="2" t="s">
        <v>2293</v>
      </c>
      <c r="I1480" s="2" t="s">
        <v>10</v>
      </c>
      <c r="J1480" s="2" t="s">
        <v>98</v>
      </c>
      <c r="K1480" s="2" t="s">
        <v>4583</v>
      </c>
      <c r="L1480" s="2" t="s">
        <v>97</v>
      </c>
      <c r="M1480" s="2">
        <v>224</v>
      </c>
      <c r="N1480" s="2" t="s">
        <v>14</v>
      </c>
      <c r="O1480" s="2">
        <f>VLOOKUP(B1480,[1]Sheet1!$B$624:$E$1665,4,FALSE)</f>
        <v>0.4</v>
      </c>
      <c r="P1480" s="2" t="s">
        <v>16964</v>
      </c>
      <c r="T1480" s="2" t="s">
        <v>16964</v>
      </c>
    </row>
    <row r="1481" spans="1:20" hidden="1">
      <c r="A1481" s="3" t="s">
        <v>3794</v>
      </c>
      <c r="B1481" s="2" t="s">
        <v>1855</v>
      </c>
      <c r="D1481" s="66" t="s">
        <v>17141</v>
      </c>
      <c r="E1481" s="2">
        <v>2017</v>
      </c>
      <c r="F1481" s="2" t="s">
        <v>449</v>
      </c>
      <c r="G1481" s="2" t="s">
        <v>2295</v>
      </c>
      <c r="H1481" s="2" t="s">
        <v>1494</v>
      </c>
      <c r="I1481" s="2" t="s">
        <v>10</v>
      </c>
      <c r="J1481" s="2" t="s">
        <v>17</v>
      </c>
      <c r="K1481" s="2" t="s">
        <v>452</v>
      </c>
      <c r="L1481" s="2" t="s">
        <v>16</v>
      </c>
      <c r="M1481" s="2">
        <v>2</v>
      </c>
      <c r="N1481" s="2" t="s">
        <v>18</v>
      </c>
      <c r="O1481" s="2">
        <f>VLOOKUP(B1481,[1]Sheet1!$B$624:$E$1665,4,FALSE)</f>
        <v>0.2</v>
      </c>
      <c r="P1481" s="2" t="s">
        <v>16964</v>
      </c>
      <c r="T1481" s="2" t="s">
        <v>16964</v>
      </c>
    </row>
    <row r="1482" spans="1:20" hidden="1">
      <c r="A1482" s="3" t="s">
        <v>4282</v>
      </c>
      <c r="B1482" s="2" t="s">
        <v>1817</v>
      </c>
      <c r="D1482" s="66" t="s">
        <v>17179</v>
      </c>
      <c r="E1482" s="2">
        <v>2020</v>
      </c>
      <c r="F1482" s="2" t="s">
        <v>449</v>
      </c>
      <c r="G1482" s="2" t="s">
        <v>2295</v>
      </c>
      <c r="H1482" s="2" t="s">
        <v>2316</v>
      </c>
      <c r="I1482" s="2" t="s">
        <v>10</v>
      </c>
      <c r="J1482" s="2" t="s">
        <v>1287</v>
      </c>
      <c r="K1482" s="2" t="s">
        <v>4614</v>
      </c>
      <c r="L1482" s="2" t="s">
        <v>1286</v>
      </c>
      <c r="M1482" s="2">
        <v>249</v>
      </c>
      <c r="N1482" s="2" t="s">
        <v>18</v>
      </c>
      <c r="O1482" s="2">
        <f>VLOOKUP(B1482,[1]Sheet1!$B$624:$E$1665,4,FALSE)</f>
        <v>0.4</v>
      </c>
      <c r="P1482" s="2" t="s">
        <v>16964</v>
      </c>
      <c r="T1482" s="2" t="s">
        <v>16964</v>
      </c>
    </row>
    <row r="1483" spans="1:20" hidden="1">
      <c r="A1483" s="3" t="s">
        <v>4426</v>
      </c>
      <c r="B1483" s="2" t="s">
        <v>1816</v>
      </c>
      <c r="D1483" s="66" t="s">
        <v>17180</v>
      </c>
      <c r="E1483" s="2">
        <v>2020</v>
      </c>
      <c r="F1483" s="2" t="s">
        <v>449</v>
      </c>
      <c r="G1483" s="2" t="s">
        <v>2295</v>
      </c>
      <c r="H1483" s="2" t="s">
        <v>2316</v>
      </c>
      <c r="I1483" s="2" t="s">
        <v>10</v>
      </c>
      <c r="J1483" s="2" t="s">
        <v>12</v>
      </c>
      <c r="K1483" s="2" t="s">
        <v>4608</v>
      </c>
      <c r="L1483" s="2" t="s">
        <v>11</v>
      </c>
      <c r="M1483" s="2">
        <v>3</v>
      </c>
      <c r="N1483" s="2" t="s">
        <v>14</v>
      </c>
      <c r="O1483" s="2">
        <f>VLOOKUP(B1483,[1]Sheet1!$B$624:$E$1665,4,FALSE)</f>
        <v>0.2</v>
      </c>
      <c r="P1483" s="2" t="s">
        <v>16964</v>
      </c>
      <c r="T1483" s="2" t="s">
        <v>16964</v>
      </c>
    </row>
    <row r="1484" spans="1:20" hidden="1">
      <c r="A1484" s="3" t="s">
        <v>4014</v>
      </c>
      <c r="B1484" s="2" t="s">
        <v>1910</v>
      </c>
      <c r="D1484" s="66" t="s">
        <v>2688</v>
      </c>
      <c r="E1484" s="2" t="s">
        <v>118</v>
      </c>
      <c r="F1484" s="2" t="s">
        <v>449</v>
      </c>
      <c r="G1484" s="2" t="s">
        <v>2295</v>
      </c>
      <c r="H1484" s="2" t="s">
        <v>2314</v>
      </c>
      <c r="I1484" s="2" t="s">
        <v>2288</v>
      </c>
      <c r="J1484" s="2" t="s">
        <v>486</v>
      </c>
      <c r="K1484" s="2" t="s">
        <v>4535</v>
      </c>
      <c r="L1484" s="2" t="s">
        <v>330</v>
      </c>
      <c r="M1484" s="2">
        <v>177</v>
      </c>
      <c r="N1484" s="2" t="s">
        <v>9</v>
      </c>
      <c r="T1484" s="2" t="s">
        <v>16964</v>
      </c>
    </row>
    <row r="1485" spans="1:20" hidden="1">
      <c r="A1485" s="3" t="s">
        <v>2815</v>
      </c>
      <c r="B1485" s="2" t="s">
        <v>1909</v>
      </c>
      <c r="D1485" s="66" t="s">
        <v>17095</v>
      </c>
      <c r="E1485" s="2">
        <v>1998</v>
      </c>
      <c r="F1485" s="2" t="s">
        <v>449</v>
      </c>
      <c r="G1485" s="2" t="s">
        <v>2295</v>
      </c>
      <c r="H1485" s="2" t="s">
        <v>2314</v>
      </c>
      <c r="I1485" s="2" t="s">
        <v>2288</v>
      </c>
      <c r="J1485" s="2" t="s">
        <v>115</v>
      </c>
      <c r="K1485" s="2" t="s">
        <v>4573</v>
      </c>
      <c r="L1485" s="2" t="s">
        <v>114</v>
      </c>
      <c r="M1485" s="2">
        <v>21</v>
      </c>
      <c r="N1485" s="2" t="s">
        <v>9</v>
      </c>
      <c r="T1485" s="2" t="s">
        <v>16964</v>
      </c>
    </row>
    <row r="1486" spans="1:20" hidden="1">
      <c r="A1486" s="3" t="s">
        <v>3718</v>
      </c>
      <c r="B1486" s="2" t="s">
        <v>1908</v>
      </c>
      <c r="D1486" s="66" t="s">
        <v>17096</v>
      </c>
      <c r="E1486" s="2">
        <v>2004</v>
      </c>
      <c r="F1486" s="2" t="s">
        <v>449</v>
      </c>
      <c r="G1486" s="2" t="s">
        <v>2295</v>
      </c>
      <c r="H1486" s="2" t="s">
        <v>2314</v>
      </c>
      <c r="I1486" s="2" t="s">
        <v>2288</v>
      </c>
      <c r="J1486" s="2" t="s">
        <v>4542</v>
      </c>
      <c r="K1486" s="2" t="s">
        <v>4543</v>
      </c>
      <c r="L1486" s="2" t="s">
        <v>888</v>
      </c>
      <c r="M1486" s="2">
        <v>19</v>
      </c>
      <c r="N1486" s="2" t="s">
        <v>9</v>
      </c>
      <c r="T1486" s="2" t="s">
        <v>16964</v>
      </c>
    </row>
    <row r="1487" spans="1:20" hidden="1">
      <c r="A1487" s="3" t="s">
        <v>4030</v>
      </c>
      <c r="B1487" s="2" t="s">
        <v>1907</v>
      </c>
      <c r="D1487" s="66" t="s">
        <v>17097</v>
      </c>
      <c r="E1487" s="2">
        <v>2002</v>
      </c>
      <c r="F1487" s="2" t="s">
        <v>449</v>
      </c>
      <c r="G1487" s="2" t="s">
        <v>2295</v>
      </c>
      <c r="H1487" s="2" t="s">
        <v>2314</v>
      </c>
      <c r="I1487" s="2" t="s">
        <v>2288</v>
      </c>
      <c r="J1487" s="2" t="s">
        <v>1329</v>
      </c>
      <c r="K1487" s="2" t="s">
        <v>4563</v>
      </c>
      <c r="L1487" s="2" t="s">
        <v>1328</v>
      </c>
      <c r="M1487" s="2">
        <v>200</v>
      </c>
      <c r="N1487" s="2" t="s">
        <v>9</v>
      </c>
      <c r="T1487" s="2" t="s">
        <v>16964</v>
      </c>
    </row>
    <row r="1488" spans="1:20" hidden="1">
      <c r="A1488" s="3" t="s">
        <v>4179</v>
      </c>
      <c r="B1488" s="2" t="s">
        <v>1906</v>
      </c>
      <c r="D1488" s="66" t="s">
        <v>17098</v>
      </c>
      <c r="E1488" s="2">
        <v>2001</v>
      </c>
      <c r="F1488" s="2" t="s">
        <v>449</v>
      </c>
      <c r="G1488" s="2" t="s">
        <v>2295</v>
      </c>
      <c r="H1488" s="2" t="s">
        <v>2314</v>
      </c>
      <c r="I1488" s="2" t="s">
        <v>10</v>
      </c>
      <c r="J1488" s="2" t="s">
        <v>129</v>
      </c>
      <c r="K1488" s="2" t="s">
        <v>4606</v>
      </c>
      <c r="L1488" s="2" t="s">
        <v>11</v>
      </c>
      <c r="M1488" s="2">
        <v>3</v>
      </c>
      <c r="N1488" s="2" t="s">
        <v>18</v>
      </c>
      <c r="T1488" s="2" t="s">
        <v>16964</v>
      </c>
    </row>
    <row r="1489" spans="1:24" hidden="1">
      <c r="A1489" s="3" t="s">
        <v>3886</v>
      </c>
      <c r="B1489" s="2" t="s">
        <v>1905</v>
      </c>
      <c r="D1489" s="66" t="s">
        <v>17099</v>
      </c>
      <c r="E1489" s="2">
        <v>1992</v>
      </c>
      <c r="F1489" s="2" t="s">
        <v>449</v>
      </c>
      <c r="G1489" s="2" t="s">
        <v>5</v>
      </c>
      <c r="H1489" s="2" t="s">
        <v>2315</v>
      </c>
      <c r="I1489" s="2" t="s">
        <v>10</v>
      </c>
      <c r="J1489" s="2" t="s">
        <v>12</v>
      </c>
      <c r="K1489" s="2" t="s">
        <v>4607</v>
      </c>
      <c r="L1489" s="2" t="s">
        <v>11</v>
      </c>
      <c r="M1489" s="2">
        <v>3</v>
      </c>
      <c r="N1489" s="2" t="s">
        <v>14</v>
      </c>
      <c r="O1489" s="2">
        <f>VLOOKUP(B1489,[1]Sheet1!$B$624:$E$1665,4,FALSE)</f>
        <v>0.2</v>
      </c>
      <c r="P1489" s="2" t="s">
        <v>16964</v>
      </c>
      <c r="T1489" s="2" t="s">
        <v>16964</v>
      </c>
    </row>
    <row r="1490" spans="1:24" hidden="1">
      <c r="A1490" s="3" t="s">
        <v>3807</v>
      </c>
      <c r="B1490" s="2" t="s">
        <v>1904</v>
      </c>
      <c r="D1490" s="66" t="s">
        <v>17100</v>
      </c>
      <c r="E1490" s="2">
        <v>2011</v>
      </c>
      <c r="F1490" s="2" t="s">
        <v>449</v>
      </c>
      <c r="G1490" s="2" t="s">
        <v>2295</v>
      </c>
      <c r="H1490" s="2" t="s">
        <v>2316</v>
      </c>
      <c r="I1490" s="2" t="s">
        <v>2288</v>
      </c>
      <c r="J1490" s="2" t="s">
        <v>146</v>
      </c>
      <c r="K1490" s="2" t="s">
        <v>495</v>
      </c>
      <c r="L1490" s="2" t="s">
        <v>145</v>
      </c>
      <c r="M1490" s="2">
        <v>20</v>
      </c>
      <c r="N1490" s="2" t="s">
        <v>9</v>
      </c>
      <c r="O1490" s="2">
        <f>VLOOKUP(B1490,[1]Sheet1!$B$624:$E$1665,4,FALSE)</f>
        <v>0.2</v>
      </c>
      <c r="P1490" s="2" t="s">
        <v>16964</v>
      </c>
      <c r="T1490" s="2" t="s">
        <v>16964</v>
      </c>
    </row>
    <row r="1491" spans="1:24" hidden="1">
      <c r="A1491" s="3" t="s">
        <v>2875</v>
      </c>
      <c r="B1491" s="2" t="s">
        <v>1901</v>
      </c>
      <c r="D1491" s="66" t="s">
        <v>17103</v>
      </c>
      <c r="E1491" s="2">
        <v>2011</v>
      </c>
      <c r="F1491" s="2" t="s">
        <v>449</v>
      </c>
      <c r="G1491" s="2" t="s">
        <v>2295</v>
      </c>
      <c r="H1491" s="2" t="s">
        <v>2316</v>
      </c>
      <c r="I1491" s="2" t="s">
        <v>2288</v>
      </c>
      <c r="J1491" s="2" t="s">
        <v>24</v>
      </c>
      <c r="K1491" s="2" t="s">
        <v>70</v>
      </c>
      <c r="L1491" s="2" t="s">
        <v>23</v>
      </c>
      <c r="M1491" s="2">
        <v>14</v>
      </c>
      <c r="N1491" s="2" t="s">
        <v>9</v>
      </c>
      <c r="T1491" s="2" t="s">
        <v>16964</v>
      </c>
    </row>
    <row r="1492" spans="1:24" hidden="1">
      <c r="A1492" s="3" t="s">
        <v>4209</v>
      </c>
      <c r="B1492" s="2" t="s">
        <v>1899</v>
      </c>
      <c r="D1492" s="66" t="s">
        <v>17105</v>
      </c>
      <c r="E1492" s="2">
        <v>2011</v>
      </c>
      <c r="F1492" s="2" t="s">
        <v>449</v>
      </c>
      <c r="G1492" s="2" t="s">
        <v>5</v>
      </c>
      <c r="H1492" s="2" t="s">
        <v>4453</v>
      </c>
      <c r="I1492" s="2" t="s">
        <v>2288</v>
      </c>
      <c r="J1492" s="2" t="s">
        <v>29</v>
      </c>
      <c r="K1492" s="2" t="s">
        <v>4685</v>
      </c>
      <c r="L1492" s="2" t="s">
        <v>28</v>
      </c>
      <c r="M1492" s="2">
        <v>551</v>
      </c>
      <c r="N1492" s="2" t="s">
        <v>9</v>
      </c>
      <c r="O1492" s="2">
        <f>VLOOKUP(B1492,[1]Sheet1!$B$624:$E$1665,4,FALSE)</f>
        <v>0.2</v>
      </c>
      <c r="P1492" s="2" t="s">
        <v>16964</v>
      </c>
      <c r="T1492" s="2" t="s">
        <v>16964</v>
      </c>
    </row>
    <row r="1493" spans="1:24" hidden="1">
      <c r="A1493" s="3" t="s">
        <v>3346</v>
      </c>
      <c r="B1493" s="2" t="s">
        <v>1898</v>
      </c>
      <c r="D1493" s="66" t="s">
        <v>17106</v>
      </c>
      <c r="E1493" s="2">
        <v>2011</v>
      </c>
      <c r="F1493" s="2" t="s">
        <v>449</v>
      </c>
      <c r="G1493" s="2" t="s">
        <v>2295</v>
      </c>
      <c r="H1493" s="2" t="s">
        <v>2316</v>
      </c>
      <c r="I1493" s="2" t="s">
        <v>2288</v>
      </c>
      <c r="J1493" s="2" t="s">
        <v>29</v>
      </c>
      <c r="K1493" s="2" t="s">
        <v>66</v>
      </c>
      <c r="L1493" s="2" t="s">
        <v>28</v>
      </c>
      <c r="M1493" s="2">
        <v>8</v>
      </c>
      <c r="N1493" s="2" t="s">
        <v>9</v>
      </c>
      <c r="O1493" s="2">
        <f>VLOOKUP(B1493,[1]Sheet1!$B$624:$E$1665,4,FALSE)</f>
        <v>0.2</v>
      </c>
      <c r="P1493" s="2" t="s">
        <v>16964</v>
      </c>
      <c r="T1493" s="2" t="s">
        <v>16964</v>
      </c>
    </row>
    <row r="1494" spans="1:24" hidden="1">
      <c r="A1494" s="3" t="s">
        <v>3189</v>
      </c>
      <c r="B1494" s="2" t="s">
        <v>1896</v>
      </c>
      <c r="D1494" s="66" t="s">
        <v>7021</v>
      </c>
      <c r="E1494" s="2">
        <v>2012</v>
      </c>
      <c r="F1494" s="2" t="s">
        <v>449</v>
      </c>
      <c r="G1494" s="2" t="s">
        <v>2295</v>
      </c>
      <c r="H1494" s="2" t="s">
        <v>2314</v>
      </c>
      <c r="I1494" s="2" t="s">
        <v>2288</v>
      </c>
      <c r="J1494" s="2" t="s">
        <v>20</v>
      </c>
      <c r="K1494" s="2" t="s">
        <v>361</v>
      </c>
      <c r="L1494" s="2" t="s">
        <v>19</v>
      </c>
      <c r="M1494" s="2">
        <v>9</v>
      </c>
      <c r="N1494" s="2" t="s">
        <v>21</v>
      </c>
      <c r="T1494" s="2" t="s">
        <v>16963</v>
      </c>
      <c r="X1494" s="67" t="s">
        <v>4723</v>
      </c>
    </row>
    <row r="1495" spans="1:24" hidden="1">
      <c r="A1495" s="3" t="s">
        <v>4044</v>
      </c>
      <c r="B1495" s="2" t="s">
        <v>1893</v>
      </c>
      <c r="D1495" s="66" t="s">
        <v>17109</v>
      </c>
      <c r="E1495" s="2">
        <v>2012</v>
      </c>
      <c r="F1495" s="2" t="s">
        <v>449</v>
      </c>
      <c r="G1495" s="2" t="s">
        <v>2295</v>
      </c>
      <c r="H1495" s="2" t="s">
        <v>1494</v>
      </c>
      <c r="I1495" s="2" t="s">
        <v>2288</v>
      </c>
      <c r="J1495" s="2" t="s">
        <v>486</v>
      </c>
      <c r="K1495" s="2" t="s">
        <v>4536</v>
      </c>
      <c r="L1495" s="2" t="s">
        <v>330</v>
      </c>
      <c r="M1495" s="2">
        <v>177</v>
      </c>
      <c r="N1495" s="2" t="s">
        <v>9</v>
      </c>
      <c r="T1495" s="2" t="s">
        <v>16964</v>
      </c>
    </row>
    <row r="1496" spans="1:24" hidden="1">
      <c r="A1496" s="3" t="s">
        <v>3815</v>
      </c>
      <c r="B1496" s="2" t="s">
        <v>1892</v>
      </c>
      <c r="D1496" s="66" t="s">
        <v>7138</v>
      </c>
      <c r="E1496" s="2">
        <v>2012</v>
      </c>
      <c r="F1496" s="2" t="s">
        <v>449</v>
      </c>
      <c r="G1496" s="2" t="s">
        <v>2295</v>
      </c>
      <c r="H1496" s="2" t="s">
        <v>2314</v>
      </c>
      <c r="I1496" s="2" t="s">
        <v>2288</v>
      </c>
      <c r="J1496" s="2" t="s">
        <v>20</v>
      </c>
      <c r="K1496" s="2" t="s">
        <v>4573</v>
      </c>
      <c r="L1496" s="2" t="s">
        <v>19</v>
      </c>
      <c r="M1496" s="2">
        <v>9</v>
      </c>
      <c r="N1496" s="2" t="s">
        <v>21</v>
      </c>
      <c r="T1496" s="2" t="s">
        <v>16963</v>
      </c>
      <c r="U1496" s="67" t="s">
        <v>2627</v>
      </c>
    </row>
    <row r="1497" spans="1:24" hidden="1">
      <c r="A1497" s="3" t="s">
        <v>3437</v>
      </c>
      <c r="B1497" s="2" t="s">
        <v>1891</v>
      </c>
      <c r="D1497" s="66" t="s">
        <v>17110</v>
      </c>
      <c r="E1497" s="2">
        <v>2012</v>
      </c>
      <c r="F1497" s="2" t="s">
        <v>449</v>
      </c>
      <c r="G1497" s="2" t="s">
        <v>2295</v>
      </c>
      <c r="H1497" s="2" t="s">
        <v>2314</v>
      </c>
      <c r="I1497" s="2" t="s">
        <v>2288</v>
      </c>
      <c r="J1497" s="2" t="s">
        <v>20</v>
      </c>
      <c r="K1497" s="2" t="s">
        <v>4575</v>
      </c>
      <c r="L1497" s="2" t="s">
        <v>19</v>
      </c>
      <c r="M1497" s="2">
        <v>9</v>
      </c>
      <c r="N1497" s="2" t="s">
        <v>21</v>
      </c>
      <c r="T1497" s="2" t="s">
        <v>16964</v>
      </c>
    </row>
    <row r="1498" spans="1:24" hidden="1">
      <c r="A1498" s="3" t="s">
        <v>4359</v>
      </c>
      <c r="B1498" s="2" t="s">
        <v>1890</v>
      </c>
      <c r="D1498" s="66" t="s">
        <v>17111</v>
      </c>
      <c r="E1498" s="2">
        <v>2012</v>
      </c>
      <c r="F1498" s="2" t="s">
        <v>449</v>
      </c>
      <c r="G1498" s="2" t="s">
        <v>2295</v>
      </c>
      <c r="H1498" s="2" t="s">
        <v>2314</v>
      </c>
      <c r="I1498" s="2" t="s">
        <v>2288</v>
      </c>
      <c r="J1498" s="2" t="s">
        <v>56</v>
      </c>
      <c r="K1498" s="2" t="s">
        <v>4487</v>
      </c>
      <c r="L1498" s="2" t="s">
        <v>55</v>
      </c>
      <c r="M1498" s="2">
        <v>451</v>
      </c>
      <c r="N1498" s="2" t="s">
        <v>9</v>
      </c>
      <c r="T1498" s="2" t="s">
        <v>16964</v>
      </c>
    </row>
    <row r="1499" spans="1:24" hidden="1">
      <c r="A1499" s="3" t="s">
        <v>3910</v>
      </c>
      <c r="B1499" s="2" t="s">
        <v>1889</v>
      </c>
      <c r="D1499" s="66" t="s">
        <v>7170</v>
      </c>
      <c r="E1499" s="2">
        <v>2012</v>
      </c>
      <c r="F1499" s="2" t="s">
        <v>449</v>
      </c>
      <c r="G1499" s="2" t="s">
        <v>2295</v>
      </c>
      <c r="H1499" s="2" t="s">
        <v>2314</v>
      </c>
      <c r="I1499" s="2" t="s">
        <v>2288</v>
      </c>
      <c r="J1499" s="2" t="s">
        <v>20</v>
      </c>
      <c r="K1499" s="2" t="s">
        <v>4546</v>
      </c>
      <c r="L1499" s="2" t="s">
        <v>19</v>
      </c>
      <c r="M1499" s="2">
        <v>9</v>
      </c>
      <c r="N1499" s="2" t="s">
        <v>21</v>
      </c>
      <c r="T1499" s="2" t="s">
        <v>16963</v>
      </c>
      <c r="U1499" s="67" t="s">
        <v>2627</v>
      </c>
    </row>
    <row r="1500" spans="1:24" hidden="1">
      <c r="A1500" s="3" t="s">
        <v>4245</v>
      </c>
      <c r="B1500" s="2" t="s">
        <v>1888</v>
      </c>
      <c r="D1500" s="66" t="s">
        <v>17112</v>
      </c>
      <c r="E1500" s="2">
        <v>2012</v>
      </c>
      <c r="F1500" s="2" t="s">
        <v>449</v>
      </c>
      <c r="G1500" s="2" t="s">
        <v>5</v>
      </c>
      <c r="H1500" s="2" t="s">
        <v>4452</v>
      </c>
      <c r="I1500" s="2" t="s">
        <v>2288</v>
      </c>
      <c r="J1500" s="2" t="s">
        <v>102</v>
      </c>
      <c r="K1500" s="2" t="s">
        <v>4676</v>
      </c>
      <c r="L1500" s="2" t="s">
        <v>101</v>
      </c>
      <c r="M1500" s="2">
        <v>7</v>
      </c>
      <c r="N1500" s="2" t="s">
        <v>9</v>
      </c>
      <c r="T1500" s="2" t="s">
        <v>16964</v>
      </c>
    </row>
    <row r="1501" spans="1:24" hidden="1">
      <c r="A1501" s="3" t="s">
        <v>3374</v>
      </c>
      <c r="B1501" s="2" t="s">
        <v>1887</v>
      </c>
      <c r="D1501" s="66" t="s">
        <v>17113</v>
      </c>
      <c r="E1501" s="2">
        <v>2012</v>
      </c>
      <c r="F1501" s="2" t="s">
        <v>449</v>
      </c>
      <c r="G1501" s="2" t="s">
        <v>2295</v>
      </c>
      <c r="H1501" s="2" t="s">
        <v>2316</v>
      </c>
      <c r="I1501" s="2" t="s">
        <v>2288</v>
      </c>
      <c r="J1501" s="2" t="s">
        <v>8</v>
      </c>
      <c r="K1501" s="2" t="s">
        <v>504</v>
      </c>
      <c r="L1501" s="2" t="s">
        <v>7</v>
      </c>
      <c r="M1501" s="2">
        <v>121</v>
      </c>
      <c r="N1501" s="2" t="s">
        <v>9</v>
      </c>
      <c r="O1501" s="2">
        <f>VLOOKUP(B1501,[1]Sheet1!$B$624:$E$1665,4,FALSE)</f>
        <v>0.8</v>
      </c>
      <c r="P1501" s="2" t="s">
        <v>16963</v>
      </c>
      <c r="T1501" s="2" t="s">
        <v>16963</v>
      </c>
      <c r="X1501" s="67" t="s">
        <v>4722</v>
      </c>
    </row>
    <row r="1502" spans="1:24" hidden="1">
      <c r="A1502" s="3" t="s">
        <v>3980</v>
      </c>
      <c r="B1502" s="2" t="s">
        <v>1886</v>
      </c>
      <c r="D1502" s="66" t="s">
        <v>17114</v>
      </c>
      <c r="E1502" s="2">
        <v>2012</v>
      </c>
      <c r="F1502" s="2" t="s">
        <v>449</v>
      </c>
      <c r="G1502" s="2" t="s">
        <v>2295</v>
      </c>
      <c r="H1502" s="2" t="s">
        <v>2318</v>
      </c>
      <c r="I1502" s="2" t="s">
        <v>2288</v>
      </c>
      <c r="J1502" s="2" t="s">
        <v>102</v>
      </c>
      <c r="K1502" s="2" t="s">
        <v>472</v>
      </c>
      <c r="L1502" s="2" t="s">
        <v>101</v>
      </c>
      <c r="M1502" s="2">
        <v>7</v>
      </c>
      <c r="N1502" s="2" t="s">
        <v>9</v>
      </c>
      <c r="O1502" s="2">
        <f>VLOOKUP(B1502,[1]Sheet1!$B$624:$E$1665,4,FALSE)</f>
        <v>0.2</v>
      </c>
      <c r="P1502" s="2" t="s">
        <v>16964</v>
      </c>
      <c r="T1502" s="2" t="s">
        <v>16964</v>
      </c>
    </row>
    <row r="1503" spans="1:24" hidden="1">
      <c r="A1503" s="3" t="s">
        <v>3911</v>
      </c>
      <c r="B1503" s="2" t="s">
        <v>1885</v>
      </c>
      <c r="D1503" s="66" t="s">
        <v>7168</v>
      </c>
      <c r="E1503" s="2">
        <v>2012</v>
      </c>
      <c r="F1503" s="2" t="s">
        <v>449</v>
      </c>
      <c r="G1503" s="2" t="s">
        <v>2295</v>
      </c>
      <c r="H1503" s="2" t="s">
        <v>2318</v>
      </c>
      <c r="I1503" s="2" t="s">
        <v>2288</v>
      </c>
      <c r="J1503" s="2" t="s">
        <v>20</v>
      </c>
      <c r="K1503" s="2" t="s">
        <v>4573</v>
      </c>
      <c r="L1503" s="2" t="s">
        <v>19</v>
      </c>
      <c r="M1503" s="2">
        <v>9</v>
      </c>
      <c r="N1503" s="2" t="s">
        <v>21</v>
      </c>
      <c r="O1503" s="13">
        <f>VLOOKUP(B1503,[1]Sheet1!$B$624:$E$1665,4,FALSE)</f>
        <v>0.2</v>
      </c>
      <c r="P1503" s="13" t="s">
        <v>16964</v>
      </c>
      <c r="T1503" s="2" t="s">
        <v>16963</v>
      </c>
      <c r="U1503" s="67" t="s">
        <v>2627</v>
      </c>
    </row>
    <row r="1504" spans="1:24" hidden="1">
      <c r="A1504" s="3" t="s">
        <v>4046</v>
      </c>
      <c r="B1504" s="2" t="s">
        <v>1884</v>
      </c>
      <c r="D1504" s="66" t="s">
        <v>17115</v>
      </c>
      <c r="E1504" s="2">
        <v>2013</v>
      </c>
      <c r="F1504" s="2" t="s">
        <v>449</v>
      </c>
      <c r="G1504" s="2" t="s">
        <v>2295</v>
      </c>
      <c r="H1504" s="2" t="s">
        <v>2316</v>
      </c>
      <c r="I1504" s="2" t="s">
        <v>2288</v>
      </c>
      <c r="J1504" s="2" t="s">
        <v>102</v>
      </c>
      <c r="K1504" s="2" t="s">
        <v>4668</v>
      </c>
      <c r="L1504" s="2" t="s">
        <v>101</v>
      </c>
      <c r="M1504" s="2">
        <v>7</v>
      </c>
      <c r="N1504" s="2" t="s">
        <v>9</v>
      </c>
      <c r="T1504" s="2" t="s">
        <v>16964</v>
      </c>
    </row>
    <row r="1505" spans="1:24" hidden="1">
      <c r="A1505" s="3" t="s">
        <v>3152</v>
      </c>
      <c r="B1505" s="2" t="s">
        <v>1883</v>
      </c>
      <c r="D1505" s="66" t="s">
        <v>17116</v>
      </c>
      <c r="E1505" s="2">
        <v>2010</v>
      </c>
      <c r="F1505" s="2" t="s">
        <v>449</v>
      </c>
      <c r="G1505" s="2" t="s">
        <v>2295</v>
      </c>
      <c r="H1505" s="2" t="s">
        <v>2318</v>
      </c>
      <c r="I1505" s="2" t="s">
        <v>10</v>
      </c>
      <c r="J1505" s="2" t="s">
        <v>35</v>
      </c>
      <c r="K1505" s="2" t="s">
        <v>4653</v>
      </c>
      <c r="L1505" s="2" t="s">
        <v>34</v>
      </c>
      <c r="M1505" s="2">
        <v>5</v>
      </c>
      <c r="N1505" s="2" t="s">
        <v>14</v>
      </c>
      <c r="O1505" s="2">
        <f>VLOOKUP(B1505,[1]Sheet1!$B$624:$E$1665,4,FALSE)</f>
        <v>0.2</v>
      </c>
      <c r="P1505" s="2" t="s">
        <v>16964</v>
      </c>
      <c r="T1505" s="2" t="s">
        <v>16964</v>
      </c>
    </row>
    <row r="1506" spans="1:24" hidden="1">
      <c r="A1506" s="3" t="s">
        <v>4226</v>
      </c>
      <c r="B1506" s="2" t="s">
        <v>1881</v>
      </c>
      <c r="D1506" s="66" t="s">
        <v>17118</v>
      </c>
      <c r="E1506" s="2">
        <v>2014</v>
      </c>
      <c r="F1506" s="2" t="s">
        <v>449</v>
      </c>
      <c r="G1506" s="2" t="s">
        <v>5</v>
      </c>
      <c r="H1506" s="2" t="s">
        <v>4453</v>
      </c>
      <c r="I1506" s="2" t="s">
        <v>2288</v>
      </c>
      <c r="J1506" s="2" t="s">
        <v>638</v>
      </c>
      <c r="K1506" s="2" t="s">
        <v>4522</v>
      </c>
      <c r="L1506" s="2" t="s">
        <v>23</v>
      </c>
      <c r="M1506" s="2">
        <v>1607</v>
      </c>
      <c r="N1506" s="2" t="s">
        <v>9</v>
      </c>
      <c r="T1506" s="2" t="s">
        <v>16964</v>
      </c>
    </row>
    <row r="1507" spans="1:24" hidden="1">
      <c r="A1507" s="3" t="s">
        <v>3565</v>
      </c>
      <c r="B1507" s="2" t="s">
        <v>1880</v>
      </c>
      <c r="D1507" s="66" t="s">
        <v>17119</v>
      </c>
      <c r="E1507" s="2">
        <v>2014</v>
      </c>
      <c r="F1507" s="2" t="s">
        <v>449</v>
      </c>
      <c r="G1507" s="2" t="s">
        <v>2295</v>
      </c>
      <c r="H1507" s="2" t="s">
        <v>2318</v>
      </c>
      <c r="I1507" s="2" t="s">
        <v>2288</v>
      </c>
      <c r="J1507" s="2" t="s">
        <v>20</v>
      </c>
      <c r="K1507" s="2" t="s">
        <v>4694</v>
      </c>
      <c r="L1507" s="2" t="s">
        <v>19</v>
      </c>
      <c r="M1507" s="2">
        <v>9</v>
      </c>
      <c r="N1507" s="2" t="s">
        <v>21</v>
      </c>
      <c r="O1507" s="2">
        <f>VLOOKUP(B1507,[1]Sheet1!$B$624:$E$1665,4,FALSE)</f>
        <v>0.4</v>
      </c>
      <c r="P1507" s="2" t="s">
        <v>16964</v>
      </c>
      <c r="T1507" s="2" t="s">
        <v>16964</v>
      </c>
    </row>
    <row r="1508" spans="1:24" hidden="1">
      <c r="A1508" s="3" t="s">
        <v>4026</v>
      </c>
      <c r="B1508" s="2" t="s">
        <v>1879</v>
      </c>
      <c r="D1508" s="66" t="s">
        <v>17120</v>
      </c>
      <c r="E1508" s="2">
        <v>2014</v>
      </c>
      <c r="F1508" s="2" t="s">
        <v>449</v>
      </c>
      <c r="G1508" s="2" t="s">
        <v>2295</v>
      </c>
      <c r="H1508" s="2" t="s">
        <v>2318</v>
      </c>
      <c r="I1508" s="2" t="s">
        <v>2288</v>
      </c>
      <c r="J1508" s="2" t="s">
        <v>56</v>
      </c>
      <c r="K1508" s="2" t="s">
        <v>4488</v>
      </c>
      <c r="L1508" s="2" t="s">
        <v>55</v>
      </c>
      <c r="M1508" s="2">
        <v>451</v>
      </c>
      <c r="N1508" s="2" t="s">
        <v>9</v>
      </c>
      <c r="T1508" s="2" t="s">
        <v>16964</v>
      </c>
    </row>
    <row r="1509" spans="1:24" hidden="1">
      <c r="A1509" s="3" t="s">
        <v>3845</v>
      </c>
      <c r="B1509" s="2" t="s">
        <v>1878</v>
      </c>
      <c r="D1509" s="66" t="s">
        <v>17121</v>
      </c>
      <c r="E1509" s="2">
        <v>2014</v>
      </c>
      <c r="F1509" s="2" t="s">
        <v>449</v>
      </c>
      <c r="G1509" s="2" t="s">
        <v>2295</v>
      </c>
      <c r="H1509" s="2" t="s">
        <v>2318</v>
      </c>
      <c r="I1509" s="2" t="s">
        <v>2288</v>
      </c>
      <c r="J1509" s="2" t="s">
        <v>638</v>
      </c>
      <c r="K1509" s="2" t="s">
        <v>4523</v>
      </c>
      <c r="L1509" s="2" t="s">
        <v>23</v>
      </c>
      <c r="M1509" s="2">
        <v>91</v>
      </c>
      <c r="N1509" s="2" t="s">
        <v>9</v>
      </c>
      <c r="T1509" s="2" t="s">
        <v>16964</v>
      </c>
    </row>
    <row r="1510" spans="1:24" hidden="1">
      <c r="A1510" s="3" t="s">
        <v>3912</v>
      </c>
      <c r="B1510" s="2" t="s">
        <v>1877</v>
      </c>
      <c r="D1510" s="66" t="s">
        <v>7017</v>
      </c>
      <c r="E1510" s="2">
        <v>2012</v>
      </c>
      <c r="F1510" s="2" t="s">
        <v>449</v>
      </c>
      <c r="G1510" s="2" t="s">
        <v>2295</v>
      </c>
      <c r="H1510" s="2" t="s">
        <v>2318</v>
      </c>
      <c r="I1510" s="2" t="s">
        <v>2288</v>
      </c>
      <c r="J1510" s="2" t="s">
        <v>20</v>
      </c>
      <c r="K1510" s="2" t="s">
        <v>4573</v>
      </c>
      <c r="L1510" s="2" t="s">
        <v>19</v>
      </c>
      <c r="M1510" s="2">
        <v>9</v>
      </c>
      <c r="N1510" s="2" t="s">
        <v>21</v>
      </c>
      <c r="T1510" s="2" t="s">
        <v>16963</v>
      </c>
      <c r="U1510" s="67" t="s">
        <v>2627</v>
      </c>
    </row>
    <row r="1511" spans="1:24" hidden="1">
      <c r="A1511" s="3" t="s">
        <v>3868</v>
      </c>
      <c r="B1511" s="2" t="s">
        <v>1876</v>
      </c>
      <c r="D1511" s="66" t="s">
        <v>17122</v>
      </c>
      <c r="E1511" s="2">
        <v>2011</v>
      </c>
      <c r="F1511" s="2" t="s">
        <v>449</v>
      </c>
      <c r="G1511" s="2" t="s">
        <v>2295</v>
      </c>
      <c r="H1511" s="2" t="s">
        <v>2318</v>
      </c>
      <c r="I1511" s="2" t="s">
        <v>2288</v>
      </c>
      <c r="J1511" s="2" t="s">
        <v>102</v>
      </c>
      <c r="K1511" s="2" t="s">
        <v>4677</v>
      </c>
      <c r="L1511" s="2" t="s">
        <v>101</v>
      </c>
      <c r="M1511" s="2">
        <v>7</v>
      </c>
      <c r="N1511" s="2" t="s">
        <v>9</v>
      </c>
      <c r="T1511" s="2" t="s">
        <v>16964</v>
      </c>
    </row>
    <row r="1512" spans="1:24" hidden="1">
      <c r="A1512" s="3" t="s">
        <v>3444</v>
      </c>
      <c r="B1512" s="2" t="s">
        <v>1875</v>
      </c>
      <c r="D1512" s="66" t="s">
        <v>17123</v>
      </c>
      <c r="E1512" s="2">
        <v>2013</v>
      </c>
      <c r="F1512" s="2" t="s">
        <v>449</v>
      </c>
      <c r="G1512" s="2" t="s">
        <v>2295</v>
      </c>
      <c r="H1512" s="2" t="s">
        <v>2318</v>
      </c>
      <c r="I1512" s="2" t="s">
        <v>2288</v>
      </c>
      <c r="J1512" s="2" t="s">
        <v>20</v>
      </c>
      <c r="K1512" s="2" t="s">
        <v>4575</v>
      </c>
      <c r="L1512" s="2" t="s">
        <v>19</v>
      </c>
      <c r="M1512" s="2">
        <v>9</v>
      </c>
      <c r="N1512" s="2" t="s">
        <v>21</v>
      </c>
      <c r="T1512" s="2" t="s">
        <v>16964</v>
      </c>
    </row>
    <row r="1513" spans="1:24" hidden="1">
      <c r="A1513" s="3" t="s">
        <v>3087</v>
      </c>
      <c r="B1513" s="2" t="s">
        <v>1874</v>
      </c>
      <c r="D1513" s="66" t="s">
        <v>7081</v>
      </c>
      <c r="E1513" s="2">
        <v>2014</v>
      </c>
      <c r="F1513" s="2" t="s">
        <v>449</v>
      </c>
      <c r="G1513" s="2" t="s">
        <v>2295</v>
      </c>
      <c r="H1513" s="2" t="s">
        <v>2318</v>
      </c>
      <c r="I1513" s="2" t="s">
        <v>2288</v>
      </c>
      <c r="J1513" s="2" t="s">
        <v>20</v>
      </c>
      <c r="K1513" s="2" t="s">
        <v>361</v>
      </c>
      <c r="L1513" s="2" t="s">
        <v>19</v>
      </c>
      <c r="M1513" s="2">
        <v>9</v>
      </c>
      <c r="N1513" s="2" t="s">
        <v>21</v>
      </c>
      <c r="T1513" s="2" t="s">
        <v>16963</v>
      </c>
      <c r="X1513" s="67" t="s">
        <v>4723</v>
      </c>
    </row>
    <row r="1514" spans="1:24" hidden="1">
      <c r="A1514" s="3" t="s">
        <v>3377</v>
      </c>
      <c r="B1514" s="2" t="s">
        <v>1873</v>
      </c>
      <c r="D1514" s="66" t="s">
        <v>17124</v>
      </c>
      <c r="E1514" s="2">
        <v>2015</v>
      </c>
      <c r="F1514" s="2" t="s">
        <v>449</v>
      </c>
      <c r="G1514" s="2" t="s">
        <v>2295</v>
      </c>
      <c r="H1514" s="2" t="s">
        <v>2318</v>
      </c>
      <c r="I1514" s="2" t="s">
        <v>2288</v>
      </c>
      <c r="J1514" s="2" t="s">
        <v>8</v>
      </c>
      <c r="K1514" s="2" t="s">
        <v>4500</v>
      </c>
      <c r="L1514" s="2" t="s">
        <v>7</v>
      </c>
      <c r="M1514" s="2">
        <v>121</v>
      </c>
      <c r="N1514" s="2" t="s">
        <v>9</v>
      </c>
      <c r="O1514" s="2">
        <f>VLOOKUP(B1514,[1]Sheet1!$B$624:$E$1665,4,FALSE)</f>
        <v>0.4</v>
      </c>
      <c r="P1514" s="2" t="s">
        <v>16964</v>
      </c>
      <c r="T1514" s="2" t="s">
        <v>16964</v>
      </c>
    </row>
    <row r="1515" spans="1:24" hidden="1">
      <c r="A1515" s="3" t="s">
        <v>3825</v>
      </c>
      <c r="B1515" s="2" t="s">
        <v>1872</v>
      </c>
      <c r="D1515" s="66" t="s">
        <v>17125</v>
      </c>
      <c r="E1515" s="2">
        <v>2015</v>
      </c>
      <c r="F1515" s="2" t="s">
        <v>449</v>
      </c>
      <c r="G1515" s="2" t="s">
        <v>2295</v>
      </c>
      <c r="H1515" s="2" t="s">
        <v>2318</v>
      </c>
      <c r="I1515" s="2" t="s">
        <v>10</v>
      </c>
      <c r="J1515" s="2" t="s">
        <v>4721</v>
      </c>
      <c r="K1515" s="2" t="s">
        <v>4721</v>
      </c>
      <c r="L1515" s="2" t="s">
        <v>58</v>
      </c>
      <c r="M1515" s="2">
        <v>6</v>
      </c>
      <c r="N1515" s="2" t="s">
        <v>18</v>
      </c>
      <c r="T1515" s="2" t="s">
        <v>16964</v>
      </c>
    </row>
    <row r="1516" spans="1:24" hidden="1">
      <c r="A1516" s="3" t="s">
        <v>3822</v>
      </c>
      <c r="B1516" s="2" t="s">
        <v>1871</v>
      </c>
      <c r="D1516" s="66" t="s">
        <v>17126</v>
      </c>
      <c r="E1516" s="2">
        <v>2015</v>
      </c>
      <c r="F1516" s="2" t="s">
        <v>449</v>
      </c>
      <c r="G1516" s="2" t="s">
        <v>2295</v>
      </c>
      <c r="H1516" s="2" t="s">
        <v>2318</v>
      </c>
      <c r="I1516" s="2" t="s">
        <v>2288</v>
      </c>
      <c r="J1516" s="2" t="s">
        <v>8</v>
      </c>
      <c r="K1516" s="2" t="s">
        <v>4500</v>
      </c>
      <c r="L1516" s="2" t="s">
        <v>7</v>
      </c>
      <c r="M1516" s="2">
        <v>121</v>
      </c>
      <c r="N1516" s="2" t="s">
        <v>9</v>
      </c>
      <c r="T1516" s="2" t="s">
        <v>16964</v>
      </c>
    </row>
    <row r="1517" spans="1:24" hidden="1">
      <c r="A1517" s="3" t="s">
        <v>3511</v>
      </c>
      <c r="B1517" s="2" t="s">
        <v>1870</v>
      </c>
      <c r="D1517" s="66" t="s">
        <v>17127</v>
      </c>
      <c r="E1517" s="2">
        <v>2015</v>
      </c>
      <c r="F1517" s="2" t="s">
        <v>449</v>
      </c>
      <c r="G1517" s="2" t="s">
        <v>2295</v>
      </c>
      <c r="H1517" s="2" t="s">
        <v>2318</v>
      </c>
      <c r="I1517" s="2" t="s">
        <v>2288</v>
      </c>
      <c r="J1517" s="2" t="s">
        <v>20</v>
      </c>
      <c r="K1517" s="2" t="s">
        <v>231</v>
      </c>
      <c r="L1517" s="2" t="s">
        <v>19</v>
      </c>
      <c r="M1517" s="2">
        <v>9</v>
      </c>
      <c r="N1517" s="2" t="s">
        <v>21</v>
      </c>
      <c r="T1517" s="2" t="s">
        <v>16964</v>
      </c>
    </row>
    <row r="1518" spans="1:24" hidden="1">
      <c r="A1518" s="3" t="s">
        <v>3354</v>
      </c>
      <c r="B1518" s="2" t="s">
        <v>1869</v>
      </c>
      <c r="D1518" s="66" t="s">
        <v>7070</v>
      </c>
      <c r="E1518" s="2">
        <v>2015</v>
      </c>
      <c r="F1518" s="2" t="s">
        <v>449</v>
      </c>
      <c r="G1518" s="2" t="s">
        <v>2295</v>
      </c>
      <c r="H1518" s="2" t="s">
        <v>2318</v>
      </c>
      <c r="I1518" s="2" t="s">
        <v>2288</v>
      </c>
      <c r="J1518" s="2" t="s">
        <v>20</v>
      </c>
      <c r="K1518" s="2" t="s">
        <v>231</v>
      </c>
      <c r="L1518" s="2" t="s">
        <v>19</v>
      </c>
      <c r="M1518" s="2">
        <v>9</v>
      </c>
      <c r="N1518" s="2" t="s">
        <v>21</v>
      </c>
      <c r="T1518" s="2" t="s">
        <v>16963</v>
      </c>
      <c r="U1518" s="67" t="s">
        <v>2627</v>
      </c>
    </row>
    <row r="1519" spans="1:24" hidden="1">
      <c r="A1519" s="3" t="s">
        <v>3156</v>
      </c>
      <c r="B1519" s="2" t="s">
        <v>1868</v>
      </c>
      <c r="D1519" s="66" t="s">
        <v>17128</v>
      </c>
      <c r="E1519" s="2">
        <v>2015</v>
      </c>
      <c r="F1519" s="2" t="s">
        <v>449</v>
      </c>
      <c r="G1519" s="2" t="s">
        <v>2295</v>
      </c>
      <c r="H1519" s="2" t="s">
        <v>2318</v>
      </c>
      <c r="I1519" s="2" t="s">
        <v>2288</v>
      </c>
      <c r="J1519" s="2" t="s">
        <v>8</v>
      </c>
      <c r="K1519" s="2" t="s">
        <v>4501</v>
      </c>
      <c r="L1519" s="2" t="s">
        <v>7</v>
      </c>
      <c r="M1519" s="2">
        <v>121</v>
      </c>
      <c r="N1519" s="2" t="s">
        <v>9</v>
      </c>
      <c r="T1519" s="2" t="s">
        <v>16963</v>
      </c>
      <c r="X1519" s="67" t="s">
        <v>4722</v>
      </c>
    </row>
    <row r="1520" spans="1:24" hidden="1">
      <c r="A1520" s="3" t="s">
        <v>4398</v>
      </c>
      <c r="B1520" s="2" t="s">
        <v>1867</v>
      </c>
      <c r="D1520" s="66" t="s">
        <v>17129</v>
      </c>
      <c r="E1520" s="2">
        <v>2015</v>
      </c>
      <c r="F1520" s="2" t="s">
        <v>449</v>
      </c>
      <c r="G1520" s="2" t="s">
        <v>2295</v>
      </c>
      <c r="H1520" s="2" t="s">
        <v>2318</v>
      </c>
      <c r="I1520" s="2" t="s">
        <v>10</v>
      </c>
      <c r="J1520" s="2" t="s">
        <v>765</v>
      </c>
      <c r="K1520" s="2" t="s">
        <v>4631</v>
      </c>
      <c r="L1520" s="2" t="s">
        <v>764</v>
      </c>
      <c r="M1520" s="2">
        <v>4</v>
      </c>
      <c r="N1520" s="2" t="s">
        <v>18</v>
      </c>
      <c r="T1520" s="2" t="s">
        <v>16964</v>
      </c>
    </row>
    <row r="1521" spans="1:25" hidden="1">
      <c r="A1521" s="3" t="s">
        <v>3155</v>
      </c>
      <c r="B1521" s="2" t="s">
        <v>1866</v>
      </c>
      <c r="D1521" s="66" t="s">
        <v>17130</v>
      </c>
      <c r="E1521" s="2">
        <v>2017</v>
      </c>
      <c r="F1521" s="2" t="s">
        <v>449</v>
      </c>
      <c r="G1521" s="2" t="s">
        <v>2295</v>
      </c>
      <c r="H1521" s="2" t="s">
        <v>2318</v>
      </c>
      <c r="I1521" s="2" t="s">
        <v>2288</v>
      </c>
      <c r="J1521" s="2" t="s">
        <v>26</v>
      </c>
      <c r="K1521" s="2" t="s">
        <v>4482</v>
      </c>
      <c r="L1521" s="2" t="s">
        <v>25</v>
      </c>
      <c r="M1521" s="2">
        <v>101</v>
      </c>
      <c r="N1521" s="2" t="s">
        <v>9</v>
      </c>
      <c r="T1521" s="2" t="s">
        <v>16964</v>
      </c>
    </row>
    <row r="1522" spans="1:25" hidden="1">
      <c r="A1522" s="3" t="s">
        <v>3622</v>
      </c>
      <c r="B1522" s="2" t="s">
        <v>1864</v>
      </c>
      <c r="D1522" s="66" t="s">
        <v>17132</v>
      </c>
      <c r="E1522" s="2">
        <v>2018</v>
      </c>
      <c r="F1522" s="2" t="s">
        <v>449</v>
      </c>
      <c r="G1522" s="2" t="s">
        <v>5</v>
      </c>
      <c r="H1522" s="2" t="s">
        <v>4455</v>
      </c>
      <c r="I1522" s="2" t="s">
        <v>10</v>
      </c>
      <c r="J1522" s="2" t="s">
        <v>129</v>
      </c>
      <c r="K1522" s="2" t="s">
        <v>558</v>
      </c>
      <c r="L1522" s="2" t="s">
        <v>128</v>
      </c>
      <c r="M1522" s="2">
        <v>1</v>
      </c>
      <c r="N1522" s="2" t="s">
        <v>18</v>
      </c>
      <c r="T1522" s="2" t="s">
        <v>16964</v>
      </c>
    </row>
    <row r="1523" spans="1:25" hidden="1">
      <c r="A1523" s="3" t="s">
        <v>2799</v>
      </c>
      <c r="B1523" s="2" t="s">
        <v>1863</v>
      </c>
      <c r="D1523" s="66" t="s">
        <v>17133</v>
      </c>
      <c r="E1523" s="2">
        <v>2018</v>
      </c>
      <c r="F1523" s="2" t="s">
        <v>449</v>
      </c>
      <c r="G1523" s="2" t="s">
        <v>2295</v>
      </c>
      <c r="H1523" s="2" t="s">
        <v>1494</v>
      </c>
      <c r="I1523" s="2" t="s">
        <v>2288</v>
      </c>
      <c r="J1523" s="2" t="s">
        <v>24</v>
      </c>
      <c r="K1523" s="2" t="s">
        <v>556</v>
      </c>
      <c r="L1523" s="2" t="s">
        <v>23</v>
      </c>
      <c r="M1523" s="2">
        <v>14</v>
      </c>
      <c r="N1523" s="2" t="s">
        <v>9</v>
      </c>
      <c r="T1523" s="2" t="s">
        <v>16964</v>
      </c>
    </row>
    <row r="1524" spans="1:25" hidden="1">
      <c r="A1524" s="3" t="s">
        <v>2983</v>
      </c>
      <c r="B1524" s="2" t="s">
        <v>1862</v>
      </c>
      <c r="D1524" s="66" t="s">
        <v>17134</v>
      </c>
      <c r="E1524" s="2">
        <v>2018</v>
      </c>
      <c r="F1524" s="2" t="s">
        <v>449</v>
      </c>
      <c r="G1524" s="2" t="s">
        <v>5</v>
      </c>
      <c r="H1524" s="2" t="s">
        <v>4454</v>
      </c>
      <c r="I1524" s="2" t="s">
        <v>2288</v>
      </c>
      <c r="J1524" s="2" t="s">
        <v>8</v>
      </c>
      <c r="K1524" s="2" t="s">
        <v>4502</v>
      </c>
      <c r="L1524" s="2" t="s">
        <v>7</v>
      </c>
      <c r="M1524" s="2">
        <v>121</v>
      </c>
      <c r="N1524" s="2" t="s">
        <v>9</v>
      </c>
      <c r="O1524" s="2">
        <f>VLOOKUP(B1524,[1]Sheet1!$B$624:$E$1665,4,FALSE)</f>
        <v>0.8</v>
      </c>
      <c r="P1524" s="2" t="s">
        <v>16963</v>
      </c>
      <c r="T1524" s="2" t="s">
        <v>16963</v>
      </c>
      <c r="X1524" s="67" t="s">
        <v>4725</v>
      </c>
    </row>
    <row r="1525" spans="1:25" hidden="1">
      <c r="A1525" s="3" t="s">
        <v>2821</v>
      </c>
      <c r="B1525" s="2" t="s">
        <v>1861</v>
      </c>
      <c r="D1525" s="66" t="s">
        <v>17135</v>
      </c>
      <c r="E1525" s="2">
        <v>2018</v>
      </c>
      <c r="F1525" s="2" t="s">
        <v>449</v>
      </c>
      <c r="G1525" s="2" t="s">
        <v>2295</v>
      </c>
      <c r="H1525" s="2" t="s">
        <v>1494</v>
      </c>
      <c r="I1525" s="2" t="s">
        <v>2288</v>
      </c>
      <c r="J1525" s="2" t="s">
        <v>24</v>
      </c>
      <c r="K1525" s="2" t="s">
        <v>556</v>
      </c>
      <c r="L1525" s="2" t="s">
        <v>23</v>
      </c>
      <c r="M1525" s="2">
        <v>14</v>
      </c>
      <c r="N1525" s="2" t="s">
        <v>9</v>
      </c>
      <c r="T1525" s="2" t="s">
        <v>16964</v>
      </c>
    </row>
    <row r="1526" spans="1:25" hidden="1">
      <c r="A1526" s="3" t="s">
        <v>4027</v>
      </c>
      <c r="B1526" s="2" t="s">
        <v>1860</v>
      </c>
      <c r="D1526" s="66" t="s">
        <v>17136</v>
      </c>
      <c r="E1526" s="2">
        <v>2018</v>
      </c>
      <c r="F1526" s="2" t="s">
        <v>449</v>
      </c>
      <c r="G1526" s="2" t="s">
        <v>2295</v>
      </c>
      <c r="H1526" s="2" t="s">
        <v>1494</v>
      </c>
      <c r="I1526" s="2" t="s">
        <v>2288</v>
      </c>
      <c r="J1526" s="2" t="s">
        <v>56</v>
      </c>
      <c r="K1526" s="2" t="s">
        <v>4489</v>
      </c>
      <c r="L1526" s="2" t="s">
        <v>55</v>
      </c>
      <c r="M1526" s="2">
        <v>451</v>
      </c>
      <c r="N1526" s="2" t="s">
        <v>9</v>
      </c>
      <c r="T1526" s="2" t="s">
        <v>16964</v>
      </c>
    </row>
    <row r="1527" spans="1:25" hidden="1">
      <c r="A1527" s="3" t="s">
        <v>4188</v>
      </c>
      <c r="B1527" s="2" t="s">
        <v>1859</v>
      </c>
      <c r="D1527" s="66" t="s">
        <v>17137</v>
      </c>
      <c r="E1527" s="2">
        <v>2018</v>
      </c>
      <c r="F1527" s="2" t="s">
        <v>449</v>
      </c>
      <c r="G1527" s="2" t="s">
        <v>2295</v>
      </c>
      <c r="H1527" s="2" t="s">
        <v>1494</v>
      </c>
      <c r="I1527" s="2" t="s">
        <v>10</v>
      </c>
      <c r="J1527" s="2" t="s">
        <v>542</v>
      </c>
      <c r="K1527" s="2" t="s">
        <v>543</v>
      </c>
      <c r="L1527" s="2" t="s">
        <v>122</v>
      </c>
      <c r="M1527" s="2">
        <v>296</v>
      </c>
      <c r="N1527" s="2" t="s">
        <v>14</v>
      </c>
      <c r="T1527" s="2" t="s">
        <v>16963</v>
      </c>
      <c r="U1527" s="67" t="s">
        <v>2627</v>
      </c>
    </row>
    <row r="1528" spans="1:25" hidden="1">
      <c r="A1528" s="3" t="s">
        <v>4020</v>
      </c>
      <c r="B1528" s="2" t="s">
        <v>1858</v>
      </c>
      <c r="D1528" s="66" t="s">
        <v>17138</v>
      </c>
      <c r="E1528" s="2">
        <v>2018</v>
      </c>
      <c r="F1528" s="2" t="s">
        <v>449</v>
      </c>
      <c r="G1528" s="2" t="s">
        <v>2295</v>
      </c>
      <c r="H1528" s="2" t="s">
        <v>1494</v>
      </c>
      <c r="I1528" s="2" t="s">
        <v>2288</v>
      </c>
      <c r="J1528" s="2" t="s">
        <v>486</v>
      </c>
      <c r="K1528" s="2" t="s">
        <v>4537</v>
      </c>
      <c r="L1528" s="2" t="s">
        <v>330</v>
      </c>
      <c r="M1528" s="2">
        <v>177</v>
      </c>
      <c r="N1528" s="2" t="s">
        <v>9</v>
      </c>
      <c r="T1528" s="2" t="s">
        <v>16964</v>
      </c>
    </row>
    <row r="1529" spans="1:25" hidden="1">
      <c r="A1529" s="3" t="s">
        <v>4018</v>
      </c>
      <c r="B1529" s="2" t="s">
        <v>1857</v>
      </c>
      <c r="D1529" s="66" t="s">
        <v>17139</v>
      </c>
      <c r="E1529" s="2">
        <v>2019</v>
      </c>
      <c r="F1529" s="2" t="s">
        <v>449</v>
      </c>
      <c r="G1529" s="2" t="s">
        <v>2295</v>
      </c>
      <c r="H1529" s="2" t="s">
        <v>1494</v>
      </c>
      <c r="I1529" s="2" t="s">
        <v>2288</v>
      </c>
      <c r="J1529" s="2" t="s">
        <v>486</v>
      </c>
      <c r="K1529" s="2" t="s">
        <v>4537</v>
      </c>
      <c r="L1529" s="2" t="s">
        <v>330</v>
      </c>
      <c r="M1529" s="2">
        <v>177</v>
      </c>
      <c r="N1529" s="2" t="s">
        <v>9</v>
      </c>
      <c r="T1529" s="2" t="s">
        <v>16964</v>
      </c>
    </row>
    <row r="1530" spans="1:25" hidden="1">
      <c r="A1530" s="3" t="s">
        <v>3990</v>
      </c>
      <c r="B1530" s="2" t="s">
        <v>1856</v>
      </c>
      <c r="D1530" s="66" t="s">
        <v>17140</v>
      </c>
      <c r="E1530" s="2">
        <v>2019</v>
      </c>
      <c r="F1530" s="2" t="s">
        <v>449</v>
      </c>
      <c r="G1530" s="2" t="s">
        <v>2295</v>
      </c>
      <c r="H1530" s="2" t="s">
        <v>1494</v>
      </c>
      <c r="I1530" s="2" t="s">
        <v>2288</v>
      </c>
      <c r="J1530" s="2" t="s">
        <v>8</v>
      </c>
      <c r="K1530" s="2" t="s">
        <v>4503</v>
      </c>
      <c r="L1530" s="2" t="s">
        <v>7</v>
      </c>
      <c r="M1530" s="2">
        <v>121</v>
      </c>
      <c r="N1530" s="2" t="s">
        <v>9</v>
      </c>
      <c r="T1530" s="2" t="s">
        <v>16963</v>
      </c>
      <c r="Y1530" s="67" t="s">
        <v>2627</v>
      </c>
    </row>
    <row r="1531" spans="1:25" hidden="1">
      <c r="A1531" s="3" t="s">
        <v>3648</v>
      </c>
      <c r="B1531" s="2" t="s">
        <v>1854</v>
      </c>
      <c r="D1531" s="66" t="s">
        <v>17142</v>
      </c>
      <c r="E1531" s="2">
        <v>2017</v>
      </c>
      <c r="F1531" s="2" t="s">
        <v>449</v>
      </c>
      <c r="G1531" s="2" t="s">
        <v>5</v>
      </c>
      <c r="H1531" s="2" t="s">
        <v>4455</v>
      </c>
      <c r="I1531" s="2" t="s">
        <v>10</v>
      </c>
      <c r="J1531" s="2" t="s">
        <v>17</v>
      </c>
      <c r="K1531" s="2" t="s">
        <v>452</v>
      </c>
      <c r="L1531" s="2" t="s">
        <v>16</v>
      </c>
      <c r="M1531" s="2">
        <v>2</v>
      </c>
      <c r="N1531" s="2" t="s">
        <v>18</v>
      </c>
      <c r="O1531" s="2">
        <f>VLOOKUP(B1531,[1]Sheet1!$B$624:$E$1665,4,FALSE)</f>
        <v>0.2</v>
      </c>
      <c r="P1531" s="2" t="s">
        <v>16964</v>
      </c>
      <c r="T1531" s="2" t="s">
        <v>16964</v>
      </c>
    </row>
    <row r="1532" spans="1:25" hidden="1">
      <c r="A1532" s="3" t="s">
        <v>3465</v>
      </c>
      <c r="B1532" s="2" t="s">
        <v>1853</v>
      </c>
      <c r="D1532" s="66" t="s">
        <v>17143</v>
      </c>
      <c r="E1532" s="2">
        <v>2017</v>
      </c>
      <c r="F1532" s="2" t="s">
        <v>449</v>
      </c>
      <c r="G1532" s="2" t="s">
        <v>2295</v>
      </c>
      <c r="H1532" s="2" t="s">
        <v>1494</v>
      </c>
      <c r="I1532" s="2" t="s">
        <v>2288</v>
      </c>
      <c r="J1532" s="2" t="s">
        <v>150</v>
      </c>
      <c r="K1532" s="2" t="s">
        <v>567</v>
      </c>
      <c r="L1532" s="2" t="s">
        <v>149</v>
      </c>
      <c r="M1532" s="2">
        <v>403</v>
      </c>
      <c r="N1532" s="2" t="s">
        <v>9</v>
      </c>
      <c r="O1532" s="2">
        <f>VLOOKUP(B1532,[1]Sheet1!$B$624:$E$1665,4,FALSE)</f>
        <v>0.2</v>
      </c>
      <c r="P1532" s="2" t="s">
        <v>16964</v>
      </c>
      <c r="T1532" s="2" t="s">
        <v>16964</v>
      </c>
    </row>
    <row r="1533" spans="1:25" hidden="1">
      <c r="A1533" s="3" t="s">
        <v>3650</v>
      </c>
      <c r="B1533" s="2" t="s">
        <v>1852</v>
      </c>
      <c r="D1533" s="66" t="s">
        <v>17144</v>
      </c>
      <c r="E1533" s="2">
        <v>2017</v>
      </c>
      <c r="F1533" s="2" t="s">
        <v>449</v>
      </c>
      <c r="G1533" s="2" t="s">
        <v>2295</v>
      </c>
      <c r="H1533" s="2" t="s">
        <v>1494</v>
      </c>
      <c r="I1533" s="2" t="s">
        <v>10</v>
      </c>
      <c r="J1533" s="2" t="s">
        <v>17</v>
      </c>
      <c r="K1533" s="2" t="s">
        <v>452</v>
      </c>
      <c r="L1533" s="2" t="s">
        <v>16</v>
      </c>
      <c r="M1533" s="2">
        <v>2</v>
      </c>
      <c r="N1533" s="2" t="s">
        <v>18</v>
      </c>
      <c r="T1533" s="2" t="s">
        <v>16964</v>
      </c>
    </row>
    <row r="1534" spans="1:25" hidden="1">
      <c r="A1534" s="3" t="s">
        <v>3464</v>
      </c>
      <c r="B1534" s="2" t="s">
        <v>1851</v>
      </c>
      <c r="D1534" s="66" t="s">
        <v>17145</v>
      </c>
      <c r="E1534" s="2">
        <v>2017</v>
      </c>
      <c r="F1534" s="2" t="s">
        <v>449</v>
      </c>
      <c r="G1534" s="2" t="s">
        <v>2295</v>
      </c>
      <c r="H1534" s="2" t="s">
        <v>1494</v>
      </c>
      <c r="I1534" s="2" t="s">
        <v>2288</v>
      </c>
      <c r="J1534" s="2" t="s">
        <v>150</v>
      </c>
      <c r="K1534" s="2" t="s">
        <v>567</v>
      </c>
      <c r="L1534" s="2" t="s">
        <v>149</v>
      </c>
      <c r="M1534" s="2">
        <v>403</v>
      </c>
      <c r="N1534" s="2" t="s">
        <v>9</v>
      </c>
      <c r="O1534" s="2">
        <f>VLOOKUP(B1534,[1]Sheet1!$B$624:$E$1665,4,FALSE)</f>
        <v>0.2</v>
      </c>
      <c r="P1534" s="2" t="s">
        <v>16964</v>
      </c>
      <c r="T1534" s="2" t="s">
        <v>16964</v>
      </c>
    </row>
    <row r="1535" spans="1:25" hidden="1">
      <c r="A1535" s="3" t="s">
        <v>3850</v>
      </c>
      <c r="B1535" s="2" t="s">
        <v>1850</v>
      </c>
      <c r="D1535" s="66" t="s">
        <v>17146</v>
      </c>
      <c r="E1535" s="2">
        <v>2017</v>
      </c>
      <c r="F1535" s="2" t="s">
        <v>449</v>
      </c>
      <c r="G1535" s="2" t="s">
        <v>2295</v>
      </c>
      <c r="H1535" s="2" t="s">
        <v>1494</v>
      </c>
      <c r="I1535" s="2" t="s">
        <v>10</v>
      </c>
      <c r="J1535" s="2" t="s">
        <v>1287</v>
      </c>
      <c r="K1535" s="2" t="s">
        <v>4614</v>
      </c>
      <c r="L1535" s="2" t="s">
        <v>1286</v>
      </c>
      <c r="M1535" s="2">
        <v>249</v>
      </c>
      <c r="N1535" s="2" t="s">
        <v>18</v>
      </c>
      <c r="O1535" s="2">
        <f>VLOOKUP(B1535,[1]Sheet1!$B$624:$E$1665,4,FALSE)</f>
        <v>0.4</v>
      </c>
      <c r="P1535" s="2" t="s">
        <v>16964</v>
      </c>
      <c r="T1535" s="2" t="s">
        <v>16964</v>
      </c>
    </row>
    <row r="1536" spans="1:25" hidden="1">
      <c r="A1536" s="3" t="s">
        <v>4068</v>
      </c>
      <c r="B1536" s="2" t="s">
        <v>1849</v>
      </c>
      <c r="D1536" s="66" t="s">
        <v>17147</v>
      </c>
      <c r="E1536" s="2">
        <v>2017</v>
      </c>
      <c r="F1536" s="2" t="s">
        <v>449</v>
      </c>
      <c r="G1536" s="2" t="s">
        <v>2295</v>
      </c>
      <c r="H1536" s="2" t="s">
        <v>1494</v>
      </c>
      <c r="I1536" s="2" t="s">
        <v>2288</v>
      </c>
      <c r="J1536" s="2" t="s">
        <v>4542</v>
      </c>
      <c r="K1536" s="2" t="s">
        <v>4544</v>
      </c>
      <c r="L1536" s="2" t="s">
        <v>888</v>
      </c>
      <c r="M1536" s="2">
        <v>19</v>
      </c>
      <c r="N1536" s="2" t="s">
        <v>9</v>
      </c>
      <c r="T1536" s="2" t="s">
        <v>16964</v>
      </c>
    </row>
    <row r="1537" spans="1:25" hidden="1">
      <c r="A1537" s="3" t="s">
        <v>3344</v>
      </c>
      <c r="B1537" s="2" t="s">
        <v>1848</v>
      </c>
      <c r="D1537" s="66" t="s">
        <v>17148</v>
      </c>
      <c r="E1537" s="2">
        <v>2017</v>
      </c>
      <c r="F1537" s="2" t="s">
        <v>449</v>
      </c>
      <c r="G1537" s="2" t="s">
        <v>2295</v>
      </c>
      <c r="H1537" s="2" t="s">
        <v>1494</v>
      </c>
      <c r="I1537" s="2" t="s">
        <v>2288</v>
      </c>
      <c r="J1537" s="2" t="s">
        <v>29</v>
      </c>
      <c r="K1537" s="2" t="s">
        <v>66</v>
      </c>
      <c r="L1537" s="2" t="s">
        <v>28</v>
      </c>
      <c r="M1537" s="2">
        <v>8</v>
      </c>
      <c r="N1537" s="2" t="s">
        <v>9</v>
      </c>
      <c r="T1537" s="2" t="s">
        <v>16964</v>
      </c>
    </row>
    <row r="1538" spans="1:25" hidden="1">
      <c r="A1538" s="3" t="s">
        <v>3466</v>
      </c>
      <c r="B1538" s="2" t="s">
        <v>1847</v>
      </c>
      <c r="D1538" s="66" t="s">
        <v>17149</v>
      </c>
      <c r="E1538" s="2">
        <v>2019</v>
      </c>
      <c r="F1538" s="2" t="s">
        <v>449</v>
      </c>
      <c r="G1538" s="2" t="s">
        <v>2295</v>
      </c>
      <c r="H1538" s="2" t="s">
        <v>1494</v>
      </c>
      <c r="I1538" s="2" t="s">
        <v>2288</v>
      </c>
      <c r="J1538" s="2" t="s">
        <v>150</v>
      </c>
      <c r="K1538" s="2" t="s">
        <v>567</v>
      </c>
      <c r="L1538" s="2" t="s">
        <v>149</v>
      </c>
      <c r="M1538" s="2">
        <v>403</v>
      </c>
      <c r="N1538" s="2" t="s">
        <v>9</v>
      </c>
      <c r="T1538" s="2" t="s">
        <v>16963</v>
      </c>
      <c r="Y1538" s="67" t="s">
        <v>2627</v>
      </c>
    </row>
    <row r="1539" spans="1:25" hidden="1">
      <c r="A1539" s="3" t="s">
        <v>2885</v>
      </c>
      <c r="B1539" s="2" t="s">
        <v>1846</v>
      </c>
      <c r="D1539" s="66" t="s">
        <v>17150</v>
      </c>
      <c r="E1539" s="2">
        <v>2018</v>
      </c>
      <c r="F1539" s="2" t="s">
        <v>449</v>
      </c>
      <c r="G1539" s="2" t="s">
        <v>2295</v>
      </c>
      <c r="H1539" s="2" t="s">
        <v>2318</v>
      </c>
      <c r="I1539" s="2" t="s">
        <v>2288</v>
      </c>
      <c r="J1539" s="2" t="s">
        <v>579</v>
      </c>
      <c r="K1539" s="2" t="s">
        <v>580</v>
      </c>
      <c r="L1539" s="2" t="s">
        <v>578</v>
      </c>
      <c r="M1539" s="2">
        <v>199</v>
      </c>
      <c r="N1539" s="2" t="s">
        <v>9</v>
      </c>
      <c r="T1539" s="2" t="s">
        <v>16964</v>
      </c>
    </row>
    <row r="1540" spans="1:25" hidden="1">
      <c r="A1540" s="3" t="s">
        <v>3363</v>
      </c>
      <c r="B1540" s="2" t="s">
        <v>1845</v>
      </c>
      <c r="D1540" s="66" t="s">
        <v>17151</v>
      </c>
      <c r="E1540" s="2">
        <v>2019</v>
      </c>
      <c r="F1540" s="2" t="s">
        <v>449</v>
      </c>
      <c r="G1540" s="2" t="s">
        <v>2295</v>
      </c>
      <c r="H1540" s="2" t="s">
        <v>2318</v>
      </c>
      <c r="I1540" s="2" t="s">
        <v>2288</v>
      </c>
      <c r="J1540" s="2" t="s">
        <v>8</v>
      </c>
      <c r="K1540" s="2" t="s">
        <v>562</v>
      </c>
      <c r="L1540" s="2" t="s">
        <v>7</v>
      </c>
      <c r="M1540" s="2">
        <v>121</v>
      </c>
      <c r="N1540" s="2" t="s">
        <v>9</v>
      </c>
      <c r="T1540" s="2" t="s">
        <v>16963</v>
      </c>
      <c r="X1540" s="67" t="s">
        <v>4722</v>
      </c>
    </row>
    <row r="1541" spans="1:25" hidden="1">
      <c r="A1541" s="3" t="s">
        <v>3250</v>
      </c>
      <c r="B1541" s="2" t="s">
        <v>1844</v>
      </c>
      <c r="D1541" s="66" t="s">
        <v>17152</v>
      </c>
      <c r="E1541" s="2">
        <v>2019</v>
      </c>
      <c r="F1541" s="2" t="s">
        <v>449</v>
      </c>
      <c r="G1541" s="2" t="s">
        <v>2295</v>
      </c>
      <c r="H1541" s="2" t="s">
        <v>2318</v>
      </c>
      <c r="I1541" s="2" t="s">
        <v>2288</v>
      </c>
      <c r="J1541" s="2" t="s">
        <v>29</v>
      </c>
      <c r="K1541" s="2" t="s">
        <v>4686</v>
      </c>
      <c r="L1541" s="2" t="s">
        <v>28</v>
      </c>
      <c r="M1541" s="2">
        <v>8</v>
      </c>
      <c r="N1541" s="2" t="s">
        <v>9</v>
      </c>
      <c r="T1541" s="2" t="s">
        <v>16964</v>
      </c>
    </row>
    <row r="1542" spans="1:25" hidden="1">
      <c r="A1542" s="3" t="s">
        <v>4159</v>
      </c>
      <c r="B1542" s="2" t="s">
        <v>1843</v>
      </c>
      <c r="D1542" s="66" t="s">
        <v>17153</v>
      </c>
      <c r="E1542" s="2">
        <v>2019</v>
      </c>
      <c r="F1542" s="2" t="s">
        <v>449</v>
      </c>
      <c r="G1542" s="2" t="s">
        <v>2295</v>
      </c>
      <c r="H1542" s="2" t="s">
        <v>2318</v>
      </c>
      <c r="I1542" s="2" t="s">
        <v>2288</v>
      </c>
      <c r="J1542" s="2" t="s">
        <v>102</v>
      </c>
      <c r="K1542" s="2" t="s">
        <v>4677</v>
      </c>
      <c r="L1542" s="2" t="s">
        <v>101</v>
      </c>
      <c r="M1542" s="2">
        <v>7</v>
      </c>
      <c r="N1542" s="2" t="s">
        <v>9</v>
      </c>
      <c r="T1542" s="2" t="s">
        <v>16964</v>
      </c>
    </row>
    <row r="1543" spans="1:25" hidden="1">
      <c r="A1543" s="3" t="s">
        <v>2884</v>
      </c>
      <c r="B1543" s="2" t="s">
        <v>1842</v>
      </c>
      <c r="D1543" s="66" t="s">
        <v>17154</v>
      </c>
      <c r="E1543" s="2">
        <v>2019</v>
      </c>
      <c r="F1543" s="2" t="s">
        <v>449</v>
      </c>
      <c r="G1543" s="2" t="s">
        <v>2295</v>
      </c>
      <c r="H1543" s="2" t="s">
        <v>2318</v>
      </c>
      <c r="I1543" s="2" t="s">
        <v>2288</v>
      </c>
      <c r="J1543" s="2" t="s">
        <v>579</v>
      </c>
      <c r="K1543" s="2" t="s">
        <v>580</v>
      </c>
      <c r="L1543" s="2" t="s">
        <v>578</v>
      </c>
      <c r="M1543" s="2">
        <v>199</v>
      </c>
      <c r="N1543" s="2" t="s">
        <v>9</v>
      </c>
      <c r="T1543" s="2" t="s">
        <v>16964</v>
      </c>
    </row>
    <row r="1544" spans="1:25" hidden="1">
      <c r="A1544" s="3" t="s">
        <v>3122</v>
      </c>
      <c r="B1544" s="2" t="s">
        <v>1841</v>
      </c>
      <c r="D1544" s="66" t="s">
        <v>17155</v>
      </c>
      <c r="E1544" s="2">
        <v>2019</v>
      </c>
      <c r="F1544" s="2" t="s">
        <v>449</v>
      </c>
      <c r="G1544" s="2" t="s">
        <v>2295</v>
      </c>
      <c r="H1544" s="2" t="s">
        <v>2318</v>
      </c>
      <c r="I1544" s="2" t="s">
        <v>2288</v>
      </c>
      <c r="J1544" s="2" t="s">
        <v>29</v>
      </c>
      <c r="K1544" s="2" t="s">
        <v>66</v>
      </c>
      <c r="L1544" s="2" t="s">
        <v>28</v>
      </c>
      <c r="M1544" s="2">
        <v>8</v>
      </c>
      <c r="N1544" s="2" t="s">
        <v>9</v>
      </c>
      <c r="T1544" s="2" t="s">
        <v>16964</v>
      </c>
    </row>
    <row r="1545" spans="1:25" hidden="1">
      <c r="A1545" s="3" t="s">
        <v>2841</v>
      </c>
      <c r="B1545" s="2" t="s">
        <v>1840</v>
      </c>
      <c r="D1545" s="66" t="s">
        <v>17156</v>
      </c>
      <c r="E1545" s="2">
        <v>2019</v>
      </c>
      <c r="F1545" s="2" t="s">
        <v>449</v>
      </c>
      <c r="G1545" s="2" t="s">
        <v>2295</v>
      </c>
      <c r="H1545" s="2" t="s">
        <v>2318</v>
      </c>
      <c r="I1545" s="2" t="s">
        <v>2288</v>
      </c>
      <c r="J1545" s="2" t="s">
        <v>24</v>
      </c>
      <c r="K1545" s="2" t="s">
        <v>4524</v>
      </c>
      <c r="L1545" s="2" t="s">
        <v>23</v>
      </c>
      <c r="M1545" s="2">
        <v>14</v>
      </c>
      <c r="N1545" s="2" t="s">
        <v>9</v>
      </c>
      <c r="T1545" s="2" t="s">
        <v>16964</v>
      </c>
    </row>
    <row r="1546" spans="1:25" hidden="1">
      <c r="A1546" s="3" t="s">
        <v>4153</v>
      </c>
      <c r="B1546" s="2" t="s">
        <v>1839</v>
      </c>
      <c r="D1546" s="66" t="s">
        <v>17157</v>
      </c>
      <c r="E1546" s="2">
        <v>2019</v>
      </c>
      <c r="F1546" s="2" t="s">
        <v>449</v>
      </c>
      <c r="G1546" s="2" t="s">
        <v>2295</v>
      </c>
      <c r="H1546" s="2" t="s">
        <v>2318</v>
      </c>
      <c r="I1546" s="2" t="s">
        <v>10</v>
      </c>
      <c r="J1546" s="2" t="s">
        <v>844</v>
      </c>
      <c r="K1546" s="2" t="s">
        <v>4580</v>
      </c>
      <c r="L1546" s="2" t="s">
        <v>843</v>
      </c>
      <c r="M1546" s="2">
        <v>220</v>
      </c>
      <c r="N1546" s="2" t="s">
        <v>18</v>
      </c>
      <c r="T1546" s="2" t="s">
        <v>16964</v>
      </c>
    </row>
    <row r="1547" spans="1:25" hidden="1">
      <c r="A1547" s="3" t="s">
        <v>3939</v>
      </c>
      <c r="B1547" s="2" t="s">
        <v>1838</v>
      </c>
      <c r="D1547" s="66" t="s">
        <v>17158</v>
      </c>
      <c r="E1547" s="2">
        <v>2019</v>
      </c>
      <c r="F1547" s="2" t="s">
        <v>449</v>
      </c>
      <c r="G1547" s="2" t="s">
        <v>2295</v>
      </c>
      <c r="H1547" s="2" t="s">
        <v>2318</v>
      </c>
      <c r="I1547" s="2" t="s">
        <v>2288</v>
      </c>
      <c r="J1547" s="2" t="s">
        <v>40</v>
      </c>
      <c r="K1547" s="2" t="s">
        <v>4620</v>
      </c>
      <c r="L1547" s="2" t="s">
        <v>39</v>
      </c>
      <c r="M1547" s="2">
        <v>37</v>
      </c>
      <c r="N1547" s="2" t="s">
        <v>9</v>
      </c>
      <c r="T1547" s="2" t="s">
        <v>16964</v>
      </c>
    </row>
    <row r="1548" spans="1:25" hidden="1">
      <c r="A1548" s="3" t="s">
        <v>3376</v>
      </c>
      <c r="B1548" s="2" t="s">
        <v>1837</v>
      </c>
      <c r="D1548" s="66" t="s">
        <v>17159</v>
      </c>
      <c r="E1548" s="2">
        <v>2016</v>
      </c>
      <c r="F1548" s="2" t="s">
        <v>449</v>
      </c>
      <c r="G1548" s="2" t="s">
        <v>2295</v>
      </c>
      <c r="H1548" s="2" t="s">
        <v>2318</v>
      </c>
      <c r="I1548" s="2" t="s">
        <v>10</v>
      </c>
      <c r="J1548" s="2" t="s">
        <v>35</v>
      </c>
      <c r="K1548" s="2" t="s">
        <v>4654</v>
      </c>
      <c r="L1548" s="2" t="s">
        <v>34</v>
      </c>
      <c r="M1548" s="2">
        <v>5</v>
      </c>
      <c r="N1548" s="2" t="s">
        <v>14</v>
      </c>
      <c r="O1548" s="2">
        <f>VLOOKUP(B1548,[1]Sheet1!$B$624:$E$1665,4,FALSE)</f>
        <v>1.6</v>
      </c>
      <c r="P1548" s="2" t="s">
        <v>16963</v>
      </c>
      <c r="T1548" s="2" t="s">
        <v>16963</v>
      </c>
      <c r="U1548" s="67" t="s">
        <v>2627</v>
      </c>
    </row>
    <row r="1549" spans="1:25" hidden="1">
      <c r="A1549" s="3" t="s">
        <v>3063</v>
      </c>
      <c r="B1549" s="2" t="s">
        <v>1836</v>
      </c>
      <c r="D1549" s="66" t="s">
        <v>17160</v>
      </c>
      <c r="E1549" s="2">
        <v>2019</v>
      </c>
      <c r="F1549" s="2" t="s">
        <v>449</v>
      </c>
      <c r="G1549" s="2" t="s">
        <v>2295</v>
      </c>
      <c r="H1549" s="2" t="s">
        <v>1494</v>
      </c>
      <c r="I1549" s="2" t="s">
        <v>10</v>
      </c>
      <c r="J1549" s="2" t="s">
        <v>35</v>
      </c>
      <c r="K1549" s="2" t="s">
        <v>4655</v>
      </c>
      <c r="L1549" s="2" t="s">
        <v>34</v>
      </c>
      <c r="M1549" s="2">
        <v>5</v>
      </c>
      <c r="N1549" s="2" t="s">
        <v>14</v>
      </c>
      <c r="T1549" s="2" t="s">
        <v>16963</v>
      </c>
      <c r="U1549" s="67" t="s">
        <v>2627</v>
      </c>
    </row>
    <row r="1550" spans="1:25" hidden="1">
      <c r="A1550" s="3" t="s">
        <v>4303</v>
      </c>
      <c r="B1550" s="2" t="s">
        <v>1835</v>
      </c>
      <c r="D1550" s="66" t="s">
        <v>17161</v>
      </c>
      <c r="E1550" s="2">
        <v>2019</v>
      </c>
      <c r="F1550" s="2" t="s">
        <v>449</v>
      </c>
      <c r="G1550" s="2" t="s">
        <v>2295</v>
      </c>
      <c r="H1550" s="2" t="s">
        <v>1494</v>
      </c>
      <c r="I1550" s="2" t="s">
        <v>2288</v>
      </c>
      <c r="J1550" s="2" t="s">
        <v>535</v>
      </c>
      <c r="K1550" s="2" t="s">
        <v>4643</v>
      </c>
      <c r="L1550" s="2" t="s">
        <v>534</v>
      </c>
      <c r="M1550" s="2">
        <v>394</v>
      </c>
      <c r="N1550" s="2" t="s">
        <v>9</v>
      </c>
      <c r="O1550" s="2">
        <f>VLOOKUP(B1550,[1]Sheet1!$B$624:$E$1665,4,FALSE)</f>
        <v>0.2</v>
      </c>
      <c r="P1550" s="2" t="s">
        <v>16964</v>
      </c>
      <c r="T1550" s="2" t="s">
        <v>16964</v>
      </c>
    </row>
    <row r="1551" spans="1:25" hidden="1">
      <c r="A1551" s="3" t="s">
        <v>3375</v>
      </c>
      <c r="B1551" s="2" t="s">
        <v>1834</v>
      </c>
      <c r="D1551" s="66" t="s">
        <v>17162</v>
      </c>
      <c r="E1551" s="2">
        <v>2019</v>
      </c>
      <c r="F1551" s="2" t="s">
        <v>449</v>
      </c>
      <c r="G1551" s="2" t="s">
        <v>2295</v>
      </c>
      <c r="H1551" s="2" t="s">
        <v>1494</v>
      </c>
      <c r="I1551" s="2" t="s">
        <v>2288</v>
      </c>
      <c r="J1551" s="2" t="s">
        <v>8</v>
      </c>
      <c r="K1551" s="2" t="s">
        <v>504</v>
      </c>
      <c r="L1551" s="2" t="s">
        <v>7</v>
      </c>
      <c r="M1551" s="2">
        <v>121</v>
      </c>
      <c r="N1551" s="2" t="s">
        <v>9</v>
      </c>
      <c r="T1551" s="2" t="s">
        <v>16963</v>
      </c>
      <c r="X1551" s="67" t="s">
        <v>4722</v>
      </c>
    </row>
    <row r="1552" spans="1:25" hidden="1">
      <c r="A1552" s="3" t="s">
        <v>4067</v>
      </c>
      <c r="B1552" s="2" t="s">
        <v>1833</v>
      </c>
      <c r="D1552" s="66" t="s">
        <v>17163</v>
      </c>
      <c r="E1552" s="2">
        <v>2019</v>
      </c>
      <c r="F1552" s="2" t="s">
        <v>449</v>
      </c>
      <c r="G1552" s="2" t="s">
        <v>2295</v>
      </c>
      <c r="H1552" s="2" t="s">
        <v>1494</v>
      </c>
      <c r="I1552" s="2" t="s">
        <v>2288</v>
      </c>
      <c r="J1552" s="2" t="s">
        <v>4542</v>
      </c>
      <c r="K1552" s="2" t="s">
        <v>4544</v>
      </c>
      <c r="L1552" s="2" t="s">
        <v>888</v>
      </c>
      <c r="M1552" s="2">
        <v>19</v>
      </c>
      <c r="N1552" s="2" t="s">
        <v>9</v>
      </c>
      <c r="T1552" s="2" t="s">
        <v>16964</v>
      </c>
    </row>
    <row r="1553" spans="1:21" hidden="1">
      <c r="A1553" s="3" t="s">
        <v>2861</v>
      </c>
      <c r="B1553" s="2" t="s">
        <v>1832</v>
      </c>
      <c r="D1553" s="66" t="s">
        <v>17164</v>
      </c>
      <c r="E1553" s="2">
        <v>2019</v>
      </c>
      <c r="F1553" s="2" t="s">
        <v>449</v>
      </c>
      <c r="G1553" s="2" t="s">
        <v>2295</v>
      </c>
      <c r="H1553" s="2" t="s">
        <v>1494</v>
      </c>
      <c r="I1553" s="2" t="s">
        <v>2288</v>
      </c>
      <c r="J1553" s="2" t="s">
        <v>88</v>
      </c>
      <c r="K1553" s="2" t="s">
        <v>4612</v>
      </c>
      <c r="L1553" s="2" t="s">
        <v>87</v>
      </c>
      <c r="M1553" s="2">
        <v>31</v>
      </c>
      <c r="N1553" s="2" t="s">
        <v>9</v>
      </c>
      <c r="T1553" s="2" t="s">
        <v>16964</v>
      </c>
    </row>
    <row r="1554" spans="1:21" hidden="1">
      <c r="A1554" s="3" t="s">
        <v>4302</v>
      </c>
      <c r="B1554" s="2" t="s">
        <v>1831</v>
      </c>
      <c r="D1554" s="66" t="s">
        <v>17165</v>
      </c>
      <c r="E1554" s="2">
        <v>2019</v>
      </c>
      <c r="F1554" s="2" t="s">
        <v>449</v>
      </c>
      <c r="G1554" s="2" t="s">
        <v>2295</v>
      </c>
      <c r="H1554" s="2" t="s">
        <v>1494</v>
      </c>
      <c r="I1554" s="2" t="s">
        <v>2288</v>
      </c>
      <c r="J1554" s="2" t="s">
        <v>535</v>
      </c>
      <c r="K1554" s="2" t="s">
        <v>4643</v>
      </c>
      <c r="L1554" s="2" t="s">
        <v>534</v>
      </c>
      <c r="M1554" s="2">
        <v>394</v>
      </c>
      <c r="N1554" s="2" t="s">
        <v>9</v>
      </c>
      <c r="T1554" s="2" t="s">
        <v>16964</v>
      </c>
    </row>
    <row r="1555" spans="1:21" hidden="1">
      <c r="A1555" s="3" t="s">
        <v>3644</v>
      </c>
      <c r="B1555" s="2" t="s">
        <v>1830</v>
      </c>
      <c r="D1555" s="66" t="s">
        <v>17166</v>
      </c>
      <c r="E1555" s="2">
        <v>2019</v>
      </c>
      <c r="F1555" s="2" t="s">
        <v>449</v>
      </c>
      <c r="G1555" s="2" t="s">
        <v>5</v>
      </c>
      <c r="H1555" s="2" t="s">
        <v>4455</v>
      </c>
      <c r="I1555" s="2" t="s">
        <v>10</v>
      </c>
      <c r="J1555" s="2" t="s">
        <v>129</v>
      </c>
      <c r="K1555" s="2" t="s">
        <v>558</v>
      </c>
      <c r="L1555" s="2" t="s">
        <v>128</v>
      </c>
      <c r="M1555" s="2">
        <v>1</v>
      </c>
      <c r="N1555" s="2" t="s">
        <v>18</v>
      </c>
      <c r="O1555" s="2">
        <f>VLOOKUP(B1555,[1]Sheet1!$B$624:$E$1665,4,FALSE)</f>
        <v>0.4</v>
      </c>
      <c r="P1555" s="2" t="s">
        <v>16964</v>
      </c>
      <c r="T1555" s="2" t="s">
        <v>16964</v>
      </c>
    </row>
    <row r="1556" spans="1:21" hidden="1">
      <c r="A1556" s="3" t="s">
        <v>4142</v>
      </c>
      <c r="B1556" s="2" t="s">
        <v>1829</v>
      </c>
      <c r="D1556" s="66" t="s">
        <v>17167</v>
      </c>
      <c r="E1556" s="2">
        <v>2019</v>
      </c>
      <c r="F1556" s="2" t="s">
        <v>449</v>
      </c>
      <c r="G1556" s="2" t="s">
        <v>2295</v>
      </c>
      <c r="H1556" s="2" t="s">
        <v>2314</v>
      </c>
      <c r="I1556" s="2" t="s">
        <v>10</v>
      </c>
      <c r="J1556" s="2" t="s">
        <v>59</v>
      </c>
      <c r="K1556" s="2" t="s">
        <v>4663</v>
      </c>
      <c r="L1556" s="2" t="s">
        <v>58</v>
      </c>
      <c r="M1556" s="2">
        <v>6</v>
      </c>
      <c r="N1556" s="2" t="s">
        <v>18</v>
      </c>
      <c r="T1556" s="2" t="s">
        <v>16964</v>
      </c>
    </row>
    <row r="1557" spans="1:21" hidden="1">
      <c r="A1557" s="3" t="s">
        <v>4105</v>
      </c>
      <c r="B1557" s="2" t="s">
        <v>1828</v>
      </c>
      <c r="D1557" s="66" t="s">
        <v>17168</v>
      </c>
      <c r="E1557" s="2">
        <v>2019</v>
      </c>
      <c r="F1557" s="2" t="s">
        <v>449</v>
      </c>
      <c r="G1557" s="2" t="s">
        <v>2295</v>
      </c>
      <c r="H1557" s="2" t="s">
        <v>2314</v>
      </c>
      <c r="I1557" s="2" t="s">
        <v>2288</v>
      </c>
      <c r="J1557" s="2" t="s">
        <v>638</v>
      </c>
      <c r="K1557" s="2" t="s">
        <v>4525</v>
      </c>
      <c r="L1557" s="2" t="s">
        <v>23</v>
      </c>
      <c r="M1557" s="2">
        <v>91</v>
      </c>
      <c r="N1557" s="2" t="s">
        <v>9</v>
      </c>
      <c r="T1557" s="2" t="s">
        <v>16964</v>
      </c>
    </row>
    <row r="1558" spans="1:21" hidden="1">
      <c r="A1558" s="3" t="s">
        <v>4032</v>
      </c>
      <c r="B1558" s="2" t="s">
        <v>1827</v>
      </c>
      <c r="D1558" s="66" t="s">
        <v>17169</v>
      </c>
      <c r="E1558" s="2">
        <v>2019</v>
      </c>
      <c r="F1558" s="2" t="s">
        <v>449</v>
      </c>
      <c r="G1558" s="2" t="s">
        <v>2295</v>
      </c>
      <c r="H1558" s="2" t="s">
        <v>2314</v>
      </c>
      <c r="I1558" s="2" t="s">
        <v>10</v>
      </c>
      <c r="J1558" s="2" t="s">
        <v>844</v>
      </c>
      <c r="K1558" s="2" t="s">
        <v>4581</v>
      </c>
      <c r="L1558" s="2" t="s">
        <v>843</v>
      </c>
      <c r="M1558" s="2">
        <v>220</v>
      </c>
      <c r="N1558" s="2" t="s">
        <v>18</v>
      </c>
      <c r="T1558" s="2" t="s">
        <v>16964</v>
      </c>
    </row>
    <row r="1559" spans="1:21" hidden="1">
      <c r="A1559" s="3" t="s">
        <v>3707</v>
      </c>
      <c r="B1559" s="2" t="s">
        <v>1826</v>
      </c>
      <c r="D1559" s="66" t="s">
        <v>17170</v>
      </c>
      <c r="E1559" s="2">
        <v>2019</v>
      </c>
      <c r="F1559" s="2" t="s">
        <v>449</v>
      </c>
      <c r="G1559" s="2" t="s">
        <v>2295</v>
      </c>
      <c r="H1559" s="2" t="s">
        <v>2314</v>
      </c>
      <c r="I1559" s="2" t="s">
        <v>2288</v>
      </c>
      <c r="J1559" s="2" t="s">
        <v>4542</v>
      </c>
      <c r="K1559" s="2" t="s">
        <v>4545</v>
      </c>
      <c r="L1559" s="2" t="s">
        <v>888</v>
      </c>
      <c r="M1559" s="2">
        <v>1416</v>
      </c>
      <c r="N1559" s="2" t="s">
        <v>9</v>
      </c>
      <c r="T1559" s="2" t="s">
        <v>16964</v>
      </c>
    </row>
    <row r="1560" spans="1:21" hidden="1">
      <c r="A1560" s="3" t="s">
        <v>3788</v>
      </c>
      <c r="B1560" s="2" t="s">
        <v>1825</v>
      </c>
      <c r="D1560" s="66" t="s">
        <v>17171</v>
      </c>
      <c r="E1560" s="2">
        <v>2020</v>
      </c>
      <c r="F1560" s="2" t="s">
        <v>449</v>
      </c>
      <c r="G1560" s="2" t="s">
        <v>2295</v>
      </c>
      <c r="H1560" s="2" t="s">
        <v>2314</v>
      </c>
      <c r="I1560" s="2" t="s">
        <v>2288</v>
      </c>
      <c r="J1560" s="2" t="s">
        <v>535</v>
      </c>
      <c r="K1560" s="2" t="s">
        <v>4644</v>
      </c>
      <c r="L1560" s="2" t="s">
        <v>534</v>
      </c>
      <c r="M1560" s="2">
        <v>394</v>
      </c>
      <c r="N1560" s="2" t="s">
        <v>9</v>
      </c>
      <c r="T1560" s="2" t="s">
        <v>16964</v>
      </c>
    </row>
    <row r="1561" spans="1:21" hidden="1">
      <c r="A1561" s="3" t="s">
        <v>3424</v>
      </c>
      <c r="B1561" s="2" t="s">
        <v>1824</v>
      </c>
      <c r="D1561" s="66" t="s">
        <v>17172</v>
      </c>
      <c r="E1561" s="2">
        <v>2020</v>
      </c>
      <c r="F1561" s="2" t="s">
        <v>449</v>
      </c>
      <c r="G1561" s="2" t="s">
        <v>2295</v>
      </c>
      <c r="H1561" s="2" t="s">
        <v>2314</v>
      </c>
      <c r="I1561" s="2" t="s">
        <v>2288</v>
      </c>
      <c r="J1561" s="2" t="s">
        <v>535</v>
      </c>
      <c r="K1561" s="2" t="s">
        <v>4645</v>
      </c>
      <c r="L1561" s="2" t="s">
        <v>534</v>
      </c>
      <c r="M1561" s="2">
        <v>394</v>
      </c>
      <c r="N1561" s="2" t="s">
        <v>9</v>
      </c>
      <c r="O1561" s="2">
        <f>VLOOKUP(B1561,[1]Sheet1!$B$624:$E$1665,4,FALSE)</f>
        <v>0.4</v>
      </c>
      <c r="P1561" s="2" t="s">
        <v>16964</v>
      </c>
      <c r="T1561" s="2" t="s">
        <v>16964</v>
      </c>
    </row>
    <row r="1562" spans="1:21" hidden="1">
      <c r="A1562" s="3" t="s">
        <v>3715</v>
      </c>
      <c r="B1562" s="2" t="s">
        <v>1823</v>
      </c>
      <c r="D1562" s="66" t="s">
        <v>17173</v>
      </c>
      <c r="E1562" s="2">
        <v>2020</v>
      </c>
      <c r="F1562" s="2" t="s">
        <v>449</v>
      </c>
      <c r="G1562" s="2" t="s">
        <v>2295</v>
      </c>
      <c r="H1562" s="2" t="s">
        <v>2314</v>
      </c>
      <c r="I1562" s="2" t="s">
        <v>2288</v>
      </c>
      <c r="J1562" s="2" t="s">
        <v>638</v>
      </c>
      <c r="K1562" s="2" t="s">
        <v>4526</v>
      </c>
      <c r="L1562" s="2" t="s">
        <v>23</v>
      </c>
      <c r="M1562" s="2">
        <v>91</v>
      </c>
      <c r="N1562" s="2" t="s">
        <v>9</v>
      </c>
      <c r="T1562" s="2" t="s">
        <v>16964</v>
      </c>
    </row>
    <row r="1563" spans="1:21" hidden="1">
      <c r="A1563" s="3" t="s">
        <v>3888</v>
      </c>
      <c r="B1563" s="2" t="s">
        <v>1822</v>
      </c>
      <c r="D1563" s="66" t="s">
        <v>17174</v>
      </c>
      <c r="E1563" s="2">
        <v>2019</v>
      </c>
      <c r="F1563" s="2" t="s">
        <v>449</v>
      </c>
      <c r="G1563" s="2" t="s">
        <v>2295</v>
      </c>
      <c r="H1563" s="2" t="s">
        <v>2316</v>
      </c>
      <c r="I1563" s="2" t="s">
        <v>2288</v>
      </c>
      <c r="J1563" s="2" t="s">
        <v>40</v>
      </c>
      <c r="K1563" s="2" t="s">
        <v>4621</v>
      </c>
      <c r="L1563" s="2" t="s">
        <v>39</v>
      </c>
      <c r="M1563" s="2">
        <v>37</v>
      </c>
      <c r="N1563" s="2" t="s">
        <v>9</v>
      </c>
      <c r="T1563" s="2" t="s">
        <v>16964</v>
      </c>
    </row>
    <row r="1564" spans="1:21" hidden="1">
      <c r="A1564" s="3" t="s">
        <v>4187</v>
      </c>
      <c r="B1564" s="2" t="s">
        <v>1821</v>
      </c>
      <c r="D1564" s="66" t="s">
        <v>17175</v>
      </c>
      <c r="E1564" s="2">
        <v>2019</v>
      </c>
      <c r="F1564" s="2" t="s">
        <v>449</v>
      </c>
      <c r="G1564" s="2" t="s">
        <v>5</v>
      </c>
      <c r="H1564" s="2" t="s">
        <v>4454</v>
      </c>
      <c r="I1564" s="2" t="s">
        <v>10</v>
      </c>
      <c r="J1564" s="2" t="s">
        <v>542</v>
      </c>
      <c r="K1564" s="2" t="s">
        <v>543</v>
      </c>
      <c r="L1564" s="2" t="s">
        <v>122</v>
      </c>
      <c r="M1564" s="2">
        <v>296</v>
      </c>
      <c r="N1564" s="2" t="s">
        <v>14</v>
      </c>
      <c r="T1564" s="2" t="s">
        <v>16963</v>
      </c>
      <c r="U1564" s="67" t="s">
        <v>2627</v>
      </c>
    </row>
    <row r="1565" spans="1:21" hidden="1">
      <c r="A1565" s="3" t="s">
        <v>3596</v>
      </c>
      <c r="B1565" s="2" t="s">
        <v>1820</v>
      </c>
      <c r="D1565" s="66" t="s">
        <v>17176</v>
      </c>
      <c r="E1565" s="2">
        <v>2019</v>
      </c>
      <c r="F1565" s="2" t="s">
        <v>449</v>
      </c>
      <c r="G1565" s="2" t="s">
        <v>2295</v>
      </c>
      <c r="H1565" s="2" t="s">
        <v>2316</v>
      </c>
      <c r="I1565" s="2" t="s">
        <v>2288</v>
      </c>
      <c r="J1565" s="2" t="s">
        <v>40</v>
      </c>
      <c r="K1565" s="2" t="s">
        <v>4622</v>
      </c>
      <c r="L1565" s="2" t="s">
        <v>39</v>
      </c>
      <c r="M1565" s="2">
        <v>37</v>
      </c>
      <c r="N1565" s="2" t="s">
        <v>9</v>
      </c>
      <c r="T1565" s="2" t="s">
        <v>16964</v>
      </c>
    </row>
    <row r="1566" spans="1:21" hidden="1">
      <c r="A1566" s="3" t="s">
        <v>3597</v>
      </c>
      <c r="B1566" s="2" t="s">
        <v>1819</v>
      </c>
      <c r="D1566" s="66" t="s">
        <v>17177</v>
      </c>
      <c r="E1566" s="2">
        <v>2019</v>
      </c>
      <c r="F1566" s="2" t="s">
        <v>449</v>
      </c>
      <c r="G1566" s="2" t="s">
        <v>2295</v>
      </c>
      <c r="H1566" s="2" t="s">
        <v>2316</v>
      </c>
      <c r="I1566" s="2" t="s">
        <v>2288</v>
      </c>
      <c r="J1566" s="2" t="s">
        <v>40</v>
      </c>
      <c r="K1566" s="2" t="s">
        <v>4622</v>
      </c>
      <c r="L1566" s="2" t="s">
        <v>39</v>
      </c>
      <c r="M1566" s="2">
        <v>37</v>
      </c>
      <c r="N1566" s="2" t="s">
        <v>9</v>
      </c>
      <c r="T1566" s="2" t="s">
        <v>16964</v>
      </c>
    </row>
    <row r="1567" spans="1:21" hidden="1">
      <c r="A1567" s="3" t="s">
        <v>4185</v>
      </c>
      <c r="B1567" s="2" t="s">
        <v>1818</v>
      </c>
      <c r="D1567" s="66" t="s">
        <v>17178</v>
      </c>
      <c r="E1567" s="2">
        <v>2020</v>
      </c>
      <c r="F1567" s="2" t="s">
        <v>449</v>
      </c>
      <c r="G1567" s="2" t="s">
        <v>5</v>
      </c>
      <c r="H1567" s="2" t="s">
        <v>4455</v>
      </c>
      <c r="I1567" s="2" t="s">
        <v>2288</v>
      </c>
      <c r="J1567" s="2" t="s">
        <v>4542</v>
      </c>
      <c r="K1567" s="2" t="s">
        <v>4544</v>
      </c>
      <c r="L1567" s="2" t="s">
        <v>888</v>
      </c>
      <c r="M1567" s="2">
        <v>19</v>
      </c>
      <c r="N1567" s="2" t="s">
        <v>9</v>
      </c>
      <c r="T1567" s="2" t="s">
        <v>16964</v>
      </c>
    </row>
    <row r="1568" spans="1:21" hidden="1">
      <c r="A1568" s="3" t="s">
        <v>4402</v>
      </c>
      <c r="B1568" s="2" t="s">
        <v>1815</v>
      </c>
      <c r="D1568" s="66" t="s">
        <v>17181</v>
      </c>
      <c r="E1568" s="2">
        <v>2020</v>
      </c>
      <c r="F1568" s="2" t="s">
        <v>449</v>
      </c>
      <c r="G1568" s="2" t="s">
        <v>2295</v>
      </c>
      <c r="H1568" s="2" t="s">
        <v>2316</v>
      </c>
      <c r="I1568" s="2" t="s">
        <v>10</v>
      </c>
      <c r="J1568" s="2" t="s">
        <v>12</v>
      </c>
      <c r="K1568" s="2" t="s">
        <v>4608</v>
      </c>
      <c r="L1568" s="2" t="s">
        <v>11</v>
      </c>
      <c r="M1568" s="2">
        <v>3</v>
      </c>
      <c r="N1568" s="2" t="s">
        <v>14</v>
      </c>
      <c r="T1568" s="2" t="s">
        <v>16964</v>
      </c>
    </row>
    <row r="1569" spans="1:24" hidden="1">
      <c r="A1569" s="3" t="s">
        <v>3849</v>
      </c>
      <c r="B1569" s="2" t="s">
        <v>1814</v>
      </c>
      <c r="D1569" s="66" t="s">
        <v>17182</v>
      </c>
      <c r="E1569" s="2">
        <v>2020</v>
      </c>
      <c r="F1569" s="2" t="s">
        <v>449</v>
      </c>
      <c r="G1569" s="2" t="s">
        <v>2295</v>
      </c>
      <c r="H1569" s="2" t="s">
        <v>2316</v>
      </c>
      <c r="I1569" s="2" t="s">
        <v>10</v>
      </c>
      <c r="J1569" s="2" t="s">
        <v>1287</v>
      </c>
      <c r="K1569" s="2" t="s">
        <v>4614</v>
      </c>
      <c r="L1569" s="2" t="s">
        <v>1286</v>
      </c>
      <c r="M1569" s="2">
        <v>249</v>
      </c>
      <c r="N1569" s="2" t="s">
        <v>18</v>
      </c>
      <c r="T1569" s="2" t="s">
        <v>16964</v>
      </c>
    </row>
    <row r="1570" spans="1:24" hidden="1">
      <c r="A1570" s="3" t="s">
        <v>4412</v>
      </c>
      <c r="B1570" s="2" t="s">
        <v>1813</v>
      </c>
      <c r="D1570" s="66" t="s">
        <v>17183</v>
      </c>
      <c r="E1570" s="2">
        <v>2020</v>
      </c>
      <c r="F1570" s="2" t="s">
        <v>449</v>
      </c>
      <c r="G1570" s="2" t="s">
        <v>2295</v>
      </c>
      <c r="H1570" s="2" t="s">
        <v>2316</v>
      </c>
      <c r="I1570" s="2" t="s">
        <v>10</v>
      </c>
      <c r="J1570" s="2" t="s">
        <v>12</v>
      </c>
      <c r="K1570" s="2" t="s">
        <v>4608</v>
      </c>
      <c r="L1570" s="2" t="s">
        <v>11</v>
      </c>
      <c r="M1570" s="2">
        <v>3</v>
      </c>
      <c r="N1570" s="2" t="s">
        <v>14</v>
      </c>
      <c r="T1570" s="2" t="s">
        <v>16964</v>
      </c>
    </row>
    <row r="1571" spans="1:24" hidden="1">
      <c r="A1571" s="3" t="s">
        <v>4092</v>
      </c>
      <c r="B1571" s="2" t="s">
        <v>2204</v>
      </c>
      <c r="D1571" s="66" t="s">
        <v>17345</v>
      </c>
      <c r="E1571" s="2">
        <v>2013</v>
      </c>
      <c r="F1571" s="2" t="s">
        <v>2774</v>
      </c>
      <c r="G1571" s="2" t="s">
        <v>5</v>
      </c>
      <c r="H1571" s="2" t="s">
        <v>2280</v>
      </c>
      <c r="I1571" s="2" t="s">
        <v>6</v>
      </c>
      <c r="J1571" s="2" t="s">
        <v>8</v>
      </c>
      <c r="K1571" s="2" t="s">
        <v>4504</v>
      </c>
      <c r="L1571" s="2" t="s">
        <v>7</v>
      </c>
      <c r="M1571" s="2">
        <v>121</v>
      </c>
      <c r="N1571" s="2" t="s">
        <v>9</v>
      </c>
      <c r="T1571" s="2" t="s">
        <v>16963</v>
      </c>
      <c r="X1571" s="67" t="s">
        <v>4722</v>
      </c>
    </row>
    <row r="1572" spans="1:24" hidden="1">
      <c r="A1572" s="3" t="s">
        <v>4218</v>
      </c>
      <c r="B1572" s="2" t="s">
        <v>2205</v>
      </c>
      <c r="D1572" s="66" t="s">
        <v>17346</v>
      </c>
      <c r="E1572" s="2">
        <v>2013</v>
      </c>
      <c r="F1572" s="2" t="s">
        <v>2774</v>
      </c>
      <c r="G1572" s="2" t="s">
        <v>5</v>
      </c>
      <c r="H1572" s="2" t="s">
        <v>2281</v>
      </c>
      <c r="I1572" s="2" t="s">
        <v>6</v>
      </c>
      <c r="J1572" s="2" t="s">
        <v>8</v>
      </c>
      <c r="K1572" s="2" t="s">
        <v>4504</v>
      </c>
      <c r="L1572" s="2" t="s">
        <v>7</v>
      </c>
      <c r="M1572" s="2">
        <v>121</v>
      </c>
      <c r="N1572" s="2" t="s">
        <v>9</v>
      </c>
      <c r="T1572" s="2" t="s">
        <v>16963</v>
      </c>
      <c r="X1572" s="67" t="s">
        <v>4722</v>
      </c>
    </row>
    <row r="1573" spans="1:24" hidden="1">
      <c r="A1573" s="3" t="s">
        <v>4447</v>
      </c>
      <c r="B1573" s="2" t="s">
        <v>2206</v>
      </c>
      <c r="D1573" s="66" t="s">
        <v>17347</v>
      </c>
      <c r="E1573" s="2">
        <v>2013</v>
      </c>
      <c r="F1573" s="2" t="s">
        <v>2774</v>
      </c>
      <c r="G1573" s="2" t="s">
        <v>5</v>
      </c>
      <c r="H1573" s="2" t="s">
        <v>2282</v>
      </c>
      <c r="I1573" s="2" t="s">
        <v>6</v>
      </c>
      <c r="J1573" s="2" t="s">
        <v>8</v>
      </c>
      <c r="K1573" s="2" t="s">
        <v>4505</v>
      </c>
      <c r="L1573" s="2" t="s">
        <v>7</v>
      </c>
      <c r="M1573" s="2">
        <v>121</v>
      </c>
      <c r="N1573" s="2" t="s">
        <v>9</v>
      </c>
      <c r="T1573" s="2" t="s">
        <v>16963</v>
      </c>
      <c r="X1573" s="67" t="s">
        <v>4722</v>
      </c>
    </row>
    <row r="1574" spans="1:24" hidden="1">
      <c r="A1574" s="3" t="s">
        <v>4421</v>
      </c>
      <c r="B1574" s="2" t="s">
        <v>2207</v>
      </c>
      <c r="D1574" s="66" t="s">
        <v>17348</v>
      </c>
      <c r="E1574" s="2">
        <v>2013</v>
      </c>
      <c r="F1574" s="2" t="s">
        <v>2776</v>
      </c>
      <c r="G1574" s="2" t="s">
        <v>5</v>
      </c>
      <c r="H1574" s="2" t="s">
        <v>2283</v>
      </c>
      <c r="I1574" s="2" t="s">
        <v>6</v>
      </c>
      <c r="J1574" s="2" t="s">
        <v>8</v>
      </c>
      <c r="K1574" s="2" t="s">
        <v>4505</v>
      </c>
      <c r="L1574" s="2" t="s">
        <v>7</v>
      </c>
      <c r="M1574" s="2">
        <v>121</v>
      </c>
      <c r="N1574" s="2" t="s">
        <v>9</v>
      </c>
      <c r="T1574" s="2" t="s">
        <v>16963</v>
      </c>
      <c r="X1574" s="67" t="s">
        <v>4722</v>
      </c>
    </row>
    <row r="1575" spans="1:24" hidden="1">
      <c r="A1575" s="3" t="s">
        <v>4420</v>
      </c>
      <c r="B1575" s="2" t="s">
        <v>2208</v>
      </c>
      <c r="D1575" s="66" t="s">
        <v>17349</v>
      </c>
      <c r="E1575" s="2">
        <v>2013</v>
      </c>
      <c r="F1575" s="2" t="s">
        <v>2775</v>
      </c>
      <c r="G1575" s="2" t="s">
        <v>5</v>
      </c>
      <c r="H1575" s="2" t="s">
        <v>2284</v>
      </c>
      <c r="I1575" s="2" t="s">
        <v>6</v>
      </c>
      <c r="J1575" s="2" t="s">
        <v>8</v>
      </c>
      <c r="K1575" s="2" t="s">
        <v>4506</v>
      </c>
      <c r="L1575" s="2" t="s">
        <v>7</v>
      </c>
      <c r="M1575" s="2">
        <v>121</v>
      </c>
      <c r="N1575" s="2" t="s">
        <v>9</v>
      </c>
      <c r="T1575" s="2" t="s">
        <v>16963</v>
      </c>
      <c r="X1575" s="67" t="s">
        <v>4722</v>
      </c>
    </row>
    <row r="1576" spans="1:24" hidden="1">
      <c r="A1576" s="3" t="s">
        <v>3683</v>
      </c>
      <c r="B1576" s="2" t="s">
        <v>2209</v>
      </c>
      <c r="D1576" s="66" t="s">
        <v>17350</v>
      </c>
      <c r="E1576" s="2">
        <v>2012</v>
      </c>
      <c r="F1576" s="2" t="s">
        <v>2775</v>
      </c>
      <c r="G1576" s="2" t="s">
        <v>5</v>
      </c>
      <c r="H1576" s="2" t="s">
        <v>2285</v>
      </c>
      <c r="I1576" s="2" t="s">
        <v>6</v>
      </c>
      <c r="J1576" s="2" t="s">
        <v>8</v>
      </c>
      <c r="K1576" s="2" t="s">
        <v>4507</v>
      </c>
      <c r="L1576" s="2" t="s">
        <v>7</v>
      </c>
      <c r="M1576" s="2">
        <v>121</v>
      </c>
      <c r="N1576" s="2" t="s">
        <v>9</v>
      </c>
      <c r="T1576" s="2" t="s">
        <v>16963</v>
      </c>
      <c r="X1576" s="67" t="s">
        <v>4722</v>
      </c>
    </row>
    <row r="1577" spans="1:24" hidden="1">
      <c r="A1577" s="3" t="s">
        <v>3728</v>
      </c>
      <c r="B1577" s="2" t="s">
        <v>2197</v>
      </c>
      <c r="C1577" s="2" t="s">
        <v>2706</v>
      </c>
      <c r="D1577" s="66" t="str">
        <f>VLOOKUP("*"&amp;A1577&amp;"*",[2]Sheet1!$G$2:$X$1155,18,FALSE)</f>
        <v>ERR10549576</v>
      </c>
      <c r="E1577" s="2">
        <v>2000</v>
      </c>
      <c r="F1577" s="2" t="s">
        <v>876</v>
      </c>
      <c r="G1577" s="2" t="s">
        <v>5</v>
      </c>
      <c r="H1577" s="2" t="s">
        <v>2331</v>
      </c>
      <c r="I1577" s="2" t="s">
        <v>2288</v>
      </c>
      <c r="J1577" s="2" t="s">
        <v>20</v>
      </c>
      <c r="K1577" s="2" t="s">
        <v>361</v>
      </c>
      <c r="L1577" s="2" t="s">
        <v>19</v>
      </c>
      <c r="M1577" s="2">
        <v>9</v>
      </c>
      <c r="N1577" s="2" t="s">
        <v>21</v>
      </c>
      <c r="O1577" s="2">
        <v>0.8</v>
      </c>
      <c r="P1577" s="2" t="s">
        <v>16963</v>
      </c>
      <c r="T1577" s="2" t="s">
        <v>16963</v>
      </c>
      <c r="X1577" s="67" t="s">
        <v>4723</v>
      </c>
    </row>
    <row r="1578" spans="1:24" hidden="1">
      <c r="A1578" s="3" t="s">
        <v>3693</v>
      </c>
      <c r="B1578" s="2" t="s">
        <v>2196</v>
      </c>
      <c r="C1578" s="2" t="s">
        <v>2720</v>
      </c>
      <c r="D1578" s="66" t="str">
        <f>VLOOKUP("*"&amp;A1578&amp;"*",[2]Sheet1!$G$2:$X$1155,18,FALSE)</f>
        <v>ERR10549571</v>
      </c>
      <c r="E1578" s="2">
        <v>2011</v>
      </c>
      <c r="F1578" s="2" t="s">
        <v>876</v>
      </c>
      <c r="G1578" s="2" t="s">
        <v>5</v>
      </c>
      <c r="H1578" s="2" t="s">
        <v>2331</v>
      </c>
      <c r="I1578" s="2" t="s">
        <v>2288</v>
      </c>
      <c r="J1578" s="2" t="s">
        <v>8</v>
      </c>
      <c r="K1578" s="2" t="s">
        <v>4560</v>
      </c>
      <c r="L1578" s="2" t="s">
        <v>7</v>
      </c>
      <c r="M1578" s="2">
        <v>121</v>
      </c>
      <c r="N1578" s="2" t="s">
        <v>9</v>
      </c>
      <c r="O1578" s="2">
        <f>VLOOKUP(B1578,[1]Sheet1!$B$624:$E$1665,4,FALSE)</f>
        <v>0.8</v>
      </c>
      <c r="P1578" s="2" t="s">
        <v>16963</v>
      </c>
      <c r="T1578" s="2" t="s">
        <v>16963</v>
      </c>
      <c r="X1578" s="67" t="s">
        <v>4722</v>
      </c>
    </row>
    <row r="1579" spans="1:24" hidden="1">
      <c r="A1579" s="3" t="s">
        <v>3169</v>
      </c>
      <c r="B1579" s="2" t="s">
        <v>2195</v>
      </c>
      <c r="C1579" s="2" t="s">
        <v>2765</v>
      </c>
      <c r="D1579" s="66" t="str">
        <f>VLOOKUP("*"&amp;A1579&amp;"*",[2]Sheet1!$G$2:$X$1155,18,FALSE)</f>
        <v>ERR10549591</v>
      </c>
      <c r="E1579" s="2">
        <v>2013</v>
      </c>
      <c r="F1579" s="2" t="s">
        <v>876</v>
      </c>
      <c r="G1579" s="2" t="s">
        <v>27</v>
      </c>
      <c r="H1579" s="2" t="s">
        <v>2335</v>
      </c>
      <c r="I1579" s="2" t="s">
        <v>2288</v>
      </c>
      <c r="J1579" s="2" t="s">
        <v>150</v>
      </c>
      <c r="K1579" s="2" t="s">
        <v>4567</v>
      </c>
      <c r="L1579" s="2" t="s">
        <v>149</v>
      </c>
      <c r="M1579" s="2">
        <v>403</v>
      </c>
      <c r="N1579" s="2" t="s">
        <v>9</v>
      </c>
      <c r="O1579" s="2">
        <f>VLOOKUP(B1579,[1]Sheet1!$B$624:$E$1665,4,FALSE)</f>
        <v>0.8</v>
      </c>
      <c r="P1579" s="2" t="s">
        <v>16963</v>
      </c>
      <c r="T1579" s="2" t="s">
        <v>16963</v>
      </c>
      <c r="V1579" s="67" t="s">
        <v>2627</v>
      </c>
    </row>
    <row r="1580" spans="1:24" hidden="1">
      <c r="A1580" s="3" t="s">
        <v>4089</v>
      </c>
      <c r="B1580" s="2" t="s">
        <v>2194</v>
      </c>
      <c r="C1580" s="2" t="s">
        <v>2766</v>
      </c>
      <c r="D1580" s="66" t="str">
        <f>VLOOKUP("*"&amp;A1580&amp;"*",[2]Sheet1!$G$2:$X$1155,18,FALSE)</f>
        <v>ERR10549590</v>
      </c>
      <c r="E1580" s="2">
        <v>2013</v>
      </c>
      <c r="F1580" s="2" t="s">
        <v>876</v>
      </c>
      <c r="G1580" s="2" t="s">
        <v>27</v>
      </c>
      <c r="H1580" s="2" t="s">
        <v>2335</v>
      </c>
      <c r="I1580" s="2" t="s">
        <v>2288</v>
      </c>
      <c r="J1580" s="2" t="s">
        <v>8</v>
      </c>
      <c r="K1580" s="2" t="s">
        <v>4568</v>
      </c>
      <c r="L1580" s="2" t="s">
        <v>7</v>
      </c>
      <c r="M1580" s="2">
        <v>121</v>
      </c>
      <c r="N1580" s="2" t="s">
        <v>9</v>
      </c>
      <c r="O1580" s="2">
        <f>VLOOKUP(B1580,[1]Sheet1!$B$624:$E$1665,4,FALSE)</f>
        <v>0.8</v>
      </c>
      <c r="P1580" s="2" t="s">
        <v>16963</v>
      </c>
      <c r="T1580" s="2" t="s">
        <v>16963</v>
      </c>
      <c r="X1580" s="67" t="s">
        <v>4722</v>
      </c>
    </row>
    <row r="1581" spans="1:24" hidden="1">
      <c r="A1581" s="3" t="s">
        <v>4430</v>
      </c>
      <c r="B1581" s="2" t="s">
        <v>2193</v>
      </c>
      <c r="C1581" s="2" t="s">
        <v>2740</v>
      </c>
      <c r="D1581" s="66" t="str">
        <f>VLOOKUP("*"&amp;A1581&amp;"*",[2]Sheet1!$G$2:$X$1155,18,FALSE)</f>
        <v>ERR10549633</v>
      </c>
      <c r="E1581" s="2">
        <v>2012</v>
      </c>
      <c r="F1581" s="2" t="s">
        <v>876</v>
      </c>
      <c r="G1581" s="2" t="s">
        <v>27</v>
      </c>
      <c r="H1581" s="2" t="s">
        <v>2335</v>
      </c>
      <c r="I1581" s="2" t="s">
        <v>2288</v>
      </c>
      <c r="J1581" s="2" t="s">
        <v>8</v>
      </c>
      <c r="K1581" s="2" t="s">
        <v>596</v>
      </c>
      <c r="L1581" s="2" t="s">
        <v>7</v>
      </c>
      <c r="M1581" s="2">
        <v>121</v>
      </c>
      <c r="N1581" s="2" t="s">
        <v>9</v>
      </c>
      <c r="O1581" s="2">
        <f>VLOOKUP(B1581,[1]Sheet1!$B$624:$E$1665,4,FALSE)</f>
        <v>0.8</v>
      </c>
      <c r="P1581" s="2" t="s">
        <v>16963</v>
      </c>
      <c r="T1581" s="2" t="s">
        <v>16963</v>
      </c>
      <c r="X1581" s="67" t="s">
        <v>4722</v>
      </c>
    </row>
    <row r="1582" spans="1:24" hidden="1">
      <c r="A1582" s="3" t="s">
        <v>3851</v>
      </c>
      <c r="B1582" s="2" t="s">
        <v>2192</v>
      </c>
      <c r="C1582" s="2" t="s">
        <v>2714</v>
      </c>
      <c r="D1582" s="66" t="str">
        <f>VLOOKUP("*"&amp;A1582&amp;"*",[2]Sheet1!$G$2:$X$1155,18,FALSE)</f>
        <v>ERR10549631</v>
      </c>
      <c r="E1582" s="2">
        <v>2011</v>
      </c>
      <c r="F1582" s="2" t="s">
        <v>876</v>
      </c>
      <c r="G1582" s="2" t="s">
        <v>5</v>
      </c>
      <c r="H1582" s="2" t="s">
        <v>2331</v>
      </c>
      <c r="I1582" s="2" t="s">
        <v>10</v>
      </c>
      <c r="J1582" s="2" t="s">
        <v>98</v>
      </c>
      <c r="K1582" s="2" t="s">
        <v>4571</v>
      </c>
      <c r="L1582" s="2" t="s">
        <v>97</v>
      </c>
      <c r="M1582" s="2">
        <v>224</v>
      </c>
      <c r="N1582" s="2" t="s">
        <v>14</v>
      </c>
      <c r="O1582" s="2">
        <f>VLOOKUP(B1582,[1]Sheet1!$B$624:$E$1665,4,FALSE)</f>
        <v>0.4</v>
      </c>
      <c r="P1582" s="2" t="s">
        <v>16964</v>
      </c>
      <c r="T1582" s="2" t="s">
        <v>16964</v>
      </c>
    </row>
    <row r="1583" spans="1:24" hidden="1">
      <c r="A1583" s="3" t="s">
        <v>3577</v>
      </c>
      <c r="B1583" s="2" t="s">
        <v>2191</v>
      </c>
      <c r="C1583" s="2" t="s">
        <v>2717</v>
      </c>
      <c r="D1583" s="66" t="str">
        <f>VLOOKUP("*"&amp;A1583&amp;"*",[2]Sheet1!$G$2:$X$1155,18,FALSE)</f>
        <v>ERR10549575</v>
      </c>
      <c r="E1583" s="2">
        <v>2011</v>
      </c>
      <c r="F1583" s="2" t="s">
        <v>876</v>
      </c>
      <c r="G1583" s="2" t="s">
        <v>2295</v>
      </c>
      <c r="H1583" s="2" t="s">
        <v>2313</v>
      </c>
      <c r="I1583" s="2" t="s">
        <v>10</v>
      </c>
      <c r="J1583" s="2" t="s">
        <v>35</v>
      </c>
      <c r="K1583" s="2" t="s">
        <v>4572</v>
      </c>
      <c r="L1583" s="2" t="s">
        <v>34</v>
      </c>
      <c r="M1583" s="2">
        <v>5</v>
      </c>
      <c r="N1583" s="2" t="s">
        <v>14</v>
      </c>
      <c r="O1583" s="2">
        <f>VLOOKUP(B1583,[1]Sheet1!$B$624:$E$1665,4,FALSE)</f>
        <v>0.8</v>
      </c>
      <c r="P1583" s="2" t="s">
        <v>16963</v>
      </c>
      <c r="T1583" s="2" t="s">
        <v>16963</v>
      </c>
      <c r="U1583" s="67" t="s">
        <v>2627</v>
      </c>
    </row>
    <row r="1584" spans="1:24" hidden="1">
      <c r="A1584" s="3" t="s">
        <v>3752</v>
      </c>
      <c r="B1584" s="2" t="s">
        <v>2190</v>
      </c>
      <c r="C1584" s="2" t="s">
        <v>2719</v>
      </c>
      <c r="D1584" s="66" t="str">
        <f>VLOOKUP("*"&amp;A1584&amp;"*",[2]Sheet1!$G$2:$X$1155,18,FALSE)</f>
        <v>ERR10549585</v>
      </c>
      <c r="E1584" s="2">
        <v>2011</v>
      </c>
      <c r="F1584" s="2" t="s">
        <v>876</v>
      </c>
      <c r="G1584" s="2" t="s">
        <v>5</v>
      </c>
      <c r="H1584" s="2" t="s">
        <v>2332</v>
      </c>
      <c r="I1584" s="2" t="s">
        <v>10</v>
      </c>
      <c r="J1584" s="2" t="s">
        <v>98</v>
      </c>
      <c r="K1584" s="2" t="s">
        <v>4574</v>
      </c>
      <c r="L1584" s="2" t="s">
        <v>97</v>
      </c>
      <c r="M1584" s="2">
        <v>224</v>
      </c>
      <c r="N1584" s="2" t="s">
        <v>14</v>
      </c>
      <c r="O1584" s="2">
        <f>VLOOKUP(B1584,[1]Sheet1!$B$624:$E$1665,4,FALSE)</f>
        <v>0.4</v>
      </c>
      <c r="P1584" s="2" t="s">
        <v>16964</v>
      </c>
      <c r="T1584" s="2" t="s">
        <v>16964</v>
      </c>
    </row>
    <row r="1585" spans="1:24" hidden="1">
      <c r="A1585" s="3" t="s">
        <v>3183</v>
      </c>
      <c r="B1585" s="2" t="s">
        <v>2189</v>
      </c>
      <c r="C1585" s="2" t="s">
        <v>2721</v>
      </c>
      <c r="D1585" s="66" t="str">
        <f>VLOOKUP("*"&amp;A1585&amp;"*",[2]Sheet1!$G$2:$X$1155,18,FALSE)</f>
        <v>ERR10549549</v>
      </c>
      <c r="E1585" s="2">
        <v>2011</v>
      </c>
      <c r="F1585" s="2" t="s">
        <v>876</v>
      </c>
      <c r="G1585" s="2" t="s">
        <v>5</v>
      </c>
      <c r="H1585" s="2" t="s">
        <v>2331</v>
      </c>
      <c r="I1585" s="2" t="s">
        <v>10</v>
      </c>
      <c r="J1585" s="2" t="s">
        <v>31</v>
      </c>
      <c r="K1585" s="2" t="s">
        <v>4576</v>
      </c>
      <c r="L1585" s="2" t="s">
        <v>30</v>
      </c>
      <c r="M1585" s="2">
        <v>59</v>
      </c>
      <c r="N1585" s="2" t="s">
        <v>14</v>
      </c>
      <c r="O1585" s="2">
        <f>VLOOKUP(B1585,[1]Sheet1!$B$624:$E$1665,4,FALSE)</f>
        <v>0.2</v>
      </c>
      <c r="P1585" s="2" t="s">
        <v>16964</v>
      </c>
      <c r="T1585" s="2" t="s">
        <v>16964</v>
      </c>
    </row>
    <row r="1586" spans="1:24" hidden="1">
      <c r="A1586" s="3" t="s">
        <v>4053</v>
      </c>
      <c r="B1586" s="2" t="s">
        <v>2188</v>
      </c>
      <c r="C1586" s="2" t="s">
        <v>2722</v>
      </c>
      <c r="D1586" s="66" t="str">
        <f>VLOOKUP("*"&amp;A1586&amp;"*",[2]Sheet1!$G$2:$X$1155,18,FALSE)</f>
        <v>ERR10549580</v>
      </c>
      <c r="E1586" s="2">
        <v>2011</v>
      </c>
      <c r="F1586" s="2" t="s">
        <v>876</v>
      </c>
      <c r="G1586" s="2" t="s">
        <v>5</v>
      </c>
      <c r="H1586" s="2" t="s">
        <v>2333</v>
      </c>
      <c r="I1586" s="2" t="s">
        <v>10</v>
      </c>
      <c r="J1586" s="2" t="s">
        <v>4577</v>
      </c>
      <c r="K1586" s="2" t="s">
        <v>4578</v>
      </c>
      <c r="L1586" s="2" t="s">
        <v>2290</v>
      </c>
      <c r="M1586" s="2">
        <v>517</v>
      </c>
      <c r="N1586" s="2" t="s">
        <v>14</v>
      </c>
      <c r="O1586" s="2">
        <f>VLOOKUP(B1586,[1]Sheet1!$B$624:$E$1665,4,FALSE)</f>
        <v>0.4</v>
      </c>
      <c r="P1586" s="2" t="s">
        <v>16964</v>
      </c>
      <c r="T1586" s="2" t="s">
        <v>16964</v>
      </c>
    </row>
    <row r="1587" spans="1:24" hidden="1">
      <c r="A1587" s="3" t="s">
        <v>3367</v>
      </c>
      <c r="B1587" s="2" t="s">
        <v>2187</v>
      </c>
      <c r="C1587" s="2" t="s">
        <v>2756</v>
      </c>
      <c r="D1587" s="66" t="str">
        <f>VLOOKUP("*"&amp;A1587&amp;"*",[2]Sheet1!$G$2:$X$1155,18,FALSE)</f>
        <v>ERR10549547</v>
      </c>
      <c r="E1587" s="2">
        <v>2002</v>
      </c>
      <c r="F1587" s="2" t="s">
        <v>876</v>
      </c>
      <c r="G1587" s="2" t="s">
        <v>5</v>
      </c>
      <c r="H1587" s="2" t="s">
        <v>2334</v>
      </c>
      <c r="I1587" s="2" t="s">
        <v>10</v>
      </c>
      <c r="J1587" s="2" t="s">
        <v>12</v>
      </c>
      <c r="K1587" s="2" t="s">
        <v>4584</v>
      </c>
      <c r="L1587" s="2" t="s">
        <v>11</v>
      </c>
      <c r="M1587" s="2">
        <v>3</v>
      </c>
      <c r="N1587" s="2" t="s">
        <v>14</v>
      </c>
      <c r="O1587" s="2">
        <f>VLOOKUP(B1587,[1]Sheet1!$B$624:$E$1665,4,FALSE)</f>
        <v>0.2</v>
      </c>
      <c r="P1587" s="2" t="s">
        <v>16964</v>
      </c>
      <c r="T1587" s="2" t="s">
        <v>16964</v>
      </c>
    </row>
    <row r="1588" spans="1:24" hidden="1">
      <c r="A1588" s="3" t="s">
        <v>3507</v>
      </c>
      <c r="B1588" s="2" t="s">
        <v>2186</v>
      </c>
      <c r="C1588" s="2" t="s">
        <v>2707</v>
      </c>
      <c r="D1588" s="66" t="str">
        <f>VLOOKUP("*"&amp;A1588&amp;"*",[2]Sheet1!$G$2:$X$1155,18,FALSE)</f>
        <v>ERR10549646</v>
      </c>
      <c r="E1588" s="2">
        <v>2002</v>
      </c>
      <c r="F1588" s="2" t="s">
        <v>876</v>
      </c>
      <c r="G1588" s="2" t="s">
        <v>5</v>
      </c>
      <c r="H1588" s="2" t="s">
        <v>2331</v>
      </c>
      <c r="I1588" s="2" t="s">
        <v>2288</v>
      </c>
      <c r="J1588" s="2" t="s">
        <v>20</v>
      </c>
      <c r="K1588" s="2" t="s">
        <v>361</v>
      </c>
      <c r="L1588" s="2" t="s">
        <v>19</v>
      </c>
      <c r="M1588" s="2">
        <v>9</v>
      </c>
      <c r="N1588" s="2" t="s">
        <v>21</v>
      </c>
      <c r="O1588" s="2">
        <v>0.8</v>
      </c>
      <c r="P1588" s="2" t="s">
        <v>16963</v>
      </c>
      <c r="T1588" s="2" t="s">
        <v>16963</v>
      </c>
      <c r="X1588" s="67" t="s">
        <v>4723</v>
      </c>
    </row>
    <row r="1589" spans="1:24" hidden="1">
      <c r="A1589" s="3" t="s">
        <v>3404</v>
      </c>
      <c r="B1589" s="2" t="s">
        <v>2185</v>
      </c>
      <c r="C1589" s="2" t="s">
        <v>2710</v>
      </c>
      <c r="D1589" s="66" t="str">
        <f>VLOOKUP("*"&amp;A1589&amp;"*",[2]Sheet1!$G$2:$X$1155,18,FALSE)</f>
        <v>ERR10549540</v>
      </c>
      <c r="E1589" s="2">
        <v>2001</v>
      </c>
      <c r="F1589" s="2" t="s">
        <v>876</v>
      </c>
      <c r="G1589" s="2" t="s">
        <v>5</v>
      </c>
      <c r="H1589" s="2" t="s">
        <v>2331</v>
      </c>
      <c r="I1589" s="2" t="s">
        <v>2288</v>
      </c>
      <c r="J1589" s="2" t="s">
        <v>20</v>
      </c>
      <c r="K1589" s="2" t="s">
        <v>4585</v>
      </c>
      <c r="L1589" s="2" t="s">
        <v>19</v>
      </c>
      <c r="M1589" s="2">
        <v>9</v>
      </c>
      <c r="N1589" s="2" t="s">
        <v>21</v>
      </c>
      <c r="O1589" s="2">
        <v>0.8</v>
      </c>
      <c r="P1589" s="2" t="s">
        <v>16963</v>
      </c>
      <c r="T1589" s="2" t="s">
        <v>16963</v>
      </c>
      <c r="X1589" s="67" t="s">
        <v>4723</v>
      </c>
    </row>
    <row r="1590" spans="1:24" hidden="1">
      <c r="A1590" s="3" t="s">
        <v>3909</v>
      </c>
      <c r="B1590" s="2" t="s">
        <v>2184</v>
      </c>
      <c r="C1590" s="2" t="s">
        <v>2745</v>
      </c>
      <c r="D1590" s="66" t="str">
        <f>VLOOKUP("*"&amp;A1590&amp;"*",[2]Sheet1!$G$2:$X$1155,18,FALSE)</f>
        <v>ERR10549663</v>
      </c>
      <c r="E1590" s="2">
        <v>2012</v>
      </c>
      <c r="F1590" s="2" t="s">
        <v>876</v>
      </c>
      <c r="G1590" s="2" t="s">
        <v>5</v>
      </c>
      <c r="H1590" s="2" t="s">
        <v>2331</v>
      </c>
      <c r="I1590" s="2" t="s">
        <v>2288</v>
      </c>
      <c r="J1590" s="2" t="s">
        <v>20</v>
      </c>
      <c r="K1590" s="2" t="s">
        <v>780</v>
      </c>
      <c r="L1590" s="2" t="s">
        <v>19</v>
      </c>
      <c r="M1590" s="2">
        <v>9</v>
      </c>
      <c r="N1590" s="2" t="s">
        <v>21</v>
      </c>
      <c r="O1590" s="2">
        <f>VLOOKUP(B1590,[1]Sheet1!$B$624:$E$1665,4,FALSE)</f>
        <v>0.8</v>
      </c>
      <c r="P1590" s="2" t="s">
        <v>16963</v>
      </c>
      <c r="T1590" s="2" t="s">
        <v>16963</v>
      </c>
      <c r="U1590" s="67" t="s">
        <v>2627</v>
      </c>
    </row>
    <row r="1591" spans="1:24" hidden="1">
      <c r="A1591" s="26" t="s">
        <v>3180</v>
      </c>
      <c r="B1591" s="2" t="s">
        <v>2592</v>
      </c>
      <c r="C1591" s="2" t="s">
        <v>2759</v>
      </c>
      <c r="D1591" s="66" t="str">
        <f>VLOOKUP("*"&amp;A1591&amp;"*",[2]Sheet1!$G$2:$X$1155,18,FALSE)</f>
        <v>ERR10549598</v>
      </c>
      <c r="E1591" s="2">
        <v>2012</v>
      </c>
      <c r="F1591" s="2" t="s">
        <v>876</v>
      </c>
      <c r="G1591" s="2" t="s">
        <v>5</v>
      </c>
      <c r="H1591" s="2" t="s">
        <v>2331</v>
      </c>
      <c r="I1591" s="2" t="s">
        <v>2288</v>
      </c>
      <c r="J1591" s="2" t="s">
        <v>20</v>
      </c>
      <c r="K1591" s="2" t="s">
        <v>694</v>
      </c>
      <c r="L1591" s="2" t="s">
        <v>19</v>
      </c>
      <c r="M1591" s="2">
        <v>122</v>
      </c>
      <c r="N1591" s="2" t="s">
        <v>21</v>
      </c>
      <c r="O1591" s="2">
        <v>0.1</v>
      </c>
      <c r="P1591" s="2" t="s">
        <v>16964</v>
      </c>
      <c r="T1591" s="2" t="s">
        <v>16964</v>
      </c>
    </row>
    <row r="1592" spans="1:24" hidden="1">
      <c r="A1592" s="3" t="s">
        <v>3816</v>
      </c>
      <c r="B1592" s="2" t="s">
        <v>2590</v>
      </c>
      <c r="C1592" s="2" t="s">
        <v>2762</v>
      </c>
      <c r="D1592" s="66" t="str">
        <f>VLOOKUP("*"&amp;A1592&amp;"*",[2]Sheet1!$G$2:$X$1155,18,FALSE)</f>
        <v>ERR10549594</v>
      </c>
      <c r="E1592" s="2">
        <v>2012</v>
      </c>
      <c r="F1592" s="2" t="s">
        <v>876</v>
      </c>
      <c r="G1592" s="2" t="s">
        <v>5</v>
      </c>
      <c r="H1592" s="2" t="s">
        <v>2331</v>
      </c>
      <c r="I1592" s="2" t="s">
        <v>2288</v>
      </c>
      <c r="J1592" s="2" t="s">
        <v>20</v>
      </c>
      <c r="K1592" s="2" t="s">
        <v>780</v>
      </c>
      <c r="L1592" s="2" t="s">
        <v>19</v>
      </c>
      <c r="M1592" s="2">
        <v>9</v>
      </c>
      <c r="N1592" s="2" t="s">
        <v>21</v>
      </c>
      <c r="O1592" s="2">
        <v>0.8</v>
      </c>
      <c r="P1592" s="2" t="s">
        <v>16963</v>
      </c>
      <c r="T1592" s="2" t="s">
        <v>16963</v>
      </c>
      <c r="U1592" s="67" t="s">
        <v>2627</v>
      </c>
    </row>
    <row r="1593" spans="1:24" hidden="1">
      <c r="A1593" s="3" t="s">
        <v>3818</v>
      </c>
      <c r="B1593" s="2" t="s">
        <v>2183</v>
      </c>
      <c r="C1593" s="2" t="s">
        <v>2763</v>
      </c>
      <c r="D1593" s="66" t="str">
        <f>VLOOKUP("*"&amp;A1593&amp;"*",[2]Sheet1!$G$2:$X$1155,18,FALSE)</f>
        <v>ERR10549596</v>
      </c>
      <c r="E1593" s="2">
        <v>2012</v>
      </c>
      <c r="F1593" s="2" t="s">
        <v>876</v>
      </c>
      <c r="G1593" s="2" t="s">
        <v>2295</v>
      </c>
      <c r="H1593" s="2" t="s">
        <v>2313</v>
      </c>
      <c r="I1593" s="2" t="s">
        <v>2288</v>
      </c>
      <c r="J1593" s="2" t="s">
        <v>20</v>
      </c>
      <c r="K1593" s="2" t="s">
        <v>4570</v>
      </c>
      <c r="L1593" s="2" t="s">
        <v>19</v>
      </c>
      <c r="M1593" s="2">
        <v>9</v>
      </c>
      <c r="N1593" s="2" t="s">
        <v>21</v>
      </c>
      <c r="O1593" s="2">
        <f>VLOOKUP(B1593,[1]Sheet1!$B$624:$E$1665,4,FALSE)</f>
        <v>0.2</v>
      </c>
      <c r="P1593" s="2" t="s">
        <v>16964</v>
      </c>
      <c r="T1593" s="2" t="s">
        <v>16964</v>
      </c>
    </row>
    <row r="1594" spans="1:24" hidden="1">
      <c r="A1594" s="3" t="s">
        <v>4315</v>
      </c>
      <c r="B1594" s="2" t="s">
        <v>2182</v>
      </c>
      <c r="C1594" s="2" t="s">
        <v>2723</v>
      </c>
      <c r="D1594" s="66" t="str">
        <f>VLOOKUP("*"&amp;A1594&amp;"*",[2]Sheet1!$G$2:$X$1155,18,FALSE)</f>
        <v>ERR10549579</v>
      </c>
      <c r="E1594" s="2">
        <v>2011</v>
      </c>
      <c r="F1594" s="2" t="s">
        <v>876</v>
      </c>
      <c r="G1594" s="2" t="s">
        <v>5</v>
      </c>
      <c r="H1594" s="2" t="s">
        <v>2334</v>
      </c>
      <c r="I1594" s="2" t="s">
        <v>2288</v>
      </c>
      <c r="J1594" s="2" t="s">
        <v>220</v>
      </c>
      <c r="K1594" s="2" t="s">
        <v>4609</v>
      </c>
      <c r="L1594" s="2" t="s">
        <v>217</v>
      </c>
      <c r="M1594" s="2">
        <v>29</v>
      </c>
      <c r="N1594" s="2" t="s">
        <v>9</v>
      </c>
      <c r="O1594" s="2">
        <f>VLOOKUP(B1594,[1]Sheet1!$B$624:$E$1665,4,FALSE)</f>
        <v>0.2</v>
      </c>
      <c r="P1594" s="2" t="s">
        <v>16964</v>
      </c>
      <c r="T1594" s="2" t="s">
        <v>16964</v>
      </c>
    </row>
    <row r="1595" spans="1:24" hidden="1">
      <c r="A1595" s="3" t="s">
        <v>3803</v>
      </c>
      <c r="B1595" s="2" t="s">
        <v>2181</v>
      </c>
      <c r="C1595" s="2" t="s">
        <v>2708</v>
      </c>
      <c r="D1595" s="66" t="str">
        <f>VLOOKUP("*"&amp;A1595&amp;"*",[2]Sheet1!$G$2:$X$1155,18,FALSE)</f>
        <v>ERR10549572</v>
      </c>
      <c r="E1595" s="2">
        <v>1999</v>
      </c>
      <c r="F1595" s="2" t="s">
        <v>876</v>
      </c>
      <c r="G1595" s="2" t="s">
        <v>5</v>
      </c>
      <c r="H1595" s="2" t="s">
        <v>2331</v>
      </c>
      <c r="I1595" s="2" t="s">
        <v>10</v>
      </c>
      <c r="J1595" s="2" t="s">
        <v>129</v>
      </c>
      <c r="K1595" s="2" t="s">
        <v>4610</v>
      </c>
      <c r="L1595" s="2" t="s">
        <v>128</v>
      </c>
      <c r="M1595" s="2">
        <v>1017</v>
      </c>
      <c r="N1595" s="2" t="s">
        <v>18</v>
      </c>
      <c r="O1595" s="2">
        <v>0.4</v>
      </c>
      <c r="P1595" s="2" t="s">
        <v>16964</v>
      </c>
      <c r="T1595" s="2" t="s">
        <v>16964</v>
      </c>
    </row>
    <row r="1596" spans="1:24" hidden="1">
      <c r="A1596" s="3" t="s">
        <v>4395</v>
      </c>
      <c r="B1596" s="2" t="s">
        <v>2180</v>
      </c>
      <c r="C1596" s="2" t="s">
        <v>2711</v>
      </c>
      <c r="D1596" s="66" t="str">
        <f>VLOOKUP("*"&amp;A1596&amp;"*",[2]Sheet1!$G$2:$X$1155,18,FALSE)</f>
        <v>ERR10549568</v>
      </c>
      <c r="E1596" s="2">
        <v>1999</v>
      </c>
      <c r="F1596" s="2" t="s">
        <v>876</v>
      </c>
      <c r="G1596" s="2" t="s">
        <v>5</v>
      </c>
      <c r="H1596" s="2" t="s">
        <v>2331</v>
      </c>
      <c r="I1596" s="2" t="s">
        <v>10</v>
      </c>
      <c r="J1596" s="2" t="s">
        <v>765</v>
      </c>
      <c r="K1596" s="2" t="s">
        <v>4618</v>
      </c>
      <c r="L1596" s="2" t="s">
        <v>764</v>
      </c>
      <c r="M1596" s="2">
        <v>4</v>
      </c>
      <c r="N1596" s="2" t="s">
        <v>18</v>
      </c>
      <c r="O1596" s="2">
        <v>0.2</v>
      </c>
      <c r="P1596" s="2" t="s">
        <v>16964</v>
      </c>
      <c r="T1596" s="2" t="s">
        <v>16964</v>
      </c>
    </row>
    <row r="1597" spans="1:24" hidden="1">
      <c r="A1597" s="3" t="s">
        <v>3889</v>
      </c>
      <c r="B1597" s="2" t="s">
        <v>2179</v>
      </c>
      <c r="C1597" s="2" t="s">
        <v>2712</v>
      </c>
      <c r="D1597" s="66" t="str">
        <f>VLOOKUP("*"&amp;A1597&amp;"*",[2]Sheet1!$G$2:$X$1155,18,FALSE)</f>
        <v>ERR10549577</v>
      </c>
      <c r="E1597" s="2">
        <v>2011</v>
      </c>
      <c r="F1597" s="2" t="s">
        <v>876</v>
      </c>
      <c r="G1597" s="2" t="s">
        <v>5</v>
      </c>
      <c r="H1597" s="2" t="s">
        <v>2331</v>
      </c>
      <c r="I1597" s="2" t="s">
        <v>10</v>
      </c>
      <c r="J1597" s="2" t="s">
        <v>129</v>
      </c>
      <c r="K1597" s="2" t="s">
        <v>4623</v>
      </c>
      <c r="L1597" s="2" t="s">
        <v>128</v>
      </c>
      <c r="M1597" s="2">
        <v>1</v>
      </c>
      <c r="N1597" s="2" t="s">
        <v>18</v>
      </c>
      <c r="O1597" s="2">
        <f>VLOOKUP(B1597,[1]Sheet1!$B$624:$E$1665,4,FALSE)</f>
        <v>0.2</v>
      </c>
      <c r="P1597" s="2" t="s">
        <v>16964</v>
      </c>
      <c r="T1597" s="2" t="s">
        <v>16964</v>
      </c>
    </row>
    <row r="1598" spans="1:24" hidden="1">
      <c r="A1598" s="3" t="s">
        <v>4141</v>
      </c>
      <c r="B1598" s="2" t="s">
        <v>2178</v>
      </c>
      <c r="C1598" s="2" t="s">
        <v>2713</v>
      </c>
      <c r="D1598" s="66" t="str">
        <f>VLOOKUP("*"&amp;A1598&amp;"*",[2]Sheet1!$G$2:$X$1155,18,FALSE)</f>
        <v>ERR10549582</v>
      </c>
      <c r="E1598" s="2">
        <v>2011</v>
      </c>
      <c r="F1598" s="2" t="s">
        <v>876</v>
      </c>
      <c r="G1598" s="2" t="s">
        <v>5</v>
      </c>
      <c r="H1598" s="2" t="s">
        <v>2331</v>
      </c>
      <c r="I1598" s="2" t="s">
        <v>10</v>
      </c>
      <c r="J1598" s="2" t="s">
        <v>59</v>
      </c>
      <c r="K1598" s="2" t="s">
        <v>4624</v>
      </c>
      <c r="L1598" s="2" t="s">
        <v>58</v>
      </c>
      <c r="M1598" s="2">
        <v>6</v>
      </c>
      <c r="N1598" s="2" t="s">
        <v>18</v>
      </c>
      <c r="O1598" s="2">
        <f>VLOOKUP(B1598,[1]Sheet1!$B$624:$E$1665,4,FALSE)</f>
        <v>0.2</v>
      </c>
      <c r="P1598" s="2" t="s">
        <v>16964</v>
      </c>
      <c r="T1598" s="2" t="s">
        <v>16964</v>
      </c>
    </row>
    <row r="1599" spans="1:24" hidden="1">
      <c r="A1599" s="3" t="s">
        <v>3791</v>
      </c>
      <c r="B1599" s="2" t="s">
        <v>2177</v>
      </c>
      <c r="C1599" s="2" t="s">
        <v>2727</v>
      </c>
      <c r="D1599" s="66" t="str">
        <f>VLOOKUP("*"&amp;A1599&amp;"*",[2]Sheet1!$G$2:$X$1155,18,FALSE)</f>
        <v>ERR10549552</v>
      </c>
      <c r="E1599" s="2">
        <v>2011</v>
      </c>
      <c r="F1599" s="2" t="s">
        <v>876</v>
      </c>
      <c r="G1599" s="2" t="s">
        <v>5</v>
      </c>
      <c r="H1599" s="2" t="s">
        <v>2331</v>
      </c>
      <c r="I1599" s="2" t="s">
        <v>10</v>
      </c>
      <c r="J1599" s="2" t="s">
        <v>17</v>
      </c>
      <c r="K1599" s="2" t="s">
        <v>4625</v>
      </c>
      <c r="L1599" s="2" t="s">
        <v>16</v>
      </c>
      <c r="M1599" s="2">
        <v>2</v>
      </c>
      <c r="N1599" s="2" t="s">
        <v>18</v>
      </c>
      <c r="O1599" s="2">
        <f>VLOOKUP(B1599,[1]Sheet1!$B$624:$E$1665,4,FALSE)</f>
        <v>0.2</v>
      </c>
      <c r="P1599" s="2" t="s">
        <v>16964</v>
      </c>
      <c r="T1599" s="2" t="s">
        <v>16964</v>
      </c>
    </row>
    <row r="1600" spans="1:24" hidden="1">
      <c r="A1600" s="3" t="s">
        <v>3953</v>
      </c>
      <c r="B1600" s="2" t="s">
        <v>2176</v>
      </c>
      <c r="C1600" s="2" t="s">
        <v>2728</v>
      </c>
      <c r="D1600" s="66" t="str">
        <f>VLOOKUP("*"&amp;A1600&amp;"*",[2]Sheet1!$G$2:$X$1155,18,FALSE)</f>
        <v>ERR10549586</v>
      </c>
      <c r="E1600" s="2">
        <v>2011</v>
      </c>
      <c r="F1600" s="2" t="s">
        <v>876</v>
      </c>
      <c r="G1600" s="2" t="s">
        <v>5</v>
      </c>
      <c r="H1600" s="2" t="s">
        <v>2334</v>
      </c>
      <c r="I1600" s="2" t="s">
        <v>10</v>
      </c>
      <c r="J1600" s="2" t="s">
        <v>1147</v>
      </c>
      <c r="K1600" s="2" t="s">
        <v>4629</v>
      </c>
      <c r="L1600" s="2" t="s">
        <v>1146</v>
      </c>
      <c r="M1600" s="2">
        <v>217</v>
      </c>
      <c r="N1600" s="2" t="s">
        <v>18</v>
      </c>
      <c r="O1600" s="2">
        <f>VLOOKUP(B1600,[1]Sheet1!$B$624:$E$1665,4,FALSE)</f>
        <v>0.2</v>
      </c>
      <c r="P1600" s="2" t="s">
        <v>16964</v>
      </c>
      <c r="T1600" s="2" t="s">
        <v>16964</v>
      </c>
    </row>
    <row r="1601" spans="1:24" hidden="1">
      <c r="A1601" s="3" t="s">
        <v>3567</v>
      </c>
      <c r="B1601" s="2" t="s">
        <v>2175</v>
      </c>
      <c r="C1601" s="2" t="s">
        <v>2738</v>
      </c>
      <c r="D1601" s="66" t="str">
        <f>VLOOKUP("*"&amp;A1601&amp;"*",[2]Sheet1!$G$2:$X$1155,18,FALSE)</f>
        <v>ERR10549595</v>
      </c>
      <c r="E1601" s="2">
        <v>2012</v>
      </c>
      <c r="F1601" s="2" t="s">
        <v>876</v>
      </c>
      <c r="G1601" s="2" t="s">
        <v>5</v>
      </c>
      <c r="H1601" s="2" t="s">
        <v>2331</v>
      </c>
      <c r="I1601" s="2" t="s">
        <v>10</v>
      </c>
      <c r="J1601" s="2" t="s">
        <v>17</v>
      </c>
      <c r="K1601" s="2" t="s">
        <v>4630</v>
      </c>
      <c r="L1601" s="2" t="s">
        <v>16</v>
      </c>
      <c r="M1601" s="2">
        <v>2</v>
      </c>
      <c r="N1601" s="2" t="s">
        <v>18</v>
      </c>
      <c r="O1601" s="2">
        <f>VLOOKUP(B1601,[1]Sheet1!$B$624:$E$1665,4,FALSE)</f>
        <v>0.4</v>
      </c>
      <c r="P1601" s="2" t="s">
        <v>16964</v>
      </c>
      <c r="T1601" s="2" t="s">
        <v>16964</v>
      </c>
    </row>
    <row r="1602" spans="1:24" hidden="1">
      <c r="A1602" s="3" t="s">
        <v>4170</v>
      </c>
      <c r="B1602" s="2" t="s">
        <v>2174</v>
      </c>
      <c r="C1602" s="2" t="s">
        <v>2751</v>
      </c>
      <c r="D1602" s="66" t="str">
        <f>VLOOKUP("*"&amp;A1602&amp;"*",[2]Sheet1!$G$2:$X$1155,18,FALSE)</f>
        <v>ERR10549565</v>
      </c>
      <c r="E1602" s="2">
        <v>2012</v>
      </c>
      <c r="F1602" s="2" t="s">
        <v>876</v>
      </c>
      <c r="G1602" s="2" t="s">
        <v>5</v>
      </c>
      <c r="H1602" s="2" t="s">
        <v>2331</v>
      </c>
      <c r="I1602" s="2" t="s">
        <v>10</v>
      </c>
      <c r="J1602" s="2" t="s">
        <v>129</v>
      </c>
      <c r="K1602" s="2" t="s">
        <v>4632</v>
      </c>
      <c r="L1602" s="2" t="s">
        <v>128</v>
      </c>
      <c r="M1602" s="2">
        <v>1</v>
      </c>
      <c r="N1602" s="2" t="s">
        <v>18</v>
      </c>
      <c r="O1602" s="2">
        <f>VLOOKUP(B1602,[1]Sheet1!$B$624:$E$1665,4,FALSE)</f>
        <v>0.4</v>
      </c>
      <c r="P1602" s="2" t="s">
        <v>16964</v>
      </c>
      <c r="T1602" s="2" t="s">
        <v>16964</v>
      </c>
    </row>
    <row r="1603" spans="1:24" hidden="1">
      <c r="A1603" s="3" t="s">
        <v>3954</v>
      </c>
      <c r="B1603" s="2" t="s">
        <v>2173</v>
      </c>
      <c r="C1603" s="2" t="s">
        <v>2753</v>
      </c>
      <c r="D1603" s="66" t="str">
        <f>VLOOKUP("*"&amp;A1603&amp;"*",[2]Sheet1!$G$2:$X$1155,18,FALSE)</f>
        <v>ERR10549599</v>
      </c>
      <c r="E1603" s="2">
        <v>2012</v>
      </c>
      <c r="F1603" s="2" t="s">
        <v>876</v>
      </c>
      <c r="G1603" s="2" t="s">
        <v>2295</v>
      </c>
      <c r="H1603" s="2" t="s">
        <v>2313</v>
      </c>
      <c r="I1603" s="2" t="s">
        <v>10</v>
      </c>
      <c r="J1603" s="2" t="s">
        <v>1147</v>
      </c>
      <c r="K1603" s="2" t="s">
        <v>4633</v>
      </c>
      <c r="L1603" s="2" t="s">
        <v>1146</v>
      </c>
      <c r="M1603" s="2">
        <v>217</v>
      </c>
      <c r="N1603" s="2" t="s">
        <v>18</v>
      </c>
      <c r="O1603" s="2">
        <f>VLOOKUP(B1603,[1]Sheet1!$B$624:$E$1665,4,FALSE)</f>
        <v>0.4</v>
      </c>
      <c r="P1603" s="2" t="s">
        <v>16964</v>
      </c>
      <c r="T1603" s="2" t="s">
        <v>16964</v>
      </c>
    </row>
    <row r="1604" spans="1:24" hidden="1">
      <c r="A1604" s="3" t="s">
        <v>3966</v>
      </c>
      <c r="B1604" s="2" t="s">
        <v>2172</v>
      </c>
      <c r="C1604" s="2" t="s">
        <v>2755</v>
      </c>
      <c r="D1604" s="66" t="str">
        <f>VLOOKUP("*"&amp;A1604&amp;"*",[2]Sheet1!$G$2:$X$1155,18,FALSE)</f>
        <v>ERR10549597</v>
      </c>
      <c r="E1604" s="2">
        <v>2012</v>
      </c>
      <c r="F1604" s="2" t="s">
        <v>876</v>
      </c>
      <c r="G1604" s="2" t="s">
        <v>5</v>
      </c>
      <c r="H1604" s="2" t="s">
        <v>2334</v>
      </c>
      <c r="I1604" s="2" t="s">
        <v>10</v>
      </c>
      <c r="J1604" s="2" t="s">
        <v>765</v>
      </c>
      <c r="K1604" s="2" t="s">
        <v>4635</v>
      </c>
      <c r="L1604" s="2" t="s">
        <v>764</v>
      </c>
      <c r="M1604" s="2">
        <v>682</v>
      </c>
      <c r="N1604" s="2" t="s">
        <v>18</v>
      </c>
      <c r="O1604" s="2">
        <f>VLOOKUP(B1604,[1]Sheet1!$B$624:$E$1665,4,FALSE)</f>
        <v>0.2</v>
      </c>
      <c r="P1604" s="2" t="s">
        <v>16964</v>
      </c>
      <c r="T1604" s="2" t="s">
        <v>16964</v>
      </c>
    </row>
    <row r="1605" spans="1:24" hidden="1">
      <c r="A1605" s="3" t="s">
        <v>4325</v>
      </c>
      <c r="B1605" s="2" t="s">
        <v>2171</v>
      </c>
      <c r="C1605" s="2" t="s">
        <v>2764</v>
      </c>
      <c r="D1605" s="66" t="str">
        <f>VLOOKUP("*"&amp;A1605&amp;"*",[2]Sheet1!$G$2:$X$1155,18,FALSE)</f>
        <v>ERR10549654</v>
      </c>
      <c r="E1605" s="2">
        <v>2013</v>
      </c>
      <c r="F1605" s="2" t="s">
        <v>876</v>
      </c>
      <c r="G1605" s="2" t="s">
        <v>5</v>
      </c>
      <c r="H1605" s="2" t="s">
        <v>2334</v>
      </c>
      <c r="I1605" s="2" t="s">
        <v>10</v>
      </c>
      <c r="J1605" s="2" t="s">
        <v>129</v>
      </c>
      <c r="K1605" s="2" t="s">
        <v>4636</v>
      </c>
      <c r="L1605" s="2" t="s">
        <v>128</v>
      </c>
      <c r="M1605" s="2">
        <v>1</v>
      </c>
      <c r="N1605" s="2" t="s">
        <v>18</v>
      </c>
      <c r="O1605" s="2">
        <f>VLOOKUP(B1605,[1]Sheet1!$B$624:$E$1665,4,FALSE)</f>
        <v>0.4</v>
      </c>
      <c r="P1605" s="2" t="s">
        <v>16964</v>
      </c>
      <c r="T1605" s="2" t="s">
        <v>16964</v>
      </c>
    </row>
    <row r="1606" spans="1:24" hidden="1">
      <c r="A1606" s="3" t="s">
        <v>4349</v>
      </c>
      <c r="B1606" s="2" t="s">
        <v>2170</v>
      </c>
      <c r="C1606" s="2" t="s">
        <v>2709</v>
      </c>
      <c r="D1606" s="66" t="str">
        <f>VLOOKUP("*"&amp;A1606&amp;"*",[2]Sheet1!$G$2:$X$1155,18,FALSE)</f>
        <v>ERR10549574</v>
      </c>
      <c r="E1606" s="2">
        <v>1999</v>
      </c>
      <c r="F1606" s="2" t="s">
        <v>876</v>
      </c>
      <c r="G1606" s="2" t="s">
        <v>5</v>
      </c>
      <c r="H1606" s="2" t="s">
        <v>2331</v>
      </c>
      <c r="I1606" s="2" t="s">
        <v>10</v>
      </c>
      <c r="J1606" s="2" t="s">
        <v>12</v>
      </c>
      <c r="K1606" s="2" t="s">
        <v>4637</v>
      </c>
      <c r="L1606" s="2" t="s">
        <v>11</v>
      </c>
      <c r="M1606" s="2">
        <v>3</v>
      </c>
      <c r="N1606" s="2" t="s">
        <v>14</v>
      </c>
      <c r="O1606" s="2">
        <v>0.4</v>
      </c>
      <c r="P1606" s="2" t="s">
        <v>16964</v>
      </c>
      <c r="T1606" s="2" t="s">
        <v>16964</v>
      </c>
    </row>
    <row r="1607" spans="1:24" hidden="1">
      <c r="A1607" s="3" t="s">
        <v>3405</v>
      </c>
      <c r="B1607" s="2" t="s">
        <v>2169</v>
      </c>
      <c r="C1607" s="2" t="s">
        <v>2725</v>
      </c>
      <c r="D1607" s="66" t="str">
        <f>VLOOKUP("*"&amp;A1607&amp;"*",[2]Sheet1!$G$2:$X$1155,18,FALSE)</f>
        <v>ERR10549641</v>
      </c>
      <c r="E1607" s="2">
        <v>2011</v>
      </c>
      <c r="F1607" s="2" t="s">
        <v>876</v>
      </c>
      <c r="G1607" s="2" t="s">
        <v>5</v>
      </c>
      <c r="H1607" s="2" t="s">
        <v>2331</v>
      </c>
      <c r="I1607" s="2" t="s">
        <v>2288</v>
      </c>
      <c r="J1607" s="2" t="s">
        <v>29</v>
      </c>
      <c r="K1607" s="2" t="s">
        <v>4638</v>
      </c>
      <c r="L1607" s="2" t="s">
        <v>28</v>
      </c>
      <c r="M1607" s="2">
        <v>742</v>
      </c>
      <c r="N1607" s="2" t="s">
        <v>9</v>
      </c>
      <c r="O1607" s="2">
        <f>VLOOKUP(B1607,[1]Sheet1!$B$624:$E$1665,4,FALSE)</f>
        <v>0.2</v>
      </c>
      <c r="P1607" s="2" t="s">
        <v>16964</v>
      </c>
      <c r="T1607" s="2" t="s">
        <v>16964</v>
      </c>
    </row>
    <row r="1608" spans="1:24" hidden="1">
      <c r="A1608" s="3" t="s">
        <v>4363</v>
      </c>
      <c r="B1608" s="2" t="s">
        <v>2168</v>
      </c>
      <c r="C1608" s="2" t="s">
        <v>2726</v>
      </c>
      <c r="D1608" s="66" t="str">
        <f>VLOOKUP("*"&amp;A1608&amp;"*",[2]Sheet1!$G$2:$X$1155,18,FALSE)</f>
        <v>ERR10549554</v>
      </c>
      <c r="E1608" s="2">
        <v>2011</v>
      </c>
      <c r="F1608" s="2" t="s">
        <v>876</v>
      </c>
      <c r="G1608" s="2" t="s">
        <v>5</v>
      </c>
      <c r="H1608" s="2" t="s">
        <v>2334</v>
      </c>
      <c r="I1608" s="2" t="s">
        <v>2288</v>
      </c>
      <c r="J1608" s="2" t="s">
        <v>4639</v>
      </c>
      <c r="K1608" s="2" t="s">
        <v>4640</v>
      </c>
      <c r="L1608" s="2" t="s">
        <v>2336</v>
      </c>
      <c r="M1608" s="2">
        <v>36</v>
      </c>
      <c r="N1608" s="2" t="s">
        <v>9</v>
      </c>
      <c r="O1608" s="2">
        <f>VLOOKUP(B1608,[1]Sheet1!$B$624:$E$1665,4,FALSE)</f>
        <v>0.4</v>
      </c>
      <c r="P1608" s="2" t="s">
        <v>16964</v>
      </c>
      <c r="T1608" s="2" t="s">
        <v>16964</v>
      </c>
    </row>
    <row r="1609" spans="1:24" hidden="1">
      <c r="A1609" s="3" t="s">
        <v>3059</v>
      </c>
      <c r="B1609" s="2" t="s">
        <v>2167</v>
      </c>
      <c r="C1609" s="2" t="s">
        <v>2729</v>
      </c>
      <c r="D1609" s="66" t="str">
        <f>VLOOKUP("*"&amp;A1609&amp;"*",[2]Sheet1!$G$2:$X$1155,18,FALSE)</f>
        <v>ERR10612104</v>
      </c>
      <c r="E1609" s="2">
        <v>2011</v>
      </c>
      <c r="F1609" s="2" t="s">
        <v>876</v>
      </c>
      <c r="G1609" s="2" t="s">
        <v>5</v>
      </c>
      <c r="H1609" s="2" t="s">
        <v>2331</v>
      </c>
      <c r="I1609" s="2" t="s">
        <v>2288</v>
      </c>
      <c r="J1609" s="2" t="s">
        <v>8</v>
      </c>
      <c r="K1609" s="2" t="s">
        <v>4646</v>
      </c>
      <c r="L1609" s="2" t="s">
        <v>7</v>
      </c>
      <c r="M1609" s="2">
        <v>121</v>
      </c>
      <c r="N1609" s="2" t="s">
        <v>9</v>
      </c>
      <c r="O1609" s="2">
        <f>VLOOKUP(B1609,[1]Sheet1!$B$624:$E$1665,4,FALSE)</f>
        <v>0.8</v>
      </c>
      <c r="P1609" s="2" t="s">
        <v>16963</v>
      </c>
      <c r="T1609" s="2" t="s">
        <v>16963</v>
      </c>
      <c r="X1609" s="67" t="s">
        <v>4722</v>
      </c>
    </row>
    <row r="1610" spans="1:24" hidden="1">
      <c r="A1610" s="3" t="s">
        <v>3188</v>
      </c>
      <c r="B1610" s="2" t="s">
        <v>2166</v>
      </c>
      <c r="C1610" s="2" t="s">
        <v>2730</v>
      </c>
      <c r="D1610" s="66" t="str">
        <f>VLOOKUP("*"&amp;A1610&amp;"*",[2]Sheet1!$G$2:$X$1155,18,FALSE)</f>
        <v>ERR10549645</v>
      </c>
      <c r="E1610" s="2">
        <v>2011</v>
      </c>
      <c r="F1610" s="2" t="s">
        <v>876</v>
      </c>
      <c r="G1610" s="2" t="s">
        <v>5</v>
      </c>
      <c r="H1610" s="2" t="s">
        <v>2333</v>
      </c>
      <c r="I1610" s="2" t="s">
        <v>2288</v>
      </c>
      <c r="J1610" s="2" t="s">
        <v>146</v>
      </c>
      <c r="K1610" s="2" t="s">
        <v>4648</v>
      </c>
      <c r="L1610" s="2" t="s">
        <v>145</v>
      </c>
      <c r="M1610" s="2">
        <v>20</v>
      </c>
      <c r="N1610" s="2" t="s">
        <v>9</v>
      </c>
      <c r="O1610" s="2">
        <f>VLOOKUP(B1610,[1]Sheet1!$B$624:$E$1665,4,FALSE)</f>
        <v>0.2</v>
      </c>
      <c r="P1610" s="2" t="s">
        <v>16964</v>
      </c>
      <c r="T1610" s="2" t="s">
        <v>16964</v>
      </c>
    </row>
    <row r="1611" spans="1:24" hidden="1">
      <c r="A1611" s="3" t="s">
        <v>3522</v>
      </c>
      <c r="B1611" s="2" t="s">
        <v>2165</v>
      </c>
      <c r="C1611" s="2" t="s">
        <v>2731</v>
      </c>
      <c r="D1611" s="66" t="str">
        <f>VLOOKUP("*"&amp;A1611&amp;"*",[2]Sheet1!$G$2:$X$1155,18,FALSE)</f>
        <v>ERR10549558</v>
      </c>
      <c r="E1611" s="2">
        <v>2011</v>
      </c>
      <c r="F1611" s="2" t="s">
        <v>876</v>
      </c>
      <c r="G1611" s="2" t="s">
        <v>5</v>
      </c>
      <c r="H1611" s="2" t="s">
        <v>2334</v>
      </c>
      <c r="I1611" s="2" t="s">
        <v>2288</v>
      </c>
      <c r="J1611" s="2" t="s">
        <v>366</v>
      </c>
      <c r="K1611" s="2" t="s">
        <v>4651</v>
      </c>
      <c r="L1611" s="2" t="s">
        <v>28</v>
      </c>
      <c r="M1611" s="2">
        <v>16</v>
      </c>
      <c r="N1611" s="2" t="s">
        <v>9</v>
      </c>
      <c r="O1611" s="2">
        <f>VLOOKUP(B1611,[1]Sheet1!$B$624:$E$1665,4,FALSE)</f>
        <v>0.4</v>
      </c>
      <c r="P1611" s="2" t="s">
        <v>16964</v>
      </c>
      <c r="T1611" s="2" t="s">
        <v>16964</v>
      </c>
    </row>
    <row r="1612" spans="1:24" hidden="1">
      <c r="A1612" s="3" t="s">
        <v>3585</v>
      </c>
      <c r="B1612" s="2" t="s">
        <v>2164</v>
      </c>
      <c r="C1612" s="2" t="s">
        <v>2732</v>
      </c>
      <c r="D1612" s="66" t="str">
        <f>VLOOKUP("*"&amp;A1612&amp;"*",[2]Sheet1!$G$2:$X$1155,18,FALSE)</f>
        <v>ERR10549555</v>
      </c>
      <c r="E1612" s="2">
        <v>2011</v>
      </c>
      <c r="F1612" s="2" t="s">
        <v>876</v>
      </c>
      <c r="G1612" s="2" t="s">
        <v>5</v>
      </c>
      <c r="H1612" s="2" t="s">
        <v>2331</v>
      </c>
      <c r="I1612" s="2" t="s">
        <v>2288</v>
      </c>
      <c r="J1612" s="2" t="s">
        <v>115</v>
      </c>
      <c r="K1612" s="2" t="s">
        <v>4652</v>
      </c>
      <c r="L1612" s="2" t="s">
        <v>114</v>
      </c>
      <c r="M1612" s="2">
        <v>21</v>
      </c>
      <c r="N1612" s="2" t="s">
        <v>9</v>
      </c>
      <c r="O1612" s="2">
        <f>VLOOKUP(B1612,[1]Sheet1!$B$624:$E$1665,4,FALSE)</f>
        <v>0.4</v>
      </c>
      <c r="P1612" s="2" t="s">
        <v>16964</v>
      </c>
      <c r="T1612" s="2" t="s">
        <v>16964</v>
      </c>
    </row>
    <row r="1613" spans="1:24" hidden="1">
      <c r="A1613" s="3" t="s">
        <v>4016</v>
      </c>
      <c r="B1613" s="2" t="s">
        <v>2163</v>
      </c>
      <c r="C1613" s="2" t="s">
        <v>2733</v>
      </c>
      <c r="D1613" s="66" t="str">
        <f>VLOOKUP("*"&amp;A1613&amp;"*",[2]Sheet1!$G$2:$X$1155,18,FALSE)</f>
        <v>ERR10549592</v>
      </c>
      <c r="E1613" s="2">
        <v>2011</v>
      </c>
      <c r="F1613" s="2" t="s">
        <v>876</v>
      </c>
      <c r="G1613" s="2" t="s">
        <v>5</v>
      </c>
      <c r="H1613" s="2" t="s">
        <v>2334</v>
      </c>
      <c r="I1613" s="2" t="s">
        <v>2288</v>
      </c>
      <c r="J1613" s="2" t="s">
        <v>486</v>
      </c>
      <c r="K1613" s="2" t="s">
        <v>4656</v>
      </c>
      <c r="L1613" s="2" t="s">
        <v>330</v>
      </c>
      <c r="M1613" s="2">
        <v>177</v>
      </c>
      <c r="N1613" s="2" t="s">
        <v>9</v>
      </c>
      <c r="O1613" s="2">
        <f>VLOOKUP(B1613,[1]Sheet1!$B$624:$E$1665,4,FALSE)</f>
        <v>0.4</v>
      </c>
      <c r="P1613" s="2" t="s">
        <v>16964</v>
      </c>
      <c r="T1613" s="2" t="s">
        <v>16964</v>
      </c>
    </row>
    <row r="1614" spans="1:24" hidden="1">
      <c r="A1614" s="3" t="s">
        <v>3605</v>
      </c>
      <c r="B1614" s="2" t="s">
        <v>2162</v>
      </c>
      <c r="C1614" s="2" t="s">
        <v>2734</v>
      </c>
      <c r="D1614" s="66" t="str">
        <f>VLOOKUP("*"&amp;A1614&amp;"*",[2]Sheet1!$G$2:$X$1155,18,FALSE)</f>
        <v>ERR10549587</v>
      </c>
      <c r="E1614" s="2">
        <v>2011</v>
      </c>
      <c r="F1614" s="2" t="s">
        <v>876</v>
      </c>
      <c r="G1614" s="2" t="s">
        <v>5</v>
      </c>
      <c r="H1614" s="2" t="s">
        <v>2334</v>
      </c>
      <c r="I1614" s="2" t="s">
        <v>2288</v>
      </c>
      <c r="J1614" s="2" t="s">
        <v>4659</v>
      </c>
      <c r="K1614" s="2" t="s">
        <v>4660</v>
      </c>
      <c r="L1614" s="2" t="s">
        <v>2337</v>
      </c>
      <c r="M1614" s="2">
        <v>1413</v>
      </c>
      <c r="N1614" s="2" t="s">
        <v>9</v>
      </c>
      <c r="T1614" s="2" t="s">
        <v>16964</v>
      </c>
    </row>
    <row r="1615" spans="1:24" hidden="1">
      <c r="A1615" s="3" t="s">
        <v>3146</v>
      </c>
      <c r="B1615" s="2" t="s">
        <v>2161</v>
      </c>
      <c r="C1615" s="2" t="s">
        <v>2735</v>
      </c>
      <c r="D1615" s="66" t="str">
        <f>VLOOKUP("*"&amp;A1615&amp;"*",[2]Sheet1!$G$2:$X$1155,18,FALSE)</f>
        <v>ERR10549588</v>
      </c>
      <c r="E1615" s="2">
        <v>2011</v>
      </c>
      <c r="F1615" s="2" t="s">
        <v>876</v>
      </c>
      <c r="G1615" s="2" t="s">
        <v>2295</v>
      </c>
      <c r="H1615" s="2" t="s">
        <v>2313</v>
      </c>
      <c r="I1615" s="2" t="s">
        <v>2288</v>
      </c>
      <c r="J1615" s="2" t="s">
        <v>8</v>
      </c>
      <c r="K1615" s="2" t="s">
        <v>1010</v>
      </c>
      <c r="L1615" s="2" t="s">
        <v>7</v>
      </c>
      <c r="M1615" s="2">
        <v>121</v>
      </c>
      <c r="N1615" s="2" t="s">
        <v>9</v>
      </c>
      <c r="O1615" s="2">
        <f>VLOOKUP(B1615,[1]Sheet1!$B$624:$E$1665,4,FALSE)</f>
        <v>0.8</v>
      </c>
      <c r="P1615" s="2" t="s">
        <v>16963</v>
      </c>
      <c r="T1615" s="2" t="s">
        <v>16963</v>
      </c>
      <c r="X1615" s="67" t="s">
        <v>4722</v>
      </c>
    </row>
    <row r="1616" spans="1:24" hidden="1">
      <c r="A1616" s="3" t="s">
        <v>3283</v>
      </c>
      <c r="B1616" s="2" t="s">
        <v>2160</v>
      </c>
      <c r="C1616" s="2" t="s">
        <v>2736</v>
      </c>
      <c r="D1616" s="66" t="str">
        <f>VLOOKUP("*"&amp;A1616&amp;"*",[2]Sheet1!$G$2:$X$1155,18,FALSE)</f>
        <v>ERR10549593</v>
      </c>
      <c r="E1616" s="2">
        <v>2011</v>
      </c>
      <c r="F1616" s="2" t="s">
        <v>876</v>
      </c>
      <c r="G1616" s="2" t="s">
        <v>5</v>
      </c>
      <c r="H1616" s="2" t="s">
        <v>2331</v>
      </c>
      <c r="I1616" s="2" t="s">
        <v>2288</v>
      </c>
      <c r="J1616" s="2" t="s">
        <v>150</v>
      </c>
      <c r="K1616" s="2" t="s">
        <v>4664</v>
      </c>
      <c r="L1616" s="2" t="s">
        <v>149</v>
      </c>
      <c r="M1616" s="2">
        <v>403</v>
      </c>
      <c r="N1616" s="2" t="s">
        <v>9</v>
      </c>
      <c r="O1616" s="2">
        <f>VLOOKUP(B1616,[1]Sheet1!$B$624:$E$1665,4,FALSE)</f>
        <v>0.4</v>
      </c>
      <c r="P1616" s="2" t="s">
        <v>16964</v>
      </c>
      <c r="T1616" s="2" t="s">
        <v>16964</v>
      </c>
    </row>
    <row r="1617" spans="1:25" hidden="1">
      <c r="A1617" s="3" t="s">
        <v>3248</v>
      </c>
      <c r="B1617" s="2" t="s">
        <v>2159</v>
      </c>
      <c r="C1617" s="2" t="s">
        <v>2737</v>
      </c>
      <c r="D1617" s="66" t="str">
        <f>VLOOKUP("*"&amp;A1617&amp;"*",[2]Sheet1!$G$2:$X$1155,18,FALSE)</f>
        <v>ERR10549630</v>
      </c>
      <c r="E1617" s="2">
        <v>2012</v>
      </c>
      <c r="F1617" s="2" t="s">
        <v>876</v>
      </c>
      <c r="G1617" s="2" t="s">
        <v>5</v>
      </c>
      <c r="H1617" s="2" t="s">
        <v>2332</v>
      </c>
      <c r="I1617" s="2" t="s">
        <v>2288</v>
      </c>
      <c r="J1617" s="2" t="s">
        <v>29</v>
      </c>
      <c r="K1617" s="2" t="s">
        <v>439</v>
      </c>
      <c r="L1617" s="2" t="s">
        <v>28</v>
      </c>
      <c r="M1617" s="2">
        <v>8</v>
      </c>
      <c r="N1617" s="2" t="s">
        <v>9</v>
      </c>
      <c r="O1617" s="2">
        <f>VLOOKUP(B1617,[1]Sheet1!$B$624:$E$1665,4,FALSE)</f>
        <v>0.4</v>
      </c>
      <c r="P1617" s="2" t="s">
        <v>16964</v>
      </c>
      <c r="T1617" s="2" t="s">
        <v>16964</v>
      </c>
    </row>
    <row r="1618" spans="1:25" hidden="1">
      <c r="A1618" s="3" t="s">
        <v>3500</v>
      </c>
      <c r="B1618" s="2" t="s">
        <v>2158</v>
      </c>
      <c r="C1618" s="2" t="s">
        <v>2739</v>
      </c>
      <c r="D1618" s="66" t="str">
        <f>VLOOKUP("*"&amp;A1618&amp;"*",[2]Sheet1!$G$2:$X$1155,18,FALSE)</f>
        <v>ERR10549632</v>
      </c>
      <c r="E1618" s="2">
        <v>2012</v>
      </c>
      <c r="F1618" s="2" t="s">
        <v>876</v>
      </c>
      <c r="G1618" s="2" t="s">
        <v>5</v>
      </c>
      <c r="H1618" s="2" t="s">
        <v>2334</v>
      </c>
      <c r="I1618" s="2" t="s">
        <v>2288</v>
      </c>
      <c r="J1618" s="2" t="s">
        <v>564</v>
      </c>
      <c r="K1618" s="2" t="s">
        <v>4678</v>
      </c>
      <c r="L1618" s="2" t="s">
        <v>23</v>
      </c>
      <c r="M1618" s="2">
        <v>1414</v>
      </c>
      <c r="N1618" s="2" t="s">
        <v>9</v>
      </c>
      <c r="O1618" s="2">
        <f>VLOOKUP(B1618,[1]Sheet1!$B$624:$E$1665,4,FALSE)</f>
        <v>0.8</v>
      </c>
      <c r="P1618" s="13" t="s">
        <v>16963</v>
      </c>
      <c r="T1618" s="2" t="s">
        <v>16964</v>
      </c>
    </row>
    <row r="1619" spans="1:25" hidden="1">
      <c r="A1619" s="3" t="s">
        <v>2825</v>
      </c>
      <c r="B1619" s="2" t="s">
        <v>2157</v>
      </c>
      <c r="C1619" s="2" t="s">
        <v>2741</v>
      </c>
      <c r="D1619" s="66" t="str">
        <f>VLOOKUP("*"&amp;A1619&amp;"*",[2]Sheet1!$G$2:$X$1155,18,FALSE)</f>
        <v>ERR10549686</v>
      </c>
      <c r="E1619" s="2">
        <v>2012</v>
      </c>
      <c r="F1619" s="2" t="s">
        <v>876</v>
      </c>
      <c r="G1619" s="2" t="s">
        <v>5</v>
      </c>
      <c r="H1619" s="2" t="s">
        <v>2332</v>
      </c>
      <c r="I1619" s="2" t="s">
        <v>2288</v>
      </c>
      <c r="J1619" s="2" t="s">
        <v>76</v>
      </c>
      <c r="K1619" s="2" t="s">
        <v>4679</v>
      </c>
      <c r="L1619" s="2" t="s">
        <v>75</v>
      </c>
      <c r="M1619" s="2">
        <v>504</v>
      </c>
      <c r="N1619" s="2" t="s">
        <v>9</v>
      </c>
      <c r="O1619" s="2">
        <f>VLOOKUP(B1619,[1]Sheet1!$B$624:$E$1665,4,FALSE)</f>
        <v>0.4</v>
      </c>
      <c r="P1619" s="2" t="s">
        <v>16964</v>
      </c>
      <c r="T1619" s="2" t="s">
        <v>16964</v>
      </c>
    </row>
    <row r="1620" spans="1:25" hidden="1">
      <c r="A1620" s="3" t="s">
        <v>2915</v>
      </c>
      <c r="B1620" s="2" t="s">
        <v>2156</v>
      </c>
      <c r="C1620" s="2" t="s">
        <v>2742</v>
      </c>
      <c r="D1620" s="66" t="str">
        <f>VLOOKUP("*"&amp;A1620&amp;"*",[2]Sheet1!$G$2:$X$1155,18,FALSE)</f>
        <v>ERR10549600</v>
      </c>
      <c r="E1620" s="2">
        <v>2012</v>
      </c>
      <c r="F1620" s="2" t="s">
        <v>876</v>
      </c>
      <c r="G1620" s="2" t="s">
        <v>5</v>
      </c>
      <c r="H1620" s="2" t="s">
        <v>2331</v>
      </c>
      <c r="I1620" s="2" t="s">
        <v>2288</v>
      </c>
      <c r="J1620" s="2" t="s">
        <v>8</v>
      </c>
      <c r="K1620" s="2" t="s">
        <v>1010</v>
      </c>
      <c r="L1620" s="2" t="s">
        <v>7</v>
      </c>
      <c r="M1620" s="2">
        <v>121</v>
      </c>
      <c r="N1620" s="2" t="s">
        <v>9</v>
      </c>
      <c r="O1620" s="2">
        <f>VLOOKUP(B1620,[1]Sheet1!$B$624:$E$1665,4,FALSE)</f>
        <v>0.8</v>
      </c>
      <c r="P1620" s="2" t="s">
        <v>16963</v>
      </c>
      <c r="T1620" s="2" t="s">
        <v>16963</v>
      </c>
      <c r="X1620" s="67" t="s">
        <v>4722</v>
      </c>
    </row>
    <row r="1621" spans="1:25" hidden="1">
      <c r="A1621" s="3" t="s">
        <v>3948</v>
      </c>
      <c r="B1621" s="2" t="s">
        <v>2155</v>
      </c>
      <c r="C1621" s="2" t="s">
        <v>2743</v>
      </c>
      <c r="D1621" s="66" t="str">
        <f>VLOOKUP("*"&amp;A1621&amp;"*",[2]Sheet1!$G$2:$X$1155,18,FALSE)</f>
        <v>ERR10549673</v>
      </c>
      <c r="E1621" s="2">
        <v>2012</v>
      </c>
      <c r="F1621" s="2" t="s">
        <v>876</v>
      </c>
      <c r="G1621" s="2" t="s">
        <v>2295</v>
      </c>
      <c r="H1621" s="2" t="s">
        <v>2313</v>
      </c>
      <c r="I1621" s="2" t="s">
        <v>2288</v>
      </c>
      <c r="J1621" s="2" t="s">
        <v>398</v>
      </c>
      <c r="K1621" s="2" t="s">
        <v>4682</v>
      </c>
      <c r="L1621" s="2" t="s">
        <v>397</v>
      </c>
      <c r="M1621" s="2">
        <v>26</v>
      </c>
      <c r="N1621" s="2" t="s">
        <v>9</v>
      </c>
      <c r="O1621" s="2">
        <f>VLOOKUP(B1621,[1]Sheet1!$B$624:$E$1665,4,FALSE)</f>
        <v>0.4</v>
      </c>
      <c r="P1621" s="2" t="s">
        <v>16964</v>
      </c>
      <c r="T1621" s="2" t="s">
        <v>16964</v>
      </c>
    </row>
    <row r="1622" spans="1:25" hidden="1">
      <c r="A1622" s="3" t="s">
        <v>3148</v>
      </c>
      <c r="B1622" s="2" t="s">
        <v>2154</v>
      </c>
      <c r="C1622" s="2" t="s">
        <v>2744</v>
      </c>
      <c r="D1622" s="66" t="str">
        <f>VLOOKUP("*"&amp;A1622&amp;"*",[2]Sheet1!$G$2:$X$1155,18,FALSE)</f>
        <v>ERR10549636</v>
      </c>
      <c r="E1622" s="2">
        <v>2012</v>
      </c>
      <c r="F1622" s="2" t="s">
        <v>876</v>
      </c>
      <c r="G1622" s="2" t="s">
        <v>5</v>
      </c>
      <c r="H1622" s="2" t="s">
        <v>2331</v>
      </c>
      <c r="I1622" s="2" t="s">
        <v>2288</v>
      </c>
      <c r="J1622" s="2" t="s">
        <v>8</v>
      </c>
      <c r="K1622" s="2" t="s">
        <v>1010</v>
      </c>
      <c r="L1622" s="2" t="s">
        <v>7</v>
      </c>
      <c r="M1622" s="2">
        <v>121</v>
      </c>
      <c r="N1622" s="2" t="s">
        <v>9</v>
      </c>
      <c r="T1622" s="2" t="s">
        <v>16963</v>
      </c>
      <c r="X1622" s="67" t="s">
        <v>4722</v>
      </c>
    </row>
    <row r="1623" spans="1:25" hidden="1">
      <c r="A1623" s="3" t="s">
        <v>3323</v>
      </c>
      <c r="B1623" s="2" t="s">
        <v>2153</v>
      </c>
      <c r="C1623" s="2" t="s">
        <v>2746</v>
      </c>
      <c r="D1623" s="66" t="str">
        <f>VLOOKUP("*"&amp;A1623&amp;"*",[2]Sheet1!$G$2:$X$1155,18,FALSE)</f>
        <v>ERR10549642</v>
      </c>
      <c r="E1623" s="2">
        <v>2012</v>
      </c>
      <c r="F1623" s="2" t="s">
        <v>876</v>
      </c>
      <c r="G1623" s="2" t="s">
        <v>5</v>
      </c>
      <c r="H1623" s="2" t="s">
        <v>2331</v>
      </c>
      <c r="I1623" s="2" t="s">
        <v>2288</v>
      </c>
      <c r="J1623" s="2" t="s">
        <v>102</v>
      </c>
      <c r="K1623" s="2" t="s">
        <v>4683</v>
      </c>
      <c r="L1623" s="2" t="s">
        <v>101</v>
      </c>
      <c r="M1623" s="2">
        <v>752</v>
      </c>
      <c r="N1623" s="2" t="s">
        <v>9</v>
      </c>
      <c r="O1623" s="2">
        <f>VLOOKUP(B1623,[1]Sheet1!$B$624:$E$1665,4,FALSE)</f>
        <v>0.4</v>
      </c>
      <c r="P1623" s="2" t="s">
        <v>16964</v>
      </c>
      <c r="T1623" s="2" t="s">
        <v>16964</v>
      </c>
    </row>
    <row r="1624" spans="1:25" hidden="1">
      <c r="A1624" s="3" t="s">
        <v>3322</v>
      </c>
      <c r="B1624" s="2" t="s">
        <v>2152</v>
      </c>
      <c r="C1624" s="2" t="s">
        <v>2747</v>
      </c>
      <c r="D1624" s="66" t="str">
        <f>VLOOKUP("*"&amp;A1624&amp;"*",[2]Sheet1!$G$2:$X$1155,18,FALSE)</f>
        <v>ERR10549635</v>
      </c>
      <c r="E1624" s="2">
        <v>2012</v>
      </c>
      <c r="F1624" s="2" t="s">
        <v>876</v>
      </c>
      <c r="G1624" s="2" t="s">
        <v>5</v>
      </c>
      <c r="H1624" s="2" t="s">
        <v>2331</v>
      </c>
      <c r="I1624" s="2" t="s">
        <v>2288</v>
      </c>
      <c r="J1624" s="2" t="s">
        <v>102</v>
      </c>
      <c r="K1624" s="2" t="s">
        <v>4683</v>
      </c>
      <c r="L1624" s="2" t="s">
        <v>101</v>
      </c>
      <c r="M1624" s="2">
        <v>7</v>
      </c>
      <c r="N1624" s="2" t="s">
        <v>9</v>
      </c>
      <c r="O1624" s="2">
        <f>VLOOKUP(B1624,[1]Sheet1!$B$624:$E$1665,4,FALSE)</f>
        <v>0.4</v>
      </c>
      <c r="P1624" s="2" t="s">
        <v>16964</v>
      </c>
      <c r="T1624" s="2" t="s">
        <v>16964</v>
      </c>
    </row>
    <row r="1625" spans="1:25" hidden="1">
      <c r="A1625" s="3" t="s">
        <v>3923</v>
      </c>
      <c r="B1625" s="2" t="s">
        <v>2151</v>
      </c>
      <c r="C1625" s="2" t="s">
        <v>2749</v>
      </c>
      <c r="D1625" s="66" t="str">
        <f>VLOOKUP("*"&amp;A1625&amp;"*",[2]Sheet1!$G$2:$X$1155,18,FALSE)</f>
        <v>ERR10549581</v>
      </c>
      <c r="E1625" s="2">
        <v>2012</v>
      </c>
      <c r="F1625" s="2" t="s">
        <v>876</v>
      </c>
      <c r="G1625" s="2" t="s">
        <v>2295</v>
      </c>
      <c r="H1625" s="2" t="s">
        <v>2313</v>
      </c>
      <c r="I1625" s="2" t="s">
        <v>2288</v>
      </c>
      <c r="J1625" s="2" t="s">
        <v>579</v>
      </c>
      <c r="K1625" s="2" t="s">
        <v>4687</v>
      </c>
      <c r="L1625" s="2" t="s">
        <v>578</v>
      </c>
      <c r="M1625" s="2">
        <v>230</v>
      </c>
      <c r="N1625" s="2" t="s">
        <v>9</v>
      </c>
      <c r="O1625" s="2">
        <f>VLOOKUP(B1625,[1]Sheet1!$B$624:$E$1665,4,FALSE)</f>
        <v>0.4</v>
      </c>
      <c r="P1625" s="2" t="s">
        <v>16964</v>
      </c>
      <c r="T1625" s="2" t="s">
        <v>16964</v>
      </c>
    </row>
    <row r="1626" spans="1:25" hidden="1">
      <c r="A1626" s="3" t="s">
        <v>3924</v>
      </c>
      <c r="B1626" s="2" t="s">
        <v>2150</v>
      </c>
      <c r="C1626" s="2" t="s">
        <v>2750</v>
      </c>
      <c r="D1626" s="66" t="str">
        <f>VLOOKUP("*"&amp;A1626&amp;"*",[2]Sheet1!$G$2:$X$1155,18,FALSE)</f>
        <v>ERR10549583</v>
      </c>
      <c r="E1626" s="2">
        <v>2012</v>
      </c>
      <c r="F1626" s="2" t="s">
        <v>876</v>
      </c>
      <c r="G1626" s="2" t="s">
        <v>5</v>
      </c>
      <c r="H1626" s="2" t="s">
        <v>2334</v>
      </c>
      <c r="I1626" s="2" t="s">
        <v>2288</v>
      </c>
      <c r="J1626" s="2" t="s">
        <v>579</v>
      </c>
      <c r="K1626" s="2" t="s">
        <v>4687</v>
      </c>
      <c r="L1626" s="2" t="s">
        <v>578</v>
      </c>
      <c r="M1626" s="2">
        <v>230</v>
      </c>
      <c r="N1626" s="2" t="s">
        <v>9</v>
      </c>
      <c r="O1626" s="2">
        <f>VLOOKUP(B1626,[1]Sheet1!$B$624:$E$1665,4,FALSE)</f>
        <v>0.4</v>
      </c>
      <c r="P1626" s="2" t="s">
        <v>16964</v>
      </c>
      <c r="T1626" s="2" t="s">
        <v>16964</v>
      </c>
    </row>
    <row r="1627" spans="1:25" hidden="1">
      <c r="A1627" s="3" t="s">
        <v>3940</v>
      </c>
      <c r="B1627" s="2" t="s">
        <v>2149</v>
      </c>
      <c r="C1627" s="2" t="s">
        <v>2752</v>
      </c>
      <c r="D1627" s="66" t="str">
        <f>VLOOKUP("*"&amp;A1627&amp;"*",[2]Sheet1!$G$2:$X$1155,18,FALSE)</f>
        <v>ERR10549638</v>
      </c>
      <c r="E1627" s="2">
        <v>2012</v>
      </c>
      <c r="F1627" s="2" t="s">
        <v>876</v>
      </c>
      <c r="G1627" s="2" t="s">
        <v>5</v>
      </c>
      <c r="H1627" s="2" t="s">
        <v>2331</v>
      </c>
      <c r="I1627" s="2" t="s">
        <v>2288</v>
      </c>
      <c r="J1627" s="2" t="s">
        <v>40</v>
      </c>
      <c r="K1627" s="2" t="s">
        <v>4688</v>
      </c>
      <c r="L1627" s="2" t="s">
        <v>39</v>
      </c>
      <c r="M1627" s="2">
        <v>37</v>
      </c>
      <c r="N1627" s="2" t="s">
        <v>9</v>
      </c>
      <c r="O1627" s="2">
        <f>VLOOKUP(B1627,[1]Sheet1!$B$624:$E$1665,4,FALSE)</f>
        <v>0.4</v>
      </c>
      <c r="P1627" s="2" t="s">
        <v>16964</v>
      </c>
      <c r="T1627" s="2" t="s">
        <v>16964</v>
      </c>
    </row>
    <row r="1628" spans="1:25" hidden="1">
      <c r="A1628" s="3" t="s">
        <v>3467</v>
      </c>
      <c r="B1628" s="2" t="s">
        <v>2148</v>
      </c>
      <c r="C1628" s="2" t="s">
        <v>2754</v>
      </c>
      <c r="D1628" s="66" t="str">
        <f>VLOOKUP("*"&amp;A1628&amp;"*",[2]Sheet1!$G$2:$X$1155,18,FALSE)</f>
        <v>ERR10549634</v>
      </c>
      <c r="E1628" s="2">
        <v>2012</v>
      </c>
      <c r="F1628" s="2" t="s">
        <v>876</v>
      </c>
      <c r="G1628" s="2" t="s">
        <v>2295</v>
      </c>
      <c r="H1628" s="2" t="s">
        <v>2313</v>
      </c>
      <c r="I1628" s="2" t="s">
        <v>2288</v>
      </c>
      <c r="J1628" s="2" t="s">
        <v>150</v>
      </c>
      <c r="K1628" s="2" t="s">
        <v>4567</v>
      </c>
      <c r="L1628" s="2" t="s">
        <v>149</v>
      </c>
      <c r="M1628" s="2">
        <v>403</v>
      </c>
      <c r="N1628" s="2" t="s">
        <v>9</v>
      </c>
      <c r="O1628" s="2">
        <f>VLOOKUP(B1628,[1]Sheet1!$B$624:$E$1665,4,FALSE)</f>
        <v>1.6</v>
      </c>
      <c r="P1628" s="2" t="s">
        <v>16963</v>
      </c>
      <c r="T1628" s="2" t="s">
        <v>16963</v>
      </c>
      <c r="Y1628" s="67" t="s">
        <v>2627</v>
      </c>
    </row>
    <row r="1629" spans="1:25" hidden="1">
      <c r="A1629" s="3" t="s">
        <v>4360</v>
      </c>
      <c r="B1629" s="2" t="s">
        <v>2147</v>
      </c>
      <c r="C1629" s="2" t="s">
        <v>2715</v>
      </c>
      <c r="D1629" s="66" t="str">
        <f>VLOOKUP("*"&amp;A1629&amp;"*",[2]Sheet1!$G$2:$X$1155,18,FALSE)</f>
        <v>ERR10549648</v>
      </c>
      <c r="E1629" s="2">
        <v>2011</v>
      </c>
      <c r="F1629" s="2" t="s">
        <v>876</v>
      </c>
      <c r="G1629" s="2" t="s">
        <v>5</v>
      </c>
      <c r="H1629" s="2" t="s">
        <v>2331</v>
      </c>
      <c r="I1629" s="2" t="s">
        <v>2288</v>
      </c>
      <c r="J1629" s="2" t="s">
        <v>56</v>
      </c>
      <c r="K1629" s="2" t="s">
        <v>4696</v>
      </c>
      <c r="L1629" s="2" t="s">
        <v>55</v>
      </c>
      <c r="M1629" s="2">
        <v>451</v>
      </c>
      <c r="N1629" s="2" t="s">
        <v>9</v>
      </c>
      <c r="O1629" s="2">
        <f>VLOOKUP(B1629,[1]Sheet1!$B$624:$E$1665,4,FALSE)</f>
        <v>0.2</v>
      </c>
      <c r="P1629" s="2" t="s">
        <v>16964</v>
      </c>
      <c r="T1629" s="2" t="s">
        <v>16964</v>
      </c>
    </row>
    <row r="1630" spans="1:25" hidden="1">
      <c r="A1630" s="3" t="s">
        <v>3145</v>
      </c>
      <c r="B1630" s="2" t="s">
        <v>2146</v>
      </c>
      <c r="C1630" s="2" t="s">
        <v>2758</v>
      </c>
      <c r="D1630" s="66" t="str">
        <f>VLOOKUP("*"&amp;A1630&amp;"*",[2]Sheet1!$G$2:$X$1155,18,FALSE)</f>
        <v>ERR10549584</v>
      </c>
      <c r="E1630" s="2">
        <v>2012</v>
      </c>
      <c r="F1630" s="2" t="s">
        <v>876</v>
      </c>
      <c r="G1630" s="2" t="s">
        <v>5</v>
      </c>
      <c r="H1630" s="2" t="s">
        <v>2331</v>
      </c>
      <c r="I1630" s="2" t="s">
        <v>2288</v>
      </c>
      <c r="J1630" s="2" t="s">
        <v>8</v>
      </c>
      <c r="K1630" s="2" t="s">
        <v>4697</v>
      </c>
      <c r="L1630" s="2" t="s">
        <v>7</v>
      </c>
      <c r="M1630" s="2">
        <v>121</v>
      </c>
      <c r="N1630" s="2" t="s">
        <v>9</v>
      </c>
      <c r="O1630" s="2">
        <f>VLOOKUP(B1630,[1]Sheet1!$B$624:$E$1665,4,FALSE)</f>
        <v>0.8</v>
      </c>
      <c r="P1630" s="2" t="s">
        <v>16963</v>
      </c>
      <c r="T1630" s="2" t="s">
        <v>16963</v>
      </c>
      <c r="X1630" s="67" t="s">
        <v>4722</v>
      </c>
    </row>
    <row r="1631" spans="1:25" hidden="1">
      <c r="A1631" s="3" t="s">
        <v>3373</v>
      </c>
      <c r="B1631" s="2" t="s">
        <v>2145</v>
      </c>
      <c r="C1631" s="2" t="s">
        <v>2760</v>
      </c>
      <c r="D1631" s="66" t="str">
        <f>VLOOKUP("*"&amp;A1631&amp;"*",[2]Sheet1!$G$2:$X$1155,18,FALSE)</f>
        <v>ERR10549649</v>
      </c>
      <c r="E1631" s="2">
        <v>2012</v>
      </c>
      <c r="F1631" s="2" t="s">
        <v>876</v>
      </c>
      <c r="G1631" s="2" t="s">
        <v>5</v>
      </c>
      <c r="H1631" s="2" t="s">
        <v>4769</v>
      </c>
      <c r="I1631" s="2" t="s">
        <v>2288</v>
      </c>
      <c r="J1631" s="2" t="s">
        <v>8</v>
      </c>
      <c r="K1631" s="2" t="s">
        <v>4568</v>
      </c>
      <c r="L1631" s="2" t="s">
        <v>7</v>
      </c>
      <c r="M1631" s="2">
        <v>121</v>
      </c>
      <c r="N1631" s="2" t="s">
        <v>9</v>
      </c>
      <c r="O1631" s="2">
        <v>0.8</v>
      </c>
      <c r="P1631" s="2" t="s">
        <v>16963</v>
      </c>
      <c r="T1631" s="2" t="s">
        <v>16963</v>
      </c>
      <c r="U1631" s="67"/>
      <c r="X1631" s="67" t="s">
        <v>4722</v>
      </c>
    </row>
    <row r="1632" spans="1:25" hidden="1">
      <c r="A1632" s="3" t="s">
        <v>2801</v>
      </c>
      <c r="B1632" s="2" t="s">
        <v>4780</v>
      </c>
      <c r="C1632" s="2" t="s">
        <v>2761</v>
      </c>
      <c r="D1632" s="66" t="str">
        <f>VLOOKUP("*"&amp;A1632&amp;"*",[2]Sheet1!$G$2:$X$1155,18,FALSE)</f>
        <v>ERR10549672</v>
      </c>
      <c r="E1632" s="2">
        <v>2012</v>
      </c>
      <c r="F1632" s="2" t="s">
        <v>876</v>
      </c>
      <c r="G1632" s="2" t="s">
        <v>5</v>
      </c>
      <c r="H1632" s="2" t="s">
        <v>2331</v>
      </c>
      <c r="I1632" s="2" t="s">
        <v>2288</v>
      </c>
      <c r="J1632" s="2" t="s">
        <v>415</v>
      </c>
      <c r="K1632" s="2" t="s">
        <v>700</v>
      </c>
      <c r="L1632" s="2" t="s">
        <v>414</v>
      </c>
      <c r="M1632" s="2">
        <v>204</v>
      </c>
      <c r="N1632" s="2" t="s">
        <v>9</v>
      </c>
      <c r="O1632" s="2">
        <v>0.2</v>
      </c>
      <c r="P1632" s="2" t="s">
        <v>16964</v>
      </c>
      <c r="T1632" s="2" t="s">
        <v>16964</v>
      </c>
    </row>
    <row r="1633" spans="1:24" hidden="1">
      <c r="A1633" s="3" t="s">
        <v>4227</v>
      </c>
      <c r="B1633" s="2" t="s">
        <v>2144</v>
      </c>
      <c r="C1633" s="2" t="s">
        <v>2767</v>
      </c>
      <c r="D1633" s="66" t="str">
        <f>VLOOKUP("*"&amp;A1633&amp;"*",[2]Sheet1!$G$2:$X$1155,18,FALSE)</f>
        <v>ERR10549710</v>
      </c>
      <c r="E1633" s="2">
        <v>2013</v>
      </c>
      <c r="F1633" s="2" t="s">
        <v>876</v>
      </c>
      <c r="G1633" s="2" t="s">
        <v>5</v>
      </c>
      <c r="H1633" s="2" t="s">
        <v>2331</v>
      </c>
      <c r="I1633" s="2" t="s">
        <v>2288</v>
      </c>
      <c r="J1633" s="2" t="s">
        <v>638</v>
      </c>
      <c r="K1633" s="2" t="s">
        <v>4698</v>
      </c>
      <c r="L1633" s="2" t="s">
        <v>23</v>
      </c>
      <c r="M1633" s="2">
        <v>91</v>
      </c>
      <c r="N1633" s="2" t="s">
        <v>9</v>
      </c>
      <c r="O1633" s="2">
        <f>VLOOKUP(B1633,[1]Sheet1!$B$624:$E$1665,4,FALSE)</f>
        <v>0.2</v>
      </c>
      <c r="P1633" s="2" t="s">
        <v>16964</v>
      </c>
      <c r="T1633" s="2" t="s">
        <v>16964</v>
      </c>
    </row>
    <row r="1634" spans="1:24" hidden="1">
      <c r="A1634" s="3" t="s">
        <v>3887</v>
      </c>
      <c r="B1634" s="2" t="s">
        <v>2143</v>
      </c>
      <c r="C1634" s="2" t="s">
        <v>2768</v>
      </c>
      <c r="D1634" s="66" t="str">
        <f>VLOOKUP("*"&amp;A1634&amp;"*",[2]Sheet1!$G$2:$X$1155,18,FALSE)</f>
        <v>ERR10549655</v>
      </c>
      <c r="E1634" s="2">
        <v>2013</v>
      </c>
      <c r="F1634" s="2" t="s">
        <v>876</v>
      </c>
      <c r="G1634" s="2" t="s">
        <v>5</v>
      </c>
      <c r="H1634" s="2" t="s">
        <v>2331</v>
      </c>
      <c r="I1634" s="2" t="s">
        <v>2288</v>
      </c>
      <c r="J1634" s="2" t="s">
        <v>535</v>
      </c>
      <c r="K1634" s="2" t="s">
        <v>4699</v>
      </c>
      <c r="L1634" s="2" t="s">
        <v>534</v>
      </c>
      <c r="M1634" s="2">
        <v>415</v>
      </c>
      <c r="N1634" s="2" t="s">
        <v>9</v>
      </c>
      <c r="O1634" s="2">
        <f>VLOOKUP(B1634,[1]Sheet1!$B$624:$E$1665,4,FALSE)</f>
        <v>0.2</v>
      </c>
      <c r="P1634" s="2" t="s">
        <v>16964</v>
      </c>
      <c r="T1634" s="2" t="s">
        <v>16964</v>
      </c>
    </row>
    <row r="1635" spans="1:24" hidden="1">
      <c r="A1635" s="3" t="s">
        <v>3564</v>
      </c>
      <c r="B1635" s="2" t="s">
        <v>2142</v>
      </c>
      <c r="C1635" s="2" t="s">
        <v>2769</v>
      </c>
      <c r="D1635" s="66" t="str">
        <f>VLOOKUP("*"&amp;A1635&amp;"*",[2]Sheet1!$G$2:$X$1155,18,FALSE)</f>
        <v>ERR10549656</v>
      </c>
      <c r="E1635" s="2">
        <v>2013</v>
      </c>
      <c r="F1635" s="2" t="s">
        <v>876</v>
      </c>
      <c r="G1635" s="2" t="s">
        <v>5</v>
      </c>
      <c r="H1635" s="2" t="s">
        <v>2331</v>
      </c>
      <c r="I1635" s="2" t="s">
        <v>2288</v>
      </c>
      <c r="J1635" s="2" t="s">
        <v>8</v>
      </c>
      <c r="K1635" s="2" t="s">
        <v>1062</v>
      </c>
      <c r="L1635" s="2" t="s">
        <v>7</v>
      </c>
      <c r="M1635" s="2">
        <v>28</v>
      </c>
      <c r="N1635" s="2" t="s">
        <v>9</v>
      </c>
      <c r="O1635" s="2">
        <f>VLOOKUP(B1635,[1]Sheet1!$B$624:$E$1665,4,FALSE)</f>
        <v>0.8</v>
      </c>
      <c r="P1635" s="2" t="s">
        <v>16963</v>
      </c>
      <c r="T1635" s="2" t="s">
        <v>16963</v>
      </c>
      <c r="X1635" s="67" t="s">
        <v>4722</v>
      </c>
    </row>
    <row r="1636" spans="1:24" hidden="1">
      <c r="A1636" s="3" t="s">
        <v>3149</v>
      </c>
      <c r="B1636" s="2" t="s">
        <v>2141</v>
      </c>
      <c r="C1636" s="2" t="s">
        <v>2770</v>
      </c>
      <c r="D1636" s="66" t="str">
        <f>VLOOKUP("*"&amp;A1636&amp;"*",[2]Sheet1!$G$2:$X$1155,18,FALSE)</f>
        <v>ERR10549721</v>
      </c>
      <c r="E1636" s="2">
        <v>2013</v>
      </c>
      <c r="F1636" s="2" t="s">
        <v>876</v>
      </c>
      <c r="G1636" s="2" t="s">
        <v>5</v>
      </c>
      <c r="H1636" s="2" t="s">
        <v>2331</v>
      </c>
      <c r="I1636" s="2" t="s">
        <v>2288</v>
      </c>
      <c r="J1636" s="2" t="s">
        <v>8</v>
      </c>
      <c r="K1636" s="2" t="s">
        <v>1010</v>
      </c>
      <c r="L1636" s="2" t="s">
        <v>7</v>
      </c>
      <c r="M1636" s="2">
        <v>121</v>
      </c>
      <c r="N1636" s="2" t="s">
        <v>9</v>
      </c>
      <c r="O1636" s="2">
        <f>VLOOKUP(B1636,[1]Sheet1!$B$624:$E$1665,4,FALSE)</f>
        <v>0.8</v>
      </c>
      <c r="P1636" s="2" t="s">
        <v>16963</v>
      </c>
      <c r="T1636" s="2" t="s">
        <v>16963</v>
      </c>
      <c r="X1636" s="67" t="s">
        <v>4722</v>
      </c>
    </row>
    <row r="1637" spans="1:24" hidden="1">
      <c r="A1637" s="3" t="s">
        <v>4362</v>
      </c>
      <c r="B1637" s="2" t="s">
        <v>2140</v>
      </c>
      <c r="C1637" s="2" t="s">
        <v>2771</v>
      </c>
      <c r="D1637" s="66" t="str">
        <f>VLOOKUP("*"&amp;A1637&amp;"*",[2]Sheet1!$G$2:$X$1155,18,FALSE)</f>
        <v>ERR10549717</v>
      </c>
      <c r="E1637" s="2">
        <v>2013</v>
      </c>
      <c r="F1637" s="2" t="s">
        <v>876</v>
      </c>
      <c r="G1637" s="2" t="s">
        <v>5</v>
      </c>
      <c r="H1637" s="2" t="s">
        <v>2331</v>
      </c>
      <c r="I1637" s="2" t="s">
        <v>2288</v>
      </c>
      <c r="J1637" s="2" t="s">
        <v>4639</v>
      </c>
      <c r="K1637" s="2" t="s">
        <v>4700</v>
      </c>
      <c r="L1637" s="2" t="s">
        <v>2336</v>
      </c>
      <c r="M1637" s="2">
        <v>36</v>
      </c>
      <c r="N1637" s="2" t="s">
        <v>9</v>
      </c>
      <c r="O1637" s="2">
        <f>VLOOKUP(B1637,[1]Sheet1!$B$624:$E$1665,4,FALSE)</f>
        <v>0.2</v>
      </c>
      <c r="P1637" s="2" t="s">
        <v>16964</v>
      </c>
      <c r="T1637" s="2" t="s">
        <v>16964</v>
      </c>
    </row>
    <row r="1638" spans="1:24" hidden="1">
      <c r="A1638" s="3" t="s">
        <v>3041</v>
      </c>
      <c r="B1638" s="2" t="s">
        <v>2139</v>
      </c>
      <c r="C1638" s="2" t="s">
        <v>2716</v>
      </c>
      <c r="D1638" s="66" t="str">
        <f>VLOOKUP("*"&amp;A1638&amp;"*",[2]Sheet1!$G$2:$X$1155,18,FALSE)</f>
        <v>ERR10549589</v>
      </c>
      <c r="E1638" s="2">
        <v>2011</v>
      </c>
      <c r="F1638" s="2" t="s">
        <v>876</v>
      </c>
      <c r="G1638" s="2" t="s">
        <v>2295</v>
      </c>
      <c r="H1638" s="2" t="s">
        <v>2313</v>
      </c>
      <c r="I1638" s="2" t="s">
        <v>2288</v>
      </c>
      <c r="J1638" s="2" t="s">
        <v>8</v>
      </c>
      <c r="K1638" s="2" t="s">
        <v>4701</v>
      </c>
      <c r="L1638" s="2" t="s">
        <v>7</v>
      </c>
      <c r="M1638" s="2">
        <v>121</v>
      </c>
      <c r="N1638" s="2" t="s">
        <v>9</v>
      </c>
      <c r="O1638" s="2">
        <f>VLOOKUP(B1638,[1]Sheet1!$B$624:$E$1665,4,FALSE)</f>
        <v>0.8</v>
      </c>
      <c r="P1638" s="2" t="s">
        <v>16963</v>
      </c>
      <c r="T1638" s="2" t="s">
        <v>16963</v>
      </c>
      <c r="X1638" s="67" t="s">
        <v>4722</v>
      </c>
    </row>
    <row r="1639" spans="1:24" hidden="1">
      <c r="A1639" s="3" t="s">
        <v>3079</v>
      </c>
      <c r="B1639" s="2" t="s">
        <v>2138</v>
      </c>
      <c r="C1639" s="2" t="s">
        <v>2724</v>
      </c>
      <c r="D1639" s="66" t="str">
        <f>VLOOKUP("*"&amp;A1639&amp;"*",[2]Sheet1!$G$2:$X$1155,18,FALSE)</f>
        <v>ERR10549560</v>
      </c>
      <c r="E1639" s="2">
        <v>2011</v>
      </c>
      <c r="F1639" s="2" t="s">
        <v>876</v>
      </c>
      <c r="G1639" s="2" t="s">
        <v>27</v>
      </c>
      <c r="H1639" s="2" t="s">
        <v>2335</v>
      </c>
      <c r="I1639" s="2" t="s">
        <v>2288</v>
      </c>
      <c r="J1639" s="2" t="s">
        <v>150</v>
      </c>
      <c r="K1639" s="2" t="s">
        <v>4567</v>
      </c>
      <c r="L1639" s="2" t="s">
        <v>149</v>
      </c>
      <c r="M1639" s="2">
        <v>403</v>
      </c>
      <c r="N1639" s="2" t="s">
        <v>9</v>
      </c>
      <c r="O1639" s="2">
        <f>VLOOKUP(B1639,[1]Sheet1!$B$624:$E$1665,4,FALSE)</f>
        <v>0.8</v>
      </c>
      <c r="P1639" s="2" t="s">
        <v>16963</v>
      </c>
      <c r="T1639" s="2" t="s">
        <v>16963</v>
      </c>
      <c r="V1639" s="67" t="s">
        <v>2627</v>
      </c>
    </row>
    <row r="1640" spans="1:24" hidden="1">
      <c r="A1640" s="3" t="s">
        <v>2797</v>
      </c>
      <c r="B1640" s="2" t="s">
        <v>2137</v>
      </c>
      <c r="C1640" s="2" t="s">
        <v>2718</v>
      </c>
      <c r="D1640" s="66" t="str">
        <f>VLOOKUP("*"&amp;A1640&amp;"*",[2]Sheet1!$G$2:$X$1155,18,FALSE)</f>
        <v>ERR10549562</v>
      </c>
      <c r="E1640" s="2">
        <v>2011</v>
      </c>
      <c r="F1640" s="2" t="s">
        <v>876</v>
      </c>
      <c r="G1640" s="2" t="s">
        <v>2295</v>
      </c>
      <c r="H1640" s="2" t="s">
        <v>2313</v>
      </c>
      <c r="I1640" s="2" t="s">
        <v>2288</v>
      </c>
      <c r="J1640" s="2" t="s">
        <v>415</v>
      </c>
      <c r="K1640" s="2" t="s">
        <v>700</v>
      </c>
      <c r="L1640" s="2" t="s">
        <v>414</v>
      </c>
      <c r="M1640" s="2">
        <v>204</v>
      </c>
      <c r="N1640" s="2" t="s">
        <v>9</v>
      </c>
      <c r="O1640" s="2">
        <f>VLOOKUP(B1640,[1]Sheet1!$B$624:$E$1665,4,FALSE)</f>
        <v>0.8</v>
      </c>
      <c r="P1640" s="2" t="s">
        <v>16963</v>
      </c>
      <c r="T1640" s="2" t="s">
        <v>16963</v>
      </c>
      <c r="U1640" s="67" t="s">
        <v>2627</v>
      </c>
    </row>
    <row r="1641" spans="1:24" hidden="1">
      <c r="A1641" s="3" t="s">
        <v>3168</v>
      </c>
      <c r="B1641" s="2" t="s">
        <v>2136</v>
      </c>
      <c r="C1641" s="2" t="s">
        <v>2748</v>
      </c>
      <c r="D1641" s="66" t="str">
        <f>VLOOKUP("*"&amp;A1641&amp;"*",[2]Sheet1!$G$2:$X$1155,18,FALSE)</f>
        <v>ERR10549643</v>
      </c>
      <c r="E1641" s="2">
        <v>2012</v>
      </c>
      <c r="F1641" s="2" t="s">
        <v>876</v>
      </c>
      <c r="G1641" s="2" t="s">
        <v>27</v>
      </c>
      <c r="H1641" s="2" t="s">
        <v>2335</v>
      </c>
      <c r="I1641" s="2" t="s">
        <v>2288</v>
      </c>
      <c r="J1641" s="2" t="s">
        <v>150</v>
      </c>
      <c r="K1641" s="2" t="s">
        <v>4567</v>
      </c>
      <c r="L1641" s="2" t="s">
        <v>149</v>
      </c>
      <c r="M1641" s="2">
        <v>403</v>
      </c>
      <c r="N1641" s="2" t="s">
        <v>9</v>
      </c>
      <c r="O1641" s="2">
        <f>VLOOKUP(B1641,[1]Sheet1!$B$624:$E$1665,4,FALSE)</f>
        <v>1.6</v>
      </c>
      <c r="P1641" s="2" t="s">
        <v>16963</v>
      </c>
      <c r="T1641" s="2" t="s">
        <v>16963</v>
      </c>
      <c r="V1641" s="67" t="s">
        <v>2627</v>
      </c>
    </row>
    <row r="1642" spans="1:24" hidden="1">
      <c r="A1642" s="3" t="s">
        <v>3496</v>
      </c>
      <c r="B1642" s="2" t="s">
        <v>2135</v>
      </c>
      <c r="C1642" s="2" t="s">
        <v>2757</v>
      </c>
      <c r="D1642" s="66" t="str">
        <f>VLOOKUP("*"&amp;A1642&amp;"*",[2]Sheet1!$G$2:$X$1155,18,FALSE)</f>
        <v>ERR10549650</v>
      </c>
      <c r="E1642" s="2">
        <v>2012</v>
      </c>
      <c r="F1642" s="2" t="s">
        <v>876</v>
      </c>
      <c r="G1642" s="2" t="s">
        <v>27</v>
      </c>
      <c r="H1642" s="2" t="s">
        <v>2335</v>
      </c>
      <c r="I1642" s="2" t="s">
        <v>2288</v>
      </c>
      <c r="J1642" s="2" t="s">
        <v>29</v>
      </c>
      <c r="K1642" s="2" t="s">
        <v>66</v>
      </c>
      <c r="L1642" s="2" t="s">
        <v>28</v>
      </c>
      <c r="M1642" s="2">
        <v>8</v>
      </c>
      <c r="N1642" s="2" t="s">
        <v>9</v>
      </c>
      <c r="O1642" s="2">
        <f>VLOOKUP(B1642,[1]Sheet1!$B$624:$E$1665,4,FALSE)</f>
        <v>0.8</v>
      </c>
      <c r="P1642" s="2" t="s">
        <v>16963</v>
      </c>
      <c r="T1642" s="2" t="s">
        <v>16963</v>
      </c>
      <c r="V1642" s="67" t="s">
        <v>2627</v>
      </c>
    </row>
    <row r="1643" spans="1:24" hidden="1">
      <c r="A1643" s="3" t="s">
        <v>3206</v>
      </c>
      <c r="B1643" s="2" t="s">
        <v>2026</v>
      </c>
      <c r="D1643" s="66" t="s">
        <v>17330</v>
      </c>
      <c r="E1643" s="2">
        <v>1983</v>
      </c>
      <c r="F1643" s="2" t="s">
        <v>2692</v>
      </c>
      <c r="G1643" s="2" t="s">
        <v>27</v>
      </c>
      <c r="H1643" s="2" t="s">
        <v>1725</v>
      </c>
      <c r="I1643" s="2" t="s">
        <v>10</v>
      </c>
      <c r="J1643" s="2" t="s">
        <v>17</v>
      </c>
      <c r="K1643" s="2" t="s">
        <v>1202</v>
      </c>
      <c r="L1643" s="2" t="s">
        <v>16</v>
      </c>
      <c r="M1643" s="2">
        <v>290</v>
      </c>
      <c r="N1643" s="2" t="s">
        <v>18</v>
      </c>
      <c r="T1643" s="2" t="s">
        <v>16964</v>
      </c>
    </row>
    <row r="1644" spans="1:24" hidden="1">
      <c r="A1644" s="3" t="s">
        <v>4208</v>
      </c>
      <c r="B1644" s="2" t="s">
        <v>2201</v>
      </c>
      <c r="D1644" s="66" t="s">
        <v>17356</v>
      </c>
      <c r="E1644" s="2">
        <v>2012</v>
      </c>
      <c r="F1644" s="2" t="s">
        <v>2773</v>
      </c>
      <c r="G1644" s="2" t="s">
        <v>5</v>
      </c>
      <c r="H1644" s="2" t="s">
        <v>2277</v>
      </c>
      <c r="I1644" s="2" t="s">
        <v>6</v>
      </c>
      <c r="J1644" s="2" t="s">
        <v>120</v>
      </c>
      <c r="K1644" s="2" t="s">
        <v>4529</v>
      </c>
      <c r="L1644" s="2" t="s">
        <v>119</v>
      </c>
      <c r="M1644" s="2">
        <v>155</v>
      </c>
      <c r="N1644" s="2" t="s">
        <v>9</v>
      </c>
      <c r="T1644" s="2" t="s">
        <v>16964</v>
      </c>
    </row>
    <row r="1645" spans="1:24" hidden="1">
      <c r="A1645" s="3" t="s">
        <v>4353</v>
      </c>
      <c r="B1645" s="2" t="s">
        <v>2202</v>
      </c>
      <c r="D1645" s="66" t="s">
        <v>17357</v>
      </c>
      <c r="E1645" s="2">
        <v>2012</v>
      </c>
      <c r="F1645" s="2" t="s">
        <v>2773</v>
      </c>
      <c r="G1645" s="2" t="s">
        <v>5</v>
      </c>
      <c r="H1645" s="2" t="s">
        <v>2278</v>
      </c>
      <c r="I1645" s="2" t="s">
        <v>6</v>
      </c>
      <c r="J1645" s="2" t="s">
        <v>120</v>
      </c>
      <c r="K1645" s="2" t="s">
        <v>4529</v>
      </c>
      <c r="L1645" s="2" t="s">
        <v>119</v>
      </c>
      <c r="M1645" s="2">
        <v>155</v>
      </c>
      <c r="N1645" s="2" t="s">
        <v>9</v>
      </c>
      <c r="T1645" s="2" t="s">
        <v>16964</v>
      </c>
    </row>
    <row r="1646" spans="1:24" hidden="1">
      <c r="A1646" s="3" t="s">
        <v>3984</v>
      </c>
      <c r="B1646" s="2" t="s">
        <v>2203</v>
      </c>
      <c r="D1646" s="66" t="s">
        <v>17358</v>
      </c>
      <c r="E1646" s="2">
        <v>2012</v>
      </c>
      <c r="F1646" s="2" t="s">
        <v>2773</v>
      </c>
      <c r="G1646" s="2" t="s">
        <v>5</v>
      </c>
      <c r="H1646" s="2" t="s">
        <v>2279</v>
      </c>
      <c r="I1646" s="2" t="s">
        <v>6</v>
      </c>
      <c r="J1646" s="2" t="s">
        <v>120</v>
      </c>
      <c r="K1646" s="2" t="s">
        <v>4529</v>
      </c>
      <c r="L1646" s="2" t="s">
        <v>119</v>
      </c>
      <c r="M1646" s="2">
        <v>155</v>
      </c>
      <c r="N1646" s="2" t="s">
        <v>9</v>
      </c>
      <c r="T1646" s="2" t="s">
        <v>16964</v>
      </c>
    </row>
    <row r="1647" spans="1:24" hidden="1">
      <c r="A1647" s="3" t="s">
        <v>4210</v>
      </c>
      <c r="B1647" s="2" t="s">
        <v>2200</v>
      </c>
      <c r="D1647" s="66" t="s">
        <v>17355</v>
      </c>
      <c r="E1647" s="2">
        <v>2013</v>
      </c>
      <c r="F1647" s="2" t="s">
        <v>2773</v>
      </c>
      <c r="G1647" s="2" t="s">
        <v>5</v>
      </c>
      <c r="H1647" s="2" t="s">
        <v>2276</v>
      </c>
      <c r="I1647" s="2" t="s">
        <v>6</v>
      </c>
      <c r="J1647" s="2" t="s">
        <v>120</v>
      </c>
      <c r="K1647" s="2" t="s">
        <v>4529</v>
      </c>
      <c r="L1647" s="2" t="s">
        <v>119</v>
      </c>
      <c r="M1647" s="2">
        <v>155</v>
      </c>
      <c r="N1647" s="2" t="s">
        <v>9</v>
      </c>
      <c r="T1647" s="2" t="s">
        <v>16964</v>
      </c>
    </row>
    <row r="1648" spans="1:24" hidden="1">
      <c r="A1648" s="3" t="s">
        <v>3809</v>
      </c>
      <c r="B1648" s="2" t="s">
        <v>1970</v>
      </c>
      <c r="D1648" s="66" t="s">
        <v>17184</v>
      </c>
      <c r="E1648" s="2">
        <v>2019</v>
      </c>
      <c r="F1648" s="2" t="s">
        <v>2198</v>
      </c>
      <c r="G1648" s="2" t="s">
        <v>2295</v>
      </c>
      <c r="H1648" s="2" t="s">
        <v>2339</v>
      </c>
      <c r="I1648" s="2" t="s">
        <v>10</v>
      </c>
      <c r="J1648" s="2" t="s">
        <v>35</v>
      </c>
      <c r="K1648" s="2" t="s">
        <v>4657</v>
      </c>
      <c r="L1648" s="2" t="s">
        <v>34</v>
      </c>
      <c r="M1648" s="2">
        <v>5</v>
      </c>
      <c r="N1648" s="2" t="s">
        <v>14</v>
      </c>
      <c r="T1648" s="2" t="s">
        <v>16963</v>
      </c>
      <c r="U1648" s="67" t="s">
        <v>2627</v>
      </c>
    </row>
    <row r="1649" spans="1:24" hidden="1">
      <c r="A1649" s="3" t="s">
        <v>3639</v>
      </c>
      <c r="B1649" s="2" t="s">
        <v>1971</v>
      </c>
      <c r="D1649" s="66" t="s">
        <v>17188</v>
      </c>
      <c r="E1649" s="2">
        <v>2020</v>
      </c>
      <c r="F1649" s="2" t="s">
        <v>2198</v>
      </c>
      <c r="G1649" s="2" t="s">
        <v>2295</v>
      </c>
      <c r="H1649" s="2" t="s">
        <v>2347</v>
      </c>
      <c r="I1649" s="2" t="s">
        <v>2288</v>
      </c>
      <c r="J1649" s="2" t="s">
        <v>8</v>
      </c>
      <c r="K1649" s="2" t="s">
        <v>4518</v>
      </c>
      <c r="L1649" s="2" t="s">
        <v>7</v>
      </c>
      <c r="M1649" s="2">
        <v>121</v>
      </c>
      <c r="N1649" s="2" t="s">
        <v>9</v>
      </c>
      <c r="T1649" s="2" t="s">
        <v>16963</v>
      </c>
      <c r="X1649" s="67" t="s">
        <v>4722</v>
      </c>
    </row>
    <row r="1650" spans="1:24" hidden="1">
      <c r="A1650" s="3" t="s">
        <v>3167</v>
      </c>
      <c r="B1650" s="2" t="s">
        <v>1972</v>
      </c>
      <c r="D1650" s="66" t="s">
        <v>7218</v>
      </c>
      <c r="E1650" s="2">
        <v>2020</v>
      </c>
      <c r="F1650" s="2" t="s">
        <v>2198</v>
      </c>
      <c r="G1650" s="2" t="s">
        <v>2295</v>
      </c>
      <c r="H1650" s="2" t="s">
        <v>2346</v>
      </c>
      <c r="I1650" s="2" t="s">
        <v>2288</v>
      </c>
      <c r="J1650" s="2" t="s">
        <v>402</v>
      </c>
      <c r="K1650" s="2" t="s">
        <v>4540</v>
      </c>
      <c r="L1650" s="2" t="s">
        <v>401</v>
      </c>
      <c r="M1650" s="2">
        <v>18</v>
      </c>
      <c r="N1650" s="2" t="s">
        <v>9</v>
      </c>
      <c r="T1650" s="2" t="s">
        <v>16963</v>
      </c>
      <c r="X1650" s="67" t="s">
        <v>4726</v>
      </c>
    </row>
    <row r="1651" spans="1:24" hidden="1">
      <c r="A1651" s="3" t="s">
        <v>3960</v>
      </c>
      <c r="B1651" s="2" t="s">
        <v>1973</v>
      </c>
      <c r="D1651" s="66" t="s">
        <v>17187</v>
      </c>
      <c r="E1651" s="2">
        <v>2020</v>
      </c>
      <c r="F1651" s="2" t="s">
        <v>2198</v>
      </c>
      <c r="G1651" s="2" t="s">
        <v>2295</v>
      </c>
      <c r="H1651" s="2" t="s">
        <v>2345</v>
      </c>
      <c r="I1651" s="2" t="s">
        <v>10</v>
      </c>
      <c r="J1651" s="2" t="s">
        <v>129</v>
      </c>
      <c r="K1651" s="2" t="s">
        <v>136</v>
      </c>
      <c r="L1651" s="2" t="s">
        <v>128</v>
      </c>
      <c r="M1651" s="2">
        <v>1</v>
      </c>
      <c r="N1651" s="2" t="s">
        <v>18</v>
      </c>
      <c r="T1651" s="2" t="s">
        <v>16964</v>
      </c>
    </row>
    <row r="1652" spans="1:24" hidden="1">
      <c r="A1652" s="3" t="s">
        <v>2890</v>
      </c>
      <c r="B1652" s="2" t="s">
        <v>1974</v>
      </c>
      <c r="D1652" s="66" t="s">
        <v>17186</v>
      </c>
      <c r="E1652" s="2">
        <v>2020</v>
      </c>
      <c r="F1652" s="2" t="s">
        <v>2198</v>
      </c>
      <c r="G1652" s="2" t="s">
        <v>2295</v>
      </c>
      <c r="H1652" s="2" t="s">
        <v>2344</v>
      </c>
      <c r="I1652" s="2" t="s">
        <v>2288</v>
      </c>
      <c r="J1652" s="2" t="s">
        <v>1575</v>
      </c>
      <c r="K1652" s="2" t="s">
        <v>4613</v>
      </c>
      <c r="L1652" s="2" t="s">
        <v>87</v>
      </c>
      <c r="M1652" s="2">
        <v>325</v>
      </c>
      <c r="N1652" s="2" t="s">
        <v>9</v>
      </c>
      <c r="T1652" s="2" t="s">
        <v>16963</v>
      </c>
      <c r="U1652" s="67" t="s">
        <v>2627</v>
      </c>
    </row>
    <row r="1653" spans="1:24" hidden="1">
      <c r="A1653" s="3" t="s">
        <v>3319</v>
      </c>
      <c r="B1653" s="2" t="s">
        <v>1975</v>
      </c>
      <c r="D1653" s="66" t="s">
        <v>7624</v>
      </c>
      <c r="E1653" s="2">
        <v>2020</v>
      </c>
      <c r="F1653" s="2" t="s">
        <v>2198</v>
      </c>
      <c r="G1653" s="2" t="s">
        <v>2295</v>
      </c>
      <c r="H1653" s="2" t="s">
        <v>2342</v>
      </c>
      <c r="I1653" s="2" t="s">
        <v>2288</v>
      </c>
      <c r="J1653" s="2" t="s">
        <v>146</v>
      </c>
      <c r="K1653" s="2" t="s">
        <v>4561</v>
      </c>
      <c r="L1653" s="2" t="s">
        <v>145</v>
      </c>
      <c r="M1653" s="2">
        <v>20</v>
      </c>
      <c r="N1653" s="2" t="s">
        <v>9</v>
      </c>
      <c r="T1653" s="2" t="s">
        <v>16963</v>
      </c>
      <c r="V1653" s="67" t="s">
        <v>2627</v>
      </c>
    </row>
    <row r="1654" spans="1:24" hidden="1">
      <c r="A1654" s="3" t="s">
        <v>2782</v>
      </c>
      <c r="B1654" s="2" t="s">
        <v>1976</v>
      </c>
      <c r="D1654" s="66" t="s">
        <v>7625</v>
      </c>
      <c r="E1654" s="2">
        <v>2020</v>
      </c>
      <c r="F1654" s="2" t="s">
        <v>2198</v>
      </c>
      <c r="G1654" s="2" t="s">
        <v>2295</v>
      </c>
      <c r="H1654" s="2" t="s">
        <v>2343</v>
      </c>
      <c r="I1654" s="2" t="s">
        <v>2288</v>
      </c>
      <c r="J1654" s="2" t="s">
        <v>415</v>
      </c>
      <c r="K1654" s="2" t="s">
        <v>4569</v>
      </c>
      <c r="L1654" s="2" t="s">
        <v>414</v>
      </c>
      <c r="M1654" s="2">
        <v>204</v>
      </c>
      <c r="N1654" s="2" t="s">
        <v>9</v>
      </c>
      <c r="T1654" s="2" t="s">
        <v>16963</v>
      </c>
      <c r="U1654" s="67" t="s">
        <v>2627</v>
      </c>
    </row>
    <row r="1655" spans="1:24" hidden="1">
      <c r="A1655" s="3" t="s">
        <v>4196</v>
      </c>
      <c r="B1655" s="2" t="s">
        <v>1977</v>
      </c>
      <c r="D1655" s="66" t="s">
        <v>8003</v>
      </c>
      <c r="E1655" s="2">
        <v>2020</v>
      </c>
      <c r="F1655" s="2" t="s">
        <v>2198</v>
      </c>
      <c r="G1655" s="2" t="s">
        <v>2295</v>
      </c>
      <c r="H1655" s="2" t="s">
        <v>2341</v>
      </c>
      <c r="I1655" s="2" t="s">
        <v>2288</v>
      </c>
      <c r="J1655" s="2" t="s">
        <v>20</v>
      </c>
      <c r="K1655" s="2" t="s">
        <v>4652</v>
      </c>
      <c r="L1655" s="2" t="s">
        <v>19</v>
      </c>
      <c r="M1655" s="2">
        <v>9</v>
      </c>
      <c r="N1655" s="2" t="s">
        <v>21</v>
      </c>
      <c r="T1655" s="2" t="s">
        <v>16963</v>
      </c>
      <c r="V1655" s="67" t="s">
        <v>2627</v>
      </c>
    </row>
    <row r="1656" spans="1:24" hidden="1">
      <c r="A1656" s="3" t="s">
        <v>3867</v>
      </c>
      <c r="B1656" s="2" t="s">
        <v>1978</v>
      </c>
      <c r="D1656" s="66" t="s">
        <v>17185</v>
      </c>
      <c r="E1656" s="2">
        <v>2020</v>
      </c>
      <c r="F1656" s="2" t="s">
        <v>2198</v>
      </c>
      <c r="G1656" s="2" t="s">
        <v>2295</v>
      </c>
      <c r="H1656" s="2" t="s">
        <v>2340</v>
      </c>
      <c r="I1656" s="2" t="s">
        <v>10</v>
      </c>
      <c r="J1656" s="2" t="s">
        <v>17</v>
      </c>
      <c r="K1656" s="2" t="s">
        <v>477</v>
      </c>
      <c r="L1656" s="2" t="s">
        <v>16</v>
      </c>
      <c r="M1656" s="2">
        <v>2</v>
      </c>
      <c r="N1656" s="2" t="s">
        <v>18</v>
      </c>
      <c r="T1656" s="2" t="s">
        <v>16964</v>
      </c>
    </row>
    <row r="1657" spans="1:24" hidden="1">
      <c r="A1657" s="3" t="s">
        <v>3256</v>
      </c>
      <c r="B1657" s="2" t="s">
        <v>1979</v>
      </c>
      <c r="D1657" s="66" t="s">
        <v>8360</v>
      </c>
      <c r="E1657" s="2">
        <v>2021</v>
      </c>
      <c r="F1657" s="2" t="s">
        <v>2198</v>
      </c>
      <c r="G1657" s="2" t="s">
        <v>2295</v>
      </c>
      <c r="H1657" s="2" t="s">
        <v>2338</v>
      </c>
      <c r="I1657" s="2" t="s">
        <v>10</v>
      </c>
      <c r="J1657" s="2" t="s">
        <v>59</v>
      </c>
      <c r="K1657" s="2" t="s">
        <v>68</v>
      </c>
      <c r="L1657" s="2" t="s">
        <v>58</v>
      </c>
      <c r="M1657" s="2">
        <v>6</v>
      </c>
      <c r="N1657" s="2" t="s">
        <v>18</v>
      </c>
      <c r="T1657" s="2" t="s">
        <v>16963</v>
      </c>
      <c r="V1657" s="67" t="s">
        <v>2627</v>
      </c>
    </row>
    <row r="1658" spans="1:24" hidden="1">
      <c r="A1658" s="3" t="s">
        <v>2858</v>
      </c>
      <c r="B1658" s="2" t="s">
        <v>2020</v>
      </c>
      <c r="D1658" s="66" t="s">
        <v>13149</v>
      </c>
      <c r="E1658" s="2">
        <v>2009</v>
      </c>
      <c r="F1658" s="2" t="s">
        <v>36</v>
      </c>
      <c r="G1658" s="2" t="s">
        <v>2295</v>
      </c>
      <c r="H1658" s="2" t="s">
        <v>2296</v>
      </c>
      <c r="I1658" s="2" t="s">
        <v>6</v>
      </c>
      <c r="J1658" s="2" t="s">
        <v>53</v>
      </c>
      <c r="K1658" s="2" t="s">
        <v>54</v>
      </c>
      <c r="L1658" s="2" t="s">
        <v>52</v>
      </c>
      <c r="M1658" s="2">
        <v>321</v>
      </c>
      <c r="N1658" s="2" t="s">
        <v>9</v>
      </c>
      <c r="Q1658" s="2">
        <v>0.63</v>
      </c>
      <c r="R1658" s="2" t="s">
        <v>16963</v>
      </c>
      <c r="T1658" s="2" t="s">
        <v>16963</v>
      </c>
      <c r="U1658" s="67" t="s">
        <v>2627</v>
      </c>
    </row>
    <row r="1659" spans="1:24" hidden="1">
      <c r="A1659" s="3" t="s">
        <v>3992</v>
      </c>
      <c r="B1659" s="2" t="s">
        <v>2021</v>
      </c>
      <c r="D1659" s="66" t="s">
        <v>13150</v>
      </c>
      <c r="E1659" s="2">
        <v>2010</v>
      </c>
      <c r="F1659" s="2" t="s">
        <v>36</v>
      </c>
      <c r="G1659" s="2" t="s">
        <v>5</v>
      </c>
      <c r="H1659" s="2" t="s">
        <v>5</v>
      </c>
      <c r="I1659" s="2" t="s">
        <v>6</v>
      </c>
      <c r="J1659" s="2" t="s">
        <v>29</v>
      </c>
      <c r="K1659" s="2" t="s">
        <v>42</v>
      </c>
      <c r="L1659" s="2" t="s">
        <v>28</v>
      </c>
      <c r="M1659" s="2">
        <v>120</v>
      </c>
      <c r="N1659" s="2" t="s">
        <v>9</v>
      </c>
      <c r="Q1659" s="2">
        <v>0.63</v>
      </c>
      <c r="R1659" s="2" t="s">
        <v>16963</v>
      </c>
      <c r="T1659" s="2" t="s">
        <v>16963</v>
      </c>
      <c r="W1659" s="67" t="s">
        <v>2627</v>
      </c>
    </row>
    <row r="1660" spans="1:24" hidden="1">
      <c r="A1660" s="3" t="s">
        <v>2882</v>
      </c>
      <c r="B1660" s="2" t="s">
        <v>2022</v>
      </c>
      <c r="D1660" s="66" t="s">
        <v>13160</v>
      </c>
      <c r="E1660" s="2">
        <v>2009</v>
      </c>
      <c r="F1660" s="2" t="s">
        <v>36</v>
      </c>
      <c r="G1660" s="2" t="s">
        <v>2295</v>
      </c>
      <c r="H1660" s="2" t="s">
        <v>2296</v>
      </c>
      <c r="I1660" s="2" t="s">
        <v>6</v>
      </c>
      <c r="J1660" s="2" t="s">
        <v>53</v>
      </c>
      <c r="K1660" s="2" t="s">
        <v>54</v>
      </c>
      <c r="L1660" s="2" t="s">
        <v>52</v>
      </c>
      <c r="M1660" s="2">
        <v>321</v>
      </c>
      <c r="N1660" s="2" t="s">
        <v>9</v>
      </c>
      <c r="Q1660" s="2">
        <v>0.63</v>
      </c>
      <c r="R1660" s="2" t="s">
        <v>16963</v>
      </c>
      <c r="T1660" s="2" t="s">
        <v>16963</v>
      </c>
      <c r="U1660" s="67" t="s">
        <v>2627</v>
      </c>
    </row>
    <row r="1661" spans="1:24" hidden="1">
      <c r="A1661" s="3" t="s">
        <v>2881</v>
      </c>
      <c r="B1661" s="2" t="s">
        <v>2023</v>
      </c>
      <c r="D1661" s="66" t="s">
        <v>13161</v>
      </c>
      <c r="E1661" s="2">
        <v>2009</v>
      </c>
      <c r="F1661" s="2" t="s">
        <v>36</v>
      </c>
      <c r="G1661" s="2" t="s">
        <v>2295</v>
      </c>
      <c r="H1661" s="2" t="s">
        <v>2296</v>
      </c>
      <c r="I1661" s="2" t="s">
        <v>6</v>
      </c>
      <c r="J1661" s="2" t="s">
        <v>53</v>
      </c>
      <c r="K1661" s="2" t="s">
        <v>54</v>
      </c>
      <c r="L1661" s="2" t="s">
        <v>52</v>
      </c>
      <c r="M1661" s="2">
        <v>321</v>
      </c>
      <c r="N1661" s="2" t="s">
        <v>9</v>
      </c>
      <c r="Q1661" s="2">
        <v>0.63</v>
      </c>
      <c r="R1661" s="2" t="s">
        <v>16963</v>
      </c>
      <c r="T1661" s="2" t="s">
        <v>16963</v>
      </c>
      <c r="U1661" s="67" t="s">
        <v>2627</v>
      </c>
    </row>
    <row r="1662" spans="1:24" hidden="1">
      <c r="A1662" s="3" t="s">
        <v>3446</v>
      </c>
      <c r="B1662" s="2" t="s">
        <v>2024</v>
      </c>
      <c r="D1662" s="66" t="s">
        <v>13162</v>
      </c>
      <c r="E1662" s="2">
        <v>2009</v>
      </c>
      <c r="F1662" s="2" t="s">
        <v>36</v>
      </c>
      <c r="G1662" s="2" t="s">
        <v>2295</v>
      </c>
      <c r="H1662" s="2" t="s">
        <v>2296</v>
      </c>
      <c r="I1662" s="2" t="s">
        <v>2288</v>
      </c>
      <c r="J1662" s="2" t="s">
        <v>20</v>
      </c>
      <c r="K1662" s="2" t="s">
        <v>231</v>
      </c>
      <c r="L1662" s="2" t="s">
        <v>19</v>
      </c>
      <c r="M1662" s="2">
        <v>9</v>
      </c>
      <c r="N1662" s="2" t="s">
        <v>21</v>
      </c>
      <c r="Q1662" s="2">
        <v>0.63</v>
      </c>
      <c r="R1662" s="2" t="s">
        <v>16963</v>
      </c>
      <c r="T1662" s="2" t="s">
        <v>16963</v>
      </c>
      <c r="U1662" s="67" t="s">
        <v>2627</v>
      </c>
    </row>
    <row r="1663" spans="1:24" hidden="1">
      <c r="A1663" s="3" t="s">
        <v>3173</v>
      </c>
      <c r="B1663" s="2" t="s">
        <v>2025</v>
      </c>
      <c r="D1663" s="66" t="s">
        <v>13179</v>
      </c>
      <c r="E1663" s="2">
        <v>2009</v>
      </c>
      <c r="F1663" s="2" t="s">
        <v>36</v>
      </c>
      <c r="G1663" s="2" t="s">
        <v>44</v>
      </c>
      <c r="H1663" s="2" t="s">
        <v>1446</v>
      </c>
      <c r="I1663" s="2" t="s">
        <v>6</v>
      </c>
      <c r="J1663" s="2" t="s">
        <v>53</v>
      </c>
      <c r="K1663" s="2" t="s">
        <v>178</v>
      </c>
      <c r="L1663" s="2" t="s">
        <v>52</v>
      </c>
      <c r="M1663" s="2">
        <v>321</v>
      </c>
      <c r="N1663" s="2" t="s">
        <v>9</v>
      </c>
      <c r="Q1663" s="2">
        <v>0.63</v>
      </c>
      <c r="R1663" s="2" t="s">
        <v>16963</v>
      </c>
      <c r="T1663" s="2" t="s">
        <v>16963</v>
      </c>
      <c r="U1663" s="67" t="s">
        <v>2627</v>
      </c>
    </row>
    <row r="1664" spans="1:24" hidden="1">
      <c r="A1664" s="3" t="s">
        <v>3340</v>
      </c>
      <c r="B1664" s="2" t="s">
        <v>1960</v>
      </c>
      <c r="D1664" s="66" t="s">
        <v>17379</v>
      </c>
      <c r="E1664" s="2">
        <v>2018</v>
      </c>
      <c r="F1664" s="2" t="s">
        <v>2690</v>
      </c>
      <c r="G1664" s="2" t="s">
        <v>5</v>
      </c>
      <c r="H1664" s="2" t="s">
        <v>2294</v>
      </c>
      <c r="I1664" s="2" t="s">
        <v>2288</v>
      </c>
      <c r="J1664" s="2" t="s">
        <v>29</v>
      </c>
      <c r="K1664" s="2" t="s">
        <v>4689</v>
      </c>
      <c r="L1664" s="2" t="s">
        <v>28</v>
      </c>
      <c r="M1664" s="2">
        <v>8</v>
      </c>
      <c r="N1664" s="2" t="s">
        <v>9</v>
      </c>
      <c r="O1664" s="2">
        <f>VLOOKUP(B1664,[1]Sheet1!$B$624:$E$1665,4,FALSE)</f>
        <v>0.2</v>
      </c>
      <c r="P1664" s="2" t="s">
        <v>16964</v>
      </c>
      <c r="T1664" s="2" t="s">
        <v>16964</v>
      </c>
    </row>
    <row r="1665" spans="1:25" hidden="1">
      <c r="A1665" s="3" t="s">
        <v>4180</v>
      </c>
      <c r="B1665" s="2" t="s">
        <v>1961</v>
      </c>
      <c r="D1665" s="66" t="s">
        <v>17378</v>
      </c>
      <c r="E1665" s="2">
        <v>2018</v>
      </c>
      <c r="F1665" s="2" t="s">
        <v>2690</v>
      </c>
      <c r="G1665" s="2" t="s">
        <v>5</v>
      </c>
      <c r="H1665" s="2" t="s">
        <v>2294</v>
      </c>
      <c r="I1665" s="2" t="s">
        <v>10</v>
      </c>
      <c r="J1665" s="2" t="s">
        <v>59</v>
      </c>
      <c r="K1665" s="2" t="s">
        <v>4665</v>
      </c>
      <c r="L1665" s="2" t="s">
        <v>58</v>
      </c>
      <c r="M1665" s="2">
        <v>6</v>
      </c>
      <c r="N1665" s="2" t="s">
        <v>18</v>
      </c>
      <c r="O1665" s="2">
        <f>VLOOKUP(B1665,[1]Sheet1!$B$624:$E$1665,4,FALSE)</f>
        <v>0.2</v>
      </c>
      <c r="P1665" s="2" t="s">
        <v>16964</v>
      </c>
      <c r="T1665" s="2" t="s">
        <v>16964</v>
      </c>
    </row>
    <row r="1666" spans="1:25" hidden="1">
      <c r="A1666" s="3" t="s">
        <v>3442</v>
      </c>
      <c r="B1666" s="2" t="s">
        <v>1962</v>
      </c>
      <c r="D1666" s="66" t="s">
        <v>17423</v>
      </c>
      <c r="E1666" s="2">
        <v>2018</v>
      </c>
      <c r="F1666" s="2" t="s">
        <v>2690</v>
      </c>
      <c r="G1666" s="2" t="s">
        <v>5</v>
      </c>
      <c r="H1666" s="2" t="s">
        <v>2294</v>
      </c>
      <c r="I1666" s="2" t="s">
        <v>10</v>
      </c>
      <c r="J1666" s="2" t="s">
        <v>266</v>
      </c>
      <c r="K1666" s="2" t="s">
        <v>4690</v>
      </c>
      <c r="L1666" s="2" t="s">
        <v>265</v>
      </c>
      <c r="M1666" s="2">
        <v>87</v>
      </c>
      <c r="N1666" s="2" t="s">
        <v>14</v>
      </c>
      <c r="T1666" s="2" t="s">
        <v>16964</v>
      </c>
    </row>
    <row r="1667" spans="1:25" s="13" customFormat="1" hidden="1">
      <c r="A1667" s="3" t="s">
        <v>4076</v>
      </c>
      <c r="B1667" s="2" t="s">
        <v>1963</v>
      </c>
      <c r="C1667" s="2"/>
      <c r="D1667" s="66" t="s">
        <v>17371</v>
      </c>
      <c r="E1667" s="2">
        <v>2018</v>
      </c>
      <c r="F1667" s="2" t="s">
        <v>2690</v>
      </c>
      <c r="G1667" s="2" t="s">
        <v>5</v>
      </c>
      <c r="H1667" s="2" t="s">
        <v>2294</v>
      </c>
      <c r="I1667" s="2" t="s">
        <v>10</v>
      </c>
      <c r="J1667" s="2" t="s">
        <v>17</v>
      </c>
      <c r="K1667" s="2" t="s">
        <v>4557</v>
      </c>
      <c r="L1667" s="2" t="s">
        <v>16</v>
      </c>
      <c r="M1667" s="2">
        <v>2</v>
      </c>
      <c r="N1667" s="2" t="s">
        <v>18</v>
      </c>
      <c r="O1667" s="2">
        <f>VLOOKUP(B1667,[1]Sheet1!$B$624:$E$1665,4,FALSE)</f>
        <v>0.2</v>
      </c>
      <c r="P1667" s="2" t="s">
        <v>16964</v>
      </c>
      <c r="Q1667" s="2"/>
      <c r="R1667" s="2"/>
      <c r="S1667" s="2"/>
      <c r="T1667" s="2" t="s">
        <v>16964</v>
      </c>
      <c r="U1667" s="2"/>
      <c r="V1667" s="2"/>
      <c r="W1667" s="2"/>
      <c r="X1667" s="2"/>
      <c r="Y1667" s="2"/>
    </row>
    <row r="1668" spans="1:25" hidden="1">
      <c r="A1668" s="3" t="s">
        <v>4156</v>
      </c>
      <c r="B1668" s="2" t="s">
        <v>1964</v>
      </c>
      <c r="D1668" s="66" t="s">
        <v>17372</v>
      </c>
      <c r="E1668" s="2">
        <v>2019</v>
      </c>
      <c r="F1668" s="2" t="s">
        <v>2690</v>
      </c>
      <c r="G1668" s="2" t="s">
        <v>5</v>
      </c>
      <c r="H1668" s="2" t="s">
        <v>2294</v>
      </c>
      <c r="I1668" s="2" t="s">
        <v>10</v>
      </c>
      <c r="J1668" s="2" t="s">
        <v>1147</v>
      </c>
      <c r="K1668" s="2" t="s">
        <v>4579</v>
      </c>
      <c r="L1668" s="2" t="s">
        <v>1146</v>
      </c>
      <c r="M1668" s="2">
        <v>217</v>
      </c>
      <c r="N1668" s="2" t="s">
        <v>18</v>
      </c>
      <c r="O1668" s="2">
        <f>VLOOKUP(B1668,[1]Sheet1!$B$624:$E$1665,4,FALSE)</f>
        <v>0.1</v>
      </c>
      <c r="P1668" s="2" t="s">
        <v>16964</v>
      </c>
      <c r="T1668" s="2" t="s">
        <v>16964</v>
      </c>
    </row>
    <row r="1669" spans="1:25" hidden="1">
      <c r="A1669" s="3" t="s">
        <v>3258</v>
      </c>
      <c r="B1669" s="2" t="s">
        <v>1965</v>
      </c>
      <c r="D1669" s="66" t="s">
        <v>17373</v>
      </c>
      <c r="E1669" s="2">
        <v>2019</v>
      </c>
      <c r="F1669" s="2" t="s">
        <v>2690</v>
      </c>
      <c r="G1669" s="2" t="s">
        <v>5</v>
      </c>
      <c r="H1669" s="2" t="s">
        <v>2294</v>
      </c>
      <c r="I1669" s="2" t="s">
        <v>2288</v>
      </c>
      <c r="J1669" s="2" t="s">
        <v>8</v>
      </c>
      <c r="K1669" s="2" t="s">
        <v>4496</v>
      </c>
      <c r="L1669" s="2" t="s">
        <v>7</v>
      </c>
      <c r="M1669" s="2">
        <v>121</v>
      </c>
      <c r="N1669" s="2" t="s">
        <v>9</v>
      </c>
      <c r="O1669" s="13">
        <f>VLOOKUP(B1669,[1]Sheet1!$B$624:$E$1665,4,FALSE)</f>
        <v>0.2</v>
      </c>
      <c r="P1669" s="13" t="s">
        <v>16964</v>
      </c>
      <c r="T1669" s="2" t="s">
        <v>16963</v>
      </c>
      <c r="X1669" s="67" t="s">
        <v>4722</v>
      </c>
    </row>
    <row r="1670" spans="1:25" hidden="1">
      <c r="A1670" s="3" t="s">
        <v>3447</v>
      </c>
      <c r="B1670" s="2" t="s">
        <v>1966</v>
      </c>
      <c r="D1670" s="66" t="s">
        <v>17374</v>
      </c>
      <c r="E1670" s="2">
        <v>2019</v>
      </c>
      <c r="F1670" s="2" t="s">
        <v>2690</v>
      </c>
      <c r="G1670" s="2" t="s">
        <v>5</v>
      </c>
      <c r="H1670" s="2" t="s">
        <v>2294</v>
      </c>
      <c r="I1670" s="2" t="s">
        <v>2288</v>
      </c>
      <c r="J1670" s="2" t="s">
        <v>8</v>
      </c>
      <c r="K1670" s="2" t="s">
        <v>4519</v>
      </c>
      <c r="L1670" s="2" t="s">
        <v>7</v>
      </c>
      <c r="M1670" s="2">
        <v>236</v>
      </c>
      <c r="N1670" s="2" t="s">
        <v>9</v>
      </c>
      <c r="O1670" s="2">
        <f>VLOOKUP(B1670,[1]Sheet1!$B$624:$E$1665,4,FALSE)</f>
        <v>0.8</v>
      </c>
      <c r="P1670" s="2" t="s">
        <v>16963</v>
      </c>
      <c r="T1670" s="2" t="s">
        <v>16963</v>
      </c>
      <c r="X1670" s="67" t="s">
        <v>4722</v>
      </c>
    </row>
    <row r="1671" spans="1:25" hidden="1">
      <c r="A1671" s="3" t="s">
        <v>3922</v>
      </c>
      <c r="B1671" s="2" t="s">
        <v>1967</v>
      </c>
      <c r="D1671" s="66" t="s">
        <v>17375</v>
      </c>
      <c r="E1671" s="2">
        <v>2019</v>
      </c>
      <c r="F1671" s="2" t="s">
        <v>2690</v>
      </c>
      <c r="G1671" s="2" t="s">
        <v>5</v>
      </c>
      <c r="H1671" s="2" t="s">
        <v>2294</v>
      </c>
      <c r="I1671" s="2" t="s">
        <v>2288</v>
      </c>
      <c r="J1671" s="2" t="s">
        <v>115</v>
      </c>
      <c r="K1671" s="2" t="s">
        <v>4575</v>
      </c>
      <c r="L1671" s="2" t="s">
        <v>114</v>
      </c>
      <c r="M1671" s="2">
        <v>21</v>
      </c>
      <c r="N1671" s="2" t="s">
        <v>9</v>
      </c>
      <c r="O1671" s="2">
        <f>VLOOKUP(B1671,[1]Sheet1!$B$624:$E$1665,4,FALSE)</f>
        <v>0.8</v>
      </c>
      <c r="P1671" s="13" t="s">
        <v>16963</v>
      </c>
      <c r="T1671" s="2" t="s">
        <v>16964</v>
      </c>
    </row>
    <row r="1672" spans="1:25" hidden="1">
      <c r="A1672" s="3" t="s">
        <v>4285</v>
      </c>
      <c r="B1672" s="2" t="s">
        <v>1968</v>
      </c>
      <c r="D1672" s="66" t="s">
        <v>17376</v>
      </c>
      <c r="E1672" s="2">
        <v>2019</v>
      </c>
      <c r="F1672" s="2" t="s">
        <v>2690</v>
      </c>
      <c r="G1672" s="2" t="s">
        <v>5</v>
      </c>
      <c r="H1672" s="2" t="s">
        <v>2294</v>
      </c>
      <c r="I1672" s="2" t="s">
        <v>10</v>
      </c>
      <c r="J1672" s="2" t="s">
        <v>129</v>
      </c>
      <c r="K1672" s="2" t="s">
        <v>4481</v>
      </c>
      <c r="L1672" s="2" t="s">
        <v>128</v>
      </c>
      <c r="M1672" s="2">
        <v>1</v>
      </c>
      <c r="N1672" s="2" t="s">
        <v>18</v>
      </c>
      <c r="O1672" s="2">
        <f>VLOOKUP(B1672,[1]Sheet1!$B$624:$E$1665,4,FALSE)</f>
        <v>0.2</v>
      </c>
      <c r="P1672" s="2" t="s">
        <v>16964</v>
      </c>
      <c r="T1672" s="2" t="s">
        <v>16964</v>
      </c>
    </row>
    <row r="1673" spans="1:25" hidden="1">
      <c r="A1673" s="3" t="s">
        <v>3668</v>
      </c>
      <c r="B1673" s="2" t="s">
        <v>1969</v>
      </c>
      <c r="D1673" s="66" t="s">
        <v>17377</v>
      </c>
      <c r="E1673" s="2">
        <v>2020</v>
      </c>
      <c r="F1673" s="2" t="s">
        <v>2690</v>
      </c>
      <c r="G1673" s="2" t="s">
        <v>5</v>
      </c>
      <c r="H1673" s="2" t="s">
        <v>2294</v>
      </c>
      <c r="I1673" s="2" t="s">
        <v>10</v>
      </c>
      <c r="J1673" s="2" t="s">
        <v>17</v>
      </c>
      <c r="K1673" s="2" t="s">
        <v>4558</v>
      </c>
      <c r="L1673" s="2" t="s">
        <v>16</v>
      </c>
      <c r="M1673" s="2">
        <v>2</v>
      </c>
      <c r="N1673" s="2" t="s">
        <v>18</v>
      </c>
      <c r="O1673" s="2">
        <f>VLOOKUP(B1673,[1]Sheet1!$B$624:$E$1665,4,FALSE)</f>
        <v>0.2</v>
      </c>
      <c r="P1673" s="2" t="s">
        <v>16964</v>
      </c>
      <c r="T1673" s="2" t="s">
        <v>16964</v>
      </c>
    </row>
    <row r="1676" spans="1:25">
      <c r="D1676" s="69"/>
    </row>
  </sheetData>
  <autoFilter ref="A2:Y1673" xr:uid="{00000000-0001-0000-0000-000000000000}">
    <filterColumn colId="5">
      <filters>
        <filter val="Denmark"/>
      </filters>
    </filterColumn>
    <sortState xmlns:xlrd2="http://schemas.microsoft.com/office/spreadsheetml/2017/richdata2" ref="A17:Y1379">
      <sortCondition descending="1" ref="E2:E1673"/>
    </sortState>
  </autoFilter>
  <mergeCells count="4">
    <mergeCell ref="U1:Y1"/>
    <mergeCell ref="O1:T1"/>
    <mergeCell ref="A1:H1"/>
    <mergeCell ref="I1:N1"/>
  </mergeCells>
  <conditionalFormatting sqref="A129 A1354:A1396 A1433 A1497:A1499 A131:A147">
    <cfRule type="duplicateValues" dxfId="62" priority="84"/>
  </conditionalFormatting>
  <conditionalFormatting sqref="A148:A347">
    <cfRule type="duplicateValues" dxfId="61" priority="79"/>
  </conditionalFormatting>
  <conditionalFormatting sqref="A449:A588">
    <cfRule type="duplicateValues" dxfId="60" priority="81"/>
  </conditionalFormatting>
  <conditionalFormatting sqref="A646:A1036">
    <cfRule type="duplicateValues" dxfId="59" priority="80"/>
  </conditionalFormatting>
  <conditionalFormatting sqref="A1354:A1396 A1433 A1497:A1599 A1601:A1673">
    <cfRule type="duplicateValues" dxfId="58" priority="85"/>
  </conditionalFormatting>
  <conditionalFormatting sqref="A1601:A1048576 A2:A1599">
    <cfRule type="duplicateValues" dxfId="57" priority="341"/>
  </conditionalFormatting>
  <conditionalFormatting sqref="B196:B1513">
    <cfRule type="duplicateValues" dxfId="56" priority="36"/>
  </conditionalFormatting>
  <conditionalFormatting sqref="B1253">
    <cfRule type="duplicateValues" dxfId="55" priority="77"/>
  </conditionalFormatting>
  <conditionalFormatting sqref="B1271">
    <cfRule type="duplicateValues" dxfId="54" priority="76"/>
  </conditionalFormatting>
  <conditionalFormatting sqref="B1283">
    <cfRule type="duplicateValues" dxfId="53" priority="65"/>
  </conditionalFormatting>
  <conditionalFormatting sqref="B1285">
    <cfRule type="duplicateValues" dxfId="52" priority="64"/>
  </conditionalFormatting>
  <conditionalFormatting sqref="B1301">
    <cfRule type="duplicateValues" dxfId="51" priority="57"/>
  </conditionalFormatting>
  <conditionalFormatting sqref="B1303">
    <cfRule type="duplicateValues" dxfId="50" priority="56"/>
  </conditionalFormatting>
  <conditionalFormatting sqref="B1365">
    <cfRule type="duplicateValues" dxfId="49" priority="63"/>
  </conditionalFormatting>
  <conditionalFormatting sqref="B1366">
    <cfRule type="duplicateValues" dxfId="48" priority="62"/>
  </conditionalFormatting>
  <conditionalFormatting sqref="B1367">
    <cfRule type="duplicateValues" dxfId="47" priority="61"/>
  </conditionalFormatting>
  <conditionalFormatting sqref="B1370">
    <cfRule type="duplicateValues" dxfId="46" priority="60"/>
  </conditionalFormatting>
  <conditionalFormatting sqref="B1373">
    <cfRule type="duplicateValues" dxfId="45" priority="59"/>
  </conditionalFormatting>
  <conditionalFormatting sqref="B1377">
    <cfRule type="duplicateValues" dxfId="44" priority="58"/>
  </conditionalFormatting>
  <conditionalFormatting sqref="B1415:B1455">
    <cfRule type="duplicateValues" dxfId="43" priority="55"/>
  </conditionalFormatting>
  <conditionalFormatting sqref="B1498:B1576">
    <cfRule type="duplicateValues" dxfId="42" priority="54"/>
  </conditionalFormatting>
  <conditionalFormatting sqref="B1578">
    <cfRule type="duplicateValues" dxfId="41" priority="51"/>
  </conditionalFormatting>
  <conditionalFormatting sqref="B1580">
    <cfRule type="duplicateValues" dxfId="40" priority="53"/>
  </conditionalFormatting>
  <conditionalFormatting sqref="B1581">
    <cfRule type="duplicateValues" dxfId="39" priority="52"/>
  </conditionalFormatting>
  <conditionalFormatting sqref="B1584">
    <cfRule type="duplicateValues" dxfId="38" priority="75"/>
  </conditionalFormatting>
  <conditionalFormatting sqref="B1585">
    <cfRule type="duplicateValues" dxfId="37" priority="74"/>
  </conditionalFormatting>
  <conditionalFormatting sqref="B1587">
    <cfRule type="duplicateValues" dxfId="36" priority="73"/>
  </conditionalFormatting>
  <conditionalFormatting sqref="B1588">
    <cfRule type="duplicateValues" dxfId="35" priority="72"/>
  </conditionalFormatting>
  <conditionalFormatting sqref="B1589">
    <cfRule type="duplicateValues" dxfId="34" priority="71"/>
  </conditionalFormatting>
  <conditionalFormatting sqref="B1590">
    <cfRule type="duplicateValues" dxfId="33" priority="70"/>
  </conditionalFormatting>
  <conditionalFormatting sqref="B1591">
    <cfRule type="duplicateValues" dxfId="32" priority="45"/>
  </conditionalFormatting>
  <conditionalFormatting sqref="B1609">
    <cfRule type="duplicateValues" dxfId="31" priority="50"/>
  </conditionalFormatting>
  <conditionalFormatting sqref="B1615">
    <cfRule type="duplicateValues" dxfId="30" priority="49"/>
  </conditionalFormatting>
  <conditionalFormatting sqref="B1620">
    <cfRule type="duplicateValues" dxfId="29" priority="48"/>
  </conditionalFormatting>
  <conditionalFormatting sqref="B1622">
    <cfRule type="duplicateValues" dxfId="28" priority="47"/>
  </conditionalFormatting>
  <conditionalFormatting sqref="B1630">
    <cfRule type="duplicateValues" dxfId="27" priority="46"/>
  </conditionalFormatting>
  <conditionalFormatting sqref="B1635">
    <cfRule type="duplicateValues" dxfId="26" priority="44"/>
  </conditionalFormatting>
  <conditionalFormatting sqref="B1636">
    <cfRule type="duplicateValues" dxfId="25" priority="43"/>
  </conditionalFormatting>
  <conditionalFormatting sqref="B1637 B1639:B1645">
    <cfRule type="duplicateValues" dxfId="24" priority="344"/>
  </conditionalFormatting>
  <conditionalFormatting sqref="B1638">
    <cfRule type="duplicateValues" dxfId="23" priority="42"/>
  </conditionalFormatting>
  <conditionalFormatting sqref="B1646:B1648 B1650:B1651">
    <cfRule type="duplicateValues" dxfId="22" priority="346"/>
  </conditionalFormatting>
  <conditionalFormatting sqref="B1649">
    <cfRule type="duplicateValues" dxfId="21" priority="41"/>
  </conditionalFormatting>
  <conditionalFormatting sqref="B1661">
    <cfRule type="duplicateValues" dxfId="20" priority="69"/>
  </conditionalFormatting>
  <conditionalFormatting sqref="B1662">
    <cfRule type="duplicateValues" dxfId="19" priority="68"/>
  </conditionalFormatting>
  <conditionalFormatting sqref="B1663:B1668 B1652:B1660 C1661:C1673">
    <cfRule type="duplicateValues" dxfId="18" priority="348"/>
  </conditionalFormatting>
  <conditionalFormatting sqref="B1669">
    <cfRule type="duplicateValues" dxfId="17" priority="40"/>
  </conditionalFormatting>
  <conditionalFormatting sqref="B1670">
    <cfRule type="duplicateValues" dxfId="16" priority="39"/>
  </conditionalFormatting>
  <conditionalFormatting sqref="B222:C224">
    <cfRule type="duplicateValues" dxfId="15" priority="357"/>
  </conditionalFormatting>
  <conditionalFormatting sqref="B225:C227">
    <cfRule type="duplicateValues" dxfId="14" priority="358"/>
  </conditionalFormatting>
  <conditionalFormatting sqref="B228:C228">
    <cfRule type="duplicateValues" dxfId="13" priority="360"/>
  </conditionalFormatting>
  <conditionalFormatting sqref="B229:C235">
    <cfRule type="duplicateValues" dxfId="12" priority="359"/>
  </conditionalFormatting>
  <conditionalFormatting sqref="B262:C262">
    <cfRule type="duplicateValues" dxfId="11" priority="330"/>
  </conditionalFormatting>
  <conditionalFormatting sqref="B263:C1248 B236:C261 B3:C221">
    <cfRule type="duplicateValues" dxfId="10" priority="354"/>
  </conditionalFormatting>
  <conditionalFormatting sqref="B1246:C1246">
    <cfRule type="duplicateValues" dxfId="9" priority="353"/>
  </conditionalFormatting>
  <conditionalFormatting sqref="J1630 L1630">
    <cfRule type="duplicateValues" dxfId="8" priority="38"/>
  </conditionalFormatting>
  <pageMargins left="0.7" right="0.7" top="0.75" bottom="0.75" header="0.3" footer="0.3"/>
  <pageSetup paperSize="9" scale="3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F30C5-959B-6741-B929-D00AA089BD56}">
  <sheetPr>
    <tabColor rgb="FFFF0000"/>
  </sheetPr>
  <dimension ref="A1:K422"/>
  <sheetViews>
    <sheetView topLeftCell="A13" workbookViewId="0">
      <selection activeCell="B23" sqref="B23"/>
    </sheetView>
  </sheetViews>
  <sheetFormatPr defaultColWidth="11" defaultRowHeight="15.6"/>
  <cols>
    <col min="1" max="1" width="14.44140625" style="7" customWidth="1"/>
    <col min="2" max="2" width="27.6640625" style="2" bestFit="1" customWidth="1"/>
    <col min="3" max="3" width="16.109375" style="2" bestFit="1" customWidth="1"/>
    <col min="4" max="4" width="15.44140625" style="2" bestFit="1" customWidth="1"/>
    <col min="5" max="5" width="16.33203125" style="2" bestFit="1" customWidth="1"/>
    <col min="6" max="6" width="19.77734375" style="2" bestFit="1" customWidth="1"/>
    <col min="7" max="7" width="22.33203125" style="2" bestFit="1" customWidth="1"/>
    <col min="8" max="8" width="34.33203125" style="2" bestFit="1" customWidth="1"/>
    <col min="9" max="9" width="26" style="2" bestFit="1" customWidth="1"/>
    <col min="10" max="10" width="11.6640625" style="2" bestFit="1" customWidth="1"/>
    <col min="11" max="16384" width="11" style="2"/>
  </cols>
  <sheetData>
    <row r="1" spans="1:11" ht="31.2">
      <c r="A1" s="39" t="s">
        <v>2591</v>
      </c>
      <c r="B1" s="40" t="s">
        <v>17094</v>
      </c>
      <c r="C1" s="40" t="s">
        <v>17430</v>
      </c>
      <c r="D1" s="40" t="s">
        <v>17431</v>
      </c>
      <c r="E1" s="40" t="s">
        <v>2572</v>
      </c>
      <c r="F1" s="40" t="s">
        <v>17432</v>
      </c>
      <c r="G1" s="40" t="s">
        <v>17433</v>
      </c>
      <c r="H1" s="40" t="s">
        <v>17434</v>
      </c>
    </row>
    <row r="2" spans="1:11" s="44" customFormat="1">
      <c r="A2" s="41" t="s">
        <v>2352</v>
      </c>
      <c r="B2" s="42" t="s">
        <v>5</v>
      </c>
      <c r="C2" s="62" t="s">
        <v>14</v>
      </c>
      <c r="D2" s="62" t="s">
        <v>11</v>
      </c>
      <c r="E2" s="42" t="s">
        <v>10</v>
      </c>
      <c r="F2" s="43">
        <v>38.104687430427823</v>
      </c>
      <c r="G2" s="43">
        <v>29.696208013257376</v>
      </c>
      <c r="H2" s="43">
        <v>22.066784913333272</v>
      </c>
      <c r="I2" s="38" t="s">
        <v>16964</v>
      </c>
      <c r="J2" s="38" t="s">
        <v>17474</v>
      </c>
      <c r="K2" s="2"/>
    </row>
    <row r="3" spans="1:11" s="44" customFormat="1">
      <c r="A3" s="41" t="s">
        <v>2354</v>
      </c>
      <c r="B3" s="42" t="s">
        <v>5</v>
      </c>
      <c r="C3" s="62" t="s">
        <v>14</v>
      </c>
      <c r="D3" s="62" t="s">
        <v>11</v>
      </c>
      <c r="E3" s="42" t="s">
        <v>10</v>
      </c>
      <c r="F3" s="43">
        <v>39.783192722277001</v>
      </c>
      <c r="G3" s="43">
        <v>30.523649386930128</v>
      </c>
      <c r="H3" s="43">
        <v>23.275013144336953</v>
      </c>
      <c r="I3" s="38" t="s">
        <v>16964</v>
      </c>
      <c r="J3" s="38" t="s">
        <v>17474</v>
      </c>
      <c r="K3" s="2"/>
    </row>
    <row r="4" spans="1:11" s="44" customFormat="1">
      <c r="A4" s="45">
        <v>2992</v>
      </c>
      <c r="B4" s="46" t="s">
        <v>2386</v>
      </c>
      <c r="C4" s="46" t="s">
        <v>18</v>
      </c>
      <c r="D4" s="46" t="s">
        <v>128</v>
      </c>
      <c r="E4" s="46" t="s">
        <v>10</v>
      </c>
      <c r="F4" s="47">
        <v>17.636352762872647</v>
      </c>
      <c r="G4" s="47">
        <v>18.751381268639999</v>
      </c>
      <c r="H4" s="47">
        <v>-6.3223304770511524</v>
      </c>
    </row>
    <row r="5" spans="1:11" s="44" customFormat="1">
      <c r="A5" s="45" t="s">
        <v>1341</v>
      </c>
      <c r="B5" s="46" t="s">
        <v>2386</v>
      </c>
      <c r="C5" s="46" t="s">
        <v>18</v>
      </c>
      <c r="D5" s="46" t="s">
        <v>128</v>
      </c>
      <c r="E5" s="46" t="s">
        <v>10</v>
      </c>
      <c r="F5" s="47">
        <v>16.817559786878324</v>
      </c>
      <c r="G5" s="47">
        <v>17.652688404257024</v>
      </c>
      <c r="H5" s="47">
        <v>-4.965813281</v>
      </c>
    </row>
    <row r="6" spans="1:11" s="44" customFormat="1">
      <c r="A6" s="45" t="s">
        <v>678</v>
      </c>
      <c r="B6" s="46" t="s">
        <v>2386</v>
      </c>
      <c r="C6" s="46" t="s">
        <v>9</v>
      </c>
      <c r="D6" s="46" t="s">
        <v>101</v>
      </c>
      <c r="E6" s="46" t="s">
        <v>6</v>
      </c>
      <c r="F6" s="47">
        <v>17.577253899414501</v>
      </c>
      <c r="G6" s="47">
        <v>18.035938649621102</v>
      </c>
      <c r="H6" s="47">
        <v>-2.609535896968973</v>
      </c>
    </row>
    <row r="7" spans="1:11" s="44" customFormat="1">
      <c r="A7" s="45" t="s">
        <v>2018</v>
      </c>
      <c r="B7" s="46" t="s">
        <v>2386</v>
      </c>
      <c r="C7" s="46" t="s">
        <v>9</v>
      </c>
      <c r="D7" s="46" t="s">
        <v>114</v>
      </c>
      <c r="E7" s="46" t="s">
        <v>6</v>
      </c>
      <c r="F7" s="47">
        <v>16.058009962779927</v>
      </c>
      <c r="G7" s="47">
        <v>16.4763005216086</v>
      </c>
      <c r="H7" s="47">
        <v>-2.6048717109999999</v>
      </c>
    </row>
    <row r="8" spans="1:11" s="44" customFormat="1">
      <c r="A8" s="45" t="s">
        <v>652</v>
      </c>
      <c r="B8" s="46" t="s">
        <v>2386</v>
      </c>
      <c r="C8" s="46" t="s">
        <v>18</v>
      </c>
      <c r="D8" s="46" t="s">
        <v>128</v>
      </c>
      <c r="E8" s="46" t="s">
        <v>10</v>
      </c>
      <c r="F8" s="47">
        <v>17.917304008819052</v>
      </c>
      <c r="G8" s="47">
        <v>18.247035058255051</v>
      </c>
      <c r="H8" s="47">
        <v>-1.840293881678301</v>
      </c>
    </row>
    <row r="9" spans="1:11" s="44" customFormat="1">
      <c r="A9" s="45" t="s">
        <v>1987</v>
      </c>
      <c r="B9" s="46" t="s">
        <v>2386</v>
      </c>
      <c r="C9" s="46" t="s">
        <v>18</v>
      </c>
      <c r="D9" s="46" t="s">
        <v>128</v>
      </c>
      <c r="E9" s="46" t="s">
        <v>10</v>
      </c>
      <c r="F9" s="47">
        <v>13.480919827884275</v>
      </c>
      <c r="G9" s="47">
        <v>13.682712001281825</v>
      </c>
      <c r="H9" s="47">
        <v>-1.4968724387794285</v>
      </c>
    </row>
    <row r="10" spans="1:11" s="44" customFormat="1">
      <c r="A10" s="45" t="s">
        <v>1133</v>
      </c>
      <c r="B10" s="46" t="s">
        <v>2386</v>
      </c>
      <c r="C10" s="46" t="s">
        <v>18</v>
      </c>
      <c r="D10" s="46" t="s">
        <v>128</v>
      </c>
      <c r="E10" s="46" t="s">
        <v>10</v>
      </c>
      <c r="F10" s="47">
        <v>17.513760656857599</v>
      </c>
      <c r="G10" s="47">
        <v>17.764224313585373</v>
      </c>
      <c r="H10" s="47">
        <v>-1.430096378</v>
      </c>
    </row>
    <row r="11" spans="1:11" s="44" customFormat="1">
      <c r="A11" s="45" t="s">
        <v>2015</v>
      </c>
      <c r="B11" s="46" t="s">
        <v>2386</v>
      </c>
      <c r="C11" s="46" t="s">
        <v>9</v>
      </c>
      <c r="D11" s="46" t="s">
        <v>55</v>
      </c>
      <c r="E11" s="46" t="s">
        <v>6</v>
      </c>
      <c r="F11" s="47">
        <v>17.080631871083451</v>
      </c>
      <c r="G11" s="47">
        <v>17.243722539615828</v>
      </c>
      <c r="H11" s="47">
        <v>-0.954828075</v>
      </c>
    </row>
    <row r="12" spans="1:11" s="44" customFormat="1">
      <c r="A12" s="45" t="s">
        <v>687</v>
      </c>
      <c r="B12" s="46" t="s">
        <v>2386</v>
      </c>
      <c r="C12" s="46" t="s">
        <v>152</v>
      </c>
      <c r="D12" s="46" t="s">
        <v>688</v>
      </c>
      <c r="E12" s="46" t="s">
        <v>338</v>
      </c>
      <c r="F12" s="47">
        <v>22.678277201529347</v>
      </c>
      <c r="G12" s="47">
        <v>22.84205502799475</v>
      </c>
      <c r="H12" s="47">
        <v>-0.72217931287283932</v>
      </c>
    </row>
    <row r="13" spans="1:11" s="44" customFormat="1">
      <c r="A13" s="45" t="s">
        <v>322</v>
      </c>
      <c r="B13" s="46" t="s">
        <v>2386</v>
      </c>
      <c r="C13" s="46" t="s">
        <v>9</v>
      </c>
      <c r="D13" s="46" t="s">
        <v>217</v>
      </c>
      <c r="E13" s="46" t="s">
        <v>6</v>
      </c>
      <c r="F13" s="47">
        <v>18.644286604787201</v>
      </c>
      <c r="G13" s="47">
        <v>18.750942824810551</v>
      </c>
      <c r="H13" s="47">
        <v>-0.57205846640420166</v>
      </c>
    </row>
    <row r="14" spans="1:11" s="44" customFormat="1">
      <c r="A14" s="45">
        <v>2305</v>
      </c>
      <c r="B14" s="46" t="s">
        <v>2386</v>
      </c>
      <c r="C14" s="46" t="s">
        <v>9</v>
      </c>
      <c r="D14" s="46" t="s">
        <v>145</v>
      </c>
      <c r="E14" s="46" t="s">
        <v>6</v>
      </c>
      <c r="F14" s="47">
        <v>20.377472207289799</v>
      </c>
      <c r="G14" s="47">
        <v>20.345766314251549</v>
      </c>
      <c r="H14" s="47">
        <v>0.15559286606170453</v>
      </c>
    </row>
    <row r="15" spans="1:11" s="44" customFormat="1">
      <c r="A15" s="45" t="s">
        <v>1127</v>
      </c>
      <c r="B15" s="46" t="s">
        <v>2386</v>
      </c>
      <c r="C15" s="46" t="s">
        <v>18</v>
      </c>
      <c r="D15" s="46" t="s">
        <v>128</v>
      </c>
      <c r="E15" s="46" t="s">
        <v>10</v>
      </c>
      <c r="F15" s="47">
        <v>15.6300977753121</v>
      </c>
      <c r="G15" s="47">
        <v>15.587840738134627</v>
      </c>
      <c r="H15" s="47">
        <v>0.27035683199999999</v>
      </c>
    </row>
    <row r="16" spans="1:11" s="44" customFormat="1">
      <c r="A16" s="45" t="s">
        <v>2017</v>
      </c>
      <c r="B16" s="46" t="s">
        <v>2386</v>
      </c>
      <c r="C16" s="46" t="s">
        <v>9</v>
      </c>
      <c r="D16" s="46" t="s">
        <v>114</v>
      </c>
      <c r="E16" s="46" t="s">
        <v>6</v>
      </c>
      <c r="F16" s="47">
        <v>17.65436382365025</v>
      </c>
      <c r="G16" s="47">
        <v>17.558772652583123</v>
      </c>
      <c r="H16" s="47">
        <v>0.54145916599999999</v>
      </c>
    </row>
    <row r="17" spans="1:8" s="44" customFormat="1">
      <c r="A17" s="45" t="s">
        <v>1984</v>
      </c>
      <c r="B17" s="46" t="s">
        <v>2386</v>
      </c>
      <c r="C17" s="46" t="s">
        <v>9</v>
      </c>
      <c r="D17" s="46" t="s">
        <v>114</v>
      </c>
      <c r="E17" s="46" t="s">
        <v>6</v>
      </c>
      <c r="F17" s="47">
        <v>16.374737235855672</v>
      </c>
      <c r="G17" s="47">
        <v>16.1181885901801</v>
      </c>
      <c r="H17" s="47">
        <v>1.5667344270000001</v>
      </c>
    </row>
    <row r="18" spans="1:8" s="44" customFormat="1">
      <c r="A18" s="45" t="s">
        <v>1320</v>
      </c>
      <c r="B18" s="46" t="s">
        <v>2386</v>
      </c>
      <c r="C18" s="46" t="s">
        <v>18</v>
      </c>
      <c r="D18" s="46" t="s">
        <v>128</v>
      </c>
      <c r="E18" s="46" t="s">
        <v>10</v>
      </c>
      <c r="F18" s="47">
        <v>14.09701768303125</v>
      </c>
      <c r="G18" s="47">
        <v>13.755078950770848</v>
      </c>
      <c r="H18" s="47">
        <v>2.4256104372487153</v>
      </c>
    </row>
    <row r="19" spans="1:8" s="44" customFormat="1">
      <c r="A19" s="45" t="s">
        <v>1981</v>
      </c>
      <c r="B19" s="46" t="s">
        <v>2386</v>
      </c>
      <c r="C19" s="46" t="s">
        <v>18</v>
      </c>
      <c r="D19" s="46" t="s">
        <v>128</v>
      </c>
      <c r="E19" s="46" t="s">
        <v>10</v>
      </c>
      <c r="F19" s="47">
        <v>17.435948162790876</v>
      </c>
      <c r="G19" s="47">
        <v>17.011582378739924</v>
      </c>
      <c r="H19" s="47">
        <v>2.4338555039999998</v>
      </c>
    </row>
    <row r="20" spans="1:8" s="44" customFormat="1">
      <c r="A20" s="45" t="s">
        <v>1986</v>
      </c>
      <c r="B20" s="46" t="s">
        <v>2386</v>
      </c>
      <c r="C20" s="46" t="s">
        <v>18</v>
      </c>
      <c r="D20" s="46" t="s">
        <v>128</v>
      </c>
      <c r="E20" s="46" t="s">
        <v>10</v>
      </c>
      <c r="F20" s="47">
        <v>17.192739195233774</v>
      </c>
      <c r="G20" s="47">
        <v>16.769654142956199</v>
      </c>
      <c r="H20" s="47">
        <v>2.4608356320000002</v>
      </c>
    </row>
    <row r="21" spans="1:8" s="44" customFormat="1">
      <c r="A21" s="45">
        <v>6234</v>
      </c>
      <c r="B21" s="46" t="s">
        <v>2386</v>
      </c>
      <c r="C21" s="46" t="s">
        <v>152</v>
      </c>
      <c r="D21" s="46" t="s">
        <v>838</v>
      </c>
      <c r="E21" s="46" t="s">
        <v>338</v>
      </c>
      <c r="F21" s="47">
        <v>23.071192246054</v>
      </c>
      <c r="G21" s="47">
        <v>22.360183755587748</v>
      </c>
      <c r="H21" s="47">
        <v>3.0818021144436547</v>
      </c>
    </row>
    <row r="22" spans="1:8" s="44" customFormat="1">
      <c r="A22" s="45">
        <v>6272</v>
      </c>
      <c r="B22" s="46" t="s">
        <v>2386</v>
      </c>
      <c r="C22" s="46" t="s">
        <v>9</v>
      </c>
      <c r="D22" s="46" t="s">
        <v>114</v>
      </c>
      <c r="E22" s="46" t="s">
        <v>6</v>
      </c>
      <c r="F22" s="47">
        <v>22.357578352198249</v>
      </c>
      <c r="G22" s="47">
        <v>21.655459732473052</v>
      </c>
      <c r="H22" s="47">
        <v>3.1404054977008045</v>
      </c>
    </row>
    <row r="23" spans="1:8" s="44" customFormat="1">
      <c r="A23" s="45">
        <v>6235</v>
      </c>
      <c r="B23" s="46" t="s">
        <v>2386</v>
      </c>
      <c r="C23" s="46" t="s">
        <v>9</v>
      </c>
      <c r="D23" s="46" t="s">
        <v>114</v>
      </c>
      <c r="E23" s="46" t="s">
        <v>6</v>
      </c>
      <c r="F23" s="47">
        <v>23.720014785498851</v>
      </c>
      <c r="G23" s="47">
        <v>22.957161013730648</v>
      </c>
      <c r="H23" s="47">
        <v>3.2160762911268126</v>
      </c>
    </row>
    <row r="24" spans="1:8" s="44" customFormat="1">
      <c r="A24" s="45" t="s">
        <v>411</v>
      </c>
      <c r="B24" s="46" t="s">
        <v>2386</v>
      </c>
      <c r="C24" s="46" t="s">
        <v>9</v>
      </c>
      <c r="D24" s="46" t="s">
        <v>39</v>
      </c>
      <c r="E24" s="46" t="s">
        <v>6</v>
      </c>
      <c r="F24" s="47">
        <v>14.000819774771802</v>
      </c>
      <c r="G24" s="47">
        <v>13.456276316350325</v>
      </c>
      <c r="H24" s="47">
        <v>3.8893683882903485</v>
      </c>
    </row>
    <row r="25" spans="1:8" s="44" customFormat="1">
      <c r="A25" s="48" t="s">
        <v>337</v>
      </c>
      <c r="B25" s="46" t="s">
        <v>2386</v>
      </c>
      <c r="C25" s="46" t="s">
        <v>152</v>
      </c>
      <c r="D25" s="46" t="s">
        <v>339</v>
      </c>
      <c r="E25" s="46" t="s">
        <v>338</v>
      </c>
      <c r="F25" s="47">
        <v>20.1426014556171</v>
      </c>
      <c r="G25" s="47">
        <v>19.354852350429702</v>
      </c>
      <c r="H25" s="47">
        <v>3.9108608037703108</v>
      </c>
    </row>
    <row r="26" spans="1:8" s="44" customFormat="1">
      <c r="A26" s="45" t="s">
        <v>683</v>
      </c>
      <c r="B26" s="46" t="s">
        <v>2386</v>
      </c>
      <c r="C26" s="46" t="s">
        <v>152</v>
      </c>
      <c r="D26" s="46" t="s">
        <v>684</v>
      </c>
      <c r="E26" s="46" t="s">
        <v>338</v>
      </c>
      <c r="F26" s="47">
        <v>20.3856323451589</v>
      </c>
      <c r="G26" s="47">
        <v>19.539119655891351</v>
      </c>
      <c r="H26" s="47">
        <v>4.1524965963029121</v>
      </c>
    </row>
    <row r="27" spans="1:8" s="44" customFormat="1">
      <c r="A27" s="45">
        <v>6225</v>
      </c>
      <c r="B27" s="46" t="s">
        <v>2386</v>
      </c>
      <c r="C27" s="46" t="s">
        <v>152</v>
      </c>
      <c r="D27" s="46" t="s">
        <v>838</v>
      </c>
      <c r="E27" s="46" t="s">
        <v>338</v>
      </c>
      <c r="F27" s="47">
        <v>22.12468865838725</v>
      </c>
      <c r="G27" s="47">
        <v>21.159266137422748</v>
      </c>
      <c r="H27" s="47">
        <v>4.3635530238230968</v>
      </c>
    </row>
    <row r="28" spans="1:8" s="44" customFormat="1">
      <c r="A28" s="45">
        <v>5087</v>
      </c>
      <c r="B28" s="46" t="s">
        <v>2386</v>
      </c>
      <c r="C28" s="46" t="s">
        <v>21</v>
      </c>
      <c r="D28" s="46" t="s">
        <v>19</v>
      </c>
      <c r="E28" s="46" t="s">
        <v>6</v>
      </c>
      <c r="F28" s="47">
        <v>23.472529321326498</v>
      </c>
      <c r="G28" s="47">
        <v>22.4054910491868</v>
      </c>
      <c r="H28" s="47">
        <v>4.545902393101775</v>
      </c>
    </row>
    <row r="29" spans="1:8" s="44" customFormat="1">
      <c r="A29" s="45">
        <v>6288</v>
      </c>
      <c r="B29" s="46" t="s">
        <v>2386</v>
      </c>
      <c r="C29" s="46" t="s">
        <v>9</v>
      </c>
      <c r="D29" s="46" t="s">
        <v>39</v>
      </c>
      <c r="E29" s="46" t="s">
        <v>6</v>
      </c>
      <c r="F29" s="47">
        <v>22.603408583565901</v>
      </c>
      <c r="G29" s="47">
        <v>21.5727998021516</v>
      </c>
      <c r="H29" s="47">
        <v>4.5595281685241851</v>
      </c>
    </row>
    <row r="30" spans="1:8" s="44" customFormat="1">
      <c r="A30" s="45" t="s">
        <v>1985</v>
      </c>
      <c r="B30" s="46" t="s">
        <v>2386</v>
      </c>
      <c r="C30" s="46" t="s">
        <v>21</v>
      </c>
      <c r="D30" s="46" t="s">
        <v>2321</v>
      </c>
      <c r="E30" s="46" t="s">
        <v>6</v>
      </c>
      <c r="F30" s="47">
        <v>18.567131791800549</v>
      </c>
      <c r="G30" s="47">
        <v>17.698984561256424</v>
      </c>
      <c r="H30" s="47">
        <v>4.6757207320000003</v>
      </c>
    </row>
    <row r="31" spans="1:8" s="44" customFormat="1">
      <c r="A31" s="45" t="s">
        <v>1137</v>
      </c>
      <c r="B31" s="46" t="s">
        <v>2386</v>
      </c>
      <c r="C31" s="46" t="s">
        <v>18</v>
      </c>
      <c r="D31" s="46" t="s">
        <v>128</v>
      </c>
      <c r="E31" s="46" t="s">
        <v>10</v>
      </c>
      <c r="F31" s="47">
        <v>17.290054706325101</v>
      </c>
      <c r="G31" s="47">
        <v>16.43714893857695</v>
      </c>
      <c r="H31" s="47">
        <v>4.9329269470000003</v>
      </c>
    </row>
    <row r="32" spans="1:8" s="44" customFormat="1">
      <c r="A32" s="45">
        <v>6290</v>
      </c>
      <c r="B32" s="46" t="s">
        <v>2386</v>
      </c>
      <c r="C32" s="46" t="s">
        <v>9</v>
      </c>
      <c r="D32" s="46" t="s">
        <v>39</v>
      </c>
      <c r="E32" s="46" t="s">
        <v>6</v>
      </c>
      <c r="F32" s="47">
        <v>23.4167893832301</v>
      </c>
      <c r="G32" s="47">
        <v>22.235754794824551</v>
      </c>
      <c r="H32" s="47">
        <v>5.0435376476134053</v>
      </c>
    </row>
    <row r="33" spans="1:9" s="44" customFormat="1">
      <c r="A33" s="45">
        <v>6289</v>
      </c>
      <c r="B33" s="46" t="s">
        <v>2386</v>
      </c>
      <c r="C33" s="46" t="s">
        <v>9</v>
      </c>
      <c r="D33" s="46" t="s">
        <v>39</v>
      </c>
      <c r="E33" s="46" t="s">
        <v>6</v>
      </c>
      <c r="F33" s="47">
        <v>22.758630288140949</v>
      </c>
      <c r="G33" s="47">
        <v>21.593896176443149</v>
      </c>
      <c r="H33" s="47">
        <v>5.1177689384264919</v>
      </c>
    </row>
    <row r="34" spans="1:9" s="44" customFormat="1">
      <c r="A34" s="45">
        <v>15501</v>
      </c>
      <c r="B34" s="46" t="s">
        <v>2386</v>
      </c>
      <c r="C34" s="46" t="s">
        <v>9</v>
      </c>
      <c r="D34" s="46" t="s">
        <v>7</v>
      </c>
      <c r="E34" s="46" t="s">
        <v>6</v>
      </c>
      <c r="F34" s="47">
        <v>22.930863986319949</v>
      </c>
      <c r="G34" s="47">
        <v>21.752140783605149</v>
      </c>
      <c r="H34" s="47">
        <v>5.1403348928239279</v>
      </c>
    </row>
    <row r="35" spans="1:9" s="44" customFormat="1">
      <c r="A35" s="45">
        <v>6269</v>
      </c>
      <c r="B35" s="46" t="s">
        <v>2386</v>
      </c>
      <c r="C35" s="46" t="s">
        <v>9</v>
      </c>
      <c r="D35" s="46" t="s">
        <v>7</v>
      </c>
      <c r="E35" s="46" t="s">
        <v>6</v>
      </c>
      <c r="F35" s="47">
        <v>23.2462045851717</v>
      </c>
      <c r="G35" s="47">
        <v>22.040678411538099</v>
      </c>
      <c r="H35" s="47">
        <v>5.1859053774420572</v>
      </c>
    </row>
    <row r="36" spans="1:9" s="44" customFormat="1">
      <c r="A36" s="45" t="s">
        <v>1340</v>
      </c>
      <c r="B36" s="46" t="s">
        <v>2386</v>
      </c>
      <c r="C36" s="46" t="s">
        <v>18</v>
      </c>
      <c r="D36" s="46" t="s">
        <v>764</v>
      </c>
      <c r="E36" s="46" t="s">
        <v>10</v>
      </c>
      <c r="F36" s="47">
        <v>16.216705104739326</v>
      </c>
      <c r="G36" s="47">
        <v>15.337508553134024</v>
      </c>
      <c r="H36" s="47">
        <v>5.4215486190000002</v>
      </c>
    </row>
    <row r="37" spans="1:9" s="44" customFormat="1">
      <c r="A37" s="45" t="s">
        <v>1982</v>
      </c>
      <c r="B37" s="46" t="s">
        <v>2386</v>
      </c>
      <c r="C37" s="46" t="s">
        <v>18</v>
      </c>
      <c r="D37" s="46" t="s">
        <v>128</v>
      </c>
      <c r="E37" s="46" t="s">
        <v>10</v>
      </c>
      <c r="F37" s="47">
        <v>18.766060188271673</v>
      </c>
      <c r="G37" s="47">
        <v>17.719141890812423</v>
      </c>
      <c r="H37" s="47">
        <v>5.5787857809999997</v>
      </c>
    </row>
    <row r="38" spans="1:9" s="44" customFormat="1">
      <c r="A38" s="45">
        <v>6322</v>
      </c>
      <c r="B38" s="46" t="s">
        <v>2386</v>
      </c>
      <c r="C38" s="46" t="s">
        <v>9</v>
      </c>
      <c r="D38" s="46" t="s">
        <v>39</v>
      </c>
      <c r="E38" s="46" t="s">
        <v>6</v>
      </c>
      <c r="F38" s="47">
        <v>22.053427555577798</v>
      </c>
      <c r="G38" s="47">
        <v>20.82090180073115</v>
      </c>
      <c r="H38" s="47">
        <v>5.5888172110231231</v>
      </c>
    </row>
    <row r="39" spans="1:9" s="44" customFormat="1">
      <c r="A39" s="45" t="s">
        <v>2019</v>
      </c>
      <c r="B39" s="46" t="s">
        <v>2386</v>
      </c>
      <c r="C39" s="46" t="s">
        <v>18</v>
      </c>
      <c r="D39" s="46" t="s">
        <v>764</v>
      </c>
      <c r="E39" s="46" t="s">
        <v>10</v>
      </c>
      <c r="F39" s="47">
        <v>17.484303864073972</v>
      </c>
      <c r="G39" s="47">
        <v>16.497363488172326</v>
      </c>
      <c r="H39" s="47">
        <v>5.6447221670000003</v>
      </c>
    </row>
    <row r="40" spans="1:9" s="44" customFormat="1">
      <c r="A40" s="45">
        <v>6303</v>
      </c>
      <c r="B40" s="46" t="s">
        <v>2386</v>
      </c>
      <c r="C40" s="46" t="s">
        <v>9</v>
      </c>
      <c r="D40" s="46" t="s">
        <v>39</v>
      </c>
      <c r="E40" s="46" t="s">
        <v>6</v>
      </c>
      <c r="F40" s="47">
        <v>23.473668054113102</v>
      </c>
      <c r="G40" s="47">
        <v>22.094344946492551</v>
      </c>
      <c r="H40" s="47">
        <v>5.8760441889219912</v>
      </c>
    </row>
    <row r="41" spans="1:9" s="44" customFormat="1">
      <c r="A41" s="45" t="s">
        <v>409</v>
      </c>
      <c r="B41" s="46" t="s">
        <v>2386</v>
      </c>
      <c r="C41" s="46" t="s">
        <v>18</v>
      </c>
      <c r="D41" s="46" t="s">
        <v>128</v>
      </c>
      <c r="E41" s="46" t="s">
        <v>10</v>
      </c>
      <c r="F41" s="47">
        <v>14.587506011428626</v>
      </c>
      <c r="G41" s="47">
        <v>13.714785594063125</v>
      </c>
      <c r="H41" s="47">
        <v>5.9826567795877246</v>
      </c>
    </row>
    <row r="42" spans="1:9" s="44" customFormat="1">
      <c r="A42" s="45">
        <v>6220</v>
      </c>
      <c r="B42" s="46" t="s">
        <v>2386</v>
      </c>
      <c r="C42" s="46" t="s">
        <v>9</v>
      </c>
      <c r="D42" s="46" t="s">
        <v>114</v>
      </c>
      <c r="E42" s="46" t="s">
        <v>6</v>
      </c>
      <c r="F42" s="47">
        <v>23.625323192095401</v>
      </c>
      <c r="G42" s="47">
        <v>22.17430179112765</v>
      </c>
      <c r="H42" s="47">
        <v>6.1418055074617399</v>
      </c>
    </row>
    <row r="43" spans="1:9" s="44" customFormat="1">
      <c r="A43" s="45">
        <v>6263</v>
      </c>
      <c r="B43" s="46" t="s">
        <v>2386</v>
      </c>
      <c r="C43" s="46" t="s">
        <v>18</v>
      </c>
      <c r="D43" s="46" t="s">
        <v>843</v>
      </c>
      <c r="E43" s="46" t="s">
        <v>10</v>
      </c>
      <c r="F43" s="47">
        <v>22.87200719084785</v>
      </c>
      <c r="G43" s="47">
        <v>21.415456027563749</v>
      </c>
      <c r="H43" s="47">
        <v>6.3682699604385107</v>
      </c>
    </row>
    <row r="44" spans="1:9" s="44" customFormat="1">
      <c r="A44" s="45">
        <v>6232</v>
      </c>
      <c r="B44" s="46" t="s">
        <v>2386</v>
      </c>
      <c r="C44" s="46" t="s">
        <v>9</v>
      </c>
      <c r="D44" s="46" t="s">
        <v>401</v>
      </c>
      <c r="E44" s="46" t="s">
        <v>6</v>
      </c>
      <c r="F44" s="47">
        <v>23.318428750435451</v>
      </c>
      <c r="G44" s="47">
        <v>21.799633792368198</v>
      </c>
      <c r="H44" s="47">
        <v>6.5132817237477543</v>
      </c>
      <c r="I44" s="49"/>
    </row>
    <row r="45" spans="1:9" s="44" customFormat="1">
      <c r="A45" s="45" t="s">
        <v>1123</v>
      </c>
      <c r="B45" s="46" t="s">
        <v>2386</v>
      </c>
      <c r="C45" s="46" t="s">
        <v>9</v>
      </c>
      <c r="D45" s="46" t="s">
        <v>114</v>
      </c>
      <c r="E45" s="46" t="s">
        <v>6</v>
      </c>
      <c r="F45" s="47">
        <v>18.872969631921222</v>
      </c>
      <c r="G45" s="47">
        <v>17.607123055430225</v>
      </c>
      <c r="H45" s="47">
        <v>6.707193416</v>
      </c>
    </row>
    <row r="46" spans="1:9" s="44" customFormat="1">
      <c r="A46" s="45">
        <v>6304</v>
      </c>
      <c r="B46" s="46" t="s">
        <v>2386</v>
      </c>
      <c r="C46" s="46" t="s">
        <v>9</v>
      </c>
      <c r="D46" s="46" t="s">
        <v>39</v>
      </c>
      <c r="E46" s="46" t="s">
        <v>6</v>
      </c>
      <c r="F46" s="47">
        <v>23.6052540369935</v>
      </c>
      <c r="G46" s="47">
        <v>22.000709807347349</v>
      </c>
      <c r="H46" s="47">
        <v>6.7974029304304633</v>
      </c>
    </row>
    <row r="47" spans="1:9" s="44" customFormat="1">
      <c r="A47" s="45">
        <v>6287</v>
      </c>
      <c r="B47" s="46" t="s">
        <v>2386</v>
      </c>
      <c r="C47" s="46" t="s">
        <v>9</v>
      </c>
      <c r="D47" s="46" t="s">
        <v>39</v>
      </c>
      <c r="E47" s="46" t="s">
        <v>6</v>
      </c>
      <c r="F47" s="47">
        <v>23.201223596416149</v>
      </c>
      <c r="G47" s="47">
        <v>21.578380137728651</v>
      </c>
      <c r="H47" s="47">
        <v>6.9946460019383423</v>
      </c>
    </row>
    <row r="48" spans="1:9" s="44" customFormat="1">
      <c r="A48" s="45" t="s">
        <v>1131</v>
      </c>
      <c r="B48" s="46" t="s">
        <v>2386</v>
      </c>
      <c r="C48" s="46" t="s">
        <v>18</v>
      </c>
      <c r="D48" s="46" t="s">
        <v>764</v>
      </c>
      <c r="E48" s="46" t="s">
        <v>10</v>
      </c>
      <c r="F48" s="47">
        <v>16.0616343235687</v>
      </c>
      <c r="G48" s="47">
        <v>14.9328377796075</v>
      </c>
      <c r="H48" s="47">
        <v>7.0279058860000001</v>
      </c>
    </row>
    <row r="49" spans="1:8" s="44" customFormat="1">
      <c r="A49" s="45" t="s">
        <v>2016</v>
      </c>
      <c r="B49" s="46" t="s">
        <v>2386</v>
      </c>
      <c r="C49" s="46" t="s">
        <v>18</v>
      </c>
      <c r="D49" s="46" t="s">
        <v>128</v>
      </c>
      <c r="E49" s="46" t="s">
        <v>10</v>
      </c>
      <c r="F49" s="47">
        <v>16.711892581465023</v>
      </c>
      <c r="G49" s="47">
        <v>15.493981866105624</v>
      </c>
      <c r="H49" s="47">
        <v>7.287688749</v>
      </c>
    </row>
    <row r="50" spans="1:8" s="44" customFormat="1">
      <c r="A50" s="45" t="s">
        <v>1989</v>
      </c>
      <c r="B50" s="46" t="s">
        <v>2386</v>
      </c>
      <c r="C50" s="46" t="s">
        <v>18</v>
      </c>
      <c r="D50" s="46" t="s">
        <v>128</v>
      </c>
      <c r="E50" s="46" t="s">
        <v>10</v>
      </c>
      <c r="F50" s="47">
        <v>14.729782568774551</v>
      </c>
      <c r="G50" s="47">
        <v>13.597289973216975</v>
      </c>
      <c r="H50" s="47">
        <v>7.6884542610000004</v>
      </c>
    </row>
    <row r="51" spans="1:8" s="44" customFormat="1">
      <c r="A51" s="45" t="s">
        <v>1324</v>
      </c>
      <c r="B51" s="46" t="s">
        <v>2386</v>
      </c>
      <c r="C51" s="46" t="s">
        <v>18</v>
      </c>
      <c r="D51" s="46" t="s">
        <v>764</v>
      </c>
      <c r="E51" s="46" t="s">
        <v>10</v>
      </c>
      <c r="F51" s="47">
        <v>17.885126853688476</v>
      </c>
      <c r="G51" s="47">
        <v>16.441259051488302</v>
      </c>
      <c r="H51" s="47">
        <v>8.0730084499999997</v>
      </c>
    </row>
    <row r="52" spans="1:8" s="44" customFormat="1">
      <c r="A52" s="45">
        <v>6255</v>
      </c>
      <c r="B52" s="46" t="s">
        <v>2386</v>
      </c>
      <c r="C52" s="46" t="s">
        <v>14</v>
      </c>
      <c r="D52" s="46" t="s">
        <v>30</v>
      </c>
      <c r="E52" s="46" t="s">
        <v>10</v>
      </c>
      <c r="F52" s="47">
        <v>23.437994772851901</v>
      </c>
      <c r="G52" s="47">
        <v>21.52279509561285</v>
      </c>
      <c r="H52" s="47">
        <v>8.1713461232503448</v>
      </c>
    </row>
    <row r="53" spans="1:8" s="44" customFormat="1">
      <c r="A53" s="45" t="s">
        <v>680</v>
      </c>
      <c r="B53" s="46" t="s">
        <v>2386</v>
      </c>
      <c r="C53" s="46" t="s">
        <v>9</v>
      </c>
      <c r="D53" s="46" t="s">
        <v>145</v>
      </c>
      <c r="E53" s="46" t="s">
        <v>6</v>
      </c>
      <c r="F53" s="47">
        <v>24.725596930216547</v>
      </c>
      <c r="G53" s="47">
        <v>22.70102537651665</v>
      </c>
      <c r="H53" s="47">
        <v>8.1881604695485333</v>
      </c>
    </row>
    <row r="54" spans="1:8" s="44" customFormat="1">
      <c r="A54" s="45" t="s">
        <v>1322</v>
      </c>
      <c r="B54" s="46" t="s">
        <v>2386</v>
      </c>
      <c r="C54" s="46" t="s">
        <v>18</v>
      </c>
      <c r="D54" s="46" t="s">
        <v>128</v>
      </c>
      <c r="E54" s="46" t="s">
        <v>10</v>
      </c>
      <c r="F54" s="47">
        <v>17.138498799494275</v>
      </c>
      <c r="G54" s="47">
        <v>15.727128990323425</v>
      </c>
      <c r="H54" s="47">
        <v>8.2350842140000005</v>
      </c>
    </row>
    <row r="55" spans="1:8" s="44" customFormat="1">
      <c r="A55" s="45" t="s">
        <v>17460</v>
      </c>
      <c r="B55" s="46" t="s">
        <v>2386</v>
      </c>
      <c r="C55" s="46" t="s">
        <v>9</v>
      </c>
      <c r="D55" s="46" t="s">
        <v>101</v>
      </c>
      <c r="E55" s="46" t="s">
        <v>6</v>
      </c>
      <c r="F55" s="47">
        <v>14.6667505674962</v>
      </c>
      <c r="G55" s="47">
        <v>13.42583588113505</v>
      </c>
      <c r="H55" s="47">
        <v>8.4607335527421395</v>
      </c>
    </row>
    <row r="56" spans="1:8" s="44" customFormat="1">
      <c r="A56" s="45">
        <v>6275</v>
      </c>
      <c r="B56" s="46" t="s">
        <v>2386</v>
      </c>
      <c r="C56" s="46" t="s">
        <v>18</v>
      </c>
      <c r="D56" s="46" t="s">
        <v>128</v>
      </c>
      <c r="E56" s="46" t="s">
        <v>10</v>
      </c>
      <c r="F56" s="47">
        <v>22.503737045695051</v>
      </c>
      <c r="G56" s="47">
        <v>20.50406512231735</v>
      </c>
      <c r="H56" s="47">
        <v>8.8859548941460638</v>
      </c>
    </row>
    <row r="57" spans="1:8" s="44" customFormat="1">
      <c r="A57" s="45">
        <v>6319</v>
      </c>
      <c r="B57" s="46" t="s">
        <v>2386</v>
      </c>
      <c r="C57" s="46" t="s">
        <v>9</v>
      </c>
      <c r="D57" s="46" t="s">
        <v>23</v>
      </c>
      <c r="E57" s="46" t="s">
        <v>6</v>
      </c>
      <c r="F57" s="47">
        <v>23.009222511052052</v>
      </c>
      <c r="G57" s="47">
        <v>20.875168714699349</v>
      </c>
      <c r="H57" s="47">
        <v>9.2747757788323781</v>
      </c>
    </row>
    <row r="58" spans="1:8" s="44" customFormat="1">
      <c r="A58" s="45" t="s">
        <v>1983</v>
      </c>
      <c r="B58" s="46" t="s">
        <v>2386</v>
      </c>
      <c r="C58" s="46" t="s">
        <v>21</v>
      </c>
      <c r="D58" s="46" t="s">
        <v>2321</v>
      </c>
      <c r="E58" s="46" t="s">
        <v>6</v>
      </c>
      <c r="F58" s="47">
        <v>19.200688556322099</v>
      </c>
      <c r="G58" s="47">
        <v>17.38981412429375</v>
      </c>
      <c r="H58" s="47">
        <v>9.431299439</v>
      </c>
    </row>
    <row r="59" spans="1:8" s="44" customFormat="1">
      <c r="A59" s="45">
        <v>2823</v>
      </c>
      <c r="B59" s="46" t="s">
        <v>2386</v>
      </c>
      <c r="C59" s="46" t="s">
        <v>9</v>
      </c>
      <c r="D59" s="46" t="s">
        <v>119</v>
      </c>
      <c r="E59" s="46" t="s">
        <v>6</v>
      </c>
      <c r="F59" s="47">
        <v>21.163211774261399</v>
      </c>
      <c r="G59" s="47">
        <v>19.124564734413649</v>
      </c>
      <c r="H59" s="47">
        <v>9.6329756635859187</v>
      </c>
    </row>
    <row r="60" spans="1:8" s="44" customFormat="1">
      <c r="A60" s="45" t="s">
        <v>327</v>
      </c>
      <c r="B60" s="46" t="s">
        <v>2386</v>
      </c>
      <c r="C60" s="46" t="s">
        <v>14</v>
      </c>
      <c r="D60" s="46" t="s">
        <v>80</v>
      </c>
      <c r="E60" s="46" t="s">
        <v>10</v>
      </c>
      <c r="F60" s="47">
        <v>18.500027096322576</v>
      </c>
      <c r="G60" s="47">
        <v>16.708399685561925</v>
      </c>
      <c r="H60" s="47">
        <v>9.6844583061004741</v>
      </c>
    </row>
    <row r="61" spans="1:8" s="44" customFormat="1">
      <c r="A61" s="45" t="s">
        <v>407</v>
      </c>
      <c r="B61" s="46" t="s">
        <v>2386</v>
      </c>
      <c r="C61" s="46" t="s">
        <v>9</v>
      </c>
      <c r="D61" s="46" t="s">
        <v>101</v>
      </c>
      <c r="E61" s="46" t="s">
        <v>6</v>
      </c>
      <c r="F61" s="47">
        <v>15.345109076105899</v>
      </c>
      <c r="G61" s="47">
        <v>13.844337036307374</v>
      </c>
      <c r="H61" s="47">
        <v>9.7801327599254417</v>
      </c>
    </row>
    <row r="62" spans="1:8" s="44" customFormat="1">
      <c r="A62" s="45" t="s">
        <v>1992</v>
      </c>
      <c r="B62" s="46" t="s">
        <v>2386</v>
      </c>
      <c r="C62" s="46" t="s">
        <v>18</v>
      </c>
      <c r="D62" s="46" t="s">
        <v>128</v>
      </c>
      <c r="E62" s="46" t="s">
        <v>10</v>
      </c>
      <c r="F62" s="47">
        <v>18.847870189390626</v>
      </c>
      <c r="G62" s="47">
        <v>16.720648636713275</v>
      </c>
      <c r="H62" s="47">
        <v>11.286270180000001</v>
      </c>
    </row>
    <row r="63" spans="1:8" s="44" customFormat="1">
      <c r="A63" s="48" t="s">
        <v>317</v>
      </c>
      <c r="B63" s="46" t="s">
        <v>2386</v>
      </c>
      <c r="C63" s="46" t="s">
        <v>14</v>
      </c>
      <c r="D63" s="46" t="s">
        <v>319</v>
      </c>
      <c r="E63" s="46" t="s">
        <v>10</v>
      </c>
      <c r="F63" s="47">
        <v>21.674183406369849</v>
      </c>
      <c r="G63" s="47">
        <v>19.130337342275652</v>
      </c>
      <c r="H63" s="47">
        <v>11.736756196990484</v>
      </c>
    </row>
    <row r="64" spans="1:8" s="44" customFormat="1">
      <c r="A64" s="45" t="s">
        <v>1139</v>
      </c>
      <c r="B64" s="46" t="s">
        <v>2386</v>
      </c>
      <c r="C64" s="46" t="s">
        <v>18</v>
      </c>
      <c r="D64" s="46" t="s">
        <v>128</v>
      </c>
      <c r="E64" s="46" t="s">
        <v>10</v>
      </c>
      <c r="F64" s="47">
        <v>15.143558657237476</v>
      </c>
      <c r="G64" s="47">
        <v>12.879087752846475</v>
      </c>
      <c r="H64" s="47">
        <v>14.95336041</v>
      </c>
    </row>
    <row r="65" spans="1:11" s="44" customFormat="1">
      <c r="A65" s="45" t="s">
        <v>691</v>
      </c>
      <c r="B65" s="46" t="s">
        <v>2386</v>
      </c>
      <c r="C65" s="46" t="s">
        <v>14</v>
      </c>
      <c r="D65" s="46" t="s">
        <v>11</v>
      </c>
      <c r="E65" s="46" t="s">
        <v>10</v>
      </c>
      <c r="F65" s="47">
        <v>21.250188943017349</v>
      </c>
      <c r="G65" s="47">
        <v>16.994166144830849</v>
      </c>
      <c r="H65" s="47">
        <v>20.028164500556112</v>
      </c>
      <c r="I65" s="2"/>
      <c r="J65" s="2"/>
      <c r="K65" s="2"/>
    </row>
    <row r="66" spans="1:11" s="44" customFormat="1">
      <c r="A66" s="45" t="s">
        <v>314</v>
      </c>
      <c r="B66" s="46" t="s">
        <v>270</v>
      </c>
      <c r="C66" s="46" t="s">
        <v>18</v>
      </c>
      <c r="D66" s="46" t="s">
        <v>16</v>
      </c>
      <c r="E66" s="46" t="s">
        <v>10</v>
      </c>
      <c r="F66" s="47">
        <v>15.905328573973826</v>
      </c>
      <c r="G66" s="47">
        <v>15.973621511569375</v>
      </c>
      <c r="H66" s="47">
        <v>-0.42937143535215494</v>
      </c>
    </row>
    <row r="67" spans="1:11" s="44" customFormat="1">
      <c r="A67" s="48" t="s">
        <v>277</v>
      </c>
      <c r="B67" s="46" t="s">
        <v>270</v>
      </c>
      <c r="C67" s="46" t="s">
        <v>18</v>
      </c>
      <c r="D67" s="46" t="s">
        <v>128</v>
      </c>
      <c r="E67" s="46" t="s">
        <v>10</v>
      </c>
      <c r="F67" s="47">
        <v>21.724061774083602</v>
      </c>
      <c r="G67" s="47">
        <v>20.102689926956849</v>
      </c>
      <c r="H67" s="47">
        <v>7.4634838732645203</v>
      </c>
    </row>
    <row r="68" spans="1:11" s="44" customFormat="1">
      <c r="A68" s="48" t="s">
        <v>288</v>
      </c>
      <c r="B68" s="46" t="s">
        <v>270</v>
      </c>
      <c r="C68" s="46" t="s">
        <v>14</v>
      </c>
      <c r="D68" s="46" t="s">
        <v>34</v>
      </c>
      <c r="E68" s="46" t="s">
        <v>10</v>
      </c>
      <c r="F68" s="47">
        <v>21.724061774083602</v>
      </c>
      <c r="G68" s="47">
        <v>20.102689926956849</v>
      </c>
      <c r="H68" s="47">
        <v>7.4634838732645203</v>
      </c>
    </row>
    <row r="69" spans="1:11" s="44" customFormat="1">
      <c r="A69" s="48" t="s">
        <v>819</v>
      </c>
      <c r="B69" s="46" t="s">
        <v>270</v>
      </c>
      <c r="C69" s="46" t="s">
        <v>18</v>
      </c>
      <c r="D69" s="46" t="s">
        <v>128</v>
      </c>
      <c r="E69" s="46" t="s">
        <v>10</v>
      </c>
      <c r="F69" s="47">
        <v>20.805888606272649</v>
      </c>
      <c r="G69" s="47">
        <v>19.091959983705202</v>
      </c>
      <c r="H69" s="47">
        <v>8.237709309136287</v>
      </c>
    </row>
    <row r="70" spans="1:11" s="44" customFormat="1">
      <c r="A70" s="48" t="s">
        <v>825</v>
      </c>
      <c r="B70" s="46" t="s">
        <v>270</v>
      </c>
      <c r="C70" s="46" t="s">
        <v>18</v>
      </c>
      <c r="D70" s="46" t="s">
        <v>128</v>
      </c>
      <c r="E70" s="46" t="s">
        <v>10</v>
      </c>
      <c r="F70" s="47">
        <v>20.38130731035325</v>
      </c>
      <c r="G70" s="47">
        <v>18.680289239273698</v>
      </c>
      <c r="H70" s="47">
        <v>8.3459713608040946</v>
      </c>
    </row>
    <row r="71" spans="1:11" s="44" customFormat="1">
      <c r="A71" s="48" t="s">
        <v>827</v>
      </c>
      <c r="B71" s="46" t="s">
        <v>270</v>
      </c>
      <c r="C71" s="46" t="s">
        <v>18</v>
      </c>
      <c r="D71" s="46" t="s">
        <v>128</v>
      </c>
      <c r="E71" s="46" t="s">
        <v>10</v>
      </c>
      <c r="F71" s="47">
        <v>20.55686277852465</v>
      </c>
      <c r="G71" s="47">
        <v>18.81910031921565</v>
      </c>
      <c r="H71" s="47">
        <v>8.4534419382533699</v>
      </c>
    </row>
    <row r="72" spans="1:11" s="44" customFormat="1">
      <c r="A72" s="48" t="s">
        <v>289</v>
      </c>
      <c r="B72" s="46" t="s">
        <v>270</v>
      </c>
      <c r="C72" s="46" t="s">
        <v>18</v>
      </c>
      <c r="D72" s="46" t="s">
        <v>128</v>
      </c>
      <c r="E72" s="46" t="s">
        <v>10</v>
      </c>
      <c r="F72" s="47">
        <v>20.762793745563901</v>
      </c>
      <c r="G72" s="47">
        <v>18.886559766364101</v>
      </c>
      <c r="H72" s="47">
        <v>9.0365198546590975</v>
      </c>
    </row>
    <row r="73" spans="1:11" s="44" customFormat="1">
      <c r="A73" s="48" t="s">
        <v>823</v>
      </c>
      <c r="B73" s="46" t="s">
        <v>270</v>
      </c>
      <c r="C73" s="46" t="s">
        <v>18</v>
      </c>
      <c r="D73" s="46" t="s">
        <v>128</v>
      </c>
      <c r="E73" s="46" t="s">
        <v>10</v>
      </c>
      <c r="F73" s="47">
        <v>20.623180727591702</v>
      </c>
      <c r="G73" s="47">
        <v>18.644049846153351</v>
      </c>
      <c r="H73" s="47">
        <v>9.596632583403963</v>
      </c>
    </row>
    <row r="74" spans="1:11" s="44" customFormat="1">
      <c r="A74" s="48" t="s">
        <v>2025</v>
      </c>
      <c r="B74" s="46" t="s">
        <v>270</v>
      </c>
      <c r="C74" s="46" t="s">
        <v>9</v>
      </c>
      <c r="D74" s="46" t="s">
        <v>52</v>
      </c>
      <c r="E74" s="46" t="s">
        <v>6</v>
      </c>
      <c r="F74" s="50">
        <v>21.526404856432549</v>
      </c>
      <c r="G74" s="50">
        <v>19.41691313357035</v>
      </c>
      <c r="H74" s="50">
        <v>9.7995542540947671</v>
      </c>
    </row>
    <row r="75" spans="1:11" s="44" customFormat="1">
      <c r="A75" s="48" t="s">
        <v>817</v>
      </c>
      <c r="B75" s="46" t="s">
        <v>270</v>
      </c>
      <c r="C75" s="46" t="s">
        <v>18</v>
      </c>
      <c r="D75" s="46" t="s">
        <v>128</v>
      </c>
      <c r="E75" s="46" t="s">
        <v>10</v>
      </c>
      <c r="F75" s="47">
        <v>20.973823435908102</v>
      </c>
      <c r="G75" s="47">
        <v>18.780167382113898</v>
      </c>
      <c r="H75" s="47">
        <v>10.459018406908916</v>
      </c>
    </row>
    <row r="76" spans="1:11" s="44" customFormat="1">
      <c r="A76" s="48" t="s">
        <v>813</v>
      </c>
      <c r="B76" s="46" t="s">
        <v>270</v>
      </c>
      <c r="C76" s="46" t="s">
        <v>18</v>
      </c>
      <c r="D76" s="46" t="s">
        <v>128</v>
      </c>
      <c r="E76" s="46" t="s">
        <v>10</v>
      </c>
      <c r="F76" s="47">
        <v>19.97485697531075</v>
      </c>
      <c r="G76" s="47">
        <v>17.84751353347815</v>
      </c>
      <c r="H76" s="47">
        <v>10.650106003071924</v>
      </c>
    </row>
    <row r="77" spans="1:11" s="44" customFormat="1">
      <c r="A77" s="48" t="s">
        <v>815</v>
      </c>
      <c r="B77" s="46" t="s">
        <v>270</v>
      </c>
      <c r="C77" s="46" t="s">
        <v>18</v>
      </c>
      <c r="D77" s="46" t="s">
        <v>128</v>
      </c>
      <c r="E77" s="46" t="s">
        <v>10</v>
      </c>
      <c r="F77" s="47">
        <v>21.353342457668049</v>
      </c>
      <c r="G77" s="47">
        <v>18.97469001775735</v>
      </c>
      <c r="H77" s="47">
        <v>11.139485280237793</v>
      </c>
    </row>
    <row r="78" spans="1:11" s="44" customFormat="1">
      <c r="A78" s="48" t="s">
        <v>820</v>
      </c>
      <c r="B78" s="46" t="s">
        <v>270</v>
      </c>
      <c r="C78" s="46" t="s">
        <v>14</v>
      </c>
      <c r="D78" s="46" t="s">
        <v>80</v>
      </c>
      <c r="E78" s="46" t="s">
        <v>10</v>
      </c>
      <c r="F78" s="47">
        <v>20.160048786961802</v>
      </c>
      <c r="G78" s="47">
        <v>17.853154214539501</v>
      </c>
      <c r="H78" s="47">
        <v>11.442901735010924</v>
      </c>
    </row>
    <row r="79" spans="1:11" s="44" customFormat="1">
      <c r="A79" s="48" t="s">
        <v>829</v>
      </c>
      <c r="B79" s="46" t="s">
        <v>270</v>
      </c>
      <c r="C79" s="46" t="s">
        <v>18</v>
      </c>
      <c r="D79" s="46" t="s">
        <v>128</v>
      </c>
      <c r="E79" s="46" t="s">
        <v>10</v>
      </c>
      <c r="F79" s="47">
        <v>20.315094113771849</v>
      </c>
      <c r="G79" s="47">
        <v>17.989219367459953</v>
      </c>
      <c r="H79" s="47">
        <v>11.448998135505351</v>
      </c>
    </row>
    <row r="80" spans="1:11" s="44" customFormat="1">
      <c r="A80" s="48" t="s">
        <v>294</v>
      </c>
      <c r="B80" s="46" t="s">
        <v>270</v>
      </c>
      <c r="C80" s="46" t="s">
        <v>18</v>
      </c>
      <c r="D80" s="46" t="s">
        <v>128</v>
      </c>
      <c r="E80" s="46" t="s">
        <v>10</v>
      </c>
      <c r="F80" s="47">
        <v>20.11390579085765</v>
      </c>
      <c r="G80" s="47">
        <v>17.767949551101349</v>
      </c>
      <c r="H80" s="47">
        <v>11.663355014930044</v>
      </c>
    </row>
    <row r="81" spans="1:11" s="44" customFormat="1">
      <c r="A81" s="48" t="s">
        <v>803</v>
      </c>
      <c r="B81" s="46" t="s">
        <v>270</v>
      </c>
      <c r="C81" s="46" t="s">
        <v>14</v>
      </c>
      <c r="D81" s="46" t="s">
        <v>34</v>
      </c>
      <c r="E81" s="46" t="s">
        <v>10</v>
      </c>
      <c r="F81" s="47">
        <v>21.35678274798995</v>
      </c>
      <c r="G81" s="47">
        <v>18.06561421456135</v>
      </c>
      <c r="H81" s="47">
        <v>15.410413507804011</v>
      </c>
    </row>
    <row r="82" spans="1:11" s="44" customFormat="1">
      <c r="A82" s="48" t="s">
        <v>807</v>
      </c>
      <c r="B82" s="46" t="s">
        <v>270</v>
      </c>
      <c r="C82" s="46" t="s">
        <v>14</v>
      </c>
      <c r="D82" s="46" t="s">
        <v>80</v>
      </c>
      <c r="E82" s="46" t="s">
        <v>10</v>
      </c>
      <c r="F82" s="47">
        <v>21.013784410513253</v>
      </c>
      <c r="G82" s="47">
        <v>17.7377981394893</v>
      </c>
      <c r="H82" s="47">
        <v>15.589701536030642</v>
      </c>
      <c r="I82" s="2"/>
      <c r="J82" s="2"/>
      <c r="K82" s="2"/>
    </row>
    <row r="83" spans="1:11" s="44" customFormat="1">
      <c r="A83" s="48" t="s">
        <v>287</v>
      </c>
      <c r="B83" s="46" t="s">
        <v>270</v>
      </c>
      <c r="C83" s="46" t="s">
        <v>14</v>
      </c>
      <c r="D83" s="46" t="s">
        <v>34</v>
      </c>
      <c r="E83" s="46" t="s">
        <v>10</v>
      </c>
      <c r="F83" s="47">
        <v>20.1312305714623</v>
      </c>
      <c r="G83" s="47">
        <v>16.82819685036295</v>
      </c>
      <c r="H83" s="47">
        <v>16.40751025812439</v>
      </c>
      <c r="I83" s="2"/>
      <c r="J83" s="2"/>
      <c r="K83" s="2"/>
    </row>
    <row r="84" spans="1:11" s="44" customFormat="1">
      <c r="A84" s="48" t="s">
        <v>809</v>
      </c>
      <c r="B84" s="46" t="s">
        <v>270</v>
      </c>
      <c r="C84" s="46" t="s">
        <v>18</v>
      </c>
      <c r="D84" s="46" t="s">
        <v>128</v>
      </c>
      <c r="E84" s="46" t="s">
        <v>10</v>
      </c>
      <c r="F84" s="47">
        <v>20.5244930451572</v>
      </c>
      <c r="G84" s="47">
        <v>17.141946834582598</v>
      </c>
      <c r="H84" s="47">
        <v>16.480534759774358</v>
      </c>
      <c r="I84" s="2"/>
      <c r="J84" s="2"/>
      <c r="K84" s="2"/>
    </row>
    <row r="85" spans="1:11" s="44" customFormat="1">
      <c r="A85" s="48" t="s">
        <v>822</v>
      </c>
      <c r="B85" s="46" t="s">
        <v>270</v>
      </c>
      <c r="C85" s="46" t="s">
        <v>14</v>
      </c>
      <c r="D85" s="46" t="s">
        <v>34</v>
      </c>
      <c r="E85" s="46" t="s">
        <v>10</v>
      </c>
      <c r="F85" s="47">
        <v>18.95117992869325</v>
      </c>
      <c r="G85" s="47">
        <v>15.595747023954249</v>
      </c>
      <c r="H85" s="47">
        <v>17.705667495978282</v>
      </c>
      <c r="I85" s="2"/>
      <c r="J85" s="2"/>
      <c r="K85" s="2"/>
    </row>
    <row r="86" spans="1:11" s="44" customFormat="1">
      <c r="A86" s="48" t="s">
        <v>811</v>
      </c>
      <c r="B86" s="46" t="s">
        <v>270</v>
      </c>
      <c r="C86" s="46" t="s">
        <v>14</v>
      </c>
      <c r="D86" s="46" t="s">
        <v>34</v>
      </c>
      <c r="E86" s="46" t="s">
        <v>10</v>
      </c>
      <c r="F86" s="47">
        <v>19.467945556869601</v>
      </c>
      <c r="G86" s="47">
        <v>15.747722707470201</v>
      </c>
      <c r="H86" s="47">
        <v>19.109478391193957</v>
      </c>
      <c r="I86" s="2"/>
      <c r="J86" s="2"/>
      <c r="K86" s="2"/>
    </row>
    <row r="87" spans="1:11" s="44" customFormat="1">
      <c r="A87" s="41" t="s">
        <v>17365</v>
      </c>
      <c r="B87" s="42" t="s">
        <v>5</v>
      </c>
      <c r="C87" s="62" t="s">
        <v>14</v>
      </c>
      <c r="D87" s="62" t="s">
        <v>11</v>
      </c>
      <c r="E87" s="42" t="s">
        <v>10</v>
      </c>
      <c r="F87" s="43">
        <v>14.60122747</v>
      </c>
      <c r="G87" s="43">
        <v>12.25387226</v>
      </c>
      <c r="H87" s="43">
        <v>24.646170618118511</v>
      </c>
      <c r="I87" s="38" t="s">
        <v>16964</v>
      </c>
      <c r="J87" s="38" t="s">
        <v>17474</v>
      </c>
      <c r="K87" s="2"/>
    </row>
    <row r="88" spans="1:11" s="44" customFormat="1">
      <c r="A88" s="45" t="s">
        <v>2055</v>
      </c>
      <c r="B88" s="46" t="s">
        <v>5</v>
      </c>
      <c r="C88" s="46" t="s">
        <v>9</v>
      </c>
      <c r="D88" s="46" t="s">
        <v>101</v>
      </c>
      <c r="E88" s="46" t="s">
        <v>6</v>
      </c>
      <c r="F88" s="47">
        <v>14.51245026453755</v>
      </c>
      <c r="G88" s="47">
        <v>15.313828564189675</v>
      </c>
      <c r="H88" s="47">
        <v>-5.5220054852512579</v>
      </c>
    </row>
    <row r="89" spans="1:11" s="44" customFormat="1">
      <c r="A89" s="45" t="s">
        <v>425</v>
      </c>
      <c r="B89" s="46" t="s">
        <v>5</v>
      </c>
      <c r="C89" s="46" t="s">
        <v>9</v>
      </c>
      <c r="D89" s="46" t="s">
        <v>7</v>
      </c>
      <c r="E89" s="46" t="s">
        <v>6</v>
      </c>
      <c r="F89" s="47">
        <v>14.000538599295027</v>
      </c>
      <c r="G89" s="47">
        <v>14.372456825666225</v>
      </c>
      <c r="H89" s="47">
        <v>-2.6564565622491543</v>
      </c>
    </row>
    <row r="90" spans="1:11" s="44" customFormat="1">
      <c r="A90" s="48" t="s">
        <v>2239</v>
      </c>
      <c r="B90" s="46" t="s">
        <v>5</v>
      </c>
      <c r="C90" s="46" t="s">
        <v>9</v>
      </c>
      <c r="D90" s="46" t="s">
        <v>28</v>
      </c>
      <c r="E90" s="46" t="s">
        <v>6</v>
      </c>
      <c r="F90" s="47">
        <v>46.072302505003698</v>
      </c>
      <c r="G90" s="47">
        <v>47.219785294249974</v>
      </c>
      <c r="H90" s="47">
        <v>-2.4906130730532716</v>
      </c>
    </row>
    <row r="91" spans="1:11" s="44" customFormat="1">
      <c r="A91" s="48" t="s">
        <v>2254</v>
      </c>
      <c r="B91" s="46" t="s">
        <v>5</v>
      </c>
      <c r="C91" s="46" t="s">
        <v>14</v>
      </c>
      <c r="D91" s="46" t="s">
        <v>11</v>
      </c>
      <c r="E91" s="46" t="s">
        <v>10</v>
      </c>
      <c r="F91" s="47">
        <v>35.591243539180425</v>
      </c>
      <c r="G91" s="47">
        <v>36.467123365929595</v>
      </c>
      <c r="H91" s="47">
        <v>-2.4609419049518744</v>
      </c>
    </row>
    <row r="92" spans="1:11" s="44" customFormat="1">
      <c r="A92" s="45" t="s">
        <v>2062</v>
      </c>
      <c r="B92" s="46" t="s">
        <v>5</v>
      </c>
      <c r="C92" s="46" t="s">
        <v>18</v>
      </c>
      <c r="D92" s="46" t="s">
        <v>58</v>
      </c>
      <c r="E92" s="46" t="s">
        <v>10</v>
      </c>
      <c r="F92" s="47">
        <v>12.551214667096351</v>
      </c>
      <c r="G92" s="47">
        <v>12.847586431182849</v>
      </c>
      <c r="H92" s="47">
        <v>-2.3612994594335968</v>
      </c>
    </row>
    <row r="93" spans="1:11" s="44" customFormat="1">
      <c r="A93" s="48" t="s">
        <v>2244</v>
      </c>
      <c r="B93" s="46" t="s">
        <v>5</v>
      </c>
      <c r="C93" s="46" t="s">
        <v>9</v>
      </c>
      <c r="D93" s="46" t="s">
        <v>119</v>
      </c>
      <c r="E93" s="46" t="s">
        <v>6</v>
      </c>
      <c r="F93" s="47">
        <v>47.16738362332562</v>
      </c>
      <c r="G93" s="47">
        <v>47.937105711294301</v>
      </c>
      <c r="H93" s="47">
        <v>-1.6318948155267909</v>
      </c>
    </row>
    <row r="94" spans="1:11" s="44" customFormat="1">
      <c r="A94" s="45" t="s">
        <v>2044</v>
      </c>
      <c r="B94" s="46" t="s">
        <v>5</v>
      </c>
      <c r="C94" s="46" t="s">
        <v>9</v>
      </c>
      <c r="D94" s="46" t="s">
        <v>23</v>
      </c>
      <c r="E94" s="46" t="s">
        <v>6</v>
      </c>
      <c r="F94" s="47">
        <v>14.959614258637675</v>
      </c>
      <c r="G94" s="47">
        <v>15.115773331582275</v>
      </c>
      <c r="H94" s="47">
        <v>-1.04387098654255</v>
      </c>
    </row>
    <row r="95" spans="1:11" s="44" customFormat="1">
      <c r="A95" s="48" t="s">
        <v>2359</v>
      </c>
      <c r="B95" s="46" t="s">
        <v>5</v>
      </c>
      <c r="C95" s="46" t="s">
        <v>9</v>
      </c>
      <c r="D95" s="46" t="s">
        <v>119</v>
      </c>
      <c r="E95" s="46" t="s">
        <v>6</v>
      </c>
      <c r="F95" s="47">
        <v>48.417416616057551</v>
      </c>
      <c r="G95" s="47">
        <v>48.905617893839626</v>
      </c>
      <c r="H95" s="47">
        <v>-1.0083174855309407</v>
      </c>
    </row>
    <row r="96" spans="1:11" s="44" customFormat="1">
      <c r="A96" s="48" t="s">
        <v>2257</v>
      </c>
      <c r="B96" s="46" t="s">
        <v>5</v>
      </c>
      <c r="C96" s="46" t="s">
        <v>21</v>
      </c>
      <c r="D96" s="46" t="s">
        <v>19</v>
      </c>
      <c r="E96" s="46" t="s">
        <v>6</v>
      </c>
      <c r="F96" s="47">
        <v>46.04263959279325</v>
      </c>
      <c r="G96" s="47">
        <v>46.387954775548025</v>
      </c>
      <c r="H96" s="47">
        <v>-0.74998997843909176</v>
      </c>
    </row>
    <row r="97" spans="1:8" s="44" customFormat="1">
      <c r="A97" s="48" t="s">
        <v>2353</v>
      </c>
      <c r="B97" s="46" t="s">
        <v>5</v>
      </c>
      <c r="C97" s="46" t="s">
        <v>9</v>
      </c>
      <c r="D97" s="46" t="s">
        <v>114</v>
      </c>
      <c r="E97" s="46" t="s">
        <v>6</v>
      </c>
      <c r="F97" s="47">
        <v>46.445986898274924</v>
      </c>
      <c r="G97" s="47">
        <v>46.786214052613104</v>
      </c>
      <c r="H97" s="47">
        <v>-0.73252217696082589</v>
      </c>
    </row>
    <row r="98" spans="1:8" s="44" customFormat="1">
      <c r="A98" s="45" t="s">
        <v>2054</v>
      </c>
      <c r="B98" s="46" t="s">
        <v>5</v>
      </c>
      <c r="C98" s="46" t="s">
        <v>9</v>
      </c>
      <c r="D98" s="46" t="s">
        <v>55</v>
      </c>
      <c r="E98" s="46" t="s">
        <v>6</v>
      </c>
      <c r="F98" s="47">
        <v>14.501392905075225</v>
      </c>
      <c r="G98" s="47">
        <v>14.543931278249824</v>
      </c>
      <c r="H98" s="47">
        <v>-0.2933399119177782</v>
      </c>
    </row>
    <row r="99" spans="1:8" s="44" customFormat="1">
      <c r="A99" s="45" t="s">
        <v>2047</v>
      </c>
      <c r="B99" s="46" t="s">
        <v>5</v>
      </c>
      <c r="C99" s="46" t="s">
        <v>9</v>
      </c>
      <c r="D99" s="46" t="s">
        <v>28</v>
      </c>
      <c r="E99" s="46" t="s">
        <v>6</v>
      </c>
      <c r="F99" s="47">
        <v>14.675149104929</v>
      </c>
      <c r="G99" s="47">
        <v>14.7021541073857</v>
      </c>
      <c r="H99" s="47">
        <v>-0.184018589955115</v>
      </c>
    </row>
    <row r="100" spans="1:8" s="44" customFormat="1">
      <c r="A100" s="48" t="s">
        <v>2358</v>
      </c>
      <c r="B100" s="46" t="s">
        <v>5</v>
      </c>
      <c r="C100" s="46" t="s">
        <v>9</v>
      </c>
      <c r="D100" s="46" t="s">
        <v>114</v>
      </c>
      <c r="E100" s="46" t="s">
        <v>6</v>
      </c>
      <c r="F100" s="47">
        <v>48.776591997756022</v>
      </c>
      <c r="G100" s="47">
        <v>48.858851119516672</v>
      </c>
      <c r="H100" s="47">
        <v>-0.16864466825488034</v>
      </c>
    </row>
    <row r="101" spans="1:8" s="44" customFormat="1">
      <c r="A101" s="48" t="s">
        <v>2263</v>
      </c>
      <c r="B101" s="46" t="s">
        <v>5</v>
      </c>
      <c r="C101" s="46" t="s">
        <v>9</v>
      </c>
      <c r="D101" s="46" t="s">
        <v>145</v>
      </c>
      <c r="E101" s="46" t="s">
        <v>6</v>
      </c>
      <c r="F101" s="47">
        <v>48.942659302105547</v>
      </c>
      <c r="G101" s="47">
        <v>48.967431241282327</v>
      </c>
      <c r="H101" s="47">
        <v>-5.0614207584986914E-2</v>
      </c>
    </row>
    <row r="102" spans="1:8" s="44" customFormat="1">
      <c r="A102" s="48" t="s">
        <v>2232</v>
      </c>
      <c r="B102" s="46" t="s">
        <v>5</v>
      </c>
      <c r="C102" s="46" t="s">
        <v>9</v>
      </c>
      <c r="D102" s="46" t="s">
        <v>149</v>
      </c>
      <c r="E102" s="46" t="s">
        <v>6</v>
      </c>
      <c r="F102" s="47">
        <v>53.048546930053725</v>
      </c>
      <c r="G102" s="47">
        <v>53.00705610595007</v>
      </c>
      <c r="H102" s="47">
        <v>7.8212932313415084E-2</v>
      </c>
    </row>
    <row r="103" spans="1:8" s="44" customFormat="1">
      <c r="A103" s="48" t="s">
        <v>2240</v>
      </c>
      <c r="B103" s="46" t="s">
        <v>5</v>
      </c>
      <c r="C103" s="46" t="s">
        <v>9</v>
      </c>
      <c r="D103" s="46" t="s">
        <v>101</v>
      </c>
      <c r="E103" s="46" t="s">
        <v>6</v>
      </c>
      <c r="F103" s="47">
        <v>46.937061823751826</v>
      </c>
      <c r="G103" s="47">
        <v>46.626843767666678</v>
      </c>
      <c r="H103" s="47">
        <v>0.66092346651355216</v>
      </c>
    </row>
    <row r="104" spans="1:8" s="44" customFormat="1">
      <c r="A104" s="48" t="s">
        <v>2262</v>
      </c>
      <c r="B104" s="46" t="s">
        <v>5</v>
      </c>
      <c r="C104" s="46" t="s">
        <v>9</v>
      </c>
      <c r="D104" s="46" t="s">
        <v>28</v>
      </c>
      <c r="E104" s="46" t="s">
        <v>6</v>
      </c>
      <c r="F104" s="47">
        <v>47.826256555648577</v>
      </c>
      <c r="G104" s="47">
        <v>47.279534137026957</v>
      </c>
      <c r="H104" s="47">
        <v>1.1431428215283312</v>
      </c>
    </row>
    <row r="105" spans="1:8" s="44" customFormat="1">
      <c r="A105" s="45" t="s">
        <v>2058</v>
      </c>
      <c r="B105" s="46" t="s">
        <v>5</v>
      </c>
      <c r="C105" s="46" t="s">
        <v>9</v>
      </c>
      <c r="D105" s="46" t="s">
        <v>75</v>
      </c>
      <c r="E105" s="46" t="s">
        <v>6</v>
      </c>
      <c r="F105" s="47">
        <v>14.706851024052925</v>
      </c>
      <c r="G105" s="47">
        <v>14.537119812128275</v>
      </c>
      <c r="H105" s="47">
        <v>1.1540962211900929</v>
      </c>
    </row>
    <row r="106" spans="1:8" s="44" customFormat="1">
      <c r="A106" s="48" t="s">
        <v>2351</v>
      </c>
      <c r="B106" s="46" t="s">
        <v>5</v>
      </c>
      <c r="C106" s="46" t="s">
        <v>9</v>
      </c>
      <c r="D106" s="46" t="s">
        <v>114</v>
      </c>
      <c r="E106" s="46" t="s">
        <v>6</v>
      </c>
      <c r="F106" s="47">
        <v>46.489256277311497</v>
      </c>
      <c r="G106" s="47">
        <v>45.787095314175225</v>
      </c>
      <c r="H106" s="47">
        <v>1.5103725448904481</v>
      </c>
    </row>
    <row r="107" spans="1:8" s="44" customFormat="1">
      <c r="A107" s="48" t="s">
        <v>2236</v>
      </c>
      <c r="B107" s="46" t="s">
        <v>5</v>
      </c>
      <c r="C107" s="46" t="s">
        <v>9</v>
      </c>
      <c r="D107" s="46" t="s">
        <v>101</v>
      </c>
      <c r="E107" s="46" t="s">
        <v>6</v>
      </c>
      <c r="F107" s="47">
        <v>47.373544594036971</v>
      </c>
      <c r="G107" s="47">
        <v>46.637349090204999</v>
      </c>
      <c r="H107" s="47">
        <v>1.554022419349721</v>
      </c>
    </row>
    <row r="108" spans="1:8" s="44" customFormat="1">
      <c r="A108" s="45" t="s">
        <v>1488</v>
      </c>
      <c r="B108" s="46" t="s">
        <v>5</v>
      </c>
      <c r="C108" s="46" t="s">
        <v>9</v>
      </c>
      <c r="D108" s="46" t="s">
        <v>55</v>
      </c>
      <c r="E108" s="46" t="s">
        <v>6</v>
      </c>
      <c r="F108" s="47">
        <v>14.99075474673665</v>
      </c>
      <c r="G108" s="47">
        <v>14.712677674386125</v>
      </c>
      <c r="H108" s="47">
        <v>1.8549904727849675</v>
      </c>
    </row>
    <row r="109" spans="1:8" s="44" customFormat="1">
      <c r="A109" s="45" t="s">
        <v>2042</v>
      </c>
      <c r="B109" s="46" t="s">
        <v>5</v>
      </c>
      <c r="C109" s="46" t="s">
        <v>9</v>
      </c>
      <c r="D109" s="46" t="s">
        <v>39</v>
      </c>
      <c r="E109" s="46" t="s">
        <v>6</v>
      </c>
      <c r="F109" s="47">
        <v>14.007383203641973</v>
      </c>
      <c r="G109" s="47">
        <v>13.707605853929874</v>
      </c>
      <c r="H109" s="47">
        <v>2.1401381353953197</v>
      </c>
    </row>
    <row r="110" spans="1:8" s="44" customFormat="1">
      <c r="A110" s="48" t="s">
        <v>2261</v>
      </c>
      <c r="B110" s="46" t="s">
        <v>5</v>
      </c>
      <c r="C110" s="46" t="s">
        <v>9</v>
      </c>
      <c r="D110" s="46" t="s">
        <v>55</v>
      </c>
      <c r="E110" s="46" t="s">
        <v>6</v>
      </c>
      <c r="F110" s="47">
        <v>52.431047085881531</v>
      </c>
      <c r="G110" s="47">
        <v>51.254310194249349</v>
      </c>
      <c r="H110" s="47">
        <v>2.244351309072079</v>
      </c>
    </row>
    <row r="111" spans="1:8" s="44" customFormat="1">
      <c r="A111" s="48" t="s">
        <v>2241</v>
      </c>
      <c r="B111" s="46" t="s">
        <v>5</v>
      </c>
      <c r="C111" s="46" t="s">
        <v>9</v>
      </c>
      <c r="D111" s="46" t="s">
        <v>101</v>
      </c>
      <c r="E111" s="46" t="s">
        <v>6</v>
      </c>
      <c r="F111" s="47">
        <v>50.794617969336699</v>
      </c>
      <c r="G111" s="47">
        <v>49.514802214781156</v>
      </c>
      <c r="H111" s="47">
        <v>2.5195892905979345</v>
      </c>
    </row>
    <row r="112" spans="1:8" s="44" customFormat="1">
      <c r="A112" s="45" t="s">
        <v>733</v>
      </c>
      <c r="B112" s="46" t="s">
        <v>5</v>
      </c>
      <c r="C112" s="46" t="s">
        <v>9</v>
      </c>
      <c r="D112" s="46" t="s">
        <v>28</v>
      </c>
      <c r="E112" s="46" t="s">
        <v>6</v>
      </c>
      <c r="F112" s="47">
        <v>15.271473732504074</v>
      </c>
      <c r="G112" s="47">
        <v>14.88374047511795</v>
      </c>
      <c r="H112" s="47">
        <v>2.5389380499726499</v>
      </c>
    </row>
    <row r="113" spans="1:8" s="44" customFormat="1">
      <c r="A113" s="45" t="s">
        <v>2039</v>
      </c>
      <c r="B113" s="46" t="s">
        <v>5</v>
      </c>
      <c r="C113" s="46" t="s">
        <v>9</v>
      </c>
      <c r="D113" s="46" t="s">
        <v>888</v>
      </c>
      <c r="E113" s="46" t="s">
        <v>6</v>
      </c>
      <c r="F113" s="47">
        <v>14.8450942497842</v>
      </c>
      <c r="G113" s="47">
        <v>14.434132197404749</v>
      </c>
      <c r="H113" s="47">
        <v>2.7683357576892775</v>
      </c>
    </row>
    <row r="114" spans="1:8" s="44" customFormat="1">
      <c r="A114" s="48" t="s">
        <v>2252</v>
      </c>
      <c r="B114" s="46" t="s">
        <v>5</v>
      </c>
      <c r="C114" s="46" t="s">
        <v>9</v>
      </c>
      <c r="D114" s="46" t="s">
        <v>25</v>
      </c>
      <c r="E114" s="46" t="s">
        <v>6</v>
      </c>
      <c r="F114" s="47">
        <v>49.305340035951623</v>
      </c>
      <c r="G114" s="47">
        <v>47.914728854709395</v>
      </c>
      <c r="H114" s="47">
        <v>2.8204068367204127</v>
      </c>
    </row>
    <row r="115" spans="1:8" s="44" customFormat="1">
      <c r="A115" s="45" t="s">
        <v>2035</v>
      </c>
      <c r="B115" s="46" t="s">
        <v>5</v>
      </c>
      <c r="C115" s="46" t="s">
        <v>18</v>
      </c>
      <c r="D115" s="46" t="s">
        <v>128</v>
      </c>
      <c r="E115" s="46" t="s">
        <v>10</v>
      </c>
      <c r="F115" s="47">
        <v>14.157746596569199</v>
      </c>
      <c r="G115" s="47">
        <v>13.681523256310275</v>
      </c>
      <c r="H115" s="47">
        <v>3.3636944764523835</v>
      </c>
    </row>
    <row r="116" spans="1:8" s="44" customFormat="1">
      <c r="A116" s="45" t="s">
        <v>2043</v>
      </c>
      <c r="B116" s="46" t="s">
        <v>5</v>
      </c>
      <c r="C116" s="46" t="s">
        <v>9</v>
      </c>
      <c r="D116" s="46" t="s">
        <v>119</v>
      </c>
      <c r="E116" s="46" t="s">
        <v>6</v>
      </c>
      <c r="F116" s="47">
        <v>15.62547117774605</v>
      </c>
      <c r="G116" s="47">
        <v>15.091797813888025</v>
      </c>
      <c r="H116" s="47">
        <v>3.4154065358239394</v>
      </c>
    </row>
    <row r="117" spans="1:8" s="44" customFormat="1">
      <c r="A117" s="45" t="s">
        <v>2029</v>
      </c>
      <c r="B117" s="46" t="s">
        <v>5</v>
      </c>
      <c r="C117" s="46" t="s">
        <v>9</v>
      </c>
      <c r="D117" s="46" t="s">
        <v>145</v>
      </c>
      <c r="E117" s="46" t="s">
        <v>6</v>
      </c>
      <c r="F117" s="47">
        <v>14.855656377690174</v>
      </c>
      <c r="G117" s="47">
        <v>14.321598885290824</v>
      </c>
      <c r="H117" s="47">
        <v>3.5949774201925133</v>
      </c>
    </row>
    <row r="118" spans="1:8" s="44" customFormat="1">
      <c r="A118" s="48" t="s">
        <v>2242</v>
      </c>
      <c r="B118" s="46" t="s">
        <v>5</v>
      </c>
      <c r="C118" s="46" t="s">
        <v>21</v>
      </c>
      <c r="D118" s="46" t="s">
        <v>19</v>
      </c>
      <c r="E118" s="46" t="s">
        <v>6</v>
      </c>
      <c r="F118" s="47">
        <v>48.898066216581</v>
      </c>
      <c r="G118" s="47">
        <v>47.08169983624542</v>
      </c>
      <c r="H118" s="47">
        <v>3.7145975717944868</v>
      </c>
    </row>
    <row r="119" spans="1:8" s="44" customFormat="1">
      <c r="A119" s="45" t="s">
        <v>2028</v>
      </c>
      <c r="B119" s="46" t="s">
        <v>5</v>
      </c>
      <c r="C119" s="46" t="s">
        <v>14</v>
      </c>
      <c r="D119" s="46" t="s">
        <v>265</v>
      </c>
      <c r="E119" s="46" t="s">
        <v>10</v>
      </c>
      <c r="F119" s="47">
        <v>14.923024118613574</v>
      </c>
      <c r="G119" s="47">
        <v>14.36860157874715</v>
      </c>
      <c r="H119" s="47">
        <v>3.7152157328144364</v>
      </c>
    </row>
    <row r="120" spans="1:8" s="44" customFormat="1">
      <c r="A120" s="45" t="s">
        <v>2045</v>
      </c>
      <c r="B120" s="46" t="s">
        <v>5</v>
      </c>
      <c r="C120" s="46" t="s">
        <v>9</v>
      </c>
      <c r="D120" s="46" t="s">
        <v>114</v>
      </c>
      <c r="E120" s="46" t="s">
        <v>6</v>
      </c>
      <c r="F120" s="47">
        <v>15.107683284980876</v>
      </c>
      <c r="G120" s="47">
        <v>14.5427374704811</v>
      </c>
      <c r="H120" s="47">
        <v>3.7394602722537251</v>
      </c>
    </row>
    <row r="121" spans="1:8" s="44" customFormat="1">
      <c r="A121" s="45" t="s">
        <v>2057</v>
      </c>
      <c r="B121" s="46" t="s">
        <v>5</v>
      </c>
      <c r="C121" s="46" t="s">
        <v>9</v>
      </c>
      <c r="D121" s="46" t="s">
        <v>1257</v>
      </c>
      <c r="E121" s="46" t="s">
        <v>6</v>
      </c>
      <c r="F121" s="47">
        <v>15.434474899361049</v>
      </c>
      <c r="G121" s="47">
        <v>14.854179498639326</v>
      </c>
      <c r="H121" s="47">
        <v>3.7597352971544651</v>
      </c>
    </row>
    <row r="122" spans="1:8" s="44" customFormat="1">
      <c r="A122" s="48" t="s">
        <v>2249</v>
      </c>
      <c r="B122" s="46" t="s">
        <v>5</v>
      </c>
      <c r="C122" s="46" t="s">
        <v>9</v>
      </c>
      <c r="D122" s="46" t="s">
        <v>25</v>
      </c>
      <c r="E122" s="46" t="s">
        <v>6</v>
      </c>
      <c r="F122" s="47">
        <v>47.558011556223548</v>
      </c>
      <c r="G122" s="47">
        <v>45.740784175655605</v>
      </c>
      <c r="H122" s="47">
        <v>3.821075190285439</v>
      </c>
    </row>
    <row r="123" spans="1:8" s="44" customFormat="1">
      <c r="A123" s="48" t="s">
        <v>2250</v>
      </c>
      <c r="B123" s="46" t="s">
        <v>5</v>
      </c>
      <c r="C123" s="46" t="s">
        <v>9</v>
      </c>
      <c r="D123" s="46" t="s">
        <v>25</v>
      </c>
      <c r="E123" s="46" t="s">
        <v>6</v>
      </c>
      <c r="F123" s="47">
        <v>46.954754198137948</v>
      </c>
      <c r="G123" s="47">
        <v>45.137021864534077</v>
      </c>
      <c r="H123" s="47">
        <v>3.8712423579803423</v>
      </c>
    </row>
    <row r="124" spans="1:8" s="44" customFormat="1">
      <c r="A124" s="48" t="s">
        <v>2251</v>
      </c>
      <c r="B124" s="46" t="s">
        <v>5</v>
      </c>
      <c r="C124" s="46" t="s">
        <v>9</v>
      </c>
      <c r="D124" s="46" t="s">
        <v>25</v>
      </c>
      <c r="E124" s="46" t="s">
        <v>6</v>
      </c>
      <c r="F124" s="47">
        <v>48.862984685406524</v>
      </c>
      <c r="G124" s="47">
        <v>46.946813656803251</v>
      </c>
      <c r="H124" s="47">
        <v>3.9215185910973616</v>
      </c>
    </row>
    <row r="125" spans="1:8" s="44" customFormat="1">
      <c r="A125" s="45" t="s">
        <v>2031</v>
      </c>
      <c r="B125" s="46" t="s">
        <v>5</v>
      </c>
      <c r="C125" s="46" t="s">
        <v>9</v>
      </c>
      <c r="D125" s="46" t="s">
        <v>39</v>
      </c>
      <c r="E125" s="46" t="s">
        <v>6</v>
      </c>
      <c r="F125" s="47">
        <v>13.816032499253573</v>
      </c>
      <c r="G125" s="47">
        <v>13.258099253678774</v>
      </c>
      <c r="H125" s="47">
        <v>4.0383029325165687</v>
      </c>
    </row>
    <row r="126" spans="1:8" s="44" customFormat="1">
      <c r="A126" s="48" t="s">
        <v>2266</v>
      </c>
      <c r="B126" s="46" t="s">
        <v>5</v>
      </c>
      <c r="C126" s="46" t="s">
        <v>14</v>
      </c>
      <c r="D126" s="46" t="s">
        <v>122</v>
      </c>
      <c r="E126" s="46" t="s">
        <v>10</v>
      </c>
      <c r="F126" s="47">
        <v>50.208041094636897</v>
      </c>
      <c r="G126" s="47">
        <v>48.116606604212706</v>
      </c>
      <c r="H126" s="47">
        <v>4.1655369236215716</v>
      </c>
    </row>
    <row r="127" spans="1:8" s="44" customFormat="1">
      <c r="A127" s="48" t="s">
        <v>352</v>
      </c>
      <c r="B127" s="46" t="s">
        <v>5</v>
      </c>
      <c r="C127" s="46" t="s">
        <v>21</v>
      </c>
      <c r="D127" s="46" t="s">
        <v>19</v>
      </c>
      <c r="E127" s="46" t="s">
        <v>6</v>
      </c>
      <c r="F127" s="47">
        <v>22.519313896618598</v>
      </c>
      <c r="G127" s="47">
        <v>21.56044440385525</v>
      </c>
      <c r="H127" s="47">
        <v>4.2579871534511042</v>
      </c>
    </row>
    <row r="128" spans="1:8" s="44" customFormat="1">
      <c r="A128" s="45" t="s">
        <v>2220</v>
      </c>
      <c r="B128" s="46" t="s">
        <v>5</v>
      </c>
      <c r="C128" s="46" t="s">
        <v>9</v>
      </c>
      <c r="D128" s="46" t="s">
        <v>119</v>
      </c>
      <c r="E128" s="47" t="s">
        <v>6</v>
      </c>
      <c r="F128" s="47">
        <v>15.385697176218875</v>
      </c>
      <c r="G128" s="47">
        <v>14.723123284927576</v>
      </c>
      <c r="H128" s="47">
        <v>4.3064274806826175</v>
      </c>
    </row>
    <row r="129" spans="1:8" s="44" customFormat="1">
      <c r="A129" s="45" t="s">
        <v>2063</v>
      </c>
      <c r="B129" s="46" t="s">
        <v>5</v>
      </c>
      <c r="C129" s="46" t="s">
        <v>9</v>
      </c>
      <c r="D129" s="46" t="s">
        <v>7</v>
      </c>
      <c r="E129" s="46" t="s">
        <v>6</v>
      </c>
      <c r="F129" s="47">
        <v>13.770585216199075</v>
      </c>
      <c r="G129" s="47">
        <v>13.153422455265126</v>
      </c>
      <c r="H129" s="47">
        <v>4.4817467903103143</v>
      </c>
    </row>
    <row r="130" spans="1:8" s="44" customFormat="1">
      <c r="A130" s="45" t="s">
        <v>417</v>
      </c>
      <c r="B130" s="46" t="s">
        <v>5</v>
      </c>
      <c r="C130" s="46" t="s">
        <v>9</v>
      </c>
      <c r="D130" s="46" t="s">
        <v>414</v>
      </c>
      <c r="E130" s="46" t="s">
        <v>6</v>
      </c>
      <c r="F130" s="47">
        <v>14.714410184764901</v>
      </c>
      <c r="G130" s="47">
        <v>14.05342083332685</v>
      </c>
      <c r="H130" s="47">
        <v>4.4921226412624415</v>
      </c>
    </row>
    <row r="131" spans="1:8" s="44" customFormat="1">
      <c r="A131" s="45" t="s">
        <v>1477</v>
      </c>
      <c r="B131" s="46" t="s">
        <v>5</v>
      </c>
      <c r="C131" s="46" t="s">
        <v>9</v>
      </c>
      <c r="D131" s="46" t="s">
        <v>7</v>
      </c>
      <c r="E131" s="47" t="s">
        <v>6</v>
      </c>
      <c r="F131" s="47">
        <v>15.324047339650974</v>
      </c>
      <c r="G131" s="47">
        <v>14.62533170212485</v>
      </c>
      <c r="H131" s="47">
        <v>4.5596024473129715</v>
      </c>
    </row>
    <row r="132" spans="1:8" s="44" customFormat="1">
      <c r="A132" s="48" t="s">
        <v>2246</v>
      </c>
      <c r="B132" s="46" t="s">
        <v>5</v>
      </c>
      <c r="C132" s="46" t="s">
        <v>18</v>
      </c>
      <c r="D132" s="46" t="s">
        <v>128</v>
      </c>
      <c r="E132" s="46" t="s">
        <v>10</v>
      </c>
      <c r="F132" s="47">
        <v>46.536100377832128</v>
      </c>
      <c r="G132" s="47">
        <v>44.408829392365092</v>
      </c>
      <c r="H132" s="47">
        <v>4.5712274303078004</v>
      </c>
    </row>
    <row r="133" spans="1:8" s="44" customFormat="1">
      <c r="A133" s="48" t="s">
        <v>351</v>
      </c>
      <c r="B133" s="46" t="s">
        <v>5</v>
      </c>
      <c r="C133" s="46" t="s">
        <v>21</v>
      </c>
      <c r="D133" s="46" t="s">
        <v>19</v>
      </c>
      <c r="E133" s="46" t="s">
        <v>6</v>
      </c>
      <c r="F133" s="47">
        <v>21.186720505786248</v>
      </c>
      <c r="G133" s="47">
        <v>20.206307148438249</v>
      </c>
      <c r="H133" s="47">
        <v>4.6274899273827668</v>
      </c>
    </row>
    <row r="134" spans="1:8" s="44" customFormat="1">
      <c r="A134" s="48" t="s">
        <v>2235</v>
      </c>
      <c r="B134" s="46" t="s">
        <v>5</v>
      </c>
      <c r="C134" s="46" t="s">
        <v>9</v>
      </c>
      <c r="D134" s="46" t="s">
        <v>25</v>
      </c>
      <c r="E134" s="46" t="s">
        <v>6</v>
      </c>
      <c r="F134" s="47">
        <v>46.677404124852998</v>
      </c>
      <c r="G134" s="47">
        <v>44.499040408817855</v>
      </c>
      <c r="H134" s="47">
        <v>4.6668484609993399</v>
      </c>
    </row>
    <row r="135" spans="1:8" s="44" customFormat="1">
      <c r="A135" s="45" t="s">
        <v>2046</v>
      </c>
      <c r="B135" s="46" t="s">
        <v>5</v>
      </c>
      <c r="C135" s="46" t="s">
        <v>9</v>
      </c>
      <c r="D135" s="46" t="s">
        <v>101</v>
      </c>
      <c r="E135" s="46" t="s">
        <v>6</v>
      </c>
      <c r="F135" s="47">
        <v>14.378274144629</v>
      </c>
      <c r="G135" s="47">
        <v>13.688536616792049</v>
      </c>
      <c r="H135" s="47">
        <v>4.7970814918325999</v>
      </c>
    </row>
    <row r="136" spans="1:8" s="44" customFormat="1">
      <c r="A136" s="48" t="s">
        <v>1179</v>
      </c>
      <c r="B136" s="46" t="s">
        <v>5</v>
      </c>
      <c r="C136" s="46" t="s">
        <v>21</v>
      </c>
      <c r="D136" s="46" t="s">
        <v>19</v>
      </c>
      <c r="E136" s="46" t="s">
        <v>6</v>
      </c>
      <c r="F136" s="47">
        <v>17.215634961107551</v>
      </c>
      <c r="G136" s="47">
        <v>16.377120996673099</v>
      </c>
      <c r="H136" s="47">
        <v>4.8706537187200301</v>
      </c>
    </row>
    <row r="137" spans="1:8" s="44" customFormat="1">
      <c r="A137" s="48" t="s">
        <v>2243</v>
      </c>
      <c r="B137" s="46" t="s">
        <v>5</v>
      </c>
      <c r="C137" s="46" t="s">
        <v>18</v>
      </c>
      <c r="D137" s="46" t="s">
        <v>128</v>
      </c>
      <c r="E137" s="46" t="s">
        <v>10</v>
      </c>
      <c r="F137" s="47">
        <v>48.315815978228201</v>
      </c>
      <c r="G137" s="47">
        <v>45.856543460026927</v>
      </c>
      <c r="H137" s="47">
        <v>5.0899947944777697</v>
      </c>
    </row>
    <row r="138" spans="1:8" s="44" customFormat="1">
      <c r="A138" s="48" t="s">
        <v>2267</v>
      </c>
      <c r="B138" s="46" t="s">
        <v>5</v>
      </c>
      <c r="C138" s="46" t="s">
        <v>14</v>
      </c>
      <c r="D138" s="46" t="s">
        <v>122</v>
      </c>
      <c r="E138" s="46" t="s">
        <v>10</v>
      </c>
      <c r="F138" s="47">
        <v>48.999053945245599</v>
      </c>
      <c r="G138" s="47">
        <v>46.43349573733385</v>
      </c>
      <c r="H138" s="47">
        <v>5.235934168807943</v>
      </c>
    </row>
    <row r="139" spans="1:8" s="44" customFormat="1">
      <c r="A139" s="45" t="s">
        <v>2048</v>
      </c>
      <c r="B139" s="46" t="s">
        <v>5</v>
      </c>
      <c r="C139" s="46" t="s">
        <v>14</v>
      </c>
      <c r="D139" s="46" t="s">
        <v>34</v>
      </c>
      <c r="E139" s="46" t="s">
        <v>10</v>
      </c>
      <c r="F139" s="47">
        <v>16.484331627578701</v>
      </c>
      <c r="G139" s="47">
        <v>15.596875247381675</v>
      </c>
      <c r="H139" s="47">
        <v>5.3836358079104034</v>
      </c>
    </row>
    <row r="140" spans="1:8" s="44" customFormat="1">
      <c r="A140" s="48" t="s">
        <v>2264</v>
      </c>
      <c r="B140" s="46" t="s">
        <v>5</v>
      </c>
      <c r="C140" s="46" t="s">
        <v>14</v>
      </c>
      <c r="D140" s="46" t="s">
        <v>122</v>
      </c>
      <c r="E140" s="46" t="s">
        <v>10</v>
      </c>
      <c r="F140" s="47">
        <v>47.565813125699123</v>
      </c>
      <c r="G140" s="47">
        <v>45.001884611123749</v>
      </c>
      <c r="H140" s="47">
        <v>5.3902758012353225</v>
      </c>
    </row>
    <row r="141" spans="1:8" s="44" customFormat="1">
      <c r="A141" s="45" t="s">
        <v>2056</v>
      </c>
      <c r="B141" s="46" t="s">
        <v>5</v>
      </c>
      <c r="C141" s="46" t="s">
        <v>14</v>
      </c>
      <c r="D141" s="46" t="s">
        <v>11</v>
      </c>
      <c r="E141" s="46" t="s">
        <v>10</v>
      </c>
      <c r="F141" s="47">
        <v>14.700830902333973</v>
      </c>
      <c r="G141" s="47">
        <v>13.904147098275899</v>
      </c>
      <c r="H141" s="47">
        <v>5.4193113936953585</v>
      </c>
    </row>
    <row r="142" spans="1:8" s="44" customFormat="1">
      <c r="A142" s="45" t="s">
        <v>2052</v>
      </c>
      <c r="B142" s="46" t="s">
        <v>5</v>
      </c>
      <c r="C142" s="46" t="s">
        <v>18</v>
      </c>
      <c r="D142" s="46" t="s">
        <v>16</v>
      </c>
      <c r="E142" s="46" t="s">
        <v>10</v>
      </c>
      <c r="F142" s="47">
        <v>12.737043508391874</v>
      </c>
      <c r="G142" s="47">
        <v>12.043623497685974</v>
      </c>
      <c r="H142" s="47">
        <v>5.444120609692793</v>
      </c>
    </row>
    <row r="143" spans="1:8" s="44" customFormat="1">
      <c r="A143" s="45">
        <v>6895</v>
      </c>
      <c r="B143" s="46" t="s">
        <v>5</v>
      </c>
      <c r="C143" s="46" t="s">
        <v>9</v>
      </c>
      <c r="D143" s="46" t="s">
        <v>101</v>
      </c>
      <c r="E143" s="46" t="s">
        <v>6</v>
      </c>
      <c r="F143" s="47">
        <v>16.227168607937074</v>
      </c>
      <c r="G143" s="47">
        <v>15.331462887160049</v>
      </c>
      <c r="H143" s="47">
        <v>5.5197905587726197</v>
      </c>
    </row>
    <row r="144" spans="1:8" s="44" customFormat="1">
      <c r="A144" s="45" t="s">
        <v>2038</v>
      </c>
      <c r="B144" s="46" t="s">
        <v>5</v>
      </c>
      <c r="C144" s="46" t="s">
        <v>9</v>
      </c>
      <c r="D144" s="46" t="s">
        <v>7</v>
      </c>
      <c r="E144" s="46" t="s">
        <v>6</v>
      </c>
      <c r="F144" s="47">
        <v>14.933907888106599</v>
      </c>
      <c r="G144" s="47">
        <v>14.060365911281599</v>
      </c>
      <c r="H144" s="47">
        <v>5.8493863988587469</v>
      </c>
    </row>
    <row r="145" spans="1:8" s="44" customFormat="1">
      <c r="A145" s="45" t="s">
        <v>427</v>
      </c>
      <c r="B145" s="46" t="s">
        <v>5</v>
      </c>
      <c r="C145" s="46" t="s">
        <v>9</v>
      </c>
      <c r="D145" s="46" t="s">
        <v>101</v>
      </c>
      <c r="E145" s="46" t="s">
        <v>6</v>
      </c>
      <c r="F145" s="47">
        <v>14.899121252514975</v>
      </c>
      <c r="G145" s="47">
        <v>14.007455708345399</v>
      </c>
      <c r="H145" s="47">
        <v>5.9846854660576927</v>
      </c>
    </row>
    <row r="146" spans="1:8" s="44" customFormat="1">
      <c r="A146" s="48" t="s">
        <v>2238</v>
      </c>
      <c r="B146" s="46" t="s">
        <v>5</v>
      </c>
      <c r="C146" s="46" t="s">
        <v>14</v>
      </c>
      <c r="D146" s="46" t="s">
        <v>34</v>
      </c>
      <c r="E146" s="46" t="s">
        <v>10</v>
      </c>
      <c r="F146" s="47">
        <v>49.132529543701537</v>
      </c>
      <c r="G146" s="47">
        <v>46.154378959419098</v>
      </c>
      <c r="H146" s="47">
        <v>6.0614639871808045</v>
      </c>
    </row>
    <row r="147" spans="1:8" s="44" customFormat="1">
      <c r="A147" s="45" t="s">
        <v>2036</v>
      </c>
      <c r="B147" s="46" t="s">
        <v>5</v>
      </c>
      <c r="C147" s="46" t="s">
        <v>18</v>
      </c>
      <c r="D147" s="46" t="s">
        <v>16</v>
      </c>
      <c r="E147" s="46" t="s">
        <v>10</v>
      </c>
      <c r="F147" s="47">
        <v>13.643614486402175</v>
      </c>
      <c r="G147" s="47">
        <v>12.806777845637525</v>
      </c>
      <c r="H147" s="47">
        <v>6.1335406508200467</v>
      </c>
    </row>
    <row r="148" spans="1:8" s="44" customFormat="1">
      <c r="A148" s="48" t="s">
        <v>333</v>
      </c>
      <c r="B148" s="46" t="s">
        <v>5</v>
      </c>
      <c r="C148" s="46" t="s">
        <v>9</v>
      </c>
      <c r="D148" s="46" t="s">
        <v>330</v>
      </c>
      <c r="E148" s="46" t="s">
        <v>6</v>
      </c>
      <c r="F148" s="47">
        <v>20.987923875299149</v>
      </c>
      <c r="G148" s="47">
        <v>19.695012956733798</v>
      </c>
      <c r="H148" s="47">
        <v>6.16026113991669</v>
      </c>
    </row>
    <row r="149" spans="1:8" s="44" customFormat="1">
      <c r="A149" s="45" t="s">
        <v>2032</v>
      </c>
      <c r="B149" s="46" t="s">
        <v>5</v>
      </c>
      <c r="C149" s="46" t="s">
        <v>14</v>
      </c>
      <c r="D149" s="46" t="s">
        <v>34</v>
      </c>
      <c r="E149" s="46" t="s">
        <v>10</v>
      </c>
      <c r="F149" s="47">
        <v>16.697847465846522</v>
      </c>
      <c r="G149" s="47">
        <v>15.667675005816399</v>
      </c>
      <c r="H149" s="47">
        <v>6.1694925776344505</v>
      </c>
    </row>
    <row r="150" spans="1:8" s="44" customFormat="1">
      <c r="A150" s="45" t="s">
        <v>751</v>
      </c>
      <c r="B150" s="46" t="s">
        <v>5</v>
      </c>
      <c r="C150" s="46" t="s">
        <v>18</v>
      </c>
      <c r="D150" s="46" t="s">
        <v>128</v>
      </c>
      <c r="E150" s="46" t="s">
        <v>10</v>
      </c>
      <c r="F150" s="47">
        <v>14.679728730000001</v>
      </c>
      <c r="G150" s="47">
        <v>10.615224660000001</v>
      </c>
      <c r="H150" s="47">
        <v>6.2084047544090133</v>
      </c>
    </row>
    <row r="151" spans="1:8" s="44" customFormat="1">
      <c r="A151" s="48" t="s">
        <v>2268</v>
      </c>
      <c r="B151" s="46" t="s">
        <v>5</v>
      </c>
      <c r="C151" s="46" t="s">
        <v>14</v>
      </c>
      <c r="D151" s="46" t="s">
        <v>122</v>
      </c>
      <c r="E151" s="46" t="s">
        <v>10</v>
      </c>
      <c r="F151" s="47">
        <v>49.393755424571474</v>
      </c>
      <c r="G151" s="47">
        <v>46.303789715287998</v>
      </c>
      <c r="H151" s="47">
        <v>6.2557820978040857</v>
      </c>
    </row>
    <row r="152" spans="1:8" s="44" customFormat="1">
      <c r="A152" s="48">
        <v>6106</v>
      </c>
      <c r="B152" s="46" t="s">
        <v>5</v>
      </c>
      <c r="C152" s="46" t="s">
        <v>9</v>
      </c>
      <c r="D152" s="46" t="s">
        <v>28</v>
      </c>
      <c r="E152" s="46" t="s">
        <v>6</v>
      </c>
      <c r="F152" s="47">
        <v>13.975433067347774</v>
      </c>
      <c r="G152" s="47">
        <v>12.983320329351475</v>
      </c>
      <c r="H152" s="47">
        <v>6.5043725564619344</v>
      </c>
    </row>
    <row r="153" spans="1:8" s="44" customFormat="1">
      <c r="A153" s="45" t="s">
        <v>2040</v>
      </c>
      <c r="B153" s="46" t="s">
        <v>5</v>
      </c>
      <c r="C153" s="46" t="s">
        <v>14</v>
      </c>
      <c r="D153" s="46" t="s">
        <v>11</v>
      </c>
      <c r="E153" s="46" t="s">
        <v>10</v>
      </c>
      <c r="F153" s="47">
        <v>11.473824932457051</v>
      </c>
      <c r="G153" s="47">
        <v>10.70936077940434</v>
      </c>
      <c r="H153" s="47">
        <v>6.6626792508416415</v>
      </c>
    </row>
    <row r="154" spans="1:8" s="44" customFormat="1">
      <c r="A154" s="45" t="s">
        <v>2051</v>
      </c>
      <c r="B154" s="46" t="s">
        <v>5</v>
      </c>
      <c r="C154" s="46" t="s">
        <v>9</v>
      </c>
      <c r="D154" s="46" t="s">
        <v>39</v>
      </c>
      <c r="E154" s="46" t="s">
        <v>6</v>
      </c>
      <c r="F154" s="47">
        <v>13.944055129216901</v>
      </c>
      <c r="G154" s="47">
        <v>12.988762147259624</v>
      </c>
      <c r="H154" s="47">
        <v>6.8508979138762633</v>
      </c>
    </row>
    <row r="155" spans="1:8" s="44" customFormat="1">
      <c r="A155" s="48">
        <v>6109</v>
      </c>
      <c r="B155" s="46" t="s">
        <v>5</v>
      </c>
      <c r="C155" s="46" t="s">
        <v>9</v>
      </c>
      <c r="D155" s="46" t="s">
        <v>7</v>
      </c>
      <c r="E155" s="46" t="s">
        <v>6</v>
      </c>
      <c r="F155" s="47">
        <v>14.398888091292225</v>
      </c>
      <c r="G155" s="47">
        <v>12.449318619815299</v>
      </c>
      <c r="H155" s="47">
        <v>7.0989767058759252</v>
      </c>
    </row>
    <row r="156" spans="1:8" s="44" customFormat="1">
      <c r="A156" s="45" t="s">
        <v>2213</v>
      </c>
      <c r="B156" s="46" t="s">
        <v>5</v>
      </c>
      <c r="C156" s="46" t="s">
        <v>9</v>
      </c>
      <c r="D156" s="46" t="s">
        <v>23</v>
      </c>
      <c r="E156" s="47" t="s">
        <v>6</v>
      </c>
      <c r="F156" s="47">
        <v>15.445420909672475</v>
      </c>
      <c r="G156" s="47">
        <v>14.31936183304345</v>
      </c>
      <c r="H156" s="47">
        <v>7.2905690509466492</v>
      </c>
    </row>
    <row r="157" spans="1:8" s="44" customFormat="1">
      <c r="A157" s="48" t="s">
        <v>2260</v>
      </c>
      <c r="B157" s="46" t="s">
        <v>5</v>
      </c>
      <c r="C157" s="46" t="s">
        <v>14</v>
      </c>
      <c r="D157" s="46" t="s">
        <v>11</v>
      </c>
      <c r="E157" s="46" t="s">
        <v>10</v>
      </c>
      <c r="F157" s="47">
        <v>42.096036288521347</v>
      </c>
      <c r="G157" s="47">
        <v>38.938202748910122</v>
      </c>
      <c r="H157" s="47">
        <v>7.5014985210669298</v>
      </c>
    </row>
    <row r="158" spans="1:8" s="44" customFormat="1">
      <c r="A158" s="48" t="s">
        <v>1174</v>
      </c>
      <c r="B158" s="46" t="s">
        <v>5</v>
      </c>
      <c r="C158" s="46" t="s">
        <v>14</v>
      </c>
      <c r="D158" s="46" t="s">
        <v>186</v>
      </c>
      <c r="E158" s="46" t="s">
        <v>10</v>
      </c>
      <c r="F158" s="47">
        <v>22.082406251359401</v>
      </c>
      <c r="G158" s="47">
        <v>20.383664856973851</v>
      </c>
      <c r="H158" s="47">
        <v>7.692736810695056</v>
      </c>
    </row>
    <row r="159" spans="1:8" s="44" customFormat="1">
      <c r="A159" s="45" t="s">
        <v>1485</v>
      </c>
      <c r="B159" s="46" t="s">
        <v>5</v>
      </c>
      <c r="C159" s="46" t="s">
        <v>18</v>
      </c>
      <c r="D159" s="46" t="s">
        <v>58</v>
      </c>
      <c r="E159" s="46" t="s">
        <v>10</v>
      </c>
      <c r="F159" s="47">
        <v>13.500118369259676</v>
      </c>
      <c r="G159" s="47">
        <v>12.455603773223</v>
      </c>
      <c r="H159" s="47">
        <v>7.7370773164113782</v>
      </c>
    </row>
    <row r="160" spans="1:8" s="44" customFormat="1">
      <c r="A160" s="48" t="s">
        <v>2269</v>
      </c>
      <c r="B160" s="46" t="s">
        <v>5</v>
      </c>
      <c r="C160" s="46" t="s">
        <v>14</v>
      </c>
      <c r="D160" s="46" t="s">
        <v>122</v>
      </c>
      <c r="E160" s="46" t="s">
        <v>10</v>
      </c>
      <c r="F160" s="47">
        <v>50.498978318694526</v>
      </c>
      <c r="G160" s="47">
        <v>46.529121474061576</v>
      </c>
      <c r="H160" s="47">
        <v>7.8612617062855055</v>
      </c>
    </row>
    <row r="161" spans="1:8" s="44" customFormat="1">
      <c r="A161" s="48" t="s">
        <v>2259</v>
      </c>
      <c r="B161" s="46" t="s">
        <v>5</v>
      </c>
      <c r="C161" s="46" t="s">
        <v>14</v>
      </c>
      <c r="D161" s="46" t="s">
        <v>11</v>
      </c>
      <c r="E161" s="46" t="s">
        <v>10</v>
      </c>
      <c r="F161" s="47">
        <v>42.036055219081298</v>
      </c>
      <c r="G161" s="47">
        <v>38.720395696534723</v>
      </c>
      <c r="H161" s="47">
        <v>7.8876562162319868</v>
      </c>
    </row>
    <row r="162" spans="1:8" s="44" customFormat="1">
      <c r="A162" s="48" t="s">
        <v>308</v>
      </c>
      <c r="B162" s="46" t="s">
        <v>5</v>
      </c>
      <c r="C162" s="46" t="s">
        <v>9</v>
      </c>
      <c r="D162" s="46" t="s">
        <v>101</v>
      </c>
      <c r="E162" s="46" t="s">
        <v>6</v>
      </c>
      <c r="F162" s="47">
        <v>20.764792047687649</v>
      </c>
      <c r="G162" s="47">
        <v>19.125658502456552</v>
      </c>
      <c r="H162" s="47">
        <v>7.8938115126157999</v>
      </c>
    </row>
    <row r="163" spans="1:8" s="44" customFormat="1">
      <c r="A163" s="45" t="s">
        <v>1478</v>
      </c>
      <c r="B163" s="46" t="s">
        <v>5</v>
      </c>
      <c r="C163" s="46" t="s">
        <v>18</v>
      </c>
      <c r="D163" s="46" t="s">
        <v>16</v>
      </c>
      <c r="E163" s="46" t="s">
        <v>10</v>
      </c>
      <c r="F163" s="47">
        <v>14.262816909349601</v>
      </c>
      <c r="G163" s="47">
        <v>13.117029178692624</v>
      </c>
      <c r="H163" s="47">
        <v>8.0333901636631566</v>
      </c>
    </row>
    <row r="164" spans="1:8" s="44" customFormat="1">
      <c r="A164" s="48">
        <v>6078</v>
      </c>
      <c r="B164" s="46" t="s">
        <v>5</v>
      </c>
      <c r="C164" s="46" t="s">
        <v>14</v>
      </c>
      <c r="D164" s="46" t="s">
        <v>11</v>
      </c>
      <c r="E164" s="46" t="s">
        <v>10</v>
      </c>
      <c r="F164" s="47">
        <v>14.297471552646774</v>
      </c>
      <c r="G164" s="47">
        <v>12.361922831574725</v>
      </c>
      <c r="H164" s="47">
        <v>8.1819050370117825</v>
      </c>
    </row>
    <row r="165" spans="1:8" s="44" customFormat="1">
      <c r="A165" s="48" t="s">
        <v>311</v>
      </c>
      <c r="B165" s="46" t="s">
        <v>5</v>
      </c>
      <c r="C165" s="46" t="s">
        <v>9</v>
      </c>
      <c r="D165" s="46" t="s">
        <v>101</v>
      </c>
      <c r="E165" s="46" t="s">
        <v>6</v>
      </c>
      <c r="F165" s="47">
        <v>21.775804744228651</v>
      </c>
      <c r="G165" s="47">
        <v>19.989212012691301</v>
      </c>
      <c r="H165" s="47">
        <v>8.2044854485153316</v>
      </c>
    </row>
    <row r="166" spans="1:8" s="44" customFormat="1">
      <c r="A166" s="48" t="s">
        <v>2021</v>
      </c>
      <c r="B166" s="51" t="s">
        <v>5</v>
      </c>
      <c r="C166" s="46" t="s">
        <v>9</v>
      </c>
      <c r="D166" s="46" t="s">
        <v>28</v>
      </c>
      <c r="E166" s="46" t="s">
        <v>6</v>
      </c>
      <c r="F166" s="47">
        <v>20.392566157653249</v>
      </c>
      <c r="G166" s="47">
        <v>18.709495557925848</v>
      </c>
      <c r="H166" s="47">
        <v>8.2533536324743029</v>
      </c>
    </row>
    <row r="167" spans="1:8" s="44" customFormat="1">
      <c r="A167" s="48">
        <v>8269</v>
      </c>
      <c r="B167" s="46" t="s">
        <v>5</v>
      </c>
      <c r="C167" s="46" t="s">
        <v>14</v>
      </c>
      <c r="D167" s="46" t="s">
        <v>11</v>
      </c>
      <c r="E167" s="46" t="s">
        <v>10</v>
      </c>
      <c r="F167" s="47">
        <v>12.856876365010351</v>
      </c>
      <c r="G167" s="47">
        <v>11.287740246767642</v>
      </c>
      <c r="H167" s="47">
        <v>8.2632542476186455</v>
      </c>
    </row>
    <row r="168" spans="1:8" s="44" customFormat="1">
      <c r="A168" s="48">
        <v>118</v>
      </c>
      <c r="B168" s="46" t="s">
        <v>5</v>
      </c>
      <c r="C168" s="46" t="s">
        <v>21</v>
      </c>
      <c r="D168" s="46" t="s">
        <v>19</v>
      </c>
      <c r="E168" s="46" t="s">
        <v>6</v>
      </c>
      <c r="F168" s="47">
        <v>14.919829910000001</v>
      </c>
      <c r="G168" s="47">
        <v>12.37324812</v>
      </c>
      <c r="H168" s="47">
        <v>8.2780482276346703</v>
      </c>
    </row>
    <row r="169" spans="1:8" s="44" customFormat="1">
      <c r="A169" s="48">
        <v>6103</v>
      </c>
      <c r="B169" s="46" t="s">
        <v>5</v>
      </c>
      <c r="C169" s="46" t="s">
        <v>9</v>
      </c>
      <c r="D169" s="46" t="s">
        <v>28</v>
      </c>
      <c r="E169" s="46" t="s">
        <v>6</v>
      </c>
      <c r="F169" s="47">
        <v>13.030172324290501</v>
      </c>
      <c r="G169" s="47">
        <v>11.912248931957899</v>
      </c>
      <c r="H169" s="47">
        <v>8.2808578553252854</v>
      </c>
    </row>
    <row r="170" spans="1:8" s="44" customFormat="1">
      <c r="A170" s="48" t="s">
        <v>296</v>
      </c>
      <c r="B170" s="46" t="s">
        <v>5</v>
      </c>
      <c r="C170" s="46" t="s">
        <v>9</v>
      </c>
      <c r="D170" s="46" t="s">
        <v>101</v>
      </c>
      <c r="E170" s="46" t="s">
        <v>6</v>
      </c>
      <c r="F170" s="47">
        <v>21.107939170739701</v>
      </c>
      <c r="G170" s="47">
        <v>19.352052724653852</v>
      </c>
      <c r="H170" s="47">
        <v>8.3186067189349284</v>
      </c>
    </row>
    <row r="171" spans="1:8" s="44" customFormat="1">
      <c r="A171" s="48" t="s">
        <v>2247</v>
      </c>
      <c r="B171" s="46" t="s">
        <v>5</v>
      </c>
      <c r="C171" s="46" t="s">
        <v>14</v>
      </c>
      <c r="D171" s="46" t="s">
        <v>11</v>
      </c>
      <c r="E171" s="46" t="s">
        <v>10</v>
      </c>
      <c r="F171" s="47">
        <v>41.000520158999379</v>
      </c>
      <c r="G171" s="47">
        <v>37.536740599817499</v>
      </c>
      <c r="H171" s="47">
        <v>8.4481356474244595</v>
      </c>
    </row>
    <row r="172" spans="1:8" s="44" customFormat="1">
      <c r="A172" s="48">
        <v>6104</v>
      </c>
      <c r="B172" s="46" t="s">
        <v>5</v>
      </c>
      <c r="C172" s="46" t="s">
        <v>9</v>
      </c>
      <c r="D172" s="46" t="s">
        <v>7</v>
      </c>
      <c r="E172" s="46" t="s">
        <v>6</v>
      </c>
      <c r="F172" s="47">
        <v>13.916691823530876</v>
      </c>
      <c r="G172" s="47">
        <v>13.011498339793752</v>
      </c>
      <c r="H172" s="47">
        <v>8.5794981410076794</v>
      </c>
    </row>
    <row r="173" spans="1:8" s="44" customFormat="1">
      <c r="A173" s="48" t="s">
        <v>2234</v>
      </c>
      <c r="B173" s="46" t="s">
        <v>5</v>
      </c>
      <c r="C173" s="46" t="s">
        <v>14</v>
      </c>
      <c r="D173" s="46" t="s">
        <v>11</v>
      </c>
      <c r="E173" s="46" t="s">
        <v>10</v>
      </c>
      <c r="F173" s="47">
        <v>40.276918291176131</v>
      </c>
      <c r="G173" s="47">
        <v>36.760739131745126</v>
      </c>
      <c r="H173" s="47">
        <v>8.7300104094640503</v>
      </c>
    </row>
    <row r="174" spans="1:8" s="44" customFormat="1">
      <c r="A174" s="48" t="s">
        <v>2245</v>
      </c>
      <c r="B174" s="46" t="s">
        <v>5</v>
      </c>
      <c r="C174" s="46" t="s">
        <v>14</v>
      </c>
      <c r="D174" s="46" t="s">
        <v>11</v>
      </c>
      <c r="E174" s="46" t="s">
        <v>10</v>
      </c>
      <c r="F174" s="47">
        <v>41.106492152325899</v>
      </c>
      <c r="G174" s="47">
        <v>37.501036491485273</v>
      </c>
      <c r="H174" s="47">
        <v>8.771012733171446</v>
      </c>
    </row>
    <row r="175" spans="1:8" s="44" customFormat="1">
      <c r="A175" s="48" t="s">
        <v>2253</v>
      </c>
      <c r="B175" s="46" t="s">
        <v>5</v>
      </c>
      <c r="C175" s="46" t="s">
        <v>14</v>
      </c>
      <c r="D175" s="46" t="s">
        <v>11</v>
      </c>
      <c r="E175" s="46" t="s">
        <v>10</v>
      </c>
      <c r="F175" s="47">
        <v>42.618153935418476</v>
      </c>
      <c r="G175" s="47">
        <v>38.806942044846203</v>
      </c>
      <c r="H175" s="47">
        <v>8.9426958669950878</v>
      </c>
    </row>
    <row r="176" spans="1:8" s="44" customFormat="1">
      <c r="A176" s="48">
        <v>6074</v>
      </c>
      <c r="B176" s="46" t="s">
        <v>5</v>
      </c>
      <c r="C176" s="46" t="s">
        <v>14</v>
      </c>
      <c r="D176" s="46" t="s">
        <v>265</v>
      </c>
      <c r="E176" s="46" t="s">
        <v>10</v>
      </c>
      <c r="F176" s="47">
        <v>14.0853041787725</v>
      </c>
      <c r="G176" s="47">
        <v>11.825584041281456</v>
      </c>
      <c r="H176" s="47">
        <v>8.9968116871270496</v>
      </c>
    </row>
    <row r="177" spans="1:11" s="44" customFormat="1">
      <c r="A177" s="52" t="s">
        <v>2037</v>
      </c>
      <c r="B177" s="46" t="s">
        <v>5</v>
      </c>
      <c r="C177" s="46" t="s">
        <v>14</v>
      </c>
      <c r="D177" s="46" t="s">
        <v>34</v>
      </c>
      <c r="E177" s="46" t="s">
        <v>10</v>
      </c>
      <c r="F177" s="47">
        <v>14.856958668503324</v>
      </c>
      <c r="G177" s="47">
        <v>13.519114089467227</v>
      </c>
      <c r="H177" s="47">
        <v>9.004834763876147</v>
      </c>
    </row>
    <row r="178" spans="1:11" s="44" customFormat="1">
      <c r="A178" s="48" t="s">
        <v>2355</v>
      </c>
      <c r="B178" s="46" t="s">
        <v>5</v>
      </c>
      <c r="C178" s="46" t="s">
        <v>14</v>
      </c>
      <c r="D178" s="46" t="s">
        <v>11</v>
      </c>
      <c r="E178" s="46" t="s">
        <v>10</v>
      </c>
      <c r="F178" s="47">
        <v>40.772995088730752</v>
      </c>
      <c r="G178" s="47">
        <v>37.096082183585601</v>
      </c>
      <c r="H178" s="47">
        <v>9.0180103206629845</v>
      </c>
    </row>
    <row r="179" spans="1:11" s="44" customFormat="1">
      <c r="A179" s="48" t="s">
        <v>346</v>
      </c>
      <c r="B179" s="46" t="s">
        <v>5</v>
      </c>
      <c r="C179" s="46" t="s">
        <v>14</v>
      </c>
      <c r="D179" s="46" t="s">
        <v>186</v>
      </c>
      <c r="E179" s="46" t="s">
        <v>10</v>
      </c>
      <c r="F179" s="47">
        <v>22.336728776218102</v>
      </c>
      <c r="G179" s="47">
        <v>20.293244077614151</v>
      </c>
      <c r="H179" s="47">
        <v>9.1485405901496559</v>
      </c>
    </row>
    <row r="180" spans="1:11" s="44" customFormat="1">
      <c r="A180" s="48">
        <v>73</v>
      </c>
      <c r="B180" s="46" t="s">
        <v>5</v>
      </c>
      <c r="C180" s="46" t="s">
        <v>18</v>
      </c>
      <c r="D180" s="46" t="s">
        <v>16</v>
      </c>
      <c r="E180" s="46" t="s">
        <v>10</v>
      </c>
      <c r="F180" s="47">
        <v>14.54969152</v>
      </c>
      <c r="G180" s="47">
        <v>12.69956054</v>
      </c>
      <c r="H180" s="47">
        <v>9.2296600901574983</v>
      </c>
    </row>
    <row r="181" spans="1:11" s="44" customFormat="1">
      <c r="A181" s="45" t="s">
        <v>2030</v>
      </c>
      <c r="B181" s="46" t="s">
        <v>5</v>
      </c>
      <c r="C181" s="46" t="s">
        <v>18</v>
      </c>
      <c r="D181" s="46" t="s">
        <v>764</v>
      </c>
      <c r="E181" s="46" t="s">
        <v>10</v>
      </c>
      <c r="F181" s="47">
        <v>14.684752176667901</v>
      </c>
      <c r="G181" s="47">
        <v>13.309132150801549</v>
      </c>
      <c r="H181" s="47">
        <v>9.3676761399625654</v>
      </c>
    </row>
    <row r="182" spans="1:11" s="44" customFormat="1">
      <c r="A182" s="48">
        <v>119</v>
      </c>
      <c r="B182" s="46" t="s">
        <v>5</v>
      </c>
      <c r="C182" s="46" t="s">
        <v>21</v>
      </c>
      <c r="D182" s="46" t="s">
        <v>19</v>
      </c>
      <c r="E182" s="46" t="s">
        <v>6</v>
      </c>
      <c r="F182" s="47">
        <v>14.267037</v>
      </c>
      <c r="G182" s="47">
        <v>13.0860048</v>
      </c>
      <c r="H182" s="47">
        <v>9.4721581123780378</v>
      </c>
    </row>
    <row r="183" spans="1:11" s="44" customFormat="1">
      <c r="A183" s="48">
        <v>6083</v>
      </c>
      <c r="B183" s="46" t="s">
        <v>5</v>
      </c>
      <c r="C183" s="46" t="s">
        <v>9</v>
      </c>
      <c r="D183" s="46" t="s">
        <v>7</v>
      </c>
      <c r="E183" s="46" t="s">
        <v>6</v>
      </c>
      <c r="F183" s="47">
        <v>14.118877317992149</v>
      </c>
      <c r="G183" s="47">
        <v>9.2946690950381221</v>
      </c>
      <c r="H183" s="47">
        <v>9.5759988662413864</v>
      </c>
    </row>
    <row r="184" spans="1:11" s="44" customFormat="1">
      <c r="A184" s="48">
        <v>8236</v>
      </c>
      <c r="B184" s="46" t="s">
        <v>5</v>
      </c>
      <c r="C184" s="46" t="s">
        <v>9</v>
      </c>
      <c r="D184" s="46" t="s">
        <v>28</v>
      </c>
      <c r="E184" s="46" t="s">
        <v>6</v>
      </c>
      <c r="F184" s="47">
        <v>13.489430848507224</v>
      </c>
      <c r="G184" s="47">
        <v>12.797808782677725</v>
      </c>
      <c r="H184" s="47">
        <v>9.7272412993506414</v>
      </c>
    </row>
    <row r="185" spans="1:11" s="44" customFormat="1">
      <c r="A185" s="45" t="s">
        <v>413</v>
      </c>
      <c r="B185" s="46" t="s">
        <v>5</v>
      </c>
      <c r="C185" s="46" t="s">
        <v>9</v>
      </c>
      <c r="D185" s="46" t="s">
        <v>414</v>
      </c>
      <c r="E185" s="46" t="s">
        <v>6</v>
      </c>
      <c r="F185" s="47">
        <v>14.340870119445027</v>
      </c>
      <c r="G185" s="47">
        <v>12.938746000139201</v>
      </c>
      <c r="H185" s="47">
        <v>9.7771202697433441</v>
      </c>
    </row>
    <row r="186" spans="1:11" s="44" customFormat="1">
      <c r="A186" s="48">
        <v>54</v>
      </c>
      <c r="B186" s="46" t="s">
        <v>5</v>
      </c>
      <c r="C186" s="46" t="s">
        <v>9</v>
      </c>
      <c r="D186" s="46" t="s">
        <v>55</v>
      </c>
      <c r="E186" s="46" t="s">
        <v>6</v>
      </c>
      <c r="F186" s="47">
        <v>14.877771109999999</v>
      </c>
      <c r="G186" s="47">
        <v>13.07749802</v>
      </c>
      <c r="H186" s="47">
        <v>9.9315815482680101</v>
      </c>
    </row>
    <row r="187" spans="1:11" s="44" customFormat="1">
      <c r="A187" s="48" t="s">
        <v>2265</v>
      </c>
      <c r="B187" s="46" t="s">
        <v>5</v>
      </c>
      <c r="C187" s="46" t="s">
        <v>14</v>
      </c>
      <c r="D187" s="46" t="s">
        <v>122</v>
      </c>
      <c r="E187" s="46" t="s">
        <v>10</v>
      </c>
      <c r="F187" s="47">
        <v>39.712753951154831</v>
      </c>
      <c r="G187" s="47">
        <v>35.7652136416921</v>
      </c>
      <c r="H187" s="47">
        <v>9.9402330906540826</v>
      </c>
      <c r="I187" s="13"/>
      <c r="J187" s="13"/>
      <c r="K187" s="13"/>
    </row>
    <row r="188" spans="1:11" s="44" customFormat="1">
      <c r="A188" s="48">
        <v>6062</v>
      </c>
      <c r="B188" s="46" t="s">
        <v>5</v>
      </c>
      <c r="C188" s="46" t="s">
        <v>9</v>
      </c>
      <c r="D188" s="46" t="s">
        <v>28</v>
      </c>
      <c r="E188" s="46" t="s">
        <v>6</v>
      </c>
      <c r="F188" s="47">
        <v>13.949818631769626</v>
      </c>
      <c r="G188" s="47">
        <v>12.532622688787301</v>
      </c>
      <c r="H188" s="47">
        <v>10.020314080558734</v>
      </c>
    </row>
    <row r="189" spans="1:11" s="44" customFormat="1">
      <c r="A189" s="45" t="s">
        <v>2034</v>
      </c>
      <c r="B189" s="46" t="s">
        <v>5</v>
      </c>
      <c r="C189" s="46" t="s">
        <v>14</v>
      </c>
      <c r="D189" s="46" t="s">
        <v>265</v>
      </c>
      <c r="E189" s="46" t="s">
        <v>10</v>
      </c>
      <c r="F189" s="47">
        <v>14.283540972750625</v>
      </c>
      <c r="G189" s="47">
        <v>12.848622024655976</v>
      </c>
      <c r="H189" s="47">
        <v>10.045960947863774</v>
      </c>
    </row>
    <row r="190" spans="1:11" s="44" customFormat="1">
      <c r="A190" s="48">
        <v>6060</v>
      </c>
      <c r="B190" s="46" t="s">
        <v>5</v>
      </c>
      <c r="C190" s="46" t="s">
        <v>9</v>
      </c>
      <c r="D190" s="46" t="s">
        <v>87</v>
      </c>
      <c r="E190" s="46" t="s">
        <v>6</v>
      </c>
      <c r="F190" s="47">
        <v>14.060722699469101</v>
      </c>
      <c r="G190" s="47">
        <v>12.0243715902966</v>
      </c>
      <c r="H190" s="47">
        <v>10.116778819378425</v>
      </c>
    </row>
    <row r="191" spans="1:11" s="44" customFormat="1">
      <c r="A191" s="48">
        <v>6063</v>
      </c>
      <c r="B191" s="46" t="s">
        <v>5</v>
      </c>
      <c r="C191" s="46" t="s">
        <v>9</v>
      </c>
      <c r="D191" s="46" t="s">
        <v>28</v>
      </c>
      <c r="E191" s="46" t="s">
        <v>6</v>
      </c>
      <c r="F191" s="47">
        <v>13.794059213494176</v>
      </c>
      <c r="G191" s="47">
        <v>12.339481030232401</v>
      </c>
      <c r="H191" s="47">
        <v>10.159242785814948</v>
      </c>
    </row>
    <row r="192" spans="1:11" s="44" customFormat="1">
      <c r="A192" s="45">
        <v>7282</v>
      </c>
      <c r="B192" s="46" t="s">
        <v>5</v>
      </c>
      <c r="C192" s="46" t="s">
        <v>9</v>
      </c>
      <c r="D192" s="46" t="s">
        <v>23</v>
      </c>
      <c r="E192" s="47" t="s">
        <v>6</v>
      </c>
      <c r="F192" s="47">
        <v>15.9101660475363</v>
      </c>
      <c r="G192" s="47">
        <v>14.281705522994375</v>
      </c>
      <c r="H192" s="47">
        <v>10.235345876821277</v>
      </c>
    </row>
    <row r="193" spans="1:8" s="44" customFormat="1">
      <c r="A193" s="48" t="s">
        <v>2357</v>
      </c>
      <c r="B193" s="46" t="s">
        <v>5</v>
      </c>
      <c r="C193" s="46" t="s">
        <v>14</v>
      </c>
      <c r="D193" s="46" t="s">
        <v>11</v>
      </c>
      <c r="E193" s="46" t="s">
        <v>10</v>
      </c>
      <c r="F193" s="47">
        <v>40.992490365284553</v>
      </c>
      <c r="G193" s="47">
        <v>36.75458527951622</v>
      </c>
      <c r="H193" s="47">
        <v>10.338247439968418</v>
      </c>
    </row>
    <row r="194" spans="1:8" s="44" customFormat="1">
      <c r="A194" s="48" t="s">
        <v>304</v>
      </c>
      <c r="B194" s="46" t="s">
        <v>5</v>
      </c>
      <c r="C194" s="46" t="s">
        <v>9</v>
      </c>
      <c r="D194" s="46" t="s">
        <v>101</v>
      </c>
      <c r="E194" s="46" t="s">
        <v>6</v>
      </c>
      <c r="F194" s="47">
        <v>20.650379819325998</v>
      </c>
      <c r="G194" s="47">
        <v>18.50838481697755</v>
      </c>
      <c r="H194" s="47">
        <v>10.37266636783032</v>
      </c>
    </row>
    <row r="195" spans="1:8" s="44" customFormat="1">
      <c r="A195" s="48">
        <v>6064</v>
      </c>
      <c r="B195" s="46" t="s">
        <v>5</v>
      </c>
      <c r="C195" s="46" t="s">
        <v>21</v>
      </c>
      <c r="D195" s="46" t="s">
        <v>19</v>
      </c>
      <c r="E195" s="46" t="s">
        <v>6</v>
      </c>
      <c r="F195" s="47">
        <v>14.244793431074552</v>
      </c>
      <c r="G195" s="47">
        <v>12.886410868510975</v>
      </c>
      <c r="H195" s="47">
        <v>10.544961136884346</v>
      </c>
    </row>
    <row r="196" spans="1:8" s="44" customFormat="1">
      <c r="A196" s="48">
        <v>6091</v>
      </c>
      <c r="B196" s="46" t="s">
        <v>5</v>
      </c>
      <c r="C196" s="46" t="s">
        <v>18</v>
      </c>
      <c r="D196" s="46" t="s">
        <v>58</v>
      </c>
      <c r="E196" s="46" t="s">
        <v>10</v>
      </c>
      <c r="F196" s="47">
        <v>13.5706476327404</v>
      </c>
      <c r="G196" s="47">
        <v>11.621056059432599</v>
      </c>
      <c r="H196" s="47">
        <v>10.719341837502583</v>
      </c>
    </row>
    <row r="197" spans="1:8" s="44" customFormat="1">
      <c r="A197" s="48">
        <v>92</v>
      </c>
      <c r="B197" s="46" t="s">
        <v>5</v>
      </c>
      <c r="C197" s="46" t="s">
        <v>21</v>
      </c>
      <c r="D197" s="46" t="s">
        <v>19</v>
      </c>
      <c r="E197" s="46" t="s">
        <v>6</v>
      </c>
      <c r="F197" s="47">
        <v>14.58482115</v>
      </c>
      <c r="G197" s="47">
        <v>11.82877126</v>
      </c>
      <c r="H197" s="47">
        <v>10.728359660846554</v>
      </c>
    </row>
    <row r="198" spans="1:8" s="44" customFormat="1">
      <c r="A198" s="48">
        <v>99</v>
      </c>
      <c r="B198" s="46" t="s">
        <v>5</v>
      </c>
      <c r="C198" s="46" t="s">
        <v>21</v>
      </c>
      <c r="D198" s="46" t="s">
        <v>19</v>
      </c>
      <c r="E198" s="46" t="s">
        <v>6</v>
      </c>
      <c r="F198" s="47">
        <v>15.04562303</v>
      </c>
      <c r="G198" s="47">
        <v>13.431474469999999</v>
      </c>
      <c r="H198" s="47">
        <v>10.807260001210439</v>
      </c>
    </row>
    <row r="199" spans="1:8" s="44" customFormat="1">
      <c r="A199" s="48" t="s">
        <v>2270</v>
      </c>
      <c r="B199" s="46" t="s">
        <v>5</v>
      </c>
      <c r="C199" s="46" t="s">
        <v>14</v>
      </c>
      <c r="D199" s="46" t="s">
        <v>122</v>
      </c>
      <c r="E199" s="46" t="s">
        <v>10</v>
      </c>
      <c r="F199" s="47">
        <v>41.625578935146578</v>
      </c>
      <c r="G199" s="47">
        <v>36.909692713575495</v>
      </c>
      <c r="H199" s="47">
        <v>11.329298816284384</v>
      </c>
    </row>
    <row r="200" spans="1:8" s="44" customFormat="1">
      <c r="A200" s="48">
        <v>38</v>
      </c>
      <c r="B200" s="46" t="s">
        <v>5</v>
      </c>
      <c r="C200" s="46" t="s">
        <v>9</v>
      </c>
      <c r="D200" s="46" t="s">
        <v>7</v>
      </c>
      <c r="E200" s="46" t="s">
        <v>6</v>
      </c>
      <c r="F200" s="47">
        <v>14.894307100000001</v>
      </c>
      <c r="G200" s="47">
        <v>12.296686770000001</v>
      </c>
      <c r="H200" s="47">
        <v>11.370894463196301</v>
      </c>
    </row>
    <row r="201" spans="1:8" s="44" customFormat="1">
      <c r="A201" s="48">
        <v>58</v>
      </c>
      <c r="B201" s="46" t="s">
        <v>5</v>
      </c>
      <c r="C201" s="46" t="s">
        <v>9</v>
      </c>
      <c r="D201" s="46" t="s">
        <v>7</v>
      </c>
      <c r="E201" s="46" t="s">
        <v>6</v>
      </c>
      <c r="F201" s="47">
        <v>15.41467935</v>
      </c>
      <c r="G201" s="47">
        <v>13.61375394</v>
      </c>
      <c r="H201" s="47">
        <v>11.551953823904304</v>
      </c>
    </row>
    <row r="202" spans="1:8" s="44" customFormat="1">
      <c r="A202" s="48">
        <v>110</v>
      </c>
      <c r="B202" s="46" t="s">
        <v>5</v>
      </c>
      <c r="C202" s="46" t="s">
        <v>21</v>
      </c>
      <c r="D202" s="46" t="s">
        <v>19</v>
      </c>
      <c r="E202" s="46" t="s">
        <v>6</v>
      </c>
      <c r="F202" s="47">
        <v>16.013402509999999</v>
      </c>
      <c r="G202" s="47">
        <v>13.902185640000001</v>
      </c>
      <c r="H202" s="47">
        <v>11.613045196317739</v>
      </c>
    </row>
    <row r="203" spans="1:8" s="44" customFormat="1">
      <c r="A203" s="48" t="s">
        <v>2258</v>
      </c>
      <c r="B203" s="46" t="s">
        <v>5</v>
      </c>
      <c r="C203" s="46" t="s">
        <v>14</v>
      </c>
      <c r="D203" s="46" t="s">
        <v>11</v>
      </c>
      <c r="E203" s="46" t="s">
        <v>10</v>
      </c>
      <c r="F203" s="47">
        <v>43.645196864537795</v>
      </c>
      <c r="G203" s="47">
        <v>38.576629884862427</v>
      </c>
      <c r="H203" s="47">
        <v>11.613115173719457</v>
      </c>
    </row>
    <row r="204" spans="1:8" s="44" customFormat="1">
      <c r="A204" s="48" t="s">
        <v>2237</v>
      </c>
      <c r="B204" s="46" t="s">
        <v>5</v>
      </c>
      <c r="C204" s="46" t="s">
        <v>18</v>
      </c>
      <c r="D204" s="46" t="s">
        <v>128</v>
      </c>
      <c r="E204" s="46" t="s">
        <v>10</v>
      </c>
      <c r="F204" s="47">
        <v>47.772543081680126</v>
      </c>
      <c r="G204" s="47">
        <v>42.174396701579305</v>
      </c>
      <c r="H204" s="47">
        <v>11.718334463646352</v>
      </c>
    </row>
    <row r="205" spans="1:8" s="44" customFormat="1">
      <c r="A205" s="45" t="s">
        <v>2033</v>
      </c>
      <c r="B205" s="46" t="s">
        <v>5</v>
      </c>
      <c r="C205" s="46" t="s">
        <v>18</v>
      </c>
      <c r="D205" s="46" t="s">
        <v>1286</v>
      </c>
      <c r="E205" s="46" t="s">
        <v>10</v>
      </c>
      <c r="F205" s="47">
        <v>14.612606069180501</v>
      </c>
      <c r="G205" s="47">
        <v>12.882158309429174</v>
      </c>
      <c r="H205" s="47">
        <v>11.842157049597201</v>
      </c>
    </row>
    <row r="206" spans="1:8" s="44" customFormat="1">
      <c r="A206" s="48">
        <v>112</v>
      </c>
      <c r="B206" s="46" t="s">
        <v>5</v>
      </c>
      <c r="C206" s="46" t="s">
        <v>9</v>
      </c>
      <c r="D206" s="46" t="s">
        <v>7</v>
      </c>
      <c r="E206" s="46" t="s">
        <v>6</v>
      </c>
      <c r="F206" s="47">
        <v>14.51785007</v>
      </c>
      <c r="G206" s="47">
        <v>12.83188558</v>
      </c>
      <c r="H206" s="47">
        <v>11.846992905148102</v>
      </c>
    </row>
    <row r="207" spans="1:8" s="44" customFormat="1">
      <c r="A207" s="48" t="s">
        <v>2233</v>
      </c>
      <c r="B207" s="46" t="s">
        <v>5</v>
      </c>
      <c r="C207" s="46" t="s">
        <v>14</v>
      </c>
      <c r="D207" s="46" t="s">
        <v>122</v>
      </c>
      <c r="E207" s="46" t="s">
        <v>10</v>
      </c>
      <c r="F207" s="47">
        <v>41.328793985978074</v>
      </c>
      <c r="G207" s="47">
        <v>36.418827550425505</v>
      </c>
      <c r="H207" s="47">
        <v>11.880255778134751</v>
      </c>
    </row>
    <row r="208" spans="1:8" s="44" customFormat="1">
      <c r="A208" s="48">
        <v>50</v>
      </c>
      <c r="B208" s="46" t="s">
        <v>5</v>
      </c>
      <c r="C208" s="46" t="s">
        <v>9</v>
      </c>
      <c r="D208" s="46" t="s">
        <v>7</v>
      </c>
      <c r="E208" s="46" t="s">
        <v>6</v>
      </c>
      <c r="F208" s="47">
        <v>15.00876843</v>
      </c>
      <c r="G208" s="47">
        <v>12.98546428</v>
      </c>
      <c r="H208" s="47">
        <v>12.100421977850285</v>
      </c>
    </row>
    <row r="209" spans="1:8" s="44" customFormat="1">
      <c r="A209" s="48">
        <v>8267</v>
      </c>
      <c r="B209" s="46" t="s">
        <v>5</v>
      </c>
      <c r="C209" s="46" t="s">
        <v>21</v>
      </c>
      <c r="D209" s="46" t="s">
        <v>19</v>
      </c>
      <c r="E209" s="46" t="s">
        <v>6</v>
      </c>
      <c r="F209" s="47">
        <v>14.689467767703725</v>
      </c>
      <c r="G209" s="47">
        <v>13.475639698436375</v>
      </c>
      <c r="H209" s="47">
        <v>12.12420923498777</v>
      </c>
    </row>
    <row r="210" spans="1:8" s="44" customFormat="1">
      <c r="A210" s="45" t="s">
        <v>2060</v>
      </c>
      <c r="B210" s="46" t="s">
        <v>5</v>
      </c>
      <c r="C210" s="46" t="s">
        <v>14</v>
      </c>
      <c r="D210" s="46" t="s">
        <v>265</v>
      </c>
      <c r="E210" s="46" t="s">
        <v>10</v>
      </c>
      <c r="F210" s="47">
        <v>15.004808206693674</v>
      </c>
      <c r="G210" s="47">
        <v>13.183037018736076</v>
      </c>
      <c r="H210" s="47">
        <v>12.141249410604949</v>
      </c>
    </row>
    <row r="211" spans="1:8" s="44" customFormat="1">
      <c r="A211" s="45" t="s">
        <v>429</v>
      </c>
      <c r="B211" s="46" t="s">
        <v>5</v>
      </c>
      <c r="C211" s="46" t="s">
        <v>9</v>
      </c>
      <c r="D211" s="46" t="s">
        <v>25</v>
      </c>
      <c r="E211" s="46" t="s">
        <v>6</v>
      </c>
      <c r="F211" s="47">
        <v>14.63896928902485</v>
      </c>
      <c r="G211" s="47">
        <v>12.858999240970599</v>
      </c>
      <c r="H211" s="47">
        <v>12.159121403367756</v>
      </c>
    </row>
    <row r="212" spans="1:8" s="44" customFormat="1">
      <c r="A212" s="48">
        <v>45</v>
      </c>
      <c r="B212" s="46" t="s">
        <v>5</v>
      </c>
      <c r="C212" s="46" t="s">
        <v>9</v>
      </c>
      <c r="D212" s="46" t="s">
        <v>28</v>
      </c>
      <c r="E212" s="46" t="s">
        <v>6</v>
      </c>
      <c r="F212" s="47">
        <v>14.83797107</v>
      </c>
      <c r="G212" s="47">
        <v>12.53003696</v>
      </c>
      <c r="H212" s="47">
        <v>12.181024707017396</v>
      </c>
    </row>
    <row r="213" spans="1:8" s="44" customFormat="1">
      <c r="A213" s="48">
        <v>8278</v>
      </c>
      <c r="B213" s="46" t="s">
        <v>5</v>
      </c>
      <c r="C213" s="46" t="s">
        <v>18</v>
      </c>
      <c r="D213" s="46" t="s">
        <v>58</v>
      </c>
      <c r="E213" s="46" t="s">
        <v>10</v>
      </c>
      <c r="F213" s="47">
        <v>13.777678998896299</v>
      </c>
      <c r="G213" s="47">
        <v>11.737138244811083</v>
      </c>
      <c r="H213" s="47">
        <v>12.204644998477788</v>
      </c>
    </row>
    <row r="214" spans="1:8" s="44" customFormat="1">
      <c r="A214" s="45" t="s">
        <v>2041</v>
      </c>
      <c r="B214" s="46" t="s">
        <v>5</v>
      </c>
      <c r="C214" s="46" t="s">
        <v>9</v>
      </c>
      <c r="D214" s="46" t="s">
        <v>25</v>
      </c>
      <c r="E214" s="46" t="s">
        <v>6</v>
      </c>
      <c r="F214" s="47">
        <v>14.600381095596076</v>
      </c>
      <c r="G214" s="47">
        <v>12.809431875671999</v>
      </c>
      <c r="H214" s="47">
        <v>12.266455294542155</v>
      </c>
    </row>
    <row r="215" spans="1:8" s="44" customFormat="1">
      <c r="A215" s="45" t="s">
        <v>1481</v>
      </c>
      <c r="B215" s="46" t="s">
        <v>5</v>
      </c>
      <c r="C215" s="46" t="s">
        <v>18</v>
      </c>
      <c r="D215" s="46" t="s">
        <v>128</v>
      </c>
      <c r="E215" s="46" t="s">
        <v>10</v>
      </c>
      <c r="F215" s="47">
        <v>14.731676194799924</v>
      </c>
      <c r="G215" s="47">
        <v>12.861677813152999</v>
      </c>
      <c r="H215" s="47">
        <v>12.693724440583399</v>
      </c>
    </row>
    <row r="216" spans="1:8" s="44" customFormat="1">
      <c r="A216" s="48">
        <v>60</v>
      </c>
      <c r="B216" s="46" t="s">
        <v>5</v>
      </c>
      <c r="C216" s="46" t="s">
        <v>9</v>
      </c>
      <c r="D216" s="46" t="s">
        <v>7</v>
      </c>
      <c r="E216" s="46" t="s">
        <v>6</v>
      </c>
      <c r="F216" s="47">
        <v>15.53741295</v>
      </c>
      <c r="G216" s="47">
        <v>13.74253818</v>
      </c>
      <c r="H216" s="47">
        <v>12.715946465715099</v>
      </c>
    </row>
    <row r="217" spans="1:8" s="44" customFormat="1">
      <c r="A217" s="48">
        <v>31</v>
      </c>
      <c r="B217" s="46" t="s">
        <v>5</v>
      </c>
      <c r="C217" s="46" t="s">
        <v>9</v>
      </c>
      <c r="D217" s="46" t="s">
        <v>19</v>
      </c>
      <c r="E217" s="46" t="s">
        <v>6</v>
      </c>
      <c r="F217" s="47">
        <v>15.470124390000001</v>
      </c>
      <c r="G217" s="47">
        <v>13.34569095</v>
      </c>
      <c r="H217" s="47">
        <v>12.965716770593961</v>
      </c>
    </row>
    <row r="218" spans="1:8" s="44" customFormat="1">
      <c r="A218" s="48" t="s">
        <v>2248</v>
      </c>
      <c r="B218" s="46" t="s">
        <v>5</v>
      </c>
      <c r="C218" s="46" t="s">
        <v>18</v>
      </c>
      <c r="D218" s="46" t="s">
        <v>128</v>
      </c>
      <c r="E218" s="46" t="s">
        <v>10</v>
      </c>
      <c r="F218" s="47">
        <v>52.176658932550573</v>
      </c>
      <c r="G218" s="47">
        <v>45.363827253383903</v>
      </c>
      <c r="H218" s="47">
        <v>13.057240188517449</v>
      </c>
    </row>
    <row r="219" spans="1:8" s="44" customFormat="1">
      <c r="A219" s="45" t="s">
        <v>1483</v>
      </c>
      <c r="B219" s="46" t="s">
        <v>5</v>
      </c>
      <c r="C219" s="46" t="s">
        <v>9</v>
      </c>
      <c r="D219" s="46" t="s">
        <v>7</v>
      </c>
      <c r="E219" s="46" t="s">
        <v>6</v>
      </c>
      <c r="F219" s="47">
        <v>15.159510499591601</v>
      </c>
      <c r="G219" s="47">
        <v>13.14454469976685</v>
      </c>
      <c r="H219" s="47">
        <v>13.291760310328183</v>
      </c>
    </row>
    <row r="220" spans="1:8" s="44" customFormat="1">
      <c r="A220" s="48">
        <v>55</v>
      </c>
      <c r="B220" s="46" t="s">
        <v>5</v>
      </c>
      <c r="C220" s="46" t="s">
        <v>9</v>
      </c>
      <c r="D220" s="46" t="s">
        <v>7</v>
      </c>
      <c r="E220" s="46" t="s">
        <v>6</v>
      </c>
      <c r="F220" s="47">
        <v>14.719664679999999</v>
      </c>
      <c r="G220" s="47">
        <v>13.25776917</v>
      </c>
      <c r="H220" s="47">
        <v>13.39776095240417</v>
      </c>
    </row>
    <row r="221" spans="1:8" s="44" customFormat="1">
      <c r="A221" s="48">
        <v>48</v>
      </c>
      <c r="B221" s="46" t="s">
        <v>5</v>
      </c>
      <c r="C221" s="46" t="s">
        <v>9</v>
      </c>
      <c r="D221" s="46" t="s">
        <v>39</v>
      </c>
      <c r="E221" s="46" t="s">
        <v>6</v>
      </c>
      <c r="F221" s="47">
        <v>14.5566543</v>
      </c>
      <c r="G221" s="47">
        <v>12.78350464</v>
      </c>
      <c r="H221" s="47">
        <v>13.480813997841967</v>
      </c>
    </row>
    <row r="222" spans="1:8" s="44" customFormat="1">
      <c r="A222" s="48">
        <v>8208</v>
      </c>
      <c r="B222" s="46" t="s">
        <v>5</v>
      </c>
      <c r="C222" s="46" t="s">
        <v>9</v>
      </c>
      <c r="D222" s="46" t="s">
        <v>7</v>
      </c>
      <c r="E222" s="46" t="s">
        <v>6</v>
      </c>
      <c r="F222" s="47">
        <v>14.327634306517126</v>
      </c>
      <c r="G222" s="47">
        <v>12.659542644091349</v>
      </c>
      <c r="H222" s="47">
        <v>13.539722366867579</v>
      </c>
    </row>
    <row r="223" spans="1:8" s="44" customFormat="1">
      <c r="A223" s="48">
        <v>6086</v>
      </c>
      <c r="B223" s="46" t="s">
        <v>5</v>
      </c>
      <c r="C223" s="46" t="s">
        <v>9</v>
      </c>
      <c r="D223" s="46" t="s">
        <v>28</v>
      </c>
      <c r="E223" s="46" t="s">
        <v>6</v>
      </c>
      <c r="F223" s="47">
        <v>13.95698597075425</v>
      </c>
      <c r="G223" s="47">
        <v>12.460888934336824</v>
      </c>
      <c r="H223" s="47">
        <v>13.562750609956876</v>
      </c>
    </row>
    <row r="224" spans="1:8" s="44" customFormat="1">
      <c r="A224" s="48">
        <v>30</v>
      </c>
      <c r="B224" s="46" t="s">
        <v>5</v>
      </c>
      <c r="C224" s="46" t="s">
        <v>21</v>
      </c>
      <c r="D224" s="46" t="s">
        <v>19</v>
      </c>
      <c r="E224" s="46" t="s">
        <v>6</v>
      </c>
      <c r="F224" s="47">
        <v>14.80680199</v>
      </c>
      <c r="G224" s="47">
        <v>12.454266430000001</v>
      </c>
      <c r="H224" s="47">
        <v>13.732490963643029</v>
      </c>
    </row>
    <row r="225" spans="1:11" s="44" customFormat="1">
      <c r="A225" s="48">
        <v>8289</v>
      </c>
      <c r="B225" s="46" t="s">
        <v>5</v>
      </c>
      <c r="C225" s="46" t="s">
        <v>21</v>
      </c>
      <c r="D225" s="46" t="s">
        <v>19</v>
      </c>
      <c r="E225" s="46" t="s">
        <v>6</v>
      </c>
      <c r="F225" s="47">
        <v>14.224099758573475</v>
      </c>
      <c r="G225" s="47">
        <v>12.239067598944619</v>
      </c>
      <c r="H225" s="47">
        <v>13.955415058393362</v>
      </c>
    </row>
    <row r="226" spans="1:11" s="44" customFormat="1">
      <c r="A226" s="48">
        <v>6100</v>
      </c>
      <c r="B226" s="46" t="s">
        <v>5</v>
      </c>
      <c r="C226" s="46" t="s">
        <v>9</v>
      </c>
      <c r="D226" s="46" t="s">
        <v>7</v>
      </c>
      <c r="E226" s="46" t="s">
        <v>6</v>
      </c>
      <c r="F226" s="47">
        <v>13.860675189172051</v>
      </c>
      <c r="G226" s="47">
        <v>12.712892378968375</v>
      </c>
      <c r="H226" s="47">
        <v>14.366238267098153</v>
      </c>
    </row>
    <row r="227" spans="1:11" s="44" customFormat="1">
      <c r="A227" s="48">
        <v>6061</v>
      </c>
      <c r="B227" s="46" t="s">
        <v>5</v>
      </c>
      <c r="C227" s="46" t="s">
        <v>9</v>
      </c>
      <c r="D227" s="46" t="s">
        <v>28</v>
      </c>
      <c r="E227" s="46" t="s">
        <v>6</v>
      </c>
      <c r="F227" s="47">
        <v>14.160919516898801</v>
      </c>
      <c r="G227" s="47">
        <v>12.7419509046104</v>
      </c>
      <c r="H227" s="47">
        <v>14.482549387375299</v>
      </c>
    </row>
    <row r="228" spans="1:11" s="44" customFormat="1">
      <c r="A228" s="48" t="s">
        <v>2356</v>
      </c>
      <c r="B228" s="46" t="s">
        <v>5</v>
      </c>
      <c r="C228" s="46" t="s">
        <v>14</v>
      </c>
      <c r="D228" s="46" t="s">
        <v>11</v>
      </c>
      <c r="E228" s="46" t="s">
        <v>10</v>
      </c>
      <c r="F228" s="47">
        <v>40.472403619859804</v>
      </c>
      <c r="G228" s="47">
        <v>34.483594127882398</v>
      </c>
      <c r="H228" s="47">
        <v>14.797266671452892</v>
      </c>
    </row>
    <row r="229" spans="1:11" s="44" customFormat="1">
      <c r="A229" s="48" t="s">
        <v>293</v>
      </c>
      <c r="B229" s="46" t="s">
        <v>5</v>
      </c>
      <c r="C229" s="46" t="s">
        <v>14</v>
      </c>
      <c r="D229" s="46" t="s">
        <v>80</v>
      </c>
      <c r="E229" s="46" t="s">
        <v>10</v>
      </c>
      <c r="F229" s="47">
        <v>20.634228610079852</v>
      </c>
      <c r="G229" s="47">
        <v>17.543230626048853</v>
      </c>
      <c r="H229" s="47">
        <v>14.979954145322605</v>
      </c>
    </row>
    <row r="230" spans="1:11" s="44" customFormat="1">
      <c r="A230" s="48">
        <v>130</v>
      </c>
      <c r="B230" s="46" t="s">
        <v>5</v>
      </c>
      <c r="C230" s="46" t="s">
        <v>9</v>
      </c>
      <c r="D230" s="46" t="s">
        <v>7</v>
      </c>
      <c r="E230" s="46" t="s">
        <v>6</v>
      </c>
      <c r="F230" s="47">
        <v>14.535167400000001</v>
      </c>
      <c r="G230" s="47">
        <v>12.61644677</v>
      </c>
      <c r="H230" s="47">
        <v>15.007902574728128</v>
      </c>
    </row>
    <row r="231" spans="1:11" s="44" customFormat="1">
      <c r="A231" s="48" t="s">
        <v>2256</v>
      </c>
      <c r="B231" s="46" t="s">
        <v>5</v>
      </c>
      <c r="C231" s="46" t="s">
        <v>9</v>
      </c>
      <c r="D231" s="46" t="s">
        <v>101</v>
      </c>
      <c r="E231" s="46" t="s">
        <v>6</v>
      </c>
      <c r="F231" s="47">
        <v>44.210231389721848</v>
      </c>
      <c r="G231" s="47">
        <v>37.557868937756155</v>
      </c>
      <c r="H231" s="47">
        <v>15.047110686492038</v>
      </c>
    </row>
    <row r="232" spans="1:11" s="44" customFormat="1">
      <c r="A232" s="48">
        <v>6085</v>
      </c>
      <c r="B232" s="46" t="s">
        <v>5</v>
      </c>
      <c r="C232" s="46" t="s">
        <v>9</v>
      </c>
      <c r="D232" s="46" t="s">
        <v>87</v>
      </c>
      <c r="E232" s="46" t="s">
        <v>6</v>
      </c>
      <c r="F232" s="47">
        <v>13.414354988661573</v>
      </c>
      <c r="G232" s="47">
        <v>11.594999475615095</v>
      </c>
      <c r="H232" s="47">
        <v>15.164922077558929</v>
      </c>
    </row>
    <row r="233" spans="1:11" s="44" customFormat="1">
      <c r="A233" s="48">
        <v>32</v>
      </c>
      <c r="B233" s="46" t="s">
        <v>5</v>
      </c>
      <c r="C233" s="46" t="s">
        <v>14</v>
      </c>
      <c r="D233" s="46" t="s">
        <v>186</v>
      </c>
      <c r="E233" s="46" t="s">
        <v>10</v>
      </c>
      <c r="F233" s="47">
        <v>15.167928549999999</v>
      </c>
      <c r="G233" s="47">
        <v>13.2012979</v>
      </c>
      <c r="H233" s="47">
        <v>15.346187836792325</v>
      </c>
    </row>
    <row r="234" spans="1:11" s="44" customFormat="1">
      <c r="A234" s="48">
        <v>41</v>
      </c>
      <c r="B234" s="46" t="s">
        <v>5</v>
      </c>
      <c r="C234" s="46" t="s">
        <v>9</v>
      </c>
      <c r="D234" s="46" t="s">
        <v>28</v>
      </c>
      <c r="E234" s="46" t="s">
        <v>6</v>
      </c>
      <c r="F234" s="47">
        <v>14.49627976</v>
      </c>
      <c r="G234" s="47">
        <v>12.023116010000001</v>
      </c>
      <c r="H234" s="47">
        <v>15.554243236565357</v>
      </c>
    </row>
    <row r="235" spans="1:11" s="44" customFormat="1">
      <c r="A235" s="48">
        <v>22</v>
      </c>
      <c r="B235" s="46" t="s">
        <v>5</v>
      </c>
      <c r="C235" s="46" t="s">
        <v>9</v>
      </c>
      <c r="D235" s="46" t="s">
        <v>101</v>
      </c>
      <c r="E235" s="46" t="s">
        <v>6</v>
      </c>
      <c r="F235" s="47">
        <v>14.122796230000001</v>
      </c>
      <c r="G235" s="47">
        <v>11.778708099999999</v>
      </c>
      <c r="H235" s="47">
        <v>15.701653134527893</v>
      </c>
      <c r="I235" s="2"/>
      <c r="J235" s="2"/>
      <c r="K235" s="2"/>
    </row>
    <row r="236" spans="1:11" s="44" customFormat="1">
      <c r="A236" s="45">
        <v>7291</v>
      </c>
      <c r="B236" s="46" t="s">
        <v>5</v>
      </c>
      <c r="C236" s="46" t="s">
        <v>18</v>
      </c>
      <c r="D236" s="46" t="s">
        <v>58</v>
      </c>
      <c r="E236" s="47" t="s">
        <v>10</v>
      </c>
      <c r="F236" s="47">
        <v>15.7267885714906</v>
      </c>
      <c r="G236" s="47">
        <v>13.1993498408109</v>
      </c>
      <c r="H236" s="47">
        <v>16.070914409451788</v>
      </c>
      <c r="I236" s="2"/>
      <c r="J236" s="2"/>
      <c r="K236" s="2"/>
    </row>
    <row r="237" spans="1:11" s="44" customFormat="1">
      <c r="A237" s="48">
        <v>6021</v>
      </c>
      <c r="B237" s="46" t="s">
        <v>5</v>
      </c>
      <c r="C237" s="46" t="s">
        <v>9</v>
      </c>
      <c r="D237" s="46" t="s">
        <v>7</v>
      </c>
      <c r="E237" s="46" t="s">
        <v>6</v>
      </c>
      <c r="F237" s="47">
        <v>14.114200624779226</v>
      </c>
      <c r="G237" s="47">
        <v>11.817392812552676</v>
      </c>
      <c r="H237" s="47">
        <v>16.273027947429199</v>
      </c>
      <c r="I237" s="2"/>
      <c r="J237" s="2"/>
      <c r="K237" s="2"/>
    </row>
    <row r="238" spans="1:11" s="44" customFormat="1">
      <c r="A238" s="48" t="s">
        <v>349</v>
      </c>
      <c r="B238" s="46" t="s">
        <v>5</v>
      </c>
      <c r="C238" s="46" t="s">
        <v>14</v>
      </c>
      <c r="D238" s="46" t="s">
        <v>97</v>
      </c>
      <c r="E238" s="46" t="s">
        <v>10</v>
      </c>
      <c r="F238" s="47">
        <v>21.464944896325598</v>
      </c>
      <c r="G238" s="47">
        <v>17.961064461651148</v>
      </c>
      <c r="H238" s="47">
        <v>16.323733657822014</v>
      </c>
      <c r="I238" s="2"/>
      <c r="J238" s="2"/>
      <c r="K238" s="2"/>
    </row>
    <row r="239" spans="1:11" s="44" customFormat="1">
      <c r="A239" s="48">
        <v>20</v>
      </c>
      <c r="B239" s="46" t="s">
        <v>5</v>
      </c>
      <c r="C239" s="46" t="s">
        <v>9</v>
      </c>
      <c r="D239" s="46" t="s">
        <v>414</v>
      </c>
      <c r="E239" s="46" t="s">
        <v>6</v>
      </c>
      <c r="F239" s="47">
        <v>14.720979529999999</v>
      </c>
      <c r="G239" s="47">
        <v>12.238352470000001</v>
      </c>
      <c r="H239" s="47">
        <v>16.597903795908632</v>
      </c>
      <c r="I239" s="2"/>
      <c r="J239" s="2"/>
      <c r="K239" s="2"/>
    </row>
    <row r="240" spans="1:11" s="44" customFormat="1">
      <c r="A240" s="48">
        <v>33</v>
      </c>
      <c r="B240" s="46" t="s">
        <v>5</v>
      </c>
      <c r="C240" s="46" t="s">
        <v>14</v>
      </c>
      <c r="D240" s="46" t="s">
        <v>11</v>
      </c>
      <c r="E240" s="46" t="s">
        <v>10</v>
      </c>
      <c r="F240" s="47">
        <v>15.87938261</v>
      </c>
      <c r="G240" s="47">
        <v>13.442502729999999</v>
      </c>
      <c r="H240" s="47">
        <v>16.667019782995098</v>
      </c>
      <c r="I240" s="2"/>
      <c r="J240" s="2"/>
      <c r="K240" s="2"/>
    </row>
    <row r="241" spans="1:11" s="44" customFormat="1">
      <c r="A241" s="48">
        <v>17</v>
      </c>
      <c r="B241" s="46" t="s">
        <v>5</v>
      </c>
      <c r="C241" s="46" t="s">
        <v>9</v>
      </c>
      <c r="D241" s="46" t="s">
        <v>401</v>
      </c>
      <c r="E241" s="46" t="s">
        <v>6</v>
      </c>
      <c r="F241" s="47">
        <v>15.353062850000001</v>
      </c>
      <c r="G241" s="47">
        <v>13.69879875</v>
      </c>
      <c r="H241" s="47">
        <v>16.864550719821057</v>
      </c>
      <c r="I241" s="2"/>
      <c r="J241" s="2"/>
      <c r="K241" s="2"/>
    </row>
    <row r="242" spans="1:11" s="44" customFormat="1">
      <c r="A242" s="48">
        <v>116</v>
      </c>
      <c r="B242" s="46" t="s">
        <v>5</v>
      </c>
      <c r="C242" s="46" t="s">
        <v>14</v>
      </c>
      <c r="D242" s="46" t="s">
        <v>434</v>
      </c>
      <c r="E242" s="46" t="s">
        <v>10</v>
      </c>
      <c r="F242" s="47">
        <v>14.390071969999999</v>
      </c>
      <c r="G242" s="47">
        <v>10.928390090000001</v>
      </c>
      <c r="H242" s="47">
        <v>17.068437118655421</v>
      </c>
      <c r="I242" s="2"/>
      <c r="J242" s="2"/>
      <c r="K242" s="2"/>
    </row>
    <row r="243" spans="1:11" s="44" customFormat="1">
      <c r="A243" s="48">
        <v>6036</v>
      </c>
      <c r="B243" s="46" t="s">
        <v>5</v>
      </c>
      <c r="C243" s="46" t="s">
        <v>14</v>
      </c>
      <c r="D243" s="46" t="s">
        <v>11</v>
      </c>
      <c r="E243" s="46" t="s">
        <v>10</v>
      </c>
      <c r="F243" s="47">
        <v>14.391613327870324</v>
      </c>
      <c r="G243" s="47">
        <v>11.932259081614848</v>
      </c>
      <c r="H243" s="47">
        <v>17.088801583438674</v>
      </c>
      <c r="I243" s="2"/>
      <c r="J243" s="2"/>
      <c r="K243" s="2"/>
    </row>
    <row r="244" spans="1:11" s="44" customFormat="1">
      <c r="A244" s="48" t="s">
        <v>2255</v>
      </c>
      <c r="B244" s="46" t="s">
        <v>5</v>
      </c>
      <c r="C244" s="46" t="s">
        <v>9</v>
      </c>
      <c r="D244" s="46" t="s">
        <v>101</v>
      </c>
      <c r="E244" s="46" t="s">
        <v>6</v>
      </c>
      <c r="F244" s="47">
        <v>42.78492328857665</v>
      </c>
      <c r="G244" s="47">
        <v>35.426396103596375</v>
      </c>
      <c r="H244" s="47">
        <v>17.198878996108814</v>
      </c>
      <c r="I244" s="2"/>
      <c r="J244" s="2"/>
      <c r="K244" s="2"/>
    </row>
    <row r="245" spans="1:11" s="44" customFormat="1">
      <c r="A245" s="48">
        <v>11</v>
      </c>
      <c r="B245" s="46" t="s">
        <v>5</v>
      </c>
      <c r="C245" s="46" t="s">
        <v>9</v>
      </c>
      <c r="D245" s="46" t="s">
        <v>28</v>
      </c>
      <c r="E245" s="46" t="s">
        <v>6</v>
      </c>
      <c r="F245" s="47">
        <v>14.65071161</v>
      </c>
      <c r="G245" s="47">
        <v>12.10046451</v>
      </c>
      <c r="H245" s="47">
        <v>17.406984523255264</v>
      </c>
      <c r="I245" s="2"/>
      <c r="J245" s="2"/>
      <c r="K245" s="2"/>
    </row>
    <row r="246" spans="1:11" s="44" customFormat="1">
      <c r="A246" s="48">
        <v>6044</v>
      </c>
      <c r="B246" s="46" t="s">
        <v>5</v>
      </c>
      <c r="C246" s="46" t="s">
        <v>14</v>
      </c>
      <c r="D246" s="46" t="s">
        <v>11</v>
      </c>
      <c r="E246" s="46" t="s">
        <v>10</v>
      </c>
      <c r="F246" s="47">
        <v>13.7030608790011</v>
      </c>
      <c r="G246" s="47">
        <v>11.315132268971123</v>
      </c>
      <c r="H246" s="47">
        <v>17.426242436748542</v>
      </c>
      <c r="I246" s="2"/>
      <c r="J246" s="2"/>
      <c r="K246" s="2"/>
    </row>
    <row r="247" spans="1:11" s="44" customFormat="1">
      <c r="A247" s="48">
        <v>37</v>
      </c>
      <c r="B247" s="46" t="s">
        <v>5</v>
      </c>
      <c r="C247" s="46" t="s">
        <v>9</v>
      </c>
      <c r="D247" s="46" t="s">
        <v>7</v>
      </c>
      <c r="E247" s="46" t="s">
        <v>6</v>
      </c>
      <c r="F247" s="47">
        <v>14.389292559999999</v>
      </c>
      <c r="G247" s="47">
        <v>11.99102633</v>
      </c>
      <c r="H247" s="47">
        <v>17.440357014381146</v>
      </c>
      <c r="I247" s="2"/>
      <c r="J247" s="2"/>
      <c r="K247" s="2"/>
    </row>
    <row r="248" spans="1:11" s="44" customFormat="1">
      <c r="A248" s="48">
        <v>124</v>
      </c>
      <c r="B248" s="46" t="s">
        <v>5</v>
      </c>
      <c r="C248" s="46" t="s">
        <v>9</v>
      </c>
      <c r="D248" s="46" t="s">
        <v>87</v>
      </c>
      <c r="E248" s="46" t="s">
        <v>6</v>
      </c>
      <c r="F248" s="47">
        <v>14.74612495</v>
      </c>
      <c r="G248" s="47">
        <v>13.34934868</v>
      </c>
      <c r="H248" s="47">
        <v>17.510615211761994</v>
      </c>
      <c r="I248" s="2"/>
      <c r="J248" s="2"/>
      <c r="K248" s="2"/>
    </row>
    <row r="249" spans="1:11" s="44" customFormat="1">
      <c r="A249" s="48">
        <v>2</v>
      </c>
      <c r="B249" s="46" t="s">
        <v>5</v>
      </c>
      <c r="C249" s="46" t="s">
        <v>21</v>
      </c>
      <c r="D249" s="46" t="s">
        <v>19</v>
      </c>
      <c r="E249" s="46" t="s">
        <v>6</v>
      </c>
      <c r="F249" s="47">
        <v>14.31030507</v>
      </c>
      <c r="G249" s="47">
        <v>11.71421396</v>
      </c>
      <c r="H249" s="47">
        <v>18.141409959661114</v>
      </c>
      <c r="I249" s="2"/>
      <c r="J249" s="2"/>
      <c r="K249" s="2"/>
    </row>
    <row r="250" spans="1:11" s="44" customFormat="1">
      <c r="A250" s="48">
        <v>7</v>
      </c>
      <c r="B250" s="46" t="s">
        <v>5</v>
      </c>
      <c r="C250" s="46" t="s">
        <v>18</v>
      </c>
      <c r="D250" s="46" t="s">
        <v>16</v>
      </c>
      <c r="E250" s="46" t="s">
        <v>10</v>
      </c>
      <c r="F250" s="47">
        <v>14.05672738</v>
      </c>
      <c r="G250" s="47">
        <v>11.48734103</v>
      </c>
      <c r="H250" s="47">
        <v>18.278695168662061</v>
      </c>
      <c r="I250" s="2"/>
      <c r="J250" s="2"/>
      <c r="K250" s="2"/>
    </row>
    <row r="251" spans="1:11" s="44" customFormat="1">
      <c r="A251" s="48" t="s">
        <v>325</v>
      </c>
      <c r="B251" s="46" t="s">
        <v>5</v>
      </c>
      <c r="C251" s="46" t="s">
        <v>14</v>
      </c>
      <c r="D251" s="46" t="s">
        <v>11</v>
      </c>
      <c r="E251" s="46" t="s">
        <v>10</v>
      </c>
      <c r="F251" s="47">
        <v>18.105576678860299</v>
      </c>
      <c r="G251" s="47">
        <v>14.687800456458099</v>
      </c>
      <c r="H251" s="47">
        <v>18.876925507668176</v>
      </c>
      <c r="I251" s="2"/>
      <c r="J251" s="2"/>
      <c r="K251" s="2"/>
    </row>
    <row r="252" spans="1:11" s="44" customFormat="1">
      <c r="A252" s="48">
        <v>88</v>
      </c>
      <c r="B252" s="46" t="s">
        <v>5</v>
      </c>
      <c r="C252" s="46" t="s">
        <v>18</v>
      </c>
      <c r="D252" s="46" t="s">
        <v>128</v>
      </c>
      <c r="E252" s="46" t="s">
        <v>10</v>
      </c>
      <c r="F252" s="47">
        <v>13.03280322</v>
      </c>
      <c r="G252" s="47">
        <v>9.8207163009999991</v>
      </c>
      <c r="H252" s="47">
        <v>18.896699948733421</v>
      </c>
      <c r="I252" s="2"/>
      <c r="J252" s="2"/>
      <c r="K252" s="2"/>
    </row>
    <row r="253" spans="1:11" s="44" customFormat="1">
      <c r="A253" s="45">
        <v>7418</v>
      </c>
      <c r="B253" s="46" t="s">
        <v>5</v>
      </c>
      <c r="C253" s="46" t="s">
        <v>14</v>
      </c>
      <c r="D253" s="46" t="s">
        <v>11</v>
      </c>
      <c r="E253" s="47" t="s">
        <v>10</v>
      </c>
      <c r="F253" s="47">
        <v>12.214321214351624</v>
      </c>
      <c r="G253" s="47">
        <v>9.877382552371893</v>
      </c>
      <c r="H253" s="47">
        <v>19.132775542482605</v>
      </c>
      <c r="I253" s="2"/>
      <c r="J253" s="2"/>
      <c r="K253" s="2"/>
    </row>
    <row r="254" spans="1:11" s="44" customFormat="1">
      <c r="A254" s="48">
        <v>13</v>
      </c>
      <c r="B254" s="46" t="s">
        <v>5</v>
      </c>
      <c r="C254" s="46" t="s">
        <v>14</v>
      </c>
      <c r="D254" s="46" t="s">
        <v>34</v>
      </c>
      <c r="E254" s="46" t="s">
        <v>10</v>
      </c>
      <c r="F254" s="47">
        <v>15.38365202</v>
      </c>
      <c r="G254" s="47">
        <v>12.1333804</v>
      </c>
      <c r="H254" s="47">
        <v>21.128088585064543</v>
      </c>
      <c r="I254" s="2"/>
      <c r="J254" s="2"/>
      <c r="K254" s="2"/>
    </row>
    <row r="255" spans="1:11" s="44" customFormat="1">
      <c r="A255" s="48">
        <v>15</v>
      </c>
      <c r="B255" s="46" t="s">
        <v>5</v>
      </c>
      <c r="C255" s="46" t="s">
        <v>14</v>
      </c>
      <c r="D255" s="46" t="s">
        <v>11</v>
      </c>
      <c r="E255" s="46" t="s">
        <v>10</v>
      </c>
      <c r="F255" s="47">
        <v>15.406542010000001</v>
      </c>
      <c r="G255" s="47">
        <v>12.58924036</v>
      </c>
      <c r="H255" s="47">
        <v>21.568627888751845</v>
      </c>
      <c r="I255" s="2"/>
      <c r="J255" s="2"/>
      <c r="K255" s="2"/>
    </row>
    <row r="256" spans="1:11" s="44" customFormat="1">
      <c r="A256" s="41">
        <v>131</v>
      </c>
      <c r="B256" s="42" t="s">
        <v>5</v>
      </c>
      <c r="C256" s="62" t="s">
        <v>14</v>
      </c>
      <c r="D256" s="62" t="s">
        <v>11</v>
      </c>
      <c r="E256" s="42" t="s">
        <v>10</v>
      </c>
      <c r="F256" s="43">
        <v>15.06812598</v>
      </c>
      <c r="G256" s="43">
        <v>12.806716310000001</v>
      </c>
      <c r="H256" s="43">
        <v>27.687869055926562</v>
      </c>
      <c r="I256" s="38" t="s">
        <v>16964</v>
      </c>
      <c r="J256" s="38" t="s">
        <v>17474</v>
      </c>
      <c r="K256" s="2"/>
    </row>
    <row r="257" spans="1:11" s="44" customFormat="1">
      <c r="A257" s="63">
        <v>6084</v>
      </c>
      <c r="B257" s="42" t="s">
        <v>5</v>
      </c>
      <c r="C257" s="42" t="s">
        <v>14</v>
      </c>
      <c r="D257" s="42" t="s">
        <v>615</v>
      </c>
      <c r="E257" s="42" t="s">
        <v>10</v>
      </c>
      <c r="F257" s="43">
        <v>14.002002695541876</v>
      </c>
      <c r="G257" s="43">
        <v>11.87860989746525</v>
      </c>
      <c r="H257" s="43">
        <v>34.168497355001307</v>
      </c>
      <c r="I257" s="38" t="s">
        <v>16964</v>
      </c>
      <c r="J257" s="38" t="s">
        <v>17474</v>
      </c>
      <c r="K257" s="2"/>
    </row>
    <row r="258" spans="1:11" s="44" customFormat="1">
      <c r="A258" s="41">
        <v>6</v>
      </c>
      <c r="B258" s="42" t="s">
        <v>43</v>
      </c>
      <c r="C258" s="62" t="s">
        <v>14</v>
      </c>
      <c r="D258" s="62" t="s">
        <v>11</v>
      </c>
      <c r="E258" s="42" t="s">
        <v>10</v>
      </c>
      <c r="F258" s="43">
        <v>14.456923079999999</v>
      </c>
      <c r="G258" s="43">
        <v>11.27734895</v>
      </c>
      <c r="H258" s="43">
        <v>21.99343602182481</v>
      </c>
      <c r="I258" s="38" t="s">
        <v>16964</v>
      </c>
      <c r="J258" s="38" t="s">
        <v>17474</v>
      </c>
      <c r="K258" s="2"/>
    </row>
    <row r="259" spans="1:11" s="44" customFormat="1">
      <c r="A259" s="41">
        <v>115</v>
      </c>
      <c r="B259" s="42" t="s">
        <v>43</v>
      </c>
      <c r="C259" s="42" t="s">
        <v>14</v>
      </c>
      <c r="D259" s="42" t="s">
        <v>431</v>
      </c>
      <c r="E259" s="42" t="s">
        <v>10</v>
      </c>
      <c r="F259" s="43">
        <v>15.396202430000001</v>
      </c>
      <c r="G259" s="43">
        <v>13.572215419999999</v>
      </c>
      <c r="H259" s="43">
        <v>24.056042880673324</v>
      </c>
      <c r="I259" s="38" t="s">
        <v>16964</v>
      </c>
      <c r="J259" s="38" t="s">
        <v>17474</v>
      </c>
      <c r="K259" s="2"/>
    </row>
    <row r="260" spans="1:11" s="44" customFormat="1">
      <c r="A260" s="41">
        <v>4</v>
      </c>
      <c r="B260" s="42" t="s">
        <v>43</v>
      </c>
      <c r="C260" s="62" t="s">
        <v>14</v>
      </c>
      <c r="D260" s="62" t="s">
        <v>11</v>
      </c>
      <c r="E260" s="42" t="s">
        <v>10</v>
      </c>
      <c r="F260" s="43">
        <v>13.69200504</v>
      </c>
      <c r="G260" s="43">
        <v>10.24093248</v>
      </c>
      <c r="H260" s="43">
        <v>25.205019680244401</v>
      </c>
      <c r="I260" s="38" t="s">
        <v>16964</v>
      </c>
      <c r="J260" s="38" t="s">
        <v>17474</v>
      </c>
      <c r="K260" s="2"/>
    </row>
    <row r="261" spans="1:11" s="44" customFormat="1">
      <c r="A261" s="45" t="s">
        <v>2193</v>
      </c>
      <c r="B261" s="46" t="s">
        <v>27</v>
      </c>
      <c r="C261" s="46" t="s">
        <v>9</v>
      </c>
      <c r="D261" s="46" t="s">
        <v>7</v>
      </c>
      <c r="E261" s="46" t="s">
        <v>6</v>
      </c>
      <c r="F261" s="47">
        <v>16.383468779245099</v>
      </c>
      <c r="G261" s="47">
        <v>16.658646160930576</v>
      </c>
      <c r="H261" s="47">
        <v>-1.6796039067995094</v>
      </c>
    </row>
    <row r="262" spans="1:11" s="44" customFormat="1">
      <c r="A262" s="45" t="s">
        <v>2138</v>
      </c>
      <c r="B262" s="46" t="s">
        <v>27</v>
      </c>
      <c r="C262" s="46" t="s">
        <v>9</v>
      </c>
      <c r="D262" s="46" t="s">
        <v>149</v>
      </c>
      <c r="E262" s="46" t="s">
        <v>6</v>
      </c>
      <c r="F262" s="47">
        <v>17.143563285729002</v>
      </c>
      <c r="G262" s="47">
        <v>17.24132328029075</v>
      </c>
      <c r="H262" s="47">
        <v>-0.57024314567746259</v>
      </c>
    </row>
    <row r="263" spans="1:11" s="44" customFormat="1">
      <c r="A263" s="45">
        <v>4459</v>
      </c>
      <c r="B263" s="46" t="s">
        <v>27</v>
      </c>
      <c r="C263" s="46" t="s">
        <v>9</v>
      </c>
      <c r="D263" s="46" t="s">
        <v>28</v>
      </c>
      <c r="E263" s="46" t="s">
        <v>6</v>
      </c>
      <c r="F263" s="47">
        <v>15.800322499027475</v>
      </c>
      <c r="G263" s="47">
        <v>15.731840793321624</v>
      </c>
      <c r="H263" s="47">
        <v>0.43341967045334995</v>
      </c>
    </row>
    <row r="264" spans="1:11" s="44" customFormat="1">
      <c r="A264" s="45">
        <v>4446</v>
      </c>
      <c r="B264" s="46" t="s">
        <v>27</v>
      </c>
      <c r="C264" s="46" t="s">
        <v>14</v>
      </c>
      <c r="D264" s="46" t="s">
        <v>11</v>
      </c>
      <c r="E264" s="47" t="s">
        <v>10</v>
      </c>
      <c r="F264" s="47">
        <v>14.889867732981976</v>
      </c>
      <c r="G264" s="47">
        <v>14.671357488912024</v>
      </c>
      <c r="H264" s="47">
        <v>1.4675096380200814</v>
      </c>
    </row>
    <row r="265" spans="1:11" s="44" customFormat="1">
      <c r="A265" s="45" t="s">
        <v>1915</v>
      </c>
      <c r="B265" s="46" t="s">
        <v>27</v>
      </c>
      <c r="C265" s="46" t="s">
        <v>9</v>
      </c>
      <c r="D265" s="46" t="s">
        <v>217</v>
      </c>
      <c r="E265" s="46" t="s">
        <v>6</v>
      </c>
      <c r="F265" s="47">
        <v>22.785810088423048</v>
      </c>
      <c r="G265" s="47">
        <v>22.2321871835405</v>
      </c>
      <c r="H265" s="47">
        <v>2.4296827838648172</v>
      </c>
    </row>
    <row r="266" spans="1:11" s="44" customFormat="1">
      <c r="A266" s="45" t="s">
        <v>1916</v>
      </c>
      <c r="B266" s="46" t="s">
        <v>27</v>
      </c>
      <c r="C266" s="46" t="s">
        <v>18</v>
      </c>
      <c r="D266" s="46" t="s">
        <v>128</v>
      </c>
      <c r="E266" s="46" t="s">
        <v>10</v>
      </c>
      <c r="F266" s="47">
        <v>22.117907291120453</v>
      </c>
      <c r="G266" s="47">
        <v>21.567877797899449</v>
      </c>
      <c r="H266" s="47">
        <v>2.4868062153503123</v>
      </c>
    </row>
    <row r="267" spans="1:11" s="44" customFormat="1">
      <c r="A267" s="45" t="s">
        <v>1920</v>
      </c>
      <c r="B267" s="46" t="s">
        <v>27</v>
      </c>
      <c r="C267" s="46" t="s">
        <v>9</v>
      </c>
      <c r="D267" s="46" t="s">
        <v>114</v>
      </c>
      <c r="E267" s="46" t="s">
        <v>6</v>
      </c>
      <c r="F267" s="47">
        <v>23.642785880327949</v>
      </c>
      <c r="G267" s="47">
        <v>22.9167260481927</v>
      </c>
      <c r="H267" s="47">
        <v>3.0709571867305607</v>
      </c>
    </row>
    <row r="268" spans="1:11" s="44" customFormat="1">
      <c r="A268" s="45" t="s">
        <v>1922</v>
      </c>
      <c r="B268" s="46" t="s">
        <v>27</v>
      </c>
      <c r="C268" s="46" t="s">
        <v>14</v>
      </c>
      <c r="D268" s="46" t="s">
        <v>34</v>
      </c>
      <c r="E268" s="46" t="s">
        <v>10</v>
      </c>
      <c r="F268" s="47">
        <v>25.454055354351802</v>
      </c>
      <c r="G268" s="47">
        <v>24.510280674841351</v>
      </c>
      <c r="H268" s="47">
        <v>3.7077576298626846</v>
      </c>
    </row>
    <row r="269" spans="1:11" s="44" customFormat="1">
      <c r="A269" s="45" t="s">
        <v>1921</v>
      </c>
      <c r="B269" s="46" t="s">
        <v>27</v>
      </c>
      <c r="C269" s="46" t="s">
        <v>9</v>
      </c>
      <c r="D269" s="46" t="s">
        <v>397</v>
      </c>
      <c r="E269" s="46" t="s">
        <v>6</v>
      </c>
      <c r="F269" s="47">
        <v>23.964945423475648</v>
      </c>
      <c r="G269" s="47">
        <v>23.047619238032802</v>
      </c>
      <c r="H269" s="47">
        <v>3.8277833278278606</v>
      </c>
    </row>
    <row r="270" spans="1:11" s="44" customFormat="1">
      <c r="A270" s="45" t="s">
        <v>2135</v>
      </c>
      <c r="B270" s="46" t="s">
        <v>27</v>
      </c>
      <c r="C270" s="46" t="s">
        <v>9</v>
      </c>
      <c r="D270" s="46" t="s">
        <v>28</v>
      </c>
      <c r="E270" s="46" t="s">
        <v>6</v>
      </c>
      <c r="F270" s="47">
        <v>17.612102098048474</v>
      </c>
      <c r="G270" s="47">
        <v>16.837901224888572</v>
      </c>
      <c r="H270" s="47">
        <v>4.3958459294060503</v>
      </c>
    </row>
    <row r="271" spans="1:11" s="44" customFormat="1">
      <c r="A271" s="45" t="s">
        <v>1919</v>
      </c>
      <c r="B271" s="46" t="s">
        <v>27</v>
      </c>
      <c r="C271" s="46" t="s">
        <v>9</v>
      </c>
      <c r="D271" s="46" t="s">
        <v>1077</v>
      </c>
      <c r="E271" s="46" t="s">
        <v>6</v>
      </c>
      <c r="F271" s="47">
        <v>21.096429935532552</v>
      </c>
      <c r="G271" s="47">
        <v>20.07443246571545</v>
      </c>
      <c r="H271" s="47">
        <v>4.8444095656950843</v>
      </c>
    </row>
    <row r="272" spans="1:11" s="44" customFormat="1">
      <c r="A272" s="45">
        <v>4549</v>
      </c>
      <c r="B272" s="46" t="s">
        <v>27</v>
      </c>
      <c r="C272" s="46" t="s">
        <v>9</v>
      </c>
      <c r="D272" s="46" t="s">
        <v>23</v>
      </c>
      <c r="E272" s="47" t="s">
        <v>6</v>
      </c>
      <c r="F272" s="47">
        <v>16.703271660785752</v>
      </c>
      <c r="G272" s="47">
        <v>15.699062405874622</v>
      </c>
      <c r="H272" s="47">
        <v>6.0120512633983552</v>
      </c>
    </row>
    <row r="273" spans="1:11" s="44" customFormat="1">
      <c r="A273" s="45" t="s">
        <v>2194</v>
      </c>
      <c r="B273" s="46" t="s">
        <v>27</v>
      </c>
      <c r="C273" s="46" t="s">
        <v>9</v>
      </c>
      <c r="D273" s="46" t="s">
        <v>7</v>
      </c>
      <c r="E273" s="46" t="s">
        <v>6</v>
      </c>
      <c r="F273" s="47">
        <v>18.171953104829075</v>
      </c>
      <c r="G273" s="47">
        <v>17.066759169531849</v>
      </c>
      <c r="H273" s="47">
        <v>6.0818665386250021</v>
      </c>
    </row>
    <row r="274" spans="1:11" s="44" customFormat="1">
      <c r="A274" s="45" t="s">
        <v>1917</v>
      </c>
      <c r="B274" s="46" t="s">
        <v>27</v>
      </c>
      <c r="C274" s="46" t="s">
        <v>14</v>
      </c>
      <c r="D274" s="46" t="s">
        <v>2290</v>
      </c>
      <c r="E274" s="46" t="s">
        <v>10</v>
      </c>
      <c r="F274" s="47">
        <v>24.106490155728402</v>
      </c>
      <c r="G274" s="47">
        <v>22.594754612053002</v>
      </c>
      <c r="H274" s="47">
        <v>6.2710727854181965</v>
      </c>
    </row>
    <row r="275" spans="1:11" s="44" customFormat="1">
      <c r="A275" s="45" t="s">
        <v>1911</v>
      </c>
      <c r="B275" s="46" t="s">
        <v>27</v>
      </c>
      <c r="C275" s="46" t="s">
        <v>9</v>
      </c>
      <c r="D275" s="46" t="s">
        <v>414</v>
      </c>
      <c r="E275" s="46" t="s">
        <v>6</v>
      </c>
      <c r="F275" s="47">
        <v>23.70808734903795</v>
      </c>
      <c r="G275" s="47">
        <v>22.184644428464651</v>
      </c>
      <c r="H275" s="47">
        <v>6.4258364588618662</v>
      </c>
    </row>
    <row r="276" spans="1:11" s="44" customFormat="1">
      <c r="A276" s="45" t="s">
        <v>2136</v>
      </c>
      <c r="B276" s="46" t="s">
        <v>27</v>
      </c>
      <c r="C276" s="46" t="s">
        <v>9</v>
      </c>
      <c r="D276" s="46" t="s">
        <v>149</v>
      </c>
      <c r="E276" s="46" t="s">
        <v>6</v>
      </c>
      <c r="F276" s="47">
        <v>17.953619360172148</v>
      </c>
      <c r="G276" s="47">
        <v>16.740901242133098</v>
      </c>
      <c r="H276" s="47">
        <v>6.7547278000630424</v>
      </c>
    </row>
    <row r="277" spans="1:11" s="44" customFormat="1">
      <c r="A277" s="45">
        <v>4239</v>
      </c>
      <c r="B277" s="46" t="s">
        <v>27</v>
      </c>
      <c r="C277" s="46" t="s">
        <v>9</v>
      </c>
      <c r="D277" s="46" t="s">
        <v>28</v>
      </c>
      <c r="E277" s="46" t="s">
        <v>6</v>
      </c>
      <c r="F277" s="47">
        <v>16.422668753310077</v>
      </c>
      <c r="G277" s="47">
        <v>15.293733748917125</v>
      </c>
      <c r="H277" s="47">
        <v>6.8742481587556137</v>
      </c>
    </row>
    <row r="278" spans="1:11" s="44" customFormat="1">
      <c r="A278" s="45" t="s">
        <v>1913</v>
      </c>
      <c r="B278" s="46" t="s">
        <v>27</v>
      </c>
      <c r="C278" s="46" t="s">
        <v>9</v>
      </c>
      <c r="D278" s="46" t="s">
        <v>119</v>
      </c>
      <c r="E278" s="46" t="s">
        <v>6</v>
      </c>
      <c r="F278" s="47">
        <v>24.065156797623651</v>
      </c>
      <c r="G278" s="47">
        <v>22.40101628647545</v>
      </c>
      <c r="H278" s="47">
        <v>6.9151451002078197</v>
      </c>
    </row>
    <row r="279" spans="1:11" s="44" customFormat="1">
      <c r="A279" s="45" t="s">
        <v>2195</v>
      </c>
      <c r="B279" s="46" t="s">
        <v>27</v>
      </c>
      <c r="C279" s="46" t="s">
        <v>9</v>
      </c>
      <c r="D279" s="46" t="s">
        <v>149</v>
      </c>
      <c r="E279" s="46" t="s">
        <v>6</v>
      </c>
      <c r="F279" s="47">
        <v>18.038146993173051</v>
      </c>
      <c r="G279" s="47">
        <v>16.755382377058201</v>
      </c>
      <c r="H279" s="47">
        <v>7.1113990622226453</v>
      </c>
    </row>
    <row r="280" spans="1:11" s="44" customFormat="1">
      <c r="A280" s="45" t="s">
        <v>1912</v>
      </c>
      <c r="B280" s="46" t="s">
        <v>27</v>
      </c>
      <c r="C280" s="46" t="s">
        <v>9</v>
      </c>
      <c r="D280" s="46" t="s">
        <v>23</v>
      </c>
      <c r="E280" s="46" t="s">
        <v>6</v>
      </c>
      <c r="F280" s="47">
        <v>25.111056721295348</v>
      </c>
      <c r="G280" s="47">
        <v>23.037092485234751</v>
      </c>
      <c r="H280" s="47">
        <v>8.2591675017076422</v>
      </c>
    </row>
    <row r="281" spans="1:11" s="44" customFormat="1">
      <c r="A281" s="45" t="s">
        <v>1914</v>
      </c>
      <c r="B281" s="46" t="s">
        <v>27</v>
      </c>
      <c r="C281" s="46" t="s">
        <v>9</v>
      </c>
      <c r="D281" s="46" t="s">
        <v>23</v>
      </c>
      <c r="E281" s="46" t="s">
        <v>6</v>
      </c>
      <c r="F281" s="47">
        <v>25.035438177101952</v>
      </c>
      <c r="G281" s="47">
        <v>22.943371990948801</v>
      </c>
      <c r="H281" s="47">
        <v>8.3564192939375346</v>
      </c>
    </row>
    <row r="282" spans="1:11" s="44" customFormat="1">
      <c r="A282" s="45" t="s">
        <v>1918</v>
      </c>
      <c r="B282" s="46" t="s">
        <v>27</v>
      </c>
      <c r="C282" s="46" t="s">
        <v>18</v>
      </c>
      <c r="D282" s="46" t="s">
        <v>16</v>
      </c>
      <c r="E282" s="46" t="s">
        <v>10</v>
      </c>
      <c r="F282" s="47">
        <v>20.3180017214831</v>
      </c>
      <c r="G282" s="47">
        <v>18.208351733746397</v>
      </c>
      <c r="H282" s="47">
        <v>10.383156851030673</v>
      </c>
    </row>
    <row r="283" spans="1:11" s="44" customFormat="1">
      <c r="A283" s="45">
        <v>1433</v>
      </c>
      <c r="B283" s="46" t="s">
        <v>27</v>
      </c>
      <c r="C283" s="46" t="s">
        <v>21</v>
      </c>
      <c r="D283" s="46" t="s">
        <v>19</v>
      </c>
      <c r="E283" s="46" t="s">
        <v>6</v>
      </c>
      <c r="F283" s="47">
        <v>18.026275143200301</v>
      </c>
      <c r="G283" s="47">
        <v>15.856909202421249</v>
      </c>
      <c r="H283" s="47">
        <v>12.034465931234607</v>
      </c>
    </row>
    <row r="284" spans="1:11" s="44" customFormat="1">
      <c r="A284" s="45">
        <v>4666</v>
      </c>
      <c r="B284" s="46" t="s">
        <v>27</v>
      </c>
      <c r="C284" s="46" t="s">
        <v>18</v>
      </c>
      <c r="D284" s="46" t="s">
        <v>128</v>
      </c>
      <c r="E284" s="47" t="s">
        <v>10</v>
      </c>
      <c r="F284" s="47">
        <v>13.749147134033551</v>
      </c>
      <c r="G284" s="47">
        <v>11.806553951749251</v>
      </c>
      <c r="H284" s="47">
        <v>14.128826779922655</v>
      </c>
    </row>
    <row r="285" spans="1:11" s="13" customFormat="1">
      <c r="A285" s="45">
        <v>1427</v>
      </c>
      <c r="B285" s="46" t="s">
        <v>27</v>
      </c>
      <c r="C285" s="46" t="s">
        <v>14</v>
      </c>
      <c r="D285" s="46" t="s">
        <v>11</v>
      </c>
      <c r="E285" s="46" t="s">
        <v>10</v>
      </c>
      <c r="F285" s="47">
        <v>22.90384430626235</v>
      </c>
      <c r="G285" s="47">
        <v>18.673268005628053</v>
      </c>
      <c r="H285" s="47">
        <v>18.471031517960402</v>
      </c>
      <c r="I285" s="2"/>
      <c r="J285" s="2"/>
      <c r="K285" s="2"/>
    </row>
    <row r="286" spans="1:11" s="44" customFormat="1">
      <c r="A286" s="41">
        <v>1</v>
      </c>
      <c r="B286" s="42" t="s">
        <v>43</v>
      </c>
      <c r="C286" s="62" t="s">
        <v>14</v>
      </c>
      <c r="D286" s="62" t="s">
        <v>11</v>
      </c>
      <c r="E286" s="42" t="s">
        <v>10</v>
      </c>
      <c r="F286" s="43">
        <v>13.6590817</v>
      </c>
      <c r="G286" s="43">
        <v>10.037436899999999</v>
      </c>
      <c r="H286" s="43">
        <v>26.514555561886876</v>
      </c>
      <c r="I286" s="38" t="s">
        <v>16964</v>
      </c>
      <c r="J286" s="38" t="s">
        <v>17474</v>
      </c>
      <c r="K286" s="2"/>
    </row>
    <row r="287" spans="1:11" s="44" customFormat="1">
      <c r="A287" s="41">
        <v>6042</v>
      </c>
      <c r="B287" s="42" t="s">
        <v>43</v>
      </c>
      <c r="C287" s="42" t="s">
        <v>9</v>
      </c>
      <c r="D287" s="42" t="s">
        <v>23</v>
      </c>
      <c r="E287" s="42" t="s">
        <v>6</v>
      </c>
      <c r="F287" s="43">
        <v>13.987574457000775</v>
      </c>
      <c r="G287" s="43">
        <v>6.4679990340112319</v>
      </c>
      <c r="H287" s="43">
        <v>53.758966188923488</v>
      </c>
      <c r="I287" s="38" t="s">
        <v>16964</v>
      </c>
      <c r="J287" s="38" t="s">
        <v>17474</v>
      </c>
      <c r="K287" s="2"/>
    </row>
    <row r="288" spans="1:11" s="44" customFormat="1">
      <c r="A288" s="45" t="s">
        <v>2222</v>
      </c>
      <c r="B288" s="53" t="s">
        <v>43</v>
      </c>
      <c r="C288" s="46" t="s">
        <v>9</v>
      </c>
      <c r="D288" s="46" t="s">
        <v>19</v>
      </c>
      <c r="E288" s="46" t="s">
        <v>6</v>
      </c>
      <c r="F288" s="47">
        <v>42.072029567922755</v>
      </c>
      <c r="G288" s="47">
        <v>45.2494037249676</v>
      </c>
      <c r="H288" s="47">
        <v>-7.5522245769369611</v>
      </c>
    </row>
    <row r="289" spans="1:8" s="44" customFormat="1">
      <c r="A289" s="45" t="s">
        <v>205</v>
      </c>
      <c r="B289" s="53" t="s">
        <v>43</v>
      </c>
      <c r="C289" s="46" t="s">
        <v>14</v>
      </c>
      <c r="D289" s="46" t="s">
        <v>34</v>
      </c>
      <c r="E289" s="46" t="s">
        <v>10</v>
      </c>
      <c r="F289" s="47">
        <v>46.769094055103153</v>
      </c>
      <c r="G289" s="47">
        <v>50.279827511012996</v>
      </c>
      <c r="H289" s="47">
        <v>-7.5065243978716278</v>
      </c>
    </row>
    <row r="290" spans="1:8" s="44" customFormat="1">
      <c r="A290" s="45" t="s">
        <v>215</v>
      </c>
      <c r="B290" s="53" t="s">
        <v>43</v>
      </c>
      <c r="C290" s="46" t="s">
        <v>14</v>
      </c>
      <c r="D290" s="46" t="s">
        <v>34</v>
      </c>
      <c r="E290" s="46" t="s">
        <v>10</v>
      </c>
      <c r="F290" s="47">
        <v>39.5429759987152</v>
      </c>
      <c r="G290" s="47">
        <v>42.206337347856049</v>
      </c>
      <c r="H290" s="47">
        <v>-6.7353588895974426</v>
      </c>
    </row>
    <row r="291" spans="1:8" s="44" customFormat="1">
      <c r="A291" s="45" t="s">
        <v>173</v>
      </c>
      <c r="B291" s="53" t="s">
        <v>43</v>
      </c>
      <c r="C291" s="46" t="s">
        <v>9</v>
      </c>
      <c r="D291" s="46" t="s">
        <v>119</v>
      </c>
      <c r="E291" s="46" t="s">
        <v>6</v>
      </c>
      <c r="F291" s="47">
        <v>42.889807380688794</v>
      </c>
      <c r="G291" s="47">
        <v>45.671417101255599</v>
      </c>
      <c r="H291" s="47">
        <v>-6.4854796289414596</v>
      </c>
    </row>
    <row r="292" spans="1:8" s="44" customFormat="1">
      <c r="A292" s="45" t="s">
        <v>181</v>
      </c>
      <c r="B292" s="53" t="s">
        <v>43</v>
      </c>
      <c r="C292" s="46" t="s">
        <v>9</v>
      </c>
      <c r="D292" s="46" t="s">
        <v>165</v>
      </c>
      <c r="E292" s="46" t="s">
        <v>6</v>
      </c>
      <c r="F292" s="47">
        <v>46.142362638502249</v>
      </c>
      <c r="G292" s="47">
        <v>49.015801788537104</v>
      </c>
      <c r="H292" s="47">
        <v>-6.2273342449898461</v>
      </c>
    </row>
    <row r="293" spans="1:8" s="44" customFormat="1">
      <c r="A293" s="45" t="s">
        <v>162</v>
      </c>
      <c r="B293" s="53" t="s">
        <v>43</v>
      </c>
      <c r="C293" s="46" t="s">
        <v>14</v>
      </c>
      <c r="D293" s="46" t="s">
        <v>34</v>
      </c>
      <c r="E293" s="46" t="s">
        <v>10</v>
      </c>
      <c r="F293" s="47">
        <v>43.879711058814152</v>
      </c>
      <c r="G293" s="47">
        <v>46.600466621177304</v>
      </c>
      <c r="H293" s="47">
        <v>-6.2004865043810087</v>
      </c>
    </row>
    <row r="294" spans="1:8" s="44" customFormat="1">
      <c r="A294" s="45" t="s">
        <v>241</v>
      </c>
      <c r="B294" s="53" t="s">
        <v>43</v>
      </c>
      <c r="C294" s="46" t="s">
        <v>14</v>
      </c>
      <c r="D294" s="46" t="s">
        <v>186</v>
      </c>
      <c r="E294" s="46" t="s">
        <v>10</v>
      </c>
      <c r="F294" s="47">
        <v>43.959118610048051</v>
      </c>
      <c r="G294" s="47">
        <v>46.610189912138196</v>
      </c>
      <c r="H294" s="47">
        <v>-6.0307653699957831</v>
      </c>
    </row>
    <row r="295" spans="1:8" s="44" customFormat="1">
      <c r="A295" s="45" t="s">
        <v>216</v>
      </c>
      <c r="B295" s="53" t="s">
        <v>43</v>
      </c>
      <c r="C295" s="46" t="s">
        <v>9</v>
      </c>
      <c r="D295" s="46" t="s">
        <v>52</v>
      </c>
      <c r="E295" s="46" t="s">
        <v>6</v>
      </c>
      <c r="F295" s="47">
        <v>44.050315916868598</v>
      </c>
      <c r="G295" s="47">
        <v>46.321075563151048</v>
      </c>
      <c r="H295" s="47">
        <v>-5.154922499461323</v>
      </c>
    </row>
    <row r="296" spans="1:8" s="44" customFormat="1">
      <c r="A296" s="45" t="s">
        <v>204</v>
      </c>
      <c r="B296" s="53" t="s">
        <v>43</v>
      </c>
      <c r="C296" s="46" t="s">
        <v>9</v>
      </c>
      <c r="D296" s="46" t="s">
        <v>52</v>
      </c>
      <c r="E296" s="46" t="s">
        <v>6</v>
      </c>
      <c r="F296" s="47">
        <v>42.863477980967346</v>
      </c>
      <c r="G296" s="47">
        <v>44.994662813005299</v>
      </c>
      <c r="H296" s="47">
        <v>-4.9720296448745094</v>
      </c>
    </row>
    <row r="297" spans="1:8" s="44" customFormat="1">
      <c r="A297" s="45" t="s">
        <v>211</v>
      </c>
      <c r="B297" s="53" t="s">
        <v>43</v>
      </c>
      <c r="C297" s="46" t="s">
        <v>14</v>
      </c>
      <c r="D297" s="46" t="s">
        <v>11</v>
      </c>
      <c r="E297" s="46" t="s">
        <v>10</v>
      </c>
      <c r="F297" s="47">
        <v>33.613082290566297</v>
      </c>
      <c r="G297" s="47">
        <v>35.242476803106996</v>
      </c>
      <c r="H297" s="47">
        <v>-4.8475010368150606</v>
      </c>
    </row>
    <row r="298" spans="1:8" s="44" customFormat="1">
      <c r="A298" s="45" t="s">
        <v>1443</v>
      </c>
      <c r="B298" s="53" t="s">
        <v>43</v>
      </c>
      <c r="C298" s="46" t="s">
        <v>9</v>
      </c>
      <c r="D298" s="46" t="s">
        <v>39</v>
      </c>
      <c r="E298" s="46" t="s">
        <v>6</v>
      </c>
      <c r="F298" s="47">
        <v>43.636772948122797</v>
      </c>
      <c r="G298" s="47">
        <v>45.726932291528449</v>
      </c>
      <c r="H298" s="47">
        <v>-4.7899035657162914</v>
      </c>
    </row>
    <row r="299" spans="1:8" s="44" customFormat="1">
      <c r="A299" s="45" t="s">
        <v>2223</v>
      </c>
      <c r="B299" s="53" t="s">
        <v>43</v>
      </c>
      <c r="C299" s="46" t="s">
        <v>9</v>
      </c>
      <c r="D299" s="46" t="s">
        <v>101</v>
      </c>
      <c r="E299" s="46" t="s">
        <v>6</v>
      </c>
      <c r="F299" s="47">
        <v>41.982586156834849</v>
      </c>
      <c r="G299" s="47">
        <v>43.902574988307251</v>
      </c>
      <c r="H299" s="47">
        <v>-4.5732981391376715</v>
      </c>
    </row>
    <row r="300" spans="1:8" s="44" customFormat="1">
      <c r="A300" s="45" t="s">
        <v>247</v>
      </c>
      <c r="B300" s="53" t="s">
        <v>43</v>
      </c>
      <c r="C300" s="46" t="s">
        <v>18</v>
      </c>
      <c r="D300" s="46" t="s">
        <v>58</v>
      </c>
      <c r="E300" s="46" t="s">
        <v>10</v>
      </c>
      <c r="F300" s="47">
        <v>42.0320392597135</v>
      </c>
      <c r="G300" s="47">
        <v>43.916149854765102</v>
      </c>
      <c r="H300" s="47">
        <v>-4.4825581347833099</v>
      </c>
    </row>
    <row r="301" spans="1:8" s="44" customFormat="1">
      <c r="A301" s="45" t="s">
        <v>268</v>
      </c>
      <c r="B301" s="53" t="s">
        <v>43</v>
      </c>
      <c r="C301" s="46" t="s">
        <v>9</v>
      </c>
      <c r="D301" s="46" t="s">
        <v>217</v>
      </c>
      <c r="E301" s="46" t="s">
        <v>6</v>
      </c>
      <c r="F301" s="47">
        <v>43.145100930798847</v>
      </c>
      <c r="G301" s="47">
        <v>44.867206349726601</v>
      </c>
      <c r="H301" s="47">
        <v>-3.9914274895077151</v>
      </c>
    </row>
    <row r="302" spans="1:8" s="44" customFormat="1">
      <c r="A302" s="45" t="s">
        <v>2224</v>
      </c>
      <c r="B302" s="53" t="s">
        <v>43</v>
      </c>
      <c r="C302" s="46" t="s">
        <v>9</v>
      </c>
      <c r="D302" s="46" t="s">
        <v>217</v>
      </c>
      <c r="E302" s="46" t="s">
        <v>6</v>
      </c>
      <c r="F302" s="47">
        <v>40.654268885235552</v>
      </c>
      <c r="G302" s="47">
        <v>42.084796900102198</v>
      </c>
      <c r="H302" s="47">
        <v>-3.5187645826442848</v>
      </c>
    </row>
    <row r="303" spans="1:8" s="44" customFormat="1">
      <c r="A303" s="45" t="s">
        <v>175</v>
      </c>
      <c r="B303" s="53" t="s">
        <v>43</v>
      </c>
      <c r="C303" s="46" t="s">
        <v>14</v>
      </c>
      <c r="D303" s="46" t="s">
        <v>34</v>
      </c>
      <c r="E303" s="46" t="s">
        <v>10</v>
      </c>
      <c r="F303" s="47">
        <v>41.733591376269644</v>
      </c>
      <c r="G303" s="47">
        <v>43.136599010172105</v>
      </c>
      <c r="H303" s="47">
        <v>-3.3618185917740906</v>
      </c>
    </row>
    <row r="304" spans="1:8" s="44" customFormat="1">
      <c r="A304" s="45" t="s">
        <v>209</v>
      </c>
      <c r="B304" s="53" t="s">
        <v>43</v>
      </c>
      <c r="C304" s="46" t="s">
        <v>14</v>
      </c>
      <c r="D304" s="46" t="s">
        <v>34</v>
      </c>
      <c r="E304" s="46" t="s">
        <v>10</v>
      </c>
      <c r="F304" s="47">
        <v>44.561800581986851</v>
      </c>
      <c r="G304" s="47">
        <v>45.952795890089199</v>
      </c>
      <c r="H304" s="47">
        <v>-3.1214970892909255</v>
      </c>
    </row>
    <row r="305" spans="1:11" s="44" customFormat="1">
      <c r="A305" s="45" t="s">
        <v>177</v>
      </c>
      <c r="B305" s="53" t="s">
        <v>43</v>
      </c>
      <c r="C305" s="46" t="s">
        <v>9</v>
      </c>
      <c r="D305" s="46" t="s">
        <v>52</v>
      </c>
      <c r="E305" s="46" t="s">
        <v>6</v>
      </c>
      <c r="F305" s="47">
        <v>43.032078904049598</v>
      </c>
      <c r="G305" s="47">
        <v>43.994651026101799</v>
      </c>
      <c r="H305" s="47">
        <v>-2.2368710658820179</v>
      </c>
    </row>
    <row r="306" spans="1:11" s="44" customFormat="1">
      <c r="A306" s="45" t="s">
        <v>200</v>
      </c>
      <c r="B306" s="53" t="s">
        <v>43</v>
      </c>
      <c r="C306" s="46" t="s">
        <v>14</v>
      </c>
      <c r="D306" s="46" t="s">
        <v>34</v>
      </c>
      <c r="E306" s="46" t="s">
        <v>10</v>
      </c>
      <c r="F306" s="47">
        <v>46.197792344574651</v>
      </c>
      <c r="G306" s="47">
        <v>47.175567115435797</v>
      </c>
      <c r="H306" s="47">
        <v>-2.1164967441912319</v>
      </c>
    </row>
    <row r="307" spans="1:11" s="44" customFormat="1">
      <c r="A307" s="45" t="s">
        <v>17368</v>
      </c>
      <c r="B307" s="53" t="s">
        <v>43</v>
      </c>
      <c r="C307" s="46" t="s">
        <v>9</v>
      </c>
      <c r="D307" s="46" t="s">
        <v>165</v>
      </c>
      <c r="E307" s="46" t="s">
        <v>6</v>
      </c>
      <c r="F307" s="47">
        <v>43.762999864765646</v>
      </c>
      <c r="G307" s="47">
        <v>44.679012591935901</v>
      </c>
      <c r="H307" s="47">
        <v>-2.093121426778044</v>
      </c>
    </row>
    <row r="308" spans="1:11" s="44" customFormat="1">
      <c r="A308" s="45" t="s">
        <v>183</v>
      </c>
      <c r="B308" s="53" t="s">
        <v>43</v>
      </c>
      <c r="C308" s="46" t="s">
        <v>9</v>
      </c>
      <c r="D308" s="46" t="s">
        <v>52</v>
      </c>
      <c r="E308" s="46" t="s">
        <v>6</v>
      </c>
      <c r="F308" s="47">
        <v>44.336116501437445</v>
      </c>
      <c r="G308" s="47">
        <v>45.2609645299341</v>
      </c>
      <c r="H308" s="47">
        <v>-2.0859924176414246</v>
      </c>
    </row>
    <row r="309" spans="1:11" s="44" customFormat="1">
      <c r="A309" s="45" t="s">
        <v>246</v>
      </c>
      <c r="B309" s="53" t="s">
        <v>43</v>
      </c>
      <c r="C309" s="46" t="s">
        <v>18</v>
      </c>
      <c r="D309" s="46" t="s">
        <v>58</v>
      </c>
      <c r="E309" s="46" t="s">
        <v>10</v>
      </c>
      <c r="F309" s="47">
        <v>41.386220083432349</v>
      </c>
      <c r="G309" s="47">
        <v>42.232740650467747</v>
      </c>
      <c r="H309" s="47">
        <v>-2.045416482415785</v>
      </c>
      <c r="K309" s="44" t="s">
        <v>17436</v>
      </c>
    </row>
    <row r="310" spans="1:11" s="44" customFormat="1">
      <c r="A310" s="45" t="s">
        <v>213</v>
      </c>
      <c r="B310" s="53" t="s">
        <v>43</v>
      </c>
      <c r="C310" s="46" t="s">
        <v>159</v>
      </c>
      <c r="D310" s="46" t="s">
        <v>156</v>
      </c>
      <c r="E310" s="46" t="s">
        <v>10</v>
      </c>
      <c r="F310" s="47">
        <v>39.441351822279898</v>
      </c>
      <c r="G310" s="47">
        <v>40.230170847752902</v>
      </c>
      <c r="H310" s="47">
        <v>-1.9999796888995336</v>
      </c>
    </row>
    <row r="311" spans="1:11" s="44" customFormat="1">
      <c r="A311" s="45" t="s">
        <v>239</v>
      </c>
      <c r="B311" s="53" t="s">
        <v>43</v>
      </c>
      <c r="C311" s="46" t="s">
        <v>18</v>
      </c>
      <c r="D311" s="46" t="s">
        <v>58</v>
      </c>
      <c r="E311" s="46" t="s">
        <v>10</v>
      </c>
      <c r="F311" s="47">
        <v>39.441351822279898</v>
      </c>
      <c r="G311" s="47">
        <v>40.230170847752902</v>
      </c>
      <c r="H311" s="47">
        <v>-1.9999796888995336</v>
      </c>
    </row>
    <row r="312" spans="1:11" s="44" customFormat="1">
      <c r="A312" s="45" t="s">
        <v>207</v>
      </c>
      <c r="B312" s="53" t="s">
        <v>43</v>
      </c>
      <c r="C312" s="46" t="s">
        <v>14</v>
      </c>
      <c r="D312" s="46" t="s">
        <v>34</v>
      </c>
      <c r="E312" s="46" t="s">
        <v>10</v>
      </c>
      <c r="F312" s="47">
        <v>43.628765672171554</v>
      </c>
      <c r="G312" s="47">
        <v>44.487354301897895</v>
      </c>
      <c r="H312" s="47">
        <v>-1.9679416011395112</v>
      </c>
    </row>
    <row r="313" spans="1:11" s="44" customFormat="1">
      <c r="A313" s="45" t="s">
        <v>164</v>
      </c>
      <c r="B313" s="53" t="s">
        <v>43</v>
      </c>
      <c r="C313" s="46" t="s">
        <v>9</v>
      </c>
      <c r="D313" s="46" t="s">
        <v>165</v>
      </c>
      <c r="E313" s="46" t="s">
        <v>6</v>
      </c>
      <c r="F313" s="47">
        <v>46.219734436331805</v>
      </c>
      <c r="G313" s="47">
        <v>47.122430368912646</v>
      </c>
      <c r="H313" s="47">
        <v>-1.9530530488536479</v>
      </c>
    </row>
    <row r="314" spans="1:11" s="44" customFormat="1">
      <c r="A314" s="45" t="s">
        <v>185</v>
      </c>
      <c r="B314" s="53" t="s">
        <v>43</v>
      </c>
      <c r="C314" s="46" t="s">
        <v>14</v>
      </c>
      <c r="D314" s="46" t="s">
        <v>186</v>
      </c>
      <c r="E314" s="46" t="s">
        <v>10</v>
      </c>
      <c r="F314" s="47">
        <v>46.396187744596851</v>
      </c>
      <c r="G314" s="47">
        <v>47.209699190874751</v>
      </c>
      <c r="H314" s="47">
        <v>-1.7534014879760029</v>
      </c>
    </row>
    <row r="315" spans="1:11" s="44" customFormat="1">
      <c r="A315" s="45" t="s">
        <v>234</v>
      </c>
      <c r="B315" s="53" t="s">
        <v>43</v>
      </c>
      <c r="C315" s="46" t="s">
        <v>14</v>
      </c>
      <c r="D315" s="46" t="s">
        <v>34</v>
      </c>
      <c r="E315" s="46" t="s">
        <v>10</v>
      </c>
      <c r="F315" s="47">
        <v>37.839939068132551</v>
      </c>
      <c r="G315" s="47">
        <v>38.494554072816449</v>
      </c>
      <c r="H315" s="47">
        <v>-1.7299578720389341</v>
      </c>
    </row>
    <row r="316" spans="1:11" s="44" customFormat="1">
      <c r="A316" s="45" t="s">
        <v>259</v>
      </c>
      <c r="B316" s="53" t="s">
        <v>43</v>
      </c>
      <c r="C316" s="46" t="s">
        <v>9</v>
      </c>
      <c r="D316" s="46" t="s">
        <v>165</v>
      </c>
      <c r="E316" s="46" t="s">
        <v>6</v>
      </c>
      <c r="F316" s="47">
        <v>43.5345027684466</v>
      </c>
      <c r="G316" s="47">
        <v>44.231562423651049</v>
      </c>
      <c r="H316" s="47">
        <v>-1.6011659968002911</v>
      </c>
    </row>
    <row r="317" spans="1:11" s="44" customFormat="1">
      <c r="A317" s="45" t="s">
        <v>260</v>
      </c>
      <c r="B317" s="53" t="s">
        <v>43</v>
      </c>
      <c r="C317" s="46" t="s">
        <v>14</v>
      </c>
      <c r="D317" s="46" t="s">
        <v>34</v>
      </c>
      <c r="E317" s="46" t="s">
        <v>10</v>
      </c>
      <c r="F317" s="47">
        <v>46.033352989704049</v>
      </c>
      <c r="G317" s="47">
        <v>46.742406278815096</v>
      </c>
      <c r="H317" s="47">
        <v>-1.5403033736639538</v>
      </c>
    </row>
    <row r="318" spans="1:11" s="44" customFormat="1">
      <c r="A318" s="45" t="s">
        <v>17190</v>
      </c>
      <c r="B318" s="53" t="s">
        <v>43</v>
      </c>
      <c r="C318" s="46" t="s">
        <v>159</v>
      </c>
      <c r="D318" s="46" t="s">
        <v>156</v>
      </c>
      <c r="E318" s="46" t="s">
        <v>10</v>
      </c>
      <c r="F318" s="47">
        <v>27.074673742800453</v>
      </c>
      <c r="G318" s="47">
        <v>27.473838739253775</v>
      </c>
      <c r="H318" s="47">
        <v>-1.4743113813493913</v>
      </c>
    </row>
    <row r="319" spans="1:11" s="44" customFormat="1">
      <c r="A319" s="45" t="s">
        <v>261</v>
      </c>
      <c r="B319" s="53" t="s">
        <v>43</v>
      </c>
      <c r="C319" s="46" t="s">
        <v>9</v>
      </c>
      <c r="D319" s="46" t="s">
        <v>52</v>
      </c>
      <c r="E319" s="46" t="s">
        <v>6</v>
      </c>
      <c r="F319" s="47">
        <v>44.540920025351753</v>
      </c>
      <c r="G319" s="47">
        <v>45.178036237509147</v>
      </c>
      <c r="H319" s="47">
        <v>-1.4304064931635052</v>
      </c>
    </row>
    <row r="320" spans="1:11" s="44" customFormat="1">
      <c r="A320" s="45" t="s">
        <v>198</v>
      </c>
      <c r="B320" s="53" t="s">
        <v>43</v>
      </c>
      <c r="C320" s="46" t="s">
        <v>4459</v>
      </c>
      <c r="D320" s="46" t="s">
        <v>34</v>
      </c>
      <c r="E320" s="46" t="s">
        <v>10</v>
      </c>
      <c r="F320" s="47">
        <v>43.626029709868803</v>
      </c>
      <c r="G320" s="47">
        <v>44.056357975444797</v>
      </c>
      <c r="H320" s="47">
        <v>-0.98640254095514468</v>
      </c>
    </row>
    <row r="321" spans="1:8" s="44" customFormat="1">
      <c r="A321" s="45" t="s">
        <v>179</v>
      </c>
      <c r="B321" s="53" t="s">
        <v>43</v>
      </c>
      <c r="C321" s="46" t="s">
        <v>14</v>
      </c>
      <c r="D321" s="46" t="s">
        <v>34</v>
      </c>
      <c r="E321" s="46" t="s">
        <v>10</v>
      </c>
      <c r="F321" s="47">
        <v>44.6042314341638</v>
      </c>
      <c r="G321" s="47">
        <v>44.756637054463255</v>
      </c>
      <c r="H321" s="47">
        <v>-0.34168422008213906</v>
      </c>
    </row>
    <row r="322" spans="1:8" s="44" customFormat="1">
      <c r="A322" s="45" t="s">
        <v>243</v>
      </c>
      <c r="B322" s="53" t="s">
        <v>43</v>
      </c>
      <c r="C322" s="46" t="s">
        <v>18</v>
      </c>
      <c r="D322" s="46" t="s">
        <v>58</v>
      </c>
      <c r="E322" s="46" t="s">
        <v>10</v>
      </c>
      <c r="F322" s="47">
        <v>26.985895121575677</v>
      </c>
      <c r="G322" s="47">
        <v>26.984585833728751</v>
      </c>
      <c r="H322" s="47">
        <v>4.8517488155486177E-3</v>
      </c>
    </row>
    <row r="323" spans="1:8" s="44" customFormat="1">
      <c r="A323" s="45" t="s">
        <v>264</v>
      </c>
      <c r="B323" s="53" t="s">
        <v>43</v>
      </c>
      <c r="C323" s="46" t="s">
        <v>18</v>
      </c>
      <c r="D323" s="46" t="s">
        <v>58</v>
      </c>
      <c r="E323" s="46" t="s">
        <v>10</v>
      </c>
      <c r="F323" s="47">
        <v>43.743259518494696</v>
      </c>
      <c r="G323" s="47">
        <v>43.588209432782648</v>
      </c>
      <c r="H323" s="47">
        <v>0.35445480610902802</v>
      </c>
    </row>
    <row r="324" spans="1:8" s="44" customFormat="1">
      <c r="A324" s="45" t="s">
        <v>170</v>
      </c>
      <c r="B324" s="53" t="s">
        <v>43</v>
      </c>
      <c r="C324" s="46" t="s">
        <v>9</v>
      </c>
      <c r="D324" s="46" t="s">
        <v>165</v>
      </c>
      <c r="E324" s="46" t="s">
        <v>6</v>
      </c>
      <c r="F324" s="47">
        <v>45.453974813401402</v>
      </c>
      <c r="G324" s="47">
        <v>45.245308960792997</v>
      </c>
      <c r="H324" s="47">
        <v>0.4590706389595689</v>
      </c>
    </row>
    <row r="325" spans="1:8" s="44" customFormat="1">
      <c r="A325" s="45" t="s">
        <v>230</v>
      </c>
      <c r="B325" s="53" t="s">
        <v>43</v>
      </c>
      <c r="C325" s="46" t="s">
        <v>14</v>
      </c>
      <c r="D325" s="46" t="s">
        <v>227</v>
      </c>
      <c r="E325" s="46" t="s">
        <v>10</v>
      </c>
      <c r="F325" s="47">
        <v>42.202745420309299</v>
      </c>
      <c r="G325" s="47">
        <v>41.941561943088402</v>
      </c>
      <c r="H325" s="47">
        <v>0.6188779299064473</v>
      </c>
    </row>
    <row r="326" spans="1:8" s="44" customFormat="1">
      <c r="A326" s="45" t="s">
        <v>160</v>
      </c>
      <c r="B326" s="53" t="s">
        <v>43</v>
      </c>
      <c r="C326" s="46" t="s">
        <v>14</v>
      </c>
      <c r="D326" s="46" t="s">
        <v>34</v>
      </c>
      <c r="E326" s="46" t="s">
        <v>10</v>
      </c>
      <c r="F326" s="47">
        <v>42.216853967343255</v>
      </c>
      <c r="G326" s="47">
        <v>41.944823348999101</v>
      </c>
      <c r="H326" s="47">
        <v>0.64436496986388647</v>
      </c>
    </row>
    <row r="327" spans="1:8" s="44" customFormat="1">
      <c r="A327" s="45" t="s">
        <v>258</v>
      </c>
      <c r="B327" s="53" t="s">
        <v>43</v>
      </c>
      <c r="C327" s="46" t="s">
        <v>9</v>
      </c>
      <c r="D327" s="46" t="s">
        <v>52</v>
      </c>
      <c r="E327" s="46" t="s">
        <v>6</v>
      </c>
      <c r="F327" s="47">
        <v>45.252931342953751</v>
      </c>
      <c r="G327" s="47">
        <v>44.807299978854552</v>
      </c>
      <c r="H327" s="47">
        <v>0.98475690054625753</v>
      </c>
    </row>
    <row r="328" spans="1:8" s="44" customFormat="1">
      <c r="A328" s="45" t="s">
        <v>245</v>
      </c>
      <c r="B328" s="53" t="s">
        <v>43</v>
      </c>
      <c r="C328" s="46" t="s">
        <v>18</v>
      </c>
      <c r="D328" s="46" t="s">
        <v>58</v>
      </c>
      <c r="E328" s="46" t="s">
        <v>10</v>
      </c>
      <c r="F328" s="47">
        <v>40.648921896279603</v>
      </c>
      <c r="G328" s="47">
        <v>40.1943499552196</v>
      </c>
      <c r="H328" s="47">
        <v>1.1182878163900511</v>
      </c>
    </row>
    <row r="329" spans="1:8" s="44" customFormat="1">
      <c r="A329" s="45" t="s">
        <v>236</v>
      </c>
      <c r="B329" s="53" t="s">
        <v>43</v>
      </c>
      <c r="C329" s="46" t="s">
        <v>18</v>
      </c>
      <c r="D329" s="46" t="s">
        <v>128</v>
      </c>
      <c r="E329" s="46" t="s">
        <v>10</v>
      </c>
      <c r="F329" s="47">
        <v>42.531331669195602</v>
      </c>
      <c r="G329" s="47">
        <v>40.54270706547905</v>
      </c>
      <c r="H329" s="47">
        <v>4.6756697372748013</v>
      </c>
    </row>
    <row r="330" spans="1:8" s="44" customFormat="1">
      <c r="A330" s="48">
        <v>8243</v>
      </c>
      <c r="B330" s="46" t="s">
        <v>43</v>
      </c>
      <c r="C330" s="46" t="s">
        <v>14</v>
      </c>
      <c r="D330" s="46" t="s">
        <v>11</v>
      </c>
      <c r="E330" s="46" t="s">
        <v>10</v>
      </c>
      <c r="F330" s="47">
        <v>13.932238222071826</v>
      </c>
      <c r="G330" s="47">
        <v>11.604311606423041</v>
      </c>
      <c r="H330" s="47">
        <v>5.1271404523789528</v>
      </c>
    </row>
    <row r="331" spans="1:8" s="44" customFormat="1">
      <c r="A331" s="45" t="s">
        <v>256</v>
      </c>
      <c r="B331" s="53" t="s">
        <v>43</v>
      </c>
      <c r="C331" s="46" t="s">
        <v>14</v>
      </c>
      <c r="D331" s="46" t="s">
        <v>34</v>
      </c>
      <c r="E331" s="46" t="s">
        <v>10</v>
      </c>
      <c r="F331" s="47">
        <v>28.718142163552923</v>
      </c>
      <c r="G331" s="47">
        <v>27.212851560763877</v>
      </c>
      <c r="H331" s="47">
        <v>5.2416016127236009</v>
      </c>
    </row>
    <row r="332" spans="1:8" s="44" customFormat="1">
      <c r="A332" s="48" t="s">
        <v>17450</v>
      </c>
      <c r="B332" s="46" t="s">
        <v>43</v>
      </c>
      <c r="C332" s="46" t="s">
        <v>18</v>
      </c>
      <c r="D332" s="46" t="s">
        <v>764</v>
      </c>
      <c r="E332" s="46" t="s">
        <v>10</v>
      </c>
      <c r="F332" s="47">
        <v>20.513898422280249</v>
      </c>
      <c r="G332" s="47">
        <v>19.301447272761152</v>
      </c>
      <c r="H332" s="47">
        <v>5.9103887742870338</v>
      </c>
    </row>
    <row r="333" spans="1:8" s="44" customFormat="1">
      <c r="A333" s="48" t="s">
        <v>17453</v>
      </c>
      <c r="B333" s="46" t="s">
        <v>43</v>
      </c>
      <c r="C333" s="46" t="s">
        <v>18</v>
      </c>
      <c r="D333" s="46" t="s">
        <v>764</v>
      </c>
      <c r="E333" s="46" t="s">
        <v>10</v>
      </c>
      <c r="F333" s="47">
        <v>18.675769322235549</v>
      </c>
      <c r="G333" s="47">
        <v>17.395695472872852</v>
      </c>
      <c r="H333" s="47">
        <v>6.8541960830423632</v>
      </c>
    </row>
    <row r="334" spans="1:8" s="44" customFormat="1">
      <c r="A334" s="48" t="s">
        <v>17455</v>
      </c>
      <c r="B334" s="46" t="s">
        <v>43</v>
      </c>
      <c r="C334" s="46" t="s">
        <v>18</v>
      </c>
      <c r="D334" s="46" t="s">
        <v>16</v>
      </c>
      <c r="E334" s="46" t="s">
        <v>10</v>
      </c>
      <c r="F334" s="47">
        <v>15.5960141877508</v>
      </c>
      <c r="G334" s="47">
        <v>14.4353741079091</v>
      </c>
      <c r="H334" s="47">
        <v>7.4419019235906658</v>
      </c>
    </row>
    <row r="335" spans="1:8" s="44" customFormat="1">
      <c r="A335" s="48">
        <v>6050</v>
      </c>
      <c r="B335" s="46" t="s">
        <v>43</v>
      </c>
      <c r="C335" s="46" t="s">
        <v>9</v>
      </c>
      <c r="D335" s="46" t="s">
        <v>7</v>
      </c>
      <c r="E335" s="46" t="s">
        <v>6</v>
      </c>
      <c r="F335" s="47">
        <v>13.348634435163827</v>
      </c>
      <c r="G335" s="47">
        <v>12.323579309110576</v>
      </c>
      <c r="H335" s="47">
        <v>7.6791010423731816</v>
      </c>
    </row>
    <row r="336" spans="1:8" s="44" customFormat="1">
      <c r="A336" s="45" t="s">
        <v>17457</v>
      </c>
      <c r="B336" s="46" t="s">
        <v>43</v>
      </c>
      <c r="C336" s="46" t="s">
        <v>9</v>
      </c>
      <c r="D336" s="46" t="s">
        <v>414</v>
      </c>
      <c r="E336" s="47" t="s">
        <v>6</v>
      </c>
      <c r="F336" s="47">
        <v>16.594728927202301</v>
      </c>
      <c r="G336" s="47">
        <v>15.27005749141755</v>
      </c>
      <c r="H336" s="47">
        <v>7.9824831221758092</v>
      </c>
    </row>
    <row r="337" spans="1:8" s="44" customFormat="1">
      <c r="A337" s="48" t="s">
        <v>17459</v>
      </c>
      <c r="B337" s="46" t="s">
        <v>43</v>
      </c>
      <c r="C337" s="46" t="s">
        <v>18</v>
      </c>
      <c r="D337" s="46" t="s">
        <v>16</v>
      </c>
      <c r="E337" s="46" t="s">
        <v>10</v>
      </c>
      <c r="F337" s="47">
        <v>16.522267378677199</v>
      </c>
      <c r="G337" s="47">
        <v>15.13109569775655</v>
      </c>
      <c r="H337" s="47">
        <v>8.4199804363172639</v>
      </c>
    </row>
    <row r="338" spans="1:8" s="44" customFormat="1">
      <c r="A338" s="48">
        <v>6027</v>
      </c>
      <c r="B338" s="46" t="s">
        <v>43</v>
      </c>
      <c r="C338" s="46" t="s">
        <v>9</v>
      </c>
      <c r="D338" s="46" t="s">
        <v>7</v>
      </c>
      <c r="E338" s="46" t="s">
        <v>6</v>
      </c>
      <c r="F338" s="47">
        <v>13.422219799117924</v>
      </c>
      <c r="G338" s="47">
        <v>12.253837814490774</v>
      </c>
      <c r="H338" s="47">
        <v>8.7048342384017037</v>
      </c>
    </row>
    <row r="339" spans="1:8" s="44" customFormat="1">
      <c r="A339" s="45" t="s">
        <v>17463</v>
      </c>
      <c r="B339" s="46" t="s">
        <v>43</v>
      </c>
      <c r="C339" s="46" t="s">
        <v>9</v>
      </c>
      <c r="D339" s="46" t="s">
        <v>414</v>
      </c>
      <c r="E339" s="47" t="s">
        <v>6</v>
      </c>
      <c r="F339" s="47">
        <v>16.503688413066698</v>
      </c>
      <c r="G339" s="47">
        <v>15.030009164623975</v>
      </c>
      <c r="H339" s="47">
        <v>8.9293933062620461</v>
      </c>
    </row>
    <row r="340" spans="1:8" s="44" customFormat="1">
      <c r="A340" s="48">
        <v>6071</v>
      </c>
      <c r="B340" s="46" t="s">
        <v>43</v>
      </c>
      <c r="C340" s="46" t="s">
        <v>21</v>
      </c>
      <c r="D340" s="46" t="s">
        <v>19</v>
      </c>
      <c r="E340" s="46" t="s">
        <v>6</v>
      </c>
      <c r="F340" s="47">
        <v>14.143462367716001</v>
      </c>
      <c r="G340" s="47">
        <v>12.7794064104062</v>
      </c>
      <c r="H340" s="47">
        <v>9.4467467909390646</v>
      </c>
    </row>
    <row r="341" spans="1:8" s="44" customFormat="1">
      <c r="A341" s="48">
        <v>6070</v>
      </c>
      <c r="B341" s="46" t="s">
        <v>43</v>
      </c>
      <c r="C341" s="46" t="s">
        <v>21</v>
      </c>
      <c r="D341" s="46" t="s">
        <v>19</v>
      </c>
      <c r="E341" s="46" t="s">
        <v>6</v>
      </c>
      <c r="F341" s="47">
        <v>14.11773467346265</v>
      </c>
      <c r="G341" s="47">
        <v>12.784068026244025</v>
      </c>
      <c r="H341" s="47">
        <v>9.5359934079514925</v>
      </c>
    </row>
    <row r="342" spans="1:8" s="44" customFormat="1">
      <c r="A342" s="48">
        <v>6072</v>
      </c>
      <c r="B342" s="46" t="s">
        <v>43</v>
      </c>
      <c r="C342" s="46" t="s">
        <v>21</v>
      </c>
      <c r="D342" s="46" t="s">
        <v>19</v>
      </c>
      <c r="E342" s="46" t="s">
        <v>6</v>
      </c>
      <c r="F342" s="47">
        <v>14.001690608221001</v>
      </c>
      <c r="G342" s="47">
        <v>12.741984871185203</v>
      </c>
      <c r="H342" s="47">
        <v>9.6444273816813642</v>
      </c>
    </row>
    <row r="343" spans="1:8" s="44" customFormat="1">
      <c r="A343" s="48" t="s">
        <v>17466</v>
      </c>
      <c r="B343" s="46" t="s">
        <v>43</v>
      </c>
      <c r="C343" s="46" t="s">
        <v>18</v>
      </c>
      <c r="D343" s="46" t="s">
        <v>58</v>
      </c>
      <c r="E343" s="46" t="s">
        <v>10</v>
      </c>
      <c r="F343" s="47">
        <v>19.288667289438401</v>
      </c>
      <c r="G343" s="47">
        <v>17.352397844981198</v>
      </c>
      <c r="H343" s="47">
        <v>10.038378574332175</v>
      </c>
    </row>
    <row r="344" spans="1:8" s="44" customFormat="1">
      <c r="A344" s="48">
        <v>16</v>
      </c>
      <c r="B344" s="46" t="s">
        <v>43</v>
      </c>
      <c r="C344" s="46" t="s">
        <v>9</v>
      </c>
      <c r="D344" s="46" t="s">
        <v>7</v>
      </c>
      <c r="E344" s="46" t="s">
        <v>6</v>
      </c>
      <c r="F344" s="47">
        <v>13.271519140000001</v>
      </c>
      <c r="G344" s="47">
        <v>10.40903456</v>
      </c>
      <c r="H344" s="47">
        <v>10.774814852307401</v>
      </c>
    </row>
    <row r="345" spans="1:8" s="44" customFormat="1">
      <c r="A345" s="45" t="s">
        <v>17369</v>
      </c>
      <c r="B345" s="46" t="s">
        <v>43</v>
      </c>
      <c r="C345" s="46" t="s">
        <v>9</v>
      </c>
      <c r="D345" s="46" t="s">
        <v>414</v>
      </c>
      <c r="E345" s="47" t="s">
        <v>6</v>
      </c>
      <c r="F345" s="47">
        <v>14.85360525777425</v>
      </c>
      <c r="G345" s="47">
        <v>13.24963892165545</v>
      </c>
      <c r="H345" s="47">
        <v>10.79849846742964</v>
      </c>
    </row>
    <row r="346" spans="1:8" s="44" customFormat="1">
      <c r="A346" s="48">
        <v>6041</v>
      </c>
      <c r="B346" s="46" t="s">
        <v>43</v>
      </c>
      <c r="C346" s="46" t="s">
        <v>9</v>
      </c>
      <c r="D346" s="46" t="s">
        <v>7</v>
      </c>
      <c r="E346" s="46" t="s">
        <v>6</v>
      </c>
      <c r="F346" s="47">
        <v>13.921838095522375</v>
      </c>
      <c r="G346" s="47">
        <v>12.3320828253225</v>
      </c>
      <c r="H346" s="47">
        <v>11.419147811460196</v>
      </c>
    </row>
    <row r="347" spans="1:8" s="44" customFormat="1">
      <c r="A347" s="48" t="s">
        <v>17471</v>
      </c>
      <c r="B347" s="46" t="s">
        <v>43</v>
      </c>
      <c r="C347" s="46" t="s">
        <v>18</v>
      </c>
      <c r="D347" s="46" t="s">
        <v>58</v>
      </c>
      <c r="E347" s="46" t="s">
        <v>10</v>
      </c>
      <c r="F347" s="47">
        <v>20.16151346699435</v>
      </c>
      <c r="G347" s="47">
        <v>17.844090805274902</v>
      </c>
      <c r="H347" s="47">
        <v>11.494289183761985</v>
      </c>
    </row>
    <row r="348" spans="1:8" s="44" customFormat="1">
      <c r="A348" s="48">
        <v>8218</v>
      </c>
      <c r="B348" s="46" t="s">
        <v>43</v>
      </c>
      <c r="C348" s="46" t="s">
        <v>9</v>
      </c>
      <c r="D348" s="46" t="s">
        <v>7</v>
      </c>
      <c r="E348" s="46" t="s">
        <v>6</v>
      </c>
      <c r="F348" s="47">
        <v>13.8481606927133</v>
      </c>
      <c r="G348" s="47">
        <v>12.501116686611249</v>
      </c>
      <c r="H348" s="47">
        <v>11.642477932780725</v>
      </c>
    </row>
    <row r="349" spans="1:8" s="44" customFormat="1">
      <c r="A349" s="48">
        <v>57</v>
      </c>
      <c r="B349" s="46" t="s">
        <v>43</v>
      </c>
      <c r="C349" s="46" t="s">
        <v>9</v>
      </c>
      <c r="D349" s="46" t="s">
        <v>7</v>
      </c>
      <c r="E349" s="46" t="s">
        <v>6</v>
      </c>
      <c r="F349" s="47">
        <v>15.25051859</v>
      </c>
      <c r="G349" s="47">
        <v>13.207290560000001</v>
      </c>
      <c r="H349" s="47">
        <v>11.683184370381882</v>
      </c>
    </row>
    <row r="350" spans="1:8" s="44" customFormat="1">
      <c r="A350" s="48">
        <v>6053</v>
      </c>
      <c r="B350" s="46" t="s">
        <v>43</v>
      </c>
      <c r="C350" s="46" t="s">
        <v>9</v>
      </c>
      <c r="D350" s="46" t="s">
        <v>7</v>
      </c>
      <c r="E350" s="46" t="s">
        <v>6</v>
      </c>
      <c r="F350" s="47">
        <v>13.827702699447975</v>
      </c>
      <c r="G350" s="47">
        <v>12.208372661818249</v>
      </c>
      <c r="H350" s="47">
        <v>11.710766949699991</v>
      </c>
    </row>
    <row r="351" spans="1:8" s="44" customFormat="1">
      <c r="A351" s="48">
        <v>6054</v>
      </c>
      <c r="B351" s="46" t="s">
        <v>43</v>
      </c>
      <c r="C351" s="46" t="s">
        <v>9</v>
      </c>
      <c r="D351" s="46" t="s">
        <v>7</v>
      </c>
      <c r="E351" s="46" t="s">
        <v>6</v>
      </c>
      <c r="F351" s="47">
        <v>14.011878692555026</v>
      </c>
      <c r="G351" s="47">
        <v>12.291610836497899</v>
      </c>
      <c r="H351" s="47">
        <v>12.277210599683276</v>
      </c>
    </row>
    <row r="352" spans="1:8" s="44" customFormat="1">
      <c r="A352" s="48">
        <v>107</v>
      </c>
      <c r="B352" s="46" t="s">
        <v>43</v>
      </c>
      <c r="C352" s="46" t="s">
        <v>9</v>
      </c>
      <c r="D352" s="46" t="s">
        <v>7</v>
      </c>
      <c r="E352" s="46" t="s">
        <v>6</v>
      </c>
      <c r="F352" s="47">
        <v>14.77070898</v>
      </c>
      <c r="G352" s="47">
        <v>13.17440006</v>
      </c>
      <c r="H352" s="47">
        <v>13.184061680017345</v>
      </c>
    </row>
    <row r="353" spans="1:11" s="44" customFormat="1">
      <c r="A353" s="48">
        <v>126</v>
      </c>
      <c r="B353" s="46" t="s">
        <v>43</v>
      </c>
      <c r="C353" s="46" t="s">
        <v>21</v>
      </c>
      <c r="D353" s="46" t="s">
        <v>19</v>
      </c>
      <c r="E353" s="46" t="s">
        <v>6</v>
      </c>
      <c r="F353" s="47">
        <v>15.036207709999999</v>
      </c>
      <c r="G353" s="47">
        <v>12.40327523</v>
      </c>
      <c r="H353" s="47">
        <v>13.200540271127837</v>
      </c>
    </row>
    <row r="354" spans="1:11" s="44" customFormat="1">
      <c r="A354" s="48">
        <v>27</v>
      </c>
      <c r="B354" s="46" t="s">
        <v>43</v>
      </c>
      <c r="C354" s="46" t="s">
        <v>14</v>
      </c>
      <c r="D354" s="46" t="s">
        <v>34</v>
      </c>
      <c r="E354" s="46" t="s">
        <v>10</v>
      </c>
      <c r="F354" s="47">
        <v>14.63226671</v>
      </c>
      <c r="G354" s="47">
        <v>12.334758949999999</v>
      </c>
      <c r="H354" s="47">
        <v>13.262742811589657</v>
      </c>
    </row>
    <row r="355" spans="1:11" s="44" customFormat="1">
      <c r="A355" s="48">
        <v>6035</v>
      </c>
      <c r="B355" s="46" t="s">
        <v>43</v>
      </c>
      <c r="C355" s="46" t="s">
        <v>9</v>
      </c>
      <c r="D355" s="46" t="s">
        <v>7</v>
      </c>
      <c r="E355" s="46" t="s">
        <v>6</v>
      </c>
      <c r="F355" s="47">
        <v>13.745485502465424</v>
      </c>
      <c r="G355" s="47">
        <v>11.897570512798149</v>
      </c>
      <c r="H355" s="47">
        <v>13.443795705403272</v>
      </c>
    </row>
    <row r="356" spans="1:11" s="44" customFormat="1">
      <c r="A356" s="48">
        <v>6080</v>
      </c>
      <c r="B356" s="46" t="s">
        <v>43</v>
      </c>
      <c r="C356" s="46" t="s">
        <v>9</v>
      </c>
      <c r="D356" s="46" t="s">
        <v>28</v>
      </c>
      <c r="E356" s="46" t="s">
        <v>6</v>
      </c>
      <c r="F356" s="47">
        <v>14.159054840504975</v>
      </c>
      <c r="G356" s="47">
        <v>12.803183909507723</v>
      </c>
      <c r="H356" s="47">
        <v>13.537699403316783</v>
      </c>
    </row>
    <row r="357" spans="1:11" s="44" customFormat="1">
      <c r="A357" s="48">
        <v>6032</v>
      </c>
      <c r="B357" s="46" t="s">
        <v>43</v>
      </c>
      <c r="C357" s="46" t="s">
        <v>9</v>
      </c>
      <c r="D357" s="46" t="s">
        <v>7</v>
      </c>
      <c r="E357" s="46" t="s">
        <v>6</v>
      </c>
      <c r="F357" s="47">
        <v>14.024891560193375</v>
      </c>
      <c r="G357" s="47">
        <v>12.124132582544174</v>
      </c>
      <c r="H357" s="47">
        <v>13.552753470437473</v>
      </c>
    </row>
    <row r="358" spans="1:11" s="44" customFormat="1">
      <c r="A358" s="48">
        <v>6031</v>
      </c>
      <c r="B358" s="46" t="s">
        <v>43</v>
      </c>
      <c r="C358" s="46" t="s">
        <v>9</v>
      </c>
      <c r="D358" s="46" t="s">
        <v>7</v>
      </c>
      <c r="E358" s="46" t="s">
        <v>6</v>
      </c>
      <c r="F358" s="47">
        <v>14.007244375505476</v>
      </c>
      <c r="G358" s="47">
        <v>12.023915943886252</v>
      </c>
      <c r="H358" s="47">
        <v>14.159304845765941</v>
      </c>
    </row>
    <row r="359" spans="1:11" s="44" customFormat="1">
      <c r="A359" s="48">
        <v>6022</v>
      </c>
      <c r="B359" s="46" t="s">
        <v>43</v>
      </c>
      <c r="C359" s="46" t="s">
        <v>9</v>
      </c>
      <c r="D359" s="46" t="s">
        <v>7</v>
      </c>
      <c r="E359" s="46" t="s">
        <v>6</v>
      </c>
      <c r="F359" s="47">
        <v>13.909320200949999</v>
      </c>
      <c r="G359" s="47">
        <v>11.92075958066135</v>
      </c>
      <c r="H359" s="47">
        <v>14.296605380849826</v>
      </c>
    </row>
    <row r="360" spans="1:11" s="44" customFormat="1">
      <c r="A360" s="48">
        <v>6077</v>
      </c>
      <c r="B360" s="46" t="s">
        <v>43</v>
      </c>
      <c r="C360" s="46" t="s">
        <v>21</v>
      </c>
      <c r="D360" s="46" t="s">
        <v>19</v>
      </c>
      <c r="E360" s="46" t="s">
        <v>6</v>
      </c>
      <c r="F360" s="47">
        <v>14.028629374477951</v>
      </c>
      <c r="G360" s="47">
        <v>12.880820241063825</v>
      </c>
      <c r="H360" s="47">
        <v>15.245571112396005</v>
      </c>
    </row>
    <row r="361" spans="1:11" s="44" customFormat="1">
      <c r="A361" s="48">
        <v>6024</v>
      </c>
      <c r="B361" s="46" t="s">
        <v>43</v>
      </c>
      <c r="C361" s="46" t="s">
        <v>9</v>
      </c>
      <c r="D361" s="46" t="s">
        <v>7</v>
      </c>
      <c r="E361" s="46" t="s">
        <v>6</v>
      </c>
      <c r="F361" s="47">
        <v>14.051526703770424</v>
      </c>
      <c r="G361" s="47">
        <v>11.822360143998626</v>
      </c>
      <c r="H361" s="47">
        <v>15.864230320066564</v>
      </c>
      <c r="I361" s="2"/>
      <c r="J361" s="2"/>
      <c r="K361" s="2"/>
    </row>
    <row r="362" spans="1:11" s="44" customFormat="1">
      <c r="A362" s="48">
        <v>29</v>
      </c>
      <c r="B362" s="46" t="s">
        <v>43</v>
      </c>
      <c r="C362" s="46" t="s">
        <v>9</v>
      </c>
      <c r="D362" s="46" t="s">
        <v>28</v>
      </c>
      <c r="E362" s="46" t="s">
        <v>6</v>
      </c>
      <c r="F362" s="47">
        <v>14.542923310000001</v>
      </c>
      <c r="G362" s="47">
        <v>12.614132789999999</v>
      </c>
      <c r="H362" s="47">
        <v>15.888208377798508</v>
      </c>
      <c r="I362" s="2"/>
      <c r="J362" s="2"/>
      <c r="K362" s="2"/>
    </row>
    <row r="363" spans="1:11" s="44" customFormat="1">
      <c r="A363" s="48">
        <v>6075</v>
      </c>
      <c r="B363" s="46" t="s">
        <v>43</v>
      </c>
      <c r="C363" s="46" t="s">
        <v>9</v>
      </c>
      <c r="D363" s="46" t="s">
        <v>7</v>
      </c>
      <c r="E363" s="46" t="s">
        <v>6</v>
      </c>
      <c r="F363" s="47">
        <v>13.945392425821799</v>
      </c>
      <c r="G363" s="47">
        <v>11.81933770664045</v>
      </c>
      <c r="H363" s="47">
        <v>16.043104989501</v>
      </c>
      <c r="I363" s="2"/>
      <c r="J363" s="2"/>
      <c r="K363" s="2"/>
    </row>
    <row r="364" spans="1:11" s="44" customFormat="1">
      <c r="A364" s="48">
        <v>79</v>
      </c>
      <c r="B364" s="46" t="s">
        <v>43</v>
      </c>
      <c r="C364" s="46" t="s">
        <v>14</v>
      </c>
      <c r="D364" s="46" t="s">
        <v>11</v>
      </c>
      <c r="E364" s="46" t="s">
        <v>10</v>
      </c>
      <c r="F364" s="47">
        <v>12.71877426</v>
      </c>
      <c r="G364" s="47">
        <v>11.544874630000001</v>
      </c>
      <c r="H364" s="47">
        <v>16.076423763700852</v>
      </c>
      <c r="I364" s="2"/>
      <c r="J364" s="2"/>
      <c r="K364" s="2"/>
    </row>
    <row r="365" spans="1:11" s="44" customFormat="1">
      <c r="A365" s="48">
        <v>8256</v>
      </c>
      <c r="B365" s="46" t="s">
        <v>43</v>
      </c>
      <c r="C365" s="46" t="s">
        <v>9</v>
      </c>
      <c r="D365" s="46" t="s">
        <v>7</v>
      </c>
      <c r="E365" s="46" t="s">
        <v>6</v>
      </c>
      <c r="F365" s="47">
        <v>13.586952252268777</v>
      </c>
      <c r="G365" s="47">
        <v>11.939641732545827</v>
      </c>
      <c r="H365" s="47">
        <v>16.708920552053307</v>
      </c>
      <c r="I365" s="2"/>
      <c r="J365" s="2"/>
      <c r="K365" s="2"/>
    </row>
    <row r="366" spans="1:11" s="44" customFormat="1">
      <c r="A366" s="48">
        <v>40</v>
      </c>
      <c r="B366" s="46" t="s">
        <v>43</v>
      </c>
      <c r="C366" s="46" t="s">
        <v>14</v>
      </c>
      <c r="D366" s="46" t="s">
        <v>11</v>
      </c>
      <c r="E366" s="46" t="s">
        <v>10</v>
      </c>
      <c r="F366" s="47">
        <v>14.466456020000001</v>
      </c>
      <c r="G366" s="47">
        <v>12.821490580000001</v>
      </c>
      <c r="H366" s="47">
        <v>17.060678938353824</v>
      </c>
      <c r="I366" s="2"/>
      <c r="J366" s="2"/>
      <c r="K366" s="2"/>
    </row>
    <row r="367" spans="1:11" s="44" customFormat="1">
      <c r="A367" s="54" t="s">
        <v>1129</v>
      </c>
      <c r="B367" s="55" t="s">
        <v>2386</v>
      </c>
      <c r="C367" s="55" t="s">
        <v>9</v>
      </c>
      <c r="D367" s="55" t="s">
        <v>114</v>
      </c>
      <c r="E367" s="55" t="s">
        <v>6</v>
      </c>
      <c r="F367" s="56">
        <v>13.645613306782099</v>
      </c>
      <c r="G367" s="56">
        <v>15.62519777267635</v>
      </c>
      <c r="H367" s="56">
        <v>-14.50711244</v>
      </c>
      <c r="I367" s="57" t="s">
        <v>16963</v>
      </c>
      <c r="J367" s="57" t="s">
        <v>17476</v>
      </c>
    </row>
    <row r="368" spans="1:11" s="44" customFormat="1">
      <c r="A368" s="54" t="s">
        <v>1988</v>
      </c>
      <c r="B368" s="55" t="s">
        <v>2386</v>
      </c>
      <c r="C368" s="55" t="s">
        <v>18</v>
      </c>
      <c r="D368" s="55" t="s">
        <v>764</v>
      </c>
      <c r="E368" s="55" t="s">
        <v>10</v>
      </c>
      <c r="F368" s="56">
        <v>15.429162328677576</v>
      </c>
      <c r="G368" s="56">
        <v>17.52714198533965</v>
      </c>
      <c r="H368" s="56">
        <v>-13.597495520000001</v>
      </c>
      <c r="I368" s="57" t="s">
        <v>16963</v>
      </c>
      <c r="J368" s="57" t="s">
        <v>17476</v>
      </c>
    </row>
    <row r="369" spans="1:11" s="44" customFormat="1">
      <c r="A369" s="54" t="s">
        <v>2053</v>
      </c>
      <c r="B369" s="55" t="s">
        <v>5</v>
      </c>
      <c r="C369" s="55" t="s">
        <v>9</v>
      </c>
      <c r="D369" s="55" t="s">
        <v>107</v>
      </c>
      <c r="E369" s="55" t="s">
        <v>6</v>
      </c>
      <c r="F369" s="56">
        <v>12.895333315325299</v>
      </c>
      <c r="G369" s="56">
        <v>13.904936698208225</v>
      </c>
      <c r="H369" s="56">
        <v>-7.8292150981710273</v>
      </c>
      <c r="I369" s="57" t="s">
        <v>16963</v>
      </c>
      <c r="J369" s="57" t="s">
        <v>17476</v>
      </c>
    </row>
    <row r="370" spans="1:11">
      <c r="A370" s="54" t="s">
        <v>238</v>
      </c>
      <c r="B370" s="58" t="s">
        <v>43</v>
      </c>
      <c r="C370" s="55" t="s">
        <v>18</v>
      </c>
      <c r="D370" s="55" t="s">
        <v>128</v>
      </c>
      <c r="E370" s="55" t="s">
        <v>10</v>
      </c>
      <c r="F370" s="56">
        <v>26.113618901006248</v>
      </c>
      <c r="G370" s="56">
        <v>32.27985378295935</v>
      </c>
      <c r="H370" s="56">
        <v>-23.613099759664081</v>
      </c>
      <c r="I370" s="57" t="s">
        <v>16963</v>
      </c>
      <c r="J370" s="57" t="s">
        <v>17476</v>
      </c>
      <c r="K370" s="44"/>
    </row>
    <row r="371" spans="1:11">
      <c r="A371" s="54" t="s">
        <v>168</v>
      </c>
      <c r="B371" s="58" t="s">
        <v>43</v>
      </c>
      <c r="C371" s="55" t="s">
        <v>9</v>
      </c>
      <c r="D371" s="55" t="s">
        <v>165</v>
      </c>
      <c r="E371" s="55" t="s">
        <v>6</v>
      </c>
      <c r="F371" s="56">
        <v>44.251172036269452</v>
      </c>
      <c r="G371" s="56">
        <v>48.025240967461102</v>
      </c>
      <c r="H371" s="56">
        <v>-8.5287434377971252</v>
      </c>
      <c r="I371" s="57" t="s">
        <v>16963</v>
      </c>
      <c r="J371" s="57" t="s">
        <v>17476</v>
      </c>
      <c r="K371" s="44"/>
    </row>
    <row r="372" spans="1:11">
      <c r="A372" s="45" t="s">
        <v>17437</v>
      </c>
      <c r="B372" s="59" t="s">
        <v>2295</v>
      </c>
      <c r="C372" s="59" t="s">
        <v>9</v>
      </c>
      <c r="D372" s="59" t="s">
        <v>145</v>
      </c>
      <c r="E372" s="46" t="s">
        <v>6</v>
      </c>
      <c r="F372" s="47">
        <v>18.845567528048274</v>
      </c>
      <c r="G372" s="47">
        <v>18.9544487299639</v>
      </c>
      <c r="H372" s="47">
        <v>-0.57775496415046756</v>
      </c>
      <c r="I372" s="44"/>
      <c r="J372" s="44"/>
      <c r="K372" s="44"/>
    </row>
    <row r="373" spans="1:11">
      <c r="A373" s="45" t="s">
        <v>2219</v>
      </c>
      <c r="B373" s="46" t="s">
        <v>2295</v>
      </c>
      <c r="C373" s="46" t="s">
        <v>9</v>
      </c>
      <c r="D373" s="46" t="s">
        <v>101</v>
      </c>
      <c r="E373" s="46" t="s">
        <v>6</v>
      </c>
      <c r="F373" s="47">
        <v>15.318418968853901</v>
      </c>
      <c r="G373" s="47">
        <v>15.1380388102694</v>
      </c>
      <c r="H373" s="47">
        <v>1.1775377011900456</v>
      </c>
      <c r="I373" s="44"/>
      <c r="J373" s="44"/>
      <c r="K373" s="44"/>
    </row>
    <row r="374" spans="1:11">
      <c r="A374" s="45" t="s">
        <v>2215</v>
      </c>
      <c r="B374" s="46" t="s">
        <v>2295</v>
      </c>
      <c r="C374" s="46" t="s">
        <v>9</v>
      </c>
      <c r="D374" s="46" t="s">
        <v>7</v>
      </c>
      <c r="E374" s="47" t="s">
        <v>6</v>
      </c>
      <c r="F374" s="47">
        <v>15.355930513093149</v>
      </c>
      <c r="G374" s="47">
        <v>15.0608932430866</v>
      </c>
      <c r="H374" s="47">
        <v>1.9213245967412251</v>
      </c>
      <c r="I374" s="44"/>
      <c r="J374" s="44"/>
      <c r="K374" s="44"/>
    </row>
    <row r="375" spans="1:11">
      <c r="A375" s="45" t="s">
        <v>2211</v>
      </c>
      <c r="B375" s="46" t="s">
        <v>2295</v>
      </c>
      <c r="C375" s="46" t="s">
        <v>9</v>
      </c>
      <c r="D375" s="46" t="s">
        <v>7</v>
      </c>
      <c r="E375" s="47" t="s">
        <v>6</v>
      </c>
      <c r="F375" s="47">
        <v>16.197672469968573</v>
      </c>
      <c r="G375" s="47">
        <v>15.847476084157099</v>
      </c>
      <c r="H375" s="47">
        <v>2.1620167123440615</v>
      </c>
      <c r="I375" s="44"/>
      <c r="J375" s="44"/>
      <c r="K375" s="44"/>
    </row>
    <row r="376" spans="1:11">
      <c r="A376" s="48" t="s">
        <v>2023</v>
      </c>
      <c r="B376" s="46" t="s">
        <v>2295</v>
      </c>
      <c r="C376" s="46" t="s">
        <v>9</v>
      </c>
      <c r="D376" s="46" t="s">
        <v>52</v>
      </c>
      <c r="E376" s="46" t="s">
        <v>6</v>
      </c>
      <c r="F376" s="47">
        <v>19.548411313172849</v>
      </c>
      <c r="G376" s="47">
        <v>19.034638478022099</v>
      </c>
      <c r="H376" s="47">
        <v>2.6282076170790369</v>
      </c>
      <c r="I376" s="44"/>
      <c r="J376" s="44"/>
      <c r="K376" s="44"/>
    </row>
    <row r="377" spans="1:11">
      <c r="A377" s="45" t="s">
        <v>2216</v>
      </c>
      <c r="B377" s="46" t="s">
        <v>2295</v>
      </c>
      <c r="C377" s="46" t="s">
        <v>9</v>
      </c>
      <c r="D377" s="46" t="s">
        <v>7</v>
      </c>
      <c r="E377" s="47" t="s">
        <v>6</v>
      </c>
      <c r="F377" s="47">
        <v>16.225251252215401</v>
      </c>
      <c r="G377" s="47">
        <v>15.741574020617325</v>
      </c>
      <c r="H377" s="47">
        <v>2.9810153573556208</v>
      </c>
      <c r="I377" s="44"/>
      <c r="J377" s="44"/>
      <c r="K377" s="44"/>
    </row>
    <row r="378" spans="1:11">
      <c r="A378" s="45" t="s">
        <v>17441</v>
      </c>
      <c r="B378" s="59" t="s">
        <v>2295</v>
      </c>
      <c r="C378" s="59" t="s">
        <v>14</v>
      </c>
      <c r="D378" s="59" t="s">
        <v>34</v>
      </c>
      <c r="E378" s="59" t="s">
        <v>10</v>
      </c>
      <c r="F378" s="47">
        <v>18.269371671284297</v>
      </c>
      <c r="G378" s="47">
        <v>17.688472348437998</v>
      </c>
      <c r="H378" s="47">
        <v>3.1796349283284564</v>
      </c>
      <c r="I378" s="44"/>
      <c r="J378" s="44"/>
      <c r="K378" s="44"/>
    </row>
    <row r="379" spans="1:11">
      <c r="A379" s="45" t="s">
        <v>2218</v>
      </c>
      <c r="B379" s="46" t="s">
        <v>2295</v>
      </c>
      <c r="C379" s="46" t="s">
        <v>9</v>
      </c>
      <c r="D379" s="46" t="s">
        <v>101</v>
      </c>
      <c r="E379" s="46" t="s">
        <v>6</v>
      </c>
      <c r="F379" s="47">
        <v>16.118263362162075</v>
      </c>
      <c r="G379" s="47">
        <v>15.513100662621099</v>
      </c>
      <c r="H379" s="47">
        <v>3.7545155203358105</v>
      </c>
      <c r="I379" s="44"/>
      <c r="J379" s="44"/>
      <c r="K379" s="44"/>
    </row>
    <row r="380" spans="1:11">
      <c r="A380" s="45" t="s">
        <v>17442</v>
      </c>
      <c r="B380" s="59" t="s">
        <v>2295</v>
      </c>
      <c r="C380" s="59" t="s">
        <v>9</v>
      </c>
      <c r="D380" s="59" t="s">
        <v>7</v>
      </c>
      <c r="E380" s="46" t="s">
        <v>6</v>
      </c>
      <c r="F380" s="47">
        <v>16.873146106542851</v>
      </c>
      <c r="G380" s="47">
        <v>16.2173558419804</v>
      </c>
      <c r="H380" s="47">
        <v>3.8865915130561035</v>
      </c>
      <c r="I380" s="44"/>
      <c r="J380" s="44"/>
      <c r="K380" s="44"/>
    </row>
    <row r="381" spans="1:11">
      <c r="A381" s="45" t="s">
        <v>2212</v>
      </c>
      <c r="B381" s="46" t="s">
        <v>2295</v>
      </c>
      <c r="C381" s="46" t="s">
        <v>9</v>
      </c>
      <c r="D381" s="46" t="s">
        <v>7</v>
      </c>
      <c r="E381" s="47" t="s">
        <v>6</v>
      </c>
      <c r="F381" s="47">
        <v>15.31488958419575</v>
      </c>
      <c r="G381" s="47">
        <v>14.6863130307836</v>
      </c>
      <c r="H381" s="47">
        <v>4.1043492344914556</v>
      </c>
      <c r="I381" s="44"/>
      <c r="J381" s="44"/>
      <c r="K381" s="44"/>
    </row>
    <row r="382" spans="1:11">
      <c r="A382" s="45" t="s">
        <v>17443</v>
      </c>
      <c r="B382" s="59" t="s">
        <v>2295</v>
      </c>
      <c r="C382" s="59" t="s">
        <v>21</v>
      </c>
      <c r="D382" s="59" t="s">
        <v>19</v>
      </c>
      <c r="E382" s="46" t="s">
        <v>6</v>
      </c>
      <c r="F382" s="47">
        <v>17.18966315402465</v>
      </c>
      <c r="G382" s="47">
        <v>16.482315376638002</v>
      </c>
      <c r="H382" s="47">
        <v>4.114960084142405</v>
      </c>
      <c r="I382" s="44"/>
      <c r="J382" s="44"/>
      <c r="K382" s="44"/>
    </row>
    <row r="383" spans="1:11">
      <c r="A383" s="45" t="s">
        <v>2217</v>
      </c>
      <c r="B383" s="46" t="s">
        <v>2295</v>
      </c>
      <c r="C383" s="46" t="s">
        <v>9</v>
      </c>
      <c r="D383" s="46" t="s">
        <v>87</v>
      </c>
      <c r="E383" s="47" t="s">
        <v>6</v>
      </c>
      <c r="F383" s="47">
        <v>16.020289585951776</v>
      </c>
      <c r="G383" s="47">
        <v>15.283204346828374</v>
      </c>
      <c r="H383" s="47">
        <v>4.6009482860394302</v>
      </c>
      <c r="I383" s="44"/>
      <c r="J383" s="44"/>
      <c r="K383" s="44"/>
    </row>
    <row r="384" spans="1:11">
      <c r="A384" s="45" t="s">
        <v>17448</v>
      </c>
      <c r="B384" s="59" t="s">
        <v>2295</v>
      </c>
      <c r="C384" s="59" t="s">
        <v>18</v>
      </c>
      <c r="D384" s="59" t="s">
        <v>128</v>
      </c>
      <c r="E384" s="59" t="s">
        <v>10</v>
      </c>
      <c r="F384" s="47">
        <v>16.509019523527826</v>
      </c>
      <c r="G384" s="47">
        <v>15.655121822160675</v>
      </c>
      <c r="H384" s="47">
        <v>5.1723102038265694</v>
      </c>
      <c r="I384" s="44"/>
      <c r="J384" s="44"/>
      <c r="K384" s="44"/>
    </row>
    <row r="385" spans="1:11">
      <c r="A385" s="45" t="s">
        <v>2221</v>
      </c>
      <c r="B385" s="46" t="s">
        <v>2295</v>
      </c>
      <c r="C385" s="46" t="s">
        <v>18</v>
      </c>
      <c r="D385" s="46" t="s">
        <v>58</v>
      </c>
      <c r="E385" s="47" t="s">
        <v>10</v>
      </c>
      <c r="F385" s="47">
        <v>14.606860439991975</v>
      </c>
      <c r="G385" s="47">
        <v>13.760518677803201</v>
      </c>
      <c r="H385" s="47">
        <v>5.7941387587409405</v>
      </c>
      <c r="I385" s="44"/>
      <c r="J385" s="44"/>
      <c r="K385" s="44"/>
    </row>
    <row r="386" spans="1:11">
      <c r="A386" s="45" t="s">
        <v>17451</v>
      </c>
      <c r="B386" s="59" t="s">
        <v>2295</v>
      </c>
      <c r="C386" s="59" t="s">
        <v>9</v>
      </c>
      <c r="D386" s="59" t="s">
        <v>401</v>
      </c>
      <c r="E386" s="46" t="s">
        <v>6</v>
      </c>
      <c r="F386" s="47">
        <v>18.196805679876224</v>
      </c>
      <c r="G386" s="47">
        <v>17.068377211791848</v>
      </c>
      <c r="H386" s="47">
        <v>6.2012448115127183</v>
      </c>
      <c r="I386" s="44"/>
      <c r="J386" s="44"/>
      <c r="K386" s="44"/>
    </row>
    <row r="387" spans="1:11">
      <c r="A387" s="45" t="s">
        <v>2210</v>
      </c>
      <c r="B387" s="46" t="s">
        <v>2295</v>
      </c>
      <c r="C387" s="46" t="s">
        <v>9</v>
      </c>
      <c r="D387" s="46" t="s">
        <v>101</v>
      </c>
      <c r="E387" s="46" t="s">
        <v>6</v>
      </c>
      <c r="F387" s="47">
        <v>17.101242747117951</v>
      </c>
      <c r="G387" s="47">
        <v>15.886329279972674</v>
      </c>
      <c r="H387" s="47">
        <v>7.1042408151888452</v>
      </c>
      <c r="I387" s="44"/>
      <c r="J387" s="44"/>
      <c r="K387" s="44"/>
    </row>
    <row r="388" spans="1:11">
      <c r="A388" s="45" t="s">
        <v>4</v>
      </c>
      <c r="B388" s="46" t="s">
        <v>2295</v>
      </c>
      <c r="C388" s="46" t="s">
        <v>9</v>
      </c>
      <c r="D388" s="46" t="s">
        <v>7</v>
      </c>
      <c r="E388" s="47" t="s">
        <v>6</v>
      </c>
      <c r="F388" s="47">
        <v>14.164284855679725</v>
      </c>
      <c r="G388" s="47">
        <v>12.959032699324275</v>
      </c>
      <c r="H388" s="47">
        <v>8.5090928955171119</v>
      </c>
      <c r="I388" s="44"/>
      <c r="J388" s="44"/>
      <c r="K388" s="44"/>
    </row>
    <row r="389" spans="1:11">
      <c r="A389" s="45" t="s">
        <v>17462</v>
      </c>
      <c r="B389" s="59" t="s">
        <v>2295</v>
      </c>
      <c r="C389" s="59" t="s">
        <v>9</v>
      </c>
      <c r="D389" s="59" t="s">
        <v>414</v>
      </c>
      <c r="E389" s="46" t="s">
        <v>6</v>
      </c>
      <c r="F389" s="47">
        <v>18.2039951598192</v>
      </c>
      <c r="G389" s="47">
        <v>16.617494284012302</v>
      </c>
      <c r="H389" s="47">
        <v>8.7151246848752422</v>
      </c>
      <c r="I389" s="44"/>
      <c r="J389" s="44"/>
      <c r="K389" s="44"/>
    </row>
    <row r="390" spans="1:11">
      <c r="A390" s="48" t="s">
        <v>2022</v>
      </c>
      <c r="B390" s="46" t="s">
        <v>2295</v>
      </c>
      <c r="C390" s="46" t="s">
        <v>9</v>
      </c>
      <c r="D390" s="46" t="s">
        <v>52</v>
      </c>
      <c r="E390" s="46" t="s">
        <v>6</v>
      </c>
      <c r="F390" s="47">
        <v>21.2292872293757</v>
      </c>
      <c r="G390" s="47">
        <v>19.234221616007851</v>
      </c>
      <c r="H390" s="47">
        <v>9.3977041801347365</v>
      </c>
      <c r="I390" s="44"/>
      <c r="J390" s="44"/>
      <c r="K390" s="44"/>
    </row>
    <row r="391" spans="1:11">
      <c r="A391" s="48" t="s">
        <v>2024</v>
      </c>
      <c r="B391" s="46" t="s">
        <v>2295</v>
      </c>
      <c r="C391" s="46" t="s">
        <v>21</v>
      </c>
      <c r="D391" s="46" t="s">
        <v>19</v>
      </c>
      <c r="E391" s="46" t="s">
        <v>6</v>
      </c>
      <c r="F391" s="47">
        <v>21.321340795488652</v>
      </c>
      <c r="G391" s="47">
        <v>19.301059795049952</v>
      </c>
      <c r="H391" s="47">
        <v>9.4753937841759335</v>
      </c>
      <c r="I391" s="44"/>
      <c r="J391" s="44"/>
      <c r="K391" s="44"/>
    </row>
    <row r="392" spans="1:11">
      <c r="A392" s="45" t="s">
        <v>17465</v>
      </c>
      <c r="B392" s="59" t="s">
        <v>2295</v>
      </c>
      <c r="C392" s="59" t="s">
        <v>9</v>
      </c>
      <c r="D392" s="59" t="s">
        <v>87</v>
      </c>
      <c r="E392" s="46" t="s">
        <v>6</v>
      </c>
      <c r="F392" s="47">
        <v>17.4209034182145</v>
      </c>
      <c r="G392" s="47">
        <v>15.686784358628099</v>
      </c>
      <c r="H392" s="47">
        <v>9.9542430031113405</v>
      </c>
      <c r="I392" s="44"/>
      <c r="J392" s="44"/>
      <c r="K392" s="44"/>
    </row>
    <row r="393" spans="1:11">
      <c r="A393" s="45" t="s">
        <v>17469</v>
      </c>
      <c r="B393" s="59" t="s">
        <v>2295</v>
      </c>
      <c r="C393" s="59" t="s">
        <v>18</v>
      </c>
      <c r="D393" s="59" t="s">
        <v>16</v>
      </c>
      <c r="E393" s="59" t="s">
        <v>10</v>
      </c>
      <c r="F393" s="47">
        <v>16.983556222221925</v>
      </c>
      <c r="G393" s="47">
        <v>15.171852065718276</v>
      </c>
      <c r="H393" s="47">
        <v>10.667401648973529</v>
      </c>
      <c r="I393" s="44"/>
      <c r="J393" s="44"/>
      <c r="K393" s="44"/>
    </row>
    <row r="394" spans="1:11">
      <c r="A394" s="45" t="s">
        <v>17470</v>
      </c>
      <c r="B394" s="59" t="s">
        <v>2295</v>
      </c>
      <c r="C394" s="59" t="s">
        <v>18</v>
      </c>
      <c r="D394" s="59" t="s">
        <v>58</v>
      </c>
      <c r="E394" s="59" t="s">
        <v>10</v>
      </c>
      <c r="F394" s="47">
        <v>16.984781319235225</v>
      </c>
      <c r="G394" s="47">
        <v>15.08454422193835</v>
      </c>
      <c r="H394" s="47">
        <v>11.187880853931642</v>
      </c>
      <c r="I394" s="44"/>
      <c r="J394" s="44"/>
      <c r="K394" s="44"/>
    </row>
    <row r="395" spans="1:11">
      <c r="A395" s="48" t="s">
        <v>2020</v>
      </c>
      <c r="B395" s="46" t="s">
        <v>2295</v>
      </c>
      <c r="C395" s="46" t="s">
        <v>9</v>
      </c>
      <c r="D395" s="46" t="s">
        <v>52</v>
      </c>
      <c r="E395" s="46" t="s">
        <v>6</v>
      </c>
      <c r="F395" s="47">
        <v>21.289085458265848</v>
      </c>
      <c r="G395" s="47">
        <v>17.911578233775899</v>
      </c>
      <c r="H395" s="47">
        <v>15.864970954769575</v>
      </c>
    </row>
    <row r="396" spans="1:11">
      <c r="A396" s="54" t="s">
        <v>17435</v>
      </c>
      <c r="B396" s="55" t="s">
        <v>118</v>
      </c>
      <c r="C396" s="55" t="s">
        <v>9</v>
      </c>
      <c r="D396" s="55" t="s">
        <v>107</v>
      </c>
      <c r="E396" s="56" t="s">
        <v>6</v>
      </c>
      <c r="F396" s="56">
        <v>13.334096274498449</v>
      </c>
      <c r="G396" s="56">
        <v>14.450585462185474</v>
      </c>
      <c r="H396" s="56">
        <v>-8.3731897888146953</v>
      </c>
      <c r="I396" s="57" t="s">
        <v>16963</v>
      </c>
      <c r="J396" s="57" t="s">
        <v>17476</v>
      </c>
      <c r="K396" s="44"/>
    </row>
    <row r="397" spans="1:11">
      <c r="A397" s="45" t="s">
        <v>17438</v>
      </c>
      <c r="B397" s="46" t="s">
        <v>118</v>
      </c>
      <c r="C397" s="46" t="s">
        <v>9</v>
      </c>
      <c r="D397" s="46" t="s">
        <v>101</v>
      </c>
      <c r="E397" s="47" t="s">
        <v>6</v>
      </c>
      <c r="F397" s="47">
        <v>16.31956485206765</v>
      </c>
      <c r="G397" s="47">
        <v>16.269746065210427</v>
      </c>
      <c r="H397" s="47">
        <v>0.30527031393799975</v>
      </c>
      <c r="I397" s="44"/>
      <c r="J397" s="44"/>
      <c r="K397" s="44"/>
    </row>
    <row r="398" spans="1:11">
      <c r="A398" s="45" t="s">
        <v>17439</v>
      </c>
      <c r="B398" s="46" t="s">
        <v>118</v>
      </c>
      <c r="C398" s="46" t="s">
        <v>9</v>
      </c>
      <c r="D398" s="46" t="s">
        <v>101</v>
      </c>
      <c r="E398" s="47" t="s">
        <v>6</v>
      </c>
      <c r="F398" s="47">
        <v>15.84255083603845</v>
      </c>
      <c r="G398" s="47">
        <v>15.690277445251075</v>
      </c>
      <c r="H398" s="47">
        <v>0.96116712746148192</v>
      </c>
      <c r="I398" s="44"/>
      <c r="J398" s="44"/>
      <c r="K398" s="44"/>
    </row>
    <row r="399" spans="1:11">
      <c r="A399" s="45" t="s">
        <v>17440</v>
      </c>
      <c r="B399" s="46" t="s">
        <v>118</v>
      </c>
      <c r="C399" s="46" t="s">
        <v>9</v>
      </c>
      <c r="D399" s="46" t="s">
        <v>28</v>
      </c>
      <c r="E399" s="46" t="s">
        <v>6</v>
      </c>
      <c r="F399" s="47">
        <v>16.192079559596749</v>
      </c>
      <c r="G399" s="47">
        <v>15.842112281297799</v>
      </c>
      <c r="H399" s="47">
        <v>2.1613485594043413</v>
      </c>
      <c r="I399" s="44"/>
      <c r="J399" s="44"/>
      <c r="K399" s="44"/>
    </row>
    <row r="400" spans="1:11">
      <c r="A400" s="45" t="s">
        <v>17444</v>
      </c>
      <c r="B400" s="46" t="s">
        <v>118</v>
      </c>
      <c r="C400" s="46" t="s">
        <v>9</v>
      </c>
      <c r="D400" s="46" t="s">
        <v>28</v>
      </c>
      <c r="E400" s="46" t="s">
        <v>6</v>
      </c>
      <c r="F400" s="47">
        <v>15.9197957957961</v>
      </c>
      <c r="G400" s="47">
        <v>15.1913990739084</v>
      </c>
      <c r="H400" s="47">
        <v>4.5754149816422007</v>
      </c>
      <c r="I400" s="44"/>
      <c r="J400" s="44"/>
      <c r="K400" s="44"/>
    </row>
    <row r="401" spans="1:11">
      <c r="A401" s="45" t="s">
        <v>17445</v>
      </c>
      <c r="B401" s="46" t="s">
        <v>118</v>
      </c>
      <c r="C401" s="46" t="s">
        <v>9</v>
      </c>
      <c r="D401" s="46" t="s">
        <v>7</v>
      </c>
      <c r="E401" s="47" t="s">
        <v>6</v>
      </c>
      <c r="F401" s="47">
        <v>16.517125581553977</v>
      </c>
      <c r="G401" s="47">
        <v>15.753750967386001</v>
      </c>
      <c r="H401" s="47">
        <v>4.6217158693792282</v>
      </c>
      <c r="I401" s="44"/>
      <c r="J401" s="44"/>
      <c r="K401" s="44"/>
    </row>
    <row r="402" spans="1:11">
      <c r="A402" s="45" t="s">
        <v>17446</v>
      </c>
      <c r="B402" s="46" t="s">
        <v>118</v>
      </c>
      <c r="C402" s="46" t="s">
        <v>9</v>
      </c>
      <c r="D402" s="46" t="s">
        <v>101</v>
      </c>
      <c r="E402" s="46" t="s">
        <v>6</v>
      </c>
      <c r="F402" s="47">
        <v>16.637664513313677</v>
      </c>
      <c r="G402" s="47">
        <v>15.814773514537224</v>
      </c>
      <c r="H402" s="47">
        <v>4.9459525891868079</v>
      </c>
      <c r="I402" s="44"/>
      <c r="J402" s="44"/>
      <c r="K402" s="44"/>
    </row>
    <row r="403" spans="1:11">
      <c r="A403" s="45" t="s">
        <v>17447</v>
      </c>
      <c r="B403" s="46" t="s">
        <v>118</v>
      </c>
      <c r="C403" s="46" t="s">
        <v>9</v>
      </c>
      <c r="D403" s="46" t="s">
        <v>7</v>
      </c>
      <c r="E403" s="47" t="s">
        <v>6</v>
      </c>
      <c r="F403" s="47">
        <v>17.241061985002776</v>
      </c>
      <c r="G403" s="47">
        <v>16.362930721186824</v>
      </c>
      <c r="H403" s="47">
        <v>5.0932550708291613</v>
      </c>
      <c r="I403" s="44"/>
      <c r="J403" s="44"/>
      <c r="K403" s="44"/>
    </row>
    <row r="404" spans="1:11">
      <c r="A404" s="45">
        <v>4470</v>
      </c>
      <c r="B404" s="46" t="s">
        <v>118</v>
      </c>
      <c r="C404" s="46" t="s">
        <v>9</v>
      </c>
      <c r="D404" s="46" t="s">
        <v>28</v>
      </c>
      <c r="E404" s="46" t="s">
        <v>6</v>
      </c>
      <c r="F404" s="47">
        <v>15.837117544378025</v>
      </c>
      <c r="G404" s="47">
        <v>15.015403337600176</v>
      </c>
      <c r="H404" s="47">
        <v>5.1885338634084066</v>
      </c>
      <c r="I404" s="44"/>
      <c r="J404" s="44"/>
      <c r="K404" s="44"/>
    </row>
    <row r="405" spans="1:11">
      <c r="A405" s="45" t="s">
        <v>17449</v>
      </c>
      <c r="B405" s="46" t="s">
        <v>118</v>
      </c>
      <c r="C405" s="46" t="s">
        <v>21</v>
      </c>
      <c r="D405" s="46" t="s">
        <v>19</v>
      </c>
      <c r="E405" s="46" t="s">
        <v>6</v>
      </c>
      <c r="F405" s="47">
        <v>16.786162636647276</v>
      </c>
      <c r="G405" s="47">
        <v>15.910464944587675</v>
      </c>
      <c r="H405" s="47">
        <v>5.2167830791046477</v>
      </c>
      <c r="I405" s="44"/>
      <c r="J405" s="44"/>
      <c r="K405" s="44"/>
    </row>
    <row r="406" spans="1:11">
      <c r="A406" s="45" t="s">
        <v>17452</v>
      </c>
      <c r="B406" s="46" t="s">
        <v>118</v>
      </c>
      <c r="C406" s="46" t="s">
        <v>9</v>
      </c>
      <c r="D406" s="46" t="s">
        <v>107</v>
      </c>
      <c r="E406" s="47" t="s">
        <v>6</v>
      </c>
      <c r="F406" s="47">
        <v>13.996035451540351</v>
      </c>
      <c r="G406" s="47">
        <v>13.085468128447834</v>
      </c>
      <c r="H406" s="47">
        <v>6.5058946602789769</v>
      </c>
      <c r="I406" s="44"/>
      <c r="J406" s="44"/>
      <c r="K406" s="44"/>
    </row>
    <row r="407" spans="1:11">
      <c r="A407" s="45" t="s">
        <v>17454</v>
      </c>
      <c r="B407" s="46" t="s">
        <v>118</v>
      </c>
      <c r="C407" s="46" t="s">
        <v>9</v>
      </c>
      <c r="D407" s="46" t="s">
        <v>107</v>
      </c>
      <c r="E407" s="47" t="s">
        <v>6</v>
      </c>
      <c r="F407" s="47">
        <v>14.194946818784299</v>
      </c>
      <c r="G407" s="47">
        <v>13.148348656754752</v>
      </c>
      <c r="H407" s="47">
        <v>7.3730333434188999</v>
      </c>
      <c r="I407" s="44"/>
      <c r="J407" s="44"/>
      <c r="K407" s="44"/>
    </row>
    <row r="408" spans="1:11">
      <c r="A408" s="45" t="s">
        <v>17456</v>
      </c>
      <c r="B408" s="46" t="s">
        <v>118</v>
      </c>
      <c r="C408" s="46" t="s">
        <v>9</v>
      </c>
      <c r="D408" s="46" t="s">
        <v>7</v>
      </c>
      <c r="E408" s="47" t="s">
        <v>6</v>
      </c>
      <c r="F408" s="47">
        <v>17.218919377646014</v>
      </c>
      <c r="G408" s="47">
        <v>15.857529907515024</v>
      </c>
      <c r="H408" s="47">
        <v>7.9063583507939299</v>
      </c>
      <c r="I408" s="44"/>
      <c r="J408" s="44"/>
      <c r="K408" s="44"/>
    </row>
    <row r="409" spans="1:11">
      <c r="A409" s="45" t="s">
        <v>2214</v>
      </c>
      <c r="B409" s="46" t="s">
        <v>118</v>
      </c>
      <c r="C409" s="46" t="s">
        <v>21</v>
      </c>
      <c r="D409" s="46" t="s">
        <v>19</v>
      </c>
      <c r="E409" s="46" t="s">
        <v>6</v>
      </c>
      <c r="F409" s="47">
        <v>16.890918406597628</v>
      </c>
      <c r="G409" s="47">
        <v>15.536384802406175</v>
      </c>
      <c r="H409" s="47">
        <v>8.0193010917770415</v>
      </c>
      <c r="I409" s="44"/>
      <c r="J409" s="44"/>
      <c r="K409" s="44"/>
    </row>
    <row r="410" spans="1:11">
      <c r="A410" s="45" t="s">
        <v>17458</v>
      </c>
      <c r="B410" s="46" t="s">
        <v>118</v>
      </c>
      <c r="C410" s="46" t="s">
        <v>9</v>
      </c>
      <c r="D410" s="46" t="s">
        <v>25</v>
      </c>
      <c r="E410" s="47" t="s">
        <v>6</v>
      </c>
      <c r="F410" s="47">
        <v>16.094428553911026</v>
      </c>
      <c r="G410" s="47">
        <v>14.78203742098705</v>
      </c>
      <c r="H410" s="47">
        <v>8.1543195431133082</v>
      </c>
      <c r="I410" s="44"/>
      <c r="J410" s="44"/>
      <c r="K410" s="44"/>
    </row>
    <row r="411" spans="1:11">
      <c r="A411" s="45" t="s">
        <v>17461</v>
      </c>
      <c r="B411" s="46" t="s">
        <v>118</v>
      </c>
      <c r="C411" s="46" t="s">
        <v>9</v>
      </c>
      <c r="D411" s="46" t="s">
        <v>25</v>
      </c>
      <c r="E411" s="47" t="s">
        <v>6</v>
      </c>
      <c r="F411" s="47">
        <v>15.826404106851275</v>
      </c>
      <c r="G411" s="47">
        <v>14.475351285530875</v>
      </c>
      <c r="H411" s="47">
        <v>8.5367011495398835</v>
      </c>
      <c r="I411" s="44"/>
      <c r="J411" s="44"/>
      <c r="K411" s="44"/>
    </row>
    <row r="412" spans="1:11">
      <c r="A412" s="45" t="s">
        <v>17464</v>
      </c>
      <c r="B412" s="46" t="s">
        <v>118</v>
      </c>
      <c r="C412" s="46" t="s">
        <v>9</v>
      </c>
      <c r="D412" s="46" t="s">
        <v>23</v>
      </c>
      <c r="E412" s="47" t="s">
        <v>6</v>
      </c>
      <c r="F412" s="47">
        <v>16.724700971074199</v>
      </c>
      <c r="G412" s="47">
        <v>15.0605829709289</v>
      </c>
      <c r="H412" s="47">
        <v>9.9500613076636384</v>
      </c>
      <c r="I412" s="44"/>
      <c r="J412" s="44"/>
      <c r="K412" s="44"/>
    </row>
    <row r="413" spans="1:11">
      <c r="A413" s="45" t="s">
        <v>17467</v>
      </c>
      <c r="B413" s="46" t="s">
        <v>118</v>
      </c>
      <c r="C413" s="46" t="s">
        <v>9</v>
      </c>
      <c r="D413" s="46" t="s">
        <v>25</v>
      </c>
      <c r="E413" s="47" t="s">
        <v>6</v>
      </c>
      <c r="F413" s="47">
        <v>16.042041869067226</v>
      </c>
      <c r="G413" s="47">
        <v>14.3510939100778</v>
      </c>
      <c r="H413" s="47">
        <v>10.540727750187251</v>
      </c>
      <c r="I413" s="44"/>
      <c r="J413" s="44"/>
      <c r="K413" s="44"/>
    </row>
    <row r="414" spans="1:11">
      <c r="A414" s="45" t="s">
        <v>17468</v>
      </c>
      <c r="B414" s="46" t="s">
        <v>118</v>
      </c>
      <c r="C414" s="46" t="s">
        <v>9</v>
      </c>
      <c r="D414" s="46" t="s">
        <v>23</v>
      </c>
      <c r="E414" s="47" t="s">
        <v>6</v>
      </c>
      <c r="F414" s="47">
        <v>16.712473157725448</v>
      </c>
      <c r="G414" s="47">
        <v>14.937901327008026</v>
      </c>
      <c r="H414" s="47">
        <v>10.61824790364504</v>
      </c>
      <c r="I414" s="44"/>
      <c r="J414" s="44"/>
      <c r="K414" s="44"/>
    </row>
    <row r="415" spans="1:11">
      <c r="A415" s="45" t="s">
        <v>17472</v>
      </c>
      <c r="B415" s="46" t="s">
        <v>118</v>
      </c>
      <c r="C415" s="46" t="s">
        <v>9</v>
      </c>
      <c r="D415" s="46" t="s">
        <v>7</v>
      </c>
      <c r="E415" s="47" t="s">
        <v>6</v>
      </c>
      <c r="F415" s="47">
        <v>15.713178781193225</v>
      </c>
      <c r="G415" s="47">
        <v>12.305092606446657</v>
      </c>
      <c r="H415" s="47">
        <v>21.689348935720343</v>
      </c>
    </row>
    <row r="416" spans="1:11">
      <c r="F416" s="49"/>
      <c r="G416" s="49"/>
      <c r="H416" s="49"/>
    </row>
    <row r="417" spans="3:9">
      <c r="F417" s="25"/>
      <c r="G417" s="25" t="s">
        <v>17488</v>
      </c>
      <c r="H417" s="25">
        <f>AVERAGE(H2:H415)</f>
        <v>7.0559921947685531</v>
      </c>
      <c r="I417" s="25"/>
    </row>
    <row r="418" spans="3:9">
      <c r="C418" s="25"/>
      <c r="G418" s="2" t="s">
        <v>17489</v>
      </c>
      <c r="H418" s="2">
        <f>_xlfn.STDEV.S(H2:H415)</f>
        <v>7.3890003096107657</v>
      </c>
    </row>
    <row r="419" spans="3:9">
      <c r="C419" s="25"/>
      <c r="G419" s="2" t="s">
        <v>17473</v>
      </c>
      <c r="H419" s="25">
        <f>H417+H418</f>
        <v>14.444992504379318</v>
      </c>
    </row>
    <row r="420" spans="3:9">
      <c r="C420" s="25"/>
      <c r="G420" s="60" t="s">
        <v>17474</v>
      </c>
      <c r="H420" s="61">
        <f>H419+H418</f>
        <v>21.833992813990083</v>
      </c>
      <c r="I420" s="60" t="s">
        <v>17477</v>
      </c>
    </row>
    <row r="421" spans="3:9">
      <c r="G421" s="2" t="s">
        <v>17475</v>
      </c>
      <c r="H421" s="49">
        <f>H417-H418</f>
        <v>-0.3330081148422126</v>
      </c>
    </row>
    <row r="422" spans="3:9">
      <c r="G422" s="60" t="s">
        <v>17476</v>
      </c>
      <c r="H422" s="61">
        <f>H421-H418</f>
        <v>-7.7220084244529783</v>
      </c>
      <c r="I422" s="60" t="s">
        <v>17478</v>
      </c>
    </row>
  </sheetData>
  <autoFilter ref="A1:K415" xr:uid="{846F30C5-959B-6741-B929-D00AA089BD5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8852-79E2-2F42-B119-7075D9D831E7}">
  <sheetPr>
    <tabColor rgb="FFFF0000"/>
  </sheetPr>
  <dimension ref="A1:J10939"/>
  <sheetViews>
    <sheetView workbookViewId="0">
      <selection activeCell="D10" sqref="D10"/>
    </sheetView>
  </sheetViews>
  <sheetFormatPr defaultColWidth="11.5546875" defaultRowHeight="15.6"/>
  <cols>
    <col min="1" max="1" width="20" style="7" customWidth="1"/>
    <col min="2" max="2" width="21.77734375" style="1" customWidth="1"/>
    <col min="3" max="3" width="23.6640625" style="1" bestFit="1" customWidth="1"/>
    <col min="4" max="4" width="24" style="1" bestFit="1" customWidth="1"/>
    <col min="5" max="5" width="12.44140625" style="1" bestFit="1" customWidth="1"/>
    <col min="6" max="6" width="22.109375" style="1" customWidth="1"/>
    <col min="7" max="7" width="87.44140625" style="1" bestFit="1" customWidth="1"/>
    <col min="8" max="8" width="23.33203125" style="1" bestFit="1" customWidth="1"/>
    <col min="9" max="9" width="10.77734375" style="1" bestFit="1"/>
  </cols>
  <sheetData>
    <row r="1" spans="1:9" s="15" customFormat="1">
      <c r="A1" s="8" t="s">
        <v>4781</v>
      </c>
      <c r="B1" s="12" t="s">
        <v>4782</v>
      </c>
      <c r="C1" s="12" t="s">
        <v>4783</v>
      </c>
      <c r="D1" s="12" t="s">
        <v>4784</v>
      </c>
      <c r="E1" s="12" t="s">
        <v>2572</v>
      </c>
      <c r="F1" s="12" t="s">
        <v>2625</v>
      </c>
      <c r="G1" s="12" t="s">
        <v>2626</v>
      </c>
      <c r="H1" s="12" t="s">
        <v>4785</v>
      </c>
      <c r="I1" s="12" t="s">
        <v>4786</v>
      </c>
    </row>
    <row r="2" spans="1:9">
      <c r="A2" s="16" t="s">
        <v>4811</v>
      </c>
      <c r="B2" s="1" t="s">
        <v>2628</v>
      </c>
      <c r="C2" s="1">
        <v>1</v>
      </c>
      <c r="D2" s="1" t="s">
        <v>128</v>
      </c>
      <c r="E2" s="1" t="s">
        <v>10</v>
      </c>
      <c r="F2" s="1" t="s">
        <v>2693</v>
      </c>
      <c r="G2" s="14" t="s">
        <v>5</v>
      </c>
      <c r="H2" s="1" t="s">
        <v>5</v>
      </c>
      <c r="I2" s="17">
        <v>35796</v>
      </c>
    </row>
    <row r="3" spans="1:9">
      <c r="A3" s="16" t="s">
        <v>4877</v>
      </c>
      <c r="B3" s="1" t="s">
        <v>2628</v>
      </c>
      <c r="C3" s="1">
        <v>1</v>
      </c>
      <c r="D3" s="1" t="s">
        <v>128</v>
      </c>
      <c r="E3" s="1" t="s">
        <v>10</v>
      </c>
      <c r="F3" s="1" t="s">
        <v>2693</v>
      </c>
      <c r="G3" s="14" t="s">
        <v>27</v>
      </c>
      <c r="H3" s="1" t="s">
        <v>27</v>
      </c>
      <c r="I3" s="17">
        <v>41275</v>
      </c>
    </row>
    <row r="4" spans="1:9">
      <c r="A4" s="16" t="s">
        <v>5503</v>
      </c>
      <c r="B4" s="1" t="s">
        <v>2628</v>
      </c>
      <c r="C4" s="1">
        <v>1</v>
      </c>
      <c r="D4" s="1" t="s">
        <v>128</v>
      </c>
      <c r="E4" s="1" t="s">
        <v>10</v>
      </c>
      <c r="F4" s="1" t="s">
        <v>2699</v>
      </c>
      <c r="G4" s="14" t="s">
        <v>4800</v>
      </c>
      <c r="H4" s="1" t="s">
        <v>27</v>
      </c>
      <c r="I4" s="17">
        <v>40179</v>
      </c>
    </row>
    <row r="5" spans="1:9">
      <c r="A5" s="16" t="s">
        <v>6134</v>
      </c>
      <c r="B5" s="1" t="s">
        <v>2628</v>
      </c>
      <c r="C5" s="1">
        <v>1</v>
      </c>
      <c r="D5" s="1" t="s">
        <v>128</v>
      </c>
      <c r="E5" s="1" t="s">
        <v>10</v>
      </c>
      <c r="F5" s="1" t="s">
        <v>2699</v>
      </c>
      <c r="G5" s="14" t="s">
        <v>6108</v>
      </c>
      <c r="H5" s="1" t="s">
        <v>27</v>
      </c>
      <c r="I5" s="17">
        <v>38718</v>
      </c>
    </row>
    <row r="6" spans="1:9">
      <c r="A6" s="16" t="s">
        <v>4887</v>
      </c>
      <c r="B6" s="1" t="s">
        <v>2628</v>
      </c>
      <c r="C6" s="1">
        <v>1</v>
      </c>
      <c r="D6" s="1" t="s">
        <v>128</v>
      </c>
      <c r="E6" s="1" t="s">
        <v>10</v>
      </c>
      <c r="F6" s="1" t="s">
        <v>2693</v>
      </c>
      <c r="G6" s="14" t="s">
        <v>5</v>
      </c>
      <c r="H6" s="1" t="s">
        <v>5</v>
      </c>
      <c r="I6" s="17">
        <v>41275</v>
      </c>
    </row>
    <row r="7" spans="1:9">
      <c r="A7" s="16" t="s">
        <v>4888</v>
      </c>
      <c r="B7" s="1" t="s">
        <v>2628</v>
      </c>
      <c r="C7" s="1">
        <v>1</v>
      </c>
      <c r="D7" s="1" t="s">
        <v>128</v>
      </c>
      <c r="E7" s="1" t="s">
        <v>10</v>
      </c>
      <c r="F7" s="1" t="s">
        <v>2693</v>
      </c>
      <c r="G7" s="14" t="s">
        <v>5</v>
      </c>
      <c r="H7" s="1" t="s">
        <v>5</v>
      </c>
      <c r="I7" s="17">
        <v>41275</v>
      </c>
    </row>
    <row r="8" spans="1:9">
      <c r="A8" s="16" t="s">
        <v>4889</v>
      </c>
      <c r="B8" s="1" t="s">
        <v>2628</v>
      </c>
      <c r="C8" s="1">
        <v>1</v>
      </c>
      <c r="D8" s="1" t="s">
        <v>128</v>
      </c>
      <c r="E8" s="1" t="s">
        <v>10</v>
      </c>
      <c r="F8" s="1" t="s">
        <v>2693</v>
      </c>
      <c r="G8" s="14" t="s">
        <v>5</v>
      </c>
      <c r="H8" s="1" t="s">
        <v>5</v>
      </c>
      <c r="I8" s="17">
        <v>41275</v>
      </c>
    </row>
    <row r="9" spans="1:9">
      <c r="A9" s="16" t="s">
        <v>4892</v>
      </c>
      <c r="B9" s="1" t="s">
        <v>2628</v>
      </c>
      <c r="C9" s="1">
        <v>1</v>
      </c>
      <c r="D9" s="1" t="s">
        <v>128</v>
      </c>
      <c r="E9" s="1" t="s">
        <v>10</v>
      </c>
      <c r="F9" s="1" t="s">
        <v>2693</v>
      </c>
      <c r="G9" s="14" t="s">
        <v>5</v>
      </c>
      <c r="H9" s="1" t="s">
        <v>5</v>
      </c>
      <c r="I9" s="17">
        <v>41275</v>
      </c>
    </row>
    <row r="10" spans="1:9">
      <c r="A10" s="16" t="s">
        <v>4895</v>
      </c>
      <c r="B10" s="1" t="s">
        <v>2628</v>
      </c>
      <c r="C10" s="1">
        <v>1</v>
      </c>
      <c r="D10" s="1" t="s">
        <v>128</v>
      </c>
      <c r="E10" s="1" t="s">
        <v>10</v>
      </c>
      <c r="F10" s="1" t="s">
        <v>2693</v>
      </c>
      <c r="G10" s="14" t="s">
        <v>5</v>
      </c>
      <c r="H10" s="1" t="s">
        <v>5</v>
      </c>
      <c r="I10" s="17">
        <v>41275</v>
      </c>
    </row>
    <row r="11" spans="1:9">
      <c r="A11" s="16" t="s">
        <v>5027</v>
      </c>
      <c r="B11" s="1" t="s">
        <v>2631</v>
      </c>
      <c r="C11" s="1">
        <v>1</v>
      </c>
      <c r="D11" s="1" t="s">
        <v>128</v>
      </c>
      <c r="E11" s="1" t="s">
        <v>10</v>
      </c>
      <c r="F11" s="1" t="s">
        <v>118</v>
      </c>
      <c r="G11" s="14" t="s">
        <v>4458</v>
      </c>
      <c r="H11" s="1" t="s">
        <v>118</v>
      </c>
      <c r="I11" s="1" t="s">
        <v>4792</v>
      </c>
    </row>
    <row r="12" spans="1:9">
      <c r="A12" s="16" t="s">
        <v>6135</v>
      </c>
      <c r="B12" s="1" t="s">
        <v>2628</v>
      </c>
      <c r="C12" s="1">
        <v>1</v>
      </c>
      <c r="D12" s="1" t="s">
        <v>128</v>
      </c>
      <c r="E12" s="1" t="s">
        <v>10</v>
      </c>
      <c r="F12" s="1" t="s">
        <v>2699</v>
      </c>
      <c r="G12" s="14" t="s">
        <v>6110</v>
      </c>
      <c r="H12" s="1" t="s">
        <v>27</v>
      </c>
      <c r="I12" s="17">
        <v>38718</v>
      </c>
    </row>
    <row r="13" spans="1:9">
      <c r="A13" s="7" t="s">
        <v>5087</v>
      </c>
      <c r="B13" s="2" t="s">
        <v>2631</v>
      </c>
      <c r="C13" s="1">
        <v>1</v>
      </c>
      <c r="D13" s="1" t="s">
        <v>128</v>
      </c>
      <c r="E13" s="1" t="s">
        <v>10</v>
      </c>
      <c r="F13" s="1" t="s">
        <v>2691</v>
      </c>
      <c r="G13" s="14" t="s">
        <v>5088</v>
      </c>
      <c r="H13" s="1" t="s">
        <v>43</v>
      </c>
      <c r="I13" s="1" t="s">
        <v>5089</v>
      </c>
    </row>
    <row r="14" spans="1:9">
      <c r="A14" s="16" t="s">
        <v>6276</v>
      </c>
      <c r="B14" s="1" t="s">
        <v>2628</v>
      </c>
      <c r="C14" s="1">
        <v>1</v>
      </c>
      <c r="D14" s="1" t="s">
        <v>128</v>
      </c>
      <c r="E14" s="1" t="s">
        <v>10</v>
      </c>
      <c r="F14" s="1" t="s">
        <v>5091</v>
      </c>
      <c r="G14" s="14" t="s">
        <v>6110</v>
      </c>
      <c r="H14" s="1" t="s">
        <v>27</v>
      </c>
      <c r="I14" s="17">
        <v>41499</v>
      </c>
    </row>
    <row r="15" spans="1:9">
      <c r="A15" s="16" t="s">
        <v>5343</v>
      </c>
      <c r="B15" s="1" t="s">
        <v>2628</v>
      </c>
      <c r="C15" s="1">
        <v>1</v>
      </c>
      <c r="D15" s="1" t="s">
        <v>128</v>
      </c>
      <c r="E15" s="1" t="s">
        <v>10</v>
      </c>
      <c r="F15" s="1" t="s">
        <v>2573</v>
      </c>
      <c r="G15" s="14" t="s">
        <v>5071</v>
      </c>
      <c r="H15" s="1" t="s">
        <v>118</v>
      </c>
      <c r="I15" s="17">
        <v>40544</v>
      </c>
    </row>
    <row r="16" spans="1:9">
      <c r="A16" s="16" t="s">
        <v>7882</v>
      </c>
      <c r="B16" s="1" t="s">
        <v>2628</v>
      </c>
      <c r="C16" s="1">
        <v>1</v>
      </c>
      <c r="D16" s="1" t="s">
        <v>128</v>
      </c>
      <c r="E16" s="1" t="s">
        <v>10</v>
      </c>
      <c r="F16" s="1" t="s">
        <v>5091</v>
      </c>
      <c r="G16" s="14" t="s">
        <v>5853</v>
      </c>
      <c r="H16" s="1" t="s">
        <v>27</v>
      </c>
      <c r="I16" s="17">
        <v>41759</v>
      </c>
    </row>
    <row r="17" spans="1:9">
      <c r="A17" s="16" t="s">
        <v>8499</v>
      </c>
      <c r="B17" s="1" t="s">
        <v>2628</v>
      </c>
      <c r="C17" s="1">
        <v>2406</v>
      </c>
      <c r="D17" s="1" t="s">
        <v>128</v>
      </c>
      <c r="E17" s="1" t="s">
        <v>10</v>
      </c>
      <c r="F17" s="1" t="s">
        <v>5091</v>
      </c>
      <c r="G17" s="14" t="s">
        <v>5853</v>
      </c>
      <c r="H17" s="1" t="s">
        <v>27</v>
      </c>
      <c r="I17" s="17">
        <v>41791</v>
      </c>
    </row>
    <row r="18" spans="1:9">
      <c r="A18" s="16" t="s">
        <v>8576</v>
      </c>
      <c r="B18" s="1" t="s">
        <v>2628</v>
      </c>
      <c r="C18" s="1">
        <v>1</v>
      </c>
      <c r="D18" s="1" t="s">
        <v>128</v>
      </c>
      <c r="E18" s="1" t="s">
        <v>10</v>
      </c>
      <c r="F18" s="1" t="s">
        <v>5091</v>
      </c>
      <c r="G18" s="14" t="s">
        <v>5853</v>
      </c>
      <c r="H18" s="1" t="s">
        <v>27</v>
      </c>
      <c r="I18" s="17">
        <v>41821</v>
      </c>
    </row>
    <row r="19" spans="1:9">
      <c r="A19" s="16" t="s">
        <v>8578</v>
      </c>
      <c r="B19" s="1" t="s">
        <v>2628</v>
      </c>
      <c r="C19" s="1">
        <v>1</v>
      </c>
      <c r="D19" s="1" t="s">
        <v>128</v>
      </c>
      <c r="E19" s="1" t="s">
        <v>10</v>
      </c>
      <c r="F19" s="1" t="s">
        <v>5091</v>
      </c>
      <c r="G19" s="14" t="s">
        <v>5853</v>
      </c>
      <c r="H19" s="1" t="s">
        <v>27</v>
      </c>
      <c r="I19" s="1" t="s">
        <v>4458</v>
      </c>
    </row>
    <row r="20" spans="1:9">
      <c r="A20" s="16" t="s">
        <v>8604</v>
      </c>
      <c r="B20" s="1" t="s">
        <v>2628</v>
      </c>
      <c r="C20" s="1">
        <v>1</v>
      </c>
      <c r="D20" s="1" t="s">
        <v>128</v>
      </c>
      <c r="E20" s="1" t="s">
        <v>10</v>
      </c>
      <c r="F20" s="1" t="s">
        <v>5091</v>
      </c>
      <c r="G20" s="14" t="s">
        <v>5853</v>
      </c>
      <c r="H20" s="1" t="s">
        <v>27</v>
      </c>
      <c r="I20" s="17">
        <v>41852</v>
      </c>
    </row>
    <row r="21" spans="1:9">
      <c r="A21" s="19" t="s">
        <v>5451</v>
      </c>
      <c r="B21" s="13" t="s">
        <v>16952</v>
      </c>
      <c r="C21" s="13">
        <v>1</v>
      </c>
      <c r="D21" s="13" t="s">
        <v>128</v>
      </c>
      <c r="E21" s="13" t="s">
        <v>10</v>
      </c>
      <c r="F21" s="13" t="s">
        <v>588</v>
      </c>
      <c r="G21" s="20" t="s">
        <v>4800</v>
      </c>
      <c r="H21" s="13" t="s">
        <v>27</v>
      </c>
      <c r="I21" s="18">
        <v>42620</v>
      </c>
    </row>
    <row r="22" spans="1:9">
      <c r="A22" s="16" t="s">
        <v>8996</v>
      </c>
      <c r="B22" s="1" t="s">
        <v>2628</v>
      </c>
      <c r="C22" s="1">
        <v>1</v>
      </c>
      <c r="D22" s="1" t="s">
        <v>128</v>
      </c>
      <c r="E22" s="1" t="s">
        <v>10</v>
      </c>
      <c r="F22" s="1" t="s">
        <v>5091</v>
      </c>
      <c r="G22" s="14" t="s">
        <v>5853</v>
      </c>
      <c r="H22" s="1" t="s">
        <v>27</v>
      </c>
      <c r="I22" s="17">
        <v>42036</v>
      </c>
    </row>
    <row r="23" spans="1:9">
      <c r="A23" s="16" t="s">
        <v>9532</v>
      </c>
      <c r="B23" s="1" t="s">
        <v>2628</v>
      </c>
      <c r="C23" s="1">
        <v>1</v>
      </c>
      <c r="D23" s="1" t="s">
        <v>128</v>
      </c>
      <c r="E23" s="1" t="s">
        <v>10</v>
      </c>
      <c r="F23" s="1" t="s">
        <v>5091</v>
      </c>
      <c r="G23" s="14" t="s">
        <v>5853</v>
      </c>
      <c r="H23" s="1" t="s">
        <v>27</v>
      </c>
      <c r="I23" s="17">
        <v>42248</v>
      </c>
    </row>
    <row r="24" spans="1:9">
      <c r="A24" s="16" t="s">
        <v>9878</v>
      </c>
      <c r="B24" s="1" t="s">
        <v>2628</v>
      </c>
      <c r="C24" s="1">
        <v>1</v>
      </c>
      <c r="D24" s="1" t="s">
        <v>128</v>
      </c>
      <c r="E24" s="1" t="s">
        <v>10</v>
      </c>
      <c r="F24" s="1" t="s">
        <v>5091</v>
      </c>
      <c r="G24" s="14" t="s">
        <v>5853</v>
      </c>
      <c r="H24" s="1" t="s">
        <v>27</v>
      </c>
      <c r="I24" s="17">
        <v>42248</v>
      </c>
    </row>
    <row r="25" spans="1:9">
      <c r="A25" s="16" t="s">
        <v>11290</v>
      </c>
      <c r="B25" s="1" t="s">
        <v>2628</v>
      </c>
      <c r="C25" s="1">
        <v>1</v>
      </c>
      <c r="D25" s="1" t="s">
        <v>128</v>
      </c>
      <c r="E25" s="1" t="s">
        <v>10</v>
      </c>
      <c r="F25" s="1" t="s">
        <v>5091</v>
      </c>
      <c r="G25" s="14" t="s">
        <v>5853</v>
      </c>
      <c r="H25" s="1" t="s">
        <v>27</v>
      </c>
      <c r="I25" s="17">
        <v>42522</v>
      </c>
    </row>
    <row r="26" spans="1:9">
      <c r="A26" s="16" t="s">
        <v>11397</v>
      </c>
      <c r="B26" s="1" t="s">
        <v>2628</v>
      </c>
      <c r="C26" s="1">
        <v>1</v>
      </c>
      <c r="D26" s="1" t="s">
        <v>128</v>
      </c>
      <c r="E26" s="1" t="s">
        <v>10</v>
      </c>
      <c r="F26" s="1" t="s">
        <v>5091</v>
      </c>
      <c r="G26" s="14" t="s">
        <v>5853</v>
      </c>
      <c r="H26" s="1" t="s">
        <v>27</v>
      </c>
      <c r="I26" s="17">
        <v>42522</v>
      </c>
    </row>
    <row r="27" spans="1:9">
      <c r="A27" s="16" t="s">
        <v>11662</v>
      </c>
      <c r="B27" s="1" t="s">
        <v>2628</v>
      </c>
      <c r="C27" s="1">
        <v>1</v>
      </c>
      <c r="D27" s="1" t="s">
        <v>128</v>
      </c>
      <c r="E27" s="1" t="s">
        <v>10</v>
      </c>
      <c r="F27" s="1" t="s">
        <v>5091</v>
      </c>
      <c r="G27" s="14" t="s">
        <v>5853</v>
      </c>
      <c r="H27" s="1" t="s">
        <v>27</v>
      </c>
      <c r="I27" s="17">
        <v>42614</v>
      </c>
    </row>
    <row r="28" spans="1:9">
      <c r="A28" s="16" t="s">
        <v>13317</v>
      </c>
      <c r="B28" s="1" t="s">
        <v>2628</v>
      </c>
      <c r="C28" s="1">
        <v>1</v>
      </c>
      <c r="D28" s="1" t="s">
        <v>128</v>
      </c>
      <c r="E28" s="1" t="s">
        <v>10</v>
      </c>
      <c r="F28" s="1" t="s">
        <v>5091</v>
      </c>
      <c r="G28" s="14" t="s">
        <v>5853</v>
      </c>
      <c r="H28" s="1" t="s">
        <v>27</v>
      </c>
      <c r="I28" s="17">
        <v>42917</v>
      </c>
    </row>
    <row r="29" spans="1:9">
      <c r="A29" s="21" t="s">
        <v>5504</v>
      </c>
      <c r="B29" s="13" t="s">
        <v>16953</v>
      </c>
      <c r="C29" s="13">
        <v>155</v>
      </c>
      <c r="D29" s="13" t="s">
        <v>128</v>
      </c>
      <c r="E29" s="13" t="s">
        <v>10</v>
      </c>
      <c r="F29" s="13" t="s">
        <v>2699</v>
      </c>
      <c r="G29" s="13" t="s">
        <v>4800</v>
      </c>
      <c r="H29" s="13" t="s">
        <v>27</v>
      </c>
      <c r="I29" s="18">
        <v>40179</v>
      </c>
    </row>
    <row r="30" spans="1:9">
      <c r="A30" s="16" t="s">
        <v>13933</v>
      </c>
      <c r="B30" s="1" t="s">
        <v>2628</v>
      </c>
      <c r="C30" s="1">
        <v>1</v>
      </c>
      <c r="D30" s="1" t="s">
        <v>128</v>
      </c>
      <c r="E30" s="1" t="s">
        <v>10</v>
      </c>
      <c r="F30" s="1" t="s">
        <v>5091</v>
      </c>
      <c r="G30" s="14" t="s">
        <v>5853</v>
      </c>
      <c r="H30" s="1" t="s">
        <v>27</v>
      </c>
      <c r="I30" s="17">
        <v>43101</v>
      </c>
    </row>
    <row r="31" spans="1:9">
      <c r="A31" s="16" t="s">
        <v>14247</v>
      </c>
      <c r="B31" s="1" t="s">
        <v>2628</v>
      </c>
      <c r="C31" s="1">
        <v>1576</v>
      </c>
      <c r="D31" s="1" t="s">
        <v>128</v>
      </c>
      <c r="E31" s="1" t="s">
        <v>10</v>
      </c>
      <c r="F31" s="1" t="s">
        <v>5241</v>
      </c>
      <c r="G31" s="14" t="s">
        <v>4800</v>
      </c>
      <c r="H31" s="1" t="s">
        <v>27</v>
      </c>
      <c r="I31" s="17">
        <v>42430</v>
      </c>
    </row>
    <row r="32" spans="1:9">
      <c r="A32" s="7" t="s">
        <v>14436</v>
      </c>
      <c r="B32" s="2" t="s">
        <v>2628</v>
      </c>
      <c r="C32" s="1">
        <v>1</v>
      </c>
      <c r="D32" s="1" t="s">
        <v>128</v>
      </c>
      <c r="E32" s="1" t="s">
        <v>10</v>
      </c>
      <c r="F32" s="2" t="s">
        <v>118</v>
      </c>
      <c r="G32" s="14" t="s">
        <v>4800</v>
      </c>
      <c r="H32" s="1" t="s">
        <v>27</v>
      </c>
      <c r="I32" s="1" t="s">
        <v>5659</v>
      </c>
    </row>
    <row r="33" spans="1:9">
      <c r="A33" s="16" t="s">
        <v>14791</v>
      </c>
      <c r="B33" s="1" t="s">
        <v>2628</v>
      </c>
      <c r="C33" s="1">
        <v>1</v>
      </c>
      <c r="D33" s="1" t="s">
        <v>128</v>
      </c>
      <c r="E33" s="1" t="s">
        <v>10</v>
      </c>
      <c r="F33" s="1" t="s">
        <v>5091</v>
      </c>
      <c r="G33" s="14" t="s">
        <v>5853</v>
      </c>
      <c r="H33" s="1" t="s">
        <v>27</v>
      </c>
      <c r="I33" s="17">
        <v>43313</v>
      </c>
    </row>
    <row r="34" spans="1:9">
      <c r="A34" s="16" t="s">
        <v>15400</v>
      </c>
      <c r="B34" s="1" t="s">
        <v>2628</v>
      </c>
      <c r="C34" s="1">
        <v>1</v>
      </c>
      <c r="D34" s="1" t="s">
        <v>128</v>
      </c>
      <c r="E34" s="1" t="s">
        <v>10</v>
      </c>
      <c r="F34" s="1" t="s">
        <v>5241</v>
      </c>
      <c r="G34" s="14" t="s">
        <v>4800</v>
      </c>
      <c r="H34" s="1" t="s">
        <v>27</v>
      </c>
      <c r="I34" s="17">
        <v>43313</v>
      </c>
    </row>
    <row r="35" spans="1:9">
      <c r="A35" s="16" t="s">
        <v>15662</v>
      </c>
      <c r="B35" s="1" t="s">
        <v>2628</v>
      </c>
      <c r="C35" s="1">
        <v>1</v>
      </c>
      <c r="D35" s="1" t="s">
        <v>128</v>
      </c>
      <c r="E35" s="1" t="s">
        <v>10</v>
      </c>
      <c r="F35" s="1" t="s">
        <v>5091</v>
      </c>
      <c r="G35" s="14" t="s">
        <v>5853</v>
      </c>
      <c r="H35" s="1" t="s">
        <v>27</v>
      </c>
      <c r="I35" s="17">
        <v>43374</v>
      </c>
    </row>
    <row r="36" spans="1:9">
      <c r="A36" s="16" t="s">
        <v>15664</v>
      </c>
      <c r="B36" s="1" t="s">
        <v>2628</v>
      </c>
      <c r="C36" s="1">
        <v>1</v>
      </c>
      <c r="D36" s="1" t="s">
        <v>128</v>
      </c>
      <c r="E36" s="1" t="s">
        <v>10</v>
      </c>
      <c r="F36" s="1" t="s">
        <v>5091</v>
      </c>
      <c r="G36" s="14" t="s">
        <v>5853</v>
      </c>
      <c r="H36" s="1" t="s">
        <v>27</v>
      </c>
      <c r="I36" s="17">
        <v>43374</v>
      </c>
    </row>
    <row r="37" spans="1:9">
      <c r="A37" s="16" t="s">
        <v>15720</v>
      </c>
      <c r="B37" s="1" t="s">
        <v>2628</v>
      </c>
      <c r="C37" s="1">
        <v>1</v>
      </c>
      <c r="D37" s="1" t="s">
        <v>128</v>
      </c>
      <c r="E37" s="1" t="s">
        <v>10</v>
      </c>
      <c r="F37" s="1" t="s">
        <v>5091</v>
      </c>
      <c r="G37" s="14" t="s">
        <v>5853</v>
      </c>
      <c r="H37" s="1" t="s">
        <v>27</v>
      </c>
      <c r="I37" s="17">
        <v>43374</v>
      </c>
    </row>
    <row r="38" spans="1:9">
      <c r="A38" s="7" t="s">
        <v>16691</v>
      </c>
      <c r="B38" s="2" t="s">
        <v>2628</v>
      </c>
      <c r="C38" s="1">
        <v>1</v>
      </c>
      <c r="D38" s="1" t="s">
        <v>128</v>
      </c>
      <c r="E38" s="1" t="s">
        <v>10</v>
      </c>
      <c r="F38" s="1" t="s">
        <v>5241</v>
      </c>
      <c r="G38" s="14" t="s">
        <v>4800</v>
      </c>
      <c r="H38" s="1" t="s">
        <v>27</v>
      </c>
      <c r="I38" s="1" t="s">
        <v>5807</v>
      </c>
    </row>
    <row r="39" spans="1:9">
      <c r="A39" s="7" t="s">
        <v>16790</v>
      </c>
      <c r="B39" s="2" t="s">
        <v>2628</v>
      </c>
      <c r="C39" s="1">
        <v>1</v>
      </c>
      <c r="D39" s="1" t="s">
        <v>128</v>
      </c>
      <c r="E39" s="1" t="s">
        <v>10</v>
      </c>
      <c r="F39" s="1" t="s">
        <v>5241</v>
      </c>
      <c r="G39" s="14" t="s">
        <v>4800</v>
      </c>
      <c r="H39" s="1" t="s">
        <v>27</v>
      </c>
      <c r="I39" s="1" t="s">
        <v>5807</v>
      </c>
    </row>
    <row r="40" spans="1:9">
      <c r="A40" s="7" t="s">
        <v>5725</v>
      </c>
      <c r="B40" s="2" t="s">
        <v>2631</v>
      </c>
      <c r="C40" s="1">
        <v>1</v>
      </c>
      <c r="D40" s="1" t="s">
        <v>128</v>
      </c>
      <c r="E40" s="1" t="s">
        <v>10</v>
      </c>
      <c r="F40" s="1" t="s">
        <v>139</v>
      </c>
      <c r="G40" s="14" t="s">
        <v>2277</v>
      </c>
      <c r="H40" s="1" t="s">
        <v>5</v>
      </c>
      <c r="I40" s="1" t="s">
        <v>5726</v>
      </c>
    </row>
    <row r="41" spans="1:9">
      <c r="A41" s="7" t="s">
        <v>5728</v>
      </c>
      <c r="B41" s="2" t="s">
        <v>2631</v>
      </c>
      <c r="C41" s="1">
        <v>746</v>
      </c>
      <c r="D41" s="1" t="s">
        <v>128</v>
      </c>
      <c r="E41" s="1" t="s">
        <v>10</v>
      </c>
      <c r="F41" s="1" t="s">
        <v>5091</v>
      </c>
      <c r="G41" s="14" t="s">
        <v>2277</v>
      </c>
      <c r="H41" s="1" t="s">
        <v>5</v>
      </c>
      <c r="I41" s="1" t="s">
        <v>5726</v>
      </c>
    </row>
    <row r="42" spans="1:9">
      <c r="A42" s="7" t="s">
        <v>5741</v>
      </c>
      <c r="B42" s="2" t="s">
        <v>2631</v>
      </c>
      <c r="C42" s="1">
        <v>1</v>
      </c>
      <c r="D42" s="1" t="s">
        <v>128</v>
      </c>
      <c r="E42" s="1" t="s">
        <v>10</v>
      </c>
      <c r="F42" s="1" t="s">
        <v>139</v>
      </c>
      <c r="G42" s="14" t="s">
        <v>2277</v>
      </c>
      <c r="H42" s="1" t="s">
        <v>5</v>
      </c>
      <c r="I42" s="1" t="s">
        <v>5625</v>
      </c>
    </row>
    <row r="43" spans="1:9">
      <c r="A43" s="7" t="s">
        <v>5744</v>
      </c>
      <c r="B43" s="2" t="s">
        <v>2631</v>
      </c>
      <c r="C43" s="1">
        <v>1</v>
      </c>
      <c r="D43" s="1" t="s">
        <v>128</v>
      </c>
      <c r="E43" s="1" t="s">
        <v>10</v>
      </c>
      <c r="F43" s="1" t="s">
        <v>139</v>
      </c>
      <c r="G43" s="14" t="s">
        <v>2277</v>
      </c>
      <c r="H43" s="1" t="s">
        <v>5</v>
      </c>
      <c r="I43" s="1" t="s">
        <v>5625</v>
      </c>
    </row>
    <row r="44" spans="1:9">
      <c r="A44" s="7" t="s">
        <v>5789</v>
      </c>
      <c r="B44" s="2" t="s">
        <v>2631</v>
      </c>
      <c r="C44" s="1">
        <v>1</v>
      </c>
      <c r="D44" s="1" t="s">
        <v>128</v>
      </c>
      <c r="E44" s="1" t="s">
        <v>10</v>
      </c>
      <c r="F44" s="1" t="s">
        <v>588</v>
      </c>
      <c r="G44" s="14" t="s">
        <v>5781</v>
      </c>
      <c r="H44" s="1" t="s">
        <v>5</v>
      </c>
      <c r="I44" s="1" t="s">
        <v>5659</v>
      </c>
    </row>
    <row r="45" spans="1:9">
      <c r="A45" s="7" t="s">
        <v>5790</v>
      </c>
      <c r="B45" s="2" t="s">
        <v>2631</v>
      </c>
      <c r="C45" s="1">
        <v>1</v>
      </c>
      <c r="D45" s="1" t="s">
        <v>128</v>
      </c>
      <c r="E45" s="1" t="s">
        <v>10</v>
      </c>
      <c r="F45" s="1" t="s">
        <v>588</v>
      </c>
      <c r="G45" s="14" t="s">
        <v>5781</v>
      </c>
      <c r="H45" s="1" t="s">
        <v>5</v>
      </c>
      <c r="I45" s="1" t="s">
        <v>5659</v>
      </c>
    </row>
    <row r="46" spans="1:9">
      <c r="A46" s="7" t="s">
        <v>5792</v>
      </c>
      <c r="B46" s="2" t="s">
        <v>2631</v>
      </c>
      <c r="C46" s="1">
        <v>1</v>
      </c>
      <c r="D46" s="1" t="s">
        <v>128</v>
      </c>
      <c r="E46" s="1" t="s">
        <v>10</v>
      </c>
      <c r="F46" s="1" t="s">
        <v>2700</v>
      </c>
      <c r="G46" s="14" t="s">
        <v>1446</v>
      </c>
      <c r="H46" s="1" t="s">
        <v>44</v>
      </c>
      <c r="I46" s="1" t="s">
        <v>5659</v>
      </c>
    </row>
    <row r="47" spans="1:9">
      <c r="A47" s="16" t="s">
        <v>6113</v>
      </c>
      <c r="B47" s="1" t="s">
        <v>2631</v>
      </c>
      <c r="C47" s="1">
        <v>1</v>
      </c>
      <c r="D47" s="1" t="s">
        <v>128</v>
      </c>
      <c r="E47" s="1" t="s">
        <v>10</v>
      </c>
      <c r="F47" s="1" t="s">
        <v>118</v>
      </c>
      <c r="G47" s="14" t="s">
        <v>4458</v>
      </c>
      <c r="H47" s="1" t="s">
        <v>118</v>
      </c>
      <c r="I47" s="1" t="s">
        <v>4792</v>
      </c>
    </row>
    <row r="48" spans="1:9">
      <c r="A48" s="7" t="s">
        <v>6122</v>
      </c>
      <c r="B48" s="1" t="s">
        <v>2629</v>
      </c>
      <c r="C48" s="1">
        <v>1</v>
      </c>
      <c r="D48" s="1" t="s">
        <v>128</v>
      </c>
      <c r="E48" s="1" t="s">
        <v>10</v>
      </c>
      <c r="F48" s="1" t="s">
        <v>118</v>
      </c>
      <c r="G48" s="14" t="s">
        <v>4458</v>
      </c>
      <c r="H48" s="1" t="s">
        <v>118</v>
      </c>
      <c r="I48" s="1" t="s">
        <v>4792</v>
      </c>
    </row>
    <row r="49" spans="1:10">
      <c r="A49" s="7" t="s">
        <v>6166</v>
      </c>
      <c r="B49" s="2" t="s">
        <v>2628</v>
      </c>
      <c r="C49" s="1">
        <v>2415</v>
      </c>
      <c r="D49" s="1" t="s">
        <v>128</v>
      </c>
      <c r="E49" s="1" t="s">
        <v>10</v>
      </c>
      <c r="F49" s="1" t="s">
        <v>5091</v>
      </c>
      <c r="G49" s="14" t="s">
        <v>6167</v>
      </c>
      <c r="H49" s="1" t="s">
        <v>43</v>
      </c>
      <c r="I49" s="1">
        <v>2007</v>
      </c>
    </row>
    <row r="50" spans="1:10">
      <c r="A50" s="7" t="s">
        <v>6191</v>
      </c>
      <c r="B50" s="2" t="s">
        <v>2628</v>
      </c>
      <c r="C50" s="1">
        <v>1</v>
      </c>
      <c r="D50" s="1" t="s">
        <v>128</v>
      </c>
      <c r="E50" s="1" t="s">
        <v>10</v>
      </c>
      <c r="F50" s="1" t="s">
        <v>5091</v>
      </c>
      <c r="G50" s="14" t="s">
        <v>6139</v>
      </c>
      <c r="H50" s="1" t="s">
        <v>43</v>
      </c>
      <c r="I50" s="1" t="s">
        <v>5807</v>
      </c>
    </row>
    <row r="51" spans="1:10">
      <c r="A51" s="7" t="s">
        <v>6205</v>
      </c>
      <c r="B51" s="2" t="s">
        <v>2628</v>
      </c>
      <c r="C51" s="1">
        <v>1</v>
      </c>
      <c r="D51" s="1" t="s">
        <v>128</v>
      </c>
      <c r="E51" s="1" t="s">
        <v>10</v>
      </c>
      <c r="F51" s="1" t="s">
        <v>5091</v>
      </c>
      <c r="G51" s="14" t="s">
        <v>6139</v>
      </c>
      <c r="H51" s="1" t="s">
        <v>43</v>
      </c>
      <c r="I51" s="1" t="s">
        <v>5807</v>
      </c>
    </row>
    <row r="52" spans="1:10">
      <c r="A52" s="16" t="s">
        <v>6277</v>
      </c>
      <c r="B52" s="1" t="s">
        <v>2631</v>
      </c>
      <c r="C52" s="1">
        <v>1</v>
      </c>
      <c r="D52" s="1" t="s">
        <v>128</v>
      </c>
      <c r="E52" s="1" t="s">
        <v>10</v>
      </c>
      <c r="F52" s="1" t="s">
        <v>5091</v>
      </c>
      <c r="G52" s="14" t="s">
        <v>4458</v>
      </c>
      <c r="H52" s="1" t="s">
        <v>118</v>
      </c>
      <c r="I52" s="1" t="s">
        <v>4792</v>
      </c>
    </row>
    <row r="53" spans="1:10">
      <c r="A53" s="7" t="s">
        <v>6280</v>
      </c>
      <c r="B53" s="2" t="s">
        <v>2628</v>
      </c>
      <c r="C53" s="1">
        <v>1</v>
      </c>
      <c r="D53" s="1" t="s">
        <v>128</v>
      </c>
      <c r="E53" s="1" t="s">
        <v>10</v>
      </c>
      <c r="F53" s="1" t="s">
        <v>5091</v>
      </c>
      <c r="G53" s="22" t="s">
        <v>6181</v>
      </c>
      <c r="H53" s="2" t="s">
        <v>118</v>
      </c>
      <c r="I53" s="1" t="s">
        <v>4458</v>
      </c>
    </row>
    <row r="54" spans="1:10">
      <c r="A54" s="7" t="s">
        <v>6360</v>
      </c>
      <c r="B54" s="2" t="s">
        <v>2628</v>
      </c>
      <c r="C54" s="1">
        <v>1</v>
      </c>
      <c r="D54" s="1" t="s">
        <v>128</v>
      </c>
      <c r="E54" s="1" t="s">
        <v>10</v>
      </c>
      <c r="F54" s="1" t="s">
        <v>5091</v>
      </c>
      <c r="G54" s="14" t="s">
        <v>6209</v>
      </c>
      <c r="H54" s="1" t="s">
        <v>43</v>
      </c>
      <c r="I54" s="1" t="s">
        <v>5089</v>
      </c>
    </row>
    <row r="55" spans="1:10">
      <c r="A55" s="7" t="s">
        <v>6383</v>
      </c>
      <c r="B55" s="2" t="s">
        <v>2631</v>
      </c>
      <c r="C55" s="1">
        <v>1</v>
      </c>
      <c r="D55" s="1" t="s">
        <v>128</v>
      </c>
      <c r="E55" s="1" t="s">
        <v>10</v>
      </c>
      <c r="F55" s="1" t="s">
        <v>2691</v>
      </c>
      <c r="G55" s="14" t="s">
        <v>6236</v>
      </c>
      <c r="H55" s="1" t="s">
        <v>43</v>
      </c>
      <c r="I55" s="1" t="s">
        <v>5807</v>
      </c>
    </row>
    <row r="56" spans="1:10">
      <c r="A56" s="7" t="s">
        <v>6385</v>
      </c>
      <c r="B56" s="2" t="s">
        <v>2631</v>
      </c>
      <c r="C56" s="1">
        <v>1</v>
      </c>
      <c r="D56" s="1" t="s">
        <v>128</v>
      </c>
      <c r="E56" s="1" t="s">
        <v>10</v>
      </c>
      <c r="F56" s="1" t="s">
        <v>2691</v>
      </c>
      <c r="G56" s="14" t="s">
        <v>6236</v>
      </c>
      <c r="H56" s="1" t="s">
        <v>43</v>
      </c>
      <c r="I56" s="1" t="s">
        <v>5807</v>
      </c>
    </row>
    <row r="57" spans="1:10">
      <c r="A57" s="7" t="s">
        <v>6819</v>
      </c>
      <c r="B57" s="1" t="s">
        <v>2628</v>
      </c>
      <c r="C57" s="1">
        <v>1</v>
      </c>
      <c r="D57" s="1" t="s">
        <v>128</v>
      </c>
      <c r="E57" s="1" t="s">
        <v>10</v>
      </c>
      <c r="F57" s="1" t="s">
        <v>5091</v>
      </c>
      <c r="G57" s="1" t="s">
        <v>6139</v>
      </c>
      <c r="H57" s="1" t="s">
        <v>43</v>
      </c>
      <c r="I57" s="1" t="s">
        <v>6090</v>
      </c>
      <c r="J57" s="17"/>
    </row>
    <row r="58" spans="1:10">
      <c r="A58" s="7" t="s">
        <v>6820</v>
      </c>
      <c r="B58" s="1" t="s">
        <v>2628</v>
      </c>
      <c r="C58" s="1">
        <v>1</v>
      </c>
      <c r="D58" s="1" t="s">
        <v>128</v>
      </c>
      <c r="E58" s="1" t="s">
        <v>10</v>
      </c>
      <c r="F58" s="1" t="s">
        <v>5091</v>
      </c>
      <c r="G58" s="1" t="s">
        <v>6139</v>
      </c>
      <c r="H58" s="1" t="s">
        <v>43</v>
      </c>
      <c r="I58" s="1" t="s">
        <v>6090</v>
      </c>
      <c r="J58" s="17"/>
    </row>
    <row r="59" spans="1:10">
      <c r="A59" s="7" t="s">
        <v>6821</v>
      </c>
      <c r="B59" s="1" t="s">
        <v>2628</v>
      </c>
      <c r="C59" s="1">
        <v>1</v>
      </c>
      <c r="D59" s="1" t="s">
        <v>128</v>
      </c>
      <c r="E59" s="1" t="s">
        <v>10</v>
      </c>
      <c r="F59" s="1" t="s">
        <v>5091</v>
      </c>
      <c r="G59" s="1" t="s">
        <v>6139</v>
      </c>
      <c r="H59" s="1" t="s">
        <v>43</v>
      </c>
      <c r="I59" s="1" t="s">
        <v>6090</v>
      </c>
      <c r="J59" s="17"/>
    </row>
    <row r="60" spans="1:10">
      <c r="A60" s="7" t="s">
        <v>6910</v>
      </c>
      <c r="B60" s="1" t="s">
        <v>2628</v>
      </c>
      <c r="C60" s="1">
        <v>1</v>
      </c>
      <c r="D60" s="1" t="s">
        <v>128</v>
      </c>
      <c r="E60" s="1" t="s">
        <v>10</v>
      </c>
      <c r="F60" s="1" t="s">
        <v>5091</v>
      </c>
      <c r="G60" s="1" t="s">
        <v>6181</v>
      </c>
      <c r="H60" s="1" t="s">
        <v>118</v>
      </c>
      <c r="I60" s="1" t="s">
        <v>4458</v>
      </c>
    </row>
    <row r="61" spans="1:10">
      <c r="A61" s="7" t="s">
        <v>6930</v>
      </c>
      <c r="B61" s="1" t="s">
        <v>2631</v>
      </c>
      <c r="C61" s="1">
        <v>1</v>
      </c>
      <c r="D61" s="1" t="s">
        <v>128</v>
      </c>
      <c r="E61" s="1" t="s">
        <v>10</v>
      </c>
      <c r="F61" s="1" t="s">
        <v>5241</v>
      </c>
      <c r="G61" s="1" t="s">
        <v>4803</v>
      </c>
      <c r="H61" s="1" t="s">
        <v>5</v>
      </c>
      <c r="I61" s="1" t="s">
        <v>6844</v>
      </c>
      <c r="J61" s="17"/>
    </row>
    <row r="62" spans="1:10">
      <c r="A62" s="7" t="s">
        <v>6940</v>
      </c>
      <c r="B62" s="1" t="s">
        <v>2631</v>
      </c>
      <c r="C62" s="1">
        <v>1</v>
      </c>
      <c r="D62" s="1" t="s">
        <v>128</v>
      </c>
      <c r="E62" s="1" t="s">
        <v>10</v>
      </c>
      <c r="F62" s="1" t="s">
        <v>5241</v>
      </c>
      <c r="G62" s="1" t="s">
        <v>4803</v>
      </c>
      <c r="H62" s="1" t="s">
        <v>5</v>
      </c>
      <c r="I62" s="1" t="s">
        <v>5659</v>
      </c>
      <c r="J62" s="17"/>
    </row>
    <row r="63" spans="1:10">
      <c r="A63" s="16" t="s">
        <v>7392</v>
      </c>
      <c r="B63" s="1" t="s">
        <v>2628</v>
      </c>
      <c r="C63" s="1">
        <v>1</v>
      </c>
      <c r="D63" s="1" t="s">
        <v>128</v>
      </c>
      <c r="E63" s="1" t="s">
        <v>10</v>
      </c>
      <c r="F63" s="1" t="s">
        <v>5091</v>
      </c>
      <c r="G63" s="14" t="s">
        <v>118</v>
      </c>
      <c r="H63" s="1" t="s">
        <v>118</v>
      </c>
      <c r="I63" s="17">
        <v>41699</v>
      </c>
    </row>
    <row r="64" spans="1:10">
      <c r="A64" s="7" t="s">
        <v>7467</v>
      </c>
      <c r="B64" s="1" t="s">
        <v>2628</v>
      </c>
      <c r="C64" s="1">
        <v>1</v>
      </c>
      <c r="D64" s="1" t="s">
        <v>128</v>
      </c>
      <c r="E64" s="1" t="s">
        <v>10</v>
      </c>
      <c r="F64" s="1" t="s">
        <v>5091</v>
      </c>
      <c r="G64" s="1" t="s">
        <v>6236</v>
      </c>
      <c r="H64" s="1" t="s">
        <v>43</v>
      </c>
      <c r="I64" s="1" t="s">
        <v>6090</v>
      </c>
      <c r="J64" s="17"/>
    </row>
    <row r="65" spans="1:10">
      <c r="A65" s="7" t="s">
        <v>7468</v>
      </c>
      <c r="B65" s="1" t="s">
        <v>2628</v>
      </c>
      <c r="C65" s="1">
        <v>1</v>
      </c>
      <c r="D65" s="1" t="s">
        <v>128</v>
      </c>
      <c r="E65" s="1" t="s">
        <v>10</v>
      </c>
      <c r="F65" s="1" t="s">
        <v>5091</v>
      </c>
      <c r="G65" s="1" t="s">
        <v>6236</v>
      </c>
      <c r="H65" s="1" t="s">
        <v>43</v>
      </c>
      <c r="I65" s="1" t="s">
        <v>6090</v>
      </c>
      <c r="J65" s="17"/>
    </row>
    <row r="66" spans="1:10">
      <c r="A66" s="7" t="s">
        <v>7553</v>
      </c>
      <c r="B66" s="1" t="s">
        <v>2628</v>
      </c>
      <c r="C66" s="1">
        <v>1</v>
      </c>
      <c r="D66" s="1" t="s">
        <v>128</v>
      </c>
      <c r="E66" s="1" t="s">
        <v>10</v>
      </c>
      <c r="F66" s="1" t="s">
        <v>5091</v>
      </c>
      <c r="G66" s="1" t="s">
        <v>6181</v>
      </c>
      <c r="H66" s="1" t="s">
        <v>118</v>
      </c>
      <c r="I66" s="1" t="s">
        <v>4458</v>
      </c>
    </row>
    <row r="67" spans="1:10">
      <c r="A67" s="7" t="s">
        <v>7621</v>
      </c>
      <c r="B67" s="1" t="s">
        <v>2628</v>
      </c>
      <c r="C67" s="1">
        <v>1</v>
      </c>
      <c r="D67" s="1" t="s">
        <v>128</v>
      </c>
      <c r="E67" s="1" t="s">
        <v>10</v>
      </c>
      <c r="F67" s="1" t="s">
        <v>5091</v>
      </c>
      <c r="G67" s="1" t="s">
        <v>6181</v>
      </c>
      <c r="H67" s="1" t="s">
        <v>118</v>
      </c>
      <c r="I67" s="1" t="s">
        <v>4458</v>
      </c>
    </row>
    <row r="68" spans="1:10">
      <c r="A68" s="7" t="s">
        <v>8062</v>
      </c>
      <c r="B68" s="1" t="s">
        <v>2628</v>
      </c>
      <c r="C68" s="1">
        <v>1</v>
      </c>
      <c r="D68" s="1" t="s">
        <v>128</v>
      </c>
      <c r="E68" s="1" t="s">
        <v>10</v>
      </c>
      <c r="F68" s="1" t="s">
        <v>5091</v>
      </c>
      <c r="G68" s="1" t="s">
        <v>8051</v>
      </c>
      <c r="H68" s="1" t="s">
        <v>43</v>
      </c>
      <c r="I68" s="1" t="s">
        <v>5722</v>
      </c>
    </row>
    <row r="69" spans="1:10">
      <c r="A69" s="7" t="s">
        <v>8089</v>
      </c>
      <c r="B69" s="1" t="s">
        <v>2628</v>
      </c>
      <c r="C69" s="1">
        <v>1</v>
      </c>
      <c r="D69" s="1" t="s">
        <v>128</v>
      </c>
      <c r="E69" s="1" t="s">
        <v>10</v>
      </c>
      <c r="F69" s="1" t="s">
        <v>5091</v>
      </c>
      <c r="G69" s="1" t="s">
        <v>6181</v>
      </c>
      <c r="H69" s="1" t="s">
        <v>118</v>
      </c>
      <c r="I69" s="1" t="s">
        <v>4458</v>
      </c>
    </row>
    <row r="70" spans="1:10">
      <c r="A70" s="7" t="s">
        <v>8092</v>
      </c>
      <c r="B70" s="1" t="s">
        <v>2628</v>
      </c>
      <c r="C70" s="1">
        <v>1</v>
      </c>
      <c r="D70" s="1" t="s">
        <v>128</v>
      </c>
      <c r="E70" s="1" t="s">
        <v>10</v>
      </c>
      <c r="F70" s="1" t="s">
        <v>5241</v>
      </c>
      <c r="G70" s="1" t="s">
        <v>4803</v>
      </c>
      <c r="H70" s="1" t="s">
        <v>5</v>
      </c>
      <c r="I70" s="1" t="s">
        <v>6090</v>
      </c>
      <c r="J70" s="17"/>
    </row>
    <row r="71" spans="1:10">
      <c r="A71" s="7" t="s">
        <v>8221</v>
      </c>
      <c r="B71" s="1" t="s">
        <v>2628</v>
      </c>
      <c r="C71" s="1">
        <v>1</v>
      </c>
      <c r="D71" s="1" t="s">
        <v>128</v>
      </c>
      <c r="E71" s="1" t="s">
        <v>10</v>
      </c>
      <c r="F71" s="1" t="s">
        <v>8219</v>
      </c>
      <c r="G71" s="1" t="s">
        <v>8220</v>
      </c>
      <c r="H71" s="1" t="s">
        <v>5</v>
      </c>
      <c r="I71" s="1" t="s">
        <v>5807</v>
      </c>
      <c r="J71" s="17"/>
    </row>
    <row r="72" spans="1:10">
      <c r="A72" s="7" t="s">
        <v>8222</v>
      </c>
      <c r="B72" s="1" t="s">
        <v>2628</v>
      </c>
      <c r="C72" s="1">
        <v>1</v>
      </c>
      <c r="D72" s="1" t="s">
        <v>128</v>
      </c>
      <c r="E72" s="1" t="s">
        <v>10</v>
      </c>
      <c r="F72" s="1" t="s">
        <v>8219</v>
      </c>
      <c r="G72" s="1" t="s">
        <v>8220</v>
      </c>
      <c r="H72" s="1" t="s">
        <v>5</v>
      </c>
      <c r="I72" s="1" t="s">
        <v>5807</v>
      </c>
      <c r="J72" s="17"/>
    </row>
    <row r="73" spans="1:10">
      <c r="A73" s="7" t="s">
        <v>8238</v>
      </c>
      <c r="B73" s="1" t="s">
        <v>2631</v>
      </c>
      <c r="C73" s="1">
        <v>876</v>
      </c>
      <c r="D73" s="1" t="s">
        <v>128</v>
      </c>
      <c r="E73" s="1" t="s">
        <v>10</v>
      </c>
      <c r="F73" s="1" t="s">
        <v>2701</v>
      </c>
      <c r="G73" s="1" t="s">
        <v>8239</v>
      </c>
      <c r="H73" s="1" t="s">
        <v>5</v>
      </c>
      <c r="I73" s="1">
        <v>2016</v>
      </c>
    </row>
    <row r="74" spans="1:10">
      <c r="A74" s="16" t="s">
        <v>8542</v>
      </c>
      <c r="B74" s="1" t="s">
        <v>2628</v>
      </c>
      <c r="C74" s="1">
        <v>1</v>
      </c>
      <c r="D74" s="1" t="s">
        <v>128</v>
      </c>
      <c r="E74" s="1" t="s">
        <v>10</v>
      </c>
      <c r="F74" s="1" t="s">
        <v>5091</v>
      </c>
      <c r="G74" s="14" t="s">
        <v>8543</v>
      </c>
      <c r="H74" s="1" t="s">
        <v>5</v>
      </c>
      <c r="I74" s="17">
        <v>41640</v>
      </c>
    </row>
    <row r="75" spans="1:10">
      <c r="A75" s="16" t="s">
        <v>8700</v>
      </c>
      <c r="B75" s="1" t="s">
        <v>2628</v>
      </c>
      <c r="C75" s="1">
        <v>1</v>
      </c>
      <c r="D75" s="1" t="s">
        <v>128</v>
      </c>
      <c r="E75" s="1" t="s">
        <v>10</v>
      </c>
      <c r="F75" s="1" t="s">
        <v>5091</v>
      </c>
      <c r="G75" s="14" t="s">
        <v>8701</v>
      </c>
      <c r="H75" s="1" t="s">
        <v>43</v>
      </c>
      <c r="I75" s="17">
        <v>41640</v>
      </c>
    </row>
    <row r="76" spans="1:10">
      <c r="A76" s="16" t="s">
        <v>8702</v>
      </c>
      <c r="B76" s="1" t="s">
        <v>2628</v>
      </c>
      <c r="C76" s="1">
        <v>1</v>
      </c>
      <c r="D76" s="1" t="s">
        <v>128</v>
      </c>
      <c r="E76" s="1" t="s">
        <v>10</v>
      </c>
      <c r="F76" s="1" t="s">
        <v>5091</v>
      </c>
      <c r="G76" s="14" t="s">
        <v>8699</v>
      </c>
      <c r="H76" s="1" t="s">
        <v>43</v>
      </c>
      <c r="I76" s="17">
        <v>41640</v>
      </c>
    </row>
    <row r="77" spans="1:10">
      <c r="A77" s="16" t="s">
        <v>8711</v>
      </c>
      <c r="B77" s="1" t="s">
        <v>2628</v>
      </c>
      <c r="C77" s="1">
        <v>1</v>
      </c>
      <c r="D77" s="1" t="s">
        <v>128</v>
      </c>
      <c r="E77" s="1" t="s">
        <v>10</v>
      </c>
      <c r="F77" s="1" t="s">
        <v>5091</v>
      </c>
      <c r="G77" s="14" t="s">
        <v>8701</v>
      </c>
      <c r="H77" s="1" t="s">
        <v>43</v>
      </c>
      <c r="I77" s="17">
        <v>41640</v>
      </c>
    </row>
    <row r="78" spans="1:10">
      <c r="A78" s="16" t="s">
        <v>8742</v>
      </c>
      <c r="B78" s="1" t="s">
        <v>2628</v>
      </c>
      <c r="C78" s="1">
        <v>1</v>
      </c>
      <c r="D78" s="1" t="s">
        <v>128</v>
      </c>
      <c r="E78" s="1" t="s">
        <v>10</v>
      </c>
      <c r="F78" s="1" t="s">
        <v>5091</v>
      </c>
      <c r="G78" s="14" t="s">
        <v>6145</v>
      </c>
      <c r="H78" s="1" t="s">
        <v>43</v>
      </c>
      <c r="I78" s="17">
        <v>41891</v>
      </c>
    </row>
    <row r="79" spans="1:10">
      <c r="A79" s="16" t="s">
        <v>9310</v>
      </c>
      <c r="B79" s="1" t="s">
        <v>2628</v>
      </c>
      <c r="C79" s="1">
        <v>1</v>
      </c>
      <c r="D79" s="1" t="s">
        <v>128</v>
      </c>
      <c r="E79" s="1" t="s">
        <v>10</v>
      </c>
      <c r="F79" s="1" t="s">
        <v>5091</v>
      </c>
      <c r="G79" s="14" t="s">
        <v>6145</v>
      </c>
      <c r="H79" s="1" t="s">
        <v>43</v>
      </c>
      <c r="I79" s="17">
        <v>42193</v>
      </c>
    </row>
    <row r="80" spans="1:10">
      <c r="A80" s="16" t="s">
        <v>9311</v>
      </c>
      <c r="B80" s="1" t="s">
        <v>2628</v>
      </c>
      <c r="C80" s="1">
        <v>1</v>
      </c>
      <c r="D80" s="1" t="s">
        <v>128</v>
      </c>
      <c r="E80" s="1" t="s">
        <v>10</v>
      </c>
      <c r="F80" s="1" t="s">
        <v>5091</v>
      </c>
      <c r="G80" s="14" t="s">
        <v>6145</v>
      </c>
      <c r="H80" s="1" t="s">
        <v>43</v>
      </c>
      <c r="I80" s="17">
        <v>42193</v>
      </c>
    </row>
    <row r="81" spans="1:9">
      <c r="A81" s="16" t="s">
        <v>9312</v>
      </c>
      <c r="B81" s="1" t="s">
        <v>2628</v>
      </c>
      <c r="C81" s="1">
        <v>1</v>
      </c>
      <c r="D81" s="1" t="s">
        <v>128</v>
      </c>
      <c r="E81" s="1" t="s">
        <v>10</v>
      </c>
      <c r="F81" s="1" t="s">
        <v>5091</v>
      </c>
      <c r="G81" s="14" t="s">
        <v>6145</v>
      </c>
      <c r="H81" s="1" t="s">
        <v>43</v>
      </c>
      <c r="I81" s="17">
        <v>42193</v>
      </c>
    </row>
    <row r="82" spans="1:9">
      <c r="A82" s="16" t="s">
        <v>9313</v>
      </c>
      <c r="B82" s="1" t="s">
        <v>2628</v>
      </c>
      <c r="C82" s="1">
        <v>1</v>
      </c>
      <c r="D82" s="1" t="s">
        <v>128</v>
      </c>
      <c r="E82" s="1" t="s">
        <v>10</v>
      </c>
      <c r="F82" s="1" t="s">
        <v>5091</v>
      </c>
      <c r="G82" s="14" t="s">
        <v>6145</v>
      </c>
      <c r="H82" s="1" t="s">
        <v>43</v>
      </c>
      <c r="I82" s="17">
        <v>42193</v>
      </c>
    </row>
    <row r="83" spans="1:9">
      <c r="A83" s="16" t="s">
        <v>9316</v>
      </c>
      <c r="B83" s="1" t="s">
        <v>2628</v>
      </c>
      <c r="C83" s="1">
        <v>1</v>
      </c>
      <c r="D83" s="1" t="s">
        <v>128</v>
      </c>
      <c r="E83" s="1" t="s">
        <v>10</v>
      </c>
      <c r="F83" s="1" t="s">
        <v>5091</v>
      </c>
      <c r="G83" s="14" t="s">
        <v>6145</v>
      </c>
      <c r="H83" s="1" t="s">
        <v>43</v>
      </c>
      <c r="I83" s="17">
        <v>42193</v>
      </c>
    </row>
    <row r="84" spans="1:9">
      <c r="A84" s="16" t="s">
        <v>9317</v>
      </c>
      <c r="B84" s="1" t="s">
        <v>2628</v>
      </c>
      <c r="C84" s="1">
        <v>1</v>
      </c>
      <c r="D84" s="1" t="s">
        <v>128</v>
      </c>
      <c r="E84" s="1" t="s">
        <v>10</v>
      </c>
      <c r="F84" s="1" t="s">
        <v>5091</v>
      </c>
      <c r="G84" s="14" t="s">
        <v>6145</v>
      </c>
      <c r="H84" s="1" t="s">
        <v>43</v>
      </c>
      <c r="I84" s="17">
        <v>42193</v>
      </c>
    </row>
    <row r="85" spans="1:9">
      <c r="A85" s="16" t="s">
        <v>9318</v>
      </c>
      <c r="B85" s="1" t="s">
        <v>2628</v>
      </c>
      <c r="C85" s="1">
        <v>1</v>
      </c>
      <c r="D85" s="1" t="s">
        <v>128</v>
      </c>
      <c r="E85" s="1" t="s">
        <v>10</v>
      </c>
      <c r="F85" s="1" t="s">
        <v>5091</v>
      </c>
      <c r="G85" s="14" t="s">
        <v>6145</v>
      </c>
      <c r="H85" s="1" t="s">
        <v>43</v>
      </c>
      <c r="I85" s="17">
        <v>42193</v>
      </c>
    </row>
    <row r="86" spans="1:9">
      <c r="A86" s="16" t="s">
        <v>9320</v>
      </c>
      <c r="B86" s="1" t="s">
        <v>2628</v>
      </c>
      <c r="C86" s="1">
        <v>1</v>
      </c>
      <c r="D86" s="1" t="s">
        <v>128</v>
      </c>
      <c r="E86" s="1" t="s">
        <v>10</v>
      </c>
      <c r="F86" s="1" t="s">
        <v>5091</v>
      </c>
      <c r="G86" s="14" t="s">
        <v>6145</v>
      </c>
      <c r="H86" s="1" t="s">
        <v>43</v>
      </c>
      <c r="I86" s="17">
        <v>42193</v>
      </c>
    </row>
    <row r="87" spans="1:9">
      <c r="A87" s="16" t="s">
        <v>9321</v>
      </c>
      <c r="B87" s="1" t="s">
        <v>2628</v>
      </c>
      <c r="C87" s="1">
        <v>1</v>
      </c>
      <c r="D87" s="1" t="s">
        <v>128</v>
      </c>
      <c r="E87" s="1" t="s">
        <v>10</v>
      </c>
      <c r="F87" s="1" t="s">
        <v>5091</v>
      </c>
      <c r="G87" s="14" t="s">
        <v>6145</v>
      </c>
      <c r="H87" s="1" t="s">
        <v>43</v>
      </c>
      <c r="I87" s="17">
        <v>42193</v>
      </c>
    </row>
    <row r="88" spans="1:9">
      <c r="A88" s="16" t="s">
        <v>9322</v>
      </c>
      <c r="B88" s="1" t="s">
        <v>2628</v>
      </c>
      <c r="C88" s="1">
        <v>1</v>
      </c>
      <c r="D88" s="1" t="s">
        <v>128</v>
      </c>
      <c r="E88" s="1" t="s">
        <v>10</v>
      </c>
      <c r="F88" s="1" t="s">
        <v>5091</v>
      </c>
      <c r="G88" s="14" t="s">
        <v>6145</v>
      </c>
      <c r="H88" s="1" t="s">
        <v>43</v>
      </c>
      <c r="I88" s="17">
        <v>42193</v>
      </c>
    </row>
    <row r="89" spans="1:9">
      <c r="A89" s="16" t="s">
        <v>9323</v>
      </c>
      <c r="B89" s="1" t="s">
        <v>2628</v>
      </c>
      <c r="C89" s="1">
        <v>1</v>
      </c>
      <c r="D89" s="1" t="s">
        <v>128</v>
      </c>
      <c r="E89" s="1" t="s">
        <v>10</v>
      </c>
      <c r="F89" s="1" t="s">
        <v>5091</v>
      </c>
      <c r="G89" s="14" t="s">
        <v>6145</v>
      </c>
      <c r="H89" s="1" t="s">
        <v>43</v>
      </c>
      <c r="I89" s="17">
        <v>42193</v>
      </c>
    </row>
    <row r="90" spans="1:9">
      <c r="A90" s="16" t="s">
        <v>9324</v>
      </c>
      <c r="B90" s="1" t="s">
        <v>2628</v>
      </c>
      <c r="C90" s="1">
        <v>1</v>
      </c>
      <c r="D90" s="1" t="s">
        <v>128</v>
      </c>
      <c r="E90" s="1" t="s">
        <v>10</v>
      </c>
      <c r="F90" s="1" t="s">
        <v>5091</v>
      </c>
      <c r="G90" s="14" t="s">
        <v>6145</v>
      </c>
      <c r="H90" s="1" t="s">
        <v>43</v>
      </c>
      <c r="I90" s="17">
        <v>42193</v>
      </c>
    </row>
    <row r="91" spans="1:9">
      <c r="A91" s="16" t="s">
        <v>9325</v>
      </c>
      <c r="B91" s="1" t="s">
        <v>2628</v>
      </c>
      <c r="C91" s="1">
        <v>1</v>
      </c>
      <c r="D91" s="1" t="s">
        <v>128</v>
      </c>
      <c r="E91" s="1" t="s">
        <v>10</v>
      </c>
      <c r="F91" s="1" t="s">
        <v>5091</v>
      </c>
      <c r="G91" s="14" t="s">
        <v>6145</v>
      </c>
      <c r="H91" s="1" t="s">
        <v>43</v>
      </c>
      <c r="I91" s="17">
        <v>42193</v>
      </c>
    </row>
    <row r="92" spans="1:9">
      <c r="A92" s="16" t="s">
        <v>9326</v>
      </c>
      <c r="B92" s="1" t="s">
        <v>2628</v>
      </c>
      <c r="C92" s="1">
        <v>1</v>
      </c>
      <c r="D92" s="1" t="s">
        <v>128</v>
      </c>
      <c r="E92" s="1" t="s">
        <v>10</v>
      </c>
      <c r="F92" s="1" t="s">
        <v>5091</v>
      </c>
      <c r="G92" s="14" t="s">
        <v>6145</v>
      </c>
      <c r="H92" s="1" t="s">
        <v>43</v>
      </c>
      <c r="I92" s="17">
        <v>42193</v>
      </c>
    </row>
    <row r="93" spans="1:9">
      <c r="A93" s="16" t="s">
        <v>9327</v>
      </c>
      <c r="B93" s="1" t="s">
        <v>2628</v>
      </c>
      <c r="C93" s="1">
        <v>1</v>
      </c>
      <c r="D93" s="1" t="s">
        <v>128</v>
      </c>
      <c r="E93" s="1" t="s">
        <v>10</v>
      </c>
      <c r="F93" s="1" t="s">
        <v>5091</v>
      </c>
      <c r="G93" s="14" t="s">
        <v>6145</v>
      </c>
      <c r="H93" s="1" t="s">
        <v>43</v>
      </c>
      <c r="I93" s="17">
        <v>42193</v>
      </c>
    </row>
    <row r="94" spans="1:9">
      <c r="A94" s="16" t="s">
        <v>9328</v>
      </c>
      <c r="B94" s="1" t="s">
        <v>2628</v>
      </c>
      <c r="C94" s="1">
        <v>1</v>
      </c>
      <c r="D94" s="1" t="s">
        <v>128</v>
      </c>
      <c r="E94" s="1" t="s">
        <v>10</v>
      </c>
      <c r="F94" s="1" t="s">
        <v>5091</v>
      </c>
      <c r="G94" s="14" t="s">
        <v>6145</v>
      </c>
      <c r="H94" s="1" t="s">
        <v>43</v>
      </c>
      <c r="I94" s="17">
        <v>42193</v>
      </c>
    </row>
    <row r="95" spans="1:9">
      <c r="A95" s="16" t="s">
        <v>9330</v>
      </c>
      <c r="B95" s="1" t="s">
        <v>2628</v>
      </c>
      <c r="C95" s="1">
        <v>1</v>
      </c>
      <c r="D95" s="1" t="s">
        <v>128</v>
      </c>
      <c r="E95" s="1" t="s">
        <v>10</v>
      </c>
      <c r="F95" s="1" t="s">
        <v>5091</v>
      </c>
      <c r="G95" s="14" t="s">
        <v>6145</v>
      </c>
      <c r="H95" s="1" t="s">
        <v>43</v>
      </c>
      <c r="I95" s="17">
        <v>42193</v>
      </c>
    </row>
    <row r="96" spans="1:9">
      <c r="A96" s="16" t="s">
        <v>9332</v>
      </c>
      <c r="B96" s="1" t="s">
        <v>2628</v>
      </c>
      <c r="C96" s="1">
        <v>1</v>
      </c>
      <c r="D96" s="1" t="s">
        <v>128</v>
      </c>
      <c r="E96" s="1" t="s">
        <v>10</v>
      </c>
      <c r="F96" s="1" t="s">
        <v>5091</v>
      </c>
      <c r="G96" s="14" t="s">
        <v>6145</v>
      </c>
      <c r="H96" s="1" t="s">
        <v>43</v>
      </c>
      <c r="I96" s="17">
        <v>42193</v>
      </c>
    </row>
    <row r="97" spans="1:9">
      <c r="A97" s="16" t="s">
        <v>9333</v>
      </c>
      <c r="B97" s="1" t="s">
        <v>2628</v>
      </c>
      <c r="C97" s="1">
        <v>1</v>
      </c>
      <c r="D97" s="1" t="s">
        <v>128</v>
      </c>
      <c r="E97" s="1" t="s">
        <v>10</v>
      </c>
      <c r="F97" s="1" t="s">
        <v>5091</v>
      </c>
      <c r="G97" s="14" t="s">
        <v>6145</v>
      </c>
      <c r="H97" s="1" t="s">
        <v>43</v>
      </c>
      <c r="I97" s="17">
        <v>42193</v>
      </c>
    </row>
    <row r="98" spans="1:9">
      <c r="A98" s="16" t="s">
        <v>9334</v>
      </c>
      <c r="B98" s="1" t="s">
        <v>2628</v>
      </c>
      <c r="C98" s="1">
        <v>1</v>
      </c>
      <c r="D98" s="1" t="s">
        <v>128</v>
      </c>
      <c r="E98" s="1" t="s">
        <v>10</v>
      </c>
      <c r="F98" s="1" t="s">
        <v>5091</v>
      </c>
      <c r="G98" s="14" t="s">
        <v>6145</v>
      </c>
      <c r="H98" s="1" t="s">
        <v>43</v>
      </c>
      <c r="I98" s="17">
        <v>42193</v>
      </c>
    </row>
    <row r="99" spans="1:9">
      <c r="A99" s="16" t="s">
        <v>9335</v>
      </c>
      <c r="B99" s="1" t="s">
        <v>2628</v>
      </c>
      <c r="C99" s="1">
        <v>1</v>
      </c>
      <c r="D99" s="1" t="s">
        <v>128</v>
      </c>
      <c r="E99" s="1" t="s">
        <v>10</v>
      </c>
      <c r="F99" s="1" t="s">
        <v>5091</v>
      </c>
      <c r="G99" s="14" t="s">
        <v>6145</v>
      </c>
      <c r="H99" s="1" t="s">
        <v>43</v>
      </c>
      <c r="I99" s="17">
        <v>42193</v>
      </c>
    </row>
    <row r="100" spans="1:9">
      <c r="A100" s="16" t="s">
        <v>9337</v>
      </c>
      <c r="B100" s="1" t="s">
        <v>2628</v>
      </c>
      <c r="C100" s="1">
        <v>1</v>
      </c>
      <c r="D100" s="1" t="s">
        <v>128</v>
      </c>
      <c r="E100" s="1" t="s">
        <v>10</v>
      </c>
      <c r="F100" s="1" t="s">
        <v>5091</v>
      </c>
      <c r="G100" s="14" t="s">
        <v>6145</v>
      </c>
      <c r="H100" s="1" t="s">
        <v>43</v>
      </c>
      <c r="I100" s="17">
        <v>42193</v>
      </c>
    </row>
    <row r="101" spans="1:9">
      <c r="A101" s="16" t="s">
        <v>9340</v>
      </c>
      <c r="B101" s="1" t="s">
        <v>2628</v>
      </c>
      <c r="C101" s="1">
        <v>1</v>
      </c>
      <c r="D101" s="1" t="s">
        <v>128</v>
      </c>
      <c r="E101" s="1" t="s">
        <v>10</v>
      </c>
      <c r="F101" s="1" t="s">
        <v>5091</v>
      </c>
      <c r="G101" s="14" t="s">
        <v>6145</v>
      </c>
      <c r="H101" s="1" t="s">
        <v>43</v>
      </c>
      <c r="I101" s="17">
        <v>42193</v>
      </c>
    </row>
    <row r="102" spans="1:9">
      <c r="A102" s="16" t="s">
        <v>9341</v>
      </c>
      <c r="B102" s="1" t="s">
        <v>2628</v>
      </c>
      <c r="C102" s="1">
        <v>1</v>
      </c>
      <c r="D102" s="1" t="s">
        <v>128</v>
      </c>
      <c r="E102" s="1" t="s">
        <v>10</v>
      </c>
      <c r="F102" s="1" t="s">
        <v>5091</v>
      </c>
      <c r="G102" s="14" t="s">
        <v>6145</v>
      </c>
      <c r="H102" s="1" t="s">
        <v>43</v>
      </c>
      <c r="I102" s="17">
        <v>42193</v>
      </c>
    </row>
    <row r="103" spans="1:9">
      <c r="A103" s="16" t="s">
        <v>9344</v>
      </c>
      <c r="B103" s="1" t="s">
        <v>2628</v>
      </c>
      <c r="C103" s="1">
        <v>1</v>
      </c>
      <c r="D103" s="1" t="s">
        <v>128</v>
      </c>
      <c r="E103" s="1" t="s">
        <v>10</v>
      </c>
      <c r="F103" s="1" t="s">
        <v>5091</v>
      </c>
      <c r="G103" s="14" t="s">
        <v>6145</v>
      </c>
      <c r="H103" s="1" t="s">
        <v>43</v>
      </c>
      <c r="I103" s="17">
        <v>42193</v>
      </c>
    </row>
    <row r="104" spans="1:9">
      <c r="A104" s="16" t="s">
        <v>9354</v>
      </c>
      <c r="B104" s="1" t="s">
        <v>2628</v>
      </c>
      <c r="C104" s="1">
        <v>1</v>
      </c>
      <c r="D104" s="1" t="s">
        <v>128</v>
      </c>
      <c r="E104" s="1" t="s">
        <v>10</v>
      </c>
      <c r="F104" s="1" t="s">
        <v>5091</v>
      </c>
      <c r="G104" s="14" t="s">
        <v>9242</v>
      </c>
      <c r="H104" s="1" t="s">
        <v>5</v>
      </c>
      <c r="I104" s="17">
        <v>42179</v>
      </c>
    </row>
    <row r="105" spans="1:9">
      <c r="A105" s="16" t="s">
        <v>9694</v>
      </c>
      <c r="B105" s="1" t="s">
        <v>2628</v>
      </c>
      <c r="C105" s="1">
        <v>1</v>
      </c>
      <c r="D105" s="1" t="s">
        <v>128</v>
      </c>
      <c r="E105" s="1" t="s">
        <v>10</v>
      </c>
      <c r="F105" s="1" t="s">
        <v>5091</v>
      </c>
      <c r="G105" s="14" t="s">
        <v>6238</v>
      </c>
      <c r="H105" s="1" t="s">
        <v>43</v>
      </c>
      <c r="I105" s="17">
        <v>42005</v>
      </c>
    </row>
    <row r="106" spans="1:9" ht="31.2">
      <c r="A106" s="16" t="s">
        <v>10377</v>
      </c>
      <c r="B106" s="1" t="s">
        <v>2631</v>
      </c>
      <c r="C106" s="1">
        <v>73</v>
      </c>
      <c r="D106" s="1" t="s">
        <v>128</v>
      </c>
      <c r="E106" s="1" t="s">
        <v>10</v>
      </c>
      <c r="F106" s="1" t="s">
        <v>139</v>
      </c>
      <c r="G106" s="1" t="s">
        <v>10378</v>
      </c>
      <c r="H106" s="1" t="s">
        <v>5</v>
      </c>
      <c r="I106" s="17">
        <v>37622</v>
      </c>
    </row>
    <row r="107" spans="1:9">
      <c r="A107" s="16" t="s">
        <v>10427</v>
      </c>
      <c r="B107" s="1" t="s">
        <v>2628</v>
      </c>
      <c r="C107" s="1">
        <v>1</v>
      </c>
      <c r="D107" s="1" t="s">
        <v>128</v>
      </c>
      <c r="E107" s="1" t="s">
        <v>10</v>
      </c>
      <c r="F107" s="1" t="s">
        <v>5091</v>
      </c>
      <c r="G107" s="14" t="s">
        <v>10428</v>
      </c>
      <c r="H107" s="1" t="s">
        <v>5</v>
      </c>
      <c r="I107" s="17">
        <v>39623</v>
      </c>
    </row>
    <row r="108" spans="1:9">
      <c r="A108" s="16" t="s">
        <v>10638</v>
      </c>
      <c r="B108" s="1" t="s">
        <v>2628</v>
      </c>
      <c r="C108" s="1">
        <v>1</v>
      </c>
      <c r="D108" s="1" t="s">
        <v>128</v>
      </c>
      <c r="E108" s="1" t="s">
        <v>10</v>
      </c>
      <c r="F108" s="1" t="s">
        <v>139</v>
      </c>
      <c r="G108" s="14" t="s">
        <v>1475</v>
      </c>
      <c r="H108" s="1" t="s">
        <v>5</v>
      </c>
      <c r="I108" s="17">
        <v>41852</v>
      </c>
    </row>
    <row r="109" spans="1:9">
      <c r="A109" s="16" t="s">
        <v>10761</v>
      </c>
      <c r="B109" s="1" t="s">
        <v>2628</v>
      </c>
      <c r="C109" s="1">
        <v>1</v>
      </c>
      <c r="D109" s="1" t="s">
        <v>128</v>
      </c>
      <c r="E109" s="1" t="s">
        <v>10</v>
      </c>
      <c r="F109" s="1" t="s">
        <v>5091</v>
      </c>
      <c r="G109" s="14" t="s">
        <v>6145</v>
      </c>
      <c r="H109" s="1" t="s">
        <v>43</v>
      </c>
      <c r="I109" s="17">
        <v>42211</v>
      </c>
    </row>
    <row r="110" spans="1:9">
      <c r="A110" s="16" t="s">
        <v>10762</v>
      </c>
      <c r="B110" s="1" t="s">
        <v>2628</v>
      </c>
      <c r="C110" s="1">
        <v>1</v>
      </c>
      <c r="D110" s="1" t="s">
        <v>128</v>
      </c>
      <c r="E110" s="1" t="s">
        <v>10</v>
      </c>
      <c r="F110" s="1" t="s">
        <v>5091</v>
      </c>
      <c r="G110" s="14" t="s">
        <v>6145</v>
      </c>
      <c r="H110" s="1" t="s">
        <v>43</v>
      </c>
      <c r="I110" s="17">
        <v>42211</v>
      </c>
    </row>
    <row r="111" spans="1:9">
      <c r="A111" s="16" t="s">
        <v>10763</v>
      </c>
      <c r="B111" s="1" t="s">
        <v>2628</v>
      </c>
      <c r="C111" s="1">
        <v>1</v>
      </c>
      <c r="D111" s="1" t="s">
        <v>128</v>
      </c>
      <c r="E111" s="1" t="s">
        <v>10</v>
      </c>
      <c r="F111" s="1" t="s">
        <v>5091</v>
      </c>
      <c r="G111" s="14" t="s">
        <v>6145</v>
      </c>
      <c r="H111" s="1" t="s">
        <v>43</v>
      </c>
      <c r="I111" s="17">
        <v>42211</v>
      </c>
    </row>
    <row r="112" spans="1:9">
      <c r="A112" s="16" t="s">
        <v>10764</v>
      </c>
      <c r="B112" s="1" t="s">
        <v>2628</v>
      </c>
      <c r="C112" s="1">
        <v>1</v>
      </c>
      <c r="D112" s="1" t="s">
        <v>128</v>
      </c>
      <c r="E112" s="1" t="s">
        <v>10</v>
      </c>
      <c r="F112" s="1" t="s">
        <v>5091</v>
      </c>
      <c r="G112" s="14" t="s">
        <v>6145</v>
      </c>
      <c r="H112" s="1" t="s">
        <v>43</v>
      </c>
      <c r="I112" s="17">
        <v>42211</v>
      </c>
    </row>
    <row r="113" spans="1:9">
      <c r="A113" s="16" t="s">
        <v>10765</v>
      </c>
      <c r="B113" s="1" t="s">
        <v>2628</v>
      </c>
      <c r="C113" s="1">
        <v>1</v>
      </c>
      <c r="D113" s="1" t="s">
        <v>128</v>
      </c>
      <c r="E113" s="1" t="s">
        <v>10</v>
      </c>
      <c r="F113" s="1" t="s">
        <v>5091</v>
      </c>
      <c r="G113" s="14" t="s">
        <v>6145</v>
      </c>
      <c r="H113" s="1" t="s">
        <v>43</v>
      </c>
      <c r="I113" s="17">
        <v>42211</v>
      </c>
    </row>
    <row r="114" spans="1:9">
      <c r="A114" s="16" t="s">
        <v>10766</v>
      </c>
      <c r="B114" s="1" t="s">
        <v>2628</v>
      </c>
      <c r="C114" s="1">
        <v>1</v>
      </c>
      <c r="D114" s="1" t="s">
        <v>128</v>
      </c>
      <c r="E114" s="1" t="s">
        <v>10</v>
      </c>
      <c r="F114" s="1" t="s">
        <v>5091</v>
      </c>
      <c r="G114" s="14" t="s">
        <v>6145</v>
      </c>
      <c r="H114" s="1" t="s">
        <v>43</v>
      </c>
      <c r="I114" s="17">
        <v>42211</v>
      </c>
    </row>
    <row r="115" spans="1:9">
      <c r="A115" s="16" t="s">
        <v>10767</v>
      </c>
      <c r="B115" s="1" t="s">
        <v>2628</v>
      </c>
      <c r="C115" s="1">
        <v>1</v>
      </c>
      <c r="D115" s="1" t="s">
        <v>128</v>
      </c>
      <c r="E115" s="1" t="s">
        <v>10</v>
      </c>
      <c r="F115" s="1" t="s">
        <v>5091</v>
      </c>
      <c r="G115" s="14" t="s">
        <v>6145</v>
      </c>
      <c r="H115" s="1" t="s">
        <v>43</v>
      </c>
      <c r="I115" s="17">
        <v>42211</v>
      </c>
    </row>
    <row r="116" spans="1:9">
      <c r="A116" s="16" t="s">
        <v>10768</v>
      </c>
      <c r="B116" s="1" t="s">
        <v>2628</v>
      </c>
      <c r="C116" s="1">
        <v>1</v>
      </c>
      <c r="D116" s="1" t="s">
        <v>128</v>
      </c>
      <c r="E116" s="1" t="s">
        <v>10</v>
      </c>
      <c r="F116" s="1" t="s">
        <v>5091</v>
      </c>
      <c r="G116" s="14" t="s">
        <v>6145</v>
      </c>
      <c r="H116" s="1" t="s">
        <v>43</v>
      </c>
      <c r="I116" s="17">
        <v>42211</v>
      </c>
    </row>
    <row r="117" spans="1:9">
      <c r="A117" s="16" t="s">
        <v>10769</v>
      </c>
      <c r="B117" s="1" t="s">
        <v>2628</v>
      </c>
      <c r="C117" s="1">
        <v>1</v>
      </c>
      <c r="D117" s="1" t="s">
        <v>128</v>
      </c>
      <c r="E117" s="1" t="s">
        <v>10</v>
      </c>
      <c r="F117" s="1" t="s">
        <v>5091</v>
      </c>
      <c r="G117" s="14" t="s">
        <v>6307</v>
      </c>
      <c r="H117" s="1" t="s">
        <v>44</v>
      </c>
      <c r="I117" s="17">
        <v>42212</v>
      </c>
    </row>
    <row r="118" spans="1:9">
      <c r="A118" s="16" t="s">
        <v>10770</v>
      </c>
      <c r="B118" s="1" t="s">
        <v>2628</v>
      </c>
      <c r="C118" s="1">
        <v>1</v>
      </c>
      <c r="D118" s="1" t="s">
        <v>128</v>
      </c>
      <c r="E118" s="1" t="s">
        <v>10</v>
      </c>
      <c r="F118" s="1" t="s">
        <v>5091</v>
      </c>
      <c r="G118" s="14" t="s">
        <v>6307</v>
      </c>
      <c r="H118" s="1" t="s">
        <v>44</v>
      </c>
      <c r="I118" s="17">
        <v>42212</v>
      </c>
    </row>
    <row r="119" spans="1:9">
      <c r="A119" s="16" t="s">
        <v>10779</v>
      </c>
      <c r="B119" s="1" t="s">
        <v>2628</v>
      </c>
      <c r="C119" s="1">
        <v>1</v>
      </c>
      <c r="D119" s="1" t="s">
        <v>128</v>
      </c>
      <c r="E119" s="1" t="s">
        <v>10</v>
      </c>
      <c r="F119" s="1" t="s">
        <v>5091</v>
      </c>
      <c r="G119" s="14" t="s">
        <v>6307</v>
      </c>
      <c r="H119" s="1" t="s">
        <v>44</v>
      </c>
      <c r="I119" s="17">
        <v>42211</v>
      </c>
    </row>
    <row r="120" spans="1:9">
      <c r="A120" s="16" t="s">
        <v>10780</v>
      </c>
      <c r="B120" s="1" t="s">
        <v>2628</v>
      </c>
      <c r="C120" s="1">
        <v>1</v>
      </c>
      <c r="D120" s="1" t="s">
        <v>128</v>
      </c>
      <c r="E120" s="1" t="s">
        <v>10</v>
      </c>
      <c r="F120" s="1" t="s">
        <v>5091</v>
      </c>
      <c r="G120" s="14" t="s">
        <v>6307</v>
      </c>
      <c r="H120" s="1" t="s">
        <v>44</v>
      </c>
      <c r="I120" s="17">
        <v>42211</v>
      </c>
    </row>
    <row r="121" spans="1:9">
      <c r="A121" s="16" t="s">
        <v>10781</v>
      </c>
      <c r="B121" s="1" t="s">
        <v>2628</v>
      </c>
      <c r="C121" s="1">
        <v>1</v>
      </c>
      <c r="D121" s="1" t="s">
        <v>128</v>
      </c>
      <c r="E121" s="1" t="s">
        <v>10</v>
      </c>
      <c r="F121" s="1" t="s">
        <v>5091</v>
      </c>
      <c r="G121" s="14" t="s">
        <v>6307</v>
      </c>
      <c r="H121" s="1" t="s">
        <v>44</v>
      </c>
      <c r="I121" s="17">
        <v>42211</v>
      </c>
    </row>
    <row r="122" spans="1:9">
      <c r="A122" s="16" t="s">
        <v>10782</v>
      </c>
      <c r="B122" s="1" t="s">
        <v>2628</v>
      </c>
      <c r="C122" s="1">
        <v>1</v>
      </c>
      <c r="D122" s="1" t="s">
        <v>128</v>
      </c>
      <c r="E122" s="1" t="s">
        <v>10</v>
      </c>
      <c r="F122" s="1" t="s">
        <v>5091</v>
      </c>
      <c r="G122" s="14" t="s">
        <v>6307</v>
      </c>
      <c r="H122" s="1" t="s">
        <v>44</v>
      </c>
      <c r="I122" s="17">
        <v>42211</v>
      </c>
    </row>
    <row r="123" spans="1:9">
      <c r="A123" s="16" t="s">
        <v>10783</v>
      </c>
      <c r="B123" s="1" t="s">
        <v>2628</v>
      </c>
      <c r="C123" s="1">
        <v>1</v>
      </c>
      <c r="D123" s="1" t="s">
        <v>128</v>
      </c>
      <c r="E123" s="1" t="s">
        <v>10</v>
      </c>
      <c r="F123" s="1" t="s">
        <v>5091</v>
      </c>
      <c r="G123" s="14" t="s">
        <v>6145</v>
      </c>
      <c r="H123" s="1" t="s">
        <v>43</v>
      </c>
      <c r="I123" s="17">
        <v>42211</v>
      </c>
    </row>
    <row r="124" spans="1:9">
      <c r="A124" s="16" t="s">
        <v>10784</v>
      </c>
      <c r="B124" s="1" t="s">
        <v>2628</v>
      </c>
      <c r="C124" s="1">
        <v>1</v>
      </c>
      <c r="D124" s="1" t="s">
        <v>128</v>
      </c>
      <c r="E124" s="1" t="s">
        <v>10</v>
      </c>
      <c r="F124" s="1" t="s">
        <v>5091</v>
      </c>
      <c r="G124" s="14" t="s">
        <v>6307</v>
      </c>
      <c r="H124" s="1" t="s">
        <v>44</v>
      </c>
      <c r="I124" s="17">
        <v>42212</v>
      </c>
    </row>
    <row r="125" spans="1:9">
      <c r="A125" s="16" t="s">
        <v>10789</v>
      </c>
      <c r="B125" s="1" t="s">
        <v>2628</v>
      </c>
      <c r="C125" s="1">
        <v>1</v>
      </c>
      <c r="D125" s="1" t="s">
        <v>128</v>
      </c>
      <c r="E125" s="1" t="s">
        <v>10</v>
      </c>
      <c r="F125" s="1" t="s">
        <v>5091</v>
      </c>
      <c r="G125" s="14" t="s">
        <v>6145</v>
      </c>
      <c r="H125" s="1" t="s">
        <v>43</v>
      </c>
      <c r="I125" s="17">
        <v>42215</v>
      </c>
    </row>
    <row r="126" spans="1:9">
      <c r="A126" s="16" t="s">
        <v>10806</v>
      </c>
      <c r="B126" s="1" t="s">
        <v>2628</v>
      </c>
      <c r="C126" s="1">
        <v>1</v>
      </c>
      <c r="D126" s="1" t="s">
        <v>128</v>
      </c>
      <c r="E126" s="1" t="s">
        <v>10</v>
      </c>
      <c r="F126" s="1" t="s">
        <v>5091</v>
      </c>
      <c r="G126" s="14" t="s">
        <v>6307</v>
      </c>
      <c r="H126" s="1" t="s">
        <v>44</v>
      </c>
      <c r="I126" s="17">
        <v>42215</v>
      </c>
    </row>
    <row r="127" spans="1:9">
      <c r="A127" s="16" t="s">
        <v>10807</v>
      </c>
      <c r="B127" s="1" t="s">
        <v>2628</v>
      </c>
      <c r="C127" s="1">
        <v>1</v>
      </c>
      <c r="D127" s="1" t="s">
        <v>128</v>
      </c>
      <c r="E127" s="1" t="s">
        <v>10</v>
      </c>
      <c r="F127" s="1" t="s">
        <v>5091</v>
      </c>
      <c r="G127" s="14" t="s">
        <v>6307</v>
      </c>
      <c r="H127" s="1" t="s">
        <v>44</v>
      </c>
      <c r="I127" s="17">
        <v>42230</v>
      </c>
    </row>
    <row r="128" spans="1:9">
      <c r="A128" s="16" t="s">
        <v>10808</v>
      </c>
      <c r="B128" s="1" t="s">
        <v>2628</v>
      </c>
      <c r="C128" s="1">
        <v>1</v>
      </c>
      <c r="D128" s="1" t="s">
        <v>128</v>
      </c>
      <c r="E128" s="1" t="s">
        <v>10</v>
      </c>
      <c r="F128" s="1" t="s">
        <v>5091</v>
      </c>
      <c r="G128" s="14" t="s">
        <v>6307</v>
      </c>
      <c r="H128" s="1" t="s">
        <v>44</v>
      </c>
      <c r="I128" s="17">
        <v>42230</v>
      </c>
    </row>
    <row r="129" spans="1:10">
      <c r="A129" s="16" t="s">
        <v>10819</v>
      </c>
      <c r="B129" s="1" t="s">
        <v>2628</v>
      </c>
      <c r="C129" s="1">
        <v>1</v>
      </c>
      <c r="D129" s="1" t="s">
        <v>128</v>
      </c>
      <c r="E129" s="1" t="s">
        <v>10</v>
      </c>
      <c r="F129" s="1" t="s">
        <v>5091</v>
      </c>
      <c r="G129" s="14" t="s">
        <v>10820</v>
      </c>
      <c r="H129" s="1" t="s">
        <v>43</v>
      </c>
      <c r="I129" s="17">
        <v>42272</v>
      </c>
    </row>
    <row r="130" spans="1:10">
      <c r="A130" s="16" t="s">
        <v>10878</v>
      </c>
      <c r="B130" s="1" t="s">
        <v>2628</v>
      </c>
      <c r="C130" s="1">
        <v>1</v>
      </c>
      <c r="D130" s="1" t="s">
        <v>128</v>
      </c>
      <c r="E130" s="1" t="s">
        <v>10</v>
      </c>
      <c r="F130" s="1" t="s">
        <v>5091</v>
      </c>
      <c r="G130" s="14" t="s">
        <v>6450</v>
      </c>
      <c r="H130" s="1" t="s">
        <v>43</v>
      </c>
      <c r="I130" s="17">
        <v>42270</v>
      </c>
    </row>
    <row r="131" spans="1:10">
      <c r="A131" s="16" t="s">
        <v>10879</v>
      </c>
      <c r="B131" s="1" t="s">
        <v>2628</v>
      </c>
      <c r="C131" s="1">
        <v>1</v>
      </c>
      <c r="D131" s="1" t="s">
        <v>128</v>
      </c>
      <c r="E131" s="1" t="s">
        <v>10</v>
      </c>
      <c r="F131" s="1" t="s">
        <v>5091</v>
      </c>
      <c r="G131" s="14" t="s">
        <v>6450</v>
      </c>
      <c r="H131" s="1" t="s">
        <v>43</v>
      </c>
      <c r="I131" s="17">
        <v>42270</v>
      </c>
    </row>
    <row r="132" spans="1:10">
      <c r="A132" s="16" t="s">
        <v>10880</v>
      </c>
      <c r="B132" s="1" t="s">
        <v>2628</v>
      </c>
      <c r="C132" s="1">
        <v>1</v>
      </c>
      <c r="D132" s="1" t="s">
        <v>128</v>
      </c>
      <c r="E132" s="1" t="s">
        <v>10</v>
      </c>
      <c r="F132" s="1" t="s">
        <v>5091</v>
      </c>
      <c r="G132" s="14" t="s">
        <v>6450</v>
      </c>
      <c r="H132" s="1" t="s">
        <v>43</v>
      </c>
      <c r="I132" s="17">
        <v>42270</v>
      </c>
    </row>
    <row r="133" spans="1:10">
      <c r="A133" s="16" t="s">
        <v>10881</v>
      </c>
      <c r="B133" s="1" t="s">
        <v>2628</v>
      </c>
      <c r="C133" s="1">
        <v>1</v>
      </c>
      <c r="D133" s="1" t="s">
        <v>128</v>
      </c>
      <c r="E133" s="1" t="s">
        <v>10</v>
      </c>
      <c r="F133" s="1" t="s">
        <v>5091</v>
      </c>
      <c r="G133" s="14" t="s">
        <v>10820</v>
      </c>
      <c r="H133" s="1" t="s">
        <v>43</v>
      </c>
      <c r="I133" s="17">
        <v>42272</v>
      </c>
    </row>
    <row r="134" spans="1:10">
      <c r="A134" s="16" t="s">
        <v>10958</v>
      </c>
      <c r="B134" s="1" t="s">
        <v>2628</v>
      </c>
      <c r="C134" s="1">
        <v>1</v>
      </c>
      <c r="D134" s="1" t="s">
        <v>128</v>
      </c>
      <c r="E134" s="1" t="s">
        <v>10</v>
      </c>
      <c r="F134" s="1" t="s">
        <v>5091</v>
      </c>
      <c r="G134" s="14" t="s">
        <v>10820</v>
      </c>
      <c r="H134" s="1" t="s">
        <v>43</v>
      </c>
      <c r="I134" s="17">
        <v>42272</v>
      </c>
    </row>
    <row r="135" spans="1:10">
      <c r="A135" s="16" t="s">
        <v>11020</v>
      </c>
      <c r="B135" s="1" t="s">
        <v>2628</v>
      </c>
      <c r="C135" s="1">
        <v>1</v>
      </c>
      <c r="D135" s="1" t="s">
        <v>128</v>
      </c>
      <c r="E135" s="1" t="s">
        <v>10</v>
      </c>
      <c r="F135" s="1" t="s">
        <v>5091</v>
      </c>
      <c r="G135" s="14" t="s">
        <v>6450</v>
      </c>
      <c r="H135" s="1" t="s">
        <v>43</v>
      </c>
      <c r="I135" s="17">
        <v>42322</v>
      </c>
    </row>
    <row r="136" spans="1:10">
      <c r="A136" s="16" t="s">
        <v>11021</v>
      </c>
      <c r="B136" s="1" t="s">
        <v>2628</v>
      </c>
      <c r="C136" s="1">
        <v>1</v>
      </c>
      <c r="D136" s="1" t="s">
        <v>128</v>
      </c>
      <c r="E136" s="1" t="s">
        <v>10</v>
      </c>
      <c r="F136" s="1" t="s">
        <v>5091</v>
      </c>
      <c r="G136" s="14" t="s">
        <v>6450</v>
      </c>
      <c r="H136" s="1" t="s">
        <v>43</v>
      </c>
      <c r="I136" s="17">
        <v>42322</v>
      </c>
    </row>
    <row r="137" spans="1:10">
      <c r="A137" s="16" t="s">
        <v>11222</v>
      </c>
      <c r="B137" s="1" t="s">
        <v>2628</v>
      </c>
      <c r="C137" s="1">
        <v>1</v>
      </c>
      <c r="D137" s="1" t="s">
        <v>128</v>
      </c>
      <c r="E137" s="1" t="s">
        <v>10</v>
      </c>
      <c r="F137" s="1" t="s">
        <v>5091</v>
      </c>
      <c r="G137" s="14" t="s">
        <v>6236</v>
      </c>
      <c r="H137" s="1" t="s">
        <v>43</v>
      </c>
      <c r="I137" s="17">
        <v>42370</v>
      </c>
    </row>
    <row r="138" spans="1:10">
      <c r="A138" s="16" t="s">
        <v>11244</v>
      </c>
      <c r="B138" s="1" t="s">
        <v>2631</v>
      </c>
      <c r="C138" s="1">
        <v>1</v>
      </c>
      <c r="D138" s="1" t="s">
        <v>128</v>
      </c>
      <c r="E138" s="1" t="s">
        <v>10</v>
      </c>
      <c r="F138" s="1" t="s">
        <v>5241</v>
      </c>
      <c r="G138" s="1" t="s">
        <v>4803</v>
      </c>
      <c r="H138" s="1" t="s">
        <v>5</v>
      </c>
      <c r="I138" s="17">
        <v>37965</v>
      </c>
      <c r="J138" s="17"/>
    </row>
    <row r="139" spans="1:10">
      <c r="A139" s="16" t="s">
        <v>11334</v>
      </c>
      <c r="B139" s="1" t="s">
        <v>2631</v>
      </c>
      <c r="C139" s="1">
        <v>1</v>
      </c>
      <c r="D139" s="1" t="s">
        <v>128</v>
      </c>
      <c r="E139" s="1" t="s">
        <v>10</v>
      </c>
      <c r="F139" s="1" t="s">
        <v>5241</v>
      </c>
      <c r="G139" s="1" t="s">
        <v>4803</v>
      </c>
      <c r="H139" s="1" t="s">
        <v>5</v>
      </c>
      <c r="I139" s="17">
        <v>37965</v>
      </c>
      <c r="J139" s="17"/>
    </row>
    <row r="140" spans="1:10" ht="31.2">
      <c r="A140" s="16" t="s">
        <v>11335</v>
      </c>
      <c r="B140" s="1" t="s">
        <v>2631</v>
      </c>
      <c r="C140" s="1">
        <v>1</v>
      </c>
      <c r="D140" s="1" t="s">
        <v>128</v>
      </c>
      <c r="E140" s="1" t="s">
        <v>10</v>
      </c>
      <c r="F140" s="1" t="s">
        <v>5241</v>
      </c>
      <c r="G140" s="1" t="s">
        <v>4803</v>
      </c>
      <c r="H140" s="1" t="s">
        <v>5</v>
      </c>
      <c r="I140" s="17">
        <v>37965</v>
      </c>
      <c r="J140" s="17"/>
    </row>
    <row r="141" spans="1:10">
      <c r="A141" s="16" t="s">
        <v>11336</v>
      </c>
      <c r="B141" s="1" t="s">
        <v>2631</v>
      </c>
      <c r="C141" s="1">
        <v>1</v>
      </c>
      <c r="D141" s="1" t="s">
        <v>128</v>
      </c>
      <c r="E141" s="1" t="s">
        <v>10</v>
      </c>
      <c r="F141" s="1" t="s">
        <v>5241</v>
      </c>
      <c r="G141" s="1" t="s">
        <v>4803</v>
      </c>
      <c r="H141" s="1" t="s">
        <v>5</v>
      </c>
      <c r="I141" s="17">
        <v>37868</v>
      </c>
      <c r="J141" s="17"/>
    </row>
    <row r="142" spans="1:10">
      <c r="A142" s="16" t="s">
        <v>11337</v>
      </c>
      <c r="B142" s="1" t="s">
        <v>2631</v>
      </c>
      <c r="C142" s="1">
        <v>1</v>
      </c>
      <c r="D142" s="1" t="s">
        <v>128</v>
      </c>
      <c r="E142" s="1" t="s">
        <v>10</v>
      </c>
      <c r="F142" s="1" t="s">
        <v>5241</v>
      </c>
      <c r="G142" s="1" t="s">
        <v>4803</v>
      </c>
      <c r="H142" s="1" t="s">
        <v>5</v>
      </c>
      <c r="I142" s="17">
        <v>37868</v>
      </c>
      <c r="J142" s="17"/>
    </row>
    <row r="143" spans="1:10">
      <c r="A143" s="16" t="s">
        <v>11606</v>
      </c>
      <c r="B143" s="1" t="s">
        <v>2628</v>
      </c>
      <c r="C143" s="1">
        <v>1</v>
      </c>
      <c r="D143" s="1" t="s">
        <v>128</v>
      </c>
      <c r="E143" s="1" t="s">
        <v>10</v>
      </c>
      <c r="F143" s="1" t="s">
        <v>5091</v>
      </c>
      <c r="G143" s="14" t="s">
        <v>6186</v>
      </c>
      <c r="H143" s="1" t="s">
        <v>5</v>
      </c>
      <c r="I143" s="17">
        <v>42370</v>
      </c>
    </row>
    <row r="144" spans="1:10">
      <c r="A144" s="16" t="s">
        <v>11622</v>
      </c>
      <c r="B144" s="1" t="s">
        <v>2628</v>
      </c>
      <c r="C144" s="1">
        <v>1</v>
      </c>
      <c r="D144" s="1" t="s">
        <v>128</v>
      </c>
      <c r="E144" s="1" t="s">
        <v>10</v>
      </c>
      <c r="F144" s="1" t="s">
        <v>5091</v>
      </c>
      <c r="G144" s="14" t="s">
        <v>4458</v>
      </c>
      <c r="H144" s="1" t="s">
        <v>118</v>
      </c>
      <c r="I144" s="17">
        <v>42583</v>
      </c>
    </row>
    <row r="145" spans="1:10">
      <c r="A145" s="16" t="s">
        <v>11800</v>
      </c>
      <c r="B145" s="1" t="s">
        <v>2628</v>
      </c>
      <c r="C145" s="1">
        <v>1</v>
      </c>
      <c r="D145" s="1" t="s">
        <v>128</v>
      </c>
      <c r="E145" s="1" t="s">
        <v>10</v>
      </c>
      <c r="F145" s="1" t="s">
        <v>5091</v>
      </c>
      <c r="G145" s="14" t="s">
        <v>4803</v>
      </c>
      <c r="H145" s="1" t="s">
        <v>5</v>
      </c>
      <c r="I145" s="17">
        <v>42339</v>
      </c>
    </row>
    <row r="146" spans="1:10">
      <c r="A146" s="16" t="s">
        <v>11804</v>
      </c>
      <c r="B146" s="1" t="s">
        <v>2628</v>
      </c>
      <c r="C146" s="1">
        <v>1</v>
      </c>
      <c r="D146" s="1" t="s">
        <v>128</v>
      </c>
      <c r="E146" s="1" t="s">
        <v>10</v>
      </c>
      <c r="F146" s="1" t="s">
        <v>5091</v>
      </c>
      <c r="G146" s="14" t="s">
        <v>4803</v>
      </c>
      <c r="H146" s="1" t="s">
        <v>5</v>
      </c>
      <c r="I146" s="17">
        <v>42339</v>
      </c>
    </row>
    <row r="147" spans="1:10">
      <c r="A147" s="16" t="s">
        <v>11805</v>
      </c>
      <c r="B147" s="1" t="s">
        <v>2628</v>
      </c>
      <c r="C147" s="1">
        <v>1</v>
      </c>
      <c r="D147" s="1" t="s">
        <v>128</v>
      </c>
      <c r="E147" s="1" t="s">
        <v>10</v>
      </c>
      <c r="F147" s="1" t="s">
        <v>5091</v>
      </c>
      <c r="G147" s="14" t="s">
        <v>4803</v>
      </c>
      <c r="H147" s="1" t="s">
        <v>5</v>
      </c>
      <c r="I147" s="17">
        <v>42339</v>
      </c>
    </row>
    <row r="148" spans="1:10">
      <c r="A148" s="16" t="s">
        <v>11808</v>
      </c>
      <c r="B148" s="1" t="s">
        <v>2628</v>
      </c>
      <c r="C148" s="1">
        <v>1</v>
      </c>
      <c r="D148" s="1" t="s">
        <v>128</v>
      </c>
      <c r="E148" s="1" t="s">
        <v>10</v>
      </c>
      <c r="F148" s="1" t="s">
        <v>5091</v>
      </c>
      <c r="G148" s="14" t="s">
        <v>4803</v>
      </c>
      <c r="H148" s="1" t="s">
        <v>5</v>
      </c>
      <c r="I148" s="17">
        <v>42339</v>
      </c>
    </row>
    <row r="149" spans="1:10">
      <c r="A149" s="16" t="s">
        <v>11875</v>
      </c>
      <c r="B149" s="1" t="s">
        <v>2628</v>
      </c>
      <c r="C149" s="1">
        <v>1</v>
      </c>
      <c r="D149" s="1" t="s">
        <v>128</v>
      </c>
      <c r="E149" s="1" t="s">
        <v>10</v>
      </c>
      <c r="F149" s="1" t="s">
        <v>5091</v>
      </c>
      <c r="G149" s="14" t="s">
        <v>6236</v>
      </c>
      <c r="H149" s="1" t="s">
        <v>43</v>
      </c>
      <c r="I149" s="17">
        <v>42370</v>
      </c>
    </row>
    <row r="150" spans="1:10">
      <c r="A150" s="16" t="s">
        <v>12022</v>
      </c>
      <c r="B150" s="1" t="s">
        <v>2631</v>
      </c>
      <c r="C150" s="1">
        <v>1</v>
      </c>
      <c r="D150" s="1" t="s">
        <v>128</v>
      </c>
      <c r="E150" s="1" t="s">
        <v>10</v>
      </c>
      <c r="F150" s="1" t="s">
        <v>5241</v>
      </c>
      <c r="G150" s="1" t="s">
        <v>4803</v>
      </c>
      <c r="H150" s="1" t="s">
        <v>5</v>
      </c>
      <c r="I150" s="1" t="s">
        <v>4792</v>
      </c>
      <c r="J150" s="17"/>
    </row>
    <row r="151" spans="1:10">
      <c r="A151" s="16" t="s">
        <v>12107</v>
      </c>
      <c r="B151" s="1" t="s">
        <v>2628</v>
      </c>
      <c r="C151" s="1">
        <v>1</v>
      </c>
      <c r="D151" s="1" t="s">
        <v>128</v>
      </c>
      <c r="E151" s="1" t="s">
        <v>10</v>
      </c>
      <c r="F151" s="1" t="s">
        <v>5091</v>
      </c>
      <c r="G151" s="14" t="s">
        <v>6145</v>
      </c>
      <c r="H151" s="1" t="s">
        <v>43</v>
      </c>
      <c r="I151" s="17">
        <v>42745</v>
      </c>
    </row>
    <row r="152" spans="1:10">
      <c r="A152" s="16" t="s">
        <v>12160</v>
      </c>
      <c r="B152" s="1" t="s">
        <v>2628</v>
      </c>
      <c r="C152" s="1">
        <v>1</v>
      </c>
      <c r="D152" s="1" t="s">
        <v>128</v>
      </c>
      <c r="E152" s="1" t="s">
        <v>10</v>
      </c>
      <c r="F152" s="1" t="s">
        <v>5091</v>
      </c>
      <c r="G152" s="14" t="s">
        <v>6145</v>
      </c>
      <c r="H152" s="1" t="s">
        <v>43</v>
      </c>
      <c r="I152" s="17">
        <v>40042</v>
      </c>
    </row>
    <row r="153" spans="1:10">
      <c r="A153" s="16" t="s">
        <v>12161</v>
      </c>
      <c r="B153" s="1" t="s">
        <v>2628</v>
      </c>
      <c r="C153" s="1">
        <v>1</v>
      </c>
      <c r="D153" s="1" t="s">
        <v>128</v>
      </c>
      <c r="E153" s="1" t="s">
        <v>10</v>
      </c>
      <c r="F153" s="1" t="s">
        <v>5091</v>
      </c>
      <c r="G153" s="14" t="s">
        <v>6145</v>
      </c>
      <c r="H153" s="1" t="s">
        <v>43</v>
      </c>
      <c r="I153" s="17">
        <v>40042</v>
      </c>
    </row>
    <row r="154" spans="1:10">
      <c r="A154" s="16" t="s">
        <v>12163</v>
      </c>
      <c r="B154" s="1" t="s">
        <v>2628</v>
      </c>
      <c r="C154" s="1">
        <v>1</v>
      </c>
      <c r="D154" s="1" t="s">
        <v>128</v>
      </c>
      <c r="E154" s="1" t="s">
        <v>10</v>
      </c>
      <c r="F154" s="1" t="s">
        <v>5091</v>
      </c>
      <c r="G154" s="14" t="s">
        <v>6145</v>
      </c>
      <c r="H154" s="1" t="s">
        <v>43</v>
      </c>
      <c r="I154" s="17">
        <v>40042</v>
      </c>
    </row>
    <row r="155" spans="1:10">
      <c r="A155" s="16" t="s">
        <v>12164</v>
      </c>
      <c r="B155" s="1" t="s">
        <v>2628</v>
      </c>
      <c r="C155" s="1">
        <v>1</v>
      </c>
      <c r="D155" s="1" t="s">
        <v>128</v>
      </c>
      <c r="E155" s="1" t="s">
        <v>10</v>
      </c>
      <c r="F155" s="1" t="s">
        <v>5091</v>
      </c>
      <c r="G155" s="14" t="s">
        <v>6145</v>
      </c>
      <c r="H155" s="1" t="s">
        <v>43</v>
      </c>
      <c r="I155" s="17">
        <v>40042</v>
      </c>
    </row>
    <row r="156" spans="1:10">
      <c r="A156" s="16" t="s">
        <v>12169</v>
      </c>
      <c r="B156" s="1" t="s">
        <v>2628</v>
      </c>
      <c r="C156" s="1">
        <v>258</v>
      </c>
      <c r="D156" s="1" t="s">
        <v>128</v>
      </c>
      <c r="E156" s="1" t="s">
        <v>10</v>
      </c>
      <c r="F156" s="1" t="s">
        <v>5091</v>
      </c>
      <c r="G156" s="14" t="s">
        <v>6536</v>
      </c>
      <c r="H156" s="1" t="s">
        <v>43</v>
      </c>
      <c r="I156" s="17">
        <v>41640</v>
      </c>
    </row>
    <row r="157" spans="1:10">
      <c r="A157" s="16" t="s">
        <v>12190</v>
      </c>
      <c r="B157" s="1" t="s">
        <v>2628</v>
      </c>
      <c r="C157" s="1">
        <v>1</v>
      </c>
      <c r="D157" s="1" t="s">
        <v>128</v>
      </c>
      <c r="E157" s="1" t="s">
        <v>10</v>
      </c>
      <c r="F157" s="1" t="s">
        <v>5091</v>
      </c>
      <c r="G157" s="14" t="s">
        <v>6536</v>
      </c>
      <c r="H157" s="1" t="s">
        <v>43</v>
      </c>
      <c r="I157" s="17">
        <v>41640</v>
      </c>
    </row>
    <row r="158" spans="1:10">
      <c r="A158" s="16" t="s">
        <v>12205</v>
      </c>
      <c r="B158" s="1" t="s">
        <v>2628</v>
      </c>
      <c r="C158" s="1">
        <v>1</v>
      </c>
      <c r="D158" s="1" t="s">
        <v>128</v>
      </c>
      <c r="E158" s="1" t="s">
        <v>10</v>
      </c>
      <c r="F158" s="1" t="s">
        <v>5091</v>
      </c>
      <c r="G158" s="14" t="s">
        <v>6536</v>
      </c>
      <c r="H158" s="1" t="s">
        <v>43</v>
      </c>
      <c r="I158" s="17">
        <v>41640</v>
      </c>
    </row>
    <row r="159" spans="1:10">
      <c r="A159" s="16" t="s">
        <v>12215</v>
      </c>
      <c r="B159" s="1" t="s">
        <v>2628</v>
      </c>
      <c r="C159" s="1">
        <v>1</v>
      </c>
      <c r="D159" s="1" t="s">
        <v>128</v>
      </c>
      <c r="E159" s="1" t="s">
        <v>10</v>
      </c>
      <c r="F159" s="1" t="s">
        <v>5091</v>
      </c>
      <c r="G159" s="14" t="s">
        <v>6536</v>
      </c>
      <c r="H159" s="1" t="s">
        <v>43</v>
      </c>
      <c r="I159" s="17">
        <v>41640</v>
      </c>
    </row>
    <row r="160" spans="1:10">
      <c r="A160" s="16" t="s">
        <v>12240</v>
      </c>
      <c r="B160" s="1" t="s">
        <v>2628</v>
      </c>
      <c r="C160" s="1">
        <v>1</v>
      </c>
      <c r="D160" s="1" t="s">
        <v>128</v>
      </c>
      <c r="E160" s="1" t="s">
        <v>10</v>
      </c>
      <c r="F160" s="1" t="s">
        <v>5091</v>
      </c>
      <c r="G160" s="14" t="s">
        <v>4458</v>
      </c>
      <c r="H160" s="1" t="s">
        <v>118</v>
      </c>
      <c r="I160" s="1" t="s">
        <v>4458</v>
      </c>
    </row>
    <row r="161" spans="1:10">
      <c r="A161" s="16" t="s">
        <v>12588</v>
      </c>
      <c r="B161" s="1" t="s">
        <v>2628</v>
      </c>
      <c r="C161" s="1">
        <v>1</v>
      </c>
      <c r="D161" s="1" t="s">
        <v>128</v>
      </c>
      <c r="E161" s="1" t="s">
        <v>10</v>
      </c>
      <c r="F161" s="1" t="s">
        <v>5091</v>
      </c>
      <c r="G161" s="14" t="s">
        <v>6145</v>
      </c>
      <c r="H161" s="1" t="s">
        <v>43</v>
      </c>
      <c r="I161" s="17">
        <v>40042</v>
      </c>
    </row>
    <row r="162" spans="1:10">
      <c r="A162" s="16" t="s">
        <v>12809</v>
      </c>
      <c r="B162" s="1" t="s">
        <v>2628</v>
      </c>
      <c r="C162" s="1">
        <v>1</v>
      </c>
      <c r="D162" s="1" t="s">
        <v>128</v>
      </c>
      <c r="E162" s="1" t="s">
        <v>10</v>
      </c>
      <c r="F162" s="1" t="s">
        <v>5091</v>
      </c>
      <c r="G162" s="14" t="s">
        <v>6236</v>
      </c>
      <c r="H162" s="1" t="s">
        <v>43</v>
      </c>
      <c r="I162" s="17">
        <v>40179</v>
      </c>
    </row>
    <row r="163" spans="1:10">
      <c r="A163" s="16" t="s">
        <v>12817</v>
      </c>
      <c r="B163" s="1" t="s">
        <v>2628</v>
      </c>
      <c r="C163" s="1">
        <v>1</v>
      </c>
      <c r="D163" s="1" t="s">
        <v>128</v>
      </c>
      <c r="E163" s="1" t="s">
        <v>10</v>
      </c>
      <c r="F163" s="1" t="s">
        <v>5091</v>
      </c>
      <c r="G163" s="14" t="s">
        <v>6186</v>
      </c>
      <c r="H163" s="1" t="s">
        <v>5</v>
      </c>
      <c r="I163" s="17">
        <v>42736</v>
      </c>
    </row>
    <row r="164" spans="1:10">
      <c r="A164" s="16" t="s">
        <v>13291</v>
      </c>
      <c r="B164" s="1" t="s">
        <v>2628</v>
      </c>
      <c r="C164" s="1">
        <v>1</v>
      </c>
      <c r="D164" s="1" t="s">
        <v>128</v>
      </c>
      <c r="E164" s="1" t="s">
        <v>10</v>
      </c>
      <c r="F164" s="1" t="s">
        <v>5091</v>
      </c>
      <c r="G164" s="14" t="s">
        <v>6236</v>
      </c>
      <c r="H164" s="1" t="s">
        <v>43</v>
      </c>
      <c r="I164" s="17">
        <v>42736</v>
      </c>
    </row>
    <row r="165" spans="1:10">
      <c r="A165" s="16" t="s">
        <v>13292</v>
      </c>
      <c r="B165" s="1" t="s">
        <v>2628</v>
      </c>
      <c r="C165" s="1">
        <v>1</v>
      </c>
      <c r="D165" s="1" t="s">
        <v>128</v>
      </c>
      <c r="E165" s="1" t="s">
        <v>10</v>
      </c>
      <c r="F165" s="1" t="s">
        <v>5091</v>
      </c>
      <c r="G165" s="14" t="s">
        <v>6236</v>
      </c>
      <c r="H165" s="1" t="s">
        <v>43</v>
      </c>
      <c r="I165" s="17">
        <v>42736</v>
      </c>
    </row>
    <row r="166" spans="1:10">
      <c r="A166" s="16" t="s">
        <v>13293</v>
      </c>
      <c r="B166" s="1" t="s">
        <v>2628</v>
      </c>
      <c r="C166" s="1">
        <v>1</v>
      </c>
      <c r="D166" s="1" t="s">
        <v>128</v>
      </c>
      <c r="E166" s="1" t="s">
        <v>10</v>
      </c>
      <c r="F166" s="1" t="s">
        <v>5091</v>
      </c>
      <c r="G166" s="14" t="s">
        <v>6238</v>
      </c>
      <c r="H166" s="1" t="s">
        <v>43</v>
      </c>
      <c r="I166" s="17">
        <v>42736</v>
      </c>
    </row>
    <row r="167" spans="1:10">
      <c r="A167" s="16" t="s">
        <v>13297</v>
      </c>
      <c r="B167" s="1" t="s">
        <v>2628</v>
      </c>
      <c r="C167" s="1">
        <v>1</v>
      </c>
      <c r="D167" s="1" t="s">
        <v>128</v>
      </c>
      <c r="E167" s="1" t="s">
        <v>10</v>
      </c>
      <c r="F167" s="1" t="s">
        <v>5091</v>
      </c>
      <c r="G167" s="14" t="s">
        <v>6238</v>
      </c>
      <c r="H167" s="1" t="s">
        <v>43</v>
      </c>
      <c r="I167" s="17">
        <v>42736</v>
      </c>
    </row>
    <row r="168" spans="1:10">
      <c r="A168" s="16" t="s">
        <v>13431</v>
      </c>
      <c r="B168" s="1" t="s">
        <v>2631</v>
      </c>
      <c r="C168" s="1">
        <v>1</v>
      </c>
      <c r="D168" s="1" t="s">
        <v>128</v>
      </c>
      <c r="E168" s="1" t="s">
        <v>10</v>
      </c>
      <c r="F168" s="1" t="s">
        <v>5091</v>
      </c>
      <c r="G168" s="1" t="s">
        <v>4803</v>
      </c>
      <c r="H168" s="1" t="s">
        <v>5</v>
      </c>
      <c r="I168" s="17">
        <v>37135</v>
      </c>
    </row>
    <row r="169" spans="1:10">
      <c r="A169" s="16" t="s">
        <v>13445</v>
      </c>
      <c r="B169" s="1" t="s">
        <v>2631</v>
      </c>
      <c r="C169" s="1">
        <v>1</v>
      </c>
      <c r="D169" s="1" t="s">
        <v>128</v>
      </c>
      <c r="E169" s="1" t="s">
        <v>10</v>
      </c>
      <c r="F169" s="1" t="s">
        <v>5091</v>
      </c>
      <c r="G169" s="1" t="s">
        <v>4803</v>
      </c>
      <c r="H169" s="1" t="s">
        <v>5</v>
      </c>
      <c r="I169" s="17">
        <v>37216</v>
      </c>
    </row>
    <row r="170" spans="1:10">
      <c r="A170" s="16" t="s">
        <v>13519</v>
      </c>
      <c r="B170" s="1" t="s">
        <v>2628</v>
      </c>
      <c r="C170" s="1">
        <v>1</v>
      </c>
      <c r="D170" s="1" t="s">
        <v>128</v>
      </c>
      <c r="E170" s="1" t="s">
        <v>10</v>
      </c>
      <c r="F170" s="1" t="s">
        <v>5091</v>
      </c>
      <c r="G170" s="14" t="s">
        <v>4458</v>
      </c>
      <c r="H170" s="1" t="s">
        <v>118</v>
      </c>
      <c r="I170" s="1" t="s">
        <v>4458</v>
      </c>
    </row>
    <row r="171" spans="1:10">
      <c r="A171" s="16" t="s">
        <v>13800</v>
      </c>
      <c r="B171" s="1" t="s">
        <v>2628</v>
      </c>
      <c r="C171" s="1">
        <v>1</v>
      </c>
      <c r="D171" s="1" t="s">
        <v>128</v>
      </c>
      <c r="E171" s="1" t="s">
        <v>10</v>
      </c>
      <c r="F171" s="1" t="s">
        <v>2698</v>
      </c>
      <c r="G171" s="14" t="s">
        <v>4803</v>
      </c>
      <c r="H171" s="1" t="s">
        <v>5</v>
      </c>
      <c r="I171" s="17">
        <v>40544</v>
      </c>
    </row>
    <row r="172" spans="1:10">
      <c r="A172" s="16" t="s">
        <v>14004</v>
      </c>
      <c r="B172" s="1" t="s">
        <v>2631</v>
      </c>
      <c r="C172" s="1">
        <v>1</v>
      </c>
      <c r="D172" s="1" t="s">
        <v>128</v>
      </c>
      <c r="E172" s="1" t="s">
        <v>10</v>
      </c>
      <c r="F172" s="1" t="s">
        <v>5091</v>
      </c>
      <c r="G172" s="1" t="s">
        <v>4803</v>
      </c>
      <c r="H172" s="1" t="s">
        <v>5</v>
      </c>
      <c r="I172" s="17">
        <v>36526</v>
      </c>
    </row>
    <row r="173" spans="1:10">
      <c r="A173" s="16" t="s">
        <v>14082</v>
      </c>
      <c r="B173" s="1" t="s">
        <v>2628</v>
      </c>
      <c r="C173" s="1">
        <v>1</v>
      </c>
      <c r="D173" s="1" t="s">
        <v>128</v>
      </c>
      <c r="E173" s="1" t="s">
        <v>10</v>
      </c>
      <c r="F173" s="1" t="s">
        <v>5091</v>
      </c>
      <c r="G173" s="14" t="s">
        <v>14083</v>
      </c>
      <c r="H173" s="1" t="s">
        <v>5</v>
      </c>
      <c r="I173" s="17">
        <v>43132</v>
      </c>
    </row>
    <row r="174" spans="1:10">
      <c r="A174" s="16" t="s">
        <v>14090</v>
      </c>
      <c r="B174" s="1" t="s">
        <v>2631</v>
      </c>
      <c r="C174" s="1">
        <v>876</v>
      </c>
      <c r="D174" s="1" t="s">
        <v>128</v>
      </c>
      <c r="E174" s="1" t="s">
        <v>10</v>
      </c>
      <c r="F174" s="1" t="s">
        <v>2701</v>
      </c>
      <c r="G174" s="14" t="s">
        <v>4458</v>
      </c>
      <c r="H174" s="1" t="s">
        <v>118</v>
      </c>
      <c r="I174" s="1" t="s">
        <v>4792</v>
      </c>
    </row>
    <row r="175" spans="1:10">
      <c r="A175" s="16" t="s">
        <v>14899</v>
      </c>
      <c r="B175" s="1" t="s">
        <v>2631</v>
      </c>
      <c r="C175" s="1">
        <v>1</v>
      </c>
      <c r="D175" s="1" t="s">
        <v>128</v>
      </c>
      <c r="E175" s="1" t="s">
        <v>10</v>
      </c>
      <c r="F175" s="1" t="s">
        <v>5241</v>
      </c>
      <c r="G175" s="1" t="s">
        <v>4803</v>
      </c>
      <c r="H175" s="1" t="s">
        <v>5</v>
      </c>
      <c r="I175" s="17">
        <v>41579</v>
      </c>
      <c r="J175" s="17"/>
    </row>
    <row r="176" spans="1:10">
      <c r="A176" s="16" t="s">
        <v>14938</v>
      </c>
      <c r="B176" s="1" t="s">
        <v>2631</v>
      </c>
      <c r="C176" s="1">
        <v>1</v>
      </c>
      <c r="D176" s="1" t="s">
        <v>128</v>
      </c>
      <c r="E176" s="1" t="s">
        <v>10</v>
      </c>
      <c r="F176" s="1" t="s">
        <v>5241</v>
      </c>
      <c r="G176" s="1" t="s">
        <v>4803</v>
      </c>
      <c r="H176" s="1" t="s">
        <v>5</v>
      </c>
      <c r="I176" s="17">
        <v>41548</v>
      </c>
      <c r="J176" s="17"/>
    </row>
    <row r="177" spans="1:10">
      <c r="A177" s="16" t="s">
        <v>15069</v>
      </c>
      <c r="B177" s="1" t="s">
        <v>2631</v>
      </c>
      <c r="C177" s="1">
        <v>1</v>
      </c>
      <c r="D177" s="1" t="s">
        <v>128</v>
      </c>
      <c r="E177" s="1" t="s">
        <v>10</v>
      </c>
      <c r="F177" s="1" t="s">
        <v>5241</v>
      </c>
      <c r="G177" s="1" t="s">
        <v>6307</v>
      </c>
      <c r="H177" s="1" t="s">
        <v>44</v>
      </c>
      <c r="I177" s="17">
        <v>42948</v>
      </c>
    </row>
    <row r="178" spans="1:10">
      <c r="A178" s="16" t="s">
        <v>15079</v>
      </c>
      <c r="B178" s="1" t="s">
        <v>2631</v>
      </c>
      <c r="C178" s="1">
        <v>1</v>
      </c>
      <c r="D178" s="1" t="s">
        <v>128</v>
      </c>
      <c r="E178" s="1" t="s">
        <v>10</v>
      </c>
      <c r="F178" s="1" t="s">
        <v>5241</v>
      </c>
      <c r="G178" s="1" t="s">
        <v>6307</v>
      </c>
      <c r="H178" s="1" t="s">
        <v>44</v>
      </c>
      <c r="I178" s="17">
        <v>41548</v>
      </c>
    </row>
    <row r="179" spans="1:10">
      <c r="A179" s="16" t="s">
        <v>15130</v>
      </c>
      <c r="B179" s="1" t="s">
        <v>2631</v>
      </c>
      <c r="C179" s="1">
        <v>1</v>
      </c>
      <c r="D179" s="1" t="s">
        <v>128</v>
      </c>
      <c r="E179" s="1" t="s">
        <v>10</v>
      </c>
      <c r="F179" s="1" t="s">
        <v>5241</v>
      </c>
      <c r="G179" s="1" t="s">
        <v>4803</v>
      </c>
      <c r="H179" s="1" t="s">
        <v>5</v>
      </c>
      <c r="I179" s="17">
        <v>41579</v>
      </c>
      <c r="J179" s="17"/>
    </row>
    <row r="180" spans="1:10">
      <c r="A180" s="16" t="s">
        <v>15145</v>
      </c>
      <c r="B180" s="1" t="s">
        <v>2631</v>
      </c>
      <c r="C180" s="1">
        <v>1</v>
      </c>
      <c r="D180" s="1" t="s">
        <v>128</v>
      </c>
      <c r="E180" s="1" t="s">
        <v>10</v>
      </c>
      <c r="F180" s="1" t="s">
        <v>5241</v>
      </c>
      <c r="G180" s="1" t="s">
        <v>6307</v>
      </c>
      <c r="H180" s="1" t="s">
        <v>44</v>
      </c>
      <c r="I180" s="17">
        <v>42979</v>
      </c>
    </row>
    <row r="181" spans="1:10">
      <c r="A181" s="16" t="s">
        <v>15168</v>
      </c>
      <c r="B181" s="1" t="s">
        <v>2631</v>
      </c>
      <c r="C181" s="1">
        <v>1</v>
      </c>
      <c r="D181" s="1" t="s">
        <v>128</v>
      </c>
      <c r="E181" s="1" t="s">
        <v>10</v>
      </c>
      <c r="F181" s="1" t="s">
        <v>5241</v>
      </c>
      <c r="G181" s="1" t="s">
        <v>6307</v>
      </c>
      <c r="H181" s="1" t="s">
        <v>44</v>
      </c>
      <c r="I181" s="17">
        <v>42979</v>
      </c>
    </row>
    <row r="182" spans="1:10">
      <c r="A182" s="16" t="s">
        <v>15192</v>
      </c>
      <c r="B182" s="1" t="s">
        <v>2631</v>
      </c>
      <c r="C182" s="1">
        <v>1</v>
      </c>
      <c r="D182" s="1" t="s">
        <v>128</v>
      </c>
      <c r="E182" s="1" t="s">
        <v>10</v>
      </c>
      <c r="F182" s="1" t="s">
        <v>5241</v>
      </c>
      <c r="G182" s="1" t="s">
        <v>4803</v>
      </c>
      <c r="H182" s="1" t="s">
        <v>5</v>
      </c>
      <c r="I182" s="17">
        <v>42614</v>
      </c>
      <c r="J182" s="17"/>
    </row>
    <row r="183" spans="1:10">
      <c r="A183" s="7" t="s">
        <v>15318</v>
      </c>
      <c r="B183" s="1" t="s">
        <v>2631</v>
      </c>
      <c r="C183" s="1">
        <v>1</v>
      </c>
      <c r="D183" s="1" t="s">
        <v>128</v>
      </c>
      <c r="E183" s="1" t="s">
        <v>10</v>
      </c>
      <c r="F183" s="1" t="s">
        <v>5241</v>
      </c>
      <c r="G183" s="1" t="s">
        <v>6181</v>
      </c>
      <c r="H183" s="1" t="s">
        <v>118</v>
      </c>
      <c r="I183" s="1" t="s">
        <v>6844</v>
      </c>
    </row>
    <row r="184" spans="1:10">
      <c r="A184" s="16" t="s">
        <v>15431</v>
      </c>
      <c r="B184" s="1" t="s">
        <v>2631</v>
      </c>
      <c r="C184" s="1">
        <v>1</v>
      </c>
      <c r="D184" s="1" t="s">
        <v>128</v>
      </c>
      <c r="E184" s="1" t="s">
        <v>10</v>
      </c>
      <c r="F184" s="1" t="s">
        <v>5241</v>
      </c>
      <c r="G184" s="1" t="s">
        <v>4803</v>
      </c>
      <c r="H184" s="1" t="s">
        <v>5</v>
      </c>
      <c r="I184" s="17">
        <v>41579</v>
      </c>
    </row>
    <row r="185" spans="1:10">
      <c r="A185" s="16" t="s">
        <v>15488</v>
      </c>
      <c r="B185" s="1" t="s">
        <v>2628</v>
      </c>
      <c r="C185" s="1">
        <v>1</v>
      </c>
      <c r="D185" s="1" t="s">
        <v>128</v>
      </c>
      <c r="E185" s="1" t="s">
        <v>10</v>
      </c>
      <c r="F185" s="1" t="s">
        <v>5091</v>
      </c>
      <c r="G185" s="14" t="s">
        <v>6145</v>
      </c>
      <c r="H185" s="1" t="s">
        <v>43</v>
      </c>
      <c r="I185" s="17">
        <v>40585</v>
      </c>
    </row>
    <row r="186" spans="1:10">
      <c r="A186" s="16" t="s">
        <v>15489</v>
      </c>
      <c r="B186" s="1" t="s">
        <v>2628</v>
      </c>
      <c r="C186" s="1">
        <v>1</v>
      </c>
      <c r="D186" s="1" t="s">
        <v>128</v>
      </c>
      <c r="E186" s="1" t="s">
        <v>10</v>
      </c>
      <c r="F186" s="1" t="s">
        <v>5091</v>
      </c>
      <c r="G186" s="14" t="s">
        <v>6145</v>
      </c>
      <c r="H186" s="1" t="s">
        <v>43</v>
      </c>
      <c r="I186" s="17">
        <v>40585</v>
      </c>
    </row>
    <row r="187" spans="1:10">
      <c r="A187" s="16" t="s">
        <v>15490</v>
      </c>
      <c r="B187" s="1" t="s">
        <v>2628</v>
      </c>
      <c r="C187" s="1">
        <v>1</v>
      </c>
      <c r="D187" s="1" t="s">
        <v>128</v>
      </c>
      <c r="E187" s="1" t="s">
        <v>10</v>
      </c>
      <c r="F187" s="1" t="s">
        <v>5091</v>
      </c>
      <c r="G187" s="14" t="s">
        <v>6145</v>
      </c>
      <c r="H187" s="1" t="s">
        <v>43</v>
      </c>
      <c r="I187" s="17">
        <v>40585</v>
      </c>
    </row>
    <row r="188" spans="1:10">
      <c r="A188" s="16" t="s">
        <v>15491</v>
      </c>
      <c r="B188" s="1" t="s">
        <v>2628</v>
      </c>
      <c r="C188" s="1">
        <v>1</v>
      </c>
      <c r="D188" s="1" t="s">
        <v>128</v>
      </c>
      <c r="E188" s="1" t="s">
        <v>10</v>
      </c>
      <c r="F188" s="1" t="s">
        <v>5091</v>
      </c>
      <c r="G188" s="14" t="s">
        <v>6145</v>
      </c>
      <c r="H188" s="1" t="s">
        <v>43</v>
      </c>
      <c r="I188" s="17">
        <v>40583</v>
      </c>
    </row>
    <row r="189" spans="1:10">
      <c r="A189" s="16" t="s">
        <v>15648</v>
      </c>
      <c r="B189" s="1" t="s">
        <v>2628</v>
      </c>
      <c r="C189" s="1">
        <v>1</v>
      </c>
      <c r="D189" s="1" t="s">
        <v>128</v>
      </c>
      <c r="E189" s="1" t="s">
        <v>10</v>
      </c>
      <c r="F189" s="1" t="s">
        <v>5091</v>
      </c>
      <c r="G189" s="14" t="s">
        <v>2400</v>
      </c>
      <c r="H189" s="1" t="s">
        <v>43</v>
      </c>
      <c r="I189" s="17">
        <v>40544</v>
      </c>
    </row>
    <row r="190" spans="1:10">
      <c r="A190" s="16" t="s">
        <v>15650</v>
      </c>
      <c r="B190" s="1" t="s">
        <v>2628</v>
      </c>
      <c r="C190" s="1">
        <v>1</v>
      </c>
      <c r="D190" s="1" t="s">
        <v>128</v>
      </c>
      <c r="E190" s="1" t="s">
        <v>10</v>
      </c>
      <c r="F190" s="1" t="s">
        <v>5091</v>
      </c>
      <c r="G190" s="14" t="s">
        <v>2400</v>
      </c>
      <c r="H190" s="1" t="s">
        <v>43</v>
      </c>
      <c r="I190" s="17">
        <v>40544</v>
      </c>
    </row>
    <row r="191" spans="1:10">
      <c r="A191" s="7" t="s">
        <v>15833</v>
      </c>
      <c r="B191" s="2" t="s">
        <v>2628</v>
      </c>
      <c r="C191" s="1">
        <v>1</v>
      </c>
      <c r="D191" s="1" t="s">
        <v>128</v>
      </c>
      <c r="E191" s="1" t="s">
        <v>10</v>
      </c>
      <c r="F191" s="1" t="s">
        <v>5091</v>
      </c>
      <c r="G191" s="22" t="s">
        <v>6181</v>
      </c>
      <c r="H191" s="2" t="s">
        <v>118</v>
      </c>
      <c r="I191" s="1" t="s">
        <v>4458</v>
      </c>
    </row>
    <row r="192" spans="1:10">
      <c r="A192" s="7" t="s">
        <v>15926</v>
      </c>
      <c r="B192" s="2" t="s">
        <v>2628</v>
      </c>
      <c r="C192" s="1">
        <v>2415</v>
      </c>
      <c r="D192" s="1" t="s">
        <v>128</v>
      </c>
      <c r="E192" s="1" t="s">
        <v>10</v>
      </c>
      <c r="F192" s="1" t="s">
        <v>5091</v>
      </c>
      <c r="G192" s="14" t="s">
        <v>6209</v>
      </c>
      <c r="H192" s="1" t="s">
        <v>43</v>
      </c>
      <c r="I192" s="1" t="s">
        <v>5092</v>
      </c>
    </row>
    <row r="193" spans="1:10">
      <c r="A193" s="7" t="s">
        <v>16075</v>
      </c>
      <c r="B193" s="2" t="s">
        <v>2628</v>
      </c>
      <c r="C193" s="1">
        <v>1</v>
      </c>
      <c r="D193" s="1" t="s">
        <v>128</v>
      </c>
      <c r="E193" s="1" t="s">
        <v>10</v>
      </c>
      <c r="F193" s="1" t="s">
        <v>5241</v>
      </c>
      <c r="G193" s="14" t="s">
        <v>4803</v>
      </c>
      <c r="H193" s="1" t="s">
        <v>5</v>
      </c>
      <c r="I193" s="1" t="s">
        <v>5801</v>
      </c>
    </row>
    <row r="194" spans="1:10">
      <c r="A194" s="7" t="s">
        <v>16088</v>
      </c>
      <c r="B194" s="2" t="s">
        <v>2628</v>
      </c>
      <c r="C194" s="1">
        <v>1</v>
      </c>
      <c r="D194" s="1" t="s">
        <v>128</v>
      </c>
      <c r="E194" s="1" t="s">
        <v>10</v>
      </c>
      <c r="F194" s="1" t="s">
        <v>5241</v>
      </c>
      <c r="G194" s="14" t="s">
        <v>4803</v>
      </c>
      <c r="H194" s="1" t="s">
        <v>5</v>
      </c>
      <c r="I194" s="1" t="s">
        <v>5801</v>
      </c>
    </row>
    <row r="195" spans="1:10">
      <c r="A195" s="7" t="s">
        <v>16089</v>
      </c>
      <c r="B195" s="2" t="s">
        <v>2628</v>
      </c>
      <c r="C195" s="1">
        <v>1</v>
      </c>
      <c r="D195" s="1" t="s">
        <v>128</v>
      </c>
      <c r="E195" s="1" t="s">
        <v>10</v>
      </c>
      <c r="F195" s="1" t="s">
        <v>5241</v>
      </c>
      <c r="G195" s="14" t="s">
        <v>4803</v>
      </c>
      <c r="H195" s="1" t="s">
        <v>5</v>
      </c>
      <c r="I195" s="1" t="s">
        <v>5801</v>
      </c>
    </row>
    <row r="196" spans="1:10">
      <c r="A196" s="7" t="s">
        <v>16094</v>
      </c>
      <c r="B196" s="2" t="s">
        <v>2628</v>
      </c>
      <c r="C196" s="1">
        <v>1</v>
      </c>
      <c r="D196" s="1" t="s">
        <v>128</v>
      </c>
      <c r="E196" s="1" t="s">
        <v>10</v>
      </c>
      <c r="F196" s="1" t="s">
        <v>5241</v>
      </c>
      <c r="G196" s="14" t="s">
        <v>4803</v>
      </c>
      <c r="H196" s="1" t="s">
        <v>5</v>
      </c>
      <c r="I196" s="1" t="s">
        <v>5801</v>
      </c>
    </row>
    <row r="197" spans="1:10">
      <c r="A197" s="7" t="s">
        <v>16126</v>
      </c>
      <c r="B197" s="2" t="s">
        <v>2631</v>
      </c>
      <c r="C197" s="1">
        <v>1</v>
      </c>
      <c r="D197" s="1" t="s">
        <v>128</v>
      </c>
      <c r="E197" s="1" t="s">
        <v>10</v>
      </c>
      <c r="F197" s="1" t="s">
        <v>5241</v>
      </c>
      <c r="G197" s="14" t="s">
        <v>6307</v>
      </c>
      <c r="H197" s="1" t="s">
        <v>44</v>
      </c>
      <c r="I197" s="1" t="s">
        <v>5807</v>
      </c>
    </row>
    <row r="198" spans="1:10">
      <c r="A198" s="7" t="s">
        <v>16127</v>
      </c>
      <c r="B198" s="2" t="s">
        <v>2631</v>
      </c>
      <c r="C198" s="1">
        <v>1</v>
      </c>
      <c r="D198" s="1" t="s">
        <v>128</v>
      </c>
      <c r="E198" s="1" t="s">
        <v>10</v>
      </c>
      <c r="F198" s="1" t="s">
        <v>5241</v>
      </c>
      <c r="G198" s="14" t="s">
        <v>6307</v>
      </c>
      <c r="H198" s="1" t="s">
        <v>44</v>
      </c>
      <c r="I198" s="1" t="s">
        <v>5807</v>
      </c>
    </row>
    <row r="199" spans="1:10">
      <c r="A199" s="7" t="s">
        <v>16132</v>
      </c>
      <c r="B199" s="2" t="s">
        <v>2631</v>
      </c>
      <c r="C199" s="1">
        <v>1</v>
      </c>
      <c r="D199" s="1" t="s">
        <v>128</v>
      </c>
      <c r="E199" s="1" t="s">
        <v>10</v>
      </c>
      <c r="F199" s="1" t="s">
        <v>5241</v>
      </c>
      <c r="G199" s="14" t="s">
        <v>6307</v>
      </c>
      <c r="H199" s="1" t="s">
        <v>44</v>
      </c>
      <c r="I199" s="1" t="s">
        <v>5807</v>
      </c>
    </row>
    <row r="200" spans="1:10">
      <c r="A200" s="7" t="s">
        <v>16177</v>
      </c>
      <c r="B200" s="2" t="s">
        <v>2628</v>
      </c>
      <c r="C200" s="1">
        <v>1</v>
      </c>
      <c r="D200" s="1" t="s">
        <v>128</v>
      </c>
      <c r="E200" s="1" t="s">
        <v>10</v>
      </c>
      <c r="F200" s="1" t="s">
        <v>5091</v>
      </c>
      <c r="G200" s="22" t="s">
        <v>6181</v>
      </c>
      <c r="H200" s="2" t="s">
        <v>118</v>
      </c>
      <c r="I200" s="1" t="s">
        <v>4458</v>
      </c>
    </row>
    <row r="201" spans="1:10">
      <c r="A201" s="7" t="s">
        <v>16190</v>
      </c>
      <c r="B201" s="2" t="s">
        <v>2631</v>
      </c>
      <c r="C201" s="1">
        <v>1</v>
      </c>
      <c r="D201" s="1" t="s">
        <v>128</v>
      </c>
      <c r="E201" s="1" t="s">
        <v>10</v>
      </c>
      <c r="F201" s="1" t="s">
        <v>5091</v>
      </c>
      <c r="G201" s="14" t="s">
        <v>4803</v>
      </c>
      <c r="H201" s="1" t="s">
        <v>5</v>
      </c>
      <c r="I201" s="1">
        <v>2019</v>
      </c>
    </row>
    <row r="202" spans="1:10">
      <c r="A202" s="7" t="s">
        <v>16231</v>
      </c>
      <c r="B202" s="2" t="s">
        <v>2631</v>
      </c>
      <c r="C202" s="1">
        <v>1</v>
      </c>
      <c r="D202" s="1" t="s">
        <v>128</v>
      </c>
      <c r="E202" s="1" t="s">
        <v>10</v>
      </c>
      <c r="F202" s="1" t="s">
        <v>139</v>
      </c>
      <c r="G202" s="14" t="s">
        <v>16232</v>
      </c>
      <c r="H202" s="1" t="s">
        <v>5</v>
      </c>
      <c r="I202" s="1">
        <v>2019</v>
      </c>
    </row>
    <row r="203" spans="1:10">
      <c r="A203" s="7" t="s">
        <v>16419</v>
      </c>
      <c r="B203" s="1" t="s">
        <v>2628</v>
      </c>
      <c r="C203" s="1">
        <v>1</v>
      </c>
      <c r="D203" s="1" t="s">
        <v>128</v>
      </c>
      <c r="E203" s="1" t="s">
        <v>10</v>
      </c>
      <c r="F203" s="1" t="s">
        <v>5091</v>
      </c>
      <c r="G203" s="1" t="s">
        <v>10705</v>
      </c>
      <c r="H203" s="1" t="s">
        <v>44</v>
      </c>
      <c r="I203" s="1" t="s">
        <v>5483</v>
      </c>
    </row>
    <row r="204" spans="1:10">
      <c r="A204" s="7" t="s">
        <v>16444</v>
      </c>
      <c r="B204" s="1" t="s">
        <v>2628</v>
      </c>
      <c r="C204" s="1">
        <v>1</v>
      </c>
      <c r="D204" s="1" t="s">
        <v>128</v>
      </c>
      <c r="E204" s="1" t="s">
        <v>10</v>
      </c>
      <c r="F204" s="1" t="s">
        <v>5091</v>
      </c>
      <c r="G204" s="1" t="s">
        <v>10705</v>
      </c>
      <c r="H204" s="1" t="s">
        <v>44</v>
      </c>
      <c r="I204" s="1" t="s">
        <v>5483</v>
      </c>
    </row>
    <row r="205" spans="1:10">
      <c r="A205" s="7" t="s">
        <v>16508</v>
      </c>
      <c r="B205" s="2" t="s">
        <v>2631</v>
      </c>
      <c r="C205" s="1">
        <v>1</v>
      </c>
      <c r="D205" s="1" t="s">
        <v>128</v>
      </c>
      <c r="E205" s="1" t="s">
        <v>10</v>
      </c>
      <c r="F205" s="1" t="s">
        <v>5241</v>
      </c>
      <c r="G205" s="14" t="s">
        <v>6307</v>
      </c>
      <c r="H205" s="1" t="s">
        <v>44</v>
      </c>
      <c r="I205" s="1">
        <v>2019</v>
      </c>
    </row>
    <row r="206" spans="1:10">
      <c r="A206" s="7" t="s">
        <v>16513</v>
      </c>
      <c r="B206" s="2" t="s">
        <v>2631</v>
      </c>
      <c r="C206" s="1">
        <v>1</v>
      </c>
      <c r="D206" s="1" t="s">
        <v>128</v>
      </c>
      <c r="E206" s="1" t="s">
        <v>10</v>
      </c>
      <c r="F206" s="1" t="s">
        <v>5241</v>
      </c>
      <c r="G206" s="14" t="s">
        <v>6307</v>
      </c>
      <c r="H206" s="1" t="s">
        <v>44</v>
      </c>
      <c r="I206" s="1">
        <v>2019</v>
      </c>
    </row>
    <row r="207" spans="1:10">
      <c r="A207" s="7" t="s">
        <v>16596</v>
      </c>
      <c r="B207" s="2" t="s">
        <v>2631</v>
      </c>
      <c r="C207" s="1">
        <v>1</v>
      </c>
      <c r="D207" s="1" t="s">
        <v>128</v>
      </c>
      <c r="E207" s="1" t="s">
        <v>10</v>
      </c>
      <c r="F207" s="1" t="s">
        <v>139</v>
      </c>
      <c r="G207" s="14" t="s">
        <v>16538</v>
      </c>
      <c r="H207" s="1" t="s">
        <v>5</v>
      </c>
      <c r="I207" s="1">
        <v>2019</v>
      </c>
    </row>
    <row r="208" spans="1:10">
      <c r="A208" s="7" t="s">
        <v>16597</v>
      </c>
      <c r="B208" s="2" t="s">
        <v>2631</v>
      </c>
      <c r="C208" s="1">
        <v>1</v>
      </c>
      <c r="D208" s="1" t="s">
        <v>128</v>
      </c>
      <c r="E208" s="1" t="s">
        <v>10</v>
      </c>
      <c r="F208" s="1" t="s">
        <v>139</v>
      </c>
      <c r="G208" s="14" t="s">
        <v>16538</v>
      </c>
      <c r="H208" s="1" t="s">
        <v>5</v>
      </c>
      <c r="I208" s="1">
        <v>2019</v>
      </c>
      <c r="J208" s="11"/>
    </row>
    <row r="209" spans="1:9">
      <c r="A209" s="7" t="s">
        <v>16626</v>
      </c>
      <c r="B209" s="2" t="s">
        <v>2631</v>
      </c>
      <c r="C209" s="1">
        <v>1</v>
      </c>
      <c r="D209" s="1" t="s">
        <v>128</v>
      </c>
      <c r="E209" s="1" t="s">
        <v>10</v>
      </c>
      <c r="F209" s="1" t="s">
        <v>2691</v>
      </c>
      <c r="G209" s="14" t="s">
        <v>6139</v>
      </c>
      <c r="H209" s="1" t="s">
        <v>43</v>
      </c>
      <c r="I209" s="1" t="s">
        <v>5807</v>
      </c>
    </row>
    <row r="210" spans="1:9">
      <c r="A210" s="7" t="s">
        <v>16730</v>
      </c>
      <c r="B210" s="1" t="s">
        <v>2628</v>
      </c>
      <c r="C210" s="1">
        <v>1</v>
      </c>
      <c r="D210" s="1" t="s">
        <v>128</v>
      </c>
      <c r="E210" s="1" t="s">
        <v>10</v>
      </c>
      <c r="F210" s="1" t="s">
        <v>16731</v>
      </c>
      <c r="G210" s="1" t="s">
        <v>6181</v>
      </c>
      <c r="H210" s="1" t="s">
        <v>118</v>
      </c>
      <c r="I210" s="1" t="s">
        <v>5848</v>
      </c>
    </row>
    <row r="211" spans="1:9">
      <c r="A211" s="7" t="s">
        <v>16732</v>
      </c>
      <c r="B211" s="1" t="s">
        <v>2628</v>
      </c>
      <c r="C211" s="1">
        <v>1</v>
      </c>
      <c r="D211" s="1" t="s">
        <v>128</v>
      </c>
      <c r="E211" s="1" t="s">
        <v>10</v>
      </c>
      <c r="F211" s="1" t="s">
        <v>16731</v>
      </c>
      <c r="G211" s="1" t="s">
        <v>6181</v>
      </c>
      <c r="H211" s="1" t="s">
        <v>118</v>
      </c>
      <c r="I211" s="1" t="s">
        <v>5855</v>
      </c>
    </row>
    <row r="212" spans="1:9">
      <c r="A212" s="7" t="s">
        <v>16775</v>
      </c>
      <c r="B212" s="2" t="s">
        <v>2631</v>
      </c>
      <c r="C212" s="1">
        <v>1</v>
      </c>
      <c r="D212" s="1" t="s">
        <v>128</v>
      </c>
      <c r="E212" s="1" t="s">
        <v>10</v>
      </c>
      <c r="F212" s="1" t="s">
        <v>2691</v>
      </c>
      <c r="G212" s="14" t="s">
        <v>16776</v>
      </c>
      <c r="H212" s="1" t="s">
        <v>43</v>
      </c>
      <c r="I212" s="1" t="s">
        <v>5807</v>
      </c>
    </row>
    <row r="213" spans="1:9">
      <c r="A213" s="7" t="s">
        <v>16803</v>
      </c>
      <c r="B213" s="2" t="s">
        <v>2628</v>
      </c>
      <c r="C213" s="1">
        <v>1</v>
      </c>
      <c r="D213" s="1" t="s">
        <v>128</v>
      </c>
      <c r="E213" s="1" t="s">
        <v>10</v>
      </c>
      <c r="F213" s="1" t="s">
        <v>5091</v>
      </c>
      <c r="G213" s="14" t="s">
        <v>16804</v>
      </c>
      <c r="H213" s="1" t="s">
        <v>43</v>
      </c>
      <c r="I213" s="1">
        <v>2007</v>
      </c>
    </row>
    <row r="214" spans="1:9">
      <c r="A214" s="7" t="s">
        <v>16805</v>
      </c>
      <c r="B214" s="2" t="s">
        <v>2628</v>
      </c>
      <c r="C214" s="1">
        <v>1</v>
      </c>
      <c r="D214" s="1" t="s">
        <v>128</v>
      </c>
      <c r="E214" s="1" t="s">
        <v>10</v>
      </c>
      <c r="F214" s="1" t="s">
        <v>5091</v>
      </c>
      <c r="G214" s="14" t="s">
        <v>16806</v>
      </c>
      <c r="H214" s="1" t="s">
        <v>43</v>
      </c>
      <c r="I214" s="1">
        <v>2007</v>
      </c>
    </row>
    <row r="215" spans="1:9">
      <c r="A215" s="7" t="s">
        <v>5602</v>
      </c>
      <c r="B215" s="1" t="s">
        <v>2629</v>
      </c>
      <c r="C215" s="1">
        <v>1</v>
      </c>
      <c r="D215" s="1" t="s">
        <v>128</v>
      </c>
      <c r="E215" s="1" t="s">
        <v>10</v>
      </c>
      <c r="F215" s="1" t="s">
        <v>2702</v>
      </c>
      <c r="G215" s="1" t="s">
        <v>4800</v>
      </c>
      <c r="H215" s="1" t="s">
        <v>27</v>
      </c>
      <c r="I215" s="17">
        <v>41275</v>
      </c>
    </row>
    <row r="216" spans="1:9">
      <c r="A216" s="16" t="s">
        <v>4875</v>
      </c>
      <c r="B216" s="1" t="s">
        <v>2631</v>
      </c>
      <c r="C216" s="1">
        <v>1</v>
      </c>
      <c r="D216" s="1" t="s">
        <v>128</v>
      </c>
      <c r="E216" s="1" t="s">
        <v>10</v>
      </c>
      <c r="F216" s="1" t="s">
        <v>2693</v>
      </c>
      <c r="G216" s="1" t="s">
        <v>4800</v>
      </c>
      <c r="H216" s="1" t="s">
        <v>27</v>
      </c>
      <c r="I216" s="17">
        <v>41275</v>
      </c>
    </row>
    <row r="217" spans="1:9">
      <c r="A217" s="16" t="s">
        <v>4882</v>
      </c>
      <c r="B217" s="1" t="s">
        <v>2631</v>
      </c>
      <c r="C217" s="1">
        <v>1</v>
      </c>
      <c r="D217" s="1" t="s">
        <v>128</v>
      </c>
      <c r="E217" s="1" t="s">
        <v>10</v>
      </c>
      <c r="F217" s="1" t="s">
        <v>2693</v>
      </c>
      <c r="G217" s="1" t="s">
        <v>4800</v>
      </c>
      <c r="H217" s="1" t="s">
        <v>27</v>
      </c>
      <c r="I217" s="17">
        <v>41275</v>
      </c>
    </row>
    <row r="218" spans="1:9">
      <c r="A218" s="16" t="s">
        <v>5084</v>
      </c>
      <c r="B218" s="1" t="s">
        <v>2631</v>
      </c>
      <c r="C218" s="1">
        <v>1</v>
      </c>
      <c r="D218" s="1" t="s">
        <v>128</v>
      </c>
      <c r="E218" s="1" t="s">
        <v>10</v>
      </c>
      <c r="F218" s="1" t="s">
        <v>2573</v>
      </c>
      <c r="G218" s="1" t="s">
        <v>4800</v>
      </c>
      <c r="H218" s="1" t="s">
        <v>27</v>
      </c>
      <c r="I218" s="17">
        <v>41640</v>
      </c>
    </row>
    <row r="219" spans="1:9">
      <c r="A219" s="16" t="s">
        <v>5325</v>
      </c>
      <c r="B219" s="1" t="s">
        <v>2631</v>
      </c>
      <c r="C219" s="1">
        <v>1</v>
      </c>
      <c r="D219" s="1" t="s">
        <v>128</v>
      </c>
      <c r="E219" s="1" t="s">
        <v>10</v>
      </c>
      <c r="F219" s="1" t="s">
        <v>2360</v>
      </c>
      <c r="G219" s="1" t="s">
        <v>4800</v>
      </c>
      <c r="H219" s="1" t="s">
        <v>27</v>
      </c>
      <c r="I219" s="17">
        <v>42370</v>
      </c>
    </row>
    <row r="220" spans="1:9">
      <c r="A220" s="16" t="s">
        <v>5397</v>
      </c>
      <c r="B220" s="1" t="s">
        <v>2631</v>
      </c>
      <c r="C220" s="1">
        <v>1</v>
      </c>
      <c r="D220" s="1" t="s">
        <v>128</v>
      </c>
      <c r="E220" s="1" t="s">
        <v>10</v>
      </c>
      <c r="F220" s="1" t="s">
        <v>2696</v>
      </c>
      <c r="G220" s="1" t="s">
        <v>4800</v>
      </c>
      <c r="H220" s="1" t="s">
        <v>27</v>
      </c>
      <c r="I220" s="17">
        <v>41640</v>
      </c>
    </row>
    <row r="221" spans="1:9">
      <c r="A221" s="16" t="s">
        <v>5405</v>
      </c>
      <c r="B221" s="1" t="s">
        <v>2631</v>
      </c>
      <c r="C221" s="1">
        <v>1</v>
      </c>
      <c r="D221" s="1" t="s">
        <v>128</v>
      </c>
      <c r="E221" s="1" t="s">
        <v>10</v>
      </c>
      <c r="F221" s="1" t="s">
        <v>406</v>
      </c>
      <c r="G221" s="1" t="s">
        <v>4800</v>
      </c>
      <c r="H221" s="1" t="s">
        <v>27</v>
      </c>
      <c r="I221" s="17">
        <v>41044</v>
      </c>
    </row>
    <row r="222" spans="1:9">
      <c r="A222" s="16" t="s">
        <v>5414</v>
      </c>
      <c r="B222" s="1" t="s">
        <v>2631</v>
      </c>
      <c r="C222" s="1">
        <v>1</v>
      </c>
      <c r="D222" s="1" t="s">
        <v>128</v>
      </c>
      <c r="E222" s="1" t="s">
        <v>10</v>
      </c>
      <c r="F222" s="1" t="s">
        <v>588</v>
      </c>
      <c r="G222" s="1" t="s">
        <v>4800</v>
      </c>
      <c r="H222" s="1" t="s">
        <v>27</v>
      </c>
      <c r="I222" s="17">
        <v>40670</v>
      </c>
    </row>
    <row r="223" spans="1:9">
      <c r="A223" s="16" t="s">
        <v>5436</v>
      </c>
      <c r="B223" s="1" t="s">
        <v>2631</v>
      </c>
      <c r="C223" s="1">
        <v>1</v>
      </c>
      <c r="D223" s="1" t="s">
        <v>128</v>
      </c>
      <c r="E223" s="1" t="s">
        <v>10</v>
      </c>
      <c r="F223" s="1" t="s">
        <v>588</v>
      </c>
      <c r="G223" s="1" t="s">
        <v>4800</v>
      </c>
      <c r="H223" s="1" t="s">
        <v>27</v>
      </c>
      <c r="I223" s="17">
        <v>42219</v>
      </c>
    </row>
    <row r="224" spans="1:9">
      <c r="A224" s="16" t="s">
        <v>5438</v>
      </c>
      <c r="B224" s="1" t="s">
        <v>2631</v>
      </c>
      <c r="C224" s="1">
        <v>1</v>
      </c>
      <c r="D224" s="1" t="s">
        <v>128</v>
      </c>
      <c r="E224" s="1" t="s">
        <v>10</v>
      </c>
      <c r="F224" s="1" t="s">
        <v>588</v>
      </c>
      <c r="G224" s="1" t="s">
        <v>4800</v>
      </c>
      <c r="H224" s="1" t="s">
        <v>27</v>
      </c>
      <c r="I224" s="17">
        <v>42269</v>
      </c>
    </row>
    <row r="225" spans="1:9">
      <c r="A225" s="16" t="s">
        <v>5459</v>
      </c>
      <c r="B225" s="1" t="s">
        <v>2631</v>
      </c>
      <c r="C225" s="1">
        <v>1</v>
      </c>
      <c r="D225" s="1" t="s">
        <v>128</v>
      </c>
      <c r="E225" s="1" t="s">
        <v>10</v>
      </c>
      <c r="F225" s="1" t="s">
        <v>588</v>
      </c>
      <c r="G225" s="1" t="s">
        <v>4800</v>
      </c>
      <c r="H225" s="1" t="s">
        <v>27</v>
      </c>
      <c r="I225" s="17">
        <v>42688</v>
      </c>
    </row>
    <row r="226" spans="1:9">
      <c r="A226" s="16" t="s">
        <v>5467</v>
      </c>
      <c r="B226" s="1" t="s">
        <v>2631</v>
      </c>
      <c r="C226" s="1">
        <v>1322</v>
      </c>
      <c r="D226" s="1" t="s">
        <v>128</v>
      </c>
      <c r="E226" s="1" t="s">
        <v>10</v>
      </c>
      <c r="F226" s="1" t="s">
        <v>2698</v>
      </c>
      <c r="G226" s="1" t="s">
        <v>4800</v>
      </c>
      <c r="H226" s="1" t="s">
        <v>27</v>
      </c>
      <c r="I226" s="17">
        <v>40909</v>
      </c>
    </row>
    <row r="227" spans="1:9">
      <c r="A227" s="16" t="s">
        <v>5468</v>
      </c>
      <c r="B227" s="1" t="s">
        <v>2631</v>
      </c>
      <c r="C227" s="1">
        <v>1</v>
      </c>
      <c r="D227" s="1" t="s">
        <v>128</v>
      </c>
      <c r="E227" s="1" t="s">
        <v>10</v>
      </c>
      <c r="F227" s="1" t="s">
        <v>2698</v>
      </c>
      <c r="G227" s="1" t="s">
        <v>4800</v>
      </c>
      <c r="H227" s="1" t="s">
        <v>27</v>
      </c>
      <c r="I227" s="17">
        <v>41275</v>
      </c>
    </row>
    <row r="228" spans="1:9">
      <c r="A228" s="16" t="s">
        <v>5487</v>
      </c>
      <c r="B228" s="1" t="s">
        <v>2631</v>
      </c>
      <c r="C228" s="1">
        <v>1322</v>
      </c>
      <c r="D228" s="1" t="s">
        <v>128</v>
      </c>
      <c r="E228" s="1" t="s">
        <v>10</v>
      </c>
      <c r="F228" s="1" t="s">
        <v>5485</v>
      </c>
      <c r="G228" s="1" t="s">
        <v>4800</v>
      </c>
      <c r="H228" s="1" t="s">
        <v>27</v>
      </c>
      <c r="I228" s="17">
        <v>40909</v>
      </c>
    </row>
    <row r="229" spans="1:9">
      <c r="A229" s="16" t="s">
        <v>5489</v>
      </c>
      <c r="B229" s="1" t="s">
        <v>2631</v>
      </c>
      <c r="C229" s="1">
        <v>1</v>
      </c>
      <c r="D229" s="1" t="s">
        <v>128</v>
      </c>
      <c r="E229" s="1" t="s">
        <v>10</v>
      </c>
      <c r="F229" s="1" t="s">
        <v>5485</v>
      </c>
      <c r="G229" s="1" t="s">
        <v>4800</v>
      </c>
      <c r="H229" s="1" t="s">
        <v>27</v>
      </c>
      <c r="I229" s="17">
        <v>41640</v>
      </c>
    </row>
    <row r="230" spans="1:9">
      <c r="A230" s="16" t="s">
        <v>5495</v>
      </c>
      <c r="B230" s="1" t="s">
        <v>2631</v>
      </c>
      <c r="C230" s="1">
        <v>1</v>
      </c>
      <c r="D230" s="1" t="s">
        <v>128</v>
      </c>
      <c r="E230" s="1" t="s">
        <v>10</v>
      </c>
      <c r="F230" s="1" t="s">
        <v>2699</v>
      </c>
      <c r="G230" s="1" t="s">
        <v>4800</v>
      </c>
      <c r="H230" s="1" t="s">
        <v>27</v>
      </c>
      <c r="I230" s="17">
        <v>40179</v>
      </c>
    </row>
    <row r="231" spans="1:9">
      <c r="A231" s="16" t="s">
        <v>5513</v>
      </c>
      <c r="B231" s="1" t="s">
        <v>2631</v>
      </c>
      <c r="C231" s="1">
        <v>1</v>
      </c>
      <c r="D231" s="1" t="s">
        <v>128</v>
      </c>
      <c r="E231" s="1" t="s">
        <v>10</v>
      </c>
      <c r="F231" s="1" t="s">
        <v>2699</v>
      </c>
      <c r="G231" s="1" t="s">
        <v>4800</v>
      </c>
      <c r="H231" s="1" t="s">
        <v>27</v>
      </c>
      <c r="I231" s="17">
        <v>40179</v>
      </c>
    </row>
    <row r="232" spans="1:9">
      <c r="A232" s="16" t="s">
        <v>5515</v>
      </c>
      <c r="B232" s="1" t="s">
        <v>2631</v>
      </c>
      <c r="C232" s="1">
        <v>1</v>
      </c>
      <c r="D232" s="1" t="s">
        <v>128</v>
      </c>
      <c r="E232" s="1" t="s">
        <v>10</v>
      </c>
      <c r="F232" s="1" t="s">
        <v>2699</v>
      </c>
      <c r="G232" s="1" t="s">
        <v>4800</v>
      </c>
      <c r="H232" s="1" t="s">
        <v>27</v>
      </c>
      <c r="I232" s="17">
        <v>40544</v>
      </c>
    </row>
    <row r="233" spans="1:9">
      <c r="A233" s="16" t="s">
        <v>5518</v>
      </c>
      <c r="B233" s="1" t="s">
        <v>2631</v>
      </c>
      <c r="C233" s="1">
        <v>1</v>
      </c>
      <c r="D233" s="1" t="s">
        <v>128</v>
      </c>
      <c r="E233" s="1" t="s">
        <v>10</v>
      </c>
      <c r="F233" s="1" t="s">
        <v>2699</v>
      </c>
      <c r="G233" s="1" t="s">
        <v>4800</v>
      </c>
      <c r="H233" s="1" t="s">
        <v>27</v>
      </c>
      <c r="I233" s="17">
        <v>40544</v>
      </c>
    </row>
    <row r="234" spans="1:9">
      <c r="A234" s="16" t="s">
        <v>5522</v>
      </c>
      <c r="B234" s="1" t="s">
        <v>2631</v>
      </c>
      <c r="C234" s="1">
        <v>1</v>
      </c>
      <c r="D234" s="1" t="s">
        <v>128</v>
      </c>
      <c r="E234" s="1" t="s">
        <v>10</v>
      </c>
      <c r="F234" s="1" t="s">
        <v>2699</v>
      </c>
      <c r="G234" s="1" t="s">
        <v>4800</v>
      </c>
      <c r="H234" s="1" t="s">
        <v>27</v>
      </c>
      <c r="I234" s="17">
        <v>40544</v>
      </c>
    </row>
    <row r="235" spans="1:9">
      <c r="A235" s="16" t="s">
        <v>5528</v>
      </c>
      <c r="B235" s="1" t="s">
        <v>2631</v>
      </c>
      <c r="C235" s="1">
        <v>1</v>
      </c>
      <c r="D235" s="1" t="s">
        <v>128</v>
      </c>
      <c r="E235" s="1" t="s">
        <v>10</v>
      </c>
      <c r="F235" s="1" t="s">
        <v>2699</v>
      </c>
      <c r="G235" s="1" t="s">
        <v>4800</v>
      </c>
      <c r="H235" s="1" t="s">
        <v>27</v>
      </c>
      <c r="I235" s="17">
        <v>40909</v>
      </c>
    </row>
    <row r="236" spans="1:9">
      <c r="A236" s="16" t="s">
        <v>5530</v>
      </c>
      <c r="B236" s="1" t="s">
        <v>2631</v>
      </c>
      <c r="C236" s="1">
        <v>1</v>
      </c>
      <c r="D236" s="1" t="s">
        <v>128</v>
      </c>
      <c r="E236" s="1" t="s">
        <v>10</v>
      </c>
      <c r="F236" s="1" t="s">
        <v>2699</v>
      </c>
      <c r="G236" s="1" t="s">
        <v>4800</v>
      </c>
      <c r="H236" s="1" t="s">
        <v>27</v>
      </c>
      <c r="I236" s="17">
        <v>40909</v>
      </c>
    </row>
    <row r="237" spans="1:9">
      <c r="A237" s="16" t="s">
        <v>5531</v>
      </c>
      <c r="B237" s="1" t="s">
        <v>2631</v>
      </c>
      <c r="C237" s="1">
        <v>1</v>
      </c>
      <c r="D237" s="1" t="s">
        <v>128</v>
      </c>
      <c r="E237" s="1" t="s">
        <v>10</v>
      </c>
      <c r="F237" s="1" t="s">
        <v>2699</v>
      </c>
      <c r="G237" s="1" t="s">
        <v>4800</v>
      </c>
      <c r="H237" s="1" t="s">
        <v>27</v>
      </c>
      <c r="I237" s="17">
        <v>40909</v>
      </c>
    </row>
    <row r="238" spans="1:9">
      <c r="A238" s="16" t="s">
        <v>5535</v>
      </c>
      <c r="B238" s="1" t="s">
        <v>2631</v>
      </c>
      <c r="C238" s="1">
        <v>1</v>
      </c>
      <c r="D238" s="1" t="s">
        <v>128</v>
      </c>
      <c r="E238" s="1" t="s">
        <v>10</v>
      </c>
      <c r="F238" s="1" t="s">
        <v>2699</v>
      </c>
      <c r="G238" s="1" t="s">
        <v>4800</v>
      </c>
      <c r="H238" s="1" t="s">
        <v>27</v>
      </c>
      <c r="I238" s="17">
        <v>40909</v>
      </c>
    </row>
    <row r="239" spans="1:9">
      <c r="A239" s="16" t="s">
        <v>5537</v>
      </c>
      <c r="B239" s="1" t="s">
        <v>2631</v>
      </c>
      <c r="C239" s="1">
        <v>1</v>
      </c>
      <c r="D239" s="1" t="s">
        <v>128</v>
      </c>
      <c r="E239" s="1" t="s">
        <v>10</v>
      </c>
      <c r="F239" s="1" t="s">
        <v>2699</v>
      </c>
      <c r="G239" s="1" t="s">
        <v>4800</v>
      </c>
      <c r="H239" s="1" t="s">
        <v>27</v>
      </c>
      <c r="I239" s="17">
        <v>41275</v>
      </c>
    </row>
    <row r="240" spans="1:9">
      <c r="A240" s="16" t="s">
        <v>5553</v>
      </c>
      <c r="B240" s="1" t="s">
        <v>2631</v>
      </c>
      <c r="C240" s="1">
        <v>1</v>
      </c>
      <c r="D240" s="1" t="s">
        <v>128</v>
      </c>
      <c r="E240" s="1" t="s">
        <v>10</v>
      </c>
      <c r="F240" s="1" t="s">
        <v>2699</v>
      </c>
      <c r="G240" s="1" t="s">
        <v>4800</v>
      </c>
      <c r="H240" s="1" t="s">
        <v>27</v>
      </c>
      <c r="I240" s="17">
        <v>41640</v>
      </c>
    </row>
    <row r="241" spans="1:9">
      <c r="A241" s="16" t="s">
        <v>5559</v>
      </c>
      <c r="B241" s="1" t="s">
        <v>2631</v>
      </c>
      <c r="C241" s="1">
        <v>1</v>
      </c>
      <c r="D241" s="1" t="s">
        <v>128</v>
      </c>
      <c r="E241" s="1" t="s">
        <v>10</v>
      </c>
      <c r="F241" s="1" t="s">
        <v>2699</v>
      </c>
      <c r="G241" s="1" t="s">
        <v>4800</v>
      </c>
      <c r="H241" s="1" t="s">
        <v>27</v>
      </c>
      <c r="I241" s="17">
        <v>42005</v>
      </c>
    </row>
    <row r="242" spans="1:9">
      <c r="A242" s="16" t="s">
        <v>5572</v>
      </c>
      <c r="B242" s="1" t="s">
        <v>2631</v>
      </c>
      <c r="C242" s="1">
        <v>1</v>
      </c>
      <c r="D242" s="1" t="s">
        <v>128</v>
      </c>
      <c r="E242" s="1" t="s">
        <v>10</v>
      </c>
      <c r="F242" s="1" t="s">
        <v>449</v>
      </c>
      <c r="G242" s="1" t="s">
        <v>4800</v>
      </c>
      <c r="H242" s="1" t="s">
        <v>27</v>
      </c>
      <c r="I242" s="17">
        <v>41275</v>
      </c>
    </row>
    <row r="243" spans="1:9">
      <c r="A243" s="16" t="s">
        <v>5586</v>
      </c>
      <c r="B243" s="1" t="s">
        <v>2631</v>
      </c>
      <c r="C243" s="1">
        <v>1</v>
      </c>
      <c r="D243" s="1" t="s">
        <v>128</v>
      </c>
      <c r="E243" s="1" t="s">
        <v>10</v>
      </c>
      <c r="F243" s="1" t="s">
        <v>2700</v>
      </c>
      <c r="G243" s="1" t="s">
        <v>4800</v>
      </c>
      <c r="H243" s="1" t="s">
        <v>27</v>
      </c>
      <c r="I243" s="17">
        <v>41275</v>
      </c>
    </row>
    <row r="244" spans="1:9">
      <c r="A244" s="16" t="s">
        <v>5609</v>
      </c>
      <c r="B244" s="1" t="s">
        <v>2631</v>
      </c>
      <c r="C244" s="1">
        <v>1</v>
      </c>
      <c r="D244" s="1" t="s">
        <v>128</v>
      </c>
      <c r="E244" s="1" t="s">
        <v>10</v>
      </c>
      <c r="F244" s="1" t="s">
        <v>2573</v>
      </c>
      <c r="G244" s="1" t="s">
        <v>4800</v>
      </c>
      <c r="H244" s="1" t="s">
        <v>27</v>
      </c>
      <c r="I244" s="17">
        <v>42005</v>
      </c>
    </row>
    <row r="245" spans="1:9">
      <c r="A245" s="7" t="s">
        <v>5850</v>
      </c>
      <c r="B245" s="2" t="s">
        <v>2631</v>
      </c>
      <c r="C245" s="1">
        <v>1</v>
      </c>
      <c r="D245" s="1" t="s">
        <v>128</v>
      </c>
      <c r="E245" s="1" t="s">
        <v>10</v>
      </c>
      <c r="F245" s="1" t="s">
        <v>118</v>
      </c>
      <c r="G245" s="14" t="s">
        <v>4800</v>
      </c>
      <c r="H245" s="1" t="s">
        <v>27</v>
      </c>
      <c r="I245" s="1" t="s">
        <v>5807</v>
      </c>
    </row>
    <row r="246" spans="1:9">
      <c r="A246" s="7" t="s">
        <v>5962</v>
      </c>
      <c r="B246" s="1" t="s">
        <v>2631</v>
      </c>
      <c r="C246" s="1">
        <v>1</v>
      </c>
      <c r="D246" s="1" t="s">
        <v>128</v>
      </c>
      <c r="E246" s="1" t="s">
        <v>10</v>
      </c>
      <c r="F246" s="1" t="s">
        <v>139</v>
      </c>
      <c r="G246" s="1" t="s">
        <v>5853</v>
      </c>
      <c r="H246" s="1" t="s">
        <v>27</v>
      </c>
      <c r="I246" s="1" t="s">
        <v>5722</v>
      </c>
    </row>
    <row r="247" spans="1:9">
      <c r="A247" s="7" t="s">
        <v>5963</v>
      </c>
      <c r="B247" s="1" t="s">
        <v>2631</v>
      </c>
      <c r="C247" s="1">
        <v>1</v>
      </c>
      <c r="D247" s="1" t="s">
        <v>128</v>
      </c>
      <c r="E247" s="1" t="s">
        <v>10</v>
      </c>
      <c r="F247" s="1" t="s">
        <v>139</v>
      </c>
      <c r="G247" s="1" t="s">
        <v>4800</v>
      </c>
      <c r="H247" s="1" t="s">
        <v>27</v>
      </c>
      <c r="I247" s="1" t="s">
        <v>5722</v>
      </c>
    </row>
    <row r="248" spans="1:9">
      <c r="A248" s="7" t="s">
        <v>5964</v>
      </c>
      <c r="B248" s="1" t="s">
        <v>2631</v>
      </c>
      <c r="C248" s="1">
        <v>1</v>
      </c>
      <c r="D248" s="1" t="s">
        <v>128</v>
      </c>
      <c r="E248" s="1" t="s">
        <v>10</v>
      </c>
      <c r="F248" s="1" t="s">
        <v>139</v>
      </c>
      <c r="G248" s="1" t="s">
        <v>5853</v>
      </c>
      <c r="H248" s="1" t="s">
        <v>27</v>
      </c>
      <c r="I248" s="1" t="s">
        <v>5855</v>
      </c>
    </row>
    <row r="249" spans="1:9">
      <c r="A249" s="7" t="s">
        <v>5966</v>
      </c>
      <c r="B249" s="1" t="s">
        <v>2631</v>
      </c>
      <c r="C249" s="1">
        <v>1</v>
      </c>
      <c r="D249" s="1" t="s">
        <v>128</v>
      </c>
      <c r="E249" s="1" t="s">
        <v>10</v>
      </c>
      <c r="F249" s="1" t="s">
        <v>139</v>
      </c>
      <c r="G249" s="1" t="s">
        <v>5853</v>
      </c>
      <c r="H249" s="1" t="s">
        <v>27</v>
      </c>
      <c r="I249" s="1" t="s">
        <v>5722</v>
      </c>
    </row>
    <row r="250" spans="1:9">
      <c r="A250" s="7" t="s">
        <v>5967</v>
      </c>
      <c r="B250" s="1" t="s">
        <v>2631</v>
      </c>
      <c r="C250" s="1">
        <v>1</v>
      </c>
      <c r="D250" s="1" t="s">
        <v>128</v>
      </c>
      <c r="E250" s="1" t="s">
        <v>10</v>
      </c>
      <c r="F250" s="1" t="s">
        <v>139</v>
      </c>
      <c r="G250" s="1" t="s">
        <v>5853</v>
      </c>
      <c r="H250" s="1" t="s">
        <v>27</v>
      </c>
      <c r="I250" s="1" t="s">
        <v>5848</v>
      </c>
    </row>
    <row r="251" spans="1:9">
      <c r="A251" s="7" t="s">
        <v>5968</v>
      </c>
      <c r="B251" s="1" t="s">
        <v>2631</v>
      </c>
      <c r="C251" s="1">
        <v>1</v>
      </c>
      <c r="D251" s="1" t="s">
        <v>128</v>
      </c>
      <c r="E251" s="1" t="s">
        <v>10</v>
      </c>
      <c r="F251" s="1" t="s">
        <v>139</v>
      </c>
      <c r="G251" s="1" t="s">
        <v>5853</v>
      </c>
      <c r="H251" s="1" t="s">
        <v>27</v>
      </c>
      <c r="I251" s="1" t="s">
        <v>5848</v>
      </c>
    </row>
    <row r="252" spans="1:9">
      <c r="A252" s="7" t="s">
        <v>5970</v>
      </c>
      <c r="B252" s="1" t="s">
        <v>2631</v>
      </c>
      <c r="C252" s="1">
        <v>1</v>
      </c>
      <c r="D252" s="1" t="s">
        <v>128</v>
      </c>
      <c r="E252" s="1" t="s">
        <v>10</v>
      </c>
      <c r="F252" s="1" t="s">
        <v>139</v>
      </c>
      <c r="G252" s="1" t="s">
        <v>5861</v>
      </c>
      <c r="H252" s="1" t="s">
        <v>27</v>
      </c>
      <c r="I252" s="1" t="s">
        <v>5855</v>
      </c>
    </row>
    <row r="253" spans="1:9">
      <c r="A253" s="7" t="s">
        <v>5971</v>
      </c>
      <c r="B253" s="1" t="s">
        <v>2631</v>
      </c>
      <c r="C253" s="1">
        <v>1</v>
      </c>
      <c r="D253" s="1" t="s">
        <v>128</v>
      </c>
      <c r="E253" s="1" t="s">
        <v>10</v>
      </c>
      <c r="F253" s="1" t="s">
        <v>139</v>
      </c>
      <c r="G253" s="1" t="s">
        <v>5853</v>
      </c>
      <c r="H253" s="1" t="s">
        <v>27</v>
      </c>
      <c r="I253" s="1" t="s">
        <v>5848</v>
      </c>
    </row>
    <row r="254" spans="1:9">
      <c r="A254" s="7" t="s">
        <v>5972</v>
      </c>
      <c r="B254" s="1" t="s">
        <v>2631</v>
      </c>
      <c r="C254" s="1">
        <v>1</v>
      </c>
      <c r="D254" s="1" t="s">
        <v>128</v>
      </c>
      <c r="E254" s="1" t="s">
        <v>10</v>
      </c>
      <c r="F254" s="1" t="s">
        <v>139</v>
      </c>
      <c r="G254" s="1" t="s">
        <v>5853</v>
      </c>
      <c r="H254" s="1" t="s">
        <v>27</v>
      </c>
      <c r="I254" s="1" t="s">
        <v>5722</v>
      </c>
    </row>
    <row r="255" spans="1:9">
      <c r="A255" s="7" t="s">
        <v>5973</v>
      </c>
      <c r="B255" s="1" t="s">
        <v>2631</v>
      </c>
      <c r="C255" s="1">
        <v>1</v>
      </c>
      <c r="D255" s="1" t="s">
        <v>128</v>
      </c>
      <c r="E255" s="1" t="s">
        <v>10</v>
      </c>
      <c r="F255" s="1" t="s">
        <v>139</v>
      </c>
      <c r="G255" s="1" t="s">
        <v>5853</v>
      </c>
      <c r="H255" s="1" t="s">
        <v>27</v>
      </c>
      <c r="I255" s="1" t="s">
        <v>5855</v>
      </c>
    </row>
    <row r="256" spans="1:9">
      <c r="A256" s="7" t="s">
        <v>5974</v>
      </c>
      <c r="B256" s="1" t="s">
        <v>2631</v>
      </c>
      <c r="C256" s="1">
        <v>1</v>
      </c>
      <c r="D256" s="1" t="s">
        <v>128</v>
      </c>
      <c r="E256" s="1" t="s">
        <v>10</v>
      </c>
      <c r="F256" s="1" t="s">
        <v>139</v>
      </c>
      <c r="G256" s="1" t="s">
        <v>5853</v>
      </c>
      <c r="H256" s="1" t="s">
        <v>27</v>
      </c>
      <c r="I256" s="1" t="s">
        <v>5722</v>
      </c>
    </row>
    <row r="257" spans="1:9">
      <c r="A257" s="7" t="s">
        <v>5975</v>
      </c>
      <c r="B257" s="1" t="s">
        <v>2631</v>
      </c>
      <c r="C257" s="1">
        <v>1</v>
      </c>
      <c r="D257" s="1" t="s">
        <v>128</v>
      </c>
      <c r="E257" s="1" t="s">
        <v>10</v>
      </c>
      <c r="F257" s="1" t="s">
        <v>139</v>
      </c>
      <c r="G257" s="1" t="s">
        <v>5853</v>
      </c>
      <c r="H257" s="1" t="s">
        <v>27</v>
      </c>
      <c r="I257" s="1" t="s">
        <v>5848</v>
      </c>
    </row>
    <row r="258" spans="1:9">
      <c r="A258" s="7" t="s">
        <v>5976</v>
      </c>
      <c r="B258" s="1" t="s">
        <v>2631</v>
      </c>
      <c r="C258" s="1">
        <v>1</v>
      </c>
      <c r="D258" s="1" t="s">
        <v>128</v>
      </c>
      <c r="E258" s="1" t="s">
        <v>10</v>
      </c>
      <c r="F258" s="1" t="s">
        <v>139</v>
      </c>
      <c r="G258" s="1" t="s">
        <v>5853</v>
      </c>
      <c r="H258" s="1" t="s">
        <v>27</v>
      </c>
      <c r="I258" s="1" t="s">
        <v>5848</v>
      </c>
    </row>
    <row r="259" spans="1:9">
      <c r="A259" s="7" t="s">
        <v>5977</v>
      </c>
      <c r="B259" s="1" t="s">
        <v>2631</v>
      </c>
      <c r="C259" s="1">
        <v>1</v>
      </c>
      <c r="D259" s="1" t="s">
        <v>128</v>
      </c>
      <c r="E259" s="1" t="s">
        <v>10</v>
      </c>
      <c r="F259" s="1" t="s">
        <v>139</v>
      </c>
      <c r="G259" s="1" t="s">
        <v>5853</v>
      </c>
      <c r="H259" s="1" t="s">
        <v>27</v>
      </c>
      <c r="I259" s="1" t="s">
        <v>5722</v>
      </c>
    </row>
    <row r="260" spans="1:9">
      <c r="A260" s="7" t="s">
        <v>5978</v>
      </c>
      <c r="B260" s="1" t="s">
        <v>2631</v>
      </c>
      <c r="C260" s="1">
        <v>1</v>
      </c>
      <c r="D260" s="1" t="s">
        <v>128</v>
      </c>
      <c r="E260" s="1" t="s">
        <v>10</v>
      </c>
      <c r="F260" s="1" t="s">
        <v>139</v>
      </c>
      <c r="G260" s="1" t="s">
        <v>5853</v>
      </c>
      <c r="H260" s="1" t="s">
        <v>27</v>
      </c>
      <c r="I260" s="1" t="s">
        <v>5722</v>
      </c>
    </row>
    <row r="261" spans="1:9">
      <c r="A261" s="7" t="s">
        <v>5979</v>
      </c>
      <c r="B261" s="1" t="s">
        <v>2631</v>
      </c>
      <c r="C261" s="1">
        <v>1</v>
      </c>
      <c r="D261" s="1" t="s">
        <v>128</v>
      </c>
      <c r="E261" s="1" t="s">
        <v>10</v>
      </c>
      <c r="F261" s="1" t="s">
        <v>139</v>
      </c>
      <c r="G261" s="1" t="s">
        <v>5853</v>
      </c>
      <c r="H261" s="1" t="s">
        <v>27</v>
      </c>
      <c r="I261" s="1" t="s">
        <v>5722</v>
      </c>
    </row>
    <row r="262" spans="1:9">
      <c r="A262" s="7" t="s">
        <v>5980</v>
      </c>
      <c r="B262" s="1" t="s">
        <v>2631</v>
      </c>
      <c r="C262" s="1">
        <v>1</v>
      </c>
      <c r="D262" s="1" t="s">
        <v>128</v>
      </c>
      <c r="E262" s="1" t="s">
        <v>10</v>
      </c>
      <c r="F262" s="1" t="s">
        <v>139</v>
      </c>
      <c r="G262" s="1" t="s">
        <v>5861</v>
      </c>
      <c r="H262" s="1" t="s">
        <v>27</v>
      </c>
      <c r="I262" s="1" t="s">
        <v>5855</v>
      </c>
    </row>
    <row r="263" spans="1:9">
      <c r="A263" s="7" t="s">
        <v>5981</v>
      </c>
      <c r="B263" s="1" t="s">
        <v>2631</v>
      </c>
      <c r="C263" s="1">
        <v>1</v>
      </c>
      <c r="D263" s="1" t="s">
        <v>128</v>
      </c>
      <c r="E263" s="1" t="s">
        <v>10</v>
      </c>
      <c r="F263" s="1" t="s">
        <v>139</v>
      </c>
      <c r="G263" s="1" t="s">
        <v>5853</v>
      </c>
      <c r="H263" s="1" t="s">
        <v>27</v>
      </c>
      <c r="I263" s="1" t="s">
        <v>5722</v>
      </c>
    </row>
    <row r="264" spans="1:9">
      <c r="A264" s="7" t="s">
        <v>5982</v>
      </c>
      <c r="B264" s="1" t="s">
        <v>2631</v>
      </c>
      <c r="C264" s="1">
        <v>1</v>
      </c>
      <c r="D264" s="1" t="s">
        <v>128</v>
      </c>
      <c r="E264" s="1" t="s">
        <v>10</v>
      </c>
      <c r="F264" s="1" t="s">
        <v>139</v>
      </c>
      <c r="G264" s="1" t="s">
        <v>5853</v>
      </c>
      <c r="H264" s="1" t="s">
        <v>27</v>
      </c>
      <c r="I264" s="1" t="s">
        <v>5722</v>
      </c>
    </row>
    <row r="265" spans="1:9">
      <c r="A265" s="7" t="s">
        <v>5983</v>
      </c>
      <c r="B265" s="1" t="s">
        <v>2631</v>
      </c>
      <c r="C265" s="1">
        <v>1</v>
      </c>
      <c r="D265" s="1" t="s">
        <v>128</v>
      </c>
      <c r="E265" s="1" t="s">
        <v>10</v>
      </c>
      <c r="F265" s="1" t="s">
        <v>139</v>
      </c>
      <c r="G265" s="1" t="s">
        <v>5853</v>
      </c>
      <c r="H265" s="1" t="s">
        <v>27</v>
      </c>
      <c r="I265" s="1" t="s">
        <v>5722</v>
      </c>
    </row>
    <row r="266" spans="1:9">
      <c r="A266" s="7" t="s">
        <v>5984</v>
      </c>
      <c r="B266" s="1" t="s">
        <v>2631</v>
      </c>
      <c r="C266" s="1">
        <v>1</v>
      </c>
      <c r="D266" s="1" t="s">
        <v>128</v>
      </c>
      <c r="E266" s="1" t="s">
        <v>10</v>
      </c>
      <c r="F266" s="1" t="s">
        <v>139</v>
      </c>
      <c r="G266" s="1" t="s">
        <v>5853</v>
      </c>
      <c r="H266" s="1" t="s">
        <v>27</v>
      </c>
      <c r="I266" s="1" t="s">
        <v>5722</v>
      </c>
    </row>
    <row r="267" spans="1:9">
      <c r="A267" s="7" t="s">
        <v>5985</v>
      </c>
      <c r="B267" s="1" t="s">
        <v>2631</v>
      </c>
      <c r="C267" s="1">
        <v>1</v>
      </c>
      <c r="D267" s="1" t="s">
        <v>128</v>
      </c>
      <c r="E267" s="1" t="s">
        <v>10</v>
      </c>
      <c r="F267" s="1" t="s">
        <v>139</v>
      </c>
      <c r="G267" s="1" t="s">
        <v>5853</v>
      </c>
      <c r="H267" s="1" t="s">
        <v>27</v>
      </c>
      <c r="I267" s="1" t="s">
        <v>5722</v>
      </c>
    </row>
    <row r="268" spans="1:9">
      <c r="A268" s="7" t="s">
        <v>5986</v>
      </c>
      <c r="B268" s="1" t="s">
        <v>2631</v>
      </c>
      <c r="C268" s="1">
        <v>1</v>
      </c>
      <c r="D268" s="1" t="s">
        <v>128</v>
      </c>
      <c r="E268" s="1" t="s">
        <v>10</v>
      </c>
      <c r="F268" s="1" t="s">
        <v>139</v>
      </c>
      <c r="G268" s="1" t="s">
        <v>5853</v>
      </c>
      <c r="H268" s="1" t="s">
        <v>27</v>
      </c>
      <c r="I268" s="1" t="s">
        <v>5722</v>
      </c>
    </row>
    <row r="269" spans="1:9">
      <c r="A269" s="7" t="s">
        <v>5987</v>
      </c>
      <c r="B269" s="1" t="s">
        <v>2631</v>
      </c>
      <c r="C269" s="1">
        <v>1</v>
      </c>
      <c r="D269" s="1" t="s">
        <v>128</v>
      </c>
      <c r="E269" s="1" t="s">
        <v>10</v>
      </c>
      <c r="F269" s="1" t="s">
        <v>139</v>
      </c>
      <c r="G269" s="1" t="s">
        <v>5853</v>
      </c>
      <c r="H269" s="1" t="s">
        <v>27</v>
      </c>
      <c r="I269" s="1" t="s">
        <v>5722</v>
      </c>
    </row>
    <row r="270" spans="1:9">
      <c r="A270" s="7" t="s">
        <v>5988</v>
      </c>
      <c r="B270" s="1" t="s">
        <v>2631</v>
      </c>
      <c r="C270" s="1">
        <v>1</v>
      </c>
      <c r="D270" s="1" t="s">
        <v>128</v>
      </c>
      <c r="E270" s="1" t="s">
        <v>10</v>
      </c>
      <c r="F270" s="1" t="s">
        <v>139</v>
      </c>
      <c r="G270" s="1" t="s">
        <v>5853</v>
      </c>
      <c r="H270" s="1" t="s">
        <v>27</v>
      </c>
      <c r="I270" s="1" t="s">
        <v>5722</v>
      </c>
    </row>
    <row r="271" spans="1:9">
      <c r="A271" s="7" t="s">
        <v>5989</v>
      </c>
      <c r="B271" s="1" t="s">
        <v>2631</v>
      </c>
      <c r="C271" s="1">
        <v>1</v>
      </c>
      <c r="D271" s="1" t="s">
        <v>128</v>
      </c>
      <c r="E271" s="1" t="s">
        <v>10</v>
      </c>
      <c r="F271" s="1" t="s">
        <v>139</v>
      </c>
      <c r="G271" s="1" t="s">
        <v>5853</v>
      </c>
      <c r="H271" s="1" t="s">
        <v>27</v>
      </c>
      <c r="I271" s="1" t="s">
        <v>5722</v>
      </c>
    </row>
    <row r="272" spans="1:9">
      <c r="A272" s="7" t="s">
        <v>5990</v>
      </c>
      <c r="B272" s="1" t="s">
        <v>2631</v>
      </c>
      <c r="C272" s="1">
        <v>1</v>
      </c>
      <c r="D272" s="1" t="s">
        <v>128</v>
      </c>
      <c r="E272" s="1" t="s">
        <v>10</v>
      </c>
      <c r="F272" s="1" t="s">
        <v>139</v>
      </c>
      <c r="G272" s="1" t="s">
        <v>5853</v>
      </c>
      <c r="H272" s="1" t="s">
        <v>27</v>
      </c>
      <c r="I272" s="1" t="s">
        <v>5722</v>
      </c>
    </row>
    <row r="273" spans="1:9">
      <c r="A273" s="7" t="s">
        <v>5991</v>
      </c>
      <c r="B273" s="1" t="s">
        <v>2631</v>
      </c>
      <c r="C273" s="1">
        <v>1</v>
      </c>
      <c r="D273" s="1" t="s">
        <v>128</v>
      </c>
      <c r="E273" s="1" t="s">
        <v>10</v>
      </c>
      <c r="F273" s="1" t="s">
        <v>139</v>
      </c>
      <c r="G273" s="1" t="s">
        <v>5853</v>
      </c>
      <c r="H273" s="1" t="s">
        <v>27</v>
      </c>
      <c r="I273" s="1" t="s">
        <v>5848</v>
      </c>
    </row>
    <row r="274" spans="1:9">
      <c r="A274" s="16" t="s">
        <v>6126</v>
      </c>
      <c r="B274" s="1" t="s">
        <v>2631</v>
      </c>
      <c r="C274" s="1">
        <v>1</v>
      </c>
      <c r="D274" s="1" t="s">
        <v>128</v>
      </c>
      <c r="E274" s="1" t="s">
        <v>10</v>
      </c>
      <c r="F274" s="1" t="s">
        <v>2699</v>
      </c>
      <c r="G274" s="1" t="s">
        <v>4800</v>
      </c>
      <c r="H274" s="1" t="s">
        <v>27</v>
      </c>
      <c r="I274" s="17">
        <v>38718</v>
      </c>
    </row>
    <row r="275" spans="1:9">
      <c r="A275" s="16" t="s">
        <v>10778</v>
      </c>
      <c r="B275" s="1" t="s">
        <v>2631</v>
      </c>
      <c r="C275" s="1">
        <v>1</v>
      </c>
      <c r="D275" s="1" t="s">
        <v>128</v>
      </c>
      <c r="E275" s="1" t="s">
        <v>10</v>
      </c>
      <c r="F275" s="1" t="s">
        <v>2698</v>
      </c>
      <c r="G275" s="1" t="s">
        <v>4800</v>
      </c>
      <c r="H275" s="1" t="s">
        <v>27</v>
      </c>
      <c r="I275" s="17">
        <v>41275</v>
      </c>
    </row>
    <row r="276" spans="1:9">
      <c r="A276" s="16" t="s">
        <v>11156</v>
      </c>
      <c r="B276" s="1" t="s">
        <v>2631</v>
      </c>
      <c r="C276" s="1">
        <v>1322</v>
      </c>
      <c r="D276" s="1" t="s">
        <v>128</v>
      </c>
      <c r="E276" s="1" t="s">
        <v>10</v>
      </c>
      <c r="F276" s="1" t="s">
        <v>2698</v>
      </c>
      <c r="G276" s="1" t="s">
        <v>4800</v>
      </c>
      <c r="H276" s="1" t="s">
        <v>27</v>
      </c>
      <c r="I276" s="17">
        <v>40909</v>
      </c>
    </row>
    <row r="277" spans="1:9">
      <c r="A277" s="16" t="s">
        <v>11450</v>
      </c>
      <c r="B277" s="1" t="s">
        <v>2631</v>
      </c>
      <c r="C277" s="1">
        <v>1</v>
      </c>
      <c r="D277" s="1" t="s">
        <v>128</v>
      </c>
      <c r="E277" s="1" t="s">
        <v>10</v>
      </c>
      <c r="F277" s="1" t="s">
        <v>5241</v>
      </c>
      <c r="G277" s="1" t="s">
        <v>4800</v>
      </c>
      <c r="H277" s="1" t="s">
        <v>27</v>
      </c>
      <c r="I277" s="17">
        <v>41456</v>
      </c>
    </row>
    <row r="278" spans="1:9">
      <c r="A278" s="16" t="s">
        <v>11453</v>
      </c>
      <c r="B278" s="1" t="s">
        <v>2631</v>
      </c>
      <c r="C278" s="1">
        <v>1</v>
      </c>
      <c r="D278" s="1" t="s">
        <v>128</v>
      </c>
      <c r="E278" s="1" t="s">
        <v>10</v>
      </c>
      <c r="F278" s="1" t="s">
        <v>5241</v>
      </c>
      <c r="G278" s="1" t="s">
        <v>4800</v>
      </c>
      <c r="H278" s="1" t="s">
        <v>27</v>
      </c>
      <c r="I278" s="17">
        <v>41609</v>
      </c>
    </row>
    <row r="279" spans="1:9">
      <c r="A279" s="16" t="s">
        <v>11457</v>
      </c>
      <c r="B279" s="1" t="s">
        <v>2631</v>
      </c>
      <c r="C279" s="1">
        <v>1</v>
      </c>
      <c r="D279" s="1" t="s">
        <v>128</v>
      </c>
      <c r="E279" s="1" t="s">
        <v>10</v>
      </c>
      <c r="F279" s="1" t="s">
        <v>5241</v>
      </c>
      <c r="G279" s="1" t="s">
        <v>4800</v>
      </c>
      <c r="H279" s="1" t="s">
        <v>27</v>
      </c>
      <c r="I279" s="17">
        <v>41548</v>
      </c>
    </row>
    <row r="280" spans="1:9">
      <c r="A280" s="16" t="s">
        <v>11458</v>
      </c>
      <c r="B280" s="1" t="s">
        <v>2631</v>
      </c>
      <c r="C280" s="1">
        <v>1</v>
      </c>
      <c r="D280" s="1" t="s">
        <v>128</v>
      </c>
      <c r="E280" s="1" t="s">
        <v>10</v>
      </c>
      <c r="F280" s="1" t="s">
        <v>5241</v>
      </c>
      <c r="G280" s="1" t="s">
        <v>4800</v>
      </c>
      <c r="H280" s="1" t="s">
        <v>27</v>
      </c>
      <c r="I280" s="17">
        <v>41518</v>
      </c>
    </row>
    <row r="281" spans="1:9">
      <c r="A281" s="16" t="s">
        <v>11468</v>
      </c>
      <c r="B281" s="1" t="s">
        <v>2631</v>
      </c>
      <c r="C281" s="1">
        <v>1</v>
      </c>
      <c r="D281" s="1" t="s">
        <v>128</v>
      </c>
      <c r="E281" s="1" t="s">
        <v>10</v>
      </c>
      <c r="F281" s="1" t="s">
        <v>5241</v>
      </c>
      <c r="G281" s="1" t="s">
        <v>4800</v>
      </c>
      <c r="H281" s="1" t="s">
        <v>27</v>
      </c>
      <c r="I281" s="17">
        <v>41548</v>
      </c>
    </row>
    <row r="282" spans="1:9">
      <c r="A282" s="16" t="s">
        <v>11469</v>
      </c>
      <c r="B282" s="1" t="s">
        <v>2631</v>
      </c>
      <c r="C282" s="1">
        <v>1</v>
      </c>
      <c r="D282" s="1" t="s">
        <v>128</v>
      </c>
      <c r="E282" s="1" t="s">
        <v>10</v>
      </c>
      <c r="F282" s="1" t="s">
        <v>5241</v>
      </c>
      <c r="G282" s="1" t="s">
        <v>4800</v>
      </c>
      <c r="H282" s="1" t="s">
        <v>27</v>
      </c>
      <c r="I282" s="17">
        <v>41579</v>
      </c>
    </row>
    <row r="283" spans="1:9">
      <c r="A283" s="16" t="s">
        <v>11488</v>
      </c>
      <c r="B283" s="1" t="s">
        <v>2631</v>
      </c>
      <c r="C283" s="1">
        <v>1</v>
      </c>
      <c r="D283" s="1" t="s">
        <v>128</v>
      </c>
      <c r="E283" s="1" t="s">
        <v>10</v>
      </c>
      <c r="F283" s="1" t="s">
        <v>5241</v>
      </c>
      <c r="G283" s="1" t="s">
        <v>4800</v>
      </c>
      <c r="H283" s="1" t="s">
        <v>27</v>
      </c>
      <c r="I283" s="17">
        <v>41548</v>
      </c>
    </row>
    <row r="284" spans="1:9">
      <c r="A284" s="16" t="s">
        <v>11489</v>
      </c>
      <c r="B284" s="1" t="s">
        <v>2631</v>
      </c>
      <c r="C284" s="1">
        <v>1</v>
      </c>
      <c r="D284" s="1" t="s">
        <v>128</v>
      </c>
      <c r="E284" s="1" t="s">
        <v>10</v>
      </c>
      <c r="F284" s="1" t="s">
        <v>5241</v>
      </c>
      <c r="G284" s="1" t="s">
        <v>4800</v>
      </c>
      <c r="H284" s="1" t="s">
        <v>27</v>
      </c>
      <c r="I284" s="17">
        <v>41548</v>
      </c>
    </row>
    <row r="285" spans="1:9">
      <c r="A285" s="16" t="s">
        <v>11491</v>
      </c>
      <c r="B285" s="1" t="s">
        <v>2631</v>
      </c>
      <c r="C285" s="1">
        <v>1</v>
      </c>
      <c r="D285" s="1" t="s">
        <v>128</v>
      </c>
      <c r="E285" s="1" t="s">
        <v>10</v>
      </c>
      <c r="F285" s="1" t="s">
        <v>5241</v>
      </c>
      <c r="G285" s="1" t="s">
        <v>4800</v>
      </c>
      <c r="H285" s="1" t="s">
        <v>27</v>
      </c>
      <c r="I285" s="17">
        <v>41548</v>
      </c>
    </row>
    <row r="286" spans="1:9">
      <c r="A286" s="16" t="s">
        <v>11497</v>
      </c>
      <c r="B286" s="1" t="s">
        <v>2631</v>
      </c>
      <c r="C286" s="1">
        <v>1</v>
      </c>
      <c r="D286" s="1" t="s">
        <v>128</v>
      </c>
      <c r="E286" s="1" t="s">
        <v>10</v>
      </c>
      <c r="F286" s="1" t="s">
        <v>5241</v>
      </c>
      <c r="G286" s="1" t="s">
        <v>4800</v>
      </c>
      <c r="H286" s="1" t="s">
        <v>27</v>
      </c>
      <c r="I286" s="17">
        <v>40787</v>
      </c>
    </row>
    <row r="287" spans="1:9">
      <c r="A287" s="16" t="s">
        <v>11504</v>
      </c>
      <c r="B287" s="1" t="s">
        <v>2631</v>
      </c>
      <c r="C287" s="1">
        <v>1</v>
      </c>
      <c r="D287" s="1" t="s">
        <v>128</v>
      </c>
      <c r="E287" s="1" t="s">
        <v>10</v>
      </c>
      <c r="F287" s="1" t="s">
        <v>5241</v>
      </c>
      <c r="G287" s="1" t="s">
        <v>4800</v>
      </c>
      <c r="H287" s="1" t="s">
        <v>27</v>
      </c>
      <c r="I287" s="17">
        <v>41518</v>
      </c>
    </row>
    <row r="288" spans="1:9">
      <c r="A288" s="16" t="s">
        <v>11531</v>
      </c>
      <c r="B288" s="1" t="s">
        <v>2631</v>
      </c>
      <c r="C288" s="1">
        <v>1</v>
      </c>
      <c r="D288" s="1" t="s">
        <v>128</v>
      </c>
      <c r="E288" s="1" t="s">
        <v>10</v>
      </c>
      <c r="F288" s="1" t="s">
        <v>5241</v>
      </c>
      <c r="G288" s="1" t="s">
        <v>4800</v>
      </c>
      <c r="H288" s="1" t="s">
        <v>27</v>
      </c>
      <c r="I288" s="17">
        <v>41030</v>
      </c>
    </row>
    <row r="289" spans="1:9">
      <c r="A289" s="16" t="s">
        <v>11535</v>
      </c>
      <c r="B289" s="1" t="s">
        <v>2631</v>
      </c>
      <c r="C289" s="1">
        <v>1</v>
      </c>
      <c r="D289" s="1" t="s">
        <v>128</v>
      </c>
      <c r="E289" s="1" t="s">
        <v>10</v>
      </c>
      <c r="F289" s="1" t="s">
        <v>5241</v>
      </c>
      <c r="G289" s="1" t="s">
        <v>4800</v>
      </c>
      <c r="H289" s="1" t="s">
        <v>27</v>
      </c>
      <c r="I289" s="17">
        <v>41518</v>
      </c>
    </row>
    <row r="290" spans="1:9">
      <c r="A290" s="16" t="s">
        <v>11541</v>
      </c>
      <c r="B290" s="1" t="s">
        <v>2631</v>
      </c>
      <c r="C290" s="1">
        <v>1</v>
      </c>
      <c r="D290" s="1" t="s">
        <v>128</v>
      </c>
      <c r="E290" s="1" t="s">
        <v>10</v>
      </c>
      <c r="F290" s="1" t="s">
        <v>5241</v>
      </c>
      <c r="G290" s="1" t="s">
        <v>4800</v>
      </c>
      <c r="H290" s="1" t="s">
        <v>27</v>
      </c>
      <c r="I290" s="17">
        <v>41395</v>
      </c>
    </row>
    <row r="291" spans="1:9">
      <c r="A291" s="16" t="s">
        <v>11543</v>
      </c>
      <c r="B291" s="1" t="s">
        <v>2631</v>
      </c>
      <c r="C291" s="1">
        <v>1</v>
      </c>
      <c r="D291" s="1" t="s">
        <v>128</v>
      </c>
      <c r="E291" s="1" t="s">
        <v>10</v>
      </c>
      <c r="F291" s="1" t="s">
        <v>5241</v>
      </c>
      <c r="G291" s="1" t="s">
        <v>4800</v>
      </c>
      <c r="H291" s="1" t="s">
        <v>27</v>
      </c>
      <c r="I291" s="17">
        <v>40057</v>
      </c>
    </row>
    <row r="292" spans="1:9">
      <c r="A292" s="16" t="s">
        <v>11562</v>
      </c>
      <c r="B292" s="1" t="s">
        <v>2631</v>
      </c>
      <c r="C292" s="1">
        <v>1</v>
      </c>
      <c r="D292" s="1" t="s">
        <v>128</v>
      </c>
      <c r="E292" s="1" t="s">
        <v>10</v>
      </c>
      <c r="F292" s="1" t="s">
        <v>5241</v>
      </c>
      <c r="G292" s="1" t="s">
        <v>4800</v>
      </c>
      <c r="H292" s="1" t="s">
        <v>27</v>
      </c>
      <c r="I292" s="17">
        <v>39539</v>
      </c>
    </row>
    <row r="293" spans="1:9">
      <c r="A293" s="16" t="s">
        <v>11563</v>
      </c>
      <c r="B293" s="1" t="s">
        <v>2631</v>
      </c>
      <c r="C293" s="1">
        <v>1</v>
      </c>
      <c r="D293" s="1" t="s">
        <v>128</v>
      </c>
      <c r="E293" s="1" t="s">
        <v>10</v>
      </c>
      <c r="F293" s="1" t="s">
        <v>5241</v>
      </c>
      <c r="G293" s="1" t="s">
        <v>4800</v>
      </c>
      <c r="H293" s="1" t="s">
        <v>27</v>
      </c>
      <c r="I293" s="17">
        <v>40026</v>
      </c>
    </row>
    <row r="294" spans="1:9">
      <c r="A294" s="16" t="s">
        <v>11565</v>
      </c>
      <c r="B294" s="1" t="s">
        <v>2631</v>
      </c>
      <c r="C294" s="1">
        <v>1</v>
      </c>
      <c r="D294" s="1" t="s">
        <v>128</v>
      </c>
      <c r="E294" s="1" t="s">
        <v>10</v>
      </c>
      <c r="F294" s="1" t="s">
        <v>5241</v>
      </c>
      <c r="G294" s="1" t="s">
        <v>4800</v>
      </c>
      <c r="H294" s="1" t="s">
        <v>27</v>
      </c>
      <c r="I294" s="17">
        <v>40817</v>
      </c>
    </row>
    <row r="295" spans="1:9">
      <c r="A295" s="16" t="s">
        <v>11943</v>
      </c>
      <c r="B295" s="1" t="s">
        <v>2631</v>
      </c>
      <c r="C295" s="1">
        <v>1</v>
      </c>
      <c r="D295" s="1" t="s">
        <v>128</v>
      </c>
      <c r="E295" s="1" t="s">
        <v>10</v>
      </c>
      <c r="F295" s="1" t="s">
        <v>139</v>
      </c>
      <c r="G295" s="1" t="s">
        <v>4800</v>
      </c>
      <c r="H295" s="1" t="s">
        <v>27</v>
      </c>
      <c r="I295" s="17">
        <v>42005</v>
      </c>
    </row>
    <row r="296" spans="1:9">
      <c r="A296" s="16" t="s">
        <v>14010</v>
      </c>
      <c r="B296" s="1" t="s">
        <v>2631</v>
      </c>
      <c r="C296" s="1">
        <v>1</v>
      </c>
      <c r="D296" s="1" t="s">
        <v>128</v>
      </c>
      <c r="E296" s="1" t="s">
        <v>10</v>
      </c>
      <c r="F296" s="1" t="s">
        <v>5241</v>
      </c>
      <c r="G296" s="1" t="s">
        <v>4800</v>
      </c>
      <c r="H296" s="1" t="s">
        <v>27</v>
      </c>
      <c r="I296" s="17">
        <v>41487</v>
      </c>
    </row>
    <row r="297" spans="1:9">
      <c r="A297" s="16" t="s">
        <v>14020</v>
      </c>
      <c r="B297" s="1" t="s">
        <v>2631</v>
      </c>
      <c r="C297" s="1">
        <v>1</v>
      </c>
      <c r="D297" s="1" t="s">
        <v>128</v>
      </c>
      <c r="E297" s="1" t="s">
        <v>10</v>
      </c>
      <c r="F297" s="1" t="s">
        <v>5241</v>
      </c>
      <c r="G297" s="1" t="s">
        <v>4800</v>
      </c>
      <c r="H297" s="1" t="s">
        <v>27</v>
      </c>
      <c r="I297" s="17">
        <v>40848</v>
      </c>
    </row>
    <row r="298" spans="1:9">
      <c r="A298" s="16" t="s">
        <v>14034</v>
      </c>
      <c r="B298" s="1" t="s">
        <v>2631</v>
      </c>
      <c r="C298" s="1">
        <v>1</v>
      </c>
      <c r="D298" s="1" t="s">
        <v>128</v>
      </c>
      <c r="E298" s="1" t="s">
        <v>10</v>
      </c>
      <c r="F298" s="1" t="s">
        <v>5241</v>
      </c>
      <c r="G298" s="1" t="s">
        <v>4800</v>
      </c>
      <c r="H298" s="1" t="s">
        <v>27</v>
      </c>
      <c r="I298" s="17">
        <v>40725</v>
      </c>
    </row>
    <row r="299" spans="1:9">
      <c r="A299" s="16" t="s">
        <v>14054</v>
      </c>
      <c r="B299" s="1" t="s">
        <v>2631</v>
      </c>
      <c r="C299" s="1">
        <v>1</v>
      </c>
      <c r="D299" s="1" t="s">
        <v>128</v>
      </c>
      <c r="E299" s="1" t="s">
        <v>10</v>
      </c>
      <c r="F299" s="1" t="s">
        <v>5241</v>
      </c>
      <c r="G299" s="1" t="s">
        <v>4800</v>
      </c>
      <c r="H299" s="1" t="s">
        <v>27</v>
      </c>
      <c r="I299" s="17">
        <v>40422</v>
      </c>
    </row>
    <row r="300" spans="1:9">
      <c r="A300" s="16" t="s">
        <v>14057</v>
      </c>
      <c r="B300" s="1" t="s">
        <v>2631</v>
      </c>
      <c r="C300" s="1">
        <v>1</v>
      </c>
      <c r="D300" s="1" t="s">
        <v>128</v>
      </c>
      <c r="E300" s="1" t="s">
        <v>10</v>
      </c>
      <c r="F300" s="1" t="s">
        <v>5241</v>
      </c>
      <c r="G300" s="1" t="s">
        <v>4800</v>
      </c>
      <c r="H300" s="1" t="s">
        <v>27</v>
      </c>
      <c r="I300" s="17">
        <v>40848</v>
      </c>
    </row>
    <row r="301" spans="1:9">
      <c r="A301" s="16" t="s">
        <v>14241</v>
      </c>
      <c r="B301" s="1" t="s">
        <v>2631</v>
      </c>
      <c r="C301" s="1">
        <v>1</v>
      </c>
      <c r="D301" s="1" t="s">
        <v>128</v>
      </c>
      <c r="E301" s="1" t="s">
        <v>10</v>
      </c>
      <c r="F301" s="1" t="s">
        <v>5241</v>
      </c>
      <c r="G301" s="1" t="s">
        <v>4800</v>
      </c>
      <c r="H301" s="1" t="s">
        <v>27</v>
      </c>
      <c r="I301" s="17">
        <v>42461</v>
      </c>
    </row>
    <row r="302" spans="1:9">
      <c r="A302" s="16" t="s">
        <v>14251</v>
      </c>
      <c r="B302" s="1" t="s">
        <v>2631</v>
      </c>
      <c r="C302" s="1">
        <v>1</v>
      </c>
      <c r="D302" s="1" t="s">
        <v>128</v>
      </c>
      <c r="E302" s="1" t="s">
        <v>10</v>
      </c>
      <c r="F302" s="1" t="s">
        <v>5241</v>
      </c>
      <c r="G302" s="1" t="s">
        <v>4800</v>
      </c>
      <c r="H302" s="1" t="s">
        <v>27</v>
      </c>
      <c r="I302" s="17">
        <v>43040</v>
      </c>
    </row>
    <row r="303" spans="1:9">
      <c r="A303" s="16" t="s">
        <v>14258</v>
      </c>
      <c r="B303" s="1" t="s">
        <v>2631</v>
      </c>
      <c r="C303" s="1">
        <v>1</v>
      </c>
      <c r="D303" s="1" t="s">
        <v>128</v>
      </c>
      <c r="E303" s="1" t="s">
        <v>10</v>
      </c>
      <c r="F303" s="1" t="s">
        <v>5241</v>
      </c>
      <c r="G303" s="1" t="s">
        <v>4800</v>
      </c>
      <c r="H303" s="1" t="s">
        <v>27</v>
      </c>
      <c r="I303" s="17">
        <v>42795</v>
      </c>
    </row>
    <row r="304" spans="1:9">
      <c r="A304" s="16" t="s">
        <v>14281</v>
      </c>
      <c r="B304" s="1" t="s">
        <v>2631</v>
      </c>
      <c r="C304" s="1">
        <v>1</v>
      </c>
      <c r="D304" s="1" t="s">
        <v>128</v>
      </c>
      <c r="E304" s="1" t="s">
        <v>10</v>
      </c>
      <c r="F304" s="1" t="s">
        <v>5241</v>
      </c>
      <c r="G304" s="1" t="s">
        <v>4800</v>
      </c>
      <c r="H304" s="1" t="s">
        <v>27</v>
      </c>
      <c r="I304" s="17">
        <v>42917</v>
      </c>
    </row>
    <row r="305" spans="1:10">
      <c r="A305" s="16" t="s">
        <v>14290</v>
      </c>
      <c r="B305" s="1" t="s">
        <v>2631</v>
      </c>
      <c r="C305" s="1">
        <v>1</v>
      </c>
      <c r="D305" s="1" t="s">
        <v>128</v>
      </c>
      <c r="E305" s="1" t="s">
        <v>10</v>
      </c>
      <c r="F305" s="1" t="s">
        <v>5241</v>
      </c>
      <c r="G305" s="1" t="s">
        <v>4800</v>
      </c>
      <c r="H305" s="1" t="s">
        <v>27</v>
      </c>
      <c r="I305" s="17">
        <v>43070</v>
      </c>
    </row>
    <row r="306" spans="1:10">
      <c r="A306" s="16" t="s">
        <v>14293</v>
      </c>
      <c r="B306" s="1" t="s">
        <v>2631</v>
      </c>
      <c r="C306" s="1">
        <v>1</v>
      </c>
      <c r="D306" s="1" t="s">
        <v>128</v>
      </c>
      <c r="E306" s="1" t="s">
        <v>10</v>
      </c>
      <c r="F306" s="1" t="s">
        <v>5241</v>
      </c>
      <c r="G306" s="1" t="s">
        <v>4800</v>
      </c>
      <c r="H306" s="1" t="s">
        <v>27</v>
      </c>
      <c r="I306" s="17">
        <v>42917</v>
      </c>
    </row>
    <row r="307" spans="1:10">
      <c r="A307" s="16" t="s">
        <v>14318</v>
      </c>
      <c r="B307" s="1" t="s">
        <v>2631</v>
      </c>
      <c r="C307" s="1">
        <v>1</v>
      </c>
      <c r="D307" s="1" t="s">
        <v>128</v>
      </c>
      <c r="E307" s="1" t="s">
        <v>10</v>
      </c>
      <c r="F307" s="1" t="s">
        <v>5241</v>
      </c>
      <c r="G307" s="1" t="s">
        <v>4800</v>
      </c>
      <c r="H307" s="1" t="s">
        <v>27</v>
      </c>
      <c r="I307" s="17">
        <v>43040</v>
      </c>
    </row>
    <row r="308" spans="1:10">
      <c r="A308" s="16" t="s">
        <v>14324</v>
      </c>
      <c r="B308" s="1" t="s">
        <v>2631</v>
      </c>
      <c r="C308" s="1">
        <v>1</v>
      </c>
      <c r="D308" s="1" t="s">
        <v>128</v>
      </c>
      <c r="E308" s="1" t="s">
        <v>10</v>
      </c>
      <c r="F308" s="1" t="s">
        <v>5241</v>
      </c>
      <c r="G308" s="1" t="s">
        <v>4800</v>
      </c>
      <c r="H308" s="1" t="s">
        <v>27</v>
      </c>
      <c r="I308" s="17">
        <v>43040</v>
      </c>
    </row>
    <row r="309" spans="1:10">
      <c r="A309" s="7" t="s">
        <v>14432</v>
      </c>
      <c r="B309" s="2" t="s">
        <v>2631</v>
      </c>
      <c r="C309" s="1">
        <v>1</v>
      </c>
      <c r="D309" s="1" t="s">
        <v>128</v>
      </c>
      <c r="E309" s="1" t="s">
        <v>10</v>
      </c>
      <c r="F309" s="1" t="s">
        <v>118</v>
      </c>
      <c r="G309" s="14" t="s">
        <v>4800</v>
      </c>
      <c r="H309" s="1" t="s">
        <v>27</v>
      </c>
      <c r="I309" s="1" t="s">
        <v>4789</v>
      </c>
    </row>
    <row r="310" spans="1:10">
      <c r="A310" s="7" t="s">
        <v>16081</v>
      </c>
      <c r="B310" s="2" t="s">
        <v>2631</v>
      </c>
      <c r="C310" s="1">
        <v>1</v>
      </c>
      <c r="D310" s="1" t="s">
        <v>128</v>
      </c>
      <c r="E310" s="1" t="s">
        <v>10</v>
      </c>
      <c r="F310" s="1" t="s">
        <v>118</v>
      </c>
      <c r="G310" s="14" t="s">
        <v>4800</v>
      </c>
      <c r="H310" s="1" t="s">
        <v>27</v>
      </c>
      <c r="I310" s="1">
        <v>2018</v>
      </c>
    </row>
    <row r="311" spans="1:10">
      <c r="A311" s="7" t="s">
        <v>16175</v>
      </c>
      <c r="B311" s="2" t="s">
        <v>2631</v>
      </c>
      <c r="C311" s="1">
        <v>1</v>
      </c>
      <c r="D311" s="1" t="s">
        <v>128</v>
      </c>
      <c r="E311" s="1" t="s">
        <v>10</v>
      </c>
      <c r="F311" s="1" t="s">
        <v>118</v>
      </c>
      <c r="G311" s="14" t="s">
        <v>4800</v>
      </c>
      <c r="H311" s="1" t="s">
        <v>27</v>
      </c>
      <c r="I311" s="1">
        <v>2019</v>
      </c>
    </row>
    <row r="312" spans="1:10">
      <c r="A312" s="7" t="s">
        <v>4974</v>
      </c>
      <c r="B312" s="1" t="s">
        <v>2629</v>
      </c>
      <c r="C312" s="1">
        <v>101</v>
      </c>
      <c r="D312" s="1" t="s">
        <v>25</v>
      </c>
      <c r="E312" s="1" t="s">
        <v>6</v>
      </c>
      <c r="F312" s="1" t="s">
        <v>2693</v>
      </c>
      <c r="G312" s="1" t="s">
        <v>5</v>
      </c>
      <c r="H312" s="1" t="s">
        <v>5</v>
      </c>
      <c r="I312" s="17">
        <v>42005</v>
      </c>
      <c r="J312" s="17"/>
    </row>
    <row r="313" spans="1:10">
      <c r="A313" s="7" t="s">
        <v>4975</v>
      </c>
      <c r="B313" s="1" t="s">
        <v>2629</v>
      </c>
      <c r="C313" s="1">
        <v>101</v>
      </c>
      <c r="D313" s="1" t="s">
        <v>25</v>
      </c>
      <c r="E313" s="1" t="s">
        <v>6</v>
      </c>
      <c r="F313" s="1" t="s">
        <v>2693</v>
      </c>
      <c r="G313" s="1" t="s">
        <v>5</v>
      </c>
      <c r="H313" s="1" t="s">
        <v>5</v>
      </c>
      <c r="I313" s="17">
        <v>42005</v>
      </c>
      <c r="J313" s="17"/>
    </row>
    <row r="314" spans="1:10">
      <c r="A314" s="7" t="s">
        <v>4976</v>
      </c>
      <c r="B314" s="1" t="s">
        <v>2629</v>
      </c>
      <c r="C314" s="1">
        <v>101</v>
      </c>
      <c r="D314" s="1" t="s">
        <v>25</v>
      </c>
      <c r="E314" s="1" t="s">
        <v>6</v>
      </c>
      <c r="F314" s="1" t="s">
        <v>2693</v>
      </c>
      <c r="G314" s="1" t="s">
        <v>5</v>
      </c>
      <c r="H314" s="1" t="s">
        <v>5</v>
      </c>
      <c r="I314" s="17">
        <v>42005</v>
      </c>
      <c r="J314" s="17"/>
    </row>
    <row r="315" spans="1:10">
      <c r="A315" s="16" t="s">
        <v>4987</v>
      </c>
      <c r="B315" s="1" t="s">
        <v>2631</v>
      </c>
      <c r="C315" s="1">
        <v>101</v>
      </c>
      <c r="D315" s="1" t="s">
        <v>25</v>
      </c>
      <c r="E315" s="1" t="s">
        <v>6</v>
      </c>
      <c r="F315" s="1" t="s">
        <v>118</v>
      </c>
      <c r="G315" s="14" t="s">
        <v>4458</v>
      </c>
      <c r="H315" s="1" t="s">
        <v>118</v>
      </c>
      <c r="I315" s="1" t="s">
        <v>4792</v>
      </c>
    </row>
    <row r="316" spans="1:10">
      <c r="A316" s="7" t="s">
        <v>5029</v>
      </c>
      <c r="B316" s="1" t="s">
        <v>2629</v>
      </c>
      <c r="C316" s="1">
        <v>101</v>
      </c>
      <c r="D316" s="1" t="s">
        <v>25</v>
      </c>
      <c r="E316" s="1" t="s">
        <v>6</v>
      </c>
      <c r="F316" s="1" t="s">
        <v>118</v>
      </c>
      <c r="G316" s="1" t="s">
        <v>4458</v>
      </c>
      <c r="H316" s="1" t="s">
        <v>118</v>
      </c>
      <c r="I316" s="1" t="s">
        <v>4792</v>
      </c>
    </row>
    <row r="317" spans="1:10">
      <c r="A317" s="7" t="s">
        <v>11634</v>
      </c>
      <c r="B317" s="1" t="s">
        <v>2629</v>
      </c>
      <c r="C317" s="1">
        <v>775</v>
      </c>
      <c r="D317" s="1" t="s">
        <v>25</v>
      </c>
      <c r="E317" s="1" t="s">
        <v>6</v>
      </c>
      <c r="F317" s="1" t="s">
        <v>5091</v>
      </c>
      <c r="G317" s="1" t="s">
        <v>2387</v>
      </c>
      <c r="H317" s="1" t="s">
        <v>5</v>
      </c>
      <c r="I317" s="17">
        <v>38197</v>
      </c>
      <c r="J317" s="17"/>
    </row>
    <row r="318" spans="1:10">
      <c r="A318" s="7" t="s">
        <v>11635</v>
      </c>
      <c r="B318" s="1" t="s">
        <v>2629</v>
      </c>
      <c r="C318" s="1">
        <v>775</v>
      </c>
      <c r="D318" s="1" t="s">
        <v>25</v>
      </c>
      <c r="E318" s="1" t="s">
        <v>6</v>
      </c>
      <c r="F318" s="1" t="s">
        <v>5091</v>
      </c>
      <c r="G318" s="1" t="s">
        <v>2387</v>
      </c>
      <c r="H318" s="1" t="s">
        <v>5</v>
      </c>
      <c r="I318" s="17">
        <v>38185</v>
      </c>
      <c r="J318" s="17"/>
    </row>
    <row r="319" spans="1:10">
      <c r="A319" s="7" t="s">
        <v>13775</v>
      </c>
      <c r="B319" s="1" t="s">
        <v>2629</v>
      </c>
      <c r="C319" s="1">
        <v>101</v>
      </c>
      <c r="D319" s="1" t="s">
        <v>25</v>
      </c>
      <c r="E319" s="1" t="s">
        <v>6</v>
      </c>
      <c r="F319" s="1" t="s">
        <v>2698</v>
      </c>
      <c r="G319" s="1" t="s">
        <v>4803</v>
      </c>
      <c r="H319" s="1" t="s">
        <v>5</v>
      </c>
      <c r="I319" s="17">
        <v>40909</v>
      </c>
      <c r="J319" s="17"/>
    </row>
    <row r="320" spans="1:10">
      <c r="A320" s="7" t="s">
        <v>13777</v>
      </c>
      <c r="B320" s="1" t="s">
        <v>2629</v>
      </c>
      <c r="C320" s="1">
        <v>101</v>
      </c>
      <c r="D320" s="1" t="s">
        <v>25</v>
      </c>
      <c r="E320" s="1" t="s">
        <v>6</v>
      </c>
      <c r="F320" s="1" t="s">
        <v>2698</v>
      </c>
      <c r="G320" s="1" t="s">
        <v>4803</v>
      </c>
      <c r="H320" s="1" t="s">
        <v>5</v>
      </c>
      <c r="I320" s="17">
        <v>40909</v>
      </c>
      <c r="J320" s="17"/>
    </row>
    <row r="321" spans="1:10">
      <c r="A321" s="7" t="s">
        <v>13778</v>
      </c>
      <c r="B321" s="1" t="s">
        <v>2629</v>
      </c>
      <c r="C321" s="1">
        <v>101</v>
      </c>
      <c r="D321" s="1" t="s">
        <v>25</v>
      </c>
      <c r="E321" s="1" t="s">
        <v>6</v>
      </c>
      <c r="F321" s="1" t="s">
        <v>2698</v>
      </c>
      <c r="G321" s="1" t="s">
        <v>4803</v>
      </c>
      <c r="H321" s="1" t="s">
        <v>5</v>
      </c>
      <c r="I321" s="17">
        <v>40909</v>
      </c>
      <c r="J321" s="17"/>
    </row>
    <row r="322" spans="1:10">
      <c r="A322" s="7" t="s">
        <v>13779</v>
      </c>
      <c r="B322" s="1" t="s">
        <v>2629</v>
      </c>
      <c r="C322" s="1">
        <v>101</v>
      </c>
      <c r="D322" s="1" t="s">
        <v>25</v>
      </c>
      <c r="E322" s="1" t="s">
        <v>6</v>
      </c>
      <c r="F322" s="1" t="s">
        <v>2698</v>
      </c>
      <c r="G322" s="1" t="s">
        <v>4803</v>
      </c>
      <c r="H322" s="1" t="s">
        <v>5</v>
      </c>
      <c r="I322" s="17">
        <v>40909</v>
      </c>
      <c r="J322" s="17"/>
    </row>
    <row r="323" spans="1:10">
      <c r="A323" s="7" t="s">
        <v>13780</v>
      </c>
      <c r="B323" s="1" t="s">
        <v>2629</v>
      </c>
      <c r="C323" s="1">
        <v>101</v>
      </c>
      <c r="D323" s="1" t="s">
        <v>25</v>
      </c>
      <c r="E323" s="1" t="s">
        <v>6</v>
      </c>
      <c r="F323" s="1" t="s">
        <v>2698</v>
      </c>
      <c r="G323" s="1" t="s">
        <v>4803</v>
      </c>
      <c r="H323" s="1" t="s">
        <v>5</v>
      </c>
      <c r="I323" s="17">
        <v>40909</v>
      </c>
      <c r="J323" s="17"/>
    </row>
    <row r="324" spans="1:10">
      <c r="A324" s="7" t="s">
        <v>13782</v>
      </c>
      <c r="B324" s="1" t="s">
        <v>2629</v>
      </c>
      <c r="C324" s="1">
        <v>101</v>
      </c>
      <c r="D324" s="1" t="s">
        <v>25</v>
      </c>
      <c r="E324" s="1" t="s">
        <v>6</v>
      </c>
      <c r="F324" s="1" t="s">
        <v>2698</v>
      </c>
      <c r="G324" s="1" t="s">
        <v>4803</v>
      </c>
      <c r="H324" s="1" t="s">
        <v>5</v>
      </c>
      <c r="I324" s="17">
        <v>40909</v>
      </c>
      <c r="J324" s="17"/>
    </row>
    <row r="325" spans="1:10">
      <c r="A325" s="7" t="s">
        <v>13784</v>
      </c>
      <c r="B325" s="1" t="s">
        <v>2629</v>
      </c>
      <c r="C325" s="1">
        <v>101</v>
      </c>
      <c r="D325" s="1" t="s">
        <v>25</v>
      </c>
      <c r="E325" s="1" t="s">
        <v>6</v>
      </c>
      <c r="F325" s="1" t="s">
        <v>2698</v>
      </c>
      <c r="G325" s="1" t="s">
        <v>4803</v>
      </c>
      <c r="H325" s="1" t="s">
        <v>5</v>
      </c>
      <c r="I325" s="17">
        <v>40909</v>
      </c>
      <c r="J325" s="17"/>
    </row>
    <row r="326" spans="1:10">
      <c r="A326" s="7" t="s">
        <v>13812</v>
      </c>
      <c r="B326" s="1" t="s">
        <v>2629</v>
      </c>
      <c r="C326" s="1">
        <v>101</v>
      </c>
      <c r="D326" s="1" t="s">
        <v>25</v>
      </c>
      <c r="E326" s="1" t="s">
        <v>6</v>
      </c>
      <c r="F326" s="1" t="s">
        <v>2698</v>
      </c>
      <c r="G326" s="1" t="s">
        <v>4803</v>
      </c>
      <c r="H326" s="1" t="s">
        <v>5</v>
      </c>
      <c r="I326" s="17">
        <v>39814</v>
      </c>
      <c r="J326" s="17"/>
    </row>
    <row r="327" spans="1:10">
      <c r="A327" s="7" t="s">
        <v>13814</v>
      </c>
      <c r="B327" s="1" t="s">
        <v>2629</v>
      </c>
      <c r="C327" s="1">
        <v>101</v>
      </c>
      <c r="D327" s="1" t="s">
        <v>25</v>
      </c>
      <c r="E327" s="1" t="s">
        <v>6</v>
      </c>
      <c r="F327" s="1" t="s">
        <v>2698</v>
      </c>
      <c r="G327" s="1" t="s">
        <v>4803</v>
      </c>
      <c r="H327" s="1" t="s">
        <v>5</v>
      </c>
      <c r="I327" s="17">
        <v>39814</v>
      </c>
      <c r="J327" s="17"/>
    </row>
    <row r="328" spans="1:10">
      <c r="A328" s="7" t="s">
        <v>13815</v>
      </c>
      <c r="B328" s="1" t="s">
        <v>2629</v>
      </c>
      <c r="C328" s="1">
        <v>101</v>
      </c>
      <c r="D328" s="1" t="s">
        <v>25</v>
      </c>
      <c r="E328" s="1" t="s">
        <v>6</v>
      </c>
      <c r="F328" s="1" t="s">
        <v>2698</v>
      </c>
      <c r="G328" s="1" t="s">
        <v>4803</v>
      </c>
      <c r="H328" s="1" t="s">
        <v>5</v>
      </c>
      <c r="I328" s="17">
        <v>39814</v>
      </c>
      <c r="J328" s="17"/>
    </row>
    <row r="329" spans="1:10">
      <c r="A329" s="7" t="s">
        <v>13817</v>
      </c>
      <c r="B329" s="1" t="s">
        <v>2629</v>
      </c>
      <c r="C329" s="1">
        <v>101</v>
      </c>
      <c r="D329" s="1" t="s">
        <v>25</v>
      </c>
      <c r="E329" s="1" t="s">
        <v>6</v>
      </c>
      <c r="F329" s="1" t="s">
        <v>2698</v>
      </c>
      <c r="G329" s="1" t="s">
        <v>4803</v>
      </c>
      <c r="H329" s="1" t="s">
        <v>5</v>
      </c>
      <c r="I329" s="17">
        <v>39814</v>
      </c>
      <c r="J329" s="17"/>
    </row>
    <row r="330" spans="1:10">
      <c r="A330" s="7" t="s">
        <v>13819</v>
      </c>
      <c r="B330" s="1" t="s">
        <v>2629</v>
      </c>
      <c r="C330" s="1">
        <v>101</v>
      </c>
      <c r="D330" s="1" t="s">
        <v>25</v>
      </c>
      <c r="E330" s="1" t="s">
        <v>6</v>
      </c>
      <c r="F330" s="1" t="s">
        <v>2698</v>
      </c>
      <c r="G330" s="1" t="s">
        <v>4803</v>
      </c>
      <c r="H330" s="1" t="s">
        <v>5</v>
      </c>
      <c r="I330" s="17">
        <v>40544</v>
      </c>
      <c r="J330" s="17"/>
    </row>
    <row r="331" spans="1:10">
      <c r="A331" s="7" t="s">
        <v>13824</v>
      </c>
      <c r="B331" s="1" t="s">
        <v>2629</v>
      </c>
      <c r="C331" s="1">
        <v>101</v>
      </c>
      <c r="D331" s="1" t="s">
        <v>25</v>
      </c>
      <c r="E331" s="1" t="s">
        <v>6</v>
      </c>
      <c r="F331" s="1" t="s">
        <v>2698</v>
      </c>
      <c r="G331" s="1" t="s">
        <v>4803</v>
      </c>
      <c r="H331" s="1" t="s">
        <v>5</v>
      </c>
      <c r="I331" s="17">
        <v>40544</v>
      </c>
      <c r="J331" s="17"/>
    </row>
    <row r="332" spans="1:10">
      <c r="A332" s="7" t="s">
        <v>13825</v>
      </c>
      <c r="B332" s="1" t="s">
        <v>2629</v>
      </c>
      <c r="C332" s="1">
        <v>101</v>
      </c>
      <c r="D332" s="1" t="s">
        <v>25</v>
      </c>
      <c r="E332" s="1" t="s">
        <v>6</v>
      </c>
      <c r="F332" s="1" t="s">
        <v>2698</v>
      </c>
      <c r="G332" s="1" t="s">
        <v>4803</v>
      </c>
      <c r="H332" s="1" t="s">
        <v>5</v>
      </c>
      <c r="I332" s="17">
        <v>40544</v>
      </c>
      <c r="J332" s="17"/>
    </row>
    <row r="333" spans="1:10">
      <c r="A333" s="7" t="s">
        <v>13827</v>
      </c>
      <c r="B333" s="1" t="s">
        <v>2629</v>
      </c>
      <c r="C333" s="1">
        <v>101</v>
      </c>
      <c r="D333" s="1" t="s">
        <v>25</v>
      </c>
      <c r="E333" s="1" t="s">
        <v>6</v>
      </c>
      <c r="F333" s="1" t="s">
        <v>2698</v>
      </c>
      <c r="G333" s="1" t="s">
        <v>4803</v>
      </c>
      <c r="H333" s="1" t="s">
        <v>5</v>
      </c>
      <c r="I333" s="17">
        <v>40909</v>
      </c>
      <c r="J333" s="17"/>
    </row>
    <row r="334" spans="1:10">
      <c r="A334" s="7" t="s">
        <v>13828</v>
      </c>
      <c r="B334" s="1" t="s">
        <v>2629</v>
      </c>
      <c r="C334" s="1">
        <v>101</v>
      </c>
      <c r="D334" s="1" t="s">
        <v>25</v>
      </c>
      <c r="E334" s="1" t="s">
        <v>6</v>
      </c>
      <c r="F334" s="1" t="s">
        <v>2698</v>
      </c>
      <c r="G334" s="1" t="s">
        <v>4803</v>
      </c>
      <c r="H334" s="1" t="s">
        <v>5</v>
      </c>
      <c r="I334" s="17">
        <v>40909</v>
      </c>
      <c r="J334" s="1"/>
    </row>
    <row r="335" spans="1:10">
      <c r="A335" s="7" t="s">
        <v>13829</v>
      </c>
      <c r="B335" s="1" t="s">
        <v>2629</v>
      </c>
      <c r="C335" s="1">
        <v>101</v>
      </c>
      <c r="D335" s="1" t="s">
        <v>25</v>
      </c>
      <c r="E335" s="1" t="s">
        <v>6</v>
      </c>
      <c r="F335" s="1" t="s">
        <v>2698</v>
      </c>
      <c r="G335" s="1" t="s">
        <v>4803</v>
      </c>
      <c r="H335" s="1" t="s">
        <v>5</v>
      </c>
      <c r="I335" s="17">
        <v>40909</v>
      </c>
      <c r="J335" s="17"/>
    </row>
    <row r="336" spans="1:10">
      <c r="A336" s="7" t="s">
        <v>13830</v>
      </c>
      <c r="B336" s="1" t="s">
        <v>2629</v>
      </c>
      <c r="C336" s="1">
        <v>101</v>
      </c>
      <c r="D336" s="1" t="s">
        <v>25</v>
      </c>
      <c r="E336" s="1" t="s">
        <v>6</v>
      </c>
      <c r="F336" s="1" t="s">
        <v>2698</v>
      </c>
      <c r="G336" s="1" t="s">
        <v>4803</v>
      </c>
      <c r="H336" s="1" t="s">
        <v>5</v>
      </c>
      <c r="I336" s="17">
        <v>40909</v>
      </c>
      <c r="J336" s="17"/>
    </row>
    <row r="337" spans="1:10">
      <c r="A337" s="7" t="s">
        <v>13831</v>
      </c>
      <c r="B337" s="1" t="s">
        <v>2629</v>
      </c>
      <c r="C337" s="1">
        <v>101</v>
      </c>
      <c r="D337" s="1" t="s">
        <v>25</v>
      </c>
      <c r="E337" s="1" t="s">
        <v>6</v>
      </c>
      <c r="F337" s="1" t="s">
        <v>2698</v>
      </c>
      <c r="G337" s="1" t="s">
        <v>4803</v>
      </c>
      <c r="H337" s="1" t="s">
        <v>5</v>
      </c>
      <c r="I337" s="17">
        <v>40909</v>
      </c>
      <c r="J337" s="17"/>
    </row>
    <row r="338" spans="1:10">
      <c r="A338" s="7" t="s">
        <v>14842</v>
      </c>
      <c r="B338" s="1" t="s">
        <v>2629</v>
      </c>
      <c r="C338" s="1">
        <v>431</v>
      </c>
      <c r="D338" s="1" t="s">
        <v>25</v>
      </c>
      <c r="E338" s="1" t="s">
        <v>6</v>
      </c>
      <c r="F338" s="1" t="s">
        <v>5241</v>
      </c>
      <c r="G338" s="1" t="s">
        <v>4803</v>
      </c>
      <c r="H338" s="1" t="s">
        <v>5</v>
      </c>
      <c r="I338" s="17">
        <v>43282</v>
      </c>
      <c r="J338" s="17"/>
    </row>
    <row r="339" spans="1:10">
      <c r="A339" s="7" t="s">
        <v>14858</v>
      </c>
      <c r="B339" s="1" t="s">
        <v>2629</v>
      </c>
      <c r="C339" s="1">
        <v>2476</v>
      </c>
      <c r="D339" s="1" t="s">
        <v>25</v>
      </c>
      <c r="E339" s="1" t="s">
        <v>6</v>
      </c>
      <c r="F339" s="1" t="s">
        <v>5241</v>
      </c>
      <c r="G339" s="1" t="s">
        <v>4803</v>
      </c>
      <c r="H339" s="1" t="s">
        <v>5</v>
      </c>
      <c r="I339" s="17">
        <v>42095</v>
      </c>
      <c r="J339" s="17"/>
    </row>
    <row r="340" spans="1:10">
      <c r="A340" s="7" t="s">
        <v>14905</v>
      </c>
      <c r="B340" s="1" t="s">
        <v>2629</v>
      </c>
      <c r="C340" s="1">
        <v>101</v>
      </c>
      <c r="D340" s="1" t="s">
        <v>25</v>
      </c>
      <c r="E340" s="1" t="s">
        <v>6</v>
      </c>
      <c r="F340" s="1" t="s">
        <v>5241</v>
      </c>
      <c r="G340" s="1" t="s">
        <v>4803</v>
      </c>
      <c r="H340" s="1" t="s">
        <v>5</v>
      </c>
      <c r="I340" s="17">
        <v>42461</v>
      </c>
      <c r="J340" s="17"/>
    </row>
    <row r="341" spans="1:10">
      <c r="A341" s="7" t="s">
        <v>15049</v>
      </c>
      <c r="B341" s="1" t="s">
        <v>2629</v>
      </c>
      <c r="C341" s="1">
        <v>431</v>
      </c>
      <c r="D341" s="1" t="s">
        <v>25</v>
      </c>
      <c r="E341" s="1" t="s">
        <v>6</v>
      </c>
      <c r="F341" s="1" t="s">
        <v>5241</v>
      </c>
      <c r="G341" s="1" t="s">
        <v>6307</v>
      </c>
      <c r="H341" s="1" t="s">
        <v>44</v>
      </c>
      <c r="I341" s="17">
        <v>41579</v>
      </c>
    </row>
    <row r="342" spans="1:10">
      <c r="A342" s="7" t="s">
        <v>15290</v>
      </c>
      <c r="B342" s="1" t="s">
        <v>2629</v>
      </c>
      <c r="C342" s="1">
        <v>431</v>
      </c>
      <c r="D342" s="1" t="s">
        <v>25</v>
      </c>
      <c r="E342" s="1" t="s">
        <v>6</v>
      </c>
      <c r="F342" s="1" t="s">
        <v>5241</v>
      </c>
      <c r="G342" s="1" t="s">
        <v>6307</v>
      </c>
      <c r="H342" s="1" t="s">
        <v>44</v>
      </c>
      <c r="I342" s="17">
        <v>42644</v>
      </c>
    </row>
    <row r="343" spans="1:10">
      <c r="A343" s="7" t="s">
        <v>15326</v>
      </c>
      <c r="B343" s="1" t="s">
        <v>2629</v>
      </c>
      <c r="C343" s="1">
        <v>101</v>
      </c>
      <c r="D343" s="1" t="s">
        <v>25</v>
      </c>
      <c r="E343" s="1" t="s">
        <v>6</v>
      </c>
      <c r="F343" s="1" t="s">
        <v>5241</v>
      </c>
      <c r="G343" s="1" t="s">
        <v>4803</v>
      </c>
      <c r="H343" s="1" t="s">
        <v>5</v>
      </c>
      <c r="I343" s="17">
        <v>41456</v>
      </c>
    </row>
    <row r="344" spans="1:10">
      <c r="A344" s="7" t="s">
        <v>15504</v>
      </c>
      <c r="B344" s="1" t="s">
        <v>2629</v>
      </c>
      <c r="C344" s="1">
        <v>101</v>
      </c>
      <c r="D344" s="1" t="s">
        <v>25</v>
      </c>
      <c r="E344" s="1" t="s">
        <v>6</v>
      </c>
      <c r="F344" s="1" t="s">
        <v>5241</v>
      </c>
      <c r="G344" s="1" t="s">
        <v>4803</v>
      </c>
      <c r="H344" s="1" t="s">
        <v>5</v>
      </c>
      <c r="I344" s="17">
        <v>41456</v>
      </c>
      <c r="J344" s="11"/>
    </row>
    <row r="345" spans="1:10">
      <c r="A345" s="7" t="s">
        <v>16087</v>
      </c>
      <c r="B345" s="2" t="s">
        <v>2629</v>
      </c>
      <c r="C345" s="1">
        <v>431</v>
      </c>
      <c r="D345" s="1" t="s">
        <v>25</v>
      </c>
      <c r="E345" s="1" t="s">
        <v>6</v>
      </c>
      <c r="F345" s="1" t="s">
        <v>5241</v>
      </c>
      <c r="G345" s="14" t="s">
        <v>4803</v>
      </c>
      <c r="H345" s="1" t="s">
        <v>5</v>
      </c>
      <c r="I345" s="1">
        <v>2018</v>
      </c>
    </row>
    <row r="346" spans="1:10">
      <c r="A346" s="7" t="s">
        <v>5401</v>
      </c>
      <c r="B346" s="1" t="s">
        <v>2629</v>
      </c>
      <c r="C346" s="1">
        <v>101</v>
      </c>
      <c r="D346" s="1" t="s">
        <v>25</v>
      </c>
      <c r="E346" s="1" t="s">
        <v>6</v>
      </c>
      <c r="F346" s="1" t="s">
        <v>2697</v>
      </c>
      <c r="G346" s="1" t="s">
        <v>4800</v>
      </c>
      <c r="H346" s="1" t="s">
        <v>27</v>
      </c>
      <c r="I346" s="17">
        <v>41018</v>
      </c>
    </row>
    <row r="347" spans="1:10">
      <c r="A347" s="7" t="s">
        <v>5456</v>
      </c>
      <c r="B347" s="1" t="s">
        <v>2629</v>
      </c>
      <c r="C347" s="1">
        <v>2177</v>
      </c>
      <c r="D347" s="1" t="s">
        <v>25</v>
      </c>
      <c r="E347" s="1" t="s">
        <v>6</v>
      </c>
      <c r="F347" s="1" t="s">
        <v>588</v>
      </c>
      <c r="G347" s="1" t="s">
        <v>4800</v>
      </c>
      <c r="H347" s="1" t="s">
        <v>27</v>
      </c>
      <c r="I347" s="17">
        <v>42666</v>
      </c>
    </row>
    <row r="348" spans="1:10">
      <c r="A348" s="7" t="s">
        <v>5472</v>
      </c>
      <c r="B348" s="1" t="s">
        <v>2629</v>
      </c>
      <c r="C348" s="1">
        <v>431</v>
      </c>
      <c r="D348" s="1" t="s">
        <v>25</v>
      </c>
      <c r="E348" s="1" t="s">
        <v>6</v>
      </c>
      <c r="F348" s="1" t="s">
        <v>2698</v>
      </c>
      <c r="G348" s="1" t="s">
        <v>4800</v>
      </c>
      <c r="H348" s="1" t="s">
        <v>27</v>
      </c>
      <c r="I348" s="17">
        <v>42005</v>
      </c>
    </row>
    <row r="349" spans="1:10">
      <c r="A349" s="7" t="s">
        <v>5543</v>
      </c>
      <c r="B349" s="1" t="s">
        <v>2629</v>
      </c>
      <c r="C349" s="1">
        <v>101</v>
      </c>
      <c r="D349" s="1" t="s">
        <v>25</v>
      </c>
      <c r="E349" s="1" t="s">
        <v>6</v>
      </c>
      <c r="F349" s="1" t="s">
        <v>2699</v>
      </c>
      <c r="G349" s="1" t="s">
        <v>4800</v>
      </c>
      <c r="H349" s="1" t="s">
        <v>27</v>
      </c>
      <c r="I349" s="17">
        <v>41275</v>
      </c>
    </row>
    <row r="350" spans="1:10">
      <c r="A350" s="7" t="s">
        <v>5956</v>
      </c>
      <c r="B350" s="1" t="s">
        <v>2629</v>
      </c>
      <c r="C350" s="1">
        <v>101</v>
      </c>
      <c r="D350" s="1" t="s">
        <v>25</v>
      </c>
      <c r="E350" s="1" t="s">
        <v>6</v>
      </c>
      <c r="F350" s="1" t="s">
        <v>2360</v>
      </c>
      <c r="G350" s="1" t="s">
        <v>5308</v>
      </c>
      <c r="H350" s="1" t="s">
        <v>27</v>
      </c>
      <c r="I350" s="1" t="s">
        <v>5483</v>
      </c>
    </row>
    <row r="351" spans="1:10">
      <c r="A351" s="7" t="s">
        <v>10693</v>
      </c>
      <c r="B351" s="1" t="s">
        <v>2629</v>
      </c>
      <c r="C351" s="1">
        <v>431</v>
      </c>
      <c r="D351" s="1" t="s">
        <v>25</v>
      </c>
      <c r="E351" s="1" t="s">
        <v>6</v>
      </c>
      <c r="F351" s="1" t="s">
        <v>2698</v>
      </c>
      <c r="G351" s="1" t="s">
        <v>4800</v>
      </c>
      <c r="H351" s="1" t="s">
        <v>27</v>
      </c>
      <c r="I351" s="1" t="s">
        <v>4792</v>
      </c>
    </row>
    <row r="352" spans="1:10">
      <c r="A352" s="7" t="s">
        <v>11485</v>
      </c>
      <c r="B352" s="1" t="s">
        <v>2629</v>
      </c>
      <c r="C352" s="1">
        <v>431</v>
      </c>
      <c r="D352" s="1" t="s">
        <v>25</v>
      </c>
      <c r="E352" s="1" t="s">
        <v>6</v>
      </c>
      <c r="F352" s="1" t="s">
        <v>5241</v>
      </c>
      <c r="G352" s="1" t="s">
        <v>4800</v>
      </c>
      <c r="H352" s="1" t="s">
        <v>27</v>
      </c>
      <c r="I352" s="17">
        <v>41426</v>
      </c>
    </row>
    <row r="353" spans="1:10">
      <c r="A353" s="7" t="s">
        <v>14240</v>
      </c>
      <c r="B353" s="1" t="s">
        <v>2629</v>
      </c>
      <c r="C353" s="1">
        <v>431</v>
      </c>
      <c r="D353" s="1" t="s">
        <v>25</v>
      </c>
      <c r="E353" s="1" t="s">
        <v>6</v>
      </c>
      <c r="F353" s="1" t="s">
        <v>5241</v>
      </c>
      <c r="G353" s="1" t="s">
        <v>4800</v>
      </c>
      <c r="H353" s="1" t="s">
        <v>27</v>
      </c>
      <c r="I353" s="17">
        <v>42583</v>
      </c>
    </row>
    <row r="354" spans="1:10">
      <c r="A354" s="16" t="s">
        <v>5348</v>
      </c>
      <c r="B354" s="1" t="s">
        <v>2631</v>
      </c>
      <c r="C354" s="1">
        <v>101</v>
      </c>
      <c r="D354" s="1" t="s">
        <v>25</v>
      </c>
      <c r="E354" s="1" t="s">
        <v>6</v>
      </c>
      <c r="F354" s="1" t="s">
        <v>2690</v>
      </c>
      <c r="G354" s="1" t="s">
        <v>4800</v>
      </c>
      <c r="H354" s="1" t="s">
        <v>27</v>
      </c>
      <c r="I354" s="17">
        <v>41368</v>
      </c>
    </row>
    <row r="355" spans="1:10">
      <c r="A355" s="16" t="s">
        <v>5351</v>
      </c>
      <c r="B355" s="1" t="s">
        <v>2631</v>
      </c>
      <c r="C355" s="1">
        <v>101</v>
      </c>
      <c r="D355" s="1" t="s">
        <v>25</v>
      </c>
      <c r="E355" s="1" t="s">
        <v>6</v>
      </c>
      <c r="F355" s="1" t="s">
        <v>2690</v>
      </c>
      <c r="G355" s="1" t="s">
        <v>4800</v>
      </c>
      <c r="H355" s="1" t="s">
        <v>27</v>
      </c>
      <c r="I355" s="17">
        <v>41989</v>
      </c>
    </row>
    <row r="356" spans="1:10">
      <c r="A356" s="16" t="s">
        <v>5352</v>
      </c>
      <c r="B356" s="1" t="s">
        <v>2631</v>
      </c>
      <c r="C356" s="1">
        <v>101</v>
      </c>
      <c r="D356" s="1" t="s">
        <v>25</v>
      </c>
      <c r="E356" s="1" t="s">
        <v>6</v>
      </c>
      <c r="F356" s="1" t="s">
        <v>2690</v>
      </c>
      <c r="G356" s="1" t="s">
        <v>4800</v>
      </c>
      <c r="H356" s="1" t="s">
        <v>27</v>
      </c>
      <c r="I356" s="17">
        <v>42034</v>
      </c>
    </row>
    <row r="357" spans="1:10">
      <c r="A357" s="16" t="s">
        <v>5353</v>
      </c>
      <c r="B357" s="1" t="s">
        <v>2631</v>
      </c>
      <c r="C357" s="1">
        <v>101</v>
      </c>
      <c r="D357" s="1" t="s">
        <v>25</v>
      </c>
      <c r="E357" s="1" t="s">
        <v>6</v>
      </c>
      <c r="F357" s="1" t="s">
        <v>2690</v>
      </c>
      <c r="G357" s="1" t="s">
        <v>4800</v>
      </c>
      <c r="H357" s="1" t="s">
        <v>27</v>
      </c>
      <c r="I357" s="17">
        <v>42058</v>
      </c>
    </row>
    <row r="358" spans="1:10">
      <c r="A358" s="16" t="s">
        <v>5404</v>
      </c>
      <c r="B358" s="1" t="s">
        <v>2631</v>
      </c>
      <c r="C358" s="1">
        <v>101</v>
      </c>
      <c r="D358" s="1" t="s">
        <v>25</v>
      </c>
      <c r="E358" s="1" t="s">
        <v>6</v>
      </c>
      <c r="F358" s="1" t="s">
        <v>406</v>
      </c>
      <c r="G358" s="1" t="s">
        <v>4800</v>
      </c>
      <c r="H358" s="1" t="s">
        <v>27</v>
      </c>
      <c r="I358" s="17">
        <v>40954</v>
      </c>
    </row>
    <row r="359" spans="1:10">
      <c r="A359" s="16" t="s">
        <v>5411</v>
      </c>
      <c r="B359" s="1" t="s">
        <v>2631</v>
      </c>
      <c r="C359" s="1">
        <v>101</v>
      </c>
      <c r="D359" s="1" t="s">
        <v>25</v>
      </c>
      <c r="E359" s="1" t="s">
        <v>6</v>
      </c>
      <c r="F359" s="1" t="s">
        <v>406</v>
      </c>
      <c r="G359" s="1" t="s">
        <v>4800</v>
      </c>
      <c r="H359" s="1" t="s">
        <v>27</v>
      </c>
      <c r="I359" s="17">
        <v>41866</v>
      </c>
    </row>
    <row r="360" spans="1:10">
      <c r="A360" s="16" t="s">
        <v>5470</v>
      </c>
      <c r="B360" s="1" t="s">
        <v>2631</v>
      </c>
      <c r="C360" s="1">
        <v>101</v>
      </c>
      <c r="D360" s="1" t="s">
        <v>25</v>
      </c>
      <c r="E360" s="1" t="s">
        <v>6</v>
      </c>
      <c r="F360" s="1" t="s">
        <v>2698</v>
      </c>
      <c r="G360" s="1" t="s">
        <v>4800</v>
      </c>
      <c r="H360" s="1" t="s">
        <v>27</v>
      </c>
      <c r="I360" s="17">
        <v>41640</v>
      </c>
    </row>
    <row r="361" spans="1:10">
      <c r="A361" s="16" t="s">
        <v>5471</v>
      </c>
      <c r="B361" s="1" t="s">
        <v>2631</v>
      </c>
      <c r="C361" s="1">
        <v>101</v>
      </c>
      <c r="D361" s="1" t="s">
        <v>25</v>
      </c>
      <c r="E361" s="1" t="s">
        <v>6</v>
      </c>
      <c r="F361" s="1" t="s">
        <v>2698</v>
      </c>
      <c r="G361" s="1" t="s">
        <v>4800</v>
      </c>
      <c r="H361" s="1" t="s">
        <v>27</v>
      </c>
      <c r="I361" s="17">
        <v>41640</v>
      </c>
    </row>
    <row r="362" spans="1:10">
      <c r="A362" s="16" t="s">
        <v>5587</v>
      </c>
      <c r="B362" s="1" t="s">
        <v>2631</v>
      </c>
      <c r="C362" s="1">
        <v>101</v>
      </c>
      <c r="D362" s="1" t="s">
        <v>25</v>
      </c>
      <c r="E362" s="1" t="s">
        <v>6</v>
      </c>
      <c r="F362" s="1" t="s">
        <v>2700</v>
      </c>
      <c r="G362" s="1" t="s">
        <v>4800</v>
      </c>
      <c r="H362" s="1" t="s">
        <v>27</v>
      </c>
      <c r="I362" s="17">
        <v>41275</v>
      </c>
    </row>
    <row r="363" spans="1:10">
      <c r="A363" s="16" t="s">
        <v>5593</v>
      </c>
      <c r="B363" s="1" t="s">
        <v>2631</v>
      </c>
      <c r="C363" s="1">
        <v>101</v>
      </c>
      <c r="D363" s="1" t="s">
        <v>25</v>
      </c>
      <c r="E363" s="1" t="s">
        <v>6</v>
      </c>
      <c r="F363" s="1" t="s">
        <v>2700</v>
      </c>
      <c r="G363" s="1" t="s">
        <v>4800</v>
      </c>
      <c r="H363" s="1" t="s">
        <v>27</v>
      </c>
      <c r="I363" s="17">
        <v>42005</v>
      </c>
    </row>
    <row r="364" spans="1:10">
      <c r="A364" s="16" t="s">
        <v>11061</v>
      </c>
      <c r="B364" s="1" t="s">
        <v>2631</v>
      </c>
      <c r="C364" s="1">
        <v>101</v>
      </c>
      <c r="D364" s="1" t="s">
        <v>25</v>
      </c>
      <c r="E364" s="1" t="s">
        <v>6</v>
      </c>
      <c r="F364" s="1" t="s">
        <v>2698</v>
      </c>
      <c r="G364" s="1" t="s">
        <v>4800</v>
      </c>
      <c r="H364" s="1" t="s">
        <v>27</v>
      </c>
      <c r="I364" s="1" t="s">
        <v>4792</v>
      </c>
    </row>
    <row r="365" spans="1:10">
      <c r="A365" s="16" t="s">
        <v>11062</v>
      </c>
      <c r="B365" s="1" t="s">
        <v>2631</v>
      </c>
      <c r="C365" s="1">
        <v>101</v>
      </c>
      <c r="D365" s="1" t="s">
        <v>25</v>
      </c>
      <c r="E365" s="1" t="s">
        <v>6</v>
      </c>
      <c r="F365" s="1" t="s">
        <v>2698</v>
      </c>
      <c r="G365" s="1" t="s">
        <v>4800</v>
      </c>
      <c r="H365" s="1" t="s">
        <v>27</v>
      </c>
      <c r="I365" s="1" t="s">
        <v>4792</v>
      </c>
    </row>
    <row r="366" spans="1:10">
      <c r="A366" s="7" t="s">
        <v>7519</v>
      </c>
      <c r="B366" s="1" t="s">
        <v>2628</v>
      </c>
      <c r="C366" s="1">
        <v>1041</v>
      </c>
      <c r="D366" s="1" t="s">
        <v>7520</v>
      </c>
      <c r="E366" s="1" t="s">
        <v>10</v>
      </c>
      <c r="F366" s="1" t="s">
        <v>5091</v>
      </c>
      <c r="G366" s="1" t="s">
        <v>6186</v>
      </c>
      <c r="H366" s="1" t="s">
        <v>5</v>
      </c>
      <c r="I366" s="1" t="s">
        <v>6090</v>
      </c>
      <c r="J366" s="1"/>
    </row>
    <row r="367" spans="1:10">
      <c r="A367" s="7" t="s">
        <v>7541</v>
      </c>
      <c r="B367" s="1" t="s">
        <v>2628</v>
      </c>
      <c r="C367" s="1">
        <v>1041</v>
      </c>
      <c r="D367" s="1" t="s">
        <v>7520</v>
      </c>
      <c r="E367" s="1" t="s">
        <v>10</v>
      </c>
      <c r="F367" s="1" t="s">
        <v>5091</v>
      </c>
      <c r="G367" s="1" t="s">
        <v>6236</v>
      </c>
      <c r="H367" s="1" t="s">
        <v>43</v>
      </c>
      <c r="I367" s="1" t="s">
        <v>6090</v>
      </c>
      <c r="J367" s="17"/>
    </row>
    <row r="368" spans="1:10">
      <c r="A368" s="7" t="s">
        <v>7542</v>
      </c>
      <c r="B368" s="1" t="s">
        <v>2628</v>
      </c>
      <c r="C368" s="1">
        <v>1041</v>
      </c>
      <c r="D368" s="1" t="s">
        <v>7520</v>
      </c>
      <c r="E368" s="1" t="s">
        <v>10</v>
      </c>
      <c r="F368" s="1" t="s">
        <v>5091</v>
      </c>
      <c r="G368" s="1" t="s">
        <v>6236</v>
      </c>
      <c r="H368" s="1" t="s">
        <v>43</v>
      </c>
      <c r="I368" s="1" t="s">
        <v>6090</v>
      </c>
      <c r="J368" s="17"/>
    </row>
    <row r="369" spans="1:9">
      <c r="A369" s="16" t="s">
        <v>9832</v>
      </c>
      <c r="B369" s="1" t="s">
        <v>2628</v>
      </c>
      <c r="C369" s="1">
        <v>1041</v>
      </c>
      <c r="D369" s="1" t="s">
        <v>7520</v>
      </c>
      <c r="E369" s="1" t="s">
        <v>10</v>
      </c>
      <c r="F369" s="1" t="s">
        <v>5091</v>
      </c>
      <c r="G369" s="14" t="s">
        <v>9833</v>
      </c>
      <c r="H369" s="1" t="s">
        <v>5</v>
      </c>
      <c r="I369" s="17">
        <v>40733</v>
      </c>
    </row>
    <row r="370" spans="1:9">
      <c r="A370" s="16" t="s">
        <v>9888</v>
      </c>
      <c r="B370" s="1" t="s">
        <v>2628</v>
      </c>
      <c r="C370" s="1">
        <v>1041</v>
      </c>
      <c r="D370" s="1" t="s">
        <v>7520</v>
      </c>
      <c r="E370" s="1" t="s">
        <v>10</v>
      </c>
      <c r="F370" s="1" t="s">
        <v>5091</v>
      </c>
      <c r="G370" s="14" t="s">
        <v>9889</v>
      </c>
      <c r="H370" s="1" t="s">
        <v>5</v>
      </c>
      <c r="I370" s="17">
        <v>39770</v>
      </c>
    </row>
    <row r="371" spans="1:9">
      <c r="A371" s="7" t="s">
        <v>13144</v>
      </c>
      <c r="B371" s="1" t="s">
        <v>2630</v>
      </c>
      <c r="C371" s="1">
        <v>1025</v>
      </c>
      <c r="D371" s="1" t="s">
        <v>1461</v>
      </c>
      <c r="E371" s="1" t="s">
        <v>6</v>
      </c>
      <c r="F371" s="1" t="s">
        <v>36</v>
      </c>
      <c r="G371" s="1" t="s">
        <v>4803</v>
      </c>
      <c r="H371" s="1" t="s">
        <v>5</v>
      </c>
      <c r="I371" s="1">
        <v>1990</v>
      </c>
    </row>
    <row r="372" spans="1:9">
      <c r="A372" s="7" t="s">
        <v>16469</v>
      </c>
      <c r="B372" s="1" t="s">
        <v>2631</v>
      </c>
      <c r="C372" s="1">
        <v>1055</v>
      </c>
      <c r="D372" s="1" t="s">
        <v>1461</v>
      </c>
      <c r="E372" s="1" t="s">
        <v>6</v>
      </c>
      <c r="F372" s="1" t="s">
        <v>5091</v>
      </c>
      <c r="G372" s="1" t="s">
        <v>10705</v>
      </c>
      <c r="H372" s="1" t="s">
        <v>44</v>
      </c>
      <c r="I372" s="1" t="s">
        <v>5848</v>
      </c>
    </row>
    <row r="373" spans="1:9">
      <c r="A373" s="16" t="s">
        <v>8662</v>
      </c>
      <c r="B373" s="1" t="s">
        <v>2628</v>
      </c>
      <c r="C373" s="1">
        <v>11</v>
      </c>
      <c r="D373" s="1" t="s">
        <v>55</v>
      </c>
      <c r="E373" s="1" t="s">
        <v>6</v>
      </c>
      <c r="F373" s="1" t="s">
        <v>5091</v>
      </c>
      <c r="G373" s="14" t="s">
        <v>4788</v>
      </c>
      <c r="H373" s="1" t="s">
        <v>4456</v>
      </c>
      <c r="I373" s="1" t="s">
        <v>4458</v>
      </c>
    </row>
    <row r="374" spans="1:9">
      <c r="A374" s="16" t="s">
        <v>8753</v>
      </c>
      <c r="B374" s="1" t="s">
        <v>2628</v>
      </c>
      <c r="C374" s="1">
        <v>371</v>
      </c>
      <c r="D374" s="1" t="s">
        <v>55</v>
      </c>
      <c r="E374" s="1" t="s">
        <v>6</v>
      </c>
      <c r="F374" s="1" t="s">
        <v>5091</v>
      </c>
      <c r="G374" s="14" t="s">
        <v>5853</v>
      </c>
      <c r="H374" s="1" t="s">
        <v>27</v>
      </c>
      <c r="I374" s="17">
        <v>41944</v>
      </c>
    </row>
    <row r="375" spans="1:9">
      <c r="A375" s="16" t="s">
        <v>8758</v>
      </c>
      <c r="B375" s="1" t="s">
        <v>2628</v>
      </c>
      <c r="C375" s="1">
        <v>11</v>
      </c>
      <c r="D375" s="1" t="s">
        <v>55</v>
      </c>
      <c r="E375" s="1" t="s">
        <v>6</v>
      </c>
      <c r="F375" s="1" t="s">
        <v>5091</v>
      </c>
      <c r="G375" s="14" t="s">
        <v>5853</v>
      </c>
      <c r="H375" s="1" t="s">
        <v>27</v>
      </c>
      <c r="I375" s="17">
        <v>41944</v>
      </c>
    </row>
    <row r="376" spans="1:9">
      <c r="A376" s="16" t="s">
        <v>8785</v>
      </c>
      <c r="B376" s="1" t="s">
        <v>2628</v>
      </c>
      <c r="C376" s="1">
        <v>11</v>
      </c>
      <c r="D376" s="1" t="s">
        <v>55</v>
      </c>
      <c r="E376" s="1" t="s">
        <v>6</v>
      </c>
      <c r="F376" s="1" t="s">
        <v>5091</v>
      </c>
      <c r="G376" s="14" t="s">
        <v>4800</v>
      </c>
      <c r="H376" s="1" t="s">
        <v>27</v>
      </c>
      <c r="I376" s="17">
        <v>36526</v>
      </c>
    </row>
    <row r="377" spans="1:9">
      <c r="A377" s="16" t="s">
        <v>9072</v>
      </c>
      <c r="B377" s="1" t="s">
        <v>2628</v>
      </c>
      <c r="C377" s="1">
        <v>11</v>
      </c>
      <c r="D377" s="1" t="s">
        <v>55</v>
      </c>
      <c r="E377" s="1" t="s">
        <v>6</v>
      </c>
      <c r="F377" s="1" t="s">
        <v>5091</v>
      </c>
      <c r="G377" s="14" t="s">
        <v>5853</v>
      </c>
      <c r="H377" s="1" t="s">
        <v>27</v>
      </c>
      <c r="I377" s="17">
        <v>42125</v>
      </c>
    </row>
    <row r="378" spans="1:9">
      <c r="A378" s="16" t="s">
        <v>9774</v>
      </c>
      <c r="B378" s="1" t="s">
        <v>2628</v>
      </c>
      <c r="C378" s="1">
        <v>371</v>
      </c>
      <c r="D378" s="1" t="s">
        <v>55</v>
      </c>
      <c r="E378" s="1" t="s">
        <v>6</v>
      </c>
      <c r="F378" s="1" t="s">
        <v>5091</v>
      </c>
      <c r="G378" s="14" t="s">
        <v>5853</v>
      </c>
      <c r="H378" s="1" t="s">
        <v>27</v>
      </c>
      <c r="I378" s="17">
        <v>42278</v>
      </c>
    </row>
    <row r="379" spans="1:9">
      <c r="A379" s="16" t="s">
        <v>9775</v>
      </c>
      <c r="B379" s="1" t="s">
        <v>2628</v>
      </c>
      <c r="C379" s="1">
        <v>371</v>
      </c>
      <c r="D379" s="1" t="s">
        <v>55</v>
      </c>
      <c r="E379" s="1" t="s">
        <v>6</v>
      </c>
      <c r="F379" s="1" t="s">
        <v>5091</v>
      </c>
      <c r="G379" s="14" t="s">
        <v>6108</v>
      </c>
      <c r="H379" s="1" t="s">
        <v>27</v>
      </c>
      <c r="I379" s="17">
        <v>42278</v>
      </c>
    </row>
    <row r="380" spans="1:9">
      <c r="A380" s="16" t="s">
        <v>14662</v>
      </c>
      <c r="B380" s="1" t="s">
        <v>2628</v>
      </c>
      <c r="C380" s="1">
        <v>11</v>
      </c>
      <c r="D380" s="1" t="s">
        <v>55</v>
      </c>
      <c r="E380" s="1" t="s">
        <v>6</v>
      </c>
      <c r="F380" s="1" t="s">
        <v>5091</v>
      </c>
      <c r="G380" s="14" t="s">
        <v>5853</v>
      </c>
      <c r="H380" s="1" t="s">
        <v>27</v>
      </c>
      <c r="I380" s="17">
        <v>36526</v>
      </c>
    </row>
    <row r="381" spans="1:9">
      <c r="A381" s="7" t="s">
        <v>6178</v>
      </c>
      <c r="B381" s="2" t="s">
        <v>2628</v>
      </c>
      <c r="C381" s="1">
        <v>11</v>
      </c>
      <c r="D381" s="1" t="s">
        <v>55</v>
      </c>
      <c r="E381" s="1" t="s">
        <v>6</v>
      </c>
      <c r="F381" s="1" t="s">
        <v>5091</v>
      </c>
      <c r="G381" s="14" t="s">
        <v>6174</v>
      </c>
      <c r="H381" s="1" t="s">
        <v>43</v>
      </c>
      <c r="I381" s="1">
        <v>2007</v>
      </c>
    </row>
    <row r="382" spans="1:9">
      <c r="A382" s="7" t="s">
        <v>6215</v>
      </c>
      <c r="B382" s="2" t="s">
        <v>2628</v>
      </c>
      <c r="C382" s="1">
        <v>371</v>
      </c>
      <c r="D382" s="1" t="s">
        <v>55</v>
      </c>
      <c r="E382" s="1" t="s">
        <v>6</v>
      </c>
      <c r="F382" s="1" t="s">
        <v>5091</v>
      </c>
      <c r="G382" s="14" t="s">
        <v>6139</v>
      </c>
      <c r="H382" s="1" t="s">
        <v>43</v>
      </c>
      <c r="I382" s="1" t="s">
        <v>5807</v>
      </c>
    </row>
    <row r="383" spans="1:9">
      <c r="A383" s="7" t="s">
        <v>6218</v>
      </c>
      <c r="B383" s="2" t="s">
        <v>2628</v>
      </c>
      <c r="C383" s="1">
        <v>371</v>
      </c>
      <c r="D383" s="1" t="s">
        <v>55</v>
      </c>
      <c r="E383" s="1" t="s">
        <v>6</v>
      </c>
      <c r="F383" s="1" t="s">
        <v>5091</v>
      </c>
      <c r="G383" s="14" t="s">
        <v>6139</v>
      </c>
      <c r="H383" s="1" t="s">
        <v>43</v>
      </c>
      <c r="I383" s="1" t="s">
        <v>5807</v>
      </c>
    </row>
    <row r="384" spans="1:9">
      <c r="A384" s="7" t="s">
        <v>6220</v>
      </c>
      <c r="B384" s="2" t="s">
        <v>2628</v>
      </c>
      <c r="C384" s="1">
        <v>371</v>
      </c>
      <c r="D384" s="1" t="s">
        <v>55</v>
      </c>
      <c r="E384" s="1" t="s">
        <v>6</v>
      </c>
      <c r="F384" s="1" t="s">
        <v>5091</v>
      </c>
      <c r="G384" s="14" t="s">
        <v>6139</v>
      </c>
      <c r="H384" s="1" t="s">
        <v>43</v>
      </c>
      <c r="I384" s="1" t="s">
        <v>5807</v>
      </c>
    </row>
    <row r="385" spans="1:9">
      <c r="A385" s="7" t="s">
        <v>6260</v>
      </c>
      <c r="B385" s="2" t="s">
        <v>2628</v>
      </c>
      <c r="C385" s="1">
        <v>11</v>
      </c>
      <c r="D385" s="1" t="s">
        <v>55</v>
      </c>
      <c r="E385" s="1" t="s">
        <v>6</v>
      </c>
      <c r="F385" s="1" t="s">
        <v>5091</v>
      </c>
      <c r="G385" s="14" t="s">
        <v>6145</v>
      </c>
      <c r="H385" s="1" t="s">
        <v>43</v>
      </c>
      <c r="I385" s="1" t="s">
        <v>5807</v>
      </c>
    </row>
    <row r="386" spans="1:9">
      <c r="A386" s="7" t="s">
        <v>6313</v>
      </c>
      <c r="B386" s="2" t="s">
        <v>2628</v>
      </c>
      <c r="C386" s="1">
        <v>371</v>
      </c>
      <c r="D386" s="1" t="s">
        <v>55</v>
      </c>
      <c r="E386" s="1" t="s">
        <v>6</v>
      </c>
      <c r="F386" s="1" t="s">
        <v>5091</v>
      </c>
      <c r="G386" s="22" t="s">
        <v>6181</v>
      </c>
      <c r="H386" s="2" t="s">
        <v>118</v>
      </c>
      <c r="I386" s="1" t="s">
        <v>4458</v>
      </c>
    </row>
    <row r="387" spans="1:9">
      <c r="A387" s="7" t="s">
        <v>6368</v>
      </c>
      <c r="B387" s="2" t="s">
        <v>2628</v>
      </c>
      <c r="C387" s="1">
        <v>371</v>
      </c>
      <c r="D387" s="1" t="s">
        <v>55</v>
      </c>
      <c r="E387" s="1" t="s">
        <v>6</v>
      </c>
      <c r="F387" s="1" t="s">
        <v>5091</v>
      </c>
      <c r="G387" s="14" t="s">
        <v>6369</v>
      </c>
      <c r="H387" s="1" t="s">
        <v>5</v>
      </c>
      <c r="I387" s="1" t="s">
        <v>5089</v>
      </c>
    </row>
    <row r="388" spans="1:9">
      <c r="A388" s="7" t="s">
        <v>6507</v>
      </c>
      <c r="B388" s="1" t="s">
        <v>2628</v>
      </c>
      <c r="C388" s="1">
        <v>11</v>
      </c>
      <c r="D388" s="1" t="s">
        <v>55</v>
      </c>
      <c r="E388" s="1" t="s">
        <v>6</v>
      </c>
      <c r="F388" s="1" t="s">
        <v>5091</v>
      </c>
      <c r="G388" s="1" t="s">
        <v>6450</v>
      </c>
      <c r="H388" s="1" t="s">
        <v>43</v>
      </c>
      <c r="I388" s="1" t="s">
        <v>5848</v>
      </c>
    </row>
    <row r="389" spans="1:9">
      <c r="A389" s="7" t="s">
        <v>6512</v>
      </c>
      <c r="B389" s="1" t="s">
        <v>2628</v>
      </c>
      <c r="C389" s="1">
        <v>11</v>
      </c>
      <c r="D389" s="1" t="s">
        <v>55</v>
      </c>
      <c r="E389" s="1" t="s">
        <v>6</v>
      </c>
      <c r="F389" s="1" t="s">
        <v>5091</v>
      </c>
      <c r="G389" s="1" t="s">
        <v>6450</v>
      </c>
      <c r="H389" s="1" t="s">
        <v>43</v>
      </c>
      <c r="I389" s="1" t="s">
        <v>5848</v>
      </c>
    </row>
    <row r="390" spans="1:9">
      <c r="A390" s="7" t="s">
        <v>6515</v>
      </c>
      <c r="B390" s="1" t="s">
        <v>2628</v>
      </c>
      <c r="C390" s="1">
        <v>11</v>
      </c>
      <c r="D390" s="1" t="s">
        <v>55</v>
      </c>
      <c r="E390" s="1" t="s">
        <v>6</v>
      </c>
      <c r="F390" s="1" t="s">
        <v>5091</v>
      </c>
      <c r="G390" s="1" t="s">
        <v>6450</v>
      </c>
      <c r="H390" s="1" t="s">
        <v>43</v>
      </c>
      <c r="I390" s="1" t="s">
        <v>5848</v>
      </c>
    </row>
    <row r="391" spans="1:9">
      <c r="A391" s="7" t="s">
        <v>6517</v>
      </c>
      <c r="B391" s="1" t="s">
        <v>2628</v>
      </c>
      <c r="C391" s="1">
        <v>11</v>
      </c>
      <c r="D391" s="1" t="s">
        <v>55</v>
      </c>
      <c r="E391" s="1" t="s">
        <v>6</v>
      </c>
      <c r="F391" s="1" t="s">
        <v>5091</v>
      </c>
      <c r="G391" s="1" t="s">
        <v>6450</v>
      </c>
      <c r="H391" s="1" t="s">
        <v>43</v>
      </c>
      <c r="I391" s="1" t="s">
        <v>5848</v>
      </c>
    </row>
    <row r="392" spans="1:9">
      <c r="A392" s="16" t="s">
        <v>6523</v>
      </c>
      <c r="B392" s="1" t="s">
        <v>2628</v>
      </c>
      <c r="C392" s="1">
        <v>371</v>
      </c>
      <c r="D392" s="1" t="s">
        <v>55</v>
      </c>
      <c r="E392" s="1" t="s">
        <v>6</v>
      </c>
      <c r="F392" s="1" t="s">
        <v>5091</v>
      </c>
      <c r="G392" s="14" t="s">
        <v>6524</v>
      </c>
      <c r="H392" s="1" t="s">
        <v>43</v>
      </c>
      <c r="I392" s="17">
        <v>41576</v>
      </c>
    </row>
    <row r="393" spans="1:9">
      <c r="A393" s="16" t="s">
        <v>6547</v>
      </c>
      <c r="B393" s="1" t="s">
        <v>2628</v>
      </c>
      <c r="C393" s="1">
        <v>371</v>
      </c>
      <c r="D393" s="1" t="s">
        <v>55</v>
      </c>
      <c r="E393" s="1" t="s">
        <v>6</v>
      </c>
      <c r="F393" s="1" t="s">
        <v>5091</v>
      </c>
      <c r="G393" s="14" t="s">
        <v>6548</v>
      </c>
      <c r="H393" s="1" t="s">
        <v>5</v>
      </c>
      <c r="I393" s="17">
        <v>41576</v>
      </c>
    </row>
    <row r="394" spans="1:9">
      <c r="A394" s="7" t="s">
        <v>6747</v>
      </c>
      <c r="B394" s="1" t="s">
        <v>2628</v>
      </c>
      <c r="C394" s="1">
        <v>11</v>
      </c>
      <c r="D394" s="1" t="s">
        <v>55</v>
      </c>
      <c r="E394" s="1" t="s">
        <v>6</v>
      </c>
      <c r="F394" s="1" t="s">
        <v>5091</v>
      </c>
      <c r="G394" s="1" t="s">
        <v>6536</v>
      </c>
      <c r="H394" s="1" t="s">
        <v>43</v>
      </c>
      <c r="I394" s="1" t="s">
        <v>5801</v>
      </c>
    </row>
    <row r="395" spans="1:9">
      <c r="A395" s="16" t="s">
        <v>6811</v>
      </c>
      <c r="B395" s="1" t="s">
        <v>2628</v>
      </c>
      <c r="C395" s="1">
        <v>11</v>
      </c>
      <c r="D395" s="1" t="s">
        <v>55</v>
      </c>
      <c r="E395" s="1" t="s">
        <v>6</v>
      </c>
      <c r="F395" s="1" t="s">
        <v>5091</v>
      </c>
      <c r="G395" s="14" t="s">
        <v>6145</v>
      </c>
      <c r="H395" s="1" t="s">
        <v>43</v>
      </c>
      <c r="I395" s="17">
        <v>41584</v>
      </c>
    </row>
    <row r="396" spans="1:9">
      <c r="A396" s="16" t="s">
        <v>6815</v>
      </c>
      <c r="B396" s="1" t="s">
        <v>2628</v>
      </c>
      <c r="C396" s="1">
        <v>11</v>
      </c>
      <c r="D396" s="1" t="s">
        <v>55</v>
      </c>
      <c r="E396" s="1" t="s">
        <v>6</v>
      </c>
      <c r="F396" s="1" t="s">
        <v>5091</v>
      </c>
      <c r="G396" s="14" t="s">
        <v>6145</v>
      </c>
      <c r="H396" s="1" t="s">
        <v>43</v>
      </c>
      <c r="I396" s="17">
        <v>41584</v>
      </c>
    </row>
    <row r="397" spans="1:9">
      <c r="A397" s="16" t="s">
        <v>6817</v>
      </c>
      <c r="B397" s="1" t="s">
        <v>2628</v>
      </c>
      <c r="C397" s="1">
        <v>11</v>
      </c>
      <c r="D397" s="1" t="s">
        <v>55</v>
      </c>
      <c r="E397" s="1" t="s">
        <v>6</v>
      </c>
      <c r="F397" s="1" t="s">
        <v>5091</v>
      </c>
      <c r="G397" s="14" t="s">
        <v>6145</v>
      </c>
      <c r="H397" s="1" t="s">
        <v>43</v>
      </c>
      <c r="I397" s="17">
        <v>41591</v>
      </c>
    </row>
    <row r="398" spans="1:9">
      <c r="A398" s="16" t="s">
        <v>6818</v>
      </c>
      <c r="B398" s="1" t="s">
        <v>2628</v>
      </c>
      <c r="C398" s="1">
        <v>11</v>
      </c>
      <c r="D398" s="1" t="s">
        <v>55</v>
      </c>
      <c r="E398" s="1" t="s">
        <v>6</v>
      </c>
      <c r="F398" s="1" t="s">
        <v>5091</v>
      </c>
      <c r="G398" s="14" t="s">
        <v>6145</v>
      </c>
      <c r="H398" s="1" t="s">
        <v>43</v>
      </c>
      <c r="I398" s="17">
        <v>41584</v>
      </c>
    </row>
    <row r="399" spans="1:9">
      <c r="A399" s="7" t="s">
        <v>7177</v>
      </c>
      <c r="B399" s="1" t="s">
        <v>2628</v>
      </c>
      <c r="C399" s="1">
        <v>11</v>
      </c>
      <c r="D399" s="1" t="s">
        <v>55</v>
      </c>
      <c r="E399" s="1" t="s">
        <v>6</v>
      </c>
      <c r="F399" s="1" t="s">
        <v>5091</v>
      </c>
      <c r="G399" s="1" t="s">
        <v>7178</v>
      </c>
      <c r="H399" s="1" t="s">
        <v>5</v>
      </c>
      <c r="I399" s="1" t="s">
        <v>4789</v>
      </c>
    </row>
    <row r="400" spans="1:9">
      <c r="A400" s="7" t="s">
        <v>7315</v>
      </c>
      <c r="B400" s="1" t="s">
        <v>2628</v>
      </c>
      <c r="C400" s="1">
        <v>11</v>
      </c>
      <c r="D400" s="1" t="s">
        <v>55</v>
      </c>
      <c r="E400" s="1" t="s">
        <v>6</v>
      </c>
      <c r="F400" s="1" t="s">
        <v>5091</v>
      </c>
      <c r="G400" s="1" t="s">
        <v>6181</v>
      </c>
      <c r="H400" s="1" t="s">
        <v>118</v>
      </c>
      <c r="I400" s="1" t="s">
        <v>4458</v>
      </c>
    </row>
    <row r="401" spans="1:10">
      <c r="A401" s="16" t="s">
        <v>7362</v>
      </c>
      <c r="B401" s="1" t="s">
        <v>2628</v>
      </c>
      <c r="C401" s="1">
        <v>11</v>
      </c>
      <c r="D401" s="1" t="s">
        <v>55</v>
      </c>
      <c r="E401" s="1" t="s">
        <v>6</v>
      </c>
      <c r="F401" s="1" t="s">
        <v>5091</v>
      </c>
      <c r="G401" s="14" t="s">
        <v>7363</v>
      </c>
      <c r="H401" s="1" t="s">
        <v>5</v>
      </c>
      <c r="I401" s="17">
        <v>41605</v>
      </c>
    </row>
    <row r="402" spans="1:10">
      <c r="A402" s="16" t="s">
        <v>7413</v>
      </c>
      <c r="B402" s="1" t="s">
        <v>2628</v>
      </c>
      <c r="C402" s="1">
        <v>11</v>
      </c>
      <c r="D402" s="1" t="s">
        <v>55</v>
      </c>
      <c r="E402" s="1" t="s">
        <v>6</v>
      </c>
      <c r="F402" s="1" t="s">
        <v>5091</v>
      </c>
      <c r="G402" s="14" t="s">
        <v>7414</v>
      </c>
      <c r="H402" s="1" t="s">
        <v>5</v>
      </c>
      <c r="I402" s="17">
        <v>40847</v>
      </c>
    </row>
    <row r="403" spans="1:10">
      <c r="A403" s="7" t="s">
        <v>7867</v>
      </c>
      <c r="B403" s="1" t="s">
        <v>2628</v>
      </c>
      <c r="C403" s="1">
        <v>11</v>
      </c>
      <c r="D403" s="1" t="s">
        <v>55</v>
      </c>
      <c r="E403" s="1" t="s">
        <v>6</v>
      </c>
      <c r="F403" s="1" t="s">
        <v>5091</v>
      </c>
      <c r="G403" s="1" t="s">
        <v>6181</v>
      </c>
      <c r="H403" s="1" t="s">
        <v>118</v>
      </c>
      <c r="I403" s="1" t="s">
        <v>4458</v>
      </c>
    </row>
    <row r="404" spans="1:10">
      <c r="A404" s="7" t="s">
        <v>8090</v>
      </c>
      <c r="B404" s="1" t="s">
        <v>2628</v>
      </c>
      <c r="C404" s="1">
        <v>371</v>
      </c>
      <c r="D404" s="1" t="s">
        <v>55</v>
      </c>
      <c r="E404" s="1" t="s">
        <v>6</v>
      </c>
      <c r="F404" s="1" t="s">
        <v>5091</v>
      </c>
      <c r="G404" s="1" t="s">
        <v>6186</v>
      </c>
      <c r="H404" s="1" t="s">
        <v>5</v>
      </c>
      <c r="I404" s="1" t="s">
        <v>6090</v>
      </c>
      <c r="J404" s="17"/>
    </row>
    <row r="405" spans="1:10">
      <c r="A405" s="7" t="s">
        <v>8100</v>
      </c>
      <c r="B405" s="1" t="s">
        <v>2628</v>
      </c>
      <c r="C405" s="1">
        <v>371</v>
      </c>
      <c r="D405" s="1" t="s">
        <v>55</v>
      </c>
      <c r="E405" s="1" t="s">
        <v>6</v>
      </c>
      <c r="F405" s="1" t="s">
        <v>5091</v>
      </c>
      <c r="G405" s="1" t="s">
        <v>6238</v>
      </c>
      <c r="H405" s="1" t="s">
        <v>43</v>
      </c>
      <c r="I405" s="1" t="s">
        <v>8096</v>
      </c>
      <c r="J405" s="17"/>
    </row>
    <row r="406" spans="1:10" ht="31.2">
      <c r="A406" s="16" t="s">
        <v>8533</v>
      </c>
      <c r="B406" s="1" t="s">
        <v>2628</v>
      </c>
      <c r="C406" s="1">
        <v>371</v>
      </c>
      <c r="D406" s="1" t="s">
        <v>55</v>
      </c>
      <c r="E406" s="1" t="s">
        <v>6</v>
      </c>
      <c r="F406" s="1" t="s">
        <v>5091</v>
      </c>
      <c r="G406" s="14" t="s">
        <v>7652</v>
      </c>
      <c r="H406" s="1" t="s">
        <v>43</v>
      </c>
      <c r="I406" s="17">
        <v>41640</v>
      </c>
    </row>
    <row r="407" spans="1:10">
      <c r="A407" s="16" t="s">
        <v>8622</v>
      </c>
      <c r="B407" s="1" t="s">
        <v>2628</v>
      </c>
      <c r="C407" s="1">
        <v>11</v>
      </c>
      <c r="D407" s="1" t="s">
        <v>55</v>
      </c>
      <c r="E407" s="1" t="s">
        <v>6</v>
      </c>
      <c r="F407" s="1" t="s">
        <v>5091</v>
      </c>
      <c r="G407" s="14" t="s">
        <v>8623</v>
      </c>
      <c r="H407" s="1" t="s">
        <v>5</v>
      </c>
      <c r="I407" s="17">
        <v>34561</v>
      </c>
    </row>
    <row r="408" spans="1:10">
      <c r="A408" s="16" t="s">
        <v>8624</v>
      </c>
      <c r="B408" s="1" t="s">
        <v>2628</v>
      </c>
      <c r="C408" s="1">
        <v>11</v>
      </c>
      <c r="D408" s="1" t="s">
        <v>55</v>
      </c>
      <c r="E408" s="1" t="s">
        <v>6</v>
      </c>
      <c r="F408" s="1" t="s">
        <v>5091</v>
      </c>
      <c r="G408" s="14" t="s">
        <v>8625</v>
      </c>
      <c r="H408" s="1" t="s">
        <v>5</v>
      </c>
      <c r="I408" s="17">
        <v>34561</v>
      </c>
    </row>
    <row r="409" spans="1:10">
      <c r="A409" s="16" t="s">
        <v>8631</v>
      </c>
      <c r="B409" s="1" t="s">
        <v>2628</v>
      </c>
      <c r="C409" s="1">
        <v>11</v>
      </c>
      <c r="D409" s="1" t="s">
        <v>55</v>
      </c>
      <c r="E409" s="1" t="s">
        <v>6</v>
      </c>
      <c r="F409" s="1" t="s">
        <v>5091</v>
      </c>
      <c r="G409" s="14" t="s">
        <v>8623</v>
      </c>
      <c r="H409" s="1" t="s">
        <v>5</v>
      </c>
      <c r="I409" s="17">
        <v>34561</v>
      </c>
    </row>
    <row r="410" spans="1:10">
      <c r="A410" s="16" t="s">
        <v>8632</v>
      </c>
      <c r="B410" s="1" t="s">
        <v>2628</v>
      </c>
      <c r="C410" s="1">
        <v>11</v>
      </c>
      <c r="D410" s="1" t="s">
        <v>55</v>
      </c>
      <c r="E410" s="1" t="s">
        <v>6</v>
      </c>
      <c r="F410" s="1" t="s">
        <v>5091</v>
      </c>
      <c r="G410" s="14" t="s">
        <v>8627</v>
      </c>
      <c r="H410" s="1" t="s">
        <v>5</v>
      </c>
      <c r="I410" s="17">
        <v>34561</v>
      </c>
    </row>
    <row r="411" spans="1:10">
      <c r="A411" s="16" t="s">
        <v>8637</v>
      </c>
      <c r="B411" s="1" t="s">
        <v>2628</v>
      </c>
      <c r="C411" s="1">
        <v>11</v>
      </c>
      <c r="D411" s="1" t="s">
        <v>55</v>
      </c>
      <c r="E411" s="1" t="s">
        <v>6</v>
      </c>
      <c r="F411" s="1" t="s">
        <v>5091</v>
      </c>
      <c r="G411" s="14" t="s">
        <v>8625</v>
      </c>
      <c r="H411" s="1" t="s">
        <v>5</v>
      </c>
      <c r="I411" s="17">
        <v>34561</v>
      </c>
    </row>
    <row r="412" spans="1:10">
      <c r="A412" s="16" t="s">
        <v>8653</v>
      </c>
      <c r="B412" s="1" t="s">
        <v>2628</v>
      </c>
      <c r="C412" s="1">
        <v>11</v>
      </c>
      <c r="D412" s="1" t="s">
        <v>55</v>
      </c>
      <c r="E412" s="1" t="s">
        <v>6</v>
      </c>
      <c r="F412" s="1" t="s">
        <v>5091</v>
      </c>
      <c r="G412" s="14" t="s">
        <v>8625</v>
      </c>
      <c r="H412" s="1" t="s">
        <v>5</v>
      </c>
      <c r="I412" s="17">
        <v>34561</v>
      </c>
    </row>
    <row r="413" spans="1:10">
      <c r="A413" s="16" t="s">
        <v>8835</v>
      </c>
      <c r="B413" s="1" t="s">
        <v>2628</v>
      </c>
      <c r="C413" s="1">
        <v>371</v>
      </c>
      <c r="D413" s="1" t="s">
        <v>55</v>
      </c>
      <c r="E413" s="1" t="s">
        <v>6</v>
      </c>
      <c r="F413" s="1" t="s">
        <v>5091</v>
      </c>
      <c r="G413" s="14" t="s">
        <v>8836</v>
      </c>
      <c r="H413" s="1" t="s">
        <v>5</v>
      </c>
      <c r="I413" s="17">
        <v>41640</v>
      </c>
    </row>
    <row r="414" spans="1:10">
      <c r="A414" s="16" t="s">
        <v>8844</v>
      </c>
      <c r="B414" s="1" t="s">
        <v>2628</v>
      </c>
      <c r="C414" s="1">
        <v>11</v>
      </c>
      <c r="D414" s="1" t="s">
        <v>55</v>
      </c>
      <c r="E414" s="1" t="s">
        <v>6</v>
      </c>
      <c r="F414" s="1" t="s">
        <v>118</v>
      </c>
      <c r="G414" s="14" t="s">
        <v>4458</v>
      </c>
      <c r="H414" s="1" t="s">
        <v>118</v>
      </c>
      <c r="I414" s="1" t="s">
        <v>4458</v>
      </c>
    </row>
    <row r="415" spans="1:10">
      <c r="A415" s="16" t="s">
        <v>8899</v>
      </c>
      <c r="B415" s="1" t="s">
        <v>2628</v>
      </c>
      <c r="C415" s="1">
        <v>11</v>
      </c>
      <c r="D415" s="1" t="s">
        <v>55</v>
      </c>
      <c r="E415" s="1" t="s">
        <v>6</v>
      </c>
      <c r="F415" s="1" t="s">
        <v>5091</v>
      </c>
      <c r="G415" s="14" t="s">
        <v>8900</v>
      </c>
      <c r="H415" s="1" t="s">
        <v>5</v>
      </c>
      <c r="I415" s="17">
        <v>37988</v>
      </c>
    </row>
    <row r="416" spans="1:10">
      <c r="A416" s="16" t="s">
        <v>8960</v>
      </c>
      <c r="B416" s="1" t="s">
        <v>2628</v>
      </c>
      <c r="C416" s="1">
        <v>371</v>
      </c>
      <c r="D416" s="1" t="s">
        <v>55</v>
      </c>
      <c r="E416" s="1" t="s">
        <v>6</v>
      </c>
      <c r="F416" s="1" t="s">
        <v>5091</v>
      </c>
      <c r="G416" s="14" t="s">
        <v>6236</v>
      </c>
      <c r="H416" s="1" t="s">
        <v>43</v>
      </c>
      <c r="I416" s="17">
        <v>42005</v>
      </c>
    </row>
    <row r="417" spans="1:9">
      <c r="A417" s="16" t="s">
        <v>9062</v>
      </c>
      <c r="B417" s="1" t="s">
        <v>2628</v>
      </c>
      <c r="C417" s="1">
        <v>11</v>
      </c>
      <c r="D417" s="1" t="s">
        <v>55</v>
      </c>
      <c r="E417" s="1" t="s">
        <v>6</v>
      </c>
      <c r="F417" s="1" t="s">
        <v>5091</v>
      </c>
      <c r="G417" s="14" t="s">
        <v>9063</v>
      </c>
      <c r="H417" s="1" t="s">
        <v>5</v>
      </c>
      <c r="I417" s="1" t="s">
        <v>4458</v>
      </c>
    </row>
    <row r="418" spans="1:9">
      <c r="A418" s="16" t="s">
        <v>9066</v>
      </c>
      <c r="B418" s="1" t="s">
        <v>2628</v>
      </c>
      <c r="C418" s="1">
        <v>11</v>
      </c>
      <c r="D418" s="1" t="s">
        <v>55</v>
      </c>
      <c r="E418" s="1" t="s">
        <v>6</v>
      </c>
      <c r="F418" s="1" t="s">
        <v>5091</v>
      </c>
      <c r="G418" s="14" t="s">
        <v>4458</v>
      </c>
      <c r="H418" s="1" t="s">
        <v>118</v>
      </c>
      <c r="I418" s="1" t="s">
        <v>4458</v>
      </c>
    </row>
    <row r="419" spans="1:9">
      <c r="A419" s="16" t="s">
        <v>9229</v>
      </c>
      <c r="B419" s="1" t="s">
        <v>2628</v>
      </c>
      <c r="C419" s="1">
        <v>371</v>
      </c>
      <c r="D419" s="1" t="s">
        <v>55</v>
      </c>
      <c r="E419" s="1" t="s">
        <v>6</v>
      </c>
      <c r="F419" s="1" t="s">
        <v>5091</v>
      </c>
      <c r="G419" s="14" t="s">
        <v>9227</v>
      </c>
      <c r="H419" s="1" t="s">
        <v>5</v>
      </c>
      <c r="I419" s="17">
        <v>42005</v>
      </c>
    </row>
    <row r="420" spans="1:9">
      <c r="A420" s="16" t="s">
        <v>9469</v>
      </c>
      <c r="B420" s="1" t="s">
        <v>2628</v>
      </c>
      <c r="C420" s="1">
        <v>11</v>
      </c>
      <c r="D420" s="1" t="s">
        <v>55</v>
      </c>
      <c r="E420" s="1" t="s">
        <v>6</v>
      </c>
      <c r="F420" s="1" t="s">
        <v>5091</v>
      </c>
      <c r="G420" s="14" t="s">
        <v>6145</v>
      </c>
      <c r="H420" s="1" t="s">
        <v>43</v>
      </c>
      <c r="I420" s="17">
        <v>41540</v>
      </c>
    </row>
    <row r="421" spans="1:9">
      <c r="A421" s="16" t="s">
        <v>9470</v>
      </c>
      <c r="B421" s="1" t="s">
        <v>2628</v>
      </c>
      <c r="C421" s="1">
        <v>11</v>
      </c>
      <c r="D421" s="1" t="s">
        <v>55</v>
      </c>
      <c r="E421" s="1" t="s">
        <v>6</v>
      </c>
      <c r="F421" s="1" t="s">
        <v>5091</v>
      </c>
      <c r="G421" s="14" t="s">
        <v>6145</v>
      </c>
      <c r="H421" s="1" t="s">
        <v>43</v>
      </c>
      <c r="I421" s="17">
        <v>41540</v>
      </c>
    </row>
    <row r="422" spans="1:9">
      <c r="A422" s="16" t="s">
        <v>9471</v>
      </c>
      <c r="B422" s="1" t="s">
        <v>2628</v>
      </c>
      <c r="C422" s="1">
        <v>11</v>
      </c>
      <c r="D422" s="1" t="s">
        <v>55</v>
      </c>
      <c r="E422" s="1" t="s">
        <v>6</v>
      </c>
      <c r="F422" s="1" t="s">
        <v>5091</v>
      </c>
      <c r="G422" s="14" t="s">
        <v>6145</v>
      </c>
      <c r="H422" s="1" t="s">
        <v>43</v>
      </c>
      <c r="I422" s="17">
        <v>41540</v>
      </c>
    </row>
    <row r="423" spans="1:9">
      <c r="A423" s="16" t="s">
        <v>9511</v>
      </c>
      <c r="B423" s="1" t="s">
        <v>2628</v>
      </c>
      <c r="C423" s="1">
        <v>371</v>
      </c>
      <c r="D423" s="1" t="s">
        <v>55</v>
      </c>
      <c r="E423" s="1" t="s">
        <v>6</v>
      </c>
      <c r="F423" s="1" t="s">
        <v>5091</v>
      </c>
      <c r="G423" s="14" t="s">
        <v>9512</v>
      </c>
      <c r="H423" s="1" t="s">
        <v>5</v>
      </c>
      <c r="I423" s="17">
        <v>42005</v>
      </c>
    </row>
    <row r="424" spans="1:9">
      <c r="A424" s="16" t="s">
        <v>9655</v>
      </c>
      <c r="B424" s="1" t="s">
        <v>2628</v>
      </c>
      <c r="C424" s="1">
        <v>11</v>
      </c>
      <c r="D424" s="1" t="s">
        <v>55</v>
      </c>
      <c r="E424" s="1" t="s">
        <v>6</v>
      </c>
      <c r="F424" s="1" t="s">
        <v>5091</v>
      </c>
      <c r="G424" s="14" t="s">
        <v>6536</v>
      </c>
      <c r="H424" s="1" t="s">
        <v>43</v>
      </c>
      <c r="I424" s="17">
        <v>42285</v>
      </c>
    </row>
    <row r="425" spans="1:9">
      <c r="A425" s="16" t="s">
        <v>9657</v>
      </c>
      <c r="B425" s="1" t="s">
        <v>2628</v>
      </c>
      <c r="C425" s="1">
        <v>11</v>
      </c>
      <c r="D425" s="1" t="s">
        <v>55</v>
      </c>
      <c r="E425" s="1" t="s">
        <v>6</v>
      </c>
      <c r="F425" s="1" t="s">
        <v>5091</v>
      </c>
      <c r="G425" s="14" t="s">
        <v>6536</v>
      </c>
      <c r="H425" s="1" t="s">
        <v>43</v>
      </c>
      <c r="I425" s="17">
        <v>42285</v>
      </c>
    </row>
    <row r="426" spans="1:9">
      <c r="A426" s="16" t="s">
        <v>9658</v>
      </c>
      <c r="B426" s="1" t="s">
        <v>2628</v>
      </c>
      <c r="C426" s="1">
        <v>11</v>
      </c>
      <c r="D426" s="1" t="s">
        <v>55</v>
      </c>
      <c r="E426" s="1" t="s">
        <v>6</v>
      </c>
      <c r="F426" s="1" t="s">
        <v>5091</v>
      </c>
      <c r="G426" s="14" t="s">
        <v>6536</v>
      </c>
      <c r="H426" s="1" t="s">
        <v>43</v>
      </c>
      <c r="I426" s="17">
        <v>42285</v>
      </c>
    </row>
    <row r="427" spans="1:9">
      <c r="A427" s="16" t="s">
        <v>9660</v>
      </c>
      <c r="B427" s="1" t="s">
        <v>2628</v>
      </c>
      <c r="C427" s="1">
        <v>11</v>
      </c>
      <c r="D427" s="1" t="s">
        <v>55</v>
      </c>
      <c r="E427" s="1" t="s">
        <v>6</v>
      </c>
      <c r="F427" s="1" t="s">
        <v>5091</v>
      </c>
      <c r="G427" s="14" t="s">
        <v>6536</v>
      </c>
      <c r="H427" s="1" t="s">
        <v>43</v>
      </c>
      <c r="I427" s="17">
        <v>42285</v>
      </c>
    </row>
    <row r="428" spans="1:9">
      <c r="A428" s="16" t="s">
        <v>9661</v>
      </c>
      <c r="B428" s="1" t="s">
        <v>2628</v>
      </c>
      <c r="C428" s="1">
        <v>11</v>
      </c>
      <c r="D428" s="1" t="s">
        <v>55</v>
      </c>
      <c r="E428" s="1" t="s">
        <v>6</v>
      </c>
      <c r="F428" s="1" t="s">
        <v>5091</v>
      </c>
      <c r="G428" s="14" t="s">
        <v>6536</v>
      </c>
      <c r="H428" s="1" t="s">
        <v>43</v>
      </c>
      <c r="I428" s="17">
        <v>42285</v>
      </c>
    </row>
    <row r="429" spans="1:9">
      <c r="A429" s="16" t="s">
        <v>9773</v>
      </c>
      <c r="B429" s="1" t="s">
        <v>2628</v>
      </c>
      <c r="C429" s="1">
        <v>11</v>
      </c>
      <c r="D429" s="1" t="s">
        <v>55</v>
      </c>
      <c r="E429" s="1" t="s">
        <v>6</v>
      </c>
      <c r="F429" s="1" t="s">
        <v>5091</v>
      </c>
      <c r="G429" s="14" t="s">
        <v>4458</v>
      </c>
      <c r="H429" s="1" t="s">
        <v>118</v>
      </c>
      <c r="I429" s="1" t="s">
        <v>4458</v>
      </c>
    </row>
    <row r="430" spans="1:9">
      <c r="A430" s="16" t="s">
        <v>9929</v>
      </c>
      <c r="B430" s="1" t="s">
        <v>2628</v>
      </c>
      <c r="C430" s="1">
        <v>11</v>
      </c>
      <c r="D430" s="1" t="s">
        <v>55</v>
      </c>
      <c r="E430" s="1" t="s">
        <v>6</v>
      </c>
      <c r="F430" s="1" t="s">
        <v>5091</v>
      </c>
      <c r="G430" s="14" t="s">
        <v>6145</v>
      </c>
      <c r="H430" s="1" t="s">
        <v>43</v>
      </c>
      <c r="I430" s="17">
        <v>40827</v>
      </c>
    </row>
    <row r="431" spans="1:9">
      <c r="A431" s="16" t="s">
        <v>9930</v>
      </c>
      <c r="B431" s="1" t="s">
        <v>2628</v>
      </c>
      <c r="C431" s="1">
        <v>11</v>
      </c>
      <c r="D431" s="1" t="s">
        <v>55</v>
      </c>
      <c r="E431" s="1" t="s">
        <v>6</v>
      </c>
      <c r="F431" s="1" t="s">
        <v>5091</v>
      </c>
      <c r="G431" s="14" t="s">
        <v>6145</v>
      </c>
      <c r="H431" s="1" t="s">
        <v>43</v>
      </c>
      <c r="I431" s="17">
        <v>40827</v>
      </c>
    </row>
    <row r="432" spans="1:9">
      <c r="A432" s="16" t="s">
        <v>9954</v>
      </c>
      <c r="B432" s="1" t="s">
        <v>2628</v>
      </c>
      <c r="C432" s="1">
        <v>11</v>
      </c>
      <c r="D432" s="1" t="s">
        <v>55</v>
      </c>
      <c r="E432" s="1" t="s">
        <v>6</v>
      </c>
      <c r="F432" s="1" t="s">
        <v>5091</v>
      </c>
      <c r="G432" s="14" t="s">
        <v>9955</v>
      </c>
      <c r="H432" s="1" t="s">
        <v>5</v>
      </c>
      <c r="I432" s="17">
        <v>39457</v>
      </c>
    </row>
    <row r="433" spans="1:9">
      <c r="A433" s="16" t="s">
        <v>9964</v>
      </c>
      <c r="B433" s="1" t="s">
        <v>2628</v>
      </c>
      <c r="C433" s="1">
        <v>11</v>
      </c>
      <c r="D433" s="1" t="s">
        <v>55</v>
      </c>
      <c r="E433" s="1" t="s">
        <v>6</v>
      </c>
      <c r="F433" s="1" t="s">
        <v>5091</v>
      </c>
      <c r="G433" s="14" t="s">
        <v>9565</v>
      </c>
      <c r="H433" s="1" t="s">
        <v>5</v>
      </c>
      <c r="I433" s="17">
        <v>39325</v>
      </c>
    </row>
    <row r="434" spans="1:9">
      <c r="A434" s="16" t="s">
        <v>9990</v>
      </c>
      <c r="B434" s="1" t="s">
        <v>2628</v>
      </c>
      <c r="C434" s="1">
        <v>11</v>
      </c>
      <c r="D434" s="1" t="s">
        <v>55</v>
      </c>
      <c r="E434" s="1" t="s">
        <v>6</v>
      </c>
      <c r="F434" s="1" t="s">
        <v>5091</v>
      </c>
      <c r="G434" s="14" t="s">
        <v>6307</v>
      </c>
      <c r="H434" s="1" t="s">
        <v>44</v>
      </c>
      <c r="I434" s="17">
        <v>42006</v>
      </c>
    </row>
    <row r="435" spans="1:9">
      <c r="A435" s="16" t="s">
        <v>9992</v>
      </c>
      <c r="B435" s="1" t="s">
        <v>2628</v>
      </c>
      <c r="C435" s="1">
        <v>11</v>
      </c>
      <c r="D435" s="1" t="s">
        <v>55</v>
      </c>
      <c r="E435" s="1" t="s">
        <v>6</v>
      </c>
      <c r="F435" s="1" t="s">
        <v>5091</v>
      </c>
      <c r="G435" s="14" t="s">
        <v>6307</v>
      </c>
      <c r="H435" s="1" t="s">
        <v>44</v>
      </c>
      <c r="I435" s="17">
        <v>42006</v>
      </c>
    </row>
    <row r="436" spans="1:9">
      <c r="A436" s="16" t="s">
        <v>9993</v>
      </c>
      <c r="B436" s="1" t="s">
        <v>2628</v>
      </c>
      <c r="C436" s="1">
        <v>11</v>
      </c>
      <c r="D436" s="1" t="s">
        <v>55</v>
      </c>
      <c r="E436" s="1" t="s">
        <v>6</v>
      </c>
      <c r="F436" s="1" t="s">
        <v>5091</v>
      </c>
      <c r="G436" s="14" t="s">
        <v>6307</v>
      </c>
      <c r="H436" s="1" t="s">
        <v>44</v>
      </c>
      <c r="I436" s="17">
        <v>42006</v>
      </c>
    </row>
    <row r="437" spans="1:9">
      <c r="A437" s="16" t="s">
        <v>9994</v>
      </c>
      <c r="B437" s="1" t="s">
        <v>2628</v>
      </c>
      <c r="C437" s="1">
        <v>11</v>
      </c>
      <c r="D437" s="1" t="s">
        <v>55</v>
      </c>
      <c r="E437" s="1" t="s">
        <v>6</v>
      </c>
      <c r="F437" s="1" t="s">
        <v>5091</v>
      </c>
      <c r="G437" s="14" t="s">
        <v>6307</v>
      </c>
      <c r="H437" s="1" t="s">
        <v>44</v>
      </c>
      <c r="I437" s="17">
        <v>42006</v>
      </c>
    </row>
    <row r="438" spans="1:9">
      <c r="A438" s="16" t="s">
        <v>9995</v>
      </c>
      <c r="B438" s="1" t="s">
        <v>2628</v>
      </c>
      <c r="C438" s="1">
        <v>11</v>
      </c>
      <c r="D438" s="1" t="s">
        <v>55</v>
      </c>
      <c r="E438" s="1" t="s">
        <v>6</v>
      </c>
      <c r="F438" s="1" t="s">
        <v>5091</v>
      </c>
      <c r="G438" s="14" t="s">
        <v>6307</v>
      </c>
      <c r="H438" s="1" t="s">
        <v>44</v>
      </c>
      <c r="I438" s="17">
        <v>42006</v>
      </c>
    </row>
    <row r="439" spans="1:9">
      <c r="A439" s="16" t="s">
        <v>9996</v>
      </c>
      <c r="B439" s="1" t="s">
        <v>2628</v>
      </c>
      <c r="C439" s="1">
        <v>11</v>
      </c>
      <c r="D439" s="1" t="s">
        <v>55</v>
      </c>
      <c r="E439" s="1" t="s">
        <v>6</v>
      </c>
      <c r="F439" s="1" t="s">
        <v>5091</v>
      </c>
      <c r="G439" s="14" t="s">
        <v>6307</v>
      </c>
      <c r="H439" s="1" t="s">
        <v>44</v>
      </c>
      <c r="I439" s="17">
        <v>42006</v>
      </c>
    </row>
    <row r="440" spans="1:9">
      <c r="A440" s="16" t="s">
        <v>9997</v>
      </c>
      <c r="B440" s="1" t="s">
        <v>2628</v>
      </c>
      <c r="C440" s="1">
        <v>11</v>
      </c>
      <c r="D440" s="1" t="s">
        <v>55</v>
      </c>
      <c r="E440" s="1" t="s">
        <v>6</v>
      </c>
      <c r="F440" s="1" t="s">
        <v>5091</v>
      </c>
      <c r="G440" s="14" t="s">
        <v>6307</v>
      </c>
      <c r="H440" s="1" t="s">
        <v>44</v>
      </c>
      <c r="I440" s="17">
        <v>42006</v>
      </c>
    </row>
    <row r="441" spans="1:9">
      <c r="A441" s="16" t="s">
        <v>9998</v>
      </c>
      <c r="B441" s="1" t="s">
        <v>2628</v>
      </c>
      <c r="C441" s="1">
        <v>11</v>
      </c>
      <c r="D441" s="1" t="s">
        <v>55</v>
      </c>
      <c r="E441" s="1" t="s">
        <v>6</v>
      </c>
      <c r="F441" s="1" t="s">
        <v>5091</v>
      </c>
      <c r="G441" s="14" t="s">
        <v>6307</v>
      </c>
      <c r="H441" s="1" t="s">
        <v>44</v>
      </c>
      <c r="I441" s="17">
        <v>42006</v>
      </c>
    </row>
    <row r="442" spans="1:9">
      <c r="A442" s="16" t="s">
        <v>10001</v>
      </c>
      <c r="B442" s="1" t="s">
        <v>2628</v>
      </c>
      <c r="C442" s="1">
        <v>11</v>
      </c>
      <c r="D442" s="1" t="s">
        <v>55</v>
      </c>
      <c r="E442" s="1" t="s">
        <v>6</v>
      </c>
      <c r="F442" s="1" t="s">
        <v>5091</v>
      </c>
      <c r="G442" s="14" t="s">
        <v>9567</v>
      </c>
      <c r="H442" s="1" t="s">
        <v>5</v>
      </c>
      <c r="I442" s="17">
        <v>40413</v>
      </c>
    </row>
    <row r="443" spans="1:9">
      <c r="A443" s="16" t="s">
        <v>10028</v>
      </c>
      <c r="B443" s="1" t="s">
        <v>2628</v>
      </c>
      <c r="C443" s="1">
        <v>11</v>
      </c>
      <c r="D443" s="1" t="s">
        <v>55</v>
      </c>
      <c r="E443" s="1" t="s">
        <v>6</v>
      </c>
      <c r="F443" s="1" t="s">
        <v>5091</v>
      </c>
      <c r="G443" s="14" t="s">
        <v>6145</v>
      </c>
      <c r="H443" s="1" t="s">
        <v>43</v>
      </c>
      <c r="I443" s="17">
        <v>42311</v>
      </c>
    </row>
    <row r="444" spans="1:9">
      <c r="A444" s="16" t="s">
        <v>10094</v>
      </c>
      <c r="B444" s="1" t="s">
        <v>2628</v>
      </c>
      <c r="C444" s="1">
        <v>11</v>
      </c>
      <c r="D444" s="1" t="s">
        <v>55</v>
      </c>
      <c r="E444" s="1" t="s">
        <v>6</v>
      </c>
      <c r="F444" s="1" t="s">
        <v>36</v>
      </c>
      <c r="G444" s="14" t="s">
        <v>10095</v>
      </c>
      <c r="H444" s="1" t="s">
        <v>5</v>
      </c>
      <c r="I444" s="17">
        <v>39814</v>
      </c>
    </row>
    <row r="445" spans="1:9">
      <c r="A445" s="16" t="s">
        <v>10341</v>
      </c>
      <c r="B445" s="1" t="s">
        <v>2628</v>
      </c>
      <c r="C445" s="1">
        <v>11</v>
      </c>
      <c r="D445" s="1" t="s">
        <v>55</v>
      </c>
      <c r="E445" s="1" t="s">
        <v>6</v>
      </c>
      <c r="F445" s="1" t="s">
        <v>5091</v>
      </c>
      <c r="G445" s="14" t="s">
        <v>6145</v>
      </c>
      <c r="H445" s="1" t="s">
        <v>43</v>
      </c>
      <c r="I445" s="17">
        <v>40827</v>
      </c>
    </row>
    <row r="446" spans="1:9">
      <c r="A446" s="16" t="s">
        <v>10399</v>
      </c>
      <c r="B446" s="1" t="s">
        <v>2628</v>
      </c>
      <c r="C446" s="1">
        <v>11</v>
      </c>
      <c r="D446" s="1" t="s">
        <v>55</v>
      </c>
      <c r="E446" s="1" t="s">
        <v>6</v>
      </c>
      <c r="F446" s="1" t="s">
        <v>5091</v>
      </c>
      <c r="G446" s="14" t="s">
        <v>9955</v>
      </c>
      <c r="H446" s="1" t="s">
        <v>5</v>
      </c>
      <c r="I446" s="17">
        <v>39457</v>
      </c>
    </row>
    <row r="447" spans="1:9">
      <c r="A447" s="16" t="s">
        <v>10425</v>
      </c>
      <c r="B447" s="1" t="s">
        <v>2628</v>
      </c>
      <c r="C447" s="1">
        <v>11</v>
      </c>
      <c r="D447" s="1" t="s">
        <v>55</v>
      </c>
      <c r="E447" s="1" t="s">
        <v>6</v>
      </c>
      <c r="F447" s="1" t="s">
        <v>5091</v>
      </c>
      <c r="G447" s="14" t="s">
        <v>10426</v>
      </c>
      <c r="H447" s="1" t="s">
        <v>5</v>
      </c>
      <c r="I447" s="17">
        <v>39457</v>
      </c>
    </row>
    <row r="448" spans="1:9">
      <c r="A448" s="16" t="s">
        <v>10433</v>
      </c>
      <c r="B448" s="1" t="s">
        <v>2628</v>
      </c>
      <c r="C448" s="1">
        <v>11</v>
      </c>
      <c r="D448" s="1" t="s">
        <v>55</v>
      </c>
      <c r="E448" s="1" t="s">
        <v>6</v>
      </c>
      <c r="F448" s="1" t="s">
        <v>5091</v>
      </c>
      <c r="G448" s="14" t="s">
        <v>9955</v>
      </c>
      <c r="H448" s="1" t="s">
        <v>5</v>
      </c>
      <c r="I448" s="17">
        <v>39457</v>
      </c>
    </row>
    <row r="449" spans="1:9">
      <c r="A449" s="16" t="s">
        <v>10596</v>
      </c>
      <c r="B449" s="1" t="s">
        <v>2628</v>
      </c>
      <c r="C449" s="1">
        <v>11</v>
      </c>
      <c r="D449" s="1" t="s">
        <v>55</v>
      </c>
      <c r="E449" s="1" t="s">
        <v>6</v>
      </c>
      <c r="F449" s="1" t="s">
        <v>5091</v>
      </c>
      <c r="G449" s="14" t="s">
        <v>6145</v>
      </c>
      <c r="H449" s="1" t="s">
        <v>43</v>
      </c>
      <c r="I449" s="17">
        <v>40613</v>
      </c>
    </row>
    <row r="450" spans="1:9">
      <c r="A450" s="16" t="s">
        <v>10597</v>
      </c>
      <c r="B450" s="1" t="s">
        <v>2628</v>
      </c>
      <c r="C450" s="1">
        <v>11</v>
      </c>
      <c r="D450" s="1" t="s">
        <v>55</v>
      </c>
      <c r="E450" s="1" t="s">
        <v>6</v>
      </c>
      <c r="F450" s="1" t="s">
        <v>5091</v>
      </c>
      <c r="G450" s="14" t="s">
        <v>6145</v>
      </c>
      <c r="H450" s="1" t="s">
        <v>43</v>
      </c>
      <c r="I450" s="17">
        <v>40613</v>
      </c>
    </row>
    <row r="451" spans="1:9">
      <c r="A451" s="16" t="s">
        <v>11025</v>
      </c>
      <c r="B451" s="1" t="s">
        <v>2628</v>
      </c>
      <c r="C451" s="1">
        <v>11</v>
      </c>
      <c r="D451" s="1" t="s">
        <v>55</v>
      </c>
      <c r="E451" s="1" t="s">
        <v>6</v>
      </c>
      <c r="F451" s="1" t="s">
        <v>5091</v>
      </c>
      <c r="G451" s="14" t="s">
        <v>6145</v>
      </c>
      <c r="H451" s="1" t="s">
        <v>43</v>
      </c>
      <c r="I451" s="17">
        <v>42480</v>
      </c>
    </row>
    <row r="452" spans="1:9">
      <c r="A452" s="16" t="s">
        <v>11026</v>
      </c>
      <c r="B452" s="1" t="s">
        <v>2628</v>
      </c>
      <c r="C452" s="1">
        <v>11</v>
      </c>
      <c r="D452" s="1" t="s">
        <v>55</v>
      </c>
      <c r="E452" s="1" t="s">
        <v>6</v>
      </c>
      <c r="F452" s="1" t="s">
        <v>5091</v>
      </c>
      <c r="G452" s="14" t="s">
        <v>6145</v>
      </c>
      <c r="H452" s="1" t="s">
        <v>43</v>
      </c>
      <c r="I452" s="17">
        <v>42480</v>
      </c>
    </row>
    <row r="453" spans="1:9">
      <c r="A453" s="16" t="s">
        <v>11070</v>
      </c>
      <c r="B453" s="1" t="s">
        <v>2628</v>
      </c>
      <c r="C453" s="1">
        <v>11</v>
      </c>
      <c r="D453" s="1" t="s">
        <v>55</v>
      </c>
      <c r="E453" s="1" t="s">
        <v>6</v>
      </c>
      <c r="F453" s="1" t="s">
        <v>5091</v>
      </c>
      <c r="G453" s="14" t="s">
        <v>11071</v>
      </c>
      <c r="H453" s="1" t="s">
        <v>5</v>
      </c>
      <c r="I453" s="17">
        <v>42479</v>
      </c>
    </row>
    <row r="454" spans="1:9">
      <c r="A454" s="16" t="s">
        <v>11134</v>
      </c>
      <c r="B454" s="1" t="s">
        <v>2628</v>
      </c>
      <c r="C454" s="1">
        <v>11</v>
      </c>
      <c r="D454" s="1" t="s">
        <v>55</v>
      </c>
      <c r="E454" s="1" t="s">
        <v>6</v>
      </c>
      <c r="F454" s="1" t="s">
        <v>5091</v>
      </c>
      <c r="G454" s="14" t="s">
        <v>6145</v>
      </c>
      <c r="H454" s="1" t="s">
        <v>43</v>
      </c>
      <c r="I454" s="17">
        <v>40920</v>
      </c>
    </row>
    <row r="455" spans="1:9">
      <c r="A455" s="16" t="s">
        <v>11135</v>
      </c>
      <c r="B455" s="1" t="s">
        <v>2628</v>
      </c>
      <c r="C455" s="1">
        <v>11</v>
      </c>
      <c r="D455" s="1" t="s">
        <v>55</v>
      </c>
      <c r="E455" s="1" t="s">
        <v>6</v>
      </c>
      <c r="F455" s="1" t="s">
        <v>5091</v>
      </c>
      <c r="G455" s="14" t="s">
        <v>6145</v>
      </c>
      <c r="H455" s="1" t="s">
        <v>43</v>
      </c>
      <c r="I455" s="17">
        <v>40920</v>
      </c>
    </row>
    <row r="456" spans="1:9">
      <c r="A456" s="16" t="s">
        <v>11163</v>
      </c>
      <c r="B456" s="1" t="s">
        <v>2628</v>
      </c>
      <c r="C456" s="1">
        <v>11</v>
      </c>
      <c r="D456" s="1" t="s">
        <v>55</v>
      </c>
      <c r="E456" s="1" t="s">
        <v>6</v>
      </c>
      <c r="F456" s="1" t="s">
        <v>5091</v>
      </c>
      <c r="G456" s="14" t="s">
        <v>6699</v>
      </c>
      <c r="H456" s="1" t="s">
        <v>44</v>
      </c>
      <c r="I456" s="17">
        <v>42506</v>
      </c>
    </row>
    <row r="457" spans="1:9">
      <c r="A457" s="16" t="s">
        <v>11164</v>
      </c>
      <c r="B457" s="1" t="s">
        <v>2628</v>
      </c>
      <c r="C457" s="1">
        <v>11</v>
      </c>
      <c r="D457" s="1" t="s">
        <v>55</v>
      </c>
      <c r="E457" s="1" t="s">
        <v>6</v>
      </c>
      <c r="F457" s="1" t="s">
        <v>5091</v>
      </c>
      <c r="G457" s="14" t="s">
        <v>6699</v>
      </c>
      <c r="H457" s="1" t="s">
        <v>44</v>
      </c>
      <c r="I457" s="17">
        <v>42508</v>
      </c>
    </row>
    <row r="458" spans="1:9">
      <c r="A458" s="16" t="s">
        <v>11178</v>
      </c>
      <c r="B458" s="1" t="s">
        <v>2628</v>
      </c>
      <c r="C458" s="1">
        <v>371</v>
      </c>
      <c r="D458" s="1" t="s">
        <v>55</v>
      </c>
      <c r="E458" s="1" t="s">
        <v>6</v>
      </c>
      <c r="F458" s="1" t="s">
        <v>5091</v>
      </c>
      <c r="G458" s="14" t="s">
        <v>6145</v>
      </c>
      <c r="H458" s="1" t="s">
        <v>43</v>
      </c>
      <c r="I458" s="17">
        <v>42509</v>
      </c>
    </row>
    <row r="459" spans="1:9">
      <c r="A459" s="16" t="s">
        <v>11179</v>
      </c>
      <c r="B459" s="1" t="s">
        <v>2628</v>
      </c>
      <c r="C459" s="1">
        <v>371</v>
      </c>
      <c r="D459" s="1" t="s">
        <v>55</v>
      </c>
      <c r="E459" s="1" t="s">
        <v>6</v>
      </c>
      <c r="F459" s="1" t="s">
        <v>5091</v>
      </c>
      <c r="G459" s="14" t="s">
        <v>6145</v>
      </c>
      <c r="H459" s="1" t="s">
        <v>43</v>
      </c>
      <c r="I459" s="17">
        <v>42509</v>
      </c>
    </row>
    <row r="460" spans="1:9">
      <c r="A460" s="16" t="s">
        <v>11181</v>
      </c>
      <c r="B460" s="1" t="s">
        <v>2628</v>
      </c>
      <c r="C460" s="1">
        <v>371</v>
      </c>
      <c r="D460" s="1" t="s">
        <v>55</v>
      </c>
      <c r="E460" s="1" t="s">
        <v>6</v>
      </c>
      <c r="F460" s="1" t="s">
        <v>5091</v>
      </c>
      <c r="G460" s="14" t="s">
        <v>6145</v>
      </c>
      <c r="H460" s="1" t="s">
        <v>43</v>
      </c>
      <c r="I460" s="17">
        <v>42509</v>
      </c>
    </row>
    <row r="461" spans="1:9">
      <c r="A461" s="16" t="s">
        <v>11228</v>
      </c>
      <c r="B461" s="1" t="s">
        <v>2628</v>
      </c>
      <c r="C461" s="1">
        <v>11</v>
      </c>
      <c r="D461" s="1" t="s">
        <v>55</v>
      </c>
      <c r="E461" s="1" t="s">
        <v>6</v>
      </c>
      <c r="F461" s="1" t="s">
        <v>5091</v>
      </c>
      <c r="G461" s="14" t="s">
        <v>9606</v>
      </c>
      <c r="H461" s="1" t="s">
        <v>5</v>
      </c>
      <c r="I461" s="17">
        <v>38813</v>
      </c>
    </row>
    <row r="462" spans="1:9">
      <c r="A462" s="16" t="s">
        <v>11339</v>
      </c>
      <c r="B462" s="1" t="s">
        <v>2628</v>
      </c>
      <c r="C462" s="1">
        <v>11</v>
      </c>
      <c r="D462" s="1" t="s">
        <v>55</v>
      </c>
      <c r="E462" s="1" t="s">
        <v>6</v>
      </c>
      <c r="F462" s="1" t="s">
        <v>5091</v>
      </c>
      <c r="G462" s="14" t="s">
        <v>4458</v>
      </c>
      <c r="H462" s="1" t="s">
        <v>118</v>
      </c>
      <c r="I462" s="17">
        <v>42491</v>
      </c>
    </row>
    <row r="463" spans="1:9" ht="31.2">
      <c r="A463" s="16" t="s">
        <v>11428</v>
      </c>
      <c r="B463" s="1" t="s">
        <v>2628</v>
      </c>
      <c r="C463" s="1">
        <v>11</v>
      </c>
      <c r="D463" s="1" t="s">
        <v>55</v>
      </c>
      <c r="E463" s="1" t="s">
        <v>6</v>
      </c>
      <c r="F463" s="1" t="s">
        <v>5091</v>
      </c>
      <c r="G463" s="14" t="s">
        <v>11429</v>
      </c>
      <c r="H463" s="1" t="s">
        <v>5</v>
      </c>
      <c r="I463" s="17">
        <v>41036</v>
      </c>
    </row>
    <row r="464" spans="1:9">
      <c r="A464" s="16" t="s">
        <v>11431</v>
      </c>
      <c r="B464" s="1" t="s">
        <v>2628</v>
      </c>
      <c r="C464" s="1">
        <v>11</v>
      </c>
      <c r="D464" s="1" t="s">
        <v>55</v>
      </c>
      <c r="E464" s="1" t="s">
        <v>6</v>
      </c>
      <c r="F464" s="1" t="s">
        <v>5091</v>
      </c>
      <c r="G464" s="14" t="s">
        <v>11432</v>
      </c>
      <c r="H464" s="1" t="s">
        <v>5</v>
      </c>
      <c r="I464" s="17">
        <v>41044</v>
      </c>
    </row>
    <row r="465" spans="1:9" ht="31.2">
      <c r="A465" s="16" t="s">
        <v>11586</v>
      </c>
      <c r="B465" s="1" t="s">
        <v>2628</v>
      </c>
      <c r="C465" s="1">
        <v>11</v>
      </c>
      <c r="D465" s="1" t="s">
        <v>55</v>
      </c>
      <c r="E465" s="1" t="s">
        <v>6</v>
      </c>
      <c r="F465" s="1" t="s">
        <v>5091</v>
      </c>
      <c r="G465" s="14" t="s">
        <v>6145</v>
      </c>
      <c r="H465" s="1" t="s">
        <v>43</v>
      </c>
      <c r="I465" s="17">
        <v>42569</v>
      </c>
    </row>
    <row r="466" spans="1:9">
      <c r="A466" s="16" t="s">
        <v>11656</v>
      </c>
      <c r="B466" s="1" t="s">
        <v>2628</v>
      </c>
      <c r="C466" s="1">
        <v>11</v>
      </c>
      <c r="D466" s="1" t="s">
        <v>55</v>
      </c>
      <c r="E466" s="1" t="s">
        <v>6</v>
      </c>
      <c r="F466" s="1" t="s">
        <v>5091</v>
      </c>
      <c r="G466" s="14" t="s">
        <v>6145</v>
      </c>
      <c r="H466" s="1" t="s">
        <v>43</v>
      </c>
      <c r="I466" s="17">
        <v>40920</v>
      </c>
    </row>
    <row r="467" spans="1:9">
      <c r="A467" s="16" t="s">
        <v>11657</v>
      </c>
      <c r="B467" s="1" t="s">
        <v>2628</v>
      </c>
      <c r="C467" s="1">
        <v>11</v>
      </c>
      <c r="D467" s="1" t="s">
        <v>55</v>
      </c>
      <c r="E467" s="1" t="s">
        <v>6</v>
      </c>
      <c r="F467" s="1" t="s">
        <v>5091</v>
      </c>
      <c r="G467" s="14" t="s">
        <v>6145</v>
      </c>
      <c r="H467" s="1" t="s">
        <v>43</v>
      </c>
      <c r="I467" s="17">
        <v>40920</v>
      </c>
    </row>
    <row r="468" spans="1:9">
      <c r="A468" s="16" t="s">
        <v>11658</v>
      </c>
      <c r="B468" s="1" t="s">
        <v>2628</v>
      </c>
      <c r="C468" s="1">
        <v>11</v>
      </c>
      <c r="D468" s="1" t="s">
        <v>55</v>
      </c>
      <c r="E468" s="1" t="s">
        <v>6</v>
      </c>
      <c r="F468" s="1" t="s">
        <v>5091</v>
      </c>
      <c r="G468" s="14" t="s">
        <v>6145</v>
      </c>
      <c r="H468" s="1" t="s">
        <v>43</v>
      </c>
      <c r="I468" s="17">
        <v>40920</v>
      </c>
    </row>
    <row r="469" spans="1:9">
      <c r="A469" s="16" t="s">
        <v>11659</v>
      </c>
      <c r="B469" s="1" t="s">
        <v>2628</v>
      </c>
      <c r="C469" s="1">
        <v>11</v>
      </c>
      <c r="D469" s="1" t="s">
        <v>55</v>
      </c>
      <c r="E469" s="1" t="s">
        <v>6</v>
      </c>
      <c r="F469" s="1" t="s">
        <v>5091</v>
      </c>
      <c r="G469" s="14" t="s">
        <v>6145</v>
      </c>
      <c r="H469" s="1" t="s">
        <v>43</v>
      </c>
      <c r="I469" s="17">
        <v>40920</v>
      </c>
    </row>
    <row r="470" spans="1:9">
      <c r="A470" s="16" t="s">
        <v>11663</v>
      </c>
      <c r="B470" s="1" t="s">
        <v>2628</v>
      </c>
      <c r="C470" s="1">
        <v>11</v>
      </c>
      <c r="D470" s="1" t="s">
        <v>55</v>
      </c>
      <c r="E470" s="1" t="s">
        <v>6</v>
      </c>
      <c r="F470" s="1" t="s">
        <v>5091</v>
      </c>
      <c r="G470" s="14" t="s">
        <v>11429</v>
      </c>
      <c r="H470" s="1" t="s">
        <v>5</v>
      </c>
      <c r="I470" s="17">
        <v>40544</v>
      </c>
    </row>
    <row r="471" spans="1:9">
      <c r="A471" s="16" t="s">
        <v>11664</v>
      </c>
      <c r="B471" s="1" t="s">
        <v>2628</v>
      </c>
      <c r="C471" s="1">
        <v>11</v>
      </c>
      <c r="D471" s="1" t="s">
        <v>55</v>
      </c>
      <c r="E471" s="1" t="s">
        <v>6</v>
      </c>
      <c r="F471" s="1" t="s">
        <v>5091</v>
      </c>
      <c r="G471" s="14" t="s">
        <v>6145</v>
      </c>
      <c r="H471" s="1" t="s">
        <v>43</v>
      </c>
      <c r="I471" s="17">
        <v>41318</v>
      </c>
    </row>
    <row r="472" spans="1:9">
      <c r="A472" s="16" t="s">
        <v>11665</v>
      </c>
      <c r="B472" s="1" t="s">
        <v>2628</v>
      </c>
      <c r="C472" s="1">
        <v>11</v>
      </c>
      <c r="D472" s="1" t="s">
        <v>55</v>
      </c>
      <c r="E472" s="1" t="s">
        <v>6</v>
      </c>
      <c r="F472" s="1" t="s">
        <v>5091</v>
      </c>
      <c r="G472" s="14" t="s">
        <v>6145</v>
      </c>
      <c r="H472" s="1" t="s">
        <v>43</v>
      </c>
      <c r="I472" s="17">
        <v>41318</v>
      </c>
    </row>
    <row r="473" spans="1:9">
      <c r="A473" s="16" t="s">
        <v>11666</v>
      </c>
      <c r="B473" s="1" t="s">
        <v>2628</v>
      </c>
      <c r="C473" s="1">
        <v>11</v>
      </c>
      <c r="D473" s="1" t="s">
        <v>55</v>
      </c>
      <c r="E473" s="1" t="s">
        <v>6</v>
      </c>
      <c r="F473" s="1" t="s">
        <v>5091</v>
      </c>
      <c r="G473" s="14" t="s">
        <v>6145</v>
      </c>
      <c r="H473" s="1" t="s">
        <v>43</v>
      </c>
      <c r="I473" s="17">
        <v>41318</v>
      </c>
    </row>
    <row r="474" spans="1:9">
      <c r="A474" s="16" t="s">
        <v>11667</v>
      </c>
      <c r="B474" s="1" t="s">
        <v>2628</v>
      </c>
      <c r="C474" s="1">
        <v>11</v>
      </c>
      <c r="D474" s="1" t="s">
        <v>55</v>
      </c>
      <c r="E474" s="1" t="s">
        <v>6</v>
      </c>
      <c r="F474" s="1" t="s">
        <v>5091</v>
      </c>
      <c r="G474" s="14" t="s">
        <v>6145</v>
      </c>
      <c r="H474" s="1" t="s">
        <v>43</v>
      </c>
      <c r="I474" s="17">
        <v>41526</v>
      </c>
    </row>
    <row r="475" spans="1:9">
      <c r="A475" s="16" t="s">
        <v>11697</v>
      </c>
      <c r="B475" s="1" t="s">
        <v>2628</v>
      </c>
      <c r="C475" s="1">
        <v>11</v>
      </c>
      <c r="D475" s="1" t="s">
        <v>55</v>
      </c>
      <c r="E475" s="1" t="s">
        <v>6</v>
      </c>
      <c r="F475" s="1" t="s">
        <v>5091</v>
      </c>
      <c r="G475" s="14" t="s">
        <v>9968</v>
      </c>
      <c r="H475" s="1" t="s">
        <v>5</v>
      </c>
      <c r="I475" s="17">
        <v>37859</v>
      </c>
    </row>
    <row r="476" spans="1:9">
      <c r="A476" s="16" t="s">
        <v>11978</v>
      </c>
      <c r="B476" s="1" t="s">
        <v>2628</v>
      </c>
      <c r="C476" s="1">
        <v>11</v>
      </c>
      <c r="D476" s="1" t="s">
        <v>55</v>
      </c>
      <c r="E476" s="1" t="s">
        <v>6</v>
      </c>
      <c r="F476" s="1" t="s">
        <v>5091</v>
      </c>
      <c r="G476" s="14" t="s">
        <v>6145</v>
      </c>
      <c r="H476" s="1" t="s">
        <v>43</v>
      </c>
      <c r="I476" s="17">
        <v>42625</v>
      </c>
    </row>
    <row r="477" spans="1:9">
      <c r="A477" s="16" t="s">
        <v>11979</v>
      </c>
      <c r="B477" s="1" t="s">
        <v>2628</v>
      </c>
      <c r="C477" s="1">
        <v>11</v>
      </c>
      <c r="D477" s="1" t="s">
        <v>55</v>
      </c>
      <c r="E477" s="1" t="s">
        <v>6</v>
      </c>
      <c r="F477" s="1" t="s">
        <v>5091</v>
      </c>
      <c r="G477" s="14" t="s">
        <v>6145</v>
      </c>
      <c r="H477" s="1" t="s">
        <v>43</v>
      </c>
      <c r="I477" s="17">
        <v>42625</v>
      </c>
    </row>
    <row r="478" spans="1:9">
      <c r="A478" s="16" t="s">
        <v>11984</v>
      </c>
      <c r="B478" s="1" t="s">
        <v>2628</v>
      </c>
      <c r="C478" s="1">
        <v>11</v>
      </c>
      <c r="D478" s="1" t="s">
        <v>55</v>
      </c>
      <c r="E478" s="1" t="s">
        <v>6</v>
      </c>
      <c r="F478" s="1" t="s">
        <v>5091</v>
      </c>
      <c r="G478" s="14" t="s">
        <v>6145</v>
      </c>
      <c r="H478" s="1" t="s">
        <v>43</v>
      </c>
      <c r="I478" s="17">
        <v>42625</v>
      </c>
    </row>
    <row r="479" spans="1:9">
      <c r="A479" s="16" t="s">
        <v>11985</v>
      </c>
      <c r="B479" s="1" t="s">
        <v>2628</v>
      </c>
      <c r="C479" s="1">
        <v>11</v>
      </c>
      <c r="D479" s="1" t="s">
        <v>55</v>
      </c>
      <c r="E479" s="1" t="s">
        <v>6</v>
      </c>
      <c r="F479" s="1" t="s">
        <v>5091</v>
      </c>
      <c r="G479" s="14" t="s">
        <v>6145</v>
      </c>
      <c r="H479" s="1" t="s">
        <v>43</v>
      </c>
      <c r="I479" s="17">
        <v>42625</v>
      </c>
    </row>
    <row r="480" spans="1:9">
      <c r="A480" s="16" t="s">
        <v>11999</v>
      </c>
      <c r="B480" s="1" t="s">
        <v>2628</v>
      </c>
      <c r="C480" s="1">
        <v>11</v>
      </c>
      <c r="D480" s="1" t="s">
        <v>55</v>
      </c>
      <c r="E480" s="1" t="s">
        <v>6</v>
      </c>
      <c r="F480" s="1" t="s">
        <v>5091</v>
      </c>
      <c r="G480" s="14" t="s">
        <v>6145</v>
      </c>
      <c r="H480" s="1" t="s">
        <v>43</v>
      </c>
      <c r="I480" s="17">
        <v>42710</v>
      </c>
    </row>
    <row r="481" spans="1:9">
      <c r="A481" s="16" t="s">
        <v>12001</v>
      </c>
      <c r="B481" s="1" t="s">
        <v>2628</v>
      </c>
      <c r="C481" s="1">
        <v>11</v>
      </c>
      <c r="D481" s="1" t="s">
        <v>55</v>
      </c>
      <c r="E481" s="1" t="s">
        <v>6</v>
      </c>
      <c r="F481" s="1" t="s">
        <v>5091</v>
      </c>
      <c r="G481" s="14" t="s">
        <v>6145</v>
      </c>
      <c r="H481" s="1" t="s">
        <v>43</v>
      </c>
      <c r="I481" s="17">
        <v>42710</v>
      </c>
    </row>
    <row r="482" spans="1:9">
      <c r="A482" s="16" t="s">
        <v>12058</v>
      </c>
      <c r="B482" s="1" t="s">
        <v>2628</v>
      </c>
      <c r="C482" s="1">
        <v>371</v>
      </c>
      <c r="D482" s="1" t="s">
        <v>55</v>
      </c>
      <c r="E482" s="1" t="s">
        <v>6</v>
      </c>
      <c r="F482" s="1" t="s">
        <v>5091</v>
      </c>
      <c r="G482" s="14" t="s">
        <v>6186</v>
      </c>
      <c r="H482" s="1" t="s">
        <v>5</v>
      </c>
      <c r="I482" s="17">
        <v>42005</v>
      </c>
    </row>
    <row r="483" spans="1:9">
      <c r="A483" s="16" t="s">
        <v>12135</v>
      </c>
      <c r="B483" s="1" t="s">
        <v>2628</v>
      </c>
      <c r="C483" s="1">
        <v>371</v>
      </c>
      <c r="D483" s="1" t="s">
        <v>55</v>
      </c>
      <c r="E483" s="1" t="s">
        <v>6</v>
      </c>
      <c r="F483" s="1" t="s">
        <v>5091</v>
      </c>
      <c r="G483" s="14" t="s">
        <v>6145</v>
      </c>
      <c r="H483" s="1" t="s">
        <v>43</v>
      </c>
      <c r="I483" s="17">
        <v>42736</v>
      </c>
    </row>
    <row r="484" spans="1:9">
      <c r="A484" s="16" t="s">
        <v>12137</v>
      </c>
      <c r="B484" s="1" t="s">
        <v>2628</v>
      </c>
      <c r="C484" s="1">
        <v>371</v>
      </c>
      <c r="D484" s="1" t="s">
        <v>55</v>
      </c>
      <c r="E484" s="1" t="s">
        <v>6</v>
      </c>
      <c r="F484" s="1" t="s">
        <v>5091</v>
      </c>
      <c r="G484" s="14" t="s">
        <v>6145</v>
      </c>
      <c r="H484" s="1" t="s">
        <v>43</v>
      </c>
      <c r="I484" s="17">
        <v>42736</v>
      </c>
    </row>
    <row r="485" spans="1:9">
      <c r="A485" s="16" t="s">
        <v>12176</v>
      </c>
      <c r="B485" s="1" t="s">
        <v>2628</v>
      </c>
      <c r="C485" s="1">
        <v>11</v>
      </c>
      <c r="D485" s="1" t="s">
        <v>55</v>
      </c>
      <c r="E485" s="1" t="s">
        <v>6</v>
      </c>
      <c r="F485" s="1" t="s">
        <v>5091</v>
      </c>
      <c r="G485" s="14" t="s">
        <v>6536</v>
      </c>
      <c r="H485" s="1" t="s">
        <v>43</v>
      </c>
      <c r="I485" s="17">
        <v>41640</v>
      </c>
    </row>
    <row r="486" spans="1:9">
      <c r="A486" s="16" t="s">
        <v>12222</v>
      </c>
      <c r="B486" s="1" t="s">
        <v>2628</v>
      </c>
      <c r="C486" s="1">
        <v>11</v>
      </c>
      <c r="D486" s="1" t="s">
        <v>55</v>
      </c>
      <c r="E486" s="1" t="s">
        <v>6</v>
      </c>
      <c r="F486" s="1" t="s">
        <v>5091</v>
      </c>
      <c r="G486" s="14" t="s">
        <v>6145</v>
      </c>
      <c r="H486" s="1" t="s">
        <v>43</v>
      </c>
      <c r="I486" s="17">
        <v>41640</v>
      </c>
    </row>
    <row r="487" spans="1:9">
      <c r="A487" s="16" t="s">
        <v>12516</v>
      </c>
      <c r="B487" s="1" t="s">
        <v>2628</v>
      </c>
      <c r="C487" s="1">
        <v>371</v>
      </c>
      <c r="D487" s="1" t="s">
        <v>55</v>
      </c>
      <c r="E487" s="1" t="s">
        <v>6</v>
      </c>
      <c r="F487" s="1" t="s">
        <v>5091</v>
      </c>
      <c r="G487" s="14" t="s">
        <v>6450</v>
      </c>
      <c r="H487" s="1" t="s">
        <v>43</v>
      </c>
      <c r="I487" s="17">
        <v>42370</v>
      </c>
    </row>
    <row r="488" spans="1:9">
      <c r="A488" s="16" t="s">
        <v>12615</v>
      </c>
      <c r="B488" s="1" t="s">
        <v>2628</v>
      </c>
      <c r="C488" s="1">
        <v>11</v>
      </c>
      <c r="D488" s="1" t="s">
        <v>55</v>
      </c>
      <c r="E488" s="1" t="s">
        <v>6</v>
      </c>
      <c r="F488" s="1" t="s">
        <v>5091</v>
      </c>
      <c r="G488" s="14" t="s">
        <v>4458</v>
      </c>
      <c r="H488" s="1" t="s">
        <v>118</v>
      </c>
      <c r="I488" s="17">
        <v>42802</v>
      </c>
    </row>
    <row r="489" spans="1:9">
      <c r="A489" s="16" t="s">
        <v>12897</v>
      </c>
      <c r="B489" s="1" t="s">
        <v>2628</v>
      </c>
      <c r="C489" s="1">
        <v>371</v>
      </c>
      <c r="D489" s="1" t="s">
        <v>55</v>
      </c>
      <c r="E489" s="1" t="s">
        <v>6</v>
      </c>
      <c r="F489" s="1" t="s">
        <v>5091</v>
      </c>
      <c r="G489" s="14" t="s">
        <v>6450</v>
      </c>
      <c r="H489" s="1" t="s">
        <v>43</v>
      </c>
      <c r="I489" s="17">
        <v>42370</v>
      </c>
    </row>
    <row r="490" spans="1:9">
      <c r="A490" s="16" t="s">
        <v>13028</v>
      </c>
      <c r="B490" s="1" t="s">
        <v>2628</v>
      </c>
      <c r="C490" s="1">
        <v>11</v>
      </c>
      <c r="D490" s="1" t="s">
        <v>55</v>
      </c>
      <c r="E490" s="1" t="s">
        <v>6</v>
      </c>
      <c r="F490" s="1" t="s">
        <v>5091</v>
      </c>
      <c r="G490" s="14" t="s">
        <v>6145</v>
      </c>
      <c r="H490" s="1" t="s">
        <v>43</v>
      </c>
      <c r="I490" s="17">
        <v>42858</v>
      </c>
    </row>
    <row r="491" spans="1:9">
      <c r="A491" s="16" t="s">
        <v>13123</v>
      </c>
      <c r="B491" s="1" t="s">
        <v>2628</v>
      </c>
      <c r="C491" s="1">
        <v>11</v>
      </c>
      <c r="D491" s="1" t="s">
        <v>55</v>
      </c>
      <c r="E491" s="1" t="s">
        <v>6</v>
      </c>
      <c r="F491" s="1" t="s">
        <v>5091</v>
      </c>
      <c r="G491" s="14" t="s">
        <v>6145</v>
      </c>
      <c r="H491" s="1" t="s">
        <v>43</v>
      </c>
      <c r="I491" s="17">
        <v>42865</v>
      </c>
    </row>
    <row r="492" spans="1:9">
      <c r="A492" s="16" t="s">
        <v>13130</v>
      </c>
      <c r="B492" s="1" t="s">
        <v>2628</v>
      </c>
      <c r="C492" s="1">
        <v>11</v>
      </c>
      <c r="D492" s="1" t="s">
        <v>55</v>
      </c>
      <c r="E492" s="1" t="s">
        <v>6</v>
      </c>
      <c r="F492" s="1" t="s">
        <v>5091</v>
      </c>
      <c r="G492" s="14" t="s">
        <v>6145</v>
      </c>
      <c r="H492" s="1" t="s">
        <v>43</v>
      </c>
      <c r="I492" s="17">
        <v>42865</v>
      </c>
    </row>
    <row r="493" spans="1:9">
      <c r="A493" s="16" t="s">
        <v>13133</v>
      </c>
      <c r="B493" s="1" t="s">
        <v>2628</v>
      </c>
      <c r="C493" s="1">
        <v>11</v>
      </c>
      <c r="D493" s="1" t="s">
        <v>55</v>
      </c>
      <c r="E493" s="1" t="s">
        <v>6</v>
      </c>
      <c r="F493" s="1" t="s">
        <v>5091</v>
      </c>
      <c r="G493" s="14" t="s">
        <v>6145</v>
      </c>
      <c r="H493" s="1" t="s">
        <v>43</v>
      </c>
      <c r="I493" s="17">
        <v>42865</v>
      </c>
    </row>
    <row r="494" spans="1:9">
      <c r="A494" s="16" t="s">
        <v>13134</v>
      </c>
      <c r="B494" s="1" t="s">
        <v>2628</v>
      </c>
      <c r="C494" s="1">
        <v>11</v>
      </c>
      <c r="D494" s="1" t="s">
        <v>55</v>
      </c>
      <c r="E494" s="1" t="s">
        <v>6</v>
      </c>
      <c r="F494" s="1" t="s">
        <v>5091</v>
      </c>
      <c r="G494" s="14" t="s">
        <v>6145</v>
      </c>
      <c r="H494" s="1" t="s">
        <v>43</v>
      </c>
      <c r="I494" s="17">
        <v>42866</v>
      </c>
    </row>
    <row r="495" spans="1:9">
      <c r="A495" s="16" t="s">
        <v>13253</v>
      </c>
      <c r="B495" s="1" t="s">
        <v>2628</v>
      </c>
      <c r="C495" s="1">
        <v>11</v>
      </c>
      <c r="D495" s="1" t="s">
        <v>55</v>
      </c>
      <c r="E495" s="1" t="s">
        <v>6</v>
      </c>
      <c r="F495" s="1" t="s">
        <v>5091</v>
      </c>
      <c r="G495" s="14" t="s">
        <v>9561</v>
      </c>
      <c r="H495" s="1" t="s">
        <v>5</v>
      </c>
      <c r="I495" s="17">
        <v>37333</v>
      </c>
    </row>
    <row r="496" spans="1:9">
      <c r="A496" s="16" t="s">
        <v>13322</v>
      </c>
      <c r="B496" s="1" t="s">
        <v>2628</v>
      </c>
      <c r="C496" s="1">
        <v>11</v>
      </c>
      <c r="D496" s="1" t="s">
        <v>55</v>
      </c>
      <c r="E496" s="1" t="s">
        <v>6</v>
      </c>
      <c r="F496" s="1" t="s">
        <v>5091</v>
      </c>
      <c r="G496" s="14" t="s">
        <v>6145</v>
      </c>
      <c r="H496" s="1" t="s">
        <v>43</v>
      </c>
      <c r="I496" s="17">
        <v>42736</v>
      </c>
    </row>
    <row r="497" spans="1:9">
      <c r="A497" s="16" t="s">
        <v>13323</v>
      </c>
      <c r="B497" s="1" t="s">
        <v>2628</v>
      </c>
      <c r="C497" s="1">
        <v>11</v>
      </c>
      <c r="D497" s="1" t="s">
        <v>55</v>
      </c>
      <c r="E497" s="1" t="s">
        <v>6</v>
      </c>
      <c r="F497" s="1" t="s">
        <v>5091</v>
      </c>
      <c r="G497" s="14" t="s">
        <v>6145</v>
      </c>
      <c r="H497" s="1" t="s">
        <v>43</v>
      </c>
      <c r="I497" s="17">
        <v>42736</v>
      </c>
    </row>
    <row r="498" spans="1:9">
      <c r="A498" s="16" t="s">
        <v>13324</v>
      </c>
      <c r="B498" s="1" t="s">
        <v>2628</v>
      </c>
      <c r="C498" s="1">
        <v>11</v>
      </c>
      <c r="D498" s="1" t="s">
        <v>55</v>
      </c>
      <c r="E498" s="1" t="s">
        <v>6</v>
      </c>
      <c r="F498" s="1" t="s">
        <v>5091</v>
      </c>
      <c r="G498" s="14" t="s">
        <v>6145</v>
      </c>
      <c r="H498" s="1" t="s">
        <v>43</v>
      </c>
      <c r="I498" s="17">
        <v>42736</v>
      </c>
    </row>
    <row r="499" spans="1:9">
      <c r="A499" s="16" t="s">
        <v>13325</v>
      </c>
      <c r="B499" s="1" t="s">
        <v>2628</v>
      </c>
      <c r="C499" s="1">
        <v>11</v>
      </c>
      <c r="D499" s="1" t="s">
        <v>55</v>
      </c>
      <c r="E499" s="1" t="s">
        <v>6</v>
      </c>
      <c r="F499" s="1" t="s">
        <v>5091</v>
      </c>
      <c r="G499" s="14" t="s">
        <v>6145</v>
      </c>
      <c r="H499" s="1" t="s">
        <v>43</v>
      </c>
      <c r="I499" s="17">
        <v>42736</v>
      </c>
    </row>
    <row r="500" spans="1:9">
      <c r="A500" s="16" t="s">
        <v>13326</v>
      </c>
      <c r="B500" s="1" t="s">
        <v>2628</v>
      </c>
      <c r="C500" s="1">
        <v>11</v>
      </c>
      <c r="D500" s="1" t="s">
        <v>55</v>
      </c>
      <c r="E500" s="1" t="s">
        <v>6</v>
      </c>
      <c r="F500" s="1" t="s">
        <v>5091</v>
      </c>
      <c r="G500" s="14" t="s">
        <v>6145</v>
      </c>
      <c r="H500" s="1" t="s">
        <v>43</v>
      </c>
      <c r="I500" s="17">
        <v>42736</v>
      </c>
    </row>
    <row r="501" spans="1:9">
      <c r="A501" s="16" t="s">
        <v>13327</v>
      </c>
      <c r="B501" s="1" t="s">
        <v>2628</v>
      </c>
      <c r="C501" s="1">
        <v>11</v>
      </c>
      <c r="D501" s="1" t="s">
        <v>55</v>
      </c>
      <c r="E501" s="1" t="s">
        <v>6</v>
      </c>
      <c r="F501" s="1" t="s">
        <v>5091</v>
      </c>
      <c r="G501" s="14" t="s">
        <v>6145</v>
      </c>
      <c r="H501" s="1" t="s">
        <v>43</v>
      </c>
      <c r="I501" s="17">
        <v>42736</v>
      </c>
    </row>
    <row r="502" spans="1:9" ht="31.2">
      <c r="A502" s="16" t="s">
        <v>13337</v>
      </c>
      <c r="B502" s="1" t="s">
        <v>2628</v>
      </c>
      <c r="C502" s="1">
        <v>11</v>
      </c>
      <c r="D502" s="1" t="s">
        <v>55</v>
      </c>
      <c r="E502" s="1" t="s">
        <v>6</v>
      </c>
      <c r="F502" s="1" t="s">
        <v>5091</v>
      </c>
      <c r="G502" s="14" t="s">
        <v>6145</v>
      </c>
      <c r="H502" s="1" t="s">
        <v>43</v>
      </c>
      <c r="I502" s="17">
        <v>42941</v>
      </c>
    </row>
    <row r="503" spans="1:9">
      <c r="A503" s="16" t="s">
        <v>13412</v>
      </c>
      <c r="B503" s="1" t="s">
        <v>2628</v>
      </c>
      <c r="C503" s="1">
        <v>11</v>
      </c>
      <c r="D503" s="1" t="s">
        <v>55</v>
      </c>
      <c r="E503" s="1" t="s">
        <v>6</v>
      </c>
      <c r="F503" s="1" t="s">
        <v>5091</v>
      </c>
      <c r="G503" s="14" t="s">
        <v>9561</v>
      </c>
      <c r="H503" s="1" t="s">
        <v>5</v>
      </c>
      <c r="I503" s="17">
        <v>37333</v>
      </c>
    </row>
    <row r="504" spans="1:9">
      <c r="A504" s="16" t="s">
        <v>13450</v>
      </c>
      <c r="B504" s="1" t="s">
        <v>2628</v>
      </c>
      <c r="C504" s="1">
        <v>11</v>
      </c>
      <c r="D504" s="1" t="s">
        <v>55</v>
      </c>
      <c r="E504" s="1" t="s">
        <v>6</v>
      </c>
      <c r="F504" s="1" t="s">
        <v>5091</v>
      </c>
      <c r="G504" s="14" t="s">
        <v>4458</v>
      </c>
      <c r="H504" s="1" t="s">
        <v>118</v>
      </c>
      <c r="I504" s="1" t="s">
        <v>4458</v>
      </c>
    </row>
    <row r="505" spans="1:9" ht="31.2">
      <c r="A505" s="16" t="s">
        <v>13579</v>
      </c>
      <c r="B505" s="1" t="s">
        <v>2628</v>
      </c>
      <c r="C505" s="1">
        <v>11</v>
      </c>
      <c r="D505" s="1" t="s">
        <v>55</v>
      </c>
      <c r="E505" s="1" t="s">
        <v>6</v>
      </c>
      <c r="F505" s="1" t="s">
        <v>5091</v>
      </c>
      <c r="G505" s="14" t="s">
        <v>6145</v>
      </c>
      <c r="H505" s="1" t="s">
        <v>43</v>
      </c>
      <c r="I505" s="17">
        <v>41526</v>
      </c>
    </row>
    <row r="506" spans="1:9">
      <c r="A506" s="16" t="s">
        <v>14143</v>
      </c>
      <c r="B506" s="1" t="s">
        <v>2628</v>
      </c>
      <c r="C506" s="1">
        <v>11</v>
      </c>
      <c r="D506" s="1" t="s">
        <v>55</v>
      </c>
      <c r="E506" s="1" t="s">
        <v>6</v>
      </c>
      <c r="F506" s="1" t="s">
        <v>5091</v>
      </c>
      <c r="G506" s="14" t="s">
        <v>14144</v>
      </c>
      <c r="H506" s="1" t="s">
        <v>43</v>
      </c>
      <c r="I506" s="17">
        <v>38622</v>
      </c>
    </row>
    <row r="507" spans="1:9">
      <c r="A507" s="16" t="s">
        <v>14147</v>
      </c>
      <c r="B507" s="1" t="s">
        <v>2628</v>
      </c>
      <c r="C507" s="1">
        <v>371</v>
      </c>
      <c r="D507" s="1" t="s">
        <v>55</v>
      </c>
      <c r="E507" s="1" t="s">
        <v>6</v>
      </c>
      <c r="F507" s="1" t="s">
        <v>5091</v>
      </c>
      <c r="G507" s="14" t="s">
        <v>4458</v>
      </c>
      <c r="H507" s="1" t="s">
        <v>118</v>
      </c>
      <c r="I507" s="17">
        <v>36892</v>
      </c>
    </row>
    <row r="508" spans="1:9" ht="31.2">
      <c r="A508" s="16" t="s">
        <v>14211</v>
      </c>
      <c r="B508" s="1" t="s">
        <v>2628</v>
      </c>
      <c r="C508" s="1">
        <v>11</v>
      </c>
      <c r="D508" s="1" t="s">
        <v>55</v>
      </c>
      <c r="E508" s="1" t="s">
        <v>6</v>
      </c>
      <c r="F508" s="1" t="s">
        <v>5091</v>
      </c>
      <c r="G508" s="14" t="s">
        <v>6145</v>
      </c>
      <c r="H508" s="1" t="s">
        <v>43</v>
      </c>
      <c r="I508" s="17">
        <v>43196</v>
      </c>
    </row>
    <row r="509" spans="1:9">
      <c r="A509" s="16" t="s">
        <v>14335</v>
      </c>
      <c r="B509" s="1" t="s">
        <v>2628</v>
      </c>
      <c r="C509" s="1">
        <v>11</v>
      </c>
      <c r="D509" s="1" t="s">
        <v>55</v>
      </c>
      <c r="E509" s="1" t="s">
        <v>6</v>
      </c>
      <c r="F509" s="1" t="s">
        <v>5091</v>
      </c>
      <c r="G509" s="14" t="s">
        <v>6145</v>
      </c>
      <c r="H509" s="1" t="s">
        <v>43</v>
      </c>
      <c r="I509" s="17">
        <v>40339</v>
      </c>
    </row>
    <row r="510" spans="1:9">
      <c r="A510" s="16" t="s">
        <v>14341</v>
      </c>
      <c r="B510" s="1" t="s">
        <v>2628</v>
      </c>
      <c r="C510" s="1">
        <v>11</v>
      </c>
      <c r="D510" s="1" t="s">
        <v>55</v>
      </c>
      <c r="E510" s="1" t="s">
        <v>6</v>
      </c>
      <c r="F510" s="1" t="s">
        <v>5091</v>
      </c>
      <c r="G510" s="14" t="s">
        <v>6145</v>
      </c>
      <c r="H510" s="1" t="s">
        <v>43</v>
      </c>
      <c r="I510" s="17">
        <v>40339</v>
      </c>
    </row>
    <row r="511" spans="1:9">
      <c r="A511" s="16" t="s">
        <v>14388</v>
      </c>
      <c r="B511" s="1" t="s">
        <v>2628</v>
      </c>
      <c r="C511" s="1">
        <v>11</v>
      </c>
      <c r="D511" s="1" t="s">
        <v>55</v>
      </c>
      <c r="E511" s="1" t="s">
        <v>6</v>
      </c>
      <c r="F511" s="1" t="s">
        <v>5091</v>
      </c>
      <c r="G511" s="14" t="s">
        <v>9493</v>
      </c>
      <c r="H511" s="1" t="s">
        <v>5</v>
      </c>
      <c r="I511" s="17">
        <v>36220</v>
      </c>
    </row>
    <row r="512" spans="1:9">
      <c r="A512" s="16" t="s">
        <v>14389</v>
      </c>
      <c r="B512" s="1" t="s">
        <v>2628</v>
      </c>
      <c r="C512" s="1">
        <v>11</v>
      </c>
      <c r="D512" s="1" t="s">
        <v>55</v>
      </c>
      <c r="E512" s="1" t="s">
        <v>6</v>
      </c>
      <c r="F512" s="1" t="s">
        <v>5091</v>
      </c>
      <c r="G512" s="14" t="s">
        <v>10479</v>
      </c>
      <c r="H512" s="1" t="s">
        <v>5</v>
      </c>
      <c r="I512" s="17">
        <v>36220</v>
      </c>
    </row>
    <row r="513" spans="1:9">
      <c r="A513" s="16" t="s">
        <v>14397</v>
      </c>
      <c r="B513" s="1" t="s">
        <v>2628</v>
      </c>
      <c r="C513" s="1">
        <v>11</v>
      </c>
      <c r="D513" s="1" t="s">
        <v>55</v>
      </c>
      <c r="E513" s="1" t="s">
        <v>6</v>
      </c>
      <c r="F513" s="1" t="s">
        <v>5091</v>
      </c>
      <c r="G513" s="14" t="s">
        <v>9955</v>
      </c>
      <c r="H513" s="1" t="s">
        <v>5</v>
      </c>
      <c r="I513" s="17">
        <v>36220</v>
      </c>
    </row>
    <row r="514" spans="1:9">
      <c r="A514" s="16" t="s">
        <v>14567</v>
      </c>
      <c r="B514" s="1" t="s">
        <v>2628</v>
      </c>
      <c r="C514" s="1">
        <v>11</v>
      </c>
      <c r="D514" s="1" t="s">
        <v>55</v>
      </c>
      <c r="E514" s="1" t="s">
        <v>6</v>
      </c>
      <c r="F514" s="1" t="s">
        <v>5091</v>
      </c>
      <c r="G514" s="14" t="s">
        <v>6145</v>
      </c>
      <c r="H514" s="1" t="s">
        <v>43</v>
      </c>
      <c r="I514" s="17">
        <v>43101</v>
      </c>
    </row>
    <row r="515" spans="1:9">
      <c r="A515" s="16" t="s">
        <v>14568</v>
      </c>
      <c r="B515" s="1" t="s">
        <v>2628</v>
      </c>
      <c r="C515" s="1">
        <v>11</v>
      </c>
      <c r="D515" s="1" t="s">
        <v>55</v>
      </c>
      <c r="E515" s="1" t="s">
        <v>6</v>
      </c>
      <c r="F515" s="1" t="s">
        <v>5091</v>
      </c>
      <c r="G515" s="14" t="s">
        <v>6145</v>
      </c>
      <c r="H515" s="1" t="s">
        <v>43</v>
      </c>
      <c r="I515" s="17">
        <v>43101</v>
      </c>
    </row>
    <row r="516" spans="1:9" ht="31.2">
      <c r="A516" s="16" t="s">
        <v>14581</v>
      </c>
      <c r="B516" s="1" t="s">
        <v>2628</v>
      </c>
      <c r="C516" s="1">
        <v>11</v>
      </c>
      <c r="D516" s="1" t="s">
        <v>55</v>
      </c>
      <c r="E516" s="1" t="s">
        <v>6</v>
      </c>
      <c r="F516" s="1" t="s">
        <v>5091</v>
      </c>
      <c r="G516" s="14" t="s">
        <v>7178</v>
      </c>
      <c r="H516" s="1" t="s">
        <v>5</v>
      </c>
      <c r="I516" s="17">
        <v>40613</v>
      </c>
    </row>
    <row r="517" spans="1:9" ht="31.2">
      <c r="A517" s="16" t="s">
        <v>14607</v>
      </c>
      <c r="B517" s="1" t="s">
        <v>2628</v>
      </c>
      <c r="C517" s="1">
        <v>1640</v>
      </c>
      <c r="D517" s="1" t="s">
        <v>55</v>
      </c>
      <c r="E517" s="1" t="s">
        <v>6</v>
      </c>
      <c r="F517" s="1" t="s">
        <v>5091</v>
      </c>
      <c r="G517" s="14" t="s">
        <v>6145</v>
      </c>
      <c r="H517" s="1" t="s">
        <v>43</v>
      </c>
      <c r="I517" s="17">
        <v>41527</v>
      </c>
    </row>
    <row r="518" spans="1:9">
      <c r="A518" s="16" t="s">
        <v>14669</v>
      </c>
      <c r="B518" s="1" t="s">
        <v>2628</v>
      </c>
      <c r="C518" s="1">
        <v>11</v>
      </c>
      <c r="D518" s="1" t="s">
        <v>55</v>
      </c>
      <c r="E518" s="1" t="s">
        <v>6</v>
      </c>
      <c r="F518" s="1" t="s">
        <v>5091</v>
      </c>
      <c r="G518" s="14" t="s">
        <v>6145</v>
      </c>
      <c r="H518" s="1" t="s">
        <v>43</v>
      </c>
      <c r="I518" s="17">
        <v>40646</v>
      </c>
    </row>
    <row r="519" spans="1:9" ht="31.2">
      <c r="A519" s="16" t="s">
        <v>14727</v>
      </c>
      <c r="B519" s="1" t="s">
        <v>2628</v>
      </c>
      <c r="C519" s="1">
        <v>371</v>
      </c>
      <c r="D519" s="1" t="s">
        <v>55</v>
      </c>
      <c r="E519" s="1" t="s">
        <v>6</v>
      </c>
      <c r="F519" s="1" t="s">
        <v>5091</v>
      </c>
      <c r="G519" s="14" t="s">
        <v>6145</v>
      </c>
      <c r="H519" s="1" t="s">
        <v>43</v>
      </c>
      <c r="I519" s="17">
        <v>41528</v>
      </c>
    </row>
    <row r="520" spans="1:9">
      <c r="A520" s="7" t="s">
        <v>15179</v>
      </c>
      <c r="B520" s="1" t="s">
        <v>2629</v>
      </c>
      <c r="C520" s="1">
        <v>3063</v>
      </c>
      <c r="D520" s="1" t="s">
        <v>55</v>
      </c>
      <c r="E520" s="1" t="s">
        <v>6</v>
      </c>
      <c r="F520" s="1" t="s">
        <v>5241</v>
      </c>
      <c r="G520" s="1" t="s">
        <v>6307</v>
      </c>
      <c r="H520" s="1" t="s">
        <v>44</v>
      </c>
      <c r="I520" s="17">
        <v>43070</v>
      </c>
    </row>
    <row r="521" spans="1:9">
      <c r="A521" s="7" t="s">
        <v>15480</v>
      </c>
      <c r="B521" s="1" t="s">
        <v>2629</v>
      </c>
      <c r="C521" s="1">
        <v>11</v>
      </c>
      <c r="D521" s="1" t="s">
        <v>55</v>
      </c>
      <c r="E521" s="1" t="s">
        <v>6</v>
      </c>
      <c r="F521" s="1" t="s">
        <v>5241</v>
      </c>
      <c r="G521" s="1" t="s">
        <v>4803</v>
      </c>
      <c r="H521" s="1" t="s">
        <v>5</v>
      </c>
      <c r="I521" s="17">
        <v>41487</v>
      </c>
    </row>
    <row r="522" spans="1:9">
      <c r="A522" s="7" t="s">
        <v>15522</v>
      </c>
      <c r="B522" s="1" t="s">
        <v>2629</v>
      </c>
      <c r="C522" s="1">
        <v>11</v>
      </c>
      <c r="D522" s="1" t="s">
        <v>55</v>
      </c>
      <c r="E522" s="1" t="s">
        <v>6</v>
      </c>
      <c r="F522" s="1" t="s">
        <v>5241</v>
      </c>
      <c r="G522" s="1" t="s">
        <v>6307</v>
      </c>
      <c r="H522" s="1" t="s">
        <v>44</v>
      </c>
      <c r="I522" s="17">
        <v>41487</v>
      </c>
    </row>
    <row r="523" spans="1:9">
      <c r="A523" s="16" t="s">
        <v>15609</v>
      </c>
      <c r="B523" s="1" t="s">
        <v>2628</v>
      </c>
      <c r="C523" s="1">
        <v>11</v>
      </c>
      <c r="D523" s="1" t="s">
        <v>55</v>
      </c>
      <c r="E523" s="1" t="s">
        <v>6</v>
      </c>
      <c r="F523" s="1" t="s">
        <v>5091</v>
      </c>
      <c r="G523" s="14" t="s">
        <v>6145</v>
      </c>
      <c r="H523" s="1" t="s">
        <v>43</v>
      </c>
      <c r="I523" s="17">
        <v>40616</v>
      </c>
    </row>
    <row r="524" spans="1:9">
      <c r="A524" s="16" t="s">
        <v>15614</v>
      </c>
      <c r="B524" s="1" t="s">
        <v>2628</v>
      </c>
      <c r="C524" s="1">
        <v>11</v>
      </c>
      <c r="D524" s="1" t="s">
        <v>55</v>
      </c>
      <c r="E524" s="1" t="s">
        <v>6</v>
      </c>
      <c r="F524" s="1" t="s">
        <v>5091</v>
      </c>
      <c r="G524" s="14" t="s">
        <v>6145</v>
      </c>
      <c r="H524" s="1" t="s">
        <v>43</v>
      </c>
      <c r="I524" s="17">
        <v>40616</v>
      </c>
    </row>
    <row r="525" spans="1:9">
      <c r="A525" s="7" t="s">
        <v>15777</v>
      </c>
      <c r="B525" s="2" t="s">
        <v>2628</v>
      </c>
      <c r="C525" s="1">
        <v>11</v>
      </c>
      <c r="D525" s="1" t="s">
        <v>55</v>
      </c>
      <c r="E525" s="1" t="s">
        <v>6</v>
      </c>
      <c r="F525" s="1" t="s">
        <v>5091</v>
      </c>
      <c r="G525" s="14" t="s">
        <v>2400</v>
      </c>
      <c r="H525" s="1" t="s">
        <v>43</v>
      </c>
      <c r="I525" s="1" t="s">
        <v>5659</v>
      </c>
    </row>
    <row r="526" spans="1:9">
      <c r="A526" s="7" t="s">
        <v>15795</v>
      </c>
      <c r="B526" s="2" t="s">
        <v>2628</v>
      </c>
      <c r="C526" s="1">
        <v>11</v>
      </c>
      <c r="D526" s="1" t="s">
        <v>55</v>
      </c>
      <c r="E526" s="1" t="s">
        <v>6</v>
      </c>
      <c r="F526" s="1" t="s">
        <v>5091</v>
      </c>
      <c r="G526" s="14" t="s">
        <v>2400</v>
      </c>
      <c r="H526" s="1" t="s">
        <v>43</v>
      </c>
      <c r="I526" s="2">
        <v>2010</v>
      </c>
    </row>
    <row r="527" spans="1:9">
      <c r="A527" s="7" t="s">
        <v>15797</v>
      </c>
      <c r="B527" s="2" t="s">
        <v>2628</v>
      </c>
      <c r="C527" s="1">
        <v>11</v>
      </c>
      <c r="D527" s="1" t="s">
        <v>55</v>
      </c>
      <c r="E527" s="1" t="s">
        <v>6</v>
      </c>
      <c r="F527" s="1" t="s">
        <v>5091</v>
      </c>
      <c r="G527" s="14" t="s">
        <v>2400</v>
      </c>
      <c r="H527" s="1" t="s">
        <v>43</v>
      </c>
      <c r="I527" s="2">
        <v>2010</v>
      </c>
    </row>
    <row r="528" spans="1:9">
      <c r="A528" s="7" t="s">
        <v>15800</v>
      </c>
      <c r="B528" s="2" t="s">
        <v>2628</v>
      </c>
      <c r="C528" s="1">
        <v>11</v>
      </c>
      <c r="D528" s="1" t="s">
        <v>55</v>
      </c>
      <c r="E528" s="1" t="s">
        <v>6</v>
      </c>
      <c r="F528" s="1" t="s">
        <v>5091</v>
      </c>
      <c r="G528" s="14" t="s">
        <v>2400</v>
      </c>
      <c r="H528" s="1" t="s">
        <v>43</v>
      </c>
      <c r="I528" s="2">
        <v>2010</v>
      </c>
    </row>
    <row r="529" spans="1:9">
      <c r="A529" s="7" t="s">
        <v>15825</v>
      </c>
      <c r="B529" s="2" t="s">
        <v>2628</v>
      </c>
      <c r="C529" s="1">
        <v>11</v>
      </c>
      <c r="D529" s="1" t="s">
        <v>55</v>
      </c>
      <c r="E529" s="1" t="s">
        <v>6</v>
      </c>
      <c r="F529" s="1" t="s">
        <v>5091</v>
      </c>
      <c r="G529" s="14" t="s">
        <v>15826</v>
      </c>
      <c r="H529" s="1" t="s">
        <v>5</v>
      </c>
      <c r="I529" s="1" t="s">
        <v>5092</v>
      </c>
    </row>
    <row r="530" spans="1:9">
      <c r="A530" s="7" t="s">
        <v>15908</v>
      </c>
      <c r="B530" s="2" t="s">
        <v>2628</v>
      </c>
      <c r="C530" s="1">
        <v>11</v>
      </c>
      <c r="D530" s="1" t="s">
        <v>55</v>
      </c>
      <c r="E530" s="1" t="s">
        <v>6</v>
      </c>
      <c r="F530" s="1" t="s">
        <v>5091</v>
      </c>
      <c r="G530" s="14" t="s">
        <v>15909</v>
      </c>
      <c r="H530" s="1" t="s">
        <v>5</v>
      </c>
      <c r="I530" s="1" t="s">
        <v>5659</v>
      </c>
    </row>
    <row r="531" spans="1:9">
      <c r="A531" s="7" t="s">
        <v>15910</v>
      </c>
      <c r="B531" s="2" t="s">
        <v>2628</v>
      </c>
      <c r="C531" s="1">
        <v>11</v>
      </c>
      <c r="D531" s="1" t="s">
        <v>55</v>
      </c>
      <c r="E531" s="1" t="s">
        <v>6</v>
      </c>
      <c r="F531" s="1" t="s">
        <v>5091</v>
      </c>
      <c r="G531" s="14" t="s">
        <v>2400</v>
      </c>
      <c r="H531" s="1" t="s">
        <v>43</v>
      </c>
      <c r="I531" s="1" t="s">
        <v>5659</v>
      </c>
    </row>
    <row r="532" spans="1:9">
      <c r="A532" s="7" t="s">
        <v>15911</v>
      </c>
      <c r="B532" s="2" t="s">
        <v>2628</v>
      </c>
      <c r="C532" s="1">
        <v>11</v>
      </c>
      <c r="D532" s="1" t="s">
        <v>55</v>
      </c>
      <c r="E532" s="1" t="s">
        <v>6</v>
      </c>
      <c r="F532" s="1" t="s">
        <v>5091</v>
      </c>
      <c r="G532" s="14" t="s">
        <v>2400</v>
      </c>
      <c r="H532" s="1" t="s">
        <v>43</v>
      </c>
      <c r="I532" s="1" t="s">
        <v>5659</v>
      </c>
    </row>
    <row r="533" spans="1:9">
      <c r="A533" s="7" t="s">
        <v>15912</v>
      </c>
      <c r="B533" s="2" t="s">
        <v>2628</v>
      </c>
      <c r="C533" s="1">
        <v>11</v>
      </c>
      <c r="D533" s="1" t="s">
        <v>55</v>
      </c>
      <c r="E533" s="1" t="s">
        <v>6</v>
      </c>
      <c r="F533" s="1" t="s">
        <v>5091</v>
      </c>
      <c r="G533" s="14" t="s">
        <v>2400</v>
      </c>
      <c r="H533" s="1" t="s">
        <v>43</v>
      </c>
      <c r="I533" s="1" t="s">
        <v>5659</v>
      </c>
    </row>
    <row r="534" spans="1:9">
      <c r="A534" s="7" t="s">
        <v>15913</v>
      </c>
      <c r="B534" s="2" t="s">
        <v>2628</v>
      </c>
      <c r="C534" s="1">
        <v>11</v>
      </c>
      <c r="D534" s="1" t="s">
        <v>55</v>
      </c>
      <c r="E534" s="1" t="s">
        <v>6</v>
      </c>
      <c r="F534" s="1" t="s">
        <v>5091</v>
      </c>
      <c r="G534" s="14" t="s">
        <v>2400</v>
      </c>
      <c r="H534" s="1" t="s">
        <v>43</v>
      </c>
      <c r="I534" s="1" t="s">
        <v>5659</v>
      </c>
    </row>
    <row r="535" spans="1:9">
      <c r="A535" s="7" t="s">
        <v>15914</v>
      </c>
      <c r="B535" s="2" t="s">
        <v>2628</v>
      </c>
      <c r="C535" s="1">
        <v>11</v>
      </c>
      <c r="D535" s="1" t="s">
        <v>55</v>
      </c>
      <c r="E535" s="1" t="s">
        <v>6</v>
      </c>
      <c r="F535" s="1" t="s">
        <v>5091</v>
      </c>
      <c r="G535" s="14" t="s">
        <v>15909</v>
      </c>
      <c r="H535" s="1" t="s">
        <v>5</v>
      </c>
      <c r="I535" s="1" t="s">
        <v>5659</v>
      </c>
    </row>
    <row r="536" spans="1:9">
      <c r="A536" s="7" t="s">
        <v>15915</v>
      </c>
      <c r="B536" s="2" t="s">
        <v>2628</v>
      </c>
      <c r="C536" s="1">
        <v>11</v>
      </c>
      <c r="D536" s="1" t="s">
        <v>55</v>
      </c>
      <c r="E536" s="1" t="s">
        <v>6</v>
      </c>
      <c r="F536" s="1" t="s">
        <v>5091</v>
      </c>
      <c r="G536" s="14" t="s">
        <v>2400</v>
      </c>
      <c r="H536" s="1" t="s">
        <v>43</v>
      </c>
      <c r="I536" s="1" t="s">
        <v>5659</v>
      </c>
    </row>
    <row r="537" spans="1:9">
      <c r="A537" s="7" t="s">
        <v>15917</v>
      </c>
      <c r="B537" s="2" t="s">
        <v>2628</v>
      </c>
      <c r="C537" s="1">
        <v>11</v>
      </c>
      <c r="D537" s="1" t="s">
        <v>55</v>
      </c>
      <c r="E537" s="1" t="s">
        <v>6</v>
      </c>
      <c r="F537" s="1" t="s">
        <v>5091</v>
      </c>
      <c r="G537" s="22" t="s">
        <v>6181</v>
      </c>
      <c r="H537" s="2" t="s">
        <v>118</v>
      </c>
      <c r="I537" s="1" t="s">
        <v>4458</v>
      </c>
    </row>
    <row r="538" spans="1:9">
      <c r="A538" s="7" t="s">
        <v>15995</v>
      </c>
      <c r="B538" s="2" t="s">
        <v>2628</v>
      </c>
      <c r="C538" s="1">
        <v>371</v>
      </c>
      <c r="D538" s="1" t="s">
        <v>55</v>
      </c>
      <c r="E538" s="1" t="s">
        <v>6</v>
      </c>
      <c r="F538" s="1" t="s">
        <v>5091</v>
      </c>
      <c r="G538" s="14" t="s">
        <v>6209</v>
      </c>
      <c r="H538" s="1" t="s">
        <v>43</v>
      </c>
      <c r="I538" s="1" t="s">
        <v>5092</v>
      </c>
    </row>
    <row r="539" spans="1:9">
      <c r="A539" s="7" t="s">
        <v>16027</v>
      </c>
      <c r="B539" s="2" t="s">
        <v>2628</v>
      </c>
      <c r="C539" s="1">
        <v>11</v>
      </c>
      <c r="D539" s="1" t="s">
        <v>55</v>
      </c>
      <c r="E539" s="1" t="s">
        <v>6</v>
      </c>
      <c r="F539" s="1" t="s">
        <v>5091</v>
      </c>
      <c r="G539" s="14" t="s">
        <v>6530</v>
      </c>
      <c r="H539" s="1" t="s">
        <v>43</v>
      </c>
      <c r="I539" s="1" t="s">
        <v>5807</v>
      </c>
    </row>
    <row r="540" spans="1:9">
      <c r="A540" s="7" t="s">
        <v>16070</v>
      </c>
      <c r="B540" s="2" t="s">
        <v>2628</v>
      </c>
      <c r="C540" s="1">
        <v>11</v>
      </c>
      <c r="D540" s="1" t="s">
        <v>55</v>
      </c>
      <c r="E540" s="1" t="s">
        <v>6</v>
      </c>
      <c r="F540" s="1" t="s">
        <v>5091</v>
      </c>
      <c r="G540" s="14" t="s">
        <v>6307</v>
      </c>
      <c r="H540" s="1" t="s">
        <v>44</v>
      </c>
      <c r="I540" s="17">
        <v>43507</v>
      </c>
    </row>
    <row r="541" spans="1:9">
      <c r="A541" s="7" t="s">
        <v>16071</v>
      </c>
      <c r="B541" s="2" t="s">
        <v>2628</v>
      </c>
      <c r="C541" s="1">
        <v>11</v>
      </c>
      <c r="D541" s="1" t="s">
        <v>55</v>
      </c>
      <c r="E541" s="1" t="s">
        <v>6</v>
      </c>
      <c r="F541" s="1" t="s">
        <v>5091</v>
      </c>
      <c r="G541" s="14" t="s">
        <v>6307</v>
      </c>
      <c r="H541" s="1" t="s">
        <v>44</v>
      </c>
      <c r="I541" s="17">
        <v>43507</v>
      </c>
    </row>
    <row r="542" spans="1:9">
      <c r="A542" s="7" t="s">
        <v>16072</v>
      </c>
      <c r="B542" s="2" t="s">
        <v>2628</v>
      </c>
      <c r="C542" s="1">
        <v>11</v>
      </c>
      <c r="D542" s="1" t="s">
        <v>55</v>
      </c>
      <c r="E542" s="1" t="s">
        <v>6</v>
      </c>
      <c r="F542" s="1" t="s">
        <v>5091</v>
      </c>
      <c r="G542" s="14" t="s">
        <v>6307</v>
      </c>
      <c r="H542" s="1" t="s">
        <v>44</v>
      </c>
      <c r="I542" s="17">
        <v>43507</v>
      </c>
    </row>
    <row r="543" spans="1:9">
      <c r="A543" s="7" t="s">
        <v>16178</v>
      </c>
      <c r="B543" s="2" t="s">
        <v>2628</v>
      </c>
      <c r="C543" s="1">
        <v>11</v>
      </c>
      <c r="D543" s="1" t="s">
        <v>55</v>
      </c>
      <c r="E543" s="1" t="s">
        <v>6</v>
      </c>
      <c r="F543" s="1" t="s">
        <v>5091</v>
      </c>
      <c r="G543" s="14" t="s">
        <v>6139</v>
      </c>
      <c r="H543" s="1" t="s">
        <v>43</v>
      </c>
      <c r="I543" s="1" t="s">
        <v>5807</v>
      </c>
    </row>
    <row r="544" spans="1:9">
      <c r="A544" s="7" t="s">
        <v>16179</v>
      </c>
      <c r="B544" s="2" t="s">
        <v>2628</v>
      </c>
      <c r="C544" s="1">
        <v>11</v>
      </c>
      <c r="D544" s="1" t="s">
        <v>55</v>
      </c>
      <c r="E544" s="1" t="s">
        <v>6</v>
      </c>
      <c r="F544" s="1" t="s">
        <v>5091</v>
      </c>
      <c r="G544" s="14" t="s">
        <v>6139</v>
      </c>
      <c r="H544" s="1" t="s">
        <v>43</v>
      </c>
      <c r="I544" s="1" t="s">
        <v>5807</v>
      </c>
    </row>
    <row r="545" spans="1:9">
      <c r="A545" s="7" t="s">
        <v>16180</v>
      </c>
      <c r="B545" s="2" t="s">
        <v>2628</v>
      </c>
      <c r="C545" s="1">
        <v>11</v>
      </c>
      <c r="D545" s="1" t="s">
        <v>55</v>
      </c>
      <c r="E545" s="1" t="s">
        <v>6</v>
      </c>
      <c r="F545" s="1" t="s">
        <v>5091</v>
      </c>
      <c r="G545" s="14" t="s">
        <v>6139</v>
      </c>
      <c r="H545" s="1" t="s">
        <v>43</v>
      </c>
      <c r="I545" s="1" t="s">
        <v>5807</v>
      </c>
    </row>
    <row r="546" spans="1:9">
      <c r="A546" s="7" t="s">
        <v>16183</v>
      </c>
      <c r="B546" s="2" t="s">
        <v>2628</v>
      </c>
      <c r="C546" s="1">
        <v>11</v>
      </c>
      <c r="D546" s="1" t="s">
        <v>55</v>
      </c>
      <c r="E546" s="1" t="s">
        <v>6</v>
      </c>
      <c r="F546" s="1" t="s">
        <v>5091</v>
      </c>
      <c r="G546" s="14" t="s">
        <v>4803</v>
      </c>
      <c r="H546" s="1" t="s">
        <v>5</v>
      </c>
      <c r="I546" s="1" t="s">
        <v>16184</v>
      </c>
    </row>
    <row r="547" spans="1:9">
      <c r="A547" s="7" t="s">
        <v>16185</v>
      </c>
      <c r="B547" s="2" t="s">
        <v>2628</v>
      </c>
      <c r="C547" s="1">
        <v>11</v>
      </c>
      <c r="D547" s="1" t="s">
        <v>55</v>
      </c>
      <c r="E547" s="1" t="s">
        <v>6</v>
      </c>
      <c r="F547" s="1" t="s">
        <v>5091</v>
      </c>
      <c r="G547" s="14" t="s">
        <v>6530</v>
      </c>
      <c r="H547" s="1" t="s">
        <v>43</v>
      </c>
      <c r="I547" s="1" t="s">
        <v>5807</v>
      </c>
    </row>
    <row r="548" spans="1:9">
      <c r="A548" s="7" t="s">
        <v>16201</v>
      </c>
      <c r="B548" s="2" t="s">
        <v>2628</v>
      </c>
      <c r="C548" s="1">
        <v>11</v>
      </c>
      <c r="D548" s="1" t="s">
        <v>55</v>
      </c>
      <c r="E548" s="1" t="s">
        <v>6</v>
      </c>
      <c r="F548" s="1" t="s">
        <v>5091</v>
      </c>
      <c r="G548" s="14" t="s">
        <v>6139</v>
      </c>
      <c r="H548" s="1" t="s">
        <v>43</v>
      </c>
      <c r="I548" s="1" t="s">
        <v>5807</v>
      </c>
    </row>
    <row r="549" spans="1:9">
      <c r="A549" s="7" t="s">
        <v>16202</v>
      </c>
      <c r="B549" s="2" t="s">
        <v>2628</v>
      </c>
      <c r="C549" s="1">
        <v>11</v>
      </c>
      <c r="D549" s="1" t="s">
        <v>55</v>
      </c>
      <c r="E549" s="1" t="s">
        <v>6</v>
      </c>
      <c r="F549" s="1" t="s">
        <v>5091</v>
      </c>
      <c r="G549" s="14" t="s">
        <v>6139</v>
      </c>
      <c r="H549" s="1" t="s">
        <v>43</v>
      </c>
      <c r="I549" s="1" t="s">
        <v>5807</v>
      </c>
    </row>
    <row r="550" spans="1:9">
      <c r="A550" s="7" t="s">
        <v>16207</v>
      </c>
      <c r="B550" s="2" t="s">
        <v>2628</v>
      </c>
      <c r="C550" s="1">
        <v>11</v>
      </c>
      <c r="D550" s="1" t="s">
        <v>55</v>
      </c>
      <c r="E550" s="1" t="s">
        <v>6</v>
      </c>
      <c r="F550" s="1" t="s">
        <v>5091</v>
      </c>
      <c r="G550" s="14" t="s">
        <v>6139</v>
      </c>
      <c r="H550" s="1" t="s">
        <v>43</v>
      </c>
      <c r="I550" s="1" t="s">
        <v>5807</v>
      </c>
    </row>
    <row r="551" spans="1:9">
      <c r="A551" s="7" t="s">
        <v>16210</v>
      </c>
      <c r="B551" s="2" t="s">
        <v>2628</v>
      </c>
      <c r="C551" s="1">
        <v>11</v>
      </c>
      <c r="D551" s="1" t="s">
        <v>55</v>
      </c>
      <c r="E551" s="1" t="s">
        <v>6</v>
      </c>
      <c r="F551" s="1" t="s">
        <v>5091</v>
      </c>
      <c r="G551" s="14" t="s">
        <v>6139</v>
      </c>
      <c r="H551" s="1" t="s">
        <v>43</v>
      </c>
      <c r="I551" s="1" t="s">
        <v>5807</v>
      </c>
    </row>
    <row r="552" spans="1:9">
      <c r="A552" s="7" t="s">
        <v>16227</v>
      </c>
      <c r="B552" s="2" t="s">
        <v>2628</v>
      </c>
      <c r="C552" s="1">
        <v>11</v>
      </c>
      <c r="D552" s="1" t="s">
        <v>55</v>
      </c>
      <c r="E552" s="1" t="s">
        <v>6</v>
      </c>
      <c r="F552" s="1" t="s">
        <v>5091</v>
      </c>
      <c r="G552" s="14" t="s">
        <v>6139</v>
      </c>
      <c r="H552" s="1" t="s">
        <v>43</v>
      </c>
      <c r="I552" s="1" t="s">
        <v>5807</v>
      </c>
    </row>
    <row r="553" spans="1:9">
      <c r="A553" s="7" t="s">
        <v>16229</v>
      </c>
      <c r="B553" s="2" t="s">
        <v>2628</v>
      </c>
      <c r="C553" s="1">
        <v>11</v>
      </c>
      <c r="D553" s="1" t="s">
        <v>55</v>
      </c>
      <c r="E553" s="1" t="s">
        <v>6</v>
      </c>
      <c r="F553" s="1" t="s">
        <v>5091</v>
      </c>
      <c r="G553" s="14" t="s">
        <v>6139</v>
      </c>
      <c r="H553" s="1" t="s">
        <v>43</v>
      </c>
      <c r="I553" s="1" t="s">
        <v>5807</v>
      </c>
    </row>
    <row r="554" spans="1:9">
      <c r="A554" s="7" t="s">
        <v>16234</v>
      </c>
      <c r="B554" s="2" t="s">
        <v>2628</v>
      </c>
      <c r="C554" s="1">
        <v>11</v>
      </c>
      <c r="D554" s="1" t="s">
        <v>55</v>
      </c>
      <c r="E554" s="1" t="s">
        <v>6</v>
      </c>
      <c r="F554" s="1" t="s">
        <v>5091</v>
      </c>
      <c r="G554" s="14" t="s">
        <v>6139</v>
      </c>
      <c r="H554" s="1" t="s">
        <v>43</v>
      </c>
      <c r="I554" s="1" t="s">
        <v>5807</v>
      </c>
    </row>
    <row r="555" spans="1:9">
      <c r="A555" s="7" t="s">
        <v>16276</v>
      </c>
      <c r="B555" s="2" t="s">
        <v>2628</v>
      </c>
      <c r="C555" s="1">
        <v>11</v>
      </c>
      <c r="D555" s="1" t="s">
        <v>55</v>
      </c>
      <c r="E555" s="1" t="s">
        <v>6</v>
      </c>
      <c r="F555" s="1" t="s">
        <v>118</v>
      </c>
      <c r="G555" s="14" t="s">
        <v>6530</v>
      </c>
      <c r="H555" s="1" t="s">
        <v>43</v>
      </c>
      <c r="I555" s="1" t="s">
        <v>5807</v>
      </c>
    </row>
    <row r="556" spans="1:9">
      <c r="A556" s="7" t="s">
        <v>16279</v>
      </c>
      <c r="B556" s="2" t="s">
        <v>2628</v>
      </c>
      <c r="C556" s="1">
        <v>11</v>
      </c>
      <c r="D556" s="1" t="s">
        <v>55</v>
      </c>
      <c r="E556" s="1" t="s">
        <v>6</v>
      </c>
      <c r="F556" s="1" t="s">
        <v>5091</v>
      </c>
      <c r="G556" s="14" t="s">
        <v>16280</v>
      </c>
      <c r="H556" s="1" t="s">
        <v>43</v>
      </c>
      <c r="I556" s="1" t="s">
        <v>5807</v>
      </c>
    </row>
    <row r="557" spans="1:9">
      <c r="A557" s="7" t="s">
        <v>5365</v>
      </c>
      <c r="B557" s="1" t="s">
        <v>2629</v>
      </c>
      <c r="C557" s="1">
        <v>2181</v>
      </c>
      <c r="D557" s="1" t="s">
        <v>55</v>
      </c>
      <c r="E557" s="1" t="s">
        <v>6</v>
      </c>
      <c r="F557" s="1" t="s">
        <v>2696</v>
      </c>
      <c r="G557" s="1" t="s">
        <v>4800</v>
      </c>
      <c r="H557" s="1" t="s">
        <v>27</v>
      </c>
      <c r="I557" s="17">
        <v>40544</v>
      </c>
    </row>
    <row r="558" spans="1:9">
      <c r="A558" s="16" t="s">
        <v>4791</v>
      </c>
      <c r="B558" s="1" t="s">
        <v>2631</v>
      </c>
      <c r="C558" s="1">
        <v>121</v>
      </c>
      <c r="D558" s="1" t="s">
        <v>7</v>
      </c>
      <c r="E558" s="1" t="s">
        <v>6</v>
      </c>
      <c r="F558" s="1" t="s">
        <v>118</v>
      </c>
      <c r="G558" s="14" t="s">
        <v>4458</v>
      </c>
      <c r="H558" s="1" t="s">
        <v>118</v>
      </c>
      <c r="I558" s="1" t="s">
        <v>4792</v>
      </c>
    </row>
    <row r="559" spans="1:9">
      <c r="A559" s="16" t="s">
        <v>4793</v>
      </c>
      <c r="B559" s="1" t="s">
        <v>2631</v>
      </c>
      <c r="C559" s="1">
        <v>121</v>
      </c>
      <c r="D559" s="1" t="s">
        <v>7</v>
      </c>
      <c r="E559" s="1" t="s">
        <v>6</v>
      </c>
      <c r="F559" s="1" t="s">
        <v>118</v>
      </c>
      <c r="G559" s="14" t="s">
        <v>4458</v>
      </c>
      <c r="H559" s="1" t="s">
        <v>118</v>
      </c>
      <c r="I559" s="1" t="s">
        <v>4792</v>
      </c>
    </row>
    <row r="560" spans="1:9">
      <c r="A560" s="16" t="s">
        <v>4795</v>
      </c>
      <c r="B560" s="1" t="s">
        <v>2631</v>
      </c>
      <c r="C560" s="1">
        <v>121</v>
      </c>
      <c r="D560" s="1" t="s">
        <v>7</v>
      </c>
      <c r="E560" s="1" t="s">
        <v>6</v>
      </c>
      <c r="F560" s="1" t="s">
        <v>118</v>
      </c>
      <c r="G560" s="14" t="s">
        <v>4458</v>
      </c>
      <c r="H560" s="1" t="s">
        <v>118</v>
      </c>
      <c r="I560" s="1" t="s">
        <v>4792</v>
      </c>
    </row>
    <row r="561" spans="1:10">
      <c r="A561" s="16" t="s">
        <v>4829</v>
      </c>
      <c r="B561" s="1" t="s">
        <v>2631</v>
      </c>
      <c r="C561" s="1">
        <v>121</v>
      </c>
      <c r="D561" s="1" t="s">
        <v>7</v>
      </c>
      <c r="E561" s="1" t="s">
        <v>6</v>
      </c>
      <c r="F561" s="1" t="s">
        <v>2693</v>
      </c>
      <c r="G561" s="1" t="s">
        <v>5</v>
      </c>
      <c r="H561" s="1" t="s">
        <v>5</v>
      </c>
      <c r="I561" s="17">
        <v>40179</v>
      </c>
      <c r="J561" s="18"/>
    </row>
    <row r="562" spans="1:10">
      <c r="A562" s="16" t="s">
        <v>4837</v>
      </c>
      <c r="B562" s="1" t="s">
        <v>2631</v>
      </c>
      <c r="C562" s="1">
        <v>121</v>
      </c>
      <c r="D562" s="1" t="s">
        <v>7</v>
      </c>
      <c r="E562" s="1" t="s">
        <v>6</v>
      </c>
      <c r="F562" s="1" t="s">
        <v>2693</v>
      </c>
      <c r="G562" s="1" t="s">
        <v>5</v>
      </c>
      <c r="H562" s="1" t="s">
        <v>5</v>
      </c>
      <c r="I562" s="17">
        <v>40179</v>
      </c>
      <c r="J562" s="17"/>
    </row>
    <row r="563" spans="1:10">
      <c r="A563" s="16" t="s">
        <v>4838</v>
      </c>
      <c r="B563" s="1" t="s">
        <v>2631</v>
      </c>
      <c r="C563" s="1">
        <v>121</v>
      </c>
      <c r="D563" s="1" t="s">
        <v>7</v>
      </c>
      <c r="E563" s="1" t="s">
        <v>6</v>
      </c>
      <c r="F563" s="1" t="s">
        <v>2693</v>
      </c>
      <c r="G563" s="1" t="s">
        <v>5</v>
      </c>
      <c r="H563" s="1" t="s">
        <v>5</v>
      </c>
      <c r="I563" s="17">
        <v>40179</v>
      </c>
      <c r="J563" s="17"/>
    </row>
    <row r="564" spans="1:10">
      <c r="A564" s="16" t="s">
        <v>4890</v>
      </c>
      <c r="B564" s="1" t="s">
        <v>2631</v>
      </c>
      <c r="C564" s="1">
        <v>121</v>
      </c>
      <c r="D564" s="1" t="s">
        <v>7</v>
      </c>
      <c r="E564" s="1" t="s">
        <v>6</v>
      </c>
      <c r="F564" s="1" t="s">
        <v>2693</v>
      </c>
      <c r="G564" s="1" t="s">
        <v>5</v>
      </c>
      <c r="H564" s="1" t="s">
        <v>5</v>
      </c>
      <c r="I564" s="17">
        <v>41275</v>
      </c>
      <c r="J564" s="17"/>
    </row>
    <row r="565" spans="1:10">
      <c r="A565" s="16" t="s">
        <v>4897</v>
      </c>
      <c r="B565" s="1" t="s">
        <v>2631</v>
      </c>
      <c r="C565" s="1">
        <v>121</v>
      </c>
      <c r="D565" s="1" t="s">
        <v>7</v>
      </c>
      <c r="E565" s="1" t="s">
        <v>6</v>
      </c>
      <c r="F565" s="1" t="s">
        <v>2693</v>
      </c>
      <c r="G565" s="1" t="s">
        <v>5</v>
      </c>
      <c r="H565" s="1" t="s">
        <v>5</v>
      </c>
      <c r="I565" s="17">
        <v>41275</v>
      </c>
      <c r="J565" s="17"/>
    </row>
    <row r="566" spans="1:10">
      <c r="A566" s="16" t="s">
        <v>4904</v>
      </c>
      <c r="B566" s="1" t="s">
        <v>2631</v>
      </c>
      <c r="C566" s="1">
        <v>121</v>
      </c>
      <c r="D566" s="1" t="s">
        <v>7</v>
      </c>
      <c r="E566" s="1" t="s">
        <v>6</v>
      </c>
      <c r="F566" s="1" t="s">
        <v>2693</v>
      </c>
      <c r="G566" s="1" t="s">
        <v>4865</v>
      </c>
      <c r="H566" s="1" t="s">
        <v>44</v>
      </c>
      <c r="I566" s="17">
        <v>41275</v>
      </c>
    </row>
    <row r="567" spans="1:10">
      <c r="A567" s="16" t="s">
        <v>4905</v>
      </c>
      <c r="B567" s="1" t="s">
        <v>2631</v>
      </c>
      <c r="C567" s="1">
        <v>121</v>
      </c>
      <c r="D567" s="1" t="s">
        <v>7</v>
      </c>
      <c r="E567" s="1" t="s">
        <v>6</v>
      </c>
      <c r="F567" s="1" t="s">
        <v>2693</v>
      </c>
      <c r="G567" s="1" t="s">
        <v>5</v>
      </c>
      <c r="H567" s="1" t="s">
        <v>5</v>
      </c>
      <c r="I567" s="17">
        <v>41275</v>
      </c>
      <c r="J567" s="17"/>
    </row>
    <row r="568" spans="1:10">
      <c r="A568" s="16" t="s">
        <v>4906</v>
      </c>
      <c r="B568" s="1" t="s">
        <v>2631</v>
      </c>
      <c r="C568" s="1">
        <v>121</v>
      </c>
      <c r="D568" s="1" t="s">
        <v>7</v>
      </c>
      <c r="E568" s="1" t="s">
        <v>6</v>
      </c>
      <c r="F568" s="1" t="s">
        <v>2693</v>
      </c>
      <c r="G568" s="1" t="s">
        <v>5</v>
      </c>
      <c r="H568" s="1" t="s">
        <v>5</v>
      </c>
      <c r="I568" s="17">
        <v>41275</v>
      </c>
      <c r="J568" s="17"/>
    </row>
    <row r="569" spans="1:10">
      <c r="A569" s="16" t="s">
        <v>4907</v>
      </c>
      <c r="B569" s="1" t="s">
        <v>2631</v>
      </c>
      <c r="C569" s="1">
        <v>121</v>
      </c>
      <c r="D569" s="1" t="s">
        <v>7</v>
      </c>
      <c r="E569" s="1" t="s">
        <v>6</v>
      </c>
      <c r="F569" s="1" t="s">
        <v>2693</v>
      </c>
      <c r="G569" s="1" t="s">
        <v>5</v>
      </c>
      <c r="H569" s="1" t="s">
        <v>5</v>
      </c>
      <c r="I569" s="17">
        <v>41275</v>
      </c>
      <c r="J569" s="17"/>
    </row>
    <row r="570" spans="1:10">
      <c r="A570" s="16" t="s">
        <v>4910</v>
      </c>
      <c r="B570" s="1" t="s">
        <v>2631</v>
      </c>
      <c r="C570" s="1">
        <v>121</v>
      </c>
      <c r="D570" s="1" t="s">
        <v>7</v>
      </c>
      <c r="E570" s="1" t="s">
        <v>6</v>
      </c>
      <c r="F570" s="1" t="s">
        <v>2693</v>
      </c>
      <c r="G570" s="1" t="s">
        <v>5</v>
      </c>
      <c r="H570" s="1" t="s">
        <v>5</v>
      </c>
      <c r="I570" s="17">
        <v>41275</v>
      </c>
      <c r="J570" s="17"/>
    </row>
    <row r="571" spans="1:10">
      <c r="A571" s="16" t="s">
        <v>4911</v>
      </c>
      <c r="B571" s="1" t="s">
        <v>2631</v>
      </c>
      <c r="C571" s="1">
        <v>121</v>
      </c>
      <c r="D571" s="1" t="s">
        <v>7</v>
      </c>
      <c r="E571" s="1" t="s">
        <v>6</v>
      </c>
      <c r="F571" s="1" t="s">
        <v>2693</v>
      </c>
      <c r="G571" s="1" t="s">
        <v>5</v>
      </c>
      <c r="H571" s="1" t="s">
        <v>5</v>
      </c>
      <c r="I571" s="17">
        <v>41275</v>
      </c>
      <c r="J571" s="17"/>
    </row>
    <row r="572" spans="1:10">
      <c r="A572" s="16" t="s">
        <v>4925</v>
      </c>
      <c r="B572" s="1" t="s">
        <v>2631</v>
      </c>
      <c r="C572" s="1">
        <v>121</v>
      </c>
      <c r="D572" s="1" t="s">
        <v>7</v>
      </c>
      <c r="E572" s="1" t="s">
        <v>6</v>
      </c>
      <c r="F572" s="1" t="s">
        <v>2693</v>
      </c>
      <c r="G572" s="1" t="s">
        <v>4865</v>
      </c>
      <c r="H572" s="1" t="s">
        <v>44</v>
      </c>
      <c r="I572" s="17">
        <v>41275</v>
      </c>
    </row>
    <row r="573" spans="1:10">
      <c r="A573" s="16" t="s">
        <v>4926</v>
      </c>
      <c r="B573" s="1" t="s">
        <v>2631</v>
      </c>
      <c r="C573" s="1">
        <v>121</v>
      </c>
      <c r="D573" s="1" t="s">
        <v>7</v>
      </c>
      <c r="E573" s="1" t="s">
        <v>6</v>
      </c>
      <c r="F573" s="1" t="s">
        <v>2693</v>
      </c>
      <c r="G573" s="14" t="s">
        <v>4458</v>
      </c>
      <c r="H573" s="1" t="s">
        <v>118</v>
      </c>
      <c r="I573" s="17">
        <v>41275</v>
      </c>
    </row>
    <row r="574" spans="1:10">
      <c r="A574" s="16" t="s">
        <v>4933</v>
      </c>
      <c r="B574" s="1" t="s">
        <v>2631</v>
      </c>
      <c r="C574" s="1">
        <v>121</v>
      </c>
      <c r="D574" s="1" t="s">
        <v>7</v>
      </c>
      <c r="E574" s="1" t="s">
        <v>6</v>
      </c>
      <c r="F574" s="1" t="s">
        <v>2693</v>
      </c>
      <c r="G574" s="1" t="s">
        <v>5</v>
      </c>
      <c r="H574" s="1" t="s">
        <v>5</v>
      </c>
      <c r="I574" s="17">
        <v>41640</v>
      </c>
      <c r="J574" s="17"/>
    </row>
    <row r="575" spans="1:10">
      <c r="A575" s="16" t="s">
        <v>4935</v>
      </c>
      <c r="B575" s="1" t="s">
        <v>2631</v>
      </c>
      <c r="C575" s="1">
        <v>121</v>
      </c>
      <c r="D575" s="1" t="s">
        <v>7</v>
      </c>
      <c r="E575" s="1" t="s">
        <v>6</v>
      </c>
      <c r="F575" s="1" t="s">
        <v>2693</v>
      </c>
      <c r="G575" s="1" t="s">
        <v>5</v>
      </c>
      <c r="H575" s="1" t="s">
        <v>5</v>
      </c>
      <c r="I575" s="17">
        <v>41640</v>
      </c>
      <c r="J575" s="17"/>
    </row>
    <row r="576" spans="1:10">
      <c r="A576" s="16" t="s">
        <v>4936</v>
      </c>
      <c r="B576" s="1" t="s">
        <v>2631</v>
      </c>
      <c r="C576" s="1">
        <v>121</v>
      </c>
      <c r="D576" s="1" t="s">
        <v>7</v>
      </c>
      <c r="E576" s="1" t="s">
        <v>6</v>
      </c>
      <c r="F576" s="1" t="s">
        <v>2693</v>
      </c>
      <c r="G576" s="1" t="s">
        <v>5</v>
      </c>
      <c r="H576" s="1" t="s">
        <v>5</v>
      </c>
      <c r="I576" s="17">
        <v>41640</v>
      </c>
      <c r="J576" s="17"/>
    </row>
    <row r="577" spans="1:10">
      <c r="A577" s="16" t="s">
        <v>4956</v>
      </c>
      <c r="B577" s="1" t="s">
        <v>2631</v>
      </c>
      <c r="C577" s="1">
        <v>121</v>
      </c>
      <c r="D577" s="1" t="s">
        <v>7</v>
      </c>
      <c r="E577" s="1" t="s">
        <v>6</v>
      </c>
      <c r="F577" s="1" t="s">
        <v>2693</v>
      </c>
      <c r="G577" s="1" t="s">
        <v>4865</v>
      </c>
      <c r="H577" s="1" t="s">
        <v>44</v>
      </c>
      <c r="I577" s="17">
        <v>41640</v>
      </c>
    </row>
    <row r="578" spans="1:10">
      <c r="A578" s="16" t="s">
        <v>4957</v>
      </c>
      <c r="B578" s="1" t="s">
        <v>2631</v>
      </c>
      <c r="C578" s="1">
        <v>121</v>
      </c>
      <c r="D578" s="1" t="s">
        <v>7</v>
      </c>
      <c r="E578" s="1" t="s">
        <v>6</v>
      </c>
      <c r="F578" s="1" t="s">
        <v>2693</v>
      </c>
      <c r="G578" s="1" t="s">
        <v>5</v>
      </c>
      <c r="H578" s="1" t="s">
        <v>5</v>
      </c>
      <c r="I578" s="17">
        <v>41640</v>
      </c>
      <c r="J578" s="17"/>
    </row>
    <row r="579" spans="1:10">
      <c r="A579" s="16" t="s">
        <v>4961</v>
      </c>
      <c r="B579" s="1" t="s">
        <v>2631</v>
      </c>
      <c r="C579" s="1">
        <v>121</v>
      </c>
      <c r="D579" s="1" t="s">
        <v>7</v>
      </c>
      <c r="E579" s="1" t="s">
        <v>6</v>
      </c>
      <c r="F579" s="1" t="s">
        <v>2693</v>
      </c>
      <c r="G579" s="1" t="s">
        <v>5</v>
      </c>
      <c r="H579" s="1" t="s">
        <v>5</v>
      </c>
      <c r="I579" s="17">
        <v>41640</v>
      </c>
      <c r="J579" s="17"/>
    </row>
    <row r="580" spans="1:10">
      <c r="A580" s="16" t="s">
        <v>4997</v>
      </c>
      <c r="B580" s="1" t="s">
        <v>2631</v>
      </c>
      <c r="C580" s="1">
        <v>121</v>
      </c>
      <c r="D580" s="1" t="s">
        <v>7</v>
      </c>
      <c r="E580" s="1" t="s">
        <v>6</v>
      </c>
      <c r="F580" s="1" t="s">
        <v>118</v>
      </c>
      <c r="G580" s="14" t="s">
        <v>4458</v>
      </c>
      <c r="H580" s="1" t="s">
        <v>118</v>
      </c>
      <c r="I580" s="1" t="s">
        <v>4792</v>
      </c>
    </row>
    <row r="581" spans="1:10">
      <c r="A581" s="16" t="s">
        <v>4998</v>
      </c>
      <c r="B581" s="1" t="s">
        <v>2631</v>
      </c>
      <c r="C581" s="1">
        <v>121</v>
      </c>
      <c r="D581" s="1" t="s">
        <v>7</v>
      </c>
      <c r="E581" s="1" t="s">
        <v>6</v>
      </c>
      <c r="F581" s="1" t="s">
        <v>118</v>
      </c>
      <c r="G581" s="14" t="s">
        <v>4458</v>
      </c>
      <c r="H581" s="1" t="s">
        <v>118</v>
      </c>
      <c r="I581" s="1" t="s">
        <v>4792</v>
      </c>
    </row>
    <row r="582" spans="1:10">
      <c r="A582" s="16" t="s">
        <v>4999</v>
      </c>
      <c r="B582" s="1" t="s">
        <v>2631</v>
      </c>
      <c r="C582" s="1">
        <v>121</v>
      </c>
      <c r="D582" s="1" t="s">
        <v>7</v>
      </c>
      <c r="E582" s="1" t="s">
        <v>6</v>
      </c>
      <c r="F582" s="1" t="s">
        <v>118</v>
      </c>
      <c r="G582" s="14" t="s">
        <v>4458</v>
      </c>
      <c r="H582" s="1" t="s">
        <v>118</v>
      </c>
      <c r="I582" s="1" t="s">
        <v>4792</v>
      </c>
    </row>
    <row r="583" spans="1:10">
      <c r="A583" s="16" t="s">
        <v>5000</v>
      </c>
      <c r="B583" s="1" t="s">
        <v>2631</v>
      </c>
      <c r="C583" s="1">
        <v>121</v>
      </c>
      <c r="D583" s="1" t="s">
        <v>7</v>
      </c>
      <c r="E583" s="1" t="s">
        <v>6</v>
      </c>
      <c r="F583" s="1" t="s">
        <v>118</v>
      </c>
      <c r="G583" s="14" t="s">
        <v>4458</v>
      </c>
      <c r="H583" s="1" t="s">
        <v>118</v>
      </c>
      <c r="I583" s="1" t="s">
        <v>4792</v>
      </c>
    </row>
    <row r="584" spans="1:10">
      <c r="A584" s="16" t="s">
        <v>5001</v>
      </c>
      <c r="B584" s="1" t="s">
        <v>2631</v>
      </c>
      <c r="C584" s="1">
        <v>121</v>
      </c>
      <c r="D584" s="1" t="s">
        <v>7</v>
      </c>
      <c r="E584" s="1" t="s">
        <v>6</v>
      </c>
      <c r="F584" s="1" t="s">
        <v>118</v>
      </c>
      <c r="G584" s="14" t="s">
        <v>4458</v>
      </c>
      <c r="H584" s="1" t="s">
        <v>118</v>
      </c>
      <c r="I584" s="1" t="s">
        <v>4792</v>
      </c>
    </row>
    <row r="585" spans="1:10">
      <c r="A585" s="16" t="s">
        <v>5002</v>
      </c>
      <c r="B585" s="1" t="s">
        <v>2631</v>
      </c>
      <c r="C585" s="1">
        <v>121</v>
      </c>
      <c r="D585" s="1" t="s">
        <v>7</v>
      </c>
      <c r="E585" s="1" t="s">
        <v>6</v>
      </c>
      <c r="F585" s="1" t="s">
        <v>118</v>
      </c>
      <c r="G585" s="14" t="s">
        <v>4458</v>
      </c>
      <c r="H585" s="1" t="s">
        <v>118</v>
      </c>
      <c r="I585" s="1" t="s">
        <v>4792</v>
      </c>
    </row>
    <row r="586" spans="1:10">
      <c r="A586" s="16" t="s">
        <v>5003</v>
      </c>
      <c r="B586" s="1" t="s">
        <v>2631</v>
      </c>
      <c r="C586" s="1">
        <v>121</v>
      </c>
      <c r="D586" s="1" t="s">
        <v>7</v>
      </c>
      <c r="E586" s="1" t="s">
        <v>6</v>
      </c>
      <c r="F586" s="1" t="s">
        <v>118</v>
      </c>
      <c r="G586" s="14" t="s">
        <v>4458</v>
      </c>
      <c r="H586" s="1" t="s">
        <v>118</v>
      </c>
      <c r="I586" s="1" t="s">
        <v>4792</v>
      </c>
    </row>
    <row r="587" spans="1:10">
      <c r="A587" s="16" t="s">
        <v>5004</v>
      </c>
      <c r="B587" s="1" t="s">
        <v>2631</v>
      </c>
      <c r="C587" s="1">
        <v>121</v>
      </c>
      <c r="D587" s="1" t="s">
        <v>7</v>
      </c>
      <c r="E587" s="1" t="s">
        <v>6</v>
      </c>
      <c r="F587" s="1" t="s">
        <v>118</v>
      </c>
      <c r="G587" s="14" t="s">
        <v>4458</v>
      </c>
      <c r="H587" s="1" t="s">
        <v>118</v>
      </c>
      <c r="I587" s="1" t="s">
        <v>4792</v>
      </c>
    </row>
    <row r="588" spans="1:10">
      <c r="A588" s="16" t="s">
        <v>5005</v>
      </c>
      <c r="B588" s="1" t="s">
        <v>2631</v>
      </c>
      <c r="C588" s="1">
        <v>121</v>
      </c>
      <c r="D588" s="1" t="s">
        <v>7</v>
      </c>
      <c r="E588" s="1" t="s">
        <v>6</v>
      </c>
      <c r="F588" s="1" t="s">
        <v>118</v>
      </c>
      <c r="G588" s="14" t="s">
        <v>4458</v>
      </c>
      <c r="H588" s="1" t="s">
        <v>118</v>
      </c>
      <c r="I588" s="1" t="s">
        <v>4792</v>
      </c>
    </row>
    <row r="589" spans="1:10">
      <c r="A589" s="16" t="s">
        <v>5006</v>
      </c>
      <c r="B589" s="1" t="s">
        <v>2631</v>
      </c>
      <c r="C589" s="1">
        <v>121</v>
      </c>
      <c r="D589" s="1" t="s">
        <v>7</v>
      </c>
      <c r="E589" s="1" t="s">
        <v>6</v>
      </c>
      <c r="F589" s="1" t="s">
        <v>118</v>
      </c>
      <c r="G589" s="14" t="s">
        <v>4458</v>
      </c>
      <c r="H589" s="1" t="s">
        <v>118</v>
      </c>
      <c r="I589" s="1" t="s">
        <v>4792</v>
      </c>
    </row>
    <row r="590" spans="1:10">
      <c r="A590" s="16" t="s">
        <v>5007</v>
      </c>
      <c r="B590" s="1" t="s">
        <v>2631</v>
      </c>
      <c r="C590" s="1">
        <v>121</v>
      </c>
      <c r="D590" s="1" t="s">
        <v>7</v>
      </c>
      <c r="E590" s="1" t="s">
        <v>6</v>
      </c>
      <c r="F590" s="1" t="s">
        <v>118</v>
      </c>
      <c r="G590" s="14" t="s">
        <v>4458</v>
      </c>
      <c r="H590" s="1" t="s">
        <v>118</v>
      </c>
      <c r="I590" s="1" t="s">
        <v>4792</v>
      </c>
    </row>
    <row r="591" spans="1:10">
      <c r="A591" s="16" t="s">
        <v>5008</v>
      </c>
      <c r="B591" s="1" t="s">
        <v>2631</v>
      </c>
      <c r="C591" s="1">
        <v>121</v>
      </c>
      <c r="D591" s="1" t="s">
        <v>7</v>
      </c>
      <c r="E591" s="1" t="s">
        <v>6</v>
      </c>
      <c r="F591" s="1" t="s">
        <v>118</v>
      </c>
      <c r="G591" s="14" t="s">
        <v>4458</v>
      </c>
      <c r="H591" s="1" t="s">
        <v>118</v>
      </c>
      <c r="I591" s="1" t="s">
        <v>4792</v>
      </c>
    </row>
    <row r="592" spans="1:10">
      <c r="A592" s="16" t="s">
        <v>5010</v>
      </c>
      <c r="B592" s="1" t="s">
        <v>2631</v>
      </c>
      <c r="C592" s="1">
        <v>121</v>
      </c>
      <c r="D592" s="1" t="s">
        <v>7</v>
      </c>
      <c r="E592" s="1" t="s">
        <v>6</v>
      </c>
      <c r="F592" s="1" t="s">
        <v>118</v>
      </c>
      <c r="G592" s="14" t="s">
        <v>4458</v>
      </c>
      <c r="H592" s="1" t="s">
        <v>118</v>
      </c>
      <c r="I592" s="1" t="s">
        <v>4792</v>
      </c>
    </row>
    <row r="593" spans="1:9">
      <c r="A593" s="16" t="s">
        <v>5013</v>
      </c>
      <c r="B593" s="1" t="s">
        <v>2631</v>
      </c>
      <c r="C593" s="1">
        <v>121</v>
      </c>
      <c r="D593" s="1" t="s">
        <v>7</v>
      </c>
      <c r="E593" s="1" t="s">
        <v>6</v>
      </c>
      <c r="F593" s="1" t="s">
        <v>118</v>
      </c>
      <c r="G593" s="14" t="s">
        <v>4458</v>
      </c>
      <c r="H593" s="1" t="s">
        <v>118</v>
      </c>
      <c r="I593" s="1" t="s">
        <v>4792</v>
      </c>
    </row>
    <row r="594" spans="1:9">
      <c r="A594" s="16" t="s">
        <v>5014</v>
      </c>
      <c r="B594" s="1" t="s">
        <v>2631</v>
      </c>
      <c r="C594" s="1">
        <v>121</v>
      </c>
      <c r="D594" s="1" t="s">
        <v>7</v>
      </c>
      <c r="E594" s="1" t="s">
        <v>6</v>
      </c>
      <c r="F594" s="1" t="s">
        <v>118</v>
      </c>
      <c r="G594" s="14" t="s">
        <v>4458</v>
      </c>
      <c r="H594" s="1" t="s">
        <v>118</v>
      </c>
      <c r="I594" s="1" t="s">
        <v>4792</v>
      </c>
    </row>
    <row r="595" spans="1:9">
      <c r="A595" s="16" t="s">
        <v>5015</v>
      </c>
      <c r="B595" s="1" t="s">
        <v>2631</v>
      </c>
      <c r="C595" s="1">
        <v>121</v>
      </c>
      <c r="D595" s="1" t="s">
        <v>7</v>
      </c>
      <c r="E595" s="1" t="s">
        <v>6</v>
      </c>
      <c r="F595" s="1" t="s">
        <v>118</v>
      </c>
      <c r="G595" s="14" t="s">
        <v>4458</v>
      </c>
      <c r="H595" s="1" t="s">
        <v>118</v>
      </c>
      <c r="I595" s="1" t="s">
        <v>4792</v>
      </c>
    </row>
    <row r="596" spans="1:9">
      <c r="A596" s="16" t="s">
        <v>5032</v>
      </c>
      <c r="B596" s="1" t="s">
        <v>2631</v>
      </c>
      <c r="C596" s="1">
        <v>121</v>
      </c>
      <c r="D596" s="1" t="s">
        <v>7</v>
      </c>
      <c r="E596" s="1" t="s">
        <v>6</v>
      </c>
      <c r="F596" s="1" t="s">
        <v>5033</v>
      </c>
      <c r="G596" s="14" t="s">
        <v>4458</v>
      </c>
      <c r="H596" s="1" t="s">
        <v>118</v>
      </c>
      <c r="I596" s="17">
        <v>41275</v>
      </c>
    </row>
    <row r="597" spans="1:9">
      <c r="A597" s="16" t="s">
        <v>5034</v>
      </c>
      <c r="B597" s="1" t="s">
        <v>2631</v>
      </c>
      <c r="C597" s="1">
        <v>121</v>
      </c>
      <c r="D597" s="1" t="s">
        <v>7</v>
      </c>
      <c r="E597" s="1" t="s">
        <v>6</v>
      </c>
      <c r="F597" s="1" t="s">
        <v>2693</v>
      </c>
      <c r="G597" s="14" t="s">
        <v>4458</v>
      </c>
      <c r="H597" s="1" t="s">
        <v>118</v>
      </c>
      <c r="I597" s="17">
        <v>39814</v>
      </c>
    </row>
    <row r="598" spans="1:9">
      <c r="A598" s="16" t="s">
        <v>5035</v>
      </c>
      <c r="B598" s="1" t="s">
        <v>2631</v>
      </c>
      <c r="C598" s="1">
        <v>121</v>
      </c>
      <c r="D598" s="1" t="s">
        <v>7</v>
      </c>
      <c r="E598" s="1" t="s">
        <v>6</v>
      </c>
      <c r="F598" s="1" t="s">
        <v>2693</v>
      </c>
      <c r="G598" s="14" t="s">
        <v>4458</v>
      </c>
      <c r="H598" s="1" t="s">
        <v>118</v>
      </c>
      <c r="I598" s="17">
        <v>40179</v>
      </c>
    </row>
    <row r="599" spans="1:9">
      <c r="A599" s="16" t="s">
        <v>5036</v>
      </c>
      <c r="B599" s="1" t="s">
        <v>2631</v>
      </c>
      <c r="C599" s="1">
        <v>121</v>
      </c>
      <c r="D599" s="1" t="s">
        <v>7</v>
      </c>
      <c r="E599" s="1" t="s">
        <v>6</v>
      </c>
      <c r="F599" s="1" t="s">
        <v>2693</v>
      </c>
      <c r="G599" s="14" t="s">
        <v>4458</v>
      </c>
      <c r="H599" s="1" t="s">
        <v>118</v>
      </c>
      <c r="I599" s="17">
        <v>40179</v>
      </c>
    </row>
    <row r="600" spans="1:9">
      <c r="A600" s="16" t="s">
        <v>5038</v>
      </c>
      <c r="B600" s="1" t="s">
        <v>2631</v>
      </c>
      <c r="C600" s="1">
        <v>121</v>
      </c>
      <c r="D600" s="1" t="s">
        <v>7</v>
      </c>
      <c r="E600" s="1" t="s">
        <v>6</v>
      </c>
      <c r="F600" s="1" t="s">
        <v>2573</v>
      </c>
      <c r="G600" s="14" t="s">
        <v>4458</v>
      </c>
      <c r="H600" s="1" t="s">
        <v>118</v>
      </c>
      <c r="I600" s="17">
        <v>37681</v>
      </c>
    </row>
    <row r="601" spans="1:9">
      <c r="A601" s="16" t="s">
        <v>5039</v>
      </c>
      <c r="B601" s="1" t="s">
        <v>2631</v>
      </c>
      <c r="C601" s="1">
        <v>121</v>
      </c>
      <c r="D601" s="1" t="s">
        <v>7</v>
      </c>
      <c r="E601" s="1" t="s">
        <v>6</v>
      </c>
      <c r="F601" s="1" t="s">
        <v>2573</v>
      </c>
      <c r="G601" s="14" t="s">
        <v>4458</v>
      </c>
      <c r="H601" s="1" t="s">
        <v>118</v>
      </c>
      <c r="I601" s="17">
        <v>37681</v>
      </c>
    </row>
    <row r="602" spans="1:9">
      <c r="A602" s="16" t="s">
        <v>2677</v>
      </c>
      <c r="B602" s="1" t="s">
        <v>2631</v>
      </c>
      <c r="C602" s="1">
        <v>121</v>
      </c>
      <c r="D602" s="1" t="s">
        <v>7</v>
      </c>
      <c r="E602" s="1" t="s">
        <v>6</v>
      </c>
      <c r="F602" s="1" t="s">
        <v>2573</v>
      </c>
      <c r="G602" s="14" t="s">
        <v>4458</v>
      </c>
      <c r="H602" s="1" t="s">
        <v>118</v>
      </c>
      <c r="I602" s="17">
        <v>37681</v>
      </c>
    </row>
    <row r="603" spans="1:9">
      <c r="A603" s="16" t="s">
        <v>5041</v>
      </c>
      <c r="B603" s="1" t="s">
        <v>2631</v>
      </c>
      <c r="C603" s="1">
        <v>121</v>
      </c>
      <c r="D603" s="1" t="s">
        <v>7</v>
      </c>
      <c r="E603" s="1" t="s">
        <v>6</v>
      </c>
      <c r="F603" s="1" t="s">
        <v>2573</v>
      </c>
      <c r="G603" s="14" t="s">
        <v>4458</v>
      </c>
      <c r="H603" s="1" t="s">
        <v>118</v>
      </c>
      <c r="I603" s="17">
        <v>35065</v>
      </c>
    </row>
    <row r="604" spans="1:9">
      <c r="A604" s="16" t="s">
        <v>2678</v>
      </c>
      <c r="B604" s="1" t="s">
        <v>2631</v>
      </c>
      <c r="C604" s="1">
        <v>121</v>
      </c>
      <c r="D604" s="1" t="s">
        <v>7</v>
      </c>
      <c r="E604" s="1" t="s">
        <v>6</v>
      </c>
      <c r="F604" s="1" t="s">
        <v>2573</v>
      </c>
      <c r="G604" s="14" t="s">
        <v>4458</v>
      </c>
      <c r="H604" s="1" t="s">
        <v>118</v>
      </c>
      <c r="I604" s="17">
        <v>35370</v>
      </c>
    </row>
    <row r="605" spans="1:9">
      <c r="A605" s="16" t="s">
        <v>2679</v>
      </c>
      <c r="B605" s="1" t="s">
        <v>2631</v>
      </c>
      <c r="C605" s="1">
        <v>121</v>
      </c>
      <c r="D605" s="1" t="s">
        <v>7</v>
      </c>
      <c r="E605" s="1" t="s">
        <v>6</v>
      </c>
      <c r="F605" s="1" t="s">
        <v>2573</v>
      </c>
      <c r="G605" s="14" t="s">
        <v>4458</v>
      </c>
      <c r="H605" s="1" t="s">
        <v>118</v>
      </c>
      <c r="I605" s="17">
        <v>35217</v>
      </c>
    </row>
    <row r="606" spans="1:9">
      <c r="A606" s="16" t="s">
        <v>2681</v>
      </c>
      <c r="B606" s="1" t="s">
        <v>2631</v>
      </c>
      <c r="C606" s="1">
        <v>121</v>
      </c>
      <c r="D606" s="1" t="s">
        <v>7</v>
      </c>
      <c r="E606" s="1" t="s">
        <v>6</v>
      </c>
      <c r="F606" s="1" t="s">
        <v>2573</v>
      </c>
      <c r="G606" s="14" t="s">
        <v>4458</v>
      </c>
      <c r="H606" s="1" t="s">
        <v>118</v>
      </c>
      <c r="I606" s="17">
        <v>35156</v>
      </c>
    </row>
    <row r="607" spans="1:9">
      <c r="A607" s="16" t="s">
        <v>5042</v>
      </c>
      <c r="B607" s="1" t="s">
        <v>2631</v>
      </c>
      <c r="C607" s="1">
        <v>121</v>
      </c>
      <c r="D607" s="1" t="s">
        <v>7</v>
      </c>
      <c r="E607" s="1" t="s">
        <v>6</v>
      </c>
      <c r="F607" s="1" t="s">
        <v>5033</v>
      </c>
      <c r="G607" s="14" t="s">
        <v>4458</v>
      </c>
      <c r="H607" s="1" t="s">
        <v>118</v>
      </c>
      <c r="I607" s="17">
        <v>41852</v>
      </c>
    </row>
    <row r="608" spans="1:9">
      <c r="A608" s="16" t="s">
        <v>2682</v>
      </c>
      <c r="B608" s="1" t="s">
        <v>2631</v>
      </c>
      <c r="C608" s="1">
        <v>121</v>
      </c>
      <c r="D608" s="1" t="s">
        <v>7</v>
      </c>
      <c r="E608" s="1" t="s">
        <v>6</v>
      </c>
      <c r="F608" s="1" t="s">
        <v>2573</v>
      </c>
      <c r="G608" s="14" t="s">
        <v>4458</v>
      </c>
      <c r="H608" s="1" t="s">
        <v>118</v>
      </c>
      <c r="I608" s="17">
        <v>37591</v>
      </c>
    </row>
    <row r="609" spans="1:9">
      <c r="A609" s="16" t="s">
        <v>5043</v>
      </c>
      <c r="B609" s="1" t="s">
        <v>2631</v>
      </c>
      <c r="C609" s="1">
        <v>121</v>
      </c>
      <c r="D609" s="1" t="s">
        <v>7</v>
      </c>
      <c r="E609" s="1" t="s">
        <v>6</v>
      </c>
      <c r="F609" s="1" t="s">
        <v>2573</v>
      </c>
      <c r="G609" s="14" t="s">
        <v>4458</v>
      </c>
      <c r="H609" s="1" t="s">
        <v>118</v>
      </c>
      <c r="I609" s="17">
        <v>37591</v>
      </c>
    </row>
    <row r="610" spans="1:9">
      <c r="A610" s="16" t="s">
        <v>5044</v>
      </c>
      <c r="B610" s="1" t="s">
        <v>2631</v>
      </c>
      <c r="C610" s="1">
        <v>121</v>
      </c>
      <c r="D610" s="1" t="s">
        <v>7</v>
      </c>
      <c r="E610" s="1" t="s">
        <v>6</v>
      </c>
      <c r="F610" s="1" t="s">
        <v>2573</v>
      </c>
      <c r="G610" s="14" t="s">
        <v>4458</v>
      </c>
      <c r="H610" s="1" t="s">
        <v>118</v>
      </c>
      <c r="I610" s="17">
        <v>37561</v>
      </c>
    </row>
    <row r="611" spans="1:9">
      <c r="A611" s="16" t="s">
        <v>5045</v>
      </c>
      <c r="B611" s="1" t="s">
        <v>2631</v>
      </c>
      <c r="C611" s="1">
        <v>121</v>
      </c>
      <c r="D611" s="1" t="s">
        <v>7</v>
      </c>
      <c r="E611" s="1" t="s">
        <v>6</v>
      </c>
      <c r="F611" s="1" t="s">
        <v>2573</v>
      </c>
      <c r="G611" s="14" t="s">
        <v>4458</v>
      </c>
      <c r="H611" s="1" t="s">
        <v>118</v>
      </c>
      <c r="I611" s="17">
        <v>37681</v>
      </c>
    </row>
    <row r="612" spans="1:9">
      <c r="A612" s="16" t="s">
        <v>5046</v>
      </c>
      <c r="B612" s="1" t="s">
        <v>2631</v>
      </c>
      <c r="C612" s="1">
        <v>121</v>
      </c>
      <c r="D612" s="1" t="s">
        <v>7</v>
      </c>
      <c r="E612" s="1" t="s">
        <v>6</v>
      </c>
      <c r="F612" s="1" t="s">
        <v>2573</v>
      </c>
      <c r="G612" s="14" t="s">
        <v>4458</v>
      </c>
      <c r="H612" s="1" t="s">
        <v>118</v>
      </c>
      <c r="I612" s="17">
        <v>38047</v>
      </c>
    </row>
    <row r="613" spans="1:9">
      <c r="A613" s="16" t="s">
        <v>2684</v>
      </c>
      <c r="B613" s="1" t="s">
        <v>2631</v>
      </c>
      <c r="C613" s="1">
        <v>121</v>
      </c>
      <c r="D613" s="1" t="s">
        <v>7</v>
      </c>
      <c r="E613" s="1" t="s">
        <v>6</v>
      </c>
      <c r="F613" s="1" t="s">
        <v>2573</v>
      </c>
      <c r="G613" s="14" t="s">
        <v>4458</v>
      </c>
      <c r="H613" s="1" t="s">
        <v>118</v>
      </c>
      <c r="I613" s="17">
        <v>37561</v>
      </c>
    </row>
    <row r="614" spans="1:9">
      <c r="A614" s="16" t="s">
        <v>5049</v>
      </c>
      <c r="B614" s="1" t="s">
        <v>2631</v>
      </c>
      <c r="C614" s="1">
        <v>121</v>
      </c>
      <c r="D614" s="1" t="s">
        <v>7</v>
      </c>
      <c r="E614" s="1" t="s">
        <v>6</v>
      </c>
      <c r="F614" s="1" t="s">
        <v>2573</v>
      </c>
      <c r="G614" s="14" t="s">
        <v>4458</v>
      </c>
      <c r="H614" s="1" t="s">
        <v>118</v>
      </c>
      <c r="I614" s="17">
        <v>41760</v>
      </c>
    </row>
    <row r="615" spans="1:9">
      <c r="A615" s="16" t="s">
        <v>5050</v>
      </c>
      <c r="B615" s="1" t="s">
        <v>2631</v>
      </c>
      <c r="C615" s="1">
        <v>121</v>
      </c>
      <c r="D615" s="1" t="s">
        <v>7</v>
      </c>
      <c r="E615" s="1" t="s">
        <v>6</v>
      </c>
      <c r="F615" s="1" t="s">
        <v>2573</v>
      </c>
      <c r="G615" s="14" t="s">
        <v>4458</v>
      </c>
      <c r="H615" s="1" t="s">
        <v>118</v>
      </c>
      <c r="I615" s="17">
        <v>41821</v>
      </c>
    </row>
    <row r="616" spans="1:9">
      <c r="A616" s="16" t="s">
        <v>5051</v>
      </c>
      <c r="B616" s="1" t="s">
        <v>2631</v>
      </c>
      <c r="C616" s="1">
        <v>121</v>
      </c>
      <c r="D616" s="1" t="s">
        <v>7</v>
      </c>
      <c r="E616" s="1" t="s">
        <v>6</v>
      </c>
      <c r="F616" s="1" t="s">
        <v>2573</v>
      </c>
      <c r="G616" s="14" t="s">
        <v>4458</v>
      </c>
      <c r="H616" s="1" t="s">
        <v>118</v>
      </c>
      <c r="I616" s="17">
        <v>41821</v>
      </c>
    </row>
    <row r="617" spans="1:9">
      <c r="A617" s="16" t="s">
        <v>5052</v>
      </c>
      <c r="B617" s="1" t="s">
        <v>2631</v>
      </c>
      <c r="C617" s="1">
        <v>121</v>
      </c>
      <c r="D617" s="1" t="s">
        <v>7</v>
      </c>
      <c r="E617" s="1" t="s">
        <v>6</v>
      </c>
      <c r="F617" s="1" t="s">
        <v>2573</v>
      </c>
      <c r="G617" s="14" t="s">
        <v>4458</v>
      </c>
      <c r="H617" s="1" t="s">
        <v>118</v>
      </c>
      <c r="I617" s="17">
        <v>41852</v>
      </c>
    </row>
    <row r="618" spans="1:9">
      <c r="A618" s="16" t="s">
        <v>5053</v>
      </c>
      <c r="B618" s="1" t="s">
        <v>2631</v>
      </c>
      <c r="C618" s="1">
        <v>121</v>
      </c>
      <c r="D618" s="1" t="s">
        <v>7</v>
      </c>
      <c r="E618" s="1" t="s">
        <v>6</v>
      </c>
      <c r="F618" s="1" t="s">
        <v>2573</v>
      </c>
      <c r="G618" s="14" t="s">
        <v>4458</v>
      </c>
      <c r="H618" s="1" t="s">
        <v>118</v>
      </c>
      <c r="I618" s="17">
        <v>41852</v>
      </c>
    </row>
    <row r="619" spans="1:9">
      <c r="A619" s="16" t="s">
        <v>5054</v>
      </c>
      <c r="B619" s="1" t="s">
        <v>2631</v>
      </c>
      <c r="C619" s="1">
        <v>121</v>
      </c>
      <c r="D619" s="1" t="s">
        <v>7</v>
      </c>
      <c r="E619" s="1" t="s">
        <v>6</v>
      </c>
      <c r="F619" s="1" t="s">
        <v>2573</v>
      </c>
      <c r="G619" s="14" t="s">
        <v>4458</v>
      </c>
      <c r="H619" s="1" t="s">
        <v>118</v>
      </c>
      <c r="I619" s="17">
        <v>41883</v>
      </c>
    </row>
    <row r="620" spans="1:9">
      <c r="A620" s="16" t="s">
        <v>5055</v>
      </c>
      <c r="B620" s="1" t="s">
        <v>2631</v>
      </c>
      <c r="C620" s="1">
        <v>121</v>
      </c>
      <c r="D620" s="1" t="s">
        <v>7</v>
      </c>
      <c r="E620" s="1" t="s">
        <v>6</v>
      </c>
      <c r="F620" s="1" t="s">
        <v>2573</v>
      </c>
      <c r="G620" s="14" t="s">
        <v>4458</v>
      </c>
      <c r="H620" s="1" t="s">
        <v>118</v>
      </c>
      <c r="I620" s="17">
        <v>41944</v>
      </c>
    </row>
    <row r="621" spans="1:9">
      <c r="A621" s="16" t="s">
        <v>5056</v>
      </c>
      <c r="B621" s="1" t="s">
        <v>2631</v>
      </c>
      <c r="C621" s="1">
        <v>121</v>
      </c>
      <c r="D621" s="1" t="s">
        <v>7</v>
      </c>
      <c r="E621" s="1" t="s">
        <v>6</v>
      </c>
      <c r="F621" s="1" t="s">
        <v>2573</v>
      </c>
      <c r="G621" s="14" t="s">
        <v>4458</v>
      </c>
      <c r="H621" s="1" t="s">
        <v>118</v>
      </c>
      <c r="I621" s="17">
        <v>41671</v>
      </c>
    </row>
    <row r="622" spans="1:9">
      <c r="A622" s="16" t="s">
        <v>5057</v>
      </c>
      <c r="B622" s="1" t="s">
        <v>2631</v>
      </c>
      <c r="C622" s="1">
        <v>121</v>
      </c>
      <c r="D622" s="1" t="s">
        <v>7</v>
      </c>
      <c r="E622" s="1" t="s">
        <v>6</v>
      </c>
      <c r="F622" s="1" t="s">
        <v>2573</v>
      </c>
      <c r="G622" s="14" t="s">
        <v>4458</v>
      </c>
      <c r="H622" s="1" t="s">
        <v>118</v>
      </c>
      <c r="I622" s="17">
        <v>41395</v>
      </c>
    </row>
    <row r="623" spans="1:9">
      <c r="A623" s="16" t="s">
        <v>5058</v>
      </c>
      <c r="B623" s="1" t="s">
        <v>2631</v>
      </c>
      <c r="C623" s="1">
        <v>121</v>
      </c>
      <c r="D623" s="1" t="s">
        <v>7</v>
      </c>
      <c r="E623" s="1" t="s">
        <v>6</v>
      </c>
      <c r="F623" s="1" t="s">
        <v>2573</v>
      </c>
      <c r="G623" s="14" t="s">
        <v>4458</v>
      </c>
      <c r="H623" s="1" t="s">
        <v>118</v>
      </c>
      <c r="I623" s="17">
        <v>41609</v>
      </c>
    </row>
    <row r="624" spans="1:9">
      <c r="A624" s="16" t="s">
        <v>5059</v>
      </c>
      <c r="B624" s="1" t="s">
        <v>2631</v>
      </c>
      <c r="C624" s="1">
        <v>121</v>
      </c>
      <c r="D624" s="1" t="s">
        <v>7</v>
      </c>
      <c r="E624" s="1" t="s">
        <v>6</v>
      </c>
      <c r="F624" s="1" t="s">
        <v>2573</v>
      </c>
      <c r="G624" s="14" t="s">
        <v>4458</v>
      </c>
      <c r="H624" s="1" t="s">
        <v>118</v>
      </c>
      <c r="I624" s="17">
        <v>41699</v>
      </c>
    </row>
    <row r="625" spans="1:10">
      <c r="A625" s="16" t="s">
        <v>5060</v>
      </c>
      <c r="B625" s="1" t="s">
        <v>2631</v>
      </c>
      <c r="C625" s="1">
        <v>121</v>
      </c>
      <c r="D625" s="1" t="s">
        <v>7</v>
      </c>
      <c r="E625" s="1" t="s">
        <v>6</v>
      </c>
      <c r="F625" s="1" t="s">
        <v>2573</v>
      </c>
      <c r="G625" s="14" t="s">
        <v>4458</v>
      </c>
      <c r="H625" s="1" t="s">
        <v>118</v>
      </c>
      <c r="I625" s="17">
        <v>41760</v>
      </c>
    </row>
    <row r="626" spans="1:10">
      <c r="A626" s="16" t="s">
        <v>5061</v>
      </c>
      <c r="B626" s="1" t="s">
        <v>2631</v>
      </c>
      <c r="C626" s="1">
        <v>121</v>
      </c>
      <c r="D626" s="1" t="s">
        <v>7</v>
      </c>
      <c r="E626" s="1" t="s">
        <v>6</v>
      </c>
      <c r="F626" s="1" t="s">
        <v>2573</v>
      </c>
      <c r="G626" s="14" t="s">
        <v>4458</v>
      </c>
      <c r="H626" s="1" t="s">
        <v>118</v>
      </c>
      <c r="I626" s="17">
        <v>41821</v>
      </c>
    </row>
    <row r="627" spans="1:10">
      <c r="A627" s="16" t="s">
        <v>5062</v>
      </c>
      <c r="B627" s="1" t="s">
        <v>2631</v>
      </c>
      <c r="C627" s="1">
        <v>121</v>
      </c>
      <c r="D627" s="1" t="s">
        <v>7</v>
      </c>
      <c r="E627" s="1" t="s">
        <v>6</v>
      </c>
      <c r="F627" s="1" t="s">
        <v>2573</v>
      </c>
      <c r="G627" s="14" t="s">
        <v>4458</v>
      </c>
      <c r="H627" s="1" t="s">
        <v>118</v>
      </c>
      <c r="I627" s="17">
        <v>41821</v>
      </c>
    </row>
    <row r="628" spans="1:10">
      <c r="A628" s="16" t="s">
        <v>5063</v>
      </c>
      <c r="B628" s="1" t="s">
        <v>2631</v>
      </c>
      <c r="C628" s="1">
        <v>121</v>
      </c>
      <c r="D628" s="1" t="s">
        <v>7</v>
      </c>
      <c r="E628" s="1" t="s">
        <v>6</v>
      </c>
      <c r="F628" s="1" t="s">
        <v>2573</v>
      </c>
      <c r="G628" s="14" t="s">
        <v>4458</v>
      </c>
      <c r="H628" s="1" t="s">
        <v>118</v>
      </c>
      <c r="I628" s="17">
        <v>41883</v>
      </c>
    </row>
    <row r="629" spans="1:10">
      <c r="A629" s="16" t="s">
        <v>5064</v>
      </c>
      <c r="B629" s="1" t="s">
        <v>2631</v>
      </c>
      <c r="C629" s="1">
        <v>121</v>
      </c>
      <c r="D629" s="1" t="s">
        <v>7</v>
      </c>
      <c r="E629" s="1" t="s">
        <v>6</v>
      </c>
      <c r="F629" s="1" t="s">
        <v>2573</v>
      </c>
      <c r="G629" s="14" t="s">
        <v>4458</v>
      </c>
      <c r="H629" s="1" t="s">
        <v>118</v>
      </c>
      <c r="I629" s="17">
        <v>41944</v>
      </c>
    </row>
    <row r="630" spans="1:10">
      <c r="A630" s="16" t="s">
        <v>5065</v>
      </c>
      <c r="B630" s="1" t="s">
        <v>2631</v>
      </c>
      <c r="C630" s="1">
        <v>121</v>
      </c>
      <c r="D630" s="1" t="s">
        <v>7</v>
      </c>
      <c r="E630" s="1" t="s">
        <v>6</v>
      </c>
      <c r="F630" s="1" t="s">
        <v>2573</v>
      </c>
      <c r="G630" s="14" t="s">
        <v>4458</v>
      </c>
      <c r="H630" s="1" t="s">
        <v>118</v>
      </c>
      <c r="I630" s="17">
        <v>41944</v>
      </c>
    </row>
    <row r="631" spans="1:10">
      <c r="A631" s="16" t="s">
        <v>5066</v>
      </c>
      <c r="B631" s="1" t="s">
        <v>2631</v>
      </c>
      <c r="C631" s="1">
        <v>121</v>
      </c>
      <c r="D631" s="1" t="s">
        <v>7</v>
      </c>
      <c r="E631" s="1" t="s">
        <v>6</v>
      </c>
      <c r="F631" s="1" t="s">
        <v>2573</v>
      </c>
      <c r="G631" s="14" t="s">
        <v>4458</v>
      </c>
      <c r="H631" s="1" t="s">
        <v>118</v>
      </c>
      <c r="I631" s="17">
        <v>41395</v>
      </c>
    </row>
    <row r="632" spans="1:10">
      <c r="A632" s="16" t="s">
        <v>5067</v>
      </c>
      <c r="B632" s="1" t="s">
        <v>2631</v>
      </c>
      <c r="C632" s="1">
        <v>121</v>
      </c>
      <c r="D632" s="1" t="s">
        <v>7</v>
      </c>
      <c r="E632" s="1" t="s">
        <v>6</v>
      </c>
      <c r="F632" s="1" t="s">
        <v>2573</v>
      </c>
      <c r="G632" s="14" t="s">
        <v>4458</v>
      </c>
      <c r="H632" s="1" t="s">
        <v>118</v>
      </c>
      <c r="I632" s="17">
        <v>41487</v>
      </c>
    </row>
    <row r="633" spans="1:10">
      <c r="A633" s="16" t="s">
        <v>5068</v>
      </c>
      <c r="B633" s="1" t="s">
        <v>2631</v>
      </c>
      <c r="C633" s="1">
        <v>121</v>
      </c>
      <c r="D633" s="1" t="s">
        <v>7</v>
      </c>
      <c r="E633" s="1" t="s">
        <v>6</v>
      </c>
      <c r="F633" s="1" t="s">
        <v>2573</v>
      </c>
      <c r="G633" s="14" t="s">
        <v>4458</v>
      </c>
      <c r="H633" s="1" t="s">
        <v>118</v>
      </c>
      <c r="I633" s="17">
        <v>41518</v>
      </c>
    </row>
    <row r="634" spans="1:10">
      <c r="A634" s="16" t="s">
        <v>5069</v>
      </c>
      <c r="B634" s="1" t="s">
        <v>2631</v>
      </c>
      <c r="C634" s="1">
        <v>121</v>
      </c>
      <c r="D634" s="1" t="s">
        <v>7</v>
      </c>
      <c r="E634" s="1" t="s">
        <v>6</v>
      </c>
      <c r="F634" s="1" t="s">
        <v>2573</v>
      </c>
      <c r="G634" s="14" t="s">
        <v>4458</v>
      </c>
      <c r="H634" s="1" t="s">
        <v>118</v>
      </c>
      <c r="I634" s="17">
        <v>41518</v>
      </c>
    </row>
    <row r="635" spans="1:10">
      <c r="A635" s="16" t="s">
        <v>5076</v>
      </c>
      <c r="B635" s="1" t="s">
        <v>2631</v>
      </c>
      <c r="C635" s="1">
        <v>121</v>
      </c>
      <c r="D635" s="1" t="s">
        <v>7</v>
      </c>
      <c r="E635" s="1" t="s">
        <v>6</v>
      </c>
      <c r="F635" s="1" t="s">
        <v>2573</v>
      </c>
      <c r="G635" s="1" t="s">
        <v>5071</v>
      </c>
      <c r="H635" s="1" t="s">
        <v>118</v>
      </c>
      <c r="I635" s="17">
        <v>38718</v>
      </c>
    </row>
    <row r="636" spans="1:10">
      <c r="A636" s="16" t="s">
        <v>5081</v>
      </c>
      <c r="B636" s="1" t="s">
        <v>2631</v>
      </c>
      <c r="C636" s="1">
        <v>121</v>
      </c>
      <c r="D636" s="1" t="s">
        <v>7</v>
      </c>
      <c r="E636" s="1" t="s">
        <v>6</v>
      </c>
      <c r="F636" s="1" t="s">
        <v>2573</v>
      </c>
      <c r="G636" s="1" t="s">
        <v>5071</v>
      </c>
      <c r="H636" s="1" t="s">
        <v>118</v>
      </c>
      <c r="I636" s="17">
        <v>40179</v>
      </c>
      <c r="J636" s="11"/>
    </row>
    <row r="637" spans="1:10">
      <c r="A637" s="16" t="s">
        <v>5082</v>
      </c>
      <c r="B637" s="1" t="s">
        <v>2631</v>
      </c>
      <c r="C637" s="1">
        <v>121</v>
      </c>
      <c r="D637" s="1" t="s">
        <v>7</v>
      </c>
      <c r="E637" s="1" t="s">
        <v>6</v>
      </c>
      <c r="F637" s="1" t="s">
        <v>2573</v>
      </c>
      <c r="G637" s="1" t="s">
        <v>5071</v>
      </c>
      <c r="H637" s="1" t="s">
        <v>118</v>
      </c>
      <c r="I637" s="17">
        <v>41275</v>
      </c>
    </row>
    <row r="638" spans="1:10">
      <c r="A638" s="16" t="s">
        <v>5083</v>
      </c>
      <c r="B638" s="1" t="s">
        <v>2631</v>
      </c>
      <c r="C638" s="1">
        <v>236</v>
      </c>
      <c r="D638" s="1" t="s">
        <v>7</v>
      </c>
      <c r="E638" s="1" t="s">
        <v>6</v>
      </c>
      <c r="F638" s="1" t="s">
        <v>2573</v>
      </c>
      <c r="G638" s="1" t="s">
        <v>5071</v>
      </c>
      <c r="H638" s="1" t="s">
        <v>118</v>
      </c>
      <c r="I638" s="17">
        <v>41640</v>
      </c>
    </row>
    <row r="639" spans="1:10" s="11" customFormat="1">
      <c r="A639" s="7" t="s">
        <v>5095</v>
      </c>
      <c r="B639" s="2" t="s">
        <v>2631</v>
      </c>
      <c r="C639" s="1">
        <v>121</v>
      </c>
      <c r="D639" s="1" t="s">
        <v>7</v>
      </c>
      <c r="E639" s="1" t="s">
        <v>6</v>
      </c>
      <c r="F639" s="1" t="s">
        <v>2691</v>
      </c>
      <c r="G639" s="14" t="s">
        <v>5088</v>
      </c>
      <c r="H639" s="1" t="s">
        <v>43</v>
      </c>
      <c r="I639" s="1" t="s">
        <v>5092</v>
      </c>
      <c r="J639"/>
    </row>
    <row r="640" spans="1:10" s="11" customFormat="1">
      <c r="A640" s="7" t="s">
        <v>5096</v>
      </c>
      <c r="B640" s="2" t="s">
        <v>2631</v>
      </c>
      <c r="C640" s="1">
        <v>121</v>
      </c>
      <c r="D640" s="1" t="s">
        <v>7</v>
      </c>
      <c r="E640" s="1" t="s">
        <v>6</v>
      </c>
      <c r="F640" s="1" t="s">
        <v>2691</v>
      </c>
      <c r="G640" s="14" t="s">
        <v>5088</v>
      </c>
      <c r="H640" s="1" t="s">
        <v>43</v>
      </c>
      <c r="I640" s="1" t="s">
        <v>5092</v>
      </c>
      <c r="J640"/>
    </row>
    <row r="641" spans="1:10">
      <c r="A641" s="16" t="s">
        <v>5097</v>
      </c>
      <c r="B641" s="1" t="s">
        <v>2631</v>
      </c>
      <c r="C641" s="1">
        <v>121</v>
      </c>
      <c r="D641" s="1" t="s">
        <v>7</v>
      </c>
      <c r="E641" s="1" t="s">
        <v>6</v>
      </c>
      <c r="F641" s="1" t="s">
        <v>2691</v>
      </c>
      <c r="G641" s="1" t="s">
        <v>5</v>
      </c>
      <c r="H641" s="1" t="s">
        <v>5</v>
      </c>
      <c r="I641" s="17">
        <v>38353</v>
      </c>
      <c r="J641" s="17"/>
    </row>
    <row r="642" spans="1:10">
      <c r="A642" s="16" t="s">
        <v>5098</v>
      </c>
      <c r="B642" s="1" t="s">
        <v>2631</v>
      </c>
      <c r="C642" s="1">
        <v>121</v>
      </c>
      <c r="D642" s="1" t="s">
        <v>7</v>
      </c>
      <c r="E642" s="1" t="s">
        <v>6</v>
      </c>
      <c r="F642" s="1" t="s">
        <v>2691</v>
      </c>
      <c r="G642" s="1" t="s">
        <v>5</v>
      </c>
      <c r="H642" s="1" t="s">
        <v>5</v>
      </c>
      <c r="I642" s="17">
        <v>38353</v>
      </c>
      <c r="J642" s="17"/>
    </row>
    <row r="643" spans="1:10">
      <c r="A643" s="16" t="s">
        <v>5099</v>
      </c>
      <c r="B643" s="1" t="s">
        <v>2631</v>
      </c>
      <c r="C643" s="1">
        <v>121</v>
      </c>
      <c r="D643" s="1" t="s">
        <v>7</v>
      </c>
      <c r="E643" s="1" t="s">
        <v>6</v>
      </c>
      <c r="F643" s="1" t="s">
        <v>2691</v>
      </c>
      <c r="G643" s="1" t="s">
        <v>5</v>
      </c>
      <c r="H643" s="1" t="s">
        <v>5</v>
      </c>
      <c r="I643" s="17">
        <v>39448</v>
      </c>
      <c r="J643" s="17"/>
    </row>
    <row r="644" spans="1:10">
      <c r="A644" s="16" t="s">
        <v>5100</v>
      </c>
      <c r="B644" s="1" t="s">
        <v>2631</v>
      </c>
      <c r="C644" s="1">
        <v>121</v>
      </c>
      <c r="D644" s="1" t="s">
        <v>7</v>
      </c>
      <c r="E644" s="1" t="s">
        <v>6</v>
      </c>
      <c r="F644" s="1" t="s">
        <v>2691</v>
      </c>
      <c r="G644" s="1" t="s">
        <v>5</v>
      </c>
      <c r="H644" s="1" t="s">
        <v>5</v>
      </c>
      <c r="I644" s="17">
        <v>39448</v>
      </c>
      <c r="J644" s="17"/>
    </row>
    <row r="645" spans="1:10">
      <c r="A645" s="16" t="s">
        <v>5101</v>
      </c>
      <c r="B645" s="1" t="s">
        <v>2631</v>
      </c>
      <c r="C645" s="1">
        <v>121</v>
      </c>
      <c r="D645" s="1" t="s">
        <v>7</v>
      </c>
      <c r="E645" s="1" t="s">
        <v>6</v>
      </c>
      <c r="F645" s="1" t="s">
        <v>2691</v>
      </c>
      <c r="G645" s="1" t="s">
        <v>5</v>
      </c>
      <c r="H645" s="1" t="s">
        <v>5</v>
      </c>
      <c r="I645" s="17">
        <v>39448</v>
      </c>
      <c r="J645" s="17"/>
    </row>
    <row r="646" spans="1:10" s="11" customFormat="1">
      <c r="A646" s="16" t="s">
        <v>5102</v>
      </c>
      <c r="B646" s="1" t="s">
        <v>2631</v>
      </c>
      <c r="C646" s="1">
        <v>121</v>
      </c>
      <c r="D646" s="1" t="s">
        <v>7</v>
      </c>
      <c r="E646" s="1" t="s">
        <v>6</v>
      </c>
      <c r="F646" s="1" t="s">
        <v>2691</v>
      </c>
      <c r="G646" s="1" t="s">
        <v>5</v>
      </c>
      <c r="H646" s="1" t="s">
        <v>5</v>
      </c>
      <c r="I646" s="17">
        <v>39448</v>
      </c>
      <c r="J646" s="17"/>
    </row>
    <row r="647" spans="1:10" s="11" customFormat="1">
      <c r="A647" s="16" t="s">
        <v>5103</v>
      </c>
      <c r="B647" s="1" t="s">
        <v>2631</v>
      </c>
      <c r="C647" s="1">
        <v>121</v>
      </c>
      <c r="D647" s="1" t="s">
        <v>7</v>
      </c>
      <c r="E647" s="1" t="s">
        <v>6</v>
      </c>
      <c r="F647" s="1" t="s">
        <v>2691</v>
      </c>
      <c r="G647" s="1" t="s">
        <v>5</v>
      </c>
      <c r="H647" s="1" t="s">
        <v>5</v>
      </c>
      <c r="I647" s="17">
        <v>39448</v>
      </c>
      <c r="J647" s="17"/>
    </row>
    <row r="648" spans="1:10">
      <c r="A648" s="16" t="s">
        <v>5104</v>
      </c>
      <c r="B648" s="1" t="s">
        <v>2631</v>
      </c>
      <c r="C648" s="1">
        <v>121</v>
      </c>
      <c r="D648" s="1" t="s">
        <v>7</v>
      </c>
      <c r="E648" s="1" t="s">
        <v>6</v>
      </c>
      <c r="F648" s="1" t="s">
        <v>2691</v>
      </c>
      <c r="G648" s="1" t="s">
        <v>5</v>
      </c>
      <c r="H648" s="1" t="s">
        <v>5</v>
      </c>
      <c r="I648" s="17">
        <v>39448</v>
      </c>
      <c r="J648" s="17"/>
    </row>
    <row r="649" spans="1:10">
      <c r="A649" s="16" t="s">
        <v>5105</v>
      </c>
      <c r="B649" s="1" t="s">
        <v>2631</v>
      </c>
      <c r="C649" s="1">
        <v>121</v>
      </c>
      <c r="D649" s="1" t="s">
        <v>7</v>
      </c>
      <c r="E649" s="1" t="s">
        <v>6</v>
      </c>
      <c r="F649" s="1" t="s">
        <v>2691</v>
      </c>
      <c r="G649" s="1" t="s">
        <v>5</v>
      </c>
      <c r="H649" s="1" t="s">
        <v>5</v>
      </c>
      <c r="I649" s="17">
        <v>39448</v>
      </c>
      <c r="J649" s="17"/>
    </row>
    <row r="650" spans="1:10">
      <c r="A650" s="16" t="s">
        <v>5107</v>
      </c>
      <c r="B650" s="1" t="s">
        <v>2631</v>
      </c>
      <c r="C650" s="1">
        <v>121</v>
      </c>
      <c r="D650" s="1" t="s">
        <v>7</v>
      </c>
      <c r="E650" s="1" t="s">
        <v>6</v>
      </c>
      <c r="F650" s="1" t="s">
        <v>2691</v>
      </c>
      <c r="G650" s="1" t="s">
        <v>5</v>
      </c>
      <c r="H650" s="1" t="s">
        <v>5</v>
      </c>
      <c r="I650" s="17">
        <v>39814</v>
      </c>
      <c r="J650" s="17"/>
    </row>
    <row r="651" spans="1:10">
      <c r="A651" s="16" t="s">
        <v>5108</v>
      </c>
      <c r="B651" s="1" t="s">
        <v>2631</v>
      </c>
      <c r="C651" s="1">
        <v>121</v>
      </c>
      <c r="D651" s="1" t="s">
        <v>7</v>
      </c>
      <c r="E651" s="1" t="s">
        <v>6</v>
      </c>
      <c r="F651" s="1" t="s">
        <v>2691</v>
      </c>
      <c r="G651" s="1" t="s">
        <v>5</v>
      </c>
      <c r="H651" s="1" t="s">
        <v>5</v>
      </c>
      <c r="I651" s="17">
        <v>39814</v>
      </c>
      <c r="J651" s="17"/>
    </row>
    <row r="652" spans="1:10">
      <c r="A652" s="16" t="s">
        <v>5109</v>
      </c>
      <c r="B652" s="1" t="s">
        <v>2631</v>
      </c>
      <c r="C652" s="1">
        <v>121</v>
      </c>
      <c r="D652" s="1" t="s">
        <v>7</v>
      </c>
      <c r="E652" s="1" t="s">
        <v>6</v>
      </c>
      <c r="F652" s="1" t="s">
        <v>2691</v>
      </c>
      <c r="G652" s="1" t="s">
        <v>5</v>
      </c>
      <c r="H652" s="1" t="s">
        <v>5</v>
      </c>
      <c r="I652" s="17">
        <v>39814</v>
      </c>
      <c r="J652" s="17"/>
    </row>
    <row r="653" spans="1:10">
      <c r="A653" s="16" t="s">
        <v>5110</v>
      </c>
      <c r="B653" s="1" t="s">
        <v>2631</v>
      </c>
      <c r="C653" s="1">
        <v>121</v>
      </c>
      <c r="D653" s="1" t="s">
        <v>7</v>
      </c>
      <c r="E653" s="1" t="s">
        <v>6</v>
      </c>
      <c r="F653" s="1" t="s">
        <v>2691</v>
      </c>
      <c r="G653" s="1" t="s">
        <v>5</v>
      </c>
      <c r="H653" s="1" t="s">
        <v>5</v>
      </c>
      <c r="I653" s="17">
        <v>39814</v>
      </c>
      <c r="J653" s="17"/>
    </row>
    <row r="654" spans="1:10">
      <c r="A654" s="16" t="s">
        <v>5111</v>
      </c>
      <c r="B654" s="1" t="s">
        <v>2631</v>
      </c>
      <c r="C654" s="1">
        <v>121</v>
      </c>
      <c r="D654" s="1" t="s">
        <v>7</v>
      </c>
      <c r="E654" s="1" t="s">
        <v>6</v>
      </c>
      <c r="F654" s="1" t="s">
        <v>2691</v>
      </c>
      <c r="G654" s="1" t="s">
        <v>5</v>
      </c>
      <c r="H654" s="1" t="s">
        <v>5</v>
      </c>
      <c r="I654" s="17">
        <v>39814</v>
      </c>
      <c r="J654" s="17"/>
    </row>
    <row r="655" spans="1:10">
      <c r="A655" s="16" t="s">
        <v>5112</v>
      </c>
      <c r="B655" s="1" t="s">
        <v>2631</v>
      </c>
      <c r="C655" s="1">
        <v>121</v>
      </c>
      <c r="D655" s="1" t="s">
        <v>7</v>
      </c>
      <c r="E655" s="1" t="s">
        <v>6</v>
      </c>
      <c r="F655" s="1" t="s">
        <v>2691</v>
      </c>
      <c r="G655" s="1" t="s">
        <v>5</v>
      </c>
      <c r="H655" s="1" t="s">
        <v>5</v>
      </c>
      <c r="I655" s="17">
        <v>39814</v>
      </c>
      <c r="J655" s="17"/>
    </row>
    <row r="656" spans="1:10">
      <c r="A656" s="16" t="s">
        <v>5114</v>
      </c>
      <c r="B656" s="1" t="s">
        <v>2631</v>
      </c>
      <c r="C656" s="1">
        <v>121</v>
      </c>
      <c r="D656" s="1" t="s">
        <v>7</v>
      </c>
      <c r="E656" s="1" t="s">
        <v>6</v>
      </c>
      <c r="F656" s="1" t="s">
        <v>2691</v>
      </c>
      <c r="G656" s="1" t="s">
        <v>5</v>
      </c>
      <c r="H656" s="1" t="s">
        <v>5</v>
      </c>
      <c r="I656" s="17">
        <v>39814</v>
      </c>
      <c r="J656" s="17"/>
    </row>
    <row r="657" spans="1:10">
      <c r="A657" s="16" t="s">
        <v>5115</v>
      </c>
      <c r="B657" s="1" t="s">
        <v>2631</v>
      </c>
      <c r="C657" s="1">
        <v>121</v>
      </c>
      <c r="D657" s="1" t="s">
        <v>7</v>
      </c>
      <c r="E657" s="1" t="s">
        <v>6</v>
      </c>
      <c r="F657" s="1" t="s">
        <v>2691</v>
      </c>
      <c r="G657" s="1" t="s">
        <v>5</v>
      </c>
      <c r="H657" s="1" t="s">
        <v>5</v>
      </c>
      <c r="I657" s="17">
        <v>39814</v>
      </c>
      <c r="J657" s="17"/>
    </row>
    <row r="658" spans="1:10">
      <c r="A658" s="16" t="s">
        <v>5116</v>
      </c>
      <c r="B658" s="1" t="s">
        <v>2631</v>
      </c>
      <c r="C658" s="1">
        <v>121</v>
      </c>
      <c r="D658" s="1" t="s">
        <v>7</v>
      </c>
      <c r="E658" s="1" t="s">
        <v>6</v>
      </c>
      <c r="F658" s="1" t="s">
        <v>2691</v>
      </c>
      <c r="G658" s="1" t="s">
        <v>5</v>
      </c>
      <c r="H658" s="1" t="s">
        <v>5</v>
      </c>
      <c r="I658" s="17">
        <v>39814</v>
      </c>
      <c r="J658" s="17"/>
    </row>
    <row r="659" spans="1:10">
      <c r="A659" s="16" t="s">
        <v>5118</v>
      </c>
      <c r="B659" s="1" t="s">
        <v>2631</v>
      </c>
      <c r="C659" s="1">
        <v>121</v>
      </c>
      <c r="D659" s="1" t="s">
        <v>7</v>
      </c>
      <c r="E659" s="1" t="s">
        <v>6</v>
      </c>
      <c r="F659" s="1" t="s">
        <v>2691</v>
      </c>
      <c r="G659" s="1" t="s">
        <v>5</v>
      </c>
      <c r="H659" s="1" t="s">
        <v>5</v>
      </c>
      <c r="I659" s="17">
        <v>39814</v>
      </c>
      <c r="J659" s="17"/>
    </row>
    <row r="660" spans="1:10">
      <c r="A660" s="16" t="s">
        <v>5119</v>
      </c>
      <c r="B660" s="1" t="s">
        <v>2631</v>
      </c>
      <c r="C660" s="1">
        <v>121</v>
      </c>
      <c r="D660" s="1" t="s">
        <v>7</v>
      </c>
      <c r="E660" s="1" t="s">
        <v>6</v>
      </c>
      <c r="F660" s="1" t="s">
        <v>2691</v>
      </c>
      <c r="G660" s="1" t="s">
        <v>5</v>
      </c>
      <c r="H660" s="1" t="s">
        <v>5</v>
      </c>
      <c r="I660" s="17">
        <v>40179</v>
      </c>
      <c r="J660" s="17"/>
    </row>
    <row r="661" spans="1:10">
      <c r="A661" s="16" t="s">
        <v>5121</v>
      </c>
      <c r="B661" s="1" t="s">
        <v>2631</v>
      </c>
      <c r="C661" s="1">
        <v>1433</v>
      </c>
      <c r="D661" s="1" t="s">
        <v>7</v>
      </c>
      <c r="E661" s="1" t="s">
        <v>6</v>
      </c>
      <c r="F661" s="1" t="s">
        <v>2691</v>
      </c>
      <c r="G661" s="1" t="s">
        <v>5</v>
      </c>
      <c r="H661" s="1" t="s">
        <v>5</v>
      </c>
      <c r="I661" s="17">
        <v>37622</v>
      </c>
      <c r="J661" s="17"/>
    </row>
    <row r="662" spans="1:10">
      <c r="A662" s="16" t="s">
        <v>5123</v>
      </c>
      <c r="B662" s="1" t="s">
        <v>2631</v>
      </c>
      <c r="C662" s="1">
        <v>121</v>
      </c>
      <c r="D662" s="1" t="s">
        <v>7</v>
      </c>
      <c r="E662" s="1" t="s">
        <v>6</v>
      </c>
      <c r="F662" s="1" t="s">
        <v>2691</v>
      </c>
      <c r="G662" s="1" t="s">
        <v>5</v>
      </c>
      <c r="H662" s="1" t="s">
        <v>5</v>
      </c>
      <c r="I662" s="17">
        <v>37987</v>
      </c>
      <c r="J662" s="17"/>
    </row>
    <row r="663" spans="1:10">
      <c r="A663" s="16" t="s">
        <v>5125</v>
      </c>
      <c r="B663" s="1" t="s">
        <v>2631</v>
      </c>
      <c r="C663" s="1">
        <v>121</v>
      </c>
      <c r="D663" s="1" t="s">
        <v>7</v>
      </c>
      <c r="E663" s="1" t="s">
        <v>6</v>
      </c>
      <c r="F663" s="1" t="s">
        <v>2691</v>
      </c>
      <c r="G663" s="1" t="s">
        <v>5</v>
      </c>
      <c r="H663" s="1" t="s">
        <v>5</v>
      </c>
      <c r="I663" s="17">
        <v>38353</v>
      </c>
      <c r="J663" s="17"/>
    </row>
    <row r="664" spans="1:10">
      <c r="A664" s="16" t="s">
        <v>5126</v>
      </c>
      <c r="B664" s="1" t="s">
        <v>2631</v>
      </c>
      <c r="C664" s="1">
        <v>121</v>
      </c>
      <c r="D664" s="1" t="s">
        <v>7</v>
      </c>
      <c r="E664" s="1" t="s">
        <v>6</v>
      </c>
      <c r="F664" s="1" t="s">
        <v>2691</v>
      </c>
      <c r="G664" s="1" t="s">
        <v>5</v>
      </c>
      <c r="H664" s="1" t="s">
        <v>5</v>
      </c>
      <c r="I664" s="17">
        <v>38353</v>
      </c>
      <c r="J664" s="17"/>
    </row>
    <row r="665" spans="1:10">
      <c r="A665" s="16" t="s">
        <v>5128</v>
      </c>
      <c r="B665" s="1" t="s">
        <v>2631</v>
      </c>
      <c r="C665" s="1">
        <v>121</v>
      </c>
      <c r="D665" s="1" t="s">
        <v>7</v>
      </c>
      <c r="E665" s="1" t="s">
        <v>6</v>
      </c>
      <c r="F665" s="1" t="s">
        <v>2691</v>
      </c>
      <c r="G665" s="1" t="s">
        <v>5</v>
      </c>
      <c r="H665" s="1" t="s">
        <v>5</v>
      </c>
      <c r="I665" s="17">
        <v>38718</v>
      </c>
      <c r="J665" s="17"/>
    </row>
    <row r="666" spans="1:10">
      <c r="A666" s="16" t="s">
        <v>5129</v>
      </c>
      <c r="B666" s="1" t="s">
        <v>2631</v>
      </c>
      <c r="C666" s="1">
        <v>121</v>
      </c>
      <c r="D666" s="1" t="s">
        <v>7</v>
      </c>
      <c r="E666" s="1" t="s">
        <v>6</v>
      </c>
      <c r="F666" s="1" t="s">
        <v>2691</v>
      </c>
      <c r="G666" s="1" t="s">
        <v>5</v>
      </c>
      <c r="H666" s="1" t="s">
        <v>5</v>
      </c>
      <c r="I666" s="17">
        <v>38718</v>
      </c>
      <c r="J666" s="17"/>
    </row>
    <row r="667" spans="1:10">
      <c r="A667" s="16" t="s">
        <v>5130</v>
      </c>
      <c r="B667" s="1" t="s">
        <v>2631</v>
      </c>
      <c r="C667" s="1">
        <v>121</v>
      </c>
      <c r="D667" s="1" t="s">
        <v>7</v>
      </c>
      <c r="E667" s="1" t="s">
        <v>6</v>
      </c>
      <c r="F667" s="1" t="s">
        <v>2691</v>
      </c>
      <c r="G667" s="1" t="s">
        <v>5</v>
      </c>
      <c r="H667" s="1" t="s">
        <v>5</v>
      </c>
      <c r="I667" s="17">
        <v>38718</v>
      </c>
      <c r="J667" s="17"/>
    </row>
    <row r="668" spans="1:10">
      <c r="A668" s="16" t="s">
        <v>5131</v>
      </c>
      <c r="B668" s="1" t="s">
        <v>2631</v>
      </c>
      <c r="C668" s="1">
        <v>121</v>
      </c>
      <c r="D668" s="1" t="s">
        <v>7</v>
      </c>
      <c r="E668" s="1" t="s">
        <v>6</v>
      </c>
      <c r="F668" s="1" t="s">
        <v>2691</v>
      </c>
      <c r="G668" s="1" t="s">
        <v>5</v>
      </c>
      <c r="H668" s="1" t="s">
        <v>5</v>
      </c>
      <c r="I668" s="17">
        <v>38718</v>
      </c>
      <c r="J668" s="17"/>
    </row>
    <row r="669" spans="1:10">
      <c r="A669" s="16" t="s">
        <v>5132</v>
      </c>
      <c r="B669" s="1" t="s">
        <v>2631</v>
      </c>
      <c r="C669" s="1">
        <v>121</v>
      </c>
      <c r="D669" s="1" t="s">
        <v>7</v>
      </c>
      <c r="E669" s="1" t="s">
        <v>6</v>
      </c>
      <c r="F669" s="1" t="s">
        <v>2691</v>
      </c>
      <c r="G669" s="1" t="s">
        <v>5</v>
      </c>
      <c r="H669" s="1" t="s">
        <v>5</v>
      </c>
      <c r="I669" s="17">
        <v>39083</v>
      </c>
      <c r="J669" s="17"/>
    </row>
    <row r="670" spans="1:10">
      <c r="A670" s="16" t="s">
        <v>5134</v>
      </c>
      <c r="B670" s="1" t="s">
        <v>2631</v>
      </c>
      <c r="C670" s="1">
        <v>121</v>
      </c>
      <c r="D670" s="1" t="s">
        <v>7</v>
      </c>
      <c r="E670" s="1" t="s">
        <v>6</v>
      </c>
      <c r="F670" s="1" t="s">
        <v>2691</v>
      </c>
      <c r="G670" s="1" t="s">
        <v>5</v>
      </c>
      <c r="H670" s="1" t="s">
        <v>5</v>
      </c>
      <c r="I670" s="17">
        <v>39083</v>
      </c>
      <c r="J670" s="17"/>
    </row>
    <row r="671" spans="1:10">
      <c r="A671" s="16" t="s">
        <v>5135</v>
      </c>
      <c r="B671" s="1" t="s">
        <v>2631</v>
      </c>
      <c r="C671" s="1">
        <v>121</v>
      </c>
      <c r="D671" s="1" t="s">
        <v>7</v>
      </c>
      <c r="E671" s="1" t="s">
        <v>6</v>
      </c>
      <c r="F671" s="1" t="s">
        <v>2691</v>
      </c>
      <c r="G671" s="1" t="s">
        <v>5</v>
      </c>
      <c r="H671" s="1" t="s">
        <v>5</v>
      </c>
      <c r="I671" s="17">
        <v>39448</v>
      </c>
      <c r="J671" s="17"/>
    </row>
    <row r="672" spans="1:10">
      <c r="A672" s="16" t="s">
        <v>5136</v>
      </c>
      <c r="B672" s="1" t="s">
        <v>2631</v>
      </c>
      <c r="C672" s="1">
        <v>121</v>
      </c>
      <c r="D672" s="1" t="s">
        <v>7</v>
      </c>
      <c r="E672" s="1" t="s">
        <v>6</v>
      </c>
      <c r="F672" s="1" t="s">
        <v>2691</v>
      </c>
      <c r="G672" s="1" t="s">
        <v>5</v>
      </c>
      <c r="H672" s="1" t="s">
        <v>5</v>
      </c>
      <c r="I672" s="17">
        <v>39448</v>
      </c>
      <c r="J672" s="17"/>
    </row>
    <row r="673" spans="1:10">
      <c r="A673" s="16" t="s">
        <v>5137</v>
      </c>
      <c r="B673" s="1" t="s">
        <v>2631</v>
      </c>
      <c r="C673" s="1">
        <v>121</v>
      </c>
      <c r="D673" s="1" t="s">
        <v>7</v>
      </c>
      <c r="E673" s="1" t="s">
        <v>6</v>
      </c>
      <c r="F673" s="1" t="s">
        <v>2691</v>
      </c>
      <c r="G673" s="1" t="s">
        <v>5</v>
      </c>
      <c r="H673" s="1" t="s">
        <v>5</v>
      </c>
      <c r="I673" s="17">
        <v>39448</v>
      </c>
      <c r="J673" s="17"/>
    </row>
    <row r="674" spans="1:10">
      <c r="A674" s="16" t="s">
        <v>5140</v>
      </c>
      <c r="B674" s="1" t="s">
        <v>2631</v>
      </c>
      <c r="C674" s="1">
        <v>121</v>
      </c>
      <c r="D674" s="1" t="s">
        <v>7</v>
      </c>
      <c r="E674" s="1" t="s">
        <v>6</v>
      </c>
      <c r="F674" s="1" t="s">
        <v>2691</v>
      </c>
      <c r="G674" s="1" t="s">
        <v>5</v>
      </c>
      <c r="H674" s="1" t="s">
        <v>5</v>
      </c>
      <c r="I674" s="17">
        <v>39448</v>
      </c>
      <c r="J674" s="17"/>
    </row>
    <row r="675" spans="1:10">
      <c r="A675" s="16" t="s">
        <v>5141</v>
      </c>
      <c r="B675" s="1" t="s">
        <v>2631</v>
      </c>
      <c r="C675" s="1">
        <v>121</v>
      </c>
      <c r="D675" s="1" t="s">
        <v>7</v>
      </c>
      <c r="E675" s="1" t="s">
        <v>6</v>
      </c>
      <c r="F675" s="1" t="s">
        <v>2691</v>
      </c>
      <c r="G675" s="1" t="s">
        <v>5</v>
      </c>
      <c r="H675" s="1" t="s">
        <v>5</v>
      </c>
      <c r="I675" s="17">
        <v>39448</v>
      </c>
      <c r="J675" s="17"/>
    </row>
    <row r="676" spans="1:10">
      <c r="A676" s="16" t="s">
        <v>5142</v>
      </c>
      <c r="B676" s="1" t="s">
        <v>2631</v>
      </c>
      <c r="C676" s="1">
        <v>121</v>
      </c>
      <c r="D676" s="1" t="s">
        <v>7</v>
      </c>
      <c r="E676" s="1" t="s">
        <v>6</v>
      </c>
      <c r="F676" s="1" t="s">
        <v>2691</v>
      </c>
      <c r="G676" s="1" t="s">
        <v>5</v>
      </c>
      <c r="H676" s="1" t="s">
        <v>5</v>
      </c>
      <c r="I676" s="17">
        <v>39448</v>
      </c>
      <c r="J676" s="17"/>
    </row>
    <row r="677" spans="1:10">
      <c r="A677" s="16" t="s">
        <v>5143</v>
      </c>
      <c r="B677" s="1" t="s">
        <v>2631</v>
      </c>
      <c r="C677" s="1">
        <v>121</v>
      </c>
      <c r="D677" s="1" t="s">
        <v>7</v>
      </c>
      <c r="E677" s="1" t="s">
        <v>6</v>
      </c>
      <c r="F677" s="1" t="s">
        <v>2691</v>
      </c>
      <c r="G677" s="1" t="s">
        <v>5</v>
      </c>
      <c r="H677" s="1" t="s">
        <v>5</v>
      </c>
      <c r="I677" s="17">
        <v>39448</v>
      </c>
      <c r="J677" s="17"/>
    </row>
    <row r="678" spans="1:10">
      <c r="A678" s="16" t="s">
        <v>5144</v>
      </c>
      <c r="B678" s="1" t="s">
        <v>2631</v>
      </c>
      <c r="C678" s="1">
        <v>121</v>
      </c>
      <c r="D678" s="1" t="s">
        <v>7</v>
      </c>
      <c r="E678" s="1" t="s">
        <v>6</v>
      </c>
      <c r="F678" s="1" t="s">
        <v>2691</v>
      </c>
      <c r="G678" s="1" t="s">
        <v>5</v>
      </c>
      <c r="H678" s="1" t="s">
        <v>5</v>
      </c>
      <c r="I678" s="17">
        <v>39448</v>
      </c>
      <c r="J678" s="17"/>
    </row>
    <row r="679" spans="1:10">
      <c r="A679" s="16" t="s">
        <v>5148</v>
      </c>
      <c r="B679" s="1" t="s">
        <v>2631</v>
      </c>
      <c r="C679" s="1">
        <v>121</v>
      </c>
      <c r="D679" s="1" t="s">
        <v>7</v>
      </c>
      <c r="E679" s="1" t="s">
        <v>6</v>
      </c>
      <c r="F679" s="1" t="s">
        <v>2691</v>
      </c>
      <c r="G679" s="1" t="s">
        <v>5</v>
      </c>
      <c r="H679" s="1" t="s">
        <v>5</v>
      </c>
      <c r="I679" s="17">
        <v>39814</v>
      </c>
      <c r="J679" s="17"/>
    </row>
    <row r="680" spans="1:10">
      <c r="A680" s="16" t="s">
        <v>5149</v>
      </c>
      <c r="B680" s="1" t="s">
        <v>2631</v>
      </c>
      <c r="C680" s="1">
        <v>121</v>
      </c>
      <c r="D680" s="1" t="s">
        <v>7</v>
      </c>
      <c r="E680" s="1" t="s">
        <v>6</v>
      </c>
      <c r="F680" s="1" t="s">
        <v>2691</v>
      </c>
      <c r="G680" s="1" t="s">
        <v>5</v>
      </c>
      <c r="H680" s="1" t="s">
        <v>5</v>
      </c>
      <c r="I680" s="17">
        <v>40179</v>
      </c>
      <c r="J680" s="17"/>
    </row>
    <row r="681" spans="1:10">
      <c r="A681" s="16" t="s">
        <v>5151</v>
      </c>
      <c r="B681" s="1" t="s">
        <v>2631</v>
      </c>
      <c r="C681" s="1">
        <v>121</v>
      </c>
      <c r="D681" s="1" t="s">
        <v>7</v>
      </c>
      <c r="E681" s="1" t="s">
        <v>6</v>
      </c>
      <c r="F681" s="1" t="s">
        <v>2691</v>
      </c>
      <c r="G681" s="1" t="s">
        <v>5</v>
      </c>
      <c r="H681" s="1" t="s">
        <v>5</v>
      </c>
      <c r="I681" s="17">
        <v>40179</v>
      </c>
      <c r="J681" s="17"/>
    </row>
    <row r="682" spans="1:10">
      <c r="A682" s="16" t="s">
        <v>5152</v>
      </c>
      <c r="B682" s="1" t="s">
        <v>2631</v>
      </c>
      <c r="C682" s="1">
        <v>121</v>
      </c>
      <c r="D682" s="1" t="s">
        <v>7</v>
      </c>
      <c r="E682" s="1" t="s">
        <v>6</v>
      </c>
      <c r="F682" s="1" t="s">
        <v>2691</v>
      </c>
      <c r="G682" s="1" t="s">
        <v>5</v>
      </c>
      <c r="H682" s="1" t="s">
        <v>5</v>
      </c>
      <c r="I682" s="17">
        <v>40179</v>
      </c>
      <c r="J682" s="17"/>
    </row>
    <row r="683" spans="1:10">
      <c r="A683" s="16" t="s">
        <v>5154</v>
      </c>
      <c r="B683" s="1" t="s">
        <v>2631</v>
      </c>
      <c r="C683" s="1">
        <v>121</v>
      </c>
      <c r="D683" s="1" t="s">
        <v>7</v>
      </c>
      <c r="E683" s="1" t="s">
        <v>6</v>
      </c>
      <c r="F683" s="1" t="s">
        <v>2691</v>
      </c>
      <c r="G683" s="1" t="s">
        <v>5</v>
      </c>
      <c r="H683" s="1" t="s">
        <v>5</v>
      </c>
      <c r="I683" s="17">
        <v>40544</v>
      </c>
      <c r="J683" s="17"/>
    </row>
    <row r="684" spans="1:10">
      <c r="A684" s="16" t="s">
        <v>5156</v>
      </c>
      <c r="B684" s="1" t="s">
        <v>2631</v>
      </c>
      <c r="C684" s="1">
        <v>121</v>
      </c>
      <c r="D684" s="1" t="s">
        <v>7</v>
      </c>
      <c r="E684" s="1" t="s">
        <v>6</v>
      </c>
      <c r="F684" s="1" t="s">
        <v>2691</v>
      </c>
      <c r="G684" s="1" t="s">
        <v>5</v>
      </c>
      <c r="H684" s="1" t="s">
        <v>5</v>
      </c>
      <c r="I684" s="17">
        <v>40544</v>
      </c>
      <c r="J684" s="17"/>
    </row>
    <row r="685" spans="1:10">
      <c r="A685" s="16" t="s">
        <v>5157</v>
      </c>
      <c r="B685" s="1" t="s">
        <v>2631</v>
      </c>
      <c r="C685" s="1">
        <v>121</v>
      </c>
      <c r="D685" s="1" t="s">
        <v>7</v>
      </c>
      <c r="E685" s="1" t="s">
        <v>6</v>
      </c>
      <c r="F685" s="1" t="s">
        <v>2691</v>
      </c>
      <c r="G685" s="1" t="s">
        <v>5</v>
      </c>
      <c r="H685" s="1" t="s">
        <v>5</v>
      </c>
      <c r="I685" s="17">
        <v>40544</v>
      </c>
      <c r="J685" s="17"/>
    </row>
    <row r="686" spans="1:10">
      <c r="A686" s="16" t="s">
        <v>5158</v>
      </c>
      <c r="B686" s="1" t="s">
        <v>2631</v>
      </c>
      <c r="C686" s="1">
        <v>121</v>
      </c>
      <c r="D686" s="1" t="s">
        <v>7</v>
      </c>
      <c r="E686" s="1" t="s">
        <v>6</v>
      </c>
      <c r="F686" s="1" t="s">
        <v>2691</v>
      </c>
      <c r="G686" s="1" t="s">
        <v>5</v>
      </c>
      <c r="H686" s="1" t="s">
        <v>5</v>
      </c>
      <c r="I686" s="17">
        <v>40544</v>
      </c>
      <c r="J686" s="17"/>
    </row>
    <row r="687" spans="1:10">
      <c r="A687" s="16" t="s">
        <v>5159</v>
      </c>
      <c r="B687" s="1" t="s">
        <v>2631</v>
      </c>
      <c r="C687" s="1">
        <v>121</v>
      </c>
      <c r="D687" s="1" t="s">
        <v>7</v>
      </c>
      <c r="E687" s="1" t="s">
        <v>6</v>
      </c>
      <c r="F687" s="1" t="s">
        <v>2691</v>
      </c>
      <c r="G687" s="1" t="s">
        <v>5</v>
      </c>
      <c r="H687" s="1" t="s">
        <v>5</v>
      </c>
      <c r="I687" s="17">
        <v>40544</v>
      </c>
      <c r="J687" s="17"/>
    </row>
    <row r="688" spans="1:10">
      <c r="A688" s="16" t="s">
        <v>5161</v>
      </c>
      <c r="B688" s="1" t="s">
        <v>2631</v>
      </c>
      <c r="C688" s="1">
        <v>121</v>
      </c>
      <c r="D688" s="1" t="s">
        <v>7</v>
      </c>
      <c r="E688" s="1" t="s">
        <v>6</v>
      </c>
      <c r="F688" s="1" t="s">
        <v>2691</v>
      </c>
      <c r="G688" s="1" t="s">
        <v>5</v>
      </c>
      <c r="H688" s="1" t="s">
        <v>5</v>
      </c>
      <c r="I688" s="17">
        <v>40544</v>
      </c>
      <c r="J688" s="17"/>
    </row>
    <row r="689" spans="1:10">
      <c r="A689" s="16" t="s">
        <v>5165</v>
      </c>
      <c r="B689" s="1" t="s">
        <v>2631</v>
      </c>
      <c r="C689" s="1">
        <v>121</v>
      </c>
      <c r="D689" s="1" t="s">
        <v>7</v>
      </c>
      <c r="E689" s="1" t="s">
        <v>6</v>
      </c>
      <c r="F689" s="1" t="s">
        <v>2691</v>
      </c>
      <c r="G689" s="1" t="s">
        <v>5</v>
      </c>
      <c r="H689" s="1" t="s">
        <v>5</v>
      </c>
      <c r="I689" s="17">
        <v>40909</v>
      </c>
      <c r="J689" s="17"/>
    </row>
    <row r="690" spans="1:10">
      <c r="A690" s="16" t="s">
        <v>5166</v>
      </c>
      <c r="B690" s="1" t="s">
        <v>2631</v>
      </c>
      <c r="C690" s="1">
        <v>121</v>
      </c>
      <c r="D690" s="1" t="s">
        <v>7</v>
      </c>
      <c r="E690" s="1" t="s">
        <v>6</v>
      </c>
      <c r="F690" s="1" t="s">
        <v>2691</v>
      </c>
      <c r="G690" s="1" t="s">
        <v>5</v>
      </c>
      <c r="H690" s="1" t="s">
        <v>5</v>
      </c>
      <c r="I690" s="17">
        <v>40909</v>
      </c>
      <c r="J690" s="17"/>
    </row>
    <row r="691" spans="1:10" s="11" customFormat="1">
      <c r="A691" s="16" t="s">
        <v>5167</v>
      </c>
      <c r="B691" s="1" t="s">
        <v>2631</v>
      </c>
      <c r="C691" s="1">
        <v>121</v>
      </c>
      <c r="D691" s="1" t="s">
        <v>7</v>
      </c>
      <c r="E691" s="1" t="s">
        <v>6</v>
      </c>
      <c r="F691" s="1" t="s">
        <v>2691</v>
      </c>
      <c r="G691" s="1" t="s">
        <v>5</v>
      </c>
      <c r="H691" s="1" t="s">
        <v>5</v>
      </c>
      <c r="I691" s="17">
        <v>40909</v>
      </c>
      <c r="J691" s="17"/>
    </row>
    <row r="692" spans="1:10" s="11" customFormat="1">
      <c r="A692" s="16" t="s">
        <v>5169</v>
      </c>
      <c r="B692" s="1" t="s">
        <v>2631</v>
      </c>
      <c r="C692" s="1">
        <v>121</v>
      </c>
      <c r="D692" s="1" t="s">
        <v>7</v>
      </c>
      <c r="E692" s="1" t="s">
        <v>6</v>
      </c>
      <c r="F692" s="1" t="s">
        <v>2691</v>
      </c>
      <c r="G692" s="1" t="s">
        <v>5</v>
      </c>
      <c r="H692" s="1" t="s">
        <v>5</v>
      </c>
      <c r="I692" s="17">
        <v>40909</v>
      </c>
      <c r="J692" s="17"/>
    </row>
    <row r="693" spans="1:10">
      <c r="A693" s="16" t="s">
        <v>5170</v>
      </c>
      <c r="B693" s="1" t="s">
        <v>2631</v>
      </c>
      <c r="C693" s="1">
        <v>121</v>
      </c>
      <c r="D693" s="1" t="s">
        <v>7</v>
      </c>
      <c r="E693" s="1" t="s">
        <v>6</v>
      </c>
      <c r="F693" s="1" t="s">
        <v>2691</v>
      </c>
      <c r="G693" s="1" t="s">
        <v>5</v>
      </c>
      <c r="H693" s="1" t="s">
        <v>5</v>
      </c>
      <c r="I693" s="17">
        <v>40909</v>
      </c>
      <c r="J693" s="17"/>
    </row>
    <row r="694" spans="1:10">
      <c r="A694" s="16" t="s">
        <v>5172</v>
      </c>
      <c r="B694" s="1" t="s">
        <v>2631</v>
      </c>
      <c r="C694" s="1">
        <v>121</v>
      </c>
      <c r="D694" s="1" t="s">
        <v>7</v>
      </c>
      <c r="E694" s="1" t="s">
        <v>6</v>
      </c>
      <c r="F694" s="1" t="s">
        <v>2691</v>
      </c>
      <c r="G694" s="1" t="s">
        <v>5</v>
      </c>
      <c r="H694" s="1" t="s">
        <v>5</v>
      </c>
      <c r="I694" s="17">
        <v>41275</v>
      </c>
      <c r="J694" s="17"/>
    </row>
    <row r="695" spans="1:10">
      <c r="A695" s="16" t="s">
        <v>5214</v>
      </c>
      <c r="B695" s="1" t="s">
        <v>2631</v>
      </c>
      <c r="C695" s="1">
        <v>121</v>
      </c>
      <c r="D695" s="1" t="s">
        <v>7</v>
      </c>
      <c r="E695" s="1" t="s">
        <v>6</v>
      </c>
      <c r="F695" s="1" t="s">
        <v>118</v>
      </c>
      <c r="G695" s="14" t="s">
        <v>4458</v>
      </c>
      <c r="H695" s="1" t="s">
        <v>118</v>
      </c>
      <c r="I695" s="1" t="s">
        <v>4792</v>
      </c>
    </row>
    <row r="696" spans="1:10">
      <c r="A696" s="16" t="s">
        <v>5216</v>
      </c>
      <c r="B696" s="1" t="s">
        <v>2631</v>
      </c>
      <c r="C696" s="1">
        <v>121</v>
      </c>
      <c r="D696" s="1" t="s">
        <v>7</v>
      </c>
      <c r="E696" s="1" t="s">
        <v>6</v>
      </c>
      <c r="F696" s="1" t="s">
        <v>118</v>
      </c>
      <c r="G696" s="14" t="s">
        <v>4458</v>
      </c>
      <c r="H696" s="1" t="s">
        <v>118</v>
      </c>
      <c r="I696" s="1" t="s">
        <v>4792</v>
      </c>
    </row>
    <row r="697" spans="1:10">
      <c r="A697" s="16" t="s">
        <v>5218</v>
      </c>
      <c r="B697" s="1" t="s">
        <v>2631</v>
      </c>
      <c r="C697" s="1">
        <v>108</v>
      </c>
      <c r="D697" s="1" t="s">
        <v>7</v>
      </c>
      <c r="E697" s="1" t="s">
        <v>6</v>
      </c>
      <c r="F697" s="1" t="s">
        <v>118</v>
      </c>
      <c r="G697" s="14" t="s">
        <v>4458</v>
      </c>
      <c r="H697" s="1" t="s">
        <v>118</v>
      </c>
      <c r="I697" s="1" t="s">
        <v>4792</v>
      </c>
    </row>
    <row r="698" spans="1:10">
      <c r="A698" s="16" t="s">
        <v>5219</v>
      </c>
      <c r="B698" s="1" t="s">
        <v>2631</v>
      </c>
      <c r="C698" s="1">
        <v>755</v>
      </c>
      <c r="D698" s="1" t="s">
        <v>7</v>
      </c>
      <c r="E698" s="1" t="s">
        <v>6</v>
      </c>
      <c r="F698" s="1" t="s">
        <v>118</v>
      </c>
      <c r="G698" s="14" t="s">
        <v>4458</v>
      </c>
      <c r="H698" s="1" t="s">
        <v>118</v>
      </c>
      <c r="I698" s="1" t="s">
        <v>4792</v>
      </c>
    </row>
    <row r="699" spans="1:10">
      <c r="A699" s="16" t="s">
        <v>5220</v>
      </c>
      <c r="B699" s="1" t="s">
        <v>2631</v>
      </c>
      <c r="C699" s="1">
        <v>121</v>
      </c>
      <c r="D699" s="1" t="s">
        <v>7</v>
      </c>
      <c r="E699" s="1" t="s">
        <v>6</v>
      </c>
      <c r="F699" s="1" t="s">
        <v>118</v>
      </c>
      <c r="G699" s="14" t="s">
        <v>4458</v>
      </c>
      <c r="H699" s="1" t="s">
        <v>118</v>
      </c>
      <c r="I699" s="1" t="s">
        <v>4792</v>
      </c>
    </row>
    <row r="700" spans="1:10">
      <c r="A700" s="16" t="s">
        <v>5221</v>
      </c>
      <c r="B700" s="1" t="s">
        <v>2631</v>
      </c>
      <c r="C700" s="1">
        <v>121</v>
      </c>
      <c r="D700" s="1" t="s">
        <v>7</v>
      </c>
      <c r="E700" s="1" t="s">
        <v>6</v>
      </c>
      <c r="F700" s="1" t="s">
        <v>118</v>
      </c>
      <c r="G700" s="14" t="s">
        <v>4458</v>
      </c>
      <c r="H700" s="1" t="s">
        <v>118</v>
      </c>
      <c r="I700" s="1" t="s">
        <v>4792</v>
      </c>
    </row>
    <row r="701" spans="1:10">
      <c r="A701" s="16" t="s">
        <v>5222</v>
      </c>
      <c r="B701" s="1" t="s">
        <v>2631</v>
      </c>
      <c r="C701" s="1">
        <v>121</v>
      </c>
      <c r="D701" s="1" t="s">
        <v>7</v>
      </c>
      <c r="E701" s="1" t="s">
        <v>6</v>
      </c>
      <c r="F701" s="1" t="s">
        <v>118</v>
      </c>
      <c r="G701" s="14" t="s">
        <v>4458</v>
      </c>
      <c r="H701" s="1" t="s">
        <v>118</v>
      </c>
      <c r="I701" s="1" t="s">
        <v>4792</v>
      </c>
    </row>
    <row r="702" spans="1:10">
      <c r="A702" s="16" t="s">
        <v>5223</v>
      </c>
      <c r="B702" s="1" t="s">
        <v>2631</v>
      </c>
      <c r="C702" s="1">
        <v>121</v>
      </c>
      <c r="D702" s="1" t="s">
        <v>7</v>
      </c>
      <c r="E702" s="1" t="s">
        <v>6</v>
      </c>
      <c r="F702" s="1" t="s">
        <v>118</v>
      </c>
      <c r="G702" s="14" t="s">
        <v>4458</v>
      </c>
      <c r="H702" s="1" t="s">
        <v>118</v>
      </c>
      <c r="I702" s="1" t="s">
        <v>4792</v>
      </c>
    </row>
    <row r="703" spans="1:10">
      <c r="A703" s="16" t="s">
        <v>5225</v>
      </c>
      <c r="B703" s="1" t="s">
        <v>2631</v>
      </c>
      <c r="C703" s="1">
        <v>121</v>
      </c>
      <c r="D703" s="1" t="s">
        <v>7</v>
      </c>
      <c r="E703" s="1" t="s">
        <v>6</v>
      </c>
      <c r="F703" s="1" t="s">
        <v>118</v>
      </c>
      <c r="G703" s="14" t="s">
        <v>4458</v>
      </c>
      <c r="H703" s="1" t="s">
        <v>118</v>
      </c>
      <c r="I703" s="1" t="s">
        <v>4792</v>
      </c>
    </row>
    <row r="704" spans="1:10">
      <c r="A704" s="16" t="s">
        <v>5226</v>
      </c>
      <c r="B704" s="1" t="s">
        <v>2631</v>
      </c>
      <c r="C704" s="1">
        <v>121</v>
      </c>
      <c r="D704" s="1" t="s">
        <v>7</v>
      </c>
      <c r="E704" s="1" t="s">
        <v>6</v>
      </c>
      <c r="F704" s="1" t="s">
        <v>118</v>
      </c>
      <c r="G704" s="14" t="s">
        <v>4458</v>
      </c>
      <c r="H704" s="1" t="s">
        <v>118</v>
      </c>
      <c r="I704" s="1" t="s">
        <v>4792</v>
      </c>
    </row>
    <row r="705" spans="1:10">
      <c r="A705" s="16" t="s">
        <v>5231</v>
      </c>
      <c r="B705" s="1" t="s">
        <v>2631</v>
      </c>
      <c r="C705" s="1">
        <v>121</v>
      </c>
      <c r="D705" s="1" t="s">
        <v>7</v>
      </c>
      <c r="E705" s="1" t="s">
        <v>6</v>
      </c>
      <c r="F705" s="1" t="s">
        <v>2700</v>
      </c>
      <c r="G705" s="14" t="s">
        <v>4458</v>
      </c>
      <c r="H705" s="1" t="s">
        <v>118</v>
      </c>
      <c r="I705" s="1" t="s">
        <v>4792</v>
      </c>
    </row>
    <row r="706" spans="1:10">
      <c r="A706" s="16" t="s">
        <v>5232</v>
      </c>
      <c r="B706" s="1" t="s">
        <v>2631</v>
      </c>
      <c r="C706" s="1">
        <v>121</v>
      </c>
      <c r="D706" s="1" t="s">
        <v>7</v>
      </c>
      <c r="E706" s="1" t="s">
        <v>6</v>
      </c>
      <c r="F706" s="1" t="s">
        <v>2700</v>
      </c>
      <c r="G706" s="14" t="s">
        <v>4458</v>
      </c>
      <c r="H706" s="1" t="s">
        <v>118</v>
      </c>
      <c r="I706" s="1" t="s">
        <v>4792</v>
      </c>
    </row>
    <row r="707" spans="1:10" s="11" customFormat="1">
      <c r="A707" s="16" t="s">
        <v>5233</v>
      </c>
      <c r="B707" s="1" t="s">
        <v>2631</v>
      </c>
      <c r="C707" s="1">
        <v>121</v>
      </c>
      <c r="D707" s="1" t="s">
        <v>7</v>
      </c>
      <c r="E707" s="1" t="s">
        <v>6</v>
      </c>
      <c r="F707" s="1" t="s">
        <v>5234</v>
      </c>
      <c r="G707" s="14" t="s">
        <v>4458</v>
      </c>
      <c r="H707" s="1" t="s">
        <v>118</v>
      </c>
      <c r="I707" s="1" t="s">
        <v>4792</v>
      </c>
      <c r="J707"/>
    </row>
    <row r="708" spans="1:10" s="11" customFormat="1">
      <c r="A708" s="16" t="s">
        <v>5235</v>
      </c>
      <c r="B708" s="1" t="s">
        <v>2631</v>
      </c>
      <c r="C708" s="1">
        <v>121</v>
      </c>
      <c r="D708" s="1" t="s">
        <v>7</v>
      </c>
      <c r="E708" s="1" t="s">
        <v>6</v>
      </c>
      <c r="F708" s="1" t="s">
        <v>5234</v>
      </c>
      <c r="G708" s="14" t="s">
        <v>4458</v>
      </c>
      <c r="H708" s="1" t="s">
        <v>118</v>
      </c>
      <c r="I708" s="1" t="s">
        <v>4792</v>
      </c>
      <c r="J708"/>
    </row>
    <row r="709" spans="1:10">
      <c r="A709" s="16" t="s">
        <v>5236</v>
      </c>
      <c r="B709" s="1" t="s">
        <v>2631</v>
      </c>
      <c r="C709" s="1">
        <v>121</v>
      </c>
      <c r="D709" s="1" t="s">
        <v>7</v>
      </c>
      <c r="E709" s="1" t="s">
        <v>6</v>
      </c>
      <c r="F709" s="1" t="s">
        <v>5234</v>
      </c>
      <c r="G709" s="14" t="s">
        <v>4458</v>
      </c>
      <c r="H709" s="1" t="s">
        <v>118</v>
      </c>
      <c r="I709" s="1" t="s">
        <v>4792</v>
      </c>
    </row>
    <row r="710" spans="1:10">
      <c r="A710" s="16" t="s">
        <v>5237</v>
      </c>
      <c r="B710" s="1" t="s">
        <v>2631</v>
      </c>
      <c r="C710" s="1">
        <v>121</v>
      </c>
      <c r="D710" s="1" t="s">
        <v>7</v>
      </c>
      <c r="E710" s="1" t="s">
        <v>6</v>
      </c>
      <c r="F710" s="1" t="s">
        <v>5234</v>
      </c>
      <c r="G710" s="14" t="s">
        <v>4458</v>
      </c>
      <c r="H710" s="1" t="s">
        <v>118</v>
      </c>
      <c r="I710" s="1" t="s">
        <v>4792</v>
      </c>
    </row>
    <row r="711" spans="1:10">
      <c r="A711" s="16" t="s">
        <v>5238</v>
      </c>
      <c r="B711" s="1" t="s">
        <v>2631</v>
      </c>
      <c r="C711" s="1">
        <v>121</v>
      </c>
      <c r="D711" s="1" t="s">
        <v>7</v>
      </c>
      <c r="E711" s="1" t="s">
        <v>6</v>
      </c>
      <c r="F711" s="1" t="s">
        <v>876</v>
      </c>
      <c r="G711" s="14" t="s">
        <v>4458</v>
      </c>
      <c r="H711" s="1" t="s">
        <v>118</v>
      </c>
      <c r="I711" s="1" t="s">
        <v>4792</v>
      </c>
    </row>
    <row r="712" spans="1:10">
      <c r="A712" s="16" t="s">
        <v>5239</v>
      </c>
      <c r="B712" s="1" t="s">
        <v>2631</v>
      </c>
      <c r="C712" s="1">
        <v>121</v>
      </c>
      <c r="D712" s="1" t="s">
        <v>7</v>
      </c>
      <c r="E712" s="1" t="s">
        <v>6</v>
      </c>
      <c r="F712" s="1" t="s">
        <v>876</v>
      </c>
      <c r="G712" s="14" t="s">
        <v>4458</v>
      </c>
      <c r="H712" s="1" t="s">
        <v>118</v>
      </c>
      <c r="I712" s="1" t="s">
        <v>4792</v>
      </c>
    </row>
    <row r="713" spans="1:10">
      <c r="A713" s="16" t="s">
        <v>5240</v>
      </c>
      <c r="B713" s="1" t="s">
        <v>2631</v>
      </c>
      <c r="C713" s="1">
        <v>121</v>
      </c>
      <c r="D713" s="1" t="s">
        <v>7</v>
      </c>
      <c r="E713" s="1" t="s">
        <v>6</v>
      </c>
      <c r="F713" s="1" t="s">
        <v>5241</v>
      </c>
      <c r="G713" s="14" t="s">
        <v>4458</v>
      </c>
      <c r="H713" s="1" t="s">
        <v>118</v>
      </c>
      <c r="I713" s="1" t="s">
        <v>4792</v>
      </c>
    </row>
    <row r="714" spans="1:10">
      <c r="A714" s="16" t="s">
        <v>5242</v>
      </c>
      <c r="B714" s="1" t="s">
        <v>2631</v>
      </c>
      <c r="C714" s="1">
        <v>121</v>
      </c>
      <c r="D714" s="1" t="s">
        <v>7</v>
      </c>
      <c r="E714" s="1" t="s">
        <v>6</v>
      </c>
      <c r="F714" s="1" t="s">
        <v>5241</v>
      </c>
      <c r="G714" s="14" t="s">
        <v>4458</v>
      </c>
      <c r="H714" s="1" t="s">
        <v>118</v>
      </c>
      <c r="I714" s="1" t="s">
        <v>4792</v>
      </c>
    </row>
    <row r="715" spans="1:10">
      <c r="A715" s="16" t="s">
        <v>5243</v>
      </c>
      <c r="B715" s="1" t="s">
        <v>2631</v>
      </c>
      <c r="C715" s="1">
        <v>121</v>
      </c>
      <c r="D715" s="1" t="s">
        <v>7</v>
      </c>
      <c r="E715" s="1" t="s">
        <v>6</v>
      </c>
      <c r="F715" s="1" t="s">
        <v>5091</v>
      </c>
      <c r="G715" s="14" t="s">
        <v>4458</v>
      </c>
      <c r="H715" s="1" t="s">
        <v>118</v>
      </c>
      <c r="I715" s="1" t="s">
        <v>4792</v>
      </c>
    </row>
    <row r="716" spans="1:10">
      <c r="A716" s="16" t="s">
        <v>5244</v>
      </c>
      <c r="B716" s="1" t="s">
        <v>2631</v>
      </c>
      <c r="C716" s="1">
        <v>121</v>
      </c>
      <c r="D716" s="1" t="s">
        <v>7</v>
      </c>
      <c r="E716" s="1" t="s">
        <v>6</v>
      </c>
      <c r="F716" s="1" t="s">
        <v>5091</v>
      </c>
      <c r="G716" s="14" t="s">
        <v>4458</v>
      </c>
      <c r="H716" s="1" t="s">
        <v>118</v>
      </c>
      <c r="I716" s="1" t="s">
        <v>4792</v>
      </c>
    </row>
    <row r="717" spans="1:10">
      <c r="A717" s="16" t="s">
        <v>5245</v>
      </c>
      <c r="B717" s="1" t="s">
        <v>2631</v>
      </c>
      <c r="C717" s="1">
        <v>121</v>
      </c>
      <c r="D717" s="1" t="s">
        <v>7</v>
      </c>
      <c r="E717" s="1" t="s">
        <v>6</v>
      </c>
      <c r="F717" s="1" t="s">
        <v>5091</v>
      </c>
      <c r="G717" s="14" t="s">
        <v>4458</v>
      </c>
      <c r="H717" s="1" t="s">
        <v>118</v>
      </c>
      <c r="I717" s="1" t="s">
        <v>4792</v>
      </c>
    </row>
    <row r="718" spans="1:10">
      <c r="A718" s="16" t="s">
        <v>5246</v>
      </c>
      <c r="B718" s="1" t="s">
        <v>2631</v>
      </c>
      <c r="C718" s="1">
        <v>121</v>
      </c>
      <c r="D718" s="1" t="s">
        <v>7</v>
      </c>
      <c r="E718" s="1" t="s">
        <v>6</v>
      </c>
      <c r="F718" s="1" t="s">
        <v>5091</v>
      </c>
      <c r="G718" s="14" t="s">
        <v>4458</v>
      </c>
      <c r="H718" s="1" t="s">
        <v>118</v>
      </c>
      <c r="I718" s="1" t="s">
        <v>4792</v>
      </c>
    </row>
    <row r="719" spans="1:10">
      <c r="A719" s="16" t="s">
        <v>5247</v>
      </c>
      <c r="B719" s="1" t="s">
        <v>2631</v>
      </c>
      <c r="C719" s="1">
        <v>121</v>
      </c>
      <c r="D719" s="1" t="s">
        <v>7</v>
      </c>
      <c r="E719" s="1" t="s">
        <v>6</v>
      </c>
      <c r="F719" s="1" t="s">
        <v>5091</v>
      </c>
      <c r="G719" s="14" t="s">
        <v>4458</v>
      </c>
      <c r="H719" s="1" t="s">
        <v>118</v>
      </c>
      <c r="I719" s="1" t="s">
        <v>4792</v>
      </c>
    </row>
    <row r="720" spans="1:10">
      <c r="A720" s="16" t="s">
        <v>5248</v>
      </c>
      <c r="B720" s="1" t="s">
        <v>2631</v>
      </c>
      <c r="C720" s="1">
        <v>121</v>
      </c>
      <c r="D720" s="1" t="s">
        <v>7</v>
      </c>
      <c r="E720" s="1" t="s">
        <v>6</v>
      </c>
      <c r="F720" s="1" t="s">
        <v>5091</v>
      </c>
      <c r="G720" s="14" t="s">
        <v>4458</v>
      </c>
      <c r="H720" s="1" t="s">
        <v>118</v>
      </c>
      <c r="I720" s="1" t="s">
        <v>4792</v>
      </c>
    </row>
    <row r="721" spans="1:9">
      <c r="A721" s="16" t="s">
        <v>5249</v>
      </c>
      <c r="B721" s="1" t="s">
        <v>2631</v>
      </c>
      <c r="C721" s="1">
        <v>121</v>
      </c>
      <c r="D721" s="1" t="s">
        <v>7</v>
      </c>
      <c r="E721" s="1" t="s">
        <v>6</v>
      </c>
      <c r="F721" s="1" t="s">
        <v>5091</v>
      </c>
      <c r="G721" s="14" t="s">
        <v>4458</v>
      </c>
      <c r="H721" s="1" t="s">
        <v>118</v>
      </c>
      <c r="I721" s="1" t="s">
        <v>4792</v>
      </c>
    </row>
    <row r="722" spans="1:9">
      <c r="A722" s="16" t="s">
        <v>5250</v>
      </c>
      <c r="B722" s="1" t="s">
        <v>2631</v>
      </c>
      <c r="C722" s="1">
        <v>121</v>
      </c>
      <c r="D722" s="1" t="s">
        <v>7</v>
      </c>
      <c r="E722" s="1" t="s">
        <v>6</v>
      </c>
      <c r="F722" s="1" t="s">
        <v>5091</v>
      </c>
      <c r="G722" s="14" t="s">
        <v>4458</v>
      </c>
      <c r="H722" s="1" t="s">
        <v>118</v>
      </c>
      <c r="I722" s="1" t="s">
        <v>4792</v>
      </c>
    </row>
    <row r="723" spans="1:9">
      <c r="A723" s="16" t="s">
        <v>5251</v>
      </c>
      <c r="B723" s="1" t="s">
        <v>2631</v>
      </c>
      <c r="C723" s="1">
        <v>121</v>
      </c>
      <c r="D723" s="1" t="s">
        <v>7</v>
      </c>
      <c r="E723" s="1" t="s">
        <v>6</v>
      </c>
      <c r="F723" s="1" t="s">
        <v>5091</v>
      </c>
      <c r="G723" s="14" t="s">
        <v>4458</v>
      </c>
      <c r="H723" s="1" t="s">
        <v>118</v>
      </c>
      <c r="I723" s="1" t="s">
        <v>4792</v>
      </c>
    </row>
    <row r="724" spans="1:9">
      <c r="A724" s="16" t="s">
        <v>5252</v>
      </c>
      <c r="B724" s="1" t="s">
        <v>2631</v>
      </c>
      <c r="C724" s="1">
        <v>121</v>
      </c>
      <c r="D724" s="1" t="s">
        <v>7</v>
      </c>
      <c r="E724" s="1" t="s">
        <v>6</v>
      </c>
      <c r="F724" s="1" t="s">
        <v>2693</v>
      </c>
      <c r="G724" s="14" t="s">
        <v>4458</v>
      </c>
      <c r="H724" s="1" t="s">
        <v>118</v>
      </c>
      <c r="I724" s="1" t="s">
        <v>4792</v>
      </c>
    </row>
    <row r="725" spans="1:9">
      <c r="A725" s="16" t="s">
        <v>5253</v>
      </c>
      <c r="B725" s="1" t="s">
        <v>2631</v>
      </c>
      <c r="C725" s="1">
        <v>121</v>
      </c>
      <c r="D725" s="1" t="s">
        <v>7</v>
      </c>
      <c r="E725" s="1" t="s">
        <v>6</v>
      </c>
      <c r="F725" s="1" t="s">
        <v>2693</v>
      </c>
      <c r="G725" s="14" t="s">
        <v>4458</v>
      </c>
      <c r="H725" s="1" t="s">
        <v>118</v>
      </c>
      <c r="I725" s="1" t="s">
        <v>4792</v>
      </c>
    </row>
    <row r="726" spans="1:9">
      <c r="A726" s="16" t="s">
        <v>5254</v>
      </c>
      <c r="B726" s="1" t="s">
        <v>2631</v>
      </c>
      <c r="C726" s="1">
        <v>121</v>
      </c>
      <c r="D726" s="1" t="s">
        <v>7</v>
      </c>
      <c r="E726" s="1" t="s">
        <v>6</v>
      </c>
      <c r="F726" s="1" t="s">
        <v>2693</v>
      </c>
      <c r="G726" s="14" t="s">
        <v>4458</v>
      </c>
      <c r="H726" s="1" t="s">
        <v>118</v>
      </c>
      <c r="I726" s="1" t="s">
        <v>4792</v>
      </c>
    </row>
    <row r="727" spans="1:9">
      <c r="A727" s="16" t="s">
        <v>5255</v>
      </c>
      <c r="B727" s="1" t="s">
        <v>2631</v>
      </c>
      <c r="C727" s="1">
        <v>121</v>
      </c>
      <c r="D727" s="1" t="s">
        <v>7</v>
      </c>
      <c r="E727" s="1" t="s">
        <v>6</v>
      </c>
      <c r="F727" s="1" t="s">
        <v>2693</v>
      </c>
      <c r="G727" s="14" t="s">
        <v>4458</v>
      </c>
      <c r="H727" s="1" t="s">
        <v>118</v>
      </c>
      <c r="I727" s="1" t="s">
        <v>4792</v>
      </c>
    </row>
    <row r="728" spans="1:9">
      <c r="A728" s="16" t="s">
        <v>5256</v>
      </c>
      <c r="B728" s="1" t="s">
        <v>2631</v>
      </c>
      <c r="C728" s="1">
        <v>121</v>
      </c>
      <c r="D728" s="1" t="s">
        <v>7</v>
      </c>
      <c r="E728" s="1" t="s">
        <v>6</v>
      </c>
      <c r="F728" s="1" t="s">
        <v>2693</v>
      </c>
      <c r="G728" s="14" t="s">
        <v>4458</v>
      </c>
      <c r="H728" s="1" t="s">
        <v>118</v>
      </c>
      <c r="I728" s="1" t="s">
        <v>4792</v>
      </c>
    </row>
    <row r="729" spans="1:9">
      <c r="A729" s="16" t="s">
        <v>5257</v>
      </c>
      <c r="B729" s="1" t="s">
        <v>2631</v>
      </c>
      <c r="C729" s="1">
        <v>121</v>
      </c>
      <c r="D729" s="1" t="s">
        <v>7</v>
      </c>
      <c r="E729" s="1" t="s">
        <v>6</v>
      </c>
      <c r="F729" s="1" t="s">
        <v>2690</v>
      </c>
      <c r="G729" s="14" t="s">
        <v>4458</v>
      </c>
      <c r="H729" s="1" t="s">
        <v>118</v>
      </c>
      <c r="I729" s="1" t="s">
        <v>4792</v>
      </c>
    </row>
    <row r="730" spans="1:9">
      <c r="A730" s="16" t="s">
        <v>5258</v>
      </c>
      <c r="B730" s="1" t="s">
        <v>2631</v>
      </c>
      <c r="C730" s="1">
        <v>121</v>
      </c>
      <c r="D730" s="1" t="s">
        <v>7</v>
      </c>
      <c r="E730" s="1" t="s">
        <v>6</v>
      </c>
      <c r="F730" s="1" t="s">
        <v>2573</v>
      </c>
      <c r="G730" s="14" t="s">
        <v>4458</v>
      </c>
      <c r="H730" s="1" t="s">
        <v>118</v>
      </c>
      <c r="I730" s="1">
        <v>2016</v>
      </c>
    </row>
    <row r="731" spans="1:9">
      <c r="A731" s="16" t="s">
        <v>5259</v>
      </c>
      <c r="B731" s="1" t="s">
        <v>2631</v>
      </c>
      <c r="C731" s="1">
        <v>121</v>
      </c>
      <c r="D731" s="1" t="s">
        <v>7</v>
      </c>
      <c r="E731" s="1" t="s">
        <v>6</v>
      </c>
      <c r="F731" s="1" t="s">
        <v>2696</v>
      </c>
      <c r="G731" s="14" t="s">
        <v>4458</v>
      </c>
      <c r="H731" s="1" t="s">
        <v>118</v>
      </c>
      <c r="I731" s="1" t="s">
        <v>4792</v>
      </c>
    </row>
    <row r="732" spans="1:9">
      <c r="A732" s="16" t="s">
        <v>5260</v>
      </c>
      <c r="B732" s="1" t="s">
        <v>2631</v>
      </c>
      <c r="C732" s="1">
        <v>121</v>
      </c>
      <c r="D732" s="1" t="s">
        <v>7</v>
      </c>
      <c r="E732" s="1" t="s">
        <v>6</v>
      </c>
      <c r="F732" s="1" t="s">
        <v>2696</v>
      </c>
      <c r="G732" s="14" t="s">
        <v>4458</v>
      </c>
      <c r="H732" s="1" t="s">
        <v>118</v>
      </c>
      <c r="I732" s="1" t="s">
        <v>4792</v>
      </c>
    </row>
    <row r="733" spans="1:9">
      <c r="A733" s="16" t="s">
        <v>5261</v>
      </c>
      <c r="B733" s="1" t="s">
        <v>2631</v>
      </c>
      <c r="C733" s="1">
        <v>121</v>
      </c>
      <c r="D733" s="1" t="s">
        <v>7</v>
      </c>
      <c r="E733" s="1" t="s">
        <v>6</v>
      </c>
      <c r="F733" s="1" t="s">
        <v>2696</v>
      </c>
      <c r="G733" s="14" t="s">
        <v>4458</v>
      </c>
      <c r="H733" s="1" t="s">
        <v>118</v>
      </c>
      <c r="I733" s="1" t="s">
        <v>4792</v>
      </c>
    </row>
    <row r="734" spans="1:9">
      <c r="A734" s="16" t="s">
        <v>5262</v>
      </c>
      <c r="B734" s="1" t="s">
        <v>2631</v>
      </c>
      <c r="C734" s="1">
        <v>121</v>
      </c>
      <c r="D734" s="1" t="s">
        <v>7</v>
      </c>
      <c r="E734" s="1" t="s">
        <v>6</v>
      </c>
      <c r="F734" s="1" t="s">
        <v>2696</v>
      </c>
      <c r="G734" s="14" t="s">
        <v>4458</v>
      </c>
      <c r="H734" s="1" t="s">
        <v>118</v>
      </c>
      <c r="I734" s="1" t="s">
        <v>4792</v>
      </c>
    </row>
    <row r="735" spans="1:9">
      <c r="A735" s="16" t="s">
        <v>5263</v>
      </c>
      <c r="B735" s="1" t="s">
        <v>2631</v>
      </c>
      <c r="C735" s="1">
        <v>121</v>
      </c>
      <c r="D735" s="1" t="s">
        <v>7</v>
      </c>
      <c r="E735" s="1" t="s">
        <v>6</v>
      </c>
      <c r="F735" s="1" t="s">
        <v>36</v>
      </c>
      <c r="G735" s="14" t="s">
        <v>4458</v>
      </c>
      <c r="H735" s="1" t="s">
        <v>118</v>
      </c>
      <c r="I735" s="1" t="s">
        <v>4792</v>
      </c>
    </row>
    <row r="736" spans="1:9">
      <c r="A736" s="16" t="s">
        <v>5264</v>
      </c>
      <c r="B736" s="1" t="s">
        <v>2631</v>
      </c>
      <c r="C736" s="1">
        <v>121</v>
      </c>
      <c r="D736" s="1" t="s">
        <v>7</v>
      </c>
      <c r="E736" s="1" t="s">
        <v>6</v>
      </c>
      <c r="F736" s="1" t="s">
        <v>36</v>
      </c>
      <c r="G736" s="14" t="s">
        <v>4458</v>
      </c>
      <c r="H736" s="1" t="s">
        <v>118</v>
      </c>
      <c r="I736" s="1" t="s">
        <v>4792</v>
      </c>
    </row>
    <row r="737" spans="1:9">
      <c r="A737" s="16" t="s">
        <v>5265</v>
      </c>
      <c r="B737" s="1" t="s">
        <v>2631</v>
      </c>
      <c r="C737" s="1">
        <v>121</v>
      </c>
      <c r="D737" s="1" t="s">
        <v>7</v>
      </c>
      <c r="E737" s="1" t="s">
        <v>6</v>
      </c>
      <c r="F737" s="1" t="s">
        <v>36</v>
      </c>
      <c r="G737" s="14" t="s">
        <v>4458</v>
      </c>
      <c r="H737" s="1" t="s">
        <v>118</v>
      </c>
      <c r="I737" s="1" t="s">
        <v>4792</v>
      </c>
    </row>
    <row r="738" spans="1:9">
      <c r="A738" s="16" t="s">
        <v>5266</v>
      </c>
      <c r="B738" s="1" t="s">
        <v>2631</v>
      </c>
      <c r="C738" s="1">
        <v>121</v>
      </c>
      <c r="D738" s="1" t="s">
        <v>7</v>
      </c>
      <c r="E738" s="1" t="s">
        <v>6</v>
      </c>
      <c r="F738" s="1" t="s">
        <v>36</v>
      </c>
      <c r="G738" s="14" t="s">
        <v>4458</v>
      </c>
      <c r="H738" s="1" t="s">
        <v>118</v>
      </c>
      <c r="I738" s="1" t="s">
        <v>4792</v>
      </c>
    </row>
    <row r="739" spans="1:9">
      <c r="A739" s="16" t="s">
        <v>5267</v>
      </c>
      <c r="B739" s="1" t="s">
        <v>2631</v>
      </c>
      <c r="C739" s="1">
        <v>121</v>
      </c>
      <c r="D739" s="1" t="s">
        <v>7</v>
      </c>
      <c r="E739" s="1" t="s">
        <v>6</v>
      </c>
      <c r="F739" s="1" t="s">
        <v>2573</v>
      </c>
      <c r="G739" s="14" t="s">
        <v>4458</v>
      </c>
      <c r="H739" s="1" t="s">
        <v>118</v>
      </c>
      <c r="I739" s="1" t="s">
        <v>4792</v>
      </c>
    </row>
    <row r="740" spans="1:9">
      <c r="A740" s="16" t="s">
        <v>5268</v>
      </c>
      <c r="B740" s="1" t="s">
        <v>2631</v>
      </c>
      <c r="C740" s="1">
        <v>121</v>
      </c>
      <c r="D740" s="1" t="s">
        <v>7</v>
      </c>
      <c r="E740" s="1" t="s">
        <v>6</v>
      </c>
      <c r="F740" s="1" t="s">
        <v>2573</v>
      </c>
      <c r="G740" s="14" t="s">
        <v>4458</v>
      </c>
      <c r="H740" s="1" t="s">
        <v>118</v>
      </c>
      <c r="I740" s="1" t="s">
        <v>4792</v>
      </c>
    </row>
    <row r="741" spans="1:9">
      <c r="A741" s="16" t="s">
        <v>5269</v>
      </c>
      <c r="B741" s="1" t="s">
        <v>2631</v>
      </c>
      <c r="C741" s="1">
        <v>121</v>
      </c>
      <c r="D741" s="1" t="s">
        <v>7</v>
      </c>
      <c r="E741" s="1" t="s">
        <v>6</v>
      </c>
      <c r="F741" s="1" t="s">
        <v>2573</v>
      </c>
      <c r="G741" s="14" t="s">
        <v>4458</v>
      </c>
      <c r="H741" s="1" t="s">
        <v>118</v>
      </c>
      <c r="I741" s="1" t="s">
        <v>4792</v>
      </c>
    </row>
    <row r="742" spans="1:9">
      <c r="A742" s="16" t="s">
        <v>5270</v>
      </c>
      <c r="B742" s="1" t="s">
        <v>2631</v>
      </c>
      <c r="C742" s="1">
        <v>121</v>
      </c>
      <c r="D742" s="1" t="s">
        <v>7</v>
      </c>
      <c r="E742" s="1" t="s">
        <v>6</v>
      </c>
      <c r="F742" s="1" t="s">
        <v>2573</v>
      </c>
      <c r="G742" s="14" t="s">
        <v>4458</v>
      </c>
      <c r="H742" s="1" t="s">
        <v>118</v>
      </c>
      <c r="I742" s="1" t="s">
        <v>4792</v>
      </c>
    </row>
    <row r="743" spans="1:9">
      <c r="A743" s="16" t="s">
        <v>5271</v>
      </c>
      <c r="B743" s="1" t="s">
        <v>2631</v>
      </c>
      <c r="C743" s="1">
        <v>121</v>
      </c>
      <c r="D743" s="1" t="s">
        <v>7</v>
      </c>
      <c r="E743" s="1" t="s">
        <v>6</v>
      </c>
      <c r="F743" s="1" t="s">
        <v>2573</v>
      </c>
      <c r="G743" s="14" t="s">
        <v>4458</v>
      </c>
      <c r="H743" s="1" t="s">
        <v>118</v>
      </c>
      <c r="I743" s="1" t="s">
        <v>4792</v>
      </c>
    </row>
    <row r="744" spans="1:9">
      <c r="A744" s="16" t="s">
        <v>5272</v>
      </c>
      <c r="B744" s="1" t="s">
        <v>2631</v>
      </c>
      <c r="C744" s="1">
        <v>121</v>
      </c>
      <c r="D744" s="1" t="s">
        <v>7</v>
      </c>
      <c r="E744" s="1" t="s">
        <v>6</v>
      </c>
      <c r="F744" s="1" t="s">
        <v>2573</v>
      </c>
      <c r="G744" s="14" t="s">
        <v>4458</v>
      </c>
      <c r="H744" s="1" t="s">
        <v>118</v>
      </c>
      <c r="I744" s="1" t="s">
        <v>4792</v>
      </c>
    </row>
    <row r="745" spans="1:9">
      <c r="A745" s="16" t="s">
        <v>5273</v>
      </c>
      <c r="B745" s="1" t="s">
        <v>2631</v>
      </c>
      <c r="C745" s="1">
        <v>121</v>
      </c>
      <c r="D745" s="1" t="s">
        <v>7</v>
      </c>
      <c r="E745" s="1" t="s">
        <v>6</v>
      </c>
      <c r="F745" s="1" t="s">
        <v>2361</v>
      </c>
      <c r="G745" s="14" t="s">
        <v>4458</v>
      </c>
      <c r="H745" s="1" t="s">
        <v>118</v>
      </c>
      <c r="I745" s="1" t="s">
        <v>4792</v>
      </c>
    </row>
    <row r="746" spans="1:9">
      <c r="A746" s="16" t="s">
        <v>5274</v>
      </c>
      <c r="B746" s="1" t="s">
        <v>2631</v>
      </c>
      <c r="C746" s="1">
        <v>121</v>
      </c>
      <c r="D746" s="1" t="s">
        <v>7</v>
      </c>
      <c r="E746" s="1" t="s">
        <v>6</v>
      </c>
      <c r="F746" s="1" t="s">
        <v>2361</v>
      </c>
      <c r="G746" s="14" t="s">
        <v>4458</v>
      </c>
      <c r="H746" s="1" t="s">
        <v>118</v>
      </c>
      <c r="I746" s="1" t="s">
        <v>4792</v>
      </c>
    </row>
    <row r="747" spans="1:9">
      <c r="A747" s="16" t="s">
        <v>5275</v>
      </c>
      <c r="B747" s="1" t="s">
        <v>2631</v>
      </c>
      <c r="C747" s="1">
        <v>121</v>
      </c>
      <c r="D747" s="1" t="s">
        <v>7</v>
      </c>
      <c r="E747" s="1" t="s">
        <v>6</v>
      </c>
      <c r="F747" s="1" t="s">
        <v>2691</v>
      </c>
      <c r="G747" s="14" t="s">
        <v>4458</v>
      </c>
      <c r="H747" s="1" t="s">
        <v>118</v>
      </c>
      <c r="I747" s="1" t="s">
        <v>4792</v>
      </c>
    </row>
    <row r="748" spans="1:9">
      <c r="A748" s="16" t="s">
        <v>5276</v>
      </c>
      <c r="B748" s="1" t="s">
        <v>2631</v>
      </c>
      <c r="C748" s="1">
        <v>121</v>
      </c>
      <c r="D748" s="1" t="s">
        <v>7</v>
      </c>
      <c r="E748" s="1" t="s">
        <v>6</v>
      </c>
      <c r="F748" s="1" t="s">
        <v>2691</v>
      </c>
      <c r="G748" s="14" t="s">
        <v>4458</v>
      </c>
      <c r="H748" s="1" t="s">
        <v>118</v>
      </c>
      <c r="I748" s="1" t="s">
        <v>4792</v>
      </c>
    </row>
    <row r="749" spans="1:9">
      <c r="A749" s="16" t="s">
        <v>5277</v>
      </c>
      <c r="B749" s="1" t="s">
        <v>2631</v>
      </c>
      <c r="C749" s="1">
        <v>121</v>
      </c>
      <c r="D749" s="1" t="s">
        <v>7</v>
      </c>
      <c r="E749" s="1" t="s">
        <v>6</v>
      </c>
      <c r="F749" s="1" t="s">
        <v>2360</v>
      </c>
      <c r="G749" s="14" t="s">
        <v>4458</v>
      </c>
      <c r="H749" s="1" t="s">
        <v>118</v>
      </c>
      <c r="I749" s="1" t="s">
        <v>4792</v>
      </c>
    </row>
    <row r="750" spans="1:9">
      <c r="A750" s="16" t="s">
        <v>5278</v>
      </c>
      <c r="B750" s="1" t="s">
        <v>2631</v>
      </c>
      <c r="C750" s="1">
        <v>121</v>
      </c>
      <c r="D750" s="1" t="s">
        <v>7</v>
      </c>
      <c r="E750" s="1" t="s">
        <v>6</v>
      </c>
      <c r="F750" s="1" t="s">
        <v>2360</v>
      </c>
      <c r="G750" s="14" t="s">
        <v>4458</v>
      </c>
      <c r="H750" s="1" t="s">
        <v>118</v>
      </c>
      <c r="I750" s="1" t="s">
        <v>4792</v>
      </c>
    </row>
    <row r="751" spans="1:9">
      <c r="A751" s="16" t="s">
        <v>5279</v>
      </c>
      <c r="B751" s="1" t="s">
        <v>2631</v>
      </c>
      <c r="C751" s="1">
        <v>121</v>
      </c>
      <c r="D751" s="1" t="s">
        <v>7</v>
      </c>
      <c r="E751" s="1" t="s">
        <v>6</v>
      </c>
      <c r="F751" s="1" t="s">
        <v>2360</v>
      </c>
      <c r="G751" s="14" t="s">
        <v>4458</v>
      </c>
      <c r="H751" s="1" t="s">
        <v>118</v>
      </c>
      <c r="I751" s="1" t="s">
        <v>4792</v>
      </c>
    </row>
    <row r="752" spans="1:9">
      <c r="A752" s="16" t="s">
        <v>5280</v>
      </c>
      <c r="B752" s="1" t="s">
        <v>2631</v>
      </c>
      <c r="C752" s="1">
        <v>121</v>
      </c>
      <c r="D752" s="1" t="s">
        <v>7</v>
      </c>
      <c r="E752" s="1" t="s">
        <v>6</v>
      </c>
      <c r="F752" s="1" t="s">
        <v>2360</v>
      </c>
      <c r="G752" s="14" t="s">
        <v>4458</v>
      </c>
      <c r="H752" s="1" t="s">
        <v>118</v>
      </c>
      <c r="I752" s="1" t="s">
        <v>4792</v>
      </c>
    </row>
    <row r="753" spans="1:9">
      <c r="A753" s="16" t="s">
        <v>5281</v>
      </c>
      <c r="B753" s="1" t="s">
        <v>2631</v>
      </c>
      <c r="C753" s="1">
        <v>121</v>
      </c>
      <c r="D753" s="1" t="s">
        <v>7</v>
      </c>
      <c r="E753" s="1" t="s">
        <v>6</v>
      </c>
      <c r="F753" s="1" t="s">
        <v>2360</v>
      </c>
      <c r="G753" s="14" t="s">
        <v>4458</v>
      </c>
      <c r="H753" s="1" t="s">
        <v>118</v>
      </c>
      <c r="I753" s="1" t="s">
        <v>4792</v>
      </c>
    </row>
    <row r="754" spans="1:9">
      <c r="A754" s="16" t="s">
        <v>5282</v>
      </c>
      <c r="B754" s="1" t="s">
        <v>2631</v>
      </c>
      <c r="C754" s="1">
        <v>121</v>
      </c>
      <c r="D754" s="1" t="s">
        <v>7</v>
      </c>
      <c r="E754" s="1" t="s">
        <v>6</v>
      </c>
      <c r="F754" s="1" t="s">
        <v>2360</v>
      </c>
      <c r="G754" s="14" t="s">
        <v>4458</v>
      </c>
      <c r="H754" s="1" t="s">
        <v>118</v>
      </c>
      <c r="I754" s="1" t="s">
        <v>4792</v>
      </c>
    </row>
    <row r="755" spans="1:9">
      <c r="A755" s="16" t="s">
        <v>5283</v>
      </c>
      <c r="B755" s="1" t="s">
        <v>2631</v>
      </c>
      <c r="C755" s="1">
        <v>121</v>
      </c>
      <c r="D755" s="1" t="s">
        <v>7</v>
      </c>
      <c r="E755" s="1" t="s">
        <v>6</v>
      </c>
      <c r="F755" s="1" t="s">
        <v>5284</v>
      </c>
      <c r="G755" s="14" t="s">
        <v>4458</v>
      </c>
      <c r="H755" s="1" t="s">
        <v>118</v>
      </c>
      <c r="I755" s="1" t="s">
        <v>4792</v>
      </c>
    </row>
    <row r="756" spans="1:9">
      <c r="A756" s="16" t="s">
        <v>5285</v>
      </c>
      <c r="B756" s="1" t="s">
        <v>2631</v>
      </c>
      <c r="C756" s="1">
        <v>121</v>
      </c>
      <c r="D756" s="1" t="s">
        <v>7</v>
      </c>
      <c r="E756" s="1" t="s">
        <v>6</v>
      </c>
      <c r="F756" s="1" t="s">
        <v>5284</v>
      </c>
      <c r="G756" s="14" t="s">
        <v>4458</v>
      </c>
      <c r="H756" s="1" t="s">
        <v>118</v>
      </c>
      <c r="I756" s="1" t="s">
        <v>4792</v>
      </c>
    </row>
    <row r="757" spans="1:9">
      <c r="A757" s="16" t="s">
        <v>5286</v>
      </c>
      <c r="B757" s="1" t="s">
        <v>2631</v>
      </c>
      <c r="C757" s="1">
        <v>121</v>
      </c>
      <c r="D757" s="1" t="s">
        <v>7</v>
      </c>
      <c r="E757" s="1" t="s">
        <v>6</v>
      </c>
      <c r="F757" s="1" t="s">
        <v>139</v>
      </c>
      <c r="G757" s="14" t="s">
        <v>4458</v>
      </c>
      <c r="H757" s="1" t="s">
        <v>118</v>
      </c>
      <c r="I757" s="1" t="s">
        <v>4792</v>
      </c>
    </row>
    <row r="758" spans="1:9">
      <c r="A758" s="16" t="s">
        <v>5287</v>
      </c>
      <c r="B758" s="1" t="s">
        <v>2631</v>
      </c>
      <c r="C758" s="1">
        <v>121</v>
      </c>
      <c r="D758" s="1" t="s">
        <v>7</v>
      </c>
      <c r="E758" s="1" t="s">
        <v>6</v>
      </c>
      <c r="F758" s="1" t="s">
        <v>139</v>
      </c>
      <c r="G758" s="14" t="s">
        <v>4458</v>
      </c>
      <c r="H758" s="1" t="s">
        <v>118</v>
      </c>
      <c r="I758" s="1" t="s">
        <v>4792</v>
      </c>
    </row>
    <row r="759" spans="1:9">
      <c r="A759" s="16" t="s">
        <v>5288</v>
      </c>
      <c r="B759" s="1" t="s">
        <v>2631</v>
      </c>
      <c r="C759" s="1">
        <v>121</v>
      </c>
      <c r="D759" s="1" t="s">
        <v>7</v>
      </c>
      <c r="E759" s="1" t="s">
        <v>6</v>
      </c>
      <c r="F759" s="1" t="s">
        <v>139</v>
      </c>
      <c r="G759" s="14" t="s">
        <v>4458</v>
      </c>
      <c r="H759" s="1" t="s">
        <v>118</v>
      </c>
      <c r="I759" s="1" t="s">
        <v>4792</v>
      </c>
    </row>
    <row r="760" spans="1:9">
      <c r="A760" s="16" t="s">
        <v>5289</v>
      </c>
      <c r="B760" s="1" t="s">
        <v>2631</v>
      </c>
      <c r="C760" s="1">
        <v>121</v>
      </c>
      <c r="D760" s="1" t="s">
        <v>7</v>
      </c>
      <c r="E760" s="1" t="s">
        <v>6</v>
      </c>
      <c r="F760" s="1" t="s">
        <v>139</v>
      </c>
      <c r="G760" s="14" t="s">
        <v>4458</v>
      </c>
      <c r="H760" s="1" t="s">
        <v>118</v>
      </c>
      <c r="I760" s="1" t="s">
        <v>4792</v>
      </c>
    </row>
    <row r="761" spans="1:9">
      <c r="A761" s="16" t="s">
        <v>5291</v>
      </c>
      <c r="B761" s="1" t="s">
        <v>2631</v>
      </c>
      <c r="C761" s="1">
        <v>121</v>
      </c>
      <c r="D761" s="1" t="s">
        <v>7</v>
      </c>
      <c r="E761" s="1" t="s">
        <v>6</v>
      </c>
      <c r="F761" s="1" t="s">
        <v>139</v>
      </c>
      <c r="G761" s="14" t="s">
        <v>4458</v>
      </c>
      <c r="H761" s="1" t="s">
        <v>118</v>
      </c>
      <c r="I761" s="1" t="s">
        <v>4792</v>
      </c>
    </row>
    <row r="762" spans="1:9">
      <c r="A762" s="16" t="s">
        <v>5292</v>
      </c>
      <c r="B762" s="1" t="s">
        <v>2631</v>
      </c>
      <c r="C762" s="1">
        <v>121</v>
      </c>
      <c r="D762" s="1" t="s">
        <v>7</v>
      </c>
      <c r="E762" s="1" t="s">
        <v>6</v>
      </c>
      <c r="F762" s="1" t="s">
        <v>139</v>
      </c>
      <c r="G762" s="14" t="s">
        <v>4458</v>
      </c>
      <c r="H762" s="1" t="s">
        <v>118</v>
      </c>
      <c r="I762" s="1" t="s">
        <v>4792</v>
      </c>
    </row>
    <row r="763" spans="1:9">
      <c r="A763" s="16" t="s">
        <v>5293</v>
      </c>
      <c r="B763" s="1" t="s">
        <v>2631</v>
      </c>
      <c r="C763" s="1">
        <v>121</v>
      </c>
      <c r="D763" s="1" t="s">
        <v>7</v>
      </c>
      <c r="E763" s="1" t="s">
        <v>6</v>
      </c>
      <c r="F763" s="1" t="s">
        <v>139</v>
      </c>
      <c r="G763" s="14" t="s">
        <v>4458</v>
      </c>
      <c r="H763" s="1" t="s">
        <v>118</v>
      </c>
      <c r="I763" s="1" t="s">
        <v>4792</v>
      </c>
    </row>
    <row r="764" spans="1:9">
      <c r="A764" s="16" t="s">
        <v>5294</v>
      </c>
      <c r="B764" s="1" t="s">
        <v>2631</v>
      </c>
      <c r="C764" s="1">
        <v>121</v>
      </c>
      <c r="D764" s="1" t="s">
        <v>7</v>
      </c>
      <c r="E764" s="1" t="s">
        <v>6</v>
      </c>
      <c r="F764" s="1" t="s">
        <v>139</v>
      </c>
      <c r="G764" s="14" t="s">
        <v>4458</v>
      </c>
      <c r="H764" s="1" t="s">
        <v>118</v>
      </c>
      <c r="I764" s="1" t="s">
        <v>4792</v>
      </c>
    </row>
    <row r="765" spans="1:9">
      <c r="A765" s="16" t="s">
        <v>5295</v>
      </c>
      <c r="B765" s="1" t="s">
        <v>2631</v>
      </c>
      <c r="C765" s="1">
        <v>121</v>
      </c>
      <c r="D765" s="1" t="s">
        <v>7</v>
      </c>
      <c r="E765" s="1" t="s">
        <v>6</v>
      </c>
      <c r="F765" s="1" t="s">
        <v>139</v>
      </c>
      <c r="G765" s="14" t="s">
        <v>4458</v>
      </c>
      <c r="H765" s="1" t="s">
        <v>118</v>
      </c>
      <c r="I765" s="1" t="s">
        <v>4792</v>
      </c>
    </row>
    <row r="766" spans="1:9">
      <c r="A766" s="16" t="s">
        <v>5296</v>
      </c>
      <c r="B766" s="1" t="s">
        <v>2631</v>
      </c>
      <c r="C766" s="1">
        <v>121</v>
      </c>
      <c r="D766" s="1" t="s">
        <v>7</v>
      </c>
      <c r="E766" s="1" t="s">
        <v>6</v>
      </c>
      <c r="F766" s="1" t="s">
        <v>5297</v>
      </c>
      <c r="G766" s="14" t="s">
        <v>4458</v>
      </c>
      <c r="H766" s="1" t="s">
        <v>118</v>
      </c>
      <c r="I766" s="1" t="s">
        <v>4792</v>
      </c>
    </row>
    <row r="767" spans="1:9">
      <c r="A767" s="16" t="s">
        <v>5298</v>
      </c>
      <c r="B767" s="1" t="s">
        <v>2631</v>
      </c>
      <c r="C767" s="1">
        <v>121</v>
      </c>
      <c r="D767" s="1" t="s">
        <v>7</v>
      </c>
      <c r="E767" s="1" t="s">
        <v>6</v>
      </c>
      <c r="F767" s="1" t="s">
        <v>5297</v>
      </c>
      <c r="G767" s="14" t="s">
        <v>4458</v>
      </c>
      <c r="H767" s="1" t="s">
        <v>118</v>
      </c>
      <c r="I767" s="1" t="s">
        <v>4792</v>
      </c>
    </row>
    <row r="768" spans="1:9">
      <c r="A768" s="16" t="s">
        <v>5299</v>
      </c>
      <c r="B768" s="1" t="s">
        <v>2631</v>
      </c>
      <c r="C768" s="1">
        <v>121</v>
      </c>
      <c r="D768" s="1" t="s">
        <v>7</v>
      </c>
      <c r="E768" s="1" t="s">
        <v>6</v>
      </c>
      <c r="F768" s="1" t="s">
        <v>5300</v>
      </c>
      <c r="G768" s="14" t="s">
        <v>4458</v>
      </c>
      <c r="H768" s="1" t="s">
        <v>118</v>
      </c>
      <c r="I768" s="1" t="s">
        <v>4792</v>
      </c>
    </row>
    <row r="769" spans="1:9">
      <c r="A769" s="16" t="s">
        <v>5301</v>
      </c>
      <c r="B769" s="1" t="s">
        <v>2631</v>
      </c>
      <c r="C769" s="1">
        <v>121</v>
      </c>
      <c r="D769" s="1" t="s">
        <v>7</v>
      </c>
      <c r="E769" s="1" t="s">
        <v>6</v>
      </c>
      <c r="F769" s="1" t="s">
        <v>5300</v>
      </c>
      <c r="G769" s="14" t="s">
        <v>4458</v>
      </c>
      <c r="H769" s="1" t="s">
        <v>118</v>
      </c>
      <c r="I769" s="1" t="s">
        <v>4792</v>
      </c>
    </row>
    <row r="770" spans="1:9">
      <c r="A770" s="16" t="s">
        <v>5302</v>
      </c>
      <c r="B770" s="1" t="s">
        <v>2631</v>
      </c>
      <c r="C770" s="1">
        <v>121</v>
      </c>
      <c r="D770" s="1" t="s">
        <v>7</v>
      </c>
      <c r="E770" s="1" t="s">
        <v>6</v>
      </c>
      <c r="F770" s="1" t="s">
        <v>5303</v>
      </c>
      <c r="G770" s="14" t="s">
        <v>4458</v>
      </c>
      <c r="H770" s="1" t="s">
        <v>118</v>
      </c>
      <c r="I770" s="1" t="s">
        <v>4792</v>
      </c>
    </row>
    <row r="771" spans="1:9">
      <c r="A771" s="16" t="s">
        <v>5304</v>
      </c>
      <c r="B771" s="1" t="s">
        <v>2631</v>
      </c>
      <c r="C771" s="1">
        <v>121</v>
      </c>
      <c r="D771" s="1" t="s">
        <v>7</v>
      </c>
      <c r="E771" s="1" t="s">
        <v>6</v>
      </c>
      <c r="F771" s="1" t="s">
        <v>5303</v>
      </c>
      <c r="G771" s="14" t="s">
        <v>4458</v>
      </c>
      <c r="H771" s="1" t="s">
        <v>118</v>
      </c>
      <c r="I771" s="1" t="s">
        <v>4792</v>
      </c>
    </row>
    <row r="772" spans="1:9">
      <c r="A772" s="16" t="s">
        <v>5305</v>
      </c>
      <c r="B772" s="1" t="s">
        <v>2631</v>
      </c>
      <c r="C772" s="1">
        <v>121</v>
      </c>
      <c r="D772" s="1" t="s">
        <v>7</v>
      </c>
      <c r="E772" s="1" t="s">
        <v>6</v>
      </c>
      <c r="F772" s="1" t="s">
        <v>5303</v>
      </c>
      <c r="G772" s="14" t="s">
        <v>4458</v>
      </c>
      <c r="H772" s="1" t="s">
        <v>118</v>
      </c>
      <c r="I772" s="1" t="s">
        <v>4792</v>
      </c>
    </row>
    <row r="773" spans="1:9">
      <c r="A773" s="16" t="s">
        <v>5306</v>
      </c>
      <c r="B773" s="1" t="s">
        <v>2631</v>
      </c>
      <c r="C773" s="1">
        <v>121</v>
      </c>
      <c r="D773" s="1" t="s">
        <v>7</v>
      </c>
      <c r="E773" s="1" t="s">
        <v>6</v>
      </c>
      <c r="F773" s="1" t="s">
        <v>5303</v>
      </c>
      <c r="G773" s="14" t="s">
        <v>4458</v>
      </c>
      <c r="H773" s="1" t="s">
        <v>118</v>
      </c>
      <c r="I773" s="1" t="s">
        <v>4792</v>
      </c>
    </row>
    <row r="774" spans="1:9">
      <c r="A774" s="16" t="s">
        <v>5346</v>
      </c>
      <c r="B774" s="1" t="s">
        <v>2631</v>
      </c>
      <c r="C774" s="1">
        <v>121</v>
      </c>
      <c r="D774" s="1" t="s">
        <v>7</v>
      </c>
      <c r="E774" s="1" t="s">
        <v>6</v>
      </c>
      <c r="F774" s="1" t="s">
        <v>2690</v>
      </c>
      <c r="G774" s="14" t="s">
        <v>4458</v>
      </c>
      <c r="H774" s="1" t="s">
        <v>118</v>
      </c>
      <c r="I774" s="17">
        <v>40522</v>
      </c>
    </row>
    <row r="775" spans="1:9">
      <c r="A775" s="16" t="s">
        <v>5347</v>
      </c>
      <c r="B775" s="1" t="s">
        <v>2631</v>
      </c>
      <c r="C775" s="1">
        <v>121</v>
      </c>
      <c r="D775" s="1" t="s">
        <v>7</v>
      </c>
      <c r="E775" s="1" t="s">
        <v>6</v>
      </c>
      <c r="F775" s="1" t="s">
        <v>2690</v>
      </c>
      <c r="G775" s="14" t="s">
        <v>4458</v>
      </c>
      <c r="H775" s="1" t="s">
        <v>118</v>
      </c>
      <c r="I775" s="17">
        <v>40763</v>
      </c>
    </row>
    <row r="776" spans="1:9">
      <c r="A776" s="16" t="s">
        <v>5360</v>
      </c>
      <c r="B776" s="1" t="s">
        <v>2631</v>
      </c>
      <c r="C776" s="1">
        <v>121</v>
      </c>
      <c r="D776" s="1" t="s">
        <v>7</v>
      </c>
      <c r="E776" s="1" t="s">
        <v>6</v>
      </c>
      <c r="F776" s="1" t="s">
        <v>2696</v>
      </c>
      <c r="G776" s="14" t="s">
        <v>4458</v>
      </c>
      <c r="H776" s="1" t="s">
        <v>118</v>
      </c>
      <c r="I776" s="17">
        <v>40179</v>
      </c>
    </row>
    <row r="777" spans="1:9">
      <c r="A777" s="16" t="s">
        <v>5364</v>
      </c>
      <c r="B777" s="1" t="s">
        <v>2631</v>
      </c>
      <c r="C777" s="1">
        <v>121</v>
      </c>
      <c r="D777" s="1" t="s">
        <v>7</v>
      </c>
      <c r="E777" s="1" t="s">
        <v>6</v>
      </c>
      <c r="F777" s="1" t="s">
        <v>2696</v>
      </c>
      <c r="G777" s="14" t="s">
        <v>4458</v>
      </c>
      <c r="H777" s="1" t="s">
        <v>118</v>
      </c>
      <c r="I777" s="17">
        <v>40544</v>
      </c>
    </row>
    <row r="778" spans="1:9">
      <c r="A778" s="16" t="s">
        <v>5366</v>
      </c>
      <c r="B778" s="1" t="s">
        <v>2631</v>
      </c>
      <c r="C778" s="1">
        <v>121</v>
      </c>
      <c r="D778" s="1" t="s">
        <v>7</v>
      </c>
      <c r="E778" s="1" t="s">
        <v>6</v>
      </c>
      <c r="F778" s="1" t="s">
        <v>2696</v>
      </c>
      <c r="G778" s="14" t="s">
        <v>4458</v>
      </c>
      <c r="H778" s="1" t="s">
        <v>118</v>
      </c>
      <c r="I778" s="17">
        <v>40544</v>
      </c>
    </row>
    <row r="779" spans="1:9">
      <c r="A779" s="16" t="s">
        <v>5368</v>
      </c>
      <c r="B779" s="1" t="s">
        <v>2631</v>
      </c>
      <c r="C779" s="1">
        <v>121</v>
      </c>
      <c r="D779" s="1" t="s">
        <v>7</v>
      </c>
      <c r="E779" s="1" t="s">
        <v>6</v>
      </c>
      <c r="F779" s="1" t="s">
        <v>2696</v>
      </c>
      <c r="G779" s="14" t="s">
        <v>4458</v>
      </c>
      <c r="H779" s="1" t="s">
        <v>118</v>
      </c>
      <c r="I779" s="17">
        <v>40909</v>
      </c>
    </row>
    <row r="780" spans="1:9">
      <c r="A780" s="16" t="s">
        <v>5374</v>
      </c>
      <c r="B780" s="1" t="s">
        <v>2631</v>
      </c>
      <c r="C780" s="1">
        <v>121</v>
      </c>
      <c r="D780" s="1" t="s">
        <v>7</v>
      </c>
      <c r="E780" s="1" t="s">
        <v>6</v>
      </c>
      <c r="F780" s="1" t="s">
        <v>2696</v>
      </c>
      <c r="G780" s="14" t="s">
        <v>4458</v>
      </c>
      <c r="H780" s="1" t="s">
        <v>118</v>
      </c>
      <c r="I780" s="17">
        <v>40909</v>
      </c>
    </row>
    <row r="781" spans="1:9">
      <c r="A781" s="16" t="s">
        <v>5375</v>
      </c>
      <c r="B781" s="1" t="s">
        <v>2631</v>
      </c>
      <c r="C781" s="1">
        <v>121</v>
      </c>
      <c r="D781" s="1" t="s">
        <v>7</v>
      </c>
      <c r="E781" s="1" t="s">
        <v>6</v>
      </c>
      <c r="F781" s="1" t="s">
        <v>2696</v>
      </c>
      <c r="G781" s="14" t="s">
        <v>4458</v>
      </c>
      <c r="H781" s="1" t="s">
        <v>118</v>
      </c>
      <c r="I781" s="17">
        <v>40909</v>
      </c>
    </row>
    <row r="782" spans="1:9">
      <c r="A782" s="16" t="s">
        <v>5378</v>
      </c>
      <c r="B782" s="1" t="s">
        <v>2631</v>
      </c>
      <c r="C782" s="1">
        <v>121</v>
      </c>
      <c r="D782" s="1" t="s">
        <v>7</v>
      </c>
      <c r="E782" s="1" t="s">
        <v>6</v>
      </c>
      <c r="F782" s="1" t="s">
        <v>2696</v>
      </c>
      <c r="G782" s="14" t="s">
        <v>4458</v>
      </c>
      <c r="H782" s="1" t="s">
        <v>118</v>
      </c>
      <c r="I782" s="17">
        <v>41275</v>
      </c>
    </row>
    <row r="783" spans="1:9">
      <c r="A783" s="16" t="s">
        <v>5381</v>
      </c>
      <c r="B783" s="1" t="s">
        <v>2631</v>
      </c>
      <c r="C783" s="1">
        <v>121</v>
      </c>
      <c r="D783" s="1" t="s">
        <v>7</v>
      </c>
      <c r="E783" s="1" t="s">
        <v>6</v>
      </c>
      <c r="F783" s="1" t="s">
        <v>2696</v>
      </c>
      <c r="G783" s="14" t="s">
        <v>4458</v>
      </c>
      <c r="H783" s="1" t="s">
        <v>118</v>
      </c>
      <c r="I783" s="17">
        <v>41275</v>
      </c>
    </row>
    <row r="784" spans="1:9">
      <c r="A784" s="16" t="s">
        <v>5383</v>
      </c>
      <c r="B784" s="1" t="s">
        <v>2631</v>
      </c>
      <c r="C784" s="1">
        <v>121</v>
      </c>
      <c r="D784" s="1" t="s">
        <v>7</v>
      </c>
      <c r="E784" s="1" t="s">
        <v>6</v>
      </c>
      <c r="F784" s="1" t="s">
        <v>2696</v>
      </c>
      <c r="G784" s="14" t="s">
        <v>4458</v>
      </c>
      <c r="H784" s="1" t="s">
        <v>118</v>
      </c>
      <c r="I784" s="17">
        <v>41275</v>
      </c>
    </row>
    <row r="785" spans="1:9">
      <c r="A785" s="16" t="s">
        <v>5386</v>
      </c>
      <c r="B785" s="1" t="s">
        <v>2631</v>
      </c>
      <c r="C785" s="1">
        <v>121</v>
      </c>
      <c r="D785" s="1" t="s">
        <v>7</v>
      </c>
      <c r="E785" s="1" t="s">
        <v>6</v>
      </c>
      <c r="F785" s="1" t="s">
        <v>2696</v>
      </c>
      <c r="G785" s="14" t="s">
        <v>4458</v>
      </c>
      <c r="H785" s="1" t="s">
        <v>118</v>
      </c>
      <c r="I785" s="17">
        <v>41275</v>
      </c>
    </row>
    <row r="786" spans="1:9">
      <c r="A786" s="16" t="s">
        <v>5387</v>
      </c>
      <c r="B786" s="1" t="s">
        <v>2631</v>
      </c>
      <c r="C786" s="1">
        <v>121</v>
      </c>
      <c r="D786" s="1" t="s">
        <v>7</v>
      </c>
      <c r="E786" s="1" t="s">
        <v>6</v>
      </c>
      <c r="F786" s="1" t="s">
        <v>2696</v>
      </c>
      <c r="G786" s="14" t="s">
        <v>4458</v>
      </c>
      <c r="H786" s="1" t="s">
        <v>118</v>
      </c>
      <c r="I786" s="17">
        <v>41275</v>
      </c>
    </row>
    <row r="787" spans="1:9">
      <c r="A787" s="16" t="s">
        <v>5388</v>
      </c>
      <c r="B787" s="1" t="s">
        <v>2631</v>
      </c>
      <c r="C787" s="1">
        <v>121</v>
      </c>
      <c r="D787" s="1" t="s">
        <v>7</v>
      </c>
      <c r="E787" s="1" t="s">
        <v>6</v>
      </c>
      <c r="F787" s="1" t="s">
        <v>2696</v>
      </c>
      <c r="G787" s="14" t="s">
        <v>4458</v>
      </c>
      <c r="H787" s="1" t="s">
        <v>118</v>
      </c>
      <c r="I787" s="17">
        <v>41275</v>
      </c>
    </row>
    <row r="788" spans="1:9">
      <c r="A788" s="16" t="s">
        <v>5390</v>
      </c>
      <c r="B788" s="1" t="s">
        <v>2631</v>
      </c>
      <c r="C788" s="1">
        <v>236</v>
      </c>
      <c r="D788" s="1" t="s">
        <v>7</v>
      </c>
      <c r="E788" s="1" t="s">
        <v>6</v>
      </c>
      <c r="F788" s="1" t="s">
        <v>2696</v>
      </c>
      <c r="G788" s="14" t="s">
        <v>4458</v>
      </c>
      <c r="H788" s="1" t="s">
        <v>118</v>
      </c>
      <c r="I788" s="17">
        <v>41275</v>
      </c>
    </row>
    <row r="789" spans="1:9">
      <c r="A789" s="16" t="s">
        <v>5391</v>
      </c>
      <c r="B789" s="1" t="s">
        <v>2631</v>
      </c>
      <c r="C789" s="1">
        <v>121</v>
      </c>
      <c r="D789" s="1" t="s">
        <v>7</v>
      </c>
      <c r="E789" s="1" t="s">
        <v>6</v>
      </c>
      <c r="F789" s="1" t="s">
        <v>2696</v>
      </c>
      <c r="G789" s="14" t="s">
        <v>4458</v>
      </c>
      <c r="H789" s="1" t="s">
        <v>118</v>
      </c>
      <c r="I789" s="17">
        <v>41640</v>
      </c>
    </row>
    <row r="790" spans="1:9">
      <c r="A790" s="16" t="s">
        <v>5393</v>
      </c>
      <c r="B790" s="1" t="s">
        <v>2631</v>
      </c>
      <c r="C790" s="1">
        <v>121</v>
      </c>
      <c r="D790" s="1" t="s">
        <v>7</v>
      </c>
      <c r="E790" s="1" t="s">
        <v>6</v>
      </c>
      <c r="F790" s="1" t="s">
        <v>2696</v>
      </c>
      <c r="G790" s="14" t="s">
        <v>4458</v>
      </c>
      <c r="H790" s="1" t="s">
        <v>118</v>
      </c>
      <c r="I790" s="17">
        <v>41640</v>
      </c>
    </row>
    <row r="791" spans="1:9">
      <c r="A791" s="16" t="s">
        <v>5398</v>
      </c>
      <c r="B791" s="1" t="s">
        <v>2631</v>
      </c>
      <c r="C791" s="1">
        <v>121</v>
      </c>
      <c r="D791" s="1" t="s">
        <v>7</v>
      </c>
      <c r="E791" s="1" t="s">
        <v>6</v>
      </c>
      <c r="F791" s="1" t="s">
        <v>2696</v>
      </c>
      <c r="G791" s="14" t="s">
        <v>4458</v>
      </c>
      <c r="H791" s="1" t="s">
        <v>118</v>
      </c>
      <c r="I791" s="17">
        <v>41640</v>
      </c>
    </row>
    <row r="792" spans="1:9">
      <c r="A792" s="16" t="s">
        <v>5409</v>
      </c>
      <c r="B792" s="1" t="s">
        <v>2631</v>
      </c>
      <c r="C792" s="1">
        <v>121</v>
      </c>
      <c r="D792" s="1" t="s">
        <v>7</v>
      </c>
      <c r="E792" s="1" t="s">
        <v>6</v>
      </c>
      <c r="F792" s="1" t="s">
        <v>406</v>
      </c>
      <c r="G792" s="14" t="s">
        <v>4458</v>
      </c>
      <c r="H792" s="1" t="s">
        <v>118</v>
      </c>
      <c r="I792" s="17">
        <v>41713</v>
      </c>
    </row>
    <row r="793" spans="1:9">
      <c r="A793" s="16" t="s">
        <v>5410</v>
      </c>
      <c r="B793" s="1" t="s">
        <v>2631</v>
      </c>
      <c r="C793" s="1">
        <v>121</v>
      </c>
      <c r="D793" s="1" t="s">
        <v>7</v>
      </c>
      <c r="E793" s="1" t="s">
        <v>6</v>
      </c>
      <c r="F793" s="1" t="s">
        <v>406</v>
      </c>
      <c r="G793" s="14" t="s">
        <v>4458</v>
      </c>
      <c r="H793" s="1" t="s">
        <v>118</v>
      </c>
      <c r="I793" s="17">
        <v>41805</v>
      </c>
    </row>
    <row r="794" spans="1:9">
      <c r="A794" s="16" t="s">
        <v>5419</v>
      </c>
      <c r="B794" s="1" t="s">
        <v>2631</v>
      </c>
      <c r="C794" s="1">
        <v>121</v>
      </c>
      <c r="D794" s="1" t="s">
        <v>7</v>
      </c>
      <c r="E794" s="1" t="s">
        <v>6</v>
      </c>
      <c r="F794" s="1" t="s">
        <v>588</v>
      </c>
      <c r="G794" s="14" t="s">
        <v>4458</v>
      </c>
      <c r="H794" s="1" t="s">
        <v>118</v>
      </c>
      <c r="I794" s="17">
        <v>41383</v>
      </c>
    </row>
    <row r="795" spans="1:9">
      <c r="A795" s="16" t="s">
        <v>5427</v>
      </c>
      <c r="B795" s="1" t="s">
        <v>2631</v>
      </c>
      <c r="C795" s="1">
        <v>121</v>
      </c>
      <c r="D795" s="1" t="s">
        <v>7</v>
      </c>
      <c r="E795" s="1" t="s">
        <v>6</v>
      </c>
      <c r="F795" s="1" t="s">
        <v>588</v>
      </c>
      <c r="G795" s="14" t="s">
        <v>4458</v>
      </c>
      <c r="H795" s="1" t="s">
        <v>118</v>
      </c>
      <c r="I795" s="17">
        <v>40360</v>
      </c>
    </row>
    <row r="796" spans="1:9">
      <c r="A796" s="16" t="s">
        <v>5432</v>
      </c>
      <c r="B796" s="1" t="s">
        <v>2631</v>
      </c>
      <c r="C796" s="1">
        <v>121</v>
      </c>
      <c r="D796" s="1" t="s">
        <v>7</v>
      </c>
      <c r="E796" s="1" t="s">
        <v>6</v>
      </c>
      <c r="F796" s="1" t="s">
        <v>588</v>
      </c>
      <c r="G796" s="14" t="s">
        <v>4458</v>
      </c>
      <c r="H796" s="1" t="s">
        <v>118</v>
      </c>
      <c r="I796" s="17">
        <v>42145</v>
      </c>
    </row>
    <row r="797" spans="1:9">
      <c r="A797" s="16" t="s">
        <v>5433</v>
      </c>
      <c r="B797" s="1" t="s">
        <v>2631</v>
      </c>
      <c r="C797" s="1">
        <v>121</v>
      </c>
      <c r="D797" s="1" t="s">
        <v>7</v>
      </c>
      <c r="E797" s="1" t="s">
        <v>6</v>
      </c>
      <c r="F797" s="1" t="s">
        <v>588</v>
      </c>
      <c r="G797" s="14" t="s">
        <v>4458</v>
      </c>
      <c r="H797" s="1" t="s">
        <v>118</v>
      </c>
      <c r="I797" s="17">
        <v>42147</v>
      </c>
    </row>
    <row r="798" spans="1:9">
      <c r="A798" s="16" t="s">
        <v>5452</v>
      </c>
      <c r="B798" s="1" t="s">
        <v>2631</v>
      </c>
      <c r="C798" s="1">
        <v>121</v>
      </c>
      <c r="D798" s="1" t="s">
        <v>7</v>
      </c>
      <c r="E798" s="1" t="s">
        <v>6</v>
      </c>
      <c r="F798" s="1" t="s">
        <v>588</v>
      </c>
      <c r="G798" s="14" t="s">
        <v>4458</v>
      </c>
      <c r="H798" s="1" t="s">
        <v>118</v>
      </c>
      <c r="I798" s="17">
        <v>42627</v>
      </c>
    </row>
    <row r="799" spans="1:9">
      <c r="A799" s="16" t="s">
        <v>5473</v>
      </c>
      <c r="B799" s="1" t="s">
        <v>2631</v>
      </c>
      <c r="C799" s="1">
        <v>121</v>
      </c>
      <c r="D799" s="1" t="s">
        <v>7</v>
      </c>
      <c r="E799" s="1" t="s">
        <v>6</v>
      </c>
      <c r="F799" s="1" t="s">
        <v>2698</v>
      </c>
      <c r="G799" s="14" t="s">
        <v>4458</v>
      </c>
      <c r="H799" s="1" t="s">
        <v>118</v>
      </c>
      <c r="I799" s="17">
        <v>42005</v>
      </c>
    </row>
    <row r="800" spans="1:9">
      <c r="A800" s="16" t="s">
        <v>5474</v>
      </c>
      <c r="B800" s="1" t="s">
        <v>2631</v>
      </c>
      <c r="C800" s="1">
        <v>121</v>
      </c>
      <c r="D800" s="1" t="s">
        <v>7</v>
      </c>
      <c r="E800" s="1" t="s">
        <v>6</v>
      </c>
      <c r="F800" s="1" t="s">
        <v>2698</v>
      </c>
      <c r="G800" s="14" t="s">
        <v>4458</v>
      </c>
      <c r="H800" s="1" t="s">
        <v>118</v>
      </c>
      <c r="I800" s="17">
        <v>42005</v>
      </c>
    </row>
    <row r="801" spans="1:9">
      <c r="A801" s="16" t="s">
        <v>5477</v>
      </c>
      <c r="B801" s="1" t="s">
        <v>2631</v>
      </c>
      <c r="C801" s="1">
        <v>121</v>
      </c>
      <c r="D801" s="1" t="s">
        <v>7</v>
      </c>
      <c r="E801" s="1" t="s">
        <v>6</v>
      </c>
      <c r="F801" s="1" t="s">
        <v>5478</v>
      </c>
      <c r="G801" s="14" t="s">
        <v>4458</v>
      </c>
      <c r="H801" s="1" t="s">
        <v>118</v>
      </c>
      <c r="I801" s="17">
        <v>40909</v>
      </c>
    </row>
    <row r="802" spans="1:9">
      <c r="A802" s="16" t="s">
        <v>5479</v>
      </c>
      <c r="B802" s="1" t="s">
        <v>2631</v>
      </c>
      <c r="C802" s="1">
        <v>121</v>
      </c>
      <c r="D802" s="1" t="s">
        <v>7</v>
      </c>
      <c r="E802" s="1" t="s">
        <v>6</v>
      </c>
      <c r="F802" s="1" t="s">
        <v>5478</v>
      </c>
      <c r="G802" s="14" t="s">
        <v>4458</v>
      </c>
      <c r="H802" s="1" t="s">
        <v>118</v>
      </c>
      <c r="I802" s="17">
        <v>41640</v>
      </c>
    </row>
    <row r="803" spans="1:9">
      <c r="A803" s="16" t="s">
        <v>5480</v>
      </c>
      <c r="B803" s="1" t="s">
        <v>2631</v>
      </c>
      <c r="C803" s="1">
        <v>121</v>
      </c>
      <c r="D803" s="1" t="s">
        <v>7</v>
      </c>
      <c r="E803" s="1" t="s">
        <v>6</v>
      </c>
      <c r="F803" s="1" t="s">
        <v>5478</v>
      </c>
      <c r="G803" s="14" t="s">
        <v>4458</v>
      </c>
      <c r="H803" s="1" t="s">
        <v>118</v>
      </c>
      <c r="I803" s="17">
        <v>41640</v>
      </c>
    </row>
    <row r="804" spans="1:9">
      <c r="A804" s="16" t="s">
        <v>5481</v>
      </c>
      <c r="B804" s="1" t="s">
        <v>2631</v>
      </c>
      <c r="C804" s="1">
        <v>121</v>
      </c>
      <c r="D804" s="1" t="s">
        <v>7</v>
      </c>
      <c r="E804" s="1" t="s">
        <v>6</v>
      </c>
      <c r="F804" s="1" t="s">
        <v>5478</v>
      </c>
      <c r="G804" s="14" t="s">
        <v>4458</v>
      </c>
      <c r="H804" s="1" t="s">
        <v>118</v>
      </c>
      <c r="I804" s="17">
        <v>41640</v>
      </c>
    </row>
    <row r="805" spans="1:9">
      <c r="A805" s="16" t="s">
        <v>5525</v>
      </c>
      <c r="B805" s="1" t="s">
        <v>2631</v>
      </c>
      <c r="C805" s="1">
        <v>121</v>
      </c>
      <c r="D805" s="1" t="s">
        <v>7</v>
      </c>
      <c r="E805" s="1" t="s">
        <v>6</v>
      </c>
      <c r="F805" s="1" t="s">
        <v>2699</v>
      </c>
      <c r="G805" s="14" t="s">
        <v>4458</v>
      </c>
      <c r="H805" s="1" t="s">
        <v>118</v>
      </c>
      <c r="I805" s="17">
        <v>40544</v>
      </c>
    </row>
    <row r="806" spans="1:9">
      <c r="A806" s="16" t="s">
        <v>5527</v>
      </c>
      <c r="B806" s="1" t="s">
        <v>2631</v>
      </c>
      <c r="C806" s="1">
        <v>121</v>
      </c>
      <c r="D806" s="1" t="s">
        <v>7</v>
      </c>
      <c r="E806" s="1" t="s">
        <v>6</v>
      </c>
      <c r="F806" s="1" t="s">
        <v>2699</v>
      </c>
      <c r="G806" s="14" t="s">
        <v>4458</v>
      </c>
      <c r="H806" s="1" t="s">
        <v>118</v>
      </c>
      <c r="I806" s="17">
        <v>40909</v>
      </c>
    </row>
    <row r="807" spans="1:9">
      <c r="A807" s="16" t="s">
        <v>5529</v>
      </c>
      <c r="B807" s="1" t="s">
        <v>2631</v>
      </c>
      <c r="C807" s="1">
        <v>121</v>
      </c>
      <c r="D807" s="1" t="s">
        <v>7</v>
      </c>
      <c r="E807" s="1" t="s">
        <v>6</v>
      </c>
      <c r="F807" s="1" t="s">
        <v>2699</v>
      </c>
      <c r="G807" s="14" t="s">
        <v>4458</v>
      </c>
      <c r="H807" s="1" t="s">
        <v>118</v>
      </c>
      <c r="I807" s="17">
        <v>40909</v>
      </c>
    </row>
    <row r="808" spans="1:9">
      <c r="A808" s="16" t="s">
        <v>5550</v>
      </c>
      <c r="B808" s="1" t="s">
        <v>2631</v>
      </c>
      <c r="C808" s="1">
        <v>121</v>
      </c>
      <c r="D808" s="1" t="s">
        <v>7</v>
      </c>
      <c r="E808" s="1" t="s">
        <v>6</v>
      </c>
      <c r="F808" s="1" t="s">
        <v>2699</v>
      </c>
      <c r="G808" s="14" t="s">
        <v>4458</v>
      </c>
      <c r="H808" s="1" t="s">
        <v>118</v>
      </c>
      <c r="I808" s="17">
        <v>41640</v>
      </c>
    </row>
    <row r="809" spans="1:9">
      <c r="A809" s="16" t="s">
        <v>5562</v>
      </c>
      <c r="B809" s="1" t="s">
        <v>2631</v>
      </c>
      <c r="C809" s="1">
        <v>121</v>
      </c>
      <c r="D809" s="1" t="s">
        <v>7</v>
      </c>
      <c r="E809" s="1" t="s">
        <v>6</v>
      </c>
      <c r="F809" s="1" t="s">
        <v>449</v>
      </c>
      <c r="G809" s="14" t="s">
        <v>4458</v>
      </c>
      <c r="H809" s="1" t="s">
        <v>118</v>
      </c>
      <c r="I809" s="17">
        <v>40179</v>
      </c>
    </row>
    <row r="810" spans="1:9">
      <c r="A810" s="16" t="s">
        <v>5563</v>
      </c>
      <c r="B810" s="1" t="s">
        <v>2631</v>
      </c>
      <c r="C810" s="1">
        <v>121</v>
      </c>
      <c r="D810" s="1" t="s">
        <v>7</v>
      </c>
      <c r="E810" s="1" t="s">
        <v>6</v>
      </c>
      <c r="F810" s="1" t="s">
        <v>449</v>
      </c>
      <c r="G810" s="14" t="s">
        <v>4458</v>
      </c>
      <c r="H810" s="1" t="s">
        <v>118</v>
      </c>
      <c r="I810" s="17">
        <v>40544</v>
      </c>
    </row>
    <row r="811" spans="1:9">
      <c r="A811" s="16" t="s">
        <v>5564</v>
      </c>
      <c r="B811" s="1" t="s">
        <v>2631</v>
      </c>
      <c r="C811" s="1">
        <v>121</v>
      </c>
      <c r="D811" s="1" t="s">
        <v>7</v>
      </c>
      <c r="E811" s="1" t="s">
        <v>6</v>
      </c>
      <c r="F811" s="1" t="s">
        <v>449</v>
      </c>
      <c r="G811" s="14" t="s">
        <v>4458</v>
      </c>
      <c r="H811" s="1" t="s">
        <v>118</v>
      </c>
      <c r="I811" s="17">
        <v>40544</v>
      </c>
    </row>
    <row r="812" spans="1:9">
      <c r="A812" s="16" t="s">
        <v>5565</v>
      </c>
      <c r="B812" s="1" t="s">
        <v>2631</v>
      </c>
      <c r="C812" s="1">
        <v>121</v>
      </c>
      <c r="D812" s="1" t="s">
        <v>7</v>
      </c>
      <c r="E812" s="1" t="s">
        <v>6</v>
      </c>
      <c r="F812" s="1" t="s">
        <v>449</v>
      </c>
      <c r="G812" s="14" t="s">
        <v>4458</v>
      </c>
      <c r="H812" s="1" t="s">
        <v>118</v>
      </c>
      <c r="I812" s="17">
        <v>40909</v>
      </c>
    </row>
    <row r="813" spans="1:9">
      <c r="A813" s="16" t="s">
        <v>5568</v>
      </c>
      <c r="B813" s="1" t="s">
        <v>2631</v>
      </c>
      <c r="C813" s="1">
        <v>121</v>
      </c>
      <c r="D813" s="1" t="s">
        <v>7</v>
      </c>
      <c r="E813" s="1" t="s">
        <v>6</v>
      </c>
      <c r="F813" s="1" t="s">
        <v>449</v>
      </c>
      <c r="G813" s="14" t="s">
        <v>4458</v>
      </c>
      <c r="H813" s="1" t="s">
        <v>118</v>
      </c>
      <c r="I813" s="17">
        <v>40909</v>
      </c>
    </row>
    <row r="814" spans="1:9">
      <c r="A814" s="16" t="s">
        <v>5569</v>
      </c>
      <c r="B814" s="1" t="s">
        <v>2631</v>
      </c>
      <c r="C814" s="1">
        <v>121</v>
      </c>
      <c r="D814" s="1" t="s">
        <v>7</v>
      </c>
      <c r="E814" s="1" t="s">
        <v>6</v>
      </c>
      <c r="F814" s="1" t="s">
        <v>449</v>
      </c>
      <c r="G814" s="14" t="s">
        <v>4458</v>
      </c>
      <c r="H814" s="1" t="s">
        <v>118</v>
      </c>
      <c r="I814" s="17">
        <v>40909</v>
      </c>
    </row>
    <row r="815" spans="1:9">
      <c r="A815" s="16" t="s">
        <v>5570</v>
      </c>
      <c r="B815" s="1" t="s">
        <v>2631</v>
      </c>
      <c r="C815" s="1">
        <v>121</v>
      </c>
      <c r="D815" s="1" t="s">
        <v>7</v>
      </c>
      <c r="E815" s="1" t="s">
        <v>6</v>
      </c>
      <c r="F815" s="1" t="s">
        <v>449</v>
      </c>
      <c r="G815" s="14" t="s">
        <v>4458</v>
      </c>
      <c r="H815" s="1" t="s">
        <v>118</v>
      </c>
      <c r="I815" s="17">
        <v>40909</v>
      </c>
    </row>
    <row r="816" spans="1:9">
      <c r="A816" s="16" t="s">
        <v>5571</v>
      </c>
      <c r="B816" s="1" t="s">
        <v>2631</v>
      </c>
      <c r="C816" s="1">
        <v>121</v>
      </c>
      <c r="D816" s="1" t="s">
        <v>7</v>
      </c>
      <c r="E816" s="1" t="s">
        <v>6</v>
      </c>
      <c r="F816" s="1" t="s">
        <v>449</v>
      </c>
      <c r="G816" s="14" t="s">
        <v>4458</v>
      </c>
      <c r="H816" s="1" t="s">
        <v>118</v>
      </c>
      <c r="I816" s="17">
        <v>40909</v>
      </c>
    </row>
    <row r="817" spans="1:9">
      <c r="A817" s="16" t="s">
        <v>5574</v>
      </c>
      <c r="B817" s="1" t="s">
        <v>2631</v>
      </c>
      <c r="C817" s="1">
        <v>121</v>
      </c>
      <c r="D817" s="1" t="s">
        <v>7</v>
      </c>
      <c r="E817" s="1" t="s">
        <v>6</v>
      </c>
      <c r="F817" s="1" t="s">
        <v>449</v>
      </c>
      <c r="G817" s="14" t="s">
        <v>4458</v>
      </c>
      <c r="H817" s="1" t="s">
        <v>118</v>
      </c>
      <c r="I817" s="17">
        <v>41275</v>
      </c>
    </row>
    <row r="818" spans="1:9">
      <c r="A818" s="16" t="s">
        <v>5575</v>
      </c>
      <c r="B818" s="1" t="s">
        <v>2631</v>
      </c>
      <c r="C818" s="1">
        <v>121</v>
      </c>
      <c r="D818" s="1" t="s">
        <v>7</v>
      </c>
      <c r="E818" s="1" t="s">
        <v>6</v>
      </c>
      <c r="F818" s="1" t="s">
        <v>449</v>
      </c>
      <c r="G818" s="14" t="s">
        <v>4458</v>
      </c>
      <c r="H818" s="1" t="s">
        <v>118</v>
      </c>
      <c r="I818" s="17">
        <v>41640</v>
      </c>
    </row>
    <row r="819" spans="1:9">
      <c r="A819" s="16" t="s">
        <v>5577</v>
      </c>
      <c r="B819" s="1" t="s">
        <v>2631</v>
      </c>
      <c r="C819" s="1">
        <v>121</v>
      </c>
      <c r="D819" s="1" t="s">
        <v>7</v>
      </c>
      <c r="E819" s="1" t="s">
        <v>6</v>
      </c>
      <c r="F819" s="1" t="s">
        <v>449</v>
      </c>
      <c r="G819" s="14" t="s">
        <v>4458</v>
      </c>
      <c r="H819" s="1" t="s">
        <v>118</v>
      </c>
      <c r="I819" s="17">
        <v>41640</v>
      </c>
    </row>
    <row r="820" spans="1:9">
      <c r="A820" s="16" t="s">
        <v>5578</v>
      </c>
      <c r="B820" s="1" t="s">
        <v>2631</v>
      </c>
      <c r="C820" s="1">
        <v>121</v>
      </c>
      <c r="D820" s="1" t="s">
        <v>7</v>
      </c>
      <c r="E820" s="1" t="s">
        <v>6</v>
      </c>
      <c r="F820" s="1" t="s">
        <v>449</v>
      </c>
      <c r="G820" s="14" t="s">
        <v>4458</v>
      </c>
      <c r="H820" s="1" t="s">
        <v>118</v>
      </c>
      <c r="I820" s="17">
        <v>41640</v>
      </c>
    </row>
    <row r="821" spans="1:9">
      <c r="A821" s="16" t="s">
        <v>5579</v>
      </c>
      <c r="B821" s="1" t="s">
        <v>2631</v>
      </c>
      <c r="C821" s="1">
        <v>121</v>
      </c>
      <c r="D821" s="1" t="s">
        <v>7</v>
      </c>
      <c r="E821" s="1" t="s">
        <v>6</v>
      </c>
      <c r="F821" s="1" t="s">
        <v>449</v>
      </c>
      <c r="G821" s="14" t="s">
        <v>4458</v>
      </c>
      <c r="H821" s="1" t="s">
        <v>118</v>
      </c>
      <c r="I821" s="17">
        <v>42005</v>
      </c>
    </row>
    <row r="822" spans="1:9">
      <c r="A822" s="16" t="s">
        <v>5582</v>
      </c>
      <c r="B822" s="1" t="s">
        <v>2631</v>
      </c>
      <c r="C822" s="1">
        <v>121</v>
      </c>
      <c r="D822" s="1" t="s">
        <v>7</v>
      </c>
      <c r="E822" s="1" t="s">
        <v>6</v>
      </c>
      <c r="F822" s="1" t="s">
        <v>449</v>
      </c>
      <c r="G822" s="14" t="s">
        <v>4458</v>
      </c>
      <c r="H822" s="1" t="s">
        <v>118</v>
      </c>
      <c r="I822" s="17">
        <v>42005</v>
      </c>
    </row>
    <row r="823" spans="1:9">
      <c r="A823" s="16" t="s">
        <v>5600</v>
      </c>
      <c r="B823" s="1" t="s">
        <v>2631</v>
      </c>
      <c r="C823" s="1">
        <v>121</v>
      </c>
      <c r="D823" s="1" t="s">
        <v>7</v>
      </c>
      <c r="E823" s="1" t="s">
        <v>6</v>
      </c>
      <c r="F823" s="1" t="s">
        <v>2702</v>
      </c>
      <c r="G823" s="14" t="s">
        <v>4458</v>
      </c>
      <c r="H823" s="1" t="s">
        <v>118</v>
      </c>
      <c r="I823" s="17">
        <v>40544</v>
      </c>
    </row>
    <row r="824" spans="1:9">
      <c r="A824" s="16" t="s">
        <v>5603</v>
      </c>
      <c r="B824" s="1" t="s">
        <v>2631</v>
      </c>
      <c r="C824" s="1">
        <v>121</v>
      </c>
      <c r="D824" s="1" t="s">
        <v>7</v>
      </c>
      <c r="E824" s="1" t="s">
        <v>6</v>
      </c>
      <c r="F824" s="1" t="s">
        <v>2702</v>
      </c>
      <c r="G824" s="14" t="s">
        <v>4458</v>
      </c>
      <c r="H824" s="1" t="s">
        <v>118</v>
      </c>
      <c r="I824" s="17">
        <v>41275</v>
      </c>
    </row>
    <row r="825" spans="1:9">
      <c r="A825" s="16" t="s">
        <v>5605</v>
      </c>
      <c r="B825" s="1" t="s">
        <v>2631</v>
      </c>
      <c r="C825" s="1">
        <v>121</v>
      </c>
      <c r="D825" s="1" t="s">
        <v>7</v>
      </c>
      <c r="E825" s="1" t="s">
        <v>6</v>
      </c>
      <c r="F825" s="1" t="s">
        <v>1112</v>
      </c>
      <c r="G825" s="14" t="s">
        <v>4458</v>
      </c>
      <c r="H825" s="1" t="s">
        <v>118</v>
      </c>
      <c r="I825" s="17">
        <v>41640</v>
      </c>
    </row>
    <row r="826" spans="1:9">
      <c r="A826" s="16" t="s">
        <v>5606</v>
      </c>
      <c r="B826" s="1" t="s">
        <v>2631</v>
      </c>
      <c r="C826" s="1">
        <v>121</v>
      </c>
      <c r="D826" s="1" t="s">
        <v>7</v>
      </c>
      <c r="E826" s="1" t="s">
        <v>6</v>
      </c>
      <c r="F826" s="1" t="s">
        <v>2573</v>
      </c>
      <c r="G826" s="1" t="s">
        <v>5071</v>
      </c>
      <c r="H826" s="1" t="s">
        <v>118</v>
      </c>
      <c r="I826" s="17">
        <v>40179</v>
      </c>
    </row>
    <row r="827" spans="1:9">
      <c r="A827" s="16" t="s">
        <v>5611</v>
      </c>
      <c r="B827" s="1" t="s">
        <v>2631</v>
      </c>
      <c r="C827" s="1">
        <v>121</v>
      </c>
      <c r="D827" s="1" t="s">
        <v>7</v>
      </c>
      <c r="E827" s="1" t="s">
        <v>6</v>
      </c>
      <c r="F827" s="1" t="s">
        <v>2573</v>
      </c>
      <c r="G827" s="1" t="s">
        <v>5071</v>
      </c>
      <c r="H827" s="1" t="s">
        <v>118</v>
      </c>
      <c r="I827" s="17">
        <v>42005</v>
      </c>
    </row>
    <row r="828" spans="1:9">
      <c r="A828" s="16" t="s">
        <v>5613</v>
      </c>
      <c r="B828" s="1" t="s">
        <v>2631</v>
      </c>
      <c r="C828" s="1">
        <v>121</v>
      </c>
      <c r="D828" s="1" t="s">
        <v>7</v>
      </c>
      <c r="E828" s="1" t="s">
        <v>6</v>
      </c>
      <c r="F828" s="1" t="s">
        <v>2691</v>
      </c>
      <c r="G828" s="1" t="s">
        <v>5614</v>
      </c>
      <c r="H828" s="1" t="s">
        <v>5</v>
      </c>
      <c r="I828" s="17">
        <v>39448</v>
      </c>
    </row>
    <row r="829" spans="1:9">
      <c r="A829" s="16" t="s">
        <v>5616</v>
      </c>
      <c r="B829" s="1" t="s">
        <v>2631</v>
      </c>
      <c r="C829" s="1">
        <v>121</v>
      </c>
      <c r="D829" s="1" t="s">
        <v>7</v>
      </c>
      <c r="E829" s="1" t="s">
        <v>6</v>
      </c>
      <c r="F829" s="1" t="s">
        <v>2691</v>
      </c>
      <c r="G829" s="1" t="s">
        <v>5338</v>
      </c>
      <c r="H829" s="1" t="s">
        <v>5</v>
      </c>
      <c r="I829" s="17">
        <v>40179</v>
      </c>
    </row>
    <row r="830" spans="1:9">
      <c r="A830" s="16" t="s">
        <v>5617</v>
      </c>
      <c r="B830" s="1" t="s">
        <v>2631</v>
      </c>
      <c r="C830" s="1">
        <v>121</v>
      </c>
      <c r="D830" s="1" t="s">
        <v>7</v>
      </c>
      <c r="E830" s="1" t="s">
        <v>6</v>
      </c>
      <c r="F830" s="1" t="s">
        <v>2691</v>
      </c>
      <c r="G830" s="1" t="s">
        <v>5338</v>
      </c>
      <c r="H830" s="1" t="s">
        <v>5</v>
      </c>
      <c r="I830" s="17">
        <v>40179</v>
      </c>
    </row>
    <row r="831" spans="1:9">
      <c r="A831" s="16" t="s">
        <v>5619</v>
      </c>
      <c r="B831" s="1" t="s">
        <v>2631</v>
      </c>
      <c r="C831" s="1">
        <v>121</v>
      </c>
      <c r="D831" s="1" t="s">
        <v>7</v>
      </c>
      <c r="E831" s="1" t="s">
        <v>6</v>
      </c>
      <c r="F831" s="1" t="s">
        <v>2691</v>
      </c>
      <c r="G831" s="1" t="s">
        <v>5338</v>
      </c>
      <c r="H831" s="1" t="s">
        <v>5</v>
      </c>
      <c r="I831" s="17">
        <v>40544</v>
      </c>
    </row>
    <row r="832" spans="1:9">
      <c r="A832" s="16" t="s">
        <v>5620</v>
      </c>
      <c r="B832" s="1" t="s">
        <v>2631</v>
      </c>
      <c r="C832" s="1">
        <v>121</v>
      </c>
      <c r="D832" s="1" t="s">
        <v>7</v>
      </c>
      <c r="E832" s="1" t="s">
        <v>6</v>
      </c>
      <c r="F832" s="1" t="s">
        <v>2691</v>
      </c>
      <c r="G832" s="1" t="s">
        <v>5338</v>
      </c>
      <c r="H832" s="1" t="s">
        <v>5</v>
      </c>
      <c r="I832" s="17">
        <v>40544</v>
      </c>
    </row>
    <row r="833" spans="1:10">
      <c r="A833" s="16" t="s">
        <v>5621</v>
      </c>
      <c r="B833" s="1" t="s">
        <v>2631</v>
      </c>
      <c r="C833" s="1">
        <v>121</v>
      </c>
      <c r="D833" s="1" t="s">
        <v>7</v>
      </c>
      <c r="E833" s="1" t="s">
        <v>6</v>
      </c>
      <c r="F833" s="1" t="s">
        <v>2691</v>
      </c>
      <c r="G833" s="1" t="s">
        <v>5622</v>
      </c>
      <c r="H833" s="1" t="s">
        <v>43</v>
      </c>
      <c r="I833" s="17">
        <v>41640</v>
      </c>
    </row>
    <row r="834" spans="1:10">
      <c r="A834" s="7" t="s">
        <v>5738</v>
      </c>
      <c r="B834" s="2" t="s">
        <v>2631</v>
      </c>
      <c r="C834" s="1">
        <v>121</v>
      </c>
      <c r="D834" s="1" t="s">
        <v>7</v>
      </c>
      <c r="E834" s="1" t="s">
        <v>6</v>
      </c>
      <c r="F834" s="1" t="s">
        <v>5091</v>
      </c>
      <c r="G834" s="14" t="s">
        <v>2277</v>
      </c>
      <c r="H834" s="1" t="s">
        <v>5</v>
      </c>
      <c r="I834" s="1" t="s">
        <v>5625</v>
      </c>
    </row>
    <row r="835" spans="1:10">
      <c r="A835" s="7" t="s">
        <v>5758</v>
      </c>
      <c r="B835" s="2" t="s">
        <v>2631</v>
      </c>
      <c r="C835" s="1">
        <v>121</v>
      </c>
      <c r="D835" s="1" t="s">
        <v>7</v>
      </c>
      <c r="E835" s="1" t="s">
        <v>6</v>
      </c>
      <c r="F835" s="1" t="s">
        <v>2691</v>
      </c>
      <c r="G835" s="14" t="s">
        <v>1446</v>
      </c>
      <c r="H835" s="1" t="s">
        <v>44</v>
      </c>
      <c r="I835" s="1" t="s">
        <v>5625</v>
      </c>
    </row>
    <row r="836" spans="1:10">
      <c r="A836" s="7" t="s">
        <v>5762</v>
      </c>
      <c r="B836" s="2" t="s">
        <v>2631</v>
      </c>
      <c r="C836" s="1">
        <v>121</v>
      </c>
      <c r="D836" s="1" t="s">
        <v>7</v>
      </c>
      <c r="E836" s="1" t="s">
        <v>6</v>
      </c>
      <c r="F836" s="1" t="s">
        <v>2691</v>
      </c>
      <c r="G836" s="14" t="s">
        <v>1446</v>
      </c>
      <c r="H836" s="1" t="s">
        <v>44</v>
      </c>
      <c r="I836" s="1" t="s">
        <v>5625</v>
      </c>
    </row>
    <row r="837" spans="1:10">
      <c r="A837" s="7" t="s">
        <v>5784</v>
      </c>
      <c r="B837" s="2" t="s">
        <v>2631</v>
      </c>
      <c r="C837" s="1">
        <v>121</v>
      </c>
      <c r="D837" s="1" t="s">
        <v>7</v>
      </c>
      <c r="E837" s="1" t="s">
        <v>6</v>
      </c>
      <c r="F837" s="1" t="s">
        <v>2691</v>
      </c>
      <c r="G837" s="14" t="s">
        <v>1446</v>
      </c>
      <c r="H837" s="1" t="s">
        <v>44</v>
      </c>
      <c r="I837" s="1" t="s">
        <v>5642</v>
      </c>
    </row>
    <row r="838" spans="1:10">
      <c r="A838" s="7" t="s">
        <v>5786</v>
      </c>
      <c r="B838" s="2" t="s">
        <v>2631</v>
      </c>
      <c r="C838" s="1">
        <v>121</v>
      </c>
      <c r="D838" s="1" t="s">
        <v>7</v>
      </c>
      <c r="E838" s="1" t="s">
        <v>6</v>
      </c>
      <c r="F838" s="1" t="s">
        <v>2691</v>
      </c>
      <c r="G838" s="14" t="s">
        <v>1446</v>
      </c>
      <c r="H838" s="1" t="s">
        <v>44</v>
      </c>
      <c r="I838" s="1" t="s">
        <v>5653</v>
      </c>
    </row>
    <row r="839" spans="1:10">
      <c r="A839" s="7" t="s">
        <v>5787</v>
      </c>
      <c r="B839" s="2" t="s">
        <v>2631</v>
      </c>
      <c r="C839" s="1">
        <v>121</v>
      </c>
      <c r="D839" s="1" t="s">
        <v>7</v>
      </c>
      <c r="E839" s="1" t="s">
        <v>6</v>
      </c>
      <c r="F839" s="1" t="s">
        <v>2691</v>
      </c>
      <c r="G839" s="14" t="s">
        <v>1446</v>
      </c>
      <c r="H839" s="1" t="s">
        <v>44</v>
      </c>
      <c r="I839" s="1" t="s">
        <v>5653</v>
      </c>
    </row>
    <row r="840" spans="1:10">
      <c r="A840" s="7" t="s">
        <v>5793</v>
      </c>
      <c r="B840" s="2" t="s">
        <v>2631</v>
      </c>
      <c r="C840" s="1">
        <v>121</v>
      </c>
      <c r="D840" s="1" t="s">
        <v>7</v>
      </c>
      <c r="E840" s="1" t="s">
        <v>6</v>
      </c>
      <c r="F840" s="1" t="s">
        <v>5091</v>
      </c>
      <c r="G840" s="14" t="s">
        <v>5781</v>
      </c>
      <c r="H840" s="1" t="s">
        <v>5</v>
      </c>
      <c r="I840" s="1" t="s">
        <v>4789</v>
      </c>
    </row>
    <row r="841" spans="1:10">
      <c r="A841" s="7" t="s">
        <v>5794</v>
      </c>
      <c r="B841" s="2" t="s">
        <v>2631</v>
      </c>
      <c r="C841" s="1">
        <v>121</v>
      </c>
      <c r="D841" s="1" t="s">
        <v>7</v>
      </c>
      <c r="E841" s="1" t="s">
        <v>6</v>
      </c>
      <c r="F841" s="1" t="s">
        <v>2691</v>
      </c>
      <c r="G841" s="14" t="s">
        <v>1446</v>
      </c>
      <c r="H841" s="1" t="s">
        <v>44</v>
      </c>
      <c r="I841" s="1" t="s">
        <v>4789</v>
      </c>
    </row>
    <row r="842" spans="1:10">
      <c r="A842" s="7" t="s">
        <v>5795</v>
      </c>
      <c r="B842" s="2" t="s">
        <v>2631</v>
      </c>
      <c r="C842" s="1">
        <v>121</v>
      </c>
      <c r="D842" s="1" t="s">
        <v>7</v>
      </c>
      <c r="E842" s="1" t="s">
        <v>6</v>
      </c>
      <c r="F842" s="1" t="s">
        <v>5091</v>
      </c>
      <c r="G842" s="14" t="s">
        <v>5781</v>
      </c>
      <c r="H842" s="1" t="s">
        <v>5</v>
      </c>
      <c r="I842" s="1" t="s">
        <v>4789</v>
      </c>
    </row>
    <row r="843" spans="1:10" s="11" customFormat="1">
      <c r="A843" s="7" t="s">
        <v>5796</v>
      </c>
      <c r="B843" s="2" t="s">
        <v>2631</v>
      </c>
      <c r="C843" s="1">
        <v>121</v>
      </c>
      <c r="D843" s="1" t="s">
        <v>7</v>
      </c>
      <c r="E843" s="1" t="s">
        <v>6</v>
      </c>
      <c r="F843" s="1" t="s">
        <v>2691</v>
      </c>
      <c r="G843" s="14" t="s">
        <v>1446</v>
      </c>
      <c r="H843" s="1" t="s">
        <v>44</v>
      </c>
      <c r="I843" s="1" t="s">
        <v>4789</v>
      </c>
      <c r="J843"/>
    </row>
    <row r="844" spans="1:10" s="11" customFormat="1">
      <c r="A844" s="7" t="s">
        <v>5797</v>
      </c>
      <c r="B844" s="2" t="s">
        <v>2631</v>
      </c>
      <c r="C844" s="1">
        <v>121</v>
      </c>
      <c r="D844" s="1" t="s">
        <v>7</v>
      </c>
      <c r="E844" s="1" t="s">
        <v>6</v>
      </c>
      <c r="F844" s="1" t="s">
        <v>2691</v>
      </c>
      <c r="G844" s="14" t="s">
        <v>1446</v>
      </c>
      <c r="H844" s="1" t="s">
        <v>44</v>
      </c>
      <c r="I844" s="1" t="s">
        <v>5798</v>
      </c>
      <c r="J844"/>
    </row>
    <row r="845" spans="1:10">
      <c r="A845" s="7" t="s">
        <v>5799</v>
      </c>
      <c r="B845" s="2" t="s">
        <v>2631</v>
      </c>
      <c r="C845" s="1">
        <v>121</v>
      </c>
      <c r="D845" s="1" t="s">
        <v>7</v>
      </c>
      <c r="E845" s="1" t="s">
        <v>6</v>
      </c>
      <c r="F845" s="1" t="s">
        <v>5091</v>
      </c>
      <c r="G845" s="14" t="s">
        <v>5781</v>
      </c>
      <c r="H845" s="1" t="s">
        <v>5</v>
      </c>
      <c r="I845" s="1" t="s">
        <v>5798</v>
      </c>
    </row>
    <row r="846" spans="1:10">
      <c r="A846" s="7" t="s">
        <v>5854</v>
      </c>
      <c r="B846" s="1" t="s">
        <v>2631</v>
      </c>
      <c r="C846" s="1">
        <v>121</v>
      </c>
      <c r="D846" s="1" t="s">
        <v>7</v>
      </c>
      <c r="E846" s="1" t="s">
        <v>6</v>
      </c>
      <c r="F846" s="1" t="s">
        <v>139</v>
      </c>
      <c r="G846" s="1" t="s">
        <v>4792</v>
      </c>
      <c r="H846" s="1" t="s">
        <v>118</v>
      </c>
      <c r="I846" s="1" t="s">
        <v>5855</v>
      </c>
    </row>
    <row r="847" spans="1:10">
      <c r="A847" s="7" t="s">
        <v>5859</v>
      </c>
      <c r="B847" s="1" t="s">
        <v>2631</v>
      </c>
      <c r="C847" s="1">
        <v>121</v>
      </c>
      <c r="D847" s="1" t="s">
        <v>7</v>
      </c>
      <c r="E847" s="1" t="s">
        <v>6</v>
      </c>
      <c r="F847" s="1" t="s">
        <v>139</v>
      </c>
      <c r="G847" s="1" t="s">
        <v>4792</v>
      </c>
      <c r="H847" s="1" t="s">
        <v>118</v>
      </c>
      <c r="I847" s="1" t="s">
        <v>5722</v>
      </c>
    </row>
    <row r="848" spans="1:10">
      <c r="A848" s="7" t="s">
        <v>5873</v>
      </c>
      <c r="B848" s="1" t="s">
        <v>2631</v>
      </c>
      <c r="C848" s="1">
        <v>236</v>
      </c>
      <c r="D848" s="1" t="s">
        <v>7</v>
      </c>
      <c r="E848" s="1" t="s">
        <v>6</v>
      </c>
      <c r="F848" s="1" t="s">
        <v>2360</v>
      </c>
      <c r="G848" s="1" t="s">
        <v>5872</v>
      </c>
      <c r="H848" s="1" t="s">
        <v>43</v>
      </c>
      <c r="I848" s="1" t="s">
        <v>5483</v>
      </c>
    </row>
    <row r="849" spans="1:9">
      <c r="A849" s="7" t="s">
        <v>5874</v>
      </c>
      <c r="B849" s="1" t="s">
        <v>2631</v>
      </c>
      <c r="C849" s="1">
        <v>236</v>
      </c>
      <c r="D849" s="1" t="s">
        <v>7</v>
      </c>
      <c r="E849" s="1" t="s">
        <v>6</v>
      </c>
      <c r="F849" s="1" t="s">
        <v>2360</v>
      </c>
      <c r="G849" s="1" t="s">
        <v>5872</v>
      </c>
      <c r="H849" s="1" t="s">
        <v>43</v>
      </c>
      <c r="I849" s="1" t="s">
        <v>5483</v>
      </c>
    </row>
    <row r="850" spans="1:9">
      <c r="A850" s="7" t="s">
        <v>5875</v>
      </c>
      <c r="B850" s="1" t="s">
        <v>2631</v>
      </c>
      <c r="C850" s="1">
        <v>121</v>
      </c>
      <c r="D850" s="1" t="s">
        <v>7</v>
      </c>
      <c r="E850" s="1" t="s">
        <v>6</v>
      </c>
      <c r="F850" s="1" t="s">
        <v>2360</v>
      </c>
      <c r="G850" s="1" t="s">
        <v>5872</v>
      </c>
      <c r="H850" s="1" t="s">
        <v>43</v>
      </c>
      <c r="I850" s="1" t="s">
        <v>5483</v>
      </c>
    </row>
    <row r="851" spans="1:9">
      <c r="A851" s="7" t="s">
        <v>5877</v>
      </c>
      <c r="B851" s="1" t="s">
        <v>2631</v>
      </c>
      <c r="C851" s="1">
        <v>121</v>
      </c>
      <c r="D851" s="1" t="s">
        <v>7</v>
      </c>
      <c r="E851" s="1" t="s">
        <v>6</v>
      </c>
      <c r="F851" s="1" t="s">
        <v>2360</v>
      </c>
      <c r="G851" s="1" t="s">
        <v>5872</v>
      </c>
      <c r="H851" s="1" t="s">
        <v>43</v>
      </c>
      <c r="I851" s="1" t="s">
        <v>5483</v>
      </c>
    </row>
    <row r="852" spans="1:9">
      <c r="A852" s="7" t="s">
        <v>5878</v>
      </c>
      <c r="B852" s="1" t="s">
        <v>2631</v>
      </c>
      <c r="C852" s="1">
        <v>121</v>
      </c>
      <c r="D852" s="1" t="s">
        <v>7</v>
      </c>
      <c r="E852" s="1" t="s">
        <v>6</v>
      </c>
      <c r="F852" s="1" t="s">
        <v>2360</v>
      </c>
      <c r="G852" s="1" t="s">
        <v>5872</v>
      </c>
      <c r="H852" s="1" t="s">
        <v>43</v>
      </c>
      <c r="I852" s="1" t="s">
        <v>5483</v>
      </c>
    </row>
    <row r="853" spans="1:9">
      <c r="A853" s="7" t="s">
        <v>5879</v>
      </c>
      <c r="B853" s="1" t="s">
        <v>2631</v>
      </c>
      <c r="C853" s="1">
        <v>121</v>
      </c>
      <c r="D853" s="1" t="s">
        <v>7</v>
      </c>
      <c r="E853" s="1" t="s">
        <v>6</v>
      </c>
      <c r="F853" s="1" t="s">
        <v>2360</v>
      </c>
      <c r="G853" s="1" t="s">
        <v>5872</v>
      </c>
      <c r="H853" s="1" t="s">
        <v>43</v>
      </c>
      <c r="I853" s="1" t="s">
        <v>5483</v>
      </c>
    </row>
    <row r="854" spans="1:9">
      <c r="A854" s="7" t="s">
        <v>5880</v>
      </c>
      <c r="B854" s="1" t="s">
        <v>2631</v>
      </c>
      <c r="C854" s="1">
        <v>121</v>
      </c>
      <c r="D854" s="1" t="s">
        <v>7</v>
      </c>
      <c r="E854" s="1" t="s">
        <v>6</v>
      </c>
      <c r="F854" s="1" t="s">
        <v>2360</v>
      </c>
      <c r="G854" s="1" t="s">
        <v>5872</v>
      </c>
      <c r="H854" s="1" t="s">
        <v>43</v>
      </c>
      <c r="I854" s="1" t="s">
        <v>5483</v>
      </c>
    </row>
    <row r="855" spans="1:9">
      <c r="A855" s="7" t="s">
        <v>5881</v>
      </c>
      <c r="B855" s="1" t="s">
        <v>2631</v>
      </c>
      <c r="C855" s="1">
        <v>121</v>
      </c>
      <c r="D855" s="1" t="s">
        <v>7</v>
      </c>
      <c r="E855" s="1" t="s">
        <v>6</v>
      </c>
      <c r="F855" s="1" t="s">
        <v>2360</v>
      </c>
      <c r="G855" s="1" t="s">
        <v>5872</v>
      </c>
      <c r="H855" s="1" t="s">
        <v>43</v>
      </c>
      <c r="I855" s="1" t="s">
        <v>5483</v>
      </c>
    </row>
    <row r="856" spans="1:9">
      <c r="A856" s="7" t="s">
        <v>5885</v>
      </c>
      <c r="B856" s="1" t="s">
        <v>2631</v>
      </c>
      <c r="C856" s="1">
        <v>121</v>
      </c>
      <c r="D856" s="1" t="s">
        <v>7</v>
      </c>
      <c r="E856" s="1" t="s">
        <v>6</v>
      </c>
      <c r="F856" s="1" t="s">
        <v>2360</v>
      </c>
      <c r="G856" s="1" t="s">
        <v>5872</v>
      </c>
      <c r="H856" s="1" t="s">
        <v>43</v>
      </c>
      <c r="I856" s="1" t="s">
        <v>5483</v>
      </c>
    </row>
    <row r="857" spans="1:9">
      <c r="A857" s="7" t="s">
        <v>5886</v>
      </c>
      <c r="B857" s="1" t="s">
        <v>2631</v>
      </c>
      <c r="C857" s="1">
        <v>121</v>
      </c>
      <c r="D857" s="1" t="s">
        <v>7</v>
      </c>
      <c r="E857" s="1" t="s">
        <v>6</v>
      </c>
      <c r="F857" s="1" t="s">
        <v>2360</v>
      </c>
      <c r="G857" s="1" t="s">
        <v>5872</v>
      </c>
      <c r="H857" s="1" t="s">
        <v>43</v>
      </c>
      <c r="I857" s="1" t="s">
        <v>5483</v>
      </c>
    </row>
    <row r="858" spans="1:9">
      <c r="A858" s="7" t="s">
        <v>5888</v>
      </c>
      <c r="B858" s="1" t="s">
        <v>2631</v>
      </c>
      <c r="C858" s="1">
        <v>121</v>
      </c>
      <c r="D858" s="1" t="s">
        <v>7</v>
      </c>
      <c r="E858" s="1" t="s">
        <v>6</v>
      </c>
      <c r="F858" s="1" t="s">
        <v>2360</v>
      </c>
      <c r="G858" s="1" t="s">
        <v>5872</v>
      </c>
      <c r="H858" s="1" t="s">
        <v>43</v>
      </c>
      <c r="I858" s="1" t="s">
        <v>5483</v>
      </c>
    </row>
    <row r="859" spans="1:9">
      <c r="A859" s="7" t="s">
        <v>5891</v>
      </c>
      <c r="B859" s="1" t="s">
        <v>2631</v>
      </c>
      <c r="C859" s="1">
        <v>121</v>
      </c>
      <c r="D859" s="1" t="s">
        <v>7</v>
      </c>
      <c r="E859" s="1" t="s">
        <v>6</v>
      </c>
      <c r="F859" s="1" t="s">
        <v>2360</v>
      </c>
      <c r="G859" s="1" t="s">
        <v>5872</v>
      </c>
      <c r="H859" s="1" t="s">
        <v>43</v>
      </c>
      <c r="I859" s="1" t="s">
        <v>5483</v>
      </c>
    </row>
    <row r="860" spans="1:9">
      <c r="A860" s="7" t="s">
        <v>5892</v>
      </c>
      <c r="B860" s="1" t="s">
        <v>2631</v>
      </c>
      <c r="C860" s="1">
        <v>121</v>
      </c>
      <c r="D860" s="1" t="s">
        <v>7</v>
      </c>
      <c r="E860" s="1" t="s">
        <v>6</v>
      </c>
      <c r="F860" s="1" t="s">
        <v>2360</v>
      </c>
      <c r="G860" s="1" t="s">
        <v>5872</v>
      </c>
      <c r="H860" s="1" t="s">
        <v>43</v>
      </c>
      <c r="I860" s="1" t="s">
        <v>5483</v>
      </c>
    </row>
    <row r="861" spans="1:9">
      <c r="A861" s="7" t="s">
        <v>5893</v>
      </c>
      <c r="B861" s="1" t="s">
        <v>2631</v>
      </c>
      <c r="C861" s="1">
        <v>121</v>
      </c>
      <c r="D861" s="1" t="s">
        <v>7</v>
      </c>
      <c r="E861" s="1" t="s">
        <v>6</v>
      </c>
      <c r="F861" s="1" t="s">
        <v>2360</v>
      </c>
      <c r="G861" s="1" t="s">
        <v>5872</v>
      </c>
      <c r="H861" s="1" t="s">
        <v>43</v>
      </c>
      <c r="I861" s="1" t="s">
        <v>5483</v>
      </c>
    </row>
    <row r="862" spans="1:9">
      <c r="A862" s="7" t="s">
        <v>5894</v>
      </c>
      <c r="B862" s="1" t="s">
        <v>2631</v>
      </c>
      <c r="C862" s="1">
        <v>121</v>
      </c>
      <c r="D862" s="1" t="s">
        <v>7</v>
      </c>
      <c r="E862" s="1" t="s">
        <v>6</v>
      </c>
      <c r="F862" s="1" t="s">
        <v>2360</v>
      </c>
      <c r="G862" s="1" t="s">
        <v>5872</v>
      </c>
      <c r="H862" s="1" t="s">
        <v>43</v>
      </c>
      <c r="I862" s="1" t="s">
        <v>5483</v>
      </c>
    </row>
    <row r="863" spans="1:9">
      <c r="A863" s="7" t="s">
        <v>5895</v>
      </c>
      <c r="B863" s="1" t="s">
        <v>2631</v>
      </c>
      <c r="C863" s="1">
        <v>121</v>
      </c>
      <c r="D863" s="1" t="s">
        <v>7</v>
      </c>
      <c r="E863" s="1" t="s">
        <v>6</v>
      </c>
      <c r="F863" s="1" t="s">
        <v>2360</v>
      </c>
      <c r="G863" s="1" t="s">
        <v>5872</v>
      </c>
      <c r="H863" s="1" t="s">
        <v>43</v>
      </c>
      <c r="I863" s="1" t="s">
        <v>5483</v>
      </c>
    </row>
    <row r="864" spans="1:9">
      <c r="A864" s="7" t="s">
        <v>5896</v>
      </c>
      <c r="B864" s="1" t="s">
        <v>2631</v>
      </c>
      <c r="C864" s="1">
        <v>121</v>
      </c>
      <c r="D864" s="1" t="s">
        <v>7</v>
      </c>
      <c r="E864" s="1" t="s">
        <v>6</v>
      </c>
      <c r="F864" s="1" t="s">
        <v>2360</v>
      </c>
      <c r="G864" s="1" t="s">
        <v>5872</v>
      </c>
      <c r="H864" s="1" t="s">
        <v>43</v>
      </c>
      <c r="I864" s="1" t="s">
        <v>5483</v>
      </c>
    </row>
    <row r="865" spans="1:9">
      <c r="A865" s="7" t="s">
        <v>5897</v>
      </c>
      <c r="B865" s="1" t="s">
        <v>2631</v>
      </c>
      <c r="C865" s="1">
        <v>236</v>
      </c>
      <c r="D865" s="1" t="s">
        <v>7</v>
      </c>
      <c r="E865" s="1" t="s">
        <v>6</v>
      </c>
      <c r="F865" s="1" t="s">
        <v>2360</v>
      </c>
      <c r="G865" s="1" t="s">
        <v>5872</v>
      </c>
      <c r="H865" s="1" t="s">
        <v>43</v>
      </c>
      <c r="I865" s="1" t="s">
        <v>5483</v>
      </c>
    </row>
    <row r="866" spans="1:9">
      <c r="A866" s="7" t="s">
        <v>5902</v>
      </c>
      <c r="B866" s="1" t="s">
        <v>2631</v>
      </c>
      <c r="C866" s="1">
        <v>121</v>
      </c>
      <c r="D866" s="1" t="s">
        <v>7</v>
      </c>
      <c r="E866" s="1" t="s">
        <v>6</v>
      </c>
      <c r="F866" s="1" t="s">
        <v>2360</v>
      </c>
      <c r="G866" s="1" t="s">
        <v>5872</v>
      </c>
      <c r="H866" s="1" t="s">
        <v>43</v>
      </c>
      <c r="I866" s="1" t="s">
        <v>5801</v>
      </c>
    </row>
    <row r="867" spans="1:9">
      <c r="A867" s="7" t="s">
        <v>5903</v>
      </c>
      <c r="B867" s="1" t="s">
        <v>2631</v>
      </c>
      <c r="C867" s="1">
        <v>121</v>
      </c>
      <c r="D867" s="1" t="s">
        <v>7</v>
      </c>
      <c r="E867" s="1" t="s">
        <v>6</v>
      </c>
      <c r="F867" s="1" t="s">
        <v>2360</v>
      </c>
      <c r="G867" s="1" t="s">
        <v>5872</v>
      </c>
      <c r="H867" s="1" t="s">
        <v>43</v>
      </c>
      <c r="I867" s="1" t="s">
        <v>5801</v>
      </c>
    </row>
    <row r="868" spans="1:9">
      <c r="A868" s="7" t="s">
        <v>5905</v>
      </c>
      <c r="B868" s="1" t="s">
        <v>2631</v>
      </c>
      <c r="C868" s="1">
        <v>121</v>
      </c>
      <c r="D868" s="1" t="s">
        <v>7</v>
      </c>
      <c r="E868" s="1" t="s">
        <v>6</v>
      </c>
      <c r="F868" s="1" t="s">
        <v>2360</v>
      </c>
      <c r="G868" s="1" t="s">
        <v>5872</v>
      </c>
      <c r="H868" s="1" t="s">
        <v>43</v>
      </c>
      <c r="I868" s="1" t="s">
        <v>5801</v>
      </c>
    </row>
    <row r="869" spans="1:9">
      <c r="A869" s="7" t="s">
        <v>5907</v>
      </c>
      <c r="B869" s="1" t="s">
        <v>2631</v>
      </c>
      <c r="C869" s="1">
        <v>236</v>
      </c>
      <c r="D869" s="1" t="s">
        <v>7</v>
      </c>
      <c r="E869" s="1" t="s">
        <v>6</v>
      </c>
      <c r="F869" s="1" t="s">
        <v>2360</v>
      </c>
      <c r="G869" s="1" t="s">
        <v>5872</v>
      </c>
      <c r="H869" s="1" t="s">
        <v>43</v>
      </c>
      <c r="I869" s="1" t="s">
        <v>5801</v>
      </c>
    </row>
    <row r="870" spans="1:9">
      <c r="A870" s="7" t="s">
        <v>5908</v>
      </c>
      <c r="B870" s="1" t="s">
        <v>2631</v>
      </c>
      <c r="C870" s="1">
        <v>236</v>
      </c>
      <c r="D870" s="1" t="s">
        <v>7</v>
      </c>
      <c r="E870" s="1" t="s">
        <v>6</v>
      </c>
      <c r="F870" s="1" t="s">
        <v>2360</v>
      </c>
      <c r="G870" s="1" t="s">
        <v>5872</v>
      </c>
      <c r="H870" s="1" t="s">
        <v>43</v>
      </c>
      <c r="I870" s="1" t="s">
        <v>5801</v>
      </c>
    </row>
    <row r="871" spans="1:9">
      <c r="A871" s="7" t="s">
        <v>5909</v>
      </c>
      <c r="B871" s="1" t="s">
        <v>2631</v>
      </c>
      <c r="C871" s="1">
        <v>121</v>
      </c>
      <c r="D871" s="1" t="s">
        <v>7</v>
      </c>
      <c r="E871" s="1" t="s">
        <v>6</v>
      </c>
      <c r="F871" s="1" t="s">
        <v>2360</v>
      </c>
      <c r="G871" s="1" t="s">
        <v>5872</v>
      </c>
      <c r="H871" s="1" t="s">
        <v>43</v>
      </c>
      <c r="I871" s="1" t="s">
        <v>5801</v>
      </c>
    </row>
    <row r="872" spans="1:9">
      <c r="A872" s="7" t="s">
        <v>5910</v>
      </c>
      <c r="B872" s="1" t="s">
        <v>2631</v>
      </c>
      <c r="C872" s="1">
        <v>121</v>
      </c>
      <c r="D872" s="1" t="s">
        <v>7</v>
      </c>
      <c r="E872" s="1" t="s">
        <v>6</v>
      </c>
      <c r="F872" s="1" t="s">
        <v>2360</v>
      </c>
      <c r="G872" s="1" t="s">
        <v>5872</v>
      </c>
      <c r="H872" s="1" t="s">
        <v>43</v>
      </c>
      <c r="I872" s="1" t="s">
        <v>5801</v>
      </c>
    </row>
    <row r="873" spans="1:9">
      <c r="A873" s="7" t="s">
        <v>5911</v>
      </c>
      <c r="B873" s="1" t="s">
        <v>2631</v>
      </c>
      <c r="C873" s="1">
        <v>121</v>
      </c>
      <c r="D873" s="1" t="s">
        <v>7</v>
      </c>
      <c r="E873" s="1" t="s">
        <v>6</v>
      </c>
      <c r="F873" s="1" t="s">
        <v>2360</v>
      </c>
      <c r="G873" s="1" t="s">
        <v>5872</v>
      </c>
      <c r="H873" s="1" t="s">
        <v>43</v>
      </c>
      <c r="I873" s="1" t="s">
        <v>5801</v>
      </c>
    </row>
    <row r="874" spans="1:9">
      <c r="A874" s="7" t="s">
        <v>5912</v>
      </c>
      <c r="B874" s="1" t="s">
        <v>2631</v>
      </c>
      <c r="C874" s="1">
        <v>121</v>
      </c>
      <c r="D874" s="1" t="s">
        <v>7</v>
      </c>
      <c r="E874" s="1" t="s">
        <v>6</v>
      </c>
      <c r="F874" s="1" t="s">
        <v>2360</v>
      </c>
      <c r="G874" s="1" t="s">
        <v>5872</v>
      </c>
      <c r="H874" s="1" t="s">
        <v>43</v>
      </c>
      <c r="I874" s="1" t="s">
        <v>5801</v>
      </c>
    </row>
    <row r="875" spans="1:9">
      <c r="A875" s="7" t="s">
        <v>5913</v>
      </c>
      <c r="B875" s="1" t="s">
        <v>2631</v>
      </c>
      <c r="C875" s="1">
        <v>121</v>
      </c>
      <c r="D875" s="1" t="s">
        <v>7</v>
      </c>
      <c r="E875" s="1" t="s">
        <v>6</v>
      </c>
      <c r="F875" s="1" t="s">
        <v>2360</v>
      </c>
      <c r="G875" s="1" t="s">
        <v>5872</v>
      </c>
      <c r="H875" s="1" t="s">
        <v>43</v>
      </c>
      <c r="I875" s="1" t="s">
        <v>5801</v>
      </c>
    </row>
    <row r="876" spans="1:9">
      <c r="A876" s="7" t="s">
        <v>5914</v>
      </c>
      <c r="B876" s="1" t="s">
        <v>2631</v>
      </c>
      <c r="C876" s="1">
        <v>121</v>
      </c>
      <c r="D876" s="1" t="s">
        <v>7</v>
      </c>
      <c r="E876" s="1" t="s">
        <v>6</v>
      </c>
      <c r="F876" s="1" t="s">
        <v>2360</v>
      </c>
      <c r="G876" s="1" t="s">
        <v>5872</v>
      </c>
      <c r="H876" s="1" t="s">
        <v>43</v>
      </c>
      <c r="I876" s="1" t="s">
        <v>5801</v>
      </c>
    </row>
    <row r="877" spans="1:9">
      <c r="A877" s="7" t="s">
        <v>5915</v>
      </c>
      <c r="B877" s="1" t="s">
        <v>2631</v>
      </c>
      <c r="C877" s="1">
        <v>121</v>
      </c>
      <c r="D877" s="1" t="s">
        <v>7</v>
      </c>
      <c r="E877" s="1" t="s">
        <v>6</v>
      </c>
      <c r="F877" s="1" t="s">
        <v>2360</v>
      </c>
      <c r="G877" s="1" t="s">
        <v>5872</v>
      </c>
      <c r="H877" s="1" t="s">
        <v>43</v>
      </c>
      <c r="I877" s="1" t="s">
        <v>5801</v>
      </c>
    </row>
    <row r="878" spans="1:9">
      <c r="A878" s="7" t="s">
        <v>5917</v>
      </c>
      <c r="B878" s="1" t="s">
        <v>2631</v>
      </c>
      <c r="C878" s="1">
        <v>121</v>
      </c>
      <c r="D878" s="1" t="s">
        <v>7</v>
      </c>
      <c r="E878" s="1" t="s">
        <v>6</v>
      </c>
      <c r="F878" s="1" t="s">
        <v>2360</v>
      </c>
      <c r="G878" s="1" t="s">
        <v>5872</v>
      </c>
      <c r="H878" s="1" t="s">
        <v>43</v>
      </c>
      <c r="I878" s="1" t="s">
        <v>5801</v>
      </c>
    </row>
    <row r="879" spans="1:9">
      <c r="A879" s="7" t="s">
        <v>5919</v>
      </c>
      <c r="B879" s="1" t="s">
        <v>2631</v>
      </c>
      <c r="C879" s="1">
        <v>121</v>
      </c>
      <c r="D879" s="1" t="s">
        <v>7</v>
      </c>
      <c r="E879" s="1" t="s">
        <v>6</v>
      </c>
      <c r="F879" s="1" t="s">
        <v>2360</v>
      </c>
      <c r="G879" s="1" t="s">
        <v>5872</v>
      </c>
      <c r="H879" s="1" t="s">
        <v>43</v>
      </c>
      <c r="I879" s="1" t="s">
        <v>5801</v>
      </c>
    </row>
    <row r="880" spans="1:9">
      <c r="A880" s="7" t="s">
        <v>5920</v>
      </c>
      <c r="B880" s="1" t="s">
        <v>2631</v>
      </c>
      <c r="C880" s="1">
        <v>236</v>
      </c>
      <c r="D880" s="1" t="s">
        <v>7</v>
      </c>
      <c r="E880" s="1" t="s">
        <v>6</v>
      </c>
      <c r="F880" s="1" t="s">
        <v>2360</v>
      </c>
      <c r="G880" s="1" t="s">
        <v>5872</v>
      </c>
      <c r="H880" s="1" t="s">
        <v>43</v>
      </c>
      <c r="I880" s="1" t="s">
        <v>5801</v>
      </c>
    </row>
    <row r="881" spans="1:10">
      <c r="A881" s="7" t="s">
        <v>5921</v>
      </c>
      <c r="B881" s="1" t="s">
        <v>2631</v>
      </c>
      <c r="C881" s="1">
        <v>121</v>
      </c>
      <c r="D881" s="1" t="s">
        <v>7</v>
      </c>
      <c r="E881" s="1" t="s">
        <v>6</v>
      </c>
      <c r="F881" s="1" t="s">
        <v>2360</v>
      </c>
      <c r="G881" s="1" t="s">
        <v>5872</v>
      </c>
      <c r="H881" s="1" t="s">
        <v>43</v>
      </c>
      <c r="I881" s="1" t="s">
        <v>5801</v>
      </c>
    </row>
    <row r="882" spans="1:10">
      <c r="A882" s="7" t="s">
        <v>5922</v>
      </c>
      <c r="B882" s="1" t="s">
        <v>2631</v>
      </c>
      <c r="C882" s="1">
        <v>236</v>
      </c>
      <c r="D882" s="1" t="s">
        <v>7</v>
      </c>
      <c r="E882" s="1" t="s">
        <v>6</v>
      </c>
      <c r="F882" s="1" t="s">
        <v>2360</v>
      </c>
      <c r="G882" s="1" t="s">
        <v>5872</v>
      </c>
      <c r="H882" s="1" t="s">
        <v>43</v>
      </c>
      <c r="I882" s="1" t="s">
        <v>5801</v>
      </c>
    </row>
    <row r="883" spans="1:10">
      <c r="A883" s="7" t="s">
        <v>5923</v>
      </c>
      <c r="B883" s="1" t="s">
        <v>2631</v>
      </c>
      <c r="C883" s="1">
        <v>121</v>
      </c>
      <c r="D883" s="1" t="s">
        <v>7</v>
      </c>
      <c r="E883" s="1" t="s">
        <v>6</v>
      </c>
      <c r="F883" s="1" t="s">
        <v>2360</v>
      </c>
      <c r="G883" s="1" t="s">
        <v>5872</v>
      </c>
      <c r="H883" s="1" t="s">
        <v>43</v>
      </c>
      <c r="I883" s="1" t="s">
        <v>5801</v>
      </c>
    </row>
    <row r="884" spans="1:10">
      <c r="A884" s="7" t="s">
        <v>5924</v>
      </c>
      <c r="B884" s="1" t="s">
        <v>2631</v>
      </c>
      <c r="C884" s="1">
        <v>121</v>
      </c>
      <c r="D884" s="1" t="s">
        <v>7</v>
      </c>
      <c r="E884" s="1" t="s">
        <v>6</v>
      </c>
      <c r="F884" s="1" t="s">
        <v>2360</v>
      </c>
      <c r="G884" s="1" t="s">
        <v>5872</v>
      </c>
      <c r="H884" s="1" t="s">
        <v>43</v>
      </c>
      <c r="I884" s="1" t="s">
        <v>5801</v>
      </c>
    </row>
    <row r="885" spans="1:10">
      <c r="A885" s="7" t="s">
        <v>5925</v>
      </c>
      <c r="B885" s="1" t="s">
        <v>2631</v>
      </c>
      <c r="C885" s="1">
        <v>121</v>
      </c>
      <c r="D885" s="1" t="s">
        <v>7</v>
      </c>
      <c r="E885" s="1" t="s">
        <v>6</v>
      </c>
      <c r="F885" s="1" t="s">
        <v>2360</v>
      </c>
      <c r="G885" s="1" t="s">
        <v>5</v>
      </c>
      <c r="H885" s="1" t="s">
        <v>5</v>
      </c>
      <c r="I885" s="1" t="s">
        <v>5801</v>
      </c>
      <c r="J885" s="17"/>
    </row>
    <row r="886" spans="1:10">
      <c r="A886" s="7" t="s">
        <v>5926</v>
      </c>
      <c r="B886" s="1" t="s">
        <v>2631</v>
      </c>
      <c r="C886" s="1">
        <v>121</v>
      </c>
      <c r="D886" s="1" t="s">
        <v>7</v>
      </c>
      <c r="E886" s="1" t="s">
        <v>6</v>
      </c>
      <c r="F886" s="1" t="s">
        <v>2360</v>
      </c>
      <c r="G886" s="1" t="s">
        <v>5</v>
      </c>
      <c r="H886" s="1" t="s">
        <v>5</v>
      </c>
      <c r="I886" s="1" t="s">
        <v>5801</v>
      </c>
      <c r="J886" s="17"/>
    </row>
    <row r="887" spans="1:10">
      <c r="A887" s="7" t="s">
        <v>5927</v>
      </c>
      <c r="B887" s="1" t="s">
        <v>2631</v>
      </c>
      <c r="C887" s="1">
        <v>236</v>
      </c>
      <c r="D887" s="1" t="s">
        <v>7</v>
      </c>
      <c r="E887" s="1" t="s">
        <v>6</v>
      </c>
      <c r="F887" s="1" t="s">
        <v>2360</v>
      </c>
      <c r="G887" s="1" t="s">
        <v>5872</v>
      </c>
      <c r="H887" s="1" t="s">
        <v>43</v>
      </c>
      <c r="I887" s="1" t="s">
        <v>5801</v>
      </c>
    </row>
    <row r="888" spans="1:10">
      <c r="A888" s="7" t="s">
        <v>5928</v>
      </c>
      <c r="B888" s="1" t="s">
        <v>2631</v>
      </c>
      <c r="C888" s="1">
        <v>121</v>
      </c>
      <c r="D888" s="1" t="s">
        <v>7</v>
      </c>
      <c r="E888" s="1" t="s">
        <v>6</v>
      </c>
      <c r="F888" s="1" t="s">
        <v>2360</v>
      </c>
      <c r="G888" s="1" t="s">
        <v>5872</v>
      </c>
      <c r="H888" s="1" t="s">
        <v>43</v>
      </c>
      <c r="I888" s="1" t="s">
        <v>5801</v>
      </c>
    </row>
    <row r="889" spans="1:10">
      <c r="A889" s="7" t="s">
        <v>5929</v>
      </c>
      <c r="B889" s="1" t="s">
        <v>2631</v>
      </c>
      <c r="C889" s="1">
        <v>121</v>
      </c>
      <c r="D889" s="1" t="s">
        <v>7</v>
      </c>
      <c r="E889" s="1" t="s">
        <v>6</v>
      </c>
      <c r="F889" s="1" t="s">
        <v>2360</v>
      </c>
      <c r="G889" s="1" t="s">
        <v>5872</v>
      </c>
      <c r="H889" s="1" t="s">
        <v>43</v>
      </c>
      <c r="I889" s="1" t="s">
        <v>5801</v>
      </c>
    </row>
    <row r="890" spans="1:10">
      <c r="A890" s="7" t="s">
        <v>5930</v>
      </c>
      <c r="B890" s="1" t="s">
        <v>2631</v>
      </c>
      <c r="C890" s="1">
        <v>121</v>
      </c>
      <c r="D890" s="1" t="s">
        <v>7</v>
      </c>
      <c r="E890" s="1" t="s">
        <v>6</v>
      </c>
      <c r="F890" s="1" t="s">
        <v>2360</v>
      </c>
      <c r="G890" s="1" t="s">
        <v>5872</v>
      </c>
      <c r="H890" s="1" t="s">
        <v>43</v>
      </c>
      <c r="I890" s="1" t="s">
        <v>5801</v>
      </c>
    </row>
    <row r="891" spans="1:10">
      <c r="A891" s="7" t="s">
        <v>5931</v>
      </c>
      <c r="B891" s="1" t="s">
        <v>2631</v>
      </c>
      <c r="C891" s="1">
        <v>121</v>
      </c>
      <c r="D891" s="1" t="s">
        <v>7</v>
      </c>
      <c r="E891" s="1" t="s">
        <v>6</v>
      </c>
      <c r="F891" s="1" t="s">
        <v>2360</v>
      </c>
      <c r="G891" s="1" t="s">
        <v>5872</v>
      </c>
      <c r="H891" s="1" t="s">
        <v>43</v>
      </c>
      <c r="I891" s="1" t="s">
        <v>5801</v>
      </c>
    </row>
    <row r="892" spans="1:10">
      <c r="A892" s="7" t="s">
        <v>5932</v>
      </c>
      <c r="B892" s="1" t="s">
        <v>2631</v>
      </c>
      <c r="C892" s="1">
        <v>121</v>
      </c>
      <c r="D892" s="1" t="s">
        <v>7</v>
      </c>
      <c r="E892" s="1" t="s">
        <v>6</v>
      </c>
      <c r="F892" s="1" t="s">
        <v>2360</v>
      </c>
      <c r="G892" s="1" t="s">
        <v>5872</v>
      </c>
      <c r="H892" s="1" t="s">
        <v>43</v>
      </c>
      <c r="I892" s="1" t="s">
        <v>5801</v>
      </c>
    </row>
    <row r="893" spans="1:10">
      <c r="A893" s="7" t="s">
        <v>5933</v>
      </c>
      <c r="B893" s="1" t="s">
        <v>2631</v>
      </c>
      <c r="C893" s="1">
        <v>121</v>
      </c>
      <c r="D893" s="1" t="s">
        <v>7</v>
      </c>
      <c r="E893" s="1" t="s">
        <v>6</v>
      </c>
      <c r="F893" s="1" t="s">
        <v>2360</v>
      </c>
      <c r="G893" s="1" t="s">
        <v>5872</v>
      </c>
      <c r="H893" s="1" t="s">
        <v>43</v>
      </c>
      <c r="I893" s="1" t="s">
        <v>5801</v>
      </c>
    </row>
    <row r="894" spans="1:10">
      <c r="A894" s="7" t="s">
        <v>5935</v>
      </c>
      <c r="B894" s="1" t="s">
        <v>2631</v>
      </c>
      <c r="C894" s="1">
        <v>121</v>
      </c>
      <c r="D894" s="1" t="s">
        <v>7</v>
      </c>
      <c r="E894" s="1" t="s">
        <v>6</v>
      </c>
      <c r="F894" s="1" t="s">
        <v>2360</v>
      </c>
      <c r="G894" s="1" t="s">
        <v>5872</v>
      </c>
      <c r="H894" s="1" t="s">
        <v>43</v>
      </c>
      <c r="I894" s="1" t="s">
        <v>5801</v>
      </c>
    </row>
    <row r="895" spans="1:10">
      <c r="A895" s="7" t="s">
        <v>5936</v>
      </c>
      <c r="B895" s="1" t="s">
        <v>2631</v>
      </c>
      <c r="C895" s="1">
        <v>121</v>
      </c>
      <c r="D895" s="1" t="s">
        <v>7</v>
      </c>
      <c r="E895" s="1" t="s">
        <v>6</v>
      </c>
      <c r="F895" s="1" t="s">
        <v>2360</v>
      </c>
      <c r="G895" s="1" t="s">
        <v>5</v>
      </c>
      <c r="H895" s="1" t="s">
        <v>5</v>
      </c>
      <c r="I895" s="1" t="s">
        <v>5801</v>
      </c>
      <c r="J895" s="17"/>
    </row>
    <row r="896" spans="1:10">
      <c r="A896" s="7" t="s">
        <v>5937</v>
      </c>
      <c r="B896" s="1" t="s">
        <v>2631</v>
      </c>
      <c r="C896" s="1">
        <v>236</v>
      </c>
      <c r="D896" s="1" t="s">
        <v>7</v>
      </c>
      <c r="E896" s="1" t="s">
        <v>6</v>
      </c>
      <c r="F896" s="1" t="s">
        <v>2360</v>
      </c>
      <c r="G896" s="1" t="s">
        <v>5872</v>
      </c>
      <c r="H896" s="1" t="s">
        <v>43</v>
      </c>
      <c r="I896" s="1" t="s">
        <v>5801</v>
      </c>
    </row>
    <row r="897" spans="1:10">
      <c r="A897" s="7" t="s">
        <v>5995</v>
      </c>
      <c r="B897" s="1" t="s">
        <v>2631</v>
      </c>
      <c r="C897" s="1">
        <v>121</v>
      </c>
      <c r="D897" s="1" t="s">
        <v>7</v>
      </c>
      <c r="E897" s="1" t="s">
        <v>6</v>
      </c>
      <c r="F897" s="1" t="s">
        <v>2360</v>
      </c>
      <c r="G897" s="1" t="s">
        <v>5</v>
      </c>
      <c r="H897" s="1" t="s">
        <v>5</v>
      </c>
      <c r="I897" s="1" t="s">
        <v>5848</v>
      </c>
      <c r="J897" s="17"/>
    </row>
    <row r="898" spans="1:10">
      <c r="A898" s="7" t="s">
        <v>5999</v>
      </c>
      <c r="B898" s="1" t="s">
        <v>2631</v>
      </c>
      <c r="C898" s="1">
        <v>121</v>
      </c>
      <c r="D898" s="1" t="s">
        <v>7</v>
      </c>
      <c r="E898" s="1" t="s">
        <v>6</v>
      </c>
      <c r="F898" s="1" t="s">
        <v>2360</v>
      </c>
      <c r="G898" s="1" t="s">
        <v>5</v>
      </c>
      <c r="H898" s="1" t="s">
        <v>5</v>
      </c>
      <c r="I898" s="1" t="s">
        <v>5848</v>
      </c>
      <c r="J898" s="17"/>
    </row>
    <row r="899" spans="1:10">
      <c r="A899" s="7" t="s">
        <v>6001</v>
      </c>
      <c r="B899" s="1" t="s">
        <v>2631</v>
      </c>
      <c r="C899" s="1">
        <v>121</v>
      </c>
      <c r="D899" s="1" t="s">
        <v>7</v>
      </c>
      <c r="E899" s="1" t="s">
        <v>6</v>
      </c>
      <c r="F899" s="1" t="s">
        <v>2360</v>
      </c>
      <c r="G899" s="1" t="s">
        <v>5</v>
      </c>
      <c r="H899" s="1" t="s">
        <v>5</v>
      </c>
      <c r="I899" s="1" t="s">
        <v>5848</v>
      </c>
      <c r="J899" s="17"/>
    </row>
    <row r="900" spans="1:10">
      <c r="A900" s="7" t="s">
        <v>6002</v>
      </c>
      <c r="B900" s="1" t="s">
        <v>2631</v>
      </c>
      <c r="C900" s="1">
        <v>121</v>
      </c>
      <c r="D900" s="1" t="s">
        <v>7</v>
      </c>
      <c r="E900" s="1" t="s">
        <v>6</v>
      </c>
      <c r="F900" s="1" t="s">
        <v>2360</v>
      </c>
      <c r="G900" s="1" t="s">
        <v>5</v>
      </c>
      <c r="H900" s="1" t="s">
        <v>5</v>
      </c>
      <c r="I900" s="1" t="s">
        <v>5848</v>
      </c>
      <c r="J900" s="17"/>
    </row>
    <row r="901" spans="1:10">
      <c r="A901" s="7" t="s">
        <v>6003</v>
      </c>
      <c r="B901" s="1" t="s">
        <v>2631</v>
      </c>
      <c r="C901" s="1">
        <v>121</v>
      </c>
      <c r="D901" s="1" t="s">
        <v>7</v>
      </c>
      <c r="E901" s="1" t="s">
        <v>6</v>
      </c>
      <c r="F901" s="1" t="s">
        <v>2360</v>
      </c>
      <c r="G901" s="1" t="s">
        <v>5</v>
      </c>
      <c r="H901" s="1" t="s">
        <v>5</v>
      </c>
      <c r="I901" s="1" t="s">
        <v>5848</v>
      </c>
      <c r="J901" s="17"/>
    </row>
    <row r="902" spans="1:10">
      <c r="A902" s="7" t="s">
        <v>6008</v>
      </c>
      <c r="B902" s="1" t="s">
        <v>2631</v>
      </c>
      <c r="C902" s="1">
        <v>121</v>
      </c>
      <c r="D902" s="1" t="s">
        <v>7</v>
      </c>
      <c r="E902" s="1" t="s">
        <v>6</v>
      </c>
      <c r="F902" s="1" t="s">
        <v>2360</v>
      </c>
      <c r="G902" s="1" t="s">
        <v>5</v>
      </c>
      <c r="H902" s="1" t="s">
        <v>5</v>
      </c>
      <c r="I902" s="1" t="s">
        <v>5848</v>
      </c>
      <c r="J902" s="17"/>
    </row>
    <row r="903" spans="1:10">
      <c r="A903" s="7" t="s">
        <v>6009</v>
      </c>
      <c r="B903" s="1" t="s">
        <v>2631</v>
      </c>
      <c r="C903" s="1">
        <v>121</v>
      </c>
      <c r="D903" s="1" t="s">
        <v>7</v>
      </c>
      <c r="E903" s="1" t="s">
        <v>6</v>
      </c>
      <c r="F903" s="1" t="s">
        <v>2360</v>
      </c>
      <c r="G903" s="1" t="s">
        <v>5</v>
      </c>
      <c r="H903" s="1" t="s">
        <v>5</v>
      </c>
      <c r="I903" s="1" t="s">
        <v>5848</v>
      </c>
      <c r="J903" s="17"/>
    </row>
    <row r="904" spans="1:10">
      <c r="A904" s="7" t="s">
        <v>6010</v>
      </c>
      <c r="B904" s="1" t="s">
        <v>2631</v>
      </c>
      <c r="C904" s="1">
        <v>121</v>
      </c>
      <c r="D904" s="1" t="s">
        <v>7</v>
      </c>
      <c r="E904" s="1" t="s">
        <v>6</v>
      </c>
      <c r="F904" s="1" t="s">
        <v>2360</v>
      </c>
      <c r="G904" s="1" t="s">
        <v>5</v>
      </c>
      <c r="H904" s="1" t="s">
        <v>5</v>
      </c>
      <c r="I904" s="1" t="s">
        <v>5848</v>
      </c>
      <c r="J904" s="17"/>
    </row>
    <row r="905" spans="1:10">
      <c r="A905" s="7" t="s">
        <v>6011</v>
      </c>
      <c r="B905" s="1" t="s">
        <v>2631</v>
      </c>
      <c r="C905" s="1">
        <v>121</v>
      </c>
      <c r="D905" s="1" t="s">
        <v>7</v>
      </c>
      <c r="E905" s="1" t="s">
        <v>6</v>
      </c>
      <c r="F905" s="1" t="s">
        <v>2360</v>
      </c>
      <c r="G905" s="1" t="s">
        <v>5</v>
      </c>
      <c r="H905" s="1" t="s">
        <v>5</v>
      </c>
      <c r="I905" s="1" t="s">
        <v>5848</v>
      </c>
      <c r="J905" s="17"/>
    </row>
    <row r="906" spans="1:10">
      <c r="A906" s="7" t="s">
        <v>6013</v>
      </c>
      <c r="B906" s="1" t="s">
        <v>2631</v>
      </c>
      <c r="C906" s="1">
        <v>121</v>
      </c>
      <c r="D906" s="1" t="s">
        <v>7</v>
      </c>
      <c r="E906" s="1" t="s">
        <v>6</v>
      </c>
      <c r="F906" s="1" t="s">
        <v>2360</v>
      </c>
      <c r="G906" s="1" t="s">
        <v>5</v>
      </c>
      <c r="H906" s="1" t="s">
        <v>5</v>
      </c>
      <c r="I906" s="1" t="s">
        <v>5848</v>
      </c>
      <c r="J906" s="17"/>
    </row>
    <row r="907" spans="1:10">
      <c r="A907" s="7" t="s">
        <v>6014</v>
      </c>
      <c r="B907" s="1" t="s">
        <v>2631</v>
      </c>
      <c r="C907" s="1">
        <v>121</v>
      </c>
      <c r="D907" s="1" t="s">
        <v>7</v>
      </c>
      <c r="E907" s="1" t="s">
        <v>6</v>
      </c>
      <c r="F907" s="1" t="s">
        <v>2360</v>
      </c>
      <c r="G907" s="1" t="s">
        <v>5</v>
      </c>
      <c r="H907" s="1" t="s">
        <v>5</v>
      </c>
      <c r="I907" s="1" t="s">
        <v>5848</v>
      </c>
      <c r="J907" s="17"/>
    </row>
    <row r="908" spans="1:10">
      <c r="A908" s="7" t="s">
        <v>6015</v>
      </c>
      <c r="B908" s="1" t="s">
        <v>2631</v>
      </c>
      <c r="C908" s="1">
        <v>121</v>
      </c>
      <c r="D908" s="1" t="s">
        <v>7</v>
      </c>
      <c r="E908" s="1" t="s">
        <v>6</v>
      </c>
      <c r="F908" s="1" t="s">
        <v>2360</v>
      </c>
      <c r="G908" s="1" t="s">
        <v>1446</v>
      </c>
      <c r="H908" s="1" t="s">
        <v>44</v>
      </c>
      <c r="I908" s="1" t="s">
        <v>5848</v>
      </c>
    </row>
    <row r="909" spans="1:10">
      <c r="A909" s="7" t="s">
        <v>6016</v>
      </c>
      <c r="B909" s="1" t="s">
        <v>2631</v>
      </c>
      <c r="C909" s="1">
        <v>2474</v>
      </c>
      <c r="D909" s="1" t="s">
        <v>7</v>
      </c>
      <c r="E909" s="1" t="s">
        <v>6</v>
      </c>
      <c r="F909" s="1" t="s">
        <v>2360</v>
      </c>
      <c r="G909" s="1" t="s">
        <v>5</v>
      </c>
      <c r="H909" s="1" t="s">
        <v>5</v>
      </c>
      <c r="I909" s="1" t="s">
        <v>5848</v>
      </c>
      <c r="J909" s="17"/>
    </row>
    <row r="910" spans="1:10">
      <c r="A910" s="7" t="s">
        <v>6017</v>
      </c>
      <c r="B910" s="1" t="s">
        <v>2631</v>
      </c>
      <c r="C910" s="1">
        <v>121</v>
      </c>
      <c r="D910" s="1" t="s">
        <v>7</v>
      </c>
      <c r="E910" s="1" t="s">
        <v>6</v>
      </c>
      <c r="F910" s="1" t="s">
        <v>2360</v>
      </c>
      <c r="G910" s="1" t="s">
        <v>5</v>
      </c>
      <c r="H910" s="1" t="s">
        <v>5</v>
      </c>
      <c r="I910" s="1" t="s">
        <v>5848</v>
      </c>
      <c r="J910" s="17"/>
    </row>
    <row r="911" spans="1:10">
      <c r="A911" s="7" t="s">
        <v>6019</v>
      </c>
      <c r="B911" s="1" t="s">
        <v>2631</v>
      </c>
      <c r="C911" s="1">
        <v>121</v>
      </c>
      <c r="D911" s="1" t="s">
        <v>7</v>
      </c>
      <c r="E911" s="1" t="s">
        <v>6</v>
      </c>
      <c r="F911" s="1" t="s">
        <v>2360</v>
      </c>
      <c r="G911" s="1" t="s">
        <v>1446</v>
      </c>
      <c r="H911" s="1" t="s">
        <v>44</v>
      </c>
      <c r="I911" s="1" t="s">
        <v>5848</v>
      </c>
    </row>
    <row r="912" spans="1:10">
      <c r="A912" s="7" t="s">
        <v>6020</v>
      </c>
      <c r="B912" s="1" t="s">
        <v>2631</v>
      </c>
      <c r="C912" s="1">
        <v>121</v>
      </c>
      <c r="D912" s="1" t="s">
        <v>7</v>
      </c>
      <c r="E912" s="1" t="s">
        <v>6</v>
      </c>
      <c r="F912" s="1" t="s">
        <v>2360</v>
      </c>
      <c r="G912" s="1" t="s">
        <v>5</v>
      </c>
      <c r="H912" s="1" t="s">
        <v>5</v>
      </c>
      <c r="I912" s="1" t="s">
        <v>5848</v>
      </c>
      <c r="J912" s="17"/>
    </row>
    <row r="913" spans="1:10">
      <c r="A913" s="7" t="s">
        <v>6021</v>
      </c>
      <c r="B913" s="1" t="s">
        <v>2631</v>
      </c>
      <c r="C913" s="1">
        <v>121</v>
      </c>
      <c r="D913" s="1" t="s">
        <v>7</v>
      </c>
      <c r="E913" s="1" t="s">
        <v>6</v>
      </c>
      <c r="F913" s="1" t="s">
        <v>2360</v>
      </c>
      <c r="G913" s="1" t="s">
        <v>5</v>
      </c>
      <c r="H913" s="1" t="s">
        <v>5</v>
      </c>
      <c r="I913" s="1" t="s">
        <v>5848</v>
      </c>
      <c r="J913" s="17"/>
    </row>
    <row r="914" spans="1:10">
      <c r="A914" s="7" t="s">
        <v>6023</v>
      </c>
      <c r="B914" s="1" t="s">
        <v>2631</v>
      </c>
      <c r="C914" s="1">
        <v>121</v>
      </c>
      <c r="D914" s="1" t="s">
        <v>7</v>
      </c>
      <c r="E914" s="1" t="s">
        <v>6</v>
      </c>
      <c r="F914" s="1" t="s">
        <v>2360</v>
      </c>
      <c r="G914" s="1" t="s">
        <v>5</v>
      </c>
      <c r="H914" s="1" t="s">
        <v>5</v>
      </c>
      <c r="I914" s="1" t="s">
        <v>5848</v>
      </c>
      <c r="J914" s="17"/>
    </row>
    <row r="915" spans="1:10">
      <c r="A915" s="7" t="s">
        <v>6024</v>
      </c>
      <c r="B915" s="1" t="s">
        <v>2631</v>
      </c>
      <c r="C915" s="1">
        <v>121</v>
      </c>
      <c r="D915" s="1" t="s">
        <v>7</v>
      </c>
      <c r="E915" s="1" t="s">
        <v>6</v>
      </c>
      <c r="F915" s="1" t="s">
        <v>2360</v>
      </c>
      <c r="G915" s="1" t="s">
        <v>5</v>
      </c>
      <c r="H915" s="1" t="s">
        <v>5</v>
      </c>
      <c r="I915" s="1" t="s">
        <v>5848</v>
      </c>
      <c r="J915" s="17"/>
    </row>
    <row r="916" spans="1:10">
      <c r="A916" s="7" t="s">
        <v>6025</v>
      </c>
      <c r="B916" s="1" t="s">
        <v>2631</v>
      </c>
      <c r="C916" s="1">
        <v>121</v>
      </c>
      <c r="D916" s="1" t="s">
        <v>7</v>
      </c>
      <c r="E916" s="1" t="s">
        <v>6</v>
      </c>
      <c r="F916" s="1" t="s">
        <v>2360</v>
      </c>
      <c r="G916" s="1" t="s">
        <v>5</v>
      </c>
      <c r="H916" s="1" t="s">
        <v>5</v>
      </c>
      <c r="I916" s="1" t="s">
        <v>5848</v>
      </c>
      <c r="J916" s="17"/>
    </row>
    <row r="917" spans="1:10">
      <c r="A917" s="7" t="s">
        <v>6026</v>
      </c>
      <c r="B917" s="1" t="s">
        <v>2631</v>
      </c>
      <c r="C917" s="1">
        <v>121</v>
      </c>
      <c r="D917" s="1" t="s">
        <v>7</v>
      </c>
      <c r="E917" s="1" t="s">
        <v>6</v>
      </c>
      <c r="F917" s="1" t="s">
        <v>2360</v>
      </c>
      <c r="G917" s="1" t="s">
        <v>5</v>
      </c>
      <c r="H917" s="1" t="s">
        <v>5</v>
      </c>
      <c r="I917" s="1" t="s">
        <v>5848</v>
      </c>
      <c r="J917" s="17"/>
    </row>
    <row r="918" spans="1:10">
      <c r="A918" s="7" t="s">
        <v>6027</v>
      </c>
      <c r="B918" s="1" t="s">
        <v>2631</v>
      </c>
      <c r="C918" s="1">
        <v>121</v>
      </c>
      <c r="D918" s="1" t="s">
        <v>7</v>
      </c>
      <c r="E918" s="1" t="s">
        <v>6</v>
      </c>
      <c r="F918" s="1" t="s">
        <v>2360</v>
      </c>
      <c r="G918" s="1" t="s">
        <v>1446</v>
      </c>
      <c r="H918" s="1" t="s">
        <v>44</v>
      </c>
      <c r="I918" s="1" t="s">
        <v>5848</v>
      </c>
    </row>
    <row r="919" spans="1:10">
      <c r="A919" s="7" t="s">
        <v>6028</v>
      </c>
      <c r="B919" s="1" t="s">
        <v>2631</v>
      </c>
      <c r="C919" s="1">
        <v>121</v>
      </c>
      <c r="D919" s="1" t="s">
        <v>7</v>
      </c>
      <c r="E919" s="1" t="s">
        <v>6</v>
      </c>
      <c r="F919" s="1" t="s">
        <v>2360</v>
      </c>
      <c r="G919" s="1" t="s">
        <v>1446</v>
      </c>
      <c r="H919" s="1" t="s">
        <v>44</v>
      </c>
      <c r="I919" s="1" t="s">
        <v>5848</v>
      </c>
    </row>
    <row r="920" spans="1:10">
      <c r="A920" s="7" t="s">
        <v>6029</v>
      </c>
      <c r="B920" s="1" t="s">
        <v>2631</v>
      </c>
      <c r="C920" s="1">
        <v>121</v>
      </c>
      <c r="D920" s="1" t="s">
        <v>7</v>
      </c>
      <c r="E920" s="1" t="s">
        <v>6</v>
      </c>
      <c r="F920" s="1" t="s">
        <v>2360</v>
      </c>
      <c r="G920" s="1" t="s">
        <v>5</v>
      </c>
      <c r="H920" s="1" t="s">
        <v>5</v>
      </c>
      <c r="I920" s="1" t="s">
        <v>5848</v>
      </c>
      <c r="J920" s="17"/>
    </row>
    <row r="921" spans="1:10">
      <c r="A921" s="7" t="s">
        <v>6030</v>
      </c>
      <c r="B921" s="1" t="s">
        <v>2631</v>
      </c>
      <c r="C921" s="1">
        <v>121</v>
      </c>
      <c r="D921" s="1" t="s">
        <v>7</v>
      </c>
      <c r="E921" s="1" t="s">
        <v>6</v>
      </c>
      <c r="F921" s="1" t="s">
        <v>2360</v>
      </c>
      <c r="G921" s="1" t="s">
        <v>5</v>
      </c>
      <c r="H921" s="1" t="s">
        <v>5</v>
      </c>
      <c r="I921" s="1" t="s">
        <v>5848</v>
      </c>
      <c r="J921" s="17"/>
    </row>
    <row r="922" spans="1:10">
      <c r="A922" s="7" t="s">
        <v>6031</v>
      </c>
      <c r="B922" s="1" t="s">
        <v>2631</v>
      </c>
      <c r="C922" s="1">
        <v>121</v>
      </c>
      <c r="D922" s="1" t="s">
        <v>7</v>
      </c>
      <c r="E922" s="1" t="s">
        <v>6</v>
      </c>
      <c r="F922" s="1" t="s">
        <v>2360</v>
      </c>
      <c r="G922" s="1" t="s">
        <v>5</v>
      </c>
      <c r="H922" s="1" t="s">
        <v>5</v>
      </c>
      <c r="I922" s="1" t="s">
        <v>5848</v>
      </c>
      <c r="J922" s="17"/>
    </row>
    <row r="923" spans="1:10">
      <c r="A923" s="7" t="s">
        <v>6032</v>
      </c>
      <c r="B923" s="1" t="s">
        <v>2631</v>
      </c>
      <c r="C923" s="1">
        <v>121</v>
      </c>
      <c r="D923" s="1" t="s">
        <v>7</v>
      </c>
      <c r="E923" s="1" t="s">
        <v>6</v>
      </c>
      <c r="F923" s="1" t="s">
        <v>2360</v>
      </c>
      <c r="G923" s="1" t="s">
        <v>5</v>
      </c>
      <c r="H923" s="1" t="s">
        <v>5</v>
      </c>
      <c r="I923" s="1" t="s">
        <v>5848</v>
      </c>
      <c r="J923" s="17"/>
    </row>
    <row r="924" spans="1:10">
      <c r="A924" s="7" t="s">
        <v>6033</v>
      </c>
      <c r="B924" s="1" t="s">
        <v>2631</v>
      </c>
      <c r="C924" s="1">
        <v>121</v>
      </c>
      <c r="D924" s="1" t="s">
        <v>7</v>
      </c>
      <c r="E924" s="1" t="s">
        <v>6</v>
      </c>
      <c r="F924" s="1" t="s">
        <v>2360</v>
      </c>
      <c r="G924" s="1" t="s">
        <v>5</v>
      </c>
      <c r="H924" s="1" t="s">
        <v>5</v>
      </c>
      <c r="I924" s="1" t="s">
        <v>5848</v>
      </c>
      <c r="J924" s="17"/>
    </row>
    <row r="925" spans="1:10">
      <c r="A925" s="7" t="s">
        <v>6034</v>
      </c>
      <c r="B925" s="1" t="s">
        <v>2631</v>
      </c>
      <c r="C925" s="1">
        <v>121</v>
      </c>
      <c r="D925" s="1" t="s">
        <v>7</v>
      </c>
      <c r="E925" s="1" t="s">
        <v>6</v>
      </c>
      <c r="F925" s="1" t="s">
        <v>2360</v>
      </c>
      <c r="G925" s="1" t="s">
        <v>5</v>
      </c>
      <c r="H925" s="1" t="s">
        <v>5</v>
      </c>
      <c r="I925" s="1" t="s">
        <v>5848</v>
      </c>
      <c r="J925" s="17"/>
    </row>
    <row r="926" spans="1:10">
      <c r="A926" s="7" t="s">
        <v>6037</v>
      </c>
      <c r="B926" s="1" t="s">
        <v>2631</v>
      </c>
      <c r="C926" s="1">
        <v>236</v>
      </c>
      <c r="D926" s="1" t="s">
        <v>7</v>
      </c>
      <c r="E926" s="1" t="s">
        <v>6</v>
      </c>
      <c r="F926" s="1" t="s">
        <v>2360</v>
      </c>
      <c r="G926" s="1" t="s">
        <v>5</v>
      </c>
      <c r="H926" s="1" t="s">
        <v>5</v>
      </c>
      <c r="I926" s="1" t="s">
        <v>5848</v>
      </c>
      <c r="J926" s="17"/>
    </row>
    <row r="927" spans="1:10">
      <c r="A927" s="7" t="s">
        <v>6040</v>
      </c>
      <c r="B927" s="1" t="s">
        <v>2631</v>
      </c>
      <c r="C927" s="1">
        <v>121</v>
      </c>
      <c r="D927" s="1" t="s">
        <v>7</v>
      </c>
      <c r="E927" s="1" t="s">
        <v>6</v>
      </c>
      <c r="F927" s="1" t="s">
        <v>2360</v>
      </c>
      <c r="G927" s="1" t="s">
        <v>5</v>
      </c>
      <c r="H927" s="1" t="s">
        <v>5</v>
      </c>
      <c r="I927" s="1" t="s">
        <v>5848</v>
      </c>
      <c r="J927" s="17"/>
    </row>
    <row r="928" spans="1:10">
      <c r="A928" s="7" t="s">
        <v>6041</v>
      </c>
      <c r="B928" s="1" t="s">
        <v>2631</v>
      </c>
      <c r="C928" s="1">
        <v>121</v>
      </c>
      <c r="D928" s="1" t="s">
        <v>7</v>
      </c>
      <c r="E928" s="1" t="s">
        <v>6</v>
      </c>
      <c r="F928" s="1" t="s">
        <v>2360</v>
      </c>
      <c r="G928" s="1" t="s">
        <v>5</v>
      </c>
      <c r="H928" s="1" t="s">
        <v>5</v>
      </c>
      <c r="I928" s="1" t="s">
        <v>5848</v>
      </c>
      <c r="J928" s="17"/>
    </row>
    <row r="929" spans="1:10">
      <c r="A929" s="7" t="s">
        <v>6042</v>
      </c>
      <c r="B929" s="1" t="s">
        <v>2631</v>
      </c>
      <c r="C929" s="1">
        <v>121</v>
      </c>
      <c r="D929" s="1" t="s">
        <v>7</v>
      </c>
      <c r="E929" s="1" t="s">
        <v>6</v>
      </c>
      <c r="F929" s="1" t="s">
        <v>2360</v>
      </c>
      <c r="G929" s="1" t="s">
        <v>5</v>
      </c>
      <c r="H929" s="1" t="s">
        <v>5</v>
      </c>
      <c r="I929" s="1" t="s">
        <v>5848</v>
      </c>
      <c r="J929" s="17"/>
    </row>
    <row r="930" spans="1:10">
      <c r="A930" s="7" t="s">
        <v>6043</v>
      </c>
      <c r="B930" s="1" t="s">
        <v>2631</v>
      </c>
      <c r="C930" s="1">
        <v>121</v>
      </c>
      <c r="D930" s="1" t="s">
        <v>7</v>
      </c>
      <c r="E930" s="1" t="s">
        <v>6</v>
      </c>
      <c r="F930" s="1" t="s">
        <v>2360</v>
      </c>
      <c r="G930" s="1" t="s">
        <v>5</v>
      </c>
      <c r="H930" s="1" t="s">
        <v>5</v>
      </c>
      <c r="I930" s="1" t="s">
        <v>5848</v>
      </c>
      <c r="J930" s="17"/>
    </row>
    <row r="931" spans="1:10">
      <c r="A931" s="7" t="s">
        <v>6044</v>
      </c>
      <c r="B931" s="1" t="s">
        <v>2631</v>
      </c>
      <c r="C931" s="1">
        <v>121</v>
      </c>
      <c r="D931" s="1" t="s">
        <v>7</v>
      </c>
      <c r="E931" s="1" t="s">
        <v>6</v>
      </c>
      <c r="F931" s="1" t="s">
        <v>2360</v>
      </c>
      <c r="G931" s="1" t="s">
        <v>5</v>
      </c>
      <c r="H931" s="1" t="s">
        <v>5</v>
      </c>
      <c r="I931" s="1" t="s">
        <v>5848</v>
      </c>
      <c r="J931" s="17"/>
    </row>
    <row r="932" spans="1:10">
      <c r="A932" s="7" t="s">
        <v>6045</v>
      </c>
      <c r="B932" s="1" t="s">
        <v>2631</v>
      </c>
      <c r="C932" s="1">
        <v>121</v>
      </c>
      <c r="D932" s="1" t="s">
        <v>7</v>
      </c>
      <c r="E932" s="1" t="s">
        <v>6</v>
      </c>
      <c r="F932" s="1" t="s">
        <v>2360</v>
      </c>
      <c r="G932" s="1" t="s">
        <v>5</v>
      </c>
      <c r="H932" s="1" t="s">
        <v>5</v>
      </c>
      <c r="I932" s="1" t="s">
        <v>5848</v>
      </c>
      <c r="J932" s="17"/>
    </row>
    <row r="933" spans="1:10">
      <c r="A933" s="7" t="s">
        <v>6047</v>
      </c>
      <c r="B933" s="1" t="s">
        <v>2631</v>
      </c>
      <c r="C933" s="1">
        <v>236</v>
      </c>
      <c r="D933" s="1" t="s">
        <v>7</v>
      </c>
      <c r="E933" s="1" t="s">
        <v>6</v>
      </c>
      <c r="F933" s="1" t="s">
        <v>2360</v>
      </c>
      <c r="G933" s="1" t="s">
        <v>5</v>
      </c>
      <c r="H933" s="1" t="s">
        <v>5</v>
      </c>
      <c r="I933" s="1" t="s">
        <v>5848</v>
      </c>
      <c r="J933" s="17"/>
    </row>
    <row r="934" spans="1:10">
      <c r="A934" s="7" t="s">
        <v>6048</v>
      </c>
      <c r="B934" s="1" t="s">
        <v>2631</v>
      </c>
      <c r="C934" s="1">
        <v>121</v>
      </c>
      <c r="D934" s="1" t="s">
        <v>7</v>
      </c>
      <c r="E934" s="1" t="s">
        <v>6</v>
      </c>
      <c r="F934" s="1" t="s">
        <v>2360</v>
      </c>
      <c r="G934" s="1" t="s">
        <v>5</v>
      </c>
      <c r="H934" s="1" t="s">
        <v>5</v>
      </c>
      <c r="I934" s="1" t="s">
        <v>5848</v>
      </c>
      <c r="J934" s="17"/>
    </row>
    <row r="935" spans="1:10">
      <c r="A935" s="7" t="s">
        <v>6049</v>
      </c>
      <c r="B935" s="1" t="s">
        <v>2631</v>
      </c>
      <c r="C935" s="1">
        <v>121</v>
      </c>
      <c r="D935" s="1" t="s">
        <v>7</v>
      </c>
      <c r="E935" s="1" t="s">
        <v>6</v>
      </c>
      <c r="F935" s="1" t="s">
        <v>2360</v>
      </c>
      <c r="G935" s="1" t="s">
        <v>5</v>
      </c>
      <c r="H935" s="1" t="s">
        <v>5</v>
      </c>
      <c r="I935" s="1" t="s">
        <v>5848</v>
      </c>
      <c r="J935" s="17"/>
    </row>
    <row r="936" spans="1:10">
      <c r="A936" s="7" t="s">
        <v>6050</v>
      </c>
      <c r="B936" s="1" t="s">
        <v>2631</v>
      </c>
      <c r="C936" s="1">
        <v>121</v>
      </c>
      <c r="D936" s="1" t="s">
        <v>7</v>
      </c>
      <c r="E936" s="1" t="s">
        <v>6</v>
      </c>
      <c r="F936" s="1" t="s">
        <v>2360</v>
      </c>
      <c r="G936" s="1" t="s">
        <v>5</v>
      </c>
      <c r="H936" s="1" t="s">
        <v>5</v>
      </c>
      <c r="I936" s="1" t="s">
        <v>5848</v>
      </c>
      <c r="J936" s="17"/>
    </row>
    <row r="937" spans="1:10">
      <c r="A937" s="7" t="s">
        <v>6051</v>
      </c>
      <c r="B937" s="1" t="s">
        <v>2631</v>
      </c>
      <c r="C937" s="1">
        <v>121</v>
      </c>
      <c r="D937" s="1" t="s">
        <v>7</v>
      </c>
      <c r="E937" s="1" t="s">
        <v>6</v>
      </c>
      <c r="F937" s="1" t="s">
        <v>2360</v>
      </c>
      <c r="G937" s="1" t="s">
        <v>5</v>
      </c>
      <c r="H937" s="1" t="s">
        <v>5</v>
      </c>
      <c r="I937" s="1" t="s">
        <v>5848</v>
      </c>
      <c r="J937" s="17"/>
    </row>
    <row r="938" spans="1:10">
      <c r="A938" s="7" t="s">
        <v>6052</v>
      </c>
      <c r="B938" s="1" t="s">
        <v>2631</v>
      </c>
      <c r="C938" s="1">
        <v>121</v>
      </c>
      <c r="D938" s="1" t="s">
        <v>7</v>
      </c>
      <c r="E938" s="1" t="s">
        <v>6</v>
      </c>
      <c r="F938" s="1" t="s">
        <v>2360</v>
      </c>
      <c r="G938" s="1" t="s">
        <v>5</v>
      </c>
      <c r="H938" s="1" t="s">
        <v>5</v>
      </c>
      <c r="I938" s="1" t="s">
        <v>5848</v>
      </c>
      <c r="J938" s="17"/>
    </row>
    <row r="939" spans="1:10">
      <c r="A939" s="7" t="s">
        <v>6054</v>
      </c>
      <c r="B939" s="1" t="s">
        <v>2631</v>
      </c>
      <c r="C939" s="1">
        <v>121</v>
      </c>
      <c r="D939" s="1" t="s">
        <v>7</v>
      </c>
      <c r="E939" s="1" t="s">
        <v>6</v>
      </c>
      <c r="F939" s="1" t="s">
        <v>2360</v>
      </c>
      <c r="G939" s="1" t="s">
        <v>5</v>
      </c>
      <c r="H939" s="1" t="s">
        <v>5</v>
      </c>
      <c r="I939" s="1" t="s">
        <v>5848</v>
      </c>
      <c r="J939" s="17"/>
    </row>
    <row r="940" spans="1:10">
      <c r="A940" s="7" t="s">
        <v>6055</v>
      </c>
      <c r="B940" s="1" t="s">
        <v>2631</v>
      </c>
      <c r="C940" s="1">
        <v>121</v>
      </c>
      <c r="D940" s="1" t="s">
        <v>7</v>
      </c>
      <c r="E940" s="1" t="s">
        <v>6</v>
      </c>
      <c r="F940" s="1" t="s">
        <v>2360</v>
      </c>
      <c r="G940" s="1" t="s">
        <v>5</v>
      </c>
      <c r="H940" s="1" t="s">
        <v>5</v>
      </c>
      <c r="I940" s="1" t="s">
        <v>5848</v>
      </c>
      <c r="J940" s="17"/>
    </row>
    <row r="941" spans="1:10">
      <c r="A941" s="7" t="s">
        <v>6056</v>
      </c>
      <c r="B941" s="1" t="s">
        <v>2631</v>
      </c>
      <c r="C941" s="1">
        <v>121</v>
      </c>
      <c r="D941" s="1" t="s">
        <v>7</v>
      </c>
      <c r="E941" s="1" t="s">
        <v>6</v>
      </c>
      <c r="F941" s="1" t="s">
        <v>2360</v>
      </c>
      <c r="G941" s="1" t="s">
        <v>5</v>
      </c>
      <c r="H941" s="1" t="s">
        <v>5</v>
      </c>
      <c r="I941" s="1" t="s">
        <v>5848</v>
      </c>
      <c r="J941" s="17"/>
    </row>
    <row r="942" spans="1:10">
      <c r="A942" s="7" t="s">
        <v>6057</v>
      </c>
      <c r="B942" s="1" t="s">
        <v>2631</v>
      </c>
      <c r="C942" s="1">
        <v>121</v>
      </c>
      <c r="D942" s="1" t="s">
        <v>7</v>
      </c>
      <c r="E942" s="1" t="s">
        <v>6</v>
      </c>
      <c r="F942" s="1" t="s">
        <v>2360</v>
      </c>
      <c r="G942" s="1" t="s">
        <v>5</v>
      </c>
      <c r="H942" s="1" t="s">
        <v>5</v>
      </c>
      <c r="I942" s="1" t="s">
        <v>5848</v>
      </c>
      <c r="J942" s="17"/>
    </row>
    <row r="943" spans="1:10">
      <c r="A943" s="7" t="s">
        <v>6058</v>
      </c>
      <c r="B943" s="1" t="s">
        <v>2631</v>
      </c>
      <c r="C943" s="1">
        <v>121</v>
      </c>
      <c r="D943" s="1" t="s">
        <v>7</v>
      </c>
      <c r="E943" s="1" t="s">
        <v>6</v>
      </c>
      <c r="F943" s="1" t="s">
        <v>2360</v>
      </c>
      <c r="G943" s="1" t="s">
        <v>5</v>
      </c>
      <c r="H943" s="1" t="s">
        <v>5</v>
      </c>
      <c r="I943" s="1" t="s">
        <v>5848</v>
      </c>
      <c r="J943" s="17"/>
    </row>
    <row r="944" spans="1:10">
      <c r="A944" s="7" t="s">
        <v>6059</v>
      </c>
      <c r="B944" s="1" t="s">
        <v>2631</v>
      </c>
      <c r="C944" s="1">
        <v>121</v>
      </c>
      <c r="D944" s="1" t="s">
        <v>7</v>
      </c>
      <c r="E944" s="1" t="s">
        <v>6</v>
      </c>
      <c r="F944" s="1" t="s">
        <v>2360</v>
      </c>
      <c r="G944" s="1" t="s">
        <v>5</v>
      </c>
      <c r="H944" s="1" t="s">
        <v>5</v>
      </c>
      <c r="I944" s="1" t="s">
        <v>5848</v>
      </c>
      <c r="J944" s="17"/>
    </row>
    <row r="945" spans="1:10">
      <c r="A945" s="7" t="s">
        <v>6060</v>
      </c>
      <c r="B945" s="1" t="s">
        <v>2631</v>
      </c>
      <c r="C945" s="1">
        <v>121</v>
      </c>
      <c r="D945" s="1" t="s">
        <v>7</v>
      </c>
      <c r="E945" s="1" t="s">
        <v>6</v>
      </c>
      <c r="F945" s="1" t="s">
        <v>2360</v>
      </c>
      <c r="G945" s="1" t="s">
        <v>5</v>
      </c>
      <c r="H945" s="1" t="s">
        <v>5</v>
      </c>
      <c r="I945" s="1" t="s">
        <v>5848</v>
      </c>
      <c r="J945" s="17"/>
    </row>
    <row r="946" spans="1:10">
      <c r="A946" s="7" t="s">
        <v>6061</v>
      </c>
      <c r="B946" s="1" t="s">
        <v>2631</v>
      </c>
      <c r="C946" s="1">
        <v>121</v>
      </c>
      <c r="D946" s="1" t="s">
        <v>7</v>
      </c>
      <c r="E946" s="1" t="s">
        <v>6</v>
      </c>
      <c r="F946" s="1" t="s">
        <v>2360</v>
      </c>
      <c r="G946" s="1" t="s">
        <v>5</v>
      </c>
      <c r="H946" s="1" t="s">
        <v>5</v>
      </c>
      <c r="I946" s="1" t="s">
        <v>5848</v>
      </c>
      <c r="J946" s="17"/>
    </row>
    <row r="947" spans="1:10">
      <c r="A947" s="7" t="s">
        <v>6062</v>
      </c>
      <c r="B947" s="1" t="s">
        <v>2631</v>
      </c>
      <c r="C947" s="1">
        <v>121</v>
      </c>
      <c r="D947" s="1" t="s">
        <v>7</v>
      </c>
      <c r="E947" s="1" t="s">
        <v>6</v>
      </c>
      <c r="F947" s="1" t="s">
        <v>2360</v>
      </c>
      <c r="G947" s="1" t="s">
        <v>5</v>
      </c>
      <c r="H947" s="1" t="s">
        <v>5</v>
      </c>
      <c r="I947" s="1" t="s">
        <v>5848</v>
      </c>
      <c r="J947" s="17"/>
    </row>
    <row r="948" spans="1:10">
      <c r="A948" s="7" t="s">
        <v>6063</v>
      </c>
      <c r="B948" s="1" t="s">
        <v>2631</v>
      </c>
      <c r="C948" s="1">
        <v>121</v>
      </c>
      <c r="D948" s="1" t="s">
        <v>7</v>
      </c>
      <c r="E948" s="1" t="s">
        <v>6</v>
      </c>
      <c r="F948" s="1" t="s">
        <v>2360</v>
      </c>
      <c r="G948" s="1" t="s">
        <v>5</v>
      </c>
      <c r="H948" s="1" t="s">
        <v>5</v>
      </c>
      <c r="I948" s="1" t="s">
        <v>5848</v>
      </c>
      <c r="J948" s="17"/>
    </row>
    <row r="949" spans="1:10">
      <c r="A949" s="7" t="s">
        <v>6064</v>
      </c>
      <c r="B949" s="1" t="s">
        <v>2631</v>
      </c>
      <c r="C949" s="1">
        <v>121</v>
      </c>
      <c r="D949" s="1" t="s">
        <v>7</v>
      </c>
      <c r="E949" s="1" t="s">
        <v>6</v>
      </c>
      <c r="F949" s="1" t="s">
        <v>2360</v>
      </c>
      <c r="G949" s="1" t="s">
        <v>5</v>
      </c>
      <c r="H949" s="1" t="s">
        <v>5</v>
      </c>
      <c r="I949" s="1" t="s">
        <v>5848</v>
      </c>
      <c r="J949" s="17"/>
    </row>
    <row r="950" spans="1:10">
      <c r="A950" s="7" t="s">
        <v>6065</v>
      </c>
      <c r="B950" s="1" t="s">
        <v>2631</v>
      </c>
      <c r="C950" s="1">
        <v>121</v>
      </c>
      <c r="D950" s="1" t="s">
        <v>7</v>
      </c>
      <c r="E950" s="1" t="s">
        <v>6</v>
      </c>
      <c r="F950" s="1" t="s">
        <v>2360</v>
      </c>
      <c r="G950" s="1" t="s">
        <v>5</v>
      </c>
      <c r="H950" s="1" t="s">
        <v>5</v>
      </c>
      <c r="I950" s="1" t="s">
        <v>5848</v>
      </c>
      <c r="J950" s="17"/>
    </row>
    <row r="951" spans="1:10">
      <c r="A951" s="7" t="s">
        <v>6066</v>
      </c>
      <c r="B951" s="1" t="s">
        <v>2631</v>
      </c>
      <c r="C951" s="1">
        <v>121</v>
      </c>
      <c r="D951" s="1" t="s">
        <v>7</v>
      </c>
      <c r="E951" s="1" t="s">
        <v>6</v>
      </c>
      <c r="F951" s="1" t="s">
        <v>2360</v>
      </c>
      <c r="G951" s="1" t="s">
        <v>5</v>
      </c>
      <c r="H951" s="1" t="s">
        <v>5</v>
      </c>
      <c r="I951" s="1" t="s">
        <v>5848</v>
      </c>
      <c r="J951" s="1"/>
    </row>
    <row r="952" spans="1:10">
      <c r="A952" s="7" t="s">
        <v>6067</v>
      </c>
      <c r="B952" s="1" t="s">
        <v>2631</v>
      </c>
      <c r="C952" s="1">
        <v>121</v>
      </c>
      <c r="D952" s="1" t="s">
        <v>7</v>
      </c>
      <c r="E952" s="1" t="s">
        <v>6</v>
      </c>
      <c r="F952" s="1" t="s">
        <v>2360</v>
      </c>
      <c r="G952" s="1" t="s">
        <v>5</v>
      </c>
      <c r="H952" s="1" t="s">
        <v>5</v>
      </c>
      <c r="I952" s="1" t="s">
        <v>5848</v>
      </c>
      <c r="J952" s="17"/>
    </row>
    <row r="953" spans="1:10">
      <c r="A953" s="7" t="s">
        <v>6068</v>
      </c>
      <c r="B953" s="1" t="s">
        <v>2631</v>
      </c>
      <c r="C953" s="1">
        <v>121</v>
      </c>
      <c r="D953" s="1" t="s">
        <v>7</v>
      </c>
      <c r="E953" s="1" t="s">
        <v>6</v>
      </c>
      <c r="F953" s="1" t="s">
        <v>2360</v>
      </c>
      <c r="G953" s="1" t="s">
        <v>5</v>
      </c>
      <c r="H953" s="1" t="s">
        <v>5</v>
      </c>
      <c r="I953" s="1" t="s">
        <v>5848</v>
      </c>
      <c r="J953" s="17"/>
    </row>
    <row r="954" spans="1:10">
      <c r="A954" s="7" t="s">
        <v>6069</v>
      </c>
      <c r="B954" s="1" t="s">
        <v>2631</v>
      </c>
      <c r="C954" s="1">
        <v>121</v>
      </c>
      <c r="D954" s="1" t="s">
        <v>7</v>
      </c>
      <c r="E954" s="1" t="s">
        <v>6</v>
      </c>
      <c r="F954" s="1" t="s">
        <v>2360</v>
      </c>
      <c r="G954" s="1" t="s">
        <v>5</v>
      </c>
      <c r="H954" s="1" t="s">
        <v>5</v>
      </c>
      <c r="I954" s="1" t="s">
        <v>5848</v>
      </c>
      <c r="J954" s="17"/>
    </row>
    <row r="955" spans="1:10">
      <c r="A955" s="7" t="s">
        <v>6070</v>
      </c>
      <c r="B955" s="1" t="s">
        <v>2631</v>
      </c>
      <c r="C955" s="1">
        <v>121</v>
      </c>
      <c r="D955" s="1" t="s">
        <v>7</v>
      </c>
      <c r="E955" s="1" t="s">
        <v>6</v>
      </c>
      <c r="F955" s="1" t="s">
        <v>2360</v>
      </c>
      <c r="G955" s="1" t="s">
        <v>5</v>
      </c>
      <c r="H955" s="1" t="s">
        <v>5</v>
      </c>
      <c r="I955" s="1" t="s">
        <v>5848</v>
      </c>
      <c r="J955" s="17"/>
    </row>
    <row r="956" spans="1:10">
      <c r="A956" s="7" t="s">
        <v>6071</v>
      </c>
      <c r="B956" s="1" t="s">
        <v>2631</v>
      </c>
      <c r="C956" s="1">
        <v>121</v>
      </c>
      <c r="D956" s="1" t="s">
        <v>7</v>
      </c>
      <c r="E956" s="1" t="s">
        <v>6</v>
      </c>
      <c r="F956" s="1" t="s">
        <v>2360</v>
      </c>
      <c r="G956" s="1" t="s">
        <v>5</v>
      </c>
      <c r="H956" s="1" t="s">
        <v>5</v>
      </c>
      <c r="I956" s="1" t="s">
        <v>5848</v>
      </c>
      <c r="J956" s="17"/>
    </row>
    <row r="957" spans="1:10">
      <c r="A957" s="7" t="s">
        <v>6072</v>
      </c>
      <c r="B957" s="1" t="s">
        <v>2631</v>
      </c>
      <c r="C957" s="1">
        <v>121</v>
      </c>
      <c r="D957" s="1" t="s">
        <v>7</v>
      </c>
      <c r="E957" s="1" t="s">
        <v>6</v>
      </c>
      <c r="F957" s="1" t="s">
        <v>2360</v>
      </c>
      <c r="G957" s="1" t="s">
        <v>5</v>
      </c>
      <c r="H957" s="1" t="s">
        <v>5</v>
      </c>
      <c r="I957" s="1" t="s">
        <v>5848</v>
      </c>
      <c r="J957" s="17"/>
    </row>
    <row r="958" spans="1:10">
      <c r="A958" s="7" t="s">
        <v>6073</v>
      </c>
      <c r="B958" s="1" t="s">
        <v>2631</v>
      </c>
      <c r="C958" s="1">
        <v>121</v>
      </c>
      <c r="D958" s="1" t="s">
        <v>7</v>
      </c>
      <c r="E958" s="1" t="s">
        <v>6</v>
      </c>
      <c r="F958" s="1" t="s">
        <v>2360</v>
      </c>
      <c r="G958" s="1" t="s">
        <v>5</v>
      </c>
      <c r="H958" s="1" t="s">
        <v>5</v>
      </c>
      <c r="I958" s="1" t="s">
        <v>5848</v>
      </c>
      <c r="J958" s="17"/>
    </row>
    <row r="959" spans="1:10">
      <c r="A959" s="7" t="s">
        <v>6075</v>
      </c>
      <c r="B959" s="1" t="s">
        <v>2631</v>
      </c>
      <c r="C959" s="1">
        <v>121</v>
      </c>
      <c r="D959" s="1" t="s">
        <v>7</v>
      </c>
      <c r="E959" s="1" t="s">
        <v>6</v>
      </c>
      <c r="F959" s="1" t="s">
        <v>2360</v>
      </c>
      <c r="G959" s="1" t="s">
        <v>5</v>
      </c>
      <c r="H959" s="1" t="s">
        <v>5</v>
      </c>
      <c r="I959" s="1" t="s">
        <v>5848</v>
      </c>
      <c r="J959" s="17"/>
    </row>
    <row r="960" spans="1:10">
      <c r="A960" s="7" t="s">
        <v>6076</v>
      </c>
      <c r="B960" s="1" t="s">
        <v>2631</v>
      </c>
      <c r="C960" s="1">
        <v>121</v>
      </c>
      <c r="D960" s="1" t="s">
        <v>7</v>
      </c>
      <c r="E960" s="1" t="s">
        <v>6</v>
      </c>
      <c r="F960" s="1" t="s">
        <v>2360</v>
      </c>
      <c r="G960" s="1" t="s">
        <v>5</v>
      </c>
      <c r="H960" s="1" t="s">
        <v>5</v>
      </c>
      <c r="I960" s="1" t="s">
        <v>5848</v>
      </c>
      <c r="J960" s="17"/>
    </row>
    <row r="961" spans="1:10">
      <c r="A961" s="7" t="s">
        <v>6078</v>
      </c>
      <c r="B961" s="1" t="s">
        <v>2631</v>
      </c>
      <c r="C961" s="1">
        <v>121</v>
      </c>
      <c r="D961" s="1" t="s">
        <v>7</v>
      </c>
      <c r="E961" s="1" t="s">
        <v>6</v>
      </c>
      <c r="F961" s="1" t="s">
        <v>2360</v>
      </c>
      <c r="G961" s="1" t="s">
        <v>5</v>
      </c>
      <c r="H961" s="1" t="s">
        <v>5</v>
      </c>
      <c r="I961" s="1" t="s">
        <v>5848</v>
      </c>
      <c r="J961" s="17"/>
    </row>
    <row r="962" spans="1:10">
      <c r="A962" s="7" t="s">
        <v>6079</v>
      </c>
      <c r="B962" s="1" t="s">
        <v>2631</v>
      </c>
      <c r="C962" s="1">
        <v>121</v>
      </c>
      <c r="D962" s="1" t="s">
        <v>7</v>
      </c>
      <c r="E962" s="1" t="s">
        <v>6</v>
      </c>
      <c r="F962" s="1" t="s">
        <v>2360</v>
      </c>
      <c r="G962" s="1" t="s">
        <v>5</v>
      </c>
      <c r="H962" s="1" t="s">
        <v>5</v>
      </c>
      <c r="I962" s="1" t="s">
        <v>5848</v>
      </c>
      <c r="J962" s="17"/>
    </row>
    <row r="963" spans="1:10">
      <c r="A963" s="7" t="s">
        <v>6080</v>
      </c>
      <c r="B963" s="1" t="s">
        <v>2631</v>
      </c>
      <c r="C963" s="1">
        <v>121</v>
      </c>
      <c r="D963" s="1" t="s">
        <v>7</v>
      </c>
      <c r="E963" s="1" t="s">
        <v>6</v>
      </c>
      <c r="F963" s="1" t="s">
        <v>2360</v>
      </c>
      <c r="G963" s="1" t="s">
        <v>5</v>
      </c>
      <c r="H963" s="1" t="s">
        <v>5</v>
      </c>
      <c r="I963" s="1" t="s">
        <v>5848</v>
      </c>
      <c r="J963" s="17"/>
    </row>
    <row r="964" spans="1:10">
      <c r="A964" s="7" t="s">
        <v>6081</v>
      </c>
      <c r="B964" s="1" t="s">
        <v>2631</v>
      </c>
      <c r="C964" s="1">
        <v>121</v>
      </c>
      <c r="D964" s="1" t="s">
        <v>7</v>
      </c>
      <c r="E964" s="1" t="s">
        <v>6</v>
      </c>
      <c r="F964" s="1" t="s">
        <v>2360</v>
      </c>
      <c r="G964" s="1" t="s">
        <v>5</v>
      </c>
      <c r="H964" s="1" t="s">
        <v>5</v>
      </c>
      <c r="I964" s="1" t="s">
        <v>5848</v>
      </c>
      <c r="J964" s="17"/>
    </row>
    <row r="965" spans="1:10">
      <c r="A965" s="7" t="s">
        <v>6084</v>
      </c>
      <c r="B965" s="1" t="s">
        <v>2631</v>
      </c>
      <c r="C965" s="1">
        <v>121</v>
      </c>
      <c r="D965" s="1" t="s">
        <v>7</v>
      </c>
      <c r="E965" s="1" t="s">
        <v>6</v>
      </c>
      <c r="F965" s="1" t="s">
        <v>2360</v>
      </c>
      <c r="G965" s="1" t="s">
        <v>5</v>
      </c>
      <c r="H965" s="1" t="s">
        <v>5</v>
      </c>
      <c r="I965" s="1" t="s">
        <v>5848</v>
      </c>
      <c r="J965" s="17"/>
    </row>
    <row r="966" spans="1:10">
      <c r="A966" s="16" t="s">
        <v>6121</v>
      </c>
      <c r="B966" s="1" t="s">
        <v>2631</v>
      </c>
      <c r="C966" s="1">
        <v>121</v>
      </c>
      <c r="D966" s="1" t="s">
        <v>7</v>
      </c>
      <c r="E966" s="1" t="s">
        <v>6</v>
      </c>
      <c r="F966" s="1" t="s">
        <v>118</v>
      </c>
      <c r="G966" s="14" t="s">
        <v>4458</v>
      </c>
      <c r="H966" s="1" t="s">
        <v>118</v>
      </c>
      <c r="I966" s="1" t="s">
        <v>4792</v>
      </c>
    </row>
    <row r="967" spans="1:10">
      <c r="A967" s="16" t="s">
        <v>6190</v>
      </c>
      <c r="B967" s="1" t="s">
        <v>2631</v>
      </c>
      <c r="C967" s="1">
        <v>121</v>
      </c>
      <c r="D967" s="1" t="s">
        <v>7</v>
      </c>
      <c r="E967" s="1" t="s">
        <v>6</v>
      </c>
      <c r="F967" s="1" t="s">
        <v>5091</v>
      </c>
      <c r="G967" s="14" t="s">
        <v>4458</v>
      </c>
      <c r="H967" s="1" t="s">
        <v>118</v>
      </c>
      <c r="I967" s="1" t="s">
        <v>4792</v>
      </c>
    </row>
    <row r="968" spans="1:10">
      <c r="A968" s="7" t="s">
        <v>6285</v>
      </c>
      <c r="B968" s="2" t="s">
        <v>2631</v>
      </c>
      <c r="C968" s="1">
        <v>121</v>
      </c>
      <c r="D968" s="1" t="s">
        <v>7</v>
      </c>
      <c r="E968" s="1" t="s">
        <v>6</v>
      </c>
      <c r="F968" s="1" t="s">
        <v>5091</v>
      </c>
      <c r="G968" s="22" t="s">
        <v>6181</v>
      </c>
      <c r="H968" s="2" t="s">
        <v>118</v>
      </c>
      <c r="I968" s="1" t="s">
        <v>4458</v>
      </c>
    </row>
    <row r="969" spans="1:10">
      <c r="A969" s="7" t="s">
        <v>6566</v>
      </c>
      <c r="B969" s="1" t="s">
        <v>2631</v>
      </c>
      <c r="C969" s="1">
        <v>121</v>
      </c>
      <c r="D969" s="1" t="s">
        <v>7</v>
      </c>
      <c r="E969" s="1" t="s">
        <v>6</v>
      </c>
      <c r="F969" s="1" t="s">
        <v>5091</v>
      </c>
      <c r="G969" s="1" t="s">
        <v>6139</v>
      </c>
      <c r="H969" s="1" t="s">
        <v>43</v>
      </c>
      <c r="I969" s="1" t="s">
        <v>5807</v>
      </c>
    </row>
    <row r="970" spans="1:10">
      <c r="A970" s="7" t="s">
        <v>6567</v>
      </c>
      <c r="B970" s="1" t="s">
        <v>2631</v>
      </c>
      <c r="C970" s="1">
        <v>121</v>
      </c>
      <c r="D970" s="1" t="s">
        <v>7</v>
      </c>
      <c r="E970" s="1" t="s">
        <v>6</v>
      </c>
      <c r="F970" s="1" t="s">
        <v>5091</v>
      </c>
      <c r="G970" s="1" t="s">
        <v>6139</v>
      </c>
      <c r="H970" s="1" t="s">
        <v>43</v>
      </c>
      <c r="I970" s="1" t="s">
        <v>5807</v>
      </c>
    </row>
    <row r="971" spans="1:10">
      <c r="A971" s="7" t="s">
        <v>6568</v>
      </c>
      <c r="B971" s="1" t="s">
        <v>2631</v>
      </c>
      <c r="C971" s="1">
        <v>121</v>
      </c>
      <c r="D971" s="1" t="s">
        <v>7</v>
      </c>
      <c r="E971" s="1" t="s">
        <v>6</v>
      </c>
      <c r="F971" s="1" t="s">
        <v>5091</v>
      </c>
      <c r="G971" s="1" t="s">
        <v>6139</v>
      </c>
      <c r="H971" s="1" t="s">
        <v>43</v>
      </c>
      <c r="I971" s="1" t="s">
        <v>5807</v>
      </c>
    </row>
    <row r="972" spans="1:10">
      <c r="A972" s="7" t="s">
        <v>6569</v>
      </c>
      <c r="B972" s="1" t="s">
        <v>2631</v>
      </c>
      <c r="C972" s="1">
        <v>121</v>
      </c>
      <c r="D972" s="1" t="s">
        <v>7</v>
      </c>
      <c r="E972" s="1" t="s">
        <v>6</v>
      </c>
      <c r="F972" s="1" t="s">
        <v>5091</v>
      </c>
      <c r="G972" s="1" t="s">
        <v>6139</v>
      </c>
      <c r="H972" s="1" t="s">
        <v>43</v>
      </c>
      <c r="I972" s="1" t="s">
        <v>5807</v>
      </c>
    </row>
    <row r="973" spans="1:10">
      <c r="A973" s="7" t="s">
        <v>6570</v>
      </c>
      <c r="B973" s="1" t="s">
        <v>2631</v>
      </c>
      <c r="C973" s="1">
        <v>121</v>
      </c>
      <c r="D973" s="1" t="s">
        <v>7</v>
      </c>
      <c r="E973" s="1" t="s">
        <v>6</v>
      </c>
      <c r="F973" s="1" t="s">
        <v>5091</v>
      </c>
      <c r="G973" s="1" t="s">
        <v>6139</v>
      </c>
      <c r="H973" s="1" t="s">
        <v>43</v>
      </c>
      <c r="I973" s="1" t="s">
        <v>5807</v>
      </c>
    </row>
    <row r="974" spans="1:10">
      <c r="A974" s="7" t="s">
        <v>6573</v>
      </c>
      <c r="B974" s="1" t="s">
        <v>2631</v>
      </c>
      <c r="C974" s="1">
        <v>121</v>
      </c>
      <c r="D974" s="1" t="s">
        <v>7</v>
      </c>
      <c r="E974" s="1" t="s">
        <v>6</v>
      </c>
      <c r="F974" s="1" t="s">
        <v>5091</v>
      </c>
      <c r="G974" s="1" t="s">
        <v>6139</v>
      </c>
      <c r="H974" s="1" t="s">
        <v>43</v>
      </c>
      <c r="I974" s="1" t="s">
        <v>5807</v>
      </c>
    </row>
    <row r="975" spans="1:10">
      <c r="A975" s="7" t="s">
        <v>6626</v>
      </c>
      <c r="B975" s="1" t="s">
        <v>2631</v>
      </c>
      <c r="C975" s="1">
        <v>121</v>
      </c>
      <c r="D975" s="1" t="s">
        <v>7</v>
      </c>
      <c r="E975" s="1" t="s">
        <v>6</v>
      </c>
      <c r="F975" s="1" t="s">
        <v>5091</v>
      </c>
      <c r="G975" s="1" t="s">
        <v>6627</v>
      </c>
      <c r="H975" s="1" t="s">
        <v>43</v>
      </c>
      <c r="I975" s="1" t="s">
        <v>5807</v>
      </c>
    </row>
    <row r="976" spans="1:10">
      <c r="A976" s="7" t="s">
        <v>6658</v>
      </c>
      <c r="B976" s="1" t="s">
        <v>2631</v>
      </c>
      <c r="C976" s="1">
        <v>121</v>
      </c>
      <c r="D976" s="1" t="s">
        <v>7</v>
      </c>
      <c r="E976" s="1" t="s">
        <v>6</v>
      </c>
      <c r="F976" s="1" t="s">
        <v>5091</v>
      </c>
      <c r="G976" s="1" t="s">
        <v>6627</v>
      </c>
      <c r="H976" s="1" t="s">
        <v>43</v>
      </c>
      <c r="I976" s="1" t="s">
        <v>5807</v>
      </c>
    </row>
    <row r="977" spans="1:10">
      <c r="A977" s="7" t="s">
        <v>6659</v>
      </c>
      <c r="B977" s="1" t="s">
        <v>2631</v>
      </c>
      <c r="C977" s="1">
        <v>121</v>
      </c>
      <c r="D977" s="1" t="s">
        <v>7</v>
      </c>
      <c r="E977" s="1" t="s">
        <v>6</v>
      </c>
      <c r="F977" s="1" t="s">
        <v>5091</v>
      </c>
      <c r="G977" s="1" t="s">
        <v>6627</v>
      </c>
      <c r="H977" s="1" t="s">
        <v>43</v>
      </c>
      <c r="I977" s="1" t="s">
        <v>5807</v>
      </c>
    </row>
    <row r="978" spans="1:10">
      <c r="A978" s="7" t="s">
        <v>6731</v>
      </c>
      <c r="B978" s="1" t="s">
        <v>2631</v>
      </c>
      <c r="C978" s="1">
        <v>121</v>
      </c>
      <c r="D978" s="1" t="s">
        <v>7</v>
      </c>
      <c r="E978" s="1" t="s">
        <v>6</v>
      </c>
      <c r="F978" s="1" t="s">
        <v>5091</v>
      </c>
      <c r="G978" s="1" t="s">
        <v>6732</v>
      </c>
      <c r="H978" s="1" t="s">
        <v>43</v>
      </c>
      <c r="I978" s="1" t="s">
        <v>5807</v>
      </c>
    </row>
    <row r="979" spans="1:10">
      <c r="A979" s="7" t="s">
        <v>6734</v>
      </c>
      <c r="B979" s="1" t="s">
        <v>2631</v>
      </c>
      <c r="C979" s="1">
        <v>121</v>
      </c>
      <c r="D979" s="1" t="s">
        <v>7</v>
      </c>
      <c r="E979" s="1" t="s">
        <v>6</v>
      </c>
      <c r="F979" s="1" t="s">
        <v>5091</v>
      </c>
      <c r="G979" s="1" t="s">
        <v>6732</v>
      </c>
      <c r="H979" s="1" t="s">
        <v>43</v>
      </c>
      <c r="I979" s="1" t="s">
        <v>5807</v>
      </c>
    </row>
    <row r="980" spans="1:10">
      <c r="A980" s="7" t="s">
        <v>6735</v>
      </c>
      <c r="B980" s="1" t="s">
        <v>2631</v>
      </c>
      <c r="C980" s="1">
        <v>121</v>
      </c>
      <c r="D980" s="1" t="s">
        <v>7</v>
      </c>
      <c r="E980" s="1" t="s">
        <v>6</v>
      </c>
      <c r="F980" s="1" t="s">
        <v>5091</v>
      </c>
      <c r="G980" s="1" t="s">
        <v>6732</v>
      </c>
      <c r="H980" s="1" t="s">
        <v>43</v>
      </c>
      <c r="I980" s="1" t="s">
        <v>5807</v>
      </c>
    </row>
    <row r="981" spans="1:10">
      <c r="A981" s="7" t="s">
        <v>6736</v>
      </c>
      <c r="B981" s="1" t="s">
        <v>2631</v>
      </c>
      <c r="C981" s="1">
        <v>121</v>
      </c>
      <c r="D981" s="1" t="s">
        <v>7</v>
      </c>
      <c r="E981" s="1" t="s">
        <v>6</v>
      </c>
      <c r="F981" s="1" t="s">
        <v>5091</v>
      </c>
      <c r="G981" s="1" t="s">
        <v>6732</v>
      </c>
      <c r="H981" s="1" t="s">
        <v>43</v>
      </c>
      <c r="I981" s="1" t="s">
        <v>5807</v>
      </c>
    </row>
    <row r="982" spans="1:10">
      <c r="A982" s="7" t="s">
        <v>6737</v>
      </c>
      <c r="B982" s="1" t="s">
        <v>2631</v>
      </c>
      <c r="C982" s="1">
        <v>121</v>
      </c>
      <c r="D982" s="1" t="s">
        <v>7</v>
      </c>
      <c r="E982" s="1" t="s">
        <v>6</v>
      </c>
      <c r="F982" s="1" t="s">
        <v>5091</v>
      </c>
      <c r="G982" s="1" t="s">
        <v>6732</v>
      </c>
      <c r="H982" s="1" t="s">
        <v>43</v>
      </c>
      <c r="I982" s="1" t="s">
        <v>5807</v>
      </c>
    </row>
    <row r="983" spans="1:10">
      <c r="A983" s="7" t="s">
        <v>6799</v>
      </c>
      <c r="B983" s="1" t="s">
        <v>2631</v>
      </c>
      <c r="C983" s="1">
        <v>121</v>
      </c>
      <c r="D983" s="1" t="s">
        <v>7</v>
      </c>
      <c r="E983" s="1" t="s">
        <v>6</v>
      </c>
      <c r="F983" s="1" t="s">
        <v>5091</v>
      </c>
      <c r="G983" s="1" t="s">
        <v>6139</v>
      </c>
      <c r="H983" s="1" t="s">
        <v>43</v>
      </c>
      <c r="I983" s="1" t="s">
        <v>5807</v>
      </c>
    </row>
    <row r="984" spans="1:10">
      <c r="A984" s="7" t="s">
        <v>6936</v>
      </c>
      <c r="B984" s="1" t="s">
        <v>2629</v>
      </c>
      <c r="C984" s="1">
        <v>121</v>
      </c>
      <c r="D984" s="1" t="s">
        <v>7</v>
      </c>
      <c r="E984" s="1" t="s">
        <v>6</v>
      </c>
      <c r="F984" s="1" t="s">
        <v>5241</v>
      </c>
      <c r="G984" s="1" t="s">
        <v>4803</v>
      </c>
      <c r="H984" s="1" t="s">
        <v>5</v>
      </c>
      <c r="I984" s="1" t="s">
        <v>4789</v>
      </c>
      <c r="J984" s="17"/>
    </row>
    <row r="985" spans="1:10">
      <c r="A985" s="7" t="s">
        <v>7229</v>
      </c>
      <c r="B985" s="1" t="s">
        <v>2631</v>
      </c>
      <c r="C985" s="1">
        <v>121</v>
      </c>
      <c r="D985" s="1" t="s">
        <v>7</v>
      </c>
      <c r="E985" s="1" t="s">
        <v>6</v>
      </c>
      <c r="F985" s="1" t="s">
        <v>2775</v>
      </c>
      <c r="G985" s="1" t="s">
        <v>7230</v>
      </c>
      <c r="H985" s="1" t="s">
        <v>5</v>
      </c>
      <c r="I985" s="1" t="s">
        <v>5483</v>
      </c>
    </row>
    <row r="986" spans="1:10">
      <c r="A986" s="7" t="s">
        <v>7275</v>
      </c>
      <c r="B986" s="1" t="s">
        <v>2631</v>
      </c>
      <c r="C986" s="1">
        <v>121</v>
      </c>
      <c r="D986" s="1" t="s">
        <v>7</v>
      </c>
      <c r="E986" s="1" t="s">
        <v>6</v>
      </c>
      <c r="F986" s="1" t="s">
        <v>5091</v>
      </c>
      <c r="G986" s="1" t="s">
        <v>6186</v>
      </c>
      <c r="H986" s="1" t="s">
        <v>5</v>
      </c>
      <c r="I986" s="1" t="s">
        <v>6090</v>
      </c>
    </row>
    <row r="987" spans="1:10">
      <c r="A987" s="16" t="s">
        <v>7328</v>
      </c>
      <c r="B987" s="1" t="s">
        <v>2631</v>
      </c>
      <c r="C987" s="1">
        <v>121</v>
      </c>
      <c r="D987" s="1" t="s">
        <v>7</v>
      </c>
      <c r="E987" s="1" t="s">
        <v>6</v>
      </c>
      <c r="F987" s="1" t="s">
        <v>5091</v>
      </c>
      <c r="G987" s="1" t="s">
        <v>7329</v>
      </c>
      <c r="H987" s="1" t="s">
        <v>5</v>
      </c>
      <c r="I987" s="17">
        <v>41617</v>
      </c>
      <c r="J987" s="17"/>
    </row>
    <row r="988" spans="1:10">
      <c r="A988" s="7" t="s">
        <v>7340</v>
      </c>
      <c r="B988" s="1" t="s">
        <v>2629</v>
      </c>
      <c r="C988" s="1">
        <v>121</v>
      </c>
      <c r="D988" s="1" t="s">
        <v>7</v>
      </c>
      <c r="E988" s="1" t="s">
        <v>6</v>
      </c>
      <c r="F988" s="1" t="s">
        <v>5241</v>
      </c>
      <c r="G988" s="1" t="s">
        <v>4803</v>
      </c>
      <c r="H988" s="1" t="s">
        <v>5</v>
      </c>
      <c r="I988" s="1" t="s">
        <v>5848</v>
      </c>
      <c r="J988" s="17"/>
    </row>
    <row r="989" spans="1:10">
      <c r="A989" s="7" t="s">
        <v>7343</v>
      </c>
      <c r="B989" s="1" t="s">
        <v>2629</v>
      </c>
      <c r="C989" s="1">
        <v>121</v>
      </c>
      <c r="D989" s="1" t="s">
        <v>7</v>
      </c>
      <c r="E989" s="1" t="s">
        <v>6</v>
      </c>
      <c r="F989" s="1" t="s">
        <v>5241</v>
      </c>
      <c r="G989" s="1" t="s">
        <v>4803</v>
      </c>
      <c r="H989" s="1" t="s">
        <v>5</v>
      </c>
      <c r="I989" s="1" t="s">
        <v>5848</v>
      </c>
      <c r="J989" s="17"/>
    </row>
    <row r="990" spans="1:10">
      <c r="A990" s="7" t="s">
        <v>7469</v>
      </c>
      <c r="B990" s="1" t="s">
        <v>2631</v>
      </c>
      <c r="C990" s="1">
        <v>236</v>
      </c>
      <c r="D990" s="1" t="s">
        <v>7</v>
      </c>
      <c r="E990" s="1" t="s">
        <v>6</v>
      </c>
      <c r="F990" s="1" t="s">
        <v>118</v>
      </c>
      <c r="G990" s="1" t="s">
        <v>7470</v>
      </c>
      <c r="H990" s="1" t="s">
        <v>5</v>
      </c>
      <c r="I990" s="1" t="s">
        <v>5807</v>
      </c>
    </row>
    <row r="991" spans="1:10">
      <c r="A991" s="7" t="s">
        <v>7471</v>
      </c>
      <c r="B991" s="1" t="s">
        <v>2631</v>
      </c>
      <c r="C991" s="1">
        <v>236</v>
      </c>
      <c r="D991" s="1" t="s">
        <v>7</v>
      </c>
      <c r="E991" s="1" t="s">
        <v>6</v>
      </c>
      <c r="F991" s="1" t="s">
        <v>118</v>
      </c>
      <c r="G991" s="1" t="s">
        <v>7470</v>
      </c>
      <c r="H991" s="1" t="s">
        <v>5</v>
      </c>
      <c r="I991" s="1" t="s">
        <v>5807</v>
      </c>
    </row>
    <row r="992" spans="1:10">
      <c r="A992" s="7" t="s">
        <v>7622</v>
      </c>
      <c r="B992" s="1" t="s">
        <v>2631</v>
      </c>
      <c r="C992" s="1">
        <v>121</v>
      </c>
      <c r="D992" s="1" t="s">
        <v>7</v>
      </c>
      <c r="E992" s="1" t="s">
        <v>6</v>
      </c>
      <c r="F992" s="1" t="s">
        <v>5241</v>
      </c>
      <c r="G992" s="1" t="s">
        <v>6307</v>
      </c>
      <c r="H992" s="1" t="s">
        <v>44</v>
      </c>
      <c r="I992" s="1" t="s">
        <v>6090</v>
      </c>
    </row>
    <row r="993" spans="1:10">
      <c r="A993" s="7" t="s">
        <v>7642</v>
      </c>
      <c r="B993" s="1" t="s">
        <v>2631</v>
      </c>
      <c r="C993" s="1">
        <v>121</v>
      </c>
      <c r="D993" s="1" t="s">
        <v>7</v>
      </c>
      <c r="E993" s="1" t="s">
        <v>6</v>
      </c>
      <c r="F993" s="1" t="s">
        <v>5241</v>
      </c>
      <c r="G993" s="1" t="s">
        <v>4803</v>
      </c>
      <c r="H993" s="1" t="s">
        <v>5</v>
      </c>
      <c r="I993" s="1" t="s">
        <v>6090</v>
      </c>
      <c r="J993" s="17"/>
    </row>
    <row r="994" spans="1:10">
      <c r="A994" s="7" t="s">
        <v>7643</v>
      </c>
      <c r="B994" s="1" t="s">
        <v>2631</v>
      </c>
      <c r="C994" s="1">
        <v>121</v>
      </c>
      <c r="D994" s="1" t="s">
        <v>7</v>
      </c>
      <c r="E994" s="1" t="s">
        <v>6</v>
      </c>
      <c r="F994" s="1" t="s">
        <v>5241</v>
      </c>
      <c r="G994" s="1" t="s">
        <v>4803</v>
      </c>
      <c r="H994" s="1" t="s">
        <v>5</v>
      </c>
      <c r="I994" s="1" t="s">
        <v>6090</v>
      </c>
      <c r="J994" s="17"/>
    </row>
    <row r="995" spans="1:10">
      <c r="A995" s="7" t="s">
        <v>7645</v>
      </c>
      <c r="B995" s="1" t="s">
        <v>2631</v>
      </c>
      <c r="C995" s="1">
        <v>121</v>
      </c>
      <c r="D995" s="1" t="s">
        <v>7</v>
      </c>
      <c r="E995" s="1" t="s">
        <v>6</v>
      </c>
      <c r="F995" s="1" t="s">
        <v>5241</v>
      </c>
      <c r="G995" s="1" t="s">
        <v>4803</v>
      </c>
      <c r="H995" s="1" t="s">
        <v>5</v>
      </c>
      <c r="I995" s="1" t="s">
        <v>6090</v>
      </c>
      <c r="J995" s="17"/>
    </row>
    <row r="996" spans="1:10" ht="31.2">
      <c r="A996" s="16" t="s">
        <v>7655</v>
      </c>
      <c r="B996" s="1" t="s">
        <v>2631</v>
      </c>
      <c r="C996" s="1">
        <v>121</v>
      </c>
      <c r="D996" s="1" t="s">
        <v>7</v>
      </c>
      <c r="E996" s="1" t="s">
        <v>6</v>
      </c>
      <c r="F996" s="1" t="s">
        <v>5091</v>
      </c>
      <c r="G996" s="1" t="s">
        <v>7656</v>
      </c>
      <c r="H996" s="1" t="s">
        <v>5</v>
      </c>
      <c r="I996" s="17">
        <v>41640</v>
      </c>
    </row>
    <row r="997" spans="1:10">
      <c r="A997" s="7" t="s">
        <v>7887</v>
      </c>
      <c r="B997" s="1" t="s">
        <v>2631</v>
      </c>
      <c r="C997" s="1">
        <v>121</v>
      </c>
      <c r="D997" s="1" t="s">
        <v>7</v>
      </c>
      <c r="E997" s="1" t="s">
        <v>6</v>
      </c>
      <c r="F997" s="1" t="s">
        <v>118</v>
      </c>
      <c r="G997" s="1" t="s">
        <v>2565</v>
      </c>
      <c r="H997" s="1" t="s">
        <v>5</v>
      </c>
      <c r="I997" s="1" t="s">
        <v>6090</v>
      </c>
      <c r="J997" s="17"/>
    </row>
    <row r="998" spans="1:10">
      <c r="A998" s="7" t="s">
        <v>7896</v>
      </c>
      <c r="B998" s="1" t="s">
        <v>2631</v>
      </c>
      <c r="C998" s="1">
        <v>121</v>
      </c>
      <c r="D998" s="1" t="s">
        <v>7</v>
      </c>
      <c r="E998" s="1" t="s">
        <v>6</v>
      </c>
      <c r="F998" s="1" t="s">
        <v>118</v>
      </c>
      <c r="G998" s="1" t="s">
        <v>7897</v>
      </c>
      <c r="H998" s="1" t="s">
        <v>5</v>
      </c>
      <c r="I998" s="1" t="s">
        <v>6090</v>
      </c>
      <c r="J998" s="17"/>
    </row>
    <row r="999" spans="1:10">
      <c r="A999" s="7" t="s">
        <v>7900</v>
      </c>
      <c r="B999" s="1" t="s">
        <v>2631</v>
      </c>
      <c r="C999" s="1">
        <v>121</v>
      </c>
      <c r="D999" s="1" t="s">
        <v>7</v>
      </c>
      <c r="E999" s="1" t="s">
        <v>6</v>
      </c>
      <c r="F999" s="1" t="s">
        <v>118</v>
      </c>
      <c r="G999" s="1" t="s">
        <v>7890</v>
      </c>
      <c r="H999" s="1" t="s">
        <v>5</v>
      </c>
      <c r="I999" s="1" t="s">
        <v>6090</v>
      </c>
    </row>
    <row r="1000" spans="1:10">
      <c r="A1000" s="7" t="s">
        <v>7916</v>
      </c>
      <c r="B1000" s="1" t="s">
        <v>2631</v>
      </c>
      <c r="C1000" s="1">
        <v>121</v>
      </c>
      <c r="D1000" s="1" t="s">
        <v>7</v>
      </c>
      <c r="E1000" s="1" t="s">
        <v>6</v>
      </c>
      <c r="F1000" s="1" t="s">
        <v>118</v>
      </c>
      <c r="G1000" s="1" t="s">
        <v>2565</v>
      </c>
      <c r="H1000" s="1" t="s">
        <v>5</v>
      </c>
      <c r="I1000" s="1" t="s">
        <v>6090</v>
      </c>
      <c r="J1000" s="17"/>
    </row>
    <row r="1001" spans="1:10">
      <c r="A1001" s="7" t="s">
        <v>7917</v>
      </c>
      <c r="B1001" s="1" t="s">
        <v>2631</v>
      </c>
      <c r="C1001" s="1">
        <v>121</v>
      </c>
      <c r="D1001" s="1" t="s">
        <v>7</v>
      </c>
      <c r="E1001" s="1" t="s">
        <v>6</v>
      </c>
      <c r="F1001" s="1" t="s">
        <v>118</v>
      </c>
      <c r="G1001" s="1" t="s">
        <v>2282</v>
      </c>
      <c r="H1001" s="1" t="s">
        <v>5</v>
      </c>
      <c r="I1001" s="1" t="s">
        <v>6090</v>
      </c>
      <c r="J1001" s="17"/>
    </row>
    <row r="1002" spans="1:10">
      <c r="A1002" s="7" t="s">
        <v>7918</v>
      </c>
      <c r="B1002" s="1" t="s">
        <v>2631</v>
      </c>
      <c r="C1002" s="1">
        <v>121</v>
      </c>
      <c r="D1002" s="1" t="s">
        <v>7</v>
      </c>
      <c r="E1002" s="1" t="s">
        <v>6</v>
      </c>
      <c r="F1002" s="1" t="s">
        <v>118</v>
      </c>
      <c r="G1002" s="1" t="s">
        <v>7919</v>
      </c>
      <c r="H1002" s="1" t="s">
        <v>5</v>
      </c>
      <c r="I1002" s="1" t="s">
        <v>6090</v>
      </c>
    </row>
    <row r="1003" spans="1:10">
      <c r="A1003" s="7" t="s">
        <v>7920</v>
      </c>
      <c r="B1003" s="1" t="s">
        <v>2631</v>
      </c>
      <c r="C1003" s="1">
        <v>121</v>
      </c>
      <c r="D1003" s="1" t="s">
        <v>7</v>
      </c>
      <c r="E1003" s="1" t="s">
        <v>6</v>
      </c>
      <c r="F1003" s="1" t="s">
        <v>118</v>
      </c>
      <c r="G1003" s="1" t="s">
        <v>2282</v>
      </c>
      <c r="H1003" s="1" t="s">
        <v>5</v>
      </c>
      <c r="I1003" s="1" t="s">
        <v>6090</v>
      </c>
      <c r="J1003" s="17"/>
    </row>
    <row r="1004" spans="1:10">
      <c r="A1004" s="7" t="s">
        <v>7927</v>
      </c>
      <c r="B1004" s="1" t="s">
        <v>2631</v>
      </c>
      <c r="C1004" s="1">
        <v>121</v>
      </c>
      <c r="D1004" s="1" t="s">
        <v>7</v>
      </c>
      <c r="E1004" s="1" t="s">
        <v>6</v>
      </c>
      <c r="F1004" s="1" t="s">
        <v>118</v>
      </c>
      <c r="G1004" s="1" t="s">
        <v>7928</v>
      </c>
      <c r="H1004" s="1" t="s">
        <v>5</v>
      </c>
      <c r="I1004" s="1" t="s">
        <v>6090</v>
      </c>
    </row>
    <row r="1005" spans="1:10">
      <c r="A1005" s="7" t="s">
        <v>7929</v>
      </c>
      <c r="B1005" s="1" t="s">
        <v>2631</v>
      </c>
      <c r="C1005" s="1">
        <v>121</v>
      </c>
      <c r="D1005" s="1" t="s">
        <v>7</v>
      </c>
      <c r="E1005" s="1" t="s">
        <v>6</v>
      </c>
      <c r="F1005" s="1" t="s">
        <v>118</v>
      </c>
      <c r="G1005" s="1" t="s">
        <v>7928</v>
      </c>
      <c r="H1005" s="1" t="s">
        <v>5</v>
      </c>
      <c r="I1005" s="1" t="s">
        <v>6090</v>
      </c>
    </row>
    <row r="1006" spans="1:10">
      <c r="A1006" s="7" t="s">
        <v>7930</v>
      </c>
      <c r="B1006" s="1" t="s">
        <v>2631</v>
      </c>
      <c r="C1006" s="1">
        <v>121</v>
      </c>
      <c r="D1006" s="1" t="s">
        <v>7</v>
      </c>
      <c r="E1006" s="1" t="s">
        <v>6</v>
      </c>
      <c r="F1006" s="1" t="s">
        <v>118</v>
      </c>
      <c r="G1006" s="1" t="s">
        <v>7899</v>
      </c>
      <c r="H1006" s="1" t="s">
        <v>5</v>
      </c>
      <c r="I1006" s="1" t="s">
        <v>6090</v>
      </c>
      <c r="J1006" s="17"/>
    </row>
    <row r="1007" spans="1:10">
      <c r="A1007" s="7" t="s">
        <v>7931</v>
      </c>
      <c r="B1007" s="1" t="s">
        <v>2631</v>
      </c>
      <c r="C1007" s="1">
        <v>121</v>
      </c>
      <c r="D1007" s="1" t="s">
        <v>7</v>
      </c>
      <c r="E1007" s="1" t="s">
        <v>6</v>
      </c>
      <c r="F1007" s="1" t="s">
        <v>118</v>
      </c>
      <c r="G1007" s="1" t="s">
        <v>7932</v>
      </c>
      <c r="H1007" s="1" t="s">
        <v>5</v>
      </c>
      <c r="I1007" s="1" t="s">
        <v>6090</v>
      </c>
    </row>
    <row r="1008" spans="1:10">
      <c r="A1008" s="7" t="s">
        <v>7938</v>
      </c>
      <c r="B1008" s="1" t="s">
        <v>2631</v>
      </c>
      <c r="C1008" s="1">
        <v>121</v>
      </c>
      <c r="D1008" s="1" t="s">
        <v>7</v>
      </c>
      <c r="E1008" s="1" t="s">
        <v>6</v>
      </c>
      <c r="F1008" s="1" t="s">
        <v>118</v>
      </c>
      <c r="G1008" s="1" t="s">
        <v>7902</v>
      </c>
      <c r="H1008" s="1" t="s">
        <v>5</v>
      </c>
      <c r="I1008" s="1" t="s">
        <v>6090</v>
      </c>
    </row>
    <row r="1009" spans="1:10">
      <c r="A1009" s="7" t="s">
        <v>7943</v>
      </c>
      <c r="B1009" s="1" t="s">
        <v>2631</v>
      </c>
      <c r="C1009" s="1">
        <v>121</v>
      </c>
      <c r="D1009" s="1" t="s">
        <v>7</v>
      </c>
      <c r="E1009" s="1" t="s">
        <v>6</v>
      </c>
      <c r="F1009" s="1" t="s">
        <v>118</v>
      </c>
      <c r="G1009" s="1" t="s">
        <v>2565</v>
      </c>
      <c r="H1009" s="1" t="s">
        <v>5</v>
      </c>
      <c r="I1009" s="1" t="s">
        <v>6090</v>
      </c>
      <c r="J1009" s="17"/>
    </row>
    <row r="1010" spans="1:10">
      <c r="A1010" s="7" t="s">
        <v>7960</v>
      </c>
      <c r="B1010" s="1" t="s">
        <v>2631</v>
      </c>
      <c r="C1010" s="1">
        <v>121</v>
      </c>
      <c r="D1010" s="1" t="s">
        <v>7</v>
      </c>
      <c r="E1010" s="1" t="s">
        <v>6</v>
      </c>
      <c r="F1010" s="1" t="s">
        <v>118</v>
      </c>
      <c r="G1010" s="1" t="s">
        <v>7952</v>
      </c>
      <c r="H1010" s="1" t="s">
        <v>5</v>
      </c>
      <c r="I1010" s="1" t="s">
        <v>6090</v>
      </c>
      <c r="J1010" s="17"/>
    </row>
    <row r="1011" spans="1:10">
      <c r="A1011" s="7" t="s">
        <v>7961</v>
      </c>
      <c r="B1011" s="1" t="s">
        <v>2631</v>
      </c>
      <c r="C1011" s="1">
        <v>121</v>
      </c>
      <c r="D1011" s="1" t="s">
        <v>7</v>
      </c>
      <c r="E1011" s="1" t="s">
        <v>6</v>
      </c>
      <c r="F1011" s="1" t="s">
        <v>118</v>
      </c>
      <c r="G1011" s="1" t="s">
        <v>7935</v>
      </c>
      <c r="H1011" s="1" t="s">
        <v>5</v>
      </c>
      <c r="I1011" s="1" t="s">
        <v>6090</v>
      </c>
    </row>
    <row r="1012" spans="1:10">
      <c r="A1012" s="7" t="s">
        <v>7963</v>
      </c>
      <c r="B1012" s="1" t="s">
        <v>2631</v>
      </c>
      <c r="C1012" s="1">
        <v>121</v>
      </c>
      <c r="D1012" s="1" t="s">
        <v>7</v>
      </c>
      <c r="E1012" s="1" t="s">
        <v>6</v>
      </c>
      <c r="F1012" s="1" t="s">
        <v>118</v>
      </c>
      <c r="G1012" s="1" t="s">
        <v>7895</v>
      </c>
      <c r="H1012" s="1" t="s">
        <v>43</v>
      </c>
      <c r="I1012" s="1" t="s">
        <v>6090</v>
      </c>
    </row>
    <row r="1013" spans="1:10">
      <c r="A1013" s="7" t="s">
        <v>7965</v>
      </c>
      <c r="B1013" s="1" t="s">
        <v>2631</v>
      </c>
      <c r="C1013" s="1">
        <v>121</v>
      </c>
      <c r="D1013" s="1" t="s">
        <v>7</v>
      </c>
      <c r="E1013" s="1" t="s">
        <v>6</v>
      </c>
      <c r="F1013" s="1" t="s">
        <v>118</v>
      </c>
      <c r="G1013" s="1" t="s">
        <v>2565</v>
      </c>
      <c r="H1013" s="1" t="s">
        <v>5</v>
      </c>
      <c r="I1013" s="1" t="s">
        <v>6090</v>
      </c>
      <c r="J1013" s="1"/>
    </row>
    <row r="1014" spans="1:10">
      <c r="A1014" s="7" t="s">
        <v>7970</v>
      </c>
      <c r="B1014" s="1" t="s">
        <v>2631</v>
      </c>
      <c r="C1014" s="1">
        <v>121</v>
      </c>
      <c r="D1014" s="1" t="s">
        <v>7</v>
      </c>
      <c r="E1014" s="1" t="s">
        <v>6</v>
      </c>
      <c r="F1014" s="1" t="s">
        <v>118</v>
      </c>
      <c r="G1014" s="1" t="s">
        <v>7902</v>
      </c>
      <c r="H1014" s="1" t="s">
        <v>5</v>
      </c>
      <c r="I1014" s="1" t="s">
        <v>5807</v>
      </c>
    </row>
    <row r="1015" spans="1:10">
      <c r="A1015" s="7" t="s">
        <v>7971</v>
      </c>
      <c r="B1015" s="1" t="s">
        <v>2631</v>
      </c>
      <c r="C1015" s="1">
        <v>121</v>
      </c>
      <c r="D1015" s="1" t="s">
        <v>7</v>
      </c>
      <c r="E1015" s="1" t="s">
        <v>6</v>
      </c>
      <c r="F1015" s="1" t="s">
        <v>118</v>
      </c>
      <c r="G1015" s="1" t="s">
        <v>2565</v>
      </c>
      <c r="H1015" s="1" t="s">
        <v>5</v>
      </c>
      <c r="I1015" s="1" t="s">
        <v>6090</v>
      </c>
      <c r="J1015" s="17"/>
    </row>
    <row r="1016" spans="1:10">
      <c r="A1016" s="7" t="s">
        <v>7972</v>
      </c>
      <c r="B1016" s="1" t="s">
        <v>2631</v>
      </c>
      <c r="C1016" s="1">
        <v>121</v>
      </c>
      <c r="D1016" s="1" t="s">
        <v>7</v>
      </c>
      <c r="E1016" s="1" t="s">
        <v>6</v>
      </c>
      <c r="F1016" s="1" t="s">
        <v>118</v>
      </c>
      <c r="G1016" s="1" t="s">
        <v>7902</v>
      </c>
      <c r="H1016" s="1" t="s">
        <v>5</v>
      </c>
      <c r="I1016" s="1" t="s">
        <v>6090</v>
      </c>
    </row>
    <row r="1017" spans="1:10">
      <c r="A1017" s="7" t="s">
        <v>7973</v>
      </c>
      <c r="B1017" s="1" t="s">
        <v>2631</v>
      </c>
      <c r="C1017" s="1">
        <v>121</v>
      </c>
      <c r="D1017" s="1" t="s">
        <v>7</v>
      </c>
      <c r="E1017" s="1" t="s">
        <v>6</v>
      </c>
      <c r="F1017" s="1" t="s">
        <v>118</v>
      </c>
      <c r="G1017" s="1" t="s">
        <v>7902</v>
      </c>
      <c r="H1017" s="1" t="s">
        <v>5</v>
      </c>
      <c r="I1017" s="1" t="s">
        <v>6090</v>
      </c>
    </row>
    <row r="1018" spans="1:10">
      <c r="A1018" s="7" t="s">
        <v>7975</v>
      </c>
      <c r="B1018" s="1" t="s">
        <v>2631</v>
      </c>
      <c r="C1018" s="1">
        <v>121</v>
      </c>
      <c r="D1018" s="1" t="s">
        <v>7</v>
      </c>
      <c r="E1018" s="1" t="s">
        <v>6</v>
      </c>
      <c r="F1018" s="1" t="s">
        <v>118</v>
      </c>
      <c r="G1018" s="1" t="s">
        <v>7976</v>
      </c>
      <c r="H1018" s="1" t="s">
        <v>5</v>
      </c>
      <c r="I1018" s="1" t="s">
        <v>5807</v>
      </c>
    </row>
    <row r="1019" spans="1:10">
      <c r="A1019" s="7" t="s">
        <v>7977</v>
      </c>
      <c r="B1019" s="1" t="s">
        <v>2631</v>
      </c>
      <c r="C1019" s="1">
        <v>121</v>
      </c>
      <c r="D1019" s="1" t="s">
        <v>7</v>
      </c>
      <c r="E1019" s="1" t="s">
        <v>6</v>
      </c>
      <c r="F1019" s="1" t="s">
        <v>118</v>
      </c>
      <c r="G1019" s="1" t="s">
        <v>2565</v>
      </c>
      <c r="H1019" s="1" t="s">
        <v>5</v>
      </c>
      <c r="I1019" s="1" t="s">
        <v>5807</v>
      </c>
      <c r="J1019" s="17"/>
    </row>
    <row r="1020" spans="1:10">
      <c r="A1020" s="7" t="s">
        <v>7978</v>
      </c>
      <c r="B1020" s="1" t="s">
        <v>2631</v>
      </c>
      <c r="C1020" s="1">
        <v>121</v>
      </c>
      <c r="D1020" s="1" t="s">
        <v>7</v>
      </c>
      <c r="E1020" s="1" t="s">
        <v>6</v>
      </c>
      <c r="F1020" s="1" t="s">
        <v>118</v>
      </c>
      <c r="G1020" s="1" t="s">
        <v>7979</v>
      </c>
      <c r="H1020" s="1" t="s">
        <v>5</v>
      </c>
      <c r="I1020" s="1" t="s">
        <v>5807</v>
      </c>
    </row>
    <row r="1021" spans="1:10">
      <c r="A1021" s="7" t="s">
        <v>7980</v>
      </c>
      <c r="B1021" s="1" t="s">
        <v>2631</v>
      </c>
      <c r="C1021" s="1">
        <v>121</v>
      </c>
      <c r="D1021" s="1" t="s">
        <v>7</v>
      </c>
      <c r="E1021" s="1" t="s">
        <v>6</v>
      </c>
      <c r="F1021" s="1" t="s">
        <v>118</v>
      </c>
      <c r="G1021" s="1" t="s">
        <v>7902</v>
      </c>
      <c r="H1021" s="1" t="s">
        <v>5</v>
      </c>
      <c r="I1021" s="1" t="s">
        <v>6090</v>
      </c>
    </row>
    <row r="1022" spans="1:10">
      <c r="A1022" s="7" t="s">
        <v>7981</v>
      </c>
      <c r="B1022" s="1" t="s">
        <v>2631</v>
      </c>
      <c r="C1022" s="1">
        <v>121</v>
      </c>
      <c r="D1022" s="1" t="s">
        <v>7</v>
      </c>
      <c r="E1022" s="1" t="s">
        <v>6</v>
      </c>
      <c r="F1022" s="1" t="s">
        <v>118</v>
      </c>
      <c r="G1022" s="1" t="s">
        <v>7902</v>
      </c>
      <c r="H1022" s="1" t="s">
        <v>5</v>
      </c>
      <c r="I1022" s="1" t="s">
        <v>6090</v>
      </c>
    </row>
    <row r="1023" spans="1:10">
      <c r="A1023" s="7" t="s">
        <v>7982</v>
      </c>
      <c r="B1023" s="1" t="s">
        <v>2631</v>
      </c>
      <c r="C1023" s="1">
        <v>121</v>
      </c>
      <c r="D1023" s="1" t="s">
        <v>7</v>
      </c>
      <c r="E1023" s="1" t="s">
        <v>6</v>
      </c>
      <c r="F1023" s="1" t="s">
        <v>118</v>
      </c>
      <c r="G1023" s="1" t="s">
        <v>2565</v>
      </c>
      <c r="H1023" s="1" t="s">
        <v>5</v>
      </c>
      <c r="I1023" s="1" t="s">
        <v>6090</v>
      </c>
      <c r="J1023" s="17"/>
    </row>
    <row r="1024" spans="1:10">
      <c r="A1024" s="7" t="s">
        <v>7983</v>
      </c>
      <c r="B1024" s="1" t="s">
        <v>2631</v>
      </c>
      <c r="C1024" s="1">
        <v>121</v>
      </c>
      <c r="D1024" s="1" t="s">
        <v>7</v>
      </c>
      <c r="E1024" s="1" t="s">
        <v>6</v>
      </c>
      <c r="F1024" s="1" t="s">
        <v>118</v>
      </c>
      <c r="G1024" s="1" t="s">
        <v>7899</v>
      </c>
      <c r="H1024" s="1" t="s">
        <v>5</v>
      </c>
      <c r="I1024" s="1" t="s">
        <v>6090</v>
      </c>
      <c r="J1024" s="1"/>
    </row>
    <row r="1025" spans="1:10">
      <c r="A1025" s="7" t="s">
        <v>7996</v>
      </c>
      <c r="B1025" s="1" t="s">
        <v>2631</v>
      </c>
      <c r="C1025" s="1">
        <v>121</v>
      </c>
      <c r="D1025" s="1" t="s">
        <v>7</v>
      </c>
      <c r="E1025" s="1" t="s">
        <v>6</v>
      </c>
      <c r="F1025" s="1" t="s">
        <v>118</v>
      </c>
      <c r="G1025" s="1" t="s">
        <v>7895</v>
      </c>
      <c r="H1025" s="1" t="s">
        <v>43</v>
      </c>
      <c r="I1025" s="1" t="s">
        <v>5807</v>
      </c>
    </row>
    <row r="1026" spans="1:10">
      <c r="A1026" s="7" t="s">
        <v>8000</v>
      </c>
      <c r="B1026" s="1" t="s">
        <v>2631</v>
      </c>
      <c r="C1026" s="1">
        <v>121</v>
      </c>
      <c r="D1026" s="1" t="s">
        <v>7</v>
      </c>
      <c r="E1026" s="1" t="s">
        <v>6</v>
      </c>
      <c r="F1026" s="1" t="s">
        <v>5241</v>
      </c>
      <c r="G1026" s="1" t="s">
        <v>4803</v>
      </c>
      <c r="H1026" s="1" t="s">
        <v>5</v>
      </c>
      <c r="I1026" s="1" t="s">
        <v>6090</v>
      </c>
      <c r="J1026" s="17"/>
    </row>
    <row r="1027" spans="1:10">
      <c r="A1027" s="7" t="s">
        <v>8005</v>
      </c>
      <c r="B1027" s="1" t="s">
        <v>2631</v>
      </c>
      <c r="C1027" s="1">
        <v>121</v>
      </c>
      <c r="D1027" s="1" t="s">
        <v>7</v>
      </c>
      <c r="E1027" s="1" t="s">
        <v>6</v>
      </c>
      <c r="F1027" s="1" t="s">
        <v>5241</v>
      </c>
      <c r="G1027" s="1" t="s">
        <v>6181</v>
      </c>
      <c r="H1027" s="1" t="s">
        <v>118</v>
      </c>
      <c r="I1027" s="1" t="s">
        <v>6090</v>
      </c>
    </row>
    <row r="1028" spans="1:10">
      <c r="A1028" s="7" t="s">
        <v>8028</v>
      </c>
      <c r="B1028" s="1" t="s">
        <v>2631</v>
      </c>
      <c r="C1028" s="1">
        <v>121</v>
      </c>
      <c r="D1028" s="1" t="s">
        <v>7</v>
      </c>
      <c r="E1028" s="1" t="s">
        <v>6</v>
      </c>
      <c r="F1028" s="1" t="s">
        <v>118</v>
      </c>
      <c r="G1028" s="1" t="s">
        <v>8029</v>
      </c>
      <c r="H1028" s="1" t="s">
        <v>5</v>
      </c>
      <c r="I1028" s="1" t="s">
        <v>5807</v>
      </c>
      <c r="J1028" s="17"/>
    </row>
    <row r="1029" spans="1:10">
      <c r="A1029" s="7" t="s">
        <v>8030</v>
      </c>
      <c r="B1029" s="1" t="s">
        <v>2631</v>
      </c>
      <c r="C1029" s="1">
        <v>121</v>
      </c>
      <c r="D1029" s="1" t="s">
        <v>7</v>
      </c>
      <c r="E1029" s="1" t="s">
        <v>6</v>
      </c>
      <c r="F1029" s="1" t="s">
        <v>118</v>
      </c>
      <c r="G1029" s="1" t="s">
        <v>2565</v>
      </c>
      <c r="H1029" s="1" t="s">
        <v>5</v>
      </c>
      <c r="I1029" s="1" t="s">
        <v>5807</v>
      </c>
      <c r="J1029" s="17"/>
    </row>
    <row r="1030" spans="1:10">
      <c r="A1030" s="7" t="s">
        <v>8033</v>
      </c>
      <c r="B1030" s="1" t="s">
        <v>2631</v>
      </c>
      <c r="C1030" s="1">
        <v>121</v>
      </c>
      <c r="D1030" s="1" t="s">
        <v>7</v>
      </c>
      <c r="E1030" s="1" t="s">
        <v>6</v>
      </c>
      <c r="F1030" s="1" t="s">
        <v>118</v>
      </c>
      <c r="G1030" s="1" t="s">
        <v>7932</v>
      </c>
      <c r="H1030" s="1" t="s">
        <v>5</v>
      </c>
      <c r="I1030" s="1" t="s">
        <v>6090</v>
      </c>
    </row>
    <row r="1031" spans="1:10">
      <c r="A1031" s="7" t="s">
        <v>8036</v>
      </c>
      <c r="B1031" s="1" t="s">
        <v>2631</v>
      </c>
      <c r="C1031" s="1">
        <v>121</v>
      </c>
      <c r="D1031" s="1" t="s">
        <v>7</v>
      </c>
      <c r="E1031" s="1" t="s">
        <v>6</v>
      </c>
      <c r="F1031" s="1" t="s">
        <v>118</v>
      </c>
      <c r="G1031" s="1" t="s">
        <v>8037</v>
      </c>
      <c r="H1031" s="1" t="s">
        <v>318</v>
      </c>
      <c r="I1031" s="1" t="s">
        <v>6090</v>
      </c>
      <c r="J1031" s="1"/>
    </row>
    <row r="1032" spans="1:10">
      <c r="A1032" s="7" t="s">
        <v>8067</v>
      </c>
      <c r="B1032" s="1" t="s">
        <v>2631</v>
      </c>
      <c r="C1032" s="1">
        <v>2477</v>
      </c>
      <c r="D1032" s="1" t="s">
        <v>7</v>
      </c>
      <c r="E1032" s="1" t="s">
        <v>6</v>
      </c>
      <c r="F1032" s="1" t="s">
        <v>5241</v>
      </c>
      <c r="G1032" s="1" t="s">
        <v>4803</v>
      </c>
      <c r="H1032" s="1" t="s">
        <v>5</v>
      </c>
      <c r="I1032" s="1" t="s">
        <v>6090</v>
      </c>
      <c r="J1032" s="17"/>
    </row>
    <row r="1033" spans="1:10">
      <c r="A1033" s="7" t="s">
        <v>8075</v>
      </c>
      <c r="B1033" s="1" t="s">
        <v>2631</v>
      </c>
      <c r="C1033" s="1">
        <v>121</v>
      </c>
      <c r="D1033" s="1" t="s">
        <v>7</v>
      </c>
      <c r="E1033" s="1" t="s">
        <v>6</v>
      </c>
      <c r="F1033" s="1" t="s">
        <v>118</v>
      </c>
      <c r="G1033" s="1" t="s">
        <v>7935</v>
      </c>
      <c r="H1033" s="1" t="s">
        <v>5</v>
      </c>
      <c r="I1033" s="1" t="s">
        <v>6090</v>
      </c>
    </row>
    <row r="1034" spans="1:10">
      <c r="A1034" s="7" t="s">
        <v>8076</v>
      </c>
      <c r="B1034" s="1" t="s">
        <v>2631</v>
      </c>
      <c r="C1034" s="1">
        <v>121</v>
      </c>
      <c r="D1034" s="1" t="s">
        <v>7</v>
      </c>
      <c r="E1034" s="1" t="s">
        <v>6</v>
      </c>
      <c r="F1034" s="1" t="s">
        <v>118</v>
      </c>
      <c r="G1034" s="1" t="s">
        <v>7952</v>
      </c>
      <c r="H1034" s="1" t="s">
        <v>5</v>
      </c>
      <c r="I1034" s="1" t="s">
        <v>6090</v>
      </c>
      <c r="J1034" s="17"/>
    </row>
    <row r="1035" spans="1:10">
      <c r="A1035" s="7" t="s">
        <v>8087</v>
      </c>
      <c r="B1035" s="1" t="s">
        <v>2631</v>
      </c>
      <c r="C1035" s="1">
        <v>121</v>
      </c>
      <c r="D1035" s="1" t="s">
        <v>7</v>
      </c>
      <c r="E1035" s="1" t="s">
        <v>6</v>
      </c>
      <c r="F1035" s="1" t="s">
        <v>118</v>
      </c>
      <c r="G1035" s="1" t="s">
        <v>2565</v>
      </c>
      <c r="H1035" s="1" t="s">
        <v>5</v>
      </c>
      <c r="I1035" s="1" t="s">
        <v>6090</v>
      </c>
      <c r="J1035" s="17"/>
    </row>
    <row r="1036" spans="1:10">
      <c r="A1036" s="7" t="s">
        <v>8099</v>
      </c>
      <c r="B1036" s="1" t="s">
        <v>2631</v>
      </c>
      <c r="C1036" s="1">
        <v>121</v>
      </c>
      <c r="D1036" s="1" t="s">
        <v>7</v>
      </c>
      <c r="E1036" s="1" t="s">
        <v>6</v>
      </c>
      <c r="F1036" s="1" t="s">
        <v>2691</v>
      </c>
      <c r="G1036" s="1" t="s">
        <v>8098</v>
      </c>
      <c r="H1036" s="1" t="s">
        <v>44</v>
      </c>
      <c r="I1036" s="1" t="s">
        <v>5801</v>
      </c>
    </row>
    <row r="1037" spans="1:10">
      <c r="A1037" s="7" t="s">
        <v>8194</v>
      </c>
      <c r="B1037" s="1" t="s">
        <v>2631</v>
      </c>
      <c r="C1037" s="1">
        <v>121</v>
      </c>
      <c r="D1037" s="1" t="s">
        <v>7</v>
      </c>
      <c r="E1037" s="1" t="s">
        <v>6</v>
      </c>
      <c r="F1037" s="1" t="s">
        <v>5091</v>
      </c>
      <c r="G1037" s="1" t="s">
        <v>6181</v>
      </c>
      <c r="H1037" s="1" t="s">
        <v>118</v>
      </c>
      <c r="I1037" s="1" t="s">
        <v>4458</v>
      </c>
    </row>
    <row r="1038" spans="1:10">
      <c r="A1038" s="7" t="s">
        <v>8226</v>
      </c>
      <c r="B1038" s="1" t="s">
        <v>2631</v>
      </c>
      <c r="C1038" s="1">
        <v>121</v>
      </c>
      <c r="D1038" s="1" t="s">
        <v>7</v>
      </c>
      <c r="E1038" s="1" t="s">
        <v>6</v>
      </c>
      <c r="F1038" s="1" t="s">
        <v>5091</v>
      </c>
      <c r="G1038" s="1" t="s">
        <v>6181</v>
      </c>
      <c r="H1038" s="1" t="s">
        <v>118</v>
      </c>
      <c r="I1038" s="1" t="s">
        <v>4458</v>
      </c>
    </row>
    <row r="1039" spans="1:10">
      <c r="A1039" s="7" t="s">
        <v>8250</v>
      </c>
      <c r="B1039" s="1" t="s">
        <v>2631</v>
      </c>
      <c r="C1039" s="1">
        <v>121</v>
      </c>
      <c r="D1039" s="1" t="s">
        <v>7</v>
      </c>
      <c r="E1039" s="1" t="s">
        <v>6</v>
      </c>
      <c r="F1039" s="1" t="s">
        <v>2701</v>
      </c>
      <c r="G1039" s="1" t="s">
        <v>8251</v>
      </c>
      <c r="H1039" s="1" t="s">
        <v>5</v>
      </c>
      <c r="I1039" s="1">
        <v>2016</v>
      </c>
    </row>
    <row r="1040" spans="1:10">
      <c r="A1040" s="7" t="s">
        <v>8274</v>
      </c>
      <c r="B1040" s="1" t="s">
        <v>2631</v>
      </c>
      <c r="C1040" s="1">
        <v>121</v>
      </c>
      <c r="D1040" s="1" t="s">
        <v>7</v>
      </c>
      <c r="E1040" s="1" t="s">
        <v>6</v>
      </c>
      <c r="F1040" s="1" t="s">
        <v>2701</v>
      </c>
      <c r="G1040" s="1" t="s">
        <v>8275</v>
      </c>
      <c r="H1040" s="1" t="s">
        <v>43</v>
      </c>
      <c r="I1040" s="1" t="s">
        <v>5722</v>
      </c>
    </row>
    <row r="1041" spans="1:10">
      <c r="A1041" s="7" t="s">
        <v>8302</v>
      </c>
      <c r="B1041" s="1" t="s">
        <v>2631</v>
      </c>
      <c r="C1041" s="1">
        <v>121</v>
      </c>
      <c r="D1041" s="1" t="s">
        <v>7</v>
      </c>
      <c r="E1041" s="1" t="s">
        <v>6</v>
      </c>
      <c r="F1041" s="1" t="s">
        <v>2701</v>
      </c>
      <c r="G1041" s="1" t="s">
        <v>8303</v>
      </c>
      <c r="H1041" s="1" t="s">
        <v>5</v>
      </c>
      <c r="I1041" s="1">
        <v>2016</v>
      </c>
    </row>
    <row r="1042" spans="1:10">
      <c r="A1042" s="7" t="s">
        <v>8362</v>
      </c>
      <c r="B1042" s="1" t="s">
        <v>2631</v>
      </c>
      <c r="C1042" s="1">
        <v>121</v>
      </c>
      <c r="D1042" s="1" t="s">
        <v>7</v>
      </c>
      <c r="E1042" s="1" t="s">
        <v>6</v>
      </c>
      <c r="F1042" s="1" t="s">
        <v>118</v>
      </c>
      <c r="G1042" s="1" t="s">
        <v>8363</v>
      </c>
      <c r="H1042" s="1" t="s">
        <v>5</v>
      </c>
      <c r="I1042" s="1" t="s">
        <v>5807</v>
      </c>
      <c r="J1042" s="17"/>
    </row>
    <row r="1043" spans="1:10" ht="31.2">
      <c r="A1043" s="16" t="s">
        <v>8410</v>
      </c>
      <c r="B1043" s="1" t="s">
        <v>2631</v>
      </c>
      <c r="C1043" s="1">
        <v>121</v>
      </c>
      <c r="D1043" s="1" t="s">
        <v>7</v>
      </c>
      <c r="E1043" s="1" t="s">
        <v>6</v>
      </c>
      <c r="F1043" s="1" t="s">
        <v>5091</v>
      </c>
      <c r="G1043" s="1" t="s">
        <v>8411</v>
      </c>
      <c r="H1043" s="1" t="s">
        <v>5</v>
      </c>
      <c r="I1043" s="17">
        <v>41695</v>
      </c>
    </row>
    <row r="1044" spans="1:10">
      <c r="A1044" s="16" t="s">
        <v>8425</v>
      </c>
      <c r="B1044" s="1" t="s">
        <v>2631</v>
      </c>
      <c r="C1044" s="1">
        <v>121</v>
      </c>
      <c r="D1044" s="1" t="s">
        <v>7</v>
      </c>
      <c r="E1044" s="1" t="s">
        <v>6</v>
      </c>
      <c r="F1044" s="1" t="s">
        <v>5091</v>
      </c>
      <c r="G1044" s="1" t="s">
        <v>6236</v>
      </c>
      <c r="H1044" s="1" t="s">
        <v>43</v>
      </c>
      <c r="I1044" s="17">
        <v>41275</v>
      </c>
    </row>
    <row r="1045" spans="1:10">
      <c r="A1045" s="16" t="s">
        <v>8490</v>
      </c>
      <c r="B1045" s="1" t="s">
        <v>2631</v>
      </c>
      <c r="C1045" s="1">
        <v>121</v>
      </c>
      <c r="D1045" s="1" t="s">
        <v>7</v>
      </c>
      <c r="E1045" s="1" t="s">
        <v>6</v>
      </c>
      <c r="F1045" s="1" t="s">
        <v>2360</v>
      </c>
      <c r="G1045" s="1" t="s">
        <v>8491</v>
      </c>
      <c r="H1045" s="1" t="s">
        <v>5</v>
      </c>
      <c r="I1045" s="1" t="s">
        <v>4792</v>
      </c>
    </row>
    <row r="1046" spans="1:10">
      <c r="A1046" s="16" t="s">
        <v>8617</v>
      </c>
      <c r="B1046" s="1" t="s">
        <v>2631</v>
      </c>
      <c r="C1046" s="1">
        <v>121</v>
      </c>
      <c r="D1046" s="1" t="s">
        <v>7</v>
      </c>
      <c r="E1046" s="1" t="s">
        <v>6</v>
      </c>
      <c r="F1046" s="1" t="s">
        <v>5241</v>
      </c>
      <c r="G1046" s="1" t="s">
        <v>8618</v>
      </c>
      <c r="H1046" s="1" t="s">
        <v>5</v>
      </c>
      <c r="I1046" s="17">
        <v>38718</v>
      </c>
    </row>
    <row r="1047" spans="1:10">
      <c r="A1047" s="16" t="s">
        <v>8721</v>
      </c>
      <c r="B1047" s="1" t="s">
        <v>2631</v>
      </c>
      <c r="C1047" s="1">
        <v>121</v>
      </c>
      <c r="D1047" s="1" t="s">
        <v>7</v>
      </c>
      <c r="E1047" s="1" t="s">
        <v>6</v>
      </c>
      <c r="F1047" s="1" t="s">
        <v>5091</v>
      </c>
      <c r="G1047" s="1" t="s">
        <v>2387</v>
      </c>
      <c r="H1047" s="1" t="s">
        <v>5</v>
      </c>
      <c r="I1047" s="17">
        <v>41942</v>
      </c>
    </row>
    <row r="1048" spans="1:10">
      <c r="A1048" s="16" t="s">
        <v>8748</v>
      </c>
      <c r="B1048" s="1" t="s">
        <v>2631</v>
      </c>
      <c r="C1048" s="1">
        <v>121</v>
      </c>
      <c r="D1048" s="1" t="s">
        <v>7</v>
      </c>
      <c r="E1048" s="1" t="s">
        <v>6</v>
      </c>
      <c r="F1048" s="1" t="s">
        <v>5091</v>
      </c>
      <c r="G1048" s="1" t="s">
        <v>7403</v>
      </c>
      <c r="H1048" s="1" t="s">
        <v>44</v>
      </c>
      <c r="I1048" s="17">
        <v>41974</v>
      </c>
    </row>
    <row r="1049" spans="1:10">
      <c r="A1049" s="16" t="s">
        <v>8767</v>
      </c>
      <c r="B1049" s="1" t="s">
        <v>2631</v>
      </c>
      <c r="C1049" s="1">
        <v>121</v>
      </c>
      <c r="D1049" s="1" t="s">
        <v>7</v>
      </c>
      <c r="E1049" s="1" t="s">
        <v>6</v>
      </c>
      <c r="F1049" s="1" t="s">
        <v>5091</v>
      </c>
      <c r="G1049" s="1" t="s">
        <v>7919</v>
      </c>
      <c r="H1049" s="1" t="s">
        <v>5</v>
      </c>
      <c r="I1049" s="17">
        <v>37922</v>
      </c>
    </row>
    <row r="1050" spans="1:10">
      <c r="A1050" s="16" t="s">
        <v>8770</v>
      </c>
      <c r="B1050" s="1" t="s">
        <v>2631</v>
      </c>
      <c r="C1050" s="1">
        <v>121</v>
      </c>
      <c r="D1050" s="1" t="s">
        <v>7</v>
      </c>
      <c r="E1050" s="1" t="s">
        <v>6</v>
      </c>
      <c r="F1050" s="1" t="s">
        <v>5091</v>
      </c>
      <c r="G1050" s="1" t="s">
        <v>8771</v>
      </c>
      <c r="H1050" s="1" t="s">
        <v>5</v>
      </c>
      <c r="I1050" s="17">
        <v>37707</v>
      </c>
      <c r="J1050" s="1"/>
    </row>
    <row r="1051" spans="1:10">
      <c r="A1051" s="16" t="s">
        <v>8865</v>
      </c>
      <c r="B1051" s="1" t="s">
        <v>2631</v>
      </c>
      <c r="C1051" s="1">
        <v>121</v>
      </c>
      <c r="D1051" s="1" t="s">
        <v>7</v>
      </c>
      <c r="E1051" s="1" t="s">
        <v>6</v>
      </c>
      <c r="F1051" s="1" t="s">
        <v>118</v>
      </c>
      <c r="G1051" s="14" t="s">
        <v>4458</v>
      </c>
      <c r="H1051" s="1" t="s">
        <v>118</v>
      </c>
      <c r="I1051" s="1" t="s">
        <v>4792</v>
      </c>
    </row>
    <row r="1052" spans="1:10">
      <c r="A1052" s="16" t="s">
        <v>8866</v>
      </c>
      <c r="B1052" s="1" t="s">
        <v>2631</v>
      </c>
      <c r="C1052" s="1">
        <v>121</v>
      </c>
      <c r="D1052" s="1" t="s">
        <v>7</v>
      </c>
      <c r="E1052" s="1" t="s">
        <v>6</v>
      </c>
      <c r="F1052" s="1" t="s">
        <v>118</v>
      </c>
      <c r="G1052" s="14" t="s">
        <v>4458</v>
      </c>
      <c r="H1052" s="1" t="s">
        <v>118</v>
      </c>
      <c r="I1052" s="1" t="s">
        <v>4792</v>
      </c>
    </row>
    <row r="1053" spans="1:10">
      <c r="A1053" s="16" t="s">
        <v>8911</v>
      </c>
      <c r="B1053" s="1" t="s">
        <v>2631</v>
      </c>
      <c r="C1053" s="1">
        <v>121</v>
      </c>
      <c r="D1053" s="1" t="s">
        <v>7</v>
      </c>
      <c r="E1053" s="1" t="s">
        <v>6</v>
      </c>
      <c r="F1053" s="1" t="s">
        <v>118</v>
      </c>
      <c r="G1053" s="1" t="s">
        <v>8912</v>
      </c>
      <c r="H1053" s="1" t="s">
        <v>118</v>
      </c>
      <c r="I1053" s="1" t="s">
        <v>4792</v>
      </c>
    </row>
    <row r="1054" spans="1:10">
      <c r="A1054" s="16" t="s">
        <v>8920</v>
      </c>
      <c r="B1054" s="1" t="s">
        <v>2631</v>
      </c>
      <c r="C1054" s="1">
        <v>121</v>
      </c>
      <c r="D1054" s="1" t="s">
        <v>7</v>
      </c>
      <c r="E1054" s="1" t="s">
        <v>6</v>
      </c>
      <c r="F1054" s="1" t="s">
        <v>5091</v>
      </c>
      <c r="G1054" s="1" t="s">
        <v>8921</v>
      </c>
      <c r="H1054" s="1" t="s">
        <v>5</v>
      </c>
      <c r="I1054" s="17">
        <v>41640</v>
      </c>
    </row>
    <row r="1055" spans="1:10">
      <c r="A1055" s="16" t="s">
        <v>9018</v>
      </c>
      <c r="B1055" s="1" t="s">
        <v>2631</v>
      </c>
      <c r="C1055" s="1">
        <v>121</v>
      </c>
      <c r="D1055" s="1" t="s">
        <v>7</v>
      </c>
      <c r="E1055" s="1" t="s">
        <v>6</v>
      </c>
      <c r="F1055" s="1" t="s">
        <v>2700</v>
      </c>
      <c r="G1055" s="1" t="s">
        <v>9019</v>
      </c>
      <c r="H1055" s="1" t="s">
        <v>5</v>
      </c>
      <c r="I1055" s="17">
        <v>42103</v>
      </c>
      <c r="J1055" s="1"/>
    </row>
    <row r="1056" spans="1:10">
      <c r="A1056" s="16" t="s">
        <v>9021</v>
      </c>
      <c r="B1056" s="1" t="s">
        <v>2631</v>
      </c>
      <c r="C1056" s="1">
        <v>121</v>
      </c>
      <c r="D1056" s="1" t="s">
        <v>7</v>
      </c>
      <c r="E1056" s="1" t="s">
        <v>6</v>
      </c>
      <c r="F1056" s="1" t="s">
        <v>2700</v>
      </c>
      <c r="G1056" s="1" t="s">
        <v>9019</v>
      </c>
      <c r="H1056" s="1" t="s">
        <v>5</v>
      </c>
      <c r="I1056" s="17">
        <v>42103</v>
      </c>
      <c r="J1056" s="1"/>
    </row>
    <row r="1057" spans="1:10">
      <c r="A1057" s="16" t="s">
        <v>9050</v>
      </c>
      <c r="B1057" s="1" t="s">
        <v>2631</v>
      </c>
      <c r="C1057" s="1">
        <v>121</v>
      </c>
      <c r="D1057" s="1" t="s">
        <v>7</v>
      </c>
      <c r="E1057" s="1" t="s">
        <v>6</v>
      </c>
      <c r="F1057" s="1" t="s">
        <v>5091</v>
      </c>
      <c r="G1057" s="14" t="s">
        <v>4458</v>
      </c>
      <c r="H1057" s="1" t="s">
        <v>118</v>
      </c>
      <c r="I1057" s="1" t="s">
        <v>4792</v>
      </c>
    </row>
    <row r="1058" spans="1:10">
      <c r="A1058" s="16" t="s">
        <v>9192</v>
      </c>
      <c r="B1058" s="1" t="s">
        <v>2631</v>
      </c>
      <c r="C1058" s="1">
        <v>121</v>
      </c>
      <c r="D1058" s="1" t="s">
        <v>7</v>
      </c>
      <c r="E1058" s="1" t="s">
        <v>6</v>
      </c>
      <c r="F1058" s="1" t="s">
        <v>2699</v>
      </c>
      <c r="G1058" s="1" t="s">
        <v>9193</v>
      </c>
      <c r="H1058" s="1" t="s">
        <v>5</v>
      </c>
      <c r="I1058" s="17">
        <v>42136</v>
      </c>
    </row>
    <row r="1059" spans="1:10">
      <c r="A1059" s="16" t="s">
        <v>9304</v>
      </c>
      <c r="B1059" s="1" t="s">
        <v>2631</v>
      </c>
      <c r="C1059" s="1">
        <v>121</v>
      </c>
      <c r="D1059" s="1" t="s">
        <v>7</v>
      </c>
      <c r="E1059" s="1" t="s">
        <v>6</v>
      </c>
      <c r="F1059" s="1" t="s">
        <v>5091</v>
      </c>
      <c r="G1059" s="1" t="s">
        <v>9305</v>
      </c>
      <c r="H1059" s="1" t="s">
        <v>5</v>
      </c>
      <c r="I1059" s="17">
        <v>41136</v>
      </c>
    </row>
    <row r="1060" spans="1:10">
      <c r="A1060" s="16" t="s">
        <v>9308</v>
      </c>
      <c r="B1060" s="1" t="s">
        <v>2631</v>
      </c>
      <c r="C1060" s="1">
        <v>121</v>
      </c>
      <c r="D1060" s="1" t="s">
        <v>7</v>
      </c>
      <c r="E1060" s="1" t="s">
        <v>6</v>
      </c>
      <c r="F1060" s="1" t="s">
        <v>5091</v>
      </c>
      <c r="G1060" s="1" t="s">
        <v>6145</v>
      </c>
      <c r="H1060" s="1" t="s">
        <v>43</v>
      </c>
      <c r="I1060" s="17">
        <v>39960</v>
      </c>
    </row>
    <row r="1061" spans="1:10">
      <c r="A1061" s="16" t="s">
        <v>9486</v>
      </c>
      <c r="B1061" s="1" t="s">
        <v>2631</v>
      </c>
      <c r="C1061" s="1">
        <v>121</v>
      </c>
      <c r="D1061" s="1" t="s">
        <v>7</v>
      </c>
      <c r="E1061" s="1" t="s">
        <v>6</v>
      </c>
      <c r="F1061" s="1" t="s">
        <v>5091</v>
      </c>
      <c r="G1061" s="1" t="s">
        <v>2387</v>
      </c>
      <c r="H1061" s="1" t="s">
        <v>5</v>
      </c>
      <c r="I1061" s="17">
        <v>41289</v>
      </c>
    </row>
    <row r="1062" spans="1:10">
      <c r="A1062" s="16" t="s">
        <v>9501</v>
      </c>
      <c r="B1062" s="1" t="s">
        <v>2631</v>
      </c>
      <c r="C1062" s="1">
        <v>121</v>
      </c>
      <c r="D1062" s="1" t="s">
        <v>7</v>
      </c>
      <c r="E1062" s="1" t="s">
        <v>6</v>
      </c>
      <c r="F1062" s="1" t="s">
        <v>5091</v>
      </c>
      <c r="G1062" s="1" t="s">
        <v>2387</v>
      </c>
      <c r="H1062" s="1" t="s">
        <v>5</v>
      </c>
      <c r="I1062" s="17">
        <v>41533</v>
      </c>
    </row>
    <row r="1063" spans="1:10">
      <c r="A1063" s="16" t="s">
        <v>9653</v>
      </c>
      <c r="B1063" s="1" t="s">
        <v>2631</v>
      </c>
      <c r="C1063" s="1">
        <v>121</v>
      </c>
      <c r="D1063" s="1" t="s">
        <v>7</v>
      </c>
      <c r="E1063" s="1" t="s">
        <v>6</v>
      </c>
      <c r="F1063" s="1" t="s">
        <v>2691</v>
      </c>
      <c r="G1063" s="1" t="s">
        <v>2370</v>
      </c>
      <c r="H1063" s="1" t="s">
        <v>5</v>
      </c>
      <c r="I1063" s="17">
        <v>42247</v>
      </c>
      <c r="J1063" s="17"/>
    </row>
    <row r="1064" spans="1:10">
      <c r="A1064" s="16" t="s">
        <v>9690</v>
      </c>
      <c r="B1064" s="1" t="s">
        <v>2631</v>
      </c>
      <c r="C1064" s="1">
        <v>121</v>
      </c>
      <c r="D1064" s="1" t="s">
        <v>7</v>
      </c>
      <c r="E1064" s="1" t="s">
        <v>6</v>
      </c>
      <c r="F1064" s="1" t="s">
        <v>5091</v>
      </c>
      <c r="G1064" s="1" t="s">
        <v>6307</v>
      </c>
      <c r="H1064" s="1" t="s">
        <v>44</v>
      </c>
      <c r="I1064" s="17">
        <v>42205</v>
      </c>
    </row>
    <row r="1065" spans="1:10">
      <c r="A1065" s="16" t="s">
        <v>9794</v>
      </c>
      <c r="B1065" s="1" t="s">
        <v>2631</v>
      </c>
      <c r="C1065" s="1">
        <v>121</v>
      </c>
      <c r="D1065" s="1" t="s">
        <v>7</v>
      </c>
      <c r="E1065" s="1" t="s">
        <v>6</v>
      </c>
      <c r="F1065" s="1" t="s">
        <v>5091</v>
      </c>
      <c r="G1065" s="1" t="s">
        <v>6145</v>
      </c>
      <c r="H1065" s="1" t="s">
        <v>43</v>
      </c>
      <c r="I1065" s="17">
        <v>41969</v>
      </c>
    </row>
    <row r="1066" spans="1:10">
      <c r="A1066" s="16" t="s">
        <v>10086</v>
      </c>
      <c r="B1066" s="1" t="s">
        <v>2631</v>
      </c>
      <c r="C1066" s="1">
        <v>121</v>
      </c>
      <c r="D1066" s="1" t="s">
        <v>7</v>
      </c>
      <c r="E1066" s="1" t="s">
        <v>6</v>
      </c>
      <c r="F1066" s="1" t="s">
        <v>36</v>
      </c>
      <c r="G1066" s="1" t="s">
        <v>10087</v>
      </c>
      <c r="H1066" s="1" t="s">
        <v>5</v>
      </c>
      <c r="I1066" s="17">
        <v>40544</v>
      </c>
    </row>
    <row r="1067" spans="1:10">
      <c r="A1067" s="16" t="s">
        <v>10103</v>
      </c>
      <c r="B1067" s="1" t="s">
        <v>2631</v>
      </c>
      <c r="C1067" s="1">
        <v>121</v>
      </c>
      <c r="D1067" s="1" t="s">
        <v>7</v>
      </c>
      <c r="E1067" s="1" t="s">
        <v>6</v>
      </c>
      <c r="F1067" s="1" t="s">
        <v>36</v>
      </c>
      <c r="G1067" s="1" t="s">
        <v>10104</v>
      </c>
      <c r="H1067" s="1" t="s">
        <v>5</v>
      </c>
      <c r="I1067" s="17">
        <v>40179</v>
      </c>
    </row>
    <row r="1068" spans="1:10">
      <c r="A1068" s="16" t="s">
        <v>10255</v>
      </c>
      <c r="B1068" s="1" t="s">
        <v>2631</v>
      </c>
      <c r="C1068" s="1">
        <v>121</v>
      </c>
      <c r="D1068" s="1" t="s">
        <v>7</v>
      </c>
      <c r="E1068" s="1" t="s">
        <v>6</v>
      </c>
      <c r="F1068" s="1" t="s">
        <v>36</v>
      </c>
      <c r="G1068" s="1" t="s">
        <v>10256</v>
      </c>
      <c r="H1068" s="1" t="s">
        <v>5</v>
      </c>
      <c r="I1068" s="17">
        <v>40179</v>
      </c>
    </row>
    <row r="1069" spans="1:10" ht="31.2">
      <c r="A1069" s="16" t="s">
        <v>10371</v>
      </c>
      <c r="B1069" s="1" t="s">
        <v>2631</v>
      </c>
      <c r="C1069" s="1">
        <v>121</v>
      </c>
      <c r="D1069" s="1" t="s">
        <v>7</v>
      </c>
      <c r="E1069" s="1" t="s">
        <v>6</v>
      </c>
      <c r="F1069" s="1" t="s">
        <v>139</v>
      </c>
      <c r="G1069" s="1" t="s">
        <v>10372</v>
      </c>
      <c r="H1069" s="1" t="s">
        <v>5</v>
      </c>
      <c r="I1069" s="17">
        <v>37622</v>
      </c>
    </row>
    <row r="1070" spans="1:10" ht="31.2">
      <c r="A1070" s="16" t="s">
        <v>10373</v>
      </c>
      <c r="B1070" s="1" t="s">
        <v>2631</v>
      </c>
      <c r="C1070" s="1">
        <v>121</v>
      </c>
      <c r="D1070" s="1" t="s">
        <v>7</v>
      </c>
      <c r="E1070" s="1" t="s">
        <v>6</v>
      </c>
      <c r="F1070" s="1" t="s">
        <v>139</v>
      </c>
      <c r="G1070" s="1" t="s">
        <v>4803</v>
      </c>
      <c r="H1070" s="1" t="s">
        <v>5</v>
      </c>
      <c r="I1070" s="17">
        <v>37622</v>
      </c>
      <c r="J1070" s="17"/>
    </row>
    <row r="1071" spans="1:10" ht="31.2">
      <c r="A1071" s="16" t="s">
        <v>10376</v>
      </c>
      <c r="B1071" s="1" t="s">
        <v>2631</v>
      </c>
      <c r="C1071" s="1">
        <v>121</v>
      </c>
      <c r="D1071" s="1" t="s">
        <v>7</v>
      </c>
      <c r="E1071" s="1" t="s">
        <v>6</v>
      </c>
      <c r="F1071" s="1" t="s">
        <v>139</v>
      </c>
      <c r="G1071" s="1" t="s">
        <v>2370</v>
      </c>
      <c r="H1071" s="1" t="s">
        <v>5</v>
      </c>
      <c r="I1071" s="17">
        <v>37622</v>
      </c>
      <c r="J1071" s="17"/>
    </row>
    <row r="1072" spans="1:10">
      <c r="A1072" s="16" t="s">
        <v>10412</v>
      </c>
      <c r="B1072" s="1" t="s">
        <v>2631</v>
      </c>
      <c r="C1072" s="1">
        <v>121</v>
      </c>
      <c r="D1072" s="1" t="s">
        <v>7</v>
      </c>
      <c r="E1072" s="1" t="s">
        <v>6</v>
      </c>
      <c r="F1072" s="1" t="s">
        <v>5091</v>
      </c>
      <c r="G1072" s="1" t="s">
        <v>2387</v>
      </c>
      <c r="H1072" s="1" t="s">
        <v>5</v>
      </c>
      <c r="I1072" s="17">
        <v>40567</v>
      </c>
    </row>
    <row r="1073" spans="1:10">
      <c r="A1073" s="16" t="s">
        <v>10413</v>
      </c>
      <c r="B1073" s="1" t="s">
        <v>2631</v>
      </c>
      <c r="C1073" s="1">
        <v>121</v>
      </c>
      <c r="D1073" s="1" t="s">
        <v>7</v>
      </c>
      <c r="E1073" s="1" t="s">
        <v>6</v>
      </c>
      <c r="F1073" s="1" t="s">
        <v>5091</v>
      </c>
      <c r="G1073" s="1" t="s">
        <v>2387</v>
      </c>
      <c r="H1073" s="1" t="s">
        <v>5</v>
      </c>
      <c r="I1073" s="17">
        <v>40581</v>
      </c>
    </row>
    <row r="1074" spans="1:10">
      <c r="A1074" s="16" t="s">
        <v>10414</v>
      </c>
      <c r="B1074" s="1" t="s">
        <v>2631</v>
      </c>
      <c r="C1074" s="1">
        <v>121</v>
      </c>
      <c r="D1074" s="1" t="s">
        <v>7</v>
      </c>
      <c r="E1074" s="1" t="s">
        <v>6</v>
      </c>
      <c r="F1074" s="1" t="s">
        <v>5091</v>
      </c>
      <c r="G1074" s="1" t="s">
        <v>2387</v>
      </c>
      <c r="H1074" s="1" t="s">
        <v>5</v>
      </c>
      <c r="I1074" s="17">
        <v>40581</v>
      </c>
    </row>
    <row r="1075" spans="1:10" ht="31.2">
      <c r="A1075" s="16" t="s">
        <v>10439</v>
      </c>
      <c r="B1075" s="1" t="s">
        <v>2631</v>
      </c>
      <c r="C1075" s="1">
        <v>121</v>
      </c>
      <c r="D1075" s="1" t="s">
        <v>7</v>
      </c>
      <c r="E1075" s="1" t="s">
        <v>6</v>
      </c>
      <c r="F1075" s="1" t="s">
        <v>5091</v>
      </c>
      <c r="G1075" s="1" t="s">
        <v>10440</v>
      </c>
      <c r="H1075" s="1" t="s">
        <v>5</v>
      </c>
      <c r="I1075" s="17">
        <v>41277</v>
      </c>
    </row>
    <row r="1076" spans="1:10">
      <c r="A1076" s="16" t="s">
        <v>10469</v>
      </c>
      <c r="B1076" s="1" t="s">
        <v>2631</v>
      </c>
      <c r="C1076" s="1">
        <v>121</v>
      </c>
      <c r="D1076" s="1" t="s">
        <v>7</v>
      </c>
      <c r="E1076" s="1" t="s">
        <v>6</v>
      </c>
      <c r="F1076" s="1" t="s">
        <v>5091</v>
      </c>
      <c r="G1076" s="1" t="s">
        <v>6145</v>
      </c>
      <c r="H1076" s="1" t="s">
        <v>43</v>
      </c>
      <c r="I1076" s="17">
        <v>42401</v>
      </c>
    </row>
    <row r="1077" spans="1:10">
      <c r="A1077" s="16" t="s">
        <v>10497</v>
      </c>
      <c r="B1077" s="1" t="s">
        <v>2631</v>
      </c>
      <c r="C1077" s="1">
        <v>121</v>
      </c>
      <c r="D1077" s="1" t="s">
        <v>7</v>
      </c>
      <c r="E1077" s="1" t="s">
        <v>6</v>
      </c>
      <c r="F1077" s="1" t="s">
        <v>139</v>
      </c>
      <c r="G1077" s="1" t="s">
        <v>1475</v>
      </c>
      <c r="H1077" s="1" t="s">
        <v>5</v>
      </c>
      <c r="I1077" s="17">
        <v>40817</v>
      </c>
    </row>
    <row r="1078" spans="1:10">
      <c r="A1078" s="16" t="s">
        <v>10557</v>
      </c>
      <c r="B1078" s="1" t="s">
        <v>2631</v>
      </c>
      <c r="C1078" s="1">
        <v>121</v>
      </c>
      <c r="D1078" s="1" t="s">
        <v>7</v>
      </c>
      <c r="E1078" s="1" t="s">
        <v>6</v>
      </c>
      <c r="F1078" s="1" t="s">
        <v>2700</v>
      </c>
      <c r="G1078" s="1" t="s">
        <v>10558</v>
      </c>
      <c r="H1078" s="1" t="s">
        <v>5</v>
      </c>
      <c r="I1078" s="17">
        <v>40337</v>
      </c>
      <c r="J1078" s="17"/>
    </row>
    <row r="1079" spans="1:10">
      <c r="A1079" s="16" t="s">
        <v>10611</v>
      </c>
      <c r="B1079" s="1" t="s">
        <v>2631</v>
      </c>
      <c r="C1079" s="1">
        <v>121</v>
      </c>
      <c r="D1079" s="1" t="s">
        <v>7</v>
      </c>
      <c r="E1079" s="1" t="s">
        <v>6</v>
      </c>
      <c r="F1079" s="1" t="s">
        <v>139</v>
      </c>
      <c r="G1079" s="1" t="s">
        <v>10612</v>
      </c>
      <c r="H1079" s="1" t="s">
        <v>5</v>
      </c>
      <c r="I1079" s="17">
        <v>41579</v>
      </c>
    </row>
    <row r="1080" spans="1:10">
      <c r="A1080" s="16" t="s">
        <v>10615</v>
      </c>
      <c r="B1080" s="1" t="s">
        <v>2631</v>
      </c>
      <c r="C1080" s="1">
        <v>121</v>
      </c>
      <c r="D1080" s="1" t="s">
        <v>7</v>
      </c>
      <c r="E1080" s="1" t="s">
        <v>6</v>
      </c>
      <c r="F1080" s="1" t="s">
        <v>139</v>
      </c>
      <c r="G1080" s="1" t="s">
        <v>9495</v>
      </c>
      <c r="H1080" s="1" t="s">
        <v>5</v>
      </c>
      <c r="I1080" s="17">
        <v>41365</v>
      </c>
      <c r="J1080" s="17"/>
    </row>
    <row r="1081" spans="1:10">
      <c r="A1081" s="16" t="s">
        <v>10617</v>
      </c>
      <c r="B1081" s="1" t="s">
        <v>2631</v>
      </c>
      <c r="C1081" s="1">
        <v>121</v>
      </c>
      <c r="D1081" s="1" t="s">
        <v>7</v>
      </c>
      <c r="E1081" s="1" t="s">
        <v>6</v>
      </c>
      <c r="F1081" s="1" t="s">
        <v>139</v>
      </c>
      <c r="G1081" s="1" t="s">
        <v>7919</v>
      </c>
      <c r="H1081" s="1" t="s">
        <v>5</v>
      </c>
      <c r="I1081" s="17">
        <v>41395</v>
      </c>
    </row>
    <row r="1082" spans="1:10">
      <c r="A1082" s="16" t="s">
        <v>10618</v>
      </c>
      <c r="B1082" s="1" t="s">
        <v>2631</v>
      </c>
      <c r="C1082" s="1">
        <v>121</v>
      </c>
      <c r="D1082" s="1" t="s">
        <v>7</v>
      </c>
      <c r="E1082" s="1" t="s">
        <v>6</v>
      </c>
      <c r="F1082" s="1" t="s">
        <v>139</v>
      </c>
      <c r="G1082" s="1" t="s">
        <v>2565</v>
      </c>
      <c r="H1082" s="1" t="s">
        <v>5</v>
      </c>
      <c r="I1082" s="17">
        <v>41395</v>
      </c>
      <c r="J1082" s="17"/>
    </row>
    <row r="1083" spans="1:10">
      <c r="A1083" s="16" t="s">
        <v>10619</v>
      </c>
      <c r="B1083" s="1" t="s">
        <v>2631</v>
      </c>
      <c r="C1083" s="1">
        <v>121</v>
      </c>
      <c r="D1083" s="1" t="s">
        <v>7</v>
      </c>
      <c r="E1083" s="1" t="s">
        <v>6</v>
      </c>
      <c r="F1083" s="1" t="s">
        <v>139</v>
      </c>
      <c r="G1083" s="1" t="s">
        <v>10620</v>
      </c>
      <c r="H1083" s="1" t="s">
        <v>5</v>
      </c>
      <c r="I1083" s="17">
        <v>41456</v>
      </c>
    </row>
    <row r="1084" spans="1:10">
      <c r="A1084" s="16" t="s">
        <v>10621</v>
      </c>
      <c r="B1084" s="1" t="s">
        <v>2631</v>
      </c>
      <c r="C1084" s="1">
        <v>121</v>
      </c>
      <c r="D1084" s="1" t="s">
        <v>7</v>
      </c>
      <c r="E1084" s="1" t="s">
        <v>6</v>
      </c>
      <c r="F1084" s="1" t="s">
        <v>139</v>
      </c>
      <c r="G1084" s="1" t="s">
        <v>10612</v>
      </c>
      <c r="H1084" s="1" t="s">
        <v>5</v>
      </c>
      <c r="I1084" s="17">
        <v>41487</v>
      </c>
    </row>
    <row r="1085" spans="1:10">
      <c r="A1085" s="16" t="s">
        <v>10627</v>
      </c>
      <c r="B1085" s="1" t="s">
        <v>2631</v>
      </c>
      <c r="C1085" s="1">
        <v>121</v>
      </c>
      <c r="D1085" s="1" t="s">
        <v>7</v>
      </c>
      <c r="E1085" s="1" t="s">
        <v>6</v>
      </c>
      <c r="F1085" s="1" t="s">
        <v>139</v>
      </c>
      <c r="G1085" s="1" t="s">
        <v>10628</v>
      </c>
      <c r="H1085" s="1" t="s">
        <v>5</v>
      </c>
      <c r="I1085" s="17">
        <v>41883</v>
      </c>
      <c r="J1085" s="17"/>
    </row>
    <row r="1086" spans="1:10">
      <c r="A1086" s="16" t="s">
        <v>10634</v>
      </c>
      <c r="B1086" s="1" t="s">
        <v>2631</v>
      </c>
      <c r="C1086" s="1">
        <v>121</v>
      </c>
      <c r="D1086" s="1" t="s">
        <v>7</v>
      </c>
      <c r="E1086" s="1" t="s">
        <v>6</v>
      </c>
      <c r="F1086" s="1" t="s">
        <v>139</v>
      </c>
      <c r="G1086" s="1" t="s">
        <v>10607</v>
      </c>
      <c r="H1086" s="1" t="s">
        <v>43</v>
      </c>
      <c r="I1086" s="17">
        <v>41699</v>
      </c>
    </row>
    <row r="1087" spans="1:10">
      <c r="A1087" s="16" t="s">
        <v>10635</v>
      </c>
      <c r="B1087" s="1" t="s">
        <v>2631</v>
      </c>
      <c r="C1087" s="1">
        <v>121</v>
      </c>
      <c r="D1087" s="1" t="s">
        <v>7</v>
      </c>
      <c r="E1087" s="1" t="s">
        <v>6</v>
      </c>
      <c r="F1087" s="1" t="s">
        <v>139</v>
      </c>
      <c r="G1087" s="1" t="s">
        <v>2370</v>
      </c>
      <c r="H1087" s="1" t="s">
        <v>5</v>
      </c>
      <c r="I1087" s="17">
        <v>41791</v>
      </c>
      <c r="J1087" s="17"/>
    </row>
    <row r="1088" spans="1:10">
      <c r="A1088" s="16" t="s">
        <v>10636</v>
      </c>
      <c r="B1088" s="1" t="s">
        <v>2631</v>
      </c>
      <c r="C1088" s="1">
        <v>121</v>
      </c>
      <c r="D1088" s="1" t="s">
        <v>7</v>
      </c>
      <c r="E1088" s="1" t="s">
        <v>6</v>
      </c>
      <c r="F1088" s="1" t="s">
        <v>139</v>
      </c>
      <c r="G1088" s="1" t="s">
        <v>2387</v>
      </c>
      <c r="H1088" s="1" t="s">
        <v>5</v>
      </c>
      <c r="I1088" s="17">
        <v>41791</v>
      </c>
    </row>
    <row r="1089" spans="1:10">
      <c r="A1089" s="16" t="s">
        <v>10637</v>
      </c>
      <c r="B1089" s="1" t="s">
        <v>2631</v>
      </c>
      <c r="C1089" s="1">
        <v>121</v>
      </c>
      <c r="D1089" s="1" t="s">
        <v>7</v>
      </c>
      <c r="E1089" s="1" t="s">
        <v>6</v>
      </c>
      <c r="F1089" s="1" t="s">
        <v>139</v>
      </c>
      <c r="G1089" s="1" t="s">
        <v>10610</v>
      </c>
      <c r="H1089" s="1" t="s">
        <v>5</v>
      </c>
      <c r="I1089" s="17">
        <v>41852</v>
      </c>
      <c r="J1089" s="11"/>
    </row>
    <row r="1090" spans="1:10">
      <c r="A1090" s="16" t="s">
        <v>10664</v>
      </c>
      <c r="B1090" s="1" t="s">
        <v>2631</v>
      </c>
      <c r="C1090" s="1">
        <v>121</v>
      </c>
      <c r="D1090" s="1" t="s">
        <v>7</v>
      </c>
      <c r="E1090" s="1" t="s">
        <v>6</v>
      </c>
      <c r="F1090" s="1" t="s">
        <v>139</v>
      </c>
      <c r="G1090" s="1" t="s">
        <v>10665</v>
      </c>
      <c r="H1090" s="1" t="s">
        <v>5</v>
      </c>
      <c r="I1090" s="17">
        <v>40695</v>
      </c>
      <c r="J1090" s="17"/>
    </row>
    <row r="1091" spans="1:10">
      <c r="A1091" s="16" t="s">
        <v>10666</v>
      </c>
      <c r="B1091" s="1" t="s">
        <v>2631</v>
      </c>
      <c r="C1091" s="1">
        <v>121</v>
      </c>
      <c r="D1091" s="1" t="s">
        <v>7</v>
      </c>
      <c r="E1091" s="1" t="s">
        <v>6</v>
      </c>
      <c r="F1091" s="1" t="s">
        <v>139</v>
      </c>
      <c r="G1091" s="1" t="s">
        <v>10665</v>
      </c>
      <c r="H1091" s="1" t="s">
        <v>5</v>
      </c>
      <c r="I1091" s="17">
        <v>40695</v>
      </c>
      <c r="J1091" s="17"/>
    </row>
    <row r="1092" spans="1:10">
      <c r="A1092" s="16" t="s">
        <v>10670</v>
      </c>
      <c r="B1092" s="1" t="s">
        <v>2631</v>
      </c>
      <c r="C1092" s="1">
        <v>121</v>
      </c>
      <c r="D1092" s="1" t="s">
        <v>7</v>
      </c>
      <c r="E1092" s="1" t="s">
        <v>6</v>
      </c>
      <c r="F1092" s="1" t="s">
        <v>139</v>
      </c>
      <c r="G1092" s="1" t="s">
        <v>2387</v>
      </c>
      <c r="H1092" s="1" t="s">
        <v>5</v>
      </c>
      <c r="I1092" s="17">
        <v>40787</v>
      </c>
    </row>
    <row r="1093" spans="1:10">
      <c r="A1093" s="16" t="s">
        <v>10679</v>
      </c>
      <c r="B1093" s="1" t="s">
        <v>2631</v>
      </c>
      <c r="C1093" s="1">
        <v>121</v>
      </c>
      <c r="D1093" s="1" t="s">
        <v>7</v>
      </c>
      <c r="E1093" s="1" t="s">
        <v>6</v>
      </c>
      <c r="F1093" s="1" t="s">
        <v>139</v>
      </c>
      <c r="G1093" s="1" t="s">
        <v>2387</v>
      </c>
      <c r="H1093" s="1" t="s">
        <v>5</v>
      </c>
      <c r="I1093" s="17">
        <v>40817</v>
      </c>
    </row>
    <row r="1094" spans="1:10">
      <c r="A1094" s="16" t="s">
        <v>10680</v>
      </c>
      <c r="B1094" s="1" t="s">
        <v>2631</v>
      </c>
      <c r="C1094" s="1">
        <v>121</v>
      </c>
      <c r="D1094" s="1" t="s">
        <v>7</v>
      </c>
      <c r="E1094" s="1" t="s">
        <v>6</v>
      </c>
      <c r="F1094" s="1" t="s">
        <v>139</v>
      </c>
      <c r="G1094" s="1" t="s">
        <v>2387</v>
      </c>
      <c r="H1094" s="1" t="s">
        <v>5</v>
      </c>
      <c r="I1094" s="17">
        <v>40817</v>
      </c>
    </row>
    <row r="1095" spans="1:10">
      <c r="A1095" s="16" t="s">
        <v>10683</v>
      </c>
      <c r="B1095" s="1" t="s">
        <v>2631</v>
      </c>
      <c r="C1095" s="1">
        <v>121</v>
      </c>
      <c r="D1095" s="1" t="s">
        <v>7</v>
      </c>
      <c r="E1095" s="1" t="s">
        <v>6</v>
      </c>
      <c r="F1095" s="1" t="s">
        <v>139</v>
      </c>
      <c r="G1095" s="1" t="s">
        <v>1475</v>
      </c>
      <c r="H1095" s="1" t="s">
        <v>5</v>
      </c>
      <c r="I1095" s="17">
        <v>40848</v>
      </c>
    </row>
    <row r="1096" spans="1:10">
      <c r="A1096" s="16" t="s">
        <v>10700</v>
      </c>
      <c r="B1096" s="1" t="s">
        <v>2631</v>
      </c>
      <c r="C1096" s="1">
        <v>121</v>
      </c>
      <c r="D1096" s="1" t="s">
        <v>7</v>
      </c>
      <c r="E1096" s="1" t="s">
        <v>6</v>
      </c>
      <c r="F1096" s="1" t="s">
        <v>139</v>
      </c>
      <c r="G1096" s="1" t="s">
        <v>9191</v>
      </c>
      <c r="H1096" s="1" t="s">
        <v>5</v>
      </c>
      <c r="I1096" s="17">
        <v>37987</v>
      </c>
    </row>
    <row r="1097" spans="1:10">
      <c r="A1097" s="16" t="s">
        <v>10701</v>
      </c>
      <c r="B1097" s="1" t="s">
        <v>2631</v>
      </c>
      <c r="C1097" s="1">
        <v>121</v>
      </c>
      <c r="D1097" s="1" t="s">
        <v>7</v>
      </c>
      <c r="E1097" s="1" t="s">
        <v>6</v>
      </c>
      <c r="F1097" s="1" t="s">
        <v>139</v>
      </c>
      <c r="G1097" s="1" t="s">
        <v>9191</v>
      </c>
      <c r="H1097" s="1" t="s">
        <v>5</v>
      </c>
      <c r="I1097" s="17">
        <v>37987</v>
      </c>
    </row>
    <row r="1098" spans="1:10">
      <c r="A1098" s="16" t="s">
        <v>10702</v>
      </c>
      <c r="B1098" s="1" t="s">
        <v>2631</v>
      </c>
      <c r="C1098" s="1">
        <v>121</v>
      </c>
      <c r="D1098" s="1" t="s">
        <v>7</v>
      </c>
      <c r="E1098" s="1" t="s">
        <v>6</v>
      </c>
      <c r="F1098" s="1" t="s">
        <v>139</v>
      </c>
      <c r="G1098" s="1" t="s">
        <v>9191</v>
      </c>
      <c r="H1098" s="1" t="s">
        <v>5</v>
      </c>
      <c r="I1098" s="17">
        <v>37987</v>
      </c>
    </row>
    <row r="1099" spans="1:10">
      <c r="A1099" s="16" t="s">
        <v>10703</v>
      </c>
      <c r="B1099" s="1" t="s">
        <v>2631</v>
      </c>
      <c r="C1099" s="1">
        <v>121</v>
      </c>
      <c r="D1099" s="1" t="s">
        <v>7</v>
      </c>
      <c r="E1099" s="1" t="s">
        <v>6</v>
      </c>
      <c r="F1099" s="1" t="s">
        <v>139</v>
      </c>
      <c r="G1099" s="1" t="s">
        <v>9191</v>
      </c>
      <c r="H1099" s="1" t="s">
        <v>5</v>
      </c>
      <c r="I1099" s="17">
        <v>37987</v>
      </c>
    </row>
    <row r="1100" spans="1:10">
      <c r="A1100" s="16" t="s">
        <v>10707</v>
      </c>
      <c r="B1100" s="1" t="s">
        <v>2631</v>
      </c>
      <c r="C1100" s="1">
        <v>121</v>
      </c>
      <c r="D1100" s="1" t="s">
        <v>7</v>
      </c>
      <c r="E1100" s="1" t="s">
        <v>6</v>
      </c>
      <c r="F1100" s="1" t="s">
        <v>139</v>
      </c>
      <c r="G1100" s="1" t="s">
        <v>10705</v>
      </c>
      <c r="H1100" s="1" t="s">
        <v>44</v>
      </c>
      <c r="I1100" s="17">
        <v>37987</v>
      </c>
    </row>
    <row r="1101" spans="1:10">
      <c r="A1101" s="16" t="s">
        <v>10708</v>
      </c>
      <c r="B1101" s="1" t="s">
        <v>2631</v>
      </c>
      <c r="C1101" s="1">
        <v>121</v>
      </c>
      <c r="D1101" s="1" t="s">
        <v>7</v>
      </c>
      <c r="E1101" s="1" t="s">
        <v>6</v>
      </c>
      <c r="F1101" s="1" t="s">
        <v>139</v>
      </c>
      <c r="G1101" s="1" t="s">
        <v>1475</v>
      </c>
      <c r="H1101" s="1" t="s">
        <v>5</v>
      </c>
      <c r="I1101" s="17">
        <v>37622</v>
      </c>
    </row>
    <row r="1102" spans="1:10">
      <c r="A1102" s="16" t="s">
        <v>10709</v>
      </c>
      <c r="B1102" s="1" t="s">
        <v>2631</v>
      </c>
      <c r="C1102" s="1">
        <v>121</v>
      </c>
      <c r="D1102" s="1" t="s">
        <v>7</v>
      </c>
      <c r="E1102" s="1" t="s">
        <v>6</v>
      </c>
      <c r="F1102" s="1" t="s">
        <v>139</v>
      </c>
      <c r="G1102" s="1" t="s">
        <v>1475</v>
      </c>
      <c r="H1102" s="1" t="s">
        <v>5</v>
      </c>
      <c r="I1102" s="17">
        <v>37622</v>
      </c>
    </row>
    <row r="1103" spans="1:10">
      <c r="A1103" s="16" t="s">
        <v>10719</v>
      </c>
      <c r="B1103" s="1" t="s">
        <v>2631</v>
      </c>
      <c r="C1103" s="1">
        <v>121</v>
      </c>
      <c r="D1103" s="1" t="s">
        <v>7</v>
      </c>
      <c r="E1103" s="1" t="s">
        <v>6</v>
      </c>
      <c r="F1103" s="1" t="s">
        <v>5033</v>
      </c>
      <c r="G1103" s="1" t="s">
        <v>10720</v>
      </c>
      <c r="H1103" s="1" t="s">
        <v>5</v>
      </c>
      <c r="I1103" s="17">
        <v>40179</v>
      </c>
    </row>
    <row r="1104" spans="1:10">
      <c r="A1104" s="16" t="s">
        <v>10821</v>
      </c>
      <c r="B1104" s="1" t="s">
        <v>2631</v>
      </c>
      <c r="C1104" s="1">
        <v>121</v>
      </c>
      <c r="D1104" s="1" t="s">
        <v>7</v>
      </c>
      <c r="E1104" s="1" t="s">
        <v>6</v>
      </c>
      <c r="F1104" s="1" t="s">
        <v>5091</v>
      </c>
      <c r="G1104" s="1" t="s">
        <v>4803</v>
      </c>
      <c r="H1104" s="1" t="s">
        <v>5</v>
      </c>
      <c r="I1104" s="17">
        <v>42262</v>
      </c>
    </row>
    <row r="1105" spans="1:9">
      <c r="A1105" s="16" t="s">
        <v>10824</v>
      </c>
      <c r="B1105" s="1" t="s">
        <v>2631</v>
      </c>
      <c r="C1105" s="1">
        <v>121</v>
      </c>
      <c r="D1105" s="1" t="s">
        <v>7</v>
      </c>
      <c r="E1105" s="1" t="s">
        <v>6</v>
      </c>
      <c r="F1105" s="1" t="s">
        <v>5091</v>
      </c>
      <c r="G1105" s="1" t="s">
        <v>6145</v>
      </c>
      <c r="H1105" s="1" t="s">
        <v>43</v>
      </c>
      <c r="I1105" s="17">
        <v>42270</v>
      </c>
    </row>
    <row r="1106" spans="1:9">
      <c r="A1106" s="16" t="s">
        <v>10827</v>
      </c>
      <c r="B1106" s="1" t="s">
        <v>2631</v>
      </c>
      <c r="C1106" s="1">
        <v>121</v>
      </c>
      <c r="D1106" s="1" t="s">
        <v>7</v>
      </c>
      <c r="E1106" s="1" t="s">
        <v>6</v>
      </c>
      <c r="F1106" s="1" t="s">
        <v>5091</v>
      </c>
      <c r="G1106" s="1" t="s">
        <v>6145</v>
      </c>
      <c r="H1106" s="1" t="s">
        <v>43</v>
      </c>
      <c r="I1106" s="17">
        <v>42270</v>
      </c>
    </row>
    <row r="1107" spans="1:9">
      <c r="A1107" s="16" t="s">
        <v>10828</v>
      </c>
      <c r="B1107" s="1" t="s">
        <v>2631</v>
      </c>
      <c r="C1107" s="1">
        <v>121</v>
      </c>
      <c r="D1107" s="1" t="s">
        <v>7</v>
      </c>
      <c r="E1107" s="1" t="s">
        <v>6</v>
      </c>
      <c r="F1107" s="1" t="s">
        <v>5091</v>
      </c>
      <c r="G1107" s="1" t="s">
        <v>4803</v>
      </c>
      <c r="H1107" s="1" t="s">
        <v>5</v>
      </c>
      <c r="I1107" s="17">
        <v>42270</v>
      </c>
    </row>
    <row r="1108" spans="1:9">
      <c r="A1108" s="16" t="s">
        <v>10829</v>
      </c>
      <c r="B1108" s="1" t="s">
        <v>2631</v>
      </c>
      <c r="C1108" s="1">
        <v>121</v>
      </c>
      <c r="D1108" s="1" t="s">
        <v>7</v>
      </c>
      <c r="E1108" s="1" t="s">
        <v>6</v>
      </c>
      <c r="F1108" s="1" t="s">
        <v>5091</v>
      </c>
      <c r="G1108" s="1" t="s">
        <v>6145</v>
      </c>
      <c r="H1108" s="1" t="s">
        <v>43</v>
      </c>
      <c r="I1108" s="17">
        <v>42270</v>
      </c>
    </row>
    <row r="1109" spans="1:9">
      <c r="A1109" s="16" t="s">
        <v>10830</v>
      </c>
      <c r="B1109" s="1" t="s">
        <v>2631</v>
      </c>
      <c r="C1109" s="1">
        <v>121</v>
      </c>
      <c r="D1109" s="1" t="s">
        <v>7</v>
      </c>
      <c r="E1109" s="1" t="s">
        <v>6</v>
      </c>
      <c r="F1109" s="1" t="s">
        <v>5091</v>
      </c>
      <c r="G1109" s="1" t="s">
        <v>6145</v>
      </c>
      <c r="H1109" s="1" t="s">
        <v>43</v>
      </c>
      <c r="I1109" s="17">
        <v>42270</v>
      </c>
    </row>
    <row r="1110" spans="1:9">
      <c r="A1110" s="16" t="s">
        <v>10831</v>
      </c>
      <c r="B1110" s="1" t="s">
        <v>2631</v>
      </c>
      <c r="C1110" s="1">
        <v>121</v>
      </c>
      <c r="D1110" s="1" t="s">
        <v>7</v>
      </c>
      <c r="E1110" s="1" t="s">
        <v>6</v>
      </c>
      <c r="F1110" s="1" t="s">
        <v>5091</v>
      </c>
      <c r="G1110" s="1" t="s">
        <v>6145</v>
      </c>
      <c r="H1110" s="1" t="s">
        <v>43</v>
      </c>
      <c r="I1110" s="17">
        <v>42270</v>
      </c>
    </row>
    <row r="1111" spans="1:9">
      <c r="A1111" s="16" t="s">
        <v>10832</v>
      </c>
      <c r="B1111" s="1" t="s">
        <v>2631</v>
      </c>
      <c r="C1111" s="1">
        <v>121</v>
      </c>
      <c r="D1111" s="1" t="s">
        <v>7</v>
      </c>
      <c r="E1111" s="1" t="s">
        <v>6</v>
      </c>
      <c r="F1111" s="1" t="s">
        <v>5091</v>
      </c>
      <c r="G1111" s="1" t="s">
        <v>6145</v>
      </c>
      <c r="H1111" s="1" t="s">
        <v>43</v>
      </c>
      <c r="I1111" s="17">
        <v>42270</v>
      </c>
    </row>
    <row r="1112" spans="1:9">
      <c r="A1112" s="16" t="s">
        <v>10833</v>
      </c>
      <c r="B1112" s="1" t="s">
        <v>2631</v>
      </c>
      <c r="C1112" s="1">
        <v>121</v>
      </c>
      <c r="D1112" s="1" t="s">
        <v>7</v>
      </c>
      <c r="E1112" s="1" t="s">
        <v>6</v>
      </c>
      <c r="F1112" s="1" t="s">
        <v>5091</v>
      </c>
      <c r="G1112" s="1" t="s">
        <v>6145</v>
      </c>
      <c r="H1112" s="1" t="s">
        <v>43</v>
      </c>
      <c r="I1112" s="17">
        <v>42270</v>
      </c>
    </row>
    <row r="1113" spans="1:9">
      <c r="A1113" s="16" t="s">
        <v>10834</v>
      </c>
      <c r="B1113" s="1" t="s">
        <v>2631</v>
      </c>
      <c r="C1113" s="1">
        <v>121</v>
      </c>
      <c r="D1113" s="1" t="s">
        <v>7</v>
      </c>
      <c r="E1113" s="1" t="s">
        <v>6</v>
      </c>
      <c r="F1113" s="1" t="s">
        <v>5091</v>
      </c>
      <c r="G1113" s="1" t="s">
        <v>6145</v>
      </c>
      <c r="H1113" s="1" t="s">
        <v>43</v>
      </c>
      <c r="I1113" s="17">
        <v>42270</v>
      </c>
    </row>
    <row r="1114" spans="1:9">
      <c r="A1114" s="16" t="s">
        <v>10835</v>
      </c>
      <c r="B1114" s="1" t="s">
        <v>2631</v>
      </c>
      <c r="C1114" s="1">
        <v>121</v>
      </c>
      <c r="D1114" s="1" t="s">
        <v>7</v>
      </c>
      <c r="E1114" s="1" t="s">
        <v>6</v>
      </c>
      <c r="F1114" s="1" t="s">
        <v>5091</v>
      </c>
      <c r="G1114" s="1" t="s">
        <v>6145</v>
      </c>
      <c r="H1114" s="1" t="s">
        <v>43</v>
      </c>
      <c r="I1114" s="17">
        <v>42270</v>
      </c>
    </row>
    <row r="1115" spans="1:9">
      <c r="A1115" s="16" t="s">
        <v>10841</v>
      </c>
      <c r="B1115" s="1" t="s">
        <v>2631</v>
      </c>
      <c r="C1115" s="1">
        <v>121</v>
      </c>
      <c r="D1115" s="1" t="s">
        <v>7</v>
      </c>
      <c r="E1115" s="1" t="s">
        <v>6</v>
      </c>
      <c r="F1115" s="1" t="s">
        <v>5091</v>
      </c>
      <c r="G1115" s="1" t="s">
        <v>6145</v>
      </c>
      <c r="H1115" s="1" t="s">
        <v>43</v>
      </c>
      <c r="I1115" s="17">
        <v>42276</v>
      </c>
    </row>
    <row r="1116" spans="1:9">
      <c r="A1116" s="16" t="s">
        <v>10874</v>
      </c>
      <c r="B1116" s="1" t="s">
        <v>2631</v>
      </c>
      <c r="C1116" s="1">
        <v>121</v>
      </c>
      <c r="D1116" s="1" t="s">
        <v>7</v>
      </c>
      <c r="E1116" s="1" t="s">
        <v>6</v>
      </c>
      <c r="F1116" s="1" t="s">
        <v>5091</v>
      </c>
      <c r="G1116" s="1" t="s">
        <v>6307</v>
      </c>
      <c r="H1116" s="1" t="s">
        <v>44</v>
      </c>
      <c r="I1116" s="17">
        <v>42262</v>
      </c>
    </row>
    <row r="1117" spans="1:9">
      <c r="A1117" s="16" t="s">
        <v>10875</v>
      </c>
      <c r="B1117" s="1" t="s">
        <v>2631</v>
      </c>
      <c r="C1117" s="1">
        <v>121</v>
      </c>
      <c r="D1117" s="1" t="s">
        <v>7</v>
      </c>
      <c r="E1117" s="1" t="s">
        <v>6</v>
      </c>
      <c r="F1117" s="1" t="s">
        <v>5091</v>
      </c>
      <c r="G1117" s="1" t="s">
        <v>6307</v>
      </c>
      <c r="H1117" s="1" t="s">
        <v>44</v>
      </c>
      <c r="I1117" s="17">
        <v>42262</v>
      </c>
    </row>
    <row r="1118" spans="1:9">
      <c r="A1118" s="16" t="s">
        <v>10893</v>
      </c>
      <c r="B1118" s="1" t="s">
        <v>2631</v>
      </c>
      <c r="C1118" s="1">
        <v>121</v>
      </c>
      <c r="D1118" s="1" t="s">
        <v>7</v>
      </c>
      <c r="E1118" s="1" t="s">
        <v>6</v>
      </c>
      <c r="F1118" s="1" t="s">
        <v>5091</v>
      </c>
      <c r="G1118" s="1" t="s">
        <v>6145</v>
      </c>
      <c r="H1118" s="1" t="s">
        <v>43</v>
      </c>
      <c r="I1118" s="17">
        <v>42283</v>
      </c>
    </row>
    <row r="1119" spans="1:9">
      <c r="A1119" s="16" t="s">
        <v>10894</v>
      </c>
      <c r="B1119" s="1" t="s">
        <v>2631</v>
      </c>
      <c r="C1119" s="1">
        <v>121</v>
      </c>
      <c r="D1119" s="1" t="s">
        <v>7</v>
      </c>
      <c r="E1119" s="1" t="s">
        <v>6</v>
      </c>
      <c r="F1119" s="1" t="s">
        <v>5091</v>
      </c>
      <c r="G1119" s="1" t="s">
        <v>6145</v>
      </c>
      <c r="H1119" s="1" t="s">
        <v>43</v>
      </c>
      <c r="I1119" s="17">
        <v>42283</v>
      </c>
    </row>
    <row r="1120" spans="1:9">
      <c r="A1120" s="16" t="s">
        <v>10895</v>
      </c>
      <c r="B1120" s="1" t="s">
        <v>2631</v>
      </c>
      <c r="C1120" s="1">
        <v>121</v>
      </c>
      <c r="D1120" s="1" t="s">
        <v>7</v>
      </c>
      <c r="E1120" s="1" t="s">
        <v>6</v>
      </c>
      <c r="F1120" s="1" t="s">
        <v>5091</v>
      </c>
      <c r="G1120" s="1" t="s">
        <v>6145</v>
      </c>
      <c r="H1120" s="1" t="s">
        <v>43</v>
      </c>
      <c r="I1120" s="17">
        <v>42283</v>
      </c>
    </row>
    <row r="1121" spans="1:9">
      <c r="A1121" s="16" t="s">
        <v>10896</v>
      </c>
      <c r="B1121" s="1" t="s">
        <v>2631</v>
      </c>
      <c r="C1121" s="1">
        <v>121</v>
      </c>
      <c r="D1121" s="1" t="s">
        <v>7</v>
      </c>
      <c r="E1121" s="1" t="s">
        <v>6</v>
      </c>
      <c r="F1121" s="1" t="s">
        <v>5091</v>
      </c>
      <c r="G1121" s="1" t="s">
        <v>6145</v>
      </c>
      <c r="H1121" s="1" t="s">
        <v>43</v>
      </c>
      <c r="I1121" s="17">
        <v>42283</v>
      </c>
    </row>
    <row r="1122" spans="1:9">
      <c r="A1122" s="16" t="s">
        <v>10897</v>
      </c>
      <c r="B1122" s="1" t="s">
        <v>2631</v>
      </c>
      <c r="C1122" s="1">
        <v>121</v>
      </c>
      <c r="D1122" s="1" t="s">
        <v>7</v>
      </c>
      <c r="E1122" s="1" t="s">
        <v>6</v>
      </c>
      <c r="F1122" s="1" t="s">
        <v>5091</v>
      </c>
      <c r="G1122" s="1" t="s">
        <v>6145</v>
      </c>
      <c r="H1122" s="1" t="s">
        <v>43</v>
      </c>
      <c r="I1122" s="17">
        <v>42283</v>
      </c>
    </row>
    <row r="1123" spans="1:9">
      <c r="A1123" s="16" t="s">
        <v>10898</v>
      </c>
      <c r="B1123" s="1" t="s">
        <v>2631</v>
      </c>
      <c r="C1123" s="1">
        <v>121</v>
      </c>
      <c r="D1123" s="1" t="s">
        <v>7</v>
      </c>
      <c r="E1123" s="1" t="s">
        <v>6</v>
      </c>
      <c r="F1123" s="1" t="s">
        <v>5091</v>
      </c>
      <c r="G1123" s="1" t="s">
        <v>6145</v>
      </c>
      <c r="H1123" s="1" t="s">
        <v>43</v>
      </c>
      <c r="I1123" s="17">
        <v>42283</v>
      </c>
    </row>
    <row r="1124" spans="1:9">
      <c r="A1124" s="16" t="s">
        <v>10899</v>
      </c>
      <c r="B1124" s="1" t="s">
        <v>2631</v>
      </c>
      <c r="C1124" s="1">
        <v>121</v>
      </c>
      <c r="D1124" s="1" t="s">
        <v>7</v>
      </c>
      <c r="E1124" s="1" t="s">
        <v>6</v>
      </c>
      <c r="F1124" s="1" t="s">
        <v>5091</v>
      </c>
      <c r="G1124" s="1" t="s">
        <v>6145</v>
      </c>
      <c r="H1124" s="1" t="s">
        <v>43</v>
      </c>
      <c r="I1124" s="17">
        <v>42283</v>
      </c>
    </row>
    <row r="1125" spans="1:9">
      <c r="A1125" s="16" t="s">
        <v>10901</v>
      </c>
      <c r="B1125" s="1" t="s">
        <v>2631</v>
      </c>
      <c r="C1125" s="1">
        <v>121</v>
      </c>
      <c r="D1125" s="1" t="s">
        <v>7</v>
      </c>
      <c r="E1125" s="1" t="s">
        <v>6</v>
      </c>
      <c r="F1125" s="1" t="s">
        <v>5091</v>
      </c>
      <c r="G1125" s="1" t="s">
        <v>6145</v>
      </c>
      <c r="H1125" s="1" t="s">
        <v>43</v>
      </c>
      <c r="I1125" s="17">
        <v>42283</v>
      </c>
    </row>
    <row r="1126" spans="1:9">
      <c r="A1126" s="16" t="s">
        <v>10902</v>
      </c>
      <c r="B1126" s="1" t="s">
        <v>2631</v>
      </c>
      <c r="C1126" s="1">
        <v>121</v>
      </c>
      <c r="D1126" s="1" t="s">
        <v>7</v>
      </c>
      <c r="E1126" s="1" t="s">
        <v>6</v>
      </c>
      <c r="F1126" s="1" t="s">
        <v>5091</v>
      </c>
      <c r="G1126" s="1" t="s">
        <v>6145</v>
      </c>
      <c r="H1126" s="1" t="s">
        <v>43</v>
      </c>
      <c r="I1126" s="17">
        <v>42283</v>
      </c>
    </row>
    <row r="1127" spans="1:9">
      <c r="A1127" s="16" t="s">
        <v>10904</v>
      </c>
      <c r="B1127" s="1" t="s">
        <v>2631</v>
      </c>
      <c r="C1127" s="1">
        <v>121</v>
      </c>
      <c r="D1127" s="1" t="s">
        <v>7</v>
      </c>
      <c r="E1127" s="1" t="s">
        <v>6</v>
      </c>
      <c r="F1127" s="1" t="s">
        <v>5091</v>
      </c>
      <c r="G1127" s="1" t="s">
        <v>6145</v>
      </c>
      <c r="H1127" s="1" t="s">
        <v>43</v>
      </c>
      <c r="I1127" s="17">
        <v>42283</v>
      </c>
    </row>
    <row r="1128" spans="1:9">
      <c r="A1128" s="16" t="s">
        <v>10905</v>
      </c>
      <c r="B1128" s="1" t="s">
        <v>2631</v>
      </c>
      <c r="C1128" s="1">
        <v>121</v>
      </c>
      <c r="D1128" s="1" t="s">
        <v>7</v>
      </c>
      <c r="E1128" s="1" t="s">
        <v>6</v>
      </c>
      <c r="F1128" s="1" t="s">
        <v>5091</v>
      </c>
      <c r="G1128" s="1" t="s">
        <v>6145</v>
      </c>
      <c r="H1128" s="1" t="s">
        <v>43</v>
      </c>
      <c r="I1128" s="17">
        <v>42283</v>
      </c>
    </row>
    <row r="1129" spans="1:9">
      <c r="A1129" s="16" t="s">
        <v>10906</v>
      </c>
      <c r="B1129" s="1" t="s">
        <v>2631</v>
      </c>
      <c r="C1129" s="1">
        <v>121</v>
      </c>
      <c r="D1129" s="1" t="s">
        <v>7</v>
      </c>
      <c r="E1129" s="1" t="s">
        <v>6</v>
      </c>
      <c r="F1129" s="1" t="s">
        <v>5091</v>
      </c>
      <c r="G1129" s="1" t="s">
        <v>6145</v>
      </c>
      <c r="H1129" s="1" t="s">
        <v>43</v>
      </c>
      <c r="I1129" s="17">
        <v>42283</v>
      </c>
    </row>
    <row r="1130" spans="1:9">
      <c r="A1130" s="16" t="s">
        <v>10907</v>
      </c>
      <c r="B1130" s="1" t="s">
        <v>2631</v>
      </c>
      <c r="C1130" s="1">
        <v>121</v>
      </c>
      <c r="D1130" s="1" t="s">
        <v>7</v>
      </c>
      <c r="E1130" s="1" t="s">
        <v>6</v>
      </c>
      <c r="F1130" s="1" t="s">
        <v>5091</v>
      </c>
      <c r="G1130" s="1" t="s">
        <v>6145</v>
      </c>
      <c r="H1130" s="1" t="s">
        <v>43</v>
      </c>
      <c r="I1130" s="17">
        <v>42283</v>
      </c>
    </row>
    <row r="1131" spans="1:9">
      <c r="A1131" s="16" t="s">
        <v>10908</v>
      </c>
      <c r="B1131" s="1" t="s">
        <v>2631</v>
      </c>
      <c r="C1131" s="1">
        <v>121</v>
      </c>
      <c r="D1131" s="1" t="s">
        <v>7</v>
      </c>
      <c r="E1131" s="1" t="s">
        <v>6</v>
      </c>
      <c r="F1131" s="1" t="s">
        <v>5091</v>
      </c>
      <c r="G1131" s="1" t="s">
        <v>6145</v>
      </c>
      <c r="H1131" s="1" t="s">
        <v>43</v>
      </c>
      <c r="I1131" s="17">
        <v>42283</v>
      </c>
    </row>
    <row r="1132" spans="1:9">
      <c r="A1132" s="16" t="s">
        <v>10909</v>
      </c>
      <c r="B1132" s="1" t="s">
        <v>2631</v>
      </c>
      <c r="C1132" s="1">
        <v>121</v>
      </c>
      <c r="D1132" s="1" t="s">
        <v>7</v>
      </c>
      <c r="E1132" s="1" t="s">
        <v>6</v>
      </c>
      <c r="F1132" s="1" t="s">
        <v>5091</v>
      </c>
      <c r="G1132" s="1" t="s">
        <v>6145</v>
      </c>
      <c r="H1132" s="1" t="s">
        <v>43</v>
      </c>
      <c r="I1132" s="17">
        <v>42283</v>
      </c>
    </row>
    <row r="1133" spans="1:9">
      <c r="A1133" s="16" t="s">
        <v>10910</v>
      </c>
      <c r="B1133" s="1" t="s">
        <v>2631</v>
      </c>
      <c r="C1133" s="1">
        <v>121</v>
      </c>
      <c r="D1133" s="1" t="s">
        <v>7</v>
      </c>
      <c r="E1133" s="1" t="s">
        <v>6</v>
      </c>
      <c r="F1133" s="1" t="s">
        <v>5091</v>
      </c>
      <c r="G1133" s="1" t="s">
        <v>6145</v>
      </c>
      <c r="H1133" s="1" t="s">
        <v>43</v>
      </c>
      <c r="I1133" s="17">
        <v>42283</v>
      </c>
    </row>
    <row r="1134" spans="1:9">
      <c r="A1134" s="16" t="s">
        <v>10911</v>
      </c>
      <c r="B1134" s="1" t="s">
        <v>2631</v>
      </c>
      <c r="C1134" s="1">
        <v>121</v>
      </c>
      <c r="D1134" s="1" t="s">
        <v>7</v>
      </c>
      <c r="E1134" s="1" t="s">
        <v>6</v>
      </c>
      <c r="F1134" s="1" t="s">
        <v>5091</v>
      </c>
      <c r="G1134" s="1" t="s">
        <v>6145</v>
      </c>
      <c r="H1134" s="1" t="s">
        <v>43</v>
      </c>
      <c r="I1134" s="17">
        <v>42283</v>
      </c>
    </row>
    <row r="1135" spans="1:9">
      <c r="A1135" s="16" t="s">
        <v>10912</v>
      </c>
      <c r="B1135" s="1" t="s">
        <v>2631</v>
      </c>
      <c r="C1135" s="1">
        <v>121</v>
      </c>
      <c r="D1135" s="1" t="s">
        <v>7</v>
      </c>
      <c r="E1135" s="1" t="s">
        <v>6</v>
      </c>
      <c r="F1135" s="1" t="s">
        <v>5091</v>
      </c>
      <c r="G1135" s="1" t="s">
        <v>6145</v>
      </c>
      <c r="H1135" s="1" t="s">
        <v>43</v>
      </c>
      <c r="I1135" s="17">
        <v>42283</v>
      </c>
    </row>
    <row r="1136" spans="1:9">
      <c r="A1136" s="16" t="s">
        <v>10913</v>
      </c>
      <c r="B1136" s="1" t="s">
        <v>2631</v>
      </c>
      <c r="C1136" s="1">
        <v>121</v>
      </c>
      <c r="D1136" s="1" t="s">
        <v>7</v>
      </c>
      <c r="E1136" s="1" t="s">
        <v>6</v>
      </c>
      <c r="F1136" s="1" t="s">
        <v>5091</v>
      </c>
      <c r="G1136" s="1" t="s">
        <v>6145</v>
      </c>
      <c r="H1136" s="1" t="s">
        <v>43</v>
      </c>
      <c r="I1136" s="17">
        <v>42283</v>
      </c>
    </row>
    <row r="1137" spans="1:10">
      <c r="A1137" s="16" t="s">
        <v>10915</v>
      </c>
      <c r="B1137" s="1" t="s">
        <v>2631</v>
      </c>
      <c r="C1137" s="1">
        <v>121</v>
      </c>
      <c r="D1137" s="1" t="s">
        <v>7</v>
      </c>
      <c r="E1137" s="1" t="s">
        <v>6</v>
      </c>
      <c r="F1137" s="1" t="s">
        <v>5091</v>
      </c>
      <c r="G1137" s="1" t="s">
        <v>6145</v>
      </c>
      <c r="H1137" s="1" t="s">
        <v>43</v>
      </c>
      <c r="I1137" s="17">
        <v>42283</v>
      </c>
    </row>
    <row r="1138" spans="1:10">
      <c r="A1138" s="16" t="s">
        <v>10916</v>
      </c>
      <c r="B1138" s="1" t="s">
        <v>2631</v>
      </c>
      <c r="C1138" s="1">
        <v>121</v>
      </c>
      <c r="D1138" s="1" t="s">
        <v>7</v>
      </c>
      <c r="E1138" s="1" t="s">
        <v>6</v>
      </c>
      <c r="F1138" s="1" t="s">
        <v>5091</v>
      </c>
      <c r="G1138" s="1" t="s">
        <v>6145</v>
      </c>
      <c r="H1138" s="1" t="s">
        <v>43</v>
      </c>
      <c r="I1138" s="17">
        <v>42283</v>
      </c>
    </row>
    <row r="1139" spans="1:10">
      <c r="A1139" s="16" t="s">
        <v>10918</v>
      </c>
      <c r="B1139" s="1" t="s">
        <v>2631</v>
      </c>
      <c r="C1139" s="1">
        <v>121</v>
      </c>
      <c r="D1139" s="1" t="s">
        <v>7</v>
      </c>
      <c r="E1139" s="1" t="s">
        <v>6</v>
      </c>
      <c r="F1139" s="1" t="s">
        <v>5091</v>
      </c>
      <c r="G1139" s="1" t="s">
        <v>6145</v>
      </c>
      <c r="H1139" s="1" t="s">
        <v>43</v>
      </c>
      <c r="I1139" s="17">
        <v>42283</v>
      </c>
    </row>
    <row r="1140" spans="1:10">
      <c r="A1140" s="16" t="s">
        <v>10920</v>
      </c>
      <c r="B1140" s="1" t="s">
        <v>2631</v>
      </c>
      <c r="C1140" s="1">
        <v>121</v>
      </c>
      <c r="D1140" s="1" t="s">
        <v>7</v>
      </c>
      <c r="E1140" s="1" t="s">
        <v>6</v>
      </c>
      <c r="F1140" s="1" t="s">
        <v>5091</v>
      </c>
      <c r="G1140" s="1" t="s">
        <v>6145</v>
      </c>
      <c r="H1140" s="1" t="s">
        <v>43</v>
      </c>
      <c r="I1140" s="17">
        <v>42283</v>
      </c>
    </row>
    <row r="1141" spans="1:10">
      <c r="A1141" s="16" t="s">
        <v>10930</v>
      </c>
      <c r="B1141" s="1" t="s">
        <v>2631</v>
      </c>
      <c r="C1141" s="1">
        <v>121</v>
      </c>
      <c r="D1141" s="1" t="s">
        <v>7</v>
      </c>
      <c r="E1141" s="1" t="s">
        <v>6</v>
      </c>
      <c r="F1141" s="1" t="s">
        <v>5091</v>
      </c>
      <c r="G1141" s="1" t="s">
        <v>6145</v>
      </c>
      <c r="H1141" s="1" t="s">
        <v>43</v>
      </c>
      <c r="I1141" s="17">
        <v>42289</v>
      </c>
    </row>
    <row r="1142" spans="1:10">
      <c r="A1142" s="16" t="s">
        <v>10934</v>
      </c>
      <c r="B1142" s="1" t="s">
        <v>2631</v>
      </c>
      <c r="C1142" s="1">
        <v>121</v>
      </c>
      <c r="D1142" s="1" t="s">
        <v>7</v>
      </c>
      <c r="E1142" s="1" t="s">
        <v>6</v>
      </c>
      <c r="F1142" s="1" t="s">
        <v>5091</v>
      </c>
      <c r="G1142" s="1" t="s">
        <v>6145</v>
      </c>
      <c r="H1142" s="1" t="s">
        <v>43</v>
      </c>
      <c r="I1142" s="17">
        <v>42290</v>
      </c>
    </row>
    <row r="1143" spans="1:10">
      <c r="A1143" s="16" t="s">
        <v>10939</v>
      </c>
      <c r="B1143" s="1" t="s">
        <v>2631</v>
      </c>
      <c r="C1143" s="1">
        <v>121</v>
      </c>
      <c r="D1143" s="1" t="s">
        <v>7</v>
      </c>
      <c r="E1143" s="1" t="s">
        <v>6</v>
      </c>
      <c r="F1143" s="1" t="s">
        <v>5091</v>
      </c>
      <c r="G1143" s="1" t="s">
        <v>6145</v>
      </c>
      <c r="H1143" s="1" t="s">
        <v>43</v>
      </c>
      <c r="I1143" s="17">
        <v>42270</v>
      </c>
    </row>
    <row r="1144" spans="1:10">
      <c r="A1144" s="16" t="s">
        <v>10940</v>
      </c>
      <c r="B1144" s="1" t="s">
        <v>2631</v>
      </c>
      <c r="C1144" s="1">
        <v>121</v>
      </c>
      <c r="D1144" s="1" t="s">
        <v>7</v>
      </c>
      <c r="E1144" s="1" t="s">
        <v>6</v>
      </c>
      <c r="F1144" s="1" t="s">
        <v>5091</v>
      </c>
      <c r="G1144" s="1" t="s">
        <v>6145</v>
      </c>
      <c r="H1144" s="1" t="s">
        <v>43</v>
      </c>
      <c r="I1144" s="17">
        <v>42270</v>
      </c>
    </row>
    <row r="1145" spans="1:10">
      <c r="A1145" s="16" t="s">
        <v>10941</v>
      </c>
      <c r="B1145" s="1" t="s">
        <v>2631</v>
      </c>
      <c r="C1145" s="1">
        <v>121</v>
      </c>
      <c r="D1145" s="1" t="s">
        <v>7</v>
      </c>
      <c r="E1145" s="1" t="s">
        <v>6</v>
      </c>
      <c r="F1145" s="1" t="s">
        <v>5091</v>
      </c>
      <c r="G1145" s="1" t="s">
        <v>4803</v>
      </c>
      <c r="H1145" s="1" t="s">
        <v>5</v>
      </c>
      <c r="I1145" s="17">
        <v>42276</v>
      </c>
    </row>
    <row r="1146" spans="1:10">
      <c r="A1146" s="16" t="s">
        <v>10942</v>
      </c>
      <c r="B1146" s="1" t="s">
        <v>2631</v>
      </c>
      <c r="C1146" s="1">
        <v>121</v>
      </c>
      <c r="D1146" s="1" t="s">
        <v>7</v>
      </c>
      <c r="E1146" s="1" t="s">
        <v>6</v>
      </c>
      <c r="F1146" s="1" t="s">
        <v>5091</v>
      </c>
      <c r="G1146" s="1" t="s">
        <v>4803</v>
      </c>
      <c r="H1146" s="1" t="s">
        <v>5</v>
      </c>
      <c r="I1146" s="17">
        <v>42276</v>
      </c>
    </row>
    <row r="1147" spans="1:10">
      <c r="A1147" s="16" t="s">
        <v>10944</v>
      </c>
      <c r="B1147" s="1" t="s">
        <v>2631</v>
      </c>
      <c r="C1147" s="1">
        <v>121</v>
      </c>
      <c r="D1147" s="1" t="s">
        <v>7</v>
      </c>
      <c r="E1147" s="1" t="s">
        <v>6</v>
      </c>
      <c r="F1147" s="1" t="s">
        <v>5091</v>
      </c>
      <c r="G1147" s="1" t="s">
        <v>4803</v>
      </c>
      <c r="H1147" s="1" t="s">
        <v>5</v>
      </c>
      <c r="I1147" s="17">
        <v>42276</v>
      </c>
    </row>
    <row r="1148" spans="1:10">
      <c r="A1148" s="16" t="s">
        <v>10945</v>
      </c>
      <c r="B1148" s="1" t="s">
        <v>2631</v>
      </c>
      <c r="C1148" s="1">
        <v>121</v>
      </c>
      <c r="D1148" s="1" t="s">
        <v>7</v>
      </c>
      <c r="E1148" s="1" t="s">
        <v>6</v>
      </c>
      <c r="F1148" s="1" t="s">
        <v>5091</v>
      </c>
      <c r="G1148" s="1" t="s">
        <v>4803</v>
      </c>
      <c r="H1148" s="1" t="s">
        <v>5</v>
      </c>
      <c r="I1148" s="17">
        <v>42276</v>
      </c>
    </row>
    <row r="1149" spans="1:10">
      <c r="A1149" s="16" t="s">
        <v>10946</v>
      </c>
      <c r="B1149" s="1" t="s">
        <v>2631</v>
      </c>
      <c r="C1149" s="1">
        <v>121</v>
      </c>
      <c r="D1149" s="1" t="s">
        <v>7</v>
      </c>
      <c r="E1149" s="1" t="s">
        <v>6</v>
      </c>
      <c r="F1149" s="1" t="s">
        <v>5091</v>
      </c>
      <c r="G1149" s="1" t="s">
        <v>4803</v>
      </c>
      <c r="H1149" s="1" t="s">
        <v>5</v>
      </c>
      <c r="I1149" s="17">
        <v>42276</v>
      </c>
    </row>
    <row r="1150" spans="1:10">
      <c r="A1150" s="16" t="s">
        <v>10947</v>
      </c>
      <c r="B1150" s="1" t="s">
        <v>2631</v>
      </c>
      <c r="C1150" s="1">
        <v>121</v>
      </c>
      <c r="D1150" s="1" t="s">
        <v>7</v>
      </c>
      <c r="E1150" s="1" t="s">
        <v>6</v>
      </c>
      <c r="F1150" s="1" t="s">
        <v>5091</v>
      </c>
      <c r="G1150" s="1" t="s">
        <v>6145</v>
      </c>
      <c r="H1150" s="1" t="s">
        <v>43</v>
      </c>
      <c r="I1150" s="17">
        <v>42276</v>
      </c>
      <c r="J1150" s="11"/>
    </row>
    <row r="1151" spans="1:10">
      <c r="A1151" s="16" t="s">
        <v>10948</v>
      </c>
      <c r="B1151" s="1" t="s">
        <v>2631</v>
      </c>
      <c r="C1151" s="1">
        <v>121</v>
      </c>
      <c r="D1151" s="1" t="s">
        <v>7</v>
      </c>
      <c r="E1151" s="1" t="s">
        <v>6</v>
      </c>
      <c r="F1151" s="1" t="s">
        <v>5091</v>
      </c>
      <c r="G1151" s="1" t="s">
        <v>6145</v>
      </c>
      <c r="H1151" s="1" t="s">
        <v>43</v>
      </c>
      <c r="I1151" s="17">
        <v>42276</v>
      </c>
    </row>
    <row r="1152" spans="1:10">
      <c r="A1152" s="16" t="s">
        <v>10949</v>
      </c>
      <c r="B1152" s="1" t="s">
        <v>2631</v>
      </c>
      <c r="C1152" s="1">
        <v>121</v>
      </c>
      <c r="D1152" s="1" t="s">
        <v>7</v>
      </c>
      <c r="E1152" s="1" t="s">
        <v>6</v>
      </c>
      <c r="F1152" s="1" t="s">
        <v>5091</v>
      </c>
      <c r="G1152" s="1" t="s">
        <v>6145</v>
      </c>
      <c r="H1152" s="1" t="s">
        <v>43</v>
      </c>
      <c r="I1152" s="17">
        <v>42270</v>
      </c>
    </row>
    <row r="1153" spans="1:9">
      <c r="A1153" s="16" t="s">
        <v>10957</v>
      </c>
      <c r="B1153" s="1" t="s">
        <v>2631</v>
      </c>
      <c r="C1153" s="1">
        <v>121</v>
      </c>
      <c r="D1153" s="1" t="s">
        <v>7</v>
      </c>
      <c r="E1153" s="1" t="s">
        <v>6</v>
      </c>
      <c r="F1153" s="1" t="s">
        <v>5091</v>
      </c>
      <c r="G1153" s="1" t="s">
        <v>6145</v>
      </c>
      <c r="H1153" s="1" t="s">
        <v>43</v>
      </c>
      <c r="I1153" s="17">
        <v>42270</v>
      </c>
    </row>
    <row r="1154" spans="1:9">
      <c r="A1154" s="16" t="s">
        <v>10965</v>
      </c>
      <c r="B1154" s="1" t="s">
        <v>2631</v>
      </c>
      <c r="C1154" s="1">
        <v>121</v>
      </c>
      <c r="D1154" s="1" t="s">
        <v>7</v>
      </c>
      <c r="E1154" s="1" t="s">
        <v>6</v>
      </c>
      <c r="F1154" s="1" t="s">
        <v>5091</v>
      </c>
      <c r="G1154" s="1" t="s">
        <v>6145</v>
      </c>
      <c r="H1154" s="1" t="s">
        <v>43</v>
      </c>
      <c r="I1154" s="17">
        <v>42283</v>
      </c>
    </row>
    <row r="1155" spans="1:9">
      <c r="A1155" s="16" t="s">
        <v>10966</v>
      </c>
      <c r="B1155" s="1" t="s">
        <v>2631</v>
      </c>
      <c r="C1155" s="1">
        <v>121</v>
      </c>
      <c r="D1155" s="1" t="s">
        <v>7</v>
      </c>
      <c r="E1155" s="1" t="s">
        <v>6</v>
      </c>
      <c r="F1155" s="1" t="s">
        <v>5091</v>
      </c>
      <c r="G1155" s="1" t="s">
        <v>4803</v>
      </c>
      <c r="H1155" s="1" t="s">
        <v>5</v>
      </c>
      <c r="I1155" s="17">
        <v>42283</v>
      </c>
    </row>
    <row r="1156" spans="1:9">
      <c r="A1156" s="16" t="s">
        <v>10967</v>
      </c>
      <c r="B1156" s="1" t="s">
        <v>2631</v>
      </c>
      <c r="C1156" s="1">
        <v>121</v>
      </c>
      <c r="D1156" s="1" t="s">
        <v>7</v>
      </c>
      <c r="E1156" s="1" t="s">
        <v>6</v>
      </c>
      <c r="F1156" s="1" t="s">
        <v>5091</v>
      </c>
      <c r="G1156" s="1" t="s">
        <v>6145</v>
      </c>
      <c r="H1156" s="1" t="s">
        <v>43</v>
      </c>
      <c r="I1156" s="17">
        <v>42283</v>
      </c>
    </row>
    <row r="1157" spans="1:9">
      <c r="A1157" s="16" t="s">
        <v>10969</v>
      </c>
      <c r="B1157" s="1" t="s">
        <v>2631</v>
      </c>
      <c r="C1157" s="1">
        <v>121</v>
      </c>
      <c r="D1157" s="1" t="s">
        <v>7</v>
      </c>
      <c r="E1157" s="1" t="s">
        <v>6</v>
      </c>
      <c r="F1157" s="1" t="s">
        <v>5091</v>
      </c>
      <c r="G1157" s="1" t="s">
        <v>6145</v>
      </c>
      <c r="H1157" s="1" t="s">
        <v>43</v>
      </c>
      <c r="I1157" s="17">
        <v>42283</v>
      </c>
    </row>
    <row r="1158" spans="1:9">
      <c r="A1158" s="16" t="s">
        <v>10974</v>
      </c>
      <c r="B1158" s="1" t="s">
        <v>2631</v>
      </c>
      <c r="C1158" s="1">
        <v>121</v>
      </c>
      <c r="D1158" s="1" t="s">
        <v>7</v>
      </c>
      <c r="E1158" s="1" t="s">
        <v>6</v>
      </c>
      <c r="F1158" s="1" t="s">
        <v>5091</v>
      </c>
      <c r="G1158" s="1" t="s">
        <v>6145</v>
      </c>
      <c r="H1158" s="1" t="s">
        <v>43</v>
      </c>
      <c r="I1158" s="17">
        <v>42290</v>
      </c>
    </row>
    <row r="1159" spans="1:9">
      <c r="A1159" s="16" t="s">
        <v>10975</v>
      </c>
      <c r="B1159" s="1" t="s">
        <v>2631</v>
      </c>
      <c r="C1159" s="1">
        <v>121</v>
      </c>
      <c r="D1159" s="1" t="s">
        <v>7</v>
      </c>
      <c r="E1159" s="1" t="s">
        <v>6</v>
      </c>
      <c r="F1159" s="1" t="s">
        <v>5091</v>
      </c>
      <c r="G1159" s="1" t="s">
        <v>6145</v>
      </c>
      <c r="H1159" s="1" t="s">
        <v>43</v>
      </c>
      <c r="I1159" s="17">
        <v>42290</v>
      </c>
    </row>
    <row r="1160" spans="1:9">
      <c r="A1160" s="16" t="s">
        <v>10981</v>
      </c>
      <c r="B1160" s="1" t="s">
        <v>2631</v>
      </c>
      <c r="C1160" s="1">
        <v>121</v>
      </c>
      <c r="D1160" s="1" t="s">
        <v>7</v>
      </c>
      <c r="E1160" s="1" t="s">
        <v>6</v>
      </c>
      <c r="F1160" s="1" t="s">
        <v>5091</v>
      </c>
      <c r="G1160" s="1" t="s">
        <v>6145</v>
      </c>
      <c r="H1160" s="1" t="s">
        <v>43</v>
      </c>
      <c r="I1160" s="17">
        <v>42290</v>
      </c>
    </row>
    <row r="1161" spans="1:9">
      <c r="A1161" s="16" t="s">
        <v>10988</v>
      </c>
      <c r="B1161" s="1" t="s">
        <v>2631</v>
      </c>
      <c r="C1161" s="1">
        <v>121</v>
      </c>
      <c r="D1161" s="1" t="s">
        <v>7</v>
      </c>
      <c r="E1161" s="1" t="s">
        <v>6</v>
      </c>
      <c r="F1161" s="1" t="s">
        <v>5091</v>
      </c>
      <c r="G1161" s="1" t="s">
        <v>6145</v>
      </c>
      <c r="H1161" s="1" t="s">
        <v>43</v>
      </c>
      <c r="I1161" s="17">
        <v>42293</v>
      </c>
    </row>
    <row r="1162" spans="1:9">
      <c r="A1162" s="16" t="s">
        <v>10989</v>
      </c>
      <c r="B1162" s="1" t="s">
        <v>2631</v>
      </c>
      <c r="C1162" s="1">
        <v>121</v>
      </c>
      <c r="D1162" s="1" t="s">
        <v>7</v>
      </c>
      <c r="E1162" s="1" t="s">
        <v>6</v>
      </c>
      <c r="F1162" s="1" t="s">
        <v>5091</v>
      </c>
      <c r="G1162" s="1" t="s">
        <v>6145</v>
      </c>
      <c r="H1162" s="1" t="s">
        <v>43</v>
      </c>
      <c r="I1162" s="17">
        <v>42293</v>
      </c>
    </row>
    <row r="1163" spans="1:9">
      <c r="A1163" s="16" t="s">
        <v>11007</v>
      </c>
      <c r="B1163" s="1" t="s">
        <v>2631</v>
      </c>
      <c r="C1163" s="1">
        <v>121</v>
      </c>
      <c r="D1163" s="1" t="s">
        <v>7</v>
      </c>
      <c r="E1163" s="1" t="s">
        <v>6</v>
      </c>
      <c r="F1163" s="1" t="s">
        <v>5091</v>
      </c>
      <c r="G1163" s="1" t="s">
        <v>6145</v>
      </c>
      <c r="H1163" s="1" t="s">
        <v>43</v>
      </c>
      <c r="I1163" s="17">
        <v>42293</v>
      </c>
    </row>
    <row r="1164" spans="1:9">
      <c r="A1164" s="16" t="s">
        <v>11009</v>
      </c>
      <c r="B1164" s="1" t="s">
        <v>2631</v>
      </c>
      <c r="C1164" s="1">
        <v>121</v>
      </c>
      <c r="D1164" s="1" t="s">
        <v>7</v>
      </c>
      <c r="E1164" s="1" t="s">
        <v>6</v>
      </c>
      <c r="F1164" s="1" t="s">
        <v>5091</v>
      </c>
      <c r="G1164" s="1" t="s">
        <v>6145</v>
      </c>
      <c r="H1164" s="1" t="s">
        <v>43</v>
      </c>
      <c r="I1164" s="17">
        <v>42293</v>
      </c>
    </row>
    <row r="1165" spans="1:9">
      <c r="A1165" s="16" t="s">
        <v>11186</v>
      </c>
      <c r="B1165" s="1" t="s">
        <v>2631</v>
      </c>
      <c r="C1165" s="1">
        <v>121</v>
      </c>
      <c r="D1165" s="1" t="s">
        <v>7</v>
      </c>
      <c r="E1165" s="1" t="s">
        <v>6</v>
      </c>
      <c r="F1165" s="1" t="s">
        <v>5091</v>
      </c>
      <c r="G1165" s="1" t="s">
        <v>6145</v>
      </c>
      <c r="H1165" s="1" t="s">
        <v>43</v>
      </c>
      <c r="I1165" s="17">
        <v>42256</v>
      </c>
    </row>
    <row r="1166" spans="1:9">
      <c r="A1166" s="16" t="s">
        <v>11210</v>
      </c>
      <c r="B1166" s="1" t="s">
        <v>2631</v>
      </c>
      <c r="C1166" s="1">
        <v>121</v>
      </c>
      <c r="D1166" s="1" t="s">
        <v>7</v>
      </c>
      <c r="E1166" s="1" t="s">
        <v>6</v>
      </c>
      <c r="F1166" s="1" t="s">
        <v>5091</v>
      </c>
      <c r="G1166" s="1" t="s">
        <v>6145</v>
      </c>
      <c r="H1166" s="1" t="s">
        <v>43</v>
      </c>
      <c r="I1166" s="17">
        <v>42289</v>
      </c>
    </row>
    <row r="1167" spans="1:9">
      <c r="A1167" s="16" t="s">
        <v>11310</v>
      </c>
      <c r="B1167" s="1" t="s">
        <v>2631</v>
      </c>
      <c r="C1167" s="1">
        <v>121</v>
      </c>
      <c r="D1167" s="1" t="s">
        <v>7</v>
      </c>
      <c r="E1167" s="1" t="s">
        <v>6</v>
      </c>
      <c r="F1167" s="1" t="s">
        <v>5091</v>
      </c>
      <c r="G1167" s="1" t="s">
        <v>8800</v>
      </c>
      <c r="H1167" s="1" t="s">
        <v>5</v>
      </c>
      <c r="I1167" s="17">
        <v>38534</v>
      </c>
    </row>
    <row r="1168" spans="1:9">
      <c r="A1168" s="16" t="s">
        <v>11311</v>
      </c>
      <c r="B1168" s="1" t="s">
        <v>2631</v>
      </c>
      <c r="C1168" s="1">
        <v>121</v>
      </c>
      <c r="D1168" s="1" t="s">
        <v>7</v>
      </c>
      <c r="E1168" s="1" t="s">
        <v>6</v>
      </c>
      <c r="F1168" s="1" t="s">
        <v>5091</v>
      </c>
      <c r="G1168" s="1" t="s">
        <v>11312</v>
      </c>
      <c r="H1168" s="1" t="s">
        <v>5</v>
      </c>
      <c r="I1168" s="17">
        <v>38534</v>
      </c>
    </row>
    <row r="1169" spans="1:10">
      <c r="A1169" s="16" t="s">
        <v>11361</v>
      </c>
      <c r="B1169" s="1" t="s">
        <v>2631</v>
      </c>
      <c r="C1169" s="1">
        <v>121</v>
      </c>
      <c r="D1169" s="1" t="s">
        <v>7</v>
      </c>
      <c r="E1169" s="1" t="s">
        <v>6</v>
      </c>
      <c r="F1169" s="1" t="s">
        <v>2691</v>
      </c>
      <c r="G1169" s="1" t="s">
        <v>11362</v>
      </c>
      <c r="H1169" s="1" t="s">
        <v>5</v>
      </c>
      <c r="I1169" s="17">
        <v>40220</v>
      </c>
    </row>
    <row r="1170" spans="1:10">
      <c r="A1170" s="16" t="s">
        <v>11363</v>
      </c>
      <c r="B1170" s="1" t="s">
        <v>2631</v>
      </c>
      <c r="C1170" s="1">
        <v>121</v>
      </c>
      <c r="D1170" s="1" t="s">
        <v>7</v>
      </c>
      <c r="E1170" s="1" t="s">
        <v>6</v>
      </c>
      <c r="F1170" s="1" t="s">
        <v>139</v>
      </c>
      <c r="G1170" s="1" t="s">
        <v>11364</v>
      </c>
      <c r="H1170" s="1" t="s">
        <v>5</v>
      </c>
      <c r="I1170" s="17">
        <v>40546</v>
      </c>
    </row>
    <row r="1171" spans="1:10">
      <c r="A1171" s="16" t="s">
        <v>11365</v>
      </c>
      <c r="B1171" s="1" t="s">
        <v>2631</v>
      </c>
      <c r="C1171" s="1">
        <v>121</v>
      </c>
      <c r="D1171" s="1" t="s">
        <v>7</v>
      </c>
      <c r="E1171" s="1" t="s">
        <v>6</v>
      </c>
      <c r="F1171" s="1" t="s">
        <v>139</v>
      </c>
      <c r="G1171" s="1" t="s">
        <v>11364</v>
      </c>
      <c r="H1171" s="1" t="s">
        <v>5</v>
      </c>
      <c r="I1171" s="17">
        <v>40546</v>
      </c>
      <c r="J1171" s="11"/>
    </row>
    <row r="1172" spans="1:10">
      <c r="A1172" s="16" t="s">
        <v>11366</v>
      </c>
      <c r="B1172" s="1" t="s">
        <v>2631</v>
      </c>
      <c r="C1172" s="1">
        <v>121</v>
      </c>
      <c r="D1172" s="1" t="s">
        <v>7</v>
      </c>
      <c r="E1172" s="1" t="s">
        <v>6</v>
      </c>
      <c r="F1172" s="1" t="s">
        <v>139</v>
      </c>
      <c r="G1172" s="1" t="s">
        <v>11367</v>
      </c>
      <c r="H1172" s="1" t="s">
        <v>5</v>
      </c>
      <c r="I1172" s="17">
        <v>40994</v>
      </c>
    </row>
    <row r="1173" spans="1:10">
      <c r="A1173" s="16" t="s">
        <v>11368</v>
      </c>
      <c r="B1173" s="1" t="s">
        <v>2631</v>
      </c>
      <c r="C1173" s="1">
        <v>121</v>
      </c>
      <c r="D1173" s="1" t="s">
        <v>7</v>
      </c>
      <c r="E1173" s="1" t="s">
        <v>6</v>
      </c>
      <c r="F1173" s="1" t="s">
        <v>139</v>
      </c>
      <c r="G1173" s="1" t="s">
        <v>11369</v>
      </c>
      <c r="H1173" s="1" t="s">
        <v>5</v>
      </c>
      <c r="I1173" s="17">
        <v>40994</v>
      </c>
    </row>
    <row r="1174" spans="1:10">
      <c r="A1174" s="16" t="s">
        <v>11590</v>
      </c>
      <c r="B1174" s="1" t="s">
        <v>2631</v>
      </c>
      <c r="C1174" s="1">
        <v>121</v>
      </c>
      <c r="D1174" s="1" t="s">
        <v>7</v>
      </c>
      <c r="E1174" s="1" t="s">
        <v>6</v>
      </c>
      <c r="F1174" s="1" t="s">
        <v>5091</v>
      </c>
      <c r="G1174" s="1" t="s">
        <v>6307</v>
      </c>
      <c r="H1174" s="1" t="s">
        <v>44</v>
      </c>
      <c r="I1174" s="17">
        <v>42591</v>
      </c>
    </row>
    <row r="1175" spans="1:10">
      <c r="A1175" s="16" t="s">
        <v>11595</v>
      </c>
      <c r="B1175" s="1" t="s">
        <v>2631</v>
      </c>
      <c r="C1175" s="1">
        <v>121</v>
      </c>
      <c r="D1175" s="1" t="s">
        <v>7</v>
      </c>
      <c r="E1175" s="1" t="s">
        <v>6</v>
      </c>
      <c r="F1175" s="1" t="s">
        <v>5091</v>
      </c>
      <c r="G1175" s="1" t="s">
        <v>6307</v>
      </c>
      <c r="H1175" s="1" t="s">
        <v>44</v>
      </c>
      <c r="I1175" s="17">
        <v>42591</v>
      </c>
    </row>
    <row r="1176" spans="1:10">
      <c r="A1176" s="16" t="s">
        <v>11701</v>
      </c>
      <c r="B1176" s="1" t="s">
        <v>2631</v>
      </c>
      <c r="C1176" s="1">
        <v>121</v>
      </c>
      <c r="D1176" s="1" t="s">
        <v>7</v>
      </c>
      <c r="E1176" s="1" t="s">
        <v>6</v>
      </c>
      <c r="F1176" s="1" t="s">
        <v>5091</v>
      </c>
      <c r="G1176" s="1" t="s">
        <v>11702</v>
      </c>
      <c r="H1176" s="1" t="s">
        <v>5</v>
      </c>
      <c r="I1176" s="17">
        <v>37904</v>
      </c>
      <c r="J1176" s="1"/>
    </row>
    <row r="1177" spans="1:10">
      <c r="A1177" s="16" t="s">
        <v>11781</v>
      </c>
      <c r="B1177" s="1" t="s">
        <v>2631</v>
      </c>
      <c r="C1177" s="1">
        <v>121</v>
      </c>
      <c r="D1177" s="1" t="s">
        <v>7</v>
      </c>
      <c r="E1177" s="1" t="s">
        <v>6</v>
      </c>
      <c r="F1177" s="1" t="s">
        <v>5091</v>
      </c>
      <c r="G1177" s="1" t="s">
        <v>11782</v>
      </c>
      <c r="H1177" s="1" t="s">
        <v>5</v>
      </c>
      <c r="I1177" s="17">
        <v>41617</v>
      </c>
    </row>
    <row r="1178" spans="1:10">
      <c r="A1178" s="16" t="s">
        <v>11783</v>
      </c>
      <c r="B1178" s="1" t="s">
        <v>2631</v>
      </c>
      <c r="C1178" s="1">
        <v>121</v>
      </c>
      <c r="D1178" s="1" t="s">
        <v>7</v>
      </c>
      <c r="E1178" s="1" t="s">
        <v>6</v>
      </c>
      <c r="F1178" s="1" t="s">
        <v>5091</v>
      </c>
      <c r="G1178" s="1" t="s">
        <v>11782</v>
      </c>
      <c r="H1178" s="1" t="s">
        <v>5</v>
      </c>
      <c r="I1178" s="17">
        <v>41617</v>
      </c>
    </row>
    <row r="1179" spans="1:10" ht="31.2">
      <c r="A1179" s="16" t="s">
        <v>11905</v>
      </c>
      <c r="B1179" s="1" t="s">
        <v>2631</v>
      </c>
      <c r="C1179" s="1">
        <v>121</v>
      </c>
      <c r="D1179" s="1" t="s">
        <v>7</v>
      </c>
      <c r="E1179" s="1" t="s">
        <v>6</v>
      </c>
      <c r="F1179" s="1" t="s">
        <v>139</v>
      </c>
      <c r="G1179" s="1" t="s">
        <v>11906</v>
      </c>
      <c r="H1179" s="1" t="s">
        <v>5</v>
      </c>
      <c r="I1179" s="17">
        <v>37622</v>
      </c>
    </row>
    <row r="1180" spans="1:10">
      <c r="A1180" s="16" t="s">
        <v>11934</v>
      </c>
      <c r="B1180" s="1" t="s">
        <v>2631</v>
      </c>
      <c r="C1180" s="1">
        <v>121</v>
      </c>
      <c r="D1180" s="1" t="s">
        <v>7</v>
      </c>
      <c r="E1180" s="1" t="s">
        <v>6</v>
      </c>
      <c r="F1180" s="1" t="s">
        <v>139</v>
      </c>
      <c r="G1180" s="1" t="s">
        <v>11935</v>
      </c>
      <c r="H1180" s="1" t="s">
        <v>5</v>
      </c>
      <c r="I1180" s="17">
        <v>38718</v>
      </c>
    </row>
    <row r="1181" spans="1:10">
      <c r="A1181" s="16" t="s">
        <v>11981</v>
      </c>
      <c r="B1181" s="1" t="s">
        <v>2631</v>
      </c>
      <c r="C1181" s="1">
        <v>121</v>
      </c>
      <c r="D1181" s="1" t="s">
        <v>7</v>
      </c>
      <c r="E1181" s="1" t="s">
        <v>6</v>
      </c>
      <c r="F1181" s="1" t="s">
        <v>2360</v>
      </c>
      <c r="G1181" s="1" t="s">
        <v>11982</v>
      </c>
      <c r="H1181" s="1" t="s">
        <v>5</v>
      </c>
      <c r="I1181" s="17">
        <v>42619</v>
      </c>
      <c r="J1181" s="1"/>
    </row>
    <row r="1182" spans="1:10">
      <c r="A1182" s="16" t="s">
        <v>11983</v>
      </c>
      <c r="B1182" s="1" t="s">
        <v>2631</v>
      </c>
      <c r="C1182" s="1">
        <v>121</v>
      </c>
      <c r="D1182" s="1" t="s">
        <v>7</v>
      </c>
      <c r="E1182" s="1" t="s">
        <v>6</v>
      </c>
      <c r="F1182" s="1" t="s">
        <v>2360</v>
      </c>
      <c r="G1182" s="1" t="s">
        <v>11982</v>
      </c>
      <c r="H1182" s="1" t="s">
        <v>5</v>
      </c>
      <c r="I1182" s="17">
        <v>42619</v>
      </c>
      <c r="J1182" s="17"/>
    </row>
    <row r="1183" spans="1:10">
      <c r="A1183" s="16" t="s">
        <v>12008</v>
      </c>
      <c r="B1183" s="1" t="s">
        <v>2631</v>
      </c>
      <c r="C1183" s="1">
        <v>121</v>
      </c>
      <c r="D1183" s="1" t="s">
        <v>7</v>
      </c>
      <c r="E1183" s="1" t="s">
        <v>6</v>
      </c>
      <c r="F1183" s="1" t="s">
        <v>5091</v>
      </c>
      <c r="G1183" s="1" t="s">
        <v>12009</v>
      </c>
      <c r="H1183" s="1" t="s">
        <v>5</v>
      </c>
      <c r="I1183" s="17">
        <v>41408</v>
      </c>
      <c r="J1183" s="1"/>
    </row>
    <row r="1184" spans="1:10" ht="31.2">
      <c r="A1184" s="16" t="s">
        <v>12023</v>
      </c>
      <c r="B1184" s="1" t="s">
        <v>2631</v>
      </c>
      <c r="C1184" s="1">
        <v>121</v>
      </c>
      <c r="D1184" s="1" t="s">
        <v>7</v>
      </c>
      <c r="E1184" s="1" t="s">
        <v>6</v>
      </c>
      <c r="F1184" s="1" t="s">
        <v>5241</v>
      </c>
      <c r="G1184" s="1" t="s">
        <v>8618</v>
      </c>
      <c r="H1184" s="1" t="s">
        <v>5</v>
      </c>
      <c r="I1184" s="1" t="s">
        <v>4792</v>
      </c>
    </row>
    <row r="1185" spans="1:9">
      <c r="A1185" s="16" t="s">
        <v>12024</v>
      </c>
      <c r="B1185" s="1" t="s">
        <v>2631</v>
      </c>
      <c r="C1185" s="1">
        <v>121</v>
      </c>
      <c r="D1185" s="1" t="s">
        <v>7</v>
      </c>
      <c r="E1185" s="1" t="s">
        <v>6</v>
      </c>
      <c r="F1185" s="1" t="s">
        <v>5241</v>
      </c>
      <c r="G1185" s="1" t="s">
        <v>8618</v>
      </c>
      <c r="H1185" s="1" t="s">
        <v>5</v>
      </c>
      <c r="I1185" s="1" t="s">
        <v>4792</v>
      </c>
    </row>
    <row r="1186" spans="1:9">
      <c r="A1186" s="16" t="s">
        <v>12025</v>
      </c>
      <c r="B1186" s="1" t="s">
        <v>2631</v>
      </c>
      <c r="C1186" s="1">
        <v>121</v>
      </c>
      <c r="D1186" s="1" t="s">
        <v>7</v>
      </c>
      <c r="E1186" s="1" t="s">
        <v>6</v>
      </c>
      <c r="F1186" s="1" t="s">
        <v>5241</v>
      </c>
      <c r="G1186" s="1" t="s">
        <v>8618</v>
      </c>
      <c r="H1186" s="1" t="s">
        <v>5</v>
      </c>
      <c r="I1186" s="1" t="s">
        <v>4792</v>
      </c>
    </row>
    <row r="1187" spans="1:9">
      <c r="A1187" s="16" t="s">
        <v>12028</v>
      </c>
      <c r="B1187" s="1" t="s">
        <v>2631</v>
      </c>
      <c r="C1187" s="1">
        <v>121</v>
      </c>
      <c r="D1187" s="1" t="s">
        <v>7</v>
      </c>
      <c r="E1187" s="1" t="s">
        <v>6</v>
      </c>
      <c r="F1187" s="1" t="s">
        <v>5241</v>
      </c>
      <c r="G1187" s="1" t="s">
        <v>8618</v>
      </c>
      <c r="H1187" s="1" t="s">
        <v>5</v>
      </c>
      <c r="I1187" s="1" t="s">
        <v>4792</v>
      </c>
    </row>
    <row r="1188" spans="1:9">
      <c r="A1188" s="16" t="s">
        <v>12029</v>
      </c>
      <c r="B1188" s="1" t="s">
        <v>2631</v>
      </c>
      <c r="C1188" s="1">
        <v>121</v>
      </c>
      <c r="D1188" s="1" t="s">
        <v>7</v>
      </c>
      <c r="E1188" s="1" t="s">
        <v>6</v>
      </c>
      <c r="F1188" s="1" t="s">
        <v>5241</v>
      </c>
      <c r="G1188" s="1" t="s">
        <v>8618</v>
      </c>
      <c r="H1188" s="1" t="s">
        <v>5</v>
      </c>
      <c r="I1188" s="1" t="s">
        <v>4792</v>
      </c>
    </row>
    <row r="1189" spans="1:9" ht="31.2">
      <c r="A1189" s="16" t="s">
        <v>12036</v>
      </c>
      <c r="B1189" s="1" t="s">
        <v>2631</v>
      </c>
      <c r="C1189" s="1">
        <v>121</v>
      </c>
      <c r="D1189" s="1" t="s">
        <v>7</v>
      </c>
      <c r="E1189" s="1" t="s">
        <v>6</v>
      </c>
      <c r="F1189" s="1" t="s">
        <v>5241</v>
      </c>
      <c r="G1189" s="1" t="s">
        <v>8618</v>
      </c>
      <c r="H1189" s="1" t="s">
        <v>5</v>
      </c>
      <c r="I1189" s="1" t="s">
        <v>4792</v>
      </c>
    </row>
    <row r="1190" spans="1:9">
      <c r="A1190" s="16" t="s">
        <v>12168</v>
      </c>
      <c r="B1190" s="1" t="s">
        <v>2631</v>
      </c>
      <c r="C1190" s="1">
        <v>121</v>
      </c>
      <c r="D1190" s="1" t="s">
        <v>7</v>
      </c>
      <c r="E1190" s="1" t="s">
        <v>6</v>
      </c>
      <c r="F1190" s="1" t="s">
        <v>5091</v>
      </c>
      <c r="G1190" s="1" t="s">
        <v>6145</v>
      </c>
      <c r="H1190" s="1" t="s">
        <v>43</v>
      </c>
      <c r="I1190" s="17">
        <v>41640</v>
      </c>
    </row>
    <row r="1191" spans="1:9">
      <c r="A1191" s="16" t="s">
        <v>12179</v>
      </c>
      <c r="B1191" s="1" t="s">
        <v>2631</v>
      </c>
      <c r="C1191" s="1">
        <v>121</v>
      </c>
      <c r="D1191" s="1" t="s">
        <v>7</v>
      </c>
      <c r="E1191" s="1" t="s">
        <v>6</v>
      </c>
      <c r="F1191" s="1" t="s">
        <v>5091</v>
      </c>
      <c r="G1191" s="1" t="s">
        <v>6145</v>
      </c>
      <c r="H1191" s="1" t="s">
        <v>43</v>
      </c>
      <c r="I1191" s="17">
        <v>41640</v>
      </c>
    </row>
    <row r="1192" spans="1:9">
      <c r="A1192" s="16" t="s">
        <v>12201</v>
      </c>
      <c r="B1192" s="1" t="s">
        <v>2631</v>
      </c>
      <c r="C1192" s="1">
        <v>121</v>
      </c>
      <c r="D1192" s="1" t="s">
        <v>7</v>
      </c>
      <c r="E1192" s="1" t="s">
        <v>6</v>
      </c>
      <c r="F1192" s="1" t="s">
        <v>5091</v>
      </c>
      <c r="G1192" s="1" t="s">
        <v>6145</v>
      </c>
      <c r="H1192" s="1" t="s">
        <v>43</v>
      </c>
      <c r="I1192" s="17">
        <v>41640</v>
      </c>
    </row>
    <row r="1193" spans="1:9">
      <c r="A1193" s="16" t="s">
        <v>12213</v>
      </c>
      <c r="B1193" s="1" t="s">
        <v>2631</v>
      </c>
      <c r="C1193" s="1">
        <v>121</v>
      </c>
      <c r="D1193" s="1" t="s">
        <v>7</v>
      </c>
      <c r="E1193" s="1" t="s">
        <v>6</v>
      </c>
      <c r="F1193" s="1" t="s">
        <v>5091</v>
      </c>
      <c r="G1193" s="14" t="s">
        <v>4458</v>
      </c>
      <c r="H1193" s="1" t="s">
        <v>118</v>
      </c>
      <c r="I1193" s="17">
        <v>41640</v>
      </c>
    </row>
    <row r="1194" spans="1:9">
      <c r="A1194" s="16" t="s">
        <v>12226</v>
      </c>
      <c r="B1194" s="1" t="s">
        <v>2631</v>
      </c>
      <c r="C1194" s="1">
        <v>121</v>
      </c>
      <c r="D1194" s="1" t="s">
        <v>7</v>
      </c>
      <c r="E1194" s="1" t="s">
        <v>6</v>
      </c>
      <c r="F1194" s="1" t="s">
        <v>5091</v>
      </c>
      <c r="G1194" s="1" t="s">
        <v>12227</v>
      </c>
      <c r="H1194" s="1" t="s">
        <v>5</v>
      </c>
      <c r="I1194" s="17">
        <v>42736</v>
      </c>
    </row>
    <row r="1195" spans="1:9">
      <c r="A1195" s="16" t="s">
        <v>12284</v>
      </c>
      <c r="B1195" s="1" t="s">
        <v>2631</v>
      </c>
      <c r="C1195" s="1">
        <v>121</v>
      </c>
      <c r="D1195" s="1" t="s">
        <v>7</v>
      </c>
      <c r="E1195" s="1" t="s">
        <v>6</v>
      </c>
      <c r="F1195" s="1" t="s">
        <v>5091</v>
      </c>
      <c r="G1195" s="1" t="s">
        <v>6145</v>
      </c>
      <c r="H1195" s="1" t="s">
        <v>43</v>
      </c>
      <c r="I1195" s="17">
        <v>41640</v>
      </c>
    </row>
    <row r="1196" spans="1:9">
      <c r="A1196" s="16" t="s">
        <v>12294</v>
      </c>
      <c r="B1196" s="1" t="s">
        <v>2631</v>
      </c>
      <c r="C1196" s="1">
        <v>121</v>
      </c>
      <c r="D1196" s="1" t="s">
        <v>7</v>
      </c>
      <c r="E1196" s="1" t="s">
        <v>6</v>
      </c>
      <c r="F1196" s="1" t="s">
        <v>5091</v>
      </c>
      <c r="G1196" s="1" t="s">
        <v>6145</v>
      </c>
      <c r="H1196" s="1" t="s">
        <v>43</v>
      </c>
      <c r="I1196" s="17">
        <v>41640</v>
      </c>
    </row>
    <row r="1197" spans="1:9">
      <c r="A1197" s="16" t="s">
        <v>12318</v>
      </c>
      <c r="B1197" s="1" t="s">
        <v>2631</v>
      </c>
      <c r="C1197" s="1">
        <v>121</v>
      </c>
      <c r="D1197" s="1" t="s">
        <v>7</v>
      </c>
      <c r="E1197" s="1" t="s">
        <v>6</v>
      </c>
      <c r="F1197" s="1" t="s">
        <v>5091</v>
      </c>
      <c r="G1197" s="1" t="s">
        <v>6145</v>
      </c>
      <c r="H1197" s="1" t="s">
        <v>43</v>
      </c>
      <c r="I1197" s="17">
        <v>41640</v>
      </c>
    </row>
    <row r="1198" spans="1:9">
      <c r="A1198" s="16" t="s">
        <v>12357</v>
      </c>
      <c r="B1198" s="1" t="s">
        <v>2631</v>
      </c>
      <c r="C1198" s="1">
        <v>121</v>
      </c>
      <c r="D1198" s="1" t="s">
        <v>7</v>
      </c>
      <c r="E1198" s="1" t="s">
        <v>6</v>
      </c>
      <c r="F1198" s="1" t="s">
        <v>5091</v>
      </c>
      <c r="G1198" s="1" t="s">
        <v>12358</v>
      </c>
      <c r="H1198" s="1" t="s">
        <v>5</v>
      </c>
      <c r="I1198" s="17">
        <v>40820</v>
      </c>
    </row>
    <row r="1199" spans="1:9">
      <c r="A1199" s="16" t="s">
        <v>12630</v>
      </c>
      <c r="B1199" s="1" t="s">
        <v>2631</v>
      </c>
      <c r="C1199" s="1">
        <v>121</v>
      </c>
      <c r="D1199" s="1" t="s">
        <v>7</v>
      </c>
      <c r="E1199" s="1" t="s">
        <v>6</v>
      </c>
      <c r="F1199" s="1" t="s">
        <v>5091</v>
      </c>
      <c r="G1199" s="1" t="s">
        <v>6145</v>
      </c>
      <c r="H1199" s="1" t="s">
        <v>43</v>
      </c>
      <c r="I1199" s="17">
        <v>42370</v>
      </c>
    </row>
    <row r="1200" spans="1:9">
      <c r="A1200" s="16" t="s">
        <v>12819</v>
      </c>
      <c r="B1200" s="1" t="s">
        <v>2631</v>
      </c>
      <c r="C1200" s="1">
        <v>121</v>
      </c>
      <c r="D1200" s="1" t="s">
        <v>7</v>
      </c>
      <c r="E1200" s="1" t="s">
        <v>6</v>
      </c>
      <c r="F1200" s="1" t="s">
        <v>5091</v>
      </c>
      <c r="G1200" s="1" t="s">
        <v>7403</v>
      </c>
      <c r="H1200" s="1" t="s">
        <v>44</v>
      </c>
      <c r="I1200" s="17">
        <v>42835</v>
      </c>
    </row>
    <row r="1201" spans="1:9">
      <c r="A1201" s="16" t="s">
        <v>12820</v>
      </c>
      <c r="B1201" s="1" t="s">
        <v>2631</v>
      </c>
      <c r="C1201" s="1">
        <v>121</v>
      </c>
      <c r="D1201" s="1" t="s">
        <v>7</v>
      </c>
      <c r="E1201" s="1" t="s">
        <v>6</v>
      </c>
      <c r="F1201" s="1" t="s">
        <v>5091</v>
      </c>
      <c r="G1201" s="1" t="s">
        <v>7403</v>
      </c>
      <c r="H1201" s="1" t="s">
        <v>44</v>
      </c>
      <c r="I1201" s="17">
        <v>42835</v>
      </c>
    </row>
    <row r="1202" spans="1:9">
      <c r="A1202" s="16" t="s">
        <v>12821</v>
      </c>
      <c r="B1202" s="1" t="s">
        <v>2631</v>
      </c>
      <c r="C1202" s="1">
        <v>121</v>
      </c>
      <c r="D1202" s="1" t="s">
        <v>7</v>
      </c>
      <c r="E1202" s="1" t="s">
        <v>6</v>
      </c>
      <c r="F1202" s="1" t="s">
        <v>5091</v>
      </c>
      <c r="G1202" s="1" t="s">
        <v>7403</v>
      </c>
      <c r="H1202" s="1" t="s">
        <v>44</v>
      </c>
      <c r="I1202" s="17">
        <v>42835</v>
      </c>
    </row>
    <row r="1203" spans="1:9">
      <c r="A1203" s="16" t="s">
        <v>12824</v>
      </c>
      <c r="B1203" s="1" t="s">
        <v>2631</v>
      </c>
      <c r="C1203" s="1">
        <v>121</v>
      </c>
      <c r="D1203" s="1" t="s">
        <v>7</v>
      </c>
      <c r="E1203" s="1" t="s">
        <v>6</v>
      </c>
      <c r="F1203" s="1" t="s">
        <v>5091</v>
      </c>
      <c r="G1203" s="1" t="s">
        <v>7403</v>
      </c>
      <c r="H1203" s="1" t="s">
        <v>44</v>
      </c>
      <c r="I1203" s="17">
        <v>42835</v>
      </c>
    </row>
    <row r="1204" spans="1:9">
      <c r="A1204" s="16" t="s">
        <v>12825</v>
      </c>
      <c r="B1204" s="1" t="s">
        <v>2631</v>
      </c>
      <c r="C1204" s="1">
        <v>121</v>
      </c>
      <c r="D1204" s="1" t="s">
        <v>7</v>
      </c>
      <c r="E1204" s="1" t="s">
        <v>6</v>
      </c>
      <c r="F1204" s="1" t="s">
        <v>5091</v>
      </c>
      <c r="G1204" s="1" t="s">
        <v>7403</v>
      </c>
      <c r="H1204" s="1" t="s">
        <v>44</v>
      </c>
      <c r="I1204" s="17">
        <v>42835</v>
      </c>
    </row>
    <row r="1205" spans="1:9">
      <c r="A1205" s="16" t="s">
        <v>12826</v>
      </c>
      <c r="B1205" s="1" t="s">
        <v>2631</v>
      </c>
      <c r="C1205" s="1">
        <v>121</v>
      </c>
      <c r="D1205" s="1" t="s">
        <v>7</v>
      </c>
      <c r="E1205" s="1" t="s">
        <v>6</v>
      </c>
      <c r="F1205" s="1" t="s">
        <v>5091</v>
      </c>
      <c r="G1205" s="1" t="s">
        <v>7403</v>
      </c>
      <c r="H1205" s="1" t="s">
        <v>44</v>
      </c>
      <c r="I1205" s="17">
        <v>42835</v>
      </c>
    </row>
    <row r="1206" spans="1:9">
      <c r="A1206" s="16" t="s">
        <v>12827</v>
      </c>
      <c r="B1206" s="1" t="s">
        <v>2631</v>
      </c>
      <c r="C1206" s="1">
        <v>121</v>
      </c>
      <c r="D1206" s="1" t="s">
        <v>7</v>
      </c>
      <c r="E1206" s="1" t="s">
        <v>6</v>
      </c>
      <c r="F1206" s="1" t="s">
        <v>5091</v>
      </c>
      <c r="G1206" s="1" t="s">
        <v>7403</v>
      </c>
      <c r="H1206" s="1" t="s">
        <v>44</v>
      </c>
      <c r="I1206" s="17">
        <v>42835</v>
      </c>
    </row>
    <row r="1207" spans="1:9">
      <c r="A1207" s="16" t="s">
        <v>12828</v>
      </c>
      <c r="B1207" s="1" t="s">
        <v>2631</v>
      </c>
      <c r="C1207" s="1">
        <v>121</v>
      </c>
      <c r="D1207" s="1" t="s">
        <v>7</v>
      </c>
      <c r="E1207" s="1" t="s">
        <v>6</v>
      </c>
      <c r="F1207" s="1" t="s">
        <v>5091</v>
      </c>
      <c r="G1207" s="1" t="s">
        <v>7403</v>
      </c>
      <c r="H1207" s="1" t="s">
        <v>44</v>
      </c>
      <c r="I1207" s="17">
        <v>42835</v>
      </c>
    </row>
    <row r="1208" spans="1:9">
      <c r="A1208" s="16" t="s">
        <v>12830</v>
      </c>
      <c r="B1208" s="1" t="s">
        <v>2631</v>
      </c>
      <c r="C1208" s="1">
        <v>121</v>
      </c>
      <c r="D1208" s="1" t="s">
        <v>7</v>
      </c>
      <c r="E1208" s="1" t="s">
        <v>6</v>
      </c>
      <c r="F1208" s="1" t="s">
        <v>5091</v>
      </c>
      <c r="G1208" s="1" t="s">
        <v>7403</v>
      </c>
      <c r="H1208" s="1" t="s">
        <v>44</v>
      </c>
      <c r="I1208" s="17">
        <v>42835</v>
      </c>
    </row>
    <row r="1209" spans="1:9">
      <c r="A1209" s="16" t="s">
        <v>12832</v>
      </c>
      <c r="B1209" s="1" t="s">
        <v>2631</v>
      </c>
      <c r="C1209" s="1">
        <v>121</v>
      </c>
      <c r="D1209" s="1" t="s">
        <v>7</v>
      </c>
      <c r="E1209" s="1" t="s">
        <v>6</v>
      </c>
      <c r="F1209" s="1" t="s">
        <v>5091</v>
      </c>
      <c r="G1209" s="1" t="s">
        <v>7403</v>
      </c>
      <c r="H1209" s="1" t="s">
        <v>44</v>
      </c>
      <c r="I1209" s="17">
        <v>42835</v>
      </c>
    </row>
    <row r="1210" spans="1:9">
      <c r="A1210" s="16" t="s">
        <v>12837</v>
      </c>
      <c r="B1210" s="1" t="s">
        <v>2631</v>
      </c>
      <c r="C1210" s="1">
        <v>121</v>
      </c>
      <c r="D1210" s="1" t="s">
        <v>7</v>
      </c>
      <c r="E1210" s="1" t="s">
        <v>6</v>
      </c>
      <c r="F1210" s="1" t="s">
        <v>5091</v>
      </c>
      <c r="G1210" s="1" t="s">
        <v>7403</v>
      </c>
      <c r="H1210" s="1" t="s">
        <v>44</v>
      </c>
      <c r="I1210" s="17">
        <v>42835</v>
      </c>
    </row>
    <row r="1211" spans="1:9">
      <c r="A1211" s="16" t="s">
        <v>12840</v>
      </c>
      <c r="B1211" s="1" t="s">
        <v>2631</v>
      </c>
      <c r="C1211" s="1">
        <v>121</v>
      </c>
      <c r="D1211" s="1" t="s">
        <v>7</v>
      </c>
      <c r="E1211" s="1" t="s">
        <v>6</v>
      </c>
      <c r="F1211" s="1" t="s">
        <v>5091</v>
      </c>
      <c r="G1211" s="1" t="s">
        <v>7403</v>
      </c>
      <c r="H1211" s="1" t="s">
        <v>44</v>
      </c>
      <c r="I1211" s="17">
        <v>42835</v>
      </c>
    </row>
    <row r="1212" spans="1:9">
      <c r="A1212" s="16" t="s">
        <v>12841</v>
      </c>
      <c r="B1212" s="1" t="s">
        <v>2631</v>
      </c>
      <c r="C1212" s="1">
        <v>121</v>
      </c>
      <c r="D1212" s="1" t="s">
        <v>7</v>
      </c>
      <c r="E1212" s="1" t="s">
        <v>6</v>
      </c>
      <c r="F1212" s="1" t="s">
        <v>5091</v>
      </c>
      <c r="G1212" s="1" t="s">
        <v>7403</v>
      </c>
      <c r="H1212" s="1" t="s">
        <v>44</v>
      </c>
      <c r="I1212" s="17">
        <v>42835</v>
      </c>
    </row>
    <row r="1213" spans="1:9">
      <c r="A1213" s="16" t="s">
        <v>12842</v>
      </c>
      <c r="B1213" s="1" t="s">
        <v>2631</v>
      </c>
      <c r="C1213" s="1">
        <v>121</v>
      </c>
      <c r="D1213" s="1" t="s">
        <v>7</v>
      </c>
      <c r="E1213" s="1" t="s">
        <v>6</v>
      </c>
      <c r="F1213" s="1" t="s">
        <v>5091</v>
      </c>
      <c r="G1213" s="1" t="s">
        <v>7403</v>
      </c>
      <c r="H1213" s="1" t="s">
        <v>44</v>
      </c>
      <c r="I1213" s="17">
        <v>42835</v>
      </c>
    </row>
    <row r="1214" spans="1:9">
      <c r="A1214" s="16" t="s">
        <v>12845</v>
      </c>
      <c r="B1214" s="1" t="s">
        <v>2631</v>
      </c>
      <c r="C1214" s="1">
        <v>121</v>
      </c>
      <c r="D1214" s="1" t="s">
        <v>7</v>
      </c>
      <c r="E1214" s="1" t="s">
        <v>6</v>
      </c>
      <c r="F1214" s="1" t="s">
        <v>5091</v>
      </c>
      <c r="G1214" s="1" t="s">
        <v>7403</v>
      </c>
      <c r="H1214" s="1" t="s">
        <v>44</v>
      </c>
      <c r="I1214" s="17">
        <v>42835</v>
      </c>
    </row>
    <row r="1215" spans="1:9">
      <c r="A1215" s="16" t="s">
        <v>12846</v>
      </c>
      <c r="B1215" s="1" t="s">
        <v>2631</v>
      </c>
      <c r="C1215" s="1">
        <v>121</v>
      </c>
      <c r="D1215" s="1" t="s">
        <v>7</v>
      </c>
      <c r="E1215" s="1" t="s">
        <v>6</v>
      </c>
      <c r="F1215" s="1" t="s">
        <v>5091</v>
      </c>
      <c r="G1215" s="1" t="s">
        <v>7403</v>
      </c>
      <c r="H1215" s="1" t="s">
        <v>44</v>
      </c>
      <c r="I1215" s="17">
        <v>42835</v>
      </c>
    </row>
    <row r="1216" spans="1:9">
      <c r="A1216" s="16" t="s">
        <v>12847</v>
      </c>
      <c r="B1216" s="1" t="s">
        <v>2631</v>
      </c>
      <c r="C1216" s="1">
        <v>121</v>
      </c>
      <c r="D1216" s="1" t="s">
        <v>7</v>
      </c>
      <c r="E1216" s="1" t="s">
        <v>6</v>
      </c>
      <c r="F1216" s="1" t="s">
        <v>5091</v>
      </c>
      <c r="G1216" s="1" t="s">
        <v>7403</v>
      </c>
      <c r="H1216" s="1" t="s">
        <v>44</v>
      </c>
      <c r="I1216" s="17">
        <v>42835</v>
      </c>
    </row>
    <row r="1217" spans="1:9">
      <c r="A1217" s="16" t="s">
        <v>12849</v>
      </c>
      <c r="B1217" s="1" t="s">
        <v>2631</v>
      </c>
      <c r="C1217" s="1">
        <v>121</v>
      </c>
      <c r="D1217" s="1" t="s">
        <v>7</v>
      </c>
      <c r="E1217" s="1" t="s">
        <v>6</v>
      </c>
      <c r="F1217" s="1" t="s">
        <v>5091</v>
      </c>
      <c r="G1217" s="1" t="s">
        <v>7403</v>
      </c>
      <c r="H1217" s="1" t="s">
        <v>44</v>
      </c>
      <c r="I1217" s="17">
        <v>42835</v>
      </c>
    </row>
    <row r="1218" spans="1:9">
      <c r="A1218" s="16" t="s">
        <v>12850</v>
      </c>
      <c r="B1218" s="1" t="s">
        <v>2631</v>
      </c>
      <c r="C1218" s="1">
        <v>121</v>
      </c>
      <c r="D1218" s="1" t="s">
        <v>7</v>
      </c>
      <c r="E1218" s="1" t="s">
        <v>6</v>
      </c>
      <c r="F1218" s="1" t="s">
        <v>5091</v>
      </c>
      <c r="G1218" s="1" t="s">
        <v>7403</v>
      </c>
      <c r="H1218" s="1" t="s">
        <v>44</v>
      </c>
      <c r="I1218" s="17">
        <v>42835</v>
      </c>
    </row>
    <row r="1219" spans="1:9">
      <c r="A1219" s="16" t="s">
        <v>12853</v>
      </c>
      <c r="B1219" s="1" t="s">
        <v>2631</v>
      </c>
      <c r="C1219" s="1">
        <v>121</v>
      </c>
      <c r="D1219" s="1" t="s">
        <v>7</v>
      </c>
      <c r="E1219" s="1" t="s">
        <v>6</v>
      </c>
      <c r="F1219" s="1" t="s">
        <v>5091</v>
      </c>
      <c r="G1219" s="1" t="s">
        <v>7403</v>
      </c>
      <c r="H1219" s="1" t="s">
        <v>44</v>
      </c>
      <c r="I1219" s="17">
        <v>42835</v>
      </c>
    </row>
    <row r="1220" spans="1:9">
      <c r="A1220" s="16" t="s">
        <v>12969</v>
      </c>
      <c r="B1220" s="1" t="s">
        <v>2631</v>
      </c>
      <c r="C1220" s="1">
        <v>121</v>
      </c>
      <c r="D1220" s="1" t="s">
        <v>7</v>
      </c>
      <c r="E1220" s="1" t="s">
        <v>6</v>
      </c>
      <c r="F1220" s="1" t="s">
        <v>5091</v>
      </c>
      <c r="G1220" s="1" t="s">
        <v>7403</v>
      </c>
      <c r="H1220" s="1" t="s">
        <v>44</v>
      </c>
      <c r="I1220" s="17">
        <v>42835</v>
      </c>
    </row>
    <row r="1221" spans="1:9">
      <c r="A1221" s="16" t="s">
        <v>12980</v>
      </c>
      <c r="B1221" s="1" t="s">
        <v>2631</v>
      </c>
      <c r="C1221" s="1">
        <v>121</v>
      </c>
      <c r="D1221" s="1" t="s">
        <v>7</v>
      </c>
      <c r="E1221" s="1" t="s">
        <v>6</v>
      </c>
      <c r="F1221" s="1" t="s">
        <v>5091</v>
      </c>
      <c r="G1221" s="1" t="s">
        <v>7403</v>
      </c>
      <c r="H1221" s="1" t="s">
        <v>44</v>
      </c>
      <c r="I1221" s="17">
        <v>42835</v>
      </c>
    </row>
    <row r="1222" spans="1:9">
      <c r="A1222" s="16" t="s">
        <v>12982</v>
      </c>
      <c r="B1222" s="1" t="s">
        <v>2631</v>
      </c>
      <c r="C1222" s="1">
        <v>121</v>
      </c>
      <c r="D1222" s="1" t="s">
        <v>7</v>
      </c>
      <c r="E1222" s="1" t="s">
        <v>6</v>
      </c>
      <c r="F1222" s="1" t="s">
        <v>5091</v>
      </c>
      <c r="G1222" s="1" t="s">
        <v>7403</v>
      </c>
      <c r="H1222" s="1" t="s">
        <v>44</v>
      </c>
      <c r="I1222" s="17">
        <v>42835</v>
      </c>
    </row>
    <row r="1223" spans="1:9">
      <c r="A1223" s="16" t="s">
        <v>12983</v>
      </c>
      <c r="B1223" s="1" t="s">
        <v>2631</v>
      </c>
      <c r="C1223" s="1">
        <v>121</v>
      </c>
      <c r="D1223" s="1" t="s">
        <v>7</v>
      </c>
      <c r="E1223" s="1" t="s">
        <v>6</v>
      </c>
      <c r="F1223" s="1" t="s">
        <v>5091</v>
      </c>
      <c r="G1223" s="1" t="s">
        <v>7403</v>
      </c>
      <c r="H1223" s="1" t="s">
        <v>44</v>
      </c>
      <c r="I1223" s="17">
        <v>42835</v>
      </c>
    </row>
    <row r="1224" spans="1:9">
      <c r="A1224" s="16" t="s">
        <v>13154</v>
      </c>
      <c r="B1224" s="1" t="s">
        <v>2631</v>
      </c>
      <c r="C1224" s="1">
        <v>121</v>
      </c>
      <c r="D1224" s="1" t="s">
        <v>7</v>
      </c>
      <c r="E1224" s="1" t="s">
        <v>6</v>
      </c>
      <c r="F1224" s="1" t="s">
        <v>876</v>
      </c>
      <c r="G1224" s="1" t="s">
        <v>8102</v>
      </c>
      <c r="H1224" s="1" t="s">
        <v>43</v>
      </c>
      <c r="I1224" s="17">
        <v>40544</v>
      </c>
    </row>
    <row r="1225" spans="1:9">
      <c r="A1225" s="16" t="s">
        <v>13204</v>
      </c>
      <c r="B1225" s="1" t="s">
        <v>2631</v>
      </c>
      <c r="C1225" s="1">
        <v>121</v>
      </c>
      <c r="D1225" s="1" t="s">
        <v>7</v>
      </c>
      <c r="E1225" s="1" t="s">
        <v>6</v>
      </c>
      <c r="F1225" s="1" t="s">
        <v>588</v>
      </c>
      <c r="G1225" s="1" t="s">
        <v>13205</v>
      </c>
      <c r="H1225" s="1" t="s">
        <v>5</v>
      </c>
      <c r="I1225" s="17">
        <v>40016</v>
      </c>
    </row>
    <row r="1226" spans="1:9">
      <c r="A1226" s="16" t="s">
        <v>13211</v>
      </c>
      <c r="B1226" s="1" t="s">
        <v>2631</v>
      </c>
      <c r="C1226" s="1">
        <v>121</v>
      </c>
      <c r="D1226" s="1" t="s">
        <v>7</v>
      </c>
      <c r="E1226" s="1" t="s">
        <v>6</v>
      </c>
      <c r="F1226" s="1" t="s">
        <v>5091</v>
      </c>
      <c r="G1226" s="1" t="s">
        <v>6145</v>
      </c>
      <c r="H1226" s="1" t="s">
        <v>43</v>
      </c>
      <c r="I1226" s="17">
        <v>41306</v>
      </c>
    </row>
    <row r="1227" spans="1:9">
      <c r="A1227" s="16" t="s">
        <v>13560</v>
      </c>
      <c r="B1227" s="1" t="s">
        <v>2631</v>
      </c>
      <c r="C1227" s="1">
        <v>121</v>
      </c>
      <c r="D1227" s="1" t="s">
        <v>7</v>
      </c>
      <c r="E1227" s="1" t="s">
        <v>6</v>
      </c>
      <c r="F1227" s="1" t="s">
        <v>2699</v>
      </c>
      <c r="G1227" s="1" t="s">
        <v>9380</v>
      </c>
      <c r="H1227" s="1" t="s">
        <v>5</v>
      </c>
      <c r="I1227" s="17">
        <v>38503</v>
      </c>
    </row>
    <row r="1228" spans="1:9">
      <c r="A1228" s="16" t="s">
        <v>13563</v>
      </c>
      <c r="B1228" s="1" t="s">
        <v>2631</v>
      </c>
      <c r="C1228" s="1">
        <v>121</v>
      </c>
      <c r="D1228" s="1" t="s">
        <v>7</v>
      </c>
      <c r="E1228" s="1" t="s">
        <v>6</v>
      </c>
      <c r="F1228" s="1" t="s">
        <v>2699</v>
      </c>
      <c r="G1228" s="1" t="s">
        <v>9380</v>
      </c>
      <c r="H1228" s="1" t="s">
        <v>5</v>
      </c>
      <c r="I1228" s="17">
        <v>38503</v>
      </c>
    </row>
    <row r="1229" spans="1:9">
      <c r="A1229" s="16" t="s">
        <v>13588</v>
      </c>
      <c r="B1229" s="1" t="s">
        <v>2631</v>
      </c>
      <c r="C1229" s="1">
        <v>121</v>
      </c>
      <c r="D1229" s="1" t="s">
        <v>7</v>
      </c>
      <c r="E1229" s="1" t="s">
        <v>6</v>
      </c>
      <c r="F1229" s="1" t="s">
        <v>2699</v>
      </c>
      <c r="G1229" s="1" t="s">
        <v>13589</v>
      </c>
      <c r="H1229" s="1" t="s">
        <v>5</v>
      </c>
      <c r="I1229" s="17">
        <v>40855</v>
      </c>
    </row>
    <row r="1230" spans="1:9">
      <c r="A1230" s="16" t="s">
        <v>13689</v>
      </c>
      <c r="B1230" s="1" t="s">
        <v>2631</v>
      </c>
      <c r="C1230" s="1">
        <v>121</v>
      </c>
      <c r="D1230" s="1" t="s">
        <v>7</v>
      </c>
      <c r="E1230" s="1" t="s">
        <v>6</v>
      </c>
      <c r="F1230" s="1" t="s">
        <v>5091</v>
      </c>
      <c r="G1230" s="1" t="s">
        <v>6186</v>
      </c>
      <c r="H1230" s="1" t="s">
        <v>5</v>
      </c>
      <c r="I1230" s="17">
        <v>42736</v>
      </c>
    </row>
    <row r="1231" spans="1:9">
      <c r="A1231" s="16" t="s">
        <v>13785</v>
      </c>
      <c r="B1231" s="1" t="s">
        <v>2631</v>
      </c>
      <c r="C1231" s="1">
        <v>121</v>
      </c>
      <c r="D1231" s="1" t="s">
        <v>7</v>
      </c>
      <c r="E1231" s="1" t="s">
        <v>6</v>
      </c>
      <c r="F1231" s="1" t="s">
        <v>2698</v>
      </c>
      <c r="G1231" s="1" t="s">
        <v>6307</v>
      </c>
      <c r="H1231" s="1" t="s">
        <v>44</v>
      </c>
      <c r="I1231" s="17">
        <v>40909</v>
      </c>
    </row>
    <row r="1232" spans="1:9">
      <c r="A1232" s="16" t="s">
        <v>13796</v>
      </c>
      <c r="B1232" s="1" t="s">
        <v>2631</v>
      </c>
      <c r="C1232" s="1">
        <v>121</v>
      </c>
      <c r="D1232" s="1" t="s">
        <v>7</v>
      </c>
      <c r="E1232" s="1" t="s">
        <v>6</v>
      </c>
      <c r="F1232" s="1" t="s">
        <v>2698</v>
      </c>
      <c r="G1232" s="1" t="s">
        <v>6307</v>
      </c>
      <c r="H1232" s="1" t="s">
        <v>44</v>
      </c>
      <c r="I1232" s="17">
        <v>40544</v>
      </c>
    </row>
    <row r="1233" spans="1:10">
      <c r="A1233" s="16" t="s">
        <v>13799</v>
      </c>
      <c r="B1233" s="1" t="s">
        <v>2631</v>
      </c>
      <c r="C1233" s="1">
        <v>121</v>
      </c>
      <c r="D1233" s="1" t="s">
        <v>7</v>
      </c>
      <c r="E1233" s="1" t="s">
        <v>6</v>
      </c>
      <c r="F1233" s="1" t="s">
        <v>2698</v>
      </c>
      <c r="G1233" s="1" t="s">
        <v>6307</v>
      </c>
      <c r="H1233" s="1" t="s">
        <v>44</v>
      </c>
      <c r="I1233" s="17">
        <v>40544</v>
      </c>
    </row>
    <row r="1234" spans="1:10">
      <c r="A1234" s="16" t="s">
        <v>13801</v>
      </c>
      <c r="B1234" s="1" t="s">
        <v>2631</v>
      </c>
      <c r="C1234" s="1">
        <v>121</v>
      </c>
      <c r="D1234" s="1" t="s">
        <v>7</v>
      </c>
      <c r="E1234" s="1" t="s">
        <v>6</v>
      </c>
      <c r="F1234" s="1" t="s">
        <v>2698</v>
      </c>
      <c r="G1234" s="1" t="s">
        <v>6307</v>
      </c>
      <c r="H1234" s="1" t="s">
        <v>44</v>
      </c>
      <c r="I1234" s="17">
        <v>40544</v>
      </c>
    </row>
    <row r="1235" spans="1:10">
      <c r="A1235" s="16" t="s">
        <v>13802</v>
      </c>
      <c r="B1235" s="1" t="s">
        <v>2631</v>
      </c>
      <c r="C1235" s="1">
        <v>121</v>
      </c>
      <c r="D1235" s="1" t="s">
        <v>7</v>
      </c>
      <c r="E1235" s="1" t="s">
        <v>6</v>
      </c>
      <c r="F1235" s="1" t="s">
        <v>2698</v>
      </c>
      <c r="G1235" s="1" t="s">
        <v>6307</v>
      </c>
      <c r="H1235" s="1" t="s">
        <v>44</v>
      </c>
      <c r="I1235" s="17">
        <v>40544</v>
      </c>
    </row>
    <row r="1236" spans="1:10">
      <c r="A1236" s="16" t="s">
        <v>13804</v>
      </c>
      <c r="B1236" s="1" t="s">
        <v>2631</v>
      </c>
      <c r="C1236" s="1">
        <v>121</v>
      </c>
      <c r="D1236" s="1" t="s">
        <v>7</v>
      </c>
      <c r="E1236" s="1" t="s">
        <v>6</v>
      </c>
      <c r="F1236" s="1" t="s">
        <v>2698</v>
      </c>
      <c r="G1236" s="1" t="s">
        <v>6307</v>
      </c>
      <c r="H1236" s="1" t="s">
        <v>44</v>
      </c>
      <c r="I1236" s="17">
        <v>40544</v>
      </c>
    </row>
    <row r="1237" spans="1:10">
      <c r="A1237" s="16" t="s">
        <v>13805</v>
      </c>
      <c r="B1237" s="1" t="s">
        <v>2631</v>
      </c>
      <c r="C1237" s="1">
        <v>121</v>
      </c>
      <c r="D1237" s="1" t="s">
        <v>7</v>
      </c>
      <c r="E1237" s="1" t="s">
        <v>6</v>
      </c>
      <c r="F1237" s="1" t="s">
        <v>2698</v>
      </c>
      <c r="G1237" s="1" t="s">
        <v>6307</v>
      </c>
      <c r="H1237" s="1" t="s">
        <v>44</v>
      </c>
      <c r="I1237" s="17">
        <v>40544</v>
      </c>
    </row>
    <row r="1238" spans="1:10">
      <c r="A1238" s="16" t="s">
        <v>13806</v>
      </c>
      <c r="B1238" s="1" t="s">
        <v>2631</v>
      </c>
      <c r="C1238" s="1">
        <v>121</v>
      </c>
      <c r="D1238" s="1" t="s">
        <v>7</v>
      </c>
      <c r="E1238" s="1" t="s">
        <v>6</v>
      </c>
      <c r="F1238" s="1" t="s">
        <v>2698</v>
      </c>
      <c r="G1238" s="1" t="s">
        <v>6307</v>
      </c>
      <c r="H1238" s="1" t="s">
        <v>44</v>
      </c>
      <c r="I1238" s="17">
        <v>40544</v>
      </c>
    </row>
    <row r="1239" spans="1:10">
      <c r="A1239" s="16" t="s">
        <v>13807</v>
      </c>
      <c r="B1239" s="1" t="s">
        <v>2631</v>
      </c>
      <c r="C1239" s="1">
        <v>121</v>
      </c>
      <c r="D1239" s="1" t="s">
        <v>7</v>
      </c>
      <c r="E1239" s="1" t="s">
        <v>6</v>
      </c>
      <c r="F1239" s="1" t="s">
        <v>2698</v>
      </c>
      <c r="G1239" s="1" t="s">
        <v>4803</v>
      </c>
      <c r="H1239" s="1" t="s">
        <v>5</v>
      </c>
      <c r="I1239" s="17">
        <v>40544</v>
      </c>
      <c r="J1239" s="17"/>
    </row>
    <row r="1240" spans="1:10">
      <c r="A1240" s="16" t="s">
        <v>13808</v>
      </c>
      <c r="B1240" s="1" t="s">
        <v>2631</v>
      </c>
      <c r="C1240" s="1">
        <v>121</v>
      </c>
      <c r="D1240" s="1" t="s">
        <v>7</v>
      </c>
      <c r="E1240" s="1" t="s">
        <v>6</v>
      </c>
      <c r="F1240" s="1" t="s">
        <v>2698</v>
      </c>
      <c r="G1240" s="1" t="s">
        <v>4803</v>
      </c>
      <c r="H1240" s="1" t="s">
        <v>5</v>
      </c>
      <c r="I1240" s="17">
        <v>40544</v>
      </c>
      <c r="J1240" s="17"/>
    </row>
    <row r="1241" spans="1:10">
      <c r="A1241" s="16" t="s">
        <v>13813</v>
      </c>
      <c r="B1241" s="1" t="s">
        <v>2631</v>
      </c>
      <c r="C1241" s="1">
        <v>121</v>
      </c>
      <c r="D1241" s="1" t="s">
        <v>7</v>
      </c>
      <c r="E1241" s="1" t="s">
        <v>6</v>
      </c>
      <c r="F1241" s="1" t="s">
        <v>2698</v>
      </c>
      <c r="G1241" s="1" t="s">
        <v>6307</v>
      </c>
      <c r="H1241" s="1" t="s">
        <v>44</v>
      </c>
      <c r="I1241" s="17">
        <v>39814</v>
      </c>
    </row>
    <row r="1242" spans="1:10">
      <c r="A1242" s="16" t="s">
        <v>13818</v>
      </c>
      <c r="B1242" s="1" t="s">
        <v>2631</v>
      </c>
      <c r="C1242" s="1">
        <v>121</v>
      </c>
      <c r="D1242" s="1" t="s">
        <v>7</v>
      </c>
      <c r="E1242" s="1" t="s">
        <v>6</v>
      </c>
      <c r="F1242" s="1" t="s">
        <v>2698</v>
      </c>
      <c r="G1242" s="14" t="s">
        <v>4458</v>
      </c>
      <c r="H1242" s="1" t="s">
        <v>118</v>
      </c>
      <c r="I1242" s="17">
        <v>40909</v>
      </c>
    </row>
    <row r="1243" spans="1:10">
      <c r="A1243" s="16" t="s">
        <v>13932</v>
      </c>
      <c r="B1243" s="1" t="s">
        <v>2631</v>
      </c>
      <c r="C1243" s="1">
        <v>121</v>
      </c>
      <c r="D1243" s="1" t="s">
        <v>7</v>
      </c>
      <c r="E1243" s="1" t="s">
        <v>6</v>
      </c>
      <c r="F1243" s="1" t="s">
        <v>5091</v>
      </c>
      <c r="G1243" s="1" t="s">
        <v>6186</v>
      </c>
      <c r="H1243" s="1" t="s">
        <v>5</v>
      </c>
      <c r="I1243" s="17">
        <v>43101</v>
      </c>
    </row>
    <row r="1244" spans="1:10">
      <c r="A1244" s="16" t="s">
        <v>14001</v>
      </c>
      <c r="B1244" s="1" t="s">
        <v>2631</v>
      </c>
      <c r="C1244" s="1">
        <v>121</v>
      </c>
      <c r="D1244" s="1" t="s">
        <v>7</v>
      </c>
      <c r="E1244" s="1" t="s">
        <v>6</v>
      </c>
      <c r="F1244" s="1" t="s">
        <v>5091</v>
      </c>
      <c r="G1244" s="1" t="s">
        <v>14002</v>
      </c>
      <c r="H1244" s="1" t="s">
        <v>5</v>
      </c>
      <c r="I1244" s="17">
        <v>36161</v>
      </c>
      <c r="J1244" s="17"/>
    </row>
    <row r="1245" spans="1:10">
      <c r="A1245" s="16" t="s">
        <v>14052</v>
      </c>
      <c r="B1245" s="1" t="s">
        <v>2631</v>
      </c>
      <c r="C1245" s="1">
        <v>121</v>
      </c>
      <c r="D1245" s="1" t="s">
        <v>7</v>
      </c>
      <c r="E1245" s="1" t="s">
        <v>6</v>
      </c>
      <c r="F1245" s="1" t="s">
        <v>5241</v>
      </c>
      <c r="G1245" s="1" t="s">
        <v>14053</v>
      </c>
      <c r="H1245" s="1" t="s">
        <v>5</v>
      </c>
      <c r="I1245" s="17">
        <v>40659</v>
      </c>
      <c r="J1245" s="17"/>
    </row>
    <row r="1246" spans="1:10" ht="31.2">
      <c r="A1246" s="16" t="s">
        <v>14167</v>
      </c>
      <c r="B1246" s="1" t="s">
        <v>2631</v>
      </c>
      <c r="C1246" s="1">
        <v>121</v>
      </c>
      <c r="D1246" s="1" t="s">
        <v>7</v>
      </c>
      <c r="E1246" s="1" t="s">
        <v>6</v>
      </c>
      <c r="F1246" s="1" t="s">
        <v>5241</v>
      </c>
      <c r="G1246" s="1" t="s">
        <v>2387</v>
      </c>
      <c r="H1246" s="1" t="s">
        <v>5</v>
      </c>
      <c r="I1246" s="17">
        <v>37567</v>
      </c>
    </row>
    <row r="1247" spans="1:10">
      <c r="A1247" s="16" t="s">
        <v>14420</v>
      </c>
      <c r="B1247" s="1" t="s">
        <v>2631</v>
      </c>
      <c r="C1247" s="1">
        <v>121</v>
      </c>
      <c r="D1247" s="1" t="s">
        <v>7</v>
      </c>
      <c r="E1247" s="1" t="s">
        <v>6</v>
      </c>
      <c r="F1247" s="1" t="s">
        <v>5091</v>
      </c>
      <c r="G1247" s="1" t="s">
        <v>6145</v>
      </c>
      <c r="H1247" s="1" t="s">
        <v>43</v>
      </c>
      <c r="I1247" s="17">
        <v>40479</v>
      </c>
    </row>
    <row r="1248" spans="1:10">
      <c r="A1248" s="16" t="s">
        <v>14421</v>
      </c>
      <c r="B1248" s="1" t="s">
        <v>2631</v>
      </c>
      <c r="C1248" s="1">
        <v>121</v>
      </c>
      <c r="D1248" s="1" t="s">
        <v>7</v>
      </c>
      <c r="E1248" s="1" t="s">
        <v>6</v>
      </c>
      <c r="F1248" s="1" t="s">
        <v>5091</v>
      </c>
      <c r="G1248" s="1" t="s">
        <v>6145</v>
      </c>
      <c r="H1248" s="1" t="s">
        <v>43</v>
      </c>
      <c r="I1248" s="17">
        <v>40479</v>
      </c>
      <c r="J1248" s="11"/>
    </row>
    <row r="1249" spans="1:10">
      <c r="A1249" s="7" t="s">
        <v>14469</v>
      </c>
      <c r="B1249" s="2" t="s">
        <v>2631</v>
      </c>
      <c r="C1249" s="1">
        <v>121</v>
      </c>
      <c r="D1249" s="1" t="s">
        <v>7</v>
      </c>
      <c r="E1249" s="1" t="s">
        <v>6</v>
      </c>
      <c r="F1249" s="1" t="s">
        <v>5091</v>
      </c>
      <c r="G1249" s="14" t="s">
        <v>14463</v>
      </c>
      <c r="H1249" s="1" t="s">
        <v>5</v>
      </c>
      <c r="I1249" s="1" t="s">
        <v>4789</v>
      </c>
    </row>
    <row r="1250" spans="1:10">
      <c r="A1250" s="7" t="s">
        <v>14487</v>
      </c>
      <c r="B1250" s="2" t="s">
        <v>2631</v>
      </c>
      <c r="C1250" s="1">
        <v>121</v>
      </c>
      <c r="D1250" s="1" t="s">
        <v>7</v>
      </c>
      <c r="E1250" s="1" t="s">
        <v>6</v>
      </c>
      <c r="F1250" s="1" t="s">
        <v>5596</v>
      </c>
      <c r="G1250" s="14" t="s">
        <v>14463</v>
      </c>
      <c r="H1250" s="1" t="s">
        <v>5</v>
      </c>
      <c r="I1250" s="1" t="s">
        <v>6844</v>
      </c>
    </row>
    <row r="1251" spans="1:10">
      <c r="A1251" s="7" t="s">
        <v>14488</v>
      </c>
      <c r="B1251" s="2" t="s">
        <v>2631</v>
      </c>
      <c r="C1251" s="1">
        <v>121</v>
      </c>
      <c r="D1251" s="1" t="s">
        <v>7</v>
      </c>
      <c r="E1251" s="1" t="s">
        <v>6</v>
      </c>
      <c r="F1251" s="1" t="s">
        <v>5596</v>
      </c>
      <c r="G1251" s="14" t="s">
        <v>14463</v>
      </c>
      <c r="H1251" s="1" t="s">
        <v>5</v>
      </c>
      <c r="I1251" s="1" t="s">
        <v>4789</v>
      </c>
    </row>
    <row r="1252" spans="1:10">
      <c r="A1252" s="7" t="s">
        <v>14490</v>
      </c>
      <c r="B1252" s="2" t="s">
        <v>2631</v>
      </c>
      <c r="C1252" s="1">
        <v>121</v>
      </c>
      <c r="D1252" s="1" t="s">
        <v>7</v>
      </c>
      <c r="E1252" s="1" t="s">
        <v>6</v>
      </c>
      <c r="F1252" s="1" t="s">
        <v>5596</v>
      </c>
      <c r="G1252" s="14" t="s">
        <v>14463</v>
      </c>
      <c r="H1252" s="1" t="s">
        <v>5</v>
      </c>
      <c r="I1252" s="1" t="s">
        <v>6844</v>
      </c>
    </row>
    <row r="1253" spans="1:10">
      <c r="A1253" s="7" t="s">
        <v>14522</v>
      </c>
      <c r="B1253" s="2" t="s">
        <v>2631</v>
      </c>
      <c r="C1253" s="1">
        <v>121</v>
      </c>
      <c r="D1253" s="1" t="s">
        <v>7</v>
      </c>
      <c r="E1253" s="1" t="s">
        <v>6</v>
      </c>
      <c r="F1253" s="1" t="s">
        <v>5596</v>
      </c>
      <c r="G1253" s="14" t="s">
        <v>14463</v>
      </c>
      <c r="H1253" s="1" t="s">
        <v>5</v>
      </c>
      <c r="I1253" s="1" t="s">
        <v>4789</v>
      </c>
    </row>
    <row r="1254" spans="1:10">
      <c r="A1254" s="16" t="s">
        <v>14538</v>
      </c>
      <c r="B1254" s="1" t="s">
        <v>2631</v>
      </c>
      <c r="C1254" s="1">
        <v>121</v>
      </c>
      <c r="D1254" s="1" t="s">
        <v>7</v>
      </c>
      <c r="E1254" s="1" t="s">
        <v>6</v>
      </c>
      <c r="F1254" s="1" t="s">
        <v>876</v>
      </c>
      <c r="G1254" s="1" t="s">
        <v>14539</v>
      </c>
      <c r="H1254" s="1" t="s">
        <v>5</v>
      </c>
      <c r="I1254" s="17">
        <v>41275</v>
      </c>
    </row>
    <row r="1255" spans="1:10">
      <c r="A1255" s="16" t="s">
        <v>14582</v>
      </c>
      <c r="B1255" s="1" t="s">
        <v>2631</v>
      </c>
      <c r="C1255" s="1">
        <v>121</v>
      </c>
      <c r="D1255" s="1" t="s">
        <v>7</v>
      </c>
      <c r="E1255" s="1" t="s">
        <v>6</v>
      </c>
      <c r="F1255" s="1" t="s">
        <v>5241</v>
      </c>
      <c r="G1255" s="1" t="s">
        <v>2387</v>
      </c>
      <c r="H1255" s="1" t="s">
        <v>5</v>
      </c>
      <c r="I1255" s="17">
        <v>37658</v>
      </c>
    </row>
    <row r="1256" spans="1:10">
      <c r="A1256" s="16" t="s">
        <v>14600</v>
      </c>
      <c r="B1256" s="1" t="s">
        <v>2631</v>
      </c>
      <c r="C1256" s="1">
        <v>121</v>
      </c>
      <c r="D1256" s="1" t="s">
        <v>7</v>
      </c>
      <c r="E1256" s="1" t="s">
        <v>6</v>
      </c>
      <c r="F1256" s="1" t="s">
        <v>5241</v>
      </c>
      <c r="G1256" s="1" t="s">
        <v>7952</v>
      </c>
      <c r="H1256" s="1" t="s">
        <v>5</v>
      </c>
      <c r="I1256" s="17">
        <v>37658</v>
      </c>
      <c r="J1256" s="17"/>
    </row>
    <row r="1257" spans="1:10">
      <c r="A1257" s="16" t="s">
        <v>14605</v>
      </c>
      <c r="B1257" s="1" t="s">
        <v>2631</v>
      </c>
      <c r="C1257" s="1">
        <v>121</v>
      </c>
      <c r="D1257" s="1" t="s">
        <v>7</v>
      </c>
      <c r="E1257" s="1" t="s">
        <v>6</v>
      </c>
      <c r="F1257" s="1" t="s">
        <v>588</v>
      </c>
      <c r="G1257" s="1" t="s">
        <v>14606</v>
      </c>
      <c r="H1257" s="1" t="s">
        <v>5</v>
      </c>
      <c r="I1257" s="17">
        <v>39035</v>
      </c>
    </row>
    <row r="1258" spans="1:10">
      <c r="A1258" s="16" t="s">
        <v>14608</v>
      </c>
      <c r="B1258" s="1" t="s">
        <v>2631</v>
      </c>
      <c r="C1258" s="1">
        <v>121</v>
      </c>
      <c r="D1258" s="1" t="s">
        <v>7</v>
      </c>
      <c r="E1258" s="1" t="s">
        <v>6</v>
      </c>
      <c r="F1258" s="1" t="s">
        <v>449</v>
      </c>
      <c r="G1258" s="1" t="s">
        <v>11355</v>
      </c>
      <c r="H1258" s="1" t="s">
        <v>5</v>
      </c>
      <c r="I1258" s="17">
        <v>38454</v>
      </c>
    </row>
    <row r="1259" spans="1:10">
      <c r="A1259" s="16" t="s">
        <v>14792</v>
      </c>
      <c r="B1259" s="1" t="s">
        <v>2631</v>
      </c>
      <c r="C1259" s="1">
        <v>121</v>
      </c>
      <c r="D1259" s="1" t="s">
        <v>7</v>
      </c>
      <c r="E1259" s="1" t="s">
        <v>6</v>
      </c>
      <c r="F1259" s="1" t="s">
        <v>5241</v>
      </c>
      <c r="G1259" s="1" t="s">
        <v>4803</v>
      </c>
      <c r="H1259" s="1" t="s">
        <v>5</v>
      </c>
      <c r="I1259" s="17">
        <v>42583</v>
      </c>
      <c r="J1259" s="17"/>
    </row>
    <row r="1260" spans="1:10">
      <c r="A1260" s="16" t="s">
        <v>14793</v>
      </c>
      <c r="B1260" s="1" t="s">
        <v>2631</v>
      </c>
      <c r="C1260" s="1">
        <v>121</v>
      </c>
      <c r="D1260" s="1" t="s">
        <v>7</v>
      </c>
      <c r="E1260" s="1" t="s">
        <v>6</v>
      </c>
      <c r="F1260" s="1" t="s">
        <v>5241</v>
      </c>
      <c r="G1260" s="1" t="s">
        <v>6307</v>
      </c>
      <c r="H1260" s="1" t="s">
        <v>44</v>
      </c>
      <c r="I1260" s="17">
        <v>43252</v>
      </c>
    </row>
    <row r="1261" spans="1:10">
      <c r="A1261" s="16" t="s">
        <v>14795</v>
      </c>
      <c r="B1261" s="1" t="s">
        <v>2631</v>
      </c>
      <c r="C1261" s="1">
        <v>121</v>
      </c>
      <c r="D1261" s="1" t="s">
        <v>7</v>
      </c>
      <c r="E1261" s="1" t="s">
        <v>6</v>
      </c>
      <c r="F1261" s="1" t="s">
        <v>5241</v>
      </c>
      <c r="G1261" s="1" t="s">
        <v>4803</v>
      </c>
      <c r="H1261" s="1" t="s">
        <v>5</v>
      </c>
      <c r="I1261" s="17">
        <v>42278</v>
      </c>
      <c r="J1261" s="17"/>
    </row>
    <row r="1262" spans="1:10">
      <c r="A1262" s="16" t="s">
        <v>14800</v>
      </c>
      <c r="B1262" s="1" t="s">
        <v>2631</v>
      </c>
      <c r="C1262" s="1">
        <v>121</v>
      </c>
      <c r="D1262" s="1" t="s">
        <v>7</v>
      </c>
      <c r="E1262" s="1" t="s">
        <v>6</v>
      </c>
      <c r="F1262" s="1" t="s">
        <v>5241</v>
      </c>
      <c r="G1262" s="1" t="s">
        <v>4803</v>
      </c>
      <c r="H1262" s="1" t="s">
        <v>5</v>
      </c>
      <c r="I1262" s="17">
        <v>42430</v>
      </c>
      <c r="J1262" s="17"/>
    </row>
    <row r="1263" spans="1:10">
      <c r="A1263" s="16" t="s">
        <v>14803</v>
      </c>
      <c r="B1263" s="1" t="s">
        <v>2631</v>
      </c>
      <c r="C1263" s="1">
        <v>121</v>
      </c>
      <c r="D1263" s="1" t="s">
        <v>7</v>
      </c>
      <c r="E1263" s="1" t="s">
        <v>6</v>
      </c>
      <c r="F1263" s="1" t="s">
        <v>5241</v>
      </c>
      <c r="G1263" s="1" t="s">
        <v>4803</v>
      </c>
      <c r="H1263" s="1" t="s">
        <v>5</v>
      </c>
      <c r="I1263" s="17">
        <v>42826</v>
      </c>
      <c r="J1263" s="17"/>
    </row>
    <row r="1264" spans="1:10">
      <c r="A1264" s="16" t="s">
        <v>14804</v>
      </c>
      <c r="B1264" s="1" t="s">
        <v>2631</v>
      </c>
      <c r="C1264" s="1">
        <v>121</v>
      </c>
      <c r="D1264" s="1" t="s">
        <v>7</v>
      </c>
      <c r="E1264" s="1" t="s">
        <v>6</v>
      </c>
      <c r="F1264" s="1" t="s">
        <v>5241</v>
      </c>
      <c r="G1264" s="1" t="s">
        <v>4803</v>
      </c>
      <c r="H1264" s="1" t="s">
        <v>5</v>
      </c>
      <c r="I1264" s="17">
        <v>42430</v>
      </c>
      <c r="J1264" s="17"/>
    </row>
    <row r="1265" spans="1:10">
      <c r="A1265" s="16" t="s">
        <v>14807</v>
      </c>
      <c r="B1265" s="1" t="s">
        <v>2631</v>
      </c>
      <c r="C1265" s="1">
        <v>121</v>
      </c>
      <c r="D1265" s="1" t="s">
        <v>7</v>
      </c>
      <c r="E1265" s="1" t="s">
        <v>6</v>
      </c>
      <c r="F1265" s="1" t="s">
        <v>5241</v>
      </c>
      <c r="G1265" s="1" t="s">
        <v>4803</v>
      </c>
      <c r="H1265" s="1" t="s">
        <v>5</v>
      </c>
      <c r="I1265" s="17">
        <v>43252</v>
      </c>
      <c r="J1265" s="17"/>
    </row>
    <row r="1266" spans="1:10">
      <c r="A1266" s="16" t="s">
        <v>14808</v>
      </c>
      <c r="B1266" s="1" t="s">
        <v>2631</v>
      </c>
      <c r="C1266" s="1">
        <v>121</v>
      </c>
      <c r="D1266" s="1" t="s">
        <v>7</v>
      </c>
      <c r="E1266" s="1" t="s">
        <v>6</v>
      </c>
      <c r="F1266" s="1" t="s">
        <v>5241</v>
      </c>
      <c r="G1266" s="1" t="s">
        <v>4803</v>
      </c>
      <c r="H1266" s="1" t="s">
        <v>5</v>
      </c>
      <c r="I1266" s="17">
        <v>43313</v>
      </c>
      <c r="J1266" s="17"/>
    </row>
    <row r="1267" spans="1:10">
      <c r="A1267" s="16" t="s">
        <v>14810</v>
      </c>
      <c r="B1267" s="1" t="s">
        <v>2631</v>
      </c>
      <c r="C1267" s="1">
        <v>121</v>
      </c>
      <c r="D1267" s="1" t="s">
        <v>7</v>
      </c>
      <c r="E1267" s="1" t="s">
        <v>6</v>
      </c>
      <c r="F1267" s="1" t="s">
        <v>5241</v>
      </c>
      <c r="G1267" s="1" t="s">
        <v>4803</v>
      </c>
      <c r="H1267" s="1" t="s">
        <v>5</v>
      </c>
      <c r="I1267" s="17">
        <v>42614</v>
      </c>
      <c r="J1267" s="17"/>
    </row>
    <row r="1268" spans="1:10">
      <c r="A1268" s="16" t="s">
        <v>14811</v>
      </c>
      <c r="B1268" s="1" t="s">
        <v>2631</v>
      </c>
      <c r="C1268" s="1">
        <v>833</v>
      </c>
      <c r="D1268" s="1" t="s">
        <v>7</v>
      </c>
      <c r="E1268" s="1" t="s">
        <v>6</v>
      </c>
      <c r="F1268" s="1" t="s">
        <v>5241</v>
      </c>
      <c r="G1268" s="1" t="s">
        <v>4803</v>
      </c>
      <c r="H1268" s="1" t="s">
        <v>5</v>
      </c>
      <c r="I1268" s="17">
        <v>42522</v>
      </c>
      <c r="J1268" s="17"/>
    </row>
    <row r="1269" spans="1:10">
      <c r="A1269" s="16" t="s">
        <v>14812</v>
      </c>
      <c r="B1269" s="1" t="s">
        <v>2631</v>
      </c>
      <c r="C1269" s="1">
        <v>121</v>
      </c>
      <c r="D1269" s="1" t="s">
        <v>7</v>
      </c>
      <c r="E1269" s="1" t="s">
        <v>6</v>
      </c>
      <c r="F1269" s="1" t="s">
        <v>5241</v>
      </c>
      <c r="G1269" s="1" t="s">
        <v>4803</v>
      </c>
      <c r="H1269" s="1" t="s">
        <v>5</v>
      </c>
      <c r="I1269" s="17">
        <v>42552</v>
      </c>
      <c r="J1269" s="17"/>
    </row>
    <row r="1270" spans="1:10">
      <c r="A1270" s="16" t="s">
        <v>14813</v>
      </c>
      <c r="B1270" s="1" t="s">
        <v>2631</v>
      </c>
      <c r="C1270" s="1">
        <v>121</v>
      </c>
      <c r="D1270" s="1" t="s">
        <v>7</v>
      </c>
      <c r="E1270" s="1" t="s">
        <v>6</v>
      </c>
      <c r="F1270" s="1" t="s">
        <v>5241</v>
      </c>
      <c r="G1270" s="1" t="s">
        <v>4803</v>
      </c>
      <c r="H1270" s="1" t="s">
        <v>5</v>
      </c>
      <c r="I1270" s="17">
        <v>43070</v>
      </c>
      <c r="J1270" s="17"/>
    </row>
    <row r="1271" spans="1:10">
      <c r="A1271" s="16" t="s">
        <v>14814</v>
      </c>
      <c r="B1271" s="1" t="s">
        <v>2631</v>
      </c>
      <c r="C1271" s="1">
        <v>121</v>
      </c>
      <c r="D1271" s="1" t="s">
        <v>7</v>
      </c>
      <c r="E1271" s="1" t="s">
        <v>6</v>
      </c>
      <c r="F1271" s="1" t="s">
        <v>5241</v>
      </c>
      <c r="G1271" s="1" t="s">
        <v>4803</v>
      </c>
      <c r="H1271" s="1" t="s">
        <v>5</v>
      </c>
      <c r="I1271" s="17">
        <v>42522</v>
      </c>
      <c r="J1271" s="17"/>
    </row>
    <row r="1272" spans="1:10">
      <c r="A1272" s="16" t="s">
        <v>14815</v>
      </c>
      <c r="B1272" s="1" t="s">
        <v>2631</v>
      </c>
      <c r="C1272" s="1">
        <v>121</v>
      </c>
      <c r="D1272" s="1" t="s">
        <v>7</v>
      </c>
      <c r="E1272" s="1" t="s">
        <v>6</v>
      </c>
      <c r="F1272" s="1" t="s">
        <v>5241</v>
      </c>
      <c r="G1272" s="1" t="s">
        <v>4803</v>
      </c>
      <c r="H1272" s="1" t="s">
        <v>5</v>
      </c>
      <c r="I1272" s="17">
        <v>43132</v>
      </c>
      <c r="J1272" s="17"/>
    </row>
    <row r="1273" spans="1:10">
      <c r="A1273" s="16" t="s">
        <v>14818</v>
      </c>
      <c r="B1273" s="1" t="s">
        <v>2631</v>
      </c>
      <c r="C1273" s="1">
        <v>121</v>
      </c>
      <c r="D1273" s="1" t="s">
        <v>7</v>
      </c>
      <c r="E1273" s="1" t="s">
        <v>6</v>
      </c>
      <c r="F1273" s="1" t="s">
        <v>5241</v>
      </c>
      <c r="G1273" s="1" t="s">
        <v>6307</v>
      </c>
      <c r="H1273" s="1" t="s">
        <v>44</v>
      </c>
      <c r="I1273" s="17">
        <v>43252</v>
      </c>
    </row>
    <row r="1274" spans="1:10">
      <c r="A1274" s="16" t="s">
        <v>14819</v>
      </c>
      <c r="B1274" s="1" t="s">
        <v>2631</v>
      </c>
      <c r="C1274" s="1">
        <v>121</v>
      </c>
      <c r="D1274" s="1" t="s">
        <v>7</v>
      </c>
      <c r="E1274" s="1" t="s">
        <v>6</v>
      </c>
      <c r="F1274" s="1" t="s">
        <v>5241</v>
      </c>
      <c r="G1274" s="1" t="s">
        <v>4803</v>
      </c>
      <c r="H1274" s="1" t="s">
        <v>5</v>
      </c>
      <c r="I1274" s="17">
        <v>42948</v>
      </c>
      <c r="J1274" s="17"/>
    </row>
    <row r="1275" spans="1:10">
      <c r="A1275" s="16" t="s">
        <v>14820</v>
      </c>
      <c r="B1275" s="1" t="s">
        <v>2631</v>
      </c>
      <c r="C1275" s="1">
        <v>121</v>
      </c>
      <c r="D1275" s="1" t="s">
        <v>7</v>
      </c>
      <c r="E1275" s="1" t="s">
        <v>6</v>
      </c>
      <c r="F1275" s="1" t="s">
        <v>5241</v>
      </c>
      <c r="G1275" s="1" t="s">
        <v>6307</v>
      </c>
      <c r="H1275" s="1" t="s">
        <v>44</v>
      </c>
      <c r="I1275" s="17">
        <v>43009</v>
      </c>
    </row>
    <row r="1276" spans="1:10">
      <c r="A1276" s="16" t="s">
        <v>14822</v>
      </c>
      <c r="B1276" s="1" t="s">
        <v>2631</v>
      </c>
      <c r="C1276" s="1">
        <v>121</v>
      </c>
      <c r="D1276" s="1" t="s">
        <v>7</v>
      </c>
      <c r="E1276" s="1" t="s">
        <v>6</v>
      </c>
      <c r="F1276" s="1" t="s">
        <v>5241</v>
      </c>
      <c r="G1276" s="1" t="s">
        <v>6307</v>
      </c>
      <c r="H1276" s="1" t="s">
        <v>44</v>
      </c>
      <c r="I1276" s="17">
        <v>42583</v>
      </c>
    </row>
    <row r="1277" spans="1:10">
      <c r="A1277" s="16" t="s">
        <v>14823</v>
      </c>
      <c r="B1277" s="1" t="s">
        <v>2631</v>
      </c>
      <c r="C1277" s="1">
        <v>121</v>
      </c>
      <c r="D1277" s="1" t="s">
        <v>7</v>
      </c>
      <c r="E1277" s="1" t="s">
        <v>6</v>
      </c>
      <c r="F1277" s="1" t="s">
        <v>5241</v>
      </c>
      <c r="G1277" s="1" t="s">
        <v>4803</v>
      </c>
      <c r="H1277" s="1" t="s">
        <v>5</v>
      </c>
      <c r="I1277" s="17">
        <v>42522</v>
      </c>
      <c r="J1277" s="17"/>
    </row>
    <row r="1278" spans="1:10">
      <c r="A1278" s="16" t="s">
        <v>14824</v>
      </c>
      <c r="B1278" s="1" t="s">
        <v>2631</v>
      </c>
      <c r="C1278" s="1">
        <v>121</v>
      </c>
      <c r="D1278" s="1" t="s">
        <v>7</v>
      </c>
      <c r="E1278" s="1" t="s">
        <v>6</v>
      </c>
      <c r="F1278" s="1" t="s">
        <v>5241</v>
      </c>
      <c r="G1278" s="1" t="s">
        <v>4803</v>
      </c>
      <c r="H1278" s="1" t="s">
        <v>5</v>
      </c>
      <c r="I1278" s="17">
        <v>42948</v>
      </c>
      <c r="J1278" s="17"/>
    </row>
    <row r="1279" spans="1:10">
      <c r="A1279" s="16" t="s">
        <v>14825</v>
      </c>
      <c r="B1279" s="1" t="s">
        <v>2631</v>
      </c>
      <c r="C1279" s="1">
        <v>121</v>
      </c>
      <c r="D1279" s="1" t="s">
        <v>7</v>
      </c>
      <c r="E1279" s="1" t="s">
        <v>6</v>
      </c>
      <c r="F1279" s="1" t="s">
        <v>5241</v>
      </c>
      <c r="G1279" s="1" t="s">
        <v>4803</v>
      </c>
      <c r="H1279" s="1" t="s">
        <v>5</v>
      </c>
      <c r="I1279" s="17">
        <v>42614</v>
      </c>
      <c r="J1279" s="17"/>
    </row>
    <row r="1280" spans="1:10">
      <c r="A1280" s="16" t="s">
        <v>14826</v>
      </c>
      <c r="B1280" s="1" t="s">
        <v>2631</v>
      </c>
      <c r="C1280" s="1">
        <v>121</v>
      </c>
      <c r="D1280" s="1" t="s">
        <v>7</v>
      </c>
      <c r="E1280" s="1" t="s">
        <v>6</v>
      </c>
      <c r="F1280" s="1" t="s">
        <v>5241</v>
      </c>
      <c r="G1280" s="1" t="s">
        <v>4803</v>
      </c>
      <c r="H1280" s="1" t="s">
        <v>5</v>
      </c>
      <c r="I1280" s="17">
        <v>42887</v>
      </c>
      <c r="J1280" s="17"/>
    </row>
    <row r="1281" spans="1:10">
      <c r="A1281" s="16" t="s">
        <v>14827</v>
      </c>
      <c r="B1281" s="1" t="s">
        <v>2631</v>
      </c>
      <c r="C1281" s="1">
        <v>121</v>
      </c>
      <c r="D1281" s="1" t="s">
        <v>7</v>
      </c>
      <c r="E1281" s="1" t="s">
        <v>6</v>
      </c>
      <c r="F1281" s="1" t="s">
        <v>5241</v>
      </c>
      <c r="G1281" s="1" t="s">
        <v>4803</v>
      </c>
      <c r="H1281" s="1" t="s">
        <v>5</v>
      </c>
      <c r="I1281" s="17">
        <v>41821</v>
      </c>
      <c r="J1281" s="17"/>
    </row>
    <row r="1282" spans="1:10">
      <c r="A1282" s="16" t="s">
        <v>14828</v>
      </c>
      <c r="B1282" s="1" t="s">
        <v>2631</v>
      </c>
      <c r="C1282" s="1">
        <v>121</v>
      </c>
      <c r="D1282" s="1" t="s">
        <v>7</v>
      </c>
      <c r="E1282" s="1" t="s">
        <v>6</v>
      </c>
      <c r="F1282" s="1" t="s">
        <v>5241</v>
      </c>
      <c r="G1282" s="1" t="s">
        <v>4803</v>
      </c>
      <c r="H1282" s="1" t="s">
        <v>5</v>
      </c>
      <c r="I1282" s="17">
        <v>43252</v>
      </c>
      <c r="J1282" s="17"/>
    </row>
    <row r="1283" spans="1:10">
      <c r="A1283" s="16" t="s">
        <v>14830</v>
      </c>
      <c r="B1283" s="1" t="s">
        <v>2631</v>
      </c>
      <c r="C1283" s="1">
        <v>121</v>
      </c>
      <c r="D1283" s="1" t="s">
        <v>7</v>
      </c>
      <c r="E1283" s="1" t="s">
        <v>6</v>
      </c>
      <c r="F1283" s="1" t="s">
        <v>5241</v>
      </c>
      <c r="G1283" s="1" t="s">
        <v>4803</v>
      </c>
      <c r="H1283" s="1" t="s">
        <v>5</v>
      </c>
      <c r="I1283" s="17">
        <v>42887</v>
      </c>
      <c r="J1283" s="17"/>
    </row>
    <row r="1284" spans="1:10">
      <c r="A1284" s="16" t="s">
        <v>14831</v>
      </c>
      <c r="B1284" s="1" t="s">
        <v>2631</v>
      </c>
      <c r="C1284" s="1">
        <v>121</v>
      </c>
      <c r="D1284" s="1" t="s">
        <v>7</v>
      </c>
      <c r="E1284" s="1" t="s">
        <v>6</v>
      </c>
      <c r="F1284" s="1" t="s">
        <v>5241</v>
      </c>
      <c r="G1284" s="1" t="s">
        <v>4803</v>
      </c>
      <c r="H1284" s="1" t="s">
        <v>5</v>
      </c>
      <c r="I1284" s="17">
        <v>43252</v>
      </c>
      <c r="J1284" s="17"/>
    </row>
    <row r="1285" spans="1:10">
      <c r="A1285" s="16" t="s">
        <v>14832</v>
      </c>
      <c r="B1285" s="1" t="s">
        <v>2631</v>
      </c>
      <c r="C1285" s="1">
        <v>121</v>
      </c>
      <c r="D1285" s="1" t="s">
        <v>7</v>
      </c>
      <c r="E1285" s="1" t="s">
        <v>6</v>
      </c>
      <c r="F1285" s="1" t="s">
        <v>5241</v>
      </c>
      <c r="G1285" s="1" t="s">
        <v>6307</v>
      </c>
      <c r="H1285" s="1" t="s">
        <v>44</v>
      </c>
      <c r="I1285" s="17">
        <v>42948</v>
      </c>
    </row>
    <row r="1286" spans="1:10">
      <c r="A1286" s="16" t="s">
        <v>14836</v>
      </c>
      <c r="B1286" s="1" t="s">
        <v>2631</v>
      </c>
      <c r="C1286" s="1">
        <v>121</v>
      </c>
      <c r="D1286" s="1" t="s">
        <v>7</v>
      </c>
      <c r="E1286" s="1" t="s">
        <v>6</v>
      </c>
      <c r="F1286" s="1" t="s">
        <v>5241</v>
      </c>
      <c r="G1286" s="1" t="s">
        <v>6307</v>
      </c>
      <c r="H1286" s="1" t="s">
        <v>44</v>
      </c>
      <c r="I1286" s="17">
        <v>42522</v>
      </c>
    </row>
    <row r="1287" spans="1:10">
      <c r="A1287" s="16" t="s">
        <v>14837</v>
      </c>
      <c r="B1287" s="1" t="s">
        <v>2631</v>
      </c>
      <c r="C1287" s="1">
        <v>121</v>
      </c>
      <c r="D1287" s="1" t="s">
        <v>7</v>
      </c>
      <c r="E1287" s="1" t="s">
        <v>6</v>
      </c>
      <c r="F1287" s="1" t="s">
        <v>5241</v>
      </c>
      <c r="G1287" s="1" t="s">
        <v>4803</v>
      </c>
      <c r="H1287" s="1" t="s">
        <v>5</v>
      </c>
      <c r="I1287" s="17">
        <v>42583</v>
      </c>
      <c r="J1287" s="17"/>
    </row>
    <row r="1288" spans="1:10">
      <c r="A1288" s="16" t="s">
        <v>14838</v>
      </c>
      <c r="B1288" s="1" t="s">
        <v>2631</v>
      </c>
      <c r="C1288" s="1">
        <v>121</v>
      </c>
      <c r="D1288" s="1" t="s">
        <v>7</v>
      </c>
      <c r="E1288" s="1" t="s">
        <v>6</v>
      </c>
      <c r="F1288" s="1" t="s">
        <v>5241</v>
      </c>
      <c r="G1288" s="1" t="s">
        <v>4803</v>
      </c>
      <c r="H1288" s="1" t="s">
        <v>5</v>
      </c>
      <c r="I1288" s="17">
        <v>42583</v>
      </c>
      <c r="J1288" s="17"/>
    </row>
    <row r="1289" spans="1:10">
      <c r="A1289" s="16" t="s">
        <v>14840</v>
      </c>
      <c r="B1289" s="1" t="s">
        <v>2631</v>
      </c>
      <c r="C1289" s="1">
        <v>121</v>
      </c>
      <c r="D1289" s="1" t="s">
        <v>7</v>
      </c>
      <c r="E1289" s="1" t="s">
        <v>6</v>
      </c>
      <c r="F1289" s="1" t="s">
        <v>5241</v>
      </c>
      <c r="G1289" s="1" t="s">
        <v>6307</v>
      </c>
      <c r="H1289" s="1" t="s">
        <v>44</v>
      </c>
      <c r="I1289" s="17">
        <v>42522</v>
      </c>
    </row>
    <row r="1290" spans="1:10">
      <c r="A1290" s="16" t="s">
        <v>14844</v>
      </c>
      <c r="B1290" s="1" t="s">
        <v>2631</v>
      </c>
      <c r="C1290" s="1">
        <v>121</v>
      </c>
      <c r="D1290" s="1" t="s">
        <v>7</v>
      </c>
      <c r="E1290" s="1" t="s">
        <v>6</v>
      </c>
      <c r="F1290" s="1" t="s">
        <v>5241</v>
      </c>
      <c r="G1290" s="1" t="s">
        <v>6307</v>
      </c>
      <c r="H1290" s="1" t="s">
        <v>44</v>
      </c>
      <c r="I1290" s="17">
        <v>43009</v>
      </c>
    </row>
    <row r="1291" spans="1:10">
      <c r="A1291" s="16" t="s">
        <v>14846</v>
      </c>
      <c r="B1291" s="1" t="s">
        <v>2631</v>
      </c>
      <c r="C1291" s="1">
        <v>121</v>
      </c>
      <c r="D1291" s="1" t="s">
        <v>7</v>
      </c>
      <c r="E1291" s="1" t="s">
        <v>6</v>
      </c>
      <c r="F1291" s="1" t="s">
        <v>5241</v>
      </c>
      <c r="G1291" s="1" t="s">
        <v>4803</v>
      </c>
      <c r="H1291" s="1" t="s">
        <v>5</v>
      </c>
      <c r="I1291" s="17">
        <v>42795</v>
      </c>
      <c r="J1291" s="17"/>
    </row>
    <row r="1292" spans="1:10">
      <c r="A1292" s="16" t="s">
        <v>14848</v>
      </c>
      <c r="B1292" s="1" t="s">
        <v>2631</v>
      </c>
      <c r="C1292" s="1">
        <v>121</v>
      </c>
      <c r="D1292" s="1" t="s">
        <v>7</v>
      </c>
      <c r="E1292" s="1" t="s">
        <v>6</v>
      </c>
      <c r="F1292" s="1" t="s">
        <v>5241</v>
      </c>
      <c r="G1292" s="1" t="s">
        <v>4803</v>
      </c>
      <c r="H1292" s="1" t="s">
        <v>5</v>
      </c>
      <c r="I1292" s="17">
        <v>42979</v>
      </c>
      <c r="J1292" s="17"/>
    </row>
    <row r="1293" spans="1:10">
      <c r="A1293" s="16" t="s">
        <v>14849</v>
      </c>
      <c r="B1293" s="1" t="s">
        <v>2631</v>
      </c>
      <c r="C1293" s="1">
        <v>833</v>
      </c>
      <c r="D1293" s="1" t="s">
        <v>7</v>
      </c>
      <c r="E1293" s="1" t="s">
        <v>6</v>
      </c>
      <c r="F1293" s="1" t="s">
        <v>5241</v>
      </c>
      <c r="G1293" s="1" t="s">
        <v>6307</v>
      </c>
      <c r="H1293" s="1" t="s">
        <v>44</v>
      </c>
      <c r="I1293" s="17">
        <v>42522</v>
      </c>
    </row>
    <row r="1294" spans="1:10">
      <c r="A1294" s="16" t="s">
        <v>14850</v>
      </c>
      <c r="B1294" s="1" t="s">
        <v>2631</v>
      </c>
      <c r="C1294" s="1">
        <v>121</v>
      </c>
      <c r="D1294" s="1" t="s">
        <v>7</v>
      </c>
      <c r="E1294" s="1" t="s">
        <v>6</v>
      </c>
      <c r="F1294" s="1" t="s">
        <v>5241</v>
      </c>
      <c r="G1294" s="1" t="s">
        <v>6307</v>
      </c>
      <c r="H1294" s="1" t="s">
        <v>44</v>
      </c>
      <c r="I1294" s="17">
        <v>42491</v>
      </c>
    </row>
    <row r="1295" spans="1:10">
      <c r="A1295" s="16" t="s">
        <v>14852</v>
      </c>
      <c r="B1295" s="1" t="s">
        <v>2631</v>
      </c>
      <c r="C1295" s="1">
        <v>121</v>
      </c>
      <c r="D1295" s="1" t="s">
        <v>7</v>
      </c>
      <c r="E1295" s="1" t="s">
        <v>6</v>
      </c>
      <c r="F1295" s="1" t="s">
        <v>5241</v>
      </c>
      <c r="G1295" s="1" t="s">
        <v>6307</v>
      </c>
      <c r="H1295" s="1" t="s">
        <v>44</v>
      </c>
      <c r="I1295" s="17">
        <v>42522</v>
      </c>
    </row>
    <row r="1296" spans="1:10">
      <c r="A1296" s="16" t="s">
        <v>14853</v>
      </c>
      <c r="B1296" s="1" t="s">
        <v>2631</v>
      </c>
      <c r="C1296" s="1">
        <v>121</v>
      </c>
      <c r="D1296" s="1" t="s">
        <v>7</v>
      </c>
      <c r="E1296" s="1" t="s">
        <v>6</v>
      </c>
      <c r="F1296" s="1" t="s">
        <v>5241</v>
      </c>
      <c r="G1296" s="1" t="s">
        <v>4803</v>
      </c>
      <c r="H1296" s="1" t="s">
        <v>5</v>
      </c>
      <c r="I1296" s="17">
        <v>41852</v>
      </c>
      <c r="J1296" s="17"/>
    </row>
    <row r="1297" spans="1:10">
      <c r="A1297" s="16" t="s">
        <v>14854</v>
      </c>
      <c r="B1297" s="1" t="s">
        <v>2631</v>
      </c>
      <c r="C1297" s="1">
        <v>121</v>
      </c>
      <c r="D1297" s="1" t="s">
        <v>7</v>
      </c>
      <c r="E1297" s="1" t="s">
        <v>6</v>
      </c>
      <c r="F1297" s="1" t="s">
        <v>5241</v>
      </c>
      <c r="G1297" s="1" t="s">
        <v>6307</v>
      </c>
      <c r="H1297" s="1" t="s">
        <v>44</v>
      </c>
      <c r="I1297" s="17">
        <v>43252</v>
      </c>
    </row>
    <row r="1298" spans="1:10">
      <c r="A1298" s="16" t="s">
        <v>14857</v>
      </c>
      <c r="B1298" s="1" t="s">
        <v>2631</v>
      </c>
      <c r="C1298" s="1">
        <v>121</v>
      </c>
      <c r="D1298" s="1" t="s">
        <v>7</v>
      </c>
      <c r="E1298" s="1" t="s">
        <v>6</v>
      </c>
      <c r="F1298" s="1" t="s">
        <v>5241</v>
      </c>
      <c r="G1298" s="1" t="s">
        <v>4803</v>
      </c>
      <c r="H1298" s="1" t="s">
        <v>5</v>
      </c>
      <c r="I1298" s="17">
        <v>43252</v>
      </c>
      <c r="J1298" s="17"/>
    </row>
    <row r="1299" spans="1:10">
      <c r="A1299" s="16" t="s">
        <v>14859</v>
      </c>
      <c r="B1299" s="1" t="s">
        <v>2631</v>
      </c>
      <c r="C1299" s="1">
        <v>121</v>
      </c>
      <c r="D1299" s="1" t="s">
        <v>7</v>
      </c>
      <c r="E1299" s="1" t="s">
        <v>6</v>
      </c>
      <c r="F1299" s="1" t="s">
        <v>5241</v>
      </c>
      <c r="G1299" s="1" t="s">
        <v>4803</v>
      </c>
      <c r="H1299" s="1" t="s">
        <v>5</v>
      </c>
      <c r="I1299" s="17">
        <v>42826</v>
      </c>
      <c r="J1299" s="17"/>
    </row>
    <row r="1300" spans="1:10">
      <c r="A1300" s="16" t="s">
        <v>14864</v>
      </c>
      <c r="B1300" s="1" t="s">
        <v>2631</v>
      </c>
      <c r="C1300" s="1">
        <v>121</v>
      </c>
      <c r="D1300" s="1" t="s">
        <v>7</v>
      </c>
      <c r="E1300" s="1" t="s">
        <v>6</v>
      </c>
      <c r="F1300" s="1" t="s">
        <v>5241</v>
      </c>
      <c r="G1300" s="1" t="s">
        <v>4803</v>
      </c>
      <c r="H1300" s="1" t="s">
        <v>5</v>
      </c>
      <c r="I1300" s="17">
        <v>42705</v>
      </c>
      <c r="J1300" s="17"/>
    </row>
    <row r="1301" spans="1:10">
      <c r="A1301" s="16" t="s">
        <v>14870</v>
      </c>
      <c r="B1301" s="1" t="s">
        <v>2631</v>
      </c>
      <c r="C1301" s="1">
        <v>121</v>
      </c>
      <c r="D1301" s="1" t="s">
        <v>7</v>
      </c>
      <c r="E1301" s="1" t="s">
        <v>6</v>
      </c>
      <c r="F1301" s="1" t="s">
        <v>5241</v>
      </c>
      <c r="G1301" s="1" t="s">
        <v>4803</v>
      </c>
      <c r="H1301" s="1" t="s">
        <v>5</v>
      </c>
      <c r="I1301" s="17">
        <v>42736</v>
      </c>
      <c r="J1301" s="17"/>
    </row>
    <row r="1302" spans="1:10">
      <c r="A1302" s="19" t="s">
        <v>14871</v>
      </c>
      <c r="B1302" s="13" t="s">
        <v>16956</v>
      </c>
      <c r="C1302" s="13">
        <v>121</v>
      </c>
      <c r="D1302" s="13" t="s">
        <v>7</v>
      </c>
      <c r="E1302" s="13" t="s">
        <v>6</v>
      </c>
      <c r="F1302" s="13" t="s">
        <v>5241</v>
      </c>
      <c r="G1302" s="13" t="s">
        <v>4803</v>
      </c>
      <c r="H1302" s="13" t="s">
        <v>5</v>
      </c>
      <c r="I1302" s="18">
        <v>42430</v>
      </c>
      <c r="J1302" s="17"/>
    </row>
    <row r="1303" spans="1:10">
      <c r="A1303" s="16" t="s">
        <v>14872</v>
      </c>
      <c r="B1303" s="1" t="s">
        <v>2631</v>
      </c>
      <c r="C1303" s="1">
        <v>121</v>
      </c>
      <c r="D1303" s="1" t="s">
        <v>7</v>
      </c>
      <c r="E1303" s="1" t="s">
        <v>6</v>
      </c>
      <c r="F1303" s="1" t="s">
        <v>5241</v>
      </c>
      <c r="G1303" s="1" t="s">
        <v>6307</v>
      </c>
      <c r="H1303" s="1" t="s">
        <v>44</v>
      </c>
      <c r="I1303" s="17">
        <v>43070</v>
      </c>
    </row>
    <row r="1304" spans="1:10">
      <c r="A1304" s="16" t="s">
        <v>14876</v>
      </c>
      <c r="B1304" s="1" t="s">
        <v>2631</v>
      </c>
      <c r="C1304" s="1">
        <v>121</v>
      </c>
      <c r="D1304" s="1" t="s">
        <v>7</v>
      </c>
      <c r="E1304" s="1" t="s">
        <v>6</v>
      </c>
      <c r="F1304" s="1" t="s">
        <v>5241</v>
      </c>
      <c r="G1304" s="1" t="s">
        <v>6307</v>
      </c>
      <c r="H1304" s="1" t="s">
        <v>44</v>
      </c>
      <c r="I1304" s="17">
        <v>43101</v>
      </c>
    </row>
    <row r="1305" spans="1:10">
      <c r="A1305" s="16" t="s">
        <v>14878</v>
      </c>
      <c r="B1305" s="1" t="s">
        <v>2631</v>
      </c>
      <c r="C1305" s="1">
        <v>121</v>
      </c>
      <c r="D1305" s="1" t="s">
        <v>7</v>
      </c>
      <c r="E1305" s="1" t="s">
        <v>6</v>
      </c>
      <c r="F1305" s="1" t="s">
        <v>5241</v>
      </c>
      <c r="G1305" s="1" t="s">
        <v>4803</v>
      </c>
      <c r="H1305" s="1" t="s">
        <v>5</v>
      </c>
      <c r="I1305" s="17">
        <v>42767</v>
      </c>
      <c r="J1305" s="17"/>
    </row>
    <row r="1306" spans="1:10">
      <c r="A1306" s="16" t="s">
        <v>14880</v>
      </c>
      <c r="B1306" s="1" t="s">
        <v>2631</v>
      </c>
      <c r="C1306" s="1">
        <v>121</v>
      </c>
      <c r="D1306" s="1" t="s">
        <v>7</v>
      </c>
      <c r="E1306" s="1" t="s">
        <v>6</v>
      </c>
      <c r="F1306" s="1" t="s">
        <v>5241</v>
      </c>
      <c r="G1306" s="1" t="s">
        <v>4803</v>
      </c>
      <c r="H1306" s="1" t="s">
        <v>5</v>
      </c>
      <c r="I1306" s="17">
        <v>42795</v>
      </c>
      <c r="J1306" s="17"/>
    </row>
    <row r="1307" spans="1:10">
      <c r="A1307" s="16" t="s">
        <v>14883</v>
      </c>
      <c r="B1307" s="1" t="s">
        <v>2631</v>
      </c>
      <c r="C1307" s="1">
        <v>121</v>
      </c>
      <c r="D1307" s="1" t="s">
        <v>7</v>
      </c>
      <c r="E1307" s="1" t="s">
        <v>6</v>
      </c>
      <c r="F1307" s="1" t="s">
        <v>5241</v>
      </c>
      <c r="G1307" s="1" t="s">
        <v>4803</v>
      </c>
      <c r="H1307" s="1" t="s">
        <v>5</v>
      </c>
      <c r="I1307" s="17">
        <v>43040</v>
      </c>
      <c r="J1307" s="17"/>
    </row>
    <row r="1308" spans="1:10">
      <c r="A1308" s="16" t="s">
        <v>14884</v>
      </c>
      <c r="B1308" s="1" t="s">
        <v>2631</v>
      </c>
      <c r="C1308" s="1">
        <v>121</v>
      </c>
      <c r="D1308" s="1" t="s">
        <v>7</v>
      </c>
      <c r="E1308" s="1" t="s">
        <v>6</v>
      </c>
      <c r="F1308" s="1" t="s">
        <v>5241</v>
      </c>
      <c r="G1308" s="1" t="s">
        <v>4803</v>
      </c>
      <c r="H1308" s="1" t="s">
        <v>5</v>
      </c>
      <c r="I1308" s="17">
        <v>42767</v>
      </c>
      <c r="J1308" s="17"/>
    </row>
    <row r="1309" spans="1:10">
      <c r="A1309" s="16" t="s">
        <v>14885</v>
      </c>
      <c r="B1309" s="1" t="s">
        <v>2631</v>
      </c>
      <c r="C1309" s="1">
        <v>121</v>
      </c>
      <c r="D1309" s="1" t="s">
        <v>7</v>
      </c>
      <c r="E1309" s="1" t="s">
        <v>6</v>
      </c>
      <c r="F1309" s="1" t="s">
        <v>5241</v>
      </c>
      <c r="G1309" s="1" t="s">
        <v>6307</v>
      </c>
      <c r="H1309" s="1" t="s">
        <v>44</v>
      </c>
      <c r="I1309" s="17">
        <v>43252</v>
      </c>
    </row>
    <row r="1310" spans="1:10">
      <c r="A1310" s="16" t="s">
        <v>14887</v>
      </c>
      <c r="B1310" s="1" t="s">
        <v>2631</v>
      </c>
      <c r="C1310" s="1">
        <v>121</v>
      </c>
      <c r="D1310" s="1" t="s">
        <v>7</v>
      </c>
      <c r="E1310" s="1" t="s">
        <v>6</v>
      </c>
      <c r="F1310" s="1" t="s">
        <v>5241</v>
      </c>
      <c r="G1310" s="1" t="s">
        <v>4803</v>
      </c>
      <c r="H1310" s="1" t="s">
        <v>5</v>
      </c>
      <c r="I1310" s="17">
        <v>43132</v>
      </c>
      <c r="J1310" s="17"/>
    </row>
    <row r="1311" spans="1:10">
      <c r="A1311" s="16" t="s">
        <v>14891</v>
      </c>
      <c r="B1311" s="1" t="s">
        <v>2631</v>
      </c>
      <c r="C1311" s="1">
        <v>121</v>
      </c>
      <c r="D1311" s="1" t="s">
        <v>7</v>
      </c>
      <c r="E1311" s="1" t="s">
        <v>6</v>
      </c>
      <c r="F1311" s="1" t="s">
        <v>5241</v>
      </c>
      <c r="G1311" s="1" t="s">
        <v>6307</v>
      </c>
      <c r="H1311" s="1" t="s">
        <v>44</v>
      </c>
      <c r="I1311" s="17">
        <v>42887</v>
      </c>
    </row>
    <row r="1312" spans="1:10">
      <c r="A1312" s="16" t="s">
        <v>14892</v>
      </c>
      <c r="B1312" s="1" t="s">
        <v>2631</v>
      </c>
      <c r="C1312" s="1">
        <v>121</v>
      </c>
      <c r="D1312" s="1" t="s">
        <v>7</v>
      </c>
      <c r="E1312" s="1" t="s">
        <v>6</v>
      </c>
      <c r="F1312" s="1" t="s">
        <v>5241</v>
      </c>
      <c r="G1312" s="1" t="s">
        <v>6307</v>
      </c>
      <c r="H1312" s="1" t="s">
        <v>44</v>
      </c>
      <c r="I1312" s="17">
        <v>42552</v>
      </c>
    </row>
    <row r="1313" spans="1:10">
      <c r="A1313" s="16" t="s">
        <v>14895</v>
      </c>
      <c r="B1313" s="1" t="s">
        <v>2631</v>
      </c>
      <c r="C1313" s="1">
        <v>121</v>
      </c>
      <c r="D1313" s="1" t="s">
        <v>7</v>
      </c>
      <c r="E1313" s="1" t="s">
        <v>6</v>
      </c>
      <c r="F1313" s="1" t="s">
        <v>5241</v>
      </c>
      <c r="G1313" s="1" t="s">
        <v>4803</v>
      </c>
      <c r="H1313" s="1" t="s">
        <v>5</v>
      </c>
      <c r="I1313" s="17">
        <v>42675</v>
      </c>
      <c r="J1313" s="17"/>
    </row>
    <row r="1314" spans="1:10">
      <c r="A1314" s="16" t="s">
        <v>14896</v>
      </c>
      <c r="B1314" s="1" t="s">
        <v>2631</v>
      </c>
      <c r="C1314" s="1">
        <v>121</v>
      </c>
      <c r="D1314" s="1" t="s">
        <v>7</v>
      </c>
      <c r="E1314" s="1" t="s">
        <v>6</v>
      </c>
      <c r="F1314" s="1" t="s">
        <v>5241</v>
      </c>
      <c r="G1314" s="14" t="s">
        <v>4458</v>
      </c>
      <c r="H1314" s="1" t="s">
        <v>118</v>
      </c>
      <c r="I1314" s="17">
        <v>42948</v>
      </c>
    </row>
    <row r="1315" spans="1:10">
      <c r="A1315" s="16" t="s">
        <v>14898</v>
      </c>
      <c r="B1315" s="1" t="s">
        <v>2631</v>
      </c>
      <c r="C1315" s="1">
        <v>121</v>
      </c>
      <c r="D1315" s="1" t="s">
        <v>7</v>
      </c>
      <c r="E1315" s="1" t="s">
        <v>6</v>
      </c>
      <c r="F1315" s="1" t="s">
        <v>5241</v>
      </c>
      <c r="G1315" s="1" t="s">
        <v>4803</v>
      </c>
      <c r="H1315" s="1" t="s">
        <v>5</v>
      </c>
      <c r="I1315" s="17">
        <v>42522</v>
      </c>
      <c r="J1315" s="17"/>
    </row>
    <row r="1316" spans="1:10">
      <c r="A1316" s="16" t="s">
        <v>14903</v>
      </c>
      <c r="B1316" s="1" t="s">
        <v>2631</v>
      </c>
      <c r="C1316" s="1">
        <v>121</v>
      </c>
      <c r="D1316" s="1" t="s">
        <v>7</v>
      </c>
      <c r="E1316" s="1" t="s">
        <v>6</v>
      </c>
      <c r="F1316" s="1" t="s">
        <v>5241</v>
      </c>
      <c r="G1316" s="1" t="s">
        <v>6307</v>
      </c>
      <c r="H1316" s="1" t="s">
        <v>44</v>
      </c>
      <c r="I1316" s="17">
        <v>42552</v>
      </c>
    </row>
    <row r="1317" spans="1:10">
      <c r="A1317" s="16" t="s">
        <v>14904</v>
      </c>
      <c r="B1317" s="1" t="s">
        <v>2631</v>
      </c>
      <c r="C1317" s="1">
        <v>121</v>
      </c>
      <c r="D1317" s="1" t="s">
        <v>7</v>
      </c>
      <c r="E1317" s="1" t="s">
        <v>6</v>
      </c>
      <c r="F1317" s="1" t="s">
        <v>5241</v>
      </c>
      <c r="G1317" s="1" t="s">
        <v>6307</v>
      </c>
      <c r="H1317" s="1" t="s">
        <v>44</v>
      </c>
      <c r="I1317" s="17">
        <v>42552</v>
      </c>
    </row>
    <row r="1318" spans="1:10">
      <c r="A1318" s="16" t="s">
        <v>14906</v>
      </c>
      <c r="B1318" s="1" t="s">
        <v>2631</v>
      </c>
      <c r="C1318" s="1">
        <v>121</v>
      </c>
      <c r="D1318" s="1" t="s">
        <v>7</v>
      </c>
      <c r="E1318" s="1" t="s">
        <v>6</v>
      </c>
      <c r="F1318" s="1" t="s">
        <v>5241</v>
      </c>
      <c r="G1318" s="1" t="s">
        <v>4803</v>
      </c>
      <c r="H1318" s="1" t="s">
        <v>5</v>
      </c>
      <c r="I1318" s="17">
        <v>43070</v>
      </c>
      <c r="J1318" s="17"/>
    </row>
    <row r="1319" spans="1:10">
      <c r="A1319" s="16" t="s">
        <v>14909</v>
      </c>
      <c r="B1319" s="1" t="s">
        <v>2631</v>
      </c>
      <c r="C1319" s="1">
        <v>121</v>
      </c>
      <c r="D1319" s="1" t="s">
        <v>7</v>
      </c>
      <c r="E1319" s="1" t="s">
        <v>6</v>
      </c>
      <c r="F1319" s="1" t="s">
        <v>5241</v>
      </c>
      <c r="G1319" s="1" t="s">
        <v>4803</v>
      </c>
      <c r="H1319" s="1" t="s">
        <v>5</v>
      </c>
      <c r="I1319" s="17">
        <v>41760</v>
      </c>
      <c r="J1319" s="17"/>
    </row>
    <row r="1320" spans="1:10">
      <c r="A1320" s="16" t="s">
        <v>14910</v>
      </c>
      <c r="B1320" s="1" t="s">
        <v>2631</v>
      </c>
      <c r="C1320" s="1">
        <v>121</v>
      </c>
      <c r="D1320" s="1" t="s">
        <v>7</v>
      </c>
      <c r="E1320" s="1" t="s">
        <v>6</v>
      </c>
      <c r="F1320" s="1" t="s">
        <v>5241</v>
      </c>
      <c r="G1320" s="1" t="s">
        <v>4803</v>
      </c>
      <c r="H1320" s="1" t="s">
        <v>5</v>
      </c>
      <c r="I1320" s="17">
        <v>43252</v>
      </c>
      <c r="J1320" s="17"/>
    </row>
    <row r="1321" spans="1:10">
      <c r="A1321" s="16" t="s">
        <v>14911</v>
      </c>
      <c r="B1321" s="1" t="s">
        <v>2631</v>
      </c>
      <c r="C1321" s="1">
        <v>121</v>
      </c>
      <c r="D1321" s="1" t="s">
        <v>7</v>
      </c>
      <c r="E1321" s="1" t="s">
        <v>6</v>
      </c>
      <c r="F1321" s="1" t="s">
        <v>5241</v>
      </c>
      <c r="G1321" s="1" t="s">
        <v>4803</v>
      </c>
      <c r="H1321" s="1" t="s">
        <v>5</v>
      </c>
      <c r="I1321" s="17">
        <v>43313</v>
      </c>
      <c r="J1321" s="17"/>
    </row>
    <row r="1322" spans="1:10">
      <c r="A1322" s="16" t="s">
        <v>14912</v>
      </c>
      <c r="B1322" s="1" t="s">
        <v>2631</v>
      </c>
      <c r="C1322" s="1">
        <v>121</v>
      </c>
      <c r="D1322" s="1" t="s">
        <v>7</v>
      </c>
      <c r="E1322" s="1" t="s">
        <v>6</v>
      </c>
      <c r="F1322" s="1" t="s">
        <v>5241</v>
      </c>
      <c r="G1322" s="1" t="s">
        <v>4803</v>
      </c>
      <c r="H1322" s="1" t="s">
        <v>5</v>
      </c>
      <c r="I1322" s="17">
        <v>42675</v>
      </c>
      <c r="J1322" s="17"/>
    </row>
    <row r="1323" spans="1:10">
      <c r="A1323" s="16" t="s">
        <v>14914</v>
      </c>
      <c r="B1323" s="1" t="s">
        <v>2631</v>
      </c>
      <c r="C1323" s="1">
        <v>121</v>
      </c>
      <c r="D1323" s="1" t="s">
        <v>7</v>
      </c>
      <c r="E1323" s="1" t="s">
        <v>6</v>
      </c>
      <c r="F1323" s="1" t="s">
        <v>5241</v>
      </c>
      <c r="G1323" s="1" t="s">
        <v>6307</v>
      </c>
      <c r="H1323" s="1" t="s">
        <v>44</v>
      </c>
      <c r="I1323" s="17">
        <v>42583</v>
      </c>
    </row>
    <row r="1324" spans="1:10">
      <c r="A1324" s="16" t="s">
        <v>14916</v>
      </c>
      <c r="B1324" s="1" t="s">
        <v>2631</v>
      </c>
      <c r="C1324" s="1">
        <v>121</v>
      </c>
      <c r="D1324" s="1" t="s">
        <v>7</v>
      </c>
      <c r="E1324" s="1" t="s">
        <v>6</v>
      </c>
      <c r="F1324" s="1" t="s">
        <v>5241</v>
      </c>
      <c r="G1324" s="1" t="s">
        <v>4803</v>
      </c>
      <c r="H1324" s="1" t="s">
        <v>5</v>
      </c>
      <c r="I1324" s="17">
        <v>42917</v>
      </c>
      <c r="J1324" s="1"/>
    </row>
    <row r="1325" spans="1:10">
      <c r="A1325" s="16" t="s">
        <v>14919</v>
      </c>
      <c r="B1325" s="1" t="s">
        <v>2631</v>
      </c>
      <c r="C1325" s="1">
        <v>121</v>
      </c>
      <c r="D1325" s="1" t="s">
        <v>7</v>
      </c>
      <c r="E1325" s="1" t="s">
        <v>6</v>
      </c>
      <c r="F1325" s="1" t="s">
        <v>5241</v>
      </c>
      <c r="G1325" s="1" t="s">
        <v>6307</v>
      </c>
      <c r="H1325" s="1" t="s">
        <v>44</v>
      </c>
      <c r="I1325" s="17">
        <v>42979</v>
      </c>
    </row>
    <row r="1326" spans="1:10">
      <c r="A1326" s="16" t="s">
        <v>14921</v>
      </c>
      <c r="B1326" s="1" t="s">
        <v>2631</v>
      </c>
      <c r="C1326" s="1">
        <v>121</v>
      </c>
      <c r="D1326" s="1" t="s">
        <v>7</v>
      </c>
      <c r="E1326" s="1" t="s">
        <v>6</v>
      </c>
      <c r="F1326" s="1" t="s">
        <v>5241</v>
      </c>
      <c r="G1326" s="1" t="s">
        <v>4803</v>
      </c>
      <c r="H1326" s="1" t="s">
        <v>5</v>
      </c>
      <c r="I1326" s="17">
        <v>43252</v>
      </c>
      <c r="J1326" s="17"/>
    </row>
    <row r="1327" spans="1:10">
      <c r="A1327" s="16" t="s">
        <v>14922</v>
      </c>
      <c r="B1327" s="1" t="s">
        <v>2631</v>
      </c>
      <c r="C1327" s="1">
        <v>121</v>
      </c>
      <c r="D1327" s="1" t="s">
        <v>7</v>
      </c>
      <c r="E1327" s="1" t="s">
        <v>6</v>
      </c>
      <c r="F1327" s="1" t="s">
        <v>5241</v>
      </c>
      <c r="G1327" s="1" t="s">
        <v>6307</v>
      </c>
      <c r="H1327" s="1" t="s">
        <v>44</v>
      </c>
      <c r="I1327" s="17">
        <v>42583</v>
      </c>
    </row>
    <row r="1328" spans="1:10">
      <c r="A1328" s="16" t="s">
        <v>14925</v>
      </c>
      <c r="B1328" s="1" t="s">
        <v>2631</v>
      </c>
      <c r="C1328" s="1">
        <v>121</v>
      </c>
      <c r="D1328" s="1" t="s">
        <v>7</v>
      </c>
      <c r="E1328" s="1" t="s">
        <v>6</v>
      </c>
      <c r="F1328" s="1" t="s">
        <v>5241</v>
      </c>
      <c r="G1328" s="1" t="s">
        <v>4803</v>
      </c>
      <c r="H1328" s="1" t="s">
        <v>5</v>
      </c>
      <c r="I1328" s="17">
        <v>43252</v>
      </c>
      <c r="J1328" s="17"/>
    </row>
    <row r="1329" spans="1:10">
      <c r="A1329" s="16" t="s">
        <v>14926</v>
      </c>
      <c r="B1329" s="1" t="s">
        <v>2631</v>
      </c>
      <c r="C1329" s="1">
        <v>121</v>
      </c>
      <c r="D1329" s="1" t="s">
        <v>7</v>
      </c>
      <c r="E1329" s="1" t="s">
        <v>6</v>
      </c>
      <c r="F1329" s="1" t="s">
        <v>5241</v>
      </c>
      <c r="G1329" s="1" t="s">
        <v>4803</v>
      </c>
      <c r="H1329" s="1" t="s">
        <v>5</v>
      </c>
      <c r="I1329" s="17">
        <v>42401</v>
      </c>
      <c r="J1329" s="17"/>
    </row>
    <row r="1330" spans="1:10">
      <c r="A1330" s="16" t="s">
        <v>14927</v>
      </c>
      <c r="B1330" s="1" t="s">
        <v>2631</v>
      </c>
      <c r="C1330" s="1">
        <v>121</v>
      </c>
      <c r="D1330" s="1" t="s">
        <v>7</v>
      </c>
      <c r="E1330" s="1" t="s">
        <v>6</v>
      </c>
      <c r="F1330" s="1" t="s">
        <v>5241</v>
      </c>
      <c r="G1330" s="1" t="s">
        <v>6307</v>
      </c>
      <c r="H1330" s="1" t="s">
        <v>44</v>
      </c>
      <c r="I1330" s="17">
        <v>42948</v>
      </c>
    </row>
    <row r="1331" spans="1:10">
      <c r="A1331" s="16" t="s">
        <v>14932</v>
      </c>
      <c r="B1331" s="1" t="s">
        <v>2631</v>
      </c>
      <c r="C1331" s="1">
        <v>121</v>
      </c>
      <c r="D1331" s="1" t="s">
        <v>7</v>
      </c>
      <c r="E1331" s="1" t="s">
        <v>6</v>
      </c>
      <c r="F1331" s="1" t="s">
        <v>5241</v>
      </c>
      <c r="G1331" s="1" t="s">
        <v>4803</v>
      </c>
      <c r="H1331" s="1" t="s">
        <v>5</v>
      </c>
      <c r="I1331" s="17">
        <v>42736</v>
      </c>
      <c r="J1331" s="17"/>
    </row>
    <row r="1332" spans="1:10">
      <c r="A1332" s="16" t="s">
        <v>14934</v>
      </c>
      <c r="B1332" s="1" t="s">
        <v>2631</v>
      </c>
      <c r="C1332" s="1">
        <v>121</v>
      </c>
      <c r="D1332" s="1" t="s">
        <v>7</v>
      </c>
      <c r="E1332" s="1" t="s">
        <v>6</v>
      </c>
      <c r="F1332" s="1" t="s">
        <v>5241</v>
      </c>
      <c r="G1332" s="1" t="s">
        <v>4803</v>
      </c>
      <c r="H1332" s="1" t="s">
        <v>5</v>
      </c>
      <c r="I1332" s="17">
        <v>42795</v>
      </c>
      <c r="J1332" s="17"/>
    </row>
    <row r="1333" spans="1:10">
      <c r="A1333" s="16" t="s">
        <v>14935</v>
      </c>
      <c r="B1333" s="1" t="s">
        <v>2631</v>
      </c>
      <c r="C1333" s="1">
        <v>121</v>
      </c>
      <c r="D1333" s="1" t="s">
        <v>7</v>
      </c>
      <c r="E1333" s="1" t="s">
        <v>6</v>
      </c>
      <c r="F1333" s="1" t="s">
        <v>5241</v>
      </c>
      <c r="G1333" s="1" t="s">
        <v>4803</v>
      </c>
      <c r="H1333" s="1" t="s">
        <v>5</v>
      </c>
      <c r="I1333" s="17">
        <v>43252</v>
      </c>
      <c r="J1333" s="17"/>
    </row>
    <row r="1334" spans="1:10">
      <c r="A1334" s="16" t="s">
        <v>14936</v>
      </c>
      <c r="B1334" s="1" t="s">
        <v>2631</v>
      </c>
      <c r="C1334" s="1">
        <v>121</v>
      </c>
      <c r="D1334" s="1" t="s">
        <v>7</v>
      </c>
      <c r="E1334" s="1" t="s">
        <v>6</v>
      </c>
      <c r="F1334" s="1" t="s">
        <v>5241</v>
      </c>
      <c r="G1334" s="1" t="s">
        <v>4803</v>
      </c>
      <c r="H1334" s="1" t="s">
        <v>5</v>
      </c>
      <c r="I1334" s="17">
        <v>42552</v>
      </c>
      <c r="J1334" s="17"/>
    </row>
    <row r="1335" spans="1:10">
      <c r="A1335" s="16" t="s">
        <v>14943</v>
      </c>
      <c r="B1335" s="1" t="s">
        <v>2631</v>
      </c>
      <c r="C1335" s="1">
        <v>121</v>
      </c>
      <c r="D1335" s="1" t="s">
        <v>7</v>
      </c>
      <c r="E1335" s="1" t="s">
        <v>6</v>
      </c>
      <c r="F1335" s="1" t="s">
        <v>5241</v>
      </c>
      <c r="G1335" s="1" t="s">
        <v>4803</v>
      </c>
      <c r="H1335" s="1" t="s">
        <v>5</v>
      </c>
      <c r="I1335" s="17">
        <v>42826</v>
      </c>
      <c r="J1335" s="17"/>
    </row>
    <row r="1336" spans="1:10">
      <c r="A1336" s="16" t="s">
        <v>14947</v>
      </c>
      <c r="B1336" s="1" t="s">
        <v>2631</v>
      </c>
      <c r="C1336" s="1">
        <v>121</v>
      </c>
      <c r="D1336" s="1" t="s">
        <v>7</v>
      </c>
      <c r="E1336" s="1" t="s">
        <v>6</v>
      </c>
      <c r="F1336" s="1" t="s">
        <v>5241</v>
      </c>
      <c r="G1336" s="1" t="s">
        <v>4803</v>
      </c>
      <c r="H1336" s="1" t="s">
        <v>5</v>
      </c>
      <c r="I1336" s="17">
        <v>43009</v>
      </c>
      <c r="J1336" s="17"/>
    </row>
    <row r="1337" spans="1:10">
      <c r="A1337" s="16" t="s">
        <v>14949</v>
      </c>
      <c r="B1337" s="1" t="s">
        <v>2631</v>
      </c>
      <c r="C1337" s="1">
        <v>121</v>
      </c>
      <c r="D1337" s="1" t="s">
        <v>7</v>
      </c>
      <c r="E1337" s="1" t="s">
        <v>6</v>
      </c>
      <c r="F1337" s="1" t="s">
        <v>5241</v>
      </c>
      <c r="G1337" s="1" t="s">
        <v>4803</v>
      </c>
      <c r="H1337" s="1" t="s">
        <v>5</v>
      </c>
      <c r="I1337" s="17">
        <v>42826</v>
      </c>
      <c r="J1337" s="17"/>
    </row>
    <row r="1338" spans="1:10">
      <c r="A1338" s="16" t="s">
        <v>14950</v>
      </c>
      <c r="B1338" s="1" t="s">
        <v>2631</v>
      </c>
      <c r="C1338" s="1">
        <v>121</v>
      </c>
      <c r="D1338" s="1" t="s">
        <v>7</v>
      </c>
      <c r="E1338" s="1" t="s">
        <v>6</v>
      </c>
      <c r="F1338" s="1" t="s">
        <v>5241</v>
      </c>
      <c r="G1338" s="1" t="s">
        <v>6307</v>
      </c>
      <c r="H1338" s="1" t="s">
        <v>44</v>
      </c>
      <c r="I1338" s="17">
        <v>43252</v>
      </c>
    </row>
    <row r="1339" spans="1:10">
      <c r="A1339" s="16" t="s">
        <v>14955</v>
      </c>
      <c r="B1339" s="1" t="s">
        <v>2631</v>
      </c>
      <c r="C1339" s="1">
        <v>121</v>
      </c>
      <c r="D1339" s="1" t="s">
        <v>7</v>
      </c>
      <c r="E1339" s="1" t="s">
        <v>6</v>
      </c>
      <c r="F1339" s="1" t="s">
        <v>5241</v>
      </c>
      <c r="G1339" s="1" t="s">
        <v>4803</v>
      </c>
      <c r="H1339" s="1" t="s">
        <v>5</v>
      </c>
      <c r="I1339" s="17">
        <v>43252</v>
      </c>
      <c r="J1339" s="17"/>
    </row>
    <row r="1340" spans="1:10">
      <c r="A1340" s="16" t="s">
        <v>14956</v>
      </c>
      <c r="B1340" s="1" t="s">
        <v>2631</v>
      </c>
      <c r="C1340" s="1">
        <v>121</v>
      </c>
      <c r="D1340" s="1" t="s">
        <v>7</v>
      </c>
      <c r="E1340" s="1" t="s">
        <v>6</v>
      </c>
      <c r="F1340" s="1" t="s">
        <v>5241</v>
      </c>
      <c r="G1340" s="1" t="s">
        <v>4803</v>
      </c>
      <c r="H1340" s="1" t="s">
        <v>5</v>
      </c>
      <c r="I1340" s="17">
        <v>42917</v>
      </c>
      <c r="J1340" s="17"/>
    </row>
    <row r="1341" spans="1:10">
      <c r="A1341" s="16" t="s">
        <v>14959</v>
      </c>
      <c r="B1341" s="1" t="s">
        <v>2631</v>
      </c>
      <c r="C1341" s="1">
        <v>833</v>
      </c>
      <c r="D1341" s="1" t="s">
        <v>7</v>
      </c>
      <c r="E1341" s="1" t="s">
        <v>6</v>
      </c>
      <c r="F1341" s="1" t="s">
        <v>5241</v>
      </c>
      <c r="G1341" s="1" t="s">
        <v>4803</v>
      </c>
      <c r="H1341" s="1" t="s">
        <v>5</v>
      </c>
      <c r="I1341" s="17">
        <v>42522</v>
      </c>
      <c r="J1341" s="17"/>
    </row>
    <row r="1342" spans="1:10">
      <c r="A1342" s="16" t="s">
        <v>14960</v>
      </c>
      <c r="B1342" s="1" t="s">
        <v>2631</v>
      </c>
      <c r="C1342" s="1">
        <v>121</v>
      </c>
      <c r="D1342" s="1" t="s">
        <v>7</v>
      </c>
      <c r="E1342" s="1" t="s">
        <v>6</v>
      </c>
      <c r="F1342" s="1" t="s">
        <v>5241</v>
      </c>
      <c r="G1342" s="1" t="s">
        <v>4803</v>
      </c>
      <c r="H1342" s="1" t="s">
        <v>5</v>
      </c>
      <c r="I1342" s="17">
        <v>42401</v>
      </c>
      <c r="J1342" s="17"/>
    </row>
    <row r="1343" spans="1:10">
      <c r="A1343" s="16" t="s">
        <v>14964</v>
      </c>
      <c r="B1343" s="1" t="s">
        <v>2631</v>
      </c>
      <c r="C1343" s="1">
        <v>121</v>
      </c>
      <c r="D1343" s="1" t="s">
        <v>7</v>
      </c>
      <c r="E1343" s="1" t="s">
        <v>6</v>
      </c>
      <c r="F1343" s="1" t="s">
        <v>5241</v>
      </c>
      <c r="G1343" s="1" t="s">
        <v>4803</v>
      </c>
      <c r="H1343" s="1" t="s">
        <v>5</v>
      </c>
      <c r="I1343" s="17">
        <v>42614</v>
      </c>
      <c r="J1343" s="17"/>
    </row>
    <row r="1344" spans="1:10">
      <c r="A1344" s="16" t="s">
        <v>14965</v>
      </c>
      <c r="B1344" s="1" t="s">
        <v>2631</v>
      </c>
      <c r="C1344" s="1">
        <v>121</v>
      </c>
      <c r="D1344" s="1" t="s">
        <v>7</v>
      </c>
      <c r="E1344" s="1" t="s">
        <v>6</v>
      </c>
      <c r="F1344" s="1" t="s">
        <v>5241</v>
      </c>
      <c r="G1344" s="1" t="s">
        <v>4803</v>
      </c>
      <c r="H1344" s="1" t="s">
        <v>5</v>
      </c>
      <c r="I1344" s="17">
        <v>43070</v>
      </c>
      <c r="J1344" s="17"/>
    </row>
    <row r="1345" spans="1:10">
      <c r="A1345" s="16" t="s">
        <v>14967</v>
      </c>
      <c r="B1345" s="1" t="s">
        <v>2631</v>
      </c>
      <c r="C1345" s="1">
        <v>121</v>
      </c>
      <c r="D1345" s="1" t="s">
        <v>7</v>
      </c>
      <c r="E1345" s="1" t="s">
        <v>6</v>
      </c>
      <c r="F1345" s="1" t="s">
        <v>5241</v>
      </c>
      <c r="G1345" s="1" t="s">
        <v>4803</v>
      </c>
      <c r="H1345" s="1" t="s">
        <v>5</v>
      </c>
      <c r="I1345" s="17">
        <v>42552</v>
      </c>
      <c r="J1345" s="17"/>
    </row>
    <row r="1346" spans="1:10">
      <c r="A1346" s="16" t="s">
        <v>14972</v>
      </c>
      <c r="B1346" s="1" t="s">
        <v>2631</v>
      </c>
      <c r="C1346" s="1">
        <v>121</v>
      </c>
      <c r="D1346" s="1" t="s">
        <v>7</v>
      </c>
      <c r="E1346" s="1" t="s">
        <v>6</v>
      </c>
      <c r="F1346" s="1" t="s">
        <v>5241</v>
      </c>
      <c r="G1346" s="1" t="s">
        <v>4803</v>
      </c>
      <c r="H1346" s="1" t="s">
        <v>5</v>
      </c>
      <c r="I1346" s="17">
        <v>42491</v>
      </c>
      <c r="J1346" s="17"/>
    </row>
    <row r="1347" spans="1:10">
      <c r="A1347" s="16" t="s">
        <v>14973</v>
      </c>
      <c r="B1347" s="1" t="s">
        <v>2631</v>
      </c>
      <c r="C1347" s="1">
        <v>121</v>
      </c>
      <c r="D1347" s="1" t="s">
        <v>7</v>
      </c>
      <c r="E1347" s="1" t="s">
        <v>6</v>
      </c>
      <c r="F1347" s="1" t="s">
        <v>5241</v>
      </c>
      <c r="G1347" s="1" t="s">
        <v>4803</v>
      </c>
      <c r="H1347" s="1" t="s">
        <v>5</v>
      </c>
      <c r="I1347" s="17">
        <v>42826</v>
      </c>
      <c r="J1347" s="17"/>
    </row>
    <row r="1348" spans="1:10">
      <c r="A1348" s="16" t="s">
        <v>14974</v>
      </c>
      <c r="B1348" s="1" t="s">
        <v>2631</v>
      </c>
      <c r="C1348" s="1">
        <v>121</v>
      </c>
      <c r="D1348" s="1" t="s">
        <v>7</v>
      </c>
      <c r="E1348" s="1" t="s">
        <v>6</v>
      </c>
      <c r="F1348" s="1" t="s">
        <v>5241</v>
      </c>
      <c r="G1348" s="1" t="s">
        <v>6307</v>
      </c>
      <c r="H1348" s="1" t="s">
        <v>44</v>
      </c>
      <c r="I1348" s="17">
        <v>43070</v>
      </c>
    </row>
    <row r="1349" spans="1:10">
      <c r="A1349" s="16" t="s">
        <v>14975</v>
      </c>
      <c r="B1349" s="1" t="s">
        <v>2631</v>
      </c>
      <c r="C1349" s="1">
        <v>121</v>
      </c>
      <c r="D1349" s="1" t="s">
        <v>7</v>
      </c>
      <c r="E1349" s="1" t="s">
        <v>6</v>
      </c>
      <c r="F1349" s="1" t="s">
        <v>5241</v>
      </c>
      <c r="G1349" s="1" t="s">
        <v>4803</v>
      </c>
      <c r="H1349" s="1" t="s">
        <v>5</v>
      </c>
      <c r="I1349" s="17">
        <v>42278</v>
      </c>
      <c r="J1349" s="17"/>
    </row>
    <row r="1350" spans="1:10">
      <c r="A1350" s="16" t="s">
        <v>14976</v>
      </c>
      <c r="B1350" s="1" t="s">
        <v>2631</v>
      </c>
      <c r="C1350" s="1">
        <v>121</v>
      </c>
      <c r="D1350" s="1" t="s">
        <v>7</v>
      </c>
      <c r="E1350" s="1" t="s">
        <v>6</v>
      </c>
      <c r="F1350" s="1" t="s">
        <v>5241</v>
      </c>
      <c r="G1350" s="1" t="s">
        <v>4803</v>
      </c>
      <c r="H1350" s="1" t="s">
        <v>5</v>
      </c>
      <c r="I1350" s="17">
        <v>43252</v>
      </c>
      <c r="J1350" s="17"/>
    </row>
    <row r="1351" spans="1:10">
      <c r="A1351" s="16" t="s">
        <v>14979</v>
      </c>
      <c r="B1351" s="1" t="s">
        <v>2631</v>
      </c>
      <c r="C1351" s="1">
        <v>121</v>
      </c>
      <c r="D1351" s="1" t="s">
        <v>7</v>
      </c>
      <c r="E1351" s="1" t="s">
        <v>6</v>
      </c>
      <c r="F1351" s="1" t="s">
        <v>5241</v>
      </c>
      <c r="G1351" s="1" t="s">
        <v>4803</v>
      </c>
      <c r="H1351" s="1" t="s">
        <v>5</v>
      </c>
      <c r="I1351" s="17">
        <v>42887</v>
      </c>
      <c r="J1351" s="17"/>
    </row>
    <row r="1352" spans="1:10">
      <c r="A1352" s="16" t="s">
        <v>14980</v>
      </c>
      <c r="B1352" s="1" t="s">
        <v>2631</v>
      </c>
      <c r="C1352" s="1">
        <v>121</v>
      </c>
      <c r="D1352" s="1" t="s">
        <v>7</v>
      </c>
      <c r="E1352" s="1" t="s">
        <v>6</v>
      </c>
      <c r="F1352" s="1" t="s">
        <v>5241</v>
      </c>
      <c r="G1352" s="1" t="s">
        <v>4803</v>
      </c>
      <c r="H1352" s="1" t="s">
        <v>5</v>
      </c>
      <c r="I1352" s="17">
        <v>42887</v>
      </c>
      <c r="J1352" s="17"/>
    </row>
    <row r="1353" spans="1:10">
      <c r="A1353" s="16" t="s">
        <v>14981</v>
      </c>
      <c r="B1353" s="1" t="s">
        <v>2631</v>
      </c>
      <c r="C1353" s="1">
        <v>833</v>
      </c>
      <c r="D1353" s="1" t="s">
        <v>7</v>
      </c>
      <c r="E1353" s="1" t="s">
        <v>6</v>
      </c>
      <c r="F1353" s="1" t="s">
        <v>5241</v>
      </c>
      <c r="G1353" s="1" t="s">
        <v>6307</v>
      </c>
      <c r="H1353" s="1" t="s">
        <v>44</v>
      </c>
      <c r="I1353" s="17">
        <v>42522</v>
      </c>
    </row>
    <row r="1354" spans="1:10">
      <c r="A1354" s="16" t="s">
        <v>14983</v>
      </c>
      <c r="B1354" s="1" t="s">
        <v>2631</v>
      </c>
      <c r="C1354" s="1">
        <v>121</v>
      </c>
      <c r="D1354" s="1" t="s">
        <v>7</v>
      </c>
      <c r="E1354" s="1" t="s">
        <v>6</v>
      </c>
      <c r="F1354" s="1" t="s">
        <v>5241</v>
      </c>
      <c r="G1354" s="1" t="s">
        <v>4803</v>
      </c>
      <c r="H1354" s="1" t="s">
        <v>5</v>
      </c>
      <c r="I1354" s="17">
        <v>43313</v>
      </c>
      <c r="J1354" s="17"/>
    </row>
    <row r="1355" spans="1:10">
      <c r="A1355" s="16" t="s">
        <v>14987</v>
      </c>
      <c r="B1355" s="1" t="s">
        <v>2631</v>
      </c>
      <c r="C1355" s="1">
        <v>121</v>
      </c>
      <c r="D1355" s="1" t="s">
        <v>7</v>
      </c>
      <c r="E1355" s="1" t="s">
        <v>6</v>
      </c>
      <c r="F1355" s="1" t="s">
        <v>5241</v>
      </c>
      <c r="G1355" s="1" t="s">
        <v>6307</v>
      </c>
      <c r="H1355" s="1" t="s">
        <v>44</v>
      </c>
      <c r="I1355" s="17">
        <v>42552</v>
      </c>
    </row>
    <row r="1356" spans="1:10">
      <c r="A1356" s="16" t="s">
        <v>14988</v>
      </c>
      <c r="B1356" s="1" t="s">
        <v>2631</v>
      </c>
      <c r="C1356" s="1">
        <v>121</v>
      </c>
      <c r="D1356" s="1" t="s">
        <v>7</v>
      </c>
      <c r="E1356" s="1" t="s">
        <v>6</v>
      </c>
      <c r="F1356" s="1" t="s">
        <v>5241</v>
      </c>
      <c r="G1356" s="1" t="s">
        <v>6307</v>
      </c>
      <c r="H1356" s="1" t="s">
        <v>44</v>
      </c>
      <c r="I1356" s="17">
        <v>43101</v>
      </c>
    </row>
    <row r="1357" spans="1:10">
      <c r="A1357" s="16" t="s">
        <v>14989</v>
      </c>
      <c r="B1357" s="1" t="s">
        <v>2631</v>
      </c>
      <c r="C1357" s="1">
        <v>833</v>
      </c>
      <c r="D1357" s="1" t="s">
        <v>7</v>
      </c>
      <c r="E1357" s="1" t="s">
        <v>6</v>
      </c>
      <c r="F1357" s="1" t="s">
        <v>5241</v>
      </c>
      <c r="G1357" s="1" t="s">
        <v>4803</v>
      </c>
      <c r="H1357" s="1" t="s">
        <v>5</v>
      </c>
      <c r="I1357" s="17">
        <v>42522</v>
      </c>
      <c r="J1357" s="17"/>
    </row>
    <row r="1358" spans="1:10">
      <c r="A1358" s="16" t="s">
        <v>14990</v>
      </c>
      <c r="B1358" s="1" t="s">
        <v>2631</v>
      </c>
      <c r="C1358" s="1">
        <v>121</v>
      </c>
      <c r="D1358" s="1" t="s">
        <v>7</v>
      </c>
      <c r="E1358" s="1" t="s">
        <v>6</v>
      </c>
      <c r="F1358" s="1" t="s">
        <v>5241</v>
      </c>
      <c r="G1358" s="1" t="s">
        <v>4803</v>
      </c>
      <c r="H1358" s="1" t="s">
        <v>5</v>
      </c>
      <c r="I1358" s="17">
        <v>43009</v>
      </c>
      <c r="J1358" s="17"/>
    </row>
    <row r="1359" spans="1:10">
      <c r="A1359" s="16" t="s">
        <v>14991</v>
      </c>
      <c r="B1359" s="1" t="s">
        <v>2631</v>
      </c>
      <c r="C1359" s="1">
        <v>121</v>
      </c>
      <c r="D1359" s="1" t="s">
        <v>7</v>
      </c>
      <c r="E1359" s="1" t="s">
        <v>6</v>
      </c>
      <c r="F1359" s="1" t="s">
        <v>5241</v>
      </c>
      <c r="G1359" s="1" t="s">
        <v>4803</v>
      </c>
      <c r="H1359" s="1" t="s">
        <v>5</v>
      </c>
      <c r="I1359" s="17">
        <v>42826</v>
      </c>
      <c r="J1359" s="17"/>
    </row>
    <row r="1360" spans="1:10">
      <c r="A1360" s="16" t="s">
        <v>14993</v>
      </c>
      <c r="B1360" s="1" t="s">
        <v>2631</v>
      </c>
      <c r="C1360" s="1">
        <v>121</v>
      </c>
      <c r="D1360" s="1" t="s">
        <v>7</v>
      </c>
      <c r="E1360" s="1" t="s">
        <v>6</v>
      </c>
      <c r="F1360" s="1" t="s">
        <v>5241</v>
      </c>
      <c r="G1360" s="1" t="s">
        <v>4803</v>
      </c>
      <c r="H1360" s="1" t="s">
        <v>5</v>
      </c>
      <c r="I1360" s="17">
        <v>42370</v>
      </c>
      <c r="J1360" s="17"/>
    </row>
    <row r="1361" spans="1:10">
      <c r="A1361" s="16" t="s">
        <v>14995</v>
      </c>
      <c r="B1361" s="1" t="s">
        <v>2631</v>
      </c>
      <c r="C1361" s="1">
        <v>121</v>
      </c>
      <c r="D1361" s="1" t="s">
        <v>7</v>
      </c>
      <c r="E1361" s="1" t="s">
        <v>6</v>
      </c>
      <c r="F1361" s="1" t="s">
        <v>5241</v>
      </c>
      <c r="G1361" s="1" t="s">
        <v>6307</v>
      </c>
      <c r="H1361" s="1" t="s">
        <v>44</v>
      </c>
      <c r="I1361" s="17">
        <v>43313</v>
      </c>
    </row>
    <row r="1362" spans="1:10">
      <c r="A1362" s="16" t="s">
        <v>14998</v>
      </c>
      <c r="B1362" s="1" t="s">
        <v>2631</v>
      </c>
      <c r="C1362" s="1">
        <v>121</v>
      </c>
      <c r="D1362" s="1" t="s">
        <v>7</v>
      </c>
      <c r="E1362" s="1" t="s">
        <v>6</v>
      </c>
      <c r="F1362" s="1" t="s">
        <v>5241</v>
      </c>
      <c r="G1362" s="1" t="s">
        <v>6307</v>
      </c>
      <c r="H1362" s="1" t="s">
        <v>44</v>
      </c>
      <c r="I1362" s="17">
        <v>42522</v>
      </c>
    </row>
    <row r="1363" spans="1:10">
      <c r="A1363" s="16" t="s">
        <v>14999</v>
      </c>
      <c r="B1363" s="1" t="s">
        <v>2631</v>
      </c>
      <c r="C1363" s="1">
        <v>121</v>
      </c>
      <c r="D1363" s="1" t="s">
        <v>7</v>
      </c>
      <c r="E1363" s="1" t="s">
        <v>6</v>
      </c>
      <c r="F1363" s="1" t="s">
        <v>5241</v>
      </c>
      <c r="G1363" s="1" t="s">
        <v>4803</v>
      </c>
      <c r="H1363" s="1" t="s">
        <v>5</v>
      </c>
      <c r="I1363" s="17">
        <v>42614</v>
      </c>
      <c r="J1363" s="17"/>
    </row>
    <row r="1364" spans="1:10">
      <c r="A1364" s="16" t="s">
        <v>15002</v>
      </c>
      <c r="B1364" s="1" t="s">
        <v>2631</v>
      </c>
      <c r="C1364" s="1">
        <v>121</v>
      </c>
      <c r="D1364" s="1" t="s">
        <v>7</v>
      </c>
      <c r="E1364" s="1" t="s">
        <v>6</v>
      </c>
      <c r="F1364" s="1" t="s">
        <v>5241</v>
      </c>
      <c r="G1364" s="1" t="s">
        <v>4803</v>
      </c>
      <c r="H1364" s="1" t="s">
        <v>5</v>
      </c>
      <c r="I1364" s="17">
        <v>42948</v>
      </c>
      <c r="J1364" s="17"/>
    </row>
    <row r="1365" spans="1:10">
      <c r="A1365" s="16" t="s">
        <v>15003</v>
      </c>
      <c r="B1365" s="1" t="s">
        <v>2631</v>
      </c>
      <c r="C1365" s="1">
        <v>121</v>
      </c>
      <c r="D1365" s="1" t="s">
        <v>7</v>
      </c>
      <c r="E1365" s="1" t="s">
        <v>6</v>
      </c>
      <c r="F1365" s="1" t="s">
        <v>5241</v>
      </c>
      <c r="G1365" s="1" t="s">
        <v>6307</v>
      </c>
      <c r="H1365" s="1" t="s">
        <v>44</v>
      </c>
      <c r="I1365" s="17">
        <v>42461</v>
      </c>
    </row>
    <row r="1366" spans="1:10">
      <c r="A1366" s="16" t="s">
        <v>15004</v>
      </c>
      <c r="B1366" s="1" t="s">
        <v>2631</v>
      </c>
      <c r="C1366" s="1">
        <v>121</v>
      </c>
      <c r="D1366" s="1" t="s">
        <v>7</v>
      </c>
      <c r="E1366" s="1" t="s">
        <v>6</v>
      </c>
      <c r="F1366" s="1" t="s">
        <v>5241</v>
      </c>
      <c r="G1366" s="1" t="s">
        <v>4803</v>
      </c>
      <c r="H1366" s="1" t="s">
        <v>5</v>
      </c>
      <c r="I1366" s="17">
        <v>42736</v>
      </c>
      <c r="J1366" s="17"/>
    </row>
    <row r="1367" spans="1:10">
      <c r="A1367" s="16" t="s">
        <v>15006</v>
      </c>
      <c r="B1367" s="1" t="s">
        <v>2631</v>
      </c>
      <c r="C1367" s="1">
        <v>121</v>
      </c>
      <c r="D1367" s="1" t="s">
        <v>7</v>
      </c>
      <c r="E1367" s="1" t="s">
        <v>6</v>
      </c>
      <c r="F1367" s="1" t="s">
        <v>5241</v>
      </c>
      <c r="G1367" s="1" t="s">
        <v>6307</v>
      </c>
      <c r="H1367" s="1" t="s">
        <v>44</v>
      </c>
      <c r="I1367" s="17">
        <v>43101</v>
      </c>
    </row>
    <row r="1368" spans="1:10">
      <c r="A1368" s="16" t="s">
        <v>15007</v>
      </c>
      <c r="B1368" s="1" t="s">
        <v>2631</v>
      </c>
      <c r="C1368" s="1">
        <v>121</v>
      </c>
      <c r="D1368" s="1" t="s">
        <v>7</v>
      </c>
      <c r="E1368" s="1" t="s">
        <v>6</v>
      </c>
      <c r="F1368" s="1" t="s">
        <v>5241</v>
      </c>
      <c r="G1368" s="1" t="s">
        <v>4803</v>
      </c>
      <c r="H1368" s="1" t="s">
        <v>5</v>
      </c>
      <c r="I1368" s="17">
        <v>42917</v>
      </c>
      <c r="J1368" s="17"/>
    </row>
    <row r="1369" spans="1:10">
      <c r="A1369" s="16" t="s">
        <v>15008</v>
      </c>
      <c r="B1369" s="1" t="s">
        <v>2631</v>
      </c>
      <c r="C1369" s="1">
        <v>121</v>
      </c>
      <c r="D1369" s="1" t="s">
        <v>7</v>
      </c>
      <c r="E1369" s="1" t="s">
        <v>6</v>
      </c>
      <c r="F1369" s="1" t="s">
        <v>5241</v>
      </c>
      <c r="G1369" s="1" t="s">
        <v>6307</v>
      </c>
      <c r="H1369" s="1" t="s">
        <v>44</v>
      </c>
      <c r="I1369" s="17">
        <v>43070</v>
      </c>
    </row>
    <row r="1370" spans="1:10">
      <c r="A1370" s="16" t="s">
        <v>15009</v>
      </c>
      <c r="B1370" s="1" t="s">
        <v>2631</v>
      </c>
      <c r="C1370" s="1">
        <v>121</v>
      </c>
      <c r="D1370" s="1" t="s">
        <v>7</v>
      </c>
      <c r="E1370" s="1" t="s">
        <v>6</v>
      </c>
      <c r="F1370" s="1" t="s">
        <v>5241</v>
      </c>
      <c r="G1370" s="1" t="s">
        <v>4803</v>
      </c>
      <c r="H1370" s="1" t="s">
        <v>5</v>
      </c>
      <c r="I1370" s="17">
        <v>42736</v>
      </c>
      <c r="J1370" s="17"/>
    </row>
    <row r="1371" spans="1:10">
      <c r="A1371" s="16" t="s">
        <v>15013</v>
      </c>
      <c r="B1371" s="1" t="s">
        <v>2631</v>
      </c>
      <c r="C1371" s="1">
        <v>121</v>
      </c>
      <c r="D1371" s="1" t="s">
        <v>7</v>
      </c>
      <c r="E1371" s="1" t="s">
        <v>6</v>
      </c>
      <c r="F1371" s="1" t="s">
        <v>5241</v>
      </c>
      <c r="G1371" s="1" t="s">
        <v>4803</v>
      </c>
      <c r="H1371" s="1" t="s">
        <v>5</v>
      </c>
      <c r="I1371" s="17">
        <v>42675</v>
      </c>
      <c r="J1371" s="17"/>
    </row>
    <row r="1372" spans="1:10">
      <c r="A1372" s="16" t="s">
        <v>15014</v>
      </c>
      <c r="B1372" s="1" t="s">
        <v>2631</v>
      </c>
      <c r="C1372" s="1">
        <v>121</v>
      </c>
      <c r="D1372" s="1" t="s">
        <v>7</v>
      </c>
      <c r="E1372" s="1" t="s">
        <v>6</v>
      </c>
      <c r="F1372" s="1" t="s">
        <v>5241</v>
      </c>
      <c r="G1372" s="1" t="s">
        <v>6307</v>
      </c>
      <c r="H1372" s="1" t="s">
        <v>44</v>
      </c>
      <c r="I1372" s="17">
        <v>43252</v>
      </c>
    </row>
    <row r="1373" spans="1:10">
      <c r="A1373" s="16" t="s">
        <v>15015</v>
      </c>
      <c r="B1373" s="1" t="s">
        <v>2631</v>
      </c>
      <c r="C1373" s="1">
        <v>121</v>
      </c>
      <c r="D1373" s="1" t="s">
        <v>7</v>
      </c>
      <c r="E1373" s="1" t="s">
        <v>6</v>
      </c>
      <c r="F1373" s="1" t="s">
        <v>5241</v>
      </c>
      <c r="G1373" s="1" t="s">
        <v>4803</v>
      </c>
      <c r="H1373" s="1" t="s">
        <v>5</v>
      </c>
      <c r="I1373" s="17">
        <v>42767</v>
      </c>
      <c r="J1373" s="17"/>
    </row>
    <row r="1374" spans="1:10">
      <c r="A1374" s="16" t="s">
        <v>15016</v>
      </c>
      <c r="B1374" s="1" t="s">
        <v>2631</v>
      </c>
      <c r="C1374" s="1">
        <v>121</v>
      </c>
      <c r="D1374" s="1" t="s">
        <v>7</v>
      </c>
      <c r="E1374" s="1" t="s">
        <v>6</v>
      </c>
      <c r="F1374" s="1" t="s">
        <v>5241</v>
      </c>
      <c r="G1374" s="1" t="s">
        <v>4803</v>
      </c>
      <c r="H1374" s="1" t="s">
        <v>5</v>
      </c>
      <c r="I1374" s="17">
        <v>42917</v>
      </c>
      <c r="J1374" s="17"/>
    </row>
    <row r="1375" spans="1:10">
      <c r="A1375" s="16" t="s">
        <v>15017</v>
      </c>
      <c r="B1375" s="1" t="s">
        <v>2631</v>
      </c>
      <c r="C1375" s="1">
        <v>121</v>
      </c>
      <c r="D1375" s="1" t="s">
        <v>7</v>
      </c>
      <c r="E1375" s="1" t="s">
        <v>6</v>
      </c>
      <c r="F1375" s="1" t="s">
        <v>5241</v>
      </c>
      <c r="G1375" s="1" t="s">
        <v>4803</v>
      </c>
      <c r="H1375" s="1" t="s">
        <v>5</v>
      </c>
      <c r="I1375" s="17">
        <v>42917</v>
      </c>
      <c r="J1375" s="17"/>
    </row>
    <row r="1376" spans="1:10">
      <c r="A1376" s="16" t="s">
        <v>15019</v>
      </c>
      <c r="B1376" s="1" t="s">
        <v>2631</v>
      </c>
      <c r="C1376" s="1">
        <v>121</v>
      </c>
      <c r="D1376" s="1" t="s">
        <v>7</v>
      </c>
      <c r="E1376" s="1" t="s">
        <v>6</v>
      </c>
      <c r="F1376" s="1" t="s">
        <v>5241</v>
      </c>
      <c r="G1376" s="1" t="s">
        <v>6307</v>
      </c>
      <c r="H1376" s="1" t="s">
        <v>44</v>
      </c>
      <c r="I1376" s="17">
        <v>42461</v>
      </c>
    </row>
    <row r="1377" spans="1:10">
      <c r="A1377" s="16" t="s">
        <v>15021</v>
      </c>
      <c r="B1377" s="1" t="s">
        <v>2631</v>
      </c>
      <c r="C1377" s="1">
        <v>121</v>
      </c>
      <c r="D1377" s="1" t="s">
        <v>7</v>
      </c>
      <c r="E1377" s="1" t="s">
        <v>6</v>
      </c>
      <c r="F1377" s="1" t="s">
        <v>5241</v>
      </c>
      <c r="G1377" s="1" t="s">
        <v>6307</v>
      </c>
      <c r="H1377" s="1" t="s">
        <v>44</v>
      </c>
      <c r="I1377" s="17">
        <v>43313</v>
      </c>
    </row>
    <row r="1378" spans="1:10">
      <c r="A1378" s="16" t="s">
        <v>15022</v>
      </c>
      <c r="B1378" s="1" t="s">
        <v>2631</v>
      </c>
      <c r="C1378" s="1">
        <v>121</v>
      </c>
      <c r="D1378" s="1" t="s">
        <v>7</v>
      </c>
      <c r="E1378" s="1" t="s">
        <v>6</v>
      </c>
      <c r="F1378" s="1" t="s">
        <v>5241</v>
      </c>
      <c r="G1378" s="1" t="s">
        <v>4803</v>
      </c>
      <c r="H1378" s="1" t="s">
        <v>5</v>
      </c>
      <c r="I1378" s="17">
        <v>42826</v>
      </c>
      <c r="J1378" s="17"/>
    </row>
    <row r="1379" spans="1:10">
      <c r="A1379" s="16" t="s">
        <v>15023</v>
      </c>
      <c r="B1379" s="1" t="s">
        <v>2631</v>
      </c>
      <c r="C1379" s="1">
        <v>121</v>
      </c>
      <c r="D1379" s="1" t="s">
        <v>7</v>
      </c>
      <c r="E1379" s="1" t="s">
        <v>6</v>
      </c>
      <c r="F1379" s="1" t="s">
        <v>5241</v>
      </c>
      <c r="G1379" s="1" t="s">
        <v>4803</v>
      </c>
      <c r="H1379" s="1" t="s">
        <v>5</v>
      </c>
      <c r="I1379" s="17">
        <v>42675</v>
      </c>
      <c r="J1379" s="17"/>
    </row>
    <row r="1380" spans="1:10">
      <c r="A1380" s="16" t="s">
        <v>15024</v>
      </c>
      <c r="B1380" s="1" t="s">
        <v>2631</v>
      </c>
      <c r="C1380" s="1">
        <v>121</v>
      </c>
      <c r="D1380" s="1" t="s">
        <v>7</v>
      </c>
      <c r="E1380" s="1" t="s">
        <v>6</v>
      </c>
      <c r="F1380" s="1" t="s">
        <v>5241</v>
      </c>
      <c r="G1380" s="1" t="s">
        <v>4803</v>
      </c>
      <c r="H1380" s="1" t="s">
        <v>5</v>
      </c>
      <c r="I1380" s="17">
        <v>43132</v>
      </c>
      <c r="J1380" s="17"/>
    </row>
    <row r="1381" spans="1:10">
      <c r="A1381" s="16" t="s">
        <v>15026</v>
      </c>
      <c r="B1381" s="1" t="s">
        <v>2631</v>
      </c>
      <c r="C1381" s="1">
        <v>121</v>
      </c>
      <c r="D1381" s="1" t="s">
        <v>7</v>
      </c>
      <c r="E1381" s="1" t="s">
        <v>6</v>
      </c>
      <c r="F1381" s="1" t="s">
        <v>5241</v>
      </c>
      <c r="G1381" s="1" t="s">
        <v>4803</v>
      </c>
      <c r="H1381" s="1" t="s">
        <v>5</v>
      </c>
      <c r="I1381" s="17">
        <v>43040</v>
      </c>
      <c r="J1381" s="17"/>
    </row>
    <row r="1382" spans="1:10">
      <c r="A1382" s="16" t="s">
        <v>15029</v>
      </c>
      <c r="B1382" s="1" t="s">
        <v>2631</v>
      </c>
      <c r="C1382" s="1">
        <v>121</v>
      </c>
      <c r="D1382" s="1" t="s">
        <v>7</v>
      </c>
      <c r="E1382" s="1" t="s">
        <v>6</v>
      </c>
      <c r="F1382" s="1" t="s">
        <v>5241</v>
      </c>
      <c r="G1382" s="1" t="s">
        <v>4803</v>
      </c>
      <c r="H1382" s="1" t="s">
        <v>5</v>
      </c>
      <c r="I1382" s="17">
        <v>42826</v>
      </c>
      <c r="J1382" s="17"/>
    </row>
    <row r="1383" spans="1:10">
      <c r="A1383" s="16" t="s">
        <v>15033</v>
      </c>
      <c r="B1383" s="1" t="s">
        <v>2631</v>
      </c>
      <c r="C1383" s="1">
        <v>121</v>
      </c>
      <c r="D1383" s="1" t="s">
        <v>7</v>
      </c>
      <c r="E1383" s="1" t="s">
        <v>6</v>
      </c>
      <c r="F1383" s="1" t="s">
        <v>5241</v>
      </c>
      <c r="G1383" s="1" t="s">
        <v>6307</v>
      </c>
      <c r="H1383" s="1" t="s">
        <v>44</v>
      </c>
      <c r="I1383" s="17">
        <v>42522</v>
      </c>
    </row>
    <row r="1384" spans="1:10">
      <c r="A1384" s="16" t="s">
        <v>15040</v>
      </c>
      <c r="B1384" s="1" t="s">
        <v>2631</v>
      </c>
      <c r="C1384" s="1">
        <v>121</v>
      </c>
      <c r="D1384" s="1" t="s">
        <v>7</v>
      </c>
      <c r="E1384" s="1" t="s">
        <v>6</v>
      </c>
      <c r="F1384" s="1" t="s">
        <v>5241</v>
      </c>
      <c r="G1384" s="1" t="s">
        <v>4803</v>
      </c>
      <c r="H1384" s="1" t="s">
        <v>5</v>
      </c>
      <c r="I1384" s="17">
        <v>43160</v>
      </c>
      <c r="J1384" s="17"/>
    </row>
    <row r="1385" spans="1:10">
      <c r="A1385" s="16" t="s">
        <v>15042</v>
      </c>
      <c r="B1385" s="1" t="s">
        <v>2631</v>
      </c>
      <c r="C1385" s="1">
        <v>121</v>
      </c>
      <c r="D1385" s="1" t="s">
        <v>7</v>
      </c>
      <c r="E1385" s="1" t="s">
        <v>6</v>
      </c>
      <c r="F1385" s="1" t="s">
        <v>5241</v>
      </c>
      <c r="G1385" s="1" t="s">
        <v>4803</v>
      </c>
      <c r="H1385" s="1" t="s">
        <v>5</v>
      </c>
      <c r="I1385" s="17">
        <v>42522</v>
      </c>
      <c r="J1385" s="17"/>
    </row>
    <row r="1386" spans="1:10">
      <c r="A1386" s="16" t="s">
        <v>15043</v>
      </c>
      <c r="B1386" s="1" t="s">
        <v>2631</v>
      </c>
      <c r="C1386" s="1">
        <v>121</v>
      </c>
      <c r="D1386" s="1" t="s">
        <v>7</v>
      </c>
      <c r="E1386" s="1" t="s">
        <v>6</v>
      </c>
      <c r="F1386" s="1" t="s">
        <v>5241</v>
      </c>
      <c r="G1386" s="1" t="s">
        <v>4803</v>
      </c>
      <c r="H1386" s="1" t="s">
        <v>5</v>
      </c>
      <c r="I1386" s="17">
        <v>42917</v>
      </c>
      <c r="J1386" s="17"/>
    </row>
    <row r="1387" spans="1:10">
      <c r="A1387" s="16" t="s">
        <v>15046</v>
      </c>
      <c r="B1387" s="1" t="s">
        <v>2631</v>
      </c>
      <c r="C1387" s="1">
        <v>121</v>
      </c>
      <c r="D1387" s="1" t="s">
        <v>7</v>
      </c>
      <c r="E1387" s="1" t="s">
        <v>6</v>
      </c>
      <c r="F1387" s="1" t="s">
        <v>5241</v>
      </c>
      <c r="G1387" s="1" t="s">
        <v>4803</v>
      </c>
      <c r="H1387" s="1" t="s">
        <v>5</v>
      </c>
      <c r="I1387" s="17">
        <v>42826</v>
      </c>
      <c r="J1387" s="17"/>
    </row>
    <row r="1388" spans="1:10">
      <c r="A1388" s="16" t="s">
        <v>15050</v>
      </c>
      <c r="B1388" s="1" t="s">
        <v>2631</v>
      </c>
      <c r="C1388" s="1">
        <v>121</v>
      </c>
      <c r="D1388" s="1" t="s">
        <v>7</v>
      </c>
      <c r="E1388" s="1" t="s">
        <v>6</v>
      </c>
      <c r="F1388" s="1" t="s">
        <v>5241</v>
      </c>
      <c r="G1388" s="1" t="s">
        <v>4803</v>
      </c>
      <c r="H1388" s="1" t="s">
        <v>5</v>
      </c>
      <c r="I1388" s="17">
        <v>42552</v>
      </c>
      <c r="J1388" s="17"/>
    </row>
    <row r="1389" spans="1:10">
      <c r="A1389" s="16" t="s">
        <v>15051</v>
      </c>
      <c r="B1389" s="1" t="s">
        <v>2631</v>
      </c>
      <c r="C1389" s="1">
        <v>121</v>
      </c>
      <c r="D1389" s="1" t="s">
        <v>7</v>
      </c>
      <c r="E1389" s="1" t="s">
        <v>6</v>
      </c>
      <c r="F1389" s="1" t="s">
        <v>5241</v>
      </c>
      <c r="G1389" s="1" t="s">
        <v>4803</v>
      </c>
      <c r="H1389" s="1" t="s">
        <v>5</v>
      </c>
      <c r="I1389" s="17">
        <v>43313</v>
      </c>
      <c r="J1389" s="17"/>
    </row>
    <row r="1390" spans="1:10">
      <c r="A1390" s="16" t="s">
        <v>15053</v>
      </c>
      <c r="B1390" s="1" t="s">
        <v>2631</v>
      </c>
      <c r="C1390" s="1">
        <v>121</v>
      </c>
      <c r="D1390" s="1" t="s">
        <v>7</v>
      </c>
      <c r="E1390" s="1" t="s">
        <v>6</v>
      </c>
      <c r="F1390" s="1" t="s">
        <v>5241</v>
      </c>
      <c r="G1390" s="1" t="s">
        <v>6307</v>
      </c>
      <c r="H1390" s="1" t="s">
        <v>44</v>
      </c>
      <c r="I1390" s="17">
        <v>43252</v>
      </c>
    </row>
    <row r="1391" spans="1:10">
      <c r="A1391" s="16" t="s">
        <v>15054</v>
      </c>
      <c r="B1391" s="1" t="s">
        <v>2631</v>
      </c>
      <c r="C1391" s="1">
        <v>833</v>
      </c>
      <c r="D1391" s="1" t="s">
        <v>7</v>
      </c>
      <c r="E1391" s="1" t="s">
        <v>6</v>
      </c>
      <c r="F1391" s="1" t="s">
        <v>5241</v>
      </c>
      <c r="G1391" s="1" t="s">
        <v>6307</v>
      </c>
      <c r="H1391" s="1" t="s">
        <v>44</v>
      </c>
      <c r="I1391" s="17">
        <v>42552</v>
      </c>
    </row>
    <row r="1392" spans="1:10">
      <c r="A1392" s="16" t="s">
        <v>15055</v>
      </c>
      <c r="B1392" s="1" t="s">
        <v>2631</v>
      </c>
      <c r="C1392" s="1">
        <v>121</v>
      </c>
      <c r="D1392" s="1" t="s">
        <v>7</v>
      </c>
      <c r="E1392" s="1" t="s">
        <v>6</v>
      </c>
      <c r="F1392" s="1" t="s">
        <v>5241</v>
      </c>
      <c r="G1392" s="1" t="s">
        <v>4803</v>
      </c>
      <c r="H1392" s="1" t="s">
        <v>5</v>
      </c>
      <c r="I1392" s="17">
        <v>43070</v>
      </c>
      <c r="J1392" s="17"/>
    </row>
    <row r="1393" spans="1:10">
      <c r="A1393" s="16" t="s">
        <v>15056</v>
      </c>
      <c r="B1393" s="1" t="s">
        <v>2631</v>
      </c>
      <c r="C1393" s="1">
        <v>121</v>
      </c>
      <c r="D1393" s="1" t="s">
        <v>7</v>
      </c>
      <c r="E1393" s="1" t="s">
        <v>6</v>
      </c>
      <c r="F1393" s="1" t="s">
        <v>5241</v>
      </c>
      <c r="G1393" s="1" t="s">
        <v>4803</v>
      </c>
      <c r="H1393" s="1" t="s">
        <v>5</v>
      </c>
      <c r="I1393" s="17">
        <v>42917</v>
      </c>
      <c r="J1393" s="17"/>
    </row>
    <row r="1394" spans="1:10">
      <c r="A1394" s="16" t="s">
        <v>15058</v>
      </c>
      <c r="B1394" s="1" t="s">
        <v>2631</v>
      </c>
      <c r="C1394" s="1">
        <v>121</v>
      </c>
      <c r="D1394" s="1" t="s">
        <v>7</v>
      </c>
      <c r="E1394" s="1" t="s">
        <v>6</v>
      </c>
      <c r="F1394" s="1" t="s">
        <v>5241</v>
      </c>
      <c r="G1394" s="1" t="s">
        <v>4803</v>
      </c>
      <c r="H1394" s="1" t="s">
        <v>5</v>
      </c>
      <c r="I1394" s="17">
        <v>42522</v>
      </c>
      <c r="J1394" s="17"/>
    </row>
    <row r="1395" spans="1:10">
      <c r="A1395" s="16" t="s">
        <v>15059</v>
      </c>
      <c r="B1395" s="1" t="s">
        <v>2631</v>
      </c>
      <c r="C1395" s="1">
        <v>121</v>
      </c>
      <c r="D1395" s="1" t="s">
        <v>7</v>
      </c>
      <c r="E1395" s="1" t="s">
        <v>6</v>
      </c>
      <c r="F1395" s="1" t="s">
        <v>5241</v>
      </c>
      <c r="G1395" s="1" t="s">
        <v>4803</v>
      </c>
      <c r="H1395" s="1" t="s">
        <v>5</v>
      </c>
      <c r="I1395" s="17">
        <v>43191</v>
      </c>
      <c r="J1395" s="17"/>
    </row>
    <row r="1396" spans="1:10">
      <c r="A1396" s="16" t="s">
        <v>15060</v>
      </c>
      <c r="B1396" s="1" t="s">
        <v>2631</v>
      </c>
      <c r="C1396" s="1">
        <v>121</v>
      </c>
      <c r="D1396" s="1" t="s">
        <v>7</v>
      </c>
      <c r="E1396" s="1" t="s">
        <v>6</v>
      </c>
      <c r="F1396" s="1" t="s">
        <v>5241</v>
      </c>
      <c r="G1396" s="1" t="s">
        <v>4803</v>
      </c>
      <c r="H1396" s="1" t="s">
        <v>5</v>
      </c>
      <c r="I1396" s="17">
        <v>43313</v>
      </c>
      <c r="J1396" s="17"/>
    </row>
    <row r="1397" spans="1:10">
      <c r="A1397" s="16" t="s">
        <v>15062</v>
      </c>
      <c r="B1397" s="1" t="s">
        <v>2631</v>
      </c>
      <c r="C1397" s="1">
        <v>121</v>
      </c>
      <c r="D1397" s="1" t="s">
        <v>7</v>
      </c>
      <c r="E1397" s="1" t="s">
        <v>6</v>
      </c>
      <c r="F1397" s="1" t="s">
        <v>5241</v>
      </c>
      <c r="G1397" s="1" t="s">
        <v>6307</v>
      </c>
      <c r="H1397" s="1" t="s">
        <v>44</v>
      </c>
      <c r="I1397" s="17">
        <v>43252</v>
      </c>
    </row>
    <row r="1398" spans="1:10">
      <c r="A1398" s="16" t="s">
        <v>15063</v>
      </c>
      <c r="B1398" s="1" t="s">
        <v>2631</v>
      </c>
      <c r="C1398" s="1">
        <v>121</v>
      </c>
      <c r="D1398" s="1" t="s">
        <v>7</v>
      </c>
      <c r="E1398" s="1" t="s">
        <v>6</v>
      </c>
      <c r="F1398" s="1" t="s">
        <v>5241</v>
      </c>
      <c r="G1398" s="1" t="s">
        <v>4803</v>
      </c>
      <c r="H1398" s="1" t="s">
        <v>5</v>
      </c>
      <c r="I1398" s="17">
        <v>43252</v>
      </c>
      <c r="J1398" s="17"/>
    </row>
    <row r="1399" spans="1:10">
      <c r="A1399" s="16" t="s">
        <v>15067</v>
      </c>
      <c r="B1399" s="1" t="s">
        <v>2631</v>
      </c>
      <c r="C1399" s="1">
        <v>121</v>
      </c>
      <c r="D1399" s="1" t="s">
        <v>7</v>
      </c>
      <c r="E1399" s="1" t="s">
        <v>6</v>
      </c>
      <c r="F1399" s="1" t="s">
        <v>5241</v>
      </c>
      <c r="G1399" s="1" t="s">
        <v>4803</v>
      </c>
      <c r="H1399" s="1" t="s">
        <v>5</v>
      </c>
      <c r="I1399" s="17">
        <v>42917</v>
      </c>
      <c r="J1399" s="17"/>
    </row>
    <row r="1400" spans="1:10">
      <c r="A1400" s="16" t="s">
        <v>15068</v>
      </c>
      <c r="B1400" s="1" t="s">
        <v>2631</v>
      </c>
      <c r="C1400" s="1">
        <v>121</v>
      </c>
      <c r="D1400" s="1" t="s">
        <v>7</v>
      </c>
      <c r="E1400" s="1" t="s">
        <v>6</v>
      </c>
      <c r="F1400" s="1" t="s">
        <v>5241</v>
      </c>
      <c r="G1400" s="1" t="s">
        <v>4803</v>
      </c>
      <c r="H1400" s="1" t="s">
        <v>5</v>
      </c>
      <c r="I1400" s="17">
        <v>43252</v>
      </c>
      <c r="J1400" s="17"/>
    </row>
    <row r="1401" spans="1:10">
      <c r="A1401" s="16" t="s">
        <v>15070</v>
      </c>
      <c r="B1401" s="1" t="s">
        <v>2631</v>
      </c>
      <c r="C1401" s="1">
        <v>121</v>
      </c>
      <c r="D1401" s="1" t="s">
        <v>7</v>
      </c>
      <c r="E1401" s="1" t="s">
        <v>6</v>
      </c>
      <c r="F1401" s="1" t="s">
        <v>5241</v>
      </c>
      <c r="G1401" s="1" t="s">
        <v>6307</v>
      </c>
      <c r="H1401" s="1" t="s">
        <v>44</v>
      </c>
      <c r="I1401" s="17">
        <v>42522</v>
      </c>
    </row>
    <row r="1402" spans="1:10">
      <c r="A1402" s="16" t="s">
        <v>15071</v>
      </c>
      <c r="B1402" s="1" t="s">
        <v>2631</v>
      </c>
      <c r="C1402" s="1">
        <v>121</v>
      </c>
      <c r="D1402" s="1" t="s">
        <v>7</v>
      </c>
      <c r="E1402" s="1" t="s">
        <v>6</v>
      </c>
      <c r="F1402" s="1" t="s">
        <v>5241</v>
      </c>
      <c r="G1402" s="1" t="s">
        <v>6307</v>
      </c>
      <c r="H1402" s="1" t="s">
        <v>44</v>
      </c>
      <c r="I1402" s="17">
        <v>43252</v>
      </c>
    </row>
    <row r="1403" spans="1:10">
      <c r="A1403" s="16" t="s">
        <v>15073</v>
      </c>
      <c r="B1403" s="1" t="s">
        <v>2631</v>
      </c>
      <c r="C1403" s="1">
        <v>121</v>
      </c>
      <c r="D1403" s="1" t="s">
        <v>7</v>
      </c>
      <c r="E1403" s="1" t="s">
        <v>6</v>
      </c>
      <c r="F1403" s="1" t="s">
        <v>5241</v>
      </c>
      <c r="G1403" s="1" t="s">
        <v>6307</v>
      </c>
      <c r="H1403" s="1" t="s">
        <v>44</v>
      </c>
      <c r="I1403" s="17">
        <v>43252</v>
      </c>
    </row>
    <row r="1404" spans="1:10">
      <c r="A1404" s="16" t="s">
        <v>15074</v>
      </c>
      <c r="B1404" s="1" t="s">
        <v>2631</v>
      </c>
      <c r="C1404" s="1">
        <v>121</v>
      </c>
      <c r="D1404" s="1" t="s">
        <v>7</v>
      </c>
      <c r="E1404" s="1" t="s">
        <v>6</v>
      </c>
      <c r="F1404" s="1" t="s">
        <v>5241</v>
      </c>
      <c r="G1404" s="1" t="s">
        <v>4803</v>
      </c>
      <c r="H1404" s="1" t="s">
        <v>5</v>
      </c>
      <c r="I1404" s="17">
        <v>42583</v>
      </c>
      <c r="J1404" s="17"/>
    </row>
    <row r="1405" spans="1:10">
      <c r="A1405" s="16" t="s">
        <v>15075</v>
      </c>
      <c r="B1405" s="1" t="s">
        <v>2631</v>
      </c>
      <c r="C1405" s="1">
        <v>121</v>
      </c>
      <c r="D1405" s="1" t="s">
        <v>7</v>
      </c>
      <c r="E1405" s="1" t="s">
        <v>6</v>
      </c>
      <c r="F1405" s="1" t="s">
        <v>5241</v>
      </c>
      <c r="G1405" s="1" t="s">
        <v>4803</v>
      </c>
      <c r="H1405" s="1" t="s">
        <v>5</v>
      </c>
      <c r="I1405" s="17">
        <v>42795</v>
      </c>
      <c r="J1405" s="17"/>
    </row>
    <row r="1406" spans="1:10">
      <c r="A1406" s="16" t="s">
        <v>15077</v>
      </c>
      <c r="B1406" s="1" t="s">
        <v>2631</v>
      </c>
      <c r="C1406" s="1">
        <v>121</v>
      </c>
      <c r="D1406" s="1" t="s">
        <v>7</v>
      </c>
      <c r="E1406" s="1" t="s">
        <v>6</v>
      </c>
      <c r="F1406" s="1" t="s">
        <v>5241</v>
      </c>
      <c r="G1406" s="1" t="s">
        <v>4803</v>
      </c>
      <c r="H1406" s="1" t="s">
        <v>5</v>
      </c>
      <c r="I1406" s="17">
        <v>42826</v>
      </c>
      <c r="J1406" s="17"/>
    </row>
    <row r="1407" spans="1:10">
      <c r="A1407" s="16" t="s">
        <v>15078</v>
      </c>
      <c r="B1407" s="1" t="s">
        <v>2631</v>
      </c>
      <c r="C1407" s="1">
        <v>121</v>
      </c>
      <c r="D1407" s="1" t="s">
        <v>7</v>
      </c>
      <c r="E1407" s="1" t="s">
        <v>6</v>
      </c>
      <c r="F1407" s="1" t="s">
        <v>5241</v>
      </c>
      <c r="G1407" s="1" t="s">
        <v>4803</v>
      </c>
      <c r="H1407" s="1" t="s">
        <v>5</v>
      </c>
      <c r="I1407" s="17">
        <v>42430</v>
      </c>
      <c r="J1407" s="17"/>
    </row>
    <row r="1408" spans="1:10">
      <c r="A1408" s="16" t="s">
        <v>15080</v>
      </c>
      <c r="B1408" s="1" t="s">
        <v>2631</v>
      </c>
      <c r="C1408" s="1">
        <v>121</v>
      </c>
      <c r="D1408" s="1" t="s">
        <v>7</v>
      </c>
      <c r="E1408" s="1" t="s">
        <v>6</v>
      </c>
      <c r="F1408" s="1" t="s">
        <v>5241</v>
      </c>
      <c r="G1408" s="1" t="s">
        <v>4803</v>
      </c>
      <c r="H1408" s="1" t="s">
        <v>5</v>
      </c>
      <c r="I1408" s="17">
        <v>42522</v>
      </c>
      <c r="J1408" s="17"/>
    </row>
    <row r="1409" spans="1:10">
      <c r="A1409" s="16" t="s">
        <v>15081</v>
      </c>
      <c r="B1409" s="1" t="s">
        <v>2631</v>
      </c>
      <c r="C1409" s="1">
        <v>121</v>
      </c>
      <c r="D1409" s="1" t="s">
        <v>7</v>
      </c>
      <c r="E1409" s="1" t="s">
        <v>6</v>
      </c>
      <c r="F1409" s="1" t="s">
        <v>5241</v>
      </c>
      <c r="G1409" s="1" t="s">
        <v>4803</v>
      </c>
      <c r="H1409" s="1" t="s">
        <v>5</v>
      </c>
      <c r="I1409" s="17">
        <v>42917</v>
      </c>
      <c r="J1409" s="17"/>
    </row>
    <row r="1410" spans="1:10">
      <c r="A1410" s="16" t="s">
        <v>15082</v>
      </c>
      <c r="B1410" s="1" t="s">
        <v>2631</v>
      </c>
      <c r="C1410" s="1">
        <v>121</v>
      </c>
      <c r="D1410" s="1" t="s">
        <v>7</v>
      </c>
      <c r="E1410" s="1" t="s">
        <v>6</v>
      </c>
      <c r="F1410" s="1" t="s">
        <v>5241</v>
      </c>
      <c r="G1410" s="1" t="s">
        <v>6307</v>
      </c>
      <c r="H1410" s="1" t="s">
        <v>44</v>
      </c>
      <c r="I1410" s="17">
        <v>42552</v>
      </c>
    </row>
    <row r="1411" spans="1:10">
      <c r="A1411" s="16" t="s">
        <v>15083</v>
      </c>
      <c r="B1411" s="1" t="s">
        <v>2631</v>
      </c>
      <c r="C1411" s="1">
        <v>121</v>
      </c>
      <c r="D1411" s="1" t="s">
        <v>7</v>
      </c>
      <c r="E1411" s="1" t="s">
        <v>6</v>
      </c>
      <c r="F1411" s="1" t="s">
        <v>5241</v>
      </c>
      <c r="G1411" s="1" t="s">
        <v>4803</v>
      </c>
      <c r="H1411" s="1" t="s">
        <v>5</v>
      </c>
      <c r="I1411" s="17">
        <v>42887</v>
      </c>
      <c r="J1411" s="17"/>
    </row>
    <row r="1412" spans="1:10">
      <c r="A1412" s="16" t="s">
        <v>15084</v>
      </c>
      <c r="B1412" s="1" t="s">
        <v>2631</v>
      </c>
      <c r="C1412" s="1">
        <v>121</v>
      </c>
      <c r="D1412" s="1" t="s">
        <v>7</v>
      </c>
      <c r="E1412" s="1" t="s">
        <v>6</v>
      </c>
      <c r="F1412" s="1" t="s">
        <v>5241</v>
      </c>
      <c r="G1412" s="1" t="s">
        <v>6307</v>
      </c>
      <c r="H1412" s="1" t="s">
        <v>44</v>
      </c>
      <c r="I1412" s="17">
        <v>42522</v>
      </c>
    </row>
    <row r="1413" spans="1:10">
      <c r="A1413" s="16" t="s">
        <v>15089</v>
      </c>
      <c r="B1413" s="1" t="s">
        <v>2631</v>
      </c>
      <c r="C1413" s="1">
        <v>121</v>
      </c>
      <c r="D1413" s="1" t="s">
        <v>7</v>
      </c>
      <c r="E1413" s="1" t="s">
        <v>6</v>
      </c>
      <c r="F1413" s="1" t="s">
        <v>5241</v>
      </c>
      <c r="G1413" s="1" t="s">
        <v>6307</v>
      </c>
      <c r="H1413" s="1" t="s">
        <v>44</v>
      </c>
      <c r="I1413" s="17">
        <v>42248</v>
      </c>
    </row>
    <row r="1414" spans="1:10">
      <c r="A1414" s="16" t="s">
        <v>15090</v>
      </c>
      <c r="B1414" s="1" t="s">
        <v>2631</v>
      </c>
      <c r="C1414" s="1">
        <v>121</v>
      </c>
      <c r="D1414" s="1" t="s">
        <v>7</v>
      </c>
      <c r="E1414" s="1" t="s">
        <v>6</v>
      </c>
      <c r="F1414" s="1" t="s">
        <v>5241</v>
      </c>
      <c r="G1414" s="1" t="s">
        <v>4803</v>
      </c>
      <c r="H1414" s="1" t="s">
        <v>5</v>
      </c>
      <c r="I1414" s="17">
        <v>42736</v>
      </c>
      <c r="J1414" s="17"/>
    </row>
    <row r="1415" spans="1:10">
      <c r="A1415" s="16" t="s">
        <v>15092</v>
      </c>
      <c r="B1415" s="1" t="s">
        <v>2631</v>
      </c>
      <c r="C1415" s="1">
        <v>121</v>
      </c>
      <c r="D1415" s="1" t="s">
        <v>7</v>
      </c>
      <c r="E1415" s="1" t="s">
        <v>6</v>
      </c>
      <c r="F1415" s="1" t="s">
        <v>5241</v>
      </c>
      <c r="G1415" s="1" t="s">
        <v>4803</v>
      </c>
      <c r="H1415" s="1" t="s">
        <v>5</v>
      </c>
      <c r="I1415" s="17">
        <v>42552</v>
      </c>
      <c r="J1415" s="17"/>
    </row>
    <row r="1416" spans="1:10">
      <c r="A1416" s="16" t="s">
        <v>15095</v>
      </c>
      <c r="B1416" s="1" t="s">
        <v>2631</v>
      </c>
      <c r="C1416" s="1">
        <v>121</v>
      </c>
      <c r="D1416" s="1" t="s">
        <v>7</v>
      </c>
      <c r="E1416" s="1" t="s">
        <v>6</v>
      </c>
      <c r="F1416" s="1" t="s">
        <v>5241</v>
      </c>
      <c r="G1416" s="1" t="s">
        <v>4803</v>
      </c>
      <c r="H1416" s="1" t="s">
        <v>5</v>
      </c>
      <c r="I1416" s="17">
        <v>43252</v>
      </c>
      <c r="J1416" s="17"/>
    </row>
    <row r="1417" spans="1:10">
      <c r="A1417" s="16" t="s">
        <v>15096</v>
      </c>
      <c r="B1417" s="1" t="s">
        <v>2631</v>
      </c>
      <c r="C1417" s="1">
        <v>121</v>
      </c>
      <c r="D1417" s="1" t="s">
        <v>7</v>
      </c>
      <c r="E1417" s="1" t="s">
        <v>6</v>
      </c>
      <c r="F1417" s="1" t="s">
        <v>5241</v>
      </c>
      <c r="G1417" s="1" t="s">
        <v>4803</v>
      </c>
      <c r="H1417" s="1" t="s">
        <v>5</v>
      </c>
      <c r="I1417" s="17">
        <v>42887</v>
      </c>
      <c r="J1417" s="17"/>
    </row>
    <row r="1418" spans="1:10">
      <c r="A1418" s="16" t="s">
        <v>15098</v>
      </c>
      <c r="B1418" s="1" t="s">
        <v>2631</v>
      </c>
      <c r="C1418" s="1">
        <v>121</v>
      </c>
      <c r="D1418" s="1" t="s">
        <v>7</v>
      </c>
      <c r="E1418" s="1" t="s">
        <v>6</v>
      </c>
      <c r="F1418" s="1" t="s">
        <v>5241</v>
      </c>
      <c r="G1418" s="1" t="s">
        <v>4803</v>
      </c>
      <c r="H1418" s="1" t="s">
        <v>5</v>
      </c>
      <c r="I1418" s="17">
        <v>43221</v>
      </c>
      <c r="J1418" s="17"/>
    </row>
    <row r="1419" spans="1:10">
      <c r="A1419" s="16" t="s">
        <v>15100</v>
      </c>
      <c r="B1419" s="1" t="s">
        <v>2631</v>
      </c>
      <c r="C1419" s="1">
        <v>121</v>
      </c>
      <c r="D1419" s="1" t="s">
        <v>7</v>
      </c>
      <c r="E1419" s="1" t="s">
        <v>6</v>
      </c>
      <c r="F1419" s="1" t="s">
        <v>5241</v>
      </c>
      <c r="G1419" s="1" t="s">
        <v>4803</v>
      </c>
      <c r="H1419" s="1" t="s">
        <v>5</v>
      </c>
      <c r="I1419" s="17">
        <v>42795</v>
      </c>
      <c r="J1419" s="17"/>
    </row>
    <row r="1420" spans="1:10">
      <c r="A1420" s="16" t="s">
        <v>15101</v>
      </c>
      <c r="B1420" s="1" t="s">
        <v>2631</v>
      </c>
      <c r="C1420" s="1">
        <v>121</v>
      </c>
      <c r="D1420" s="1" t="s">
        <v>7</v>
      </c>
      <c r="E1420" s="1" t="s">
        <v>6</v>
      </c>
      <c r="F1420" s="1" t="s">
        <v>5241</v>
      </c>
      <c r="G1420" s="1" t="s">
        <v>6307</v>
      </c>
      <c r="H1420" s="1" t="s">
        <v>44</v>
      </c>
      <c r="I1420" s="17">
        <v>42491</v>
      </c>
    </row>
    <row r="1421" spans="1:10">
      <c r="A1421" s="16" t="s">
        <v>15102</v>
      </c>
      <c r="B1421" s="1" t="s">
        <v>2631</v>
      </c>
      <c r="C1421" s="1">
        <v>121</v>
      </c>
      <c r="D1421" s="1" t="s">
        <v>7</v>
      </c>
      <c r="E1421" s="1" t="s">
        <v>6</v>
      </c>
      <c r="F1421" s="1" t="s">
        <v>5241</v>
      </c>
      <c r="G1421" s="1" t="s">
        <v>4803</v>
      </c>
      <c r="H1421" s="1" t="s">
        <v>5</v>
      </c>
      <c r="I1421" s="17">
        <v>42948</v>
      </c>
      <c r="J1421" s="17"/>
    </row>
    <row r="1422" spans="1:10">
      <c r="A1422" s="16" t="s">
        <v>15103</v>
      </c>
      <c r="B1422" s="1" t="s">
        <v>2631</v>
      </c>
      <c r="C1422" s="1">
        <v>121</v>
      </c>
      <c r="D1422" s="1" t="s">
        <v>7</v>
      </c>
      <c r="E1422" s="1" t="s">
        <v>6</v>
      </c>
      <c r="F1422" s="1" t="s">
        <v>5241</v>
      </c>
      <c r="G1422" s="1" t="s">
        <v>4803</v>
      </c>
      <c r="H1422" s="1" t="s">
        <v>5</v>
      </c>
      <c r="I1422" s="17">
        <v>43252</v>
      </c>
      <c r="J1422" s="17"/>
    </row>
    <row r="1423" spans="1:10">
      <c r="A1423" s="16" t="s">
        <v>15104</v>
      </c>
      <c r="B1423" s="1" t="s">
        <v>2631</v>
      </c>
      <c r="C1423" s="1">
        <v>121</v>
      </c>
      <c r="D1423" s="1" t="s">
        <v>7</v>
      </c>
      <c r="E1423" s="1" t="s">
        <v>6</v>
      </c>
      <c r="F1423" s="1" t="s">
        <v>5241</v>
      </c>
      <c r="G1423" s="1" t="s">
        <v>4803</v>
      </c>
      <c r="H1423" s="1" t="s">
        <v>5</v>
      </c>
      <c r="I1423" s="17">
        <v>42736</v>
      </c>
      <c r="J1423" s="17"/>
    </row>
    <row r="1424" spans="1:10">
      <c r="A1424" s="16" t="s">
        <v>15107</v>
      </c>
      <c r="B1424" s="1" t="s">
        <v>2631</v>
      </c>
      <c r="C1424" s="1">
        <v>121</v>
      </c>
      <c r="D1424" s="1" t="s">
        <v>7</v>
      </c>
      <c r="E1424" s="1" t="s">
        <v>6</v>
      </c>
      <c r="F1424" s="1" t="s">
        <v>5241</v>
      </c>
      <c r="G1424" s="1" t="s">
        <v>4803</v>
      </c>
      <c r="H1424" s="1" t="s">
        <v>5</v>
      </c>
      <c r="I1424" s="17">
        <v>43070</v>
      </c>
      <c r="J1424" s="17"/>
    </row>
    <row r="1425" spans="1:10">
      <c r="A1425" s="16" t="s">
        <v>15108</v>
      </c>
      <c r="B1425" s="1" t="s">
        <v>2631</v>
      </c>
      <c r="C1425" s="1">
        <v>121</v>
      </c>
      <c r="D1425" s="1" t="s">
        <v>7</v>
      </c>
      <c r="E1425" s="1" t="s">
        <v>6</v>
      </c>
      <c r="F1425" s="1" t="s">
        <v>5241</v>
      </c>
      <c r="G1425" s="1" t="s">
        <v>4803</v>
      </c>
      <c r="H1425" s="1" t="s">
        <v>5</v>
      </c>
      <c r="I1425" s="17">
        <v>42278</v>
      </c>
      <c r="J1425" s="17"/>
    </row>
    <row r="1426" spans="1:10">
      <c r="A1426" s="16" t="s">
        <v>15109</v>
      </c>
      <c r="B1426" s="1" t="s">
        <v>2631</v>
      </c>
      <c r="C1426" s="1">
        <v>121</v>
      </c>
      <c r="D1426" s="1" t="s">
        <v>7</v>
      </c>
      <c r="E1426" s="1" t="s">
        <v>6</v>
      </c>
      <c r="F1426" s="1" t="s">
        <v>5241</v>
      </c>
      <c r="G1426" s="1" t="s">
        <v>4803</v>
      </c>
      <c r="H1426" s="1" t="s">
        <v>5</v>
      </c>
      <c r="I1426" s="17">
        <v>42826</v>
      </c>
      <c r="J1426" s="17"/>
    </row>
    <row r="1427" spans="1:10">
      <c r="A1427" s="16" t="s">
        <v>15111</v>
      </c>
      <c r="B1427" s="1" t="s">
        <v>2631</v>
      </c>
      <c r="C1427" s="1">
        <v>121</v>
      </c>
      <c r="D1427" s="1" t="s">
        <v>7</v>
      </c>
      <c r="E1427" s="1" t="s">
        <v>6</v>
      </c>
      <c r="F1427" s="1" t="s">
        <v>5241</v>
      </c>
      <c r="G1427" s="1" t="s">
        <v>4803</v>
      </c>
      <c r="H1427" s="1" t="s">
        <v>5</v>
      </c>
      <c r="I1427" s="17">
        <v>42675</v>
      </c>
      <c r="J1427" s="17"/>
    </row>
    <row r="1428" spans="1:10">
      <c r="A1428" s="16" t="s">
        <v>15113</v>
      </c>
      <c r="B1428" s="1" t="s">
        <v>2631</v>
      </c>
      <c r="C1428" s="1">
        <v>121</v>
      </c>
      <c r="D1428" s="1" t="s">
        <v>7</v>
      </c>
      <c r="E1428" s="1" t="s">
        <v>6</v>
      </c>
      <c r="F1428" s="1" t="s">
        <v>5241</v>
      </c>
      <c r="G1428" s="1" t="s">
        <v>4803</v>
      </c>
      <c r="H1428" s="1" t="s">
        <v>5</v>
      </c>
      <c r="I1428" s="17">
        <v>42430</v>
      </c>
      <c r="J1428" s="17"/>
    </row>
    <row r="1429" spans="1:10">
      <c r="A1429" s="19" t="s">
        <v>15114</v>
      </c>
      <c r="B1429" s="13" t="s">
        <v>16956</v>
      </c>
      <c r="C1429" s="13">
        <v>121</v>
      </c>
      <c r="D1429" s="13" t="s">
        <v>7</v>
      </c>
      <c r="E1429" s="13" t="s">
        <v>6</v>
      </c>
      <c r="F1429" s="13" t="s">
        <v>5241</v>
      </c>
      <c r="G1429" s="13" t="s">
        <v>4803</v>
      </c>
      <c r="H1429" s="13" t="s">
        <v>5</v>
      </c>
      <c r="I1429" s="18">
        <v>43313</v>
      </c>
      <c r="J1429" s="17"/>
    </row>
    <row r="1430" spans="1:10">
      <c r="A1430" s="16" t="s">
        <v>15116</v>
      </c>
      <c r="B1430" s="1" t="s">
        <v>2631</v>
      </c>
      <c r="C1430" s="1">
        <v>121</v>
      </c>
      <c r="D1430" s="1" t="s">
        <v>7</v>
      </c>
      <c r="E1430" s="1" t="s">
        <v>6</v>
      </c>
      <c r="F1430" s="1" t="s">
        <v>5241</v>
      </c>
      <c r="G1430" s="1" t="s">
        <v>4803</v>
      </c>
      <c r="H1430" s="1" t="s">
        <v>5</v>
      </c>
      <c r="I1430" s="17">
        <v>42767</v>
      </c>
      <c r="J1430" s="17"/>
    </row>
    <row r="1431" spans="1:10">
      <c r="A1431" s="16" t="s">
        <v>15118</v>
      </c>
      <c r="B1431" s="1" t="s">
        <v>2631</v>
      </c>
      <c r="C1431" s="1">
        <v>121</v>
      </c>
      <c r="D1431" s="1" t="s">
        <v>7</v>
      </c>
      <c r="E1431" s="1" t="s">
        <v>6</v>
      </c>
      <c r="F1431" s="1" t="s">
        <v>5241</v>
      </c>
      <c r="G1431" s="1" t="s">
        <v>4803</v>
      </c>
      <c r="H1431" s="1" t="s">
        <v>5</v>
      </c>
      <c r="I1431" s="17">
        <v>42767</v>
      </c>
      <c r="J1431" s="17"/>
    </row>
    <row r="1432" spans="1:10">
      <c r="A1432" s="16" t="s">
        <v>15120</v>
      </c>
      <c r="B1432" s="1" t="s">
        <v>2631</v>
      </c>
      <c r="C1432" s="1">
        <v>121</v>
      </c>
      <c r="D1432" s="1" t="s">
        <v>7</v>
      </c>
      <c r="E1432" s="1" t="s">
        <v>6</v>
      </c>
      <c r="F1432" s="1" t="s">
        <v>5241</v>
      </c>
      <c r="G1432" s="1" t="s">
        <v>4803</v>
      </c>
      <c r="H1432" s="1" t="s">
        <v>5</v>
      </c>
      <c r="I1432" s="17">
        <v>43040</v>
      </c>
      <c r="J1432" s="17"/>
    </row>
    <row r="1433" spans="1:10">
      <c r="A1433" s="16" t="s">
        <v>15124</v>
      </c>
      <c r="B1433" s="1" t="s">
        <v>2631</v>
      </c>
      <c r="C1433" s="1">
        <v>121</v>
      </c>
      <c r="D1433" s="1" t="s">
        <v>7</v>
      </c>
      <c r="E1433" s="1" t="s">
        <v>6</v>
      </c>
      <c r="F1433" s="1" t="s">
        <v>5241</v>
      </c>
      <c r="G1433" s="1" t="s">
        <v>4803</v>
      </c>
      <c r="H1433" s="1" t="s">
        <v>5</v>
      </c>
      <c r="I1433" s="17">
        <v>42278</v>
      </c>
      <c r="J1433" s="17"/>
    </row>
    <row r="1434" spans="1:10">
      <c r="A1434" s="16" t="s">
        <v>15125</v>
      </c>
      <c r="B1434" s="1" t="s">
        <v>2631</v>
      </c>
      <c r="C1434" s="1">
        <v>121</v>
      </c>
      <c r="D1434" s="1" t="s">
        <v>7</v>
      </c>
      <c r="E1434" s="1" t="s">
        <v>6</v>
      </c>
      <c r="F1434" s="1" t="s">
        <v>5241</v>
      </c>
      <c r="G1434" s="1" t="s">
        <v>4803</v>
      </c>
      <c r="H1434" s="1" t="s">
        <v>5</v>
      </c>
      <c r="I1434" s="17">
        <v>43040</v>
      </c>
      <c r="J1434" s="17"/>
    </row>
    <row r="1435" spans="1:10">
      <c r="A1435" s="16" t="s">
        <v>15126</v>
      </c>
      <c r="B1435" s="1" t="s">
        <v>2631</v>
      </c>
      <c r="C1435" s="1">
        <v>121</v>
      </c>
      <c r="D1435" s="1" t="s">
        <v>7</v>
      </c>
      <c r="E1435" s="1" t="s">
        <v>6</v>
      </c>
      <c r="F1435" s="1" t="s">
        <v>5241</v>
      </c>
      <c r="G1435" s="1" t="s">
        <v>4803</v>
      </c>
      <c r="H1435" s="1" t="s">
        <v>5</v>
      </c>
      <c r="I1435" s="17">
        <v>42552</v>
      </c>
      <c r="J1435" s="17"/>
    </row>
    <row r="1436" spans="1:10">
      <c r="A1436" s="16" t="s">
        <v>15127</v>
      </c>
      <c r="B1436" s="1" t="s">
        <v>2631</v>
      </c>
      <c r="C1436" s="1">
        <v>121</v>
      </c>
      <c r="D1436" s="1" t="s">
        <v>7</v>
      </c>
      <c r="E1436" s="1" t="s">
        <v>6</v>
      </c>
      <c r="F1436" s="1" t="s">
        <v>5241</v>
      </c>
      <c r="G1436" s="1" t="s">
        <v>4803</v>
      </c>
      <c r="H1436" s="1" t="s">
        <v>5</v>
      </c>
      <c r="I1436" s="17">
        <v>43101</v>
      </c>
      <c r="J1436" s="17"/>
    </row>
    <row r="1437" spans="1:10">
      <c r="A1437" s="16" t="s">
        <v>15135</v>
      </c>
      <c r="B1437" s="1" t="s">
        <v>2631</v>
      </c>
      <c r="C1437" s="1">
        <v>121</v>
      </c>
      <c r="D1437" s="1" t="s">
        <v>7</v>
      </c>
      <c r="E1437" s="1" t="s">
        <v>6</v>
      </c>
      <c r="F1437" s="1" t="s">
        <v>5241</v>
      </c>
      <c r="G1437" s="1" t="s">
        <v>4803</v>
      </c>
      <c r="H1437" s="1" t="s">
        <v>5</v>
      </c>
      <c r="I1437" s="17">
        <v>43101</v>
      </c>
      <c r="J1437" s="17"/>
    </row>
    <row r="1438" spans="1:10">
      <c r="A1438" s="16" t="s">
        <v>15136</v>
      </c>
      <c r="B1438" s="1" t="s">
        <v>2631</v>
      </c>
      <c r="C1438" s="1">
        <v>121</v>
      </c>
      <c r="D1438" s="1" t="s">
        <v>7</v>
      </c>
      <c r="E1438" s="1" t="s">
        <v>6</v>
      </c>
      <c r="F1438" s="1" t="s">
        <v>5241</v>
      </c>
      <c r="G1438" s="1" t="s">
        <v>6307</v>
      </c>
      <c r="H1438" s="1" t="s">
        <v>44</v>
      </c>
      <c r="I1438" s="17">
        <v>42552</v>
      </c>
    </row>
    <row r="1439" spans="1:10">
      <c r="A1439" s="16" t="s">
        <v>15137</v>
      </c>
      <c r="B1439" s="1" t="s">
        <v>2631</v>
      </c>
      <c r="C1439" s="1">
        <v>121</v>
      </c>
      <c r="D1439" s="1" t="s">
        <v>7</v>
      </c>
      <c r="E1439" s="1" t="s">
        <v>6</v>
      </c>
      <c r="F1439" s="1" t="s">
        <v>5241</v>
      </c>
      <c r="G1439" s="1" t="s">
        <v>6307</v>
      </c>
      <c r="H1439" s="1" t="s">
        <v>44</v>
      </c>
      <c r="I1439" s="17">
        <v>43040</v>
      </c>
    </row>
    <row r="1440" spans="1:10">
      <c r="A1440" s="16" t="s">
        <v>15139</v>
      </c>
      <c r="B1440" s="1" t="s">
        <v>2631</v>
      </c>
      <c r="C1440" s="1">
        <v>121</v>
      </c>
      <c r="D1440" s="1" t="s">
        <v>7</v>
      </c>
      <c r="E1440" s="1" t="s">
        <v>6</v>
      </c>
      <c r="F1440" s="1" t="s">
        <v>5241</v>
      </c>
      <c r="G1440" s="1" t="s">
        <v>4803</v>
      </c>
      <c r="H1440" s="1" t="s">
        <v>5</v>
      </c>
      <c r="I1440" s="17">
        <v>43132</v>
      </c>
      <c r="J1440" s="17"/>
    </row>
    <row r="1441" spans="1:10">
      <c r="A1441" s="16" t="s">
        <v>15144</v>
      </c>
      <c r="B1441" s="1" t="s">
        <v>2631</v>
      </c>
      <c r="C1441" s="1">
        <v>121</v>
      </c>
      <c r="D1441" s="1" t="s">
        <v>7</v>
      </c>
      <c r="E1441" s="1" t="s">
        <v>6</v>
      </c>
      <c r="F1441" s="1" t="s">
        <v>5241</v>
      </c>
      <c r="G1441" s="1" t="s">
        <v>4803</v>
      </c>
      <c r="H1441" s="1" t="s">
        <v>5</v>
      </c>
      <c r="I1441" s="17">
        <v>42917</v>
      </c>
      <c r="J1441" s="17"/>
    </row>
    <row r="1442" spans="1:10">
      <c r="A1442" s="16" t="s">
        <v>15146</v>
      </c>
      <c r="B1442" s="1" t="s">
        <v>2631</v>
      </c>
      <c r="C1442" s="1">
        <v>121</v>
      </c>
      <c r="D1442" s="1" t="s">
        <v>7</v>
      </c>
      <c r="E1442" s="1" t="s">
        <v>6</v>
      </c>
      <c r="F1442" s="1" t="s">
        <v>5241</v>
      </c>
      <c r="G1442" s="1" t="s">
        <v>4803</v>
      </c>
      <c r="H1442" s="1" t="s">
        <v>5</v>
      </c>
      <c r="I1442" s="17">
        <v>43252</v>
      </c>
      <c r="J1442" s="17"/>
    </row>
    <row r="1443" spans="1:10">
      <c r="A1443" s="16" t="s">
        <v>15148</v>
      </c>
      <c r="B1443" s="1" t="s">
        <v>2631</v>
      </c>
      <c r="C1443" s="1">
        <v>121</v>
      </c>
      <c r="D1443" s="1" t="s">
        <v>7</v>
      </c>
      <c r="E1443" s="1" t="s">
        <v>6</v>
      </c>
      <c r="F1443" s="1" t="s">
        <v>5241</v>
      </c>
      <c r="G1443" s="1" t="s">
        <v>4803</v>
      </c>
      <c r="H1443" s="1" t="s">
        <v>5</v>
      </c>
      <c r="I1443" s="17">
        <v>43252</v>
      </c>
      <c r="J1443" s="17"/>
    </row>
    <row r="1444" spans="1:10">
      <c r="A1444" s="16" t="s">
        <v>15153</v>
      </c>
      <c r="B1444" s="1" t="s">
        <v>2631</v>
      </c>
      <c r="C1444" s="1">
        <v>121</v>
      </c>
      <c r="D1444" s="1" t="s">
        <v>7</v>
      </c>
      <c r="E1444" s="1" t="s">
        <v>6</v>
      </c>
      <c r="F1444" s="1" t="s">
        <v>5241</v>
      </c>
      <c r="G1444" s="1" t="s">
        <v>4803</v>
      </c>
      <c r="H1444" s="1" t="s">
        <v>5</v>
      </c>
      <c r="I1444" s="17">
        <v>43191</v>
      </c>
      <c r="J1444" s="17"/>
    </row>
    <row r="1445" spans="1:10">
      <c r="A1445" s="16" t="s">
        <v>15154</v>
      </c>
      <c r="B1445" s="1" t="s">
        <v>2631</v>
      </c>
      <c r="C1445" s="1">
        <v>121</v>
      </c>
      <c r="D1445" s="1" t="s">
        <v>7</v>
      </c>
      <c r="E1445" s="1" t="s">
        <v>6</v>
      </c>
      <c r="F1445" s="1" t="s">
        <v>5241</v>
      </c>
      <c r="G1445" s="1" t="s">
        <v>4803</v>
      </c>
      <c r="H1445" s="1" t="s">
        <v>5</v>
      </c>
      <c r="I1445" s="17">
        <v>42917</v>
      </c>
      <c r="J1445" s="17"/>
    </row>
    <row r="1446" spans="1:10">
      <c r="A1446" s="16" t="s">
        <v>15155</v>
      </c>
      <c r="B1446" s="1" t="s">
        <v>2631</v>
      </c>
      <c r="C1446" s="1">
        <v>121</v>
      </c>
      <c r="D1446" s="1" t="s">
        <v>7</v>
      </c>
      <c r="E1446" s="1" t="s">
        <v>6</v>
      </c>
      <c r="F1446" s="1" t="s">
        <v>5241</v>
      </c>
      <c r="G1446" s="1" t="s">
        <v>4803</v>
      </c>
      <c r="H1446" s="1" t="s">
        <v>5</v>
      </c>
      <c r="I1446" s="17">
        <v>42887</v>
      </c>
      <c r="J1446" s="17"/>
    </row>
    <row r="1447" spans="1:10">
      <c r="A1447" s="16" t="s">
        <v>15156</v>
      </c>
      <c r="B1447" s="1" t="s">
        <v>2631</v>
      </c>
      <c r="C1447" s="1">
        <v>121</v>
      </c>
      <c r="D1447" s="1" t="s">
        <v>7</v>
      </c>
      <c r="E1447" s="1" t="s">
        <v>6</v>
      </c>
      <c r="F1447" s="1" t="s">
        <v>5241</v>
      </c>
      <c r="G1447" s="1" t="s">
        <v>4803</v>
      </c>
      <c r="H1447" s="1" t="s">
        <v>5</v>
      </c>
      <c r="I1447" s="17">
        <v>42795</v>
      </c>
      <c r="J1447" s="17"/>
    </row>
    <row r="1448" spans="1:10">
      <c r="A1448" s="16" t="s">
        <v>15158</v>
      </c>
      <c r="B1448" s="1" t="s">
        <v>2631</v>
      </c>
      <c r="C1448" s="1">
        <v>121</v>
      </c>
      <c r="D1448" s="1" t="s">
        <v>7</v>
      </c>
      <c r="E1448" s="1" t="s">
        <v>6</v>
      </c>
      <c r="F1448" s="1" t="s">
        <v>5241</v>
      </c>
      <c r="G1448" s="1" t="s">
        <v>4803</v>
      </c>
      <c r="H1448" s="1" t="s">
        <v>5</v>
      </c>
      <c r="I1448" s="17">
        <v>42430</v>
      </c>
      <c r="J1448" s="17"/>
    </row>
    <row r="1449" spans="1:10">
      <c r="A1449" s="16" t="s">
        <v>15160</v>
      </c>
      <c r="B1449" s="1" t="s">
        <v>2631</v>
      </c>
      <c r="C1449" s="1">
        <v>121</v>
      </c>
      <c r="D1449" s="1" t="s">
        <v>7</v>
      </c>
      <c r="E1449" s="1" t="s">
        <v>6</v>
      </c>
      <c r="F1449" s="1" t="s">
        <v>5241</v>
      </c>
      <c r="G1449" s="1" t="s">
        <v>4803</v>
      </c>
      <c r="H1449" s="1" t="s">
        <v>5</v>
      </c>
      <c r="I1449" s="17">
        <v>42430</v>
      </c>
      <c r="J1449" s="17"/>
    </row>
    <row r="1450" spans="1:10">
      <c r="A1450" s="16" t="s">
        <v>15161</v>
      </c>
      <c r="B1450" s="1" t="s">
        <v>2631</v>
      </c>
      <c r="C1450" s="1">
        <v>121</v>
      </c>
      <c r="D1450" s="1" t="s">
        <v>7</v>
      </c>
      <c r="E1450" s="1" t="s">
        <v>6</v>
      </c>
      <c r="F1450" s="1" t="s">
        <v>5241</v>
      </c>
      <c r="G1450" s="1" t="s">
        <v>4803</v>
      </c>
      <c r="H1450" s="1" t="s">
        <v>5</v>
      </c>
      <c r="I1450" s="17">
        <v>42948</v>
      </c>
      <c r="J1450" s="17"/>
    </row>
    <row r="1451" spans="1:10">
      <c r="A1451" s="16" t="s">
        <v>15162</v>
      </c>
      <c r="B1451" s="1" t="s">
        <v>2631</v>
      </c>
      <c r="C1451" s="1">
        <v>121</v>
      </c>
      <c r="D1451" s="1" t="s">
        <v>7</v>
      </c>
      <c r="E1451" s="1" t="s">
        <v>6</v>
      </c>
      <c r="F1451" s="1" t="s">
        <v>5241</v>
      </c>
      <c r="G1451" s="1" t="s">
        <v>4803</v>
      </c>
      <c r="H1451" s="1" t="s">
        <v>5</v>
      </c>
      <c r="I1451" s="17">
        <v>42583</v>
      </c>
      <c r="J1451" s="17"/>
    </row>
    <row r="1452" spans="1:10">
      <c r="A1452" s="16" t="s">
        <v>15165</v>
      </c>
      <c r="B1452" s="1" t="s">
        <v>2631</v>
      </c>
      <c r="C1452" s="1">
        <v>121</v>
      </c>
      <c r="D1452" s="1" t="s">
        <v>7</v>
      </c>
      <c r="E1452" s="1" t="s">
        <v>6</v>
      </c>
      <c r="F1452" s="1" t="s">
        <v>5241</v>
      </c>
      <c r="G1452" s="1" t="s">
        <v>4803</v>
      </c>
      <c r="H1452" s="1" t="s">
        <v>5</v>
      </c>
      <c r="I1452" s="17">
        <v>43040</v>
      </c>
      <c r="J1452" s="17"/>
    </row>
    <row r="1453" spans="1:10">
      <c r="A1453" s="16" t="s">
        <v>15167</v>
      </c>
      <c r="B1453" s="1" t="s">
        <v>2631</v>
      </c>
      <c r="C1453" s="1">
        <v>121</v>
      </c>
      <c r="D1453" s="1" t="s">
        <v>7</v>
      </c>
      <c r="E1453" s="1" t="s">
        <v>6</v>
      </c>
      <c r="F1453" s="1" t="s">
        <v>5241</v>
      </c>
      <c r="G1453" s="1" t="s">
        <v>4803</v>
      </c>
      <c r="H1453" s="1" t="s">
        <v>5</v>
      </c>
      <c r="I1453" s="17">
        <v>43070</v>
      </c>
      <c r="J1453" s="17"/>
    </row>
    <row r="1454" spans="1:10">
      <c r="A1454" s="16" t="s">
        <v>15169</v>
      </c>
      <c r="B1454" s="1" t="s">
        <v>2631</v>
      </c>
      <c r="C1454" s="1">
        <v>121</v>
      </c>
      <c r="D1454" s="1" t="s">
        <v>7</v>
      </c>
      <c r="E1454" s="1" t="s">
        <v>6</v>
      </c>
      <c r="F1454" s="1" t="s">
        <v>5241</v>
      </c>
      <c r="G1454" s="1" t="s">
        <v>4803</v>
      </c>
      <c r="H1454" s="1" t="s">
        <v>5</v>
      </c>
      <c r="I1454" s="17">
        <v>42614</v>
      </c>
      <c r="J1454" s="17"/>
    </row>
    <row r="1455" spans="1:10">
      <c r="A1455" s="16" t="s">
        <v>15170</v>
      </c>
      <c r="B1455" s="1" t="s">
        <v>2631</v>
      </c>
      <c r="C1455" s="1">
        <v>121</v>
      </c>
      <c r="D1455" s="1" t="s">
        <v>7</v>
      </c>
      <c r="E1455" s="1" t="s">
        <v>6</v>
      </c>
      <c r="F1455" s="1" t="s">
        <v>5241</v>
      </c>
      <c r="G1455" s="1" t="s">
        <v>4803</v>
      </c>
      <c r="H1455" s="1" t="s">
        <v>5</v>
      </c>
      <c r="I1455" s="17">
        <v>42675</v>
      </c>
      <c r="J1455" s="17"/>
    </row>
    <row r="1456" spans="1:10">
      <c r="A1456" s="16" t="s">
        <v>15173</v>
      </c>
      <c r="B1456" s="1" t="s">
        <v>2631</v>
      </c>
      <c r="C1456" s="1">
        <v>121</v>
      </c>
      <c r="D1456" s="1" t="s">
        <v>7</v>
      </c>
      <c r="E1456" s="1" t="s">
        <v>6</v>
      </c>
      <c r="F1456" s="1" t="s">
        <v>5241</v>
      </c>
      <c r="G1456" s="1" t="s">
        <v>4803</v>
      </c>
      <c r="H1456" s="1" t="s">
        <v>5</v>
      </c>
      <c r="I1456" s="17">
        <v>42887</v>
      </c>
      <c r="J1456" s="17"/>
    </row>
    <row r="1457" spans="1:10">
      <c r="A1457" s="16" t="s">
        <v>15175</v>
      </c>
      <c r="B1457" s="1" t="s">
        <v>2631</v>
      </c>
      <c r="C1457" s="1">
        <v>121</v>
      </c>
      <c r="D1457" s="1" t="s">
        <v>7</v>
      </c>
      <c r="E1457" s="1" t="s">
        <v>6</v>
      </c>
      <c r="F1457" s="1" t="s">
        <v>5241</v>
      </c>
      <c r="G1457" s="1" t="s">
        <v>4803</v>
      </c>
      <c r="H1457" s="1" t="s">
        <v>5</v>
      </c>
      <c r="I1457" s="17">
        <v>43252</v>
      </c>
      <c r="J1457" s="17"/>
    </row>
    <row r="1458" spans="1:10">
      <c r="A1458" s="16" t="s">
        <v>15178</v>
      </c>
      <c r="B1458" s="1" t="s">
        <v>2631</v>
      </c>
      <c r="C1458" s="1">
        <v>121</v>
      </c>
      <c r="D1458" s="1" t="s">
        <v>7</v>
      </c>
      <c r="E1458" s="1" t="s">
        <v>6</v>
      </c>
      <c r="F1458" s="1" t="s">
        <v>5241</v>
      </c>
      <c r="G1458" s="1" t="s">
        <v>4803</v>
      </c>
      <c r="H1458" s="1" t="s">
        <v>5</v>
      </c>
      <c r="I1458" s="17">
        <v>42826</v>
      </c>
      <c r="J1458" s="17"/>
    </row>
    <row r="1459" spans="1:10">
      <c r="A1459" s="16" t="s">
        <v>15180</v>
      </c>
      <c r="B1459" s="1" t="s">
        <v>2631</v>
      </c>
      <c r="C1459" s="1">
        <v>121</v>
      </c>
      <c r="D1459" s="1" t="s">
        <v>7</v>
      </c>
      <c r="E1459" s="1" t="s">
        <v>6</v>
      </c>
      <c r="F1459" s="1" t="s">
        <v>5241</v>
      </c>
      <c r="G1459" s="1" t="s">
        <v>6307</v>
      </c>
      <c r="H1459" s="1" t="s">
        <v>44</v>
      </c>
      <c r="I1459" s="17">
        <v>43313</v>
      </c>
    </row>
    <row r="1460" spans="1:10">
      <c r="A1460" s="16" t="s">
        <v>15184</v>
      </c>
      <c r="B1460" s="1" t="s">
        <v>2631</v>
      </c>
      <c r="C1460" s="1">
        <v>121</v>
      </c>
      <c r="D1460" s="1" t="s">
        <v>7</v>
      </c>
      <c r="E1460" s="1" t="s">
        <v>6</v>
      </c>
      <c r="F1460" s="1" t="s">
        <v>5241</v>
      </c>
      <c r="G1460" s="1" t="s">
        <v>4803</v>
      </c>
      <c r="H1460" s="1" t="s">
        <v>5</v>
      </c>
      <c r="I1460" s="17">
        <v>43070</v>
      </c>
      <c r="J1460" s="17"/>
    </row>
    <row r="1461" spans="1:10">
      <c r="A1461" s="16" t="s">
        <v>15185</v>
      </c>
      <c r="B1461" s="1" t="s">
        <v>2631</v>
      </c>
      <c r="C1461" s="1">
        <v>121</v>
      </c>
      <c r="D1461" s="1" t="s">
        <v>7</v>
      </c>
      <c r="E1461" s="1" t="s">
        <v>6</v>
      </c>
      <c r="F1461" s="1" t="s">
        <v>5241</v>
      </c>
      <c r="G1461" s="1" t="s">
        <v>4803</v>
      </c>
      <c r="H1461" s="1" t="s">
        <v>5</v>
      </c>
      <c r="I1461" s="17">
        <v>42430</v>
      </c>
      <c r="J1461" s="17"/>
    </row>
    <row r="1462" spans="1:10">
      <c r="A1462" s="16" t="s">
        <v>15187</v>
      </c>
      <c r="B1462" s="1" t="s">
        <v>2631</v>
      </c>
      <c r="C1462" s="1">
        <v>121</v>
      </c>
      <c r="D1462" s="1" t="s">
        <v>7</v>
      </c>
      <c r="E1462" s="1" t="s">
        <v>6</v>
      </c>
      <c r="F1462" s="1" t="s">
        <v>5241</v>
      </c>
      <c r="G1462" s="1" t="s">
        <v>4803</v>
      </c>
      <c r="H1462" s="1" t="s">
        <v>5</v>
      </c>
      <c r="I1462" s="17">
        <v>42370</v>
      </c>
      <c r="J1462" s="17"/>
    </row>
    <row r="1463" spans="1:10">
      <c r="A1463" s="16" t="s">
        <v>15188</v>
      </c>
      <c r="B1463" s="1" t="s">
        <v>2631</v>
      </c>
      <c r="C1463" s="1">
        <v>121</v>
      </c>
      <c r="D1463" s="1" t="s">
        <v>7</v>
      </c>
      <c r="E1463" s="1" t="s">
        <v>6</v>
      </c>
      <c r="F1463" s="1" t="s">
        <v>5241</v>
      </c>
      <c r="G1463" s="1" t="s">
        <v>4803</v>
      </c>
      <c r="H1463" s="1" t="s">
        <v>5</v>
      </c>
      <c r="I1463" s="17">
        <v>42917</v>
      </c>
      <c r="J1463" s="17"/>
    </row>
    <row r="1464" spans="1:10">
      <c r="A1464" s="16" t="s">
        <v>15189</v>
      </c>
      <c r="B1464" s="1" t="s">
        <v>2631</v>
      </c>
      <c r="C1464" s="1">
        <v>121</v>
      </c>
      <c r="D1464" s="1" t="s">
        <v>7</v>
      </c>
      <c r="E1464" s="1" t="s">
        <v>6</v>
      </c>
      <c r="F1464" s="1" t="s">
        <v>5241</v>
      </c>
      <c r="G1464" s="1" t="s">
        <v>4803</v>
      </c>
      <c r="H1464" s="1" t="s">
        <v>5</v>
      </c>
      <c r="I1464" s="17">
        <v>42917</v>
      </c>
      <c r="J1464" s="17"/>
    </row>
    <row r="1465" spans="1:10">
      <c r="A1465" s="16" t="s">
        <v>15190</v>
      </c>
      <c r="B1465" s="1" t="s">
        <v>2631</v>
      </c>
      <c r="C1465" s="1">
        <v>121</v>
      </c>
      <c r="D1465" s="1" t="s">
        <v>7</v>
      </c>
      <c r="E1465" s="1" t="s">
        <v>6</v>
      </c>
      <c r="F1465" s="1" t="s">
        <v>5241</v>
      </c>
      <c r="G1465" s="1" t="s">
        <v>4803</v>
      </c>
      <c r="H1465" s="1" t="s">
        <v>5</v>
      </c>
      <c r="I1465" s="17">
        <v>42248</v>
      </c>
      <c r="J1465" s="17"/>
    </row>
    <row r="1466" spans="1:10">
      <c r="A1466" s="16" t="s">
        <v>15191</v>
      </c>
      <c r="B1466" s="1" t="s">
        <v>2631</v>
      </c>
      <c r="C1466" s="1">
        <v>121</v>
      </c>
      <c r="D1466" s="1" t="s">
        <v>7</v>
      </c>
      <c r="E1466" s="1" t="s">
        <v>6</v>
      </c>
      <c r="F1466" s="1" t="s">
        <v>5241</v>
      </c>
      <c r="G1466" s="1" t="s">
        <v>4803</v>
      </c>
      <c r="H1466" s="1" t="s">
        <v>5</v>
      </c>
      <c r="I1466" s="17">
        <v>42826</v>
      </c>
      <c r="J1466" s="17"/>
    </row>
    <row r="1467" spans="1:10">
      <c r="A1467" s="16" t="s">
        <v>15197</v>
      </c>
      <c r="B1467" s="1" t="s">
        <v>2631</v>
      </c>
      <c r="C1467" s="1">
        <v>121</v>
      </c>
      <c r="D1467" s="1" t="s">
        <v>7</v>
      </c>
      <c r="E1467" s="1" t="s">
        <v>6</v>
      </c>
      <c r="F1467" s="1" t="s">
        <v>5241</v>
      </c>
      <c r="G1467" s="1" t="s">
        <v>4803</v>
      </c>
      <c r="H1467" s="1" t="s">
        <v>5</v>
      </c>
      <c r="I1467" s="17">
        <v>42461</v>
      </c>
      <c r="J1467" s="17"/>
    </row>
    <row r="1468" spans="1:10">
      <c r="A1468" s="16" t="s">
        <v>15198</v>
      </c>
      <c r="B1468" s="1" t="s">
        <v>2631</v>
      </c>
      <c r="C1468" s="1">
        <v>121</v>
      </c>
      <c r="D1468" s="1" t="s">
        <v>7</v>
      </c>
      <c r="E1468" s="1" t="s">
        <v>6</v>
      </c>
      <c r="F1468" s="1" t="s">
        <v>5241</v>
      </c>
      <c r="G1468" s="1" t="s">
        <v>4803</v>
      </c>
      <c r="H1468" s="1" t="s">
        <v>5</v>
      </c>
      <c r="I1468" s="17">
        <v>42795</v>
      </c>
      <c r="J1468" s="17"/>
    </row>
    <row r="1469" spans="1:10">
      <c r="A1469" s="16" t="s">
        <v>15200</v>
      </c>
      <c r="B1469" s="1" t="s">
        <v>2631</v>
      </c>
      <c r="C1469" s="1">
        <v>121</v>
      </c>
      <c r="D1469" s="1" t="s">
        <v>7</v>
      </c>
      <c r="E1469" s="1" t="s">
        <v>6</v>
      </c>
      <c r="F1469" s="1" t="s">
        <v>5241</v>
      </c>
      <c r="G1469" s="1" t="s">
        <v>4803</v>
      </c>
      <c r="H1469" s="1" t="s">
        <v>5</v>
      </c>
      <c r="I1469" s="17">
        <v>42736</v>
      </c>
      <c r="J1469" s="17"/>
    </row>
    <row r="1470" spans="1:10">
      <c r="A1470" s="16" t="s">
        <v>15201</v>
      </c>
      <c r="B1470" s="1" t="s">
        <v>2631</v>
      </c>
      <c r="C1470" s="1">
        <v>121</v>
      </c>
      <c r="D1470" s="1" t="s">
        <v>7</v>
      </c>
      <c r="E1470" s="1" t="s">
        <v>6</v>
      </c>
      <c r="F1470" s="1" t="s">
        <v>5241</v>
      </c>
      <c r="G1470" s="1" t="s">
        <v>4803</v>
      </c>
      <c r="H1470" s="1" t="s">
        <v>5</v>
      </c>
      <c r="I1470" s="17">
        <v>43252</v>
      </c>
      <c r="J1470" s="17"/>
    </row>
    <row r="1471" spans="1:10">
      <c r="A1471" s="16" t="s">
        <v>15203</v>
      </c>
      <c r="B1471" s="1" t="s">
        <v>2631</v>
      </c>
      <c r="C1471" s="1">
        <v>121</v>
      </c>
      <c r="D1471" s="1" t="s">
        <v>7</v>
      </c>
      <c r="E1471" s="1" t="s">
        <v>6</v>
      </c>
      <c r="F1471" s="1" t="s">
        <v>5241</v>
      </c>
      <c r="G1471" s="1" t="s">
        <v>4803</v>
      </c>
      <c r="H1471" s="1" t="s">
        <v>5</v>
      </c>
      <c r="I1471" s="17">
        <v>42826</v>
      </c>
      <c r="J1471" s="17"/>
    </row>
    <row r="1472" spans="1:10">
      <c r="A1472" s="16" t="s">
        <v>15204</v>
      </c>
      <c r="B1472" s="1" t="s">
        <v>2631</v>
      </c>
      <c r="C1472" s="1">
        <v>121</v>
      </c>
      <c r="D1472" s="1" t="s">
        <v>7</v>
      </c>
      <c r="E1472" s="1" t="s">
        <v>6</v>
      </c>
      <c r="F1472" s="1" t="s">
        <v>5241</v>
      </c>
      <c r="G1472" s="1" t="s">
        <v>4803</v>
      </c>
      <c r="H1472" s="1" t="s">
        <v>5</v>
      </c>
      <c r="I1472" s="17">
        <v>42887</v>
      </c>
      <c r="J1472" s="17"/>
    </row>
    <row r="1473" spans="1:10">
      <c r="A1473" s="16" t="s">
        <v>15205</v>
      </c>
      <c r="B1473" s="1" t="s">
        <v>2631</v>
      </c>
      <c r="C1473" s="1">
        <v>121</v>
      </c>
      <c r="D1473" s="1" t="s">
        <v>7</v>
      </c>
      <c r="E1473" s="1" t="s">
        <v>6</v>
      </c>
      <c r="F1473" s="1" t="s">
        <v>5241</v>
      </c>
      <c r="G1473" s="1" t="s">
        <v>6307</v>
      </c>
      <c r="H1473" s="1" t="s">
        <v>44</v>
      </c>
      <c r="I1473" s="17">
        <v>43252</v>
      </c>
    </row>
    <row r="1474" spans="1:10">
      <c r="A1474" s="16" t="s">
        <v>15209</v>
      </c>
      <c r="B1474" s="1" t="s">
        <v>2631</v>
      </c>
      <c r="C1474" s="1">
        <v>833</v>
      </c>
      <c r="D1474" s="1" t="s">
        <v>7</v>
      </c>
      <c r="E1474" s="1" t="s">
        <v>6</v>
      </c>
      <c r="F1474" s="1" t="s">
        <v>5241</v>
      </c>
      <c r="G1474" s="1" t="s">
        <v>4803</v>
      </c>
      <c r="H1474" s="1" t="s">
        <v>5</v>
      </c>
      <c r="I1474" s="17">
        <v>42522</v>
      </c>
      <c r="J1474" s="17"/>
    </row>
    <row r="1475" spans="1:10">
      <c r="A1475" s="16" t="s">
        <v>15210</v>
      </c>
      <c r="B1475" s="1" t="s">
        <v>2631</v>
      </c>
      <c r="C1475" s="1">
        <v>121</v>
      </c>
      <c r="D1475" s="1" t="s">
        <v>7</v>
      </c>
      <c r="E1475" s="1" t="s">
        <v>6</v>
      </c>
      <c r="F1475" s="1" t="s">
        <v>5241</v>
      </c>
      <c r="G1475" s="1" t="s">
        <v>4803</v>
      </c>
      <c r="H1475" s="1" t="s">
        <v>5</v>
      </c>
      <c r="I1475" s="17">
        <v>41730</v>
      </c>
      <c r="J1475" s="17"/>
    </row>
    <row r="1476" spans="1:10">
      <c r="A1476" s="16" t="s">
        <v>15211</v>
      </c>
      <c r="B1476" s="1" t="s">
        <v>2631</v>
      </c>
      <c r="C1476" s="1">
        <v>121</v>
      </c>
      <c r="D1476" s="1" t="s">
        <v>7</v>
      </c>
      <c r="E1476" s="1" t="s">
        <v>6</v>
      </c>
      <c r="F1476" s="1" t="s">
        <v>5241</v>
      </c>
      <c r="G1476" s="1" t="s">
        <v>4803</v>
      </c>
      <c r="H1476" s="1" t="s">
        <v>5</v>
      </c>
      <c r="I1476" s="17">
        <v>41487</v>
      </c>
      <c r="J1476" s="17"/>
    </row>
    <row r="1477" spans="1:10">
      <c r="A1477" s="16" t="s">
        <v>15216</v>
      </c>
      <c r="B1477" s="1" t="s">
        <v>2631</v>
      </c>
      <c r="C1477" s="1">
        <v>121</v>
      </c>
      <c r="D1477" s="1" t="s">
        <v>7</v>
      </c>
      <c r="E1477" s="1" t="s">
        <v>6</v>
      </c>
      <c r="F1477" s="1" t="s">
        <v>5241</v>
      </c>
      <c r="G1477" s="1" t="s">
        <v>4803</v>
      </c>
      <c r="H1477" s="1" t="s">
        <v>5</v>
      </c>
      <c r="I1477" s="17">
        <v>43252</v>
      </c>
      <c r="J1477" s="17"/>
    </row>
    <row r="1478" spans="1:10">
      <c r="A1478" s="16" t="s">
        <v>15222</v>
      </c>
      <c r="B1478" s="1" t="s">
        <v>2631</v>
      </c>
      <c r="C1478" s="1">
        <v>121</v>
      </c>
      <c r="D1478" s="1" t="s">
        <v>7</v>
      </c>
      <c r="E1478" s="1" t="s">
        <v>6</v>
      </c>
      <c r="F1478" s="1" t="s">
        <v>5241</v>
      </c>
      <c r="G1478" s="1" t="s">
        <v>6307</v>
      </c>
      <c r="H1478" s="1" t="s">
        <v>44</v>
      </c>
      <c r="I1478" s="17">
        <v>42552</v>
      </c>
    </row>
    <row r="1479" spans="1:10">
      <c r="A1479" s="16" t="s">
        <v>15227</v>
      </c>
      <c r="B1479" s="1" t="s">
        <v>2631</v>
      </c>
      <c r="C1479" s="1">
        <v>121</v>
      </c>
      <c r="D1479" s="1" t="s">
        <v>7</v>
      </c>
      <c r="E1479" s="1" t="s">
        <v>6</v>
      </c>
      <c r="F1479" s="1" t="s">
        <v>5241</v>
      </c>
      <c r="G1479" s="1" t="s">
        <v>4803</v>
      </c>
      <c r="H1479" s="1" t="s">
        <v>5</v>
      </c>
      <c r="I1479" s="17">
        <v>42795</v>
      </c>
      <c r="J1479" s="17"/>
    </row>
    <row r="1480" spans="1:10">
      <c r="A1480" s="16" t="s">
        <v>15231</v>
      </c>
      <c r="B1480" s="1" t="s">
        <v>2631</v>
      </c>
      <c r="C1480" s="1">
        <v>121</v>
      </c>
      <c r="D1480" s="1" t="s">
        <v>7</v>
      </c>
      <c r="E1480" s="1" t="s">
        <v>6</v>
      </c>
      <c r="F1480" s="1" t="s">
        <v>5241</v>
      </c>
      <c r="G1480" s="1" t="s">
        <v>6307</v>
      </c>
      <c r="H1480" s="1" t="s">
        <v>44</v>
      </c>
      <c r="I1480" s="17">
        <v>43252</v>
      </c>
    </row>
    <row r="1481" spans="1:10">
      <c r="A1481" s="16" t="s">
        <v>15232</v>
      </c>
      <c r="B1481" s="1" t="s">
        <v>2631</v>
      </c>
      <c r="C1481" s="1">
        <v>121</v>
      </c>
      <c r="D1481" s="1" t="s">
        <v>7</v>
      </c>
      <c r="E1481" s="1" t="s">
        <v>6</v>
      </c>
      <c r="F1481" s="1" t="s">
        <v>5241</v>
      </c>
      <c r="G1481" s="1" t="s">
        <v>4803</v>
      </c>
      <c r="H1481" s="1" t="s">
        <v>5</v>
      </c>
      <c r="I1481" s="17">
        <v>42552</v>
      </c>
      <c r="J1481" s="17"/>
    </row>
    <row r="1482" spans="1:10">
      <c r="A1482" s="16" t="s">
        <v>15233</v>
      </c>
      <c r="B1482" s="1" t="s">
        <v>2631</v>
      </c>
      <c r="C1482" s="1">
        <v>121</v>
      </c>
      <c r="D1482" s="1" t="s">
        <v>7</v>
      </c>
      <c r="E1482" s="1" t="s">
        <v>6</v>
      </c>
      <c r="F1482" s="1" t="s">
        <v>5241</v>
      </c>
      <c r="G1482" s="1" t="s">
        <v>6307</v>
      </c>
      <c r="H1482" s="1" t="s">
        <v>44</v>
      </c>
      <c r="I1482" s="17">
        <v>42522</v>
      </c>
    </row>
    <row r="1483" spans="1:10">
      <c r="A1483" s="16" t="s">
        <v>15235</v>
      </c>
      <c r="B1483" s="1" t="s">
        <v>2631</v>
      </c>
      <c r="C1483" s="1">
        <v>121</v>
      </c>
      <c r="D1483" s="1" t="s">
        <v>7</v>
      </c>
      <c r="E1483" s="1" t="s">
        <v>6</v>
      </c>
      <c r="F1483" s="1" t="s">
        <v>5241</v>
      </c>
      <c r="G1483" s="1" t="s">
        <v>4803</v>
      </c>
      <c r="H1483" s="1" t="s">
        <v>5</v>
      </c>
      <c r="I1483" s="17">
        <v>42430</v>
      </c>
      <c r="J1483" s="17"/>
    </row>
    <row r="1484" spans="1:10">
      <c r="A1484" s="16" t="s">
        <v>15236</v>
      </c>
      <c r="B1484" s="1" t="s">
        <v>2631</v>
      </c>
      <c r="C1484" s="1">
        <v>121</v>
      </c>
      <c r="D1484" s="1" t="s">
        <v>7</v>
      </c>
      <c r="E1484" s="1" t="s">
        <v>6</v>
      </c>
      <c r="F1484" s="1" t="s">
        <v>5241</v>
      </c>
      <c r="G1484" s="1" t="s">
        <v>4803</v>
      </c>
      <c r="H1484" s="1" t="s">
        <v>5</v>
      </c>
      <c r="I1484" s="17">
        <v>43040</v>
      </c>
      <c r="J1484" s="17"/>
    </row>
    <row r="1485" spans="1:10">
      <c r="A1485" s="16" t="s">
        <v>15237</v>
      </c>
      <c r="B1485" s="1" t="s">
        <v>2631</v>
      </c>
      <c r="C1485" s="1">
        <v>121</v>
      </c>
      <c r="D1485" s="1" t="s">
        <v>7</v>
      </c>
      <c r="E1485" s="1" t="s">
        <v>6</v>
      </c>
      <c r="F1485" s="1" t="s">
        <v>5241</v>
      </c>
      <c r="G1485" s="1" t="s">
        <v>4803</v>
      </c>
      <c r="H1485" s="1" t="s">
        <v>5</v>
      </c>
      <c r="I1485" s="17">
        <v>43252</v>
      </c>
      <c r="J1485" s="17"/>
    </row>
    <row r="1486" spans="1:10">
      <c r="A1486" s="16" t="s">
        <v>15238</v>
      </c>
      <c r="B1486" s="1" t="s">
        <v>2631</v>
      </c>
      <c r="C1486" s="1">
        <v>121</v>
      </c>
      <c r="D1486" s="1" t="s">
        <v>7</v>
      </c>
      <c r="E1486" s="1" t="s">
        <v>6</v>
      </c>
      <c r="F1486" s="1" t="s">
        <v>5241</v>
      </c>
      <c r="G1486" s="1" t="s">
        <v>6307</v>
      </c>
      <c r="H1486" s="1" t="s">
        <v>44</v>
      </c>
      <c r="I1486" s="17">
        <v>42461</v>
      </c>
    </row>
    <row r="1487" spans="1:10">
      <c r="A1487" s="16" t="s">
        <v>15239</v>
      </c>
      <c r="B1487" s="1" t="s">
        <v>2631</v>
      </c>
      <c r="C1487" s="1">
        <v>833</v>
      </c>
      <c r="D1487" s="1" t="s">
        <v>7</v>
      </c>
      <c r="E1487" s="1" t="s">
        <v>6</v>
      </c>
      <c r="F1487" s="1" t="s">
        <v>5241</v>
      </c>
      <c r="G1487" s="1" t="s">
        <v>6307</v>
      </c>
      <c r="H1487" s="1" t="s">
        <v>44</v>
      </c>
      <c r="I1487" s="17">
        <v>42522</v>
      </c>
    </row>
    <row r="1488" spans="1:10">
      <c r="A1488" s="16" t="s">
        <v>15243</v>
      </c>
      <c r="B1488" s="1" t="s">
        <v>2631</v>
      </c>
      <c r="C1488" s="1">
        <v>121</v>
      </c>
      <c r="D1488" s="1" t="s">
        <v>7</v>
      </c>
      <c r="E1488" s="1" t="s">
        <v>6</v>
      </c>
      <c r="F1488" s="1" t="s">
        <v>5241</v>
      </c>
      <c r="G1488" s="1" t="s">
        <v>4803</v>
      </c>
      <c r="H1488" s="1" t="s">
        <v>5</v>
      </c>
      <c r="I1488" s="17">
        <v>42887</v>
      </c>
      <c r="J1488" s="17"/>
    </row>
    <row r="1489" spans="1:10">
      <c r="A1489" s="16" t="s">
        <v>15244</v>
      </c>
      <c r="B1489" s="1" t="s">
        <v>2631</v>
      </c>
      <c r="C1489" s="1">
        <v>121</v>
      </c>
      <c r="D1489" s="1" t="s">
        <v>7</v>
      </c>
      <c r="E1489" s="1" t="s">
        <v>6</v>
      </c>
      <c r="F1489" s="1" t="s">
        <v>5241</v>
      </c>
      <c r="G1489" s="1" t="s">
        <v>4803</v>
      </c>
      <c r="H1489" s="1" t="s">
        <v>5</v>
      </c>
      <c r="I1489" s="17">
        <v>42522</v>
      </c>
      <c r="J1489" s="17"/>
    </row>
    <row r="1490" spans="1:10">
      <c r="A1490" s="16" t="s">
        <v>15245</v>
      </c>
      <c r="B1490" s="1" t="s">
        <v>2631</v>
      </c>
      <c r="C1490" s="1">
        <v>121</v>
      </c>
      <c r="D1490" s="1" t="s">
        <v>7</v>
      </c>
      <c r="E1490" s="1" t="s">
        <v>6</v>
      </c>
      <c r="F1490" s="1" t="s">
        <v>5241</v>
      </c>
      <c r="G1490" s="1" t="s">
        <v>4803</v>
      </c>
      <c r="H1490" s="1" t="s">
        <v>5</v>
      </c>
      <c r="I1490" s="17">
        <v>42675</v>
      </c>
      <c r="J1490" s="17"/>
    </row>
    <row r="1491" spans="1:10">
      <c r="A1491" s="16" t="s">
        <v>15247</v>
      </c>
      <c r="B1491" s="1" t="s">
        <v>2631</v>
      </c>
      <c r="C1491" s="1">
        <v>121</v>
      </c>
      <c r="D1491" s="1" t="s">
        <v>7</v>
      </c>
      <c r="E1491" s="1" t="s">
        <v>6</v>
      </c>
      <c r="F1491" s="1" t="s">
        <v>5241</v>
      </c>
      <c r="G1491" s="1" t="s">
        <v>4803</v>
      </c>
      <c r="H1491" s="1" t="s">
        <v>5</v>
      </c>
      <c r="I1491" s="17">
        <v>43160</v>
      </c>
      <c r="J1491" s="17"/>
    </row>
    <row r="1492" spans="1:10">
      <c r="A1492" s="16" t="s">
        <v>15251</v>
      </c>
      <c r="B1492" s="1" t="s">
        <v>2631</v>
      </c>
      <c r="C1492" s="1">
        <v>121</v>
      </c>
      <c r="D1492" s="1" t="s">
        <v>7</v>
      </c>
      <c r="E1492" s="1" t="s">
        <v>6</v>
      </c>
      <c r="F1492" s="1" t="s">
        <v>5241</v>
      </c>
      <c r="G1492" s="1" t="s">
        <v>4803</v>
      </c>
      <c r="H1492" s="1" t="s">
        <v>5</v>
      </c>
      <c r="I1492" s="17">
        <v>42705</v>
      </c>
      <c r="J1492" s="17"/>
    </row>
    <row r="1493" spans="1:10">
      <c r="A1493" s="16" t="s">
        <v>15256</v>
      </c>
      <c r="B1493" s="1" t="s">
        <v>2631</v>
      </c>
      <c r="C1493" s="1">
        <v>121</v>
      </c>
      <c r="D1493" s="1" t="s">
        <v>7</v>
      </c>
      <c r="E1493" s="1" t="s">
        <v>6</v>
      </c>
      <c r="F1493" s="1" t="s">
        <v>5241</v>
      </c>
      <c r="G1493" s="1" t="s">
        <v>4803</v>
      </c>
      <c r="H1493" s="1" t="s">
        <v>5</v>
      </c>
      <c r="I1493" s="17">
        <v>42767</v>
      </c>
      <c r="J1493" s="17"/>
    </row>
    <row r="1494" spans="1:10">
      <c r="A1494" s="16" t="s">
        <v>15259</v>
      </c>
      <c r="B1494" s="1" t="s">
        <v>2631</v>
      </c>
      <c r="C1494" s="1">
        <v>121</v>
      </c>
      <c r="D1494" s="1" t="s">
        <v>7</v>
      </c>
      <c r="E1494" s="1" t="s">
        <v>6</v>
      </c>
      <c r="F1494" s="1" t="s">
        <v>5241</v>
      </c>
      <c r="G1494" s="1" t="s">
        <v>6307</v>
      </c>
      <c r="H1494" s="1" t="s">
        <v>44</v>
      </c>
      <c r="I1494" s="17">
        <v>42522</v>
      </c>
    </row>
    <row r="1495" spans="1:10">
      <c r="A1495" s="16" t="s">
        <v>15260</v>
      </c>
      <c r="B1495" s="1" t="s">
        <v>2631</v>
      </c>
      <c r="C1495" s="1">
        <v>121</v>
      </c>
      <c r="D1495" s="1" t="s">
        <v>7</v>
      </c>
      <c r="E1495" s="1" t="s">
        <v>6</v>
      </c>
      <c r="F1495" s="1" t="s">
        <v>5241</v>
      </c>
      <c r="G1495" s="1" t="s">
        <v>4803</v>
      </c>
      <c r="H1495" s="1" t="s">
        <v>5</v>
      </c>
      <c r="I1495" s="17">
        <v>43313</v>
      </c>
      <c r="J1495" s="17"/>
    </row>
    <row r="1496" spans="1:10">
      <c r="A1496" s="16" t="s">
        <v>15264</v>
      </c>
      <c r="B1496" s="1" t="s">
        <v>2631</v>
      </c>
      <c r="C1496" s="1">
        <v>121</v>
      </c>
      <c r="D1496" s="1" t="s">
        <v>7</v>
      </c>
      <c r="E1496" s="1" t="s">
        <v>6</v>
      </c>
      <c r="F1496" s="1" t="s">
        <v>5241</v>
      </c>
      <c r="G1496" s="1" t="s">
        <v>6307</v>
      </c>
      <c r="H1496" s="1" t="s">
        <v>44</v>
      </c>
      <c r="I1496" s="17">
        <v>42917</v>
      </c>
    </row>
    <row r="1497" spans="1:10">
      <c r="A1497" s="16" t="s">
        <v>15265</v>
      </c>
      <c r="B1497" s="1" t="s">
        <v>2631</v>
      </c>
      <c r="C1497" s="1">
        <v>121</v>
      </c>
      <c r="D1497" s="1" t="s">
        <v>7</v>
      </c>
      <c r="E1497" s="1" t="s">
        <v>6</v>
      </c>
      <c r="F1497" s="1" t="s">
        <v>5241</v>
      </c>
      <c r="G1497" s="1" t="s">
        <v>4803</v>
      </c>
      <c r="H1497" s="1" t="s">
        <v>5</v>
      </c>
      <c r="I1497" s="17">
        <v>43132</v>
      </c>
      <c r="J1497" s="17"/>
    </row>
    <row r="1498" spans="1:10">
      <c r="A1498" s="16" t="s">
        <v>15267</v>
      </c>
      <c r="B1498" s="1" t="s">
        <v>2631</v>
      </c>
      <c r="C1498" s="1">
        <v>121</v>
      </c>
      <c r="D1498" s="1" t="s">
        <v>7</v>
      </c>
      <c r="E1498" s="1" t="s">
        <v>6</v>
      </c>
      <c r="F1498" s="1" t="s">
        <v>5241</v>
      </c>
      <c r="G1498" s="1" t="s">
        <v>4803</v>
      </c>
      <c r="H1498" s="1" t="s">
        <v>5</v>
      </c>
      <c r="I1498" s="17">
        <v>42522</v>
      </c>
      <c r="J1498" s="17"/>
    </row>
    <row r="1499" spans="1:10">
      <c r="A1499" s="16" t="s">
        <v>15269</v>
      </c>
      <c r="B1499" s="1" t="s">
        <v>2631</v>
      </c>
      <c r="C1499" s="1">
        <v>121</v>
      </c>
      <c r="D1499" s="1" t="s">
        <v>7</v>
      </c>
      <c r="E1499" s="1" t="s">
        <v>6</v>
      </c>
      <c r="F1499" s="1" t="s">
        <v>5241</v>
      </c>
      <c r="G1499" s="1" t="s">
        <v>4803</v>
      </c>
      <c r="H1499" s="1" t="s">
        <v>5</v>
      </c>
      <c r="I1499" s="17">
        <v>42917</v>
      </c>
      <c r="J1499" s="17"/>
    </row>
    <row r="1500" spans="1:10">
      <c r="A1500" s="16" t="s">
        <v>15270</v>
      </c>
      <c r="B1500" s="1" t="s">
        <v>2631</v>
      </c>
      <c r="C1500" s="1">
        <v>121</v>
      </c>
      <c r="D1500" s="1" t="s">
        <v>7</v>
      </c>
      <c r="E1500" s="1" t="s">
        <v>6</v>
      </c>
      <c r="F1500" s="1" t="s">
        <v>5241</v>
      </c>
      <c r="G1500" s="1" t="s">
        <v>4803</v>
      </c>
      <c r="H1500" s="1" t="s">
        <v>5</v>
      </c>
      <c r="I1500" s="17">
        <v>42705</v>
      </c>
      <c r="J1500" s="17"/>
    </row>
    <row r="1501" spans="1:10">
      <c r="A1501" s="16" t="s">
        <v>15273</v>
      </c>
      <c r="B1501" s="1" t="s">
        <v>2631</v>
      </c>
      <c r="C1501" s="1">
        <v>121</v>
      </c>
      <c r="D1501" s="1" t="s">
        <v>7</v>
      </c>
      <c r="E1501" s="1" t="s">
        <v>6</v>
      </c>
      <c r="F1501" s="1" t="s">
        <v>5241</v>
      </c>
      <c r="G1501" s="1" t="s">
        <v>4803</v>
      </c>
      <c r="H1501" s="1" t="s">
        <v>5</v>
      </c>
      <c r="I1501" s="17">
        <v>42917</v>
      </c>
      <c r="J1501" s="17"/>
    </row>
    <row r="1502" spans="1:10">
      <c r="A1502" s="16" t="s">
        <v>15276</v>
      </c>
      <c r="B1502" s="1" t="s">
        <v>2631</v>
      </c>
      <c r="C1502" s="1">
        <v>121</v>
      </c>
      <c r="D1502" s="1" t="s">
        <v>7</v>
      </c>
      <c r="E1502" s="1" t="s">
        <v>6</v>
      </c>
      <c r="F1502" s="1" t="s">
        <v>5241</v>
      </c>
      <c r="G1502" s="1" t="s">
        <v>4803</v>
      </c>
      <c r="H1502" s="1" t="s">
        <v>5</v>
      </c>
      <c r="I1502" s="17">
        <v>42583</v>
      </c>
      <c r="J1502" s="17"/>
    </row>
    <row r="1503" spans="1:10">
      <c r="A1503" s="16" t="s">
        <v>15278</v>
      </c>
      <c r="B1503" s="1" t="s">
        <v>2631</v>
      </c>
      <c r="C1503" s="1">
        <v>121</v>
      </c>
      <c r="D1503" s="1" t="s">
        <v>7</v>
      </c>
      <c r="E1503" s="1" t="s">
        <v>6</v>
      </c>
      <c r="F1503" s="1" t="s">
        <v>5241</v>
      </c>
      <c r="G1503" s="1" t="s">
        <v>6307</v>
      </c>
      <c r="H1503" s="1" t="s">
        <v>44</v>
      </c>
      <c r="I1503" s="17">
        <v>42522</v>
      </c>
    </row>
    <row r="1504" spans="1:10">
      <c r="A1504" s="16" t="s">
        <v>15279</v>
      </c>
      <c r="B1504" s="1" t="s">
        <v>2631</v>
      </c>
      <c r="C1504" s="1">
        <v>121</v>
      </c>
      <c r="D1504" s="1" t="s">
        <v>7</v>
      </c>
      <c r="E1504" s="1" t="s">
        <v>6</v>
      </c>
      <c r="F1504" s="1" t="s">
        <v>5241</v>
      </c>
      <c r="G1504" s="1" t="s">
        <v>4803</v>
      </c>
      <c r="H1504" s="1" t="s">
        <v>5</v>
      </c>
      <c r="I1504" s="17">
        <v>43252</v>
      </c>
      <c r="J1504" s="17"/>
    </row>
    <row r="1505" spans="1:10">
      <c r="A1505" s="16" t="s">
        <v>15281</v>
      </c>
      <c r="B1505" s="1" t="s">
        <v>2631</v>
      </c>
      <c r="C1505" s="1">
        <v>121</v>
      </c>
      <c r="D1505" s="1" t="s">
        <v>7</v>
      </c>
      <c r="E1505" s="1" t="s">
        <v>6</v>
      </c>
      <c r="F1505" s="1" t="s">
        <v>5241</v>
      </c>
      <c r="G1505" s="1" t="s">
        <v>4803</v>
      </c>
      <c r="H1505" s="1" t="s">
        <v>5</v>
      </c>
      <c r="I1505" s="17">
        <v>42826</v>
      </c>
      <c r="J1505" s="17"/>
    </row>
    <row r="1506" spans="1:10">
      <c r="A1506" s="16" t="s">
        <v>15283</v>
      </c>
      <c r="B1506" s="1" t="s">
        <v>2631</v>
      </c>
      <c r="C1506" s="1">
        <v>121</v>
      </c>
      <c r="D1506" s="1" t="s">
        <v>7</v>
      </c>
      <c r="E1506" s="1" t="s">
        <v>6</v>
      </c>
      <c r="F1506" s="1" t="s">
        <v>5241</v>
      </c>
      <c r="G1506" s="1" t="s">
        <v>4803</v>
      </c>
      <c r="H1506" s="1" t="s">
        <v>5</v>
      </c>
      <c r="I1506" s="17">
        <v>43252</v>
      </c>
      <c r="J1506" s="17"/>
    </row>
    <row r="1507" spans="1:10">
      <c r="A1507" s="16" t="s">
        <v>15284</v>
      </c>
      <c r="B1507" s="1" t="s">
        <v>2631</v>
      </c>
      <c r="C1507" s="1">
        <v>121</v>
      </c>
      <c r="D1507" s="1" t="s">
        <v>7</v>
      </c>
      <c r="E1507" s="1" t="s">
        <v>6</v>
      </c>
      <c r="F1507" s="1" t="s">
        <v>5241</v>
      </c>
      <c r="G1507" s="1" t="s">
        <v>4803</v>
      </c>
      <c r="H1507" s="1" t="s">
        <v>5</v>
      </c>
      <c r="I1507" s="17">
        <v>42887</v>
      </c>
      <c r="J1507" s="17"/>
    </row>
    <row r="1508" spans="1:10">
      <c r="A1508" s="16" t="s">
        <v>15286</v>
      </c>
      <c r="B1508" s="1" t="s">
        <v>2631</v>
      </c>
      <c r="C1508" s="1">
        <v>121</v>
      </c>
      <c r="D1508" s="1" t="s">
        <v>7</v>
      </c>
      <c r="E1508" s="1" t="s">
        <v>6</v>
      </c>
      <c r="F1508" s="1" t="s">
        <v>5241</v>
      </c>
      <c r="G1508" s="1" t="s">
        <v>4803</v>
      </c>
      <c r="H1508" s="1" t="s">
        <v>5</v>
      </c>
      <c r="I1508" s="17">
        <v>43132</v>
      </c>
      <c r="J1508" s="17"/>
    </row>
    <row r="1509" spans="1:10">
      <c r="A1509" s="16" t="s">
        <v>15287</v>
      </c>
      <c r="B1509" s="1" t="s">
        <v>2631</v>
      </c>
      <c r="C1509" s="1">
        <v>121</v>
      </c>
      <c r="D1509" s="1" t="s">
        <v>7</v>
      </c>
      <c r="E1509" s="1" t="s">
        <v>6</v>
      </c>
      <c r="F1509" s="1" t="s">
        <v>5241</v>
      </c>
      <c r="G1509" s="1" t="s">
        <v>4803</v>
      </c>
      <c r="H1509" s="1" t="s">
        <v>5</v>
      </c>
      <c r="I1509" s="17">
        <v>42917</v>
      </c>
      <c r="J1509" s="17"/>
    </row>
    <row r="1510" spans="1:10">
      <c r="A1510" s="16" t="s">
        <v>15288</v>
      </c>
      <c r="B1510" s="1" t="s">
        <v>2631</v>
      </c>
      <c r="C1510" s="1">
        <v>121</v>
      </c>
      <c r="D1510" s="1" t="s">
        <v>7</v>
      </c>
      <c r="E1510" s="1" t="s">
        <v>6</v>
      </c>
      <c r="F1510" s="1" t="s">
        <v>5241</v>
      </c>
      <c r="G1510" s="1" t="s">
        <v>4803</v>
      </c>
      <c r="H1510" s="1" t="s">
        <v>5</v>
      </c>
      <c r="I1510" s="17">
        <v>42552</v>
      </c>
      <c r="J1510" s="17"/>
    </row>
    <row r="1511" spans="1:10">
      <c r="A1511" s="16" t="s">
        <v>15291</v>
      </c>
      <c r="B1511" s="1" t="s">
        <v>2631</v>
      </c>
      <c r="C1511" s="1">
        <v>121</v>
      </c>
      <c r="D1511" s="1" t="s">
        <v>7</v>
      </c>
      <c r="E1511" s="1" t="s">
        <v>6</v>
      </c>
      <c r="F1511" s="1" t="s">
        <v>5241</v>
      </c>
      <c r="G1511" s="1" t="s">
        <v>6307</v>
      </c>
      <c r="H1511" s="1" t="s">
        <v>44</v>
      </c>
      <c r="I1511" s="17">
        <v>43101</v>
      </c>
    </row>
    <row r="1512" spans="1:10">
      <c r="A1512" s="16" t="s">
        <v>15295</v>
      </c>
      <c r="B1512" s="1" t="s">
        <v>2631</v>
      </c>
      <c r="C1512" s="1">
        <v>121</v>
      </c>
      <c r="D1512" s="1" t="s">
        <v>7</v>
      </c>
      <c r="E1512" s="1" t="s">
        <v>6</v>
      </c>
      <c r="F1512" s="1" t="s">
        <v>5241</v>
      </c>
      <c r="G1512" s="1" t="s">
        <v>4803</v>
      </c>
      <c r="H1512" s="1" t="s">
        <v>5</v>
      </c>
      <c r="I1512" s="17">
        <v>42917</v>
      </c>
      <c r="J1512" s="17"/>
    </row>
    <row r="1513" spans="1:10">
      <c r="A1513" s="16" t="s">
        <v>15296</v>
      </c>
      <c r="B1513" s="1" t="s">
        <v>2631</v>
      </c>
      <c r="C1513" s="1">
        <v>121</v>
      </c>
      <c r="D1513" s="1" t="s">
        <v>7</v>
      </c>
      <c r="E1513" s="1" t="s">
        <v>6</v>
      </c>
      <c r="F1513" s="1" t="s">
        <v>5241</v>
      </c>
      <c r="G1513" s="1" t="s">
        <v>4803</v>
      </c>
      <c r="H1513" s="1" t="s">
        <v>5</v>
      </c>
      <c r="I1513" s="17">
        <v>42614</v>
      </c>
      <c r="J1513" s="17"/>
    </row>
    <row r="1514" spans="1:10">
      <c r="A1514" s="16" t="s">
        <v>15299</v>
      </c>
      <c r="B1514" s="1" t="s">
        <v>2631</v>
      </c>
      <c r="C1514" s="1">
        <v>121</v>
      </c>
      <c r="D1514" s="1" t="s">
        <v>7</v>
      </c>
      <c r="E1514" s="1" t="s">
        <v>6</v>
      </c>
      <c r="F1514" s="1" t="s">
        <v>5241</v>
      </c>
      <c r="G1514" s="1" t="s">
        <v>4803</v>
      </c>
      <c r="H1514" s="1" t="s">
        <v>5</v>
      </c>
      <c r="I1514" s="17">
        <v>43313</v>
      </c>
      <c r="J1514" s="17"/>
    </row>
    <row r="1515" spans="1:10">
      <c r="A1515" s="16" t="s">
        <v>15300</v>
      </c>
      <c r="B1515" s="1" t="s">
        <v>2631</v>
      </c>
      <c r="C1515" s="1">
        <v>121</v>
      </c>
      <c r="D1515" s="1" t="s">
        <v>7</v>
      </c>
      <c r="E1515" s="1" t="s">
        <v>6</v>
      </c>
      <c r="F1515" s="1" t="s">
        <v>5241</v>
      </c>
      <c r="G1515" s="1" t="s">
        <v>4803</v>
      </c>
      <c r="H1515" s="1" t="s">
        <v>5</v>
      </c>
      <c r="I1515" s="17">
        <v>42948</v>
      </c>
      <c r="J1515" s="17"/>
    </row>
    <row r="1516" spans="1:10">
      <c r="A1516" s="16" t="s">
        <v>15302</v>
      </c>
      <c r="B1516" s="1" t="s">
        <v>2631</v>
      </c>
      <c r="C1516" s="1">
        <v>121</v>
      </c>
      <c r="D1516" s="1" t="s">
        <v>7</v>
      </c>
      <c r="E1516" s="1" t="s">
        <v>6</v>
      </c>
      <c r="F1516" s="1" t="s">
        <v>5241</v>
      </c>
      <c r="G1516" s="1" t="s">
        <v>6307</v>
      </c>
      <c r="H1516" s="1" t="s">
        <v>44</v>
      </c>
      <c r="I1516" s="17">
        <v>43101</v>
      </c>
    </row>
    <row r="1517" spans="1:10">
      <c r="A1517" s="16" t="s">
        <v>15306</v>
      </c>
      <c r="B1517" s="1" t="s">
        <v>2631</v>
      </c>
      <c r="C1517" s="1">
        <v>121</v>
      </c>
      <c r="D1517" s="1" t="s">
        <v>7</v>
      </c>
      <c r="E1517" s="1" t="s">
        <v>6</v>
      </c>
      <c r="F1517" s="1" t="s">
        <v>5241</v>
      </c>
      <c r="G1517" s="1" t="s">
        <v>4803</v>
      </c>
      <c r="H1517" s="1" t="s">
        <v>5</v>
      </c>
      <c r="I1517" s="17">
        <v>42583</v>
      </c>
      <c r="J1517" s="17"/>
    </row>
    <row r="1518" spans="1:10">
      <c r="A1518" s="16" t="s">
        <v>15308</v>
      </c>
      <c r="B1518" s="1" t="s">
        <v>2631</v>
      </c>
      <c r="C1518" s="1">
        <v>121</v>
      </c>
      <c r="D1518" s="1" t="s">
        <v>7</v>
      </c>
      <c r="E1518" s="1" t="s">
        <v>6</v>
      </c>
      <c r="F1518" s="1" t="s">
        <v>5241</v>
      </c>
      <c r="G1518" s="1" t="s">
        <v>4803</v>
      </c>
      <c r="H1518" s="1" t="s">
        <v>5</v>
      </c>
      <c r="I1518" s="17">
        <v>43313</v>
      </c>
      <c r="J1518" s="17"/>
    </row>
    <row r="1519" spans="1:10">
      <c r="A1519" s="16" t="s">
        <v>15309</v>
      </c>
      <c r="B1519" s="1" t="s">
        <v>2631</v>
      </c>
      <c r="C1519" s="1">
        <v>121</v>
      </c>
      <c r="D1519" s="1" t="s">
        <v>7</v>
      </c>
      <c r="E1519" s="1" t="s">
        <v>6</v>
      </c>
      <c r="F1519" s="1" t="s">
        <v>5241</v>
      </c>
      <c r="G1519" s="1" t="s">
        <v>4803</v>
      </c>
      <c r="H1519" s="1" t="s">
        <v>5</v>
      </c>
      <c r="I1519" s="17">
        <v>42675</v>
      </c>
      <c r="J1519" s="17"/>
    </row>
    <row r="1520" spans="1:10">
      <c r="A1520" s="16" t="s">
        <v>15310</v>
      </c>
      <c r="B1520" s="1" t="s">
        <v>2631</v>
      </c>
      <c r="C1520" s="1">
        <v>121</v>
      </c>
      <c r="D1520" s="1" t="s">
        <v>7</v>
      </c>
      <c r="E1520" s="1" t="s">
        <v>6</v>
      </c>
      <c r="F1520" s="1" t="s">
        <v>5241</v>
      </c>
      <c r="G1520" s="1" t="s">
        <v>4803</v>
      </c>
      <c r="H1520" s="1" t="s">
        <v>5</v>
      </c>
      <c r="I1520" s="17">
        <v>43101</v>
      </c>
      <c r="J1520" s="17"/>
    </row>
    <row r="1521" spans="1:10">
      <c r="A1521" s="16" t="s">
        <v>15311</v>
      </c>
      <c r="B1521" s="1" t="s">
        <v>2631</v>
      </c>
      <c r="C1521" s="1">
        <v>121</v>
      </c>
      <c r="D1521" s="1" t="s">
        <v>7</v>
      </c>
      <c r="E1521" s="1" t="s">
        <v>6</v>
      </c>
      <c r="F1521" s="1" t="s">
        <v>5241</v>
      </c>
      <c r="G1521" s="1" t="s">
        <v>4803</v>
      </c>
      <c r="H1521" s="1" t="s">
        <v>5</v>
      </c>
      <c r="I1521" s="17">
        <v>43070</v>
      </c>
      <c r="J1521" s="17"/>
    </row>
    <row r="1522" spans="1:10">
      <c r="A1522" s="16" t="s">
        <v>15312</v>
      </c>
      <c r="B1522" s="1" t="s">
        <v>2631</v>
      </c>
      <c r="C1522" s="1">
        <v>121</v>
      </c>
      <c r="D1522" s="1" t="s">
        <v>7</v>
      </c>
      <c r="E1522" s="1" t="s">
        <v>6</v>
      </c>
      <c r="F1522" s="1" t="s">
        <v>5241</v>
      </c>
      <c r="G1522" s="1" t="s">
        <v>4803</v>
      </c>
      <c r="H1522" s="1" t="s">
        <v>5</v>
      </c>
      <c r="I1522" s="17">
        <v>42430</v>
      </c>
      <c r="J1522" s="17"/>
    </row>
    <row r="1523" spans="1:10">
      <c r="A1523" s="16" t="s">
        <v>15316</v>
      </c>
      <c r="B1523" s="1" t="s">
        <v>2631</v>
      </c>
      <c r="C1523" s="1">
        <v>121</v>
      </c>
      <c r="D1523" s="1" t="s">
        <v>7</v>
      </c>
      <c r="E1523" s="1" t="s">
        <v>6</v>
      </c>
      <c r="F1523" s="1" t="s">
        <v>5241</v>
      </c>
      <c r="G1523" s="1" t="s">
        <v>4803</v>
      </c>
      <c r="H1523" s="1" t="s">
        <v>5</v>
      </c>
      <c r="I1523" s="17">
        <v>42917</v>
      </c>
      <c r="J1523" s="17"/>
    </row>
    <row r="1524" spans="1:10">
      <c r="A1524" s="16" t="s">
        <v>15317</v>
      </c>
      <c r="B1524" s="1" t="s">
        <v>2631</v>
      </c>
      <c r="C1524" s="1">
        <v>121</v>
      </c>
      <c r="D1524" s="1" t="s">
        <v>7</v>
      </c>
      <c r="E1524" s="1" t="s">
        <v>6</v>
      </c>
      <c r="F1524" s="1" t="s">
        <v>5241</v>
      </c>
      <c r="G1524" s="1" t="s">
        <v>6307</v>
      </c>
      <c r="H1524" s="1" t="s">
        <v>44</v>
      </c>
      <c r="I1524" s="17">
        <v>42917</v>
      </c>
    </row>
    <row r="1525" spans="1:10">
      <c r="A1525" s="16" t="s">
        <v>15319</v>
      </c>
      <c r="B1525" s="1" t="s">
        <v>2631</v>
      </c>
      <c r="C1525" s="1">
        <v>121</v>
      </c>
      <c r="D1525" s="1" t="s">
        <v>7</v>
      </c>
      <c r="E1525" s="1" t="s">
        <v>6</v>
      </c>
      <c r="F1525" s="1" t="s">
        <v>5241</v>
      </c>
      <c r="G1525" s="1" t="s">
        <v>4803</v>
      </c>
      <c r="H1525" s="1" t="s">
        <v>5</v>
      </c>
      <c r="I1525" s="17">
        <v>43040</v>
      </c>
      <c r="J1525" s="17"/>
    </row>
    <row r="1526" spans="1:10">
      <c r="A1526" s="16" t="s">
        <v>15320</v>
      </c>
      <c r="B1526" s="1" t="s">
        <v>2631</v>
      </c>
      <c r="C1526" s="1">
        <v>121</v>
      </c>
      <c r="D1526" s="1" t="s">
        <v>7</v>
      </c>
      <c r="E1526" s="1" t="s">
        <v>6</v>
      </c>
      <c r="F1526" s="1" t="s">
        <v>5241</v>
      </c>
      <c r="G1526" s="1" t="s">
        <v>4803</v>
      </c>
      <c r="H1526" s="1" t="s">
        <v>5</v>
      </c>
      <c r="I1526" s="17">
        <v>43221</v>
      </c>
      <c r="J1526" s="17"/>
    </row>
    <row r="1527" spans="1:10">
      <c r="A1527" s="16" t="s">
        <v>15321</v>
      </c>
      <c r="B1527" s="1" t="s">
        <v>2631</v>
      </c>
      <c r="C1527" s="1">
        <v>121</v>
      </c>
      <c r="D1527" s="1" t="s">
        <v>7</v>
      </c>
      <c r="E1527" s="1" t="s">
        <v>6</v>
      </c>
      <c r="F1527" s="1" t="s">
        <v>5241</v>
      </c>
      <c r="G1527" s="1" t="s">
        <v>4803</v>
      </c>
      <c r="H1527" s="1" t="s">
        <v>5</v>
      </c>
      <c r="I1527" s="17">
        <v>42887</v>
      </c>
      <c r="J1527" s="17"/>
    </row>
    <row r="1528" spans="1:10">
      <c r="A1528" s="16" t="s">
        <v>15322</v>
      </c>
      <c r="B1528" s="1" t="s">
        <v>2631</v>
      </c>
      <c r="C1528" s="1">
        <v>121</v>
      </c>
      <c r="D1528" s="1" t="s">
        <v>7</v>
      </c>
      <c r="E1528" s="1" t="s">
        <v>6</v>
      </c>
      <c r="F1528" s="1" t="s">
        <v>5241</v>
      </c>
      <c r="G1528" s="1" t="s">
        <v>6307</v>
      </c>
      <c r="H1528" s="1" t="s">
        <v>44</v>
      </c>
      <c r="I1528" s="17">
        <v>42552</v>
      </c>
    </row>
    <row r="1529" spans="1:10">
      <c r="A1529" s="16" t="s">
        <v>15323</v>
      </c>
      <c r="B1529" s="1" t="s">
        <v>2631</v>
      </c>
      <c r="C1529" s="1">
        <v>121</v>
      </c>
      <c r="D1529" s="1" t="s">
        <v>7</v>
      </c>
      <c r="E1529" s="1" t="s">
        <v>6</v>
      </c>
      <c r="F1529" s="1" t="s">
        <v>5241</v>
      </c>
      <c r="G1529" s="1" t="s">
        <v>4803</v>
      </c>
      <c r="H1529" s="1" t="s">
        <v>5</v>
      </c>
      <c r="I1529" s="17">
        <v>42887</v>
      </c>
      <c r="J1529" s="17"/>
    </row>
    <row r="1530" spans="1:10">
      <c r="A1530" s="16" t="s">
        <v>15324</v>
      </c>
      <c r="B1530" s="1" t="s">
        <v>2631</v>
      </c>
      <c r="C1530" s="1">
        <v>121</v>
      </c>
      <c r="D1530" s="1" t="s">
        <v>7</v>
      </c>
      <c r="E1530" s="1" t="s">
        <v>6</v>
      </c>
      <c r="F1530" s="1" t="s">
        <v>5241</v>
      </c>
      <c r="G1530" s="1" t="s">
        <v>4803</v>
      </c>
      <c r="H1530" s="1" t="s">
        <v>5</v>
      </c>
      <c r="I1530" s="17">
        <v>42278</v>
      </c>
      <c r="J1530" s="17"/>
    </row>
    <row r="1531" spans="1:10">
      <c r="A1531" s="16" t="s">
        <v>15327</v>
      </c>
      <c r="B1531" s="1" t="s">
        <v>2631</v>
      </c>
      <c r="C1531" s="1">
        <v>121</v>
      </c>
      <c r="D1531" s="1" t="s">
        <v>7</v>
      </c>
      <c r="E1531" s="1" t="s">
        <v>6</v>
      </c>
      <c r="F1531" s="1" t="s">
        <v>5241</v>
      </c>
      <c r="G1531" s="1" t="s">
        <v>6307</v>
      </c>
      <c r="H1531" s="1" t="s">
        <v>44</v>
      </c>
      <c r="I1531" s="17">
        <v>42461</v>
      </c>
    </row>
    <row r="1532" spans="1:10">
      <c r="A1532" s="16" t="s">
        <v>15328</v>
      </c>
      <c r="B1532" s="1" t="s">
        <v>2631</v>
      </c>
      <c r="C1532" s="1">
        <v>121</v>
      </c>
      <c r="D1532" s="1" t="s">
        <v>7</v>
      </c>
      <c r="E1532" s="1" t="s">
        <v>6</v>
      </c>
      <c r="F1532" s="1" t="s">
        <v>5241</v>
      </c>
      <c r="G1532" s="1" t="s">
        <v>6307</v>
      </c>
      <c r="H1532" s="1" t="s">
        <v>44</v>
      </c>
      <c r="I1532" s="17">
        <v>43101</v>
      </c>
    </row>
    <row r="1533" spans="1:10">
      <c r="A1533" s="16" t="s">
        <v>15329</v>
      </c>
      <c r="B1533" s="1" t="s">
        <v>2631</v>
      </c>
      <c r="C1533" s="1">
        <v>121</v>
      </c>
      <c r="D1533" s="1" t="s">
        <v>7</v>
      </c>
      <c r="E1533" s="1" t="s">
        <v>6</v>
      </c>
      <c r="F1533" s="1" t="s">
        <v>5241</v>
      </c>
      <c r="G1533" s="1" t="s">
        <v>6307</v>
      </c>
      <c r="H1533" s="1" t="s">
        <v>44</v>
      </c>
      <c r="I1533" s="17">
        <v>42461</v>
      </c>
    </row>
    <row r="1534" spans="1:10">
      <c r="A1534" s="16" t="s">
        <v>15331</v>
      </c>
      <c r="B1534" s="1" t="s">
        <v>2631</v>
      </c>
      <c r="C1534" s="1">
        <v>121</v>
      </c>
      <c r="D1534" s="1" t="s">
        <v>7</v>
      </c>
      <c r="E1534" s="1" t="s">
        <v>6</v>
      </c>
      <c r="F1534" s="1" t="s">
        <v>5241</v>
      </c>
      <c r="G1534" s="1" t="s">
        <v>6307</v>
      </c>
      <c r="H1534" s="1" t="s">
        <v>44</v>
      </c>
      <c r="I1534" s="17">
        <v>42522</v>
      </c>
    </row>
    <row r="1535" spans="1:10">
      <c r="A1535" s="16" t="s">
        <v>15333</v>
      </c>
      <c r="B1535" s="1" t="s">
        <v>2631</v>
      </c>
      <c r="C1535" s="1">
        <v>121</v>
      </c>
      <c r="D1535" s="1" t="s">
        <v>7</v>
      </c>
      <c r="E1535" s="1" t="s">
        <v>6</v>
      </c>
      <c r="F1535" s="1" t="s">
        <v>5241</v>
      </c>
      <c r="G1535" s="1" t="s">
        <v>4803</v>
      </c>
      <c r="H1535" s="1" t="s">
        <v>5</v>
      </c>
      <c r="I1535" s="17">
        <v>42948</v>
      </c>
      <c r="J1535" s="17"/>
    </row>
    <row r="1536" spans="1:10">
      <c r="A1536" s="16" t="s">
        <v>15335</v>
      </c>
      <c r="B1536" s="1" t="s">
        <v>2631</v>
      </c>
      <c r="C1536" s="1">
        <v>121</v>
      </c>
      <c r="D1536" s="1" t="s">
        <v>7</v>
      </c>
      <c r="E1536" s="1" t="s">
        <v>6</v>
      </c>
      <c r="F1536" s="1" t="s">
        <v>5241</v>
      </c>
      <c r="G1536" s="1" t="s">
        <v>4803</v>
      </c>
      <c r="H1536" s="1" t="s">
        <v>5</v>
      </c>
      <c r="I1536" s="17">
        <v>42887</v>
      </c>
      <c r="J1536" s="17"/>
    </row>
    <row r="1537" spans="1:10">
      <c r="A1537" s="16" t="s">
        <v>15336</v>
      </c>
      <c r="B1537" s="1" t="s">
        <v>2631</v>
      </c>
      <c r="C1537" s="1">
        <v>121</v>
      </c>
      <c r="D1537" s="1" t="s">
        <v>7</v>
      </c>
      <c r="E1537" s="1" t="s">
        <v>6</v>
      </c>
      <c r="F1537" s="1" t="s">
        <v>5241</v>
      </c>
      <c r="G1537" s="14" t="s">
        <v>4458</v>
      </c>
      <c r="H1537" s="1" t="s">
        <v>118</v>
      </c>
      <c r="I1537" s="17">
        <v>42948</v>
      </c>
    </row>
    <row r="1538" spans="1:10">
      <c r="A1538" s="16" t="s">
        <v>15339</v>
      </c>
      <c r="B1538" s="1" t="s">
        <v>2631</v>
      </c>
      <c r="C1538" s="1">
        <v>121</v>
      </c>
      <c r="D1538" s="1" t="s">
        <v>7</v>
      </c>
      <c r="E1538" s="1" t="s">
        <v>6</v>
      </c>
      <c r="F1538" s="1" t="s">
        <v>5241</v>
      </c>
      <c r="G1538" s="1" t="s">
        <v>6307</v>
      </c>
      <c r="H1538" s="1" t="s">
        <v>44</v>
      </c>
      <c r="I1538" s="17">
        <v>42522</v>
      </c>
    </row>
    <row r="1539" spans="1:10">
      <c r="A1539" s="16" t="s">
        <v>15340</v>
      </c>
      <c r="B1539" s="1" t="s">
        <v>2631</v>
      </c>
      <c r="C1539" s="1">
        <v>121</v>
      </c>
      <c r="D1539" s="1" t="s">
        <v>7</v>
      </c>
      <c r="E1539" s="1" t="s">
        <v>6</v>
      </c>
      <c r="F1539" s="1" t="s">
        <v>5241</v>
      </c>
      <c r="G1539" s="1" t="s">
        <v>6307</v>
      </c>
      <c r="H1539" s="1" t="s">
        <v>44</v>
      </c>
      <c r="I1539" s="17">
        <v>42522</v>
      </c>
    </row>
    <row r="1540" spans="1:10">
      <c r="A1540" s="16" t="s">
        <v>15341</v>
      </c>
      <c r="B1540" s="1" t="s">
        <v>2631</v>
      </c>
      <c r="C1540" s="1">
        <v>121</v>
      </c>
      <c r="D1540" s="1" t="s">
        <v>7</v>
      </c>
      <c r="E1540" s="1" t="s">
        <v>6</v>
      </c>
      <c r="F1540" s="1" t="s">
        <v>5241</v>
      </c>
      <c r="G1540" s="1" t="s">
        <v>4803</v>
      </c>
      <c r="H1540" s="1" t="s">
        <v>5</v>
      </c>
      <c r="I1540" s="17">
        <v>42583</v>
      </c>
      <c r="J1540" s="17"/>
    </row>
    <row r="1541" spans="1:10">
      <c r="A1541" s="16" t="s">
        <v>15344</v>
      </c>
      <c r="B1541" s="1" t="s">
        <v>2631</v>
      </c>
      <c r="C1541" s="1">
        <v>121</v>
      </c>
      <c r="D1541" s="1" t="s">
        <v>7</v>
      </c>
      <c r="E1541" s="1" t="s">
        <v>6</v>
      </c>
      <c r="F1541" s="1" t="s">
        <v>5241</v>
      </c>
      <c r="G1541" s="1" t="s">
        <v>4803</v>
      </c>
      <c r="H1541" s="1" t="s">
        <v>5</v>
      </c>
      <c r="I1541" s="17">
        <v>43313</v>
      </c>
      <c r="J1541" s="17"/>
    </row>
    <row r="1542" spans="1:10">
      <c r="A1542" s="16" t="s">
        <v>15345</v>
      </c>
      <c r="B1542" s="1" t="s">
        <v>2631</v>
      </c>
      <c r="C1542" s="1">
        <v>121</v>
      </c>
      <c r="D1542" s="1" t="s">
        <v>7</v>
      </c>
      <c r="E1542" s="1" t="s">
        <v>6</v>
      </c>
      <c r="F1542" s="1" t="s">
        <v>5241</v>
      </c>
      <c r="G1542" s="1" t="s">
        <v>4803</v>
      </c>
      <c r="H1542" s="1" t="s">
        <v>5</v>
      </c>
      <c r="I1542" s="17">
        <v>43313</v>
      </c>
      <c r="J1542" s="17"/>
    </row>
    <row r="1543" spans="1:10">
      <c r="A1543" s="16" t="s">
        <v>15346</v>
      </c>
      <c r="B1543" s="1" t="s">
        <v>2631</v>
      </c>
      <c r="C1543" s="1">
        <v>121</v>
      </c>
      <c r="D1543" s="1" t="s">
        <v>7</v>
      </c>
      <c r="E1543" s="1" t="s">
        <v>6</v>
      </c>
      <c r="F1543" s="1" t="s">
        <v>5241</v>
      </c>
      <c r="G1543" s="1" t="s">
        <v>4803</v>
      </c>
      <c r="H1543" s="1" t="s">
        <v>5</v>
      </c>
      <c r="I1543" s="17">
        <v>42887</v>
      </c>
      <c r="J1543" s="17"/>
    </row>
    <row r="1544" spans="1:10">
      <c r="A1544" s="16" t="s">
        <v>15347</v>
      </c>
      <c r="B1544" s="1" t="s">
        <v>2631</v>
      </c>
      <c r="C1544" s="1">
        <v>121</v>
      </c>
      <c r="D1544" s="1" t="s">
        <v>7</v>
      </c>
      <c r="E1544" s="1" t="s">
        <v>6</v>
      </c>
      <c r="F1544" s="1" t="s">
        <v>5241</v>
      </c>
      <c r="G1544" s="1" t="s">
        <v>4803</v>
      </c>
      <c r="H1544" s="1" t="s">
        <v>5</v>
      </c>
      <c r="I1544" s="17">
        <v>43132</v>
      </c>
    </row>
    <row r="1545" spans="1:10">
      <c r="A1545" s="16" t="s">
        <v>15350</v>
      </c>
      <c r="B1545" s="1" t="s">
        <v>2631</v>
      </c>
      <c r="C1545" s="1">
        <v>121</v>
      </c>
      <c r="D1545" s="1" t="s">
        <v>7</v>
      </c>
      <c r="E1545" s="1" t="s">
        <v>6</v>
      </c>
      <c r="F1545" s="1" t="s">
        <v>5241</v>
      </c>
      <c r="G1545" s="1" t="s">
        <v>4803</v>
      </c>
      <c r="H1545" s="1" t="s">
        <v>5</v>
      </c>
      <c r="I1545" s="17">
        <v>42856</v>
      </c>
    </row>
    <row r="1546" spans="1:10">
      <c r="A1546" s="16" t="s">
        <v>15351</v>
      </c>
      <c r="B1546" s="1" t="s">
        <v>2631</v>
      </c>
      <c r="C1546" s="1">
        <v>121</v>
      </c>
      <c r="D1546" s="1" t="s">
        <v>7</v>
      </c>
      <c r="E1546" s="1" t="s">
        <v>6</v>
      </c>
      <c r="F1546" s="1" t="s">
        <v>5241</v>
      </c>
      <c r="G1546" s="14" t="s">
        <v>4458</v>
      </c>
      <c r="H1546" s="1" t="s">
        <v>118</v>
      </c>
      <c r="I1546" s="17">
        <v>42705</v>
      </c>
    </row>
    <row r="1547" spans="1:10">
      <c r="A1547" s="16" t="s">
        <v>15352</v>
      </c>
      <c r="B1547" s="1" t="s">
        <v>2631</v>
      </c>
      <c r="C1547" s="1">
        <v>121</v>
      </c>
      <c r="D1547" s="1" t="s">
        <v>7</v>
      </c>
      <c r="E1547" s="1" t="s">
        <v>6</v>
      </c>
      <c r="F1547" s="1" t="s">
        <v>5241</v>
      </c>
      <c r="G1547" s="1" t="s">
        <v>4803</v>
      </c>
      <c r="H1547" s="1" t="s">
        <v>5</v>
      </c>
      <c r="I1547" s="17">
        <v>43252</v>
      </c>
    </row>
    <row r="1548" spans="1:10">
      <c r="A1548" s="16" t="s">
        <v>15354</v>
      </c>
      <c r="B1548" s="1" t="s">
        <v>2631</v>
      </c>
      <c r="C1548" s="1">
        <v>121</v>
      </c>
      <c r="D1548" s="1" t="s">
        <v>7</v>
      </c>
      <c r="E1548" s="1" t="s">
        <v>6</v>
      </c>
      <c r="F1548" s="1" t="s">
        <v>5241</v>
      </c>
      <c r="G1548" s="1" t="s">
        <v>4803</v>
      </c>
      <c r="H1548" s="1" t="s">
        <v>5</v>
      </c>
      <c r="I1548" s="17">
        <v>43313</v>
      </c>
    </row>
    <row r="1549" spans="1:10">
      <c r="A1549" s="16" t="s">
        <v>15355</v>
      </c>
      <c r="B1549" s="1" t="s">
        <v>2631</v>
      </c>
      <c r="C1549" s="1">
        <v>121</v>
      </c>
      <c r="D1549" s="1" t="s">
        <v>7</v>
      </c>
      <c r="E1549" s="1" t="s">
        <v>6</v>
      </c>
      <c r="F1549" s="1" t="s">
        <v>5241</v>
      </c>
      <c r="G1549" s="1" t="s">
        <v>4803</v>
      </c>
      <c r="H1549" s="1" t="s">
        <v>5</v>
      </c>
      <c r="I1549" s="17">
        <v>42826</v>
      </c>
    </row>
    <row r="1550" spans="1:10">
      <c r="A1550" s="16" t="s">
        <v>15356</v>
      </c>
      <c r="B1550" s="1" t="s">
        <v>2631</v>
      </c>
      <c r="C1550" s="1">
        <v>121</v>
      </c>
      <c r="D1550" s="1" t="s">
        <v>7</v>
      </c>
      <c r="E1550" s="1" t="s">
        <v>6</v>
      </c>
      <c r="F1550" s="1" t="s">
        <v>5241</v>
      </c>
      <c r="G1550" s="1" t="s">
        <v>4803</v>
      </c>
      <c r="H1550" s="1" t="s">
        <v>5</v>
      </c>
      <c r="I1550" s="17">
        <v>43252</v>
      </c>
    </row>
    <row r="1551" spans="1:10">
      <c r="A1551" s="16" t="s">
        <v>15358</v>
      </c>
      <c r="B1551" s="1" t="s">
        <v>2631</v>
      </c>
      <c r="C1551" s="1">
        <v>121</v>
      </c>
      <c r="D1551" s="1" t="s">
        <v>7</v>
      </c>
      <c r="E1551" s="1" t="s">
        <v>6</v>
      </c>
      <c r="F1551" s="1" t="s">
        <v>5241</v>
      </c>
      <c r="G1551" s="1" t="s">
        <v>6307</v>
      </c>
      <c r="H1551" s="1" t="s">
        <v>44</v>
      </c>
      <c r="I1551" s="17">
        <v>42522</v>
      </c>
    </row>
    <row r="1552" spans="1:10">
      <c r="A1552" s="16" t="s">
        <v>15359</v>
      </c>
      <c r="B1552" s="1" t="s">
        <v>2631</v>
      </c>
      <c r="C1552" s="1">
        <v>121</v>
      </c>
      <c r="D1552" s="1" t="s">
        <v>7</v>
      </c>
      <c r="E1552" s="1" t="s">
        <v>6</v>
      </c>
      <c r="F1552" s="1" t="s">
        <v>5241</v>
      </c>
      <c r="G1552" s="1" t="s">
        <v>4803</v>
      </c>
      <c r="H1552" s="1" t="s">
        <v>5</v>
      </c>
      <c r="I1552" s="17">
        <v>42767</v>
      </c>
    </row>
    <row r="1553" spans="1:9">
      <c r="A1553" s="16" t="s">
        <v>15361</v>
      </c>
      <c r="B1553" s="1" t="s">
        <v>2631</v>
      </c>
      <c r="C1553" s="1">
        <v>121</v>
      </c>
      <c r="D1553" s="1" t="s">
        <v>7</v>
      </c>
      <c r="E1553" s="1" t="s">
        <v>6</v>
      </c>
      <c r="F1553" s="1" t="s">
        <v>5241</v>
      </c>
      <c r="G1553" s="1" t="s">
        <v>4803</v>
      </c>
      <c r="H1553" s="1" t="s">
        <v>5</v>
      </c>
      <c r="I1553" s="17">
        <v>43252</v>
      </c>
    </row>
    <row r="1554" spans="1:9">
      <c r="A1554" s="16" t="s">
        <v>15364</v>
      </c>
      <c r="B1554" s="1" t="s">
        <v>2631</v>
      </c>
      <c r="C1554" s="1">
        <v>121</v>
      </c>
      <c r="D1554" s="1" t="s">
        <v>7</v>
      </c>
      <c r="E1554" s="1" t="s">
        <v>6</v>
      </c>
      <c r="F1554" s="1" t="s">
        <v>5241</v>
      </c>
      <c r="G1554" s="1" t="s">
        <v>4803</v>
      </c>
      <c r="H1554" s="1" t="s">
        <v>5</v>
      </c>
      <c r="I1554" s="17">
        <v>43221</v>
      </c>
    </row>
    <row r="1555" spans="1:9">
      <c r="A1555" s="16" t="s">
        <v>15365</v>
      </c>
      <c r="B1555" s="1" t="s">
        <v>2631</v>
      </c>
      <c r="C1555" s="1">
        <v>121</v>
      </c>
      <c r="D1555" s="1" t="s">
        <v>7</v>
      </c>
      <c r="E1555" s="1" t="s">
        <v>6</v>
      </c>
      <c r="F1555" s="1" t="s">
        <v>5241</v>
      </c>
      <c r="G1555" s="1" t="s">
        <v>4803</v>
      </c>
      <c r="H1555" s="1" t="s">
        <v>5</v>
      </c>
      <c r="I1555" s="17">
        <v>42736</v>
      </c>
    </row>
    <row r="1556" spans="1:9">
      <c r="A1556" s="16" t="s">
        <v>15366</v>
      </c>
      <c r="B1556" s="1" t="s">
        <v>2631</v>
      </c>
      <c r="C1556" s="1">
        <v>121</v>
      </c>
      <c r="D1556" s="1" t="s">
        <v>7</v>
      </c>
      <c r="E1556" s="1" t="s">
        <v>6</v>
      </c>
      <c r="F1556" s="1" t="s">
        <v>5241</v>
      </c>
      <c r="G1556" s="1" t="s">
        <v>4803</v>
      </c>
      <c r="H1556" s="1" t="s">
        <v>5</v>
      </c>
      <c r="I1556" s="17">
        <v>43070</v>
      </c>
    </row>
    <row r="1557" spans="1:9">
      <c r="A1557" s="16" t="s">
        <v>15369</v>
      </c>
      <c r="B1557" s="1" t="s">
        <v>2631</v>
      </c>
      <c r="C1557" s="1">
        <v>121</v>
      </c>
      <c r="D1557" s="1" t="s">
        <v>7</v>
      </c>
      <c r="E1557" s="1" t="s">
        <v>6</v>
      </c>
      <c r="F1557" s="1" t="s">
        <v>5241</v>
      </c>
      <c r="G1557" s="1" t="s">
        <v>4803</v>
      </c>
      <c r="H1557" s="1" t="s">
        <v>5</v>
      </c>
      <c r="I1557" s="17">
        <v>42917</v>
      </c>
    </row>
    <row r="1558" spans="1:9">
      <c r="A1558" s="16" t="s">
        <v>15370</v>
      </c>
      <c r="B1558" s="1" t="s">
        <v>2631</v>
      </c>
      <c r="C1558" s="1">
        <v>121</v>
      </c>
      <c r="D1558" s="1" t="s">
        <v>7</v>
      </c>
      <c r="E1558" s="1" t="s">
        <v>6</v>
      </c>
      <c r="F1558" s="1" t="s">
        <v>5241</v>
      </c>
      <c r="G1558" s="1" t="s">
        <v>6307</v>
      </c>
      <c r="H1558" s="1" t="s">
        <v>44</v>
      </c>
      <c r="I1558" s="17">
        <v>43132</v>
      </c>
    </row>
    <row r="1559" spans="1:9">
      <c r="A1559" s="16" t="s">
        <v>15372</v>
      </c>
      <c r="B1559" s="1" t="s">
        <v>2631</v>
      </c>
      <c r="C1559" s="1">
        <v>121</v>
      </c>
      <c r="D1559" s="1" t="s">
        <v>7</v>
      </c>
      <c r="E1559" s="1" t="s">
        <v>6</v>
      </c>
      <c r="F1559" s="1" t="s">
        <v>5241</v>
      </c>
      <c r="G1559" s="1" t="s">
        <v>4803</v>
      </c>
      <c r="H1559" s="1" t="s">
        <v>5</v>
      </c>
      <c r="I1559" s="17">
        <v>42430</v>
      </c>
    </row>
    <row r="1560" spans="1:9">
      <c r="A1560" s="16" t="s">
        <v>15373</v>
      </c>
      <c r="B1560" s="1" t="s">
        <v>2631</v>
      </c>
      <c r="C1560" s="1">
        <v>121</v>
      </c>
      <c r="D1560" s="1" t="s">
        <v>7</v>
      </c>
      <c r="E1560" s="1" t="s">
        <v>6</v>
      </c>
      <c r="F1560" s="1" t="s">
        <v>5241</v>
      </c>
      <c r="G1560" s="1" t="s">
        <v>4803</v>
      </c>
      <c r="H1560" s="1" t="s">
        <v>5</v>
      </c>
      <c r="I1560" s="17">
        <v>43009</v>
      </c>
    </row>
    <row r="1561" spans="1:9">
      <c r="A1561" s="16" t="s">
        <v>15374</v>
      </c>
      <c r="B1561" s="1" t="s">
        <v>2631</v>
      </c>
      <c r="C1561" s="1">
        <v>121</v>
      </c>
      <c r="D1561" s="1" t="s">
        <v>7</v>
      </c>
      <c r="E1561" s="1" t="s">
        <v>6</v>
      </c>
      <c r="F1561" s="1" t="s">
        <v>5241</v>
      </c>
      <c r="G1561" s="1" t="s">
        <v>4803</v>
      </c>
      <c r="H1561" s="1" t="s">
        <v>5</v>
      </c>
      <c r="I1561" s="17">
        <v>42917</v>
      </c>
    </row>
    <row r="1562" spans="1:9">
      <c r="A1562" s="16" t="s">
        <v>15376</v>
      </c>
      <c r="B1562" s="1" t="s">
        <v>2631</v>
      </c>
      <c r="C1562" s="1">
        <v>121</v>
      </c>
      <c r="D1562" s="1" t="s">
        <v>7</v>
      </c>
      <c r="E1562" s="1" t="s">
        <v>6</v>
      </c>
      <c r="F1562" s="1" t="s">
        <v>5241</v>
      </c>
      <c r="G1562" s="1" t="s">
        <v>4803</v>
      </c>
      <c r="H1562" s="1" t="s">
        <v>5</v>
      </c>
      <c r="I1562" s="17">
        <v>43221</v>
      </c>
    </row>
    <row r="1563" spans="1:9">
      <c r="A1563" s="16" t="s">
        <v>15377</v>
      </c>
      <c r="B1563" s="1" t="s">
        <v>2631</v>
      </c>
      <c r="C1563" s="1">
        <v>121</v>
      </c>
      <c r="D1563" s="1" t="s">
        <v>7</v>
      </c>
      <c r="E1563" s="1" t="s">
        <v>6</v>
      </c>
      <c r="F1563" s="1" t="s">
        <v>5241</v>
      </c>
      <c r="G1563" s="1" t="s">
        <v>4803</v>
      </c>
      <c r="H1563" s="1" t="s">
        <v>5</v>
      </c>
      <c r="I1563" s="17">
        <v>42278</v>
      </c>
    </row>
    <row r="1564" spans="1:9">
      <c r="A1564" s="16" t="s">
        <v>15379</v>
      </c>
      <c r="B1564" s="1" t="s">
        <v>2631</v>
      </c>
      <c r="C1564" s="1">
        <v>121</v>
      </c>
      <c r="D1564" s="1" t="s">
        <v>7</v>
      </c>
      <c r="E1564" s="1" t="s">
        <v>6</v>
      </c>
      <c r="F1564" s="1" t="s">
        <v>5241</v>
      </c>
      <c r="G1564" s="1" t="s">
        <v>4803</v>
      </c>
      <c r="H1564" s="1" t="s">
        <v>5</v>
      </c>
      <c r="I1564" s="17">
        <v>42430</v>
      </c>
    </row>
    <row r="1565" spans="1:9">
      <c r="A1565" s="16" t="s">
        <v>15380</v>
      </c>
      <c r="B1565" s="1" t="s">
        <v>2631</v>
      </c>
      <c r="C1565" s="1">
        <v>121</v>
      </c>
      <c r="D1565" s="1" t="s">
        <v>7</v>
      </c>
      <c r="E1565" s="1" t="s">
        <v>6</v>
      </c>
      <c r="F1565" s="1" t="s">
        <v>5241</v>
      </c>
      <c r="G1565" s="1" t="s">
        <v>4803</v>
      </c>
      <c r="H1565" s="1" t="s">
        <v>5</v>
      </c>
      <c r="I1565" s="17">
        <v>42767</v>
      </c>
    </row>
    <row r="1566" spans="1:9">
      <c r="A1566" s="16" t="s">
        <v>15381</v>
      </c>
      <c r="B1566" s="1" t="s">
        <v>2631</v>
      </c>
      <c r="C1566" s="1">
        <v>121</v>
      </c>
      <c r="D1566" s="1" t="s">
        <v>7</v>
      </c>
      <c r="E1566" s="1" t="s">
        <v>6</v>
      </c>
      <c r="F1566" s="1" t="s">
        <v>5241</v>
      </c>
      <c r="G1566" s="1" t="s">
        <v>4803</v>
      </c>
      <c r="H1566" s="1" t="s">
        <v>5</v>
      </c>
      <c r="I1566" s="17">
        <v>42491</v>
      </c>
    </row>
    <row r="1567" spans="1:9">
      <c r="A1567" s="16" t="s">
        <v>15385</v>
      </c>
      <c r="B1567" s="1" t="s">
        <v>2631</v>
      </c>
      <c r="C1567" s="1">
        <v>121</v>
      </c>
      <c r="D1567" s="1" t="s">
        <v>7</v>
      </c>
      <c r="E1567" s="1" t="s">
        <v>6</v>
      </c>
      <c r="F1567" s="1" t="s">
        <v>5241</v>
      </c>
      <c r="G1567" s="1" t="s">
        <v>4803</v>
      </c>
      <c r="H1567" s="1" t="s">
        <v>5</v>
      </c>
      <c r="I1567" s="17">
        <v>43221</v>
      </c>
    </row>
    <row r="1568" spans="1:9">
      <c r="A1568" s="16" t="s">
        <v>15388</v>
      </c>
      <c r="B1568" s="1" t="s">
        <v>2631</v>
      </c>
      <c r="C1568" s="1">
        <v>121</v>
      </c>
      <c r="D1568" s="1" t="s">
        <v>7</v>
      </c>
      <c r="E1568" s="1" t="s">
        <v>6</v>
      </c>
      <c r="F1568" s="1" t="s">
        <v>5241</v>
      </c>
      <c r="G1568" s="1" t="s">
        <v>4803</v>
      </c>
      <c r="H1568" s="1" t="s">
        <v>5</v>
      </c>
      <c r="I1568" s="17">
        <v>43160</v>
      </c>
    </row>
    <row r="1569" spans="1:9">
      <c r="A1569" s="16" t="s">
        <v>15389</v>
      </c>
      <c r="B1569" s="1" t="s">
        <v>2631</v>
      </c>
      <c r="C1569" s="1">
        <v>121</v>
      </c>
      <c r="D1569" s="1" t="s">
        <v>7</v>
      </c>
      <c r="E1569" s="1" t="s">
        <v>6</v>
      </c>
      <c r="F1569" s="1" t="s">
        <v>5241</v>
      </c>
      <c r="G1569" s="1" t="s">
        <v>4803</v>
      </c>
      <c r="H1569" s="1" t="s">
        <v>5</v>
      </c>
      <c r="I1569" s="17">
        <v>42614</v>
      </c>
    </row>
    <row r="1570" spans="1:9">
      <c r="A1570" s="16" t="s">
        <v>15390</v>
      </c>
      <c r="B1570" s="1" t="s">
        <v>2631</v>
      </c>
      <c r="C1570" s="1">
        <v>121</v>
      </c>
      <c r="D1570" s="1" t="s">
        <v>7</v>
      </c>
      <c r="E1570" s="1" t="s">
        <v>6</v>
      </c>
      <c r="F1570" s="1" t="s">
        <v>5241</v>
      </c>
      <c r="G1570" s="1" t="s">
        <v>4803</v>
      </c>
      <c r="H1570" s="1" t="s">
        <v>5</v>
      </c>
      <c r="I1570" s="17">
        <v>42917</v>
      </c>
    </row>
    <row r="1571" spans="1:9">
      <c r="A1571" s="16" t="s">
        <v>15391</v>
      </c>
      <c r="B1571" s="1" t="s">
        <v>2631</v>
      </c>
      <c r="C1571" s="1">
        <v>121</v>
      </c>
      <c r="D1571" s="1" t="s">
        <v>7</v>
      </c>
      <c r="E1571" s="1" t="s">
        <v>6</v>
      </c>
      <c r="F1571" s="1" t="s">
        <v>5241</v>
      </c>
      <c r="G1571" s="1" t="s">
        <v>6307</v>
      </c>
      <c r="H1571" s="1" t="s">
        <v>44</v>
      </c>
      <c r="I1571" s="17">
        <v>42583</v>
      </c>
    </row>
    <row r="1572" spans="1:9">
      <c r="A1572" s="16" t="s">
        <v>15392</v>
      </c>
      <c r="B1572" s="1" t="s">
        <v>2631</v>
      </c>
      <c r="C1572" s="1">
        <v>121</v>
      </c>
      <c r="D1572" s="1" t="s">
        <v>7</v>
      </c>
      <c r="E1572" s="1" t="s">
        <v>6</v>
      </c>
      <c r="F1572" s="1" t="s">
        <v>5241</v>
      </c>
      <c r="G1572" s="1" t="s">
        <v>6307</v>
      </c>
      <c r="H1572" s="1" t="s">
        <v>44</v>
      </c>
      <c r="I1572" s="17">
        <v>43040</v>
      </c>
    </row>
    <row r="1573" spans="1:9">
      <c r="A1573" s="16" t="s">
        <v>15394</v>
      </c>
      <c r="B1573" s="1" t="s">
        <v>2631</v>
      </c>
      <c r="C1573" s="1">
        <v>121</v>
      </c>
      <c r="D1573" s="1" t="s">
        <v>7</v>
      </c>
      <c r="E1573" s="1" t="s">
        <v>6</v>
      </c>
      <c r="F1573" s="1" t="s">
        <v>5241</v>
      </c>
      <c r="G1573" s="1" t="s">
        <v>4803</v>
      </c>
      <c r="H1573" s="1" t="s">
        <v>5</v>
      </c>
      <c r="I1573" s="17">
        <v>42826</v>
      </c>
    </row>
    <row r="1574" spans="1:9">
      <c r="A1574" s="16" t="s">
        <v>15398</v>
      </c>
      <c r="B1574" s="1" t="s">
        <v>2631</v>
      </c>
      <c r="C1574" s="1">
        <v>121</v>
      </c>
      <c r="D1574" s="1" t="s">
        <v>7</v>
      </c>
      <c r="E1574" s="1" t="s">
        <v>6</v>
      </c>
      <c r="F1574" s="1" t="s">
        <v>5241</v>
      </c>
      <c r="G1574" s="1" t="s">
        <v>4803</v>
      </c>
      <c r="H1574" s="1" t="s">
        <v>5</v>
      </c>
      <c r="I1574" s="17">
        <v>42856</v>
      </c>
    </row>
    <row r="1575" spans="1:9">
      <c r="A1575" s="16" t="s">
        <v>15402</v>
      </c>
      <c r="B1575" s="1" t="s">
        <v>2631</v>
      </c>
      <c r="C1575" s="1">
        <v>833</v>
      </c>
      <c r="D1575" s="1" t="s">
        <v>7</v>
      </c>
      <c r="E1575" s="1" t="s">
        <v>6</v>
      </c>
      <c r="F1575" s="1" t="s">
        <v>5241</v>
      </c>
      <c r="G1575" s="1" t="s">
        <v>4803</v>
      </c>
      <c r="H1575" s="1" t="s">
        <v>5</v>
      </c>
      <c r="I1575" s="17">
        <v>42522</v>
      </c>
    </row>
    <row r="1576" spans="1:9">
      <c r="A1576" s="16" t="s">
        <v>15404</v>
      </c>
      <c r="B1576" s="1" t="s">
        <v>2631</v>
      </c>
      <c r="C1576" s="1">
        <v>121</v>
      </c>
      <c r="D1576" s="1" t="s">
        <v>7</v>
      </c>
      <c r="E1576" s="1" t="s">
        <v>6</v>
      </c>
      <c r="F1576" s="1" t="s">
        <v>5241</v>
      </c>
      <c r="G1576" s="1" t="s">
        <v>4803</v>
      </c>
      <c r="H1576" s="1" t="s">
        <v>5</v>
      </c>
      <c r="I1576" s="17">
        <v>42979</v>
      </c>
    </row>
    <row r="1577" spans="1:9">
      <c r="A1577" s="16" t="s">
        <v>15407</v>
      </c>
      <c r="B1577" s="1" t="s">
        <v>2631</v>
      </c>
      <c r="C1577" s="1">
        <v>121</v>
      </c>
      <c r="D1577" s="1" t="s">
        <v>7</v>
      </c>
      <c r="E1577" s="1" t="s">
        <v>6</v>
      </c>
      <c r="F1577" s="1" t="s">
        <v>5241</v>
      </c>
      <c r="G1577" s="1" t="s">
        <v>6307</v>
      </c>
      <c r="H1577" s="1" t="s">
        <v>44</v>
      </c>
      <c r="I1577" s="17">
        <v>43101</v>
      </c>
    </row>
    <row r="1578" spans="1:9">
      <c r="A1578" s="16" t="s">
        <v>15408</v>
      </c>
      <c r="B1578" s="1" t="s">
        <v>2631</v>
      </c>
      <c r="C1578" s="1">
        <v>121</v>
      </c>
      <c r="D1578" s="1" t="s">
        <v>7</v>
      </c>
      <c r="E1578" s="1" t="s">
        <v>6</v>
      </c>
      <c r="F1578" s="1" t="s">
        <v>5241</v>
      </c>
      <c r="G1578" s="1" t="s">
        <v>4803</v>
      </c>
      <c r="H1578" s="1" t="s">
        <v>5</v>
      </c>
      <c r="I1578" s="17">
        <v>43009</v>
      </c>
    </row>
    <row r="1579" spans="1:9">
      <c r="A1579" s="16" t="s">
        <v>15409</v>
      </c>
      <c r="B1579" s="1" t="s">
        <v>2631</v>
      </c>
      <c r="C1579" s="1">
        <v>121</v>
      </c>
      <c r="D1579" s="1" t="s">
        <v>7</v>
      </c>
      <c r="E1579" s="1" t="s">
        <v>6</v>
      </c>
      <c r="F1579" s="1" t="s">
        <v>5241</v>
      </c>
      <c r="G1579" s="1" t="s">
        <v>4803</v>
      </c>
      <c r="H1579" s="1" t="s">
        <v>5</v>
      </c>
      <c r="I1579" s="17">
        <v>42705</v>
      </c>
    </row>
    <row r="1580" spans="1:9">
      <c r="A1580" s="16" t="s">
        <v>15413</v>
      </c>
      <c r="B1580" s="1" t="s">
        <v>2631</v>
      </c>
      <c r="C1580" s="1">
        <v>121</v>
      </c>
      <c r="D1580" s="1" t="s">
        <v>7</v>
      </c>
      <c r="E1580" s="1" t="s">
        <v>6</v>
      </c>
      <c r="F1580" s="1" t="s">
        <v>5241</v>
      </c>
      <c r="G1580" s="1" t="s">
        <v>4803</v>
      </c>
      <c r="H1580" s="1" t="s">
        <v>5</v>
      </c>
      <c r="I1580" s="17">
        <v>42917</v>
      </c>
    </row>
    <row r="1581" spans="1:9">
      <c r="A1581" s="16" t="s">
        <v>15415</v>
      </c>
      <c r="B1581" s="1" t="s">
        <v>2631</v>
      </c>
      <c r="C1581" s="1">
        <v>121</v>
      </c>
      <c r="D1581" s="1" t="s">
        <v>7</v>
      </c>
      <c r="E1581" s="1" t="s">
        <v>6</v>
      </c>
      <c r="F1581" s="1" t="s">
        <v>5241</v>
      </c>
      <c r="G1581" s="1" t="s">
        <v>4803</v>
      </c>
      <c r="H1581" s="1" t="s">
        <v>5</v>
      </c>
      <c r="I1581" s="17">
        <v>42767</v>
      </c>
    </row>
    <row r="1582" spans="1:9">
      <c r="A1582" s="16" t="s">
        <v>15418</v>
      </c>
      <c r="B1582" s="1" t="s">
        <v>2631</v>
      </c>
      <c r="C1582" s="1">
        <v>121</v>
      </c>
      <c r="D1582" s="1" t="s">
        <v>7</v>
      </c>
      <c r="E1582" s="1" t="s">
        <v>6</v>
      </c>
      <c r="F1582" s="1" t="s">
        <v>5241</v>
      </c>
      <c r="G1582" s="1" t="s">
        <v>6307</v>
      </c>
      <c r="H1582" s="1" t="s">
        <v>44</v>
      </c>
      <c r="I1582" s="17">
        <v>43101</v>
      </c>
    </row>
    <row r="1583" spans="1:9">
      <c r="A1583" s="16" t="s">
        <v>15419</v>
      </c>
      <c r="B1583" s="1" t="s">
        <v>2631</v>
      </c>
      <c r="C1583" s="1">
        <v>121</v>
      </c>
      <c r="D1583" s="1" t="s">
        <v>7</v>
      </c>
      <c r="E1583" s="1" t="s">
        <v>6</v>
      </c>
      <c r="F1583" s="1" t="s">
        <v>5241</v>
      </c>
      <c r="G1583" s="1" t="s">
        <v>6307</v>
      </c>
      <c r="H1583" s="1" t="s">
        <v>44</v>
      </c>
      <c r="I1583" s="17">
        <v>42430</v>
      </c>
    </row>
    <row r="1584" spans="1:9">
      <c r="A1584" s="16" t="s">
        <v>15421</v>
      </c>
      <c r="B1584" s="1" t="s">
        <v>2631</v>
      </c>
      <c r="C1584" s="1">
        <v>121</v>
      </c>
      <c r="D1584" s="1" t="s">
        <v>7</v>
      </c>
      <c r="E1584" s="1" t="s">
        <v>6</v>
      </c>
      <c r="F1584" s="1" t="s">
        <v>5241</v>
      </c>
      <c r="G1584" s="1" t="s">
        <v>4803</v>
      </c>
      <c r="H1584" s="1" t="s">
        <v>5</v>
      </c>
      <c r="I1584" s="17">
        <v>42917</v>
      </c>
    </row>
    <row r="1585" spans="1:9">
      <c r="A1585" s="16" t="s">
        <v>15422</v>
      </c>
      <c r="B1585" s="1" t="s">
        <v>2631</v>
      </c>
      <c r="C1585" s="1">
        <v>121</v>
      </c>
      <c r="D1585" s="1" t="s">
        <v>7</v>
      </c>
      <c r="E1585" s="1" t="s">
        <v>6</v>
      </c>
      <c r="F1585" s="1" t="s">
        <v>5241</v>
      </c>
      <c r="G1585" s="1" t="s">
        <v>4803</v>
      </c>
      <c r="H1585" s="1" t="s">
        <v>5</v>
      </c>
      <c r="I1585" s="17">
        <v>42736</v>
      </c>
    </row>
    <row r="1586" spans="1:9">
      <c r="A1586" s="16" t="s">
        <v>15424</v>
      </c>
      <c r="B1586" s="1" t="s">
        <v>2631</v>
      </c>
      <c r="C1586" s="1">
        <v>121</v>
      </c>
      <c r="D1586" s="1" t="s">
        <v>7</v>
      </c>
      <c r="E1586" s="1" t="s">
        <v>6</v>
      </c>
      <c r="F1586" s="1" t="s">
        <v>5241</v>
      </c>
      <c r="G1586" s="1" t="s">
        <v>4803</v>
      </c>
      <c r="H1586" s="1" t="s">
        <v>5</v>
      </c>
      <c r="I1586" s="17">
        <v>42278</v>
      </c>
    </row>
    <row r="1587" spans="1:9">
      <c r="A1587" s="16" t="s">
        <v>15426</v>
      </c>
      <c r="B1587" s="1" t="s">
        <v>2631</v>
      </c>
      <c r="C1587" s="1">
        <v>121</v>
      </c>
      <c r="D1587" s="1" t="s">
        <v>7</v>
      </c>
      <c r="E1587" s="1" t="s">
        <v>6</v>
      </c>
      <c r="F1587" s="1" t="s">
        <v>5241</v>
      </c>
      <c r="G1587" s="1" t="s">
        <v>4803</v>
      </c>
      <c r="H1587" s="1" t="s">
        <v>5</v>
      </c>
      <c r="I1587" s="17">
        <v>42917</v>
      </c>
    </row>
    <row r="1588" spans="1:9">
      <c r="A1588" s="16" t="s">
        <v>15427</v>
      </c>
      <c r="B1588" s="1" t="s">
        <v>2631</v>
      </c>
      <c r="C1588" s="1">
        <v>121</v>
      </c>
      <c r="D1588" s="1" t="s">
        <v>7</v>
      </c>
      <c r="E1588" s="1" t="s">
        <v>6</v>
      </c>
      <c r="F1588" s="1" t="s">
        <v>5241</v>
      </c>
      <c r="G1588" s="1" t="s">
        <v>4803</v>
      </c>
      <c r="H1588" s="1" t="s">
        <v>5</v>
      </c>
      <c r="I1588" s="17">
        <v>42430</v>
      </c>
    </row>
    <row r="1589" spans="1:9">
      <c r="A1589" s="16" t="s">
        <v>15428</v>
      </c>
      <c r="B1589" s="1" t="s">
        <v>2631</v>
      </c>
      <c r="C1589" s="1">
        <v>121</v>
      </c>
      <c r="D1589" s="1" t="s">
        <v>7</v>
      </c>
      <c r="E1589" s="1" t="s">
        <v>6</v>
      </c>
      <c r="F1589" s="1" t="s">
        <v>5241</v>
      </c>
      <c r="G1589" s="1" t="s">
        <v>4803</v>
      </c>
      <c r="H1589" s="1" t="s">
        <v>5</v>
      </c>
      <c r="I1589" s="17">
        <v>42248</v>
      </c>
    </row>
    <row r="1590" spans="1:9">
      <c r="A1590" s="16" t="s">
        <v>15430</v>
      </c>
      <c r="B1590" s="1" t="s">
        <v>2631</v>
      </c>
      <c r="C1590" s="1">
        <v>121</v>
      </c>
      <c r="D1590" s="1" t="s">
        <v>7</v>
      </c>
      <c r="E1590" s="1" t="s">
        <v>6</v>
      </c>
      <c r="F1590" s="1" t="s">
        <v>5241</v>
      </c>
      <c r="G1590" s="1" t="s">
        <v>6307</v>
      </c>
      <c r="H1590" s="1" t="s">
        <v>44</v>
      </c>
      <c r="I1590" s="17">
        <v>43070</v>
      </c>
    </row>
    <row r="1591" spans="1:9">
      <c r="A1591" s="16" t="s">
        <v>15432</v>
      </c>
      <c r="B1591" s="1" t="s">
        <v>2631</v>
      </c>
      <c r="C1591" s="1">
        <v>121</v>
      </c>
      <c r="D1591" s="1" t="s">
        <v>7</v>
      </c>
      <c r="E1591" s="1" t="s">
        <v>6</v>
      </c>
      <c r="F1591" s="1" t="s">
        <v>5241</v>
      </c>
      <c r="G1591" s="1" t="s">
        <v>4803</v>
      </c>
      <c r="H1591" s="1" t="s">
        <v>5</v>
      </c>
      <c r="I1591" s="17">
        <v>43252</v>
      </c>
    </row>
    <row r="1592" spans="1:9">
      <c r="A1592" s="16" t="s">
        <v>15433</v>
      </c>
      <c r="B1592" s="1" t="s">
        <v>2631</v>
      </c>
      <c r="C1592" s="1">
        <v>121</v>
      </c>
      <c r="D1592" s="1" t="s">
        <v>7</v>
      </c>
      <c r="E1592" s="1" t="s">
        <v>6</v>
      </c>
      <c r="F1592" s="1" t="s">
        <v>5241</v>
      </c>
      <c r="G1592" s="1" t="s">
        <v>6307</v>
      </c>
      <c r="H1592" s="1" t="s">
        <v>44</v>
      </c>
      <c r="I1592" s="17">
        <v>43252</v>
      </c>
    </row>
    <row r="1593" spans="1:9">
      <c r="A1593" s="16" t="s">
        <v>15434</v>
      </c>
      <c r="B1593" s="1" t="s">
        <v>2631</v>
      </c>
      <c r="C1593" s="1">
        <v>121</v>
      </c>
      <c r="D1593" s="1" t="s">
        <v>7</v>
      </c>
      <c r="E1593" s="1" t="s">
        <v>6</v>
      </c>
      <c r="F1593" s="1" t="s">
        <v>5241</v>
      </c>
      <c r="G1593" s="1" t="s">
        <v>4803</v>
      </c>
      <c r="H1593" s="1" t="s">
        <v>5</v>
      </c>
      <c r="I1593" s="17">
        <v>42614</v>
      </c>
    </row>
    <row r="1594" spans="1:9">
      <c r="A1594" s="16" t="s">
        <v>15440</v>
      </c>
      <c r="B1594" s="1" t="s">
        <v>2631</v>
      </c>
      <c r="C1594" s="1">
        <v>121</v>
      </c>
      <c r="D1594" s="1" t="s">
        <v>7</v>
      </c>
      <c r="E1594" s="1" t="s">
        <v>6</v>
      </c>
      <c r="F1594" s="1" t="s">
        <v>5241</v>
      </c>
      <c r="G1594" s="1" t="s">
        <v>4803</v>
      </c>
      <c r="H1594" s="1" t="s">
        <v>5</v>
      </c>
      <c r="I1594" s="17">
        <v>43132</v>
      </c>
    </row>
    <row r="1595" spans="1:9">
      <c r="A1595" s="16" t="s">
        <v>15441</v>
      </c>
      <c r="B1595" s="1" t="s">
        <v>2631</v>
      </c>
      <c r="C1595" s="1">
        <v>121</v>
      </c>
      <c r="D1595" s="1" t="s">
        <v>7</v>
      </c>
      <c r="E1595" s="1" t="s">
        <v>6</v>
      </c>
      <c r="F1595" s="1" t="s">
        <v>5241</v>
      </c>
      <c r="G1595" s="1" t="s">
        <v>4803</v>
      </c>
      <c r="H1595" s="1" t="s">
        <v>5</v>
      </c>
      <c r="I1595" s="17">
        <v>42522</v>
      </c>
    </row>
    <row r="1596" spans="1:9">
      <c r="A1596" s="16" t="s">
        <v>15442</v>
      </c>
      <c r="B1596" s="1" t="s">
        <v>2631</v>
      </c>
      <c r="C1596" s="1">
        <v>121</v>
      </c>
      <c r="D1596" s="1" t="s">
        <v>7</v>
      </c>
      <c r="E1596" s="1" t="s">
        <v>6</v>
      </c>
      <c r="F1596" s="1" t="s">
        <v>5241</v>
      </c>
      <c r="G1596" s="1" t="s">
        <v>4803</v>
      </c>
      <c r="H1596" s="1" t="s">
        <v>5</v>
      </c>
      <c r="I1596" s="17">
        <v>43252</v>
      </c>
    </row>
    <row r="1597" spans="1:9">
      <c r="A1597" s="16" t="s">
        <v>15443</v>
      </c>
      <c r="B1597" s="1" t="s">
        <v>2631</v>
      </c>
      <c r="C1597" s="1">
        <v>121</v>
      </c>
      <c r="D1597" s="1" t="s">
        <v>7</v>
      </c>
      <c r="E1597" s="1" t="s">
        <v>6</v>
      </c>
      <c r="F1597" s="1" t="s">
        <v>5241</v>
      </c>
      <c r="G1597" s="1" t="s">
        <v>6307</v>
      </c>
      <c r="H1597" s="1" t="s">
        <v>44</v>
      </c>
      <c r="I1597" s="17">
        <v>43101</v>
      </c>
    </row>
    <row r="1598" spans="1:9">
      <c r="A1598" s="16" t="s">
        <v>15444</v>
      </c>
      <c r="B1598" s="1" t="s">
        <v>2631</v>
      </c>
      <c r="C1598" s="1">
        <v>121</v>
      </c>
      <c r="D1598" s="1" t="s">
        <v>7</v>
      </c>
      <c r="E1598" s="1" t="s">
        <v>6</v>
      </c>
      <c r="F1598" s="1" t="s">
        <v>5241</v>
      </c>
      <c r="G1598" s="1" t="s">
        <v>4803</v>
      </c>
      <c r="H1598" s="1" t="s">
        <v>5</v>
      </c>
      <c r="I1598" s="17">
        <v>42522</v>
      </c>
    </row>
    <row r="1599" spans="1:9">
      <c r="A1599" s="16" t="s">
        <v>15446</v>
      </c>
      <c r="B1599" s="1" t="s">
        <v>2631</v>
      </c>
      <c r="C1599" s="1">
        <v>121</v>
      </c>
      <c r="D1599" s="1" t="s">
        <v>7</v>
      </c>
      <c r="E1599" s="1" t="s">
        <v>6</v>
      </c>
      <c r="F1599" s="1" t="s">
        <v>5241</v>
      </c>
      <c r="G1599" s="1" t="s">
        <v>4803</v>
      </c>
      <c r="H1599" s="1" t="s">
        <v>5</v>
      </c>
      <c r="I1599" s="17">
        <v>42948</v>
      </c>
    </row>
    <row r="1600" spans="1:9">
      <c r="A1600" s="16" t="s">
        <v>15448</v>
      </c>
      <c r="B1600" s="1" t="s">
        <v>2631</v>
      </c>
      <c r="C1600" s="1">
        <v>121</v>
      </c>
      <c r="D1600" s="1" t="s">
        <v>7</v>
      </c>
      <c r="E1600" s="1" t="s">
        <v>6</v>
      </c>
      <c r="F1600" s="1" t="s">
        <v>5241</v>
      </c>
      <c r="G1600" s="1" t="s">
        <v>4803</v>
      </c>
      <c r="H1600" s="1" t="s">
        <v>5</v>
      </c>
      <c r="I1600" s="17">
        <v>43252</v>
      </c>
    </row>
    <row r="1601" spans="1:9">
      <c r="A1601" s="16" t="s">
        <v>15451</v>
      </c>
      <c r="B1601" s="1" t="s">
        <v>2631</v>
      </c>
      <c r="C1601" s="1">
        <v>121</v>
      </c>
      <c r="D1601" s="1" t="s">
        <v>7</v>
      </c>
      <c r="E1601" s="1" t="s">
        <v>6</v>
      </c>
      <c r="F1601" s="1" t="s">
        <v>5241</v>
      </c>
      <c r="G1601" s="1" t="s">
        <v>6307</v>
      </c>
      <c r="H1601" s="1" t="s">
        <v>44</v>
      </c>
      <c r="I1601" s="17">
        <v>42522</v>
      </c>
    </row>
    <row r="1602" spans="1:9">
      <c r="A1602" s="16" t="s">
        <v>15453</v>
      </c>
      <c r="B1602" s="1" t="s">
        <v>2631</v>
      </c>
      <c r="C1602" s="1">
        <v>121</v>
      </c>
      <c r="D1602" s="1" t="s">
        <v>7</v>
      </c>
      <c r="E1602" s="1" t="s">
        <v>6</v>
      </c>
      <c r="F1602" s="1" t="s">
        <v>5241</v>
      </c>
      <c r="G1602" s="1" t="s">
        <v>6307</v>
      </c>
      <c r="H1602" s="1" t="s">
        <v>44</v>
      </c>
      <c r="I1602" s="17">
        <v>42430</v>
      </c>
    </row>
    <row r="1603" spans="1:9">
      <c r="A1603" s="16" t="s">
        <v>15457</v>
      </c>
      <c r="B1603" s="1" t="s">
        <v>2631</v>
      </c>
      <c r="C1603" s="1">
        <v>121</v>
      </c>
      <c r="D1603" s="1" t="s">
        <v>7</v>
      </c>
      <c r="E1603" s="1" t="s">
        <v>6</v>
      </c>
      <c r="F1603" s="1" t="s">
        <v>5241</v>
      </c>
      <c r="G1603" s="1" t="s">
        <v>6307</v>
      </c>
      <c r="H1603" s="1" t="s">
        <v>44</v>
      </c>
      <c r="I1603" s="17">
        <v>43070</v>
      </c>
    </row>
    <row r="1604" spans="1:9">
      <c r="A1604" s="16" t="s">
        <v>15458</v>
      </c>
      <c r="B1604" s="1" t="s">
        <v>2631</v>
      </c>
      <c r="C1604" s="1">
        <v>121</v>
      </c>
      <c r="D1604" s="1" t="s">
        <v>7</v>
      </c>
      <c r="E1604" s="1" t="s">
        <v>6</v>
      </c>
      <c r="F1604" s="1" t="s">
        <v>5241</v>
      </c>
      <c r="G1604" s="1" t="s">
        <v>4803</v>
      </c>
      <c r="H1604" s="1" t="s">
        <v>5</v>
      </c>
      <c r="I1604" s="17">
        <v>42917</v>
      </c>
    </row>
    <row r="1605" spans="1:9">
      <c r="A1605" s="16" t="s">
        <v>15460</v>
      </c>
      <c r="B1605" s="1" t="s">
        <v>2631</v>
      </c>
      <c r="C1605" s="1">
        <v>121</v>
      </c>
      <c r="D1605" s="1" t="s">
        <v>7</v>
      </c>
      <c r="E1605" s="1" t="s">
        <v>6</v>
      </c>
      <c r="F1605" s="1" t="s">
        <v>5241</v>
      </c>
      <c r="G1605" s="1" t="s">
        <v>4803</v>
      </c>
      <c r="H1605" s="1" t="s">
        <v>5</v>
      </c>
      <c r="I1605" s="17">
        <v>43009</v>
      </c>
    </row>
    <row r="1606" spans="1:9">
      <c r="A1606" s="16" t="s">
        <v>15461</v>
      </c>
      <c r="B1606" s="1" t="s">
        <v>2631</v>
      </c>
      <c r="C1606" s="1">
        <v>121</v>
      </c>
      <c r="D1606" s="1" t="s">
        <v>7</v>
      </c>
      <c r="E1606" s="1" t="s">
        <v>6</v>
      </c>
      <c r="F1606" s="1" t="s">
        <v>5241</v>
      </c>
      <c r="G1606" s="1" t="s">
        <v>4803</v>
      </c>
      <c r="H1606" s="1" t="s">
        <v>5</v>
      </c>
      <c r="I1606" s="17">
        <v>42644</v>
      </c>
    </row>
    <row r="1607" spans="1:9">
      <c r="A1607" s="16" t="s">
        <v>15462</v>
      </c>
      <c r="B1607" s="1" t="s">
        <v>2631</v>
      </c>
      <c r="C1607" s="1">
        <v>121</v>
      </c>
      <c r="D1607" s="1" t="s">
        <v>7</v>
      </c>
      <c r="E1607" s="1" t="s">
        <v>6</v>
      </c>
      <c r="F1607" s="1" t="s">
        <v>5241</v>
      </c>
      <c r="G1607" s="1" t="s">
        <v>4803</v>
      </c>
      <c r="H1607" s="1" t="s">
        <v>5</v>
      </c>
      <c r="I1607" s="17">
        <v>42583</v>
      </c>
    </row>
    <row r="1608" spans="1:9">
      <c r="A1608" s="16" t="s">
        <v>15463</v>
      </c>
      <c r="B1608" s="1" t="s">
        <v>2631</v>
      </c>
      <c r="C1608" s="1">
        <v>121</v>
      </c>
      <c r="D1608" s="1" t="s">
        <v>7</v>
      </c>
      <c r="E1608" s="1" t="s">
        <v>6</v>
      </c>
      <c r="F1608" s="1" t="s">
        <v>5241</v>
      </c>
      <c r="G1608" s="1" t="s">
        <v>4803</v>
      </c>
      <c r="H1608" s="1" t="s">
        <v>5</v>
      </c>
      <c r="I1608" s="17">
        <v>43070</v>
      </c>
    </row>
    <row r="1609" spans="1:9">
      <c r="A1609" s="16" t="s">
        <v>15464</v>
      </c>
      <c r="B1609" s="1" t="s">
        <v>2631</v>
      </c>
      <c r="C1609" s="1">
        <v>121</v>
      </c>
      <c r="D1609" s="1" t="s">
        <v>7</v>
      </c>
      <c r="E1609" s="1" t="s">
        <v>6</v>
      </c>
      <c r="F1609" s="1" t="s">
        <v>5241</v>
      </c>
      <c r="G1609" s="1" t="s">
        <v>4803</v>
      </c>
      <c r="H1609" s="1" t="s">
        <v>5</v>
      </c>
      <c r="I1609" s="17">
        <v>42736</v>
      </c>
    </row>
    <row r="1610" spans="1:9">
      <c r="A1610" s="16" t="s">
        <v>15466</v>
      </c>
      <c r="B1610" s="1" t="s">
        <v>2631</v>
      </c>
      <c r="C1610" s="1">
        <v>121</v>
      </c>
      <c r="D1610" s="1" t="s">
        <v>7</v>
      </c>
      <c r="E1610" s="1" t="s">
        <v>6</v>
      </c>
      <c r="F1610" s="1" t="s">
        <v>5241</v>
      </c>
      <c r="G1610" s="1" t="s">
        <v>6307</v>
      </c>
      <c r="H1610" s="1" t="s">
        <v>44</v>
      </c>
      <c r="I1610" s="17">
        <v>42856</v>
      </c>
    </row>
    <row r="1611" spans="1:9">
      <c r="A1611" s="16" t="s">
        <v>15468</v>
      </c>
      <c r="B1611" s="1" t="s">
        <v>2631</v>
      </c>
      <c r="C1611" s="1">
        <v>121</v>
      </c>
      <c r="D1611" s="1" t="s">
        <v>7</v>
      </c>
      <c r="E1611" s="1" t="s">
        <v>6</v>
      </c>
      <c r="F1611" s="1" t="s">
        <v>5241</v>
      </c>
      <c r="G1611" s="1" t="s">
        <v>6307</v>
      </c>
      <c r="H1611" s="1" t="s">
        <v>44</v>
      </c>
      <c r="I1611" s="17">
        <v>43101</v>
      </c>
    </row>
    <row r="1612" spans="1:9">
      <c r="A1612" s="16" t="s">
        <v>15469</v>
      </c>
      <c r="B1612" s="1" t="s">
        <v>2631</v>
      </c>
      <c r="C1612" s="1">
        <v>121</v>
      </c>
      <c r="D1612" s="1" t="s">
        <v>7</v>
      </c>
      <c r="E1612" s="1" t="s">
        <v>6</v>
      </c>
      <c r="F1612" s="1" t="s">
        <v>5241</v>
      </c>
      <c r="G1612" s="1" t="s">
        <v>4803</v>
      </c>
      <c r="H1612" s="1" t="s">
        <v>5</v>
      </c>
      <c r="I1612" s="17">
        <v>43160</v>
      </c>
    </row>
    <row r="1613" spans="1:9">
      <c r="A1613" s="16" t="s">
        <v>15470</v>
      </c>
      <c r="B1613" s="1" t="s">
        <v>2631</v>
      </c>
      <c r="C1613" s="1">
        <v>121</v>
      </c>
      <c r="D1613" s="1" t="s">
        <v>7</v>
      </c>
      <c r="E1613" s="1" t="s">
        <v>6</v>
      </c>
      <c r="F1613" s="1" t="s">
        <v>5241</v>
      </c>
      <c r="G1613" s="1" t="s">
        <v>4803</v>
      </c>
      <c r="H1613" s="1" t="s">
        <v>5</v>
      </c>
      <c r="I1613" s="17">
        <v>43040</v>
      </c>
    </row>
    <row r="1614" spans="1:9">
      <c r="A1614" s="16" t="s">
        <v>15474</v>
      </c>
      <c r="B1614" s="1" t="s">
        <v>2631</v>
      </c>
      <c r="C1614" s="1">
        <v>121</v>
      </c>
      <c r="D1614" s="1" t="s">
        <v>7</v>
      </c>
      <c r="E1614" s="1" t="s">
        <v>6</v>
      </c>
      <c r="F1614" s="1" t="s">
        <v>5241</v>
      </c>
      <c r="G1614" s="1" t="s">
        <v>4803</v>
      </c>
      <c r="H1614" s="1" t="s">
        <v>5</v>
      </c>
      <c r="I1614" s="17">
        <v>43282</v>
      </c>
    </row>
    <row r="1615" spans="1:9">
      <c r="A1615" s="16" t="s">
        <v>15475</v>
      </c>
      <c r="B1615" s="1" t="s">
        <v>2631</v>
      </c>
      <c r="C1615" s="1">
        <v>121</v>
      </c>
      <c r="D1615" s="1" t="s">
        <v>7</v>
      </c>
      <c r="E1615" s="1" t="s">
        <v>6</v>
      </c>
      <c r="F1615" s="1" t="s">
        <v>5241</v>
      </c>
      <c r="G1615" s="1" t="s">
        <v>6307</v>
      </c>
      <c r="H1615" s="1" t="s">
        <v>44</v>
      </c>
      <c r="I1615" s="17">
        <v>42583</v>
      </c>
    </row>
    <row r="1616" spans="1:9">
      <c r="A1616" s="16" t="s">
        <v>15476</v>
      </c>
      <c r="B1616" s="1" t="s">
        <v>2631</v>
      </c>
      <c r="C1616" s="1">
        <v>121</v>
      </c>
      <c r="D1616" s="1" t="s">
        <v>7</v>
      </c>
      <c r="E1616" s="1" t="s">
        <v>6</v>
      </c>
      <c r="F1616" s="1" t="s">
        <v>5241</v>
      </c>
      <c r="G1616" s="1" t="s">
        <v>4803</v>
      </c>
      <c r="H1616" s="1" t="s">
        <v>5</v>
      </c>
      <c r="I1616" s="17">
        <v>43009</v>
      </c>
    </row>
    <row r="1617" spans="1:10">
      <c r="A1617" s="16" t="s">
        <v>15477</v>
      </c>
      <c r="B1617" s="1" t="s">
        <v>2631</v>
      </c>
      <c r="C1617" s="1">
        <v>121</v>
      </c>
      <c r="D1617" s="1" t="s">
        <v>7</v>
      </c>
      <c r="E1617" s="1" t="s">
        <v>6</v>
      </c>
      <c r="F1617" s="1" t="s">
        <v>5241</v>
      </c>
      <c r="G1617" s="1" t="s">
        <v>4803</v>
      </c>
      <c r="H1617" s="1" t="s">
        <v>5</v>
      </c>
      <c r="I1617" s="17">
        <v>42826</v>
      </c>
    </row>
    <row r="1618" spans="1:10">
      <c r="A1618" s="16" t="s">
        <v>15479</v>
      </c>
      <c r="B1618" s="1" t="s">
        <v>2631</v>
      </c>
      <c r="C1618" s="1">
        <v>121</v>
      </c>
      <c r="D1618" s="1" t="s">
        <v>7</v>
      </c>
      <c r="E1618" s="1" t="s">
        <v>6</v>
      </c>
      <c r="F1618" s="1" t="s">
        <v>5241</v>
      </c>
      <c r="G1618" s="1" t="s">
        <v>4803</v>
      </c>
      <c r="H1618" s="1" t="s">
        <v>5</v>
      </c>
      <c r="I1618" s="17">
        <v>43040</v>
      </c>
    </row>
    <row r="1619" spans="1:10">
      <c r="A1619" s="16" t="s">
        <v>15482</v>
      </c>
      <c r="B1619" s="1" t="s">
        <v>2631</v>
      </c>
      <c r="C1619" s="1">
        <v>121</v>
      </c>
      <c r="D1619" s="1" t="s">
        <v>7</v>
      </c>
      <c r="E1619" s="1" t="s">
        <v>6</v>
      </c>
      <c r="F1619" s="1" t="s">
        <v>5241</v>
      </c>
      <c r="G1619" s="1" t="s">
        <v>4803</v>
      </c>
      <c r="H1619" s="1" t="s">
        <v>5</v>
      </c>
      <c r="I1619" s="17">
        <v>42948</v>
      </c>
    </row>
    <row r="1620" spans="1:10">
      <c r="A1620" s="16" t="s">
        <v>15483</v>
      </c>
      <c r="B1620" s="1" t="s">
        <v>2631</v>
      </c>
      <c r="C1620" s="1">
        <v>121</v>
      </c>
      <c r="D1620" s="1" t="s">
        <v>7</v>
      </c>
      <c r="E1620" s="1" t="s">
        <v>6</v>
      </c>
      <c r="F1620" s="1" t="s">
        <v>5241</v>
      </c>
      <c r="G1620" s="1" t="s">
        <v>6307</v>
      </c>
      <c r="H1620" s="1" t="s">
        <v>44</v>
      </c>
      <c r="I1620" s="17">
        <v>42522</v>
      </c>
    </row>
    <row r="1621" spans="1:10">
      <c r="A1621" s="16" t="s">
        <v>15484</v>
      </c>
      <c r="B1621" s="1" t="s">
        <v>2631</v>
      </c>
      <c r="C1621" s="1">
        <v>121</v>
      </c>
      <c r="D1621" s="1" t="s">
        <v>7</v>
      </c>
      <c r="E1621" s="1" t="s">
        <v>6</v>
      </c>
      <c r="F1621" s="1" t="s">
        <v>5241</v>
      </c>
      <c r="G1621" s="1" t="s">
        <v>4803</v>
      </c>
      <c r="H1621" s="1" t="s">
        <v>5</v>
      </c>
      <c r="I1621" s="17">
        <v>43040</v>
      </c>
    </row>
    <row r="1622" spans="1:10">
      <c r="A1622" s="16" t="s">
        <v>15485</v>
      </c>
      <c r="B1622" s="1" t="s">
        <v>2631</v>
      </c>
      <c r="C1622" s="1">
        <v>121</v>
      </c>
      <c r="D1622" s="1" t="s">
        <v>7</v>
      </c>
      <c r="E1622" s="1" t="s">
        <v>6</v>
      </c>
      <c r="F1622" s="1" t="s">
        <v>5241</v>
      </c>
      <c r="G1622" s="1" t="s">
        <v>6102</v>
      </c>
      <c r="H1622" s="1" t="s">
        <v>318</v>
      </c>
      <c r="I1622" s="17">
        <v>43040</v>
      </c>
      <c r="J1622" s="17"/>
    </row>
    <row r="1623" spans="1:10">
      <c r="A1623" s="16" t="s">
        <v>15492</v>
      </c>
      <c r="B1623" s="1" t="s">
        <v>2631</v>
      </c>
      <c r="C1623" s="1">
        <v>121</v>
      </c>
      <c r="D1623" s="1" t="s">
        <v>7</v>
      </c>
      <c r="E1623" s="1" t="s">
        <v>6</v>
      </c>
      <c r="F1623" s="1" t="s">
        <v>5241</v>
      </c>
      <c r="G1623" s="1" t="s">
        <v>4803</v>
      </c>
      <c r="H1623" s="1" t="s">
        <v>5</v>
      </c>
      <c r="I1623" s="17">
        <v>42401</v>
      </c>
    </row>
    <row r="1624" spans="1:10">
      <c r="A1624" s="16" t="s">
        <v>15493</v>
      </c>
      <c r="B1624" s="1" t="s">
        <v>2631</v>
      </c>
      <c r="C1624" s="1">
        <v>121</v>
      </c>
      <c r="D1624" s="1" t="s">
        <v>7</v>
      </c>
      <c r="E1624" s="1" t="s">
        <v>6</v>
      </c>
      <c r="F1624" s="1" t="s">
        <v>5241</v>
      </c>
      <c r="G1624" s="1" t="s">
        <v>6307</v>
      </c>
      <c r="H1624" s="1" t="s">
        <v>44</v>
      </c>
      <c r="I1624" s="17">
        <v>42583</v>
      </c>
    </row>
    <row r="1625" spans="1:10">
      <c r="A1625" s="16" t="s">
        <v>15495</v>
      </c>
      <c r="B1625" s="1" t="s">
        <v>2631</v>
      </c>
      <c r="C1625" s="1">
        <v>121</v>
      </c>
      <c r="D1625" s="1" t="s">
        <v>7</v>
      </c>
      <c r="E1625" s="1" t="s">
        <v>6</v>
      </c>
      <c r="F1625" s="1" t="s">
        <v>5241</v>
      </c>
      <c r="G1625" s="1" t="s">
        <v>4803</v>
      </c>
      <c r="H1625" s="1" t="s">
        <v>5</v>
      </c>
      <c r="I1625" s="17">
        <v>43040</v>
      </c>
    </row>
    <row r="1626" spans="1:10">
      <c r="A1626" s="16" t="s">
        <v>15496</v>
      </c>
      <c r="B1626" s="1" t="s">
        <v>2631</v>
      </c>
      <c r="C1626" s="1">
        <v>121</v>
      </c>
      <c r="D1626" s="1" t="s">
        <v>7</v>
      </c>
      <c r="E1626" s="1" t="s">
        <v>6</v>
      </c>
      <c r="F1626" s="1" t="s">
        <v>5241</v>
      </c>
      <c r="G1626" s="1" t="s">
        <v>4803</v>
      </c>
      <c r="H1626" s="1" t="s">
        <v>5</v>
      </c>
      <c r="I1626" s="17">
        <v>42887</v>
      </c>
    </row>
    <row r="1627" spans="1:10">
      <c r="A1627" s="16" t="s">
        <v>15497</v>
      </c>
      <c r="B1627" s="1" t="s">
        <v>2631</v>
      </c>
      <c r="C1627" s="1">
        <v>121</v>
      </c>
      <c r="D1627" s="1" t="s">
        <v>7</v>
      </c>
      <c r="E1627" s="1" t="s">
        <v>6</v>
      </c>
      <c r="F1627" s="1" t="s">
        <v>5241</v>
      </c>
      <c r="G1627" s="1" t="s">
        <v>4803</v>
      </c>
      <c r="H1627" s="1" t="s">
        <v>5</v>
      </c>
      <c r="I1627" s="17">
        <v>42856</v>
      </c>
    </row>
    <row r="1628" spans="1:10">
      <c r="A1628" s="16" t="s">
        <v>15498</v>
      </c>
      <c r="B1628" s="1" t="s">
        <v>2631</v>
      </c>
      <c r="C1628" s="1">
        <v>121</v>
      </c>
      <c r="D1628" s="1" t="s">
        <v>7</v>
      </c>
      <c r="E1628" s="1" t="s">
        <v>6</v>
      </c>
      <c r="F1628" s="1" t="s">
        <v>5241</v>
      </c>
      <c r="G1628" s="1" t="s">
        <v>4803</v>
      </c>
      <c r="H1628" s="1" t="s">
        <v>5</v>
      </c>
      <c r="I1628" s="17">
        <v>42583</v>
      </c>
    </row>
    <row r="1629" spans="1:10">
      <c r="A1629" s="16" t="s">
        <v>15500</v>
      </c>
      <c r="B1629" s="1" t="s">
        <v>2631</v>
      </c>
      <c r="C1629" s="1">
        <v>121</v>
      </c>
      <c r="D1629" s="1" t="s">
        <v>7</v>
      </c>
      <c r="E1629" s="1" t="s">
        <v>6</v>
      </c>
      <c r="F1629" s="1" t="s">
        <v>5241</v>
      </c>
      <c r="G1629" s="1" t="s">
        <v>4803</v>
      </c>
      <c r="H1629" s="1" t="s">
        <v>5</v>
      </c>
      <c r="I1629" s="17">
        <v>42278</v>
      </c>
    </row>
    <row r="1630" spans="1:10">
      <c r="A1630" s="16" t="s">
        <v>15501</v>
      </c>
      <c r="B1630" s="1" t="s">
        <v>2631</v>
      </c>
      <c r="C1630" s="1">
        <v>121</v>
      </c>
      <c r="D1630" s="1" t="s">
        <v>7</v>
      </c>
      <c r="E1630" s="1" t="s">
        <v>6</v>
      </c>
      <c r="F1630" s="1" t="s">
        <v>5241</v>
      </c>
      <c r="G1630" s="1" t="s">
        <v>4803</v>
      </c>
      <c r="H1630" s="1" t="s">
        <v>5</v>
      </c>
      <c r="I1630" s="17">
        <v>42614</v>
      </c>
    </row>
    <row r="1631" spans="1:10">
      <c r="A1631" s="16" t="s">
        <v>15505</v>
      </c>
      <c r="B1631" s="1" t="s">
        <v>2631</v>
      </c>
      <c r="C1631" s="1">
        <v>121</v>
      </c>
      <c r="D1631" s="1" t="s">
        <v>7</v>
      </c>
      <c r="E1631" s="1" t="s">
        <v>6</v>
      </c>
      <c r="F1631" s="1" t="s">
        <v>5241</v>
      </c>
      <c r="G1631" s="1" t="s">
        <v>4803</v>
      </c>
      <c r="H1631" s="1" t="s">
        <v>5</v>
      </c>
      <c r="I1631" s="17">
        <v>42705</v>
      </c>
    </row>
    <row r="1632" spans="1:10">
      <c r="A1632" s="16" t="s">
        <v>15507</v>
      </c>
      <c r="B1632" s="1" t="s">
        <v>2631</v>
      </c>
      <c r="C1632" s="1">
        <v>121</v>
      </c>
      <c r="D1632" s="1" t="s">
        <v>7</v>
      </c>
      <c r="E1632" s="1" t="s">
        <v>6</v>
      </c>
      <c r="F1632" s="1" t="s">
        <v>5241</v>
      </c>
      <c r="G1632" s="1" t="s">
        <v>4803</v>
      </c>
      <c r="H1632" s="1" t="s">
        <v>5</v>
      </c>
      <c r="I1632" s="17">
        <v>42461</v>
      </c>
    </row>
    <row r="1633" spans="1:10">
      <c r="A1633" s="16" t="s">
        <v>15508</v>
      </c>
      <c r="B1633" s="1" t="s">
        <v>2631</v>
      </c>
      <c r="C1633" s="1">
        <v>121</v>
      </c>
      <c r="D1633" s="1" t="s">
        <v>7</v>
      </c>
      <c r="E1633" s="1" t="s">
        <v>6</v>
      </c>
      <c r="F1633" s="1" t="s">
        <v>5241</v>
      </c>
      <c r="G1633" s="1" t="s">
        <v>4803</v>
      </c>
      <c r="H1633" s="1" t="s">
        <v>5</v>
      </c>
      <c r="I1633" s="17">
        <v>42491</v>
      </c>
    </row>
    <row r="1634" spans="1:10">
      <c r="A1634" s="16" t="s">
        <v>15513</v>
      </c>
      <c r="B1634" s="1" t="s">
        <v>2631</v>
      </c>
      <c r="C1634" s="1">
        <v>121</v>
      </c>
      <c r="D1634" s="1" t="s">
        <v>7</v>
      </c>
      <c r="E1634" s="1" t="s">
        <v>6</v>
      </c>
      <c r="F1634" s="1" t="s">
        <v>5241</v>
      </c>
      <c r="G1634" s="1" t="s">
        <v>4803</v>
      </c>
      <c r="H1634" s="1" t="s">
        <v>5</v>
      </c>
      <c r="I1634" s="17">
        <v>43070</v>
      </c>
    </row>
    <row r="1635" spans="1:10">
      <c r="A1635" s="16" t="s">
        <v>15515</v>
      </c>
      <c r="B1635" s="1" t="s">
        <v>2631</v>
      </c>
      <c r="C1635" s="1">
        <v>121</v>
      </c>
      <c r="D1635" s="1" t="s">
        <v>7</v>
      </c>
      <c r="E1635" s="1" t="s">
        <v>6</v>
      </c>
      <c r="F1635" s="1" t="s">
        <v>5241</v>
      </c>
      <c r="G1635" s="1" t="s">
        <v>4803</v>
      </c>
      <c r="H1635" s="1" t="s">
        <v>5</v>
      </c>
      <c r="I1635" s="17">
        <v>43132</v>
      </c>
    </row>
    <row r="1636" spans="1:10">
      <c r="A1636" s="16" t="s">
        <v>15516</v>
      </c>
      <c r="B1636" s="1" t="s">
        <v>2631</v>
      </c>
      <c r="C1636" s="1">
        <v>833</v>
      </c>
      <c r="D1636" s="1" t="s">
        <v>7</v>
      </c>
      <c r="E1636" s="1" t="s">
        <v>6</v>
      </c>
      <c r="F1636" s="1" t="s">
        <v>5241</v>
      </c>
      <c r="G1636" s="1" t="s">
        <v>6307</v>
      </c>
      <c r="H1636" s="1" t="s">
        <v>44</v>
      </c>
      <c r="I1636" s="17">
        <v>42522</v>
      </c>
    </row>
    <row r="1637" spans="1:10">
      <c r="A1637" s="16" t="s">
        <v>15517</v>
      </c>
      <c r="B1637" s="1" t="s">
        <v>2631</v>
      </c>
      <c r="C1637" s="1">
        <v>121</v>
      </c>
      <c r="D1637" s="1" t="s">
        <v>7</v>
      </c>
      <c r="E1637" s="1" t="s">
        <v>6</v>
      </c>
      <c r="F1637" s="1" t="s">
        <v>5241</v>
      </c>
      <c r="G1637" s="1" t="s">
        <v>4803</v>
      </c>
      <c r="H1637" s="1" t="s">
        <v>5</v>
      </c>
      <c r="I1637" s="17">
        <v>42767</v>
      </c>
    </row>
    <row r="1638" spans="1:10">
      <c r="A1638" s="16" t="s">
        <v>15518</v>
      </c>
      <c r="B1638" s="1" t="s">
        <v>2631</v>
      </c>
      <c r="C1638" s="1">
        <v>121</v>
      </c>
      <c r="D1638" s="1" t="s">
        <v>7</v>
      </c>
      <c r="E1638" s="1" t="s">
        <v>6</v>
      </c>
      <c r="F1638" s="1" t="s">
        <v>5241</v>
      </c>
      <c r="G1638" s="1" t="s">
        <v>4803</v>
      </c>
      <c r="H1638" s="1" t="s">
        <v>5</v>
      </c>
      <c r="I1638" s="17">
        <v>42917</v>
      </c>
    </row>
    <row r="1639" spans="1:10">
      <c r="A1639" s="16" t="s">
        <v>15520</v>
      </c>
      <c r="B1639" s="1" t="s">
        <v>2631</v>
      </c>
      <c r="C1639" s="1">
        <v>121</v>
      </c>
      <c r="D1639" s="1" t="s">
        <v>7</v>
      </c>
      <c r="E1639" s="1" t="s">
        <v>6</v>
      </c>
      <c r="F1639" s="1" t="s">
        <v>5241</v>
      </c>
      <c r="G1639" s="1" t="s">
        <v>4803</v>
      </c>
      <c r="H1639" s="1" t="s">
        <v>5</v>
      </c>
      <c r="I1639" s="17">
        <v>42826</v>
      </c>
    </row>
    <row r="1640" spans="1:10">
      <c r="A1640" s="16" t="s">
        <v>15521</v>
      </c>
      <c r="B1640" s="1" t="s">
        <v>2631</v>
      </c>
      <c r="C1640" s="1">
        <v>121</v>
      </c>
      <c r="D1640" s="1" t="s">
        <v>7</v>
      </c>
      <c r="E1640" s="1" t="s">
        <v>6</v>
      </c>
      <c r="F1640" s="1" t="s">
        <v>5241</v>
      </c>
      <c r="G1640" s="1" t="s">
        <v>6307</v>
      </c>
      <c r="H1640" s="1" t="s">
        <v>44</v>
      </c>
      <c r="I1640" s="17">
        <v>43313</v>
      </c>
    </row>
    <row r="1641" spans="1:10">
      <c r="A1641" s="16" t="s">
        <v>15525</v>
      </c>
      <c r="B1641" s="1" t="s">
        <v>2631</v>
      </c>
      <c r="C1641" s="1">
        <v>121</v>
      </c>
      <c r="D1641" s="1" t="s">
        <v>7</v>
      </c>
      <c r="E1641" s="1" t="s">
        <v>6</v>
      </c>
      <c r="F1641" s="1" t="s">
        <v>5241</v>
      </c>
      <c r="G1641" s="1" t="s">
        <v>4803</v>
      </c>
      <c r="H1641" s="1" t="s">
        <v>5</v>
      </c>
      <c r="I1641" s="17">
        <v>43101</v>
      </c>
    </row>
    <row r="1642" spans="1:10">
      <c r="A1642" s="16" t="s">
        <v>15526</v>
      </c>
      <c r="B1642" s="1" t="s">
        <v>2631</v>
      </c>
      <c r="C1642" s="1">
        <v>121</v>
      </c>
      <c r="D1642" s="1" t="s">
        <v>7</v>
      </c>
      <c r="E1642" s="1" t="s">
        <v>6</v>
      </c>
      <c r="F1642" s="1" t="s">
        <v>5241</v>
      </c>
      <c r="G1642" s="1" t="s">
        <v>4803</v>
      </c>
      <c r="H1642" s="1" t="s">
        <v>5</v>
      </c>
      <c r="I1642" s="17">
        <v>42705</v>
      </c>
    </row>
    <row r="1643" spans="1:10" s="11" customFormat="1">
      <c r="A1643" s="16" t="s">
        <v>15527</v>
      </c>
      <c r="B1643" s="1" t="s">
        <v>2631</v>
      </c>
      <c r="C1643" s="1">
        <v>121</v>
      </c>
      <c r="D1643" s="1" t="s">
        <v>7</v>
      </c>
      <c r="E1643" s="1" t="s">
        <v>6</v>
      </c>
      <c r="F1643" s="1" t="s">
        <v>5241</v>
      </c>
      <c r="G1643" s="1" t="s">
        <v>4803</v>
      </c>
      <c r="H1643" s="1" t="s">
        <v>5</v>
      </c>
      <c r="I1643" s="17">
        <v>42917</v>
      </c>
      <c r="J1643"/>
    </row>
    <row r="1644" spans="1:10" s="11" customFormat="1">
      <c r="A1644" s="16" t="s">
        <v>15528</v>
      </c>
      <c r="B1644" s="1" t="s">
        <v>2631</v>
      </c>
      <c r="C1644" s="1">
        <v>121</v>
      </c>
      <c r="D1644" s="1" t="s">
        <v>7</v>
      </c>
      <c r="E1644" s="1" t="s">
        <v>6</v>
      </c>
      <c r="F1644" s="1" t="s">
        <v>5241</v>
      </c>
      <c r="G1644" s="1" t="s">
        <v>4803</v>
      </c>
      <c r="H1644" s="1" t="s">
        <v>5</v>
      </c>
      <c r="I1644" s="17">
        <v>42522</v>
      </c>
    </row>
    <row r="1645" spans="1:10">
      <c r="A1645" s="16" t="s">
        <v>15529</v>
      </c>
      <c r="B1645" s="1" t="s">
        <v>2631</v>
      </c>
      <c r="C1645" s="1">
        <v>121</v>
      </c>
      <c r="D1645" s="1" t="s">
        <v>7</v>
      </c>
      <c r="E1645" s="1" t="s">
        <v>6</v>
      </c>
      <c r="F1645" s="1" t="s">
        <v>5241</v>
      </c>
      <c r="G1645" s="1" t="s">
        <v>6307</v>
      </c>
      <c r="H1645" s="1" t="s">
        <v>44</v>
      </c>
      <c r="I1645" s="17">
        <v>42522</v>
      </c>
    </row>
    <row r="1646" spans="1:10">
      <c r="A1646" s="16" t="s">
        <v>15530</v>
      </c>
      <c r="B1646" s="1" t="s">
        <v>2631</v>
      </c>
      <c r="C1646" s="1">
        <v>121</v>
      </c>
      <c r="D1646" s="1" t="s">
        <v>7</v>
      </c>
      <c r="E1646" s="1" t="s">
        <v>6</v>
      </c>
      <c r="F1646" s="1" t="s">
        <v>5241</v>
      </c>
      <c r="G1646" s="1" t="s">
        <v>6307</v>
      </c>
      <c r="H1646" s="1" t="s">
        <v>44</v>
      </c>
      <c r="I1646" s="17">
        <v>43252</v>
      </c>
    </row>
    <row r="1647" spans="1:10">
      <c r="A1647" s="16" t="s">
        <v>15531</v>
      </c>
      <c r="B1647" s="1" t="s">
        <v>2631</v>
      </c>
      <c r="C1647" s="1">
        <v>121</v>
      </c>
      <c r="D1647" s="1" t="s">
        <v>7</v>
      </c>
      <c r="E1647" s="1" t="s">
        <v>6</v>
      </c>
      <c r="F1647" s="1" t="s">
        <v>5241</v>
      </c>
      <c r="G1647" s="1" t="s">
        <v>4803</v>
      </c>
      <c r="H1647" s="1" t="s">
        <v>5</v>
      </c>
      <c r="I1647" s="17">
        <v>42826</v>
      </c>
    </row>
    <row r="1648" spans="1:10">
      <c r="A1648" s="16" t="s">
        <v>15535</v>
      </c>
      <c r="B1648" s="1" t="s">
        <v>2631</v>
      </c>
      <c r="C1648" s="1">
        <v>121</v>
      </c>
      <c r="D1648" s="1" t="s">
        <v>7</v>
      </c>
      <c r="E1648" s="1" t="s">
        <v>6</v>
      </c>
      <c r="F1648" s="1" t="s">
        <v>5241</v>
      </c>
      <c r="G1648" s="1" t="s">
        <v>4803</v>
      </c>
      <c r="H1648" s="1" t="s">
        <v>5</v>
      </c>
      <c r="I1648" s="17">
        <v>42644</v>
      </c>
    </row>
    <row r="1649" spans="1:9">
      <c r="A1649" s="16" t="s">
        <v>15536</v>
      </c>
      <c r="B1649" s="1" t="s">
        <v>2631</v>
      </c>
      <c r="C1649" s="1">
        <v>121</v>
      </c>
      <c r="D1649" s="1" t="s">
        <v>7</v>
      </c>
      <c r="E1649" s="1" t="s">
        <v>6</v>
      </c>
      <c r="F1649" s="1" t="s">
        <v>5241</v>
      </c>
      <c r="G1649" s="1" t="s">
        <v>6307</v>
      </c>
      <c r="H1649" s="1" t="s">
        <v>44</v>
      </c>
      <c r="I1649" s="17">
        <v>43101</v>
      </c>
    </row>
    <row r="1650" spans="1:9">
      <c r="A1650" s="16" t="s">
        <v>15540</v>
      </c>
      <c r="B1650" s="1" t="s">
        <v>2631</v>
      </c>
      <c r="C1650" s="1">
        <v>121</v>
      </c>
      <c r="D1650" s="1" t="s">
        <v>7</v>
      </c>
      <c r="E1650" s="1" t="s">
        <v>6</v>
      </c>
      <c r="F1650" s="1" t="s">
        <v>5241</v>
      </c>
      <c r="G1650" s="1" t="s">
        <v>4803</v>
      </c>
      <c r="H1650" s="1" t="s">
        <v>5</v>
      </c>
      <c r="I1650" s="17">
        <v>42917</v>
      </c>
    </row>
    <row r="1651" spans="1:9">
      <c r="A1651" s="16" t="s">
        <v>15541</v>
      </c>
      <c r="B1651" s="1" t="s">
        <v>2631</v>
      </c>
      <c r="C1651" s="1">
        <v>121</v>
      </c>
      <c r="D1651" s="1" t="s">
        <v>7</v>
      </c>
      <c r="E1651" s="1" t="s">
        <v>6</v>
      </c>
      <c r="F1651" s="1" t="s">
        <v>5241</v>
      </c>
      <c r="G1651" s="1" t="s">
        <v>4803</v>
      </c>
      <c r="H1651" s="1" t="s">
        <v>5</v>
      </c>
      <c r="I1651" s="17">
        <v>41640</v>
      </c>
    </row>
    <row r="1652" spans="1:9">
      <c r="A1652" s="16" t="s">
        <v>15542</v>
      </c>
      <c r="B1652" s="1" t="s">
        <v>2631</v>
      </c>
      <c r="C1652" s="1">
        <v>121</v>
      </c>
      <c r="D1652" s="1" t="s">
        <v>7</v>
      </c>
      <c r="E1652" s="1" t="s">
        <v>6</v>
      </c>
      <c r="F1652" s="1" t="s">
        <v>5241</v>
      </c>
      <c r="G1652" s="1" t="s">
        <v>4803</v>
      </c>
      <c r="H1652" s="1" t="s">
        <v>5</v>
      </c>
      <c r="I1652" s="17">
        <v>42736</v>
      </c>
    </row>
    <row r="1653" spans="1:9">
      <c r="A1653" s="16" t="s">
        <v>15543</v>
      </c>
      <c r="B1653" s="1" t="s">
        <v>2631</v>
      </c>
      <c r="C1653" s="1">
        <v>121</v>
      </c>
      <c r="D1653" s="1" t="s">
        <v>7</v>
      </c>
      <c r="E1653" s="1" t="s">
        <v>6</v>
      </c>
      <c r="F1653" s="1" t="s">
        <v>5241</v>
      </c>
      <c r="G1653" s="1" t="s">
        <v>4803</v>
      </c>
      <c r="H1653" s="1" t="s">
        <v>5</v>
      </c>
      <c r="I1653" s="17">
        <v>42917</v>
      </c>
    </row>
    <row r="1654" spans="1:9">
      <c r="A1654" s="16" t="s">
        <v>15544</v>
      </c>
      <c r="B1654" s="1" t="s">
        <v>2631</v>
      </c>
      <c r="C1654" s="1">
        <v>121</v>
      </c>
      <c r="D1654" s="1" t="s">
        <v>7</v>
      </c>
      <c r="E1654" s="1" t="s">
        <v>6</v>
      </c>
      <c r="F1654" s="1" t="s">
        <v>5241</v>
      </c>
      <c r="G1654" s="1" t="s">
        <v>4803</v>
      </c>
      <c r="H1654" s="1" t="s">
        <v>5</v>
      </c>
      <c r="I1654" s="17">
        <v>42736</v>
      </c>
    </row>
    <row r="1655" spans="1:9">
      <c r="A1655" s="16" t="s">
        <v>15545</v>
      </c>
      <c r="B1655" s="1" t="s">
        <v>2631</v>
      </c>
      <c r="C1655" s="1">
        <v>121</v>
      </c>
      <c r="D1655" s="1" t="s">
        <v>7</v>
      </c>
      <c r="E1655" s="1" t="s">
        <v>6</v>
      </c>
      <c r="F1655" s="1" t="s">
        <v>5241</v>
      </c>
      <c r="G1655" s="1" t="s">
        <v>4803</v>
      </c>
      <c r="H1655" s="1" t="s">
        <v>5</v>
      </c>
      <c r="I1655" s="17">
        <v>43252</v>
      </c>
    </row>
    <row r="1656" spans="1:9">
      <c r="A1656" s="16" t="s">
        <v>15546</v>
      </c>
      <c r="B1656" s="1" t="s">
        <v>2631</v>
      </c>
      <c r="C1656" s="1">
        <v>121</v>
      </c>
      <c r="D1656" s="1" t="s">
        <v>7</v>
      </c>
      <c r="E1656" s="1" t="s">
        <v>6</v>
      </c>
      <c r="F1656" s="1" t="s">
        <v>5241</v>
      </c>
      <c r="G1656" s="1" t="s">
        <v>4803</v>
      </c>
      <c r="H1656" s="1" t="s">
        <v>5</v>
      </c>
      <c r="I1656" s="17">
        <v>43009</v>
      </c>
    </row>
    <row r="1657" spans="1:9">
      <c r="A1657" s="16" t="s">
        <v>15549</v>
      </c>
      <c r="B1657" s="1" t="s">
        <v>2631</v>
      </c>
      <c r="C1657" s="1">
        <v>121</v>
      </c>
      <c r="D1657" s="1" t="s">
        <v>7</v>
      </c>
      <c r="E1657" s="1" t="s">
        <v>6</v>
      </c>
      <c r="F1657" s="1" t="s">
        <v>5241</v>
      </c>
      <c r="G1657" s="1" t="s">
        <v>4803</v>
      </c>
      <c r="H1657" s="1" t="s">
        <v>5</v>
      </c>
      <c r="I1657" s="17">
        <v>43040</v>
      </c>
    </row>
    <row r="1658" spans="1:9">
      <c r="A1658" s="16" t="s">
        <v>15551</v>
      </c>
      <c r="B1658" s="1" t="s">
        <v>2631</v>
      </c>
      <c r="C1658" s="1">
        <v>121</v>
      </c>
      <c r="D1658" s="1" t="s">
        <v>7</v>
      </c>
      <c r="E1658" s="1" t="s">
        <v>6</v>
      </c>
      <c r="F1658" s="1" t="s">
        <v>5241</v>
      </c>
      <c r="G1658" s="1" t="s">
        <v>4803</v>
      </c>
      <c r="H1658" s="1" t="s">
        <v>5</v>
      </c>
      <c r="I1658" s="17">
        <v>43252</v>
      </c>
    </row>
    <row r="1659" spans="1:9">
      <c r="A1659" s="16" t="s">
        <v>15553</v>
      </c>
      <c r="B1659" s="1" t="s">
        <v>2631</v>
      </c>
      <c r="C1659" s="1">
        <v>121</v>
      </c>
      <c r="D1659" s="1" t="s">
        <v>7</v>
      </c>
      <c r="E1659" s="1" t="s">
        <v>6</v>
      </c>
      <c r="F1659" s="1" t="s">
        <v>5241</v>
      </c>
      <c r="G1659" s="1" t="s">
        <v>4803</v>
      </c>
      <c r="H1659" s="1" t="s">
        <v>5</v>
      </c>
      <c r="I1659" s="17">
        <v>42401</v>
      </c>
    </row>
    <row r="1660" spans="1:9">
      <c r="A1660" s="16" t="s">
        <v>15556</v>
      </c>
      <c r="B1660" s="1" t="s">
        <v>2631</v>
      </c>
      <c r="C1660" s="1">
        <v>121</v>
      </c>
      <c r="D1660" s="1" t="s">
        <v>7</v>
      </c>
      <c r="E1660" s="1" t="s">
        <v>6</v>
      </c>
      <c r="F1660" s="1" t="s">
        <v>5241</v>
      </c>
      <c r="G1660" s="1" t="s">
        <v>4803</v>
      </c>
      <c r="H1660" s="1" t="s">
        <v>5</v>
      </c>
      <c r="I1660" s="17">
        <v>43313</v>
      </c>
    </row>
    <row r="1661" spans="1:9">
      <c r="A1661" s="16" t="s">
        <v>15558</v>
      </c>
      <c r="B1661" s="1" t="s">
        <v>2631</v>
      </c>
      <c r="C1661" s="1">
        <v>121</v>
      </c>
      <c r="D1661" s="1" t="s">
        <v>7</v>
      </c>
      <c r="E1661" s="1" t="s">
        <v>6</v>
      </c>
      <c r="F1661" s="1" t="s">
        <v>5241</v>
      </c>
      <c r="G1661" s="1" t="s">
        <v>4803</v>
      </c>
      <c r="H1661" s="1" t="s">
        <v>5</v>
      </c>
      <c r="I1661" s="17">
        <v>42767</v>
      </c>
    </row>
    <row r="1662" spans="1:9">
      <c r="A1662" s="16" t="s">
        <v>15559</v>
      </c>
      <c r="B1662" s="1" t="s">
        <v>2631</v>
      </c>
      <c r="C1662" s="1">
        <v>121</v>
      </c>
      <c r="D1662" s="1" t="s">
        <v>7</v>
      </c>
      <c r="E1662" s="1" t="s">
        <v>6</v>
      </c>
      <c r="F1662" s="1" t="s">
        <v>5241</v>
      </c>
      <c r="G1662" s="1" t="s">
        <v>4803</v>
      </c>
      <c r="H1662" s="1" t="s">
        <v>5</v>
      </c>
      <c r="I1662" s="17">
        <v>42948</v>
      </c>
    </row>
    <row r="1663" spans="1:9">
      <c r="A1663" s="16" t="s">
        <v>15561</v>
      </c>
      <c r="B1663" s="1" t="s">
        <v>2631</v>
      </c>
      <c r="C1663" s="1">
        <v>121</v>
      </c>
      <c r="D1663" s="1" t="s">
        <v>7</v>
      </c>
      <c r="E1663" s="1" t="s">
        <v>6</v>
      </c>
      <c r="F1663" s="1" t="s">
        <v>5241</v>
      </c>
      <c r="G1663" s="1" t="s">
        <v>4803</v>
      </c>
      <c r="H1663" s="1" t="s">
        <v>5</v>
      </c>
      <c r="I1663" s="17">
        <v>42887</v>
      </c>
    </row>
    <row r="1664" spans="1:9">
      <c r="A1664" s="16" t="s">
        <v>15562</v>
      </c>
      <c r="B1664" s="1" t="s">
        <v>2631</v>
      </c>
      <c r="C1664" s="1">
        <v>121</v>
      </c>
      <c r="D1664" s="1" t="s">
        <v>7</v>
      </c>
      <c r="E1664" s="1" t="s">
        <v>6</v>
      </c>
      <c r="F1664" s="1" t="s">
        <v>5241</v>
      </c>
      <c r="G1664" s="1" t="s">
        <v>4803</v>
      </c>
      <c r="H1664" s="1" t="s">
        <v>5</v>
      </c>
      <c r="I1664" s="17">
        <v>42614</v>
      </c>
    </row>
    <row r="1665" spans="1:10">
      <c r="A1665" s="16" t="s">
        <v>15563</v>
      </c>
      <c r="B1665" s="1" t="s">
        <v>2631</v>
      </c>
      <c r="C1665" s="1">
        <v>121</v>
      </c>
      <c r="D1665" s="1" t="s">
        <v>7</v>
      </c>
      <c r="E1665" s="1" t="s">
        <v>6</v>
      </c>
      <c r="F1665" s="1" t="s">
        <v>5241</v>
      </c>
      <c r="G1665" s="1" t="s">
        <v>4803</v>
      </c>
      <c r="H1665" s="1" t="s">
        <v>5</v>
      </c>
      <c r="I1665" s="17">
        <v>42767</v>
      </c>
    </row>
    <row r="1666" spans="1:10">
      <c r="A1666" s="16" t="s">
        <v>15564</v>
      </c>
      <c r="B1666" s="1" t="s">
        <v>2631</v>
      </c>
      <c r="C1666" s="1">
        <v>121</v>
      </c>
      <c r="D1666" s="1" t="s">
        <v>7</v>
      </c>
      <c r="E1666" s="1" t="s">
        <v>6</v>
      </c>
      <c r="F1666" s="1" t="s">
        <v>5241</v>
      </c>
      <c r="G1666" s="1" t="s">
        <v>4803</v>
      </c>
      <c r="H1666" s="1" t="s">
        <v>5</v>
      </c>
      <c r="I1666" s="17">
        <v>42917</v>
      </c>
    </row>
    <row r="1667" spans="1:10">
      <c r="A1667" s="16" t="s">
        <v>15565</v>
      </c>
      <c r="B1667" s="1" t="s">
        <v>2631</v>
      </c>
      <c r="C1667" s="1">
        <v>121</v>
      </c>
      <c r="D1667" s="1" t="s">
        <v>7</v>
      </c>
      <c r="E1667" s="1" t="s">
        <v>6</v>
      </c>
      <c r="F1667" s="1" t="s">
        <v>5241</v>
      </c>
      <c r="G1667" s="1" t="s">
        <v>4803</v>
      </c>
      <c r="H1667" s="1" t="s">
        <v>5</v>
      </c>
      <c r="I1667" s="17">
        <v>43132</v>
      </c>
    </row>
    <row r="1668" spans="1:10">
      <c r="A1668" s="16" t="s">
        <v>15567</v>
      </c>
      <c r="B1668" s="1" t="s">
        <v>2631</v>
      </c>
      <c r="C1668" s="1">
        <v>121</v>
      </c>
      <c r="D1668" s="1" t="s">
        <v>7</v>
      </c>
      <c r="E1668" s="1" t="s">
        <v>6</v>
      </c>
      <c r="F1668" s="1" t="s">
        <v>5241</v>
      </c>
      <c r="G1668" s="1" t="s">
        <v>4803</v>
      </c>
      <c r="H1668" s="1" t="s">
        <v>5</v>
      </c>
      <c r="I1668" s="17">
        <v>43313</v>
      </c>
    </row>
    <row r="1669" spans="1:10">
      <c r="A1669" s="16" t="s">
        <v>15568</v>
      </c>
      <c r="B1669" s="1" t="s">
        <v>2631</v>
      </c>
      <c r="C1669" s="1">
        <v>121</v>
      </c>
      <c r="D1669" s="1" t="s">
        <v>7</v>
      </c>
      <c r="E1669" s="1" t="s">
        <v>6</v>
      </c>
      <c r="F1669" s="1" t="s">
        <v>5241</v>
      </c>
      <c r="G1669" s="1" t="s">
        <v>6307</v>
      </c>
      <c r="H1669" s="1" t="s">
        <v>44</v>
      </c>
      <c r="I1669" s="17">
        <v>43313</v>
      </c>
    </row>
    <row r="1670" spans="1:10">
      <c r="A1670" s="16" t="s">
        <v>15576</v>
      </c>
      <c r="B1670" s="1" t="s">
        <v>2631</v>
      </c>
      <c r="C1670" s="1">
        <v>121</v>
      </c>
      <c r="D1670" s="1" t="s">
        <v>7</v>
      </c>
      <c r="E1670" s="1" t="s">
        <v>6</v>
      </c>
      <c r="F1670" s="1" t="s">
        <v>5241</v>
      </c>
      <c r="G1670" s="1" t="s">
        <v>4803</v>
      </c>
      <c r="H1670" s="1" t="s">
        <v>5</v>
      </c>
      <c r="I1670" s="17">
        <v>42917</v>
      </c>
    </row>
    <row r="1671" spans="1:10">
      <c r="A1671" s="16" t="s">
        <v>15577</v>
      </c>
      <c r="B1671" s="1" t="s">
        <v>2631</v>
      </c>
      <c r="C1671" s="1">
        <v>121</v>
      </c>
      <c r="D1671" s="1" t="s">
        <v>7</v>
      </c>
      <c r="E1671" s="1" t="s">
        <v>6</v>
      </c>
      <c r="F1671" s="1" t="s">
        <v>5241</v>
      </c>
      <c r="G1671" s="1" t="s">
        <v>6307</v>
      </c>
      <c r="H1671" s="1" t="s">
        <v>44</v>
      </c>
      <c r="I1671" s="17">
        <v>43252</v>
      </c>
    </row>
    <row r="1672" spans="1:10">
      <c r="A1672" s="16" t="s">
        <v>15580</v>
      </c>
      <c r="B1672" s="1" t="s">
        <v>2631</v>
      </c>
      <c r="C1672" s="1">
        <v>121</v>
      </c>
      <c r="D1672" s="1" t="s">
        <v>7</v>
      </c>
      <c r="E1672" s="1" t="s">
        <v>6</v>
      </c>
      <c r="F1672" s="1" t="s">
        <v>5091</v>
      </c>
      <c r="G1672" s="1" t="s">
        <v>15581</v>
      </c>
      <c r="H1672" s="1" t="s">
        <v>5</v>
      </c>
      <c r="I1672" s="17">
        <v>38637</v>
      </c>
    </row>
    <row r="1673" spans="1:10">
      <c r="A1673" s="16" t="s">
        <v>15582</v>
      </c>
      <c r="B1673" s="1" t="s">
        <v>2631</v>
      </c>
      <c r="C1673" s="1">
        <v>121</v>
      </c>
      <c r="D1673" s="1" t="s">
        <v>7</v>
      </c>
      <c r="E1673" s="1" t="s">
        <v>6</v>
      </c>
      <c r="F1673" s="1" t="s">
        <v>5091</v>
      </c>
      <c r="G1673" s="1" t="s">
        <v>15583</v>
      </c>
      <c r="H1673" s="1" t="s">
        <v>5</v>
      </c>
      <c r="I1673" s="17">
        <v>38602</v>
      </c>
      <c r="J1673" s="17"/>
    </row>
    <row r="1674" spans="1:10">
      <c r="A1674" s="16" t="s">
        <v>15594</v>
      </c>
      <c r="B1674" s="1" t="s">
        <v>2631</v>
      </c>
      <c r="C1674" s="1">
        <v>121</v>
      </c>
      <c r="D1674" s="1" t="s">
        <v>7</v>
      </c>
      <c r="E1674" s="1" t="s">
        <v>6</v>
      </c>
      <c r="F1674" s="1" t="s">
        <v>5241</v>
      </c>
      <c r="G1674" s="1" t="s">
        <v>4803</v>
      </c>
      <c r="H1674" s="1" t="s">
        <v>5</v>
      </c>
      <c r="I1674" s="17">
        <v>43313</v>
      </c>
    </row>
    <row r="1675" spans="1:10">
      <c r="A1675" s="16" t="s">
        <v>15604</v>
      </c>
      <c r="B1675" s="1" t="s">
        <v>2631</v>
      </c>
      <c r="C1675" s="1">
        <v>121</v>
      </c>
      <c r="D1675" s="1" t="s">
        <v>7</v>
      </c>
      <c r="E1675" s="1" t="s">
        <v>6</v>
      </c>
      <c r="F1675" s="1" t="s">
        <v>15605</v>
      </c>
      <c r="G1675" s="1" t="s">
        <v>15606</v>
      </c>
      <c r="H1675" s="1" t="s">
        <v>5</v>
      </c>
      <c r="I1675" s="17">
        <v>43322</v>
      </c>
    </row>
    <row r="1676" spans="1:10">
      <c r="A1676" s="16" t="s">
        <v>15607</v>
      </c>
      <c r="B1676" s="1" t="s">
        <v>2631</v>
      </c>
      <c r="C1676" s="1">
        <v>121</v>
      </c>
      <c r="D1676" s="1" t="s">
        <v>7</v>
      </c>
      <c r="E1676" s="1" t="s">
        <v>6</v>
      </c>
      <c r="F1676" s="1" t="s">
        <v>15605</v>
      </c>
      <c r="G1676" s="1" t="s">
        <v>15606</v>
      </c>
      <c r="H1676" s="1" t="s">
        <v>5</v>
      </c>
      <c r="I1676" s="17">
        <v>43322</v>
      </c>
    </row>
    <row r="1677" spans="1:10" s="11" customFormat="1">
      <c r="A1677" s="16" t="s">
        <v>15619</v>
      </c>
      <c r="B1677" s="1" t="s">
        <v>2631</v>
      </c>
      <c r="C1677" s="1">
        <v>121</v>
      </c>
      <c r="D1677" s="1" t="s">
        <v>7</v>
      </c>
      <c r="E1677" s="1" t="s">
        <v>6</v>
      </c>
      <c r="F1677" s="1" t="s">
        <v>5241</v>
      </c>
      <c r="G1677" s="1" t="s">
        <v>4803</v>
      </c>
      <c r="H1677" s="1" t="s">
        <v>5</v>
      </c>
      <c r="I1677" s="17">
        <v>43344</v>
      </c>
      <c r="J1677"/>
    </row>
    <row r="1678" spans="1:10" s="11" customFormat="1">
      <c r="A1678" s="16" t="s">
        <v>15632</v>
      </c>
      <c r="B1678" s="1" t="s">
        <v>2631</v>
      </c>
      <c r="C1678" s="1">
        <v>121</v>
      </c>
      <c r="D1678" s="1" t="s">
        <v>7</v>
      </c>
      <c r="E1678" s="1" t="s">
        <v>6</v>
      </c>
      <c r="F1678" s="1" t="s">
        <v>5241</v>
      </c>
      <c r="G1678" s="1" t="s">
        <v>4803</v>
      </c>
      <c r="H1678" s="1" t="s">
        <v>5</v>
      </c>
      <c r="I1678" s="17">
        <v>43344</v>
      </c>
      <c r="J1678"/>
    </row>
    <row r="1679" spans="1:10">
      <c r="A1679" s="16" t="s">
        <v>15681</v>
      </c>
      <c r="B1679" s="1" t="s">
        <v>2631</v>
      </c>
      <c r="C1679" s="1">
        <v>121</v>
      </c>
      <c r="D1679" s="1" t="s">
        <v>7</v>
      </c>
      <c r="E1679" s="1" t="s">
        <v>6</v>
      </c>
      <c r="F1679" s="1" t="s">
        <v>2774</v>
      </c>
      <c r="G1679" s="1" t="s">
        <v>15682</v>
      </c>
      <c r="H1679" s="1" t="s">
        <v>5</v>
      </c>
      <c r="I1679" s="17">
        <v>41247</v>
      </c>
    </row>
    <row r="1680" spans="1:10">
      <c r="A1680" s="7" t="s">
        <v>15815</v>
      </c>
      <c r="B1680" s="2" t="s">
        <v>2631</v>
      </c>
      <c r="C1680" s="1">
        <v>121</v>
      </c>
      <c r="D1680" s="1" t="s">
        <v>7</v>
      </c>
      <c r="E1680" s="1" t="s">
        <v>6</v>
      </c>
      <c r="F1680" s="1" t="s">
        <v>2691</v>
      </c>
      <c r="G1680" s="14" t="s">
        <v>15816</v>
      </c>
      <c r="H1680" s="1" t="s">
        <v>43</v>
      </c>
      <c r="I1680" s="1" t="s">
        <v>15817</v>
      </c>
    </row>
    <row r="1681" spans="1:9">
      <c r="A1681" s="7" t="s">
        <v>16124</v>
      </c>
      <c r="B1681" s="2" t="s">
        <v>2631</v>
      </c>
      <c r="C1681" s="1">
        <v>121</v>
      </c>
      <c r="D1681" s="1" t="s">
        <v>7</v>
      </c>
      <c r="E1681" s="1" t="s">
        <v>6</v>
      </c>
      <c r="F1681" s="1" t="s">
        <v>5091</v>
      </c>
      <c r="G1681" s="14" t="s">
        <v>6145</v>
      </c>
      <c r="H1681" s="1" t="s">
        <v>43</v>
      </c>
      <c r="I1681" s="1" t="s">
        <v>5807</v>
      </c>
    </row>
    <row r="1682" spans="1:9">
      <c r="A1682" s="7" t="s">
        <v>16125</v>
      </c>
      <c r="B1682" s="2" t="s">
        <v>2631</v>
      </c>
      <c r="C1682" s="1">
        <v>121</v>
      </c>
      <c r="D1682" s="1" t="s">
        <v>7</v>
      </c>
      <c r="E1682" s="1" t="s">
        <v>6</v>
      </c>
      <c r="F1682" s="1" t="s">
        <v>2691</v>
      </c>
      <c r="G1682" s="14" t="s">
        <v>6145</v>
      </c>
      <c r="H1682" s="1" t="s">
        <v>43</v>
      </c>
      <c r="I1682" s="1" t="s">
        <v>5807</v>
      </c>
    </row>
    <row r="1683" spans="1:9">
      <c r="A1683" s="7" t="s">
        <v>16128</v>
      </c>
      <c r="B1683" s="2" t="s">
        <v>2631</v>
      </c>
      <c r="C1683" s="1">
        <v>121</v>
      </c>
      <c r="D1683" s="1" t="s">
        <v>7</v>
      </c>
      <c r="E1683" s="1" t="s">
        <v>6</v>
      </c>
      <c r="F1683" s="1" t="s">
        <v>5091</v>
      </c>
      <c r="G1683" s="14" t="s">
        <v>6307</v>
      </c>
      <c r="H1683" s="1" t="s">
        <v>44</v>
      </c>
      <c r="I1683" s="1" t="s">
        <v>5807</v>
      </c>
    </row>
    <row r="1684" spans="1:9">
      <c r="A1684" s="7" t="s">
        <v>16129</v>
      </c>
      <c r="B1684" s="2" t="s">
        <v>2631</v>
      </c>
      <c r="C1684" s="1">
        <v>121</v>
      </c>
      <c r="D1684" s="1" t="s">
        <v>7</v>
      </c>
      <c r="E1684" s="1" t="s">
        <v>6</v>
      </c>
      <c r="F1684" s="1" t="s">
        <v>2700</v>
      </c>
      <c r="G1684" s="14" t="s">
        <v>6307</v>
      </c>
      <c r="H1684" s="1" t="s">
        <v>44</v>
      </c>
      <c r="I1684" s="1" t="s">
        <v>5807</v>
      </c>
    </row>
    <row r="1685" spans="1:9">
      <c r="A1685" s="7" t="s">
        <v>16131</v>
      </c>
      <c r="B1685" s="2" t="s">
        <v>2631</v>
      </c>
      <c r="C1685" s="1">
        <v>121</v>
      </c>
      <c r="D1685" s="1" t="s">
        <v>7</v>
      </c>
      <c r="E1685" s="1" t="s">
        <v>6</v>
      </c>
      <c r="F1685" s="1" t="s">
        <v>2700</v>
      </c>
      <c r="G1685" s="14" t="s">
        <v>6307</v>
      </c>
      <c r="H1685" s="1" t="s">
        <v>44</v>
      </c>
      <c r="I1685" s="1" t="s">
        <v>5807</v>
      </c>
    </row>
    <row r="1686" spans="1:9">
      <c r="A1686" s="7" t="s">
        <v>16134</v>
      </c>
      <c r="B1686" s="2" t="s">
        <v>2631</v>
      </c>
      <c r="C1686" s="1">
        <v>121</v>
      </c>
      <c r="D1686" s="1" t="s">
        <v>7</v>
      </c>
      <c r="E1686" s="1" t="s">
        <v>6</v>
      </c>
      <c r="F1686" s="1" t="s">
        <v>5091</v>
      </c>
      <c r="G1686" s="14" t="s">
        <v>6307</v>
      </c>
      <c r="H1686" s="1" t="s">
        <v>44</v>
      </c>
      <c r="I1686" s="1" t="s">
        <v>5807</v>
      </c>
    </row>
    <row r="1687" spans="1:9">
      <c r="A1687" s="7" t="s">
        <v>16136</v>
      </c>
      <c r="B1687" s="2" t="s">
        <v>2631</v>
      </c>
      <c r="C1687" s="1">
        <v>121</v>
      </c>
      <c r="D1687" s="1" t="s">
        <v>7</v>
      </c>
      <c r="E1687" s="1" t="s">
        <v>6</v>
      </c>
      <c r="F1687" s="1" t="s">
        <v>5091</v>
      </c>
      <c r="G1687" s="14" t="s">
        <v>6307</v>
      </c>
      <c r="H1687" s="1" t="s">
        <v>44</v>
      </c>
      <c r="I1687" s="1" t="s">
        <v>5807</v>
      </c>
    </row>
    <row r="1688" spans="1:9">
      <c r="A1688" s="7" t="s">
        <v>16251</v>
      </c>
      <c r="B1688" s="2" t="s">
        <v>2631</v>
      </c>
      <c r="C1688" s="1">
        <v>121</v>
      </c>
      <c r="D1688" s="1" t="s">
        <v>7</v>
      </c>
      <c r="E1688" s="1" t="s">
        <v>6</v>
      </c>
      <c r="F1688" s="1" t="s">
        <v>5241</v>
      </c>
      <c r="G1688" s="14" t="s">
        <v>16252</v>
      </c>
      <c r="H1688" s="1" t="s">
        <v>5</v>
      </c>
      <c r="I1688" s="1" t="s">
        <v>5659</v>
      </c>
    </row>
    <row r="1689" spans="1:9">
      <c r="A1689" s="7" t="s">
        <v>16511</v>
      </c>
      <c r="B1689" s="2" t="s">
        <v>2631</v>
      </c>
      <c r="C1689" s="1">
        <v>121</v>
      </c>
      <c r="D1689" s="1" t="s">
        <v>7</v>
      </c>
      <c r="E1689" s="1" t="s">
        <v>6</v>
      </c>
      <c r="F1689" s="1" t="s">
        <v>2691</v>
      </c>
      <c r="G1689" s="14" t="s">
        <v>6307</v>
      </c>
      <c r="H1689" s="1" t="s">
        <v>44</v>
      </c>
      <c r="I1689" s="1">
        <v>2019</v>
      </c>
    </row>
    <row r="1690" spans="1:9">
      <c r="A1690" s="7" t="s">
        <v>16517</v>
      </c>
      <c r="B1690" s="2" t="s">
        <v>2631</v>
      </c>
      <c r="C1690" s="1">
        <v>121</v>
      </c>
      <c r="D1690" s="1" t="s">
        <v>7</v>
      </c>
      <c r="E1690" s="1" t="s">
        <v>6</v>
      </c>
      <c r="F1690" s="1" t="s">
        <v>5241</v>
      </c>
      <c r="G1690" s="14" t="s">
        <v>4803</v>
      </c>
      <c r="H1690" s="1" t="s">
        <v>5</v>
      </c>
      <c r="I1690" s="1">
        <v>2019</v>
      </c>
    </row>
    <row r="1691" spans="1:9">
      <c r="A1691" s="7" t="s">
        <v>16539</v>
      </c>
      <c r="B1691" s="2" t="s">
        <v>2631</v>
      </c>
      <c r="C1691" s="1">
        <v>121</v>
      </c>
      <c r="D1691" s="1" t="s">
        <v>7</v>
      </c>
      <c r="E1691" s="1" t="s">
        <v>6</v>
      </c>
      <c r="F1691" s="1" t="s">
        <v>5091</v>
      </c>
      <c r="G1691" s="22" t="s">
        <v>6181</v>
      </c>
      <c r="H1691" s="2" t="s">
        <v>118</v>
      </c>
      <c r="I1691" s="1" t="s">
        <v>4458</v>
      </c>
    </row>
    <row r="1692" spans="1:9">
      <c r="A1692" s="7" t="s">
        <v>16627</v>
      </c>
      <c r="B1692" s="2" t="s">
        <v>2631</v>
      </c>
      <c r="C1692" s="1">
        <v>121</v>
      </c>
      <c r="D1692" s="1" t="s">
        <v>7</v>
      </c>
      <c r="E1692" s="1" t="s">
        <v>6</v>
      </c>
      <c r="F1692" s="1" t="s">
        <v>2691</v>
      </c>
      <c r="G1692" s="14" t="s">
        <v>6139</v>
      </c>
      <c r="H1692" s="1" t="s">
        <v>43</v>
      </c>
      <c r="I1692" s="1" t="s">
        <v>5807</v>
      </c>
    </row>
    <row r="1693" spans="1:9">
      <c r="A1693" s="7" t="s">
        <v>16695</v>
      </c>
      <c r="B1693" s="2" t="s">
        <v>2631</v>
      </c>
      <c r="C1693" s="1">
        <v>121</v>
      </c>
      <c r="D1693" s="1" t="s">
        <v>7</v>
      </c>
      <c r="E1693" s="1" t="s">
        <v>6</v>
      </c>
      <c r="F1693" s="1" t="s">
        <v>5091</v>
      </c>
      <c r="G1693" s="14" t="s">
        <v>7368</v>
      </c>
      <c r="H1693" s="1" t="s">
        <v>5</v>
      </c>
      <c r="I1693" s="1">
        <v>2017</v>
      </c>
    </row>
    <row r="1694" spans="1:9">
      <c r="A1694" s="7" t="s">
        <v>16733</v>
      </c>
      <c r="B1694" s="1" t="s">
        <v>2631</v>
      </c>
      <c r="C1694" s="1">
        <v>121</v>
      </c>
      <c r="D1694" s="1" t="s">
        <v>7</v>
      </c>
      <c r="E1694" s="1" t="s">
        <v>6</v>
      </c>
      <c r="F1694" s="1" t="s">
        <v>16731</v>
      </c>
      <c r="G1694" s="1" t="s">
        <v>6181</v>
      </c>
      <c r="H1694" s="1" t="s">
        <v>118</v>
      </c>
      <c r="I1694" s="1" t="s">
        <v>5798</v>
      </c>
    </row>
    <row r="1695" spans="1:9">
      <c r="A1695" s="7" t="s">
        <v>16773</v>
      </c>
      <c r="B1695" s="2" t="s">
        <v>2631</v>
      </c>
      <c r="C1695" s="1">
        <v>121</v>
      </c>
      <c r="D1695" s="1" t="s">
        <v>7</v>
      </c>
      <c r="E1695" s="1" t="s">
        <v>6</v>
      </c>
      <c r="F1695" s="1" t="s">
        <v>2691</v>
      </c>
      <c r="G1695" s="14" t="s">
        <v>16774</v>
      </c>
      <c r="H1695" s="1" t="s">
        <v>43</v>
      </c>
      <c r="I1695" s="1" t="s">
        <v>5807</v>
      </c>
    </row>
    <row r="1696" spans="1:9" ht="28.8">
      <c r="A1696" s="7" t="s">
        <v>16777</v>
      </c>
      <c r="B1696" s="2" t="s">
        <v>2631</v>
      </c>
      <c r="C1696" s="1">
        <v>121</v>
      </c>
      <c r="D1696" s="1" t="s">
        <v>7</v>
      </c>
      <c r="E1696" s="1" t="s">
        <v>6</v>
      </c>
      <c r="F1696" s="1" t="s">
        <v>2691</v>
      </c>
      <c r="G1696" s="14" t="s">
        <v>16778</v>
      </c>
      <c r="H1696" s="1" t="s">
        <v>43</v>
      </c>
      <c r="I1696" s="1" t="s">
        <v>5807</v>
      </c>
    </row>
    <row r="1697" spans="1:10">
      <c r="A1697" s="16" t="s">
        <v>16796</v>
      </c>
      <c r="B1697" s="1" t="s">
        <v>2631</v>
      </c>
      <c r="C1697" s="1">
        <v>121</v>
      </c>
      <c r="D1697" s="1" t="s">
        <v>7</v>
      </c>
      <c r="E1697" s="1" t="s">
        <v>6</v>
      </c>
      <c r="F1697" s="1" t="s">
        <v>118</v>
      </c>
      <c r="G1697" s="14" t="s">
        <v>4458</v>
      </c>
      <c r="H1697" s="1" t="s">
        <v>118</v>
      </c>
      <c r="I1697" s="1" t="s">
        <v>4792</v>
      </c>
    </row>
    <row r="1698" spans="1:10">
      <c r="A1698" s="16" t="s">
        <v>16797</v>
      </c>
      <c r="B1698" s="1" t="s">
        <v>2631</v>
      </c>
      <c r="C1698" s="1">
        <v>121</v>
      </c>
      <c r="D1698" s="1" t="s">
        <v>7</v>
      </c>
      <c r="E1698" s="1" t="s">
        <v>6</v>
      </c>
      <c r="F1698" s="1" t="s">
        <v>118</v>
      </c>
      <c r="G1698" s="14" t="s">
        <v>4458</v>
      </c>
      <c r="H1698" s="1" t="s">
        <v>118</v>
      </c>
      <c r="I1698" s="1" t="s">
        <v>4792</v>
      </c>
    </row>
    <row r="1699" spans="1:10">
      <c r="A1699" s="16" t="s">
        <v>16848</v>
      </c>
      <c r="B1699" s="1" t="s">
        <v>2631</v>
      </c>
      <c r="C1699" s="1">
        <v>121</v>
      </c>
      <c r="D1699" s="1" t="s">
        <v>7</v>
      </c>
      <c r="E1699" s="1" t="s">
        <v>6</v>
      </c>
      <c r="F1699" s="1" t="s">
        <v>588</v>
      </c>
      <c r="G1699" s="1" t="s">
        <v>4803</v>
      </c>
      <c r="H1699" s="1" t="s">
        <v>5</v>
      </c>
      <c r="I1699" s="1">
        <v>2009</v>
      </c>
      <c r="J1699" s="17"/>
    </row>
    <row r="1700" spans="1:10">
      <c r="A1700" s="16" t="s">
        <v>16849</v>
      </c>
      <c r="B1700" s="1" t="s">
        <v>2631</v>
      </c>
      <c r="C1700" s="1">
        <v>121</v>
      </c>
      <c r="D1700" s="1" t="s">
        <v>7</v>
      </c>
      <c r="E1700" s="1" t="s">
        <v>6</v>
      </c>
      <c r="F1700" s="1" t="s">
        <v>2699</v>
      </c>
      <c r="G1700" s="1" t="s">
        <v>4803</v>
      </c>
      <c r="H1700" s="1" t="s">
        <v>5</v>
      </c>
      <c r="I1700" s="1">
        <v>2005</v>
      </c>
      <c r="J1700" s="17"/>
    </row>
    <row r="1701" spans="1:10">
      <c r="A1701" s="16" t="s">
        <v>16850</v>
      </c>
      <c r="B1701" s="1" t="s">
        <v>2631</v>
      </c>
      <c r="C1701" s="1">
        <v>121</v>
      </c>
      <c r="D1701" s="1" t="s">
        <v>7</v>
      </c>
      <c r="E1701" s="1" t="s">
        <v>6</v>
      </c>
      <c r="F1701" s="1" t="s">
        <v>2699</v>
      </c>
      <c r="G1701" s="1" t="s">
        <v>4803</v>
      </c>
      <c r="H1701" s="1" t="s">
        <v>5</v>
      </c>
      <c r="I1701" s="1">
        <v>2005</v>
      </c>
      <c r="J1701" s="17"/>
    </row>
    <row r="1702" spans="1:10">
      <c r="A1702" s="7" t="s">
        <v>6488</v>
      </c>
      <c r="B1702" s="1" t="s">
        <v>2629</v>
      </c>
      <c r="C1702" s="1">
        <v>121</v>
      </c>
      <c r="D1702" s="1" t="s">
        <v>7</v>
      </c>
      <c r="E1702" s="1" t="s">
        <v>6</v>
      </c>
      <c r="F1702" s="1" t="s">
        <v>5241</v>
      </c>
      <c r="G1702" s="1" t="s">
        <v>4800</v>
      </c>
      <c r="H1702" s="1" t="s">
        <v>27</v>
      </c>
      <c r="I1702" s="1" t="s">
        <v>5807</v>
      </c>
    </row>
    <row r="1703" spans="1:10">
      <c r="A1703" s="16" t="s">
        <v>4863</v>
      </c>
      <c r="B1703" s="1" t="s">
        <v>2631</v>
      </c>
      <c r="C1703" s="1">
        <v>121</v>
      </c>
      <c r="D1703" s="1" t="s">
        <v>7</v>
      </c>
      <c r="E1703" s="1" t="s">
        <v>6</v>
      </c>
      <c r="F1703" s="1" t="s">
        <v>2693</v>
      </c>
      <c r="G1703" s="1" t="s">
        <v>27</v>
      </c>
      <c r="H1703" s="1" t="s">
        <v>27</v>
      </c>
      <c r="I1703" s="17">
        <v>41275</v>
      </c>
    </row>
    <row r="1704" spans="1:10">
      <c r="A1704" s="16" t="s">
        <v>5342</v>
      </c>
      <c r="B1704" s="1" t="s">
        <v>2631</v>
      </c>
      <c r="C1704" s="1">
        <v>121</v>
      </c>
      <c r="D1704" s="1" t="s">
        <v>7</v>
      </c>
      <c r="E1704" s="1" t="s">
        <v>6</v>
      </c>
      <c r="F1704" s="1" t="s">
        <v>2691</v>
      </c>
      <c r="G1704" s="1" t="s">
        <v>5340</v>
      </c>
      <c r="H1704" s="1" t="s">
        <v>2286</v>
      </c>
      <c r="I1704" s="17">
        <v>40544</v>
      </c>
      <c r="J1704" s="17"/>
    </row>
    <row r="1705" spans="1:10">
      <c r="A1705" s="7" t="s">
        <v>5802</v>
      </c>
      <c r="B1705" s="2" t="s">
        <v>2631</v>
      </c>
      <c r="C1705" s="1">
        <v>121</v>
      </c>
      <c r="D1705" s="1" t="s">
        <v>7</v>
      </c>
      <c r="E1705" s="1" t="s">
        <v>6</v>
      </c>
      <c r="F1705" s="1" t="s">
        <v>118</v>
      </c>
      <c r="G1705" s="14" t="s">
        <v>4800</v>
      </c>
      <c r="H1705" s="1" t="s">
        <v>27</v>
      </c>
      <c r="I1705" s="1" t="s">
        <v>5801</v>
      </c>
    </row>
    <row r="1706" spans="1:10">
      <c r="A1706" s="7" t="s">
        <v>5803</v>
      </c>
      <c r="B1706" s="2" t="s">
        <v>2631</v>
      </c>
      <c r="C1706" s="1">
        <v>121</v>
      </c>
      <c r="D1706" s="1" t="s">
        <v>7</v>
      </c>
      <c r="E1706" s="1" t="s">
        <v>6</v>
      </c>
      <c r="F1706" s="1" t="s">
        <v>118</v>
      </c>
      <c r="G1706" s="14" t="s">
        <v>4800</v>
      </c>
      <c r="H1706" s="1" t="s">
        <v>27</v>
      </c>
      <c r="I1706" s="1" t="s">
        <v>5483</v>
      </c>
    </row>
    <row r="1707" spans="1:10">
      <c r="A1707" s="7" t="s">
        <v>5805</v>
      </c>
      <c r="B1707" s="2" t="s">
        <v>2631</v>
      </c>
      <c r="C1707" s="1">
        <v>121</v>
      </c>
      <c r="D1707" s="1" t="s">
        <v>7</v>
      </c>
      <c r="E1707" s="1" t="s">
        <v>6</v>
      </c>
      <c r="F1707" s="1" t="s">
        <v>118</v>
      </c>
      <c r="G1707" s="14" t="s">
        <v>4800</v>
      </c>
      <c r="H1707" s="1" t="s">
        <v>27</v>
      </c>
      <c r="I1707" s="1" t="s">
        <v>5801</v>
      </c>
    </row>
    <row r="1708" spans="1:10">
      <c r="A1708" s="7" t="s">
        <v>5808</v>
      </c>
      <c r="B1708" s="2" t="s">
        <v>2631</v>
      </c>
      <c r="C1708" s="1">
        <v>121</v>
      </c>
      <c r="D1708" s="1" t="s">
        <v>7</v>
      </c>
      <c r="E1708" s="1" t="s">
        <v>6</v>
      </c>
      <c r="F1708" s="1" t="s">
        <v>5241</v>
      </c>
      <c r="G1708" s="14" t="s">
        <v>4800</v>
      </c>
      <c r="H1708" s="1" t="s">
        <v>27</v>
      </c>
      <c r="I1708" s="1" t="s">
        <v>5807</v>
      </c>
    </row>
    <row r="1709" spans="1:10">
      <c r="A1709" s="7" t="s">
        <v>5856</v>
      </c>
      <c r="B1709" s="1" t="s">
        <v>2631</v>
      </c>
      <c r="C1709" s="1">
        <v>121</v>
      </c>
      <c r="D1709" s="1" t="s">
        <v>7</v>
      </c>
      <c r="E1709" s="1" t="s">
        <v>6</v>
      </c>
      <c r="F1709" s="1" t="s">
        <v>139</v>
      </c>
      <c r="G1709" s="1" t="s">
        <v>5853</v>
      </c>
      <c r="H1709" s="1" t="s">
        <v>27</v>
      </c>
      <c r="I1709" s="1" t="s">
        <v>5483</v>
      </c>
    </row>
    <row r="1710" spans="1:10">
      <c r="A1710" s="7" t="s">
        <v>5857</v>
      </c>
      <c r="B1710" s="1" t="s">
        <v>2631</v>
      </c>
      <c r="C1710" s="1">
        <v>2467</v>
      </c>
      <c r="D1710" s="1" t="s">
        <v>7</v>
      </c>
      <c r="E1710" s="1" t="s">
        <v>6</v>
      </c>
      <c r="F1710" s="1" t="s">
        <v>139</v>
      </c>
      <c r="G1710" s="1" t="s">
        <v>5853</v>
      </c>
      <c r="H1710" s="1" t="s">
        <v>27</v>
      </c>
      <c r="I1710" s="1" t="s">
        <v>5798</v>
      </c>
    </row>
    <row r="1711" spans="1:10">
      <c r="A1711" s="7" t="s">
        <v>5863</v>
      </c>
      <c r="B1711" s="1" t="s">
        <v>2631</v>
      </c>
      <c r="C1711" s="1">
        <v>121</v>
      </c>
      <c r="D1711" s="1" t="s">
        <v>7</v>
      </c>
      <c r="E1711" s="1" t="s">
        <v>6</v>
      </c>
      <c r="F1711" s="1" t="s">
        <v>139</v>
      </c>
      <c r="G1711" s="1" t="s">
        <v>5861</v>
      </c>
      <c r="H1711" s="1" t="s">
        <v>27</v>
      </c>
      <c r="I1711" s="1" t="s">
        <v>5483</v>
      </c>
    </row>
    <row r="1712" spans="1:10">
      <c r="A1712" s="7" t="s">
        <v>5864</v>
      </c>
      <c r="B1712" s="1" t="s">
        <v>2631</v>
      </c>
      <c r="C1712" s="1">
        <v>121</v>
      </c>
      <c r="D1712" s="1" t="s">
        <v>7</v>
      </c>
      <c r="E1712" s="1" t="s">
        <v>6</v>
      </c>
      <c r="F1712" s="1" t="s">
        <v>139</v>
      </c>
      <c r="G1712" s="1" t="s">
        <v>5853</v>
      </c>
      <c r="H1712" s="1" t="s">
        <v>27</v>
      </c>
      <c r="I1712" s="1" t="s">
        <v>5848</v>
      </c>
    </row>
    <row r="1713" spans="1:9">
      <c r="A1713" s="7" t="s">
        <v>5869</v>
      </c>
      <c r="B1713" s="1" t="s">
        <v>2631</v>
      </c>
      <c r="C1713" s="1">
        <v>121</v>
      </c>
      <c r="D1713" s="1" t="s">
        <v>7</v>
      </c>
      <c r="E1713" s="1" t="s">
        <v>6</v>
      </c>
      <c r="F1713" s="1" t="s">
        <v>5596</v>
      </c>
      <c r="G1713" s="1" t="s">
        <v>4800</v>
      </c>
      <c r="H1713" s="1" t="s">
        <v>27</v>
      </c>
      <c r="I1713" s="1" t="s">
        <v>5807</v>
      </c>
    </row>
    <row r="1714" spans="1:9">
      <c r="A1714" s="7" t="s">
        <v>5870</v>
      </c>
      <c r="B1714" s="1" t="s">
        <v>2631</v>
      </c>
      <c r="C1714" s="1">
        <v>121</v>
      </c>
      <c r="D1714" s="1" t="s">
        <v>7</v>
      </c>
      <c r="E1714" s="1" t="s">
        <v>6</v>
      </c>
      <c r="F1714" s="1" t="s">
        <v>2360</v>
      </c>
      <c r="G1714" s="1" t="s">
        <v>5308</v>
      </c>
      <c r="H1714" s="1" t="s">
        <v>27</v>
      </c>
      <c r="I1714" s="1" t="s">
        <v>5801</v>
      </c>
    </row>
    <row r="1715" spans="1:9">
      <c r="A1715" s="7" t="s">
        <v>5954</v>
      </c>
      <c r="B1715" s="1" t="s">
        <v>2631</v>
      </c>
      <c r="C1715" s="1">
        <v>121</v>
      </c>
      <c r="D1715" s="1" t="s">
        <v>7</v>
      </c>
      <c r="E1715" s="1" t="s">
        <v>6</v>
      </c>
      <c r="F1715" s="1" t="s">
        <v>2360</v>
      </c>
      <c r="G1715" s="1" t="s">
        <v>5308</v>
      </c>
      <c r="H1715" s="1" t="s">
        <v>27</v>
      </c>
      <c r="I1715" s="1" t="s">
        <v>5483</v>
      </c>
    </row>
    <row r="1716" spans="1:9">
      <c r="A1716" s="7" t="s">
        <v>5955</v>
      </c>
      <c r="B1716" s="1" t="s">
        <v>2631</v>
      </c>
      <c r="C1716" s="1">
        <v>121</v>
      </c>
      <c r="D1716" s="1" t="s">
        <v>7</v>
      </c>
      <c r="E1716" s="1" t="s">
        <v>6</v>
      </c>
      <c r="F1716" s="1" t="s">
        <v>2360</v>
      </c>
      <c r="G1716" s="1" t="s">
        <v>5308</v>
      </c>
      <c r="H1716" s="1" t="s">
        <v>27</v>
      </c>
      <c r="I1716" s="1" t="s">
        <v>5483</v>
      </c>
    </row>
    <row r="1717" spans="1:9">
      <c r="A1717" s="7" t="s">
        <v>5957</v>
      </c>
      <c r="B1717" s="1" t="s">
        <v>2631</v>
      </c>
      <c r="C1717" s="1">
        <v>121</v>
      </c>
      <c r="D1717" s="1" t="s">
        <v>7</v>
      </c>
      <c r="E1717" s="1" t="s">
        <v>6</v>
      </c>
      <c r="F1717" s="1" t="s">
        <v>2360</v>
      </c>
      <c r="G1717" s="1" t="s">
        <v>5308</v>
      </c>
      <c r="H1717" s="1" t="s">
        <v>27</v>
      </c>
      <c r="I1717" s="1" t="s">
        <v>5483</v>
      </c>
    </row>
    <row r="1718" spans="1:9">
      <c r="A1718" s="7" t="s">
        <v>5961</v>
      </c>
      <c r="B1718" s="1" t="s">
        <v>2631</v>
      </c>
      <c r="C1718" s="1">
        <v>236</v>
      </c>
      <c r="D1718" s="1" t="s">
        <v>7</v>
      </c>
      <c r="E1718" s="1" t="s">
        <v>6</v>
      </c>
      <c r="F1718" s="1" t="s">
        <v>2360</v>
      </c>
      <c r="G1718" s="1" t="s">
        <v>5308</v>
      </c>
      <c r="H1718" s="1" t="s">
        <v>27</v>
      </c>
      <c r="I1718" s="1" t="s">
        <v>5801</v>
      </c>
    </row>
    <row r="1719" spans="1:9">
      <c r="A1719" s="16" t="s">
        <v>11452</v>
      </c>
      <c r="B1719" s="1" t="s">
        <v>2631</v>
      </c>
      <c r="C1719" s="1">
        <v>121</v>
      </c>
      <c r="D1719" s="1" t="s">
        <v>7</v>
      </c>
      <c r="E1719" s="1" t="s">
        <v>6</v>
      </c>
      <c r="F1719" s="1" t="s">
        <v>5241</v>
      </c>
      <c r="G1719" s="1" t="s">
        <v>4800</v>
      </c>
      <c r="H1719" s="1" t="s">
        <v>27</v>
      </c>
      <c r="I1719" s="17">
        <v>41306</v>
      </c>
    </row>
    <row r="1720" spans="1:9">
      <c r="A1720" s="16" t="s">
        <v>11454</v>
      </c>
      <c r="B1720" s="1" t="s">
        <v>2631</v>
      </c>
      <c r="C1720" s="1">
        <v>121</v>
      </c>
      <c r="D1720" s="1" t="s">
        <v>7</v>
      </c>
      <c r="E1720" s="1" t="s">
        <v>6</v>
      </c>
      <c r="F1720" s="1" t="s">
        <v>5241</v>
      </c>
      <c r="G1720" s="1" t="s">
        <v>4800</v>
      </c>
      <c r="H1720" s="1" t="s">
        <v>27</v>
      </c>
      <c r="I1720" s="17">
        <v>41334</v>
      </c>
    </row>
    <row r="1721" spans="1:9">
      <c r="A1721" s="16" t="s">
        <v>11455</v>
      </c>
      <c r="B1721" s="1" t="s">
        <v>2631</v>
      </c>
      <c r="C1721" s="1">
        <v>121</v>
      </c>
      <c r="D1721" s="1" t="s">
        <v>7</v>
      </c>
      <c r="E1721" s="1" t="s">
        <v>6</v>
      </c>
      <c r="F1721" s="1" t="s">
        <v>5241</v>
      </c>
      <c r="G1721" s="1" t="s">
        <v>4800</v>
      </c>
      <c r="H1721" s="1" t="s">
        <v>27</v>
      </c>
      <c r="I1721" s="17">
        <v>41306</v>
      </c>
    </row>
    <row r="1722" spans="1:9">
      <c r="A1722" s="16" t="s">
        <v>11456</v>
      </c>
      <c r="B1722" s="1" t="s">
        <v>2631</v>
      </c>
      <c r="C1722" s="1">
        <v>121</v>
      </c>
      <c r="D1722" s="1" t="s">
        <v>7</v>
      </c>
      <c r="E1722" s="1" t="s">
        <v>6</v>
      </c>
      <c r="F1722" s="1" t="s">
        <v>5241</v>
      </c>
      <c r="G1722" s="1" t="s">
        <v>4800</v>
      </c>
      <c r="H1722" s="1" t="s">
        <v>27</v>
      </c>
      <c r="I1722" s="17">
        <v>41518</v>
      </c>
    </row>
    <row r="1723" spans="1:9">
      <c r="A1723" s="16" t="s">
        <v>11461</v>
      </c>
      <c r="B1723" s="1" t="s">
        <v>2631</v>
      </c>
      <c r="C1723" s="1">
        <v>121</v>
      </c>
      <c r="D1723" s="1" t="s">
        <v>7</v>
      </c>
      <c r="E1723" s="1" t="s">
        <v>6</v>
      </c>
      <c r="F1723" s="1" t="s">
        <v>5241</v>
      </c>
      <c r="G1723" s="1" t="s">
        <v>4800</v>
      </c>
      <c r="H1723" s="1" t="s">
        <v>27</v>
      </c>
      <c r="I1723" s="17">
        <v>41365</v>
      </c>
    </row>
    <row r="1724" spans="1:9">
      <c r="A1724" s="16" t="s">
        <v>11463</v>
      </c>
      <c r="B1724" s="1" t="s">
        <v>2631</v>
      </c>
      <c r="C1724" s="1">
        <v>121</v>
      </c>
      <c r="D1724" s="1" t="s">
        <v>7</v>
      </c>
      <c r="E1724" s="1" t="s">
        <v>6</v>
      </c>
      <c r="F1724" s="1" t="s">
        <v>5241</v>
      </c>
      <c r="G1724" s="1" t="s">
        <v>4800</v>
      </c>
      <c r="H1724" s="1" t="s">
        <v>27</v>
      </c>
      <c r="I1724" s="17">
        <v>41275</v>
      </c>
    </row>
    <row r="1725" spans="1:9">
      <c r="A1725" s="16" t="s">
        <v>11465</v>
      </c>
      <c r="B1725" s="1" t="s">
        <v>2631</v>
      </c>
      <c r="C1725" s="1">
        <v>121</v>
      </c>
      <c r="D1725" s="1" t="s">
        <v>7</v>
      </c>
      <c r="E1725" s="1" t="s">
        <v>6</v>
      </c>
      <c r="F1725" s="1" t="s">
        <v>5241</v>
      </c>
      <c r="G1725" s="1" t="s">
        <v>4800</v>
      </c>
      <c r="H1725" s="1" t="s">
        <v>27</v>
      </c>
      <c r="I1725" s="17">
        <v>41456</v>
      </c>
    </row>
    <row r="1726" spans="1:9">
      <c r="A1726" s="16" t="s">
        <v>11467</v>
      </c>
      <c r="B1726" s="1" t="s">
        <v>2631</v>
      </c>
      <c r="C1726" s="1">
        <v>121</v>
      </c>
      <c r="D1726" s="1" t="s">
        <v>7</v>
      </c>
      <c r="E1726" s="1" t="s">
        <v>6</v>
      </c>
      <c r="F1726" s="1" t="s">
        <v>5241</v>
      </c>
      <c r="G1726" s="1" t="s">
        <v>4800</v>
      </c>
      <c r="H1726" s="1" t="s">
        <v>27</v>
      </c>
      <c r="I1726" s="17">
        <v>41306</v>
      </c>
    </row>
    <row r="1727" spans="1:9">
      <c r="A1727" s="16" t="s">
        <v>11470</v>
      </c>
      <c r="B1727" s="1" t="s">
        <v>2631</v>
      </c>
      <c r="C1727" s="1">
        <v>121</v>
      </c>
      <c r="D1727" s="1" t="s">
        <v>7</v>
      </c>
      <c r="E1727" s="1" t="s">
        <v>6</v>
      </c>
      <c r="F1727" s="1" t="s">
        <v>5241</v>
      </c>
      <c r="G1727" s="1" t="s">
        <v>4800</v>
      </c>
      <c r="H1727" s="1" t="s">
        <v>27</v>
      </c>
      <c r="I1727" s="17">
        <v>41306</v>
      </c>
    </row>
    <row r="1728" spans="1:9">
      <c r="A1728" s="16" t="s">
        <v>11471</v>
      </c>
      <c r="B1728" s="1" t="s">
        <v>2631</v>
      </c>
      <c r="C1728" s="1">
        <v>121</v>
      </c>
      <c r="D1728" s="1" t="s">
        <v>7</v>
      </c>
      <c r="E1728" s="1" t="s">
        <v>6</v>
      </c>
      <c r="F1728" s="1" t="s">
        <v>5241</v>
      </c>
      <c r="G1728" s="1" t="s">
        <v>4800</v>
      </c>
      <c r="H1728" s="1" t="s">
        <v>27</v>
      </c>
      <c r="I1728" s="17">
        <v>41518</v>
      </c>
    </row>
    <row r="1729" spans="1:9">
      <c r="A1729" s="16" t="s">
        <v>11472</v>
      </c>
      <c r="B1729" s="1" t="s">
        <v>2631</v>
      </c>
      <c r="C1729" s="1">
        <v>121</v>
      </c>
      <c r="D1729" s="1" t="s">
        <v>7</v>
      </c>
      <c r="E1729" s="1" t="s">
        <v>6</v>
      </c>
      <c r="F1729" s="1" t="s">
        <v>5241</v>
      </c>
      <c r="G1729" s="1" t="s">
        <v>4800</v>
      </c>
      <c r="H1729" s="1" t="s">
        <v>27</v>
      </c>
      <c r="I1729" s="17">
        <v>41548</v>
      </c>
    </row>
    <row r="1730" spans="1:9">
      <c r="A1730" s="16" t="s">
        <v>11473</v>
      </c>
      <c r="B1730" s="1" t="s">
        <v>2631</v>
      </c>
      <c r="C1730" s="1">
        <v>121</v>
      </c>
      <c r="D1730" s="1" t="s">
        <v>7</v>
      </c>
      <c r="E1730" s="1" t="s">
        <v>6</v>
      </c>
      <c r="F1730" s="1" t="s">
        <v>5241</v>
      </c>
      <c r="G1730" s="1" t="s">
        <v>4800</v>
      </c>
      <c r="H1730" s="1" t="s">
        <v>27</v>
      </c>
      <c r="I1730" s="17">
        <v>41334</v>
      </c>
    </row>
    <row r="1731" spans="1:9">
      <c r="A1731" s="16" t="s">
        <v>11478</v>
      </c>
      <c r="B1731" s="1" t="s">
        <v>2631</v>
      </c>
      <c r="C1731" s="1">
        <v>833</v>
      </c>
      <c r="D1731" s="1" t="s">
        <v>7</v>
      </c>
      <c r="E1731" s="1" t="s">
        <v>6</v>
      </c>
      <c r="F1731" s="1" t="s">
        <v>5241</v>
      </c>
      <c r="G1731" s="1" t="s">
        <v>4800</v>
      </c>
      <c r="H1731" s="1" t="s">
        <v>27</v>
      </c>
      <c r="I1731" s="17">
        <v>41913</v>
      </c>
    </row>
    <row r="1732" spans="1:9">
      <c r="A1732" s="16" t="s">
        <v>11479</v>
      </c>
      <c r="B1732" s="1" t="s">
        <v>2631</v>
      </c>
      <c r="C1732" s="1">
        <v>121</v>
      </c>
      <c r="D1732" s="1" t="s">
        <v>7</v>
      </c>
      <c r="E1732" s="1" t="s">
        <v>6</v>
      </c>
      <c r="F1732" s="1" t="s">
        <v>5241</v>
      </c>
      <c r="G1732" s="1" t="s">
        <v>4800</v>
      </c>
      <c r="H1732" s="1" t="s">
        <v>27</v>
      </c>
      <c r="I1732" s="17">
        <v>41791</v>
      </c>
    </row>
    <row r="1733" spans="1:9">
      <c r="A1733" s="16" t="s">
        <v>11480</v>
      </c>
      <c r="B1733" s="1" t="s">
        <v>2631</v>
      </c>
      <c r="C1733" s="1">
        <v>121</v>
      </c>
      <c r="D1733" s="1" t="s">
        <v>7</v>
      </c>
      <c r="E1733" s="1" t="s">
        <v>6</v>
      </c>
      <c r="F1733" s="1" t="s">
        <v>5241</v>
      </c>
      <c r="G1733" s="1" t="s">
        <v>4800</v>
      </c>
      <c r="H1733" s="1" t="s">
        <v>27</v>
      </c>
      <c r="I1733" s="17">
        <v>41821</v>
      </c>
    </row>
    <row r="1734" spans="1:9">
      <c r="A1734" s="16" t="s">
        <v>11481</v>
      </c>
      <c r="B1734" s="1" t="s">
        <v>2631</v>
      </c>
      <c r="C1734" s="1">
        <v>121</v>
      </c>
      <c r="D1734" s="1" t="s">
        <v>7</v>
      </c>
      <c r="E1734" s="1" t="s">
        <v>6</v>
      </c>
      <c r="F1734" s="1" t="s">
        <v>5241</v>
      </c>
      <c r="G1734" s="1" t="s">
        <v>4800</v>
      </c>
      <c r="H1734" s="1" t="s">
        <v>27</v>
      </c>
      <c r="I1734" s="17">
        <v>41852</v>
      </c>
    </row>
    <row r="1735" spans="1:9">
      <c r="A1735" s="16" t="s">
        <v>11482</v>
      </c>
      <c r="B1735" s="1" t="s">
        <v>2631</v>
      </c>
      <c r="C1735" s="1">
        <v>121</v>
      </c>
      <c r="D1735" s="1" t="s">
        <v>7</v>
      </c>
      <c r="E1735" s="1" t="s">
        <v>6</v>
      </c>
      <c r="F1735" s="1" t="s">
        <v>5241</v>
      </c>
      <c r="G1735" s="1" t="s">
        <v>4800</v>
      </c>
      <c r="H1735" s="1" t="s">
        <v>27</v>
      </c>
      <c r="I1735" s="17">
        <v>41760</v>
      </c>
    </row>
    <row r="1736" spans="1:9">
      <c r="A1736" s="16" t="s">
        <v>11499</v>
      </c>
      <c r="B1736" s="1" t="s">
        <v>2631</v>
      </c>
      <c r="C1736" s="1">
        <v>121</v>
      </c>
      <c r="D1736" s="1" t="s">
        <v>7</v>
      </c>
      <c r="E1736" s="1" t="s">
        <v>6</v>
      </c>
      <c r="F1736" s="1" t="s">
        <v>5241</v>
      </c>
      <c r="G1736" s="1" t="s">
        <v>4800</v>
      </c>
      <c r="H1736" s="1" t="s">
        <v>27</v>
      </c>
      <c r="I1736" s="17">
        <v>40118</v>
      </c>
    </row>
    <row r="1737" spans="1:9">
      <c r="A1737" s="16" t="s">
        <v>11502</v>
      </c>
      <c r="B1737" s="1" t="s">
        <v>2631</v>
      </c>
      <c r="C1737" s="1">
        <v>121</v>
      </c>
      <c r="D1737" s="1" t="s">
        <v>7</v>
      </c>
      <c r="E1737" s="1" t="s">
        <v>6</v>
      </c>
      <c r="F1737" s="1" t="s">
        <v>5241</v>
      </c>
      <c r="G1737" s="1" t="s">
        <v>4800</v>
      </c>
      <c r="H1737" s="1" t="s">
        <v>27</v>
      </c>
      <c r="I1737" s="17">
        <v>40422</v>
      </c>
    </row>
    <row r="1738" spans="1:9">
      <c r="A1738" s="16" t="s">
        <v>11505</v>
      </c>
      <c r="B1738" s="1" t="s">
        <v>2631</v>
      </c>
      <c r="C1738" s="1">
        <v>121</v>
      </c>
      <c r="D1738" s="1" t="s">
        <v>7</v>
      </c>
      <c r="E1738" s="1" t="s">
        <v>6</v>
      </c>
      <c r="F1738" s="1" t="s">
        <v>5241</v>
      </c>
      <c r="G1738" s="1" t="s">
        <v>4800</v>
      </c>
      <c r="H1738" s="1" t="s">
        <v>27</v>
      </c>
      <c r="I1738" s="17">
        <v>41153</v>
      </c>
    </row>
    <row r="1739" spans="1:9">
      <c r="A1739" s="16" t="s">
        <v>11507</v>
      </c>
      <c r="B1739" s="1" t="s">
        <v>2631</v>
      </c>
      <c r="C1739" s="1">
        <v>121</v>
      </c>
      <c r="D1739" s="1" t="s">
        <v>7</v>
      </c>
      <c r="E1739" s="1" t="s">
        <v>6</v>
      </c>
      <c r="F1739" s="1" t="s">
        <v>5241</v>
      </c>
      <c r="G1739" s="1" t="s">
        <v>4800</v>
      </c>
      <c r="H1739" s="1" t="s">
        <v>27</v>
      </c>
      <c r="I1739" s="17">
        <v>39845</v>
      </c>
    </row>
    <row r="1740" spans="1:9">
      <c r="A1740" s="16" t="s">
        <v>11513</v>
      </c>
      <c r="B1740" s="1" t="s">
        <v>2631</v>
      </c>
      <c r="C1740" s="1">
        <v>121</v>
      </c>
      <c r="D1740" s="1" t="s">
        <v>7</v>
      </c>
      <c r="E1740" s="1" t="s">
        <v>6</v>
      </c>
      <c r="F1740" s="1" t="s">
        <v>5241</v>
      </c>
      <c r="G1740" s="1" t="s">
        <v>4800</v>
      </c>
      <c r="H1740" s="1" t="s">
        <v>27</v>
      </c>
      <c r="I1740" s="17">
        <v>39845</v>
      </c>
    </row>
    <row r="1741" spans="1:9">
      <c r="A1741" s="16" t="s">
        <v>11522</v>
      </c>
      <c r="B1741" s="1" t="s">
        <v>2631</v>
      </c>
      <c r="C1741" s="1">
        <v>121</v>
      </c>
      <c r="D1741" s="1" t="s">
        <v>7</v>
      </c>
      <c r="E1741" s="1" t="s">
        <v>6</v>
      </c>
      <c r="F1741" s="1" t="s">
        <v>5241</v>
      </c>
      <c r="G1741" s="1" t="s">
        <v>4800</v>
      </c>
      <c r="H1741" s="1" t="s">
        <v>27</v>
      </c>
      <c r="I1741" s="17">
        <v>41334</v>
      </c>
    </row>
    <row r="1742" spans="1:9">
      <c r="A1742" s="16" t="s">
        <v>11523</v>
      </c>
      <c r="B1742" s="1" t="s">
        <v>2631</v>
      </c>
      <c r="C1742" s="1">
        <v>121</v>
      </c>
      <c r="D1742" s="1" t="s">
        <v>7</v>
      </c>
      <c r="E1742" s="1" t="s">
        <v>6</v>
      </c>
      <c r="F1742" s="1" t="s">
        <v>5241</v>
      </c>
      <c r="G1742" s="1" t="s">
        <v>4800</v>
      </c>
      <c r="H1742" s="1" t="s">
        <v>27</v>
      </c>
      <c r="I1742" s="17">
        <v>41334</v>
      </c>
    </row>
    <row r="1743" spans="1:9">
      <c r="A1743" s="16" t="s">
        <v>11539</v>
      </c>
      <c r="B1743" s="1" t="s">
        <v>2631</v>
      </c>
      <c r="C1743" s="1">
        <v>121</v>
      </c>
      <c r="D1743" s="1" t="s">
        <v>7</v>
      </c>
      <c r="E1743" s="1" t="s">
        <v>6</v>
      </c>
      <c r="F1743" s="1" t="s">
        <v>5241</v>
      </c>
      <c r="G1743" s="1" t="s">
        <v>4800</v>
      </c>
      <c r="H1743" s="1" t="s">
        <v>27</v>
      </c>
      <c r="I1743" s="17">
        <v>41487</v>
      </c>
    </row>
    <row r="1744" spans="1:9">
      <c r="A1744" s="16" t="s">
        <v>11542</v>
      </c>
      <c r="B1744" s="1" t="s">
        <v>2631</v>
      </c>
      <c r="C1744" s="1">
        <v>121</v>
      </c>
      <c r="D1744" s="1" t="s">
        <v>7</v>
      </c>
      <c r="E1744" s="1" t="s">
        <v>6</v>
      </c>
      <c r="F1744" s="1" t="s">
        <v>5241</v>
      </c>
      <c r="G1744" s="1" t="s">
        <v>4800</v>
      </c>
      <c r="H1744" s="1" t="s">
        <v>27</v>
      </c>
      <c r="I1744" s="17">
        <v>41518</v>
      </c>
    </row>
    <row r="1745" spans="1:9">
      <c r="A1745" s="16" t="s">
        <v>11555</v>
      </c>
      <c r="B1745" s="1" t="s">
        <v>2631</v>
      </c>
      <c r="C1745" s="1">
        <v>236</v>
      </c>
      <c r="D1745" s="1" t="s">
        <v>7</v>
      </c>
      <c r="E1745" s="1" t="s">
        <v>6</v>
      </c>
      <c r="F1745" s="1" t="s">
        <v>5241</v>
      </c>
      <c r="G1745" s="1" t="s">
        <v>4800</v>
      </c>
      <c r="H1745" s="1" t="s">
        <v>27</v>
      </c>
      <c r="I1745" s="17">
        <v>40695</v>
      </c>
    </row>
    <row r="1746" spans="1:9">
      <c r="A1746" s="16" t="s">
        <v>11556</v>
      </c>
      <c r="B1746" s="1" t="s">
        <v>2631</v>
      </c>
      <c r="C1746" s="1">
        <v>121</v>
      </c>
      <c r="D1746" s="1" t="s">
        <v>7</v>
      </c>
      <c r="E1746" s="1" t="s">
        <v>6</v>
      </c>
      <c r="F1746" s="1" t="s">
        <v>5241</v>
      </c>
      <c r="G1746" s="1" t="s">
        <v>4800</v>
      </c>
      <c r="H1746" s="1" t="s">
        <v>27</v>
      </c>
      <c r="I1746" s="17">
        <v>39995</v>
      </c>
    </row>
    <row r="1747" spans="1:9">
      <c r="A1747" s="16" t="s">
        <v>11557</v>
      </c>
      <c r="B1747" s="1" t="s">
        <v>2631</v>
      </c>
      <c r="C1747" s="1">
        <v>121</v>
      </c>
      <c r="D1747" s="1" t="s">
        <v>7</v>
      </c>
      <c r="E1747" s="1" t="s">
        <v>6</v>
      </c>
      <c r="F1747" s="1" t="s">
        <v>5241</v>
      </c>
      <c r="G1747" s="1" t="s">
        <v>4800</v>
      </c>
      <c r="H1747" s="1" t="s">
        <v>27</v>
      </c>
      <c r="I1747" s="17">
        <v>40360</v>
      </c>
    </row>
    <row r="1748" spans="1:9">
      <c r="A1748" s="16" t="s">
        <v>11558</v>
      </c>
      <c r="B1748" s="1" t="s">
        <v>2631</v>
      </c>
      <c r="C1748" s="1">
        <v>121</v>
      </c>
      <c r="D1748" s="1" t="s">
        <v>7</v>
      </c>
      <c r="E1748" s="1" t="s">
        <v>6</v>
      </c>
      <c r="F1748" s="1" t="s">
        <v>5241</v>
      </c>
      <c r="G1748" s="1" t="s">
        <v>4800</v>
      </c>
      <c r="H1748" s="1" t="s">
        <v>27</v>
      </c>
      <c r="I1748" s="17">
        <v>39142</v>
      </c>
    </row>
    <row r="1749" spans="1:9">
      <c r="A1749" s="16" t="s">
        <v>11939</v>
      </c>
      <c r="B1749" s="1" t="s">
        <v>2631</v>
      </c>
      <c r="C1749" s="1">
        <v>121</v>
      </c>
      <c r="D1749" s="1" t="s">
        <v>7</v>
      </c>
      <c r="E1749" s="1" t="s">
        <v>6</v>
      </c>
      <c r="F1749" s="1" t="s">
        <v>139</v>
      </c>
      <c r="G1749" s="1" t="s">
        <v>5853</v>
      </c>
      <c r="H1749" s="1" t="s">
        <v>27</v>
      </c>
      <c r="I1749" s="17">
        <v>41275</v>
      </c>
    </row>
    <row r="1750" spans="1:9">
      <c r="A1750" s="16" t="s">
        <v>14009</v>
      </c>
      <c r="B1750" s="1" t="s">
        <v>2631</v>
      </c>
      <c r="C1750" s="1">
        <v>121</v>
      </c>
      <c r="D1750" s="1" t="s">
        <v>7</v>
      </c>
      <c r="E1750" s="1" t="s">
        <v>6</v>
      </c>
      <c r="F1750" s="1" t="s">
        <v>5241</v>
      </c>
      <c r="G1750" s="1" t="s">
        <v>4800</v>
      </c>
      <c r="H1750" s="1" t="s">
        <v>27</v>
      </c>
      <c r="I1750" s="17">
        <v>40269</v>
      </c>
    </row>
    <row r="1751" spans="1:9">
      <c r="A1751" s="16" t="s">
        <v>14023</v>
      </c>
      <c r="B1751" s="1" t="s">
        <v>2631</v>
      </c>
      <c r="C1751" s="1">
        <v>121</v>
      </c>
      <c r="D1751" s="1" t="s">
        <v>7</v>
      </c>
      <c r="E1751" s="1" t="s">
        <v>6</v>
      </c>
      <c r="F1751" s="1" t="s">
        <v>5241</v>
      </c>
      <c r="G1751" s="1" t="s">
        <v>4800</v>
      </c>
      <c r="H1751" s="1" t="s">
        <v>27</v>
      </c>
      <c r="I1751" s="17">
        <v>40544</v>
      </c>
    </row>
    <row r="1752" spans="1:9">
      <c r="A1752" s="16" t="s">
        <v>14038</v>
      </c>
      <c r="B1752" s="1" t="s">
        <v>2631</v>
      </c>
      <c r="C1752" s="1">
        <v>121</v>
      </c>
      <c r="D1752" s="1" t="s">
        <v>7</v>
      </c>
      <c r="E1752" s="1" t="s">
        <v>6</v>
      </c>
      <c r="F1752" s="1" t="s">
        <v>5241</v>
      </c>
      <c r="G1752" s="1" t="s">
        <v>4800</v>
      </c>
      <c r="H1752" s="1" t="s">
        <v>27</v>
      </c>
      <c r="I1752" s="17">
        <v>40360</v>
      </c>
    </row>
    <row r="1753" spans="1:9">
      <c r="A1753" s="16" t="s">
        <v>14055</v>
      </c>
      <c r="B1753" s="1" t="s">
        <v>2631</v>
      </c>
      <c r="C1753" s="1">
        <v>121</v>
      </c>
      <c r="D1753" s="1" t="s">
        <v>7</v>
      </c>
      <c r="E1753" s="1" t="s">
        <v>6</v>
      </c>
      <c r="F1753" s="1" t="s">
        <v>5241</v>
      </c>
      <c r="G1753" s="1" t="s">
        <v>4800</v>
      </c>
      <c r="H1753" s="1" t="s">
        <v>27</v>
      </c>
      <c r="I1753" s="17">
        <v>40513</v>
      </c>
    </row>
    <row r="1754" spans="1:9">
      <c r="A1754" s="16" t="s">
        <v>14236</v>
      </c>
      <c r="B1754" s="1" t="s">
        <v>2631</v>
      </c>
      <c r="C1754" s="1">
        <v>121</v>
      </c>
      <c r="D1754" s="1" t="s">
        <v>7</v>
      </c>
      <c r="E1754" s="1" t="s">
        <v>6</v>
      </c>
      <c r="F1754" s="1" t="s">
        <v>5241</v>
      </c>
      <c r="G1754" s="1" t="s">
        <v>4800</v>
      </c>
      <c r="H1754" s="1" t="s">
        <v>27</v>
      </c>
      <c r="I1754" s="17">
        <v>42917</v>
      </c>
    </row>
    <row r="1755" spans="1:9">
      <c r="A1755" s="16" t="s">
        <v>14239</v>
      </c>
      <c r="B1755" s="1" t="s">
        <v>2631</v>
      </c>
      <c r="C1755" s="1">
        <v>121</v>
      </c>
      <c r="D1755" s="1" t="s">
        <v>7</v>
      </c>
      <c r="E1755" s="1" t="s">
        <v>6</v>
      </c>
      <c r="F1755" s="1" t="s">
        <v>5241</v>
      </c>
      <c r="G1755" s="1" t="s">
        <v>4800</v>
      </c>
      <c r="H1755" s="1" t="s">
        <v>27</v>
      </c>
      <c r="I1755" s="17">
        <v>42278</v>
      </c>
    </row>
    <row r="1756" spans="1:9">
      <c r="A1756" s="16" t="s">
        <v>14244</v>
      </c>
      <c r="B1756" s="1" t="s">
        <v>2631</v>
      </c>
      <c r="C1756" s="1">
        <v>121</v>
      </c>
      <c r="D1756" s="1" t="s">
        <v>7</v>
      </c>
      <c r="E1756" s="1" t="s">
        <v>6</v>
      </c>
      <c r="F1756" s="1" t="s">
        <v>5241</v>
      </c>
      <c r="G1756" s="1" t="s">
        <v>4800</v>
      </c>
      <c r="H1756" s="1" t="s">
        <v>27</v>
      </c>
      <c r="I1756" s="17">
        <v>42614</v>
      </c>
    </row>
    <row r="1757" spans="1:9">
      <c r="A1757" s="16" t="s">
        <v>14249</v>
      </c>
      <c r="B1757" s="1" t="s">
        <v>2631</v>
      </c>
      <c r="C1757" s="1">
        <v>121</v>
      </c>
      <c r="D1757" s="1" t="s">
        <v>7</v>
      </c>
      <c r="E1757" s="1" t="s">
        <v>6</v>
      </c>
      <c r="F1757" s="1" t="s">
        <v>5241</v>
      </c>
      <c r="G1757" s="1" t="s">
        <v>4800</v>
      </c>
      <c r="H1757" s="1" t="s">
        <v>27</v>
      </c>
      <c r="I1757" s="17">
        <v>42979</v>
      </c>
    </row>
    <row r="1758" spans="1:9">
      <c r="A1758" s="16" t="s">
        <v>14254</v>
      </c>
      <c r="B1758" s="1" t="s">
        <v>2631</v>
      </c>
      <c r="C1758" s="1">
        <v>121</v>
      </c>
      <c r="D1758" s="1" t="s">
        <v>7</v>
      </c>
      <c r="E1758" s="1" t="s">
        <v>6</v>
      </c>
      <c r="F1758" s="1" t="s">
        <v>5241</v>
      </c>
      <c r="G1758" s="1" t="s">
        <v>4800</v>
      </c>
      <c r="H1758" s="1" t="s">
        <v>27</v>
      </c>
      <c r="I1758" s="17">
        <v>41883</v>
      </c>
    </row>
    <row r="1759" spans="1:9">
      <c r="A1759" s="16" t="s">
        <v>14255</v>
      </c>
      <c r="B1759" s="1" t="s">
        <v>2631</v>
      </c>
      <c r="C1759" s="1">
        <v>236</v>
      </c>
      <c r="D1759" s="1" t="s">
        <v>7</v>
      </c>
      <c r="E1759" s="1" t="s">
        <v>6</v>
      </c>
      <c r="F1759" s="1" t="s">
        <v>5241</v>
      </c>
      <c r="G1759" s="1" t="s">
        <v>4800</v>
      </c>
      <c r="H1759" s="1" t="s">
        <v>27</v>
      </c>
      <c r="I1759" s="17">
        <v>42614</v>
      </c>
    </row>
    <row r="1760" spans="1:9">
      <c r="A1760" s="16" t="s">
        <v>14260</v>
      </c>
      <c r="B1760" s="1" t="s">
        <v>2631</v>
      </c>
      <c r="C1760" s="1">
        <v>121</v>
      </c>
      <c r="D1760" s="1" t="s">
        <v>7</v>
      </c>
      <c r="E1760" s="1" t="s">
        <v>6</v>
      </c>
      <c r="F1760" s="1" t="s">
        <v>5241</v>
      </c>
      <c r="G1760" s="1" t="s">
        <v>4800</v>
      </c>
      <c r="H1760" s="1" t="s">
        <v>27</v>
      </c>
      <c r="I1760" s="17">
        <v>42430</v>
      </c>
    </row>
    <row r="1761" spans="1:10">
      <c r="A1761" s="16" t="s">
        <v>14261</v>
      </c>
      <c r="B1761" s="1" t="s">
        <v>2631</v>
      </c>
      <c r="C1761" s="1">
        <v>121</v>
      </c>
      <c r="D1761" s="1" t="s">
        <v>7</v>
      </c>
      <c r="E1761" s="1" t="s">
        <v>6</v>
      </c>
      <c r="F1761" s="1" t="s">
        <v>5241</v>
      </c>
      <c r="G1761" s="1" t="s">
        <v>4800</v>
      </c>
      <c r="H1761" s="1" t="s">
        <v>27</v>
      </c>
      <c r="I1761" s="17">
        <v>42430</v>
      </c>
    </row>
    <row r="1762" spans="1:10">
      <c r="A1762" s="16" t="s">
        <v>14273</v>
      </c>
      <c r="B1762" s="1" t="s">
        <v>2631</v>
      </c>
      <c r="C1762" s="1">
        <v>121</v>
      </c>
      <c r="D1762" s="1" t="s">
        <v>7</v>
      </c>
      <c r="E1762" s="1" t="s">
        <v>6</v>
      </c>
      <c r="F1762" s="1" t="s">
        <v>5241</v>
      </c>
      <c r="G1762" s="1" t="s">
        <v>4800</v>
      </c>
      <c r="H1762" s="1" t="s">
        <v>27</v>
      </c>
      <c r="I1762" s="17">
        <v>42614</v>
      </c>
    </row>
    <row r="1763" spans="1:10">
      <c r="A1763" s="16" t="s">
        <v>14423</v>
      </c>
      <c r="B1763" s="1" t="s">
        <v>2631</v>
      </c>
      <c r="C1763" s="1">
        <v>121</v>
      </c>
      <c r="D1763" s="1" t="s">
        <v>7</v>
      </c>
      <c r="E1763" s="1" t="s">
        <v>6</v>
      </c>
      <c r="F1763" s="1" t="s">
        <v>5241</v>
      </c>
      <c r="G1763" s="1" t="s">
        <v>4800</v>
      </c>
      <c r="H1763" s="1" t="s">
        <v>27</v>
      </c>
      <c r="I1763" s="17">
        <v>43252</v>
      </c>
    </row>
    <row r="1764" spans="1:10">
      <c r="A1764" s="7" t="s">
        <v>14433</v>
      </c>
      <c r="B1764" s="2" t="s">
        <v>2631</v>
      </c>
      <c r="C1764" s="1">
        <v>121</v>
      </c>
      <c r="D1764" s="1" t="s">
        <v>7</v>
      </c>
      <c r="E1764" s="1" t="s">
        <v>6</v>
      </c>
      <c r="F1764" s="1" t="s">
        <v>118</v>
      </c>
      <c r="G1764" s="14" t="s">
        <v>4800</v>
      </c>
      <c r="H1764" s="1" t="s">
        <v>27</v>
      </c>
      <c r="I1764" s="1" t="s">
        <v>5659</v>
      </c>
    </row>
    <row r="1765" spans="1:10">
      <c r="A1765" s="7" t="s">
        <v>14445</v>
      </c>
      <c r="B1765" s="2" t="s">
        <v>2631</v>
      </c>
      <c r="C1765" s="1">
        <v>121</v>
      </c>
      <c r="D1765" s="1" t="s">
        <v>7</v>
      </c>
      <c r="E1765" s="1" t="s">
        <v>6</v>
      </c>
      <c r="F1765" s="1" t="s">
        <v>118</v>
      </c>
      <c r="G1765" s="14" t="s">
        <v>4800</v>
      </c>
      <c r="H1765" s="1" t="s">
        <v>27</v>
      </c>
      <c r="I1765" s="1" t="s">
        <v>6844</v>
      </c>
    </row>
    <row r="1766" spans="1:10">
      <c r="A1766" s="7" t="s">
        <v>14454</v>
      </c>
      <c r="B1766" s="2" t="s">
        <v>2631</v>
      </c>
      <c r="C1766" s="1">
        <v>121</v>
      </c>
      <c r="D1766" s="1" t="s">
        <v>7</v>
      </c>
      <c r="E1766" s="1" t="s">
        <v>6</v>
      </c>
      <c r="F1766" s="1" t="s">
        <v>5241</v>
      </c>
      <c r="G1766" s="14" t="s">
        <v>4800</v>
      </c>
      <c r="H1766" s="1" t="s">
        <v>27</v>
      </c>
      <c r="I1766" s="1" t="s">
        <v>4789</v>
      </c>
    </row>
    <row r="1767" spans="1:10">
      <c r="A1767" s="16" t="s">
        <v>14546</v>
      </c>
      <c r="B1767" s="1" t="s">
        <v>2631</v>
      </c>
      <c r="C1767" s="1">
        <v>121</v>
      </c>
      <c r="D1767" s="1" t="s">
        <v>7</v>
      </c>
      <c r="E1767" s="1" t="s">
        <v>6</v>
      </c>
      <c r="F1767" s="1" t="s">
        <v>5241</v>
      </c>
      <c r="G1767" s="1" t="s">
        <v>4800</v>
      </c>
      <c r="H1767" s="1" t="s">
        <v>27</v>
      </c>
      <c r="I1767" s="17">
        <v>43252</v>
      </c>
    </row>
    <row r="1768" spans="1:10">
      <c r="A1768" s="16" t="s">
        <v>14549</v>
      </c>
      <c r="B1768" s="1" t="s">
        <v>2631</v>
      </c>
      <c r="C1768" s="1">
        <v>121</v>
      </c>
      <c r="D1768" s="1" t="s">
        <v>7</v>
      </c>
      <c r="E1768" s="1" t="s">
        <v>6</v>
      </c>
      <c r="F1768" s="1" t="s">
        <v>5241</v>
      </c>
      <c r="G1768" s="1" t="s">
        <v>4800</v>
      </c>
      <c r="H1768" s="1" t="s">
        <v>27</v>
      </c>
      <c r="I1768" s="17">
        <v>43252</v>
      </c>
    </row>
    <row r="1769" spans="1:10">
      <c r="A1769" s="16" t="s">
        <v>15512</v>
      </c>
      <c r="B1769" s="1" t="s">
        <v>2631</v>
      </c>
      <c r="C1769" s="1">
        <v>121</v>
      </c>
      <c r="D1769" s="1" t="s">
        <v>7</v>
      </c>
      <c r="E1769" s="1" t="s">
        <v>6</v>
      </c>
      <c r="F1769" s="1" t="s">
        <v>5241</v>
      </c>
      <c r="G1769" s="1" t="s">
        <v>4800</v>
      </c>
      <c r="H1769" s="1" t="s">
        <v>27</v>
      </c>
      <c r="I1769" s="17">
        <v>43282</v>
      </c>
    </row>
    <row r="1770" spans="1:10">
      <c r="A1770" s="7" t="s">
        <v>16093</v>
      </c>
      <c r="B1770" s="2" t="s">
        <v>2631</v>
      </c>
      <c r="C1770" s="1">
        <v>121</v>
      </c>
      <c r="D1770" s="1" t="s">
        <v>7</v>
      </c>
      <c r="E1770" s="1" t="s">
        <v>6</v>
      </c>
      <c r="F1770" s="1" t="s">
        <v>118</v>
      </c>
      <c r="G1770" s="14" t="s">
        <v>4800</v>
      </c>
      <c r="H1770" s="1" t="s">
        <v>27</v>
      </c>
      <c r="I1770" s="1">
        <v>2018</v>
      </c>
    </row>
    <row r="1771" spans="1:10">
      <c r="A1771" s="7" t="s">
        <v>16509</v>
      </c>
      <c r="B1771" s="2" t="s">
        <v>2631</v>
      </c>
      <c r="C1771" s="1">
        <v>121</v>
      </c>
      <c r="D1771" s="1" t="s">
        <v>7</v>
      </c>
      <c r="E1771" s="1" t="s">
        <v>6</v>
      </c>
      <c r="F1771" s="1" t="s">
        <v>5596</v>
      </c>
      <c r="G1771" s="14" t="s">
        <v>4800</v>
      </c>
      <c r="H1771" s="1" t="s">
        <v>27</v>
      </c>
      <c r="I1771" s="1">
        <v>2019</v>
      </c>
    </row>
    <row r="1772" spans="1:10">
      <c r="A1772" s="7" t="s">
        <v>16518</v>
      </c>
      <c r="B1772" s="2" t="s">
        <v>2631</v>
      </c>
      <c r="C1772" s="1">
        <v>121</v>
      </c>
      <c r="D1772" s="1" t="s">
        <v>7</v>
      </c>
      <c r="E1772" s="1" t="s">
        <v>6</v>
      </c>
      <c r="F1772" s="1" t="s">
        <v>5596</v>
      </c>
      <c r="G1772" s="14" t="s">
        <v>4800</v>
      </c>
      <c r="H1772" s="1" t="s">
        <v>27</v>
      </c>
      <c r="I1772" s="1">
        <v>2019</v>
      </c>
    </row>
    <row r="1773" spans="1:10">
      <c r="A1773" s="16" t="s">
        <v>8772</v>
      </c>
      <c r="B1773" s="1" t="s">
        <v>2628</v>
      </c>
      <c r="C1773" s="1">
        <v>13</v>
      </c>
      <c r="D1773" s="1" t="s">
        <v>8773</v>
      </c>
      <c r="E1773" s="1" t="s">
        <v>6</v>
      </c>
      <c r="F1773" s="1" t="s">
        <v>5091</v>
      </c>
      <c r="G1773" s="14" t="s">
        <v>8774</v>
      </c>
      <c r="H1773" s="1" t="s">
        <v>5</v>
      </c>
      <c r="I1773" s="1" t="s">
        <v>4458</v>
      </c>
    </row>
    <row r="1774" spans="1:10">
      <c r="A1774" s="16" t="s">
        <v>5476</v>
      </c>
      <c r="B1774" s="1" t="s">
        <v>2628</v>
      </c>
      <c r="C1774" s="1">
        <v>14</v>
      </c>
      <c r="D1774" s="1" t="s">
        <v>23</v>
      </c>
      <c r="E1774" s="1" t="s">
        <v>6</v>
      </c>
      <c r="F1774" s="1" t="s">
        <v>2698</v>
      </c>
      <c r="G1774" s="14" t="s">
        <v>27</v>
      </c>
      <c r="H1774" s="1" t="s">
        <v>27</v>
      </c>
      <c r="I1774" s="17">
        <v>42370</v>
      </c>
    </row>
    <row r="1775" spans="1:10">
      <c r="A1775" s="16" t="s">
        <v>13303</v>
      </c>
      <c r="B1775" s="1" t="s">
        <v>2628</v>
      </c>
      <c r="C1775" s="1">
        <v>14</v>
      </c>
      <c r="D1775" s="1" t="s">
        <v>23</v>
      </c>
      <c r="E1775" s="1" t="s">
        <v>6</v>
      </c>
      <c r="F1775" s="1" t="s">
        <v>5091</v>
      </c>
      <c r="G1775" s="14" t="s">
        <v>5853</v>
      </c>
      <c r="H1775" s="1" t="s">
        <v>27</v>
      </c>
      <c r="I1775" s="1" t="s">
        <v>4458</v>
      </c>
    </row>
    <row r="1776" spans="1:10">
      <c r="A1776" s="7" t="s">
        <v>6074</v>
      </c>
      <c r="B1776" s="1" t="s">
        <v>2629</v>
      </c>
      <c r="C1776" s="1">
        <v>14</v>
      </c>
      <c r="D1776" s="1" t="s">
        <v>23</v>
      </c>
      <c r="E1776" s="1" t="s">
        <v>6</v>
      </c>
      <c r="F1776" s="1" t="s">
        <v>2360</v>
      </c>
      <c r="G1776" s="1" t="s">
        <v>5</v>
      </c>
      <c r="H1776" s="1" t="s">
        <v>5</v>
      </c>
      <c r="I1776" s="1" t="s">
        <v>5848</v>
      </c>
      <c r="J1776" s="17"/>
    </row>
    <row r="1777" spans="1:9">
      <c r="A1777" s="7" t="s">
        <v>6560</v>
      </c>
      <c r="B1777" s="1" t="s">
        <v>2628</v>
      </c>
      <c r="C1777" s="1">
        <v>14</v>
      </c>
      <c r="D1777" s="1" t="s">
        <v>23</v>
      </c>
      <c r="E1777" s="1" t="s">
        <v>6</v>
      </c>
      <c r="F1777" s="1" t="s">
        <v>5091</v>
      </c>
      <c r="G1777" s="1" t="s">
        <v>6536</v>
      </c>
      <c r="H1777" s="1" t="s">
        <v>43</v>
      </c>
      <c r="I1777" s="1" t="s">
        <v>5848</v>
      </c>
    </row>
    <row r="1778" spans="1:9">
      <c r="A1778" s="7" t="s">
        <v>6656</v>
      </c>
      <c r="B1778" s="1" t="s">
        <v>2628</v>
      </c>
      <c r="C1778" s="1">
        <v>14</v>
      </c>
      <c r="D1778" s="1" t="s">
        <v>23</v>
      </c>
      <c r="E1778" s="1" t="s">
        <v>6</v>
      </c>
      <c r="F1778" s="1" t="s">
        <v>5091</v>
      </c>
      <c r="G1778" s="1" t="s">
        <v>6627</v>
      </c>
      <c r="H1778" s="1" t="s">
        <v>43</v>
      </c>
      <c r="I1778" s="1" t="s">
        <v>5807</v>
      </c>
    </row>
    <row r="1779" spans="1:9">
      <c r="A1779" s="7" t="s">
        <v>6660</v>
      </c>
      <c r="B1779" s="1" t="s">
        <v>2628</v>
      </c>
      <c r="C1779" s="1">
        <v>14</v>
      </c>
      <c r="D1779" s="1" t="s">
        <v>23</v>
      </c>
      <c r="E1779" s="1" t="s">
        <v>6</v>
      </c>
      <c r="F1779" s="1" t="s">
        <v>5091</v>
      </c>
      <c r="G1779" s="1" t="s">
        <v>6627</v>
      </c>
      <c r="H1779" s="1" t="s">
        <v>43</v>
      </c>
      <c r="I1779" s="1" t="s">
        <v>5807</v>
      </c>
    </row>
    <row r="1780" spans="1:9">
      <c r="A1780" s="7" t="s">
        <v>6665</v>
      </c>
      <c r="B1780" s="1" t="s">
        <v>2628</v>
      </c>
      <c r="C1780" s="1">
        <v>14</v>
      </c>
      <c r="D1780" s="1" t="s">
        <v>23</v>
      </c>
      <c r="E1780" s="1" t="s">
        <v>6</v>
      </c>
      <c r="F1780" s="1" t="s">
        <v>5091</v>
      </c>
      <c r="G1780" s="1" t="s">
        <v>6627</v>
      </c>
      <c r="H1780" s="1" t="s">
        <v>43</v>
      </c>
      <c r="I1780" s="1" t="s">
        <v>5807</v>
      </c>
    </row>
    <row r="1781" spans="1:9">
      <c r="A1781" s="7" t="s">
        <v>7589</v>
      </c>
      <c r="B1781" s="1" t="s">
        <v>2628</v>
      </c>
      <c r="C1781" s="1">
        <v>14</v>
      </c>
      <c r="D1781" s="1" t="s">
        <v>23</v>
      </c>
      <c r="E1781" s="1" t="s">
        <v>6</v>
      </c>
      <c r="F1781" s="1" t="s">
        <v>5091</v>
      </c>
      <c r="G1781" s="1" t="s">
        <v>7567</v>
      </c>
      <c r="H1781" s="1" t="s">
        <v>43</v>
      </c>
      <c r="I1781" s="1" t="s">
        <v>6844</v>
      </c>
    </row>
    <row r="1782" spans="1:9">
      <c r="A1782" s="7" t="s">
        <v>7592</v>
      </c>
      <c r="B1782" s="1" t="s">
        <v>2628</v>
      </c>
      <c r="C1782" s="1">
        <v>14</v>
      </c>
      <c r="D1782" s="1" t="s">
        <v>23</v>
      </c>
      <c r="E1782" s="1" t="s">
        <v>6</v>
      </c>
      <c r="F1782" s="1" t="s">
        <v>5091</v>
      </c>
      <c r="G1782" s="1" t="s">
        <v>7567</v>
      </c>
      <c r="H1782" s="1" t="s">
        <v>43</v>
      </c>
      <c r="I1782" s="1" t="s">
        <v>6844</v>
      </c>
    </row>
    <row r="1783" spans="1:9">
      <c r="A1783" s="16" t="s">
        <v>8552</v>
      </c>
      <c r="B1783" s="1" t="s">
        <v>2628</v>
      </c>
      <c r="C1783" s="1">
        <v>14</v>
      </c>
      <c r="D1783" s="1" t="s">
        <v>23</v>
      </c>
      <c r="E1783" s="1" t="s">
        <v>6</v>
      </c>
      <c r="F1783" s="1" t="s">
        <v>5091</v>
      </c>
      <c r="G1783" s="14" t="s">
        <v>8553</v>
      </c>
      <c r="H1783" s="1" t="s">
        <v>43</v>
      </c>
      <c r="I1783" s="17">
        <v>40926</v>
      </c>
    </row>
    <row r="1784" spans="1:9">
      <c r="A1784" s="16" t="s">
        <v>8888</v>
      </c>
      <c r="B1784" s="1" t="s">
        <v>2628</v>
      </c>
      <c r="C1784" s="1">
        <v>14</v>
      </c>
      <c r="D1784" s="1" t="s">
        <v>23</v>
      </c>
      <c r="E1784" s="1" t="s">
        <v>6</v>
      </c>
      <c r="F1784" s="1" t="s">
        <v>5091</v>
      </c>
      <c r="G1784" s="14" t="s">
        <v>8889</v>
      </c>
      <c r="H1784" s="1" t="s">
        <v>5</v>
      </c>
      <c r="I1784" s="1" t="s">
        <v>4458</v>
      </c>
    </row>
    <row r="1785" spans="1:9">
      <c r="A1785" s="16" t="s">
        <v>8977</v>
      </c>
      <c r="B1785" s="1" t="s">
        <v>2628</v>
      </c>
      <c r="C1785" s="1">
        <v>14</v>
      </c>
      <c r="D1785" s="1" t="s">
        <v>23</v>
      </c>
      <c r="E1785" s="1" t="s">
        <v>6</v>
      </c>
      <c r="F1785" s="1" t="s">
        <v>5091</v>
      </c>
      <c r="G1785" s="14" t="s">
        <v>6236</v>
      </c>
      <c r="H1785" s="1" t="s">
        <v>43</v>
      </c>
      <c r="I1785" s="17">
        <v>42005</v>
      </c>
    </row>
    <row r="1786" spans="1:9">
      <c r="A1786" s="16" t="s">
        <v>9122</v>
      </c>
      <c r="B1786" s="1" t="s">
        <v>2628</v>
      </c>
      <c r="C1786" s="1">
        <v>399</v>
      </c>
      <c r="D1786" s="1" t="s">
        <v>23</v>
      </c>
      <c r="E1786" s="1" t="s">
        <v>6</v>
      </c>
      <c r="F1786" s="1" t="s">
        <v>5091</v>
      </c>
      <c r="G1786" s="14" t="s">
        <v>6145</v>
      </c>
      <c r="H1786" s="1" t="s">
        <v>43</v>
      </c>
      <c r="I1786" s="17">
        <v>42111</v>
      </c>
    </row>
    <row r="1787" spans="1:9">
      <c r="A1787" s="16" t="s">
        <v>9502</v>
      </c>
      <c r="B1787" s="1" t="s">
        <v>2628</v>
      </c>
      <c r="C1787" s="1">
        <v>14</v>
      </c>
      <c r="D1787" s="1" t="s">
        <v>23</v>
      </c>
      <c r="E1787" s="1" t="s">
        <v>6</v>
      </c>
      <c r="F1787" s="1" t="s">
        <v>5091</v>
      </c>
      <c r="G1787" s="14" t="s">
        <v>6477</v>
      </c>
      <c r="H1787" s="1" t="s">
        <v>5</v>
      </c>
      <c r="I1787" s="17">
        <v>40940</v>
      </c>
    </row>
    <row r="1788" spans="1:9">
      <c r="A1788" s="16" t="s">
        <v>9682</v>
      </c>
      <c r="B1788" s="1" t="s">
        <v>2628</v>
      </c>
      <c r="C1788" s="1">
        <v>14</v>
      </c>
      <c r="D1788" s="1" t="s">
        <v>23</v>
      </c>
      <c r="E1788" s="1" t="s">
        <v>6</v>
      </c>
      <c r="F1788" s="1" t="s">
        <v>5091</v>
      </c>
      <c r="G1788" s="14" t="s">
        <v>6145</v>
      </c>
      <c r="H1788" s="1" t="s">
        <v>43</v>
      </c>
      <c r="I1788" s="17">
        <v>41128</v>
      </c>
    </row>
    <row r="1789" spans="1:9">
      <c r="A1789" s="16" t="s">
        <v>9683</v>
      </c>
      <c r="B1789" s="1" t="s">
        <v>2628</v>
      </c>
      <c r="C1789" s="1">
        <v>14</v>
      </c>
      <c r="D1789" s="1" t="s">
        <v>23</v>
      </c>
      <c r="E1789" s="1" t="s">
        <v>6</v>
      </c>
      <c r="F1789" s="1" t="s">
        <v>5091</v>
      </c>
      <c r="G1789" s="14" t="s">
        <v>6145</v>
      </c>
      <c r="H1789" s="1" t="s">
        <v>43</v>
      </c>
      <c r="I1789" s="17">
        <v>41128</v>
      </c>
    </row>
    <row r="1790" spans="1:9">
      <c r="A1790" s="16" t="s">
        <v>9684</v>
      </c>
      <c r="B1790" s="1" t="s">
        <v>2628</v>
      </c>
      <c r="C1790" s="1">
        <v>14</v>
      </c>
      <c r="D1790" s="1" t="s">
        <v>23</v>
      </c>
      <c r="E1790" s="1" t="s">
        <v>6</v>
      </c>
      <c r="F1790" s="1" t="s">
        <v>5091</v>
      </c>
      <c r="G1790" s="14" t="s">
        <v>6145</v>
      </c>
      <c r="H1790" s="1" t="s">
        <v>43</v>
      </c>
      <c r="I1790" s="17">
        <v>41128</v>
      </c>
    </row>
    <row r="1791" spans="1:9">
      <c r="A1791" s="16" t="s">
        <v>9722</v>
      </c>
      <c r="B1791" s="1" t="s">
        <v>2628</v>
      </c>
      <c r="C1791" s="1">
        <v>14</v>
      </c>
      <c r="D1791" s="1" t="s">
        <v>23</v>
      </c>
      <c r="E1791" s="1" t="s">
        <v>6</v>
      </c>
      <c r="F1791" s="1" t="s">
        <v>5091</v>
      </c>
      <c r="G1791" s="14" t="s">
        <v>6145</v>
      </c>
      <c r="H1791" s="1" t="s">
        <v>43</v>
      </c>
      <c r="I1791" s="17">
        <v>41128</v>
      </c>
    </row>
    <row r="1792" spans="1:9">
      <c r="A1792" s="16" t="s">
        <v>9723</v>
      </c>
      <c r="B1792" s="1" t="s">
        <v>2628</v>
      </c>
      <c r="C1792" s="1">
        <v>14</v>
      </c>
      <c r="D1792" s="1" t="s">
        <v>23</v>
      </c>
      <c r="E1792" s="1" t="s">
        <v>6</v>
      </c>
      <c r="F1792" s="1" t="s">
        <v>5091</v>
      </c>
      <c r="G1792" s="14" t="s">
        <v>6145</v>
      </c>
      <c r="H1792" s="1" t="s">
        <v>43</v>
      </c>
      <c r="I1792" s="17">
        <v>41128</v>
      </c>
    </row>
    <row r="1793" spans="1:9">
      <c r="A1793" s="16" t="s">
        <v>9724</v>
      </c>
      <c r="B1793" s="1" t="s">
        <v>2628</v>
      </c>
      <c r="C1793" s="1">
        <v>14</v>
      </c>
      <c r="D1793" s="1" t="s">
        <v>23</v>
      </c>
      <c r="E1793" s="1" t="s">
        <v>6</v>
      </c>
      <c r="F1793" s="1" t="s">
        <v>5091</v>
      </c>
      <c r="G1793" s="14" t="s">
        <v>6145</v>
      </c>
      <c r="H1793" s="1" t="s">
        <v>43</v>
      </c>
      <c r="I1793" s="17">
        <v>41128</v>
      </c>
    </row>
    <row r="1794" spans="1:9">
      <c r="A1794" s="16" t="s">
        <v>9725</v>
      </c>
      <c r="B1794" s="1" t="s">
        <v>2628</v>
      </c>
      <c r="C1794" s="1">
        <v>14</v>
      </c>
      <c r="D1794" s="1" t="s">
        <v>23</v>
      </c>
      <c r="E1794" s="1" t="s">
        <v>6</v>
      </c>
      <c r="F1794" s="1" t="s">
        <v>5091</v>
      </c>
      <c r="G1794" s="14" t="s">
        <v>6145</v>
      </c>
      <c r="H1794" s="1" t="s">
        <v>43</v>
      </c>
      <c r="I1794" s="17">
        <v>41128</v>
      </c>
    </row>
    <row r="1795" spans="1:9">
      <c r="A1795" s="16" t="s">
        <v>9726</v>
      </c>
      <c r="B1795" s="1" t="s">
        <v>2628</v>
      </c>
      <c r="C1795" s="1">
        <v>14</v>
      </c>
      <c r="D1795" s="1" t="s">
        <v>23</v>
      </c>
      <c r="E1795" s="1" t="s">
        <v>6</v>
      </c>
      <c r="F1795" s="1" t="s">
        <v>5091</v>
      </c>
      <c r="G1795" s="14" t="s">
        <v>6145</v>
      </c>
      <c r="H1795" s="1" t="s">
        <v>43</v>
      </c>
      <c r="I1795" s="17">
        <v>41128</v>
      </c>
    </row>
    <row r="1796" spans="1:9">
      <c r="A1796" s="16" t="s">
        <v>9727</v>
      </c>
      <c r="B1796" s="1" t="s">
        <v>2628</v>
      </c>
      <c r="C1796" s="1">
        <v>14</v>
      </c>
      <c r="D1796" s="1" t="s">
        <v>23</v>
      </c>
      <c r="E1796" s="1" t="s">
        <v>6</v>
      </c>
      <c r="F1796" s="1" t="s">
        <v>5091</v>
      </c>
      <c r="G1796" s="14" t="s">
        <v>6145</v>
      </c>
      <c r="H1796" s="1" t="s">
        <v>43</v>
      </c>
      <c r="I1796" s="17">
        <v>41128</v>
      </c>
    </row>
    <row r="1797" spans="1:9">
      <c r="A1797" s="16" t="s">
        <v>9728</v>
      </c>
      <c r="B1797" s="1" t="s">
        <v>2628</v>
      </c>
      <c r="C1797" s="1">
        <v>14</v>
      </c>
      <c r="D1797" s="1" t="s">
        <v>23</v>
      </c>
      <c r="E1797" s="1" t="s">
        <v>6</v>
      </c>
      <c r="F1797" s="1" t="s">
        <v>5091</v>
      </c>
      <c r="G1797" s="14" t="s">
        <v>6145</v>
      </c>
      <c r="H1797" s="1" t="s">
        <v>43</v>
      </c>
      <c r="I1797" s="17">
        <v>41128</v>
      </c>
    </row>
    <row r="1798" spans="1:9">
      <c r="A1798" s="16" t="s">
        <v>9729</v>
      </c>
      <c r="B1798" s="1" t="s">
        <v>2628</v>
      </c>
      <c r="C1798" s="1">
        <v>14</v>
      </c>
      <c r="D1798" s="1" t="s">
        <v>23</v>
      </c>
      <c r="E1798" s="1" t="s">
        <v>6</v>
      </c>
      <c r="F1798" s="1" t="s">
        <v>5091</v>
      </c>
      <c r="G1798" s="14" t="s">
        <v>6145</v>
      </c>
      <c r="H1798" s="1" t="s">
        <v>43</v>
      </c>
      <c r="I1798" s="17">
        <v>41128</v>
      </c>
    </row>
    <row r="1799" spans="1:9">
      <c r="A1799" s="16" t="s">
        <v>9730</v>
      </c>
      <c r="B1799" s="1" t="s">
        <v>2628</v>
      </c>
      <c r="C1799" s="1">
        <v>14</v>
      </c>
      <c r="D1799" s="1" t="s">
        <v>23</v>
      </c>
      <c r="E1799" s="1" t="s">
        <v>6</v>
      </c>
      <c r="F1799" s="1" t="s">
        <v>5091</v>
      </c>
      <c r="G1799" s="14" t="s">
        <v>6145</v>
      </c>
      <c r="H1799" s="1" t="s">
        <v>43</v>
      </c>
      <c r="I1799" s="17">
        <v>41128</v>
      </c>
    </row>
    <row r="1800" spans="1:9">
      <c r="A1800" s="16" t="s">
        <v>9922</v>
      </c>
      <c r="B1800" s="1" t="s">
        <v>2628</v>
      </c>
      <c r="C1800" s="1">
        <v>14</v>
      </c>
      <c r="D1800" s="1" t="s">
        <v>23</v>
      </c>
      <c r="E1800" s="1" t="s">
        <v>6</v>
      </c>
      <c r="F1800" s="1" t="s">
        <v>5091</v>
      </c>
      <c r="G1800" s="14" t="s">
        <v>6145</v>
      </c>
      <c r="H1800" s="1" t="s">
        <v>43</v>
      </c>
      <c r="I1800" s="17">
        <v>40787</v>
      </c>
    </row>
    <row r="1801" spans="1:9">
      <c r="A1801" s="16" t="s">
        <v>9923</v>
      </c>
      <c r="B1801" s="1" t="s">
        <v>2628</v>
      </c>
      <c r="C1801" s="1">
        <v>14</v>
      </c>
      <c r="D1801" s="1" t="s">
        <v>23</v>
      </c>
      <c r="E1801" s="1" t="s">
        <v>6</v>
      </c>
      <c r="F1801" s="1" t="s">
        <v>5091</v>
      </c>
      <c r="G1801" s="14" t="s">
        <v>6145</v>
      </c>
      <c r="H1801" s="1" t="s">
        <v>43</v>
      </c>
      <c r="I1801" s="17">
        <v>40787</v>
      </c>
    </row>
    <row r="1802" spans="1:9">
      <c r="A1802" s="16" t="s">
        <v>9977</v>
      </c>
      <c r="B1802" s="1" t="s">
        <v>2628</v>
      </c>
      <c r="C1802" s="1">
        <v>14</v>
      </c>
      <c r="D1802" s="1" t="s">
        <v>23</v>
      </c>
      <c r="E1802" s="1" t="s">
        <v>6</v>
      </c>
      <c r="F1802" s="1" t="s">
        <v>5091</v>
      </c>
      <c r="G1802" s="14" t="s">
        <v>6145</v>
      </c>
      <c r="H1802" s="1" t="s">
        <v>43</v>
      </c>
      <c r="I1802" s="17">
        <v>40820</v>
      </c>
    </row>
    <row r="1803" spans="1:9">
      <c r="A1803" s="16" t="s">
        <v>10339</v>
      </c>
      <c r="B1803" s="1" t="s">
        <v>2628</v>
      </c>
      <c r="C1803" s="1">
        <v>14</v>
      </c>
      <c r="D1803" s="1" t="s">
        <v>23</v>
      </c>
      <c r="E1803" s="1" t="s">
        <v>6</v>
      </c>
      <c r="F1803" s="1" t="s">
        <v>5091</v>
      </c>
      <c r="G1803" s="14" t="s">
        <v>6145</v>
      </c>
      <c r="H1803" s="1" t="s">
        <v>43</v>
      </c>
      <c r="I1803" s="17">
        <v>40820</v>
      </c>
    </row>
    <row r="1804" spans="1:9">
      <c r="A1804" s="16" t="s">
        <v>10340</v>
      </c>
      <c r="B1804" s="1" t="s">
        <v>2628</v>
      </c>
      <c r="C1804" s="1">
        <v>14</v>
      </c>
      <c r="D1804" s="1" t="s">
        <v>23</v>
      </c>
      <c r="E1804" s="1" t="s">
        <v>6</v>
      </c>
      <c r="F1804" s="1" t="s">
        <v>5091</v>
      </c>
      <c r="G1804" s="14" t="s">
        <v>6145</v>
      </c>
      <c r="H1804" s="1" t="s">
        <v>43</v>
      </c>
      <c r="I1804" s="17">
        <v>40820</v>
      </c>
    </row>
    <row r="1805" spans="1:9">
      <c r="A1805" s="16" t="s">
        <v>10342</v>
      </c>
      <c r="B1805" s="1" t="s">
        <v>2628</v>
      </c>
      <c r="C1805" s="1">
        <v>14</v>
      </c>
      <c r="D1805" s="1" t="s">
        <v>23</v>
      </c>
      <c r="E1805" s="1" t="s">
        <v>6</v>
      </c>
      <c r="F1805" s="1" t="s">
        <v>5091</v>
      </c>
      <c r="G1805" s="14" t="s">
        <v>6145</v>
      </c>
      <c r="H1805" s="1" t="s">
        <v>43</v>
      </c>
      <c r="I1805" s="17">
        <v>40820</v>
      </c>
    </row>
    <row r="1806" spans="1:9">
      <c r="A1806" s="16" t="s">
        <v>10591</v>
      </c>
      <c r="B1806" s="1" t="s">
        <v>2628</v>
      </c>
      <c r="C1806" s="1">
        <v>14</v>
      </c>
      <c r="D1806" s="1" t="s">
        <v>23</v>
      </c>
      <c r="E1806" s="1" t="s">
        <v>6</v>
      </c>
      <c r="F1806" s="1" t="s">
        <v>5091</v>
      </c>
      <c r="G1806" s="14" t="s">
        <v>6145</v>
      </c>
      <c r="H1806" s="1" t="s">
        <v>43</v>
      </c>
      <c r="I1806" s="17">
        <v>42401</v>
      </c>
    </row>
    <row r="1807" spans="1:9">
      <c r="A1807" s="16" t="s">
        <v>10592</v>
      </c>
      <c r="B1807" s="1" t="s">
        <v>2628</v>
      </c>
      <c r="C1807" s="1">
        <v>14</v>
      </c>
      <c r="D1807" s="1" t="s">
        <v>23</v>
      </c>
      <c r="E1807" s="1" t="s">
        <v>6</v>
      </c>
      <c r="F1807" s="1" t="s">
        <v>5091</v>
      </c>
      <c r="G1807" s="14" t="s">
        <v>6145</v>
      </c>
      <c r="H1807" s="1" t="s">
        <v>43</v>
      </c>
      <c r="I1807" s="17">
        <v>42401</v>
      </c>
    </row>
    <row r="1808" spans="1:9">
      <c r="A1808" s="16" t="s">
        <v>11136</v>
      </c>
      <c r="B1808" s="1" t="s">
        <v>2628</v>
      </c>
      <c r="C1808" s="1">
        <v>14</v>
      </c>
      <c r="D1808" s="1" t="s">
        <v>23</v>
      </c>
      <c r="E1808" s="1" t="s">
        <v>6</v>
      </c>
      <c r="F1808" s="1" t="s">
        <v>5091</v>
      </c>
      <c r="G1808" s="14" t="s">
        <v>6145</v>
      </c>
      <c r="H1808" s="1" t="s">
        <v>43</v>
      </c>
      <c r="I1808" s="17">
        <v>40820</v>
      </c>
    </row>
    <row r="1809" spans="1:9">
      <c r="A1809" s="16" t="s">
        <v>11137</v>
      </c>
      <c r="B1809" s="1" t="s">
        <v>2628</v>
      </c>
      <c r="C1809" s="1">
        <v>14</v>
      </c>
      <c r="D1809" s="1" t="s">
        <v>23</v>
      </c>
      <c r="E1809" s="1" t="s">
        <v>6</v>
      </c>
      <c r="F1809" s="1" t="s">
        <v>5091</v>
      </c>
      <c r="G1809" s="14" t="s">
        <v>6145</v>
      </c>
      <c r="H1809" s="1" t="s">
        <v>43</v>
      </c>
      <c r="I1809" s="17">
        <v>40820</v>
      </c>
    </row>
    <row r="1810" spans="1:9">
      <c r="A1810" s="16" t="s">
        <v>11443</v>
      </c>
      <c r="B1810" s="1" t="s">
        <v>2628</v>
      </c>
      <c r="C1810" s="1">
        <v>14</v>
      </c>
      <c r="D1810" s="1" t="s">
        <v>23</v>
      </c>
      <c r="E1810" s="1" t="s">
        <v>6</v>
      </c>
      <c r="F1810" s="1" t="s">
        <v>5091</v>
      </c>
      <c r="G1810" s="14" t="s">
        <v>6290</v>
      </c>
      <c r="H1810" s="1" t="s">
        <v>5</v>
      </c>
      <c r="I1810" s="17">
        <v>42370</v>
      </c>
    </row>
    <row r="1811" spans="1:9">
      <c r="A1811" s="16" t="s">
        <v>11444</v>
      </c>
      <c r="B1811" s="1" t="s">
        <v>2628</v>
      </c>
      <c r="C1811" s="1">
        <v>14</v>
      </c>
      <c r="D1811" s="1" t="s">
        <v>23</v>
      </c>
      <c r="E1811" s="1" t="s">
        <v>6</v>
      </c>
      <c r="F1811" s="1" t="s">
        <v>5091</v>
      </c>
      <c r="G1811" s="14" t="s">
        <v>6290</v>
      </c>
      <c r="H1811" s="1" t="s">
        <v>5</v>
      </c>
      <c r="I1811" s="17">
        <v>42370</v>
      </c>
    </row>
    <row r="1812" spans="1:9">
      <c r="A1812" s="16" t="s">
        <v>11447</v>
      </c>
      <c r="B1812" s="1" t="s">
        <v>2628</v>
      </c>
      <c r="C1812" s="1">
        <v>14</v>
      </c>
      <c r="D1812" s="1" t="s">
        <v>23</v>
      </c>
      <c r="E1812" s="1" t="s">
        <v>6</v>
      </c>
      <c r="F1812" s="1" t="s">
        <v>5091</v>
      </c>
      <c r="G1812" s="14" t="s">
        <v>6290</v>
      </c>
      <c r="H1812" s="1" t="s">
        <v>5</v>
      </c>
      <c r="I1812" s="17">
        <v>42370</v>
      </c>
    </row>
    <row r="1813" spans="1:9">
      <c r="A1813" s="16" t="s">
        <v>11448</v>
      </c>
      <c r="B1813" s="1" t="s">
        <v>2628</v>
      </c>
      <c r="C1813" s="1">
        <v>14</v>
      </c>
      <c r="D1813" s="1" t="s">
        <v>23</v>
      </c>
      <c r="E1813" s="1" t="s">
        <v>6</v>
      </c>
      <c r="F1813" s="1" t="s">
        <v>5091</v>
      </c>
      <c r="G1813" s="14" t="s">
        <v>6290</v>
      </c>
      <c r="H1813" s="1" t="s">
        <v>5</v>
      </c>
      <c r="I1813" s="17">
        <v>42370</v>
      </c>
    </row>
    <row r="1814" spans="1:9" ht="31.2">
      <c r="A1814" s="16" t="s">
        <v>11962</v>
      </c>
      <c r="B1814" s="1" t="s">
        <v>2628</v>
      </c>
      <c r="C1814" s="1">
        <v>14</v>
      </c>
      <c r="D1814" s="1" t="s">
        <v>23</v>
      </c>
      <c r="E1814" s="1" t="s">
        <v>6</v>
      </c>
      <c r="F1814" s="1" t="s">
        <v>5091</v>
      </c>
      <c r="G1814" s="14" t="s">
        <v>6145</v>
      </c>
      <c r="H1814" s="1" t="s">
        <v>43</v>
      </c>
      <c r="I1814" s="17">
        <v>42688</v>
      </c>
    </row>
    <row r="1815" spans="1:9">
      <c r="A1815" s="16" t="s">
        <v>11993</v>
      </c>
      <c r="B1815" s="1" t="s">
        <v>2628</v>
      </c>
      <c r="C1815" s="1">
        <v>14</v>
      </c>
      <c r="D1815" s="1" t="s">
        <v>23</v>
      </c>
      <c r="E1815" s="1" t="s">
        <v>6</v>
      </c>
      <c r="F1815" s="1" t="s">
        <v>5091</v>
      </c>
      <c r="G1815" s="14" t="s">
        <v>6145</v>
      </c>
      <c r="H1815" s="1" t="s">
        <v>43</v>
      </c>
      <c r="I1815" s="17">
        <v>42690</v>
      </c>
    </row>
    <row r="1816" spans="1:9">
      <c r="A1816" s="16" t="s">
        <v>12014</v>
      </c>
      <c r="B1816" s="1" t="s">
        <v>2628</v>
      </c>
      <c r="C1816" s="1">
        <v>14</v>
      </c>
      <c r="D1816" s="1" t="s">
        <v>23</v>
      </c>
      <c r="E1816" s="1" t="s">
        <v>6</v>
      </c>
      <c r="F1816" s="1" t="s">
        <v>5091</v>
      </c>
      <c r="G1816" s="14" t="s">
        <v>6145</v>
      </c>
      <c r="H1816" s="1" t="s">
        <v>43</v>
      </c>
      <c r="I1816" s="17">
        <v>42688</v>
      </c>
    </row>
    <row r="1817" spans="1:9" ht="31.2">
      <c r="A1817" s="16" t="s">
        <v>12042</v>
      </c>
      <c r="B1817" s="1" t="s">
        <v>2628</v>
      </c>
      <c r="C1817" s="1">
        <v>14</v>
      </c>
      <c r="D1817" s="1" t="s">
        <v>23</v>
      </c>
      <c r="E1817" s="1" t="s">
        <v>6</v>
      </c>
      <c r="F1817" s="1" t="s">
        <v>5091</v>
      </c>
      <c r="G1817" s="14" t="s">
        <v>12043</v>
      </c>
      <c r="H1817" s="1" t="s">
        <v>5</v>
      </c>
      <c r="I1817" s="17">
        <v>38707</v>
      </c>
    </row>
    <row r="1818" spans="1:9">
      <c r="A1818" s="16" t="s">
        <v>12118</v>
      </c>
      <c r="B1818" s="1" t="s">
        <v>2628</v>
      </c>
      <c r="C1818" s="1">
        <v>14</v>
      </c>
      <c r="D1818" s="1" t="s">
        <v>23</v>
      </c>
      <c r="E1818" s="1" t="s">
        <v>6</v>
      </c>
      <c r="F1818" s="1" t="s">
        <v>5091</v>
      </c>
      <c r="G1818" s="14" t="s">
        <v>6145</v>
      </c>
      <c r="H1818" s="1" t="s">
        <v>43</v>
      </c>
      <c r="I1818" s="17">
        <v>42736</v>
      </c>
    </row>
    <row r="1819" spans="1:9">
      <c r="A1819" s="16" t="s">
        <v>12150</v>
      </c>
      <c r="B1819" s="1" t="s">
        <v>2628</v>
      </c>
      <c r="C1819" s="1">
        <v>14</v>
      </c>
      <c r="D1819" s="1" t="s">
        <v>23</v>
      </c>
      <c r="E1819" s="1" t="s">
        <v>6</v>
      </c>
      <c r="F1819" s="1" t="s">
        <v>5091</v>
      </c>
      <c r="G1819" s="14" t="s">
        <v>12151</v>
      </c>
      <c r="H1819" s="1" t="s">
        <v>43</v>
      </c>
      <c r="I1819" s="17">
        <v>41640</v>
      </c>
    </row>
    <row r="1820" spans="1:9">
      <c r="A1820" s="16" t="s">
        <v>12153</v>
      </c>
      <c r="B1820" s="1" t="s">
        <v>2628</v>
      </c>
      <c r="C1820" s="1">
        <v>14</v>
      </c>
      <c r="D1820" s="1" t="s">
        <v>23</v>
      </c>
      <c r="E1820" s="1" t="s">
        <v>6</v>
      </c>
      <c r="F1820" s="1" t="s">
        <v>5091</v>
      </c>
      <c r="G1820" s="14" t="s">
        <v>12151</v>
      </c>
      <c r="H1820" s="1" t="s">
        <v>43</v>
      </c>
      <c r="I1820" s="17">
        <v>41640</v>
      </c>
    </row>
    <row r="1821" spans="1:9">
      <c r="A1821" s="16" t="s">
        <v>12154</v>
      </c>
      <c r="B1821" s="1" t="s">
        <v>2628</v>
      </c>
      <c r="C1821" s="1">
        <v>14</v>
      </c>
      <c r="D1821" s="1" t="s">
        <v>23</v>
      </c>
      <c r="E1821" s="1" t="s">
        <v>6</v>
      </c>
      <c r="F1821" s="1" t="s">
        <v>5091</v>
      </c>
      <c r="G1821" s="14" t="s">
        <v>6536</v>
      </c>
      <c r="H1821" s="1" t="s">
        <v>43</v>
      </c>
      <c r="I1821" s="17">
        <v>41640</v>
      </c>
    </row>
    <row r="1822" spans="1:9">
      <c r="A1822" s="16" t="s">
        <v>12206</v>
      </c>
      <c r="B1822" s="1" t="s">
        <v>2628</v>
      </c>
      <c r="C1822" s="1">
        <v>14</v>
      </c>
      <c r="D1822" s="1" t="s">
        <v>23</v>
      </c>
      <c r="E1822" s="1" t="s">
        <v>6</v>
      </c>
      <c r="F1822" s="1" t="s">
        <v>5091</v>
      </c>
      <c r="G1822" s="14" t="s">
        <v>6536</v>
      </c>
      <c r="H1822" s="1" t="s">
        <v>43</v>
      </c>
      <c r="I1822" s="17">
        <v>42736</v>
      </c>
    </row>
    <row r="1823" spans="1:9">
      <c r="A1823" s="16" t="s">
        <v>12218</v>
      </c>
      <c r="B1823" s="1" t="s">
        <v>2628</v>
      </c>
      <c r="C1823" s="1">
        <v>14</v>
      </c>
      <c r="D1823" s="1" t="s">
        <v>23</v>
      </c>
      <c r="E1823" s="1" t="s">
        <v>6</v>
      </c>
      <c r="F1823" s="1" t="s">
        <v>5091</v>
      </c>
      <c r="G1823" s="14" t="s">
        <v>6536</v>
      </c>
      <c r="H1823" s="1" t="s">
        <v>43</v>
      </c>
      <c r="I1823" s="17">
        <v>42736</v>
      </c>
    </row>
    <row r="1824" spans="1:9">
      <c r="A1824" s="16" t="s">
        <v>12219</v>
      </c>
      <c r="B1824" s="1" t="s">
        <v>2628</v>
      </c>
      <c r="C1824" s="1">
        <v>14</v>
      </c>
      <c r="D1824" s="1" t="s">
        <v>23</v>
      </c>
      <c r="E1824" s="1" t="s">
        <v>6</v>
      </c>
      <c r="F1824" s="1" t="s">
        <v>5091</v>
      </c>
      <c r="G1824" s="14" t="s">
        <v>6536</v>
      </c>
      <c r="H1824" s="1" t="s">
        <v>43</v>
      </c>
      <c r="I1824" s="17">
        <v>42736</v>
      </c>
    </row>
    <row r="1825" spans="1:9">
      <c r="A1825" s="16" t="s">
        <v>12220</v>
      </c>
      <c r="B1825" s="1" t="s">
        <v>2628</v>
      </c>
      <c r="C1825" s="1">
        <v>14</v>
      </c>
      <c r="D1825" s="1" t="s">
        <v>23</v>
      </c>
      <c r="E1825" s="1" t="s">
        <v>6</v>
      </c>
      <c r="F1825" s="1" t="s">
        <v>5091</v>
      </c>
      <c r="G1825" s="14" t="s">
        <v>6536</v>
      </c>
      <c r="H1825" s="1" t="s">
        <v>43</v>
      </c>
      <c r="I1825" s="17">
        <v>42736</v>
      </c>
    </row>
    <row r="1826" spans="1:9">
      <c r="A1826" s="16" t="s">
        <v>12221</v>
      </c>
      <c r="B1826" s="1" t="s">
        <v>2628</v>
      </c>
      <c r="C1826" s="1">
        <v>14</v>
      </c>
      <c r="D1826" s="1" t="s">
        <v>23</v>
      </c>
      <c r="E1826" s="1" t="s">
        <v>6</v>
      </c>
      <c r="F1826" s="1" t="s">
        <v>5091</v>
      </c>
      <c r="G1826" s="14" t="s">
        <v>6536</v>
      </c>
      <c r="H1826" s="1" t="s">
        <v>43</v>
      </c>
      <c r="I1826" s="17">
        <v>42736</v>
      </c>
    </row>
    <row r="1827" spans="1:9">
      <c r="A1827" s="16" t="s">
        <v>13068</v>
      </c>
      <c r="B1827" s="1" t="s">
        <v>2628</v>
      </c>
      <c r="C1827" s="1">
        <v>14</v>
      </c>
      <c r="D1827" s="1" t="s">
        <v>23</v>
      </c>
      <c r="E1827" s="1" t="s">
        <v>6</v>
      </c>
      <c r="F1827" s="1" t="s">
        <v>5091</v>
      </c>
      <c r="G1827" s="14" t="s">
        <v>6145</v>
      </c>
      <c r="H1827" s="1" t="s">
        <v>43</v>
      </c>
      <c r="I1827" s="17">
        <v>42856</v>
      </c>
    </row>
    <row r="1828" spans="1:9">
      <c r="A1828" s="16" t="s">
        <v>13350</v>
      </c>
      <c r="B1828" s="1" t="s">
        <v>2628</v>
      </c>
      <c r="C1828" s="1">
        <v>14</v>
      </c>
      <c r="D1828" s="1" t="s">
        <v>23</v>
      </c>
      <c r="E1828" s="1" t="s">
        <v>6</v>
      </c>
      <c r="F1828" s="1" t="s">
        <v>5091</v>
      </c>
      <c r="G1828" s="14" t="s">
        <v>13351</v>
      </c>
      <c r="H1828" s="1" t="s">
        <v>5</v>
      </c>
      <c r="I1828" s="17">
        <v>40947</v>
      </c>
    </row>
    <row r="1829" spans="1:9">
      <c r="A1829" s="16" t="s">
        <v>13352</v>
      </c>
      <c r="B1829" s="1" t="s">
        <v>2628</v>
      </c>
      <c r="C1829" s="1">
        <v>14</v>
      </c>
      <c r="D1829" s="1" t="s">
        <v>23</v>
      </c>
      <c r="E1829" s="1" t="s">
        <v>6</v>
      </c>
      <c r="F1829" s="1" t="s">
        <v>5091</v>
      </c>
      <c r="G1829" s="14" t="s">
        <v>13351</v>
      </c>
      <c r="H1829" s="1" t="s">
        <v>5</v>
      </c>
      <c r="I1829" s="17">
        <v>40947</v>
      </c>
    </row>
    <row r="1830" spans="1:9">
      <c r="A1830" s="16" t="s">
        <v>13353</v>
      </c>
      <c r="B1830" s="1" t="s">
        <v>2628</v>
      </c>
      <c r="C1830" s="1">
        <v>14</v>
      </c>
      <c r="D1830" s="1" t="s">
        <v>23</v>
      </c>
      <c r="E1830" s="1" t="s">
        <v>6</v>
      </c>
      <c r="F1830" s="1" t="s">
        <v>5091</v>
      </c>
      <c r="G1830" s="14" t="s">
        <v>13351</v>
      </c>
      <c r="H1830" s="1" t="s">
        <v>5</v>
      </c>
      <c r="I1830" s="17">
        <v>40947</v>
      </c>
    </row>
    <row r="1831" spans="1:9">
      <c r="A1831" s="16" t="s">
        <v>13354</v>
      </c>
      <c r="B1831" s="1" t="s">
        <v>2628</v>
      </c>
      <c r="C1831" s="1">
        <v>14</v>
      </c>
      <c r="D1831" s="1" t="s">
        <v>23</v>
      </c>
      <c r="E1831" s="1" t="s">
        <v>6</v>
      </c>
      <c r="F1831" s="1" t="s">
        <v>5091</v>
      </c>
      <c r="G1831" s="14" t="s">
        <v>13351</v>
      </c>
      <c r="H1831" s="1" t="s">
        <v>5</v>
      </c>
      <c r="I1831" s="17">
        <v>40947</v>
      </c>
    </row>
    <row r="1832" spans="1:9">
      <c r="A1832" s="16" t="s">
        <v>13356</v>
      </c>
      <c r="B1832" s="1" t="s">
        <v>2628</v>
      </c>
      <c r="C1832" s="1">
        <v>14</v>
      </c>
      <c r="D1832" s="1" t="s">
        <v>23</v>
      </c>
      <c r="E1832" s="1" t="s">
        <v>6</v>
      </c>
      <c r="F1832" s="1" t="s">
        <v>5091</v>
      </c>
      <c r="G1832" s="14" t="s">
        <v>13351</v>
      </c>
      <c r="H1832" s="1" t="s">
        <v>5</v>
      </c>
      <c r="I1832" s="17">
        <v>40947</v>
      </c>
    </row>
    <row r="1833" spans="1:9">
      <c r="A1833" s="16" t="s">
        <v>13357</v>
      </c>
      <c r="B1833" s="1" t="s">
        <v>2628</v>
      </c>
      <c r="C1833" s="1">
        <v>14</v>
      </c>
      <c r="D1833" s="1" t="s">
        <v>23</v>
      </c>
      <c r="E1833" s="1" t="s">
        <v>6</v>
      </c>
      <c r="F1833" s="1" t="s">
        <v>5091</v>
      </c>
      <c r="G1833" s="14" t="s">
        <v>13351</v>
      </c>
      <c r="H1833" s="1" t="s">
        <v>5</v>
      </c>
      <c r="I1833" s="17">
        <v>40947</v>
      </c>
    </row>
    <row r="1834" spans="1:9">
      <c r="A1834" s="16" t="s">
        <v>13465</v>
      </c>
      <c r="B1834" s="1" t="s">
        <v>2628</v>
      </c>
      <c r="C1834" s="1">
        <v>14</v>
      </c>
      <c r="D1834" s="1" t="s">
        <v>23</v>
      </c>
      <c r="E1834" s="1" t="s">
        <v>6</v>
      </c>
      <c r="F1834" s="1" t="s">
        <v>5091</v>
      </c>
      <c r="G1834" s="14" t="s">
        <v>9495</v>
      </c>
      <c r="H1834" s="1" t="s">
        <v>5</v>
      </c>
      <c r="I1834" s="17">
        <v>36800</v>
      </c>
    </row>
    <row r="1835" spans="1:9">
      <c r="A1835" s="16" t="s">
        <v>13468</v>
      </c>
      <c r="B1835" s="1" t="s">
        <v>2628</v>
      </c>
      <c r="C1835" s="1">
        <v>14</v>
      </c>
      <c r="D1835" s="1" t="s">
        <v>23</v>
      </c>
      <c r="E1835" s="1" t="s">
        <v>6</v>
      </c>
      <c r="F1835" s="1" t="s">
        <v>5091</v>
      </c>
      <c r="G1835" s="14" t="s">
        <v>13469</v>
      </c>
      <c r="H1835" s="1" t="s">
        <v>5</v>
      </c>
      <c r="I1835" s="17">
        <v>36800</v>
      </c>
    </row>
    <row r="1836" spans="1:9">
      <c r="A1836" s="16" t="s">
        <v>13504</v>
      </c>
      <c r="B1836" s="1" t="s">
        <v>2631</v>
      </c>
      <c r="C1836" s="1">
        <v>365</v>
      </c>
      <c r="D1836" s="1" t="s">
        <v>23</v>
      </c>
      <c r="E1836" s="1" t="s">
        <v>6</v>
      </c>
      <c r="F1836" s="1" t="s">
        <v>5091</v>
      </c>
      <c r="G1836" s="14" t="s">
        <v>4458</v>
      </c>
      <c r="H1836" s="1" t="s">
        <v>118</v>
      </c>
      <c r="I1836" s="1" t="s">
        <v>4792</v>
      </c>
    </row>
    <row r="1837" spans="1:9" ht="31.2">
      <c r="A1837" s="16" t="s">
        <v>13625</v>
      </c>
      <c r="B1837" s="1" t="s">
        <v>2628</v>
      </c>
      <c r="C1837" s="1">
        <v>14</v>
      </c>
      <c r="D1837" s="1" t="s">
        <v>23</v>
      </c>
      <c r="E1837" s="1" t="s">
        <v>6</v>
      </c>
      <c r="F1837" s="1" t="s">
        <v>5091</v>
      </c>
      <c r="G1837" s="14" t="s">
        <v>12043</v>
      </c>
      <c r="H1837" s="1" t="s">
        <v>5</v>
      </c>
      <c r="I1837" s="17">
        <v>38707</v>
      </c>
    </row>
    <row r="1838" spans="1:9">
      <c r="A1838" s="16" t="s">
        <v>13662</v>
      </c>
      <c r="B1838" s="1" t="s">
        <v>2628</v>
      </c>
      <c r="C1838" s="1">
        <v>14</v>
      </c>
      <c r="D1838" s="1" t="s">
        <v>23</v>
      </c>
      <c r="E1838" s="1" t="s">
        <v>6</v>
      </c>
      <c r="F1838" s="1" t="s">
        <v>5091</v>
      </c>
      <c r="G1838" s="14" t="s">
        <v>6145</v>
      </c>
      <c r="H1838" s="1" t="s">
        <v>43</v>
      </c>
      <c r="I1838" s="17">
        <v>40848</v>
      </c>
    </row>
    <row r="1839" spans="1:9">
      <c r="A1839" s="16" t="s">
        <v>13663</v>
      </c>
      <c r="B1839" s="1" t="s">
        <v>2628</v>
      </c>
      <c r="C1839" s="1">
        <v>14</v>
      </c>
      <c r="D1839" s="1" t="s">
        <v>23</v>
      </c>
      <c r="E1839" s="1" t="s">
        <v>6</v>
      </c>
      <c r="F1839" s="1" t="s">
        <v>5091</v>
      </c>
      <c r="G1839" s="14" t="s">
        <v>6145</v>
      </c>
      <c r="H1839" s="1" t="s">
        <v>43</v>
      </c>
      <c r="I1839" s="17">
        <v>40848</v>
      </c>
    </row>
    <row r="1840" spans="1:9">
      <c r="A1840" s="16" t="s">
        <v>13692</v>
      </c>
      <c r="B1840" s="1" t="s">
        <v>2628</v>
      </c>
      <c r="C1840" s="1">
        <v>14</v>
      </c>
      <c r="D1840" s="1" t="s">
        <v>23</v>
      </c>
      <c r="E1840" s="1" t="s">
        <v>6</v>
      </c>
      <c r="F1840" s="1" t="s">
        <v>5091</v>
      </c>
      <c r="G1840" s="14" t="s">
        <v>6145</v>
      </c>
      <c r="H1840" s="1" t="s">
        <v>43</v>
      </c>
      <c r="I1840" s="17">
        <v>40847</v>
      </c>
    </row>
    <row r="1841" spans="1:9">
      <c r="A1841" s="16" t="s">
        <v>13694</v>
      </c>
      <c r="B1841" s="1" t="s">
        <v>2628</v>
      </c>
      <c r="C1841" s="1">
        <v>14</v>
      </c>
      <c r="D1841" s="1" t="s">
        <v>23</v>
      </c>
      <c r="E1841" s="1" t="s">
        <v>6</v>
      </c>
      <c r="F1841" s="1" t="s">
        <v>5091</v>
      </c>
      <c r="G1841" s="14" t="s">
        <v>6145</v>
      </c>
      <c r="H1841" s="1" t="s">
        <v>43</v>
      </c>
      <c r="I1841" s="17">
        <v>40848</v>
      </c>
    </row>
    <row r="1842" spans="1:9">
      <c r="A1842" s="16" t="s">
        <v>13696</v>
      </c>
      <c r="B1842" s="1" t="s">
        <v>2628</v>
      </c>
      <c r="C1842" s="1">
        <v>14</v>
      </c>
      <c r="D1842" s="1" t="s">
        <v>23</v>
      </c>
      <c r="E1842" s="1" t="s">
        <v>6</v>
      </c>
      <c r="F1842" s="1" t="s">
        <v>5091</v>
      </c>
      <c r="G1842" s="14" t="s">
        <v>6145</v>
      </c>
      <c r="H1842" s="1" t="s">
        <v>43</v>
      </c>
      <c r="I1842" s="17">
        <v>40847</v>
      </c>
    </row>
    <row r="1843" spans="1:9">
      <c r="A1843" s="16" t="s">
        <v>13700</v>
      </c>
      <c r="B1843" s="1" t="s">
        <v>2628</v>
      </c>
      <c r="C1843" s="1">
        <v>14</v>
      </c>
      <c r="D1843" s="1" t="s">
        <v>23</v>
      </c>
      <c r="E1843" s="1" t="s">
        <v>6</v>
      </c>
      <c r="F1843" s="1" t="s">
        <v>5091</v>
      </c>
      <c r="G1843" s="14" t="s">
        <v>6145</v>
      </c>
      <c r="H1843" s="1" t="s">
        <v>43</v>
      </c>
      <c r="I1843" s="17">
        <v>40847</v>
      </c>
    </row>
    <row r="1844" spans="1:9">
      <c r="A1844" s="16" t="s">
        <v>13754</v>
      </c>
      <c r="B1844" s="1" t="s">
        <v>2628</v>
      </c>
      <c r="C1844" s="1">
        <v>14</v>
      </c>
      <c r="D1844" s="1" t="s">
        <v>23</v>
      </c>
      <c r="E1844" s="1" t="s">
        <v>6</v>
      </c>
      <c r="F1844" s="1" t="s">
        <v>5091</v>
      </c>
      <c r="G1844" s="14" t="s">
        <v>6238</v>
      </c>
      <c r="H1844" s="1" t="s">
        <v>43</v>
      </c>
      <c r="I1844" s="17">
        <v>42736</v>
      </c>
    </row>
    <row r="1845" spans="1:9">
      <c r="A1845" s="16" t="s">
        <v>13884</v>
      </c>
      <c r="B1845" s="1" t="s">
        <v>2628</v>
      </c>
      <c r="C1845" s="1">
        <v>14</v>
      </c>
      <c r="D1845" s="1" t="s">
        <v>23</v>
      </c>
      <c r="E1845" s="1" t="s">
        <v>6</v>
      </c>
      <c r="F1845" s="1" t="s">
        <v>5091</v>
      </c>
      <c r="G1845" s="14" t="s">
        <v>4458</v>
      </c>
      <c r="H1845" s="1" t="s">
        <v>118</v>
      </c>
      <c r="I1845" s="1" t="s">
        <v>4458</v>
      </c>
    </row>
    <row r="1846" spans="1:9">
      <c r="A1846" s="16" t="s">
        <v>14099</v>
      </c>
      <c r="B1846" s="1" t="s">
        <v>2628</v>
      </c>
      <c r="C1846" s="1">
        <v>14</v>
      </c>
      <c r="D1846" s="1" t="s">
        <v>23</v>
      </c>
      <c r="E1846" s="1" t="s">
        <v>6</v>
      </c>
      <c r="F1846" s="1" t="s">
        <v>5091</v>
      </c>
      <c r="G1846" s="14" t="s">
        <v>6238</v>
      </c>
      <c r="H1846" s="1" t="s">
        <v>43</v>
      </c>
      <c r="I1846" s="17">
        <v>43101</v>
      </c>
    </row>
    <row r="1847" spans="1:9">
      <c r="A1847" s="16" t="s">
        <v>14109</v>
      </c>
      <c r="B1847" s="1" t="s">
        <v>2628</v>
      </c>
      <c r="C1847" s="1">
        <v>14</v>
      </c>
      <c r="D1847" s="1" t="s">
        <v>23</v>
      </c>
      <c r="E1847" s="1" t="s">
        <v>6</v>
      </c>
      <c r="F1847" s="1" t="s">
        <v>5091</v>
      </c>
      <c r="G1847" s="14" t="s">
        <v>6236</v>
      </c>
      <c r="H1847" s="1" t="s">
        <v>43</v>
      </c>
      <c r="I1847" s="17">
        <v>43101</v>
      </c>
    </row>
    <row r="1848" spans="1:9">
      <c r="A1848" s="16" t="s">
        <v>15349</v>
      </c>
      <c r="B1848" s="1" t="s">
        <v>2628</v>
      </c>
      <c r="C1848" s="1">
        <v>14</v>
      </c>
      <c r="D1848" s="1" t="s">
        <v>23</v>
      </c>
      <c r="E1848" s="1" t="s">
        <v>6</v>
      </c>
      <c r="F1848" s="1" t="s">
        <v>5241</v>
      </c>
      <c r="G1848" s="14" t="s">
        <v>4803</v>
      </c>
      <c r="H1848" s="1" t="s">
        <v>5</v>
      </c>
      <c r="I1848" s="17">
        <v>42614</v>
      </c>
    </row>
    <row r="1849" spans="1:9">
      <c r="A1849" s="7" t="s">
        <v>15416</v>
      </c>
      <c r="B1849" s="1" t="s">
        <v>2629</v>
      </c>
      <c r="C1849" s="1">
        <v>14</v>
      </c>
      <c r="D1849" s="1" t="s">
        <v>23</v>
      </c>
      <c r="E1849" s="1" t="s">
        <v>6</v>
      </c>
      <c r="F1849" s="1" t="s">
        <v>5241</v>
      </c>
      <c r="G1849" s="1" t="s">
        <v>4803</v>
      </c>
      <c r="H1849" s="1" t="s">
        <v>5</v>
      </c>
      <c r="I1849" s="17">
        <v>43009</v>
      </c>
    </row>
    <row r="1850" spans="1:9">
      <c r="A1850" s="16" t="s">
        <v>15524</v>
      </c>
      <c r="B1850" s="1" t="s">
        <v>2628</v>
      </c>
      <c r="C1850" s="1">
        <v>14</v>
      </c>
      <c r="D1850" s="1" t="s">
        <v>23</v>
      </c>
      <c r="E1850" s="1" t="s">
        <v>6</v>
      </c>
      <c r="F1850" s="1" t="s">
        <v>5241</v>
      </c>
      <c r="G1850" s="14" t="s">
        <v>4803</v>
      </c>
      <c r="H1850" s="1" t="s">
        <v>5</v>
      </c>
      <c r="I1850" s="17">
        <v>42614</v>
      </c>
    </row>
    <row r="1851" spans="1:9">
      <c r="A1851" s="16" t="s">
        <v>15621</v>
      </c>
      <c r="B1851" s="1" t="s">
        <v>2628</v>
      </c>
      <c r="C1851" s="1">
        <v>14</v>
      </c>
      <c r="D1851" s="1" t="s">
        <v>23</v>
      </c>
      <c r="E1851" s="1" t="s">
        <v>6</v>
      </c>
      <c r="F1851" s="1" t="s">
        <v>5091</v>
      </c>
      <c r="G1851" s="14" t="s">
        <v>6186</v>
      </c>
      <c r="H1851" s="1" t="s">
        <v>5</v>
      </c>
      <c r="I1851" s="17">
        <v>43101</v>
      </c>
    </row>
    <row r="1852" spans="1:9">
      <c r="A1852" s="16" t="s">
        <v>15626</v>
      </c>
      <c r="B1852" s="1" t="s">
        <v>2628</v>
      </c>
      <c r="C1852" s="1">
        <v>14</v>
      </c>
      <c r="D1852" s="1" t="s">
        <v>23</v>
      </c>
      <c r="E1852" s="1" t="s">
        <v>6</v>
      </c>
      <c r="F1852" s="1" t="s">
        <v>5241</v>
      </c>
      <c r="G1852" s="14" t="s">
        <v>6307</v>
      </c>
      <c r="H1852" s="1" t="s">
        <v>44</v>
      </c>
      <c r="I1852" s="17">
        <v>43344</v>
      </c>
    </row>
    <row r="1853" spans="1:9">
      <c r="A1853" s="16" t="s">
        <v>15627</v>
      </c>
      <c r="B1853" s="1" t="s">
        <v>2628</v>
      </c>
      <c r="C1853" s="1">
        <v>3061</v>
      </c>
      <c r="D1853" s="1" t="s">
        <v>23</v>
      </c>
      <c r="E1853" s="1" t="s">
        <v>6</v>
      </c>
      <c r="F1853" s="1" t="s">
        <v>5241</v>
      </c>
      <c r="G1853" s="14" t="s">
        <v>6307</v>
      </c>
      <c r="H1853" s="1" t="s">
        <v>44</v>
      </c>
      <c r="I1853" s="17">
        <v>43344</v>
      </c>
    </row>
    <row r="1854" spans="1:9">
      <c r="A1854" s="16" t="s">
        <v>15629</v>
      </c>
      <c r="B1854" s="1" t="s">
        <v>2628</v>
      </c>
      <c r="C1854" s="1">
        <v>14</v>
      </c>
      <c r="D1854" s="1" t="s">
        <v>23</v>
      </c>
      <c r="E1854" s="1" t="s">
        <v>6</v>
      </c>
      <c r="F1854" s="1" t="s">
        <v>5241</v>
      </c>
      <c r="G1854" s="14" t="s">
        <v>6307</v>
      </c>
      <c r="H1854" s="1" t="s">
        <v>44</v>
      </c>
      <c r="I1854" s="17">
        <v>43344</v>
      </c>
    </row>
    <row r="1855" spans="1:9">
      <c r="A1855" s="7" t="s">
        <v>5540</v>
      </c>
      <c r="B1855" s="1" t="s">
        <v>2629</v>
      </c>
      <c r="C1855" s="1">
        <v>14</v>
      </c>
      <c r="D1855" s="1" t="s">
        <v>23</v>
      </c>
      <c r="E1855" s="1" t="s">
        <v>6</v>
      </c>
      <c r="F1855" s="1" t="s">
        <v>2699</v>
      </c>
      <c r="G1855" s="1" t="s">
        <v>4800</v>
      </c>
      <c r="H1855" s="1" t="s">
        <v>27</v>
      </c>
      <c r="I1855" s="17">
        <v>41275</v>
      </c>
    </row>
    <row r="1856" spans="1:9">
      <c r="A1856" s="7" t="s">
        <v>5607</v>
      </c>
      <c r="B1856" s="1" t="s">
        <v>2629</v>
      </c>
      <c r="C1856" s="1">
        <v>14</v>
      </c>
      <c r="D1856" s="1" t="s">
        <v>23</v>
      </c>
      <c r="E1856" s="1" t="s">
        <v>6</v>
      </c>
      <c r="F1856" s="1" t="s">
        <v>2573</v>
      </c>
      <c r="G1856" s="1" t="s">
        <v>4800</v>
      </c>
      <c r="H1856" s="1" t="s">
        <v>27</v>
      </c>
      <c r="I1856" s="17">
        <v>40909</v>
      </c>
    </row>
    <row r="1857" spans="1:9">
      <c r="A1857" s="16" t="s">
        <v>4821</v>
      </c>
      <c r="B1857" s="1" t="s">
        <v>2628</v>
      </c>
      <c r="C1857" s="1">
        <v>155</v>
      </c>
      <c r="D1857" s="1" t="s">
        <v>119</v>
      </c>
      <c r="E1857" s="1" t="s">
        <v>6</v>
      </c>
      <c r="F1857" s="1" t="s">
        <v>2693</v>
      </c>
      <c r="G1857" s="14" t="s">
        <v>27</v>
      </c>
      <c r="H1857" s="1" t="s">
        <v>27</v>
      </c>
      <c r="I1857" s="17">
        <v>39814</v>
      </c>
    </row>
    <row r="1858" spans="1:9">
      <c r="A1858" s="16" t="s">
        <v>4824</v>
      </c>
      <c r="B1858" s="1" t="s">
        <v>2628</v>
      </c>
      <c r="C1858" s="1">
        <v>155</v>
      </c>
      <c r="D1858" s="1" t="s">
        <v>119</v>
      </c>
      <c r="E1858" s="1" t="s">
        <v>6</v>
      </c>
      <c r="F1858" s="1" t="s">
        <v>2693</v>
      </c>
      <c r="G1858" s="14" t="s">
        <v>27</v>
      </c>
      <c r="H1858" s="1" t="s">
        <v>27</v>
      </c>
      <c r="I1858" s="17">
        <v>39814</v>
      </c>
    </row>
    <row r="1859" spans="1:9">
      <c r="A1859" s="16" t="s">
        <v>4826</v>
      </c>
      <c r="B1859" s="1" t="s">
        <v>2628</v>
      </c>
      <c r="C1859" s="1">
        <v>155</v>
      </c>
      <c r="D1859" s="1" t="s">
        <v>119</v>
      </c>
      <c r="E1859" s="1" t="s">
        <v>6</v>
      </c>
      <c r="F1859" s="1" t="s">
        <v>2693</v>
      </c>
      <c r="G1859" s="14" t="s">
        <v>27</v>
      </c>
      <c r="H1859" s="1" t="s">
        <v>27</v>
      </c>
      <c r="I1859" s="17">
        <v>40179</v>
      </c>
    </row>
    <row r="1860" spans="1:9">
      <c r="A1860" s="16" t="s">
        <v>4827</v>
      </c>
      <c r="B1860" s="1" t="s">
        <v>2628</v>
      </c>
      <c r="C1860" s="1">
        <v>155</v>
      </c>
      <c r="D1860" s="1" t="s">
        <v>119</v>
      </c>
      <c r="E1860" s="1" t="s">
        <v>6</v>
      </c>
      <c r="F1860" s="1" t="s">
        <v>2693</v>
      </c>
      <c r="G1860" s="14" t="s">
        <v>27</v>
      </c>
      <c r="H1860" s="1" t="s">
        <v>27</v>
      </c>
      <c r="I1860" s="17">
        <v>40179</v>
      </c>
    </row>
    <row r="1861" spans="1:9">
      <c r="A1861" s="16" t="s">
        <v>4828</v>
      </c>
      <c r="B1861" s="1" t="s">
        <v>2628</v>
      </c>
      <c r="C1861" s="1">
        <v>155</v>
      </c>
      <c r="D1861" s="1" t="s">
        <v>119</v>
      </c>
      <c r="E1861" s="1" t="s">
        <v>6</v>
      </c>
      <c r="F1861" s="1" t="s">
        <v>2693</v>
      </c>
      <c r="G1861" s="14" t="s">
        <v>27</v>
      </c>
      <c r="H1861" s="1" t="s">
        <v>27</v>
      </c>
      <c r="I1861" s="17">
        <v>40179</v>
      </c>
    </row>
    <row r="1862" spans="1:9">
      <c r="A1862" s="16" t="s">
        <v>5329</v>
      </c>
      <c r="B1862" s="1" t="s">
        <v>2628</v>
      </c>
      <c r="C1862" s="1">
        <v>155</v>
      </c>
      <c r="D1862" s="1" t="s">
        <v>119</v>
      </c>
      <c r="E1862" s="1" t="s">
        <v>6</v>
      </c>
      <c r="F1862" s="1" t="s">
        <v>2360</v>
      </c>
      <c r="G1862" s="14" t="s">
        <v>5308</v>
      </c>
      <c r="H1862" s="1" t="s">
        <v>27</v>
      </c>
      <c r="I1862" s="17">
        <v>42370</v>
      </c>
    </row>
    <row r="1863" spans="1:9">
      <c r="A1863" s="16" t="s">
        <v>5339</v>
      </c>
      <c r="B1863" s="1" t="s">
        <v>2628</v>
      </c>
      <c r="C1863" s="1">
        <v>155</v>
      </c>
      <c r="D1863" s="1" t="s">
        <v>119</v>
      </c>
      <c r="E1863" s="1" t="s">
        <v>6</v>
      </c>
      <c r="F1863" s="1" t="s">
        <v>2691</v>
      </c>
      <c r="G1863" s="14" t="s">
        <v>5340</v>
      </c>
      <c r="H1863" s="1" t="s">
        <v>4456</v>
      </c>
      <c r="I1863" s="17">
        <v>40544</v>
      </c>
    </row>
    <row r="1864" spans="1:9">
      <c r="A1864" s="16" t="s">
        <v>5354</v>
      </c>
      <c r="B1864" s="1" t="s">
        <v>2628</v>
      </c>
      <c r="C1864" s="1">
        <v>155</v>
      </c>
      <c r="D1864" s="1" t="s">
        <v>119</v>
      </c>
      <c r="E1864" s="1" t="s">
        <v>6</v>
      </c>
      <c r="F1864" s="1" t="s">
        <v>2690</v>
      </c>
      <c r="G1864" s="14" t="s">
        <v>27</v>
      </c>
      <c r="H1864" s="1" t="s">
        <v>27</v>
      </c>
      <c r="I1864" s="17">
        <v>42248</v>
      </c>
    </row>
    <row r="1865" spans="1:9">
      <c r="A1865" s="16" t="s">
        <v>5358</v>
      </c>
      <c r="B1865" s="1" t="s">
        <v>2628</v>
      </c>
      <c r="C1865" s="1">
        <v>155</v>
      </c>
      <c r="D1865" s="1" t="s">
        <v>119</v>
      </c>
      <c r="E1865" s="1" t="s">
        <v>6</v>
      </c>
      <c r="F1865" s="1" t="s">
        <v>2696</v>
      </c>
      <c r="G1865" s="14" t="s">
        <v>27</v>
      </c>
      <c r="H1865" s="1" t="s">
        <v>27</v>
      </c>
      <c r="I1865" s="17">
        <v>40179</v>
      </c>
    </row>
    <row r="1866" spans="1:9">
      <c r="A1866" s="16" t="s">
        <v>5361</v>
      </c>
      <c r="B1866" s="1" t="s">
        <v>2628</v>
      </c>
      <c r="C1866" s="1">
        <v>155</v>
      </c>
      <c r="D1866" s="1" t="s">
        <v>119</v>
      </c>
      <c r="E1866" s="1" t="s">
        <v>6</v>
      </c>
      <c r="F1866" s="1" t="s">
        <v>2696</v>
      </c>
      <c r="G1866" s="14" t="s">
        <v>27</v>
      </c>
      <c r="H1866" s="1" t="s">
        <v>27</v>
      </c>
      <c r="I1866" s="17">
        <v>40179</v>
      </c>
    </row>
    <row r="1867" spans="1:9">
      <c r="A1867" s="16" t="s">
        <v>5382</v>
      </c>
      <c r="B1867" s="1" t="s">
        <v>2628</v>
      </c>
      <c r="C1867" s="1">
        <v>155</v>
      </c>
      <c r="D1867" s="1" t="s">
        <v>119</v>
      </c>
      <c r="E1867" s="1" t="s">
        <v>6</v>
      </c>
      <c r="F1867" s="1" t="s">
        <v>2696</v>
      </c>
      <c r="G1867" s="14" t="s">
        <v>27</v>
      </c>
      <c r="H1867" s="1" t="s">
        <v>27</v>
      </c>
      <c r="I1867" s="17">
        <v>41275</v>
      </c>
    </row>
    <row r="1868" spans="1:9">
      <c r="A1868" s="16" t="s">
        <v>5384</v>
      </c>
      <c r="B1868" s="1" t="s">
        <v>2628</v>
      </c>
      <c r="C1868" s="1">
        <v>155</v>
      </c>
      <c r="D1868" s="1" t="s">
        <v>119</v>
      </c>
      <c r="E1868" s="1" t="s">
        <v>6</v>
      </c>
      <c r="F1868" s="1" t="s">
        <v>2696</v>
      </c>
      <c r="G1868" s="14" t="s">
        <v>27</v>
      </c>
      <c r="H1868" s="1" t="s">
        <v>27</v>
      </c>
      <c r="I1868" s="17">
        <v>41275</v>
      </c>
    </row>
    <row r="1869" spans="1:9">
      <c r="A1869" s="16" t="s">
        <v>5488</v>
      </c>
      <c r="B1869" s="1" t="s">
        <v>2628</v>
      </c>
      <c r="C1869" s="1">
        <v>155</v>
      </c>
      <c r="D1869" s="1" t="s">
        <v>119</v>
      </c>
      <c r="E1869" s="1" t="s">
        <v>6</v>
      </c>
      <c r="F1869" s="1" t="s">
        <v>5485</v>
      </c>
      <c r="G1869" s="14" t="s">
        <v>27</v>
      </c>
      <c r="H1869" s="1" t="s">
        <v>27</v>
      </c>
      <c r="I1869" s="17">
        <v>41640</v>
      </c>
    </row>
    <row r="1870" spans="1:9">
      <c r="A1870" s="16" t="s">
        <v>5491</v>
      </c>
      <c r="B1870" s="1" t="s">
        <v>2628</v>
      </c>
      <c r="C1870" s="1">
        <v>155</v>
      </c>
      <c r="D1870" s="1" t="s">
        <v>119</v>
      </c>
      <c r="E1870" s="1" t="s">
        <v>6</v>
      </c>
      <c r="F1870" s="1" t="s">
        <v>2699</v>
      </c>
      <c r="G1870" s="14" t="s">
        <v>27</v>
      </c>
      <c r="H1870" s="1" t="s">
        <v>27</v>
      </c>
      <c r="I1870" s="17">
        <v>40179</v>
      </c>
    </row>
    <row r="1871" spans="1:9">
      <c r="A1871" s="16" t="s">
        <v>5494</v>
      </c>
      <c r="B1871" s="1" t="s">
        <v>2628</v>
      </c>
      <c r="C1871" s="1">
        <v>155</v>
      </c>
      <c r="D1871" s="1" t="s">
        <v>119</v>
      </c>
      <c r="E1871" s="1" t="s">
        <v>6</v>
      </c>
      <c r="F1871" s="1" t="s">
        <v>2699</v>
      </c>
      <c r="G1871" s="14" t="s">
        <v>27</v>
      </c>
      <c r="H1871" s="1" t="s">
        <v>27</v>
      </c>
      <c r="I1871" s="17">
        <v>40179</v>
      </c>
    </row>
    <row r="1872" spans="1:9">
      <c r="A1872" s="16" t="s">
        <v>5506</v>
      </c>
      <c r="B1872" s="1" t="s">
        <v>2628</v>
      </c>
      <c r="C1872" s="1">
        <v>155</v>
      </c>
      <c r="D1872" s="1" t="s">
        <v>119</v>
      </c>
      <c r="E1872" s="1" t="s">
        <v>6</v>
      </c>
      <c r="F1872" s="1" t="s">
        <v>2699</v>
      </c>
      <c r="G1872" s="14" t="s">
        <v>27</v>
      </c>
      <c r="H1872" s="1" t="s">
        <v>27</v>
      </c>
      <c r="I1872" s="17">
        <v>40179</v>
      </c>
    </row>
    <row r="1873" spans="1:9">
      <c r="A1873" s="16" t="s">
        <v>5541</v>
      </c>
      <c r="B1873" s="1" t="s">
        <v>2628</v>
      </c>
      <c r="C1873" s="1">
        <v>155</v>
      </c>
      <c r="D1873" s="1" t="s">
        <v>119</v>
      </c>
      <c r="E1873" s="1" t="s">
        <v>6</v>
      </c>
      <c r="F1873" s="1" t="s">
        <v>2699</v>
      </c>
      <c r="G1873" s="14" t="s">
        <v>27</v>
      </c>
      <c r="H1873" s="1" t="s">
        <v>27</v>
      </c>
      <c r="I1873" s="17">
        <v>41275</v>
      </c>
    </row>
    <row r="1874" spans="1:9">
      <c r="A1874" s="16" t="s">
        <v>5542</v>
      </c>
      <c r="B1874" s="1" t="s">
        <v>2628</v>
      </c>
      <c r="C1874" s="1">
        <v>155</v>
      </c>
      <c r="D1874" s="1" t="s">
        <v>119</v>
      </c>
      <c r="E1874" s="1" t="s">
        <v>6</v>
      </c>
      <c r="F1874" s="1" t="s">
        <v>2699</v>
      </c>
      <c r="G1874" s="14" t="s">
        <v>27</v>
      </c>
      <c r="H1874" s="1" t="s">
        <v>27</v>
      </c>
      <c r="I1874" s="17">
        <v>41275</v>
      </c>
    </row>
    <row r="1875" spans="1:9">
      <c r="A1875" s="16" t="s">
        <v>5548</v>
      </c>
      <c r="B1875" s="1" t="s">
        <v>2628</v>
      </c>
      <c r="C1875" s="1">
        <v>155</v>
      </c>
      <c r="D1875" s="1" t="s">
        <v>119</v>
      </c>
      <c r="E1875" s="1" t="s">
        <v>6</v>
      </c>
      <c r="F1875" s="1" t="s">
        <v>2699</v>
      </c>
      <c r="G1875" s="14" t="s">
        <v>27</v>
      </c>
      <c r="H1875" s="1" t="s">
        <v>27</v>
      </c>
      <c r="I1875" s="17">
        <v>41640</v>
      </c>
    </row>
    <row r="1876" spans="1:9">
      <c r="A1876" s="16" t="s">
        <v>5560</v>
      </c>
      <c r="B1876" s="1" t="s">
        <v>2628</v>
      </c>
      <c r="C1876" s="1">
        <v>155</v>
      </c>
      <c r="D1876" s="1" t="s">
        <v>119</v>
      </c>
      <c r="E1876" s="1" t="s">
        <v>6</v>
      </c>
      <c r="F1876" s="1" t="s">
        <v>2699</v>
      </c>
      <c r="G1876" s="14" t="s">
        <v>27</v>
      </c>
      <c r="H1876" s="1" t="s">
        <v>27</v>
      </c>
      <c r="I1876" s="17">
        <v>42005</v>
      </c>
    </row>
    <row r="1877" spans="1:9">
      <c r="A1877" s="16" t="s">
        <v>5561</v>
      </c>
      <c r="B1877" s="1" t="s">
        <v>2628</v>
      </c>
      <c r="C1877" s="1">
        <v>155</v>
      </c>
      <c r="D1877" s="1" t="s">
        <v>119</v>
      </c>
      <c r="E1877" s="1" t="s">
        <v>6</v>
      </c>
      <c r="F1877" s="1" t="s">
        <v>2699</v>
      </c>
      <c r="G1877" s="14" t="s">
        <v>27</v>
      </c>
      <c r="H1877" s="1" t="s">
        <v>27</v>
      </c>
      <c r="I1877" s="17">
        <v>42005</v>
      </c>
    </row>
    <row r="1878" spans="1:9">
      <c r="A1878" s="16" t="s">
        <v>5594</v>
      </c>
      <c r="B1878" s="1" t="s">
        <v>2628</v>
      </c>
      <c r="C1878" s="1">
        <v>155</v>
      </c>
      <c r="D1878" s="1" t="s">
        <v>119</v>
      </c>
      <c r="E1878" s="1" t="s">
        <v>6</v>
      </c>
      <c r="F1878" s="1" t="s">
        <v>2700</v>
      </c>
      <c r="G1878" s="14" t="s">
        <v>27</v>
      </c>
      <c r="H1878" s="1" t="s">
        <v>27</v>
      </c>
      <c r="I1878" s="17">
        <v>42005</v>
      </c>
    </row>
    <row r="1879" spans="1:9">
      <c r="A1879" s="7" t="s">
        <v>5860</v>
      </c>
      <c r="B1879" s="1" t="s">
        <v>2628</v>
      </c>
      <c r="C1879" s="1">
        <v>155</v>
      </c>
      <c r="D1879" s="1" t="s">
        <v>119</v>
      </c>
      <c r="E1879" s="1" t="s">
        <v>6</v>
      </c>
      <c r="F1879" s="1" t="s">
        <v>139</v>
      </c>
      <c r="G1879" s="1" t="s">
        <v>5861</v>
      </c>
      <c r="H1879" s="1" t="s">
        <v>27</v>
      </c>
      <c r="I1879" s="1" t="s">
        <v>5848</v>
      </c>
    </row>
    <row r="1880" spans="1:9">
      <c r="A1880" s="7" t="s">
        <v>5862</v>
      </c>
      <c r="B1880" s="1" t="s">
        <v>2628</v>
      </c>
      <c r="C1880" s="1">
        <v>155</v>
      </c>
      <c r="D1880" s="1" t="s">
        <v>119</v>
      </c>
      <c r="E1880" s="1" t="s">
        <v>6</v>
      </c>
      <c r="F1880" s="1" t="s">
        <v>139</v>
      </c>
      <c r="G1880" s="1" t="s">
        <v>5853</v>
      </c>
      <c r="H1880" s="1" t="s">
        <v>27</v>
      </c>
      <c r="I1880" s="1" t="s">
        <v>5483</v>
      </c>
    </row>
    <row r="1881" spans="1:9">
      <c r="A1881" s="16" t="s">
        <v>6480</v>
      </c>
      <c r="B1881" s="1" t="s">
        <v>2628</v>
      </c>
      <c r="C1881" s="1">
        <v>155</v>
      </c>
      <c r="D1881" s="1" t="s">
        <v>119</v>
      </c>
      <c r="E1881" s="1" t="s">
        <v>6</v>
      </c>
      <c r="F1881" s="1" t="s">
        <v>5091</v>
      </c>
      <c r="G1881" s="14" t="s">
        <v>5853</v>
      </c>
      <c r="H1881" s="1" t="s">
        <v>27</v>
      </c>
      <c r="I1881" s="17">
        <v>41265</v>
      </c>
    </row>
    <row r="1882" spans="1:9">
      <c r="A1882" s="16" t="s">
        <v>7327</v>
      </c>
      <c r="B1882" s="1" t="s">
        <v>2628</v>
      </c>
      <c r="C1882" s="1">
        <v>155</v>
      </c>
      <c r="D1882" s="1" t="s">
        <v>119</v>
      </c>
      <c r="E1882" s="1" t="s">
        <v>6</v>
      </c>
      <c r="F1882" s="1" t="s">
        <v>5091</v>
      </c>
      <c r="G1882" s="14" t="s">
        <v>5853</v>
      </c>
      <c r="H1882" s="1" t="s">
        <v>27</v>
      </c>
      <c r="I1882" s="17">
        <v>41655</v>
      </c>
    </row>
    <row r="1883" spans="1:9">
      <c r="A1883" s="16" t="s">
        <v>8650</v>
      </c>
      <c r="B1883" s="1" t="s">
        <v>2628</v>
      </c>
      <c r="C1883" s="1">
        <v>155</v>
      </c>
      <c r="D1883" s="1" t="s">
        <v>119</v>
      </c>
      <c r="E1883" s="1" t="s">
        <v>6</v>
      </c>
      <c r="F1883" s="1" t="s">
        <v>5091</v>
      </c>
      <c r="G1883" s="14" t="s">
        <v>8651</v>
      </c>
      <c r="H1883" s="1" t="s">
        <v>27</v>
      </c>
      <c r="I1883" s="17">
        <v>41883</v>
      </c>
    </row>
    <row r="1884" spans="1:9">
      <c r="A1884" s="16" t="s">
        <v>8652</v>
      </c>
      <c r="B1884" s="1" t="s">
        <v>2628</v>
      </c>
      <c r="C1884" s="1">
        <v>155</v>
      </c>
      <c r="D1884" s="1" t="s">
        <v>119</v>
      </c>
      <c r="E1884" s="1" t="s">
        <v>6</v>
      </c>
      <c r="F1884" s="1" t="s">
        <v>5091</v>
      </c>
      <c r="G1884" s="14" t="s">
        <v>5853</v>
      </c>
      <c r="H1884" s="1" t="s">
        <v>27</v>
      </c>
      <c r="I1884" s="17">
        <v>41883</v>
      </c>
    </row>
    <row r="1885" spans="1:9">
      <c r="A1885" s="16" t="s">
        <v>8738</v>
      </c>
      <c r="B1885" s="1" t="s">
        <v>2628</v>
      </c>
      <c r="C1885" s="1">
        <v>155</v>
      </c>
      <c r="D1885" s="1" t="s">
        <v>119</v>
      </c>
      <c r="E1885" s="1" t="s">
        <v>6</v>
      </c>
      <c r="F1885" s="1" t="s">
        <v>5091</v>
      </c>
      <c r="G1885" s="14" t="s">
        <v>5853</v>
      </c>
      <c r="H1885" s="1" t="s">
        <v>27</v>
      </c>
      <c r="I1885" s="17">
        <v>41944</v>
      </c>
    </row>
    <row r="1886" spans="1:9">
      <c r="A1886" s="16" t="s">
        <v>8998</v>
      </c>
      <c r="B1886" s="1" t="s">
        <v>2628</v>
      </c>
      <c r="C1886" s="1">
        <v>155</v>
      </c>
      <c r="D1886" s="1" t="s">
        <v>119</v>
      </c>
      <c r="E1886" s="1" t="s">
        <v>6</v>
      </c>
      <c r="F1886" s="1" t="s">
        <v>5091</v>
      </c>
      <c r="G1886" s="14" t="s">
        <v>5853</v>
      </c>
      <c r="H1886" s="1" t="s">
        <v>27</v>
      </c>
      <c r="I1886" s="17">
        <v>42036</v>
      </c>
    </row>
    <row r="1887" spans="1:9">
      <c r="A1887" s="16" t="s">
        <v>9116</v>
      </c>
      <c r="B1887" s="1" t="s">
        <v>2628</v>
      </c>
      <c r="C1887" s="1">
        <v>155</v>
      </c>
      <c r="D1887" s="1" t="s">
        <v>119</v>
      </c>
      <c r="E1887" s="1" t="s">
        <v>6</v>
      </c>
      <c r="F1887" s="1" t="s">
        <v>5091</v>
      </c>
      <c r="G1887" s="14" t="s">
        <v>9115</v>
      </c>
      <c r="H1887" s="1" t="s">
        <v>27</v>
      </c>
      <c r="I1887" s="17">
        <v>38946</v>
      </c>
    </row>
    <row r="1888" spans="1:9">
      <c r="A1888" s="16" t="s">
        <v>9896</v>
      </c>
      <c r="B1888" s="1" t="s">
        <v>2628</v>
      </c>
      <c r="C1888" s="1">
        <v>155</v>
      </c>
      <c r="D1888" s="1" t="s">
        <v>119</v>
      </c>
      <c r="E1888" s="1" t="s">
        <v>6</v>
      </c>
      <c r="F1888" s="1" t="s">
        <v>5091</v>
      </c>
      <c r="G1888" s="14" t="s">
        <v>5853</v>
      </c>
      <c r="H1888" s="1" t="s">
        <v>27</v>
      </c>
      <c r="I1888" s="17">
        <v>42278</v>
      </c>
    </row>
    <row r="1889" spans="1:9">
      <c r="A1889" s="16" t="s">
        <v>11941</v>
      </c>
      <c r="B1889" s="1" t="s">
        <v>2628</v>
      </c>
      <c r="C1889" s="1">
        <v>155</v>
      </c>
      <c r="D1889" s="1" t="s">
        <v>119</v>
      </c>
      <c r="E1889" s="1" t="s">
        <v>6</v>
      </c>
      <c r="F1889" s="1" t="s">
        <v>139</v>
      </c>
      <c r="G1889" s="14" t="s">
        <v>5853</v>
      </c>
      <c r="H1889" s="1" t="s">
        <v>27</v>
      </c>
      <c r="I1889" s="17">
        <v>41640</v>
      </c>
    </row>
    <row r="1890" spans="1:9">
      <c r="A1890" s="16" t="s">
        <v>11945</v>
      </c>
      <c r="B1890" s="1" t="s">
        <v>2628</v>
      </c>
      <c r="C1890" s="1">
        <v>155</v>
      </c>
      <c r="D1890" s="1" t="s">
        <v>119</v>
      </c>
      <c r="E1890" s="1" t="s">
        <v>6</v>
      </c>
      <c r="F1890" s="1" t="s">
        <v>139</v>
      </c>
      <c r="G1890" s="14" t="s">
        <v>5853</v>
      </c>
      <c r="H1890" s="1" t="s">
        <v>27</v>
      </c>
      <c r="I1890" s="17">
        <v>41275</v>
      </c>
    </row>
    <row r="1891" spans="1:9">
      <c r="A1891" s="16" t="s">
        <v>11994</v>
      </c>
      <c r="B1891" s="1" t="s">
        <v>2628</v>
      </c>
      <c r="C1891" s="1">
        <v>155</v>
      </c>
      <c r="D1891" s="1" t="s">
        <v>119</v>
      </c>
      <c r="E1891" s="1" t="s">
        <v>6</v>
      </c>
      <c r="F1891" s="1" t="s">
        <v>5091</v>
      </c>
      <c r="G1891" s="14" t="s">
        <v>5853</v>
      </c>
      <c r="H1891" s="1" t="s">
        <v>27</v>
      </c>
      <c r="I1891" s="17">
        <v>42705</v>
      </c>
    </row>
    <row r="1892" spans="1:9">
      <c r="A1892" s="16" t="s">
        <v>12015</v>
      </c>
      <c r="B1892" s="1" t="s">
        <v>2628</v>
      </c>
      <c r="C1892" s="1">
        <v>155</v>
      </c>
      <c r="D1892" s="1" t="s">
        <v>119</v>
      </c>
      <c r="E1892" s="1" t="s">
        <v>6</v>
      </c>
      <c r="F1892" s="1" t="s">
        <v>5091</v>
      </c>
      <c r="G1892" s="14" t="s">
        <v>5853</v>
      </c>
      <c r="H1892" s="1" t="s">
        <v>27</v>
      </c>
      <c r="I1892" s="17">
        <v>42644</v>
      </c>
    </row>
    <row r="1893" spans="1:9">
      <c r="A1893" s="16" t="s">
        <v>12063</v>
      </c>
      <c r="B1893" s="1" t="s">
        <v>2628</v>
      </c>
      <c r="C1893" s="1">
        <v>155</v>
      </c>
      <c r="D1893" s="1" t="s">
        <v>119</v>
      </c>
      <c r="E1893" s="1" t="s">
        <v>6</v>
      </c>
      <c r="F1893" s="1" t="s">
        <v>5091</v>
      </c>
      <c r="G1893" s="14" t="s">
        <v>27</v>
      </c>
      <c r="H1893" s="1" t="s">
        <v>27</v>
      </c>
      <c r="I1893" s="1" t="s">
        <v>4458</v>
      </c>
    </row>
    <row r="1894" spans="1:9">
      <c r="A1894" s="16" t="s">
        <v>13254</v>
      </c>
      <c r="B1894" s="1" t="s">
        <v>2628</v>
      </c>
      <c r="C1894" s="1">
        <v>155</v>
      </c>
      <c r="D1894" s="1" t="s">
        <v>119</v>
      </c>
      <c r="E1894" s="1" t="s">
        <v>6</v>
      </c>
      <c r="F1894" s="1" t="s">
        <v>5091</v>
      </c>
      <c r="G1894" s="14" t="s">
        <v>5853</v>
      </c>
      <c r="H1894" s="1" t="s">
        <v>27</v>
      </c>
      <c r="I1894" s="1" t="s">
        <v>4458</v>
      </c>
    </row>
    <row r="1895" spans="1:9">
      <c r="A1895" s="16" t="s">
        <v>13423</v>
      </c>
      <c r="B1895" s="1" t="s">
        <v>2628</v>
      </c>
      <c r="C1895" s="1">
        <v>155</v>
      </c>
      <c r="D1895" s="1" t="s">
        <v>119</v>
      </c>
      <c r="E1895" s="1" t="s">
        <v>6</v>
      </c>
      <c r="F1895" s="1" t="s">
        <v>5091</v>
      </c>
      <c r="G1895" s="14" t="s">
        <v>27</v>
      </c>
      <c r="H1895" s="1" t="s">
        <v>27</v>
      </c>
      <c r="I1895" s="17">
        <v>42452</v>
      </c>
    </row>
    <row r="1896" spans="1:9">
      <c r="A1896" s="16" t="s">
        <v>13714</v>
      </c>
      <c r="B1896" s="1" t="s">
        <v>2628</v>
      </c>
      <c r="C1896" s="1">
        <v>155</v>
      </c>
      <c r="D1896" s="1" t="s">
        <v>119</v>
      </c>
      <c r="E1896" s="1" t="s">
        <v>6</v>
      </c>
      <c r="F1896" s="1" t="s">
        <v>5091</v>
      </c>
      <c r="G1896" s="14" t="s">
        <v>9070</v>
      </c>
      <c r="H1896" s="1" t="s">
        <v>27</v>
      </c>
      <c r="I1896" s="17">
        <v>43070</v>
      </c>
    </row>
    <row r="1897" spans="1:9">
      <c r="A1897" s="16" t="s">
        <v>13984</v>
      </c>
      <c r="B1897" s="1" t="s">
        <v>2628</v>
      </c>
      <c r="C1897" s="1">
        <v>155</v>
      </c>
      <c r="D1897" s="1" t="s">
        <v>119</v>
      </c>
      <c r="E1897" s="1" t="s">
        <v>6</v>
      </c>
      <c r="F1897" s="1" t="s">
        <v>5091</v>
      </c>
      <c r="G1897" s="14" t="s">
        <v>5853</v>
      </c>
      <c r="H1897" s="1" t="s">
        <v>27</v>
      </c>
      <c r="I1897" s="17">
        <v>43101</v>
      </c>
    </row>
    <row r="1898" spans="1:9">
      <c r="A1898" s="16" t="s">
        <v>14163</v>
      </c>
      <c r="B1898" s="1" t="s">
        <v>2628</v>
      </c>
      <c r="C1898" s="1">
        <v>155</v>
      </c>
      <c r="D1898" s="1" t="s">
        <v>119</v>
      </c>
      <c r="E1898" s="1" t="s">
        <v>6</v>
      </c>
      <c r="F1898" s="1" t="s">
        <v>118</v>
      </c>
      <c r="G1898" s="14" t="s">
        <v>27</v>
      </c>
      <c r="H1898" s="1" t="s">
        <v>27</v>
      </c>
      <c r="I1898" s="17">
        <v>35431</v>
      </c>
    </row>
    <row r="1899" spans="1:9">
      <c r="A1899" s="16" t="s">
        <v>14166</v>
      </c>
      <c r="B1899" s="1" t="s">
        <v>2628</v>
      </c>
      <c r="C1899" s="1">
        <v>155</v>
      </c>
      <c r="D1899" s="1" t="s">
        <v>119</v>
      </c>
      <c r="E1899" s="1" t="s">
        <v>6</v>
      </c>
      <c r="F1899" s="1" t="s">
        <v>118</v>
      </c>
      <c r="G1899" s="14" t="s">
        <v>27</v>
      </c>
      <c r="H1899" s="1" t="s">
        <v>27</v>
      </c>
      <c r="I1899" s="1" t="s">
        <v>4458</v>
      </c>
    </row>
    <row r="1900" spans="1:9">
      <c r="A1900" s="16" t="s">
        <v>14168</v>
      </c>
      <c r="B1900" s="1" t="s">
        <v>2628</v>
      </c>
      <c r="C1900" s="1">
        <v>155</v>
      </c>
      <c r="D1900" s="1" t="s">
        <v>119</v>
      </c>
      <c r="E1900" s="1" t="s">
        <v>6</v>
      </c>
      <c r="F1900" s="1" t="s">
        <v>5091</v>
      </c>
      <c r="G1900" s="14" t="s">
        <v>5853</v>
      </c>
      <c r="H1900" s="1" t="s">
        <v>27</v>
      </c>
      <c r="I1900" s="17">
        <v>43160</v>
      </c>
    </row>
    <row r="1901" spans="1:9">
      <c r="A1901" s="16" t="s">
        <v>14250</v>
      </c>
      <c r="B1901" s="1" t="s">
        <v>2628</v>
      </c>
      <c r="C1901" s="1">
        <v>155</v>
      </c>
      <c r="D1901" s="1" t="s">
        <v>119</v>
      </c>
      <c r="E1901" s="1" t="s">
        <v>6</v>
      </c>
      <c r="F1901" s="1" t="s">
        <v>5241</v>
      </c>
      <c r="G1901" s="14" t="s">
        <v>4800</v>
      </c>
      <c r="H1901" s="1" t="s">
        <v>27</v>
      </c>
      <c r="I1901" s="17">
        <v>42948</v>
      </c>
    </row>
    <row r="1902" spans="1:9">
      <c r="A1902" s="16" t="s">
        <v>14419</v>
      </c>
      <c r="B1902" s="1" t="s">
        <v>2628</v>
      </c>
      <c r="C1902" s="1">
        <v>155</v>
      </c>
      <c r="D1902" s="1" t="s">
        <v>119</v>
      </c>
      <c r="E1902" s="1" t="s">
        <v>6</v>
      </c>
      <c r="F1902" s="1" t="s">
        <v>5091</v>
      </c>
      <c r="G1902" s="14" t="s">
        <v>5853</v>
      </c>
      <c r="H1902" s="1" t="s">
        <v>27</v>
      </c>
      <c r="I1902" s="17">
        <v>43252</v>
      </c>
    </row>
    <row r="1903" spans="1:9">
      <c r="A1903" s="7" t="s">
        <v>14446</v>
      </c>
      <c r="B1903" s="2" t="s">
        <v>2628</v>
      </c>
      <c r="C1903" s="1">
        <v>155</v>
      </c>
      <c r="D1903" s="1" t="s">
        <v>119</v>
      </c>
      <c r="E1903" s="1" t="s">
        <v>6</v>
      </c>
      <c r="F1903" s="2" t="s">
        <v>118</v>
      </c>
      <c r="G1903" s="14" t="s">
        <v>4800</v>
      </c>
      <c r="H1903" s="1" t="s">
        <v>27</v>
      </c>
      <c r="I1903" s="1" t="s">
        <v>5659</v>
      </c>
    </row>
    <row r="1904" spans="1:9">
      <c r="A1904" s="16" t="s">
        <v>14647</v>
      </c>
      <c r="B1904" s="1" t="s">
        <v>2628</v>
      </c>
      <c r="C1904" s="1">
        <v>155</v>
      </c>
      <c r="D1904" s="1" t="s">
        <v>119</v>
      </c>
      <c r="E1904" s="1" t="s">
        <v>6</v>
      </c>
      <c r="F1904" s="1" t="s">
        <v>5091</v>
      </c>
      <c r="G1904" s="14" t="s">
        <v>14648</v>
      </c>
      <c r="H1904" s="1" t="s">
        <v>27</v>
      </c>
      <c r="I1904" s="17">
        <v>43282</v>
      </c>
    </row>
    <row r="1905" spans="1:9">
      <c r="A1905" s="7" t="s">
        <v>14701</v>
      </c>
      <c r="B1905" s="2" t="s">
        <v>2628</v>
      </c>
      <c r="C1905" s="1">
        <v>155</v>
      </c>
      <c r="D1905" s="1" t="s">
        <v>119</v>
      </c>
      <c r="E1905" s="1" t="s">
        <v>6</v>
      </c>
      <c r="F1905" s="1" t="s">
        <v>118</v>
      </c>
      <c r="G1905" s="14" t="s">
        <v>4800</v>
      </c>
      <c r="H1905" s="1" t="s">
        <v>27</v>
      </c>
      <c r="I1905" s="1" t="s">
        <v>5848</v>
      </c>
    </row>
    <row r="1906" spans="1:9">
      <c r="A1906" s="7" t="s">
        <v>14702</v>
      </c>
      <c r="B1906" s="2" t="s">
        <v>2628</v>
      </c>
      <c r="C1906" s="1">
        <v>155</v>
      </c>
      <c r="D1906" s="1" t="s">
        <v>119</v>
      </c>
      <c r="E1906" s="1" t="s">
        <v>6</v>
      </c>
      <c r="F1906" s="1" t="s">
        <v>118</v>
      </c>
      <c r="G1906" s="14" t="s">
        <v>4800</v>
      </c>
      <c r="H1906" s="1" t="s">
        <v>27</v>
      </c>
      <c r="I1906" s="1" t="s">
        <v>5848</v>
      </c>
    </row>
    <row r="1907" spans="1:9">
      <c r="A1907" s="7" t="s">
        <v>14703</v>
      </c>
      <c r="B1907" s="2" t="s">
        <v>2628</v>
      </c>
      <c r="C1907" s="1">
        <v>155</v>
      </c>
      <c r="D1907" s="1" t="s">
        <v>119</v>
      </c>
      <c r="E1907" s="1" t="s">
        <v>6</v>
      </c>
      <c r="F1907" s="1" t="s">
        <v>118</v>
      </c>
      <c r="G1907" s="14" t="s">
        <v>4800</v>
      </c>
      <c r="H1907" s="1" t="s">
        <v>27</v>
      </c>
      <c r="I1907" s="1" t="s">
        <v>5848</v>
      </c>
    </row>
    <row r="1908" spans="1:9">
      <c r="A1908" s="7" t="s">
        <v>14704</v>
      </c>
      <c r="B1908" s="2" t="s">
        <v>2628</v>
      </c>
      <c r="C1908" s="1">
        <v>155</v>
      </c>
      <c r="D1908" s="1" t="s">
        <v>119</v>
      </c>
      <c r="E1908" s="1" t="s">
        <v>6</v>
      </c>
      <c r="F1908" s="1" t="s">
        <v>118</v>
      </c>
      <c r="G1908" s="14" t="s">
        <v>4800</v>
      </c>
      <c r="H1908" s="1" t="s">
        <v>27</v>
      </c>
      <c r="I1908" s="1" t="s">
        <v>5848</v>
      </c>
    </row>
    <row r="1909" spans="1:9">
      <c r="A1909" s="7" t="s">
        <v>14705</v>
      </c>
      <c r="B1909" s="2" t="s">
        <v>2628</v>
      </c>
      <c r="C1909" s="1">
        <v>155</v>
      </c>
      <c r="D1909" s="1" t="s">
        <v>119</v>
      </c>
      <c r="E1909" s="1" t="s">
        <v>6</v>
      </c>
      <c r="F1909" s="1" t="s">
        <v>118</v>
      </c>
      <c r="G1909" s="14" t="s">
        <v>4800</v>
      </c>
      <c r="H1909" s="1" t="s">
        <v>27</v>
      </c>
      <c r="I1909" s="1" t="s">
        <v>5848</v>
      </c>
    </row>
    <row r="1910" spans="1:9">
      <c r="A1910" s="7" t="s">
        <v>14706</v>
      </c>
      <c r="B1910" s="2" t="s">
        <v>2628</v>
      </c>
      <c r="C1910" s="1">
        <v>155</v>
      </c>
      <c r="D1910" s="1" t="s">
        <v>119</v>
      </c>
      <c r="E1910" s="1" t="s">
        <v>6</v>
      </c>
      <c r="F1910" s="1" t="s">
        <v>118</v>
      </c>
      <c r="G1910" s="14" t="s">
        <v>4800</v>
      </c>
      <c r="H1910" s="1" t="s">
        <v>27</v>
      </c>
      <c r="I1910" s="1" t="s">
        <v>5848</v>
      </c>
    </row>
    <row r="1911" spans="1:9">
      <c r="A1911" s="7" t="s">
        <v>14707</v>
      </c>
      <c r="B1911" s="2" t="s">
        <v>2628</v>
      </c>
      <c r="C1911" s="1">
        <v>155</v>
      </c>
      <c r="D1911" s="1" t="s">
        <v>119</v>
      </c>
      <c r="E1911" s="1" t="s">
        <v>6</v>
      </c>
      <c r="F1911" s="1" t="s">
        <v>118</v>
      </c>
      <c r="G1911" s="14" t="s">
        <v>4800</v>
      </c>
      <c r="H1911" s="1" t="s">
        <v>27</v>
      </c>
      <c r="I1911" s="1" t="s">
        <v>5848</v>
      </c>
    </row>
    <row r="1912" spans="1:9">
      <c r="A1912" s="7" t="s">
        <v>14708</v>
      </c>
      <c r="B1912" s="2" t="s">
        <v>2628</v>
      </c>
      <c r="C1912" s="1">
        <v>155</v>
      </c>
      <c r="D1912" s="1" t="s">
        <v>119</v>
      </c>
      <c r="E1912" s="1" t="s">
        <v>6</v>
      </c>
      <c r="F1912" s="1" t="s">
        <v>118</v>
      </c>
      <c r="G1912" s="14" t="s">
        <v>4800</v>
      </c>
      <c r="H1912" s="1" t="s">
        <v>27</v>
      </c>
      <c r="I1912" s="1" t="s">
        <v>5848</v>
      </c>
    </row>
    <row r="1913" spans="1:9">
      <c r="A1913" s="7" t="s">
        <v>14709</v>
      </c>
      <c r="B1913" s="2" t="s">
        <v>2628</v>
      </c>
      <c r="C1913" s="1">
        <v>155</v>
      </c>
      <c r="D1913" s="1" t="s">
        <v>119</v>
      </c>
      <c r="E1913" s="1" t="s">
        <v>6</v>
      </c>
      <c r="F1913" s="1" t="s">
        <v>118</v>
      </c>
      <c r="G1913" s="14" t="s">
        <v>4800</v>
      </c>
      <c r="H1913" s="1" t="s">
        <v>27</v>
      </c>
      <c r="I1913" s="1" t="s">
        <v>5848</v>
      </c>
    </row>
    <row r="1914" spans="1:9">
      <c r="A1914" s="7" t="s">
        <v>14710</v>
      </c>
      <c r="B1914" s="2" t="s">
        <v>2628</v>
      </c>
      <c r="C1914" s="1">
        <v>155</v>
      </c>
      <c r="D1914" s="1" t="s">
        <v>119</v>
      </c>
      <c r="E1914" s="1" t="s">
        <v>6</v>
      </c>
      <c r="F1914" s="1" t="s">
        <v>118</v>
      </c>
      <c r="G1914" s="14" t="s">
        <v>4800</v>
      </c>
      <c r="H1914" s="1" t="s">
        <v>27</v>
      </c>
      <c r="I1914" s="1" t="s">
        <v>5848</v>
      </c>
    </row>
    <row r="1915" spans="1:9">
      <c r="A1915" s="7" t="s">
        <v>14711</v>
      </c>
      <c r="B1915" s="2" t="s">
        <v>2628</v>
      </c>
      <c r="C1915" s="1">
        <v>155</v>
      </c>
      <c r="D1915" s="1" t="s">
        <v>119</v>
      </c>
      <c r="E1915" s="1" t="s">
        <v>6</v>
      </c>
      <c r="F1915" s="1" t="s">
        <v>118</v>
      </c>
      <c r="G1915" s="14" t="s">
        <v>4800</v>
      </c>
      <c r="H1915" s="1" t="s">
        <v>27</v>
      </c>
      <c r="I1915" s="1" t="s">
        <v>5848</v>
      </c>
    </row>
    <row r="1916" spans="1:9">
      <c r="A1916" s="7" t="s">
        <v>14712</v>
      </c>
      <c r="B1916" s="2" t="s">
        <v>2628</v>
      </c>
      <c r="C1916" s="1">
        <v>155</v>
      </c>
      <c r="D1916" s="1" t="s">
        <v>119</v>
      </c>
      <c r="E1916" s="1" t="s">
        <v>6</v>
      </c>
      <c r="F1916" s="1" t="s">
        <v>118</v>
      </c>
      <c r="G1916" s="14" t="s">
        <v>4800</v>
      </c>
      <c r="H1916" s="1" t="s">
        <v>27</v>
      </c>
      <c r="I1916" s="1" t="s">
        <v>5848</v>
      </c>
    </row>
    <row r="1917" spans="1:9">
      <c r="A1917" s="7" t="s">
        <v>14713</v>
      </c>
      <c r="B1917" s="2" t="s">
        <v>2628</v>
      </c>
      <c r="C1917" s="1">
        <v>155</v>
      </c>
      <c r="D1917" s="1" t="s">
        <v>119</v>
      </c>
      <c r="E1917" s="1" t="s">
        <v>6</v>
      </c>
      <c r="F1917" s="1" t="s">
        <v>118</v>
      </c>
      <c r="G1917" s="14" t="s">
        <v>4800</v>
      </c>
      <c r="H1917" s="1" t="s">
        <v>27</v>
      </c>
      <c r="I1917" s="1" t="s">
        <v>5722</v>
      </c>
    </row>
    <row r="1918" spans="1:9">
      <c r="A1918" s="7" t="s">
        <v>14714</v>
      </c>
      <c r="B1918" s="2" t="s">
        <v>2628</v>
      </c>
      <c r="C1918" s="1">
        <v>155</v>
      </c>
      <c r="D1918" s="1" t="s">
        <v>119</v>
      </c>
      <c r="E1918" s="1" t="s">
        <v>6</v>
      </c>
      <c r="F1918" s="1" t="s">
        <v>118</v>
      </c>
      <c r="G1918" s="14" t="s">
        <v>4800</v>
      </c>
      <c r="H1918" s="1" t="s">
        <v>27</v>
      </c>
      <c r="I1918" s="1" t="s">
        <v>5848</v>
      </c>
    </row>
    <row r="1919" spans="1:9">
      <c r="A1919" s="7" t="s">
        <v>14715</v>
      </c>
      <c r="B1919" s="2" t="s">
        <v>2628</v>
      </c>
      <c r="C1919" s="1">
        <v>155</v>
      </c>
      <c r="D1919" s="1" t="s">
        <v>119</v>
      </c>
      <c r="E1919" s="1" t="s">
        <v>6</v>
      </c>
      <c r="F1919" s="1" t="s">
        <v>118</v>
      </c>
      <c r="G1919" s="14" t="s">
        <v>4800</v>
      </c>
      <c r="H1919" s="1" t="s">
        <v>27</v>
      </c>
      <c r="I1919" s="1" t="s">
        <v>5722</v>
      </c>
    </row>
    <row r="1920" spans="1:9">
      <c r="A1920" s="7" t="s">
        <v>14716</v>
      </c>
      <c r="B1920" s="2" t="s">
        <v>2628</v>
      </c>
      <c r="C1920" s="1">
        <v>155</v>
      </c>
      <c r="D1920" s="1" t="s">
        <v>119</v>
      </c>
      <c r="E1920" s="1" t="s">
        <v>6</v>
      </c>
      <c r="F1920" s="1" t="s">
        <v>118</v>
      </c>
      <c r="G1920" s="14" t="s">
        <v>4800</v>
      </c>
      <c r="H1920" s="1" t="s">
        <v>27</v>
      </c>
      <c r="I1920" s="1" t="s">
        <v>5848</v>
      </c>
    </row>
    <row r="1921" spans="1:9">
      <c r="A1921" s="7" t="s">
        <v>14717</v>
      </c>
      <c r="B1921" s="2" t="s">
        <v>2628</v>
      </c>
      <c r="C1921" s="1">
        <v>155</v>
      </c>
      <c r="D1921" s="1" t="s">
        <v>119</v>
      </c>
      <c r="E1921" s="1" t="s">
        <v>6</v>
      </c>
      <c r="F1921" s="1" t="s">
        <v>118</v>
      </c>
      <c r="G1921" s="14" t="s">
        <v>4800</v>
      </c>
      <c r="H1921" s="1" t="s">
        <v>27</v>
      </c>
      <c r="I1921" s="1" t="s">
        <v>5848</v>
      </c>
    </row>
    <row r="1922" spans="1:9">
      <c r="A1922" s="7" t="s">
        <v>14718</v>
      </c>
      <c r="B1922" s="2" t="s">
        <v>2628</v>
      </c>
      <c r="C1922" s="1">
        <v>155</v>
      </c>
      <c r="D1922" s="1" t="s">
        <v>119</v>
      </c>
      <c r="E1922" s="1" t="s">
        <v>6</v>
      </c>
      <c r="F1922" s="1" t="s">
        <v>118</v>
      </c>
      <c r="G1922" s="14" t="s">
        <v>4800</v>
      </c>
      <c r="H1922" s="1" t="s">
        <v>27</v>
      </c>
      <c r="I1922" s="1" t="s">
        <v>5848</v>
      </c>
    </row>
    <row r="1923" spans="1:9">
      <c r="A1923" s="7" t="s">
        <v>14719</v>
      </c>
      <c r="B1923" s="2" t="s">
        <v>2628</v>
      </c>
      <c r="C1923" s="1">
        <v>155</v>
      </c>
      <c r="D1923" s="1" t="s">
        <v>119</v>
      </c>
      <c r="E1923" s="1" t="s">
        <v>6</v>
      </c>
      <c r="F1923" s="1" t="s">
        <v>118</v>
      </c>
      <c r="G1923" s="14" t="s">
        <v>4800</v>
      </c>
      <c r="H1923" s="1" t="s">
        <v>27</v>
      </c>
      <c r="I1923" s="1" t="s">
        <v>5848</v>
      </c>
    </row>
    <row r="1924" spans="1:9">
      <c r="A1924" s="7" t="s">
        <v>14720</v>
      </c>
      <c r="B1924" s="2" t="s">
        <v>2628</v>
      </c>
      <c r="C1924" s="1">
        <v>155</v>
      </c>
      <c r="D1924" s="1" t="s">
        <v>119</v>
      </c>
      <c r="E1924" s="1" t="s">
        <v>6</v>
      </c>
      <c r="F1924" s="1" t="s">
        <v>118</v>
      </c>
      <c r="G1924" s="14" t="s">
        <v>4800</v>
      </c>
      <c r="H1924" s="1" t="s">
        <v>27</v>
      </c>
      <c r="I1924" s="1" t="s">
        <v>5848</v>
      </c>
    </row>
    <row r="1925" spans="1:9">
      <c r="A1925" s="16" t="s">
        <v>15615</v>
      </c>
      <c r="B1925" s="1" t="s">
        <v>2628</v>
      </c>
      <c r="C1925" s="1">
        <v>155</v>
      </c>
      <c r="D1925" s="1" t="s">
        <v>119</v>
      </c>
      <c r="E1925" s="1" t="s">
        <v>6</v>
      </c>
      <c r="F1925" s="1" t="s">
        <v>5091</v>
      </c>
      <c r="G1925" s="14" t="s">
        <v>5853</v>
      </c>
      <c r="H1925" s="1" t="s">
        <v>27</v>
      </c>
      <c r="I1925" s="17">
        <v>43344</v>
      </c>
    </row>
    <row r="1926" spans="1:9">
      <c r="A1926" s="16" t="s">
        <v>15721</v>
      </c>
      <c r="B1926" s="1" t="s">
        <v>2628</v>
      </c>
      <c r="C1926" s="1">
        <v>155</v>
      </c>
      <c r="D1926" s="1" t="s">
        <v>119</v>
      </c>
      <c r="E1926" s="1" t="s">
        <v>6</v>
      </c>
      <c r="F1926" s="1" t="s">
        <v>5091</v>
      </c>
      <c r="G1926" s="14" t="s">
        <v>5853</v>
      </c>
      <c r="H1926" s="1" t="s">
        <v>27</v>
      </c>
      <c r="I1926" s="17">
        <v>43374</v>
      </c>
    </row>
    <row r="1927" spans="1:9">
      <c r="A1927" s="7" t="s">
        <v>16170</v>
      </c>
      <c r="B1927" s="2" t="s">
        <v>2628</v>
      </c>
      <c r="C1927" s="1">
        <v>155</v>
      </c>
      <c r="D1927" s="1" t="s">
        <v>119</v>
      </c>
      <c r="E1927" s="1" t="s">
        <v>6</v>
      </c>
      <c r="F1927" s="1" t="s">
        <v>5241</v>
      </c>
      <c r="G1927" s="14" t="s">
        <v>4800</v>
      </c>
      <c r="H1927" s="1" t="s">
        <v>27</v>
      </c>
      <c r="I1927" s="1" t="s">
        <v>5807</v>
      </c>
    </row>
    <row r="1928" spans="1:9">
      <c r="A1928" s="7" t="s">
        <v>16181</v>
      </c>
      <c r="B1928" s="2" t="s">
        <v>2628</v>
      </c>
      <c r="C1928" s="1">
        <v>155</v>
      </c>
      <c r="D1928" s="1" t="s">
        <v>119</v>
      </c>
      <c r="E1928" s="1" t="s">
        <v>6</v>
      </c>
      <c r="F1928" s="1" t="s">
        <v>5091</v>
      </c>
      <c r="G1928" s="14" t="s">
        <v>4788</v>
      </c>
      <c r="H1928" s="1" t="s">
        <v>4456</v>
      </c>
      <c r="I1928" s="1" t="s">
        <v>7323</v>
      </c>
    </row>
    <row r="1929" spans="1:9">
      <c r="A1929" s="7" t="s">
        <v>16582</v>
      </c>
      <c r="B1929" s="2" t="s">
        <v>2628</v>
      </c>
      <c r="C1929" s="1">
        <v>155</v>
      </c>
      <c r="D1929" s="1" t="s">
        <v>119</v>
      </c>
      <c r="E1929" s="1" t="s">
        <v>6</v>
      </c>
      <c r="F1929" s="1" t="s">
        <v>15601</v>
      </c>
      <c r="G1929" s="14" t="s">
        <v>4800</v>
      </c>
      <c r="H1929" s="1" t="s">
        <v>27</v>
      </c>
      <c r="I1929" s="1" t="s">
        <v>5807</v>
      </c>
    </row>
    <row r="1930" spans="1:9">
      <c r="A1930" s="16" t="s">
        <v>16758</v>
      </c>
      <c r="B1930" s="1" t="s">
        <v>2628</v>
      </c>
      <c r="C1930" s="1">
        <v>155</v>
      </c>
      <c r="D1930" s="1" t="s">
        <v>119</v>
      </c>
      <c r="E1930" s="1" t="s">
        <v>6</v>
      </c>
      <c r="F1930" s="1" t="s">
        <v>5091</v>
      </c>
      <c r="G1930" s="14" t="s">
        <v>5853</v>
      </c>
      <c r="H1930" s="1" t="s">
        <v>27</v>
      </c>
      <c r="I1930" s="17">
        <v>41488</v>
      </c>
    </row>
    <row r="1931" spans="1:9">
      <c r="A1931" s="16" t="s">
        <v>4834</v>
      </c>
      <c r="B1931" s="1" t="s">
        <v>2628</v>
      </c>
      <c r="C1931" s="1">
        <v>155</v>
      </c>
      <c r="D1931" s="1" t="s">
        <v>119</v>
      </c>
      <c r="E1931" s="1" t="s">
        <v>6</v>
      </c>
      <c r="F1931" s="1" t="s">
        <v>2693</v>
      </c>
      <c r="G1931" s="14" t="s">
        <v>5</v>
      </c>
      <c r="H1931" s="1" t="s">
        <v>5</v>
      </c>
      <c r="I1931" s="17">
        <v>40179</v>
      </c>
    </row>
    <row r="1932" spans="1:9">
      <c r="A1932" s="16" t="s">
        <v>4836</v>
      </c>
      <c r="B1932" s="1" t="s">
        <v>2628</v>
      </c>
      <c r="C1932" s="1">
        <v>155</v>
      </c>
      <c r="D1932" s="1" t="s">
        <v>119</v>
      </c>
      <c r="E1932" s="1" t="s">
        <v>6</v>
      </c>
      <c r="F1932" s="1" t="s">
        <v>2693</v>
      </c>
      <c r="G1932" s="14" t="s">
        <v>5</v>
      </c>
      <c r="H1932" s="1" t="s">
        <v>5</v>
      </c>
      <c r="I1932" s="17">
        <v>40179</v>
      </c>
    </row>
    <row r="1933" spans="1:9">
      <c r="A1933" s="16" t="s">
        <v>4839</v>
      </c>
      <c r="B1933" s="1" t="s">
        <v>2628</v>
      </c>
      <c r="C1933" s="1">
        <v>155</v>
      </c>
      <c r="D1933" s="1" t="s">
        <v>119</v>
      </c>
      <c r="E1933" s="1" t="s">
        <v>6</v>
      </c>
      <c r="F1933" s="1" t="s">
        <v>2693</v>
      </c>
      <c r="G1933" s="14" t="s">
        <v>5</v>
      </c>
      <c r="H1933" s="1" t="s">
        <v>5</v>
      </c>
      <c r="I1933" s="17">
        <v>40179</v>
      </c>
    </row>
    <row r="1934" spans="1:9">
      <c r="A1934" s="16" t="s">
        <v>4840</v>
      </c>
      <c r="B1934" s="1" t="s">
        <v>2628</v>
      </c>
      <c r="C1934" s="1">
        <v>155</v>
      </c>
      <c r="D1934" s="1" t="s">
        <v>119</v>
      </c>
      <c r="E1934" s="1" t="s">
        <v>6</v>
      </c>
      <c r="F1934" s="1" t="s">
        <v>2693</v>
      </c>
      <c r="G1934" s="14" t="s">
        <v>5</v>
      </c>
      <c r="H1934" s="1" t="s">
        <v>5</v>
      </c>
      <c r="I1934" s="17">
        <v>40179</v>
      </c>
    </row>
    <row r="1935" spans="1:9">
      <c r="A1935" s="16" t="s">
        <v>4886</v>
      </c>
      <c r="B1935" s="1" t="s">
        <v>2628</v>
      </c>
      <c r="C1935" s="1">
        <v>155</v>
      </c>
      <c r="D1935" s="1" t="s">
        <v>119</v>
      </c>
      <c r="E1935" s="1" t="s">
        <v>6</v>
      </c>
      <c r="F1935" s="1" t="s">
        <v>2693</v>
      </c>
      <c r="G1935" s="14" t="s">
        <v>5</v>
      </c>
      <c r="H1935" s="1" t="s">
        <v>5</v>
      </c>
      <c r="I1935" s="17">
        <v>41275</v>
      </c>
    </row>
    <row r="1936" spans="1:9">
      <c r="A1936" s="16" t="s">
        <v>4917</v>
      </c>
      <c r="B1936" s="1" t="s">
        <v>2628</v>
      </c>
      <c r="C1936" s="1">
        <v>155</v>
      </c>
      <c r="D1936" s="1" t="s">
        <v>119</v>
      </c>
      <c r="E1936" s="1" t="s">
        <v>6</v>
      </c>
      <c r="F1936" s="1" t="s">
        <v>2693</v>
      </c>
      <c r="G1936" s="14" t="s">
        <v>5</v>
      </c>
      <c r="H1936" s="1" t="s">
        <v>5</v>
      </c>
      <c r="I1936" s="17">
        <v>41275</v>
      </c>
    </row>
    <row r="1937" spans="1:9">
      <c r="A1937" s="16" t="s">
        <v>4941</v>
      </c>
      <c r="B1937" s="1" t="s">
        <v>2628</v>
      </c>
      <c r="C1937" s="1">
        <v>155</v>
      </c>
      <c r="D1937" s="1" t="s">
        <v>119</v>
      </c>
      <c r="E1937" s="1" t="s">
        <v>6</v>
      </c>
      <c r="F1937" s="1" t="s">
        <v>2693</v>
      </c>
      <c r="G1937" s="14" t="s">
        <v>5</v>
      </c>
      <c r="H1937" s="1" t="s">
        <v>5</v>
      </c>
      <c r="I1937" s="17">
        <v>41640</v>
      </c>
    </row>
    <row r="1938" spans="1:9">
      <c r="A1938" s="16" t="s">
        <v>4942</v>
      </c>
      <c r="B1938" s="1" t="s">
        <v>2628</v>
      </c>
      <c r="C1938" s="1">
        <v>155</v>
      </c>
      <c r="D1938" s="1" t="s">
        <v>119</v>
      </c>
      <c r="E1938" s="1" t="s">
        <v>6</v>
      </c>
      <c r="F1938" s="1" t="s">
        <v>2693</v>
      </c>
      <c r="G1938" s="14" t="s">
        <v>5</v>
      </c>
      <c r="H1938" s="1" t="s">
        <v>5</v>
      </c>
      <c r="I1938" s="17">
        <v>41640</v>
      </c>
    </row>
    <row r="1939" spans="1:9">
      <c r="A1939" s="16" t="s">
        <v>4946</v>
      </c>
      <c r="B1939" s="1" t="s">
        <v>2628</v>
      </c>
      <c r="C1939" s="1">
        <v>155</v>
      </c>
      <c r="D1939" s="1" t="s">
        <v>119</v>
      </c>
      <c r="E1939" s="1" t="s">
        <v>6</v>
      </c>
      <c r="F1939" s="1" t="s">
        <v>2693</v>
      </c>
      <c r="G1939" s="14" t="s">
        <v>5</v>
      </c>
      <c r="H1939" s="1" t="s">
        <v>5</v>
      </c>
      <c r="I1939" s="17">
        <v>41640</v>
      </c>
    </row>
    <row r="1940" spans="1:9">
      <c r="A1940" s="16" t="s">
        <v>4947</v>
      </c>
      <c r="B1940" s="1" t="s">
        <v>2628</v>
      </c>
      <c r="C1940" s="1">
        <v>155</v>
      </c>
      <c r="D1940" s="1" t="s">
        <v>119</v>
      </c>
      <c r="E1940" s="1" t="s">
        <v>6</v>
      </c>
      <c r="F1940" s="1" t="s">
        <v>2693</v>
      </c>
      <c r="G1940" s="14" t="s">
        <v>5</v>
      </c>
      <c r="H1940" s="1" t="s">
        <v>5</v>
      </c>
      <c r="I1940" s="17">
        <v>41640</v>
      </c>
    </row>
    <row r="1941" spans="1:9">
      <c r="A1941" s="16" t="s">
        <v>4992</v>
      </c>
      <c r="B1941" s="1" t="s">
        <v>2628</v>
      </c>
      <c r="C1941" s="1">
        <v>836</v>
      </c>
      <c r="D1941" s="1" t="s">
        <v>119</v>
      </c>
      <c r="E1941" s="1" t="s">
        <v>6</v>
      </c>
      <c r="F1941" s="1" t="s">
        <v>118</v>
      </c>
      <c r="G1941" s="14" t="s">
        <v>4458</v>
      </c>
      <c r="H1941" s="1" t="s">
        <v>118</v>
      </c>
      <c r="I1941" s="1" t="s">
        <v>4458</v>
      </c>
    </row>
    <row r="1942" spans="1:9">
      <c r="A1942" s="16" t="s">
        <v>5031</v>
      </c>
      <c r="B1942" s="1" t="s">
        <v>2628</v>
      </c>
      <c r="C1942" s="1">
        <v>155</v>
      </c>
      <c r="D1942" s="1" t="s">
        <v>119</v>
      </c>
      <c r="E1942" s="1" t="s">
        <v>6</v>
      </c>
      <c r="F1942" s="1" t="s">
        <v>118</v>
      </c>
      <c r="G1942" s="14" t="s">
        <v>4458</v>
      </c>
      <c r="H1942" s="1" t="s">
        <v>118</v>
      </c>
      <c r="I1942" s="1" t="s">
        <v>4458</v>
      </c>
    </row>
    <row r="1943" spans="1:9">
      <c r="A1943" s="16" t="s">
        <v>5074</v>
      </c>
      <c r="B1943" s="1" t="s">
        <v>2628</v>
      </c>
      <c r="C1943" s="1">
        <v>155</v>
      </c>
      <c r="D1943" s="1" t="s">
        <v>119</v>
      </c>
      <c r="E1943" s="1" t="s">
        <v>6</v>
      </c>
      <c r="F1943" s="1" t="s">
        <v>2573</v>
      </c>
      <c r="G1943" s="14" t="s">
        <v>5071</v>
      </c>
      <c r="H1943" s="1" t="s">
        <v>118</v>
      </c>
      <c r="I1943" s="17">
        <v>38353</v>
      </c>
    </row>
    <row r="1944" spans="1:9">
      <c r="A1944" s="7" t="s">
        <v>5745</v>
      </c>
      <c r="B1944" s="2" t="s">
        <v>2628</v>
      </c>
      <c r="C1944" s="1">
        <v>155</v>
      </c>
      <c r="D1944" s="1" t="s">
        <v>119</v>
      </c>
      <c r="E1944" s="1" t="s">
        <v>6</v>
      </c>
      <c r="F1944" s="1" t="s">
        <v>2691</v>
      </c>
      <c r="G1944" s="14" t="s">
        <v>1446</v>
      </c>
      <c r="H1944" s="1" t="s">
        <v>44</v>
      </c>
      <c r="I1944" s="17" t="s">
        <v>5625</v>
      </c>
    </row>
    <row r="1945" spans="1:9">
      <c r="A1945" s="7" t="s">
        <v>5747</v>
      </c>
      <c r="B1945" s="2" t="s">
        <v>2628</v>
      </c>
      <c r="C1945" s="1">
        <v>155</v>
      </c>
      <c r="D1945" s="1" t="s">
        <v>119</v>
      </c>
      <c r="E1945" s="1" t="s">
        <v>6</v>
      </c>
      <c r="F1945" s="1" t="s">
        <v>2691</v>
      </c>
      <c r="G1945" s="14" t="s">
        <v>1446</v>
      </c>
      <c r="H1945" s="1" t="s">
        <v>44</v>
      </c>
      <c r="I1945" s="17" t="s">
        <v>5625</v>
      </c>
    </row>
    <row r="1946" spans="1:9">
      <c r="A1946" s="7" t="s">
        <v>5748</v>
      </c>
      <c r="B1946" s="2" t="s">
        <v>2628</v>
      </c>
      <c r="C1946" s="1">
        <v>155</v>
      </c>
      <c r="D1946" s="1" t="s">
        <v>119</v>
      </c>
      <c r="E1946" s="1" t="s">
        <v>6</v>
      </c>
      <c r="F1946" s="1" t="s">
        <v>2691</v>
      </c>
      <c r="G1946" s="14" t="s">
        <v>1446</v>
      </c>
      <c r="H1946" s="1" t="s">
        <v>44</v>
      </c>
      <c r="I1946" s="17" t="s">
        <v>5625</v>
      </c>
    </row>
    <row r="1947" spans="1:9">
      <c r="A1947" s="7" t="s">
        <v>5749</v>
      </c>
      <c r="B1947" s="2" t="s">
        <v>2628</v>
      </c>
      <c r="C1947" s="1">
        <v>155</v>
      </c>
      <c r="D1947" s="1" t="s">
        <v>119</v>
      </c>
      <c r="E1947" s="1" t="s">
        <v>6</v>
      </c>
      <c r="F1947" s="1" t="s">
        <v>2691</v>
      </c>
      <c r="G1947" s="14" t="s">
        <v>1446</v>
      </c>
      <c r="H1947" s="1" t="s">
        <v>44</v>
      </c>
      <c r="I1947" s="17" t="s">
        <v>5625</v>
      </c>
    </row>
    <row r="1948" spans="1:9">
      <c r="A1948" s="7" t="s">
        <v>5755</v>
      </c>
      <c r="B1948" s="2" t="s">
        <v>2628</v>
      </c>
      <c r="C1948" s="1">
        <v>155</v>
      </c>
      <c r="D1948" s="1" t="s">
        <v>119</v>
      </c>
      <c r="E1948" s="1" t="s">
        <v>6</v>
      </c>
      <c r="F1948" s="1" t="s">
        <v>2691</v>
      </c>
      <c r="G1948" s="14" t="s">
        <v>1446</v>
      </c>
      <c r="H1948" s="1" t="s">
        <v>44</v>
      </c>
      <c r="I1948" s="17" t="s">
        <v>5625</v>
      </c>
    </row>
    <row r="1949" spans="1:9">
      <c r="A1949" s="7" t="s">
        <v>5777</v>
      </c>
      <c r="B1949" s="2" t="s">
        <v>2628</v>
      </c>
      <c r="C1949" s="1">
        <v>155</v>
      </c>
      <c r="D1949" s="1" t="s">
        <v>119</v>
      </c>
      <c r="E1949" s="1" t="s">
        <v>6</v>
      </c>
      <c r="F1949" s="1" t="s">
        <v>2691</v>
      </c>
      <c r="G1949" s="14" t="s">
        <v>2277</v>
      </c>
      <c r="H1949" s="1" t="s">
        <v>5</v>
      </c>
      <c r="I1949" s="1" t="s">
        <v>5778</v>
      </c>
    </row>
    <row r="1950" spans="1:9">
      <c r="A1950" s="7" t="s">
        <v>5865</v>
      </c>
      <c r="B1950" s="1" t="s">
        <v>2628</v>
      </c>
      <c r="C1950" s="1">
        <v>155</v>
      </c>
      <c r="D1950" s="1" t="s">
        <v>119</v>
      </c>
      <c r="E1950" s="1" t="s">
        <v>6</v>
      </c>
      <c r="F1950" s="1" t="s">
        <v>139</v>
      </c>
      <c r="G1950" s="1" t="s">
        <v>4792</v>
      </c>
      <c r="H1950" s="1" t="s">
        <v>118</v>
      </c>
      <c r="I1950" s="1" t="s">
        <v>5855</v>
      </c>
    </row>
    <row r="1951" spans="1:9">
      <c r="A1951" s="7" t="s">
        <v>6038</v>
      </c>
      <c r="B1951" s="1" t="s">
        <v>2628</v>
      </c>
      <c r="C1951" s="1">
        <v>155</v>
      </c>
      <c r="D1951" s="1" t="s">
        <v>119</v>
      </c>
      <c r="E1951" s="1" t="s">
        <v>6</v>
      </c>
      <c r="F1951" s="1" t="s">
        <v>2360</v>
      </c>
      <c r="G1951" s="1" t="s">
        <v>5</v>
      </c>
      <c r="H1951" s="1" t="s">
        <v>5</v>
      </c>
      <c r="I1951" s="1" t="s">
        <v>5848</v>
      </c>
    </row>
    <row r="1952" spans="1:9">
      <c r="A1952" s="7" t="s">
        <v>6046</v>
      </c>
      <c r="B1952" s="1" t="s">
        <v>2628</v>
      </c>
      <c r="C1952" s="1">
        <v>155</v>
      </c>
      <c r="D1952" s="1" t="s">
        <v>119</v>
      </c>
      <c r="E1952" s="1" t="s">
        <v>6</v>
      </c>
      <c r="F1952" s="1" t="s">
        <v>2360</v>
      </c>
      <c r="G1952" s="1" t="s">
        <v>5</v>
      </c>
      <c r="H1952" s="1" t="s">
        <v>5</v>
      </c>
      <c r="I1952" s="1" t="s">
        <v>5848</v>
      </c>
    </row>
    <row r="1953" spans="1:10">
      <c r="A1953" s="7" t="s">
        <v>6101</v>
      </c>
      <c r="B1953" s="1" t="s">
        <v>2628</v>
      </c>
      <c r="C1953" s="1">
        <v>155</v>
      </c>
      <c r="D1953" s="1" t="s">
        <v>119</v>
      </c>
      <c r="E1953" s="1" t="s">
        <v>6</v>
      </c>
      <c r="F1953" s="1" t="s">
        <v>588</v>
      </c>
      <c r="G1953" s="1" t="s">
        <v>6102</v>
      </c>
      <c r="H1953" s="1" t="s">
        <v>318</v>
      </c>
      <c r="I1953" s="1">
        <v>2018</v>
      </c>
    </row>
    <row r="1954" spans="1:10">
      <c r="A1954" s="7" t="s">
        <v>6151</v>
      </c>
      <c r="B1954" s="2" t="s">
        <v>2628</v>
      </c>
      <c r="C1954" s="1">
        <v>372</v>
      </c>
      <c r="D1954" s="1" t="s">
        <v>119</v>
      </c>
      <c r="E1954" s="1" t="s">
        <v>6</v>
      </c>
      <c r="F1954" s="1" t="s">
        <v>5091</v>
      </c>
      <c r="G1954" s="14" t="s">
        <v>6152</v>
      </c>
      <c r="H1954" s="1" t="s">
        <v>5</v>
      </c>
      <c r="I1954" s="1" t="s">
        <v>5807</v>
      </c>
      <c r="J1954" s="17"/>
    </row>
    <row r="1955" spans="1:10">
      <c r="A1955" s="7" t="s">
        <v>6211</v>
      </c>
      <c r="B1955" s="2" t="s">
        <v>2628</v>
      </c>
      <c r="C1955" s="1">
        <v>155</v>
      </c>
      <c r="D1955" s="1" t="s">
        <v>119</v>
      </c>
      <c r="E1955" s="1" t="s">
        <v>6</v>
      </c>
      <c r="F1955" s="1" t="s">
        <v>5091</v>
      </c>
      <c r="G1955" s="22" t="s">
        <v>6181</v>
      </c>
      <c r="H1955" s="2" t="s">
        <v>118</v>
      </c>
      <c r="I1955" s="1" t="s">
        <v>4458</v>
      </c>
    </row>
    <row r="1956" spans="1:10">
      <c r="A1956" s="7" t="s">
        <v>6228</v>
      </c>
      <c r="B1956" s="2" t="s">
        <v>2628</v>
      </c>
      <c r="C1956" s="1">
        <v>372</v>
      </c>
      <c r="D1956" s="1" t="s">
        <v>119</v>
      </c>
      <c r="E1956" s="1" t="s">
        <v>6</v>
      </c>
      <c r="F1956" s="1" t="s">
        <v>5091</v>
      </c>
      <c r="G1956" s="14" t="s">
        <v>6145</v>
      </c>
      <c r="H1956" s="1" t="s">
        <v>43</v>
      </c>
      <c r="I1956" s="1" t="s">
        <v>5807</v>
      </c>
    </row>
    <row r="1957" spans="1:10">
      <c r="A1957" s="7" t="s">
        <v>6229</v>
      </c>
      <c r="B1957" s="2" t="s">
        <v>2628</v>
      </c>
      <c r="C1957" s="1">
        <v>372</v>
      </c>
      <c r="D1957" s="1" t="s">
        <v>119</v>
      </c>
      <c r="E1957" s="1" t="s">
        <v>6</v>
      </c>
      <c r="F1957" s="1" t="s">
        <v>5091</v>
      </c>
      <c r="G1957" s="14" t="s">
        <v>6145</v>
      </c>
      <c r="H1957" s="1" t="s">
        <v>43</v>
      </c>
      <c r="I1957" s="1" t="s">
        <v>5807</v>
      </c>
    </row>
    <row r="1958" spans="1:10">
      <c r="A1958" s="7" t="s">
        <v>6237</v>
      </c>
      <c r="B1958" s="2" t="s">
        <v>2628</v>
      </c>
      <c r="C1958" s="1">
        <v>155</v>
      </c>
      <c r="D1958" s="1" t="s">
        <v>119</v>
      </c>
      <c r="E1958" s="1" t="s">
        <v>6</v>
      </c>
      <c r="F1958" s="1" t="s">
        <v>5091</v>
      </c>
      <c r="G1958" s="14" t="s">
        <v>6238</v>
      </c>
      <c r="H1958" s="1" t="s">
        <v>43</v>
      </c>
      <c r="I1958" s="1" t="s">
        <v>5807</v>
      </c>
    </row>
    <row r="1959" spans="1:10">
      <c r="A1959" s="7" t="s">
        <v>6240</v>
      </c>
      <c r="B1959" s="2" t="s">
        <v>2628</v>
      </c>
      <c r="C1959" s="1">
        <v>155</v>
      </c>
      <c r="D1959" s="1" t="s">
        <v>119</v>
      </c>
      <c r="E1959" s="1" t="s">
        <v>6</v>
      </c>
      <c r="F1959" s="1" t="s">
        <v>5091</v>
      </c>
      <c r="G1959" s="22" t="s">
        <v>6181</v>
      </c>
      <c r="H1959" s="2" t="s">
        <v>118</v>
      </c>
      <c r="I1959" s="1" t="s">
        <v>4458</v>
      </c>
    </row>
    <row r="1960" spans="1:10">
      <c r="A1960" s="7" t="s">
        <v>6312</v>
      </c>
      <c r="B1960" s="2" t="s">
        <v>2628</v>
      </c>
      <c r="C1960" s="1">
        <v>155</v>
      </c>
      <c r="D1960" s="1" t="s">
        <v>119</v>
      </c>
      <c r="E1960" s="1" t="s">
        <v>6</v>
      </c>
      <c r="F1960" s="1" t="s">
        <v>5091</v>
      </c>
      <c r="G1960" s="22" t="s">
        <v>6181</v>
      </c>
      <c r="H1960" s="2" t="s">
        <v>118</v>
      </c>
      <c r="I1960" s="1" t="s">
        <v>4458</v>
      </c>
    </row>
    <row r="1961" spans="1:10">
      <c r="A1961" s="7" t="s">
        <v>6325</v>
      </c>
      <c r="B1961" s="2" t="s">
        <v>2628</v>
      </c>
      <c r="C1961" s="1">
        <v>155</v>
      </c>
      <c r="D1961" s="1" t="s">
        <v>119</v>
      </c>
      <c r="E1961" s="1" t="s">
        <v>6</v>
      </c>
      <c r="F1961" s="1" t="s">
        <v>5091</v>
      </c>
      <c r="G1961" s="22" t="s">
        <v>6181</v>
      </c>
      <c r="H1961" s="2" t="s">
        <v>118</v>
      </c>
      <c r="I1961" s="1" t="s">
        <v>4458</v>
      </c>
    </row>
    <row r="1962" spans="1:10">
      <c r="A1962" s="7" t="s">
        <v>6371</v>
      </c>
      <c r="B1962" s="2" t="s">
        <v>2628</v>
      </c>
      <c r="C1962" s="1">
        <v>155</v>
      </c>
      <c r="D1962" s="1" t="s">
        <v>119</v>
      </c>
      <c r="E1962" s="1" t="s">
        <v>6</v>
      </c>
      <c r="F1962" s="1" t="s">
        <v>5091</v>
      </c>
      <c r="G1962" s="14" t="s">
        <v>6209</v>
      </c>
      <c r="H1962" s="1" t="s">
        <v>43</v>
      </c>
      <c r="I1962" s="1" t="s">
        <v>5089</v>
      </c>
    </row>
    <row r="1963" spans="1:10">
      <c r="A1963" s="16" t="s">
        <v>6373</v>
      </c>
      <c r="B1963" s="1" t="s">
        <v>2628</v>
      </c>
      <c r="C1963" s="1">
        <v>155</v>
      </c>
      <c r="D1963" s="1" t="s">
        <v>119</v>
      </c>
      <c r="E1963" s="1" t="s">
        <v>6</v>
      </c>
      <c r="F1963" s="1" t="s">
        <v>5091</v>
      </c>
      <c r="G1963" s="14" t="s">
        <v>6374</v>
      </c>
      <c r="H1963" s="1" t="s">
        <v>5</v>
      </c>
      <c r="I1963" s="17">
        <v>37078</v>
      </c>
    </row>
    <row r="1964" spans="1:10">
      <c r="A1964" s="16" t="s">
        <v>6375</v>
      </c>
      <c r="B1964" s="1" t="s">
        <v>2628</v>
      </c>
      <c r="C1964" s="1">
        <v>155</v>
      </c>
      <c r="D1964" s="1" t="s">
        <v>119</v>
      </c>
      <c r="E1964" s="1" t="s">
        <v>6</v>
      </c>
      <c r="F1964" s="1" t="s">
        <v>5091</v>
      </c>
      <c r="G1964" s="14" t="s">
        <v>2387</v>
      </c>
      <c r="H1964" s="1" t="s">
        <v>5</v>
      </c>
      <c r="I1964" s="17">
        <v>37244</v>
      </c>
    </row>
    <row r="1965" spans="1:10">
      <c r="A1965" s="16" t="s">
        <v>6376</v>
      </c>
      <c r="B1965" s="1" t="s">
        <v>2628</v>
      </c>
      <c r="C1965" s="1">
        <v>155</v>
      </c>
      <c r="D1965" s="1" t="s">
        <v>119</v>
      </c>
      <c r="E1965" s="1" t="s">
        <v>6</v>
      </c>
      <c r="F1965" s="1" t="s">
        <v>5091</v>
      </c>
      <c r="G1965" s="14" t="s">
        <v>6377</v>
      </c>
      <c r="H1965" s="1" t="s">
        <v>5</v>
      </c>
      <c r="I1965" s="17">
        <v>39000</v>
      </c>
    </row>
    <row r="1966" spans="1:10">
      <c r="A1966" s="16" t="s">
        <v>6378</v>
      </c>
      <c r="B1966" s="1" t="s">
        <v>2628</v>
      </c>
      <c r="C1966" s="1">
        <v>155</v>
      </c>
      <c r="D1966" s="1" t="s">
        <v>119</v>
      </c>
      <c r="E1966" s="1" t="s">
        <v>6</v>
      </c>
      <c r="F1966" s="1" t="s">
        <v>2775</v>
      </c>
      <c r="G1966" s="14" t="s">
        <v>6379</v>
      </c>
      <c r="H1966" s="1" t="s">
        <v>5</v>
      </c>
      <c r="I1966" s="17">
        <v>40422</v>
      </c>
    </row>
    <row r="1967" spans="1:10">
      <c r="A1967" s="16" t="s">
        <v>6380</v>
      </c>
      <c r="B1967" s="1" t="s">
        <v>2628</v>
      </c>
      <c r="C1967" s="1">
        <v>155</v>
      </c>
      <c r="D1967" s="1" t="s">
        <v>119</v>
      </c>
      <c r="E1967" s="1" t="s">
        <v>6</v>
      </c>
      <c r="F1967" s="1" t="s">
        <v>5091</v>
      </c>
      <c r="G1967" s="14" t="s">
        <v>6145</v>
      </c>
      <c r="H1967" s="1" t="s">
        <v>43</v>
      </c>
      <c r="I1967" s="17">
        <v>41306</v>
      </c>
    </row>
    <row r="1968" spans="1:10">
      <c r="A1968" s="16" t="s">
        <v>6381</v>
      </c>
      <c r="B1968" s="1" t="s">
        <v>2628</v>
      </c>
      <c r="C1968" s="1">
        <v>155</v>
      </c>
      <c r="D1968" s="1" t="s">
        <v>119</v>
      </c>
      <c r="E1968" s="1" t="s">
        <v>6</v>
      </c>
      <c r="F1968" s="1" t="s">
        <v>5091</v>
      </c>
      <c r="G1968" s="14" t="s">
        <v>6145</v>
      </c>
      <c r="H1968" s="1" t="s">
        <v>43</v>
      </c>
      <c r="I1968" s="17">
        <v>41556</v>
      </c>
    </row>
    <row r="1969" spans="1:10">
      <c r="A1969" s="16" t="s">
        <v>6382</v>
      </c>
      <c r="B1969" s="1" t="s">
        <v>2628</v>
      </c>
      <c r="C1969" s="1">
        <v>155</v>
      </c>
      <c r="D1969" s="1" t="s">
        <v>119</v>
      </c>
      <c r="E1969" s="1" t="s">
        <v>6</v>
      </c>
      <c r="F1969" s="1" t="s">
        <v>5091</v>
      </c>
      <c r="G1969" s="14" t="s">
        <v>6145</v>
      </c>
      <c r="H1969" s="1" t="s">
        <v>43</v>
      </c>
      <c r="I1969" s="17">
        <v>41556</v>
      </c>
    </row>
    <row r="1970" spans="1:10">
      <c r="A1970" s="7" t="s">
        <v>6391</v>
      </c>
      <c r="B1970" s="2" t="s">
        <v>2628</v>
      </c>
      <c r="C1970" s="1">
        <v>155</v>
      </c>
      <c r="D1970" s="1" t="s">
        <v>119</v>
      </c>
      <c r="E1970" s="1" t="s">
        <v>6</v>
      </c>
      <c r="F1970" s="1" t="s">
        <v>5091</v>
      </c>
      <c r="G1970" s="14" t="s">
        <v>6139</v>
      </c>
      <c r="H1970" s="1" t="s">
        <v>43</v>
      </c>
      <c r="I1970" s="1" t="s">
        <v>5807</v>
      </c>
    </row>
    <row r="1971" spans="1:10">
      <c r="A1971" s="7" t="s">
        <v>6393</v>
      </c>
      <c r="B1971" s="2" t="s">
        <v>2628</v>
      </c>
      <c r="C1971" s="1">
        <v>155</v>
      </c>
      <c r="D1971" s="1" t="s">
        <v>119</v>
      </c>
      <c r="E1971" s="1" t="s">
        <v>6</v>
      </c>
      <c r="F1971" s="1" t="s">
        <v>5091</v>
      </c>
      <c r="G1971" s="14" t="s">
        <v>6139</v>
      </c>
      <c r="H1971" s="1" t="s">
        <v>43</v>
      </c>
      <c r="I1971" s="1" t="s">
        <v>5807</v>
      </c>
    </row>
    <row r="1972" spans="1:10">
      <c r="A1972" s="7" t="s">
        <v>6395</v>
      </c>
      <c r="B1972" s="2" t="s">
        <v>2628</v>
      </c>
      <c r="C1972" s="1">
        <v>155</v>
      </c>
      <c r="D1972" s="1" t="s">
        <v>119</v>
      </c>
      <c r="E1972" s="1" t="s">
        <v>6</v>
      </c>
      <c r="F1972" s="1" t="s">
        <v>5091</v>
      </c>
      <c r="G1972" s="14" t="s">
        <v>6139</v>
      </c>
      <c r="H1972" s="1" t="s">
        <v>43</v>
      </c>
      <c r="I1972" s="1" t="s">
        <v>5807</v>
      </c>
    </row>
    <row r="1973" spans="1:10">
      <c r="A1973" s="7" t="s">
        <v>6396</v>
      </c>
      <c r="B1973" s="2" t="s">
        <v>2628</v>
      </c>
      <c r="C1973" s="1">
        <v>155</v>
      </c>
      <c r="D1973" s="1" t="s">
        <v>119</v>
      </c>
      <c r="E1973" s="1" t="s">
        <v>6</v>
      </c>
      <c r="F1973" s="1" t="s">
        <v>5091</v>
      </c>
      <c r="G1973" s="14" t="s">
        <v>6139</v>
      </c>
      <c r="H1973" s="1" t="s">
        <v>43</v>
      </c>
      <c r="I1973" s="1" t="s">
        <v>5807</v>
      </c>
    </row>
    <row r="1974" spans="1:10">
      <c r="A1974" s="7" t="s">
        <v>6397</v>
      </c>
      <c r="B1974" s="2" t="s">
        <v>2628</v>
      </c>
      <c r="C1974" s="1">
        <v>155</v>
      </c>
      <c r="D1974" s="1" t="s">
        <v>119</v>
      </c>
      <c r="E1974" s="1" t="s">
        <v>6</v>
      </c>
      <c r="F1974" s="1" t="s">
        <v>5091</v>
      </c>
      <c r="G1974" s="14" t="s">
        <v>6390</v>
      </c>
      <c r="H1974" s="1" t="s">
        <v>5</v>
      </c>
      <c r="I1974" s="1" t="s">
        <v>5807</v>
      </c>
      <c r="J1974" s="17"/>
    </row>
    <row r="1975" spans="1:10">
      <c r="A1975" s="7" t="s">
        <v>6398</v>
      </c>
      <c r="B1975" s="2" t="s">
        <v>2628</v>
      </c>
      <c r="C1975" s="1">
        <v>155</v>
      </c>
      <c r="D1975" s="1" t="s">
        <v>119</v>
      </c>
      <c r="E1975" s="1" t="s">
        <v>6</v>
      </c>
      <c r="F1975" s="1" t="s">
        <v>5091</v>
      </c>
      <c r="G1975" s="14" t="s">
        <v>6139</v>
      </c>
      <c r="H1975" s="1" t="s">
        <v>43</v>
      </c>
      <c r="I1975" s="1" t="s">
        <v>5807</v>
      </c>
    </row>
    <row r="1976" spans="1:10">
      <c r="A1976" s="16" t="s">
        <v>6400</v>
      </c>
      <c r="B1976" s="1" t="s">
        <v>2628</v>
      </c>
      <c r="C1976" s="1">
        <v>155</v>
      </c>
      <c r="D1976" s="1" t="s">
        <v>119</v>
      </c>
      <c r="E1976" s="1" t="s">
        <v>6</v>
      </c>
      <c r="F1976" s="1" t="s">
        <v>5091</v>
      </c>
      <c r="G1976" s="14" t="s">
        <v>6401</v>
      </c>
      <c r="H1976" s="1" t="s">
        <v>5</v>
      </c>
      <c r="I1976" s="17">
        <v>41526</v>
      </c>
    </row>
    <row r="1977" spans="1:10">
      <c r="A1977" s="16" t="s">
        <v>6402</v>
      </c>
      <c r="B1977" s="1" t="s">
        <v>2628</v>
      </c>
      <c r="C1977" s="1">
        <v>155</v>
      </c>
      <c r="D1977" s="1" t="s">
        <v>119</v>
      </c>
      <c r="E1977" s="1" t="s">
        <v>6</v>
      </c>
      <c r="F1977" s="1" t="s">
        <v>5091</v>
      </c>
      <c r="G1977" s="14" t="s">
        <v>6145</v>
      </c>
      <c r="H1977" s="1" t="s">
        <v>43</v>
      </c>
      <c r="I1977" s="17">
        <v>41521</v>
      </c>
    </row>
    <row r="1978" spans="1:10">
      <c r="A1978" s="16" t="s">
        <v>6403</v>
      </c>
      <c r="B1978" s="1" t="s">
        <v>2628</v>
      </c>
      <c r="C1978" s="1">
        <v>155</v>
      </c>
      <c r="D1978" s="1" t="s">
        <v>119</v>
      </c>
      <c r="E1978" s="1" t="s">
        <v>6</v>
      </c>
      <c r="F1978" s="1" t="s">
        <v>5091</v>
      </c>
      <c r="G1978" s="14" t="s">
        <v>6145</v>
      </c>
      <c r="H1978" s="1" t="s">
        <v>43</v>
      </c>
      <c r="I1978" s="17">
        <v>41521</v>
      </c>
    </row>
    <row r="1979" spans="1:10">
      <c r="A1979" s="16" t="s">
        <v>6404</v>
      </c>
      <c r="B1979" s="1" t="s">
        <v>2628</v>
      </c>
      <c r="C1979" s="1">
        <v>155</v>
      </c>
      <c r="D1979" s="1" t="s">
        <v>119</v>
      </c>
      <c r="E1979" s="1" t="s">
        <v>6</v>
      </c>
      <c r="F1979" s="1" t="s">
        <v>5091</v>
      </c>
      <c r="G1979" s="14" t="s">
        <v>6405</v>
      </c>
      <c r="H1979" s="1" t="s">
        <v>5</v>
      </c>
      <c r="I1979" s="17">
        <v>41522</v>
      </c>
    </row>
    <row r="1980" spans="1:10">
      <c r="A1980" s="16" t="s">
        <v>6406</v>
      </c>
      <c r="B1980" s="1" t="s">
        <v>2628</v>
      </c>
      <c r="C1980" s="1">
        <v>155</v>
      </c>
      <c r="D1980" s="1" t="s">
        <v>119</v>
      </c>
      <c r="E1980" s="1" t="s">
        <v>6</v>
      </c>
      <c r="F1980" s="1" t="s">
        <v>5091</v>
      </c>
      <c r="G1980" s="14" t="s">
        <v>6145</v>
      </c>
      <c r="H1980" s="1" t="s">
        <v>43</v>
      </c>
      <c r="I1980" s="17">
        <v>41521</v>
      </c>
    </row>
    <row r="1981" spans="1:10">
      <c r="A1981" s="16" t="s">
        <v>6407</v>
      </c>
      <c r="B1981" s="1" t="s">
        <v>2628</v>
      </c>
      <c r="C1981" s="1">
        <v>155</v>
      </c>
      <c r="D1981" s="1" t="s">
        <v>119</v>
      </c>
      <c r="E1981" s="1" t="s">
        <v>6</v>
      </c>
      <c r="F1981" s="1" t="s">
        <v>5091</v>
      </c>
      <c r="G1981" s="14" t="s">
        <v>6145</v>
      </c>
      <c r="H1981" s="1" t="s">
        <v>43</v>
      </c>
      <c r="I1981" s="17">
        <v>41521</v>
      </c>
    </row>
    <row r="1982" spans="1:10">
      <c r="A1982" s="16" t="s">
        <v>6409</v>
      </c>
      <c r="B1982" s="1" t="s">
        <v>2628</v>
      </c>
      <c r="C1982" s="1">
        <v>155</v>
      </c>
      <c r="D1982" s="1" t="s">
        <v>119</v>
      </c>
      <c r="E1982" s="1" t="s">
        <v>6</v>
      </c>
      <c r="F1982" s="1" t="s">
        <v>5091</v>
      </c>
      <c r="G1982" s="14" t="s">
        <v>6405</v>
      </c>
      <c r="H1982" s="1" t="s">
        <v>5</v>
      </c>
      <c r="I1982" s="17">
        <v>41522</v>
      </c>
    </row>
    <row r="1983" spans="1:10">
      <c r="A1983" s="16" t="s">
        <v>6410</v>
      </c>
      <c r="B1983" s="1" t="s">
        <v>2628</v>
      </c>
      <c r="C1983" s="1">
        <v>155</v>
      </c>
      <c r="D1983" s="1" t="s">
        <v>119</v>
      </c>
      <c r="E1983" s="1" t="s">
        <v>6</v>
      </c>
      <c r="F1983" s="1" t="s">
        <v>5091</v>
      </c>
      <c r="G1983" s="14" t="s">
        <v>6145</v>
      </c>
      <c r="H1983" s="1" t="s">
        <v>43</v>
      </c>
      <c r="I1983" s="17">
        <v>41521</v>
      </c>
    </row>
    <row r="1984" spans="1:10">
      <c r="A1984" s="16" t="s">
        <v>6411</v>
      </c>
      <c r="B1984" s="1" t="s">
        <v>2628</v>
      </c>
      <c r="C1984" s="1">
        <v>155</v>
      </c>
      <c r="D1984" s="1" t="s">
        <v>119</v>
      </c>
      <c r="E1984" s="1" t="s">
        <v>6</v>
      </c>
      <c r="F1984" s="1" t="s">
        <v>5091</v>
      </c>
      <c r="G1984" s="14" t="s">
        <v>6145</v>
      </c>
      <c r="H1984" s="1" t="s">
        <v>43</v>
      </c>
      <c r="I1984" s="17">
        <v>41521</v>
      </c>
    </row>
    <row r="1985" spans="1:10">
      <c r="A1985" s="16" t="s">
        <v>6412</v>
      </c>
      <c r="B1985" s="1" t="s">
        <v>2628</v>
      </c>
      <c r="C1985" s="1">
        <v>155</v>
      </c>
      <c r="D1985" s="1" t="s">
        <v>119</v>
      </c>
      <c r="E1985" s="1" t="s">
        <v>6</v>
      </c>
      <c r="F1985" s="1" t="s">
        <v>5091</v>
      </c>
      <c r="G1985" s="14" t="s">
        <v>6405</v>
      </c>
      <c r="H1985" s="1" t="s">
        <v>5</v>
      </c>
      <c r="I1985" s="17">
        <v>41522</v>
      </c>
    </row>
    <row r="1986" spans="1:10">
      <c r="A1986" s="16" t="s">
        <v>6413</v>
      </c>
      <c r="B1986" s="1" t="s">
        <v>2628</v>
      </c>
      <c r="C1986" s="1">
        <v>155</v>
      </c>
      <c r="D1986" s="1" t="s">
        <v>119</v>
      </c>
      <c r="E1986" s="1" t="s">
        <v>6</v>
      </c>
      <c r="F1986" s="1" t="s">
        <v>5091</v>
      </c>
      <c r="G1986" s="14" t="s">
        <v>6145</v>
      </c>
      <c r="H1986" s="1" t="s">
        <v>43</v>
      </c>
      <c r="I1986" s="17">
        <v>41521</v>
      </c>
    </row>
    <row r="1987" spans="1:10">
      <c r="A1987" s="16" t="s">
        <v>6414</v>
      </c>
      <c r="B1987" s="1" t="s">
        <v>2628</v>
      </c>
      <c r="C1987" s="1">
        <v>155</v>
      </c>
      <c r="D1987" s="1" t="s">
        <v>119</v>
      </c>
      <c r="E1987" s="1" t="s">
        <v>6</v>
      </c>
      <c r="F1987" s="1" t="s">
        <v>5091</v>
      </c>
      <c r="G1987" s="14" t="s">
        <v>6145</v>
      </c>
      <c r="H1987" s="1" t="s">
        <v>43</v>
      </c>
      <c r="I1987" s="17">
        <v>41521</v>
      </c>
    </row>
    <row r="1988" spans="1:10">
      <c r="A1988" s="16" t="s">
        <v>6415</v>
      </c>
      <c r="B1988" s="1" t="s">
        <v>2628</v>
      </c>
      <c r="C1988" s="1">
        <v>155</v>
      </c>
      <c r="D1988" s="1" t="s">
        <v>119</v>
      </c>
      <c r="E1988" s="1" t="s">
        <v>6</v>
      </c>
      <c r="F1988" s="1" t="s">
        <v>5091</v>
      </c>
      <c r="G1988" s="14" t="s">
        <v>6145</v>
      </c>
      <c r="H1988" s="1" t="s">
        <v>43</v>
      </c>
      <c r="I1988" s="17">
        <v>41521</v>
      </c>
    </row>
    <row r="1989" spans="1:10">
      <c r="A1989" s="16" t="s">
        <v>6416</v>
      </c>
      <c r="B1989" s="1" t="s">
        <v>2628</v>
      </c>
      <c r="C1989" s="1">
        <v>155</v>
      </c>
      <c r="D1989" s="1" t="s">
        <v>119</v>
      </c>
      <c r="E1989" s="1" t="s">
        <v>6</v>
      </c>
      <c r="F1989" s="1" t="s">
        <v>5091</v>
      </c>
      <c r="G1989" s="14" t="s">
        <v>6145</v>
      </c>
      <c r="H1989" s="1" t="s">
        <v>43</v>
      </c>
      <c r="I1989" s="17">
        <v>41521</v>
      </c>
    </row>
    <row r="1990" spans="1:10">
      <c r="A1990" s="16" t="s">
        <v>6417</v>
      </c>
      <c r="B1990" s="1" t="s">
        <v>2628</v>
      </c>
      <c r="C1990" s="1">
        <v>155</v>
      </c>
      <c r="D1990" s="1" t="s">
        <v>119</v>
      </c>
      <c r="E1990" s="1" t="s">
        <v>6</v>
      </c>
      <c r="F1990" s="1" t="s">
        <v>5091</v>
      </c>
      <c r="G1990" s="14" t="s">
        <v>6145</v>
      </c>
      <c r="H1990" s="1" t="s">
        <v>43</v>
      </c>
      <c r="I1990" s="17">
        <v>41521</v>
      </c>
    </row>
    <row r="1991" spans="1:10">
      <c r="A1991" s="16" t="s">
        <v>6418</v>
      </c>
      <c r="B1991" s="1" t="s">
        <v>2628</v>
      </c>
      <c r="C1991" s="1">
        <v>155</v>
      </c>
      <c r="D1991" s="1" t="s">
        <v>119</v>
      </c>
      <c r="E1991" s="1" t="s">
        <v>6</v>
      </c>
      <c r="F1991" s="1" t="s">
        <v>5091</v>
      </c>
      <c r="G1991" s="14" t="s">
        <v>6145</v>
      </c>
      <c r="H1991" s="1" t="s">
        <v>43</v>
      </c>
      <c r="I1991" s="17">
        <v>41521</v>
      </c>
    </row>
    <row r="1992" spans="1:10">
      <c r="A1992" s="7" t="s">
        <v>6419</v>
      </c>
      <c r="B1992" s="1" t="s">
        <v>2628</v>
      </c>
      <c r="C1992" s="1">
        <v>372</v>
      </c>
      <c r="D1992" s="1" t="s">
        <v>119</v>
      </c>
      <c r="E1992" s="1" t="s">
        <v>6</v>
      </c>
      <c r="F1992" s="1" t="s">
        <v>5091</v>
      </c>
      <c r="G1992" s="1" t="s">
        <v>6420</v>
      </c>
      <c r="H1992" s="1" t="s">
        <v>5</v>
      </c>
      <c r="I1992" s="1" t="s">
        <v>5807</v>
      </c>
      <c r="J1992" s="17"/>
    </row>
    <row r="1993" spans="1:10">
      <c r="A1993" s="7" t="s">
        <v>6421</v>
      </c>
      <c r="B1993" s="1" t="s">
        <v>2628</v>
      </c>
      <c r="C1993" s="1">
        <v>155</v>
      </c>
      <c r="D1993" s="1" t="s">
        <v>119</v>
      </c>
      <c r="E1993" s="1" t="s">
        <v>6</v>
      </c>
      <c r="F1993" s="1" t="s">
        <v>5091</v>
      </c>
      <c r="G1993" s="1" t="s">
        <v>6186</v>
      </c>
      <c r="H1993" s="1" t="s">
        <v>5</v>
      </c>
      <c r="I1993" s="1" t="s">
        <v>5807</v>
      </c>
      <c r="J1993" s="17"/>
    </row>
    <row r="1994" spans="1:10">
      <c r="A1994" s="7" t="s">
        <v>6422</v>
      </c>
      <c r="B1994" s="1" t="s">
        <v>2628</v>
      </c>
      <c r="C1994" s="1">
        <v>372</v>
      </c>
      <c r="D1994" s="1" t="s">
        <v>119</v>
      </c>
      <c r="E1994" s="1" t="s">
        <v>6</v>
      </c>
      <c r="F1994" s="1" t="s">
        <v>5091</v>
      </c>
      <c r="G1994" s="1" t="s">
        <v>6420</v>
      </c>
      <c r="H1994" s="1" t="s">
        <v>5</v>
      </c>
      <c r="I1994" s="1" t="s">
        <v>5807</v>
      </c>
      <c r="J1994" s="17"/>
    </row>
    <row r="1995" spans="1:10">
      <c r="A1995" s="7" t="s">
        <v>6423</v>
      </c>
      <c r="B1995" s="1" t="s">
        <v>2628</v>
      </c>
      <c r="C1995" s="1">
        <v>155</v>
      </c>
      <c r="D1995" s="1" t="s">
        <v>119</v>
      </c>
      <c r="E1995" s="1" t="s">
        <v>6</v>
      </c>
      <c r="F1995" s="1" t="s">
        <v>5091</v>
      </c>
      <c r="G1995" s="1" t="s">
        <v>6139</v>
      </c>
      <c r="H1995" s="1" t="s">
        <v>43</v>
      </c>
      <c r="I1995" s="1" t="s">
        <v>5807</v>
      </c>
    </row>
    <row r="1996" spans="1:10">
      <c r="A1996" s="16" t="s">
        <v>6426</v>
      </c>
      <c r="B1996" s="1" t="s">
        <v>2628</v>
      </c>
      <c r="C1996" s="1">
        <v>155</v>
      </c>
      <c r="D1996" s="1" t="s">
        <v>119</v>
      </c>
      <c r="E1996" s="1" t="s">
        <v>6</v>
      </c>
      <c r="F1996" s="1" t="s">
        <v>5091</v>
      </c>
      <c r="G1996" s="14" t="s">
        <v>6427</v>
      </c>
      <c r="H1996" s="1" t="s">
        <v>5</v>
      </c>
      <c r="I1996" s="1" t="s">
        <v>4458</v>
      </c>
    </row>
    <row r="1997" spans="1:10">
      <c r="A1997" s="16" t="s">
        <v>6428</v>
      </c>
      <c r="B1997" s="1" t="s">
        <v>2628</v>
      </c>
      <c r="C1997" s="1">
        <v>155</v>
      </c>
      <c r="D1997" s="1" t="s">
        <v>119</v>
      </c>
      <c r="E1997" s="1" t="s">
        <v>6</v>
      </c>
      <c r="F1997" s="1" t="s">
        <v>5091</v>
      </c>
      <c r="G1997" s="14" t="s">
        <v>6427</v>
      </c>
      <c r="H1997" s="1" t="s">
        <v>5</v>
      </c>
      <c r="I1997" s="1" t="s">
        <v>4458</v>
      </c>
    </row>
    <row r="1998" spans="1:10">
      <c r="A1998" s="16" t="s">
        <v>6429</v>
      </c>
      <c r="B1998" s="1" t="s">
        <v>2628</v>
      </c>
      <c r="C1998" s="1">
        <v>155</v>
      </c>
      <c r="D1998" s="1" t="s">
        <v>119</v>
      </c>
      <c r="E1998" s="1" t="s">
        <v>6</v>
      </c>
      <c r="F1998" s="1" t="s">
        <v>5091</v>
      </c>
      <c r="G1998" s="14" t="s">
        <v>6427</v>
      </c>
      <c r="H1998" s="1" t="s">
        <v>5</v>
      </c>
      <c r="I1998" s="1" t="s">
        <v>4458</v>
      </c>
    </row>
    <row r="1999" spans="1:10">
      <c r="A1999" s="16" t="s">
        <v>6430</v>
      </c>
      <c r="B1999" s="1" t="s">
        <v>2628</v>
      </c>
      <c r="C1999" s="1">
        <v>155</v>
      </c>
      <c r="D1999" s="1" t="s">
        <v>119</v>
      </c>
      <c r="E1999" s="1" t="s">
        <v>6</v>
      </c>
      <c r="F1999" s="1" t="s">
        <v>5091</v>
      </c>
      <c r="G1999" s="14" t="s">
        <v>6427</v>
      </c>
      <c r="H1999" s="1" t="s">
        <v>5</v>
      </c>
      <c r="I1999" s="1" t="s">
        <v>4458</v>
      </c>
    </row>
    <row r="2000" spans="1:10">
      <c r="A2000" s="7" t="s">
        <v>6439</v>
      </c>
      <c r="B2000" s="1" t="s">
        <v>2628</v>
      </c>
      <c r="C2000" s="1">
        <v>155</v>
      </c>
      <c r="D2000" s="1" t="s">
        <v>119</v>
      </c>
      <c r="E2000" s="1" t="s">
        <v>6</v>
      </c>
      <c r="F2000" s="1" t="s">
        <v>5241</v>
      </c>
      <c r="G2000" s="1" t="s">
        <v>4803</v>
      </c>
      <c r="H2000" s="1" t="s">
        <v>5</v>
      </c>
      <c r="I2000" s="1" t="s">
        <v>5807</v>
      </c>
      <c r="J2000" s="17"/>
    </row>
    <row r="2001" spans="1:10">
      <c r="A2001" s="7" t="s">
        <v>6440</v>
      </c>
      <c r="B2001" s="1" t="s">
        <v>2628</v>
      </c>
      <c r="C2001" s="1">
        <v>155</v>
      </c>
      <c r="D2001" s="1" t="s">
        <v>119</v>
      </c>
      <c r="E2001" s="1" t="s">
        <v>6</v>
      </c>
      <c r="F2001" s="1" t="s">
        <v>5241</v>
      </c>
      <c r="G2001" s="1" t="s">
        <v>4803</v>
      </c>
      <c r="H2001" s="1" t="s">
        <v>5</v>
      </c>
      <c r="I2001" s="1" t="s">
        <v>5807</v>
      </c>
      <c r="J2001" s="17"/>
    </row>
    <row r="2002" spans="1:10">
      <c r="A2002" s="7" t="s">
        <v>6441</v>
      </c>
      <c r="B2002" s="1" t="s">
        <v>2628</v>
      </c>
      <c r="C2002" s="1">
        <v>155</v>
      </c>
      <c r="D2002" s="1" t="s">
        <v>119</v>
      </c>
      <c r="E2002" s="1" t="s">
        <v>6</v>
      </c>
      <c r="F2002" s="1" t="s">
        <v>5241</v>
      </c>
      <c r="G2002" s="1" t="s">
        <v>4803</v>
      </c>
      <c r="H2002" s="1" t="s">
        <v>5</v>
      </c>
      <c r="I2002" s="1" t="s">
        <v>5807</v>
      </c>
      <c r="J2002" s="17"/>
    </row>
    <row r="2003" spans="1:10">
      <c r="A2003" s="7" t="s">
        <v>6454</v>
      </c>
      <c r="B2003" s="1" t="s">
        <v>2628</v>
      </c>
      <c r="C2003" s="1">
        <v>155</v>
      </c>
      <c r="D2003" s="1" t="s">
        <v>119</v>
      </c>
      <c r="E2003" s="1" t="s">
        <v>6</v>
      </c>
      <c r="F2003" s="1" t="s">
        <v>5091</v>
      </c>
      <c r="G2003" s="1" t="s">
        <v>6450</v>
      </c>
      <c r="H2003" s="1" t="s">
        <v>43</v>
      </c>
      <c r="I2003" s="1" t="s">
        <v>5722</v>
      </c>
    </row>
    <row r="2004" spans="1:10">
      <c r="A2004" s="7" t="s">
        <v>6471</v>
      </c>
      <c r="B2004" s="1" t="s">
        <v>2628</v>
      </c>
      <c r="C2004" s="1">
        <v>155</v>
      </c>
      <c r="D2004" s="1" t="s">
        <v>119</v>
      </c>
      <c r="E2004" s="1" t="s">
        <v>6</v>
      </c>
      <c r="F2004" s="1" t="s">
        <v>5091</v>
      </c>
      <c r="G2004" s="1" t="s">
        <v>6139</v>
      </c>
      <c r="H2004" s="1" t="s">
        <v>43</v>
      </c>
      <c r="I2004" s="1" t="s">
        <v>5807</v>
      </c>
    </row>
    <row r="2005" spans="1:10">
      <c r="A2005" s="7" t="s">
        <v>6474</v>
      </c>
      <c r="B2005" s="1" t="s">
        <v>2628</v>
      </c>
      <c r="C2005" s="1">
        <v>155</v>
      </c>
      <c r="D2005" s="1" t="s">
        <v>119</v>
      </c>
      <c r="E2005" s="1" t="s">
        <v>6</v>
      </c>
      <c r="F2005" s="1" t="s">
        <v>5091</v>
      </c>
      <c r="G2005" s="1" t="s">
        <v>6139</v>
      </c>
      <c r="H2005" s="1" t="s">
        <v>43</v>
      </c>
      <c r="I2005" s="1" t="s">
        <v>5807</v>
      </c>
    </row>
    <row r="2006" spans="1:10">
      <c r="A2006" s="16" t="s">
        <v>6476</v>
      </c>
      <c r="B2006" s="1" t="s">
        <v>2628</v>
      </c>
      <c r="C2006" s="1">
        <v>155</v>
      </c>
      <c r="D2006" s="1" t="s">
        <v>119</v>
      </c>
      <c r="E2006" s="1" t="s">
        <v>6</v>
      </c>
      <c r="F2006" s="1" t="s">
        <v>5091</v>
      </c>
      <c r="G2006" s="14" t="s">
        <v>6477</v>
      </c>
      <c r="H2006" s="1" t="s">
        <v>5</v>
      </c>
      <c r="I2006" s="17">
        <v>41576</v>
      </c>
    </row>
    <row r="2007" spans="1:10">
      <c r="A2007" s="16" t="s">
        <v>6495</v>
      </c>
      <c r="B2007" s="1" t="s">
        <v>2628</v>
      </c>
      <c r="C2007" s="1">
        <v>155</v>
      </c>
      <c r="D2007" s="1" t="s">
        <v>119</v>
      </c>
      <c r="E2007" s="1" t="s">
        <v>6</v>
      </c>
      <c r="F2007" s="1" t="s">
        <v>5091</v>
      </c>
      <c r="G2007" s="14" t="s">
        <v>6496</v>
      </c>
      <c r="H2007" s="1" t="s">
        <v>5</v>
      </c>
      <c r="I2007" s="17">
        <v>41148</v>
      </c>
    </row>
    <row r="2008" spans="1:10">
      <c r="A2008" s="7" t="s">
        <v>6511</v>
      </c>
      <c r="B2008" s="1" t="s">
        <v>2628</v>
      </c>
      <c r="C2008" s="1">
        <v>155</v>
      </c>
      <c r="D2008" s="1" t="s">
        <v>119</v>
      </c>
      <c r="E2008" s="1" t="s">
        <v>6</v>
      </c>
      <c r="F2008" s="1" t="s">
        <v>5091</v>
      </c>
      <c r="G2008" s="1" t="s">
        <v>6450</v>
      </c>
      <c r="H2008" s="1" t="s">
        <v>43</v>
      </c>
      <c r="I2008" s="1" t="s">
        <v>5848</v>
      </c>
    </row>
    <row r="2009" spans="1:10">
      <c r="A2009" s="16" t="s">
        <v>6521</v>
      </c>
      <c r="B2009" s="1" t="s">
        <v>2628</v>
      </c>
      <c r="C2009" s="1">
        <v>155</v>
      </c>
      <c r="D2009" s="1" t="s">
        <v>119</v>
      </c>
      <c r="E2009" s="1" t="s">
        <v>6</v>
      </c>
      <c r="F2009" s="1" t="s">
        <v>5091</v>
      </c>
      <c r="G2009" s="14" t="s">
        <v>6522</v>
      </c>
      <c r="H2009" s="1" t="s">
        <v>43</v>
      </c>
      <c r="I2009" s="17">
        <v>41576</v>
      </c>
    </row>
    <row r="2010" spans="1:10">
      <c r="A2010" s="16" t="s">
        <v>6543</v>
      </c>
      <c r="B2010" s="1" t="s">
        <v>2628</v>
      </c>
      <c r="C2010" s="1">
        <v>155</v>
      </c>
      <c r="D2010" s="1" t="s">
        <v>119</v>
      </c>
      <c r="E2010" s="1" t="s">
        <v>6</v>
      </c>
      <c r="F2010" s="1" t="s">
        <v>5091</v>
      </c>
      <c r="G2010" s="14" t="s">
        <v>6544</v>
      </c>
      <c r="H2010" s="1" t="s">
        <v>43</v>
      </c>
      <c r="I2010" s="17">
        <v>41576</v>
      </c>
    </row>
    <row r="2011" spans="1:10">
      <c r="A2011" s="16" t="s">
        <v>6553</v>
      </c>
      <c r="B2011" s="1" t="s">
        <v>2628</v>
      </c>
      <c r="C2011" s="1">
        <v>155</v>
      </c>
      <c r="D2011" s="1" t="s">
        <v>119</v>
      </c>
      <c r="E2011" s="1" t="s">
        <v>6</v>
      </c>
      <c r="F2011" s="1" t="s">
        <v>5091</v>
      </c>
      <c r="G2011" s="14" t="s">
        <v>6477</v>
      </c>
      <c r="H2011" s="1" t="s">
        <v>5</v>
      </c>
      <c r="I2011" s="17">
        <v>41576</v>
      </c>
    </row>
    <row r="2012" spans="1:10">
      <c r="A2012" s="7" t="s">
        <v>6557</v>
      </c>
      <c r="B2012" s="1" t="s">
        <v>2628</v>
      </c>
      <c r="C2012" s="1">
        <v>155</v>
      </c>
      <c r="D2012" s="1" t="s">
        <v>119</v>
      </c>
      <c r="E2012" s="1" t="s">
        <v>6</v>
      </c>
      <c r="F2012" s="1" t="s">
        <v>5241</v>
      </c>
      <c r="G2012" s="1" t="s">
        <v>4803</v>
      </c>
      <c r="H2012" s="1" t="s">
        <v>5</v>
      </c>
      <c r="I2012" s="1" t="s">
        <v>5807</v>
      </c>
      <c r="J2012" s="17"/>
    </row>
    <row r="2013" spans="1:10">
      <c r="A2013" s="7" t="s">
        <v>6572</v>
      </c>
      <c r="B2013" s="1" t="s">
        <v>2628</v>
      </c>
      <c r="C2013" s="1">
        <v>155</v>
      </c>
      <c r="D2013" s="1" t="s">
        <v>119</v>
      </c>
      <c r="E2013" s="1" t="s">
        <v>6</v>
      </c>
      <c r="F2013" s="1" t="s">
        <v>5091</v>
      </c>
      <c r="G2013" s="1" t="s">
        <v>6536</v>
      </c>
      <c r="H2013" s="1" t="s">
        <v>43</v>
      </c>
      <c r="I2013" s="1" t="s">
        <v>5848</v>
      </c>
    </row>
    <row r="2014" spans="1:10">
      <c r="A2014" s="7" t="s">
        <v>6574</v>
      </c>
      <c r="B2014" s="1" t="s">
        <v>2628</v>
      </c>
      <c r="C2014" s="1">
        <v>155</v>
      </c>
      <c r="D2014" s="1" t="s">
        <v>119</v>
      </c>
      <c r="E2014" s="1" t="s">
        <v>6</v>
      </c>
      <c r="F2014" s="1" t="s">
        <v>5091</v>
      </c>
      <c r="G2014" s="1" t="s">
        <v>6536</v>
      </c>
      <c r="H2014" s="1" t="s">
        <v>43</v>
      </c>
      <c r="I2014" s="1" t="s">
        <v>5483</v>
      </c>
    </row>
    <row r="2015" spans="1:10">
      <c r="A2015" s="7" t="s">
        <v>6576</v>
      </c>
      <c r="B2015" s="1" t="s">
        <v>2628</v>
      </c>
      <c r="C2015" s="1">
        <v>155</v>
      </c>
      <c r="D2015" s="1" t="s">
        <v>119</v>
      </c>
      <c r="E2015" s="1" t="s">
        <v>6</v>
      </c>
      <c r="F2015" s="1" t="s">
        <v>5091</v>
      </c>
      <c r="G2015" s="1" t="s">
        <v>6536</v>
      </c>
      <c r="H2015" s="1" t="s">
        <v>43</v>
      </c>
      <c r="I2015" s="1" t="s">
        <v>5483</v>
      </c>
    </row>
    <row r="2016" spans="1:10">
      <c r="A2016" s="7" t="s">
        <v>6583</v>
      </c>
      <c r="B2016" s="1" t="s">
        <v>2631</v>
      </c>
      <c r="C2016" s="1">
        <v>155</v>
      </c>
      <c r="D2016" s="1" t="s">
        <v>119</v>
      </c>
      <c r="E2016" s="1" t="s">
        <v>6</v>
      </c>
      <c r="F2016" s="1" t="s">
        <v>5091</v>
      </c>
      <c r="G2016" s="1" t="s">
        <v>6536</v>
      </c>
      <c r="H2016" s="1" t="s">
        <v>43</v>
      </c>
      <c r="I2016" s="1" t="s">
        <v>5483</v>
      </c>
    </row>
    <row r="2017" spans="1:9">
      <c r="A2017" s="7" t="s">
        <v>6601</v>
      </c>
      <c r="B2017" s="1" t="s">
        <v>2628</v>
      </c>
      <c r="C2017" s="1">
        <v>155</v>
      </c>
      <c r="D2017" s="1" t="s">
        <v>119</v>
      </c>
      <c r="E2017" s="1" t="s">
        <v>6</v>
      </c>
      <c r="F2017" s="1" t="s">
        <v>5091</v>
      </c>
      <c r="G2017" s="1" t="s">
        <v>6139</v>
      </c>
      <c r="H2017" s="1" t="s">
        <v>43</v>
      </c>
      <c r="I2017" s="1" t="s">
        <v>5807</v>
      </c>
    </row>
    <row r="2018" spans="1:9">
      <c r="A2018" s="7" t="s">
        <v>6604</v>
      </c>
      <c r="B2018" s="1" t="s">
        <v>2628</v>
      </c>
      <c r="C2018" s="1">
        <v>155</v>
      </c>
      <c r="D2018" s="1" t="s">
        <v>119</v>
      </c>
      <c r="E2018" s="1" t="s">
        <v>6</v>
      </c>
      <c r="F2018" s="1" t="s">
        <v>5091</v>
      </c>
      <c r="G2018" s="1" t="s">
        <v>6139</v>
      </c>
      <c r="H2018" s="1" t="s">
        <v>43</v>
      </c>
      <c r="I2018" s="1" t="s">
        <v>5807</v>
      </c>
    </row>
    <row r="2019" spans="1:9">
      <c r="A2019" s="7" t="s">
        <v>6607</v>
      </c>
      <c r="B2019" s="1" t="s">
        <v>2628</v>
      </c>
      <c r="C2019" s="1">
        <v>155</v>
      </c>
      <c r="D2019" s="1" t="s">
        <v>119</v>
      </c>
      <c r="E2019" s="1" t="s">
        <v>6</v>
      </c>
      <c r="F2019" s="1" t="s">
        <v>5091</v>
      </c>
      <c r="G2019" s="1" t="s">
        <v>6139</v>
      </c>
      <c r="H2019" s="1" t="s">
        <v>43</v>
      </c>
      <c r="I2019" s="1" t="s">
        <v>5807</v>
      </c>
    </row>
    <row r="2020" spans="1:9">
      <c r="A2020" s="16" t="s">
        <v>6690</v>
      </c>
      <c r="B2020" s="1" t="s">
        <v>2628</v>
      </c>
      <c r="C2020" s="1">
        <v>155</v>
      </c>
      <c r="D2020" s="1" t="s">
        <v>119</v>
      </c>
      <c r="E2020" s="1" t="s">
        <v>6</v>
      </c>
      <c r="F2020" s="1" t="s">
        <v>5091</v>
      </c>
      <c r="G2020" s="14" t="s">
        <v>6691</v>
      </c>
      <c r="H2020" s="1" t="s">
        <v>5</v>
      </c>
      <c r="I2020" s="17">
        <v>41275</v>
      </c>
    </row>
    <row r="2021" spans="1:9">
      <c r="A2021" s="16" t="s">
        <v>6692</v>
      </c>
      <c r="B2021" s="1" t="s">
        <v>2628</v>
      </c>
      <c r="C2021" s="1">
        <v>155</v>
      </c>
      <c r="D2021" s="1" t="s">
        <v>119</v>
      </c>
      <c r="E2021" s="1" t="s">
        <v>6</v>
      </c>
      <c r="F2021" s="1" t="s">
        <v>5091</v>
      </c>
      <c r="G2021" s="14" t="s">
        <v>6691</v>
      </c>
      <c r="H2021" s="1" t="s">
        <v>5</v>
      </c>
      <c r="I2021" s="17">
        <v>41275</v>
      </c>
    </row>
    <row r="2022" spans="1:9">
      <c r="A2022" s="16" t="s">
        <v>6693</v>
      </c>
      <c r="B2022" s="1" t="s">
        <v>2628</v>
      </c>
      <c r="C2022" s="1">
        <v>155</v>
      </c>
      <c r="D2022" s="1" t="s">
        <v>119</v>
      </c>
      <c r="E2022" s="1" t="s">
        <v>6</v>
      </c>
      <c r="F2022" s="1" t="s">
        <v>5091</v>
      </c>
      <c r="G2022" s="14" t="s">
        <v>6691</v>
      </c>
      <c r="H2022" s="1" t="s">
        <v>5</v>
      </c>
      <c r="I2022" s="17">
        <v>41275</v>
      </c>
    </row>
    <row r="2023" spans="1:9">
      <c r="A2023" s="7" t="s">
        <v>6696</v>
      </c>
      <c r="B2023" s="1" t="s">
        <v>2628</v>
      </c>
      <c r="C2023" s="1">
        <v>155</v>
      </c>
      <c r="D2023" s="1" t="s">
        <v>119</v>
      </c>
      <c r="E2023" s="1" t="s">
        <v>6</v>
      </c>
      <c r="F2023" s="1" t="s">
        <v>5091</v>
      </c>
      <c r="G2023" s="1" t="s">
        <v>6139</v>
      </c>
      <c r="H2023" s="1" t="s">
        <v>43</v>
      </c>
      <c r="I2023" s="1" t="s">
        <v>5807</v>
      </c>
    </row>
    <row r="2024" spans="1:9">
      <c r="A2024" s="7" t="s">
        <v>6706</v>
      </c>
      <c r="B2024" s="1" t="s">
        <v>2628</v>
      </c>
      <c r="C2024" s="1">
        <v>155</v>
      </c>
      <c r="D2024" s="1" t="s">
        <v>119</v>
      </c>
      <c r="E2024" s="1" t="s">
        <v>6</v>
      </c>
      <c r="F2024" s="1" t="s">
        <v>5091</v>
      </c>
      <c r="G2024" s="1" t="s">
        <v>6236</v>
      </c>
      <c r="H2024" s="1" t="s">
        <v>43</v>
      </c>
      <c r="I2024" s="1" t="s">
        <v>5807</v>
      </c>
    </row>
    <row r="2025" spans="1:9">
      <c r="A2025" s="7" t="s">
        <v>6730</v>
      </c>
      <c r="B2025" s="1" t="s">
        <v>2628</v>
      </c>
      <c r="C2025" s="1">
        <v>372</v>
      </c>
      <c r="D2025" s="1" t="s">
        <v>119</v>
      </c>
      <c r="E2025" s="1" t="s">
        <v>6</v>
      </c>
      <c r="F2025" s="1" t="s">
        <v>5091</v>
      </c>
      <c r="G2025" s="1" t="s">
        <v>6699</v>
      </c>
      <c r="H2025" s="1" t="s">
        <v>44</v>
      </c>
      <c r="I2025" s="1" t="s">
        <v>5807</v>
      </c>
    </row>
    <row r="2026" spans="1:9">
      <c r="A2026" s="7" t="s">
        <v>6733</v>
      </c>
      <c r="B2026" s="1" t="s">
        <v>2628</v>
      </c>
      <c r="C2026" s="1">
        <v>155</v>
      </c>
      <c r="D2026" s="1" t="s">
        <v>119</v>
      </c>
      <c r="E2026" s="1" t="s">
        <v>6</v>
      </c>
      <c r="F2026" s="1" t="s">
        <v>5091</v>
      </c>
      <c r="G2026" s="1" t="s">
        <v>6139</v>
      </c>
      <c r="H2026" s="1" t="s">
        <v>43</v>
      </c>
      <c r="I2026" s="1" t="s">
        <v>5807</v>
      </c>
    </row>
    <row r="2027" spans="1:9">
      <c r="A2027" s="7" t="s">
        <v>6742</v>
      </c>
      <c r="B2027" s="1" t="s">
        <v>2628</v>
      </c>
      <c r="C2027" s="1">
        <v>372</v>
      </c>
      <c r="D2027" s="1" t="s">
        <v>119</v>
      </c>
      <c r="E2027" s="1" t="s">
        <v>6</v>
      </c>
      <c r="F2027" s="1" t="s">
        <v>5091</v>
      </c>
      <c r="G2027" s="1" t="s">
        <v>6181</v>
      </c>
      <c r="H2027" s="1" t="s">
        <v>118</v>
      </c>
      <c r="I2027" s="1" t="s">
        <v>4458</v>
      </c>
    </row>
    <row r="2028" spans="1:9">
      <c r="A2028" s="7" t="s">
        <v>6750</v>
      </c>
      <c r="B2028" s="1" t="s">
        <v>2628</v>
      </c>
      <c r="C2028" s="1">
        <v>155</v>
      </c>
      <c r="D2028" s="1" t="s">
        <v>119</v>
      </c>
      <c r="E2028" s="1" t="s">
        <v>6</v>
      </c>
      <c r="F2028" s="1" t="s">
        <v>5091</v>
      </c>
      <c r="G2028" s="1" t="s">
        <v>6536</v>
      </c>
      <c r="H2028" s="1" t="s">
        <v>43</v>
      </c>
      <c r="I2028" s="1" t="s">
        <v>5801</v>
      </c>
    </row>
    <row r="2029" spans="1:9">
      <c r="A2029" s="7" t="s">
        <v>6751</v>
      </c>
      <c r="B2029" s="1" t="s">
        <v>2628</v>
      </c>
      <c r="C2029" s="1">
        <v>155</v>
      </c>
      <c r="D2029" s="1" t="s">
        <v>119</v>
      </c>
      <c r="E2029" s="1" t="s">
        <v>6</v>
      </c>
      <c r="F2029" s="1" t="s">
        <v>5091</v>
      </c>
      <c r="G2029" s="1" t="s">
        <v>6536</v>
      </c>
      <c r="H2029" s="1" t="s">
        <v>43</v>
      </c>
      <c r="I2029" s="1" t="s">
        <v>5722</v>
      </c>
    </row>
    <row r="2030" spans="1:9">
      <c r="A2030" s="7" t="s">
        <v>6752</v>
      </c>
      <c r="B2030" s="1" t="s">
        <v>2628</v>
      </c>
      <c r="C2030" s="1">
        <v>155</v>
      </c>
      <c r="D2030" s="1" t="s">
        <v>119</v>
      </c>
      <c r="E2030" s="1" t="s">
        <v>6</v>
      </c>
      <c r="F2030" s="1" t="s">
        <v>5091</v>
      </c>
      <c r="G2030" s="1" t="s">
        <v>6536</v>
      </c>
      <c r="H2030" s="1" t="s">
        <v>43</v>
      </c>
      <c r="I2030" s="1" t="s">
        <v>5801</v>
      </c>
    </row>
    <row r="2031" spans="1:9">
      <c r="A2031" s="16" t="s">
        <v>6804</v>
      </c>
      <c r="B2031" s="1" t="s">
        <v>2628</v>
      </c>
      <c r="C2031" s="1">
        <v>155</v>
      </c>
      <c r="D2031" s="1" t="s">
        <v>119</v>
      </c>
      <c r="E2031" s="1" t="s">
        <v>6</v>
      </c>
      <c r="F2031" s="1" t="s">
        <v>5091</v>
      </c>
      <c r="G2031" s="14" t="s">
        <v>6145</v>
      </c>
      <c r="H2031" s="1" t="s">
        <v>43</v>
      </c>
      <c r="I2031" s="17">
        <v>41591</v>
      </c>
    </row>
    <row r="2032" spans="1:9">
      <c r="A2032" s="16" t="s">
        <v>6807</v>
      </c>
      <c r="B2032" s="1" t="s">
        <v>2628</v>
      </c>
      <c r="C2032" s="1">
        <v>155</v>
      </c>
      <c r="D2032" s="1" t="s">
        <v>119</v>
      </c>
      <c r="E2032" s="1" t="s">
        <v>6</v>
      </c>
      <c r="F2032" s="1" t="s">
        <v>5091</v>
      </c>
      <c r="G2032" s="14" t="s">
        <v>6145</v>
      </c>
      <c r="H2032" s="1" t="s">
        <v>43</v>
      </c>
      <c r="I2032" s="17">
        <v>41591</v>
      </c>
    </row>
    <row r="2033" spans="1:10">
      <c r="A2033" s="16" t="s">
        <v>6810</v>
      </c>
      <c r="B2033" s="1" t="s">
        <v>2628</v>
      </c>
      <c r="C2033" s="1">
        <v>155</v>
      </c>
      <c r="D2033" s="1" t="s">
        <v>119</v>
      </c>
      <c r="E2033" s="1" t="s">
        <v>6</v>
      </c>
      <c r="F2033" s="1" t="s">
        <v>5091</v>
      </c>
      <c r="G2033" s="14" t="s">
        <v>6145</v>
      </c>
      <c r="H2033" s="1" t="s">
        <v>43</v>
      </c>
      <c r="I2033" s="17">
        <v>41591</v>
      </c>
    </row>
    <row r="2034" spans="1:10">
      <c r="A2034" s="16" t="s">
        <v>6812</v>
      </c>
      <c r="B2034" s="1" t="s">
        <v>2628</v>
      </c>
      <c r="C2034" s="1">
        <v>155</v>
      </c>
      <c r="D2034" s="1" t="s">
        <v>119</v>
      </c>
      <c r="E2034" s="1" t="s">
        <v>6</v>
      </c>
      <c r="F2034" s="1" t="s">
        <v>5091</v>
      </c>
      <c r="G2034" s="14" t="s">
        <v>6145</v>
      </c>
      <c r="H2034" s="1" t="s">
        <v>43</v>
      </c>
      <c r="I2034" s="17">
        <v>41534</v>
      </c>
    </row>
    <row r="2035" spans="1:10" ht="31.2">
      <c r="A2035" s="16" t="s">
        <v>6813</v>
      </c>
      <c r="B2035" s="1" t="s">
        <v>2628</v>
      </c>
      <c r="C2035" s="1">
        <v>155</v>
      </c>
      <c r="D2035" s="1" t="s">
        <v>119</v>
      </c>
      <c r="E2035" s="1" t="s">
        <v>6</v>
      </c>
      <c r="F2035" s="1" t="s">
        <v>5091</v>
      </c>
      <c r="G2035" s="14" t="s">
        <v>6145</v>
      </c>
      <c r="H2035" s="1" t="s">
        <v>43</v>
      </c>
      <c r="I2035" s="17">
        <v>41584</v>
      </c>
    </row>
    <row r="2036" spans="1:10">
      <c r="A2036" s="7" t="s">
        <v>6829</v>
      </c>
      <c r="B2036" s="1" t="s">
        <v>2628</v>
      </c>
      <c r="C2036" s="1">
        <v>155</v>
      </c>
      <c r="D2036" s="1" t="s">
        <v>119</v>
      </c>
      <c r="E2036" s="1" t="s">
        <v>6</v>
      </c>
      <c r="F2036" s="1" t="s">
        <v>5091</v>
      </c>
      <c r="G2036" s="1" t="s">
        <v>6236</v>
      </c>
      <c r="H2036" s="1" t="s">
        <v>43</v>
      </c>
      <c r="I2036" s="1" t="s">
        <v>5807</v>
      </c>
    </row>
    <row r="2037" spans="1:10">
      <c r="A2037" s="7" t="s">
        <v>6898</v>
      </c>
      <c r="B2037" s="1" t="s">
        <v>2628</v>
      </c>
      <c r="C2037" s="1">
        <v>155</v>
      </c>
      <c r="D2037" s="1" t="s">
        <v>119</v>
      </c>
      <c r="E2037" s="1" t="s">
        <v>6</v>
      </c>
      <c r="F2037" s="1" t="s">
        <v>5091</v>
      </c>
      <c r="G2037" s="1" t="s">
        <v>6894</v>
      </c>
      <c r="H2037" s="1" t="s">
        <v>44</v>
      </c>
      <c r="I2037" s="1" t="s">
        <v>5722</v>
      </c>
    </row>
    <row r="2038" spans="1:10">
      <c r="A2038" s="7" t="s">
        <v>6942</v>
      </c>
      <c r="B2038" s="1" t="s">
        <v>2628</v>
      </c>
      <c r="C2038" s="1">
        <v>155</v>
      </c>
      <c r="D2038" s="1" t="s">
        <v>119</v>
      </c>
      <c r="E2038" s="1" t="s">
        <v>6</v>
      </c>
      <c r="F2038" s="1" t="s">
        <v>5241</v>
      </c>
      <c r="G2038" s="1" t="s">
        <v>4803</v>
      </c>
      <c r="H2038" s="1" t="s">
        <v>5</v>
      </c>
      <c r="I2038" s="1" t="s">
        <v>5659</v>
      </c>
    </row>
    <row r="2039" spans="1:10">
      <c r="A2039" s="7" t="s">
        <v>7180</v>
      </c>
      <c r="B2039" s="1" t="s">
        <v>2628</v>
      </c>
      <c r="C2039" s="1">
        <v>155</v>
      </c>
      <c r="D2039" s="1" t="s">
        <v>119</v>
      </c>
      <c r="E2039" s="1" t="s">
        <v>6</v>
      </c>
      <c r="F2039" s="1" t="s">
        <v>5091</v>
      </c>
      <c r="G2039" s="1" t="s">
        <v>6139</v>
      </c>
      <c r="H2039" s="1" t="s">
        <v>43</v>
      </c>
      <c r="I2039" s="1" t="s">
        <v>6090</v>
      </c>
      <c r="J2039" s="17"/>
    </row>
    <row r="2040" spans="1:10">
      <c r="A2040" s="7" t="s">
        <v>7181</v>
      </c>
      <c r="B2040" s="1" t="s">
        <v>2628</v>
      </c>
      <c r="C2040" s="1">
        <v>155</v>
      </c>
      <c r="D2040" s="1" t="s">
        <v>119</v>
      </c>
      <c r="E2040" s="1" t="s">
        <v>6</v>
      </c>
      <c r="F2040" s="1" t="s">
        <v>5091</v>
      </c>
      <c r="G2040" s="1" t="s">
        <v>6139</v>
      </c>
      <c r="H2040" s="1" t="s">
        <v>43</v>
      </c>
      <c r="I2040" s="1" t="s">
        <v>6090</v>
      </c>
      <c r="J2040" s="17"/>
    </row>
    <row r="2041" spans="1:10">
      <c r="A2041" s="7" t="s">
        <v>7182</v>
      </c>
      <c r="B2041" s="1" t="s">
        <v>2628</v>
      </c>
      <c r="C2041" s="1">
        <v>155</v>
      </c>
      <c r="D2041" s="1" t="s">
        <v>119</v>
      </c>
      <c r="E2041" s="1" t="s">
        <v>6</v>
      </c>
      <c r="F2041" s="1" t="s">
        <v>5091</v>
      </c>
      <c r="G2041" s="1" t="s">
        <v>6139</v>
      </c>
      <c r="H2041" s="1" t="s">
        <v>43</v>
      </c>
      <c r="I2041" s="1" t="s">
        <v>6090</v>
      </c>
      <c r="J2041" s="17"/>
    </row>
    <row r="2042" spans="1:10">
      <c r="A2042" s="7" t="s">
        <v>7183</v>
      </c>
      <c r="B2042" s="1" t="s">
        <v>2628</v>
      </c>
      <c r="C2042" s="1">
        <v>155</v>
      </c>
      <c r="D2042" s="1" t="s">
        <v>119</v>
      </c>
      <c r="E2042" s="1" t="s">
        <v>6</v>
      </c>
      <c r="F2042" s="1" t="s">
        <v>5091</v>
      </c>
      <c r="G2042" s="1" t="s">
        <v>6139</v>
      </c>
      <c r="H2042" s="1" t="s">
        <v>43</v>
      </c>
      <c r="I2042" s="1" t="s">
        <v>6090</v>
      </c>
      <c r="J2042" s="17"/>
    </row>
    <row r="2043" spans="1:10">
      <c r="A2043" s="7" t="s">
        <v>7185</v>
      </c>
      <c r="B2043" s="1" t="s">
        <v>2628</v>
      </c>
      <c r="C2043" s="1">
        <v>155</v>
      </c>
      <c r="D2043" s="1" t="s">
        <v>119</v>
      </c>
      <c r="E2043" s="1" t="s">
        <v>6</v>
      </c>
      <c r="F2043" s="1" t="s">
        <v>5091</v>
      </c>
      <c r="G2043" s="1" t="s">
        <v>6139</v>
      </c>
      <c r="H2043" s="1" t="s">
        <v>43</v>
      </c>
      <c r="I2043" s="1" t="s">
        <v>6090</v>
      </c>
      <c r="J2043" s="17"/>
    </row>
    <row r="2044" spans="1:10">
      <c r="A2044" s="7" t="s">
        <v>7186</v>
      </c>
      <c r="B2044" s="1" t="s">
        <v>2628</v>
      </c>
      <c r="C2044" s="1">
        <v>155</v>
      </c>
      <c r="D2044" s="1" t="s">
        <v>119</v>
      </c>
      <c r="E2044" s="1" t="s">
        <v>6</v>
      </c>
      <c r="F2044" s="1" t="s">
        <v>5091</v>
      </c>
      <c r="G2044" s="1" t="s">
        <v>6139</v>
      </c>
      <c r="H2044" s="1" t="s">
        <v>43</v>
      </c>
      <c r="I2044" s="1" t="s">
        <v>6090</v>
      </c>
      <c r="J2044" s="17"/>
    </row>
    <row r="2045" spans="1:10">
      <c r="A2045" s="7" t="s">
        <v>7187</v>
      </c>
      <c r="B2045" s="1" t="s">
        <v>2628</v>
      </c>
      <c r="C2045" s="1">
        <v>155</v>
      </c>
      <c r="D2045" s="1" t="s">
        <v>119</v>
      </c>
      <c r="E2045" s="1" t="s">
        <v>6</v>
      </c>
      <c r="F2045" s="1" t="s">
        <v>5091</v>
      </c>
      <c r="G2045" s="1" t="s">
        <v>6139</v>
      </c>
      <c r="H2045" s="1" t="s">
        <v>43</v>
      </c>
      <c r="I2045" s="1" t="s">
        <v>6090</v>
      </c>
      <c r="J2045" s="17"/>
    </row>
    <row r="2046" spans="1:10">
      <c r="A2046" s="7" t="s">
        <v>7188</v>
      </c>
      <c r="B2046" s="1" t="s">
        <v>2628</v>
      </c>
      <c r="C2046" s="1">
        <v>155</v>
      </c>
      <c r="D2046" s="1" t="s">
        <v>119</v>
      </c>
      <c r="E2046" s="1" t="s">
        <v>6</v>
      </c>
      <c r="F2046" s="1" t="s">
        <v>5091</v>
      </c>
      <c r="G2046" s="1" t="s">
        <v>6139</v>
      </c>
      <c r="H2046" s="1" t="s">
        <v>43</v>
      </c>
      <c r="I2046" s="1" t="s">
        <v>6090</v>
      </c>
      <c r="J2046" s="17"/>
    </row>
    <row r="2047" spans="1:10">
      <c r="A2047" s="7" t="s">
        <v>7189</v>
      </c>
      <c r="B2047" s="1" t="s">
        <v>2628</v>
      </c>
      <c r="C2047" s="1">
        <v>155</v>
      </c>
      <c r="D2047" s="1" t="s">
        <v>119</v>
      </c>
      <c r="E2047" s="1" t="s">
        <v>6</v>
      </c>
      <c r="F2047" s="1" t="s">
        <v>5091</v>
      </c>
      <c r="G2047" s="1" t="s">
        <v>6139</v>
      </c>
      <c r="H2047" s="1" t="s">
        <v>43</v>
      </c>
      <c r="I2047" s="1" t="s">
        <v>6090</v>
      </c>
      <c r="J2047" s="17"/>
    </row>
    <row r="2048" spans="1:10">
      <c r="A2048" s="7" t="s">
        <v>7190</v>
      </c>
      <c r="B2048" s="1" t="s">
        <v>2628</v>
      </c>
      <c r="C2048" s="1">
        <v>155</v>
      </c>
      <c r="D2048" s="1" t="s">
        <v>119</v>
      </c>
      <c r="E2048" s="1" t="s">
        <v>6</v>
      </c>
      <c r="F2048" s="1" t="s">
        <v>5091</v>
      </c>
      <c r="G2048" s="1" t="s">
        <v>6139</v>
      </c>
      <c r="H2048" s="1" t="s">
        <v>43</v>
      </c>
      <c r="I2048" s="1" t="s">
        <v>6090</v>
      </c>
      <c r="J2048" s="17"/>
    </row>
    <row r="2049" spans="1:10">
      <c r="A2049" s="7" t="s">
        <v>7191</v>
      </c>
      <c r="B2049" s="1" t="s">
        <v>2628</v>
      </c>
      <c r="C2049" s="1">
        <v>155</v>
      </c>
      <c r="D2049" s="1" t="s">
        <v>119</v>
      </c>
      <c r="E2049" s="1" t="s">
        <v>6</v>
      </c>
      <c r="F2049" s="1" t="s">
        <v>5091</v>
      </c>
      <c r="G2049" s="1" t="s">
        <v>6139</v>
      </c>
      <c r="H2049" s="1" t="s">
        <v>43</v>
      </c>
      <c r="I2049" s="1" t="s">
        <v>6090</v>
      </c>
      <c r="J2049" s="17"/>
    </row>
    <row r="2050" spans="1:10">
      <c r="A2050" s="7" t="s">
        <v>7192</v>
      </c>
      <c r="B2050" s="1" t="s">
        <v>2628</v>
      </c>
      <c r="C2050" s="1">
        <v>155</v>
      </c>
      <c r="D2050" s="1" t="s">
        <v>119</v>
      </c>
      <c r="E2050" s="1" t="s">
        <v>6</v>
      </c>
      <c r="F2050" s="1" t="s">
        <v>5091</v>
      </c>
      <c r="G2050" s="1" t="s">
        <v>6139</v>
      </c>
      <c r="H2050" s="1" t="s">
        <v>43</v>
      </c>
      <c r="I2050" s="1" t="s">
        <v>6090</v>
      </c>
      <c r="J2050" s="17"/>
    </row>
    <row r="2051" spans="1:10">
      <c r="A2051" s="7" t="s">
        <v>7193</v>
      </c>
      <c r="B2051" s="1" t="s">
        <v>2628</v>
      </c>
      <c r="C2051" s="1">
        <v>155</v>
      </c>
      <c r="D2051" s="1" t="s">
        <v>119</v>
      </c>
      <c r="E2051" s="1" t="s">
        <v>6</v>
      </c>
      <c r="F2051" s="1" t="s">
        <v>5091</v>
      </c>
      <c r="G2051" s="1" t="s">
        <v>6139</v>
      </c>
      <c r="H2051" s="1" t="s">
        <v>43</v>
      </c>
      <c r="I2051" s="1" t="s">
        <v>6090</v>
      </c>
      <c r="J2051" s="17"/>
    </row>
    <row r="2052" spans="1:10">
      <c r="A2052" s="7" t="s">
        <v>7194</v>
      </c>
      <c r="B2052" s="1" t="s">
        <v>2628</v>
      </c>
      <c r="C2052" s="1">
        <v>155</v>
      </c>
      <c r="D2052" s="1" t="s">
        <v>119</v>
      </c>
      <c r="E2052" s="1" t="s">
        <v>6</v>
      </c>
      <c r="F2052" s="1" t="s">
        <v>5091</v>
      </c>
      <c r="G2052" s="1" t="s">
        <v>6139</v>
      </c>
      <c r="H2052" s="1" t="s">
        <v>43</v>
      </c>
      <c r="I2052" s="1" t="s">
        <v>6090</v>
      </c>
      <c r="J2052" s="17"/>
    </row>
    <row r="2053" spans="1:10">
      <c r="A2053" s="7" t="s">
        <v>7195</v>
      </c>
      <c r="B2053" s="1" t="s">
        <v>2628</v>
      </c>
      <c r="C2053" s="1">
        <v>155</v>
      </c>
      <c r="D2053" s="1" t="s">
        <v>119</v>
      </c>
      <c r="E2053" s="1" t="s">
        <v>6</v>
      </c>
      <c r="F2053" s="1" t="s">
        <v>5091</v>
      </c>
      <c r="G2053" s="1" t="s">
        <v>6139</v>
      </c>
      <c r="H2053" s="1" t="s">
        <v>43</v>
      </c>
      <c r="I2053" s="1" t="s">
        <v>6090</v>
      </c>
      <c r="J2053" s="17"/>
    </row>
    <row r="2054" spans="1:10">
      <c r="A2054" s="7" t="s">
        <v>7196</v>
      </c>
      <c r="B2054" s="1" t="s">
        <v>2628</v>
      </c>
      <c r="C2054" s="1">
        <v>155</v>
      </c>
      <c r="D2054" s="1" t="s">
        <v>119</v>
      </c>
      <c r="E2054" s="1" t="s">
        <v>6</v>
      </c>
      <c r="F2054" s="1" t="s">
        <v>5091</v>
      </c>
      <c r="G2054" s="1" t="s">
        <v>6139</v>
      </c>
      <c r="H2054" s="1" t="s">
        <v>43</v>
      </c>
      <c r="I2054" s="1" t="s">
        <v>6090</v>
      </c>
      <c r="J2054" s="17"/>
    </row>
    <row r="2055" spans="1:10">
      <c r="A2055" s="7" t="s">
        <v>7197</v>
      </c>
      <c r="B2055" s="1" t="s">
        <v>2628</v>
      </c>
      <c r="C2055" s="1">
        <v>155</v>
      </c>
      <c r="D2055" s="1" t="s">
        <v>119</v>
      </c>
      <c r="E2055" s="1" t="s">
        <v>6</v>
      </c>
      <c r="F2055" s="1" t="s">
        <v>5091</v>
      </c>
      <c r="G2055" s="1" t="s">
        <v>6139</v>
      </c>
      <c r="H2055" s="1" t="s">
        <v>43</v>
      </c>
      <c r="I2055" s="1" t="s">
        <v>6090</v>
      </c>
      <c r="J2055" s="17"/>
    </row>
    <row r="2056" spans="1:10">
      <c r="A2056" s="7" t="s">
        <v>7198</v>
      </c>
      <c r="B2056" s="1" t="s">
        <v>2628</v>
      </c>
      <c r="C2056" s="1">
        <v>155</v>
      </c>
      <c r="D2056" s="1" t="s">
        <v>119</v>
      </c>
      <c r="E2056" s="1" t="s">
        <v>6</v>
      </c>
      <c r="F2056" s="1" t="s">
        <v>5091</v>
      </c>
      <c r="G2056" s="1" t="s">
        <v>6139</v>
      </c>
      <c r="H2056" s="1" t="s">
        <v>43</v>
      </c>
      <c r="I2056" s="1" t="s">
        <v>6090</v>
      </c>
      <c r="J2056" s="17"/>
    </row>
    <row r="2057" spans="1:10">
      <c r="A2057" s="7" t="s">
        <v>7199</v>
      </c>
      <c r="B2057" s="1" t="s">
        <v>2628</v>
      </c>
      <c r="C2057" s="1">
        <v>155</v>
      </c>
      <c r="D2057" s="1" t="s">
        <v>119</v>
      </c>
      <c r="E2057" s="1" t="s">
        <v>6</v>
      </c>
      <c r="F2057" s="1" t="s">
        <v>5091</v>
      </c>
      <c r="G2057" s="1" t="s">
        <v>6139</v>
      </c>
      <c r="H2057" s="1" t="s">
        <v>43</v>
      </c>
      <c r="I2057" s="1" t="s">
        <v>6090</v>
      </c>
      <c r="J2057" s="17"/>
    </row>
    <row r="2058" spans="1:10">
      <c r="A2058" s="7" t="s">
        <v>7217</v>
      </c>
      <c r="B2058" s="1" t="s">
        <v>2628</v>
      </c>
      <c r="C2058" s="1">
        <v>155</v>
      </c>
      <c r="D2058" s="1" t="s">
        <v>119</v>
      </c>
      <c r="E2058" s="1" t="s">
        <v>6</v>
      </c>
      <c r="F2058" s="1" t="s">
        <v>5091</v>
      </c>
      <c r="G2058" s="1" t="s">
        <v>6139</v>
      </c>
      <c r="H2058" s="1" t="s">
        <v>43</v>
      </c>
      <c r="I2058" s="1" t="s">
        <v>5642</v>
      </c>
    </row>
    <row r="2059" spans="1:10">
      <c r="A2059" s="7" t="s">
        <v>7298</v>
      </c>
      <c r="B2059" s="1" t="s">
        <v>2628</v>
      </c>
      <c r="C2059" s="1">
        <v>155</v>
      </c>
      <c r="D2059" s="1" t="s">
        <v>119</v>
      </c>
      <c r="E2059" s="1" t="s">
        <v>6</v>
      </c>
      <c r="F2059" s="1" t="s">
        <v>36</v>
      </c>
      <c r="G2059" s="1" t="s">
        <v>1446</v>
      </c>
      <c r="H2059" s="1" t="s">
        <v>44</v>
      </c>
      <c r="I2059" s="1" t="s">
        <v>5653</v>
      </c>
    </row>
    <row r="2060" spans="1:10">
      <c r="A2060" s="7" t="s">
        <v>7350</v>
      </c>
      <c r="B2060" s="1" t="s">
        <v>2628</v>
      </c>
      <c r="C2060" s="1">
        <v>155</v>
      </c>
      <c r="D2060" s="1" t="s">
        <v>119</v>
      </c>
      <c r="E2060" s="1" t="s">
        <v>6</v>
      </c>
      <c r="F2060" s="1" t="s">
        <v>5091</v>
      </c>
      <c r="G2060" s="1" t="s">
        <v>6181</v>
      </c>
      <c r="H2060" s="1" t="s">
        <v>118</v>
      </c>
      <c r="I2060" s="1" t="s">
        <v>4458</v>
      </c>
    </row>
    <row r="2061" spans="1:10">
      <c r="A2061" s="7" t="s">
        <v>7401</v>
      </c>
      <c r="B2061" s="1" t="s">
        <v>2628</v>
      </c>
      <c r="C2061" s="1">
        <v>155</v>
      </c>
      <c r="D2061" s="1" t="s">
        <v>119</v>
      </c>
      <c r="E2061" s="1" t="s">
        <v>6</v>
      </c>
      <c r="F2061" s="1" t="s">
        <v>5091</v>
      </c>
      <c r="G2061" s="1" t="s">
        <v>6181</v>
      </c>
      <c r="H2061" s="1" t="s">
        <v>118</v>
      </c>
      <c r="I2061" s="1" t="s">
        <v>4458</v>
      </c>
    </row>
    <row r="2062" spans="1:10">
      <c r="A2062" s="16" t="s">
        <v>7402</v>
      </c>
      <c r="B2062" s="1" t="s">
        <v>2628</v>
      </c>
      <c r="C2062" s="1">
        <v>155</v>
      </c>
      <c r="D2062" s="1" t="s">
        <v>119</v>
      </c>
      <c r="E2062" s="1" t="s">
        <v>6</v>
      </c>
      <c r="F2062" s="1" t="s">
        <v>5091</v>
      </c>
      <c r="G2062" s="14" t="s">
        <v>7403</v>
      </c>
      <c r="H2062" s="1" t="s">
        <v>44</v>
      </c>
      <c r="I2062" s="17">
        <v>41206</v>
      </c>
    </row>
    <row r="2063" spans="1:10">
      <c r="A2063" s="16" t="s">
        <v>7404</v>
      </c>
      <c r="B2063" s="1" t="s">
        <v>2628</v>
      </c>
      <c r="C2063" s="1">
        <v>155</v>
      </c>
      <c r="D2063" s="1" t="s">
        <v>119</v>
      </c>
      <c r="E2063" s="1" t="s">
        <v>6</v>
      </c>
      <c r="F2063" s="1" t="s">
        <v>5091</v>
      </c>
      <c r="G2063" s="14" t="s">
        <v>7405</v>
      </c>
      <c r="H2063" s="1" t="s">
        <v>43</v>
      </c>
      <c r="I2063" s="17">
        <v>39972</v>
      </c>
    </row>
    <row r="2064" spans="1:10">
      <c r="A2064" s="16" t="s">
        <v>7406</v>
      </c>
      <c r="B2064" s="1" t="s">
        <v>2628</v>
      </c>
      <c r="C2064" s="1">
        <v>155</v>
      </c>
      <c r="D2064" s="1" t="s">
        <v>119</v>
      </c>
      <c r="E2064" s="1" t="s">
        <v>6</v>
      </c>
      <c r="F2064" s="1" t="s">
        <v>5091</v>
      </c>
      <c r="G2064" s="14" t="s">
        <v>6145</v>
      </c>
      <c r="H2064" s="1" t="s">
        <v>43</v>
      </c>
      <c r="I2064" s="17">
        <v>41318</v>
      </c>
    </row>
    <row r="2065" spans="1:10">
      <c r="A2065" s="16" t="s">
        <v>7407</v>
      </c>
      <c r="B2065" s="1" t="s">
        <v>2628</v>
      </c>
      <c r="C2065" s="1">
        <v>155</v>
      </c>
      <c r="D2065" s="1" t="s">
        <v>119</v>
      </c>
      <c r="E2065" s="1" t="s">
        <v>6</v>
      </c>
      <c r="F2065" s="1" t="s">
        <v>5091</v>
      </c>
      <c r="G2065" s="14" t="s">
        <v>7408</v>
      </c>
      <c r="H2065" s="1" t="s">
        <v>5</v>
      </c>
      <c r="I2065" s="17">
        <v>39791</v>
      </c>
    </row>
    <row r="2066" spans="1:10">
      <c r="A2066" s="16" t="s">
        <v>7409</v>
      </c>
      <c r="B2066" s="1" t="s">
        <v>2628</v>
      </c>
      <c r="C2066" s="1">
        <v>155</v>
      </c>
      <c r="D2066" s="1" t="s">
        <v>119</v>
      </c>
      <c r="E2066" s="1" t="s">
        <v>6</v>
      </c>
      <c r="F2066" s="1" t="s">
        <v>5091</v>
      </c>
      <c r="G2066" s="14" t="s">
        <v>6145</v>
      </c>
      <c r="H2066" s="1" t="s">
        <v>43</v>
      </c>
      <c r="I2066" s="17">
        <v>40547</v>
      </c>
    </row>
    <row r="2067" spans="1:10">
      <c r="A2067" s="16" t="s">
        <v>7410</v>
      </c>
      <c r="B2067" s="1" t="s">
        <v>2628</v>
      </c>
      <c r="C2067" s="1">
        <v>155</v>
      </c>
      <c r="D2067" s="1" t="s">
        <v>119</v>
      </c>
      <c r="E2067" s="1" t="s">
        <v>6</v>
      </c>
      <c r="F2067" s="1" t="s">
        <v>5091</v>
      </c>
      <c r="G2067" s="14" t="s">
        <v>6145</v>
      </c>
      <c r="H2067" s="1" t="s">
        <v>43</v>
      </c>
      <c r="I2067" s="17">
        <v>41064</v>
      </c>
    </row>
    <row r="2068" spans="1:10">
      <c r="A2068" s="16" t="s">
        <v>7411</v>
      </c>
      <c r="B2068" s="1" t="s">
        <v>2628</v>
      </c>
      <c r="C2068" s="1">
        <v>155</v>
      </c>
      <c r="D2068" s="1" t="s">
        <v>119</v>
      </c>
      <c r="E2068" s="1" t="s">
        <v>6</v>
      </c>
      <c r="F2068" s="1" t="s">
        <v>5091</v>
      </c>
      <c r="G2068" s="14" t="s">
        <v>6145</v>
      </c>
      <c r="H2068" s="1" t="s">
        <v>43</v>
      </c>
      <c r="I2068" s="17">
        <v>40840</v>
      </c>
    </row>
    <row r="2069" spans="1:10">
      <c r="A2069" s="16" t="s">
        <v>7412</v>
      </c>
      <c r="B2069" s="1" t="s">
        <v>2628</v>
      </c>
      <c r="C2069" s="1">
        <v>155</v>
      </c>
      <c r="D2069" s="1" t="s">
        <v>119</v>
      </c>
      <c r="E2069" s="1" t="s">
        <v>6</v>
      </c>
      <c r="F2069" s="1" t="s">
        <v>5091</v>
      </c>
      <c r="G2069" s="14" t="s">
        <v>6145</v>
      </c>
      <c r="H2069" s="1" t="s">
        <v>43</v>
      </c>
      <c r="I2069" s="17">
        <v>40575</v>
      </c>
    </row>
    <row r="2070" spans="1:10">
      <c r="A2070" s="16" t="s">
        <v>7415</v>
      </c>
      <c r="B2070" s="1" t="s">
        <v>2628</v>
      </c>
      <c r="C2070" s="1">
        <v>155</v>
      </c>
      <c r="D2070" s="1" t="s">
        <v>119</v>
      </c>
      <c r="E2070" s="1" t="s">
        <v>6</v>
      </c>
      <c r="F2070" s="1" t="s">
        <v>5091</v>
      </c>
      <c r="G2070" s="14" t="s">
        <v>7416</v>
      </c>
      <c r="H2070" s="1" t="s">
        <v>5</v>
      </c>
      <c r="I2070" s="17">
        <v>40094</v>
      </c>
    </row>
    <row r="2071" spans="1:10">
      <c r="A2071" s="16" t="s">
        <v>7417</v>
      </c>
      <c r="B2071" s="1" t="s">
        <v>2628</v>
      </c>
      <c r="C2071" s="1">
        <v>155</v>
      </c>
      <c r="D2071" s="1" t="s">
        <v>119</v>
      </c>
      <c r="E2071" s="1" t="s">
        <v>6</v>
      </c>
      <c r="F2071" s="1" t="s">
        <v>5091</v>
      </c>
      <c r="G2071" s="14" t="s">
        <v>6145</v>
      </c>
      <c r="H2071" s="1" t="s">
        <v>43</v>
      </c>
      <c r="I2071" s="17">
        <v>41442</v>
      </c>
    </row>
    <row r="2072" spans="1:10">
      <c r="A2072" s="16" t="s">
        <v>7418</v>
      </c>
      <c r="B2072" s="1" t="s">
        <v>2628</v>
      </c>
      <c r="C2072" s="1">
        <v>155</v>
      </c>
      <c r="D2072" s="1" t="s">
        <v>119</v>
      </c>
      <c r="E2072" s="1" t="s">
        <v>6</v>
      </c>
      <c r="F2072" s="1" t="s">
        <v>5091</v>
      </c>
      <c r="G2072" s="14" t="s">
        <v>6145</v>
      </c>
      <c r="H2072" s="1" t="s">
        <v>43</v>
      </c>
      <c r="I2072" s="17">
        <v>41304</v>
      </c>
    </row>
    <row r="2073" spans="1:10">
      <c r="A2073" s="16" t="s">
        <v>7431</v>
      </c>
      <c r="B2073" s="1" t="s">
        <v>2628</v>
      </c>
      <c r="C2073" s="1">
        <v>155</v>
      </c>
      <c r="D2073" s="1" t="s">
        <v>119</v>
      </c>
      <c r="E2073" s="1" t="s">
        <v>6</v>
      </c>
      <c r="F2073" s="1" t="s">
        <v>5091</v>
      </c>
      <c r="G2073" s="14" t="s">
        <v>6145</v>
      </c>
      <c r="H2073" s="1" t="s">
        <v>43</v>
      </c>
      <c r="I2073" s="17">
        <v>41426</v>
      </c>
    </row>
    <row r="2074" spans="1:10">
      <c r="A2074" s="16" t="s">
        <v>7433</v>
      </c>
      <c r="B2074" s="1" t="s">
        <v>2628</v>
      </c>
      <c r="C2074" s="1">
        <v>155</v>
      </c>
      <c r="D2074" s="1" t="s">
        <v>119</v>
      </c>
      <c r="E2074" s="1" t="s">
        <v>6</v>
      </c>
      <c r="F2074" s="1" t="s">
        <v>5091</v>
      </c>
      <c r="G2074" s="14" t="s">
        <v>6145</v>
      </c>
      <c r="H2074" s="1" t="s">
        <v>43</v>
      </c>
      <c r="I2074" s="17">
        <v>41395</v>
      </c>
    </row>
    <row r="2075" spans="1:10">
      <c r="A2075" s="16" t="s">
        <v>7447</v>
      </c>
      <c r="B2075" s="1" t="s">
        <v>2628</v>
      </c>
      <c r="C2075" s="1">
        <v>155</v>
      </c>
      <c r="D2075" s="1" t="s">
        <v>119</v>
      </c>
      <c r="E2075" s="1" t="s">
        <v>6</v>
      </c>
      <c r="F2075" s="1" t="s">
        <v>5091</v>
      </c>
      <c r="G2075" s="14" t="s">
        <v>7430</v>
      </c>
      <c r="H2075" s="1" t="s">
        <v>5</v>
      </c>
      <c r="I2075" s="17">
        <v>40118</v>
      </c>
    </row>
    <row r="2076" spans="1:10">
      <c r="A2076" s="7" t="s">
        <v>7476</v>
      </c>
      <c r="B2076" s="1" t="s">
        <v>2628</v>
      </c>
      <c r="C2076" s="1">
        <v>155</v>
      </c>
      <c r="D2076" s="1" t="s">
        <v>119</v>
      </c>
      <c r="E2076" s="1" t="s">
        <v>6</v>
      </c>
      <c r="F2076" s="1" t="s">
        <v>118</v>
      </c>
      <c r="G2076" s="1" t="s">
        <v>7477</v>
      </c>
      <c r="H2076" s="1" t="s">
        <v>5</v>
      </c>
      <c r="I2076" s="1" t="s">
        <v>5807</v>
      </c>
      <c r="J2076" s="17"/>
    </row>
    <row r="2077" spans="1:10">
      <c r="A2077" s="16" t="s">
        <v>7484</v>
      </c>
      <c r="B2077" s="1" t="s">
        <v>2628</v>
      </c>
      <c r="C2077" s="1">
        <v>155</v>
      </c>
      <c r="D2077" s="1" t="s">
        <v>119</v>
      </c>
      <c r="E2077" s="1" t="s">
        <v>6</v>
      </c>
      <c r="F2077" s="1" t="s">
        <v>5091</v>
      </c>
      <c r="G2077" s="14" t="s">
        <v>7485</v>
      </c>
      <c r="H2077" s="1" t="s">
        <v>43</v>
      </c>
      <c r="I2077" s="17">
        <v>41699</v>
      </c>
    </row>
    <row r="2078" spans="1:10">
      <c r="A2078" s="16" t="s">
        <v>7486</v>
      </c>
      <c r="B2078" s="1" t="s">
        <v>2628</v>
      </c>
      <c r="C2078" s="1">
        <v>155</v>
      </c>
      <c r="D2078" s="1" t="s">
        <v>119</v>
      </c>
      <c r="E2078" s="1" t="s">
        <v>6</v>
      </c>
      <c r="F2078" s="1" t="s">
        <v>5091</v>
      </c>
      <c r="G2078" s="14" t="s">
        <v>7487</v>
      </c>
      <c r="H2078" s="1" t="s">
        <v>43</v>
      </c>
      <c r="I2078" s="17">
        <v>41699</v>
      </c>
    </row>
    <row r="2079" spans="1:10">
      <c r="A2079" s="16" t="s">
        <v>7492</v>
      </c>
      <c r="B2079" s="1" t="s">
        <v>2628</v>
      </c>
      <c r="C2079" s="1">
        <v>155</v>
      </c>
      <c r="D2079" s="1" t="s">
        <v>119</v>
      </c>
      <c r="E2079" s="1" t="s">
        <v>6</v>
      </c>
      <c r="F2079" s="1" t="s">
        <v>5091</v>
      </c>
      <c r="G2079" s="14" t="s">
        <v>7493</v>
      </c>
      <c r="H2079" s="1" t="s">
        <v>5</v>
      </c>
      <c r="I2079" s="17">
        <v>41699</v>
      </c>
    </row>
    <row r="2080" spans="1:10">
      <c r="A2080" s="16" t="s">
        <v>7494</v>
      </c>
      <c r="B2080" s="1" t="s">
        <v>2628</v>
      </c>
      <c r="C2080" s="1">
        <v>155</v>
      </c>
      <c r="D2080" s="1" t="s">
        <v>119</v>
      </c>
      <c r="E2080" s="1" t="s">
        <v>6</v>
      </c>
      <c r="F2080" s="1" t="s">
        <v>5091</v>
      </c>
      <c r="G2080" s="14" t="s">
        <v>7495</v>
      </c>
      <c r="H2080" s="1" t="s">
        <v>43</v>
      </c>
      <c r="I2080" s="17">
        <v>41699</v>
      </c>
    </row>
    <row r="2081" spans="1:10">
      <c r="A2081" s="16" t="s">
        <v>7496</v>
      </c>
      <c r="B2081" s="1" t="s">
        <v>2628</v>
      </c>
      <c r="C2081" s="1">
        <v>155</v>
      </c>
      <c r="D2081" s="1" t="s">
        <v>119</v>
      </c>
      <c r="E2081" s="1" t="s">
        <v>6</v>
      </c>
      <c r="F2081" s="1" t="s">
        <v>5091</v>
      </c>
      <c r="G2081" s="14" t="s">
        <v>7497</v>
      </c>
      <c r="H2081" s="1" t="s">
        <v>5</v>
      </c>
      <c r="I2081" s="17">
        <v>40179</v>
      </c>
    </row>
    <row r="2082" spans="1:10">
      <c r="A2082" s="16" t="s">
        <v>7501</v>
      </c>
      <c r="B2082" s="1" t="s">
        <v>2628</v>
      </c>
      <c r="C2082" s="1">
        <v>155</v>
      </c>
      <c r="D2082" s="1" t="s">
        <v>119</v>
      </c>
      <c r="E2082" s="1" t="s">
        <v>6</v>
      </c>
      <c r="F2082" s="1" t="s">
        <v>5091</v>
      </c>
      <c r="G2082" s="14" t="s">
        <v>7502</v>
      </c>
      <c r="H2082" s="1" t="s">
        <v>43</v>
      </c>
      <c r="I2082" s="17">
        <v>40148</v>
      </c>
    </row>
    <row r="2083" spans="1:10">
      <c r="A2083" s="16" t="s">
        <v>7507</v>
      </c>
      <c r="B2083" s="1" t="s">
        <v>2628</v>
      </c>
      <c r="C2083" s="1">
        <v>155</v>
      </c>
      <c r="D2083" s="1" t="s">
        <v>119</v>
      </c>
      <c r="E2083" s="1" t="s">
        <v>6</v>
      </c>
      <c r="F2083" s="1" t="s">
        <v>5091</v>
      </c>
      <c r="G2083" s="14" t="s">
        <v>7508</v>
      </c>
      <c r="H2083" s="1" t="s">
        <v>5</v>
      </c>
      <c r="I2083" s="17">
        <v>41699</v>
      </c>
    </row>
    <row r="2084" spans="1:10">
      <c r="A2084" s="16" t="s">
        <v>7511</v>
      </c>
      <c r="B2084" s="1" t="s">
        <v>2628</v>
      </c>
      <c r="C2084" s="1">
        <v>155</v>
      </c>
      <c r="D2084" s="1" t="s">
        <v>119</v>
      </c>
      <c r="E2084" s="1" t="s">
        <v>6</v>
      </c>
      <c r="F2084" s="1" t="s">
        <v>5091</v>
      </c>
      <c r="G2084" s="14" t="s">
        <v>7497</v>
      </c>
      <c r="H2084" s="1" t="s">
        <v>5</v>
      </c>
      <c r="I2084" s="17">
        <v>41699</v>
      </c>
    </row>
    <row r="2085" spans="1:10">
      <c r="A2085" s="16" t="s">
        <v>7513</v>
      </c>
      <c r="B2085" s="1" t="s">
        <v>2628</v>
      </c>
      <c r="C2085" s="1">
        <v>155</v>
      </c>
      <c r="D2085" s="1" t="s">
        <v>119</v>
      </c>
      <c r="E2085" s="1" t="s">
        <v>6</v>
      </c>
      <c r="F2085" s="1" t="s">
        <v>5091</v>
      </c>
      <c r="G2085" s="14" t="s">
        <v>7497</v>
      </c>
      <c r="H2085" s="1" t="s">
        <v>5</v>
      </c>
      <c r="I2085" s="17">
        <v>41699</v>
      </c>
    </row>
    <row r="2086" spans="1:10">
      <c r="A2086" s="16" t="s">
        <v>7515</v>
      </c>
      <c r="B2086" s="1" t="s">
        <v>2628</v>
      </c>
      <c r="C2086" s="1">
        <v>155</v>
      </c>
      <c r="D2086" s="1" t="s">
        <v>119</v>
      </c>
      <c r="E2086" s="1" t="s">
        <v>6</v>
      </c>
      <c r="F2086" s="1" t="s">
        <v>5091</v>
      </c>
      <c r="G2086" s="14" t="s">
        <v>7516</v>
      </c>
      <c r="H2086" s="1" t="s">
        <v>43</v>
      </c>
      <c r="I2086" s="17">
        <v>41699</v>
      </c>
    </row>
    <row r="2087" spans="1:10">
      <c r="A2087" s="16" t="s">
        <v>7518</v>
      </c>
      <c r="B2087" s="1" t="s">
        <v>2628</v>
      </c>
      <c r="C2087" s="1">
        <v>155</v>
      </c>
      <c r="D2087" s="1" t="s">
        <v>119</v>
      </c>
      <c r="E2087" s="1" t="s">
        <v>6</v>
      </c>
      <c r="F2087" s="1" t="s">
        <v>5091</v>
      </c>
      <c r="G2087" s="14" t="s">
        <v>7493</v>
      </c>
      <c r="H2087" s="1" t="s">
        <v>5</v>
      </c>
      <c r="I2087" s="17">
        <v>41699</v>
      </c>
    </row>
    <row r="2088" spans="1:10">
      <c r="A2088" s="7" t="s">
        <v>7548</v>
      </c>
      <c r="B2088" s="1" t="s">
        <v>2628</v>
      </c>
      <c r="C2088" s="1">
        <v>155</v>
      </c>
      <c r="D2088" s="1" t="s">
        <v>119</v>
      </c>
      <c r="E2088" s="1" t="s">
        <v>6</v>
      </c>
      <c r="F2088" s="1" t="s">
        <v>5091</v>
      </c>
      <c r="G2088" s="1" t="s">
        <v>6186</v>
      </c>
      <c r="H2088" s="1" t="s">
        <v>5</v>
      </c>
      <c r="I2088" s="1" t="s">
        <v>6090</v>
      </c>
      <c r="J2088" s="1"/>
    </row>
    <row r="2089" spans="1:10">
      <c r="A2089" s="7" t="s">
        <v>7551</v>
      </c>
      <c r="B2089" s="1" t="s">
        <v>2628</v>
      </c>
      <c r="C2089" s="1">
        <v>155</v>
      </c>
      <c r="D2089" s="1" t="s">
        <v>119</v>
      </c>
      <c r="E2089" s="1" t="s">
        <v>6</v>
      </c>
      <c r="F2089" s="1" t="s">
        <v>5091</v>
      </c>
      <c r="G2089" s="1" t="s">
        <v>6181</v>
      </c>
      <c r="H2089" s="1" t="s">
        <v>118</v>
      </c>
      <c r="I2089" s="1" t="s">
        <v>4458</v>
      </c>
    </row>
    <row r="2090" spans="1:10" s="11" customFormat="1">
      <c r="A2090" s="7" t="s">
        <v>7552</v>
      </c>
      <c r="B2090" s="1" t="s">
        <v>2628</v>
      </c>
      <c r="C2090" s="1">
        <v>155</v>
      </c>
      <c r="D2090" s="1" t="s">
        <v>119</v>
      </c>
      <c r="E2090" s="1" t="s">
        <v>6</v>
      </c>
      <c r="F2090" s="1" t="s">
        <v>5091</v>
      </c>
      <c r="G2090" s="1" t="s">
        <v>6181</v>
      </c>
      <c r="H2090" s="1" t="s">
        <v>118</v>
      </c>
      <c r="I2090" s="1" t="s">
        <v>4458</v>
      </c>
      <c r="J2090"/>
    </row>
    <row r="2091" spans="1:10" s="11" customFormat="1" ht="31.2">
      <c r="A2091" s="16" t="s">
        <v>7618</v>
      </c>
      <c r="B2091" s="1" t="s">
        <v>2628</v>
      </c>
      <c r="C2091" s="1">
        <v>155</v>
      </c>
      <c r="D2091" s="1" t="s">
        <v>119</v>
      </c>
      <c r="E2091" s="1" t="s">
        <v>6</v>
      </c>
      <c r="F2091" s="1" t="s">
        <v>5091</v>
      </c>
      <c r="G2091" s="14" t="s">
        <v>7619</v>
      </c>
      <c r="H2091" s="1" t="s">
        <v>43</v>
      </c>
      <c r="I2091" s="17">
        <v>41699</v>
      </c>
      <c r="J2091"/>
    </row>
    <row r="2092" spans="1:10" ht="31.2">
      <c r="A2092" s="16" t="s">
        <v>7650</v>
      </c>
      <c r="B2092" s="1" t="s">
        <v>2628</v>
      </c>
      <c r="C2092" s="1">
        <v>155</v>
      </c>
      <c r="D2092" s="1" t="s">
        <v>119</v>
      </c>
      <c r="E2092" s="1" t="s">
        <v>6</v>
      </c>
      <c r="F2092" s="1" t="s">
        <v>5091</v>
      </c>
      <c r="G2092" s="14" t="s">
        <v>7649</v>
      </c>
      <c r="H2092" s="1" t="s">
        <v>43</v>
      </c>
      <c r="I2092" s="17">
        <v>41640</v>
      </c>
    </row>
    <row r="2093" spans="1:10" ht="31.2">
      <c r="A2093" s="16" t="s">
        <v>7654</v>
      </c>
      <c r="B2093" s="1" t="s">
        <v>2628</v>
      </c>
      <c r="C2093" s="1">
        <v>155</v>
      </c>
      <c r="D2093" s="1" t="s">
        <v>119</v>
      </c>
      <c r="E2093" s="1" t="s">
        <v>6</v>
      </c>
      <c r="F2093" s="1" t="s">
        <v>5091</v>
      </c>
      <c r="G2093" s="14" t="s">
        <v>7649</v>
      </c>
      <c r="H2093" s="1" t="s">
        <v>43</v>
      </c>
      <c r="I2093" s="17">
        <v>41640</v>
      </c>
    </row>
    <row r="2094" spans="1:10">
      <c r="A2094" s="16" t="s">
        <v>7789</v>
      </c>
      <c r="B2094" s="1" t="s">
        <v>2628</v>
      </c>
      <c r="C2094" s="1">
        <v>155</v>
      </c>
      <c r="D2094" s="1" t="s">
        <v>119</v>
      </c>
      <c r="E2094" s="1" t="s">
        <v>6</v>
      </c>
      <c r="F2094" s="1" t="s">
        <v>5091</v>
      </c>
      <c r="G2094" s="14" t="s">
        <v>6145</v>
      </c>
      <c r="H2094" s="1" t="s">
        <v>43</v>
      </c>
      <c r="I2094" s="17">
        <v>41556</v>
      </c>
    </row>
    <row r="2095" spans="1:10">
      <c r="A2095" s="16" t="s">
        <v>7792</v>
      </c>
      <c r="B2095" s="1" t="s">
        <v>2628</v>
      </c>
      <c r="C2095" s="1">
        <v>155</v>
      </c>
      <c r="D2095" s="1" t="s">
        <v>119</v>
      </c>
      <c r="E2095" s="1" t="s">
        <v>6</v>
      </c>
      <c r="F2095" s="1" t="s">
        <v>5091</v>
      </c>
      <c r="G2095" s="14" t="s">
        <v>6145</v>
      </c>
      <c r="H2095" s="1" t="s">
        <v>43</v>
      </c>
      <c r="I2095" s="17">
        <v>41556</v>
      </c>
    </row>
    <row r="2096" spans="1:10">
      <c r="A2096" s="7" t="s">
        <v>7799</v>
      </c>
      <c r="B2096" s="1" t="s">
        <v>2628</v>
      </c>
      <c r="C2096" s="1">
        <v>155</v>
      </c>
      <c r="D2096" s="1" t="s">
        <v>119</v>
      </c>
      <c r="E2096" s="1" t="s">
        <v>6</v>
      </c>
      <c r="F2096" s="1" t="s">
        <v>5091</v>
      </c>
      <c r="G2096" s="1" t="s">
        <v>6236</v>
      </c>
      <c r="H2096" s="1" t="s">
        <v>43</v>
      </c>
      <c r="I2096" s="1" t="s">
        <v>6090</v>
      </c>
      <c r="J2096" s="17"/>
    </row>
    <row r="2097" spans="1:10">
      <c r="A2097" s="7" t="s">
        <v>7802</v>
      </c>
      <c r="B2097" s="1" t="s">
        <v>2628</v>
      </c>
      <c r="C2097" s="1">
        <v>155</v>
      </c>
      <c r="D2097" s="1" t="s">
        <v>119</v>
      </c>
      <c r="E2097" s="1" t="s">
        <v>6</v>
      </c>
      <c r="F2097" s="1" t="s">
        <v>5091</v>
      </c>
      <c r="G2097" s="1" t="s">
        <v>6139</v>
      </c>
      <c r="H2097" s="1" t="s">
        <v>43</v>
      </c>
      <c r="I2097" s="1" t="s">
        <v>6090</v>
      </c>
      <c r="J2097" s="17"/>
    </row>
    <row r="2098" spans="1:10" s="11" customFormat="1">
      <c r="A2098" s="7" t="s">
        <v>7803</v>
      </c>
      <c r="B2098" s="1" t="s">
        <v>2628</v>
      </c>
      <c r="C2098" s="1">
        <v>155</v>
      </c>
      <c r="D2098" s="1" t="s">
        <v>119</v>
      </c>
      <c r="E2098" s="1" t="s">
        <v>6</v>
      </c>
      <c r="F2098" s="1" t="s">
        <v>5091</v>
      </c>
      <c r="G2098" s="1" t="s">
        <v>6139</v>
      </c>
      <c r="H2098" s="1" t="s">
        <v>43</v>
      </c>
      <c r="I2098" s="1" t="s">
        <v>6090</v>
      </c>
      <c r="J2098" s="17"/>
    </row>
    <row r="2099" spans="1:10" s="11" customFormat="1">
      <c r="A2099" s="7" t="s">
        <v>7804</v>
      </c>
      <c r="B2099" s="1" t="s">
        <v>2628</v>
      </c>
      <c r="C2099" s="1">
        <v>155</v>
      </c>
      <c r="D2099" s="1" t="s">
        <v>119</v>
      </c>
      <c r="E2099" s="1" t="s">
        <v>6</v>
      </c>
      <c r="F2099" s="1" t="s">
        <v>5091</v>
      </c>
      <c r="G2099" s="1" t="s">
        <v>6139</v>
      </c>
      <c r="H2099" s="1" t="s">
        <v>43</v>
      </c>
      <c r="I2099" s="1" t="s">
        <v>6090</v>
      </c>
      <c r="J2099" s="17"/>
    </row>
    <row r="2100" spans="1:10">
      <c r="A2100" s="7" t="s">
        <v>7805</v>
      </c>
      <c r="B2100" s="1" t="s">
        <v>2628</v>
      </c>
      <c r="C2100" s="1">
        <v>155</v>
      </c>
      <c r="D2100" s="1" t="s">
        <v>119</v>
      </c>
      <c r="E2100" s="1" t="s">
        <v>6</v>
      </c>
      <c r="F2100" s="1" t="s">
        <v>5091</v>
      </c>
      <c r="G2100" s="1" t="s">
        <v>6139</v>
      </c>
      <c r="H2100" s="1" t="s">
        <v>43</v>
      </c>
      <c r="I2100" s="1" t="s">
        <v>6090</v>
      </c>
      <c r="J2100" s="17"/>
    </row>
    <row r="2101" spans="1:10">
      <c r="A2101" s="7" t="s">
        <v>7806</v>
      </c>
      <c r="B2101" s="1" t="s">
        <v>2628</v>
      </c>
      <c r="C2101" s="1">
        <v>155</v>
      </c>
      <c r="D2101" s="1" t="s">
        <v>119</v>
      </c>
      <c r="E2101" s="1" t="s">
        <v>6</v>
      </c>
      <c r="F2101" s="1" t="s">
        <v>5091</v>
      </c>
      <c r="G2101" s="1" t="s">
        <v>6139</v>
      </c>
      <c r="H2101" s="1" t="s">
        <v>43</v>
      </c>
      <c r="I2101" s="1" t="s">
        <v>6090</v>
      </c>
      <c r="J2101" s="17"/>
    </row>
    <row r="2102" spans="1:10">
      <c r="A2102" s="7" t="s">
        <v>7807</v>
      </c>
      <c r="B2102" s="1" t="s">
        <v>2628</v>
      </c>
      <c r="C2102" s="1">
        <v>155</v>
      </c>
      <c r="D2102" s="1" t="s">
        <v>119</v>
      </c>
      <c r="E2102" s="1" t="s">
        <v>6</v>
      </c>
      <c r="F2102" s="1" t="s">
        <v>5091</v>
      </c>
      <c r="G2102" s="1" t="s">
        <v>6139</v>
      </c>
      <c r="H2102" s="1" t="s">
        <v>43</v>
      </c>
      <c r="I2102" s="1" t="s">
        <v>6090</v>
      </c>
      <c r="J2102" s="17"/>
    </row>
    <row r="2103" spans="1:10">
      <c r="A2103" s="7" t="s">
        <v>7808</v>
      </c>
      <c r="B2103" s="1" t="s">
        <v>2628</v>
      </c>
      <c r="C2103" s="1">
        <v>155</v>
      </c>
      <c r="D2103" s="1" t="s">
        <v>119</v>
      </c>
      <c r="E2103" s="1" t="s">
        <v>6</v>
      </c>
      <c r="F2103" s="1" t="s">
        <v>5091</v>
      </c>
      <c r="G2103" s="1" t="s">
        <v>6139</v>
      </c>
      <c r="H2103" s="1" t="s">
        <v>43</v>
      </c>
      <c r="I2103" s="1" t="s">
        <v>6090</v>
      </c>
      <c r="J2103" s="17"/>
    </row>
    <row r="2104" spans="1:10">
      <c r="A2104" s="7" t="s">
        <v>7809</v>
      </c>
      <c r="B2104" s="1" t="s">
        <v>2628</v>
      </c>
      <c r="C2104" s="1">
        <v>155</v>
      </c>
      <c r="D2104" s="1" t="s">
        <v>119</v>
      </c>
      <c r="E2104" s="1" t="s">
        <v>6</v>
      </c>
      <c r="F2104" s="1" t="s">
        <v>5091</v>
      </c>
      <c r="G2104" s="1" t="s">
        <v>6139</v>
      </c>
      <c r="H2104" s="1" t="s">
        <v>43</v>
      </c>
      <c r="I2104" s="1" t="s">
        <v>6090</v>
      </c>
      <c r="J2104" s="17"/>
    </row>
    <row r="2105" spans="1:10">
      <c r="A2105" s="7" t="s">
        <v>7810</v>
      </c>
      <c r="B2105" s="1" t="s">
        <v>2628</v>
      </c>
      <c r="C2105" s="1">
        <v>155</v>
      </c>
      <c r="D2105" s="1" t="s">
        <v>119</v>
      </c>
      <c r="E2105" s="1" t="s">
        <v>6</v>
      </c>
      <c r="F2105" s="1" t="s">
        <v>5091</v>
      </c>
      <c r="G2105" s="1" t="s">
        <v>6139</v>
      </c>
      <c r="H2105" s="1" t="s">
        <v>43</v>
      </c>
      <c r="I2105" s="1" t="s">
        <v>6090</v>
      </c>
      <c r="J2105" s="17"/>
    </row>
    <row r="2106" spans="1:10">
      <c r="A2106" s="7" t="s">
        <v>7811</v>
      </c>
      <c r="B2106" s="1" t="s">
        <v>2628</v>
      </c>
      <c r="C2106" s="1">
        <v>155</v>
      </c>
      <c r="D2106" s="1" t="s">
        <v>119</v>
      </c>
      <c r="E2106" s="1" t="s">
        <v>6</v>
      </c>
      <c r="F2106" s="1" t="s">
        <v>5091</v>
      </c>
      <c r="G2106" s="1" t="s">
        <v>6139</v>
      </c>
      <c r="H2106" s="1" t="s">
        <v>43</v>
      </c>
      <c r="I2106" s="1" t="s">
        <v>6090</v>
      </c>
      <c r="J2106" s="17"/>
    </row>
    <row r="2107" spans="1:10">
      <c r="A2107" s="7" t="s">
        <v>7812</v>
      </c>
      <c r="B2107" s="1" t="s">
        <v>2628</v>
      </c>
      <c r="C2107" s="1">
        <v>155</v>
      </c>
      <c r="D2107" s="1" t="s">
        <v>119</v>
      </c>
      <c r="E2107" s="1" t="s">
        <v>6</v>
      </c>
      <c r="F2107" s="1" t="s">
        <v>5091</v>
      </c>
      <c r="G2107" s="1" t="s">
        <v>6139</v>
      </c>
      <c r="H2107" s="1" t="s">
        <v>43</v>
      </c>
      <c r="I2107" s="1" t="s">
        <v>6090</v>
      </c>
      <c r="J2107" s="17"/>
    </row>
    <row r="2108" spans="1:10">
      <c r="A2108" s="7" t="s">
        <v>7813</v>
      </c>
      <c r="B2108" s="1" t="s">
        <v>2628</v>
      </c>
      <c r="C2108" s="1">
        <v>155</v>
      </c>
      <c r="D2108" s="1" t="s">
        <v>119</v>
      </c>
      <c r="E2108" s="1" t="s">
        <v>6</v>
      </c>
      <c r="F2108" s="1" t="s">
        <v>5091</v>
      </c>
      <c r="G2108" s="1" t="s">
        <v>6139</v>
      </c>
      <c r="H2108" s="1" t="s">
        <v>43</v>
      </c>
      <c r="I2108" s="1" t="s">
        <v>6090</v>
      </c>
      <c r="J2108" s="17"/>
    </row>
    <row r="2109" spans="1:10">
      <c r="A2109" s="7" t="s">
        <v>7814</v>
      </c>
      <c r="B2109" s="1" t="s">
        <v>2628</v>
      </c>
      <c r="C2109" s="1">
        <v>155</v>
      </c>
      <c r="D2109" s="1" t="s">
        <v>119</v>
      </c>
      <c r="E2109" s="1" t="s">
        <v>6</v>
      </c>
      <c r="F2109" s="1" t="s">
        <v>5091</v>
      </c>
      <c r="G2109" s="1" t="s">
        <v>6139</v>
      </c>
      <c r="H2109" s="1" t="s">
        <v>43</v>
      </c>
      <c r="I2109" s="1" t="s">
        <v>6090</v>
      </c>
      <c r="J2109" s="17"/>
    </row>
    <row r="2110" spans="1:10">
      <c r="A2110" s="7" t="s">
        <v>7815</v>
      </c>
      <c r="B2110" s="1" t="s">
        <v>2628</v>
      </c>
      <c r="C2110" s="1">
        <v>155</v>
      </c>
      <c r="D2110" s="1" t="s">
        <v>119</v>
      </c>
      <c r="E2110" s="1" t="s">
        <v>6</v>
      </c>
      <c r="F2110" s="1" t="s">
        <v>5091</v>
      </c>
      <c r="G2110" s="1" t="s">
        <v>6139</v>
      </c>
      <c r="H2110" s="1" t="s">
        <v>43</v>
      </c>
      <c r="I2110" s="1" t="s">
        <v>6090</v>
      </c>
      <c r="J2110" s="17"/>
    </row>
    <row r="2111" spans="1:10">
      <c r="A2111" s="7" t="s">
        <v>7816</v>
      </c>
      <c r="B2111" s="1" t="s">
        <v>2628</v>
      </c>
      <c r="C2111" s="1">
        <v>155</v>
      </c>
      <c r="D2111" s="1" t="s">
        <v>119</v>
      </c>
      <c r="E2111" s="1" t="s">
        <v>6</v>
      </c>
      <c r="F2111" s="1" t="s">
        <v>5091</v>
      </c>
      <c r="G2111" s="1" t="s">
        <v>6139</v>
      </c>
      <c r="H2111" s="1" t="s">
        <v>43</v>
      </c>
      <c r="I2111" s="1" t="s">
        <v>6090</v>
      </c>
      <c r="J2111" s="17"/>
    </row>
    <row r="2112" spans="1:10">
      <c r="A2112" s="7" t="s">
        <v>7817</v>
      </c>
      <c r="B2112" s="1" t="s">
        <v>2628</v>
      </c>
      <c r="C2112" s="1">
        <v>155</v>
      </c>
      <c r="D2112" s="1" t="s">
        <v>119</v>
      </c>
      <c r="E2112" s="1" t="s">
        <v>6</v>
      </c>
      <c r="F2112" s="1" t="s">
        <v>5091</v>
      </c>
      <c r="G2112" s="1" t="s">
        <v>6139</v>
      </c>
      <c r="H2112" s="1" t="s">
        <v>43</v>
      </c>
      <c r="I2112" s="1" t="s">
        <v>6090</v>
      </c>
      <c r="J2112" s="17"/>
    </row>
    <row r="2113" spans="1:10">
      <c r="A2113" s="7" t="s">
        <v>7818</v>
      </c>
      <c r="B2113" s="1" t="s">
        <v>2628</v>
      </c>
      <c r="C2113" s="1">
        <v>155</v>
      </c>
      <c r="D2113" s="1" t="s">
        <v>119</v>
      </c>
      <c r="E2113" s="1" t="s">
        <v>6</v>
      </c>
      <c r="F2113" s="1" t="s">
        <v>5091</v>
      </c>
      <c r="G2113" s="1" t="s">
        <v>6139</v>
      </c>
      <c r="H2113" s="1" t="s">
        <v>43</v>
      </c>
      <c r="I2113" s="1" t="s">
        <v>6090</v>
      </c>
      <c r="J2113" s="17"/>
    </row>
    <row r="2114" spans="1:10">
      <c r="A2114" s="7" t="s">
        <v>7819</v>
      </c>
      <c r="B2114" s="1" t="s">
        <v>2628</v>
      </c>
      <c r="C2114" s="1">
        <v>155</v>
      </c>
      <c r="D2114" s="1" t="s">
        <v>119</v>
      </c>
      <c r="E2114" s="1" t="s">
        <v>6</v>
      </c>
      <c r="F2114" s="1" t="s">
        <v>5091</v>
      </c>
      <c r="G2114" s="1" t="s">
        <v>6139</v>
      </c>
      <c r="H2114" s="1" t="s">
        <v>43</v>
      </c>
      <c r="I2114" s="1" t="s">
        <v>6090</v>
      </c>
      <c r="J2114" s="17"/>
    </row>
    <row r="2115" spans="1:10">
      <c r="A2115" s="7" t="s">
        <v>7820</v>
      </c>
      <c r="B2115" s="1" t="s">
        <v>2628</v>
      </c>
      <c r="C2115" s="1">
        <v>155</v>
      </c>
      <c r="D2115" s="1" t="s">
        <v>119</v>
      </c>
      <c r="E2115" s="1" t="s">
        <v>6</v>
      </c>
      <c r="F2115" s="1" t="s">
        <v>5091</v>
      </c>
      <c r="G2115" s="1" t="s">
        <v>6139</v>
      </c>
      <c r="H2115" s="1" t="s">
        <v>43</v>
      </c>
      <c r="I2115" s="1" t="s">
        <v>6090</v>
      </c>
      <c r="J2115" s="17"/>
    </row>
    <row r="2116" spans="1:10">
      <c r="A2116" s="7" t="s">
        <v>7821</v>
      </c>
      <c r="B2116" s="1" t="s">
        <v>2628</v>
      </c>
      <c r="C2116" s="1">
        <v>155</v>
      </c>
      <c r="D2116" s="1" t="s">
        <v>119</v>
      </c>
      <c r="E2116" s="1" t="s">
        <v>6</v>
      </c>
      <c r="F2116" s="1" t="s">
        <v>5091</v>
      </c>
      <c r="G2116" s="1" t="s">
        <v>6139</v>
      </c>
      <c r="H2116" s="1" t="s">
        <v>43</v>
      </c>
      <c r="I2116" s="1" t="s">
        <v>6090</v>
      </c>
      <c r="J2116" s="17"/>
    </row>
    <row r="2117" spans="1:10">
      <c r="A2117" s="7" t="s">
        <v>7822</v>
      </c>
      <c r="B2117" s="1" t="s">
        <v>2628</v>
      </c>
      <c r="C2117" s="1">
        <v>155</v>
      </c>
      <c r="D2117" s="1" t="s">
        <v>119</v>
      </c>
      <c r="E2117" s="1" t="s">
        <v>6</v>
      </c>
      <c r="F2117" s="1" t="s">
        <v>5091</v>
      </c>
      <c r="G2117" s="1" t="s">
        <v>6139</v>
      </c>
      <c r="H2117" s="1" t="s">
        <v>43</v>
      </c>
      <c r="I2117" s="1" t="s">
        <v>6090</v>
      </c>
      <c r="J2117" s="17"/>
    </row>
    <row r="2118" spans="1:10">
      <c r="A2118" s="7" t="s">
        <v>7823</v>
      </c>
      <c r="B2118" s="1" t="s">
        <v>2628</v>
      </c>
      <c r="C2118" s="1">
        <v>155</v>
      </c>
      <c r="D2118" s="1" t="s">
        <v>119</v>
      </c>
      <c r="E2118" s="1" t="s">
        <v>6</v>
      </c>
      <c r="F2118" s="1" t="s">
        <v>5091</v>
      </c>
      <c r="G2118" s="1" t="s">
        <v>6139</v>
      </c>
      <c r="H2118" s="1" t="s">
        <v>43</v>
      </c>
      <c r="I2118" s="1" t="s">
        <v>6090</v>
      </c>
      <c r="J2118" s="17"/>
    </row>
    <row r="2119" spans="1:10">
      <c r="A2119" s="16" t="s">
        <v>7856</v>
      </c>
      <c r="B2119" s="1" t="s">
        <v>2628</v>
      </c>
      <c r="C2119" s="1">
        <v>155</v>
      </c>
      <c r="D2119" s="1" t="s">
        <v>119</v>
      </c>
      <c r="E2119" s="1" t="s">
        <v>6</v>
      </c>
      <c r="F2119" s="1" t="s">
        <v>5091</v>
      </c>
      <c r="G2119" s="14" t="s">
        <v>6307</v>
      </c>
      <c r="H2119" s="1" t="s">
        <v>44</v>
      </c>
      <c r="I2119" s="17">
        <v>41640</v>
      </c>
    </row>
    <row r="2120" spans="1:10">
      <c r="A2120" s="16" t="s">
        <v>7857</v>
      </c>
      <c r="B2120" s="1" t="s">
        <v>2628</v>
      </c>
      <c r="C2120" s="1">
        <v>155</v>
      </c>
      <c r="D2120" s="1" t="s">
        <v>119</v>
      </c>
      <c r="E2120" s="1" t="s">
        <v>6</v>
      </c>
      <c r="F2120" s="1" t="s">
        <v>5091</v>
      </c>
      <c r="G2120" s="14" t="s">
        <v>7858</v>
      </c>
      <c r="H2120" s="1" t="s">
        <v>5</v>
      </c>
      <c r="I2120" s="17">
        <v>41640</v>
      </c>
    </row>
    <row r="2121" spans="1:10">
      <c r="A2121" s="7" t="s">
        <v>7869</v>
      </c>
      <c r="B2121" s="1" t="s">
        <v>2628</v>
      </c>
      <c r="C2121" s="1">
        <v>155</v>
      </c>
      <c r="D2121" s="1" t="s">
        <v>119</v>
      </c>
      <c r="E2121" s="1" t="s">
        <v>6</v>
      </c>
      <c r="F2121" s="1" t="s">
        <v>5091</v>
      </c>
      <c r="G2121" s="1" t="s">
        <v>6139</v>
      </c>
      <c r="H2121" s="1" t="s">
        <v>43</v>
      </c>
      <c r="I2121" s="1" t="s">
        <v>6090</v>
      </c>
      <c r="J2121" s="17"/>
    </row>
    <row r="2122" spans="1:10">
      <c r="A2122" s="7" t="s">
        <v>7892</v>
      </c>
      <c r="B2122" s="1" t="s">
        <v>2631</v>
      </c>
      <c r="C2122" s="1">
        <v>155</v>
      </c>
      <c r="D2122" s="1" t="s">
        <v>119</v>
      </c>
      <c r="E2122" s="1" t="s">
        <v>6</v>
      </c>
      <c r="F2122" s="1" t="s">
        <v>118</v>
      </c>
      <c r="G2122" s="1" t="s">
        <v>7893</v>
      </c>
      <c r="H2122" s="1" t="s">
        <v>5</v>
      </c>
      <c r="I2122" s="1" t="s">
        <v>6090</v>
      </c>
    </row>
    <row r="2123" spans="1:10">
      <c r="A2123" s="7" t="s">
        <v>7947</v>
      </c>
      <c r="B2123" s="1" t="s">
        <v>2628</v>
      </c>
      <c r="C2123" s="1">
        <v>155</v>
      </c>
      <c r="D2123" s="1" t="s">
        <v>119</v>
      </c>
      <c r="E2123" s="1" t="s">
        <v>6</v>
      </c>
      <c r="F2123" s="1" t="s">
        <v>118</v>
      </c>
      <c r="G2123" s="1" t="s">
        <v>2565</v>
      </c>
      <c r="H2123" s="1" t="s">
        <v>5</v>
      </c>
      <c r="I2123" s="1" t="s">
        <v>6090</v>
      </c>
      <c r="J2123" s="17"/>
    </row>
    <row r="2124" spans="1:10">
      <c r="A2124" s="7" t="s">
        <v>7949</v>
      </c>
      <c r="B2124" s="1" t="s">
        <v>2628</v>
      </c>
      <c r="C2124" s="1">
        <v>155</v>
      </c>
      <c r="D2124" s="1" t="s">
        <v>119</v>
      </c>
      <c r="E2124" s="1" t="s">
        <v>6</v>
      </c>
      <c r="F2124" s="1" t="s">
        <v>118</v>
      </c>
      <c r="G2124" s="1" t="s">
        <v>7902</v>
      </c>
      <c r="H2124" s="1" t="s">
        <v>5</v>
      </c>
      <c r="I2124" s="1" t="s">
        <v>6090</v>
      </c>
      <c r="J2124" s="17"/>
    </row>
    <row r="2125" spans="1:10">
      <c r="A2125" s="7" t="s">
        <v>7953</v>
      </c>
      <c r="B2125" s="1" t="s">
        <v>2628</v>
      </c>
      <c r="C2125" s="1">
        <v>155</v>
      </c>
      <c r="D2125" s="1" t="s">
        <v>119</v>
      </c>
      <c r="E2125" s="1" t="s">
        <v>6</v>
      </c>
      <c r="F2125" s="1" t="s">
        <v>118</v>
      </c>
      <c r="G2125" s="1" t="s">
        <v>7932</v>
      </c>
      <c r="H2125" s="1" t="s">
        <v>5</v>
      </c>
      <c r="I2125" s="1" t="s">
        <v>6090</v>
      </c>
      <c r="J2125" s="17"/>
    </row>
    <row r="2126" spans="1:10">
      <c r="A2126" s="7" t="s">
        <v>8006</v>
      </c>
      <c r="B2126" s="1" t="s">
        <v>2628</v>
      </c>
      <c r="C2126" s="1">
        <v>155</v>
      </c>
      <c r="D2126" s="1" t="s">
        <v>119</v>
      </c>
      <c r="E2126" s="1" t="s">
        <v>6</v>
      </c>
      <c r="F2126" s="1" t="s">
        <v>118</v>
      </c>
      <c r="G2126" s="1" t="s">
        <v>8007</v>
      </c>
      <c r="H2126" s="1" t="s">
        <v>5</v>
      </c>
      <c r="I2126" s="1" t="s">
        <v>5807</v>
      </c>
      <c r="J2126" s="17"/>
    </row>
    <row r="2127" spans="1:10" s="11" customFormat="1">
      <c r="A2127" s="7" t="s">
        <v>8011</v>
      </c>
      <c r="B2127" s="1" t="s">
        <v>2628</v>
      </c>
      <c r="C2127" s="1">
        <v>155</v>
      </c>
      <c r="D2127" s="1" t="s">
        <v>119</v>
      </c>
      <c r="E2127" s="1" t="s">
        <v>6</v>
      </c>
      <c r="F2127" s="1" t="s">
        <v>5091</v>
      </c>
      <c r="G2127" s="1" t="s">
        <v>6186</v>
      </c>
      <c r="H2127" s="1" t="s">
        <v>5</v>
      </c>
      <c r="I2127" s="1" t="s">
        <v>6090</v>
      </c>
      <c r="J2127" s="1"/>
    </row>
    <row r="2128" spans="1:10" s="11" customFormat="1">
      <c r="A2128" s="7" t="s">
        <v>8072</v>
      </c>
      <c r="B2128" s="1" t="s">
        <v>2631</v>
      </c>
      <c r="C2128" s="1">
        <v>155</v>
      </c>
      <c r="D2128" s="1" t="s">
        <v>119</v>
      </c>
      <c r="E2128" s="1" t="s">
        <v>6</v>
      </c>
      <c r="F2128" s="1" t="s">
        <v>118</v>
      </c>
      <c r="G2128" s="1" t="s">
        <v>7932</v>
      </c>
      <c r="H2128" s="1" t="s">
        <v>5</v>
      </c>
      <c r="I2128" s="1" t="s">
        <v>6090</v>
      </c>
      <c r="J2128"/>
    </row>
    <row r="2129" spans="1:10">
      <c r="A2129" s="7" t="s">
        <v>8073</v>
      </c>
      <c r="B2129" s="1" t="s">
        <v>2628</v>
      </c>
      <c r="C2129" s="1">
        <v>155</v>
      </c>
      <c r="D2129" s="1" t="s">
        <v>119</v>
      </c>
      <c r="E2129" s="1" t="s">
        <v>6</v>
      </c>
      <c r="F2129" s="1" t="s">
        <v>118</v>
      </c>
      <c r="G2129" s="1" t="s">
        <v>7902</v>
      </c>
      <c r="H2129" s="1" t="s">
        <v>5</v>
      </c>
      <c r="I2129" s="1" t="s">
        <v>6090</v>
      </c>
      <c r="J2129" s="17"/>
    </row>
    <row r="2130" spans="1:10">
      <c r="A2130" s="7" t="s">
        <v>8080</v>
      </c>
      <c r="B2130" s="1" t="s">
        <v>2628</v>
      </c>
      <c r="C2130" s="1">
        <v>155</v>
      </c>
      <c r="D2130" s="1" t="s">
        <v>119</v>
      </c>
      <c r="E2130" s="1" t="s">
        <v>6</v>
      </c>
      <c r="F2130" s="1" t="s">
        <v>118</v>
      </c>
      <c r="G2130" s="1" t="s">
        <v>7932</v>
      </c>
      <c r="H2130" s="1" t="s">
        <v>5</v>
      </c>
      <c r="I2130" s="1" t="s">
        <v>6090</v>
      </c>
      <c r="J2130" s="17"/>
    </row>
    <row r="2131" spans="1:10">
      <c r="A2131" s="7" t="s">
        <v>8082</v>
      </c>
      <c r="B2131" s="1" t="s">
        <v>2628</v>
      </c>
      <c r="C2131" s="1">
        <v>155</v>
      </c>
      <c r="D2131" s="1" t="s">
        <v>119</v>
      </c>
      <c r="E2131" s="1" t="s">
        <v>6</v>
      </c>
      <c r="F2131" s="1" t="s">
        <v>118</v>
      </c>
      <c r="G2131" s="1" t="s">
        <v>7932</v>
      </c>
      <c r="H2131" s="1" t="s">
        <v>5</v>
      </c>
      <c r="I2131" s="1" t="s">
        <v>6090</v>
      </c>
      <c r="J2131" s="17"/>
    </row>
    <row r="2132" spans="1:10">
      <c r="A2132" s="7" t="s">
        <v>8083</v>
      </c>
      <c r="B2132" s="1" t="s">
        <v>2628</v>
      </c>
      <c r="C2132" s="1">
        <v>155</v>
      </c>
      <c r="D2132" s="1" t="s">
        <v>119</v>
      </c>
      <c r="E2132" s="1" t="s">
        <v>6</v>
      </c>
      <c r="F2132" s="1" t="s">
        <v>118</v>
      </c>
      <c r="G2132" s="1" t="s">
        <v>7932</v>
      </c>
      <c r="H2132" s="1" t="s">
        <v>5</v>
      </c>
      <c r="I2132" s="1" t="s">
        <v>6090</v>
      </c>
      <c r="J2132" s="17"/>
    </row>
    <row r="2133" spans="1:10">
      <c r="A2133" s="7" t="s">
        <v>8116</v>
      </c>
      <c r="B2133" s="1" t="s">
        <v>2628</v>
      </c>
      <c r="C2133" s="1">
        <v>155</v>
      </c>
      <c r="D2133" s="1" t="s">
        <v>119</v>
      </c>
      <c r="E2133" s="1" t="s">
        <v>6</v>
      </c>
      <c r="F2133" s="1" t="s">
        <v>5091</v>
      </c>
      <c r="G2133" s="1" t="s">
        <v>6238</v>
      </c>
      <c r="H2133" s="1" t="s">
        <v>43</v>
      </c>
      <c r="I2133" s="1" t="s">
        <v>8096</v>
      </c>
      <c r="J2133" s="17"/>
    </row>
    <row r="2134" spans="1:10">
      <c r="A2134" s="16" t="s">
        <v>8117</v>
      </c>
      <c r="B2134" s="1" t="s">
        <v>2628</v>
      </c>
      <c r="C2134" s="1">
        <v>155</v>
      </c>
      <c r="D2134" s="1" t="s">
        <v>119</v>
      </c>
      <c r="E2134" s="1" t="s">
        <v>6</v>
      </c>
      <c r="F2134" s="1" t="s">
        <v>5091</v>
      </c>
      <c r="G2134" s="14" t="s">
        <v>8118</v>
      </c>
      <c r="H2134" s="1" t="s">
        <v>5</v>
      </c>
      <c r="I2134" s="17">
        <v>41275</v>
      </c>
    </row>
    <row r="2135" spans="1:10">
      <c r="A2135" s="16" t="s">
        <v>8126</v>
      </c>
      <c r="B2135" s="1" t="s">
        <v>2628</v>
      </c>
      <c r="C2135" s="1">
        <v>155</v>
      </c>
      <c r="D2135" s="1" t="s">
        <v>119</v>
      </c>
      <c r="E2135" s="1" t="s">
        <v>6</v>
      </c>
      <c r="F2135" s="1" t="s">
        <v>5091</v>
      </c>
      <c r="G2135" s="14" t="s">
        <v>8127</v>
      </c>
      <c r="H2135" s="1" t="s">
        <v>5</v>
      </c>
      <c r="I2135" s="17">
        <v>41275</v>
      </c>
    </row>
    <row r="2136" spans="1:10">
      <c r="A2136" s="16" t="s">
        <v>8132</v>
      </c>
      <c r="B2136" s="1" t="s">
        <v>2628</v>
      </c>
      <c r="C2136" s="1">
        <v>155</v>
      </c>
      <c r="D2136" s="1" t="s">
        <v>119</v>
      </c>
      <c r="E2136" s="1" t="s">
        <v>6</v>
      </c>
      <c r="F2136" s="1" t="s">
        <v>5091</v>
      </c>
      <c r="G2136" s="14" t="s">
        <v>8133</v>
      </c>
      <c r="H2136" s="1" t="s">
        <v>43</v>
      </c>
      <c r="I2136" s="17">
        <v>41764</v>
      </c>
    </row>
    <row r="2137" spans="1:10">
      <c r="A2137" s="16" t="s">
        <v>8137</v>
      </c>
      <c r="B2137" s="1" t="s">
        <v>2628</v>
      </c>
      <c r="C2137" s="1">
        <v>372</v>
      </c>
      <c r="D2137" s="1" t="s">
        <v>119</v>
      </c>
      <c r="E2137" s="1" t="s">
        <v>6</v>
      </c>
      <c r="F2137" s="1" t="s">
        <v>36</v>
      </c>
      <c r="G2137" s="14" t="s">
        <v>8138</v>
      </c>
      <c r="H2137" s="1" t="s">
        <v>5</v>
      </c>
      <c r="I2137" s="17">
        <v>41731</v>
      </c>
    </row>
    <row r="2138" spans="1:10">
      <c r="A2138" s="16" t="s">
        <v>8139</v>
      </c>
      <c r="B2138" s="1" t="s">
        <v>2628</v>
      </c>
      <c r="C2138" s="1">
        <v>372</v>
      </c>
      <c r="D2138" s="1" t="s">
        <v>119</v>
      </c>
      <c r="E2138" s="1" t="s">
        <v>6</v>
      </c>
      <c r="F2138" s="1" t="s">
        <v>36</v>
      </c>
      <c r="G2138" s="14" t="s">
        <v>8138</v>
      </c>
      <c r="H2138" s="1" t="s">
        <v>5</v>
      </c>
      <c r="I2138" s="17">
        <v>41731</v>
      </c>
    </row>
    <row r="2139" spans="1:10">
      <c r="A2139" s="16" t="s">
        <v>8175</v>
      </c>
      <c r="B2139" s="1" t="s">
        <v>2628</v>
      </c>
      <c r="C2139" s="1">
        <v>155</v>
      </c>
      <c r="D2139" s="1" t="s">
        <v>119</v>
      </c>
      <c r="E2139" s="1" t="s">
        <v>6</v>
      </c>
      <c r="F2139" s="1" t="s">
        <v>5091</v>
      </c>
      <c r="G2139" s="14" t="s">
        <v>6145</v>
      </c>
      <c r="H2139" s="1" t="s">
        <v>43</v>
      </c>
      <c r="I2139" s="17">
        <v>41772</v>
      </c>
    </row>
    <row r="2140" spans="1:10">
      <c r="A2140" s="16" t="s">
        <v>8176</v>
      </c>
      <c r="B2140" s="1" t="s">
        <v>2628</v>
      </c>
      <c r="C2140" s="1">
        <v>155</v>
      </c>
      <c r="D2140" s="1" t="s">
        <v>119</v>
      </c>
      <c r="E2140" s="1" t="s">
        <v>6</v>
      </c>
      <c r="F2140" s="1" t="s">
        <v>5091</v>
      </c>
      <c r="G2140" s="14" t="s">
        <v>6145</v>
      </c>
      <c r="H2140" s="1" t="s">
        <v>43</v>
      </c>
      <c r="I2140" s="17">
        <v>41772</v>
      </c>
    </row>
    <row r="2141" spans="1:10">
      <c r="A2141" s="16" t="s">
        <v>8177</v>
      </c>
      <c r="B2141" s="1" t="s">
        <v>2628</v>
      </c>
      <c r="C2141" s="1">
        <v>155</v>
      </c>
      <c r="D2141" s="1" t="s">
        <v>119</v>
      </c>
      <c r="E2141" s="1" t="s">
        <v>6</v>
      </c>
      <c r="F2141" s="1" t="s">
        <v>5091</v>
      </c>
      <c r="G2141" s="14" t="s">
        <v>6145</v>
      </c>
      <c r="H2141" s="1" t="s">
        <v>43</v>
      </c>
      <c r="I2141" s="17">
        <v>41772</v>
      </c>
    </row>
    <row r="2142" spans="1:10">
      <c r="A2142" s="16" t="s">
        <v>8178</v>
      </c>
      <c r="B2142" s="1" t="s">
        <v>2628</v>
      </c>
      <c r="C2142" s="1">
        <v>155</v>
      </c>
      <c r="D2142" s="1" t="s">
        <v>119</v>
      </c>
      <c r="E2142" s="1" t="s">
        <v>6</v>
      </c>
      <c r="F2142" s="1" t="s">
        <v>5091</v>
      </c>
      <c r="G2142" s="14" t="s">
        <v>6145</v>
      </c>
      <c r="H2142" s="1" t="s">
        <v>43</v>
      </c>
      <c r="I2142" s="17">
        <v>41773</v>
      </c>
    </row>
    <row r="2143" spans="1:10">
      <c r="A2143" s="7" t="s">
        <v>8182</v>
      </c>
      <c r="B2143" s="1" t="s">
        <v>2628</v>
      </c>
      <c r="C2143" s="1">
        <v>155</v>
      </c>
      <c r="D2143" s="1" t="s">
        <v>119</v>
      </c>
      <c r="E2143" s="1" t="s">
        <v>6</v>
      </c>
      <c r="F2143" s="1" t="s">
        <v>5091</v>
      </c>
      <c r="G2143" s="1" t="s">
        <v>6145</v>
      </c>
      <c r="H2143" s="1" t="s">
        <v>43</v>
      </c>
      <c r="I2143" s="1" t="s">
        <v>5798</v>
      </c>
    </row>
    <row r="2144" spans="1:10">
      <c r="A2144" s="7" t="s">
        <v>8183</v>
      </c>
      <c r="B2144" s="1" t="s">
        <v>2628</v>
      </c>
      <c r="C2144" s="1">
        <v>155</v>
      </c>
      <c r="D2144" s="1" t="s">
        <v>119</v>
      </c>
      <c r="E2144" s="1" t="s">
        <v>6</v>
      </c>
      <c r="F2144" s="1" t="s">
        <v>5091</v>
      </c>
      <c r="G2144" s="1" t="s">
        <v>6145</v>
      </c>
      <c r="H2144" s="1" t="s">
        <v>43</v>
      </c>
      <c r="I2144" s="1" t="s">
        <v>5798</v>
      </c>
    </row>
    <row r="2145" spans="1:9">
      <c r="A2145" s="7" t="s">
        <v>8184</v>
      </c>
      <c r="B2145" s="1" t="s">
        <v>2628</v>
      </c>
      <c r="C2145" s="1">
        <v>155</v>
      </c>
      <c r="D2145" s="1" t="s">
        <v>119</v>
      </c>
      <c r="E2145" s="1" t="s">
        <v>6</v>
      </c>
      <c r="F2145" s="1" t="s">
        <v>5091</v>
      </c>
      <c r="G2145" s="1" t="s">
        <v>6145</v>
      </c>
      <c r="H2145" s="1" t="s">
        <v>43</v>
      </c>
      <c r="I2145" s="1" t="s">
        <v>5798</v>
      </c>
    </row>
    <row r="2146" spans="1:9">
      <c r="A2146" s="7" t="s">
        <v>8185</v>
      </c>
      <c r="B2146" s="1" t="s">
        <v>2628</v>
      </c>
      <c r="C2146" s="1">
        <v>155</v>
      </c>
      <c r="D2146" s="1" t="s">
        <v>119</v>
      </c>
      <c r="E2146" s="1" t="s">
        <v>6</v>
      </c>
      <c r="F2146" s="1" t="s">
        <v>5091</v>
      </c>
      <c r="G2146" s="1" t="s">
        <v>6145</v>
      </c>
      <c r="H2146" s="1" t="s">
        <v>43</v>
      </c>
      <c r="I2146" s="1" t="s">
        <v>5798</v>
      </c>
    </row>
    <row r="2147" spans="1:9">
      <c r="A2147" s="7" t="s">
        <v>8187</v>
      </c>
      <c r="B2147" s="1" t="s">
        <v>2628</v>
      </c>
      <c r="C2147" s="1">
        <v>155</v>
      </c>
      <c r="D2147" s="1" t="s">
        <v>119</v>
      </c>
      <c r="E2147" s="1" t="s">
        <v>6</v>
      </c>
      <c r="F2147" s="1" t="s">
        <v>5091</v>
      </c>
      <c r="G2147" s="1" t="s">
        <v>6145</v>
      </c>
      <c r="H2147" s="1" t="s">
        <v>43</v>
      </c>
      <c r="I2147" s="1" t="s">
        <v>5798</v>
      </c>
    </row>
    <row r="2148" spans="1:9">
      <c r="A2148" s="7" t="s">
        <v>8188</v>
      </c>
      <c r="B2148" s="1" t="s">
        <v>2628</v>
      </c>
      <c r="C2148" s="1">
        <v>155</v>
      </c>
      <c r="D2148" s="1" t="s">
        <v>119</v>
      </c>
      <c r="E2148" s="1" t="s">
        <v>6</v>
      </c>
      <c r="F2148" s="1" t="s">
        <v>5091</v>
      </c>
      <c r="G2148" s="1" t="s">
        <v>6145</v>
      </c>
      <c r="H2148" s="1" t="s">
        <v>43</v>
      </c>
      <c r="I2148" s="1" t="s">
        <v>5798</v>
      </c>
    </row>
    <row r="2149" spans="1:9">
      <c r="A2149" s="7" t="s">
        <v>8192</v>
      </c>
      <c r="B2149" s="1" t="s">
        <v>2628</v>
      </c>
      <c r="C2149" s="1">
        <v>155</v>
      </c>
      <c r="D2149" s="1" t="s">
        <v>119</v>
      </c>
      <c r="E2149" s="1" t="s">
        <v>6</v>
      </c>
      <c r="F2149" s="1" t="s">
        <v>5091</v>
      </c>
      <c r="G2149" s="1" t="s">
        <v>8193</v>
      </c>
      <c r="H2149" s="1" t="s">
        <v>315</v>
      </c>
      <c r="I2149" s="1" t="s">
        <v>5798</v>
      </c>
    </row>
    <row r="2150" spans="1:9">
      <c r="A2150" s="16" t="s">
        <v>8197</v>
      </c>
      <c r="B2150" s="1" t="s">
        <v>2628</v>
      </c>
      <c r="C2150" s="1">
        <v>155</v>
      </c>
      <c r="D2150" s="1" t="s">
        <v>119</v>
      </c>
      <c r="E2150" s="1" t="s">
        <v>6</v>
      </c>
      <c r="F2150" s="1" t="s">
        <v>5091</v>
      </c>
      <c r="G2150" s="14" t="s">
        <v>6145</v>
      </c>
      <c r="H2150" s="1" t="s">
        <v>43</v>
      </c>
      <c r="I2150" s="17">
        <v>41772</v>
      </c>
    </row>
    <row r="2151" spans="1:9">
      <c r="A2151" s="16" t="s">
        <v>8203</v>
      </c>
      <c r="B2151" s="1" t="s">
        <v>2628</v>
      </c>
      <c r="C2151" s="1">
        <v>155</v>
      </c>
      <c r="D2151" s="1" t="s">
        <v>119</v>
      </c>
      <c r="E2151" s="1" t="s">
        <v>6</v>
      </c>
      <c r="F2151" s="1" t="s">
        <v>5091</v>
      </c>
      <c r="G2151" s="14" t="s">
        <v>6145</v>
      </c>
      <c r="H2151" s="1" t="s">
        <v>43</v>
      </c>
      <c r="I2151" s="17">
        <v>41772</v>
      </c>
    </row>
    <row r="2152" spans="1:9">
      <c r="A2152" s="7" t="s">
        <v>8210</v>
      </c>
      <c r="B2152" s="1" t="s">
        <v>2628</v>
      </c>
      <c r="C2152" s="1">
        <v>372</v>
      </c>
      <c r="D2152" s="1" t="s">
        <v>119</v>
      </c>
      <c r="E2152" s="1" t="s">
        <v>6</v>
      </c>
      <c r="F2152" s="1" t="s">
        <v>36</v>
      </c>
      <c r="G2152" s="1" t="s">
        <v>8211</v>
      </c>
      <c r="H2152" s="1" t="s">
        <v>5</v>
      </c>
      <c r="I2152" s="1" t="s">
        <v>5798</v>
      </c>
    </row>
    <row r="2153" spans="1:9">
      <c r="A2153" s="7" t="s">
        <v>8234</v>
      </c>
      <c r="B2153" s="1" t="s">
        <v>2628</v>
      </c>
      <c r="C2153" s="1">
        <v>372</v>
      </c>
      <c r="D2153" s="1" t="s">
        <v>119</v>
      </c>
      <c r="E2153" s="1" t="s">
        <v>6</v>
      </c>
      <c r="F2153" s="1" t="s">
        <v>118</v>
      </c>
      <c r="G2153" s="1" t="s">
        <v>6530</v>
      </c>
      <c r="H2153" s="1" t="s">
        <v>43</v>
      </c>
      <c r="I2153" s="1" t="s">
        <v>5642</v>
      </c>
    </row>
    <row r="2154" spans="1:9">
      <c r="A2154" s="7" t="s">
        <v>8242</v>
      </c>
      <c r="B2154" s="1" t="s">
        <v>2628</v>
      </c>
      <c r="C2154" s="1">
        <v>155</v>
      </c>
      <c r="D2154" s="1" t="s">
        <v>119</v>
      </c>
      <c r="E2154" s="1" t="s">
        <v>6</v>
      </c>
      <c r="F2154" s="1" t="s">
        <v>2701</v>
      </c>
      <c r="G2154" s="1" t="s">
        <v>8243</v>
      </c>
      <c r="H2154" s="1" t="s">
        <v>5</v>
      </c>
      <c r="I2154" s="1">
        <v>2016</v>
      </c>
    </row>
    <row r="2155" spans="1:9">
      <c r="A2155" s="16" t="s">
        <v>8396</v>
      </c>
      <c r="B2155" s="1" t="s">
        <v>2628</v>
      </c>
      <c r="C2155" s="1">
        <v>155</v>
      </c>
      <c r="D2155" s="1" t="s">
        <v>119</v>
      </c>
      <c r="E2155" s="1" t="s">
        <v>6</v>
      </c>
      <c r="F2155" s="1" t="s">
        <v>5091</v>
      </c>
      <c r="G2155" s="14" t="s">
        <v>8397</v>
      </c>
      <c r="H2155" s="1" t="s">
        <v>5</v>
      </c>
      <c r="I2155" s="17">
        <v>41275</v>
      </c>
    </row>
    <row r="2156" spans="1:9">
      <c r="A2156" s="16" t="s">
        <v>8409</v>
      </c>
      <c r="B2156" s="1" t="s">
        <v>2628</v>
      </c>
      <c r="C2156" s="1">
        <v>155</v>
      </c>
      <c r="D2156" s="1" t="s">
        <v>119</v>
      </c>
      <c r="E2156" s="1" t="s">
        <v>6</v>
      </c>
      <c r="F2156" s="1" t="s">
        <v>5091</v>
      </c>
      <c r="G2156" s="14" t="s">
        <v>6236</v>
      </c>
      <c r="H2156" s="1" t="s">
        <v>43</v>
      </c>
      <c r="I2156" s="17">
        <v>41275</v>
      </c>
    </row>
    <row r="2157" spans="1:9">
      <c r="A2157" s="16" t="s">
        <v>8414</v>
      </c>
      <c r="B2157" s="1" t="s">
        <v>2628</v>
      </c>
      <c r="C2157" s="1">
        <v>372</v>
      </c>
      <c r="D2157" s="1" t="s">
        <v>119</v>
      </c>
      <c r="E2157" s="1" t="s">
        <v>6</v>
      </c>
      <c r="F2157" s="1" t="s">
        <v>5091</v>
      </c>
      <c r="G2157" s="14" t="s">
        <v>8415</v>
      </c>
      <c r="H2157" s="1" t="s">
        <v>43</v>
      </c>
      <c r="I2157" s="17">
        <v>40960</v>
      </c>
    </row>
    <row r="2158" spans="1:9">
      <c r="A2158" s="16" t="s">
        <v>8418</v>
      </c>
      <c r="B2158" s="1" t="s">
        <v>2628</v>
      </c>
      <c r="C2158" s="1">
        <v>372</v>
      </c>
      <c r="D2158" s="1" t="s">
        <v>119</v>
      </c>
      <c r="E2158" s="1" t="s">
        <v>6</v>
      </c>
      <c r="F2158" s="1" t="s">
        <v>5091</v>
      </c>
      <c r="G2158" s="14" t="s">
        <v>8419</v>
      </c>
      <c r="H2158" s="1" t="s">
        <v>43</v>
      </c>
      <c r="I2158" s="17">
        <v>40960</v>
      </c>
    </row>
    <row r="2159" spans="1:9">
      <c r="A2159" s="16" t="s">
        <v>8420</v>
      </c>
      <c r="B2159" s="1" t="s">
        <v>2628</v>
      </c>
      <c r="C2159" s="1">
        <v>372</v>
      </c>
      <c r="D2159" s="1" t="s">
        <v>119</v>
      </c>
      <c r="E2159" s="1" t="s">
        <v>6</v>
      </c>
      <c r="F2159" s="1" t="s">
        <v>5091</v>
      </c>
      <c r="G2159" s="14" t="s">
        <v>8421</v>
      </c>
      <c r="H2159" s="1" t="s">
        <v>43</v>
      </c>
      <c r="I2159" s="17">
        <v>40960</v>
      </c>
    </row>
    <row r="2160" spans="1:9">
      <c r="A2160" s="16" t="s">
        <v>8427</v>
      </c>
      <c r="B2160" s="1" t="s">
        <v>2628</v>
      </c>
      <c r="C2160" s="1">
        <v>155</v>
      </c>
      <c r="D2160" s="1" t="s">
        <v>119</v>
      </c>
      <c r="E2160" s="1" t="s">
        <v>6</v>
      </c>
      <c r="F2160" s="1" t="s">
        <v>5091</v>
      </c>
      <c r="G2160" s="14" t="s">
        <v>8428</v>
      </c>
      <c r="H2160" s="1" t="s">
        <v>5</v>
      </c>
      <c r="I2160" s="17">
        <v>41275</v>
      </c>
    </row>
    <row r="2161" spans="1:9">
      <c r="A2161" s="16" t="s">
        <v>8435</v>
      </c>
      <c r="B2161" s="1" t="s">
        <v>2628</v>
      </c>
      <c r="C2161" s="1">
        <v>372</v>
      </c>
      <c r="D2161" s="1" t="s">
        <v>119</v>
      </c>
      <c r="E2161" s="1" t="s">
        <v>6</v>
      </c>
      <c r="F2161" s="1" t="s">
        <v>5091</v>
      </c>
      <c r="G2161" s="14" t="s">
        <v>6145</v>
      </c>
      <c r="H2161" s="1" t="s">
        <v>43</v>
      </c>
      <c r="I2161" s="17">
        <v>41065</v>
      </c>
    </row>
    <row r="2162" spans="1:9">
      <c r="A2162" s="16" t="s">
        <v>8443</v>
      </c>
      <c r="B2162" s="1" t="s">
        <v>2628</v>
      </c>
      <c r="C2162" s="1">
        <v>372</v>
      </c>
      <c r="D2162" s="1" t="s">
        <v>119</v>
      </c>
      <c r="E2162" s="1" t="s">
        <v>6</v>
      </c>
      <c r="F2162" s="1" t="s">
        <v>5091</v>
      </c>
      <c r="G2162" s="14" t="s">
        <v>6145</v>
      </c>
      <c r="H2162" s="1" t="s">
        <v>43</v>
      </c>
      <c r="I2162" s="17">
        <v>40577</v>
      </c>
    </row>
    <row r="2163" spans="1:9">
      <c r="A2163" s="16" t="s">
        <v>8447</v>
      </c>
      <c r="B2163" s="1" t="s">
        <v>2628</v>
      </c>
      <c r="C2163" s="1">
        <v>372</v>
      </c>
      <c r="D2163" s="1" t="s">
        <v>119</v>
      </c>
      <c r="E2163" s="1" t="s">
        <v>6</v>
      </c>
      <c r="F2163" s="1" t="s">
        <v>5091</v>
      </c>
      <c r="G2163" s="14" t="s">
        <v>6145</v>
      </c>
      <c r="H2163" s="1" t="s">
        <v>43</v>
      </c>
      <c r="I2163" s="17">
        <v>39359</v>
      </c>
    </row>
    <row r="2164" spans="1:9">
      <c r="A2164" s="16" t="s">
        <v>8448</v>
      </c>
      <c r="B2164" s="1" t="s">
        <v>2628</v>
      </c>
      <c r="C2164" s="1">
        <v>372</v>
      </c>
      <c r="D2164" s="1" t="s">
        <v>119</v>
      </c>
      <c r="E2164" s="1" t="s">
        <v>6</v>
      </c>
      <c r="F2164" s="1" t="s">
        <v>5091</v>
      </c>
      <c r="G2164" s="14" t="s">
        <v>6145</v>
      </c>
      <c r="H2164" s="1" t="s">
        <v>43</v>
      </c>
      <c r="I2164" s="17">
        <v>41065</v>
      </c>
    </row>
    <row r="2165" spans="1:9">
      <c r="A2165" s="16" t="s">
        <v>8454</v>
      </c>
      <c r="B2165" s="1" t="s">
        <v>2628</v>
      </c>
      <c r="C2165" s="1">
        <v>372</v>
      </c>
      <c r="D2165" s="1" t="s">
        <v>119</v>
      </c>
      <c r="E2165" s="1" t="s">
        <v>6</v>
      </c>
      <c r="F2165" s="1" t="s">
        <v>5091</v>
      </c>
      <c r="G2165" s="14" t="s">
        <v>6145</v>
      </c>
      <c r="H2165" s="1" t="s">
        <v>43</v>
      </c>
      <c r="I2165" s="17">
        <v>41065</v>
      </c>
    </row>
    <row r="2166" spans="1:9">
      <c r="A2166" s="16" t="s">
        <v>8468</v>
      </c>
      <c r="B2166" s="1" t="s">
        <v>2628</v>
      </c>
      <c r="C2166" s="1">
        <v>155</v>
      </c>
      <c r="D2166" s="1" t="s">
        <v>119</v>
      </c>
      <c r="E2166" s="1" t="s">
        <v>6</v>
      </c>
      <c r="F2166" s="1" t="s">
        <v>5091</v>
      </c>
      <c r="G2166" s="14" t="s">
        <v>6145</v>
      </c>
      <c r="H2166" s="1" t="s">
        <v>43</v>
      </c>
      <c r="I2166" s="17">
        <v>41591</v>
      </c>
    </row>
    <row r="2167" spans="1:9">
      <c r="A2167" s="16" t="s">
        <v>8475</v>
      </c>
      <c r="B2167" s="1" t="s">
        <v>2628</v>
      </c>
      <c r="C2167" s="1">
        <v>372</v>
      </c>
      <c r="D2167" s="1" t="s">
        <v>119</v>
      </c>
      <c r="E2167" s="1" t="s">
        <v>6</v>
      </c>
      <c r="F2167" s="1" t="s">
        <v>5091</v>
      </c>
      <c r="G2167" s="14" t="s">
        <v>8125</v>
      </c>
      <c r="H2167" s="1" t="s">
        <v>43</v>
      </c>
      <c r="I2167" s="17">
        <v>41640</v>
      </c>
    </row>
    <row r="2168" spans="1:9" ht="31.2">
      <c r="A2168" s="16" t="s">
        <v>8494</v>
      </c>
      <c r="B2168" s="1" t="s">
        <v>2628</v>
      </c>
      <c r="C2168" s="1">
        <v>155</v>
      </c>
      <c r="D2168" s="1" t="s">
        <v>119</v>
      </c>
      <c r="E2168" s="1" t="s">
        <v>6</v>
      </c>
      <c r="F2168" s="1" t="s">
        <v>5091</v>
      </c>
      <c r="G2168" s="14" t="s">
        <v>8495</v>
      </c>
      <c r="H2168" s="1" t="s">
        <v>5</v>
      </c>
      <c r="I2168" s="17">
        <v>41808</v>
      </c>
    </row>
    <row r="2169" spans="1:9" ht="31.2">
      <c r="A2169" s="16" t="s">
        <v>8501</v>
      </c>
      <c r="B2169" s="1" t="s">
        <v>2628</v>
      </c>
      <c r="C2169" s="1">
        <v>155</v>
      </c>
      <c r="D2169" s="1" t="s">
        <v>119</v>
      </c>
      <c r="E2169" s="1" t="s">
        <v>6</v>
      </c>
      <c r="F2169" s="1" t="s">
        <v>5091</v>
      </c>
      <c r="G2169" s="14" t="s">
        <v>8502</v>
      </c>
      <c r="H2169" s="1" t="s">
        <v>43</v>
      </c>
      <c r="I2169" s="17">
        <v>41809</v>
      </c>
    </row>
    <row r="2170" spans="1:9" ht="31.2">
      <c r="A2170" s="16" t="s">
        <v>8515</v>
      </c>
      <c r="B2170" s="1" t="s">
        <v>2628</v>
      </c>
      <c r="C2170" s="1">
        <v>155</v>
      </c>
      <c r="D2170" s="1" t="s">
        <v>119</v>
      </c>
      <c r="E2170" s="1" t="s">
        <v>6</v>
      </c>
      <c r="F2170" s="1" t="s">
        <v>5091</v>
      </c>
      <c r="G2170" s="14" t="s">
        <v>6145</v>
      </c>
      <c r="H2170" s="1" t="s">
        <v>43</v>
      </c>
      <c r="I2170" s="17">
        <v>41591</v>
      </c>
    </row>
    <row r="2171" spans="1:9">
      <c r="A2171" s="16" t="s">
        <v>8520</v>
      </c>
      <c r="B2171" s="1" t="s">
        <v>2628</v>
      </c>
      <c r="C2171" s="1">
        <v>155</v>
      </c>
      <c r="D2171" s="1" t="s">
        <v>119</v>
      </c>
      <c r="E2171" s="1" t="s">
        <v>6</v>
      </c>
      <c r="F2171" s="1" t="s">
        <v>5091</v>
      </c>
      <c r="G2171" s="14" t="s">
        <v>8118</v>
      </c>
      <c r="H2171" s="1" t="s">
        <v>5</v>
      </c>
      <c r="I2171" s="17">
        <v>41275</v>
      </c>
    </row>
    <row r="2172" spans="1:9">
      <c r="A2172" s="16" t="s">
        <v>8522</v>
      </c>
      <c r="B2172" s="1" t="s">
        <v>2628</v>
      </c>
      <c r="C2172" s="1">
        <v>155</v>
      </c>
      <c r="D2172" s="1" t="s">
        <v>119</v>
      </c>
      <c r="E2172" s="1" t="s">
        <v>6</v>
      </c>
      <c r="F2172" s="1" t="s">
        <v>5091</v>
      </c>
      <c r="G2172" s="14" t="s">
        <v>8523</v>
      </c>
      <c r="H2172" s="1" t="s">
        <v>5</v>
      </c>
      <c r="I2172" s="17">
        <v>41275</v>
      </c>
    </row>
    <row r="2173" spans="1:9">
      <c r="A2173" s="16" t="s">
        <v>8564</v>
      </c>
      <c r="B2173" s="1" t="s">
        <v>2628</v>
      </c>
      <c r="C2173" s="1">
        <v>155</v>
      </c>
      <c r="D2173" s="1" t="s">
        <v>119</v>
      </c>
      <c r="E2173" s="1" t="s">
        <v>6</v>
      </c>
      <c r="F2173" s="1" t="s">
        <v>5091</v>
      </c>
      <c r="G2173" s="14" t="s">
        <v>8565</v>
      </c>
      <c r="H2173" s="1" t="s">
        <v>5</v>
      </c>
      <c r="I2173" s="17">
        <v>40926</v>
      </c>
    </row>
    <row r="2174" spans="1:9">
      <c r="A2174" s="16" t="s">
        <v>8566</v>
      </c>
      <c r="B2174" s="1" t="s">
        <v>2628</v>
      </c>
      <c r="C2174" s="1">
        <v>155</v>
      </c>
      <c r="D2174" s="1" t="s">
        <v>119</v>
      </c>
      <c r="E2174" s="1" t="s">
        <v>6</v>
      </c>
      <c r="F2174" s="1" t="s">
        <v>5091</v>
      </c>
      <c r="G2174" s="14" t="s">
        <v>8567</v>
      </c>
      <c r="H2174" s="1" t="s">
        <v>43</v>
      </c>
      <c r="I2174" s="17">
        <v>40926</v>
      </c>
    </row>
    <row r="2175" spans="1:9">
      <c r="A2175" s="16" t="s">
        <v>8582</v>
      </c>
      <c r="B2175" s="1" t="s">
        <v>2631</v>
      </c>
      <c r="C2175" s="1">
        <v>155</v>
      </c>
      <c r="D2175" s="1" t="s">
        <v>119</v>
      </c>
      <c r="E2175" s="1" t="s">
        <v>6</v>
      </c>
      <c r="F2175" s="1" t="s">
        <v>5091</v>
      </c>
      <c r="G2175" s="1" t="s">
        <v>8583</v>
      </c>
      <c r="H2175" s="1" t="s">
        <v>5</v>
      </c>
      <c r="I2175" s="17">
        <v>33885</v>
      </c>
    </row>
    <row r="2176" spans="1:9">
      <c r="A2176" s="16" t="s">
        <v>8584</v>
      </c>
      <c r="B2176" s="1" t="s">
        <v>2628</v>
      </c>
      <c r="C2176" s="1">
        <v>155</v>
      </c>
      <c r="D2176" s="1" t="s">
        <v>119</v>
      </c>
      <c r="E2176" s="1" t="s">
        <v>6</v>
      </c>
      <c r="F2176" s="1" t="s">
        <v>5091</v>
      </c>
      <c r="G2176" s="14" t="s">
        <v>8585</v>
      </c>
      <c r="H2176" s="1" t="s">
        <v>5</v>
      </c>
      <c r="I2176" s="17">
        <v>34561</v>
      </c>
    </row>
    <row r="2177" spans="1:9">
      <c r="A2177" s="16" t="s">
        <v>8605</v>
      </c>
      <c r="B2177" s="1" t="s">
        <v>2628</v>
      </c>
      <c r="C2177" s="1">
        <v>155</v>
      </c>
      <c r="D2177" s="1" t="s">
        <v>119</v>
      </c>
      <c r="E2177" s="1" t="s">
        <v>6</v>
      </c>
      <c r="F2177" s="1" t="s">
        <v>5091</v>
      </c>
      <c r="G2177" s="14" t="s">
        <v>7858</v>
      </c>
      <c r="H2177" s="1" t="s">
        <v>5</v>
      </c>
      <c r="I2177" s="17">
        <v>41640</v>
      </c>
    </row>
    <row r="2178" spans="1:9">
      <c r="A2178" s="16" t="s">
        <v>8607</v>
      </c>
      <c r="B2178" s="1" t="s">
        <v>2628</v>
      </c>
      <c r="C2178" s="1">
        <v>155</v>
      </c>
      <c r="D2178" s="1" t="s">
        <v>119</v>
      </c>
      <c r="E2178" s="1" t="s">
        <v>6</v>
      </c>
      <c r="F2178" s="1" t="s">
        <v>5091</v>
      </c>
      <c r="G2178" s="14" t="s">
        <v>8125</v>
      </c>
      <c r="H2178" s="1" t="s">
        <v>43</v>
      </c>
      <c r="I2178" s="17">
        <v>41640</v>
      </c>
    </row>
    <row r="2179" spans="1:9">
      <c r="A2179" s="16" t="s">
        <v>8608</v>
      </c>
      <c r="B2179" s="1" t="s">
        <v>2628</v>
      </c>
      <c r="C2179" s="1">
        <v>155</v>
      </c>
      <c r="D2179" s="1" t="s">
        <v>119</v>
      </c>
      <c r="E2179" s="1" t="s">
        <v>6</v>
      </c>
      <c r="F2179" s="1" t="s">
        <v>5091</v>
      </c>
      <c r="G2179" s="14" t="s">
        <v>8125</v>
      </c>
      <c r="H2179" s="1" t="s">
        <v>43</v>
      </c>
      <c r="I2179" s="17">
        <v>41640</v>
      </c>
    </row>
    <row r="2180" spans="1:9">
      <c r="A2180" s="16" t="s">
        <v>8609</v>
      </c>
      <c r="B2180" s="1" t="s">
        <v>2628</v>
      </c>
      <c r="C2180" s="1">
        <v>155</v>
      </c>
      <c r="D2180" s="1" t="s">
        <v>119</v>
      </c>
      <c r="E2180" s="1" t="s">
        <v>6</v>
      </c>
      <c r="F2180" s="1" t="s">
        <v>5091</v>
      </c>
      <c r="G2180" s="14" t="s">
        <v>8125</v>
      </c>
      <c r="H2180" s="1" t="s">
        <v>43</v>
      </c>
      <c r="I2180" s="17">
        <v>41640</v>
      </c>
    </row>
    <row r="2181" spans="1:9">
      <c r="A2181" s="16" t="s">
        <v>8610</v>
      </c>
      <c r="B2181" s="1" t="s">
        <v>2628</v>
      </c>
      <c r="C2181" s="1">
        <v>155</v>
      </c>
      <c r="D2181" s="1" t="s">
        <v>119</v>
      </c>
      <c r="E2181" s="1" t="s">
        <v>6</v>
      </c>
      <c r="F2181" s="1" t="s">
        <v>5091</v>
      </c>
      <c r="G2181" s="14" t="s">
        <v>8125</v>
      </c>
      <c r="H2181" s="1" t="s">
        <v>43</v>
      </c>
      <c r="I2181" s="17">
        <v>41640</v>
      </c>
    </row>
    <row r="2182" spans="1:9">
      <c r="A2182" s="16" t="s">
        <v>8628</v>
      </c>
      <c r="B2182" s="1" t="s">
        <v>2628</v>
      </c>
      <c r="C2182" s="1">
        <v>155</v>
      </c>
      <c r="D2182" s="1" t="s">
        <v>119</v>
      </c>
      <c r="E2182" s="1" t="s">
        <v>6</v>
      </c>
      <c r="F2182" s="1" t="s">
        <v>5091</v>
      </c>
      <c r="G2182" s="14" t="s">
        <v>8585</v>
      </c>
      <c r="H2182" s="1" t="s">
        <v>5</v>
      </c>
      <c r="I2182" s="17">
        <v>34561</v>
      </c>
    </row>
    <row r="2183" spans="1:9">
      <c r="A2183" s="16" t="s">
        <v>8633</v>
      </c>
      <c r="B2183" s="1" t="s">
        <v>2628</v>
      </c>
      <c r="C2183" s="1">
        <v>155</v>
      </c>
      <c r="D2183" s="1" t="s">
        <v>119</v>
      </c>
      <c r="E2183" s="1" t="s">
        <v>6</v>
      </c>
      <c r="F2183" s="1" t="s">
        <v>5091</v>
      </c>
      <c r="G2183" s="14" t="s">
        <v>2370</v>
      </c>
      <c r="H2183" s="1" t="s">
        <v>5</v>
      </c>
      <c r="I2183" s="17">
        <v>34561</v>
      </c>
    </row>
    <row r="2184" spans="1:9">
      <c r="A2184" s="16" t="s">
        <v>8635</v>
      </c>
      <c r="B2184" s="1" t="s">
        <v>2628</v>
      </c>
      <c r="C2184" s="1">
        <v>155</v>
      </c>
      <c r="D2184" s="1" t="s">
        <v>119</v>
      </c>
      <c r="E2184" s="1" t="s">
        <v>6</v>
      </c>
      <c r="F2184" s="1" t="s">
        <v>5091</v>
      </c>
      <c r="G2184" s="14" t="s">
        <v>2370</v>
      </c>
      <c r="H2184" s="1" t="s">
        <v>5</v>
      </c>
      <c r="I2184" s="17">
        <v>34561</v>
      </c>
    </row>
    <row r="2185" spans="1:9">
      <c r="A2185" s="16" t="s">
        <v>8654</v>
      </c>
      <c r="B2185" s="1" t="s">
        <v>2631</v>
      </c>
      <c r="C2185" s="1">
        <v>155</v>
      </c>
      <c r="D2185" s="1" t="s">
        <v>119</v>
      </c>
      <c r="E2185" s="1" t="s">
        <v>6</v>
      </c>
      <c r="F2185" s="1" t="s">
        <v>5091</v>
      </c>
      <c r="G2185" s="1" t="s">
        <v>8583</v>
      </c>
      <c r="H2185" s="1" t="s">
        <v>5</v>
      </c>
      <c r="I2185" s="17">
        <v>33885</v>
      </c>
    </row>
    <row r="2186" spans="1:9">
      <c r="A2186" s="16" t="s">
        <v>8675</v>
      </c>
      <c r="B2186" s="1" t="s">
        <v>2628</v>
      </c>
      <c r="C2186" s="1">
        <v>155</v>
      </c>
      <c r="D2186" s="1" t="s">
        <v>119</v>
      </c>
      <c r="E2186" s="1" t="s">
        <v>6</v>
      </c>
      <c r="F2186" s="1" t="s">
        <v>5091</v>
      </c>
      <c r="G2186" s="14" t="s">
        <v>6145</v>
      </c>
      <c r="H2186" s="1" t="s">
        <v>43</v>
      </c>
      <c r="I2186" s="17">
        <v>41933</v>
      </c>
    </row>
    <row r="2187" spans="1:9">
      <c r="A2187" s="16" t="s">
        <v>8724</v>
      </c>
      <c r="B2187" s="1" t="s">
        <v>2628</v>
      </c>
      <c r="C2187" s="1">
        <v>372</v>
      </c>
      <c r="D2187" s="1" t="s">
        <v>119</v>
      </c>
      <c r="E2187" s="1" t="s">
        <v>6</v>
      </c>
      <c r="F2187" s="1" t="s">
        <v>5091</v>
      </c>
      <c r="G2187" s="14" t="s">
        <v>8725</v>
      </c>
      <c r="H2187" s="1" t="s">
        <v>43</v>
      </c>
      <c r="I2187" s="17">
        <v>40960</v>
      </c>
    </row>
    <row r="2188" spans="1:9">
      <c r="A2188" s="16" t="s">
        <v>8730</v>
      </c>
      <c r="B2188" s="1" t="s">
        <v>2628</v>
      </c>
      <c r="C2188" s="1">
        <v>372</v>
      </c>
      <c r="D2188" s="1" t="s">
        <v>119</v>
      </c>
      <c r="E2188" s="1" t="s">
        <v>6</v>
      </c>
      <c r="F2188" s="1" t="s">
        <v>5091</v>
      </c>
      <c r="G2188" s="14" t="s">
        <v>6145</v>
      </c>
      <c r="H2188" s="1" t="s">
        <v>43</v>
      </c>
      <c r="I2188" s="17">
        <v>41956</v>
      </c>
    </row>
    <row r="2189" spans="1:9">
      <c r="A2189" s="16" t="s">
        <v>8731</v>
      </c>
      <c r="B2189" s="1" t="s">
        <v>2628</v>
      </c>
      <c r="C2189" s="1">
        <v>372</v>
      </c>
      <c r="D2189" s="1" t="s">
        <v>119</v>
      </c>
      <c r="E2189" s="1" t="s">
        <v>6</v>
      </c>
      <c r="F2189" s="1" t="s">
        <v>5091</v>
      </c>
      <c r="G2189" s="14" t="s">
        <v>6145</v>
      </c>
      <c r="H2189" s="1" t="s">
        <v>43</v>
      </c>
      <c r="I2189" s="17">
        <v>41956</v>
      </c>
    </row>
    <row r="2190" spans="1:9">
      <c r="A2190" s="16" t="s">
        <v>8733</v>
      </c>
      <c r="B2190" s="1" t="s">
        <v>2628</v>
      </c>
      <c r="C2190" s="1">
        <v>372</v>
      </c>
      <c r="D2190" s="1" t="s">
        <v>119</v>
      </c>
      <c r="E2190" s="1" t="s">
        <v>6</v>
      </c>
      <c r="F2190" s="1" t="s">
        <v>5091</v>
      </c>
      <c r="G2190" s="14" t="s">
        <v>6145</v>
      </c>
      <c r="H2190" s="1" t="s">
        <v>43</v>
      </c>
      <c r="I2190" s="17">
        <v>41956</v>
      </c>
    </row>
    <row r="2191" spans="1:9">
      <c r="A2191" s="16" t="s">
        <v>8760</v>
      </c>
      <c r="B2191" s="1" t="s">
        <v>2628</v>
      </c>
      <c r="C2191" s="1">
        <v>155</v>
      </c>
      <c r="D2191" s="1" t="s">
        <v>119</v>
      </c>
      <c r="E2191" s="1" t="s">
        <v>6</v>
      </c>
      <c r="F2191" s="1" t="s">
        <v>5091</v>
      </c>
      <c r="G2191" s="14" t="s">
        <v>6145</v>
      </c>
      <c r="H2191" s="1" t="s">
        <v>43</v>
      </c>
      <c r="I2191" s="17">
        <v>42017</v>
      </c>
    </row>
    <row r="2192" spans="1:9">
      <c r="A2192" s="16" t="s">
        <v>8761</v>
      </c>
      <c r="B2192" s="1" t="s">
        <v>2628</v>
      </c>
      <c r="C2192" s="1">
        <v>155</v>
      </c>
      <c r="D2192" s="1" t="s">
        <v>119</v>
      </c>
      <c r="E2192" s="1" t="s">
        <v>6</v>
      </c>
      <c r="F2192" s="1" t="s">
        <v>5091</v>
      </c>
      <c r="G2192" s="14" t="s">
        <v>6145</v>
      </c>
      <c r="H2192" s="1" t="s">
        <v>43</v>
      </c>
      <c r="I2192" s="17">
        <v>42016</v>
      </c>
    </row>
    <row r="2193" spans="1:9">
      <c r="A2193" s="16" t="s">
        <v>8799</v>
      </c>
      <c r="B2193" s="1" t="s">
        <v>2628</v>
      </c>
      <c r="C2193" s="1">
        <v>155</v>
      </c>
      <c r="D2193" s="1" t="s">
        <v>119</v>
      </c>
      <c r="E2193" s="1" t="s">
        <v>6</v>
      </c>
      <c r="F2193" s="1" t="s">
        <v>5091</v>
      </c>
      <c r="G2193" s="14" t="s">
        <v>8800</v>
      </c>
      <c r="H2193" s="1" t="s">
        <v>5</v>
      </c>
      <c r="I2193" s="1" t="s">
        <v>4458</v>
      </c>
    </row>
    <row r="2194" spans="1:9">
      <c r="A2194" s="16" t="s">
        <v>8830</v>
      </c>
      <c r="B2194" s="1" t="s">
        <v>2628</v>
      </c>
      <c r="C2194" s="1">
        <v>155</v>
      </c>
      <c r="D2194" s="1" t="s">
        <v>119</v>
      </c>
      <c r="E2194" s="1" t="s">
        <v>6</v>
      </c>
      <c r="F2194" s="1" t="s">
        <v>5091</v>
      </c>
      <c r="G2194" s="14" t="s">
        <v>6236</v>
      </c>
      <c r="H2194" s="1" t="s">
        <v>43</v>
      </c>
      <c r="I2194" s="17">
        <v>41640</v>
      </c>
    </row>
    <row r="2195" spans="1:9">
      <c r="A2195" s="16" t="s">
        <v>8837</v>
      </c>
      <c r="B2195" s="1" t="s">
        <v>2628</v>
      </c>
      <c r="C2195" s="1">
        <v>155</v>
      </c>
      <c r="D2195" s="1" t="s">
        <v>119</v>
      </c>
      <c r="E2195" s="1" t="s">
        <v>6</v>
      </c>
      <c r="F2195" s="1" t="s">
        <v>5091</v>
      </c>
      <c r="G2195" s="14" t="s">
        <v>8838</v>
      </c>
      <c r="H2195" s="1" t="s">
        <v>43</v>
      </c>
      <c r="I2195" s="17">
        <v>41640</v>
      </c>
    </row>
    <row r="2196" spans="1:9">
      <c r="A2196" s="16" t="s">
        <v>8839</v>
      </c>
      <c r="B2196" s="1" t="s">
        <v>2628</v>
      </c>
      <c r="C2196" s="1">
        <v>155</v>
      </c>
      <c r="D2196" s="1" t="s">
        <v>119</v>
      </c>
      <c r="E2196" s="1" t="s">
        <v>6</v>
      </c>
      <c r="F2196" s="1" t="s">
        <v>5091</v>
      </c>
      <c r="G2196" s="14" t="s">
        <v>8838</v>
      </c>
      <c r="H2196" s="1" t="s">
        <v>43</v>
      </c>
      <c r="I2196" s="17">
        <v>41640</v>
      </c>
    </row>
    <row r="2197" spans="1:9">
      <c r="A2197" s="16" t="s">
        <v>8841</v>
      </c>
      <c r="B2197" s="1" t="s">
        <v>2628</v>
      </c>
      <c r="C2197" s="1">
        <v>155</v>
      </c>
      <c r="D2197" s="1" t="s">
        <v>119</v>
      </c>
      <c r="E2197" s="1" t="s">
        <v>6</v>
      </c>
      <c r="F2197" s="1" t="s">
        <v>5091</v>
      </c>
      <c r="G2197" s="14" t="s">
        <v>8842</v>
      </c>
      <c r="H2197" s="1" t="s">
        <v>5</v>
      </c>
      <c r="I2197" s="17">
        <v>41640</v>
      </c>
    </row>
    <row r="2198" spans="1:9">
      <c r="A2198" s="16" t="s">
        <v>8870</v>
      </c>
      <c r="B2198" s="1" t="s">
        <v>2628</v>
      </c>
      <c r="C2198" s="1">
        <v>155</v>
      </c>
      <c r="D2198" s="1" t="s">
        <v>119</v>
      </c>
      <c r="E2198" s="1" t="s">
        <v>6</v>
      </c>
      <c r="F2198" s="1" t="s">
        <v>118</v>
      </c>
      <c r="G2198" s="14" t="s">
        <v>4458</v>
      </c>
      <c r="H2198" s="1" t="s">
        <v>118</v>
      </c>
      <c r="I2198" s="1" t="s">
        <v>4458</v>
      </c>
    </row>
    <row r="2199" spans="1:9">
      <c r="A2199" s="16" t="s">
        <v>8903</v>
      </c>
      <c r="B2199" s="1" t="s">
        <v>2628</v>
      </c>
      <c r="C2199" s="1">
        <v>155</v>
      </c>
      <c r="D2199" s="1" t="s">
        <v>119</v>
      </c>
      <c r="E2199" s="1" t="s">
        <v>6</v>
      </c>
      <c r="F2199" s="1" t="s">
        <v>5091</v>
      </c>
      <c r="G2199" s="14" t="s">
        <v>8904</v>
      </c>
      <c r="H2199" s="1" t="s">
        <v>5</v>
      </c>
      <c r="I2199" s="1" t="s">
        <v>4458</v>
      </c>
    </row>
    <row r="2200" spans="1:9">
      <c r="A2200" s="16" t="s">
        <v>8927</v>
      </c>
      <c r="B2200" s="1" t="s">
        <v>2628</v>
      </c>
      <c r="C2200" s="1">
        <v>155</v>
      </c>
      <c r="D2200" s="1" t="s">
        <v>119</v>
      </c>
      <c r="E2200" s="1" t="s">
        <v>6</v>
      </c>
      <c r="F2200" s="1" t="s">
        <v>5091</v>
      </c>
      <c r="G2200" s="14" t="s">
        <v>8928</v>
      </c>
      <c r="H2200" s="1" t="s">
        <v>5</v>
      </c>
      <c r="I2200" s="17">
        <v>42005</v>
      </c>
    </row>
    <row r="2201" spans="1:9">
      <c r="A2201" s="16" t="s">
        <v>8936</v>
      </c>
      <c r="B2201" s="1" t="s">
        <v>2628</v>
      </c>
      <c r="C2201" s="1">
        <v>372</v>
      </c>
      <c r="D2201" s="1" t="s">
        <v>119</v>
      </c>
      <c r="E2201" s="1" t="s">
        <v>6</v>
      </c>
      <c r="F2201" s="1" t="s">
        <v>5091</v>
      </c>
      <c r="G2201" s="14" t="s">
        <v>6145</v>
      </c>
      <c r="H2201" s="1" t="s">
        <v>43</v>
      </c>
      <c r="I2201" s="17">
        <v>41914</v>
      </c>
    </row>
    <row r="2202" spans="1:9">
      <c r="A2202" s="16" t="s">
        <v>8941</v>
      </c>
      <c r="B2202" s="1" t="s">
        <v>2628</v>
      </c>
      <c r="C2202" s="1">
        <v>372</v>
      </c>
      <c r="D2202" s="1" t="s">
        <v>119</v>
      </c>
      <c r="E2202" s="1" t="s">
        <v>6</v>
      </c>
      <c r="F2202" s="1" t="s">
        <v>5091</v>
      </c>
      <c r="G2202" s="14" t="s">
        <v>8942</v>
      </c>
      <c r="H2202" s="1" t="s">
        <v>5</v>
      </c>
      <c r="I2202" s="17">
        <v>41914</v>
      </c>
    </row>
    <row r="2203" spans="1:9">
      <c r="A2203" s="16" t="s">
        <v>8945</v>
      </c>
      <c r="B2203" s="1" t="s">
        <v>2628</v>
      </c>
      <c r="C2203" s="1">
        <v>372</v>
      </c>
      <c r="D2203" s="1" t="s">
        <v>119</v>
      </c>
      <c r="E2203" s="1" t="s">
        <v>6</v>
      </c>
      <c r="F2203" s="1" t="s">
        <v>5091</v>
      </c>
      <c r="G2203" s="14" t="s">
        <v>8946</v>
      </c>
      <c r="H2203" s="1" t="s">
        <v>5</v>
      </c>
      <c r="I2203" s="17">
        <v>41914</v>
      </c>
    </row>
    <row r="2204" spans="1:9">
      <c r="A2204" s="16" t="s">
        <v>8947</v>
      </c>
      <c r="B2204" s="1" t="s">
        <v>2628</v>
      </c>
      <c r="C2204" s="1">
        <v>372</v>
      </c>
      <c r="D2204" s="1" t="s">
        <v>119</v>
      </c>
      <c r="E2204" s="1" t="s">
        <v>6</v>
      </c>
      <c r="F2204" s="1" t="s">
        <v>5091</v>
      </c>
      <c r="G2204" s="14" t="s">
        <v>8948</v>
      </c>
      <c r="H2204" s="1" t="s">
        <v>5</v>
      </c>
      <c r="I2204" s="17">
        <v>41914</v>
      </c>
    </row>
    <row r="2205" spans="1:9">
      <c r="A2205" s="16" t="s">
        <v>8949</v>
      </c>
      <c r="B2205" s="1" t="s">
        <v>2628</v>
      </c>
      <c r="C2205" s="1">
        <v>155</v>
      </c>
      <c r="D2205" s="1" t="s">
        <v>119</v>
      </c>
      <c r="E2205" s="1" t="s">
        <v>6</v>
      </c>
      <c r="F2205" s="1" t="s">
        <v>5091</v>
      </c>
      <c r="G2205" s="14" t="s">
        <v>8125</v>
      </c>
      <c r="H2205" s="1" t="s">
        <v>43</v>
      </c>
      <c r="I2205" s="17">
        <v>42005</v>
      </c>
    </row>
    <row r="2206" spans="1:9">
      <c r="A2206" s="16" t="s">
        <v>8950</v>
      </c>
      <c r="B2206" s="1" t="s">
        <v>2628</v>
      </c>
      <c r="C2206" s="1">
        <v>155</v>
      </c>
      <c r="D2206" s="1" t="s">
        <v>119</v>
      </c>
      <c r="E2206" s="1" t="s">
        <v>6</v>
      </c>
      <c r="F2206" s="1" t="s">
        <v>5091</v>
      </c>
      <c r="G2206" s="14" t="s">
        <v>8125</v>
      </c>
      <c r="H2206" s="1" t="s">
        <v>43</v>
      </c>
      <c r="I2206" s="17">
        <v>42005</v>
      </c>
    </row>
    <row r="2207" spans="1:9">
      <c r="A2207" s="16" t="s">
        <v>8951</v>
      </c>
      <c r="B2207" s="1" t="s">
        <v>2628</v>
      </c>
      <c r="C2207" s="1">
        <v>155</v>
      </c>
      <c r="D2207" s="1" t="s">
        <v>119</v>
      </c>
      <c r="E2207" s="1" t="s">
        <v>6</v>
      </c>
      <c r="F2207" s="1" t="s">
        <v>5091</v>
      </c>
      <c r="G2207" s="14" t="s">
        <v>8952</v>
      </c>
      <c r="H2207" s="1" t="s">
        <v>5</v>
      </c>
      <c r="I2207" s="17">
        <v>42005</v>
      </c>
    </row>
    <row r="2208" spans="1:9">
      <c r="A2208" s="16" t="s">
        <v>8953</v>
      </c>
      <c r="B2208" s="1" t="s">
        <v>2628</v>
      </c>
      <c r="C2208" s="1">
        <v>155</v>
      </c>
      <c r="D2208" s="1" t="s">
        <v>119</v>
      </c>
      <c r="E2208" s="1" t="s">
        <v>6</v>
      </c>
      <c r="F2208" s="1" t="s">
        <v>5091</v>
      </c>
      <c r="G2208" s="14" t="s">
        <v>8954</v>
      </c>
      <c r="H2208" s="1" t="s">
        <v>5</v>
      </c>
      <c r="I2208" s="17">
        <v>42005</v>
      </c>
    </row>
    <row r="2209" spans="1:9">
      <c r="A2209" s="16" t="s">
        <v>8955</v>
      </c>
      <c r="B2209" s="1" t="s">
        <v>2628</v>
      </c>
      <c r="C2209" s="1">
        <v>155</v>
      </c>
      <c r="D2209" s="1" t="s">
        <v>119</v>
      </c>
      <c r="E2209" s="1" t="s">
        <v>6</v>
      </c>
      <c r="F2209" s="1" t="s">
        <v>5091</v>
      </c>
      <c r="G2209" s="14" t="s">
        <v>8954</v>
      </c>
      <c r="H2209" s="1" t="s">
        <v>5</v>
      </c>
      <c r="I2209" s="17">
        <v>42005</v>
      </c>
    </row>
    <row r="2210" spans="1:9">
      <c r="A2210" s="16" t="s">
        <v>8956</v>
      </c>
      <c r="B2210" s="1" t="s">
        <v>2628</v>
      </c>
      <c r="C2210" s="1">
        <v>155</v>
      </c>
      <c r="D2210" s="1" t="s">
        <v>119</v>
      </c>
      <c r="E2210" s="1" t="s">
        <v>6</v>
      </c>
      <c r="F2210" s="1" t="s">
        <v>5091</v>
      </c>
      <c r="G2210" s="14" t="s">
        <v>8954</v>
      </c>
      <c r="H2210" s="1" t="s">
        <v>5</v>
      </c>
      <c r="I2210" s="17">
        <v>42005</v>
      </c>
    </row>
    <row r="2211" spans="1:9">
      <c r="A2211" s="16" t="s">
        <v>8957</v>
      </c>
      <c r="B2211" s="1" t="s">
        <v>2628</v>
      </c>
      <c r="C2211" s="1">
        <v>155</v>
      </c>
      <c r="D2211" s="1" t="s">
        <v>119</v>
      </c>
      <c r="E2211" s="1" t="s">
        <v>6</v>
      </c>
      <c r="F2211" s="1" t="s">
        <v>5091</v>
      </c>
      <c r="G2211" s="14" t="s">
        <v>8954</v>
      </c>
      <c r="H2211" s="1" t="s">
        <v>5</v>
      </c>
      <c r="I2211" s="17">
        <v>42005</v>
      </c>
    </row>
    <row r="2212" spans="1:9">
      <c r="A2212" s="16" t="s">
        <v>8969</v>
      </c>
      <c r="B2212" s="1" t="s">
        <v>2628</v>
      </c>
      <c r="C2212" s="1">
        <v>155</v>
      </c>
      <c r="D2212" s="1" t="s">
        <v>119</v>
      </c>
      <c r="E2212" s="1" t="s">
        <v>6</v>
      </c>
      <c r="F2212" s="1" t="s">
        <v>5091</v>
      </c>
      <c r="G2212" s="14" t="s">
        <v>8125</v>
      </c>
      <c r="H2212" s="1" t="s">
        <v>43</v>
      </c>
      <c r="I2212" s="17">
        <v>42005</v>
      </c>
    </row>
    <row r="2213" spans="1:9">
      <c r="A2213" s="16" t="s">
        <v>8975</v>
      </c>
      <c r="B2213" s="1" t="s">
        <v>2628</v>
      </c>
      <c r="C2213" s="1">
        <v>155</v>
      </c>
      <c r="D2213" s="1" t="s">
        <v>119</v>
      </c>
      <c r="E2213" s="1" t="s">
        <v>6</v>
      </c>
      <c r="F2213" s="1" t="s">
        <v>5091</v>
      </c>
      <c r="G2213" s="14" t="s">
        <v>8125</v>
      </c>
      <c r="H2213" s="1" t="s">
        <v>43</v>
      </c>
      <c r="I2213" s="17">
        <v>42005</v>
      </c>
    </row>
    <row r="2214" spans="1:9">
      <c r="A2214" s="16" t="s">
        <v>8980</v>
      </c>
      <c r="B2214" s="1" t="s">
        <v>2628</v>
      </c>
      <c r="C2214" s="1">
        <v>155</v>
      </c>
      <c r="D2214" s="1" t="s">
        <v>119</v>
      </c>
      <c r="E2214" s="1" t="s">
        <v>6</v>
      </c>
      <c r="F2214" s="1" t="s">
        <v>5091</v>
      </c>
      <c r="G2214" s="14" t="s">
        <v>8125</v>
      </c>
      <c r="H2214" s="1" t="s">
        <v>43</v>
      </c>
      <c r="I2214" s="17">
        <v>42005</v>
      </c>
    </row>
    <row r="2215" spans="1:9">
      <c r="A2215" s="16" t="s">
        <v>8983</v>
      </c>
      <c r="B2215" s="1" t="s">
        <v>2628</v>
      </c>
      <c r="C2215" s="1">
        <v>155</v>
      </c>
      <c r="D2215" s="1" t="s">
        <v>119</v>
      </c>
      <c r="E2215" s="1" t="s">
        <v>6</v>
      </c>
      <c r="F2215" s="1" t="s">
        <v>5091</v>
      </c>
      <c r="G2215" s="14" t="s">
        <v>8125</v>
      </c>
      <c r="H2215" s="1" t="s">
        <v>43</v>
      </c>
      <c r="I2215" s="17">
        <v>42005</v>
      </c>
    </row>
    <row r="2216" spans="1:9">
      <c r="A2216" s="16" t="s">
        <v>8984</v>
      </c>
      <c r="B2216" s="1" t="s">
        <v>2628</v>
      </c>
      <c r="C2216" s="1">
        <v>155</v>
      </c>
      <c r="D2216" s="1" t="s">
        <v>119</v>
      </c>
      <c r="E2216" s="1" t="s">
        <v>6</v>
      </c>
      <c r="F2216" s="1" t="s">
        <v>5091</v>
      </c>
      <c r="G2216" s="14" t="s">
        <v>8125</v>
      </c>
      <c r="H2216" s="1" t="s">
        <v>43</v>
      </c>
      <c r="I2216" s="17">
        <v>42005</v>
      </c>
    </row>
    <row r="2217" spans="1:9">
      <c r="A2217" s="16" t="s">
        <v>8990</v>
      </c>
      <c r="B2217" s="1" t="s">
        <v>2628</v>
      </c>
      <c r="C2217" s="1">
        <v>155</v>
      </c>
      <c r="D2217" s="1" t="s">
        <v>119</v>
      </c>
      <c r="E2217" s="1" t="s">
        <v>6</v>
      </c>
      <c r="F2217" s="1" t="s">
        <v>2691</v>
      </c>
      <c r="G2217" s="14" t="s">
        <v>8991</v>
      </c>
      <c r="H2217" s="1" t="s">
        <v>5</v>
      </c>
      <c r="I2217" s="17">
        <v>41438</v>
      </c>
    </row>
    <row r="2218" spans="1:9">
      <c r="A2218" s="16" t="s">
        <v>9041</v>
      </c>
      <c r="B2218" s="1" t="s">
        <v>2628</v>
      </c>
      <c r="C2218" s="1">
        <v>155</v>
      </c>
      <c r="D2218" s="1" t="s">
        <v>119</v>
      </c>
      <c r="E2218" s="1" t="s">
        <v>6</v>
      </c>
      <c r="F2218" s="1" t="s">
        <v>5091</v>
      </c>
      <c r="G2218" s="14" t="s">
        <v>6145</v>
      </c>
      <c r="H2218" s="1" t="s">
        <v>43</v>
      </c>
      <c r="I2218" s="17">
        <v>42115</v>
      </c>
    </row>
    <row r="2219" spans="1:9">
      <c r="A2219" s="16" t="s">
        <v>9074</v>
      </c>
      <c r="B2219" s="1" t="s">
        <v>2628</v>
      </c>
      <c r="C2219" s="1">
        <v>155</v>
      </c>
      <c r="D2219" s="1" t="s">
        <v>119</v>
      </c>
      <c r="E2219" s="1" t="s">
        <v>6</v>
      </c>
      <c r="F2219" s="1" t="s">
        <v>5091</v>
      </c>
      <c r="G2219" s="14" t="s">
        <v>9075</v>
      </c>
      <c r="H2219" s="1" t="s">
        <v>43</v>
      </c>
      <c r="I2219" s="17">
        <v>42125</v>
      </c>
    </row>
    <row r="2220" spans="1:9" ht="31.2">
      <c r="A2220" s="16" t="s">
        <v>9155</v>
      </c>
      <c r="B2220" s="1" t="s">
        <v>2628</v>
      </c>
      <c r="C2220" s="1">
        <v>155</v>
      </c>
      <c r="D2220" s="1" t="s">
        <v>119</v>
      </c>
      <c r="E2220" s="1" t="s">
        <v>6</v>
      </c>
      <c r="F2220" s="1" t="s">
        <v>5091</v>
      </c>
      <c r="G2220" s="14" t="s">
        <v>6145</v>
      </c>
      <c r="H2220" s="1" t="s">
        <v>43</v>
      </c>
      <c r="I2220" s="17">
        <v>41792</v>
      </c>
    </row>
    <row r="2221" spans="1:9">
      <c r="A2221" s="16" t="s">
        <v>9157</v>
      </c>
      <c r="B2221" s="1" t="s">
        <v>2628</v>
      </c>
      <c r="C2221" s="1">
        <v>155</v>
      </c>
      <c r="D2221" s="1" t="s">
        <v>119</v>
      </c>
      <c r="E2221" s="1" t="s">
        <v>6</v>
      </c>
      <c r="F2221" s="1" t="s">
        <v>5091</v>
      </c>
      <c r="G2221" s="14" t="s">
        <v>6145</v>
      </c>
      <c r="H2221" s="1" t="s">
        <v>43</v>
      </c>
      <c r="I2221" s="17">
        <v>41792</v>
      </c>
    </row>
    <row r="2222" spans="1:9">
      <c r="A2222" s="16" t="s">
        <v>9163</v>
      </c>
      <c r="B2222" s="1" t="s">
        <v>2628</v>
      </c>
      <c r="C2222" s="1">
        <v>372</v>
      </c>
      <c r="D2222" s="1" t="s">
        <v>119</v>
      </c>
      <c r="E2222" s="1" t="s">
        <v>6</v>
      </c>
      <c r="F2222" s="1" t="s">
        <v>36</v>
      </c>
      <c r="G2222" s="14" t="s">
        <v>9164</v>
      </c>
      <c r="H2222" s="1" t="s">
        <v>5</v>
      </c>
      <c r="I2222" s="17">
        <v>40751</v>
      </c>
    </row>
    <row r="2223" spans="1:9" ht="31.2">
      <c r="A2223" s="16" t="s">
        <v>9188</v>
      </c>
      <c r="B2223" s="1" t="s">
        <v>2628</v>
      </c>
      <c r="C2223" s="1">
        <v>155</v>
      </c>
      <c r="D2223" s="1" t="s">
        <v>119</v>
      </c>
      <c r="E2223" s="1" t="s">
        <v>6</v>
      </c>
      <c r="F2223" s="1" t="s">
        <v>5091</v>
      </c>
      <c r="G2223" s="14" t="s">
        <v>6145</v>
      </c>
      <c r="H2223" s="1" t="s">
        <v>43</v>
      </c>
      <c r="I2223" s="17">
        <v>40766</v>
      </c>
    </row>
    <row r="2224" spans="1:9">
      <c r="A2224" s="16" t="s">
        <v>9190</v>
      </c>
      <c r="B2224" s="1" t="s">
        <v>2628</v>
      </c>
      <c r="C2224" s="1">
        <v>155</v>
      </c>
      <c r="D2224" s="1" t="s">
        <v>119</v>
      </c>
      <c r="E2224" s="1" t="s">
        <v>6</v>
      </c>
      <c r="F2224" s="1" t="s">
        <v>5091</v>
      </c>
      <c r="G2224" s="14" t="s">
        <v>9191</v>
      </c>
      <c r="H2224" s="1" t="s">
        <v>5</v>
      </c>
      <c r="I2224" s="17">
        <v>42177</v>
      </c>
    </row>
    <row r="2225" spans="1:9">
      <c r="A2225" s="16" t="s">
        <v>9218</v>
      </c>
      <c r="B2225" s="1" t="s">
        <v>2628</v>
      </c>
      <c r="C2225" s="1">
        <v>155</v>
      </c>
      <c r="D2225" s="1" t="s">
        <v>119</v>
      </c>
      <c r="E2225" s="1" t="s">
        <v>6</v>
      </c>
      <c r="F2225" s="1" t="s">
        <v>5091</v>
      </c>
      <c r="G2225" s="14" t="s">
        <v>9219</v>
      </c>
      <c r="H2225" s="1" t="s">
        <v>315</v>
      </c>
      <c r="I2225" s="17">
        <v>42165</v>
      </c>
    </row>
    <row r="2226" spans="1:9">
      <c r="A2226" s="16" t="s">
        <v>9220</v>
      </c>
      <c r="B2226" s="1" t="s">
        <v>2628</v>
      </c>
      <c r="C2226" s="1">
        <v>155</v>
      </c>
      <c r="D2226" s="1" t="s">
        <v>119</v>
      </c>
      <c r="E2226" s="1" t="s">
        <v>6</v>
      </c>
      <c r="F2226" s="1" t="s">
        <v>5091</v>
      </c>
      <c r="G2226" s="14" t="s">
        <v>9219</v>
      </c>
      <c r="H2226" s="1" t="s">
        <v>315</v>
      </c>
      <c r="I2226" s="17">
        <v>42165</v>
      </c>
    </row>
    <row r="2227" spans="1:9">
      <c r="A2227" s="16" t="s">
        <v>9240</v>
      </c>
      <c r="B2227" s="1" t="s">
        <v>2628</v>
      </c>
      <c r="C2227" s="1">
        <v>155</v>
      </c>
      <c r="D2227" s="1" t="s">
        <v>119</v>
      </c>
      <c r="E2227" s="1" t="s">
        <v>6</v>
      </c>
      <c r="F2227" s="1" t="s">
        <v>5091</v>
      </c>
      <c r="G2227" s="14" t="s">
        <v>6307</v>
      </c>
      <c r="H2227" s="1" t="s">
        <v>44</v>
      </c>
      <c r="I2227" s="17">
        <v>42171</v>
      </c>
    </row>
    <row r="2228" spans="1:9">
      <c r="A2228" s="16" t="s">
        <v>9243</v>
      </c>
      <c r="B2228" s="1" t="s">
        <v>2628</v>
      </c>
      <c r="C2228" s="1">
        <v>155</v>
      </c>
      <c r="D2228" s="1" t="s">
        <v>119</v>
      </c>
      <c r="E2228" s="1" t="s">
        <v>6</v>
      </c>
      <c r="F2228" s="1" t="s">
        <v>5091</v>
      </c>
      <c r="G2228" s="14" t="s">
        <v>9244</v>
      </c>
      <c r="H2228" s="1" t="s">
        <v>5</v>
      </c>
      <c r="I2228" s="17">
        <v>40849</v>
      </c>
    </row>
    <row r="2229" spans="1:9">
      <c r="A2229" s="16" t="s">
        <v>9246</v>
      </c>
      <c r="B2229" s="1" t="s">
        <v>2628</v>
      </c>
      <c r="C2229" s="1">
        <v>155</v>
      </c>
      <c r="D2229" s="1" t="s">
        <v>119</v>
      </c>
      <c r="E2229" s="1" t="s">
        <v>6</v>
      </c>
      <c r="F2229" s="1" t="s">
        <v>5091</v>
      </c>
      <c r="G2229" s="14" t="s">
        <v>9244</v>
      </c>
      <c r="H2229" s="1" t="s">
        <v>5</v>
      </c>
      <c r="I2229" s="17">
        <v>40849</v>
      </c>
    </row>
    <row r="2230" spans="1:9">
      <c r="A2230" s="16" t="s">
        <v>9247</v>
      </c>
      <c r="B2230" s="1" t="s">
        <v>2628</v>
      </c>
      <c r="C2230" s="1">
        <v>155</v>
      </c>
      <c r="D2230" s="1" t="s">
        <v>119</v>
      </c>
      <c r="E2230" s="1" t="s">
        <v>6</v>
      </c>
      <c r="F2230" s="1" t="s">
        <v>5091</v>
      </c>
      <c r="G2230" s="14" t="s">
        <v>9244</v>
      </c>
      <c r="H2230" s="1" t="s">
        <v>5</v>
      </c>
      <c r="I2230" s="17">
        <v>41279</v>
      </c>
    </row>
    <row r="2231" spans="1:9">
      <c r="A2231" s="16" t="s">
        <v>9248</v>
      </c>
      <c r="B2231" s="1" t="s">
        <v>2628</v>
      </c>
      <c r="C2231" s="1">
        <v>155</v>
      </c>
      <c r="D2231" s="1" t="s">
        <v>119</v>
      </c>
      <c r="E2231" s="1" t="s">
        <v>6</v>
      </c>
      <c r="F2231" s="1" t="s">
        <v>5091</v>
      </c>
      <c r="G2231" s="14" t="s">
        <v>9249</v>
      </c>
      <c r="H2231" s="1" t="s">
        <v>5</v>
      </c>
      <c r="I2231" s="17">
        <v>40691</v>
      </c>
    </row>
    <row r="2232" spans="1:9">
      <c r="A2232" s="16" t="s">
        <v>9252</v>
      </c>
      <c r="B2232" s="1" t="s">
        <v>2628</v>
      </c>
      <c r="C2232" s="1">
        <v>155</v>
      </c>
      <c r="D2232" s="1" t="s">
        <v>119</v>
      </c>
      <c r="E2232" s="1" t="s">
        <v>6</v>
      </c>
      <c r="F2232" s="1" t="s">
        <v>5091</v>
      </c>
      <c r="G2232" s="14" t="s">
        <v>6307</v>
      </c>
      <c r="H2232" s="1" t="s">
        <v>44</v>
      </c>
      <c r="I2232" s="17">
        <v>42155</v>
      </c>
    </row>
    <row r="2233" spans="1:9">
      <c r="A2233" s="16" t="s">
        <v>9257</v>
      </c>
      <c r="B2233" s="1" t="s">
        <v>2628</v>
      </c>
      <c r="C2233" s="1">
        <v>155</v>
      </c>
      <c r="D2233" s="1" t="s">
        <v>119</v>
      </c>
      <c r="E2233" s="1" t="s">
        <v>6</v>
      </c>
      <c r="F2233" s="1" t="s">
        <v>5091</v>
      </c>
      <c r="G2233" s="14" t="s">
        <v>6477</v>
      </c>
      <c r="H2233" s="1" t="s">
        <v>5</v>
      </c>
      <c r="I2233" s="17">
        <v>41237</v>
      </c>
    </row>
    <row r="2234" spans="1:9">
      <c r="A2234" s="16" t="s">
        <v>9258</v>
      </c>
      <c r="B2234" s="1" t="s">
        <v>2628</v>
      </c>
      <c r="C2234" s="1">
        <v>155</v>
      </c>
      <c r="D2234" s="1" t="s">
        <v>119</v>
      </c>
      <c r="E2234" s="1" t="s">
        <v>6</v>
      </c>
      <c r="F2234" s="1" t="s">
        <v>5091</v>
      </c>
      <c r="G2234" s="14" t="s">
        <v>9244</v>
      </c>
      <c r="H2234" s="1" t="s">
        <v>5</v>
      </c>
      <c r="I2234" s="17">
        <v>41033</v>
      </c>
    </row>
    <row r="2235" spans="1:9">
      <c r="A2235" s="16" t="s">
        <v>9261</v>
      </c>
      <c r="B2235" s="1" t="s">
        <v>2628</v>
      </c>
      <c r="C2235" s="1">
        <v>155</v>
      </c>
      <c r="D2235" s="1" t="s">
        <v>119</v>
      </c>
      <c r="E2235" s="1" t="s">
        <v>6</v>
      </c>
      <c r="F2235" s="1" t="s">
        <v>5091</v>
      </c>
      <c r="G2235" s="14" t="s">
        <v>9249</v>
      </c>
      <c r="H2235" s="1" t="s">
        <v>5</v>
      </c>
      <c r="I2235" s="17">
        <v>40759</v>
      </c>
    </row>
    <row r="2236" spans="1:9">
      <c r="A2236" s="16" t="s">
        <v>9262</v>
      </c>
      <c r="B2236" s="1" t="s">
        <v>2628</v>
      </c>
      <c r="C2236" s="1">
        <v>155</v>
      </c>
      <c r="D2236" s="1" t="s">
        <v>119</v>
      </c>
      <c r="E2236" s="1" t="s">
        <v>6</v>
      </c>
      <c r="F2236" s="1" t="s">
        <v>5091</v>
      </c>
      <c r="G2236" s="14" t="s">
        <v>9244</v>
      </c>
      <c r="H2236" s="1" t="s">
        <v>5</v>
      </c>
      <c r="I2236" s="17">
        <v>41237</v>
      </c>
    </row>
    <row r="2237" spans="1:9">
      <c r="A2237" s="16" t="s">
        <v>9267</v>
      </c>
      <c r="B2237" s="1" t="s">
        <v>2628</v>
      </c>
      <c r="C2237" s="1">
        <v>155</v>
      </c>
      <c r="D2237" s="1" t="s">
        <v>119</v>
      </c>
      <c r="E2237" s="1" t="s">
        <v>6</v>
      </c>
      <c r="F2237" s="1" t="s">
        <v>5091</v>
      </c>
      <c r="G2237" s="14" t="s">
        <v>6477</v>
      </c>
      <c r="H2237" s="1" t="s">
        <v>5</v>
      </c>
      <c r="I2237" s="17">
        <v>41237</v>
      </c>
    </row>
    <row r="2238" spans="1:9">
      <c r="A2238" s="16" t="s">
        <v>9268</v>
      </c>
      <c r="B2238" s="1" t="s">
        <v>2628</v>
      </c>
      <c r="C2238" s="1">
        <v>155</v>
      </c>
      <c r="D2238" s="1" t="s">
        <v>119</v>
      </c>
      <c r="E2238" s="1" t="s">
        <v>6</v>
      </c>
      <c r="F2238" s="1" t="s">
        <v>5091</v>
      </c>
      <c r="G2238" s="14" t="s">
        <v>6477</v>
      </c>
      <c r="H2238" s="1" t="s">
        <v>5</v>
      </c>
      <c r="I2238" s="17">
        <v>41279</v>
      </c>
    </row>
    <row r="2239" spans="1:9">
      <c r="A2239" s="16" t="s">
        <v>9269</v>
      </c>
      <c r="B2239" s="1" t="s">
        <v>2628</v>
      </c>
      <c r="C2239" s="1">
        <v>155</v>
      </c>
      <c r="D2239" s="1" t="s">
        <v>119</v>
      </c>
      <c r="E2239" s="1" t="s">
        <v>6</v>
      </c>
      <c r="F2239" s="1" t="s">
        <v>5091</v>
      </c>
      <c r="G2239" s="14" t="s">
        <v>9249</v>
      </c>
      <c r="H2239" s="1" t="s">
        <v>5</v>
      </c>
      <c r="I2239" s="17">
        <v>40849</v>
      </c>
    </row>
    <row r="2240" spans="1:9">
      <c r="A2240" s="16" t="s">
        <v>9270</v>
      </c>
      <c r="B2240" s="1" t="s">
        <v>2628</v>
      </c>
      <c r="C2240" s="1">
        <v>155</v>
      </c>
      <c r="D2240" s="1" t="s">
        <v>119</v>
      </c>
      <c r="E2240" s="1" t="s">
        <v>6</v>
      </c>
      <c r="F2240" s="1" t="s">
        <v>5091</v>
      </c>
      <c r="G2240" s="14" t="s">
        <v>9249</v>
      </c>
      <c r="H2240" s="1" t="s">
        <v>5</v>
      </c>
      <c r="I2240" s="17">
        <v>40691</v>
      </c>
    </row>
    <row r="2241" spans="1:9">
      <c r="A2241" s="16" t="s">
        <v>9272</v>
      </c>
      <c r="B2241" s="1" t="s">
        <v>2628</v>
      </c>
      <c r="C2241" s="1">
        <v>155</v>
      </c>
      <c r="D2241" s="1" t="s">
        <v>119</v>
      </c>
      <c r="E2241" s="1" t="s">
        <v>6</v>
      </c>
      <c r="F2241" s="1" t="s">
        <v>5091</v>
      </c>
      <c r="G2241" s="14" t="s">
        <v>9249</v>
      </c>
      <c r="H2241" s="1" t="s">
        <v>5</v>
      </c>
      <c r="I2241" s="17">
        <v>40849</v>
      </c>
    </row>
    <row r="2242" spans="1:9">
      <c r="A2242" s="16" t="s">
        <v>9273</v>
      </c>
      <c r="B2242" s="1" t="s">
        <v>2628</v>
      </c>
      <c r="C2242" s="1">
        <v>155</v>
      </c>
      <c r="D2242" s="1" t="s">
        <v>119</v>
      </c>
      <c r="E2242" s="1" t="s">
        <v>6</v>
      </c>
      <c r="F2242" s="1" t="s">
        <v>5091</v>
      </c>
      <c r="G2242" s="14" t="s">
        <v>9244</v>
      </c>
      <c r="H2242" s="1" t="s">
        <v>5</v>
      </c>
      <c r="I2242" s="17">
        <v>41279</v>
      </c>
    </row>
    <row r="2243" spans="1:9">
      <c r="A2243" s="16" t="s">
        <v>9276</v>
      </c>
      <c r="B2243" s="1" t="s">
        <v>2628</v>
      </c>
      <c r="C2243" s="1">
        <v>155</v>
      </c>
      <c r="D2243" s="1" t="s">
        <v>119</v>
      </c>
      <c r="E2243" s="1" t="s">
        <v>6</v>
      </c>
      <c r="F2243" s="1" t="s">
        <v>5091</v>
      </c>
      <c r="G2243" s="14" t="s">
        <v>9249</v>
      </c>
      <c r="H2243" s="1" t="s">
        <v>5</v>
      </c>
      <c r="I2243" s="17">
        <v>40759</v>
      </c>
    </row>
    <row r="2244" spans="1:9">
      <c r="A2244" s="16" t="s">
        <v>9277</v>
      </c>
      <c r="B2244" s="1" t="s">
        <v>2628</v>
      </c>
      <c r="C2244" s="1">
        <v>155</v>
      </c>
      <c r="D2244" s="1" t="s">
        <v>119</v>
      </c>
      <c r="E2244" s="1" t="s">
        <v>6</v>
      </c>
      <c r="F2244" s="1" t="s">
        <v>5091</v>
      </c>
      <c r="G2244" s="14" t="s">
        <v>9244</v>
      </c>
      <c r="H2244" s="1" t="s">
        <v>5</v>
      </c>
      <c r="I2244" s="17">
        <v>41279</v>
      </c>
    </row>
    <row r="2245" spans="1:9">
      <c r="A2245" s="16" t="s">
        <v>9278</v>
      </c>
      <c r="B2245" s="1" t="s">
        <v>2628</v>
      </c>
      <c r="C2245" s="1">
        <v>155</v>
      </c>
      <c r="D2245" s="1" t="s">
        <v>119</v>
      </c>
      <c r="E2245" s="1" t="s">
        <v>6</v>
      </c>
      <c r="F2245" s="1" t="s">
        <v>5091</v>
      </c>
      <c r="G2245" s="14" t="s">
        <v>9244</v>
      </c>
      <c r="H2245" s="1" t="s">
        <v>5</v>
      </c>
      <c r="I2245" s="17">
        <v>41033</v>
      </c>
    </row>
    <row r="2246" spans="1:9">
      <c r="A2246" s="16" t="s">
        <v>9280</v>
      </c>
      <c r="B2246" s="1" t="s">
        <v>2628</v>
      </c>
      <c r="C2246" s="1">
        <v>155</v>
      </c>
      <c r="D2246" s="1" t="s">
        <v>119</v>
      </c>
      <c r="E2246" s="1" t="s">
        <v>6</v>
      </c>
      <c r="F2246" s="1" t="s">
        <v>5091</v>
      </c>
      <c r="G2246" s="14" t="s">
        <v>9244</v>
      </c>
      <c r="H2246" s="1" t="s">
        <v>5</v>
      </c>
      <c r="I2246" s="17">
        <v>41237</v>
      </c>
    </row>
    <row r="2247" spans="1:9">
      <c r="A2247" s="16" t="s">
        <v>9281</v>
      </c>
      <c r="B2247" s="1" t="s">
        <v>2628</v>
      </c>
      <c r="C2247" s="1">
        <v>155</v>
      </c>
      <c r="D2247" s="1" t="s">
        <v>119</v>
      </c>
      <c r="E2247" s="1" t="s">
        <v>6</v>
      </c>
      <c r="F2247" s="1" t="s">
        <v>5091</v>
      </c>
      <c r="G2247" s="14" t="s">
        <v>6477</v>
      </c>
      <c r="H2247" s="1" t="s">
        <v>5</v>
      </c>
      <c r="I2247" s="17">
        <v>41237</v>
      </c>
    </row>
    <row r="2248" spans="1:9">
      <c r="A2248" s="16" t="s">
        <v>9283</v>
      </c>
      <c r="B2248" s="1" t="s">
        <v>2628</v>
      </c>
      <c r="C2248" s="1">
        <v>155</v>
      </c>
      <c r="D2248" s="1" t="s">
        <v>119</v>
      </c>
      <c r="E2248" s="1" t="s">
        <v>6</v>
      </c>
      <c r="F2248" s="1" t="s">
        <v>5091</v>
      </c>
      <c r="G2248" s="14" t="s">
        <v>6477</v>
      </c>
      <c r="H2248" s="1" t="s">
        <v>5</v>
      </c>
      <c r="I2248" s="17">
        <v>41279</v>
      </c>
    </row>
    <row r="2249" spans="1:9">
      <c r="A2249" s="16" t="s">
        <v>9295</v>
      </c>
      <c r="B2249" s="1" t="s">
        <v>2628</v>
      </c>
      <c r="C2249" s="1">
        <v>155</v>
      </c>
      <c r="D2249" s="1" t="s">
        <v>119</v>
      </c>
      <c r="E2249" s="1" t="s">
        <v>6</v>
      </c>
      <c r="F2249" s="1" t="s">
        <v>5091</v>
      </c>
      <c r="G2249" s="14" t="s">
        <v>6238</v>
      </c>
      <c r="H2249" s="1" t="s">
        <v>43</v>
      </c>
      <c r="I2249" s="17">
        <v>42005</v>
      </c>
    </row>
    <row r="2250" spans="1:9">
      <c r="A2250" s="16" t="s">
        <v>9297</v>
      </c>
      <c r="B2250" s="1" t="s">
        <v>2628</v>
      </c>
      <c r="C2250" s="1">
        <v>155</v>
      </c>
      <c r="D2250" s="1" t="s">
        <v>119</v>
      </c>
      <c r="E2250" s="1" t="s">
        <v>6</v>
      </c>
      <c r="F2250" s="1" t="s">
        <v>5091</v>
      </c>
      <c r="G2250" s="14" t="s">
        <v>6238</v>
      </c>
      <c r="H2250" s="1" t="s">
        <v>43</v>
      </c>
      <c r="I2250" s="17">
        <v>42005</v>
      </c>
    </row>
    <row r="2251" spans="1:9">
      <c r="A2251" s="16" t="s">
        <v>9314</v>
      </c>
      <c r="B2251" s="1" t="s">
        <v>2628</v>
      </c>
      <c r="C2251" s="1">
        <v>155</v>
      </c>
      <c r="D2251" s="1" t="s">
        <v>119</v>
      </c>
      <c r="E2251" s="1" t="s">
        <v>6</v>
      </c>
      <c r="F2251" s="1" t="s">
        <v>5091</v>
      </c>
      <c r="G2251" s="14" t="s">
        <v>6145</v>
      </c>
      <c r="H2251" s="1" t="s">
        <v>43</v>
      </c>
      <c r="I2251" s="17">
        <v>39982</v>
      </c>
    </row>
    <row r="2252" spans="1:9">
      <c r="A2252" s="16" t="s">
        <v>9315</v>
      </c>
      <c r="B2252" s="1" t="s">
        <v>2628</v>
      </c>
      <c r="C2252" s="1">
        <v>155</v>
      </c>
      <c r="D2252" s="1" t="s">
        <v>119</v>
      </c>
      <c r="E2252" s="1" t="s">
        <v>6</v>
      </c>
      <c r="F2252" s="1" t="s">
        <v>5091</v>
      </c>
      <c r="G2252" s="14" t="s">
        <v>6145</v>
      </c>
      <c r="H2252" s="1" t="s">
        <v>43</v>
      </c>
      <c r="I2252" s="17">
        <v>40757</v>
      </c>
    </row>
    <row r="2253" spans="1:9">
      <c r="A2253" s="16" t="s">
        <v>9319</v>
      </c>
      <c r="B2253" s="1" t="s">
        <v>2628</v>
      </c>
      <c r="C2253" s="1">
        <v>155</v>
      </c>
      <c r="D2253" s="1" t="s">
        <v>119</v>
      </c>
      <c r="E2253" s="1" t="s">
        <v>6</v>
      </c>
      <c r="F2253" s="1" t="s">
        <v>5091</v>
      </c>
      <c r="G2253" s="14" t="s">
        <v>6145</v>
      </c>
      <c r="H2253" s="1" t="s">
        <v>43</v>
      </c>
      <c r="I2253" s="17">
        <v>42192</v>
      </c>
    </row>
    <row r="2254" spans="1:9">
      <c r="A2254" s="16" t="s">
        <v>9329</v>
      </c>
      <c r="B2254" s="1" t="s">
        <v>2628</v>
      </c>
      <c r="C2254" s="1">
        <v>155</v>
      </c>
      <c r="D2254" s="1" t="s">
        <v>119</v>
      </c>
      <c r="E2254" s="1" t="s">
        <v>6</v>
      </c>
      <c r="F2254" s="1" t="s">
        <v>5091</v>
      </c>
      <c r="G2254" s="14" t="s">
        <v>6145</v>
      </c>
      <c r="H2254" s="1" t="s">
        <v>43</v>
      </c>
      <c r="I2254" s="17">
        <v>42115</v>
      </c>
    </row>
    <row r="2255" spans="1:9">
      <c r="A2255" s="16" t="s">
        <v>9331</v>
      </c>
      <c r="B2255" s="1" t="s">
        <v>2628</v>
      </c>
      <c r="C2255" s="1">
        <v>155</v>
      </c>
      <c r="D2255" s="1" t="s">
        <v>119</v>
      </c>
      <c r="E2255" s="1" t="s">
        <v>6</v>
      </c>
      <c r="F2255" s="1" t="s">
        <v>5091</v>
      </c>
      <c r="G2255" s="14" t="s">
        <v>6145</v>
      </c>
      <c r="H2255" s="1" t="s">
        <v>43</v>
      </c>
      <c r="I2255" s="17">
        <v>42115</v>
      </c>
    </row>
    <row r="2256" spans="1:9">
      <c r="A2256" s="16" t="s">
        <v>9336</v>
      </c>
      <c r="B2256" s="1" t="s">
        <v>2628</v>
      </c>
      <c r="C2256" s="1">
        <v>155</v>
      </c>
      <c r="D2256" s="1" t="s">
        <v>119</v>
      </c>
      <c r="E2256" s="1" t="s">
        <v>6</v>
      </c>
      <c r="F2256" s="1" t="s">
        <v>5091</v>
      </c>
      <c r="G2256" s="14" t="s">
        <v>6145</v>
      </c>
      <c r="H2256" s="1" t="s">
        <v>43</v>
      </c>
      <c r="I2256" s="17">
        <v>42115</v>
      </c>
    </row>
    <row r="2257" spans="1:9">
      <c r="A2257" s="16" t="s">
        <v>9339</v>
      </c>
      <c r="B2257" s="1" t="s">
        <v>2628</v>
      </c>
      <c r="C2257" s="1">
        <v>155</v>
      </c>
      <c r="D2257" s="1" t="s">
        <v>119</v>
      </c>
      <c r="E2257" s="1" t="s">
        <v>6</v>
      </c>
      <c r="F2257" s="1" t="s">
        <v>5091</v>
      </c>
      <c r="G2257" s="14" t="s">
        <v>6145</v>
      </c>
      <c r="H2257" s="1" t="s">
        <v>43</v>
      </c>
      <c r="I2257" s="17">
        <v>42115</v>
      </c>
    </row>
    <row r="2258" spans="1:9">
      <c r="A2258" s="16" t="s">
        <v>9345</v>
      </c>
      <c r="B2258" s="1" t="s">
        <v>2628</v>
      </c>
      <c r="C2258" s="1">
        <v>155</v>
      </c>
      <c r="D2258" s="1" t="s">
        <v>119</v>
      </c>
      <c r="E2258" s="1" t="s">
        <v>6</v>
      </c>
      <c r="F2258" s="1" t="s">
        <v>5091</v>
      </c>
      <c r="G2258" s="14" t="s">
        <v>6145</v>
      </c>
      <c r="H2258" s="1" t="s">
        <v>43</v>
      </c>
      <c r="I2258" s="17">
        <v>42115</v>
      </c>
    </row>
    <row r="2259" spans="1:9">
      <c r="A2259" s="16" t="s">
        <v>9351</v>
      </c>
      <c r="B2259" s="1" t="s">
        <v>2628</v>
      </c>
      <c r="C2259" s="1">
        <v>155</v>
      </c>
      <c r="D2259" s="1" t="s">
        <v>119</v>
      </c>
      <c r="E2259" s="1" t="s">
        <v>6</v>
      </c>
      <c r="F2259" s="1" t="s">
        <v>5091</v>
      </c>
      <c r="G2259" s="14" t="s">
        <v>6145</v>
      </c>
      <c r="H2259" s="1" t="s">
        <v>43</v>
      </c>
      <c r="I2259" s="17">
        <v>41764</v>
      </c>
    </row>
    <row r="2260" spans="1:9">
      <c r="A2260" s="16" t="s">
        <v>9359</v>
      </c>
      <c r="B2260" s="1" t="s">
        <v>2628</v>
      </c>
      <c r="C2260" s="1">
        <v>155</v>
      </c>
      <c r="D2260" s="1" t="s">
        <v>119</v>
      </c>
      <c r="E2260" s="1" t="s">
        <v>6</v>
      </c>
      <c r="F2260" s="1" t="s">
        <v>5091</v>
      </c>
      <c r="G2260" s="14" t="s">
        <v>6145</v>
      </c>
      <c r="H2260" s="1" t="s">
        <v>43</v>
      </c>
      <c r="I2260" s="17">
        <v>42205</v>
      </c>
    </row>
    <row r="2261" spans="1:9">
      <c r="A2261" s="16" t="s">
        <v>9360</v>
      </c>
      <c r="B2261" s="1" t="s">
        <v>2628</v>
      </c>
      <c r="C2261" s="1">
        <v>155</v>
      </c>
      <c r="D2261" s="1" t="s">
        <v>119</v>
      </c>
      <c r="E2261" s="1" t="s">
        <v>6</v>
      </c>
      <c r="F2261" s="1" t="s">
        <v>5091</v>
      </c>
      <c r="G2261" s="14" t="s">
        <v>6145</v>
      </c>
      <c r="H2261" s="1" t="s">
        <v>43</v>
      </c>
      <c r="I2261" s="17">
        <v>42205</v>
      </c>
    </row>
    <row r="2262" spans="1:9">
      <c r="A2262" s="16" t="s">
        <v>9361</v>
      </c>
      <c r="B2262" s="1" t="s">
        <v>2628</v>
      </c>
      <c r="C2262" s="1">
        <v>155</v>
      </c>
      <c r="D2262" s="1" t="s">
        <v>119</v>
      </c>
      <c r="E2262" s="1" t="s">
        <v>6</v>
      </c>
      <c r="F2262" s="1" t="s">
        <v>5091</v>
      </c>
      <c r="G2262" s="14" t="s">
        <v>6145</v>
      </c>
      <c r="H2262" s="1" t="s">
        <v>43</v>
      </c>
      <c r="I2262" s="17">
        <v>42205</v>
      </c>
    </row>
    <row r="2263" spans="1:9">
      <c r="A2263" s="16" t="s">
        <v>9362</v>
      </c>
      <c r="B2263" s="1" t="s">
        <v>2628</v>
      </c>
      <c r="C2263" s="1">
        <v>155</v>
      </c>
      <c r="D2263" s="1" t="s">
        <v>119</v>
      </c>
      <c r="E2263" s="1" t="s">
        <v>6</v>
      </c>
      <c r="F2263" s="1" t="s">
        <v>5091</v>
      </c>
      <c r="G2263" s="14" t="s">
        <v>6145</v>
      </c>
      <c r="H2263" s="1" t="s">
        <v>43</v>
      </c>
      <c r="I2263" s="17">
        <v>42205</v>
      </c>
    </row>
    <row r="2264" spans="1:9">
      <c r="A2264" s="16" t="s">
        <v>9364</v>
      </c>
      <c r="B2264" s="1" t="s">
        <v>2628</v>
      </c>
      <c r="C2264" s="1">
        <v>155</v>
      </c>
      <c r="D2264" s="1" t="s">
        <v>119</v>
      </c>
      <c r="E2264" s="1" t="s">
        <v>6</v>
      </c>
      <c r="F2264" s="1" t="s">
        <v>5091</v>
      </c>
      <c r="G2264" s="14" t="s">
        <v>6145</v>
      </c>
      <c r="H2264" s="1" t="s">
        <v>43</v>
      </c>
      <c r="I2264" s="17">
        <v>42205</v>
      </c>
    </row>
    <row r="2265" spans="1:9">
      <c r="A2265" s="16" t="s">
        <v>9367</v>
      </c>
      <c r="B2265" s="1" t="s">
        <v>2628</v>
      </c>
      <c r="C2265" s="1">
        <v>155</v>
      </c>
      <c r="D2265" s="1" t="s">
        <v>119</v>
      </c>
      <c r="E2265" s="1" t="s">
        <v>6</v>
      </c>
      <c r="F2265" s="1" t="s">
        <v>5091</v>
      </c>
      <c r="G2265" s="14" t="s">
        <v>6145</v>
      </c>
      <c r="H2265" s="1" t="s">
        <v>43</v>
      </c>
      <c r="I2265" s="17">
        <v>42205</v>
      </c>
    </row>
    <row r="2266" spans="1:9">
      <c r="A2266" s="16" t="s">
        <v>9368</v>
      </c>
      <c r="B2266" s="1" t="s">
        <v>2628</v>
      </c>
      <c r="C2266" s="1">
        <v>155</v>
      </c>
      <c r="D2266" s="1" t="s">
        <v>119</v>
      </c>
      <c r="E2266" s="1" t="s">
        <v>6</v>
      </c>
      <c r="F2266" s="1" t="s">
        <v>5091</v>
      </c>
      <c r="G2266" s="14" t="s">
        <v>6145</v>
      </c>
      <c r="H2266" s="1" t="s">
        <v>43</v>
      </c>
      <c r="I2266" s="17">
        <v>42205</v>
      </c>
    </row>
    <row r="2267" spans="1:9">
      <c r="A2267" s="16" t="s">
        <v>9371</v>
      </c>
      <c r="B2267" s="1" t="s">
        <v>2628</v>
      </c>
      <c r="C2267" s="1">
        <v>155</v>
      </c>
      <c r="D2267" s="1" t="s">
        <v>119</v>
      </c>
      <c r="E2267" s="1" t="s">
        <v>6</v>
      </c>
      <c r="F2267" s="1" t="s">
        <v>5091</v>
      </c>
      <c r="G2267" s="14" t="s">
        <v>6145</v>
      </c>
      <c r="H2267" s="1" t="s">
        <v>43</v>
      </c>
      <c r="I2267" s="17">
        <v>42205</v>
      </c>
    </row>
    <row r="2268" spans="1:9" ht="31.2">
      <c r="A2268" s="16" t="s">
        <v>9383</v>
      </c>
      <c r="B2268" s="1" t="s">
        <v>2628</v>
      </c>
      <c r="C2268" s="1">
        <v>155</v>
      </c>
      <c r="D2268" s="1" t="s">
        <v>119</v>
      </c>
      <c r="E2268" s="1" t="s">
        <v>6</v>
      </c>
      <c r="F2268" s="1" t="s">
        <v>5091</v>
      </c>
      <c r="G2268" s="14" t="s">
        <v>9384</v>
      </c>
      <c r="H2268" s="1" t="s">
        <v>43</v>
      </c>
      <c r="I2268" s="17">
        <v>42205</v>
      </c>
    </row>
    <row r="2269" spans="1:9">
      <c r="A2269" s="16" t="s">
        <v>9392</v>
      </c>
      <c r="B2269" s="1" t="s">
        <v>2628</v>
      </c>
      <c r="C2269" s="1">
        <v>155</v>
      </c>
      <c r="D2269" s="1" t="s">
        <v>119</v>
      </c>
      <c r="E2269" s="1" t="s">
        <v>6</v>
      </c>
      <c r="F2269" s="1" t="s">
        <v>5091</v>
      </c>
      <c r="G2269" s="14" t="s">
        <v>6238</v>
      </c>
      <c r="H2269" s="1" t="s">
        <v>43</v>
      </c>
      <c r="I2269" s="17">
        <v>42005</v>
      </c>
    </row>
    <row r="2270" spans="1:9">
      <c r="A2270" s="16" t="s">
        <v>9393</v>
      </c>
      <c r="B2270" s="1" t="s">
        <v>2628</v>
      </c>
      <c r="C2270" s="1">
        <v>155</v>
      </c>
      <c r="D2270" s="1" t="s">
        <v>119</v>
      </c>
      <c r="E2270" s="1" t="s">
        <v>6</v>
      </c>
      <c r="F2270" s="1" t="s">
        <v>5091</v>
      </c>
      <c r="G2270" s="14" t="s">
        <v>6238</v>
      </c>
      <c r="H2270" s="1" t="s">
        <v>43</v>
      </c>
      <c r="I2270" s="17">
        <v>42005</v>
      </c>
    </row>
    <row r="2271" spans="1:9">
      <c r="A2271" s="16" t="s">
        <v>9397</v>
      </c>
      <c r="B2271" s="1" t="s">
        <v>2628</v>
      </c>
      <c r="C2271" s="1">
        <v>155</v>
      </c>
      <c r="D2271" s="1" t="s">
        <v>119</v>
      </c>
      <c r="E2271" s="1" t="s">
        <v>6</v>
      </c>
      <c r="F2271" s="1" t="s">
        <v>5091</v>
      </c>
      <c r="G2271" s="14" t="s">
        <v>6238</v>
      </c>
      <c r="H2271" s="1" t="s">
        <v>43</v>
      </c>
      <c r="I2271" s="17">
        <v>42005</v>
      </c>
    </row>
    <row r="2272" spans="1:9">
      <c r="A2272" s="16" t="s">
        <v>9398</v>
      </c>
      <c r="B2272" s="1" t="s">
        <v>2628</v>
      </c>
      <c r="C2272" s="1">
        <v>155</v>
      </c>
      <c r="D2272" s="1" t="s">
        <v>119</v>
      </c>
      <c r="E2272" s="1" t="s">
        <v>6</v>
      </c>
      <c r="F2272" s="1" t="s">
        <v>5091</v>
      </c>
      <c r="G2272" s="14" t="s">
        <v>6238</v>
      </c>
      <c r="H2272" s="1" t="s">
        <v>43</v>
      </c>
      <c r="I2272" s="17">
        <v>42005</v>
      </c>
    </row>
    <row r="2273" spans="1:9">
      <c r="A2273" s="16" t="s">
        <v>9399</v>
      </c>
      <c r="B2273" s="1" t="s">
        <v>2628</v>
      </c>
      <c r="C2273" s="1">
        <v>155</v>
      </c>
      <c r="D2273" s="1" t="s">
        <v>119</v>
      </c>
      <c r="E2273" s="1" t="s">
        <v>6</v>
      </c>
      <c r="F2273" s="1" t="s">
        <v>5091</v>
      </c>
      <c r="G2273" s="14" t="s">
        <v>9400</v>
      </c>
      <c r="H2273" s="1" t="s">
        <v>5</v>
      </c>
      <c r="I2273" s="17">
        <v>42005</v>
      </c>
    </row>
    <row r="2274" spans="1:9">
      <c r="A2274" s="16" t="s">
        <v>9415</v>
      </c>
      <c r="B2274" s="1" t="s">
        <v>2628</v>
      </c>
      <c r="C2274" s="1">
        <v>372</v>
      </c>
      <c r="D2274" s="1" t="s">
        <v>119</v>
      </c>
      <c r="E2274" s="1" t="s">
        <v>6</v>
      </c>
      <c r="F2274" s="1" t="s">
        <v>5091</v>
      </c>
      <c r="G2274" s="14" t="s">
        <v>6145</v>
      </c>
      <c r="H2274" s="1" t="s">
        <v>43</v>
      </c>
      <c r="I2274" s="17">
        <v>41738</v>
      </c>
    </row>
    <row r="2275" spans="1:9">
      <c r="A2275" s="16" t="s">
        <v>9424</v>
      </c>
      <c r="B2275" s="1" t="s">
        <v>2628</v>
      </c>
      <c r="C2275" s="1">
        <v>372</v>
      </c>
      <c r="D2275" s="1" t="s">
        <v>119</v>
      </c>
      <c r="E2275" s="1" t="s">
        <v>6</v>
      </c>
      <c r="F2275" s="1" t="s">
        <v>5091</v>
      </c>
      <c r="G2275" s="14" t="s">
        <v>6145</v>
      </c>
      <c r="H2275" s="1" t="s">
        <v>43</v>
      </c>
      <c r="I2275" s="17">
        <v>41738</v>
      </c>
    </row>
    <row r="2276" spans="1:9">
      <c r="A2276" s="16" t="s">
        <v>9518</v>
      </c>
      <c r="B2276" s="1" t="s">
        <v>2628</v>
      </c>
      <c r="C2276" s="1">
        <v>372</v>
      </c>
      <c r="D2276" s="1" t="s">
        <v>119</v>
      </c>
      <c r="E2276" s="1" t="s">
        <v>6</v>
      </c>
      <c r="F2276" s="1" t="s">
        <v>5091</v>
      </c>
      <c r="G2276" s="14" t="s">
        <v>6236</v>
      </c>
      <c r="H2276" s="1" t="s">
        <v>43</v>
      </c>
      <c r="I2276" s="17">
        <v>42005</v>
      </c>
    </row>
    <row r="2277" spans="1:9">
      <c r="A2277" s="16" t="s">
        <v>9521</v>
      </c>
      <c r="B2277" s="1" t="s">
        <v>2628</v>
      </c>
      <c r="C2277" s="1">
        <v>372</v>
      </c>
      <c r="D2277" s="1" t="s">
        <v>119</v>
      </c>
      <c r="E2277" s="1" t="s">
        <v>6</v>
      </c>
      <c r="F2277" s="1" t="s">
        <v>5091</v>
      </c>
      <c r="G2277" s="14" t="s">
        <v>6236</v>
      </c>
      <c r="H2277" s="1" t="s">
        <v>43</v>
      </c>
      <c r="I2277" s="17">
        <v>42005</v>
      </c>
    </row>
    <row r="2278" spans="1:9">
      <c r="A2278" s="16" t="s">
        <v>9526</v>
      </c>
      <c r="B2278" s="1" t="s">
        <v>2628</v>
      </c>
      <c r="C2278" s="1">
        <v>372</v>
      </c>
      <c r="D2278" s="1" t="s">
        <v>119</v>
      </c>
      <c r="E2278" s="1" t="s">
        <v>6</v>
      </c>
      <c r="F2278" s="1" t="s">
        <v>5091</v>
      </c>
      <c r="G2278" s="14" t="s">
        <v>6236</v>
      </c>
      <c r="H2278" s="1" t="s">
        <v>43</v>
      </c>
      <c r="I2278" s="17">
        <v>42005</v>
      </c>
    </row>
    <row r="2279" spans="1:9">
      <c r="A2279" s="16" t="s">
        <v>9530</v>
      </c>
      <c r="B2279" s="1" t="s">
        <v>2628</v>
      </c>
      <c r="C2279" s="1">
        <v>155</v>
      </c>
      <c r="D2279" s="1" t="s">
        <v>119</v>
      </c>
      <c r="E2279" s="1" t="s">
        <v>6</v>
      </c>
      <c r="F2279" s="1" t="s">
        <v>5091</v>
      </c>
      <c r="G2279" s="14" t="s">
        <v>4803</v>
      </c>
      <c r="H2279" s="1" t="s">
        <v>5</v>
      </c>
      <c r="I2279" s="17">
        <v>41887</v>
      </c>
    </row>
    <row r="2280" spans="1:9">
      <c r="A2280" s="16" t="s">
        <v>9531</v>
      </c>
      <c r="B2280" s="1" t="s">
        <v>2628</v>
      </c>
      <c r="C2280" s="1">
        <v>372</v>
      </c>
      <c r="D2280" s="1" t="s">
        <v>119</v>
      </c>
      <c r="E2280" s="1" t="s">
        <v>6</v>
      </c>
      <c r="F2280" s="1" t="s">
        <v>5091</v>
      </c>
      <c r="G2280" s="14" t="s">
        <v>6377</v>
      </c>
      <c r="H2280" s="1" t="s">
        <v>5</v>
      </c>
      <c r="I2280" s="17">
        <v>41898</v>
      </c>
    </row>
    <row r="2281" spans="1:9">
      <c r="A2281" s="16" t="s">
        <v>9539</v>
      </c>
      <c r="B2281" s="1" t="s">
        <v>2628</v>
      </c>
      <c r="C2281" s="1">
        <v>155</v>
      </c>
      <c r="D2281" s="1" t="s">
        <v>119</v>
      </c>
      <c r="E2281" s="1" t="s">
        <v>6</v>
      </c>
      <c r="F2281" s="1" t="s">
        <v>5091</v>
      </c>
      <c r="G2281" s="14" t="s">
        <v>6405</v>
      </c>
      <c r="H2281" s="1" t="s">
        <v>5</v>
      </c>
      <c r="I2281" s="17">
        <v>41522</v>
      </c>
    </row>
    <row r="2282" spans="1:9">
      <c r="A2282" s="16" t="s">
        <v>9540</v>
      </c>
      <c r="B2282" s="1" t="s">
        <v>2628</v>
      </c>
      <c r="C2282" s="1">
        <v>155</v>
      </c>
      <c r="D2282" s="1" t="s">
        <v>119</v>
      </c>
      <c r="E2282" s="1" t="s">
        <v>6</v>
      </c>
      <c r="F2282" s="1" t="s">
        <v>5091</v>
      </c>
      <c r="G2282" s="14" t="s">
        <v>6145</v>
      </c>
      <c r="H2282" s="1" t="s">
        <v>43</v>
      </c>
      <c r="I2282" s="17">
        <v>41521</v>
      </c>
    </row>
    <row r="2283" spans="1:9">
      <c r="A2283" s="16" t="s">
        <v>9541</v>
      </c>
      <c r="B2283" s="1" t="s">
        <v>2628</v>
      </c>
      <c r="C2283" s="1">
        <v>155</v>
      </c>
      <c r="D2283" s="1" t="s">
        <v>119</v>
      </c>
      <c r="E2283" s="1" t="s">
        <v>6</v>
      </c>
      <c r="F2283" s="1" t="s">
        <v>5091</v>
      </c>
      <c r="G2283" s="14" t="s">
        <v>6145</v>
      </c>
      <c r="H2283" s="1" t="s">
        <v>43</v>
      </c>
      <c r="I2283" s="17">
        <v>41521</v>
      </c>
    </row>
    <row r="2284" spans="1:9">
      <c r="A2284" s="16" t="s">
        <v>9542</v>
      </c>
      <c r="B2284" s="1" t="s">
        <v>2628</v>
      </c>
      <c r="C2284" s="1">
        <v>155</v>
      </c>
      <c r="D2284" s="1" t="s">
        <v>119</v>
      </c>
      <c r="E2284" s="1" t="s">
        <v>6</v>
      </c>
      <c r="F2284" s="1" t="s">
        <v>5091</v>
      </c>
      <c r="G2284" s="14" t="s">
        <v>6145</v>
      </c>
      <c r="H2284" s="1" t="s">
        <v>43</v>
      </c>
      <c r="I2284" s="17">
        <v>41521</v>
      </c>
    </row>
    <row r="2285" spans="1:9">
      <c r="A2285" s="16" t="s">
        <v>9543</v>
      </c>
      <c r="B2285" s="1" t="s">
        <v>2628</v>
      </c>
      <c r="C2285" s="1">
        <v>155</v>
      </c>
      <c r="D2285" s="1" t="s">
        <v>119</v>
      </c>
      <c r="E2285" s="1" t="s">
        <v>6</v>
      </c>
      <c r="F2285" s="1" t="s">
        <v>5091</v>
      </c>
      <c r="G2285" s="14" t="s">
        <v>6145</v>
      </c>
      <c r="H2285" s="1" t="s">
        <v>43</v>
      </c>
      <c r="I2285" s="17">
        <v>41521</v>
      </c>
    </row>
    <row r="2286" spans="1:9">
      <c r="A2286" s="16" t="s">
        <v>9544</v>
      </c>
      <c r="B2286" s="1" t="s">
        <v>2628</v>
      </c>
      <c r="C2286" s="1">
        <v>155</v>
      </c>
      <c r="D2286" s="1" t="s">
        <v>119</v>
      </c>
      <c r="E2286" s="1" t="s">
        <v>6</v>
      </c>
      <c r="F2286" s="1" t="s">
        <v>5091</v>
      </c>
      <c r="G2286" s="14" t="s">
        <v>6145</v>
      </c>
      <c r="H2286" s="1" t="s">
        <v>43</v>
      </c>
      <c r="I2286" s="17">
        <v>41521</v>
      </c>
    </row>
    <row r="2287" spans="1:9">
      <c r="A2287" s="16" t="s">
        <v>9545</v>
      </c>
      <c r="B2287" s="1" t="s">
        <v>2628</v>
      </c>
      <c r="C2287" s="1">
        <v>155</v>
      </c>
      <c r="D2287" s="1" t="s">
        <v>119</v>
      </c>
      <c r="E2287" s="1" t="s">
        <v>6</v>
      </c>
      <c r="F2287" s="1" t="s">
        <v>5091</v>
      </c>
      <c r="G2287" s="14" t="s">
        <v>6145</v>
      </c>
      <c r="H2287" s="1" t="s">
        <v>43</v>
      </c>
      <c r="I2287" s="17">
        <v>41521</v>
      </c>
    </row>
    <row r="2288" spans="1:9">
      <c r="A2288" s="16" t="s">
        <v>9546</v>
      </c>
      <c r="B2288" s="1" t="s">
        <v>2628</v>
      </c>
      <c r="C2288" s="1">
        <v>155</v>
      </c>
      <c r="D2288" s="1" t="s">
        <v>119</v>
      </c>
      <c r="E2288" s="1" t="s">
        <v>6</v>
      </c>
      <c r="F2288" s="1" t="s">
        <v>5091</v>
      </c>
      <c r="G2288" s="14" t="s">
        <v>6145</v>
      </c>
      <c r="H2288" s="1" t="s">
        <v>43</v>
      </c>
      <c r="I2288" s="17">
        <v>41521</v>
      </c>
    </row>
    <row r="2289" spans="1:9">
      <c r="A2289" s="16" t="s">
        <v>9547</v>
      </c>
      <c r="B2289" s="1" t="s">
        <v>2628</v>
      </c>
      <c r="C2289" s="1">
        <v>155</v>
      </c>
      <c r="D2289" s="1" t="s">
        <v>119</v>
      </c>
      <c r="E2289" s="1" t="s">
        <v>6</v>
      </c>
      <c r="F2289" s="1" t="s">
        <v>5091</v>
      </c>
      <c r="G2289" s="14" t="s">
        <v>6145</v>
      </c>
      <c r="H2289" s="1" t="s">
        <v>43</v>
      </c>
      <c r="I2289" s="17">
        <v>41521</v>
      </c>
    </row>
    <row r="2290" spans="1:9">
      <c r="A2290" s="16" t="s">
        <v>9548</v>
      </c>
      <c r="B2290" s="1" t="s">
        <v>2628</v>
      </c>
      <c r="C2290" s="1">
        <v>155</v>
      </c>
      <c r="D2290" s="1" t="s">
        <v>119</v>
      </c>
      <c r="E2290" s="1" t="s">
        <v>6</v>
      </c>
      <c r="F2290" s="1" t="s">
        <v>5091</v>
      </c>
      <c r="G2290" s="14" t="s">
        <v>6145</v>
      </c>
      <c r="H2290" s="1" t="s">
        <v>43</v>
      </c>
      <c r="I2290" s="17">
        <v>41521</v>
      </c>
    </row>
    <row r="2291" spans="1:9">
      <c r="A2291" s="16" t="s">
        <v>9549</v>
      </c>
      <c r="B2291" s="1" t="s">
        <v>2628</v>
      </c>
      <c r="C2291" s="1">
        <v>155</v>
      </c>
      <c r="D2291" s="1" t="s">
        <v>119</v>
      </c>
      <c r="E2291" s="1" t="s">
        <v>6</v>
      </c>
      <c r="F2291" s="1" t="s">
        <v>5091</v>
      </c>
      <c r="G2291" s="14" t="s">
        <v>6145</v>
      </c>
      <c r="H2291" s="1" t="s">
        <v>43</v>
      </c>
      <c r="I2291" s="17">
        <v>41521</v>
      </c>
    </row>
    <row r="2292" spans="1:9">
      <c r="A2292" s="16" t="s">
        <v>9550</v>
      </c>
      <c r="B2292" s="1" t="s">
        <v>2628</v>
      </c>
      <c r="C2292" s="1">
        <v>155</v>
      </c>
      <c r="D2292" s="1" t="s">
        <v>119</v>
      </c>
      <c r="E2292" s="1" t="s">
        <v>6</v>
      </c>
      <c r="F2292" s="1" t="s">
        <v>5091</v>
      </c>
      <c r="G2292" s="14" t="s">
        <v>6145</v>
      </c>
      <c r="H2292" s="1" t="s">
        <v>43</v>
      </c>
      <c r="I2292" s="17">
        <v>41521</v>
      </c>
    </row>
    <row r="2293" spans="1:9">
      <c r="A2293" s="16" t="s">
        <v>9554</v>
      </c>
      <c r="B2293" s="1" t="s">
        <v>2628</v>
      </c>
      <c r="C2293" s="1">
        <v>372</v>
      </c>
      <c r="D2293" s="1" t="s">
        <v>119</v>
      </c>
      <c r="E2293" s="1" t="s">
        <v>6</v>
      </c>
      <c r="F2293" s="1" t="s">
        <v>5091</v>
      </c>
      <c r="G2293" s="14" t="s">
        <v>9555</v>
      </c>
      <c r="H2293" s="1" t="s">
        <v>5</v>
      </c>
      <c r="I2293" s="17">
        <v>39924</v>
      </c>
    </row>
    <row r="2294" spans="1:9">
      <c r="A2294" s="16" t="s">
        <v>9556</v>
      </c>
      <c r="B2294" s="1" t="s">
        <v>2628</v>
      </c>
      <c r="C2294" s="1">
        <v>372</v>
      </c>
      <c r="D2294" s="1" t="s">
        <v>119</v>
      </c>
      <c r="E2294" s="1" t="s">
        <v>6</v>
      </c>
      <c r="F2294" s="1" t="s">
        <v>5091</v>
      </c>
      <c r="G2294" s="14" t="s">
        <v>9555</v>
      </c>
      <c r="H2294" s="1" t="s">
        <v>5</v>
      </c>
      <c r="I2294" s="17">
        <v>39959</v>
      </c>
    </row>
    <row r="2295" spans="1:9">
      <c r="A2295" s="16" t="s">
        <v>9562</v>
      </c>
      <c r="B2295" s="1" t="s">
        <v>2628</v>
      </c>
      <c r="C2295" s="1">
        <v>372</v>
      </c>
      <c r="D2295" s="1" t="s">
        <v>119</v>
      </c>
      <c r="E2295" s="1" t="s">
        <v>6</v>
      </c>
      <c r="F2295" s="1" t="s">
        <v>5091</v>
      </c>
      <c r="G2295" s="14" t="s">
        <v>9561</v>
      </c>
      <c r="H2295" s="1" t="s">
        <v>5</v>
      </c>
      <c r="I2295" s="17">
        <v>40722</v>
      </c>
    </row>
    <row r="2296" spans="1:9">
      <c r="A2296" s="16" t="s">
        <v>9563</v>
      </c>
      <c r="B2296" s="1" t="s">
        <v>2628</v>
      </c>
      <c r="C2296" s="1">
        <v>372</v>
      </c>
      <c r="D2296" s="1" t="s">
        <v>119</v>
      </c>
      <c r="E2296" s="1" t="s">
        <v>6</v>
      </c>
      <c r="F2296" s="1" t="s">
        <v>5091</v>
      </c>
      <c r="G2296" s="14" t="s">
        <v>9561</v>
      </c>
      <c r="H2296" s="1" t="s">
        <v>5</v>
      </c>
      <c r="I2296" s="17">
        <v>40722</v>
      </c>
    </row>
    <row r="2297" spans="1:9">
      <c r="A2297" s="16" t="s">
        <v>9573</v>
      </c>
      <c r="B2297" s="1" t="s">
        <v>2628</v>
      </c>
      <c r="C2297" s="1">
        <v>155</v>
      </c>
      <c r="D2297" s="1" t="s">
        <v>119</v>
      </c>
      <c r="E2297" s="1" t="s">
        <v>6</v>
      </c>
      <c r="F2297" s="1" t="s">
        <v>5091</v>
      </c>
      <c r="G2297" s="14" t="s">
        <v>9574</v>
      </c>
      <c r="H2297" s="1" t="s">
        <v>5</v>
      </c>
      <c r="I2297" s="17">
        <v>42051</v>
      </c>
    </row>
    <row r="2298" spans="1:9">
      <c r="A2298" s="16" t="s">
        <v>9575</v>
      </c>
      <c r="B2298" s="1" t="s">
        <v>2628</v>
      </c>
      <c r="C2298" s="1">
        <v>155</v>
      </c>
      <c r="D2298" s="1" t="s">
        <v>119</v>
      </c>
      <c r="E2298" s="1" t="s">
        <v>6</v>
      </c>
      <c r="F2298" s="1" t="s">
        <v>5091</v>
      </c>
      <c r="G2298" s="14" t="s">
        <v>9576</v>
      </c>
      <c r="H2298" s="1" t="s">
        <v>5</v>
      </c>
      <c r="I2298" s="17">
        <v>42066</v>
      </c>
    </row>
    <row r="2299" spans="1:9" ht="31.2">
      <c r="A2299" s="16" t="s">
        <v>9599</v>
      </c>
      <c r="B2299" s="1" t="s">
        <v>2628</v>
      </c>
      <c r="C2299" s="1">
        <v>155</v>
      </c>
      <c r="D2299" s="1" t="s">
        <v>119</v>
      </c>
      <c r="E2299" s="1" t="s">
        <v>6</v>
      </c>
      <c r="F2299" s="1" t="s">
        <v>5091</v>
      </c>
      <c r="G2299" s="14" t="s">
        <v>6405</v>
      </c>
      <c r="H2299" s="1" t="s">
        <v>5</v>
      </c>
      <c r="I2299" s="17">
        <v>41522</v>
      </c>
    </row>
    <row r="2300" spans="1:9">
      <c r="A2300" s="16" t="s">
        <v>9601</v>
      </c>
      <c r="B2300" s="1" t="s">
        <v>2628</v>
      </c>
      <c r="C2300" s="1">
        <v>155</v>
      </c>
      <c r="D2300" s="1" t="s">
        <v>119</v>
      </c>
      <c r="E2300" s="1" t="s">
        <v>6</v>
      </c>
      <c r="F2300" s="1" t="s">
        <v>5091</v>
      </c>
      <c r="G2300" s="14" t="s">
        <v>9602</v>
      </c>
      <c r="H2300" s="1" t="s">
        <v>5</v>
      </c>
      <c r="I2300" s="17">
        <v>42200</v>
      </c>
    </row>
    <row r="2301" spans="1:9">
      <c r="A2301" s="16" t="s">
        <v>9603</v>
      </c>
      <c r="B2301" s="1" t="s">
        <v>2628</v>
      </c>
      <c r="C2301" s="1">
        <v>155</v>
      </c>
      <c r="D2301" s="1" t="s">
        <v>119</v>
      </c>
      <c r="E2301" s="1" t="s">
        <v>6</v>
      </c>
      <c r="F2301" s="1" t="s">
        <v>5091</v>
      </c>
      <c r="G2301" s="14" t="s">
        <v>9602</v>
      </c>
      <c r="H2301" s="1" t="s">
        <v>5</v>
      </c>
      <c r="I2301" s="17">
        <v>42200</v>
      </c>
    </row>
    <row r="2302" spans="1:9">
      <c r="A2302" s="16" t="s">
        <v>9604</v>
      </c>
      <c r="B2302" s="1" t="s">
        <v>2628</v>
      </c>
      <c r="C2302" s="1">
        <v>155</v>
      </c>
      <c r="D2302" s="1" t="s">
        <v>119</v>
      </c>
      <c r="E2302" s="1" t="s">
        <v>6</v>
      </c>
      <c r="F2302" s="1" t="s">
        <v>5091</v>
      </c>
      <c r="G2302" s="14" t="s">
        <v>9602</v>
      </c>
      <c r="H2302" s="1" t="s">
        <v>5</v>
      </c>
      <c r="I2302" s="17">
        <v>42228</v>
      </c>
    </row>
    <row r="2303" spans="1:9">
      <c r="A2303" s="16" t="s">
        <v>9607</v>
      </c>
      <c r="B2303" s="1" t="s">
        <v>2628</v>
      </c>
      <c r="C2303" s="1">
        <v>155</v>
      </c>
      <c r="D2303" s="1" t="s">
        <v>119</v>
      </c>
      <c r="E2303" s="1" t="s">
        <v>6</v>
      </c>
      <c r="F2303" s="1" t="s">
        <v>5091</v>
      </c>
      <c r="G2303" s="14" t="s">
        <v>6530</v>
      </c>
      <c r="H2303" s="1" t="s">
        <v>43</v>
      </c>
      <c r="I2303" s="17">
        <v>42269</v>
      </c>
    </row>
    <row r="2304" spans="1:9">
      <c r="A2304" s="16" t="s">
        <v>9625</v>
      </c>
      <c r="B2304" s="1" t="s">
        <v>2628</v>
      </c>
      <c r="C2304" s="1">
        <v>155</v>
      </c>
      <c r="D2304" s="1" t="s">
        <v>119</v>
      </c>
      <c r="E2304" s="1" t="s">
        <v>6</v>
      </c>
      <c r="F2304" s="1" t="s">
        <v>5091</v>
      </c>
      <c r="G2304" s="14" t="s">
        <v>6145</v>
      </c>
      <c r="H2304" s="1" t="s">
        <v>43</v>
      </c>
      <c r="I2304" s="17">
        <v>41521</v>
      </c>
    </row>
    <row r="2305" spans="1:9">
      <c r="A2305" s="16" t="s">
        <v>9626</v>
      </c>
      <c r="B2305" s="1" t="s">
        <v>2628</v>
      </c>
      <c r="C2305" s="1">
        <v>155</v>
      </c>
      <c r="D2305" s="1" t="s">
        <v>119</v>
      </c>
      <c r="E2305" s="1" t="s">
        <v>6</v>
      </c>
      <c r="F2305" s="1" t="s">
        <v>5091</v>
      </c>
      <c r="G2305" s="14" t="s">
        <v>6145</v>
      </c>
      <c r="H2305" s="1" t="s">
        <v>43</v>
      </c>
      <c r="I2305" s="17">
        <v>41521</v>
      </c>
    </row>
    <row r="2306" spans="1:9">
      <c r="A2306" s="16" t="s">
        <v>9629</v>
      </c>
      <c r="B2306" s="1" t="s">
        <v>2628</v>
      </c>
      <c r="C2306" s="1">
        <v>155</v>
      </c>
      <c r="D2306" s="1" t="s">
        <v>119</v>
      </c>
      <c r="E2306" s="1" t="s">
        <v>6</v>
      </c>
      <c r="F2306" s="1" t="s">
        <v>5091</v>
      </c>
      <c r="G2306" s="14" t="s">
        <v>9628</v>
      </c>
      <c r="H2306" s="1" t="s">
        <v>5</v>
      </c>
      <c r="I2306" s="17">
        <v>42249</v>
      </c>
    </row>
    <row r="2307" spans="1:9">
      <c r="A2307" s="16" t="s">
        <v>9630</v>
      </c>
      <c r="B2307" s="1" t="s">
        <v>2628</v>
      </c>
      <c r="C2307" s="1">
        <v>155</v>
      </c>
      <c r="D2307" s="1" t="s">
        <v>119</v>
      </c>
      <c r="E2307" s="1" t="s">
        <v>6</v>
      </c>
      <c r="F2307" s="1" t="s">
        <v>5091</v>
      </c>
      <c r="G2307" s="14" t="s">
        <v>9628</v>
      </c>
      <c r="H2307" s="1" t="s">
        <v>5</v>
      </c>
      <c r="I2307" s="17">
        <v>42249</v>
      </c>
    </row>
    <row r="2308" spans="1:9">
      <c r="A2308" s="16" t="s">
        <v>9634</v>
      </c>
      <c r="B2308" s="1" t="s">
        <v>2628</v>
      </c>
      <c r="C2308" s="1">
        <v>372</v>
      </c>
      <c r="D2308" s="1" t="s">
        <v>119</v>
      </c>
      <c r="E2308" s="1" t="s">
        <v>6</v>
      </c>
      <c r="F2308" s="1" t="s">
        <v>5091</v>
      </c>
      <c r="G2308" s="14" t="s">
        <v>6186</v>
      </c>
      <c r="H2308" s="1" t="s">
        <v>5</v>
      </c>
      <c r="I2308" s="17">
        <v>42005</v>
      </c>
    </row>
    <row r="2309" spans="1:9">
      <c r="A2309" s="16" t="s">
        <v>9649</v>
      </c>
      <c r="B2309" s="1" t="s">
        <v>2628</v>
      </c>
      <c r="C2309" s="1">
        <v>155</v>
      </c>
      <c r="D2309" s="1" t="s">
        <v>119</v>
      </c>
      <c r="E2309" s="1" t="s">
        <v>6</v>
      </c>
      <c r="F2309" s="1" t="s">
        <v>5091</v>
      </c>
      <c r="G2309" s="14" t="s">
        <v>6145</v>
      </c>
      <c r="H2309" s="1" t="s">
        <v>43</v>
      </c>
      <c r="I2309" s="17">
        <v>41101</v>
      </c>
    </row>
    <row r="2310" spans="1:9">
      <c r="A2310" s="16" t="s">
        <v>9650</v>
      </c>
      <c r="B2310" s="1" t="s">
        <v>2628</v>
      </c>
      <c r="C2310" s="1">
        <v>155</v>
      </c>
      <c r="D2310" s="1" t="s">
        <v>119</v>
      </c>
      <c r="E2310" s="1" t="s">
        <v>6</v>
      </c>
      <c r="F2310" s="1" t="s">
        <v>5091</v>
      </c>
      <c r="G2310" s="14" t="s">
        <v>6145</v>
      </c>
      <c r="H2310" s="1" t="s">
        <v>43</v>
      </c>
      <c r="I2310" s="17">
        <v>41101</v>
      </c>
    </row>
    <row r="2311" spans="1:9">
      <c r="A2311" s="16" t="s">
        <v>9692</v>
      </c>
      <c r="B2311" s="1" t="s">
        <v>2628</v>
      </c>
      <c r="C2311" s="1">
        <v>155</v>
      </c>
      <c r="D2311" s="1" t="s">
        <v>119</v>
      </c>
      <c r="E2311" s="1" t="s">
        <v>6</v>
      </c>
      <c r="F2311" s="1" t="s">
        <v>5091</v>
      </c>
      <c r="G2311" s="14" t="s">
        <v>6238</v>
      </c>
      <c r="H2311" s="1" t="s">
        <v>43</v>
      </c>
      <c r="I2311" s="17">
        <v>42005</v>
      </c>
    </row>
    <row r="2312" spans="1:9">
      <c r="A2312" s="16" t="s">
        <v>9693</v>
      </c>
      <c r="B2312" s="1" t="s">
        <v>2628</v>
      </c>
      <c r="C2312" s="1">
        <v>155</v>
      </c>
      <c r="D2312" s="1" t="s">
        <v>119</v>
      </c>
      <c r="E2312" s="1" t="s">
        <v>6</v>
      </c>
      <c r="F2312" s="1" t="s">
        <v>5091</v>
      </c>
      <c r="G2312" s="14" t="s">
        <v>6236</v>
      </c>
      <c r="H2312" s="1" t="s">
        <v>43</v>
      </c>
      <c r="I2312" s="17">
        <v>42005</v>
      </c>
    </row>
    <row r="2313" spans="1:9">
      <c r="A2313" s="16" t="s">
        <v>9696</v>
      </c>
      <c r="B2313" s="1" t="s">
        <v>2628</v>
      </c>
      <c r="C2313" s="1">
        <v>155</v>
      </c>
      <c r="D2313" s="1" t="s">
        <v>119</v>
      </c>
      <c r="E2313" s="1" t="s">
        <v>6</v>
      </c>
      <c r="F2313" s="1" t="s">
        <v>5091</v>
      </c>
      <c r="G2313" s="14" t="s">
        <v>9697</v>
      </c>
      <c r="H2313" s="1" t="s">
        <v>5</v>
      </c>
      <c r="I2313" s="17">
        <v>42005</v>
      </c>
    </row>
    <row r="2314" spans="1:9">
      <c r="A2314" s="16" t="s">
        <v>9731</v>
      </c>
      <c r="B2314" s="1" t="s">
        <v>2628</v>
      </c>
      <c r="C2314" s="1">
        <v>155</v>
      </c>
      <c r="D2314" s="1" t="s">
        <v>119</v>
      </c>
      <c r="E2314" s="1" t="s">
        <v>6</v>
      </c>
      <c r="F2314" s="1" t="s">
        <v>5091</v>
      </c>
      <c r="G2314" s="14" t="s">
        <v>7403</v>
      </c>
      <c r="H2314" s="1" t="s">
        <v>44</v>
      </c>
      <c r="I2314" s="17">
        <v>41194</v>
      </c>
    </row>
    <row r="2315" spans="1:9">
      <c r="A2315" s="16" t="s">
        <v>9751</v>
      </c>
      <c r="B2315" s="1" t="s">
        <v>2628</v>
      </c>
      <c r="C2315" s="1">
        <v>155</v>
      </c>
      <c r="D2315" s="1" t="s">
        <v>119</v>
      </c>
      <c r="E2315" s="1" t="s">
        <v>6</v>
      </c>
      <c r="F2315" s="1" t="s">
        <v>5091</v>
      </c>
      <c r="G2315" s="14" t="s">
        <v>6145</v>
      </c>
      <c r="H2315" s="1" t="s">
        <v>43</v>
      </c>
      <c r="I2315" s="17">
        <v>41101</v>
      </c>
    </row>
    <row r="2316" spans="1:9">
      <c r="A2316" s="16" t="s">
        <v>9752</v>
      </c>
      <c r="B2316" s="1" t="s">
        <v>2628</v>
      </c>
      <c r="C2316" s="1">
        <v>155</v>
      </c>
      <c r="D2316" s="1" t="s">
        <v>119</v>
      </c>
      <c r="E2316" s="1" t="s">
        <v>6</v>
      </c>
      <c r="F2316" s="1" t="s">
        <v>5091</v>
      </c>
      <c r="G2316" s="14" t="s">
        <v>6145</v>
      </c>
      <c r="H2316" s="1" t="s">
        <v>43</v>
      </c>
      <c r="I2316" s="17">
        <v>41101</v>
      </c>
    </row>
    <row r="2317" spans="1:9">
      <c r="A2317" s="16" t="s">
        <v>9753</v>
      </c>
      <c r="B2317" s="1" t="s">
        <v>2628</v>
      </c>
      <c r="C2317" s="1">
        <v>155</v>
      </c>
      <c r="D2317" s="1" t="s">
        <v>119</v>
      </c>
      <c r="E2317" s="1" t="s">
        <v>6</v>
      </c>
      <c r="F2317" s="1" t="s">
        <v>5091</v>
      </c>
      <c r="G2317" s="14" t="s">
        <v>6145</v>
      </c>
      <c r="H2317" s="1" t="s">
        <v>43</v>
      </c>
      <c r="I2317" s="17">
        <v>41101</v>
      </c>
    </row>
    <row r="2318" spans="1:9">
      <c r="A2318" s="16" t="s">
        <v>9754</v>
      </c>
      <c r="B2318" s="1" t="s">
        <v>2628</v>
      </c>
      <c r="C2318" s="1">
        <v>155</v>
      </c>
      <c r="D2318" s="1" t="s">
        <v>119</v>
      </c>
      <c r="E2318" s="1" t="s">
        <v>6</v>
      </c>
      <c r="F2318" s="1" t="s">
        <v>5091</v>
      </c>
      <c r="G2318" s="14" t="s">
        <v>6145</v>
      </c>
      <c r="H2318" s="1" t="s">
        <v>43</v>
      </c>
      <c r="I2318" s="17">
        <v>41101</v>
      </c>
    </row>
    <row r="2319" spans="1:9">
      <c r="A2319" s="16" t="s">
        <v>9755</v>
      </c>
      <c r="B2319" s="1" t="s">
        <v>2628</v>
      </c>
      <c r="C2319" s="1">
        <v>155</v>
      </c>
      <c r="D2319" s="1" t="s">
        <v>119</v>
      </c>
      <c r="E2319" s="1" t="s">
        <v>6</v>
      </c>
      <c r="F2319" s="1" t="s">
        <v>5091</v>
      </c>
      <c r="G2319" s="14" t="s">
        <v>6145</v>
      </c>
      <c r="H2319" s="1" t="s">
        <v>43</v>
      </c>
      <c r="I2319" s="17">
        <v>41101</v>
      </c>
    </row>
    <row r="2320" spans="1:9">
      <c r="A2320" s="16" t="s">
        <v>9756</v>
      </c>
      <c r="B2320" s="1" t="s">
        <v>2628</v>
      </c>
      <c r="C2320" s="1">
        <v>155</v>
      </c>
      <c r="D2320" s="1" t="s">
        <v>119</v>
      </c>
      <c r="E2320" s="1" t="s">
        <v>6</v>
      </c>
      <c r="F2320" s="1" t="s">
        <v>5091</v>
      </c>
      <c r="G2320" s="14" t="s">
        <v>6145</v>
      </c>
      <c r="H2320" s="1" t="s">
        <v>43</v>
      </c>
      <c r="I2320" s="17">
        <v>41101</v>
      </c>
    </row>
    <row r="2321" spans="1:9">
      <c r="A2321" s="16" t="s">
        <v>9759</v>
      </c>
      <c r="B2321" s="1" t="s">
        <v>2628</v>
      </c>
      <c r="C2321" s="1">
        <v>155</v>
      </c>
      <c r="D2321" s="1" t="s">
        <v>119</v>
      </c>
      <c r="E2321" s="1" t="s">
        <v>6</v>
      </c>
      <c r="F2321" s="1" t="s">
        <v>5091</v>
      </c>
      <c r="G2321" s="14" t="s">
        <v>6307</v>
      </c>
      <c r="H2321" s="1" t="s">
        <v>44</v>
      </c>
      <c r="I2321" s="17">
        <v>42220</v>
      </c>
    </row>
    <row r="2322" spans="1:9">
      <c r="A2322" s="16" t="s">
        <v>9776</v>
      </c>
      <c r="B2322" s="1" t="s">
        <v>2628</v>
      </c>
      <c r="C2322" s="1">
        <v>155</v>
      </c>
      <c r="D2322" s="1" t="s">
        <v>119</v>
      </c>
      <c r="E2322" s="1" t="s">
        <v>6</v>
      </c>
      <c r="F2322" s="1" t="s">
        <v>5091</v>
      </c>
      <c r="G2322" s="14" t="s">
        <v>6307</v>
      </c>
      <c r="H2322" s="1" t="s">
        <v>44</v>
      </c>
      <c r="I2322" s="17">
        <v>41982</v>
      </c>
    </row>
    <row r="2323" spans="1:9">
      <c r="A2323" s="16" t="s">
        <v>9777</v>
      </c>
      <c r="B2323" s="1" t="s">
        <v>2628</v>
      </c>
      <c r="C2323" s="1">
        <v>155</v>
      </c>
      <c r="D2323" s="1" t="s">
        <v>119</v>
      </c>
      <c r="E2323" s="1" t="s">
        <v>6</v>
      </c>
      <c r="F2323" s="1" t="s">
        <v>5091</v>
      </c>
      <c r="G2323" s="14" t="s">
        <v>6307</v>
      </c>
      <c r="H2323" s="1" t="s">
        <v>44</v>
      </c>
      <c r="I2323" s="17">
        <v>41982</v>
      </c>
    </row>
    <row r="2324" spans="1:9">
      <c r="A2324" s="16" t="s">
        <v>9778</v>
      </c>
      <c r="B2324" s="1" t="s">
        <v>2628</v>
      </c>
      <c r="C2324" s="1">
        <v>155</v>
      </c>
      <c r="D2324" s="1" t="s">
        <v>119</v>
      </c>
      <c r="E2324" s="1" t="s">
        <v>6</v>
      </c>
      <c r="F2324" s="1" t="s">
        <v>5091</v>
      </c>
      <c r="G2324" s="14" t="s">
        <v>6307</v>
      </c>
      <c r="H2324" s="1" t="s">
        <v>44</v>
      </c>
      <c r="I2324" s="17">
        <v>41982</v>
      </c>
    </row>
    <row r="2325" spans="1:9">
      <c r="A2325" s="16" t="s">
        <v>9779</v>
      </c>
      <c r="B2325" s="1" t="s">
        <v>2628</v>
      </c>
      <c r="C2325" s="1">
        <v>155</v>
      </c>
      <c r="D2325" s="1" t="s">
        <v>119</v>
      </c>
      <c r="E2325" s="1" t="s">
        <v>6</v>
      </c>
      <c r="F2325" s="1" t="s">
        <v>5091</v>
      </c>
      <c r="G2325" s="14" t="s">
        <v>6307</v>
      </c>
      <c r="H2325" s="1" t="s">
        <v>44</v>
      </c>
      <c r="I2325" s="17">
        <v>41982</v>
      </c>
    </row>
    <row r="2326" spans="1:9">
      <c r="A2326" s="16" t="s">
        <v>9780</v>
      </c>
      <c r="B2326" s="1" t="s">
        <v>2628</v>
      </c>
      <c r="C2326" s="1">
        <v>155</v>
      </c>
      <c r="D2326" s="1" t="s">
        <v>119</v>
      </c>
      <c r="E2326" s="1" t="s">
        <v>6</v>
      </c>
      <c r="F2326" s="1" t="s">
        <v>5091</v>
      </c>
      <c r="G2326" s="14" t="s">
        <v>6307</v>
      </c>
      <c r="H2326" s="1" t="s">
        <v>44</v>
      </c>
      <c r="I2326" s="17">
        <v>41982</v>
      </c>
    </row>
    <row r="2327" spans="1:9">
      <c r="A2327" s="16" t="s">
        <v>9781</v>
      </c>
      <c r="B2327" s="1" t="s">
        <v>2628</v>
      </c>
      <c r="C2327" s="1">
        <v>155</v>
      </c>
      <c r="D2327" s="1" t="s">
        <v>119</v>
      </c>
      <c r="E2327" s="1" t="s">
        <v>6</v>
      </c>
      <c r="F2327" s="1" t="s">
        <v>5091</v>
      </c>
      <c r="G2327" s="14" t="s">
        <v>6307</v>
      </c>
      <c r="H2327" s="1" t="s">
        <v>44</v>
      </c>
      <c r="I2327" s="17">
        <v>41982</v>
      </c>
    </row>
    <row r="2328" spans="1:9">
      <c r="A2328" s="16" t="s">
        <v>9782</v>
      </c>
      <c r="B2328" s="1" t="s">
        <v>2628</v>
      </c>
      <c r="C2328" s="1">
        <v>155</v>
      </c>
      <c r="D2328" s="1" t="s">
        <v>119</v>
      </c>
      <c r="E2328" s="1" t="s">
        <v>6</v>
      </c>
      <c r="F2328" s="1" t="s">
        <v>5091</v>
      </c>
      <c r="G2328" s="14" t="s">
        <v>6307</v>
      </c>
      <c r="H2328" s="1" t="s">
        <v>44</v>
      </c>
      <c r="I2328" s="17">
        <v>41982</v>
      </c>
    </row>
    <row r="2329" spans="1:9">
      <c r="A2329" s="16" t="s">
        <v>9783</v>
      </c>
      <c r="B2329" s="1" t="s">
        <v>2628</v>
      </c>
      <c r="C2329" s="1">
        <v>155</v>
      </c>
      <c r="D2329" s="1" t="s">
        <v>119</v>
      </c>
      <c r="E2329" s="1" t="s">
        <v>6</v>
      </c>
      <c r="F2329" s="1" t="s">
        <v>5091</v>
      </c>
      <c r="G2329" s="14" t="s">
        <v>6307</v>
      </c>
      <c r="H2329" s="1" t="s">
        <v>44</v>
      </c>
      <c r="I2329" s="17">
        <v>41982</v>
      </c>
    </row>
    <row r="2330" spans="1:9">
      <c r="A2330" s="16" t="s">
        <v>9784</v>
      </c>
      <c r="B2330" s="1" t="s">
        <v>2628</v>
      </c>
      <c r="C2330" s="1">
        <v>155</v>
      </c>
      <c r="D2330" s="1" t="s">
        <v>119</v>
      </c>
      <c r="E2330" s="1" t="s">
        <v>6</v>
      </c>
      <c r="F2330" s="1" t="s">
        <v>5091</v>
      </c>
      <c r="G2330" s="14" t="s">
        <v>6307</v>
      </c>
      <c r="H2330" s="1" t="s">
        <v>44</v>
      </c>
      <c r="I2330" s="17">
        <v>41982</v>
      </c>
    </row>
    <row r="2331" spans="1:9">
      <c r="A2331" s="16" t="s">
        <v>9785</v>
      </c>
      <c r="B2331" s="1" t="s">
        <v>2628</v>
      </c>
      <c r="C2331" s="1">
        <v>155</v>
      </c>
      <c r="D2331" s="1" t="s">
        <v>119</v>
      </c>
      <c r="E2331" s="1" t="s">
        <v>6</v>
      </c>
      <c r="F2331" s="1" t="s">
        <v>5091</v>
      </c>
      <c r="G2331" s="14" t="s">
        <v>6307</v>
      </c>
      <c r="H2331" s="1" t="s">
        <v>44</v>
      </c>
      <c r="I2331" s="17">
        <v>41982</v>
      </c>
    </row>
    <row r="2332" spans="1:9">
      <c r="A2332" s="16" t="s">
        <v>9786</v>
      </c>
      <c r="B2332" s="1" t="s">
        <v>2628</v>
      </c>
      <c r="C2332" s="1">
        <v>155</v>
      </c>
      <c r="D2332" s="1" t="s">
        <v>119</v>
      </c>
      <c r="E2332" s="1" t="s">
        <v>6</v>
      </c>
      <c r="F2332" s="1" t="s">
        <v>5091</v>
      </c>
      <c r="G2332" s="14" t="s">
        <v>6307</v>
      </c>
      <c r="H2332" s="1" t="s">
        <v>44</v>
      </c>
      <c r="I2332" s="17">
        <v>41982</v>
      </c>
    </row>
    <row r="2333" spans="1:9">
      <c r="A2333" s="16" t="s">
        <v>9787</v>
      </c>
      <c r="B2333" s="1" t="s">
        <v>2628</v>
      </c>
      <c r="C2333" s="1">
        <v>155</v>
      </c>
      <c r="D2333" s="1" t="s">
        <v>119</v>
      </c>
      <c r="E2333" s="1" t="s">
        <v>6</v>
      </c>
      <c r="F2333" s="1" t="s">
        <v>5091</v>
      </c>
      <c r="G2333" s="14" t="s">
        <v>6307</v>
      </c>
      <c r="H2333" s="1" t="s">
        <v>44</v>
      </c>
      <c r="I2333" s="17">
        <v>41982</v>
      </c>
    </row>
    <row r="2334" spans="1:9">
      <c r="A2334" s="16" t="s">
        <v>9788</v>
      </c>
      <c r="B2334" s="1" t="s">
        <v>2628</v>
      </c>
      <c r="C2334" s="1">
        <v>155</v>
      </c>
      <c r="D2334" s="1" t="s">
        <v>119</v>
      </c>
      <c r="E2334" s="1" t="s">
        <v>6</v>
      </c>
      <c r="F2334" s="1" t="s">
        <v>5091</v>
      </c>
      <c r="G2334" s="14" t="s">
        <v>6145</v>
      </c>
      <c r="H2334" s="1" t="s">
        <v>43</v>
      </c>
      <c r="I2334" s="17">
        <v>41976</v>
      </c>
    </row>
    <row r="2335" spans="1:9">
      <c r="A2335" s="16" t="s">
        <v>9789</v>
      </c>
      <c r="B2335" s="1" t="s">
        <v>2628</v>
      </c>
      <c r="C2335" s="1">
        <v>155</v>
      </c>
      <c r="D2335" s="1" t="s">
        <v>119</v>
      </c>
      <c r="E2335" s="1" t="s">
        <v>6</v>
      </c>
      <c r="F2335" s="1" t="s">
        <v>5091</v>
      </c>
      <c r="G2335" s="14" t="s">
        <v>6145</v>
      </c>
      <c r="H2335" s="1" t="s">
        <v>43</v>
      </c>
      <c r="I2335" s="17">
        <v>41976</v>
      </c>
    </row>
    <row r="2336" spans="1:9">
      <c r="A2336" s="16" t="s">
        <v>9795</v>
      </c>
      <c r="B2336" s="1" t="s">
        <v>2628</v>
      </c>
      <c r="C2336" s="1">
        <v>155</v>
      </c>
      <c r="D2336" s="1" t="s">
        <v>119</v>
      </c>
      <c r="E2336" s="1" t="s">
        <v>6</v>
      </c>
      <c r="F2336" s="1" t="s">
        <v>5091</v>
      </c>
      <c r="G2336" s="14" t="s">
        <v>6307</v>
      </c>
      <c r="H2336" s="1" t="s">
        <v>44</v>
      </c>
      <c r="I2336" s="17">
        <v>41982</v>
      </c>
    </row>
    <row r="2337" spans="1:9">
      <c r="A2337" s="16" t="s">
        <v>9796</v>
      </c>
      <c r="B2337" s="1" t="s">
        <v>2628</v>
      </c>
      <c r="C2337" s="1">
        <v>155</v>
      </c>
      <c r="D2337" s="1" t="s">
        <v>119</v>
      </c>
      <c r="E2337" s="1" t="s">
        <v>6</v>
      </c>
      <c r="F2337" s="1" t="s">
        <v>5091</v>
      </c>
      <c r="G2337" s="14" t="s">
        <v>6307</v>
      </c>
      <c r="H2337" s="1" t="s">
        <v>44</v>
      </c>
      <c r="I2337" s="17">
        <v>41982</v>
      </c>
    </row>
    <row r="2338" spans="1:9">
      <c r="A2338" s="16" t="s">
        <v>9797</v>
      </c>
      <c r="B2338" s="1" t="s">
        <v>2628</v>
      </c>
      <c r="C2338" s="1">
        <v>155</v>
      </c>
      <c r="D2338" s="1" t="s">
        <v>119</v>
      </c>
      <c r="E2338" s="1" t="s">
        <v>6</v>
      </c>
      <c r="F2338" s="1" t="s">
        <v>5091</v>
      </c>
      <c r="G2338" s="14" t="s">
        <v>6307</v>
      </c>
      <c r="H2338" s="1" t="s">
        <v>44</v>
      </c>
      <c r="I2338" s="17">
        <v>41982</v>
      </c>
    </row>
    <row r="2339" spans="1:9">
      <c r="A2339" s="16" t="s">
        <v>9809</v>
      </c>
      <c r="B2339" s="1" t="s">
        <v>2628</v>
      </c>
      <c r="C2339" s="1">
        <v>155</v>
      </c>
      <c r="D2339" s="1" t="s">
        <v>119</v>
      </c>
      <c r="E2339" s="1" t="s">
        <v>6</v>
      </c>
      <c r="F2339" s="1" t="s">
        <v>5091</v>
      </c>
      <c r="G2339" s="14" t="s">
        <v>6145</v>
      </c>
      <c r="H2339" s="1" t="s">
        <v>43</v>
      </c>
      <c r="I2339" s="17">
        <v>41922</v>
      </c>
    </row>
    <row r="2340" spans="1:9">
      <c r="A2340" s="16" t="s">
        <v>9810</v>
      </c>
      <c r="B2340" s="1" t="s">
        <v>2628</v>
      </c>
      <c r="C2340" s="1">
        <v>155</v>
      </c>
      <c r="D2340" s="1" t="s">
        <v>119</v>
      </c>
      <c r="E2340" s="1" t="s">
        <v>6</v>
      </c>
      <c r="F2340" s="1" t="s">
        <v>5091</v>
      </c>
      <c r="G2340" s="14" t="s">
        <v>6145</v>
      </c>
      <c r="H2340" s="1" t="s">
        <v>43</v>
      </c>
      <c r="I2340" s="17">
        <v>41922</v>
      </c>
    </row>
    <row r="2341" spans="1:9">
      <c r="A2341" s="16" t="s">
        <v>9819</v>
      </c>
      <c r="B2341" s="1" t="s">
        <v>2628</v>
      </c>
      <c r="C2341" s="1">
        <v>155</v>
      </c>
      <c r="D2341" s="1" t="s">
        <v>119</v>
      </c>
      <c r="E2341" s="1" t="s">
        <v>6</v>
      </c>
      <c r="F2341" s="1" t="s">
        <v>5091</v>
      </c>
      <c r="G2341" s="14" t="s">
        <v>7895</v>
      </c>
      <c r="H2341" s="1" t="s">
        <v>43</v>
      </c>
      <c r="I2341" s="17">
        <v>41901</v>
      </c>
    </row>
    <row r="2342" spans="1:9">
      <c r="A2342" s="16" t="s">
        <v>9822</v>
      </c>
      <c r="B2342" s="1" t="s">
        <v>2628</v>
      </c>
      <c r="C2342" s="1">
        <v>155</v>
      </c>
      <c r="D2342" s="1" t="s">
        <v>119</v>
      </c>
      <c r="E2342" s="1" t="s">
        <v>6</v>
      </c>
      <c r="F2342" s="1" t="s">
        <v>5091</v>
      </c>
      <c r="G2342" s="14" t="s">
        <v>7895</v>
      </c>
      <c r="H2342" s="1" t="s">
        <v>43</v>
      </c>
      <c r="I2342" s="17">
        <v>41905</v>
      </c>
    </row>
    <row r="2343" spans="1:9">
      <c r="A2343" s="16" t="s">
        <v>9823</v>
      </c>
      <c r="B2343" s="1" t="s">
        <v>2628</v>
      </c>
      <c r="C2343" s="1">
        <v>155</v>
      </c>
      <c r="D2343" s="1" t="s">
        <v>119</v>
      </c>
      <c r="E2343" s="1" t="s">
        <v>6</v>
      </c>
      <c r="F2343" s="1" t="s">
        <v>5091</v>
      </c>
      <c r="G2343" s="14" t="s">
        <v>7895</v>
      </c>
      <c r="H2343" s="1" t="s">
        <v>43</v>
      </c>
      <c r="I2343" s="17">
        <v>41905</v>
      </c>
    </row>
    <row r="2344" spans="1:9">
      <c r="A2344" s="16" t="s">
        <v>9848</v>
      </c>
      <c r="B2344" s="1" t="s">
        <v>2628</v>
      </c>
      <c r="C2344" s="1">
        <v>155</v>
      </c>
      <c r="D2344" s="1" t="s">
        <v>119</v>
      </c>
      <c r="E2344" s="1" t="s">
        <v>6</v>
      </c>
      <c r="F2344" s="1" t="s">
        <v>5091</v>
      </c>
      <c r="G2344" s="14" t="s">
        <v>6477</v>
      </c>
      <c r="H2344" s="1" t="s">
        <v>5</v>
      </c>
      <c r="I2344" s="17">
        <v>41279</v>
      </c>
    </row>
    <row r="2345" spans="1:9">
      <c r="A2345" s="16" t="s">
        <v>9849</v>
      </c>
      <c r="B2345" s="1" t="s">
        <v>2628</v>
      </c>
      <c r="C2345" s="1">
        <v>155</v>
      </c>
      <c r="D2345" s="1" t="s">
        <v>119</v>
      </c>
      <c r="E2345" s="1" t="s">
        <v>6</v>
      </c>
      <c r="F2345" s="1" t="s">
        <v>5091</v>
      </c>
      <c r="G2345" s="14" t="s">
        <v>6477</v>
      </c>
      <c r="H2345" s="1" t="s">
        <v>5</v>
      </c>
      <c r="I2345" s="17">
        <v>41279</v>
      </c>
    </row>
    <row r="2346" spans="1:9">
      <c r="A2346" s="16" t="s">
        <v>9871</v>
      </c>
      <c r="B2346" s="1" t="s">
        <v>2628</v>
      </c>
      <c r="C2346" s="1">
        <v>155</v>
      </c>
      <c r="D2346" s="1" t="s">
        <v>119</v>
      </c>
      <c r="E2346" s="1" t="s">
        <v>6</v>
      </c>
      <c r="F2346" s="1" t="s">
        <v>5091</v>
      </c>
      <c r="G2346" s="14" t="s">
        <v>7403</v>
      </c>
      <c r="H2346" s="1" t="s">
        <v>44</v>
      </c>
      <c r="I2346" s="17">
        <v>41194</v>
      </c>
    </row>
    <row r="2347" spans="1:9">
      <c r="A2347" s="16" t="s">
        <v>9872</v>
      </c>
      <c r="B2347" s="1" t="s">
        <v>2628</v>
      </c>
      <c r="C2347" s="1">
        <v>155</v>
      </c>
      <c r="D2347" s="1" t="s">
        <v>119</v>
      </c>
      <c r="E2347" s="1" t="s">
        <v>6</v>
      </c>
      <c r="F2347" s="1" t="s">
        <v>5091</v>
      </c>
      <c r="G2347" s="14" t="s">
        <v>7403</v>
      </c>
      <c r="H2347" s="1" t="s">
        <v>44</v>
      </c>
      <c r="I2347" s="17">
        <v>41194</v>
      </c>
    </row>
    <row r="2348" spans="1:9">
      <c r="A2348" s="16" t="s">
        <v>9900</v>
      </c>
      <c r="B2348" s="1" t="s">
        <v>2628</v>
      </c>
      <c r="C2348" s="1">
        <v>155</v>
      </c>
      <c r="D2348" s="1" t="s">
        <v>119</v>
      </c>
      <c r="E2348" s="1" t="s">
        <v>6</v>
      </c>
      <c r="F2348" s="1" t="s">
        <v>5091</v>
      </c>
      <c r="G2348" s="14" t="s">
        <v>9901</v>
      </c>
      <c r="H2348" s="1" t="s">
        <v>5</v>
      </c>
      <c r="I2348" s="17">
        <v>42005</v>
      </c>
    </row>
    <row r="2349" spans="1:9">
      <c r="A2349" s="16" t="s">
        <v>9918</v>
      </c>
      <c r="B2349" s="1" t="s">
        <v>2628</v>
      </c>
      <c r="C2349" s="1">
        <v>155</v>
      </c>
      <c r="D2349" s="1" t="s">
        <v>119</v>
      </c>
      <c r="E2349" s="1" t="s">
        <v>6</v>
      </c>
      <c r="F2349" s="1" t="s">
        <v>5091</v>
      </c>
      <c r="G2349" s="14" t="s">
        <v>4458</v>
      </c>
      <c r="H2349" s="1" t="s">
        <v>118</v>
      </c>
      <c r="I2349" s="17">
        <v>42309</v>
      </c>
    </row>
    <row r="2350" spans="1:9">
      <c r="A2350" s="16" t="s">
        <v>9924</v>
      </c>
      <c r="B2350" s="1" t="s">
        <v>2628</v>
      </c>
      <c r="C2350" s="1">
        <v>155</v>
      </c>
      <c r="D2350" s="1" t="s">
        <v>119</v>
      </c>
      <c r="E2350" s="1" t="s">
        <v>6</v>
      </c>
      <c r="F2350" s="1" t="s">
        <v>5091</v>
      </c>
      <c r="G2350" s="14" t="s">
        <v>6145</v>
      </c>
      <c r="H2350" s="1" t="s">
        <v>43</v>
      </c>
      <c r="I2350" s="17">
        <v>40899</v>
      </c>
    </row>
    <row r="2351" spans="1:9">
      <c r="A2351" s="16" t="s">
        <v>9925</v>
      </c>
      <c r="B2351" s="1" t="s">
        <v>2628</v>
      </c>
      <c r="C2351" s="1">
        <v>155</v>
      </c>
      <c r="D2351" s="1" t="s">
        <v>119</v>
      </c>
      <c r="E2351" s="1" t="s">
        <v>6</v>
      </c>
      <c r="F2351" s="1" t="s">
        <v>5091</v>
      </c>
      <c r="G2351" s="14" t="s">
        <v>6145</v>
      </c>
      <c r="H2351" s="1" t="s">
        <v>43</v>
      </c>
      <c r="I2351" s="17">
        <v>40898</v>
      </c>
    </row>
    <row r="2352" spans="1:9">
      <c r="A2352" s="16" t="s">
        <v>9926</v>
      </c>
      <c r="B2352" s="1" t="s">
        <v>2628</v>
      </c>
      <c r="C2352" s="1">
        <v>155</v>
      </c>
      <c r="D2352" s="1" t="s">
        <v>119</v>
      </c>
      <c r="E2352" s="1" t="s">
        <v>6</v>
      </c>
      <c r="F2352" s="1" t="s">
        <v>5091</v>
      </c>
      <c r="G2352" s="14" t="s">
        <v>6145</v>
      </c>
      <c r="H2352" s="1" t="s">
        <v>43</v>
      </c>
      <c r="I2352" s="17">
        <v>40898</v>
      </c>
    </row>
    <row r="2353" spans="1:9">
      <c r="A2353" s="16" t="s">
        <v>9927</v>
      </c>
      <c r="B2353" s="1" t="s">
        <v>2628</v>
      </c>
      <c r="C2353" s="1">
        <v>155</v>
      </c>
      <c r="D2353" s="1" t="s">
        <v>119</v>
      </c>
      <c r="E2353" s="1" t="s">
        <v>6</v>
      </c>
      <c r="F2353" s="1" t="s">
        <v>5091</v>
      </c>
      <c r="G2353" s="14" t="s">
        <v>6145</v>
      </c>
      <c r="H2353" s="1" t="s">
        <v>43</v>
      </c>
      <c r="I2353" s="17">
        <v>40898</v>
      </c>
    </row>
    <row r="2354" spans="1:9">
      <c r="A2354" s="16" t="s">
        <v>9928</v>
      </c>
      <c r="B2354" s="1" t="s">
        <v>2628</v>
      </c>
      <c r="C2354" s="1">
        <v>155</v>
      </c>
      <c r="D2354" s="1" t="s">
        <v>119</v>
      </c>
      <c r="E2354" s="1" t="s">
        <v>6</v>
      </c>
      <c r="F2354" s="1" t="s">
        <v>5091</v>
      </c>
      <c r="G2354" s="14" t="s">
        <v>6145</v>
      </c>
      <c r="H2354" s="1" t="s">
        <v>43</v>
      </c>
      <c r="I2354" s="17">
        <v>40898</v>
      </c>
    </row>
    <row r="2355" spans="1:9">
      <c r="A2355" s="16" t="s">
        <v>9958</v>
      </c>
      <c r="B2355" s="1" t="s">
        <v>2628</v>
      </c>
      <c r="C2355" s="1">
        <v>155</v>
      </c>
      <c r="D2355" s="1" t="s">
        <v>119</v>
      </c>
      <c r="E2355" s="1" t="s">
        <v>6</v>
      </c>
      <c r="F2355" s="1" t="s">
        <v>5091</v>
      </c>
      <c r="G2355" s="14" t="s">
        <v>9959</v>
      </c>
      <c r="H2355" s="1" t="s">
        <v>5</v>
      </c>
      <c r="I2355" s="17">
        <v>39332</v>
      </c>
    </row>
    <row r="2356" spans="1:9">
      <c r="A2356" s="16" t="s">
        <v>9960</v>
      </c>
      <c r="B2356" s="1" t="s">
        <v>2628</v>
      </c>
      <c r="C2356" s="1">
        <v>155</v>
      </c>
      <c r="D2356" s="1" t="s">
        <v>119</v>
      </c>
      <c r="E2356" s="1" t="s">
        <v>6</v>
      </c>
      <c r="F2356" s="1" t="s">
        <v>5091</v>
      </c>
      <c r="G2356" s="14" t="s">
        <v>9961</v>
      </c>
      <c r="H2356" s="1" t="s">
        <v>5</v>
      </c>
      <c r="I2356" s="17">
        <v>39332</v>
      </c>
    </row>
    <row r="2357" spans="1:9">
      <c r="A2357" s="16" t="s">
        <v>9962</v>
      </c>
      <c r="B2357" s="1" t="s">
        <v>2628</v>
      </c>
      <c r="C2357" s="1">
        <v>155</v>
      </c>
      <c r="D2357" s="1" t="s">
        <v>119</v>
      </c>
      <c r="E2357" s="1" t="s">
        <v>6</v>
      </c>
      <c r="F2357" s="1" t="s">
        <v>5091</v>
      </c>
      <c r="G2357" s="14" t="s">
        <v>9961</v>
      </c>
      <c r="H2357" s="1" t="s">
        <v>5</v>
      </c>
      <c r="I2357" s="17">
        <v>39332</v>
      </c>
    </row>
    <row r="2358" spans="1:9">
      <c r="A2358" s="16" t="s">
        <v>9965</v>
      </c>
      <c r="B2358" s="1" t="s">
        <v>2628</v>
      </c>
      <c r="C2358" s="1">
        <v>155</v>
      </c>
      <c r="D2358" s="1" t="s">
        <v>119</v>
      </c>
      <c r="E2358" s="1" t="s">
        <v>6</v>
      </c>
      <c r="F2358" s="1" t="s">
        <v>5091</v>
      </c>
      <c r="G2358" s="14" t="s">
        <v>9966</v>
      </c>
      <c r="H2358" s="1" t="s">
        <v>5</v>
      </c>
      <c r="I2358" s="17">
        <v>39325</v>
      </c>
    </row>
    <row r="2359" spans="1:9">
      <c r="A2359" s="16" t="s">
        <v>9983</v>
      </c>
      <c r="B2359" s="1" t="s">
        <v>2628</v>
      </c>
      <c r="C2359" s="1">
        <v>155</v>
      </c>
      <c r="D2359" s="1" t="s">
        <v>119</v>
      </c>
      <c r="E2359" s="1" t="s">
        <v>6</v>
      </c>
      <c r="F2359" s="1" t="s">
        <v>5091</v>
      </c>
      <c r="G2359" s="14" t="s">
        <v>6236</v>
      </c>
      <c r="H2359" s="1" t="s">
        <v>43</v>
      </c>
      <c r="I2359" s="17">
        <v>42005</v>
      </c>
    </row>
    <row r="2360" spans="1:9">
      <c r="A2360" s="16" t="s">
        <v>9991</v>
      </c>
      <c r="B2360" s="1" t="s">
        <v>2628</v>
      </c>
      <c r="C2360" s="1">
        <v>155</v>
      </c>
      <c r="D2360" s="1" t="s">
        <v>119</v>
      </c>
      <c r="E2360" s="1" t="s">
        <v>6</v>
      </c>
      <c r="F2360" s="1" t="s">
        <v>5091</v>
      </c>
      <c r="G2360" s="14" t="s">
        <v>6307</v>
      </c>
      <c r="H2360" s="1" t="s">
        <v>44</v>
      </c>
      <c r="I2360" s="17">
        <v>42006</v>
      </c>
    </row>
    <row r="2361" spans="1:9">
      <c r="A2361" s="16" t="s">
        <v>9999</v>
      </c>
      <c r="B2361" s="1" t="s">
        <v>2628</v>
      </c>
      <c r="C2361" s="1">
        <v>1120</v>
      </c>
      <c r="D2361" s="1" t="s">
        <v>119</v>
      </c>
      <c r="E2361" s="1" t="s">
        <v>6</v>
      </c>
      <c r="F2361" s="1" t="s">
        <v>5091</v>
      </c>
      <c r="G2361" s="14" t="s">
        <v>6307</v>
      </c>
      <c r="H2361" s="1" t="s">
        <v>44</v>
      </c>
      <c r="I2361" s="17">
        <v>42006</v>
      </c>
    </row>
    <row r="2362" spans="1:9">
      <c r="A2362" s="16" t="s">
        <v>10000</v>
      </c>
      <c r="B2362" s="1" t="s">
        <v>2628</v>
      </c>
      <c r="C2362" s="1">
        <v>155</v>
      </c>
      <c r="D2362" s="1" t="s">
        <v>119</v>
      </c>
      <c r="E2362" s="1" t="s">
        <v>6</v>
      </c>
      <c r="F2362" s="1" t="s">
        <v>5091</v>
      </c>
      <c r="G2362" s="14" t="s">
        <v>6307</v>
      </c>
      <c r="H2362" s="1" t="s">
        <v>44</v>
      </c>
      <c r="I2362" s="17">
        <v>42006</v>
      </c>
    </row>
    <row r="2363" spans="1:9">
      <c r="A2363" s="16" t="s">
        <v>10004</v>
      </c>
      <c r="B2363" s="1" t="s">
        <v>2628</v>
      </c>
      <c r="C2363" s="1">
        <v>155</v>
      </c>
      <c r="D2363" s="1" t="s">
        <v>119</v>
      </c>
      <c r="E2363" s="1" t="s">
        <v>6</v>
      </c>
      <c r="F2363" s="1" t="s">
        <v>5091</v>
      </c>
      <c r="G2363" s="14" t="s">
        <v>6307</v>
      </c>
      <c r="H2363" s="1" t="s">
        <v>44</v>
      </c>
      <c r="I2363" s="17">
        <v>42031</v>
      </c>
    </row>
    <row r="2364" spans="1:9">
      <c r="A2364" s="16" t="s">
        <v>10005</v>
      </c>
      <c r="B2364" s="1" t="s">
        <v>2628</v>
      </c>
      <c r="C2364" s="1">
        <v>155</v>
      </c>
      <c r="D2364" s="1" t="s">
        <v>119</v>
      </c>
      <c r="E2364" s="1" t="s">
        <v>6</v>
      </c>
      <c r="F2364" s="1" t="s">
        <v>5091</v>
      </c>
      <c r="G2364" s="14" t="s">
        <v>6307</v>
      </c>
      <c r="H2364" s="1" t="s">
        <v>44</v>
      </c>
      <c r="I2364" s="17">
        <v>42031</v>
      </c>
    </row>
    <row r="2365" spans="1:9">
      <c r="A2365" s="16" t="s">
        <v>10006</v>
      </c>
      <c r="B2365" s="1" t="s">
        <v>2628</v>
      </c>
      <c r="C2365" s="1">
        <v>155</v>
      </c>
      <c r="D2365" s="1" t="s">
        <v>119</v>
      </c>
      <c r="E2365" s="1" t="s">
        <v>6</v>
      </c>
      <c r="F2365" s="1" t="s">
        <v>5091</v>
      </c>
      <c r="G2365" s="14" t="s">
        <v>6307</v>
      </c>
      <c r="H2365" s="1" t="s">
        <v>44</v>
      </c>
      <c r="I2365" s="17">
        <v>42031</v>
      </c>
    </row>
    <row r="2366" spans="1:9">
      <c r="A2366" s="16" t="s">
        <v>10010</v>
      </c>
      <c r="B2366" s="1" t="s">
        <v>2628</v>
      </c>
      <c r="C2366" s="1">
        <v>155</v>
      </c>
      <c r="D2366" s="1" t="s">
        <v>119</v>
      </c>
      <c r="E2366" s="1" t="s">
        <v>6</v>
      </c>
      <c r="F2366" s="1" t="s">
        <v>5091</v>
      </c>
      <c r="G2366" s="14" t="s">
        <v>6307</v>
      </c>
      <c r="H2366" s="1" t="s">
        <v>44</v>
      </c>
      <c r="I2366" s="17">
        <v>42018</v>
      </c>
    </row>
    <row r="2367" spans="1:9">
      <c r="A2367" s="16" t="s">
        <v>10110</v>
      </c>
      <c r="B2367" s="1" t="s">
        <v>2628</v>
      </c>
      <c r="C2367" s="1">
        <v>372</v>
      </c>
      <c r="D2367" s="1" t="s">
        <v>119</v>
      </c>
      <c r="E2367" s="1" t="s">
        <v>6</v>
      </c>
      <c r="F2367" s="1" t="s">
        <v>36</v>
      </c>
      <c r="G2367" s="14" t="s">
        <v>10111</v>
      </c>
      <c r="H2367" s="1" t="s">
        <v>5</v>
      </c>
      <c r="I2367" s="17">
        <v>40544</v>
      </c>
    </row>
    <row r="2368" spans="1:9">
      <c r="A2368" s="16" t="s">
        <v>10115</v>
      </c>
      <c r="B2368" s="1" t="s">
        <v>2628</v>
      </c>
      <c r="C2368" s="1">
        <v>155</v>
      </c>
      <c r="D2368" s="1" t="s">
        <v>119</v>
      </c>
      <c r="E2368" s="1" t="s">
        <v>6</v>
      </c>
      <c r="F2368" s="1" t="s">
        <v>5091</v>
      </c>
      <c r="G2368" s="14" t="s">
        <v>10116</v>
      </c>
      <c r="H2368" s="1" t="s">
        <v>5</v>
      </c>
      <c r="I2368" s="17">
        <v>42360</v>
      </c>
    </row>
    <row r="2369" spans="1:9">
      <c r="A2369" s="16" t="s">
        <v>10117</v>
      </c>
      <c r="B2369" s="1" t="s">
        <v>2628</v>
      </c>
      <c r="C2369" s="1">
        <v>155</v>
      </c>
      <c r="D2369" s="1" t="s">
        <v>119</v>
      </c>
      <c r="E2369" s="1" t="s">
        <v>6</v>
      </c>
      <c r="F2369" s="1" t="s">
        <v>5091</v>
      </c>
      <c r="G2369" s="14" t="s">
        <v>10116</v>
      </c>
      <c r="H2369" s="1" t="s">
        <v>5</v>
      </c>
      <c r="I2369" s="17">
        <v>42361</v>
      </c>
    </row>
    <row r="2370" spans="1:9">
      <c r="A2370" s="16" t="s">
        <v>10157</v>
      </c>
      <c r="B2370" s="1" t="s">
        <v>2628</v>
      </c>
      <c r="C2370" s="1">
        <v>155</v>
      </c>
      <c r="D2370" s="1" t="s">
        <v>119</v>
      </c>
      <c r="E2370" s="1" t="s">
        <v>6</v>
      </c>
      <c r="F2370" s="1" t="s">
        <v>5091</v>
      </c>
      <c r="G2370" s="14" t="s">
        <v>10158</v>
      </c>
      <c r="H2370" s="1" t="s">
        <v>44</v>
      </c>
      <c r="I2370" s="17">
        <v>42357</v>
      </c>
    </row>
    <row r="2371" spans="1:9">
      <c r="A2371" s="16" t="s">
        <v>10159</v>
      </c>
      <c r="B2371" s="1" t="s">
        <v>2628</v>
      </c>
      <c r="C2371" s="1">
        <v>155</v>
      </c>
      <c r="D2371" s="1" t="s">
        <v>119</v>
      </c>
      <c r="E2371" s="1" t="s">
        <v>6</v>
      </c>
      <c r="F2371" s="1" t="s">
        <v>5091</v>
      </c>
      <c r="G2371" s="14" t="s">
        <v>6536</v>
      </c>
      <c r="H2371" s="1" t="s">
        <v>43</v>
      </c>
      <c r="I2371" s="17">
        <v>42367</v>
      </c>
    </row>
    <row r="2372" spans="1:9">
      <c r="A2372" s="16" t="s">
        <v>10180</v>
      </c>
      <c r="B2372" s="1" t="s">
        <v>2628</v>
      </c>
      <c r="C2372" s="1">
        <v>155</v>
      </c>
      <c r="D2372" s="1" t="s">
        <v>119</v>
      </c>
      <c r="E2372" s="1" t="s">
        <v>6</v>
      </c>
      <c r="F2372" s="1" t="s">
        <v>36</v>
      </c>
      <c r="G2372" s="14" t="s">
        <v>10181</v>
      </c>
      <c r="H2372" s="1" t="s">
        <v>43</v>
      </c>
      <c r="I2372" s="17">
        <v>38718</v>
      </c>
    </row>
    <row r="2373" spans="1:9">
      <c r="A2373" s="16" t="s">
        <v>10186</v>
      </c>
      <c r="B2373" s="1" t="s">
        <v>2628</v>
      </c>
      <c r="C2373" s="1">
        <v>155</v>
      </c>
      <c r="D2373" s="1" t="s">
        <v>119</v>
      </c>
      <c r="E2373" s="1" t="s">
        <v>6</v>
      </c>
      <c r="F2373" s="1" t="s">
        <v>36</v>
      </c>
      <c r="G2373" s="14" t="s">
        <v>10181</v>
      </c>
      <c r="H2373" s="1" t="s">
        <v>43</v>
      </c>
      <c r="I2373" s="17">
        <v>38718</v>
      </c>
    </row>
    <row r="2374" spans="1:9">
      <c r="A2374" s="16" t="s">
        <v>10193</v>
      </c>
      <c r="B2374" s="1" t="s">
        <v>2628</v>
      </c>
      <c r="C2374" s="1">
        <v>155</v>
      </c>
      <c r="D2374" s="1" t="s">
        <v>119</v>
      </c>
      <c r="E2374" s="1" t="s">
        <v>6</v>
      </c>
      <c r="F2374" s="1" t="s">
        <v>36</v>
      </c>
      <c r="G2374" s="14" t="s">
        <v>10181</v>
      </c>
      <c r="H2374" s="1" t="s">
        <v>43</v>
      </c>
      <c r="I2374" s="17">
        <v>38718</v>
      </c>
    </row>
    <row r="2375" spans="1:9">
      <c r="A2375" s="16" t="s">
        <v>10208</v>
      </c>
      <c r="B2375" s="1" t="s">
        <v>2628</v>
      </c>
      <c r="C2375" s="1">
        <v>155</v>
      </c>
      <c r="D2375" s="1" t="s">
        <v>119</v>
      </c>
      <c r="E2375" s="1" t="s">
        <v>6</v>
      </c>
      <c r="F2375" s="1" t="s">
        <v>36</v>
      </c>
      <c r="G2375" s="14" t="s">
        <v>10209</v>
      </c>
      <c r="H2375" s="1" t="s">
        <v>43</v>
      </c>
      <c r="I2375" s="17">
        <v>39814</v>
      </c>
    </row>
    <row r="2376" spans="1:9">
      <c r="A2376" s="16" t="s">
        <v>10211</v>
      </c>
      <c r="B2376" s="1" t="s">
        <v>2628</v>
      </c>
      <c r="C2376" s="1">
        <v>155</v>
      </c>
      <c r="D2376" s="1" t="s">
        <v>119</v>
      </c>
      <c r="E2376" s="1" t="s">
        <v>6</v>
      </c>
      <c r="F2376" s="1" t="s">
        <v>5091</v>
      </c>
      <c r="G2376" s="14" t="s">
        <v>10212</v>
      </c>
      <c r="H2376" s="1" t="s">
        <v>5</v>
      </c>
      <c r="I2376" s="17">
        <v>41101</v>
      </c>
    </row>
    <row r="2377" spans="1:9">
      <c r="A2377" s="16" t="s">
        <v>10247</v>
      </c>
      <c r="B2377" s="1" t="s">
        <v>2628</v>
      </c>
      <c r="C2377" s="1">
        <v>155</v>
      </c>
      <c r="D2377" s="1" t="s">
        <v>119</v>
      </c>
      <c r="E2377" s="1" t="s">
        <v>6</v>
      </c>
      <c r="F2377" s="1" t="s">
        <v>36</v>
      </c>
      <c r="G2377" s="14" t="s">
        <v>10248</v>
      </c>
      <c r="H2377" s="1" t="s">
        <v>5</v>
      </c>
      <c r="I2377" s="17">
        <v>39814</v>
      </c>
    </row>
    <row r="2378" spans="1:9">
      <c r="A2378" s="16" t="s">
        <v>10266</v>
      </c>
      <c r="B2378" s="1" t="s">
        <v>2628</v>
      </c>
      <c r="C2378" s="1">
        <v>155</v>
      </c>
      <c r="D2378" s="1" t="s">
        <v>119</v>
      </c>
      <c r="E2378" s="1" t="s">
        <v>6</v>
      </c>
      <c r="F2378" s="1" t="s">
        <v>36</v>
      </c>
      <c r="G2378" s="14" t="s">
        <v>10244</v>
      </c>
      <c r="H2378" s="1" t="s">
        <v>43</v>
      </c>
      <c r="I2378" s="17">
        <v>39814</v>
      </c>
    </row>
    <row r="2379" spans="1:9">
      <c r="A2379" s="16" t="s">
        <v>10267</v>
      </c>
      <c r="B2379" s="1" t="s">
        <v>2628</v>
      </c>
      <c r="C2379" s="1">
        <v>155</v>
      </c>
      <c r="D2379" s="1" t="s">
        <v>119</v>
      </c>
      <c r="E2379" s="1" t="s">
        <v>6</v>
      </c>
      <c r="F2379" s="1" t="s">
        <v>36</v>
      </c>
      <c r="G2379" s="14" t="s">
        <v>10261</v>
      </c>
      <c r="H2379" s="1" t="s">
        <v>43</v>
      </c>
      <c r="I2379" s="17">
        <v>40544</v>
      </c>
    </row>
    <row r="2380" spans="1:9">
      <c r="A2380" s="16" t="s">
        <v>10282</v>
      </c>
      <c r="B2380" s="1" t="s">
        <v>2628</v>
      </c>
      <c r="C2380" s="1">
        <v>155</v>
      </c>
      <c r="D2380" s="1" t="s">
        <v>119</v>
      </c>
      <c r="E2380" s="1" t="s">
        <v>6</v>
      </c>
      <c r="F2380" s="1" t="s">
        <v>5091</v>
      </c>
      <c r="G2380" s="14" t="s">
        <v>6307</v>
      </c>
      <c r="H2380" s="1" t="s">
        <v>44</v>
      </c>
      <c r="I2380" s="17">
        <v>42054</v>
      </c>
    </row>
    <row r="2381" spans="1:9">
      <c r="A2381" s="16" t="s">
        <v>10283</v>
      </c>
      <c r="B2381" s="1" t="s">
        <v>2628</v>
      </c>
      <c r="C2381" s="1">
        <v>155</v>
      </c>
      <c r="D2381" s="1" t="s">
        <v>119</v>
      </c>
      <c r="E2381" s="1" t="s">
        <v>6</v>
      </c>
      <c r="F2381" s="1" t="s">
        <v>5091</v>
      </c>
      <c r="G2381" s="14" t="s">
        <v>6307</v>
      </c>
      <c r="H2381" s="1" t="s">
        <v>44</v>
      </c>
      <c r="I2381" s="17">
        <v>42054</v>
      </c>
    </row>
    <row r="2382" spans="1:9">
      <c r="A2382" s="16" t="s">
        <v>10284</v>
      </c>
      <c r="B2382" s="1" t="s">
        <v>2628</v>
      </c>
      <c r="C2382" s="1">
        <v>155</v>
      </c>
      <c r="D2382" s="1" t="s">
        <v>119</v>
      </c>
      <c r="E2382" s="1" t="s">
        <v>6</v>
      </c>
      <c r="F2382" s="1" t="s">
        <v>5091</v>
      </c>
      <c r="G2382" s="14" t="s">
        <v>6307</v>
      </c>
      <c r="H2382" s="1" t="s">
        <v>44</v>
      </c>
      <c r="I2382" s="17">
        <v>42054</v>
      </c>
    </row>
    <row r="2383" spans="1:9">
      <c r="A2383" s="16" t="s">
        <v>10294</v>
      </c>
      <c r="B2383" s="1" t="s">
        <v>2628</v>
      </c>
      <c r="C2383" s="1">
        <v>155</v>
      </c>
      <c r="D2383" s="1" t="s">
        <v>119</v>
      </c>
      <c r="E2383" s="1" t="s">
        <v>6</v>
      </c>
      <c r="F2383" s="1" t="s">
        <v>5091</v>
      </c>
      <c r="G2383" s="14" t="s">
        <v>6307</v>
      </c>
      <c r="H2383" s="1" t="s">
        <v>44</v>
      </c>
      <c r="I2383" s="17">
        <v>42054</v>
      </c>
    </row>
    <row r="2384" spans="1:9">
      <c r="A2384" s="16" t="s">
        <v>10319</v>
      </c>
      <c r="B2384" s="1" t="s">
        <v>2628</v>
      </c>
      <c r="C2384" s="1">
        <v>155</v>
      </c>
      <c r="D2384" s="1" t="s">
        <v>119</v>
      </c>
      <c r="E2384" s="1" t="s">
        <v>6</v>
      </c>
      <c r="F2384" s="1" t="s">
        <v>5091</v>
      </c>
      <c r="G2384" s="14" t="s">
        <v>6145</v>
      </c>
      <c r="H2384" s="1" t="s">
        <v>43</v>
      </c>
      <c r="I2384" s="17">
        <v>41101</v>
      </c>
    </row>
    <row r="2385" spans="1:9">
      <c r="A2385" s="16" t="s">
        <v>10320</v>
      </c>
      <c r="B2385" s="1" t="s">
        <v>2628</v>
      </c>
      <c r="C2385" s="1">
        <v>155</v>
      </c>
      <c r="D2385" s="1" t="s">
        <v>119</v>
      </c>
      <c r="E2385" s="1" t="s">
        <v>6</v>
      </c>
      <c r="F2385" s="1" t="s">
        <v>5091</v>
      </c>
      <c r="G2385" s="14" t="s">
        <v>6145</v>
      </c>
      <c r="H2385" s="1" t="s">
        <v>43</v>
      </c>
      <c r="I2385" s="17">
        <v>41101</v>
      </c>
    </row>
    <row r="2386" spans="1:9">
      <c r="A2386" s="16" t="s">
        <v>10321</v>
      </c>
      <c r="B2386" s="1" t="s">
        <v>2628</v>
      </c>
      <c r="C2386" s="1">
        <v>155</v>
      </c>
      <c r="D2386" s="1" t="s">
        <v>119</v>
      </c>
      <c r="E2386" s="1" t="s">
        <v>6</v>
      </c>
      <c r="F2386" s="1" t="s">
        <v>5091</v>
      </c>
      <c r="G2386" s="14" t="s">
        <v>6145</v>
      </c>
      <c r="H2386" s="1" t="s">
        <v>43</v>
      </c>
      <c r="I2386" s="17">
        <v>41101</v>
      </c>
    </row>
    <row r="2387" spans="1:9">
      <c r="A2387" s="16" t="s">
        <v>10322</v>
      </c>
      <c r="B2387" s="1" t="s">
        <v>2628</v>
      </c>
      <c r="C2387" s="1">
        <v>155</v>
      </c>
      <c r="D2387" s="1" t="s">
        <v>119</v>
      </c>
      <c r="E2387" s="1" t="s">
        <v>6</v>
      </c>
      <c r="F2387" s="1" t="s">
        <v>5091</v>
      </c>
      <c r="G2387" s="14" t="s">
        <v>6145</v>
      </c>
      <c r="H2387" s="1" t="s">
        <v>43</v>
      </c>
      <c r="I2387" s="17">
        <v>41101</v>
      </c>
    </row>
    <row r="2388" spans="1:9">
      <c r="A2388" s="16" t="s">
        <v>10323</v>
      </c>
      <c r="B2388" s="1" t="s">
        <v>2628</v>
      </c>
      <c r="C2388" s="1">
        <v>155</v>
      </c>
      <c r="D2388" s="1" t="s">
        <v>119</v>
      </c>
      <c r="E2388" s="1" t="s">
        <v>6</v>
      </c>
      <c r="F2388" s="1" t="s">
        <v>5091</v>
      </c>
      <c r="G2388" s="14" t="s">
        <v>6145</v>
      </c>
      <c r="H2388" s="1" t="s">
        <v>43</v>
      </c>
      <c r="I2388" s="17">
        <v>41101</v>
      </c>
    </row>
    <row r="2389" spans="1:9">
      <c r="A2389" s="16" t="s">
        <v>10324</v>
      </c>
      <c r="B2389" s="1" t="s">
        <v>2628</v>
      </c>
      <c r="C2389" s="1">
        <v>155</v>
      </c>
      <c r="D2389" s="1" t="s">
        <v>119</v>
      </c>
      <c r="E2389" s="1" t="s">
        <v>6</v>
      </c>
      <c r="F2389" s="1" t="s">
        <v>5091</v>
      </c>
      <c r="G2389" s="14" t="s">
        <v>6145</v>
      </c>
      <c r="H2389" s="1" t="s">
        <v>43</v>
      </c>
      <c r="I2389" s="17">
        <v>41101</v>
      </c>
    </row>
    <row r="2390" spans="1:9">
      <c r="A2390" s="16" t="s">
        <v>10325</v>
      </c>
      <c r="B2390" s="1" t="s">
        <v>2628</v>
      </c>
      <c r="C2390" s="1">
        <v>155</v>
      </c>
      <c r="D2390" s="1" t="s">
        <v>119</v>
      </c>
      <c r="E2390" s="1" t="s">
        <v>6</v>
      </c>
      <c r="F2390" s="1" t="s">
        <v>5091</v>
      </c>
      <c r="G2390" s="14" t="s">
        <v>6145</v>
      </c>
      <c r="H2390" s="1" t="s">
        <v>43</v>
      </c>
      <c r="I2390" s="17">
        <v>41101</v>
      </c>
    </row>
    <row r="2391" spans="1:9">
      <c r="A2391" s="16" t="s">
        <v>10326</v>
      </c>
      <c r="B2391" s="1" t="s">
        <v>2628</v>
      </c>
      <c r="C2391" s="1">
        <v>155</v>
      </c>
      <c r="D2391" s="1" t="s">
        <v>119</v>
      </c>
      <c r="E2391" s="1" t="s">
        <v>6</v>
      </c>
      <c r="F2391" s="1" t="s">
        <v>5091</v>
      </c>
      <c r="G2391" s="14" t="s">
        <v>8502</v>
      </c>
      <c r="H2391" s="1" t="s">
        <v>43</v>
      </c>
      <c r="I2391" s="17">
        <v>41808</v>
      </c>
    </row>
    <row r="2392" spans="1:9" ht="31.2">
      <c r="A2392" s="16" t="s">
        <v>10327</v>
      </c>
      <c r="B2392" s="1" t="s">
        <v>2628</v>
      </c>
      <c r="C2392" s="1">
        <v>155</v>
      </c>
      <c r="D2392" s="1" t="s">
        <v>119</v>
      </c>
      <c r="E2392" s="1" t="s">
        <v>6</v>
      </c>
      <c r="F2392" s="1" t="s">
        <v>5091</v>
      </c>
      <c r="G2392" s="14" t="s">
        <v>8502</v>
      </c>
      <c r="H2392" s="1" t="s">
        <v>43</v>
      </c>
      <c r="I2392" s="17">
        <v>41809</v>
      </c>
    </row>
    <row r="2393" spans="1:9">
      <c r="A2393" s="16" t="s">
        <v>10328</v>
      </c>
      <c r="B2393" s="1" t="s">
        <v>2628</v>
      </c>
      <c r="C2393" s="1">
        <v>155</v>
      </c>
      <c r="D2393" s="1" t="s">
        <v>119</v>
      </c>
      <c r="E2393" s="1" t="s">
        <v>6</v>
      </c>
      <c r="F2393" s="1" t="s">
        <v>5091</v>
      </c>
      <c r="G2393" s="14" t="s">
        <v>8502</v>
      </c>
      <c r="H2393" s="1" t="s">
        <v>43</v>
      </c>
      <c r="I2393" s="17">
        <v>41809</v>
      </c>
    </row>
    <row r="2394" spans="1:9">
      <c r="A2394" s="16" t="s">
        <v>10349</v>
      </c>
      <c r="B2394" s="1" t="s">
        <v>2628</v>
      </c>
      <c r="C2394" s="1">
        <v>155</v>
      </c>
      <c r="D2394" s="1" t="s">
        <v>119</v>
      </c>
      <c r="E2394" s="1" t="s">
        <v>6</v>
      </c>
      <c r="F2394" s="1" t="s">
        <v>5091</v>
      </c>
      <c r="G2394" s="14" t="s">
        <v>6145</v>
      </c>
      <c r="H2394" s="1" t="s">
        <v>43</v>
      </c>
      <c r="I2394" s="17">
        <v>41101</v>
      </c>
    </row>
    <row r="2395" spans="1:9">
      <c r="A2395" s="16" t="s">
        <v>10350</v>
      </c>
      <c r="B2395" s="1" t="s">
        <v>2628</v>
      </c>
      <c r="C2395" s="1">
        <v>155</v>
      </c>
      <c r="D2395" s="1" t="s">
        <v>119</v>
      </c>
      <c r="E2395" s="1" t="s">
        <v>6</v>
      </c>
      <c r="F2395" s="1" t="s">
        <v>5091</v>
      </c>
      <c r="G2395" s="14" t="s">
        <v>10212</v>
      </c>
      <c r="H2395" s="1" t="s">
        <v>5</v>
      </c>
      <c r="I2395" s="17">
        <v>41101</v>
      </c>
    </row>
    <row r="2396" spans="1:9">
      <c r="A2396" s="16" t="s">
        <v>10381</v>
      </c>
      <c r="B2396" s="1" t="s">
        <v>2628</v>
      </c>
      <c r="C2396" s="1">
        <v>155</v>
      </c>
      <c r="D2396" s="1" t="s">
        <v>119</v>
      </c>
      <c r="E2396" s="1" t="s">
        <v>6</v>
      </c>
      <c r="F2396" s="1" t="s">
        <v>5091</v>
      </c>
      <c r="G2396" s="14" t="s">
        <v>6909</v>
      </c>
      <c r="H2396" s="1" t="s">
        <v>43</v>
      </c>
      <c r="I2396" s="17">
        <v>42370</v>
      </c>
    </row>
    <row r="2397" spans="1:9">
      <c r="A2397" s="16" t="s">
        <v>10431</v>
      </c>
      <c r="B2397" s="1" t="s">
        <v>2628</v>
      </c>
      <c r="C2397" s="1">
        <v>155</v>
      </c>
      <c r="D2397" s="1" t="s">
        <v>119</v>
      </c>
      <c r="E2397" s="1" t="s">
        <v>6</v>
      </c>
      <c r="F2397" s="1" t="s">
        <v>5091</v>
      </c>
      <c r="G2397" s="14" t="s">
        <v>9966</v>
      </c>
      <c r="H2397" s="1" t="s">
        <v>5</v>
      </c>
      <c r="I2397" s="17">
        <v>39377</v>
      </c>
    </row>
    <row r="2398" spans="1:9">
      <c r="A2398" s="16" t="s">
        <v>10438</v>
      </c>
      <c r="B2398" s="1" t="s">
        <v>2628</v>
      </c>
      <c r="C2398" s="1">
        <v>155</v>
      </c>
      <c r="D2398" s="1" t="s">
        <v>119</v>
      </c>
      <c r="E2398" s="1" t="s">
        <v>6</v>
      </c>
      <c r="F2398" s="1" t="s">
        <v>5091</v>
      </c>
      <c r="G2398" s="14" t="s">
        <v>6236</v>
      </c>
      <c r="H2398" s="1" t="s">
        <v>43</v>
      </c>
      <c r="I2398" s="17">
        <v>42370</v>
      </c>
    </row>
    <row r="2399" spans="1:9">
      <c r="A2399" s="16" t="s">
        <v>10478</v>
      </c>
      <c r="B2399" s="1" t="s">
        <v>2628</v>
      </c>
      <c r="C2399" s="1">
        <v>155</v>
      </c>
      <c r="D2399" s="1" t="s">
        <v>119</v>
      </c>
      <c r="E2399" s="1" t="s">
        <v>6</v>
      </c>
      <c r="F2399" s="1" t="s">
        <v>5091</v>
      </c>
      <c r="G2399" s="14" t="s">
        <v>10479</v>
      </c>
      <c r="H2399" s="1" t="s">
        <v>5</v>
      </c>
      <c r="I2399" s="17">
        <v>39332</v>
      </c>
    </row>
    <row r="2400" spans="1:9">
      <c r="A2400" s="16" t="s">
        <v>10511</v>
      </c>
      <c r="B2400" s="1" t="s">
        <v>2628</v>
      </c>
      <c r="C2400" s="1">
        <v>155</v>
      </c>
      <c r="D2400" s="1" t="s">
        <v>119</v>
      </c>
      <c r="E2400" s="1" t="s">
        <v>6</v>
      </c>
      <c r="F2400" s="1" t="s">
        <v>5091</v>
      </c>
      <c r="G2400" s="14" t="s">
        <v>4458</v>
      </c>
      <c r="H2400" s="1" t="s">
        <v>118</v>
      </c>
      <c r="I2400" s="1" t="s">
        <v>4458</v>
      </c>
    </row>
    <row r="2401" spans="1:9">
      <c r="A2401" s="16" t="s">
        <v>10512</v>
      </c>
      <c r="B2401" s="1" t="s">
        <v>2628</v>
      </c>
      <c r="C2401" s="1">
        <v>155</v>
      </c>
      <c r="D2401" s="1" t="s">
        <v>119</v>
      </c>
      <c r="E2401" s="1" t="s">
        <v>6</v>
      </c>
      <c r="F2401" s="1" t="s">
        <v>5091</v>
      </c>
      <c r="G2401" s="14" t="s">
        <v>4458</v>
      </c>
      <c r="H2401" s="1" t="s">
        <v>118</v>
      </c>
      <c r="I2401" s="1" t="s">
        <v>4458</v>
      </c>
    </row>
    <row r="2402" spans="1:9">
      <c r="A2402" s="16" t="s">
        <v>10533</v>
      </c>
      <c r="B2402" s="1" t="s">
        <v>2628</v>
      </c>
      <c r="C2402" s="1">
        <v>155</v>
      </c>
      <c r="D2402" s="1" t="s">
        <v>119</v>
      </c>
      <c r="E2402" s="1" t="s">
        <v>6</v>
      </c>
      <c r="F2402" s="1" t="s">
        <v>5091</v>
      </c>
      <c r="G2402" s="14" t="s">
        <v>6530</v>
      </c>
      <c r="H2402" s="1" t="s">
        <v>43</v>
      </c>
      <c r="I2402" s="17">
        <v>42416</v>
      </c>
    </row>
    <row r="2403" spans="1:9">
      <c r="A2403" s="16" t="s">
        <v>10575</v>
      </c>
      <c r="B2403" s="1" t="s">
        <v>2628</v>
      </c>
      <c r="C2403" s="1">
        <v>155</v>
      </c>
      <c r="D2403" s="1" t="s">
        <v>119</v>
      </c>
      <c r="E2403" s="1" t="s">
        <v>6</v>
      </c>
      <c r="F2403" s="1" t="s">
        <v>5091</v>
      </c>
      <c r="G2403" s="14" t="s">
        <v>10479</v>
      </c>
      <c r="H2403" s="1" t="s">
        <v>5</v>
      </c>
      <c r="I2403" s="17">
        <v>39332</v>
      </c>
    </row>
    <row r="2404" spans="1:9">
      <c r="A2404" s="16" t="s">
        <v>10576</v>
      </c>
      <c r="B2404" s="1" t="s">
        <v>2628</v>
      </c>
      <c r="C2404" s="1">
        <v>155</v>
      </c>
      <c r="D2404" s="1" t="s">
        <v>119</v>
      </c>
      <c r="E2404" s="1" t="s">
        <v>6</v>
      </c>
      <c r="F2404" s="1" t="s">
        <v>5091</v>
      </c>
      <c r="G2404" s="14" t="s">
        <v>9966</v>
      </c>
      <c r="H2404" s="1" t="s">
        <v>5</v>
      </c>
      <c r="I2404" s="17">
        <v>39332</v>
      </c>
    </row>
    <row r="2405" spans="1:9">
      <c r="A2405" s="16" t="s">
        <v>10694</v>
      </c>
      <c r="B2405" s="1" t="s">
        <v>2628</v>
      </c>
      <c r="C2405" s="1">
        <v>155</v>
      </c>
      <c r="D2405" s="1" t="s">
        <v>119</v>
      </c>
      <c r="E2405" s="1" t="s">
        <v>6</v>
      </c>
      <c r="F2405" s="1" t="s">
        <v>5091</v>
      </c>
      <c r="G2405" s="14" t="s">
        <v>6909</v>
      </c>
      <c r="H2405" s="1" t="s">
        <v>43</v>
      </c>
      <c r="I2405" s="17">
        <v>42370</v>
      </c>
    </row>
    <row r="2406" spans="1:9">
      <c r="A2406" s="16" t="s">
        <v>10695</v>
      </c>
      <c r="B2406" s="1" t="s">
        <v>2628</v>
      </c>
      <c r="C2406" s="1">
        <v>155</v>
      </c>
      <c r="D2406" s="1" t="s">
        <v>119</v>
      </c>
      <c r="E2406" s="1" t="s">
        <v>6</v>
      </c>
      <c r="F2406" s="1" t="s">
        <v>5091</v>
      </c>
      <c r="G2406" s="14" t="s">
        <v>6909</v>
      </c>
      <c r="H2406" s="1" t="s">
        <v>43</v>
      </c>
      <c r="I2406" s="17">
        <v>42370</v>
      </c>
    </row>
    <row r="2407" spans="1:9">
      <c r="A2407" s="16" t="s">
        <v>10710</v>
      </c>
      <c r="B2407" s="1" t="s">
        <v>2628</v>
      </c>
      <c r="C2407" s="1">
        <v>155</v>
      </c>
      <c r="D2407" s="1" t="s">
        <v>119</v>
      </c>
      <c r="E2407" s="1" t="s">
        <v>6</v>
      </c>
      <c r="F2407" s="1" t="s">
        <v>5091</v>
      </c>
      <c r="G2407" s="14" t="s">
        <v>6307</v>
      </c>
      <c r="H2407" s="1" t="s">
        <v>44</v>
      </c>
      <c r="I2407" s="17">
        <v>42089</v>
      </c>
    </row>
    <row r="2408" spans="1:9">
      <c r="A2408" s="16" t="s">
        <v>10724</v>
      </c>
      <c r="B2408" s="1" t="s">
        <v>2628</v>
      </c>
      <c r="C2408" s="1">
        <v>155</v>
      </c>
      <c r="D2408" s="1" t="s">
        <v>119</v>
      </c>
      <c r="E2408" s="1" t="s">
        <v>6</v>
      </c>
      <c r="F2408" s="1" t="s">
        <v>5091</v>
      </c>
      <c r="G2408" s="14" t="s">
        <v>6307</v>
      </c>
      <c r="H2408" s="1" t="s">
        <v>44</v>
      </c>
      <c r="I2408" s="17">
        <v>42108</v>
      </c>
    </row>
    <row r="2409" spans="1:9">
      <c r="A2409" s="16" t="s">
        <v>10725</v>
      </c>
      <c r="B2409" s="1" t="s">
        <v>2628</v>
      </c>
      <c r="C2409" s="1">
        <v>155</v>
      </c>
      <c r="D2409" s="1" t="s">
        <v>119</v>
      </c>
      <c r="E2409" s="1" t="s">
        <v>6</v>
      </c>
      <c r="F2409" s="1" t="s">
        <v>5091</v>
      </c>
      <c r="G2409" s="14" t="s">
        <v>6307</v>
      </c>
      <c r="H2409" s="1" t="s">
        <v>44</v>
      </c>
      <c r="I2409" s="17">
        <v>42108</v>
      </c>
    </row>
    <row r="2410" spans="1:9">
      <c r="A2410" s="16" t="s">
        <v>10726</v>
      </c>
      <c r="B2410" s="1" t="s">
        <v>2628</v>
      </c>
      <c r="C2410" s="1">
        <v>155</v>
      </c>
      <c r="D2410" s="1" t="s">
        <v>119</v>
      </c>
      <c r="E2410" s="1" t="s">
        <v>6</v>
      </c>
      <c r="F2410" s="1" t="s">
        <v>5091</v>
      </c>
      <c r="G2410" s="14" t="s">
        <v>6307</v>
      </c>
      <c r="H2410" s="1" t="s">
        <v>44</v>
      </c>
      <c r="I2410" s="17">
        <v>42108</v>
      </c>
    </row>
    <row r="2411" spans="1:9">
      <c r="A2411" s="16" t="s">
        <v>10727</v>
      </c>
      <c r="B2411" s="1" t="s">
        <v>2628</v>
      </c>
      <c r="C2411" s="1">
        <v>155</v>
      </c>
      <c r="D2411" s="1" t="s">
        <v>119</v>
      </c>
      <c r="E2411" s="1" t="s">
        <v>6</v>
      </c>
      <c r="F2411" s="1" t="s">
        <v>5091</v>
      </c>
      <c r="G2411" s="14" t="s">
        <v>6307</v>
      </c>
      <c r="H2411" s="1" t="s">
        <v>44</v>
      </c>
      <c r="I2411" s="17">
        <v>42108</v>
      </c>
    </row>
    <row r="2412" spans="1:9">
      <c r="A2412" s="16" t="s">
        <v>10730</v>
      </c>
      <c r="B2412" s="1" t="s">
        <v>2628</v>
      </c>
      <c r="C2412" s="1">
        <v>155</v>
      </c>
      <c r="D2412" s="1" t="s">
        <v>119</v>
      </c>
      <c r="E2412" s="1" t="s">
        <v>6</v>
      </c>
      <c r="F2412" s="1" t="s">
        <v>5091</v>
      </c>
      <c r="G2412" s="14" t="s">
        <v>6307</v>
      </c>
      <c r="H2412" s="1" t="s">
        <v>44</v>
      </c>
      <c r="I2412" s="17">
        <v>42108</v>
      </c>
    </row>
    <row r="2413" spans="1:9">
      <c r="A2413" s="16" t="s">
        <v>10731</v>
      </c>
      <c r="B2413" s="1" t="s">
        <v>2628</v>
      </c>
      <c r="C2413" s="1">
        <v>155</v>
      </c>
      <c r="D2413" s="1" t="s">
        <v>119</v>
      </c>
      <c r="E2413" s="1" t="s">
        <v>6</v>
      </c>
      <c r="F2413" s="1" t="s">
        <v>5091</v>
      </c>
      <c r="G2413" s="14" t="s">
        <v>6307</v>
      </c>
      <c r="H2413" s="1" t="s">
        <v>44</v>
      </c>
      <c r="I2413" s="17">
        <v>42108</v>
      </c>
    </row>
    <row r="2414" spans="1:9">
      <c r="A2414" s="16" t="s">
        <v>10733</v>
      </c>
      <c r="B2414" s="1" t="s">
        <v>2628</v>
      </c>
      <c r="C2414" s="1">
        <v>155</v>
      </c>
      <c r="D2414" s="1" t="s">
        <v>119</v>
      </c>
      <c r="E2414" s="1" t="s">
        <v>6</v>
      </c>
      <c r="F2414" s="1" t="s">
        <v>5091</v>
      </c>
      <c r="G2414" s="14" t="s">
        <v>6307</v>
      </c>
      <c r="H2414" s="1" t="s">
        <v>44</v>
      </c>
      <c r="I2414" s="17">
        <v>42118</v>
      </c>
    </row>
    <row r="2415" spans="1:9">
      <c r="A2415" s="16" t="s">
        <v>10735</v>
      </c>
      <c r="B2415" s="1" t="s">
        <v>2628</v>
      </c>
      <c r="C2415" s="1">
        <v>155</v>
      </c>
      <c r="D2415" s="1" t="s">
        <v>119</v>
      </c>
      <c r="E2415" s="1" t="s">
        <v>6</v>
      </c>
      <c r="F2415" s="1" t="s">
        <v>5091</v>
      </c>
      <c r="G2415" s="14" t="s">
        <v>6307</v>
      </c>
      <c r="H2415" s="1" t="s">
        <v>44</v>
      </c>
      <c r="I2415" s="17">
        <v>42118</v>
      </c>
    </row>
    <row r="2416" spans="1:9">
      <c r="A2416" s="16" t="s">
        <v>10741</v>
      </c>
      <c r="B2416" s="1" t="s">
        <v>2628</v>
      </c>
      <c r="C2416" s="1">
        <v>155</v>
      </c>
      <c r="D2416" s="1" t="s">
        <v>119</v>
      </c>
      <c r="E2416" s="1" t="s">
        <v>6</v>
      </c>
      <c r="F2416" s="1" t="s">
        <v>5091</v>
      </c>
      <c r="G2416" s="14" t="s">
        <v>6307</v>
      </c>
      <c r="H2416" s="1" t="s">
        <v>44</v>
      </c>
      <c r="I2416" s="17">
        <v>42116</v>
      </c>
    </row>
    <row r="2417" spans="1:9">
      <c r="A2417" s="16" t="s">
        <v>10751</v>
      </c>
      <c r="B2417" s="1" t="s">
        <v>2628</v>
      </c>
      <c r="C2417" s="1">
        <v>155</v>
      </c>
      <c r="D2417" s="1" t="s">
        <v>119</v>
      </c>
      <c r="E2417" s="1" t="s">
        <v>6</v>
      </c>
      <c r="F2417" s="1" t="s">
        <v>5091</v>
      </c>
      <c r="G2417" s="14" t="s">
        <v>6307</v>
      </c>
      <c r="H2417" s="1" t="s">
        <v>44</v>
      </c>
      <c r="I2417" s="17">
        <v>42139</v>
      </c>
    </row>
    <row r="2418" spans="1:9">
      <c r="A2418" s="16" t="s">
        <v>10754</v>
      </c>
      <c r="B2418" s="1" t="s">
        <v>2628</v>
      </c>
      <c r="C2418" s="1">
        <v>155</v>
      </c>
      <c r="D2418" s="1" t="s">
        <v>119</v>
      </c>
      <c r="E2418" s="1" t="s">
        <v>6</v>
      </c>
      <c r="F2418" s="1" t="s">
        <v>5091</v>
      </c>
      <c r="G2418" s="14" t="s">
        <v>6307</v>
      </c>
      <c r="H2418" s="1" t="s">
        <v>44</v>
      </c>
      <c r="I2418" s="17">
        <v>42163</v>
      </c>
    </row>
    <row r="2419" spans="1:9">
      <c r="A2419" s="16" t="s">
        <v>10755</v>
      </c>
      <c r="B2419" s="1" t="s">
        <v>2628</v>
      </c>
      <c r="C2419" s="1">
        <v>155</v>
      </c>
      <c r="D2419" s="1" t="s">
        <v>119</v>
      </c>
      <c r="E2419" s="1" t="s">
        <v>6</v>
      </c>
      <c r="F2419" s="1" t="s">
        <v>5091</v>
      </c>
      <c r="G2419" s="14" t="s">
        <v>6307</v>
      </c>
      <c r="H2419" s="1" t="s">
        <v>44</v>
      </c>
      <c r="I2419" s="17">
        <v>42172</v>
      </c>
    </row>
    <row r="2420" spans="1:9">
      <c r="A2420" s="16" t="s">
        <v>10756</v>
      </c>
      <c r="B2420" s="1" t="s">
        <v>2628</v>
      </c>
      <c r="C2420" s="1">
        <v>372</v>
      </c>
      <c r="D2420" s="1" t="s">
        <v>119</v>
      </c>
      <c r="E2420" s="1" t="s">
        <v>6</v>
      </c>
      <c r="F2420" s="1" t="s">
        <v>5091</v>
      </c>
      <c r="G2420" s="14" t="s">
        <v>6307</v>
      </c>
      <c r="H2420" s="1" t="s">
        <v>44</v>
      </c>
      <c r="I2420" s="17">
        <v>42184</v>
      </c>
    </row>
    <row r="2421" spans="1:9">
      <c r="A2421" s="16" t="s">
        <v>10785</v>
      </c>
      <c r="B2421" s="1" t="s">
        <v>2628</v>
      </c>
      <c r="C2421" s="1">
        <v>155</v>
      </c>
      <c r="D2421" s="1" t="s">
        <v>119</v>
      </c>
      <c r="E2421" s="1" t="s">
        <v>6</v>
      </c>
      <c r="F2421" s="1" t="s">
        <v>5091</v>
      </c>
      <c r="G2421" s="14" t="s">
        <v>6307</v>
      </c>
      <c r="H2421" s="1" t="s">
        <v>44</v>
      </c>
      <c r="I2421" s="17">
        <v>42214</v>
      </c>
    </row>
    <row r="2422" spans="1:9">
      <c r="A2422" s="16" t="s">
        <v>10787</v>
      </c>
      <c r="B2422" s="1" t="s">
        <v>2628</v>
      </c>
      <c r="C2422" s="1">
        <v>155</v>
      </c>
      <c r="D2422" s="1" t="s">
        <v>119</v>
      </c>
      <c r="E2422" s="1" t="s">
        <v>6</v>
      </c>
      <c r="F2422" s="1" t="s">
        <v>5091</v>
      </c>
      <c r="G2422" s="14" t="s">
        <v>6450</v>
      </c>
      <c r="H2422" s="1" t="s">
        <v>43</v>
      </c>
      <c r="I2422" s="17">
        <v>42209</v>
      </c>
    </row>
    <row r="2423" spans="1:9">
      <c r="A2423" s="16" t="s">
        <v>10804</v>
      </c>
      <c r="B2423" s="1" t="s">
        <v>2628</v>
      </c>
      <c r="C2423" s="1">
        <v>155</v>
      </c>
      <c r="D2423" s="1" t="s">
        <v>119</v>
      </c>
      <c r="E2423" s="1" t="s">
        <v>6</v>
      </c>
      <c r="F2423" s="1" t="s">
        <v>5091</v>
      </c>
      <c r="G2423" s="14" t="s">
        <v>6145</v>
      </c>
      <c r="H2423" s="1" t="s">
        <v>43</v>
      </c>
      <c r="I2423" s="17">
        <v>42339</v>
      </c>
    </row>
    <row r="2424" spans="1:9">
      <c r="A2424" s="16" t="s">
        <v>10805</v>
      </c>
      <c r="B2424" s="1" t="s">
        <v>2628</v>
      </c>
      <c r="C2424" s="1">
        <v>155</v>
      </c>
      <c r="D2424" s="1" t="s">
        <v>119</v>
      </c>
      <c r="E2424" s="1" t="s">
        <v>6</v>
      </c>
      <c r="F2424" s="1" t="s">
        <v>5091</v>
      </c>
      <c r="G2424" s="14" t="s">
        <v>6145</v>
      </c>
      <c r="H2424" s="1" t="s">
        <v>43</v>
      </c>
      <c r="I2424" s="17">
        <v>42339</v>
      </c>
    </row>
    <row r="2425" spans="1:9">
      <c r="A2425" s="16" t="s">
        <v>10809</v>
      </c>
      <c r="B2425" s="1" t="s">
        <v>2628</v>
      </c>
      <c r="C2425" s="1">
        <v>155</v>
      </c>
      <c r="D2425" s="1" t="s">
        <v>119</v>
      </c>
      <c r="E2425" s="1" t="s">
        <v>6</v>
      </c>
      <c r="F2425" s="1" t="s">
        <v>5091</v>
      </c>
      <c r="G2425" s="14" t="s">
        <v>6450</v>
      </c>
      <c r="H2425" s="1" t="s">
        <v>43</v>
      </c>
      <c r="I2425" s="17">
        <v>42233</v>
      </c>
    </row>
    <row r="2426" spans="1:9">
      <c r="A2426" s="16" t="s">
        <v>10818</v>
      </c>
      <c r="B2426" s="1" t="s">
        <v>2628</v>
      </c>
      <c r="C2426" s="1">
        <v>155</v>
      </c>
      <c r="D2426" s="1" t="s">
        <v>119</v>
      </c>
      <c r="E2426" s="1" t="s">
        <v>6</v>
      </c>
      <c r="F2426" s="1" t="s">
        <v>5091</v>
      </c>
      <c r="G2426" s="14" t="s">
        <v>6145</v>
      </c>
      <c r="H2426" s="1" t="s">
        <v>43</v>
      </c>
      <c r="I2426" s="17">
        <v>42370</v>
      </c>
    </row>
    <row r="2427" spans="1:9">
      <c r="A2427" s="16" t="s">
        <v>10938</v>
      </c>
      <c r="B2427" s="1" t="s">
        <v>2628</v>
      </c>
      <c r="C2427" s="1">
        <v>155</v>
      </c>
      <c r="D2427" s="1" t="s">
        <v>119</v>
      </c>
      <c r="E2427" s="1" t="s">
        <v>6</v>
      </c>
      <c r="F2427" s="1" t="s">
        <v>5091</v>
      </c>
      <c r="G2427" s="14" t="s">
        <v>4803</v>
      </c>
      <c r="H2427" s="1" t="s">
        <v>5</v>
      </c>
      <c r="I2427" s="17">
        <v>42276</v>
      </c>
    </row>
    <row r="2428" spans="1:9">
      <c r="A2428" s="16" t="s">
        <v>10951</v>
      </c>
      <c r="B2428" s="1" t="s">
        <v>2628</v>
      </c>
      <c r="C2428" s="1">
        <v>155</v>
      </c>
      <c r="D2428" s="1" t="s">
        <v>119</v>
      </c>
      <c r="E2428" s="1" t="s">
        <v>6</v>
      </c>
      <c r="F2428" s="1" t="s">
        <v>5091</v>
      </c>
      <c r="G2428" s="14" t="s">
        <v>6450</v>
      </c>
      <c r="H2428" s="1" t="s">
        <v>43</v>
      </c>
      <c r="I2428" s="17">
        <v>42280</v>
      </c>
    </row>
    <row r="2429" spans="1:9">
      <c r="A2429" s="16" t="s">
        <v>10954</v>
      </c>
      <c r="B2429" s="1" t="s">
        <v>2628</v>
      </c>
      <c r="C2429" s="1">
        <v>155</v>
      </c>
      <c r="D2429" s="1" t="s">
        <v>119</v>
      </c>
      <c r="E2429" s="1" t="s">
        <v>6</v>
      </c>
      <c r="F2429" s="1" t="s">
        <v>5091</v>
      </c>
      <c r="G2429" s="14" t="s">
        <v>6450</v>
      </c>
      <c r="H2429" s="1" t="s">
        <v>43</v>
      </c>
      <c r="I2429" s="17">
        <v>42280</v>
      </c>
    </row>
    <row r="2430" spans="1:9">
      <c r="A2430" s="16" t="s">
        <v>10955</v>
      </c>
      <c r="B2430" s="1" t="s">
        <v>2628</v>
      </c>
      <c r="C2430" s="1">
        <v>155</v>
      </c>
      <c r="D2430" s="1" t="s">
        <v>119</v>
      </c>
      <c r="E2430" s="1" t="s">
        <v>6</v>
      </c>
      <c r="F2430" s="1" t="s">
        <v>5091</v>
      </c>
      <c r="G2430" s="14" t="s">
        <v>6450</v>
      </c>
      <c r="H2430" s="1" t="s">
        <v>43</v>
      </c>
      <c r="I2430" s="17">
        <v>42280</v>
      </c>
    </row>
    <row r="2431" spans="1:9">
      <c r="A2431" s="16" t="s">
        <v>10956</v>
      </c>
      <c r="B2431" s="1" t="s">
        <v>2628</v>
      </c>
      <c r="C2431" s="1">
        <v>155</v>
      </c>
      <c r="D2431" s="1" t="s">
        <v>119</v>
      </c>
      <c r="E2431" s="1" t="s">
        <v>6</v>
      </c>
      <c r="F2431" s="1" t="s">
        <v>5091</v>
      </c>
      <c r="G2431" s="14" t="s">
        <v>6450</v>
      </c>
      <c r="H2431" s="1" t="s">
        <v>43</v>
      </c>
      <c r="I2431" s="17">
        <v>42280</v>
      </c>
    </row>
    <row r="2432" spans="1:9">
      <c r="A2432" s="16" t="s">
        <v>11019</v>
      </c>
      <c r="B2432" s="1" t="s">
        <v>2628</v>
      </c>
      <c r="C2432" s="1">
        <v>155</v>
      </c>
      <c r="D2432" s="1" t="s">
        <v>119</v>
      </c>
      <c r="E2432" s="1" t="s">
        <v>6</v>
      </c>
      <c r="F2432" s="1" t="s">
        <v>5091</v>
      </c>
      <c r="G2432" s="14" t="s">
        <v>6450</v>
      </c>
      <c r="H2432" s="1" t="s">
        <v>43</v>
      </c>
      <c r="I2432" s="17">
        <v>42322</v>
      </c>
    </row>
    <row r="2433" spans="1:9">
      <c r="A2433" s="16" t="s">
        <v>11022</v>
      </c>
      <c r="B2433" s="1" t="s">
        <v>2628</v>
      </c>
      <c r="C2433" s="1">
        <v>155</v>
      </c>
      <c r="D2433" s="1" t="s">
        <v>119</v>
      </c>
      <c r="E2433" s="1" t="s">
        <v>6</v>
      </c>
      <c r="F2433" s="1" t="s">
        <v>5091</v>
      </c>
      <c r="G2433" s="14" t="s">
        <v>6450</v>
      </c>
      <c r="H2433" s="1" t="s">
        <v>43</v>
      </c>
      <c r="I2433" s="17">
        <v>42322</v>
      </c>
    </row>
    <row r="2434" spans="1:9">
      <c r="A2434" s="16" t="s">
        <v>11031</v>
      </c>
      <c r="B2434" s="1" t="s">
        <v>2628</v>
      </c>
      <c r="C2434" s="1">
        <v>155</v>
      </c>
      <c r="D2434" s="1" t="s">
        <v>119</v>
      </c>
      <c r="E2434" s="1" t="s">
        <v>6</v>
      </c>
      <c r="F2434" s="1" t="s">
        <v>5091</v>
      </c>
      <c r="G2434" s="14" t="s">
        <v>6145</v>
      </c>
      <c r="H2434" s="1" t="s">
        <v>43</v>
      </c>
      <c r="I2434" s="17">
        <v>42496</v>
      </c>
    </row>
    <row r="2435" spans="1:9">
      <c r="A2435" s="16" t="s">
        <v>11032</v>
      </c>
      <c r="B2435" s="1" t="s">
        <v>2628</v>
      </c>
      <c r="C2435" s="1">
        <v>155</v>
      </c>
      <c r="D2435" s="1" t="s">
        <v>119</v>
      </c>
      <c r="E2435" s="1" t="s">
        <v>6</v>
      </c>
      <c r="F2435" s="1" t="s">
        <v>5091</v>
      </c>
      <c r="G2435" s="14" t="s">
        <v>6145</v>
      </c>
      <c r="H2435" s="1" t="s">
        <v>43</v>
      </c>
      <c r="I2435" s="17">
        <v>42496</v>
      </c>
    </row>
    <row r="2436" spans="1:9">
      <c r="A2436" s="16" t="s">
        <v>11033</v>
      </c>
      <c r="B2436" s="1" t="s">
        <v>2628</v>
      </c>
      <c r="C2436" s="1">
        <v>155</v>
      </c>
      <c r="D2436" s="1" t="s">
        <v>119</v>
      </c>
      <c r="E2436" s="1" t="s">
        <v>6</v>
      </c>
      <c r="F2436" s="1" t="s">
        <v>5091</v>
      </c>
      <c r="G2436" s="14" t="s">
        <v>6145</v>
      </c>
      <c r="H2436" s="1" t="s">
        <v>43</v>
      </c>
      <c r="I2436" s="17">
        <v>42496</v>
      </c>
    </row>
    <row r="2437" spans="1:9">
      <c r="A2437" s="16" t="s">
        <v>11034</v>
      </c>
      <c r="B2437" s="1" t="s">
        <v>2628</v>
      </c>
      <c r="C2437" s="1">
        <v>155</v>
      </c>
      <c r="D2437" s="1" t="s">
        <v>119</v>
      </c>
      <c r="E2437" s="1" t="s">
        <v>6</v>
      </c>
      <c r="F2437" s="1" t="s">
        <v>5091</v>
      </c>
      <c r="G2437" s="14" t="s">
        <v>6145</v>
      </c>
      <c r="H2437" s="1" t="s">
        <v>43</v>
      </c>
      <c r="I2437" s="17">
        <v>42496</v>
      </c>
    </row>
    <row r="2438" spans="1:9">
      <c r="A2438" s="16" t="s">
        <v>11035</v>
      </c>
      <c r="B2438" s="1" t="s">
        <v>2628</v>
      </c>
      <c r="C2438" s="1">
        <v>155</v>
      </c>
      <c r="D2438" s="1" t="s">
        <v>119</v>
      </c>
      <c r="E2438" s="1" t="s">
        <v>6</v>
      </c>
      <c r="F2438" s="1" t="s">
        <v>5091</v>
      </c>
      <c r="G2438" s="14" t="s">
        <v>6145</v>
      </c>
      <c r="H2438" s="1" t="s">
        <v>43</v>
      </c>
      <c r="I2438" s="17">
        <v>42496</v>
      </c>
    </row>
    <row r="2439" spans="1:9">
      <c r="A2439" s="16" t="s">
        <v>11036</v>
      </c>
      <c r="B2439" s="1" t="s">
        <v>2628</v>
      </c>
      <c r="C2439" s="1">
        <v>155</v>
      </c>
      <c r="D2439" s="1" t="s">
        <v>119</v>
      </c>
      <c r="E2439" s="1" t="s">
        <v>6</v>
      </c>
      <c r="F2439" s="1" t="s">
        <v>5091</v>
      </c>
      <c r="G2439" s="14" t="s">
        <v>6145</v>
      </c>
      <c r="H2439" s="1" t="s">
        <v>43</v>
      </c>
      <c r="I2439" s="17">
        <v>42496</v>
      </c>
    </row>
    <row r="2440" spans="1:9">
      <c r="A2440" s="16" t="s">
        <v>11037</v>
      </c>
      <c r="B2440" s="1" t="s">
        <v>2628</v>
      </c>
      <c r="C2440" s="1">
        <v>155</v>
      </c>
      <c r="D2440" s="1" t="s">
        <v>119</v>
      </c>
      <c r="E2440" s="1" t="s">
        <v>6</v>
      </c>
      <c r="F2440" s="1" t="s">
        <v>5091</v>
      </c>
      <c r="G2440" s="14" t="s">
        <v>6145</v>
      </c>
      <c r="H2440" s="1" t="s">
        <v>43</v>
      </c>
      <c r="I2440" s="17">
        <v>42496</v>
      </c>
    </row>
    <row r="2441" spans="1:9">
      <c r="A2441" s="16" t="s">
        <v>11038</v>
      </c>
      <c r="B2441" s="1" t="s">
        <v>2628</v>
      </c>
      <c r="C2441" s="1">
        <v>155</v>
      </c>
      <c r="D2441" s="1" t="s">
        <v>119</v>
      </c>
      <c r="E2441" s="1" t="s">
        <v>6</v>
      </c>
      <c r="F2441" s="1" t="s">
        <v>5091</v>
      </c>
      <c r="G2441" s="14" t="s">
        <v>6145</v>
      </c>
      <c r="H2441" s="1" t="s">
        <v>43</v>
      </c>
      <c r="I2441" s="17">
        <v>42496</v>
      </c>
    </row>
    <row r="2442" spans="1:9">
      <c r="A2442" s="16" t="s">
        <v>11039</v>
      </c>
      <c r="B2442" s="1" t="s">
        <v>2628</v>
      </c>
      <c r="C2442" s="1">
        <v>155</v>
      </c>
      <c r="D2442" s="1" t="s">
        <v>119</v>
      </c>
      <c r="E2442" s="1" t="s">
        <v>6</v>
      </c>
      <c r="F2442" s="1" t="s">
        <v>5091</v>
      </c>
      <c r="G2442" s="14" t="s">
        <v>6145</v>
      </c>
      <c r="H2442" s="1" t="s">
        <v>43</v>
      </c>
      <c r="I2442" s="17">
        <v>42496</v>
      </c>
    </row>
    <row r="2443" spans="1:9">
      <c r="A2443" s="16" t="s">
        <v>11040</v>
      </c>
      <c r="B2443" s="1" t="s">
        <v>2628</v>
      </c>
      <c r="C2443" s="1">
        <v>155</v>
      </c>
      <c r="D2443" s="1" t="s">
        <v>119</v>
      </c>
      <c r="E2443" s="1" t="s">
        <v>6</v>
      </c>
      <c r="F2443" s="1" t="s">
        <v>5091</v>
      </c>
      <c r="G2443" s="14" t="s">
        <v>6145</v>
      </c>
      <c r="H2443" s="1" t="s">
        <v>43</v>
      </c>
      <c r="I2443" s="17">
        <v>42496</v>
      </c>
    </row>
    <row r="2444" spans="1:9">
      <c r="A2444" s="16" t="s">
        <v>11041</v>
      </c>
      <c r="B2444" s="1" t="s">
        <v>2628</v>
      </c>
      <c r="C2444" s="1">
        <v>155</v>
      </c>
      <c r="D2444" s="1" t="s">
        <v>119</v>
      </c>
      <c r="E2444" s="1" t="s">
        <v>6</v>
      </c>
      <c r="F2444" s="1" t="s">
        <v>5091</v>
      </c>
      <c r="G2444" s="14" t="s">
        <v>6145</v>
      </c>
      <c r="H2444" s="1" t="s">
        <v>43</v>
      </c>
      <c r="I2444" s="17">
        <v>42496</v>
      </c>
    </row>
    <row r="2445" spans="1:9">
      <c r="A2445" s="16" t="s">
        <v>11042</v>
      </c>
      <c r="B2445" s="1" t="s">
        <v>2628</v>
      </c>
      <c r="C2445" s="1">
        <v>155</v>
      </c>
      <c r="D2445" s="1" t="s">
        <v>119</v>
      </c>
      <c r="E2445" s="1" t="s">
        <v>6</v>
      </c>
      <c r="F2445" s="1" t="s">
        <v>5091</v>
      </c>
      <c r="G2445" s="14" t="s">
        <v>6145</v>
      </c>
      <c r="H2445" s="1" t="s">
        <v>43</v>
      </c>
      <c r="I2445" s="17">
        <v>42496</v>
      </c>
    </row>
    <row r="2446" spans="1:9">
      <c r="A2446" s="16" t="s">
        <v>11043</v>
      </c>
      <c r="B2446" s="1" t="s">
        <v>2628</v>
      </c>
      <c r="C2446" s="1">
        <v>155</v>
      </c>
      <c r="D2446" s="1" t="s">
        <v>119</v>
      </c>
      <c r="E2446" s="1" t="s">
        <v>6</v>
      </c>
      <c r="F2446" s="1" t="s">
        <v>5091</v>
      </c>
      <c r="G2446" s="14" t="s">
        <v>6145</v>
      </c>
      <c r="H2446" s="1" t="s">
        <v>43</v>
      </c>
      <c r="I2446" s="17">
        <v>42496</v>
      </c>
    </row>
    <row r="2447" spans="1:9">
      <c r="A2447" s="16" t="s">
        <v>11044</v>
      </c>
      <c r="B2447" s="1" t="s">
        <v>2628</v>
      </c>
      <c r="C2447" s="1">
        <v>155</v>
      </c>
      <c r="D2447" s="1" t="s">
        <v>119</v>
      </c>
      <c r="E2447" s="1" t="s">
        <v>6</v>
      </c>
      <c r="F2447" s="1" t="s">
        <v>5091</v>
      </c>
      <c r="G2447" s="14" t="s">
        <v>6145</v>
      </c>
      <c r="H2447" s="1" t="s">
        <v>43</v>
      </c>
      <c r="I2447" s="17">
        <v>42496</v>
      </c>
    </row>
    <row r="2448" spans="1:9">
      <c r="A2448" s="16" t="s">
        <v>11047</v>
      </c>
      <c r="B2448" s="1" t="s">
        <v>2628</v>
      </c>
      <c r="C2448" s="1">
        <v>155</v>
      </c>
      <c r="D2448" s="1" t="s">
        <v>119</v>
      </c>
      <c r="E2448" s="1" t="s">
        <v>6</v>
      </c>
      <c r="F2448" s="1" t="s">
        <v>5091</v>
      </c>
      <c r="G2448" s="14" t="s">
        <v>6145</v>
      </c>
      <c r="H2448" s="1" t="s">
        <v>43</v>
      </c>
      <c r="I2448" s="17">
        <v>42496</v>
      </c>
    </row>
    <row r="2449" spans="1:9">
      <c r="A2449" s="16" t="s">
        <v>11059</v>
      </c>
      <c r="B2449" s="1" t="s">
        <v>2628</v>
      </c>
      <c r="C2449" s="1">
        <v>155</v>
      </c>
      <c r="D2449" s="1" t="s">
        <v>119</v>
      </c>
      <c r="E2449" s="1" t="s">
        <v>6</v>
      </c>
      <c r="F2449" s="1" t="s">
        <v>5091</v>
      </c>
      <c r="G2449" s="14" t="s">
        <v>6236</v>
      </c>
      <c r="H2449" s="1" t="s">
        <v>43</v>
      </c>
      <c r="I2449" s="17">
        <v>42370</v>
      </c>
    </row>
    <row r="2450" spans="1:9">
      <c r="A2450" s="16" t="s">
        <v>11060</v>
      </c>
      <c r="B2450" s="1" t="s">
        <v>2628</v>
      </c>
      <c r="C2450" s="1">
        <v>155</v>
      </c>
      <c r="D2450" s="1" t="s">
        <v>119</v>
      </c>
      <c r="E2450" s="1" t="s">
        <v>6</v>
      </c>
      <c r="F2450" s="1" t="s">
        <v>5091</v>
      </c>
      <c r="G2450" s="14" t="s">
        <v>6236</v>
      </c>
      <c r="H2450" s="1" t="s">
        <v>43</v>
      </c>
      <c r="I2450" s="17">
        <v>42370</v>
      </c>
    </row>
    <row r="2451" spans="1:9">
      <c r="A2451" s="16" t="s">
        <v>11064</v>
      </c>
      <c r="B2451" s="1" t="s">
        <v>2631</v>
      </c>
      <c r="C2451" s="1">
        <v>155</v>
      </c>
      <c r="D2451" s="1" t="s">
        <v>119</v>
      </c>
      <c r="E2451" s="1" t="s">
        <v>6</v>
      </c>
      <c r="F2451" s="1" t="s">
        <v>5091</v>
      </c>
      <c r="G2451" s="1" t="s">
        <v>6145</v>
      </c>
      <c r="H2451" s="1" t="s">
        <v>43</v>
      </c>
      <c r="I2451" s="17">
        <v>40980</v>
      </c>
    </row>
    <row r="2452" spans="1:9">
      <c r="A2452" s="16" t="s">
        <v>11076</v>
      </c>
      <c r="B2452" s="1" t="s">
        <v>2628</v>
      </c>
      <c r="C2452" s="1">
        <v>155</v>
      </c>
      <c r="D2452" s="1" t="s">
        <v>119</v>
      </c>
      <c r="E2452" s="1" t="s">
        <v>6</v>
      </c>
      <c r="F2452" s="1" t="s">
        <v>5091</v>
      </c>
      <c r="G2452" s="14" t="s">
        <v>9679</v>
      </c>
      <c r="H2452" s="1" t="s">
        <v>43</v>
      </c>
      <c r="I2452" s="17">
        <v>39973</v>
      </c>
    </row>
    <row r="2453" spans="1:9">
      <c r="A2453" s="16" t="s">
        <v>11077</v>
      </c>
      <c r="B2453" s="1" t="s">
        <v>2628</v>
      </c>
      <c r="C2453" s="1">
        <v>155</v>
      </c>
      <c r="D2453" s="1" t="s">
        <v>119</v>
      </c>
      <c r="E2453" s="1" t="s">
        <v>6</v>
      </c>
      <c r="F2453" s="1" t="s">
        <v>5091</v>
      </c>
      <c r="G2453" s="14" t="s">
        <v>11078</v>
      </c>
      <c r="H2453" s="1" t="s">
        <v>43</v>
      </c>
      <c r="I2453" s="17">
        <v>39822</v>
      </c>
    </row>
    <row r="2454" spans="1:9">
      <c r="A2454" s="16" t="s">
        <v>11097</v>
      </c>
      <c r="B2454" s="1" t="s">
        <v>2628</v>
      </c>
      <c r="C2454" s="1">
        <v>155</v>
      </c>
      <c r="D2454" s="1" t="s">
        <v>119</v>
      </c>
      <c r="E2454" s="1" t="s">
        <v>6</v>
      </c>
      <c r="F2454" s="1" t="s">
        <v>5091</v>
      </c>
      <c r="G2454" s="14" t="s">
        <v>6145</v>
      </c>
      <c r="H2454" s="1" t="s">
        <v>43</v>
      </c>
      <c r="I2454" s="17">
        <v>42493</v>
      </c>
    </row>
    <row r="2455" spans="1:9">
      <c r="A2455" s="16" t="s">
        <v>11098</v>
      </c>
      <c r="B2455" s="1" t="s">
        <v>2628</v>
      </c>
      <c r="C2455" s="1">
        <v>155</v>
      </c>
      <c r="D2455" s="1" t="s">
        <v>119</v>
      </c>
      <c r="E2455" s="1" t="s">
        <v>6</v>
      </c>
      <c r="F2455" s="1" t="s">
        <v>5091</v>
      </c>
      <c r="G2455" s="14" t="s">
        <v>6145</v>
      </c>
      <c r="H2455" s="1" t="s">
        <v>43</v>
      </c>
      <c r="I2455" s="17">
        <v>42493</v>
      </c>
    </row>
    <row r="2456" spans="1:9">
      <c r="A2456" s="16" t="s">
        <v>11099</v>
      </c>
      <c r="B2456" s="1" t="s">
        <v>2628</v>
      </c>
      <c r="C2456" s="1">
        <v>155</v>
      </c>
      <c r="D2456" s="1" t="s">
        <v>119</v>
      </c>
      <c r="E2456" s="1" t="s">
        <v>6</v>
      </c>
      <c r="F2456" s="1" t="s">
        <v>5091</v>
      </c>
      <c r="G2456" s="14" t="s">
        <v>6145</v>
      </c>
      <c r="H2456" s="1" t="s">
        <v>43</v>
      </c>
      <c r="I2456" s="17">
        <v>42493</v>
      </c>
    </row>
    <row r="2457" spans="1:9">
      <c r="A2457" s="16" t="s">
        <v>11100</v>
      </c>
      <c r="B2457" s="1" t="s">
        <v>2628</v>
      </c>
      <c r="C2457" s="1">
        <v>155</v>
      </c>
      <c r="D2457" s="1" t="s">
        <v>119</v>
      </c>
      <c r="E2457" s="1" t="s">
        <v>6</v>
      </c>
      <c r="F2457" s="1" t="s">
        <v>5091</v>
      </c>
      <c r="G2457" s="14" t="s">
        <v>6145</v>
      </c>
      <c r="H2457" s="1" t="s">
        <v>43</v>
      </c>
      <c r="I2457" s="17">
        <v>42493</v>
      </c>
    </row>
    <row r="2458" spans="1:9">
      <c r="A2458" s="16" t="s">
        <v>11101</v>
      </c>
      <c r="B2458" s="1" t="s">
        <v>2628</v>
      </c>
      <c r="C2458" s="1">
        <v>155</v>
      </c>
      <c r="D2458" s="1" t="s">
        <v>119</v>
      </c>
      <c r="E2458" s="1" t="s">
        <v>6</v>
      </c>
      <c r="F2458" s="1" t="s">
        <v>5091</v>
      </c>
      <c r="G2458" s="14" t="s">
        <v>6145</v>
      </c>
      <c r="H2458" s="1" t="s">
        <v>43</v>
      </c>
      <c r="I2458" s="17">
        <v>42493</v>
      </c>
    </row>
    <row r="2459" spans="1:9">
      <c r="A2459" s="16" t="s">
        <v>11102</v>
      </c>
      <c r="B2459" s="1" t="s">
        <v>2628</v>
      </c>
      <c r="C2459" s="1">
        <v>155</v>
      </c>
      <c r="D2459" s="1" t="s">
        <v>119</v>
      </c>
      <c r="E2459" s="1" t="s">
        <v>6</v>
      </c>
      <c r="F2459" s="1" t="s">
        <v>5091</v>
      </c>
      <c r="G2459" s="14" t="s">
        <v>11078</v>
      </c>
      <c r="H2459" s="1" t="s">
        <v>43</v>
      </c>
      <c r="I2459" s="17">
        <v>39822</v>
      </c>
    </row>
    <row r="2460" spans="1:9">
      <c r="A2460" s="16" t="s">
        <v>11103</v>
      </c>
      <c r="B2460" s="1" t="s">
        <v>2628</v>
      </c>
      <c r="C2460" s="1">
        <v>155</v>
      </c>
      <c r="D2460" s="1" t="s">
        <v>119</v>
      </c>
      <c r="E2460" s="1" t="s">
        <v>6</v>
      </c>
      <c r="F2460" s="1" t="s">
        <v>5091</v>
      </c>
      <c r="G2460" s="14" t="s">
        <v>11078</v>
      </c>
      <c r="H2460" s="1" t="s">
        <v>43</v>
      </c>
      <c r="I2460" s="17">
        <v>39790</v>
      </c>
    </row>
    <row r="2461" spans="1:9">
      <c r="A2461" s="16" t="s">
        <v>11104</v>
      </c>
      <c r="B2461" s="1" t="s">
        <v>2628</v>
      </c>
      <c r="C2461" s="1">
        <v>155</v>
      </c>
      <c r="D2461" s="1" t="s">
        <v>119</v>
      </c>
      <c r="E2461" s="1" t="s">
        <v>6</v>
      </c>
      <c r="F2461" s="1" t="s">
        <v>5091</v>
      </c>
      <c r="G2461" s="14" t="s">
        <v>7408</v>
      </c>
      <c r="H2461" s="1" t="s">
        <v>5</v>
      </c>
      <c r="I2461" s="17">
        <v>39790</v>
      </c>
    </row>
    <row r="2462" spans="1:9">
      <c r="A2462" s="16" t="s">
        <v>11112</v>
      </c>
      <c r="B2462" s="1" t="s">
        <v>2628</v>
      </c>
      <c r="C2462" s="1">
        <v>372</v>
      </c>
      <c r="D2462" s="1" t="s">
        <v>119</v>
      </c>
      <c r="E2462" s="1" t="s">
        <v>6</v>
      </c>
      <c r="F2462" s="1" t="s">
        <v>5091</v>
      </c>
      <c r="G2462" s="14" t="s">
        <v>6236</v>
      </c>
      <c r="H2462" s="1" t="s">
        <v>43</v>
      </c>
      <c r="I2462" s="17">
        <v>42370</v>
      </c>
    </row>
    <row r="2463" spans="1:9" ht="31.2">
      <c r="A2463" s="16" t="s">
        <v>11138</v>
      </c>
      <c r="B2463" s="1" t="s">
        <v>2628</v>
      </c>
      <c r="C2463" s="1">
        <v>155</v>
      </c>
      <c r="D2463" s="1" t="s">
        <v>119</v>
      </c>
      <c r="E2463" s="1" t="s">
        <v>6</v>
      </c>
      <c r="F2463" s="1" t="s">
        <v>118</v>
      </c>
      <c r="G2463" s="14" t="s">
        <v>6145</v>
      </c>
      <c r="H2463" s="1" t="s">
        <v>43</v>
      </c>
      <c r="I2463" s="17">
        <v>42121</v>
      </c>
    </row>
    <row r="2464" spans="1:9">
      <c r="A2464" s="16" t="s">
        <v>11146</v>
      </c>
      <c r="B2464" s="1" t="s">
        <v>2628</v>
      </c>
      <c r="C2464" s="1">
        <v>155</v>
      </c>
      <c r="D2464" s="1" t="s">
        <v>119</v>
      </c>
      <c r="E2464" s="1" t="s">
        <v>6</v>
      </c>
      <c r="F2464" s="1" t="s">
        <v>5091</v>
      </c>
      <c r="G2464" s="14" t="s">
        <v>9063</v>
      </c>
      <c r="H2464" s="1" t="s">
        <v>5</v>
      </c>
      <c r="I2464" s="17">
        <v>42492</v>
      </c>
    </row>
    <row r="2465" spans="1:9">
      <c r="A2465" s="16" t="s">
        <v>11147</v>
      </c>
      <c r="B2465" s="1" t="s">
        <v>2628</v>
      </c>
      <c r="C2465" s="1">
        <v>155</v>
      </c>
      <c r="D2465" s="1" t="s">
        <v>119</v>
      </c>
      <c r="E2465" s="1" t="s">
        <v>6</v>
      </c>
      <c r="F2465" s="1" t="s">
        <v>5091</v>
      </c>
      <c r="G2465" s="14" t="s">
        <v>6450</v>
      </c>
      <c r="H2465" s="1" t="s">
        <v>43</v>
      </c>
      <c r="I2465" s="17">
        <v>42416</v>
      </c>
    </row>
    <row r="2466" spans="1:9">
      <c r="A2466" s="16" t="s">
        <v>11148</v>
      </c>
      <c r="B2466" s="1" t="s">
        <v>2628</v>
      </c>
      <c r="C2466" s="1">
        <v>155</v>
      </c>
      <c r="D2466" s="1" t="s">
        <v>119</v>
      </c>
      <c r="E2466" s="1" t="s">
        <v>6</v>
      </c>
      <c r="F2466" s="1" t="s">
        <v>5091</v>
      </c>
      <c r="G2466" s="14" t="s">
        <v>6450</v>
      </c>
      <c r="H2466" s="1" t="s">
        <v>43</v>
      </c>
      <c r="I2466" s="17">
        <v>42416</v>
      </c>
    </row>
    <row r="2467" spans="1:9">
      <c r="A2467" s="16" t="s">
        <v>11149</v>
      </c>
      <c r="B2467" s="1" t="s">
        <v>2628</v>
      </c>
      <c r="C2467" s="1">
        <v>155</v>
      </c>
      <c r="D2467" s="1" t="s">
        <v>119</v>
      </c>
      <c r="E2467" s="1" t="s">
        <v>6</v>
      </c>
      <c r="F2467" s="1" t="s">
        <v>5091</v>
      </c>
      <c r="G2467" s="14" t="s">
        <v>6450</v>
      </c>
      <c r="H2467" s="1" t="s">
        <v>43</v>
      </c>
      <c r="I2467" s="17">
        <v>42416</v>
      </c>
    </row>
    <row r="2468" spans="1:9">
      <c r="A2468" s="16" t="s">
        <v>11150</v>
      </c>
      <c r="B2468" s="1" t="s">
        <v>2628</v>
      </c>
      <c r="C2468" s="1">
        <v>155</v>
      </c>
      <c r="D2468" s="1" t="s">
        <v>119</v>
      </c>
      <c r="E2468" s="1" t="s">
        <v>6</v>
      </c>
      <c r="F2468" s="1" t="s">
        <v>5091</v>
      </c>
      <c r="G2468" s="14" t="s">
        <v>6450</v>
      </c>
      <c r="H2468" s="1" t="s">
        <v>43</v>
      </c>
      <c r="I2468" s="17">
        <v>42416</v>
      </c>
    </row>
    <row r="2469" spans="1:9">
      <c r="A2469" s="16" t="s">
        <v>11152</v>
      </c>
      <c r="B2469" s="1" t="s">
        <v>2628</v>
      </c>
      <c r="C2469" s="1">
        <v>155</v>
      </c>
      <c r="D2469" s="1" t="s">
        <v>119</v>
      </c>
      <c r="E2469" s="1" t="s">
        <v>6</v>
      </c>
      <c r="F2469" s="1" t="s">
        <v>5091</v>
      </c>
      <c r="G2469" s="14" t="s">
        <v>6450</v>
      </c>
      <c r="H2469" s="1" t="s">
        <v>43</v>
      </c>
      <c r="I2469" s="17">
        <v>42416</v>
      </c>
    </row>
    <row r="2470" spans="1:9">
      <c r="A2470" s="16" t="s">
        <v>11153</v>
      </c>
      <c r="B2470" s="1" t="s">
        <v>2628</v>
      </c>
      <c r="C2470" s="1">
        <v>155</v>
      </c>
      <c r="D2470" s="1" t="s">
        <v>119</v>
      </c>
      <c r="E2470" s="1" t="s">
        <v>6</v>
      </c>
      <c r="F2470" s="1" t="s">
        <v>5091</v>
      </c>
      <c r="G2470" s="14" t="s">
        <v>6450</v>
      </c>
      <c r="H2470" s="1" t="s">
        <v>43</v>
      </c>
      <c r="I2470" s="17">
        <v>42416</v>
      </c>
    </row>
    <row r="2471" spans="1:9">
      <c r="A2471" s="16" t="s">
        <v>11154</v>
      </c>
      <c r="B2471" s="1" t="s">
        <v>2628</v>
      </c>
      <c r="C2471" s="1">
        <v>155</v>
      </c>
      <c r="D2471" s="1" t="s">
        <v>119</v>
      </c>
      <c r="E2471" s="1" t="s">
        <v>6</v>
      </c>
      <c r="F2471" s="1" t="s">
        <v>5091</v>
      </c>
      <c r="G2471" s="14" t="s">
        <v>6450</v>
      </c>
      <c r="H2471" s="1" t="s">
        <v>43</v>
      </c>
      <c r="I2471" s="17">
        <v>42416</v>
      </c>
    </row>
    <row r="2472" spans="1:9">
      <c r="A2472" s="16" t="s">
        <v>11157</v>
      </c>
      <c r="B2472" s="1" t="s">
        <v>2628</v>
      </c>
      <c r="C2472" s="1">
        <v>155</v>
      </c>
      <c r="D2472" s="1" t="s">
        <v>119</v>
      </c>
      <c r="E2472" s="1" t="s">
        <v>6</v>
      </c>
      <c r="F2472" s="1" t="s">
        <v>5091</v>
      </c>
      <c r="G2472" s="14" t="s">
        <v>11078</v>
      </c>
      <c r="H2472" s="1" t="s">
        <v>43</v>
      </c>
      <c r="I2472" s="17">
        <v>39790</v>
      </c>
    </row>
    <row r="2473" spans="1:9">
      <c r="A2473" s="16" t="s">
        <v>11158</v>
      </c>
      <c r="B2473" s="1" t="s">
        <v>2628</v>
      </c>
      <c r="C2473" s="1">
        <v>155</v>
      </c>
      <c r="D2473" s="1" t="s">
        <v>119</v>
      </c>
      <c r="E2473" s="1" t="s">
        <v>6</v>
      </c>
      <c r="F2473" s="1" t="s">
        <v>5091</v>
      </c>
      <c r="G2473" s="14" t="s">
        <v>11078</v>
      </c>
      <c r="H2473" s="1" t="s">
        <v>43</v>
      </c>
      <c r="I2473" s="17">
        <v>39790</v>
      </c>
    </row>
    <row r="2474" spans="1:9">
      <c r="A2474" s="16" t="s">
        <v>11170</v>
      </c>
      <c r="B2474" s="1" t="s">
        <v>2628</v>
      </c>
      <c r="C2474" s="1">
        <v>155</v>
      </c>
      <c r="D2474" s="1" t="s">
        <v>119</v>
      </c>
      <c r="E2474" s="1" t="s">
        <v>6</v>
      </c>
      <c r="F2474" s="1" t="s">
        <v>5091</v>
      </c>
      <c r="G2474" s="14" t="s">
        <v>6145</v>
      </c>
      <c r="H2474" s="1" t="s">
        <v>43</v>
      </c>
      <c r="I2474" s="17">
        <v>41275</v>
      </c>
    </row>
    <row r="2475" spans="1:9">
      <c r="A2475" s="16" t="s">
        <v>11171</v>
      </c>
      <c r="B2475" s="1" t="s">
        <v>2628</v>
      </c>
      <c r="C2475" s="1">
        <v>155</v>
      </c>
      <c r="D2475" s="1" t="s">
        <v>119</v>
      </c>
      <c r="E2475" s="1" t="s">
        <v>6</v>
      </c>
      <c r="F2475" s="1" t="s">
        <v>5091</v>
      </c>
      <c r="G2475" s="14" t="s">
        <v>6145</v>
      </c>
      <c r="H2475" s="1" t="s">
        <v>43</v>
      </c>
      <c r="I2475" s="17">
        <v>41275</v>
      </c>
    </row>
    <row r="2476" spans="1:9">
      <c r="A2476" s="16" t="s">
        <v>11172</v>
      </c>
      <c r="B2476" s="1" t="s">
        <v>2628</v>
      </c>
      <c r="C2476" s="1">
        <v>155</v>
      </c>
      <c r="D2476" s="1" t="s">
        <v>119</v>
      </c>
      <c r="E2476" s="1" t="s">
        <v>6</v>
      </c>
      <c r="F2476" s="1" t="s">
        <v>5091</v>
      </c>
      <c r="G2476" s="14" t="s">
        <v>6145</v>
      </c>
      <c r="H2476" s="1" t="s">
        <v>43</v>
      </c>
      <c r="I2476" s="17">
        <v>41275</v>
      </c>
    </row>
    <row r="2477" spans="1:9">
      <c r="A2477" s="16" t="s">
        <v>11173</v>
      </c>
      <c r="B2477" s="1" t="s">
        <v>2628</v>
      </c>
      <c r="C2477" s="1">
        <v>155</v>
      </c>
      <c r="D2477" s="1" t="s">
        <v>119</v>
      </c>
      <c r="E2477" s="1" t="s">
        <v>6</v>
      </c>
      <c r="F2477" s="1" t="s">
        <v>5091</v>
      </c>
      <c r="G2477" s="14" t="s">
        <v>6145</v>
      </c>
      <c r="H2477" s="1" t="s">
        <v>43</v>
      </c>
      <c r="I2477" s="17">
        <v>41275</v>
      </c>
    </row>
    <row r="2478" spans="1:9">
      <c r="A2478" s="16" t="s">
        <v>11174</v>
      </c>
      <c r="B2478" s="1" t="s">
        <v>2628</v>
      </c>
      <c r="C2478" s="1">
        <v>155</v>
      </c>
      <c r="D2478" s="1" t="s">
        <v>119</v>
      </c>
      <c r="E2478" s="1" t="s">
        <v>6</v>
      </c>
      <c r="F2478" s="1" t="s">
        <v>5091</v>
      </c>
      <c r="G2478" s="14" t="s">
        <v>6145</v>
      </c>
      <c r="H2478" s="1" t="s">
        <v>43</v>
      </c>
      <c r="I2478" s="17">
        <v>41275</v>
      </c>
    </row>
    <row r="2479" spans="1:9">
      <c r="A2479" s="16" t="s">
        <v>11175</v>
      </c>
      <c r="B2479" s="1" t="s">
        <v>2628</v>
      </c>
      <c r="C2479" s="1">
        <v>155</v>
      </c>
      <c r="D2479" s="1" t="s">
        <v>119</v>
      </c>
      <c r="E2479" s="1" t="s">
        <v>6</v>
      </c>
      <c r="F2479" s="1" t="s">
        <v>5091</v>
      </c>
      <c r="G2479" s="14" t="s">
        <v>6145</v>
      </c>
      <c r="H2479" s="1" t="s">
        <v>43</v>
      </c>
      <c r="I2479" s="17">
        <v>41275</v>
      </c>
    </row>
    <row r="2480" spans="1:9">
      <c r="A2480" s="16" t="s">
        <v>11176</v>
      </c>
      <c r="B2480" s="1" t="s">
        <v>2628</v>
      </c>
      <c r="C2480" s="1">
        <v>155</v>
      </c>
      <c r="D2480" s="1" t="s">
        <v>119</v>
      </c>
      <c r="E2480" s="1" t="s">
        <v>6</v>
      </c>
      <c r="F2480" s="1" t="s">
        <v>5091</v>
      </c>
      <c r="G2480" s="14" t="s">
        <v>6145</v>
      </c>
      <c r="H2480" s="1" t="s">
        <v>43</v>
      </c>
      <c r="I2480" s="17">
        <v>41275</v>
      </c>
    </row>
    <row r="2481" spans="1:9">
      <c r="A2481" s="16" t="s">
        <v>11188</v>
      </c>
      <c r="B2481" s="1" t="s">
        <v>2628</v>
      </c>
      <c r="C2481" s="1">
        <v>155</v>
      </c>
      <c r="D2481" s="1" t="s">
        <v>119</v>
      </c>
      <c r="E2481" s="1" t="s">
        <v>6</v>
      </c>
      <c r="F2481" s="1" t="s">
        <v>5091</v>
      </c>
      <c r="G2481" s="14" t="s">
        <v>6145</v>
      </c>
      <c r="H2481" s="1" t="s">
        <v>43</v>
      </c>
      <c r="I2481" s="17">
        <v>41275</v>
      </c>
    </row>
    <row r="2482" spans="1:9">
      <c r="A2482" s="16" t="s">
        <v>11189</v>
      </c>
      <c r="B2482" s="1" t="s">
        <v>2628</v>
      </c>
      <c r="C2482" s="1">
        <v>155</v>
      </c>
      <c r="D2482" s="1" t="s">
        <v>119</v>
      </c>
      <c r="E2482" s="1" t="s">
        <v>6</v>
      </c>
      <c r="F2482" s="1" t="s">
        <v>5091</v>
      </c>
      <c r="G2482" s="14" t="s">
        <v>6145</v>
      </c>
      <c r="H2482" s="1" t="s">
        <v>43</v>
      </c>
      <c r="I2482" s="17">
        <v>41275</v>
      </c>
    </row>
    <row r="2483" spans="1:9">
      <c r="A2483" s="16" t="s">
        <v>11190</v>
      </c>
      <c r="B2483" s="1" t="s">
        <v>2628</v>
      </c>
      <c r="C2483" s="1">
        <v>155</v>
      </c>
      <c r="D2483" s="1" t="s">
        <v>119</v>
      </c>
      <c r="E2483" s="1" t="s">
        <v>6</v>
      </c>
      <c r="F2483" s="1" t="s">
        <v>5091</v>
      </c>
      <c r="G2483" s="14" t="s">
        <v>6145</v>
      </c>
      <c r="H2483" s="1" t="s">
        <v>43</v>
      </c>
      <c r="I2483" s="17">
        <v>41275</v>
      </c>
    </row>
    <row r="2484" spans="1:9">
      <c r="A2484" s="16" t="s">
        <v>11192</v>
      </c>
      <c r="B2484" s="1" t="s">
        <v>2628</v>
      </c>
      <c r="C2484" s="1">
        <v>155</v>
      </c>
      <c r="D2484" s="1" t="s">
        <v>119</v>
      </c>
      <c r="E2484" s="1" t="s">
        <v>6</v>
      </c>
      <c r="F2484" s="1" t="s">
        <v>5091</v>
      </c>
      <c r="G2484" s="14" t="s">
        <v>6145</v>
      </c>
      <c r="H2484" s="1" t="s">
        <v>43</v>
      </c>
      <c r="I2484" s="17">
        <v>41275</v>
      </c>
    </row>
    <row r="2485" spans="1:9">
      <c r="A2485" s="16" t="s">
        <v>11193</v>
      </c>
      <c r="B2485" s="1" t="s">
        <v>2628</v>
      </c>
      <c r="C2485" s="1">
        <v>155</v>
      </c>
      <c r="D2485" s="1" t="s">
        <v>119</v>
      </c>
      <c r="E2485" s="1" t="s">
        <v>6</v>
      </c>
      <c r="F2485" s="1" t="s">
        <v>5091</v>
      </c>
      <c r="G2485" s="14" t="s">
        <v>6145</v>
      </c>
      <c r="H2485" s="1" t="s">
        <v>43</v>
      </c>
      <c r="I2485" s="17">
        <v>41275</v>
      </c>
    </row>
    <row r="2486" spans="1:9">
      <c r="A2486" s="16" t="s">
        <v>11194</v>
      </c>
      <c r="B2486" s="1" t="s">
        <v>2628</v>
      </c>
      <c r="C2486" s="1">
        <v>155</v>
      </c>
      <c r="D2486" s="1" t="s">
        <v>119</v>
      </c>
      <c r="E2486" s="1" t="s">
        <v>6</v>
      </c>
      <c r="F2486" s="1" t="s">
        <v>5091</v>
      </c>
      <c r="G2486" s="14" t="s">
        <v>6145</v>
      </c>
      <c r="H2486" s="1" t="s">
        <v>43</v>
      </c>
      <c r="I2486" s="17">
        <v>41275</v>
      </c>
    </row>
    <row r="2487" spans="1:9">
      <c r="A2487" s="16" t="s">
        <v>11196</v>
      </c>
      <c r="B2487" s="1" t="s">
        <v>2628</v>
      </c>
      <c r="C2487" s="1">
        <v>155</v>
      </c>
      <c r="D2487" s="1" t="s">
        <v>119</v>
      </c>
      <c r="E2487" s="1" t="s">
        <v>6</v>
      </c>
      <c r="F2487" s="1" t="s">
        <v>5091</v>
      </c>
      <c r="G2487" s="14" t="s">
        <v>6145</v>
      </c>
      <c r="H2487" s="1" t="s">
        <v>43</v>
      </c>
      <c r="I2487" s="17">
        <v>41275</v>
      </c>
    </row>
    <row r="2488" spans="1:9">
      <c r="A2488" s="16" t="s">
        <v>11198</v>
      </c>
      <c r="B2488" s="1" t="s">
        <v>2628</v>
      </c>
      <c r="C2488" s="1">
        <v>155</v>
      </c>
      <c r="D2488" s="1" t="s">
        <v>119</v>
      </c>
      <c r="E2488" s="1" t="s">
        <v>6</v>
      </c>
      <c r="F2488" s="1" t="s">
        <v>5091</v>
      </c>
      <c r="G2488" s="14" t="s">
        <v>6145</v>
      </c>
      <c r="H2488" s="1" t="s">
        <v>43</v>
      </c>
      <c r="I2488" s="17">
        <v>41275</v>
      </c>
    </row>
    <row r="2489" spans="1:9">
      <c r="A2489" s="16" t="s">
        <v>11199</v>
      </c>
      <c r="B2489" s="1" t="s">
        <v>2628</v>
      </c>
      <c r="C2489" s="1">
        <v>155</v>
      </c>
      <c r="D2489" s="1" t="s">
        <v>119</v>
      </c>
      <c r="E2489" s="1" t="s">
        <v>6</v>
      </c>
      <c r="F2489" s="1" t="s">
        <v>5091</v>
      </c>
      <c r="G2489" s="14" t="s">
        <v>6145</v>
      </c>
      <c r="H2489" s="1" t="s">
        <v>43</v>
      </c>
      <c r="I2489" s="17">
        <v>41275</v>
      </c>
    </row>
    <row r="2490" spans="1:9">
      <c r="A2490" s="16" t="s">
        <v>11200</v>
      </c>
      <c r="B2490" s="1" t="s">
        <v>2628</v>
      </c>
      <c r="C2490" s="1">
        <v>155</v>
      </c>
      <c r="D2490" s="1" t="s">
        <v>119</v>
      </c>
      <c r="E2490" s="1" t="s">
        <v>6</v>
      </c>
      <c r="F2490" s="1" t="s">
        <v>5091</v>
      </c>
      <c r="G2490" s="14" t="s">
        <v>6145</v>
      </c>
      <c r="H2490" s="1" t="s">
        <v>43</v>
      </c>
      <c r="I2490" s="17">
        <v>41275</v>
      </c>
    </row>
    <row r="2491" spans="1:9">
      <c r="A2491" s="16" t="s">
        <v>11202</v>
      </c>
      <c r="B2491" s="1" t="s">
        <v>2628</v>
      </c>
      <c r="C2491" s="1">
        <v>155</v>
      </c>
      <c r="D2491" s="1" t="s">
        <v>119</v>
      </c>
      <c r="E2491" s="1" t="s">
        <v>6</v>
      </c>
      <c r="F2491" s="1" t="s">
        <v>5091</v>
      </c>
      <c r="G2491" s="14" t="s">
        <v>6145</v>
      </c>
      <c r="H2491" s="1" t="s">
        <v>43</v>
      </c>
      <c r="I2491" s="17">
        <v>41275</v>
      </c>
    </row>
    <row r="2492" spans="1:9">
      <c r="A2492" s="16" t="s">
        <v>11215</v>
      </c>
      <c r="B2492" s="1" t="s">
        <v>2628</v>
      </c>
      <c r="C2492" s="1">
        <v>1855</v>
      </c>
      <c r="D2492" s="1" t="s">
        <v>119</v>
      </c>
      <c r="E2492" s="1" t="s">
        <v>6</v>
      </c>
      <c r="F2492" s="1" t="s">
        <v>5091</v>
      </c>
      <c r="G2492" s="14" t="s">
        <v>11216</v>
      </c>
      <c r="H2492" s="1" t="s">
        <v>43</v>
      </c>
      <c r="I2492" s="1" t="s">
        <v>4458</v>
      </c>
    </row>
    <row r="2493" spans="1:9">
      <c r="A2493" s="16" t="s">
        <v>11217</v>
      </c>
      <c r="B2493" s="1" t="s">
        <v>2628</v>
      </c>
      <c r="C2493" s="1">
        <v>1855</v>
      </c>
      <c r="D2493" s="1" t="s">
        <v>119</v>
      </c>
      <c r="E2493" s="1" t="s">
        <v>6</v>
      </c>
      <c r="F2493" s="1" t="s">
        <v>5091</v>
      </c>
      <c r="G2493" s="14" t="s">
        <v>11216</v>
      </c>
      <c r="H2493" s="1" t="s">
        <v>43</v>
      </c>
      <c r="I2493" s="1" t="s">
        <v>4458</v>
      </c>
    </row>
    <row r="2494" spans="1:9">
      <c r="A2494" s="16" t="s">
        <v>11230</v>
      </c>
      <c r="B2494" s="1" t="s">
        <v>2628</v>
      </c>
      <c r="C2494" s="1">
        <v>1855</v>
      </c>
      <c r="D2494" s="1" t="s">
        <v>119</v>
      </c>
      <c r="E2494" s="1" t="s">
        <v>6</v>
      </c>
      <c r="F2494" s="1" t="s">
        <v>5091</v>
      </c>
      <c r="G2494" s="14" t="s">
        <v>11231</v>
      </c>
      <c r="H2494" s="1" t="s">
        <v>43</v>
      </c>
      <c r="I2494" s="1" t="s">
        <v>4458</v>
      </c>
    </row>
    <row r="2495" spans="1:9">
      <c r="A2495" s="16" t="s">
        <v>11232</v>
      </c>
      <c r="B2495" s="1" t="s">
        <v>2628</v>
      </c>
      <c r="C2495" s="1">
        <v>1855</v>
      </c>
      <c r="D2495" s="1" t="s">
        <v>119</v>
      </c>
      <c r="E2495" s="1" t="s">
        <v>6</v>
      </c>
      <c r="F2495" s="1" t="s">
        <v>5091</v>
      </c>
      <c r="G2495" s="14" t="s">
        <v>11231</v>
      </c>
      <c r="H2495" s="1" t="s">
        <v>43</v>
      </c>
      <c r="I2495" s="1" t="s">
        <v>4458</v>
      </c>
    </row>
    <row r="2496" spans="1:9">
      <c r="A2496" s="16" t="s">
        <v>11233</v>
      </c>
      <c r="B2496" s="1" t="s">
        <v>2628</v>
      </c>
      <c r="C2496" s="1">
        <v>1855</v>
      </c>
      <c r="D2496" s="1" t="s">
        <v>119</v>
      </c>
      <c r="E2496" s="1" t="s">
        <v>6</v>
      </c>
      <c r="F2496" s="1" t="s">
        <v>5091</v>
      </c>
      <c r="G2496" s="14" t="s">
        <v>11231</v>
      </c>
      <c r="H2496" s="1" t="s">
        <v>43</v>
      </c>
      <c r="I2496" s="1" t="s">
        <v>4458</v>
      </c>
    </row>
    <row r="2497" spans="1:9">
      <c r="A2497" s="16" t="s">
        <v>11234</v>
      </c>
      <c r="B2497" s="1" t="s">
        <v>2628</v>
      </c>
      <c r="C2497" s="1">
        <v>1855</v>
      </c>
      <c r="D2497" s="1" t="s">
        <v>119</v>
      </c>
      <c r="E2497" s="1" t="s">
        <v>6</v>
      </c>
      <c r="F2497" s="1" t="s">
        <v>5091</v>
      </c>
      <c r="G2497" s="14" t="s">
        <v>11231</v>
      </c>
      <c r="H2497" s="1" t="s">
        <v>43</v>
      </c>
      <c r="I2497" s="1" t="s">
        <v>4458</v>
      </c>
    </row>
    <row r="2498" spans="1:9">
      <c r="A2498" s="16" t="s">
        <v>11250</v>
      </c>
      <c r="B2498" s="1" t="s">
        <v>2628</v>
      </c>
      <c r="C2498" s="1">
        <v>155</v>
      </c>
      <c r="D2498" s="1" t="s">
        <v>119</v>
      </c>
      <c r="E2498" s="1" t="s">
        <v>6</v>
      </c>
      <c r="F2498" s="1" t="s">
        <v>5091</v>
      </c>
      <c r="G2498" s="14" t="s">
        <v>6145</v>
      </c>
      <c r="H2498" s="1" t="s">
        <v>43</v>
      </c>
      <c r="I2498" s="17">
        <v>41275</v>
      </c>
    </row>
    <row r="2499" spans="1:9">
      <c r="A2499" s="16" t="s">
        <v>11251</v>
      </c>
      <c r="B2499" s="1" t="s">
        <v>2628</v>
      </c>
      <c r="C2499" s="1">
        <v>155</v>
      </c>
      <c r="D2499" s="1" t="s">
        <v>119</v>
      </c>
      <c r="E2499" s="1" t="s">
        <v>6</v>
      </c>
      <c r="F2499" s="1" t="s">
        <v>5091</v>
      </c>
      <c r="G2499" s="14" t="s">
        <v>6145</v>
      </c>
      <c r="H2499" s="1" t="s">
        <v>43</v>
      </c>
      <c r="I2499" s="17">
        <v>41275</v>
      </c>
    </row>
    <row r="2500" spans="1:9">
      <c r="A2500" s="16" t="s">
        <v>11255</v>
      </c>
      <c r="B2500" s="1" t="s">
        <v>2628</v>
      </c>
      <c r="C2500" s="1">
        <v>155</v>
      </c>
      <c r="D2500" s="1" t="s">
        <v>119</v>
      </c>
      <c r="E2500" s="1" t="s">
        <v>6</v>
      </c>
      <c r="F2500" s="1" t="s">
        <v>5091</v>
      </c>
      <c r="G2500" s="14" t="s">
        <v>6145</v>
      </c>
      <c r="H2500" s="1" t="s">
        <v>43</v>
      </c>
      <c r="I2500" s="17">
        <v>42537</v>
      </c>
    </row>
    <row r="2501" spans="1:9">
      <c r="A2501" s="16" t="s">
        <v>11256</v>
      </c>
      <c r="B2501" s="1" t="s">
        <v>2628</v>
      </c>
      <c r="C2501" s="1">
        <v>155</v>
      </c>
      <c r="D2501" s="1" t="s">
        <v>119</v>
      </c>
      <c r="E2501" s="1" t="s">
        <v>6</v>
      </c>
      <c r="F2501" s="1" t="s">
        <v>5091</v>
      </c>
      <c r="G2501" s="14" t="s">
        <v>6145</v>
      </c>
      <c r="H2501" s="1" t="s">
        <v>43</v>
      </c>
      <c r="I2501" s="17">
        <v>42537</v>
      </c>
    </row>
    <row r="2502" spans="1:9">
      <c r="A2502" s="16" t="s">
        <v>11257</v>
      </c>
      <c r="B2502" s="1" t="s">
        <v>2628</v>
      </c>
      <c r="C2502" s="1">
        <v>155</v>
      </c>
      <c r="D2502" s="1" t="s">
        <v>119</v>
      </c>
      <c r="E2502" s="1" t="s">
        <v>6</v>
      </c>
      <c r="F2502" s="1" t="s">
        <v>5091</v>
      </c>
      <c r="G2502" s="14" t="s">
        <v>6145</v>
      </c>
      <c r="H2502" s="1" t="s">
        <v>43</v>
      </c>
      <c r="I2502" s="17">
        <v>42537</v>
      </c>
    </row>
    <row r="2503" spans="1:9">
      <c r="A2503" s="16" t="s">
        <v>11258</v>
      </c>
      <c r="B2503" s="1" t="s">
        <v>2628</v>
      </c>
      <c r="C2503" s="1">
        <v>155</v>
      </c>
      <c r="D2503" s="1" t="s">
        <v>119</v>
      </c>
      <c r="E2503" s="1" t="s">
        <v>6</v>
      </c>
      <c r="F2503" s="1" t="s">
        <v>5091</v>
      </c>
      <c r="G2503" s="14" t="s">
        <v>6145</v>
      </c>
      <c r="H2503" s="1" t="s">
        <v>43</v>
      </c>
      <c r="I2503" s="17">
        <v>42537</v>
      </c>
    </row>
    <row r="2504" spans="1:9">
      <c r="A2504" s="16" t="s">
        <v>11276</v>
      </c>
      <c r="B2504" s="1" t="s">
        <v>2628</v>
      </c>
      <c r="C2504" s="1">
        <v>155</v>
      </c>
      <c r="D2504" s="1" t="s">
        <v>119</v>
      </c>
      <c r="E2504" s="1" t="s">
        <v>6</v>
      </c>
      <c r="F2504" s="1" t="s">
        <v>5091</v>
      </c>
      <c r="G2504" s="14" t="s">
        <v>8848</v>
      </c>
      <c r="H2504" s="1" t="s">
        <v>5</v>
      </c>
      <c r="I2504" s="17">
        <v>39066</v>
      </c>
    </row>
    <row r="2505" spans="1:9">
      <c r="A2505" s="16" t="s">
        <v>11277</v>
      </c>
      <c r="B2505" s="1" t="s">
        <v>2628</v>
      </c>
      <c r="C2505" s="1">
        <v>155</v>
      </c>
      <c r="D2505" s="1" t="s">
        <v>119</v>
      </c>
      <c r="E2505" s="1" t="s">
        <v>6</v>
      </c>
      <c r="F2505" s="1" t="s">
        <v>5091</v>
      </c>
      <c r="G2505" s="14" t="s">
        <v>6427</v>
      </c>
      <c r="H2505" s="1" t="s">
        <v>5</v>
      </c>
      <c r="I2505" s="17">
        <v>39604</v>
      </c>
    </row>
    <row r="2506" spans="1:9">
      <c r="A2506" s="16" t="s">
        <v>11280</v>
      </c>
      <c r="B2506" s="1" t="s">
        <v>2628</v>
      </c>
      <c r="C2506" s="1">
        <v>155</v>
      </c>
      <c r="D2506" s="1" t="s">
        <v>119</v>
      </c>
      <c r="E2506" s="1" t="s">
        <v>6</v>
      </c>
      <c r="F2506" s="1" t="s">
        <v>5091</v>
      </c>
      <c r="G2506" s="14" t="s">
        <v>11281</v>
      </c>
      <c r="H2506" s="1" t="s">
        <v>5</v>
      </c>
      <c r="I2506" s="17">
        <v>40094</v>
      </c>
    </row>
    <row r="2507" spans="1:9">
      <c r="A2507" s="16" t="s">
        <v>11282</v>
      </c>
      <c r="B2507" s="1" t="s">
        <v>2628</v>
      </c>
      <c r="C2507" s="1">
        <v>155</v>
      </c>
      <c r="D2507" s="1" t="s">
        <v>119</v>
      </c>
      <c r="E2507" s="1" t="s">
        <v>6</v>
      </c>
      <c r="F2507" s="1" t="s">
        <v>5091</v>
      </c>
      <c r="G2507" s="14" t="s">
        <v>11283</v>
      </c>
      <c r="H2507" s="1" t="s">
        <v>5</v>
      </c>
      <c r="I2507" s="17">
        <v>40107</v>
      </c>
    </row>
    <row r="2508" spans="1:9">
      <c r="A2508" s="16" t="s">
        <v>11291</v>
      </c>
      <c r="B2508" s="1" t="s">
        <v>2628</v>
      </c>
      <c r="C2508" s="1">
        <v>1855</v>
      </c>
      <c r="D2508" s="1" t="s">
        <v>119</v>
      </c>
      <c r="E2508" s="1" t="s">
        <v>6</v>
      </c>
      <c r="F2508" s="1" t="s">
        <v>5091</v>
      </c>
      <c r="G2508" s="14" t="s">
        <v>11231</v>
      </c>
      <c r="H2508" s="1" t="s">
        <v>43</v>
      </c>
      <c r="I2508" s="1" t="s">
        <v>4458</v>
      </c>
    </row>
    <row r="2509" spans="1:9">
      <c r="A2509" s="16" t="s">
        <v>11353</v>
      </c>
      <c r="B2509" s="1" t="s">
        <v>2628</v>
      </c>
      <c r="C2509" s="1">
        <v>155</v>
      </c>
      <c r="D2509" s="1" t="s">
        <v>119</v>
      </c>
      <c r="E2509" s="1" t="s">
        <v>6</v>
      </c>
      <c r="F2509" s="1" t="s">
        <v>5091</v>
      </c>
      <c r="G2509" s="14" t="s">
        <v>6145</v>
      </c>
      <c r="H2509" s="1" t="s">
        <v>43</v>
      </c>
      <c r="I2509" s="17">
        <v>38400</v>
      </c>
    </row>
    <row r="2510" spans="1:9">
      <c r="A2510" s="16" t="s">
        <v>11408</v>
      </c>
      <c r="B2510" s="1" t="s">
        <v>2628</v>
      </c>
      <c r="C2510" s="1">
        <v>155</v>
      </c>
      <c r="D2510" s="1" t="s">
        <v>119</v>
      </c>
      <c r="E2510" s="1" t="s">
        <v>6</v>
      </c>
      <c r="F2510" s="1" t="s">
        <v>5091</v>
      </c>
      <c r="G2510" s="14" t="s">
        <v>11409</v>
      </c>
      <c r="H2510" s="1" t="s">
        <v>5</v>
      </c>
      <c r="I2510" s="17">
        <v>38628</v>
      </c>
    </row>
    <row r="2511" spans="1:9">
      <c r="A2511" s="16" t="s">
        <v>11575</v>
      </c>
      <c r="B2511" s="1" t="s">
        <v>2628</v>
      </c>
      <c r="C2511" s="1">
        <v>155</v>
      </c>
      <c r="D2511" s="1" t="s">
        <v>119</v>
      </c>
      <c r="E2511" s="1" t="s">
        <v>6</v>
      </c>
      <c r="F2511" s="1" t="s">
        <v>5091</v>
      </c>
      <c r="G2511" s="14" t="s">
        <v>11576</v>
      </c>
      <c r="H2511" s="1" t="s">
        <v>5</v>
      </c>
      <c r="I2511" s="17">
        <v>37949</v>
      </c>
    </row>
    <row r="2512" spans="1:9">
      <c r="A2512" s="16" t="s">
        <v>11605</v>
      </c>
      <c r="B2512" s="1" t="s">
        <v>2628</v>
      </c>
      <c r="C2512" s="1">
        <v>155</v>
      </c>
      <c r="D2512" s="1" t="s">
        <v>119</v>
      </c>
      <c r="E2512" s="1" t="s">
        <v>6</v>
      </c>
      <c r="F2512" s="1" t="s">
        <v>5091</v>
      </c>
      <c r="G2512" s="14" t="s">
        <v>6236</v>
      </c>
      <c r="H2512" s="1" t="s">
        <v>43</v>
      </c>
      <c r="I2512" s="17">
        <v>42370</v>
      </c>
    </row>
    <row r="2513" spans="1:9">
      <c r="A2513" s="16" t="s">
        <v>11638</v>
      </c>
      <c r="B2513" s="1" t="s">
        <v>2628</v>
      </c>
      <c r="C2513" s="1">
        <v>155</v>
      </c>
      <c r="D2513" s="1" t="s">
        <v>119</v>
      </c>
      <c r="E2513" s="1" t="s">
        <v>6</v>
      </c>
      <c r="F2513" s="1" t="s">
        <v>5091</v>
      </c>
      <c r="G2513" s="14" t="s">
        <v>9578</v>
      </c>
      <c r="H2513" s="1" t="s">
        <v>5</v>
      </c>
      <c r="I2513" s="17">
        <v>38140</v>
      </c>
    </row>
    <row r="2514" spans="1:9">
      <c r="A2514" s="16" t="s">
        <v>11645</v>
      </c>
      <c r="B2514" s="1" t="s">
        <v>2628</v>
      </c>
      <c r="C2514" s="1">
        <v>155</v>
      </c>
      <c r="D2514" s="1" t="s">
        <v>119</v>
      </c>
      <c r="E2514" s="1" t="s">
        <v>6</v>
      </c>
      <c r="F2514" s="1" t="s">
        <v>5091</v>
      </c>
      <c r="G2514" s="14" t="s">
        <v>6236</v>
      </c>
      <c r="H2514" s="1" t="s">
        <v>43</v>
      </c>
      <c r="I2514" s="17">
        <v>40909</v>
      </c>
    </row>
    <row r="2515" spans="1:9">
      <c r="A2515" s="16" t="s">
        <v>11649</v>
      </c>
      <c r="B2515" s="1" t="s">
        <v>2628</v>
      </c>
      <c r="C2515" s="1">
        <v>155</v>
      </c>
      <c r="D2515" s="1" t="s">
        <v>119</v>
      </c>
      <c r="E2515" s="1" t="s">
        <v>6</v>
      </c>
      <c r="F2515" s="1" t="s">
        <v>5091</v>
      </c>
      <c r="G2515" s="14" t="s">
        <v>6236</v>
      </c>
      <c r="H2515" s="1" t="s">
        <v>43</v>
      </c>
      <c r="I2515" s="17">
        <v>40544</v>
      </c>
    </row>
    <row r="2516" spans="1:9">
      <c r="A2516" s="16" t="s">
        <v>11682</v>
      </c>
      <c r="B2516" s="1" t="s">
        <v>2628</v>
      </c>
      <c r="C2516" s="1">
        <v>155</v>
      </c>
      <c r="D2516" s="1" t="s">
        <v>119</v>
      </c>
      <c r="E2516" s="1" t="s">
        <v>6</v>
      </c>
      <c r="F2516" s="1" t="s">
        <v>5091</v>
      </c>
      <c r="G2516" s="14" t="s">
        <v>9493</v>
      </c>
      <c r="H2516" s="1" t="s">
        <v>5</v>
      </c>
      <c r="I2516" s="17">
        <v>37979</v>
      </c>
    </row>
    <row r="2517" spans="1:9">
      <c r="A2517" s="16" t="s">
        <v>11707</v>
      </c>
      <c r="B2517" s="1" t="s">
        <v>2628</v>
      </c>
      <c r="C2517" s="1">
        <v>155</v>
      </c>
      <c r="D2517" s="1" t="s">
        <v>119</v>
      </c>
      <c r="E2517" s="1" t="s">
        <v>6</v>
      </c>
      <c r="F2517" s="1" t="s">
        <v>5091</v>
      </c>
      <c r="G2517" s="14" t="s">
        <v>10402</v>
      </c>
      <c r="H2517" s="1" t="s">
        <v>5</v>
      </c>
      <c r="I2517" s="17">
        <v>38015</v>
      </c>
    </row>
    <row r="2518" spans="1:9">
      <c r="A2518" s="16" t="s">
        <v>11723</v>
      </c>
      <c r="B2518" s="1" t="s">
        <v>2628</v>
      </c>
      <c r="C2518" s="1">
        <v>155</v>
      </c>
      <c r="D2518" s="1" t="s">
        <v>119</v>
      </c>
      <c r="E2518" s="1" t="s">
        <v>6</v>
      </c>
      <c r="F2518" s="1" t="s">
        <v>5091</v>
      </c>
      <c r="G2518" s="14" t="s">
        <v>11724</v>
      </c>
      <c r="H2518" s="1" t="s">
        <v>5</v>
      </c>
      <c r="I2518" s="17">
        <v>37942</v>
      </c>
    </row>
    <row r="2519" spans="1:9">
      <c r="A2519" s="16" t="s">
        <v>11725</v>
      </c>
      <c r="B2519" s="1" t="s">
        <v>2628</v>
      </c>
      <c r="C2519" s="1">
        <v>155</v>
      </c>
      <c r="D2519" s="1" t="s">
        <v>119</v>
      </c>
      <c r="E2519" s="1" t="s">
        <v>6</v>
      </c>
      <c r="F2519" s="1" t="s">
        <v>5091</v>
      </c>
      <c r="G2519" s="14" t="s">
        <v>11726</v>
      </c>
      <c r="H2519" s="1" t="s">
        <v>5</v>
      </c>
      <c r="I2519" s="17">
        <v>37943</v>
      </c>
    </row>
    <row r="2520" spans="1:9">
      <c r="A2520" s="16" t="s">
        <v>11729</v>
      </c>
      <c r="B2520" s="1" t="s">
        <v>2628</v>
      </c>
      <c r="C2520" s="1">
        <v>155</v>
      </c>
      <c r="D2520" s="1" t="s">
        <v>119</v>
      </c>
      <c r="E2520" s="1" t="s">
        <v>6</v>
      </c>
      <c r="F2520" s="1" t="s">
        <v>5091</v>
      </c>
      <c r="G2520" s="14" t="s">
        <v>11724</v>
      </c>
      <c r="H2520" s="1" t="s">
        <v>5</v>
      </c>
      <c r="I2520" s="17">
        <v>37942</v>
      </c>
    </row>
    <row r="2521" spans="1:9">
      <c r="A2521" s="16" t="s">
        <v>11768</v>
      </c>
      <c r="B2521" s="1" t="s">
        <v>2628</v>
      </c>
      <c r="C2521" s="1">
        <v>155</v>
      </c>
      <c r="D2521" s="1" t="s">
        <v>119</v>
      </c>
      <c r="E2521" s="1" t="s">
        <v>6</v>
      </c>
      <c r="F2521" s="1" t="s">
        <v>5091</v>
      </c>
      <c r="G2521" s="14" t="s">
        <v>7497</v>
      </c>
      <c r="H2521" s="1" t="s">
        <v>5</v>
      </c>
      <c r="I2521" s="17">
        <v>40190</v>
      </c>
    </row>
    <row r="2522" spans="1:9">
      <c r="A2522" s="16" t="s">
        <v>11773</v>
      </c>
      <c r="B2522" s="1" t="s">
        <v>2628</v>
      </c>
      <c r="C2522" s="1">
        <v>155</v>
      </c>
      <c r="D2522" s="1" t="s">
        <v>119</v>
      </c>
      <c r="E2522" s="1" t="s">
        <v>6</v>
      </c>
      <c r="F2522" s="1" t="s">
        <v>5091</v>
      </c>
      <c r="G2522" s="14" t="s">
        <v>6530</v>
      </c>
      <c r="H2522" s="1" t="s">
        <v>43</v>
      </c>
      <c r="I2522" s="17">
        <v>40189</v>
      </c>
    </row>
    <row r="2523" spans="1:9">
      <c r="A2523" s="16" t="s">
        <v>11793</v>
      </c>
      <c r="B2523" s="1" t="s">
        <v>2628</v>
      </c>
      <c r="C2523" s="1">
        <v>155</v>
      </c>
      <c r="D2523" s="1" t="s">
        <v>119</v>
      </c>
      <c r="E2523" s="1" t="s">
        <v>6</v>
      </c>
      <c r="F2523" s="1" t="s">
        <v>5091</v>
      </c>
      <c r="G2523" s="14" t="s">
        <v>9561</v>
      </c>
      <c r="H2523" s="1" t="s">
        <v>5</v>
      </c>
      <c r="I2523" s="17">
        <v>37676</v>
      </c>
    </row>
    <row r="2524" spans="1:9">
      <c r="A2524" s="16" t="s">
        <v>11830</v>
      </c>
      <c r="B2524" s="1" t="s">
        <v>2628</v>
      </c>
      <c r="C2524" s="1">
        <v>372</v>
      </c>
      <c r="D2524" s="1" t="s">
        <v>119</v>
      </c>
      <c r="E2524" s="1" t="s">
        <v>6</v>
      </c>
      <c r="F2524" s="1" t="s">
        <v>5091</v>
      </c>
      <c r="G2524" s="14" t="s">
        <v>6145</v>
      </c>
      <c r="H2524" s="1" t="s">
        <v>43</v>
      </c>
      <c r="I2524" s="17">
        <v>42668</v>
      </c>
    </row>
    <row r="2525" spans="1:9">
      <c r="A2525" s="16" t="s">
        <v>11837</v>
      </c>
      <c r="B2525" s="1" t="s">
        <v>2628</v>
      </c>
      <c r="C2525" s="1">
        <v>155</v>
      </c>
      <c r="D2525" s="1" t="s">
        <v>119</v>
      </c>
      <c r="E2525" s="1" t="s">
        <v>6</v>
      </c>
      <c r="F2525" s="1" t="s">
        <v>5091</v>
      </c>
      <c r="G2525" s="14" t="s">
        <v>6145</v>
      </c>
      <c r="H2525" s="1" t="s">
        <v>43</v>
      </c>
      <c r="I2525" s="17">
        <v>42648</v>
      </c>
    </row>
    <row r="2526" spans="1:9">
      <c r="A2526" s="16" t="s">
        <v>11872</v>
      </c>
      <c r="B2526" s="1" t="s">
        <v>2628</v>
      </c>
      <c r="C2526" s="1">
        <v>155</v>
      </c>
      <c r="D2526" s="1" t="s">
        <v>119</v>
      </c>
      <c r="E2526" s="1" t="s">
        <v>6</v>
      </c>
      <c r="F2526" s="1" t="s">
        <v>5091</v>
      </c>
      <c r="G2526" s="14" t="s">
        <v>6236</v>
      </c>
      <c r="H2526" s="1" t="s">
        <v>43</v>
      </c>
      <c r="I2526" s="17">
        <v>42370</v>
      </c>
    </row>
    <row r="2527" spans="1:9" ht="31.2">
      <c r="A2527" s="16" t="s">
        <v>11900</v>
      </c>
      <c r="B2527" s="1" t="s">
        <v>2628</v>
      </c>
      <c r="C2527" s="1">
        <v>155</v>
      </c>
      <c r="D2527" s="1" t="s">
        <v>119</v>
      </c>
      <c r="E2527" s="1" t="s">
        <v>6</v>
      </c>
      <c r="F2527" s="1" t="s">
        <v>5091</v>
      </c>
      <c r="G2527" s="14" t="s">
        <v>6145</v>
      </c>
      <c r="H2527" s="1" t="s">
        <v>43</v>
      </c>
      <c r="I2527" s="17">
        <v>42675</v>
      </c>
    </row>
    <row r="2528" spans="1:9">
      <c r="A2528" s="16" t="s">
        <v>11920</v>
      </c>
      <c r="B2528" s="1" t="s">
        <v>2628</v>
      </c>
      <c r="C2528" s="1">
        <v>155</v>
      </c>
      <c r="D2528" s="1" t="s">
        <v>119</v>
      </c>
      <c r="E2528" s="1" t="s">
        <v>6</v>
      </c>
      <c r="F2528" s="1" t="s">
        <v>5091</v>
      </c>
      <c r="G2528" s="14" t="s">
        <v>6145</v>
      </c>
      <c r="H2528" s="1" t="s">
        <v>43</v>
      </c>
      <c r="I2528" s="17">
        <v>42695</v>
      </c>
    </row>
    <row r="2529" spans="1:9">
      <c r="A2529" s="16" t="s">
        <v>11921</v>
      </c>
      <c r="B2529" s="1" t="s">
        <v>2628</v>
      </c>
      <c r="C2529" s="1">
        <v>155</v>
      </c>
      <c r="D2529" s="1" t="s">
        <v>119</v>
      </c>
      <c r="E2529" s="1" t="s">
        <v>6</v>
      </c>
      <c r="F2529" s="1" t="s">
        <v>5091</v>
      </c>
      <c r="G2529" s="14" t="s">
        <v>6145</v>
      </c>
      <c r="H2529" s="1" t="s">
        <v>43</v>
      </c>
      <c r="I2529" s="17">
        <v>42695</v>
      </c>
    </row>
    <row r="2530" spans="1:9">
      <c r="A2530" s="16" t="s">
        <v>11992</v>
      </c>
      <c r="B2530" s="1" t="s">
        <v>2628</v>
      </c>
      <c r="C2530" s="1">
        <v>155</v>
      </c>
      <c r="D2530" s="1" t="s">
        <v>119</v>
      </c>
      <c r="E2530" s="1" t="s">
        <v>6</v>
      </c>
      <c r="F2530" s="1" t="s">
        <v>5091</v>
      </c>
      <c r="G2530" s="14" t="s">
        <v>6145</v>
      </c>
      <c r="H2530" s="1" t="s">
        <v>43</v>
      </c>
      <c r="I2530" s="17">
        <v>42689</v>
      </c>
    </row>
    <row r="2531" spans="1:9">
      <c r="A2531" s="16" t="s">
        <v>12003</v>
      </c>
      <c r="B2531" s="1" t="s">
        <v>2628</v>
      </c>
      <c r="C2531" s="1">
        <v>155</v>
      </c>
      <c r="D2531" s="1" t="s">
        <v>119</v>
      </c>
      <c r="E2531" s="1" t="s">
        <v>6</v>
      </c>
      <c r="F2531" s="1" t="s">
        <v>5091</v>
      </c>
      <c r="G2531" s="14" t="s">
        <v>6145</v>
      </c>
      <c r="H2531" s="1" t="s">
        <v>43</v>
      </c>
      <c r="I2531" s="17">
        <v>42712</v>
      </c>
    </row>
    <row r="2532" spans="1:9">
      <c r="A2532" s="16" t="s">
        <v>12004</v>
      </c>
      <c r="B2532" s="1" t="s">
        <v>2628</v>
      </c>
      <c r="C2532" s="1">
        <v>155</v>
      </c>
      <c r="D2532" s="1" t="s">
        <v>119</v>
      </c>
      <c r="E2532" s="1" t="s">
        <v>6</v>
      </c>
      <c r="F2532" s="1" t="s">
        <v>5091</v>
      </c>
      <c r="G2532" s="14" t="s">
        <v>6145</v>
      </c>
      <c r="H2532" s="1" t="s">
        <v>43</v>
      </c>
      <c r="I2532" s="17">
        <v>42712</v>
      </c>
    </row>
    <row r="2533" spans="1:9">
      <c r="A2533" s="16" t="s">
        <v>12049</v>
      </c>
      <c r="B2533" s="1" t="s">
        <v>2628</v>
      </c>
      <c r="C2533" s="1">
        <v>155</v>
      </c>
      <c r="D2533" s="1" t="s">
        <v>119</v>
      </c>
      <c r="E2533" s="1" t="s">
        <v>6</v>
      </c>
      <c r="F2533" s="1" t="s">
        <v>5091</v>
      </c>
      <c r="G2533" s="14" t="s">
        <v>7403</v>
      </c>
      <c r="H2533" s="1" t="s">
        <v>44</v>
      </c>
      <c r="I2533" s="17">
        <v>42717</v>
      </c>
    </row>
    <row r="2534" spans="1:9">
      <c r="A2534" s="16" t="s">
        <v>12050</v>
      </c>
      <c r="B2534" s="1" t="s">
        <v>2628</v>
      </c>
      <c r="C2534" s="1">
        <v>155</v>
      </c>
      <c r="D2534" s="1" t="s">
        <v>119</v>
      </c>
      <c r="E2534" s="1" t="s">
        <v>6</v>
      </c>
      <c r="F2534" s="1" t="s">
        <v>5091</v>
      </c>
      <c r="G2534" s="14" t="s">
        <v>7403</v>
      </c>
      <c r="H2534" s="1" t="s">
        <v>44</v>
      </c>
      <c r="I2534" s="17">
        <v>42717</v>
      </c>
    </row>
    <row r="2535" spans="1:9">
      <c r="A2535" s="16" t="s">
        <v>12121</v>
      </c>
      <c r="B2535" s="1" t="s">
        <v>2628</v>
      </c>
      <c r="C2535" s="1">
        <v>155</v>
      </c>
      <c r="D2535" s="1" t="s">
        <v>119</v>
      </c>
      <c r="E2535" s="1" t="s">
        <v>6</v>
      </c>
      <c r="F2535" s="1" t="s">
        <v>5091</v>
      </c>
      <c r="G2535" s="14" t="s">
        <v>6145</v>
      </c>
      <c r="H2535" s="1" t="s">
        <v>43</v>
      </c>
      <c r="I2535" s="17">
        <v>41640</v>
      </c>
    </row>
    <row r="2536" spans="1:9">
      <c r="A2536" s="16" t="s">
        <v>12131</v>
      </c>
      <c r="B2536" s="1" t="s">
        <v>2628</v>
      </c>
      <c r="C2536" s="1">
        <v>155</v>
      </c>
      <c r="D2536" s="1" t="s">
        <v>119</v>
      </c>
      <c r="E2536" s="1" t="s">
        <v>6</v>
      </c>
      <c r="F2536" s="1" t="s">
        <v>5091</v>
      </c>
      <c r="G2536" s="14" t="s">
        <v>6145</v>
      </c>
      <c r="H2536" s="1" t="s">
        <v>43</v>
      </c>
      <c r="I2536" s="17">
        <v>41640</v>
      </c>
    </row>
    <row r="2537" spans="1:9">
      <c r="A2537" s="16" t="s">
        <v>12138</v>
      </c>
      <c r="B2537" s="1" t="s">
        <v>2628</v>
      </c>
      <c r="C2537" s="1">
        <v>155</v>
      </c>
      <c r="D2537" s="1" t="s">
        <v>119</v>
      </c>
      <c r="E2537" s="1" t="s">
        <v>6</v>
      </c>
      <c r="F2537" s="1" t="s">
        <v>5091</v>
      </c>
      <c r="G2537" s="14" t="s">
        <v>12139</v>
      </c>
      <c r="H2537" s="1" t="s">
        <v>43</v>
      </c>
      <c r="I2537" s="17">
        <v>41640</v>
      </c>
    </row>
    <row r="2538" spans="1:9">
      <c r="A2538" s="16" t="s">
        <v>12140</v>
      </c>
      <c r="B2538" s="1" t="s">
        <v>2628</v>
      </c>
      <c r="C2538" s="1">
        <v>155</v>
      </c>
      <c r="D2538" s="1" t="s">
        <v>119</v>
      </c>
      <c r="E2538" s="1" t="s">
        <v>6</v>
      </c>
      <c r="F2538" s="1" t="s">
        <v>5091</v>
      </c>
      <c r="G2538" s="14" t="s">
        <v>6145</v>
      </c>
      <c r="H2538" s="1" t="s">
        <v>43</v>
      </c>
      <c r="I2538" s="17">
        <v>41640</v>
      </c>
    </row>
    <row r="2539" spans="1:9">
      <c r="A2539" s="16" t="s">
        <v>12146</v>
      </c>
      <c r="B2539" s="1" t="s">
        <v>2628</v>
      </c>
      <c r="C2539" s="1">
        <v>155</v>
      </c>
      <c r="D2539" s="1" t="s">
        <v>119</v>
      </c>
      <c r="E2539" s="1" t="s">
        <v>6</v>
      </c>
      <c r="F2539" s="1" t="s">
        <v>5091</v>
      </c>
      <c r="G2539" s="14" t="s">
        <v>6145</v>
      </c>
      <c r="H2539" s="1" t="s">
        <v>43</v>
      </c>
      <c r="I2539" s="17">
        <v>41640</v>
      </c>
    </row>
    <row r="2540" spans="1:9">
      <c r="A2540" s="16" t="s">
        <v>12171</v>
      </c>
      <c r="B2540" s="1" t="s">
        <v>2628</v>
      </c>
      <c r="C2540" s="1">
        <v>155</v>
      </c>
      <c r="D2540" s="1" t="s">
        <v>119</v>
      </c>
      <c r="E2540" s="1" t="s">
        <v>6</v>
      </c>
      <c r="F2540" s="1" t="s">
        <v>5091</v>
      </c>
      <c r="G2540" s="14" t="s">
        <v>6145</v>
      </c>
      <c r="H2540" s="1" t="s">
        <v>43</v>
      </c>
      <c r="I2540" s="17">
        <v>41640</v>
      </c>
    </row>
    <row r="2541" spans="1:9">
      <c r="A2541" s="16" t="s">
        <v>12174</v>
      </c>
      <c r="B2541" s="1" t="s">
        <v>2628</v>
      </c>
      <c r="C2541" s="1">
        <v>155</v>
      </c>
      <c r="D2541" s="1" t="s">
        <v>119</v>
      </c>
      <c r="E2541" s="1" t="s">
        <v>6</v>
      </c>
      <c r="F2541" s="1" t="s">
        <v>5091</v>
      </c>
      <c r="G2541" s="14" t="s">
        <v>6536</v>
      </c>
      <c r="H2541" s="1" t="s">
        <v>43</v>
      </c>
      <c r="I2541" s="17">
        <v>41640</v>
      </c>
    </row>
    <row r="2542" spans="1:9">
      <c r="A2542" s="16" t="s">
        <v>12188</v>
      </c>
      <c r="B2542" s="1" t="s">
        <v>2628</v>
      </c>
      <c r="C2542" s="1">
        <v>155</v>
      </c>
      <c r="D2542" s="1" t="s">
        <v>119</v>
      </c>
      <c r="E2542" s="1" t="s">
        <v>6</v>
      </c>
      <c r="F2542" s="1" t="s">
        <v>5091</v>
      </c>
      <c r="G2542" s="14" t="s">
        <v>12189</v>
      </c>
      <c r="H2542" s="1" t="s">
        <v>5</v>
      </c>
      <c r="I2542" s="17">
        <v>41640</v>
      </c>
    </row>
    <row r="2543" spans="1:9">
      <c r="A2543" s="16" t="s">
        <v>12191</v>
      </c>
      <c r="B2543" s="1" t="s">
        <v>2628</v>
      </c>
      <c r="C2543" s="1">
        <v>155</v>
      </c>
      <c r="D2543" s="1" t="s">
        <v>119</v>
      </c>
      <c r="E2543" s="1" t="s">
        <v>6</v>
      </c>
      <c r="F2543" s="1" t="s">
        <v>5091</v>
      </c>
      <c r="G2543" s="14" t="s">
        <v>6145</v>
      </c>
      <c r="H2543" s="1" t="s">
        <v>43</v>
      </c>
      <c r="I2543" s="17">
        <v>41640</v>
      </c>
    </row>
    <row r="2544" spans="1:9">
      <c r="A2544" s="16" t="s">
        <v>12192</v>
      </c>
      <c r="B2544" s="1" t="s">
        <v>2628</v>
      </c>
      <c r="C2544" s="1">
        <v>155</v>
      </c>
      <c r="D2544" s="1" t="s">
        <v>119</v>
      </c>
      <c r="E2544" s="1" t="s">
        <v>6</v>
      </c>
      <c r="F2544" s="1" t="s">
        <v>5091</v>
      </c>
      <c r="G2544" s="14" t="s">
        <v>12193</v>
      </c>
      <c r="H2544" s="1" t="s">
        <v>5</v>
      </c>
      <c r="I2544" s="17">
        <v>41640</v>
      </c>
    </row>
    <row r="2545" spans="1:9">
      <c r="A2545" s="16" t="s">
        <v>12194</v>
      </c>
      <c r="B2545" s="1" t="s">
        <v>2628</v>
      </c>
      <c r="C2545" s="1">
        <v>155</v>
      </c>
      <c r="D2545" s="1" t="s">
        <v>119</v>
      </c>
      <c r="E2545" s="1" t="s">
        <v>6</v>
      </c>
      <c r="F2545" s="1" t="s">
        <v>5091</v>
      </c>
      <c r="G2545" s="14" t="s">
        <v>6450</v>
      </c>
      <c r="H2545" s="1" t="s">
        <v>43</v>
      </c>
      <c r="I2545" s="17">
        <v>41640</v>
      </c>
    </row>
    <row r="2546" spans="1:9">
      <c r="A2546" s="16" t="s">
        <v>12195</v>
      </c>
      <c r="B2546" s="1" t="s">
        <v>2628</v>
      </c>
      <c r="C2546" s="1">
        <v>155</v>
      </c>
      <c r="D2546" s="1" t="s">
        <v>119</v>
      </c>
      <c r="E2546" s="1" t="s">
        <v>6</v>
      </c>
      <c r="F2546" s="1" t="s">
        <v>5091</v>
      </c>
      <c r="G2546" s="14" t="s">
        <v>6450</v>
      </c>
      <c r="H2546" s="1" t="s">
        <v>43</v>
      </c>
      <c r="I2546" s="17">
        <v>41640</v>
      </c>
    </row>
    <row r="2547" spans="1:9">
      <c r="A2547" s="16" t="s">
        <v>12196</v>
      </c>
      <c r="B2547" s="1" t="s">
        <v>2628</v>
      </c>
      <c r="C2547" s="1">
        <v>155</v>
      </c>
      <c r="D2547" s="1" t="s">
        <v>119</v>
      </c>
      <c r="E2547" s="1" t="s">
        <v>6</v>
      </c>
      <c r="F2547" s="1" t="s">
        <v>5091</v>
      </c>
      <c r="G2547" s="14" t="s">
        <v>6536</v>
      </c>
      <c r="H2547" s="1" t="s">
        <v>43</v>
      </c>
      <c r="I2547" s="17">
        <v>41640</v>
      </c>
    </row>
    <row r="2548" spans="1:9">
      <c r="A2548" s="16" t="s">
        <v>12197</v>
      </c>
      <c r="B2548" s="1" t="s">
        <v>2628</v>
      </c>
      <c r="C2548" s="1">
        <v>155</v>
      </c>
      <c r="D2548" s="1" t="s">
        <v>119</v>
      </c>
      <c r="E2548" s="1" t="s">
        <v>6</v>
      </c>
      <c r="F2548" s="1" t="s">
        <v>5091</v>
      </c>
      <c r="G2548" s="14" t="s">
        <v>6145</v>
      </c>
      <c r="H2548" s="1" t="s">
        <v>43</v>
      </c>
      <c r="I2548" s="17">
        <v>41640</v>
      </c>
    </row>
    <row r="2549" spans="1:9">
      <c r="A2549" s="16" t="s">
        <v>12198</v>
      </c>
      <c r="B2549" s="1" t="s">
        <v>2628</v>
      </c>
      <c r="C2549" s="1">
        <v>155</v>
      </c>
      <c r="D2549" s="1" t="s">
        <v>119</v>
      </c>
      <c r="E2549" s="1" t="s">
        <v>6</v>
      </c>
      <c r="F2549" s="1" t="s">
        <v>5091</v>
      </c>
      <c r="G2549" s="14" t="s">
        <v>6450</v>
      </c>
      <c r="H2549" s="1" t="s">
        <v>43</v>
      </c>
      <c r="I2549" s="17">
        <v>41640</v>
      </c>
    </row>
    <row r="2550" spans="1:9">
      <c r="A2550" s="16" t="s">
        <v>12199</v>
      </c>
      <c r="B2550" s="1" t="s">
        <v>2628</v>
      </c>
      <c r="C2550" s="1">
        <v>155</v>
      </c>
      <c r="D2550" s="1" t="s">
        <v>119</v>
      </c>
      <c r="E2550" s="1" t="s">
        <v>6</v>
      </c>
      <c r="F2550" s="1" t="s">
        <v>5091</v>
      </c>
      <c r="G2550" s="14" t="s">
        <v>6450</v>
      </c>
      <c r="H2550" s="1" t="s">
        <v>43</v>
      </c>
      <c r="I2550" s="17">
        <v>41640</v>
      </c>
    </row>
    <row r="2551" spans="1:9">
      <c r="A2551" s="16" t="s">
        <v>12200</v>
      </c>
      <c r="B2551" s="1" t="s">
        <v>2628</v>
      </c>
      <c r="C2551" s="1">
        <v>155</v>
      </c>
      <c r="D2551" s="1" t="s">
        <v>119</v>
      </c>
      <c r="E2551" s="1" t="s">
        <v>6</v>
      </c>
      <c r="F2551" s="1" t="s">
        <v>5091</v>
      </c>
      <c r="G2551" s="14" t="s">
        <v>6450</v>
      </c>
      <c r="H2551" s="1" t="s">
        <v>43</v>
      </c>
      <c r="I2551" s="17">
        <v>41640</v>
      </c>
    </row>
    <row r="2552" spans="1:9">
      <c r="A2552" s="16" t="s">
        <v>12202</v>
      </c>
      <c r="B2552" s="1" t="s">
        <v>2628</v>
      </c>
      <c r="C2552" s="1">
        <v>155</v>
      </c>
      <c r="D2552" s="1" t="s">
        <v>119</v>
      </c>
      <c r="E2552" s="1" t="s">
        <v>6</v>
      </c>
      <c r="F2552" s="1" t="s">
        <v>5091</v>
      </c>
      <c r="G2552" s="14" t="s">
        <v>6450</v>
      </c>
      <c r="H2552" s="1" t="s">
        <v>43</v>
      </c>
      <c r="I2552" s="17">
        <v>41640</v>
      </c>
    </row>
    <row r="2553" spans="1:9">
      <c r="A2553" s="16" t="s">
        <v>12207</v>
      </c>
      <c r="B2553" s="1" t="s">
        <v>2628</v>
      </c>
      <c r="C2553" s="1">
        <v>155</v>
      </c>
      <c r="D2553" s="1" t="s">
        <v>119</v>
      </c>
      <c r="E2553" s="1" t="s">
        <v>6</v>
      </c>
      <c r="F2553" s="1" t="s">
        <v>5091</v>
      </c>
      <c r="G2553" s="14" t="s">
        <v>6450</v>
      </c>
      <c r="H2553" s="1" t="s">
        <v>43</v>
      </c>
      <c r="I2553" s="17">
        <v>41640</v>
      </c>
    </row>
    <row r="2554" spans="1:9">
      <c r="A2554" s="16" t="s">
        <v>12208</v>
      </c>
      <c r="B2554" s="1" t="s">
        <v>2628</v>
      </c>
      <c r="C2554" s="1">
        <v>155</v>
      </c>
      <c r="D2554" s="1" t="s">
        <v>119</v>
      </c>
      <c r="E2554" s="1" t="s">
        <v>6</v>
      </c>
      <c r="F2554" s="1" t="s">
        <v>5091</v>
      </c>
      <c r="G2554" s="14" t="s">
        <v>6450</v>
      </c>
      <c r="H2554" s="1" t="s">
        <v>43</v>
      </c>
      <c r="I2554" s="17">
        <v>41640</v>
      </c>
    </row>
    <row r="2555" spans="1:9">
      <c r="A2555" s="16" t="s">
        <v>12209</v>
      </c>
      <c r="B2555" s="1" t="s">
        <v>2628</v>
      </c>
      <c r="C2555" s="1">
        <v>155</v>
      </c>
      <c r="D2555" s="1" t="s">
        <v>119</v>
      </c>
      <c r="E2555" s="1" t="s">
        <v>6</v>
      </c>
      <c r="F2555" s="1" t="s">
        <v>5091</v>
      </c>
      <c r="G2555" s="14" t="s">
        <v>6450</v>
      </c>
      <c r="H2555" s="1" t="s">
        <v>43</v>
      </c>
      <c r="I2555" s="17">
        <v>41640</v>
      </c>
    </row>
    <row r="2556" spans="1:9">
      <c r="A2556" s="16" t="s">
        <v>12210</v>
      </c>
      <c r="B2556" s="1" t="s">
        <v>2628</v>
      </c>
      <c r="C2556" s="1">
        <v>155</v>
      </c>
      <c r="D2556" s="1" t="s">
        <v>119</v>
      </c>
      <c r="E2556" s="1" t="s">
        <v>6</v>
      </c>
      <c r="F2556" s="1" t="s">
        <v>5091</v>
      </c>
      <c r="G2556" s="14" t="s">
        <v>12193</v>
      </c>
      <c r="H2556" s="1" t="s">
        <v>5</v>
      </c>
      <c r="I2556" s="17">
        <v>41640</v>
      </c>
    </row>
    <row r="2557" spans="1:9">
      <c r="A2557" s="16" t="s">
        <v>12214</v>
      </c>
      <c r="B2557" s="1" t="s">
        <v>2628</v>
      </c>
      <c r="C2557" s="1">
        <v>155</v>
      </c>
      <c r="D2557" s="1" t="s">
        <v>119</v>
      </c>
      <c r="E2557" s="1" t="s">
        <v>6</v>
      </c>
      <c r="F2557" s="1" t="s">
        <v>5091</v>
      </c>
      <c r="G2557" s="14" t="s">
        <v>6450</v>
      </c>
      <c r="H2557" s="1" t="s">
        <v>43</v>
      </c>
      <c r="I2557" s="17">
        <v>41640</v>
      </c>
    </row>
    <row r="2558" spans="1:9">
      <c r="A2558" s="16" t="s">
        <v>12216</v>
      </c>
      <c r="B2558" s="1" t="s">
        <v>2628</v>
      </c>
      <c r="C2558" s="1">
        <v>155</v>
      </c>
      <c r="D2558" s="1" t="s">
        <v>119</v>
      </c>
      <c r="E2558" s="1" t="s">
        <v>6</v>
      </c>
      <c r="F2558" s="1" t="s">
        <v>5091</v>
      </c>
      <c r="G2558" s="14" t="s">
        <v>6145</v>
      </c>
      <c r="H2558" s="1" t="s">
        <v>43</v>
      </c>
      <c r="I2558" s="17">
        <v>41640</v>
      </c>
    </row>
    <row r="2559" spans="1:9">
      <c r="A2559" s="16" t="s">
        <v>12270</v>
      </c>
      <c r="B2559" s="1" t="s">
        <v>2628</v>
      </c>
      <c r="C2559" s="1">
        <v>155</v>
      </c>
      <c r="D2559" s="1" t="s">
        <v>119</v>
      </c>
      <c r="E2559" s="1" t="s">
        <v>6</v>
      </c>
      <c r="F2559" s="1" t="s">
        <v>5091</v>
      </c>
      <c r="G2559" s="14" t="s">
        <v>6145</v>
      </c>
      <c r="H2559" s="1" t="s">
        <v>43</v>
      </c>
      <c r="I2559" s="17">
        <v>42781</v>
      </c>
    </row>
    <row r="2560" spans="1:9">
      <c r="A2560" s="16" t="s">
        <v>12272</v>
      </c>
      <c r="B2560" s="1" t="s">
        <v>2628</v>
      </c>
      <c r="C2560" s="1">
        <v>155</v>
      </c>
      <c r="D2560" s="1" t="s">
        <v>119</v>
      </c>
      <c r="E2560" s="1" t="s">
        <v>6</v>
      </c>
      <c r="F2560" s="1" t="s">
        <v>5091</v>
      </c>
      <c r="G2560" s="14" t="s">
        <v>6145</v>
      </c>
      <c r="H2560" s="1" t="s">
        <v>43</v>
      </c>
      <c r="I2560" s="17">
        <v>41640</v>
      </c>
    </row>
    <row r="2561" spans="1:9">
      <c r="A2561" s="16" t="s">
        <v>12297</v>
      </c>
      <c r="B2561" s="1" t="s">
        <v>2628</v>
      </c>
      <c r="C2561" s="1">
        <v>155</v>
      </c>
      <c r="D2561" s="1" t="s">
        <v>119</v>
      </c>
      <c r="E2561" s="1" t="s">
        <v>6</v>
      </c>
      <c r="F2561" s="1" t="s">
        <v>5091</v>
      </c>
      <c r="G2561" s="14" t="s">
        <v>6450</v>
      </c>
      <c r="H2561" s="1" t="s">
        <v>43</v>
      </c>
      <c r="I2561" s="17">
        <v>41640</v>
      </c>
    </row>
    <row r="2562" spans="1:9">
      <c r="A2562" s="16" t="s">
        <v>12298</v>
      </c>
      <c r="B2562" s="1" t="s">
        <v>2628</v>
      </c>
      <c r="C2562" s="1">
        <v>155</v>
      </c>
      <c r="D2562" s="1" t="s">
        <v>119</v>
      </c>
      <c r="E2562" s="1" t="s">
        <v>6</v>
      </c>
      <c r="F2562" s="1" t="s">
        <v>5091</v>
      </c>
      <c r="G2562" s="14" t="s">
        <v>6450</v>
      </c>
      <c r="H2562" s="1" t="s">
        <v>43</v>
      </c>
      <c r="I2562" s="17">
        <v>41640</v>
      </c>
    </row>
    <row r="2563" spans="1:9">
      <c r="A2563" s="16" t="s">
        <v>12308</v>
      </c>
      <c r="B2563" s="1" t="s">
        <v>2628</v>
      </c>
      <c r="C2563" s="1">
        <v>155</v>
      </c>
      <c r="D2563" s="1" t="s">
        <v>119</v>
      </c>
      <c r="E2563" s="1" t="s">
        <v>6</v>
      </c>
      <c r="F2563" s="1" t="s">
        <v>5091</v>
      </c>
      <c r="G2563" s="14" t="s">
        <v>6450</v>
      </c>
      <c r="H2563" s="1" t="s">
        <v>43</v>
      </c>
      <c r="I2563" s="17">
        <v>41640</v>
      </c>
    </row>
    <row r="2564" spans="1:9">
      <c r="A2564" s="16" t="s">
        <v>12310</v>
      </c>
      <c r="B2564" s="1" t="s">
        <v>2628</v>
      </c>
      <c r="C2564" s="1">
        <v>155</v>
      </c>
      <c r="D2564" s="1" t="s">
        <v>119</v>
      </c>
      <c r="E2564" s="1" t="s">
        <v>6</v>
      </c>
      <c r="F2564" s="1" t="s">
        <v>5091</v>
      </c>
      <c r="G2564" s="14" t="s">
        <v>12311</v>
      </c>
      <c r="H2564" s="1" t="s">
        <v>43</v>
      </c>
      <c r="I2564" s="17">
        <v>41640</v>
      </c>
    </row>
    <row r="2565" spans="1:9">
      <c r="A2565" s="16" t="s">
        <v>12313</v>
      </c>
      <c r="B2565" s="1" t="s">
        <v>2628</v>
      </c>
      <c r="C2565" s="1">
        <v>155</v>
      </c>
      <c r="D2565" s="1" t="s">
        <v>119</v>
      </c>
      <c r="E2565" s="1" t="s">
        <v>6</v>
      </c>
      <c r="F2565" s="1" t="s">
        <v>5091</v>
      </c>
      <c r="G2565" s="14" t="s">
        <v>12314</v>
      </c>
      <c r="H2565" s="1" t="s">
        <v>43</v>
      </c>
      <c r="I2565" s="17">
        <v>41640</v>
      </c>
    </row>
    <row r="2566" spans="1:9">
      <c r="A2566" s="16" t="s">
        <v>12322</v>
      </c>
      <c r="B2566" s="1" t="s">
        <v>2628</v>
      </c>
      <c r="C2566" s="1">
        <v>155</v>
      </c>
      <c r="D2566" s="1" t="s">
        <v>119</v>
      </c>
      <c r="E2566" s="1" t="s">
        <v>6</v>
      </c>
      <c r="F2566" s="1" t="s">
        <v>5091</v>
      </c>
      <c r="G2566" s="14" t="s">
        <v>6450</v>
      </c>
      <c r="H2566" s="1" t="s">
        <v>43</v>
      </c>
      <c r="I2566" s="17">
        <v>41640</v>
      </c>
    </row>
    <row r="2567" spans="1:9">
      <c r="A2567" s="16" t="s">
        <v>12323</v>
      </c>
      <c r="B2567" s="1" t="s">
        <v>2628</v>
      </c>
      <c r="C2567" s="1">
        <v>155</v>
      </c>
      <c r="D2567" s="1" t="s">
        <v>119</v>
      </c>
      <c r="E2567" s="1" t="s">
        <v>6</v>
      </c>
      <c r="F2567" s="1" t="s">
        <v>5091</v>
      </c>
      <c r="G2567" s="14" t="s">
        <v>6450</v>
      </c>
      <c r="H2567" s="1" t="s">
        <v>43</v>
      </c>
      <c r="I2567" s="17">
        <v>41640</v>
      </c>
    </row>
    <row r="2568" spans="1:9">
      <c r="A2568" s="16" t="s">
        <v>12326</v>
      </c>
      <c r="B2568" s="1" t="s">
        <v>2628</v>
      </c>
      <c r="C2568" s="1">
        <v>155</v>
      </c>
      <c r="D2568" s="1" t="s">
        <v>119</v>
      </c>
      <c r="E2568" s="1" t="s">
        <v>6</v>
      </c>
      <c r="F2568" s="1" t="s">
        <v>5091</v>
      </c>
      <c r="G2568" s="14" t="s">
        <v>6450</v>
      </c>
      <c r="H2568" s="1" t="s">
        <v>43</v>
      </c>
      <c r="I2568" s="17">
        <v>41640</v>
      </c>
    </row>
    <row r="2569" spans="1:9">
      <c r="A2569" s="16" t="s">
        <v>12337</v>
      </c>
      <c r="B2569" s="1" t="s">
        <v>2628</v>
      </c>
      <c r="C2569" s="1">
        <v>155</v>
      </c>
      <c r="D2569" s="1" t="s">
        <v>119</v>
      </c>
      <c r="E2569" s="1" t="s">
        <v>6</v>
      </c>
      <c r="F2569" s="1" t="s">
        <v>5091</v>
      </c>
      <c r="G2569" s="14" t="s">
        <v>6450</v>
      </c>
      <c r="H2569" s="1" t="s">
        <v>43</v>
      </c>
      <c r="I2569" s="17">
        <v>41640</v>
      </c>
    </row>
    <row r="2570" spans="1:9">
      <c r="A2570" s="16" t="s">
        <v>12339</v>
      </c>
      <c r="B2570" s="1" t="s">
        <v>2628</v>
      </c>
      <c r="C2570" s="1">
        <v>155</v>
      </c>
      <c r="D2570" s="1" t="s">
        <v>119</v>
      </c>
      <c r="E2570" s="1" t="s">
        <v>6</v>
      </c>
      <c r="F2570" s="1" t="s">
        <v>5091</v>
      </c>
      <c r="G2570" s="14" t="s">
        <v>6450</v>
      </c>
      <c r="H2570" s="1" t="s">
        <v>43</v>
      </c>
      <c r="I2570" s="17">
        <v>41640</v>
      </c>
    </row>
    <row r="2571" spans="1:9">
      <c r="A2571" s="16" t="s">
        <v>12340</v>
      </c>
      <c r="B2571" s="1" t="s">
        <v>2628</v>
      </c>
      <c r="C2571" s="1">
        <v>155</v>
      </c>
      <c r="D2571" s="1" t="s">
        <v>119</v>
      </c>
      <c r="E2571" s="1" t="s">
        <v>6</v>
      </c>
      <c r="F2571" s="1" t="s">
        <v>5091</v>
      </c>
      <c r="G2571" s="14" t="s">
        <v>6536</v>
      </c>
      <c r="H2571" s="1" t="s">
        <v>43</v>
      </c>
      <c r="I2571" s="17">
        <v>41640</v>
      </c>
    </row>
    <row r="2572" spans="1:9">
      <c r="A2572" s="16" t="s">
        <v>12341</v>
      </c>
      <c r="B2572" s="1" t="s">
        <v>2628</v>
      </c>
      <c r="C2572" s="1">
        <v>155</v>
      </c>
      <c r="D2572" s="1" t="s">
        <v>119</v>
      </c>
      <c r="E2572" s="1" t="s">
        <v>6</v>
      </c>
      <c r="F2572" s="1" t="s">
        <v>5091</v>
      </c>
      <c r="G2572" s="14" t="s">
        <v>6450</v>
      </c>
      <c r="H2572" s="1" t="s">
        <v>43</v>
      </c>
      <c r="I2572" s="17">
        <v>41640</v>
      </c>
    </row>
    <row r="2573" spans="1:9">
      <c r="A2573" s="16" t="s">
        <v>12342</v>
      </c>
      <c r="B2573" s="1" t="s">
        <v>2628</v>
      </c>
      <c r="C2573" s="1">
        <v>155</v>
      </c>
      <c r="D2573" s="1" t="s">
        <v>119</v>
      </c>
      <c r="E2573" s="1" t="s">
        <v>6</v>
      </c>
      <c r="F2573" s="1" t="s">
        <v>5091</v>
      </c>
      <c r="G2573" s="14" t="s">
        <v>6536</v>
      </c>
      <c r="H2573" s="1" t="s">
        <v>43</v>
      </c>
      <c r="I2573" s="17">
        <v>41640</v>
      </c>
    </row>
    <row r="2574" spans="1:9">
      <c r="A2574" s="16" t="s">
        <v>12343</v>
      </c>
      <c r="B2574" s="1" t="s">
        <v>2628</v>
      </c>
      <c r="C2574" s="1">
        <v>155</v>
      </c>
      <c r="D2574" s="1" t="s">
        <v>119</v>
      </c>
      <c r="E2574" s="1" t="s">
        <v>6</v>
      </c>
      <c r="F2574" s="1" t="s">
        <v>5091</v>
      </c>
      <c r="G2574" s="14" t="s">
        <v>6450</v>
      </c>
      <c r="H2574" s="1" t="s">
        <v>43</v>
      </c>
      <c r="I2574" s="17">
        <v>41640</v>
      </c>
    </row>
    <row r="2575" spans="1:9">
      <c r="A2575" s="16" t="s">
        <v>12344</v>
      </c>
      <c r="B2575" s="1" t="s">
        <v>2628</v>
      </c>
      <c r="C2575" s="1">
        <v>155</v>
      </c>
      <c r="D2575" s="1" t="s">
        <v>119</v>
      </c>
      <c r="E2575" s="1" t="s">
        <v>6</v>
      </c>
      <c r="F2575" s="1" t="s">
        <v>5091</v>
      </c>
      <c r="G2575" s="14" t="s">
        <v>6450</v>
      </c>
      <c r="H2575" s="1" t="s">
        <v>43</v>
      </c>
      <c r="I2575" s="17">
        <v>41640</v>
      </c>
    </row>
    <row r="2576" spans="1:9">
      <c r="A2576" s="16" t="s">
        <v>12346</v>
      </c>
      <c r="B2576" s="1" t="s">
        <v>2628</v>
      </c>
      <c r="C2576" s="1">
        <v>155</v>
      </c>
      <c r="D2576" s="1" t="s">
        <v>119</v>
      </c>
      <c r="E2576" s="1" t="s">
        <v>6</v>
      </c>
      <c r="F2576" s="1" t="s">
        <v>5091</v>
      </c>
      <c r="G2576" s="14" t="s">
        <v>6450</v>
      </c>
      <c r="H2576" s="1" t="s">
        <v>43</v>
      </c>
      <c r="I2576" s="17">
        <v>41640</v>
      </c>
    </row>
    <row r="2577" spans="1:9">
      <c r="A2577" s="16" t="s">
        <v>12347</v>
      </c>
      <c r="B2577" s="1" t="s">
        <v>2628</v>
      </c>
      <c r="C2577" s="1">
        <v>155</v>
      </c>
      <c r="D2577" s="1" t="s">
        <v>119</v>
      </c>
      <c r="E2577" s="1" t="s">
        <v>6</v>
      </c>
      <c r="F2577" s="1" t="s">
        <v>5091</v>
      </c>
      <c r="G2577" s="14" t="s">
        <v>6450</v>
      </c>
      <c r="H2577" s="1" t="s">
        <v>43</v>
      </c>
      <c r="I2577" s="17">
        <v>41640</v>
      </c>
    </row>
    <row r="2578" spans="1:9">
      <c r="A2578" s="16" t="s">
        <v>12348</v>
      </c>
      <c r="B2578" s="1" t="s">
        <v>2628</v>
      </c>
      <c r="C2578" s="1">
        <v>155</v>
      </c>
      <c r="D2578" s="1" t="s">
        <v>119</v>
      </c>
      <c r="E2578" s="1" t="s">
        <v>6</v>
      </c>
      <c r="F2578" s="1" t="s">
        <v>5091</v>
      </c>
      <c r="G2578" s="14" t="s">
        <v>6450</v>
      </c>
      <c r="H2578" s="1" t="s">
        <v>43</v>
      </c>
      <c r="I2578" s="17">
        <v>41640</v>
      </c>
    </row>
    <row r="2579" spans="1:9">
      <c r="A2579" s="16" t="s">
        <v>12349</v>
      </c>
      <c r="B2579" s="1" t="s">
        <v>2628</v>
      </c>
      <c r="C2579" s="1">
        <v>155</v>
      </c>
      <c r="D2579" s="1" t="s">
        <v>119</v>
      </c>
      <c r="E2579" s="1" t="s">
        <v>6</v>
      </c>
      <c r="F2579" s="1" t="s">
        <v>5091</v>
      </c>
      <c r="G2579" s="14" t="s">
        <v>12193</v>
      </c>
      <c r="H2579" s="1" t="s">
        <v>5</v>
      </c>
      <c r="I2579" s="17">
        <v>41640</v>
      </c>
    </row>
    <row r="2580" spans="1:9">
      <c r="A2580" s="16" t="s">
        <v>12351</v>
      </c>
      <c r="B2580" s="1" t="s">
        <v>2628</v>
      </c>
      <c r="C2580" s="1">
        <v>155</v>
      </c>
      <c r="D2580" s="1" t="s">
        <v>119</v>
      </c>
      <c r="E2580" s="1" t="s">
        <v>6</v>
      </c>
      <c r="F2580" s="1" t="s">
        <v>5091</v>
      </c>
      <c r="G2580" s="14" t="s">
        <v>6450</v>
      </c>
      <c r="H2580" s="1" t="s">
        <v>43</v>
      </c>
      <c r="I2580" s="17">
        <v>41640</v>
      </c>
    </row>
    <row r="2581" spans="1:9">
      <c r="A2581" s="16" t="s">
        <v>12352</v>
      </c>
      <c r="B2581" s="1" t="s">
        <v>2628</v>
      </c>
      <c r="C2581" s="1">
        <v>155</v>
      </c>
      <c r="D2581" s="1" t="s">
        <v>119</v>
      </c>
      <c r="E2581" s="1" t="s">
        <v>6</v>
      </c>
      <c r="F2581" s="1" t="s">
        <v>5091</v>
      </c>
      <c r="G2581" s="14" t="s">
        <v>6450</v>
      </c>
      <c r="H2581" s="1" t="s">
        <v>43</v>
      </c>
      <c r="I2581" s="17">
        <v>41640</v>
      </c>
    </row>
    <row r="2582" spans="1:9">
      <c r="A2582" s="16" t="s">
        <v>12371</v>
      </c>
      <c r="B2582" s="1" t="s">
        <v>2628</v>
      </c>
      <c r="C2582" s="1">
        <v>155</v>
      </c>
      <c r="D2582" s="1" t="s">
        <v>119</v>
      </c>
      <c r="E2582" s="1" t="s">
        <v>6</v>
      </c>
      <c r="F2582" s="1" t="s">
        <v>5091</v>
      </c>
      <c r="G2582" s="14" t="s">
        <v>6450</v>
      </c>
      <c r="H2582" s="1" t="s">
        <v>43</v>
      </c>
      <c r="I2582" s="17">
        <v>41640</v>
      </c>
    </row>
    <row r="2583" spans="1:9">
      <c r="A2583" s="16" t="s">
        <v>12372</v>
      </c>
      <c r="B2583" s="1" t="s">
        <v>2628</v>
      </c>
      <c r="C2583" s="1">
        <v>155</v>
      </c>
      <c r="D2583" s="1" t="s">
        <v>119</v>
      </c>
      <c r="E2583" s="1" t="s">
        <v>6</v>
      </c>
      <c r="F2583" s="1" t="s">
        <v>5091</v>
      </c>
      <c r="G2583" s="14" t="s">
        <v>6450</v>
      </c>
      <c r="H2583" s="1" t="s">
        <v>43</v>
      </c>
      <c r="I2583" s="17">
        <v>41640</v>
      </c>
    </row>
    <row r="2584" spans="1:9">
      <c r="A2584" s="16" t="s">
        <v>12417</v>
      </c>
      <c r="B2584" s="1" t="s">
        <v>2628</v>
      </c>
      <c r="C2584" s="1">
        <v>155</v>
      </c>
      <c r="D2584" s="1" t="s">
        <v>119</v>
      </c>
      <c r="E2584" s="1" t="s">
        <v>6</v>
      </c>
      <c r="F2584" s="1" t="s">
        <v>5091</v>
      </c>
      <c r="G2584" s="14" t="s">
        <v>6450</v>
      </c>
      <c r="H2584" s="1" t="s">
        <v>43</v>
      </c>
      <c r="I2584" s="17">
        <v>42370</v>
      </c>
    </row>
    <row r="2585" spans="1:9">
      <c r="A2585" s="16" t="s">
        <v>12418</v>
      </c>
      <c r="B2585" s="1" t="s">
        <v>2628</v>
      </c>
      <c r="C2585" s="1">
        <v>155</v>
      </c>
      <c r="D2585" s="1" t="s">
        <v>119</v>
      </c>
      <c r="E2585" s="1" t="s">
        <v>6</v>
      </c>
      <c r="F2585" s="1" t="s">
        <v>5091</v>
      </c>
      <c r="G2585" s="14" t="s">
        <v>6450</v>
      </c>
      <c r="H2585" s="1" t="s">
        <v>43</v>
      </c>
      <c r="I2585" s="17">
        <v>42370</v>
      </c>
    </row>
    <row r="2586" spans="1:9">
      <c r="A2586" s="16" t="s">
        <v>12419</v>
      </c>
      <c r="B2586" s="1" t="s">
        <v>2628</v>
      </c>
      <c r="C2586" s="1">
        <v>155</v>
      </c>
      <c r="D2586" s="1" t="s">
        <v>119</v>
      </c>
      <c r="E2586" s="1" t="s">
        <v>6</v>
      </c>
      <c r="F2586" s="1" t="s">
        <v>5091</v>
      </c>
      <c r="G2586" s="14" t="s">
        <v>6450</v>
      </c>
      <c r="H2586" s="1" t="s">
        <v>43</v>
      </c>
      <c r="I2586" s="17">
        <v>42370</v>
      </c>
    </row>
    <row r="2587" spans="1:9">
      <c r="A2587" s="16" t="s">
        <v>12433</v>
      </c>
      <c r="B2587" s="1" t="s">
        <v>2628</v>
      </c>
      <c r="C2587" s="1">
        <v>155</v>
      </c>
      <c r="D2587" s="1" t="s">
        <v>119</v>
      </c>
      <c r="E2587" s="1" t="s">
        <v>6</v>
      </c>
      <c r="F2587" s="1" t="s">
        <v>5091</v>
      </c>
      <c r="G2587" s="14" t="s">
        <v>6450</v>
      </c>
      <c r="H2587" s="1" t="s">
        <v>43</v>
      </c>
      <c r="I2587" s="17">
        <v>42005</v>
      </c>
    </row>
    <row r="2588" spans="1:9">
      <c r="A2588" s="16" t="s">
        <v>12439</v>
      </c>
      <c r="B2588" s="1" t="s">
        <v>2628</v>
      </c>
      <c r="C2588" s="1">
        <v>155</v>
      </c>
      <c r="D2588" s="1" t="s">
        <v>119</v>
      </c>
      <c r="E2588" s="1" t="s">
        <v>6</v>
      </c>
      <c r="F2588" s="1" t="s">
        <v>5091</v>
      </c>
      <c r="G2588" s="14" t="s">
        <v>6145</v>
      </c>
      <c r="H2588" s="1" t="s">
        <v>43</v>
      </c>
      <c r="I2588" s="17">
        <v>41640</v>
      </c>
    </row>
    <row r="2589" spans="1:9">
      <c r="A2589" s="16" t="s">
        <v>12440</v>
      </c>
      <c r="B2589" s="1" t="s">
        <v>2628</v>
      </c>
      <c r="C2589" s="1">
        <v>155</v>
      </c>
      <c r="D2589" s="1" t="s">
        <v>119</v>
      </c>
      <c r="E2589" s="1" t="s">
        <v>6</v>
      </c>
      <c r="F2589" s="1" t="s">
        <v>5091</v>
      </c>
      <c r="G2589" s="14" t="s">
        <v>6145</v>
      </c>
      <c r="H2589" s="1" t="s">
        <v>43</v>
      </c>
      <c r="I2589" s="17">
        <v>41640</v>
      </c>
    </row>
    <row r="2590" spans="1:9">
      <c r="A2590" s="16" t="s">
        <v>12442</v>
      </c>
      <c r="B2590" s="1" t="s">
        <v>2628</v>
      </c>
      <c r="C2590" s="1">
        <v>155</v>
      </c>
      <c r="D2590" s="1" t="s">
        <v>119</v>
      </c>
      <c r="E2590" s="1" t="s">
        <v>6</v>
      </c>
      <c r="F2590" s="1" t="s">
        <v>5091</v>
      </c>
      <c r="G2590" s="14" t="s">
        <v>6145</v>
      </c>
      <c r="H2590" s="1" t="s">
        <v>43</v>
      </c>
      <c r="I2590" s="17">
        <v>41640</v>
      </c>
    </row>
    <row r="2591" spans="1:9">
      <c r="A2591" s="16" t="s">
        <v>12443</v>
      </c>
      <c r="B2591" s="1" t="s">
        <v>2628</v>
      </c>
      <c r="C2591" s="1">
        <v>155</v>
      </c>
      <c r="D2591" s="1" t="s">
        <v>119</v>
      </c>
      <c r="E2591" s="1" t="s">
        <v>6</v>
      </c>
      <c r="F2591" s="1" t="s">
        <v>5091</v>
      </c>
      <c r="G2591" s="14" t="s">
        <v>6145</v>
      </c>
      <c r="H2591" s="1" t="s">
        <v>43</v>
      </c>
      <c r="I2591" s="17">
        <v>41640</v>
      </c>
    </row>
    <row r="2592" spans="1:9">
      <c r="A2592" s="16" t="s">
        <v>12444</v>
      </c>
      <c r="B2592" s="1" t="s">
        <v>2628</v>
      </c>
      <c r="C2592" s="1">
        <v>155</v>
      </c>
      <c r="D2592" s="1" t="s">
        <v>119</v>
      </c>
      <c r="E2592" s="1" t="s">
        <v>6</v>
      </c>
      <c r="F2592" s="1" t="s">
        <v>5091</v>
      </c>
      <c r="G2592" s="14" t="s">
        <v>6145</v>
      </c>
      <c r="H2592" s="1" t="s">
        <v>43</v>
      </c>
      <c r="I2592" s="17">
        <v>41640</v>
      </c>
    </row>
    <row r="2593" spans="1:9">
      <c r="A2593" s="16" t="s">
        <v>12445</v>
      </c>
      <c r="B2593" s="1" t="s">
        <v>2628</v>
      </c>
      <c r="C2593" s="1">
        <v>155</v>
      </c>
      <c r="D2593" s="1" t="s">
        <v>119</v>
      </c>
      <c r="E2593" s="1" t="s">
        <v>6</v>
      </c>
      <c r="F2593" s="1" t="s">
        <v>5091</v>
      </c>
      <c r="G2593" s="14" t="s">
        <v>6145</v>
      </c>
      <c r="H2593" s="1" t="s">
        <v>43</v>
      </c>
      <c r="I2593" s="17">
        <v>41640</v>
      </c>
    </row>
    <row r="2594" spans="1:9">
      <c r="A2594" s="16" t="s">
        <v>12446</v>
      </c>
      <c r="B2594" s="1" t="s">
        <v>2628</v>
      </c>
      <c r="C2594" s="1">
        <v>155</v>
      </c>
      <c r="D2594" s="1" t="s">
        <v>119</v>
      </c>
      <c r="E2594" s="1" t="s">
        <v>6</v>
      </c>
      <c r="F2594" s="1" t="s">
        <v>5091</v>
      </c>
      <c r="G2594" s="14" t="s">
        <v>6145</v>
      </c>
      <c r="H2594" s="1" t="s">
        <v>43</v>
      </c>
      <c r="I2594" s="17">
        <v>41640</v>
      </c>
    </row>
    <row r="2595" spans="1:9">
      <c r="A2595" s="16" t="s">
        <v>12447</v>
      </c>
      <c r="B2595" s="1" t="s">
        <v>2628</v>
      </c>
      <c r="C2595" s="1">
        <v>155</v>
      </c>
      <c r="D2595" s="1" t="s">
        <v>119</v>
      </c>
      <c r="E2595" s="1" t="s">
        <v>6</v>
      </c>
      <c r="F2595" s="1" t="s">
        <v>5091</v>
      </c>
      <c r="G2595" s="14" t="s">
        <v>6145</v>
      </c>
      <c r="H2595" s="1" t="s">
        <v>43</v>
      </c>
      <c r="I2595" s="17">
        <v>41640</v>
      </c>
    </row>
    <row r="2596" spans="1:9">
      <c r="A2596" s="16" t="s">
        <v>12448</v>
      </c>
      <c r="B2596" s="1" t="s">
        <v>2628</v>
      </c>
      <c r="C2596" s="1">
        <v>155</v>
      </c>
      <c r="D2596" s="1" t="s">
        <v>119</v>
      </c>
      <c r="E2596" s="1" t="s">
        <v>6</v>
      </c>
      <c r="F2596" s="1" t="s">
        <v>5091</v>
      </c>
      <c r="G2596" s="14" t="s">
        <v>6145</v>
      </c>
      <c r="H2596" s="1" t="s">
        <v>43</v>
      </c>
      <c r="I2596" s="17">
        <v>41640</v>
      </c>
    </row>
    <row r="2597" spans="1:9">
      <c r="A2597" s="16" t="s">
        <v>12451</v>
      </c>
      <c r="B2597" s="1" t="s">
        <v>2628</v>
      </c>
      <c r="C2597" s="1">
        <v>155</v>
      </c>
      <c r="D2597" s="1" t="s">
        <v>119</v>
      </c>
      <c r="E2597" s="1" t="s">
        <v>6</v>
      </c>
      <c r="F2597" s="1" t="s">
        <v>5091</v>
      </c>
      <c r="G2597" s="14" t="s">
        <v>6145</v>
      </c>
      <c r="H2597" s="1" t="s">
        <v>43</v>
      </c>
      <c r="I2597" s="17">
        <v>41640</v>
      </c>
    </row>
    <row r="2598" spans="1:9">
      <c r="A2598" s="16" t="s">
        <v>12454</v>
      </c>
      <c r="B2598" s="1" t="s">
        <v>2628</v>
      </c>
      <c r="C2598" s="1">
        <v>155</v>
      </c>
      <c r="D2598" s="1" t="s">
        <v>119</v>
      </c>
      <c r="E2598" s="1" t="s">
        <v>6</v>
      </c>
      <c r="F2598" s="1" t="s">
        <v>5091</v>
      </c>
      <c r="G2598" s="14" t="s">
        <v>6307</v>
      </c>
      <c r="H2598" s="1" t="s">
        <v>44</v>
      </c>
      <c r="I2598" s="17">
        <v>41640</v>
      </c>
    </row>
    <row r="2599" spans="1:9">
      <c r="A2599" s="16" t="s">
        <v>12455</v>
      </c>
      <c r="B2599" s="1" t="s">
        <v>2628</v>
      </c>
      <c r="C2599" s="1">
        <v>155</v>
      </c>
      <c r="D2599" s="1" t="s">
        <v>119</v>
      </c>
      <c r="E2599" s="1" t="s">
        <v>6</v>
      </c>
      <c r="F2599" s="1" t="s">
        <v>5091</v>
      </c>
      <c r="G2599" s="14" t="s">
        <v>6307</v>
      </c>
      <c r="H2599" s="1" t="s">
        <v>44</v>
      </c>
      <c r="I2599" s="17">
        <v>41640</v>
      </c>
    </row>
    <row r="2600" spans="1:9">
      <c r="A2600" s="16" t="s">
        <v>12456</v>
      </c>
      <c r="B2600" s="1" t="s">
        <v>2628</v>
      </c>
      <c r="C2600" s="1">
        <v>155</v>
      </c>
      <c r="D2600" s="1" t="s">
        <v>119</v>
      </c>
      <c r="E2600" s="1" t="s">
        <v>6</v>
      </c>
      <c r="F2600" s="1" t="s">
        <v>5091</v>
      </c>
      <c r="G2600" s="14" t="s">
        <v>6145</v>
      </c>
      <c r="H2600" s="1" t="s">
        <v>43</v>
      </c>
      <c r="I2600" s="17">
        <v>41640</v>
      </c>
    </row>
    <row r="2601" spans="1:9">
      <c r="A2601" s="16" t="s">
        <v>12460</v>
      </c>
      <c r="B2601" s="1" t="s">
        <v>2628</v>
      </c>
      <c r="C2601" s="1">
        <v>155</v>
      </c>
      <c r="D2601" s="1" t="s">
        <v>119</v>
      </c>
      <c r="E2601" s="1" t="s">
        <v>6</v>
      </c>
      <c r="F2601" s="1" t="s">
        <v>5091</v>
      </c>
      <c r="G2601" s="14" t="s">
        <v>6145</v>
      </c>
      <c r="H2601" s="1" t="s">
        <v>43</v>
      </c>
      <c r="I2601" s="17">
        <v>41640</v>
      </c>
    </row>
    <row r="2602" spans="1:9">
      <c r="A2602" s="16" t="s">
        <v>12466</v>
      </c>
      <c r="B2602" s="1" t="s">
        <v>2628</v>
      </c>
      <c r="C2602" s="1">
        <v>155</v>
      </c>
      <c r="D2602" s="1" t="s">
        <v>119</v>
      </c>
      <c r="E2602" s="1" t="s">
        <v>6</v>
      </c>
      <c r="F2602" s="1" t="s">
        <v>5091</v>
      </c>
      <c r="G2602" s="14" t="s">
        <v>6450</v>
      </c>
      <c r="H2602" s="1" t="s">
        <v>43</v>
      </c>
      <c r="I2602" s="17">
        <v>41640</v>
      </c>
    </row>
    <row r="2603" spans="1:9">
      <c r="A2603" s="16" t="s">
        <v>12467</v>
      </c>
      <c r="B2603" s="1" t="s">
        <v>2628</v>
      </c>
      <c r="C2603" s="1">
        <v>155</v>
      </c>
      <c r="D2603" s="1" t="s">
        <v>119</v>
      </c>
      <c r="E2603" s="1" t="s">
        <v>6</v>
      </c>
      <c r="F2603" s="1" t="s">
        <v>5091</v>
      </c>
      <c r="G2603" s="14" t="s">
        <v>6307</v>
      </c>
      <c r="H2603" s="1" t="s">
        <v>44</v>
      </c>
      <c r="I2603" s="17">
        <v>41640</v>
      </c>
    </row>
    <row r="2604" spans="1:9">
      <c r="A2604" s="16" t="s">
        <v>12468</v>
      </c>
      <c r="B2604" s="1" t="s">
        <v>2628</v>
      </c>
      <c r="C2604" s="1">
        <v>155</v>
      </c>
      <c r="D2604" s="1" t="s">
        <v>119</v>
      </c>
      <c r="E2604" s="1" t="s">
        <v>6</v>
      </c>
      <c r="F2604" s="1" t="s">
        <v>5091</v>
      </c>
      <c r="G2604" s="14" t="s">
        <v>6307</v>
      </c>
      <c r="H2604" s="1" t="s">
        <v>44</v>
      </c>
      <c r="I2604" s="17">
        <v>41640</v>
      </c>
    </row>
    <row r="2605" spans="1:9">
      <c r="A2605" s="16" t="s">
        <v>12470</v>
      </c>
      <c r="B2605" s="1" t="s">
        <v>2628</v>
      </c>
      <c r="C2605" s="1">
        <v>155</v>
      </c>
      <c r="D2605" s="1" t="s">
        <v>119</v>
      </c>
      <c r="E2605" s="1" t="s">
        <v>6</v>
      </c>
      <c r="F2605" s="1" t="s">
        <v>5091</v>
      </c>
      <c r="G2605" s="14" t="s">
        <v>6145</v>
      </c>
      <c r="H2605" s="1" t="s">
        <v>43</v>
      </c>
      <c r="I2605" s="17">
        <v>41640</v>
      </c>
    </row>
    <row r="2606" spans="1:9">
      <c r="A2606" s="16" t="s">
        <v>12473</v>
      </c>
      <c r="B2606" s="1" t="s">
        <v>2628</v>
      </c>
      <c r="C2606" s="1">
        <v>155</v>
      </c>
      <c r="D2606" s="1" t="s">
        <v>119</v>
      </c>
      <c r="E2606" s="1" t="s">
        <v>6</v>
      </c>
      <c r="F2606" s="1" t="s">
        <v>5091</v>
      </c>
      <c r="G2606" s="14" t="s">
        <v>6145</v>
      </c>
      <c r="H2606" s="1" t="s">
        <v>43</v>
      </c>
      <c r="I2606" s="17">
        <v>41640</v>
      </c>
    </row>
    <row r="2607" spans="1:9">
      <c r="A2607" s="16" t="s">
        <v>12584</v>
      </c>
      <c r="B2607" s="1" t="s">
        <v>2628</v>
      </c>
      <c r="C2607" s="1">
        <v>155</v>
      </c>
      <c r="D2607" s="1" t="s">
        <v>119</v>
      </c>
      <c r="E2607" s="1" t="s">
        <v>6</v>
      </c>
      <c r="F2607" s="1" t="s">
        <v>5091</v>
      </c>
      <c r="G2607" s="14" t="s">
        <v>4458</v>
      </c>
      <c r="H2607" s="1" t="s">
        <v>118</v>
      </c>
      <c r="I2607" s="17">
        <v>37315</v>
      </c>
    </row>
    <row r="2608" spans="1:9">
      <c r="A2608" s="16" t="s">
        <v>12616</v>
      </c>
      <c r="B2608" s="1" t="s">
        <v>2628</v>
      </c>
      <c r="C2608" s="1">
        <v>155</v>
      </c>
      <c r="D2608" s="1" t="s">
        <v>119</v>
      </c>
      <c r="E2608" s="1" t="s">
        <v>6</v>
      </c>
      <c r="F2608" s="1" t="s">
        <v>5091</v>
      </c>
      <c r="G2608" s="14" t="s">
        <v>4458</v>
      </c>
      <c r="H2608" s="1" t="s">
        <v>118</v>
      </c>
      <c r="I2608" s="17">
        <v>42801</v>
      </c>
    </row>
    <row r="2609" spans="1:9">
      <c r="A2609" s="16" t="s">
        <v>12635</v>
      </c>
      <c r="B2609" s="1" t="s">
        <v>2628</v>
      </c>
      <c r="C2609" s="1">
        <v>155</v>
      </c>
      <c r="D2609" s="1" t="s">
        <v>119</v>
      </c>
      <c r="E2609" s="1" t="s">
        <v>6</v>
      </c>
      <c r="F2609" s="1" t="s">
        <v>5091</v>
      </c>
      <c r="G2609" s="14" t="s">
        <v>4458</v>
      </c>
      <c r="H2609" s="1" t="s">
        <v>118</v>
      </c>
      <c r="I2609" s="17">
        <v>42736</v>
      </c>
    </row>
    <row r="2610" spans="1:9">
      <c r="A2610" s="16" t="s">
        <v>12708</v>
      </c>
      <c r="B2610" s="1" t="s">
        <v>2628</v>
      </c>
      <c r="C2610" s="1">
        <v>1674</v>
      </c>
      <c r="D2610" s="1" t="s">
        <v>119</v>
      </c>
      <c r="E2610" s="1" t="s">
        <v>6</v>
      </c>
      <c r="F2610" s="1" t="s">
        <v>5091</v>
      </c>
      <c r="G2610" s="14" t="s">
        <v>4458</v>
      </c>
      <c r="H2610" s="1" t="s">
        <v>118</v>
      </c>
      <c r="I2610" s="17">
        <v>42830</v>
      </c>
    </row>
    <row r="2611" spans="1:9">
      <c r="A2611" s="16" t="s">
        <v>12709</v>
      </c>
      <c r="B2611" s="1" t="s">
        <v>2628</v>
      </c>
      <c r="C2611" s="1">
        <v>155</v>
      </c>
      <c r="D2611" s="1" t="s">
        <v>119</v>
      </c>
      <c r="E2611" s="1" t="s">
        <v>6</v>
      </c>
      <c r="F2611" s="1" t="s">
        <v>5091</v>
      </c>
      <c r="G2611" s="14" t="s">
        <v>4458</v>
      </c>
      <c r="H2611" s="1" t="s">
        <v>118</v>
      </c>
      <c r="I2611" s="17">
        <v>42830</v>
      </c>
    </row>
    <row r="2612" spans="1:9">
      <c r="A2612" s="16" t="s">
        <v>12710</v>
      </c>
      <c r="B2612" s="1" t="s">
        <v>2628</v>
      </c>
      <c r="C2612" s="1">
        <v>1674</v>
      </c>
      <c r="D2612" s="1" t="s">
        <v>119</v>
      </c>
      <c r="E2612" s="1" t="s">
        <v>6</v>
      </c>
      <c r="F2612" s="1" t="s">
        <v>5091</v>
      </c>
      <c r="G2612" s="14" t="s">
        <v>4458</v>
      </c>
      <c r="H2612" s="1" t="s">
        <v>118</v>
      </c>
      <c r="I2612" s="17">
        <v>42829</v>
      </c>
    </row>
    <row r="2613" spans="1:9">
      <c r="A2613" s="16" t="s">
        <v>12711</v>
      </c>
      <c r="B2613" s="1" t="s">
        <v>2628</v>
      </c>
      <c r="C2613" s="1">
        <v>1674</v>
      </c>
      <c r="D2613" s="1" t="s">
        <v>119</v>
      </c>
      <c r="E2613" s="1" t="s">
        <v>6</v>
      </c>
      <c r="F2613" s="1" t="s">
        <v>5091</v>
      </c>
      <c r="G2613" s="14" t="s">
        <v>4458</v>
      </c>
      <c r="H2613" s="1" t="s">
        <v>118</v>
      </c>
      <c r="I2613" s="17">
        <v>42830</v>
      </c>
    </row>
    <row r="2614" spans="1:9">
      <c r="A2614" s="16" t="s">
        <v>12712</v>
      </c>
      <c r="B2614" s="1" t="s">
        <v>2628</v>
      </c>
      <c r="C2614" s="1">
        <v>1674</v>
      </c>
      <c r="D2614" s="1" t="s">
        <v>119</v>
      </c>
      <c r="E2614" s="1" t="s">
        <v>6</v>
      </c>
      <c r="F2614" s="1" t="s">
        <v>5091</v>
      </c>
      <c r="G2614" s="14" t="s">
        <v>4458</v>
      </c>
      <c r="H2614" s="1" t="s">
        <v>118</v>
      </c>
      <c r="I2614" s="17">
        <v>42830</v>
      </c>
    </row>
    <row r="2615" spans="1:9">
      <c r="A2615" s="16" t="s">
        <v>12713</v>
      </c>
      <c r="B2615" s="1" t="s">
        <v>2628</v>
      </c>
      <c r="C2615" s="1">
        <v>1674</v>
      </c>
      <c r="D2615" s="1" t="s">
        <v>119</v>
      </c>
      <c r="E2615" s="1" t="s">
        <v>6</v>
      </c>
      <c r="F2615" s="1" t="s">
        <v>5091</v>
      </c>
      <c r="G2615" s="14" t="s">
        <v>4458</v>
      </c>
      <c r="H2615" s="1" t="s">
        <v>118</v>
      </c>
      <c r="I2615" s="17">
        <v>42830</v>
      </c>
    </row>
    <row r="2616" spans="1:9">
      <c r="A2616" s="16" t="s">
        <v>12714</v>
      </c>
      <c r="B2616" s="1" t="s">
        <v>2628</v>
      </c>
      <c r="C2616" s="1">
        <v>1674</v>
      </c>
      <c r="D2616" s="1" t="s">
        <v>119</v>
      </c>
      <c r="E2616" s="1" t="s">
        <v>6</v>
      </c>
      <c r="F2616" s="1" t="s">
        <v>5091</v>
      </c>
      <c r="G2616" s="14" t="s">
        <v>4458</v>
      </c>
      <c r="H2616" s="1" t="s">
        <v>118</v>
      </c>
      <c r="I2616" s="17">
        <v>42829</v>
      </c>
    </row>
    <row r="2617" spans="1:9">
      <c r="A2617" s="16" t="s">
        <v>12715</v>
      </c>
      <c r="B2617" s="1" t="s">
        <v>2628</v>
      </c>
      <c r="C2617" s="1">
        <v>1674</v>
      </c>
      <c r="D2617" s="1" t="s">
        <v>119</v>
      </c>
      <c r="E2617" s="1" t="s">
        <v>6</v>
      </c>
      <c r="F2617" s="1" t="s">
        <v>5091</v>
      </c>
      <c r="G2617" s="14" t="s">
        <v>4458</v>
      </c>
      <c r="H2617" s="1" t="s">
        <v>118</v>
      </c>
      <c r="I2617" s="17">
        <v>42829</v>
      </c>
    </row>
    <row r="2618" spans="1:9">
      <c r="A2618" s="16" t="s">
        <v>12716</v>
      </c>
      <c r="B2618" s="1" t="s">
        <v>2628</v>
      </c>
      <c r="C2618" s="1">
        <v>1674</v>
      </c>
      <c r="D2618" s="1" t="s">
        <v>119</v>
      </c>
      <c r="E2618" s="1" t="s">
        <v>6</v>
      </c>
      <c r="F2618" s="1" t="s">
        <v>5091</v>
      </c>
      <c r="G2618" s="14" t="s">
        <v>4458</v>
      </c>
      <c r="H2618" s="1" t="s">
        <v>118</v>
      </c>
      <c r="I2618" s="17">
        <v>42829</v>
      </c>
    </row>
    <row r="2619" spans="1:9">
      <c r="A2619" s="16" t="s">
        <v>12717</v>
      </c>
      <c r="B2619" s="1" t="s">
        <v>2628</v>
      </c>
      <c r="C2619" s="1">
        <v>1674</v>
      </c>
      <c r="D2619" s="1" t="s">
        <v>119</v>
      </c>
      <c r="E2619" s="1" t="s">
        <v>6</v>
      </c>
      <c r="F2619" s="1" t="s">
        <v>5091</v>
      </c>
      <c r="G2619" s="14" t="s">
        <v>4458</v>
      </c>
      <c r="H2619" s="1" t="s">
        <v>118</v>
      </c>
      <c r="I2619" s="17">
        <v>42829</v>
      </c>
    </row>
    <row r="2620" spans="1:9">
      <c r="A2620" s="16" t="s">
        <v>12718</v>
      </c>
      <c r="B2620" s="1" t="s">
        <v>2628</v>
      </c>
      <c r="C2620" s="1">
        <v>1674</v>
      </c>
      <c r="D2620" s="1" t="s">
        <v>119</v>
      </c>
      <c r="E2620" s="1" t="s">
        <v>6</v>
      </c>
      <c r="F2620" s="1" t="s">
        <v>5091</v>
      </c>
      <c r="G2620" s="14" t="s">
        <v>4458</v>
      </c>
      <c r="H2620" s="1" t="s">
        <v>118</v>
      </c>
      <c r="I2620" s="17">
        <v>42829</v>
      </c>
    </row>
    <row r="2621" spans="1:9">
      <c r="A2621" s="16" t="s">
        <v>12719</v>
      </c>
      <c r="B2621" s="1" t="s">
        <v>2628</v>
      </c>
      <c r="C2621" s="1">
        <v>1674</v>
      </c>
      <c r="D2621" s="1" t="s">
        <v>119</v>
      </c>
      <c r="E2621" s="1" t="s">
        <v>6</v>
      </c>
      <c r="F2621" s="1" t="s">
        <v>5091</v>
      </c>
      <c r="G2621" s="14" t="s">
        <v>4458</v>
      </c>
      <c r="H2621" s="1" t="s">
        <v>118</v>
      </c>
      <c r="I2621" s="17">
        <v>42829</v>
      </c>
    </row>
    <row r="2622" spans="1:9">
      <c r="A2622" s="16" t="s">
        <v>12720</v>
      </c>
      <c r="B2622" s="1" t="s">
        <v>2628</v>
      </c>
      <c r="C2622" s="1">
        <v>1674</v>
      </c>
      <c r="D2622" s="1" t="s">
        <v>119</v>
      </c>
      <c r="E2622" s="1" t="s">
        <v>6</v>
      </c>
      <c r="F2622" s="1" t="s">
        <v>5091</v>
      </c>
      <c r="G2622" s="14" t="s">
        <v>4458</v>
      </c>
      <c r="H2622" s="1" t="s">
        <v>118</v>
      </c>
      <c r="I2622" s="17">
        <v>42829</v>
      </c>
    </row>
    <row r="2623" spans="1:9">
      <c r="A2623" s="16" t="s">
        <v>12721</v>
      </c>
      <c r="B2623" s="1" t="s">
        <v>2628</v>
      </c>
      <c r="C2623" s="1">
        <v>155</v>
      </c>
      <c r="D2623" s="1" t="s">
        <v>119</v>
      </c>
      <c r="E2623" s="1" t="s">
        <v>6</v>
      </c>
      <c r="F2623" s="1" t="s">
        <v>5091</v>
      </c>
      <c r="G2623" s="14" t="s">
        <v>4458</v>
      </c>
      <c r="H2623" s="1" t="s">
        <v>118</v>
      </c>
      <c r="I2623" s="17">
        <v>42829</v>
      </c>
    </row>
    <row r="2624" spans="1:9">
      <c r="A2624" s="16" t="s">
        <v>12742</v>
      </c>
      <c r="B2624" s="1" t="s">
        <v>2628</v>
      </c>
      <c r="C2624" s="1">
        <v>372</v>
      </c>
      <c r="D2624" s="1" t="s">
        <v>119</v>
      </c>
      <c r="E2624" s="1" t="s">
        <v>6</v>
      </c>
      <c r="F2624" s="1" t="s">
        <v>5091</v>
      </c>
      <c r="G2624" s="14" t="s">
        <v>4458</v>
      </c>
      <c r="H2624" s="1" t="s">
        <v>118</v>
      </c>
      <c r="I2624" s="17">
        <v>40739</v>
      </c>
    </row>
    <row r="2625" spans="1:9">
      <c r="A2625" s="16" t="s">
        <v>12811</v>
      </c>
      <c r="B2625" s="1" t="s">
        <v>2628</v>
      </c>
      <c r="C2625" s="1">
        <v>372</v>
      </c>
      <c r="D2625" s="1" t="s">
        <v>119</v>
      </c>
      <c r="E2625" s="1" t="s">
        <v>6</v>
      </c>
      <c r="F2625" s="1" t="s">
        <v>5091</v>
      </c>
      <c r="G2625" s="14" t="s">
        <v>4458</v>
      </c>
      <c r="H2625" s="1" t="s">
        <v>118</v>
      </c>
      <c r="I2625" s="1" t="s">
        <v>4458</v>
      </c>
    </row>
    <row r="2626" spans="1:9">
      <c r="A2626" s="16" t="s">
        <v>12815</v>
      </c>
      <c r="B2626" s="1" t="s">
        <v>2628</v>
      </c>
      <c r="C2626" s="1">
        <v>1701</v>
      </c>
      <c r="D2626" s="1" t="s">
        <v>119</v>
      </c>
      <c r="E2626" s="1" t="s">
        <v>6</v>
      </c>
      <c r="F2626" s="1" t="s">
        <v>5091</v>
      </c>
      <c r="G2626" s="14" t="s">
        <v>6236</v>
      </c>
      <c r="H2626" s="1" t="s">
        <v>43</v>
      </c>
      <c r="I2626" s="17">
        <v>42736</v>
      </c>
    </row>
    <row r="2627" spans="1:9">
      <c r="A2627" s="16" t="s">
        <v>12856</v>
      </c>
      <c r="B2627" s="1" t="s">
        <v>2628</v>
      </c>
      <c r="C2627" s="1">
        <v>372</v>
      </c>
      <c r="D2627" s="1" t="s">
        <v>119</v>
      </c>
      <c r="E2627" s="1" t="s">
        <v>6</v>
      </c>
      <c r="F2627" s="1" t="s">
        <v>5091</v>
      </c>
      <c r="G2627" s="14" t="s">
        <v>6145</v>
      </c>
      <c r="H2627" s="1" t="s">
        <v>43</v>
      </c>
      <c r="I2627" s="17">
        <v>42837</v>
      </c>
    </row>
    <row r="2628" spans="1:9">
      <c r="A2628" s="16" t="s">
        <v>12857</v>
      </c>
      <c r="B2628" s="1" t="s">
        <v>2628</v>
      </c>
      <c r="C2628" s="1">
        <v>372</v>
      </c>
      <c r="D2628" s="1" t="s">
        <v>119</v>
      </c>
      <c r="E2628" s="1" t="s">
        <v>6</v>
      </c>
      <c r="F2628" s="1" t="s">
        <v>5091</v>
      </c>
      <c r="G2628" s="14" t="s">
        <v>6145</v>
      </c>
      <c r="H2628" s="1" t="s">
        <v>43</v>
      </c>
      <c r="I2628" s="17">
        <v>42837</v>
      </c>
    </row>
    <row r="2629" spans="1:9">
      <c r="A2629" s="16" t="s">
        <v>12858</v>
      </c>
      <c r="B2629" s="1" t="s">
        <v>2628</v>
      </c>
      <c r="C2629" s="1">
        <v>372</v>
      </c>
      <c r="D2629" s="1" t="s">
        <v>119</v>
      </c>
      <c r="E2629" s="1" t="s">
        <v>6</v>
      </c>
      <c r="F2629" s="1" t="s">
        <v>5091</v>
      </c>
      <c r="G2629" s="14" t="s">
        <v>6145</v>
      </c>
      <c r="H2629" s="1" t="s">
        <v>43</v>
      </c>
      <c r="I2629" s="17">
        <v>42837</v>
      </c>
    </row>
    <row r="2630" spans="1:9">
      <c r="A2630" s="16" t="s">
        <v>12859</v>
      </c>
      <c r="B2630" s="1" t="s">
        <v>2628</v>
      </c>
      <c r="C2630" s="1">
        <v>372</v>
      </c>
      <c r="D2630" s="1" t="s">
        <v>119</v>
      </c>
      <c r="E2630" s="1" t="s">
        <v>6</v>
      </c>
      <c r="F2630" s="1" t="s">
        <v>5091</v>
      </c>
      <c r="G2630" s="14" t="s">
        <v>6145</v>
      </c>
      <c r="H2630" s="1" t="s">
        <v>43</v>
      </c>
      <c r="I2630" s="17">
        <v>42837</v>
      </c>
    </row>
    <row r="2631" spans="1:9">
      <c r="A2631" s="16" t="s">
        <v>12886</v>
      </c>
      <c r="B2631" s="1" t="s">
        <v>2628</v>
      </c>
      <c r="C2631" s="1">
        <v>155</v>
      </c>
      <c r="D2631" s="1" t="s">
        <v>119</v>
      </c>
      <c r="E2631" s="1" t="s">
        <v>6</v>
      </c>
      <c r="F2631" s="1" t="s">
        <v>5091</v>
      </c>
      <c r="G2631" s="14" t="s">
        <v>6145</v>
      </c>
      <c r="H2631" s="1" t="s">
        <v>43</v>
      </c>
      <c r="I2631" s="17">
        <v>41306</v>
      </c>
    </row>
    <row r="2632" spans="1:9">
      <c r="A2632" s="16" t="s">
        <v>12912</v>
      </c>
      <c r="B2632" s="1" t="s">
        <v>2628</v>
      </c>
      <c r="C2632" s="1">
        <v>155</v>
      </c>
      <c r="D2632" s="1" t="s">
        <v>119</v>
      </c>
      <c r="E2632" s="1" t="s">
        <v>6</v>
      </c>
      <c r="F2632" s="1" t="s">
        <v>5091</v>
      </c>
      <c r="G2632" s="14" t="s">
        <v>6238</v>
      </c>
      <c r="H2632" s="1" t="s">
        <v>43</v>
      </c>
      <c r="I2632" s="17">
        <v>42736</v>
      </c>
    </row>
    <row r="2633" spans="1:9">
      <c r="A2633" s="16" t="s">
        <v>12924</v>
      </c>
      <c r="B2633" s="1" t="s">
        <v>2628</v>
      </c>
      <c r="C2633" s="1">
        <v>155</v>
      </c>
      <c r="D2633" s="1" t="s">
        <v>119</v>
      </c>
      <c r="E2633" s="1" t="s">
        <v>6</v>
      </c>
      <c r="F2633" s="1" t="s">
        <v>5091</v>
      </c>
      <c r="G2633" s="14" t="s">
        <v>6307</v>
      </c>
      <c r="H2633" s="1" t="s">
        <v>44</v>
      </c>
      <c r="I2633" s="17">
        <v>40909</v>
      </c>
    </row>
    <row r="2634" spans="1:9">
      <c r="A2634" s="16" t="s">
        <v>12925</v>
      </c>
      <c r="B2634" s="1" t="s">
        <v>2628</v>
      </c>
      <c r="C2634" s="1">
        <v>155</v>
      </c>
      <c r="D2634" s="1" t="s">
        <v>119</v>
      </c>
      <c r="E2634" s="1" t="s">
        <v>6</v>
      </c>
      <c r="F2634" s="1" t="s">
        <v>5091</v>
      </c>
      <c r="G2634" s="14" t="s">
        <v>6307</v>
      </c>
      <c r="H2634" s="1" t="s">
        <v>44</v>
      </c>
      <c r="I2634" s="17">
        <v>40909</v>
      </c>
    </row>
    <row r="2635" spans="1:9">
      <c r="A2635" s="16" t="s">
        <v>12926</v>
      </c>
      <c r="B2635" s="1" t="s">
        <v>2628</v>
      </c>
      <c r="C2635" s="1">
        <v>155</v>
      </c>
      <c r="D2635" s="1" t="s">
        <v>119</v>
      </c>
      <c r="E2635" s="1" t="s">
        <v>6</v>
      </c>
      <c r="F2635" s="1" t="s">
        <v>5091</v>
      </c>
      <c r="G2635" s="14" t="s">
        <v>6307</v>
      </c>
      <c r="H2635" s="1" t="s">
        <v>44</v>
      </c>
      <c r="I2635" s="17">
        <v>40909</v>
      </c>
    </row>
    <row r="2636" spans="1:9">
      <c r="A2636" s="16" t="s">
        <v>12927</v>
      </c>
      <c r="B2636" s="1" t="s">
        <v>2628</v>
      </c>
      <c r="C2636" s="1">
        <v>155</v>
      </c>
      <c r="D2636" s="1" t="s">
        <v>119</v>
      </c>
      <c r="E2636" s="1" t="s">
        <v>6</v>
      </c>
      <c r="F2636" s="1" t="s">
        <v>5091</v>
      </c>
      <c r="G2636" s="14" t="s">
        <v>6307</v>
      </c>
      <c r="H2636" s="1" t="s">
        <v>44</v>
      </c>
      <c r="I2636" s="17">
        <v>40909</v>
      </c>
    </row>
    <row r="2637" spans="1:9">
      <c r="A2637" s="16" t="s">
        <v>12928</v>
      </c>
      <c r="B2637" s="1" t="s">
        <v>2628</v>
      </c>
      <c r="C2637" s="1">
        <v>155</v>
      </c>
      <c r="D2637" s="1" t="s">
        <v>119</v>
      </c>
      <c r="E2637" s="1" t="s">
        <v>6</v>
      </c>
      <c r="F2637" s="1" t="s">
        <v>5091</v>
      </c>
      <c r="G2637" s="14" t="s">
        <v>6307</v>
      </c>
      <c r="H2637" s="1" t="s">
        <v>44</v>
      </c>
      <c r="I2637" s="17">
        <v>40909</v>
      </c>
    </row>
    <row r="2638" spans="1:9">
      <c r="A2638" s="16" t="s">
        <v>12929</v>
      </c>
      <c r="B2638" s="1" t="s">
        <v>2628</v>
      </c>
      <c r="C2638" s="1">
        <v>155</v>
      </c>
      <c r="D2638" s="1" t="s">
        <v>119</v>
      </c>
      <c r="E2638" s="1" t="s">
        <v>6</v>
      </c>
      <c r="F2638" s="1" t="s">
        <v>5091</v>
      </c>
      <c r="G2638" s="14" t="s">
        <v>6307</v>
      </c>
      <c r="H2638" s="1" t="s">
        <v>44</v>
      </c>
      <c r="I2638" s="17">
        <v>40909</v>
      </c>
    </row>
    <row r="2639" spans="1:9">
      <c r="A2639" s="16" t="s">
        <v>12930</v>
      </c>
      <c r="B2639" s="1" t="s">
        <v>2628</v>
      </c>
      <c r="C2639" s="1">
        <v>155</v>
      </c>
      <c r="D2639" s="1" t="s">
        <v>119</v>
      </c>
      <c r="E2639" s="1" t="s">
        <v>6</v>
      </c>
      <c r="F2639" s="1" t="s">
        <v>5091</v>
      </c>
      <c r="G2639" s="14" t="s">
        <v>6307</v>
      </c>
      <c r="H2639" s="1" t="s">
        <v>44</v>
      </c>
      <c r="I2639" s="17">
        <v>40909</v>
      </c>
    </row>
    <row r="2640" spans="1:9">
      <c r="A2640" s="16" t="s">
        <v>12931</v>
      </c>
      <c r="B2640" s="1" t="s">
        <v>2628</v>
      </c>
      <c r="C2640" s="1">
        <v>155</v>
      </c>
      <c r="D2640" s="1" t="s">
        <v>119</v>
      </c>
      <c r="E2640" s="1" t="s">
        <v>6</v>
      </c>
      <c r="F2640" s="1" t="s">
        <v>5091</v>
      </c>
      <c r="G2640" s="14" t="s">
        <v>6307</v>
      </c>
      <c r="H2640" s="1" t="s">
        <v>44</v>
      </c>
      <c r="I2640" s="17">
        <v>40909</v>
      </c>
    </row>
    <row r="2641" spans="1:10" ht="31.2">
      <c r="A2641" s="16" t="s">
        <v>12932</v>
      </c>
      <c r="B2641" s="1" t="s">
        <v>2628</v>
      </c>
      <c r="C2641" s="1">
        <v>155</v>
      </c>
      <c r="D2641" s="1" t="s">
        <v>119</v>
      </c>
      <c r="E2641" s="1" t="s">
        <v>6</v>
      </c>
      <c r="F2641" s="1" t="s">
        <v>5091</v>
      </c>
      <c r="G2641" s="14" t="s">
        <v>6307</v>
      </c>
      <c r="H2641" s="1" t="s">
        <v>44</v>
      </c>
      <c r="I2641" s="17">
        <v>40909</v>
      </c>
    </row>
    <row r="2642" spans="1:10">
      <c r="A2642" s="16" t="s">
        <v>12933</v>
      </c>
      <c r="B2642" s="1" t="s">
        <v>2628</v>
      </c>
      <c r="C2642" s="1">
        <v>155</v>
      </c>
      <c r="D2642" s="1" t="s">
        <v>119</v>
      </c>
      <c r="E2642" s="1" t="s">
        <v>6</v>
      </c>
      <c r="F2642" s="1" t="s">
        <v>5091</v>
      </c>
      <c r="G2642" s="14" t="s">
        <v>6307</v>
      </c>
      <c r="H2642" s="1" t="s">
        <v>44</v>
      </c>
      <c r="I2642" s="17">
        <v>40909</v>
      </c>
    </row>
    <row r="2643" spans="1:10" ht="31.2">
      <c r="A2643" s="16" t="s">
        <v>12941</v>
      </c>
      <c r="B2643" s="1" t="s">
        <v>2628</v>
      </c>
      <c r="C2643" s="1">
        <v>155</v>
      </c>
      <c r="D2643" s="1" t="s">
        <v>119</v>
      </c>
      <c r="E2643" s="1" t="s">
        <v>6</v>
      </c>
      <c r="F2643" s="1" t="s">
        <v>5091</v>
      </c>
      <c r="G2643" s="14" t="s">
        <v>6307</v>
      </c>
      <c r="H2643" s="1" t="s">
        <v>44</v>
      </c>
      <c r="I2643" s="17">
        <v>40909</v>
      </c>
    </row>
    <row r="2644" spans="1:10">
      <c r="A2644" s="16" t="s">
        <v>12943</v>
      </c>
      <c r="B2644" s="1" t="s">
        <v>2628</v>
      </c>
      <c r="C2644" s="1">
        <v>155</v>
      </c>
      <c r="D2644" s="1" t="s">
        <v>119</v>
      </c>
      <c r="E2644" s="1" t="s">
        <v>6</v>
      </c>
      <c r="F2644" s="1" t="s">
        <v>5091</v>
      </c>
      <c r="G2644" s="14" t="s">
        <v>6307</v>
      </c>
      <c r="H2644" s="1" t="s">
        <v>44</v>
      </c>
      <c r="I2644" s="17">
        <v>40909</v>
      </c>
    </row>
    <row r="2645" spans="1:10">
      <c r="A2645" s="16" t="s">
        <v>12944</v>
      </c>
      <c r="B2645" s="1" t="s">
        <v>2628</v>
      </c>
      <c r="C2645" s="1">
        <v>155</v>
      </c>
      <c r="D2645" s="1" t="s">
        <v>119</v>
      </c>
      <c r="E2645" s="1" t="s">
        <v>6</v>
      </c>
      <c r="F2645" s="1" t="s">
        <v>5091</v>
      </c>
      <c r="G2645" s="14" t="s">
        <v>6307</v>
      </c>
      <c r="H2645" s="1" t="s">
        <v>44</v>
      </c>
      <c r="I2645" s="17">
        <v>40909</v>
      </c>
      <c r="J2645" s="11"/>
    </row>
    <row r="2646" spans="1:10">
      <c r="A2646" s="16" t="s">
        <v>12945</v>
      </c>
      <c r="B2646" s="1" t="s">
        <v>2628</v>
      </c>
      <c r="C2646" s="1">
        <v>155</v>
      </c>
      <c r="D2646" s="1" t="s">
        <v>119</v>
      </c>
      <c r="E2646" s="1" t="s">
        <v>6</v>
      </c>
      <c r="F2646" s="1" t="s">
        <v>5091</v>
      </c>
      <c r="G2646" s="14" t="s">
        <v>6307</v>
      </c>
      <c r="H2646" s="1" t="s">
        <v>44</v>
      </c>
      <c r="I2646" s="17">
        <v>40909</v>
      </c>
    </row>
    <row r="2647" spans="1:10">
      <c r="A2647" s="16" t="s">
        <v>12946</v>
      </c>
      <c r="B2647" s="1" t="s">
        <v>2628</v>
      </c>
      <c r="C2647" s="1">
        <v>155</v>
      </c>
      <c r="D2647" s="1" t="s">
        <v>119</v>
      </c>
      <c r="E2647" s="1" t="s">
        <v>6</v>
      </c>
      <c r="F2647" s="1" t="s">
        <v>5091</v>
      </c>
      <c r="G2647" s="14" t="s">
        <v>6307</v>
      </c>
      <c r="H2647" s="1" t="s">
        <v>44</v>
      </c>
      <c r="I2647" s="17">
        <v>40909</v>
      </c>
    </row>
    <row r="2648" spans="1:10">
      <c r="A2648" s="16" t="s">
        <v>12947</v>
      </c>
      <c r="B2648" s="1" t="s">
        <v>2628</v>
      </c>
      <c r="C2648" s="1">
        <v>155</v>
      </c>
      <c r="D2648" s="1" t="s">
        <v>119</v>
      </c>
      <c r="E2648" s="1" t="s">
        <v>6</v>
      </c>
      <c r="F2648" s="1" t="s">
        <v>5091</v>
      </c>
      <c r="G2648" s="14" t="s">
        <v>6307</v>
      </c>
      <c r="H2648" s="1" t="s">
        <v>44</v>
      </c>
      <c r="I2648" s="17">
        <v>40909</v>
      </c>
    </row>
    <row r="2649" spans="1:10">
      <c r="A2649" s="16" t="s">
        <v>12948</v>
      </c>
      <c r="B2649" s="1" t="s">
        <v>2628</v>
      </c>
      <c r="C2649" s="1">
        <v>155</v>
      </c>
      <c r="D2649" s="1" t="s">
        <v>119</v>
      </c>
      <c r="E2649" s="1" t="s">
        <v>6</v>
      </c>
      <c r="F2649" s="1" t="s">
        <v>5091</v>
      </c>
      <c r="G2649" s="14" t="s">
        <v>6307</v>
      </c>
      <c r="H2649" s="1" t="s">
        <v>44</v>
      </c>
      <c r="I2649" s="17">
        <v>40909</v>
      </c>
    </row>
    <row r="2650" spans="1:10">
      <c r="A2650" s="16" t="s">
        <v>12949</v>
      </c>
      <c r="B2650" s="1" t="s">
        <v>2628</v>
      </c>
      <c r="C2650" s="1">
        <v>155</v>
      </c>
      <c r="D2650" s="1" t="s">
        <v>119</v>
      </c>
      <c r="E2650" s="1" t="s">
        <v>6</v>
      </c>
      <c r="F2650" s="1" t="s">
        <v>5091</v>
      </c>
      <c r="G2650" s="14" t="s">
        <v>6307</v>
      </c>
      <c r="H2650" s="1" t="s">
        <v>44</v>
      </c>
      <c r="I2650" s="17">
        <v>40909</v>
      </c>
    </row>
    <row r="2651" spans="1:10">
      <c r="A2651" s="16" t="s">
        <v>12950</v>
      </c>
      <c r="B2651" s="1" t="s">
        <v>2628</v>
      </c>
      <c r="C2651" s="1">
        <v>155</v>
      </c>
      <c r="D2651" s="1" t="s">
        <v>119</v>
      </c>
      <c r="E2651" s="1" t="s">
        <v>6</v>
      </c>
      <c r="F2651" s="1" t="s">
        <v>5091</v>
      </c>
      <c r="G2651" s="14" t="s">
        <v>6307</v>
      </c>
      <c r="H2651" s="1" t="s">
        <v>44</v>
      </c>
      <c r="I2651" s="17">
        <v>40909</v>
      </c>
    </row>
    <row r="2652" spans="1:10">
      <c r="A2652" s="16" t="s">
        <v>12951</v>
      </c>
      <c r="B2652" s="1" t="s">
        <v>2628</v>
      </c>
      <c r="C2652" s="1">
        <v>155</v>
      </c>
      <c r="D2652" s="1" t="s">
        <v>119</v>
      </c>
      <c r="E2652" s="1" t="s">
        <v>6</v>
      </c>
      <c r="F2652" s="1" t="s">
        <v>5091</v>
      </c>
      <c r="G2652" s="14" t="s">
        <v>6307</v>
      </c>
      <c r="H2652" s="1" t="s">
        <v>44</v>
      </c>
      <c r="I2652" s="17">
        <v>40909</v>
      </c>
    </row>
    <row r="2653" spans="1:10">
      <c r="A2653" s="16" t="s">
        <v>12968</v>
      </c>
      <c r="B2653" s="1" t="s">
        <v>2628</v>
      </c>
      <c r="C2653" s="1">
        <v>1674</v>
      </c>
      <c r="D2653" s="1" t="s">
        <v>119</v>
      </c>
      <c r="E2653" s="1" t="s">
        <v>6</v>
      </c>
      <c r="F2653" s="1" t="s">
        <v>5091</v>
      </c>
      <c r="G2653" s="14" t="s">
        <v>6145</v>
      </c>
      <c r="H2653" s="1" t="s">
        <v>43</v>
      </c>
      <c r="I2653" s="17">
        <v>42845</v>
      </c>
    </row>
    <row r="2654" spans="1:10">
      <c r="A2654" s="16" t="s">
        <v>12970</v>
      </c>
      <c r="B2654" s="1" t="s">
        <v>2628</v>
      </c>
      <c r="C2654" s="1">
        <v>1674</v>
      </c>
      <c r="D2654" s="1" t="s">
        <v>119</v>
      </c>
      <c r="E2654" s="1" t="s">
        <v>6</v>
      </c>
      <c r="F2654" s="1" t="s">
        <v>5091</v>
      </c>
      <c r="G2654" s="14" t="s">
        <v>6145</v>
      </c>
      <c r="H2654" s="1" t="s">
        <v>43</v>
      </c>
      <c r="I2654" s="17">
        <v>42845</v>
      </c>
    </row>
    <row r="2655" spans="1:10">
      <c r="A2655" s="16" t="s">
        <v>12972</v>
      </c>
      <c r="B2655" s="1" t="s">
        <v>2628</v>
      </c>
      <c r="C2655" s="1">
        <v>1674</v>
      </c>
      <c r="D2655" s="1" t="s">
        <v>119</v>
      </c>
      <c r="E2655" s="1" t="s">
        <v>6</v>
      </c>
      <c r="F2655" s="1" t="s">
        <v>5091</v>
      </c>
      <c r="G2655" s="14" t="s">
        <v>6145</v>
      </c>
      <c r="H2655" s="1" t="s">
        <v>43</v>
      </c>
      <c r="I2655" s="17">
        <v>42845</v>
      </c>
    </row>
    <row r="2656" spans="1:10">
      <c r="A2656" s="16" t="s">
        <v>12973</v>
      </c>
      <c r="B2656" s="1" t="s">
        <v>2628</v>
      </c>
      <c r="C2656" s="1">
        <v>1674</v>
      </c>
      <c r="D2656" s="1" t="s">
        <v>119</v>
      </c>
      <c r="E2656" s="1" t="s">
        <v>6</v>
      </c>
      <c r="F2656" s="1" t="s">
        <v>5091</v>
      </c>
      <c r="G2656" s="14" t="s">
        <v>6145</v>
      </c>
      <c r="H2656" s="1" t="s">
        <v>43</v>
      </c>
      <c r="I2656" s="17">
        <v>42845</v>
      </c>
    </row>
    <row r="2657" spans="1:9">
      <c r="A2657" s="16" t="s">
        <v>12975</v>
      </c>
      <c r="B2657" s="1" t="s">
        <v>2628</v>
      </c>
      <c r="C2657" s="1">
        <v>1674</v>
      </c>
      <c r="D2657" s="1" t="s">
        <v>119</v>
      </c>
      <c r="E2657" s="1" t="s">
        <v>6</v>
      </c>
      <c r="F2657" s="1" t="s">
        <v>5091</v>
      </c>
      <c r="G2657" s="14" t="s">
        <v>6145</v>
      </c>
      <c r="H2657" s="1" t="s">
        <v>43</v>
      </c>
      <c r="I2657" s="17">
        <v>42845</v>
      </c>
    </row>
    <row r="2658" spans="1:9">
      <c r="A2658" s="16" t="s">
        <v>13030</v>
      </c>
      <c r="B2658" s="1" t="s">
        <v>2628</v>
      </c>
      <c r="C2658" s="1">
        <v>155</v>
      </c>
      <c r="D2658" s="1" t="s">
        <v>119</v>
      </c>
      <c r="E2658" s="1" t="s">
        <v>6</v>
      </c>
      <c r="F2658" s="1" t="s">
        <v>5091</v>
      </c>
      <c r="G2658" s="14" t="s">
        <v>13031</v>
      </c>
      <c r="H2658" s="1" t="s">
        <v>43</v>
      </c>
      <c r="I2658" s="17">
        <v>42856</v>
      </c>
    </row>
    <row r="2659" spans="1:9">
      <c r="A2659" s="16" t="s">
        <v>13038</v>
      </c>
      <c r="B2659" s="1" t="s">
        <v>2628</v>
      </c>
      <c r="C2659" s="1">
        <v>155</v>
      </c>
      <c r="D2659" s="1" t="s">
        <v>119</v>
      </c>
      <c r="E2659" s="1" t="s">
        <v>6</v>
      </c>
      <c r="F2659" s="1" t="s">
        <v>5091</v>
      </c>
      <c r="G2659" s="14" t="s">
        <v>6307</v>
      </c>
      <c r="H2659" s="1" t="s">
        <v>44</v>
      </c>
      <c r="I2659" s="17">
        <v>40909</v>
      </c>
    </row>
    <row r="2660" spans="1:9">
      <c r="A2660" s="16" t="s">
        <v>13041</v>
      </c>
      <c r="B2660" s="1" t="s">
        <v>2628</v>
      </c>
      <c r="C2660" s="1">
        <v>155</v>
      </c>
      <c r="D2660" s="1" t="s">
        <v>119</v>
      </c>
      <c r="E2660" s="1" t="s">
        <v>6</v>
      </c>
      <c r="F2660" s="1" t="s">
        <v>5091</v>
      </c>
      <c r="G2660" s="14" t="s">
        <v>6450</v>
      </c>
      <c r="H2660" s="1" t="s">
        <v>43</v>
      </c>
      <c r="I2660" s="17">
        <v>42370</v>
      </c>
    </row>
    <row r="2661" spans="1:9">
      <c r="A2661" s="16" t="s">
        <v>13046</v>
      </c>
      <c r="B2661" s="1" t="s">
        <v>2628</v>
      </c>
      <c r="C2661" s="1">
        <v>155</v>
      </c>
      <c r="D2661" s="1" t="s">
        <v>119</v>
      </c>
      <c r="E2661" s="1" t="s">
        <v>6</v>
      </c>
      <c r="F2661" s="1" t="s">
        <v>5091</v>
      </c>
      <c r="G2661" s="14" t="s">
        <v>6307</v>
      </c>
      <c r="H2661" s="1" t="s">
        <v>44</v>
      </c>
      <c r="I2661" s="17">
        <v>40909</v>
      </c>
    </row>
    <row r="2662" spans="1:9">
      <c r="A2662" s="16" t="s">
        <v>13047</v>
      </c>
      <c r="B2662" s="1" t="s">
        <v>2628</v>
      </c>
      <c r="C2662" s="1">
        <v>155</v>
      </c>
      <c r="D2662" s="1" t="s">
        <v>119</v>
      </c>
      <c r="E2662" s="1" t="s">
        <v>6</v>
      </c>
      <c r="F2662" s="1" t="s">
        <v>5091</v>
      </c>
      <c r="G2662" s="14" t="s">
        <v>6307</v>
      </c>
      <c r="H2662" s="1" t="s">
        <v>44</v>
      </c>
      <c r="I2662" s="17">
        <v>40909</v>
      </c>
    </row>
    <row r="2663" spans="1:9">
      <c r="A2663" s="16" t="s">
        <v>13048</v>
      </c>
      <c r="B2663" s="1" t="s">
        <v>2628</v>
      </c>
      <c r="C2663" s="1">
        <v>155</v>
      </c>
      <c r="D2663" s="1" t="s">
        <v>119</v>
      </c>
      <c r="E2663" s="1" t="s">
        <v>6</v>
      </c>
      <c r="F2663" s="1" t="s">
        <v>5091</v>
      </c>
      <c r="G2663" s="14" t="s">
        <v>6307</v>
      </c>
      <c r="H2663" s="1" t="s">
        <v>44</v>
      </c>
      <c r="I2663" s="17">
        <v>40909</v>
      </c>
    </row>
    <row r="2664" spans="1:9">
      <c r="A2664" s="16" t="s">
        <v>13050</v>
      </c>
      <c r="B2664" s="1" t="s">
        <v>2628</v>
      </c>
      <c r="C2664" s="1">
        <v>155</v>
      </c>
      <c r="D2664" s="1" t="s">
        <v>119</v>
      </c>
      <c r="E2664" s="1" t="s">
        <v>6</v>
      </c>
      <c r="F2664" s="1" t="s">
        <v>5091</v>
      </c>
      <c r="G2664" s="14" t="s">
        <v>6450</v>
      </c>
      <c r="H2664" s="1" t="s">
        <v>43</v>
      </c>
      <c r="I2664" s="17">
        <v>42370</v>
      </c>
    </row>
    <row r="2665" spans="1:9">
      <c r="A2665" s="16" t="s">
        <v>13051</v>
      </c>
      <c r="B2665" s="1" t="s">
        <v>2628</v>
      </c>
      <c r="C2665" s="1">
        <v>155</v>
      </c>
      <c r="D2665" s="1" t="s">
        <v>119</v>
      </c>
      <c r="E2665" s="1" t="s">
        <v>6</v>
      </c>
      <c r="F2665" s="1" t="s">
        <v>5091</v>
      </c>
      <c r="G2665" s="14" t="s">
        <v>6477</v>
      </c>
      <c r="H2665" s="1" t="s">
        <v>5</v>
      </c>
      <c r="I2665" s="17">
        <v>41275</v>
      </c>
    </row>
    <row r="2666" spans="1:9">
      <c r="A2666" s="16" t="s">
        <v>13057</v>
      </c>
      <c r="B2666" s="1" t="s">
        <v>2628</v>
      </c>
      <c r="C2666" s="1">
        <v>155</v>
      </c>
      <c r="D2666" s="1" t="s">
        <v>119</v>
      </c>
      <c r="E2666" s="1" t="s">
        <v>6</v>
      </c>
      <c r="F2666" s="1" t="s">
        <v>5091</v>
      </c>
      <c r="G2666" s="14" t="s">
        <v>6450</v>
      </c>
      <c r="H2666" s="1" t="s">
        <v>43</v>
      </c>
      <c r="I2666" s="17">
        <v>42370</v>
      </c>
    </row>
    <row r="2667" spans="1:9">
      <c r="A2667" s="16" t="s">
        <v>13061</v>
      </c>
      <c r="B2667" s="1" t="s">
        <v>2628</v>
      </c>
      <c r="C2667" s="1">
        <v>155</v>
      </c>
      <c r="D2667" s="1" t="s">
        <v>119</v>
      </c>
      <c r="E2667" s="1" t="s">
        <v>6</v>
      </c>
      <c r="F2667" s="1" t="s">
        <v>5091</v>
      </c>
      <c r="G2667" s="14" t="s">
        <v>6307</v>
      </c>
      <c r="H2667" s="1" t="s">
        <v>44</v>
      </c>
      <c r="I2667" s="17">
        <v>40909</v>
      </c>
    </row>
    <row r="2668" spans="1:9">
      <c r="A2668" s="16" t="s">
        <v>13062</v>
      </c>
      <c r="B2668" s="1" t="s">
        <v>2628</v>
      </c>
      <c r="C2668" s="1">
        <v>155</v>
      </c>
      <c r="D2668" s="1" t="s">
        <v>119</v>
      </c>
      <c r="E2668" s="1" t="s">
        <v>6</v>
      </c>
      <c r="F2668" s="1" t="s">
        <v>5091</v>
      </c>
      <c r="G2668" s="14" t="s">
        <v>6307</v>
      </c>
      <c r="H2668" s="1" t="s">
        <v>44</v>
      </c>
      <c r="I2668" s="17">
        <v>40909</v>
      </c>
    </row>
    <row r="2669" spans="1:9" ht="31.2">
      <c r="A2669" s="16" t="s">
        <v>13063</v>
      </c>
      <c r="B2669" s="1" t="s">
        <v>2628</v>
      </c>
      <c r="C2669" s="1">
        <v>155</v>
      </c>
      <c r="D2669" s="1" t="s">
        <v>119</v>
      </c>
      <c r="E2669" s="1" t="s">
        <v>6</v>
      </c>
      <c r="F2669" s="1" t="s">
        <v>5091</v>
      </c>
      <c r="G2669" s="14" t="s">
        <v>6307</v>
      </c>
      <c r="H2669" s="1" t="s">
        <v>44</v>
      </c>
      <c r="I2669" s="17">
        <v>40909</v>
      </c>
    </row>
    <row r="2670" spans="1:9">
      <c r="A2670" s="16" t="s">
        <v>13064</v>
      </c>
      <c r="B2670" s="1" t="s">
        <v>2628</v>
      </c>
      <c r="C2670" s="1">
        <v>155</v>
      </c>
      <c r="D2670" s="1" t="s">
        <v>119</v>
      </c>
      <c r="E2670" s="1" t="s">
        <v>6</v>
      </c>
      <c r="F2670" s="1" t="s">
        <v>5091</v>
      </c>
      <c r="G2670" s="14" t="s">
        <v>6307</v>
      </c>
      <c r="H2670" s="1" t="s">
        <v>44</v>
      </c>
      <c r="I2670" s="17">
        <v>40909</v>
      </c>
    </row>
    <row r="2671" spans="1:9" ht="31.2">
      <c r="A2671" s="16" t="s">
        <v>13086</v>
      </c>
      <c r="B2671" s="1" t="s">
        <v>2628</v>
      </c>
      <c r="C2671" s="1">
        <v>155</v>
      </c>
      <c r="D2671" s="1" t="s">
        <v>119</v>
      </c>
      <c r="E2671" s="1" t="s">
        <v>6</v>
      </c>
      <c r="F2671" s="1" t="s">
        <v>5091</v>
      </c>
      <c r="G2671" s="14" t="s">
        <v>6307</v>
      </c>
      <c r="H2671" s="1" t="s">
        <v>44</v>
      </c>
      <c r="I2671" s="17">
        <v>40909</v>
      </c>
    </row>
    <row r="2672" spans="1:9">
      <c r="A2672" s="16" t="s">
        <v>13088</v>
      </c>
      <c r="B2672" s="1" t="s">
        <v>2628</v>
      </c>
      <c r="C2672" s="1">
        <v>155</v>
      </c>
      <c r="D2672" s="1" t="s">
        <v>119</v>
      </c>
      <c r="E2672" s="1" t="s">
        <v>6</v>
      </c>
      <c r="F2672" s="1" t="s">
        <v>5091</v>
      </c>
      <c r="G2672" s="14" t="s">
        <v>6307</v>
      </c>
      <c r="H2672" s="1" t="s">
        <v>44</v>
      </c>
      <c r="I2672" s="17">
        <v>40909</v>
      </c>
    </row>
    <row r="2673" spans="1:9">
      <c r="A2673" s="16" t="s">
        <v>13089</v>
      </c>
      <c r="B2673" s="1" t="s">
        <v>2628</v>
      </c>
      <c r="C2673" s="1">
        <v>155</v>
      </c>
      <c r="D2673" s="1" t="s">
        <v>119</v>
      </c>
      <c r="E2673" s="1" t="s">
        <v>6</v>
      </c>
      <c r="F2673" s="1" t="s">
        <v>5091</v>
      </c>
      <c r="G2673" s="14" t="s">
        <v>6307</v>
      </c>
      <c r="H2673" s="1" t="s">
        <v>44</v>
      </c>
      <c r="I2673" s="17">
        <v>40909</v>
      </c>
    </row>
    <row r="2674" spans="1:9">
      <c r="A2674" s="16" t="s">
        <v>13094</v>
      </c>
      <c r="B2674" s="1" t="s">
        <v>2628</v>
      </c>
      <c r="C2674" s="1">
        <v>155</v>
      </c>
      <c r="D2674" s="1" t="s">
        <v>119</v>
      </c>
      <c r="E2674" s="1" t="s">
        <v>6</v>
      </c>
      <c r="F2674" s="1" t="s">
        <v>5091</v>
      </c>
      <c r="G2674" s="14" t="s">
        <v>6145</v>
      </c>
      <c r="H2674" s="1" t="s">
        <v>43</v>
      </c>
      <c r="I2674" s="17">
        <v>42878</v>
      </c>
    </row>
    <row r="2675" spans="1:9">
      <c r="A2675" s="16" t="s">
        <v>13096</v>
      </c>
      <c r="B2675" s="1" t="s">
        <v>2628</v>
      </c>
      <c r="C2675" s="1">
        <v>155</v>
      </c>
      <c r="D2675" s="1" t="s">
        <v>119</v>
      </c>
      <c r="E2675" s="1" t="s">
        <v>6</v>
      </c>
      <c r="F2675" s="1" t="s">
        <v>5091</v>
      </c>
      <c r="G2675" s="14" t="s">
        <v>6145</v>
      </c>
      <c r="H2675" s="1" t="s">
        <v>43</v>
      </c>
      <c r="I2675" s="17">
        <v>42877</v>
      </c>
    </row>
    <row r="2676" spans="1:9">
      <c r="A2676" s="16" t="s">
        <v>13098</v>
      </c>
      <c r="B2676" s="1" t="s">
        <v>2628</v>
      </c>
      <c r="C2676" s="1">
        <v>155</v>
      </c>
      <c r="D2676" s="1" t="s">
        <v>119</v>
      </c>
      <c r="E2676" s="1" t="s">
        <v>6</v>
      </c>
      <c r="F2676" s="1" t="s">
        <v>5091</v>
      </c>
      <c r="G2676" s="14" t="s">
        <v>6145</v>
      </c>
      <c r="H2676" s="1" t="s">
        <v>43</v>
      </c>
      <c r="I2676" s="17">
        <v>42878</v>
      </c>
    </row>
    <row r="2677" spans="1:9">
      <c r="A2677" s="16" t="s">
        <v>13127</v>
      </c>
      <c r="B2677" s="1" t="s">
        <v>2628</v>
      </c>
      <c r="C2677" s="1">
        <v>155</v>
      </c>
      <c r="D2677" s="1" t="s">
        <v>119</v>
      </c>
      <c r="E2677" s="1" t="s">
        <v>6</v>
      </c>
      <c r="F2677" s="1" t="s">
        <v>5091</v>
      </c>
      <c r="G2677" s="14" t="s">
        <v>6145</v>
      </c>
      <c r="H2677" s="1" t="s">
        <v>43</v>
      </c>
      <c r="I2677" s="17">
        <v>42864</v>
      </c>
    </row>
    <row r="2678" spans="1:9">
      <c r="A2678" s="16" t="s">
        <v>13128</v>
      </c>
      <c r="B2678" s="1" t="s">
        <v>2628</v>
      </c>
      <c r="C2678" s="1">
        <v>155</v>
      </c>
      <c r="D2678" s="1" t="s">
        <v>119</v>
      </c>
      <c r="E2678" s="1" t="s">
        <v>6</v>
      </c>
      <c r="F2678" s="1" t="s">
        <v>5091</v>
      </c>
      <c r="G2678" s="14" t="s">
        <v>6145</v>
      </c>
      <c r="H2678" s="1" t="s">
        <v>43</v>
      </c>
      <c r="I2678" s="17">
        <v>42871</v>
      </c>
    </row>
    <row r="2679" spans="1:9">
      <c r="A2679" s="16" t="s">
        <v>13131</v>
      </c>
      <c r="B2679" s="1" t="s">
        <v>2628</v>
      </c>
      <c r="C2679" s="1">
        <v>155</v>
      </c>
      <c r="D2679" s="1" t="s">
        <v>119</v>
      </c>
      <c r="E2679" s="1" t="s">
        <v>6</v>
      </c>
      <c r="F2679" s="1" t="s">
        <v>5091</v>
      </c>
      <c r="G2679" s="14" t="s">
        <v>6145</v>
      </c>
      <c r="H2679" s="1" t="s">
        <v>43</v>
      </c>
      <c r="I2679" s="17">
        <v>42871</v>
      </c>
    </row>
    <row r="2680" spans="1:9">
      <c r="A2680" s="16" t="s">
        <v>13132</v>
      </c>
      <c r="B2680" s="1" t="s">
        <v>2628</v>
      </c>
      <c r="C2680" s="1">
        <v>155</v>
      </c>
      <c r="D2680" s="1" t="s">
        <v>119</v>
      </c>
      <c r="E2680" s="1" t="s">
        <v>6</v>
      </c>
      <c r="F2680" s="1" t="s">
        <v>5091</v>
      </c>
      <c r="G2680" s="14" t="s">
        <v>6145</v>
      </c>
      <c r="H2680" s="1" t="s">
        <v>43</v>
      </c>
      <c r="I2680" s="17">
        <v>42871</v>
      </c>
    </row>
    <row r="2681" spans="1:9">
      <c r="A2681" s="16" t="s">
        <v>13169</v>
      </c>
      <c r="B2681" s="1" t="s">
        <v>2628</v>
      </c>
      <c r="C2681" s="1">
        <v>155</v>
      </c>
      <c r="D2681" s="1" t="s">
        <v>119</v>
      </c>
      <c r="E2681" s="1" t="s">
        <v>6</v>
      </c>
      <c r="F2681" s="1" t="s">
        <v>36</v>
      </c>
      <c r="G2681" s="14" t="s">
        <v>8102</v>
      </c>
      <c r="H2681" s="1" t="s">
        <v>43</v>
      </c>
      <c r="I2681" s="17">
        <v>39814</v>
      </c>
    </row>
    <row r="2682" spans="1:9">
      <c r="A2682" s="16" t="s">
        <v>13195</v>
      </c>
      <c r="B2682" s="1" t="s">
        <v>2628</v>
      </c>
      <c r="C2682" s="1">
        <v>155</v>
      </c>
      <c r="D2682" s="1" t="s">
        <v>119</v>
      </c>
      <c r="E2682" s="1" t="s">
        <v>6</v>
      </c>
      <c r="F2682" s="1" t="s">
        <v>5091</v>
      </c>
      <c r="G2682" s="14" t="s">
        <v>6145</v>
      </c>
      <c r="H2682" s="1" t="s">
        <v>43</v>
      </c>
      <c r="I2682" s="17">
        <v>42736</v>
      </c>
    </row>
    <row r="2683" spans="1:9">
      <c r="A2683" s="16" t="s">
        <v>13196</v>
      </c>
      <c r="B2683" s="1" t="s">
        <v>2628</v>
      </c>
      <c r="C2683" s="1">
        <v>155</v>
      </c>
      <c r="D2683" s="1" t="s">
        <v>119</v>
      </c>
      <c r="E2683" s="1" t="s">
        <v>6</v>
      </c>
      <c r="F2683" s="1" t="s">
        <v>5091</v>
      </c>
      <c r="G2683" s="14" t="s">
        <v>6145</v>
      </c>
      <c r="H2683" s="1" t="s">
        <v>43</v>
      </c>
      <c r="I2683" s="17">
        <v>42736</v>
      </c>
    </row>
    <row r="2684" spans="1:9">
      <c r="A2684" s="16" t="s">
        <v>13197</v>
      </c>
      <c r="B2684" s="1" t="s">
        <v>2628</v>
      </c>
      <c r="C2684" s="1">
        <v>155</v>
      </c>
      <c r="D2684" s="1" t="s">
        <v>119</v>
      </c>
      <c r="E2684" s="1" t="s">
        <v>6</v>
      </c>
      <c r="F2684" s="1" t="s">
        <v>5091</v>
      </c>
      <c r="G2684" s="14" t="s">
        <v>6236</v>
      </c>
      <c r="H2684" s="1" t="s">
        <v>43</v>
      </c>
      <c r="I2684" s="17">
        <v>42736</v>
      </c>
    </row>
    <row r="2685" spans="1:9">
      <c r="A2685" s="16" t="s">
        <v>13220</v>
      </c>
      <c r="B2685" s="1" t="s">
        <v>2628</v>
      </c>
      <c r="C2685" s="1">
        <v>155</v>
      </c>
      <c r="D2685" s="1" t="s">
        <v>119</v>
      </c>
      <c r="E2685" s="1" t="s">
        <v>6</v>
      </c>
      <c r="F2685" s="1" t="s">
        <v>5091</v>
      </c>
      <c r="G2685" s="14" t="s">
        <v>10612</v>
      </c>
      <c r="H2685" s="1" t="s">
        <v>5</v>
      </c>
      <c r="I2685" s="17">
        <v>37455</v>
      </c>
    </row>
    <row r="2686" spans="1:9">
      <c r="A2686" s="16" t="s">
        <v>13221</v>
      </c>
      <c r="B2686" s="1" t="s">
        <v>2628</v>
      </c>
      <c r="C2686" s="1">
        <v>155</v>
      </c>
      <c r="D2686" s="1" t="s">
        <v>119</v>
      </c>
      <c r="E2686" s="1" t="s">
        <v>6</v>
      </c>
      <c r="F2686" s="1" t="s">
        <v>5091</v>
      </c>
      <c r="G2686" s="14" t="s">
        <v>10612</v>
      </c>
      <c r="H2686" s="1" t="s">
        <v>5</v>
      </c>
      <c r="I2686" s="17">
        <v>37455</v>
      </c>
    </row>
    <row r="2687" spans="1:9">
      <c r="A2687" s="16" t="s">
        <v>13247</v>
      </c>
      <c r="B2687" s="1" t="s">
        <v>2628</v>
      </c>
      <c r="C2687" s="1">
        <v>372</v>
      </c>
      <c r="D2687" s="1" t="s">
        <v>119</v>
      </c>
      <c r="E2687" s="1" t="s">
        <v>6</v>
      </c>
      <c r="F2687" s="1" t="s">
        <v>5091</v>
      </c>
      <c r="G2687" s="14" t="s">
        <v>13228</v>
      </c>
      <c r="H2687" s="1" t="s">
        <v>5</v>
      </c>
      <c r="I2687" s="17">
        <v>37341</v>
      </c>
    </row>
    <row r="2688" spans="1:9">
      <c r="A2688" s="16" t="s">
        <v>13252</v>
      </c>
      <c r="B2688" s="1" t="s">
        <v>2628</v>
      </c>
      <c r="C2688" s="1">
        <v>372</v>
      </c>
      <c r="D2688" s="1" t="s">
        <v>119</v>
      </c>
      <c r="E2688" s="1" t="s">
        <v>6</v>
      </c>
      <c r="F2688" s="1" t="s">
        <v>5091</v>
      </c>
      <c r="G2688" s="14" t="s">
        <v>13228</v>
      </c>
      <c r="H2688" s="1" t="s">
        <v>5</v>
      </c>
      <c r="I2688" s="17">
        <v>37392</v>
      </c>
    </row>
    <row r="2689" spans="1:9">
      <c r="A2689" s="16" t="s">
        <v>13257</v>
      </c>
      <c r="B2689" s="1" t="s">
        <v>2628</v>
      </c>
      <c r="C2689" s="1">
        <v>155</v>
      </c>
      <c r="D2689" s="1" t="s">
        <v>119</v>
      </c>
      <c r="E2689" s="1" t="s">
        <v>6</v>
      </c>
      <c r="F2689" s="1" t="s">
        <v>5091</v>
      </c>
      <c r="G2689" s="14" t="s">
        <v>6236</v>
      </c>
      <c r="H2689" s="1" t="s">
        <v>43</v>
      </c>
      <c r="I2689" s="17">
        <v>42736</v>
      </c>
    </row>
    <row r="2690" spans="1:9">
      <c r="A2690" s="16" t="s">
        <v>13264</v>
      </c>
      <c r="B2690" s="1" t="s">
        <v>2628</v>
      </c>
      <c r="C2690" s="1">
        <v>155</v>
      </c>
      <c r="D2690" s="1" t="s">
        <v>119</v>
      </c>
      <c r="E2690" s="1" t="s">
        <v>6</v>
      </c>
      <c r="F2690" s="1" t="s">
        <v>5091</v>
      </c>
      <c r="G2690" s="14" t="s">
        <v>6238</v>
      </c>
      <c r="H2690" s="1" t="s">
        <v>43</v>
      </c>
      <c r="I2690" s="17">
        <v>42736</v>
      </c>
    </row>
    <row r="2691" spans="1:9">
      <c r="A2691" s="16" t="s">
        <v>13265</v>
      </c>
      <c r="B2691" s="1" t="s">
        <v>2628</v>
      </c>
      <c r="C2691" s="1">
        <v>155</v>
      </c>
      <c r="D2691" s="1" t="s">
        <v>119</v>
      </c>
      <c r="E2691" s="1" t="s">
        <v>6</v>
      </c>
      <c r="F2691" s="1" t="s">
        <v>5091</v>
      </c>
      <c r="G2691" s="14" t="s">
        <v>6238</v>
      </c>
      <c r="H2691" s="1" t="s">
        <v>43</v>
      </c>
      <c r="I2691" s="17">
        <v>42736</v>
      </c>
    </row>
    <row r="2692" spans="1:9">
      <c r="A2692" s="16" t="s">
        <v>13267</v>
      </c>
      <c r="B2692" s="1" t="s">
        <v>2628</v>
      </c>
      <c r="C2692" s="1">
        <v>155</v>
      </c>
      <c r="D2692" s="1" t="s">
        <v>119</v>
      </c>
      <c r="E2692" s="1" t="s">
        <v>6</v>
      </c>
      <c r="F2692" s="1" t="s">
        <v>5091</v>
      </c>
      <c r="G2692" s="14" t="s">
        <v>6145</v>
      </c>
      <c r="H2692" s="1" t="s">
        <v>43</v>
      </c>
      <c r="I2692" s="17">
        <v>42926</v>
      </c>
    </row>
    <row r="2693" spans="1:9">
      <c r="A2693" s="16" t="s">
        <v>13270</v>
      </c>
      <c r="B2693" s="1" t="s">
        <v>2628</v>
      </c>
      <c r="C2693" s="1">
        <v>155</v>
      </c>
      <c r="D2693" s="1" t="s">
        <v>119</v>
      </c>
      <c r="E2693" s="1" t="s">
        <v>6</v>
      </c>
      <c r="F2693" s="1" t="s">
        <v>5091</v>
      </c>
      <c r="G2693" s="14" t="s">
        <v>6145</v>
      </c>
      <c r="H2693" s="1" t="s">
        <v>43</v>
      </c>
      <c r="I2693" s="17">
        <v>42926</v>
      </c>
    </row>
    <row r="2694" spans="1:9">
      <c r="A2694" s="16" t="s">
        <v>13276</v>
      </c>
      <c r="B2694" s="1" t="s">
        <v>2628</v>
      </c>
      <c r="C2694" s="1">
        <v>155</v>
      </c>
      <c r="D2694" s="1" t="s">
        <v>119</v>
      </c>
      <c r="E2694" s="1" t="s">
        <v>6</v>
      </c>
      <c r="F2694" s="1" t="s">
        <v>5091</v>
      </c>
      <c r="G2694" s="14" t="s">
        <v>6145</v>
      </c>
      <c r="H2694" s="1" t="s">
        <v>43</v>
      </c>
      <c r="I2694" s="17">
        <v>42933</v>
      </c>
    </row>
    <row r="2695" spans="1:9">
      <c r="A2695" s="16" t="s">
        <v>13282</v>
      </c>
      <c r="B2695" s="1" t="s">
        <v>2628</v>
      </c>
      <c r="C2695" s="1">
        <v>372</v>
      </c>
      <c r="D2695" s="1" t="s">
        <v>119</v>
      </c>
      <c r="E2695" s="1" t="s">
        <v>6</v>
      </c>
      <c r="F2695" s="1" t="s">
        <v>5091</v>
      </c>
      <c r="G2695" s="14" t="s">
        <v>4803</v>
      </c>
      <c r="H2695" s="1" t="s">
        <v>5</v>
      </c>
      <c r="I2695" s="17">
        <v>42548</v>
      </c>
    </row>
    <row r="2696" spans="1:9">
      <c r="A2696" s="16" t="s">
        <v>13283</v>
      </c>
      <c r="B2696" s="1" t="s">
        <v>2628</v>
      </c>
      <c r="C2696" s="1">
        <v>372</v>
      </c>
      <c r="D2696" s="1" t="s">
        <v>119</v>
      </c>
      <c r="E2696" s="1" t="s">
        <v>6</v>
      </c>
      <c r="F2696" s="1" t="s">
        <v>5091</v>
      </c>
      <c r="G2696" s="14" t="s">
        <v>4803</v>
      </c>
      <c r="H2696" s="1" t="s">
        <v>5</v>
      </c>
      <c r="I2696" s="17">
        <v>42549</v>
      </c>
    </row>
    <row r="2697" spans="1:9">
      <c r="A2697" s="16" t="s">
        <v>13285</v>
      </c>
      <c r="B2697" s="1" t="s">
        <v>2628</v>
      </c>
      <c r="C2697" s="1">
        <v>155</v>
      </c>
      <c r="D2697" s="1" t="s">
        <v>119</v>
      </c>
      <c r="E2697" s="1" t="s">
        <v>6</v>
      </c>
      <c r="F2697" s="1" t="s">
        <v>5091</v>
      </c>
      <c r="G2697" s="14" t="s">
        <v>4458</v>
      </c>
      <c r="H2697" s="1" t="s">
        <v>118</v>
      </c>
      <c r="I2697" s="17">
        <v>42800</v>
      </c>
    </row>
    <row r="2698" spans="1:9">
      <c r="A2698" s="16" t="s">
        <v>13330</v>
      </c>
      <c r="B2698" s="1" t="s">
        <v>2628</v>
      </c>
      <c r="C2698" s="1">
        <v>155</v>
      </c>
      <c r="D2698" s="1" t="s">
        <v>119</v>
      </c>
      <c r="E2698" s="1" t="s">
        <v>6</v>
      </c>
      <c r="F2698" s="1" t="s">
        <v>5091</v>
      </c>
      <c r="G2698" s="14" t="s">
        <v>6530</v>
      </c>
      <c r="H2698" s="1" t="s">
        <v>43</v>
      </c>
      <c r="I2698" s="17">
        <v>42933</v>
      </c>
    </row>
    <row r="2699" spans="1:9">
      <c r="A2699" s="16" t="s">
        <v>13331</v>
      </c>
      <c r="B2699" s="1" t="s">
        <v>2628</v>
      </c>
      <c r="C2699" s="1">
        <v>155</v>
      </c>
      <c r="D2699" s="1" t="s">
        <v>119</v>
      </c>
      <c r="E2699" s="1" t="s">
        <v>6</v>
      </c>
      <c r="F2699" s="1" t="s">
        <v>5091</v>
      </c>
      <c r="G2699" s="14" t="s">
        <v>6530</v>
      </c>
      <c r="H2699" s="1" t="s">
        <v>43</v>
      </c>
      <c r="I2699" s="17">
        <v>42933</v>
      </c>
    </row>
    <row r="2700" spans="1:9">
      <c r="A2700" s="16" t="s">
        <v>13332</v>
      </c>
      <c r="B2700" s="1" t="s">
        <v>2628</v>
      </c>
      <c r="C2700" s="1">
        <v>155</v>
      </c>
      <c r="D2700" s="1" t="s">
        <v>119</v>
      </c>
      <c r="E2700" s="1" t="s">
        <v>6</v>
      </c>
      <c r="F2700" s="1" t="s">
        <v>5091</v>
      </c>
      <c r="G2700" s="14" t="s">
        <v>6530</v>
      </c>
      <c r="H2700" s="1" t="s">
        <v>43</v>
      </c>
      <c r="I2700" s="17">
        <v>42933</v>
      </c>
    </row>
    <row r="2701" spans="1:9">
      <c r="A2701" s="16" t="s">
        <v>13338</v>
      </c>
      <c r="B2701" s="1" t="s">
        <v>2628</v>
      </c>
      <c r="C2701" s="1">
        <v>155</v>
      </c>
      <c r="D2701" s="1" t="s">
        <v>119</v>
      </c>
      <c r="E2701" s="1" t="s">
        <v>6</v>
      </c>
      <c r="F2701" s="1" t="s">
        <v>5091</v>
      </c>
      <c r="G2701" s="14" t="s">
        <v>6530</v>
      </c>
      <c r="H2701" s="1" t="s">
        <v>43</v>
      </c>
      <c r="I2701" s="17">
        <v>42933</v>
      </c>
    </row>
    <row r="2702" spans="1:9">
      <c r="A2702" s="16" t="s">
        <v>13339</v>
      </c>
      <c r="B2702" s="1" t="s">
        <v>2628</v>
      </c>
      <c r="C2702" s="1">
        <v>155</v>
      </c>
      <c r="D2702" s="1" t="s">
        <v>119</v>
      </c>
      <c r="E2702" s="1" t="s">
        <v>6</v>
      </c>
      <c r="F2702" s="1" t="s">
        <v>5091</v>
      </c>
      <c r="G2702" s="14" t="s">
        <v>6530</v>
      </c>
      <c r="H2702" s="1" t="s">
        <v>43</v>
      </c>
      <c r="I2702" s="17">
        <v>42933</v>
      </c>
    </row>
    <row r="2703" spans="1:9">
      <c r="A2703" s="16" t="s">
        <v>13340</v>
      </c>
      <c r="B2703" s="1" t="s">
        <v>2628</v>
      </c>
      <c r="C2703" s="1">
        <v>155</v>
      </c>
      <c r="D2703" s="1" t="s">
        <v>119</v>
      </c>
      <c r="E2703" s="1" t="s">
        <v>6</v>
      </c>
      <c r="F2703" s="1" t="s">
        <v>5091</v>
      </c>
      <c r="G2703" s="14" t="s">
        <v>6530</v>
      </c>
      <c r="H2703" s="1" t="s">
        <v>43</v>
      </c>
      <c r="I2703" s="17">
        <v>42933</v>
      </c>
    </row>
    <row r="2704" spans="1:9">
      <c r="A2704" s="16" t="s">
        <v>13341</v>
      </c>
      <c r="B2704" s="1" t="s">
        <v>2628</v>
      </c>
      <c r="C2704" s="1">
        <v>155</v>
      </c>
      <c r="D2704" s="1" t="s">
        <v>119</v>
      </c>
      <c r="E2704" s="1" t="s">
        <v>6</v>
      </c>
      <c r="F2704" s="1" t="s">
        <v>5091</v>
      </c>
      <c r="G2704" s="14" t="s">
        <v>6530</v>
      </c>
      <c r="H2704" s="1" t="s">
        <v>43</v>
      </c>
      <c r="I2704" s="17">
        <v>42933</v>
      </c>
    </row>
    <row r="2705" spans="1:9">
      <c r="A2705" s="16" t="s">
        <v>13342</v>
      </c>
      <c r="B2705" s="1" t="s">
        <v>2628</v>
      </c>
      <c r="C2705" s="1">
        <v>155</v>
      </c>
      <c r="D2705" s="1" t="s">
        <v>119</v>
      </c>
      <c r="E2705" s="1" t="s">
        <v>6</v>
      </c>
      <c r="F2705" s="1" t="s">
        <v>5091</v>
      </c>
      <c r="G2705" s="14" t="s">
        <v>6530</v>
      </c>
      <c r="H2705" s="1" t="s">
        <v>43</v>
      </c>
      <c r="I2705" s="17">
        <v>42933</v>
      </c>
    </row>
    <row r="2706" spans="1:9">
      <c r="A2706" s="16" t="s">
        <v>13345</v>
      </c>
      <c r="B2706" s="1" t="s">
        <v>2628</v>
      </c>
      <c r="C2706" s="1">
        <v>155</v>
      </c>
      <c r="D2706" s="1" t="s">
        <v>119</v>
      </c>
      <c r="E2706" s="1" t="s">
        <v>6</v>
      </c>
      <c r="F2706" s="1" t="s">
        <v>5091</v>
      </c>
      <c r="G2706" s="14" t="s">
        <v>6530</v>
      </c>
      <c r="H2706" s="1" t="s">
        <v>43</v>
      </c>
      <c r="I2706" s="17">
        <v>42933</v>
      </c>
    </row>
    <row r="2707" spans="1:9">
      <c r="A2707" s="16" t="s">
        <v>13346</v>
      </c>
      <c r="B2707" s="1" t="s">
        <v>2628</v>
      </c>
      <c r="C2707" s="1">
        <v>155</v>
      </c>
      <c r="D2707" s="1" t="s">
        <v>119</v>
      </c>
      <c r="E2707" s="1" t="s">
        <v>6</v>
      </c>
      <c r="F2707" s="1" t="s">
        <v>5091</v>
      </c>
      <c r="G2707" s="14" t="s">
        <v>6530</v>
      </c>
      <c r="H2707" s="1" t="s">
        <v>43</v>
      </c>
      <c r="I2707" s="17">
        <v>42933</v>
      </c>
    </row>
    <row r="2708" spans="1:9">
      <c r="A2708" s="16" t="s">
        <v>13355</v>
      </c>
      <c r="B2708" s="1" t="s">
        <v>2628</v>
      </c>
      <c r="C2708" s="1">
        <v>155</v>
      </c>
      <c r="D2708" s="1" t="s">
        <v>119</v>
      </c>
      <c r="E2708" s="1" t="s">
        <v>6</v>
      </c>
      <c r="F2708" s="1" t="s">
        <v>5091</v>
      </c>
      <c r="G2708" s="14" t="s">
        <v>6186</v>
      </c>
      <c r="H2708" s="1" t="s">
        <v>5</v>
      </c>
      <c r="I2708" s="17">
        <v>42736</v>
      </c>
    </row>
    <row r="2709" spans="1:9">
      <c r="A2709" s="16" t="s">
        <v>13367</v>
      </c>
      <c r="B2709" s="1" t="s">
        <v>2628</v>
      </c>
      <c r="C2709" s="1">
        <v>155</v>
      </c>
      <c r="D2709" s="1" t="s">
        <v>119</v>
      </c>
      <c r="E2709" s="1" t="s">
        <v>6</v>
      </c>
      <c r="F2709" s="1" t="s">
        <v>5091</v>
      </c>
      <c r="G2709" s="14" t="s">
        <v>4458</v>
      </c>
      <c r="H2709" s="1" t="s">
        <v>118</v>
      </c>
      <c r="I2709" s="1" t="s">
        <v>4458</v>
      </c>
    </row>
    <row r="2710" spans="1:9">
      <c r="A2710" s="16" t="s">
        <v>13377</v>
      </c>
      <c r="B2710" s="1" t="s">
        <v>2628</v>
      </c>
      <c r="C2710" s="1">
        <v>155</v>
      </c>
      <c r="D2710" s="1" t="s">
        <v>119</v>
      </c>
      <c r="E2710" s="1" t="s">
        <v>6</v>
      </c>
      <c r="F2710" s="1" t="s">
        <v>5091</v>
      </c>
      <c r="G2710" s="14" t="s">
        <v>6145</v>
      </c>
      <c r="H2710" s="1" t="s">
        <v>43</v>
      </c>
      <c r="I2710" s="17">
        <v>42977</v>
      </c>
    </row>
    <row r="2711" spans="1:9">
      <c r="A2711" s="16" t="s">
        <v>13379</v>
      </c>
      <c r="B2711" s="1" t="s">
        <v>2628</v>
      </c>
      <c r="C2711" s="1">
        <v>155</v>
      </c>
      <c r="D2711" s="1" t="s">
        <v>119</v>
      </c>
      <c r="E2711" s="1" t="s">
        <v>6</v>
      </c>
      <c r="F2711" s="1" t="s">
        <v>5091</v>
      </c>
      <c r="G2711" s="14" t="s">
        <v>6145</v>
      </c>
      <c r="H2711" s="1" t="s">
        <v>43</v>
      </c>
      <c r="I2711" s="17">
        <v>42970</v>
      </c>
    </row>
    <row r="2712" spans="1:9">
      <c r="A2712" s="16" t="s">
        <v>13380</v>
      </c>
      <c r="B2712" s="1" t="s">
        <v>2628</v>
      </c>
      <c r="C2712" s="1">
        <v>155</v>
      </c>
      <c r="D2712" s="1" t="s">
        <v>119</v>
      </c>
      <c r="E2712" s="1" t="s">
        <v>6</v>
      </c>
      <c r="F2712" s="1" t="s">
        <v>5091</v>
      </c>
      <c r="G2712" s="14" t="s">
        <v>6145</v>
      </c>
      <c r="H2712" s="1" t="s">
        <v>43</v>
      </c>
      <c r="I2712" s="17">
        <v>42977</v>
      </c>
    </row>
    <row r="2713" spans="1:9">
      <c r="A2713" s="16" t="s">
        <v>13381</v>
      </c>
      <c r="B2713" s="1" t="s">
        <v>2628</v>
      </c>
      <c r="C2713" s="1">
        <v>155</v>
      </c>
      <c r="D2713" s="1" t="s">
        <v>119</v>
      </c>
      <c r="E2713" s="1" t="s">
        <v>6</v>
      </c>
      <c r="F2713" s="1" t="s">
        <v>5091</v>
      </c>
      <c r="G2713" s="14" t="s">
        <v>6145</v>
      </c>
      <c r="H2713" s="1" t="s">
        <v>43</v>
      </c>
      <c r="I2713" s="17">
        <v>42977</v>
      </c>
    </row>
    <row r="2714" spans="1:9">
      <c r="A2714" s="16" t="s">
        <v>13384</v>
      </c>
      <c r="B2714" s="1" t="s">
        <v>2628</v>
      </c>
      <c r="C2714" s="1">
        <v>155</v>
      </c>
      <c r="D2714" s="1" t="s">
        <v>119</v>
      </c>
      <c r="E2714" s="1" t="s">
        <v>6</v>
      </c>
      <c r="F2714" s="1" t="s">
        <v>5091</v>
      </c>
      <c r="G2714" s="14" t="s">
        <v>6145</v>
      </c>
      <c r="H2714" s="1" t="s">
        <v>43</v>
      </c>
      <c r="I2714" s="17">
        <v>42977</v>
      </c>
    </row>
    <row r="2715" spans="1:9">
      <c r="A2715" s="16" t="s">
        <v>13385</v>
      </c>
      <c r="B2715" s="1" t="s">
        <v>2628</v>
      </c>
      <c r="C2715" s="1">
        <v>155</v>
      </c>
      <c r="D2715" s="1" t="s">
        <v>119</v>
      </c>
      <c r="E2715" s="1" t="s">
        <v>6</v>
      </c>
      <c r="F2715" s="1" t="s">
        <v>5091</v>
      </c>
      <c r="G2715" s="14" t="s">
        <v>6145</v>
      </c>
      <c r="H2715" s="1" t="s">
        <v>43</v>
      </c>
      <c r="I2715" s="17">
        <v>42977</v>
      </c>
    </row>
    <row r="2716" spans="1:9" ht="31.2">
      <c r="A2716" s="16" t="s">
        <v>13395</v>
      </c>
      <c r="B2716" s="1" t="s">
        <v>2628</v>
      </c>
      <c r="C2716" s="1">
        <v>155</v>
      </c>
      <c r="D2716" s="1" t="s">
        <v>119</v>
      </c>
      <c r="E2716" s="1" t="s">
        <v>6</v>
      </c>
      <c r="F2716" s="1" t="s">
        <v>5091</v>
      </c>
      <c r="G2716" s="14" t="s">
        <v>6307</v>
      </c>
      <c r="H2716" s="1" t="s">
        <v>44</v>
      </c>
      <c r="I2716" s="17">
        <v>40909</v>
      </c>
    </row>
    <row r="2717" spans="1:9" ht="31.2">
      <c r="A2717" s="16" t="s">
        <v>13396</v>
      </c>
      <c r="B2717" s="1" t="s">
        <v>2628</v>
      </c>
      <c r="C2717" s="1">
        <v>155</v>
      </c>
      <c r="D2717" s="1" t="s">
        <v>119</v>
      </c>
      <c r="E2717" s="1" t="s">
        <v>6</v>
      </c>
      <c r="F2717" s="1" t="s">
        <v>5091</v>
      </c>
      <c r="G2717" s="14" t="s">
        <v>6307</v>
      </c>
      <c r="H2717" s="1" t="s">
        <v>44</v>
      </c>
      <c r="I2717" s="17">
        <v>40909</v>
      </c>
    </row>
    <row r="2718" spans="1:9">
      <c r="A2718" s="16" t="s">
        <v>13399</v>
      </c>
      <c r="B2718" s="1" t="s">
        <v>2628</v>
      </c>
      <c r="C2718" s="1">
        <v>372</v>
      </c>
      <c r="D2718" s="1" t="s">
        <v>119</v>
      </c>
      <c r="E2718" s="1" t="s">
        <v>6</v>
      </c>
      <c r="F2718" s="1" t="s">
        <v>5091</v>
      </c>
      <c r="G2718" s="14" t="s">
        <v>6145</v>
      </c>
      <c r="H2718" s="1" t="s">
        <v>43</v>
      </c>
      <c r="I2718" s="17">
        <v>42990</v>
      </c>
    </row>
    <row r="2719" spans="1:9">
      <c r="A2719" s="16" t="s">
        <v>13400</v>
      </c>
      <c r="B2719" s="1" t="s">
        <v>2628</v>
      </c>
      <c r="C2719" s="1">
        <v>372</v>
      </c>
      <c r="D2719" s="1" t="s">
        <v>119</v>
      </c>
      <c r="E2719" s="1" t="s">
        <v>6</v>
      </c>
      <c r="F2719" s="1" t="s">
        <v>5091</v>
      </c>
      <c r="G2719" s="14" t="s">
        <v>6145</v>
      </c>
      <c r="H2719" s="1" t="s">
        <v>43</v>
      </c>
      <c r="I2719" s="17">
        <v>42990</v>
      </c>
    </row>
    <row r="2720" spans="1:9">
      <c r="A2720" s="16" t="s">
        <v>13402</v>
      </c>
      <c r="B2720" s="1" t="s">
        <v>2628</v>
      </c>
      <c r="C2720" s="1">
        <v>372</v>
      </c>
      <c r="D2720" s="1" t="s">
        <v>119</v>
      </c>
      <c r="E2720" s="1" t="s">
        <v>6</v>
      </c>
      <c r="F2720" s="1" t="s">
        <v>5091</v>
      </c>
      <c r="G2720" s="14" t="s">
        <v>6145</v>
      </c>
      <c r="H2720" s="1" t="s">
        <v>43</v>
      </c>
      <c r="I2720" s="17">
        <v>42990</v>
      </c>
    </row>
    <row r="2721" spans="1:9">
      <c r="A2721" s="16" t="s">
        <v>13403</v>
      </c>
      <c r="B2721" s="1" t="s">
        <v>2628</v>
      </c>
      <c r="C2721" s="1">
        <v>372</v>
      </c>
      <c r="D2721" s="1" t="s">
        <v>119</v>
      </c>
      <c r="E2721" s="1" t="s">
        <v>6</v>
      </c>
      <c r="F2721" s="1" t="s">
        <v>5091</v>
      </c>
      <c r="G2721" s="14" t="s">
        <v>6145</v>
      </c>
      <c r="H2721" s="1" t="s">
        <v>43</v>
      </c>
      <c r="I2721" s="17">
        <v>42991</v>
      </c>
    </row>
    <row r="2722" spans="1:9">
      <c r="A2722" s="16" t="s">
        <v>13410</v>
      </c>
      <c r="B2722" s="1" t="s">
        <v>2628</v>
      </c>
      <c r="C2722" s="1">
        <v>155</v>
      </c>
      <c r="D2722" s="1" t="s">
        <v>119</v>
      </c>
      <c r="E2722" s="1" t="s">
        <v>6</v>
      </c>
      <c r="F2722" s="1" t="s">
        <v>5091</v>
      </c>
      <c r="G2722" s="14" t="s">
        <v>10426</v>
      </c>
      <c r="H2722" s="1" t="s">
        <v>5</v>
      </c>
      <c r="I2722" s="17">
        <v>37235</v>
      </c>
    </row>
    <row r="2723" spans="1:9">
      <c r="A2723" s="16" t="s">
        <v>13411</v>
      </c>
      <c r="B2723" s="1" t="s">
        <v>2628</v>
      </c>
      <c r="C2723" s="1">
        <v>155</v>
      </c>
      <c r="D2723" s="1" t="s">
        <v>119</v>
      </c>
      <c r="E2723" s="1" t="s">
        <v>6</v>
      </c>
      <c r="F2723" s="1" t="s">
        <v>5091</v>
      </c>
      <c r="G2723" s="14" t="s">
        <v>9561</v>
      </c>
      <c r="H2723" s="1" t="s">
        <v>5</v>
      </c>
      <c r="I2723" s="17">
        <v>37284</v>
      </c>
    </row>
    <row r="2724" spans="1:9">
      <c r="A2724" s="16" t="s">
        <v>13425</v>
      </c>
      <c r="B2724" s="1" t="s">
        <v>2628</v>
      </c>
      <c r="C2724" s="1">
        <v>155</v>
      </c>
      <c r="D2724" s="1" t="s">
        <v>119</v>
      </c>
      <c r="E2724" s="1" t="s">
        <v>6</v>
      </c>
      <c r="F2724" s="1" t="s">
        <v>5091</v>
      </c>
      <c r="G2724" s="14" t="s">
        <v>6145</v>
      </c>
      <c r="H2724" s="1" t="s">
        <v>43</v>
      </c>
      <c r="I2724" s="17">
        <v>42985</v>
      </c>
    </row>
    <row r="2725" spans="1:9">
      <c r="A2725" s="16" t="s">
        <v>13429</v>
      </c>
      <c r="B2725" s="1" t="s">
        <v>2628</v>
      </c>
      <c r="C2725" s="1">
        <v>155</v>
      </c>
      <c r="D2725" s="1" t="s">
        <v>119</v>
      </c>
      <c r="E2725" s="1" t="s">
        <v>6</v>
      </c>
      <c r="F2725" s="1" t="s">
        <v>5091</v>
      </c>
      <c r="G2725" s="14" t="s">
        <v>6145</v>
      </c>
      <c r="H2725" s="1" t="s">
        <v>43</v>
      </c>
      <c r="I2725" s="17">
        <v>42985</v>
      </c>
    </row>
    <row r="2726" spans="1:9">
      <c r="A2726" s="16" t="s">
        <v>13430</v>
      </c>
      <c r="B2726" s="1" t="s">
        <v>2628</v>
      </c>
      <c r="C2726" s="1">
        <v>372</v>
      </c>
      <c r="D2726" s="1" t="s">
        <v>119</v>
      </c>
      <c r="E2726" s="1" t="s">
        <v>6</v>
      </c>
      <c r="F2726" s="1" t="s">
        <v>5091</v>
      </c>
      <c r="G2726" s="14" t="s">
        <v>13228</v>
      </c>
      <c r="H2726" s="1" t="s">
        <v>5</v>
      </c>
      <c r="I2726" s="17">
        <v>37104</v>
      </c>
    </row>
    <row r="2727" spans="1:9">
      <c r="A2727" s="16" t="s">
        <v>13433</v>
      </c>
      <c r="B2727" s="1" t="s">
        <v>2628</v>
      </c>
      <c r="C2727" s="1">
        <v>155</v>
      </c>
      <c r="D2727" s="1" t="s">
        <v>119</v>
      </c>
      <c r="E2727" s="1" t="s">
        <v>6</v>
      </c>
      <c r="F2727" s="1" t="s">
        <v>5091</v>
      </c>
      <c r="G2727" s="14" t="s">
        <v>10481</v>
      </c>
      <c r="H2727" s="1" t="s">
        <v>5</v>
      </c>
      <c r="I2727" s="17">
        <v>37235</v>
      </c>
    </row>
    <row r="2728" spans="1:9">
      <c r="A2728" s="16" t="s">
        <v>13434</v>
      </c>
      <c r="B2728" s="1" t="s">
        <v>2628</v>
      </c>
      <c r="C2728" s="1">
        <v>155</v>
      </c>
      <c r="D2728" s="1" t="s">
        <v>119</v>
      </c>
      <c r="E2728" s="1" t="s">
        <v>6</v>
      </c>
      <c r="F2728" s="1" t="s">
        <v>5091</v>
      </c>
      <c r="G2728" s="14" t="s">
        <v>9884</v>
      </c>
      <c r="H2728" s="1" t="s">
        <v>5</v>
      </c>
      <c r="I2728" s="17">
        <v>37216</v>
      </c>
    </row>
    <row r="2729" spans="1:9">
      <c r="A2729" s="16" t="s">
        <v>13435</v>
      </c>
      <c r="B2729" s="1" t="s">
        <v>2628</v>
      </c>
      <c r="C2729" s="1">
        <v>155</v>
      </c>
      <c r="D2729" s="1" t="s">
        <v>119</v>
      </c>
      <c r="E2729" s="1" t="s">
        <v>6</v>
      </c>
      <c r="F2729" s="1" t="s">
        <v>5091</v>
      </c>
      <c r="G2729" s="14" t="s">
        <v>10481</v>
      </c>
      <c r="H2729" s="1" t="s">
        <v>5</v>
      </c>
      <c r="I2729" s="17">
        <v>37216</v>
      </c>
    </row>
    <row r="2730" spans="1:9">
      <c r="A2730" s="16" t="s">
        <v>13437</v>
      </c>
      <c r="B2730" s="1" t="s">
        <v>2628</v>
      </c>
      <c r="C2730" s="1">
        <v>155</v>
      </c>
      <c r="D2730" s="1" t="s">
        <v>119</v>
      </c>
      <c r="E2730" s="1" t="s">
        <v>6</v>
      </c>
      <c r="F2730" s="1" t="s">
        <v>5091</v>
      </c>
      <c r="G2730" s="14" t="s">
        <v>10481</v>
      </c>
      <c r="H2730" s="1" t="s">
        <v>5</v>
      </c>
      <c r="I2730" s="17">
        <v>37216</v>
      </c>
    </row>
    <row r="2731" spans="1:9">
      <c r="A2731" s="16" t="s">
        <v>13440</v>
      </c>
      <c r="B2731" s="1" t="s">
        <v>2628</v>
      </c>
      <c r="C2731" s="1">
        <v>155</v>
      </c>
      <c r="D2731" s="1" t="s">
        <v>119</v>
      </c>
      <c r="E2731" s="1" t="s">
        <v>6</v>
      </c>
      <c r="F2731" s="1" t="s">
        <v>5091</v>
      </c>
      <c r="G2731" s="14" t="s">
        <v>10481</v>
      </c>
      <c r="H2731" s="1" t="s">
        <v>5</v>
      </c>
      <c r="I2731" s="17">
        <v>37216</v>
      </c>
    </row>
    <row r="2732" spans="1:9">
      <c r="A2732" s="16" t="s">
        <v>13441</v>
      </c>
      <c r="B2732" s="1" t="s">
        <v>2628</v>
      </c>
      <c r="C2732" s="1">
        <v>155</v>
      </c>
      <c r="D2732" s="1" t="s">
        <v>119</v>
      </c>
      <c r="E2732" s="1" t="s">
        <v>6</v>
      </c>
      <c r="F2732" s="1" t="s">
        <v>5091</v>
      </c>
      <c r="G2732" s="14" t="s">
        <v>9884</v>
      </c>
      <c r="H2732" s="1" t="s">
        <v>5</v>
      </c>
      <c r="I2732" s="17">
        <v>37216</v>
      </c>
    </row>
    <row r="2733" spans="1:9">
      <c r="A2733" s="16" t="s">
        <v>13443</v>
      </c>
      <c r="B2733" s="1" t="s">
        <v>2628</v>
      </c>
      <c r="C2733" s="1">
        <v>155</v>
      </c>
      <c r="D2733" s="1" t="s">
        <v>119</v>
      </c>
      <c r="E2733" s="1" t="s">
        <v>6</v>
      </c>
      <c r="F2733" s="1" t="s">
        <v>5091</v>
      </c>
      <c r="G2733" s="14" t="s">
        <v>9565</v>
      </c>
      <c r="H2733" s="1" t="s">
        <v>5</v>
      </c>
      <c r="I2733" s="17">
        <v>37216</v>
      </c>
    </row>
    <row r="2734" spans="1:9">
      <c r="A2734" s="16" t="s">
        <v>13452</v>
      </c>
      <c r="B2734" s="1" t="s">
        <v>2628</v>
      </c>
      <c r="C2734" s="1">
        <v>372</v>
      </c>
      <c r="D2734" s="1" t="s">
        <v>119</v>
      </c>
      <c r="E2734" s="1" t="s">
        <v>6</v>
      </c>
      <c r="F2734" s="1" t="s">
        <v>5091</v>
      </c>
      <c r="G2734" s="14" t="s">
        <v>13453</v>
      </c>
      <c r="H2734" s="1" t="s">
        <v>5</v>
      </c>
      <c r="I2734" s="17">
        <v>43004</v>
      </c>
    </row>
    <row r="2735" spans="1:9">
      <c r="A2735" s="16" t="s">
        <v>13454</v>
      </c>
      <c r="B2735" s="1" t="s">
        <v>2628</v>
      </c>
      <c r="C2735" s="1">
        <v>372</v>
      </c>
      <c r="D2735" s="1" t="s">
        <v>119</v>
      </c>
      <c r="E2735" s="1" t="s">
        <v>6</v>
      </c>
      <c r="F2735" s="1" t="s">
        <v>5091</v>
      </c>
      <c r="G2735" s="14" t="s">
        <v>13455</v>
      </c>
      <c r="H2735" s="1" t="s">
        <v>5</v>
      </c>
      <c r="I2735" s="17">
        <v>43004</v>
      </c>
    </row>
    <row r="2736" spans="1:9">
      <c r="A2736" s="16" t="s">
        <v>13456</v>
      </c>
      <c r="B2736" s="1" t="s">
        <v>2628</v>
      </c>
      <c r="C2736" s="1">
        <v>372</v>
      </c>
      <c r="D2736" s="1" t="s">
        <v>119</v>
      </c>
      <c r="E2736" s="1" t="s">
        <v>6</v>
      </c>
      <c r="F2736" s="1" t="s">
        <v>5091</v>
      </c>
      <c r="G2736" s="14" t="s">
        <v>13453</v>
      </c>
      <c r="H2736" s="1" t="s">
        <v>5</v>
      </c>
      <c r="I2736" s="17">
        <v>43004</v>
      </c>
    </row>
    <row r="2737" spans="1:9">
      <c r="A2737" s="16" t="s">
        <v>13477</v>
      </c>
      <c r="B2737" s="1" t="s">
        <v>2628</v>
      </c>
      <c r="C2737" s="1">
        <v>372</v>
      </c>
      <c r="D2737" s="1" t="s">
        <v>119</v>
      </c>
      <c r="E2737" s="1" t="s">
        <v>6</v>
      </c>
      <c r="F2737" s="1" t="s">
        <v>5091</v>
      </c>
      <c r="G2737" s="14" t="s">
        <v>9884</v>
      </c>
      <c r="H2737" s="1" t="s">
        <v>5</v>
      </c>
      <c r="I2737" s="17">
        <v>36892</v>
      </c>
    </row>
    <row r="2738" spans="1:9">
      <c r="A2738" s="16" t="s">
        <v>13480</v>
      </c>
      <c r="B2738" s="1" t="s">
        <v>2628</v>
      </c>
      <c r="C2738" s="1">
        <v>155</v>
      </c>
      <c r="D2738" s="1" t="s">
        <v>119</v>
      </c>
      <c r="E2738" s="1" t="s">
        <v>6</v>
      </c>
      <c r="F2738" s="1" t="s">
        <v>5091</v>
      </c>
      <c r="G2738" s="14" t="s">
        <v>6145</v>
      </c>
      <c r="H2738" s="1" t="s">
        <v>43</v>
      </c>
      <c r="I2738" s="17">
        <v>42736</v>
      </c>
    </row>
    <row r="2739" spans="1:9">
      <c r="A2739" s="16" t="s">
        <v>13484</v>
      </c>
      <c r="B2739" s="1" t="s">
        <v>2628</v>
      </c>
      <c r="C2739" s="1">
        <v>155</v>
      </c>
      <c r="D2739" s="1" t="s">
        <v>119</v>
      </c>
      <c r="E2739" s="1" t="s">
        <v>6</v>
      </c>
      <c r="F2739" s="1" t="s">
        <v>5091</v>
      </c>
      <c r="G2739" s="14" t="s">
        <v>6145</v>
      </c>
      <c r="H2739" s="1" t="s">
        <v>43</v>
      </c>
      <c r="I2739" s="17">
        <v>41041</v>
      </c>
    </row>
    <row r="2740" spans="1:9">
      <c r="A2740" s="16" t="s">
        <v>13486</v>
      </c>
      <c r="B2740" s="1" t="s">
        <v>2628</v>
      </c>
      <c r="C2740" s="1">
        <v>155</v>
      </c>
      <c r="D2740" s="1" t="s">
        <v>119</v>
      </c>
      <c r="E2740" s="1" t="s">
        <v>6</v>
      </c>
      <c r="F2740" s="1" t="s">
        <v>5091</v>
      </c>
      <c r="G2740" s="14" t="s">
        <v>6145</v>
      </c>
      <c r="H2740" s="1" t="s">
        <v>43</v>
      </c>
      <c r="I2740" s="17">
        <v>41041</v>
      </c>
    </row>
    <row r="2741" spans="1:9">
      <c r="A2741" s="16" t="s">
        <v>13487</v>
      </c>
      <c r="B2741" s="1" t="s">
        <v>2628</v>
      </c>
      <c r="C2741" s="1">
        <v>155</v>
      </c>
      <c r="D2741" s="1" t="s">
        <v>119</v>
      </c>
      <c r="E2741" s="1" t="s">
        <v>6</v>
      </c>
      <c r="F2741" s="1" t="s">
        <v>5091</v>
      </c>
      <c r="G2741" s="14" t="s">
        <v>6145</v>
      </c>
      <c r="H2741" s="1" t="s">
        <v>43</v>
      </c>
      <c r="I2741" s="17">
        <v>41041</v>
      </c>
    </row>
    <row r="2742" spans="1:9">
      <c r="A2742" s="16" t="s">
        <v>13488</v>
      </c>
      <c r="B2742" s="1" t="s">
        <v>2628</v>
      </c>
      <c r="C2742" s="1">
        <v>155</v>
      </c>
      <c r="D2742" s="1" t="s">
        <v>119</v>
      </c>
      <c r="E2742" s="1" t="s">
        <v>6</v>
      </c>
      <c r="F2742" s="1" t="s">
        <v>5091</v>
      </c>
      <c r="G2742" s="14" t="s">
        <v>6145</v>
      </c>
      <c r="H2742" s="1" t="s">
        <v>43</v>
      </c>
      <c r="I2742" s="17">
        <v>41041</v>
      </c>
    </row>
    <row r="2743" spans="1:9">
      <c r="A2743" s="16" t="s">
        <v>13489</v>
      </c>
      <c r="B2743" s="1" t="s">
        <v>2628</v>
      </c>
      <c r="C2743" s="1">
        <v>155</v>
      </c>
      <c r="D2743" s="1" t="s">
        <v>119</v>
      </c>
      <c r="E2743" s="1" t="s">
        <v>6</v>
      </c>
      <c r="F2743" s="1" t="s">
        <v>5091</v>
      </c>
      <c r="G2743" s="14" t="s">
        <v>6145</v>
      </c>
      <c r="H2743" s="1" t="s">
        <v>43</v>
      </c>
      <c r="I2743" s="17">
        <v>41041</v>
      </c>
    </row>
    <row r="2744" spans="1:9">
      <c r="A2744" s="16" t="s">
        <v>13490</v>
      </c>
      <c r="B2744" s="1" t="s">
        <v>2628</v>
      </c>
      <c r="C2744" s="1">
        <v>155</v>
      </c>
      <c r="D2744" s="1" t="s">
        <v>119</v>
      </c>
      <c r="E2744" s="1" t="s">
        <v>6</v>
      </c>
      <c r="F2744" s="1" t="s">
        <v>5091</v>
      </c>
      <c r="G2744" s="14" t="s">
        <v>6145</v>
      </c>
      <c r="H2744" s="1" t="s">
        <v>43</v>
      </c>
      <c r="I2744" s="17">
        <v>42736</v>
      </c>
    </row>
    <row r="2745" spans="1:9">
      <c r="A2745" s="16" t="s">
        <v>13491</v>
      </c>
      <c r="B2745" s="1" t="s">
        <v>2628</v>
      </c>
      <c r="C2745" s="1">
        <v>155</v>
      </c>
      <c r="D2745" s="1" t="s">
        <v>119</v>
      </c>
      <c r="E2745" s="1" t="s">
        <v>6</v>
      </c>
      <c r="F2745" s="1" t="s">
        <v>5091</v>
      </c>
      <c r="G2745" s="14" t="s">
        <v>6145</v>
      </c>
      <c r="H2745" s="1" t="s">
        <v>43</v>
      </c>
      <c r="I2745" s="17">
        <v>42736</v>
      </c>
    </row>
    <row r="2746" spans="1:9">
      <c r="A2746" s="16" t="s">
        <v>13506</v>
      </c>
      <c r="B2746" s="1" t="s">
        <v>2628</v>
      </c>
      <c r="C2746" s="1">
        <v>155</v>
      </c>
      <c r="D2746" s="1" t="s">
        <v>119</v>
      </c>
      <c r="E2746" s="1" t="s">
        <v>6</v>
      </c>
      <c r="F2746" s="1" t="s">
        <v>5091</v>
      </c>
      <c r="G2746" s="14" t="s">
        <v>6145</v>
      </c>
      <c r="H2746" s="1" t="s">
        <v>43</v>
      </c>
      <c r="I2746" s="17">
        <v>41041</v>
      </c>
    </row>
    <row r="2747" spans="1:9">
      <c r="A2747" s="16" t="s">
        <v>13507</v>
      </c>
      <c r="B2747" s="1" t="s">
        <v>2628</v>
      </c>
      <c r="C2747" s="1">
        <v>155</v>
      </c>
      <c r="D2747" s="1" t="s">
        <v>119</v>
      </c>
      <c r="E2747" s="1" t="s">
        <v>6</v>
      </c>
      <c r="F2747" s="1" t="s">
        <v>5091</v>
      </c>
      <c r="G2747" s="14" t="s">
        <v>6145</v>
      </c>
      <c r="H2747" s="1" t="s">
        <v>43</v>
      </c>
      <c r="I2747" s="17">
        <v>41041</v>
      </c>
    </row>
    <row r="2748" spans="1:9">
      <c r="A2748" s="16" t="s">
        <v>13512</v>
      </c>
      <c r="B2748" s="1" t="s">
        <v>2628</v>
      </c>
      <c r="C2748" s="1">
        <v>155</v>
      </c>
      <c r="D2748" s="1" t="s">
        <v>119</v>
      </c>
      <c r="E2748" s="1" t="s">
        <v>6</v>
      </c>
      <c r="F2748" s="1" t="s">
        <v>5091</v>
      </c>
      <c r="G2748" s="14" t="s">
        <v>6145</v>
      </c>
      <c r="H2748" s="1" t="s">
        <v>43</v>
      </c>
      <c r="I2748" s="17">
        <v>41050</v>
      </c>
    </row>
    <row r="2749" spans="1:9">
      <c r="A2749" s="16" t="s">
        <v>13514</v>
      </c>
      <c r="B2749" s="1" t="s">
        <v>2628</v>
      </c>
      <c r="C2749" s="1">
        <v>155</v>
      </c>
      <c r="D2749" s="1" t="s">
        <v>119</v>
      </c>
      <c r="E2749" s="1" t="s">
        <v>6</v>
      </c>
      <c r="F2749" s="1" t="s">
        <v>5091</v>
      </c>
      <c r="G2749" s="14" t="s">
        <v>6145</v>
      </c>
      <c r="H2749" s="1" t="s">
        <v>43</v>
      </c>
      <c r="I2749" s="17">
        <v>41041</v>
      </c>
    </row>
    <row r="2750" spans="1:9">
      <c r="A2750" s="16" t="s">
        <v>13515</v>
      </c>
      <c r="B2750" s="1" t="s">
        <v>2628</v>
      </c>
      <c r="C2750" s="1">
        <v>155</v>
      </c>
      <c r="D2750" s="1" t="s">
        <v>119</v>
      </c>
      <c r="E2750" s="1" t="s">
        <v>6</v>
      </c>
      <c r="F2750" s="1" t="s">
        <v>5091</v>
      </c>
      <c r="G2750" s="14" t="s">
        <v>6145</v>
      </c>
      <c r="H2750" s="1" t="s">
        <v>43</v>
      </c>
      <c r="I2750" s="17">
        <v>41041</v>
      </c>
    </row>
    <row r="2751" spans="1:9">
      <c r="A2751" s="16" t="s">
        <v>13516</v>
      </c>
      <c r="B2751" s="1" t="s">
        <v>2628</v>
      </c>
      <c r="C2751" s="1">
        <v>155</v>
      </c>
      <c r="D2751" s="1" t="s">
        <v>119</v>
      </c>
      <c r="E2751" s="1" t="s">
        <v>6</v>
      </c>
      <c r="F2751" s="1" t="s">
        <v>5091</v>
      </c>
      <c r="G2751" s="14" t="s">
        <v>6145</v>
      </c>
      <c r="H2751" s="1" t="s">
        <v>43</v>
      </c>
      <c r="I2751" s="17">
        <v>41041</v>
      </c>
    </row>
    <row r="2752" spans="1:9">
      <c r="A2752" s="16" t="s">
        <v>13552</v>
      </c>
      <c r="B2752" s="1" t="s">
        <v>2628</v>
      </c>
      <c r="C2752" s="1">
        <v>155</v>
      </c>
      <c r="D2752" s="1" t="s">
        <v>119</v>
      </c>
      <c r="E2752" s="1" t="s">
        <v>6</v>
      </c>
      <c r="F2752" s="1" t="s">
        <v>5091</v>
      </c>
      <c r="G2752" s="14" t="s">
        <v>6236</v>
      </c>
      <c r="H2752" s="1" t="s">
        <v>43</v>
      </c>
      <c r="I2752" s="17">
        <v>42736</v>
      </c>
    </row>
    <row r="2753" spans="1:9">
      <c r="A2753" s="16" t="s">
        <v>13553</v>
      </c>
      <c r="B2753" s="1" t="s">
        <v>2628</v>
      </c>
      <c r="C2753" s="1">
        <v>155</v>
      </c>
      <c r="D2753" s="1" t="s">
        <v>119</v>
      </c>
      <c r="E2753" s="1" t="s">
        <v>6</v>
      </c>
      <c r="F2753" s="1" t="s">
        <v>5091</v>
      </c>
      <c r="G2753" s="14" t="s">
        <v>13554</v>
      </c>
      <c r="H2753" s="1" t="s">
        <v>43</v>
      </c>
      <c r="I2753" s="17">
        <v>43009</v>
      </c>
    </row>
    <row r="2754" spans="1:9">
      <c r="A2754" s="16" t="s">
        <v>13555</v>
      </c>
      <c r="B2754" s="1" t="s">
        <v>2628</v>
      </c>
      <c r="C2754" s="1">
        <v>155</v>
      </c>
      <c r="D2754" s="1" t="s">
        <v>119</v>
      </c>
      <c r="E2754" s="1" t="s">
        <v>6</v>
      </c>
      <c r="F2754" s="1" t="s">
        <v>5091</v>
      </c>
      <c r="G2754" s="14" t="s">
        <v>13554</v>
      </c>
      <c r="H2754" s="1" t="s">
        <v>43</v>
      </c>
      <c r="I2754" s="17">
        <v>43009</v>
      </c>
    </row>
    <row r="2755" spans="1:9">
      <c r="A2755" s="16" t="s">
        <v>13556</v>
      </c>
      <c r="B2755" s="1" t="s">
        <v>2628</v>
      </c>
      <c r="C2755" s="1">
        <v>155</v>
      </c>
      <c r="D2755" s="1" t="s">
        <v>119</v>
      </c>
      <c r="E2755" s="1" t="s">
        <v>6</v>
      </c>
      <c r="F2755" s="1" t="s">
        <v>5091</v>
      </c>
      <c r="G2755" s="14" t="s">
        <v>13554</v>
      </c>
      <c r="H2755" s="1" t="s">
        <v>43</v>
      </c>
      <c r="I2755" s="17">
        <v>43009</v>
      </c>
    </row>
    <row r="2756" spans="1:9">
      <c r="A2756" s="16" t="s">
        <v>13582</v>
      </c>
      <c r="B2756" s="1" t="s">
        <v>2628</v>
      </c>
      <c r="C2756" s="1">
        <v>155</v>
      </c>
      <c r="D2756" s="1" t="s">
        <v>119</v>
      </c>
      <c r="E2756" s="1" t="s">
        <v>6</v>
      </c>
      <c r="F2756" s="1" t="s">
        <v>5091</v>
      </c>
      <c r="G2756" s="14" t="s">
        <v>13583</v>
      </c>
      <c r="H2756" s="1" t="s">
        <v>5</v>
      </c>
      <c r="I2756" s="17">
        <v>42991</v>
      </c>
    </row>
    <row r="2757" spans="1:9">
      <c r="A2757" s="16" t="s">
        <v>13618</v>
      </c>
      <c r="B2757" s="1" t="s">
        <v>2628</v>
      </c>
      <c r="C2757" s="1">
        <v>155</v>
      </c>
      <c r="D2757" s="1" t="s">
        <v>119</v>
      </c>
      <c r="E2757" s="1" t="s">
        <v>6</v>
      </c>
      <c r="F2757" s="1" t="s">
        <v>5091</v>
      </c>
      <c r="G2757" s="14" t="s">
        <v>9578</v>
      </c>
      <c r="H2757" s="1" t="s">
        <v>5</v>
      </c>
      <c r="I2757" s="17">
        <v>43039</v>
      </c>
    </row>
    <row r="2758" spans="1:9">
      <c r="A2758" s="16" t="s">
        <v>13702</v>
      </c>
      <c r="B2758" s="1" t="s">
        <v>2628</v>
      </c>
      <c r="C2758" s="1">
        <v>155</v>
      </c>
      <c r="D2758" s="1" t="s">
        <v>119</v>
      </c>
      <c r="E2758" s="1" t="s">
        <v>6</v>
      </c>
      <c r="F2758" s="1" t="s">
        <v>5091</v>
      </c>
      <c r="G2758" s="14" t="s">
        <v>4458</v>
      </c>
      <c r="H2758" s="1" t="s">
        <v>118</v>
      </c>
      <c r="I2758" s="1" t="s">
        <v>4458</v>
      </c>
    </row>
    <row r="2759" spans="1:9">
      <c r="A2759" s="16" t="s">
        <v>13706</v>
      </c>
      <c r="B2759" s="1" t="s">
        <v>2628</v>
      </c>
      <c r="C2759" s="1">
        <v>372</v>
      </c>
      <c r="D2759" s="1" t="s">
        <v>119</v>
      </c>
      <c r="E2759" s="1" t="s">
        <v>6</v>
      </c>
      <c r="F2759" s="1" t="s">
        <v>5091</v>
      </c>
      <c r="G2759" s="14" t="s">
        <v>13707</v>
      </c>
      <c r="H2759" s="1" t="s">
        <v>5</v>
      </c>
      <c r="I2759" s="17">
        <v>42548</v>
      </c>
    </row>
    <row r="2760" spans="1:9" ht="31.2">
      <c r="A2760" s="16" t="s">
        <v>13755</v>
      </c>
      <c r="B2760" s="1" t="s">
        <v>2628</v>
      </c>
      <c r="C2760" s="1">
        <v>155</v>
      </c>
      <c r="D2760" s="1" t="s">
        <v>119</v>
      </c>
      <c r="E2760" s="1" t="s">
        <v>6</v>
      </c>
      <c r="F2760" s="1" t="s">
        <v>5091</v>
      </c>
      <c r="G2760" s="14" t="s">
        <v>6145</v>
      </c>
      <c r="H2760" s="1" t="s">
        <v>43</v>
      </c>
      <c r="I2760" s="17">
        <v>41773</v>
      </c>
    </row>
    <row r="2761" spans="1:9">
      <c r="A2761" s="16" t="s">
        <v>13857</v>
      </c>
      <c r="B2761" s="1" t="s">
        <v>2628</v>
      </c>
      <c r="C2761" s="1">
        <v>155</v>
      </c>
      <c r="D2761" s="1" t="s">
        <v>119</v>
      </c>
      <c r="E2761" s="1" t="s">
        <v>6</v>
      </c>
      <c r="F2761" s="1" t="s">
        <v>5091</v>
      </c>
      <c r="G2761" s="14" t="s">
        <v>6236</v>
      </c>
      <c r="H2761" s="1" t="s">
        <v>43</v>
      </c>
      <c r="I2761" s="17">
        <v>42736</v>
      </c>
    </row>
    <row r="2762" spans="1:9">
      <c r="A2762" s="16" t="s">
        <v>13909</v>
      </c>
      <c r="B2762" s="1" t="s">
        <v>2628</v>
      </c>
      <c r="C2762" s="1">
        <v>155</v>
      </c>
      <c r="D2762" s="1" t="s">
        <v>119</v>
      </c>
      <c r="E2762" s="1" t="s">
        <v>6</v>
      </c>
      <c r="F2762" s="1" t="s">
        <v>5091</v>
      </c>
      <c r="G2762" s="14" t="s">
        <v>6145</v>
      </c>
      <c r="H2762" s="1" t="s">
        <v>43</v>
      </c>
      <c r="I2762" s="17">
        <v>42864</v>
      </c>
    </row>
    <row r="2763" spans="1:9">
      <c r="A2763" s="16" t="s">
        <v>13921</v>
      </c>
      <c r="B2763" s="1" t="s">
        <v>2628</v>
      </c>
      <c r="C2763" s="1">
        <v>155</v>
      </c>
      <c r="D2763" s="1" t="s">
        <v>119</v>
      </c>
      <c r="E2763" s="1" t="s">
        <v>6</v>
      </c>
      <c r="F2763" s="1" t="s">
        <v>5091</v>
      </c>
      <c r="G2763" s="14" t="s">
        <v>6145</v>
      </c>
      <c r="H2763" s="1" t="s">
        <v>43</v>
      </c>
      <c r="I2763" s="17">
        <v>43103</v>
      </c>
    </row>
    <row r="2764" spans="1:9">
      <c r="A2764" s="16" t="s">
        <v>13922</v>
      </c>
      <c r="B2764" s="1" t="s">
        <v>2628</v>
      </c>
      <c r="C2764" s="1">
        <v>155</v>
      </c>
      <c r="D2764" s="1" t="s">
        <v>119</v>
      </c>
      <c r="E2764" s="1" t="s">
        <v>6</v>
      </c>
      <c r="F2764" s="1" t="s">
        <v>5091</v>
      </c>
      <c r="G2764" s="14" t="s">
        <v>6145</v>
      </c>
      <c r="H2764" s="1" t="s">
        <v>43</v>
      </c>
      <c r="I2764" s="17">
        <v>43103</v>
      </c>
    </row>
    <row r="2765" spans="1:9">
      <c r="A2765" s="16" t="s">
        <v>13923</v>
      </c>
      <c r="B2765" s="1" t="s">
        <v>2628</v>
      </c>
      <c r="C2765" s="1">
        <v>155</v>
      </c>
      <c r="D2765" s="1" t="s">
        <v>119</v>
      </c>
      <c r="E2765" s="1" t="s">
        <v>6</v>
      </c>
      <c r="F2765" s="1" t="s">
        <v>5091</v>
      </c>
      <c r="G2765" s="14" t="s">
        <v>6145</v>
      </c>
      <c r="H2765" s="1" t="s">
        <v>43</v>
      </c>
      <c r="I2765" s="17">
        <v>43103</v>
      </c>
    </row>
    <row r="2766" spans="1:9">
      <c r="A2766" s="16" t="s">
        <v>13924</v>
      </c>
      <c r="B2766" s="1" t="s">
        <v>2628</v>
      </c>
      <c r="C2766" s="1">
        <v>155</v>
      </c>
      <c r="D2766" s="1" t="s">
        <v>119</v>
      </c>
      <c r="E2766" s="1" t="s">
        <v>6</v>
      </c>
      <c r="F2766" s="1" t="s">
        <v>5091</v>
      </c>
      <c r="G2766" s="14" t="s">
        <v>6145</v>
      </c>
      <c r="H2766" s="1" t="s">
        <v>43</v>
      </c>
      <c r="I2766" s="17">
        <v>43103</v>
      </c>
    </row>
    <row r="2767" spans="1:9">
      <c r="A2767" s="16" t="s">
        <v>13925</v>
      </c>
      <c r="B2767" s="1" t="s">
        <v>2628</v>
      </c>
      <c r="C2767" s="1">
        <v>155</v>
      </c>
      <c r="D2767" s="1" t="s">
        <v>119</v>
      </c>
      <c r="E2767" s="1" t="s">
        <v>6</v>
      </c>
      <c r="F2767" s="1" t="s">
        <v>5091</v>
      </c>
      <c r="G2767" s="14" t="s">
        <v>6145</v>
      </c>
      <c r="H2767" s="1" t="s">
        <v>43</v>
      </c>
      <c r="I2767" s="17">
        <v>43103</v>
      </c>
    </row>
    <row r="2768" spans="1:9">
      <c r="A2768" s="16" t="s">
        <v>13926</v>
      </c>
      <c r="B2768" s="1" t="s">
        <v>2628</v>
      </c>
      <c r="C2768" s="1">
        <v>155</v>
      </c>
      <c r="D2768" s="1" t="s">
        <v>119</v>
      </c>
      <c r="E2768" s="1" t="s">
        <v>6</v>
      </c>
      <c r="F2768" s="1" t="s">
        <v>5091</v>
      </c>
      <c r="G2768" s="14" t="s">
        <v>6145</v>
      </c>
      <c r="H2768" s="1" t="s">
        <v>43</v>
      </c>
      <c r="I2768" s="17">
        <v>43103</v>
      </c>
    </row>
    <row r="2769" spans="1:9">
      <c r="A2769" s="16" t="s">
        <v>13929</v>
      </c>
      <c r="B2769" s="1" t="s">
        <v>2628</v>
      </c>
      <c r="C2769" s="1">
        <v>155</v>
      </c>
      <c r="D2769" s="1" t="s">
        <v>119</v>
      </c>
      <c r="E2769" s="1" t="s">
        <v>6</v>
      </c>
      <c r="F2769" s="1" t="s">
        <v>5091</v>
      </c>
      <c r="G2769" s="14" t="s">
        <v>6145</v>
      </c>
      <c r="H2769" s="1" t="s">
        <v>43</v>
      </c>
      <c r="I2769" s="17">
        <v>43103</v>
      </c>
    </row>
    <row r="2770" spans="1:9">
      <c r="A2770" s="16" t="s">
        <v>13930</v>
      </c>
      <c r="B2770" s="1" t="s">
        <v>2628</v>
      </c>
      <c r="C2770" s="1">
        <v>155</v>
      </c>
      <c r="D2770" s="1" t="s">
        <v>119</v>
      </c>
      <c r="E2770" s="1" t="s">
        <v>6</v>
      </c>
      <c r="F2770" s="1" t="s">
        <v>5091</v>
      </c>
      <c r="G2770" s="14" t="s">
        <v>6145</v>
      </c>
      <c r="H2770" s="1" t="s">
        <v>43</v>
      </c>
      <c r="I2770" s="17">
        <v>43103</v>
      </c>
    </row>
    <row r="2771" spans="1:9">
      <c r="A2771" s="16" t="s">
        <v>13931</v>
      </c>
      <c r="B2771" s="1" t="s">
        <v>2628</v>
      </c>
      <c r="C2771" s="1">
        <v>155</v>
      </c>
      <c r="D2771" s="1" t="s">
        <v>119</v>
      </c>
      <c r="E2771" s="1" t="s">
        <v>6</v>
      </c>
      <c r="F2771" s="1" t="s">
        <v>5091</v>
      </c>
      <c r="G2771" s="14" t="s">
        <v>6145</v>
      </c>
      <c r="H2771" s="1" t="s">
        <v>43</v>
      </c>
      <c r="I2771" s="17">
        <v>43103</v>
      </c>
    </row>
    <row r="2772" spans="1:9">
      <c r="A2772" s="16" t="s">
        <v>13954</v>
      </c>
      <c r="B2772" s="1" t="s">
        <v>2628</v>
      </c>
      <c r="C2772" s="1">
        <v>155</v>
      </c>
      <c r="D2772" s="1" t="s">
        <v>119</v>
      </c>
      <c r="E2772" s="1" t="s">
        <v>6</v>
      </c>
      <c r="F2772" s="1" t="s">
        <v>5091</v>
      </c>
      <c r="G2772" s="14" t="s">
        <v>13955</v>
      </c>
      <c r="H2772" s="1" t="s">
        <v>5</v>
      </c>
      <c r="I2772" s="17">
        <v>43118</v>
      </c>
    </row>
    <row r="2773" spans="1:9">
      <c r="A2773" s="16" t="s">
        <v>13956</v>
      </c>
      <c r="B2773" s="1" t="s">
        <v>2628</v>
      </c>
      <c r="C2773" s="1">
        <v>155</v>
      </c>
      <c r="D2773" s="1" t="s">
        <v>119</v>
      </c>
      <c r="E2773" s="1" t="s">
        <v>6</v>
      </c>
      <c r="F2773" s="1" t="s">
        <v>5091</v>
      </c>
      <c r="G2773" s="14" t="s">
        <v>13955</v>
      </c>
      <c r="H2773" s="1" t="s">
        <v>5</v>
      </c>
      <c r="I2773" s="17">
        <v>43118</v>
      </c>
    </row>
    <row r="2774" spans="1:9">
      <c r="A2774" s="16" t="s">
        <v>13957</v>
      </c>
      <c r="B2774" s="1" t="s">
        <v>2628</v>
      </c>
      <c r="C2774" s="1">
        <v>155</v>
      </c>
      <c r="D2774" s="1" t="s">
        <v>119</v>
      </c>
      <c r="E2774" s="1" t="s">
        <v>6</v>
      </c>
      <c r="F2774" s="1" t="s">
        <v>5091</v>
      </c>
      <c r="G2774" s="14" t="s">
        <v>13955</v>
      </c>
      <c r="H2774" s="1" t="s">
        <v>5</v>
      </c>
      <c r="I2774" s="17">
        <v>43118</v>
      </c>
    </row>
    <row r="2775" spans="1:9">
      <c r="A2775" s="16" t="s">
        <v>13958</v>
      </c>
      <c r="B2775" s="1" t="s">
        <v>2628</v>
      </c>
      <c r="C2775" s="1">
        <v>155</v>
      </c>
      <c r="D2775" s="1" t="s">
        <v>119</v>
      </c>
      <c r="E2775" s="1" t="s">
        <v>6</v>
      </c>
      <c r="F2775" s="1" t="s">
        <v>5091</v>
      </c>
      <c r="G2775" s="14" t="s">
        <v>13955</v>
      </c>
      <c r="H2775" s="1" t="s">
        <v>5</v>
      </c>
      <c r="I2775" s="17">
        <v>43118</v>
      </c>
    </row>
    <row r="2776" spans="1:9">
      <c r="A2776" s="16" t="s">
        <v>13959</v>
      </c>
      <c r="B2776" s="1" t="s">
        <v>2628</v>
      </c>
      <c r="C2776" s="1">
        <v>155</v>
      </c>
      <c r="D2776" s="1" t="s">
        <v>119</v>
      </c>
      <c r="E2776" s="1" t="s">
        <v>6</v>
      </c>
      <c r="F2776" s="1" t="s">
        <v>5091</v>
      </c>
      <c r="G2776" s="14" t="s">
        <v>13955</v>
      </c>
      <c r="H2776" s="1" t="s">
        <v>5</v>
      </c>
      <c r="I2776" s="17">
        <v>43118</v>
      </c>
    </row>
    <row r="2777" spans="1:9">
      <c r="A2777" s="16" t="s">
        <v>13960</v>
      </c>
      <c r="B2777" s="1" t="s">
        <v>2628</v>
      </c>
      <c r="C2777" s="1">
        <v>155</v>
      </c>
      <c r="D2777" s="1" t="s">
        <v>119</v>
      </c>
      <c r="E2777" s="1" t="s">
        <v>6</v>
      </c>
      <c r="F2777" s="1" t="s">
        <v>5091</v>
      </c>
      <c r="G2777" s="14" t="s">
        <v>13955</v>
      </c>
      <c r="H2777" s="1" t="s">
        <v>5</v>
      </c>
      <c r="I2777" s="17">
        <v>43118</v>
      </c>
    </row>
    <row r="2778" spans="1:9">
      <c r="A2778" s="16" t="s">
        <v>13961</v>
      </c>
      <c r="B2778" s="1" t="s">
        <v>2628</v>
      </c>
      <c r="C2778" s="1">
        <v>155</v>
      </c>
      <c r="D2778" s="1" t="s">
        <v>119</v>
      </c>
      <c r="E2778" s="1" t="s">
        <v>6</v>
      </c>
      <c r="F2778" s="1" t="s">
        <v>5091</v>
      </c>
      <c r="G2778" s="14" t="s">
        <v>13955</v>
      </c>
      <c r="H2778" s="1" t="s">
        <v>5</v>
      </c>
      <c r="I2778" s="17">
        <v>43118</v>
      </c>
    </row>
    <row r="2779" spans="1:9">
      <c r="A2779" s="16" t="s">
        <v>13964</v>
      </c>
      <c r="B2779" s="1" t="s">
        <v>2628</v>
      </c>
      <c r="C2779" s="1">
        <v>155</v>
      </c>
      <c r="D2779" s="1" t="s">
        <v>119</v>
      </c>
      <c r="E2779" s="1" t="s">
        <v>6</v>
      </c>
      <c r="F2779" s="1" t="s">
        <v>5091</v>
      </c>
      <c r="G2779" s="14" t="s">
        <v>13955</v>
      </c>
      <c r="H2779" s="1" t="s">
        <v>5</v>
      </c>
      <c r="I2779" s="17">
        <v>43118</v>
      </c>
    </row>
    <row r="2780" spans="1:9">
      <c r="A2780" s="16" t="s">
        <v>13965</v>
      </c>
      <c r="B2780" s="1" t="s">
        <v>2628</v>
      </c>
      <c r="C2780" s="1">
        <v>155</v>
      </c>
      <c r="D2780" s="1" t="s">
        <v>119</v>
      </c>
      <c r="E2780" s="1" t="s">
        <v>6</v>
      </c>
      <c r="F2780" s="1" t="s">
        <v>5091</v>
      </c>
      <c r="G2780" s="14" t="s">
        <v>13955</v>
      </c>
      <c r="H2780" s="1" t="s">
        <v>5</v>
      </c>
      <c r="I2780" s="17">
        <v>43118</v>
      </c>
    </row>
    <row r="2781" spans="1:9">
      <c r="A2781" s="16" t="s">
        <v>13966</v>
      </c>
      <c r="B2781" s="1" t="s">
        <v>2628</v>
      </c>
      <c r="C2781" s="1">
        <v>155</v>
      </c>
      <c r="D2781" s="1" t="s">
        <v>119</v>
      </c>
      <c r="E2781" s="1" t="s">
        <v>6</v>
      </c>
      <c r="F2781" s="1" t="s">
        <v>5091</v>
      </c>
      <c r="G2781" s="14" t="s">
        <v>13955</v>
      </c>
      <c r="H2781" s="1" t="s">
        <v>5</v>
      </c>
      <c r="I2781" s="17">
        <v>43118</v>
      </c>
    </row>
    <row r="2782" spans="1:9">
      <c r="A2782" s="16" t="s">
        <v>13971</v>
      </c>
      <c r="B2782" s="1" t="s">
        <v>2628</v>
      </c>
      <c r="C2782" s="1">
        <v>155</v>
      </c>
      <c r="D2782" s="1" t="s">
        <v>119</v>
      </c>
      <c r="E2782" s="1" t="s">
        <v>6</v>
      </c>
      <c r="F2782" s="1" t="s">
        <v>5091</v>
      </c>
      <c r="G2782" s="14" t="s">
        <v>13955</v>
      </c>
      <c r="H2782" s="1" t="s">
        <v>5</v>
      </c>
      <c r="I2782" s="17">
        <v>43118</v>
      </c>
    </row>
    <row r="2783" spans="1:9">
      <c r="A2783" s="16" t="s">
        <v>13972</v>
      </c>
      <c r="B2783" s="1" t="s">
        <v>2628</v>
      </c>
      <c r="C2783" s="1">
        <v>155</v>
      </c>
      <c r="D2783" s="1" t="s">
        <v>119</v>
      </c>
      <c r="E2783" s="1" t="s">
        <v>6</v>
      </c>
      <c r="F2783" s="1" t="s">
        <v>5091</v>
      </c>
      <c r="G2783" s="14" t="s">
        <v>13955</v>
      </c>
      <c r="H2783" s="1" t="s">
        <v>5</v>
      </c>
      <c r="I2783" s="17">
        <v>43118</v>
      </c>
    </row>
    <row r="2784" spans="1:9">
      <c r="A2784" s="16" t="s">
        <v>13973</v>
      </c>
      <c r="B2784" s="1" t="s">
        <v>2628</v>
      </c>
      <c r="C2784" s="1">
        <v>155</v>
      </c>
      <c r="D2784" s="1" t="s">
        <v>119</v>
      </c>
      <c r="E2784" s="1" t="s">
        <v>6</v>
      </c>
      <c r="F2784" s="1" t="s">
        <v>5091</v>
      </c>
      <c r="G2784" s="14" t="s">
        <v>13955</v>
      </c>
      <c r="H2784" s="1" t="s">
        <v>5</v>
      </c>
      <c r="I2784" s="17">
        <v>43118</v>
      </c>
    </row>
    <row r="2785" spans="1:9">
      <c r="A2785" s="16" t="s">
        <v>13974</v>
      </c>
      <c r="B2785" s="1" t="s">
        <v>2628</v>
      </c>
      <c r="C2785" s="1">
        <v>155</v>
      </c>
      <c r="D2785" s="1" t="s">
        <v>119</v>
      </c>
      <c r="E2785" s="1" t="s">
        <v>6</v>
      </c>
      <c r="F2785" s="1" t="s">
        <v>5091</v>
      </c>
      <c r="G2785" s="14" t="s">
        <v>13955</v>
      </c>
      <c r="H2785" s="1" t="s">
        <v>5</v>
      </c>
      <c r="I2785" s="17">
        <v>43118</v>
      </c>
    </row>
    <row r="2786" spans="1:9">
      <c r="A2786" s="16" t="s">
        <v>13975</v>
      </c>
      <c r="B2786" s="1" t="s">
        <v>2628</v>
      </c>
      <c r="C2786" s="1">
        <v>155</v>
      </c>
      <c r="D2786" s="1" t="s">
        <v>119</v>
      </c>
      <c r="E2786" s="1" t="s">
        <v>6</v>
      </c>
      <c r="F2786" s="1" t="s">
        <v>5091</v>
      </c>
      <c r="G2786" s="14" t="s">
        <v>13955</v>
      </c>
      <c r="H2786" s="1" t="s">
        <v>5</v>
      </c>
      <c r="I2786" s="17">
        <v>43118</v>
      </c>
    </row>
    <row r="2787" spans="1:9">
      <c r="A2787" s="16" t="s">
        <v>13976</v>
      </c>
      <c r="B2787" s="1" t="s">
        <v>2628</v>
      </c>
      <c r="C2787" s="1">
        <v>155</v>
      </c>
      <c r="D2787" s="1" t="s">
        <v>119</v>
      </c>
      <c r="E2787" s="1" t="s">
        <v>6</v>
      </c>
      <c r="F2787" s="1" t="s">
        <v>5091</v>
      </c>
      <c r="G2787" s="14" t="s">
        <v>13955</v>
      </c>
      <c r="H2787" s="1" t="s">
        <v>5</v>
      </c>
      <c r="I2787" s="17">
        <v>43118</v>
      </c>
    </row>
    <row r="2788" spans="1:9">
      <c r="A2788" s="16" t="s">
        <v>13977</v>
      </c>
      <c r="B2788" s="1" t="s">
        <v>2628</v>
      </c>
      <c r="C2788" s="1">
        <v>155</v>
      </c>
      <c r="D2788" s="1" t="s">
        <v>119</v>
      </c>
      <c r="E2788" s="1" t="s">
        <v>6</v>
      </c>
      <c r="F2788" s="1" t="s">
        <v>5091</v>
      </c>
      <c r="G2788" s="14" t="s">
        <v>13955</v>
      </c>
      <c r="H2788" s="1" t="s">
        <v>5</v>
      </c>
      <c r="I2788" s="17">
        <v>43118</v>
      </c>
    </row>
    <row r="2789" spans="1:9">
      <c r="A2789" s="16" t="s">
        <v>13978</v>
      </c>
      <c r="B2789" s="1" t="s">
        <v>2628</v>
      </c>
      <c r="C2789" s="1">
        <v>155</v>
      </c>
      <c r="D2789" s="1" t="s">
        <v>119</v>
      </c>
      <c r="E2789" s="1" t="s">
        <v>6</v>
      </c>
      <c r="F2789" s="1" t="s">
        <v>5091</v>
      </c>
      <c r="G2789" s="14" t="s">
        <v>13955</v>
      </c>
      <c r="H2789" s="1" t="s">
        <v>5</v>
      </c>
      <c r="I2789" s="17">
        <v>43118</v>
      </c>
    </row>
    <row r="2790" spans="1:9">
      <c r="A2790" s="16" t="s">
        <v>13979</v>
      </c>
      <c r="B2790" s="1" t="s">
        <v>2628</v>
      </c>
      <c r="C2790" s="1">
        <v>155</v>
      </c>
      <c r="D2790" s="1" t="s">
        <v>119</v>
      </c>
      <c r="E2790" s="1" t="s">
        <v>6</v>
      </c>
      <c r="F2790" s="1" t="s">
        <v>5091</v>
      </c>
      <c r="G2790" s="14" t="s">
        <v>13955</v>
      </c>
      <c r="H2790" s="1" t="s">
        <v>5</v>
      </c>
      <c r="I2790" s="17">
        <v>43118</v>
      </c>
    </row>
    <row r="2791" spans="1:9">
      <c r="A2791" s="16" t="s">
        <v>14129</v>
      </c>
      <c r="B2791" s="1" t="s">
        <v>2628</v>
      </c>
      <c r="C2791" s="1">
        <v>155</v>
      </c>
      <c r="D2791" s="1" t="s">
        <v>119</v>
      </c>
      <c r="E2791" s="1" t="s">
        <v>6</v>
      </c>
      <c r="F2791" s="1" t="s">
        <v>5091</v>
      </c>
      <c r="G2791" s="14" t="s">
        <v>6307</v>
      </c>
      <c r="H2791" s="1" t="s">
        <v>44</v>
      </c>
      <c r="I2791" s="17">
        <v>41640</v>
      </c>
    </row>
    <row r="2792" spans="1:9">
      <c r="A2792" s="16" t="s">
        <v>14164</v>
      </c>
      <c r="B2792" s="1" t="s">
        <v>2628</v>
      </c>
      <c r="C2792" s="1">
        <v>155</v>
      </c>
      <c r="D2792" s="1" t="s">
        <v>119</v>
      </c>
      <c r="E2792" s="1" t="s">
        <v>6</v>
      </c>
      <c r="F2792" s="1" t="s">
        <v>5091</v>
      </c>
      <c r="G2792" s="14" t="s">
        <v>4458</v>
      </c>
      <c r="H2792" s="1" t="s">
        <v>118</v>
      </c>
      <c r="I2792" s="1" t="s">
        <v>4458</v>
      </c>
    </row>
    <row r="2793" spans="1:9">
      <c r="A2793" s="16" t="s">
        <v>14297</v>
      </c>
      <c r="B2793" s="1" t="s">
        <v>2628</v>
      </c>
      <c r="C2793" s="1">
        <v>155</v>
      </c>
      <c r="D2793" s="1" t="s">
        <v>119</v>
      </c>
      <c r="E2793" s="1" t="s">
        <v>6</v>
      </c>
      <c r="F2793" s="1" t="s">
        <v>5091</v>
      </c>
      <c r="G2793" s="14" t="s">
        <v>6145</v>
      </c>
      <c r="H2793" s="1" t="s">
        <v>43</v>
      </c>
      <c r="I2793" s="17">
        <v>43220</v>
      </c>
    </row>
    <row r="2794" spans="1:9">
      <c r="A2794" s="16" t="s">
        <v>14298</v>
      </c>
      <c r="B2794" s="1" t="s">
        <v>2628</v>
      </c>
      <c r="C2794" s="1">
        <v>155</v>
      </c>
      <c r="D2794" s="1" t="s">
        <v>119</v>
      </c>
      <c r="E2794" s="1" t="s">
        <v>6</v>
      </c>
      <c r="F2794" s="1" t="s">
        <v>5091</v>
      </c>
      <c r="G2794" s="14" t="s">
        <v>6145</v>
      </c>
      <c r="H2794" s="1" t="s">
        <v>43</v>
      </c>
      <c r="I2794" s="17">
        <v>43220</v>
      </c>
    </row>
    <row r="2795" spans="1:9">
      <c r="A2795" s="16" t="s">
        <v>14299</v>
      </c>
      <c r="B2795" s="1" t="s">
        <v>2628</v>
      </c>
      <c r="C2795" s="1">
        <v>155</v>
      </c>
      <c r="D2795" s="1" t="s">
        <v>119</v>
      </c>
      <c r="E2795" s="1" t="s">
        <v>6</v>
      </c>
      <c r="F2795" s="1" t="s">
        <v>5091</v>
      </c>
      <c r="G2795" s="14" t="s">
        <v>6145</v>
      </c>
      <c r="H2795" s="1" t="s">
        <v>43</v>
      </c>
      <c r="I2795" s="17">
        <v>43220</v>
      </c>
    </row>
    <row r="2796" spans="1:9">
      <c r="A2796" s="16" t="s">
        <v>14300</v>
      </c>
      <c r="B2796" s="1" t="s">
        <v>2628</v>
      </c>
      <c r="C2796" s="1">
        <v>155</v>
      </c>
      <c r="D2796" s="1" t="s">
        <v>119</v>
      </c>
      <c r="E2796" s="1" t="s">
        <v>6</v>
      </c>
      <c r="F2796" s="1" t="s">
        <v>5091</v>
      </c>
      <c r="G2796" s="14" t="s">
        <v>6145</v>
      </c>
      <c r="H2796" s="1" t="s">
        <v>43</v>
      </c>
      <c r="I2796" s="17">
        <v>43220</v>
      </c>
    </row>
    <row r="2797" spans="1:9">
      <c r="A2797" s="16" t="s">
        <v>14301</v>
      </c>
      <c r="B2797" s="1" t="s">
        <v>2628</v>
      </c>
      <c r="C2797" s="1">
        <v>155</v>
      </c>
      <c r="D2797" s="1" t="s">
        <v>119</v>
      </c>
      <c r="E2797" s="1" t="s">
        <v>6</v>
      </c>
      <c r="F2797" s="1" t="s">
        <v>5091</v>
      </c>
      <c r="G2797" s="14" t="s">
        <v>6145</v>
      </c>
      <c r="H2797" s="1" t="s">
        <v>43</v>
      </c>
      <c r="I2797" s="17">
        <v>43220</v>
      </c>
    </row>
    <row r="2798" spans="1:9">
      <c r="A2798" s="16" t="s">
        <v>14303</v>
      </c>
      <c r="B2798" s="1" t="s">
        <v>2628</v>
      </c>
      <c r="C2798" s="1">
        <v>155</v>
      </c>
      <c r="D2798" s="1" t="s">
        <v>119</v>
      </c>
      <c r="E2798" s="1" t="s">
        <v>6</v>
      </c>
      <c r="F2798" s="1" t="s">
        <v>5091</v>
      </c>
      <c r="G2798" s="14" t="s">
        <v>6145</v>
      </c>
      <c r="H2798" s="1" t="s">
        <v>43</v>
      </c>
      <c r="I2798" s="17">
        <v>43220</v>
      </c>
    </row>
    <row r="2799" spans="1:9">
      <c r="A2799" s="16" t="s">
        <v>14305</v>
      </c>
      <c r="B2799" s="1" t="s">
        <v>2628</v>
      </c>
      <c r="C2799" s="1">
        <v>155</v>
      </c>
      <c r="D2799" s="1" t="s">
        <v>119</v>
      </c>
      <c r="E2799" s="1" t="s">
        <v>6</v>
      </c>
      <c r="F2799" s="1" t="s">
        <v>5091</v>
      </c>
      <c r="G2799" s="14" t="s">
        <v>6145</v>
      </c>
      <c r="H2799" s="1" t="s">
        <v>43</v>
      </c>
      <c r="I2799" s="17">
        <v>43220</v>
      </c>
    </row>
    <row r="2800" spans="1:9">
      <c r="A2800" s="16" t="s">
        <v>14309</v>
      </c>
      <c r="B2800" s="1" t="s">
        <v>2628</v>
      </c>
      <c r="C2800" s="1">
        <v>155</v>
      </c>
      <c r="D2800" s="1" t="s">
        <v>119</v>
      </c>
      <c r="E2800" s="1" t="s">
        <v>6</v>
      </c>
      <c r="F2800" s="1" t="s">
        <v>5091</v>
      </c>
      <c r="G2800" s="14" t="s">
        <v>6145</v>
      </c>
      <c r="H2800" s="1" t="s">
        <v>43</v>
      </c>
      <c r="I2800" s="17">
        <v>43220</v>
      </c>
    </row>
    <row r="2801" spans="1:9">
      <c r="A2801" s="16" t="s">
        <v>14310</v>
      </c>
      <c r="B2801" s="1" t="s">
        <v>2628</v>
      </c>
      <c r="C2801" s="1">
        <v>155</v>
      </c>
      <c r="D2801" s="1" t="s">
        <v>119</v>
      </c>
      <c r="E2801" s="1" t="s">
        <v>6</v>
      </c>
      <c r="F2801" s="1" t="s">
        <v>5091</v>
      </c>
      <c r="G2801" s="14" t="s">
        <v>6145</v>
      </c>
      <c r="H2801" s="1" t="s">
        <v>43</v>
      </c>
      <c r="I2801" s="17">
        <v>43220</v>
      </c>
    </row>
    <row r="2802" spans="1:9">
      <c r="A2802" s="16" t="s">
        <v>14311</v>
      </c>
      <c r="B2802" s="1" t="s">
        <v>2628</v>
      </c>
      <c r="C2802" s="1">
        <v>155</v>
      </c>
      <c r="D2802" s="1" t="s">
        <v>119</v>
      </c>
      <c r="E2802" s="1" t="s">
        <v>6</v>
      </c>
      <c r="F2802" s="1" t="s">
        <v>5091</v>
      </c>
      <c r="G2802" s="14" t="s">
        <v>6145</v>
      </c>
      <c r="H2802" s="1" t="s">
        <v>43</v>
      </c>
      <c r="I2802" s="17">
        <v>43220</v>
      </c>
    </row>
    <row r="2803" spans="1:9">
      <c r="A2803" s="16" t="s">
        <v>14313</v>
      </c>
      <c r="B2803" s="1" t="s">
        <v>2628</v>
      </c>
      <c r="C2803" s="1">
        <v>155</v>
      </c>
      <c r="D2803" s="1" t="s">
        <v>119</v>
      </c>
      <c r="E2803" s="1" t="s">
        <v>6</v>
      </c>
      <c r="F2803" s="1" t="s">
        <v>5091</v>
      </c>
      <c r="G2803" s="14" t="s">
        <v>6145</v>
      </c>
      <c r="H2803" s="1" t="s">
        <v>43</v>
      </c>
      <c r="I2803" s="17">
        <v>43220</v>
      </c>
    </row>
    <row r="2804" spans="1:9">
      <c r="A2804" s="16" t="s">
        <v>14314</v>
      </c>
      <c r="B2804" s="1" t="s">
        <v>2628</v>
      </c>
      <c r="C2804" s="1">
        <v>155</v>
      </c>
      <c r="D2804" s="1" t="s">
        <v>119</v>
      </c>
      <c r="E2804" s="1" t="s">
        <v>6</v>
      </c>
      <c r="F2804" s="1" t="s">
        <v>5091</v>
      </c>
      <c r="G2804" s="14" t="s">
        <v>6145</v>
      </c>
      <c r="H2804" s="1" t="s">
        <v>43</v>
      </c>
      <c r="I2804" s="17">
        <v>43220</v>
      </c>
    </row>
    <row r="2805" spans="1:9">
      <c r="A2805" s="16" t="s">
        <v>14315</v>
      </c>
      <c r="B2805" s="1" t="s">
        <v>2628</v>
      </c>
      <c r="C2805" s="1">
        <v>155</v>
      </c>
      <c r="D2805" s="1" t="s">
        <v>119</v>
      </c>
      <c r="E2805" s="1" t="s">
        <v>6</v>
      </c>
      <c r="F2805" s="1" t="s">
        <v>5091</v>
      </c>
      <c r="G2805" s="14" t="s">
        <v>6145</v>
      </c>
      <c r="H2805" s="1" t="s">
        <v>43</v>
      </c>
      <c r="I2805" s="17">
        <v>43220</v>
      </c>
    </row>
    <row r="2806" spans="1:9">
      <c r="A2806" s="16" t="s">
        <v>14316</v>
      </c>
      <c r="B2806" s="1" t="s">
        <v>2628</v>
      </c>
      <c r="C2806" s="1">
        <v>155</v>
      </c>
      <c r="D2806" s="1" t="s">
        <v>119</v>
      </c>
      <c r="E2806" s="1" t="s">
        <v>6</v>
      </c>
      <c r="F2806" s="1" t="s">
        <v>5091</v>
      </c>
      <c r="G2806" s="14" t="s">
        <v>6145</v>
      </c>
      <c r="H2806" s="1" t="s">
        <v>43</v>
      </c>
      <c r="I2806" s="17">
        <v>43220</v>
      </c>
    </row>
    <row r="2807" spans="1:9">
      <c r="A2807" s="16" t="s">
        <v>14317</v>
      </c>
      <c r="B2807" s="1" t="s">
        <v>2628</v>
      </c>
      <c r="C2807" s="1">
        <v>155</v>
      </c>
      <c r="D2807" s="1" t="s">
        <v>119</v>
      </c>
      <c r="E2807" s="1" t="s">
        <v>6</v>
      </c>
      <c r="F2807" s="1" t="s">
        <v>5091</v>
      </c>
      <c r="G2807" s="14" t="s">
        <v>6145</v>
      </c>
      <c r="H2807" s="1" t="s">
        <v>43</v>
      </c>
      <c r="I2807" s="17">
        <v>43220</v>
      </c>
    </row>
    <row r="2808" spans="1:9">
      <c r="A2808" s="16" t="s">
        <v>14332</v>
      </c>
      <c r="B2808" s="1" t="s">
        <v>2628</v>
      </c>
      <c r="C2808" s="1">
        <v>372</v>
      </c>
      <c r="D2808" s="1" t="s">
        <v>119</v>
      </c>
      <c r="E2808" s="1" t="s">
        <v>6</v>
      </c>
      <c r="F2808" s="1" t="s">
        <v>5091</v>
      </c>
      <c r="G2808" s="14" t="s">
        <v>6145</v>
      </c>
      <c r="H2808" s="1" t="s">
        <v>43</v>
      </c>
      <c r="I2808" s="17">
        <v>43188</v>
      </c>
    </row>
    <row r="2809" spans="1:9">
      <c r="A2809" s="16" t="s">
        <v>14387</v>
      </c>
      <c r="B2809" s="1" t="s">
        <v>2628</v>
      </c>
      <c r="C2809" s="1">
        <v>155</v>
      </c>
      <c r="D2809" s="1" t="s">
        <v>119</v>
      </c>
      <c r="E2809" s="1" t="s">
        <v>6</v>
      </c>
      <c r="F2809" s="1" t="s">
        <v>5091</v>
      </c>
      <c r="G2809" s="14" t="s">
        <v>6186</v>
      </c>
      <c r="H2809" s="1" t="s">
        <v>5</v>
      </c>
      <c r="I2809" s="17">
        <v>43101</v>
      </c>
    </row>
    <row r="2810" spans="1:9">
      <c r="A2810" s="7" t="s">
        <v>14516</v>
      </c>
      <c r="B2810" s="2" t="s">
        <v>2628</v>
      </c>
      <c r="C2810" s="1">
        <v>155</v>
      </c>
      <c r="D2810" s="1" t="s">
        <v>119</v>
      </c>
      <c r="E2810" s="1" t="s">
        <v>6</v>
      </c>
      <c r="F2810" s="2" t="s">
        <v>118</v>
      </c>
      <c r="G2810" s="14" t="s">
        <v>14463</v>
      </c>
      <c r="H2810" s="1" t="s">
        <v>5</v>
      </c>
      <c r="I2810" s="1" t="s">
        <v>5798</v>
      </c>
    </row>
    <row r="2811" spans="1:9">
      <c r="A2811" s="7" t="s">
        <v>14521</v>
      </c>
      <c r="B2811" s="2" t="s">
        <v>2628</v>
      </c>
      <c r="C2811" s="1">
        <v>155</v>
      </c>
      <c r="D2811" s="1" t="s">
        <v>119</v>
      </c>
      <c r="E2811" s="1" t="s">
        <v>6</v>
      </c>
      <c r="F2811" s="2" t="s">
        <v>118</v>
      </c>
      <c r="G2811" s="14" t="s">
        <v>14463</v>
      </c>
      <c r="H2811" s="1" t="s">
        <v>5</v>
      </c>
      <c r="I2811" s="1" t="s">
        <v>5659</v>
      </c>
    </row>
    <row r="2812" spans="1:9">
      <c r="A2812" s="16" t="s">
        <v>14540</v>
      </c>
      <c r="B2812" s="1" t="s">
        <v>2628</v>
      </c>
      <c r="C2812" s="1">
        <v>155</v>
      </c>
      <c r="D2812" s="1" t="s">
        <v>119</v>
      </c>
      <c r="E2812" s="1" t="s">
        <v>6</v>
      </c>
      <c r="F2812" s="1" t="s">
        <v>5091</v>
      </c>
      <c r="G2812" s="14" t="s">
        <v>6186</v>
      </c>
      <c r="H2812" s="1" t="s">
        <v>5</v>
      </c>
      <c r="I2812" s="17">
        <v>43101</v>
      </c>
    </row>
    <row r="2813" spans="1:9">
      <c r="A2813" s="16" t="s">
        <v>14570</v>
      </c>
      <c r="B2813" s="1" t="s">
        <v>2628</v>
      </c>
      <c r="C2813" s="1">
        <v>155</v>
      </c>
      <c r="D2813" s="1" t="s">
        <v>119</v>
      </c>
      <c r="E2813" s="1" t="s">
        <v>6</v>
      </c>
      <c r="F2813" s="1" t="s">
        <v>5091</v>
      </c>
      <c r="G2813" s="14" t="s">
        <v>6536</v>
      </c>
      <c r="H2813" s="1" t="s">
        <v>43</v>
      </c>
      <c r="I2813" s="17">
        <v>43280</v>
      </c>
    </row>
    <row r="2814" spans="1:9">
      <c r="A2814" s="16" t="s">
        <v>14571</v>
      </c>
      <c r="B2814" s="1" t="s">
        <v>2628</v>
      </c>
      <c r="C2814" s="1">
        <v>155</v>
      </c>
      <c r="D2814" s="1" t="s">
        <v>119</v>
      </c>
      <c r="E2814" s="1" t="s">
        <v>6</v>
      </c>
      <c r="F2814" s="1" t="s">
        <v>5091</v>
      </c>
      <c r="G2814" s="14" t="s">
        <v>6536</v>
      </c>
      <c r="H2814" s="1" t="s">
        <v>43</v>
      </c>
      <c r="I2814" s="17">
        <v>43280</v>
      </c>
    </row>
    <row r="2815" spans="1:9">
      <c r="A2815" s="16" t="s">
        <v>14572</v>
      </c>
      <c r="B2815" s="1" t="s">
        <v>2628</v>
      </c>
      <c r="C2815" s="1">
        <v>155</v>
      </c>
      <c r="D2815" s="1" t="s">
        <v>119</v>
      </c>
      <c r="E2815" s="1" t="s">
        <v>6</v>
      </c>
      <c r="F2815" s="1" t="s">
        <v>5091</v>
      </c>
      <c r="G2815" s="14" t="s">
        <v>11386</v>
      </c>
      <c r="H2815" s="1" t="s">
        <v>5</v>
      </c>
      <c r="I2815" s="17">
        <v>43270</v>
      </c>
    </row>
    <row r="2816" spans="1:9">
      <c r="A2816" s="16" t="s">
        <v>14573</v>
      </c>
      <c r="B2816" s="1" t="s">
        <v>2628</v>
      </c>
      <c r="C2816" s="1">
        <v>155</v>
      </c>
      <c r="D2816" s="1" t="s">
        <v>119</v>
      </c>
      <c r="E2816" s="1" t="s">
        <v>6</v>
      </c>
      <c r="F2816" s="1" t="s">
        <v>5091</v>
      </c>
      <c r="G2816" s="14" t="s">
        <v>6536</v>
      </c>
      <c r="H2816" s="1" t="s">
        <v>43</v>
      </c>
      <c r="I2816" s="17">
        <v>43280</v>
      </c>
    </row>
    <row r="2817" spans="1:9">
      <c r="A2817" s="16" t="s">
        <v>14574</v>
      </c>
      <c r="B2817" s="1" t="s">
        <v>2628</v>
      </c>
      <c r="C2817" s="1">
        <v>155</v>
      </c>
      <c r="D2817" s="1" t="s">
        <v>119</v>
      </c>
      <c r="E2817" s="1" t="s">
        <v>6</v>
      </c>
      <c r="F2817" s="1" t="s">
        <v>5091</v>
      </c>
      <c r="G2817" s="14" t="s">
        <v>6536</v>
      </c>
      <c r="H2817" s="1" t="s">
        <v>43</v>
      </c>
      <c r="I2817" s="17">
        <v>43280</v>
      </c>
    </row>
    <row r="2818" spans="1:9">
      <c r="A2818" s="16" t="s">
        <v>14575</v>
      </c>
      <c r="B2818" s="1" t="s">
        <v>2628</v>
      </c>
      <c r="C2818" s="1">
        <v>155</v>
      </c>
      <c r="D2818" s="1" t="s">
        <v>119</v>
      </c>
      <c r="E2818" s="1" t="s">
        <v>6</v>
      </c>
      <c r="F2818" s="1" t="s">
        <v>5091</v>
      </c>
      <c r="G2818" s="14" t="s">
        <v>6536</v>
      </c>
      <c r="H2818" s="1" t="s">
        <v>43</v>
      </c>
      <c r="I2818" s="17">
        <v>43280</v>
      </c>
    </row>
    <row r="2819" spans="1:9">
      <c r="A2819" s="16" t="s">
        <v>14576</v>
      </c>
      <c r="B2819" s="1" t="s">
        <v>2628</v>
      </c>
      <c r="C2819" s="1">
        <v>155</v>
      </c>
      <c r="D2819" s="1" t="s">
        <v>119</v>
      </c>
      <c r="E2819" s="1" t="s">
        <v>6</v>
      </c>
      <c r="F2819" s="1" t="s">
        <v>5091</v>
      </c>
      <c r="G2819" s="14" t="s">
        <v>6536</v>
      </c>
      <c r="H2819" s="1" t="s">
        <v>43</v>
      </c>
      <c r="I2819" s="17">
        <v>43280</v>
      </c>
    </row>
    <row r="2820" spans="1:9">
      <c r="A2820" s="16" t="s">
        <v>14577</v>
      </c>
      <c r="B2820" s="1" t="s">
        <v>2628</v>
      </c>
      <c r="C2820" s="1">
        <v>155</v>
      </c>
      <c r="D2820" s="1" t="s">
        <v>119</v>
      </c>
      <c r="E2820" s="1" t="s">
        <v>6</v>
      </c>
      <c r="F2820" s="1" t="s">
        <v>5091</v>
      </c>
      <c r="G2820" s="14" t="s">
        <v>6536</v>
      </c>
      <c r="H2820" s="1" t="s">
        <v>43</v>
      </c>
      <c r="I2820" s="17">
        <v>43280</v>
      </c>
    </row>
    <row r="2821" spans="1:9">
      <c r="A2821" s="16" t="s">
        <v>14654</v>
      </c>
      <c r="B2821" s="1" t="s">
        <v>2628</v>
      </c>
      <c r="C2821" s="1">
        <v>155</v>
      </c>
      <c r="D2821" s="1" t="s">
        <v>119</v>
      </c>
      <c r="E2821" s="1" t="s">
        <v>6</v>
      </c>
      <c r="F2821" s="1" t="s">
        <v>5091</v>
      </c>
      <c r="G2821" s="14" t="s">
        <v>6238</v>
      </c>
      <c r="H2821" s="1" t="s">
        <v>43</v>
      </c>
      <c r="I2821" s="17">
        <v>43101</v>
      </c>
    </row>
    <row r="2822" spans="1:9">
      <c r="A2822" s="16" t="s">
        <v>14917</v>
      </c>
      <c r="B2822" s="1" t="s">
        <v>2628</v>
      </c>
      <c r="C2822" s="1">
        <v>155</v>
      </c>
      <c r="D2822" s="1" t="s">
        <v>119</v>
      </c>
      <c r="E2822" s="1" t="s">
        <v>6</v>
      </c>
      <c r="F2822" s="1" t="s">
        <v>5241</v>
      </c>
      <c r="G2822" s="14" t="s">
        <v>4803</v>
      </c>
      <c r="H2822" s="1" t="s">
        <v>5</v>
      </c>
      <c r="I2822" s="17">
        <v>42552</v>
      </c>
    </row>
    <row r="2823" spans="1:9">
      <c r="A2823" s="16" t="s">
        <v>15429</v>
      </c>
      <c r="B2823" s="1" t="s">
        <v>2628</v>
      </c>
      <c r="C2823" s="1">
        <v>155</v>
      </c>
      <c r="D2823" s="1" t="s">
        <v>119</v>
      </c>
      <c r="E2823" s="1" t="s">
        <v>6</v>
      </c>
      <c r="F2823" s="1" t="s">
        <v>5241</v>
      </c>
      <c r="G2823" s="14" t="s">
        <v>4803</v>
      </c>
      <c r="H2823" s="1" t="s">
        <v>5</v>
      </c>
      <c r="I2823" s="17">
        <v>42856</v>
      </c>
    </row>
    <row r="2824" spans="1:9">
      <c r="A2824" s="16" t="s">
        <v>15590</v>
      </c>
      <c r="B2824" s="1" t="s">
        <v>2628</v>
      </c>
      <c r="C2824" s="1">
        <v>155</v>
      </c>
      <c r="D2824" s="1" t="s">
        <v>119</v>
      </c>
      <c r="E2824" s="1" t="s">
        <v>6</v>
      </c>
      <c r="F2824" s="1" t="s">
        <v>5091</v>
      </c>
      <c r="G2824" s="14" t="s">
        <v>6145</v>
      </c>
      <c r="H2824" s="1" t="s">
        <v>43</v>
      </c>
      <c r="I2824" s="17">
        <v>43342</v>
      </c>
    </row>
    <row r="2825" spans="1:9">
      <c r="A2825" s="16" t="s">
        <v>15592</v>
      </c>
      <c r="B2825" s="1" t="s">
        <v>2628</v>
      </c>
      <c r="C2825" s="1">
        <v>155</v>
      </c>
      <c r="D2825" s="1" t="s">
        <v>119</v>
      </c>
      <c r="E2825" s="1" t="s">
        <v>6</v>
      </c>
      <c r="F2825" s="1" t="s">
        <v>5091</v>
      </c>
      <c r="G2825" s="14" t="s">
        <v>6145</v>
      </c>
      <c r="H2825" s="1" t="s">
        <v>43</v>
      </c>
      <c r="I2825" s="17">
        <v>43342</v>
      </c>
    </row>
    <row r="2826" spans="1:9">
      <c r="A2826" s="16" t="s">
        <v>15599</v>
      </c>
      <c r="B2826" s="1" t="s">
        <v>2628</v>
      </c>
      <c r="C2826" s="1">
        <v>155</v>
      </c>
      <c r="D2826" s="1" t="s">
        <v>119</v>
      </c>
      <c r="E2826" s="1" t="s">
        <v>6</v>
      </c>
      <c r="F2826" s="1" t="s">
        <v>5091</v>
      </c>
      <c r="G2826" s="14" t="s">
        <v>4458</v>
      </c>
      <c r="H2826" s="1" t="s">
        <v>118</v>
      </c>
      <c r="I2826" s="1" t="s">
        <v>4458</v>
      </c>
    </row>
    <row r="2827" spans="1:9">
      <c r="A2827" s="16" t="s">
        <v>15608</v>
      </c>
      <c r="B2827" s="1" t="s">
        <v>2628</v>
      </c>
      <c r="C2827" s="1">
        <v>155</v>
      </c>
      <c r="D2827" s="1" t="s">
        <v>119</v>
      </c>
      <c r="E2827" s="1" t="s">
        <v>6</v>
      </c>
      <c r="F2827" s="1" t="s">
        <v>5091</v>
      </c>
      <c r="G2827" s="14" t="s">
        <v>6145</v>
      </c>
      <c r="H2827" s="1" t="s">
        <v>43</v>
      </c>
      <c r="I2827" s="17">
        <v>40613</v>
      </c>
    </row>
    <row r="2828" spans="1:9">
      <c r="A2828" s="16" t="s">
        <v>15610</v>
      </c>
      <c r="B2828" s="1" t="s">
        <v>2628</v>
      </c>
      <c r="C2828" s="1">
        <v>155</v>
      </c>
      <c r="D2828" s="1" t="s">
        <v>119</v>
      </c>
      <c r="E2828" s="1" t="s">
        <v>6</v>
      </c>
      <c r="F2828" s="1" t="s">
        <v>5091</v>
      </c>
      <c r="G2828" s="14" t="s">
        <v>6145</v>
      </c>
      <c r="H2828" s="1" t="s">
        <v>43</v>
      </c>
      <c r="I2828" s="17">
        <v>40613</v>
      </c>
    </row>
    <row r="2829" spans="1:9">
      <c r="A2829" s="16" t="s">
        <v>15611</v>
      </c>
      <c r="B2829" s="1" t="s">
        <v>2628</v>
      </c>
      <c r="C2829" s="1">
        <v>155</v>
      </c>
      <c r="D2829" s="1" t="s">
        <v>119</v>
      </c>
      <c r="E2829" s="1" t="s">
        <v>6</v>
      </c>
      <c r="F2829" s="1" t="s">
        <v>5091</v>
      </c>
      <c r="G2829" s="14" t="s">
        <v>6145</v>
      </c>
      <c r="H2829" s="1" t="s">
        <v>43</v>
      </c>
      <c r="I2829" s="17">
        <v>40613</v>
      </c>
    </row>
    <row r="2830" spans="1:9">
      <c r="A2830" s="16" t="s">
        <v>15612</v>
      </c>
      <c r="B2830" s="1" t="s">
        <v>2628</v>
      </c>
      <c r="C2830" s="1">
        <v>155</v>
      </c>
      <c r="D2830" s="1" t="s">
        <v>119</v>
      </c>
      <c r="E2830" s="1" t="s">
        <v>6</v>
      </c>
      <c r="F2830" s="1" t="s">
        <v>5091</v>
      </c>
      <c r="G2830" s="14" t="s">
        <v>6145</v>
      </c>
      <c r="H2830" s="1" t="s">
        <v>43</v>
      </c>
      <c r="I2830" s="17">
        <v>40613</v>
      </c>
    </row>
    <row r="2831" spans="1:9">
      <c r="A2831" s="16" t="s">
        <v>15613</v>
      </c>
      <c r="B2831" s="1" t="s">
        <v>2628</v>
      </c>
      <c r="C2831" s="1">
        <v>155</v>
      </c>
      <c r="D2831" s="1" t="s">
        <v>119</v>
      </c>
      <c r="E2831" s="1" t="s">
        <v>6</v>
      </c>
      <c r="F2831" s="1" t="s">
        <v>5091</v>
      </c>
      <c r="G2831" s="14" t="s">
        <v>6145</v>
      </c>
      <c r="H2831" s="1" t="s">
        <v>43</v>
      </c>
      <c r="I2831" s="17">
        <v>40613</v>
      </c>
    </row>
    <row r="2832" spans="1:9">
      <c r="A2832" s="16" t="s">
        <v>15723</v>
      </c>
      <c r="B2832" s="1" t="s">
        <v>2628</v>
      </c>
      <c r="C2832" s="1">
        <v>155</v>
      </c>
      <c r="D2832" s="1" t="s">
        <v>119</v>
      </c>
      <c r="E2832" s="1" t="s">
        <v>6</v>
      </c>
      <c r="F2832" s="1" t="s">
        <v>5091</v>
      </c>
      <c r="G2832" s="14" t="s">
        <v>6145</v>
      </c>
      <c r="H2832" s="1" t="s">
        <v>43</v>
      </c>
      <c r="I2832" s="17">
        <v>43397</v>
      </c>
    </row>
    <row r="2833" spans="1:9">
      <c r="A2833" s="16" t="s">
        <v>15724</v>
      </c>
      <c r="B2833" s="1" t="s">
        <v>2628</v>
      </c>
      <c r="C2833" s="1">
        <v>2502</v>
      </c>
      <c r="D2833" s="1" t="s">
        <v>119</v>
      </c>
      <c r="E2833" s="1" t="s">
        <v>6</v>
      </c>
      <c r="F2833" s="1" t="s">
        <v>5091</v>
      </c>
      <c r="G2833" s="14" t="s">
        <v>6145</v>
      </c>
      <c r="H2833" s="1" t="s">
        <v>43</v>
      </c>
      <c r="I2833" s="17">
        <v>43395</v>
      </c>
    </row>
    <row r="2834" spans="1:9">
      <c r="A2834" s="16" t="s">
        <v>15725</v>
      </c>
      <c r="B2834" s="1" t="s">
        <v>2628</v>
      </c>
      <c r="C2834" s="1">
        <v>155</v>
      </c>
      <c r="D2834" s="1" t="s">
        <v>119</v>
      </c>
      <c r="E2834" s="1" t="s">
        <v>6</v>
      </c>
      <c r="F2834" s="1" t="s">
        <v>5091</v>
      </c>
      <c r="G2834" s="14" t="s">
        <v>6145</v>
      </c>
      <c r="H2834" s="1" t="s">
        <v>43</v>
      </c>
      <c r="I2834" s="17">
        <v>43397</v>
      </c>
    </row>
    <row r="2835" spans="1:9">
      <c r="A2835" s="16" t="s">
        <v>15726</v>
      </c>
      <c r="B2835" s="1" t="s">
        <v>2628</v>
      </c>
      <c r="C2835" s="1">
        <v>155</v>
      </c>
      <c r="D2835" s="1" t="s">
        <v>119</v>
      </c>
      <c r="E2835" s="1" t="s">
        <v>6</v>
      </c>
      <c r="F2835" s="1" t="s">
        <v>5091</v>
      </c>
      <c r="G2835" s="14" t="s">
        <v>6145</v>
      </c>
      <c r="H2835" s="1" t="s">
        <v>43</v>
      </c>
      <c r="I2835" s="17">
        <v>43397</v>
      </c>
    </row>
    <row r="2836" spans="1:9">
      <c r="A2836" s="16" t="s">
        <v>15727</v>
      </c>
      <c r="B2836" s="1" t="s">
        <v>2628</v>
      </c>
      <c r="C2836" s="1">
        <v>155</v>
      </c>
      <c r="D2836" s="1" t="s">
        <v>119</v>
      </c>
      <c r="E2836" s="1" t="s">
        <v>6</v>
      </c>
      <c r="F2836" s="1" t="s">
        <v>5091</v>
      </c>
      <c r="G2836" s="14" t="s">
        <v>6145</v>
      </c>
      <c r="H2836" s="1" t="s">
        <v>43</v>
      </c>
      <c r="I2836" s="17">
        <v>43397</v>
      </c>
    </row>
    <row r="2837" spans="1:9">
      <c r="A2837" s="16" t="s">
        <v>15730</v>
      </c>
      <c r="B2837" s="1" t="s">
        <v>2628</v>
      </c>
      <c r="C2837" s="1">
        <v>155</v>
      </c>
      <c r="D2837" s="1" t="s">
        <v>119</v>
      </c>
      <c r="E2837" s="1" t="s">
        <v>6</v>
      </c>
      <c r="F2837" s="1" t="s">
        <v>5091</v>
      </c>
      <c r="G2837" s="14" t="s">
        <v>6145</v>
      </c>
      <c r="H2837" s="1" t="s">
        <v>43</v>
      </c>
      <c r="I2837" s="17">
        <v>43397</v>
      </c>
    </row>
    <row r="2838" spans="1:9">
      <c r="A2838" s="16" t="s">
        <v>15731</v>
      </c>
      <c r="B2838" s="1" t="s">
        <v>2628</v>
      </c>
      <c r="C2838" s="1">
        <v>2502</v>
      </c>
      <c r="D2838" s="1" t="s">
        <v>119</v>
      </c>
      <c r="E2838" s="1" t="s">
        <v>6</v>
      </c>
      <c r="F2838" s="1" t="s">
        <v>5091</v>
      </c>
      <c r="G2838" s="14" t="s">
        <v>6145</v>
      </c>
      <c r="H2838" s="1" t="s">
        <v>43</v>
      </c>
      <c r="I2838" s="17">
        <v>43395</v>
      </c>
    </row>
    <row r="2839" spans="1:9">
      <c r="A2839" s="7" t="s">
        <v>15739</v>
      </c>
      <c r="B2839" s="2" t="s">
        <v>2628</v>
      </c>
      <c r="C2839" s="1">
        <v>155</v>
      </c>
      <c r="D2839" s="1" t="s">
        <v>119</v>
      </c>
      <c r="E2839" s="1" t="s">
        <v>6</v>
      </c>
      <c r="F2839" s="1" t="s">
        <v>5091</v>
      </c>
      <c r="G2839" s="14" t="s">
        <v>6145</v>
      </c>
      <c r="H2839" s="1" t="s">
        <v>43</v>
      </c>
      <c r="I2839" s="1" t="s">
        <v>5801</v>
      </c>
    </row>
    <row r="2840" spans="1:9">
      <c r="A2840" s="7" t="s">
        <v>15751</v>
      </c>
      <c r="B2840" s="2" t="s">
        <v>2628</v>
      </c>
      <c r="C2840" s="1">
        <v>372</v>
      </c>
      <c r="D2840" s="1" t="s">
        <v>119</v>
      </c>
      <c r="E2840" s="1" t="s">
        <v>6</v>
      </c>
      <c r="F2840" s="1" t="s">
        <v>5091</v>
      </c>
      <c r="G2840" s="14" t="s">
        <v>6152</v>
      </c>
      <c r="H2840" s="1" t="s">
        <v>5</v>
      </c>
      <c r="I2840" s="1" t="s">
        <v>5801</v>
      </c>
    </row>
    <row r="2841" spans="1:9">
      <c r="A2841" s="7" t="s">
        <v>15754</v>
      </c>
      <c r="B2841" s="2" t="s">
        <v>2628</v>
      </c>
      <c r="C2841" s="1">
        <v>372</v>
      </c>
      <c r="D2841" s="1" t="s">
        <v>119</v>
      </c>
      <c r="E2841" s="1" t="s">
        <v>6</v>
      </c>
      <c r="F2841" s="1" t="s">
        <v>5091</v>
      </c>
      <c r="G2841" s="14" t="s">
        <v>6152</v>
      </c>
      <c r="H2841" s="1" t="s">
        <v>5</v>
      </c>
      <c r="I2841" s="1" t="s">
        <v>5801</v>
      </c>
    </row>
    <row r="2842" spans="1:9">
      <c r="A2842" s="7" t="s">
        <v>15755</v>
      </c>
      <c r="B2842" s="2" t="s">
        <v>2628</v>
      </c>
      <c r="C2842" s="1">
        <v>372</v>
      </c>
      <c r="D2842" s="1" t="s">
        <v>119</v>
      </c>
      <c r="E2842" s="1" t="s">
        <v>6</v>
      </c>
      <c r="F2842" s="1" t="s">
        <v>5091</v>
      </c>
      <c r="G2842" s="14" t="s">
        <v>6152</v>
      </c>
      <c r="H2842" s="1" t="s">
        <v>5</v>
      </c>
      <c r="I2842" s="1" t="s">
        <v>5801</v>
      </c>
    </row>
    <row r="2843" spans="1:9">
      <c r="A2843" s="7" t="s">
        <v>15756</v>
      </c>
      <c r="B2843" s="2" t="s">
        <v>2628</v>
      </c>
      <c r="C2843" s="1">
        <v>372</v>
      </c>
      <c r="D2843" s="1" t="s">
        <v>119</v>
      </c>
      <c r="E2843" s="1" t="s">
        <v>6</v>
      </c>
      <c r="F2843" s="1" t="s">
        <v>5091</v>
      </c>
      <c r="G2843" s="14" t="s">
        <v>6152</v>
      </c>
      <c r="H2843" s="1" t="s">
        <v>5</v>
      </c>
      <c r="I2843" s="1" t="s">
        <v>5801</v>
      </c>
    </row>
    <row r="2844" spans="1:9">
      <c r="A2844" s="7" t="s">
        <v>15757</v>
      </c>
      <c r="B2844" s="2" t="s">
        <v>2628</v>
      </c>
      <c r="C2844" s="1">
        <v>372</v>
      </c>
      <c r="D2844" s="1" t="s">
        <v>119</v>
      </c>
      <c r="E2844" s="1" t="s">
        <v>6</v>
      </c>
      <c r="F2844" s="1" t="s">
        <v>5091</v>
      </c>
      <c r="G2844" s="14" t="s">
        <v>6152</v>
      </c>
      <c r="H2844" s="1" t="s">
        <v>5</v>
      </c>
      <c r="I2844" s="1" t="s">
        <v>5801</v>
      </c>
    </row>
    <row r="2845" spans="1:9">
      <c r="A2845" s="7" t="s">
        <v>15758</v>
      </c>
      <c r="B2845" s="2" t="s">
        <v>2628</v>
      </c>
      <c r="C2845" s="1">
        <v>372</v>
      </c>
      <c r="D2845" s="1" t="s">
        <v>119</v>
      </c>
      <c r="E2845" s="1" t="s">
        <v>6</v>
      </c>
      <c r="F2845" s="1" t="s">
        <v>5091</v>
      </c>
      <c r="G2845" s="14" t="s">
        <v>6152</v>
      </c>
      <c r="H2845" s="1" t="s">
        <v>5</v>
      </c>
      <c r="I2845" s="1" t="s">
        <v>5801</v>
      </c>
    </row>
    <row r="2846" spans="1:9">
      <c r="A2846" s="7" t="s">
        <v>15759</v>
      </c>
      <c r="B2846" s="2" t="s">
        <v>2628</v>
      </c>
      <c r="C2846" s="1">
        <v>372</v>
      </c>
      <c r="D2846" s="1" t="s">
        <v>119</v>
      </c>
      <c r="E2846" s="1" t="s">
        <v>6</v>
      </c>
      <c r="F2846" s="1" t="s">
        <v>5091</v>
      </c>
      <c r="G2846" s="14" t="s">
        <v>6152</v>
      </c>
      <c r="H2846" s="1" t="s">
        <v>5</v>
      </c>
      <c r="I2846" s="1" t="s">
        <v>5801</v>
      </c>
    </row>
    <row r="2847" spans="1:9">
      <c r="A2847" s="7" t="s">
        <v>15760</v>
      </c>
      <c r="B2847" s="2" t="s">
        <v>2628</v>
      </c>
      <c r="C2847" s="1">
        <v>372</v>
      </c>
      <c r="D2847" s="1" t="s">
        <v>119</v>
      </c>
      <c r="E2847" s="1" t="s">
        <v>6</v>
      </c>
      <c r="F2847" s="1" t="s">
        <v>5091</v>
      </c>
      <c r="G2847" s="14" t="s">
        <v>6152</v>
      </c>
      <c r="H2847" s="1" t="s">
        <v>5</v>
      </c>
      <c r="I2847" s="1" t="s">
        <v>5801</v>
      </c>
    </row>
    <row r="2848" spans="1:9">
      <c r="A2848" s="7" t="s">
        <v>15761</v>
      </c>
      <c r="B2848" s="2" t="s">
        <v>2628</v>
      </c>
      <c r="C2848" s="1">
        <v>372</v>
      </c>
      <c r="D2848" s="1" t="s">
        <v>119</v>
      </c>
      <c r="E2848" s="1" t="s">
        <v>6</v>
      </c>
      <c r="F2848" s="1" t="s">
        <v>5091</v>
      </c>
      <c r="G2848" s="14" t="s">
        <v>6152</v>
      </c>
      <c r="H2848" s="1" t="s">
        <v>5</v>
      </c>
      <c r="I2848" s="1" t="s">
        <v>5801</v>
      </c>
    </row>
    <row r="2849" spans="1:9">
      <c r="A2849" s="7" t="s">
        <v>15762</v>
      </c>
      <c r="B2849" s="2" t="s">
        <v>2628</v>
      </c>
      <c r="C2849" s="1">
        <v>372</v>
      </c>
      <c r="D2849" s="1" t="s">
        <v>119</v>
      </c>
      <c r="E2849" s="1" t="s">
        <v>6</v>
      </c>
      <c r="F2849" s="1" t="s">
        <v>5091</v>
      </c>
      <c r="G2849" s="14" t="s">
        <v>6152</v>
      </c>
      <c r="H2849" s="1" t="s">
        <v>5</v>
      </c>
      <c r="I2849" s="1" t="s">
        <v>5801</v>
      </c>
    </row>
    <row r="2850" spans="1:9">
      <c r="A2850" s="7" t="s">
        <v>15769</v>
      </c>
      <c r="B2850" s="2" t="s">
        <v>2628</v>
      </c>
      <c r="C2850" s="1">
        <v>372</v>
      </c>
      <c r="D2850" s="1" t="s">
        <v>119</v>
      </c>
      <c r="E2850" s="1" t="s">
        <v>6</v>
      </c>
      <c r="F2850" s="1" t="s">
        <v>5091</v>
      </c>
      <c r="G2850" s="14" t="s">
        <v>6152</v>
      </c>
      <c r="H2850" s="1" t="s">
        <v>5</v>
      </c>
      <c r="I2850" s="1" t="s">
        <v>5801</v>
      </c>
    </row>
    <row r="2851" spans="1:9">
      <c r="A2851" s="7" t="s">
        <v>15774</v>
      </c>
      <c r="B2851" s="2" t="s">
        <v>2628</v>
      </c>
      <c r="C2851" s="1">
        <v>372</v>
      </c>
      <c r="D2851" s="1" t="s">
        <v>119</v>
      </c>
      <c r="E2851" s="1" t="s">
        <v>6</v>
      </c>
      <c r="F2851" s="1" t="s">
        <v>5091</v>
      </c>
      <c r="G2851" s="14" t="s">
        <v>6152</v>
      </c>
      <c r="H2851" s="1" t="s">
        <v>5</v>
      </c>
      <c r="I2851" s="1" t="s">
        <v>5801</v>
      </c>
    </row>
    <row r="2852" spans="1:9">
      <c r="A2852" s="7" t="s">
        <v>15798</v>
      </c>
      <c r="B2852" s="2" t="s">
        <v>2628</v>
      </c>
      <c r="C2852" s="1">
        <v>155</v>
      </c>
      <c r="D2852" s="1" t="s">
        <v>119</v>
      </c>
      <c r="E2852" s="1" t="s">
        <v>6</v>
      </c>
      <c r="F2852" s="1" t="s">
        <v>5091</v>
      </c>
      <c r="G2852" s="14" t="s">
        <v>6145</v>
      </c>
      <c r="H2852" s="1" t="s">
        <v>43</v>
      </c>
      <c r="I2852" s="1" t="s">
        <v>6844</v>
      </c>
    </row>
    <row r="2853" spans="1:9">
      <c r="A2853" s="7" t="s">
        <v>15801</v>
      </c>
      <c r="B2853" s="2" t="s">
        <v>2628</v>
      </c>
      <c r="C2853" s="1">
        <v>155</v>
      </c>
      <c r="D2853" s="1" t="s">
        <v>119</v>
      </c>
      <c r="E2853" s="1" t="s">
        <v>6</v>
      </c>
      <c r="F2853" s="1" t="s">
        <v>5091</v>
      </c>
      <c r="G2853" s="14" t="s">
        <v>6377</v>
      </c>
      <c r="H2853" s="1" t="s">
        <v>5</v>
      </c>
      <c r="I2853" s="1" t="s">
        <v>5092</v>
      </c>
    </row>
    <row r="2854" spans="1:9">
      <c r="A2854" s="7" t="s">
        <v>15803</v>
      </c>
      <c r="B2854" s="2" t="s">
        <v>2628</v>
      </c>
      <c r="C2854" s="1">
        <v>155</v>
      </c>
      <c r="D2854" s="1" t="s">
        <v>119</v>
      </c>
      <c r="E2854" s="1" t="s">
        <v>6</v>
      </c>
      <c r="F2854" s="1" t="s">
        <v>5091</v>
      </c>
      <c r="G2854" s="14" t="s">
        <v>6145</v>
      </c>
      <c r="H2854" s="1" t="s">
        <v>43</v>
      </c>
      <c r="I2854" s="1" t="s">
        <v>6844</v>
      </c>
    </row>
    <row r="2855" spans="1:9">
      <c r="A2855" s="7" t="s">
        <v>15805</v>
      </c>
      <c r="B2855" s="2" t="s">
        <v>2628</v>
      </c>
      <c r="C2855" s="1">
        <v>155</v>
      </c>
      <c r="D2855" s="1" t="s">
        <v>119</v>
      </c>
      <c r="E2855" s="1" t="s">
        <v>6</v>
      </c>
      <c r="F2855" s="1" t="s">
        <v>5091</v>
      </c>
      <c r="G2855" s="14" t="s">
        <v>6145</v>
      </c>
      <c r="H2855" s="1" t="s">
        <v>43</v>
      </c>
      <c r="I2855" s="1" t="s">
        <v>6844</v>
      </c>
    </row>
    <row r="2856" spans="1:9">
      <c r="A2856" s="7" t="s">
        <v>15806</v>
      </c>
      <c r="B2856" s="2" t="s">
        <v>2628</v>
      </c>
      <c r="C2856" s="1">
        <v>155</v>
      </c>
      <c r="D2856" s="1" t="s">
        <v>119</v>
      </c>
      <c r="E2856" s="1" t="s">
        <v>6</v>
      </c>
      <c r="F2856" s="1" t="s">
        <v>5091</v>
      </c>
      <c r="G2856" s="14" t="s">
        <v>6145</v>
      </c>
      <c r="H2856" s="1" t="s">
        <v>43</v>
      </c>
      <c r="I2856" s="1" t="s">
        <v>6844</v>
      </c>
    </row>
    <row r="2857" spans="1:9">
      <c r="A2857" s="7" t="s">
        <v>15808</v>
      </c>
      <c r="B2857" s="2" t="s">
        <v>2628</v>
      </c>
      <c r="C2857" s="1">
        <v>155</v>
      </c>
      <c r="D2857" s="1" t="s">
        <v>119</v>
      </c>
      <c r="E2857" s="1" t="s">
        <v>6</v>
      </c>
      <c r="F2857" s="1" t="s">
        <v>5091</v>
      </c>
      <c r="G2857" s="14" t="s">
        <v>6145</v>
      </c>
      <c r="H2857" s="1" t="s">
        <v>43</v>
      </c>
      <c r="I2857" s="1" t="s">
        <v>6844</v>
      </c>
    </row>
    <row r="2858" spans="1:9">
      <c r="A2858" s="7" t="s">
        <v>15809</v>
      </c>
      <c r="B2858" s="2" t="s">
        <v>2628</v>
      </c>
      <c r="C2858" s="1">
        <v>155</v>
      </c>
      <c r="D2858" s="1" t="s">
        <v>119</v>
      </c>
      <c r="E2858" s="1" t="s">
        <v>6</v>
      </c>
      <c r="F2858" s="1" t="s">
        <v>5091</v>
      </c>
      <c r="G2858" s="14" t="s">
        <v>6145</v>
      </c>
      <c r="H2858" s="1" t="s">
        <v>43</v>
      </c>
      <c r="I2858" s="1" t="s">
        <v>6844</v>
      </c>
    </row>
    <row r="2859" spans="1:9">
      <c r="A2859" s="7" t="s">
        <v>15811</v>
      </c>
      <c r="B2859" s="2" t="s">
        <v>2628</v>
      </c>
      <c r="C2859" s="1">
        <v>372</v>
      </c>
      <c r="D2859" s="1" t="s">
        <v>119</v>
      </c>
      <c r="E2859" s="1" t="s">
        <v>6</v>
      </c>
      <c r="F2859" s="1" t="s">
        <v>5091</v>
      </c>
      <c r="G2859" s="14" t="s">
        <v>6236</v>
      </c>
      <c r="H2859" s="1" t="s">
        <v>43</v>
      </c>
      <c r="I2859" s="1" t="s">
        <v>5801</v>
      </c>
    </row>
    <row r="2860" spans="1:9">
      <c r="A2860" s="7" t="s">
        <v>15844</v>
      </c>
      <c r="B2860" s="2" t="s">
        <v>2628</v>
      </c>
      <c r="C2860" s="1">
        <v>372</v>
      </c>
      <c r="D2860" s="1" t="s">
        <v>119</v>
      </c>
      <c r="E2860" s="1" t="s">
        <v>6</v>
      </c>
      <c r="F2860" s="1" t="s">
        <v>5091</v>
      </c>
      <c r="G2860" s="14" t="s">
        <v>6209</v>
      </c>
      <c r="H2860" s="1" t="s">
        <v>43</v>
      </c>
      <c r="I2860" s="1" t="s">
        <v>5092</v>
      </c>
    </row>
    <row r="2861" spans="1:9">
      <c r="A2861" s="7" t="s">
        <v>15871</v>
      </c>
      <c r="B2861" s="2" t="s">
        <v>2628</v>
      </c>
      <c r="C2861" s="1">
        <v>155</v>
      </c>
      <c r="D2861" s="1" t="s">
        <v>119</v>
      </c>
      <c r="E2861" s="1" t="s">
        <v>6</v>
      </c>
      <c r="F2861" s="1" t="s">
        <v>5091</v>
      </c>
      <c r="G2861" s="14" t="s">
        <v>6209</v>
      </c>
      <c r="H2861" s="1" t="s">
        <v>43</v>
      </c>
      <c r="I2861" s="1" t="s">
        <v>5092</v>
      </c>
    </row>
    <row r="2862" spans="1:9">
      <c r="A2862" s="7" t="s">
        <v>15919</v>
      </c>
      <c r="B2862" s="2" t="s">
        <v>2628</v>
      </c>
      <c r="C2862" s="1">
        <v>155</v>
      </c>
      <c r="D2862" s="1" t="s">
        <v>119</v>
      </c>
      <c r="E2862" s="1" t="s">
        <v>6</v>
      </c>
      <c r="F2862" s="1" t="s">
        <v>5091</v>
      </c>
      <c r="G2862" s="14" t="s">
        <v>6369</v>
      </c>
      <c r="H2862" s="1" t="s">
        <v>5</v>
      </c>
      <c r="I2862" s="1" t="s">
        <v>5092</v>
      </c>
    </row>
    <row r="2863" spans="1:9">
      <c r="A2863" s="7" t="s">
        <v>15920</v>
      </c>
      <c r="B2863" s="2" t="s">
        <v>2628</v>
      </c>
      <c r="C2863" s="1">
        <v>155</v>
      </c>
      <c r="D2863" s="1" t="s">
        <v>119</v>
      </c>
      <c r="E2863" s="1" t="s">
        <v>6</v>
      </c>
      <c r="F2863" s="1" t="s">
        <v>5091</v>
      </c>
      <c r="G2863" s="14" t="s">
        <v>15921</v>
      </c>
      <c r="H2863" s="1" t="s">
        <v>43</v>
      </c>
      <c r="I2863" s="1" t="s">
        <v>5092</v>
      </c>
    </row>
    <row r="2864" spans="1:9">
      <c r="A2864" s="21" t="s">
        <v>15922</v>
      </c>
      <c r="B2864" s="13" t="s">
        <v>16958</v>
      </c>
      <c r="C2864" s="13">
        <v>155</v>
      </c>
      <c r="D2864" s="13" t="s">
        <v>119</v>
      </c>
      <c r="E2864" s="13" t="s">
        <v>6</v>
      </c>
      <c r="F2864" s="13" t="s">
        <v>5091</v>
      </c>
      <c r="G2864" s="20" t="s">
        <v>6201</v>
      </c>
      <c r="H2864" s="13" t="s">
        <v>43</v>
      </c>
      <c r="I2864" s="13" t="s">
        <v>5089</v>
      </c>
    </row>
    <row r="2865" spans="1:10">
      <c r="A2865" s="7" t="s">
        <v>15992</v>
      </c>
      <c r="B2865" s="2" t="s">
        <v>2628</v>
      </c>
      <c r="C2865" s="1">
        <v>155</v>
      </c>
      <c r="D2865" s="1" t="s">
        <v>119</v>
      </c>
      <c r="E2865" s="1" t="s">
        <v>6</v>
      </c>
      <c r="F2865" s="1" t="s">
        <v>15601</v>
      </c>
      <c r="G2865" s="14" t="s">
        <v>15993</v>
      </c>
      <c r="H2865" s="1" t="s">
        <v>5</v>
      </c>
      <c r="I2865" s="1" t="s">
        <v>5659</v>
      </c>
    </row>
    <row r="2866" spans="1:10">
      <c r="A2866" s="7" t="s">
        <v>15997</v>
      </c>
      <c r="B2866" s="2" t="s">
        <v>2628</v>
      </c>
      <c r="C2866" s="1">
        <v>155</v>
      </c>
      <c r="D2866" s="1" t="s">
        <v>119</v>
      </c>
      <c r="E2866" s="1" t="s">
        <v>6</v>
      </c>
      <c r="F2866" s="1" t="s">
        <v>5091</v>
      </c>
      <c r="G2866" s="14" t="s">
        <v>6209</v>
      </c>
      <c r="H2866" s="1" t="s">
        <v>43</v>
      </c>
      <c r="I2866" s="1" t="s">
        <v>5092</v>
      </c>
    </row>
    <row r="2867" spans="1:10">
      <c r="A2867" s="7" t="s">
        <v>16001</v>
      </c>
      <c r="B2867" s="2" t="s">
        <v>2628</v>
      </c>
      <c r="C2867" s="1">
        <v>372</v>
      </c>
      <c r="D2867" s="1" t="s">
        <v>119</v>
      </c>
      <c r="E2867" s="1" t="s">
        <v>6</v>
      </c>
      <c r="F2867" s="1" t="s">
        <v>5091</v>
      </c>
      <c r="G2867" s="14" t="s">
        <v>6307</v>
      </c>
      <c r="H2867" s="1" t="s">
        <v>44</v>
      </c>
      <c r="I2867" s="17" t="s">
        <v>5807</v>
      </c>
    </row>
    <row r="2868" spans="1:10">
      <c r="A2868" s="7" t="s">
        <v>16003</v>
      </c>
      <c r="B2868" s="2" t="s">
        <v>2628</v>
      </c>
      <c r="C2868" s="1">
        <v>372</v>
      </c>
      <c r="D2868" s="1" t="s">
        <v>119</v>
      </c>
      <c r="E2868" s="1" t="s">
        <v>6</v>
      </c>
      <c r="F2868" s="1" t="s">
        <v>5091</v>
      </c>
      <c r="G2868" s="14" t="s">
        <v>6307</v>
      </c>
      <c r="H2868" s="1" t="s">
        <v>44</v>
      </c>
      <c r="I2868" s="17" t="s">
        <v>5807</v>
      </c>
    </row>
    <row r="2869" spans="1:10">
      <c r="A2869" s="7" t="s">
        <v>16011</v>
      </c>
      <c r="B2869" s="2" t="s">
        <v>2628</v>
      </c>
      <c r="C2869" s="1">
        <v>2485</v>
      </c>
      <c r="D2869" s="1" t="s">
        <v>119</v>
      </c>
      <c r="E2869" s="1" t="s">
        <v>6</v>
      </c>
      <c r="F2869" s="1" t="s">
        <v>5091</v>
      </c>
      <c r="G2869" s="14" t="s">
        <v>16012</v>
      </c>
      <c r="H2869" s="1" t="s">
        <v>5</v>
      </c>
      <c r="I2869" s="1" t="s">
        <v>5807</v>
      </c>
      <c r="J2869" s="17"/>
    </row>
    <row r="2870" spans="1:10">
      <c r="A2870" s="7" t="s">
        <v>16015</v>
      </c>
      <c r="B2870" s="2" t="s">
        <v>2628</v>
      </c>
      <c r="C2870" s="1">
        <v>372</v>
      </c>
      <c r="D2870" s="1" t="s">
        <v>119</v>
      </c>
      <c r="E2870" s="1" t="s">
        <v>6</v>
      </c>
      <c r="F2870" s="1" t="s">
        <v>5091</v>
      </c>
      <c r="G2870" s="14" t="s">
        <v>16012</v>
      </c>
      <c r="H2870" s="1" t="s">
        <v>5</v>
      </c>
      <c r="I2870" s="1" t="s">
        <v>5807</v>
      </c>
      <c r="J2870" s="17"/>
    </row>
    <row r="2871" spans="1:10">
      <c r="A2871" s="7" t="s">
        <v>16016</v>
      </c>
      <c r="B2871" s="2" t="s">
        <v>2628</v>
      </c>
      <c r="C2871" s="1">
        <v>372</v>
      </c>
      <c r="D2871" s="1" t="s">
        <v>119</v>
      </c>
      <c r="E2871" s="1" t="s">
        <v>6</v>
      </c>
      <c r="F2871" s="1" t="s">
        <v>5091</v>
      </c>
      <c r="G2871" s="14" t="s">
        <v>16012</v>
      </c>
      <c r="H2871" s="1" t="s">
        <v>5</v>
      </c>
      <c r="I2871" s="1" t="s">
        <v>5807</v>
      </c>
      <c r="J2871" s="17"/>
    </row>
    <row r="2872" spans="1:10">
      <c r="A2872" s="7" t="s">
        <v>16031</v>
      </c>
      <c r="B2872" s="2" t="s">
        <v>2628</v>
      </c>
      <c r="C2872" s="1">
        <v>372</v>
      </c>
      <c r="D2872" s="1" t="s">
        <v>119</v>
      </c>
      <c r="E2872" s="1" t="s">
        <v>6</v>
      </c>
      <c r="F2872" s="1" t="s">
        <v>5091</v>
      </c>
      <c r="G2872" s="14" t="s">
        <v>6145</v>
      </c>
      <c r="H2872" s="1" t="s">
        <v>43</v>
      </c>
      <c r="I2872" s="1" t="s">
        <v>5807</v>
      </c>
    </row>
    <row r="2873" spans="1:10">
      <c r="A2873" s="7" t="s">
        <v>16032</v>
      </c>
      <c r="B2873" s="2" t="s">
        <v>2628</v>
      </c>
      <c r="C2873" s="1">
        <v>372</v>
      </c>
      <c r="D2873" s="1" t="s">
        <v>119</v>
      </c>
      <c r="E2873" s="1" t="s">
        <v>6</v>
      </c>
      <c r="F2873" s="1" t="s">
        <v>5091</v>
      </c>
      <c r="G2873" s="14" t="s">
        <v>6145</v>
      </c>
      <c r="H2873" s="1" t="s">
        <v>43</v>
      </c>
      <c r="I2873" s="1" t="s">
        <v>5807</v>
      </c>
    </row>
    <row r="2874" spans="1:10">
      <c r="A2874" s="7" t="s">
        <v>16033</v>
      </c>
      <c r="B2874" s="2" t="s">
        <v>2628</v>
      </c>
      <c r="C2874" s="1">
        <v>372</v>
      </c>
      <c r="D2874" s="1" t="s">
        <v>119</v>
      </c>
      <c r="E2874" s="1" t="s">
        <v>6</v>
      </c>
      <c r="F2874" s="1" t="s">
        <v>5091</v>
      </c>
      <c r="G2874" s="14" t="s">
        <v>6145</v>
      </c>
      <c r="H2874" s="1" t="s">
        <v>43</v>
      </c>
      <c r="I2874" s="1" t="s">
        <v>5807</v>
      </c>
    </row>
    <row r="2875" spans="1:10">
      <c r="A2875" s="7" t="s">
        <v>16034</v>
      </c>
      <c r="B2875" s="2" t="s">
        <v>2628</v>
      </c>
      <c r="C2875" s="1">
        <v>372</v>
      </c>
      <c r="D2875" s="1" t="s">
        <v>119</v>
      </c>
      <c r="E2875" s="1" t="s">
        <v>6</v>
      </c>
      <c r="F2875" s="1" t="s">
        <v>5091</v>
      </c>
      <c r="G2875" s="14" t="s">
        <v>6145</v>
      </c>
      <c r="H2875" s="1" t="s">
        <v>43</v>
      </c>
      <c r="I2875" s="1" t="s">
        <v>5807</v>
      </c>
    </row>
    <row r="2876" spans="1:10">
      <c r="A2876" s="7" t="s">
        <v>16035</v>
      </c>
      <c r="B2876" s="2" t="s">
        <v>2628</v>
      </c>
      <c r="C2876" s="1">
        <v>372</v>
      </c>
      <c r="D2876" s="1" t="s">
        <v>119</v>
      </c>
      <c r="E2876" s="1" t="s">
        <v>6</v>
      </c>
      <c r="F2876" s="1" t="s">
        <v>5091</v>
      </c>
      <c r="G2876" s="14" t="s">
        <v>6145</v>
      </c>
      <c r="H2876" s="1" t="s">
        <v>43</v>
      </c>
      <c r="I2876" s="1" t="s">
        <v>5807</v>
      </c>
    </row>
    <row r="2877" spans="1:10">
      <c r="A2877" s="7" t="s">
        <v>16036</v>
      </c>
      <c r="B2877" s="2" t="s">
        <v>2628</v>
      </c>
      <c r="C2877" s="1">
        <v>372</v>
      </c>
      <c r="D2877" s="1" t="s">
        <v>119</v>
      </c>
      <c r="E2877" s="1" t="s">
        <v>6</v>
      </c>
      <c r="F2877" s="1" t="s">
        <v>5091</v>
      </c>
      <c r="G2877" s="14" t="s">
        <v>6145</v>
      </c>
      <c r="H2877" s="1" t="s">
        <v>43</v>
      </c>
      <c r="I2877" s="1" t="s">
        <v>5807</v>
      </c>
    </row>
    <row r="2878" spans="1:10">
      <c r="A2878" s="7" t="s">
        <v>16039</v>
      </c>
      <c r="B2878" s="2" t="s">
        <v>2628</v>
      </c>
      <c r="C2878" s="1">
        <v>372</v>
      </c>
      <c r="D2878" s="1" t="s">
        <v>119</v>
      </c>
      <c r="E2878" s="1" t="s">
        <v>6</v>
      </c>
      <c r="F2878" s="1" t="s">
        <v>5091</v>
      </c>
      <c r="G2878" s="14" t="s">
        <v>6145</v>
      </c>
      <c r="H2878" s="1" t="s">
        <v>43</v>
      </c>
      <c r="I2878" s="1" t="s">
        <v>5807</v>
      </c>
    </row>
    <row r="2879" spans="1:10">
      <c r="A2879" s="7" t="s">
        <v>16045</v>
      </c>
      <c r="B2879" s="2" t="s">
        <v>2628</v>
      </c>
      <c r="C2879" s="1">
        <v>155</v>
      </c>
      <c r="D2879" s="1" t="s">
        <v>119</v>
      </c>
      <c r="E2879" s="1" t="s">
        <v>6</v>
      </c>
      <c r="F2879" s="1" t="s">
        <v>5091</v>
      </c>
      <c r="G2879" s="14" t="s">
        <v>6186</v>
      </c>
      <c r="H2879" s="1" t="s">
        <v>5</v>
      </c>
      <c r="I2879" s="1" t="s">
        <v>5807</v>
      </c>
      <c r="J2879" s="17"/>
    </row>
    <row r="2880" spans="1:10">
      <c r="A2880" s="7" t="s">
        <v>16111</v>
      </c>
      <c r="B2880" s="2" t="s">
        <v>2628</v>
      </c>
      <c r="C2880" s="1">
        <v>155</v>
      </c>
      <c r="D2880" s="1" t="s">
        <v>119</v>
      </c>
      <c r="E2880" s="1" t="s">
        <v>6</v>
      </c>
      <c r="F2880" s="1" t="s">
        <v>5091</v>
      </c>
      <c r="G2880" s="14" t="s">
        <v>16112</v>
      </c>
      <c r="H2880" s="1" t="s">
        <v>5</v>
      </c>
      <c r="I2880" s="1">
        <v>1998</v>
      </c>
    </row>
    <row r="2881" spans="1:10">
      <c r="A2881" s="7" t="s">
        <v>16144</v>
      </c>
      <c r="B2881" s="2" t="s">
        <v>2628</v>
      </c>
      <c r="C2881" s="1">
        <v>372</v>
      </c>
      <c r="D2881" s="1" t="s">
        <v>119</v>
      </c>
      <c r="E2881" s="1" t="s">
        <v>6</v>
      </c>
      <c r="F2881" s="1" t="s">
        <v>5091</v>
      </c>
      <c r="G2881" s="14" t="s">
        <v>6699</v>
      </c>
      <c r="H2881" s="1" t="s">
        <v>44</v>
      </c>
      <c r="I2881" s="17">
        <v>43502</v>
      </c>
    </row>
    <row r="2882" spans="1:10">
      <c r="A2882" s="7" t="s">
        <v>16145</v>
      </c>
      <c r="B2882" s="2" t="s">
        <v>2628</v>
      </c>
      <c r="C2882" s="1">
        <v>372</v>
      </c>
      <c r="D2882" s="1" t="s">
        <v>119</v>
      </c>
      <c r="E2882" s="1" t="s">
        <v>6</v>
      </c>
      <c r="F2882" s="1" t="s">
        <v>5091</v>
      </c>
      <c r="G2882" s="14" t="s">
        <v>6699</v>
      </c>
      <c r="H2882" s="1" t="s">
        <v>44</v>
      </c>
      <c r="I2882" s="17">
        <v>43502</v>
      </c>
    </row>
    <row r="2883" spans="1:10">
      <c r="A2883" s="7" t="s">
        <v>16189</v>
      </c>
      <c r="B2883" s="2" t="s">
        <v>2628</v>
      </c>
      <c r="C2883" s="1">
        <v>155</v>
      </c>
      <c r="D2883" s="1" t="s">
        <v>119</v>
      </c>
      <c r="E2883" s="1" t="s">
        <v>6</v>
      </c>
      <c r="F2883" s="1" t="s">
        <v>5091</v>
      </c>
      <c r="G2883" s="14" t="s">
        <v>6186</v>
      </c>
      <c r="H2883" s="1" t="s">
        <v>5</v>
      </c>
      <c r="I2883" s="1" t="s">
        <v>5807</v>
      </c>
      <c r="J2883" s="17"/>
    </row>
    <row r="2884" spans="1:10">
      <c r="A2884" s="7" t="s">
        <v>16205</v>
      </c>
      <c r="B2884" s="2" t="s">
        <v>2628</v>
      </c>
      <c r="C2884" s="1">
        <v>372</v>
      </c>
      <c r="D2884" s="1" t="s">
        <v>119</v>
      </c>
      <c r="E2884" s="1" t="s">
        <v>6</v>
      </c>
      <c r="F2884" s="1" t="s">
        <v>5091</v>
      </c>
      <c r="G2884" s="14" t="s">
        <v>16206</v>
      </c>
      <c r="H2884" s="1" t="s">
        <v>5</v>
      </c>
      <c r="I2884" s="1" t="s">
        <v>5807</v>
      </c>
      <c r="J2884" s="17"/>
    </row>
    <row r="2885" spans="1:10">
      <c r="A2885" s="7" t="s">
        <v>16220</v>
      </c>
      <c r="B2885" s="2" t="s">
        <v>2628</v>
      </c>
      <c r="C2885" s="1">
        <v>155</v>
      </c>
      <c r="D2885" s="1" t="s">
        <v>119</v>
      </c>
      <c r="E2885" s="1" t="s">
        <v>6</v>
      </c>
      <c r="F2885" s="1" t="s">
        <v>5091</v>
      </c>
      <c r="G2885" s="22" t="s">
        <v>6181</v>
      </c>
      <c r="H2885" s="2" t="s">
        <v>118</v>
      </c>
      <c r="I2885" s="1" t="s">
        <v>4458</v>
      </c>
    </row>
    <row r="2886" spans="1:10">
      <c r="A2886" s="7" t="s">
        <v>16297</v>
      </c>
      <c r="B2886" s="2" t="s">
        <v>2628</v>
      </c>
      <c r="C2886" s="1">
        <v>372</v>
      </c>
      <c r="D2886" s="1" t="s">
        <v>119</v>
      </c>
      <c r="E2886" s="1" t="s">
        <v>6</v>
      </c>
      <c r="F2886" s="1" t="s">
        <v>5091</v>
      </c>
      <c r="G2886" s="14" t="s">
        <v>16298</v>
      </c>
      <c r="H2886" s="1" t="s">
        <v>5</v>
      </c>
      <c r="I2886" s="1" t="s">
        <v>5807</v>
      </c>
      <c r="J2886" s="17"/>
    </row>
    <row r="2887" spans="1:10">
      <c r="A2887" s="7" t="s">
        <v>16362</v>
      </c>
      <c r="B2887" s="1" t="s">
        <v>2628</v>
      </c>
      <c r="C2887" s="1">
        <v>155</v>
      </c>
      <c r="D2887" s="1" t="s">
        <v>119</v>
      </c>
      <c r="E2887" s="1" t="s">
        <v>6</v>
      </c>
      <c r="F2887" s="1" t="s">
        <v>5091</v>
      </c>
      <c r="G2887" s="1" t="s">
        <v>10705</v>
      </c>
      <c r="H2887" s="1" t="s">
        <v>44</v>
      </c>
      <c r="I2887" s="1" t="s">
        <v>5848</v>
      </c>
    </row>
    <row r="2888" spans="1:10">
      <c r="A2888" s="7" t="s">
        <v>16363</v>
      </c>
      <c r="B2888" s="1" t="s">
        <v>2628</v>
      </c>
      <c r="C2888" s="1">
        <v>155</v>
      </c>
      <c r="D2888" s="1" t="s">
        <v>119</v>
      </c>
      <c r="E2888" s="1" t="s">
        <v>6</v>
      </c>
      <c r="F2888" s="1" t="s">
        <v>5091</v>
      </c>
      <c r="G2888" s="1" t="s">
        <v>10705</v>
      </c>
      <c r="H2888" s="1" t="s">
        <v>44</v>
      </c>
      <c r="I2888" s="1" t="s">
        <v>5848</v>
      </c>
    </row>
    <row r="2889" spans="1:10">
      <c r="A2889" s="7" t="s">
        <v>16365</v>
      </c>
      <c r="B2889" s="1" t="s">
        <v>2628</v>
      </c>
      <c r="C2889" s="1">
        <v>155</v>
      </c>
      <c r="D2889" s="1" t="s">
        <v>119</v>
      </c>
      <c r="E2889" s="1" t="s">
        <v>6</v>
      </c>
      <c r="F2889" s="1" t="s">
        <v>5091</v>
      </c>
      <c r="G2889" s="1" t="s">
        <v>10705</v>
      </c>
      <c r="H2889" s="1" t="s">
        <v>44</v>
      </c>
      <c r="I2889" s="1" t="s">
        <v>5848</v>
      </c>
    </row>
    <row r="2890" spans="1:10">
      <c r="A2890" s="7" t="s">
        <v>16367</v>
      </c>
      <c r="B2890" s="1" t="s">
        <v>2628</v>
      </c>
      <c r="C2890" s="1">
        <v>155</v>
      </c>
      <c r="D2890" s="1" t="s">
        <v>119</v>
      </c>
      <c r="E2890" s="1" t="s">
        <v>6</v>
      </c>
      <c r="F2890" s="1" t="s">
        <v>5091</v>
      </c>
      <c r="G2890" s="1" t="s">
        <v>10705</v>
      </c>
      <c r="H2890" s="1" t="s">
        <v>44</v>
      </c>
      <c r="I2890" s="1" t="s">
        <v>5848</v>
      </c>
    </row>
    <row r="2891" spans="1:10">
      <c r="A2891" s="7" t="s">
        <v>16389</v>
      </c>
      <c r="B2891" s="1" t="s">
        <v>2628</v>
      </c>
      <c r="C2891" s="1">
        <v>155</v>
      </c>
      <c r="D2891" s="1" t="s">
        <v>119</v>
      </c>
      <c r="E2891" s="1" t="s">
        <v>6</v>
      </c>
      <c r="F2891" s="1" t="s">
        <v>5091</v>
      </c>
      <c r="G2891" s="1" t="s">
        <v>10705</v>
      </c>
      <c r="H2891" s="1" t="s">
        <v>44</v>
      </c>
      <c r="I2891" s="1" t="s">
        <v>5848</v>
      </c>
    </row>
    <row r="2892" spans="1:10">
      <c r="A2892" s="7" t="s">
        <v>16466</v>
      </c>
      <c r="B2892" s="1" t="s">
        <v>2628</v>
      </c>
      <c r="C2892" s="1">
        <v>155</v>
      </c>
      <c r="D2892" s="1" t="s">
        <v>119</v>
      </c>
      <c r="E2892" s="1" t="s">
        <v>6</v>
      </c>
      <c r="F2892" s="1" t="s">
        <v>5091</v>
      </c>
      <c r="G2892" s="1" t="s">
        <v>10705</v>
      </c>
      <c r="H2892" s="1" t="s">
        <v>44</v>
      </c>
      <c r="I2892" s="1" t="s">
        <v>5848</v>
      </c>
    </row>
    <row r="2893" spans="1:10">
      <c r="A2893" s="7" t="s">
        <v>16485</v>
      </c>
      <c r="B2893" s="1" t="s">
        <v>2628</v>
      </c>
      <c r="C2893" s="1">
        <v>155</v>
      </c>
      <c r="D2893" s="1" t="s">
        <v>119</v>
      </c>
      <c r="E2893" s="1" t="s">
        <v>6</v>
      </c>
      <c r="F2893" s="1" t="s">
        <v>5091</v>
      </c>
      <c r="G2893" s="1" t="s">
        <v>10705</v>
      </c>
      <c r="H2893" s="1" t="s">
        <v>44</v>
      </c>
      <c r="I2893" s="1" t="s">
        <v>5848</v>
      </c>
    </row>
    <row r="2894" spans="1:10">
      <c r="A2894" s="7" t="s">
        <v>16486</v>
      </c>
      <c r="B2894" s="1" t="s">
        <v>2628</v>
      </c>
      <c r="C2894" s="1">
        <v>155</v>
      </c>
      <c r="D2894" s="1" t="s">
        <v>119</v>
      </c>
      <c r="E2894" s="1" t="s">
        <v>6</v>
      </c>
      <c r="F2894" s="1" t="s">
        <v>5091</v>
      </c>
      <c r="G2894" s="1" t="s">
        <v>10705</v>
      </c>
      <c r="H2894" s="1" t="s">
        <v>44</v>
      </c>
      <c r="I2894" s="1" t="s">
        <v>5848</v>
      </c>
    </row>
    <row r="2895" spans="1:10">
      <c r="A2895" s="7" t="s">
        <v>16488</v>
      </c>
      <c r="B2895" s="1" t="s">
        <v>2628</v>
      </c>
      <c r="C2895" s="1">
        <v>155</v>
      </c>
      <c r="D2895" s="1" t="s">
        <v>119</v>
      </c>
      <c r="E2895" s="1" t="s">
        <v>6</v>
      </c>
      <c r="F2895" s="1" t="s">
        <v>5091</v>
      </c>
      <c r="G2895" s="1" t="s">
        <v>10705</v>
      </c>
      <c r="H2895" s="1" t="s">
        <v>44</v>
      </c>
      <c r="I2895" s="1" t="s">
        <v>5848</v>
      </c>
    </row>
    <row r="2896" spans="1:10">
      <c r="A2896" s="7" t="s">
        <v>16506</v>
      </c>
      <c r="B2896" s="2" t="s">
        <v>2628</v>
      </c>
      <c r="C2896" s="1">
        <v>155</v>
      </c>
      <c r="D2896" s="1" t="s">
        <v>119</v>
      </c>
      <c r="E2896" s="1" t="s">
        <v>6</v>
      </c>
      <c r="F2896" s="1" t="s">
        <v>5091</v>
      </c>
      <c r="G2896" s="14" t="s">
        <v>16507</v>
      </c>
      <c r="H2896" s="1" t="s">
        <v>43</v>
      </c>
      <c r="I2896" s="1" t="s">
        <v>5722</v>
      </c>
    </row>
    <row r="2897" spans="1:10">
      <c r="A2897" s="7" t="s">
        <v>16530</v>
      </c>
      <c r="B2897" s="2" t="s">
        <v>2628</v>
      </c>
      <c r="C2897" s="1">
        <v>155</v>
      </c>
      <c r="D2897" s="1" t="s">
        <v>119</v>
      </c>
      <c r="E2897" s="1" t="s">
        <v>6</v>
      </c>
      <c r="F2897" s="1" t="s">
        <v>5091</v>
      </c>
      <c r="G2897" s="22" t="s">
        <v>6181</v>
      </c>
      <c r="H2897" s="2" t="s">
        <v>118</v>
      </c>
      <c r="I2897" s="1" t="s">
        <v>4458</v>
      </c>
    </row>
    <row r="2898" spans="1:10">
      <c r="A2898" s="7" t="s">
        <v>16547</v>
      </c>
      <c r="B2898" s="2" t="s">
        <v>2628</v>
      </c>
      <c r="C2898" s="1">
        <v>155</v>
      </c>
      <c r="D2898" s="1" t="s">
        <v>119</v>
      </c>
      <c r="E2898" s="1" t="s">
        <v>6</v>
      </c>
      <c r="F2898" s="1" t="s">
        <v>5091</v>
      </c>
      <c r="G2898" s="14" t="s">
        <v>16548</v>
      </c>
      <c r="H2898" s="1" t="s">
        <v>43</v>
      </c>
      <c r="I2898" s="1" t="s">
        <v>5722</v>
      </c>
    </row>
    <row r="2899" spans="1:10">
      <c r="A2899" s="7" t="s">
        <v>16585</v>
      </c>
      <c r="B2899" s="2" t="s">
        <v>2628</v>
      </c>
      <c r="C2899" s="1">
        <v>155</v>
      </c>
      <c r="D2899" s="1" t="s">
        <v>119</v>
      </c>
      <c r="E2899" s="1" t="s">
        <v>6</v>
      </c>
      <c r="F2899" s="1" t="s">
        <v>5091</v>
      </c>
      <c r="G2899" s="14" t="s">
        <v>9237</v>
      </c>
      <c r="H2899" s="1" t="s">
        <v>5</v>
      </c>
      <c r="I2899" s="1" t="s">
        <v>5807</v>
      </c>
      <c r="J2899" s="17"/>
    </row>
    <row r="2900" spans="1:10">
      <c r="A2900" s="7" t="s">
        <v>16726</v>
      </c>
      <c r="B2900" s="2" t="s">
        <v>2628</v>
      </c>
      <c r="C2900" s="1">
        <v>372</v>
      </c>
      <c r="D2900" s="1" t="s">
        <v>119</v>
      </c>
      <c r="E2900" s="1" t="s">
        <v>6</v>
      </c>
      <c r="F2900" s="1" t="s">
        <v>5091</v>
      </c>
      <c r="G2900" s="14" t="s">
        <v>6145</v>
      </c>
      <c r="H2900" s="1" t="s">
        <v>43</v>
      </c>
      <c r="I2900" s="1" t="s">
        <v>5807</v>
      </c>
    </row>
    <row r="2901" spans="1:10">
      <c r="A2901" s="7" t="s">
        <v>16751</v>
      </c>
      <c r="B2901" s="2" t="s">
        <v>2628</v>
      </c>
      <c r="C2901" s="1">
        <v>372</v>
      </c>
      <c r="D2901" s="1" t="s">
        <v>119</v>
      </c>
      <c r="E2901" s="1" t="s">
        <v>6</v>
      </c>
      <c r="F2901" s="1" t="s">
        <v>5091</v>
      </c>
      <c r="G2901" s="14" t="s">
        <v>6145</v>
      </c>
      <c r="H2901" s="1" t="s">
        <v>43</v>
      </c>
      <c r="I2901" s="1" t="s">
        <v>5807</v>
      </c>
    </row>
    <row r="2902" spans="1:10">
      <c r="A2902" s="7" t="s">
        <v>16772</v>
      </c>
      <c r="B2902" s="2" t="s">
        <v>2628</v>
      </c>
      <c r="C2902" s="1">
        <v>155</v>
      </c>
      <c r="D2902" s="1" t="s">
        <v>119</v>
      </c>
      <c r="E2902" s="1" t="s">
        <v>6</v>
      </c>
      <c r="F2902" s="1" t="s">
        <v>5091</v>
      </c>
      <c r="G2902" s="14" t="s">
        <v>6186</v>
      </c>
      <c r="H2902" s="1" t="s">
        <v>5</v>
      </c>
      <c r="I2902" s="1" t="s">
        <v>5807</v>
      </c>
      <c r="J2902" s="17"/>
    </row>
    <row r="2903" spans="1:10">
      <c r="A2903" s="7" t="s">
        <v>16827</v>
      </c>
      <c r="B2903" s="2" t="s">
        <v>2628</v>
      </c>
      <c r="C2903" s="1">
        <v>155</v>
      </c>
      <c r="D2903" s="1" t="s">
        <v>119</v>
      </c>
      <c r="E2903" s="1" t="s">
        <v>6</v>
      </c>
      <c r="F2903" s="1" t="s">
        <v>5091</v>
      </c>
      <c r="G2903" s="14" t="s">
        <v>6139</v>
      </c>
      <c r="H2903" s="1" t="s">
        <v>43</v>
      </c>
      <c r="I2903" s="1" t="s">
        <v>5807</v>
      </c>
    </row>
    <row r="2904" spans="1:10">
      <c r="A2904" s="7" t="s">
        <v>16830</v>
      </c>
      <c r="B2904" s="2" t="s">
        <v>2628</v>
      </c>
      <c r="C2904" s="1">
        <v>155</v>
      </c>
      <c r="D2904" s="1" t="s">
        <v>119</v>
      </c>
      <c r="E2904" s="1" t="s">
        <v>6</v>
      </c>
      <c r="F2904" s="1" t="s">
        <v>5091</v>
      </c>
      <c r="G2904" s="14" t="s">
        <v>6139</v>
      </c>
      <c r="H2904" s="1" t="s">
        <v>43</v>
      </c>
      <c r="I2904" s="1" t="s">
        <v>5807</v>
      </c>
    </row>
    <row r="2905" spans="1:10">
      <c r="A2905" s="7" t="s">
        <v>16831</v>
      </c>
      <c r="B2905" s="2" t="s">
        <v>2628</v>
      </c>
      <c r="C2905" s="1">
        <v>155</v>
      </c>
      <c r="D2905" s="1" t="s">
        <v>119</v>
      </c>
      <c r="E2905" s="1" t="s">
        <v>6</v>
      </c>
      <c r="F2905" s="1" t="s">
        <v>5091</v>
      </c>
      <c r="G2905" s="14" t="s">
        <v>6139</v>
      </c>
      <c r="H2905" s="1" t="s">
        <v>43</v>
      </c>
      <c r="I2905" s="1" t="s">
        <v>5807</v>
      </c>
    </row>
    <row r="2906" spans="1:10">
      <c r="A2906" s="7" t="s">
        <v>16837</v>
      </c>
      <c r="B2906" s="2" t="s">
        <v>2628</v>
      </c>
      <c r="C2906" s="1">
        <v>155</v>
      </c>
      <c r="D2906" s="1" t="s">
        <v>119</v>
      </c>
      <c r="E2906" s="1" t="s">
        <v>6</v>
      </c>
      <c r="F2906" s="1" t="s">
        <v>5091</v>
      </c>
      <c r="G2906" s="14" t="s">
        <v>6139</v>
      </c>
      <c r="H2906" s="1" t="s">
        <v>43</v>
      </c>
      <c r="I2906" s="1" t="s">
        <v>5807</v>
      </c>
    </row>
    <row r="2907" spans="1:10">
      <c r="A2907" s="7" t="s">
        <v>16838</v>
      </c>
      <c r="B2907" s="2" t="s">
        <v>2628</v>
      </c>
      <c r="C2907" s="1">
        <v>155</v>
      </c>
      <c r="D2907" s="1" t="s">
        <v>119</v>
      </c>
      <c r="E2907" s="1" t="s">
        <v>6</v>
      </c>
      <c r="F2907" s="1" t="s">
        <v>5091</v>
      </c>
      <c r="G2907" s="14" t="s">
        <v>6139</v>
      </c>
      <c r="H2907" s="1" t="s">
        <v>43</v>
      </c>
      <c r="I2907" s="1" t="s">
        <v>5807</v>
      </c>
    </row>
    <row r="2908" spans="1:10">
      <c r="A2908" s="7" t="s">
        <v>16840</v>
      </c>
      <c r="B2908" s="2" t="s">
        <v>2628</v>
      </c>
      <c r="C2908" s="1">
        <v>155</v>
      </c>
      <c r="D2908" s="1" t="s">
        <v>119</v>
      </c>
      <c r="E2908" s="1" t="s">
        <v>6</v>
      </c>
      <c r="F2908" s="1" t="s">
        <v>5091</v>
      </c>
      <c r="G2908" s="14" t="s">
        <v>6139</v>
      </c>
      <c r="H2908" s="1" t="s">
        <v>43</v>
      </c>
      <c r="I2908" s="1" t="s">
        <v>5807</v>
      </c>
    </row>
    <row r="2909" spans="1:10">
      <c r="A2909" s="7" t="s">
        <v>16843</v>
      </c>
      <c r="B2909" s="2" t="s">
        <v>2628</v>
      </c>
      <c r="C2909" s="1">
        <v>155</v>
      </c>
      <c r="D2909" s="1" t="s">
        <v>119</v>
      </c>
      <c r="E2909" s="1" t="s">
        <v>6</v>
      </c>
      <c r="F2909" s="1" t="s">
        <v>5091</v>
      </c>
      <c r="G2909" s="14" t="s">
        <v>6139</v>
      </c>
      <c r="H2909" s="1" t="s">
        <v>43</v>
      </c>
      <c r="I2909" s="1" t="s">
        <v>5807</v>
      </c>
    </row>
    <row r="2910" spans="1:10">
      <c r="A2910" s="7" t="s">
        <v>16846</v>
      </c>
      <c r="B2910" s="2" t="s">
        <v>2628</v>
      </c>
      <c r="C2910" s="1">
        <v>372</v>
      </c>
      <c r="D2910" s="1" t="s">
        <v>119</v>
      </c>
      <c r="E2910" s="1" t="s">
        <v>6</v>
      </c>
      <c r="F2910" s="1" t="s">
        <v>5091</v>
      </c>
      <c r="G2910" s="14" t="s">
        <v>6152</v>
      </c>
      <c r="H2910" s="1" t="s">
        <v>5</v>
      </c>
      <c r="I2910" s="1" t="s">
        <v>5807</v>
      </c>
    </row>
    <row r="2911" spans="1:10">
      <c r="A2911" s="7" t="s">
        <v>16847</v>
      </c>
      <c r="B2911" s="2" t="s">
        <v>2628</v>
      </c>
      <c r="C2911" s="1">
        <v>372</v>
      </c>
      <c r="D2911" s="1" t="s">
        <v>119</v>
      </c>
      <c r="E2911" s="1" t="s">
        <v>6</v>
      </c>
      <c r="F2911" s="1" t="s">
        <v>5091</v>
      </c>
      <c r="G2911" s="14" t="s">
        <v>6152</v>
      </c>
      <c r="H2911" s="1" t="s">
        <v>5</v>
      </c>
      <c r="I2911" s="1" t="s">
        <v>5807</v>
      </c>
    </row>
    <row r="2912" spans="1:10">
      <c r="A2912" s="7" t="s">
        <v>7218</v>
      </c>
      <c r="B2912" s="1" t="s">
        <v>2631</v>
      </c>
      <c r="C2912" s="1">
        <v>18</v>
      </c>
      <c r="D2912" s="1" t="s">
        <v>401</v>
      </c>
      <c r="E2912" s="1" t="s">
        <v>6</v>
      </c>
      <c r="F2912" s="1" t="s">
        <v>5241</v>
      </c>
      <c r="G2912" s="1" t="s">
        <v>6307</v>
      </c>
      <c r="H2912" s="1" t="s">
        <v>44</v>
      </c>
      <c r="I2912" s="1" t="s">
        <v>6090</v>
      </c>
    </row>
    <row r="2913" spans="1:10">
      <c r="A2913" s="7" t="s">
        <v>7833</v>
      </c>
      <c r="B2913" s="1" t="s">
        <v>2629</v>
      </c>
      <c r="C2913" s="1">
        <v>18</v>
      </c>
      <c r="D2913" s="1" t="s">
        <v>401</v>
      </c>
      <c r="E2913" s="1" t="s">
        <v>6</v>
      </c>
      <c r="F2913" s="1" t="s">
        <v>5241</v>
      </c>
      <c r="G2913" s="1" t="s">
        <v>4803</v>
      </c>
      <c r="H2913" s="1" t="s">
        <v>5</v>
      </c>
      <c r="I2913" s="1" t="s">
        <v>5483</v>
      </c>
      <c r="J2913" s="17"/>
    </row>
    <row r="2914" spans="1:10">
      <c r="A2914" s="7" t="s">
        <v>7836</v>
      </c>
      <c r="B2914" s="1" t="s">
        <v>2629</v>
      </c>
      <c r="C2914" s="1">
        <v>18</v>
      </c>
      <c r="D2914" s="1" t="s">
        <v>401</v>
      </c>
      <c r="E2914" s="1" t="s">
        <v>6</v>
      </c>
      <c r="F2914" s="1" t="s">
        <v>5241</v>
      </c>
      <c r="G2914" s="1" t="s">
        <v>4803</v>
      </c>
      <c r="H2914" s="1" t="s">
        <v>5</v>
      </c>
      <c r="I2914" s="1" t="s">
        <v>5483</v>
      </c>
      <c r="J2914" s="17"/>
    </row>
    <row r="2915" spans="1:10">
      <c r="A2915" s="7" t="s">
        <v>11493</v>
      </c>
      <c r="B2915" s="1" t="s">
        <v>2629</v>
      </c>
      <c r="C2915" s="1">
        <v>18</v>
      </c>
      <c r="D2915" s="1" t="s">
        <v>401</v>
      </c>
      <c r="E2915" s="1" t="s">
        <v>6</v>
      </c>
      <c r="F2915" s="1" t="s">
        <v>5241</v>
      </c>
      <c r="G2915" s="1" t="s">
        <v>4800</v>
      </c>
      <c r="H2915" s="1" t="s">
        <v>27</v>
      </c>
      <c r="I2915" s="17">
        <v>41306</v>
      </c>
    </row>
    <row r="2916" spans="1:10">
      <c r="A2916" s="7" t="s">
        <v>14123</v>
      </c>
      <c r="B2916" s="1" t="s">
        <v>2629</v>
      </c>
      <c r="C2916" s="1">
        <v>18</v>
      </c>
      <c r="D2916" s="1" t="s">
        <v>401</v>
      </c>
      <c r="E2916" s="1" t="s">
        <v>6</v>
      </c>
      <c r="F2916" s="1" t="s">
        <v>5091</v>
      </c>
      <c r="G2916" s="1" t="s">
        <v>5853</v>
      </c>
      <c r="H2916" s="1" t="s">
        <v>27</v>
      </c>
      <c r="I2916" s="17">
        <v>43132</v>
      </c>
    </row>
    <row r="2917" spans="1:10">
      <c r="A2917" s="7" t="s">
        <v>5407</v>
      </c>
      <c r="B2917" s="1" t="s">
        <v>2629</v>
      </c>
      <c r="C2917" s="1">
        <v>19</v>
      </c>
      <c r="D2917" s="1" t="s">
        <v>888</v>
      </c>
      <c r="E2917" s="1" t="s">
        <v>6</v>
      </c>
      <c r="F2917" s="1" t="s">
        <v>406</v>
      </c>
      <c r="G2917" s="1" t="s">
        <v>4800</v>
      </c>
      <c r="H2917" s="1" t="s">
        <v>27</v>
      </c>
      <c r="I2917" s="17">
        <v>41440</v>
      </c>
    </row>
    <row r="2918" spans="1:10">
      <c r="A2918" s="16" t="s">
        <v>8663</v>
      </c>
      <c r="B2918" s="1" t="s">
        <v>2628</v>
      </c>
      <c r="C2918" s="1">
        <v>796</v>
      </c>
      <c r="D2918" s="1" t="s">
        <v>107</v>
      </c>
      <c r="E2918" s="1" t="s">
        <v>6</v>
      </c>
      <c r="F2918" s="1" t="s">
        <v>5091</v>
      </c>
      <c r="G2918" s="14" t="s">
        <v>6145</v>
      </c>
      <c r="H2918" s="1" t="s">
        <v>43</v>
      </c>
      <c r="I2918" s="17">
        <v>41934</v>
      </c>
    </row>
    <row r="2919" spans="1:10">
      <c r="A2919" s="16" t="s">
        <v>8666</v>
      </c>
      <c r="B2919" s="1" t="s">
        <v>2628</v>
      </c>
      <c r="C2919" s="1">
        <v>796</v>
      </c>
      <c r="D2919" s="1" t="s">
        <v>107</v>
      </c>
      <c r="E2919" s="1" t="s">
        <v>6</v>
      </c>
      <c r="F2919" s="1" t="s">
        <v>5091</v>
      </c>
      <c r="G2919" s="14" t="s">
        <v>6145</v>
      </c>
      <c r="H2919" s="1" t="s">
        <v>43</v>
      </c>
      <c r="I2919" s="17">
        <v>41933</v>
      </c>
    </row>
    <row r="2920" spans="1:10">
      <c r="A2920" s="16" t="s">
        <v>10526</v>
      </c>
      <c r="B2920" s="1" t="s">
        <v>2628</v>
      </c>
      <c r="C2920" s="1">
        <v>195</v>
      </c>
      <c r="D2920" s="1" t="s">
        <v>1192</v>
      </c>
      <c r="E2920" s="1" t="s">
        <v>10</v>
      </c>
      <c r="F2920" s="1" t="s">
        <v>5091</v>
      </c>
      <c r="G2920" s="14" t="s">
        <v>10527</v>
      </c>
      <c r="H2920" s="1" t="s">
        <v>5</v>
      </c>
      <c r="I2920" s="17">
        <v>41710</v>
      </c>
    </row>
    <row r="2921" spans="1:10">
      <c r="A2921" s="7" t="s">
        <v>6927</v>
      </c>
      <c r="B2921" s="1" t="s">
        <v>2628</v>
      </c>
      <c r="C2921" s="1">
        <v>199</v>
      </c>
      <c r="D2921" s="1" t="s">
        <v>578</v>
      </c>
      <c r="E2921" s="1" t="s">
        <v>6</v>
      </c>
      <c r="F2921" s="1" t="s">
        <v>5241</v>
      </c>
      <c r="G2921" s="1" t="s">
        <v>4800</v>
      </c>
      <c r="H2921" s="1" t="s">
        <v>27</v>
      </c>
      <c r="I2921" s="1" t="s">
        <v>5722</v>
      </c>
    </row>
    <row r="2922" spans="1:10">
      <c r="A2922" s="16" t="s">
        <v>7391</v>
      </c>
      <c r="B2922" s="1" t="s">
        <v>2628</v>
      </c>
      <c r="C2922" s="1">
        <v>199</v>
      </c>
      <c r="D2922" s="1" t="s">
        <v>578</v>
      </c>
      <c r="E2922" s="1" t="s">
        <v>6</v>
      </c>
      <c r="F2922" s="1" t="s">
        <v>5091</v>
      </c>
      <c r="G2922" s="14" t="s">
        <v>5853</v>
      </c>
      <c r="H2922" s="1" t="s">
        <v>27</v>
      </c>
      <c r="I2922" s="17">
        <v>41694</v>
      </c>
    </row>
    <row r="2923" spans="1:10">
      <c r="A2923" s="16" t="s">
        <v>9538</v>
      </c>
      <c r="B2923" s="1" t="s">
        <v>2628</v>
      </c>
      <c r="C2923" s="1">
        <v>199</v>
      </c>
      <c r="D2923" s="1" t="s">
        <v>578</v>
      </c>
      <c r="E2923" s="1" t="s">
        <v>6</v>
      </c>
      <c r="F2923" s="1" t="s">
        <v>5091</v>
      </c>
      <c r="G2923" s="14" t="s">
        <v>5853</v>
      </c>
      <c r="H2923" s="1" t="s">
        <v>27</v>
      </c>
      <c r="I2923" s="17">
        <v>42248</v>
      </c>
    </row>
    <row r="2924" spans="1:10">
      <c r="A2924" s="16" t="s">
        <v>11029</v>
      </c>
      <c r="B2924" s="1" t="s">
        <v>2628</v>
      </c>
      <c r="C2924" s="1">
        <v>199</v>
      </c>
      <c r="D2924" s="1" t="s">
        <v>578</v>
      </c>
      <c r="E2924" s="1" t="s">
        <v>6</v>
      </c>
      <c r="F2924" s="1" t="s">
        <v>5091</v>
      </c>
      <c r="G2924" s="14" t="s">
        <v>5853</v>
      </c>
      <c r="H2924" s="1" t="s">
        <v>27</v>
      </c>
      <c r="I2924" s="17">
        <v>42430</v>
      </c>
    </row>
    <row r="2925" spans="1:10">
      <c r="A2925" s="16" t="s">
        <v>14578</v>
      </c>
      <c r="B2925" s="1" t="s">
        <v>2628</v>
      </c>
      <c r="C2925" s="1">
        <v>199</v>
      </c>
      <c r="D2925" s="1" t="s">
        <v>578</v>
      </c>
      <c r="E2925" s="1" t="s">
        <v>6</v>
      </c>
      <c r="F2925" s="1" t="s">
        <v>5091</v>
      </c>
      <c r="G2925" s="14" t="s">
        <v>5853</v>
      </c>
      <c r="H2925" s="1" t="s">
        <v>27</v>
      </c>
      <c r="I2925" s="17">
        <v>43252</v>
      </c>
    </row>
    <row r="2926" spans="1:10">
      <c r="A2926" s="16" t="s">
        <v>15597</v>
      </c>
      <c r="B2926" s="1" t="s">
        <v>2628</v>
      </c>
      <c r="C2926" s="1">
        <v>199</v>
      </c>
      <c r="D2926" s="1" t="s">
        <v>578</v>
      </c>
      <c r="E2926" s="1" t="s">
        <v>6</v>
      </c>
      <c r="F2926" s="1" t="s">
        <v>5091</v>
      </c>
      <c r="G2926" s="14" t="s">
        <v>5853</v>
      </c>
      <c r="H2926" s="1" t="s">
        <v>27</v>
      </c>
      <c r="I2926" s="17">
        <v>43344</v>
      </c>
    </row>
    <row r="2927" spans="1:10">
      <c r="A2927" s="16" t="s">
        <v>15663</v>
      </c>
      <c r="B2927" s="1" t="s">
        <v>2628</v>
      </c>
      <c r="C2927" s="1">
        <v>199</v>
      </c>
      <c r="D2927" s="1" t="s">
        <v>578</v>
      </c>
      <c r="E2927" s="1" t="s">
        <v>6</v>
      </c>
      <c r="F2927" s="1" t="s">
        <v>5091</v>
      </c>
      <c r="G2927" s="14" t="s">
        <v>5853</v>
      </c>
      <c r="H2927" s="1" t="s">
        <v>27</v>
      </c>
      <c r="I2927" s="17">
        <v>43374</v>
      </c>
    </row>
    <row r="2928" spans="1:10">
      <c r="A2928" s="7" t="s">
        <v>5735</v>
      </c>
      <c r="B2928" s="2" t="s">
        <v>2631</v>
      </c>
      <c r="C2928" s="1">
        <v>199</v>
      </c>
      <c r="D2928" s="1" t="s">
        <v>578</v>
      </c>
      <c r="E2928" s="1" t="s">
        <v>6</v>
      </c>
      <c r="F2928" s="1" t="s">
        <v>2691</v>
      </c>
      <c r="G2928" s="14" t="s">
        <v>1446</v>
      </c>
      <c r="H2928" s="1" t="s">
        <v>44</v>
      </c>
      <c r="I2928" s="1" t="s">
        <v>5625</v>
      </c>
    </row>
    <row r="2929" spans="1:9">
      <c r="A2929" s="7" t="s">
        <v>6192</v>
      </c>
      <c r="B2929" s="2" t="s">
        <v>2628</v>
      </c>
      <c r="C2929" s="1">
        <v>199</v>
      </c>
      <c r="D2929" s="1" t="s">
        <v>578</v>
      </c>
      <c r="E2929" s="1" t="s">
        <v>6</v>
      </c>
      <c r="F2929" s="1" t="s">
        <v>5091</v>
      </c>
      <c r="G2929" s="14" t="s">
        <v>6139</v>
      </c>
      <c r="H2929" s="1" t="s">
        <v>43</v>
      </c>
      <c r="I2929" s="1" t="s">
        <v>5807</v>
      </c>
    </row>
    <row r="2930" spans="1:9">
      <c r="A2930" s="7" t="s">
        <v>6235</v>
      </c>
      <c r="B2930" s="2" t="s">
        <v>2628</v>
      </c>
      <c r="C2930" s="1">
        <v>199</v>
      </c>
      <c r="D2930" s="1" t="s">
        <v>578</v>
      </c>
      <c r="E2930" s="1" t="s">
        <v>6</v>
      </c>
      <c r="F2930" s="1" t="s">
        <v>5091</v>
      </c>
      <c r="G2930" s="14" t="s">
        <v>6236</v>
      </c>
      <c r="H2930" s="1" t="s">
        <v>43</v>
      </c>
      <c r="I2930" s="1" t="s">
        <v>5807</v>
      </c>
    </row>
    <row r="2931" spans="1:9">
      <c r="A2931" s="7" t="s">
        <v>6250</v>
      </c>
      <c r="B2931" s="2" t="s">
        <v>2628</v>
      </c>
      <c r="C2931" s="1">
        <v>199</v>
      </c>
      <c r="D2931" s="1" t="s">
        <v>578</v>
      </c>
      <c r="E2931" s="1" t="s">
        <v>6</v>
      </c>
      <c r="F2931" s="1" t="s">
        <v>5091</v>
      </c>
      <c r="G2931" s="14" t="s">
        <v>6145</v>
      </c>
      <c r="H2931" s="1" t="s">
        <v>43</v>
      </c>
      <c r="I2931" s="1" t="s">
        <v>5807</v>
      </c>
    </row>
    <row r="2932" spans="1:9">
      <c r="A2932" s="7" t="s">
        <v>6252</v>
      </c>
      <c r="B2932" s="2" t="s">
        <v>2628</v>
      </c>
      <c r="C2932" s="1">
        <v>199</v>
      </c>
      <c r="D2932" s="1" t="s">
        <v>578</v>
      </c>
      <c r="E2932" s="1" t="s">
        <v>6</v>
      </c>
      <c r="F2932" s="1" t="s">
        <v>5091</v>
      </c>
      <c r="G2932" s="14" t="s">
        <v>6145</v>
      </c>
      <c r="H2932" s="1" t="s">
        <v>43</v>
      </c>
      <c r="I2932" s="1" t="s">
        <v>5807</v>
      </c>
    </row>
    <row r="2933" spans="1:9">
      <c r="A2933" s="7" t="s">
        <v>6254</v>
      </c>
      <c r="B2933" s="2" t="s">
        <v>2628</v>
      </c>
      <c r="C2933" s="1">
        <v>199</v>
      </c>
      <c r="D2933" s="1" t="s">
        <v>578</v>
      </c>
      <c r="E2933" s="1" t="s">
        <v>6</v>
      </c>
      <c r="F2933" s="1" t="s">
        <v>5091</v>
      </c>
      <c r="G2933" s="14" t="s">
        <v>6145</v>
      </c>
      <c r="H2933" s="1" t="s">
        <v>43</v>
      </c>
      <c r="I2933" s="1" t="s">
        <v>5807</v>
      </c>
    </row>
    <row r="2934" spans="1:9">
      <c r="A2934" s="7" t="s">
        <v>6255</v>
      </c>
      <c r="B2934" s="2" t="s">
        <v>2628</v>
      </c>
      <c r="C2934" s="1">
        <v>199</v>
      </c>
      <c r="D2934" s="1" t="s">
        <v>578</v>
      </c>
      <c r="E2934" s="1" t="s">
        <v>6</v>
      </c>
      <c r="F2934" s="1" t="s">
        <v>5091</v>
      </c>
      <c r="G2934" s="14" t="s">
        <v>6145</v>
      </c>
      <c r="H2934" s="1" t="s">
        <v>43</v>
      </c>
      <c r="I2934" s="1" t="s">
        <v>5807</v>
      </c>
    </row>
    <row r="2935" spans="1:9">
      <c r="A2935" s="7" t="s">
        <v>6257</v>
      </c>
      <c r="B2935" s="2" t="s">
        <v>2628</v>
      </c>
      <c r="C2935" s="1">
        <v>199</v>
      </c>
      <c r="D2935" s="1" t="s">
        <v>578</v>
      </c>
      <c r="E2935" s="1" t="s">
        <v>6</v>
      </c>
      <c r="F2935" s="1" t="s">
        <v>5091</v>
      </c>
      <c r="G2935" s="14" t="s">
        <v>6139</v>
      </c>
      <c r="H2935" s="1" t="s">
        <v>43</v>
      </c>
      <c r="I2935" s="1" t="s">
        <v>5807</v>
      </c>
    </row>
    <row r="2936" spans="1:9">
      <c r="A2936" s="7" t="s">
        <v>6258</v>
      </c>
      <c r="B2936" s="2" t="s">
        <v>2628</v>
      </c>
      <c r="C2936" s="1">
        <v>199</v>
      </c>
      <c r="D2936" s="1" t="s">
        <v>578</v>
      </c>
      <c r="E2936" s="1" t="s">
        <v>6</v>
      </c>
      <c r="F2936" s="1" t="s">
        <v>5091</v>
      </c>
      <c r="G2936" s="14" t="s">
        <v>6139</v>
      </c>
      <c r="H2936" s="1" t="s">
        <v>43</v>
      </c>
      <c r="I2936" s="1" t="s">
        <v>5807</v>
      </c>
    </row>
    <row r="2937" spans="1:9">
      <c r="A2937" s="7" t="s">
        <v>6259</v>
      </c>
      <c r="B2937" s="2" t="s">
        <v>2628</v>
      </c>
      <c r="C2937" s="1">
        <v>199</v>
      </c>
      <c r="D2937" s="1" t="s">
        <v>578</v>
      </c>
      <c r="E2937" s="1" t="s">
        <v>6</v>
      </c>
      <c r="F2937" s="1" t="s">
        <v>5091</v>
      </c>
      <c r="G2937" s="14" t="s">
        <v>6139</v>
      </c>
      <c r="H2937" s="1" t="s">
        <v>43</v>
      </c>
      <c r="I2937" s="1" t="s">
        <v>5807</v>
      </c>
    </row>
    <row r="2938" spans="1:9">
      <c r="A2938" s="7" t="s">
        <v>6278</v>
      </c>
      <c r="B2938" s="2" t="s">
        <v>2628</v>
      </c>
      <c r="C2938" s="1">
        <v>199</v>
      </c>
      <c r="D2938" s="1" t="s">
        <v>578</v>
      </c>
      <c r="E2938" s="1" t="s">
        <v>6</v>
      </c>
      <c r="F2938" s="1" t="s">
        <v>5091</v>
      </c>
      <c r="G2938" s="14" t="s">
        <v>6139</v>
      </c>
      <c r="H2938" s="1" t="s">
        <v>43</v>
      </c>
      <c r="I2938" s="1" t="s">
        <v>5807</v>
      </c>
    </row>
    <row r="2939" spans="1:9">
      <c r="A2939" s="7" t="s">
        <v>6284</v>
      </c>
      <c r="B2939" s="2" t="s">
        <v>2628</v>
      </c>
      <c r="C2939" s="1">
        <v>199</v>
      </c>
      <c r="D2939" s="1" t="s">
        <v>578</v>
      </c>
      <c r="E2939" s="1" t="s">
        <v>6</v>
      </c>
      <c r="F2939" s="1" t="s">
        <v>5091</v>
      </c>
      <c r="G2939" s="14" t="s">
        <v>6139</v>
      </c>
      <c r="H2939" s="1" t="s">
        <v>43</v>
      </c>
      <c r="I2939" s="1" t="s">
        <v>5807</v>
      </c>
    </row>
    <row r="2940" spans="1:9">
      <c r="A2940" s="7" t="s">
        <v>6314</v>
      </c>
      <c r="B2940" s="2" t="s">
        <v>2628</v>
      </c>
      <c r="C2940" s="1">
        <v>199</v>
      </c>
      <c r="D2940" s="1" t="s">
        <v>578</v>
      </c>
      <c r="E2940" s="1" t="s">
        <v>6</v>
      </c>
      <c r="F2940" s="1" t="s">
        <v>5091</v>
      </c>
      <c r="G2940" s="14" t="s">
        <v>6139</v>
      </c>
      <c r="H2940" s="1" t="s">
        <v>43</v>
      </c>
      <c r="I2940" s="1" t="s">
        <v>5807</v>
      </c>
    </row>
    <row r="2941" spans="1:9">
      <c r="A2941" s="7" t="s">
        <v>6361</v>
      </c>
      <c r="B2941" s="2" t="s">
        <v>2628</v>
      </c>
      <c r="C2941" s="1">
        <v>199</v>
      </c>
      <c r="D2941" s="1" t="s">
        <v>578</v>
      </c>
      <c r="E2941" s="1" t="s">
        <v>6</v>
      </c>
      <c r="F2941" s="1" t="s">
        <v>5091</v>
      </c>
      <c r="G2941" s="14" t="s">
        <v>6362</v>
      </c>
      <c r="H2941" s="1" t="s">
        <v>44</v>
      </c>
      <c r="I2941" s="17">
        <v>38651</v>
      </c>
    </row>
    <row r="2942" spans="1:9">
      <c r="A2942" s="7" t="s">
        <v>6363</v>
      </c>
      <c r="B2942" s="2" t="s">
        <v>2628</v>
      </c>
      <c r="C2942" s="1">
        <v>199</v>
      </c>
      <c r="D2942" s="1" t="s">
        <v>578</v>
      </c>
      <c r="E2942" s="1" t="s">
        <v>6</v>
      </c>
      <c r="F2942" s="1" t="s">
        <v>5091</v>
      </c>
      <c r="G2942" s="14" t="s">
        <v>6209</v>
      </c>
      <c r="H2942" s="1" t="s">
        <v>43</v>
      </c>
      <c r="I2942" s="1" t="s">
        <v>5089</v>
      </c>
    </row>
    <row r="2943" spans="1:9">
      <c r="A2943" s="7" t="s">
        <v>6370</v>
      </c>
      <c r="B2943" s="2" t="s">
        <v>2628</v>
      </c>
      <c r="C2943" s="1">
        <v>199</v>
      </c>
      <c r="D2943" s="1" t="s">
        <v>578</v>
      </c>
      <c r="E2943" s="1" t="s">
        <v>6</v>
      </c>
      <c r="F2943" s="1" t="s">
        <v>5091</v>
      </c>
      <c r="G2943" s="14" t="s">
        <v>6196</v>
      </c>
      <c r="H2943" s="1" t="s">
        <v>43</v>
      </c>
      <c r="I2943" s="1" t="s">
        <v>5089</v>
      </c>
    </row>
    <row r="2944" spans="1:9">
      <c r="A2944" s="7" t="s">
        <v>6451</v>
      </c>
      <c r="B2944" s="1" t="s">
        <v>2628</v>
      </c>
      <c r="C2944" s="1">
        <v>199</v>
      </c>
      <c r="D2944" s="1" t="s">
        <v>578</v>
      </c>
      <c r="E2944" s="1" t="s">
        <v>6</v>
      </c>
      <c r="F2944" s="1" t="s">
        <v>5091</v>
      </c>
      <c r="G2944" s="1" t="s">
        <v>6450</v>
      </c>
      <c r="H2944" s="1" t="s">
        <v>43</v>
      </c>
      <c r="I2944" s="1" t="s">
        <v>5722</v>
      </c>
    </row>
    <row r="2945" spans="1:10">
      <c r="A2945" s="7" t="s">
        <v>6684</v>
      </c>
      <c r="B2945" s="1" t="s">
        <v>2628</v>
      </c>
      <c r="C2945" s="1">
        <v>199</v>
      </c>
      <c r="D2945" s="1" t="s">
        <v>578</v>
      </c>
      <c r="E2945" s="1" t="s">
        <v>6</v>
      </c>
      <c r="F2945" s="1" t="s">
        <v>5091</v>
      </c>
      <c r="G2945" s="1" t="s">
        <v>6236</v>
      </c>
      <c r="H2945" s="1" t="s">
        <v>43</v>
      </c>
      <c r="I2945" s="1" t="s">
        <v>5807</v>
      </c>
    </row>
    <row r="2946" spans="1:10">
      <c r="A2946" s="7" t="s">
        <v>6685</v>
      </c>
      <c r="B2946" s="1" t="s">
        <v>2628</v>
      </c>
      <c r="C2946" s="1">
        <v>199</v>
      </c>
      <c r="D2946" s="1" t="s">
        <v>578</v>
      </c>
      <c r="E2946" s="1" t="s">
        <v>6</v>
      </c>
      <c r="F2946" s="1" t="s">
        <v>5091</v>
      </c>
      <c r="G2946" s="1" t="s">
        <v>6238</v>
      </c>
      <c r="H2946" s="1" t="s">
        <v>43</v>
      </c>
      <c r="I2946" s="1" t="s">
        <v>5807</v>
      </c>
    </row>
    <row r="2947" spans="1:10">
      <c r="A2947" s="7" t="s">
        <v>6711</v>
      </c>
      <c r="B2947" s="1" t="s">
        <v>2628</v>
      </c>
      <c r="C2947" s="1">
        <v>199</v>
      </c>
      <c r="D2947" s="1" t="s">
        <v>578</v>
      </c>
      <c r="E2947" s="1" t="s">
        <v>6</v>
      </c>
      <c r="F2947" s="1" t="s">
        <v>5091</v>
      </c>
      <c r="G2947" s="1" t="s">
        <v>6139</v>
      </c>
      <c r="H2947" s="1" t="s">
        <v>43</v>
      </c>
      <c r="I2947" s="1" t="s">
        <v>5807</v>
      </c>
    </row>
    <row r="2948" spans="1:10">
      <c r="A2948" s="7" t="s">
        <v>6713</v>
      </c>
      <c r="B2948" s="1" t="s">
        <v>2628</v>
      </c>
      <c r="C2948" s="1">
        <v>199</v>
      </c>
      <c r="D2948" s="1" t="s">
        <v>578</v>
      </c>
      <c r="E2948" s="1" t="s">
        <v>6</v>
      </c>
      <c r="F2948" s="1" t="s">
        <v>5091</v>
      </c>
      <c r="G2948" s="1" t="s">
        <v>6139</v>
      </c>
      <c r="H2948" s="1" t="s">
        <v>43</v>
      </c>
      <c r="I2948" s="1" t="s">
        <v>5807</v>
      </c>
    </row>
    <row r="2949" spans="1:10">
      <c r="A2949" s="7" t="s">
        <v>6715</v>
      </c>
      <c r="B2949" s="1" t="s">
        <v>2628</v>
      </c>
      <c r="C2949" s="1">
        <v>199</v>
      </c>
      <c r="D2949" s="1" t="s">
        <v>578</v>
      </c>
      <c r="E2949" s="1" t="s">
        <v>6</v>
      </c>
      <c r="F2949" s="1" t="s">
        <v>5091</v>
      </c>
      <c r="G2949" s="1" t="s">
        <v>6139</v>
      </c>
      <c r="H2949" s="1" t="s">
        <v>43</v>
      </c>
      <c r="I2949" s="1" t="s">
        <v>5807</v>
      </c>
    </row>
    <row r="2950" spans="1:10">
      <c r="A2950" s="7" t="s">
        <v>6716</v>
      </c>
      <c r="B2950" s="1" t="s">
        <v>2628</v>
      </c>
      <c r="C2950" s="1">
        <v>199</v>
      </c>
      <c r="D2950" s="1" t="s">
        <v>578</v>
      </c>
      <c r="E2950" s="1" t="s">
        <v>6</v>
      </c>
      <c r="F2950" s="1" t="s">
        <v>5091</v>
      </c>
      <c r="G2950" s="1" t="s">
        <v>6139</v>
      </c>
      <c r="H2950" s="1" t="s">
        <v>43</v>
      </c>
      <c r="I2950" s="1" t="s">
        <v>5807</v>
      </c>
    </row>
    <row r="2951" spans="1:10">
      <c r="A2951" s="7" t="s">
        <v>6718</v>
      </c>
      <c r="B2951" s="1" t="s">
        <v>2628</v>
      </c>
      <c r="C2951" s="1">
        <v>199</v>
      </c>
      <c r="D2951" s="1" t="s">
        <v>578</v>
      </c>
      <c r="E2951" s="1" t="s">
        <v>6</v>
      </c>
      <c r="F2951" s="1" t="s">
        <v>5091</v>
      </c>
      <c r="G2951" s="1" t="s">
        <v>6139</v>
      </c>
      <c r="H2951" s="1" t="s">
        <v>43</v>
      </c>
      <c r="I2951" s="1" t="s">
        <v>5807</v>
      </c>
    </row>
    <row r="2952" spans="1:10">
      <c r="A2952" s="7" t="s">
        <v>6719</v>
      </c>
      <c r="B2952" s="1" t="s">
        <v>2628</v>
      </c>
      <c r="C2952" s="1">
        <v>199</v>
      </c>
      <c r="D2952" s="1" t="s">
        <v>578</v>
      </c>
      <c r="E2952" s="1" t="s">
        <v>6</v>
      </c>
      <c r="F2952" s="1" t="s">
        <v>5091</v>
      </c>
      <c r="G2952" s="1" t="s">
        <v>6139</v>
      </c>
      <c r="H2952" s="1" t="s">
        <v>43</v>
      </c>
      <c r="I2952" s="1" t="s">
        <v>5807</v>
      </c>
    </row>
    <row r="2953" spans="1:10">
      <c r="A2953" s="7" t="s">
        <v>6724</v>
      </c>
      <c r="B2953" s="1" t="s">
        <v>2628</v>
      </c>
      <c r="C2953" s="1">
        <v>199</v>
      </c>
      <c r="D2953" s="1" t="s">
        <v>578</v>
      </c>
      <c r="E2953" s="1" t="s">
        <v>6</v>
      </c>
      <c r="F2953" s="1" t="s">
        <v>5091</v>
      </c>
      <c r="G2953" s="1" t="s">
        <v>6139</v>
      </c>
      <c r="H2953" s="1" t="s">
        <v>43</v>
      </c>
      <c r="I2953" s="1" t="s">
        <v>5807</v>
      </c>
    </row>
    <row r="2954" spans="1:10">
      <c r="A2954" s="7" t="s">
        <v>6726</v>
      </c>
      <c r="B2954" s="1" t="s">
        <v>2628</v>
      </c>
      <c r="C2954" s="1">
        <v>199</v>
      </c>
      <c r="D2954" s="1" t="s">
        <v>578</v>
      </c>
      <c r="E2954" s="1" t="s">
        <v>6</v>
      </c>
      <c r="F2954" s="1" t="s">
        <v>5091</v>
      </c>
      <c r="G2954" s="1" t="s">
        <v>6139</v>
      </c>
      <c r="H2954" s="1" t="s">
        <v>43</v>
      </c>
      <c r="I2954" s="1" t="s">
        <v>5807</v>
      </c>
    </row>
    <row r="2955" spans="1:10">
      <c r="A2955" s="7" t="s">
        <v>6728</v>
      </c>
      <c r="B2955" s="1" t="s">
        <v>2628</v>
      </c>
      <c r="C2955" s="1">
        <v>199</v>
      </c>
      <c r="D2955" s="1" t="s">
        <v>578</v>
      </c>
      <c r="E2955" s="1" t="s">
        <v>6</v>
      </c>
      <c r="F2955" s="1" t="s">
        <v>5091</v>
      </c>
      <c r="G2955" s="1" t="s">
        <v>6139</v>
      </c>
      <c r="H2955" s="1" t="s">
        <v>43</v>
      </c>
      <c r="I2955" s="1" t="s">
        <v>5807</v>
      </c>
    </row>
    <row r="2956" spans="1:10">
      <c r="A2956" s="7" t="s">
        <v>6780</v>
      </c>
      <c r="B2956" s="1" t="s">
        <v>2628</v>
      </c>
      <c r="C2956" s="1">
        <v>199</v>
      </c>
      <c r="D2956" s="1" t="s">
        <v>578</v>
      </c>
      <c r="E2956" s="1" t="s">
        <v>6</v>
      </c>
      <c r="F2956" s="1" t="s">
        <v>5091</v>
      </c>
      <c r="G2956" s="1" t="s">
        <v>6139</v>
      </c>
      <c r="H2956" s="1" t="s">
        <v>43</v>
      </c>
      <c r="I2956" s="1" t="s">
        <v>6090</v>
      </c>
      <c r="J2956" s="17"/>
    </row>
    <row r="2957" spans="1:10">
      <c r="A2957" s="7" t="s">
        <v>6781</v>
      </c>
      <c r="B2957" s="1" t="s">
        <v>2628</v>
      </c>
      <c r="C2957" s="1">
        <v>199</v>
      </c>
      <c r="D2957" s="1" t="s">
        <v>578</v>
      </c>
      <c r="E2957" s="1" t="s">
        <v>6</v>
      </c>
      <c r="F2957" s="1" t="s">
        <v>5091</v>
      </c>
      <c r="G2957" s="1" t="s">
        <v>6139</v>
      </c>
      <c r="H2957" s="1" t="s">
        <v>43</v>
      </c>
      <c r="I2957" s="1" t="s">
        <v>6090</v>
      </c>
      <c r="J2957" s="1"/>
    </row>
    <row r="2958" spans="1:10">
      <c r="A2958" s="7" t="s">
        <v>6782</v>
      </c>
      <c r="B2958" s="1" t="s">
        <v>2628</v>
      </c>
      <c r="C2958" s="1">
        <v>199</v>
      </c>
      <c r="D2958" s="1" t="s">
        <v>578</v>
      </c>
      <c r="E2958" s="1" t="s">
        <v>6</v>
      </c>
      <c r="F2958" s="1" t="s">
        <v>5091</v>
      </c>
      <c r="G2958" s="1" t="s">
        <v>6139</v>
      </c>
      <c r="H2958" s="1" t="s">
        <v>43</v>
      </c>
      <c r="I2958" s="1" t="s">
        <v>6090</v>
      </c>
      <c r="J2958" s="1"/>
    </row>
    <row r="2959" spans="1:10">
      <c r="A2959" s="7" t="s">
        <v>6783</v>
      </c>
      <c r="B2959" s="1" t="s">
        <v>2628</v>
      </c>
      <c r="C2959" s="1">
        <v>199</v>
      </c>
      <c r="D2959" s="1" t="s">
        <v>578</v>
      </c>
      <c r="E2959" s="1" t="s">
        <v>6</v>
      </c>
      <c r="F2959" s="1" t="s">
        <v>5091</v>
      </c>
      <c r="G2959" s="1" t="s">
        <v>6139</v>
      </c>
      <c r="H2959" s="1" t="s">
        <v>43</v>
      </c>
      <c r="I2959" s="1" t="s">
        <v>6090</v>
      </c>
      <c r="J2959" s="1"/>
    </row>
    <row r="2960" spans="1:10">
      <c r="A2960" s="7" t="s">
        <v>6784</v>
      </c>
      <c r="B2960" s="1" t="s">
        <v>2628</v>
      </c>
      <c r="C2960" s="1">
        <v>199</v>
      </c>
      <c r="D2960" s="1" t="s">
        <v>578</v>
      </c>
      <c r="E2960" s="1" t="s">
        <v>6</v>
      </c>
      <c r="F2960" s="1" t="s">
        <v>5091</v>
      </c>
      <c r="G2960" s="1" t="s">
        <v>6139</v>
      </c>
      <c r="H2960" s="1" t="s">
        <v>43</v>
      </c>
      <c r="I2960" s="1" t="s">
        <v>6090</v>
      </c>
      <c r="J2960" s="17"/>
    </row>
    <row r="2961" spans="1:10">
      <c r="A2961" s="7" t="s">
        <v>6785</v>
      </c>
      <c r="B2961" s="1" t="s">
        <v>2628</v>
      </c>
      <c r="C2961" s="1">
        <v>199</v>
      </c>
      <c r="D2961" s="1" t="s">
        <v>578</v>
      </c>
      <c r="E2961" s="1" t="s">
        <v>6</v>
      </c>
      <c r="F2961" s="1" t="s">
        <v>5091</v>
      </c>
      <c r="G2961" s="1" t="s">
        <v>6139</v>
      </c>
      <c r="H2961" s="1" t="s">
        <v>43</v>
      </c>
      <c r="I2961" s="1" t="s">
        <v>6090</v>
      </c>
      <c r="J2961" s="17"/>
    </row>
    <row r="2962" spans="1:10">
      <c r="A2962" s="7" t="s">
        <v>6786</v>
      </c>
      <c r="B2962" s="1" t="s">
        <v>2628</v>
      </c>
      <c r="C2962" s="1">
        <v>199</v>
      </c>
      <c r="D2962" s="1" t="s">
        <v>578</v>
      </c>
      <c r="E2962" s="1" t="s">
        <v>6</v>
      </c>
      <c r="F2962" s="1" t="s">
        <v>5091</v>
      </c>
      <c r="G2962" s="1" t="s">
        <v>6139</v>
      </c>
      <c r="H2962" s="1" t="s">
        <v>43</v>
      </c>
      <c r="I2962" s="1" t="s">
        <v>6090</v>
      </c>
      <c r="J2962" s="17"/>
    </row>
    <row r="2963" spans="1:10">
      <c r="A2963" s="7" t="s">
        <v>6787</v>
      </c>
      <c r="B2963" s="1" t="s">
        <v>2628</v>
      </c>
      <c r="C2963" s="1">
        <v>199</v>
      </c>
      <c r="D2963" s="1" t="s">
        <v>578</v>
      </c>
      <c r="E2963" s="1" t="s">
        <v>6</v>
      </c>
      <c r="F2963" s="1" t="s">
        <v>5091</v>
      </c>
      <c r="G2963" s="1" t="s">
        <v>6139</v>
      </c>
      <c r="H2963" s="1" t="s">
        <v>43</v>
      </c>
      <c r="I2963" s="1" t="s">
        <v>6090</v>
      </c>
      <c r="J2963" s="17"/>
    </row>
    <row r="2964" spans="1:10">
      <c r="A2964" s="7" t="s">
        <v>6788</v>
      </c>
      <c r="B2964" s="1" t="s">
        <v>2628</v>
      </c>
      <c r="C2964" s="1">
        <v>199</v>
      </c>
      <c r="D2964" s="1" t="s">
        <v>578</v>
      </c>
      <c r="E2964" s="1" t="s">
        <v>6</v>
      </c>
      <c r="F2964" s="1" t="s">
        <v>5091</v>
      </c>
      <c r="G2964" s="1" t="s">
        <v>6139</v>
      </c>
      <c r="H2964" s="1" t="s">
        <v>43</v>
      </c>
      <c r="I2964" s="1" t="s">
        <v>6090</v>
      </c>
      <c r="J2964" s="1"/>
    </row>
    <row r="2965" spans="1:10">
      <c r="A2965" s="7" t="s">
        <v>6789</v>
      </c>
      <c r="B2965" s="1" t="s">
        <v>2628</v>
      </c>
      <c r="C2965" s="1">
        <v>199</v>
      </c>
      <c r="D2965" s="1" t="s">
        <v>578</v>
      </c>
      <c r="E2965" s="1" t="s">
        <v>6</v>
      </c>
      <c r="F2965" s="1" t="s">
        <v>5091</v>
      </c>
      <c r="G2965" s="1" t="s">
        <v>6139</v>
      </c>
      <c r="H2965" s="1" t="s">
        <v>43</v>
      </c>
      <c r="I2965" s="1" t="s">
        <v>6090</v>
      </c>
      <c r="J2965" s="17"/>
    </row>
    <row r="2966" spans="1:10">
      <c r="A2966" s="7" t="s">
        <v>6797</v>
      </c>
      <c r="B2966" s="1" t="s">
        <v>2628</v>
      </c>
      <c r="C2966" s="1">
        <v>199</v>
      </c>
      <c r="D2966" s="1" t="s">
        <v>578</v>
      </c>
      <c r="E2966" s="1" t="s">
        <v>6</v>
      </c>
      <c r="F2966" s="1" t="s">
        <v>5091</v>
      </c>
      <c r="G2966" s="1" t="s">
        <v>6181</v>
      </c>
      <c r="H2966" s="1" t="s">
        <v>118</v>
      </c>
      <c r="I2966" s="1" t="s">
        <v>6090</v>
      </c>
      <c r="J2966" s="17"/>
    </row>
    <row r="2967" spans="1:10">
      <c r="A2967" s="7" t="s">
        <v>6798</v>
      </c>
      <c r="B2967" s="1" t="s">
        <v>2628</v>
      </c>
      <c r="C2967" s="1">
        <v>199</v>
      </c>
      <c r="D2967" s="1" t="s">
        <v>578</v>
      </c>
      <c r="E2967" s="1" t="s">
        <v>6</v>
      </c>
      <c r="F2967" s="1" t="s">
        <v>5091</v>
      </c>
      <c r="G2967" s="1" t="s">
        <v>6181</v>
      </c>
      <c r="H2967" s="1" t="s">
        <v>118</v>
      </c>
      <c r="I2967" s="1" t="s">
        <v>6090</v>
      </c>
      <c r="J2967" s="17"/>
    </row>
    <row r="2968" spans="1:10">
      <c r="A2968" s="7" t="s">
        <v>6822</v>
      </c>
      <c r="B2968" s="1" t="s">
        <v>2628</v>
      </c>
      <c r="C2968" s="1">
        <v>199</v>
      </c>
      <c r="D2968" s="1" t="s">
        <v>578</v>
      </c>
      <c r="E2968" s="1" t="s">
        <v>6</v>
      </c>
      <c r="F2968" s="1" t="s">
        <v>5091</v>
      </c>
      <c r="G2968" s="1" t="s">
        <v>6139</v>
      </c>
      <c r="H2968" s="1" t="s">
        <v>43</v>
      </c>
      <c r="I2968" s="1" t="s">
        <v>6090</v>
      </c>
      <c r="J2968" s="17"/>
    </row>
    <row r="2969" spans="1:10">
      <c r="A2969" s="7" t="s">
        <v>6823</v>
      </c>
      <c r="B2969" s="1" t="s">
        <v>2628</v>
      </c>
      <c r="C2969" s="1">
        <v>199</v>
      </c>
      <c r="D2969" s="1" t="s">
        <v>578</v>
      </c>
      <c r="E2969" s="1" t="s">
        <v>6</v>
      </c>
      <c r="F2969" s="1" t="s">
        <v>5091</v>
      </c>
      <c r="G2969" s="1" t="s">
        <v>6139</v>
      </c>
      <c r="H2969" s="1" t="s">
        <v>43</v>
      </c>
      <c r="I2969" s="1" t="s">
        <v>6090</v>
      </c>
      <c r="J2969" s="17"/>
    </row>
    <row r="2970" spans="1:10">
      <c r="A2970" s="7" t="s">
        <v>6824</v>
      </c>
      <c r="B2970" s="1" t="s">
        <v>2628</v>
      </c>
      <c r="C2970" s="1">
        <v>199</v>
      </c>
      <c r="D2970" s="1" t="s">
        <v>578</v>
      </c>
      <c r="E2970" s="1" t="s">
        <v>6</v>
      </c>
      <c r="F2970" s="1" t="s">
        <v>5091</v>
      </c>
      <c r="G2970" s="1" t="s">
        <v>6139</v>
      </c>
      <c r="H2970" s="1" t="s">
        <v>43</v>
      </c>
      <c r="I2970" s="1" t="s">
        <v>6090</v>
      </c>
      <c r="J2970" s="17"/>
    </row>
    <row r="2971" spans="1:10">
      <c r="A2971" s="7" t="s">
        <v>6825</v>
      </c>
      <c r="B2971" s="1" t="s">
        <v>2628</v>
      </c>
      <c r="C2971" s="1">
        <v>199</v>
      </c>
      <c r="D2971" s="1" t="s">
        <v>578</v>
      </c>
      <c r="E2971" s="1" t="s">
        <v>6</v>
      </c>
      <c r="F2971" s="1" t="s">
        <v>5091</v>
      </c>
      <c r="G2971" s="1" t="s">
        <v>6139</v>
      </c>
      <c r="H2971" s="1" t="s">
        <v>43</v>
      </c>
      <c r="I2971" s="1" t="s">
        <v>6090</v>
      </c>
      <c r="J2971" s="17"/>
    </row>
    <row r="2972" spans="1:10">
      <c r="A2972" s="7" t="s">
        <v>6826</v>
      </c>
      <c r="B2972" s="1" t="s">
        <v>2628</v>
      </c>
      <c r="C2972" s="1">
        <v>199</v>
      </c>
      <c r="D2972" s="1" t="s">
        <v>578</v>
      </c>
      <c r="E2972" s="1" t="s">
        <v>6</v>
      </c>
      <c r="F2972" s="1" t="s">
        <v>5091</v>
      </c>
      <c r="G2972" s="1" t="s">
        <v>6139</v>
      </c>
      <c r="H2972" s="1" t="s">
        <v>43</v>
      </c>
      <c r="I2972" s="1" t="s">
        <v>6090</v>
      </c>
      <c r="J2972" s="17"/>
    </row>
    <row r="2973" spans="1:10">
      <c r="A2973" s="7" t="s">
        <v>6827</v>
      </c>
      <c r="B2973" s="1" t="s">
        <v>2628</v>
      </c>
      <c r="C2973" s="1">
        <v>199</v>
      </c>
      <c r="D2973" s="1" t="s">
        <v>578</v>
      </c>
      <c r="E2973" s="1" t="s">
        <v>6</v>
      </c>
      <c r="F2973" s="1" t="s">
        <v>5091</v>
      </c>
      <c r="G2973" s="1" t="s">
        <v>6139</v>
      </c>
      <c r="H2973" s="1" t="s">
        <v>43</v>
      </c>
      <c r="I2973" s="1" t="s">
        <v>6090</v>
      </c>
      <c r="J2973" s="17"/>
    </row>
    <row r="2974" spans="1:10">
      <c r="A2974" s="7" t="s">
        <v>6828</v>
      </c>
      <c r="B2974" s="1" t="s">
        <v>2628</v>
      </c>
      <c r="C2974" s="1">
        <v>199</v>
      </c>
      <c r="D2974" s="1" t="s">
        <v>578</v>
      </c>
      <c r="E2974" s="1" t="s">
        <v>6</v>
      </c>
      <c r="F2974" s="1" t="s">
        <v>5091</v>
      </c>
      <c r="G2974" s="1" t="s">
        <v>6139</v>
      </c>
      <c r="H2974" s="1" t="s">
        <v>43</v>
      </c>
      <c r="I2974" s="1" t="s">
        <v>6090</v>
      </c>
      <c r="J2974" s="17"/>
    </row>
    <row r="2975" spans="1:10">
      <c r="A2975" s="16" t="s">
        <v>7248</v>
      </c>
      <c r="B2975" s="1" t="s">
        <v>2628</v>
      </c>
      <c r="C2975" s="1">
        <v>199</v>
      </c>
      <c r="D2975" s="1" t="s">
        <v>578</v>
      </c>
      <c r="E2975" s="1" t="s">
        <v>6</v>
      </c>
      <c r="F2975" s="1" t="s">
        <v>5091</v>
      </c>
      <c r="G2975" s="14" t="s">
        <v>6145</v>
      </c>
      <c r="H2975" s="1" t="s">
        <v>43</v>
      </c>
      <c r="I2975" s="17">
        <v>41618</v>
      </c>
    </row>
    <row r="2976" spans="1:10">
      <c r="A2976" s="16" t="s">
        <v>7255</v>
      </c>
      <c r="B2976" s="1" t="s">
        <v>2628</v>
      </c>
      <c r="C2976" s="1">
        <v>199</v>
      </c>
      <c r="D2976" s="1" t="s">
        <v>578</v>
      </c>
      <c r="E2976" s="1" t="s">
        <v>6</v>
      </c>
      <c r="F2976" s="1" t="s">
        <v>5091</v>
      </c>
      <c r="G2976" s="14" t="s">
        <v>6145</v>
      </c>
      <c r="H2976" s="1" t="s">
        <v>43</v>
      </c>
      <c r="I2976" s="17">
        <v>41618</v>
      </c>
    </row>
    <row r="2977" spans="1:10">
      <c r="A2977" s="7" t="s">
        <v>7295</v>
      </c>
      <c r="B2977" s="1" t="s">
        <v>2628</v>
      </c>
      <c r="C2977" s="1">
        <v>199</v>
      </c>
      <c r="D2977" s="1" t="s">
        <v>578</v>
      </c>
      <c r="E2977" s="1" t="s">
        <v>6</v>
      </c>
      <c r="F2977" s="1" t="s">
        <v>36</v>
      </c>
      <c r="G2977" s="1" t="s">
        <v>4803</v>
      </c>
      <c r="H2977" s="1" t="s">
        <v>5</v>
      </c>
      <c r="I2977" s="1" t="s">
        <v>7283</v>
      </c>
    </row>
    <row r="2978" spans="1:10">
      <c r="A2978" s="16" t="s">
        <v>7434</v>
      </c>
      <c r="B2978" s="1" t="s">
        <v>2628</v>
      </c>
      <c r="C2978" s="1">
        <v>199</v>
      </c>
      <c r="D2978" s="1" t="s">
        <v>578</v>
      </c>
      <c r="E2978" s="1" t="s">
        <v>6</v>
      </c>
      <c r="F2978" s="1" t="s">
        <v>5091</v>
      </c>
      <c r="G2978" s="14" t="s">
        <v>7435</v>
      </c>
      <c r="H2978" s="1" t="s">
        <v>5</v>
      </c>
      <c r="I2978" s="17">
        <v>41306</v>
      </c>
    </row>
    <row r="2979" spans="1:10">
      <c r="A2979" s="16" t="s">
        <v>7440</v>
      </c>
      <c r="B2979" s="1" t="s">
        <v>2628</v>
      </c>
      <c r="C2979" s="1">
        <v>199</v>
      </c>
      <c r="D2979" s="1" t="s">
        <v>578</v>
      </c>
      <c r="E2979" s="1" t="s">
        <v>6</v>
      </c>
      <c r="F2979" s="1" t="s">
        <v>5091</v>
      </c>
      <c r="G2979" s="14" t="s">
        <v>6145</v>
      </c>
      <c r="H2979" s="1" t="s">
        <v>43</v>
      </c>
      <c r="I2979" s="17">
        <v>41456</v>
      </c>
    </row>
    <row r="2980" spans="1:10">
      <c r="A2980" s="7" t="s">
        <v>7556</v>
      </c>
      <c r="B2980" s="1" t="s">
        <v>2628</v>
      </c>
      <c r="C2980" s="1">
        <v>199</v>
      </c>
      <c r="D2980" s="1" t="s">
        <v>578</v>
      </c>
      <c r="E2980" s="1" t="s">
        <v>6</v>
      </c>
      <c r="F2980" s="1" t="s">
        <v>5091</v>
      </c>
      <c r="G2980" s="1" t="s">
        <v>7557</v>
      </c>
      <c r="H2980" s="1" t="s">
        <v>5</v>
      </c>
      <c r="I2980" s="1" t="s">
        <v>6090</v>
      </c>
      <c r="J2980" s="17"/>
    </row>
    <row r="2981" spans="1:10">
      <c r="A2981" s="7" t="s">
        <v>7638</v>
      </c>
      <c r="B2981" s="1" t="s">
        <v>2628</v>
      </c>
      <c r="C2981" s="1">
        <v>199</v>
      </c>
      <c r="D2981" s="1" t="s">
        <v>578</v>
      </c>
      <c r="E2981" s="1" t="s">
        <v>6</v>
      </c>
      <c r="F2981" s="1" t="s">
        <v>5091</v>
      </c>
      <c r="G2981" s="1" t="s">
        <v>6186</v>
      </c>
      <c r="H2981" s="1" t="s">
        <v>5</v>
      </c>
      <c r="I2981" s="1" t="s">
        <v>6090</v>
      </c>
      <c r="J2981" s="17"/>
    </row>
    <row r="2982" spans="1:10">
      <c r="A2982" s="7" t="s">
        <v>7639</v>
      </c>
      <c r="B2982" s="1" t="s">
        <v>2628</v>
      </c>
      <c r="C2982" s="1">
        <v>199</v>
      </c>
      <c r="D2982" s="1" t="s">
        <v>578</v>
      </c>
      <c r="E2982" s="1" t="s">
        <v>6</v>
      </c>
      <c r="F2982" s="1" t="s">
        <v>5091</v>
      </c>
      <c r="G2982" s="1" t="s">
        <v>6139</v>
      </c>
      <c r="H2982" s="1" t="s">
        <v>43</v>
      </c>
      <c r="I2982" s="1" t="s">
        <v>5722</v>
      </c>
    </row>
    <row r="2983" spans="1:10">
      <c r="A2983" s="7" t="s">
        <v>7641</v>
      </c>
      <c r="B2983" s="1" t="s">
        <v>2628</v>
      </c>
      <c r="C2983" s="1">
        <v>199</v>
      </c>
      <c r="D2983" s="1" t="s">
        <v>578</v>
      </c>
      <c r="E2983" s="1" t="s">
        <v>6</v>
      </c>
      <c r="F2983" s="1" t="s">
        <v>5091</v>
      </c>
      <c r="G2983" s="1" t="s">
        <v>6186</v>
      </c>
      <c r="H2983" s="1" t="s">
        <v>5</v>
      </c>
      <c r="I2983" s="1" t="s">
        <v>6090</v>
      </c>
      <c r="J2983" s="17"/>
    </row>
    <row r="2984" spans="1:10">
      <c r="A2984" s="16" t="s">
        <v>7842</v>
      </c>
      <c r="B2984" s="1" t="s">
        <v>2628</v>
      </c>
      <c r="C2984" s="1">
        <v>199</v>
      </c>
      <c r="D2984" s="1" t="s">
        <v>578</v>
      </c>
      <c r="E2984" s="1" t="s">
        <v>6</v>
      </c>
      <c r="F2984" s="1" t="s">
        <v>5091</v>
      </c>
      <c r="G2984" s="14" t="s">
        <v>6145</v>
      </c>
      <c r="H2984" s="1" t="s">
        <v>43</v>
      </c>
      <c r="I2984" s="17">
        <v>41617</v>
      </c>
    </row>
    <row r="2985" spans="1:10">
      <c r="A2985" s="16" t="s">
        <v>7847</v>
      </c>
      <c r="B2985" s="1" t="s">
        <v>2628</v>
      </c>
      <c r="C2985" s="1">
        <v>199</v>
      </c>
      <c r="D2985" s="1" t="s">
        <v>578</v>
      </c>
      <c r="E2985" s="1" t="s">
        <v>6</v>
      </c>
      <c r="F2985" s="1" t="s">
        <v>5091</v>
      </c>
      <c r="G2985" s="14" t="s">
        <v>6145</v>
      </c>
      <c r="H2985" s="1" t="s">
        <v>43</v>
      </c>
      <c r="I2985" s="17">
        <v>41617</v>
      </c>
    </row>
    <row r="2986" spans="1:10">
      <c r="A2986" s="16" t="s">
        <v>7849</v>
      </c>
      <c r="B2986" s="1" t="s">
        <v>2628</v>
      </c>
      <c r="C2986" s="1">
        <v>199</v>
      </c>
      <c r="D2986" s="1" t="s">
        <v>578</v>
      </c>
      <c r="E2986" s="1" t="s">
        <v>6</v>
      </c>
      <c r="F2986" s="1" t="s">
        <v>5091</v>
      </c>
      <c r="G2986" s="14" t="s">
        <v>6145</v>
      </c>
      <c r="H2986" s="1" t="s">
        <v>43</v>
      </c>
      <c r="I2986" s="17">
        <v>41617</v>
      </c>
    </row>
    <row r="2987" spans="1:10">
      <c r="A2987" s="7" t="s">
        <v>8010</v>
      </c>
      <c r="B2987" s="1" t="s">
        <v>2628</v>
      </c>
      <c r="C2987" s="1">
        <v>199</v>
      </c>
      <c r="D2987" s="1" t="s">
        <v>578</v>
      </c>
      <c r="E2987" s="1" t="s">
        <v>6</v>
      </c>
      <c r="F2987" s="1" t="s">
        <v>5091</v>
      </c>
      <c r="G2987" s="1" t="s">
        <v>6181</v>
      </c>
      <c r="H2987" s="1" t="s">
        <v>118</v>
      </c>
      <c r="I2987" s="1" t="s">
        <v>4458</v>
      </c>
    </row>
    <row r="2988" spans="1:10">
      <c r="A2988" s="7" t="s">
        <v>8012</v>
      </c>
      <c r="B2988" s="1" t="s">
        <v>2628</v>
      </c>
      <c r="C2988" s="1">
        <v>199</v>
      </c>
      <c r="D2988" s="1" t="s">
        <v>578</v>
      </c>
      <c r="E2988" s="1" t="s">
        <v>6</v>
      </c>
      <c r="F2988" s="1" t="s">
        <v>5091</v>
      </c>
      <c r="G2988" s="1" t="s">
        <v>6181</v>
      </c>
      <c r="H2988" s="1" t="s">
        <v>118</v>
      </c>
      <c r="I2988" s="1" t="s">
        <v>6090</v>
      </c>
      <c r="J2988" s="17"/>
    </row>
    <row r="2989" spans="1:10">
      <c r="A2989" s="7" t="s">
        <v>8039</v>
      </c>
      <c r="B2989" s="1" t="s">
        <v>2628</v>
      </c>
      <c r="C2989" s="1">
        <v>199</v>
      </c>
      <c r="D2989" s="1" t="s">
        <v>578</v>
      </c>
      <c r="E2989" s="1" t="s">
        <v>6</v>
      </c>
      <c r="F2989" s="1" t="s">
        <v>5091</v>
      </c>
      <c r="G2989" s="1" t="s">
        <v>6181</v>
      </c>
      <c r="H2989" s="1" t="s">
        <v>118</v>
      </c>
      <c r="I2989" s="1" t="s">
        <v>4458</v>
      </c>
    </row>
    <row r="2990" spans="1:10">
      <c r="A2990" s="7" t="s">
        <v>8040</v>
      </c>
      <c r="B2990" s="1" t="s">
        <v>2628</v>
      </c>
      <c r="C2990" s="1">
        <v>199</v>
      </c>
      <c r="D2990" s="1" t="s">
        <v>578</v>
      </c>
      <c r="E2990" s="1" t="s">
        <v>6</v>
      </c>
      <c r="F2990" s="1" t="s">
        <v>5091</v>
      </c>
      <c r="G2990" s="1" t="s">
        <v>6181</v>
      </c>
      <c r="H2990" s="1" t="s">
        <v>118</v>
      </c>
      <c r="I2990" s="1" t="s">
        <v>4458</v>
      </c>
    </row>
    <row r="2991" spans="1:10">
      <c r="A2991" s="7" t="s">
        <v>8047</v>
      </c>
      <c r="B2991" s="1" t="s">
        <v>2628</v>
      </c>
      <c r="C2991" s="1">
        <v>199</v>
      </c>
      <c r="D2991" s="1" t="s">
        <v>578</v>
      </c>
      <c r="E2991" s="1" t="s">
        <v>6</v>
      </c>
      <c r="F2991" s="1" t="s">
        <v>5091</v>
      </c>
      <c r="G2991" s="1" t="s">
        <v>6236</v>
      </c>
      <c r="H2991" s="1" t="s">
        <v>43</v>
      </c>
      <c r="I2991" s="1" t="s">
        <v>6090</v>
      </c>
      <c r="J2991" s="17"/>
    </row>
    <row r="2992" spans="1:10">
      <c r="A2992" s="16" t="s">
        <v>8119</v>
      </c>
      <c r="B2992" s="1" t="s">
        <v>2628</v>
      </c>
      <c r="C2992" s="1">
        <v>199</v>
      </c>
      <c r="D2992" s="1" t="s">
        <v>578</v>
      </c>
      <c r="E2992" s="1" t="s">
        <v>6</v>
      </c>
      <c r="F2992" s="1" t="s">
        <v>5091</v>
      </c>
      <c r="G2992" s="14" t="s">
        <v>6691</v>
      </c>
      <c r="H2992" s="1" t="s">
        <v>5</v>
      </c>
      <c r="I2992" s="17">
        <v>41765</v>
      </c>
    </row>
    <row r="2993" spans="1:9">
      <c r="A2993" s="7" t="s">
        <v>8186</v>
      </c>
      <c r="B2993" s="1" t="s">
        <v>2628</v>
      </c>
      <c r="C2993" s="1">
        <v>199</v>
      </c>
      <c r="D2993" s="1" t="s">
        <v>578</v>
      </c>
      <c r="E2993" s="1" t="s">
        <v>6</v>
      </c>
      <c r="F2993" s="1" t="s">
        <v>5091</v>
      </c>
      <c r="G2993" s="1" t="s">
        <v>6145</v>
      </c>
      <c r="H2993" s="1" t="s">
        <v>43</v>
      </c>
      <c r="I2993" s="1" t="s">
        <v>5798</v>
      </c>
    </row>
    <row r="2994" spans="1:9">
      <c r="A2994" s="7" t="s">
        <v>8190</v>
      </c>
      <c r="B2994" s="1" t="s">
        <v>2628</v>
      </c>
      <c r="C2994" s="1">
        <v>199</v>
      </c>
      <c r="D2994" s="1" t="s">
        <v>578</v>
      </c>
      <c r="E2994" s="1" t="s">
        <v>6</v>
      </c>
      <c r="F2994" s="1" t="s">
        <v>5091</v>
      </c>
      <c r="G2994" s="1" t="s">
        <v>6145</v>
      </c>
      <c r="H2994" s="1" t="s">
        <v>43</v>
      </c>
      <c r="I2994" s="1" t="s">
        <v>5798</v>
      </c>
    </row>
    <row r="2995" spans="1:9">
      <c r="A2995" s="7" t="s">
        <v>8224</v>
      </c>
      <c r="B2995" s="1" t="s">
        <v>2628</v>
      </c>
      <c r="C2995" s="1">
        <v>199</v>
      </c>
      <c r="D2995" s="1" t="s">
        <v>578</v>
      </c>
      <c r="E2995" s="1" t="s">
        <v>6</v>
      </c>
      <c r="F2995" s="1" t="s">
        <v>118</v>
      </c>
      <c r="G2995" s="1" t="s">
        <v>6530</v>
      </c>
      <c r="H2995" s="1" t="s">
        <v>43</v>
      </c>
      <c r="I2995" s="1" t="s">
        <v>5642</v>
      </c>
    </row>
    <row r="2996" spans="1:9">
      <c r="A2996" s="16" t="s">
        <v>8434</v>
      </c>
      <c r="B2996" s="1" t="s">
        <v>2628</v>
      </c>
      <c r="C2996" s="1">
        <v>199</v>
      </c>
      <c r="D2996" s="1" t="s">
        <v>578</v>
      </c>
      <c r="E2996" s="1" t="s">
        <v>6</v>
      </c>
      <c r="F2996" s="1" t="s">
        <v>5091</v>
      </c>
      <c r="G2996" s="14" t="s">
        <v>6145</v>
      </c>
      <c r="H2996" s="1" t="s">
        <v>43</v>
      </c>
      <c r="I2996" s="17">
        <v>36731</v>
      </c>
    </row>
    <row r="2997" spans="1:9">
      <c r="A2997" s="16" t="s">
        <v>8449</v>
      </c>
      <c r="B2997" s="1" t="s">
        <v>2628</v>
      </c>
      <c r="C2997" s="1">
        <v>199</v>
      </c>
      <c r="D2997" s="1" t="s">
        <v>578</v>
      </c>
      <c r="E2997" s="1" t="s">
        <v>6</v>
      </c>
      <c r="F2997" s="1" t="s">
        <v>5091</v>
      </c>
      <c r="G2997" s="14" t="s">
        <v>6145</v>
      </c>
      <c r="H2997" s="1" t="s">
        <v>43</v>
      </c>
      <c r="I2997" s="17">
        <v>40577</v>
      </c>
    </row>
    <row r="2998" spans="1:9">
      <c r="A2998" s="16" t="s">
        <v>8450</v>
      </c>
      <c r="B2998" s="1" t="s">
        <v>2628</v>
      </c>
      <c r="C2998" s="1">
        <v>199</v>
      </c>
      <c r="D2998" s="1" t="s">
        <v>578</v>
      </c>
      <c r="E2998" s="1" t="s">
        <v>6</v>
      </c>
      <c r="F2998" s="1" t="s">
        <v>5091</v>
      </c>
      <c r="G2998" s="14" t="s">
        <v>6145</v>
      </c>
      <c r="H2998" s="1" t="s">
        <v>43</v>
      </c>
      <c r="I2998" s="17">
        <v>40282</v>
      </c>
    </row>
    <row r="2999" spans="1:9">
      <c r="A2999" s="16" t="s">
        <v>8451</v>
      </c>
      <c r="B2999" s="1" t="s">
        <v>2628</v>
      </c>
      <c r="C2999" s="1">
        <v>199</v>
      </c>
      <c r="D2999" s="1" t="s">
        <v>578</v>
      </c>
      <c r="E2999" s="1" t="s">
        <v>6</v>
      </c>
      <c r="F2999" s="1" t="s">
        <v>5091</v>
      </c>
      <c r="G2999" s="14" t="s">
        <v>6145</v>
      </c>
      <c r="H2999" s="1" t="s">
        <v>43</v>
      </c>
      <c r="I2999" s="17">
        <v>40577</v>
      </c>
    </row>
    <row r="3000" spans="1:9">
      <c r="A3000" s="16" t="s">
        <v>8458</v>
      </c>
      <c r="B3000" s="1" t="s">
        <v>2628</v>
      </c>
      <c r="C3000" s="1">
        <v>199</v>
      </c>
      <c r="D3000" s="1" t="s">
        <v>578</v>
      </c>
      <c r="E3000" s="1" t="s">
        <v>6</v>
      </c>
      <c r="F3000" s="1" t="s">
        <v>5091</v>
      </c>
      <c r="G3000" s="14" t="s">
        <v>6145</v>
      </c>
      <c r="H3000" s="1" t="s">
        <v>43</v>
      </c>
      <c r="I3000" s="17">
        <v>40577</v>
      </c>
    </row>
    <row r="3001" spans="1:9">
      <c r="A3001" s="16" t="s">
        <v>8462</v>
      </c>
      <c r="B3001" s="1" t="s">
        <v>2628</v>
      </c>
      <c r="C3001" s="1">
        <v>199</v>
      </c>
      <c r="D3001" s="1" t="s">
        <v>578</v>
      </c>
      <c r="E3001" s="1" t="s">
        <v>6</v>
      </c>
      <c r="F3001" s="1" t="s">
        <v>5091</v>
      </c>
      <c r="G3001" s="14" t="s">
        <v>6145</v>
      </c>
      <c r="H3001" s="1" t="s">
        <v>43</v>
      </c>
      <c r="I3001" s="17">
        <v>40282</v>
      </c>
    </row>
    <row r="3002" spans="1:9">
      <c r="A3002" s="16" t="s">
        <v>8463</v>
      </c>
      <c r="B3002" s="1" t="s">
        <v>2628</v>
      </c>
      <c r="C3002" s="1">
        <v>199</v>
      </c>
      <c r="D3002" s="1" t="s">
        <v>578</v>
      </c>
      <c r="E3002" s="1" t="s">
        <v>6</v>
      </c>
      <c r="F3002" s="1" t="s">
        <v>5091</v>
      </c>
      <c r="G3002" s="14" t="s">
        <v>6145</v>
      </c>
      <c r="H3002" s="1" t="s">
        <v>43</v>
      </c>
      <c r="I3002" s="17">
        <v>40577</v>
      </c>
    </row>
    <row r="3003" spans="1:9">
      <c r="A3003" s="16" t="s">
        <v>8466</v>
      </c>
      <c r="B3003" s="1" t="s">
        <v>2628</v>
      </c>
      <c r="C3003" s="1">
        <v>199</v>
      </c>
      <c r="D3003" s="1" t="s">
        <v>578</v>
      </c>
      <c r="E3003" s="1" t="s">
        <v>6</v>
      </c>
      <c r="F3003" s="1" t="s">
        <v>5091</v>
      </c>
      <c r="G3003" s="14" t="s">
        <v>6145</v>
      </c>
      <c r="H3003" s="1" t="s">
        <v>43</v>
      </c>
      <c r="I3003" s="17">
        <v>39709</v>
      </c>
    </row>
    <row r="3004" spans="1:9">
      <c r="A3004" s="16" t="s">
        <v>8472</v>
      </c>
      <c r="B3004" s="1" t="s">
        <v>2628</v>
      </c>
      <c r="C3004" s="1">
        <v>199</v>
      </c>
      <c r="D3004" s="1" t="s">
        <v>578</v>
      </c>
      <c r="E3004" s="1" t="s">
        <v>6</v>
      </c>
      <c r="F3004" s="1" t="s">
        <v>5091</v>
      </c>
      <c r="G3004" s="14" t="s">
        <v>6236</v>
      </c>
      <c r="H3004" s="1" t="s">
        <v>43</v>
      </c>
      <c r="I3004" s="17">
        <v>41640</v>
      </c>
    </row>
    <row r="3005" spans="1:9" ht="31.2">
      <c r="A3005" s="16" t="s">
        <v>8478</v>
      </c>
      <c r="B3005" s="1" t="s">
        <v>2628</v>
      </c>
      <c r="C3005" s="1">
        <v>199</v>
      </c>
      <c r="D3005" s="1" t="s">
        <v>578</v>
      </c>
      <c r="E3005" s="1" t="s">
        <v>6</v>
      </c>
      <c r="F3005" s="1" t="s">
        <v>5091</v>
      </c>
      <c r="G3005" s="14" t="s">
        <v>6145</v>
      </c>
      <c r="H3005" s="1" t="s">
        <v>43</v>
      </c>
      <c r="I3005" s="17">
        <v>41591</v>
      </c>
    </row>
    <row r="3006" spans="1:9">
      <c r="A3006" s="16" t="s">
        <v>8482</v>
      </c>
      <c r="B3006" s="1" t="s">
        <v>2628</v>
      </c>
      <c r="C3006" s="1">
        <v>199</v>
      </c>
      <c r="D3006" s="1" t="s">
        <v>578</v>
      </c>
      <c r="E3006" s="1" t="s">
        <v>6</v>
      </c>
      <c r="F3006" s="1" t="s">
        <v>5091</v>
      </c>
      <c r="G3006" s="14" t="s">
        <v>8483</v>
      </c>
      <c r="H3006" s="1" t="s">
        <v>5</v>
      </c>
      <c r="I3006" s="17">
        <v>41806</v>
      </c>
    </row>
    <row r="3007" spans="1:9">
      <c r="A3007" s="16" t="s">
        <v>8484</v>
      </c>
      <c r="B3007" s="1" t="s">
        <v>2628</v>
      </c>
      <c r="C3007" s="1">
        <v>199</v>
      </c>
      <c r="D3007" s="1" t="s">
        <v>578</v>
      </c>
      <c r="E3007" s="1" t="s">
        <v>6</v>
      </c>
      <c r="F3007" s="1" t="s">
        <v>5091</v>
      </c>
      <c r="G3007" s="14" t="s">
        <v>8485</v>
      </c>
      <c r="H3007" s="1" t="s">
        <v>5</v>
      </c>
      <c r="I3007" s="17">
        <v>41806</v>
      </c>
    </row>
    <row r="3008" spans="1:9">
      <c r="A3008" s="16" t="s">
        <v>8488</v>
      </c>
      <c r="B3008" s="1" t="s">
        <v>2628</v>
      </c>
      <c r="C3008" s="1">
        <v>199</v>
      </c>
      <c r="D3008" s="1" t="s">
        <v>578</v>
      </c>
      <c r="E3008" s="1" t="s">
        <v>6</v>
      </c>
      <c r="F3008" s="1" t="s">
        <v>5091</v>
      </c>
      <c r="G3008" s="14" t="s">
        <v>8489</v>
      </c>
      <c r="H3008" s="1" t="s">
        <v>43</v>
      </c>
      <c r="I3008" s="17">
        <v>41799</v>
      </c>
    </row>
    <row r="3009" spans="1:9">
      <c r="A3009" s="16" t="s">
        <v>8525</v>
      </c>
      <c r="B3009" s="1" t="s">
        <v>2628</v>
      </c>
      <c r="C3009" s="1">
        <v>199</v>
      </c>
      <c r="D3009" s="1" t="s">
        <v>578</v>
      </c>
      <c r="E3009" s="1" t="s">
        <v>6</v>
      </c>
      <c r="F3009" s="1" t="s">
        <v>5091</v>
      </c>
      <c r="G3009" s="14" t="s">
        <v>6236</v>
      </c>
      <c r="H3009" s="1" t="s">
        <v>43</v>
      </c>
      <c r="I3009" s="17">
        <v>41275</v>
      </c>
    </row>
    <row r="3010" spans="1:9">
      <c r="A3010" s="16" t="s">
        <v>8538</v>
      </c>
      <c r="B3010" s="1" t="s">
        <v>2628</v>
      </c>
      <c r="C3010" s="1">
        <v>199</v>
      </c>
      <c r="D3010" s="1" t="s">
        <v>578</v>
      </c>
      <c r="E3010" s="1" t="s">
        <v>6</v>
      </c>
      <c r="F3010" s="1" t="s">
        <v>5091</v>
      </c>
      <c r="G3010" s="14" t="s">
        <v>6236</v>
      </c>
      <c r="H3010" s="1" t="s">
        <v>43</v>
      </c>
      <c r="I3010" s="17">
        <v>41640</v>
      </c>
    </row>
    <row r="3011" spans="1:9">
      <c r="A3011" s="16" t="s">
        <v>8670</v>
      </c>
      <c r="B3011" s="1" t="s">
        <v>2628</v>
      </c>
      <c r="C3011" s="1">
        <v>199</v>
      </c>
      <c r="D3011" s="1" t="s">
        <v>578</v>
      </c>
      <c r="E3011" s="1" t="s">
        <v>6</v>
      </c>
      <c r="F3011" s="1" t="s">
        <v>5091</v>
      </c>
      <c r="G3011" s="14" t="s">
        <v>6145</v>
      </c>
      <c r="H3011" s="1" t="s">
        <v>43</v>
      </c>
      <c r="I3011" s="17">
        <v>41933</v>
      </c>
    </row>
    <row r="3012" spans="1:9">
      <c r="A3012" s="16" t="s">
        <v>8671</v>
      </c>
      <c r="B3012" s="1" t="s">
        <v>2628</v>
      </c>
      <c r="C3012" s="1">
        <v>199</v>
      </c>
      <c r="D3012" s="1" t="s">
        <v>578</v>
      </c>
      <c r="E3012" s="1" t="s">
        <v>6</v>
      </c>
      <c r="F3012" s="1" t="s">
        <v>5091</v>
      </c>
      <c r="G3012" s="14" t="s">
        <v>6145</v>
      </c>
      <c r="H3012" s="1" t="s">
        <v>43</v>
      </c>
      <c r="I3012" s="17">
        <v>41934</v>
      </c>
    </row>
    <row r="3013" spans="1:9">
      <c r="A3013" s="16" t="s">
        <v>8694</v>
      </c>
      <c r="B3013" s="1" t="s">
        <v>2628</v>
      </c>
      <c r="C3013" s="1">
        <v>199</v>
      </c>
      <c r="D3013" s="1" t="s">
        <v>578</v>
      </c>
      <c r="E3013" s="1" t="s">
        <v>6</v>
      </c>
      <c r="F3013" s="1" t="s">
        <v>5091</v>
      </c>
      <c r="G3013" s="14" t="s">
        <v>8695</v>
      </c>
      <c r="H3013" s="1" t="s">
        <v>5</v>
      </c>
      <c r="I3013" s="17">
        <v>41949</v>
      </c>
    </row>
    <row r="3014" spans="1:9">
      <c r="A3014" s="16" t="s">
        <v>8696</v>
      </c>
      <c r="B3014" s="1" t="s">
        <v>2628</v>
      </c>
      <c r="C3014" s="1">
        <v>199</v>
      </c>
      <c r="D3014" s="1" t="s">
        <v>578</v>
      </c>
      <c r="E3014" s="1" t="s">
        <v>6</v>
      </c>
      <c r="F3014" s="1" t="s">
        <v>5091</v>
      </c>
      <c r="G3014" s="14" t="s">
        <v>8697</v>
      </c>
      <c r="H3014" s="1" t="s">
        <v>5</v>
      </c>
      <c r="I3014" s="17">
        <v>41640</v>
      </c>
    </row>
    <row r="3015" spans="1:9">
      <c r="A3015" s="16" t="s">
        <v>8729</v>
      </c>
      <c r="B3015" s="1" t="s">
        <v>2628</v>
      </c>
      <c r="C3015" s="1">
        <v>199</v>
      </c>
      <c r="D3015" s="1" t="s">
        <v>578</v>
      </c>
      <c r="E3015" s="1" t="s">
        <v>6</v>
      </c>
      <c r="F3015" s="1" t="s">
        <v>5091</v>
      </c>
      <c r="G3015" s="14" t="s">
        <v>6145</v>
      </c>
      <c r="H3015" s="1" t="s">
        <v>43</v>
      </c>
      <c r="I3015" s="17">
        <v>41956</v>
      </c>
    </row>
    <row r="3016" spans="1:9">
      <c r="A3016" s="16" t="s">
        <v>8732</v>
      </c>
      <c r="B3016" s="1" t="s">
        <v>2628</v>
      </c>
      <c r="C3016" s="1">
        <v>199</v>
      </c>
      <c r="D3016" s="1" t="s">
        <v>578</v>
      </c>
      <c r="E3016" s="1" t="s">
        <v>6</v>
      </c>
      <c r="F3016" s="1" t="s">
        <v>5091</v>
      </c>
      <c r="G3016" s="14" t="s">
        <v>6145</v>
      </c>
      <c r="H3016" s="1" t="s">
        <v>43</v>
      </c>
      <c r="I3016" s="17">
        <v>41956</v>
      </c>
    </row>
    <row r="3017" spans="1:9">
      <c r="A3017" s="16" t="s">
        <v>8768</v>
      </c>
      <c r="B3017" s="1" t="s">
        <v>2628</v>
      </c>
      <c r="C3017" s="1">
        <v>199</v>
      </c>
      <c r="D3017" s="1" t="s">
        <v>578</v>
      </c>
      <c r="E3017" s="1" t="s">
        <v>6</v>
      </c>
      <c r="F3017" s="1" t="s">
        <v>5091</v>
      </c>
      <c r="G3017" s="14" t="s">
        <v>8769</v>
      </c>
      <c r="H3017" s="1" t="s">
        <v>5</v>
      </c>
      <c r="I3017" s="17">
        <v>37008</v>
      </c>
    </row>
    <row r="3018" spans="1:9">
      <c r="A3018" s="16" t="s">
        <v>8781</v>
      </c>
      <c r="B3018" s="1" t="s">
        <v>2628</v>
      </c>
      <c r="C3018" s="1">
        <v>1205</v>
      </c>
      <c r="D3018" s="1" t="s">
        <v>578</v>
      </c>
      <c r="E3018" s="1" t="s">
        <v>6</v>
      </c>
      <c r="F3018" s="1" t="s">
        <v>5091</v>
      </c>
      <c r="G3018" s="14" t="s">
        <v>8782</v>
      </c>
      <c r="H3018" s="1" t="s">
        <v>5</v>
      </c>
      <c r="I3018" s="17">
        <v>37953</v>
      </c>
    </row>
    <row r="3019" spans="1:9">
      <c r="A3019" s="16" t="s">
        <v>8803</v>
      </c>
      <c r="B3019" s="1" t="s">
        <v>2628</v>
      </c>
      <c r="C3019" s="1">
        <v>199</v>
      </c>
      <c r="D3019" s="1" t="s">
        <v>578</v>
      </c>
      <c r="E3019" s="1" t="s">
        <v>6</v>
      </c>
      <c r="F3019" s="1" t="s">
        <v>118</v>
      </c>
      <c r="G3019" s="14" t="s">
        <v>8804</v>
      </c>
      <c r="H3019" s="1" t="s">
        <v>118</v>
      </c>
      <c r="I3019" s="17">
        <v>36809</v>
      </c>
    </row>
    <row r="3020" spans="1:9">
      <c r="A3020" s="16" t="s">
        <v>8859</v>
      </c>
      <c r="B3020" s="1" t="s">
        <v>2628</v>
      </c>
      <c r="C3020" s="1">
        <v>199</v>
      </c>
      <c r="D3020" s="1" t="s">
        <v>578</v>
      </c>
      <c r="E3020" s="1" t="s">
        <v>6</v>
      </c>
      <c r="F3020" s="1" t="s">
        <v>118</v>
      </c>
      <c r="G3020" s="14" t="s">
        <v>4458</v>
      </c>
      <c r="H3020" s="1" t="s">
        <v>118</v>
      </c>
      <c r="I3020" s="1" t="s">
        <v>4458</v>
      </c>
    </row>
    <row r="3021" spans="1:9">
      <c r="A3021" s="16" t="s">
        <v>8861</v>
      </c>
      <c r="B3021" s="1" t="s">
        <v>2628</v>
      </c>
      <c r="C3021" s="1">
        <v>199</v>
      </c>
      <c r="D3021" s="1" t="s">
        <v>578</v>
      </c>
      <c r="E3021" s="1" t="s">
        <v>6</v>
      </c>
      <c r="F3021" s="1" t="s">
        <v>118</v>
      </c>
      <c r="G3021" s="14" t="s">
        <v>4458</v>
      </c>
      <c r="H3021" s="1" t="s">
        <v>118</v>
      </c>
      <c r="I3021" s="1" t="s">
        <v>4458</v>
      </c>
    </row>
    <row r="3022" spans="1:9">
      <c r="A3022" s="16" t="s">
        <v>8867</v>
      </c>
      <c r="B3022" s="1" t="s">
        <v>2628</v>
      </c>
      <c r="C3022" s="1">
        <v>1205</v>
      </c>
      <c r="D3022" s="1" t="s">
        <v>578</v>
      </c>
      <c r="E3022" s="1" t="s">
        <v>6</v>
      </c>
      <c r="F3022" s="1" t="s">
        <v>118</v>
      </c>
      <c r="G3022" s="14" t="s">
        <v>4458</v>
      </c>
      <c r="H3022" s="1" t="s">
        <v>118</v>
      </c>
      <c r="I3022" s="1" t="s">
        <v>4458</v>
      </c>
    </row>
    <row r="3023" spans="1:9">
      <c r="A3023" s="16" t="s">
        <v>8891</v>
      </c>
      <c r="B3023" s="1" t="s">
        <v>2628</v>
      </c>
      <c r="C3023" s="1">
        <v>199</v>
      </c>
      <c r="D3023" s="1" t="s">
        <v>578</v>
      </c>
      <c r="E3023" s="1" t="s">
        <v>6</v>
      </c>
      <c r="F3023" s="1" t="s">
        <v>5091</v>
      </c>
      <c r="G3023" s="14" t="s">
        <v>8892</v>
      </c>
      <c r="H3023" s="1" t="s">
        <v>5</v>
      </c>
      <c r="I3023" s="1" t="s">
        <v>4458</v>
      </c>
    </row>
    <row r="3024" spans="1:9">
      <c r="A3024" s="16" t="s">
        <v>8907</v>
      </c>
      <c r="B3024" s="1" t="s">
        <v>2628</v>
      </c>
      <c r="C3024" s="1">
        <v>199</v>
      </c>
      <c r="D3024" s="1" t="s">
        <v>578</v>
      </c>
      <c r="E3024" s="1" t="s">
        <v>6</v>
      </c>
      <c r="F3024" s="1" t="s">
        <v>5091</v>
      </c>
      <c r="G3024" s="14" t="s">
        <v>8908</v>
      </c>
      <c r="H3024" s="1" t="s">
        <v>5</v>
      </c>
      <c r="I3024" s="17">
        <v>36892</v>
      </c>
    </row>
    <row r="3025" spans="1:9">
      <c r="A3025" s="16" t="s">
        <v>8933</v>
      </c>
      <c r="B3025" s="1" t="s">
        <v>2631</v>
      </c>
      <c r="C3025" s="1">
        <v>199</v>
      </c>
      <c r="D3025" s="1" t="s">
        <v>578</v>
      </c>
      <c r="E3025" s="1" t="s">
        <v>6</v>
      </c>
      <c r="F3025" s="1" t="s">
        <v>5091</v>
      </c>
      <c r="G3025" s="1" t="s">
        <v>6145</v>
      </c>
      <c r="H3025" s="1" t="s">
        <v>43</v>
      </c>
      <c r="I3025" s="17">
        <v>40204</v>
      </c>
    </row>
    <row r="3026" spans="1:9">
      <c r="A3026" s="16" t="s">
        <v>9013</v>
      </c>
      <c r="B3026" s="1" t="s">
        <v>2628</v>
      </c>
      <c r="C3026" s="1">
        <v>199</v>
      </c>
      <c r="D3026" s="1" t="s">
        <v>578</v>
      </c>
      <c r="E3026" s="1" t="s">
        <v>6</v>
      </c>
      <c r="F3026" s="1" t="s">
        <v>5091</v>
      </c>
      <c r="G3026" s="14" t="s">
        <v>6145</v>
      </c>
      <c r="H3026" s="1" t="s">
        <v>43</v>
      </c>
      <c r="I3026" s="17">
        <v>41988</v>
      </c>
    </row>
    <row r="3027" spans="1:9">
      <c r="A3027" s="16" t="s">
        <v>9029</v>
      </c>
      <c r="B3027" s="1" t="s">
        <v>2628</v>
      </c>
      <c r="C3027" s="1">
        <v>199</v>
      </c>
      <c r="D3027" s="1" t="s">
        <v>578</v>
      </c>
      <c r="E3027" s="1" t="s">
        <v>6</v>
      </c>
      <c r="F3027" s="1" t="s">
        <v>5091</v>
      </c>
      <c r="G3027" s="14" t="s">
        <v>6236</v>
      </c>
      <c r="H3027" s="1" t="s">
        <v>43</v>
      </c>
      <c r="I3027" s="17">
        <v>42005</v>
      </c>
    </row>
    <row r="3028" spans="1:9">
      <c r="A3028" s="16" t="s">
        <v>9073</v>
      </c>
      <c r="B3028" s="1" t="s">
        <v>2628</v>
      </c>
      <c r="C3028" s="1">
        <v>199</v>
      </c>
      <c r="D3028" s="1" t="s">
        <v>578</v>
      </c>
      <c r="E3028" s="1" t="s">
        <v>6</v>
      </c>
      <c r="F3028" s="1" t="s">
        <v>5091</v>
      </c>
      <c r="G3028" s="14" t="s">
        <v>6145</v>
      </c>
      <c r="H3028" s="1" t="s">
        <v>43</v>
      </c>
      <c r="I3028" s="17">
        <v>42114</v>
      </c>
    </row>
    <row r="3029" spans="1:9">
      <c r="A3029" s="16" t="s">
        <v>9129</v>
      </c>
      <c r="B3029" s="1" t="s">
        <v>2628</v>
      </c>
      <c r="C3029" s="1">
        <v>199</v>
      </c>
      <c r="D3029" s="1" t="s">
        <v>578</v>
      </c>
      <c r="E3029" s="1" t="s">
        <v>6</v>
      </c>
      <c r="F3029" s="1" t="s">
        <v>5091</v>
      </c>
      <c r="G3029" s="14" t="s">
        <v>6145</v>
      </c>
      <c r="H3029" s="1" t="s">
        <v>43</v>
      </c>
      <c r="I3029" s="17">
        <v>42111</v>
      </c>
    </row>
    <row r="3030" spans="1:9">
      <c r="A3030" s="16" t="s">
        <v>9182</v>
      </c>
      <c r="B3030" s="1" t="s">
        <v>2628</v>
      </c>
      <c r="C3030" s="1">
        <v>199</v>
      </c>
      <c r="D3030" s="1" t="s">
        <v>578</v>
      </c>
      <c r="E3030" s="1" t="s">
        <v>6</v>
      </c>
      <c r="F3030" s="1" t="s">
        <v>5091</v>
      </c>
      <c r="G3030" s="14" t="s">
        <v>6145</v>
      </c>
      <c r="H3030" s="1" t="s">
        <v>43</v>
      </c>
      <c r="I3030" s="17">
        <v>42111</v>
      </c>
    </row>
    <row r="3031" spans="1:9">
      <c r="A3031" s="16" t="s">
        <v>9245</v>
      </c>
      <c r="B3031" s="1" t="s">
        <v>2628</v>
      </c>
      <c r="C3031" s="1">
        <v>199</v>
      </c>
      <c r="D3031" s="1" t="s">
        <v>578</v>
      </c>
      <c r="E3031" s="1" t="s">
        <v>6</v>
      </c>
      <c r="F3031" s="1" t="s">
        <v>5091</v>
      </c>
      <c r="G3031" s="14" t="s">
        <v>9244</v>
      </c>
      <c r="H3031" s="1" t="s">
        <v>5</v>
      </c>
      <c r="I3031" s="17">
        <v>40998</v>
      </c>
    </row>
    <row r="3032" spans="1:9">
      <c r="A3032" s="16" t="s">
        <v>9256</v>
      </c>
      <c r="B3032" s="1" t="s">
        <v>2628</v>
      </c>
      <c r="C3032" s="1">
        <v>199</v>
      </c>
      <c r="D3032" s="1" t="s">
        <v>578</v>
      </c>
      <c r="E3032" s="1" t="s">
        <v>6</v>
      </c>
      <c r="F3032" s="1" t="s">
        <v>5091</v>
      </c>
      <c r="G3032" s="14" t="s">
        <v>9244</v>
      </c>
      <c r="H3032" s="1" t="s">
        <v>5</v>
      </c>
      <c r="I3032" s="17">
        <v>40998</v>
      </c>
    </row>
    <row r="3033" spans="1:9">
      <c r="A3033" s="16" t="s">
        <v>9259</v>
      </c>
      <c r="B3033" s="1" t="s">
        <v>2628</v>
      </c>
      <c r="C3033" s="1">
        <v>199</v>
      </c>
      <c r="D3033" s="1" t="s">
        <v>578</v>
      </c>
      <c r="E3033" s="1" t="s">
        <v>6</v>
      </c>
      <c r="F3033" s="1" t="s">
        <v>5091</v>
      </c>
      <c r="G3033" s="14" t="s">
        <v>8964</v>
      </c>
      <c r="H3033" s="1" t="s">
        <v>5</v>
      </c>
      <c r="I3033" s="17">
        <v>40884</v>
      </c>
    </row>
    <row r="3034" spans="1:9">
      <c r="A3034" s="16" t="s">
        <v>9265</v>
      </c>
      <c r="B3034" s="1" t="s">
        <v>2628</v>
      </c>
      <c r="C3034" s="1">
        <v>199</v>
      </c>
      <c r="D3034" s="1" t="s">
        <v>578</v>
      </c>
      <c r="E3034" s="1" t="s">
        <v>6</v>
      </c>
      <c r="F3034" s="1" t="s">
        <v>5091</v>
      </c>
      <c r="G3034" s="14" t="s">
        <v>9244</v>
      </c>
      <c r="H3034" s="1" t="s">
        <v>5</v>
      </c>
      <c r="I3034" s="17">
        <v>40998</v>
      </c>
    </row>
    <row r="3035" spans="1:9">
      <c r="A3035" s="16" t="s">
        <v>9279</v>
      </c>
      <c r="B3035" s="1" t="s">
        <v>2628</v>
      </c>
      <c r="C3035" s="1">
        <v>199</v>
      </c>
      <c r="D3035" s="1" t="s">
        <v>578</v>
      </c>
      <c r="E3035" s="1" t="s">
        <v>6</v>
      </c>
      <c r="F3035" s="1" t="s">
        <v>5091</v>
      </c>
      <c r="G3035" s="14" t="s">
        <v>9244</v>
      </c>
      <c r="H3035" s="1" t="s">
        <v>5</v>
      </c>
      <c r="I3035" s="17">
        <v>40884</v>
      </c>
    </row>
    <row r="3036" spans="1:9">
      <c r="A3036" s="16" t="s">
        <v>9282</v>
      </c>
      <c r="B3036" s="1" t="s">
        <v>2628</v>
      </c>
      <c r="C3036" s="1">
        <v>199</v>
      </c>
      <c r="D3036" s="1" t="s">
        <v>578</v>
      </c>
      <c r="E3036" s="1" t="s">
        <v>6</v>
      </c>
      <c r="F3036" s="1" t="s">
        <v>5091</v>
      </c>
      <c r="G3036" s="14" t="s">
        <v>8964</v>
      </c>
      <c r="H3036" s="1" t="s">
        <v>5</v>
      </c>
      <c r="I3036" s="17">
        <v>40884</v>
      </c>
    </row>
    <row r="3037" spans="1:9">
      <c r="A3037" s="16" t="s">
        <v>9285</v>
      </c>
      <c r="B3037" s="1" t="s">
        <v>2628</v>
      </c>
      <c r="C3037" s="1">
        <v>199</v>
      </c>
      <c r="D3037" s="1" t="s">
        <v>578</v>
      </c>
      <c r="E3037" s="1" t="s">
        <v>6</v>
      </c>
      <c r="F3037" s="1" t="s">
        <v>5091</v>
      </c>
      <c r="G3037" s="14" t="s">
        <v>9244</v>
      </c>
      <c r="H3037" s="1" t="s">
        <v>5</v>
      </c>
      <c r="I3037" s="17">
        <v>40998</v>
      </c>
    </row>
    <row r="3038" spans="1:9">
      <c r="A3038" s="16" t="s">
        <v>9286</v>
      </c>
      <c r="B3038" s="1" t="s">
        <v>2628</v>
      </c>
      <c r="C3038" s="1">
        <v>199</v>
      </c>
      <c r="D3038" s="1" t="s">
        <v>578</v>
      </c>
      <c r="E3038" s="1" t="s">
        <v>6</v>
      </c>
      <c r="F3038" s="1" t="s">
        <v>5091</v>
      </c>
      <c r="G3038" s="14" t="s">
        <v>9244</v>
      </c>
      <c r="H3038" s="1" t="s">
        <v>5</v>
      </c>
      <c r="I3038" s="17">
        <v>40884</v>
      </c>
    </row>
    <row r="3039" spans="1:9">
      <c r="A3039" s="16" t="s">
        <v>9296</v>
      </c>
      <c r="B3039" s="1" t="s">
        <v>2628</v>
      </c>
      <c r="C3039" s="1">
        <v>199</v>
      </c>
      <c r="D3039" s="1" t="s">
        <v>578</v>
      </c>
      <c r="E3039" s="1" t="s">
        <v>6</v>
      </c>
      <c r="F3039" s="1" t="s">
        <v>5091</v>
      </c>
      <c r="G3039" s="14" t="s">
        <v>6186</v>
      </c>
      <c r="H3039" s="1" t="s">
        <v>5</v>
      </c>
      <c r="I3039" s="17">
        <v>42005</v>
      </c>
    </row>
    <row r="3040" spans="1:9">
      <c r="A3040" s="16" t="s">
        <v>9347</v>
      </c>
      <c r="B3040" s="1" t="s">
        <v>2628</v>
      </c>
      <c r="C3040" s="1">
        <v>199</v>
      </c>
      <c r="D3040" s="1" t="s">
        <v>578</v>
      </c>
      <c r="E3040" s="1" t="s">
        <v>6</v>
      </c>
      <c r="F3040" s="1" t="s">
        <v>5091</v>
      </c>
      <c r="G3040" s="14" t="s">
        <v>6691</v>
      </c>
      <c r="H3040" s="1" t="s">
        <v>5</v>
      </c>
      <c r="I3040" s="17">
        <v>41773</v>
      </c>
    </row>
    <row r="3041" spans="1:9">
      <c r="A3041" s="16" t="s">
        <v>9348</v>
      </c>
      <c r="B3041" s="1" t="s">
        <v>2628</v>
      </c>
      <c r="C3041" s="1">
        <v>199</v>
      </c>
      <c r="D3041" s="1" t="s">
        <v>578</v>
      </c>
      <c r="E3041" s="1" t="s">
        <v>6</v>
      </c>
      <c r="F3041" s="1" t="s">
        <v>5091</v>
      </c>
      <c r="G3041" s="14" t="s">
        <v>6145</v>
      </c>
      <c r="H3041" s="1" t="s">
        <v>43</v>
      </c>
      <c r="I3041" s="17">
        <v>41799</v>
      </c>
    </row>
    <row r="3042" spans="1:9">
      <c r="A3042" s="16" t="s">
        <v>9349</v>
      </c>
      <c r="B3042" s="1" t="s">
        <v>2628</v>
      </c>
      <c r="C3042" s="1">
        <v>199</v>
      </c>
      <c r="D3042" s="1" t="s">
        <v>578</v>
      </c>
      <c r="E3042" s="1" t="s">
        <v>6</v>
      </c>
      <c r="F3042" s="1" t="s">
        <v>5091</v>
      </c>
      <c r="G3042" s="14" t="s">
        <v>6691</v>
      </c>
      <c r="H3042" s="1" t="s">
        <v>5</v>
      </c>
      <c r="I3042" s="17">
        <v>41773</v>
      </c>
    </row>
    <row r="3043" spans="1:9">
      <c r="A3043" s="16" t="s">
        <v>9350</v>
      </c>
      <c r="B3043" s="1" t="s">
        <v>2628</v>
      </c>
      <c r="C3043" s="1">
        <v>199</v>
      </c>
      <c r="D3043" s="1" t="s">
        <v>578</v>
      </c>
      <c r="E3043" s="1" t="s">
        <v>6</v>
      </c>
      <c r="F3043" s="1" t="s">
        <v>5091</v>
      </c>
      <c r="G3043" s="14" t="s">
        <v>6691</v>
      </c>
      <c r="H3043" s="1" t="s">
        <v>5</v>
      </c>
      <c r="I3043" s="17">
        <v>41765</v>
      </c>
    </row>
    <row r="3044" spans="1:9">
      <c r="A3044" s="16" t="s">
        <v>9352</v>
      </c>
      <c r="B3044" s="1" t="s">
        <v>2628</v>
      </c>
      <c r="C3044" s="1">
        <v>199</v>
      </c>
      <c r="D3044" s="1" t="s">
        <v>578</v>
      </c>
      <c r="E3044" s="1" t="s">
        <v>6</v>
      </c>
      <c r="F3044" s="1" t="s">
        <v>5091</v>
      </c>
      <c r="G3044" s="14" t="s">
        <v>6691</v>
      </c>
      <c r="H3044" s="1" t="s">
        <v>5</v>
      </c>
      <c r="I3044" s="17">
        <v>41773</v>
      </c>
    </row>
    <row r="3045" spans="1:9">
      <c r="A3045" s="16" t="s">
        <v>9353</v>
      </c>
      <c r="B3045" s="1" t="s">
        <v>2628</v>
      </c>
      <c r="C3045" s="1">
        <v>199</v>
      </c>
      <c r="D3045" s="1" t="s">
        <v>578</v>
      </c>
      <c r="E3045" s="1" t="s">
        <v>6</v>
      </c>
      <c r="F3045" s="1" t="s">
        <v>5091</v>
      </c>
      <c r="G3045" s="14" t="s">
        <v>6691</v>
      </c>
      <c r="H3045" s="1" t="s">
        <v>5</v>
      </c>
      <c r="I3045" s="17">
        <v>41773</v>
      </c>
    </row>
    <row r="3046" spans="1:9">
      <c r="A3046" s="16" t="s">
        <v>9391</v>
      </c>
      <c r="B3046" s="1" t="s">
        <v>2628</v>
      </c>
      <c r="C3046" s="1">
        <v>199</v>
      </c>
      <c r="D3046" s="1" t="s">
        <v>578</v>
      </c>
      <c r="E3046" s="1" t="s">
        <v>6</v>
      </c>
      <c r="F3046" s="1" t="s">
        <v>5091</v>
      </c>
      <c r="G3046" s="14" t="s">
        <v>6236</v>
      </c>
      <c r="H3046" s="1" t="s">
        <v>43</v>
      </c>
      <c r="I3046" s="17">
        <v>42005</v>
      </c>
    </row>
    <row r="3047" spans="1:9">
      <c r="A3047" s="16" t="s">
        <v>9394</v>
      </c>
      <c r="B3047" s="1" t="s">
        <v>2628</v>
      </c>
      <c r="C3047" s="1">
        <v>199</v>
      </c>
      <c r="D3047" s="1" t="s">
        <v>578</v>
      </c>
      <c r="E3047" s="1" t="s">
        <v>6</v>
      </c>
      <c r="F3047" s="1" t="s">
        <v>5091</v>
      </c>
      <c r="G3047" s="14" t="s">
        <v>9395</v>
      </c>
      <c r="H3047" s="1" t="s">
        <v>5</v>
      </c>
      <c r="I3047" s="17">
        <v>42005</v>
      </c>
    </row>
    <row r="3048" spans="1:9">
      <c r="A3048" s="16" t="s">
        <v>9494</v>
      </c>
      <c r="B3048" s="1" t="s">
        <v>2628</v>
      </c>
      <c r="C3048" s="1">
        <v>199</v>
      </c>
      <c r="D3048" s="1" t="s">
        <v>578</v>
      </c>
      <c r="E3048" s="1" t="s">
        <v>6</v>
      </c>
      <c r="F3048" s="1" t="s">
        <v>5091</v>
      </c>
      <c r="G3048" s="14" t="s">
        <v>9495</v>
      </c>
      <c r="H3048" s="1" t="s">
        <v>5</v>
      </c>
      <c r="I3048" s="17">
        <v>41176</v>
      </c>
    </row>
    <row r="3049" spans="1:9">
      <c r="A3049" s="16" t="s">
        <v>9513</v>
      </c>
      <c r="B3049" s="1" t="s">
        <v>2628</v>
      </c>
      <c r="C3049" s="1">
        <v>199</v>
      </c>
      <c r="D3049" s="1" t="s">
        <v>578</v>
      </c>
      <c r="E3049" s="1" t="s">
        <v>6</v>
      </c>
      <c r="F3049" s="1" t="s">
        <v>5091</v>
      </c>
      <c r="G3049" s="14" t="s">
        <v>6238</v>
      </c>
      <c r="H3049" s="1" t="s">
        <v>43</v>
      </c>
      <c r="I3049" s="17">
        <v>42005</v>
      </c>
    </row>
    <row r="3050" spans="1:9">
      <c r="A3050" s="16" t="s">
        <v>9514</v>
      </c>
      <c r="B3050" s="1" t="s">
        <v>2628</v>
      </c>
      <c r="C3050" s="1">
        <v>199</v>
      </c>
      <c r="D3050" s="1" t="s">
        <v>578</v>
      </c>
      <c r="E3050" s="1" t="s">
        <v>6</v>
      </c>
      <c r="F3050" s="1" t="s">
        <v>5091</v>
      </c>
      <c r="G3050" s="14" t="s">
        <v>9515</v>
      </c>
      <c r="H3050" s="1" t="s">
        <v>5</v>
      </c>
      <c r="I3050" s="17">
        <v>42005</v>
      </c>
    </row>
    <row r="3051" spans="1:9">
      <c r="A3051" s="16" t="s">
        <v>9516</v>
      </c>
      <c r="B3051" s="1" t="s">
        <v>2628</v>
      </c>
      <c r="C3051" s="1">
        <v>199</v>
      </c>
      <c r="D3051" s="1" t="s">
        <v>578</v>
      </c>
      <c r="E3051" s="1" t="s">
        <v>6</v>
      </c>
      <c r="F3051" s="1" t="s">
        <v>5091</v>
      </c>
      <c r="G3051" s="14" t="s">
        <v>6236</v>
      </c>
      <c r="H3051" s="1" t="s">
        <v>43</v>
      </c>
      <c r="I3051" s="17">
        <v>42005</v>
      </c>
    </row>
    <row r="3052" spans="1:9">
      <c r="A3052" s="16" t="s">
        <v>9517</v>
      </c>
      <c r="B3052" s="1" t="s">
        <v>2628</v>
      </c>
      <c r="C3052" s="1">
        <v>199</v>
      </c>
      <c r="D3052" s="1" t="s">
        <v>578</v>
      </c>
      <c r="E3052" s="1" t="s">
        <v>6</v>
      </c>
      <c r="F3052" s="1" t="s">
        <v>5091</v>
      </c>
      <c r="G3052" s="14" t="s">
        <v>6238</v>
      </c>
      <c r="H3052" s="1" t="s">
        <v>43</v>
      </c>
      <c r="I3052" s="17">
        <v>42005</v>
      </c>
    </row>
    <row r="3053" spans="1:9">
      <c r="A3053" s="16" t="s">
        <v>9519</v>
      </c>
      <c r="B3053" s="1" t="s">
        <v>2628</v>
      </c>
      <c r="C3053" s="1">
        <v>199</v>
      </c>
      <c r="D3053" s="1" t="s">
        <v>578</v>
      </c>
      <c r="E3053" s="1" t="s">
        <v>6</v>
      </c>
      <c r="F3053" s="1" t="s">
        <v>5091</v>
      </c>
      <c r="G3053" s="14" t="s">
        <v>9520</v>
      </c>
      <c r="H3053" s="1" t="s">
        <v>5</v>
      </c>
      <c r="I3053" s="17">
        <v>42005</v>
      </c>
    </row>
    <row r="3054" spans="1:9">
      <c r="A3054" s="16" t="s">
        <v>9522</v>
      </c>
      <c r="B3054" s="1" t="s">
        <v>2628</v>
      </c>
      <c r="C3054" s="1">
        <v>199</v>
      </c>
      <c r="D3054" s="1" t="s">
        <v>578</v>
      </c>
      <c r="E3054" s="1" t="s">
        <v>6</v>
      </c>
      <c r="F3054" s="1" t="s">
        <v>5091</v>
      </c>
      <c r="G3054" s="14" t="s">
        <v>9515</v>
      </c>
      <c r="H3054" s="1" t="s">
        <v>5</v>
      </c>
      <c r="I3054" s="17">
        <v>42005</v>
      </c>
    </row>
    <row r="3055" spans="1:9">
      <c r="A3055" s="16" t="s">
        <v>9523</v>
      </c>
      <c r="B3055" s="1" t="s">
        <v>2628</v>
      </c>
      <c r="C3055" s="1">
        <v>199</v>
      </c>
      <c r="D3055" s="1" t="s">
        <v>578</v>
      </c>
      <c r="E3055" s="1" t="s">
        <v>6</v>
      </c>
      <c r="F3055" s="1" t="s">
        <v>5091</v>
      </c>
      <c r="G3055" s="14" t="s">
        <v>9515</v>
      </c>
      <c r="H3055" s="1" t="s">
        <v>5</v>
      </c>
      <c r="I3055" s="17">
        <v>42005</v>
      </c>
    </row>
    <row r="3056" spans="1:9">
      <c r="A3056" s="16" t="s">
        <v>9524</v>
      </c>
      <c r="B3056" s="1" t="s">
        <v>2628</v>
      </c>
      <c r="C3056" s="1">
        <v>199</v>
      </c>
      <c r="D3056" s="1" t="s">
        <v>578</v>
      </c>
      <c r="E3056" s="1" t="s">
        <v>6</v>
      </c>
      <c r="F3056" s="1" t="s">
        <v>5091</v>
      </c>
      <c r="G3056" s="14" t="s">
        <v>6236</v>
      </c>
      <c r="H3056" s="1" t="s">
        <v>43</v>
      </c>
      <c r="I3056" s="17">
        <v>42005</v>
      </c>
    </row>
    <row r="3057" spans="1:9">
      <c r="A3057" s="16" t="s">
        <v>9525</v>
      </c>
      <c r="B3057" s="1" t="s">
        <v>2628</v>
      </c>
      <c r="C3057" s="1">
        <v>199</v>
      </c>
      <c r="D3057" s="1" t="s">
        <v>578</v>
      </c>
      <c r="E3057" s="1" t="s">
        <v>6</v>
      </c>
      <c r="F3057" s="1" t="s">
        <v>5091</v>
      </c>
      <c r="G3057" s="14" t="s">
        <v>9515</v>
      </c>
      <c r="H3057" s="1" t="s">
        <v>5</v>
      </c>
      <c r="I3057" s="17">
        <v>42005</v>
      </c>
    </row>
    <row r="3058" spans="1:9">
      <c r="A3058" s="16" t="s">
        <v>9527</v>
      </c>
      <c r="B3058" s="1" t="s">
        <v>2628</v>
      </c>
      <c r="C3058" s="1">
        <v>199</v>
      </c>
      <c r="D3058" s="1" t="s">
        <v>578</v>
      </c>
      <c r="E3058" s="1" t="s">
        <v>6</v>
      </c>
      <c r="F3058" s="1" t="s">
        <v>5091</v>
      </c>
      <c r="G3058" s="14" t="s">
        <v>6236</v>
      </c>
      <c r="H3058" s="1" t="s">
        <v>43</v>
      </c>
      <c r="I3058" s="17">
        <v>42005</v>
      </c>
    </row>
    <row r="3059" spans="1:9">
      <c r="A3059" s="16" t="s">
        <v>9528</v>
      </c>
      <c r="B3059" s="1" t="s">
        <v>2628</v>
      </c>
      <c r="C3059" s="1">
        <v>199</v>
      </c>
      <c r="D3059" s="1" t="s">
        <v>578</v>
      </c>
      <c r="E3059" s="1" t="s">
        <v>6</v>
      </c>
      <c r="F3059" s="1" t="s">
        <v>5091</v>
      </c>
      <c r="G3059" s="14" t="s">
        <v>6145</v>
      </c>
      <c r="H3059" s="1" t="s">
        <v>43</v>
      </c>
      <c r="I3059" s="17">
        <v>41807</v>
      </c>
    </row>
    <row r="3060" spans="1:9">
      <c r="A3060" s="16" t="s">
        <v>9533</v>
      </c>
      <c r="B3060" s="1" t="s">
        <v>2628</v>
      </c>
      <c r="C3060" s="1">
        <v>199</v>
      </c>
      <c r="D3060" s="1" t="s">
        <v>578</v>
      </c>
      <c r="E3060" s="1" t="s">
        <v>6</v>
      </c>
      <c r="F3060" s="1" t="s">
        <v>5091</v>
      </c>
      <c r="G3060" s="14" t="s">
        <v>6236</v>
      </c>
      <c r="H3060" s="1" t="s">
        <v>43</v>
      </c>
      <c r="I3060" s="17">
        <v>42005</v>
      </c>
    </row>
    <row r="3061" spans="1:9">
      <c r="A3061" s="16" t="s">
        <v>9534</v>
      </c>
      <c r="B3061" s="1" t="s">
        <v>2628</v>
      </c>
      <c r="C3061" s="1">
        <v>199</v>
      </c>
      <c r="D3061" s="1" t="s">
        <v>578</v>
      </c>
      <c r="E3061" s="1" t="s">
        <v>6</v>
      </c>
      <c r="F3061" s="1" t="s">
        <v>5091</v>
      </c>
      <c r="G3061" s="14" t="s">
        <v>6236</v>
      </c>
      <c r="H3061" s="1" t="s">
        <v>43</v>
      </c>
      <c r="I3061" s="17">
        <v>42005</v>
      </c>
    </row>
    <row r="3062" spans="1:9">
      <c r="A3062" s="16" t="s">
        <v>9535</v>
      </c>
      <c r="B3062" s="1" t="s">
        <v>2628</v>
      </c>
      <c r="C3062" s="1">
        <v>199</v>
      </c>
      <c r="D3062" s="1" t="s">
        <v>578</v>
      </c>
      <c r="E3062" s="1" t="s">
        <v>6</v>
      </c>
      <c r="F3062" s="1" t="s">
        <v>5091</v>
      </c>
      <c r="G3062" s="14" t="s">
        <v>6236</v>
      </c>
      <c r="H3062" s="1" t="s">
        <v>43</v>
      </c>
      <c r="I3062" s="17">
        <v>42005</v>
      </c>
    </row>
    <row r="3063" spans="1:9">
      <c r="A3063" s="16" t="s">
        <v>9564</v>
      </c>
      <c r="B3063" s="1" t="s">
        <v>2628</v>
      </c>
      <c r="C3063" s="1">
        <v>199</v>
      </c>
      <c r="D3063" s="1" t="s">
        <v>578</v>
      </c>
      <c r="E3063" s="1" t="s">
        <v>6</v>
      </c>
      <c r="F3063" s="1" t="s">
        <v>5091</v>
      </c>
      <c r="G3063" s="14" t="s">
        <v>9565</v>
      </c>
      <c r="H3063" s="1" t="s">
        <v>5</v>
      </c>
      <c r="I3063" s="17">
        <v>40714</v>
      </c>
    </row>
    <row r="3064" spans="1:9">
      <c r="A3064" s="16" t="s">
        <v>9566</v>
      </c>
      <c r="B3064" s="1" t="s">
        <v>2628</v>
      </c>
      <c r="C3064" s="1">
        <v>199</v>
      </c>
      <c r="D3064" s="1" t="s">
        <v>578</v>
      </c>
      <c r="E3064" s="1" t="s">
        <v>6</v>
      </c>
      <c r="F3064" s="1" t="s">
        <v>5091</v>
      </c>
      <c r="G3064" s="14" t="s">
        <v>9567</v>
      </c>
      <c r="H3064" s="1" t="s">
        <v>5</v>
      </c>
      <c r="I3064" s="17">
        <v>40714</v>
      </c>
    </row>
    <row r="3065" spans="1:9">
      <c r="A3065" s="16" t="s">
        <v>9598</v>
      </c>
      <c r="B3065" s="1" t="s">
        <v>2628</v>
      </c>
      <c r="C3065" s="1">
        <v>199</v>
      </c>
      <c r="D3065" s="1" t="s">
        <v>578</v>
      </c>
      <c r="E3065" s="1" t="s">
        <v>6</v>
      </c>
      <c r="F3065" s="1" t="s">
        <v>5091</v>
      </c>
      <c r="G3065" s="14" t="s">
        <v>6145</v>
      </c>
      <c r="H3065" s="1" t="s">
        <v>43</v>
      </c>
      <c r="I3065" s="17">
        <v>41800</v>
      </c>
    </row>
    <row r="3066" spans="1:9">
      <c r="A3066" s="16" t="s">
        <v>9627</v>
      </c>
      <c r="B3066" s="1" t="s">
        <v>2628</v>
      </c>
      <c r="C3066" s="1">
        <v>199</v>
      </c>
      <c r="D3066" s="1" t="s">
        <v>578</v>
      </c>
      <c r="E3066" s="1" t="s">
        <v>6</v>
      </c>
      <c r="F3066" s="1" t="s">
        <v>5091</v>
      </c>
      <c r="G3066" s="14" t="s">
        <v>9628</v>
      </c>
      <c r="H3066" s="1" t="s">
        <v>5</v>
      </c>
      <c r="I3066" s="17">
        <v>42274</v>
      </c>
    </row>
    <row r="3067" spans="1:9">
      <c r="A3067" s="16" t="s">
        <v>9635</v>
      </c>
      <c r="B3067" s="1" t="s">
        <v>2628</v>
      </c>
      <c r="C3067" s="1">
        <v>199</v>
      </c>
      <c r="D3067" s="1" t="s">
        <v>578</v>
      </c>
      <c r="E3067" s="1" t="s">
        <v>6</v>
      </c>
      <c r="F3067" s="1" t="s">
        <v>5091</v>
      </c>
      <c r="G3067" s="14" t="s">
        <v>6186</v>
      </c>
      <c r="H3067" s="1" t="s">
        <v>5</v>
      </c>
      <c r="I3067" s="17">
        <v>42005</v>
      </c>
    </row>
    <row r="3068" spans="1:9">
      <c r="A3068" s="16" t="s">
        <v>9639</v>
      </c>
      <c r="B3068" s="1" t="s">
        <v>2628</v>
      </c>
      <c r="C3068" s="1">
        <v>2516</v>
      </c>
      <c r="D3068" s="1" t="s">
        <v>578</v>
      </c>
      <c r="E3068" s="1" t="s">
        <v>6</v>
      </c>
      <c r="F3068" s="1" t="s">
        <v>5091</v>
      </c>
      <c r="G3068" s="14" t="s">
        <v>9561</v>
      </c>
      <c r="H3068" s="1" t="s">
        <v>5</v>
      </c>
      <c r="I3068" s="17">
        <v>40581</v>
      </c>
    </row>
    <row r="3069" spans="1:9">
      <c r="A3069" s="16" t="s">
        <v>9640</v>
      </c>
      <c r="B3069" s="1" t="s">
        <v>2628</v>
      </c>
      <c r="C3069" s="1">
        <v>2516</v>
      </c>
      <c r="D3069" s="1" t="s">
        <v>578</v>
      </c>
      <c r="E3069" s="1" t="s">
        <v>6</v>
      </c>
      <c r="F3069" s="1" t="s">
        <v>5091</v>
      </c>
      <c r="G3069" s="14" t="s">
        <v>4458</v>
      </c>
      <c r="H3069" s="1" t="s">
        <v>118</v>
      </c>
      <c r="I3069" s="17">
        <v>40561</v>
      </c>
    </row>
    <row r="3070" spans="1:9">
      <c r="A3070" s="16" t="s">
        <v>9656</v>
      </c>
      <c r="B3070" s="1" t="s">
        <v>2628</v>
      </c>
      <c r="C3070" s="1">
        <v>199</v>
      </c>
      <c r="D3070" s="1" t="s">
        <v>578</v>
      </c>
      <c r="E3070" s="1" t="s">
        <v>6</v>
      </c>
      <c r="F3070" s="1" t="s">
        <v>5091</v>
      </c>
      <c r="G3070" s="14" t="s">
        <v>6536</v>
      </c>
      <c r="H3070" s="1" t="s">
        <v>43</v>
      </c>
      <c r="I3070" s="17">
        <v>42285</v>
      </c>
    </row>
    <row r="3071" spans="1:9">
      <c r="A3071" s="16" t="s">
        <v>9659</v>
      </c>
      <c r="B3071" s="1" t="s">
        <v>2628</v>
      </c>
      <c r="C3071" s="1">
        <v>199</v>
      </c>
      <c r="D3071" s="1" t="s">
        <v>578</v>
      </c>
      <c r="E3071" s="1" t="s">
        <v>6</v>
      </c>
      <c r="F3071" s="1" t="s">
        <v>5091</v>
      </c>
      <c r="G3071" s="14" t="s">
        <v>6536</v>
      </c>
      <c r="H3071" s="1" t="s">
        <v>43</v>
      </c>
      <c r="I3071" s="17">
        <v>42285</v>
      </c>
    </row>
    <row r="3072" spans="1:9">
      <c r="A3072" s="16" t="s">
        <v>9664</v>
      </c>
      <c r="B3072" s="1" t="s">
        <v>2628</v>
      </c>
      <c r="C3072" s="1">
        <v>199</v>
      </c>
      <c r="D3072" s="1" t="s">
        <v>578</v>
      </c>
      <c r="E3072" s="1" t="s">
        <v>6</v>
      </c>
      <c r="F3072" s="1" t="s">
        <v>5091</v>
      </c>
      <c r="G3072" s="14" t="s">
        <v>6307</v>
      </c>
      <c r="H3072" s="1" t="s">
        <v>44</v>
      </c>
      <c r="I3072" s="17">
        <v>42283</v>
      </c>
    </row>
    <row r="3073" spans="1:9">
      <c r="A3073" s="16" t="s">
        <v>9668</v>
      </c>
      <c r="B3073" s="1" t="s">
        <v>2628</v>
      </c>
      <c r="C3073" s="1">
        <v>199</v>
      </c>
      <c r="D3073" s="1" t="s">
        <v>578</v>
      </c>
      <c r="E3073" s="1" t="s">
        <v>6</v>
      </c>
      <c r="F3073" s="1" t="s">
        <v>5091</v>
      </c>
      <c r="G3073" s="14" t="s">
        <v>6307</v>
      </c>
      <c r="H3073" s="1" t="s">
        <v>44</v>
      </c>
      <c r="I3073" s="17">
        <v>42282</v>
      </c>
    </row>
    <row r="3074" spans="1:9">
      <c r="A3074" s="16" t="s">
        <v>9669</v>
      </c>
      <c r="B3074" s="1" t="s">
        <v>2628</v>
      </c>
      <c r="C3074" s="1">
        <v>199</v>
      </c>
      <c r="D3074" s="1" t="s">
        <v>578</v>
      </c>
      <c r="E3074" s="1" t="s">
        <v>6</v>
      </c>
      <c r="F3074" s="1" t="s">
        <v>5091</v>
      </c>
      <c r="G3074" s="14" t="s">
        <v>6307</v>
      </c>
      <c r="H3074" s="1" t="s">
        <v>44</v>
      </c>
      <c r="I3074" s="17">
        <v>42282</v>
      </c>
    </row>
    <row r="3075" spans="1:9">
      <c r="A3075" s="16" t="s">
        <v>9676</v>
      </c>
      <c r="B3075" s="1" t="s">
        <v>2628</v>
      </c>
      <c r="C3075" s="1">
        <v>199</v>
      </c>
      <c r="D3075" s="1" t="s">
        <v>578</v>
      </c>
      <c r="E3075" s="1" t="s">
        <v>6</v>
      </c>
      <c r="F3075" s="1" t="s">
        <v>5091</v>
      </c>
      <c r="G3075" s="14" t="s">
        <v>6145</v>
      </c>
      <c r="H3075" s="1" t="s">
        <v>43</v>
      </c>
      <c r="I3075" s="17">
        <v>41346</v>
      </c>
    </row>
    <row r="3076" spans="1:9">
      <c r="A3076" s="16" t="s">
        <v>9677</v>
      </c>
      <c r="B3076" s="1" t="s">
        <v>2628</v>
      </c>
      <c r="C3076" s="1">
        <v>199</v>
      </c>
      <c r="D3076" s="1" t="s">
        <v>578</v>
      </c>
      <c r="E3076" s="1" t="s">
        <v>6</v>
      </c>
      <c r="F3076" s="1" t="s">
        <v>5091</v>
      </c>
      <c r="G3076" s="14" t="s">
        <v>6145</v>
      </c>
      <c r="H3076" s="1" t="s">
        <v>43</v>
      </c>
      <c r="I3076" s="17">
        <v>41346</v>
      </c>
    </row>
    <row r="3077" spans="1:9">
      <c r="A3077" s="16" t="s">
        <v>9698</v>
      </c>
      <c r="B3077" s="1" t="s">
        <v>2628</v>
      </c>
      <c r="C3077" s="1">
        <v>199</v>
      </c>
      <c r="D3077" s="1" t="s">
        <v>578</v>
      </c>
      <c r="E3077" s="1" t="s">
        <v>6</v>
      </c>
      <c r="F3077" s="1" t="s">
        <v>5091</v>
      </c>
      <c r="G3077" s="14" t="s">
        <v>6307</v>
      </c>
      <c r="H3077" s="1" t="s">
        <v>44</v>
      </c>
      <c r="I3077" s="17">
        <v>42282</v>
      </c>
    </row>
    <row r="3078" spans="1:9">
      <c r="A3078" s="16" t="s">
        <v>9701</v>
      </c>
      <c r="B3078" s="1" t="s">
        <v>2628</v>
      </c>
      <c r="C3078" s="1">
        <v>199</v>
      </c>
      <c r="D3078" s="1" t="s">
        <v>578</v>
      </c>
      <c r="E3078" s="1" t="s">
        <v>6</v>
      </c>
      <c r="F3078" s="1" t="s">
        <v>5091</v>
      </c>
      <c r="G3078" s="14" t="s">
        <v>6307</v>
      </c>
      <c r="H3078" s="1" t="s">
        <v>44</v>
      </c>
      <c r="I3078" s="17">
        <v>42282</v>
      </c>
    </row>
    <row r="3079" spans="1:9">
      <c r="A3079" s="16" t="s">
        <v>9703</v>
      </c>
      <c r="B3079" s="1" t="s">
        <v>2628</v>
      </c>
      <c r="C3079" s="1">
        <v>199</v>
      </c>
      <c r="D3079" s="1" t="s">
        <v>578</v>
      </c>
      <c r="E3079" s="1" t="s">
        <v>6</v>
      </c>
      <c r="F3079" s="1" t="s">
        <v>5091</v>
      </c>
      <c r="G3079" s="14" t="s">
        <v>6307</v>
      </c>
      <c r="H3079" s="1" t="s">
        <v>44</v>
      </c>
      <c r="I3079" s="17">
        <v>42282</v>
      </c>
    </row>
    <row r="3080" spans="1:9">
      <c r="A3080" s="16" t="s">
        <v>9704</v>
      </c>
      <c r="B3080" s="1" t="s">
        <v>2628</v>
      </c>
      <c r="C3080" s="1">
        <v>199</v>
      </c>
      <c r="D3080" s="1" t="s">
        <v>578</v>
      </c>
      <c r="E3080" s="1" t="s">
        <v>6</v>
      </c>
      <c r="F3080" s="1" t="s">
        <v>5091</v>
      </c>
      <c r="G3080" s="14" t="s">
        <v>6307</v>
      </c>
      <c r="H3080" s="1" t="s">
        <v>44</v>
      </c>
      <c r="I3080" s="17">
        <v>42282</v>
      </c>
    </row>
    <row r="3081" spans="1:9">
      <c r="A3081" s="16" t="s">
        <v>9705</v>
      </c>
      <c r="B3081" s="1" t="s">
        <v>2628</v>
      </c>
      <c r="C3081" s="1">
        <v>199</v>
      </c>
      <c r="D3081" s="1" t="s">
        <v>578</v>
      </c>
      <c r="E3081" s="1" t="s">
        <v>6</v>
      </c>
      <c r="F3081" s="1" t="s">
        <v>5091</v>
      </c>
      <c r="G3081" s="14" t="s">
        <v>6307</v>
      </c>
      <c r="H3081" s="1" t="s">
        <v>44</v>
      </c>
      <c r="I3081" s="17">
        <v>42282</v>
      </c>
    </row>
    <row r="3082" spans="1:9">
      <c r="A3082" s="16" t="s">
        <v>9708</v>
      </c>
      <c r="B3082" s="1" t="s">
        <v>2628</v>
      </c>
      <c r="C3082" s="1">
        <v>199</v>
      </c>
      <c r="D3082" s="1" t="s">
        <v>578</v>
      </c>
      <c r="E3082" s="1" t="s">
        <v>6</v>
      </c>
      <c r="F3082" s="1" t="s">
        <v>5091</v>
      </c>
      <c r="G3082" s="14" t="s">
        <v>6307</v>
      </c>
      <c r="H3082" s="1" t="s">
        <v>44</v>
      </c>
      <c r="I3082" s="17">
        <v>42282</v>
      </c>
    </row>
    <row r="3083" spans="1:9">
      <c r="A3083" s="16" t="s">
        <v>9713</v>
      </c>
      <c r="B3083" s="1" t="s">
        <v>2628</v>
      </c>
      <c r="C3083" s="1">
        <v>199</v>
      </c>
      <c r="D3083" s="1" t="s">
        <v>578</v>
      </c>
      <c r="E3083" s="1" t="s">
        <v>6</v>
      </c>
      <c r="F3083" s="1" t="s">
        <v>5091</v>
      </c>
      <c r="G3083" s="14" t="s">
        <v>6307</v>
      </c>
      <c r="H3083" s="1" t="s">
        <v>44</v>
      </c>
      <c r="I3083" s="17">
        <v>42282</v>
      </c>
    </row>
    <row r="3084" spans="1:9">
      <c r="A3084" s="16" t="s">
        <v>9714</v>
      </c>
      <c r="B3084" s="1" t="s">
        <v>2628</v>
      </c>
      <c r="C3084" s="1">
        <v>199</v>
      </c>
      <c r="D3084" s="1" t="s">
        <v>578</v>
      </c>
      <c r="E3084" s="1" t="s">
        <v>6</v>
      </c>
      <c r="F3084" s="1" t="s">
        <v>5091</v>
      </c>
      <c r="G3084" s="14" t="s">
        <v>6307</v>
      </c>
      <c r="H3084" s="1" t="s">
        <v>44</v>
      </c>
      <c r="I3084" s="17">
        <v>42282</v>
      </c>
    </row>
    <row r="3085" spans="1:9">
      <c r="A3085" s="16" t="s">
        <v>9719</v>
      </c>
      <c r="B3085" s="1" t="s">
        <v>2628</v>
      </c>
      <c r="C3085" s="1">
        <v>199</v>
      </c>
      <c r="D3085" s="1" t="s">
        <v>578</v>
      </c>
      <c r="E3085" s="1" t="s">
        <v>6</v>
      </c>
      <c r="F3085" s="1" t="s">
        <v>5091</v>
      </c>
      <c r="G3085" s="14" t="s">
        <v>6145</v>
      </c>
      <c r="H3085" s="1" t="s">
        <v>43</v>
      </c>
      <c r="I3085" s="17">
        <v>41800</v>
      </c>
    </row>
    <row r="3086" spans="1:9">
      <c r="A3086" s="16" t="s">
        <v>9720</v>
      </c>
      <c r="B3086" s="1" t="s">
        <v>2628</v>
      </c>
      <c r="C3086" s="1">
        <v>199</v>
      </c>
      <c r="D3086" s="1" t="s">
        <v>578</v>
      </c>
      <c r="E3086" s="1" t="s">
        <v>6</v>
      </c>
      <c r="F3086" s="1" t="s">
        <v>5091</v>
      </c>
      <c r="G3086" s="14" t="s">
        <v>6145</v>
      </c>
      <c r="H3086" s="1" t="s">
        <v>43</v>
      </c>
      <c r="I3086" s="17">
        <v>41800</v>
      </c>
    </row>
    <row r="3087" spans="1:9">
      <c r="A3087" s="16" t="s">
        <v>9721</v>
      </c>
      <c r="B3087" s="1" t="s">
        <v>2628</v>
      </c>
      <c r="C3087" s="1">
        <v>199</v>
      </c>
      <c r="D3087" s="1" t="s">
        <v>578</v>
      </c>
      <c r="E3087" s="1" t="s">
        <v>6</v>
      </c>
      <c r="F3087" s="1" t="s">
        <v>5091</v>
      </c>
      <c r="G3087" s="14" t="s">
        <v>6145</v>
      </c>
      <c r="H3087" s="1" t="s">
        <v>43</v>
      </c>
      <c r="I3087" s="17">
        <v>41800</v>
      </c>
    </row>
    <row r="3088" spans="1:9">
      <c r="A3088" s="16" t="s">
        <v>9733</v>
      </c>
      <c r="B3088" s="1" t="s">
        <v>2628</v>
      </c>
      <c r="C3088" s="1">
        <v>199</v>
      </c>
      <c r="D3088" s="1" t="s">
        <v>578</v>
      </c>
      <c r="E3088" s="1" t="s">
        <v>6</v>
      </c>
      <c r="F3088" s="1" t="s">
        <v>5091</v>
      </c>
      <c r="G3088" s="14" t="s">
        <v>6307</v>
      </c>
      <c r="H3088" s="1" t="s">
        <v>44</v>
      </c>
      <c r="I3088" s="17">
        <v>42282</v>
      </c>
    </row>
    <row r="3089" spans="1:9">
      <c r="A3089" s="16" t="s">
        <v>9736</v>
      </c>
      <c r="B3089" s="1" t="s">
        <v>2628</v>
      </c>
      <c r="C3089" s="1">
        <v>199</v>
      </c>
      <c r="D3089" s="1" t="s">
        <v>578</v>
      </c>
      <c r="E3089" s="1" t="s">
        <v>6</v>
      </c>
      <c r="F3089" s="1" t="s">
        <v>5091</v>
      </c>
      <c r="G3089" s="14" t="s">
        <v>6307</v>
      </c>
      <c r="H3089" s="1" t="s">
        <v>44</v>
      </c>
      <c r="I3089" s="17">
        <v>42282</v>
      </c>
    </row>
    <row r="3090" spans="1:9">
      <c r="A3090" s="16" t="s">
        <v>9737</v>
      </c>
      <c r="B3090" s="1" t="s">
        <v>2628</v>
      </c>
      <c r="C3090" s="1">
        <v>199</v>
      </c>
      <c r="D3090" s="1" t="s">
        <v>578</v>
      </c>
      <c r="E3090" s="1" t="s">
        <v>6</v>
      </c>
      <c r="F3090" s="1" t="s">
        <v>5091</v>
      </c>
      <c r="G3090" s="14" t="s">
        <v>6307</v>
      </c>
      <c r="H3090" s="1" t="s">
        <v>44</v>
      </c>
      <c r="I3090" s="17">
        <v>42282</v>
      </c>
    </row>
    <row r="3091" spans="1:9">
      <c r="A3091" s="16" t="s">
        <v>9738</v>
      </c>
      <c r="B3091" s="1" t="s">
        <v>2628</v>
      </c>
      <c r="C3091" s="1">
        <v>199</v>
      </c>
      <c r="D3091" s="1" t="s">
        <v>578</v>
      </c>
      <c r="E3091" s="1" t="s">
        <v>6</v>
      </c>
      <c r="F3091" s="1" t="s">
        <v>5091</v>
      </c>
      <c r="G3091" s="14" t="s">
        <v>6307</v>
      </c>
      <c r="H3091" s="1" t="s">
        <v>44</v>
      </c>
      <c r="I3091" s="17">
        <v>42282</v>
      </c>
    </row>
    <row r="3092" spans="1:9">
      <c r="A3092" s="16" t="s">
        <v>9739</v>
      </c>
      <c r="B3092" s="1" t="s">
        <v>2628</v>
      </c>
      <c r="C3092" s="1">
        <v>199</v>
      </c>
      <c r="D3092" s="1" t="s">
        <v>578</v>
      </c>
      <c r="E3092" s="1" t="s">
        <v>6</v>
      </c>
      <c r="F3092" s="1" t="s">
        <v>5091</v>
      </c>
      <c r="G3092" s="14" t="s">
        <v>6307</v>
      </c>
      <c r="H3092" s="1" t="s">
        <v>44</v>
      </c>
      <c r="I3092" s="17">
        <v>42282</v>
      </c>
    </row>
    <row r="3093" spans="1:9">
      <c r="A3093" s="16" t="s">
        <v>9740</v>
      </c>
      <c r="B3093" s="1" t="s">
        <v>2628</v>
      </c>
      <c r="C3093" s="1">
        <v>199</v>
      </c>
      <c r="D3093" s="1" t="s">
        <v>578</v>
      </c>
      <c r="E3093" s="1" t="s">
        <v>6</v>
      </c>
      <c r="F3093" s="1" t="s">
        <v>5091</v>
      </c>
      <c r="G3093" s="14" t="s">
        <v>6307</v>
      </c>
      <c r="H3093" s="1" t="s">
        <v>44</v>
      </c>
      <c r="I3093" s="17">
        <v>42282</v>
      </c>
    </row>
    <row r="3094" spans="1:9">
      <c r="A3094" s="16" t="s">
        <v>9741</v>
      </c>
      <c r="B3094" s="1" t="s">
        <v>2628</v>
      </c>
      <c r="C3094" s="1">
        <v>199</v>
      </c>
      <c r="D3094" s="1" t="s">
        <v>578</v>
      </c>
      <c r="E3094" s="1" t="s">
        <v>6</v>
      </c>
      <c r="F3094" s="1" t="s">
        <v>5091</v>
      </c>
      <c r="G3094" s="14" t="s">
        <v>6307</v>
      </c>
      <c r="H3094" s="1" t="s">
        <v>44</v>
      </c>
      <c r="I3094" s="17">
        <v>42283</v>
      </c>
    </row>
    <row r="3095" spans="1:9">
      <c r="A3095" s="16" t="s">
        <v>9742</v>
      </c>
      <c r="B3095" s="1" t="s">
        <v>2628</v>
      </c>
      <c r="C3095" s="1">
        <v>199</v>
      </c>
      <c r="D3095" s="1" t="s">
        <v>578</v>
      </c>
      <c r="E3095" s="1" t="s">
        <v>6</v>
      </c>
      <c r="F3095" s="1" t="s">
        <v>5091</v>
      </c>
      <c r="G3095" s="14" t="s">
        <v>6307</v>
      </c>
      <c r="H3095" s="1" t="s">
        <v>44</v>
      </c>
      <c r="I3095" s="17">
        <v>42283</v>
      </c>
    </row>
    <row r="3096" spans="1:9">
      <c r="A3096" s="16" t="s">
        <v>9743</v>
      </c>
      <c r="B3096" s="1" t="s">
        <v>2628</v>
      </c>
      <c r="C3096" s="1">
        <v>199</v>
      </c>
      <c r="D3096" s="1" t="s">
        <v>578</v>
      </c>
      <c r="E3096" s="1" t="s">
        <v>6</v>
      </c>
      <c r="F3096" s="1" t="s">
        <v>5091</v>
      </c>
      <c r="G3096" s="14" t="s">
        <v>6307</v>
      </c>
      <c r="H3096" s="1" t="s">
        <v>44</v>
      </c>
      <c r="I3096" s="17">
        <v>42283</v>
      </c>
    </row>
    <row r="3097" spans="1:9">
      <c r="A3097" s="16" t="s">
        <v>9744</v>
      </c>
      <c r="B3097" s="1" t="s">
        <v>2628</v>
      </c>
      <c r="C3097" s="1">
        <v>199</v>
      </c>
      <c r="D3097" s="1" t="s">
        <v>578</v>
      </c>
      <c r="E3097" s="1" t="s">
        <v>6</v>
      </c>
      <c r="F3097" s="1" t="s">
        <v>5091</v>
      </c>
      <c r="G3097" s="14" t="s">
        <v>6307</v>
      </c>
      <c r="H3097" s="1" t="s">
        <v>44</v>
      </c>
      <c r="I3097" s="17">
        <v>42283</v>
      </c>
    </row>
    <row r="3098" spans="1:9">
      <c r="A3098" s="16" t="s">
        <v>9749</v>
      </c>
      <c r="B3098" s="1" t="s">
        <v>2628</v>
      </c>
      <c r="C3098" s="1">
        <v>199</v>
      </c>
      <c r="D3098" s="1" t="s">
        <v>578</v>
      </c>
      <c r="E3098" s="1" t="s">
        <v>6</v>
      </c>
      <c r="F3098" s="1" t="s">
        <v>5091</v>
      </c>
      <c r="G3098" s="14" t="s">
        <v>6307</v>
      </c>
      <c r="H3098" s="1" t="s">
        <v>44</v>
      </c>
      <c r="I3098" s="17">
        <v>42283</v>
      </c>
    </row>
    <row r="3099" spans="1:9">
      <c r="A3099" s="16" t="s">
        <v>9757</v>
      </c>
      <c r="B3099" s="1" t="s">
        <v>2628</v>
      </c>
      <c r="C3099" s="1">
        <v>199</v>
      </c>
      <c r="D3099" s="1" t="s">
        <v>578</v>
      </c>
      <c r="E3099" s="1" t="s">
        <v>6</v>
      </c>
      <c r="F3099" s="1" t="s">
        <v>5091</v>
      </c>
      <c r="G3099" s="14" t="s">
        <v>6307</v>
      </c>
      <c r="H3099" s="1" t="s">
        <v>44</v>
      </c>
      <c r="I3099" s="17">
        <v>42220</v>
      </c>
    </row>
    <row r="3100" spans="1:9">
      <c r="A3100" s="16" t="s">
        <v>9760</v>
      </c>
      <c r="B3100" s="1" t="s">
        <v>2628</v>
      </c>
      <c r="C3100" s="1">
        <v>199</v>
      </c>
      <c r="D3100" s="1" t="s">
        <v>578</v>
      </c>
      <c r="E3100" s="1" t="s">
        <v>6</v>
      </c>
      <c r="F3100" s="1" t="s">
        <v>5091</v>
      </c>
      <c r="G3100" s="14" t="s">
        <v>6307</v>
      </c>
      <c r="H3100" s="1" t="s">
        <v>44</v>
      </c>
      <c r="I3100" s="17">
        <v>42220</v>
      </c>
    </row>
    <row r="3101" spans="1:9">
      <c r="A3101" s="16" t="s">
        <v>9761</v>
      </c>
      <c r="B3101" s="1" t="s">
        <v>2628</v>
      </c>
      <c r="C3101" s="1">
        <v>199</v>
      </c>
      <c r="D3101" s="1" t="s">
        <v>578</v>
      </c>
      <c r="E3101" s="1" t="s">
        <v>6</v>
      </c>
      <c r="F3101" s="1" t="s">
        <v>5091</v>
      </c>
      <c r="G3101" s="14" t="s">
        <v>6307</v>
      </c>
      <c r="H3101" s="1" t="s">
        <v>44</v>
      </c>
      <c r="I3101" s="17">
        <v>42220</v>
      </c>
    </row>
    <row r="3102" spans="1:9">
      <c r="A3102" s="16" t="s">
        <v>9808</v>
      </c>
      <c r="B3102" s="1" t="s">
        <v>2628</v>
      </c>
      <c r="C3102" s="1">
        <v>199</v>
      </c>
      <c r="D3102" s="1" t="s">
        <v>578</v>
      </c>
      <c r="E3102" s="1" t="s">
        <v>6</v>
      </c>
      <c r="F3102" s="1" t="s">
        <v>5091</v>
      </c>
      <c r="G3102" s="14" t="s">
        <v>6145</v>
      </c>
      <c r="H3102" s="1" t="s">
        <v>43</v>
      </c>
      <c r="I3102" s="17">
        <v>41922</v>
      </c>
    </row>
    <row r="3103" spans="1:9">
      <c r="A3103" s="16" t="s">
        <v>9865</v>
      </c>
      <c r="B3103" s="1" t="s">
        <v>2628</v>
      </c>
      <c r="C3103" s="1">
        <v>199</v>
      </c>
      <c r="D3103" s="1" t="s">
        <v>578</v>
      </c>
      <c r="E3103" s="1" t="s">
        <v>6</v>
      </c>
      <c r="F3103" s="1" t="s">
        <v>5091</v>
      </c>
      <c r="G3103" s="14" t="s">
        <v>9866</v>
      </c>
      <c r="H3103" s="1" t="s">
        <v>5</v>
      </c>
      <c r="I3103" s="17">
        <v>41333</v>
      </c>
    </row>
    <row r="3104" spans="1:9">
      <c r="A3104" s="16" t="s">
        <v>9867</v>
      </c>
      <c r="B3104" s="1" t="s">
        <v>2628</v>
      </c>
      <c r="C3104" s="1">
        <v>199</v>
      </c>
      <c r="D3104" s="1" t="s">
        <v>578</v>
      </c>
      <c r="E3104" s="1" t="s">
        <v>6</v>
      </c>
      <c r="F3104" s="1" t="s">
        <v>5091</v>
      </c>
      <c r="G3104" s="14" t="s">
        <v>9866</v>
      </c>
      <c r="H3104" s="1" t="s">
        <v>5</v>
      </c>
      <c r="I3104" s="17">
        <v>41333</v>
      </c>
    </row>
    <row r="3105" spans="1:9">
      <c r="A3105" s="16" t="s">
        <v>9880</v>
      </c>
      <c r="B3105" s="1" t="s">
        <v>2628</v>
      </c>
      <c r="C3105" s="1">
        <v>199</v>
      </c>
      <c r="D3105" s="1" t="s">
        <v>578</v>
      </c>
      <c r="E3105" s="1" t="s">
        <v>6</v>
      </c>
      <c r="F3105" s="1" t="s">
        <v>5091</v>
      </c>
      <c r="G3105" s="14" t="s">
        <v>9881</v>
      </c>
      <c r="H3105" s="1" t="s">
        <v>5</v>
      </c>
      <c r="I3105" s="17">
        <v>41335</v>
      </c>
    </row>
    <row r="3106" spans="1:9">
      <c r="A3106" s="16" t="s">
        <v>9882</v>
      </c>
      <c r="B3106" s="1" t="s">
        <v>2628</v>
      </c>
      <c r="C3106" s="1">
        <v>199</v>
      </c>
      <c r="D3106" s="1" t="s">
        <v>578</v>
      </c>
      <c r="E3106" s="1" t="s">
        <v>6</v>
      </c>
      <c r="F3106" s="1" t="s">
        <v>5091</v>
      </c>
      <c r="G3106" s="14" t="s">
        <v>9881</v>
      </c>
      <c r="H3106" s="1" t="s">
        <v>5</v>
      </c>
      <c r="I3106" s="17">
        <v>41335</v>
      </c>
    </row>
    <row r="3107" spans="1:9">
      <c r="A3107" s="16" t="s">
        <v>9902</v>
      </c>
      <c r="B3107" s="1" t="s">
        <v>2628</v>
      </c>
      <c r="C3107" s="1">
        <v>199</v>
      </c>
      <c r="D3107" s="1" t="s">
        <v>578</v>
      </c>
      <c r="E3107" s="1" t="s">
        <v>6</v>
      </c>
      <c r="F3107" s="1" t="s">
        <v>5091</v>
      </c>
      <c r="G3107" s="14" t="s">
        <v>9903</v>
      </c>
      <c r="H3107" s="1" t="s">
        <v>5</v>
      </c>
      <c r="I3107" s="17">
        <v>42005</v>
      </c>
    </row>
    <row r="3108" spans="1:9">
      <c r="A3108" s="16" t="s">
        <v>9914</v>
      </c>
      <c r="B3108" s="1" t="s">
        <v>2628</v>
      </c>
      <c r="C3108" s="1">
        <v>199</v>
      </c>
      <c r="D3108" s="1" t="s">
        <v>578</v>
      </c>
      <c r="E3108" s="1" t="s">
        <v>6</v>
      </c>
      <c r="F3108" s="1" t="s">
        <v>5091</v>
      </c>
      <c r="G3108" s="14" t="s">
        <v>6145</v>
      </c>
      <c r="H3108" s="1" t="s">
        <v>43</v>
      </c>
      <c r="I3108" s="17">
        <v>42325</v>
      </c>
    </row>
    <row r="3109" spans="1:9">
      <c r="A3109" s="16" t="s">
        <v>9978</v>
      </c>
      <c r="B3109" s="1" t="s">
        <v>2628</v>
      </c>
      <c r="C3109" s="1">
        <v>199</v>
      </c>
      <c r="D3109" s="1" t="s">
        <v>578</v>
      </c>
      <c r="E3109" s="1" t="s">
        <v>6</v>
      </c>
      <c r="F3109" s="1" t="s">
        <v>5091</v>
      </c>
      <c r="G3109" s="14" t="s">
        <v>6238</v>
      </c>
      <c r="H3109" s="1" t="s">
        <v>43</v>
      </c>
      <c r="I3109" s="17">
        <v>42005</v>
      </c>
    </row>
    <row r="3110" spans="1:9">
      <c r="A3110" s="16" t="s">
        <v>9979</v>
      </c>
      <c r="B3110" s="1" t="s">
        <v>2628</v>
      </c>
      <c r="C3110" s="1">
        <v>199</v>
      </c>
      <c r="D3110" s="1" t="s">
        <v>578</v>
      </c>
      <c r="E3110" s="1" t="s">
        <v>6</v>
      </c>
      <c r="F3110" s="1" t="s">
        <v>5091</v>
      </c>
      <c r="G3110" s="14" t="s">
        <v>6238</v>
      </c>
      <c r="H3110" s="1" t="s">
        <v>43</v>
      </c>
      <c r="I3110" s="17">
        <v>42005</v>
      </c>
    </row>
    <row r="3111" spans="1:9">
      <c r="A3111" s="16" t="s">
        <v>9981</v>
      </c>
      <c r="B3111" s="1" t="s">
        <v>2628</v>
      </c>
      <c r="C3111" s="1">
        <v>199</v>
      </c>
      <c r="D3111" s="1" t="s">
        <v>578</v>
      </c>
      <c r="E3111" s="1" t="s">
        <v>6</v>
      </c>
      <c r="F3111" s="1" t="s">
        <v>5091</v>
      </c>
      <c r="G3111" s="14" t="s">
        <v>9234</v>
      </c>
      <c r="H3111" s="1" t="s">
        <v>5</v>
      </c>
      <c r="I3111" s="17">
        <v>42005</v>
      </c>
    </row>
    <row r="3112" spans="1:9">
      <c r="A3112" s="16" t="s">
        <v>9982</v>
      </c>
      <c r="B3112" s="1" t="s">
        <v>2628</v>
      </c>
      <c r="C3112" s="1">
        <v>199</v>
      </c>
      <c r="D3112" s="1" t="s">
        <v>578</v>
      </c>
      <c r="E3112" s="1" t="s">
        <v>6</v>
      </c>
      <c r="F3112" s="1" t="s">
        <v>5091</v>
      </c>
      <c r="G3112" s="14" t="s">
        <v>6238</v>
      </c>
      <c r="H3112" s="1" t="s">
        <v>43</v>
      </c>
      <c r="I3112" s="17">
        <v>42005</v>
      </c>
    </row>
    <row r="3113" spans="1:9">
      <c r="A3113" s="16" t="s">
        <v>10012</v>
      </c>
      <c r="B3113" s="1" t="s">
        <v>2628</v>
      </c>
      <c r="C3113" s="1">
        <v>199</v>
      </c>
      <c r="D3113" s="1" t="s">
        <v>578</v>
      </c>
      <c r="E3113" s="1" t="s">
        <v>6</v>
      </c>
      <c r="F3113" s="1" t="s">
        <v>5091</v>
      </c>
      <c r="G3113" s="14" t="s">
        <v>6307</v>
      </c>
      <c r="H3113" s="1" t="s">
        <v>44</v>
      </c>
      <c r="I3113" s="17">
        <v>42029</v>
      </c>
    </row>
    <row r="3114" spans="1:9">
      <c r="A3114" s="16" t="s">
        <v>10065</v>
      </c>
      <c r="B3114" s="1" t="s">
        <v>2628</v>
      </c>
      <c r="C3114" s="1">
        <v>199</v>
      </c>
      <c r="D3114" s="1" t="s">
        <v>578</v>
      </c>
      <c r="E3114" s="1" t="s">
        <v>6</v>
      </c>
      <c r="F3114" s="1" t="s">
        <v>5091</v>
      </c>
      <c r="G3114" s="14" t="s">
        <v>10066</v>
      </c>
      <c r="H3114" s="1" t="s">
        <v>5</v>
      </c>
      <c r="I3114" s="17">
        <v>42309</v>
      </c>
    </row>
    <row r="3115" spans="1:9">
      <c r="A3115" s="16" t="s">
        <v>10080</v>
      </c>
      <c r="B3115" s="1" t="s">
        <v>2628</v>
      </c>
      <c r="C3115" s="1">
        <v>199</v>
      </c>
      <c r="D3115" s="1" t="s">
        <v>578</v>
      </c>
      <c r="E3115" s="1" t="s">
        <v>6</v>
      </c>
      <c r="F3115" s="1" t="s">
        <v>36</v>
      </c>
      <c r="G3115" s="14" t="s">
        <v>10073</v>
      </c>
      <c r="H3115" s="1" t="s">
        <v>43</v>
      </c>
      <c r="I3115" s="17">
        <v>40544</v>
      </c>
    </row>
    <row r="3116" spans="1:9">
      <c r="A3116" s="16" t="s">
        <v>10090</v>
      </c>
      <c r="B3116" s="1" t="s">
        <v>2628</v>
      </c>
      <c r="C3116" s="1">
        <v>199</v>
      </c>
      <c r="D3116" s="1" t="s">
        <v>578</v>
      </c>
      <c r="E3116" s="1" t="s">
        <v>6</v>
      </c>
      <c r="F3116" s="1" t="s">
        <v>36</v>
      </c>
      <c r="G3116" s="14" t="s">
        <v>10091</v>
      </c>
      <c r="H3116" s="1" t="s">
        <v>5</v>
      </c>
      <c r="I3116" s="17">
        <v>39814</v>
      </c>
    </row>
    <row r="3117" spans="1:9" ht="31.2">
      <c r="A3117" s="16" t="s">
        <v>10105</v>
      </c>
      <c r="B3117" s="1" t="s">
        <v>2628</v>
      </c>
      <c r="C3117" s="1">
        <v>199</v>
      </c>
      <c r="D3117" s="1" t="s">
        <v>578</v>
      </c>
      <c r="E3117" s="1" t="s">
        <v>6</v>
      </c>
      <c r="F3117" s="1" t="s">
        <v>36</v>
      </c>
      <c r="G3117" s="14" t="s">
        <v>10106</v>
      </c>
      <c r="H3117" s="1" t="s">
        <v>5</v>
      </c>
      <c r="I3117" s="17">
        <v>37257</v>
      </c>
    </row>
    <row r="3118" spans="1:9">
      <c r="A3118" s="16" t="s">
        <v>10257</v>
      </c>
      <c r="B3118" s="1" t="s">
        <v>2628</v>
      </c>
      <c r="C3118" s="1">
        <v>199</v>
      </c>
      <c r="D3118" s="1" t="s">
        <v>578</v>
      </c>
      <c r="E3118" s="1" t="s">
        <v>6</v>
      </c>
      <c r="F3118" s="1" t="s">
        <v>36</v>
      </c>
      <c r="G3118" s="14" t="s">
        <v>10258</v>
      </c>
      <c r="H3118" s="1" t="s">
        <v>5</v>
      </c>
      <c r="I3118" s="17">
        <v>39448</v>
      </c>
    </row>
    <row r="3119" spans="1:9">
      <c r="A3119" s="16" t="s">
        <v>10262</v>
      </c>
      <c r="B3119" s="1" t="s">
        <v>2628</v>
      </c>
      <c r="C3119" s="1">
        <v>199</v>
      </c>
      <c r="D3119" s="1" t="s">
        <v>578</v>
      </c>
      <c r="E3119" s="1" t="s">
        <v>6</v>
      </c>
      <c r="F3119" s="1" t="s">
        <v>36</v>
      </c>
      <c r="G3119" s="14" t="s">
        <v>10244</v>
      </c>
      <c r="H3119" s="1" t="s">
        <v>43</v>
      </c>
      <c r="I3119" s="17">
        <v>39814</v>
      </c>
    </row>
    <row r="3120" spans="1:9">
      <c r="A3120" s="16" t="s">
        <v>10264</v>
      </c>
      <c r="B3120" s="1" t="s">
        <v>2628</v>
      </c>
      <c r="C3120" s="1">
        <v>199</v>
      </c>
      <c r="D3120" s="1" t="s">
        <v>578</v>
      </c>
      <c r="E3120" s="1" t="s">
        <v>6</v>
      </c>
      <c r="F3120" s="1" t="s">
        <v>36</v>
      </c>
      <c r="G3120" s="14" t="s">
        <v>10233</v>
      </c>
      <c r="H3120" s="1" t="s">
        <v>43</v>
      </c>
      <c r="I3120" s="17">
        <v>40179</v>
      </c>
    </row>
    <row r="3121" spans="1:9">
      <c r="A3121" s="16" t="s">
        <v>10272</v>
      </c>
      <c r="B3121" s="1" t="s">
        <v>2628</v>
      </c>
      <c r="C3121" s="1">
        <v>199</v>
      </c>
      <c r="D3121" s="1" t="s">
        <v>578</v>
      </c>
      <c r="E3121" s="1" t="s">
        <v>6</v>
      </c>
      <c r="F3121" s="1" t="s">
        <v>36</v>
      </c>
      <c r="G3121" s="14" t="s">
        <v>10273</v>
      </c>
      <c r="H3121" s="1" t="s">
        <v>43</v>
      </c>
      <c r="I3121" s="17">
        <v>39448</v>
      </c>
    </row>
    <row r="3122" spans="1:9">
      <c r="A3122" s="16" t="s">
        <v>10411</v>
      </c>
      <c r="B3122" s="1" t="s">
        <v>2628</v>
      </c>
      <c r="C3122" s="1">
        <v>2516</v>
      </c>
      <c r="D3122" s="1" t="s">
        <v>578</v>
      </c>
      <c r="E3122" s="1" t="s">
        <v>6</v>
      </c>
      <c r="F3122" s="1" t="s">
        <v>5091</v>
      </c>
      <c r="G3122" s="14" t="s">
        <v>9561</v>
      </c>
      <c r="H3122" s="1" t="s">
        <v>5</v>
      </c>
      <c r="I3122" s="17">
        <v>40561</v>
      </c>
    </row>
    <row r="3123" spans="1:9">
      <c r="A3123" s="16" t="s">
        <v>10451</v>
      </c>
      <c r="B3123" s="1" t="s">
        <v>2628</v>
      </c>
      <c r="C3123" s="1">
        <v>2516</v>
      </c>
      <c r="D3123" s="1" t="s">
        <v>578</v>
      </c>
      <c r="E3123" s="1" t="s">
        <v>6</v>
      </c>
      <c r="F3123" s="1" t="s">
        <v>5091</v>
      </c>
      <c r="G3123" s="14" t="s">
        <v>10452</v>
      </c>
      <c r="H3123" s="1" t="s">
        <v>5</v>
      </c>
      <c r="I3123" s="17">
        <v>38867</v>
      </c>
    </row>
    <row r="3124" spans="1:9">
      <c r="A3124" s="16" t="s">
        <v>10487</v>
      </c>
      <c r="B3124" s="1" t="s">
        <v>2628</v>
      </c>
      <c r="C3124" s="1">
        <v>199</v>
      </c>
      <c r="D3124" s="1" t="s">
        <v>578</v>
      </c>
      <c r="E3124" s="1" t="s">
        <v>6</v>
      </c>
      <c r="F3124" s="1" t="s">
        <v>5091</v>
      </c>
      <c r="G3124" s="14" t="s">
        <v>10488</v>
      </c>
      <c r="H3124" s="1" t="s">
        <v>5</v>
      </c>
      <c r="I3124" s="17">
        <v>38734</v>
      </c>
    </row>
    <row r="3125" spans="1:9">
      <c r="A3125" s="16" t="s">
        <v>10491</v>
      </c>
      <c r="B3125" s="1" t="s">
        <v>2628</v>
      </c>
      <c r="C3125" s="1">
        <v>2516</v>
      </c>
      <c r="D3125" s="1" t="s">
        <v>578</v>
      </c>
      <c r="E3125" s="1" t="s">
        <v>6</v>
      </c>
      <c r="F3125" s="1" t="s">
        <v>5091</v>
      </c>
      <c r="G3125" s="14" t="s">
        <v>9578</v>
      </c>
      <c r="H3125" s="1" t="s">
        <v>5</v>
      </c>
      <c r="I3125" s="17">
        <v>38867</v>
      </c>
    </row>
    <row r="3126" spans="1:9">
      <c r="A3126" s="16" t="s">
        <v>10493</v>
      </c>
      <c r="B3126" s="1" t="s">
        <v>2628</v>
      </c>
      <c r="C3126" s="1">
        <v>2516</v>
      </c>
      <c r="D3126" s="1" t="s">
        <v>578</v>
      </c>
      <c r="E3126" s="1" t="s">
        <v>6</v>
      </c>
      <c r="F3126" s="1" t="s">
        <v>5091</v>
      </c>
      <c r="G3126" s="14" t="s">
        <v>10494</v>
      </c>
      <c r="H3126" s="1" t="s">
        <v>5</v>
      </c>
      <c r="I3126" s="17">
        <v>38867</v>
      </c>
    </row>
    <row r="3127" spans="1:9">
      <c r="A3127" s="16" t="s">
        <v>10495</v>
      </c>
      <c r="B3127" s="1" t="s">
        <v>2628</v>
      </c>
      <c r="C3127" s="1">
        <v>2516</v>
      </c>
      <c r="D3127" s="1" t="s">
        <v>578</v>
      </c>
      <c r="E3127" s="1" t="s">
        <v>6</v>
      </c>
      <c r="F3127" s="1" t="s">
        <v>5091</v>
      </c>
      <c r="G3127" s="14" t="s">
        <v>9578</v>
      </c>
      <c r="H3127" s="1" t="s">
        <v>5</v>
      </c>
      <c r="I3127" s="17">
        <v>38867</v>
      </c>
    </row>
    <row r="3128" spans="1:9">
      <c r="A3128" s="16" t="s">
        <v>10536</v>
      </c>
      <c r="B3128" s="1" t="s">
        <v>2628</v>
      </c>
      <c r="C3128" s="1">
        <v>199</v>
      </c>
      <c r="D3128" s="1" t="s">
        <v>578</v>
      </c>
      <c r="E3128" s="1" t="s">
        <v>6</v>
      </c>
      <c r="F3128" s="1" t="s">
        <v>5091</v>
      </c>
      <c r="G3128" s="14" t="s">
        <v>6909</v>
      </c>
      <c r="H3128" s="1" t="s">
        <v>43</v>
      </c>
      <c r="I3128" s="17">
        <v>42370</v>
      </c>
    </row>
    <row r="3129" spans="1:9">
      <c r="A3129" s="16" t="s">
        <v>10556</v>
      </c>
      <c r="B3129" s="1" t="s">
        <v>2628</v>
      </c>
      <c r="C3129" s="1">
        <v>199</v>
      </c>
      <c r="D3129" s="1" t="s">
        <v>578</v>
      </c>
      <c r="E3129" s="1" t="s">
        <v>6</v>
      </c>
      <c r="F3129" s="1" t="s">
        <v>5091</v>
      </c>
      <c r="G3129" s="14" t="s">
        <v>6145</v>
      </c>
      <c r="H3129" s="1" t="s">
        <v>43</v>
      </c>
      <c r="I3129" s="17">
        <v>40554</v>
      </c>
    </row>
    <row r="3130" spans="1:9">
      <c r="A3130" s="16" t="s">
        <v>10585</v>
      </c>
      <c r="B3130" s="1" t="s">
        <v>2628</v>
      </c>
      <c r="C3130" s="1">
        <v>199</v>
      </c>
      <c r="D3130" s="1" t="s">
        <v>578</v>
      </c>
      <c r="E3130" s="1" t="s">
        <v>6</v>
      </c>
      <c r="F3130" s="1" t="s">
        <v>5091</v>
      </c>
      <c r="G3130" s="14" t="s">
        <v>10586</v>
      </c>
      <c r="H3130" s="1" t="s">
        <v>5</v>
      </c>
      <c r="I3130" s="17">
        <v>42436</v>
      </c>
    </row>
    <row r="3131" spans="1:9">
      <c r="A3131" s="16" t="s">
        <v>10757</v>
      </c>
      <c r="B3131" s="1" t="s">
        <v>2628</v>
      </c>
      <c r="C3131" s="1">
        <v>199</v>
      </c>
      <c r="D3131" s="1" t="s">
        <v>578</v>
      </c>
      <c r="E3131" s="1" t="s">
        <v>6</v>
      </c>
      <c r="F3131" s="1" t="s">
        <v>5091</v>
      </c>
      <c r="G3131" s="14" t="s">
        <v>6307</v>
      </c>
      <c r="H3131" s="1" t="s">
        <v>44</v>
      </c>
      <c r="I3131" s="17">
        <v>42192</v>
      </c>
    </row>
    <row r="3132" spans="1:9">
      <c r="A3132" s="16" t="s">
        <v>10759</v>
      </c>
      <c r="B3132" s="1" t="s">
        <v>2628</v>
      </c>
      <c r="C3132" s="1">
        <v>199</v>
      </c>
      <c r="D3132" s="1" t="s">
        <v>578</v>
      </c>
      <c r="E3132" s="1" t="s">
        <v>6</v>
      </c>
      <c r="F3132" s="1" t="s">
        <v>5091</v>
      </c>
      <c r="G3132" s="14" t="s">
        <v>6450</v>
      </c>
      <c r="H3132" s="1" t="s">
        <v>43</v>
      </c>
      <c r="I3132" s="17">
        <v>42192</v>
      </c>
    </row>
    <row r="3133" spans="1:9">
      <c r="A3133" s="16" t="s">
        <v>10843</v>
      </c>
      <c r="B3133" s="1" t="s">
        <v>2628</v>
      </c>
      <c r="C3133" s="1">
        <v>199</v>
      </c>
      <c r="D3133" s="1" t="s">
        <v>578</v>
      </c>
      <c r="E3133" s="1" t="s">
        <v>6</v>
      </c>
      <c r="F3133" s="1" t="s">
        <v>5091</v>
      </c>
      <c r="G3133" s="14" t="s">
        <v>6145</v>
      </c>
      <c r="H3133" s="1" t="s">
        <v>43</v>
      </c>
      <c r="I3133" s="17">
        <v>42473</v>
      </c>
    </row>
    <row r="3134" spans="1:9">
      <c r="A3134" s="16" t="s">
        <v>10844</v>
      </c>
      <c r="B3134" s="1" t="s">
        <v>2628</v>
      </c>
      <c r="C3134" s="1">
        <v>199</v>
      </c>
      <c r="D3134" s="1" t="s">
        <v>578</v>
      </c>
      <c r="E3134" s="1" t="s">
        <v>6</v>
      </c>
      <c r="F3134" s="1" t="s">
        <v>5091</v>
      </c>
      <c r="G3134" s="14" t="s">
        <v>6145</v>
      </c>
      <c r="H3134" s="1" t="s">
        <v>43</v>
      </c>
      <c r="I3134" s="17">
        <v>42473</v>
      </c>
    </row>
    <row r="3135" spans="1:9">
      <c r="A3135" s="16" t="s">
        <v>10845</v>
      </c>
      <c r="B3135" s="1" t="s">
        <v>2628</v>
      </c>
      <c r="C3135" s="1">
        <v>199</v>
      </c>
      <c r="D3135" s="1" t="s">
        <v>578</v>
      </c>
      <c r="E3135" s="1" t="s">
        <v>6</v>
      </c>
      <c r="F3135" s="1" t="s">
        <v>5091</v>
      </c>
      <c r="G3135" s="14" t="s">
        <v>6145</v>
      </c>
      <c r="H3135" s="1" t="s">
        <v>43</v>
      </c>
      <c r="I3135" s="17">
        <v>42473</v>
      </c>
    </row>
    <row r="3136" spans="1:9">
      <c r="A3136" s="16" t="s">
        <v>10846</v>
      </c>
      <c r="B3136" s="1" t="s">
        <v>2628</v>
      </c>
      <c r="C3136" s="1">
        <v>199</v>
      </c>
      <c r="D3136" s="1" t="s">
        <v>578</v>
      </c>
      <c r="E3136" s="1" t="s">
        <v>6</v>
      </c>
      <c r="F3136" s="1" t="s">
        <v>5091</v>
      </c>
      <c r="G3136" s="14" t="s">
        <v>6145</v>
      </c>
      <c r="H3136" s="1" t="s">
        <v>43</v>
      </c>
      <c r="I3136" s="17">
        <v>42473</v>
      </c>
    </row>
    <row r="3137" spans="1:9">
      <c r="A3137" s="16" t="s">
        <v>10847</v>
      </c>
      <c r="B3137" s="1" t="s">
        <v>2628</v>
      </c>
      <c r="C3137" s="1">
        <v>199</v>
      </c>
      <c r="D3137" s="1" t="s">
        <v>578</v>
      </c>
      <c r="E3137" s="1" t="s">
        <v>6</v>
      </c>
      <c r="F3137" s="1" t="s">
        <v>5091</v>
      </c>
      <c r="G3137" s="14" t="s">
        <v>6145</v>
      </c>
      <c r="H3137" s="1" t="s">
        <v>43</v>
      </c>
      <c r="I3137" s="17">
        <v>42473</v>
      </c>
    </row>
    <row r="3138" spans="1:9">
      <c r="A3138" s="16" t="s">
        <v>10850</v>
      </c>
      <c r="B3138" s="1" t="s">
        <v>2628</v>
      </c>
      <c r="C3138" s="1">
        <v>199</v>
      </c>
      <c r="D3138" s="1" t="s">
        <v>578</v>
      </c>
      <c r="E3138" s="1" t="s">
        <v>6</v>
      </c>
      <c r="F3138" s="1" t="s">
        <v>5091</v>
      </c>
      <c r="G3138" s="14" t="s">
        <v>6450</v>
      </c>
      <c r="H3138" s="1" t="s">
        <v>43</v>
      </c>
      <c r="I3138" s="17">
        <v>42240</v>
      </c>
    </row>
    <row r="3139" spans="1:9">
      <c r="A3139" s="16" t="s">
        <v>10855</v>
      </c>
      <c r="B3139" s="1" t="s">
        <v>2628</v>
      </c>
      <c r="C3139" s="1">
        <v>199</v>
      </c>
      <c r="D3139" s="1" t="s">
        <v>578</v>
      </c>
      <c r="E3139" s="1" t="s">
        <v>6</v>
      </c>
      <c r="F3139" s="1" t="s">
        <v>5091</v>
      </c>
      <c r="G3139" s="14" t="s">
        <v>6450</v>
      </c>
      <c r="H3139" s="1" t="s">
        <v>43</v>
      </c>
      <c r="I3139" s="17">
        <v>42240</v>
      </c>
    </row>
    <row r="3140" spans="1:9">
      <c r="A3140" s="16" t="s">
        <v>10857</v>
      </c>
      <c r="B3140" s="1" t="s">
        <v>2628</v>
      </c>
      <c r="C3140" s="1">
        <v>199</v>
      </c>
      <c r="D3140" s="1" t="s">
        <v>578</v>
      </c>
      <c r="E3140" s="1" t="s">
        <v>6</v>
      </c>
      <c r="F3140" s="1" t="s">
        <v>5091</v>
      </c>
      <c r="G3140" s="14" t="s">
        <v>6450</v>
      </c>
      <c r="H3140" s="1" t="s">
        <v>43</v>
      </c>
      <c r="I3140" s="17">
        <v>42240</v>
      </c>
    </row>
    <row r="3141" spans="1:9">
      <c r="A3141" s="16" t="s">
        <v>10882</v>
      </c>
      <c r="B3141" s="1" t="s">
        <v>2628</v>
      </c>
      <c r="C3141" s="1">
        <v>199</v>
      </c>
      <c r="D3141" s="1" t="s">
        <v>578</v>
      </c>
      <c r="E3141" s="1" t="s">
        <v>6</v>
      </c>
      <c r="F3141" s="1" t="s">
        <v>5091</v>
      </c>
      <c r="G3141" s="14" t="s">
        <v>6145</v>
      </c>
      <c r="H3141" s="1" t="s">
        <v>43</v>
      </c>
      <c r="I3141" s="17">
        <v>42473</v>
      </c>
    </row>
    <row r="3142" spans="1:9">
      <c r="A3142" s="16" t="s">
        <v>10970</v>
      </c>
      <c r="B3142" s="1" t="s">
        <v>2628</v>
      </c>
      <c r="C3142" s="1">
        <v>199</v>
      </c>
      <c r="D3142" s="1" t="s">
        <v>578</v>
      </c>
      <c r="E3142" s="1" t="s">
        <v>6</v>
      </c>
      <c r="F3142" s="1" t="s">
        <v>5091</v>
      </c>
      <c r="G3142" s="14" t="s">
        <v>6145</v>
      </c>
      <c r="H3142" s="1" t="s">
        <v>43</v>
      </c>
      <c r="I3142" s="17">
        <v>42481</v>
      </c>
    </row>
    <row r="3143" spans="1:9">
      <c r="A3143" s="16" t="s">
        <v>10971</v>
      </c>
      <c r="B3143" s="1" t="s">
        <v>2628</v>
      </c>
      <c r="C3143" s="1">
        <v>199</v>
      </c>
      <c r="D3143" s="1" t="s">
        <v>578</v>
      </c>
      <c r="E3143" s="1" t="s">
        <v>6</v>
      </c>
      <c r="F3143" s="1" t="s">
        <v>5091</v>
      </c>
      <c r="G3143" s="14" t="s">
        <v>6145</v>
      </c>
      <c r="H3143" s="1" t="s">
        <v>43</v>
      </c>
      <c r="I3143" s="17">
        <v>42481</v>
      </c>
    </row>
    <row r="3144" spans="1:9">
      <c r="A3144" s="16" t="s">
        <v>10972</v>
      </c>
      <c r="B3144" s="1" t="s">
        <v>2628</v>
      </c>
      <c r="C3144" s="1">
        <v>199</v>
      </c>
      <c r="D3144" s="1" t="s">
        <v>578</v>
      </c>
      <c r="E3144" s="1" t="s">
        <v>6</v>
      </c>
      <c r="F3144" s="1" t="s">
        <v>5091</v>
      </c>
      <c r="G3144" s="14" t="s">
        <v>6145</v>
      </c>
      <c r="H3144" s="1" t="s">
        <v>43</v>
      </c>
      <c r="I3144" s="17">
        <v>42483</v>
      </c>
    </row>
    <row r="3145" spans="1:9">
      <c r="A3145" s="16" t="s">
        <v>11115</v>
      </c>
      <c r="B3145" s="1" t="s">
        <v>2628</v>
      </c>
      <c r="C3145" s="1">
        <v>199</v>
      </c>
      <c r="D3145" s="1" t="s">
        <v>578</v>
      </c>
      <c r="E3145" s="1" t="s">
        <v>6</v>
      </c>
      <c r="F3145" s="1" t="s">
        <v>5091</v>
      </c>
      <c r="G3145" s="14" t="s">
        <v>4458</v>
      </c>
      <c r="H3145" s="1" t="s">
        <v>118</v>
      </c>
      <c r="I3145" s="17">
        <v>42491</v>
      </c>
    </row>
    <row r="3146" spans="1:9">
      <c r="A3146" s="16" t="s">
        <v>11116</v>
      </c>
      <c r="B3146" s="1" t="s">
        <v>2628</v>
      </c>
      <c r="C3146" s="1">
        <v>199</v>
      </c>
      <c r="D3146" s="1" t="s">
        <v>578</v>
      </c>
      <c r="E3146" s="1" t="s">
        <v>6</v>
      </c>
      <c r="F3146" s="1" t="s">
        <v>5091</v>
      </c>
      <c r="G3146" s="14" t="s">
        <v>7481</v>
      </c>
      <c r="H3146" s="1" t="s">
        <v>5</v>
      </c>
      <c r="I3146" s="17">
        <v>37117</v>
      </c>
    </row>
    <row r="3147" spans="1:9">
      <c r="A3147" s="16" t="s">
        <v>11119</v>
      </c>
      <c r="B3147" s="1" t="s">
        <v>2628</v>
      </c>
      <c r="C3147" s="1">
        <v>199</v>
      </c>
      <c r="D3147" s="1" t="s">
        <v>578</v>
      </c>
      <c r="E3147" s="1" t="s">
        <v>6</v>
      </c>
      <c r="F3147" s="1" t="s">
        <v>5091</v>
      </c>
      <c r="G3147" s="14" t="s">
        <v>6145</v>
      </c>
      <c r="H3147" s="1" t="s">
        <v>43</v>
      </c>
      <c r="I3147" s="17">
        <v>41275</v>
      </c>
    </row>
    <row r="3148" spans="1:9">
      <c r="A3148" s="16" t="s">
        <v>11120</v>
      </c>
      <c r="B3148" s="1" t="s">
        <v>2628</v>
      </c>
      <c r="C3148" s="1">
        <v>199</v>
      </c>
      <c r="D3148" s="1" t="s">
        <v>578</v>
      </c>
      <c r="E3148" s="1" t="s">
        <v>6</v>
      </c>
      <c r="F3148" s="1" t="s">
        <v>5091</v>
      </c>
      <c r="G3148" s="14" t="s">
        <v>6145</v>
      </c>
      <c r="H3148" s="1" t="s">
        <v>43</v>
      </c>
      <c r="I3148" s="17">
        <v>41275</v>
      </c>
    </row>
    <row r="3149" spans="1:9">
      <c r="A3149" s="16" t="s">
        <v>11121</v>
      </c>
      <c r="B3149" s="1" t="s">
        <v>2628</v>
      </c>
      <c r="C3149" s="1">
        <v>199</v>
      </c>
      <c r="D3149" s="1" t="s">
        <v>578</v>
      </c>
      <c r="E3149" s="1" t="s">
        <v>6</v>
      </c>
      <c r="F3149" s="1" t="s">
        <v>5091</v>
      </c>
      <c r="G3149" s="14" t="s">
        <v>6145</v>
      </c>
      <c r="H3149" s="1" t="s">
        <v>43</v>
      </c>
      <c r="I3149" s="17">
        <v>41275</v>
      </c>
    </row>
    <row r="3150" spans="1:9">
      <c r="A3150" s="16" t="s">
        <v>11130</v>
      </c>
      <c r="B3150" s="1" t="s">
        <v>2628</v>
      </c>
      <c r="C3150" s="1">
        <v>199</v>
      </c>
      <c r="D3150" s="1" t="s">
        <v>578</v>
      </c>
      <c r="E3150" s="1" t="s">
        <v>6</v>
      </c>
      <c r="F3150" s="1" t="s">
        <v>5091</v>
      </c>
      <c r="G3150" s="14" t="s">
        <v>6377</v>
      </c>
      <c r="H3150" s="1" t="s">
        <v>5</v>
      </c>
      <c r="I3150" s="17">
        <v>39164</v>
      </c>
    </row>
    <row r="3151" spans="1:9">
      <c r="A3151" s="16" t="s">
        <v>11131</v>
      </c>
      <c r="B3151" s="1" t="s">
        <v>2628</v>
      </c>
      <c r="C3151" s="1">
        <v>199</v>
      </c>
      <c r="D3151" s="1" t="s">
        <v>578</v>
      </c>
      <c r="E3151" s="1" t="s">
        <v>6</v>
      </c>
      <c r="F3151" s="1" t="s">
        <v>5091</v>
      </c>
      <c r="G3151" s="14" t="s">
        <v>9884</v>
      </c>
      <c r="H3151" s="1" t="s">
        <v>5</v>
      </c>
      <c r="I3151" s="17">
        <v>39164</v>
      </c>
    </row>
    <row r="3152" spans="1:9">
      <c r="A3152" s="16" t="s">
        <v>11151</v>
      </c>
      <c r="B3152" s="1" t="s">
        <v>2628</v>
      </c>
      <c r="C3152" s="1">
        <v>199</v>
      </c>
      <c r="D3152" s="1" t="s">
        <v>578</v>
      </c>
      <c r="E3152" s="1" t="s">
        <v>6</v>
      </c>
      <c r="F3152" s="1" t="s">
        <v>5091</v>
      </c>
      <c r="G3152" s="14" t="s">
        <v>9628</v>
      </c>
      <c r="H3152" s="1" t="s">
        <v>5</v>
      </c>
      <c r="I3152" s="17">
        <v>42270</v>
      </c>
    </row>
    <row r="3153" spans="1:9">
      <c r="A3153" s="16" t="s">
        <v>11161</v>
      </c>
      <c r="B3153" s="1" t="s">
        <v>2628</v>
      </c>
      <c r="C3153" s="1">
        <v>199</v>
      </c>
      <c r="D3153" s="1" t="s">
        <v>578</v>
      </c>
      <c r="E3153" s="1" t="s">
        <v>6</v>
      </c>
      <c r="F3153" s="1" t="s">
        <v>5091</v>
      </c>
      <c r="G3153" s="14" t="s">
        <v>6145</v>
      </c>
      <c r="H3153" s="1" t="s">
        <v>43</v>
      </c>
      <c r="I3153" s="17">
        <v>39881</v>
      </c>
    </row>
    <row r="3154" spans="1:9">
      <c r="A3154" s="16" t="s">
        <v>11201</v>
      </c>
      <c r="B3154" s="1" t="s">
        <v>2628</v>
      </c>
      <c r="C3154" s="1">
        <v>199</v>
      </c>
      <c r="D3154" s="1" t="s">
        <v>578</v>
      </c>
      <c r="E3154" s="1" t="s">
        <v>6</v>
      </c>
      <c r="F3154" s="1" t="s">
        <v>5091</v>
      </c>
      <c r="G3154" s="14" t="s">
        <v>6145</v>
      </c>
      <c r="H3154" s="1" t="s">
        <v>43</v>
      </c>
      <c r="I3154" s="17">
        <v>41275</v>
      </c>
    </row>
    <row r="3155" spans="1:9">
      <c r="A3155" s="16" t="s">
        <v>11240</v>
      </c>
      <c r="B3155" s="1" t="s">
        <v>2628</v>
      </c>
      <c r="C3155" s="1">
        <v>199</v>
      </c>
      <c r="D3155" s="1" t="s">
        <v>578</v>
      </c>
      <c r="E3155" s="1" t="s">
        <v>6</v>
      </c>
      <c r="F3155" s="1" t="s">
        <v>5091</v>
      </c>
      <c r="G3155" s="14" t="s">
        <v>6145</v>
      </c>
      <c r="H3155" s="1" t="s">
        <v>43</v>
      </c>
      <c r="I3155" s="17">
        <v>38600</v>
      </c>
    </row>
    <row r="3156" spans="1:9">
      <c r="A3156" s="16" t="s">
        <v>11241</v>
      </c>
      <c r="B3156" s="1" t="s">
        <v>2628</v>
      </c>
      <c r="C3156" s="1">
        <v>199</v>
      </c>
      <c r="D3156" s="1" t="s">
        <v>578</v>
      </c>
      <c r="E3156" s="1" t="s">
        <v>6</v>
      </c>
      <c r="F3156" s="1" t="s">
        <v>5091</v>
      </c>
      <c r="G3156" s="14" t="s">
        <v>6145</v>
      </c>
      <c r="H3156" s="1" t="s">
        <v>43</v>
      </c>
      <c r="I3156" s="17">
        <v>38600</v>
      </c>
    </row>
    <row r="3157" spans="1:9">
      <c r="A3157" s="16" t="s">
        <v>11243</v>
      </c>
      <c r="B3157" s="1" t="s">
        <v>2628</v>
      </c>
      <c r="C3157" s="1">
        <v>199</v>
      </c>
      <c r="D3157" s="1" t="s">
        <v>578</v>
      </c>
      <c r="E3157" s="1" t="s">
        <v>6</v>
      </c>
      <c r="F3157" s="1" t="s">
        <v>5091</v>
      </c>
      <c r="G3157" s="14" t="s">
        <v>6145</v>
      </c>
      <c r="H3157" s="1" t="s">
        <v>43</v>
      </c>
      <c r="I3157" s="17">
        <v>38416</v>
      </c>
    </row>
    <row r="3158" spans="1:9">
      <c r="A3158" s="16" t="s">
        <v>11248</v>
      </c>
      <c r="B3158" s="1" t="s">
        <v>2628</v>
      </c>
      <c r="C3158" s="1">
        <v>199</v>
      </c>
      <c r="D3158" s="1" t="s">
        <v>578</v>
      </c>
      <c r="E3158" s="1" t="s">
        <v>6</v>
      </c>
      <c r="F3158" s="1" t="s">
        <v>5091</v>
      </c>
      <c r="G3158" s="14" t="s">
        <v>6145</v>
      </c>
      <c r="H3158" s="1" t="s">
        <v>43</v>
      </c>
      <c r="I3158" s="17">
        <v>41275</v>
      </c>
    </row>
    <row r="3159" spans="1:9">
      <c r="A3159" s="16" t="s">
        <v>11249</v>
      </c>
      <c r="B3159" s="1" t="s">
        <v>2628</v>
      </c>
      <c r="C3159" s="1">
        <v>199</v>
      </c>
      <c r="D3159" s="1" t="s">
        <v>578</v>
      </c>
      <c r="E3159" s="1" t="s">
        <v>6</v>
      </c>
      <c r="F3159" s="1" t="s">
        <v>5091</v>
      </c>
      <c r="G3159" s="14" t="s">
        <v>6145</v>
      </c>
      <c r="H3159" s="1" t="s">
        <v>43</v>
      </c>
      <c r="I3159" s="17">
        <v>41275</v>
      </c>
    </row>
    <row r="3160" spans="1:9">
      <c r="A3160" s="16" t="s">
        <v>11293</v>
      </c>
      <c r="B3160" s="1" t="s">
        <v>2628</v>
      </c>
      <c r="C3160" s="1">
        <v>199</v>
      </c>
      <c r="D3160" s="1" t="s">
        <v>578</v>
      </c>
      <c r="E3160" s="1" t="s">
        <v>6</v>
      </c>
      <c r="F3160" s="1" t="s">
        <v>5091</v>
      </c>
      <c r="G3160" s="14" t="s">
        <v>6145</v>
      </c>
      <c r="H3160" s="1" t="s">
        <v>43</v>
      </c>
      <c r="I3160" s="17">
        <v>41275</v>
      </c>
    </row>
    <row r="3161" spans="1:9">
      <c r="A3161" s="16" t="s">
        <v>11295</v>
      </c>
      <c r="B3161" s="1" t="s">
        <v>2628</v>
      </c>
      <c r="C3161" s="1">
        <v>199</v>
      </c>
      <c r="D3161" s="1" t="s">
        <v>578</v>
      </c>
      <c r="E3161" s="1" t="s">
        <v>6</v>
      </c>
      <c r="F3161" s="1" t="s">
        <v>5091</v>
      </c>
      <c r="G3161" s="14" t="s">
        <v>6145</v>
      </c>
      <c r="H3161" s="1" t="s">
        <v>43</v>
      </c>
      <c r="I3161" s="17">
        <v>41275</v>
      </c>
    </row>
    <row r="3162" spans="1:9">
      <c r="A3162" s="16" t="s">
        <v>11321</v>
      </c>
      <c r="B3162" s="1" t="s">
        <v>2628</v>
      </c>
      <c r="C3162" s="1">
        <v>2516</v>
      </c>
      <c r="D3162" s="1" t="s">
        <v>578</v>
      </c>
      <c r="E3162" s="1" t="s">
        <v>6</v>
      </c>
      <c r="F3162" s="1" t="s">
        <v>5091</v>
      </c>
      <c r="G3162" s="14" t="s">
        <v>9561</v>
      </c>
      <c r="H3162" s="1" t="s">
        <v>5</v>
      </c>
      <c r="I3162" s="17">
        <v>38492</v>
      </c>
    </row>
    <row r="3163" spans="1:9">
      <c r="A3163" s="16" t="s">
        <v>11322</v>
      </c>
      <c r="B3163" s="1" t="s">
        <v>2628</v>
      </c>
      <c r="C3163" s="1">
        <v>2516</v>
      </c>
      <c r="D3163" s="1" t="s">
        <v>578</v>
      </c>
      <c r="E3163" s="1" t="s">
        <v>6</v>
      </c>
      <c r="F3163" s="1" t="s">
        <v>5091</v>
      </c>
      <c r="G3163" s="14" t="s">
        <v>9561</v>
      </c>
      <c r="H3163" s="1" t="s">
        <v>5</v>
      </c>
      <c r="I3163" s="17">
        <v>38492</v>
      </c>
    </row>
    <row r="3164" spans="1:9">
      <c r="A3164" s="16" t="s">
        <v>11323</v>
      </c>
      <c r="B3164" s="1" t="s">
        <v>2628</v>
      </c>
      <c r="C3164" s="1">
        <v>2516</v>
      </c>
      <c r="D3164" s="1" t="s">
        <v>578</v>
      </c>
      <c r="E3164" s="1" t="s">
        <v>6</v>
      </c>
      <c r="F3164" s="1" t="s">
        <v>5091</v>
      </c>
      <c r="G3164" s="14" t="s">
        <v>9561</v>
      </c>
      <c r="H3164" s="1" t="s">
        <v>5</v>
      </c>
      <c r="I3164" s="17">
        <v>38492</v>
      </c>
    </row>
    <row r="3165" spans="1:9">
      <c r="A3165" s="16" t="s">
        <v>11330</v>
      </c>
      <c r="B3165" s="1" t="s">
        <v>2628</v>
      </c>
      <c r="C3165" s="1">
        <v>199</v>
      </c>
      <c r="D3165" s="1" t="s">
        <v>578</v>
      </c>
      <c r="E3165" s="1" t="s">
        <v>6</v>
      </c>
      <c r="F3165" s="1" t="s">
        <v>5091</v>
      </c>
      <c r="G3165" s="14" t="s">
        <v>6145</v>
      </c>
      <c r="H3165" s="1" t="s">
        <v>43</v>
      </c>
      <c r="I3165" s="17">
        <v>38600</v>
      </c>
    </row>
    <row r="3166" spans="1:9">
      <c r="A3166" s="16" t="s">
        <v>11331</v>
      </c>
      <c r="B3166" s="1" t="s">
        <v>2628</v>
      </c>
      <c r="C3166" s="1">
        <v>199</v>
      </c>
      <c r="D3166" s="1" t="s">
        <v>578</v>
      </c>
      <c r="E3166" s="1" t="s">
        <v>6</v>
      </c>
      <c r="F3166" s="1" t="s">
        <v>5091</v>
      </c>
      <c r="G3166" s="14" t="s">
        <v>6145</v>
      </c>
      <c r="H3166" s="1" t="s">
        <v>43</v>
      </c>
      <c r="I3166" s="17">
        <v>38600</v>
      </c>
    </row>
    <row r="3167" spans="1:9">
      <c r="A3167" s="16" t="s">
        <v>11333</v>
      </c>
      <c r="B3167" s="1" t="s">
        <v>2628</v>
      </c>
      <c r="C3167" s="1">
        <v>199</v>
      </c>
      <c r="D3167" s="1" t="s">
        <v>578</v>
      </c>
      <c r="E3167" s="1" t="s">
        <v>6</v>
      </c>
      <c r="F3167" s="1" t="s">
        <v>5091</v>
      </c>
      <c r="G3167" s="14" t="s">
        <v>6145</v>
      </c>
      <c r="H3167" s="1" t="s">
        <v>43</v>
      </c>
      <c r="I3167" s="17">
        <v>38416</v>
      </c>
    </row>
    <row r="3168" spans="1:9">
      <c r="A3168" s="16" t="s">
        <v>11359</v>
      </c>
      <c r="B3168" s="1" t="s">
        <v>2628</v>
      </c>
      <c r="C3168" s="1">
        <v>199</v>
      </c>
      <c r="D3168" s="1" t="s">
        <v>578</v>
      </c>
      <c r="E3168" s="1" t="s">
        <v>6</v>
      </c>
      <c r="F3168" s="1" t="s">
        <v>5091</v>
      </c>
      <c r="G3168" s="14" t="s">
        <v>11360</v>
      </c>
      <c r="H3168" s="1" t="s">
        <v>5</v>
      </c>
      <c r="I3168" s="17">
        <v>38425</v>
      </c>
    </row>
    <row r="3169" spans="1:9">
      <c r="A3169" s="16" t="s">
        <v>11387</v>
      </c>
      <c r="B3169" s="1" t="s">
        <v>2628</v>
      </c>
      <c r="C3169" s="1">
        <v>199</v>
      </c>
      <c r="D3169" s="1" t="s">
        <v>578</v>
      </c>
      <c r="E3169" s="1" t="s">
        <v>6</v>
      </c>
      <c r="F3169" s="1" t="s">
        <v>5091</v>
      </c>
      <c r="G3169" s="14" t="s">
        <v>6145</v>
      </c>
      <c r="H3169" s="1" t="s">
        <v>43</v>
      </c>
      <c r="I3169" s="17">
        <v>38416</v>
      </c>
    </row>
    <row r="3170" spans="1:9">
      <c r="A3170" s="16" t="s">
        <v>11388</v>
      </c>
      <c r="B3170" s="1" t="s">
        <v>2628</v>
      </c>
      <c r="C3170" s="1">
        <v>199</v>
      </c>
      <c r="D3170" s="1" t="s">
        <v>578</v>
      </c>
      <c r="E3170" s="1" t="s">
        <v>6</v>
      </c>
      <c r="F3170" s="1" t="s">
        <v>5091</v>
      </c>
      <c r="G3170" s="14" t="s">
        <v>6145</v>
      </c>
      <c r="H3170" s="1" t="s">
        <v>43</v>
      </c>
      <c r="I3170" s="17">
        <v>42562</v>
      </c>
    </row>
    <row r="3171" spans="1:9">
      <c r="A3171" s="16" t="s">
        <v>11407</v>
      </c>
      <c r="B3171" s="1" t="s">
        <v>2628</v>
      </c>
      <c r="C3171" s="1">
        <v>199</v>
      </c>
      <c r="D3171" s="1" t="s">
        <v>578</v>
      </c>
      <c r="E3171" s="1" t="s">
        <v>6</v>
      </c>
      <c r="F3171" s="1" t="s">
        <v>5091</v>
      </c>
      <c r="G3171" s="14" t="s">
        <v>11314</v>
      </c>
      <c r="H3171" s="1" t="s">
        <v>5</v>
      </c>
      <c r="I3171" s="17">
        <v>38616</v>
      </c>
    </row>
    <row r="3172" spans="1:9">
      <c r="A3172" s="16" t="s">
        <v>11620</v>
      </c>
      <c r="B3172" s="1" t="s">
        <v>2628</v>
      </c>
      <c r="C3172" s="1">
        <v>199</v>
      </c>
      <c r="D3172" s="1" t="s">
        <v>578</v>
      </c>
      <c r="E3172" s="1" t="s">
        <v>6</v>
      </c>
      <c r="F3172" s="1" t="s">
        <v>5091</v>
      </c>
      <c r="G3172" s="14" t="s">
        <v>6530</v>
      </c>
      <c r="H3172" s="1" t="s">
        <v>43</v>
      </c>
      <c r="I3172" s="17">
        <v>42317</v>
      </c>
    </row>
    <row r="3173" spans="1:9" ht="31.2">
      <c r="A3173" s="16" t="s">
        <v>11685</v>
      </c>
      <c r="B3173" s="1" t="s">
        <v>2628</v>
      </c>
      <c r="C3173" s="1">
        <v>199</v>
      </c>
      <c r="D3173" s="1" t="s">
        <v>578</v>
      </c>
      <c r="E3173" s="1" t="s">
        <v>6</v>
      </c>
      <c r="F3173" s="1" t="s">
        <v>5091</v>
      </c>
      <c r="G3173" s="14" t="s">
        <v>11686</v>
      </c>
      <c r="H3173" s="1" t="s">
        <v>5</v>
      </c>
      <c r="I3173" s="17">
        <v>42640</v>
      </c>
    </row>
    <row r="3174" spans="1:9">
      <c r="A3174" s="16" t="s">
        <v>11687</v>
      </c>
      <c r="B3174" s="1" t="s">
        <v>2628</v>
      </c>
      <c r="C3174" s="1">
        <v>199</v>
      </c>
      <c r="D3174" s="1" t="s">
        <v>578</v>
      </c>
      <c r="E3174" s="1" t="s">
        <v>6</v>
      </c>
      <c r="F3174" s="1" t="s">
        <v>5091</v>
      </c>
      <c r="G3174" s="14" t="s">
        <v>11688</v>
      </c>
      <c r="H3174" s="1" t="s">
        <v>5</v>
      </c>
      <c r="I3174" s="17">
        <v>42005</v>
      </c>
    </row>
    <row r="3175" spans="1:9">
      <c r="A3175" s="16" t="s">
        <v>11692</v>
      </c>
      <c r="B3175" s="1" t="s">
        <v>2628</v>
      </c>
      <c r="C3175" s="1">
        <v>2516</v>
      </c>
      <c r="D3175" s="1" t="s">
        <v>578</v>
      </c>
      <c r="E3175" s="1" t="s">
        <v>6</v>
      </c>
      <c r="F3175" s="1" t="s">
        <v>5091</v>
      </c>
      <c r="G3175" s="14" t="s">
        <v>9953</v>
      </c>
      <c r="H3175" s="1" t="s">
        <v>5</v>
      </c>
      <c r="I3175" s="17">
        <v>37837</v>
      </c>
    </row>
    <row r="3176" spans="1:9">
      <c r="A3176" s="16" t="s">
        <v>11693</v>
      </c>
      <c r="B3176" s="1" t="s">
        <v>2628</v>
      </c>
      <c r="C3176" s="1">
        <v>2516</v>
      </c>
      <c r="D3176" s="1" t="s">
        <v>578</v>
      </c>
      <c r="E3176" s="1" t="s">
        <v>6</v>
      </c>
      <c r="F3176" s="1" t="s">
        <v>5091</v>
      </c>
      <c r="G3176" s="14" t="s">
        <v>9561</v>
      </c>
      <c r="H3176" s="1" t="s">
        <v>5</v>
      </c>
      <c r="I3176" s="17">
        <v>37837</v>
      </c>
    </row>
    <row r="3177" spans="1:9">
      <c r="A3177" s="16" t="s">
        <v>11694</v>
      </c>
      <c r="B3177" s="1" t="s">
        <v>2628</v>
      </c>
      <c r="C3177" s="1">
        <v>199</v>
      </c>
      <c r="D3177" s="1" t="s">
        <v>578</v>
      </c>
      <c r="E3177" s="1" t="s">
        <v>6</v>
      </c>
      <c r="F3177" s="1" t="s">
        <v>5091</v>
      </c>
      <c r="G3177" s="14" t="s">
        <v>11695</v>
      </c>
      <c r="H3177" s="1" t="s">
        <v>5</v>
      </c>
      <c r="I3177" s="17">
        <v>37886</v>
      </c>
    </row>
    <row r="3178" spans="1:9">
      <c r="A3178" s="16" t="s">
        <v>11696</v>
      </c>
      <c r="B3178" s="1" t="s">
        <v>2628</v>
      </c>
      <c r="C3178" s="1">
        <v>2516</v>
      </c>
      <c r="D3178" s="1" t="s">
        <v>578</v>
      </c>
      <c r="E3178" s="1" t="s">
        <v>6</v>
      </c>
      <c r="F3178" s="1" t="s">
        <v>5091</v>
      </c>
      <c r="G3178" s="14" t="s">
        <v>9561</v>
      </c>
      <c r="H3178" s="1" t="s">
        <v>5</v>
      </c>
      <c r="I3178" s="17">
        <v>37900</v>
      </c>
    </row>
    <row r="3179" spans="1:9">
      <c r="A3179" s="16" t="s">
        <v>11699</v>
      </c>
      <c r="B3179" s="1" t="s">
        <v>2628</v>
      </c>
      <c r="C3179" s="1">
        <v>2516</v>
      </c>
      <c r="D3179" s="1" t="s">
        <v>578</v>
      </c>
      <c r="E3179" s="1" t="s">
        <v>6</v>
      </c>
      <c r="F3179" s="1" t="s">
        <v>5091</v>
      </c>
      <c r="G3179" s="14" t="s">
        <v>9561</v>
      </c>
      <c r="H3179" s="1" t="s">
        <v>5</v>
      </c>
      <c r="I3179" s="17">
        <v>37837</v>
      </c>
    </row>
    <row r="3180" spans="1:9">
      <c r="A3180" s="16" t="s">
        <v>11700</v>
      </c>
      <c r="B3180" s="1" t="s">
        <v>2628</v>
      </c>
      <c r="C3180" s="1">
        <v>2516</v>
      </c>
      <c r="D3180" s="1" t="s">
        <v>578</v>
      </c>
      <c r="E3180" s="1" t="s">
        <v>6</v>
      </c>
      <c r="F3180" s="1" t="s">
        <v>5091</v>
      </c>
      <c r="G3180" s="14" t="s">
        <v>9561</v>
      </c>
      <c r="H3180" s="1" t="s">
        <v>5</v>
      </c>
      <c r="I3180" s="17">
        <v>37879</v>
      </c>
    </row>
    <row r="3181" spans="1:9">
      <c r="A3181" s="16" t="s">
        <v>11703</v>
      </c>
      <c r="B3181" s="1" t="s">
        <v>2628</v>
      </c>
      <c r="C3181" s="1">
        <v>2516</v>
      </c>
      <c r="D3181" s="1" t="s">
        <v>578</v>
      </c>
      <c r="E3181" s="1" t="s">
        <v>6</v>
      </c>
      <c r="F3181" s="1" t="s">
        <v>5091</v>
      </c>
      <c r="G3181" s="14" t="s">
        <v>9561</v>
      </c>
      <c r="H3181" s="1" t="s">
        <v>5</v>
      </c>
      <c r="I3181" s="17">
        <v>37837</v>
      </c>
    </row>
    <row r="3182" spans="1:9">
      <c r="A3182" s="16" t="s">
        <v>11705</v>
      </c>
      <c r="B3182" s="1" t="s">
        <v>2628</v>
      </c>
      <c r="C3182" s="1">
        <v>2516</v>
      </c>
      <c r="D3182" s="1" t="s">
        <v>578</v>
      </c>
      <c r="E3182" s="1" t="s">
        <v>6</v>
      </c>
      <c r="F3182" s="1" t="s">
        <v>5091</v>
      </c>
      <c r="G3182" s="14" t="s">
        <v>10402</v>
      </c>
      <c r="H3182" s="1" t="s">
        <v>5</v>
      </c>
      <c r="I3182" s="17">
        <v>37859</v>
      </c>
    </row>
    <row r="3183" spans="1:9">
      <c r="A3183" s="16" t="s">
        <v>11706</v>
      </c>
      <c r="B3183" s="1" t="s">
        <v>2628</v>
      </c>
      <c r="C3183" s="1">
        <v>2516</v>
      </c>
      <c r="D3183" s="1" t="s">
        <v>578</v>
      </c>
      <c r="E3183" s="1" t="s">
        <v>6</v>
      </c>
      <c r="F3183" s="1" t="s">
        <v>5091</v>
      </c>
      <c r="G3183" s="14" t="s">
        <v>9561</v>
      </c>
      <c r="H3183" s="1" t="s">
        <v>5</v>
      </c>
      <c r="I3183" s="17">
        <v>37900</v>
      </c>
    </row>
    <row r="3184" spans="1:9">
      <c r="A3184" s="16" t="s">
        <v>11711</v>
      </c>
      <c r="B3184" s="1" t="s">
        <v>2628</v>
      </c>
      <c r="C3184" s="1">
        <v>2516</v>
      </c>
      <c r="D3184" s="1" t="s">
        <v>578</v>
      </c>
      <c r="E3184" s="1" t="s">
        <v>6</v>
      </c>
      <c r="F3184" s="1" t="s">
        <v>5091</v>
      </c>
      <c r="G3184" s="14" t="s">
        <v>11712</v>
      </c>
      <c r="H3184" s="1" t="s">
        <v>5</v>
      </c>
      <c r="I3184" s="17">
        <v>37830</v>
      </c>
    </row>
    <row r="3185" spans="1:9">
      <c r="A3185" s="16" t="s">
        <v>11714</v>
      </c>
      <c r="B3185" s="1" t="s">
        <v>2628</v>
      </c>
      <c r="C3185" s="1">
        <v>2516</v>
      </c>
      <c r="D3185" s="1" t="s">
        <v>578</v>
      </c>
      <c r="E3185" s="1" t="s">
        <v>6</v>
      </c>
      <c r="F3185" s="1" t="s">
        <v>5091</v>
      </c>
      <c r="G3185" s="14" t="s">
        <v>9561</v>
      </c>
      <c r="H3185" s="1" t="s">
        <v>5</v>
      </c>
      <c r="I3185" s="17">
        <v>37900</v>
      </c>
    </row>
    <row r="3186" spans="1:9">
      <c r="A3186" s="16" t="s">
        <v>11760</v>
      </c>
      <c r="B3186" s="1" t="s">
        <v>2628</v>
      </c>
      <c r="C3186" s="1">
        <v>2516</v>
      </c>
      <c r="D3186" s="1" t="s">
        <v>578</v>
      </c>
      <c r="E3186" s="1" t="s">
        <v>6</v>
      </c>
      <c r="F3186" s="1" t="s">
        <v>5091</v>
      </c>
      <c r="G3186" s="14" t="s">
        <v>9578</v>
      </c>
      <c r="H3186" s="1" t="s">
        <v>5</v>
      </c>
      <c r="I3186" s="17">
        <v>37809</v>
      </c>
    </row>
    <row r="3187" spans="1:9">
      <c r="A3187" s="16" t="s">
        <v>11765</v>
      </c>
      <c r="B3187" s="1" t="s">
        <v>2628</v>
      </c>
      <c r="C3187" s="1">
        <v>199</v>
      </c>
      <c r="D3187" s="1" t="s">
        <v>578</v>
      </c>
      <c r="E3187" s="1" t="s">
        <v>6</v>
      </c>
      <c r="F3187" s="1" t="s">
        <v>5091</v>
      </c>
      <c r="G3187" s="14" t="s">
        <v>6186</v>
      </c>
      <c r="H3187" s="1" t="s">
        <v>5</v>
      </c>
      <c r="I3187" s="17">
        <v>42370</v>
      </c>
    </row>
    <row r="3188" spans="1:9">
      <c r="A3188" s="16" t="s">
        <v>11767</v>
      </c>
      <c r="B3188" s="1" t="s">
        <v>2628</v>
      </c>
      <c r="C3188" s="1">
        <v>199</v>
      </c>
      <c r="D3188" s="1" t="s">
        <v>578</v>
      </c>
      <c r="E3188" s="1" t="s">
        <v>6</v>
      </c>
      <c r="F3188" s="1" t="s">
        <v>5091</v>
      </c>
      <c r="G3188" s="14" t="s">
        <v>6236</v>
      </c>
      <c r="H3188" s="1" t="s">
        <v>43</v>
      </c>
      <c r="I3188" s="17">
        <v>42370</v>
      </c>
    </row>
    <row r="3189" spans="1:9">
      <c r="A3189" s="16" t="s">
        <v>11776</v>
      </c>
      <c r="B3189" s="1" t="s">
        <v>2628</v>
      </c>
      <c r="C3189" s="1">
        <v>199</v>
      </c>
      <c r="D3189" s="1" t="s">
        <v>578</v>
      </c>
      <c r="E3189" s="1" t="s">
        <v>6</v>
      </c>
      <c r="F3189" s="1" t="s">
        <v>5091</v>
      </c>
      <c r="G3189" s="14" t="s">
        <v>11777</v>
      </c>
      <c r="H3189" s="1" t="s">
        <v>5</v>
      </c>
      <c r="I3189" s="17">
        <v>41933</v>
      </c>
    </row>
    <row r="3190" spans="1:9">
      <c r="A3190" s="16" t="s">
        <v>11778</v>
      </c>
      <c r="B3190" s="1" t="s">
        <v>2628</v>
      </c>
      <c r="C3190" s="1">
        <v>199</v>
      </c>
      <c r="D3190" s="1" t="s">
        <v>578</v>
      </c>
      <c r="E3190" s="1" t="s">
        <v>6</v>
      </c>
      <c r="F3190" s="1" t="s">
        <v>5091</v>
      </c>
      <c r="G3190" s="14" t="s">
        <v>11777</v>
      </c>
      <c r="H3190" s="1" t="s">
        <v>5</v>
      </c>
      <c r="I3190" s="17">
        <v>41933</v>
      </c>
    </row>
    <row r="3191" spans="1:9">
      <c r="A3191" s="16" t="s">
        <v>11802</v>
      </c>
      <c r="B3191" s="1" t="s">
        <v>2628</v>
      </c>
      <c r="C3191" s="1">
        <v>199</v>
      </c>
      <c r="D3191" s="1" t="s">
        <v>578</v>
      </c>
      <c r="E3191" s="1" t="s">
        <v>6</v>
      </c>
      <c r="F3191" s="1" t="s">
        <v>5091</v>
      </c>
      <c r="G3191" s="14" t="s">
        <v>4803</v>
      </c>
      <c r="H3191" s="1" t="s">
        <v>5</v>
      </c>
      <c r="I3191" s="17">
        <v>42339</v>
      </c>
    </row>
    <row r="3192" spans="1:9">
      <c r="A3192" s="16" t="s">
        <v>11803</v>
      </c>
      <c r="B3192" s="1" t="s">
        <v>2628</v>
      </c>
      <c r="C3192" s="1">
        <v>199</v>
      </c>
      <c r="D3192" s="1" t="s">
        <v>578</v>
      </c>
      <c r="E3192" s="1" t="s">
        <v>6</v>
      </c>
      <c r="F3192" s="1" t="s">
        <v>5091</v>
      </c>
      <c r="G3192" s="14" t="s">
        <v>4803</v>
      </c>
      <c r="H3192" s="1" t="s">
        <v>5</v>
      </c>
      <c r="I3192" s="17">
        <v>42339</v>
      </c>
    </row>
    <row r="3193" spans="1:9">
      <c r="A3193" s="16" t="s">
        <v>11806</v>
      </c>
      <c r="B3193" s="1" t="s">
        <v>2628</v>
      </c>
      <c r="C3193" s="1">
        <v>2516</v>
      </c>
      <c r="D3193" s="1" t="s">
        <v>578</v>
      </c>
      <c r="E3193" s="1" t="s">
        <v>6</v>
      </c>
      <c r="F3193" s="1" t="s">
        <v>5091</v>
      </c>
      <c r="G3193" s="14" t="s">
        <v>4803</v>
      </c>
      <c r="H3193" s="1" t="s">
        <v>5</v>
      </c>
      <c r="I3193" s="17">
        <v>42339</v>
      </c>
    </row>
    <row r="3194" spans="1:9">
      <c r="A3194" s="16" t="s">
        <v>11807</v>
      </c>
      <c r="B3194" s="1" t="s">
        <v>2628</v>
      </c>
      <c r="C3194" s="1">
        <v>199</v>
      </c>
      <c r="D3194" s="1" t="s">
        <v>578</v>
      </c>
      <c r="E3194" s="1" t="s">
        <v>6</v>
      </c>
      <c r="F3194" s="1" t="s">
        <v>5091</v>
      </c>
      <c r="G3194" s="14" t="s">
        <v>4803</v>
      </c>
      <c r="H3194" s="1" t="s">
        <v>5</v>
      </c>
      <c r="I3194" s="17">
        <v>42339</v>
      </c>
    </row>
    <row r="3195" spans="1:9">
      <c r="A3195" s="16" t="s">
        <v>11810</v>
      </c>
      <c r="B3195" s="1" t="s">
        <v>2628</v>
      </c>
      <c r="C3195" s="1">
        <v>199</v>
      </c>
      <c r="D3195" s="1" t="s">
        <v>578</v>
      </c>
      <c r="E3195" s="1" t="s">
        <v>6</v>
      </c>
      <c r="F3195" s="1" t="s">
        <v>5091</v>
      </c>
      <c r="G3195" s="14" t="s">
        <v>4803</v>
      </c>
      <c r="H3195" s="1" t="s">
        <v>5</v>
      </c>
      <c r="I3195" s="17">
        <v>42339</v>
      </c>
    </row>
    <row r="3196" spans="1:9">
      <c r="A3196" s="16" t="s">
        <v>11811</v>
      </c>
      <c r="B3196" s="1" t="s">
        <v>2628</v>
      </c>
      <c r="C3196" s="1">
        <v>199</v>
      </c>
      <c r="D3196" s="1" t="s">
        <v>578</v>
      </c>
      <c r="E3196" s="1" t="s">
        <v>6</v>
      </c>
      <c r="F3196" s="1" t="s">
        <v>5091</v>
      </c>
      <c r="G3196" s="14" t="s">
        <v>4803</v>
      </c>
      <c r="H3196" s="1" t="s">
        <v>5</v>
      </c>
      <c r="I3196" s="17">
        <v>42339</v>
      </c>
    </row>
    <row r="3197" spans="1:9">
      <c r="A3197" s="16" t="s">
        <v>11816</v>
      </c>
      <c r="B3197" s="1" t="s">
        <v>2628</v>
      </c>
      <c r="C3197" s="1">
        <v>2516</v>
      </c>
      <c r="D3197" s="1" t="s">
        <v>578</v>
      </c>
      <c r="E3197" s="1" t="s">
        <v>6</v>
      </c>
      <c r="F3197" s="1" t="s">
        <v>5091</v>
      </c>
      <c r="G3197" s="14" t="s">
        <v>4803</v>
      </c>
      <c r="H3197" s="1" t="s">
        <v>5</v>
      </c>
      <c r="I3197" s="17">
        <v>42339</v>
      </c>
    </row>
    <row r="3198" spans="1:9">
      <c r="A3198" s="16" t="s">
        <v>11835</v>
      </c>
      <c r="B3198" s="1" t="s">
        <v>2628</v>
      </c>
      <c r="C3198" s="1">
        <v>1903</v>
      </c>
      <c r="D3198" s="1" t="s">
        <v>578</v>
      </c>
      <c r="E3198" s="1" t="s">
        <v>6</v>
      </c>
      <c r="F3198" s="1" t="s">
        <v>5091</v>
      </c>
      <c r="G3198" s="14" t="s">
        <v>11836</v>
      </c>
      <c r="H3198" s="1" t="s">
        <v>43</v>
      </c>
      <c r="I3198" s="17">
        <v>42614</v>
      </c>
    </row>
    <row r="3199" spans="1:9">
      <c r="A3199" s="16" t="s">
        <v>11888</v>
      </c>
      <c r="B3199" s="1" t="s">
        <v>2628</v>
      </c>
      <c r="C3199" s="1">
        <v>199</v>
      </c>
      <c r="D3199" s="1" t="s">
        <v>578</v>
      </c>
      <c r="E3199" s="1" t="s">
        <v>6</v>
      </c>
      <c r="F3199" s="1" t="s">
        <v>5091</v>
      </c>
      <c r="G3199" s="14" t="s">
        <v>11836</v>
      </c>
      <c r="H3199" s="1" t="s">
        <v>43</v>
      </c>
      <c r="I3199" s="17">
        <v>42614</v>
      </c>
    </row>
    <row r="3200" spans="1:9">
      <c r="A3200" s="16" t="s">
        <v>11912</v>
      </c>
      <c r="B3200" s="1" t="s">
        <v>2628</v>
      </c>
      <c r="C3200" s="1">
        <v>199</v>
      </c>
      <c r="D3200" s="1" t="s">
        <v>578</v>
      </c>
      <c r="E3200" s="1" t="s">
        <v>6</v>
      </c>
      <c r="F3200" s="1" t="s">
        <v>5091</v>
      </c>
      <c r="G3200" s="14" t="s">
        <v>6145</v>
      </c>
      <c r="H3200" s="1" t="s">
        <v>43</v>
      </c>
      <c r="I3200" s="17">
        <v>42669</v>
      </c>
    </row>
    <row r="3201" spans="1:9">
      <c r="A3201" s="16" t="s">
        <v>11914</v>
      </c>
      <c r="B3201" s="1" t="s">
        <v>2628</v>
      </c>
      <c r="C3201" s="1">
        <v>199</v>
      </c>
      <c r="D3201" s="1" t="s">
        <v>578</v>
      </c>
      <c r="E3201" s="1" t="s">
        <v>6</v>
      </c>
      <c r="F3201" s="1" t="s">
        <v>5091</v>
      </c>
      <c r="G3201" s="14" t="s">
        <v>6145</v>
      </c>
      <c r="H3201" s="1" t="s">
        <v>43</v>
      </c>
      <c r="I3201" s="17">
        <v>42669</v>
      </c>
    </row>
    <row r="3202" spans="1:9">
      <c r="A3202" s="16" t="s">
        <v>11917</v>
      </c>
      <c r="B3202" s="1" t="s">
        <v>2628</v>
      </c>
      <c r="C3202" s="1">
        <v>199</v>
      </c>
      <c r="D3202" s="1" t="s">
        <v>578</v>
      </c>
      <c r="E3202" s="1" t="s">
        <v>6</v>
      </c>
      <c r="F3202" s="1" t="s">
        <v>5091</v>
      </c>
      <c r="G3202" s="14" t="s">
        <v>6145</v>
      </c>
      <c r="H3202" s="1" t="s">
        <v>43</v>
      </c>
      <c r="I3202" s="17">
        <v>42669</v>
      </c>
    </row>
    <row r="3203" spans="1:9">
      <c r="A3203" s="16" t="s">
        <v>11918</v>
      </c>
      <c r="B3203" s="1" t="s">
        <v>2628</v>
      </c>
      <c r="C3203" s="1">
        <v>199</v>
      </c>
      <c r="D3203" s="1" t="s">
        <v>578</v>
      </c>
      <c r="E3203" s="1" t="s">
        <v>6</v>
      </c>
      <c r="F3203" s="1" t="s">
        <v>5091</v>
      </c>
      <c r="G3203" s="14" t="s">
        <v>6145</v>
      </c>
      <c r="H3203" s="1" t="s">
        <v>43</v>
      </c>
      <c r="I3203" s="17">
        <v>42669</v>
      </c>
    </row>
    <row r="3204" spans="1:9">
      <c r="A3204" s="16" t="s">
        <v>11919</v>
      </c>
      <c r="B3204" s="1" t="s">
        <v>2628</v>
      </c>
      <c r="C3204" s="1">
        <v>199</v>
      </c>
      <c r="D3204" s="1" t="s">
        <v>578</v>
      </c>
      <c r="E3204" s="1" t="s">
        <v>6</v>
      </c>
      <c r="F3204" s="1" t="s">
        <v>5091</v>
      </c>
      <c r="G3204" s="14" t="s">
        <v>6145</v>
      </c>
      <c r="H3204" s="1" t="s">
        <v>43</v>
      </c>
      <c r="I3204" s="17">
        <v>42669</v>
      </c>
    </row>
    <row r="3205" spans="1:9">
      <c r="A3205" s="16" t="s">
        <v>11960</v>
      </c>
      <c r="B3205" s="1" t="s">
        <v>2628</v>
      </c>
      <c r="C3205" s="1">
        <v>199</v>
      </c>
      <c r="D3205" s="1" t="s">
        <v>578</v>
      </c>
      <c r="E3205" s="1" t="s">
        <v>6</v>
      </c>
      <c r="F3205" s="1" t="s">
        <v>5091</v>
      </c>
      <c r="G3205" s="14" t="s">
        <v>11961</v>
      </c>
      <c r="H3205" s="1" t="s">
        <v>5</v>
      </c>
      <c r="I3205" s="17">
        <v>42005</v>
      </c>
    </row>
    <row r="3206" spans="1:9">
      <c r="A3206" s="16" t="s">
        <v>11968</v>
      </c>
      <c r="B3206" s="1" t="s">
        <v>2628</v>
      </c>
      <c r="C3206" s="1">
        <v>2516</v>
      </c>
      <c r="D3206" s="1" t="s">
        <v>578</v>
      </c>
      <c r="E3206" s="1" t="s">
        <v>6</v>
      </c>
      <c r="F3206" s="1" t="s">
        <v>5091</v>
      </c>
      <c r="G3206" s="14" t="s">
        <v>9561</v>
      </c>
      <c r="H3206" s="1" t="s">
        <v>5</v>
      </c>
      <c r="I3206" s="17">
        <v>37760</v>
      </c>
    </row>
    <row r="3207" spans="1:9">
      <c r="A3207" s="16" t="s">
        <v>12037</v>
      </c>
      <c r="B3207" s="1" t="s">
        <v>2628</v>
      </c>
      <c r="C3207" s="1">
        <v>199</v>
      </c>
      <c r="D3207" s="1" t="s">
        <v>578</v>
      </c>
      <c r="E3207" s="1" t="s">
        <v>6</v>
      </c>
      <c r="F3207" s="1" t="s">
        <v>5091</v>
      </c>
      <c r="G3207" s="14" t="s">
        <v>12038</v>
      </c>
      <c r="H3207" s="1" t="s">
        <v>5</v>
      </c>
      <c r="I3207" s="17">
        <v>42370</v>
      </c>
    </row>
    <row r="3208" spans="1:9">
      <c r="A3208" s="16" t="s">
        <v>12132</v>
      </c>
      <c r="B3208" s="1" t="s">
        <v>2628</v>
      </c>
      <c r="C3208" s="1">
        <v>199</v>
      </c>
      <c r="D3208" s="1" t="s">
        <v>578</v>
      </c>
      <c r="E3208" s="1" t="s">
        <v>6</v>
      </c>
      <c r="F3208" s="1" t="s">
        <v>5091</v>
      </c>
      <c r="G3208" s="14" t="s">
        <v>12133</v>
      </c>
      <c r="H3208" s="1" t="s">
        <v>5</v>
      </c>
      <c r="I3208" s="17">
        <v>42772</v>
      </c>
    </row>
    <row r="3209" spans="1:9">
      <c r="A3209" s="16" t="s">
        <v>12149</v>
      </c>
      <c r="B3209" s="1" t="s">
        <v>2628</v>
      </c>
      <c r="C3209" s="1">
        <v>199</v>
      </c>
      <c r="D3209" s="1" t="s">
        <v>578</v>
      </c>
      <c r="E3209" s="1" t="s">
        <v>6</v>
      </c>
      <c r="F3209" s="1" t="s">
        <v>5091</v>
      </c>
      <c r="G3209" s="14" t="s">
        <v>6145</v>
      </c>
      <c r="H3209" s="1" t="s">
        <v>43</v>
      </c>
      <c r="I3209" s="17">
        <v>41640</v>
      </c>
    </row>
    <row r="3210" spans="1:9">
      <c r="A3210" s="16" t="s">
        <v>12175</v>
      </c>
      <c r="B3210" s="1" t="s">
        <v>2628</v>
      </c>
      <c r="C3210" s="1">
        <v>199</v>
      </c>
      <c r="D3210" s="1" t="s">
        <v>578</v>
      </c>
      <c r="E3210" s="1" t="s">
        <v>6</v>
      </c>
      <c r="F3210" s="1" t="s">
        <v>5091</v>
      </c>
      <c r="G3210" s="14" t="s">
        <v>6536</v>
      </c>
      <c r="H3210" s="1" t="s">
        <v>43</v>
      </c>
      <c r="I3210" s="17">
        <v>41640</v>
      </c>
    </row>
    <row r="3211" spans="1:9">
      <c r="A3211" s="16" t="s">
        <v>12178</v>
      </c>
      <c r="B3211" s="1" t="s">
        <v>2628</v>
      </c>
      <c r="C3211" s="1">
        <v>199</v>
      </c>
      <c r="D3211" s="1" t="s">
        <v>578</v>
      </c>
      <c r="E3211" s="1" t="s">
        <v>6</v>
      </c>
      <c r="F3211" s="1" t="s">
        <v>5091</v>
      </c>
      <c r="G3211" s="14" t="s">
        <v>6536</v>
      </c>
      <c r="H3211" s="1" t="s">
        <v>43</v>
      </c>
      <c r="I3211" s="17">
        <v>41640</v>
      </c>
    </row>
    <row r="3212" spans="1:9">
      <c r="A3212" s="16" t="s">
        <v>12182</v>
      </c>
      <c r="B3212" s="1" t="s">
        <v>2628</v>
      </c>
      <c r="C3212" s="1">
        <v>199</v>
      </c>
      <c r="D3212" s="1" t="s">
        <v>578</v>
      </c>
      <c r="E3212" s="1" t="s">
        <v>6</v>
      </c>
      <c r="F3212" s="1" t="s">
        <v>5091</v>
      </c>
      <c r="G3212" s="14" t="s">
        <v>6536</v>
      </c>
      <c r="H3212" s="1" t="s">
        <v>43</v>
      </c>
      <c r="I3212" s="17">
        <v>41640</v>
      </c>
    </row>
    <row r="3213" spans="1:9">
      <c r="A3213" s="16" t="s">
        <v>12236</v>
      </c>
      <c r="B3213" s="1" t="s">
        <v>2628</v>
      </c>
      <c r="C3213" s="1">
        <v>199</v>
      </c>
      <c r="D3213" s="1" t="s">
        <v>578</v>
      </c>
      <c r="E3213" s="1" t="s">
        <v>6</v>
      </c>
      <c r="F3213" s="1" t="s">
        <v>5091</v>
      </c>
      <c r="G3213" s="14" t="s">
        <v>6186</v>
      </c>
      <c r="H3213" s="1" t="s">
        <v>5</v>
      </c>
      <c r="I3213" s="17">
        <v>42736</v>
      </c>
    </row>
    <row r="3214" spans="1:9" ht="31.2">
      <c r="A3214" s="16" t="s">
        <v>12248</v>
      </c>
      <c r="B3214" s="1" t="s">
        <v>2628</v>
      </c>
      <c r="C3214" s="1">
        <v>199</v>
      </c>
      <c r="D3214" s="1" t="s">
        <v>578</v>
      </c>
      <c r="E3214" s="1" t="s">
        <v>6</v>
      </c>
      <c r="F3214" s="1" t="s">
        <v>5091</v>
      </c>
      <c r="G3214" s="14" t="s">
        <v>6145</v>
      </c>
      <c r="H3214" s="1" t="s">
        <v>43</v>
      </c>
      <c r="I3214" s="17">
        <v>42108</v>
      </c>
    </row>
    <row r="3215" spans="1:9">
      <c r="A3215" s="16" t="s">
        <v>12250</v>
      </c>
      <c r="B3215" s="1" t="s">
        <v>2628</v>
      </c>
      <c r="C3215" s="1">
        <v>199</v>
      </c>
      <c r="D3215" s="1" t="s">
        <v>578</v>
      </c>
      <c r="E3215" s="1" t="s">
        <v>6</v>
      </c>
      <c r="F3215" s="1" t="s">
        <v>5091</v>
      </c>
      <c r="G3215" s="14" t="s">
        <v>6145</v>
      </c>
      <c r="H3215" s="1" t="s">
        <v>43</v>
      </c>
      <c r="I3215" s="17">
        <v>42108</v>
      </c>
    </row>
    <row r="3216" spans="1:9">
      <c r="A3216" s="16" t="s">
        <v>12251</v>
      </c>
      <c r="B3216" s="1" t="s">
        <v>2628</v>
      </c>
      <c r="C3216" s="1">
        <v>199</v>
      </c>
      <c r="D3216" s="1" t="s">
        <v>578</v>
      </c>
      <c r="E3216" s="1" t="s">
        <v>6</v>
      </c>
      <c r="F3216" s="1" t="s">
        <v>5091</v>
      </c>
      <c r="G3216" s="14" t="s">
        <v>6145</v>
      </c>
      <c r="H3216" s="1" t="s">
        <v>43</v>
      </c>
      <c r="I3216" s="17">
        <v>42108</v>
      </c>
    </row>
    <row r="3217" spans="1:9">
      <c r="A3217" s="16" t="s">
        <v>12255</v>
      </c>
      <c r="B3217" s="1" t="s">
        <v>2628</v>
      </c>
      <c r="C3217" s="1">
        <v>199</v>
      </c>
      <c r="D3217" s="1" t="s">
        <v>578</v>
      </c>
      <c r="E3217" s="1" t="s">
        <v>6</v>
      </c>
      <c r="F3217" s="1" t="s">
        <v>5091</v>
      </c>
      <c r="G3217" s="14" t="s">
        <v>6145</v>
      </c>
      <c r="H3217" s="1" t="s">
        <v>43</v>
      </c>
      <c r="I3217" s="17">
        <v>42108</v>
      </c>
    </row>
    <row r="3218" spans="1:9">
      <c r="A3218" s="16" t="s">
        <v>12256</v>
      </c>
      <c r="B3218" s="1" t="s">
        <v>2628</v>
      </c>
      <c r="C3218" s="1">
        <v>199</v>
      </c>
      <c r="D3218" s="1" t="s">
        <v>578</v>
      </c>
      <c r="E3218" s="1" t="s">
        <v>6</v>
      </c>
      <c r="F3218" s="1" t="s">
        <v>5091</v>
      </c>
      <c r="G3218" s="14" t="s">
        <v>6145</v>
      </c>
      <c r="H3218" s="1" t="s">
        <v>43</v>
      </c>
      <c r="I3218" s="17">
        <v>42108</v>
      </c>
    </row>
    <row r="3219" spans="1:9">
      <c r="A3219" s="16" t="s">
        <v>12258</v>
      </c>
      <c r="B3219" s="1" t="s">
        <v>2628</v>
      </c>
      <c r="C3219" s="1">
        <v>199</v>
      </c>
      <c r="D3219" s="1" t="s">
        <v>578</v>
      </c>
      <c r="E3219" s="1" t="s">
        <v>6</v>
      </c>
      <c r="F3219" s="1" t="s">
        <v>5091</v>
      </c>
      <c r="G3219" s="14" t="s">
        <v>6145</v>
      </c>
      <c r="H3219" s="1" t="s">
        <v>43</v>
      </c>
      <c r="I3219" s="17">
        <v>42108</v>
      </c>
    </row>
    <row r="3220" spans="1:9">
      <c r="A3220" s="16" t="s">
        <v>12274</v>
      </c>
      <c r="B3220" s="1" t="s">
        <v>2628</v>
      </c>
      <c r="C3220" s="1">
        <v>199</v>
      </c>
      <c r="D3220" s="1" t="s">
        <v>578</v>
      </c>
      <c r="E3220" s="1" t="s">
        <v>6</v>
      </c>
      <c r="F3220" s="1" t="s">
        <v>5091</v>
      </c>
      <c r="G3220" s="14" t="s">
        <v>6450</v>
      </c>
      <c r="H3220" s="1" t="s">
        <v>43</v>
      </c>
      <c r="I3220" s="17">
        <v>41640</v>
      </c>
    </row>
    <row r="3221" spans="1:9">
      <c r="A3221" s="16" t="s">
        <v>12279</v>
      </c>
      <c r="B3221" s="1" t="s">
        <v>2628</v>
      </c>
      <c r="C3221" s="1">
        <v>199</v>
      </c>
      <c r="D3221" s="1" t="s">
        <v>578</v>
      </c>
      <c r="E3221" s="1" t="s">
        <v>6</v>
      </c>
      <c r="F3221" s="1" t="s">
        <v>5091</v>
      </c>
      <c r="G3221" s="14" t="s">
        <v>6450</v>
      </c>
      <c r="H3221" s="1" t="s">
        <v>43</v>
      </c>
      <c r="I3221" s="17">
        <v>41640</v>
      </c>
    </row>
    <row r="3222" spans="1:9">
      <c r="A3222" s="16" t="s">
        <v>12293</v>
      </c>
      <c r="B3222" s="1" t="s">
        <v>2628</v>
      </c>
      <c r="C3222" s="1">
        <v>199</v>
      </c>
      <c r="D3222" s="1" t="s">
        <v>578</v>
      </c>
      <c r="E3222" s="1" t="s">
        <v>6</v>
      </c>
      <c r="F3222" s="1" t="s">
        <v>5091</v>
      </c>
      <c r="G3222" s="14" t="s">
        <v>6307</v>
      </c>
      <c r="H3222" s="1" t="s">
        <v>44</v>
      </c>
      <c r="I3222" s="17">
        <v>41640</v>
      </c>
    </row>
    <row r="3223" spans="1:9">
      <c r="A3223" s="16" t="s">
        <v>12299</v>
      </c>
      <c r="B3223" s="1" t="s">
        <v>2628</v>
      </c>
      <c r="C3223" s="1">
        <v>199</v>
      </c>
      <c r="D3223" s="1" t="s">
        <v>578</v>
      </c>
      <c r="E3223" s="1" t="s">
        <v>6</v>
      </c>
      <c r="F3223" s="1" t="s">
        <v>5091</v>
      </c>
      <c r="G3223" s="14" t="s">
        <v>6450</v>
      </c>
      <c r="H3223" s="1" t="s">
        <v>43</v>
      </c>
      <c r="I3223" s="17">
        <v>41640</v>
      </c>
    </row>
    <row r="3224" spans="1:9">
      <c r="A3224" s="16" t="s">
        <v>12359</v>
      </c>
      <c r="B3224" s="1" t="s">
        <v>2628</v>
      </c>
      <c r="C3224" s="1">
        <v>199</v>
      </c>
      <c r="D3224" s="1" t="s">
        <v>578</v>
      </c>
      <c r="E3224" s="1" t="s">
        <v>6</v>
      </c>
      <c r="F3224" s="1" t="s">
        <v>5091</v>
      </c>
      <c r="G3224" s="14" t="s">
        <v>12360</v>
      </c>
      <c r="H3224" s="1" t="s">
        <v>5</v>
      </c>
      <c r="I3224" s="17">
        <v>40625</v>
      </c>
    </row>
    <row r="3225" spans="1:9">
      <c r="A3225" s="16" t="s">
        <v>12375</v>
      </c>
      <c r="B3225" s="1" t="s">
        <v>2628</v>
      </c>
      <c r="C3225" s="1">
        <v>199</v>
      </c>
      <c r="D3225" s="1" t="s">
        <v>578</v>
      </c>
      <c r="E3225" s="1" t="s">
        <v>6</v>
      </c>
      <c r="F3225" s="1" t="s">
        <v>5091</v>
      </c>
      <c r="G3225" s="14" t="s">
        <v>6450</v>
      </c>
      <c r="H3225" s="1" t="s">
        <v>43</v>
      </c>
      <c r="I3225" s="17">
        <v>41640</v>
      </c>
    </row>
    <row r="3226" spans="1:9">
      <c r="A3226" s="16" t="s">
        <v>12380</v>
      </c>
      <c r="B3226" s="1" t="s">
        <v>2628</v>
      </c>
      <c r="C3226" s="1">
        <v>199</v>
      </c>
      <c r="D3226" s="1" t="s">
        <v>578</v>
      </c>
      <c r="E3226" s="1" t="s">
        <v>6</v>
      </c>
      <c r="F3226" s="1" t="s">
        <v>5091</v>
      </c>
      <c r="G3226" s="14" t="s">
        <v>6450</v>
      </c>
      <c r="H3226" s="1" t="s">
        <v>43</v>
      </c>
      <c r="I3226" s="17">
        <v>41640</v>
      </c>
    </row>
    <row r="3227" spans="1:9">
      <c r="A3227" s="16" t="s">
        <v>12381</v>
      </c>
      <c r="B3227" s="1" t="s">
        <v>2628</v>
      </c>
      <c r="C3227" s="1">
        <v>199</v>
      </c>
      <c r="D3227" s="1" t="s">
        <v>578</v>
      </c>
      <c r="E3227" s="1" t="s">
        <v>6</v>
      </c>
      <c r="F3227" s="1" t="s">
        <v>5091</v>
      </c>
      <c r="G3227" s="14" t="s">
        <v>6450</v>
      </c>
      <c r="H3227" s="1" t="s">
        <v>43</v>
      </c>
      <c r="I3227" s="17">
        <v>41640</v>
      </c>
    </row>
    <row r="3228" spans="1:9">
      <c r="A3228" s="16" t="s">
        <v>12389</v>
      </c>
      <c r="B3228" s="1" t="s">
        <v>2628</v>
      </c>
      <c r="C3228" s="1">
        <v>199</v>
      </c>
      <c r="D3228" s="1" t="s">
        <v>578</v>
      </c>
      <c r="E3228" s="1" t="s">
        <v>6</v>
      </c>
      <c r="F3228" s="1" t="s">
        <v>5091</v>
      </c>
      <c r="G3228" s="14" t="s">
        <v>6450</v>
      </c>
      <c r="H3228" s="1" t="s">
        <v>43</v>
      </c>
      <c r="I3228" s="17">
        <v>41640</v>
      </c>
    </row>
    <row r="3229" spans="1:9">
      <c r="A3229" s="16" t="s">
        <v>12391</v>
      </c>
      <c r="B3229" s="1" t="s">
        <v>2628</v>
      </c>
      <c r="C3229" s="1">
        <v>199</v>
      </c>
      <c r="D3229" s="1" t="s">
        <v>578</v>
      </c>
      <c r="E3229" s="1" t="s">
        <v>6</v>
      </c>
      <c r="F3229" s="1" t="s">
        <v>5091</v>
      </c>
      <c r="G3229" s="14" t="s">
        <v>6450</v>
      </c>
      <c r="H3229" s="1" t="s">
        <v>43</v>
      </c>
      <c r="I3229" s="17">
        <v>41640</v>
      </c>
    </row>
    <row r="3230" spans="1:9">
      <c r="A3230" s="16" t="s">
        <v>12394</v>
      </c>
      <c r="B3230" s="1" t="s">
        <v>2628</v>
      </c>
      <c r="C3230" s="1">
        <v>199</v>
      </c>
      <c r="D3230" s="1" t="s">
        <v>578</v>
      </c>
      <c r="E3230" s="1" t="s">
        <v>6</v>
      </c>
      <c r="F3230" s="1" t="s">
        <v>5091</v>
      </c>
      <c r="G3230" s="14" t="s">
        <v>6450</v>
      </c>
      <c r="H3230" s="1" t="s">
        <v>43</v>
      </c>
      <c r="I3230" s="17">
        <v>41640</v>
      </c>
    </row>
    <row r="3231" spans="1:9">
      <c r="A3231" s="16" t="s">
        <v>12399</v>
      </c>
      <c r="B3231" s="1" t="s">
        <v>2628</v>
      </c>
      <c r="C3231" s="1">
        <v>199</v>
      </c>
      <c r="D3231" s="1" t="s">
        <v>578</v>
      </c>
      <c r="E3231" s="1" t="s">
        <v>6</v>
      </c>
      <c r="F3231" s="1" t="s">
        <v>5091</v>
      </c>
      <c r="G3231" s="14" t="s">
        <v>6450</v>
      </c>
      <c r="H3231" s="1" t="s">
        <v>43</v>
      </c>
      <c r="I3231" s="17">
        <v>41640</v>
      </c>
    </row>
    <row r="3232" spans="1:9">
      <c r="A3232" s="16" t="s">
        <v>12402</v>
      </c>
      <c r="B3232" s="1" t="s">
        <v>2628</v>
      </c>
      <c r="C3232" s="1">
        <v>199</v>
      </c>
      <c r="D3232" s="1" t="s">
        <v>578</v>
      </c>
      <c r="E3232" s="1" t="s">
        <v>6</v>
      </c>
      <c r="F3232" s="1" t="s">
        <v>5091</v>
      </c>
      <c r="G3232" s="14" t="s">
        <v>6145</v>
      </c>
      <c r="H3232" s="1" t="s">
        <v>43</v>
      </c>
      <c r="I3232" s="17">
        <v>41640</v>
      </c>
    </row>
    <row r="3233" spans="1:9">
      <c r="A3233" s="16" t="s">
        <v>12403</v>
      </c>
      <c r="B3233" s="1" t="s">
        <v>2628</v>
      </c>
      <c r="C3233" s="1">
        <v>199</v>
      </c>
      <c r="D3233" s="1" t="s">
        <v>578</v>
      </c>
      <c r="E3233" s="1" t="s">
        <v>6</v>
      </c>
      <c r="F3233" s="1" t="s">
        <v>5091</v>
      </c>
      <c r="G3233" s="14" t="s">
        <v>6450</v>
      </c>
      <c r="H3233" s="1" t="s">
        <v>43</v>
      </c>
      <c r="I3233" s="17">
        <v>41640</v>
      </c>
    </row>
    <row r="3234" spans="1:9">
      <c r="A3234" s="16" t="s">
        <v>12408</v>
      </c>
      <c r="B3234" s="1" t="s">
        <v>2628</v>
      </c>
      <c r="C3234" s="1">
        <v>199</v>
      </c>
      <c r="D3234" s="1" t="s">
        <v>578</v>
      </c>
      <c r="E3234" s="1" t="s">
        <v>6</v>
      </c>
      <c r="F3234" s="1" t="s">
        <v>5091</v>
      </c>
      <c r="G3234" s="14" t="s">
        <v>6450</v>
      </c>
      <c r="H3234" s="1" t="s">
        <v>43</v>
      </c>
      <c r="I3234" s="17">
        <v>41640</v>
      </c>
    </row>
    <row r="3235" spans="1:9">
      <c r="A3235" s="16" t="s">
        <v>12432</v>
      </c>
      <c r="B3235" s="1" t="s">
        <v>2628</v>
      </c>
      <c r="C3235" s="1">
        <v>199</v>
      </c>
      <c r="D3235" s="1" t="s">
        <v>578</v>
      </c>
      <c r="E3235" s="1" t="s">
        <v>6</v>
      </c>
      <c r="F3235" s="1" t="s">
        <v>5091</v>
      </c>
      <c r="G3235" s="14" t="s">
        <v>6450</v>
      </c>
      <c r="H3235" s="1" t="s">
        <v>43</v>
      </c>
      <c r="I3235" s="17">
        <v>42005</v>
      </c>
    </row>
    <row r="3236" spans="1:9">
      <c r="A3236" s="16" t="s">
        <v>12437</v>
      </c>
      <c r="B3236" s="1" t="s">
        <v>2628</v>
      </c>
      <c r="C3236" s="1">
        <v>199</v>
      </c>
      <c r="D3236" s="1" t="s">
        <v>578</v>
      </c>
      <c r="E3236" s="1" t="s">
        <v>6</v>
      </c>
      <c r="F3236" s="1" t="s">
        <v>5091</v>
      </c>
      <c r="G3236" s="14" t="s">
        <v>6145</v>
      </c>
      <c r="H3236" s="1" t="s">
        <v>43</v>
      </c>
      <c r="I3236" s="17">
        <v>41640</v>
      </c>
    </row>
    <row r="3237" spans="1:9">
      <c r="A3237" s="16" t="s">
        <v>12476</v>
      </c>
      <c r="B3237" s="1" t="s">
        <v>2628</v>
      </c>
      <c r="C3237" s="1">
        <v>199</v>
      </c>
      <c r="D3237" s="1" t="s">
        <v>578</v>
      </c>
      <c r="E3237" s="1" t="s">
        <v>6</v>
      </c>
      <c r="F3237" s="1" t="s">
        <v>5091</v>
      </c>
      <c r="G3237" s="14" t="s">
        <v>6145</v>
      </c>
      <c r="H3237" s="1" t="s">
        <v>43</v>
      </c>
      <c r="I3237" s="17">
        <v>41640</v>
      </c>
    </row>
    <row r="3238" spans="1:9">
      <c r="A3238" s="16" t="s">
        <v>12486</v>
      </c>
      <c r="B3238" s="1" t="s">
        <v>2628</v>
      </c>
      <c r="C3238" s="1">
        <v>199</v>
      </c>
      <c r="D3238" s="1" t="s">
        <v>578</v>
      </c>
      <c r="E3238" s="1" t="s">
        <v>6</v>
      </c>
      <c r="F3238" s="1" t="s">
        <v>5091</v>
      </c>
      <c r="G3238" s="14" t="s">
        <v>6145</v>
      </c>
      <c r="H3238" s="1" t="s">
        <v>43</v>
      </c>
      <c r="I3238" s="17">
        <v>42108</v>
      </c>
    </row>
    <row r="3239" spans="1:9" ht="31.2">
      <c r="A3239" s="16" t="s">
        <v>12488</v>
      </c>
      <c r="B3239" s="1" t="s">
        <v>2628</v>
      </c>
      <c r="C3239" s="1">
        <v>199</v>
      </c>
      <c r="D3239" s="1" t="s">
        <v>578</v>
      </c>
      <c r="E3239" s="1" t="s">
        <v>6</v>
      </c>
      <c r="F3239" s="1" t="s">
        <v>5091</v>
      </c>
      <c r="G3239" s="14" t="s">
        <v>6145</v>
      </c>
      <c r="H3239" s="1" t="s">
        <v>43</v>
      </c>
      <c r="I3239" s="17">
        <v>41512</v>
      </c>
    </row>
    <row r="3240" spans="1:9" ht="31.2">
      <c r="A3240" s="16" t="s">
        <v>12489</v>
      </c>
      <c r="B3240" s="1" t="s">
        <v>2628</v>
      </c>
      <c r="C3240" s="1">
        <v>199</v>
      </c>
      <c r="D3240" s="1" t="s">
        <v>578</v>
      </c>
      <c r="E3240" s="1" t="s">
        <v>6</v>
      </c>
      <c r="F3240" s="1" t="s">
        <v>5091</v>
      </c>
      <c r="G3240" s="14" t="s">
        <v>6145</v>
      </c>
      <c r="H3240" s="1" t="s">
        <v>43</v>
      </c>
      <c r="I3240" s="17">
        <v>41512</v>
      </c>
    </row>
    <row r="3241" spans="1:9" ht="31.2">
      <c r="A3241" s="16" t="s">
        <v>12491</v>
      </c>
      <c r="B3241" s="1" t="s">
        <v>2628</v>
      </c>
      <c r="C3241" s="1">
        <v>199</v>
      </c>
      <c r="D3241" s="1" t="s">
        <v>578</v>
      </c>
      <c r="E3241" s="1" t="s">
        <v>6</v>
      </c>
      <c r="F3241" s="1" t="s">
        <v>5091</v>
      </c>
      <c r="G3241" s="14" t="s">
        <v>6145</v>
      </c>
      <c r="H3241" s="1" t="s">
        <v>43</v>
      </c>
      <c r="I3241" s="17">
        <v>41512</v>
      </c>
    </row>
    <row r="3242" spans="1:9" ht="31.2">
      <c r="A3242" s="16" t="s">
        <v>12492</v>
      </c>
      <c r="B3242" s="1" t="s">
        <v>2628</v>
      </c>
      <c r="C3242" s="1">
        <v>199</v>
      </c>
      <c r="D3242" s="1" t="s">
        <v>578</v>
      </c>
      <c r="E3242" s="1" t="s">
        <v>6</v>
      </c>
      <c r="F3242" s="1" t="s">
        <v>5091</v>
      </c>
      <c r="G3242" s="14" t="s">
        <v>6145</v>
      </c>
      <c r="H3242" s="1" t="s">
        <v>43</v>
      </c>
      <c r="I3242" s="17">
        <v>41512</v>
      </c>
    </row>
    <row r="3243" spans="1:9" ht="31.2">
      <c r="A3243" s="16" t="s">
        <v>12493</v>
      </c>
      <c r="B3243" s="1" t="s">
        <v>2628</v>
      </c>
      <c r="C3243" s="1">
        <v>199</v>
      </c>
      <c r="D3243" s="1" t="s">
        <v>578</v>
      </c>
      <c r="E3243" s="1" t="s">
        <v>6</v>
      </c>
      <c r="F3243" s="1" t="s">
        <v>5091</v>
      </c>
      <c r="G3243" s="14" t="s">
        <v>6145</v>
      </c>
      <c r="H3243" s="1" t="s">
        <v>43</v>
      </c>
      <c r="I3243" s="17">
        <v>41512</v>
      </c>
    </row>
    <row r="3244" spans="1:9" ht="31.2">
      <c r="A3244" s="16" t="s">
        <v>12494</v>
      </c>
      <c r="B3244" s="1" t="s">
        <v>2628</v>
      </c>
      <c r="C3244" s="1">
        <v>199</v>
      </c>
      <c r="D3244" s="1" t="s">
        <v>578</v>
      </c>
      <c r="E3244" s="1" t="s">
        <v>6</v>
      </c>
      <c r="F3244" s="1" t="s">
        <v>5091</v>
      </c>
      <c r="G3244" s="14" t="s">
        <v>6145</v>
      </c>
      <c r="H3244" s="1" t="s">
        <v>43</v>
      </c>
      <c r="I3244" s="17">
        <v>41512</v>
      </c>
    </row>
    <row r="3245" spans="1:9">
      <c r="A3245" s="16" t="s">
        <v>12495</v>
      </c>
      <c r="B3245" s="1" t="s">
        <v>2628</v>
      </c>
      <c r="C3245" s="1">
        <v>199</v>
      </c>
      <c r="D3245" s="1" t="s">
        <v>578</v>
      </c>
      <c r="E3245" s="1" t="s">
        <v>6</v>
      </c>
      <c r="F3245" s="1" t="s">
        <v>5091</v>
      </c>
      <c r="G3245" s="14" t="s">
        <v>6145</v>
      </c>
      <c r="H3245" s="1" t="s">
        <v>43</v>
      </c>
      <c r="I3245" s="17">
        <v>41041</v>
      </c>
    </row>
    <row r="3246" spans="1:9" ht="31.2">
      <c r="A3246" s="16" t="s">
        <v>12496</v>
      </c>
      <c r="B3246" s="1" t="s">
        <v>2628</v>
      </c>
      <c r="C3246" s="1">
        <v>199</v>
      </c>
      <c r="D3246" s="1" t="s">
        <v>578</v>
      </c>
      <c r="E3246" s="1" t="s">
        <v>6</v>
      </c>
      <c r="F3246" s="1" t="s">
        <v>5091</v>
      </c>
      <c r="G3246" s="14" t="s">
        <v>6145</v>
      </c>
      <c r="H3246" s="1" t="s">
        <v>43</v>
      </c>
      <c r="I3246" s="17">
        <v>41512</v>
      </c>
    </row>
    <row r="3247" spans="1:9">
      <c r="A3247" s="16" t="s">
        <v>12497</v>
      </c>
      <c r="B3247" s="1" t="s">
        <v>2628</v>
      </c>
      <c r="C3247" s="1">
        <v>199</v>
      </c>
      <c r="D3247" s="1" t="s">
        <v>578</v>
      </c>
      <c r="E3247" s="1" t="s">
        <v>6</v>
      </c>
      <c r="F3247" s="1" t="s">
        <v>5091</v>
      </c>
      <c r="G3247" s="14" t="s">
        <v>6145</v>
      </c>
      <c r="H3247" s="1" t="s">
        <v>43</v>
      </c>
      <c r="I3247" s="17">
        <v>41041</v>
      </c>
    </row>
    <row r="3248" spans="1:9">
      <c r="A3248" s="16" t="s">
        <v>12499</v>
      </c>
      <c r="B3248" s="1" t="s">
        <v>2628</v>
      </c>
      <c r="C3248" s="1">
        <v>199</v>
      </c>
      <c r="D3248" s="1" t="s">
        <v>578</v>
      </c>
      <c r="E3248" s="1" t="s">
        <v>6</v>
      </c>
      <c r="F3248" s="1" t="s">
        <v>5091</v>
      </c>
      <c r="G3248" s="14" t="s">
        <v>6145</v>
      </c>
      <c r="H3248" s="1" t="s">
        <v>43</v>
      </c>
      <c r="I3248" s="17">
        <v>41041</v>
      </c>
    </row>
    <row r="3249" spans="1:9">
      <c r="A3249" s="16" t="s">
        <v>12500</v>
      </c>
      <c r="B3249" s="1" t="s">
        <v>2628</v>
      </c>
      <c r="C3249" s="1">
        <v>199</v>
      </c>
      <c r="D3249" s="1" t="s">
        <v>578</v>
      </c>
      <c r="E3249" s="1" t="s">
        <v>6</v>
      </c>
      <c r="F3249" s="1" t="s">
        <v>5091</v>
      </c>
      <c r="G3249" s="14" t="s">
        <v>6145</v>
      </c>
      <c r="H3249" s="1" t="s">
        <v>43</v>
      </c>
      <c r="I3249" s="17">
        <v>41041</v>
      </c>
    </row>
    <row r="3250" spans="1:9">
      <c r="A3250" s="16" t="s">
        <v>12501</v>
      </c>
      <c r="B3250" s="1" t="s">
        <v>2628</v>
      </c>
      <c r="C3250" s="1">
        <v>199</v>
      </c>
      <c r="D3250" s="1" t="s">
        <v>578</v>
      </c>
      <c r="E3250" s="1" t="s">
        <v>6</v>
      </c>
      <c r="F3250" s="1" t="s">
        <v>5091</v>
      </c>
      <c r="G3250" s="14" t="s">
        <v>6145</v>
      </c>
      <c r="H3250" s="1" t="s">
        <v>43</v>
      </c>
      <c r="I3250" s="17">
        <v>41041</v>
      </c>
    </row>
    <row r="3251" spans="1:9">
      <c r="A3251" s="16" t="s">
        <v>12502</v>
      </c>
      <c r="B3251" s="1" t="s">
        <v>2628</v>
      </c>
      <c r="C3251" s="1">
        <v>199</v>
      </c>
      <c r="D3251" s="1" t="s">
        <v>578</v>
      </c>
      <c r="E3251" s="1" t="s">
        <v>6</v>
      </c>
      <c r="F3251" s="1" t="s">
        <v>5091</v>
      </c>
      <c r="G3251" s="14" t="s">
        <v>6145</v>
      </c>
      <c r="H3251" s="1" t="s">
        <v>43</v>
      </c>
      <c r="I3251" s="17">
        <v>41041</v>
      </c>
    </row>
    <row r="3252" spans="1:9">
      <c r="A3252" s="16" t="s">
        <v>12503</v>
      </c>
      <c r="B3252" s="1" t="s">
        <v>2628</v>
      </c>
      <c r="C3252" s="1">
        <v>199</v>
      </c>
      <c r="D3252" s="1" t="s">
        <v>578</v>
      </c>
      <c r="E3252" s="1" t="s">
        <v>6</v>
      </c>
      <c r="F3252" s="1" t="s">
        <v>5091</v>
      </c>
      <c r="G3252" s="14" t="s">
        <v>6145</v>
      </c>
      <c r="H3252" s="1" t="s">
        <v>43</v>
      </c>
      <c r="I3252" s="17">
        <v>41041</v>
      </c>
    </row>
    <row r="3253" spans="1:9">
      <c r="A3253" s="16" t="s">
        <v>12504</v>
      </c>
      <c r="B3253" s="1" t="s">
        <v>2628</v>
      </c>
      <c r="C3253" s="1">
        <v>199</v>
      </c>
      <c r="D3253" s="1" t="s">
        <v>578</v>
      </c>
      <c r="E3253" s="1" t="s">
        <v>6</v>
      </c>
      <c r="F3253" s="1" t="s">
        <v>5091</v>
      </c>
      <c r="G3253" s="14" t="s">
        <v>6145</v>
      </c>
      <c r="H3253" s="1" t="s">
        <v>43</v>
      </c>
      <c r="I3253" s="17">
        <v>41041</v>
      </c>
    </row>
    <row r="3254" spans="1:9">
      <c r="A3254" s="16" t="s">
        <v>12512</v>
      </c>
      <c r="B3254" s="1" t="s">
        <v>2628</v>
      </c>
      <c r="C3254" s="1">
        <v>199</v>
      </c>
      <c r="D3254" s="1" t="s">
        <v>578</v>
      </c>
      <c r="E3254" s="1" t="s">
        <v>6</v>
      </c>
      <c r="F3254" s="1" t="s">
        <v>5091</v>
      </c>
      <c r="G3254" s="14" t="s">
        <v>6450</v>
      </c>
      <c r="H3254" s="1" t="s">
        <v>43</v>
      </c>
      <c r="I3254" s="17">
        <v>42370</v>
      </c>
    </row>
    <row r="3255" spans="1:9">
      <c r="A3255" s="16" t="s">
        <v>12528</v>
      </c>
      <c r="B3255" s="1" t="s">
        <v>2628</v>
      </c>
      <c r="C3255" s="1">
        <v>199</v>
      </c>
      <c r="D3255" s="1" t="s">
        <v>578</v>
      </c>
      <c r="E3255" s="1" t="s">
        <v>6</v>
      </c>
      <c r="F3255" s="1" t="s">
        <v>5091</v>
      </c>
      <c r="G3255" s="14" t="s">
        <v>6450</v>
      </c>
      <c r="H3255" s="1" t="s">
        <v>43</v>
      </c>
      <c r="I3255" s="17">
        <v>42370</v>
      </c>
    </row>
    <row r="3256" spans="1:9">
      <c r="A3256" s="16" t="s">
        <v>12579</v>
      </c>
      <c r="B3256" s="1" t="s">
        <v>2628</v>
      </c>
      <c r="C3256" s="1">
        <v>199</v>
      </c>
      <c r="D3256" s="1" t="s">
        <v>578</v>
      </c>
      <c r="E3256" s="1" t="s">
        <v>6</v>
      </c>
      <c r="F3256" s="1" t="s">
        <v>5091</v>
      </c>
      <c r="G3256" s="14" t="s">
        <v>6145</v>
      </c>
      <c r="H3256" s="1" t="s">
        <v>43</v>
      </c>
      <c r="I3256" s="17">
        <v>42736</v>
      </c>
    </row>
    <row r="3257" spans="1:9">
      <c r="A3257" s="16" t="s">
        <v>12625</v>
      </c>
      <c r="B3257" s="1" t="s">
        <v>2628</v>
      </c>
      <c r="C3257" s="1">
        <v>199</v>
      </c>
      <c r="D3257" s="1" t="s">
        <v>578</v>
      </c>
      <c r="E3257" s="1" t="s">
        <v>6</v>
      </c>
      <c r="F3257" s="1" t="s">
        <v>5091</v>
      </c>
      <c r="G3257" s="14" t="s">
        <v>4458</v>
      </c>
      <c r="H3257" s="1" t="s">
        <v>118</v>
      </c>
      <c r="I3257" s="17">
        <v>42736</v>
      </c>
    </row>
    <row r="3258" spans="1:9">
      <c r="A3258" s="16" t="s">
        <v>12722</v>
      </c>
      <c r="B3258" s="1" t="s">
        <v>2628</v>
      </c>
      <c r="C3258" s="1">
        <v>199</v>
      </c>
      <c r="D3258" s="1" t="s">
        <v>578</v>
      </c>
      <c r="E3258" s="1" t="s">
        <v>6</v>
      </c>
      <c r="F3258" s="1" t="s">
        <v>5091</v>
      </c>
      <c r="G3258" s="14" t="s">
        <v>4458</v>
      </c>
      <c r="H3258" s="1" t="s">
        <v>118</v>
      </c>
      <c r="I3258" s="17">
        <v>42829</v>
      </c>
    </row>
    <row r="3259" spans="1:9">
      <c r="A3259" s="16" t="s">
        <v>12723</v>
      </c>
      <c r="B3259" s="1" t="s">
        <v>2628</v>
      </c>
      <c r="C3259" s="1">
        <v>199</v>
      </c>
      <c r="D3259" s="1" t="s">
        <v>578</v>
      </c>
      <c r="E3259" s="1" t="s">
        <v>6</v>
      </c>
      <c r="F3259" s="1" t="s">
        <v>5091</v>
      </c>
      <c r="G3259" s="14" t="s">
        <v>4458</v>
      </c>
      <c r="H3259" s="1" t="s">
        <v>118</v>
      </c>
      <c r="I3259" s="17">
        <v>42830</v>
      </c>
    </row>
    <row r="3260" spans="1:9">
      <c r="A3260" s="16" t="s">
        <v>12725</v>
      </c>
      <c r="B3260" s="1" t="s">
        <v>2628</v>
      </c>
      <c r="C3260" s="1">
        <v>199</v>
      </c>
      <c r="D3260" s="1" t="s">
        <v>578</v>
      </c>
      <c r="E3260" s="1" t="s">
        <v>6</v>
      </c>
      <c r="F3260" s="1" t="s">
        <v>5091</v>
      </c>
      <c r="G3260" s="14" t="s">
        <v>4458</v>
      </c>
      <c r="H3260" s="1" t="s">
        <v>118</v>
      </c>
      <c r="I3260" s="17">
        <v>42830</v>
      </c>
    </row>
    <row r="3261" spans="1:9">
      <c r="A3261" s="16" t="s">
        <v>12743</v>
      </c>
      <c r="B3261" s="1" t="s">
        <v>2628</v>
      </c>
      <c r="C3261" s="1">
        <v>199</v>
      </c>
      <c r="D3261" s="1" t="s">
        <v>578</v>
      </c>
      <c r="E3261" s="1" t="s">
        <v>6</v>
      </c>
      <c r="F3261" s="1" t="s">
        <v>5091</v>
      </c>
      <c r="G3261" s="14" t="s">
        <v>4458</v>
      </c>
      <c r="H3261" s="1" t="s">
        <v>118</v>
      </c>
      <c r="I3261" s="17">
        <v>42796</v>
      </c>
    </row>
    <row r="3262" spans="1:9">
      <c r="A3262" s="16" t="s">
        <v>12813</v>
      </c>
      <c r="B3262" s="1" t="s">
        <v>2628</v>
      </c>
      <c r="C3262" s="1">
        <v>199</v>
      </c>
      <c r="D3262" s="1" t="s">
        <v>578</v>
      </c>
      <c r="E3262" s="1" t="s">
        <v>6</v>
      </c>
      <c r="F3262" s="1" t="s">
        <v>5091</v>
      </c>
      <c r="G3262" s="14" t="s">
        <v>6238</v>
      </c>
      <c r="H3262" s="1" t="s">
        <v>43</v>
      </c>
      <c r="I3262" s="17">
        <v>42736</v>
      </c>
    </row>
    <row r="3263" spans="1:9">
      <c r="A3263" s="16" t="s">
        <v>12953</v>
      </c>
      <c r="B3263" s="1" t="s">
        <v>2628</v>
      </c>
      <c r="C3263" s="1">
        <v>2516</v>
      </c>
      <c r="D3263" s="1" t="s">
        <v>578</v>
      </c>
      <c r="E3263" s="1" t="s">
        <v>6</v>
      </c>
      <c r="F3263" s="1" t="s">
        <v>5091</v>
      </c>
      <c r="G3263" s="14" t="s">
        <v>9561</v>
      </c>
      <c r="H3263" s="1" t="s">
        <v>5</v>
      </c>
      <c r="I3263" s="17">
        <v>37734</v>
      </c>
    </row>
    <row r="3264" spans="1:9">
      <c r="A3264" s="16" t="s">
        <v>12960</v>
      </c>
      <c r="B3264" s="1" t="s">
        <v>2628</v>
      </c>
      <c r="C3264" s="1">
        <v>199</v>
      </c>
      <c r="D3264" s="1" t="s">
        <v>578</v>
      </c>
      <c r="E3264" s="1" t="s">
        <v>6</v>
      </c>
      <c r="F3264" s="1" t="s">
        <v>5091</v>
      </c>
      <c r="G3264" s="14" t="s">
        <v>12961</v>
      </c>
      <c r="H3264" s="1" t="s">
        <v>315</v>
      </c>
      <c r="I3264" s="17">
        <v>42845</v>
      </c>
    </row>
    <row r="3265" spans="1:9">
      <c r="A3265" s="16" t="s">
        <v>12962</v>
      </c>
      <c r="B3265" s="1" t="s">
        <v>2628</v>
      </c>
      <c r="C3265" s="1">
        <v>199</v>
      </c>
      <c r="D3265" s="1" t="s">
        <v>578</v>
      </c>
      <c r="E3265" s="1" t="s">
        <v>6</v>
      </c>
      <c r="F3265" s="1" t="s">
        <v>5091</v>
      </c>
      <c r="G3265" s="14" t="s">
        <v>12963</v>
      </c>
      <c r="H3265" s="1" t="s">
        <v>315</v>
      </c>
      <c r="I3265" s="17">
        <v>42845</v>
      </c>
    </row>
    <row r="3266" spans="1:9">
      <c r="A3266" s="16" t="s">
        <v>12964</v>
      </c>
      <c r="B3266" s="1" t="s">
        <v>2628</v>
      </c>
      <c r="C3266" s="1">
        <v>199</v>
      </c>
      <c r="D3266" s="1" t="s">
        <v>578</v>
      </c>
      <c r="E3266" s="1" t="s">
        <v>6</v>
      </c>
      <c r="F3266" s="1" t="s">
        <v>5091</v>
      </c>
      <c r="G3266" s="14" t="s">
        <v>12961</v>
      </c>
      <c r="H3266" s="1" t="s">
        <v>315</v>
      </c>
      <c r="I3266" s="17">
        <v>42845</v>
      </c>
    </row>
    <row r="3267" spans="1:9">
      <c r="A3267" s="16" t="s">
        <v>12965</v>
      </c>
      <c r="B3267" s="1" t="s">
        <v>2628</v>
      </c>
      <c r="C3267" s="1">
        <v>199</v>
      </c>
      <c r="D3267" s="1" t="s">
        <v>578</v>
      </c>
      <c r="E3267" s="1" t="s">
        <v>6</v>
      </c>
      <c r="F3267" s="1" t="s">
        <v>5091</v>
      </c>
      <c r="G3267" s="14" t="s">
        <v>12966</v>
      </c>
      <c r="H3267" s="1" t="s">
        <v>5</v>
      </c>
      <c r="I3267" s="17">
        <v>42845</v>
      </c>
    </row>
    <row r="3268" spans="1:9">
      <c r="A3268" s="16" t="s">
        <v>12967</v>
      </c>
      <c r="B3268" s="1" t="s">
        <v>2628</v>
      </c>
      <c r="C3268" s="1">
        <v>199</v>
      </c>
      <c r="D3268" s="1" t="s">
        <v>578</v>
      </c>
      <c r="E3268" s="1" t="s">
        <v>6</v>
      </c>
      <c r="F3268" s="1" t="s">
        <v>5091</v>
      </c>
      <c r="G3268" s="14" t="s">
        <v>12963</v>
      </c>
      <c r="H3268" s="1" t="s">
        <v>315</v>
      </c>
      <c r="I3268" s="17">
        <v>42845</v>
      </c>
    </row>
    <row r="3269" spans="1:9">
      <c r="A3269" s="16" t="s">
        <v>12971</v>
      </c>
      <c r="B3269" s="1" t="s">
        <v>2628</v>
      </c>
      <c r="C3269" s="1">
        <v>199</v>
      </c>
      <c r="D3269" s="1" t="s">
        <v>578</v>
      </c>
      <c r="E3269" s="1" t="s">
        <v>6</v>
      </c>
      <c r="F3269" s="1" t="s">
        <v>5091</v>
      </c>
      <c r="G3269" s="14" t="s">
        <v>12966</v>
      </c>
      <c r="H3269" s="1" t="s">
        <v>5</v>
      </c>
      <c r="I3269" s="17">
        <v>42845</v>
      </c>
    </row>
    <row r="3270" spans="1:9">
      <c r="A3270" s="16" t="s">
        <v>13006</v>
      </c>
      <c r="B3270" s="1" t="s">
        <v>2628</v>
      </c>
      <c r="C3270" s="1">
        <v>199</v>
      </c>
      <c r="D3270" s="1" t="s">
        <v>578</v>
      </c>
      <c r="E3270" s="1" t="s">
        <v>6</v>
      </c>
      <c r="F3270" s="1" t="s">
        <v>5091</v>
      </c>
      <c r="G3270" s="14" t="s">
        <v>13007</v>
      </c>
      <c r="H3270" s="1" t="s">
        <v>5</v>
      </c>
      <c r="I3270" s="17">
        <v>37587</v>
      </c>
    </row>
    <row r="3271" spans="1:9">
      <c r="A3271" s="16" t="s">
        <v>13029</v>
      </c>
      <c r="B3271" s="1" t="s">
        <v>2628</v>
      </c>
      <c r="C3271" s="1">
        <v>199</v>
      </c>
      <c r="D3271" s="1" t="s">
        <v>578</v>
      </c>
      <c r="E3271" s="1" t="s">
        <v>6</v>
      </c>
      <c r="F3271" s="1" t="s">
        <v>5091</v>
      </c>
      <c r="G3271" s="14" t="s">
        <v>7403</v>
      </c>
      <c r="H3271" s="1" t="s">
        <v>44</v>
      </c>
      <c r="I3271" s="17">
        <v>42864</v>
      </c>
    </row>
    <row r="3272" spans="1:9">
      <c r="A3272" s="16" t="s">
        <v>13142</v>
      </c>
      <c r="B3272" s="1" t="s">
        <v>2628</v>
      </c>
      <c r="C3272" s="1">
        <v>199</v>
      </c>
      <c r="D3272" s="1" t="s">
        <v>578</v>
      </c>
      <c r="E3272" s="1" t="s">
        <v>6</v>
      </c>
      <c r="F3272" s="1" t="s">
        <v>36</v>
      </c>
      <c r="G3272" s="14" t="s">
        <v>4803</v>
      </c>
      <c r="H3272" s="1" t="s">
        <v>5</v>
      </c>
      <c r="I3272" s="17">
        <v>32932</v>
      </c>
    </row>
    <row r="3273" spans="1:9">
      <c r="A3273" s="16" t="s">
        <v>13374</v>
      </c>
      <c r="B3273" s="1" t="s">
        <v>2628</v>
      </c>
      <c r="C3273" s="1">
        <v>199</v>
      </c>
      <c r="D3273" s="1" t="s">
        <v>578</v>
      </c>
      <c r="E3273" s="1" t="s">
        <v>6</v>
      </c>
      <c r="F3273" s="1" t="s">
        <v>5091</v>
      </c>
      <c r="G3273" s="14" t="s">
        <v>6236</v>
      </c>
      <c r="H3273" s="1" t="s">
        <v>43</v>
      </c>
      <c r="I3273" s="17">
        <v>42736</v>
      </c>
    </row>
    <row r="3274" spans="1:9">
      <c r="A3274" s="16" t="s">
        <v>13397</v>
      </c>
      <c r="B3274" s="1" t="s">
        <v>2628</v>
      </c>
      <c r="C3274" s="1">
        <v>199</v>
      </c>
      <c r="D3274" s="1" t="s">
        <v>578</v>
      </c>
      <c r="E3274" s="1" t="s">
        <v>6</v>
      </c>
      <c r="F3274" s="1" t="s">
        <v>5091</v>
      </c>
      <c r="G3274" s="14" t="s">
        <v>6145</v>
      </c>
      <c r="H3274" s="1" t="s">
        <v>43</v>
      </c>
      <c r="I3274" s="17">
        <v>41376</v>
      </c>
    </row>
    <row r="3275" spans="1:9">
      <c r="A3275" s="16" t="s">
        <v>13415</v>
      </c>
      <c r="B3275" s="1" t="s">
        <v>2628</v>
      </c>
      <c r="C3275" s="1">
        <v>199</v>
      </c>
      <c r="D3275" s="1" t="s">
        <v>578</v>
      </c>
      <c r="E3275" s="1" t="s">
        <v>6</v>
      </c>
      <c r="F3275" s="1" t="s">
        <v>5091</v>
      </c>
      <c r="G3275" s="14" t="s">
        <v>6145</v>
      </c>
      <c r="H3275" s="1" t="s">
        <v>43</v>
      </c>
      <c r="I3275" s="17">
        <v>42990</v>
      </c>
    </row>
    <row r="3276" spans="1:9">
      <c r="A3276" s="16" t="s">
        <v>13499</v>
      </c>
      <c r="B3276" s="1" t="s">
        <v>2628</v>
      </c>
      <c r="C3276" s="1">
        <v>199</v>
      </c>
      <c r="D3276" s="1" t="s">
        <v>578</v>
      </c>
      <c r="E3276" s="1" t="s">
        <v>6</v>
      </c>
      <c r="F3276" s="1" t="s">
        <v>5091</v>
      </c>
      <c r="G3276" s="14" t="s">
        <v>9561</v>
      </c>
      <c r="H3276" s="1" t="s">
        <v>5</v>
      </c>
      <c r="I3276" s="17">
        <v>37012</v>
      </c>
    </row>
    <row r="3277" spans="1:9">
      <c r="A3277" s="16" t="s">
        <v>13503</v>
      </c>
      <c r="B3277" s="1" t="s">
        <v>2628</v>
      </c>
      <c r="C3277" s="1">
        <v>199</v>
      </c>
      <c r="D3277" s="1" t="s">
        <v>578</v>
      </c>
      <c r="E3277" s="1" t="s">
        <v>6</v>
      </c>
      <c r="F3277" s="1" t="s">
        <v>5091</v>
      </c>
      <c r="G3277" s="14" t="s">
        <v>6186</v>
      </c>
      <c r="H3277" s="1" t="s">
        <v>5</v>
      </c>
      <c r="I3277" s="17">
        <v>42736</v>
      </c>
    </row>
    <row r="3278" spans="1:9">
      <c r="A3278" s="16" t="s">
        <v>13508</v>
      </c>
      <c r="B3278" s="1" t="s">
        <v>2628</v>
      </c>
      <c r="C3278" s="1">
        <v>199</v>
      </c>
      <c r="D3278" s="1" t="s">
        <v>578</v>
      </c>
      <c r="E3278" s="1" t="s">
        <v>6</v>
      </c>
      <c r="F3278" s="1" t="s">
        <v>5091</v>
      </c>
      <c r="G3278" s="14" t="s">
        <v>6145</v>
      </c>
      <c r="H3278" s="1" t="s">
        <v>43</v>
      </c>
      <c r="I3278" s="17">
        <v>41050</v>
      </c>
    </row>
    <row r="3279" spans="1:9">
      <c r="A3279" s="16" t="s">
        <v>13513</v>
      </c>
      <c r="B3279" s="1" t="s">
        <v>2628</v>
      </c>
      <c r="C3279" s="1">
        <v>199</v>
      </c>
      <c r="D3279" s="1" t="s">
        <v>578</v>
      </c>
      <c r="E3279" s="1" t="s">
        <v>6</v>
      </c>
      <c r="F3279" s="1" t="s">
        <v>5091</v>
      </c>
      <c r="G3279" s="14" t="s">
        <v>6145</v>
      </c>
      <c r="H3279" s="1" t="s">
        <v>43</v>
      </c>
      <c r="I3279" s="17">
        <v>41041</v>
      </c>
    </row>
    <row r="3280" spans="1:9">
      <c r="A3280" s="16" t="s">
        <v>13517</v>
      </c>
      <c r="B3280" s="1" t="s">
        <v>2628</v>
      </c>
      <c r="C3280" s="1">
        <v>199</v>
      </c>
      <c r="D3280" s="1" t="s">
        <v>578</v>
      </c>
      <c r="E3280" s="1" t="s">
        <v>6</v>
      </c>
      <c r="F3280" s="1" t="s">
        <v>5091</v>
      </c>
      <c r="G3280" s="14" t="s">
        <v>6145</v>
      </c>
      <c r="H3280" s="1" t="s">
        <v>43</v>
      </c>
      <c r="I3280" s="17">
        <v>41041</v>
      </c>
    </row>
    <row r="3281" spans="1:9">
      <c r="A3281" s="16" t="s">
        <v>13534</v>
      </c>
      <c r="B3281" s="1" t="s">
        <v>2628</v>
      </c>
      <c r="C3281" s="1">
        <v>199</v>
      </c>
      <c r="D3281" s="1" t="s">
        <v>578</v>
      </c>
      <c r="E3281" s="1" t="s">
        <v>6</v>
      </c>
      <c r="F3281" s="1" t="s">
        <v>5091</v>
      </c>
      <c r="G3281" s="14" t="s">
        <v>9718</v>
      </c>
      <c r="H3281" s="1" t="s">
        <v>5</v>
      </c>
      <c r="I3281" s="17">
        <v>36404</v>
      </c>
    </row>
    <row r="3282" spans="1:9">
      <c r="A3282" s="16" t="s">
        <v>13566</v>
      </c>
      <c r="B3282" s="1" t="s">
        <v>2628</v>
      </c>
      <c r="C3282" s="1">
        <v>199</v>
      </c>
      <c r="D3282" s="1" t="s">
        <v>578</v>
      </c>
      <c r="E3282" s="1" t="s">
        <v>6</v>
      </c>
      <c r="F3282" s="1" t="s">
        <v>5091</v>
      </c>
      <c r="G3282" s="14" t="s">
        <v>13567</v>
      </c>
      <c r="H3282" s="1" t="s">
        <v>5</v>
      </c>
      <c r="I3282" s="17">
        <v>43009</v>
      </c>
    </row>
    <row r="3283" spans="1:9" ht="31.2">
      <c r="A3283" s="16" t="s">
        <v>13576</v>
      </c>
      <c r="B3283" s="1" t="s">
        <v>2628</v>
      </c>
      <c r="C3283" s="1">
        <v>199</v>
      </c>
      <c r="D3283" s="1" t="s">
        <v>578</v>
      </c>
      <c r="E3283" s="1" t="s">
        <v>6</v>
      </c>
      <c r="F3283" s="1" t="s">
        <v>5091</v>
      </c>
      <c r="G3283" s="14" t="s">
        <v>6145</v>
      </c>
      <c r="H3283" s="1" t="s">
        <v>43</v>
      </c>
      <c r="I3283" s="17">
        <v>41512</v>
      </c>
    </row>
    <row r="3284" spans="1:9" ht="31.2">
      <c r="A3284" s="16" t="s">
        <v>13577</v>
      </c>
      <c r="B3284" s="1" t="s">
        <v>2628</v>
      </c>
      <c r="C3284" s="1">
        <v>199</v>
      </c>
      <c r="D3284" s="1" t="s">
        <v>578</v>
      </c>
      <c r="E3284" s="1" t="s">
        <v>6</v>
      </c>
      <c r="F3284" s="1" t="s">
        <v>5091</v>
      </c>
      <c r="G3284" s="14" t="s">
        <v>6145</v>
      </c>
      <c r="H3284" s="1" t="s">
        <v>43</v>
      </c>
      <c r="I3284" s="17">
        <v>41512</v>
      </c>
    </row>
    <row r="3285" spans="1:9" ht="31.2">
      <c r="A3285" s="16" t="s">
        <v>13578</v>
      </c>
      <c r="B3285" s="1" t="s">
        <v>2628</v>
      </c>
      <c r="C3285" s="1">
        <v>199</v>
      </c>
      <c r="D3285" s="1" t="s">
        <v>578</v>
      </c>
      <c r="E3285" s="1" t="s">
        <v>6</v>
      </c>
      <c r="F3285" s="1" t="s">
        <v>5091</v>
      </c>
      <c r="G3285" s="14" t="s">
        <v>6145</v>
      </c>
      <c r="H3285" s="1" t="s">
        <v>43</v>
      </c>
      <c r="I3285" s="17">
        <v>41512</v>
      </c>
    </row>
    <row r="3286" spans="1:9">
      <c r="A3286" s="16" t="s">
        <v>13585</v>
      </c>
      <c r="B3286" s="1" t="s">
        <v>2628</v>
      </c>
      <c r="C3286" s="1">
        <v>199</v>
      </c>
      <c r="D3286" s="1" t="s">
        <v>578</v>
      </c>
      <c r="E3286" s="1" t="s">
        <v>6</v>
      </c>
      <c r="F3286" s="1" t="s">
        <v>5091</v>
      </c>
      <c r="G3286" s="14" t="s">
        <v>6145</v>
      </c>
      <c r="H3286" s="1" t="s">
        <v>43</v>
      </c>
      <c r="I3286" s="17">
        <v>40888</v>
      </c>
    </row>
    <row r="3287" spans="1:9">
      <c r="A3287" s="16" t="s">
        <v>13602</v>
      </c>
      <c r="B3287" s="1" t="s">
        <v>2628</v>
      </c>
      <c r="C3287" s="1">
        <v>199</v>
      </c>
      <c r="D3287" s="1" t="s">
        <v>578</v>
      </c>
      <c r="E3287" s="1" t="s">
        <v>6</v>
      </c>
      <c r="F3287" s="1" t="s">
        <v>5091</v>
      </c>
      <c r="G3287" s="14" t="s">
        <v>6145</v>
      </c>
      <c r="H3287" s="1" t="s">
        <v>43</v>
      </c>
      <c r="I3287" s="17">
        <v>43038</v>
      </c>
    </row>
    <row r="3288" spans="1:9">
      <c r="A3288" s="16" t="s">
        <v>13604</v>
      </c>
      <c r="B3288" s="1" t="s">
        <v>2628</v>
      </c>
      <c r="C3288" s="1">
        <v>199</v>
      </c>
      <c r="D3288" s="1" t="s">
        <v>578</v>
      </c>
      <c r="E3288" s="1" t="s">
        <v>6</v>
      </c>
      <c r="F3288" s="1" t="s">
        <v>5091</v>
      </c>
      <c r="G3288" s="14" t="s">
        <v>6145</v>
      </c>
      <c r="H3288" s="1" t="s">
        <v>43</v>
      </c>
      <c r="I3288" s="17">
        <v>43038</v>
      </c>
    </row>
    <row r="3289" spans="1:9">
      <c r="A3289" s="16" t="s">
        <v>13605</v>
      </c>
      <c r="B3289" s="1" t="s">
        <v>2628</v>
      </c>
      <c r="C3289" s="1">
        <v>199</v>
      </c>
      <c r="D3289" s="1" t="s">
        <v>578</v>
      </c>
      <c r="E3289" s="1" t="s">
        <v>6</v>
      </c>
      <c r="F3289" s="1" t="s">
        <v>5091</v>
      </c>
      <c r="G3289" s="14" t="s">
        <v>6145</v>
      </c>
      <c r="H3289" s="1" t="s">
        <v>43</v>
      </c>
      <c r="I3289" s="17">
        <v>43038</v>
      </c>
    </row>
    <row r="3290" spans="1:9">
      <c r="A3290" s="16" t="s">
        <v>13606</v>
      </c>
      <c r="B3290" s="1" t="s">
        <v>2628</v>
      </c>
      <c r="C3290" s="1">
        <v>199</v>
      </c>
      <c r="D3290" s="1" t="s">
        <v>578</v>
      </c>
      <c r="E3290" s="1" t="s">
        <v>6</v>
      </c>
      <c r="F3290" s="1" t="s">
        <v>5091</v>
      </c>
      <c r="G3290" s="14" t="s">
        <v>6145</v>
      </c>
      <c r="H3290" s="1" t="s">
        <v>43</v>
      </c>
      <c r="I3290" s="17">
        <v>43038</v>
      </c>
    </row>
    <row r="3291" spans="1:9">
      <c r="A3291" s="16" t="s">
        <v>13608</v>
      </c>
      <c r="B3291" s="1" t="s">
        <v>2628</v>
      </c>
      <c r="C3291" s="1">
        <v>199</v>
      </c>
      <c r="D3291" s="1" t="s">
        <v>578</v>
      </c>
      <c r="E3291" s="1" t="s">
        <v>6</v>
      </c>
      <c r="F3291" s="1" t="s">
        <v>5091</v>
      </c>
      <c r="G3291" s="14" t="s">
        <v>6145</v>
      </c>
      <c r="H3291" s="1" t="s">
        <v>43</v>
      </c>
      <c r="I3291" s="17">
        <v>43038</v>
      </c>
    </row>
    <row r="3292" spans="1:9">
      <c r="A3292" s="16" t="s">
        <v>13609</v>
      </c>
      <c r="B3292" s="1" t="s">
        <v>2628</v>
      </c>
      <c r="C3292" s="1">
        <v>199</v>
      </c>
      <c r="D3292" s="1" t="s">
        <v>578</v>
      </c>
      <c r="E3292" s="1" t="s">
        <v>6</v>
      </c>
      <c r="F3292" s="1" t="s">
        <v>5091</v>
      </c>
      <c r="G3292" s="14" t="s">
        <v>6145</v>
      </c>
      <c r="H3292" s="1" t="s">
        <v>43</v>
      </c>
      <c r="I3292" s="17">
        <v>43038</v>
      </c>
    </row>
    <row r="3293" spans="1:9">
      <c r="A3293" s="16" t="s">
        <v>13626</v>
      </c>
      <c r="B3293" s="1" t="s">
        <v>2628</v>
      </c>
      <c r="C3293" s="1">
        <v>199</v>
      </c>
      <c r="D3293" s="1" t="s">
        <v>578</v>
      </c>
      <c r="E3293" s="1" t="s">
        <v>6</v>
      </c>
      <c r="F3293" s="1" t="s">
        <v>5091</v>
      </c>
      <c r="G3293" s="14" t="s">
        <v>6186</v>
      </c>
      <c r="H3293" s="1" t="s">
        <v>5</v>
      </c>
      <c r="I3293" s="17">
        <v>42736</v>
      </c>
    </row>
    <row r="3294" spans="1:9">
      <c r="A3294" s="16" t="s">
        <v>13648</v>
      </c>
      <c r="B3294" s="1" t="s">
        <v>2628</v>
      </c>
      <c r="C3294" s="1">
        <v>199</v>
      </c>
      <c r="D3294" s="1" t="s">
        <v>578</v>
      </c>
      <c r="E3294" s="1" t="s">
        <v>6</v>
      </c>
      <c r="F3294" s="1" t="s">
        <v>5091</v>
      </c>
      <c r="G3294" s="14" t="s">
        <v>9718</v>
      </c>
      <c r="H3294" s="1" t="s">
        <v>5</v>
      </c>
      <c r="I3294" s="17">
        <v>36739</v>
      </c>
    </row>
    <row r="3295" spans="1:9">
      <c r="A3295" s="16" t="s">
        <v>13758</v>
      </c>
      <c r="B3295" s="1" t="s">
        <v>2631</v>
      </c>
      <c r="C3295" s="1">
        <v>199</v>
      </c>
      <c r="D3295" s="1" t="s">
        <v>578</v>
      </c>
      <c r="E3295" s="1" t="s">
        <v>6</v>
      </c>
      <c r="F3295" s="1" t="s">
        <v>5091</v>
      </c>
      <c r="G3295" s="1" t="s">
        <v>6145</v>
      </c>
      <c r="H3295" s="1" t="s">
        <v>43</v>
      </c>
      <c r="I3295" s="17">
        <v>40188</v>
      </c>
    </row>
    <row r="3296" spans="1:9">
      <c r="A3296" s="16" t="s">
        <v>13761</v>
      </c>
      <c r="B3296" s="1" t="s">
        <v>2628</v>
      </c>
      <c r="C3296" s="1">
        <v>199</v>
      </c>
      <c r="D3296" s="1" t="s">
        <v>578</v>
      </c>
      <c r="E3296" s="1" t="s">
        <v>6</v>
      </c>
      <c r="F3296" s="1" t="s">
        <v>5091</v>
      </c>
      <c r="G3296" s="14" t="s">
        <v>6145</v>
      </c>
      <c r="H3296" s="1" t="s">
        <v>43</v>
      </c>
      <c r="I3296" s="17">
        <v>42736</v>
      </c>
    </row>
    <row r="3297" spans="1:9">
      <c r="A3297" s="16" t="s">
        <v>13837</v>
      </c>
      <c r="B3297" s="1" t="s">
        <v>2631</v>
      </c>
      <c r="C3297" s="1">
        <v>199</v>
      </c>
      <c r="D3297" s="1" t="s">
        <v>578</v>
      </c>
      <c r="E3297" s="1" t="s">
        <v>6</v>
      </c>
      <c r="F3297" s="1" t="s">
        <v>5091</v>
      </c>
      <c r="G3297" s="1" t="s">
        <v>6145</v>
      </c>
      <c r="H3297" s="1" t="s">
        <v>43</v>
      </c>
      <c r="I3297" s="17">
        <v>40188</v>
      </c>
    </row>
    <row r="3298" spans="1:9">
      <c r="A3298" s="16" t="s">
        <v>13859</v>
      </c>
      <c r="B3298" s="1" t="s">
        <v>2628</v>
      </c>
      <c r="C3298" s="1">
        <v>199</v>
      </c>
      <c r="D3298" s="1" t="s">
        <v>578</v>
      </c>
      <c r="E3298" s="1" t="s">
        <v>6</v>
      </c>
      <c r="F3298" s="1" t="s">
        <v>5091</v>
      </c>
      <c r="G3298" s="14" t="s">
        <v>6236</v>
      </c>
      <c r="H3298" s="1" t="s">
        <v>43</v>
      </c>
      <c r="I3298" s="17">
        <v>43101</v>
      </c>
    </row>
    <row r="3299" spans="1:9">
      <c r="A3299" s="16" t="s">
        <v>13860</v>
      </c>
      <c r="B3299" s="1" t="s">
        <v>2628</v>
      </c>
      <c r="C3299" s="1">
        <v>199</v>
      </c>
      <c r="D3299" s="1" t="s">
        <v>578</v>
      </c>
      <c r="E3299" s="1" t="s">
        <v>6</v>
      </c>
      <c r="F3299" s="1" t="s">
        <v>5091</v>
      </c>
      <c r="G3299" s="14" t="s">
        <v>6236</v>
      </c>
      <c r="H3299" s="1" t="s">
        <v>43</v>
      </c>
      <c r="I3299" s="17">
        <v>43101</v>
      </c>
    </row>
    <row r="3300" spans="1:9">
      <c r="A3300" s="16" t="s">
        <v>13861</v>
      </c>
      <c r="B3300" s="1" t="s">
        <v>2628</v>
      </c>
      <c r="C3300" s="1">
        <v>199</v>
      </c>
      <c r="D3300" s="1" t="s">
        <v>578</v>
      </c>
      <c r="E3300" s="1" t="s">
        <v>6</v>
      </c>
      <c r="F3300" s="1" t="s">
        <v>5091</v>
      </c>
      <c r="G3300" s="14" t="s">
        <v>6236</v>
      </c>
      <c r="H3300" s="1" t="s">
        <v>43</v>
      </c>
      <c r="I3300" s="17">
        <v>43101</v>
      </c>
    </row>
    <row r="3301" spans="1:9">
      <c r="A3301" s="16" t="s">
        <v>13863</v>
      </c>
      <c r="B3301" s="1" t="s">
        <v>2628</v>
      </c>
      <c r="C3301" s="1">
        <v>199</v>
      </c>
      <c r="D3301" s="1" t="s">
        <v>578</v>
      </c>
      <c r="E3301" s="1" t="s">
        <v>6</v>
      </c>
      <c r="F3301" s="1" t="s">
        <v>5091</v>
      </c>
      <c r="G3301" s="14" t="s">
        <v>6236</v>
      </c>
      <c r="H3301" s="1" t="s">
        <v>43</v>
      </c>
      <c r="I3301" s="17">
        <v>43101</v>
      </c>
    </row>
    <row r="3302" spans="1:9">
      <c r="A3302" s="16" t="s">
        <v>13864</v>
      </c>
      <c r="B3302" s="1" t="s">
        <v>2628</v>
      </c>
      <c r="C3302" s="1">
        <v>199</v>
      </c>
      <c r="D3302" s="1" t="s">
        <v>578</v>
      </c>
      <c r="E3302" s="1" t="s">
        <v>6</v>
      </c>
      <c r="F3302" s="1" t="s">
        <v>5091</v>
      </c>
      <c r="G3302" s="14" t="s">
        <v>6238</v>
      </c>
      <c r="H3302" s="1" t="s">
        <v>43</v>
      </c>
      <c r="I3302" s="17">
        <v>43101</v>
      </c>
    </row>
    <row r="3303" spans="1:9">
      <c r="A3303" s="16" t="s">
        <v>13867</v>
      </c>
      <c r="B3303" s="1" t="s">
        <v>2628</v>
      </c>
      <c r="C3303" s="1">
        <v>199</v>
      </c>
      <c r="D3303" s="1" t="s">
        <v>578</v>
      </c>
      <c r="E3303" s="1" t="s">
        <v>6</v>
      </c>
      <c r="F3303" s="1" t="s">
        <v>5091</v>
      </c>
      <c r="G3303" s="14" t="s">
        <v>6236</v>
      </c>
      <c r="H3303" s="1" t="s">
        <v>43</v>
      </c>
      <c r="I3303" s="17">
        <v>43101</v>
      </c>
    </row>
    <row r="3304" spans="1:9">
      <c r="A3304" s="16" t="s">
        <v>13868</v>
      </c>
      <c r="B3304" s="1" t="s">
        <v>2628</v>
      </c>
      <c r="C3304" s="1">
        <v>199</v>
      </c>
      <c r="D3304" s="1" t="s">
        <v>578</v>
      </c>
      <c r="E3304" s="1" t="s">
        <v>6</v>
      </c>
      <c r="F3304" s="1" t="s">
        <v>5091</v>
      </c>
      <c r="G3304" s="14" t="s">
        <v>6238</v>
      </c>
      <c r="H3304" s="1" t="s">
        <v>43</v>
      </c>
      <c r="I3304" s="17">
        <v>43101</v>
      </c>
    </row>
    <row r="3305" spans="1:9">
      <c r="A3305" s="16" t="s">
        <v>13876</v>
      </c>
      <c r="B3305" s="1" t="s">
        <v>2628</v>
      </c>
      <c r="C3305" s="1">
        <v>199</v>
      </c>
      <c r="D3305" s="1" t="s">
        <v>578</v>
      </c>
      <c r="E3305" s="1" t="s">
        <v>6</v>
      </c>
      <c r="F3305" s="1" t="s">
        <v>5091</v>
      </c>
      <c r="G3305" s="14" t="s">
        <v>6186</v>
      </c>
      <c r="H3305" s="1" t="s">
        <v>5</v>
      </c>
      <c r="I3305" s="17">
        <v>43101</v>
      </c>
    </row>
    <row r="3306" spans="1:9">
      <c r="A3306" s="16" t="s">
        <v>13893</v>
      </c>
      <c r="B3306" s="1" t="s">
        <v>2628</v>
      </c>
      <c r="C3306" s="1">
        <v>199</v>
      </c>
      <c r="D3306" s="1" t="s">
        <v>578</v>
      </c>
      <c r="E3306" s="1" t="s">
        <v>6</v>
      </c>
      <c r="F3306" s="1" t="s">
        <v>5091</v>
      </c>
      <c r="G3306" s="14" t="s">
        <v>6236</v>
      </c>
      <c r="H3306" s="1" t="s">
        <v>43</v>
      </c>
      <c r="I3306" s="17">
        <v>43101</v>
      </c>
    </row>
    <row r="3307" spans="1:9">
      <c r="A3307" s="16" t="s">
        <v>14063</v>
      </c>
      <c r="B3307" s="1" t="s">
        <v>2628</v>
      </c>
      <c r="C3307" s="1">
        <v>199</v>
      </c>
      <c r="D3307" s="1" t="s">
        <v>578</v>
      </c>
      <c r="E3307" s="1" t="s">
        <v>6</v>
      </c>
      <c r="F3307" s="1" t="s">
        <v>5091</v>
      </c>
      <c r="G3307" s="14" t="s">
        <v>14064</v>
      </c>
      <c r="H3307" s="1" t="s">
        <v>5</v>
      </c>
      <c r="I3307" s="17">
        <v>36342</v>
      </c>
    </row>
    <row r="3308" spans="1:9">
      <c r="A3308" s="16" t="s">
        <v>14127</v>
      </c>
      <c r="B3308" s="1" t="s">
        <v>2628</v>
      </c>
      <c r="C3308" s="1">
        <v>199</v>
      </c>
      <c r="D3308" s="1" t="s">
        <v>578</v>
      </c>
      <c r="E3308" s="1" t="s">
        <v>6</v>
      </c>
      <c r="F3308" s="1" t="s">
        <v>5091</v>
      </c>
      <c r="G3308" s="14" t="s">
        <v>6145</v>
      </c>
      <c r="H3308" s="1" t="s">
        <v>43</v>
      </c>
      <c r="I3308" s="17">
        <v>43151</v>
      </c>
    </row>
    <row r="3309" spans="1:9">
      <c r="A3309" s="16" t="s">
        <v>14128</v>
      </c>
      <c r="B3309" s="1" t="s">
        <v>2628</v>
      </c>
      <c r="C3309" s="1">
        <v>199</v>
      </c>
      <c r="D3309" s="1" t="s">
        <v>578</v>
      </c>
      <c r="E3309" s="1" t="s">
        <v>6</v>
      </c>
      <c r="F3309" s="1" t="s">
        <v>5091</v>
      </c>
      <c r="G3309" s="14" t="s">
        <v>6145</v>
      </c>
      <c r="H3309" s="1" t="s">
        <v>43</v>
      </c>
      <c r="I3309" s="17">
        <v>43151</v>
      </c>
    </row>
    <row r="3310" spans="1:9">
      <c r="A3310" s="16" t="s">
        <v>14133</v>
      </c>
      <c r="B3310" s="1" t="s">
        <v>2628</v>
      </c>
      <c r="C3310" s="1">
        <v>199</v>
      </c>
      <c r="D3310" s="1" t="s">
        <v>578</v>
      </c>
      <c r="E3310" s="1" t="s">
        <v>6</v>
      </c>
      <c r="F3310" s="1" t="s">
        <v>5091</v>
      </c>
      <c r="G3310" s="14" t="s">
        <v>6145</v>
      </c>
      <c r="H3310" s="1" t="s">
        <v>43</v>
      </c>
      <c r="I3310" s="17">
        <v>40750</v>
      </c>
    </row>
    <row r="3311" spans="1:9">
      <c r="A3311" s="16" t="s">
        <v>14134</v>
      </c>
      <c r="B3311" s="1" t="s">
        <v>2628</v>
      </c>
      <c r="C3311" s="1">
        <v>199</v>
      </c>
      <c r="D3311" s="1" t="s">
        <v>578</v>
      </c>
      <c r="E3311" s="1" t="s">
        <v>6</v>
      </c>
      <c r="F3311" s="1" t="s">
        <v>5091</v>
      </c>
      <c r="G3311" s="14" t="s">
        <v>6145</v>
      </c>
      <c r="H3311" s="1" t="s">
        <v>43</v>
      </c>
      <c r="I3311" s="17">
        <v>40735</v>
      </c>
    </row>
    <row r="3312" spans="1:9">
      <c r="A3312" s="16" t="s">
        <v>14141</v>
      </c>
      <c r="B3312" s="1" t="s">
        <v>2628</v>
      </c>
      <c r="C3312" s="1">
        <v>199</v>
      </c>
      <c r="D3312" s="1" t="s">
        <v>578</v>
      </c>
      <c r="E3312" s="1" t="s">
        <v>6</v>
      </c>
      <c r="F3312" s="1" t="s">
        <v>5091</v>
      </c>
      <c r="G3312" s="14" t="s">
        <v>14142</v>
      </c>
      <c r="H3312" s="1" t="s">
        <v>5</v>
      </c>
      <c r="I3312" s="17">
        <v>38614</v>
      </c>
    </row>
    <row r="3313" spans="1:9">
      <c r="A3313" s="16" t="s">
        <v>14145</v>
      </c>
      <c r="B3313" s="1" t="s">
        <v>2628</v>
      </c>
      <c r="C3313" s="1">
        <v>199</v>
      </c>
      <c r="D3313" s="1" t="s">
        <v>578</v>
      </c>
      <c r="E3313" s="1" t="s">
        <v>6</v>
      </c>
      <c r="F3313" s="1" t="s">
        <v>5091</v>
      </c>
      <c r="G3313" s="14" t="s">
        <v>14146</v>
      </c>
      <c r="H3313" s="1" t="s">
        <v>5</v>
      </c>
      <c r="I3313" s="17">
        <v>38614</v>
      </c>
    </row>
    <row r="3314" spans="1:9">
      <c r="A3314" s="16" t="s">
        <v>14176</v>
      </c>
      <c r="B3314" s="1" t="s">
        <v>2628</v>
      </c>
      <c r="C3314" s="1">
        <v>199</v>
      </c>
      <c r="D3314" s="1" t="s">
        <v>578</v>
      </c>
      <c r="E3314" s="1" t="s">
        <v>6</v>
      </c>
      <c r="F3314" s="1" t="s">
        <v>5091</v>
      </c>
      <c r="G3314" s="14" t="s">
        <v>6145</v>
      </c>
      <c r="H3314" s="1" t="s">
        <v>43</v>
      </c>
      <c r="I3314" s="17">
        <v>38936</v>
      </c>
    </row>
    <row r="3315" spans="1:9">
      <c r="A3315" s="16" t="s">
        <v>14207</v>
      </c>
      <c r="B3315" s="1" t="s">
        <v>2628</v>
      </c>
      <c r="C3315" s="1">
        <v>199</v>
      </c>
      <c r="D3315" s="1" t="s">
        <v>578</v>
      </c>
      <c r="E3315" s="1" t="s">
        <v>6</v>
      </c>
      <c r="F3315" s="1" t="s">
        <v>5091</v>
      </c>
      <c r="G3315" s="14" t="s">
        <v>14208</v>
      </c>
      <c r="H3315" s="1" t="s">
        <v>5</v>
      </c>
      <c r="I3315" s="17">
        <v>43132</v>
      </c>
    </row>
    <row r="3316" spans="1:9">
      <c r="A3316" s="16" t="s">
        <v>14209</v>
      </c>
      <c r="B3316" s="1" t="s">
        <v>2628</v>
      </c>
      <c r="C3316" s="1">
        <v>199</v>
      </c>
      <c r="D3316" s="1" t="s">
        <v>578</v>
      </c>
      <c r="E3316" s="1" t="s">
        <v>6</v>
      </c>
      <c r="F3316" s="1" t="s">
        <v>5091</v>
      </c>
      <c r="G3316" s="14" t="s">
        <v>14208</v>
      </c>
      <c r="H3316" s="1" t="s">
        <v>5</v>
      </c>
      <c r="I3316" s="17">
        <v>43132</v>
      </c>
    </row>
    <row r="3317" spans="1:9">
      <c r="A3317" s="16" t="s">
        <v>14285</v>
      </c>
      <c r="B3317" s="1" t="s">
        <v>2628</v>
      </c>
      <c r="C3317" s="1">
        <v>199</v>
      </c>
      <c r="D3317" s="1" t="s">
        <v>578</v>
      </c>
      <c r="E3317" s="1" t="s">
        <v>6</v>
      </c>
      <c r="F3317" s="1" t="s">
        <v>5091</v>
      </c>
      <c r="G3317" s="14" t="s">
        <v>6145</v>
      </c>
      <c r="H3317" s="1" t="s">
        <v>43</v>
      </c>
      <c r="I3317" s="17">
        <v>43227</v>
      </c>
    </row>
    <row r="3318" spans="1:9">
      <c r="A3318" s="16" t="s">
        <v>14333</v>
      </c>
      <c r="B3318" s="1" t="s">
        <v>2628</v>
      </c>
      <c r="C3318" s="1">
        <v>199</v>
      </c>
      <c r="D3318" s="1" t="s">
        <v>578</v>
      </c>
      <c r="E3318" s="1" t="s">
        <v>6</v>
      </c>
      <c r="F3318" s="1" t="s">
        <v>5091</v>
      </c>
      <c r="G3318" s="14" t="s">
        <v>6145</v>
      </c>
      <c r="H3318" s="1" t="s">
        <v>43</v>
      </c>
      <c r="I3318" s="17">
        <v>43200</v>
      </c>
    </row>
    <row r="3319" spans="1:9">
      <c r="A3319" s="16" t="s">
        <v>14393</v>
      </c>
      <c r="B3319" s="1" t="s">
        <v>2628</v>
      </c>
      <c r="C3319" s="1">
        <v>199</v>
      </c>
      <c r="D3319" s="1" t="s">
        <v>578</v>
      </c>
      <c r="E3319" s="1" t="s">
        <v>6</v>
      </c>
      <c r="F3319" s="1" t="s">
        <v>5091</v>
      </c>
      <c r="G3319" s="14" t="s">
        <v>13498</v>
      </c>
      <c r="H3319" s="1" t="s">
        <v>5</v>
      </c>
      <c r="I3319" s="17">
        <v>43237</v>
      </c>
    </row>
    <row r="3320" spans="1:9">
      <c r="A3320" s="16" t="s">
        <v>14400</v>
      </c>
      <c r="B3320" s="1" t="s">
        <v>2628</v>
      </c>
      <c r="C3320" s="1">
        <v>199</v>
      </c>
      <c r="D3320" s="1" t="s">
        <v>578</v>
      </c>
      <c r="E3320" s="1" t="s">
        <v>6</v>
      </c>
      <c r="F3320" s="1" t="s">
        <v>5303</v>
      </c>
      <c r="G3320" s="14" t="s">
        <v>8938</v>
      </c>
      <c r="H3320" s="1" t="s">
        <v>5</v>
      </c>
      <c r="I3320" s="17">
        <v>38843</v>
      </c>
    </row>
    <row r="3321" spans="1:9">
      <c r="A3321" s="16" t="s">
        <v>14461</v>
      </c>
      <c r="B3321" s="1" t="s">
        <v>2628</v>
      </c>
      <c r="C3321" s="1">
        <v>199</v>
      </c>
      <c r="D3321" s="1" t="s">
        <v>578</v>
      </c>
      <c r="E3321" s="1" t="s">
        <v>6</v>
      </c>
      <c r="F3321" s="1" t="s">
        <v>5091</v>
      </c>
      <c r="G3321" s="14" t="s">
        <v>6145</v>
      </c>
      <c r="H3321" s="1" t="s">
        <v>43</v>
      </c>
      <c r="I3321" s="17">
        <v>38909</v>
      </c>
    </row>
    <row r="3322" spans="1:9">
      <c r="A3322" s="16" t="s">
        <v>14555</v>
      </c>
      <c r="B3322" s="1" t="s">
        <v>2628</v>
      </c>
      <c r="C3322" s="1">
        <v>199</v>
      </c>
      <c r="D3322" s="1" t="s">
        <v>578</v>
      </c>
      <c r="E3322" s="1" t="s">
        <v>6</v>
      </c>
      <c r="F3322" s="1" t="s">
        <v>5303</v>
      </c>
      <c r="G3322" s="14" t="s">
        <v>14556</v>
      </c>
      <c r="H3322" s="1" t="s">
        <v>5</v>
      </c>
      <c r="I3322" s="17">
        <v>38966</v>
      </c>
    </row>
    <row r="3323" spans="1:9">
      <c r="A3323" s="16" t="s">
        <v>14557</v>
      </c>
      <c r="B3323" s="1" t="s">
        <v>2628</v>
      </c>
      <c r="C3323" s="1">
        <v>199</v>
      </c>
      <c r="D3323" s="1" t="s">
        <v>578</v>
      </c>
      <c r="E3323" s="1" t="s">
        <v>6</v>
      </c>
      <c r="F3323" s="1" t="s">
        <v>5303</v>
      </c>
      <c r="G3323" s="14" t="s">
        <v>14556</v>
      </c>
      <c r="H3323" s="1" t="s">
        <v>5</v>
      </c>
      <c r="I3323" s="17">
        <v>38966</v>
      </c>
    </row>
    <row r="3324" spans="1:9">
      <c r="A3324" s="16" t="s">
        <v>14559</v>
      </c>
      <c r="B3324" s="1" t="s">
        <v>2628</v>
      </c>
      <c r="C3324" s="1">
        <v>199</v>
      </c>
      <c r="D3324" s="1" t="s">
        <v>578</v>
      </c>
      <c r="E3324" s="1" t="s">
        <v>6</v>
      </c>
      <c r="F3324" s="1" t="s">
        <v>5091</v>
      </c>
      <c r="G3324" s="14" t="s">
        <v>6145</v>
      </c>
      <c r="H3324" s="1" t="s">
        <v>43</v>
      </c>
      <c r="I3324" s="17">
        <v>39826</v>
      </c>
    </row>
    <row r="3325" spans="1:9">
      <c r="A3325" s="16" t="s">
        <v>14564</v>
      </c>
      <c r="B3325" s="1" t="s">
        <v>2628</v>
      </c>
      <c r="C3325" s="1">
        <v>199</v>
      </c>
      <c r="D3325" s="1" t="s">
        <v>578</v>
      </c>
      <c r="E3325" s="1" t="s">
        <v>6</v>
      </c>
      <c r="F3325" s="1" t="s">
        <v>5303</v>
      </c>
      <c r="G3325" s="14" t="s">
        <v>8938</v>
      </c>
      <c r="H3325" s="1" t="s">
        <v>5</v>
      </c>
      <c r="I3325" s="17">
        <v>38843</v>
      </c>
    </row>
    <row r="3326" spans="1:9">
      <c r="A3326" s="16" t="s">
        <v>14649</v>
      </c>
      <c r="B3326" s="1" t="s">
        <v>2628</v>
      </c>
      <c r="C3326" s="1">
        <v>199</v>
      </c>
      <c r="D3326" s="1" t="s">
        <v>578</v>
      </c>
      <c r="E3326" s="1" t="s">
        <v>6</v>
      </c>
      <c r="F3326" s="1" t="s">
        <v>5091</v>
      </c>
      <c r="G3326" s="14" t="s">
        <v>6145</v>
      </c>
      <c r="H3326" s="1" t="s">
        <v>43</v>
      </c>
      <c r="I3326" s="17">
        <v>43101</v>
      </c>
    </row>
    <row r="3327" spans="1:9">
      <c r="A3327" s="16" t="s">
        <v>14670</v>
      </c>
      <c r="B3327" s="1" t="s">
        <v>2628</v>
      </c>
      <c r="C3327" s="1">
        <v>199</v>
      </c>
      <c r="D3327" s="1" t="s">
        <v>578</v>
      </c>
      <c r="E3327" s="1" t="s">
        <v>6</v>
      </c>
      <c r="F3327" s="1" t="s">
        <v>5091</v>
      </c>
      <c r="G3327" s="14" t="s">
        <v>6145</v>
      </c>
      <c r="H3327" s="1" t="s">
        <v>43</v>
      </c>
      <c r="I3327" s="17">
        <v>40644</v>
      </c>
    </row>
    <row r="3328" spans="1:9">
      <c r="A3328" s="16" t="s">
        <v>14675</v>
      </c>
      <c r="B3328" s="1" t="s">
        <v>2628</v>
      </c>
      <c r="C3328" s="1">
        <v>199</v>
      </c>
      <c r="D3328" s="1" t="s">
        <v>578</v>
      </c>
      <c r="E3328" s="1" t="s">
        <v>6</v>
      </c>
      <c r="F3328" s="1" t="s">
        <v>5091</v>
      </c>
      <c r="G3328" s="14" t="s">
        <v>14676</v>
      </c>
      <c r="H3328" s="1" t="s">
        <v>315</v>
      </c>
      <c r="I3328" s="17">
        <v>43272</v>
      </c>
    </row>
    <row r="3329" spans="1:9">
      <c r="A3329" s="16" t="s">
        <v>14726</v>
      </c>
      <c r="B3329" s="1" t="s">
        <v>2628</v>
      </c>
      <c r="C3329" s="1">
        <v>199</v>
      </c>
      <c r="D3329" s="1" t="s">
        <v>578</v>
      </c>
      <c r="E3329" s="1" t="s">
        <v>6</v>
      </c>
      <c r="F3329" s="1" t="s">
        <v>5091</v>
      </c>
      <c r="G3329" s="14" t="s">
        <v>14723</v>
      </c>
      <c r="H3329" s="1" t="s">
        <v>43</v>
      </c>
      <c r="I3329" s="17">
        <v>38664</v>
      </c>
    </row>
    <row r="3330" spans="1:9">
      <c r="A3330" s="16" t="s">
        <v>14755</v>
      </c>
      <c r="B3330" s="1" t="s">
        <v>2628</v>
      </c>
      <c r="C3330" s="1">
        <v>199</v>
      </c>
      <c r="D3330" s="1" t="s">
        <v>578</v>
      </c>
      <c r="E3330" s="1" t="s">
        <v>6</v>
      </c>
      <c r="F3330" s="1" t="s">
        <v>5091</v>
      </c>
      <c r="G3330" s="14" t="s">
        <v>6145</v>
      </c>
      <c r="H3330" s="1" t="s">
        <v>43</v>
      </c>
      <c r="I3330" s="17">
        <v>43320</v>
      </c>
    </row>
    <row r="3331" spans="1:9">
      <c r="A3331" s="16" t="s">
        <v>14764</v>
      </c>
      <c r="B3331" s="1" t="s">
        <v>2628</v>
      </c>
      <c r="C3331" s="1">
        <v>199</v>
      </c>
      <c r="D3331" s="1" t="s">
        <v>578</v>
      </c>
      <c r="E3331" s="1" t="s">
        <v>6</v>
      </c>
      <c r="F3331" s="1" t="s">
        <v>5091</v>
      </c>
      <c r="G3331" s="14" t="s">
        <v>6145</v>
      </c>
      <c r="H3331" s="1" t="s">
        <v>43</v>
      </c>
      <c r="I3331" s="17">
        <v>43320</v>
      </c>
    </row>
    <row r="3332" spans="1:9">
      <c r="A3332" s="16" t="s">
        <v>14766</v>
      </c>
      <c r="B3332" s="1" t="s">
        <v>2628</v>
      </c>
      <c r="C3332" s="1">
        <v>199</v>
      </c>
      <c r="D3332" s="1" t="s">
        <v>578</v>
      </c>
      <c r="E3332" s="1" t="s">
        <v>6</v>
      </c>
      <c r="F3332" s="1" t="s">
        <v>5091</v>
      </c>
      <c r="G3332" s="14" t="s">
        <v>6145</v>
      </c>
      <c r="H3332" s="1" t="s">
        <v>43</v>
      </c>
      <c r="I3332" s="17">
        <v>43320</v>
      </c>
    </row>
    <row r="3333" spans="1:9">
      <c r="A3333" s="16" t="s">
        <v>14772</v>
      </c>
      <c r="B3333" s="1" t="s">
        <v>2628</v>
      </c>
      <c r="C3333" s="1">
        <v>199</v>
      </c>
      <c r="D3333" s="1" t="s">
        <v>578</v>
      </c>
      <c r="E3333" s="1" t="s">
        <v>6</v>
      </c>
      <c r="F3333" s="1" t="s">
        <v>5091</v>
      </c>
      <c r="G3333" s="14" t="s">
        <v>6145</v>
      </c>
      <c r="H3333" s="1" t="s">
        <v>43</v>
      </c>
      <c r="I3333" s="17">
        <v>43319</v>
      </c>
    </row>
    <row r="3334" spans="1:9">
      <c r="A3334" s="16" t="s">
        <v>14790</v>
      </c>
      <c r="B3334" s="1" t="s">
        <v>2628</v>
      </c>
      <c r="C3334" s="1">
        <v>199</v>
      </c>
      <c r="D3334" s="1" t="s">
        <v>578</v>
      </c>
      <c r="E3334" s="1" t="s">
        <v>6</v>
      </c>
      <c r="F3334" s="1" t="s">
        <v>5091</v>
      </c>
      <c r="G3334" s="14" t="s">
        <v>6145</v>
      </c>
      <c r="H3334" s="1" t="s">
        <v>43</v>
      </c>
      <c r="I3334" s="17">
        <v>43319</v>
      </c>
    </row>
    <row r="3335" spans="1:9">
      <c r="A3335" s="16" t="s">
        <v>14969</v>
      </c>
      <c r="B3335" s="1" t="s">
        <v>2628</v>
      </c>
      <c r="C3335" s="1">
        <v>199</v>
      </c>
      <c r="D3335" s="1" t="s">
        <v>578</v>
      </c>
      <c r="E3335" s="1" t="s">
        <v>6</v>
      </c>
      <c r="F3335" s="1" t="s">
        <v>5241</v>
      </c>
      <c r="G3335" s="14" t="s">
        <v>4803</v>
      </c>
      <c r="H3335" s="1" t="s">
        <v>5</v>
      </c>
      <c r="I3335" s="17">
        <v>42430</v>
      </c>
    </row>
    <row r="3336" spans="1:9">
      <c r="A3336" s="16" t="s">
        <v>15666</v>
      </c>
      <c r="B3336" s="1" t="s">
        <v>2628</v>
      </c>
      <c r="C3336" s="1">
        <v>199</v>
      </c>
      <c r="D3336" s="1" t="s">
        <v>578</v>
      </c>
      <c r="E3336" s="1" t="s">
        <v>6</v>
      </c>
      <c r="F3336" s="1" t="s">
        <v>5091</v>
      </c>
      <c r="G3336" s="14" t="s">
        <v>6145</v>
      </c>
      <c r="H3336" s="1" t="s">
        <v>43</v>
      </c>
      <c r="I3336" s="17">
        <v>43354</v>
      </c>
    </row>
    <row r="3337" spans="1:9">
      <c r="A3337" s="16" t="s">
        <v>15667</v>
      </c>
      <c r="B3337" s="1" t="s">
        <v>2628</v>
      </c>
      <c r="C3337" s="1">
        <v>199</v>
      </c>
      <c r="D3337" s="1" t="s">
        <v>578</v>
      </c>
      <c r="E3337" s="1" t="s">
        <v>6</v>
      </c>
      <c r="F3337" s="1" t="s">
        <v>5091</v>
      </c>
      <c r="G3337" s="14" t="s">
        <v>6145</v>
      </c>
      <c r="H3337" s="1" t="s">
        <v>43</v>
      </c>
      <c r="I3337" s="17">
        <v>43354</v>
      </c>
    </row>
    <row r="3338" spans="1:9">
      <c r="A3338" s="16" t="s">
        <v>15668</v>
      </c>
      <c r="B3338" s="1" t="s">
        <v>2628</v>
      </c>
      <c r="C3338" s="1">
        <v>199</v>
      </c>
      <c r="D3338" s="1" t="s">
        <v>578</v>
      </c>
      <c r="E3338" s="1" t="s">
        <v>6</v>
      </c>
      <c r="F3338" s="1" t="s">
        <v>5091</v>
      </c>
      <c r="G3338" s="14" t="s">
        <v>6145</v>
      </c>
      <c r="H3338" s="1" t="s">
        <v>43</v>
      </c>
      <c r="I3338" s="17">
        <v>43354</v>
      </c>
    </row>
    <row r="3339" spans="1:9">
      <c r="A3339" s="16" t="s">
        <v>15669</v>
      </c>
      <c r="B3339" s="1" t="s">
        <v>2628</v>
      </c>
      <c r="C3339" s="1">
        <v>199</v>
      </c>
      <c r="D3339" s="1" t="s">
        <v>578</v>
      </c>
      <c r="E3339" s="1" t="s">
        <v>6</v>
      </c>
      <c r="F3339" s="1" t="s">
        <v>5091</v>
      </c>
      <c r="G3339" s="14" t="s">
        <v>6145</v>
      </c>
      <c r="H3339" s="1" t="s">
        <v>43</v>
      </c>
      <c r="I3339" s="17">
        <v>43354</v>
      </c>
    </row>
    <row r="3340" spans="1:9">
      <c r="A3340" s="16" t="s">
        <v>15670</v>
      </c>
      <c r="B3340" s="1" t="s">
        <v>2628</v>
      </c>
      <c r="C3340" s="1">
        <v>199</v>
      </c>
      <c r="D3340" s="1" t="s">
        <v>578</v>
      </c>
      <c r="E3340" s="1" t="s">
        <v>6</v>
      </c>
      <c r="F3340" s="1" t="s">
        <v>5091</v>
      </c>
      <c r="G3340" s="14" t="s">
        <v>6145</v>
      </c>
      <c r="H3340" s="1" t="s">
        <v>43</v>
      </c>
      <c r="I3340" s="17">
        <v>43354</v>
      </c>
    </row>
    <row r="3341" spans="1:9">
      <c r="A3341" s="16" t="s">
        <v>15671</v>
      </c>
      <c r="B3341" s="1" t="s">
        <v>2628</v>
      </c>
      <c r="C3341" s="1">
        <v>199</v>
      </c>
      <c r="D3341" s="1" t="s">
        <v>578</v>
      </c>
      <c r="E3341" s="1" t="s">
        <v>6</v>
      </c>
      <c r="F3341" s="1" t="s">
        <v>5091</v>
      </c>
      <c r="G3341" s="14" t="s">
        <v>6145</v>
      </c>
      <c r="H3341" s="1" t="s">
        <v>43</v>
      </c>
      <c r="I3341" s="17">
        <v>43354</v>
      </c>
    </row>
    <row r="3342" spans="1:9">
      <c r="A3342" s="16" t="s">
        <v>15672</v>
      </c>
      <c r="B3342" s="1" t="s">
        <v>2628</v>
      </c>
      <c r="C3342" s="1">
        <v>199</v>
      </c>
      <c r="D3342" s="1" t="s">
        <v>578</v>
      </c>
      <c r="E3342" s="1" t="s">
        <v>6</v>
      </c>
      <c r="F3342" s="1" t="s">
        <v>5091</v>
      </c>
      <c r="G3342" s="14" t="s">
        <v>6145</v>
      </c>
      <c r="H3342" s="1" t="s">
        <v>43</v>
      </c>
      <c r="I3342" s="17">
        <v>43354</v>
      </c>
    </row>
    <row r="3343" spans="1:9">
      <c r="A3343" s="16" t="s">
        <v>15673</v>
      </c>
      <c r="B3343" s="1" t="s">
        <v>2628</v>
      </c>
      <c r="C3343" s="1">
        <v>199</v>
      </c>
      <c r="D3343" s="1" t="s">
        <v>578</v>
      </c>
      <c r="E3343" s="1" t="s">
        <v>6</v>
      </c>
      <c r="F3343" s="1" t="s">
        <v>5091</v>
      </c>
      <c r="G3343" s="14" t="s">
        <v>6145</v>
      </c>
      <c r="H3343" s="1" t="s">
        <v>43</v>
      </c>
      <c r="I3343" s="17">
        <v>43354</v>
      </c>
    </row>
    <row r="3344" spans="1:9">
      <c r="A3344" s="16" t="s">
        <v>15674</v>
      </c>
      <c r="B3344" s="1" t="s">
        <v>2628</v>
      </c>
      <c r="C3344" s="1">
        <v>199</v>
      </c>
      <c r="D3344" s="1" t="s">
        <v>578</v>
      </c>
      <c r="E3344" s="1" t="s">
        <v>6</v>
      </c>
      <c r="F3344" s="1" t="s">
        <v>5091</v>
      </c>
      <c r="G3344" s="14" t="s">
        <v>6145</v>
      </c>
      <c r="H3344" s="1" t="s">
        <v>43</v>
      </c>
      <c r="I3344" s="17">
        <v>43354</v>
      </c>
    </row>
    <row r="3345" spans="1:9">
      <c r="A3345" s="16" t="s">
        <v>15677</v>
      </c>
      <c r="B3345" s="1" t="s">
        <v>2628</v>
      </c>
      <c r="C3345" s="1">
        <v>199</v>
      </c>
      <c r="D3345" s="1" t="s">
        <v>578</v>
      </c>
      <c r="E3345" s="1" t="s">
        <v>6</v>
      </c>
      <c r="F3345" s="1" t="s">
        <v>5091</v>
      </c>
      <c r="G3345" s="14" t="s">
        <v>6145</v>
      </c>
      <c r="H3345" s="1" t="s">
        <v>43</v>
      </c>
      <c r="I3345" s="17">
        <v>43354</v>
      </c>
    </row>
    <row r="3346" spans="1:9">
      <c r="A3346" s="16" t="s">
        <v>15678</v>
      </c>
      <c r="B3346" s="1" t="s">
        <v>2628</v>
      </c>
      <c r="C3346" s="1">
        <v>199</v>
      </c>
      <c r="D3346" s="1" t="s">
        <v>578</v>
      </c>
      <c r="E3346" s="1" t="s">
        <v>6</v>
      </c>
      <c r="F3346" s="1" t="s">
        <v>5091</v>
      </c>
      <c r="G3346" s="14" t="s">
        <v>6145</v>
      </c>
      <c r="H3346" s="1" t="s">
        <v>43</v>
      </c>
      <c r="I3346" s="17">
        <v>43354</v>
      </c>
    </row>
    <row r="3347" spans="1:9">
      <c r="A3347" s="16" t="s">
        <v>15679</v>
      </c>
      <c r="B3347" s="1" t="s">
        <v>2628</v>
      </c>
      <c r="C3347" s="1">
        <v>199</v>
      </c>
      <c r="D3347" s="1" t="s">
        <v>578</v>
      </c>
      <c r="E3347" s="1" t="s">
        <v>6</v>
      </c>
      <c r="F3347" s="1" t="s">
        <v>5091</v>
      </c>
      <c r="G3347" s="14" t="s">
        <v>6145</v>
      </c>
      <c r="H3347" s="1" t="s">
        <v>43</v>
      </c>
      <c r="I3347" s="17">
        <v>43354</v>
      </c>
    </row>
    <row r="3348" spans="1:9">
      <c r="A3348" s="16" t="s">
        <v>15680</v>
      </c>
      <c r="B3348" s="1" t="s">
        <v>2628</v>
      </c>
      <c r="C3348" s="1">
        <v>199</v>
      </c>
      <c r="D3348" s="1" t="s">
        <v>578</v>
      </c>
      <c r="E3348" s="1" t="s">
        <v>6</v>
      </c>
      <c r="F3348" s="1" t="s">
        <v>5091</v>
      </c>
      <c r="G3348" s="14" t="s">
        <v>6145</v>
      </c>
      <c r="H3348" s="1" t="s">
        <v>43</v>
      </c>
      <c r="I3348" s="17">
        <v>43354</v>
      </c>
    </row>
    <row r="3349" spans="1:9">
      <c r="A3349" s="16" t="s">
        <v>15690</v>
      </c>
      <c r="B3349" s="1" t="s">
        <v>2628</v>
      </c>
      <c r="C3349" s="1">
        <v>199</v>
      </c>
      <c r="D3349" s="1" t="s">
        <v>578</v>
      </c>
      <c r="E3349" s="1" t="s">
        <v>6</v>
      </c>
      <c r="F3349" s="1" t="s">
        <v>5091</v>
      </c>
      <c r="G3349" s="14" t="s">
        <v>6145</v>
      </c>
      <c r="H3349" s="1" t="s">
        <v>43</v>
      </c>
      <c r="I3349" s="17">
        <v>43354</v>
      </c>
    </row>
    <row r="3350" spans="1:9">
      <c r="A3350" s="16" t="s">
        <v>15691</v>
      </c>
      <c r="B3350" s="1" t="s">
        <v>2628</v>
      </c>
      <c r="C3350" s="1">
        <v>199</v>
      </c>
      <c r="D3350" s="1" t="s">
        <v>578</v>
      </c>
      <c r="E3350" s="1" t="s">
        <v>6</v>
      </c>
      <c r="F3350" s="1" t="s">
        <v>5091</v>
      </c>
      <c r="G3350" s="14" t="s">
        <v>6145</v>
      </c>
      <c r="H3350" s="1" t="s">
        <v>43</v>
      </c>
      <c r="I3350" s="17">
        <v>43354</v>
      </c>
    </row>
    <row r="3351" spans="1:9">
      <c r="A3351" s="16" t="s">
        <v>15693</v>
      </c>
      <c r="B3351" s="1" t="s">
        <v>2628</v>
      </c>
      <c r="C3351" s="1">
        <v>199</v>
      </c>
      <c r="D3351" s="1" t="s">
        <v>578</v>
      </c>
      <c r="E3351" s="1" t="s">
        <v>6</v>
      </c>
      <c r="F3351" s="1" t="s">
        <v>5091</v>
      </c>
      <c r="G3351" s="14" t="s">
        <v>6145</v>
      </c>
      <c r="H3351" s="1" t="s">
        <v>43</v>
      </c>
      <c r="I3351" s="17">
        <v>43354</v>
      </c>
    </row>
    <row r="3352" spans="1:9">
      <c r="A3352" s="16" t="s">
        <v>15694</v>
      </c>
      <c r="B3352" s="1" t="s">
        <v>2628</v>
      </c>
      <c r="C3352" s="1">
        <v>199</v>
      </c>
      <c r="D3352" s="1" t="s">
        <v>578</v>
      </c>
      <c r="E3352" s="1" t="s">
        <v>6</v>
      </c>
      <c r="F3352" s="1" t="s">
        <v>5091</v>
      </c>
      <c r="G3352" s="14" t="s">
        <v>6145</v>
      </c>
      <c r="H3352" s="1" t="s">
        <v>43</v>
      </c>
      <c r="I3352" s="17">
        <v>43354</v>
      </c>
    </row>
    <row r="3353" spans="1:9">
      <c r="A3353" s="16" t="s">
        <v>15695</v>
      </c>
      <c r="B3353" s="1" t="s">
        <v>2628</v>
      </c>
      <c r="C3353" s="1">
        <v>199</v>
      </c>
      <c r="D3353" s="1" t="s">
        <v>578</v>
      </c>
      <c r="E3353" s="1" t="s">
        <v>6</v>
      </c>
      <c r="F3353" s="1" t="s">
        <v>5091</v>
      </c>
      <c r="G3353" s="14" t="s">
        <v>6145</v>
      </c>
      <c r="H3353" s="1" t="s">
        <v>43</v>
      </c>
      <c r="I3353" s="17">
        <v>43354</v>
      </c>
    </row>
    <row r="3354" spans="1:9">
      <c r="A3354" s="16" t="s">
        <v>15697</v>
      </c>
      <c r="B3354" s="1" t="s">
        <v>2628</v>
      </c>
      <c r="C3354" s="1">
        <v>199</v>
      </c>
      <c r="D3354" s="1" t="s">
        <v>578</v>
      </c>
      <c r="E3354" s="1" t="s">
        <v>6</v>
      </c>
      <c r="F3354" s="1" t="s">
        <v>5091</v>
      </c>
      <c r="G3354" s="14" t="s">
        <v>6145</v>
      </c>
      <c r="H3354" s="1" t="s">
        <v>43</v>
      </c>
      <c r="I3354" s="17">
        <v>43354</v>
      </c>
    </row>
    <row r="3355" spans="1:9">
      <c r="A3355" s="16" t="s">
        <v>15702</v>
      </c>
      <c r="B3355" s="1" t="s">
        <v>2628</v>
      </c>
      <c r="C3355" s="1">
        <v>199</v>
      </c>
      <c r="D3355" s="1" t="s">
        <v>578</v>
      </c>
      <c r="E3355" s="1" t="s">
        <v>6</v>
      </c>
      <c r="F3355" s="1" t="s">
        <v>5091</v>
      </c>
      <c r="G3355" s="14" t="s">
        <v>6145</v>
      </c>
      <c r="H3355" s="1" t="s">
        <v>43</v>
      </c>
      <c r="I3355" s="17">
        <v>43354</v>
      </c>
    </row>
    <row r="3356" spans="1:9">
      <c r="A3356" s="16" t="s">
        <v>15703</v>
      </c>
      <c r="B3356" s="1" t="s">
        <v>2628</v>
      </c>
      <c r="C3356" s="1">
        <v>199</v>
      </c>
      <c r="D3356" s="1" t="s">
        <v>578</v>
      </c>
      <c r="E3356" s="1" t="s">
        <v>6</v>
      </c>
      <c r="F3356" s="1" t="s">
        <v>5091</v>
      </c>
      <c r="G3356" s="14" t="s">
        <v>6145</v>
      </c>
      <c r="H3356" s="1" t="s">
        <v>43</v>
      </c>
      <c r="I3356" s="17">
        <v>43354</v>
      </c>
    </row>
    <row r="3357" spans="1:9">
      <c r="A3357" s="16" t="s">
        <v>15704</v>
      </c>
      <c r="B3357" s="1" t="s">
        <v>2628</v>
      </c>
      <c r="C3357" s="1">
        <v>199</v>
      </c>
      <c r="D3357" s="1" t="s">
        <v>578</v>
      </c>
      <c r="E3357" s="1" t="s">
        <v>6</v>
      </c>
      <c r="F3357" s="1" t="s">
        <v>5091</v>
      </c>
      <c r="G3357" s="14" t="s">
        <v>6145</v>
      </c>
      <c r="H3357" s="1" t="s">
        <v>43</v>
      </c>
      <c r="I3357" s="17">
        <v>43354</v>
      </c>
    </row>
    <row r="3358" spans="1:9">
      <c r="A3358" s="16" t="s">
        <v>15705</v>
      </c>
      <c r="B3358" s="1" t="s">
        <v>2628</v>
      </c>
      <c r="C3358" s="1">
        <v>199</v>
      </c>
      <c r="D3358" s="1" t="s">
        <v>578</v>
      </c>
      <c r="E3358" s="1" t="s">
        <v>6</v>
      </c>
      <c r="F3358" s="1" t="s">
        <v>5091</v>
      </c>
      <c r="G3358" s="14" t="s">
        <v>6145</v>
      </c>
      <c r="H3358" s="1" t="s">
        <v>43</v>
      </c>
      <c r="I3358" s="17">
        <v>43354</v>
      </c>
    </row>
    <row r="3359" spans="1:9">
      <c r="A3359" s="16" t="s">
        <v>15706</v>
      </c>
      <c r="B3359" s="1" t="s">
        <v>2628</v>
      </c>
      <c r="C3359" s="1">
        <v>199</v>
      </c>
      <c r="D3359" s="1" t="s">
        <v>578</v>
      </c>
      <c r="E3359" s="1" t="s">
        <v>6</v>
      </c>
      <c r="F3359" s="1" t="s">
        <v>5091</v>
      </c>
      <c r="G3359" s="14" t="s">
        <v>6145</v>
      </c>
      <c r="H3359" s="1" t="s">
        <v>43</v>
      </c>
      <c r="I3359" s="17">
        <v>43354</v>
      </c>
    </row>
    <row r="3360" spans="1:9">
      <c r="A3360" s="16" t="s">
        <v>15708</v>
      </c>
      <c r="B3360" s="1" t="s">
        <v>2628</v>
      </c>
      <c r="C3360" s="1">
        <v>199</v>
      </c>
      <c r="D3360" s="1" t="s">
        <v>578</v>
      </c>
      <c r="E3360" s="1" t="s">
        <v>6</v>
      </c>
      <c r="F3360" s="1" t="s">
        <v>5091</v>
      </c>
      <c r="G3360" s="14" t="s">
        <v>6145</v>
      </c>
      <c r="H3360" s="1" t="s">
        <v>43</v>
      </c>
      <c r="I3360" s="17">
        <v>43354</v>
      </c>
    </row>
    <row r="3361" spans="1:9">
      <c r="A3361" s="16" t="s">
        <v>15709</v>
      </c>
      <c r="B3361" s="1" t="s">
        <v>2628</v>
      </c>
      <c r="C3361" s="1">
        <v>199</v>
      </c>
      <c r="D3361" s="1" t="s">
        <v>578</v>
      </c>
      <c r="E3361" s="1" t="s">
        <v>6</v>
      </c>
      <c r="F3361" s="1" t="s">
        <v>5091</v>
      </c>
      <c r="G3361" s="14" t="s">
        <v>6145</v>
      </c>
      <c r="H3361" s="1" t="s">
        <v>43</v>
      </c>
      <c r="I3361" s="17">
        <v>43354</v>
      </c>
    </row>
    <row r="3362" spans="1:9">
      <c r="A3362" s="7" t="s">
        <v>15740</v>
      </c>
      <c r="B3362" s="2" t="s">
        <v>2628</v>
      </c>
      <c r="C3362" s="1">
        <v>199</v>
      </c>
      <c r="D3362" s="1" t="s">
        <v>578</v>
      </c>
      <c r="E3362" s="1" t="s">
        <v>6</v>
      </c>
      <c r="F3362" s="1" t="s">
        <v>5091</v>
      </c>
      <c r="G3362" s="14" t="s">
        <v>15741</v>
      </c>
      <c r="H3362" s="1" t="s">
        <v>5</v>
      </c>
      <c r="I3362" s="1" t="s">
        <v>5801</v>
      </c>
    </row>
    <row r="3363" spans="1:9">
      <c r="A3363" s="7" t="s">
        <v>15742</v>
      </c>
      <c r="B3363" s="2" t="s">
        <v>2628</v>
      </c>
      <c r="C3363" s="1">
        <v>199</v>
      </c>
      <c r="D3363" s="1" t="s">
        <v>578</v>
      </c>
      <c r="E3363" s="1" t="s">
        <v>6</v>
      </c>
      <c r="F3363" s="1" t="s">
        <v>5091</v>
      </c>
      <c r="G3363" s="14" t="s">
        <v>2400</v>
      </c>
      <c r="H3363" s="1" t="s">
        <v>43</v>
      </c>
      <c r="I3363" s="1" t="s">
        <v>4789</v>
      </c>
    </row>
    <row r="3364" spans="1:9">
      <c r="A3364" s="7" t="s">
        <v>15747</v>
      </c>
      <c r="B3364" s="2" t="s">
        <v>2628</v>
      </c>
      <c r="C3364" s="1">
        <v>199</v>
      </c>
      <c r="D3364" s="1" t="s">
        <v>578</v>
      </c>
      <c r="E3364" s="1" t="s">
        <v>6</v>
      </c>
      <c r="F3364" s="1" t="s">
        <v>5091</v>
      </c>
      <c r="G3364" s="14" t="s">
        <v>2400</v>
      </c>
      <c r="H3364" s="1" t="s">
        <v>43</v>
      </c>
      <c r="I3364" s="1" t="s">
        <v>4789</v>
      </c>
    </row>
    <row r="3365" spans="1:9">
      <c r="A3365" s="7" t="s">
        <v>15788</v>
      </c>
      <c r="B3365" s="2" t="s">
        <v>2628</v>
      </c>
      <c r="C3365" s="1">
        <v>199</v>
      </c>
      <c r="D3365" s="1" t="s">
        <v>578</v>
      </c>
      <c r="E3365" s="1" t="s">
        <v>6</v>
      </c>
      <c r="F3365" s="1" t="s">
        <v>5091</v>
      </c>
      <c r="G3365" s="14" t="s">
        <v>6145</v>
      </c>
      <c r="H3365" s="1" t="s">
        <v>43</v>
      </c>
      <c r="I3365" s="1" t="s">
        <v>5801</v>
      </c>
    </row>
    <row r="3366" spans="1:9">
      <c r="A3366" s="7" t="s">
        <v>15789</v>
      </c>
      <c r="B3366" s="2" t="s">
        <v>2628</v>
      </c>
      <c r="C3366" s="1">
        <v>199</v>
      </c>
      <c r="D3366" s="1" t="s">
        <v>578</v>
      </c>
      <c r="E3366" s="1" t="s">
        <v>6</v>
      </c>
      <c r="F3366" s="1" t="s">
        <v>5091</v>
      </c>
      <c r="G3366" s="14" t="s">
        <v>2400</v>
      </c>
      <c r="H3366" s="1" t="s">
        <v>43</v>
      </c>
      <c r="I3366" s="1" t="s">
        <v>4789</v>
      </c>
    </row>
    <row r="3367" spans="1:9">
      <c r="A3367" s="7" t="s">
        <v>15790</v>
      </c>
      <c r="B3367" s="2" t="s">
        <v>2628</v>
      </c>
      <c r="C3367" s="1">
        <v>199</v>
      </c>
      <c r="D3367" s="1" t="s">
        <v>578</v>
      </c>
      <c r="E3367" s="1" t="s">
        <v>6</v>
      </c>
      <c r="F3367" s="1" t="s">
        <v>5091</v>
      </c>
      <c r="G3367" s="14" t="s">
        <v>6145</v>
      </c>
      <c r="H3367" s="1" t="s">
        <v>43</v>
      </c>
      <c r="I3367" s="1" t="s">
        <v>5801</v>
      </c>
    </row>
    <row r="3368" spans="1:9">
      <c r="A3368" s="7" t="s">
        <v>15791</v>
      </c>
      <c r="B3368" s="2" t="s">
        <v>2628</v>
      </c>
      <c r="C3368" s="1">
        <v>199</v>
      </c>
      <c r="D3368" s="1" t="s">
        <v>578</v>
      </c>
      <c r="E3368" s="1" t="s">
        <v>6</v>
      </c>
      <c r="F3368" s="1" t="s">
        <v>5091</v>
      </c>
      <c r="G3368" s="14" t="s">
        <v>6145</v>
      </c>
      <c r="H3368" s="1" t="s">
        <v>43</v>
      </c>
      <c r="I3368" s="1" t="s">
        <v>5801</v>
      </c>
    </row>
    <row r="3369" spans="1:9">
      <c r="A3369" s="7" t="s">
        <v>15793</v>
      </c>
      <c r="B3369" s="2" t="s">
        <v>2628</v>
      </c>
      <c r="C3369" s="1">
        <v>199</v>
      </c>
      <c r="D3369" s="1" t="s">
        <v>578</v>
      </c>
      <c r="E3369" s="1" t="s">
        <v>6</v>
      </c>
      <c r="F3369" s="1" t="s">
        <v>5091</v>
      </c>
      <c r="G3369" s="14" t="s">
        <v>6145</v>
      </c>
      <c r="H3369" s="1" t="s">
        <v>43</v>
      </c>
      <c r="I3369" s="1" t="s">
        <v>5801</v>
      </c>
    </row>
    <row r="3370" spans="1:9">
      <c r="A3370" s="7" t="s">
        <v>15846</v>
      </c>
      <c r="B3370" s="2" t="s">
        <v>2628</v>
      </c>
      <c r="C3370" s="1">
        <v>199</v>
      </c>
      <c r="D3370" s="1" t="s">
        <v>578</v>
      </c>
      <c r="E3370" s="1" t="s">
        <v>6</v>
      </c>
      <c r="F3370" s="1" t="s">
        <v>5091</v>
      </c>
      <c r="G3370" s="14" t="s">
        <v>6209</v>
      </c>
      <c r="H3370" s="1" t="s">
        <v>43</v>
      </c>
      <c r="I3370" s="1" t="s">
        <v>5092</v>
      </c>
    </row>
    <row r="3371" spans="1:9">
      <c r="A3371" s="7" t="s">
        <v>15847</v>
      </c>
      <c r="B3371" s="2" t="s">
        <v>2628</v>
      </c>
      <c r="C3371" s="1">
        <v>199</v>
      </c>
      <c r="D3371" s="1" t="s">
        <v>578</v>
      </c>
      <c r="E3371" s="1" t="s">
        <v>6</v>
      </c>
      <c r="F3371" s="1" t="s">
        <v>5091</v>
      </c>
      <c r="G3371" s="14" t="s">
        <v>15848</v>
      </c>
      <c r="H3371" s="1" t="s">
        <v>43</v>
      </c>
      <c r="I3371" s="1" t="s">
        <v>5092</v>
      </c>
    </row>
    <row r="3372" spans="1:9">
      <c r="A3372" s="7" t="s">
        <v>15851</v>
      </c>
      <c r="B3372" s="2" t="s">
        <v>2628</v>
      </c>
      <c r="C3372" s="1">
        <v>199</v>
      </c>
      <c r="D3372" s="1" t="s">
        <v>578</v>
      </c>
      <c r="E3372" s="1" t="s">
        <v>6</v>
      </c>
      <c r="F3372" s="1" t="s">
        <v>5091</v>
      </c>
      <c r="G3372" s="14" t="s">
        <v>6196</v>
      </c>
      <c r="H3372" s="1" t="s">
        <v>43</v>
      </c>
      <c r="I3372" s="1" t="s">
        <v>5092</v>
      </c>
    </row>
    <row r="3373" spans="1:9">
      <c r="A3373" s="7" t="s">
        <v>15855</v>
      </c>
      <c r="B3373" s="2" t="s">
        <v>2628</v>
      </c>
      <c r="C3373" s="1">
        <v>199</v>
      </c>
      <c r="D3373" s="1" t="s">
        <v>578</v>
      </c>
      <c r="E3373" s="1" t="s">
        <v>6</v>
      </c>
      <c r="F3373" s="1" t="s">
        <v>5091</v>
      </c>
      <c r="G3373" s="14" t="s">
        <v>15854</v>
      </c>
      <c r="H3373" s="1" t="s">
        <v>43</v>
      </c>
      <c r="I3373" s="1" t="s">
        <v>5092</v>
      </c>
    </row>
    <row r="3374" spans="1:9">
      <c r="A3374" s="7" t="s">
        <v>15856</v>
      </c>
      <c r="B3374" s="2" t="s">
        <v>2628</v>
      </c>
      <c r="C3374" s="1">
        <v>199</v>
      </c>
      <c r="D3374" s="1" t="s">
        <v>578</v>
      </c>
      <c r="E3374" s="1" t="s">
        <v>6</v>
      </c>
      <c r="F3374" s="1" t="s">
        <v>5091</v>
      </c>
      <c r="G3374" s="14" t="s">
        <v>14144</v>
      </c>
      <c r="H3374" s="1" t="s">
        <v>43</v>
      </c>
      <c r="I3374" s="1" t="s">
        <v>5092</v>
      </c>
    </row>
    <row r="3375" spans="1:9">
      <c r="A3375" s="7" t="s">
        <v>15860</v>
      </c>
      <c r="B3375" s="2" t="s">
        <v>2628</v>
      </c>
      <c r="C3375" s="1">
        <v>199</v>
      </c>
      <c r="D3375" s="1" t="s">
        <v>578</v>
      </c>
      <c r="E3375" s="1" t="s">
        <v>6</v>
      </c>
      <c r="F3375" s="1" t="s">
        <v>5091</v>
      </c>
      <c r="G3375" s="14" t="s">
        <v>6209</v>
      </c>
      <c r="H3375" s="1" t="s">
        <v>43</v>
      </c>
      <c r="I3375" s="1" t="s">
        <v>5092</v>
      </c>
    </row>
    <row r="3376" spans="1:9">
      <c r="A3376" s="7" t="s">
        <v>15875</v>
      </c>
      <c r="B3376" s="2" t="s">
        <v>2628</v>
      </c>
      <c r="C3376" s="1">
        <v>199</v>
      </c>
      <c r="D3376" s="1" t="s">
        <v>578</v>
      </c>
      <c r="E3376" s="1" t="s">
        <v>6</v>
      </c>
      <c r="F3376" s="1" t="s">
        <v>5091</v>
      </c>
      <c r="G3376" s="14" t="s">
        <v>6427</v>
      </c>
      <c r="H3376" s="1" t="s">
        <v>5</v>
      </c>
      <c r="I3376" s="1" t="s">
        <v>5089</v>
      </c>
    </row>
    <row r="3377" spans="1:9">
      <c r="A3377" s="7" t="s">
        <v>15892</v>
      </c>
      <c r="B3377" s="2" t="s">
        <v>2628</v>
      </c>
      <c r="C3377" s="1">
        <v>199</v>
      </c>
      <c r="D3377" s="1" t="s">
        <v>578</v>
      </c>
      <c r="E3377" s="1" t="s">
        <v>6</v>
      </c>
      <c r="F3377" s="1" t="s">
        <v>5091</v>
      </c>
      <c r="G3377" s="14" t="s">
        <v>6209</v>
      </c>
      <c r="H3377" s="1" t="s">
        <v>43</v>
      </c>
      <c r="I3377" s="1" t="s">
        <v>5092</v>
      </c>
    </row>
    <row r="3378" spans="1:9">
      <c r="A3378" s="7" t="s">
        <v>15900</v>
      </c>
      <c r="B3378" s="2" t="s">
        <v>2628</v>
      </c>
      <c r="C3378" s="1">
        <v>199</v>
      </c>
      <c r="D3378" s="1" t="s">
        <v>578</v>
      </c>
      <c r="E3378" s="1" t="s">
        <v>6</v>
      </c>
      <c r="F3378" s="1" t="s">
        <v>5091</v>
      </c>
      <c r="G3378" s="14" t="s">
        <v>2400</v>
      </c>
      <c r="H3378" s="1" t="s">
        <v>43</v>
      </c>
      <c r="I3378" s="1" t="s">
        <v>4789</v>
      </c>
    </row>
    <row r="3379" spans="1:9">
      <c r="A3379" s="7" t="s">
        <v>15901</v>
      </c>
      <c r="B3379" s="2" t="s">
        <v>2628</v>
      </c>
      <c r="C3379" s="1">
        <v>199</v>
      </c>
      <c r="D3379" s="1" t="s">
        <v>578</v>
      </c>
      <c r="E3379" s="1" t="s">
        <v>6</v>
      </c>
      <c r="F3379" s="1" t="s">
        <v>5091</v>
      </c>
      <c r="G3379" s="14" t="s">
        <v>2400</v>
      </c>
      <c r="H3379" s="1" t="s">
        <v>43</v>
      </c>
      <c r="I3379" s="1" t="s">
        <v>4789</v>
      </c>
    </row>
    <row r="3380" spans="1:9">
      <c r="A3380" s="7" t="s">
        <v>15902</v>
      </c>
      <c r="B3380" s="2" t="s">
        <v>2628</v>
      </c>
      <c r="C3380" s="1">
        <v>199</v>
      </c>
      <c r="D3380" s="1" t="s">
        <v>578</v>
      </c>
      <c r="E3380" s="1" t="s">
        <v>6</v>
      </c>
      <c r="F3380" s="1" t="s">
        <v>5091</v>
      </c>
      <c r="G3380" s="14" t="s">
        <v>2400</v>
      </c>
      <c r="H3380" s="1" t="s">
        <v>43</v>
      </c>
      <c r="I3380" s="1" t="s">
        <v>4789</v>
      </c>
    </row>
    <row r="3381" spans="1:9">
      <c r="A3381" s="7" t="s">
        <v>15907</v>
      </c>
      <c r="B3381" s="2" t="s">
        <v>2628</v>
      </c>
      <c r="C3381" s="1">
        <v>199</v>
      </c>
      <c r="D3381" s="1" t="s">
        <v>578</v>
      </c>
      <c r="E3381" s="1" t="s">
        <v>6</v>
      </c>
      <c r="F3381" s="1" t="s">
        <v>5091</v>
      </c>
      <c r="G3381" s="14" t="s">
        <v>2400</v>
      </c>
      <c r="H3381" s="1" t="s">
        <v>43</v>
      </c>
      <c r="I3381" s="1" t="s">
        <v>4789</v>
      </c>
    </row>
    <row r="3382" spans="1:9">
      <c r="A3382" s="7" t="s">
        <v>15927</v>
      </c>
      <c r="B3382" s="2" t="s">
        <v>2628</v>
      </c>
      <c r="C3382" s="1">
        <v>199</v>
      </c>
      <c r="D3382" s="1" t="s">
        <v>578</v>
      </c>
      <c r="E3382" s="1" t="s">
        <v>6</v>
      </c>
      <c r="F3382" s="1" t="s">
        <v>5091</v>
      </c>
      <c r="G3382" s="14" t="s">
        <v>6196</v>
      </c>
      <c r="H3382" s="1" t="s">
        <v>43</v>
      </c>
      <c r="I3382" s="1" t="s">
        <v>5092</v>
      </c>
    </row>
    <row r="3383" spans="1:9">
      <c r="A3383" s="7" t="s">
        <v>15984</v>
      </c>
      <c r="B3383" s="2" t="s">
        <v>2628</v>
      </c>
      <c r="C3383" s="1">
        <v>199</v>
      </c>
      <c r="D3383" s="1" t="s">
        <v>578</v>
      </c>
      <c r="E3383" s="1" t="s">
        <v>6</v>
      </c>
      <c r="F3383" s="1" t="s">
        <v>5091</v>
      </c>
      <c r="G3383" s="14" t="s">
        <v>2400</v>
      </c>
      <c r="H3383" s="1" t="s">
        <v>43</v>
      </c>
      <c r="I3383" s="1" t="s">
        <v>4789</v>
      </c>
    </row>
    <row r="3384" spans="1:9">
      <c r="A3384" s="7" t="s">
        <v>15990</v>
      </c>
      <c r="B3384" s="2" t="s">
        <v>2628</v>
      </c>
      <c r="C3384" s="1">
        <v>199</v>
      </c>
      <c r="D3384" s="1" t="s">
        <v>578</v>
      </c>
      <c r="E3384" s="1" t="s">
        <v>6</v>
      </c>
      <c r="F3384" s="1" t="s">
        <v>5091</v>
      </c>
      <c r="G3384" s="14" t="s">
        <v>6145</v>
      </c>
      <c r="H3384" s="1" t="s">
        <v>43</v>
      </c>
      <c r="I3384" s="1" t="s">
        <v>5801</v>
      </c>
    </row>
    <row r="3385" spans="1:9">
      <c r="A3385" s="7" t="s">
        <v>15991</v>
      </c>
      <c r="B3385" s="2" t="s">
        <v>2628</v>
      </c>
      <c r="C3385" s="1">
        <v>199</v>
      </c>
      <c r="D3385" s="1" t="s">
        <v>578</v>
      </c>
      <c r="E3385" s="1" t="s">
        <v>6</v>
      </c>
      <c r="F3385" s="1" t="s">
        <v>5091</v>
      </c>
      <c r="G3385" s="14" t="s">
        <v>6145</v>
      </c>
      <c r="H3385" s="1" t="s">
        <v>43</v>
      </c>
      <c r="I3385" s="1" t="s">
        <v>5801</v>
      </c>
    </row>
    <row r="3386" spans="1:9">
      <c r="A3386" s="7" t="s">
        <v>16017</v>
      </c>
      <c r="B3386" s="2" t="s">
        <v>2628</v>
      </c>
      <c r="C3386" s="1">
        <v>199</v>
      </c>
      <c r="D3386" s="1" t="s">
        <v>578</v>
      </c>
      <c r="E3386" s="1" t="s">
        <v>6</v>
      </c>
      <c r="F3386" s="1" t="s">
        <v>5091</v>
      </c>
      <c r="G3386" s="14" t="s">
        <v>16018</v>
      </c>
      <c r="H3386" s="1" t="s">
        <v>44</v>
      </c>
      <c r="I3386" s="17" t="s">
        <v>5483</v>
      </c>
    </row>
    <row r="3387" spans="1:9">
      <c r="A3387" s="7" t="s">
        <v>16030</v>
      </c>
      <c r="B3387" s="2" t="s">
        <v>2628</v>
      </c>
      <c r="C3387" s="1">
        <v>199</v>
      </c>
      <c r="D3387" s="1" t="s">
        <v>578</v>
      </c>
      <c r="E3387" s="1" t="s">
        <v>6</v>
      </c>
      <c r="F3387" s="1" t="s">
        <v>5091</v>
      </c>
      <c r="G3387" s="14" t="s">
        <v>10599</v>
      </c>
      <c r="H3387" s="1" t="s">
        <v>44</v>
      </c>
      <c r="I3387" s="17">
        <v>40554</v>
      </c>
    </row>
    <row r="3388" spans="1:9">
      <c r="A3388" s="7" t="s">
        <v>16037</v>
      </c>
      <c r="B3388" s="2" t="s">
        <v>2628</v>
      </c>
      <c r="C3388" s="1">
        <v>199</v>
      </c>
      <c r="D3388" s="1" t="s">
        <v>578</v>
      </c>
      <c r="E3388" s="1" t="s">
        <v>6</v>
      </c>
      <c r="F3388" s="1" t="s">
        <v>5091</v>
      </c>
      <c r="G3388" s="14" t="s">
        <v>6145</v>
      </c>
      <c r="H3388" s="1" t="s">
        <v>43</v>
      </c>
      <c r="I3388" s="1">
        <v>2009</v>
      </c>
    </row>
    <row r="3389" spans="1:9">
      <c r="A3389" s="7" t="s">
        <v>16099</v>
      </c>
      <c r="B3389" s="2" t="s">
        <v>2628</v>
      </c>
      <c r="C3389" s="1">
        <v>199</v>
      </c>
      <c r="D3389" s="1" t="s">
        <v>578</v>
      </c>
      <c r="E3389" s="1" t="s">
        <v>6</v>
      </c>
      <c r="F3389" s="1" t="s">
        <v>5091</v>
      </c>
      <c r="G3389" s="14" t="s">
        <v>6139</v>
      </c>
      <c r="H3389" s="1" t="s">
        <v>43</v>
      </c>
      <c r="I3389" s="1" t="s">
        <v>5642</v>
      </c>
    </row>
    <row r="3390" spans="1:9" ht="31.2">
      <c r="A3390" s="16" t="s">
        <v>16100</v>
      </c>
      <c r="B3390" s="1" t="s">
        <v>2628</v>
      </c>
      <c r="C3390" s="1">
        <v>199</v>
      </c>
      <c r="D3390" s="1" t="s">
        <v>578</v>
      </c>
      <c r="E3390" s="1" t="s">
        <v>6</v>
      </c>
      <c r="F3390" s="1" t="s">
        <v>5091</v>
      </c>
      <c r="G3390" s="14" t="s">
        <v>6145</v>
      </c>
      <c r="H3390" s="1" t="s">
        <v>43</v>
      </c>
      <c r="I3390" s="17">
        <v>39546</v>
      </c>
    </row>
    <row r="3391" spans="1:9">
      <c r="A3391" s="7" t="s">
        <v>16101</v>
      </c>
      <c r="B3391" s="2" t="s">
        <v>2628</v>
      </c>
      <c r="C3391" s="1">
        <v>199</v>
      </c>
      <c r="D3391" s="1" t="s">
        <v>578</v>
      </c>
      <c r="E3391" s="1" t="s">
        <v>6</v>
      </c>
      <c r="F3391" s="1" t="s">
        <v>5091</v>
      </c>
      <c r="G3391" s="14" t="s">
        <v>10599</v>
      </c>
      <c r="H3391" s="1" t="s">
        <v>44</v>
      </c>
      <c r="I3391" s="17">
        <v>40554</v>
      </c>
    </row>
    <row r="3392" spans="1:9">
      <c r="A3392" s="7" t="s">
        <v>16102</v>
      </c>
      <c r="B3392" s="2" t="s">
        <v>2628</v>
      </c>
      <c r="C3392" s="1">
        <v>199</v>
      </c>
      <c r="D3392" s="1" t="s">
        <v>578</v>
      </c>
      <c r="E3392" s="1" t="s">
        <v>6</v>
      </c>
      <c r="F3392" s="1" t="s">
        <v>5091</v>
      </c>
      <c r="G3392" s="14" t="s">
        <v>6145</v>
      </c>
      <c r="H3392" s="1" t="s">
        <v>43</v>
      </c>
      <c r="I3392" s="1">
        <v>2009</v>
      </c>
    </row>
    <row r="3393" spans="1:10">
      <c r="A3393" s="7" t="s">
        <v>16103</v>
      </c>
      <c r="B3393" s="2" t="s">
        <v>2628</v>
      </c>
      <c r="C3393" s="1">
        <v>199</v>
      </c>
      <c r="D3393" s="1" t="s">
        <v>578</v>
      </c>
      <c r="E3393" s="1" t="s">
        <v>6</v>
      </c>
      <c r="F3393" s="1" t="s">
        <v>5091</v>
      </c>
      <c r="G3393" s="14" t="s">
        <v>6145</v>
      </c>
      <c r="H3393" s="1" t="s">
        <v>43</v>
      </c>
      <c r="I3393" s="1">
        <v>2009</v>
      </c>
    </row>
    <row r="3394" spans="1:10">
      <c r="A3394" s="7" t="s">
        <v>16138</v>
      </c>
      <c r="B3394" s="2" t="s">
        <v>2628</v>
      </c>
      <c r="C3394" s="1">
        <v>199</v>
      </c>
      <c r="D3394" s="1" t="s">
        <v>578</v>
      </c>
      <c r="E3394" s="1" t="s">
        <v>6</v>
      </c>
      <c r="F3394" s="1" t="s">
        <v>5091</v>
      </c>
      <c r="G3394" s="14" t="s">
        <v>6139</v>
      </c>
      <c r="H3394" s="1" t="s">
        <v>43</v>
      </c>
      <c r="I3394" s="1" t="s">
        <v>5807</v>
      </c>
    </row>
    <row r="3395" spans="1:10">
      <c r="A3395" s="7" t="s">
        <v>16139</v>
      </c>
      <c r="B3395" s="2" t="s">
        <v>2628</v>
      </c>
      <c r="C3395" s="1">
        <v>199</v>
      </c>
      <c r="D3395" s="1" t="s">
        <v>578</v>
      </c>
      <c r="E3395" s="1" t="s">
        <v>6</v>
      </c>
      <c r="F3395" s="1" t="s">
        <v>5091</v>
      </c>
      <c r="G3395" s="14" t="s">
        <v>6139</v>
      </c>
      <c r="H3395" s="1" t="s">
        <v>43</v>
      </c>
      <c r="I3395" s="1" t="s">
        <v>5807</v>
      </c>
    </row>
    <row r="3396" spans="1:10">
      <c r="A3396" s="7" t="s">
        <v>16140</v>
      </c>
      <c r="B3396" s="2" t="s">
        <v>2628</v>
      </c>
      <c r="C3396" s="1">
        <v>199</v>
      </c>
      <c r="D3396" s="1" t="s">
        <v>578</v>
      </c>
      <c r="E3396" s="1" t="s">
        <v>6</v>
      </c>
      <c r="F3396" s="1" t="s">
        <v>5091</v>
      </c>
      <c r="G3396" s="14" t="s">
        <v>6139</v>
      </c>
      <c r="H3396" s="1" t="s">
        <v>43</v>
      </c>
      <c r="I3396" s="1" t="s">
        <v>5807</v>
      </c>
    </row>
    <row r="3397" spans="1:10">
      <c r="A3397" s="7" t="s">
        <v>16141</v>
      </c>
      <c r="B3397" s="2" t="s">
        <v>2628</v>
      </c>
      <c r="C3397" s="1">
        <v>199</v>
      </c>
      <c r="D3397" s="1" t="s">
        <v>578</v>
      </c>
      <c r="E3397" s="1" t="s">
        <v>6</v>
      </c>
      <c r="F3397" s="1" t="s">
        <v>5091</v>
      </c>
      <c r="G3397" s="14" t="s">
        <v>6139</v>
      </c>
      <c r="H3397" s="1" t="s">
        <v>43</v>
      </c>
      <c r="I3397" s="1" t="s">
        <v>5807</v>
      </c>
    </row>
    <row r="3398" spans="1:10">
      <c r="A3398" s="7" t="s">
        <v>16261</v>
      </c>
      <c r="B3398" s="2" t="s">
        <v>2628</v>
      </c>
      <c r="C3398" s="1">
        <v>199</v>
      </c>
      <c r="D3398" s="1" t="s">
        <v>578</v>
      </c>
      <c r="E3398" s="1" t="s">
        <v>6</v>
      </c>
      <c r="F3398" s="1" t="s">
        <v>5091</v>
      </c>
      <c r="G3398" s="14" t="s">
        <v>16262</v>
      </c>
      <c r="H3398" s="1" t="s">
        <v>5</v>
      </c>
      <c r="I3398" s="1" t="s">
        <v>5807</v>
      </c>
      <c r="J3398" s="17"/>
    </row>
    <row r="3399" spans="1:10">
      <c r="A3399" s="7" t="s">
        <v>16418</v>
      </c>
      <c r="B3399" s="1" t="s">
        <v>2628</v>
      </c>
      <c r="C3399" s="1">
        <v>199</v>
      </c>
      <c r="D3399" s="1" t="s">
        <v>578</v>
      </c>
      <c r="E3399" s="1" t="s">
        <v>6</v>
      </c>
      <c r="F3399" s="1" t="s">
        <v>5091</v>
      </c>
      <c r="G3399" s="1" t="s">
        <v>10705</v>
      </c>
      <c r="H3399" s="1" t="s">
        <v>44</v>
      </c>
      <c r="I3399" s="1" t="s">
        <v>5483</v>
      </c>
    </row>
    <row r="3400" spans="1:10">
      <c r="A3400" s="7" t="s">
        <v>16551</v>
      </c>
      <c r="B3400" s="2" t="s">
        <v>2628</v>
      </c>
      <c r="C3400" s="1">
        <v>199</v>
      </c>
      <c r="D3400" s="1" t="s">
        <v>578</v>
      </c>
      <c r="E3400" s="1" t="s">
        <v>6</v>
      </c>
      <c r="F3400" s="1" t="s">
        <v>5091</v>
      </c>
      <c r="G3400" s="22" t="s">
        <v>6181</v>
      </c>
      <c r="H3400" s="2" t="s">
        <v>118</v>
      </c>
      <c r="I3400" s="1" t="s">
        <v>4458</v>
      </c>
    </row>
    <row r="3401" spans="1:10">
      <c r="A3401" s="7" t="s">
        <v>16552</v>
      </c>
      <c r="B3401" s="2" t="s">
        <v>2628</v>
      </c>
      <c r="C3401" s="1">
        <v>199</v>
      </c>
      <c r="D3401" s="1" t="s">
        <v>578</v>
      </c>
      <c r="E3401" s="1" t="s">
        <v>6</v>
      </c>
      <c r="F3401" s="1" t="s">
        <v>5091</v>
      </c>
      <c r="G3401" s="22" t="s">
        <v>6181</v>
      </c>
      <c r="H3401" s="2" t="s">
        <v>118</v>
      </c>
      <c r="I3401" s="1" t="s">
        <v>4458</v>
      </c>
    </row>
    <row r="3402" spans="1:10">
      <c r="A3402" s="7" t="s">
        <v>16555</v>
      </c>
      <c r="B3402" s="2" t="s">
        <v>2628</v>
      </c>
      <c r="C3402" s="1">
        <v>199</v>
      </c>
      <c r="D3402" s="1" t="s">
        <v>578</v>
      </c>
      <c r="E3402" s="1" t="s">
        <v>6</v>
      </c>
      <c r="F3402" s="1" t="s">
        <v>5091</v>
      </c>
      <c r="G3402" s="14" t="s">
        <v>16556</v>
      </c>
      <c r="H3402" s="1" t="s">
        <v>43</v>
      </c>
      <c r="I3402" s="1" t="s">
        <v>5807</v>
      </c>
      <c r="J3402" s="11"/>
    </row>
    <row r="3403" spans="1:10">
      <c r="A3403" s="7" t="s">
        <v>16557</v>
      </c>
      <c r="B3403" s="2" t="s">
        <v>2628</v>
      </c>
      <c r="C3403" s="1">
        <v>199</v>
      </c>
      <c r="D3403" s="1" t="s">
        <v>578</v>
      </c>
      <c r="E3403" s="1" t="s">
        <v>6</v>
      </c>
      <c r="F3403" s="1" t="s">
        <v>5091</v>
      </c>
      <c r="G3403" s="14" t="s">
        <v>16556</v>
      </c>
      <c r="H3403" s="1" t="s">
        <v>43</v>
      </c>
      <c r="I3403" s="1" t="s">
        <v>5807</v>
      </c>
    </row>
    <row r="3404" spans="1:10">
      <c r="A3404" s="7" t="s">
        <v>16586</v>
      </c>
      <c r="B3404" s="2" t="s">
        <v>2628</v>
      </c>
      <c r="C3404" s="1">
        <v>199</v>
      </c>
      <c r="D3404" s="1" t="s">
        <v>578</v>
      </c>
      <c r="E3404" s="1" t="s">
        <v>6</v>
      </c>
      <c r="F3404" s="1" t="s">
        <v>5091</v>
      </c>
      <c r="G3404" s="14" t="s">
        <v>16556</v>
      </c>
      <c r="H3404" s="1" t="s">
        <v>43</v>
      </c>
      <c r="I3404" s="1" t="s">
        <v>5807</v>
      </c>
    </row>
    <row r="3405" spans="1:10">
      <c r="A3405" s="7" t="s">
        <v>16587</v>
      </c>
      <c r="B3405" s="2" t="s">
        <v>2628</v>
      </c>
      <c r="C3405" s="1">
        <v>199</v>
      </c>
      <c r="D3405" s="1" t="s">
        <v>578</v>
      </c>
      <c r="E3405" s="1" t="s">
        <v>6</v>
      </c>
      <c r="F3405" s="1" t="s">
        <v>5091</v>
      </c>
      <c r="G3405" s="14" t="s">
        <v>16556</v>
      </c>
      <c r="H3405" s="1" t="s">
        <v>43</v>
      </c>
      <c r="I3405" s="1" t="s">
        <v>5807</v>
      </c>
    </row>
    <row r="3406" spans="1:10">
      <c r="A3406" s="7" t="s">
        <v>16588</v>
      </c>
      <c r="B3406" s="2" t="s">
        <v>2628</v>
      </c>
      <c r="C3406" s="1">
        <v>199</v>
      </c>
      <c r="D3406" s="1" t="s">
        <v>578</v>
      </c>
      <c r="E3406" s="1" t="s">
        <v>6</v>
      </c>
      <c r="F3406" s="1" t="s">
        <v>5091</v>
      </c>
      <c r="G3406" s="14" t="s">
        <v>16556</v>
      </c>
      <c r="H3406" s="1" t="s">
        <v>43</v>
      </c>
      <c r="I3406" s="1" t="s">
        <v>5807</v>
      </c>
    </row>
    <row r="3407" spans="1:10">
      <c r="A3407" s="7" t="s">
        <v>16589</v>
      </c>
      <c r="B3407" s="2" t="s">
        <v>2628</v>
      </c>
      <c r="C3407" s="1">
        <v>199</v>
      </c>
      <c r="D3407" s="1" t="s">
        <v>578</v>
      </c>
      <c r="E3407" s="1" t="s">
        <v>6</v>
      </c>
      <c r="F3407" s="1" t="s">
        <v>5091</v>
      </c>
      <c r="G3407" s="14" t="s">
        <v>16556</v>
      </c>
      <c r="H3407" s="1" t="s">
        <v>43</v>
      </c>
      <c r="I3407" s="1" t="s">
        <v>5807</v>
      </c>
    </row>
    <row r="3408" spans="1:10">
      <c r="A3408" s="7" t="s">
        <v>16590</v>
      </c>
      <c r="B3408" s="2" t="s">
        <v>2628</v>
      </c>
      <c r="C3408" s="1">
        <v>199</v>
      </c>
      <c r="D3408" s="1" t="s">
        <v>578</v>
      </c>
      <c r="E3408" s="1" t="s">
        <v>6</v>
      </c>
      <c r="F3408" s="1" t="s">
        <v>5091</v>
      </c>
      <c r="G3408" s="14" t="s">
        <v>16556</v>
      </c>
      <c r="H3408" s="1" t="s">
        <v>43</v>
      </c>
      <c r="I3408" s="1" t="s">
        <v>5807</v>
      </c>
    </row>
    <row r="3409" spans="1:9">
      <c r="A3409" s="7" t="s">
        <v>16591</v>
      </c>
      <c r="B3409" s="2" t="s">
        <v>2628</v>
      </c>
      <c r="C3409" s="1">
        <v>199</v>
      </c>
      <c r="D3409" s="1" t="s">
        <v>578</v>
      </c>
      <c r="E3409" s="1" t="s">
        <v>6</v>
      </c>
      <c r="F3409" s="1" t="s">
        <v>5091</v>
      </c>
      <c r="G3409" s="14" t="s">
        <v>16556</v>
      </c>
      <c r="H3409" s="1" t="s">
        <v>43</v>
      </c>
      <c r="I3409" s="1" t="s">
        <v>5807</v>
      </c>
    </row>
    <row r="3410" spans="1:9">
      <c r="A3410" s="7" t="s">
        <v>16592</v>
      </c>
      <c r="B3410" s="2" t="s">
        <v>2628</v>
      </c>
      <c r="C3410" s="1">
        <v>199</v>
      </c>
      <c r="D3410" s="1" t="s">
        <v>578</v>
      </c>
      <c r="E3410" s="1" t="s">
        <v>6</v>
      </c>
      <c r="F3410" s="1" t="s">
        <v>5091</v>
      </c>
      <c r="G3410" s="14" t="s">
        <v>16556</v>
      </c>
      <c r="H3410" s="1" t="s">
        <v>43</v>
      </c>
      <c r="I3410" s="1" t="s">
        <v>5807</v>
      </c>
    </row>
    <row r="3411" spans="1:9">
      <c r="A3411" s="7" t="s">
        <v>16593</v>
      </c>
      <c r="B3411" s="2" t="s">
        <v>2628</v>
      </c>
      <c r="C3411" s="1">
        <v>199</v>
      </c>
      <c r="D3411" s="1" t="s">
        <v>578</v>
      </c>
      <c r="E3411" s="1" t="s">
        <v>6</v>
      </c>
      <c r="F3411" s="1" t="s">
        <v>5091</v>
      </c>
      <c r="G3411" s="14" t="s">
        <v>16556</v>
      </c>
      <c r="H3411" s="1" t="s">
        <v>43</v>
      </c>
      <c r="I3411" s="1" t="s">
        <v>5807</v>
      </c>
    </row>
    <row r="3412" spans="1:9">
      <c r="A3412" s="7" t="s">
        <v>16594</v>
      </c>
      <c r="B3412" s="2" t="s">
        <v>2628</v>
      </c>
      <c r="C3412" s="1">
        <v>199</v>
      </c>
      <c r="D3412" s="1" t="s">
        <v>578</v>
      </c>
      <c r="E3412" s="1" t="s">
        <v>6</v>
      </c>
      <c r="F3412" s="1" t="s">
        <v>5091</v>
      </c>
      <c r="G3412" s="14" t="s">
        <v>16556</v>
      </c>
      <c r="H3412" s="1" t="s">
        <v>43</v>
      </c>
      <c r="I3412" s="1" t="s">
        <v>5807</v>
      </c>
    </row>
    <row r="3413" spans="1:9">
      <c r="A3413" s="7" t="s">
        <v>16599</v>
      </c>
      <c r="B3413" s="2" t="s">
        <v>2628</v>
      </c>
      <c r="C3413" s="1">
        <v>199</v>
      </c>
      <c r="D3413" s="1" t="s">
        <v>578</v>
      </c>
      <c r="E3413" s="1" t="s">
        <v>6</v>
      </c>
      <c r="F3413" s="1" t="s">
        <v>5091</v>
      </c>
      <c r="G3413" s="14" t="s">
        <v>16556</v>
      </c>
      <c r="H3413" s="1" t="s">
        <v>43</v>
      </c>
      <c r="I3413" s="1" t="s">
        <v>5807</v>
      </c>
    </row>
    <row r="3414" spans="1:9">
      <c r="A3414" s="7" t="s">
        <v>16640</v>
      </c>
      <c r="B3414" s="2" t="s">
        <v>2628</v>
      </c>
      <c r="C3414" s="1">
        <v>199</v>
      </c>
      <c r="D3414" s="1" t="s">
        <v>578</v>
      </c>
      <c r="E3414" s="1" t="s">
        <v>6</v>
      </c>
      <c r="F3414" s="1" t="s">
        <v>5091</v>
      </c>
      <c r="G3414" s="22" t="s">
        <v>6181</v>
      </c>
      <c r="H3414" s="2" t="s">
        <v>118</v>
      </c>
      <c r="I3414" s="1" t="s">
        <v>4458</v>
      </c>
    </row>
    <row r="3415" spans="1:9">
      <c r="A3415" s="7" t="s">
        <v>16648</v>
      </c>
      <c r="B3415" s="2" t="s">
        <v>2628</v>
      </c>
      <c r="C3415" s="1">
        <v>199</v>
      </c>
      <c r="D3415" s="1" t="s">
        <v>578</v>
      </c>
      <c r="E3415" s="1" t="s">
        <v>6</v>
      </c>
      <c r="F3415" s="1" t="s">
        <v>5091</v>
      </c>
      <c r="G3415" s="14" t="s">
        <v>16556</v>
      </c>
      <c r="H3415" s="1" t="s">
        <v>43</v>
      </c>
      <c r="I3415" s="1" t="s">
        <v>5807</v>
      </c>
    </row>
    <row r="3416" spans="1:9">
      <c r="A3416" s="7" t="s">
        <v>16701</v>
      </c>
      <c r="B3416" s="2" t="s">
        <v>2628</v>
      </c>
      <c r="C3416" s="1">
        <v>199</v>
      </c>
      <c r="D3416" s="1" t="s">
        <v>578</v>
      </c>
      <c r="E3416" s="1" t="s">
        <v>6</v>
      </c>
      <c r="F3416" s="1" t="s">
        <v>5091</v>
      </c>
      <c r="G3416" s="14" t="s">
        <v>6139</v>
      </c>
      <c r="H3416" s="1" t="s">
        <v>43</v>
      </c>
      <c r="I3416" s="1" t="s">
        <v>5807</v>
      </c>
    </row>
    <row r="3417" spans="1:9">
      <c r="A3417" s="7" t="s">
        <v>16832</v>
      </c>
      <c r="B3417" s="2" t="s">
        <v>2628</v>
      </c>
      <c r="C3417" s="1">
        <v>199</v>
      </c>
      <c r="D3417" s="1" t="s">
        <v>578</v>
      </c>
      <c r="E3417" s="1" t="s">
        <v>6</v>
      </c>
      <c r="F3417" s="1" t="s">
        <v>5091</v>
      </c>
      <c r="G3417" s="14" t="s">
        <v>6139</v>
      </c>
      <c r="H3417" s="1" t="s">
        <v>43</v>
      </c>
      <c r="I3417" s="1" t="s">
        <v>5807</v>
      </c>
    </row>
    <row r="3418" spans="1:9">
      <c r="A3418" s="16" t="s">
        <v>5533</v>
      </c>
      <c r="B3418" s="1" t="s">
        <v>2628</v>
      </c>
      <c r="C3418" s="1">
        <v>2</v>
      </c>
      <c r="D3418" s="1" t="s">
        <v>16</v>
      </c>
      <c r="E3418" s="1" t="s">
        <v>10</v>
      </c>
      <c r="F3418" s="1" t="s">
        <v>2699</v>
      </c>
      <c r="G3418" s="14" t="s">
        <v>27</v>
      </c>
      <c r="H3418" s="1" t="s">
        <v>27</v>
      </c>
      <c r="I3418" s="17">
        <v>40909</v>
      </c>
    </row>
    <row r="3419" spans="1:9">
      <c r="A3419" s="16" t="s">
        <v>6425</v>
      </c>
      <c r="B3419" s="1" t="s">
        <v>2628</v>
      </c>
      <c r="C3419" s="1">
        <v>2</v>
      </c>
      <c r="D3419" s="1" t="s">
        <v>16</v>
      </c>
      <c r="E3419" s="1" t="s">
        <v>10</v>
      </c>
      <c r="F3419" s="1" t="s">
        <v>5091</v>
      </c>
      <c r="G3419" s="14" t="s">
        <v>5853</v>
      </c>
      <c r="H3419" s="1" t="s">
        <v>27</v>
      </c>
      <c r="I3419" s="17">
        <v>41571</v>
      </c>
    </row>
    <row r="3420" spans="1:9">
      <c r="A3420" s="7" t="s">
        <v>6759</v>
      </c>
      <c r="B3420" s="1" t="s">
        <v>2628</v>
      </c>
      <c r="C3420" s="1">
        <v>2</v>
      </c>
      <c r="D3420" s="1" t="s">
        <v>16</v>
      </c>
      <c r="E3420" s="1" t="s">
        <v>10</v>
      </c>
      <c r="F3420" s="1" t="s">
        <v>5241</v>
      </c>
      <c r="G3420" s="1" t="s">
        <v>4800</v>
      </c>
      <c r="H3420" s="1" t="s">
        <v>27</v>
      </c>
      <c r="I3420" s="1" t="s">
        <v>5855</v>
      </c>
    </row>
    <row r="3421" spans="1:9">
      <c r="A3421" s="7" t="s">
        <v>6865</v>
      </c>
      <c r="B3421" s="1" t="s">
        <v>2628</v>
      </c>
      <c r="C3421" s="1">
        <v>2</v>
      </c>
      <c r="D3421" s="1" t="s">
        <v>16</v>
      </c>
      <c r="E3421" s="1" t="s">
        <v>10</v>
      </c>
      <c r="F3421" s="1" t="s">
        <v>5241</v>
      </c>
      <c r="G3421" s="1" t="s">
        <v>4800</v>
      </c>
      <c r="H3421" s="1" t="s">
        <v>27</v>
      </c>
      <c r="I3421" s="1" t="s">
        <v>5855</v>
      </c>
    </row>
    <row r="3422" spans="1:9">
      <c r="A3422" s="7" t="s">
        <v>7465</v>
      </c>
      <c r="B3422" s="1" t="s">
        <v>2628</v>
      </c>
      <c r="C3422" s="1">
        <v>2</v>
      </c>
      <c r="D3422" s="1" t="s">
        <v>16</v>
      </c>
      <c r="E3422" s="1" t="s">
        <v>10</v>
      </c>
      <c r="F3422" s="1" t="s">
        <v>5241</v>
      </c>
      <c r="G3422" s="1" t="s">
        <v>4800</v>
      </c>
      <c r="H3422" s="1" t="s">
        <v>27</v>
      </c>
      <c r="I3422" s="1" t="s">
        <v>6844</v>
      </c>
    </row>
    <row r="3423" spans="1:9">
      <c r="A3423" s="16" t="s">
        <v>8406</v>
      </c>
      <c r="B3423" s="1" t="s">
        <v>2628</v>
      </c>
      <c r="C3423" s="1">
        <v>2</v>
      </c>
      <c r="D3423" s="1" t="s">
        <v>16</v>
      </c>
      <c r="E3423" s="1" t="s">
        <v>10</v>
      </c>
      <c r="F3423" s="1" t="s">
        <v>5091</v>
      </c>
      <c r="G3423" s="14" t="s">
        <v>5853</v>
      </c>
      <c r="H3423" s="1" t="s">
        <v>27</v>
      </c>
      <c r="I3423" s="1" t="s">
        <v>4458</v>
      </c>
    </row>
    <row r="3424" spans="1:9">
      <c r="A3424" s="16" t="s">
        <v>9069</v>
      </c>
      <c r="B3424" s="1" t="s">
        <v>2628</v>
      </c>
      <c r="C3424" s="1">
        <v>2</v>
      </c>
      <c r="D3424" s="1" t="s">
        <v>16</v>
      </c>
      <c r="E3424" s="1" t="s">
        <v>10</v>
      </c>
      <c r="F3424" s="1" t="s">
        <v>5091</v>
      </c>
      <c r="G3424" s="14" t="s">
        <v>9070</v>
      </c>
      <c r="H3424" s="1" t="s">
        <v>27</v>
      </c>
      <c r="I3424" s="17">
        <v>42005</v>
      </c>
    </row>
    <row r="3425" spans="1:9">
      <c r="A3425" s="16" t="s">
        <v>9402</v>
      </c>
      <c r="B3425" s="1" t="s">
        <v>2628</v>
      </c>
      <c r="C3425" s="1">
        <v>2</v>
      </c>
      <c r="D3425" s="1" t="s">
        <v>16</v>
      </c>
      <c r="E3425" s="1" t="s">
        <v>10</v>
      </c>
      <c r="F3425" s="1" t="s">
        <v>5091</v>
      </c>
      <c r="G3425" s="14" t="s">
        <v>5853</v>
      </c>
      <c r="H3425" s="1" t="s">
        <v>27</v>
      </c>
      <c r="I3425" s="17">
        <v>42186</v>
      </c>
    </row>
    <row r="3426" spans="1:9">
      <c r="A3426" s="16" t="s">
        <v>9916</v>
      </c>
      <c r="B3426" s="1" t="s">
        <v>2628</v>
      </c>
      <c r="C3426" s="1">
        <v>2</v>
      </c>
      <c r="D3426" s="1" t="s">
        <v>16</v>
      </c>
      <c r="E3426" s="1" t="s">
        <v>10</v>
      </c>
      <c r="F3426" s="1" t="s">
        <v>5091</v>
      </c>
      <c r="G3426" s="14" t="s">
        <v>9917</v>
      </c>
      <c r="H3426" s="1" t="s">
        <v>27</v>
      </c>
      <c r="I3426" s="17">
        <v>42309</v>
      </c>
    </row>
    <row r="3427" spans="1:9">
      <c r="A3427" s="16" t="s">
        <v>10204</v>
      </c>
      <c r="B3427" s="1" t="s">
        <v>2628</v>
      </c>
      <c r="C3427" s="1">
        <v>2</v>
      </c>
      <c r="D3427" s="1" t="s">
        <v>16</v>
      </c>
      <c r="E3427" s="1" t="s">
        <v>10</v>
      </c>
      <c r="F3427" s="1" t="s">
        <v>36</v>
      </c>
      <c r="G3427" s="14" t="s">
        <v>10205</v>
      </c>
      <c r="H3427" s="1" t="s">
        <v>27</v>
      </c>
      <c r="I3427" s="17">
        <v>39448</v>
      </c>
    </row>
    <row r="3428" spans="1:9">
      <c r="A3428" s="16" t="s">
        <v>13584</v>
      </c>
      <c r="B3428" s="1" t="s">
        <v>2628</v>
      </c>
      <c r="C3428" s="1">
        <v>2</v>
      </c>
      <c r="D3428" s="1" t="s">
        <v>16</v>
      </c>
      <c r="E3428" s="1" t="s">
        <v>10</v>
      </c>
      <c r="F3428" s="1" t="s">
        <v>5091</v>
      </c>
      <c r="G3428" s="14" t="s">
        <v>27</v>
      </c>
      <c r="H3428" s="1" t="s">
        <v>27</v>
      </c>
      <c r="I3428" s="1" t="s">
        <v>4458</v>
      </c>
    </row>
    <row r="3429" spans="1:9">
      <c r="A3429" s="16" t="s">
        <v>13704</v>
      </c>
      <c r="B3429" s="1" t="s">
        <v>2628</v>
      </c>
      <c r="C3429" s="1">
        <v>2</v>
      </c>
      <c r="D3429" s="1" t="s">
        <v>16</v>
      </c>
      <c r="E3429" s="1" t="s">
        <v>10</v>
      </c>
      <c r="F3429" s="1" t="s">
        <v>5091</v>
      </c>
      <c r="G3429" s="14" t="s">
        <v>5853</v>
      </c>
      <c r="H3429" s="1" t="s">
        <v>27</v>
      </c>
      <c r="I3429" s="17">
        <v>42887</v>
      </c>
    </row>
    <row r="3430" spans="1:9">
      <c r="A3430" s="16" t="s">
        <v>14059</v>
      </c>
      <c r="B3430" s="1" t="s">
        <v>2628</v>
      </c>
      <c r="C3430" s="1">
        <v>2</v>
      </c>
      <c r="D3430" s="1" t="s">
        <v>16</v>
      </c>
      <c r="E3430" s="1" t="s">
        <v>10</v>
      </c>
      <c r="F3430" s="1" t="s">
        <v>5241</v>
      </c>
      <c r="G3430" s="14" t="s">
        <v>4800</v>
      </c>
      <c r="H3430" s="1" t="s">
        <v>27</v>
      </c>
      <c r="I3430" s="17">
        <v>40725</v>
      </c>
    </row>
    <row r="3431" spans="1:9">
      <c r="A3431" s="16" t="s">
        <v>14291</v>
      </c>
      <c r="B3431" s="1" t="s">
        <v>2628</v>
      </c>
      <c r="C3431" s="1">
        <v>2</v>
      </c>
      <c r="D3431" s="1" t="s">
        <v>16</v>
      </c>
      <c r="E3431" s="1" t="s">
        <v>10</v>
      </c>
      <c r="F3431" s="1" t="s">
        <v>5241</v>
      </c>
      <c r="G3431" s="14" t="s">
        <v>4800</v>
      </c>
      <c r="H3431" s="1" t="s">
        <v>27</v>
      </c>
      <c r="I3431" s="17">
        <v>42675</v>
      </c>
    </row>
    <row r="3432" spans="1:9">
      <c r="A3432" s="7" t="s">
        <v>14456</v>
      </c>
      <c r="B3432" s="2" t="s">
        <v>2628</v>
      </c>
      <c r="C3432" s="1">
        <v>2</v>
      </c>
      <c r="D3432" s="1" t="s">
        <v>16</v>
      </c>
      <c r="E3432" s="1" t="s">
        <v>10</v>
      </c>
      <c r="F3432" s="2" t="s">
        <v>118</v>
      </c>
      <c r="G3432" s="14" t="s">
        <v>4800</v>
      </c>
      <c r="H3432" s="1" t="s">
        <v>27</v>
      </c>
      <c r="I3432" s="1" t="s">
        <v>4789</v>
      </c>
    </row>
    <row r="3433" spans="1:9">
      <c r="A3433" s="16" t="s">
        <v>14460</v>
      </c>
      <c r="B3433" s="1" t="s">
        <v>2628</v>
      </c>
      <c r="C3433" s="1">
        <v>2</v>
      </c>
      <c r="D3433" s="1" t="s">
        <v>16</v>
      </c>
      <c r="E3433" s="1" t="s">
        <v>10</v>
      </c>
      <c r="F3433" s="1" t="s">
        <v>5091</v>
      </c>
      <c r="G3433" s="14" t="s">
        <v>5853</v>
      </c>
      <c r="H3433" s="1" t="s">
        <v>27</v>
      </c>
      <c r="I3433" s="17">
        <v>43252</v>
      </c>
    </row>
    <row r="3434" spans="1:9">
      <c r="A3434" s="7" t="s">
        <v>16516</v>
      </c>
      <c r="B3434" s="2" t="s">
        <v>2628</v>
      </c>
      <c r="C3434" s="1">
        <v>2</v>
      </c>
      <c r="D3434" s="1" t="s">
        <v>16</v>
      </c>
      <c r="E3434" s="1" t="s">
        <v>10</v>
      </c>
      <c r="F3434" s="1" t="s">
        <v>5241</v>
      </c>
      <c r="G3434" s="14" t="s">
        <v>4800</v>
      </c>
      <c r="H3434" s="1" t="s">
        <v>27</v>
      </c>
      <c r="I3434" s="1" t="s">
        <v>5807</v>
      </c>
    </row>
    <row r="3435" spans="1:9">
      <c r="A3435" s="16" t="s">
        <v>16798</v>
      </c>
      <c r="B3435" s="1" t="s">
        <v>2628</v>
      </c>
      <c r="C3435" s="1">
        <v>2</v>
      </c>
      <c r="D3435" s="1" t="s">
        <v>16</v>
      </c>
      <c r="E3435" s="1" t="s">
        <v>10</v>
      </c>
      <c r="F3435" s="1" t="s">
        <v>5091</v>
      </c>
      <c r="G3435" s="14" t="s">
        <v>5853</v>
      </c>
      <c r="H3435" s="1" t="s">
        <v>27</v>
      </c>
      <c r="I3435" s="1" t="s">
        <v>4458</v>
      </c>
    </row>
    <row r="3436" spans="1:9">
      <c r="A3436" s="16" t="s">
        <v>16799</v>
      </c>
      <c r="B3436" s="1" t="s">
        <v>2628</v>
      </c>
      <c r="C3436" s="1">
        <v>2</v>
      </c>
      <c r="D3436" s="1" t="s">
        <v>16</v>
      </c>
      <c r="E3436" s="1" t="s">
        <v>10</v>
      </c>
      <c r="F3436" s="1" t="s">
        <v>5091</v>
      </c>
      <c r="G3436" s="14" t="s">
        <v>5853</v>
      </c>
      <c r="H3436" s="1" t="s">
        <v>27</v>
      </c>
      <c r="I3436" s="1" t="s">
        <v>4458</v>
      </c>
    </row>
    <row r="3437" spans="1:9">
      <c r="A3437" s="16" t="s">
        <v>4864</v>
      </c>
      <c r="B3437" s="1" t="s">
        <v>2631</v>
      </c>
      <c r="C3437" s="1">
        <v>2</v>
      </c>
      <c r="D3437" s="1" t="s">
        <v>16</v>
      </c>
      <c r="E3437" s="1" t="s">
        <v>10</v>
      </c>
      <c r="F3437" s="1" t="s">
        <v>2693</v>
      </c>
      <c r="G3437" s="1" t="s">
        <v>4865</v>
      </c>
      <c r="H3437" s="1" t="s">
        <v>44</v>
      </c>
      <c r="I3437" s="17">
        <v>41275</v>
      </c>
    </row>
    <row r="3438" spans="1:9">
      <c r="A3438" s="16" t="s">
        <v>4903</v>
      </c>
      <c r="B3438" s="1" t="s">
        <v>2631</v>
      </c>
      <c r="C3438" s="1">
        <v>2</v>
      </c>
      <c r="D3438" s="1" t="s">
        <v>16</v>
      </c>
      <c r="E3438" s="1" t="s">
        <v>10</v>
      </c>
      <c r="F3438" s="1" t="s">
        <v>2693</v>
      </c>
      <c r="G3438" s="1" t="s">
        <v>4865</v>
      </c>
      <c r="H3438" s="1" t="s">
        <v>44</v>
      </c>
      <c r="I3438" s="17">
        <v>41275</v>
      </c>
    </row>
    <row r="3439" spans="1:9">
      <c r="A3439" s="16" t="s">
        <v>4985</v>
      </c>
      <c r="B3439" s="1" t="s">
        <v>2631</v>
      </c>
      <c r="C3439" s="1">
        <v>2</v>
      </c>
      <c r="D3439" s="1" t="s">
        <v>16</v>
      </c>
      <c r="E3439" s="1" t="s">
        <v>10</v>
      </c>
      <c r="F3439" s="1" t="s">
        <v>118</v>
      </c>
      <c r="G3439" s="14" t="s">
        <v>4458</v>
      </c>
      <c r="H3439" s="1" t="s">
        <v>118</v>
      </c>
      <c r="I3439" s="1" t="s">
        <v>4792</v>
      </c>
    </row>
    <row r="3440" spans="1:9">
      <c r="A3440" s="16" t="s">
        <v>5012</v>
      </c>
      <c r="B3440" s="1" t="s">
        <v>2631</v>
      </c>
      <c r="C3440" s="1">
        <v>2</v>
      </c>
      <c r="D3440" s="1" t="s">
        <v>16</v>
      </c>
      <c r="E3440" s="1" t="s">
        <v>10</v>
      </c>
      <c r="F3440" s="1" t="s">
        <v>118</v>
      </c>
      <c r="G3440" s="14" t="s">
        <v>4458</v>
      </c>
      <c r="H3440" s="1" t="s">
        <v>118</v>
      </c>
      <c r="I3440" s="1" t="s">
        <v>4792</v>
      </c>
    </row>
    <row r="3441" spans="1:10">
      <c r="A3441" s="16" t="s">
        <v>5077</v>
      </c>
      <c r="B3441" s="1" t="s">
        <v>2631</v>
      </c>
      <c r="C3441" s="1">
        <v>2</v>
      </c>
      <c r="D3441" s="1" t="s">
        <v>16</v>
      </c>
      <c r="E3441" s="1" t="s">
        <v>10</v>
      </c>
      <c r="F3441" s="1" t="s">
        <v>2573</v>
      </c>
      <c r="G3441" s="1" t="s">
        <v>5071</v>
      </c>
      <c r="H3441" s="1" t="s">
        <v>118</v>
      </c>
      <c r="I3441" s="17">
        <v>39083</v>
      </c>
    </row>
    <row r="3442" spans="1:10">
      <c r="A3442" s="7" t="s">
        <v>5094</v>
      </c>
      <c r="B3442" s="2" t="s">
        <v>2631</v>
      </c>
      <c r="C3442" s="1">
        <v>2</v>
      </c>
      <c r="D3442" s="1" t="s">
        <v>16</v>
      </c>
      <c r="E3442" s="1" t="s">
        <v>10</v>
      </c>
      <c r="F3442" s="1" t="s">
        <v>139</v>
      </c>
      <c r="G3442" s="14" t="s">
        <v>5088</v>
      </c>
      <c r="H3442" s="1" t="s">
        <v>43</v>
      </c>
      <c r="I3442" s="1" t="s">
        <v>5092</v>
      </c>
    </row>
    <row r="3443" spans="1:10">
      <c r="A3443" s="16" t="s">
        <v>5145</v>
      </c>
      <c r="B3443" s="1" t="s">
        <v>2631</v>
      </c>
      <c r="C3443" s="1">
        <v>2</v>
      </c>
      <c r="D3443" s="1" t="s">
        <v>16</v>
      </c>
      <c r="E3443" s="1" t="s">
        <v>10</v>
      </c>
      <c r="F3443" s="1" t="s">
        <v>2691</v>
      </c>
      <c r="G3443" s="1" t="s">
        <v>5</v>
      </c>
      <c r="H3443" s="1" t="s">
        <v>5</v>
      </c>
      <c r="I3443" s="17">
        <v>39814</v>
      </c>
      <c r="J3443" s="17"/>
    </row>
    <row r="3444" spans="1:10">
      <c r="A3444" s="16" t="s">
        <v>5146</v>
      </c>
      <c r="B3444" s="1" t="s">
        <v>2631</v>
      </c>
      <c r="C3444" s="1">
        <v>2</v>
      </c>
      <c r="D3444" s="1" t="s">
        <v>16</v>
      </c>
      <c r="E3444" s="1" t="s">
        <v>10</v>
      </c>
      <c r="F3444" s="1" t="s">
        <v>2691</v>
      </c>
      <c r="G3444" s="1" t="s">
        <v>5</v>
      </c>
      <c r="H3444" s="1" t="s">
        <v>5</v>
      </c>
      <c r="I3444" s="17">
        <v>39814</v>
      </c>
      <c r="J3444" s="17"/>
    </row>
    <row r="3445" spans="1:10">
      <c r="A3445" s="16" t="s">
        <v>5153</v>
      </c>
      <c r="B3445" s="1" t="s">
        <v>2631</v>
      </c>
      <c r="C3445" s="1">
        <v>2</v>
      </c>
      <c r="D3445" s="1" t="s">
        <v>16</v>
      </c>
      <c r="E3445" s="1" t="s">
        <v>10</v>
      </c>
      <c r="F3445" s="1" t="s">
        <v>2691</v>
      </c>
      <c r="G3445" s="1" t="s">
        <v>5</v>
      </c>
      <c r="H3445" s="1" t="s">
        <v>5</v>
      </c>
      <c r="I3445" s="17">
        <v>40179</v>
      </c>
      <c r="J3445" s="17"/>
    </row>
    <row r="3446" spans="1:10">
      <c r="A3446" s="16" t="s">
        <v>5217</v>
      </c>
      <c r="B3446" s="1" t="s">
        <v>2631</v>
      </c>
      <c r="C3446" s="1">
        <v>1285</v>
      </c>
      <c r="D3446" s="1" t="s">
        <v>16</v>
      </c>
      <c r="E3446" s="1" t="s">
        <v>10</v>
      </c>
      <c r="F3446" s="1" t="s">
        <v>118</v>
      </c>
      <c r="G3446" s="14" t="s">
        <v>4458</v>
      </c>
      <c r="H3446" s="1" t="s">
        <v>118</v>
      </c>
      <c r="I3446" s="1" t="s">
        <v>4792</v>
      </c>
    </row>
    <row r="3447" spans="1:10">
      <c r="A3447" s="16" t="s">
        <v>5337</v>
      </c>
      <c r="B3447" s="1" t="s">
        <v>2631</v>
      </c>
      <c r="C3447" s="1">
        <v>2</v>
      </c>
      <c r="D3447" s="1" t="s">
        <v>16</v>
      </c>
      <c r="E3447" s="1" t="s">
        <v>10</v>
      </c>
      <c r="F3447" s="1" t="s">
        <v>2691</v>
      </c>
      <c r="G3447" s="1" t="s">
        <v>5338</v>
      </c>
      <c r="H3447" s="1" t="s">
        <v>5</v>
      </c>
      <c r="I3447" s="17">
        <v>38353</v>
      </c>
    </row>
    <row r="3448" spans="1:10">
      <c r="A3448" s="16" t="s">
        <v>5345</v>
      </c>
      <c r="B3448" s="1" t="s">
        <v>2631</v>
      </c>
      <c r="C3448" s="1">
        <v>2</v>
      </c>
      <c r="D3448" s="1" t="s">
        <v>16</v>
      </c>
      <c r="E3448" s="1" t="s">
        <v>10</v>
      </c>
      <c r="F3448" s="1" t="s">
        <v>2690</v>
      </c>
      <c r="G3448" s="14" t="s">
        <v>4458</v>
      </c>
      <c r="H3448" s="1" t="s">
        <v>118</v>
      </c>
      <c r="I3448" s="17">
        <v>40291</v>
      </c>
    </row>
    <row r="3449" spans="1:10">
      <c r="A3449" s="16" t="s">
        <v>5355</v>
      </c>
      <c r="B3449" s="1" t="s">
        <v>2631</v>
      </c>
      <c r="C3449" s="1">
        <v>2</v>
      </c>
      <c r="D3449" s="1" t="s">
        <v>16</v>
      </c>
      <c r="E3449" s="1" t="s">
        <v>10</v>
      </c>
      <c r="F3449" s="1" t="s">
        <v>2696</v>
      </c>
      <c r="G3449" s="14" t="s">
        <v>4458</v>
      </c>
      <c r="H3449" s="1" t="s">
        <v>118</v>
      </c>
      <c r="I3449" s="17">
        <v>40179</v>
      </c>
    </row>
    <row r="3450" spans="1:10">
      <c r="A3450" s="16" t="s">
        <v>5373</v>
      </c>
      <c r="B3450" s="1" t="s">
        <v>2631</v>
      </c>
      <c r="C3450" s="1">
        <v>2</v>
      </c>
      <c r="D3450" s="1" t="s">
        <v>16</v>
      </c>
      <c r="E3450" s="1" t="s">
        <v>10</v>
      </c>
      <c r="F3450" s="1" t="s">
        <v>2696</v>
      </c>
      <c r="G3450" s="14" t="s">
        <v>4458</v>
      </c>
      <c r="H3450" s="1" t="s">
        <v>118</v>
      </c>
      <c r="I3450" s="17">
        <v>40909</v>
      </c>
    </row>
    <row r="3451" spans="1:10">
      <c r="A3451" s="16" t="s">
        <v>5376</v>
      </c>
      <c r="B3451" s="1" t="s">
        <v>2631</v>
      </c>
      <c r="C3451" s="1">
        <v>2</v>
      </c>
      <c r="D3451" s="1" t="s">
        <v>16</v>
      </c>
      <c r="E3451" s="1" t="s">
        <v>10</v>
      </c>
      <c r="F3451" s="1" t="s">
        <v>2696</v>
      </c>
      <c r="G3451" s="14" t="s">
        <v>4458</v>
      </c>
      <c r="H3451" s="1" t="s">
        <v>118</v>
      </c>
      <c r="I3451" s="17">
        <v>40909</v>
      </c>
    </row>
    <row r="3452" spans="1:10">
      <c r="A3452" s="16" t="s">
        <v>5395</v>
      </c>
      <c r="B3452" s="1" t="s">
        <v>2631</v>
      </c>
      <c r="C3452" s="1">
        <v>2</v>
      </c>
      <c r="D3452" s="1" t="s">
        <v>16</v>
      </c>
      <c r="E3452" s="1" t="s">
        <v>10</v>
      </c>
      <c r="F3452" s="1" t="s">
        <v>2696</v>
      </c>
      <c r="G3452" s="14" t="s">
        <v>4458</v>
      </c>
      <c r="H3452" s="1" t="s">
        <v>118</v>
      </c>
      <c r="I3452" s="17">
        <v>41640</v>
      </c>
    </row>
    <row r="3453" spans="1:10">
      <c r="A3453" s="16" t="s">
        <v>5475</v>
      </c>
      <c r="B3453" s="1" t="s">
        <v>2631</v>
      </c>
      <c r="C3453" s="1">
        <v>2</v>
      </c>
      <c r="D3453" s="1" t="s">
        <v>16</v>
      </c>
      <c r="E3453" s="1" t="s">
        <v>10</v>
      </c>
      <c r="F3453" s="1" t="s">
        <v>2698</v>
      </c>
      <c r="G3453" s="14" t="s">
        <v>4458</v>
      </c>
      <c r="H3453" s="1" t="s">
        <v>118</v>
      </c>
      <c r="I3453" s="17">
        <v>42005</v>
      </c>
    </row>
    <row r="3454" spans="1:10">
      <c r="A3454" s="21" t="s">
        <v>5519</v>
      </c>
      <c r="B3454" s="13" t="s">
        <v>16954</v>
      </c>
      <c r="C3454" s="13">
        <v>2</v>
      </c>
      <c r="D3454" s="13" t="s">
        <v>16</v>
      </c>
      <c r="E3454" s="13" t="s">
        <v>10</v>
      </c>
      <c r="F3454" s="13" t="s">
        <v>2699</v>
      </c>
      <c r="G3454" s="13" t="s">
        <v>4800</v>
      </c>
      <c r="H3454" s="13" t="s">
        <v>27</v>
      </c>
      <c r="I3454" s="18">
        <v>40544</v>
      </c>
    </row>
    <row r="3455" spans="1:10">
      <c r="A3455" s="16" t="s">
        <v>5521</v>
      </c>
      <c r="B3455" s="1" t="s">
        <v>2631</v>
      </c>
      <c r="C3455" s="1">
        <v>2</v>
      </c>
      <c r="D3455" s="1" t="s">
        <v>16</v>
      </c>
      <c r="E3455" s="1" t="s">
        <v>10</v>
      </c>
      <c r="F3455" s="1" t="s">
        <v>2699</v>
      </c>
      <c r="G3455" s="14" t="s">
        <v>4458</v>
      </c>
      <c r="H3455" s="1" t="s">
        <v>118</v>
      </c>
      <c r="I3455" s="17">
        <v>40544</v>
      </c>
    </row>
    <row r="3456" spans="1:10">
      <c r="A3456" s="16" t="s">
        <v>5590</v>
      </c>
      <c r="B3456" s="1" t="s">
        <v>2631</v>
      </c>
      <c r="C3456" s="1">
        <v>2</v>
      </c>
      <c r="D3456" s="1" t="s">
        <v>16</v>
      </c>
      <c r="E3456" s="1" t="s">
        <v>10</v>
      </c>
      <c r="F3456" s="1" t="s">
        <v>2700</v>
      </c>
      <c r="G3456" s="14" t="s">
        <v>4458</v>
      </c>
      <c r="H3456" s="1" t="s">
        <v>118</v>
      </c>
      <c r="I3456" s="17">
        <v>41640</v>
      </c>
    </row>
    <row r="3457" spans="1:10">
      <c r="A3457" s="16" t="s">
        <v>5610</v>
      </c>
      <c r="B3457" s="1" t="s">
        <v>2628</v>
      </c>
      <c r="C3457" s="1">
        <v>2</v>
      </c>
      <c r="D3457" s="1" t="s">
        <v>16</v>
      </c>
      <c r="E3457" s="1" t="s">
        <v>10</v>
      </c>
      <c r="F3457" s="1" t="s">
        <v>2573</v>
      </c>
      <c r="G3457" s="14" t="s">
        <v>5071</v>
      </c>
      <c r="H3457" s="1" t="s">
        <v>118</v>
      </c>
      <c r="I3457" s="17">
        <v>42005</v>
      </c>
    </row>
    <row r="3458" spans="1:10">
      <c r="A3458" s="7" t="s">
        <v>5782</v>
      </c>
      <c r="B3458" s="2" t="s">
        <v>2631</v>
      </c>
      <c r="C3458" s="1">
        <v>2</v>
      </c>
      <c r="D3458" s="1" t="s">
        <v>16</v>
      </c>
      <c r="E3458" s="1" t="s">
        <v>10</v>
      </c>
      <c r="F3458" s="1" t="s">
        <v>2691</v>
      </c>
      <c r="G3458" s="14" t="s">
        <v>1446</v>
      </c>
      <c r="H3458" s="1" t="s">
        <v>44</v>
      </c>
      <c r="I3458" s="1" t="s">
        <v>5642</v>
      </c>
    </row>
    <row r="3459" spans="1:10">
      <c r="A3459" s="7" t="s">
        <v>5783</v>
      </c>
      <c r="B3459" s="2" t="s">
        <v>2631</v>
      </c>
      <c r="C3459" s="1">
        <v>2</v>
      </c>
      <c r="D3459" s="1" t="s">
        <v>16</v>
      </c>
      <c r="E3459" s="1" t="s">
        <v>10</v>
      </c>
      <c r="F3459" s="1" t="s">
        <v>5091</v>
      </c>
      <c r="G3459" s="14" t="s">
        <v>5781</v>
      </c>
      <c r="H3459" s="1" t="s">
        <v>5</v>
      </c>
      <c r="I3459" s="1" t="s">
        <v>5642</v>
      </c>
    </row>
    <row r="3460" spans="1:10">
      <c r="A3460" s="7" t="s">
        <v>6000</v>
      </c>
      <c r="B3460" s="1" t="s">
        <v>2631</v>
      </c>
      <c r="C3460" s="1">
        <v>2</v>
      </c>
      <c r="D3460" s="1" t="s">
        <v>16</v>
      </c>
      <c r="E3460" s="1" t="s">
        <v>10</v>
      </c>
      <c r="F3460" s="1" t="s">
        <v>2360</v>
      </c>
      <c r="G3460" s="1" t="s">
        <v>5</v>
      </c>
      <c r="H3460" s="1" t="s">
        <v>5</v>
      </c>
      <c r="I3460" s="1" t="s">
        <v>5848</v>
      </c>
      <c r="J3460" s="17"/>
    </row>
    <row r="3461" spans="1:10">
      <c r="A3461" s="7" t="s">
        <v>6006</v>
      </c>
      <c r="B3461" s="1" t="s">
        <v>2628</v>
      </c>
      <c r="C3461" s="1">
        <v>2368</v>
      </c>
      <c r="D3461" s="1" t="s">
        <v>16</v>
      </c>
      <c r="E3461" s="1" t="s">
        <v>10</v>
      </c>
      <c r="F3461" s="1" t="s">
        <v>2360</v>
      </c>
      <c r="G3461" s="1" t="s">
        <v>5</v>
      </c>
      <c r="H3461" s="1" t="s">
        <v>5</v>
      </c>
      <c r="I3461" s="1" t="s">
        <v>5848</v>
      </c>
    </row>
    <row r="3462" spans="1:10">
      <c r="A3462" s="7" t="s">
        <v>6242</v>
      </c>
      <c r="B3462" s="2" t="s">
        <v>2628</v>
      </c>
      <c r="C3462" s="1">
        <v>2</v>
      </c>
      <c r="D3462" s="1" t="s">
        <v>16</v>
      </c>
      <c r="E3462" s="1" t="s">
        <v>10</v>
      </c>
      <c r="F3462" s="1" t="s">
        <v>5091</v>
      </c>
      <c r="G3462" s="14" t="s">
        <v>6236</v>
      </c>
      <c r="H3462" s="1" t="s">
        <v>43</v>
      </c>
      <c r="I3462" s="1" t="s">
        <v>5807</v>
      </c>
    </row>
    <row r="3463" spans="1:10">
      <c r="A3463" s="7" t="s">
        <v>6529</v>
      </c>
      <c r="B3463" s="1" t="s">
        <v>2628</v>
      </c>
      <c r="C3463" s="1">
        <v>2</v>
      </c>
      <c r="D3463" s="1" t="s">
        <v>16</v>
      </c>
      <c r="E3463" s="1" t="s">
        <v>10</v>
      </c>
      <c r="F3463" s="1" t="s">
        <v>5091</v>
      </c>
      <c r="G3463" s="1" t="s">
        <v>6530</v>
      </c>
      <c r="H3463" s="1" t="s">
        <v>43</v>
      </c>
      <c r="I3463" s="1" t="s">
        <v>5807</v>
      </c>
    </row>
    <row r="3464" spans="1:10">
      <c r="A3464" s="7" t="s">
        <v>6707</v>
      </c>
      <c r="B3464" s="1" t="s">
        <v>2628</v>
      </c>
      <c r="C3464" s="1">
        <v>2</v>
      </c>
      <c r="D3464" s="1" t="s">
        <v>16</v>
      </c>
      <c r="E3464" s="1" t="s">
        <v>10</v>
      </c>
      <c r="F3464" s="1" t="s">
        <v>5091</v>
      </c>
      <c r="G3464" s="1" t="s">
        <v>6181</v>
      </c>
      <c r="H3464" s="1" t="s">
        <v>118</v>
      </c>
      <c r="I3464" s="1" t="s">
        <v>4458</v>
      </c>
    </row>
    <row r="3465" spans="1:10">
      <c r="A3465" s="7" t="s">
        <v>6802</v>
      </c>
      <c r="B3465" s="1" t="s">
        <v>2631</v>
      </c>
      <c r="C3465" s="1">
        <v>2</v>
      </c>
      <c r="D3465" s="1" t="s">
        <v>16</v>
      </c>
      <c r="E3465" s="1" t="s">
        <v>10</v>
      </c>
      <c r="F3465" s="1" t="s">
        <v>5091</v>
      </c>
      <c r="G3465" s="1" t="s">
        <v>6181</v>
      </c>
      <c r="H3465" s="1" t="s">
        <v>118</v>
      </c>
      <c r="I3465" s="1" t="s">
        <v>4458</v>
      </c>
    </row>
    <row r="3466" spans="1:10">
      <c r="A3466" s="7" t="s">
        <v>6858</v>
      </c>
      <c r="B3466" s="1" t="s">
        <v>2628</v>
      </c>
      <c r="C3466" s="1">
        <v>2</v>
      </c>
      <c r="D3466" s="1" t="s">
        <v>16</v>
      </c>
      <c r="E3466" s="1" t="s">
        <v>10</v>
      </c>
      <c r="F3466" s="1" t="s">
        <v>5241</v>
      </c>
      <c r="G3466" s="1" t="s">
        <v>6307</v>
      </c>
      <c r="H3466" s="1" t="s">
        <v>44</v>
      </c>
      <c r="I3466" s="1" t="s">
        <v>6090</v>
      </c>
      <c r="J3466" s="17"/>
    </row>
    <row r="3467" spans="1:10">
      <c r="A3467" s="7" t="s">
        <v>6861</v>
      </c>
      <c r="B3467" s="1" t="s">
        <v>2631</v>
      </c>
      <c r="C3467" s="1">
        <v>2</v>
      </c>
      <c r="D3467" s="1" t="s">
        <v>16</v>
      </c>
      <c r="E3467" s="1" t="s">
        <v>10</v>
      </c>
      <c r="F3467" s="1" t="s">
        <v>5241</v>
      </c>
      <c r="G3467" s="1" t="s">
        <v>6307</v>
      </c>
      <c r="H3467" s="1" t="s">
        <v>44</v>
      </c>
      <c r="I3467" s="1" t="s">
        <v>5653</v>
      </c>
    </row>
    <row r="3468" spans="1:10">
      <c r="A3468" s="7" t="s">
        <v>6900</v>
      </c>
      <c r="B3468" s="1" t="s">
        <v>2628</v>
      </c>
      <c r="C3468" s="1">
        <v>2</v>
      </c>
      <c r="D3468" s="1" t="s">
        <v>16</v>
      </c>
      <c r="E3468" s="1" t="s">
        <v>10</v>
      </c>
      <c r="F3468" s="1" t="s">
        <v>5091</v>
      </c>
      <c r="G3468" s="1" t="s">
        <v>6894</v>
      </c>
      <c r="H3468" s="1" t="s">
        <v>44</v>
      </c>
      <c r="I3468" s="1" t="s">
        <v>5848</v>
      </c>
    </row>
    <row r="3469" spans="1:10">
      <c r="A3469" s="7" t="s">
        <v>7351</v>
      </c>
      <c r="B3469" s="1" t="s">
        <v>2631</v>
      </c>
      <c r="C3469" s="1">
        <v>2</v>
      </c>
      <c r="D3469" s="1" t="s">
        <v>16</v>
      </c>
      <c r="E3469" s="1" t="s">
        <v>10</v>
      </c>
      <c r="F3469" s="1" t="s">
        <v>5241</v>
      </c>
      <c r="G3469" s="1" t="s">
        <v>4803</v>
      </c>
      <c r="H3469" s="1" t="s">
        <v>5</v>
      </c>
      <c r="I3469" s="1" t="s">
        <v>6090</v>
      </c>
      <c r="J3469" s="17"/>
    </row>
    <row r="3470" spans="1:10">
      <c r="A3470" s="7" t="s">
        <v>7626</v>
      </c>
      <c r="B3470" s="1" t="s">
        <v>2628</v>
      </c>
      <c r="C3470" s="1">
        <v>2</v>
      </c>
      <c r="D3470" s="1" t="s">
        <v>16</v>
      </c>
      <c r="E3470" s="1" t="s">
        <v>10</v>
      </c>
      <c r="F3470" s="1" t="s">
        <v>5091</v>
      </c>
      <c r="G3470" s="1" t="s">
        <v>6530</v>
      </c>
      <c r="H3470" s="1" t="s">
        <v>43</v>
      </c>
      <c r="I3470" s="1">
        <v>2008</v>
      </c>
    </row>
    <row r="3471" spans="1:10">
      <c r="A3471" s="16" t="s">
        <v>7679</v>
      </c>
      <c r="B3471" s="1" t="s">
        <v>2628</v>
      </c>
      <c r="C3471" s="1">
        <v>2</v>
      </c>
      <c r="D3471" s="1" t="s">
        <v>16</v>
      </c>
      <c r="E3471" s="1" t="s">
        <v>10</v>
      </c>
      <c r="F3471" s="1" t="s">
        <v>5091</v>
      </c>
      <c r="G3471" s="14" t="s">
        <v>7665</v>
      </c>
      <c r="H3471" s="1" t="s">
        <v>5</v>
      </c>
      <c r="I3471" s="17">
        <v>40525</v>
      </c>
    </row>
    <row r="3472" spans="1:10">
      <c r="A3472" s="16" t="s">
        <v>7691</v>
      </c>
      <c r="B3472" s="1" t="s">
        <v>2628</v>
      </c>
      <c r="C3472" s="1">
        <v>2</v>
      </c>
      <c r="D3472" s="1" t="s">
        <v>16</v>
      </c>
      <c r="E3472" s="1" t="s">
        <v>10</v>
      </c>
      <c r="F3472" s="1" t="s">
        <v>5091</v>
      </c>
      <c r="G3472" s="14" t="s">
        <v>7665</v>
      </c>
      <c r="H3472" s="1" t="s">
        <v>5</v>
      </c>
      <c r="I3472" s="17">
        <v>40554</v>
      </c>
    </row>
    <row r="3473" spans="1:10">
      <c r="A3473" s="16" t="s">
        <v>7697</v>
      </c>
      <c r="B3473" s="1" t="s">
        <v>2628</v>
      </c>
      <c r="C3473" s="1">
        <v>2</v>
      </c>
      <c r="D3473" s="1" t="s">
        <v>16</v>
      </c>
      <c r="E3473" s="1" t="s">
        <v>10</v>
      </c>
      <c r="F3473" s="1" t="s">
        <v>5091</v>
      </c>
      <c r="G3473" s="14" t="s">
        <v>7665</v>
      </c>
      <c r="H3473" s="1" t="s">
        <v>5</v>
      </c>
      <c r="I3473" s="17">
        <v>40554</v>
      </c>
    </row>
    <row r="3474" spans="1:10">
      <c r="A3474" s="16" t="s">
        <v>7715</v>
      </c>
      <c r="B3474" s="1" t="s">
        <v>2628</v>
      </c>
      <c r="C3474" s="1">
        <v>2</v>
      </c>
      <c r="D3474" s="1" t="s">
        <v>16</v>
      </c>
      <c r="E3474" s="1" t="s">
        <v>10</v>
      </c>
      <c r="F3474" s="1" t="s">
        <v>5091</v>
      </c>
      <c r="G3474" s="14" t="s">
        <v>7665</v>
      </c>
      <c r="H3474" s="1" t="s">
        <v>5</v>
      </c>
      <c r="I3474" s="17">
        <v>40428</v>
      </c>
    </row>
    <row r="3475" spans="1:10">
      <c r="A3475" s="16" t="s">
        <v>7782</v>
      </c>
      <c r="B3475" s="1" t="s">
        <v>2628</v>
      </c>
      <c r="C3475" s="1">
        <v>2</v>
      </c>
      <c r="D3475" s="1" t="s">
        <v>16</v>
      </c>
      <c r="E3475" s="1" t="s">
        <v>10</v>
      </c>
      <c r="F3475" s="1" t="s">
        <v>5091</v>
      </c>
      <c r="G3475" s="14" t="s">
        <v>7665</v>
      </c>
      <c r="H3475" s="1" t="s">
        <v>5</v>
      </c>
      <c r="I3475" s="17">
        <v>40493</v>
      </c>
    </row>
    <row r="3476" spans="1:10">
      <c r="A3476" s="7" t="s">
        <v>7874</v>
      </c>
      <c r="B3476" s="1" t="s">
        <v>2628</v>
      </c>
      <c r="C3476" s="1">
        <v>2</v>
      </c>
      <c r="D3476" s="1" t="s">
        <v>16</v>
      </c>
      <c r="E3476" s="1" t="s">
        <v>10</v>
      </c>
      <c r="F3476" s="1" t="s">
        <v>5091</v>
      </c>
      <c r="G3476" s="1" t="s">
        <v>6181</v>
      </c>
      <c r="H3476" s="1" t="s">
        <v>118</v>
      </c>
      <c r="I3476" s="1" t="s">
        <v>4458</v>
      </c>
    </row>
    <row r="3477" spans="1:10">
      <c r="A3477" s="7" t="s">
        <v>7884</v>
      </c>
      <c r="B3477" s="1" t="s">
        <v>2628</v>
      </c>
      <c r="C3477" s="1">
        <v>2</v>
      </c>
      <c r="D3477" s="1" t="s">
        <v>16</v>
      </c>
      <c r="E3477" s="1" t="s">
        <v>10</v>
      </c>
      <c r="F3477" s="1" t="s">
        <v>5091</v>
      </c>
      <c r="G3477" s="1" t="s">
        <v>6181</v>
      </c>
      <c r="H3477" s="1" t="s">
        <v>118</v>
      </c>
      <c r="I3477" s="1" t="s">
        <v>4458</v>
      </c>
    </row>
    <row r="3478" spans="1:10">
      <c r="A3478" s="7" t="s">
        <v>8048</v>
      </c>
      <c r="B3478" s="1" t="s">
        <v>2628</v>
      </c>
      <c r="C3478" s="1">
        <v>2</v>
      </c>
      <c r="D3478" s="1" t="s">
        <v>16</v>
      </c>
      <c r="E3478" s="1" t="s">
        <v>10</v>
      </c>
      <c r="F3478" s="1" t="s">
        <v>5241</v>
      </c>
      <c r="G3478" s="1" t="s">
        <v>6307</v>
      </c>
      <c r="H3478" s="1" t="s">
        <v>44</v>
      </c>
      <c r="I3478" s="1" t="s">
        <v>6090</v>
      </c>
      <c r="J3478" s="17"/>
    </row>
    <row r="3479" spans="1:10">
      <c r="A3479" s="7" t="s">
        <v>8049</v>
      </c>
      <c r="B3479" s="1" t="s">
        <v>2628</v>
      </c>
      <c r="C3479" s="1">
        <v>2</v>
      </c>
      <c r="D3479" s="1" t="s">
        <v>16</v>
      </c>
      <c r="E3479" s="1" t="s">
        <v>10</v>
      </c>
      <c r="F3479" s="1" t="s">
        <v>5241</v>
      </c>
      <c r="G3479" s="1" t="s">
        <v>6307</v>
      </c>
      <c r="H3479" s="1" t="s">
        <v>44</v>
      </c>
      <c r="I3479" s="1" t="s">
        <v>6090</v>
      </c>
      <c r="J3479" s="17"/>
    </row>
    <row r="3480" spans="1:10">
      <c r="A3480" s="7" t="s">
        <v>8143</v>
      </c>
      <c r="B3480" s="1" t="s">
        <v>2631</v>
      </c>
      <c r="C3480" s="1">
        <v>2</v>
      </c>
      <c r="D3480" s="1" t="s">
        <v>16</v>
      </c>
      <c r="E3480" s="1" t="s">
        <v>10</v>
      </c>
      <c r="F3480" s="1" t="s">
        <v>118</v>
      </c>
      <c r="G3480" s="1" t="s">
        <v>8144</v>
      </c>
      <c r="H3480" s="1" t="s">
        <v>43</v>
      </c>
      <c r="I3480" s="1">
        <v>2021</v>
      </c>
    </row>
    <row r="3481" spans="1:10">
      <c r="A3481" s="7" t="s">
        <v>8145</v>
      </c>
      <c r="B3481" s="1" t="s">
        <v>2631</v>
      </c>
      <c r="C3481" s="1">
        <v>2</v>
      </c>
      <c r="D3481" s="1" t="s">
        <v>16</v>
      </c>
      <c r="E3481" s="1" t="s">
        <v>10</v>
      </c>
      <c r="F3481" s="1" t="s">
        <v>118</v>
      </c>
      <c r="G3481" s="1" t="s">
        <v>8144</v>
      </c>
      <c r="H3481" s="1" t="s">
        <v>43</v>
      </c>
      <c r="I3481" s="1">
        <v>2021</v>
      </c>
    </row>
    <row r="3482" spans="1:10">
      <c r="A3482" s="7" t="s">
        <v>8280</v>
      </c>
      <c r="B3482" s="1" t="s">
        <v>2628</v>
      </c>
      <c r="C3482" s="1">
        <v>2</v>
      </c>
      <c r="D3482" s="1" t="s">
        <v>16</v>
      </c>
      <c r="E3482" s="1" t="s">
        <v>10</v>
      </c>
      <c r="F3482" s="1" t="s">
        <v>2701</v>
      </c>
      <c r="G3482" s="1" t="s">
        <v>8281</v>
      </c>
      <c r="H3482" s="1" t="s">
        <v>43</v>
      </c>
      <c r="I3482" s="1" t="s">
        <v>5722</v>
      </c>
    </row>
    <row r="3483" spans="1:10">
      <c r="A3483" s="7" t="s">
        <v>8350</v>
      </c>
      <c r="B3483" s="1" t="s">
        <v>2628</v>
      </c>
      <c r="C3483" s="1">
        <v>2</v>
      </c>
      <c r="D3483" s="1" t="s">
        <v>16</v>
      </c>
      <c r="E3483" s="1" t="s">
        <v>10</v>
      </c>
      <c r="F3483" s="1" t="s">
        <v>118</v>
      </c>
      <c r="G3483" s="1" t="s">
        <v>6530</v>
      </c>
      <c r="H3483" s="1" t="s">
        <v>43</v>
      </c>
      <c r="I3483" s="1" t="s">
        <v>5092</v>
      </c>
    </row>
    <row r="3484" spans="1:10">
      <c r="A3484" s="7" t="s">
        <v>8351</v>
      </c>
      <c r="B3484" s="1" t="s">
        <v>2628</v>
      </c>
      <c r="C3484" s="1">
        <v>2</v>
      </c>
      <c r="D3484" s="1" t="s">
        <v>16</v>
      </c>
      <c r="E3484" s="1" t="s">
        <v>10</v>
      </c>
      <c r="F3484" s="1" t="s">
        <v>118</v>
      </c>
      <c r="G3484" s="1" t="s">
        <v>6530</v>
      </c>
      <c r="H3484" s="1" t="s">
        <v>43</v>
      </c>
      <c r="I3484" s="1" t="s">
        <v>5092</v>
      </c>
    </row>
    <row r="3485" spans="1:10">
      <c r="A3485" s="7" t="s">
        <v>8353</v>
      </c>
      <c r="B3485" s="1" t="s">
        <v>2628</v>
      </c>
      <c r="C3485" s="1">
        <v>2</v>
      </c>
      <c r="D3485" s="1" t="s">
        <v>16</v>
      </c>
      <c r="E3485" s="1" t="s">
        <v>10</v>
      </c>
      <c r="F3485" s="1" t="s">
        <v>118</v>
      </c>
      <c r="G3485" s="1" t="s">
        <v>6530</v>
      </c>
      <c r="H3485" s="1" t="s">
        <v>43</v>
      </c>
      <c r="I3485" s="1" t="s">
        <v>5092</v>
      </c>
    </row>
    <row r="3486" spans="1:10">
      <c r="A3486" s="7" t="s">
        <v>8354</v>
      </c>
      <c r="B3486" s="1" t="s">
        <v>2628</v>
      </c>
      <c r="C3486" s="1">
        <v>2</v>
      </c>
      <c r="D3486" s="1" t="s">
        <v>16</v>
      </c>
      <c r="E3486" s="1" t="s">
        <v>10</v>
      </c>
      <c r="F3486" s="1" t="s">
        <v>118</v>
      </c>
      <c r="G3486" s="1" t="s">
        <v>6530</v>
      </c>
      <c r="H3486" s="1" t="s">
        <v>43</v>
      </c>
      <c r="I3486" s="1" t="s">
        <v>5092</v>
      </c>
    </row>
    <row r="3487" spans="1:10">
      <c r="A3487" s="7" t="s">
        <v>8356</v>
      </c>
      <c r="B3487" s="1" t="s">
        <v>2628</v>
      </c>
      <c r="C3487" s="1">
        <v>2</v>
      </c>
      <c r="D3487" s="1" t="s">
        <v>16</v>
      </c>
      <c r="E3487" s="1" t="s">
        <v>10</v>
      </c>
      <c r="F3487" s="1" t="s">
        <v>118</v>
      </c>
      <c r="G3487" s="1" t="s">
        <v>6530</v>
      </c>
      <c r="H3487" s="1" t="s">
        <v>43</v>
      </c>
      <c r="I3487" s="1" t="s">
        <v>5092</v>
      </c>
    </row>
    <row r="3488" spans="1:10">
      <c r="A3488" s="7" t="s">
        <v>8357</v>
      </c>
      <c r="B3488" s="1" t="s">
        <v>2628</v>
      </c>
      <c r="C3488" s="1">
        <v>2</v>
      </c>
      <c r="D3488" s="1" t="s">
        <v>16</v>
      </c>
      <c r="E3488" s="1" t="s">
        <v>10</v>
      </c>
      <c r="F3488" s="1" t="s">
        <v>118</v>
      </c>
      <c r="G3488" s="1" t="s">
        <v>6530</v>
      </c>
      <c r="H3488" s="1" t="s">
        <v>43</v>
      </c>
      <c r="I3488" s="1" t="s">
        <v>5092</v>
      </c>
    </row>
    <row r="3489" spans="1:9">
      <c r="A3489" s="16" t="s">
        <v>8596</v>
      </c>
      <c r="B3489" s="1" t="s">
        <v>2631</v>
      </c>
      <c r="C3489" s="1">
        <v>2</v>
      </c>
      <c r="D3489" s="1" t="s">
        <v>16</v>
      </c>
      <c r="E3489" s="1" t="s">
        <v>10</v>
      </c>
      <c r="F3489" s="1" t="s">
        <v>5091</v>
      </c>
      <c r="G3489" s="14" t="s">
        <v>4458</v>
      </c>
      <c r="H3489" s="1" t="s">
        <v>118</v>
      </c>
      <c r="I3489" s="1" t="s">
        <v>4792</v>
      </c>
    </row>
    <row r="3490" spans="1:9">
      <c r="A3490" s="16" t="s">
        <v>8659</v>
      </c>
      <c r="B3490" s="1" t="s">
        <v>2631</v>
      </c>
      <c r="C3490" s="1">
        <v>2</v>
      </c>
      <c r="D3490" s="1" t="s">
        <v>16</v>
      </c>
      <c r="E3490" s="1" t="s">
        <v>10</v>
      </c>
      <c r="F3490" s="1" t="s">
        <v>118</v>
      </c>
      <c r="G3490" s="1" t="s">
        <v>4803</v>
      </c>
      <c r="H3490" s="1" t="s">
        <v>5</v>
      </c>
      <c r="I3490" s="17">
        <v>35796</v>
      </c>
    </row>
    <row r="3491" spans="1:9">
      <c r="A3491" s="16" t="s">
        <v>9095</v>
      </c>
      <c r="B3491" s="1" t="s">
        <v>2628</v>
      </c>
      <c r="C3491" s="1">
        <v>2</v>
      </c>
      <c r="D3491" s="1" t="s">
        <v>16</v>
      </c>
      <c r="E3491" s="1" t="s">
        <v>10</v>
      </c>
      <c r="F3491" s="1" t="s">
        <v>5091</v>
      </c>
      <c r="G3491" s="14" t="s">
        <v>6145</v>
      </c>
      <c r="H3491" s="1" t="s">
        <v>43</v>
      </c>
      <c r="I3491" s="17">
        <v>42124</v>
      </c>
    </row>
    <row r="3492" spans="1:9">
      <c r="A3492" s="16" t="s">
        <v>9375</v>
      </c>
      <c r="B3492" s="1" t="s">
        <v>2631</v>
      </c>
      <c r="C3492" s="1">
        <v>2</v>
      </c>
      <c r="D3492" s="1" t="s">
        <v>16</v>
      </c>
      <c r="E3492" s="1" t="s">
        <v>10</v>
      </c>
      <c r="F3492" s="1" t="s">
        <v>5091</v>
      </c>
      <c r="G3492" s="14" t="s">
        <v>4458</v>
      </c>
      <c r="H3492" s="1" t="s">
        <v>118</v>
      </c>
      <c r="I3492" s="1" t="s">
        <v>4792</v>
      </c>
    </row>
    <row r="3493" spans="1:9">
      <c r="A3493" s="16" t="s">
        <v>9434</v>
      </c>
      <c r="B3493" s="1" t="s">
        <v>2631</v>
      </c>
      <c r="C3493" s="1">
        <v>2</v>
      </c>
      <c r="D3493" s="1" t="s">
        <v>16</v>
      </c>
      <c r="E3493" s="1" t="s">
        <v>10</v>
      </c>
      <c r="F3493" s="1" t="s">
        <v>5091</v>
      </c>
      <c r="G3493" s="14" t="s">
        <v>4458</v>
      </c>
      <c r="H3493" s="1" t="s">
        <v>118</v>
      </c>
      <c r="I3493" s="1" t="s">
        <v>4792</v>
      </c>
    </row>
    <row r="3494" spans="1:9" ht="31.2">
      <c r="A3494" s="16" t="s">
        <v>10374</v>
      </c>
      <c r="B3494" s="1" t="s">
        <v>2631</v>
      </c>
      <c r="C3494" s="1">
        <v>2</v>
      </c>
      <c r="D3494" s="1" t="s">
        <v>16</v>
      </c>
      <c r="E3494" s="1" t="s">
        <v>10</v>
      </c>
      <c r="F3494" s="1" t="s">
        <v>139</v>
      </c>
      <c r="G3494" s="1" t="s">
        <v>10375</v>
      </c>
      <c r="H3494" s="1" t="s">
        <v>5</v>
      </c>
      <c r="I3494" s="17">
        <v>37622</v>
      </c>
    </row>
    <row r="3495" spans="1:9">
      <c r="A3495" s="16" t="s">
        <v>10484</v>
      </c>
      <c r="B3495" s="1" t="s">
        <v>2628</v>
      </c>
      <c r="C3495" s="1">
        <v>2</v>
      </c>
      <c r="D3495" s="1" t="s">
        <v>16</v>
      </c>
      <c r="E3495" s="1" t="s">
        <v>10</v>
      </c>
      <c r="F3495" s="1" t="s">
        <v>5091</v>
      </c>
      <c r="G3495" s="14" t="s">
        <v>10485</v>
      </c>
      <c r="H3495" s="1" t="s">
        <v>5</v>
      </c>
      <c r="I3495" s="17">
        <v>39332</v>
      </c>
    </row>
    <row r="3496" spans="1:9">
      <c r="A3496" s="16" t="s">
        <v>10535</v>
      </c>
      <c r="B3496" s="1" t="s">
        <v>2628</v>
      </c>
      <c r="C3496" s="1">
        <v>2</v>
      </c>
      <c r="D3496" s="1" t="s">
        <v>16</v>
      </c>
      <c r="E3496" s="1" t="s">
        <v>10</v>
      </c>
      <c r="F3496" s="1" t="s">
        <v>5091</v>
      </c>
      <c r="G3496" s="14" t="s">
        <v>6530</v>
      </c>
      <c r="H3496" s="1" t="s">
        <v>43</v>
      </c>
      <c r="I3496" s="17">
        <v>42416</v>
      </c>
    </row>
    <row r="3497" spans="1:9">
      <c r="A3497" s="16" t="s">
        <v>10622</v>
      </c>
      <c r="B3497" s="1" t="s">
        <v>2631</v>
      </c>
      <c r="C3497" s="1">
        <v>2</v>
      </c>
      <c r="D3497" s="1" t="s">
        <v>16</v>
      </c>
      <c r="E3497" s="1" t="s">
        <v>10</v>
      </c>
      <c r="F3497" s="1" t="s">
        <v>139</v>
      </c>
      <c r="G3497" s="1" t="s">
        <v>10623</v>
      </c>
      <c r="H3497" s="1" t="s">
        <v>5</v>
      </c>
      <c r="I3497" s="17">
        <v>41518</v>
      </c>
    </row>
    <row r="3498" spans="1:9">
      <c r="A3498" s="16" t="s">
        <v>10629</v>
      </c>
      <c r="B3498" s="1" t="s">
        <v>2631</v>
      </c>
      <c r="C3498" s="1">
        <v>2</v>
      </c>
      <c r="D3498" s="1" t="s">
        <v>16</v>
      </c>
      <c r="E3498" s="1" t="s">
        <v>10</v>
      </c>
      <c r="F3498" s="1" t="s">
        <v>139</v>
      </c>
      <c r="G3498" s="1" t="s">
        <v>10610</v>
      </c>
      <c r="H3498" s="1" t="s">
        <v>5</v>
      </c>
      <c r="I3498" s="17">
        <v>41913</v>
      </c>
    </row>
    <row r="3499" spans="1:9">
      <c r="A3499" s="16" t="s">
        <v>10630</v>
      </c>
      <c r="B3499" s="1" t="s">
        <v>2631</v>
      </c>
      <c r="C3499" s="1">
        <v>2</v>
      </c>
      <c r="D3499" s="1" t="s">
        <v>16</v>
      </c>
      <c r="E3499" s="1" t="s">
        <v>10</v>
      </c>
      <c r="F3499" s="1" t="s">
        <v>139</v>
      </c>
      <c r="G3499" s="1" t="s">
        <v>10610</v>
      </c>
      <c r="H3499" s="1" t="s">
        <v>5</v>
      </c>
      <c r="I3499" s="17">
        <v>41913</v>
      </c>
    </row>
    <row r="3500" spans="1:9">
      <c r="A3500" s="16" t="s">
        <v>10639</v>
      </c>
      <c r="B3500" s="1" t="s">
        <v>2631</v>
      </c>
      <c r="C3500" s="1">
        <v>2</v>
      </c>
      <c r="D3500" s="1" t="s">
        <v>16</v>
      </c>
      <c r="E3500" s="1" t="s">
        <v>10</v>
      </c>
      <c r="F3500" s="1" t="s">
        <v>139</v>
      </c>
      <c r="G3500" s="1" t="s">
        <v>10640</v>
      </c>
      <c r="H3500" s="1" t="s">
        <v>5</v>
      </c>
      <c r="I3500" s="17">
        <v>40940</v>
      </c>
    </row>
    <row r="3501" spans="1:9">
      <c r="A3501" s="16" t="s">
        <v>10642</v>
      </c>
      <c r="B3501" s="1" t="s">
        <v>2631</v>
      </c>
      <c r="C3501" s="1">
        <v>2</v>
      </c>
      <c r="D3501" s="1" t="s">
        <v>16</v>
      </c>
      <c r="E3501" s="1" t="s">
        <v>10</v>
      </c>
      <c r="F3501" s="1" t="s">
        <v>139</v>
      </c>
      <c r="G3501" s="1" t="s">
        <v>7919</v>
      </c>
      <c r="H3501" s="1" t="s">
        <v>5</v>
      </c>
      <c r="I3501" s="17">
        <v>41244</v>
      </c>
    </row>
    <row r="3502" spans="1:9">
      <c r="A3502" s="16" t="s">
        <v>10644</v>
      </c>
      <c r="B3502" s="1" t="s">
        <v>2631</v>
      </c>
      <c r="C3502" s="1">
        <v>2</v>
      </c>
      <c r="D3502" s="1" t="s">
        <v>16</v>
      </c>
      <c r="E3502" s="1" t="s">
        <v>10</v>
      </c>
      <c r="F3502" s="1" t="s">
        <v>139</v>
      </c>
      <c r="G3502" s="1" t="s">
        <v>10645</v>
      </c>
      <c r="H3502" s="1" t="s">
        <v>5</v>
      </c>
      <c r="I3502" s="17">
        <v>41030</v>
      </c>
    </row>
    <row r="3503" spans="1:9">
      <c r="A3503" s="16" t="s">
        <v>10648</v>
      </c>
      <c r="B3503" s="1" t="s">
        <v>2631</v>
      </c>
      <c r="C3503" s="1">
        <v>2</v>
      </c>
      <c r="D3503" s="1" t="s">
        <v>16</v>
      </c>
      <c r="E3503" s="1" t="s">
        <v>10</v>
      </c>
      <c r="F3503" s="1" t="s">
        <v>139</v>
      </c>
      <c r="G3503" s="1" t="s">
        <v>10647</v>
      </c>
      <c r="H3503" s="1" t="s">
        <v>5</v>
      </c>
      <c r="I3503" s="17">
        <v>41061</v>
      </c>
    </row>
    <row r="3504" spans="1:9">
      <c r="A3504" s="16" t="s">
        <v>10652</v>
      </c>
      <c r="B3504" s="1" t="s">
        <v>2631</v>
      </c>
      <c r="C3504" s="1">
        <v>2</v>
      </c>
      <c r="D3504" s="1" t="s">
        <v>16</v>
      </c>
      <c r="E3504" s="1" t="s">
        <v>10</v>
      </c>
      <c r="F3504" s="1" t="s">
        <v>139</v>
      </c>
      <c r="G3504" s="1" t="s">
        <v>10653</v>
      </c>
      <c r="H3504" s="1" t="s">
        <v>5</v>
      </c>
      <c r="I3504" s="17">
        <v>41183</v>
      </c>
    </row>
    <row r="3505" spans="1:9">
      <c r="A3505" s="16" t="s">
        <v>10654</v>
      </c>
      <c r="B3505" s="1" t="s">
        <v>2631</v>
      </c>
      <c r="C3505" s="1">
        <v>2</v>
      </c>
      <c r="D3505" s="1" t="s">
        <v>16</v>
      </c>
      <c r="E3505" s="1" t="s">
        <v>10</v>
      </c>
      <c r="F3505" s="1" t="s">
        <v>139</v>
      </c>
      <c r="G3505" s="1" t="s">
        <v>7919</v>
      </c>
      <c r="H3505" s="1" t="s">
        <v>5</v>
      </c>
      <c r="I3505" s="17">
        <v>41183</v>
      </c>
    </row>
    <row r="3506" spans="1:9">
      <c r="A3506" s="16" t="s">
        <v>10655</v>
      </c>
      <c r="B3506" s="1" t="s">
        <v>2631</v>
      </c>
      <c r="C3506" s="1">
        <v>2</v>
      </c>
      <c r="D3506" s="1" t="s">
        <v>16</v>
      </c>
      <c r="E3506" s="1" t="s">
        <v>10</v>
      </c>
      <c r="F3506" s="1" t="s">
        <v>139</v>
      </c>
      <c r="G3506" s="1" t="s">
        <v>10279</v>
      </c>
      <c r="H3506" s="1" t="s">
        <v>5</v>
      </c>
      <c r="I3506" s="17">
        <v>41183</v>
      </c>
    </row>
    <row r="3507" spans="1:9">
      <c r="A3507" s="16" t="s">
        <v>11414</v>
      </c>
      <c r="B3507" s="1" t="s">
        <v>2628</v>
      </c>
      <c r="C3507" s="1">
        <v>2</v>
      </c>
      <c r="D3507" s="1" t="s">
        <v>16</v>
      </c>
      <c r="E3507" s="1" t="s">
        <v>10</v>
      </c>
      <c r="F3507" s="1" t="s">
        <v>5091</v>
      </c>
      <c r="G3507" s="14" t="s">
        <v>6145</v>
      </c>
      <c r="H3507" s="1" t="s">
        <v>43</v>
      </c>
      <c r="I3507" s="17">
        <v>42569</v>
      </c>
    </row>
    <row r="3508" spans="1:9">
      <c r="A3508" s="16" t="s">
        <v>11759</v>
      </c>
      <c r="B3508" s="1" t="s">
        <v>2628</v>
      </c>
      <c r="C3508" s="1">
        <v>1699</v>
      </c>
      <c r="D3508" s="1" t="s">
        <v>16</v>
      </c>
      <c r="E3508" s="1" t="s">
        <v>10</v>
      </c>
      <c r="F3508" s="1" t="s">
        <v>5091</v>
      </c>
      <c r="G3508" s="14" t="s">
        <v>6186</v>
      </c>
      <c r="H3508" s="1" t="s">
        <v>5</v>
      </c>
      <c r="I3508" s="17">
        <v>42370</v>
      </c>
    </row>
    <row r="3509" spans="1:9">
      <c r="A3509" s="16" t="s">
        <v>11791</v>
      </c>
      <c r="B3509" s="1" t="s">
        <v>2628</v>
      </c>
      <c r="C3509" s="1">
        <v>2</v>
      </c>
      <c r="D3509" s="1" t="s">
        <v>16</v>
      </c>
      <c r="E3509" s="1" t="s">
        <v>10</v>
      </c>
      <c r="F3509" s="1" t="s">
        <v>5091</v>
      </c>
      <c r="G3509" s="14" t="s">
        <v>11740</v>
      </c>
      <c r="H3509" s="1" t="s">
        <v>5</v>
      </c>
      <c r="I3509" s="17">
        <v>40499</v>
      </c>
    </row>
    <row r="3510" spans="1:9">
      <c r="A3510" s="16" t="s">
        <v>11818</v>
      </c>
      <c r="B3510" s="1" t="s">
        <v>2631</v>
      </c>
      <c r="C3510" s="1">
        <v>2</v>
      </c>
      <c r="D3510" s="1" t="s">
        <v>16</v>
      </c>
      <c r="E3510" s="1" t="s">
        <v>10</v>
      </c>
      <c r="F3510" s="1" t="s">
        <v>5091</v>
      </c>
      <c r="G3510" s="14" t="s">
        <v>4458</v>
      </c>
      <c r="H3510" s="1" t="s">
        <v>118</v>
      </c>
      <c r="I3510" s="1" t="s">
        <v>4792</v>
      </c>
    </row>
    <row r="3511" spans="1:9">
      <c r="A3511" s="16" t="s">
        <v>11819</v>
      </c>
      <c r="B3511" s="1" t="s">
        <v>2631</v>
      </c>
      <c r="C3511" s="1">
        <v>2</v>
      </c>
      <c r="D3511" s="1" t="s">
        <v>16</v>
      </c>
      <c r="E3511" s="1" t="s">
        <v>10</v>
      </c>
      <c r="F3511" s="1" t="s">
        <v>5091</v>
      </c>
      <c r="G3511" s="14" t="s">
        <v>4458</v>
      </c>
      <c r="H3511" s="1" t="s">
        <v>118</v>
      </c>
      <c r="I3511" s="1" t="s">
        <v>4792</v>
      </c>
    </row>
    <row r="3512" spans="1:9" ht="31.2">
      <c r="A3512" s="16" t="s">
        <v>12026</v>
      </c>
      <c r="B3512" s="1" t="s">
        <v>2631</v>
      </c>
      <c r="C3512" s="1">
        <v>2</v>
      </c>
      <c r="D3512" s="1" t="s">
        <v>16</v>
      </c>
      <c r="E3512" s="1" t="s">
        <v>10</v>
      </c>
      <c r="F3512" s="1" t="s">
        <v>5241</v>
      </c>
      <c r="G3512" s="1" t="s">
        <v>8618</v>
      </c>
      <c r="H3512" s="1" t="s">
        <v>5</v>
      </c>
      <c r="I3512" s="1" t="s">
        <v>4792</v>
      </c>
    </row>
    <row r="3513" spans="1:9">
      <c r="A3513" s="16" t="s">
        <v>12231</v>
      </c>
      <c r="B3513" s="1" t="s">
        <v>2628</v>
      </c>
      <c r="C3513" s="1">
        <v>1699</v>
      </c>
      <c r="D3513" s="1" t="s">
        <v>16</v>
      </c>
      <c r="E3513" s="1" t="s">
        <v>10</v>
      </c>
      <c r="F3513" s="1" t="s">
        <v>5091</v>
      </c>
      <c r="G3513" s="14" t="s">
        <v>6236</v>
      </c>
      <c r="H3513" s="1" t="s">
        <v>43</v>
      </c>
      <c r="I3513" s="17">
        <v>42736</v>
      </c>
    </row>
    <row r="3514" spans="1:9">
      <c r="A3514" s="16" t="s">
        <v>12232</v>
      </c>
      <c r="B3514" s="1" t="s">
        <v>2628</v>
      </c>
      <c r="C3514" s="1">
        <v>1699</v>
      </c>
      <c r="D3514" s="1" t="s">
        <v>16</v>
      </c>
      <c r="E3514" s="1" t="s">
        <v>10</v>
      </c>
      <c r="F3514" s="1" t="s">
        <v>5091</v>
      </c>
      <c r="G3514" s="14" t="s">
        <v>6236</v>
      </c>
      <c r="H3514" s="1" t="s">
        <v>43</v>
      </c>
      <c r="I3514" s="17">
        <v>42736</v>
      </c>
    </row>
    <row r="3515" spans="1:9">
      <c r="A3515" s="16" t="s">
        <v>12237</v>
      </c>
      <c r="B3515" s="1" t="s">
        <v>2628</v>
      </c>
      <c r="C3515" s="1">
        <v>1699</v>
      </c>
      <c r="D3515" s="1" t="s">
        <v>16</v>
      </c>
      <c r="E3515" s="1" t="s">
        <v>10</v>
      </c>
      <c r="F3515" s="1" t="s">
        <v>5091</v>
      </c>
      <c r="G3515" s="14" t="s">
        <v>6236</v>
      </c>
      <c r="H3515" s="1" t="s">
        <v>43</v>
      </c>
      <c r="I3515" s="17">
        <v>42736</v>
      </c>
    </row>
    <row r="3516" spans="1:9">
      <c r="A3516" s="16" t="s">
        <v>13229</v>
      </c>
      <c r="B3516" s="1" t="s">
        <v>2628</v>
      </c>
      <c r="C3516" s="1">
        <v>2</v>
      </c>
      <c r="D3516" s="1" t="s">
        <v>16</v>
      </c>
      <c r="E3516" s="1" t="s">
        <v>10</v>
      </c>
      <c r="F3516" s="1" t="s">
        <v>5091</v>
      </c>
      <c r="G3516" s="14" t="s">
        <v>4458</v>
      </c>
      <c r="H3516" s="1" t="s">
        <v>118</v>
      </c>
      <c r="I3516" s="1" t="s">
        <v>4458</v>
      </c>
    </row>
    <row r="3517" spans="1:9" ht="31.2">
      <c r="A3517" s="16" t="s">
        <v>13378</v>
      </c>
      <c r="B3517" s="1" t="s">
        <v>2628</v>
      </c>
      <c r="C3517" s="1">
        <v>2</v>
      </c>
      <c r="D3517" s="1" t="s">
        <v>16</v>
      </c>
      <c r="E3517" s="1" t="s">
        <v>10</v>
      </c>
      <c r="F3517" s="1" t="s">
        <v>5091</v>
      </c>
      <c r="G3517" s="14" t="s">
        <v>6145</v>
      </c>
      <c r="H3517" s="1" t="s">
        <v>43</v>
      </c>
      <c r="I3517" s="17">
        <v>42941</v>
      </c>
    </row>
    <row r="3518" spans="1:9">
      <c r="A3518" s="16" t="s">
        <v>13451</v>
      </c>
      <c r="B3518" s="1" t="s">
        <v>2631</v>
      </c>
      <c r="C3518" s="1">
        <v>2</v>
      </c>
      <c r="D3518" s="1" t="s">
        <v>16</v>
      </c>
      <c r="E3518" s="1" t="s">
        <v>10</v>
      </c>
      <c r="F3518" s="1" t="s">
        <v>5091</v>
      </c>
      <c r="G3518" s="14" t="s">
        <v>4458</v>
      </c>
      <c r="H3518" s="1" t="s">
        <v>118</v>
      </c>
      <c r="I3518" s="1" t="s">
        <v>4792</v>
      </c>
    </row>
    <row r="3519" spans="1:9">
      <c r="A3519" s="7" t="s">
        <v>13710</v>
      </c>
      <c r="B3519" s="1" t="s">
        <v>2630</v>
      </c>
      <c r="C3519" s="1">
        <v>2</v>
      </c>
      <c r="D3519" s="1" t="s">
        <v>16</v>
      </c>
      <c r="E3519" s="1" t="s">
        <v>10</v>
      </c>
      <c r="F3519" s="1" t="s">
        <v>2694</v>
      </c>
      <c r="G3519" s="1" t="s">
        <v>13711</v>
      </c>
      <c r="H3519" s="1" t="s">
        <v>5</v>
      </c>
      <c r="I3519" s="1">
        <v>2003</v>
      </c>
    </row>
    <row r="3520" spans="1:9">
      <c r="A3520" s="16" t="s">
        <v>13821</v>
      </c>
      <c r="B3520" s="1" t="s">
        <v>2631</v>
      </c>
      <c r="C3520" s="1">
        <v>2</v>
      </c>
      <c r="D3520" s="1" t="s">
        <v>16</v>
      </c>
      <c r="E3520" s="1" t="s">
        <v>10</v>
      </c>
      <c r="F3520" s="1" t="s">
        <v>2698</v>
      </c>
      <c r="G3520" s="1" t="s">
        <v>6307</v>
      </c>
      <c r="H3520" s="1" t="s">
        <v>44</v>
      </c>
      <c r="I3520" s="17">
        <v>40544</v>
      </c>
    </row>
    <row r="3521" spans="1:10">
      <c r="A3521" s="16" t="s">
        <v>13840</v>
      </c>
      <c r="B3521" s="1" t="s">
        <v>2628</v>
      </c>
      <c r="C3521" s="1">
        <v>2</v>
      </c>
      <c r="D3521" s="1" t="s">
        <v>16</v>
      </c>
      <c r="E3521" s="1" t="s">
        <v>10</v>
      </c>
      <c r="F3521" s="1" t="s">
        <v>5091</v>
      </c>
      <c r="G3521" s="14" t="s">
        <v>6145</v>
      </c>
      <c r="H3521" s="1" t="s">
        <v>43</v>
      </c>
      <c r="I3521" s="17">
        <v>40188</v>
      </c>
    </row>
    <row r="3522" spans="1:10">
      <c r="A3522" s="16" t="s">
        <v>13842</v>
      </c>
      <c r="B3522" s="1" t="s">
        <v>2631</v>
      </c>
      <c r="C3522" s="1">
        <v>2</v>
      </c>
      <c r="D3522" s="1" t="s">
        <v>16</v>
      </c>
      <c r="E3522" s="1" t="s">
        <v>10</v>
      </c>
      <c r="F3522" s="1" t="s">
        <v>5091</v>
      </c>
      <c r="G3522" s="14" t="s">
        <v>4458</v>
      </c>
      <c r="H3522" s="1" t="s">
        <v>118</v>
      </c>
      <c r="I3522" s="1" t="s">
        <v>4792</v>
      </c>
    </row>
    <row r="3523" spans="1:10">
      <c r="A3523" s="16" t="s">
        <v>14103</v>
      </c>
      <c r="B3523" s="1" t="s">
        <v>2628</v>
      </c>
      <c r="C3523" s="1">
        <v>2</v>
      </c>
      <c r="D3523" s="1" t="s">
        <v>16</v>
      </c>
      <c r="E3523" s="1" t="s">
        <v>10</v>
      </c>
      <c r="F3523" s="1" t="s">
        <v>5091</v>
      </c>
      <c r="G3523" s="14" t="s">
        <v>6367</v>
      </c>
      <c r="H3523" s="1" t="s">
        <v>43</v>
      </c>
      <c r="I3523" s="17">
        <v>38566</v>
      </c>
    </row>
    <row r="3524" spans="1:10">
      <c r="A3524" s="16" t="s">
        <v>14108</v>
      </c>
      <c r="B3524" s="1" t="s">
        <v>2628</v>
      </c>
      <c r="C3524" s="1">
        <v>2</v>
      </c>
      <c r="D3524" s="1" t="s">
        <v>16</v>
      </c>
      <c r="E3524" s="1" t="s">
        <v>10</v>
      </c>
      <c r="F3524" s="1" t="s">
        <v>5091</v>
      </c>
      <c r="G3524" s="14" t="s">
        <v>7619</v>
      </c>
      <c r="H3524" s="1" t="s">
        <v>43</v>
      </c>
      <c r="I3524" s="17">
        <v>38566</v>
      </c>
    </row>
    <row r="3525" spans="1:10">
      <c r="A3525" s="16" t="s">
        <v>14136</v>
      </c>
      <c r="B3525" s="1" t="s">
        <v>2628</v>
      </c>
      <c r="C3525" s="1">
        <v>2</v>
      </c>
      <c r="D3525" s="1" t="s">
        <v>16</v>
      </c>
      <c r="E3525" s="1" t="s">
        <v>10</v>
      </c>
      <c r="F3525" s="1" t="s">
        <v>5091</v>
      </c>
      <c r="G3525" s="14" t="s">
        <v>6145</v>
      </c>
      <c r="H3525" s="1" t="s">
        <v>43</v>
      </c>
      <c r="I3525" s="17">
        <v>40721</v>
      </c>
    </row>
    <row r="3526" spans="1:10">
      <c r="A3526" s="16" t="s">
        <v>14138</v>
      </c>
      <c r="B3526" s="1" t="s">
        <v>2628</v>
      </c>
      <c r="C3526" s="1">
        <v>2</v>
      </c>
      <c r="D3526" s="1" t="s">
        <v>16</v>
      </c>
      <c r="E3526" s="1" t="s">
        <v>10</v>
      </c>
      <c r="F3526" s="1" t="s">
        <v>5091</v>
      </c>
      <c r="G3526" s="14" t="s">
        <v>6145</v>
      </c>
      <c r="H3526" s="1" t="s">
        <v>43</v>
      </c>
      <c r="I3526" s="17">
        <v>40721</v>
      </c>
    </row>
    <row r="3527" spans="1:10">
      <c r="A3527" s="16" t="s">
        <v>14182</v>
      </c>
      <c r="B3527" s="1" t="s">
        <v>2628</v>
      </c>
      <c r="C3527" s="1">
        <v>2</v>
      </c>
      <c r="D3527" s="1" t="s">
        <v>16</v>
      </c>
      <c r="E3527" s="1" t="s">
        <v>10</v>
      </c>
      <c r="F3527" s="1" t="s">
        <v>5091</v>
      </c>
      <c r="G3527" s="14" t="s">
        <v>6145</v>
      </c>
      <c r="H3527" s="1" t="s">
        <v>43</v>
      </c>
      <c r="I3527" s="17">
        <v>40721</v>
      </c>
    </row>
    <row r="3528" spans="1:10">
      <c r="A3528" s="16" t="s">
        <v>14184</v>
      </c>
      <c r="B3528" s="1" t="s">
        <v>2628</v>
      </c>
      <c r="C3528" s="1">
        <v>2</v>
      </c>
      <c r="D3528" s="1" t="s">
        <v>16</v>
      </c>
      <c r="E3528" s="1" t="s">
        <v>10</v>
      </c>
      <c r="F3528" s="1" t="s">
        <v>5091</v>
      </c>
      <c r="G3528" s="14" t="s">
        <v>6145</v>
      </c>
      <c r="H3528" s="1" t="s">
        <v>43</v>
      </c>
      <c r="I3528" s="17">
        <v>40721</v>
      </c>
    </row>
    <row r="3529" spans="1:10">
      <c r="A3529" s="16" t="s">
        <v>14186</v>
      </c>
      <c r="B3529" s="1" t="s">
        <v>2628</v>
      </c>
      <c r="C3529" s="1">
        <v>2</v>
      </c>
      <c r="D3529" s="1" t="s">
        <v>16</v>
      </c>
      <c r="E3529" s="1" t="s">
        <v>10</v>
      </c>
      <c r="F3529" s="1" t="s">
        <v>5091</v>
      </c>
      <c r="G3529" s="14" t="s">
        <v>6145</v>
      </c>
      <c r="H3529" s="1" t="s">
        <v>43</v>
      </c>
      <c r="I3529" s="17">
        <v>40721</v>
      </c>
    </row>
    <row r="3530" spans="1:10">
      <c r="A3530" s="16" t="s">
        <v>14304</v>
      </c>
      <c r="B3530" s="1" t="s">
        <v>2628</v>
      </c>
      <c r="C3530" s="1">
        <v>2</v>
      </c>
      <c r="D3530" s="1" t="s">
        <v>16</v>
      </c>
      <c r="E3530" s="1" t="s">
        <v>10</v>
      </c>
      <c r="F3530" s="1" t="s">
        <v>5091</v>
      </c>
      <c r="G3530" s="14" t="s">
        <v>6145</v>
      </c>
      <c r="H3530" s="1" t="s">
        <v>43</v>
      </c>
      <c r="I3530" s="17">
        <v>43221</v>
      </c>
    </row>
    <row r="3531" spans="1:10">
      <c r="A3531" s="16" t="s">
        <v>14307</v>
      </c>
      <c r="B3531" s="1" t="s">
        <v>2628</v>
      </c>
      <c r="C3531" s="1">
        <v>2</v>
      </c>
      <c r="D3531" s="1" t="s">
        <v>16</v>
      </c>
      <c r="E3531" s="1" t="s">
        <v>10</v>
      </c>
      <c r="F3531" s="1" t="s">
        <v>5091</v>
      </c>
      <c r="G3531" s="14" t="s">
        <v>6145</v>
      </c>
      <c r="H3531" s="1" t="s">
        <v>43</v>
      </c>
      <c r="I3531" s="17">
        <v>43221</v>
      </c>
    </row>
    <row r="3532" spans="1:10">
      <c r="A3532" s="16" t="s">
        <v>14558</v>
      </c>
      <c r="B3532" s="1" t="s">
        <v>2628</v>
      </c>
      <c r="C3532" s="1">
        <v>2</v>
      </c>
      <c r="D3532" s="1" t="s">
        <v>16</v>
      </c>
      <c r="E3532" s="1" t="s">
        <v>10</v>
      </c>
      <c r="F3532" s="1" t="s">
        <v>5091</v>
      </c>
      <c r="G3532" s="14" t="s">
        <v>6145</v>
      </c>
      <c r="H3532" s="1" t="s">
        <v>43</v>
      </c>
      <c r="I3532" s="17">
        <v>40705</v>
      </c>
    </row>
    <row r="3533" spans="1:10">
      <c r="A3533" s="16" t="s">
        <v>14671</v>
      </c>
      <c r="B3533" s="1" t="s">
        <v>2628</v>
      </c>
      <c r="C3533" s="1">
        <v>2</v>
      </c>
      <c r="D3533" s="1" t="s">
        <v>16</v>
      </c>
      <c r="E3533" s="1" t="s">
        <v>10</v>
      </c>
      <c r="F3533" s="1" t="s">
        <v>5091</v>
      </c>
      <c r="G3533" s="14" t="s">
        <v>6145</v>
      </c>
      <c r="H3533" s="1" t="s">
        <v>43</v>
      </c>
      <c r="I3533" s="17">
        <v>40705</v>
      </c>
    </row>
    <row r="3534" spans="1:10">
      <c r="A3534" s="16" t="s">
        <v>14796</v>
      </c>
      <c r="B3534" s="1" t="s">
        <v>2628</v>
      </c>
      <c r="C3534" s="1">
        <v>2</v>
      </c>
      <c r="D3534" s="1" t="s">
        <v>16</v>
      </c>
      <c r="E3534" s="1" t="s">
        <v>10</v>
      </c>
      <c r="F3534" s="1" t="s">
        <v>5241</v>
      </c>
      <c r="G3534" s="14" t="s">
        <v>4803</v>
      </c>
      <c r="H3534" s="1" t="s">
        <v>5</v>
      </c>
      <c r="I3534" s="17">
        <v>41730</v>
      </c>
    </row>
    <row r="3535" spans="1:10">
      <c r="A3535" s="16" t="s">
        <v>14798</v>
      </c>
      <c r="B3535" s="1" t="s">
        <v>2628</v>
      </c>
      <c r="C3535" s="1">
        <v>2</v>
      </c>
      <c r="D3535" s="1" t="s">
        <v>16</v>
      </c>
      <c r="E3535" s="1" t="s">
        <v>10</v>
      </c>
      <c r="F3535" s="1" t="s">
        <v>5241</v>
      </c>
      <c r="G3535" s="14" t="s">
        <v>4803</v>
      </c>
      <c r="H3535" s="1" t="s">
        <v>5</v>
      </c>
      <c r="I3535" s="17">
        <v>41699</v>
      </c>
    </row>
    <row r="3536" spans="1:10">
      <c r="A3536" s="16" t="s">
        <v>14801</v>
      </c>
      <c r="B3536" s="1" t="s">
        <v>2631</v>
      </c>
      <c r="C3536" s="1">
        <v>2</v>
      </c>
      <c r="D3536" s="1" t="s">
        <v>16</v>
      </c>
      <c r="E3536" s="1" t="s">
        <v>10</v>
      </c>
      <c r="F3536" s="1" t="s">
        <v>5241</v>
      </c>
      <c r="G3536" s="1" t="s">
        <v>4803</v>
      </c>
      <c r="H3536" s="1" t="s">
        <v>5</v>
      </c>
      <c r="I3536" s="17">
        <v>42705</v>
      </c>
      <c r="J3536" s="17"/>
    </row>
    <row r="3537" spans="1:10">
      <c r="A3537" s="16" t="s">
        <v>14805</v>
      </c>
      <c r="B3537" s="1" t="s">
        <v>2631</v>
      </c>
      <c r="C3537" s="1">
        <v>2</v>
      </c>
      <c r="D3537" s="1" t="s">
        <v>16</v>
      </c>
      <c r="E3537" s="1" t="s">
        <v>10</v>
      </c>
      <c r="F3537" s="1" t="s">
        <v>5241</v>
      </c>
      <c r="G3537" s="1" t="s">
        <v>4803</v>
      </c>
      <c r="H3537" s="1" t="s">
        <v>5</v>
      </c>
      <c r="I3537" s="17">
        <v>42917</v>
      </c>
      <c r="J3537" s="17"/>
    </row>
    <row r="3538" spans="1:10">
      <c r="A3538" s="16" t="s">
        <v>14817</v>
      </c>
      <c r="B3538" s="1" t="s">
        <v>2631</v>
      </c>
      <c r="C3538" s="1">
        <v>2</v>
      </c>
      <c r="D3538" s="1" t="s">
        <v>16</v>
      </c>
      <c r="E3538" s="1" t="s">
        <v>10</v>
      </c>
      <c r="F3538" s="1" t="s">
        <v>5241</v>
      </c>
      <c r="G3538" s="1" t="s">
        <v>4803</v>
      </c>
      <c r="H3538" s="1" t="s">
        <v>5</v>
      </c>
      <c r="I3538" s="17">
        <v>42491</v>
      </c>
      <c r="J3538" s="17"/>
    </row>
    <row r="3539" spans="1:10">
      <c r="A3539" s="16" t="s">
        <v>14821</v>
      </c>
      <c r="B3539" s="1" t="s">
        <v>2628</v>
      </c>
      <c r="C3539" s="1">
        <v>2</v>
      </c>
      <c r="D3539" s="1" t="s">
        <v>16</v>
      </c>
      <c r="E3539" s="1" t="s">
        <v>10</v>
      </c>
      <c r="F3539" s="1" t="s">
        <v>5241</v>
      </c>
      <c r="G3539" s="14" t="s">
        <v>6307</v>
      </c>
      <c r="H3539" s="1" t="s">
        <v>44</v>
      </c>
      <c r="I3539" s="17">
        <v>43191</v>
      </c>
    </row>
    <row r="3540" spans="1:10">
      <c r="A3540" s="16" t="s">
        <v>14829</v>
      </c>
      <c r="B3540" s="1" t="s">
        <v>2631</v>
      </c>
      <c r="C3540" s="1">
        <v>2</v>
      </c>
      <c r="D3540" s="1" t="s">
        <v>16</v>
      </c>
      <c r="E3540" s="1" t="s">
        <v>10</v>
      </c>
      <c r="F3540" s="1" t="s">
        <v>5241</v>
      </c>
      <c r="G3540" s="1" t="s">
        <v>4803</v>
      </c>
      <c r="H3540" s="1" t="s">
        <v>5</v>
      </c>
      <c r="I3540" s="17">
        <v>42644</v>
      </c>
      <c r="J3540" s="17"/>
    </row>
    <row r="3541" spans="1:10">
      <c r="A3541" s="16" t="s">
        <v>14835</v>
      </c>
      <c r="B3541" s="1" t="s">
        <v>2631</v>
      </c>
      <c r="C3541" s="1">
        <v>2</v>
      </c>
      <c r="D3541" s="1" t="s">
        <v>16</v>
      </c>
      <c r="E3541" s="1" t="s">
        <v>10</v>
      </c>
      <c r="F3541" s="1" t="s">
        <v>5241</v>
      </c>
      <c r="G3541" s="1" t="s">
        <v>4803</v>
      </c>
      <c r="H3541" s="1" t="s">
        <v>5</v>
      </c>
      <c r="I3541" s="17">
        <v>42644</v>
      </c>
      <c r="J3541" s="17"/>
    </row>
    <row r="3542" spans="1:10">
      <c r="A3542" s="16" t="s">
        <v>14860</v>
      </c>
      <c r="B3542" s="1" t="s">
        <v>2631</v>
      </c>
      <c r="C3542" s="1">
        <v>2</v>
      </c>
      <c r="D3542" s="1" t="s">
        <v>16</v>
      </c>
      <c r="E3542" s="1" t="s">
        <v>10</v>
      </c>
      <c r="F3542" s="1" t="s">
        <v>5241</v>
      </c>
      <c r="G3542" s="1" t="s">
        <v>4803</v>
      </c>
      <c r="H3542" s="1" t="s">
        <v>5</v>
      </c>
      <c r="I3542" s="17">
        <v>42644</v>
      </c>
      <c r="J3542" s="17"/>
    </row>
    <row r="3543" spans="1:10">
      <c r="A3543" s="16" t="s">
        <v>14868</v>
      </c>
      <c r="B3543" s="1" t="s">
        <v>2631</v>
      </c>
      <c r="C3543" s="1">
        <v>2</v>
      </c>
      <c r="D3543" s="1" t="s">
        <v>16</v>
      </c>
      <c r="E3543" s="1" t="s">
        <v>10</v>
      </c>
      <c r="F3543" s="1" t="s">
        <v>5241</v>
      </c>
      <c r="G3543" s="1" t="s">
        <v>4803</v>
      </c>
      <c r="H3543" s="1" t="s">
        <v>5</v>
      </c>
      <c r="I3543" s="17">
        <v>42887</v>
      </c>
      <c r="J3543" s="17"/>
    </row>
    <row r="3544" spans="1:10">
      <c r="A3544" s="16" t="s">
        <v>14893</v>
      </c>
      <c r="B3544" s="1" t="s">
        <v>2631</v>
      </c>
      <c r="C3544" s="1">
        <v>2</v>
      </c>
      <c r="D3544" s="1" t="s">
        <v>16</v>
      </c>
      <c r="E3544" s="1" t="s">
        <v>10</v>
      </c>
      <c r="F3544" s="1" t="s">
        <v>5241</v>
      </c>
      <c r="G3544" s="1" t="s">
        <v>4803</v>
      </c>
      <c r="H3544" s="1" t="s">
        <v>5</v>
      </c>
      <c r="I3544" s="17">
        <v>42583</v>
      </c>
      <c r="J3544" s="17"/>
    </row>
    <row r="3545" spans="1:10">
      <c r="A3545" s="16" t="s">
        <v>14897</v>
      </c>
      <c r="B3545" s="1" t="s">
        <v>2631</v>
      </c>
      <c r="C3545" s="1">
        <v>2</v>
      </c>
      <c r="D3545" s="1" t="s">
        <v>16</v>
      </c>
      <c r="E3545" s="1" t="s">
        <v>10</v>
      </c>
      <c r="F3545" s="1" t="s">
        <v>5241</v>
      </c>
      <c r="G3545" s="1" t="s">
        <v>4803</v>
      </c>
      <c r="H3545" s="1" t="s">
        <v>5</v>
      </c>
      <c r="I3545" s="17">
        <v>42887</v>
      </c>
      <c r="J3545" s="17"/>
    </row>
    <row r="3546" spans="1:10">
      <c r="A3546" s="16" t="s">
        <v>14901</v>
      </c>
      <c r="B3546" s="1" t="s">
        <v>2631</v>
      </c>
      <c r="C3546" s="1">
        <v>2</v>
      </c>
      <c r="D3546" s="1" t="s">
        <v>16</v>
      </c>
      <c r="E3546" s="1" t="s">
        <v>10</v>
      </c>
      <c r="F3546" s="1" t="s">
        <v>5241</v>
      </c>
      <c r="G3546" s="1" t="s">
        <v>4803</v>
      </c>
      <c r="H3546" s="1" t="s">
        <v>5</v>
      </c>
      <c r="I3546" s="17">
        <v>43132</v>
      </c>
      <c r="J3546" s="17"/>
    </row>
    <row r="3547" spans="1:10">
      <c r="A3547" s="16" t="s">
        <v>14920</v>
      </c>
      <c r="B3547" s="1" t="s">
        <v>2628</v>
      </c>
      <c r="C3547" s="1">
        <v>2</v>
      </c>
      <c r="D3547" s="1" t="s">
        <v>16</v>
      </c>
      <c r="E3547" s="1" t="s">
        <v>10</v>
      </c>
      <c r="F3547" s="1" t="s">
        <v>5241</v>
      </c>
      <c r="G3547" s="14" t="s">
        <v>6307</v>
      </c>
      <c r="H3547" s="1" t="s">
        <v>44</v>
      </c>
      <c r="I3547" s="17">
        <v>43009</v>
      </c>
    </row>
    <row r="3548" spans="1:10">
      <c r="A3548" s="16" t="s">
        <v>14924</v>
      </c>
      <c r="B3548" s="1" t="s">
        <v>2628</v>
      </c>
      <c r="C3548" s="1">
        <v>2</v>
      </c>
      <c r="D3548" s="1" t="s">
        <v>16</v>
      </c>
      <c r="E3548" s="1" t="s">
        <v>10</v>
      </c>
      <c r="F3548" s="1" t="s">
        <v>5241</v>
      </c>
      <c r="G3548" s="14" t="s">
        <v>6307</v>
      </c>
      <c r="H3548" s="1" t="s">
        <v>44</v>
      </c>
      <c r="I3548" s="17">
        <v>42948</v>
      </c>
    </row>
    <row r="3549" spans="1:10">
      <c r="A3549" s="16" t="s">
        <v>14931</v>
      </c>
      <c r="B3549" s="1" t="s">
        <v>2631</v>
      </c>
      <c r="C3549" s="1">
        <v>2</v>
      </c>
      <c r="D3549" s="1" t="s">
        <v>16</v>
      </c>
      <c r="E3549" s="1" t="s">
        <v>10</v>
      </c>
      <c r="F3549" s="1" t="s">
        <v>5241</v>
      </c>
      <c r="G3549" s="1" t="s">
        <v>4803</v>
      </c>
      <c r="H3549" s="1" t="s">
        <v>5</v>
      </c>
      <c r="I3549" s="17">
        <v>42887</v>
      </c>
      <c r="J3549" s="17"/>
    </row>
    <row r="3550" spans="1:10">
      <c r="A3550" s="16" t="s">
        <v>14939</v>
      </c>
      <c r="B3550" s="1" t="s">
        <v>2631</v>
      </c>
      <c r="C3550" s="1">
        <v>2</v>
      </c>
      <c r="D3550" s="1" t="s">
        <v>16</v>
      </c>
      <c r="E3550" s="1" t="s">
        <v>10</v>
      </c>
      <c r="F3550" s="1" t="s">
        <v>5241</v>
      </c>
      <c r="G3550" s="1" t="s">
        <v>4803</v>
      </c>
      <c r="H3550" s="1" t="s">
        <v>5</v>
      </c>
      <c r="I3550" s="17">
        <v>42583</v>
      </c>
      <c r="J3550" s="17"/>
    </row>
    <row r="3551" spans="1:10">
      <c r="A3551" s="16" t="s">
        <v>14940</v>
      </c>
      <c r="B3551" s="1" t="s">
        <v>2631</v>
      </c>
      <c r="C3551" s="1">
        <v>2</v>
      </c>
      <c r="D3551" s="1" t="s">
        <v>16</v>
      </c>
      <c r="E3551" s="1" t="s">
        <v>10</v>
      </c>
      <c r="F3551" s="1" t="s">
        <v>5241</v>
      </c>
      <c r="G3551" s="1" t="s">
        <v>4803</v>
      </c>
      <c r="H3551" s="1" t="s">
        <v>5</v>
      </c>
      <c r="I3551" s="17">
        <v>42887</v>
      </c>
      <c r="J3551" s="17"/>
    </row>
    <row r="3552" spans="1:10">
      <c r="A3552" s="16" t="s">
        <v>14952</v>
      </c>
      <c r="B3552" s="1" t="s">
        <v>2631</v>
      </c>
      <c r="C3552" s="1">
        <v>2</v>
      </c>
      <c r="D3552" s="1" t="s">
        <v>16</v>
      </c>
      <c r="E3552" s="1" t="s">
        <v>10</v>
      </c>
      <c r="F3552" s="1" t="s">
        <v>5241</v>
      </c>
      <c r="G3552" s="1" t="s">
        <v>4803</v>
      </c>
      <c r="H3552" s="1" t="s">
        <v>5</v>
      </c>
      <c r="I3552" s="17">
        <v>42917</v>
      </c>
      <c r="J3552" s="17"/>
    </row>
    <row r="3553" spans="1:10">
      <c r="A3553" s="16" t="s">
        <v>14961</v>
      </c>
      <c r="B3553" s="1" t="s">
        <v>2631</v>
      </c>
      <c r="C3553" s="1">
        <v>2</v>
      </c>
      <c r="D3553" s="1" t="s">
        <v>16</v>
      </c>
      <c r="E3553" s="1" t="s">
        <v>10</v>
      </c>
      <c r="F3553" s="1" t="s">
        <v>5241</v>
      </c>
      <c r="G3553" s="1" t="s">
        <v>4803</v>
      </c>
      <c r="H3553" s="1" t="s">
        <v>5</v>
      </c>
      <c r="I3553" s="17">
        <v>42583</v>
      </c>
      <c r="J3553" s="17"/>
    </row>
    <row r="3554" spans="1:10">
      <c r="A3554" s="16" t="s">
        <v>14966</v>
      </c>
      <c r="B3554" s="1" t="s">
        <v>2631</v>
      </c>
      <c r="C3554" s="1">
        <v>2</v>
      </c>
      <c r="D3554" s="1" t="s">
        <v>16</v>
      </c>
      <c r="E3554" s="1" t="s">
        <v>10</v>
      </c>
      <c r="F3554" s="1" t="s">
        <v>5241</v>
      </c>
      <c r="G3554" s="1" t="s">
        <v>4803</v>
      </c>
      <c r="H3554" s="1" t="s">
        <v>5</v>
      </c>
      <c r="I3554" s="17">
        <v>43252</v>
      </c>
      <c r="J3554" s="17"/>
    </row>
    <row r="3555" spans="1:10">
      <c r="A3555" s="16" t="s">
        <v>14984</v>
      </c>
      <c r="B3555" s="1" t="s">
        <v>2631</v>
      </c>
      <c r="C3555" s="1">
        <v>2</v>
      </c>
      <c r="D3555" s="1" t="s">
        <v>16</v>
      </c>
      <c r="E3555" s="1" t="s">
        <v>10</v>
      </c>
      <c r="F3555" s="1" t="s">
        <v>5241</v>
      </c>
      <c r="G3555" s="1" t="s">
        <v>4803</v>
      </c>
      <c r="H3555" s="1" t="s">
        <v>5</v>
      </c>
      <c r="I3555" s="17">
        <v>42887</v>
      </c>
      <c r="J3555" s="1"/>
    </row>
    <row r="3556" spans="1:10">
      <c r="A3556" s="16" t="s">
        <v>14985</v>
      </c>
      <c r="B3556" s="1" t="s">
        <v>2631</v>
      </c>
      <c r="C3556" s="1">
        <v>2</v>
      </c>
      <c r="D3556" s="1" t="s">
        <v>16</v>
      </c>
      <c r="E3556" s="1" t="s">
        <v>10</v>
      </c>
      <c r="F3556" s="1" t="s">
        <v>5241</v>
      </c>
      <c r="G3556" s="1" t="s">
        <v>4803</v>
      </c>
      <c r="H3556" s="1" t="s">
        <v>5</v>
      </c>
      <c r="I3556" s="17">
        <v>42887</v>
      </c>
      <c r="J3556" s="17"/>
    </row>
    <row r="3557" spans="1:10">
      <c r="A3557" s="16" t="s">
        <v>14992</v>
      </c>
      <c r="B3557" s="1" t="s">
        <v>2631</v>
      </c>
      <c r="C3557" s="1">
        <v>2</v>
      </c>
      <c r="D3557" s="1" t="s">
        <v>16</v>
      </c>
      <c r="E3557" s="1" t="s">
        <v>10</v>
      </c>
      <c r="F3557" s="1" t="s">
        <v>5241</v>
      </c>
      <c r="G3557" s="1" t="s">
        <v>4803</v>
      </c>
      <c r="H3557" s="1" t="s">
        <v>5</v>
      </c>
      <c r="I3557" s="17">
        <v>42887</v>
      </c>
      <c r="J3557" s="17"/>
    </row>
    <row r="3558" spans="1:10">
      <c r="A3558" s="16" t="s">
        <v>15000</v>
      </c>
      <c r="B3558" s="1" t="s">
        <v>2631</v>
      </c>
      <c r="C3558" s="1">
        <v>2371</v>
      </c>
      <c r="D3558" s="1" t="s">
        <v>16</v>
      </c>
      <c r="E3558" s="1" t="s">
        <v>10</v>
      </c>
      <c r="F3558" s="1" t="s">
        <v>5241</v>
      </c>
      <c r="G3558" s="1" t="s">
        <v>4803</v>
      </c>
      <c r="H3558" s="1" t="s">
        <v>5</v>
      </c>
      <c r="I3558" s="17">
        <v>43252</v>
      </c>
      <c r="J3558" s="17"/>
    </row>
    <row r="3559" spans="1:10">
      <c r="A3559" s="16" t="s">
        <v>15012</v>
      </c>
      <c r="B3559" s="1" t="s">
        <v>2631</v>
      </c>
      <c r="C3559" s="1">
        <v>2</v>
      </c>
      <c r="D3559" s="1" t="s">
        <v>16</v>
      </c>
      <c r="E3559" s="1" t="s">
        <v>10</v>
      </c>
      <c r="F3559" s="1" t="s">
        <v>5241</v>
      </c>
      <c r="G3559" s="1" t="s">
        <v>4803</v>
      </c>
      <c r="H3559" s="1" t="s">
        <v>5</v>
      </c>
      <c r="I3559" s="17">
        <v>43101</v>
      </c>
      <c r="J3559" s="17"/>
    </row>
    <row r="3560" spans="1:10">
      <c r="A3560" s="16" t="s">
        <v>15034</v>
      </c>
      <c r="B3560" s="1" t="s">
        <v>2631</v>
      </c>
      <c r="C3560" s="1">
        <v>2</v>
      </c>
      <c r="D3560" s="1" t="s">
        <v>16</v>
      </c>
      <c r="E3560" s="1" t="s">
        <v>10</v>
      </c>
      <c r="F3560" s="1" t="s">
        <v>5241</v>
      </c>
      <c r="G3560" s="1" t="s">
        <v>4803</v>
      </c>
      <c r="H3560" s="1" t="s">
        <v>5</v>
      </c>
      <c r="I3560" s="17">
        <v>42887</v>
      </c>
      <c r="J3560" s="17"/>
    </row>
    <row r="3561" spans="1:10">
      <c r="A3561" s="16" t="s">
        <v>15035</v>
      </c>
      <c r="B3561" s="1" t="s">
        <v>2628</v>
      </c>
      <c r="C3561" s="1">
        <v>2</v>
      </c>
      <c r="D3561" s="1" t="s">
        <v>16</v>
      </c>
      <c r="E3561" s="1" t="s">
        <v>10</v>
      </c>
      <c r="F3561" s="1" t="s">
        <v>5241</v>
      </c>
      <c r="G3561" s="14" t="s">
        <v>4803</v>
      </c>
      <c r="H3561" s="1" t="s">
        <v>5</v>
      </c>
      <c r="I3561" s="17">
        <v>41699</v>
      </c>
    </row>
    <row r="3562" spans="1:10">
      <c r="A3562" s="7" t="s">
        <v>15038</v>
      </c>
      <c r="B3562" s="1" t="s">
        <v>2629</v>
      </c>
      <c r="C3562" s="1">
        <v>2</v>
      </c>
      <c r="D3562" s="1" t="s">
        <v>16</v>
      </c>
      <c r="E3562" s="1" t="s">
        <v>10</v>
      </c>
      <c r="F3562" s="1" t="s">
        <v>5241</v>
      </c>
      <c r="G3562" s="1" t="s">
        <v>4803</v>
      </c>
      <c r="H3562" s="1" t="s">
        <v>5</v>
      </c>
      <c r="I3562" s="17">
        <v>42552</v>
      </c>
      <c r="J3562" s="17"/>
    </row>
    <row r="3563" spans="1:10">
      <c r="A3563" s="16" t="s">
        <v>15039</v>
      </c>
      <c r="B3563" s="1" t="s">
        <v>2631</v>
      </c>
      <c r="C3563" s="1">
        <v>2</v>
      </c>
      <c r="D3563" s="1" t="s">
        <v>16</v>
      </c>
      <c r="E3563" s="1" t="s">
        <v>10</v>
      </c>
      <c r="F3563" s="1" t="s">
        <v>5241</v>
      </c>
      <c r="G3563" s="1" t="s">
        <v>4803</v>
      </c>
      <c r="H3563" s="1" t="s">
        <v>5</v>
      </c>
      <c r="I3563" s="17">
        <v>42887</v>
      </c>
      <c r="J3563" s="17"/>
    </row>
    <row r="3564" spans="1:10">
      <c r="A3564" s="16" t="s">
        <v>15041</v>
      </c>
      <c r="B3564" s="1" t="s">
        <v>2631</v>
      </c>
      <c r="C3564" s="1">
        <v>2</v>
      </c>
      <c r="D3564" s="1" t="s">
        <v>16</v>
      </c>
      <c r="E3564" s="1" t="s">
        <v>10</v>
      </c>
      <c r="F3564" s="1" t="s">
        <v>5241</v>
      </c>
      <c r="G3564" s="1" t="s">
        <v>6307</v>
      </c>
      <c r="H3564" s="1" t="s">
        <v>44</v>
      </c>
      <c r="I3564" s="17">
        <v>43313</v>
      </c>
    </row>
    <row r="3565" spans="1:10">
      <c r="A3565" s="16" t="s">
        <v>15047</v>
      </c>
      <c r="B3565" s="1" t="s">
        <v>2631</v>
      </c>
      <c r="C3565" s="1">
        <v>2</v>
      </c>
      <c r="D3565" s="1" t="s">
        <v>16</v>
      </c>
      <c r="E3565" s="1" t="s">
        <v>10</v>
      </c>
      <c r="F3565" s="1" t="s">
        <v>5241</v>
      </c>
      <c r="G3565" s="1" t="s">
        <v>4803</v>
      </c>
      <c r="H3565" s="1" t="s">
        <v>5</v>
      </c>
      <c r="I3565" s="17">
        <v>43221</v>
      </c>
      <c r="J3565" s="17"/>
    </row>
    <row r="3566" spans="1:10">
      <c r="A3566" s="16" t="s">
        <v>15048</v>
      </c>
      <c r="B3566" s="1" t="s">
        <v>2628</v>
      </c>
      <c r="C3566" s="1">
        <v>2372</v>
      </c>
      <c r="D3566" s="1" t="s">
        <v>16</v>
      </c>
      <c r="E3566" s="1" t="s">
        <v>10</v>
      </c>
      <c r="F3566" s="1" t="s">
        <v>5241</v>
      </c>
      <c r="G3566" s="14" t="s">
        <v>4803</v>
      </c>
      <c r="H3566" s="1" t="s">
        <v>5</v>
      </c>
      <c r="I3566" s="17">
        <v>42278</v>
      </c>
    </row>
    <row r="3567" spans="1:10">
      <c r="A3567" s="16" t="s">
        <v>15076</v>
      </c>
      <c r="B3567" s="1" t="s">
        <v>2628</v>
      </c>
      <c r="C3567" s="1">
        <v>2</v>
      </c>
      <c r="D3567" s="1" t="s">
        <v>16</v>
      </c>
      <c r="E3567" s="1" t="s">
        <v>10</v>
      </c>
      <c r="F3567" s="1" t="s">
        <v>5241</v>
      </c>
      <c r="G3567" s="14" t="s">
        <v>4803</v>
      </c>
      <c r="H3567" s="1" t="s">
        <v>5</v>
      </c>
      <c r="I3567" s="17">
        <v>41699</v>
      </c>
    </row>
    <row r="3568" spans="1:10">
      <c r="A3568" s="16" t="s">
        <v>15097</v>
      </c>
      <c r="B3568" s="1" t="s">
        <v>2631</v>
      </c>
      <c r="C3568" s="1">
        <v>2</v>
      </c>
      <c r="D3568" s="1" t="s">
        <v>16</v>
      </c>
      <c r="E3568" s="1" t="s">
        <v>10</v>
      </c>
      <c r="F3568" s="1" t="s">
        <v>5241</v>
      </c>
      <c r="G3568" s="1" t="s">
        <v>6307</v>
      </c>
      <c r="H3568" s="1" t="s">
        <v>44</v>
      </c>
      <c r="I3568" s="17">
        <v>42552</v>
      </c>
    </row>
    <row r="3569" spans="1:10">
      <c r="A3569" s="16" t="s">
        <v>15105</v>
      </c>
      <c r="B3569" s="1" t="s">
        <v>2631</v>
      </c>
      <c r="C3569" s="1">
        <v>2</v>
      </c>
      <c r="D3569" s="1" t="s">
        <v>16</v>
      </c>
      <c r="E3569" s="1" t="s">
        <v>10</v>
      </c>
      <c r="F3569" s="1" t="s">
        <v>5241</v>
      </c>
      <c r="G3569" s="1" t="s">
        <v>4803</v>
      </c>
      <c r="H3569" s="1" t="s">
        <v>5</v>
      </c>
      <c r="I3569" s="17">
        <v>43070</v>
      </c>
      <c r="J3569" s="17"/>
    </row>
    <row r="3570" spans="1:10">
      <c r="A3570" s="16" t="s">
        <v>15117</v>
      </c>
      <c r="B3570" s="1" t="s">
        <v>2631</v>
      </c>
      <c r="C3570" s="1">
        <v>2</v>
      </c>
      <c r="D3570" s="1" t="s">
        <v>16</v>
      </c>
      <c r="E3570" s="1" t="s">
        <v>10</v>
      </c>
      <c r="F3570" s="1" t="s">
        <v>5241</v>
      </c>
      <c r="G3570" s="1" t="s">
        <v>4803</v>
      </c>
      <c r="H3570" s="1" t="s">
        <v>5</v>
      </c>
      <c r="I3570" s="17">
        <v>42887</v>
      </c>
      <c r="J3570" s="17"/>
    </row>
    <row r="3571" spans="1:10">
      <c r="A3571" s="16" t="s">
        <v>15143</v>
      </c>
      <c r="B3571" s="1" t="s">
        <v>2631</v>
      </c>
      <c r="C3571" s="1">
        <v>2</v>
      </c>
      <c r="D3571" s="1" t="s">
        <v>16</v>
      </c>
      <c r="E3571" s="1" t="s">
        <v>10</v>
      </c>
      <c r="F3571" s="1" t="s">
        <v>5241</v>
      </c>
      <c r="G3571" s="1" t="s">
        <v>4803</v>
      </c>
      <c r="H3571" s="1" t="s">
        <v>5</v>
      </c>
      <c r="I3571" s="17">
        <v>43252</v>
      </c>
      <c r="J3571" s="17"/>
    </row>
    <row r="3572" spans="1:10">
      <c r="A3572" s="16" t="s">
        <v>15147</v>
      </c>
      <c r="B3572" s="1" t="s">
        <v>2631</v>
      </c>
      <c r="C3572" s="1">
        <v>2</v>
      </c>
      <c r="D3572" s="1" t="s">
        <v>16</v>
      </c>
      <c r="E3572" s="1" t="s">
        <v>10</v>
      </c>
      <c r="F3572" s="1" t="s">
        <v>5241</v>
      </c>
      <c r="G3572" s="1" t="s">
        <v>6307</v>
      </c>
      <c r="H3572" s="1" t="s">
        <v>44</v>
      </c>
      <c r="I3572" s="17">
        <v>42552</v>
      </c>
    </row>
    <row r="3573" spans="1:10">
      <c r="A3573" s="16" t="s">
        <v>15157</v>
      </c>
      <c r="B3573" s="1" t="s">
        <v>2631</v>
      </c>
      <c r="C3573" s="1">
        <v>2</v>
      </c>
      <c r="D3573" s="1" t="s">
        <v>16</v>
      </c>
      <c r="E3573" s="1" t="s">
        <v>10</v>
      </c>
      <c r="F3573" s="1" t="s">
        <v>5241</v>
      </c>
      <c r="G3573" s="1" t="s">
        <v>6307</v>
      </c>
      <c r="H3573" s="1" t="s">
        <v>44</v>
      </c>
      <c r="I3573" s="17">
        <v>42552</v>
      </c>
    </row>
    <row r="3574" spans="1:10">
      <c r="A3574" s="16" t="s">
        <v>15194</v>
      </c>
      <c r="B3574" s="1" t="s">
        <v>2631</v>
      </c>
      <c r="C3574" s="1">
        <v>2</v>
      </c>
      <c r="D3574" s="1" t="s">
        <v>16</v>
      </c>
      <c r="E3574" s="1" t="s">
        <v>10</v>
      </c>
      <c r="F3574" s="1" t="s">
        <v>5241</v>
      </c>
      <c r="G3574" s="1" t="s">
        <v>4803</v>
      </c>
      <c r="H3574" s="1" t="s">
        <v>5</v>
      </c>
      <c r="I3574" s="17">
        <v>43070</v>
      </c>
      <c r="J3574" s="17"/>
    </row>
    <row r="3575" spans="1:10">
      <c r="A3575" s="16" t="s">
        <v>15195</v>
      </c>
      <c r="B3575" s="1" t="s">
        <v>2631</v>
      </c>
      <c r="C3575" s="1">
        <v>2</v>
      </c>
      <c r="D3575" s="1" t="s">
        <v>16</v>
      </c>
      <c r="E3575" s="1" t="s">
        <v>10</v>
      </c>
      <c r="F3575" s="1" t="s">
        <v>5241</v>
      </c>
      <c r="G3575" s="1" t="s">
        <v>6307</v>
      </c>
      <c r="H3575" s="1" t="s">
        <v>44</v>
      </c>
      <c r="I3575" s="17">
        <v>42583</v>
      </c>
    </row>
    <row r="3576" spans="1:10">
      <c r="A3576" s="16" t="s">
        <v>15206</v>
      </c>
      <c r="B3576" s="1" t="s">
        <v>2631</v>
      </c>
      <c r="C3576" s="1">
        <v>2</v>
      </c>
      <c r="D3576" s="1" t="s">
        <v>16</v>
      </c>
      <c r="E3576" s="1" t="s">
        <v>10</v>
      </c>
      <c r="F3576" s="1" t="s">
        <v>5241</v>
      </c>
      <c r="G3576" s="1" t="s">
        <v>4803</v>
      </c>
      <c r="H3576" s="1" t="s">
        <v>5</v>
      </c>
      <c r="I3576" s="17">
        <v>41821</v>
      </c>
      <c r="J3576" s="17"/>
    </row>
    <row r="3577" spans="1:10">
      <c r="A3577" s="16" t="s">
        <v>15207</v>
      </c>
      <c r="B3577" s="1" t="s">
        <v>2628</v>
      </c>
      <c r="C3577" s="1">
        <v>2</v>
      </c>
      <c r="D3577" s="1" t="s">
        <v>16</v>
      </c>
      <c r="E3577" s="1" t="s">
        <v>10</v>
      </c>
      <c r="F3577" s="1" t="s">
        <v>5241</v>
      </c>
      <c r="G3577" s="14" t="s">
        <v>4803</v>
      </c>
      <c r="H3577" s="1" t="s">
        <v>5</v>
      </c>
      <c r="I3577" s="17">
        <v>42064</v>
      </c>
    </row>
    <row r="3578" spans="1:10">
      <c r="A3578" s="16" t="s">
        <v>15213</v>
      </c>
      <c r="B3578" s="1" t="s">
        <v>2631</v>
      </c>
      <c r="C3578" s="1">
        <v>2</v>
      </c>
      <c r="D3578" s="1" t="s">
        <v>16</v>
      </c>
      <c r="E3578" s="1" t="s">
        <v>10</v>
      </c>
      <c r="F3578" s="1" t="s">
        <v>5241</v>
      </c>
      <c r="G3578" s="1" t="s">
        <v>4803</v>
      </c>
      <c r="H3578" s="1" t="s">
        <v>5</v>
      </c>
      <c r="I3578" s="17">
        <v>42644</v>
      </c>
      <c r="J3578" s="17"/>
    </row>
    <row r="3579" spans="1:10">
      <c r="A3579" s="16" t="s">
        <v>15224</v>
      </c>
      <c r="B3579" s="1" t="s">
        <v>2631</v>
      </c>
      <c r="C3579" s="1">
        <v>2</v>
      </c>
      <c r="D3579" s="1" t="s">
        <v>16</v>
      </c>
      <c r="E3579" s="1" t="s">
        <v>10</v>
      </c>
      <c r="F3579" s="1" t="s">
        <v>5241</v>
      </c>
      <c r="G3579" s="1" t="s">
        <v>4803</v>
      </c>
      <c r="H3579" s="1" t="s">
        <v>5</v>
      </c>
      <c r="I3579" s="17">
        <v>42583</v>
      </c>
      <c r="J3579" s="17"/>
    </row>
    <row r="3580" spans="1:10">
      <c r="A3580" s="16" t="s">
        <v>15228</v>
      </c>
      <c r="B3580" s="1" t="s">
        <v>2631</v>
      </c>
      <c r="C3580" s="1">
        <v>2371</v>
      </c>
      <c r="D3580" s="1" t="s">
        <v>16</v>
      </c>
      <c r="E3580" s="1" t="s">
        <v>10</v>
      </c>
      <c r="F3580" s="1" t="s">
        <v>5241</v>
      </c>
      <c r="G3580" s="1" t="s">
        <v>6307</v>
      </c>
      <c r="H3580" s="1" t="s">
        <v>44</v>
      </c>
      <c r="I3580" s="17">
        <v>42522</v>
      </c>
    </row>
    <row r="3581" spans="1:10">
      <c r="A3581" s="19" t="s">
        <v>15246</v>
      </c>
      <c r="B3581" s="13" t="s">
        <v>16952</v>
      </c>
      <c r="C3581" s="13">
        <v>2</v>
      </c>
      <c r="D3581" s="13" t="s">
        <v>16</v>
      </c>
      <c r="E3581" s="13" t="s">
        <v>10</v>
      </c>
      <c r="F3581" s="13" t="s">
        <v>5241</v>
      </c>
      <c r="G3581" s="20" t="s">
        <v>6307</v>
      </c>
      <c r="H3581" s="13" t="s">
        <v>44</v>
      </c>
      <c r="I3581" s="18">
        <v>43160</v>
      </c>
    </row>
    <row r="3582" spans="1:10">
      <c r="A3582" s="16" t="s">
        <v>15248</v>
      </c>
      <c r="B3582" s="1" t="s">
        <v>2631</v>
      </c>
      <c r="C3582" s="1">
        <v>2</v>
      </c>
      <c r="D3582" s="1" t="s">
        <v>16</v>
      </c>
      <c r="E3582" s="1" t="s">
        <v>10</v>
      </c>
      <c r="F3582" s="1" t="s">
        <v>5241</v>
      </c>
      <c r="G3582" s="1" t="s">
        <v>4803</v>
      </c>
      <c r="H3582" s="1" t="s">
        <v>5</v>
      </c>
      <c r="I3582" s="17">
        <v>42887</v>
      </c>
      <c r="J3582" s="17"/>
    </row>
    <row r="3583" spans="1:10">
      <c r="A3583" s="16" t="s">
        <v>15250</v>
      </c>
      <c r="B3583" s="1" t="s">
        <v>2631</v>
      </c>
      <c r="C3583" s="1">
        <v>2</v>
      </c>
      <c r="D3583" s="1" t="s">
        <v>16</v>
      </c>
      <c r="E3583" s="1" t="s">
        <v>10</v>
      </c>
      <c r="F3583" s="1" t="s">
        <v>5241</v>
      </c>
      <c r="G3583" s="1" t="s">
        <v>4803</v>
      </c>
      <c r="H3583" s="1" t="s">
        <v>5</v>
      </c>
      <c r="I3583" s="17">
        <v>42583</v>
      </c>
      <c r="J3583" s="17"/>
    </row>
    <row r="3584" spans="1:10">
      <c r="A3584" s="16" t="s">
        <v>15257</v>
      </c>
      <c r="B3584" s="1" t="s">
        <v>2628</v>
      </c>
      <c r="C3584" s="1">
        <v>2</v>
      </c>
      <c r="D3584" s="1" t="s">
        <v>16</v>
      </c>
      <c r="E3584" s="1" t="s">
        <v>10</v>
      </c>
      <c r="F3584" s="1" t="s">
        <v>5241</v>
      </c>
      <c r="G3584" s="14" t="s">
        <v>4803</v>
      </c>
      <c r="H3584" s="1" t="s">
        <v>5</v>
      </c>
      <c r="I3584" s="17">
        <v>41883</v>
      </c>
    </row>
    <row r="3585" spans="1:10">
      <c r="A3585" s="16" t="s">
        <v>15262</v>
      </c>
      <c r="B3585" s="1" t="s">
        <v>2631</v>
      </c>
      <c r="C3585" s="1">
        <v>2371</v>
      </c>
      <c r="D3585" s="1" t="s">
        <v>16</v>
      </c>
      <c r="E3585" s="1" t="s">
        <v>10</v>
      </c>
      <c r="F3585" s="1" t="s">
        <v>5241</v>
      </c>
      <c r="G3585" s="1" t="s">
        <v>6307</v>
      </c>
      <c r="H3585" s="1" t="s">
        <v>44</v>
      </c>
      <c r="I3585" s="17">
        <v>42522</v>
      </c>
    </row>
    <row r="3586" spans="1:10">
      <c r="A3586" s="16" t="s">
        <v>15263</v>
      </c>
      <c r="B3586" s="1" t="s">
        <v>2631</v>
      </c>
      <c r="C3586" s="1">
        <v>2</v>
      </c>
      <c r="D3586" s="1" t="s">
        <v>16</v>
      </c>
      <c r="E3586" s="1" t="s">
        <v>10</v>
      </c>
      <c r="F3586" s="1" t="s">
        <v>5241</v>
      </c>
      <c r="G3586" s="1" t="s">
        <v>6307</v>
      </c>
      <c r="H3586" s="1" t="s">
        <v>44</v>
      </c>
      <c r="I3586" s="17">
        <v>42491</v>
      </c>
    </row>
    <row r="3587" spans="1:10">
      <c r="A3587" s="16" t="s">
        <v>15268</v>
      </c>
      <c r="B3587" s="1" t="s">
        <v>2631</v>
      </c>
      <c r="C3587" s="1">
        <v>2</v>
      </c>
      <c r="D3587" s="1" t="s">
        <v>16</v>
      </c>
      <c r="E3587" s="1" t="s">
        <v>10</v>
      </c>
      <c r="F3587" s="1" t="s">
        <v>5241</v>
      </c>
      <c r="G3587" s="1" t="s">
        <v>4803</v>
      </c>
      <c r="H3587" s="1" t="s">
        <v>5</v>
      </c>
      <c r="I3587" s="17">
        <v>42887</v>
      </c>
      <c r="J3587" s="17"/>
    </row>
    <row r="3588" spans="1:10">
      <c r="A3588" s="16" t="s">
        <v>15271</v>
      </c>
      <c r="B3588" s="1" t="s">
        <v>2628</v>
      </c>
      <c r="C3588" s="1">
        <v>2</v>
      </c>
      <c r="D3588" s="1" t="s">
        <v>16</v>
      </c>
      <c r="E3588" s="1" t="s">
        <v>10</v>
      </c>
      <c r="F3588" s="1" t="s">
        <v>5241</v>
      </c>
      <c r="G3588" s="14" t="s">
        <v>6307</v>
      </c>
      <c r="H3588" s="1" t="s">
        <v>44</v>
      </c>
      <c r="I3588" s="17">
        <v>43101</v>
      </c>
    </row>
    <row r="3589" spans="1:10">
      <c r="A3589" s="16" t="s">
        <v>15272</v>
      </c>
      <c r="B3589" s="1" t="s">
        <v>2631</v>
      </c>
      <c r="C3589" s="1">
        <v>2</v>
      </c>
      <c r="D3589" s="1" t="s">
        <v>16</v>
      </c>
      <c r="E3589" s="1" t="s">
        <v>10</v>
      </c>
      <c r="F3589" s="1" t="s">
        <v>5241</v>
      </c>
      <c r="G3589" s="1" t="s">
        <v>6307</v>
      </c>
      <c r="H3589" s="1" t="s">
        <v>44</v>
      </c>
      <c r="I3589" s="17">
        <v>42430</v>
      </c>
    </row>
    <row r="3590" spans="1:10">
      <c r="A3590" s="16" t="s">
        <v>15282</v>
      </c>
      <c r="B3590" s="1" t="s">
        <v>2631</v>
      </c>
      <c r="C3590" s="1">
        <v>2</v>
      </c>
      <c r="D3590" s="1" t="s">
        <v>16</v>
      </c>
      <c r="E3590" s="1" t="s">
        <v>10</v>
      </c>
      <c r="F3590" s="1" t="s">
        <v>5241</v>
      </c>
      <c r="G3590" s="1" t="s">
        <v>4803</v>
      </c>
      <c r="H3590" s="1" t="s">
        <v>5</v>
      </c>
      <c r="I3590" s="17">
        <v>42887</v>
      </c>
      <c r="J3590" s="17"/>
    </row>
    <row r="3591" spans="1:10">
      <c r="A3591" s="16" t="s">
        <v>15293</v>
      </c>
      <c r="B3591" s="1" t="s">
        <v>2631</v>
      </c>
      <c r="C3591" s="1">
        <v>2</v>
      </c>
      <c r="D3591" s="1" t="s">
        <v>16</v>
      </c>
      <c r="E3591" s="1" t="s">
        <v>10</v>
      </c>
      <c r="F3591" s="1" t="s">
        <v>5241</v>
      </c>
      <c r="G3591" s="1" t="s">
        <v>4803</v>
      </c>
      <c r="H3591" s="1" t="s">
        <v>5</v>
      </c>
      <c r="I3591" s="17">
        <v>42887</v>
      </c>
      <c r="J3591" s="17"/>
    </row>
    <row r="3592" spans="1:10">
      <c r="A3592" s="16" t="s">
        <v>15307</v>
      </c>
      <c r="B3592" s="1" t="s">
        <v>2631</v>
      </c>
      <c r="C3592" s="1">
        <v>2</v>
      </c>
      <c r="D3592" s="1" t="s">
        <v>16</v>
      </c>
      <c r="E3592" s="1" t="s">
        <v>10</v>
      </c>
      <c r="F3592" s="1" t="s">
        <v>5241</v>
      </c>
      <c r="G3592" s="1" t="s">
        <v>4803</v>
      </c>
      <c r="H3592" s="1" t="s">
        <v>5</v>
      </c>
      <c r="I3592" s="17">
        <v>42644</v>
      </c>
      <c r="J3592" s="17"/>
    </row>
    <row r="3593" spans="1:10">
      <c r="A3593" s="16" t="s">
        <v>15325</v>
      </c>
      <c r="B3593" s="1" t="s">
        <v>2631</v>
      </c>
      <c r="C3593" s="1">
        <v>2</v>
      </c>
      <c r="D3593" s="1" t="s">
        <v>16</v>
      </c>
      <c r="E3593" s="1" t="s">
        <v>10</v>
      </c>
      <c r="F3593" s="1" t="s">
        <v>5241</v>
      </c>
      <c r="G3593" s="1" t="s">
        <v>4803</v>
      </c>
      <c r="H3593" s="1" t="s">
        <v>5</v>
      </c>
      <c r="I3593" s="17">
        <v>42614</v>
      </c>
      <c r="J3593" s="17"/>
    </row>
    <row r="3594" spans="1:10">
      <c r="A3594" s="16" t="s">
        <v>15337</v>
      </c>
      <c r="B3594" s="1" t="s">
        <v>2628</v>
      </c>
      <c r="C3594" s="1">
        <v>2</v>
      </c>
      <c r="D3594" s="1" t="s">
        <v>16</v>
      </c>
      <c r="E3594" s="1" t="s">
        <v>10</v>
      </c>
      <c r="F3594" s="1" t="s">
        <v>5241</v>
      </c>
      <c r="G3594" s="14" t="s">
        <v>4803</v>
      </c>
      <c r="H3594" s="1" t="s">
        <v>5</v>
      </c>
      <c r="I3594" s="17">
        <v>42583</v>
      </c>
    </row>
    <row r="3595" spans="1:10">
      <c r="A3595" s="16" t="s">
        <v>15343</v>
      </c>
      <c r="B3595" s="1" t="s">
        <v>2631</v>
      </c>
      <c r="C3595" s="1">
        <v>2</v>
      </c>
      <c r="D3595" s="1" t="s">
        <v>16</v>
      </c>
      <c r="E3595" s="1" t="s">
        <v>10</v>
      </c>
      <c r="F3595" s="1" t="s">
        <v>5241</v>
      </c>
      <c r="G3595" s="1" t="s">
        <v>6307</v>
      </c>
      <c r="H3595" s="1" t="s">
        <v>44</v>
      </c>
      <c r="I3595" s="17">
        <v>43101</v>
      </c>
    </row>
    <row r="3596" spans="1:10">
      <c r="A3596" s="16" t="s">
        <v>15348</v>
      </c>
      <c r="B3596" s="1" t="s">
        <v>2631</v>
      </c>
      <c r="C3596" s="1">
        <v>2</v>
      </c>
      <c r="D3596" s="1" t="s">
        <v>16</v>
      </c>
      <c r="E3596" s="1" t="s">
        <v>10</v>
      </c>
      <c r="F3596" s="1" t="s">
        <v>5241</v>
      </c>
      <c r="G3596" s="1" t="s">
        <v>6307</v>
      </c>
      <c r="H3596" s="1" t="s">
        <v>44</v>
      </c>
      <c r="I3596" s="17">
        <v>42644</v>
      </c>
    </row>
    <row r="3597" spans="1:10">
      <c r="A3597" s="16" t="s">
        <v>15357</v>
      </c>
      <c r="B3597" s="1" t="s">
        <v>2631</v>
      </c>
      <c r="C3597" s="1">
        <v>2</v>
      </c>
      <c r="D3597" s="1" t="s">
        <v>16</v>
      </c>
      <c r="E3597" s="1" t="s">
        <v>10</v>
      </c>
      <c r="F3597" s="1" t="s">
        <v>5241</v>
      </c>
      <c r="G3597" s="1" t="s">
        <v>6307</v>
      </c>
      <c r="H3597" s="1" t="s">
        <v>44</v>
      </c>
      <c r="I3597" s="17">
        <v>42248</v>
      </c>
    </row>
    <row r="3598" spans="1:10">
      <c r="A3598" s="16" t="s">
        <v>15363</v>
      </c>
      <c r="B3598" s="1" t="s">
        <v>2628</v>
      </c>
      <c r="C3598" s="1">
        <v>2372</v>
      </c>
      <c r="D3598" s="1" t="s">
        <v>16</v>
      </c>
      <c r="E3598" s="1" t="s">
        <v>10</v>
      </c>
      <c r="F3598" s="1" t="s">
        <v>5241</v>
      </c>
      <c r="G3598" s="14" t="s">
        <v>4803</v>
      </c>
      <c r="H3598" s="1" t="s">
        <v>5</v>
      </c>
      <c r="I3598" s="17">
        <v>42278</v>
      </c>
    </row>
    <row r="3599" spans="1:10">
      <c r="A3599" s="16" t="s">
        <v>15393</v>
      </c>
      <c r="B3599" s="1" t="s">
        <v>2631</v>
      </c>
      <c r="C3599" s="1">
        <v>2</v>
      </c>
      <c r="D3599" s="1" t="s">
        <v>16</v>
      </c>
      <c r="E3599" s="1" t="s">
        <v>10</v>
      </c>
      <c r="F3599" s="1" t="s">
        <v>5241</v>
      </c>
      <c r="G3599" s="1" t="s">
        <v>4803</v>
      </c>
      <c r="H3599" s="1" t="s">
        <v>5</v>
      </c>
      <c r="I3599" s="17">
        <v>41821</v>
      </c>
    </row>
    <row r="3600" spans="1:10">
      <c r="A3600" s="16" t="s">
        <v>15395</v>
      </c>
      <c r="B3600" s="1" t="s">
        <v>2631</v>
      </c>
      <c r="C3600" s="1">
        <v>2</v>
      </c>
      <c r="D3600" s="1" t="s">
        <v>16</v>
      </c>
      <c r="E3600" s="1" t="s">
        <v>10</v>
      </c>
      <c r="F3600" s="1" t="s">
        <v>5241</v>
      </c>
      <c r="G3600" s="1" t="s">
        <v>6307</v>
      </c>
      <c r="H3600" s="1" t="s">
        <v>44</v>
      </c>
      <c r="I3600" s="17">
        <v>42644</v>
      </c>
    </row>
    <row r="3601" spans="1:9">
      <c r="A3601" s="16" t="s">
        <v>15411</v>
      </c>
      <c r="B3601" s="1" t="s">
        <v>2628</v>
      </c>
      <c r="C3601" s="1">
        <v>2</v>
      </c>
      <c r="D3601" s="1" t="s">
        <v>16</v>
      </c>
      <c r="E3601" s="1" t="s">
        <v>10</v>
      </c>
      <c r="F3601" s="1" t="s">
        <v>5241</v>
      </c>
      <c r="G3601" s="14" t="s">
        <v>4803</v>
      </c>
      <c r="H3601" s="1" t="s">
        <v>5</v>
      </c>
      <c r="I3601" s="17">
        <v>41730</v>
      </c>
    </row>
    <row r="3602" spans="1:9">
      <c r="A3602" s="16" t="s">
        <v>15412</v>
      </c>
      <c r="B3602" s="1" t="s">
        <v>2631</v>
      </c>
      <c r="C3602" s="1">
        <v>2</v>
      </c>
      <c r="D3602" s="1" t="s">
        <v>16</v>
      </c>
      <c r="E3602" s="1" t="s">
        <v>10</v>
      </c>
      <c r="F3602" s="1" t="s">
        <v>5241</v>
      </c>
      <c r="G3602" s="1" t="s">
        <v>4803</v>
      </c>
      <c r="H3602" s="1" t="s">
        <v>5</v>
      </c>
      <c r="I3602" s="17">
        <v>43132</v>
      </c>
    </row>
    <row r="3603" spans="1:9">
      <c r="A3603" s="16" t="s">
        <v>15425</v>
      </c>
      <c r="B3603" s="1" t="s">
        <v>2631</v>
      </c>
      <c r="C3603" s="1">
        <v>2</v>
      </c>
      <c r="D3603" s="1" t="s">
        <v>16</v>
      </c>
      <c r="E3603" s="1" t="s">
        <v>10</v>
      </c>
      <c r="F3603" s="1" t="s">
        <v>5241</v>
      </c>
      <c r="G3603" s="1" t="s">
        <v>4803</v>
      </c>
      <c r="H3603" s="1" t="s">
        <v>5</v>
      </c>
      <c r="I3603" s="17">
        <v>42767</v>
      </c>
    </row>
    <row r="3604" spans="1:9">
      <c r="A3604" s="16" t="s">
        <v>15435</v>
      </c>
      <c r="B3604" s="1" t="s">
        <v>2631</v>
      </c>
      <c r="C3604" s="1">
        <v>2</v>
      </c>
      <c r="D3604" s="1" t="s">
        <v>16</v>
      </c>
      <c r="E3604" s="1" t="s">
        <v>10</v>
      </c>
      <c r="F3604" s="1" t="s">
        <v>5241</v>
      </c>
      <c r="G3604" s="1" t="s">
        <v>4803</v>
      </c>
      <c r="H3604" s="1" t="s">
        <v>5</v>
      </c>
      <c r="I3604" s="17">
        <v>42644</v>
      </c>
    </row>
    <row r="3605" spans="1:9">
      <c r="A3605" s="16" t="s">
        <v>15450</v>
      </c>
      <c r="B3605" s="1" t="s">
        <v>2631</v>
      </c>
      <c r="C3605" s="1">
        <v>2</v>
      </c>
      <c r="D3605" s="1" t="s">
        <v>16</v>
      </c>
      <c r="E3605" s="1" t="s">
        <v>10</v>
      </c>
      <c r="F3605" s="1" t="s">
        <v>5241</v>
      </c>
      <c r="G3605" s="1" t="s">
        <v>6307</v>
      </c>
      <c r="H3605" s="1" t="s">
        <v>44</v>
      </c>
      <c r="I3605" s="17">
        <v>42491</v>
      </c>
    </row>
    <row r="3606" spans="1:9">
      <c r="A3606" s="16" t="s">
        <v>15467</v>
      </c>
      <c r="B3606" s="1" t="s">
        <v>2631</v>
      </c>
      <c r="C3606" s="1">
        <v>2</v>
      </c>
      <c r="D3606" s="1" t="s">
        <v>16</v>
      </c>
      <c r="E3606" s="1" t="s">
        <v>10</v>
      </c>
      <c r="F3606" s="1" t="s">
        <v>5241</v>
      </c>
      <c r="G3606" s="1" t="s">
        <v>4803</v>
      </c>
      <c r="H3606" s="1" t="s">
        <v>5</v>
      </c>
      <c r="I3606" s="17">
        <v>42856</v>
      </c>
    </row>
    <row r="3607" spans="1:9">
      <c r="A3607" s="16" t="s">
        <v>15487</v>
      </c>
      <c r="B3607" s="1" t="s">
        <v>2628</v>
      </c>
      <c r="C3607" s="1">
        <v>2</v>
      </c>
      <c r="D3607" s="1" t="s">
        <v>16</v>
      </c>
      <c r="E3607" s="1" t="s">
        <v>10</v>
      </c>
      <c r="F3607" s="1" t="s">
        <v>5241</v>
      </c>
      <c r="G3607" s="14" t="s">
        <v>6307</v>
      </c>
      <c r="H3607" s="1" t="s">
        <v>44</v>
      </c>
      <c r="I3607" s="17">
        <v>42979</v>
      </c>
    </row>
    <row r="3608" spans="1:9">
      <c r="A3608" s="16" t="s">
        <v>15510</v>
      </c>
      <c r="B3608" s="1" t="s">
        <v>2631</v>
      </c>
      <c r="C3608" s="1">
        <v>2</v>
      </c>
      <c r="D3608" s="1" t="s">
        <v>16</v>
      </c>
      <c r="E3608" s="1" t="s">
        <v>10</v>
      </c>
      <c r="F3608" s="1" t="s">
        <v>5241</v>
      </c>
      <c r="G3608" s="1" t="s">
        <v>4803</v>
      </c>
      <c r="H3608" s="1" t="s">
        <v>5</v>
      </c>
      <c r="I3608" s="17">
        <v>42887</v>
      </c>
    </row>
    <row r="3609" spans="1:9">
      <c r="A3609" s="16" t="s">
        <v>15555</v>
      </c>
      <c r="B3609" s="1" t="s">
        <v>2631</v>
      </c>
      <c r="C3609" s="1">
        <v>2</v>
      </c>
      <c r="D3609" s="1" t="s">
        <v>16</v>
      </c>
      <c r="E3609" s="1" t="s">
        <v>10</v>
      </c>
      <c r="F3609" s="1" t="s">
        <v>5241</v>
      </c>
      <c r="G3609" s="1" t="s">
        <v>6307</v>
      </c>
      <c r="H3609" s="1" t="s">
        <v>44</v>
      </c>
      <c r="I3609" s="17">
        <v>42644</v>
      </c>
    </row>
    <row r="3610" spans="1:9">
      <c r="A3610" s="16" t="s">
        <v>15623</v>
      </c>
      <c r="B3610" s="1" t="s">
        <v>2631</v>
      </c>
      <c r="C3610" s="1">
        <v>2</v>
      </c>
      <c r="D3610" s="1" t="s">
        <v>16</v>
      </c>
      <c r="E3610" s="1" t="s">
        <v>10</v>
      </c>
      <c r="F3610" s="1" t="s">
        <v>5241</v>
      </c>
      <c r="G3610" s="1" t="s">
        <v>4803</v>
      </c>
      <c r="H3610" s="1" t="s">
        <v>5</v>
      </c>
      <c r="I3610" s="17">
        <v>43344</v>
      </c>
    </row>
    <row r="3611" spans="1:9">
      <c r="A3611" s="16" t="s">
        <v>15719</v>
      </c>
      <c r="B3611" s="1" t="s">
        <v>2631</v>
      </c>
      <c r="C3611" s="1">
        <v>2</v>
      </c>
      <c r="D3611" s="1" t="s">
        <v>16</v>
      </c>
      <c r="E3611" s="1" t="s">
        <v>10</v>
      </c>
      <c r="F3611" s="1" t="s">
        <v>118</v>
      </c>
      <c r="G3611" s="14" t="s">
        <v>4458</v>
      </c>
      <c r="H3611" s="1" t="s">
        <v>118</v>
      </c>
      <c r="I3611" s="1" t="s">
        <v>4792</v>
      </c>
    </row>
    <row r="3612" spans="1:9">
      <c r="A3612" s="7" t="s">
        <v>15849</v>
      </c>
      <c r="B3612" s="2" t="s">
        <v>2628</v>
      </c>
      <c r="C3612" s="1">
        <v>2</v>
      </c>
      <c r="D3612" s="1" t="s">
        <v>16</v>
      </c>
      <c r="E3612" s="1" t="s">
        <v>10</v>
      </c>
      <c r="F3612" s="1" t="s">
        <v>5091</v>
      </c>
      <c r="G3612" s="14" t="s">
        <v>15848</v>
      </c>
      <c r="H3612" s="1" t="s">
        <v>43</v>
      </c>
      <c r="I3612" s="1" t="s">
        <v>5092</v>
      </c>
    </row>
    <row r="3613" spans="1:9">
      <c r="A3613" s="7" t="s">
        <v>15867</v>
      </c>
      <c r="B3613" s="2" t="s">
        <v>2628</v>
      </c>
      <c r="C3613" s="1">
        <v>2</v>
      </c>
      <c r="D3613" s="1" t="s">
        <v>16</v>
      </c>
      <c r="E3613" s="1" t="s">
        <v>10</v>
      </c>
      <c r="F3613" s="1" t="s">
        <v>5091</v>
      </c>
      <c r="G3613" s="14" t="s">
        <v>15868</v>
      </c>
      <c r="H3613" s="1" t="s">
        <v>43</v>
      </c>
      <c r="I3613" s="1" t="s">
        <v>5092</v>
      </c>
    </row>
    <row r="3614" spans="1:9">
      <c r="A3614" s="7" t="s">
        <v>15870</v>
      </c>
      <c r="B3614" s="2" t="s">
        <v>2628</v>
      </c>
      <c r="C3614" s="1">
        <v>2</v>
      </c>
      <c r="D3614" s="1" t="s">
        <v>16</v>
      </c>
      <c r="E3614" s="1" t="s">
        <v>10</v>
      </c>
      <c r="F3614" s="1" t="s">
        <v>5091</v>
      </c>
      <c r="G3614" s="14" t="s">
        <v>6367</v>
      </c>
      <c r="H3614" s="1" t="s">
        <v>43</v>
      </c>
      <c r="I3614" s="1" t="s">
        <v>5092</v>
      </c>
    </row>
    <row r="3615" spans="1:9">
      <c r="A3615" s="7" t="s">
        <v>15893</v>
      </c>
      <c r="B3615" s="2" t="s">
        <v>2628</v>
      </c>
      <c r="C3615" s="1">
        <v>2</v>
      </c>
      <c r="D3615" s="1" t="s">
        <v>16</v>
      </c>
      <c r="E3615" s="1" t="s">
        <v>10</v>
      </c>
      <c r="F3615" s="1" t="s">
        <v>5091</v>
      </c>
      <c r="G3615" s="14" t="s">
        <v>6196</v>
      </c>
      <c r="H3615" s="1" t="s">
        <v>43</v>
      </c>
      <c r="I3615" s="1" t="s">
        <v>5092</v>
      </c>
    </row>
    <row r="3616" spans="1:9">
      <c r="A3616" s="7" t="s">
        <v>15894</v>
      </c>
      <c r="B3616" s="2" t="s">
        <v>2628</v>
      </c>
      <c r="C3616" s="1">
        <v>2</v>
      </c>
      <c r="D3616" s="1" t="s">
        <v>16</v>
      </c>
      <c r="E3616" s="1" t="s">
        <v>10</v>
      </c>
      <c r="F3616" s="1" t="s">
        <v>5091</v>
      </c>
      <c r="G3616" s="14" t="s">
        <v>6209</v>
      </c>
      <c r="H3616" s="1" t="s">
        <v>43</v>
      </c>
      <c r="I3616" s="1" t="s">
        <v>5092</v>
      </c>
    </row>
    <row r="3617" spans="1:10">
      <c r="A3617" s="7" t="s">
        <v>15895</v>
      </c>
      <c r="B3617" s="2" t="s">
        <v>2628</v>
      </c>
      <c r="C3617" s="1">
        <v>2</v>
      </c>
      <c r="D3617" s="1" t="s">
        <v>16</v>
      </c>
      <c r="E3617" s="1" t="s">
        <v>10</v>
      </c>
      <c r="F3617" s="1" t="s">
        <v>5091</v>
      </c>
      <c r="G3617" s="14" t="s">
        <v>15854</v>
      </c>
      <c r="H3617" s="1" t="s">
        <v>43</v>
      </c>
      <c r="I3617" s="1" t="s">
        <v>5092</v>
      </c>
    </row>
    <row r="3618" spans="1:10">
      <c r="A3618" s="7" t="s">
        <v>15896</v>
      </c>
      <c r="B3618" s="2" t="s">
        <v>2628</v>
      </c>
      <c r="C3618" s="1">
        <v>2</v>
      </c>
      <c r="D3618" s="1" t="s">
        <v>16</v>
      </c>
      <c r="E3618" s="1" t="s">
        <v>10</v>
      </c>
      <c r="F3618" s="1" t="s">
        <v>5091</v>
      </c>
      <c r="G3618" s="14" t="s">
        <v>6201</v>
      </c>
      <c r="H3618" s="1" t="s">
        <v>43</v>
      </c>
      <c r="I3618" s="1" t="s">
        <v>5092</v>
      </c>
    </row>
    <row r="3619" spans="1:10">
      <c r="A3619" s="7" t="s">
        <v>15899</v>
      </c>
      <c r="B3619" s="2" t="s">
        <v>2628</v>
      </c>
      <c r="C3619" s="1">
        <v>2</v>
      </c>
      <c r="D3619" s="1" t="s">
        <v>16</v>
      </c>
      <c r="E3619" s="1" t="s">
        <v>10</v>
      </c>
      <c r="F3619" s="1" t="s">
        <v>5091</v>
      </c>
      <c r="G3619" s="14" t="s">
        <v>13615</v>
      </c>
      <c r="H3619" s="1" t="s">
        <v>5</v>
      </c>
      <c r="I3619" s="1" t="s">
        <v>5092</v>
      </c>
    </row>
    <row r="3620" spans="1:10">
      <c r="A3620" s="7" t="s">
        <v>16241</v>
      </c>
      <c r="B3620" s="2" t="s">
        <v>2628</v>
      </c>
      <c r="C3620" s="1">
        <v>2</v>
      </c>
      <c r="D3620" s="1" t="s">
        <v>16</v>
      </c>
      <c r="E3620" s="1" t="s">
        <v>10</v>
      </c>
      <c r="F3620" s="1" t="s">
        <v>5091</v>
      </c>
      <c r="G3620" s="14" t="s">
        <v>6139</v>
      </c>
      <c r="H3620" s="1" t="s">
        <v>43</v>
      </c>
      <c r="I3620" s="1" t="s">
        <v>5807</v>
      </c>
    </row>
    <row r="3621" spans="1:10">
      <c r="A3621" s="7" t="s">
        <v>16242</v>
      </c>
      <c r="B3621" s="2" t="s">
        <v>2628</v>
      </c>
      <c r="C3621" s="1">
        <v>2</v>
      </c>
      <c r="D3621" s="1" t="s">
        <v>16</v>
      </c>
      <c r="E3621" s="1" t="s">
        <v>10</v>
      </c>
      <c r="F3621" s="1" t="s">
        <v>5091</v>
      </c>
      <c r="G3621" s="14" t="s">
        <v>6139</v>
      </c>
      <c r="H3621" s="1" t="s">
        <v>43</v>
      </c>
      <c r="I3621" s="1" t="s">
        <v>5807</v>
      </c>
    </row>
    <row r="3622" spans="1:10">
      <c r="A3622" s="7" t="s">
        <v>16303</v>
      </c>
      <c r="B3622" s="2" t="s">
        <v>2631</v>
      </c>
      <c r="C3622" s="1">
        <v>2</v>
      </c>
      <c r="D3622" s="1" t="s">
        <v>16</v>
      </c>
      <c r="E3622" s="1" t="s">
        <v>10</v>
      </c>
      <c r="F3622" s="1" t="s">
        <v>5091</v>
      </c>
      <c r="G3622" s="14" t="s">
        <v>16304</v>
      </c>
      <c r="H3622" s="1" t="s">
        <v>43</v>
      </c>
      <c r="I3622" s="1">
        <v>2019</v>
      </c>
    </row>
    <row r="3623" spans="1:10">
      <c r="A3623" s="7" t="s">
        <v>16615</v>
      </c>
      <c r="B3623" s="2" t="s">
        <v>2628</v>
      </c>
      <c r="C3623" s="1">
        <v>2</v>
      </c>
      <c r="D3623" s="1" t="s">
        <v>16</v>
      </c>
      <c r="E3623" s="1" t="s">
        <v>10</v>
      </c>
      <c r="F3623" s="1" t="s">
        <v>5091</v>
      </c>
      <c r="G3623" s="14" t="s">
        <v>16616</v>
      </c>
      <c r="H3623" s="1" t="s">
        <v>43</v>
      </c>
      <c r="I3623" s="1" t="s">
        <v>5807</v>
      </c>
    </row>
    <row r="3624" spans="1:10">
      <c r="A3624" s="7" t="s">
        <v>16617</v>
      </c>
      <c r="B3624" s="2" t="s">
        <v>2628</v>
      </c>
      <c r="C3624" s="1">
        <v>2</v>
      </c>
      <c r="D3624" s="1" t="s">
        <v>16</v>
      </c>
      <c r="E3624" s="1" t="s">
        <v>10</v>
      </c>
      <c r="F3624" s="1" t="s">
        <v>5091</v>
      </c>
      <c r="G3624" s="14" t="s">
        <v>16618</v>
      </c>
      <c r="H3624" s="1" t="s">
        <v>43</v>
      </c>
      <c r="I3624" s="1" t="s">
        <v>5807</v>
      </c>
    </row>
    <row r="3625" spans="1:10">
      <c r="A3625" s="7" t="s">
        <v>16619</v>
      </c>
      <c r="B3625" s="2" t="s">
        <v>2628</v>
      </c>
      <c r="C3625" s="1">
        <v>2</v>
      </c>
      <c r="D3625" s="1" t="s">
        <v>16</v>
      </c>
      <c r="E3625" s="1" t="s">
        <v>10</v>
      </c>
      <c r="F3625" s="1" t="s">
        <v>5091</v>
      </c>
      <c r="G3625" s="14" t="s">
        <v>16616</v>
      </c>
      <c r="H3625" s="1" t="s">
        <v>43</v>
      </c>
      <c r="I3625" s="1" t="s">
        <v>5807</v>
      </c>
    </row>
    <row r="3626" spans="1:10">
      <c r="A3626" s="7" t="s">
        <v>16620</v>
      </c>
      <c r="B3626" s="2" t="s">
        <v>2628</v>
      </c>
      <c r="C3626" s="1">
        <v>2</v>
      </c>
      <c r="D3626" s="1" t="s">
        <v>16</v>
      </c>
      <c r="E3626" s="1" t="s">
        <v>10</v>
      </c>
      <c r="F3626" s="1" t="s">
        <v>5091</v>
      </c>
      <c r="G3626" s="14" t="s">
        <v>16618</v>
      </c>
      <c r="H3626" s="1" t="s">
        <v>43</v>
      </c>
      <c r="I3626" s="1" t="s">
        <v>5807</v>
      </c>
    </row>
    <row r="3627" spans="1:10">
      <c r="A3627" s="7" t="s">
        <v>16629</v>
      </c>
      <c r="B3627" s="2" t="s">
        <v>2628</v>
      </c>
      <c r="C3627" s="1">
        <v>2</v>
      </c>
      <c r="D3627" s="1" t="s">
        <v>16</v>
      </c>
      <c r="E3627" s="1" t="s">
        <v>10</v>
      </c>
      <c r="F3627" s="1" t="s">
        <v>5091</v>
      </c>
      <c r="G3627" s="14" t="s">
        <v>16630</v>
      </c>
      <c r="H3627" s="1" t="s">
        <v>5</v>
      </c>
      <c r="I3627" s="1" t="s">
        <v>5807</v>
      </c>
      <c r="J3627" s="17"/>
    </row>
    <row r="3628" spans="1:10">
      <c r="A3628" s="7" t="s">
        <v>16631</v>
      </c>
      <c r="B3628" s="2" t="s">
        <v>2628</v>
      </c>
      <c r="C3628" s="1">
        <v>2</v>
      </c>
      <c r="D3628" s="1" t="s">
        <v>16</v>
      </c>
      <c r="E3628" s="1" t="s">
        <v>10</v>
      </c>
      <c r="F3628" s="1" t="s">
        <v>5091</v>
      </c>
      <c r="G3628" s="14" t="s">
        <v>16630</v>
      </c>
      <c r="H3628" s="1" t="s">
        <v>5</v>
      </c>
      <c r="I3628" s="1" t="s">
        <v>5807</v>
      </c>
      <c r="J3628" s="17"/>
    </row>
    <row r="3629" spans="1:10">
      <c r="A3629" s="7" t="s">
        <v>16646</v>
      </c>
      <c r="B3629" s="2" t="s">
        <v>2628</v>
      </c>
      <c r="C3629" s="1">
        <v>2</v>
      </c>
      <c r="D3629" s="1" t="s">
        <v>16</v>
      </c>
      <c r="E3629" s="1" t="s">
        <v>10</v>
      </c>
      <c r="F3629" s="1" t="s">
        <v>5091</v>
      </c>
      <c r="G3629" s="14" t="s">
        <v>6139</v>
      </c>
      <c r="H3629" s="1" t="s">
        <v>43</v>
      </c>
      <c r="I3629" s="1" t="s">
        <v>5807</v>
      </c>
    </row>
    <row r="3630" spans="1:10">
      <c r="A3630" s="7" t="s">
        <v>16675</v>
      </c>
      <c r="B3630" s="2" t="s">
        <v>2628</v>
      </c>
      <c r="C3630" s="1">
        <v>2</v>
      </c>
      <c r="D3630" s="1" t="s">
        <v>16</v>
      </c>
      <c r="E3630" s="1" t="s">
        <v>10</v>
      </c>
      <c r="F3630" s="1" t="s">
        <v>5091</v>
      </c>
      <c r="G3630" s="14" t="s">
        <v>6139</v>
      </c>
      <c r="H3630" s="1" t="s">
        <v>43</v>
      </c>
      <c r="I3630" s="1" t="s">
        <v>5807</v>
      </c>
    </row>
    <row r="3631" spans="1:10">
      <c r="A3631" s="7" t="s">
        <v>16696</v>
      </c>
      <c r="B3631" s="2" t="s">
        <v>2628</v>
      </c>
      <c r="C3631" s="1">
        <v>2</v>
      </c>
      <c r="D3631" s="1" t="s">
        <v>16</v>
      </c>
      <c r="E3631" s="1" t="s">
        <v>10</v>
      </c>
      <c r="F3631" s="1" t="s">
        <v>5091</v>
      </c>
      <c r="G3631" s="14" t="s">
        <v>6139</v>
      </c>
      <c r="H3631" s="1" t="s">
        <v>43</v>
      </c>
      <c r="I3631" s="1" t="s">
        <v>5807</v>
      </c>
    </row>
    <row r="3632" spans="1:10">
      <c r="A3632" s="7" t="s">
        <v>16807</v>
      </c>
      <c r="B3632" s="2" t="s">
        <v>2628</v>
      </c>
      <c r="C3632" s="1">
        <v>2</v>
      </c>
      <c r="D3632" s="1" t="s">
        <v>16</v>
      </c>
      <c r="E3632" s="1" t="s">
        <v>10</v>
      </c>
      <c r="F3632" s="1" t="s">
        <v>5091</v>
      </c>
      <c r="G3632" s="14" t="s">
        <v>16808</v>
      </c>
      <c r="H3632" s="1" t="s">
        <v>43</v>
      </c>
      <c r="I3632" s="1">
        <v>2007</v>
      </c>
    </row>
    <row r="3633" spans="1:10">
      <c r="A3633" s="7" t="s">
        <v>16816</v>
      </c>
      <c r="B3633" s="2" t="s">
        <v>2628</v>
      </c>
      <c r="C3633" s="1">
        <v>2</v>
      </c>
      <c r="D3633" s="1" t="s">
        <v>16</v>
      </c>
      <c r="E3633" s="1" t="s">
        <v>10</v>
      </c>
      <c r="F3633" s="1" t="s">
        <v>5091</v>
      </c>
      <c r="G3633" s="14" t="s">
        <v>16804</v>
      </c>
      <c r="H3633" s="1" t="s">
        <v>43</v>
      </c>
      <c r="I3633" s="1">
        <v>2007</v>
      </c>
    </row>
    <row r="3634" spans="1:10">
      <c r="A3634" s="7" t="s">
        <v>5402</v>
      </c>
      <c r="B3634" s="1" t="s">
        <v>2629</v>
      </c>
      <c r="C3634" s="1">
        <v>2</v>
      </c>
      <c r="D3634" s="1" t="s">
        <v>16</v>
      </c>
      <c r="E3634" s="1" t="s">
        <v>10</v>
      </c>
      <c r="F3634" s="1" t="s">
        <v>2697</v>
      </c>
      <c r="G3634" s="1" t="s">
        <v>4800</v>
      </c>
      <c r="H3634" s="1" t="s">
        <v>27</v>
      </c>
      <c r="I3634" s="17">
        <v>41664</v>
      </c>
    </row>
    <row r="3635" spans="1:10">
      <c r="A3635" s="7" t="s">
        <v>5403</v>
      </c>
      <c r="B3635" s="1" t="s">
        <v>2629</v>
      </c>
      <c r="C3635" s="1">
        <v>2</v>
      </c>
      <c r="D3635" s="1" t="s">
        <v>16</v>
      </c>
      <c r="E3635" s="1" t="s">
        <v>10</v>
      </c>
      <c r="F3635" s="1" t="s">
        <v>2697</v>
      </c>
      <c r="G3635" s="1" t="s">
        <v>4800</v>
      </c>
      <c r="H3635" s="1" t="s">
        <v>27</v>
      </c>
      <c r="I3635" s="17">
        <v>41813</v>
      </c>
    </row>
    <row r="3636" spans="1:10">
      <c r="A3636" s="7" t="s">
        <v>5520</v>
      </c>
      <c r="B3636" s="1" t="s">
        <v>2629</v>
      </c>
      <c r="C3636" s="1">
        <v>2</v>
      </c>
      <c r="D3636" s="1" t="s">
        <v>16</v>
      </c>
      <c r="E3636" s="1" t="s">
        <v>10</v>
      </c>
      <c r="F3636" s="1" t="s">
        <v>2699</v>
      </c>
      <c r="G3636" s="1" t="s">
        <v>4800</v>
      </c>
      <c r="H3636" s="1" t="s">
        <v>27</v>
      </c>
      <c r="I3636" s="17">
        <v>40544</v>
      </c>
    </row>
    <row r="3637" spans="1:10">
      <c r="A3637" s="7" t="s">
        <v>6114</v>
      </c>
      <c r="B3637" s="1" t="s">
        <v>2629</v>
      </c>
      <c r="C3637" s="1">
        <v>2</v>
      </c>
      <c r="D3637" s="1" t="s">
        <v>16</v>
      </c>
      <c r="E3637" s="1" t="s">
        <v>10</v>
      </c>
      <c r="F3637" s="1" t="s">
        <v>2699</v>
      </c>
      <c r="G3637" s="1" t="s">
        <v>6110</v>
      </c>
      <c r="H3637" s="1" t="s">
        <v>27</v>
      </c>
      <c r="I3637" s="17">
        <v>38718</v>
      </c>
    </row>
    <row r="3638" spans="1:10">
      <c r="A3638" s="16" t="s">
        <v>5341</v>
      </c>
      <c r="B3638" s="1" t="s">
        <v>2631</v>
      </c>
      <c r="C3638" s="1">
        <v>2</v>
      </c>
      <c r="D3638" s="1" t="s">
        <v>16</v>
      </c>
      <c r="E3638" s="1" t="s">
        <v>10</v>
      </c>
      <c r="F3638" s="1" t="s">
        <v>2691</v>
      </c>
      <c r="G3638" s="1" t="s">
        <v>5340</v>
      </c>
      <c r="H3638" s="1" t="s">
        <v>2286</v>
      </c>
      <c r="I3638" s="17">
        <v>40544</v>
      </c>
      <c r="J3638" s="17"/>
    </row>
    <row r="3639" spans="1:10">
      <c r="A3639" s="7" t="s">
        <v>5965</v>
      </c>
      <c r="B3639" s="1" t="s">
        <v>2631</v>
      </c>
      <c r="C3639" s="1">
        <v>2</v>
      </c>
      <c r="D3639" s="1" t="s">
        <v>16</v>
      </c>
      <c r="E3639" s="1" t="s">
        <v>10</v>
      </c>
      <c r="F3639" s="1" t="s">
        <v>139</v>
      </c>
      <c r="G3639" s="1" t="s">
        <v>5853</v>
      </c>
      <c r="H3639" s="1" t="s">
        <v>27</v>
      </c>
      <c r="I3639" s="1" t="s">
        <v>5855</v>
      </c>
    </row>
    <row r="3640" spans="1:10">
      <c r="A3640" s="7" t="s">
        <v>5969</v>
      </c>
      <c r="B3640" s="1" t="s">
        <v>2631</v>
      </c>
      <c r="C3640" s="1">
        <v>2</v>
      </c>
      <c r="D3640" s="1" t="s">
        <v>16</v>
      </c>
      <c r="E3640" s="1" t="s">
        <v>10</v>
      </c>
      <c r="F3640" s="1" t="s">
        <v>139</v>
      </c>
      <c r="G3640" s="1" t="s">
        <v>5853</v>
      </c>
      <c r="H3640" s="1" t="s">
        <v>27</v>
      </c>
      <c r="I3640" s="1" t="s">
        <v>5855</v>
      </c>
    </row>
    <row r="3641" spans="1:10">
      <c r="A3641" s="7" t="s">
        <v>5994</v>
      </c>
      <c r="B3641" s="1" t="s">
        <v>2631</v>
      </c>
      <c r="C3641" s="1">
        <v>2</v>
      </c>
      <c r="D3641" s="1" t="s">
        <v>16</v>
      </c>
      <c r="E3641" s="1" t="s">
        <v>10</v>
      </c>
      <c r="F3641" s="1" t="s">
        <v>139</v>
      </c>
      <c r="G3641" s="1" t="s">
        <v>5853</v>
      </c>
      <c r="H3641" s="1" t="s">
        <v>27</v>
      </c>
      <c r="I3641" s="1" t="s">
        <v>5801</v>
      </c>
    </row>
    <row r="3642" spans="1:10">
      <c r="A3642" s="7" t="s">
        <v>6764</v>
      </c>
      <c r="B3642" s="1" t="s">
        <v>2631</v>
      </c>
      <c r="C3642" s="1">
        <v>2</v>
      </c>
      <c r="D3642" s="1" t="s">
        <v>16</v>
      </c>
      <c r="E3642" s="1" t="s">
        <v>10</v>
      </c>
      <c r="F3642" s="1" t="s">
        <v>5241</v>
      </c>
      <c r="G3642" s="1" t="s">
        <v>4800</v>
      </c>
      <c r="H3642" s="1" t="s">
        <v>27</v>
      </c>
      <c r="I3642" s="1" t="s">
        <v>5855</v>
      </c>
    </row>
    <row r="3643" spans="1:10">
      <c r="A3643" s="7" t="s">
        <v>6765</v>
      </c>
      <c r="B3643" s="1" t="s">
        <v>2631</v>
      </c>
      <c r="C3643" s="1">
        <v>2</v>
      </c>
      <c r="D3643" s="1" t="s">
        <v>16</v>
      </c>
      <c r="E3643" s="1" t="s">
        <v>10</v>
      </c>
      <c r="F3643" s="1" t="s">
        <v>5241</v>
      </c>
      <c r="G3643" s="1" t="s">
        <v>4800</v>
      </c>
      <c r="H3643" s="1" t="s">
        <v>27</v>
      </c>
      <c r="I3643" s="1" t="s">
        <v>5855</v>
      </c>
    </row>
    <row r="3644" spans="1:10">
      <c r="A3644" s="7" t="s">
        <v>7321</v>
      </c>
      <c r="B3644" s="1" t="s">
        <v>2631</v>
      </c>
      <c r="C3644" s="1">
        <v>2</v>
      </c>
      <c r="D3644" s="1" t="s">
        <v>16</v>
      </c>
      <c r="E3644" s="1" t="s">
        <v>10</v>
      </c>
      <c r="F3644" s="1" t="s">
        <v>139</v>
      </c>
      <c r="G3644" s="1" t="s">
        <v>7322</v>
      </c>
      <c r="H3644" s="1" t="s">
        <v>27</v>
      </c>
      <c r="I3644" s="1" t="s">
        <v>7323</v>
      </c>
    </row>
    <row r="3645" spans="1:10">
      <c r="A3645" s="7" t="s">
        <v>7825</v>
      </c>
      <c r="B3645" s="1" t="s">
        <v>2631</v>
      </c>
      <c r="C3645" s="1">
        <v>2</v>
      </c>
      <c r="D3645" s="1" t="s">
        <v>16</v>
      </c>
      <c r="E3645" s="1" t="s">
        <v>10</v>
      </c>
      <c r="F3645" s="1" t="s">
        <v>5241</v>
      </c>
      <c r="G3645" s="1" t="s">
        <v>4800</v>
      </c>
      <c r="H3645" s="1" t="s">
        <v>27</v>
      </c>
      <c r="I3645" s="1" t="s">
        <v>6090</v>
      </c>
    </row>
    <row r="3646" spans="1:10">
      <c r="A3646" s="7" t="s">
        <v>8151</v>
      </c>
      <c r="B3646" s="1" t="s">
        <v>2631</v>
      </c>
      <c r="C3646" s="1">
        <v>2</v>
      </c>
      <c r="D3646" s="1" t="s">
        <v>16</v>
      </c>
      <c r="E3646" s="1" t="s">
        <v>10</v>
      </c>
      <c r="F3646" s="1" t="s">
        <v>5091</v>
      </c>
      <c r="G3646" s="1" t="s">
        <v>4800</v>
      </c>
      <c r="H3646" s="1" t="s">
        <v>27</v>
      </c>
      <c r="I3646" s="1">
        <v>2003</v>
      </c>
    </row>
    <row r="3647" spans="1:10">
      <c r="A3647" s="16" t="s">
        <v>8660</v>
      </c>
      <c r="B3647" s="1" t="s">
        <v>2631</v>
      </c>
      <c r="C3647" s="1">
        <v>2</v>
      </c>
      <c r="D3647" s="1" t="s">
        <v>16</v>
      </c>
      <c r="E3647" s="1" t="s">
        <v>10</v>
      </c>
      <c r="F3647" s="1" t="s">
        <v>118</v>
      </c>
      <c r="G3647" s="1" t="s">
        <v>4788</v>
      </c>
      <c r="H3647" s="1" t="s">
        <v>2286</v>
      </c>
      <c r="I3647" s="17">
        <v>35796</v>
      </c>
      <c r="J3647" s="17"/>
    </row>
    <row r="3648" spans="1:10">
      <c r="A3648" s="16" t="s">
        <v>8713</v>
      </c>
      <c r="B3648" s="1" t="s">
        <v>2631</v>
      </c>
      <c r="C3648" s="1">
        <v>2</v>
      </c>
      <c r="D3648" s="1" t="s">
        <v>16</v>
      </c>
      <c r="E3648" s="1" t="s">
        <v>10</v>
      </c>
      <c r="F3648" s="1" t="s">
        <v>118</v>
      </c>
      <c r="G3648" s="1" t="s">
        <v>4788</v>
      </c>
      <c r="H3648" s="1" t="s">
        <v>2286</v>
      </c>
      <c r="I3648" s="17">
        <v>35796</v>
      </c>
      <c r="J3648" s="17"/>
    </row>
    <row r="3649" spans="1:9">
      <c r="A3649" s="16" t="s">
        <v>9410</v>
      </c>
      <c r="B3649" s="1" t="s">
        <v>2631</v>
      </c>
      <c r="C3649" s="1">
        <v>2</v>
      </c>
      <c r="D3649" s="1" t="s">
        <v>16</v>
      </c>
      <c r="E3649" s="1" t="s">
        <v>10</v>
      </c>
      <c r="F3649" s="1" t="s">
        <v>5091</v>
      </c>
      <c r="G3649" s="1" t="s">
        <v>5853</v>
      </c>
      <c r="H3649" s="1" t="s">
        <v>27</v>
      </c>
      <c r="I3649" s="17">
        <v>42217</v>
      </c>
    </row>
    <row r="3650" spans="1:9">
      <c r="A3650" s="16" t="s">
        <v>11492</v>
      </c>
      <c r="B3650" s="1" t="s">
        <v>2631</v>
      </c>
      <c r="C3650" s="1">
        <v>2</v>
      </c>
      <c r="D3650" s="1" t="s">
        <v>16</v>
      </c>
      <c r="E3650" s="1" t="s">
        <v>10</v>
      </c>
      <c r="F3650" s="1" t="s">
        <v>5241</v>
      </c>
      <c r="G3650" s="1" t="s">
        <v>4800</v>
      </c>
      <c r="H3650" s="1" t="s">
        <v>27</v>
      </c>
      <c r="I3650" s="17">
        <v>41091</v>
      </c>
    </row>
    <row r="3651" spans="1:9">
      <c r="A3651" s="16" t="s">
        <v>11498</v>
      </c>
      <c r="B3651" s="1" t="s">
        <v>2631</v>
      </c>
      <c r="C3651" s="1">
        <v>2</v>
      </c>
      <c r="D3651" s="1" t="s">
        <v>16</v>
      </c>
      <c r="E3651" s="1" t="s">
        <v>10</v>
      </c>
      <c r="F3651" s="1" t="s">
        <v>5241</v>
      </c>
      <c r="G3651" s="1" t="s">
        <v>4800</v>
      </c>
      <c r="H3651" s="1" t="s">
        <v>27</v>
      </c>
      <c r="I3651" s="17">
        <v>41091</v>
      </c>
    </row>
    <row r="3652" spans="1:9">
      <c r="A3652" s="16" t="s">
        <v>11501</v>
      </c>
      <c r="B3652" s="1" t="s">
        <v>2631</v>
      </c>
      <c r="C3652" s="1">
        <v>2</v>
      </c>
      <c r="D3652" s="1" t="s">
        <v>16</v>
      </c>
      <c r="E3652" s="1" t="s">
        <v>10</v>
      </c>
      <c r="F3652" s="1" t="s">
        <v>5241</v>
      </c>
      <c r="G3652" s="1" t="s">
        <v>4800</v>
      </c>
      <c r="H3652" s="1" t="s">
        <v>27</v>
      </c>
      <c r="I3652" s="17">
        <v>41153</v>
      </c>
    </row>
    <row r="3653" spans="1:9">
      <c r="A3653" s="16" t="s">
        <v>11511</v>
      </c>
      <c r="B3653" s="1" t="s">
        <v>2631</v>
      </c>
      <c r="C3653" s="1">
        <v>2</v>
      </c>
      <c r="D3653" s="1" t="s">
        <v>16</v>
      </c>
      <c r="E3653" s="1" t="s">
        <v>10</v>
      </c>
      <c r="F3653" s="1" t="s">
        <v>5241</v>
      </c>
      <c r="G3653" s="1" t="s">
        <v>4800</v>
      </c>
      <c r="H3653" s="1" t="s">
        <v>27</v>
      </c>
      <c r="I3653" s="17">
        <v>39873</v>
      </c>
    </row>
    <row r="3654" spans="1:9">
      <c r="A3654" s="16" t="s">
        <v>11534</v>
      </c>
      <c r="B3654" s="1" t="s">
        <v>2631</v>
      </c>
      <c r="C3654" s="1">
        <v>2</v>
      </c>
      <c r="D3654" s="1" t="s">
        <v>16</v>
      </c>
      <c r="E3654" s="1" t="s">
        <v>10</v>
      </c>
      <c r="F3654" s="1" t="s">
        <v>5241</v>
      </c>
      <c r="G3654" s="1" t="s">
        <v>4800</v>
      </c>
      <c r="H3654" s="1" t="s">
        <v>27</v>
      </c>
      <c r="I3654" s="17">
        <v>39173</v>
      </c>
    </row>
    <row r="3655" spans="1:9">
      <c r="A3655" s="16" t="s">
        <v>11550</v>
      </c>
      <c r="B3655" s="1" t="s">
        <v>2631</v>
      </c>
      <c r="C3655" s="1">
        <v>2</v>
      </c>
      <c r="D3655" s="1" t="s">
        <v>16</v>
      </c>
      <c r="E3655" s="1" t="s">
        <v>10</v>
      </c>
      <c r="F3655" s="1" t="s">
        <v>5241</v>
      </c>
      <c r="G3655" s="1" t="s">
        <v>4800</v>
      </c>
      <c r="H3655" s="1" t="s">
        <v>27</v>
      </c>
      <c r="I3655" s="17">
        <v>40452</v>
      </c>
    </row>
    <row r="3656" spans="1:9">
      <c r="A3656" s="16" t="s">
        <v>11569</v>
      </c>
      <c r="B3656" s="1" t="s">
        <v>2631</v>
      </c>
      <c r="C3656" s="1">
        <v>2</v>
      </c>
      <c r="D3656" s="1" t="s">
        <v>16</v>
      </c>
      <c r="E3656" s="1" t="s">
        <v>10</v>
      </c>
      <c r="F3656" s="1" t="s">
        <v>5241</v>
      </c>
      <c r="G3656" s="1" t="s">
        <v>4800</v>
      </c>
      <c r="H3656" s="1" t="s">
        <v>27</v>
      </c>
      <c r="I3656" s="17">
        <v>40452</v>
      </c>
    </row>
    <row r="3657" spans="1:9">
      <c r="A3657" s="16" t="s">
        <v>11940</v>
      </c>
      <c r="B3657" s="1" t="s">
        <v>2631</v>
      </c>
      <c r="C3657" s="1">
        <v>2</v>
      </c>
      <c r="D3657" s="1" t="s">
        <v>16</v>
      </c>
      <c r="E3657" s="1" t="s">
        <v>10</v>
      </c>
      <c r="F3657" s="1" t="s">
        <v>139</v>
      </c>
      <c r="G3657" s="1" t="s">
        <v>5853</v>
      </c>
      <c r="H3657" s="1" t="s">
        <v>27</v>
      </c>
      <c r="I3657" s="17">
        <v>41275</v>
      </c>
    </row>
    <row r="3658" spans="1:9">
      <c r="A3658" s="16" t="s">
        <v>11949</v>
      </c>
      <c r="B3658" s="1" t="s">
        <v>2631</v>
      </c>
      <c r="C3658" s="1">
        <v>2</v>
      </c>
      <c r="D3658" s="1" t="s">
        <v>16</v>
      </c>
      <c r="E3658" s="1" t="s">
        <v>10</v>
      </c>
      <c r="F3658" s="1" t="s">
        <v>139</v>
      </c>
      <c r="G3658" s="1" t="s">
        <v>5853</v>
      </c>
      <c r="H3658" s="1" t="s">
        <v>27</v>
      </c>
      <c r="I3658" s="17">
        <v>41640</v>
      </c>
    </row>
    <row r="3659" spans="1:9">
      <c r="A3659" s="16" t="s">
        <v>11950</v>
      </c>
      <c r="B3659" s="1" t="s">
        <v>2631</v>
      </c>
      <c r="C3659" s="1">
        <v>2</v>
      </c>
      <c r="D3659" s="1" t="s">
        <v>16</v>
      </c>
      <c r="E3659" s="1" t="s">
        <v>10</v>
      </c>
      <c r="F3659" s="1" t="s">
        <v>139</v>
      </c>
      <c r="G3659" s="1" t="s">
        <v>5853</v>
      </c>
      <c r="H3659" s="1" t="s">
        <v>27</v>
      </c>
      <c r="I3659" s="17">
        <v>41640</v>
      </c>
    </row>
    <row r="3660" spans="1:9">
      <c r="A3660" s="16" t="s">
        <v>14006</v>
      </c>
      <c r="B3660" s="1" t="s">
        <v>2631</v>
      </c>
      <c r="C3660" s="1">
        <v>2</v>
      </c>
      <c r="D3660" s="1" t="s">
        <v>16</v>
      </c>
      <c r="E3660" s="1" t="s">
        <v>10</v>
      </c>
      <c r="F3660" s="1" t="s">
        <v>5241</v>
      </c>
      <c r="G3660" s="1" t="s">
        <v>4800</v>
      </c>
      <c r="H3660" s="1" t="s">
        <v>27</v>
      </c>
      <c r="I3660" s="17">
        <v>41306</v>
      </c>
    </row>
    <row r="3661" spans="1:9">
      <c r="A3661" s="16" t="s">
        <v>14008</v>
      </c>
      <c r="B3661" s="1" t="s">
        <v>2631</v>
      </c>
      <c r="C3661" s="1">
        <v>2</v>
      </c>
      <c r="D3661" s="1" t="s">
        <v>16</v>
      </c>
      <c r="E3661" s="1" t="s">
        <v>10</v>
      </c>
      <c r="F3661" s="1" t="s">
        <v>5241</v>
      </c>
      <c r="G3661" s="1" t="s">
        <v>4800</v>
      </c>
      <c r="H3661" s="1" t="s">
        <v>27</v>
      </c>
      <c r="I3661" s="17">
        <v>41275</v>
      </c>
    </row>
    <row r="3662" spans="1:9">
      <c r="A3662" s="16" t="s">
        <v>14012</v>
      </c>
      <c r="B3662" s="1" t="s">
        <v>2631</v>
      </c>
      <c r="C3662" s="1">
        <v>2</v>
      </c>
      <c r="D3662" s="1" t="s">
        <v>16</v>
      </c>
      <c r="E3662" s="1" t="s">
        <v>10</v>
      </c>
      <c r="F3662" s="1" t="s">
        <v>5241</v>
      </c>
      <c r="G3662" s="1" t="s">
        <v>4800</v>
      </c>
      <c r="H3662" s="1" t="s">
        <v>27</v>
      </c>
      <c r="I3662" s="17">
        <v>41153</v>
      </c>
    </row>
    <row r="3663" spans="1:9">
      <c r="A3663" s="16" t="s">
        <v>14013</v>
      </c>
      <c r="B3663" s="1" t="s">
        <v>2631</v>
      </c>
      <c r="C3663" s="1">
        <v>2</v>
      </c>
      <c r="D3663" s="1" t="s">
        <v>16</v>
      </c>
      <c r="E3663" s="1" t="s">
        <v>10</v>
      </c>
      <c r="F3663" s="1" t="s">
        <v>5241</v>
      </c>
      <c r="G3663" s="1" t="s">
        <v>4800</v>
      </c>
      <c r="H3663" s="1" t="s">
        <v>27</v>
      </c>
      <c r="I3663" s="17">
        <v>41395</v>
      </c>
    </row>
    <row r="3664" spans="1:9">
      <c r="A3664" s="16" t="s">
        <v>14025</v>
      </c>
      <c r="B3664" s="1" t="s">
        <v>2631</v>
      </c>
      <c r="C3664" s="1">
        <v>2</v>
      </c>
      <c r="D3664" s="1" t="s">
        <v>16</v>
      </c>
      <c r="E3664" s="1" t="s">
        <v>10</v>
      </c>
      <c r="F3664" s="1" t="s">
        <v>5241</v>
      </c>
      <c r="G3664" s="1" t="s">
        <v>4800</v>
      </c>
      <c r="H3664" s="1" t="s">
        <v>27</v>
      </c>
      <c r="I3664" s="17">
        <v>40695</v>
      </c>
    </row>
    <row r="3665" spans="1:9">
      <c r="A3665" s="16" t="s">
        <v>14028</v>
      </c>
      <c r="B3665" s="1" t="s">
        <v>2631</v>
      </c>
      <c r="C3665" s="1">
        <v>2</v>
      </c>
      <c r="D3665" s="1" t="s">
        <v>16</v>
      </c>
      <c r="E3665" s="1" t="s">
        <v>10</v>
      </c>
      <c r="F3665" s="1" t="s">
        <v>5241</v>
      </c>
      <c r="G3665" s="1" t="s">
        <v>4800</v>
      </c>
      <c r="H3665" s="1" t="s">
        <v>27</v>
      </c>
      <c r="I3665" s="17">
        <v>41730</v>
      </c>
    </row>
    <row r="3666" spans="1:9">
      <c r="A3666" s="16" t="s">
        <v>14031</v>
      </c>
      <c r="B3666" s="1" t="s">
        <v>2631</v>
      </c>
      <c r="C3666" s="1">
        <v>2</v>
      </c>
      <c r="D3666" s="1" t="s">
        <v>16</v>
      </c>
      <c r="E3666" s="1" t="s">
        <v>10</v>
      </c>
      <c r="F3666" s="1" t="s">
        <v>5241</v>
      </c>
      <c r="G3666" s="1" t="s">
        <v>4800</v>
      </c>
      <c r="H3666" s="1" t="s">
        <v>27</v>
      </c>
      <c r="I3666" s="17">
        <v>42156</v>
      </c>
    </row>
    <row r="3667" spans="1:9">
      <c r="A3667" s="16" t="s">
        <v>14235</v>
      </c>
      <c r="B3667" s="1" t="s">
        <v>2631</v>
      </c>
      <c r="C3667" s="1">
        <v>2</v>
      </c>
      <c r="D3667" s="1" t="s">
        <v>16</v>
      </c>
      <c r="E3667" s="1" t="s">
        <v>10</v>
      </c>
      <c r="F3667" s="1" t="s">
        <v>5241</v>
      </c>
      <c r="G3667" s="1" t="s">
        <v>4800</v>
      </c>
      <c r="H3667" s="1" t="s">
        <v>27</v>
      </c>
      <c r="I3667" s="17">
        <v>42583</v>
      </c>
    </row>
    <row r="3668" spans="1:9">
      <c r="A3668" s="16" t="s">
        <v>14246</v>
      </c>
      <c r="B3668" s="1" t="s">
        <v>2631</v>
      </c>
      <c r="C3668" s="1">
        <v>2</v>
      </c>
      <c r="D3668" s="1" t="s">
        <v>16</v>
      </c>
      <c r="E3668" s="1" t="s">
        <v>10</v>
      </c>
      <c r="F3668" s="1" t="s">
        <v>5241</v>
      </c>
      <c r="G3668" s="1" t="s">
        <v>4800</v>
      </c>
      <c r="H3668" s="1" t="s">
        <v>27</v>
      </c>
      <c r="I3668" s="17">
        <v>42461</v>
      </c>
    </row>
    <row r="3669" spans="1:9">
      <c r="A3669" s="16" t="s">
        <v>14256</v>
      </c>
      <c r="B3669" s="1" t="s">
        <v>2631</v>
      </c>
      <c r="C3669" s="1">
        <v>2</v>
      </c>
      <c r="D3669" s="1" t="s">
        <v>16</v>
      </c>
      <c r="E3669" s="1" t="s">
        <v>10</v>
      </c>
      <c r="F3669" s="1" t="s">
        <v>5241</v>
      </c>
      <c r="G3669" s="1" t="s">
        <v>4800</v>
      </c>
      <c r="H3669" s="1" t="s">
        <v>27</v>
      </c>
      <c r="I3669" s="17">
        <v>42339</v>
      </c>
    </row>
    <row r="3670" spans="1:9">
      <c r="A3670" s="16" t="s">
        <v>14257</v>
      </c>
      <c r="B3670" s="1" t="s">
        <v>2631</v>
      </c>
      <c r="C3670" s="1">
        <v>2</v>
      </c>
      <c r="D3670" s="1" t="s">
        <v>16</v>
      </c>
      <c r="E3670" s="1" t="s">
        <v>10</v>
      </c>
      <c r="F3670" s="1" t="s">
        <v>5241</v>
      </c>
      <c r="G3670" s="1" t="s">
        <v>4800</v>
      </c>
      <c r="H3670" s="1" t="s">
        <v>27</v>
      </c>
      <c r="I3670" s="17">
        <v>42614</v>
      </c>
    </row>
    <row r="3671" spans="1:9">
      <c r="A3671" s="16" t="s">
        <v>14270</v>
      </c>
      <c r="B3671" s="1" t="s">
        <v>2631</v>
      </c>
      <c r="C3671" s="1">
        <v>2</v>
      </c>
      <c r="D3671" s="1" t="s">
        <v>16</v>
      </c>
      <c r="E3671" s="1" t="s">
        <v>10</v>
      </c>
      <c r="F3671" s="1" t="s">
        <v>5241</v>
      </c>
      <c r="G3671" s="1" t="s">
        <v>4800</v>
      </c>
      <c r="H3671" s="1" t="s">
        <v>27</v>
      </c>
      <c r="I3671" s="17">
        <v>43040</v>
      </c>
    </row>
    <row r="3672" spans="1:9">
      <c r="A3672" s="16" t="s">
        <v>14272</v>
      </c>
      <c r="B3672" s="1" t="s">
        <v>2631</v>
      </c>
      <c r="C3672" s="1">
        <v>2</v>
      </c>
      <c r="D3672" s="1" t="s">
        <v>16</v>
      </c>
      <c r="E3672" s="1" t="s">
        <v>10</v>
      </c>
      <c r="F3672" s="1" t="s">
        <v>5241</v>
      </c>
      <c r="G3672" s="1" t="s">
        <v>4800</v>
      </c>
      <c r="H3672" s="1" t="s">
        <v>27</v>
      </c>
      <c r="I3672" s="17">
        <v>42461</v>
      </c>
    </row>
    <row r="3673" spans="1:9">
      <c r="A3673" s="16" t="s">
        <v>14277</v>
      </c>
      <c r="B3673" s="1" t="s">
        <v>2631</v>
      </c>
      <c r="C3673" s="1">
        <v>2</v>
      </c>
      <c r="D3673" s="1" t="s">
        <v>16</v>
      </c>
      <c r="E3673" s="1" t="s">
        <v>10</v>
      </c>
      <c r="F3673" s="1" t="s">
        <v>5241</v>
      </c>
      <c r="G3673" s="1" t="s">
        <v>4800</v>
      </c>
      <c r="H3673" s="1" t="s">
        <v>27</v>
      </c>
      <c r="I3673" s="17">
        <v>42583</v>
      </c>
    </row>
    <row r="3674" spans="1:9">
      <c r="A3674" s="16" t="s">
        <v>14282</v>
      </c>
      <c r="B3674" s="1" t="s">
        <v>2631</v>
      </c>
      <c r="C3674" s="1">
        <v>2</v>
      </c>
      <c r="D3674" s="1" t="s">
        <v>16</v>
      </c>
      <c r="E3674" s="1" t="s">
        <v>10</v>
      </c>
      <c r="F3674" s="1" t="s">
        <v>5241</v>
      </c>
      <c r="G3674" s="1" t="s">
        <v>4800</v>
      </c>
      <c r="H3674" s="1" t="s">
        <v>27</v>
      </c>
      <c r="I3674" s="17">
        <v>42887</v>
      </c>
    </row>
    <row r="3675" spans="1:9">
      <c r="A3675" s="16" t="s">
        <v>14286</v>
      </c>
      <c r="B3675" s="1" t="s">
        <v>2631</v>
      </c>
      <c r="C3675" s="1">
        <v>2</v>
      </c>
      <c r="D3675" s="1" t="s">
        <v>16</v>
      </c>
      <c r="E3675" s="1" t="s">
        <v>10</v>
      </c>
      <c r="F3675" s="1" t="s">
        <v>5241</v>
      </c>
      <c r="G3675" s="1" t="s">
        <v>4800</v>
      </c>
      <c r="H3675" s="1" t="s">
        <v>27</v>
      </c>
      <c r="I3675" s="17">
        <v>42278</v>
      </c>
    </row>
    <row r="3676" spans="1:9">
      <c r="A3676" s="16" t="s">
        <v>14295</v>
      </c>
      <c r="B3676" s="1" t="s">
        <v>2631</v>
      </c>
      <c r="C3676" s="1">
        <v>2</v>
      </c>
      <c r="D3676" s="1" t="s">
        <v>16</v>
      </c>
      <c r="E3676" s="1" t="s">
        <v>10</v>
      </c>
      <c r="F3676" s="1" t="s">
        <v>5241</v>
      </c>
      <c r="G3676" s="1" t="s">
        <v>4800</v>
      </c>
      <c r="H3676" s="1" t="s">
        <v>27</v>
      </c>
      <c r="I3676" s="17">
        <v>42644</v>
      </c>
    </row>
    <row r="3677" spans="1:9">
      <c r="A3677" s="16" t="s">
        <v>14321</v>
      </c>
      <c r="B3677" s="1" t="s">
        <v>2631</v>
      </c>
      <c r="C3677" s="1">
        <v>2</v>
      </c>
      <c r="D3677" s="1" t="s">
        <v>16</v>
      </c>
      <c r="E3677" s="1" t="s">
        <v>10</v>
      </c>
      <c r="F3677" s="1" t="s">
        <v>5241</v>
      </c>
      <c r="G3677" s="1" t="s">
        <v>4800</v>
      </c>
      <c r="H3677" s="1" t="s">
        <v>27</v>
      </c>
      <c r="I3677" s="17">
        <v>42339</v>
      </c>
    </row>
    <row r="3678" spans="1:9">
      <c r="A3678" s="16" t="s">
        <v>14322</v>
      </c>
      <c r="B3678" s="1" t="s">
        <v>2631</v>
      </c>
      <c r="C3678" s="1">
        <v>2</v>
      </c>
      <c r="D3678" s="1" t="s">
        <v>16</v>
      </c>
      <c r="E3678" s="1" t="s">
        <v>10</v>
      </c>
      <c r="F3678" s="1" t="s">
        <v>5241</v>
      </c>
      <c r="G3678" s="1" t="s">
        <v>4800</v>
      </c>
      <c r="H3678" s="1" t="s">
        <v>27</v>
      </c>
      <c r="I3678" s="17">
        <v>42705</v>
      </c>
    </row>
    <row r="3679" spans="1:9">
      <c r="A3679" s="16" t="s">
        <v>14349</v>
      </c>
      <c r="B3679" s="1" t="s">
        <v>2631</v>
      </c>
      <c r="C3679" s="1">
        <v>2</v>
      </c>
      <c r="D3679" s="1" t="s">
        <v>16</v>
      </c>
      <c r="E3679" s="1" t="s">
        <v>10</v>
      </c>
      <c r="F3679" s="1" t="s">
        <v>5241</v>
      </c>
      <c r="G3679" s="1" t="s">
        <v>4800</v>
      </c>
      <c r="H3679" s="1" t="s">
        <v>27</v>
      </c>
      <c r="I3679" s="17">
        <v>43221</v>
      </c>
    </row>
    <row r="3680" spans="1:9">
      <c r="A3680" s="16" t="s">
        <v>14547</v>
      </c>
      <c r="B3680" s="1" t="s">
        <v>2631</v>
      </c>
      <c r="C3680" s="1">
        <v>2</v>
      </c>
      <c r="D3680" s="1" t="s">
        <v>16</v>
      </c>
      <c r="E3680" s="1" t="s">
        <v>10</v>
      </c>
      <c r="F3680" s="1" t="s">
        <v>5241</v>
      </c>
      <c r="G3680" s="1" t="s">
        <v>4800</v>
      </c>
      <c r="H3680" s="1" t="s">
        <v>27</v>
      </c>
      <c r="I3680" s="17">
        <v>43252</v>
      </c>
    </row>
    <row r="3681" spans="1:10">
      <c r="A3681" s="16" t="s">
        <v>15142</v>
      </c>
      <c r="B3681" s="1" t="s">
        <v>2631</v>
      </c>
      <c r="C3681" s="1">
        <v>2</v>
      </c>
      <c r="D3681" s="1" t="s">
        <v>16</v>
      </c>
      <c r="E3681" s="1" t="s">
        <v>10</v>
      </c>
      <c r="F3681" s="1" t="s">
        <v>5241</v>
      </c>
      <c r="G3681" s="1" t="s">
        <v>4800</v>
      </c>
      <c r="H3681" s="1" t="s">
        <v>27</v>
      </c>
      <c r="I3681" s="17">
        <v>43282</v>
      </c>
    </row>
    <row r="3682" spans="1:10">
      <c r="A3682" s="7" t="s">
        <v>5876</v>
      </c>
      <c r="B3682" s="1" t="s">
        <v>2628</v>
      </c>
      <c r="C3682" s="1">
        <v>20</v>
      </c>
      <c r="D3682" s="1" t="s">
        <v>145</v>
      </c>
      <c r="E3682" s="1" t="s">
        <v>6</v>
      </c>
      <c r="F3682" s="1" t="s">
        <v>2360</v>
      </c>
      <c r="G3682" s="1" t="s">
        <v>5872</v>
      </c>
      <c r="H3682" s="1" t="s">
        <v>43</v>
      </c>
      <c r="I3682" s="1" t="s">
        <v>5483</v>
      </c>
    </row>
    <row r="3683" spans="1:10">
      <c r="A3683" s="7" t="s">
        <v>6183</v>
      </c>
      <c r="B3683" s="2" t="s">
        <v>2631</v>
      </c>
      <c r="C3683" s="1">
        <v>20</v>
      </c>
      <c r="D3683" s="1" t="s">
        <v>145</v>
      </c>
      <c r="E3683" s="1" t="s">
        <v>6</v>
      </c>
      <c r="F3683" s="1" t="s">
        <v>5091</v>
      </c>
      <c r="G3683" s="14" t="s">
        <v>6139</v>
      </c>
      <c r="H3683" s="1" t="s">
        <v>43</v>
      </c>
      <c r="I3683" s="1">
        <v>2015</v>
      </c>
    </row>
    <row r="3684" spans="1:10">
      <c r="A3684" s="7" t="s">
        <v>6387</v>
      </c>
      <c r="B3684" s="2" t="s">
        <v>2629</v>
      </c>
      <c r="C3684" s="1">
        <v>20</v>
      </c>
      <c r="D3684" s="1" t="s">
        <v>145</v>
      </c>
      <c r="E3684" s="1" t="s">
        <v>6</v>
      </c>
      <c r="F3684" s="1" t="s">
        <v>5241</v>
      </c>
      <c r="G3684" s="14" t="s">
        <v>6307</v>
      </c>
      <c r="H3684" s="1" t="s">
        <v>44</v>
      </c>
      <c r="I3684" s="1">
        <v>2019</v>
      </c>
    </row>
    <row r="3685" spans="1:10">
      <c r="A3685" s="7" t="s">
        <v>6443</v>
      </c>
      <c r="B3685" s="1" t="s">
        <v>2629</v>
      </c>
      <c r="C3685" s="1">
        <v>20</v>
      </c>
      <c r="D3685" s="1" t="s">
        <v>145</v>
      </c>
      <c r="E3685" s="1" t="s">
        <v>6</v>
      </c>
      <c r="F3685" s="1" t="s">
        <v>5241</v>
      </c>
      <c r="G3685" s="1" t="s">
        <v>6307</v>
      </c>
      <c r="H3685" s="1" t="s">
        <v>44</v>
      </c>
      <c r="I3685" s="1" t="s">
        <v>5807</v>
      </c>
    </row>
    <row r="3686" spans="1:10">
      <c r="A3686" s="7" t="s">
        <v>6944</v>
      </c>
      <c r="B3686" s="1" t="s">
        <v>2629</v>
      </c>
      <c r="C3686" s="1">
        <v>20</v>
      </c>
      <c r="D3686" s="1" t="s">
        <v>145</v>
      </c>
      <c r="E3686" s="1" t="s">
        <v>6</v>
      </c>
      <c r="F3686" s="1" t="s">
        <v>5241</v>
      </c>
      <c r="G3686" s="1" t="s">
        <v>4803</v>
      </c>
      <c r="H3686" s="1" t="s">
        <v>5</v>
      </c>
      <c r="I3686" s="1" t="s">
        <v>5659</v>
      </c>
      <c r="J3686" s="17"/>
    </row>
    <row r="3687" spans="1:10">
      <c r="A3687" s="7" t="s">
        <v>7222</v>
      </c>
      <c r="B3687" s="1" t="s">
        <v>2629</v>
      </c>
      <c r="C3687" s="1">
        <v>20</v>
      </c>
      <c r="D3687" s="1" t="s">
        <v>145</v>
      </c>
      <c r="E3687" s="1" t="s">
        <v>6</v>
      </c>
      <c r="F3687" s="1" t="s">
        <v>5241</v>
      </c>
      <c r="G3687" s="1" t="s">
        <v>6307</v>
      </c>
      <c r="H3687" s="1" t="s">
        <v>44</v>
      </c>
      <c r="I3687" s="1" t="s">
        <v>5855</v>
      </c>
    </row>
    <row r="3688" spans="1:10">
      <c r="A3688" s="16" t="s">
        <v>7397</v>
      </c>
      <c r="B3688" s="1" t="s">
        <v>2628</v>
      </c>
      <c r="C3688" s="1">
        <v>20</v>
      </c>
      <c r="D3688" s="1" t="s">
        <v>145</v>
      </c>
      <c r="E3688" s="1" t="s">
        <v>6</v>
      </c>
      <c r="F3688" s="1" t="s">
        <v>5091</v>
      </c>
      <c r="G3688" s="14" t="s">
        <v>6145</v>
      </c>
      <c r="H3688" s="1" t="s">
        <v>43</v>
      </c>
      <c r="I3688" s="17">
        <v>41674</v>
      </c>
    </row>
    <row r="3689" spans="1:10">
      <c r="A3689" s="7" t="s">
        <v>7546</v>
      </c>
      <c r="B3689" s="1" t="s">
        <v>2631</v>
      </c>
      <c r="C3689" s="1">
        <v>20</v>
      </c>
      <c r="D3689" s="1" t="s">
        <v>145</v>
      </c>
      <c r="E3689" s="1" t="s">
        <v>6</v>
      </c>
      <c r="F3689" s="1" t="s">
        <v>5241</v>
      </c>
      <c r="G3689" s="1" t="s">
        <v>4803</v>
      </c>
      <c r="H3689" s="1" t="s">
        <v>5</v>
      </c>
      <c r="I3689" s="1" t="s">
        <v>6090</v>
      </c>
      <c r="J3689" s="17"/>
    </row>
    <row r="3690" spans="1:10">
      <c r="A3690" s="7" t="s">
        <v>7623</v>
      </c>
      <c r="B3690" s="1" t="s">
        <v>2629</v>
      </c>
      <c r="C3690" s="1">
        <v>20</v>
      </c>
      <c r="D3690" s="1" t="s">
        <v>145</v>
      </c>
      <c r="E3690" s="1" t="s">
        <v>6</v>
      </c>
      <c r="F3690" s="1" t="s">
        <v>5241</v>
      </c>
      <c r="G3690" s="1" t="s">
        <v>6307</v>
      </c>
      <c r="H3690" s="1" t="s">
        <v>44</v>
      </c>
      <c r="I3690" s="1" t="s">
        <v>6090</v>
      </c>
    </row>
    <row r="3691" spans="1:10">
      <c r="A3691" s="7" t="s">
        <v>7624</v>
      </c>
      <c r="B3691" s="1" t="s">
        <v>2629</v>
      </c>
      <c r="C3691" s="1">
        <v>20</v>
      </c>
      <c r="D3691" s="1" t="s">
        <v>145</v>
      </c>
      <c r="E3691" s="1" t="s">
        <v>6</v>
      </c>
      <c r="F3691" s="1" t="s">
        <v>5241</v>
      </c>
      <c r="G3691" s="1" t="s">
        <v>6307</v>
      </c>
      <c r="H3691" s="1" t="s">
        <v>44</v>
      </c>
      <c r="I3691" s="1" t="s">
        <v>6090</v>
      </c>
    </row>
    <row r="3692" spans="1:10">
      <c r="A3692" s="7" t="s">
        <v>7644</v>
      </c>
      <c r="B3692" s="1" t="s">
        <v>2629</v>
      </c>
      <c r="C3692" s="1">
        <v>20</v>
      </c>
      <c r="D3692" s="1" t="s">
        <v>145</v>
      </c>
      <c r="E3692" s="1" t="s">
        <v>6</v>
      </c>
      <c r="F3692" s="1" t="s">
        <v>5241</v>
      </c>
      <c r="G3692" s="1" t="s">
        <v>6307</v>
      </c>
      <c r="H3692" s="1" t="s">
        <v>44</v>
      </c>
      <c r="I3692" s="1" t="s">
        <v>6090</v>
      </c>
    </row>
    <row r="3693" spans="1:10">
      <c r="A3693" s="7" t="s">
        <v>7646</v>
      </c>
      <c r="B3693" s="1" t="s">
        <v>2629</v>
      </c>
      <c r="C3693" s="1">
        <v>20</v>
      </c>
      <c r="D3693" s="1" t="s">
        <v>145</v>
      </c>
      <c r="E3693" s="1" t="s">
        <v>6</v>
      </c>
      <c r="F3693" s="1" t="s">
        <v>5241</v>
      </c>
      <c r="G3693" s="1" t="s">
        <v>6307</v>
      </c>
      <c r="H3693" s="1" t="s">
        <v>44</v>
      </c>
      <c r="I3693" s="1" t="s">
        <v>6090</v>
      </c>
    </row>
    <row r="3694" spans="1:10">
      <c r="A3694" s="7" t="s">
        <v>7998</v>
      </c>
      <c r="B3694" s="1" t="s">
        <v>2629</v>
      </c>
      <c r="C3694" s="1">
        <v>20</v>
      </c>
      <c r="D3694" s="1" t="s">
        <v>145</v>
      </c>
      <c r="E3694" s="1" t="s">
        <v>6</v>
      </c>
      <c r="F3694" s="1" t="s">
        <v>5241</v>
      </c>
      <c r="G3694" s="1" t="s">
        <v>6307</v>
      </c>
      <c r="H3694" s="1" t="s">
        <v>44</v>
      </c>
      <c r="I3694" s="1" t="s">
        <v>6090</v>
      </c>
    </row>
    <row r="3695" spans="1:10">
      <c r="A3695" s="16" t="s">
        <v>8399</v>
      </c>
      <c r="B3695" s="1" t="s">
        <v>2628</v>
      </c>
      <c r="C3695" s="1">
        <v>20</v>
      </c>
      <c r="D3695" s="1" t="s">
        <v>145</v>
      </c>
      <c r="E3695" s="1" t="s">
        <v>6</v>
      </c>
      <c r="F3695" s="1" t="s">
        <v>5091</v>
      </c>
      <c r="G3695" s="14" t="s">
        <v>4458</v>
      </c>
      <c r="H3695" s="1" t="s">
        <v>118</v>
      </c>
      <c r="I3695" s="17">
        <v>41740</v>
      </c>
    </row>
    <row r="3696" spans="1:10">
      <c r="A3696" s="16" t="s">
        <v>8400</v>
      </c>
      <c r="B3696" s="1" t="s">
        <v>2628</v>
      </c>
      <c r="C3696" s="1">
        <v>20</v>
      </c>
      <c r="D3696" s="1" t="s">
        <v>145</v>
      </c>
      <c r="E3696" s="1" t="s">
        <v>6</v>
      </c>
      <c r="F3696" s="1" t="s">
        <v>5091</v>
      </c>
      <c r="G3696" s="14" t="s">
        <v>8401</v>
      </c>
      <c r="H3696" s="1" t="s">
        <v>43</v>
      </c>
      <c r="I3696" s="17">
        <v>41740</v>
      </c>
    </row>
    <row r="3697" spans="1:9">
      <c r="A3697" s="16" t="s">
        <v>8402</v>
      </c>
      <c r="B3697" s="1" t="s">
        <v>2628</v>
      </c>
      <c r="C3697" s="1">
        <v>20</v>
      </c>
      <c r="D3697" s="1" t="s">
        <v>145</v>
      </c>
      <c r="E3697" s="1" t="s">
        <v>6</v>
      </c>
      <c r="F3697" s="1" t="s">
        <v>5091</v>
      </c>
      <c r="G3697" s="14" t="s">
        <v>8401</v>
      </c>
      <c r="H3697" s="1" t="s">
        <v>43</v>
      </c>
      <c r="I3697" s="17">
        <v>41743</v>
      </c>
    </row>
    <row r="3698" spans="1:9">
      <c r="A3698" s="16" t="s">
        <v>8403</v>
      </c>
      <c r="B3698" s="1" t="s">
        <v>2628</v>
      </c>
      <c r="C3698" s="1">
        <v>20</v>
      </c>
      <c r="D3698" s="1" t="s">
        <v>145</v>
      </c>
      <c r="E3698" s="1" t="s">
        <v>6</v>
      </c>
      <c r="F3698" s="1" t="s">
        <v>5091</v>
      </c>
      <c r="G3698" s="14" t="s">
        <v>8401</v>
      </c>
      <c r="H3698" s="1" t="s">
        <v>43</v>
      </c>
      <c r="I3698" s="17">
        <v>41740</v>
      </c>
    </row>
    <row r="3699" spans="1:9">
      <c r="A3699" s="16" t="s">
        <v>8592</v>
      </c>
      <c r="B3699" s="1" t="s">
        <v>2628</v>
      </c>
      <c r="C3699" s="1">
        <v>20</v>
      </c>
      <c r="D3699" s="1" t="s">
        <v>145</v>
      </c>
      <c r="E3699" s="1" t="s">
        <v>6</v>
      </c>
      <c r="F3699" s="1" t="s">
        <v>5091</v>
      </c>
      <c r="G3699" s="14" t="s">
        <v>8593</v>
      </c>
      <c r="H3699" s="1" t="s">
        <v>43</v>
      </c>
      <c r="I3699" s="17">
        <v>41709</v>
      </c>
    </row>
    <row r="3700" spans="1:9">
      <c r="A3700" s="16" t="s">
        <v>8594</v>
      </c>
      <c r="B3700" s="1" t="s">
        <v>2628</v>
      </c>
      <c r="C3700" s="1">
        <v>20</v>
      </c>
      <c r="D3700" s="1" t="s">
        <v>145</v>
      </c>
      <c r="E3700" s="1" t="s">
        <v>6</v>
      </c>
      <c r="F3700" s="1" t="s">
        <v>5091</v>
      </c>
      <c r="G3700" s="14" t="s">
        <v>8595</v>
      </c>
      <c r="H3700" s="1" t="s">
        <v>43</v>
      </c>
      <c r="I3700" s="17">
        <v>41709</v>
      </c>
    </row>
    <row r="3701" spans="1:9">
      <c r="A3701" s="16" t="s">
        <v>11731</v>
      </c>
      <c r="B3701" s="1" t="s">
        <v>2628</v>
      </c>
      <c r="C3701" s="1">
        <v>20</v>
      </c>
      <c r="D3701" s="1" t="s">
        <v>145</v>
      </c>
      <c r="E3701" s="1" t="s">
        <v>6</v>
      </c>
      <c r="F3701" s="1" t="s">
        <v>5091</v>
      </c>
      <c r="G3701" s="14" t="s">
        <v>6450</v>
      </c>
      <c r="H3701" s="1" t="s">
        <v>43</v>
      </c>
      <c r="I3701" s="17">
        <v>42634</v>
      </c>
    </row>
    <row r="3702" spans="1:9">
      <c r="A3702" s="16" t="s">
        <v>13278</v>
      </c>
      <c r="B3702" s="1" t="s">
        <v>2628</v>
      </c>
      <c r="C3702" s="1">
        <v>20</v>
      </c>
      <c r="D3702" s="1" t="s">
        <v>145</v>
      </c>
      <c r="E3702" s="1" t="s">
        <v>6</v>
      </c>
      <c r="F3702" s="1" t="s">
        <v>5091</v>
      </c>
      <c r="G3702" s="14" t="s">
        <v>8964</v>
      </c>
      <c r="H3702" s="1" t="s">
        <v>5</v>
      </c>
      <c r="I3702" s="17">
        <v>41275</v>
      </c>
    </row>
    <row r="3703" spans="1:9">
      <c r="A3703" s="16" t="s">
        <v>14359</v>
      </c>
      <c r="B3703" s="1" t="s">
        <v>2628</v>
      </c>
      <c r="C3703" s="1">
        <v>20</v>
      </c>
      <c r="D3703" s="1" t="s">
        <v>145</v>
      </c>
      <c r="E3703" s="1" t="s">
        <v>6</v>
      </c>
      <c r="F3703" s="1" t="s">
        <v>5091</v>
      </c>
      <c r="G3703" s="14" t="s">
        <v>14360</v>
      </c>
      <c r="H3703" s="1" t="s">
        <v>43</v>
      </c>
      <c r="I3703" s="17">
        <v>43158</v>
      </c>
    </row>
    <row r="3704" spans="1:9">
      <c r="A3704" s="16" t="s">
        <v>14401</v>
      </c>
      <c r="B3704" s="1" t="s">
        <v>2628</v>
      </c>
      <c r="C3704" s="1">
        <v>20</v>
      </c>
      <c r="D3704" s="1" t="s">
        <v>145</v>
      </c>
      <c r="E3704" s="1" t="s">
        <v>6</v>
      </c>
      <c r="F3704" s="1" t="s">
        <v>5091</v>
      </c>
      <c r="G3704" s="14" t="s">
        <v>14402</v>
      </c>
      <c r="H3704" s="1" t="s">
        <v>43</v>
      </c>
      <c r="I3704" s="17">
        <v>43187</v>
      </c>
    </row>
    <row r="3705" spans="1:9">
      <c r="A3705" s="16" t="s">
        <v>14403</v>
      </c>
      <c r="B3705" s="1" t="s">
        <v>2628</v>
      </c>
      <c r="C3705" s="1">
        <v>20</v>
      </c>
      <c r="D3705" s="1" t="s">
        <v>145</v>
      </c>
      <c r="E3705" s="1" t="s">
        <v>6</v>
      </c>
      <c r="F3705" s="1" t="s">
        <v>5091</v>
      </c>
      <c r="G3705" s="14" t="s">
        <v>14404</v>
      </c>
      <c r="H3705" s="1" t="s">
        <v>43</v>
      </c>
      <c r="I3705" s="17">
        <v>43187</v>
      </c>
    </row>
    <row r="3706" spans="1:9">
      <c r="A3706" s="16" t="s">
        <v>14405</v>
      </c>
      <c r="B3706" s="1" t="s">
        <v>2628</v>
      </c>
      <c r="C3706" s="1">
        <v>20</v>
      </c>
      <c r="D3706" s="1" t="s">
        <v>145</v>
      </c>
      <c r="E3706" s="1" t="s">
        <v>6</v>
      </c>
      <c r="F3706" s="1" t="s">
        <v>5091</v>
      </c>
      <c r="G3706" s="14" t="s">
        <v>14406</v>
      </c>
      <c r="H3706" s="1" t="s">
        <v>43</v>
      </c>
      <c r="I3706" s="17">
        <v>43187</v>
      </c>
    </row>
    <row r="3707" spans="1:9">
      <c r="A3707" s="16" t="s">
        <v>14407</v>
      </c>
      <c r="B3707" s="1" t="s">
        <v>2628</v>
      </c>
      <c r="C3707" s="1">
        <v>20</v>
      </c>
      <c r="D3707" s="1" t="s">
        <v>145</v>
      </c>
      <c r="E3707" s="1" t="s">
        <v>6</v>
      </c>
      <c r="F3707" s="1" t="s">
        <v>5091</v>
      </c>
      <c r="G3707" s="14" t="s">
        <v>14408</v>
      </c>
      <c r="H3707" s="1" t="s">
        <v>43</v>
      </c>
      <c r="I3707" s="17">
        <v>43187</v>
      </c>
    </row>
    <row r="3708" spans="1:9">
      <c r="A3708" s="16" t="s">
        <v>14409</v>
      </c>
      <c r="B3708" s="1" t="s">
        <v>2628</v>
      </c>
      <c r="C3708" s="1">
        <v>20</v>
      </c>
      <c r="D3708" s="1" t="s">
        <v>145</v>
      </c>
      <c r="E3708" s="1" t="s">
        <v>6</v>
      </c>
      <c r="F3708" s="1" t="s">
        <v>5091</v>
      </c>
      <c r="G3708" s="14" t="s">
        <v>14410</v>
      </c>
      <c r="H3708" s="1" t="s">
        <v>43</v>
      </c>
      <c r="I3708" s="17">
        <v>43187</v>
      </c>
    </row>
    <row r="3709" spans="1:9">
      <c r="A3709" s="16" t="s">
        <v>14411</v>
      </c>
      <c r="B3709" s="1" t="s">
        <v>2628</v>
      </c>
      <c r="C3709" s="1">
        <v>20</v>
      </c>
      <c r="D3709" s="1" t="s">
        <v>145</v>
      </c>
      <c r="E3709" s="1" t="s">
        <v>6</v>
      </c>
      <c r="F3709" s="1" t="s">
        <v>5091</v>
      </c>
      <c r="G3709" s="14" t="s">
        <v>14412</v>
      </c>
      <c r="H3709" s="1" t="s">
        <v>43</v>
      </c>
      <c r="I3709" s="17">
        <v>43199</v>
      </c>
    </row>
    <row r="3710" spans="1:9">
      <c r="A3710" s="16" t="s">
        <v>14413</v>
      </c>
      <c r="B3710" s="1" t="s">
        <v>2628</v>
      </c>
      <c r="C3710" s="1">
        <v>20</v>
      </c>
      <c r="D3710" s="1" t="s">
        <v>145</v>
      </c>
      <c r="E3710" s="1" t="s">
        <v>6</v>
      </c>
      <c r="F3710" s="1" t="s">
        <v>5091</v>
      </c>
      <c r="G3710" s="14" t="s">
        <v>14414</v>
      </c>
      <c r="H3710" s="1" t="s">
        <v>43</v>
      </c>
      <c r="I3710" s="17">
        <v>43187</v>
      </c>
    </row>
    <row r="3711" spans="1:9">
      <c r="A3711" s="16" t="s">
        <v>14415</v>
      </c>
      <c r="B3711" s="1" t="s">
        <v>2628</v>
      </c>
      <c r="C3711" s="1">
        <v>20</v>
      </c>
      <c r="D3711" s="1" t="s">
        <v>145</v>
      </c>
      <c r="E3711" s="1" t="s">
        <v>6</v>
      </c>
      <c r="F3711" s="1" t="s">
        <v>5091</v>
      </c>
      <c r="G3711" s="14" t="s">
        <v>14408</v>
      </c>
      <c r="H3711" s="1" t="s">
        <v>43</v>
      </c>
      <c r="I3711" s="17">
        <v>43172</v>
      </c>
    </row>
    <row r="3712" spans="1:9">
      <c r="A3712" s="16" t="s">
        <v>14416</v>
      </c>
      <c r="B3712" s="1" t="s">
        <v>2628</v>
      </c>
      <c r="C3712" s="1">
        <v>20</v>
      </c>
      <c r="D3712" s="1" t="s">
        <v>145</v>
      </c>
      <c r="E3712" s="1" t="s">
        <v>6</v>
      </c>
      <c r="F3712" s="1" t="s">
        <v>5091</v>
      </c>
      <c r="G3712" s="14" t="s">
        <v>14417</v>
      </c>
      <c r="H3712" s="1" t="s">
        <v>43</v>
      </c>
      <c r="I3712" s="17">
        <v>43172</v>
      </c>
    </row>
    <row r="3713" spans="1:10">
      <c r="A3713" s="16" t="s">
        <v>14418</v>
      </c>
      <c r="B3713" s="1" t="s">
        <v>2628</v>
      </c>
      <c r="C3713" s="1">
        <v>20</v>
      </c>
      <c r="D3713" s="1" t="s">
        <v>145</v>
      </c>
      <c r="E3713" s="1" t="s">
        <v>6</v>
      </c>
      <c r="F3713" s="1" t="s">
        <v>5091</v>
      </c>
      <c r="G3713" s="14" t="s">
        <v>14406</v>
      </c>
      <c r="H3713" s="1" t="s">
        <v>43</v>
      </c>
      <c r="I3713" s="17">
        <v>43172</v>
      </c>
    </row>
    <row r="3714" spans="1:10">
      <c r="A3714" s="7" t="s">
        <v>14492</v>
      </c>
      <c r="B3714" s="2" t="s">
        <v>2629</v>
      </c>
      <c r="C3714" s="1">
        <v>20</v>
      </c>
      <c r="D3714" s="1" t="s">
        <v>145</v>
      </c>
      <c r="E3714" s="1" t="s">
        <v>6</v>
      </c>
      <c r="F3714" s="1" t="s">
        <v>118</v>
      </c>
      <c r="G3714" s="14" t="s">
        <v>14465</v>
      </c>
      <c r="H3714" s="1" t="s">
        <v>43</v>
      </c>
      <c r="I3714" s="1" t="s">
        <v>4789</v>
      </c>
    </row>
    <row r="3715" spans="1:10">
      <c r="A3715" s="16" t="s">
        <v>14682</v>
      </c>
      <c r="B3715" s="1" t="s">
        <v>2628</v>
      </c>
      <c r="C3715" s="1">
        <v>20</v>
      </c>
      <c r="D3715" s="1" t="s">
        <v>145</v>
      </c>
      <c r="E3715" s="1" t="s">
        <v>6</v>
      </c>
      <c r="F3715" s="1" t="s">
        <v>5033</v>
      </c>
      <c r="G3715" s="14" t="s">
        <v>14683</v>
      </c>
      <c r="H3715" s="1" t="s">
        <v>5</v>
      </c>
      <c r="I3715" s="17">
        <v>40188</v>
      </c>
    </row>
    <row r="3716" spans="1:10">
      <c r="A3716" s="16" t="s">
        <v>14734</v>
      </c>
      <c r="B3716" s="1" t="s">
        <v>2628</v>
      </c>
      <c r="C3716" s="1">
        <v>20</v>
      </c>
      <c r="D3716" s="1" t="s">
        <v>145</v>
      </c>
      <c r="E3716" s="1" t="s">
        <v>6</v>
      </c>
      <c r="F3716" s="1" t="s">
        <v>5091</v>
      </c>
      <c r="G3716" s="14" t="s">
        <v>14735</v>
      </c>
      <c r="H3716" s="1" t="s">
        <v>43</v>
      </c>
      <c r="I3716" s="17">
        <v>43255</v>
      </c>
    </row>
    <row r="3717" spans="1:10">
      <c r="A3717" s="16" t="s">
        <v>14736</v>
      </c>
      <c r="B3717" s="1" t="s">
        <v>2628</v>
      </c>
      <c r="C3717" s="1">
        <v>20</v>
      </c>
      <c r="D3717" s="1" t="s">
        <v>145</v>
      </c>
      <c r="E3717" s="1" t="s">
        <v>6</v>
      </c>
      <c r="F3717" s="1" t="s">
        <v>5091</v>
      </c>
      <c r="G3717" s="14" t="s">
        <v>14737</v>
      </c>
      <c r="H3717" s="1" t="s">
        <v>43</v>
      </c>
      <c r="I3717" s="17">
        <v>43223</v>
      </c>
    </row>
    <row r="3718" spans="1:10">
      <c r="A3718" s="16" t="s">
        <v>14738</v>
      </c>
      <c r="B3718" s="1" t="s">
        <v>2628</v>
      </c>
      <c r="C3718" s="1">
        <v>20</v>
      </c>
      <c r="D3718" s="1" t="s">
        <v>145</v>
      </c>
      <c r="E3718" s="1" t="s">
        <v>6</v>
      </c>
      <c r="F3718" s="1" t="s">
        <v>5091</v>
      </c>
      <c r="G3718" s="14" t="s">
        <v>14737</v>
      </c>
      <c r="H3718" s="1" t="s">
        <v>43</v>
      </c>
      <c r="I3718" s="17">
        <v>43220</v>
      </c>
    </row>
    <row r="3719" spans="1:10">
      <c r="A3719" s="16" t="s">
        <v>14739</v>
      </c>
      <c r="B3719" s="1" t="s">
        <v>2628</v>
      </c>
      <c r="C3719" s="1">
        <v>20</v>
      </c>
      <c r="D3719" s="1" t="s">
        <v>145</v>
      </c>
      <c r="E3719" s="1" t="s">
        <v>6</v>
      </c>
      <c r="F3719" s="1" t="s">
        <v>5091</v>
      </c>
      <c r="G3719" s="14" t="s">
        <v>14735</v>
      </c>
      <c r="H3719" s="1" t="s">
        <v>43</v>
      </c>
      <c r="I3719" s="17">
        <v>43255</v>
      </c>
    </row>
    <row r="3720" spans="1:10">
      <c r="A3720" s="16" t="s">
        <v>14740</v>
      </c>
      <c r="B3720" s="1" t="s">
        <v>2628</v>
      </c>
      <c r="C3720" s="1">
        <v>20</v>
      </c>
      <c r="D3720" s="1" t="s">
        <v>145</v>
      </c>
      <c r="E3720" s="1" t="s">
        <v>6</v>
      </c>
      <c r="F3720" s="1" t="s">
        <v>5091</v>
      </c>
      <c r="G3720" s="14" t="s">
        <v>14741</v>
      </c>
      <c r="H3720" s="1" t="s">
        <v>43</v>
      </c>
      <c r="I3720" s="17">
        <v>43255</v>
      </c>
    </row>
    <row r="3721" spans="1:10">
      <c r="A3721" s="16" t="s">
        <v>14742</v>
      </c>
      <c r="B3721" s="1" t="s">
        <v>2628</v>
      </c>
      <c r="C3721" s="1">
        <v>20</v>
      </c>
      <c r="D3721" s="1" t="s">
        <v>145</v>
      </c>
      <c r="E3721" s="1" t="s">
        <v>6</v>
      </c>
      <c r="F3721" s="1" t="s">
        <v>5091</v>
      </c>
      <c r="G3721" s="14" t="s">
        <v>14743</v>
      </c>
      <c r="H3721" s="1" t="s">
        <v>43</v>
      </c>
      <c r="I3721" s="17">
        <v>43255</v>
      </c>
    </row>
    <row r="3722" spans="1:10">
      <c r="A3722" s="16" t="s">
        <v>14744</v>
      </c>
      <c r="B3722" s="1" t="s">
        <v>2628</v>
      </c>
      <c r="C3722" s="1">
        <v>20</v>
      </c>
      <c r="D3722" s="1" t="s">
        <v>145</v>
      </c>
      <c r="E3722" s="1" t="s">
        <v>6</v>
      </c>
      <c r="F3722" s="1" t="s">
        <v>5091</v>
      </c>
      <c r="G3722" s="14" t="s">
        <v>14735</v>
      </c>
      <c r="H3722" s="1" t="s">
        <v>43</v>
      </c>
      <c r="I3722" s="17">
        <v>43255</v>
      </c>
    </row>
    <row r="3723" spans="1:10">
      <c r="A3723" s="16" t="s">
        <v>14745</v>
      </c>
      <c r="B3723" s="1" t="s">
        <v>2628</v>
      </c>
      <c r="C3723" s="1">
        <v>20</v>
      </c>
      <c r="D3723" s="1" t="s">
        <v>145</v>
      </c>
      <c r="E3723" s="1" t="s">
        <v>6</v>
      </c>
      <c r="F3723" s="1" t="s">
        <v>5091</v>
      </c>
      <c r="G3723" s="14" t="s">
        <v>14746</v>
      </c>
      <c r="H3723" s="1" t="s">
        <v>43</v>
      </c>
      <c r="I3723" s="17">
        <v>43241</v>
      </c>
    </row>
    <row r="3724" spans="1:10">
      <c r="A3724" s="16" t="s">
        <v>14747</v>
      </c>
      <c r="B3724" s="1" t="s">
        <v>2628</v>
      </c>
      <c r="C3724" s="1">
        <v>20</v>
      </c>
      <c r="D3724" s="1" t="s">
        <v>145</v>
      </c>
      <c r="E3724" s="1" t="s">
        <v>6</v>
      </c>
      <c r="F3724" s="1" t="s">
        <v>5091</v>
      </c>
      <c r="G3724" s="14" t="s">
        <v>14748</v>
      </c>
      <c r="H3724" s="1" t="s">
        <v>43</v>
      </c>
      <c r="I3724" s="17">
        <v>43255</v>
      </c>
    </row>
    <row r="3725" spans="1:10">
      <c r="A3725" s="16" t="s">
        <v>14749</v>
      </c>
      <c r="B3725" s="1" t="s">
        <v>2628</v>
      </c>
      <c r="C3725" s="1">
        <v>20</v>
      </c>
      <c r="D3725" s="1" t="s">
        <v>145</v>
      </c>
      <c r="E3725" s="1" t="s">
        <v>6</v>
      </c>
      <c r="F3725" s="1" t="s">
        <v>5091</v>
      </c>
      <c r="G3725" s="14" t="s">
        <v>14750</v>
      </c>
      <c r="H3725" s="1" t="s">
        <v>43</v>
      </c>
      <c r="I3725" s="17">
        <v>43223</v>
      </c>
    </row>
    <row r="3726" spans="1:10">
      <c r="A3726" s="7" t="s">
        <v>14802</v>
      </c>
      <c r="B3726" s="1" t="s">
        <v>2629</v>
      </c>
      <c r="C3726" s="1">
        <v>2647</v>
      </c>
      <c r="D3726" s="1" t="s">
        <v>145</v>
      </c>
      <c r="E3726" s="1" t="s">
        <v>6</v>
      </c>
      <c r="F3726" s="1" t="s">
        <v>5241</v>
      </c>
      <c r="G3726" s="1" t="s">
        <v>4803</v>
      </c>
      <c r="H3726" s="1" t="s">
        <v>5</v>
      </c>
      <c r="I3726" s="17">
        <v>42948</v>
      </c>
      <c r="J3726" s="17"/>
    </row>
    <row r="3727" spans="1:10">
      <c r="A3727" s="7" t="s">
        <v>14816</v>
      </c>
      <c r="B3727" s="1" t="s">
        <v>2629</v>
      </c>
      <c r="C3727" s="1">
        <v>20</v>
      </c>
      <c r="D3727" s="1" t="s">
        <v>145</v>
      </c>
      <c r="E3727" s="1" t="s">
        <v>10</v>
      </c>
      <c r="F3727" s="1" t="s">
        <v>5241</v>
      </c>
      <c r="G3727" s="1" t="s">
        <v>4803</v>
      </c>
      <c r="H3727" s="1" t="s">
        <v>5</v>
      </c>
      <c r="I3727" s="17">
        <v>42644</v>
      </c>
      <c r="J3727" s="17"/>
    </row>
    <row r="3728" spans="1:10">
      <c r="A3728" s="7" t="s">
        <v>14833</v>
      </c>
      <c r="B3728" s="1" t="s">
        <v>2629</v>
      </c>
      <c r="C3728" s="1">
        <v>20</v>
      </c>
      <c r="D3728" s="1" t="s">
        <v>145</v>
      </c>
      <c r="E3728" s="1" t="s">
        <v>10</v>
      </c>
      <c r="F3728" s="1" t="s">
        <v>5241</v>
      </c>
      <c r="G3728" s="1" t="s">
        <v>4803</v>
      </c>
      <c r="H3728" s="1" t="s">
        <v>5</v>
      </c>
      <c r="I3728" s="17">
        <v>42278</v>
      </c>
      <c r="J3728" s="17"/>
    </row>
    <row r="3729" spans="1:10">
      <c r="A3729" s="7" t="s">
        <v>14834</v>
      </c>
      <c r="B3729" s="1" t="s">
        <v>2629</v>
      </c>
      <c r="C3729" s="1">
        <v>20</v>
      </c>
      <c r="D3729" s="1" t="s">
        <v>145</v>
      </c>
      <c r="E3729" s="1" t="s">
        <v>10</v>
      </c>
      <c r="F3729" s="1" t="s">
        <v>5241</v>
      </c>
      <c r="G3729" s="1" t="s">
        <v>4803</v>
      </c>
      <c r="H3729" s="1" t="s">
        <v>5</v>
      </c>
      <c r="I3729" s="17">
        <v>41395</v>
      </c>
      <c r="J3729" s="17"/>
    </row>
    <row r="3730" spans="1:10">
      <c r="A3730" s="7" t="s">
        <v>14847</v>
      </c>
      <c r="B3730" s="1" t="s">
        <v>2629</v>
      </c>
      <c r="C3730" s="1">
        <v>20</v>
      </c>
      <c r="D3730" s="1" t="s">
        <v>145</v>
      </c>
      <c r="E3730" s="1" t="s">
        <v>10</v>
      </c>
      <c r="F3730" s="1" t="s">
        <v>5241</v>
      </c>
      <c r="G3730" s="1" t="s">
        <v>4803</v>
      </c>
      <c r="H3730" s="1" t="s">
        <v>5</v>
      </c>
      <c r="I3730" s="17">
        <v>43221</v>
      </c>
      <c r="J3730" s="17"/>
    </row>
    <row r="3731" spans="1:10">
      <c r="A3731" s="7" t="s">
        <v>14865</v>
      </c>
      <c r="B3731" s="1" t="s">
        <v>2629</v>
      </c>
      <c r="C3731" s="1">
        <v>20</v>
      </c>
      <c r="D3731" s="1" t="s">
        <v>145</v>
      </c>
      <c r="E3731" s="1" t="s">
        <v>10</v>
      </c>
      <c r="F3731" s="1" t="s">
        <v>5241</v>
      </c>
      <c r="G3731" s="1" t="s">
        <v>6307</v>
      </c>
      <c r="H3731" s="1" t="s">
        <v>44</v>
      </c>
      <c r="I3731" s="17">
        <v>43313</v>
      </c>
    </row>
    <row r="3732" spans="1:10">
      <c r="A3732" s="7" t="s">
        <v>14869</v>
      </c>
      <c r="B3732" s="1" t="s">
        <v>2629</v>
      </c>
      <c r="C3732" s="1">
        <v>20</v>
      </c>
      <c r="D3732" s="1" t="s">
        <v>145</v>
      </c>
      <c r="E3732" s="1" t="s">
        <v>10</v>
      </c>
      <c r="F3732" s="1" t="s">
        <v>5241</v>
      </c>
      <c r="G3732" s="1" t="s">
        <v>4803</v>
      </c>
      <c r="H3732" s="1" t="s">
        <v>5</v>
      </c>
      <c r="I3732" s="17">
        <v>43132</v>
      </c>
      <c r="J3732" s="17"/>
    </row>
    <row r="3733" spans="1:10">
      <c r="A3733" s="7" t="s">
        <v>14894</v>
      </c>
      <c r="B3733" s="1" t="s">
        <v>2629</v>
      </c>
      <c r="C3733" s="1">
        <v>2647</v>
      </c>
      <c r="D3733" s="1" t="s">
        <v>145</v>
      </c>
      <c r="E3733" s="1" t="s">
        <v>6</v>
      </c>
      <c r="F3733" s="1" t="s">
        <v>5241</v>
      </c>
      <c r="G3733" s="1" t="s">
        <v>4803</v>
      </c>
      <c r="H3733" s="1" t="s">
        <v>5</v>
      </c>
      <c r="I3733" s="17">
        <v>41518</v>
      </c>
      <c r="J3733" s="17"/>
    </row>
    <row r="3734" spans="1:10">
      <c r="A3734" s="16" t="s">
        <v>14915</v>
      </c>
      <c r="B3734" s="1" t="s">
        <v>2628</v>
      </c>
      <c r="C3734" s="1">
        <v>20</v>
      </c>
      <c r="D3734" s="1" t="s">
        <v>145</v>
      </c>
      <c r="E3734" s="1" t="s">
        <v>6</v>
      </c>
      <c r="F3734" s="1" t="s">
        <v>5241</v>
      </c>
      <c r="G3734" s="14" t="s">
        <v>4803</v>
      </c>
      <c r="H3734" s="1" t="s">
        <v>5</v>
      </c>
      <c r="I3734" s="17">
        <v>41548</v>
      </c>
    </row>
    <row r="3735" spans="1:10">
      <c r="A3735" s="7" t="s">
        <v>14954</v>
      </c>
      <c r="B3735" s="1" t="s">
        <v>2629</v>
      </c>
      <c r="C3735" s="1">
        <v>20</v>
      </c>
      <c r="D3735" s="1" t="s">
        <v>145</v>
      </c>
      <c r="E3735" s="1" t="s">
        <v>10</v>
      </c>
      <c r="F3735" s="1" t="s">
        <v>5241</v>
      </c>
      <c r="G3735" s="1" t="s">
        <v>6307</v>
      </c>
      <c r="H3735" s="1" t="s">
        <v>44</v>
      </c>
      <c r="I3735" s="17">
        <v>43132</v>
      </c>
    </row>
    <row r="3736" spans="1:10">
      <c r="A3736" s="7" t="s">
        <v>14971</v>
      </c>
      <c r="B3736" s="1" t="s">
        <v>2629</v>
      </c>
      <c r="C3736" s="1">
        <v>20</v>
      </c>
      <c r="D3736" s="1" t="s">
        <v>145</v>
      </c>
      <c r="E3736" s="1" t="s">
        <v>10</v>
      </c>
      <c r="F3736" s="1" t="s">
        <v>5241</v>
      </c>
      <c r="G3736" s="1" t="s">
        <v>4803</v>
      </c>
      <c r="H3736" s="1" t="s">
        <v>5</v>
      </c>
      <c r="I3736" s="17">
        <v>41456</v>
      </c>
      <c r="J3736" s="17"/>
    </row>
    <row r="3737" spans="1:10">
      <c r="A3737" s="7" t="s">
        <v>14978</v>
      </c>
      <c r="B3737" s="1" t="s">
        <v>2629</v>
      </c>
      <c r="C3737" s="1">
        <v>20</v>
      </c>
      <c r="D3737" s="1" t="s">
        <v>145</v>
      </c>
      <c r="E3737" s="1" t="s">
        <v>6</v>
      </c>
      <c r="F3737" s="1" t="s">
        <v>5241</v>
      </c>
      <c r="G3737" s="1" t="s">
        <v>4803</v>
      </c>
      <c r="H3737" s="1" t="s">
        <v>5</v>
      </c>
      <c r="I3737" s="17">
        <v>41913</v>
      </c>
      <c r="J3737" s="17"/>
    </row>
    <row r="3738" spans="1:10">
      <c r="A3738" s="16" t="s">
        <v>14997</v>
      </c>
      <c r="B3738" s="1" t="s">
        <v>2631</v>
      </c>
      <c r="C3738" s="1">
        <v>20</v>
      </c>
      <c r="D3738" s="1" t="s">
        <v>145</v>
      </c>
      <c r="E3738" s="1" t="s">
        <v>6</v>
      </c>
      <c r="F3738" s="1" t="s">
        <v>5241</v>
      </c>
      <c r="G3738" s="1" t="s">
        <v>4803</v>
      </c>
      <c r="H3738" s="1" t="s">
        <v>5</v>
      </c>
      <c r="I3738" s="17">
        <v>42370</v>
      </c>
      <c r="J3738" s="17"/>
    </row>
    <row r="3739" spans="1:10">
      <c r="A3739" s="7" t="s">
        <v>15010</v>
      </c>
      <c r="B3739" s="1" t="s">
        <v>2629</v>
      </c>
      <c r="C3739" s="1">
        <v>20</v>
      </c>
      <c r="D3739" s="1" t="s">
        <v>145</v>
      </c>
      <c r="E3739" s="1" t="s">
        <v>10</v>
      </c>
      <c r="F3739" s="1" t="s">
        <v>5241</v>
      </c>
      <c r="G3739" s="1" t="s">
        <v>6307</v>
      </c>
      <c r="H3739" s="1" t="s">
        <v>44</v>
      </c>
      <c r="I3739" s="17">
        <v>43313</v>
      </c>
    </row>
    <row r="3740" spans="1:10">
      <c r="A3740" s="7" t="s">
        <v>15031</v>
      </c>
      <c r="B3740" s="1" t="s">
        <v>2629</v>
      </c>
      <c r="C3740" s="1">
        <v>20</v>
      </c>
      <c r="D3740" s="1" t="s">
        <v>145</v>
      </c>
      <c r="E3740" s="1" t="s">
        <v>10</v>
      </c>
      <c r="F3740" s="1" t="s">
        <v>5241</v>
      </c>
      <c r="G3740" s="1" t="s">
        <v>4803</v>
      </c>
      <c r="H3740" s="1" t="s">
        <v>5</v>
      </c>
      <c r="I3740" s="17">
        <v>41913</v>
      </c>
      <c r="J3740" s="17"/>
    </row>
    <row r="3741" spans="1:10">
      <c r="A3741" s="7" t="s">
        <v>15044</v>
      </c>
      <c r="B3741" s="1" t="s">
        <v>2629</v>
      </c>
      <c r="C3741" s="1">
        <v>20</v>
      </c>
      <c r="D3741" s="1" t="s">
        <v>145</v>
      </c>
      <c r="E3741" s="1" t="s">
        <v>10</v>
      </c>
      <c r="F3741" s="1" t="s">
        <v>5241</v>
      </c>
      <c r="G3741" s="1" t="s">
        <v>4803</v>
      </c>
      <c r="H3741" s="1" t="s">
        <v>5</v>
      </c>
      <c r="I3741" s="17">
        <v>41579</v>
      </c>
      <c r="J3741" s="17"/>
    </row>
    <row r="3742" spans="1:10">
      <c r="A3742" s="7" t="s">
        <v>15121</v>
      </c>
      <c r="B3742" s="1" t="s">
        <v>2629</v>
      </c>
      <c r="C3742" s="1">
        <v>20</v>
      </c>
      <c r="D3742" s="1" t="s">
        <v>145</v>
      </c>
      <c r="E3742" s="1" t="s">
        <v>10</v>
      </c>
      <c r="F3742" s="1" t="s">
        <v>5241</v>
      </c>
      <c r="G3742" s="1" t="s">
        <v>4803</v>
      </c>
      <c r="H3742" s="1" t="s">
        <v>5</v>
      </c>
      <c r="I3742" s="17">
        <v>41609</v>
      </c>
    </row>
    <row r="3743" spans="1:10">
      <c r="A3743" s="7" t="s">
        <v>15134</v>
      </c>
      <c r="B3743" s="1" t="s">
        <v>2629</v>
      </c>
      <c r="C3743" s="1">
        <v>20</v>
      </c>
      <c r="D3743" s="1" t="s">
        <v>145</v>
      </c>
      <c r="E3743" s="1" t="s">
        <v>10</v>
      </c>
      <c r="F3743" s="1" t="s">
        <v>5241</v>
      </c>
      <c r="G3743" s="1" t="s">
        <v>6307</v>
      </c>
      <c r="H3743" s="1" t="s">
        <v>44</v>
      </c>
      <c r="I3743" s="17">
        <v>42036</v>
      </c>
    </row>
    <row r="3744" spans="1:10">
      <c r="A3744" s="16" t="s">
        <v>15151</v>
      </c>
      <c r="B3744" s="1" t="s">
        <v>2631</v>
      </c>
      <c r="C3744" s="1">
        <v>20</v>
      </c>
      <c r="D3744" s="1" t="s">
        <v>145</v>
      </c>
      <c r="E3744" s="1" t="s">
        <v>6</v>
      </c>
      <c r="F3744" s="1" t="s">
        <v>5241</v>
      </c>
      <c r="G3744" s="1" t="s">
        <v>4803</v>
      </c>
      <c r="H3744" s="1" t="s">
        <v>5</v>
      </c>
      <c r="I3744" s="17">
        <v>41456</v>
      </c>
      <c r="J3744" s="17"/>
    </row>
    <row r="3745" spans="1:10">
      <c r="A3745" s="7" t="s">
        <v>15174</v>
      </c>
      <c r="B3745" s="1" t="s">
        <v>2629</v>
      </c>
      <c r="C3745" s="1">
        <v>20</v>
      </c>
      <c r="D3745" s="1" t="s">
        <v>145</v>
      </c>
      <c r="E3745" s="1" t="s">
        <v>10</v>
      </c>
      <c r="F3745" s="1" t="s">
        <v>5241</v>
      </c>
      <c r="G3745" s="1" t="s">
        <v>4803</v>
      </c>
      <c r="H3745" s="1" t="s">
        <v>5</v>
      </c>
      <c r="I3745" s="17">
        <v>41913</v>
      </c>
    </row>
    <row r="3746" spans="1:10">
      <c r="A3746" s="16" t="s">
        <v>15176</v>
      </c>
      <c r="B3746" s="1" t="s">
        <v>2628</v>
      </c>
      <c r="C3746" s="1">
        <v>20</v>
      </c>
      <c r="D3746" s="1" t="s">
        <v>145</v>
      </c>
      <c r="E3746" s="1" t="s">
        <v>6</v>
      </c>
      <c r="F3746" s="1" t="s">
        <v>5241</v>
      </c>
      <c r="G3746" s="14" t="s">
        <v>4803</v>
      </c>
      <c r="H3746" s="1" t="s">
        <v>5</v>
      </c>
      <c r="I3746" s="17">
        <v>42979</v>
      </c>
    </row>
    <row r="3747" spans="1:10">
      <c r="A3747" s="7" t="s">
        <v>15186</v>
      </c>
      <c r="B3747" s="1" t="s">
        <v>2629</v>
      </c>
      <c r="C3747" s="1">
        <v>20</v>
      </c>
      <c r="D3747" s="1" t="s">
        <v>145</v>
      </c>
      <c r="E3747" s="1" t="s">
        <v>10</v>
      </c>
      <c r="F3747" s="1" t="s">
        <v>5241</v>
      </c>
      <c r="G3747" s="1" t="s">
        <v>4803</v>
      </c>
      <c r="H3747" s="1" t="s">
        <v>5</v>
      </c>
      <c r="I3747" s="17">
        <v>43252</v>
      </c>
    </row>
    <row r="3748" spans="1:10">
      <c r="A3748" s="19" t="s">
        <v>15217</v>
      </c>
      <c r="B3748" s="13" t="s">
        <v>16956</v>
      </c>
      <c r="C3748" s="13">
        <v>20</v>
      </c>
      <c r="D3748" s="13" t="s">
        <v>145</v>
      </c>
      <c r="E3748" s="13" t="s">
        <v>6</v>
      </c>
      <c r="F3748" s="13" t="s">
        <v>5241</v>
      </c>
      <c r="G3748" s="13" t="s">
        <v>6307</v>
      </c>
      <c r="H3748" s="13" t="s">
        <v>44</v>
      </c>
      <c r="I3748" s="18">
        <v>41579</v>
      </c>
    </row>
    <row r="3749" spans="1:10">
      <c r="A3749" s="7" t="s">
        <v>15240</v>
      </c>
      <c r="B3749" s="1" t="s">
        <v>2629</v>
      </c>
      <c r="C3749" s="1">
        <v>20</v>
      </c>
      <c r="D3749" s="1" t="s">
        <v>145</v>
      </c>
      <c r="E3749" s="1" t="s">
        <v>10</v>
      </c>
      <c r="F3749" s="1" t="s">
        <v>5241</v>
      </c>
      <c r="G3749" s="1" t="s">
        <v>4803</v>
      </c>
      <c r="H3749" s="1" t="s">
        <v>5</v>
      </c>
      <c r="I3749" s="17">
        <v>43132</v>
      </c>
    </row>
    <row r="3750" spans="1:10">
      <c r="A3750" s="7" t="s">
        <v>15280</v>
      </c>
      <c r="B3750" s="1" t="s">
        <v>2629</v>
      </c>
      <c r="C3750" s="1">
        <v>20</v>
      </c>
      <c r="D3750" s="1" t="s">
        <v>145</v>
      </c>
      <c r="E3750" s="1" t="s">
        <v>10</v>
      </c>
      <c r="F3750" s="1" t="s">
        <v>5241</v>
      </c>
      <c r="G3750" s="1" t="s">
        <v>4803</v>
      </c>
      <c r="H3750" s="1" t="s">
        <v>5</v>
      </c>
      <c r="I3750" s="17">
        <v>43313</v>
      </c>
    </row>
    <row r="3751" spans="1:10">
      <c r="A3751" s="7" t="s">
        <v>15289</v>
      </c>
      <c r="B3751" s="1" t="s">
        <v>2629</v>
      </c>
      <c r="C3751" s="1">
        <v>2647</v>
      </c>
      <c r="D3751" s="1" t="s">
        <v>145</v>
      </c>
      <c r="E3751" s="1" t="s">
        <v>6</v>
      </c>
      <c r="F3751" s="1" t="s">
        <v>5241</v>
      </c>
      <c r="G3751" s="1" t="s">
        <v>4803</v>
      </c>
      <c r="H3751" s="1" t="s">
        <v>5</v>
      </c>
      <c r="I3751" s="17">
        <v>43040</v>
      </c>
    </row>
    <row r="3752" spans="1:10">
      <c r="A3752" s="16" t="s">
        <v>15342</v>
      </c>
      <c r="B3752" s="1" t="s">
        <v>2631</v>
      </c>
      <c r="C3752" s="1">
        <v>20</v>
      </c>
      <c r="D3752" s="1" t="s">
        <v>145</v>
      </c>
      <c r="E3752" s="1" t="s">
        <v>6</v>
      </c>
      <c r="F3752" s="1" t="s">
        <v>5241</v>
      </c>
      <c r="G3752" s="1" t="s">
        <v>4803</v>
      </c>
      <c r="H3752" s="1" t="s">
        <v>5</v>
      </c>
      <c r="I3752" s="17">
        <v>41426</v>
      </c>
      <c r="J3752" s="17"/>
    </row>
    <row r="3753" spans="1:10">
      <c r="A3753" s="7" t="s">
        <v>15360</v>
      </c>
      <c r="B3753" s="1" t="s">
        <v>2629</v>
      </c>
      <c r="C3753" s="1">
        <v>20</v>
      </c>
      <c r="D3753" s="1" t="s">
        <v>145</v>
      </c>
      <c r="E3753" s="1" t="s">
        <v>10</v>
      </c>
      <c r="F3753" s="1" t="s">
        <v>5241</v>
      </c>
      <c r="G3753" s="1" t="s">
        <v>6307</v>
      </c>
      <c r="H3753" s="1" t="s">
        <v>44</v>
      </c>
      <c r="I3753" s="17">
        <v>43160</v>
      </c>
    </row>
    <row r="3754" spans="1:10">
      <c r="A3754" s="7" t="s">
        <v>15399</v>
      </c>
      <c r="B3754" s="1" t="s">
        <v>2629</v>
      </c>
      <c r="C3754" s="1">
        <v>20</v>
      </c>
      <c r="D3754" s="1" t="s">
        <v>145</v>
      </c>
      <c r="E3754" s="1" t="s">
        <v>10</v>
      </c>
      <c r="F3754" s="1" t="s">
        <v>5241</v>
      </c>
      <c r="G3754" s="1" t="s">
        <v>4803</v>
      </c>
      <c r="H3754" s="1" t="s">
        <v>5</v>
      </c>
      <c r="I3754" s="17">
        <v>42430</v>
      </c>
    </row>
    <row r="3755" spans="1:10">
      <c r="A3755" s="7" t="s">
        <v>15405</v>
      </c>
      <c r="B3755" s="1" t="s">
        <v>2629</v>
      </c>
      <c r="C3755" s="1">
        <v>20</v>
      </c>
      <c r="D3755" s="1" t="s">
        <v>145</v>
      </c>
      <c r="E3755" s="1" t="s">
        <v>10</v>
      </c>
      <c r="F3755" s="1" t="s">
        <v>5241</v>
      </c>
      <c r="G3755" s="1" t="s">
        <v>6307</v>
      </c>
      <c r="H3755" s="1" t="s">
        <v>44</v>
      </c>
      <c r="I3755" s="17">
        <v>42309</v>
      </c>
    </row>
    <row r="3756" spans="1:10">
      <c r="A3756" s="7" t="s">
        <v>15423</v>
      </c>
      <c r="B3756" s="1" t="s">
        <v>2629</v>
      </c>
      <c r="C3756" s="1">
        <v>20</v>
      </c>
      <c r="D3756" s="1" t="s">
        <v>145</v>
      </c>
      <c r="E3756" s="1" t="s">
        <v>10</v>
      </c>
      <c r="F3756" s="1" t="s">
        <v>5241</v>
      </c>
      <c r="G3756" s="1" t="s">
        <v>4803</v>
      </c>
      <c r="H3756" s="1" t="s">
        <v>5</v>
      </c>
      <c r="I3756" s="17">
        <v>43282</v>
      </c>
    </row>
    <row r="3757" spans="1:10">
      <c r="A3757" s="7" t="s">
        <v>15439</v>
      </c>
      <c r="B3757" s="1" t="s">
        <v>2629</v>
      </c>
      <c r="C3757" s="1">
        <v>20</v>
      </c>
      <c r="D3757" s="1" t="s">
        <v>145</v>
      </c>
      <c r="E3757" s="1" t="s">
        <v>10</v>
      </c>
      <c r="F3757" s="1" t="s">
        <v>5241</v>
      </c>
      <c r="G3757" s="1" t="s">
        <v>4803</v>
      </c>
      <c r="H3757" s="1" t="s">
        <v>5</v>
      </c>
      <c r="I3757" s="17">
        <v>43132</v>
      </c>
    </row>
    <row r="3758" spans="1:10">
      <c r="A3758" s="7" t="s">
        <v>15455</v>
      </c>
      <c r="B3758" s="1" t="s">
        <v>2629</v>
      </c>
      <c r="C3758" s="1">
        <v>20</v>
      </c>
      <c r="D3758" s="1" t="s">
        <v>145</v>
      </c>
      <c r="E3758" s="1" t="s">
        <v>10</v>
      </c>
      <c r="F3758" s="1" t="s">
        <v>5241</v>
      </c>
      <c r="G3758" s="1" t="s">
        <v>4803</v>
      </c>
      <c r="H3758" s="1" t="s">
        <v>5</v>
      </c>
      <c r="I3758" s="17">
        <v>41456</v>
      </c>
    </row>
    <row r="3759" spans="1:10">
      <c r="A3759" s="7" t="s">
        <v>15473</v>
      </c>
      <c r="B3759" s="1" t="s">
        <v>2629</v>
      </c>
      <c r="C3759" s="1">
        <v>20</v>
      </c>
      <c r="D3759" s="1" t="s">
        <v>145</v>
      </c>
      <c r="E3759" s="1" t="s">
        <v>6</v>
      </c>
      <c r="F3759" s="1" t="s">
        <v>5241</v>
      </c>
      <c r="G3759" s="1" t="s">
        <v>4803</v>
      </c>
      <c r="H3759" s="1" t="s">
        <v>5</v>
      </c>
      <c r="I3759" s="17">
        <v>43132</v>
      </c>
    </row>
    <row r="3760" spans="1:10">
      <c r="A3760" s="7" t="s">
        <v>15499</v>
      </c>
      <c r="B3760" s="1" t="s">
        <v>2629</v>
      </c>
      <c r="C3760" s="1">
        <v>20</v>
      </c>
      <c r="D3760" s="1" t="s">
        <v>145</v>
      </c>
      <c r="E3760" s="1" t="s">
        <v>10</v>
      </c>
      <c r="F3760" s="1" t="s">
        <v>5241</v>
      </c>
      <c r="G3760" s="1" t="s">
        <v>4803</v>
      </c>
      <c r="H3760" s="1" t="s">
        <v>5</v>
      </c>
      <c r="I3760" s="17">
        <v>42278</v>
      </c>
    </row>
    <row r="3761" spans="1:9">
      <c r="A3761" s="7" t="s">
        <v>15506</v>
      </c>
      <c r="B3761" s="1" t="s">
        <v>2629</v>
      </c>
      <c r="C3761" s="1">
        <v>20</v>
      </c>
      <c r="D3761" s="1" t="s">
        <v>145</v>
      </c>
      <c r="E3761" s="1" t="s">
        <v>10</v>
      </c>
      <c r="F3761" s="1" t="s">
        <v>5241</v>
      </c>
      <c r="G3761" s="1" t="s">
        <v>4803</v>
      </c>
      <c r="H3761" s="1" t="s">
        <v>5</v>
      </c>
      <c r="I3761" s="17">
        <v>43132</v>
      </c>
    </row>
    <row r="3762" spans="1:9">
      <c r="A3762" s="16" t="s">
        <v>15538</v>
      </c>
      <c r="B3762" s="1" t="s">
        <v>2628</v>
      </c>
      <c r="C3762" s="1">
        <v>20</v>
      </c>
      <c r="D3762" s="1" t="s">
        <v>145</v>
      </c>
      <c r="E3762" s="1" t="s">
        <v>6</v>
      </c>
      <c r="F3762" s="1" t="s">
        <v>5241</v>
      </c>
      <c r="G3762" s="14" t="s">
        <v>6307</v>
      </c>
      <c r="H3762" s="1" t="s">
        <v>44</v>
      </c>
      <c r="I3762" s="17">
        <v>43070</v>
      </c>
    </row>
    <row r="3763" spans="1:9">
      <c r="A3763" s="7" t="s">
        <v>15550</v>
      </c>
      <c r="B3763" s="1" t="s">
        <v>2629</v>
      </c>
      <c r="C3763" s="1">
        <v>20</v>
      </c>
      <c r="D3763" s="1" t="s">
        <v>145</v>
      </c>
      <c r="E3763" s="1" t="s">
        <v>10</v>
      </c>
      <c r="F3763" s="1" t="s">
        <v>5241</v>
      </c>
      <c r="G3763" s="1" t="s">
        <v>4803</v>
      </c>
      <c r="H3763" s="1" t="s">
        <v>5</v>
      </c>
      <c r="I3763" s="17">
        <v>43009</v>
      </c>
    </row>
    <row r="3764" spans="1:9">
      <c r="A3764" s="7" t="s">
        <v>15571</v>
      </c>
      <c r="B3764" s="1" t="s">
        <v>2629</v>
      </c>
      <c r="C3764" s="1">
        <v>20</v>
      </c>
      <c r="D3764" s="1" t="s">
        <v>145</v>
      </c>
      <c r="E3764" s="1" t="s">
        <v>10</v>
      </c>
      <c r="F3764" s="1" t="s">
        <v>5241</v>
      </c>
      <c r="G3764" s="1" t="s">
        <v>4803</v>
      </c>
      <c r="H3764" s="1" t="s">
        <v>5</v>
      </c>
      <c r="I3764" s="17">
        <v>41548</v>
      </c>
    </row>
    <row r="3765" spans="1:9">
      <c r="A3765" s="16" t="s">
        <v>15644</v>
      </c>
      <c r="B3765" s="1" t="s">
        <v>2628</v>
      </c>
      <c r="C3765" s="1">
        <v>20</v>
      </c>
      <c r="D3765" s="1" t="s">
        <v>145</v>
      </c>
      <c r="E3765" s="1" t="s">
        <v>6</v>
      </c>
      <c r="F3765" s="1" t="s">
        <v>5091</v>
      </c>
      <c r="G3765" s="14" t="s">
        <v>15645</v>
      </c>
      <c r="H3765" s="1" t="s">
        <v>43</v>
      </c>
      <c r="I3765" s="17">
        <v>43223</v>
      </c>
    </row>
    <row r="3766" spans="1:9">
      <c r="A3766" s="7" t="s">
        <v>16080</v>
      </c>
      <c r="B3766" s="2" t="s">
        <v>2629</v>
      </c>
      <c r="C3766" s="1">
        <v>20</v>
      </c>
      <c r="D3766" s="1" t="s">
        <v>145</v>
      </c>
      <c r="E3766" s="1" t="s">
        <v>6</v>
      </c>
      <c r="F3766" s="1" t="s">
        <v>5241</v>
      </c>
      <c r="G3766" s="14" t="s">
        <v>4803</v>
      </c>
      <c r="H3766" s="1" t="s">
        <v>5</v>
      </c>
      <c r="I3766" s="1">
        <v>2019</v>
      </c>
    </row>
    <row r="3767" spans="1:9">
      <c r="A3767" s="7" t="s">
        <v>16216</v>
      </c>
      <c r="B3767" s="2" t="s">
        <v>2629</v>
      </c>
      <c r="C3767" s="1">
        <v>20</v>
      </c>
      <c r="D3767" s="1" t="s">
        <v>145</v>
      </c>
      <c r="E3767" s="1" t="s">
        <v>6</v>
      </c>
      <c r="F3767" s="1" t="s">
        <v>5241</v>
      </c>
      <c r="G3767" s="14" t="s">
        <v>4803</v>
      </c>
      <c r="H3767" s="1" t="s">
        <v>5</v>
      </c>
      <c r="I3767" s="1">
        <v>2019</v>
      </c>
    </row>
    <row r="3768" spans="1:9">
      <c r="A3768" s="7" t="s">
        <v>16546</v>
      </c>
      <c r="B3768" s="2" t="s">
        <v>2629</v>
      </c>
      <c r="C3768" s="1">
        <v>20</v>
      </c>
      <c r="D3768" s="1" t="s">
        <v>145</v>
      </c>
      <c r="E3768" s="1" t="s">
        <v>6</v>
      </c>
      <c r="F3768" s="1" t="s">
        <v>5241</v>
      </c>
      <c r="G3768" s="14" t="s">
        <v>6307</v>
      </c>
      <c r="H3768" s="1" t="s">
        <v>44</v>
      </c>
      <c r="I3768" s="1">
        <v>2019</v>
      </c>
    </row>
    <row r="3769" spans="1:9">
      <c r="A3769" s="7" t="s">
        <v>5377</v>
      </c>
      <c r="B3769" s="1" t="s">
        <v>2629</v>
      </c>
      <c r="C3769" s="1">
        <v>20</v>
      </c>
      <c r="D3769" s="1" t="s">
        <v>145</v>
      </c>
      <c r="E3769" s="1" t="s">
        <v>10</v>
      </c>
      <c r="F3769" s="1" t="s">
        <v>2696</v>
      </c>
      <c r="G3769" s="1" t="s">
        <v>4800</v>
      </c>
      <c r="H3769" s="1" t="s">
        <v>27</v>
      </c>
      <c r="I3769" s="17">
        <v>40909</v>
      </c>
    </row>
    <row r="3770" spans="1:9">
      <c r="A3770" s="7" t="s">
        <v>5392</v>
      </c>
      <c r="B3770" s="1" t="s">
        <v>2629</v>
      </c>
      <c r="C3770" s="1">
        <v>20</v>
      </c>
      <c r="D3770" s="1" t="s">
        <v>145</v>
      </c>
      <c r="E3770" s="1" t="s">
        <v>10</v>
      </c>
      <c r="F3770" s="1" t="s">
        <v>2696</v>
      </c>
      <c r="G3770" s="1" t="s">
        <v>4800</v>
      </c>
      <c r="H3770" s="1" t="s">
        <v>27</v>
      </c>
      <c r="I3770" s="17">
        <v>41640</v>
      </c>
    </row>
    <row r="3771" spans="1:9">
      <c r="A3771" s="7" t="s">
        <v>5500</v>
      </c>
      <c r="B3771" s="1" t="s">
        <v>2629</v>
      </c>
      <c r="C3771" s="1">
        <v>20</v>
      </c>
      <c r="D3771" s="1" t="s">
        <v>145</v>
      </c>
      <c r="E3771" s="1" t="s">
        <v>10</v>
      </c>
      <c r="F3771" s="1" t="s">
        <v>2699</v>
      </c>
      <c r="G3771" s="1" t="s">
        <v>4800</v>
      </c>
      <c r="H3771" s="1" t="s">
        <v>27</v>
      </c>
      <c r="I3771" s="17">
        <v>40179</v>
      </c>
    </row>
    <row r="3772" spans="1:9">
      <c r="A3772" s="7" t="s">
        <v>6214</v>
      </c>
      <c r="B3772" s="2" t="s">
        <v>2629</v>
      </c>
      <c r="C3772" s="1">
        <v>20</v>
      </c>
      <c r="D3772" s="1" t="s">
        <v>145</v>
      </c>
      <c r="E3772" s="1" t="s">
        <v>6</v>
      </c>
      <c r="F3772" s="1" t="s">
        <v>5241</v>
      </c>
      <c r="G3772" s="14" t="s">
        <v>4800</v>
      </c>
      <c r="H3772" s="1" t="s">
        <v>27</v>
      </c>
      <c r="I3772" s="1">
        <v>2019</v>
      </c>
    </row>
    <row r="3773" spans="1:9">
      <c r="A3773" s="7" t="s">
        <v>6311</v>
      </c>
      <c r="B3773" s="2" t="s">
        <v>2629</v>
      </c>
      <c r="C3773" s="1">
        <v>20</v>
      </c>
      <c r="D3773" s="1" t="s">
        <v>145</v>
      </c>
      <c r="E3773" s="1" t="s">
        <v>6</v>
      </c>
      <c r="F3773" s="1" t="s">
        <v>5241</v>
      </c>
      <c r="G3773" s="14" t="s">
        <v>4800</v>
      </c>
      <c r="H3773" s="1" t="s">
        <v>27</v>
      </c>
      <c r="I3773" s="1">
        <v>2019</v>
      </c>
    </row>
    <row r="3774" spans="1:9">
      <c r="A3774" s="7" t="s">
        <v>6862</v>
      </c>
      <c r="B3774" s="1" t="s">
        <v>2629</v>
      </c>
      <c r="C3774" s="1">
        <v>20</v>
      </c>
      <c r="D3774" s="1" t="s">
        <v>145</v>
      </c>
      <c r="E3774" s="1" t="s">
        <v>6</v>
      </c>
      <c r="F3774" s="1" t="s">
        <v>5241</v>
      </c>
      <c r="G3774" s="1" t="s">
        <v>4800</v>
      </c>
      <c r="H3774" s="1" t="s">
        <v>27</v>
      </c>
      <c r="I3774" s="1" t="s">
        <v>5855</v>
      </c>
    </row>
    <row r="3775" spans="1:9">
      <c r="A3775" s="7" t="s">
        <v>6891</v>
      </c>
      <c r="B3775" s="1" t="s">
        <v>2629</v>
      </c>
      <c r="C3775" s="1">
        <v>20</v>
      </c>
      <c r="D3775" s="1" t="s">
        <v>145</v>
      </c>
      <c r="E3775" s="1" t="s">
        <v>6</v>
      </c>
      <c r="F3775" s="1" t="s">
        <v>5241</v>
      </c>
      <c r="G3775" s="1" t="s">
        <v>4800</v>
      </c>
      <c r="H3775" s="1" t="s">
        <v>27</v>
      </c>
      <c r="I3775" s="1" t="s">
        <v>5722</v>
      </c>
    </row>
    <row r="3776" spans="1:9">
      <c r="A3776" s="7" t="s">
        <v>6917</v>
      </c>
      <c r="B3776" s="1" t="s">
        <v>2629</v>
      </c>
      <c r="C3776" s="1">
        <v>20</v>
      </c>
      <c r="D3776" s="1" t="s">
        <v>145</v>
      </c>
      <c r="E3776" s="1" t="s">
        <v>6</v>
      </c>
      <c r="F3776" s="1" t="s">
        <v>5241</v>
      </c>
      <c r="G3776" s="1" t="s">
        <v>4800</v>
      </c>
      <c r="H3776" s="1" t="s">
        <v>27</v>
      </c>
      <c r="I3776" s="1" t="s">
        <v>5722</v>
      </c>
    </row>
    <row r="3777" spans="1:10">
      <c r="A3777" s="7" t="s">
        <v>7348</v>
      </c>
      <c r="B3777" s="1" t="s">
        <v>2629</v>
      </c>
      <c r="C3777" s="1">
        <v>20</v>
      </c>
      <c r="D3777" s="1" t="s">
        <v>145</v>
      </c>
      <c r="E3777" s="1" t="s">
        <v>6</v>
      </c>
      <c r="F3777" s="1" t="s">
        <v>5241</v>
      </c>
      <c r="G3777" s="1" t="s">
        <v>4800</v>
      </c>
      <c r="H3777" s="1" t="s">
        <v>27</v>
      </c>
      <c r="I3777" s="1" t="s">
        <v>5855</v>
      </c>
    </row>
    <row r="3778" spans="1:10">
      <c r="A3778" s="7" t="s">
        <v>11477</v>
      </c>
      <c r="B3778" s="1" t="s">
        <v>2629</v>
      </c>
      <c r="C3778" s="1">
        <v>20</v>
      </c>
      <c r="D3778" s="1" t="s">
        <v>145</v>
      </c>
      <c r="E3778" s="1" t="s">
        <v>10</v>
      </c>
      <c r="F3778" s="1" t="s">
        <v>5241</v>
      </c>
      <c r="G3778" s="1" t="s">
        <v>4800</v>
      </c>
      <c r="H3778" s="1" t="s">
        <v>27</v>
      </c>
      <c r="I3778" s="17">
        <v>41913</v>
      </c>
    </row>
    <row r="3779" spans="1:10">
      <c r="A3779" s="7" t="s">
        <v>11516</v>
      </c>
      <c r="B3779" s="1" t="s">
        <v>2629</v>
      </c>
      <c r="C3779" s="1">
        <v>20</v>
      </c>
      <c r="D3779" s="1" t="s">
        <v>145</v>
      </c>
      <c r="E3779" s="1" t="s">
        <v>10</v>
      </c>
      <c r="F3779" s="1" t="s">
        <v>5241</v>
      </c>
      <c r="G3779" s="1" t="s">
        <v>4800</v>
      </c>
      <c r="H3779" s="1" t="s">
        <v>27</v>
      </c>
      <c r="I3779" s="17">
        <v>41852</v>
      </c>
    </row>
    <row r="3780" spans="1:10">
      <c r="A3780" s="7" t="s">
        <v>14026</v>
      </c>
      <c r="B3780" s="1" t="s">
        <v>2629</v>
      </c>
      <c r="C3780" s="1">
        <v>20</v>
      </c>
      <c r="D3780" s="1" t="s">
        <v>145</v>
      </c>
      <c r="E3780" s="1" t="s">
        <v>10</v>
      </c>
      <c r="F3780" s="1" t="s">
        <v>5241</v>
      </c>
      <c r="G3780" s="1" t="s">
        <v>4800</v>
      </c>
      <c r="H3780" s="1" t="s">
        <v>27</v>
      </c>
      <c r="I3780" s="17">
        <v>42278</v>
      </c>
    </row>
    <row r="3781" spans="1:10">
      <c r="A3781" s="7" t="s">
        <v>14040</v>
      </c>
      <c r="B3781" s="1" t="s">
        <v>2629</v>
      </c>
      <c r="C3781" s="1">
        <v>20</v>
      </c>
      <c r="D3781" s="1" t="s">
        <v>145</v>
      </c>
      <c r="E3781" s="1" t="s">
        <v>10</v>
      </c>
      <c r="F3781" s="1" t="s">
        <v>5241</v>
      </c>
      <c r="G3781" s="1" t="s">
        <v>4800</v>
      </c>
      <c r="H3781" s="1" t="s">
        <v>27</v>
      </c>
      <c r="I3781" s="17">
        <v>41852</v>
      </c>
    </row>
    <row r="3782" spans="1:10">
      <c r="A3782" s="7" t="s">
        <v>14237</v>
      </c>
      <c r="B3782" s="1" t="s">
        <v>2629</v>
      </c>
      <c r="C3782" s="1">
        <v>20</v>
      </c>
      <c r="D3782" s="1" t="s">
        <v>145</v>
      </c>
      <c r="E3782" s="1" t="s">
        <v>10</v>
      </c>
      <c r="F3782" s="1" t="s">
        <v>5241</v>
      </c>
      <c r="G3782" s="1" t="s">
        <v>4800</v>
      </c>
      <c r="H3782" s="1" t="s">
        <v>27</v>
      </c>
      <c r="I3782" s="17">
        <v>42614</v>
      </c>
    </row>
    <row r="3783" spans="1:10">
      <c r="A3783" s="7" t="s">
        <v>14253</v>
      </c>
      <c r="B3783" s="1" t="s">
        <v>2629</v>
      </c>
      <c r="C3783" s="1">
        <v>20</v>
      </c>
      <c r="D3783" s="1" t="s">
        <v>145</v>
      </c>
      <c r="E3783" s="1" t="s">
        <v>10</v>
      </c>
      <c r="F3783" s="1" t="s">
        <v>5241</v>
      </c>
      <c r="G3783" s="1" t="s">
        <v>4800</v>
      </c>
      <c r="H3783" s="1" t="s">
        <v>27</v>
      </c>
      <c r="I3783" s="17">
        <v>42979</v>
      </c>
    </row>
    <row r="3784" spans="1:10">
      <c r="A3784" s="7" t="s">
        <v>14323</v>
      </c>
      <c r="B3784" s="1" t="s">
        <v>2629</v>
      </c>
      <c r="C3784" s="1">
        <v>20</v>
      </c>
      <c r="D3784" s="1" t="s">
        <v>145</v>
      </c>
      <c r="E3784" s="1" t="s">
        <v>10</v>
      </c>
      <c r="F3784" s="1" t="s">
        <v>5241</v>
      </c>
      <c r="G3784" s="1" t="s">
        <v>4800</v>
      </c>
      <c r="H3784" s="1" t="s">
        <v>27</v>
      </c>
      <c r="I3784" s="17">
        <v>43040</v>
      </c>
    </row>
    <row r="3785" spans="1:10">
      <c r="A3785" s="7" t="s">
        <v>14325</v>
      </c>
      <c r="B3785" s="1" t="s">
        <v>2629</v>
      </c>
      <c r="C3785" s="1">
        <v>20</v>
      </c>
      <c r="D3785" s="1" t="s">
        <v>145</v>
      </c>
      <c r="E3785" s="1" t="s">
        <v>10</v>
      </c>
      <c r="F3785" s="1" t="s">
        <v>5241</v>
      </c>
      <c r="G3785" s="1" t="s">
        <v>4800</v>
      </c>
      <c r="H3785" s="1" t="s">
        <v>27</v>
      </c>
      <c r="I3785" s="17">
        <v>42979</v>
      </c>
    </row>
    <row r="3786" spans="1:10">
      <c r="A3786" s="7" t="s">
        <v>14426</v>
      </c>
      <c r="B3786" s="1" t="s">
        <v>2629</v>
      </c>
      <c r="C3786" s="1">
        <v>20</v>
      </c>
      <c r="D3786" s="1" t="s">
        <v>145</v>
      </c>
      <c r="E3786" s="1" t="s">
        <v>10</v>
      </c>
      <c r="F3786" s="1" t="s">
        <v>5241</v>
      </c>
      <c r="G3786" s="1" t="s">
        <v>4800</v>
      </c>
      <c r="H3786" s="1" t="s">
        <v>27</v>
      </c>
      <c r="I3786" s="17">
        <v>43252</v>
      </c>
    </row>
    <row r="3787" spans="1:10">
      <c r="A3787" s="7" t="s">
        <v>16074</v>
      </c>
      <c r="B3787" s="2" t="s">
        <v>2629</v>
      </c>
      <c r="C3787" s="1">
        <v>20</v>
      </c>
      <c r="D3787" s="1" t="s">
        <v>145</v>
      </c>
      <c r="E3787" s="1" t="s">
        <v>6</v>
      </c>
      <c r="F3787" s="1" t="s">
        <v>5241</v>
      </c>
      <c r="G3787" s="14" t="s">
        <v>4800</v>
      </c>
      <c r="H3787" s="1" t="s">
        <v>27</v>
      </c>
      <c r="I3787" s="1">
        <v>2018</v>
      </c>
    </row>
    <row r="3788" spans="1:10">
      <c r="A3788" s="7" t="s">
        <v>8091</v>
      </c>
      <c r="B3788" s="1" t="s">
        <v>2631</v>
      </c>
      <c r="C3788" s="1">
        <v>20</v>
      </c>
      <c r="D3788" s="1" t="s">
        <v>145</v>
      </c>
      <c r="E3788" s="1" t="s">
        <v>6</v>
      </c>
      <c r="F3788" s="1" t="s">
        <v>5241</v>
      </c>
      <c r="G3788" s="1" t="s">
        <v>4800</v>
      </c>
      <c r="H3788" s="1" t="s">
        <v>27</v>
      </c>
      <c r="I3788" s="1" t="s">
        <v>6090</v>
      </c>
    </row>
    <row r="3789" spans="1:10">
      <c r="A3789" s="16" t="s">
        <v>4958</v>
      </c>
      <c r="B3789" s="1" t="s">
        <v>2628</v>
      </c>
      <c r="C3789" s="1">
        <v>204</v>
      </c>
      <c r="D3789" s="1" t="s">
        <v>414</v>
      </c>
      <c r="E3789" s="1" t="s">
        <v>6</v>
      </c>
      <c r="F3789" s="1" t="s">
        <v>2693</v>
      </c>
      <c r="G3789" s="14" t="s">
        <v>27</v>
      </c>
      <c r="H3789" s="1" t="s">
        <v>27</v>
      </c>
      <c r="I3789" s="17">
        <v>41640</v>
      </c>
    </row>
    <row r="3790" spans="1:10">
      <c r="A3790" s="16" t="s">
        <v>5356</v>
      </c>
      <c r="B3790" s="1" t="s">
        <v>2628</v>
      </c>
      <c r="C3790" s="1">
        <v>204</v>
      </c>
      <c r="D3790" s="1" t="s">
        <v>414</v>
      </c>
      <c r="E3790" s="1" t="s">
        <v>6</v>
      </c>
      <c r="F3790" s="1" t="s">
        <v>2696</v>
      </c>
      <c r="G3790" s="14" t="s">
        <v>27</v>
      </c>
      <c r="H3790" s="1" t="s">
        <v>27</v>
      </c>
      <c r="I3790" s="17">
        <v>40179</v>
      </c>
    </row>
    <row r="3791" spans="1:10">
      <c r="A3791" s="7" t="s">
        <v>6863</v>
      </c>
      <c r="B3791" s="1" t="s">
        <v>2628</v>
      </c>
      <c r="C3791" s="1">
        <v>204</v>
      </c>
      <c r="D3791" s="1" t="s">
        <v>414</v>
      </c>
      <c r="E3791" s="1" t="s">
        <v>6</v>
      </c>
      <c r="F3791" s="1" t="s">
        <v>5241</v>
      </c>
      <c r="G3791" s="1" t="s">
        <v>4800</v>
      </c>
      <c r="H3791" s="1" t="s">
        <v>27</v>
      </c>
      <c r="I3791" s="1" t="s">
        <v>5855</v>
      </c>
    </row>
    <row r="3792" spans="1:10">
      <c r="A3792" s="7" t="s">
        <v>8095</v>
      </c>
      <c r="B3792" s="1" t="s">
        <v>2628</v>
      </c>
      <c r="C3792" s="1">
        <v>204</v>
      </c>
      <c r="D3792" s="1" t="s">
        <v>414</v>
      </c>
      <c r="E3792" s="1" t="s">
        <v>6</v>
      </c>
      <c r="F3792" s="1" t="s">
        <v>5241</v>
      </c>
      <c r="G3792" s="1" t="s">
        <v>4800</v>
      </c>
      <c r="H3792" s="1" t="s">
        <v>27</v>
      </c>
      <c r="I3792" s="1" t="s">
        <v>8096</v>
      </c>
      <c r="J3792" s="17"/>
    </row>
    <row r="3793" spans="1:9">
      <c r="A3793" s="16" t="s">
        <v>11476</v>
      </c>
      <c r="B3793" s="1" t="s">
        <v>2628</v>
      </c>
      <c r="C3793" s="1">
        <v>204</v>
      </c>
      <c r="D3793" s="1" t="s">
        <v>414</v>
      </c>
      <c r="E3793" s="1" t="s">
        <v>6</v>
      </c>
      <c r="F3793" s="1" t="s">
        <v>5241</v>
      </c>
      <c r="G3793" s="14" t="s">
        <v>4800</v>
      </c>
      <c r="H3793" s="1" t="s">
        <v>27</v>
      </c>
      <c r="I3793" s="17">
        <v>41671</v>
      </c>
    </row>
    <row r="3794" spans="1:9">
      <c r="A3794" s="16" t="s">
        <v>11500</v>
      </c>
      <c r="B3794" s="1" t="s">
        <v>2628</v>
      </c>
      <c r="C3794" s="1">
        <v>204</v>
      </c>
      <c r="D3794" s="1" t="s">
        <v>414</v>
      </c>
      <c r="E3794" s="1" t="s">
        <v>6</v>
      </c>
      <c r="F3794" s="1" t="s">
        <v>5241</v>
      </c>
      <c r="G3794" s="14" t="s">
        <v>4800</v>
      </c>
      <c r="H3794" s="1" t="s">
        <v>27</v>
      </c>
      <c r="I3794" s="17">
        <v>41456</v>
      </c>
    </row>
    <row r="3795" spans="1:9">
      <c r="A3795" s="16" t="s">
        <v>11521</v>
      </c>
      <c r="B3795" s="1" t="s">
        <v>2628</v>
      </c>
      <c r="C3795" s="1">
        <v>204</v>
      </c>
      <c r="D3795" s="1" t="s">
        <v>414</v>
      </c>
      <c r="E3795" s="1" t="s">
        <v>6</v>
      </c>
      <c r="F3795" s="1" t="s">
        <v>5241</v>
      </c>
      <c r="G3795" s="14" t="s">
        <v>4800</v>
      </c>
      <c r="H3795" s="1" t="s">
        <v>27</v>
      </c>
      <c r="I3795" s="17">
        <v>41365</v>
      </c>
    </row>
    <row r="3796" spans="1:9">
      <c r="A3796" s="16" t="s">
        <v>14267</v>
      </c>
      <c r="B3796" s="1" t="s">
        <v>2628</v>
      </c>
      <c r="C3796" s="1">
        <v>204</v>
      </c>
      <c r="D3796" s="1" t="s">
        <v>414</v>
      </c>
      <c r="E3796" s="1" t="s">
        <v>6</v>
      </c>
      <c r="F3796" s="1" t="s">
        <v>5241</v>
      </c>
      <c r="G3796" s="14" t="s">
        <v>4800</v>
      </c>
      <c r="H3796" s="1" t="s">
        <v>27</v>
      </c>
      <c r="I3796" s="17">
        <v>42644</v>
      </c>
    </row>
    <row r="3797" spans="1:9">
      <c r="A3797" s="7" t="s">
        <v>16086</v>
      </c>
      <c r="B3797" s="2" t="s">
        <v>2628</v>
      </c>
      <c r="C3797" s="1">
        <v>204</v>
      </c>
      <c r="D3797" s="1" t="s">
        <v>414</v>
      </c>
      <c r="E3797" s="1" t="s">
        <v>6</v>
      </c>
      <c r="F3797" s="1" t="s">
        <v>5241</v>
      </c>
      <c r="G3797" s="14" t="s">
        <v>4800</v>
      </c>
      <c r="H3797" s="1" t="s">
        <v>27</v>
      </c>
      <c r="I3797" s="1" t="s">
        <v>5801</v>
      </c>
    </row>
    <row r="3798" spans="1:9">
      <c r="A3798" s="16" t="s">
        <v>4797</v>
      </c>
      <c r="B3798" s="1" t="s">
        <v>2628</v>
      </c>
      <c r="C3798" s="1">
        <v>204</v>
      </c>
      <c r="D3798" s="1" t="s">
        <v>414</v>
      </c>
      <c r="E3798" s="1" t="s">
        <v>6</v>
      </c>
      <c r="F3798" s="1" t="s">
        <v>2693</v>
      </c>
      <c r="G3798" s="14" t="s">
        <v>5</v>
      </c>
      <c r="H3798" s="1" t="s">
        <v>5</v>
      </c>
      <c r="I3798" s="17">
        <v>34700</v>
      </c>
    </row>
    <row r="3799" spans="1:9">
      <c r="A3799" s="16" t="s">
        <v>4798</v>
      </c>
      <c r="B3799" s="1" t="s">
        <v>2628</v>
      </c>
      <c r="C3799" s="1">
        <v>2430</v>
      </c>
      <c r="D3799" s="1" t="s">
        <v>414</v>
      </c>
      <c r="E3799" s="1" t="s">
        <v>6</v>
      </c>
      <c r="F3799" s="1" t="s">
        <v>2693</v>
      </c>
      <c r="G3799" s="14" t="s">
        <v>5</v>
      </c>
      <c r="H3799" s="1" t="s">
        <v>5</v>
      </c>
      <c r="I3799" s="17">
        <v>34700</v>
      </c>
    </row>
    <row r="3800" spans="1:9">
      <c r="A3800" s="16" t="s">
        <v>4806</v>
      </c>
      <c r="B3800" s="1" t="s">
        <v>2628</v>
      </c>
      <c r="C3800" s="1">
        <v>204</v>
      </c>
      <c r="D3800" s="1" t="s">
        <v>414</v>
      </c>
      <c r="E3800" s="1" t="s">
        <v>6</v>
      </c>
      <c r="F3800" s="1" t="s">
        <v>2693</v>
      </c>
      <c r="G3800" s="14" t="s">
        <v>5</v>
      </c>
      <c r="H3800" s="1" t="s">
        <v>5</v>
      </c>
      <c r="I3800" s="17">
        <v>35065</v>
      </c>
    </row>
    <row r="3801" spans="1:9">
      <c r="A3801" s="16" t="s">
        <v>4812</v>
      </c>
      <c r="B3801" s="1" t="s">
        <v>2628</v>
      </c>
      <c r="C3801" s="1">
        <v>204</v>
      </c>
      <c r="D3801" s="1" t="s">
        <v>414</v>
      </c>
      <c r="E3801" s="1" t="s">
        <v>6</v>
      </c>
      <c r="F3801" s="1" t="s">
        <v>2693</v>
      </c>
      <c r="G3801" s="14" t="s">
        <v>5</v>
      </c>
      <c r="H3801" s="1" t="s">
        <v>5</v>
      </c>
      <c r="I3801" s="17">
        <v>35796</v>
      </c>
    </row>
    <row r="3802" spans="1:9">
      <c r="A3802" s="16" t="s">
        <v>4825</v>
      </c>
      <c r="B3802" s="1" t="s">
        <v>2628</v>
      </c>
      <c r="C3802" s="1">
        <v>204</v>
      </c>
      <c r="D3802" s="1" t="s">
        <v>414</v>
      </c>
      <c r="E3802" s="1" t="s">
        <v>6</v>
      </c>
      <c r="F3802" s="1" t="s">
        <v>2693</v>
      </c>
      <c r="G3802" s="14" t="s">
        <v>5</v>
      </c>
      <c r="H3802" s="1" t="s">
        <v>5</v>
      </c>
      <c r="I3802" s="17">
        <v>40179</v>
      </c>
    </row>
    <row r="3803" spans="1:9">
      <c r="A3803" s="16" t="s">
        <v>4830</v>
      </c>
      <c r="B3803" s="1" t="s">
        <v>2628</v>
      </c>
      <c r="C3803" s="1">
        <v>204</v>
      </c>
      <c r="D3803" s="1" t="s">
        <v>414</v>
      </c>
      <c r="E3803" s="1" t="s">
        <v>6</v>
      </c>
      <c r="F3803" s="1" t="s">
        <v>2693</v>
      </c>
      <c r="G3803" s="14" t="s">
        <v>5</v>
      </c>
      <c r="H3803" s="1" t="s">
        <v>5</v>
      </c>
      <c r="I3803" s="17">
        <v>38353</v>
      </c>
    </row>
    <row r="3804" spans="1:9">
      <c r="A3804" s="16" t="s">
        <v>4846</v>
      </c>
      <c r="B3804" s="1" t="s">
        <v>2628</v>
      </c>
      <c r="C3804" s="1">
        <v>204</v>
      </c>
      <c r="D3804" s="1" t="s">
        <v>414</v>
      </c>
      <c r="E3804" s="1" t="s">
        <v>6</v>
      </c>
      <c r="F3804" s="1" t="s">
        <v>2693</v>
      </c>
      <c r="G3804" s="14" t="s">
        <v>5</v>
      </c>
      <c r="H3804" s="1" t="s">
        <v>5</v>
      </c>
      <c r="I3804" s="17">
        <v>40544</v>
      </c>
    </row>
    <row r="3805" spans="1:9">
      <c r="A3805" s="16" t="s">
        <v>4848</v>
      </c>
      <c r="B3805" s="1" t="s">
        <v>2628</v>
      </c>
      <c r="C3805" s="1">
        <v>204</v>
      </c>
      <c r="D3805" s="1" t="s">
        <v>414</v>
      </c>
      <c r="E3805" s="1" t="s">
        <v>6</v>
      </c>
      <c r="F3805" s="1" t="s">
        <v>2693</v>
      </c>
      <c r="G3805" s="14" t="s">
        <v>5</v>
      </c>
      <c r="H3805" s="1" t="s">
        <v>5</v>
      </c>
      <c r="I3805" s="17">
        <v>40544</v>
      </c>
    </row>
    <row r="3806" spans="1:9">
      <c r="A3806" s="16" t="s">
        <v>4866</v>
      </c>
      <c r="B3806" s="1" t="s">
        <v>2628</v>
      </c>
      <c r="C3806" s="1">
        <v>204</v>
      </c>
      <c r="D3806" s="1" t="s">
        <v>414</v>
      </c>
      <c r="E3806" s="1" t="s">
        <v>6</v>
      </c>
      <c r="F3806" s="1" t="s">
        <v>2693</v>
      </c>
      <c r="G3806" s="14" t="s">
        <v>5</v>
      </c>
      <c r="H3806" s="1" t="s">
        <v>5</v>
      </c>
      <c r="I3806" s="17">
        <v>41275</v>
      </c>
    </row>
    <row r="3807" spans="1:9">
      <c r="A3807" s="16" t="s">
        <v>4867</v>
      </c>
      <c r="B3807" s="1" t="s">
        <v>2628</v>
      </c>
      <c r="C3807" s="1">
        <v>204</v>
      </c>
      <c r="D3807" s="1" t="s">
        <v>414</v>
      </c>
      <c r="E3807" s="1" t="s">
        <v>6</v>
      </c>
      <c r="F3807" s="1" t="s">
        <v>2693</v>
      </c>
      <c r="G3807" s="14" t="s">
        <v>5</v>
      </c>
      <c r="H3807" s="1" t="s">
        <v>5</v>
      </c>
      <c r="I3807" s="17">
        <v>41275</v>
      </c>
    </row>
    <row r="3808" spans="1:9">
      <c r="A3808" s="16" t="s">
        <v>4880</v>
      </c>
      <c r="B3808" s="1" t="s">
        <v>2628</v>
      </c>
      <c r="C3808" s="1">
        <v>204</v>
      </c>
      <c r="D3808" s="1" t="s">
        <v>414</v>
      </c>
      <c r="E3808" s="1" t="s">
        <v>6</v>
      </c>
      <c r="F3808" s="1" t="s">
        <v>2693</v>
      </c>
      <c r="G3808" s="14" t="s">
        <v>4865</v>
      </c>
      <c r="H3808" s="1" t="s">
        <v>44</v>
      </c>
      <c r="I3808" s="17">
        <v>41275</v>
      </c>
    </row>
    <row r="3809" spans="1:9">
      <c r="A3809" s="16" t="s">
        <v>4908</v>
      </c>
      <c r="B3809" s="1" t="s">
        <v>2628</v>
      </c>
      <c r="C3809" s="1">
        <v>204</v>
      </c>
      <c r="D3809" s="1" t="s">
        <v>414</v>
      </c>
      <c r="E3809" s="1" t="s">
        <v>6</v>
      </c>
      <c r="F3809" s="1" t="s">
        <v>2693</v>
      </c>
      <c r="G3809" s="14" t="s">
        <v>5</v>
      </c>
      <c r="H3809" s="1" t="s">
        <v>5</v>
      </c>
      <c r="I3809" s="17">
        <v>41275</v>
      </c>
    </row>
    <row r="3810" spans="1:9">
      <c r="A3810" s="16" t="s">
        <v>4909</v>
      </c>
      <c r="B3810" s="1" t="s">
        <v>2628</v>
      </c>
      <c r="C3810" s="1">
        <v>204</v>
      </c>
      <c r="D3810" s="1" t="s">
        <v>414</v>
      </c>
      <c r="E3810" s="1" t="s">
        <v>6</v>
      </c>
      <c r="F3810" s="1" t="s">
        <v>2693</v>
      </c>
      <c r="G3810" s="14" t="s">
        <v>5</v>
      </c>
      <c r="H3810" s="1" t="s">
        <v>5</v>
      </c>
      <c r="I3810" s="17">
        <v>41275</v>
      </c>
    </row>
    <row r="3811" spans="1:9">
      <c r="A3811" s="16" t="s">
        <v>4912</v>
      </c>
      <c r="B3811" s="1" t="s">
        <v>2628</v>
      </c>
      <c r="C3811" s="1">
        <v>204</v>
      </c>
      <c r="D3811" s="1" t="s">
        <v>414</v>
      </c>
      <c r="E3811" s="1" t="s">
        <v>6</v>
      </c>
      <c r="F3811" s="1" t="s">
        <v>2693</v>
      </c>
      <c r="G3811" s="14" t="s">
        <v>4865</v>
      </c>
      <c r="H3811" s="1" t="s">
        <v>44</v>
      </c>
      <c r="I3811" s="17">
        <v>41275</v>
      </c>
    </row>
    <row r="3812" spans="1:9">
      <c r="A3812" s="16" t="s">
        <v>4913</v>
      </c>
      <c r="B3812" s="1" t="s">
        <v>2628</v>
      </c>
      <c r="C3812" s="1">
        <v>204</v>
      </c>
      <c r="D3812" s="1" t="s">
        <v>414</v>
      </c>
      <c r="E3812" s="1" t="s">
        <v>6</v>
      </c>
      <c r="F3812" s="1" t="s">
        <v>2693</v>
      </c>
      <c r="G3812" s="14" t="s">
        <v>4865</v>
      </c>
      <c r="H3812" s="1" t="s">
        <v>44</v>
      </c>
      <c r="I3812" s="17">
        <v>41275</v>
      </c>
    </row>
    <row r="3813" spans="1:9">
      <c r="A3813" s="16" t="s">
        <v>4924</v>
      </c>
      <c r="B3813" s="1" t="s">
        <v>2628</v>
      </c>
      <c r="C3813" s="1">
        <v>204</v>
      </c>
      <c r="D3813" s="1" t="s">
        <v>414</v>
      </c>
      <c r="E3813" s="1" t="s">
        <v>6</v>
      </c>
      <c r="F3813" s="1" t="s">
        <v>2693</v>
      </c>
      <c r="G3813" s="14" t="s">
        <v>4865</v>
      </c>
      <c r="H3813" s="1" t="s">
        <v>44</v>
      </c>
      <c r="I3813" s="17">
        <v>41275</v>
      </c>
    </row>
    <row r="3814" spans="1:9">
      <c r="A3814" s="16" t="s">
        <v>4927</v>
      </c>
      <c r="B3814" s="1" t="s">
        <v>2628</v>
      </c>
      <c r="C3814" s="1">
        <v>204</v>
      </c>
      <c r="D3814" s="1" t="s">
        <v>414</v>
      </c>
      <c r="E3814" s="1" t="s">
        <v>6</v>
      </c>
      <c r="F3814" s="1" t="s">
        <v>2693</v>
      </c>
      <c r="G3814" s="14" t="s">
        <v>4865</v>
      </c>
      <c r="H3814" s="1" t="s">
        <v>44</v>
      </c>
      <c r="I3814" s="17">
        <v>41275</v>
      </c>
    </row>
    <row r="3815" spans="1:9">
      <c r="A3815" s="16" t="s">
        <v>4943</v>
      </c>
      <c r="B3815" s="1" t="s">
        <v>2628</v>
      </c>
      <c r="C3815" s="1">
        <v>204</v>
      </c>
      <c r="D3815" s="1" t="s">
        <v>414</v>
      </c>
      <c r="E3815" s="1" t="s">
        <v>6</v>
      </c>
      <c r="F3815" s="1" t="s">
        <v>2693</v>
      </c>
      <c r="G3815" s="14" t="s">
        <v>5</v>
      </c>
      <c r="H3815" s="1" t="s">
        <v>5</v>
      </c>
      <c r="I3815" s="17">
        <v>41640</v>
      </c>
    </row>
    <row r="3816" spans="1:9">
      <c r="A3816" s="16" t="s">
        <v>4948</v>
      </c>
      <c r="B3816" s="1" t="s">
        <v>2628</v>
      </c>
      <c r="C3816" s="1">
        <v>204</v>
      </c>
      <c r="D3816" s="1" t="s">
        <v>414</v>
      </c>
      <c r="E3816" s="1" t="s">
        <v>6</v>
      </c>
      <c r="F3816" s="1" t="s">
        <v>2693</v>
      </c>
      <c r="G3816" s="14" t="s">
        <v>5</v>
      </c>
      <c r="H3816" s="1" t="s">
        <v>5</v>
      </c>
      <c r="I3816" s="17">
        <v>41640</v>
      </c>
    </row>
    <row r="3817" spans="1:9">
      <c r="A3817" s="16" t="s">
        <v>4967</v>
      </c>
      <c r="B3817" s="1" t="s">
        <v>2628</v>
      </c>
      <c r="C3817" s="1">
        <v>204</v>
      </c>
      <c r="D3817" s="1" t="s">
        <v>414</v>
      </c>
      <c r="E3817" s="1" t="s">
        <v>6</v>
      </c>
      <c r="F3817" s="1" t="s">
        <v>2693</v>
      </c>
      <c r="G3817" s="14" t="s">
        <v>5</v>
      </c>
      <c r="H3817" s="1" t="s">
        <v>5</v>
      </c>
      <c r="I3817" s="17">
        <v>41640</v>
      </c>
    </row>
    <row r="3818" spans="1:9">
      <c r="A3818" s="16" t="s">
        <v>4968</v>
      </c>
      <c r="B3818" s="1" t="s">
        <v>2628</v>
      </c>
      <c r="C3818" s="1">
        <v>204</v>
      </c>
      <c r="D3818" s="1" t="s">
        <v>414</v>
      </c>
      <c r="E3818" s="1" t="s">
        <v>6</v>
      </c>
      <c r="F3818" s="1" t="s">
        <v>2693</v>
      </c>
      <c r="G3818" s="14" t="s">
        <v>5</v>
      </c>
      <c r="H3818" s="1" t="s">
        <v>5</v>
      </c>
      <c r="I3818" s="17">
        <v>41640</v>
      </c>
    </row>
    <row r="3819" spans="1:9">
      <c r="A3819" s="16" t="s">
        <v>4972</v>
      </c>
      <c r="B3819" s="1" t="s">
        <v>2628</v>
      </c>
      <c r="C3819" s="1">
        <v>204</v>
      </c>
      <c r="D3819" s="1" t="s">
        <v>414</v>
      </c>
      <c r="E3819" s="1" t="s">
        <v>6</v>
      </c>
      <c r="F3819" s="1" t="s">
        <v>2693</v>
      </c>
      <c r="G3819" s="14" t="s">
        <v>5</v>
      </c>
      <c r="H3819" s="1" t="s">
        <v>5</v>
      </c>
      <c r="I3819" s="17">
        <v>41640</v>
      </c>
    </row>
    <row r="3820" spans="1:9">
      <c r="A3820" s="16" t="s">
        <v>5037</v>
      </c>
      <c r="B3820" s="1" t="s">
        <v>2628</v>
      </c>
      <c r="C3820" s="1">
        <v>888</v>
      </c>
      <c r="D3820" s="1" t="s">
        <v>414</v>
      </c>
      <c r="E3820" s="1" t="s">
        <v>6</v>
      </c>
      <c r="F3820" s="1" t="s">
        <v>2573</v>
      </c>
      <c r="G3820" s="14" t="s">
        <v>4458</v>
      </c>
      <c r="H3820" s="1" t="s">
        <v>118</v>
      </c>
      <c r="I3820" s="17">
        <v>37712</v>
      </c>
    </row>
    <row r="3821" spans="1:9">
      <c r="A3821" s="16" t="s">
        <v>5040</v>
      </c>
      <c r="B3821" s="1" t="s">
        <v>2628</v>
      </c>
      <c r="C3821" s="1">
        <v>204</v>
      </c>
      <c r="D3821" s="1" t="s">
        <v>414</v>
      </c>
      <c r="E3821" s="1" t="s">
        <v>6</v>
      </c>
      <c r="F3821" s="1" t="s">
        <v>2573</v>
      </c>
      <c r="G3821" s="14" t="s">
        <v>4458</v>
      </c>
      <c r="H3821" s="1" t="s">
        <v>118</v>
      </c>
      <c r="I3821" s="17">
        <v>37681</v>
      </c>
    </row>
    <row r="3822" spans="1:9">
      <c r="A3822" s="16" t="s">
        <v>5047</v>
      </c>
      <c r="B3822" s="1" t="s">
        <v>2628</v>
      </c>
      <c r="C3822" s="1">
        <v>204</v>
      </c>
      <c r="D3822" s="1" t="s">
        <v>414</v>
      </c>
      <c r="E3822" s="1" t="s">
        <v>6</v>
      </c>
      <c r="F3822" s="1" t="s">
        <v>2573</v>
      </c>
      <c r="G3822" s="14" t="s">
        <v>4458</v>
      </c>
      <c r="H3822" s="1" t="s">
        <v>118</v>
      </c>
      <c r="I3822" s="17">
        <v>37681</v>
      </c>
    </row>
    <row r="3823" spans="1:9">
      <c r="A3823" s="16" t="s">
        <v>5048</v>
      </c>
      <c r="B3823" s="1" t="s">
        <v>2628</v>
      </c>
      <c r="C3823" s="1">
        <v>204</v>
      </c>
      <c r="D3823" s="1" t="s">
        <v>414</v>
      </c>
      <c r="E3823" s="1" t="s">
        <v>6</v>
      </c>
      <c r="F3823" s="1" t="s">
        <v>2573</v>
      </c>
      <c r="G3823" s="14" t="s">
        <v>4458</v>
      </c>
      <c r="H3823" s="1" t="s">
        <v>118</v>
      </c>
      <c r="I3823" s="17">
        <v>37712</v>
      </c>
    </row>
    <row r="3824" spans="1:9">
      <c r="A3824" s="16" t="s">
        <v>5163</v>
      </c>
      <c r="B3824" s="1" t="s">
        <v>2628</v>
      </c>
      <c r="C3824" s="1">
        <v>204</v>
      </c>
      <c r="D3824" s="1" t="s">
        <v>414</v>
      </c>
      <c r="E3824" s="1" t="s">
        <v>6</v>
      </c>
      <c r="F3824" s="1" t="s">
        <v>2691</v>
      </c>
      <c r="G3824" s="14" t="s">
        <v>5</v>
      </c>
      <c r="H3824" s="1" t="s">
        <v>5</v>
      </c>
      <c r="I3824" s="17">
        <v>40544</v>
      </c>
    </row>
    <row r="3825" spans="1:9">
      <c r="A3825" s="16" t="s">
        <v>5164</v>
      </c>
      <c r="B3825" s="1" t="s">
        <v>2628</v>
      </c>
      <c r="C3825" s="1">
        <v>204</v>
      </c>
      <c r="D3825" s="1" t="s">
        <v>414</v>
      </c>
      <c r="E3825" s="1" t="s">
        <v>6</v>
      </c>
      <c r="F3825" s="1" t="s">
        <v>2691</v>
      </c>
      <c r="G3825" s="14" t="s">
        <v>5</v>
      </c>
      <c r="H3825" s="1" t="s">
        <v>5</v>
      </c>
      <c r="I3825" s="17">
        <v>40909</v>
      </c>
    </row>
    <row r="3826" spans="1:9">
      <c r="A3826" s="16" t="s">
        <v>5183</v>
      </c>
      <c r="B3826" s="1" t="s">
        <v>2628</v>
      </c>
      <c r="C3826" s="1">
        <v>204</v>
      </c>
      <c r="D3826" s="1" t="s">
        <v>414</v>
      </c>
      <c r="E3826" s="1" t="s">
        <v>6</v>
      </c>
      <c r="F3826" s="1" t="s">
        <v>2695</v>
      </c>
      <c r="G3826" s="14" t="s">
        <v>5181</v>
      </c>
      <c r="H3826" s="1" t="s">
        <v>43</v>
      </c>
      <c r="I3826" s="17">
        <v>40544</v>
      </c>
    </row>
    <row r="3827" spans="1:9">
      <c r="A3827" s="7" t="s">
        <v>5727</v>
      </c>
      <c r="B3827" s="2" t="s">
        <v>2628</v>
      </c>
      <c r="C3827" s="1">
        <v>204</v>
      </c>
      <c r="D3827" s="1" t="s">
        <v>414</v>
      </c>
      <c r="E3827" s="1" t="s">
        <v>6</v>
      </c>
      <c r="F3827" s="1" t="s">
        <v>2691</v>
      </c>
      <c r="G3827" s="14" t="s">
        <v>2277</v>
      </c>
      <c r="H3827" s="1" t="s">
        <v>5</v>
      </c>
      <c r="I3827" s="1" t="s">
        <v>5726</v>
      </c>
    </row>
    <row r="3828" spans="1:9">
      <c r="A3828" s="7" t="s">
        <v>5729</v>
      </c>
      <c r="B3828" s="2" t="s">
        <v>2628</v>
      </c>
      <c r="C3828" s="1">
        <v>204</v>
      </c>
      <c r="D3828" s="1" t="s">
        <v>414</v>
      </c>
      <c r="E3828" s="1" t="s">
        <v>6</v>
      </c>
      <c r="F3828" s="1" t="s">
        <v>2691</v>
      </c>
      <c r="G3828" s="14" t="s">
        <v>1446</v>
      </c>
      <c r="H3828" s="1" t="s">
        <v>44</v>
      </c>
      <c r="I3828" s="17" t="s">
        <v>5726</v>
      </c>
    </row>
    <row r="3829" spans="1:9">
      <c r="A3829" s="7" t="s">
        <v>5731</v>
      </c>
      <c r="B3829" s="2" t="s">
        <v>2628</v>
      </c>
      <c r="C3829" s="1">
        <v>204</v>
      </c>
      <c r="D3829" s="1" t="s">
        <v>414</v>
      </c>
      <c r="E3829" s="1" t="s">
        <v>6</v>
      </c>
      <c r="F3829" s="1" t="s">
        <v>2691</v>
      </c>
      <c r="G3829" s="14" t="s">
        <v>2277</v>
      </c>
      <c r="H3829" s="1" t="s">
        <v>5</v>
      </c>
      <c r="I3829" s="1" t="s">
        <v>5726</v>
      </c>
    </row>
    <row r="3830" spans="1:9">
      <c r="A3830" s="7" t="s">
        <v>5733</v>
      </c>
      <c r="B3830" s="2" t="s">
        <v>2628</v>
      </c>
      <c r="C3830" s="1">
        <v>204</v>
      </c>
      <c r="D3830" s="1" t="s">
        <v>414</v>
      </c>
      <c r="E3830" s="1" t="s">
        <v>6</v>
      </c>
      <c r="F3830" s="1" t="s">
        <v>2691</v>
      </c>
      <c r="G3830" s="14" t="s">
        <v>2395</v>
      </c>
      <c r="H3830" s="1" t="s">
        <v>5</v>
      </c>
      <c r="I3830" s="1" t="s">
        <v>5625</v>
      </c>
    </row>
    <row r="3831" spans="1:9">
      <c r="A3831" s="7" t="s">
        <v>5734</v>
      </c>
      <c r="B3831" s="2" t="s">
        <v>2628</v>
      </c>
      <c r="C3831" s="1">
        <v>204</v>
      </c>
      <c r="D3831" s="1" t="s">
        <v>414</v>
      </c>
      <c r="E3831" s="1" t="s">
        <v>6</v>
      </c>
      <c r="F3831" s="1" t="s">
        <v>2691</v>
      </c>
      <c r="G3831" s="14" t="s">
        <v>2395</v>
      </c>
      <c r="H3831" s="1" t="s">
        <v>5</v>
      </c>
      <c r="I3831" s="1" t="s">
        <v>5625</v>
      </c>
    </row>
    <row r="3832" spans="1:9">
      <c r="A3832" s="7" t="s">
        <v>5737</v>
      </c>
      <c r="B3832" s="2" t="s">
        <v>2628</v>
      </c>
      <c r="C3832" s="1">
        <v>204</v>
      </c>
      <c r="D3832" s="1" t="s">
        <v>414</v>
      </c>
      <c r="E3832" s="1" t="s">
        <v>6</v>
      </c>
      <c r="F3832" s="1" t="s">
        <v>2691</v>
      </c>
      <c r="G3832" s="14" t="s">
        <v>2277</v>
      </c>
      <c r="H3832" s="1" t="s">
        <v>5</v>
      </c>
      <c r="I3832" s="1" t="s">
        <v>5625</v>
      </c>
    </row>
    <row r="3833" spans="1:9">
      <c r="A3833" s="7" t="s">
        <v>5740</v>
      </c>
      <c r="B3833" s="2" t="s">
        <v>2628</v>
      </c>
      <c r="C3833" s="1">
        <v>204</v>
      </c>
      <c r="D3833" s="1" t="s">
        <v>414</v>
      </c>
      <c r="E3833" s="1" t="s">
        <v>6</v>
      </c>
      <c r="F3833" s="1" t="s">
        <v>2691</v>
      </c>
      <c r="G3833" s="14" t="s">
        <v>2277</v>
      </c>
      <c r="H3833" s="1" t="s">
        <v>5</v>
      </c>
      <c r="I3833" s="1" t="s">
        <v>5625</v>
      </c>
    </row>
    <row r="3834" spans="1:9">
      <c r="A3834" s="7" t="s">
        <v>5743</v>
      </c>
      <c r="B3834" s="2" t="s">
        <v>2628</v>
      </c>
      <c r="C3834" s="1">
        <v>204</v>
      </c>
      <c r="D3834" s="1" t="s">
        <v>414</v>
      </c>
      <c r="E3834" s="1" t="s">
        <v>6</v>
      </c>
      <c r="F3834" s="1" t="s">
        <v>2691</v>
      </c>
      <c r="G3834" s="14" t="s">
        <v>1446</v>
      </c>
      <c r="H3834" s="1" t="s">
        <v>44</v>
      </c>
      <c r="I3834" s="17" t="s">
        <v>5625</v>
      </c>
    </row>
    <row r="3835" spans="1:9">
      <c r="A3835" s="7" t="s">
        <v>5746</v>
      </c>
      <c r="B3835" s="2" t="s">
        <v>2628</v>
      </c>
      <c r="C3835" s="1">
        <v>204</v>
      </c>
      <c r="D3835" s="1" t="s">
        <v>414</v>
      </c>
      <c r="E3835" s="1" t="s">
        <v>6</v>
      </c>
      <c r="F3835" s="1" t="s">
        <v>2691</v>
      </c>
      <c r="G3835" s="14" t="s">
        <v>2277</v>
      </c>
      <c r="H3835" s="1" t="s">
        <v>5</v>
      </c>
      <c r="I3835" s="1" t="s">
        <v>5625</v>
      </c>
    </row>
    <row r="3836" spans="1:9">
      <c r="A3836" s="7" t="s">
        <v>5750</v>
      </c>
      <c r="B3836" s="2" t="s">
        <v>2628</v>
      </c>
      <c r="C3836" s="1">
        <v>204</v>
      </c>
      <c r="D3836" s="1" t="s">
        <v>414</v>
      </c>
      <c r="E3836" s="1" t="s">
        <v>6</v>
      </c>
      <c r="F3836" s="1" t="s">
        <v>2691</v>
      </c>
      <c r="G3836" s="14" t="s">
        <v>1446</v>
      </c>
      <c r="H3836" s="1" t="s">
        <v>44</v>
      </c>
      <c r="I3836" s="17" t="s">
        <v>5625</v>
      </c>
    </row>
    <row r="3837" spans="1:9">
      <c r="A3837" s="7" t="s">
        <v>5751</v>
      </c>
      <c r="B3837" s="2" t="s">
        <v>2628</v>
      </c>
      <c r="C3837" s="1">
        <v>204</v>
      </c>
      <c r="D3837" s="1" t="s">
        <v>414</v>
      </c>
      <c r="E3837" s="1" t="s">
        <v>6</v>
      </c>
      <c r="F3837" s="1" t="s">
        <v>2691</v>
      </c>
      <c r="G3837" s="14" t="s">
        <v>1446</v>
      </c>
      <c r="H3837" s="1" t="s">
        <v>44</v>
      </c>
      <c r="I3837" s="17" t="s">
        <v>5625</v>
      </c>
    </row>
    <row r="3838" spans="1:9">
      <c r="A3838" s="7" t="s">
        <v>5752</v>
      </c>
      <c r="B3838" s="2" t="s">
        <v>2628</v>
      </c>
      <c r="C3838" s="1">
        <v>204</v>
      </c>
      <c r="D3838" s="1" t="s">
        <v>414</v>
      </c>
      <c r="E3838" s="1" t="s">
        <v>6</v>
      </c>
      <c r="F3838" s="1" t="s">
        <v>2691</v>
      </c>
      <c r="G3838" s="14" t="s">
        <v>1446</v>
      </c>
      <c r="H3838" s="1" t="s">
        <v>44</v>
      </c>
      <c r="I3838" s="17" t="s">
        <v>5625</v>
      </c>
    </row>
    <row r="3839" spans="1:9">
      <c r="A3839" s="7" t="s">
        <v>5753</v>
      </c>
      <c r="B3839" s="2" t="s">
        <v>2628</v>
      </c>
      <c r="C3839" s="1">
        <v>204</v>
      </c>
      <c r="D3839" s="1" t="s">
        <v>414</v>
      </c>
      <c r="E3839" s="1" t="s">
        <v>6</v>
      </c>
      <c r="F3839" s="1" t="s">
        <v>2691</v>
      </c>
      <c r="G3839" s="14" t="s">
        <v>1446</v>
      </c>
      <c r="H3839" s="1" t="s">
        <v>44</v>
      </c>
      <c r="I3839" s="17" t="s">
        <v>5625</v>
      </c>
    </row>
    <row r="3840" spans="1:9">
      <c r="A3840" s="7" t="s">
        <v>5754</v>
      </c>
      <c r="B3840" s="2" t="s">
        <v>2628</v>
      </c>
      <c r="C3840" s="1">
        <v>204</v>
      </c>
      <c r="D3840" s="1" t="s">
        <v>414</v>
      </c>
      <c r="E3840" s="1" t="s">
        <v>6</v>
      </c>
      <c r="F3840" s="1" t="s">
        <v>2691</v>
      </c>
      <c r="G3840" s="14" t="s">
        <v>2277</v>
      </c>
      <c r="H3840" s="1" t="s">
        <v>5</v>
      </c>
      <c r="I3840" s="1" t="s">
        <v>5625</v>
      </c>
    </row>
    <row r="3841" spans="1:10">
      <c r="A3841" s="7" t="s">
        <v>5756</v>
      </c>
      <c r="B3841" s="2" t="s">
        <v>2628</v>
      </c>
      <c r="C3841" s="1">
        <v>204</v>
      </c>
      <c r="D3841" s="1" t="s">
        <v>414</v>
      </c>
      <c r="E3841" s="1" t="s">
        <v>6</v>
      </c>
      <c r="F3841" s="1" t="s">
        <v>2691</v>
      </c>
      <c r="G3841" s="14" t="s">
        <v>1446</v>
      </c>
      <c r="H3841" s="1" t="s">
        <v>44</v>
      </c>
      <c r="I3841" s="17" t="s">
        <v>5625</v>
      </c>
    </row>
    <row r="3842" spans="1:10">
      <c r="A3842" s="7" t="s">
        <v>5757</v>
      </c>
      <c r="B3842" s="2" t="s">
        <v>2628</v>
      </c>
      <c r="C3842" s="1">
        <v>204</v>
      </c>
      <c r="D3842" s="1" t="s">
        <v>414</v>
      </c>
      <c r="E3842" s="1" t="s">
        <v>6</v>
      </c>
      <c r="F3842" s="1" t="s">
        <v>2691</v>
      </c>
      <c r="G3842" s="14" t="s">
        <v>2277</v>
      </c>
      <c r="H3842" s="1" t="s">
        <v>5</v>
      </c>
      <c r="I3842" s="1" t="s">
        <v>5625</v>
      </c>
    </row>
    <row r="3843" spans="1:10">
      <c r="A3843" s="7" t="s">
        <v>5761</v>
      </c>
      <c r="B3843" s="2" t="s">
        <v>2628</v>
      </c>
      <c r="C3843" s="1">
        <v>204</v>
      </c>
      <c r="D3843" s="1" t="s">
        <v>414</v>
      </c>
      <c r="E3843" s="1" t="s">
        <v>6</v>
      </c>
      <c r="F3843" s="1" t="s">
        <v>2691</v>
      </c>
      <c r="G3843" s="14" t="s">
        <v>2395</v>
      </c>
      <c r="H3843" s="1" t="s">
        <v>5</v>
      </c>
      <c r="I3843" s="1" t="s">
        <v>5625</v>
      </c>
    </row>
    <row r="3844" spans="1:10">
      <c r="A3844" s="7" t="s">
        <v>5766</v>
      </c>
      <c r="B3844" s="2" t="s">
        <v>2628</v>
      </c>
      <c r="C3844" s="1">
        <v>204</v>
      </c>
      <c r="D3844" s="1" t="s">
        <v>414</v>
      </c>
      <c r="E3844" s="1" t="s">
        <v>6</v>
      </c>
      <c r="F3844" s="1" t="s">
        <v>2691</v>
      </c>
      <c r="G3844" s="14" t="s">
        <v>2395</v>
      </c>
      <c r="H3844" s="1" t="s">
        <v>5</v>
      </c>
      <c r="I3844" s="1" t="s">
        <v>5625</v>
      </c>
    </row>
    <row r="3845" spans="1:10">
      <c r="A3845" s="7" t="s">
        <v>5768</v>
      </c>
      <c r="B3845" s="2" t="s">
        <v>2628</v>
      </c>
      <c r="C3845" s="1">
        <v>204</v>
      </c>
      <c r="D3845" s="1" t="s">
        <v>414</v>
      </c>
      <c r="E3845" s="1" t="s">
        <v>6</v>
      </c>
      <c r="F3845" s="1" t="s">
        <v>2691</v>
      </c>
      <c r="G3845" s="14" t="s">
        <v>1446</v>
      </c>
      <c r="H3845" s="1" t="s">
        <v>44</v>
      </c>
      <c r="I3845" s="17" t="s">
        <v>5625</v>
      </c>
    </row>
    <row r="3846" spans="1:10">
      <c r="A3846" s="7" t="s">
        <v>5771</v>
      </c>
      <c r="B3846" s="2" t="s">
        <v>2628</v>
      </c>
      <c r="C3846" s="1">
        <v>204</v>
      </c>
      <c r="D3846" s="1" t="s">
        <v>414</v>
      </c>
      <c r="E3846" s="1" t="s">
        <v>6</v>
      </c>
      <c r="F3846" s="1" t="s">
        <v>2691</v>
      </c>
      <c r="G3846" s="14" t="s">
        <v>2277</v>
      </c>
      <c r="H3846" s="1" t="s">
        <v>5</v>
      </c>
      <c r="I3846" s="1" t="s">
        <v>5772</v>
      </c>
    </row>
    <row r="3847" spans="1:10">
      <c r="A3847" s="7" t="s">
        <v>5775</v>
      </c>
      <c r="B3847" s="2" t="s">
        <v>2628</v>
      </c>
      <c r="C3847" s="1">
        <v>204</v>
      </c>
      <c r="D3847" s="1" t="s">
        <v>414</v>
      </c>
      <c r="E3847" s="1" t="s">
        <v>6</v>
      </c>
      <c r="F3847" s="1" t="s">
        <v>2691</v>
      </c>
      <c r="G3847" s="14" t="s">
        <v>2277</v>
      </c>
      <c r="H3847" s="1" t="s">
        <v>5</v>
      </c>
      <c r="I3847" s="1" t="s">
        <v>5776</v>
      </c>
    </row>
    <row r="3848" spans="1:10">
      <c r="A3848" s="7" t="s">
        <v>5779</v>
      </c>
      <c r="B3848" s="2" t="s">
        <v>2628</v>
      </c>
      <c r="C3848" s="1">
        <v>204</v>
      </c>
      <c r="D3848" s="1" t="s">
        <v>414</v>
      </c>
      <c r="E3848" s="1" t="s">
        <v>6</v>
      </c>
      <c r="F3848" s="1" t="s">
        <v>2691</v>
      </c>
      <c r="G3848" s="14" t="s">
        <v>2277</v>
      </c>
      <c r="H3848" s="1" t="s">
        <v>5</v>
      </c>
      <c r="I3848" s="1" t="s">
        <v>5778</v>
      </c>
    </row>
    <row r="3849" spans="1:10">
      <c r="A3849" s="7" t="s">
        <v>6004</v>
      </c>
      <c r="B3849" s="1" t="s">
        <v>2628</v>
      </c>
      <c r="C3849" s="1">
        <v>204</v>
      </c>
      <c r="D3849" s="1" t="s">
        <v>414</v>
      </c>
      <c r="E3849" s="1" t="s">
        <v>6</v>
      </c>
      <c r="F3849" s="1" t="s">
        <v>2360</v>
      </c>
      <c r="G3849" s="1" t="s">
        <v>5</v>
      </c>
      <c r="H3849" s="1" t="s">
        <v>5</v>
      </c>
      <c r="I3849" s="1" t="s">
        <v>5848</v>
      </c>
    </row>
    <row r="3850" spans="1:10">
      <c r="A3850" s="7" t="s">
        <v>6005</v>
      </c>
      <c r="B3850" s="1" t="s">
        <v>2628</v>
      </c>
      <c r="C3850" s="1">
        <v>204</v>
      </c>
      <c r="D3850" s="1" t="s">
        <v>414</v>
      </c>
      <c r="E3850" s="1" t="s">
        <v>6</v>
      </c>
      <c r="F3850" s="1" t="s">
        <v>2360</v>
      </c>
      <c r="G3850" s="1" t="s">
        <v>5</v>
      </c>
      <c r="H3850" s="1" t="s">
        <v>5</v>
      </c>
      <c r="I3850" s="1" t="s">
        <v>5848</v>
      </c>
    </row>
    <row r="3851" spans="1:10">
      <c r="A3851" s="7" t="s">
        <v>6007</v>
      </c>
      <c r="B3851" s="1" t="s">
        <v>2628</v>
      </c>
      <c r="C3851" s="1">
        <v>204</v>
      </c>
      <c r="D3851" s="1" t="s">
        <v>414</v>
      </c>
      <c r="E3851" s="1" t="s">
        <v>6</v>
      </c>
      <c r="F3851" s="1" t="s">
        <v>2360</v>
      </c>
      <c r="G3851" s="1" t="s">
        <v>5</v>
      </c>
      <c r="H3851" s="1" t="s">
        <v>5</v>
      </c>
      <c r="I3851" s="1" t="s">
        <v>5848</v>
      </c>
    </row>
    <row r="3852" spans="1:10">
      <c r="A3852" s="7" t="s">
        <v>6053</v>
      </c>
      <c r="B3852" s="1" t="s">
        <v>2628</v>
      </c>
      <c r="C3852" s="1">
        <v>204</v>
      </c>
      <c r="D3852" s="1" t="s">
        <v>414</v>
      </c>
      <c r="E3852" s="1" t="s">
        <v>6</v>
      </c>
      <c r="F3852" s="1" t="s">
        <v>2360</v>
      </c>
      <c r="G3852" s="1" t="s">
        <v>5</v>
      </c>
      <c r="H3852" s="1" t="s">
        <v>5</v>
      </c>
      <c r="I3852" s="1" t="s">
        <v>5848</v>
      </c>
    </row>
    <row r="3853" spans="1:10">
      <c r="A3853" s="7" t="s">
        <v>6182</v>
      </c>
      <c r="B3853" s="2" t="s">
        <v>2628</v>
      </c>
      <c r="C3853" s="1">
        <v>204</v>
      </c>
      <c r="D3853" s="1" t="s">
        <v>414</v>
      </c>
      <c r="E3853" s="1" t="s">
        <v>6</v>
      </c>
      <c r="F3853" s="1" t="s">
        <v>5241</v>
      </c>
      <c r="G3853" s="14" t="s">
        <v>4803</v>
      </c>
      <c r="H3853" s="1" t="s">
        <v>5</v>
      </c>
      <c r="I3853" s="1" t="s">
        <v>5807</v>
      </c>
      <c r="J3853" s="17"/>
    </row>
    <row r="3854" spans="1:10">
      <c r="A3854" s="7" t="s">
        <v>6213</v>
      </c>
      <c r="B3854" s="2" t="s">
        <v>2628</v>
      </c>
      <c r="C3854" s="1">
        <v>204</v>
      </c>
      <c r="D3854" s="1" t="s">
        <v>414</v>
      </c>
      <c r="E3854" s="1" t="s">
        <v>6</v>
      </c>
      <c r="F3854" s="1" t="s">
        <v>5241</v>
      </c>
      <c r="G3854" s="14" t="s">
        <v>4803</v>
      </c>
      <c r="H3854" s="1" t="s">
        <v>5</v>
      </c>
      <c r="I3854" s="1" t="s">
        <v>5807</v>
      </c>
      <c r="J3854" s="17"/>
    </row>
    <row r="3855" spans="1:10">
      <c r="A3855" s="7" t="s">
        <v>6326</v>
      </c>
      <c r="B3855" s="2" t="s">
        <v>2628</v>
      </c>
      <c r="C3855" s="1">
        <v>204</v>
      </c>
      <c r="D3855" s="1" t="s">
        <v>414</v>
      </c>
      <c r="E3855" s="1" t="s">
        <v>6</v>
      </c>
      <c r="F3855" s="1" t="s">
        <v>5241</v>
      </c>
      <c r="G3855" s="14" t="s">
        <v>4803</v>
      </c>
      <c r="H3855" s="1" t="s">
        <v>5</v>
      </c>
      <c r="I3855" s="1" t="s">
        <v>5807</v>
      </c>
      <c r="J3855" s="17"/>
    </row>
    <row r="3856" spans="1:10">
      <c r="A3856" s="7" t="s">
        <v>6532</v>
      </c>
      <c r="B3856" s="1" t="s">
        <v>2628</v>
      </c>
      <c r="C3856" s="1">
        <v>204</v>
      </c>
      <c r="D3856" s="1" t="s">
        <v>414</v>
      </c>
      <c r="E3856" s="1" t="s">
        <v>6</v>
      </c>
      <c r="F3856" s="1" t="s">
        <v>5241</v>
      </c>
      <c r="G3856" s="1" t="s">
        <v>6307</v>
      </c>
      <c r="H3856" s="1" t="s">
        <v>44</v>
      </c>
      <c r="I3856" s="1" t="s">
        <v>5807</v>
      </c>
    </row>
    <row r="3857" spans="1:10">
      <c r="A3857" s="7" t="s">
        <v>6709</v>
      </c>
      <c r="B3857" s="1" t="s">
        <v>2628</v>
      </c>
      <c r="C3857" s="1">
        <v>204</v>
      </c>
      <c r="D3857" s="1" t="s">
        <v>414</v>
      </c>
      <c r="E3857" s="1" t="s">
        <v>6</v>
      </c>
      <c r="F3857" s="1" t="s">
        <v>5241</v>
      </c>
      <c r="G3857" s="1" t="s">
        <v>4803</v>
      </c>
      <c r="H3857" s="1" t="s">
        <v>5</v>
      </c>
      <c r="I3857" s="1" t="s">
        <v>5807</v>
      </c>
      <c r="J3857" s="17"/>
    </row>
    <row r="3858" spans="1:10">
      <c r="A3858" s="7" t="s">
        <v>6853</v>
      </c>
      <c r="B3858" s="1" t="s">
        <v>2628</v>
      </c>
      <c r="C3858" s="1">
        <v>204</v>
      </c>
      <c r="D3858" s="1" t="s">
        <v>414</v>
      </c>
      <c r="E3858" s="1" t="s">
        <v>6</v>
      </c>
      <c r="F3858" s="1" t="s">
        <v>5241</v>
      </c>
      <c r="G3858" s="1" t="s">
        <v>4803</v>
      </c>
      <c r="H3858" s="1" t="s">
        <v>5</v>
      </c>
      <c r="I3858" s="1" t="s">
        <v>5807</v>
      </c>
      <c r="J3858" s="17"/>
    </row>
    <row r="3859" spans="1:10">
      <c r="A3859" s="7" t="s">
        <v>6896</v>
      </c>
      <c r="B3859" s="1" t="s">
        <v>2628</v>
      </c>
      <c r="C3859" s="1">
        <v>204</v>
      </c>
      <c r="D3859" s="1" t="s">
        <v>414</v>
      </c>
      <c r="E3859" s="1" t="s">
        <v>6</v>
      </c>
      <c r="F3859" s="1" t="s">
        <v>5241</v>
      </c>
      <c r="G3859" s="1" t="s">
        <v>4803</v>
      </c>
      <c r="H3859" s="1" t="s">
        <v>5</v>
      </c>
      <c r="I3859" s="1" t="s">
        <v>6090</v>
      </c>
      <c r="J3859" s="17"/>
    </row>
    <row r="3860" spans="1:10">
      <c r="A3860" s="7" t="s">
        <v>6920</v>
      </c>
      <c r="B3860" s="1" t="s">
        <v>2628</v>
      </c>
      <c r="C3860" s="1">
        <v>204</v>
      </c>
      <c r="D3860" s="1" t="s">
        <v>414</v>
      </c>
      <c r="E3860" s="1" t="s">
        <v>6</v>
      </c>
      <c r="F3860" s="1" t="s">
        <v>5241</v>
      </c>
      <c r="G3860" s="1" t="s">
        <v>4803</v>
      </c>
      <c r="H3860" s="1" t="s">
        <v>5</v>
      </c>
      <c r="I3860" s="1" t="s">
        <v>5653</v>
      </c>
    </row>
    <row r="3861" spans="1:10">
      <c r="A3861" s="7" t="s">
        <v>7277</v>
      </c>
      <c r="B3861" s="1" t="s">
        <v>2628</v>
      </c>
      <c r="C3861" s="1">
        <v>204</v>
      </c>
      <c r="D3861" s="1" t="s">
        <v>414</v>
      </c>
      <c r="E3861" s="1" t="s">
        <v>6</v>
      </c>
      <c r="F3861" s="1" t="s">
        <v>5241</v>
      </c>
      <c r="G3861" s="1" t="s">
        <v>6307</v>
      </c>
      <c r="H3861" s="1" t="s">
        <v>44</v>
      </c>
      <c r="I3861" s="1" t="s">
        <v>6090</v>
      </c>
      <c r="J3861" s="17"/>
    </row>
    <row r="3862" spans="1:10">
      <c r="A3862" s="7" t="s">
        <v>7330</v>
      </c>
      <c r="B3862" s="1" t="s">
        <v>2628</v>
      </c>
      <c r="C3862" s="1">
        <v>204</v>
      </c>
      <c r="D3862" s="1" t="s">
        <v>414</v>
      </c>
      <c r="E3862" s="1" t="s">
        <v>6</v>
      </c>
      <c r="F3862" s="1" t="s">
        <v>5241</v>
      </c>
      <c r="G3862" s="1" t="s">
        <v>4803</v>
      </c>
      <c r="H3862" s="1" t="s">
        <v>5</v>
      </c>
      <c r="I3862" s="1" t="s">
        <v>5848</v>
      </c>
    </row>
    <row r="3863" spans="1:10">
      <c r="A3863" s="7" t="s">
        <v>7331</v>
      </c>
      <c r="B3863" s="1" t="s">
        <v>2628</v>
      </c>
      <c r="C3863" s="1">
        <v>204</v>
      </c>
      <c r="D3863" s="1" t="s">
        <v>414</v>
      </c>
      <c r="E3863" s="1" t="s">
        <v>6</v>
      </c>
      <c r="F3863" s="1" t="s">
        <v>5241</v>
      </c>
      <c r="G3863" s="1" t="s">
        <v>4803</v>
      </c>
      <c r="H3863" s="1" t="s">
        <v>5</v>
      </c>
      <c r="I3863" s="1" t="s">
        <v>5848</v>
      </c>
    </row>
    <row r="3864" spans="1:10">
      <c r="A3864" s="7" t="s">
        <v>7332</v>
      </c>
      <c r="B3864" s="1" t="s">
        <v>2628</v>
      </c>
      <c r="C3864" s="1">
        <v>204</v>
      </c>
      <c r="D3864" s="1" t="s">
        <v>414</v>
      </c>
      <c r="E3864" s="1" t="s">
        <v>6</v>
      </c>
      <c r="F3864" s="1" t="s">
        <v>5241</v>
      </c>
      <c r="G3864" s="1" t="s">
        <v>4803</v>
      </c>
      <c r="H3864" s="1" t="s">
        <v>5</v>
      </c>
      <c r="I3864" s="1" t="s">
        <v>5848</v>
      </c>
    </row>
    <row r="3865" spans="1:10">
      <c r="A3865" s="7" t="s">
        <v>7333</v>
      </c>
      <c r="B3865" s="1" t="s">
        <v>2628</v>
      </c>
      <c r="C3865" s="1">
        <v>204</v>
      </c>
      <c r="D3865" s="1" t="s">
        <v>414</v>
      </c>
      <c r="E3865" s="1" t="s">
        <v>6</v>
      </c>
      <c r="F3865" s="1" t="s">
        <v>5241</v>
      </c>
      <c r="G3865" s="1" t="s">
        <v>4803</v>
      </c>
      <c r="H3865" s="1" t="s">
        <v>5</v>
      </c>
      <c r="I3865" s="1" t="s">
        <v>5848</v>
      </c>
    </row>
    <row r="3866" spans="1:10">
      <c r="A3866" s="7" t="s">
        <v>7334</v>
      </c>
      <c r="B3866" s="1" t="s">
        <v>2628</v>
      </c>
      <c r="C3866" s="1">
        <v>204</v>
      </c>
      <c r="D3866" s="1" t="s">
        <v>414</v>
      </c>
      <c r="E3866" s="1" t="s">
        <v>6</v>
      </c>
      <c r="F3866" s="1" t="s">
        <v>5241</v>
      </c>
      <c r="G3866" s="1" t="s">
        <v>4803</v>
      </c>
      <c r="H3866" s="1" t="s">
        <v>5</v>
      </c>
      <c r="I3866" s="1" t="s">
        <v>5848</v>
      </c>
    </row>
    <row r="3867" spans="1:10">
      <c r="A3867" s="7" t="s">
        <v>7335</v>
      </c>
      <c r="B3867" s="1" t="s">
        <v>2628</v>
      </c>
      <c r="C3867" s="1">
        <v>204</v>
      </c>
      <c r="D3867" s="1" t="s">
        <v>414</v>
      </c>
      <c r="E3867" s="1" t="s">
        <v>6</v>
      </c>
      <c r="F3867" s="1" t="s">
        <v>5241</v>
      </c>
      <c r="G3867" s="1" t="s">
        <v>4803</v>
      </c>
      <c r="H3867" s="1" t="s">
        <v>5</v>
      </c>
      <c r="I3867" s="1" t="s">
        <v>5848</v>
      </c>
    </row>
    <row r="3868" spans="1:10">
      <c r="A3868" s="7" t="s">
        <v>7336</v>
      </c>
      <c r="B3868" s="1" t="s">
        <v>2628</v>
      </c>
      <c r="C3868" s="1">
        <v>204</v>
      </c>
      <c r="D3868" s="1" t="s">
        <v>414</v>
      </c>
      <c r="E3868" s="1" t="s">
        <v>6</v>
      </c>
      <c r="F3868" s="1" t="s">
        <v>5241</v>
      </c>
      <c r="G3868" s="1" t="s">
        <v>4803</v>
      </c>
      <c r="H3868" s="1" t="s">
        <v>5</v>
      </c>
      <c r="I3868" s="1" t="s">
        <v>5848</v>
      </c>
    </row>
    <row r="3869" spans="1:10">
      <c r="A3869" s="7" t="s">
        <v>7337</v>
      </c>
      <c r="B3869" s="1" t="s">
        <v>2628</v>
      </c>
      <c r="C3869" s="1">
        <v>204</v>
      </c>
      <c r="D3869" s="1" t="s">
        <v>414</v>
      </c>
      <c r="E3869" s="1" t="s">
        <v>6</v>
      </c>
      <c r="F3869" s="1" t="s">
        <v>5241</v>
      </c>
      <c r="G3869" s="1" t="s">
        <v>4803</v>
      </c>
      <c r="H3869" s="1" t="s">
        <v>5</v>
      </c>
      <c r="I3869" s="1" t="s">
        <v>5848</v>
      </c>
    </row>
    <row r="3870" spans="1:10">
      <c r="A3870" s="7" t="s">
        <v>7338</v>
      </c>
      <c r="B3870" s="1" t="s">
        <v>2628</v>
      </c>
      <c r="C3870" s="1">
        <v>204</v>
      </c>
      <c r="D3870" s="1" t="s">
        <v>414</v>
      </c>
      <c r="E3870" s="1" t="s">
        <v>6</v>
      </c>
      <c r="F3870" s="1" t="s">
        <v>5241</v>
      </c>
      <c r="G3870" s="1" t="s">
        <v>4803</v>
      </c>
      <c r="H3870" s="1" t="s">
        <v>5</v>
      </c>
      <c r="I3870" s="1" t="s">
        <v>5848</v>
      </c>
    </row>
    <row r="3871" spans="1:10">
      <c r="A3871" s="7" t="s">
        <v>7339</v>
      </c>
      <c r="B3871" s="1" t="s">
        <v>2628</v>
      </c>
      <c r="C3871" s="1">
        <v>204</v>
      </c>
      <c r="D3871" s="1" t="s">
        <v>414</v>
      </c>
      <c r="E3871" s="1" t="s">
        <v>6</v>
      </c>
      <c r="F3871" s="1" t="s">
        <v>5241</v>
      </c>
      <c r="G3871" s="1" t="s">
        <v>4803</v>
      </c>
      <c r="H3871" s="1" t="s">
        <v>5</v>
      </c>
      <c r="I3871" s="1" t="s">
        <v>5848</v>
      </c>
    </row>
    <row r="3872" spans="1:10">
      <c r="A3872" s="7" t="s">
        <v>7341</v>
      </c>
      <c r="B3872" s="1" t="s">
        <v>2628</v>
      </c>
      <c r="C3872" s="1">
        <v>204</v>
      </c>
      <c r="D3872" s="1" t="s">
        <v>414</v>
      </c>
      <c r="E3872" s="1" t="s">
        <v>6</v>
      </c>
      <c r="F3872" s="1" t="s">
        <v>5241</v>
      </c>
      <c r="G3872" s="1" t="s">
        <v>4803</v>
      </c>
      <c r="H3872" s="1" t="s">
        <v>5</v>
      </c>
      <c r="I3872" s="1" t="s">
        <v>5848</v>
      </c>
    </row>
    <row r="3873" spans="1:10">
      <c r="A3873" s="7" t="s">
        <v>7342</v>
      </c>
      <c r="B3873" s="1" t="s">
        <v>2628</v>
      </c>
      <c r="C3873" s="1">
        <v>204</v>
      </c>
      <c r="D3873" s="1" t="s">
        <v>414</v>
      </c>
      <c r="E3873" s="1" t="s">
        <v>6</v>
      </c>
      <c r="F3873" s="1" t="s">
        <v>5241</v>
      </c>
      <c r="G3873" s="1" t="s">
        <v>4803</v>
      </c>
      <c r="H3873" s="1" t="s">
        <v>5</v>
      </c>
      <c r="I3873" s="1" t="s">
        <v>5848</v>
      </c>
    </row>
    <row r="3874" spans="1:10">
      <c r="A3874" s="7" t="s">
        <v>7344</v>
      </c>
      <c r="B3874" s="1" t="s">
        <v>2628</v>
      </c>
      <c r="C3874" s="1">
        <v>204</v>
      </c>
      <c r="D3874" s="1" t="s">
        <v>414</v>
      </c>
      <c r="E3874" s="1" t="s">
        <v>6</v>
      </c>
      <c r="F3874" s="1" t="s">
        <v>5241</v>
      </c>
      <c r="G3874" s="1" t="s">
        <v>4803</v>
      </c>
      <c r="H3874" s="1" t="s">
        <v>5</v>
      </c>
      <c r="I3874" s="1" t="s">
        <v>5848</v>
      </c>
    </row>
    <row r="3875" spans="1:10">
      <c r="A3875" s="7" t="s">
        <v>7345</v>
      </c>
      <c r="B3875" s="1" t="s">
        <v>2628</v>
      </c>
      <c r="C3875" s="1">
        <v>204</v>
      </c>
      <c r="D3875" s="1" t="s">
        <v>414</v>
      </c>
      <c r="E3875" s="1" t="s">
        <v>6</v>
      </c>
      <c r="F3875" s="1" t="s">
        <v>5241</v>
      </c>
      <c r="G3875" s="1" t="s">
        <v>4803</v>
      </c>
      <c r="H3875" s="1" t="s">
        <v>5</v>
      </c>
      <c r="I3875" s="1" t="s">
        <v>5848</v>
      </c>
    </row>
    <row r="3876" spans="1:10">
      <c r="A3876" s="7" t="s">
        <v>7346</v>
      </c>
      <c r="B3876" s="1" t="s">
        <v>2628</v>
      </c>
      <c r="C3876" s="1">
        <v>204</v>
      </c>
      <c r="D3876" s="1" t="s">
        <v>414</v>
      </c>
      <c r="E3876" s="1" t="s">
        <v>6</v>
      </c>
      <c r="F3876" s="1" t="s">
        <v>5241</v>
      </c>
      <c r="G3876" s="1" t="s">
        <v>4803</v>
      </c>
      <c r="H3876" s="1" t="s">
        <v>5</v>
      </c>
      <c r="I3876" s="1" t="s">
        <v>5848</v>
      </c>
    </row>
    <row r="3877" spans="1:10">
      <c r="A3877" s="7" t="s">
        <v>7347</v>
      </c>
      <c r="B3877" s="1" t="s">
        <v>2628</v>
      </c>
      <c r="C3877" s="1">
        <v>204</v>
      </c>
      <c r="D3877" s="1" t="s">
        <v>414</v>
      </c>
      <c r="E3877" s="1" t="s">
        <v>6</v>
      </c>
      <c r="F3877" s="1" t="s">
        <v>5241</v>
      </c>
      <c r="G3877" s="1" t="s">
        <v>4803</v>
      </c>
      <c r="H3877" s="1" t="s">
        <v>5</v>
      </c>
      <c r="I3877" s="1" t="s">
        <v>5848</v>
      </c>
    </row>
    <row r="3878" spans="1:10">
      <c r="A3878" s="7" t="s">
        <v>7462</v>
      </c>
      <c r="B3878" s="1" t="s">
        <v>2628</v>
      </c>
      <c r="C3878" s="1">
        <v>204</v>
      </c>
      <c r="D3878" s="1" t="s">
        <v>414</v>
      </c>
      <c r="E3878" s="1" t="s">
        <v>6</v>
      </c>
      <c r="F3878" s="1" t="s">
        <v>5241</v>
      </c>
      <c r="G3878" s="1" t="s">
        <v>4803</v>
      </c>
      <c r="H3878" s="1" t="s">
        <v>5</v>
      </c>
      <c r="I3878" s="1" t="s">
        <v>5642</v>
      </c>
    </row>
    <row r="3879" spans="1:10">
      <c r="A3879" s="7" t="s">
        <v>7555</v>
      </c>
      <c r="B3879" s="1" t="s">
        <v>2628</v>
      </c>
      <c r="C3879" s="1">
        <v>204</v>
      </c>
      <c r="D3879" s="1" t="s">
        <v>414</v>
      </c>
      <c r="E3879" s="1" t="s">
        <v>6</v>
      </c>
      <c r="F3879" s="1" t="s">
        <v>5241</v>
      </c>
      <c r="G3879" s="1" t="s">
        <v>4803</v>
      </c>
      <c r="H3879" s="1" t="s">
        <v>5</v>
      </c>
      <c r="I3879" s="1" t="s">
        <v>6090</v>
      </c>
      <c r="J3879" s="17"/>
    </row>
    <row r="3880" spans="1:10">
      <c r="A3880" s="7" t="s">
        <v>7611</v>
      </c>
      <c r="B3880" s="1" t="s">
        <v>2628</v>
      </c>
      <c r="C3880" s="1">
        <v>204</v>
      </c>
      <c r="D3880" s="1" t="s">
        <v>414</v>
      </c>
      <c r="E3880" s="1" t="s">
        <v>6</v>
      </c>
      <c r="F3880" s="1" t="s">
        <v>5241</v>
      </c>
      <c r="G3880" s="1" t="s">
        <v>6307</v>
      </c>
      <c r="H3880" s="1" t="s">
        <v>44</v>
      </c>
      <c r="I3880" s="1">
        <v>2020</v>
      </c>
    </row>
    <row r="3881" spans="1:10">
      <c r="A3881" s="7" t="s">
        <v>7625</v>
      </c>
      <c r="B3881" s="1" t="s">
        <v>2628</v>
      </c>
      <c r="C3881" s="1">
        <v>204</v>
      </c>
      <c r="D3881" s="1" t="s">
        <v>414</v>
      </c>
      <c r="E3881" s="1" t="s">
        <v>6</v>
      </c>
      <c r="F3881" s="1" t="s">
        <v>5241</v>
      </c>
      <c r="G3881" s="1" t="s">
        <v>6307</v>
      </c>
      <c r="H3881" s="1" t="s">
        <v>44</v>
      </c>
      <c r="I3881" s="1" t="s">
        <v>6090</v>
      </c>
      <c r="J3881" s="17"/>
    </row>
    <row r="3882" spans="1:10">
      <c r="A3882" s="7" t="s">
        <v>7828</v>
      </c>
      <c r="B3882" s="1" t="s">
        <v>2628</v>
      </c>
      <c r="C3882" s="1">
        <v>204</v>
      </c>
      <c r="D3882" s="1" t="s">
        <v>414</v>
      </c>
      <c r="E3882" s="1" t="s">
        <v>6</v>
      </c>
      <c r="F3882" s="1" t="s">
        <v>5241</v>
      </c>
      <c r="G3882" s="1" t="s">
        <v>7829</v>
      </c>
      <c r="H3882" s="1" t="s">
        <v>315</v>
      </c>
      <c r="I3882" s="1" t="s">
        <v>5483</v>
      </c>
    </row>
    <row r="3883" spans="1:10">
      <c r="A3883" s="7" t="s">
        <v>7830</v>
      </c>
      <c r="B3883" s="1" t="s">
        <v>2628</v>
      </c>
      <c r="C3883" s="1">
        <v>204</v>
      </c>
      <c r="D3883" s="1" t="s">
        <v>414</v>
      </c>
      <c r="E3883" s="1" t="s">
        <v>6</v>
      </c>
      <c r="F3883" s="1" t="s">
        <v>5241</v>
      </c>
      <c r="G3883" s="1" t="s">
        <v>7829</v>
      </c>
      <c r="H3883" s="1" t="s">
        <v>118</v>
      </c>
      <c r="I3883" s="1" t="s">
        <v>5483</v>
      </c>
    </row>
    <row r="3884" spans="1:10">
      <c r="A3884" s="7" t="s">
        <v>7831</v>
      </c>
      <c r="B3884" s="1" t="s">
        <v>2628</v>
      </c>
      <c r="C3884" s="1">
        <v>204</v>
      </c>
      <c r="D3884" s="1" t="s">
        <v>414</v>
      </c>
      <c r="E3884" s="1" t="s">
        <v>6</v>
      </c>
      <c r="F3884" s="1" t="s">
        <v>5241</v>
      </c>
      <c r="G3884" s="1" t="s">
        <v>7829</v>
      </c>
      <c r="H3884" s="1" t="s">
        <v>118</v>
      </c>
      <c r="I3884" s="1" t="s">
        <v>5483</v>
      </c>
    </row>
    <row r="3885" spans="1:10">
      <c r="A3885" s="7" t="s">
        <v>7832</v>
      </c>
      <c r="B3885" s="1" t="s">
        <v>2628</v>
      </c>
      <c r="C3885" s="1">
        <v>204</v>
      </c>
      <c r="D3885" s="1" t="s">
        <v>414</v>
      </c>
      <c r="E3885" s="1" t="s">
        <v>6</v>
      </c>
      <c r="F3885" s="1" t="s">
        <v>5241</v>
      </c>
      <c r="G3885" s="1" t="s">
        <v>7829</v>
      </c>
      <c r="H3885" s="1" t="s">
        <v>118</v>
      </c>
      <c r="I3885" s="1" t="s">
        <v>5483</v>
      </c>
    </row>
    <row r="3886" spans="1:10">
      <c r="A3886" s="7" t="s">
        <v>7834</v>
      </c>
      <c r="B3886" s="1" t="s">
        <v>2628</v>
      </c>
      <c r="C3886" s="1">
        <v>204</v>
      </c>
      <c r="D3886" s="1" t="s">
        <v>414</v>
      </c>
      <c r="E3886" s="1" t="s">
        <v>6</v>
      </c>
      <c r="F3886" s="1" t="s">
        <v>5241</v>
      </c>
      <c r="G3886" s="1" t="s">
        <v>7829</v>
      </c>
      <c r="H3886" s="1" t="s">
        <v>118</v>
      </c>
      <c r="I3886" s="1" t="s">
        <v>5483</v>
      </c>
    </row>
    <row r="3887" spans="1:10">
      <c r="A3887" s="7" t="s">
        <v>7835</v>
      </c>
      <c r="B3887" s="1" t="s">
        <v>2628</v>
      </c>
      <c r="C3887" s="1">
        <v>204</v>
      </c>
      <c r="D3887" s="1" t="s">
        <v>414</v>
      </c>
      <c r="E3887" s="1" t="s">
        <v>6</v>
      </c>
      <c r="F3887" s="1" t="s">
        <v>5241</v>
      </c>
      <c r="G3887" s="1" t="s">
        <v>7829</v>
      </c>
      <c r="H3887" s="1" t="s">
        <v>118</v>
      </c>
      <c r="I3887" s="1" t="s">
        <v>5483</v>
      </c>
    </row>
    <row r="3888" spans="1:10">
      <c r="A3888" s="7" t="s">
        <v>7837</v>
      </c>
      <c r="B3888" s="1" t="s">
        <v>2628</v>
      </c>
      <c r="C3888" s="1">
        <v>204</v>
      </c>
      <c r="D3888" s="1" t="s">
        <v>414</v>
      </c>
      <c r="E3888" s="1" t="s">
        <v>6</v>
      </c>
      <c r="F3888" s="1" t="s">
        <v>5241</v>
      </c>
      <c r="G3888" s="1" t="s">
        <v>4803</v>
      </c>
      <c r="H3888" s="1" t="s">
        <v>5</v>
      </c>
      <c r="I3888" s="1" t="s">
        <v>5483</v>
      </c>
    </row>
    <row r="3889" spans="1:10">
      <c r="A3889" s="7" t="s">
        <v>7839</v>
      </c>
      <c r="B3889" s="1" t="s">
        <v>2628</v>
      </c>
      <c r="C3889" s="1">
        <v>204</v>
      </c>
      <c r="D3889" s="1" t="s">
        <v>414</v>
      </c>
      <c r="E3889" s="1" t="s">
        <v>6</v>
      </c>
      <c r="F3889" s="1" t="s">
        <v>5241</v>
      </c>
      <c r="G3889" s="1" t="s">
        <v>7829</v>
      </c>
      <c r="H3889" s="1" t="s">
        <v>118</v>
      </c>
      <c r="I3889" s="1" t="s">
        <v>5483</v>
      </c>
    </row>
    <row r="3890" spans="1:10">
      <c r="A3890" s="7" t="s">
        <v>7840</v>
      </c>
      <c r="B3890" s="1" t="s">
        <v>2628</v>
      </c>
      <c r="C3890" s="1">
        <v>204</v>
      </c>
      <c r="D3890" s="1" t="s">
        <v>414</v>
      </c>
      <c r="E3890" s="1" t="s">
        <v>6</v>
      </c>
      <c r="F3890" s="1" t="s">
        <v>5241</v>
      </c>
      <c r="G3890" s="1" t="s">
        <v>7829</v>
      </c>
      <c r="H3890" s="1" t="s">
        <v>118</v>
      </c>
      <c r="I3890" s="1" t="s">
        <v>5483</v>
      </c>
    </row>
    <row r="3891" spans="1:10">
      <c r="A3891" s="7" t="s">
        <v>7894</v>
      </c>
      <c r="B3891" s="1" t="s">
        <v>2628</v>
      </c>
      <c r="C3891" s="1">
        <v>204</v>
      </c>
      <c r="D3891" s="1" t="s">
        <v>414</v>
      </c>
      <c r="E3891" s="1" t="s">
        <v>6</v>
      </c>
      <c r="F3891" s="1" t="s">
        <v>118</v>
      </c>
      <c r="G3891" s="1" t="s">
        <v>7895</v>
      </c>
      <c r="H3891" s="1" t="s">
        <v>43</v>
      </c>
      <c r="I3891" s="1" t="s">
        <v>6090</v>
      </c>
      <c r="J3891" s="17"/>
    </row>
    <row r="3892" spans="1:10">
      <c r="A3892" s="7" t="s">
        <v>7903</v>
      </c>
      <c r="B3892" s="1" t="s">
        <v>2628</v>
      </c>
      <c r="C3892" s="1">
        <v>204</v>
      </c>
      <c r="D3892" s="1" t="s">
        <v>414</v>
      </c>
      <c r="E3892" s="1" t="s">
        <v>6</v>
      </c>
      <c r="F3892" s="1" t="s">
        <v>118</v>
      </c>
      <c r="G3892" s="1" t="s">
        <v>7895</v>
      </c>
      <c r="H3892" s="1" t="s">
        <v>43</v>
      </c>
      <c r="I3892" s="1" t="s">
        <v>6090</v>
      </c>
      <c r="J3892" s="17"/>
    </row>
    <row r="3893" spans="1:10">
      <c r="A3893" s="7" t="s">
        <v>7909</v>
      </c>
      <c r="B3893" s="1" t="s">
        <v>2628</v>
      </c>
      <c r="C3893" s="1">
        <v>204</v>
      </c>
      <c r="D3893" s="1" t="s">
        <v>414</v>
      </c>
      <c r="E3893" s="1" t="s">
        <v>6</v>
      </c>
      <c r="F3893" s="1" t="s">
        <v>118</v>
      </c>
      <c r="G3893" s="1" t="s">
        <v>7895</v>
      </c>
      <c r="H3893" s="1" t="s">
        <v>43</v>
      </c>
      <c r="I3893" s="1" t="s">
        <v>6090</v>
      </c>
      <c r="J3893" s="17"/>
    </row>
    <row r="3894" spans="1:10">
      <c r="A3894" s="7" t="s">
        <v>7910</v>
      </c>
      <c r="B3894" s="1" t="s">
        <v>2628</v>
      </c>
      <c r="C3894" s="1">
        <v>204</v>
      </c>
      <c r="D3894" s="1" t="s">
        <v>414</v>
      </c>
      <c r="E3894" s="1" t="s">
        <v>6</v>
      </c>
      <c r="F3894" s="1" t="s">
        <v>118</v>
      </c>
      <c r="G3894" s="1" t="s">
        <v>7911</v>
      </c>
      <c r="H3894" s="1" t="s">
        <v>5</v>
      </c>
      <c r="I3894" s="1" t="s">
        <v>6090</v>
      </c>
      <c r="J3894" s="17"/>
    </row>
    <row r="3895" spans="1:10">
      <c r="A3895" s="7" t="s">
        <v>7912</v>
      </c>
      <c r="B3895" s="1" t="s">
        <v>2628</v>
      </c>
      <c r="C3895" s="1">
        <v>204</v>
      </c>
      <c r="D3895" s="1" t="s">
        <v>414</v>
      </c>
      <c r="E3895" s="1" t="s">
        <v>6</v>
      </c>
      <c r="F3895" s="1" t="s">
        <v>118</v>
      </c>
      <c r="G3895" s="1" t="s">
        <v>7895</v>
      </c>
      <c r="H3895" s="1" t="s">
        <v>43</v>
      </c>
      <c r="I3895" s="1" t="s">
        <v>6090</v>
      </c>
      <c r="J3895" s="17"/>
    </row>
    <row r="3896" spans="1:10">
      <c r="A3896" s="7" t="s">
        <v>7913</v>
      </c>
      <c r="B3896" s="1" t="s">
        <v>2628</v>
      </c>
      <c r="C3896" s="1">
        <v>204</v>
      </c>
      <c r="D3896" s="1" t="s">
        <v>414</v>
      </c>
      <c r="E3896" s="1" t="s">
        <v>6</v>
      </c>
      <c r="F3896" s="1" t="s">
        <v>118</v>
      </c>
      <c r="G3896" s="1" t="s">
        <v>2565</v>
      </c>
      <c r="H3896" s="1" t="s">
        <v>5</v>
      </c>
      <c r="I3896" s="1" t="s">
        <v>6090</v>
      </c>
      <c r="J3896" s="17"/>
    </row>
    <row r="3897" spans="1:10">
      <c r="A3897" s="7" t="s">
        <v>7914</v>
      </c>
      <c r="B3897" s="1" t="s">
        <v>2628</v>
      </c>
      <c r="C3897" s="1">
        <v>204</v>
      </c>
      <c r="D3897" s="1" t="s">
        <v>414</v>
      </c>
      <c r="E3897" s="1" t="s">
        <v>6</v>
      </c>
      <c r="F3897" s="1" t="s">
        <v>118</v>
      </c>
      <c r="G3897" s="1" t="s">
        <v>2282</v>
      </c>
      <c r="H3897" s="1" t="s">
        <v>5</v>
      </c>
      <c r="I3897" s="1" t="s">
        <v>6090</v>
      </c>
      <c r="J3897" s="1"/>
    </row>
    <row r="3898" spans="1:10">
      <c r="A3898" s="7" t="s">
        <v>7915</v>
      </c>
      <c r="B3898" s="1" t="s">
        <v>2628</v>
      </c>
      <c r="C3898" s="1">
        <v>204</v>
      </c>
      <c r="D3898" s="1" t="s">
        <v>414</v>
      </c>
      <c r="E3898" s="1" t="s">
        <v>6</v>
      </c>
      <c r="F3898" s="1" t="s">
        <v>118</v>
      </c>
      <c r="G3898" s="1" t="s">
        <v>2565</v>
      </c>
      <c r="H3898" s="1" t="s">
        <v>5</v>
      </c>
      <c r="I3898" s="1" t="s">
        <v>6090</v>
      </c>
      <c r="J3898" s="17"/>
    </row>
    <row r="3899" spans="1:10">
      <c r="A3899" s="7" t="s">
        <v>7921</v>
      </c>
      <c r="B3899" s="1" t="s">
        <v>2628</v>
      </c>
      <c r="C3899" s="1">
        <v>204</v>
      </c>
      <c r="D3899" s="1" t="s">
        <v>414</v>
      </c>
      <c r="E3899" s="1" t="s">
        <v>6</v>
      </c>
      <c r="F3899" s="1" t="s">
        <v>118</v>
      </c>
      <c r="G3899" s="1" t="s">
        <v>2565</v>
      </c>
      <c r="H3899" s="1" t="s">
        <v>5</v>
      </c>
      <c r="I3899" s="1" t="s">
        <v>6090</v>
      </c>
      <c r="J3899" s="17"/>
    </row>
    <row r="3900" spans="1:10">
      <c r="A3900" s="7" t="s">
        <v>7923</v>
      </c>
      <c r="B3900" s="1" t="s">
        <v>2628</v>
      </c>
      <c r="C3900" s="1">
        <v>204</v>
      </c>
      <c r="D3900" s="1" t="s">
        <v>414</v>
      </c>
      <c r="E3900" s="1" t="s">
        <v>6</v>
      </c>
      <c r="F3900" s="1" t="s">
        <v>118</v>
      </c>
      <c r="G3900" s="1" t="s">
        <v>7895</v>
      </c>
      <c r="H3900" s="1" t="s">
        <v>43</v>
      </c>
      <c r="I3900" s="1" t="s">
        <v>6090</v>
      </c>
      <c r="J3900" s="17"/>
    </row>
    <row r="3901" spans="1:10">
      <c r="A3901" s="7" t="s">
        <v>7936</v>
      </c>
      <c r="B3901" s="1" t="s">
        <v>2628</v>
      </c>
      <c r="C3901" s="1">
        <v>204</v>
      </c>
      <c r="D3901" s="1" t="s">
        <v>414</v>
      </c>
      <c r="E3901" s="1" t="s">
        <v>6</v>
      </c>
      <c r="F3901" s="1" t="s">
        <v>118</v>
      </c>
      <c r="G3901" s="1" t="s">
        <v>7895</v>
      </c>
      <c r="H3901" s="1" t="s">
        <v>43</v>
      </c>
      <c r="I3901" s="1" t="s">
        <v>6090</v>
      </c>
      <c r="J3901" s="17"/>
    </row>
    <row r="3902" spans="1:10">
      <c r="A3902" s="7" t="s">
        <v>7937</v>
      </c>
      <c r="B3902" s="1" t="s">
        <v>2628</v>
      </c>
      <c r="C3902" s="1">
        <v>204</v>
      </c>
      <c r="D3902" s="1" t="s">
        <v>414</v>
      </c>
      <c r="E3902" s="1" t="s">
        <v>6</v>
      </c>
      <c r="F3902" s="1" t="s">
        <v>118</v>
      </c>
      <c r="G3902" s="1" t="s">
        <v>7902</v>
      </c>
      <c r="H3902" s="1" t="s">
        <v>5</v>
      </c>
      <c r="I3902" s="1" t="s">
        <v>6090</v>
      </c>
      <c r="J3902" s="17"/>
    </row>
    <row r="3903" spans="1:10">
      <c r="A3903" s="7" t="s">
        <v>7941</v>
      </c>
      <c r="B3903" s="1" t="s">
        <v>2628</v>
      </c>
      <c r="C3903" s="1">
        <v>204</v>
      </c>
      <c r="D3903" s="1" t="s">
        <v>414</v>
      </c>
      <c r="E3903" s="1" t="s">
        <v>6</v>
      </c>
      <c r="F3903" s="1" t="s">
        <v>118</v>
      </c>
      <c r="G3903" s="1" t="s">
        <v>7911</v>
      </c>
      <c r="H3903" s="1" t="s">
        <v>5</v>
      </c>
      <c r="I3903" s="1" t="s">
        <v>6090</v>
      </c>
      <c r="J3903" s="17"/>
    </row>
    <row r="3904" spans="1:10">
      <c r="A3904" s="7" t="s">
        <v>7950</v>
      </c>
      <c r="B3904" s="1" t="s">
        <v>2628</v>
      </c>
      <c r="C3904" s="1">
        <v>204</v>
      </c>
      <c r="D3904" s="1" t="s">
        <v>414</v>
      </c>
      <c r="E3904" s="1" t="s">
        <v>6</v>
      </c>
      <c r="F3904" s="1" t="s">
        <v>118</v>
      </c>
      <c r="G3904" s="1" t="s">
        <v>7895</v>
      </c>
      <c r="H3904" s="1" t="s">
        <v>43</v>
      </c>
      <c r="I3904" s="1" t="s">
        <v>6090</v>
      </c>
      <c r="J3904" s="17"/>
    </row>
    <row r="3905" spans="1:10">
      <c r="A3905" s="7" t="s">
        <v>7951</v>
      </c>
      <c r="B3905" s="1" t="s">
        <v>2628</v>
      </c>
      <c r="C3905" s="1">
        <v>204</v>
      </c>
      <c r="D3905" s="1" t="s">
        <v>414</v>
      </c>
      <c r="E3905" s="1" t="s">
        <v>6</v>
      </c>
      <c r="F3905" s="1" t="s">
        <v>118</v>
      </c>
      <c r="G3905" s="1" t="s">
        <v>7952</v>
      </c>
      <c r="H3905" s="1" t="s">
        <v>5</v>
      </c>
      <c r="I3905" s="1" t="s">
        <v>6090</v>
      </c>
      <c r="J3905" s="17"/>
    </row>
    <row r="3906" spans="1:10">
      <c r="A3906" s="7" t="s">
        <v>7958</v>
      </c>
      <c r="B3906" s="1" t="s">
        <v>2628</v>
      </c>
      <c r="C3906" s="1">
        <v>204</v>
      </c>
      <c r="D3906" s="1" t="s">
        <v>414</v>
      </c>
      <c r="E3906" s="1" t="s">
        <v>6</v>
      </c>
      <c r="F3906" s="1" t="s">
        <v>118</v>
      </c>
      <c r="G3906" s="1" t="s">
        <v>7902</v>
      </c>
      <c r="H3906" s="1" t="s">
        <v>5</v>
      </c>
      <c r="I3906" s="1" t="s">
        <v>6090</v>
      </c>
      <c r="J3906" s="17"/>
    </row>
    <row r="3907" spans="1:10">
      <c r="A3907" s="7" t="s">
        <v>7959</v>
      </c>
      <c r="B3907" s="1" t="s">
        <v>2628</v>
      </c>
      <c r="C3907" s="1">
        <v>204</v>
      </c>
      <c r="D3907" s="1" t="s">
        <v>414</v>
      </c>
      <c r="E3907" s="1" t="s">
        <v>6</v>
      </c>
      <c r="F3907" s="1" t="s">
        <v>118</v>
      </c>
      <c r="G3907" s="1" t="s">
        <v>7895</v>
      </c>
      <c r="H3907" s="1" t="s">
        <v>43</v>
      </c>
      <c r="I3907" s="1" t="s">
        <v>6090</v>
      </c>
      <c r="J3907" s="17"/>
    </row>
    <row r="3908" spans="1:10">
      <c r="A3908" s="7" t="s">
        <v>7962</v>
      </c>
      <c r="B3908" s="1" t="s">
        <v>2628</v>
      </c>
      <c r="C3908" s="1">
        <v>204</v>
      </c>
      <c r="D3908" s="1" t="s">
        <v>414</v>
      </c>
      <c r="E3908" s="1" t="s">
        <v>6</v>
      </c>
      <c r="F3908" s="1" t="s">
        <v>118</v>
      </c>
      <c r="G3908" s="1" t="s">
        <v>7899</v>
      </c>
      <c r="H3908" s="1" t="s">
        <v>5</v>
      </c>
      <c r="I3908" s="1" t="s">
        <v>6090</v>
      </c>
      <c r="J3908" s="17"/>
    </row>
    <row r="3909" spans="1:10">
      <c r="A3909" s="7" t="s">
        <v>7966</v>
      </c>
      <c r="B3909" s="1" t="s">
        <v>2628</v>
      </c>
      <c r="C3909" s="1">
        <v>204</v>
      </c>
      <c r="D3909" s="1" t="s">
        <v>414</v>
      </c>
      <c r="E3909" s="1" t="s">
        <v>6</v>
      </c>
      <c r="F3909" s="1" t="s">
        <v>118</v>
      </c>
      <c r="G3909" s="1" t="s">
        <v>7967</v>
      </c>
      <c r="H3909" s="1" t="s">
        <v>5</v>
      </c>
      <c r="I3909" s="1" t="s">
        <v>5807</v>
      </c>
      <c r="J3909" s="17"/>
    </row>
    <row r="3910" spans="1:10">
      <c r="A3910" s="7" t="s">
        <v>7986</v>
      </c>
      <c r="B3910" s="1" t="s">
        <v>2628</v>
      </c>
      <c r="C3910" s="1">
        <v>204</v>
      </c>
      <c r="D3910" s="1" t="s">
        <v>414</v>
      </c>
      <c r="E3910" s="1" t="s">
        <v>6</v>
      </c>
      <c r="F3910" s="1" t="s">
        <v>118</v>
      </c>
      <c r="G3910" s="1" t="s">
        <v>7987</v>
      </c>
      <c r="H3910" s="1" t="s">
        <v>5</v>
      </c>
      <c r="I3910" s="1" t="s">
        <v>6090</v>
      </c>
      <c r="J3910" s="17"/>
    </row>
    <row r="3911" spans="1:10">
      <c r="A3911" s="7" t="s">
        <v>7992</v>
      </c>
      <c r="B3911" s="1" t="s">
        <v>2628</v>
      </c>
      <c r="C3911" s="1">
        <v>204</v>
      </c>
      <c r="D3911" s="1" t="s">
        <v>414</v>
      </c>
      <c r="E3911" s="1" t="s">
        <v>6</v>
      </c>
      <c r="F3911" s="1" t="s">
        <v>5091</v>
      </c>
      <c r="G3911" s="1" t="s">
        <v>6238</v>
      </c>
      <c r="H3911" s="1" t="s">
        <v>43</v>
      </c>
      <c r="I3911" s="1" t="s">
        <v>6090</v>
      </c>
      <c r="J3911" s="17"/>
    </row>
    <row r="3912" spans="1:10">
      <c r="A3912" s="7" t="s">
        <v>7993</v>
      </c>
      <c r="B3912" s="1" t="s">
        <v>2628</v>
      </c>
      <c r="C3912" s="1">
        <v>204</v>
      </c>
      <c r="D3912" s="1" t="s">
        <v>414</v>
      </c>
      <c r="E3912" s="1" t="s">
        <v>6</v>
      </c>
      <c r="F3912" s="1" t="s">
        <v>5091</v>
      </c>
      <c r="G3912" s="1" t="s">
        <v>6236</v>
      </c>
      <c r="H3912" s="1" t="s">
        <v>43</v>
      </c>
      <c r="I3912" s="1" t="s">
        <v>6090</v>
      </c>
      <c r="J3912" s="17"/>
    </row>
    <row r="3913" spans="1:10">
      <c r="A3913" s="7" t="s">
        <v>8074</v>
      </c>
      <c r="B3913" s="1" t="s">
        <v>2628</v>
      </c>
      <c r="C3913" s="1">
        <v>204</v>
      </c>
      <c r="D3913" s="1" t="s">
        <v>414</v>
      </c>
      <c r="E3913" s="1" t="s">
        <v>6</v>
      </c>
      <c r="F3913" s="1" t="s">
        <v>118</v>
      </c>
      <c r="G3913" s="1" t="s">
        <v>7895</v>
      </c>
      <c r="H3913" s="1" t="s">
        <v>43</v>
      </c>
      <c r="I3913" s="1" t="s">
        <v>6090</v>
      </c>
      <c r="J3913" s="17"/>
    </row>
    <row r="3914" spans="1:10">
      <c r="A3914" s="7" t="s">
        <v>8086</v>
      </c>
      <c r="B3914" s="1" t="s">
        <v>2628</v>
      </c>
      <c r="C3914" s="1">
        <v>204</v>
      </c>
      <c r="D3914" s="1" t="s">
        <v>414</v>
      </c>
      <c r="E3914" s="1" t="s">
        <v>6</v>
      </c>
      <c r="F3914" s="1" t="s">
        <v>118</v>
      </c>
      <c r="G3914" s="1" t="s">
        <v>7952</v>
      </c>
      <c r="H3914" s="1" t="s">
        <v>5</v>
      </c>
      <c r="I3914" s="1" t="s">
        <v>6090</v>
      </c>
      <c r="J3914" s="17"/>
    </row>
    <row r="3915" spans="1:10">
      <c r="A3915" s="7" t="s">
        <v>8191</v>
      </c>
      <c r="B3915" s="1" t="s">
        <v>2628</v>
      </c>
      <c r="C3915" s="1">
        <v>204</v>
      </c>
      <c r="D3915" s="1" t="s">
        <v>414</v>
      </c>
      <c r="E3915" s="1" t="s">
        <v>6</v>
      </c>
      <c r="F3915" s="1" t="s">
        <v>5241</v>
      </c>
      <c r="G3915" s="1" t="s">
        <v>6307</v>
      </c>
      <c r="H3915" s="1" t="s">
        <v>44</v>
      </c>
      <c r="I3915" s="1" t="s">
        <v>8096</v>
      </c>
      <c r="J3915" s="1"/>
    </row>
    <row r="3916" spans="1:10">
      <c r="A3916" s="7" t="s">
        <v>8236</v>
      </c>
      <c r="B3916" s="1" t="s">
        <v>2628</v>
      </c>
      <c r="C3916" s="1">
        <v>204</v>
      </c>
      <c r="D3916" s="1" t="s">
        <v>414</v>
      </c>
      <c r="E3916" s="1" t="s">
        <v>6</v>
      </c>
      <c r="F3916" s="1" t="s">
        <v>2701</v>
      </c>
      <c r="G3916" s="1" t="s">
        <v>8237</v>
      </c>
      <c r="H3916" s="1" t="s">
        <v>5</v>
      </c>
      <c r="I3916" s="1">
        <v>2016</v>
      </c>
    </row>
    <row r="3917" spans="1:10">
      <c r="A3917" s="7" t="s">
        <v>8240</v>
      </c>
      <c r="B3917" s="1" t="s">
        <v>2628</v>
      </c>
      <c r="C3917" s="1">
        <v>204</v>
      </c>
      <c r="D3917" s="1" t="s">
        <v>414</v>
      </c>
      <c r="E3917" s="1" t="s">
        <v>6</v>
      </c>
      <c r="F3917" s="1" t="s">
        <v>2701</v>
      </c>
      <c r="G3917" s="1" t="s">
        <v>8241</v>
      </c>
      <c r="H3917" s="1" t="s">
        <v>43</v>
      </c>
      <c r="I3917" s="1">
        <v>2016</v>
      </c>
    </row>
    <row r="3918" spans="1:10">
      <c r="A3918" s="7" t="s">
        <v>8246</v>
      </c>
      <c r="B3918" s="1" t="s">
        <v>2628</v>
      </c>
      <c r="C3918" s="1">
        <v>204</v>
      </c>
      <c r="D3918" s="1" t="s">
        <v>414</v>
      </c>
      <c r="E3918" s="1" t="s">
        <v>6</v>
      </c>
      <c r="F3918" s="1" t="s">
        <v>2701</v>
      </c>
      <c r="G3918" s="1" t="s">
        <v>8247</v>
      </c>
      <c r="H3918" s="1" t="s">
        <v>5</v>
      </c>
      <c r="I3918" s="1">
        <v>2016</v>
      </c>
    </row>
    <row r="3919" spans="1:10">
      <c r="A3919" s="7" t="s">
        <v>8248</v>
      </c>
      <c r="B3919" s="1" t="s">
        <v>2628</v>
      </c>
      <c r="C3919" s="1">
        <v>204</v>
      </c>
      <c r="D3919" s="1" t="s">
        <v>414</v>
      </c>
      <c r="E3919" s="1" t="s">
        <v>6</v>
      </c>
      <c r="F3919" s="1" t="s">
        <v>2701</v>
      </c>
      <c r="G3919" s="1" t="s">
        <v>8249</v>
      </c>
      <c r="H3919" s="1" t="s">
        <v>5</v>
      </c>
      <c r="I3919" s="1">
        <v>2014</v>
      </c>
    </row>
    <row r="3920" spans="1:10">
      <c r="A3920" s="7" t="s">
        <v>8252</v>
      </c>
      <c r="B3920" s="1" t="s">
        <v>2628</v>
      </c>
      <c r="C3920" s="1">
        <v>204</v>
      </c>
      <c r="D3920" s="1" t="s">
        <v>414</v>
      </c>
      <c r="E3920" s="1" t="s">
        <v>6</v>
      </c>
      <c r="F3920" s="1" t="s">
        <v>2701</v>
      </c>
      <c r="G3920" s="1" t="s">
        <v>8253</v>
      </c>
      <c r="H3920" s="1" t="s">
        <v>5</v>
      </c>
      <c r="I3920" s="1">
        <v>2014</v>
      </c>
    </row>
    <row r="3921" spans="1:9">
      <c r="A3921" s="7" t="s">
        <v>8254</v>
      </c>
      <c r="B3921" s="1" t="s">
        <v>2628</v>
      </c>
      <c r="C3921" s="1">
        <v>204</v>
      </c>
      <c r="D3921" s="1" t="s">
        <v>414</v>
      </c>
      <c r="E3921" s="1" t="s">
        <v>6</v>
      </c>
      <c r="F3921" s="1" t="s">
        <v>2701</v>
      </c>
      <c r="G3921" s="1" t="s">
        <v>8255</v>
      </c>
      <c r="H3921" s="1" t="s">
        <v>43</v>
      </c>
      <c r="I3921" s="1">
        <v>2016</v>
      </c>
    </row>
    <row r="3922" spans="1:9">
      <c r="A3922" s="7" t="s">
        <v>8258</v>
      </c>
      <c r="B3922" s="1" t="s">
        <v>2628</v>
      </c>
      <c r="C3922" s="1">
        <v>204</v>
      </c>
      <c r="D3922" s="1" t="s">
        <v>414</v>
      </c>
      <c r="E3922" s="1" t="s">
        <v>6</v>
      </c>
      <c r="F3922" s="1" t="s">
        <v>2701</v>
      </c>
      <c r="G3922" s="1" t="s">
        <v>8259</v>
      </c>
      <c r="H3922" s="1" t="s">
        <v>5</v>
      </c>
      <c r="I3922" s="1">
        <v>2016</v>
      </c>
    </row>
    <row r="3923" spans="1:9">
      <c r="A3923" s="7" t="s">
        <v>8260</v>
      </c>
      <c r="B3923" s="1" t="s">
        <v>2628</v>
      </c>
      <c r="C3923" s="1">
        <v>204</v>
      </c>
      <c r="D3923" s="1" t="s">
        <v>414</v>
      </c>
      <c r="E3923" s="1" t="s">
        <v>6</v>
      </c>
      <c r="F3923" s="1" t="s">
        <v>2701</v>
      </c>
      <c r="G3923" s="1" t="s">
        <v>8261</v>
      </c>
      <c r="H3923" s="1" t="s">
        <v>5</v>
      </c>
      <c r="I3923" s="1">
        <v>2016</v>
      </c>
    </row>
    <row r="3924" spans="1:9">
      <c r="A3924" s="7" t="s">
        <v>8262</v>
      </c>
      <c r="B3924" s="1" t="s">
        <v>2628</v>
      </c>
      <c r="C3924" s="1">
        <v>204</v>
      </c>
      <c r="D3924" s="1" t="s">
        <v>414</v>
      </c>
      <c r="E3924" s="1" t="s">
        <v>6</v>
      </c>
      <c r="F3924" s="1" t="s">
        <v>2701</v>
      </c>
      <c r="G3924" s="1" t="s">
        <v>8263</v>
      </c>
      <c r="H3924" s="1" t="s">
        <v>5</v>
      </c>
      <c r="I3924" s="1">
        <v>2016</v>
      </c>
    </row>
    <row r="3925" spans="1:9">
      <c r="A3925" s="7" t="s">
        <v>8264</v>
      </c>
      <c r="B3925" s="1" t="s">
        <v>2628</v>
      </c>
      <c r="C3925" s="1">
        <v>204</v>
      </c>
      <c r="D3925" s="1" t="s">
        <v>414</v>
      </c>
      <c r="E3925" s="1" t="s">
        <v>6</v>
      </c>
      <c r="F3925" s="1" t="s">
        <v>2701</v>
      </c>
      <c r="G3925" s="1" t="s">
        <v>8265</v>
      </c>
      <c r="H3925" s="1" t="s">
        <v>5</v>
      </c>
      <c r="I3925" s="1">
        <v>2016</v>
      </c>
    </row>
    <row r="3926" spans="1:9">
      <c r="A3926" s="7" t="s">
        <v>8272</v>
      </c>
      <c r="B3926" s="1" t="s">
        <v>2628</v>
      </c>
      <c r="C3926" s="1">
        <v>204</v>
      </c>
      <c r="D3926" s="1" t="s">
        <v>414</v>
      </c>
      <c r="E3926" s="1" t="s">
        <v>6</v>
      </c>
      <c r="F3926" s="1" t="s">
        <v>2701</v>
      </c>
      <c r="G3926" s="1" t="s">
        <v>8273</v>
      </c>
      <c r="H3926" s="1" t="s">
        <v>5</v>
      </c>
      <c r="I3926" s="1">
        <v>2014</v>
      </c>
    </row>
    <row r="3927" spans="1:9">
      <c r="A3927" s="7" t="s">
        <v>8288</v>
      </c>
      <c r="B3927" s="1" t="s">
        <v>2628</v>
      </c>
      <c r="C3927" s="1">
        <v>204</v>
      </c>
      <c r="D3927" s="1" t="s">
        <v>414</v>
      </c>
      <c r="E3927" s="1" t="s">
        <v>6</v>
      </c>
      <c r="F3927" s="1" t="s">
        <v>2701</v>
      </c>
      <c r="G3927" s="1" t="s">
        <v>8289</v>
      </c>
      <c r="H3927" s="1" t="s">
        <v>43</v>
      </c>
      <c r="I3927" s="1" t="s">
        <v>5722</v>
      </c>
    </row>
    <row r="3928" spans="1:9">
      <c r="A3928" s="7" t="s">
        <v>8290</v>
      </c>
      <c r="B3928" s="1" t="s">
        <v>2628</v>
      </c>
      <c r="C3928" s="1">
        <v>204</v>
      </c>
      <c r="D3928" s="1" t="s">
        <v>414</v>
      </c>
      <c r="E3928" s="1" t="s">
        <v>6</v>
      </c>
      <c r="F3928" s="1" t="s">
        <v>2701</v>
      </c>
      <c r="G3928" s="1" t="s">
        <v>8291</v>
      </c>
      <c r="H3928" s="1" t="s">
        <v>43</v>
      </c>
      <c r="I3928" s="1" t="s">
        <v>5722</v>
      </c>
    </row>
    <row r="3929" spans="1:9">
      <c r="A3929" s="7" t="s">
        <v>8294</v>
      </c>
      <c r="B3929" s="1" t="s">
        <v>2628</v>
      </c>
      <c r="C3929" s="1">
        <v>204</v>
      </c>
      <c r="D3929" s="1" t="s">
        <v>414</v>
      </c>
      <c r="E3929" s="1" t="s">
        <v>6</v>
      </c>
      <c r="F3929" s="1" t="s">
        <v>2701</v>
      </c>
      <c r="G3929" s="1" t="s">
        <v>8295</v>
      </c>
      <c r="H3929" s="1" t="s">
        <v>43</v>
      </c>
      <c r="I3929" s="1" t="s">
        <v>5722</v>
      </c>
    </row>
    <row r="3930" spans="1:9">
      <c r="A3930" s="7" t="s">
        <v>8296</v>
      </c>
      <c r="B3930" s="1" t="s">
        <v>2628</v>
      </c>
      <c r="C3930" s="1">
        <v>204</v>
      </c>
      <c r="D3930" s="1" t="s">
        <v>414</v>
      </c>
      <c r="E3930" s="1" t="s">
        <v>6</v>
      </c>
      <c r="F3930" s="1" t="s">
        <v>2701</v>
      </c>
      <c r="G3930" s="1" t="s">
        <v>8297</v>
      </c>
      <c r="H3930" s="1" t="s">
        <v>43</v>
      </c>
      <c r="I3930" s="1" t="s">
        <v>5722</v>
      </c>
    </row>
    <row r="3931" spans="1:9">
      <c r="A3931" s="7" t="s">
        <v>8298</v>
      </c>
      <c r="B3931" s="1" t="s">
        <v>2628</v>
      </c>
      <c r="C3931" s="1">
        <v>204</v>
      </c>
      <c r="D3931" s="1" t="s">
        <v>414</v>
      </c>
      <c r="E3931" s="1" t="s">
        <v>6</v>
      </c>
      <c r="F3931" s="1" t="s">
        <v>2701</v>
      </c>
      <c r="G3931" s="1" t="s">
        <v>8299</v>
      </c>
      <c r="H3931" s="1" t="s">
        <v>5</v>
      </c>
      <c r="I3931" s="1" t="s">
        <v>5722</v>
      </c>
    </row>
    <row r="3932" spans="1:9">
      <c r="A3932" s="7" t="s">
        <v>8300</v>
      </c>
      <c r="B3932" s="1" t="s">
        <v>2628</v>
      </c>
      <c r="C3932" s="1">
        <v>204</v>
      </c>
      <c r="D3932" s="1" t="s">
        <v>414</v>
      </c>
      <c r="E3932" s="1" t="s">
        <v>6</v>
      </c>
      <c r="F3932" s="1" t="s">
        <v>2701</v>
      </c>
      <c r="G3932" s="1" t="s">
        <v>8301</v>
      </c>
      <c r="H3932" s="1" t="s">
        <v>5</v>
      </c>
      <c r="I3932" s="1" t="s">
        <v>5722</v>
      </c>
    </row>
    <row r="3933" spans="1:9">
      <c r="A3933" s="7" t="s">
        <v>8304</v>
      </c>
      <c r="B3933" s="1" t="s">
        <v>2628</v>
      </c>
      <c r="C3933" s="1">
        <v>204</v>
      </c>
      <c r="D3933" s="1" t="s">
        <v>414</v>
      </c>
      <c r="E3933" s="1" t="s">
        <v>6</v>
      </c>
      <c r="F3933" s="1" t="s">
        <v>2701</v>
      </c>
      <c r="G3933" s="1" t="s">
        <v>8283</v>
      </c>
      <c r="H3933" s="1" t="s">
        <v>5</v>
      </c>
      <c r="I3933" s="1">
        <v>2016</v>
      </c>
    </row>
    <row r="3934" spans="1:9">
      <c r="A3934" s="7" t="s">
        <v>8305</v>
      </c>
      <c r="B3934" s="1" t="s">
        <v>2628</v>
      </c>
      <c r="C3934" s="1">
        <v>204</v>
      </c>
      <c r="D3934" s="1" t="s">
        <v>414</v>
      </c>
      <c r="E3934" s="1" t="s">
        <v>6</v>
      </c>
      <c r="F3934" s="1" t="s">
        <v>2701</v>
      </c>
      <c r="G3934" s="1" t="s">
        <v>8306</v>
      </c>
      <c r="H3934" s="1" t="s">
        <v>5</v>
      </c>
      <c r="I3934" s="1">
        <v>2014</v>
      </c>
    </row>
    <row r="3935" spans="1:9">
      <c r="A3935" s="7" t="s">
        <v>8311</v>
      </c>
      <c r="B3935" s="1" t="s">
        <v>2628</v>
      </c>
      <c r="C3935" s="1">
        <v>204</v>
      </c>
      <c r="D3935" s="1" t="s">
        <v>414</v>
      </c>
      <c r="E3935" s="1" t="s">
        <v>6</v>
      </c>
      <c r="F3935" s="1" t="s">
        <v>2701</v>
      </c>
      <c r="G3935" s="1" t="s">
        <v>8312</v>
      </c>
      <c r="H3935" s="1" t="s">
        <v>43</v>
      </c>
      <c r="I3935" s="1">
        <v>2016</v>
      </c>
    </row>
    <row r="3936" spans="1:9">
      <c r="A3936" s="7" t="s">
        <v>8317</v>
      </c>
      <c r="B3936" s="1" t="s">
        <v>2628</v>
      </c>
      <c r="C3936" s="1">
        <v>204</v>
      </c>
      <c r="D3936" s="1" t="s">
        <v>414</v>
      </c>
      <c r="E3936" s="1" t="s">
        <v>6</v>
      </c>
      <c r="F3936" s="1" t="s">
        <v>2701</v>
      </c>
      <c r="G3936" s="1" t="s">
        <v>8318</v>
      </c>
      <c r="H3936" s="1" t="s">
        <v>43</v>
      </c>
      <c r="I3936" s="1">
        <v>2014</v>
      </c>
    </row>
    <row r="3937" spans="1:9">
      <c r="A3937" s="7" t="s">
        <v>8321</v>
      </c>
      <c r="B3937" s="1" t="s">
        <v>2628</v>
      </c>
      <c r="C3937" s="1">
        <v>204</v>
      </c>
      <c r="D3937" s="1" t="s">
        <v>414</v>
      </c>
      <c r="E3937" s="1" t="s">
        <v>6</v>
      </c>
      <c r="F3937" s="1" t="s">
        <v>2701</v>
      </c>
      <c r="G3937" s="1" t="s">
        <v>8322</v>
      </c>
      <c r="H3937" s="1" t="s">
        <v>5</v>
      </c>
      <c r="I3937" s="1">
        <v>2014</v>
      </c>
    </row>
    <row r="3938" spans="1:9">
      <c r="A3938" s="7" t="s">
        <v>8323</v>
      </c>
      <c r="B3938" s="1" t="s">
        <v>2628</v>
      </c>
      <c r="C3938" s="1">
        <v>204</v>
      </c>
      <c r="D3938" s="1" t="s">
        <v>414</v>
      </c>
      <c r="E3938" s="1" t="s">
        <v>6</v>
      </c>
      <c r="F3938" s="1" t="s">
        <v>2701</v>
      </c>
      <c r="G3938" s="1" t="s">
        <v>8324</v>
      </c>
      <c r="H3938" s="1" t="s">
        <v>5</v>
      </c>
      <c r="I3938" s="1">
        <v>2014</v>
      </c>
    </row>
    <row r="3939" spans="1:9">
      <c r="A3939" s="7" t="s">
        <v>8329</v>
      </c>
      <c r="B3939" s="1" t="s">
        <v>2628</v>
      </c>
      <c r="C3939" s="1">
        <v>204</v>
      </c>
      <c r="D3939" s="1" t="s">
        <v>414</v>
      </c>
      <c r="E3939" s="1" t="s">
        <v>6</v>
      </c>
      <c r="F3939" s="1" t="s">
        <v>2701</v>
      </c>
      <c r="G3939" s="1" t="s">
        <v>8330</v>
      </c>
      <c r="H3939" s="1" t="s">
        <v>5</v>
      </c>
      <c r="I3939" s="1">
        <v>2014</v>
      </c>
    </row>
    <row r="3940" spans="1:9">
      <c r="A3940" s="7" t="s">
        <v>8341</v>
      </c>
      <c r="B3940" s="1" t="s">
        <v>2628</v>
      </c>
      <c r="C3940" s="1">
        <v>204</v>
      </c>
      <c r="D3940" s="1" t="s">
        <v>414</v>
      </c>
      <c r="E3940" s="1" t="s">
        <v>6</v>
      </c>
      <c r="F3940" s="1" t="s">
        <v>2701</v>
      </c>
      <c r="G3940" s="1" t="s">
        <v>8342</v>
      </c>
      <c r="H3940" s="1" t="s">
        <v>43</v>
      </c>
      <c r="I3940" s="1">
        <v>2016</v>
      </c>
    </row>
    <row r="3941" spans="1:9">
      <c r="A3941" s="7" t="s">
        <v>8349</v>
      </c>
      <c r="B3941" s="1" t="s">
        <v>2628</v>
      </c>
      <c r="C3941" s="1">
        <v>204</v>
      </c>
      <c r="D3941" s="1" t="s">
        <v>414</v>
      </c>
      <c r="E3941" s="1" t="s">
        <v>6</v>
      </c>
      <c r="F3941" s="1" t="s">
        <v>118</v>
      </c>
      <c r="G3941" s="1" t="s">
        <v>6530</v>
      </c>
      <c r="H3941" s="1" t="s">
        <v>43</v>
      </c>
      <c r="I3941" s="1" t="s">
        <v>5642</v>
      </c>
    </row>
    <row r="3942" spans="1:9">
      <c r="A3942" s="7" t="s">
        <v>8355</v>
      </c>
      <c r="B3942" s="1" t="s">
        <v>2628</v>
      </c>
      <c r="C3942" s="1">
        <v>204</v>
      </c>
      <c r="D3942" s="1" t="s">
        <v>414</v>
      </c>
      <c r="E3942" s="1" t="s">
        <v>6</v>
      </c>
      <c r="F3942" s="1" t="s">
        <v>118</v>
      </c>
      <c r="G3942" s="1" t="s">
        <v>6530</v>
      </c>
      <c r="H3942" s="1" t="s">
        <v>43</v>
      </c>
      <c r="I3942" s="1" t="s">
        <v>5642</v>
      </c>
    </row>
    <row r="3943" spans="1:9">
      <c r="A3943" s="16" t="s">
        <v>8708</v>
      </c>
      <c r="B3943" s="1" t="s">
        <v>2628</v>
      </c>
      <c r="C3943" s="1">
        <v>204</v>
      </c>
      <c r="D3943" s="1" t="s">
        <v>414</v>
      </c>
      <c r="E3943" s="1" t="s">
        <v>6</v>
      </c>
      <c r="F3943" s="1" t="s">
        <v>5091</v>
      </c>
      <c r="G3943" s="14" t="s">
        <v>8709</v>
      </c>
      <c r="H3943" s="1" t="s">
        <v>5</v>
      </c>
      <c r="I3943" s="17">
        <v>41640</v>
      </c>
    </row>
    <row r="3944" spans="1:9">
      <c r="A3944" s="16" t="s">
        <v>8805</v>
      </c>
      <c r="B3944" s="1" t="s">
        <v>2628</v>
      </c>
      <c r="C3944" s="1">
        <v>204</v>
      </c>
      <c r="D3944" s="1" t="s">
        <v>414</v>
      </c>
      <c r="E3944" s="1" t="s">
        <v>6</v>
      </c>
      <c r="F3944" s="1" t="s">
        <v>5091</v>
      </c>
      <c r="G3944" s="14" t="s">
        <v>8806</v>
      </c>
      <c r="H3944" s="1" t="s">
        <v>44</v>
      </c>
      <c r="I3944" s="17">
        <v>38042</v>
      </c>
    </row>
    <row r="3945" spans="1:9">
      <c r="A3945" s="16" t="s">
        <v>8868</v>
      </c>
      <c r="B3945" s="1" t="s">
        <v>2628</v>
      </c>
      <c r="C3945" s="1">
        <v>204</v>
      </c>
      <c r="D3945" s="1" t="s">
        <v>414</v>
      </c>
      <c r="E3945" s="1" t="s">
        <v>6</v>
      </c>
      <c r="F3945" s="1" t="s">
        <v>118</v>
      </c>
      <c r="G3945" s="14" t="s">
        <v>4458</v>
      </c>
      <c r="H3945" s="1" t="s">
        <v>118</v>
      </c>
      <c r="I3945" s="1" t="s">
        <v>4458</v>
      </c>
    </row>
    <row r="3946" spans="1:9">
      <c r="A3946" s="16" t="s">
        <v>8876</v>
      </c>
      <c r="B3946" s="1" t="s">
        <v>2628</v>
      </c>
      <c r="C3946" s="1">
        <v>204</v>
      </c>
      <c r="D3946" s="1" t="s">
        <v>414</v>
      </c>
      <c r="E3946" s="1" t="s">
        <v>6</v>
      </c>
      <c r="F3946" s="1" t="s">
        <v>118</v>
      </c>
      <c r="G3946" s="14" t="s">
        <v>4458</v>
      </c>
      <c r="H3946" s="1" t="s">
        <v>118</v>
      </c>
      <c r="I3946" s="1" t="s">
        <v>4458</v>
      </c>
    </row>
    <row r="3947" spans="1:9">
      <c r="A3947" s="16" t="s">
        <v>8886</v>
      </c>
      <c r="B3947" s="1" t="s">
        <v>2628</v>
      </c>
      <c r="C3947" s="1">
        <v>204</v>
      </c>
      <c r="D3947" s="1" t="s">
        <v>414</v>
      </c>
      <c r="E3947" s="1" t="s">
        <v>6</v>
      </c>
      <c r="F3947" s="1" t="s">
        <v>5091</v>
      </c>
      <c r="G3947" s="14" t="s">
        <v>8887</v>
      </c>
      <c r="H3947" s="1" t="s">
        <v>5</v>
      </c>
      <c r="I3947" s="1" t="s">
        <v>4458</v>
      </c>
    </row>
    <row r="3948" spans="1:9">
      <c r="A3948" s="16" t="s">
        <v>8922</v>
      </c>
      <c r="B3948" s="1" t="s">
        <v>2628</v>
      </c>
      <c r="C3948" s="1">
        <v>204</v>
      </c>
      <c r="D3948" s="1" t="s">
        <v>414</v>
      </c>
      <c r="E3948" s="1" t="s">
        <v>6</v>
      </c>
      <c r="F3948" s="1" t="s">
        <v>5091</v>
      </c>
      <c r="G3948" s="14" t="s">
        <v>8923</v>
      </c>
      <c r="H3948" s="1" t="s">
        <v>5</v>
      </c>
      <c r="I3948" s="17">
        <v>41640</v>
      </c>
    </row>
    <row r="3949" spans="1:9">
      <c r="A3949" s="16" t="s">
        <v>8986</v>
      </c>
      <c r="B3949" s="1" t="s">
        <v>2628</v>
      </c>
      <c r="C3949" s="1">
        <v>204</v>
      </c>
      <c r="D3949" s="1" t="s">
        <v>414</v>
      </c>
      <c r="E3949" s="1" t="s">
        <v>6</v>
      </c>
      <c r="F3949" s="1" t="s">
        <v>5091</v>
      </c>
      <c r="G3949" s="14" t="s">
        <v>6236</v>
      </c>
      <c r="H3949" s="1" t="s">
        <v>43</v>
      </c>
      <c r="I3949" s="17">
        <v>42005</v>
      </c>
    </row>
    <row r="3950" spans="1:9">
      <c r="A3950" s="16" t="s">
        <v>9001</v>
      </c>
      <c r="B3950" s="1" t="s">
        <v>2628</v>
      </c>
      <c r="C3950" s="1">
        <v>204</v>
      </c>
      <c r="D3950" s="1" t="s">
        <v>414</v>
      </c>
      <c r="E3950" s="1" t="s">
        <v>6</v>
      </c>
      <c r="F3950" s="1" t="s">
        <v>5091</v>
      </c>
      <c r="G3950" s="14" t="s">
        <v>9002</v>
      </c>
      <c r="H3950" s="1" t="s">
        <v>5</v>
      </c>
      <c r="I3950" s="17">
        <v>41855</v>
      </c>
    </row>
    <row r="3951" spans="1:9">
      <c r="A3951" s="16" t="s">
        <v>9006</v>
      </c>
      <c r="B3951" s="1" t="s">
        <v>2628</v>
      </c>
      <c r="C3951" s="1">
        <v>204</v>
      </c>
      <c r="D3951" s="1" t="s">
        <v>414</v>
      </c>
      <c r="E3951" s="1" t="s">
        <v>6</v>
      </c>
      <c r="F3951" s="1" t="s">
        <v>5091</v>
      </c>
      <c r="G3951" s="14" t="s">
        <v>9002</v>
      </c>
      <c r="H3951" s="1" t="s">
        <v>5</v>
      </c>
      <c r="I3951" s="17">
        <v>41848</v>
      </c>
    </row>
    <row r="3952" spans="1:9">
      <c r="A3952" s="16" t="s">
        <v>9130</v>
      </c>
      <c r="B3952" s="1" t="s">
        <v>2628</v>
      </c>
      <c r="C3952" s="1">
        <v>1129</v>
      </c>
      <c r="D3952" s="1" t="s">
        <v>414</v>
      </c>
      <c r="E3952" s="1" t="s">
        <v>6</v>
      </c>
      <c r="F3952" s="1" t="s">
        <v>5091</v>
      </c>
      <c r="G3952" s="14" t="s">
        <v>6145</v>
      </c>
      <c r="H3952" s="1" t="s">
        <v>43</v>
      </c>
      <c r="I3952" s="17">
        <v>42111</v>
      </c>
    </row>
    <row r="3953" spans="1:9">
      <c r="A3953" s="16" t="s">
        <v>9388</v>
      </c>
      <c r="B3953" s="1" t="s">
        <v>2628</v>
      </c>
      <c r="C3953" s="1">
        <v>204</v>
      </c>
      <c r="D3953" s="1" t="s">
        <v>414</v>
      </c>
      <c r="E3953" s="1" t="s">
        <v>6</v>
      </c>
      <c r="F3953" s="1" t="s">
        <v>5091</v>
      </c>
      <c r="G3953" s="14" t="s">
        <v>9389</v>
      </c>
      <c r="H3953" s="1" t="s">
        <v>43</v>
      </c>
      <c r="I3953" s="17">
        <v>42136</v>
      </c>
    </row>
    <row r="3954" spans="1:9">
      <c r="A3954" s="16" t="s">
        <v>9390</v>
      </c>
      <c r="B3954" s="1" t="s">
        <v>2628</v>
      </c>
      <c r="C3954" s="1">
        <v>204</v>
      </c>
      <c r="D3954" s="1" t="s">
        <v>414</v>
      </c>
      <c r="E3954" s="1" t="s">
        <v>6</v>
      </c>
      <c r="F3954" s="1" t="s">
        <v>5091</v>
      </c>
      <c r="G3954" s="14" t="s">
        <v>9389</v>
      </c>
      <c r="H3954" s="1" t="s">
        <v>43</v>
      </c>
      <c r="I3954" s="17">
        <v>42136</v>
      </c>
    </row>
    <row r="3955" spans="1:9">
      <c r="A3955" s="16" t="s">
        <v>9799</v>
      </c>
      <c r="B3955" s="1" t="s">
        <v>2628</v>
      </c>
      <c r="C3955" s="1">
        <v>204</v>
      </c>
      <c r="D3955" s="1" t="s">
        <v>414</v>
      </c>
      <c r="E3955" s="1" t="s">
        <v>6</v>
      </c>
      <c r="F3955" s="1" t="s">
        <v>5091</v>
      </c>
      <c r="G3955" s="14" t="s">
        <v>6145</v>
      </c>
      <c r="H3955" s="1" t="s">
        <v>43</v>
      </c>
      <c r="I3955" s="17">
        <v>41909</v>
      </c>
    </row>
    <row r="3956" spans="1:9">
      <c r="A3956" s="16" t="s">
        <v>10184</v>
      </c>
      <c r="B3956" s="1" t="s">
        <v>2628</v>
      </c>
      <c r="C3956" s="1">
        <v>204</v>
      </c>
      <c r="D3956" s="1" t="s">
        <v>414</v>
      </c>
      <c r="E3956" s="1" t="s">
        <v>6</v>
      </c>
      <c r="F3956" s="1" t="s">
        <v>36</v>
      </c>
      <c r="G3956" s="14" t="s">
        <v>10181</v>
      </c>
      <c r="H3956" s="1" t="s">
        <v>43</v>
      </c>
      <c r="I3956" s="17">
        <v>38718</v>
      </c>
    </row>
    <row r="3957" spans="1:9">
      <c r="A3957" s="16" t="s">
        <v>10278</v>
      </c>
      <c r="B3957" s="1" t="s">
        <v>2628</v>
      </c>
      <c r="C3957" s="1">
        <v>204</v>
      </c>
      <c r="D3957" s="1" t="s">
        <v>414</v>
      </c>
      <c r="E3957" s="1" t="s">
        <v>6</v>
      </c>
      <c r="F3957" s="1" t="s">
        <v>5091</v>
      </c>
      <c r="G3957" s="14" t="s">
        <v>10279</v>
      </c>
      <c r="H3957" s="1" t="s">
        <v>5</v>
      </c>
      <c r="I3957" s="17">
        <v>42063</v>
      </c>
    </row>
    <row r="3958" spans="1:9">
      <c r="A3958" s="16" t="s">
        <v>10280</v>
      </c>
      <c r="B3958" s="1" t="s">
        <v>2628</v>
      </c>
      <c r="C3958" s="1">
        <v>204</v>
      </c>
      <c r="D3958" s="1" t="s">
        <v>414</v>
      </c>
      <c r="E3958" s="1" t="s">
        <v>6</v>
      </c>
      <c r="F3958" s="1" t="s">
        <v>5091</v>
      </c>
      <c r="G3958" s="14" t="s">
        <v>10279</v>
      </c>
      <c r="H3958" s="1" t="s">
        <v>5</v>
      </c>
      <c r="I3958" s="17">
        <v>42063</v>
      </c>
    </row>
    <row r="3959" spans="1:9">
      <c r="A3959" s="16" t="s">
        <v>10524</v>
      </c>
      <c r="B3959" s="1" t="s">
        <v>2628</v>
      </c>
      <c r="C3959" s="1">
        <v>204</v>
      </c>
      <c r="D3959" s="1" t="s">
        <v>414</v>
      </c>
      <c r="E3959" s="1" t="s">
        <v>6</v>
      </c>
      <c r="F3959" s="1" t="s">
        <v>5091</v>
      </c>
      <c r="G3959" s="14" t="s">
        <v>10525</v>
      </c>
      <c r="H3959" s="1" t="s">
        <v>5</v>
      </c>
      <c r="I3959" s="17">
        <v>38378</v>
      </c>
    </row>
    <row r="3960" spans="1:9">
      <c r="A3960" s="16" t="s">
        <v>10593</v>
      </c>
      <c r="B3960" s="1" t="s">
        <v>2628</v>
      </c>
      <c r="C3960" s="1">
        <v>204</v>
      </c>
      <c r="D3960" s="1" t="s">
        <v>414</v>
      </c>
      <c r="E3960" s="1" t="s">
        <v>6</v>
      </c>
      <c r="F3960" s="1" t="s">
        <v>2700</v>
      </c>
      <c r="G3960" s="14" t="s">
        <v>2387</v>
      </c>
      <c r="H3960" s="1" t="s">
        <v>5</v>
      </c>
      <c r="I3960" s="17">
        <v>40303</v>
      </c>
    </row>
    <row r="3961" spans="1:9">
      <c r="A3961" s="16" t="s">
        <v>10594</v>
      </c>
      <c r="B3961" s="1" t="s">
        <v>2628</v>
      </c>
      <c r="C3961" s="1">
        <v>204</v>
      </c>
      <c r="D3961" s="1" t="s">
        <v>414</v>
      </c>
      <c r="E3961" s="1" t="s">
        <v>6</v>
      </c>
      <c r="F3961" s="1" t="s">
        <v>2700</v>
      </c>
      <c r="G3961" s="14" t="s">
        <v>2387</v>
      </c>
      <c r="H3961" s="1" t="s">
        <v>5</v>
      </c>
      <c r="I3961" s="17">
        <v>40303</v>
      </c>
    </row>
    <row r="3962" spans="1:9">
      <c r="A3962" s="16" t="s">
        <v>10595</v>
      </c>
      <c r="B3962" s="1" t="s">
        <v>2628</v>
      </c>
      <c r="C3962" s="1">
        <v>204</v>
      </c>
      <c r="D3962" s="1" t="s">
        <v>414</v>
      </c>
      <c r="E3962" s="1" t="s">
        <v>6</v>
      </c>
      <c r="F3962" s="1" t="s">
        <v>2700</v>
      </c>
      <c r="G3962" s="14" t="s">
        <v>2387</v>
      </c>
      <c r="H3962" s="1" t="s">
        <v>5</v>
      </c>
      <c r="I3962" s="17">
        <v>40303</v>
      </c>
    </row>
    <row r="3963" spans="1:9">
      <c r="A3963" s="16" t="s">
        <v>10614</v>
      </c>
      <c r="B3963" s="1" t="s">
        <v>2628</v>
      </c>
      <c r="C3963" s="1">
        <v>204</v>
      </c>
      <c r="D3963" s="1" t="s">
        <v>414</v>
      </c>
      <c r="E3963" s="1" t="s">
        <v>6</v>
      </c>
      <c r="F3963" s="1" t="s">
        <v>139</v>
      </c>
      <c r="G3963" s="14" t="s">
        <v>7919</v>
      </c>
      <c r="H3963" s="1" t="s">
        <v>5</v>
      </c>
      <c r="I3963" s="17">
        <v>41275</v>
      </c>
    </row>
    <row r="3964" spans="1:9">
      <c r="A3964" s="16" t="s">
        <v>10672</v>
      </c>
      <c r="B3964" s="1" t="s">
        <v>2628</v>
      </c>
      <c r="C3964" s="1">
        <v>204</v>
      </c>
      <c r="D3964" s="1" t="s">
        <v>414</v>
      </c>
      <c r="E3964" s="1" t="s">
        <v>6</v>
      </c>
      <c r="F3964" s="1" t="s">
        <v>139</v>
      </c>
      <c r="G3964" s="14" t="s">
        <v>2387</v>
      </c>
      <c r="H3964" s="1" t="s">
        <v>5</v>
      </c>
      <c r="I3964" s="17">
        <v>40787</v>
      </c>
    </row>
    <row r="3965" spans="1:9">
      <c r="A3965" s="16" t="s">
        <v>10681</v>
      </c>
      <c r="B3965" s="1" t="s">
        <v>2628</v>
      </c>
      <c r="C3965" s="1">
        <v>204</v>
      </c>
      <c r="D3965" s="1" t="s">
        <v>414</v>
      </c>
      <c r="E3965" s="1" t="s">
        <v>6</v>
      </c>
      <c r="F3965" s="1" t="s">
        <v>139</v>
      </c>
      <c r="G3965" s="14" t="s">
        <v>9063</v>
      </c>
      <c r="H3965" s="1" t="s">
        <v>5</v>
      </c>
      <c r="I3965" s="17">
        <v>40848</v>
      </c>
    </row>
    <row r="3966" spans="1:9">
      <c r="A3966" s="16" t="s">
        <v>10704</v>
      </c>
      <c r="B3966" s="1" t="s">
        <v>2628</v>
      </c>
      <c r="C3966" s="1">
        <v>204</v>
      </c>
      <c r="D3966" s="1" t="s">
        <v>414</v>
      </c>
      <c r="E3966" s="1" t="s">
        <v>6</v>
      </c>
      <c r="F3966" s="1" t="s">
        <v>139</v>
      </c>
      <c r="G3966" s="14" t="s">
        <v>10705</v>
      </c>
      <c r="H3966" s="1" t="s">
        <v>44</v>
      </c>
      <c r="I3966" s="17">
        <v>37987</v>
      </c>
    </row>
    <row r="3967" spans="1:9">
      <c r="A3967" s="16" t="s">
        <v>10750</v>
      </c>
      <c r="B3967" s="1" t="s">
        <v>2628</v>
      </c>
      <c r="C3967" s="1">
        <v>204</v>
      </c>
      <c r="D3967" s="1" t="s">
        <v>414</v>
      </c>
      <c r="E3967" s="1" t="s">
        <v>6</v>
      </c>
      <c r="F3967" s="1" t="s">
        <v>5091</v>
      </c>
      <c r="G3967" s="14" t="s">
        <v>6307</v>
      </c>
      <c r="H3967" s="1" t="s">
        <v>44</v>
      </c>
      <c r="I3967" s="17">
        <v>42136</v>
      </c>
    </row>
    <row r="3968" spans="1:9">
      <c r="A3968" s="16" t="s">
        <v>10758</v>
      </c>
      <c r="B3968" s="1" t="s">
        <v>2628</v>
      </c>
      <c r="C3968" s="1">
        <v>204</v>
      </c>
      <c r="D3968" s="1" t="s">
        <v>414</v>
      </c>
      <c r="E3968" s="1" t="s">
        <v>6</v>
      </c>
      <c r="F3968" s="1" t="s">
        <v>5091</v>
      </c>
      <c r="G3968" s="14" t="s">
        <v>6307</v>
      </c>
      <c r="H3968" s="1" t="s">
        <v>44</v>
      </c>
      <c r="I3968" s="17">
        <v>42192</v>
      </c>
    </row>
    <row r="3969" spans="1:9">
      <c r="A3969" s="16" t="s">
        <v>10771</v>
      </c>
      <c r="B3969" s="1" t="s">
        <v>2628</v>
      </c>
      <c r="C3969" s="1">
        <v>204</v>
      </c>
      <c r="D3969" s="1" t="s">
        <v>414</v>
      </c>
      <c r="E3969" s="1" t="s">
        <v>6</v>
      </c>
      <c r="F3969" s="1" t="s">
        <v>5091</v>
      </c>
      <c r="G3969" s="14" t="s">
        <v>6236</v>
      </c>
      <c r="H3969" s="1" t="s">
        <v>43</v>
      </c>
      <c r="I3969" s="17">
        <v>42370</v>
      </c>
    </row>
    <row r="3970" spans="1:9">
      <c r="A3970" s="16" t="s">
        <v>10790</v>
      </c>
      <c r="B3970" s="1" t="s">
        <v>2628</v>
      </c>
      <c r="C3970" s="1">
        <v>204</v>
      </c>
      <c r="D3970" s="1" t="s">
        <v>414</v>
      </c>
      <c r="E3970" s="1" t="s">
        <v>6</v>
      </c>
      <c r="F3970" s="1" t="s">
        <v>5091</v>
      </c>
      <c r="G3970" s="14" t="s">
        <v>6145</v>
      </c>
      <c r="H3970" s="1" t="s">
        <v>43</v>
      </c>
      <c r="I3970" s="17">
        <v>42220</v>
      </c>
    </row>
    <row r="3971" spans="1:9">
      <c r="A3971" s="16" t="s">
        <v>10810</v>
      </c>
      <c r="B3971" s="1" t="s">
        <v>2628</v>
      </c>
      <c r="C3971" s="1">
        <v>204</v>
      </c>
      <c r="D3971" s="1" t="s">
        <v>414</v>
      </c>
      <c r="E3971" s="1" t="s">
        <v>6</v>
      </c>
      <c r="F3971" s="1" t="s">
        <v>5091</v>
      </c>
      <c r="G3971" s="14" t="s">
        <v>6145</v>
      </c>
      <c r="H3971" s="1" t="s">
        <v>43</v>
      </c>
      <c r="I3971" s="17">
        <v>42234</v>
      </c>
    </row>
    <row r="3972" spans="1:9">
      <c r="A3972" s="16" t="s">
        <v>10825</v>
      </c>
      <c r="B3972" s="1" t="s">
        <v>2628</v>
      </c>
      <c r="C3972" s="1">
        <v>204</v>
      </c>
      <c r="D3972" s="1" t="s">
        <v>414</v>
      </c>
      <c r="E3972" s="1" t="s">
        <v>6</v>
      </c>
      <c r="F3972" s="1" t="s">
        <v>5091</v>
      </c>
      <c r="G3972" s="14" t="s">
        <v>6145</v>
      </c>
      <c r="H3972" s="1" t="s">
        <v>43</v>
      </c>
      <c r="I3972" s="17">
        <v>42270</v>
      </c>
    </row>
    <row r="3973" spans="1:9">
      <c r="A3973" s="16" t="s">
        <v>10826</v>
      </c>
      <c r="B3973" s="1" t="s">
        <v>2628</v>
      </c>
      <c r="C3973" s="1">
        <v>204</v>
      </c>
      <c r="D3973" s="1" t="s">
        <v>414</v>
      </c>
      <c r="E3973" s="1" t="s">
        <v>6</v>
      </c>
      <c r="F3973" s="1" t="s">
        <v>5091</v>
      </c>
      <c r="G3973" s="14" t="s">
        <v>6145</v>
      </c>
      <c r="H3973" s="1" t="s">
        <v>43</v>
      </c>
      <c r="I3973" s="17">
        <v>42270</v>
      </c>
    </row>
    <row r="3974" spans="1:9">
      <c r="A3974" s="16" t="s">
        <v>10836</v>
      </c>
      <c r="B3974" s="1" t="s">
        <v>2628</v>
      </c>
      <c r="C3974" s="1">
        <v>204</v>
      </c>
      <c r="D3974" s="1" t="s">
        <v>414</v>
      </c>
      <c r="E3974" s="1" t="s">
        <v>6</v>
      </c>
      <c r="F3974" s="1" t="s">
        <v>5091</v>
      </c>
      <c r="G3974" s="14" t="s">
        <v>6145</v>
      </c>
      <c r="H3974" s="1" t="s">
        <v>43</v>
      </c>
      <c r="I3974" s="17">
        <v>42270</v>
      </c>
    </row>
    <row r="3975" spans="1:9">
      <c r="A3975" s="16" t="s">
        <v>10862</v>
      </c>
      <c r="B3975" s="1" t="s">
        <v>2628</v>
      </c>
      <c r="C3975" s="1">
        <v>204</v>
      </c>
      <c r="D3975" s="1" t="s">
        <v>414</v>
      </c>
      <c r="E3975" s="1" t="s">
        <v>6</v>
      </c>
      <c r="F3975" s="1" t="s">
        <v>5091</v>
      </c>
      <c r="G3975" s="14" t="s">
        <v>6450</v>
      </c>
      <c r="H3975" s="1" t="s">
        <v>43</v>
      </c>
      <c r="I3975" s="17">
        <v>42249</v>
      </c>
    </row>
    <row r="3976" spans="1:9">
      <c r="A3976" s="16" t="s">
        <v>10900</v>
      </c>
      <c r="B3976" s="1" t="s">
        <v>2628</v>
      </c>
      <c r="C3976" s="1">
        <v>204</v>
      </c>
      <c r="D3976" s="1" t="s">
        <v>414</v>
      </c>
      <c r="E3976" s="1" t="s">
        <v>6</v>
      </c>
      <c r="F3976" s="1" t="s">
        <v>5091</v>
      </c>
      <c r="G3976" s="14" t="s">
        <v>6145</v>
      </c>
      <c r="H3976" s="1" t="s">
        <v>43</v>
      </c>
      <c r="I3976" s="17">
        <v>42283</v>
      </c>
    </row>
    <row r="3977" spans="1:9">
      <c r="A3977" s="16" t="s">
        <v>10903</v>
      </c>
      <c r="B3977" s="1" t="s">
        <v>2628</v>
      </c>
      <c r="C3977" s="1">
        <v>204</v>
      </c>
      <c r="D3977" s="1" t="s">
        <v>414</v>
      </c>
      <c r="E3977" s="1" t="s">
        <v>6</v>
      </c>
      <c r="F3977" s="1" t="s">
        <v>5091</v>
      </c>
      <c r="G3977" s="14" t="s">
        <v>6145</v>
      </c>
      <c r="H3977" s="1" t="s">
        <v>43</v>
      </c>
      <c r="I3977" s="17">
        <v>42283</v>
      </c>
    </row>
    <row r="3978" spans="1:9">
      <c r="A3978" s="16" t="s">
        <v>10914</v>
      </c>
      <c r="B3978" s="1" t="s">
        <v>2628</v>
      </c>
      <c r="C3978" s="1">
        <v>204</v>
      </c>
      <c r="D3978" s="1" t="s">
        <v>414</v>
      </c>
      <c r="E3978" s="1" t="s">
        <v>6</v>
      </c>
      <c r="F3978" s="1" t="s">
        <v>5091</v>
      </c>
      <c r="G3978" s="14" t="s">
        <v>6145</v>
      </c>
      <c r="H3978" s="1" t="s">
        <v>43</v>
      </c>
      <c r="I3978" s="17">
        <v>42283</v>
      </c>
    </row>
    <row r="3979" spans="1:9">
      <c r="A3979" s="16" t="s">
        <v>10917</v>
      </c>
      <c r="B3979" s="1" t="s">
        <v>2628</v>
      </c>
      <c r="C3979" s="1">
        <v>204</v>
      </c>
      <c r="D3979" s="1" t="s">
        <v>414</v>
      </c>
      <c r="E3979" s="1" t="s">
        <v>6</v>
      </c>
      <c r="F3979" s="1" t="s">
        <v>5091</v>
      </c>
      <c r="G3979" s="14" t="s">
        <v>6145</v>
      </c>
      <c r="H3979" s="1" t="s">
        <v>43</v>
      </c>
      <c r="I3979" s="17">
        <v>42283</v>
      </c>
    </row>
    <row r="3980" spans="1:9">
      <c r="A3980" s="16" t="s">
        <v>10929</v>
      </c>
      <c r="B3980" s="1" t="s">
        <v>2628</v>
      </c>
      <c r="C3980" s="1">
        <v>204</v>
      </c>
      <c r="D3980" s="1" t="s">
        <v>414</v>
      </c>
      <c r="E3980" s="1" t="s">
        <v>6</v>
      </c>
      <c r="F3980" s="1" t="s">
        <v>5091</v>
      </c>
      <c r="G3980" s="14" t="s">
        <v>6145</v>
      </c>
      <c r="H3980" s="1" t="s">
        <v>43</v>
      </c>
      <c r="I3980" s="17">
        <v>42289</v>
      </c>
    </row>
    <row r="3981" spans="1:9">
      <c r="A3981" s="16" t="s">
        <v>10933</v>
      </c>
      <c r="B3981" s="1" t="s">
        <v>2628</v>
      </c>
      <c r="C3981" s="1">
        <v>204</v>
      </c>
      <c r="D3981" s="1" t="s">
        <v>414</v>
      </c>
      <c r="E3981" s="1" t="s">
        <v>6</v>
      </c>
      <c r="F3981" s="1" t="s">
        <v>5091</v>
      </c>
      <c r="G3981" s="14" t="s">
        <v>6145</v>
      </c>
      <c r="H3981" s="1" t="s">
        <v>43</v>
      </c>
      <c r="I3981" s="17">
        <v>42283</v>
      </c>
    </row>
    <row r="3982" spans="1:9">
      <c r="A3982" s="16" t="s">
        <v>10943</v>
      </c>
      <c r="B3982" s="1" t="s">
        <v>2628</v>
      </c>
      <c r="C3982" s="1">
        <v>204</v>
      </c>
      <c r="D3982" s="1" t="s">
        <v>414</v>
      </c>
      <c r="E3982" s="1" t="s">
        <v>6</v>
      </c>
      <c r="F3982" s="1" t="s">
        <v>5091</v>
      </c>
      <c r="G3982" s="14" t="s">
        <v>6145</v>
      </c>
      <c r="H3982" s="1" t="s">
        <v>43</v>
      </c>
      <c r="I3982" s="17">
        <v>42276</v>
      </c>
    </row>
    <row r="3983" spans="1:9">
      <c r="A3983" s="16" t="s">
        <v>10968</v>
      </c>
      <c r="B3983" s="1" t="s">
        <v>2628</v>
      </c>
      <c r="C3983" s="1">
        <v>204</v>
      </c>
      <c r="D3983" s="1" t="s">
        <v>414</v>
      </c>
      <c r="E3983" s="1" t="s">
        <v>6</v>
      </c>
      <c r="F3983" s="1" t="s">
        <v>5091</v>
      </c>
      <c r="G3983" s="14" t="s">
        <v>4803</v>
      </c>
      <c r="H3983" s="1" t="s">
        <v>5</v>
      </c>
      <c r="I3983" s="17">
        <v>42283</v>
      </c>
    </row>
    <row r="3984" spans="1:9">
      <c r="A3984" s="16" t="s">
        <v>10984</v>
      </c>
      <c r="B3984" s="1" t="s">
        <v>2628</v>
      </c>
      <c r="C3984" s="1">
        <v>204</v>
      </c>
      <c r="D3984" s="1" t="s">
        <v>414</v>
      </c>
      <c r="E3984" s="1" t="s">
        <v>6</v>
      </c>
      <c r="F3984" s="1" t="s">
        <v>5091</v>
      </c>
      <c r="G3984" s="14" t="s">
        <v>6145</v>
      </c>
      <c r="H3984" s="1" t="s">
        <v>43</v>
      </c>
      <c r="I3984" s="17">
        <v>42293</v>
      </c>
    </row>
    <row r="3985" spans="1:9">
      <c r="A3985" s="16" t="s">
        <v>10985</v>
      </c>
      <c r="B3985" s="1" t="s">
        <v>2628</v>
      </c>
      <c r="C3985" s="1">
        <v>204</v>
      </c>
      <c r="D3985" s="1" t="s">
        <v>414</v>
      </c>
      <c r="E3985" s="1" t="s">
        <v>6</v>
      </c>
      <c r="F3985" s="1" t="s">
        <v>5091</v>
      </c>
      <c r="G3985" s="14" t="s">
        <v>6145</v>
      </c>
      <c r="H3985" s="1" t="s">
        <v>43</v>
      </c>
      <c r="I3985" s="17">
        <v>42293</v>
      </c>
    </row>
    <row r="3986" spans="1:9">
      <c r="A3986" s="16" t="s">
        <v>10986</v>
      </c>
      <c r="B3986" s="1" t="s">
        <v>2628</v>
      </c>
      <c r="C3986" s="1">
        <v>204</v>
      </c>
      <c r="D3986" s="1" t="s">
        <v>414</v>
      </c>
      <c r="E3986" s="1" t="s">
        <v>6</v>
      </c>
      <c r="F3986" s="1" t="s">
        <v>5091</v>
      </c>
      <c r="G3986" s="14" t="s">
        <v>6145</v>
      </c>
      <c r="H3986" s="1" t="s">
        <v>43</v>
      </c>
      <c r="I3986" s="17">
        <v>42293</v>
      </c>
    </row>
    <row r="3987" spans="1:9">
      <c r="A3987" s="16" t="s">
        <v>10987</v>
      </c>
      <c r="B3987" s="1" t="s">
        <v>2628</v>
      </c>
      <c r="C3987" s="1">
        <v>204</v>
      </c>
      <c r="D3987" s="1" t="s">
        <v>414</v>
      </c>
      <c r="E3987" s="1" t="s">
        <v>6</v>
      </c>
      <c r="F3987" s="1" t="s">
        <v>5091</v>
      </c>
      <c r="G3987" s="14" t="s">
        <v>6145</v>
      </c>
      <c r="H3987" s="1" t="s">
        <v>43</v>
      </c>
      <c r="I3987" s="17">
        <v>42293</v>
      </c>
    </row>
    <row r="3988" spans="1:9">
      <c r="A3988" s="16" t="s">
        <v>11003</v>
      </c>
      <c r="B3988" s="1" t="s">
        <v>2628</v>
      </c>
      <c r="C3988" s="1">
        <v>204</v>
      </c>
      <c r="D3988" s="1" t="s">
        <v>414</v>
      </c>
      <c r="E3988" s="1" t="s">
        <v>6</v>
      </c>
      <c r="F3988" s="1" t="s">
        <v>5091</v>
      </c>
      <c r="G3988" s="14" t="s">
        <v>6145</v>
      </c>
      <c r="H3988" s="1" t="s">
        <v>43</v>
      </c>
      <c r="I3988" s="17">
        <v>42304</v>
      </c>
    </row>
    <row r="3989" spans="1:9">
      <c r="A3989" s="16" t="s">
        <v>11004</v>
      </c>
      <c r="B3989" s="1" t="s">
        <v>2628</v>
      </c>
      <c r="C3989" s="1">
        <v>204</v>
      </c>
      <c r="D3989" s="1" t="s">
        <v>414</v>
      </c>
      <c r="E3989" s="1" t="s">
        <v>6</v>
      </c>
      <c r="F3989" s="1" t="s">
        <v>5091</v>
      </c>
      <c r="G3989" s="14" t="s">
        <v>6145</v>
      </c>
      <c r="H3989" s="1" t="s">
        <v>43</v>
      </c>
      <c r="I3989" s="17">
        <v>42304</v>
      </c>
    </row>
    <row r="3990" spans="1:9">
      <c r="A3990" s="16" t="s">
        <v>11005</v>
      </c>
      <c r="B3990" s="1" t="s">
        <v>2628</v>
      </c>
      <c r="C3990" s="1">
        <v>204</v>
      </c>
      <c r="D3990" s="1" t="s">
        <v>414</v>
      </c>
      <c r="E3990" s="1" t="s">
        <v>6</v>
      </c>
      <c r="F3990" s="1" t="s">
        <v>5091</v>
      </c>
      <c r="G3990" s="14" t="s">
        <v>6145</v>
      </c>
      <c r="H3990" s="1" t="s">
        <v>43</v>
      </c>
      <c r="I3990" s="17">
        <v>42304</v>
      </c>
    </row>
    <row r="3991" spans="1:9">
      <c r="A3991" s="16" t="s">
        <v>11006</v>
      </c>
      <c r="B3991" s="1" t="s">
        <v>2628</v>
      </c>
      <c r="C3991" s="1">
        <v>204</v>
      </c>
      <c r="D3991" s="1" t="s">
        <v>414</v>
      </c>
      <c r="E3991" s="1" t="s">
        <v>6</v>
      </c>
      <c r="F3991" s="1" t="s">
        <v>5091</v>
      </c>
      <c r="G3991" s="14" t="s">
        <v>6145</v>
      </c>
      <c r="H3991" s="1" t="s">
        <v>43</v>
      </c>
      <c r="I3991" s="17">
        <v>42304</v>
      </c>
    </row>
    <row r="3992" spans="1:9">
      <c r="A3992" s="16" t="s">
        <v>11023</v>
      </c>
      <c r="B3992" s="1" t="s">
        <v>2628</v>
      </c>
      <c r="C3992" s="1">
        <v>204</v>
      </c>
      <c r="D3992" s="1" t="s">
        <v>414</v>
      </c>
      <c r="E3992" s="1" t="s">
        <v>6</v>
      </c>
      <c r="F3992" s="1" t="s">
        <v>5091</v>
      </c>
      <c r="G3992" s="14" t="s">
        <v>6145</v>
      </c>
      <c r="H3992" s="1" t="s">
        <v>43</v>
      </c>
      <c r="I3992" s="17">
        <v>42321</v>
      </c>
    </row>
    <row r="3993" spans="1:9">
      <c r="A3993" s="16" t="s">
        <v>11073</v>
      </c>
      <c r="B3993" s="1" t="s">
        <v>2628</v>
      </c>
      <c r="C3993" s="1">
        <v>204</v>
      </c>
      <c r="D3993" s="1" t="s">
        <v>414</v>
      </c>
      <c r="E3993" s="1" t="s">
        <v>6</v>
      </c>
      <c r="F3993" s="1" t="s">
        <v>2694</v>
      </c>
      <c r="G3993" s="14" t="s">
        <v>11074</v>
      </c>
      <c r="H3993" s="1" t="s">
        <v>5</v>
      </c>
      <c r="I3993" s="17">
        <v>40074</v>
      </c>
    </row>
    <row r="3994" spans="1:9">
      <c r="A3994" s="16" t="s">
        <v>11209</v>
      </c>
      <c r="B3994" s="1" t="s">
        <v>2628</v>
      </c>
      <c r="C3994" s="1">
        <v>204</v>
      </c>
      <c r="D3994" s="1" t="s">
        <v>414</v>
      </c>
      <c r="E3994" s="1" t="s">
        <v>6</v>
      </c>
      <c r="F3994" s="1" t="s">
        <v>5091</v>
      </c>
      <c r="G3994" s="14" t="s">
        <v>10525</v>
      </c>
      <c r="H3994" s="1" t="s">
        <v>5</v>
      </c>
      <c r="I3994" s="17">
        <v>38378</v>
      </c>
    </row>
    <row r="3995" spans="1:9">
      <c r="A3995" s="16" t="s">
        <v>11300</v>
      </c>
      <c r="B3995" s="1" t="s">
        <v>2628</v>
      </c>
      <c r="C3995" s="1">
        <v>1129</v>
      </c>
      <c r="D3995" s="1" t="s">
        <v>414</v>
      </c>
      <c r="E3995" s="1" t="s">
        <v>6</v>
      </c>
      <c r="F3995" s="1" t="s">
        <v>5091</v>
      </c>
      <c r="G3995" s="14" t="s">
        <v>6145</v>
      </c>
      <c r="H3995" s="1" t="s">
        <v>43</v>
      </c>
      <c r="I3995" s="17">
        <v>42541</v>
      </c>
    </row>
    <row r="3996" spans="1:9">
      <c r="A3996" s="16" t="s">
        <v>11628</v>
      </c>
      <c r="B3996" s="1" t="s">
        <v>2628</v>
      </c>
      <c r="C3996" s="1">
        <v>204</v>
      </c>
      <c r="D3996" s="1" t="s">
        <v>414</v>
      </c>
      <c r="E3996" s="1" t="s">
        <v>6</v>
      </c>
      <c r="F3996" s="1" t="s">
        <v>5091</v>
      </c>
      <c r="G3996" s="14" t="s">
        <v>6236</v>
      </c>
      <c r="H3996" s="1" t="s">
        <v>43</v>
      </c>
      <c r="I3996" s="17">
        <v>40909</v>
      </c>
    </row>
    <row r="3997" spans="1:9">
      <c r="A3997" s="16" t="s">
        <v>11651</v>
      </c>
      <c r="B3997" s="1" t="s">
        <v>2628</v>
      </c>
      <c r="C3997" s="1">
        <v>2450</v>
      </c>
      <c r="D3997" s="1" t="s">
        <v>414</v>
      </c>
      <c r="E3997" s="1" t="s">
        <v>6</v>
      </c>
      <c r="F3997" s="1" t="s">
        <v>5091</v>
      </c>
      <c r="G3997" s="14" t="s">
        <v>6236</v>
      </c>
      <c r="H3997" s="1" t="s">
        <v>43</v>
      </c>
      <c r="I3997" s="17">
        <v>40909</v>
      </c>
    </row>
    <row r="3998" spans="1:9">
      <c r="A3998" s="16" t="s">
        <v>11922</v>
      </c>
      <c r="B3998" s="1" t="s">
        <v>2628</v>
      </c>
      <c r="C3998" s="1">
        <v>204</v>
      </c>
      <c r="D3998" s="1" t="s">
        <v>414</v>
      </c>
      <c r="E3998" s="1" t="s">
        <v>6</v>
      </c>
      <c r="F3998" s="1" t="s">
        <v>139</v>
      </c>
      <c r="G3998" s="14" t="s">
        <v>11923</v>
      </c>
      <c r="H3998" s="1" t="s">
        <v>5</v>
      </c>
      <c r="I3998" s="17">
        <v>37987</v>
      </c>
    </row>
    <row r="3999" spans="1:9">
      <c r="A3999" s="16" t="s">
        <v>11998</v>
      </c>
      <c r="B3999" s="1" t="s">
        <v>2628</v>
      </c>
      <c r="C3999" s="1">
        <v>204</v>
      </c>
      <c r="D3999" s="1" t="s">
        <v>414</v>
      </c>
      <c r="E3999" s="1" t="s">
        <v>6</v>
      </c>
      <c r="F3999" s="1" t="s">
        <v>5091</v>
      </c>
      <c r="G3999" s="14" t="s">
        <v>6145</v>
      </c>
      <c r="H3999" s="1" t="s">
        <v>43</v>
      </c>
      <c r="I3999" s="17">
        <v>42718</v>
      </c>
    </row>
    <row r="4000" spans="1:9">
      <c r="A4000" s="16" t="s">
        <v>12000</v>
      </c>
      <c r="B4000" s="1" t="s">
        <v>2628</v>
      </c>
      <c r="C4000" s="1">
        <v>204</v>
      </c>
      <c r="D4000" s="1" t="s">
        <v>414</v>
      </c>
      <c r="E4000" s="1" t="s">
        <v>6</v>
      </c>
      <c r="F4000" s="1" t="s">
        <v>5091</v>
      </c>
      <c r="G4000" s="14" t="s">
        <v>6145</v>
      </c>
      <c r="H4000" s="1" t="s">
        <v>43</v>
      </c>
      <c r="I4000" s="17">
        <v>42718</v>
      </c>
    </row>
    <row r="4001" spans="1:9">
      <c r="A4001" s="16" t="s">
        <v>12217</v>
      </c>
      <c r="B4001" s="1" t="s">
        <v>2628</v>
      </c>
      <c r="C4001" s="1">
        <v>204</v>
      </c>
      <c r="D4001" s="1" t="s">
        <v>414</v>
      </c>
      <c r="E4001" s="1" t="s">
        <v>6</v>
      </c>
      <c r="F4001" s="1" t="s">
        <v>5091</v>
      </c>
      <c r="G4001" s="14" t="s">
        <v>6145</v>
      </c>
      <c r="H4001" s="1" t="s">
        <v>43</v>
      </c>
      <c r="I4001" s="17">
        <v>41640</v>
      </c>
    </row>
    <row r="4002" spans="1:9">
      <c r="A4002" s="16" t="s">
        <v>12234</v>
      </c>
      <c r="B4002" s="1" t="s">
        <v>2628</v>
      </c>
      <c r="C4002" s="1">
        <v>204</v>
      </c>
      <c r="D4002" s="1" t="s">
        <v>414</v>
      </c>
      <c r="E4002" s="1" t="s">
        <v>6</v>
      </c>
      <c r="F4002" s="1" t="s">
        <v>5091</v>
      </c>
      <c r="G4002" s="14" t="s">
        <v>6236</v>
      </c>
      <c r="H4002" s="1" t="s">
        <v>43</v>
      </c>
      <c r="I4002" s="17">
        <v>42736</v>
      </c>
    </row>
    <row r="4003" spans="1:9">
      <c r="A4003" s="16" t="s">
        <v>12278</v>
      </c>
      <c r="B4003" s="1" t="s">
        <v>2628</v>
      </c>
      <c r="C4003" s="1">
        <v>204</v>
      </c>
      <c r="D4003" s="1" t="s">
        <v>414</v>
      </c>
      <c r="E4003" s="1" t="s">
        <v>6</v>
      </c>
      <c r="F4003" s="1" t="s">
        <v>5091</v>
      </c>
      <c r="G4003" s="14" t="s">
        <v>6145</v>
      </c>
      <c r="H4003" s="1" t="s">
        <v>43</v>
      </c>
      <c r="I4003" s="17">
        <v>41640</v>
      </c>
    </row>
    <row r="4004" spans="1:9">
      <c r="A4004" s="16" t="s">
        <v>12295</v>
      </c>
      <c r="B4004" s="1" t="s">
        <v>2628</v>
      </c>
      <c r="C4004" s="1">
        <v>204</v>
      </c>
      <c r="D4004" s="1" t="s">
        <v>414</v>
      </c>
      <c r="E4004" s="1" t="s">
        <v>6</v>
      </c>
      <c r="F4004" s="1" t="s">
        <v>5091</v>
      </c>
      <c r="G4004" s="14" t="s">
        <v>6145</v>
      </c>
      <c r="H4004" s="1" t="s">
        <v>43</v>
      </c>
      <c r="I4004" s="17">
        <v>41640</v>
      </c>
    </row>
    <row r="4005" spans="1:9">
      <c r="A4005" s="16" t="s">
        <v>12306</v>
      </c>
      <c r="B4005" s="1" t="s">
        <v>2628</v>
      </c>
      <c r="C4005" s="1">
        <v>204</v>
      </c>
      <c r="D4005" s="1" t="s">
        <v>414</v>
      </c>
      <c r="E4005" s="1" t="s">
        <v>6</v>
      </c>
      <c r="F4005" s="1" t="s">
        <v>5091</v>
      </c>
      <c r="G4005" s="14" t="s">
        <v>6145</v>
      </c>
      <c r="H4005" s="1" t="s">
        <v>43</v>
      </c>
      <c r="I4005" s="17">
        <v>41640</v>
      </c>
    </row>
    <row r="4006" spans="1:9">
      <c r="A4006" s="16" t="s">
        <v>12319</v>
      </c>
      <c r="B4006" s="1" t="s">
        <v>2628</v>
      </c>
      <c r="C4006" s="1">
        <v>204</v>
      </c>
      <c r="D4006" s="1" t="s">
        <v>414</v>
      </c>
      <c r="E4006" s="1" t="s">
        <v>6</v>
      </c>
      <c r="F4006" s="1" t="s">
        <v>5091</v>
      </c>
      <c r="G4006" s="14" t="s">
        <v>6145</v>
      </c>
      <c r="H4006" s="1" t="s">
        <v>43</v>
      </c>
      <c r="I4006" s="17">
        <v>41640</v>
      </c>
    </row>
    <row r="4007" spans="1:9">
      <c r="A4007" s="16" t="s">
        <v>12321</v>
      </c>
      <c r="B4007" s="1" t="s">
        <v>2628</v>
      </c>
      <c r="C4007" s="1">
        <v>204</v>
      </c>
      <c r="D4007" s="1" t="s">
        <v>414</v>
      </c>
      <c r="E4007" s="1" t="s">
        <v>6</v>
      </c>
      <c r="F4007" s="1" t="s">
        <v>5091</v>
      </c>
      <c r="G4007" s="14" t="s">
        <v>6145</v>
      </c>
      <c r="H4007" s="1" t="s">
        <v>43</v>
      </c>
      <c r="I4007" s="17">
        <v>41640</v>
      </c>
    </row>
    <row r="4008" spans="1:9">
      <c r="A4008" s="16" t="s">
        <v>12324</v>
      </c>
      <c r="B4008" s="1" t="s">
        <v>2628</v>
      </c>
      <c r="C4008" s="1">
        <v>204</v>
      </c>
      <c r="D4008" s="1" t="s">
        <v>414</v>
      </c>
      <c r="E4008" s="1" t="s">
        <v>6</v>
      </c>
      <c r="F4008" s="1" t="s">
        <v>5091</v>
      </c>
      <c r="G4008" s="14" t="s">
        <v>6145</v>
      </c>
      <c r="H4008" s="1" t="s">
        <v>43</v>
      </c>
      <c r="I4008" s="17">
        <v>41640</v>
      </c>
    </row>
    <row r="4009" spans="1:9">
      <c r="A4009" s="16" t="s">
        <v>12350</v>
      </c>
      <c r="B4009" s="1" t="s">
        <v>2628</v>
      </c>
      <c r="C4009" s="1">
        <v>204</v>
      </c>
      <c r="D4009" s="1" t="s">
        <v>414</v>
      </c>
      <c r="E4009" s="1" t="s">
        <v>6</v>
      </c>
      <c r="F4009" s="1" t="s">
        <v>5091</v>
      </c>
      <c r="G4009" s="14" t="s">
        <v>6145</v>
      </c>
      <c r="H4009" s="1" t="s">
        <v>43</v>
      </c>
      <c r="I4009" s="17">
        <v>41640</v>
      </c>
    </row>
    <row r="4010" spans="1:9">
      <c r="A4010" s="16" t="s">
        <v>12374</v>
      </c>
      <c r="B4010" s="1" t="s">
        <v>2628</v>
      </c>
      <c r="C4010" s="1">
        <v>204</v>
      </c>
      <c r="D4010" s="1" t="s">
        <v>414</v>
      </c>
      <c r="E4010" s="1" t="s">
        <v>6</v>
      </c>
      <c r="F4010" s="1" t="s">
        <v>5091</v>
      </c>
      <c r="G4010" s="14" t="s">
        <v>6145</v>
      </c>
      <c r="H4010" s="1" t="s">
        <v>43</v>
      </c>
      <c r="I4010" s="17">
        <v>41640</v>
      </c>
    </row>
    <row r="4011" spans="1:9">
      <c r="A4011" s="16" t="s">
        <v>12376</v>
      </c>
      <c r="B4011" s="1" t="s">
        <v>2628</v>
      </c>
      <c r="C4011" s="1">
        <v>204</v>
      </c>
      <c r="D4011" s="1" t="s">
        <v>414</v>
      </c>
      <c r="E4011" s="1" t="s">
        <v>6</v>
      </c>
      <c r="F4011" s="1" t="s">
        <v>5091</v>
      </c>
      <c r="G4011" s="14" t="s">
        <v>6145</v>
      </c>
      <c r="H4011" s="1" t="s">
        <v>43</v>
      </c>
      <c r="I4011" s="17">
        <v>41640</v>
      </c>
    </row>
    <row r="4012" spans="1:9">
      <c r="A4012" s="16" t="s">
        <v>12384</v>
      </c>
      <c r="B4012" s="1" t="s">
        <v>2628</v>
      </c>
      <c r="C4012" s="1">
        <v>204</v>
      </c>
      <c r="D4012" s="1" t="s">
        <v>414</v>
      </c>
      <c r="E4012" s="1" t="s">
        <v>6</v>
      </c>
      <c r="F4012" s="1" t="s">
        <v>5091</v>
      </c>
      <c r="G4012" s="14" t="s">
        <v>6145</v>
      </c>
      <c r="H4012" s="1" t="s">
        <v>43</v>
      </c>
      <c r="I4012" s="17">
        <v>41640</v>
      </c>
    </row>
    <row r="4013" spans="1:9">
      <c r="A4013" s="16" t="s">
        <v>12386</v>
      </c>
      <c r="B4013" s="1" t="s">
        <v>2628</v>
      </c>
      <c r="C4013" s="1">
        <v>204</v>
      </c>
      <c r="D4013" s="1" t="s">
        <v>414</v>
      </c>
      <c r="E4013" s="1" t="s">
        <v>6</v>
      </c>
      <c r="F4013" s="1" t="s">
        <v>5091</v>
      </c>
      <c r="G4013" s="14" t="s">
        <v>6145</v>
      </c>
      <c r="H4013" s="1" t="s">
        <v>43</v>
      </c>
      <c r="I4013" s="17">
        <v>41640</v>
      </c>
    </row>
    <row r="4014" spans="1:9">
      <c r="A4014" s="16" t="s">
        <v>12387</v>
      </c>
      <c r="B4014" s="1" t="s">
        <v>2628</v>
      </c>
      <c r="C4014" s="1">
        <v>204</v>
      </c>
      <c r="D4014" s="1" t="s">
        <v>414</v>
      </c>
      <c r="E4014" s="1" t="s">
        <v>6</v>
      </c>
      <c r="F4014" s="1" t="s">
        <v>5091</v>
      </c>
      <c r="G4014" s="14" t="s">
        <v>6145</v>
      </c>
      <c r="H4014" s="1" t="s">
        <v>43</v>
      </c>
      <c r="I4014" s="17">
        <v>41640</v>
      </c>
    </row>
    <row r="4015" spans="1:9">
      <c r="A4015" s="16" t="s">
        <v>12388</v>
      </c>
      <c r="B4015" s="1" t="s">
        <v>2628</v>
      </c>
      <c r="C4015" s="1">
        <v>204</v>
      </c>
      <c r="D4015" s="1" t="s">
        <v>414</v>
      </c>
      <c r="E4015" s="1" t="s">
        <v>6</v>
      </c>
      <c r="F4015" s="1" t="s">
        <v>5091</v>
      </c>
      <c r="G4015" s="14" t="s">
        <v>6145</v>
      </c>
      <c r="H4015" s="1" t="s">
        <v>43</v>
      </c>
      <c r="I4015" s="17">
        <v>41640</v>
      </c>
    </row>
    <row r="4016" spans="1:9">
      <c r="A4016" s="16" t="s">
        <v>12390</v>
      </c>
      <c r="B4016" s="1" t="s">
        <v>2628</v>
      </c>
      <c r="C4016" s="1">
        <v>204</v>
      </c>
      <c r="D4016" s="1" t="s">
        <v>414</v>
      </c>
      <c r="E4016" s="1" t="s">
        <v>6</v>
      </c>
      <c r="F4016" s="1" t="s">
        <v>5091</v>
      </c>
      <c r="G4016" s="14" t="s">
        <v>6145</v>
      </c>
      <c r="H4016" s="1" t="s">
        <v>43</v>
      </c>
      <c r="I4016" s="17">
        <v>41640</v>
      </c>
    </row>
    <row r="4017" spans="1:9">
      <c r="A4017" s="16" t="s">
        <v>12414</v>
      </c>
      <c r="B4017" s="1" t="s">
        <v>2628</v>
      </c>
      <c r="C4017" s="1">
        <v>204</v>
      </c>
      <c r="D4017" s="1" t="s">
        <v>414</v>
      </c>
      <c r="E4017" s="1" t="s">
        <v>6</v>
      </c>
      <c r="F4017" s="1" t="s">
        <v>5091</v>
      </c>
      <c r="G4017" s="14" t="s">
        <v>6145</v>
      </c>
      <c r="H4017" s="1" t="s">
        <v>43</v>
      </c>
      <c r="I4017" s="17">
        <v>42370</v>
      </c>
    </row>
    <row r="4018" spans="1:9">
      <c r="A4018" s="16" t="s">
        <v>12420</v>
      </c>
      <c r="B4018" s="1" t="s">
        <v>2628</v>
      </c>
      <c r="C4018" s="1">
        <v>204</v>
      </c>
      <c r="D4018" s="1" t="s">
        <v>414</v>
      </c>
      <c r="E4018" s="1" t="s">
        <v>6</v>
      </c>
      <c r="F4018" s="1" t="s">
        <v>5091</v>
      </c>
      <c r="G4018" s="14" t="s">
        <v>6145</v>
      </c>
      <c r="H4018" s="1" t="s">
        <v>43</v>
      </c>
      <c r="I4018" s="17">
        <v>42370</v>
      </c>
    </row>
    <row r="4019" spans="1:9">
      <c r="A4019" s="16" t="s">
        <v>12424</v>
      </c>
      <c r="B4019" s="1" t="s">
        <v>2628</v>
      </c>
      <c r="C4019" s="1">
        <v>204</v>
      </c>
      <c r="D4019" s="1" t="s">
        <v>414</v>
      </c>
      <c r="E4019" s="1" t="s">
        <v>6</v>
      </c>
      <c r="F4019" s="1" t="s">
        <v>5091</v>
      </c>
      <c r="G4019" s="14" t="s">
        <v>12423</v>
      </c>
      <c r="H4019" s="1" t="s">
        <v>5</v>
      </c>
      <c r="I4019" s="17">
        <v>41640</v>
      </c>
    </row>
    <row r="4020" spans="1:9">
      <c r="A4020" s="16" t="s">
        <v>12435</v>
      </c>
      <c r="B4020" s="1" t="s">
        <v>2628</v>
      </c>
      <c r="C4020" s="1">
        <v>204</v>
      </c>
      <c r="D4020" s="1" t="s">
        <v>414</v>
      </c>
      <c r="E4020" s="1" t="s">
        <v>6</v>
      </c>
      <c r="F4020" s="1" t="s">
        <v>5091</v>
      </c>
      <c r="G4020" s="14" t="s">
        <v>6450</v>
      </c>
      <c r="H4020" s="1" t="s">
        <v>43</v>
      </c>
      <c r="I4020" s="17">
        <v>42005</v>
      </c>
    </row>
    <row r="4021" spans="1:9">
      <c r="A4021" s="16" t="s">
        <v>12436</v>
      </c>
      <c r="B4021" s="1" t="s">
        <v>2628</v>
      </c>
      <c r="C4021" s="1">
        <v>204</v>
      </c>
      <c r="D4021" s="1" t="s">
        <v>414</v>
      </c>
      <c r="E4021" s="1" t="s">
        <v>6</v>
      </c>
      <c r="F4021" s="1" t="s">
        <v>5091</v>
      </c>
      <c r="G4021" s="14" t="s">
        <v>6450</v>
      </c>
      <c r="H4021" s="1" t="s">
        <v>43</v>
      </c>
      <c r="I4021" s="17">
        <v>42005</v>
      </c>
    </row>
    <row r="4022" spans="1:9">
      <c r="A4022" s="16" t="s">
        <v>12438</v>
      </c>
      <c r="B4022" s="1" t="s">
        <v>2628</v>
      </c>
      <c r="C4022" s="1">
        <v>204</v>
      </c>
      <c r="D4022" s="1" t="s">
        <v>414</v>
      </c>
      <c r="E4022" s="1" t="s">
        <v>6</v>
      </c>
      <c r="F4022" s="1" t="s">
        <v>5091</v>
      </c>
      <c r="G4022" s="14" t="s">
        <v>6145</v>
      </c>
      <c r="H4022" s="1" t="s">
        <v>43</v>
      </c>
      <c r="I4022" s="17">
        <v>41640</v>
      </c>
    </row>
    <row r="4023" spans="1:9">
      <c r="A4023" s="16" t="s">
        <v>12441</v>
      </c>
      <c r="B4023" s="1" t="s">
        <v>2628</v>
      </c>
      <c r="C4023" s="1">
        <v>204</v>
      </c>
      <c r="D4023" s="1" t="s">
        <v>414</v>
      </c>
      <c r="E4023" s="1" t="s">
        <v>6</v>
      </c>
      <c r="F4023" s="1" t="s">
        <v>5091</v>
      </c>
      <c r="G4023" s="14" t="s">
        <v>6145</v>
      </c>
      <c r="H4023" s="1" t="s">
        <v>43</v>
      </c>
      <c r="I4023" s="17">
        <v>41640</v>
      </c>
    </row>
    <row r="4024" spans="1:9" ht="31.2">
      <c r="A4024" s="16" t="s">
        <v>12558</v>
      </c>
      <c r="B4024" s="1" t="s">
        <v>2628</v>
      </c>
      <c r="C4024" s="1">
        <v>1129</v>
      </c>
      <c r="D4024" s="1" t="s">
        <v>414</v>
      </c>
      <c r="E4024" s="1" t="s">
        <v>6</v>
      </c>
      <c r="F4024" s="1" t="s">
        <v>5091</v>
      </c>
      <c r="G4024" s="14" t="s">
        <v>6145</v>
      </c>
      <c r="H4024" s="1" t="s">
        <v>43</v>
      </c>
      <c r="I4024" s="17">
        <v>42766</v>
      </c>
    </row>
    <row r="4025" spans="1:9" ht="31.2">
      <c r="A4025" s="16" t="s">
        <v>12560</v>
      </c>
      <c r="B4025" s="1" t="s">
        <v>2628</v>
      </c>
      <c r="C4025" s="1">
        <v>1129</v>
      </c>
      <c r="D4025" s="1" t="s">
        <v>414</v>
      </c>
      <c r="E4025" s="1" t="s">
        <v>6</v>
      </c>
      <c r="F4025" s="1" t="s">
        <v>5091</v>
      </c>
      <c r="G4025" s="14" t="s">
        <v>6145</v>
      </c>
      <c r="H4025" s="1" t="s">
        <v>43</v>
      </c>
      <c r="I4025" s="17">
        <v>42766</v>
      </c>
    </row>
    <row r="4026" spans="1:9">
      <c r="A4026" s="16" t="s">
        <v>12765</v>
      </c>
      <c r="B4026" s="1" t="s">
        <v>2628</v>
      </c>
      <c r="C4026" s="1">
        <v>204</v>
      </c>
      <c r="D4026" s="1" t="s">
        <v>414</v>
      </c>
      <c r="E4026" s="1" t="s">
        <v>6</v>
      </c>
      <c r="F4026" s="1" t="s">
        <v>5091</v>
      </c>
      <c r="G4026" s="14" t="s">
        <v>4458</v>
      </c>
      <c r="H4026" s="1" t="s">
        <v>118</v>
      </c>
      <c r="I4026" s="17">
        <v>42837</v>
      </c>
    </row>
    <row r="4027" spans="1:9">
      <c r="A4027" s="16" t="s">
        <v>12898</v>
      </c>
      <c r="B4027" s="1" t="s">
        <v>2628</v>
      </c>
      <c r="C4027" s="1">
        <v>204</v>
      </c>
      <c r="D4027" s="1" t="s">
        <v>414</v>
      </c>
      <c r="E4027" s="1" t="s">
        <v>6</v>
      </c>
      <c r="F4027" s="1" t="s">
        <v>5091</v>
      </c>
      <c r="G4027" s="14" t="s">
        <v>6145</v>
      </c>
      <c r="H4027" s="1" t="s">
        <v>43</v>
      </c>
      <c r="I4027" s="17">
        <v>42370</v>
      </c>
    </row>
    <row r="4028" spans="1:9">
      <c r="A4028" s="16" t="s">
        <v>12899</v>
      </c>
      <c r="B4028" s="1" t="s">
        <v>2628</v>
      </c>
      <c r="C4028" s="1">
        <v>204</v>
      </c>
      <c r="D4028" s="1" t="s">
        <v>414</v>
      </c>
      <c r="E4028" s="1" t="s">
        <v>6</v>
      </c>
      <c r="F4028" s="1" t="s">
        <v>5091</v>
      </c>
      <c r="G4028" s="14" t="s">
        <v>6450</v>
      </c>
      <c r="H4028" s="1" t="s">
        <v>43</v>
      </c>
      <c r="I4028" s="17">
        <v>42370</v>
      </c>
    </row>
    <row r="4029" spans="1:9">
      <c r="A4029" s="16" t="s">
        <v>12900</v>
      </c>
      <c r="B4029" s="1" t="s">
        <v>2628</v>
      </c>
      <c r="C4029" s="1">
        <v>204</v>
      </c>
      <c r="D4029" s="1" t="s">
        <v>414</v>
      </c>
      <c r="E4029" s="1" t="s">
        <v>6</v>
      </c>
      <c r="F4029" s="1" t="s">
        <v>5091</v>
      </c>
      <c r="G4029" s="14" t="s">
        <v>6145</v>
      </c>
      <c r="H4029" s="1" t="s">
        <v>43</v>
      </c>
      <c r="I4029" s="17">
        <v>42370</v>
      </c>
    </row>
    <row r="4030" spans="1:9">
      <c r="A4030" s="16" t="s">
        <v>13037</v>
      </c>
      <c r="B4030" s="1" t="s">
        <v>2628</v>
      </c>
      <c r="C4030" s="1">
        <v>204</v>
      </c>
      <c r="D4030" s="1" t="s">
        <v>414</v>
      </c>
      <c r="E4030" s="1" t="s">
        <v>6</v>
      </c>
      <c r="F4030" s="1" t="s">
        <v>5091</v>
      </c>
      <c r="G4030" s="14" t="s">
        <v>6145</v>
      </c>
      <c r="H4030" s="1" t="s">
        <v>43</v>
      </c>
      <c r="I4030" s="17">
        <v>42370</v>
      </c>
    </row>
    <row r="4031" spans="1:9">
      <c r="A4031" s="16" t="s">
        <v>13039</v>
      </c>
      <c r="B4031" s="1" t="s">
        <v>2628</v>
      </c>
      <c r="C4031" s="1">
        <v>204</v>
      </c>
      <c r="D4031" s="1" t="s">
        <v>414</v>
      </c>
      <c r="E4031" s="1" t="s">
        <v>6</v>
      </c>
      <c r="F4031" s="1" t="s">
        <v>5091</v>
      </c>
      <c r="G4031" s="14" t="s">
        <v>6450</v>
      </c>
      <c r="H4031" s="1" t="s">
        <v>43</v>
      </c>
      <c r="I4031" s="17">
        <v>42370</v>
      </c>
    </row>
    <row r="4032" spans="1:9">
      <c r="A4032" s="16" t="s">
        <v>13053</v>
      </c>
      <c r="B4032" s="1" t="s">
        <v>2628</v>
      </c>
      <c r="C4032" s="1">
        <v>204</v>
      </c>
      <c r="D4032" s="1" t="s">
        <v>414</v>
      </c>
      <c r="E4032" s="1" t="s">
        <v>6</v>
      </c>
      <c r="F4032" s="1" t="s">
        <v>5091</v>
      </c>
      <c r="G4032" s="14" t="s">
        <v>6450</v>
      </c>
      <c r="H4032" s="1" t="s">
        <v>43</v>
      </c>
      <c r="I4032" s="17">
        <v>42370</v>
      </c>
    </row>
    <row r="4033" spans="1:9">
      <c r="A4033" s="16" t="s">
        <v>13121</v>
      </c>
      <c r="B4033" s="1" t="s">
        <v>2628</v>
      </c>
      <c r="C4033" s="1">
        <v>204</v>
      </c>
      <c r="D4033" s="1" t="s">
        <v>414</v>
      </c>
      <c r="E4033" s="1" t="s">
        <v>6</v>
      </c>
      <c r="F4033" s="1" t="s">
        <v>5091</v>
      </c>
      <c r="G4033" s="14" t="s">
        <v>6145</v>
      </c>
      <c r="H4033" s="1" t="s">
        <v>43</v>
      </c>
      <c r="I4033" s="17">
        <v>42843</v>
      </c>
    </row>
    <row r="4034" spans="1:9">
      <c r="A4034" s="16" t="s">
        <v>13146</v>
      </c>
      <c r="B4034" s="1" t="s">
        <v>2628</v>
      </c>
      <c r="C4034" s="1">
        <v>204</v>
      </c>
      <c r="D4034" s="1" t="s">
        <v>414</v>
      </c>
      <c r="E4034" s="1" t="s">
        <v>6</v>
      </c>
      <c r="F4034" s="1" t="s">
        <v>36</v>
      </c>
      <c r="G4034" s="14" t="s">
        <v>13147</v>
      </c>
      <c r="H4034" s="1" t="s">
        <v>118</v>
      </c>
      <c r="I4034" s="17">
        <v>40909</v>
      </c>
    </row>
    <row r="4035" spans="1:9">
      <c r="A4035" s="16" t="s">
        <v>13168</v>
      </c>
      <c r="B4035" s="1" t="s">
        <v>2628</v>
      </c>
      <c r="C4035" s="1">
        <v>204</v>
      </c>
      <c r="D4035" s="1" t="s">
        <v>414</v>
      </c>
      <c r="E4035" s="1" t="s">
        <v>6</v>
      </c>
      <c r="F4035" s="1" t="s">
        <v>876</v>
      </c>
      <c r="G4035" s="14" t="s">
        <v>8102</v>
      </c>
      <c r="H4035" s="1" t="s">
        <v>43</v>
      </c>
      <c r="I4035" s="17">
        <v>40544</v>
      </c>
    </row>
    <row r="4036" spans="1:9">
      <c r="A4036" s="16" t="s">
        <v>13266</v>
      </c>
      <c r="B4036" s="1" t="s">
        <v>2628</v>
      </c>
      <c r="C4036" s="1">
        <v>204</v>
      </c>
      <c r="D4036" s="1" t="s">
        <v>414</v>
      </c>
      <c r="E4036" s="1" t="s">
        <v>6</v>
      </c>
      <c r="F4036" s="1" t="s">
        <v>5091</v>
      </c>
      <c r="G4036" s="14" t="s">
        <v>6238</v>
      </c>
      <c r="H4036" s="1" t="s">
        <v>43</v>
      </c>
      <c r="I4036" s="17">
        <v>42736</v>
      </c>
    </row>
    <row r="4037" spans="1:9">
      <c r="A4037" s="16" t="s">
        <v>13274</v>
      </c>
      <c r="B4037" s="1" t="s">
        <v>2628</v>
      </c>
      <c r="C4037" s="1">
        <v>204</v>
      </c>
      <c r="D4037" s="1" t="s">
        <v>414</v>
      </c>
      <c r="E4037" s="1" t="s">
        <v>6</v>
      </c>
      <c r="F4037" s="1" t="s">
        <v>2776</v>
      </c>
      <c r="G4037" s="14" t="s">
        <v>13275</v>
      </c>
      <c r="H4037" s="1" t="s">
        <v>5</v>
      </c>
      <c r="I4037" s="17">
        <v>42921</v>
      </c>
    </row>
    <row r="4038" spans="1:9">
      <c r="A4038" s="16" t="s">
        <v>13277</v>
      </c>
      <c r="B4038" s="1" t="s">
        <v>2628</v>
      </c>
      <c r="C4038" s="1">
        <v>204</v>
      </c>
      <c r="D4038" s="1" t="s">
        <v>414</v>
      </c>
      <c r="E4038" s="1" t="s">
        <v>6</v>
      </c>
      <c r="F4038" s="1" t="s">
        <v>2776</v>
      </c>
      <c r="G4038" s="14" t="s">
        <v>13275</v>
      </c>
      <c r="H4038" s="1" t="s">
        <v>5</v>
      </c>
      <c r="I4038" s="17">
        <v>42921</v>
      </c>
    </row>
    <row r="4039" spans="1:9">
      <c r="A4039" s="16" t="s">
        <v>13288</v>
      </c>
      <c r="B4039" s="1" t="s">
        <v>2628</v>
      </c>
      <c r="C4039" s="1">
        <v>204</v>
      </c>
      <c r="D4039" s="1" t="s">
        <v>414</v>
      </c>
      <c r="E4039" s="1" t="s">
        <v>6</v>
      </c>
      <c r="F4039" s="1" t="s">
        <v>2776</v>
      </c>
      <c r="G4039" s="14" t="s">
        <v>13275</v>
      </c>
      <c r="H4039" s="1" t="s">
        <v>5</v>
      </c>
      <c r="I4039" s="17">
        <v>42921</v>
      </c>
    </row>
    <row r="4040" spans="1:9">
      <c r="A4040" s="16" t="s">
        <v>13592</v>
      </c>
      <c r="B4040" s="1" t="s">
        <v>2628</v>
      </c>
      <c r="C4040" s="1">
        <v>204</v>
      </c>
      <c r="D4040" s="1" t="s">
        <v>414</v>
      </c>
      <c r="E4040" s="1" t="s">
        <v>6</v>
      </c>
      <c r="F4040" s="1" t="s">
        <v>5091</v>
      </c>
      <c r="G4040" s="14" t="s">
        <v>6145</v>
      </c>
      <c r="H4040" s="1" t="s">
        <v>43</v>
      </c>
      <c r="I4040" s="17">
        <v>43033</v>
      </c>
    </row>
    <row r="4041" spans="1:9">
      <c r="A4041" s="16" t="s">
        <v>13593</v>
      </c>
      <c r="B4041" s="1" t="s">
        <v>2628</v>
      </c>
      <c r="C4041" s="1">
        <v>204</v>
      </c>
      <c r="D4041" s="1" t="s">
        <v>414</v>
      </c>
      <c r="E4041" s="1" t="s">
        <v>6</v>
      </c>
      <c r="F4041" s="1" t="s">
        <v>5091</v>
      </c>
      <c r="G4041" s="14" t="s">
        <v>6145</v>
      </c>
      <c r="H4041" s="1" t="s">
        <v>43</v>
      </c>
      <c r="I4041" s="17">
        <v>43033</v>
      </c>
    </row>
    <row r="4042" spans="1:9">
      <c r="A4042" s="16" t="s">
        <v>13645</v>
      </c>
      <c r="B4042" s="1" t="s">
        <v>2628</v>
      </c>
      <c r="C4042" s="1">
        <v>204</v>
      </c>
      <c r="D4042" s="1" t="s">
        <v>414</v>
      </c>
      <c r="E4042" s="1" t="s">
        <v>6</v>
      </c>
      <c r="F4042" s="1" t="s">
        <v>5091</v>
      </c>
      <c r="G4042" s="14" t="s">
        <v>6145</v>
      </c>
      <c r="H4042" s="1" t="s">
        <v>43</v>
      </c>
      <c r="I4042" s="17">
        <v>43033</v>
      </c>
    </row>
    <row r="4043" spans="1:9">
      <c r="A4043" s="16" t="s">
        <v>13646</v>
      </c>
      <c r="B4043" s="1" t="s">
        <v>2628</v>
      </c>
      <c r="C4043" s="1">
        <v>204</v>
      </c>
      <c r="D4043" s="1" t="s">
        <v>414</v>
      </c>
      <c r="E4043" s="1" t="s">
        <v>6</v>
      </c>
      <c r="F4043" s="1" t="s">
        <v>5091</v>
      </c>
      <c r="G4043" s="14" t="s">
        <v>6145</v>
      </c>
      <c r="H4043" s="1" t="s">
        <v>43</v>
      </c>
      <c r="I4043" s="17">
        <v>43033</v>
      </c>
    </row>
    <row r="4044" spans="1:9">
      <c r="A4044" s="16" t="s">
        <v>13647</v>
      </c>
      <c r="B4044" s="1" t="s">
        <v>2628</v>
      </c>
      <c r="C4044" s="1">
        <v>204</v>
      </c>
      <c r="D4044" s="1" t="s">
        <v>414</v>
      </c>
      <c r="E4044" s="1" t="s">
        <v>6</v>
      </c>
      <c r="F4044" s="1" t="s">
        <v>5091</v>
      </c>
      <c r="G4044" s="14" t="s">
        <v>6145</v>
      </c>
      <c r="H4044" s="1" t="s">
        <v>43</v>
      </c>
      <c r="I4044" s="17">
        <v>43033</v>
      </c>
    </row>
    <row r="4045" spans="1:9">
      <c r="A4045" s="16" t="s">
        <v>13712</v>
      </c>
      <c r="B4045" s="1" t="s">
        <v>2628</v>
      </c>
      <c r="C4045" s="1">
        <v>204</v>
      </c>
      <c r="D4045" s="1" t="s">
        <v>414</v>
      </c>
      <c r="E4045" s="1" t="s">
        <v>6</v>
      </c>
      <c r="F4045" s="1" t="s">
        <v>5091</v>
      </c>
      <c r="G4045" s="14" t="s">
        <v>4458</v>
      </c>
      <c r="H4045" s="1" t="s">
        <v>118</v>
      </c>
      <c r="I4045" s="1" t="s">
        <v>4458</v>
      </c>
    </row>
    <row r="4046" spans="1:9">
      <c r="A4046" s="16" t="s">
        <v>14003</v>
      </c>
      <c r="B4046" s="1" t="s">
        <v>2628</v>
      </c>
      <c r="C4046" s="1">
        <v>204</v>
      </c>
      <c r="D4046" s="1" t="s">
        <v>414</v>
      </c>
      <c r="E4046" s="1" t="s">
        <v>6</v>
      </c>
      <c r="F4046" s="1" t="s">
        <v>5091</v>
      </c>
      <c r="G4046" s="14" t="s">
        <v>6145</v>
      </c>
      <c r="H4046" s="1" t="s">
        <v>43</v>
      </c>
      <c r="I4046" s="17">
        <v>43124</v>
      </c>
    </row>
    <row r="4047" spans="1:9">
      <c r="A4047" s="16" t="s">
        <v>14124</v>
      </c>
      <c r="B4047" s="1" t="s">
        <v>2628</v>
      </c>
      <c r="C4047" s="1">
        <v>204</v>
      </c>
      <c r="D4047" s="1" t="s">
        <v>414</v>
      </c>
      <c r="E4047" s="1" t="s">
        <v>6</v>
      </c>
      <c r="F4047" s="1" t="s">
        <v>5091</v>
      </c>
      <c r="G4047" s="14" t="s">
        <v>9002</v>
      </c>
      <c r="H4047" s="1" t="s">
        <v>5</v>
      </c>
      <c r="I4047" s="17">
        <v>41640</v>
      </c>
    </row>
    <row r="4048" spans="1:9">
      <c r="A4048" s="16" t="s">
        <v>14125</v>
      </c>
      <c r="B4048" s="1" t="s">
        <v>2628</v>
      </c>
      <c r="C4048" s="1">
        <v>204</v>
      </c>
      <c r="D4048" s="1" t="s">
        <v>414</v>
      </c>
      <c r="E4048" s="1" t="s">
        <v>6</v>
      </c>
      <c r="F4048" s="1" t="s">
        <v>5091</v>
      </c>
      <c r="G4048" s="14" t="s">
        <v>9002</v>
      </c>
      <c r="H4048" s="1" t="s">
        <v>5</v>
      </c>
      <c r="I4048" s="17">
        <v>41640</v>
      </c>
    </row>
    <row r="4049" spans="1:9">
      <c r="A4049" s="7" t="s">
        <v>14462</v>
      </c>
      <c r="B4049" s="2" t="s">
        <v>2628</v>
      </c>
      <c r="C4049" s="1">
        <v>204</v>
      </c>
      <c r="D4049" s="1" t="s">
        <v>414</v>
      </c>
      <c r="E4049" s="1" t="s">
        <v>6</v>
      </c>
      <c r="F4049" s="2" t="s">
        <v>118</v>
      </c>
      <c r="G4049" s="14" t="s">
        <v>14463</v>
      </c>
      <c r="H4049" s="1" t="s">
        <v>5</v>
      </c>
      <c r="I4049" s="1" t="s">
        <v>4789</v>
      </c>
    </row>
    <row r="4050" spans="1:9">
      <c r="A4050" s="7" t="s">
        <v>14466</v>
      </c>
      <c r="B4050" s="2" t="s">
        <v>2628</v>
      </c>
      <c r="C4050" s="1">
        <v>204</v>
      </c>
      <c r="D4050" s="1" t="s">
        <v>414</v>
      </c>
      <c r="E4050" s="1" t="s">
        <v>6</v>
      </c>
      <c r="F4050" s="2" t="s">
        <v>118</v>
      </c>
      <c r="G4050" s="14" t="s">
        <v>14463</v>
      </c>
      <c r="H4050" s="1" t="s">
        <v>5</v>
      </c>
      <c r="I4050" s="1" t="s">
        <v>4789</v>
      </c>
    </row>
    <row r="4051" spans="1:9">
      <c r="A4051" s="7" t="s">
        <v>14468</v>
      </c>
      <c r="B4051" s="2" t="s">
        <v>2628</v>
      </c>
      <c r="C4051" s="1">
        <v>204</v>
      </c>
      <c r="D4051" s="1" t="s">
        <v>414</v>
      </c>
      <c r="E4051" s="1" t="s">
        <v>6</v>
      </c>
      <c r="F4051" s="2" t="s">
        <v>118</v>
      </c>
      <c r="G4051" s="14" t="s">
        <v>14463</v>
      </c>
      <c r="H4051" s="1" t="s">
        <v>5</v>
      </c>
      <c r="I4051" s="1" t="s">
        <v>4789</v>
      </c>
    </row>
    <row r="4052" spans="1:9">
      <c r="A4052" s="7" t="s">
        <v>14477</v>
      </c>
      <c r="B4052" s="2" t="s">
        <v>2628</v>
      </c>
      <c r="C4052" s="1">
        <v>204</v>
      </c>
      <c r="D4052" s="1" t="s">
        <v>414</v>
      </c>
      <c r="E4052" s="1" t="s">
        <v>6</v>
      </c>
      <c r="F4052" s="2" t="s">
        <v>118</v>
      </c>
      <c r="G4052" s="14" t="s">
        <v>14463</v>
      </c>
      <c r="H4052" s="1" t="s">
        <v>5</v>
      </c>
      <c r="I4052" s="1" t="s">
        <v>5659</v>
      </c>
    </row>
    <row r="4053" spans="1:9">
      <c r="A4053" s="7" t="s">
        <v>14511</v>
      </c>
      <c r="B4053" s="2" t="s">
        <v>2628</v>
      </c>
      <c r="C4053" s="1">
        <v>204</v>
      </c>
      <c r="D4053" s="1" t="s">
        <v>414</v>
      </c>
      <c r="E4053" s="1" t="s">
        <v>6</v>
      </c>
      <c r="F4053" s="2" t="s">
        <v>118</v>
      </c>
      <c r="G4053" s="14" t="s">
        <v>14463</v>
      </c>
      <c r="H4053" s="1" t="s">
        <v>5</v>
      </c>
      <c r="I4053" s="1" t="s">
        <v>5659</v>
      </c>
    </row>
    <row r="4054" spans="1:9">
      <c r="A4054" s="7" t="s">
        <v>14513</v>
      </c>
      <c r="B4054" s="2" t="s">
        <v>2628</v>
      </c>
      <c r="C4054" s="1">
        <v>204</v>
      </c>
      <c r="D4054" s="1" t="s">
        <v>414</v>
      </c>
      <c r="E4054" s="1" t="s">
        <v>6</v>
      </c>
      <c r="F4054" s="2" t="s">
        <v>118</v>
      </c>
      <c r="G4054" s="14" t="s">
        <v>14463</v>
      </c>
      <c r="H4054" s="1" t="s">
        <v>5</v>
      </c>
      <c r="I4054" s="1" t="s">
        <v>4789</v>
      </c>
    </row>
    <row r="4055" spans="1:9">
      <c r="A4055" s="7" t="s">
        <v>14515</v>
      </c>
      <c r="B4055" s="2" t="s">
        <v>2628</v>
      </c>
      <c r="C4055" s="1">
        <v>204</v>
      </c>
      <c r="D4055" s="1" t="s">
        <v>414</v>
      </c>
      <c r="E4055" s="1" t="s">
        <v>6</v>
      </c>
      <c r="F4055" s="2" t="s">
        <v>118</v>
      </c>
      <c r="G4055" s="14" t="s">
        <v>14465</v>
      </c>
      <c r="H4055" s="1" t="s">
        <v>43</v>
      </c>
      <c r="I4055" s="1" t="s">
        <v>4789</v>
      </c>
    </row>
    <row r="4056" spans="1:9">
      <c r="A4056" s="7" t="s">
        <v>14517</v>
      </c>
      <c r="B4056" s="2" t="s">
        <v>2628</v>
      </c>
      <c r="C4056" s="1">
        <v>204</v>
      </c>
      <c r="D4056" s="1" t="s">
        <v>414</v>
      </c>
      <c r="E4056" s="1" t="s">
        <v>6</v>
      </c>
      <c r="F4056" s="2" t="s">
        <v>118</v>
      </c>
      <c r="G4056" s="14" t="s">
        <v>14463</v>
      </c>
      <c r="H4056" s="1" t="s">
        <v>5</v>
      </c>
      <c r="I4056" s="1" t="s">
        <v>5659</v>
      </c>
    </row>
    <row r="4057" spans="1:9">
      <c r="A4057" s="7" t="s">
        <v>14520</v>
      </c>
      <c r="B4057" s="2" t="s">
        <v>2628</v>
      </c>
      <c r="C4057" s="1">
        <v>204</v>
      </c>
      <c r="D4057" s="1" t="s">
        <v>414</v>
      </c>
      <c r="E4057" s="1" t="s">
        <v>6</v>
      </c>
      <c r="F4057" s="2" t="s">
        <v>118</v>
      </c>
      <c r="G4057" s="14" t="s">
        <v>14465</v>
      </c>
      <c r="H4057" s="1" t="s">
        <v>43</v>
      </c>
      <c r="I4057" s="1" t="s">
        <v>5798</v>
      </c>
    </row>
    <row r="4058" spans="1:9">
      <c r="A4058" s="7" t="s">
        <v>14523</v>
      </c>
      <c r="B4058" s="2" t="s">
        <v>2628</v>
      </c>
      <c r="C4058" s="1">
        <v>204</v>
      </c>
      <c r="D4058" s="1" t="s">
        <v>414</v>
      </c>
      <c r="E4058" s="1" t="s">
        <v>6</v>
      </c>
      <c r="F4058" s="2" t="s">
        <v>118</v>
      </c>
      <c r="G4058" s="14" t="s">
        <v>14463</v>
      </c>
      <c r="H4058" s="1" t="s">
        <v>5</v>
      </c>
      <c r="I4058" s="1" t="s">
        <v>4789</v>
      </c>
    </row>
    <row r="4059" spans="1:9">
      <c r="A4059" s="7" t="s">
        <v>14524</v>
      </c>
      <c r="B4059" s="2" t="s">
        <v>2628</v>
      </c>
      <c r="C4059" s="1">
        <v>204</v>
      </c>
      <c r="D4059" s="1" t="s">
        <v>414</v>
      </c>
      <c r="E4059" s="1" t="s">
        <v>6</v>
      </c>
      <c r="F4059" s="2" t="s">
        <v>118</v>
      </c>
      <c r="G4059" s="14" t="s">
        <v>14463</v>
      </c>
      <c r="H4059" s="1" t="s">
        <v>5</v>
      </c>
      <c r="I4059" s="1" t="s">
        <v>4789</v>
      </c>
    </row>
    <row r="4060" spans="1:9">
      <c r="A4060" s="7" t="s">
        <v>14525</v>
      </c>
      <c r="B4060" s="2" t="s">
        <v>2628</v>
      </c>
      <c r="C4060" s="1">
        <v>204</v>
      </c>
      <c r="D4060" s="1" t="s">
        <v>414</v>
      </c>
      <c r="E4060" s="1" t="s">
        <v>6</v>
      </c>
      <c r="F4060" s="2" t="s">
        <v>118</v>
      </c>
      <c r="G4060" s="14" t="s">
        <v>14463</v>
      </c>
      <c r="H4060" s="1" t="s">
        <v>5</v>
      </c>
      <c r="I4060" s="1" t="s">
        <v>4789</v>
      </c>
    </row>
    <row r="4061" spans="1:9">
      <c r="A4061" s="7" t="s">
        <v>14526</v>
      </c>
      <c r="B4061" s="2" t="s">
        <v>2628</v>
      </c>
      <c r="C4061" s="1">
        <v>204</v>
      </c>
      <c r="D4061" s="1" t="s">
        <v>414</v>
      </c>
      <c r="E4061" s="1" t="s">
        <v>6</v>
      </c>
      <c r="F4061" s="2" t="s">
        <v>118</v>
      </c>
      <c r="G4061" s="14" t="s">
        <v>14463</v>
      </c>
      <c r="H4061" s="1" t="s">
        <v>5</v>
      </c>
      <c r="I4061" s="1" t="s">
        <v>4789</v>
      </c>
    </row>
    <row r="4062" spans="1:9">
      <c r="A4062" s="7" t="s">
        <v>14527</v>
      </c>
      <c r="B4062" s="2" t="s">
        <v>2628</v>
      </c>
      <c r="C4062" s="1">
        <v>204</v>
      </c>
      <c r="D4062" s="1" t="s">
        <v>414</v>
      </c>
      <c r="E4062" s="1" t="s">
        <v>6</v>
      </c>
      <c r="F4062" s="2" t="s">
        <v>118</v>
      </c>
      <c r="G4062" s="14" t="s">
        <v>14463</v>
      </c>
      <c r="H4062" s="1" t="s">
        <v>5</v>
      </c>
      <c r="I4062" s="1" t="s">
        <v>4789</v>
      </c>
    </row>
    <row r="4063" spans="1:9">
      <c r="A4063" s="7" t="s">
        <v>14528</v>
      </c>
      <c r="B4063" s="2" t="s">
        <v>2628</v>
      </c>
      <c r="C4063" s="1">
        <v>204</v>
      </c>
      <c r="D4063" s="1" t="s">
        <v>414</v>
      </c>
      <c r="E4063" s="1" t="s">
        <v>6</v>
      </c>
      <c r="F4063" s="2" t="s">
        <v>118</v>
      </c>
      <c r="G4063" s="14" t="s">
        <v>14463</v>
      </c>
      <c r="H4063" s="1" t="s">
        <v>5</v>
      </c>
      <c r="I4063" s="1" t="s">
        <v>4789</v>
      </c>
    </row>
    <row r="4064" spans="1:9">
      <c r="A4064" s="7" t="s">
        <v>14530</v>
      </c>
      <c r="B4064" s="2" t="s">
        <v>2628</v>
      </c>
      <c r="C4064" s="1">
        <v>204</v>
      </c>
      <c r="D4064" s="1" t="s">
        <v>414</v>
      </c>
      <c r="E4064" s="1" t="s">
        <v>6</v>
      </c>
      <c r="F4064" s="2" t="s">
        <v>118</v>
      </c>
      <c r="G4064" s="14" t="s">
        <v>14465</v>
      </c>
      <c r="H4064" s="1" t="s">
        <v>43</v>
      </c>
      <c r="I4064" s="1" t="s">
        <v>4789</v>
      </c>
    </row>
    <row r="4065" spans="1:9">
      <c r="A4065" s="7" t="s">
        <v>14535</v>
      </c>
      <c r="B4065" s="2" t="s">
        <v>2628</v>
      </c>
      <c r="C4065" s="1">
        <v>204</v>
      </c>
      <c r="D4065" s="1" t="s">
        <v>414</v>
      </c>
      <c r="E4065" s="1" t="s">
        <v>6</v>
      </c>
      <c r="F4065" s="2" t="s">
        <v>118</v>
      </c>
      <c r="G4065" s="14" t="s">
        <v>14463</v>
      </c>
      <c r="H4065" s="1" t="s">
        <v>5</v>
      </c>
      <c r="I4065" s="1" t="s">
        <v>4789</v>
      </c>
    </row>
    <row r="4066" spans="1:9">
      <c r="A4066" s="16" t="s">
        <v>14545</v>
      </c>
      <c r="B4066" s="1" t="s">
        <v>2628</v>
      </c>
      <c r="C4066" s="1">
        <v>204</v>
      </c>
      <c r="D4066" s="1" t="s">
        <v>414</v>
      </c>
      <c r="E4066" s="1" t="s">
        <v>6</v>
      </c>
      <c r="F4066" s="1" t="s">
        <v>5091</v>
      </c>
      <c r="G4066" s="14" t="s">
        <v>6145</v>
      </c>
      <c r="H4066" s="1" t="s">
        <v>43</v>
      </c>
      <c r="I4066" s="17">
        <v>43249</v>
      </c>
    </row>
    <row r="4067" spans="1:9">
      <c r="A4067" s="16" t="s">
        <v>14806</v>
      </c>
      <c r="B4067" s="1" t="s">
        <v>2628</v>
      </c>
      <c r="C4067" s="1">
        <v>204</v>
      </c>
      <c r="D4067" s="1" t="s">
        <v>414</v>
      </c>
      <c r="E4067" s="1" t="s">
        <v>6</v>
      </c>
      <c r="F4067" s="1" t="s">
        <v>5241</v>
      </c>
      <c r="G4067" s="14" t="s">
        <v>4803</v>
      </c>
      <c r="H4067" s="1" t="s">
        <v>5</v>
      </c>
      <c r="I4067" s="17">
        <v>42705</v>
      </c>
    </row>
    <row r="4068" spans="1:9">
      <c r="A4068" s="16" t="s">
        <v>14866</v>
      </c>
      <c r="B4068" s="1" t="s">
        <v>2628</v>
      </c>
      <c r="C4068" s="1">
        <v>204</v>
      </c>
      <c r="D4068" s="1" t="s">
        <v>414</v>
      </c>
      <c r="E4068" s="1" t="s">
        <v>6</v>
      </c>
      <c r="F4068" s="1" t="s">
        <v>5241</v>
      </c>
      <c r="G4068" s="14" t="s">
        <v>4803</v>
      </c>
      <c r="H4068" s="1" t="s">
        <v>5</v>
      </c>
      <c r="I4068" s="17">
        <v>42095</v>
      </c>
    </row>
    <row r="4069" spans="1:9">
      <c r="A4069" s="16" t="s">
        <v>14877</v>
      </c>
      <c r="B4069" s="1" t="s">
        <v>2628</v>
      </c>
      <c r="C4069" s="1">
        <v>204</v>
      </c>
      <c r="D4069" s="1" t="s">
        <v>414</v>
      </c>
      <c r="E4069" s="1" t="s">
        <v>6</v>
      </c>
      <c r="F4069" s="1" t="s">
        <v>5241</v>
      </c>
      <c r="G4069" s="14" t="s">
        <v>4803</v>
      </c>
      <c r="H4069" s="1" t="s">
        <v>5</v>
      </c>
      <c r="I4069" s="17">
        <v>41913</v>
      </c>
    </row>
    <row r="4070" spans="1:9">
      <c r="A4070" s="16" t="s">
        <v>14890</v>
      </c>
      <c r="B4070" s="1" t="s">
        <v>2628</v>
      </c>
      <c r="C4070" s="1">
        <v>204</v>
      </c>
      <c r="D4070" s="1" t="s">
        <v>414</v>
      </c>
      <c r="E4070" s="1" t="s">
        <v>6</v>
      </c>
      <c r="F4070" s="1" t="s">
        <v>5241</v>
      </c>
      <c r="G4070" s="14" t="s">
        <v>4803</v>
      </c>
      <c r="H4070" s="1" t="s">
        <v>5</v>
      </c>
      <c r="I4070" s="17">
        <v>42705</v>
      </c>
    </row>
    <row r="4071" spans="1:9">
      <c r="A4071" s="16" t="s">
        <v>14937</v>
      </c>
      <c r="B4071" s="1" t="s">
        <v>2628</v>
      </c>
      <c r="C4071" s="1">
        <v>204</v>
      </c>
      <c r="D4071" s="1" t="s">
        <v>414</v>
      </c>
      <c r="E4071" s="1" t="s">
        <v>6</v>
      </c>
      <c r="F4071" s="1" t="s">
        <v>5241</v>
      </c>
      <c r="G4071" s="14" t="s">
        <v>4803</v>
      </c>
      <c r="H4071" s="1" t="s">
        <v>5</v>
      </c>
      <c r="I4071" s="17">
        <v>43252</v>
      </c>
    </row>
    <row r="4072" spans="1:9">
      <c r="A4072" s="16" t="s">
        <v>14941</v>
      </c>
      <c r="B4072" s="1" t="s">
        <v>2628</v>
      </c>
      <c r="C4072" s="1">
        <v>204</v>
      </c>
      <c r="D4072" s="1" t="s">
        <v>414</v>
      </c>
      <c r="E4072" s="1" t="s">
        <v>6</v>
      </c>
      <c r="F4072" s="1" t="s">
        <v>5241</v>
      </c>
      <c r="G4072" s="14" t="s">
        <v>4803</v>
      </c>
      <c r="H4072" s="1" t="s">
        <v>5</v>
      </c>
      <c r="I4072" s="17">
        <v>41487</v>
      </c>
    </row>
    <row r="4073" spans="1:9">
      <c r="A4073" s="16" t="s">
        <v>14944</v>
      </c>
      <c r="B4073" s="1" t="s">
        <v>2628</v>
      </c>
      <c r="C4073" s="1">
        <v>204</v>
      </c>
      <c r="D4073" s="1" t="s">
        <v>414</v>
      </c>
      <c r="E4073" s="1" t="s">
        <v>6</v>
      </c>
      <c r="F4073" s="1" t="s">
        <v>5241</v>
      </c>
      <c r="G4073" s="14" t="s">
        <v>4803</v>
      </c>
      <c r="H4073" s="1" t="s">
        <v>5</v>
      </c>
      <c r="I4073" s="17">
        <v>43009</v>
      </c>
    </row>
    <row r="4074" spans="1:9">
      <c r="A4074" s="16" t="s">
        <v>14957</v>
      </c>
      <c r="B4074" s="1" t="s">
        <v>2628</v>
      </c>
      <c r="C4074" s="1">
        <v>204</v>
      </c>
      <c r="D4074" s="1" t="s">
        <v>414</v>
      </c>
      <c r="E4074" s="1" t="s">
        <v>6</v>
      </c>
      <c r="F4074" s="1" t="s">
        <v>5241</v>
      </c>
      <c r="G4074" s="14" t="s">
        <v>4803</v>
      </c>
      <c r="H4074" s="1" t="s">
        <v>5</v>
      </c>
      <c r="I4074" s="17">
        <v>42005</v>
      </c>
    </row>
    <row r="4075" spans="1:9">
      <c r="A4075" s="16" t="s">
        <v>14962</v>
      </c>
      <c r="B4075" s="1" t="s">
        <v>2628</v>
      </c>
      <c r="C4075" s="1">
        <v>204</v>
      </c>
      <c r="D4075" s="1" t="s">
        <v>414</v>
      </c>
      <c r="E4075" s="1" t="s">
        <v>6</v>
      </c>
      <c r="F4075" s="1" t="s">
        <v>5241</v>
      </c>
      <c r="G4075" s="14" t="s">
        <v>4803</v>
      </c>
      <c r="H4075" s="1" t="s">
        <v>5</v>
      </c>
      <c r="I4075" s="17">
        <v>42430</v>
      </c>
    </row>
    <row r="4076" spans="1:9">
      <c r="A4076" s="16" t="s">
        <v>14977</v>
      </c>
      <c r="B4076" s="1" t="s">
        <v>2628</v>
      </c>
      <c r="C4076" s="1">
        <v>204</v>
      </c>
      <c r="D4076" s="1" t="s">
        <v>414</v>
      </c>
      <c r="E4076" s="1" t="s">
        <v>6</v>
      </c>
      <c r="F4076" s="1" t="s">
        <v>5241</v>
      </c>
      <c r="G4076" s="14" t="s">
        <v>4803</v>
      </c>
      <c r="H4076" s="1" t="s">
        <v>5</v>
      </c>
      <c r="I4076" s="17">
        <v>42278</v>
      </c>
    </row>
    <row r="4077" spans="1:9">
      <c r="A4077" s="16" t="s">
        <v>14982</v>
      </c>
      <c r="B4077" s="1" t="s">
        <v>2628</v>
      </c>
      <c r="C4077" s="1">
        <v>204</v>
      </c>
      <c r="D4077" s="1" t="s">
        <v>414</v>
      </c>
      <c r="E4077" s="1" t="s">
        <v>6</v>
      </c>
      <c r="F4077" s="1" t="s">
        <v>5241</v>
      </c>
      <c r="G4077" s="14" t="s">
        <v>6307</v>
      </c>
      <c r="H4077" s="1" t="s">
        <v>44</v>
      </c>
      <c r="I4077" s="17">
        <v>43132</v>
      </c>
    </row>
    <row r="4078" spans="1:9">
      <c r="A4078" s="16" t="s">
        <v>15027</v>
      </c>
      <c r="B4078" s="1" t="s">
        <v>2628</v>
      </c>
      <c r="C4078" s="1">
        <v>204</v>
      </c>
      <c r="D4078" s="1" t="s">
        <v>414</v>
      </c>
      <c r="E4078" s="1" t="s">
        <v>6</v>
      </c>
      <c r="F4078" s="1" t="s">
        <v>5241</v>
      </c>
      <c r="G4078" s="14" t="s">
        <v>4803</v>
      </c>
      <c r="H4078" s="1" t="s">
        <v>5</v>
      </c>
      <c r="I4078" s="17">
        <v>43040</v>
      </c>
    </row>
    <row r="4079" spans="1:9">
      <c r="A4079" s="16" t="s">
        <v>15061</v>
      </c>
      <c r="B4079" s="1" t="s">
        <v>2628</v>
      </c>
      <c r="C4079" s="1">
        <v>204</v>
      </c>
      <c r="D4079" s="1" t="s">
        <v>414</v>
      </c>
      <c r="E4079" s="1" t="s">
        <v>6</v>
      </c>
      <c r="F4079" s="1" t="s">
        <v>5241</v>
      </c>
      <c r="G4079" s="14" t="s">
        <v>4803</v>
      </c>
      <c r="H4079" s="1" t="s">
        <v>5</v>
      </c>
      <c r="I4079" s="17">
        <v>42095</v>
      </c>
    </row>
    <row r="4080" spans="1:9">
      <c r="A4080" s="16" t="s">
        <v>15064</v>
      </c>
      <c r="B4080" s="1" t="s">
        <v>2628</v>
      </c>
      <c r="C4080" s="1">
        <v>204</v>
      </c>
      <c r="D4080" s="1" t="s">
        <v>414</v>
      </c>
      <c r="E4080" s="1" t="s">
        <v>6</v>
      </c>
      <c r="F4080" s="1" t="s">
        <v>5241</v>
      </c>
      <c r="G4080" s="14" t="s">
        <v>4803</v>
      </c>
      <c r="H4080" s="1" t="s">
        <v>5</v>
      </c>
      <c r="I4080" s="17">
        <v>43313</v>
      </c>
    </row>
    <row r="4081" spans="1:9">
      <c r="A4081" s="16" t="s">
        <v>15086</v>
      </c>
      <c r="B4081" s="1" t="s">
        <v>2628</v>
      </c>
      <c r="C4081" s="1">
        <v>204</v>
      </c>
      <c r="D4081" s="1" t="s">
        <v>414</v>
      </c>
      <c r="E4081" s="1" t="s">
        <v>6</v>
      </c>
      <c r="F4081" s="1" t="s">
        <v>5241</v>
      </c>
      <c r="G4081" s="14" t="s">
        <v>4803</v>
      </c>
      <c r="H4081" s="1" t="s">
        <v>5</v>
      </c>
      <c r="I4081" s="17">
        <v>41395</v>
      </c>
    </row>
    <row r="4082" spans="1:9">
      <c r="A4082" s="16" t="s">
        <v>15088</v>
      </c>
      <c r="B4082" s="1" t="s">
        <v>2628</v>
      </c>
      <c r="C4082" s="1">
        <v>204</v>
      </c>
      <c r="D4082" s="1" t="s">
        <v>414</v>
      </c>
      <c r="E4082" s="1" t="s">
        <v>6</v>
      </c>
      <c r="F4082" s="1" t="s">
        <v>5241</v>
      </c>
      <c r="G4082" s="14" t="s">
        <v>4803</v>
      </c>
      <c r="H4082" s="1" t="s">
        <v>5</v>
      </c>
      <c r="I4082" s="17">
        <v>42278</v>
      </c>
    </row>
    <row r="4083" spans="1:9">
      <c r="A4083" s="16" t="s">
        <v>15099</v>
      </c>
      <c r="B4083" s="1" t="s">
        <v>2628</v>
      </c>
      <c r="C4083" s="1">
        <v>204</v>
      </c>
      <c r="D4083" s="1" t="s">
        <v>414</v>
      </c>
      <c r="E4083" s="1" t="s">
        <v>6</v>
      </c>
      <c r="F4083" s="1" t="s">
        <v>5241</v>
      </c>
      <c r="G4083" s="14" t="s">
        <v>4803</v>
      </c>
      <c r="H4083" s="1" t="s">
        <v>5</v>
      </c>
      <c r="I4083" s="17">
        <v>42705</v>
      </c>
    </row>
    <row r="4084" spans="1:9">
      <c r="A4084" s="16" t="s">
        <v>15110</v>
      </c>
      <c r="B4084" s="1" t="s">
        <v>2628</v>
      </c>
      <c r="C4084" s="1">
        <v>204</v>
      </c>
      <c r="D4084" s="1" t="s">
        <v>414</v>
      </c>
      <c r="E4084" s="1" t="s">
        <v>6</v>
      </c>
      <c r="F4084" s="1" t="s">
        <v>5241</v>
      </c>
      <c r="G4084" s="14" t="s">
        <v>4803</v>
      </c>
      <c r="H4084" s="1" t="s">
        <v>5</v>
      </c>
      <c r="I4084" s="17">
        <v>41334</v>
      </c>
    </row>
    <row r="4085" spans="1:9">
      <c r="A4085" s="16" t="s">
        <v>15128</v>
      </c>
      <c r="B4085" s="1" t="s">
        <v>2628</v>
      </c>
      <c r="C4085" s="1">
        <v>204</v>
      </c>
      <c r="D4085" s="1" t="s">
        <v>414</v>
      </c>
      <c r="E4085" s="1" t="s">
        <v>6</v>
      </c>
      <c r="F4085" s="1" t="s">
        <v>5241</v>
      </c>
      <c r="G4085" s="14" t="s">
        <v>4803</v>
      </c>
      <c r="H4085" s="1" t="s">
        <v>5</v>
      </c>
      <c r="I4085" s="17">
        <v>42430</v>
      </c>
    </row>
    <row r="4086" spans="1:9">
      <c r="A4086" s="16" t="s">
        <v>15129</v>
      </c>
      <c r="B4086" s="1" t="s">
        <v>2628</v>
      </c>
      <c r="C4086" s="1">
        <v>204</v>
      </c>
      <c r="D4086" s="1" t="s">
        <v>414</v>
      </c>
      <c r="E4086" s="1" t="s">
        <v>6</v>
      </c>
      <c r="F4086" s="1" t="s">
        <v>5241</v>
      </c>
      <c r="G4086" s="14" t="s">
        <v>4803</v>
      </c>
      <c r="H4086" s="1" t="s">
        <v>5</v>
      </c>
      <c r="I4086" s="17">
        <v>42095</v>
      </c>
    </row>
    <row r="4087" spans="1:9">
      <c r="A4087" s="16" t="s">
        <v>15132</v>
      </c>
      <c r="B4087" s="1" t="s">
        <v>2628</v>
      </c>
      <c r="C4087" s="1">
        <v>204</v>
      </c>
      <c r="D4087" s="1" t="s">
        <v>414</v>
      </c>
      <c r="E4087" s="1" t="s">
        <v>6</v>
      </c>
      <c r="F4087" s="1" t="s">
        <v>5241</v>
      </c>
      <c r="G4087" s="14" t="s">
        <v>4803</v>
      </c>
      <c r="H4087" s="1" t="s">
        <v>5</v>
      </c>
      <c r="I4087" s="17">
        <v>42278</v>
      </c>
    </row>
    <row r="4088" spans="1:9">
      <c r="A4088" s="16" t="s">
        <v>15133</v>
      </c>
      <c r="B4088" s="1" t="s">
        <v>2628</v>
      </c>
      <c r="C4088" s="1">
        <v>204</v>
      </c>
      <c r="D4088" s="1" t="s">
        <v>414</v>
      </c>
      <c r="E4088" s="1" t="s">
        <v>6</v>
      </c>
      <c r="F4088" s="1" t="s">
        <v>5241</v>
      </c>
      <c r="G4088" s="14" t="s">
        <v>4803</v>
      </c>
      <c r="H4088" s="1" t="s">
        <v>5</v>
      </c>
      <c r="I4088" s="17">
        <v>43040</v>
      </c>
    </row>
    <row r="4089" spans="1:9">
      <c r="A4089" s="16" t="s">
        <v>15140</v>
      </c>
      <c r="B4089" s="1" t="s">
        <v>2628</v>
      </c>
      <c r="C4089" s="1">
        <v>204</v>
      </c>
      <c r="D4089" s="1" t="s">
        <v>414</v>
      </c>
      <c r="E4089" s="1" t="s">
        <v>6</v>
      </c>
      <c r="F4089" s="1" t="s">
        <v>5241</v>
      </c>
      <c r="G4089" s="14" t="s">
        <v>6307</v>
      </c>
      <c r="H4089" s="1" t="s">
        <v>44</v>
      </c>
      <c r="I4089" s="17">
        <v>42278</v>
      </c>
    </row>
    <row r="4090" spans="1:9">
      <c r="A4090" s="16" t="s">
        <v>15163</v>
      </c>
      <c r="B4090" s="1" t="s">
        <v>2628</v>
      </c>
      <c r="C4090" s="1">
        <v>204</v>
      </c>
      <c r="D4090" s="1" t="s">
        <v>414</v>
      </c>
      <c r="E4090" s="1" t="s">
        <v>6</v>
      </c>
      <c r="F4090" s="1" t="s">
        <v>5241</v>
      </c>
      <c r="G4090" s="14" t="s">
        <v>4803</v>
      </c>
      <c r="H4090" s="1" t="s">
        <v>5</v>
      </c>
      <c r="I4090" s="17">
        <v>43040</v>
      </c>
    </row>
    <row r="4091" spans="1:9">
      <c r="A4091" s="16" t="s">
        <v>15171</v>
      </c>
      <c r="B4091" s="1" t="s">
        <v>2628</v>
      </c>
      <c r="C4091" s="1">
        <v>204</v>
      </c>
      <c r="D4091" s="1" t="s">
        <v>414</v>
      </c>
      <c r="E4091" s="1" t="s">
        <v>6</v>
      </c>
      <c r="F4091" s="1" t="s">
        <v>5241</v>
      </c>
      <c r="G4091" s="14" t="s">
        <v>4803</v>
      </c>
      <c r="H4091" s="1" t="s">
        <v>5</v>
      </c>
      <c r="I4091" s="17">
        <v>43040</v>
      </c>
    </row>
    <row r="4092" spans="1:9">
      <c r="A4092" s="16" t="s">
        <v>15181</v>
      </c>
      <c r="B4092" s="1" t="s">
        <v>2628</v>
      </c>
      <c r="C4092" s="1">
        <v>204</v>
      </c>
      <c r="D4092" s="1" t="s">
        <v>414</v>
      </c>
      <c r="E4092" s="1" t="s">
        <v>6</v>
      </c>
      <c r="F4092" s="1" t="s">
        <v>5241</v>
      </c>
      <c r="G4092" s="14" t="s">
        <v>4803</v>
      </c>
      <c r="H4092" s="1" t="s">
        <v>5</v>
      </c>
      <c r="I4092" s="17">
        <v>42826</v>
      </c>
    </row>
    <row r="4093" spans="1:9">
      <c r="A4093" s="16" t="s">
        <v>15183</v>
      </c>
      <c r="B4093" s="1" t="s">
        <v>2628</v>
      </c>
      <c r="C4093" s="1">
        <v>204</v>
      </c>
      <c r="D4093" s="1" t="s">
        <v>414</v>
      </c>
      <c r="E4093" s="1" t="s">
        <v>6</v>
      </c>
      <c r="F4093" s="1" t="s">
        <v>5241</v>
      </c>
      <c r="G4093" s="14" t="s">
        <v>4803</v>
      </c>
      <c r="H4093" s="1" t="s">
        <v>5</v>
      </c>
      <c r="I4093" s="17">
        <v>43313</v>
      </c>
    </row>
    <row r="4094" spans="1:9">
      <c r="A4094" s="16" t="s">
        <v>15196</v>
      </c>
      <c r="B4094" s="1" t="s">
        <v>2628</v>
      </c>
      <c r="C4094" s="1">
        <v>204</v>
      </c>
      <c r="D4094" s="1" t="s">
        <v>414</v>
      </c>
      <c r="E4094" s="1" t="s">
        <v>6</v>
      </c>
      <c r="F4094" s="1" t="s">
        <v>5241</v>
      </c>
      <c r="G4094" s="14" t="s">
        <v>4803</v>
      </c>
      <c r="H4094" s="1" t="s">
        <v>5</v>
      </c>
      <c r="I4094" s="17">
        <v>42278</v>
      </c>
    </row>
    <row r="4095" spans="1:9">
      <c r="A4095" s="16" t="s">
        <v>15208</v>
      </c>
      <c r="B4095" s="1" t="s">
        <v>2628</v>
      </c>
      <c r="C4095" s="1">
        <v>204</v>
      </c>
      <c r="D4095" s="1" t="s">
        <v>414</v>
      </c>
      <c r="E4095" s="1" t="s">
        <v>6</v>
      </c>
      <c r="F4095" s="1" t="s">
        <v>5241</v>
      </c>
      <c r="G4095" s="14" t="s">
        <v>4803</v>
      </c>
      <c r="H4095" s="1" t="s">
        <v>5</v>
      </c>
      <c r="I4095" s="17">
        <v>42278</v>
      </c>
    </row>
    <row r="4096" spans="1:9">
      <c r="A4096" s="16" t="s">
        <v>15212</v>
      </c>
      <c r="B4096" s="1" t="s">
        <v>2628</v>
      </c>
      <c r="C4096" s="1">
        <v>204</v>
      </c>
      <c r="D4096" s="1" t="s">
        <v>414</v>
      </c>
      <c r="E4096" s="1" t="s">
        <v>6</v>
      </c>
      <c r="F4096" s="1" t="s">
        <v>5241</v>
      </c>
      <c r="G4096" s="14" t="s">
        <v>4803</v>
      </c>
      <c r="H4096" s="1" t="s">
        <v>5</v>
      </c>
      <c r="I4096" s="17">
        <v>42278</v>
      </c>
    </row>
    <row r="4097" spans="1:9">
      <c r="A4097" s="16" t="s">
        <v>15215</v>
      </c>
      <c r="B4097" s="1" t="s">
        <v>2628</v>
      </c>
      <c r="C4097" s="1">
        <v>204</v>
      </c>
      <c r="D4097" s="1" t="s">
        <v>414</v>
      </c>
      <c r="E4097" s="1" t="s">
        <v>6</v>
      </c>
      <c r="F4097" s="1" t="s">
        <v>5241</v>
      </c>
      <c r="G4097" s="14" t="s">
        <v>4803</v>
      </c>
      <c r="H4097" s="1" t="s">
        <v>5</v>
      </c>
      <c r="I4097" s="17">
        <v>42125</v>
      </c>
    </row>
    <row r="4098" spans="1:9">
      <c r="A4098" s="16" t="s">
        <v>15219</v>
      </c>
      <c r="B4098" s="1" t="s">
        <v>2628</v>
      </c>
      <c r="C4098" s="1">
        <v>204</v>
      </c>
      <c r="D4098" s="1" t="s">
        <v>414</v>
      </c>
      <c r="E4098" s="1" t="s">
        <v>6</v>
      </c>
      <c r="F4098" s="1" t="s">
        <v>5241</v>
      </c>
      <c r="G4098" s="14" t="s">
        <v>4803</v>
      </c>
      <c r="H4098" s="1" t="s">
        <v>5</v>
      </c>
      <c r="I4098" s="17">
        <v>41579</v>
      </c>
    </row>
    <row r="4099" spans="1:9">
      <c r="A4099" s="16" t="s">
        <v>15223</v>
      </c>
      <c r="B4099" s="1" t="s">
        <v>2628</v>
      </c>
      <c r="C4099" s="1">
        <v>204</v>
      </c>
      <c r="D4099" s="1" t="s">
        <v>414</v>
      </c>
      <c r="E4099" s="1" t="s">
        <v>6</v>
      </c>
      <c r="F4099" s="1" t="s">
        <v>5241</v>
      </c>
      <c r="G4099" s="14" t="s">
        <v>4803</v>
      </c>
      <c r="H4099" s="1" t="s">
        <v>5</v>
      </c>
      <c r="I4099" s="17">
        <v>42217</v>
      </c>
    </row>
    <row r="4100" spans="1:9">
      <c r="A4100" s="16" t="s">
        <v>15225</v>
      </c>
      <c r="B4100" s="1" t="s">
        <v>2628</v>
      </c>
      <c r="C4100" s="1">
        <v>204</v>
      </c>
      <c r="D4100" s="1" t="s">
        <v>414</v>
      </c>
      <c r="E4100" s="1" t="s">
        <v>6</v>
      </c>
      <c r="F4100" s="1" t="s">
        <v>5241</v>
      </c>
      <c r="G4100" s="14" t="s">
        <v>4803</v>
      </c>
      <c r="H4100" s="1" t="s">
        <v>5</v>
      </c>
      <c r="I4100" s="17">
        <v>41487</v>
      </c>
    </row>
    <row r="4101" spans="1:9">
      <c r="A4101" s="16" t="s">
        <v>15242</v>
      </c>
      <c r="B4101" s="1" t="s">
        <v>2628</v>
      </c>
      <c r="C4101" s="1">
        <v>204</v>
      </c>
      <c r="D4101" s="1" t="s">
        <v>414</v>
      </c>
      <c r="E4101" s="1" t="s">
        <v>6</v>
      </c>
      <c r="F4101" s="1" t="s">
        <v>5241</v>
      </c>
      <c r="G4101" s="14" t="s">
        <v>4803</v>
      </c>
      <c r="H4101" s="1" t="s">
        <v>5</v>
      </c>
      <c r="I4101" s="17">
        <v>42705</v>
      </c>
    </row>
    <row r="4102" spans="1:9">
      <c r="A4102" s="16" t="s">
        <v>15266</v>
      </c>
      <c r="B4102" s="1" t="s">
        <v>2628</v>
      </c>
      <c r="C4102" s="1">
        <v>204</v>
      </c>
      <c r="D4102" s="1" t="s">
        <v>414</v>
      </c>
      <c r="E4102" s="1" t="s">
        <v>6</v>
      </c>
      <c r="F4102" s="1" t="s">
        <v>5241</v>
      </c>
      <c r="G4102" s="14" t="s">
        <v>4803</v>
      </c>
      <c r="H4102" s="1" t="s">
        <v>5</v>
      </c>
      <c r="I4102" s="17">
        <v>43040</v>
      </c>
    </row>
    <row r="4103" spans="1:9">
      <c r="A4103" s="16" t="s">
        <v>15292</v>
      </c>
      <c r="B4103" s="1" t="s">
        <v>2628</v>
      </c>
      <c r="C4103" s="1">
        <v>204</v>
      </c>
      <c r="D4103" s="1" t="s">
        <v>414</v>
      </c>
      <c r="E4103" s="1" t="s">
        <v>6</v>
      </c>
      <c r="F4103" s="1" t="s">
        <v>5241</v>
      </c>
      <c r="G4103" s="14" t="s">
        <v>4803</v>
      </c>
      <c r="H4103" s="1" t="s">
        <v>5</v>
      </c>
      <c r="I4103" s="17">
        <v>42795</v>
      </c>
    </row>
    <row r="4104" spans="1:9">
      <c r="A4104" s="16" t="s">
        <v>15305</v>
      </c>
      <c r="B4104" s="1" t="s">
        <v>2628</v>
      </c>
      <c r="C4104" s="1">
        <v>204</v>
      </c>
      <c r="D4104" s="1" t="s">
        <v>414</v>
      </c>
      <c r="E4104" s="1" t="s">
        <v>6</v>
      </c>
      <c r="F4104" s="1" t="s">
        <v>5241</v>
      </c>
      <c r="G4104" s="14" t="s">
        <v>4803</v>
      </c>
      <c r="H4104" s="1" t="s">
        <v>5</v>
      </c>
      <c r="I4104" s="17">
        <v>43040</v>
      </c>
    </row>
    <row r="4105" spans="1:9">
      <c r="A4105" s="16" t="s">
        <v>15334</v>
      </c>
      <c r="B4105" s="1" t="s">
        <v>2628</v>
      </c>
      <c r="C4105" s="1">
        <v>204</v>
      </c>
      <c r="D4105" s="1" t="s">
        <v>414</v>
      </c>
      <c r="E4105" s="1" t="s">
        <v>6</v>
      </c>
      <c r="F4105" s="1" t="s">
        <v>5241</v>
      </c>
      <c r="G4105" s="14" t="s">
        <v>4803</v>
      </c>
      <c r="H4105" s="1" t="s">
        <v>5</v>
      </c>
      <c r="I4105" s="17">
        <v>42430</v>
      </c>
    </row>
    <row r="4106" spans="1:9">
      <c r="A4106" s="16" t="s">
        <v>15367</v>
      </c>
      <c r="B4106" s="1" t="s">
        <v>2628</v>
      </c>
      <c r="C4106" s="1">
        <v>204</v>
      </c>
      <c r="D4106" s="1" t="s">
        <v>414</v>
      </c>
      <c r="E4106" s="1" t="s">
        <v>6</v>
      </c>
      <c r="F4106" s="1" t="s">
        <v>5241</v>
      </c>
      <c r="G4106" s="14" t="s">
        <v>4803</v>
      </c>
      <c r="H4106" s="1" t="s">
        <v>5</v>
      </c>
      <c r="I4106" s="17">
        <v>42278</v>
      </c>
    </row>
    <row r="4107" spans="1:9">
      <c r="A4107" s="16" t="s">
        <v>15375</v>
      </c>
      <c r="B4107" s="1" t="s">
        <v>2628</v>
      </c>
      <c r="C4107" s="1">
        <v>204</v>
      </c>
      <c r="D4107" s="1" t="s">
        <v>414</v>
      </c>
      <c r="E4107" s="1" t="s">
        <v>6</v>
      </c>
      <c r="F4107" s="1" t="s">
        <v>5241</v>
      </c>
      <c r="G4107" s="14" t="s">
        <v>4803</v>
      </c>
      <c r="H4107" s="1" t="s">
        <v>5</v>
      </c>
      <c r="I4107" s="17">
        <v>42278</v>
      </c>
    </row>
    <row r="4108" spans="1:9">
      <c r="A4108" s="16" t="s">
        <v>15378</v>
      </c>
      <c r="B4108" s="1" t="s">
        <v>2628</v>
      </c>
      <c r="C4108" s="1">
        <v>204</v>
      </c>
      <c r="D4108" s="1" t="s">
        <v>414</v>
      </c>
      <c r="E4108" s="1" t="s">
        <v>6</v>
      </c>
      <c r="F4108" s="1" t="s">
        <v>5241</v>
      </c>
      <c r="G4108" s="14" t="s">
        <v>4803</v>
      </c>
      <c r="H4108" s="1" t="s">
        <v>5</v>
      </c>
      <c r="I4108" s="17">
        <v>42278</v>
      </c>
    </row>
    <row r="4109" spans="1:9">
      <c r="A4109" s="16" t="s">
        <v>15397</v>
      </c>
      <c r="B4109" s="1" t="s">
        <v>2628</v>
      </c>
      <c r="C4109" s="1">
        <v>204</v>
      </c>
      <c r="D4109" s="1" t="s">
        <v>414</v>
      </c>
      <c r="E4109" s="1" t="s">
        <v>6</v>
      </c>
      <c r="F4109" s="1" t="s">
        <v>5241</v>
      </c>
      <c r="G4109" s="14" t="s">
        <v>4803</v>
      </c>
      <c r="H4109" s="1" t="s">
        <v>5</v>
      </c>
      <c r="I4109" s="17">
        <v>42917</v>
      </c>
    </row>
    <row r="4110" spans="1:9">
      <c r="A4110" s="16" t="s">
        <v>15401</v>
      </c>
      <c r="B4110" s="1" t="s">
        <v>2628</v>
      </c>
      <c r="C4110" s="1">
        <v>204</v>
      </c>
      <c r="D4110" s="1" t="s">
        <v>414</v>
      </c>
      <c r="E4110" s="1" t="s">
        <v>6</v>
      </c>
      <c r="F4110" s="1" t="s">
        <v>5241</v>
      </c>
      <c r="G4110" s="14" t="s">
        <v>4803</v>
      </c>
      <c r="H4110" s="1" t="s">
        <v>5</v>
      </c>
      <c r="I4110" s="17">
        <v>43040</v>
      </c>
    </row>
    <row r="4111" spans="1:9">
      <c r="A4111" s="16" t="s">
        <v>15417</v>
      </c>
      <c r="B4111" s="1" t="s">
        <v>2628</v>
      </c>
      <c r="C4111" s="1">
        <v>204</v>
      </c>
      <c r="D4111" s="1" t="s">
        <v>414</v>
      </c>
      <c r="E4111" s="1" t="s">
        <v>6</v>
      </c>
      <c r="F4111" s="1" t="s">
        <v>5241</v>
      </c>
      <c r="G4111" s="14" t="s">
        <v>4803</v>
      </c>
      <c r="H4111" s="1" t="s">
        <v>5</v>
      </c>
      <c r="I4111" s="17">
        <v>43191</v>
      </c>
    </row>
    <row r="4112" spans="1:9">
      <c r="A4112" s="16" t="s">
        <v>15459</v>
      </c>
      <c r="B4112" s="1" t="s">
        <v>2628</v>
      </c>
      <c r="C4112" s="1">
        <v>204</v>
      </c>
      <c r="D4112" s="1" t="s">
        <v>414</v>
      </c>
      <c r="E4112" s="1" t="s">
        <v>6</v>
      </c>
      <c r="F4112" s="1" t="s">
        <v>5241</v>
      </c>
      <c r="G4112" s="14" t="s">
        <v>4803</v>
      </c>
      <c r="H4112" s="1" t="s">
        <v>5</v>
      </c>
      <c r="I4112" s="17">
        <v>43040</v>
      </c>
    </row>
    <row r="4113" spans="1:9">
      <c r="A4113" s="16" t="s">
        <v>15465</v>
      </c>
      <c r="B4113" s="1" t="s">
        <v>2628</v>
      </c>
      <c r="C4113" s="1">
        <v>204</v>
      </c>
      <c r="D4113" s="1" t="s">
        <v>414</v>
      </c>
      <c r="E4113" s="1" t="s">
        <v>6</v>
      </c>
      <c r="F4113" s="1" t="s">
        <v>5241</v>
      </c>
      <c r="G4113" s="14" t="s">
        <v>4803</v>
      </c>
      <c r="H4113" s="1" t="s">
        <v>5</v>
      </c>
      <c r="I4113" s="17">
        <v>41487</v>
      </c>
    </row>
    <row r="4114" spans="1:9">
      <c r="A4114" s="16" t="s">
        <v>15486</v>
      </c>
      <c r="B4114" s="1" t="s">
        <v>2628</v>
      </c>
      <c r="C4114" s="1">
        <v>204</v>
      </c>
      <c r="D4114" s="1" t="s">
        <v>414</v>
      </c>
      <c r="E4114" s="1" t="s">
        <v>6</v>
      </c>
      <c r="F4114" s="1" t="s">
        <v>5241</v>
      </c>
      <c r="G4114" s="14" t="s">
        <v>4803</v>
      </c>
      <c r="H4114" s="1" t="s">
        <v>5</v>
      </c>
      <c r="I4114" s="17">
        <v>43009</v>
      </c>
    </row>
    <row r="4115" spans="1:9">
      <c r="A4115" s="16" t="s">
        <v>15494</v>
      </c>
      <c r="B4115" s="1" t="s">
        <v>2628</v>
      </c>
      <c r="C4115" s="1">
        <v>204</v>
      </c>
      <c r="D4115" s="1" t="s">
        <v>414</v>
      </c>
      <c r="E4115" s="1" t="s">
        <v>6</v>
      </c>
      <c r="F4115" s="1" t="s">
        <v>5241</v>
      </c>
      <c r="G4115" s="14" t="s">
        <v>4803</v>
      </c>
      <c r="H4115" s="1" t="s">
        <v>5</v>
      </c>
      <c r="I4115" s="17">
        <v>42278</v>
      </c>
    </row>
    <row r="4116" spans="1:9">
      <c r="A4116" s="16" t="s">
        <v>15511</v>
      </c>
      <c r="B4116" s="1" t="s">
        <v>2628</v>
      </c>
      <c r="C4116" s="1">
        <v>2433</v>
      </c>
      <c r="D4116" s="1" t="s">
        <v>414</v>
      </c>
      <c r="E4116" s="1" t="s">
        <v>6</v>
      </c>
      <c r="F4116" s="1" t="s">
        <v>5241</v>
      </c>
      <c r="G4116" s="14" t="s">
        <v>4803</v>
      </c>
      <c r="H4116" s="1" t="s">
        <v>5</v>
      </c>
      <c r="I4116" s="17">
        <v>42826</v>
      </c>
    </row>
    <row r="4117" spans="1:9">
      <c r="A4117" s="16" t="s">
        <v>15532</v>
      </c>
      <c r="B4117" s="1" t="s">
        <v>2628</v>
      </c>
      <c r="C4117" s="1">
        <v>204</v>
      </c>
      <c r="D4117" s="1" t="s">
        <v>414</v>
      </c>
      <c r="E4117" s="1" t="s">
        <v>6</v>
      </c>
      <c r="F4117" s="1" t="s">
        <v>5241</v>
      </c>
      <c r="G4117" s="14" t="s">
        <v>4803</v>
      </c>
      <c r="H4117" s="1" t="s">
        <v>5</v>
      </c>
      <c r="I4117" s="17">
        <v>42005</v>
      </c>
    </row>
    <row r="4118" spans="1:9">
      <c r="A4118" s="16" t="s">
        <v>15533</v>
      </c>
      <c r="B4118" s="1" t="s">
        <v>2628</v>
      </c>
      <c r="C4118" s="1">
        <v>204</v>
      </c>
      <c r="D4118" s="1" t="s">
        <v>414</v>
      </c>
      <c r="E4118" s="1" t="s">
        <v>6</v>
      </c>
      <c r="F4118" s="1" t="s">
        <v>5241</v>
      </c>
      <c r="G4118" s="14" t="s">
        <v>4803</v>
      </c>
      <c r="H4118" s="1" t="s">
        <v>5</v>
      </c>
      <c r="I4118" s="17">
        <v>43313</v>
      </c>
    </row>
    <row r="4119" spans="1:9">
      <c r="A4119" s="16" t="s">
        <v>15537</v>
      </c>
      <c r="B4119" s="1" t="s">
        <v>2628</v>
      </c>
      <c r="C4119" s="1">
        <v>204</v>
      </c>
      <c r="D4119" s="1" t="s">
        <v>414</v>
      </c>
      <c r="E4119" s="1" t="s">
        <v>6</v>
      </c>
      <c r="F4119" s="1" t="s">
        <v>5241</v>
      </c>
      <c r="G4119" s="14" t="s">
        <v>4803</v>
      </c>
      <c r="H4119" s="1" t="s">
        <v>5</v>
      </c>
      <c r="I4119" s="17">
        <v>42125</v>
      </c>
    </row>
    <row r="4120" spans="1:9">
      <c r="A4120" s="16" t="s">
        <v>15539</v>
      </c>
      <c r="B4120" s="1" t="s">
        <v>2628</v>
      </c>
      <c r="C4120" s="1">
        <v>204</v>
      </c>
      <c r="D4120" s="1" t="s">
        <v>414</v>
      </c>
      <c r="E4120" s="1" t="s">
        <v>6</v>
      </c>
      <c r="F4120" s="1" t="s">
        <v>5241</v>
      </c>
      <c r="G4120" s="14" t="s">
        <v>4803</v>
      </c>
      <c r="H4120" s="1" t="s">
        <v>5</v>
      </c>
      <c r="I4120" s="17">
        <v>42705</v>
      </c>
    </row>
    <row r="4121" spans="1:9">
      <c r="A4121" s="16" t="s">
        <v>15557</v>
      </c>
      <c r="B4121" s="1" t="s">
        <v>2628</v>
      </c>
      <c r="C4121" s="1">
        <v>204</v>
      </c>
      <c r="D4121" s="1" t="s">
        <v>414</v>
      </c>
      <c r="E4121" s="1" t="s">
        <v>6</v>
      </c>
      <c r="F4121" s="1" t="s">
        <v>5241</v>
      </c>
      <c r="G4121" s="14" t="s">
        <v>6307</v>
      </c>
      <c r="H4121" s="1" t="s">
        <v>44</v>
      </c>
      <c r="I4121" s="17">
        <v>43070</v>
      </c>
    </row>
    <row r="4122" spans="1:9">
      <c r="A4122" s="16" t="s">
        <v>15566</v>
      </c>
      <c r="B4122" s="1" t="s">
        <v>2628</v>
      </c>
      <c r="C4122" s="1">
        <v>204</v>
      </c>
      <c r="D4122" s="1" t="s">
        <v>414</v>
      </c>
      <c r="E4122" s="1" t="s">
        <v>6</v>
      </c>
      <c r="F4122" s="1" t="s">
        <v>5241</v>
      </c>
      <c r="G4122" s="14" t="s">
        <v>4803</v>
      </c>
      <c r="H4122" s="1" t="s">
        <v>5</v>
      </c>
      <c r="I4122" s="17">
        <v>42309</v>
      </c>
    </row>
    <row r="4123" spans="1:9">
      <c r="A4123" s="16" t="s">
        <v>15572</v>
      </c>
      <c r="B4123" s="1" t="s">
        <v>2628</v>
      </c>
      <c r="C4123" s="1">
        <v>204</v>
      </c>
      <c r="D4123" s="1" t="s">
        <v>414</v>
      </c>
      <c r="E4123" s="1" t="s">
        <v>6</v>
      </c>
      <c r="F4123" s="1" t="s">
        <v>5241</v>
      </c>
      <c r="G4123" s="14" t="s">
        <v>6307</v>
      </c>
      <c r="H4123" s="1" t="s">
        <v>44</v>
      </c>
      <c r="I4123" s="17">
        <v>43132</v>
      </c>
    </row>
    <row r="4124" spans="1:9">
      <c r="A4124" s="16" t="s">
        <v>15575</v>
      </c>
      <c r="B4124" s="1" t="s">
        <v>2628</v>
      </c>
      <c r="C4124" s="1">
        <v>204</v>
      </c>
      <c r="D4124" s="1" t="s">
        <v>414</v>
      </c>
      <c r="E4124" s="1" t="s">
        <v>6</v>
      </c>
      <c r="F4124" s="1" t="s">
        <v>5241</v>
      </c>
      <c r="G4124" s="14" t="s">
        <v>4803</v>
      </c>
      <c r="H4124" s="1" t="s">
        <v>5</v>
      </c>
      <c r="I4124" s="17">
        <v>42005</v>
      </c>
    </row>
    <row r="4125" spans="1:9">
      <c r="A4125" s="16" t="s">
        <v>15578</v>
      </c>
      <c r="B4125" s="1" t="s">
        <v>2628</v>
      </c>
      <c r="C4125" s="1">
        <v>204</v>
      </c>
      <c r="D4125" s="1" t="s">
        <v>414</v>
      </c>
      <c r="E4125" s="1" t="s">
        <v>6</v>
      </c>
      <c r="F4125" s="1" t="s">
        <v>5241</v>
      </c>
      <c r="G4125" s="14" t="s">
        <v>4803</v>
      </c>
      <c r="H4125" s="1" t="s">
        <v>5</v>
      </c>
      <c r="I4125" s="17">
        <v>43344</v>
      </c>
    </row>
    <row r="4126" spans="1:9">
      <c r="A4126" s="16" t="s">
        <v>15593</v>
      </c>
      <c r="B4126" s="1" t="s">
        <v>2628</v>
      </c>
      <c r="C4126" s="1">
        <v>204</v>
      </c>
      <c r="D4126" s="1" t="s">
        <v>414</v>
      </c>
      <c r="E4126" s="1" t="s">
        <v>6</v>
      </c>
      <c r="F4126" s="1" t="s">
        <v>5241</v>
      </c>
      <c r="G4126" s="14" t="s">
        <v>4803</v>
      </c>
      <c r="H4126" s="1" t="s">
        <v>5</v>
      </c>
      <c r="I4126" s="17">
        <v>43344</v>
      </c>
    </row>
    <row r="4127" spans="1:9">
      <c r="A4127" s="16" t="s">
        <v>15595</v>
      </c>
      <c r="B4127" s="1" t="s">
        <v>2628</v>
      </c>
      <c r="C4127" s="1">
        <v>204</v>
      </c>
      <c r="D4127" s="1" t="s">
        <v>414</v>
      </c>
      <c r="E4127" s="1" t="s">
        <v>6</v>
      </c>
      <c r="F4127" s="1" t="s">
        <v>5241</v>
      </c>
      <c r="G4127" s="14" t="s">
        <v>4803</v>
      </c>
      <c r="H4127" s="1" t="s">
        <v>5</v>
      </c>
      <c r="I4127" s="17">
        <v>43344</v>
      </c>
    </row>
    <row r="4128" spans="1:9">
      <c r="A4128" s="16" t="s">
        <v>15596</v>
      </c>
      <c r="B4128" s="1" t="s">
        <v>2628</v>
      </c>
      <c r="C4128" s="1">
        <v>204</v>
      </c>
      <c r="D4128" s="1" t="s">
        <v>414</v>
      </c>
      <c r="E4128" s="1" t="s">
        <v>6</v>
      </c>
      <c r="F4128" s="1" t="s">
        <v>5241</v>
      </c>
      <c r="G4128" s="14" t="s">
        <v>4803</v>
      </c>
      <c r="H4128" s="1" t="s">
        <v>5</v>
      </c>
      <c r="I4128" s="17">
        <v>43344</v>
      </c>
    </row>
    <row r="4129" spans="1:10">
      <c r="A4129" s="16" t="s">
        <v>15716</v>
      </c>
      <c r="B4129" s="1" t="s">
        <v>2628</v>
      </c>
      <c r="C4129" s="1">
        <v>204</v>
      </c>
      <c r="D4129" s="1" t="s">
        <v>414</v>
      </c>
      <c r="E4129" s="1" t="s">
        <v>6</v>
      </c>
      <c r="F4129" s="1" t="s">
        <v>118</v>
      </c>
      <c r="G4129" s="14" t="s">
        <v>4458</v>
      </c>
      <c r="H4129" s="1" t="s">
        <v>118</v>
      </c>
      <c r="I4129" s="1" t="s">
        <v>4458</v>
      </c>
    </row>
    <row r="4130" spans="1:10">
      <c r="A4130" s="7" t="s">
        <v>15827</v>
      </c>
      <c r="B4130" s="2" t="s">
        <v>2628</v>
      </c>
      <c r="C4130" s="1">
        <v>204</v>
      </c>
      <c r="D4130" s="1" t="s">
        <v>414</v>
      </c>
      <c r="E4130" s="1" t="s">
        <v>6</v>
      </c>
      <c r="F4130" s="1" t="s">
        <v>5091</v>
      </c>
      <c r="G4130" s="14" t="s">
        <v>6186</v>
      </c>
      <c r="H4130" s="1" t="s">
        <v>5</v>
      </c>
      <c r="I4130" s="1" t="s">
        <v>4789</v>
      </c>
    </row>
    <row r="4131" spans="1:10">
      <c r="A4131" s="7" t="s">
        <v>15828</v>
      </c>
      <c r="B4131" s="2" t="s">
        <v>2628</v>
      </c>
      <c r="C4131" s="1">
        <v>204</v>
      </c>
      <c r="D4131" s="1" t="s">
        <v>414</v>
      </c>
      <c r="E4131" s="1" t="s">
        <v>6</v>
      </c>
      <c r="F4131" s="1" t="s">
        <v>5091</v>
      </c>
      <c r="G4131" s="14" t="s">
        <v>6236</v>
      </c>
      <c r="H4131" s="1" t="s">
        <v>43</v>
      </c>
      <c r="I4131" s="1" t="s">
        <v>5798</v>
      </c>
    </row>
    <row r="4132" spans="1:10">
      <c r="A4132" s="7" t="s">
        <v>16082</v>
      </c>
      <c r="B4132" s="2" t="s">
        <v>2628</v>
      </c>
      <c r="C4132" s="1">
        <v>204</v>
      </c>
      <c r="D4132" s="1" t="s">
        <v>414</v>
      </c>
      <c r="E4132" s="1" t="s">
        <v>6</v>
      </c>
      <c r="F4132" s="1" t="s">
        <v>5241</v>
      </c>
      <c r="G4132" s="14" t="s">
        <v>6307</v>
      </c>
      <c r="H4132" s="1" t="s">
        <v>44</v>
      </c>
      <c r="I4132" s="6">
        <v>2018</v>
      </c>
    </row>
    <row r="4133" spans="1:10">
      <c r="A4133" s="7" t="s">
        <v>16083</v>
      </c>
      <c r="B4133" s="2" t="s">
        <v>2628</v>
      </c>
      <c r="C4133" s="1">
        <v>204</v>
      </c>
      <c r="D4133" s="1" t="s">
        <v>414</v>
      </c>
      <c r="E4133" s="1" t="s">
        <v>6</v>
      </c>
      <c r="F4133" s="1" t="s">
        <v>5241</v>
      </c>
      <c r="G4133" s="14" t="s">
        <v>6307</v>
      </c>
      <c r="H4133" s="1" t="s">
        <v>44</v>
      </c>
      <c r="I4133" s="6">
        <v>2018</v>
      </c>
    </row>
    <row r="4134" spans="1:10">
      <c r="A4134" s="7" t="s">
        <v>16085</v>
      </c>
      <c r="B4134" s="2" t="s">
        <v>2628</v>
      </c>
      <c r="C4134" s="1">
        <v>204</v>
      </c>
      <c r="D4134" s="1" t="s">
        <v>414</v>
      </c>
      <c r="E4134" s="1" t="s">
        <v>6</v>
      </c>
      <c r="F4134" s="1" t="s">
        <v>5241</v>
      </c>
      <c r="G4134" s="14" t="s">
        <v>4803</v>
      </c>
      <c r="H4134" s="1" t="s">
        <v>5</v>
      </c>
      <c r="I4134" s="1" t="s">
        <v>5807</v>
      </c>
      <c r="J4134" s="17"/>
    </row>
    <row r="4135" spans="1:10">
      <c r="A4135" s="7" t="s">
        <v>16092</v>
      </c>
      <c r="B4135" s="2" t="s">
        <v>2628</v>
      </c>
      <c r="C4135" s="1">
        <v>204</v>
      </c>
      <c r="D4135" s="1" t="s">
        <v>414</v>
      </c>
      <c r="E4135" s="1" t="s">
        <v>6</v>
      </c>
      <c r="F4135" s="1" t="s">
        <v>5241</v>
      </c>
      <c r="G4135" s="14" t="s">
        <v>6307</v>
      </c>
      <c r="H4135" s="1" t="s">
        <v>44</v>
      </c>
      <c r="I4135" s="6">
        <v>2018</v>
      </c>
    </row>
    <row r="4136" spans="1:10">
      <c r="A4136" s="7" t="s">
        <v>16096</v>
      </c>
      <c r="B4136" s="2" t="s">
        <v>2628</v>
      </c>
      <c r="C4136" s="1">
        <v>204</v>
      </c>
      <c r="D4136" s="1" t="s">
        <v>414</v>
      </c>
      <c r="E4136" s="1" t="s">
        <v>6</v>
      </c>
      <c r="F4136" s="1" t="s">
        <v>5241</v>
      </c>
      <c r="G4136" s="14" t="s">
        <v>6307</v>
      </c>
      <c r="H4136" s="1" t="s">
        <v>44</v>
      </c>
      <c r="I4136" s="6">
        <v>2018</v>
      </c>
    </row>
    <row r="4137" spans="1:10">
      <c r="A4137" s="7" t="s">
        <v>16143</v>
      </c>
      <c r="B4137" s="2" t="s">
        <v>2628</v>
      </c>
      <c r="C4137" s="1">
        <v>204</v>
      </c>
      <c r="D4137" s="1" t="s">
        <v>414</v>
      </c>
      <c r="E4137" s="1" t="s">
        <v>6</v>
      </c>
      <c r="F4137" s="1" t="s">
        <v>5241</v>
      </c>
      <c r="G4137" s="14" t="s">
        <v>4803</v>
      </c>
      <c r="H4137" s="1" t="s">
        <v>5</v>
      </c>
      <c r="I4137" s="1" t="s">
        <v>5807</v>
      </c>
      <c r="J4137" s="17"/>
    </row>
    <row r="4138" spans="1:10">
      <c r="A4138" s="7" t="s">
        <v>16595</v>
      </c>
      <c r="B4138" s="2" t="s">
        <v>2628</v>
      </c>
      <c r="C4138" s="1">
        <v>204</v>
      </c>
      <c r="D4138" s="1" t="s">
        <v>414</v>
      </c>
      <c r="E4138" s="1" t="s">
        <v>6</v>
      </c>
      <c r="F4138" s="1" t="s">
        <v>5091</v>
      </c>
      <c r="G4138" s="14" t="s">
        <v>6139</v>
      </c>
      <c r="H4138" s="1" t="s">
        <v>43</v>
      </c>
      <c r="I4138" s="1" t="s">
        <v>5807</v>
      </c>
    </row>
    <row r="4139" spans="1:10">
      <c r="A4139" s="7" t="s">
        <v>16598</v>
      </c>
      <c r="B4139" s="2" t="s">
        <v>2628</v>
      </c>
      <c r="C4139" s="1">
        <v>204</v>
      </c>
      <c r="D4139" s="1" t="s">
        <v>414</v>
      </c>
      <c r="E4139" s="1" t="s">
        <v>6</v>
      </c>
      <c r="F4139" s="1" t="s">
        <v>5091</v>
      </c>
      <c r="G4139" s="14" t="s">
        <v>6139</v>
      </c>
      <c r="H4139" s="1" t="s">
        <v>43</v>
      </c>
      <c r="I4139" s="1" t="s">
        <v>5807</v>
      </c>
    </row>
    <row r="4140" spans="1:10">
      <c r="A4140" s="7" t="s">
        <v>16600</v>
      </c>
      <c r="B4140" s="2" t="s">
        <v>2628</v>
      </c>
      <c r="C4140" s="1">
        <v>204</v>
      </c>
      <c r="D4140" s="1" t="s">
        <v>414</v>
      </c>
      <c r="E4140" s="1" t="s">
        <v>6</v>
      </c>
      <c r="F4140" s="1" t="s">
        <v>5091</v>
      </c>
      <c r="G4140" s="14" t="s">
        <v>6139</v>
      </c>
      <c r="H4140" s="1" t="s">
        <v>43</v>
      </c>
      <c r="I4140" s="1" t="s">
        <v>5807</v>
      </c>
    </row>
    <row r="4141" spans="1:10">
      <c r="A4141" s="7" t="s">
        <v>16601</v>
      </c>
      <c r="B4141" s="2" t="s">
        <v>2628</v>
      </c>
      <c r="C4141" s="1">
        <v>204</v>
      </c>
      <c r="D4141" s="1" t="s">
        <v>414</v>
      </c>
      <c r="E4141" s="1" t="s">
        <v>6</v>
      </c>
      <c r="F4141" s="1" t="s">
        <v>5091</v>
      </c>
      <c r="G4141" s="14" t="s">
        <v>6139</v>
      </c>
      <c r="H4141" s="1" t="s">
        <v>43</v>
      </c>
      <c r="I4141" s="1" t="s">
        <v>5807</v>
      </c>
    </row>
    <row r="4142" spans="1:10">
      <c r="A4142" s="7" t="s">
        <v>16686</v>
      </c>
      <c r="B4142" s="2" t="s">
        <v>2628</v>
      </c>
      <c r="C4142" s="1">
        <v>204</v>
      </c>
      <c r="D4142" s="1" t="s">
        <v>414</v>
      </c>
      <c r="E4142" s="1" t="s">
        <v>6</v>
      </c>
      <c r="F4142" s="1" t="s">
        <v>5241</v>
      </c>
      <c r="G4142" s="14" t="s">
        <v>4803</v>
      </c>
      <c r="H4142" s="1" t="s">
        <v>5</v>
      </c>
      <c r="I4142" s="1" t="s">
        <v>5807</v>
      </c>
      <c r="J4142" s="17"/>
    </row>
    <row r="4143" spans="1:10">
      <c r="A4143" s="7" t="s">
        <v>16759</v>
      </c>
      <c r="B4143" s="2" t="s">
        <v>2628</v>
      </c>
      <c r="C4143" s="1">
        <v>204</v>
      </c>
      <c r="D4143" s="1" t="s">
        <v>414</v>
      </c>
      <c r="E4143" s="1" t="s">
        <v>6</v>
      </c>
      <c r="F4143" s="1" t="s">
        <v>5091</v>
      </c>
      <c r="G4143" s="14" t="s">
        <v>6236</v>
      </c>
      <c r="H4143" s="1" t="s">
        <v>43</v>
      </c>
      <c r="I4143" s="1" t="s">
        <v>5807</v>
      </c>
    </row>
    <row r="4144" spans="1:10" ht="31.2">
      <c r="A4144" s="16" t="s">
        <v>10392</v>
      </c>
      <c r="B4144" s="1" t="s">
        <v>2628</v>
      </c>
      <c r="C4144" s="1">
        <v>22</v>
      </c>
      <c r="D4144" s="1" t="s">
        <v>114</v>
      </c>
      <c r="E4144" s="1" t="s">
        <v>6</v>
      </c>
      <c r="F4144" s="1" t="s">
        <v>5091</v>
      </c>
      <c r="G4144" s="14" t="s">
        <v>10393</v>
      </c>
      <c r="H4144" s="1" t="s">
        <v>5</v>
      </c>
      <c r="I4144" s="17">
        <v>40030</v>
      </c>
    </row>
    <row r="4145" spans="1:10">
      <c r="A4145" s="16" t="s">
        <v>10189</v>
      </c>
      <c r="B4145" s="1" t="s">
        <v>2631</v>
      </c>
      <c r="C4145" s="1">
        <v>217</v>
      </c>
      <c r="D4145" s="1" t="s">
        <v>1146</v>
      </c>
      <c r="E4145" s="1" t="s">
        <v>10</v>
      </c>
      <c r="F4145" s="1" t="s">
        <v>36</v>
      </c>
      <c r="G4145" s="1" t="s">
        <v>10190</v>
      </c>
      <c r="H4145" s="1" t="s">
        <v>27</v>
      </c>
      <c r="I4145" s="17">
        <v>39083</v>
      </c>
    </row>
    <row r="4146" spans="1:10">
      <c r="A4146" s="7" t="s">
        <v>7367</v>
      </c>
      <c r="B4146" s="1" t="s">
        <v>2631</v>
      </c>
      <c r="C4146" s="1">
        <v>218</v>
      </c>
      <c r="D4146" s="1" t="s">
        <v>1389</v>
      </c>
      <c r="E4146" s="1" t="s">
        <v>10</v>
      </c>
      <c r="F4146" s="1" t="s">
        <v>139</v>
      </c>
      <c r="G4146" s="1" t="s">
        <v>7368</v>
      </c>
      <c r="H4146" s="1" t="s">
        <v>5</v>
      </c>
      <c r="I4146" s="1" t="s">
        <v>5483</v>
      </c>
    </row>
    <row r="4147" spans="1:10">
      <c r="A4147" s="7" t="s">
        <v>13788</v>
      </c>
      <c r="B4147" s="1" t="s">
        <v>2629</v>
      </c>
      <c r="C4147" s="1">
        <v>218</v>
      </c>
      <c r="D4147" s="1" t="s">
        <v>1389</v>
      </c>
      <c r="E4147" s="1" t="s">
        <v>10</v>
      </c>
      <c r="F4147" s="1" t="s">
        <v>2698</v>
      </c>
      <c r="G4147" s="1" t="s">
        <v>6307</v>
      </c>
      <c r="H4147" s="1" t="s">
        <v>44</v>
      </c>
      <c r="I4147" s="17">
        <v>41275</v>
      </c>
    </row>
    <row r="4148" spans="1:10">
      <c r="A4148" s="7" t="s">
        <v>5804</v>
      </c>
      <c r="B4148" s="2" t="s">
        <v>2631</v>
      </c>
      <c r="C4148" s="1">
        <v>218</v>
      </c>
      <c r="D4148" s="1" t="s">
        <v>1389</v>
      </c>
      <c r="E4148" s="1" t="s">
        <v>10</v>
      </c>
      <c r="F4148" s="1" t="s">
        <v>5478</v>
      </c>
      <c r="G4148" s="14" t="s">
        <v>4800</v>
      </c>
      <c r="H4148" s="1" t="s">
        <v>27</v>
      </c>
      <c r="I4148" s="1" t="s">
        <v>5483</v>
      </c>
    </row>
    <row r="4149" spans="1:10">
      <c r="A4149" s="16" t="s">
        <v>14425</v>
      </c>
      <c r="B4149" s="1" t="s">
        <v>2631</v>
      </c>
      <c r="C4149" s="1">
        <v>218</v>
      </c>
      <c r="D4149" s="1" t="s">
        <v>1389</v>
      </c>
      <c r="E4149" s="1" t="s">
        <v>10</v>
      </c>
      <c r="F4149" s="1" t="s">
        <v>5241</v>
      </c>
      <c r="G4149" s="1" t="s">
        <v>4800</v>
      </c>
      <c r="H4149" s="1" t="s">
        <v>27</v>
      </c>
      <c r="I4149" s="17">
        <v>43252</v>
      </c>
    </row>
    <row r="4150" spans="1:10">
      <c r="A4150" s="16" t="s">
        <v>11624</v>
      </c>
      <c r="B4150" s="1" t="s">
        <v>2628</v>
      </c>
      <c r="C4150" s="1">
        <v>224</v>
      </c>
      <c r="D4150" s="1" t="s">
        <v>97</v>
      </c>
      <c r="E4150" s="1" t="s">
        <v>10</v>
      </c>
      <c r="F4150" s="1" t="s">
        <v>5091</v>
      </c>
      <c r="G4150" s="14" t="s">
        <v>5853</v>
      </c>
      <c r="H4150" s="1" t="s">
        <v>27</v>
      </c>
      <c r="I4150" s="17">
        <v>42583</v>
      </c>
    </row>
    <row r="4151" spans="1:10">
      <c r="A4151" s="7" t="s">
        <v>6272</v>
      </c>
      <c r="B4151" s="2" t="s">
        <v>2628</v>
      </c>
      <c r="C4151" s="1">
        <v>224</v>
      </c>
      <c r="D4151" s="1" t="s">
        <v>97</v>
      </c>
      <c r="E4151" s="1" t="s">
        <v>10</v>
      </c>
      <c r="F4151" s="1" t="s">
        <v>5091</v>
      </c>
      <c r="G4151" s="14" t="s">
        <v>6145</v>
      </c>
      <c r="H4151" s="1" t="s">
        <v>43</v>
      </c>
      <c r="I4151" s="1" t="s">
        <v>5807</v>
      </c>
    </row>
    <row r="4152" spans="1:10">
      <c r="A4152" s="7" t="s">
        <v>6562</v>
      </c>
      <c r="B4152" s="1" t="s">
        <v>2628</v>
      </c>
      <c r="C4152" s="1">
        <v>224</v>
      </c>
      <c r="D4152" s="1" t="s">
        <v>97</v>
      </c>
      <c r="E4152" s="1" t="s">
        <v>10</v>
      </c>
      <c r="F4152" s="1" t="s">
        <v>5091</v>
      </c>
      <c r="G4152" s="1" t="s">
        <v>6563</v>
      </c>
      <c r="H4152" s="1" t="s">
        <v>5</v>
      </c>
      <c r="I4152" s="1" t="s">
        <v>5807</v>
      </c>
      <c r="J4152" s="17"/>
    </row>
    <row r="4153" spans="1:10">
      <c r="A4153" s="7" t="s">
        <v>6564</v>
      </c>
      <c r="B4153" s="1" t="s">
        <v>2628</v>
      </c>
      <c r="C4153" s="1">
        <v>224</v>
      </c>
      <c r="D4153" s="1" t="s">
        <v>97</v>
      </c>
      <c r="E4153" s="1" t="s">
        <v>10</v>
      </c>
      <c r="F4153" s="1" t="s">
        <v>5091</v>
      </c>
      <c r="G4153" s="1" t="s">
        <v>6563</v>
      </c>
      <c r="H4153" s="1" t="s">
        <v>5</v>
      </c>
      <c r="I4153" s="1" t="s">
        <v>5807</v>
      </c>
      <c r="J4153" s="17"/>
    </row>
    <row r="4154" spans="1:10">
      <c r="A4154" s="16" t="s">
        <v>8905</v>
      </c>
      <c r="B4154" s="1" t="s">
        <v>2628</v>
      </c>
      <c r="C4154" s="1">
        <v>224</v>
      </c>
      <c r="D4154" s="1" t="s">
        <v>97</v>
      </c>
      <c r="E4154" s="1" t="s">
        <v>10</v>
      </c>
      <c r="F4154" s="1" t="s">
        <v>5091</v>
      </c>
      <c r="G4154" s="14" t="s">
        <v>8906</v>
      </c>
      <c r="H4154" s="1" t="s">
        <v>5</v>
      </c>
      <c r="I4154" s="1" t="s">
        <v>4458</v>
      </c>
    </row>
    <row r="4155" spans="1:10">
      <c r="A4155" s="16" t="s">
        <v>9338</v>
      </c>
      <c r="B4155" s="1" t="s">
        <v>2628</v>
      </c>
      <c r="C4155" s="1">
        <v>224</v>
      </c>
      <c r="D4155" s="1" t="s">
        <v>97</v>
      </c>
      <c r="E4155" s="1" t="s">
        <v>10</v>
      </c>
      <c r="F4155" s="1" t="s">
        <v>5091</v>
      </c>
      <c r="G4155" s="14" t="s">
        <v>6145</v>
      </c>
      <c r="H4155" s="1" t="s">
        <v>43</v>
      </c>
      <c r="I4155" s="17">
        <v>42115</v>
      </c>
    </row>
    <row r="4156" spans="1:10">
      <c r="A4156" s="16" t="s">
        <v>9342</v>
      </c>
      <c r="B4156" s="1" t="s">
        <v>2628</v>
      </c>
      <c r="C4156" s="1">
        <v>224</v>
      </c>
      <c r="D4156" s="1" t="s">
        <v>97</v>
      </c>
      <c r="E4156" s="1" t="s">
        <v>10</v>
      </c>
      <c r="F4156" s="1" t="s">
        <v>5091</v>
      </c>
      <c r="G4156" s="14" t="s">
        <v>6145</v>
      </c>
      <c r="H4156" s="1" t="s">
        <v>43</v>
      </c>
      <c r="I4156" s="17">
        <v>42115</v>
      </c>
    </row>
    <row r="4157" spans="1:10">
      <c r="A4157" s="16" t="s">
        <v>9343</v>
      </c>
      <c r="B4157" s="1" t="s">
        <v>2628</v>
      </c>
      <c r="C4157" s="1">
        <v>224</v>
      </c>
      <c r="D4157" s="1" t="s">
        <v>97</v>
      </c>
      <c r="E4157" s="1" t="s">
        <v>10</v>
      </c>
      <c r="F4157" s="1" t="s">
        <v>5091</v>
      </c>
      <c r="G4157" s="14" t="s">
        <v>6145</v>
      </c>
      <c r="H4157" s="1" t="s">
        <v>43</v>
      </c>
      <c r="I4157" s="17">
        <v>42115</v>
      </c>
    </row>
    <row r="4158" spans="1:10">
      <c r="A4158" s="16" t="s">
        <v>11632</v>
      </c>
      <c r="B4158" s="1" t="s">
        <v>2628</v>
      </c>
      <c r="C4158" s="1">
        <v>224</v>
      </c>
      <c r="D4158" s="1" t="s">
        <v>97</v>
      </c>
      <c r="E4158" s="1" t="s">
        <v>10</v>
      </c>
      <c r="F4158" s="1" t="s">
        <v>5091</v>
      </c>
      <c r="G4158" s="14" t="s">
        <v>10494</v>
      </c>
      <c r="H4158" s="1" t="s">
        <v>5</v>
      </c>
      <c r="I4158" s="17">
        <v>38208</v>
      </c>
    </row>
    <row r="4159" spans="1:10">
      <c r="A4159" s="16" t="s">
        <v>11633</v>
      </c>
      <c r="B4159" s="1" t="s">
        <v>2628</v>
      </c>
      <c r="C4159" s="1">
        <v>224</v>
      </c>
      <c r="D4159" s="1" t="s">
        <v>97</v>
      </c>
      <c r="E4159" s="1" t="s">
        <v>10</v>
      </c>
      <c r="F4159" s="1" t="s">
        <v>5091</v>
      </c>
      <c r="G4159" s="14" t="s">
        <v>9578</v>
      </c>
      <c r="H4159" s="1" t="s">
        <v>5</v>
      </c>
      <c r="I4159" s="17">
        <v>38208</v>
      </c>
    </row>
    <row r="4160" spans="1:10">
      <c r="A4160" s="16" t="s">
        <v>11681</v>
      </c>
      <c r="B4160" s="1" t="s">
        <v>2628</v>
      </c>
      <c r="C4160" s="1">
        <v>224</v>
      </c>
      <c r="D4160" s="1" t="s">
        <v>97</v>
      </c>
      <c r="E4160" s="1" t="s">
        <v>10</v>
      </c>
      <c r="F4160" s="1" t="s">
        <v>5091</v>
      </c>
      <c r="G4160" s="14" t="s">
        <v>10494</v>
      </c>
      <c r="H4160" s="1" t="s">
        <v>5</v>
      </c>
      <c r="I4160" s="17">
        <v>38223</v>
      </c>
    </row>
    <row r="4161" spans="1:10">
      <c r="A4161" s="16" t="s">
        <v>12006</v>
      </c>
      <c r="B4161" s="1" t="s">
        <v>2628</v>
      </c>
      <c r="C4161" s="1">
        <v>224</v>
      </c>
      <c r="D4161" s="1" t="s">
        <v>97</v>
      </c>
      <c r="E4161" s="1" t="s">
        <v>10</v>
      </c>
      <c r="F4161" s="1" t="s">
        <v>5091</v>
      </c>
      <c r="G4161" s="14" t="s">
        <v>6145</v>
      </c>
      <c r="H4161" s="1" t="s">
        <v>43</v>
      </c>
      <c r="I4161" s="17">
        <v>42689</v>
      </c>
    </row>
    <row r="4162" spans="1:10">
      <c r="A4162" s="16" t="s">
        <v>12607</v>
      </c>
      <c r="B4162" s="1" t="s">
        <v>2628</v>
      </c>
      <c r="C4162" s="1">
        <v>224</v>
      </c>
      <c r="D4162" s="1" t="s">
        <v>97</v>
      </c>
      <c r="E4162" s="1" t="s">
        <v>10</v>
      </c>
      <c r="F4162" s="1" t="s">
        <v>5091</v>
      </c>
      <c r="G4162" s="14" t="s">
        <v>4458</v>
      </c>
      <c r="H4162" s="1" t="s">
        <v>118</v>
      </c>
      <c r="I4162" s="17">
        <v>42807</v>
      </c>
    </row>
    <row r="4163" spans="1:10">
      <c r="A4163" s="16" t="s">
        <v>13099</v>
      </c>
      <c r="B4163" s="1" t="s">
        <v>2628</v>
      </c>
      <c r="C4163" s="1">
        <v>224</v>
      </c>
      <c r="D4163" s="1" t="s">
        <v>97</v>
      </c>
      <c r="E4163" s="1" t="s">
        <v>10</v>
      </c>
      <c r="F4163" s="1" t="s">
        <v>5091</v>
      </c>
      <c r="G4163" s="14" t="s">
        <v>6145</v>
      </c>
      <c r="H4163" s="1" t="s">
        <v>43</v>
      </c>
      <c r="I4163" s="17">
        <v>42878</v>
      </c>
    </row>
    <row r="4164" spans="1:10">
      <c r="A4164" s="16" t="s">
        <v>13387</v>
      </c>
      <c r="B4164" s="1" t="s">
        <v>2628</v>
      </c>
      <c r="C4164" s="1">
        <v>224</v>
      </c>
      <c r="D4164" s="1" t="s">
        <v>97</v>
      </c>
      <c r="E4164" s="1" t="s">
        <v>10</v>
      </c>
      <c r="F4164" s="1" t="s">
        <v>5091</v>
      </c>
      <c r="G4164" s="14" t="s">
        <v>6145</v>
      </c>
      <c r="H4164" s="1" t="s">
        <v>43</v>
      </c>
      <c r="I4164" s="17">
        <v>42977</v>
      </c>
    </row>
    <row r="4165" spans="1:10">
      <c r="A4165" s="16" t="s">
        <v>13389</v>
      </c>
      <c r="B4165" s="1" t="s">
        <v>2628</v>
      </c>
      <c r="C4165" s="1">
        <v>224</v>
      </c>
      <c r="D4165" s="1" t="s">
        <v>97</v>
      </c>
      <c r="E4165" s="1" t="s">
        <v>10</v>
      </c>
      <c r="F4165" s="1" t="s">
        <v>5091</v>
      </c>
      <c r="G4165" s="14" t="s">
        <v>6145</v>
      </c>
      <c r="H4165" s="1" t="s">
        <v>43</v>
      </c>
      <c r="I4165" s="17">
        <v>42977</v>
      </c>
    </row>
    <row r="4166" spans="1:10">
      <c r="A4166" s="16" t="s">
        <v>13392</v>
      </c>
      <c r="B4166" s="1" t="s">
        <v>2628</v>
      </c>
      <c r="C4166" s="1">
        <v>224</v>
      </c>
      <c r="D4166" s="1" t="s">
        <v>97</v>
      </c>
      <c r="E4166" s="1" t="s">
        <v>10</v>
      </c>
      <c r="F4166" s="1" t="s">
        <v>5091</v>
      </c>
      <c r="G4166" s="14" t="s">
        <v>6145</v>
      </c>
      <c r="H4166" s="1" t="s">
        <v>43</v>
      </c>
      <c r="I4166" s="17">
        <v>42977</v>
      </c>
    </row>
    <row r="4167" spans="1:10">
      <c r="A4167" s="16" t="s">
        <v>13393</v>
      </c>
      <c r="B4167" s="1" t="s">
        <v>2628</v>
      </c>
      <c r="C4167" s="1">
        <v>224</v>
      </c>
      <c r="D4167" s="1" t="s">
        <v>97</v>
      </c>
      <c r="E4167" s="1" t="s">
        <v>10</v>
      </c>
      <c r="F4167" s="1" t="s">
        <v>5091</v>
      </c>
      <c r="G4167" s="14" t="s">
        <v>6145</v>
      </c>
      <c r="H4167" s="1" t="s">
        <v>43</v>
      </c>
      <c r="I4167" s="17">
        <v>42977</v>
      </c>
    </row>
    <row r="4168" spans="1:10">
      <c r="A4168" s="16" t="s">
        <v>15712</v>
      </c>
      <c r="B4168" s="1" t="s">
        <v>2628</v>
      </c>
      <c r="C4168" s="1">
        <v>224</v>
      </c>
      <c r="D4168" s="1" t="s">
        <v>97</v>
      </c>
      <c r="E4168" s="1" t="s">
        <v>10</v>
      </c>
      <c r="F4168" s="1" t="s">
        <v>5091</v>
      </c>
      <c r="G4168" s="14" t="s">
        <v>6145</v>
      </c>
      <c r="H4168" s="1" t="s">
        <v>43</v>
      </c>
      <c r="I4168" s="17">
        <v>43368</v>
      </c>
    </row>
    <row r="4169" spans="1:10">
      <c r="A4169" s="16" t="s">
        <v>15714</v>
      </c>
      <c r="B4169" s="1" t="s">
        <v>2628</v>
      </c>
      <c r="C4169" s="1">
        <v>224</v>
      </c>
      <c r="D4169" s="1" t="s">
        <v>97</v>
      </c>
      <c r="E4169" s="1" t="s">
        <v>10</v>
      </c>
      <c r="F4169" s="1" t="s">
        <v>5091</v>
      </c>
      <c r="G4169" s="14" t="s">
        <v>6145</v>
      </c>
      <c r="H4169" s="1" t="s">
        <v>43</v>
      </c>
      <c r="I4169" s="17">
        <v>43369</v>
      </c>
    </row>
    <row r="4170" spans="1:10">
      <c r="A4170" s="7" t="s">
        <v>16195</v>
      </c>
      <c r="B4170" s="2" t="s">
        <v>2628</v>
      </c>
      <c r="C4170" s="1">
        <v>224</v>
      </c>
      <c r="D4170" s="1" t="s">
        <v>97</v>
      </c>
      <c r="E4170" s="1" t="s">
        <v>10</v>
      </c>
      <c r="F4170" s="1" t="s">
        <v>5091</v>
      </c>
      <c r="G4170" s="14" t="s">
        <v>16194</v>
      </c>
      <c r="H4170" s="1" t="s">
        <v>5</v>
      </c>
      <c r="I4170" s="1" t="s">
        <v>5807</v>
      </c>
      <c r="J4170" s="17"/>
    </row>
    <row r="4171" spans="1:10">
      <c r="A4171" s="7" t="s">
        <v>16214</v>
      </c>
      <c r="B4171" s="2" t="s">
        <v>2628</v>
      </c>
      <c r="C4171" s="1">
        <v>224</v>
      </c>
      <c r="D4171" s="1" t="s">
        <v>97</v>
      </c>
      <c r="E4171" s="1" t="s">
        <v>10</v>
      </c>
      <c r="F4171" s="1" t="s">
        <v>5091</v>
      </c>
      <c r="G4171" s="14" t="s">
        <v>16215</v>
      </c>
      <c r="H4171" s="1" t="s">
        <v>43</v>
      </c>
      <c r="I4171" s="1" t="s">
        <v>5807</v>
      </c>
    </row>
    <row r="4172" spans="1:10">
      <c r="A4172" s="7" t="s">
        <v>16281</v>
      </c>
      <c r="B4172" s="2" t="s">
        <v>2628</v>
      </c>
      <c r="C4172" s="1">
        <v>224</v>
      </c>
      <c r="D4172" s="1" t="s">
        <v>97</v>
      </c>
      <c r="E4172" s="1" t="s">
        <v>10</v>
      </c>
      <c r="F4172" s="1" t="s">
        <v>5091</v>
      </c>
      <c r="G4172" s="14" t="s">
        <v>16282</v>
      </c>
      <c r="H4172" s="1" t="s">
        <v>43</v>
      </c>
      <c r="I4172" s="1" t="s">
        <v>5807</v>
      </c>
    </row>
    <row r="4173" spans="1:10">
      <c r="A4173" s="7" t="s">
        <v>16285</v>
      </c>
      <c r="B4173" s="2" t="s">
        <v>2628</v>
      </c>
      <c r="C4173" s="1">
        <v>224</v>
      </c>
      <c r="D4173" s="1" t="s">
        <v>97</v>
      </c>
      <c r="E4173" s="1" t="s">
        <v>10</v>
      </c>
      <c r="F4173" s="1" t="s">
        <v>5091</v>
      </c>
      <c r="G4173" s="14" t="s">
        <v>16286</v>
      </c>
      <c r="H4173" s="1" t="s">
        <v>43</v>
      </c>
      <c r="I4173" s="1" t="s">
        <v>5807</v>
      </c>
    </row>
    <row r="4174" spans="1:10">
      <c r="A4174" s="7" t="s">
        <v>16319</v>
      </c>
      <c r="B4174" s="2" t="s">
        <v>2628</v>
      </c>
      <c r="C4174" s="1">
        <v>224</v>
      </c>
      <c r="D4174" s="1" t="s">
        <v>97</v>
      </c>
      <c r="E4174" s="1" t="s">
        <v>10</v>
      </c>
      <c r="F4174" s="1" t="s">
        <v>5091</v>
      </c>
      <c r="G4174" s="14" t="s">
        <v>16320</v>
      </c>
      <c r="H4174" s="1" t="s">
        <v>43</v>
      </c>
      <c r="I4174" s="1" t="s">
        <v>5807</v>
      </c>
    </row>
    <row r="4175" spans="1:10">
      <c r="A4175" s="7" t="s">
        <v>16323</v>
      </c>
      <c r="B4175" s="2" t="s">
        <v>2628</v>
      </c>
      <c r="C4175" s="1">
        <v>224</v>
      </c>
      <c r="D4175" s="1" t="s">
        <v>97</v>
      </c>
      <c r="E4175" s="1" t="s">
        <v>10</v>
      </c>
      <c r="F4175" s="1" t="s">
        <v>5091</v>
      </c>
      <c r="G4175" s="14" t="s">
        <v>16324</v>
      </c>
      <c r="H4175" s="1" t="s">
        <v>43</v>
      </c>
      <c r="I4175" s="1" t="s">
        <v>5807</v>
      </c>
    </row>
    <row r="4176" spans="1:10">
      <c r="A4176" s="16" t="s">
        <v>14888</v>
      </c>
      <c r="B4176" s="1" t="s">
        <v>2628</v>
      </c>
      <c r="C4176" s="1">
        <v>330</v>
      </c>
      <c r="D4176" s="1" t="s">
        <v>14889</v>
      </c>
      <c r="E4176" s="1" t="s">
        <v>6</v>
      </c>
      <c r="F4176" s="1" t="s">
        <v>5241</v>
      </c>
      <c r="G4176" s="14" t="s">
        <v>4803</v>
      </c>
      <c r="H4176" s="1" t="s">
        <v>5</v>
      </c>
      <c r="I4176" s="17">
        <v>43252</v>
      </c>
    </row>
    <row r="4177" spans="1:10">
      <c r="A4177" s="16" t="s">
        <v>14948</v>
      </c>
      <c r="B4177" s="1" t="s">
        <v>2628</v>
      </c>
      <c r="C4177" s="1">
        <v>330</v>
      </c>
      <c r="D4177" s="1" t="s">
        <v>14889</v>
      </c>
      <c r="E4177" s="1" t="s">
        <v>6</v>
      </c>
      <c r="F4177" s="1" t="s">
        <v>5241</v>
      </c>
      <c r="G4177" s="14" t="s">
        <v>4803</v>
      </c>
      <c r="H4177" s="1" t="s">
        <v>5</v>
      </c>
      <c r="I4177" s="17">
        <v>43252</v>
      </c>
    </row>
    <row r="4178" spans="1:10">
      <c r="A4178" s="16" t="s">
        <v>15252</v>
      </c>
      <c r="B4178" s="1" t="s">
        <v>2628</v>
      </c>
      <c r="C4178" s="1">
        <v>330</v>
      </c>
      <c r="D4178" s="1" t="s">
        <v>14889</v>
      </c>
      <c r="E4178" s="1" t="s">
        <v>6</v>
      </c>
      <c r="F4178" s="1" t="s">
        <v>5241</v>
      </c>
      <c r="G4178" s="14" t="s">
        <v>4803</v>
      </c>
      <c r="H4178" s="1" t="s">
        <v>5</v>
      </c>
      <c r="I4178" s="17">
        <v>43252</v>
      </c>
    </row>
    <row r="4179" spans="1:10">
      <c r="A4179" s="7" t="s">
        <v>5655</v>
      </c>
      <c r="B4179" s="1" t="s">
        <v>2628</v>
      </c>
      <c r="C4179" s="1">
        <v>706</v>
      </c>
      <c r="D4179" s="1" t="s">
        <v>5656</v>
      </c>
      <c r="E4179" s="1" t="s">
        <v>6</v>
      </c>
      <c r="F4179" s="1" t="s">
        <v>2695</v>
      </c>
      <c r="G4179" s="1" t="s">
        <v>5629</v>
      </c>
      <c r="H4179" s="1" t="s">
        <v>43</v>
      </c>
      <c r="I4179" s="1" t="s">
        <v>5653</v>
      </c>
    </row>
    <row r="4180" spans="1:10">
      <c r="A4180" s="7" t="s">
        <v>5701</v>
      </c>
      <c r="B4180" s="1" t="s">
        <v>2628</v>
      </c>
      <c r="C4180" s="1">
        <v>706</v>
      </c>
      <c r="D4180" s="1" t="s">
        <v>5656</v>
      </c>
      <c r="E4180" s="1" t="s">
        <v>6</v>
      </c>
      <c r="F4180" s="1" t="s">
        <v>2695</v>
      </c>
      <c r="G4180" s="1" t="s">
        <v>5635</v>
      </c>
      <c r="H4180" s="1" t="s">
        <v>43</v>
      </c>
      <c r="I4180" s="1" t="s">
        <v>5659</v>
      </c>
    </row>
    <row r="4181" spans="1:10">
      <c r="A4181" s="7" t="s">
        <v>5702</v>
      </c>
      <c r="B4181" s="1" t="s">
        <v>2628</v>
      </c>
      <c r="C4181" s="1">
        <v>706</v>
      </c>
      <c r="D4181" s="1" t="s">
        <v>5656</v>
      </c>
      <c r="E4181" s="1" t="s">
        <v>6</v>
      </c>
      <c r="F4181" s="1" t="s">
        <v>2695</v>
      </c>
      <c r="G4181" s="1" t="s">
        <v>5635</v>
      </c>
      <c r="H4181" s="1" t="s">
        <v>43</v>
      </c>
      <c r="I4181" s="1" t="s">
        <v>4789</v>
      </c>
    </row>
    <row r="4182" spans="1:10">
      <c r="A4182" s="7" t="s">
        <v>5703</v>
      </c>
      <c r="B4182" s="1" t="s">
        <v>2628</v>
      </c>
      <c r="C4182" s="1">
        <v>706</v>
      </c>
      <c r="D4182" s="1" t="s">
        <v>5656</v>
      </c>
      <c r="E4182" s="1" t="s">
        <v>6</v>
      </c>
      <c r="F4182" s="1" t="s">
        <v>2695</v>
      </c>
      <c r="G4182" s="1" t="s">
        <v>5635</v>
      </c>
      <c r="H4182" s="1" t="s">
        <v>43</v>
      </c>
      <c r="I4182" s="1" t="s">
        <v>5659</v>
      </c>
    </row>
    <row r="4183" spans="1:10">
      <c r="A4183" s="7" t="s">
        <v>5704</v>
      </c>
      <c r="B4183" s="1" t="s">
        <v>2628</v>
      </c>
      <c r="C4183" s="1">
        <v>706</v>
      </c>
      <c r="D4183" s="1" t="s">
        <v>5656</v>
      </c>
      <c r="E4183" s="1" t="s">
        <v>6</v>
      </c>
      <c r="F4183" s="1" t="s">
        <v>2695</v>
      </c>
      <c r="G4183" s="1" t="s">
        <v>5635</v>
      </c>
      <c r="H4183" s="1" t="s">
        <v>43</v>
      </c>
      <c r="I4183" s="1" t="s">
        <v>4789</v>
      </c>
    </row>
    <row r="4184" spans="1:10">
      <c r="A4184" s="7" t="s">
        <v>5705</v>
      </c>
      <c r="B4184" s="1" t="s">
        <v>2628</v>
      </c>
      <c r="C4184" s="1">
        <v>706</v>
      </c>
      <c r="D4184" s="1" t="s">
        <v>5656</v>
      </c>
      <c r="E4184" s="1" t="s">
        <v>6</v>
      </c>
      <c r="F4184" s="1" t="s">
        <v>2695</v>
      </c>
      <c r="G4184" s="1" t="s">
        <v>5635</v>
      </c>
      <c r="H4184" s="1" t="s">
        <v>43</v>
      </c>
      <c r="I4184" s="1" t="s">
        <v>4789</v>
      </c>
    </row>
    <row r="4185" spans="1:10">
      <c r="A4185" s="7" t="s">
        <v>5706</v>
      </c>
      <c r="B4185" s="1" t="s">
        <v>2628</v>
      </c>
      <c r="C4185" s="1">
        <v>706</v>
      </c>
      <c r="D4185" s="1" t="s">
        <v>5656</v>
      </c>
      <c r="E4185" s="1" t="s">
        <v>6</v>
      </c>
      <c r="F4185" s="1" t="s">
        <v>2695</v>
      </c>
      <c r="G4185" s="1" t="s">
        <v>5635</v>
      </c>
      <c r="H4185" s="1" t="s">
        <v>43</v>
      </c>
      <c r="I4185" s="1" t="s">
        <v>4789</v>
      </c>
    </row>
    <row r="4186" spans="1:10">
      <c r="A4186" s="7" t="s">
        <v>7988</v>
      </c>
      <c r="B4186" s="1" t="s">
        <v>2631</v>
      </c>
      <c r="C4186" s="1">
        <v>26</v>
      </c>
      <c r="D4186" s="1" t="s">
        <v>397</v>
      </c>
      <c r="E4186" s="1" t="s">
        <v>6</v>
      </c>
      <c r="F4186" s="1" t="s">
        <v>118</v>
      </c>
      <c r="G4186" s="1" t="s">
        <v>7989</v>
      </c>
      <c r="H4186" s="1" t="s">
        <v>5</v>
      </c>
      <c r="I4186" s="1" t="s">
        <v>6090</v>
      </c>
    </row>
    <row r="4187" spans="1:10" ht="28.8">
      <c r="A4187" s="16" t="s">
        <v>10101</v>
      </c>
      <c r="B4187" s="1" t="s">
        <v>2628</v>
      </c>
      <c r="C4187" s="1">
        <v>26</v>
      </c>
      <c r="D4187" s="1" t="s">
        <v>397</v>
      </c>
      <c r="E4187" s="1" t="s">
        <v>6</v>
      </c>
      <c r="F4187" s="1" t="s">
        <v>36</v>
      </c>
      <c r="G4187" s="14" t="s">
        <v>10102</v>
      </c>
      <c r="H4187" s="1" t="s">
        <v>5</v>
      </c>
      <c r="I4187" s="17">
        <v>40544</v>
      </c>
    </row>
    <row r="4188" spans="1:10">
      <c r="A4188" s="7" t="s">
        <v>7838</v>
      </c>
      <c r="B4188" s="1" t="s">
        <v>2631</v>
      </c>
      <c r="C4188" s="1">
        <v>26</v>
      </c>
      <c r="D4188" s="1" t="s">
        <v>397</v>
      </c>
      <c r="E4188" s="1" t="s">
        <v>6</v>
      </c>
      <c r="F4188" s="1" t="s">
        <v>5241</v>
      </c>
      <c r="G4188" s="1" t="s">
        <v>4800</v>
      </c>
      <c r="H4188" s="1" t="s">
        <v>27</v>
      </c>
      <c r="I4188" s="1">
        <v>2014</v>
      </c>
    </row>
    <row r="4189" spans="1:10">
      <c r="A4189" s="16" t="s">
        <v>5493</v>
      </c>
      <c r="B4189" s="1" t="s">
        <v>2628</v>
      </c>
      <c r="C4189" s="1">
        <v>288</v>
      </c>
      <c r="D4189" s="1" t="s">
        <v>186</v>
      </c>
      <c r="E4189" s="1" t="s">
        <v>10</v>
      </c>
      <c r="F4189" s="1" t="s">
        <v>2699</v>
      </c>
      <c r="G4189" s="14" t="s">
        <v>27</v>
      </c>
      <c r="H4189" s="1" t="s">
        <v>27</v>
      </c>
      <c r="I4189" s="17">
        <v>40179</v>
      </c>
    </row>
    <row r="4190" spans="1:10">
      <c r="A4190" s="7" t="s">
        <v>6767</v>
      </c>
      <c r="B4190" s="1" t="s">
        <v>2628</v>
      </c>
      <c r="C4190" s="1">
        <v>330</v>
      </c>
      <c r="D4190" s="1" t="s">
        <v>186</v>
      </c>
      <c r="E4190" s="1" t="s">
        <v>10</v>
      </c>
      <c r="F4190" s="1" t="s">
        <v>5241</v>
      </c>
      <c r="G4190" s="1" t="s">
        <v>4800</v>
      </c>
      <c r="H4190" s="1" t="s">
        <v>27</v>
      </c>
      <c r="I4190" s="1" t="s">
        <v>5855</v>
      </c>
    </row>
    <row r="4191" spans="1:10">
      <c r="A4191" s="7" t="s">
        <v>6039</v>
      </c>
      <c r="B4191" s="1" t="s">
        <v>2629</v>
      </c>
      <c r="C4191" s="1">
        <v>2645</v>
      </c>
      <c r="D4191" s="1" t="s">
        <v>186</v>
      </c>
      <c r="E4191" s="1" t="s">
        <v>10</v>
      </c>
      <c r="F4191" s="1" t="s">
        <v>2360</v>
      </c>
      <c r="G4191" s="1" t="s">
        <v>5</v>
      </c>
      <c r="H4191" s="1" t="s">
        <v>5</v>
      </c>
      <c r="I4191" s="1" t="s">
        <v>5848</v>
      </c>
      <c r="J4191" s="1"/>
    </row>
    <row r="4192" spans="1:10">
      <c r="A4192" s="7" t="s">
        <v>6389</v>
      </c>
      <c r="B4192" s="2" t="s">
        <v>2628</v>
      </c>
      <c r="C4192" s="1">
        <v>288</v>
      </c>
      <c r="D4192" s="1" t="s">
        <v>186</v>
      </c>
      <c r="E4192" s="1" t="s">
        <v>10</v>
      </c>
      <c r="F4192" s="1" t="s">
        <v>5091</v>
      </c>
      <c r="G4192" s="14" t="s">
        <v>6390</v>
      </c>
      <c r="H4192" s="1" t="s">
        <v>5</v>
      </c>
      <c r="I4192" s="1" t="s">
        <v>5807</v>
      </c>
      <c r="J4192" s="17"/>
    </row>
    <row r="4193" spans="1:10">
      <c r="A4193" s="7" t="s">
        <v>6705</v>
      </c>
      <c r="B4193" s="1" t="s">
        <v>2628</v>
      </c>
      <c r="C4193" s="1">
        <v>288</v>
      </c>
      <c r="D4193" s="1" t="s">
        <v>186</v>
      </c>
      <c r="E4193" s="1" t="s">
        <v>10</v>
      </c>
      <c r="F4193" s="1" t="s">
        <v>5091</v>
      </c>
      <c r="G4193" s="1" t="s">
        <v>6236</v>
      </c>
      <c r="H4193" s="1" t="s">
        <v>43</v>
      </c>
      <c r="I4193" s="1" t="s">
        <v>5807</v>
      </c>
    </row>
    <row r="4194" spans="1:10">
      <c r="A4194" s="7" t="s">
        <v>6914</v>
      </c>
      <c r="B4194" s="1" t="s">
        <v>2628</v>
      </c>
      <c r="C4194" s="1">
        <v>288</v>
      </c>
      <c r="D4194" s="1" t="s">
        <v>186</v>
      </c>
      <c r="E4194" s="1" t="s">
        <v>10</v>
      </c>
      <c r="F4194" s="1" t="s">
        <v>5091</v>
      </c>
      <c r="G4194" s="1" t="s">
        <v>6236</v>
      </c>
      <c r="H4194" s="1" t="s">
        <v>43</v>
      </c>
      <c r="I4194" s="1" t="s">
        <v>6090</v>
      </c>
      <c r="J4194" s="1"/>
    </row>
    <row r="4195" spans="1:10">
      <c r="A4195" s="7" t="s">
        <v>7184</v>
      </c>
      <c r="B4195" s="1" t="s">
        <v>2628</v>
      </c>
      <c r="C4195" s="1">
        <v>288</v>
      </c>
      <c r="D4195" s="1" t="s">
        <v>186</v>
      </c>
      <c r="E4195" s="1" t="s">
        <v>10</v>
      </c>
      <c r="F4195" s="1" t="s">
        <v>5091</v>
      </c>
      <c r="G4195" s="1" t="s">
        <v>6145</v>
      </c>
      <c r="H4195" s="1" t="s">
        <v>43</v>
      </c>
      <c r="I4195" s="1" t="s">
        <v>6090</v>
      </c>
      <c r="J4195" s="17"/>
    </row>
    <row r="4196" spans="1:10">
      <c r="A4196" s="7" t="s">
        <v>7237</v>
      </c>
      <c r="B4196" s="1" t="s">
        <v>2628</v>
      </c>
      <c r="C4196" s="1">
        <v>288</v>
      </c>
      <c r="D4196" s="1" t="s">
        <v>186</v>
      </c>
      <c r="E4196" s="1" t="s">
        <v>10</v>
      </c>
      <c r="F4196" s="1" t="s">
        <v>5091</v>
      </c>
      <c r="G4196" s="1" t="s">
        <v>6139</v>
      </c>
      <c r="H4196" s="1" t="s">
        <v>43</v>
      </c>
      <c r="I4196" s="1" t="s">
        <v>6090</v>
      </c>
      <c r="J4196" s="17"/>
    </row>
    <row r="4197" spans="1:10">
      <c r="A4197" s="7" t="s">
        <v>7240</v>
      </c>
      <c r="B4197" s="1" t="s">
        <v>2628</v>
      </c>
      <c r="C4197" s="1">
        <v>288</v>
      </c>
      <c r="D4197" s="1" t="s">
        <v>186</v>
      </c>
      <c r="E4197" s="1" t="s">
        <v>10</v>
      </c>
      <c r="F4197" s="1" t="s">
        <v>5091</v>
      </c>
      <c r="G4197" s="1" t="s">
        <v>6139</v>
      </c>
      <c r="H4197" s="1" t="s">
        <v>43</v>
      </c>
      <c r="I4197" s="1" t="s">
        <v>6090</v>
      </c>
      <c r="J4197" s="18"/>
    </row>
    <row r="4198" spans="1:10">
      <c r="A4198" s="7" t="s">
        <v>7241</v>
      </c>
      <c r="B4198" s="1" t="s">
        <v>2628</v>
      </c>
      <c r="C4198" s="1">
        <v>288</v>
      </c>
      <c r="D4198" s="1" t="s">
        <v>186</v>
      </c>
      <c r="E4198" s="1" t="s">
        <v>10</v>
      </c>
      <c r="F4198" s="1" t="s">
        <v>5091</v>
      </c>
      <c r="G4198" s="1" t="s">
        <v>6139</v>
      </c>
      <c r="H4198" s="1" t="s">
        <v>43</v>
      </c>
      <c r="I4198" s="1" t="s">
        <v>6090</v>
      </c>
      <c r="J4198" s="17"/>
    </row>
    <row r="4199" spans="1:10">
      <c r="A4199" s="7" t="s">
        <v>7242</v>
      </c>
      <c r="B4199" s="1" t="s">
        <v>2628</v>
      </c>
      <c r="C4199" s="1">
        <v>288</v>
      </c>
      <c r="D4199" s="1" t="s">
        <v>186</v>
      </c>
      <c r="E4199" s="1" t="s">
        <v>10</v>
      </c>
      <c r="F4199" s="1" t="s">
        <v>5091</v>
      </c>
      <c r="G4199" s="1" t="s">
        <v>6139</v>
      </c>
      <c r="H4199" s="1" t="s">
        <v>43</v>
      </c>
      <c r="I4199" s="1" t="s">
        <v>6090</v>
      </c>
      <c r="J4199" s="17"/>
    </row>
    <row r="4200" spans="1:10">
      <c r="A4200" s="16" t="s">
        <v>7441</v>
      </c>
      <c r="B4200" s="1" t="s">
        <v>2628</v>
      </c>
      <c r="C4200" s="1">
        <v>288</v>
      </c>
      <c r="D4200" s="1" t="s">
        <v>186</v>
      </c>
      <c r="E4200" s="1" t="s">
        <v>10</v>
      </c>
      <c r="F4200" s="1" t="s">
        <v>5091</v>
      </c>
      <c r="G4200" s="14" t="s">
        <v>6145</v>
      </c>
      <c r="H4200" s="1" t="s">
        <v>43</v>
      </c>
      <c r="I4200" s="17">
        <v>41456</v>
      </c>
    </row>
    <row r="4201" spans="1:10">
      <c r="A4201" s="16" t="s">
        <v>11206</v>
      </c>
      <c r="B4201" s="1" t="s">
        <v>2628</v>
      </c>
      <c r="C4201" s="1">
        <v>288</v>
      </c>
      <c r="D4201" s="1" t="s">
        <v>186</v>
      </c>
      <c r="E4201" s="1" t="s">
        <v>10</v>
      </c>
      <c r="F4201" s="1" t="s">
        <v>5091</v>
      </c>
      <c r="G4201" s="14" t="s">
        <v>9561</v>
      </c>
      <c r="H4201" s="1" t="s">
        <v>5</v>
      </c>
      <c r="I4201" s="17">
        <v>38707</v>
      </c>
    </row>
    <row r="4202" spans="1:10">
      <c r="A4202" s="16" t="s">
        <v>11430</v>
      </c>
      <c r="B4202" s="1" t="s">
        <v>2628</v>
      </c>
      <c r="C4202" s="1">
        <v>288</v>
      </c>
      <c r="D4202" s="1" t="s">
        <v>186</v>
      </c>
      <c r="E4202" s="1" t="s">
        <v>10</v>
      </c>
      <c r="F4202" s="1" t="s">
        <v>5091</v>
      </c>
      <c r="G4202" s="14" t="s">
        <v>4458</v>
      </c>
      <c r="H4202" s="1" t="s">
        <v>118</v>
      </c>
      <c r="I4202" s="1" t="s">
        <v>4458</v>
      </c>
    </row>
    <row r="4203" spans="1:10">
      <c r="A4203" s="16" t="s">
        <v>12724</v>
      </c>
      <c r="B4203" s="1" t="s">
        <v>2628</v>
      </c>
      <c r="C4203" s="1">
        <v>288</v>
      </c>
      <c r="D4203" s="1" t="s">
        <v>186</v>
      </c>
      <c r="E4203" s="1" t="s">
        <v>10</v>
      </c>
      <c r="F4203" s="1" t="s">
        <v>5091</v>
      </c>
      <c r="G4203" s="14" t="s">
        <v>4458</v>
      </c>
      <c r="H4203" s="1" t="s">
        <v>118</v>
      </c>
      <c r="I4203" s="17">
        <v>42830</v>
      </c>
    </row>
    <row r="4204" spans="1:10">
      <c r="A4204" s="16" t="s">
        <v>13091</v>
      </c>
      <c r="B4204" s="1" t="s">
        <v>2628</v>
      </c>
      <c r="C4204" s="1">
        <v>288</v>
      </c>
      <c r="D4204" s="1" t="s">
        <v>186</v>
      </c>
      <c r="E4204" s="1" t="s">
        <v>10</v>
      </c>
      <c r="F4204" s="1" t="s">
        <v>5091</v>
      </c>
      <c r="G4204" s="14" t="s">
        <v>6236</v>
      </c>
      <c r="H4204" s="1" t="s">
        <v>43</v>
      </c>
      <c r="I4204" s="17">
        <v>42736</v>
      </c>
    </row>
    <row r="4205" spans="1:10">
      <c r="A4205" s="16" t="s">
        <v>13580</v>
      </c>
      <c r="B4205" s="1" t="s">
        <v>2628</v>
      </c>
      <c r="C4205" s="1">
        <v>288</v>
      </c>
      <c r="D4205" s="1" t="s">
        <v>186</v>
      </c>
      <c r="E4205" s="1" t="s">
        <v>10</v>
      </c>
      <c r="F4205" s="1" t="s">
        <v>5091</v>
      </c>
      <c r="G4205" s="14" t="s">
        <v>7403</v>
      </c>
      <c r="H4205" s="1" t="s">
        <v>44</v>
      </c>
      <c r="I4205" s="17">
        <v>43031</v>
      </c>
    </row>
    <row r="4206" spans="1:10">
      <c r="A4206" s="16" t="s">
        <v>13631</v>
      </c>
      <c r="B4206" s="1" t="s">
        <v>2628</v>
      </c>
      <c r="C4206" s="1">
        <v>288</v>
      </c>
      <c r="D4206" s="1" t="s">
        <v>186</v>
      </c>
      <c r="E4206" s="1" t="s">
        <v>10</v>
      </c>
      <c r="F4206" s="1" t="s">
        <v>5091</v>
      </c>
      <c r="G4206" s="14" t="s">
        <v>6186</v>
      </c>
      <c r="H4206" s="1" t="s">
        <v>5</v>
      </c>
      <c r="I4206" s="17">
        <v>42736</v>
      </c>
    </row>
    <row r="4207" spans="1:10">
      <c r="A4207" s="16" t="s">
        <v>13691</v>
      </c>
      <c r="B4207" s="1" t="s">
        <v>2628</v>
      </c>
      <c r="C4207" s="1">
        <v>288</v>
      </c>
      <c r="D4207" s="1" t="s">
        <v>186</v>
      </c>
      <c r="E4207" s="1" t="s">
        <v>10</v>
      </c>
      <c r="F4207" s="1" t="s">
        <v>5091</v>
      </c>
      <c r="G4207" s="14" t="s">
        <v>6145</v>
      </c>
      <c r="H4207" s="1" t="s">
        <v>43</v>
      </c>
      <c r="I4207" s="17">
        <v>43067</v>
      </c>
    </row>
    <row r="4208" spans="1:10">
      <c r="A4208" s="16" t="s">
        <v>13697</v>
      </c>
      <c r="B4208" s="1" t="s">
        <v>2628</v>
      </c>
      <c r="C4208" s="1">
        <v>288</v>
      </c>
      <c r="D4208" s="1" t="s">
        <v>186</v>
      </c>
      <c r="E4208" s="1" t="s">
        <v>10</v>
      </c>
      <c r="F4208" s="1" t="s">
        <v>5091</v>
      </c>
      <c r="G4208" s="14" t="s">
        <v>6145</v>
      </c>
      <c r="H4208" s="1" t="s">
        <v>43</v>
      </c>
      <c r="I4208" s="17">
        <v>43067</v>
      </c>
    </row>
    <row r="4209" spans="1:10">
      <c r="A4209" s="16" t="s">
        <v>13699</v>
      </c>
      <c r="B4209" s="1" t="s">
        <v>2628</v>
      </c>
      <c r="C4209" s="1">
        <v>288</v>
      </c>
      <c r="D4209" s="1" t="s">
        <v>186</v>
      </c>
      <c r="E4209" s="1" t="s">
        <v>10</v>
      </c>
      <c r="F4209" s="1" t="s">
        <v>5091</v>
      </c>
      <c r="G4209" s="14" t="s">
        <v>6145</v>
      </c>
      <c r="H4209" s="1" t="s">
        <v>43</v>
      </c>
      <c r="I4209" s="17">
        <v>43067</v>
      </c>
    </row>
    <row r="4210" spans="1:10">
      <c r="A4210" s="16" t="s">
        <v>13705</v>
      </c>
      <c r="B4210" s="1" t="s">
        <v>2628</v>
      </c>
      <c r="C4210" s="1">
        <v>288</v>
      </c>
      <c r="D4210" s="1" t="s">
        <v>186</v>
      </c>
      <c r="E4210" s="1" t="s">
        <v>10</v>
      </c>
      <c r="F4210" s="1" t="s">
        <v>5091</v>
      </c>
      <c r="G4210" s="14" t="s">
        <v>6238</v>
      </c>
      <c r="H4210" s="1" t="s">
        <v>43</v>
      </c>
      <c r="I4210" s="17">
        <v>42736</v>
      </c>
    </row>
    <row r="4211" spans="1:10">
      <c r="A4211" s="16" t="s">
        <v>13742</v>
      </c>
      <c r="B4211" s="1" t="s">
        <v>2628</v>
      </c>
      <c r="C4211" s="1">
        <v>288</v>
      </c>
      <c r="D4211" s="1" t="s">
        <v>186</v>
      </c>
      <c r="E4211" s="1" t="s">
        <v>10</v>
      </c>
      <c r="F4211" s="1" t="s">
        <v>5091</v>
      </c>
      <c r="G4211" s="14" t="s">
        <v>13743</v>
      </c>
      <c r="H4211" s="1" t="s">
        <v>5</v>
      </c>
      <c r="I4211" s="17">
        <v>43069</v>
      </c>
    </row>
    <row r="4212" spans="1:10">
      <c r="A4212" s="16" t="s">
        <v>13783</v>
      </c>
      <c r="B4212" s="1" t="s">
        <v>2628</v>
      </c>
      <c r="C4212" s="1">
        <v>288</v>
      </c>
      <c r="D4212" s="1" t="s">
        <v>186</v>
      </c>
      <c r="E4212" s="1" t="s">
        <v>10</v>
      </c>
      <c r="F4212" s="1" t="s">
        <v>2698</v>
      </c>
      <c r="G4212" s="14" t="s">
        <v>6307</v>
      </c>
      <c r="H4212" s="1" t="s">
        <v>44</v>
      </c>
      <c r="I4212" s="17">
        <v>40909</v>
      </c>
    </row>
    <row r="4213" spans="1:10">
      <c r="A4213" s="16" t="s">
        <v>14326</v>
      </c>
      <c r="B4213" s="1" t="s">
        <v>2628</v>
      </c>
      <c r="C4213" s="1">
        <v>288</v>
      </c>
      <c r="D4213" s="1" t="s">
        <v>186</v>
      </c>
      <c r="E4213" s="1" t="s">
        <v>10</v>
      </c>
      <c r="F4213" s="1" t="s">
        <v>5091</v>
      </c>
      <c r="G4213" s="14" t="s">
        <v>6145</v>
      </c>
      <c r="H4213" s="1" t="s">
        <v>43</v>
      </c>
      <c r="I4213" s="17">
        <v>43188</v>
      </c>
    </row>
    <row r="4214" spans="1:10">
      <c r="A4214" s="16" t="s">
        <v>14327</v>
      </c>
      <c r="B4214" s="1" t="s">
        <v>2628</v>
      </c>
      <c r="C4214" s="1">
        <v>288</v>
      </c>
      <c r="D4214" s="1" t="s">
        <v>186</v>
      </c>
      <c r="E4214" s="1" t="s">
        <v>10</v>
      </c>
      <c r="F4214" s="1" t="s">
        <v>5091</v>
      </c>
      <c r="G4214" s="14" t="s">
        <v>6145</v>
      </c>
      <c r="H4214" s="1" t="s">
        <v>43</v>
      </c>
      <c r="I4214" s="17">
        <v>43188</v>
      </c>
    </row>
    <row r="4215" spans="1:10">
      <c r="A4215" s="16" t="s">
        <v>14329</v>
      </c>
      <c r="B4215" s="1" t="s">
        <v>2628</v>
      </c>
      <c r="C4215" s="1">
        <v>288</v>
      </c>
      <c r="D4215" s="1" t="s">
        <v>186</v>
      </c>
      <c r="E4215" s="1" t="s">
        <v>10</v>
      </c>
      <c r="F4215" s="1" t="s">
        <v>5091</v>
      </c>
      <c r="G4215" s="14" t="s">
        <v>6145</v>
      </c>
      <c r="H4215" s="1" t="s">
        <v>43</v>
      </c>
      <c r="I4215" s="17">
        <v>43188</v>
      </c>
    </row>
    <row r="4216" spans="1:10">
      <c r="A4216" s="16" t="s">
        <v>14330</v>
      </c>
      <c r="B4216" s="1" t="s">
        <v>2628</v>
      </c>
      <c r="C4216" s="1">
        <v>288</v>
      </c>
      <c r="D4216" s="1" t="s">
        <v>186</v>
      </c>
      <c r="E4216" s="1" t="s">
        <v>10</v>
      </c>
      <c r="F4216" s="1" t="s">
        <v>5091</v>
      </c>
      <c r="G4216" s="14" t="s">
        <v>6145</v>
      </c>
      <c r="H4216" s="1" t="s">
        <v>43</v>
      </c>
      <c r="I4216" s="17">
        <v>43188</v>
      </c>
    </row>
    <row r="4217" spans="1:10">
      <c r="A4217" s="16" t="s">
        <v>14331</v>
      </c>
      <c r="B4217" s="1" t="s">
        <v>2628</v>
      </c>
      <c r="C4217" s="1">
        <v>288</v>
      </c>
      <c r="D4217" s="1" t="s">
        <v>186</v>
      </c>
      <c r="E4217" s="1" t="s">
        <v>10</v>
      </c>
      <c r="F4217" s="1" t="s">
        <v>5091</v>
      </c>
      <c r="G4217" s="14" t="s">
        <v>6145</v>
      </c>
      <c r="H4217" s="1" t="s">
        <v>43</v>
      </c>
      <c r="I4217" s="17">
        <v>43187</v>
      </c>
    </row>
    <row r="4218" spans="1:10">
      <c r="A4218" s="16" t="s">
        <v>14610</v>
      </c>
      <c r="B4218" s="1" t="s">
        <v>2628</v>
      </c>
      <c r="C4218" s="1">
        <v>288</v>
      </c>
      <c r="D4218" s="1" t="s">
        <v>186</v>
      </c>
      <c r="E4218" s="1" t="s">
        <v>10</v>
      </c>
      <c r="F4218" s="1" t="s">
        <v>5091</v>
      </c>
      <c r="G4218" s="14" t="s">
        <v>6145</v>
      </c>
      <c r="H4218" s="1" t="s">
        <v>43</v>
      </c>
      <c r="I4218" s="17">
        <v>43269</v>
      </c>
    </row>
    <row r="4219" spans="1:10">
      <c r="A4219" s="16" t="s">
        <v>14611</v>
      </c>
      <c r="B4219" s="1" t="s">
        <v>2628</v>
      </c>
      <c r="C4219" s="1">
        <v>288</v>
      </c>
      <c r="D4219" s="1" t="s">
        <v>186</v>
      </c>
      <c r="E4219" s="1" t="s">
        <v>10</v>
      </c>
      <c r="F4219" s="1" t="s">
        <v>5091</v>
      </c>
      <c r="G4219" s="14" t="s">
        <v>6145</v>
      </c>
      <c r="H4219" s="1" t="s">
        <v>43</v>
      </c>
      <c r="I4219" s="17">
        <v>43269</v>
      </c>
    </row>
    <row r="4220" spans="1:10">
      <c r="A4220" s="16" t="s">
        <v>14664</v>
      </c>
      <c r="B4220" s="1" t="s">
        <v>2628</v>
      </c>
      <c r="C4220" s="1">
        <v>288</v>
      </c>
      <c r="D4220" s="1" t="s">
        <v>186</v>
      </c>
      <c r="E4220" s="1" t="s">
        <v>10</v>
      </c>
      <c r="F4220" s="1" t="s">
        <v>5091</v>
      </c>
      <c r="G4220" s="14" t="s">
        <v>6186</v>
      </c>
      <c r="H4220" s="1" t="s">
        <v>5</v>
      </c>
      <c r="I4220" s="17">
        <v>43101</v>
      </c>
    </row>
    <row r="4221" spans="1:10">
      <c r="A4221" s="21" t="s">
        <v>14968</v>
      </c>
      <c r="B4221" s="13" t="s">
        <v>16953</v>
      </c>
      <c r="C4221" s="13">
        <v>330</v>
      </c>
      <c r="D4221" s="13" t="s">
        <v>186</v>
      </c>
      <c r="E4221" s="13" t="s">
        <v>10</v>
      </c>
      <c r="F4221" s="13" t="s">
        <v>5241</v>
      </c>
      <c r="G4221" s="13" t="s">
        <v>4803</v>
      </c>
      <c r="H4221" s="13" t="s">
        <v>5</v>
      </c>
      <c r="I4221" s="18">
        <v>43252</v>
      </c>
      <c r="J4221" s="17"/>
    </row>
    <row r="4222" spans="1:10">
      <c r="A4222" s="16" t="s">
        <v>15651</v>
      </c>
      <c r="B4222" s="1" t="s">
        <v>2628</v>
      </c>
      <c r="C4222" s="1">
        <v>288</v>
      </c>
      <c r="D4222" s="1" t="s">
        <v>186</v>
      </c>
      <c r="E4222" s="1" t="s">
        <v>10</v>
      </c>
      <c r="F4222" s="1" t="s">
        <v>5091</v>
      </c>
      <c r="G4222" s="14" t="s">
        <v>15652</v>
      </c>
      <c r="H4222" s="1" t="s">
        <v>5</v>
      </c>
      <c r="I4222" s="17">
        <v>41640</v>
      </c>
    </row>
    <row r="4223" spans="1:10">
      <c r="A4223" s="16" t="s">
        <v>15659</v>
      </c>
      <c r="B4223" s="1" t="s">
        <v>2628</v>
      </c>
      <c r="C4223" s="1">
        <v>288</v>
      </c>
      <c r="D4223" s="1" t="s">
        <v>186</v>
      </c>
      <c r="E4223" s="1" t="s">
        <v>10</v>
      </c>
      <c r="F4223" s="1" t="s">
        <v>5091</v>
      </c>
      <c r="G4223" s="14" t="s">
        <v>2400</v>
      </c>
      <c r="H4223" s="1" t="s">
        <v>43</v>
      </c>
      <c r="I4223" s="17">
        <v>42278</v>
      </c>
    </row>
    <row r="4224" spans="1:10">
      <c r="A4224" s="16" t="s">
        <v>15684</v>
      </c>
      <c r="B4224" s="1" t="s">
        <v>2628</v>
      </c>
      <c r="C4224" s="1">
        <v>288</v>
      </c>
      <c r="D4224" s="1" t="s">
        <v>186</v>
      </c>
      <c r="E4224" s="1" t="s">
        <v>10</v>
      </c>
      <c r="F4224" s="1" t="s">
        <v>5091</v>
      </c>
      <c r="G4224" s="14" t="s">
        <v>6236</v>
      </c>
      <c r="H4224" s="1" t="s">
        <v>43</v>
      </c>
      <c r="I4224" s="17">
        <v>43101</v>
      </c>
    </row>
    <row r="4225" spans="1:9">
      <c r="A4225" s="7" t="s">
        <v>15763</v>
      </c>
      <c r="B4225" s="2" t="s">
        <v>2628</v>
      </c>
      <c r="C4225" s="1">
        <v>330</v>
      </c>
      <c r="D4225" s="1" t="s">
        <v>186</v>
      </c>
      <c r="E4225" s="1" t="s">
        <v>10</v>
      </c>
      <c r="F4225" s="1" t="s">
        <v>5091</v>
      </c>
      <c r="G4225" s="14" t="s">
        <v>15764</v>
      </c>
      <c r="H4225" s="1" t="s">
        <v>43</v>
      </c>
      <c r="I4225" s="1" t="s">
        <v>5089</v>
      </c>
    </row>
    <row r="4226" spans="1:9">
      <c r="A4226" s="7" t="s">
        <v>15775</v>
      </c>
      <c r="B4226" s="2" t="s">
        <v>2628</v>
      </c>
      <c r="C4226" s="1">
        <v>330</v>
      </c>
      <c r="D4226" s="1" t="s">
        <v>186</v>
      </c>
      <c r="E4226" s="1" t="s">
        <v>10</v>
      </c>
      <c r="F4226" s="1" t="s">
        <v>5091</v>
      </c>
      <c r="G4226" s="14" t="s">
        <v>15776</v>
      </c>
      <c r="H4226" s="1" t="s">
        <v>44</v>
      </c>
      <c r="I4226" s="17">
        <v>38685</v>
      </c>
    </row>
    <row r="4227" spans="1:9">
      <c r="A4227" s="7" t="s">
        <v>15834</v>
      </c>
      <c r="B4227" s="2" t="s">
        <v>2628</v>
      </c>
      <c r="C4227" s="1">
        <v>288</v>
      </c>
      <c r="D4227" s="1" t="s">
        <v>186</v>
      </c>
      <c r="E4227" s="1" t="s">
        <v>10</v>
      </c>
      <c r="F4227" s="1" t="s">
        <v>5091</v>
      </c>
      <c r="G4227" s="14" t="s">
        <v>6236</v>
      </c>
      <c r="H4227" s="1" t="s">
        <v>43</v>
      </c>
      <c r="I4227" s="1" t="s">
        <v>5801</v>
      </c>
    </row>
    <row r="4228" spans="1:9">
      <c r="A4228" s="7" t="s">
        <v>16013</v>
      </c>
      <c r="B4228" s="2" t="s">
        <v>2628</v>
      </c>
      <c r="C4228" s="1">
        <v>288</v>
      </c>
      <c r="D4228" s="1" t="s">
        <v>186</v>
      </c>
      <c r="E4228" s="1" t="s">
        <v>10</v>
      </c>
      <c r="F4228" s="1" t="s">
        <v>5091</v>
      </c>
      <c r="G4228" s="14" t="s">
        <v>16014</v>
      </c>
      <c r="H4228" s="1" t="s">
        <v>5</v>
      </c>
      <c r="I4228" s="1">
        <v>1998</v>
      </c>
    </row>
    <row r="4229" spans="1:9">
      <c r="A4229" s="7" t="s">
        <v>16023</v>
      </c>
      <c r="B4229" s="2" t="s">
        <v>2628</v>
      </c>
      <c r="C4229" s="1">
        <v>288</v>
      </c>
      <c r="D4229" s="1" t="s">
        <v>186</v>
      </c>
      <c r="E4229" s="1" t="s">
        <v>10</v>
      </c>
      <c r="F4229" s="1" t="s">
        <v>5091</v>
      </c>
      <c r="G4229" s="14" t="s">
        <v>6139</v>
      </c>
      <c r="H4229" s="1" t="s">
        <v>43</v>
      </c>
      <c r="I4229" s="1" t="s">
        <v>5807</v>
      </c>
    </row>
    <row r="4230" spans="1:9">
      <c r="A4230" s="7" t="s">
        <v>16024</v>
      </c>
      <c r="B4230" s="2" t="s">
        <v>2628</v>
      </c>
      <c r="C4230" s="1">
        <v>288</v>
      </c>
      <c r="D4230" s="1" t="s">
        <v>186</v>
      </c>
      <c r="E4230" s="1" t="s">
        <v>10</v>
      </c>
      <c r="F4230" s="1" t="s">
        <v>5091</v>
      </c>
      <c r="G4230" s="14" t="s">
        <v>6139</v>
      </c>
      <c r="H4230" s="1" t="s">
        <v>43</v>
      </c>
      <c r="I4230" s="1" t="s">
        <v>5807</v>
      </c>
    </row>
    <row r="4231" spans="1:9">
      <c r="A4231" s="7" t="s">
        <v>16025</v>
      </c>
      <c r="B4231" s="2" t="s">
        <v>2628</v>
      </c>
      <c r="C4231" s="1">
        <v>288</v>
      </c>
      <c r="D4231" s="1" t="s">
        <v>186</v>
      </c>
      <c r="E4231" s="1" t="s">
        <v>10</v>
      </c>
      <c r="F4231" s="1" t="s">
        <v>5091</v>
      </c>
      <c r="G4231" s="14" t="s">
        <v>6139</v>
      </c>
      <c r="H4231" s="1" t="s">
        <v>43</v>
      </c>
      <c r="I4231" s="1" t="s">
        <v>5807</v>
      </c>
    </row>
    <row r="4232" spans="1:9">
      <c r="A4232" s="7" t="s">
        <v>16026</v>
      </c>
      <c r="B4232" s="2" t="s">
        <v>2628</v>
      </c>
      <c r="C4232" s="1">
        <v>288</v>
      </c>
      <c r="D4232" s="1" t="s">
        <v>186</v>
      </c>
      <c r="E4232" s="1" t="s">
        <v>10</v>
      </c>
      <c r="F4232" s="1" t="s">
        <v>5091</v>
      </c>
      <c r="G4232" s="14" t="s">
        <v>6139</v>
      </c>
      <c r="H4232" s="1" t="s">
        <v>43</v>
      </c>
      <c r="I4232" s="1" t="s">
        <v>5807</v>
      </c>
    </row>
    <row r="4233" spans="1:9">
      <c r="A4233" s="16" t="s">
        <v>5080</v>
      </c>
      <c r="B4233" s="1" t="s">
        <v>2631</v>
      </c>
      <c r="C4233" s="1">
        <v>330</v>
      </c>
      <c r="D4233" s="1" t="s">
        <v>186</v>
      </c>
      <c r="E4233" s="1" t="s">
        <v>10</v>
      </c>
      <c r="F4233" s="1" t="s">
        <v>2573</v>
      </c>
      <c r="G4233" s="1" t="s">
        <v>4800</v>
      </c>
      <c r="H4233" s="1" t="s">
        <v>27</v>
      </c>
      <c r="I4233" s="17">
        <v>39814</v>
      </c>
    </row>
    <row r="4234" spans="1:9">
      <c r="A4234" s="16" t="s">
        <v>4853</v>
      </c>
      <c r="B4234" s="1" t="s">
        <v>2628</v>
      </c>
      <c r="C4234" s="1">
        <v>3</v>
      </c>
      <c r="D4234" s="1" t="s">
        <v>11</v>
      </c>
      <c r="E4234" s="1" t="s">
        <v>10</v>
      </c>
      <c r="F4234" s="1" t="s">
        <v>2693</v>
      </c>
      <c r="G4234" s="14" t="s">
        <v>27</v>
      </c>
      <c r="H4234" s="1" t="s">
        <v>27</v>
      </c>
      <c r="I4234" s="17">
        <v>40909</v>
      </c>
    </row>
    <row r="4235" spans="1:9">
      <c r="A4235" s="16" t="s">
        <v>4860</v>
      </c>
      <c r="B4235" s="1" t="s">
        <v>2628</v>
      </c>
      <c r="C4235" s="1">
        <v>3</v>
      </c>
      <c r="D4235" s="1" t="s">
        <v>11</v>
      </c>
      <c r="E4235" s="1" t="s">
        <v>10</v>
      </c>
      <c r="F4235" s="1" t="s">
        <v>2693</v>
      </c>
      <c r="G4235" s="14" t="s">
        <v>27</v>
      </c>
      <c r="H4235" s="1" t="s">
        <v>27</v>
      </c>
      <c r="I4235" s="17">
        <v>40909</v>
      </c>
    </row>
    <row r="4236" spans="1:9">
      <c r="A4236" s="16" t="s">
        <v>4868</v>
      </c>
      <c r="B4236" s="1" t="s">
        <v>2628</v>
      </c>
      <c r="C4236" s="1">
        <v>3</v>
      </c>
      <c r="D4236" s="1" t="s">
        <v>11</v>
      </c>
      <c r="E4236" s="1" t="s">
        <v>10</v>
      </c>
      <c r="F4236" s="1" t="s">
        <v>2693</v>
      </c>
      <c r="G4236" s="14" t="s">
        <v>27</v>
      </c>
      <c r="H4236" s="1" t="s">
        <v>27</v>
      </c>
      <c r="I4236" s="17">
        <v>41275</v>
      </c>
    </row>
    <row r="4237" spans="1:9">
      <c r="A4237" s="16" t="s">
        <v>4873</v>
      </c>
      <c r="B4237" s="1" t="s">
        <v>2628</v>
      </c>
      <c r="C4237" s="1">
        <v>3</v>
      </c>
      <c r="D4237" s="1" t="s">
        <v>11</v>
      </c>
      <c r="E4237" s="1" t="s">
        <v>10</v>
      </c>
      <c r="F4237" s="1" t="s">
        <v>2693</v>
      </c>
      <c r="G4237" s="14" t="s">
        <v>27</v>
      </c>
      <c r="H4237" s="1" t="s">
        <v>27</v>
      </c>
      <c r="I4237" s="17">
        <v>41275</v>
      </c>
    </row>
    <row r="4238" spans="1:9">
      <c r="A4238" s="16" t="s">
        <v>4874</v>
      </c>
      <c r="B4238" s="1" t="s">
        <v>2628</v>
      </c>
      <c r="C4238" s="1">
        <v>3</v>
      </c>
      <c r="D4238" s="1" t="s">
        <v>11</v>
      </c>
      <c r="E4238" s="1" t="s">
        <v>10</v>
      </c>
      <c r="F4238" s="1" t="s">
        <v>2693</v>
      </c>
      <c r="G4238" s="14" t="s">
        <v>27</v>
      </c>
      <c r="H4238" s="1" t="s">
        <v>27</v>
      </c>
      <c r="I4238" s="17">
        <v>41275</v>
      </c>
    </row>
    <row r="4239" spans="1:9">
      <c r="A4239" s="16" t="s">
        <v>4878</v>
      </c>
      <c r="B4239" s="1" t="s">
        <v>2628</v>
      </c>
      <c r="C4239" s="1">
        <v>3</v>
      </c>
      <c r="D4239" s="1" t="s">
        <v>11</v>
      </c>
      <c r="E4239" s="1" t="s">
        <v>10</v>
      </c>
      <c r="F4239" s="1" t="s">
        <v>2693</v>
      </c>
      <c r="G4239" s="14" t="s">
        <v>27</v>
      </c>
      <c r="H4239" s="1" t="s">
        <v>27</v>
      </c>
      <c r="I4239" s="17">
        <v>41275</v>
      </c>
    </row>
    <row r="4240" spans="1:9">
      <c r="A4240" s="16" t="s">
        <v>4883</v>
      </c>
      <c r="B4240" s="1" t="s">
        <v>2628</v>
      </c>
      <c r="C4240" s="1">
        <v>3</v>
      </c>
      <c r="D4240" s="1" t="s">
        <v>11</v>
      </c>
      <c r="E4240" s="1" t="s">
        <v>10</v>
      </c>
      <c r="F4240" s="1" t="s">
        <v>2693</v>
      </c>
      <c r="G4240" s="14" t="s">
        <v>27</v>
      </c>
      <c r="H4240" s="1" t="s">
        <v>27</v>
      </c>
      <c r="I4240" s="17">
        <v>41275</v>
      </c>
    </row>
    <row r="4241" spans="1:10">
      <c r="A4241" s="16" t="s">
        <v>4896</v>
      </c>
      <c r="B4241" s="1" t="s">
        <v>2628</v>
      </c>
      <c r="C4241" s="1">
        <v>3</v>
      </c>
      <c r="D4241" s="1" t="s">
        <v>11</v>
      </c>
      <c r="E4241" s="1" t="s">
        <v>10</v>
      </c>
      <c r="F4241" s="1" t="s">
        <v>2693</v>
      </c>
      <c r="G4241" s="14" t="s">
        <v>27</v>
      </c>
      <c r="H4241" s="1" t="s">
        <v>27</v>
      </c>
      <c r="I4241" s="17">
        <v>41275</v>
      </c>
    </row>
    <row r="4242" spans="1:10">
      <c r="A4242" s="16" t="s">
        <v>4929</v>
      </c>
      <c r="B4242" s="1" t="s">
        <v>2628</v>
      </c>
      <c r="C4242" s="1">
        <v>3</v>
      </c>
      <c r="D4242" s="1" t="s">
        <v>11</v>
      </c>
      <c r="E4242" s="1" t="s">
        <v>10</v>
      </c>
      <c r="F4242" s="1" t="s">
        <v>2693</v>
      </c>
      <c r="G4242" s="14" t="s">
        <v>27</v>
      </c>
      <c r="H4242" s="1" t="s">
        <v>27</v>
      </c>
      <c r="I4242" s="17">
        <v>41640</v>
      </c>
    </row>
    <row r="4243" spans="1:10">
      <c r="A4243" s="16" t="s">
        <v>4932</v>
      </c>
      <c r="B4243" s="1" t="s">
        <v>2628</v>
      </c>
      <c r="C4243" s="1">
        <v>3</v>
      </c>
      <c r="D4243" s="1" t="s">
        <v>11</v>
      </c>
      <c r="E4243" s="1" t="s">
        <v>10</v>
      </c>
      <c r="F4243" s="1" t="s">
        <v>2693</v>
      </c>
      <c r="G4243" s="14" t="s">
        <v>27</v>
      </c>
      <c r="H4243" s="1" t="s">
        <v>27</v>
      </c>
      <c r="I4243" s="17">
        <v>41275</v>
      </c>
    </row>
    <row r="4244" spans="1:10">
      <c r="A4244" s="16" t="s">
        <v>4937</v>
      </c>
      <c r="B4244" s="1" t="s">
        <v>2628</v>
      </c>
      <c r="C4244" s="1">
        <v>3</v>
      </c>
      <c r="D4244" s="1" t="s">
        <v>11</v>
      </c>
      <c r="E4244" s="1" t="s">
        <v>10</v>
      </c>
      <c r="F4244" s="1" t="s">
        <v>2693</v>
      </c>
      <c r="G4244" s="14" t="s">
        <v>27</v>
      </c>
      <c r="H4244" s="1" t="s">
        <v>27</v>
      </c>
      <c r="I4244" s="17">
        <v>41640</v>
      </c>
    </row>
    <row r="4245" spans="1:10">
      <c r="A4245" s="16" t="s">
        <v>4938</v>
      </c>
      <c r="B4245" s="1" t="s">
        <v>2628</v>
      </c>
      <c r="C4245" s="1">
        <v>3</v>
      </c>
      <c r="D4245" s="1" t="s">
        <v>11</v>
      </c>
      <c r="E4245" s="1" t="s">
        <v>10</v>
      </c>
      <c r="F4245" s="1" t="s">
        <v>2693</v>
      </c>
      <c r="G4245" s="14" t="s">
        <v>27</v>
      </c>
      <c r="H4245" s="1" t="s">
        <v>27</v>
      </c>
      <c r="I4245" s="17">
        <v>41640</v>
      </c>
    </row>
    <row r="4246" spans="1:10">
      <c r="A4246" s="16" t="s">
        <v>4952</v>
      </c>
      <c r="B4246" s="1" t="s">
        <v>2628</v>
      </c>
      <c r="C4246" s="1">
        <v>3</v>
      </c>
      <c r="D4246" s="1" t="s">
        <v>11</v>
      </c>
      <c r="E4246" s="1" t="s">
        <v>10</v>
      </c>
      <c r="F4246" s="1" t="s">
        <v>2693</v>
      </c>
      <c r="G4246" s="14" t="s">
        <v>27</v>
      </c>
      <c r="H4246" s="1" t="s">
        <v>27</v>
      </c>
      <c r="I4246" s="17">
        <v>41275</v>
      </c>
    </row>
    <row r="4247" spans="1:10">
      <c r="A4247" s="16" t="s">
        <v>4959</v>
      </c>
      <c r="B4247" s="1" t="s">
        <v>2628</v>
      </c>
      <c r="C4247" s="1">
        <v>3</v>
      </c>
      <c r="D4247" s="1" t="s">
        <v>11</v>
      </c>
      <c r="E4247" s="1" t="s">
        <v>10</v>
      </c>
      <c r="F4247" s="1" t="s">
        <v>2693</v>
      </c>
      <c r="G4247" s="14" t="s">
        <v>27</v>
      </c>
      <c r="H4247" s="1" t="s">
        <v>27</v>
      </c>
      <c r="I4247" s="17">
        <v>41640</v>
      </c>
    </row>
    <row r="4248" spans="1:10">
      <c r="A4248" s="16" t="s">
        <v>4960</v>
      </c>
      <c r="B4248" s="1" t="s">
        <v>2628</v>
      </c>
      <c r="C4248" s="1">
        <v>896</v>
      </c>
      <c r="D4248" s="1" t="s">
        <v>11</v>
      </c>
      <c r="E4248" s="1" t="s">
        <v>10</v>
      </c>
      <c r="F4248" s="1" t="s">
        <v>2693</v>
      </c>
      <c r="G4248" s="14" t="s">
        <v>27</v>
      </c>
      <c r="H4248" s="1" t="s">
        <v>27</v>
      </c>
      <c r="I4248" s="17">
        <v>41640</v>
      </c>
    </row>
    <row r="4249" spans="1:10">
      <c r="A4249" s="16" t="s">
        <v>4984</v>
      </c>
      <c r="B4249" s="1" t="s">
        <v>2628</v>
      </c>
      <c r="C4249" s="1">
        <v>3</v>
      </c>
      <c r="D4249" s="1" t="s">
        <v>11</v>
      </c>
      <c r="E4249" s="1" t="s">
        <v>10</v>
      </c>
      <c r="F4249" s="1" t="s">
        <v>2693</v>
      </c>
      <c r="G4249" s="14" t="s">
        <v>27</v>
      </c>
      <c r="H4249" s="1" t="s">
        <v>27</v>
      </c>
      <c r="I4249" s="17">
        <v>42005</v>
      </c>
    </row>
    <row r="4250" spans="1:10">
      <c r="A4250" s="16" t="s">
        <v>5430</v>
      </c>
      <c r="B4250" s="1" t="s">
        <v>2628</v>
      </c>
      <c r="C4250" s="1">
        <v>3</v>
      </c>
      <c r="D4250" s="1" t="s">
        <v>11</v>
      </c>
      <c r="E4250" s="1" t="s">
        <v>10</v>
      </c>
      <c r="F4250" s="1" t="s">
        <v>588</v>
      </c>
      <c r="G4250" s="14" t="s">
        <v>27</v>
      </c>
      <c r="H4250" s="1" t="s">
        <v>27</v>
      </c>
      <c r="I4250" s="17">
        <v>42014</v>
      </c>
    </row>
    <row r="4251" spans="1:10">
      <c r="A4251" s="16" t="s">
        <v>5434</v>
      </c>
      <c r="B4251" s="1" t="s">
        <v>2628</v>
      </c>
      <c r="C4251" s="1">
        <v>3</v>
      </c>
      <c r="D4251" s="1" t="s">
        <v>11</v>
      </c>
      <c r="E4251" s="1" t="s">
        <v>10</v>
      </c>
      <c r="F4251" s="1" t="s">
        <v>588</v>
      </c>
      <c r="G4251" s="14" t="s">
        <v>27</v>
      </c>
      <c r="H4251" s="1" t="s">
        <v>27</v>
      </c>
      <c r="I4251" s="17">
        <v>42149</v>
      </c>
    </row>
    <row r="4252" spans="1:10">
      <c r="A4252" s="16" t="s">
        <v>5440</v>
      </c>
      <c r="B4252" s="1" t="s">
        <v>2628</v>
      </c>
      <c r="C4252" s="1">
        <v>3</v>
      </c>
      <c r="D4252" s="1" t="s">
        <v>11</v>
      </c>
      <c r="E4252" s="1" t="s">
        <v>10</v>
      </c>
      <c r="F4252" s="1" t="s">
        <v>588</v>
      </c>
      <c r="G4252" s="14" t="s">
        <v>27</v>
      </c>
      <c r="H4252" s="1" t="s">
        <v>27</v>
      </c>
      <c r="I4252" s="17">
        <v>42414</v>
      </c>
    </row>
    <row r="4253" spans="1:10">
      <c r="A4253" s="16" t="s">
        <v>5442</v>
      </c>
      <c r="B4253" s="1" t="s">
        <v>2628</v>
      </c>
      <c r="C4253" s="1">
        <v>3</v>
      </c>
      <c r="D4253" s="1" t="s">
        <v>11</v>
      </c>
      <c r="E4253" s="1" t="s">
        <v>10</v>
      </c>
      <c r="F4253" s="1" t="s">
        <v>588</v>
      </c>
      <c r="G4253" s="14" t="s">
        <v>27</v>
      </c>
      <c r="H4253" s="1" t="s">
        <v>27</v>
      </c>
      <c r="I4253" s="17">
        <v>42436</v>
      </c>
    </row>
    <row r="4254" spans="1:10">
      <c r="A4254" s="7" t="s">
        <v>6089</v>
      </c>
      <c r="B4254" s="1" t="s">
        <v>2628</v>
      </c>
      <c r="C4254" s="1">
        <v>3</v>
      </c>
      <c r="D4254" s="1" t="s">
        <v>11</v>
      </c>
      <c r="E4254" s="1" t="s">
        <v>10</v>
      </c>
      <c r="F4254" s="1" t="s">
        <v>5596</v>
      </c>
      <c r="G4254" s="1" t="s">
        <v>4800</v>
      </c>
      <c r="H4254" s="1" t="s">
        <v>27</v>
      </c>
      <c r="I4254" s="1" t="s">
        <v>6090</v>
      </c>
      <c r="J4254" s="17"/>
    </row>
    <row r="4255" spans="1:10">
      <c r="A4255" s="7" t="s">
        <v>6157</v>
      </c>
      <c r="B4255" s="2" t="s">
        <v>2628</v>
      </c>
      <c r="C4255" s="1">
        <v>3</v>
      </c>
      <c r="D4255" s="1" t="s">
        <v>11</v>
      </c>
      <c r="E4255" s="1" t="s">
        <v>10</v>
      </c>
      <c r="F4255" s="1" t="s">
        <v>5241</v>
      </c>
      <c r="G4255" s="14" t="s">
        <v>4800</v>
      </c>
      <c r="H4255" s="1" t="s">
        <v>27</v>
      </c>
      <c r="I4255" s="1" t="s">
        <v>5807</v>
      </c>
    </row>
    <row r="4256" spans="1:10">
      <c r="A4256" s="7" t="s">
        <v>6854</v>
      </c>
      <c r="B4256" s="1" t="s">
        <v>2628</v>
      </c>
      <c r="C4256" s="1">
        <v>3</v>
      </c>
      <c r="D4256" s="1" t="s">
        <v>11</v>
      </c>
      <c r="E4256" s="1" t="s">
        <v>10</v>
      </c>
      <c r="F4256" s="1" t="s">
        <v>5241</v>
      </c>
      <c r="G4256" s="1" t="s">
        <v>4800</v>
      </c>
      <c r="H4256" s="1" t="s">
        <v>27</v>
      </c>
      <c r="I4256" s="1" t="s">
        <v>5807</v>
      </c>
    </row>
    <row r="4257" spans="1:9">
      <c r="A4257" s="16" t="s">
        <v>8173</v>
      </c>
      <c r="B4257" s="1" t="s">
        <v>2628</v>
      </c>
      <c r="C4257" s="1">
        <v>3</v>
      </c>
      <c r="D4257" s="1" t="s">
        <v>11</v>
      </c>
      <c r="E4257" s="1" t="s">
        <v>10</v>
      </c>
      <c r="F4257" s="1" t="s">
        <v>5091</v>
      </c>
      <c r="G4257" s="14" t="s">
        <v>5853</v>
      </c>
      <c r="H4257" s="1" t="s">
        <v>27</v>
      </c>
      <c r="I4257" s="17">
        <v>41776</v>
      </c>
    </row>
    <row r="4258" spans="1:9">
      <c r="A4258" s="16" t="s">
        <v>11466</v>
      </c>
      <c r="B4258" s="1" t="s">
        <v>2628</v>
      </c>
      <c r="C4258" s="1">
        <v>3</v>
      </c>
      <c r="D4258" s="1" t="s">
        <v>11</v>
      </c>
      <c r="E4258" s="1" t="s">
        <v>10</v>
      </c>
      <c r="F4258" s="1" t="s">
        <v>5241</v>
      </c>
      <c r="G4258" s="14" t="s">
        <v>4800</v>
      </c>
      <c r="H4258" s="1" t="s">
        <v>27</v>
      </c>
      <c r="I4258" s="17">
        <v>41548</v>
      </c>
    </row>
    <row r="4259" spans="1:9">
      <c r="A4259" s="16" t="s">
        <v>11946</v>
      </c>
      <c r="B4259" s="1" t="s">
        <v>2628</v>
      </c>
      <c r="C4259" s="1">
        <v>3</v>
      </c>
      <c r="D4259" s="1" t="s">
        <v>11</v>
      </c>
      <c r="E4259" s="1" t="s">
        <v>10</v>
      </c>
      <c r="F4259" s="1" t="s">
        <v>139</v>
      </c>
      <c r="G4259" s="14" t="s">
        <v>5853</v>
      </c>
      <c r="H4259" s="1" t="s">
        <v>27</v>
      </c>
      <c r="I4259" s="17">
        <v>41640</v>
      </c>
    </row>
    <row r="4260" spans="1:9">
      <c r="A4260" s="16" t="s">
        <v>4804</v>
      </c>
      <c r="B4260" s="1" t="s">
        <v>2628</v>
      </c>
      <c r="C4260" s="1">
        <v>3</v>
      </c>
      <c r="D4260" s="1" t="s">
        <v>11</v>
      </c>
      <c r="E4260" s="1" t="s">
        <v>10</v>
      </c>
      <c r="F4260" s="1" t="s">
        <v>2693</v>
      </c>
      <c r="G4260" s="14" t="s">
        <v>5</v>
      </c>
      <c r="H4260" s="1" t="s">
        <v>5</v>
      </c>
      <c r="I4260" s="17">
        <v>34700</v>
      </c>
    </row>
    <row r="4261" spans="1:9">
      <c r="A4261" s="16" t="s">
        <v>4805</v>
      </c>
      <c r="B4261" s="1" t="s">
        <v>2628</v>
      </c>
      <c r="C4261" s="1">
        <v>3</v>
      </c>
      <c r="D4261" s="1" t="s">
        <v>11</v>
      </c>
      <c r="E4261" s="1" t="s">
        <v>10</v>
      </c>
      <c r="F4261" s="1" t="s">
        <v>2693</v>
      </c>
      <c r="G4261" s="14" t="s">
        <v>5</v>
      </c>
      <c r="H4261" s="1" t="s">
        <v>5</v>
      </c>
      <c r="I4261" s="17">
        <v>34700</v>
      </c>
    </row>
    <row r="4262" spans="1:9">
      <c r="A4262" s="16" t="s">
        <v>4814</v>
      </c>
      <c r="B4262" s="1" t="s">
        <v>2628</v>
      </c>
      <c r="C4262" s="1">
        <v>3</v>
      </c>
      <c r="D4262" s="1" t="s">
        <v>11</v>
      </c>
      <c r="E4262" s="1" t="s">
        <v>10</v>
      </c>
      <c r="F4262" s="1" t="s">
        <v>2693</v>
      </c>
      <c r="G4262" s="14" t="s">
        <v>5</v>
      </c>
      <c r="H4262" s="1" t="s">
        <v>5</v>
      </c>
      <c r="I4262" s="17">
        <v>35796</v>
      </c>
    </row>
    <row r="4263" spans="1:9">
      <c r="A4263" s="16" t="s">
        <v>4822</v>
      </c>
      <c r="B4263" s="1" t="s">
        <v>2628</v>
      </c>
      <c r="C4263" s="1">
        <v>3</v>
      </c>
      <c r="D4263" s="1" t="s">
        <v>11</v>
      </c>
      <c r="E4263" s="1" t="s">
        <v>10</v>
      </c>
      <c r="F4263" s="1" t="s">
        <v>2693</v>
      </c>
      <c r="G4263" s="14" t="s">
        <v>5</v>
      </c>
      <c r="H4263" s="1" t="s">
        <v>5</v>
      </c>
      <c r="I4263" s="17">
        <v>39814</v>
      </c>
    </row>
    <row r="4264" spans="1:9">
      <c r="A4264" s="16" t="s">
        <v>4832</v>
      </c>
      <c r="B4264" s="1" t="s">
        <v>2628</v>
      </c>
      <c r="C4264" s="1">
        <v>3</v>
      </c>
      <c r="D4264" s="1" t="s">
        <v>11</v>
      </c>
      <c r="E4264" s="1" t="s">
        <v>10</v>
      </c>
      <c r="F4264" s="1" t="s">
        <v>2693</v>
      </c>
      <c r="G4264" s="14" t="s">
        <v>5</v>
      </c>
      <c r="H4264" s="1" t="s">
        <v>5</v>
      </c>
      <c r="I4264" s="17">
        <v>40179</v>
      </c>
    </row>
    <row r="4265" spans="1:9">
      <c r="A4265" s="16" t="s">
        <v>4833</v>
      </c>
      <c r="B4265" s="1" t="s">
        <v>2628</v>
      </c>
      <c r="C4265" s="1">
        <v>3</v>
      </c>
      <c r="D4265" s="1" t="s">
        <v>11</v>
      </c>
      <c r="E4265" s="1" t="s">
        <v>10</v>
      </c>
      <c r="F4265" s="1" t="s">
        <v>2693</v>
      </c>
      <c r="G4265" s="14" t="s">
        <v>5</v>
      </c>
      <c r="H4265" s="1" t="s">
        <v>5</v>
      </c>
      <c r="I4265" s="17">
        <v>40179</v>
      </c>
    </row>
    <row r="4266" spans="1:9">
      <c r="A4266" s="16" t="s">
        <v>4835</v>
      </c>
      <c r="B4266" s="1" t="s">
        <v>2628</v>
      </c>
      <c r="C4266" s="1">
        <v>3</v>
      </c>
      <c r="D4266" s="1" t="s">
        <v>11</v>
      </c>
      <c r="E4266" s="1" t="s">
        <v>10</v>
      </c>
      <c r="F4266" s="1" t="s">
        <v>2693</v>
      </c>
      <c r="G4266" s="14" t="s">
        <v>5</v>
      </c>
      <c r="H4266" s="1" t="s">
        <v>5</v>
      </c>
      <c r="I4266" s="17">
        <v>40179</v>
      </c>
    </row>
    <row r="4267" spans="1:9">
      <c r="A4267" s="16" t="s">
        <v>4843</v>
      </c>
      <c r="B4267" s="1" t="s">
        <v>2628</v>
      </c>
      <c r="C4267" s="1">
        <v>3</v>
      </c>
      <c r="D4267" s="1" t="s">
        <v>11</v>
      </c>
      <c r="E4267" s="1" t="s">
        <v>10</v>
      </c>
      <c r="F4267" s="1" t="s">
        <v>2693</v>
      </c>
      <c r="G4267" s="14" t="s">
        <v>5</v>
      </c>
      <c r="H4267" s="1" t="s">
        <v>5</v>
      </c>
      <c r="I4267" s="17">
        <v>40179</v>
      </c>
    </row>
    <row r="4268" spans="1:9">
      <c r="A4268" s="16" t="s">
        <v>4855</v>
      </c>
      <c r="B4268" s="1" t="s">
        <v>2628</v>
      </c>
      <c r="C4268" s="1">
        <v>3</v>
      </c>
      <c r="D4268" s="1" t="s">
        <v>11</v>
      </c>
      <c r="E4268" s="1" t="s">
        <v>10</v>
      </c>
      <c r="F4268" s="1" t="s">
        <v>2693</v>
      </c>
      <c r="G4268" s="14" t="s">
        <v>5</v>
      </c>
      <c r="H4268" s="1" t="s">
        <v>5</v>
      </c>
      <c r="I4268" s="17">
        <v>40909</v>
      </c>
    </row>
    <row r="4269" spans="1:9">
      <c r="A4269" s="16" t="s">
        <v>4857</v>
      </c>
      <c r="B4269" s="1" t="s">
        <v>2628</v>
      </c>
      <c r="C4269" s="1">
        <v>3</v>
      </c>
      <c r="D4269" s="1" t="s">
        <v>11</v>
      </c>
      <c r="E4269" s="1" t="s">
        <v>10</v>
      </c>
      <c r="F4269" s="1" t="s">
        <v>2693</v>
      </c>
      <c r="G4269" s="14" t="s">
        <v>5</v>
      </c>
      <c r="H4269" s="1" t="s">
        <v>5</v>
      </c>
      <c r="I4269" s="17">
        <v>40909</v>
      </c>
    </row>
    <row r="4270" spans="1:9">
      <c r="A4270" s="16" t="s">
        <v>4858</v>
      </c>
      <c r="B4270" s="1" t="s">
        <v>2628</v>
      </c>
      <c r="C4270" s="1">
        <v>3</v>
      </c>
      <c r="D4270" s="1" t="s">
        <v>11</v>
      </c>
      <c r="E4270" s="1" t="s">
        <v>10</v>
      </c>
      <c r="F4270" s="1" t="s">
        <v>2693</v>
      </c>
      <c r="G4270" s="14" t="s">
        <v>5</v>
      </c>
      <c r="H4270" s="1" t="s">
        <v>5</v>
      </c>
      <c r="I4270" s="17">
        <v>40909</v>
      </c>
    </row>
    <row r="4271" spans="1:9">
      <c r="A4271" s="16" t="s">
        <v>4869</v>
      </c>
      <c r="B4271" s="1" t="s">
        <v>2628</v>
      </c>
      <c r="C4271" s="1">
        <v>3</v>
      </c>
      <c r="D4271" s="1" t="s">
        <v>11</v>
      </c>
      <c r="E4271" s="1" t="s">
        <v>10</v>
      </c>
      <c r="F4271" s="1" t="s">
        <v>2693</v>
      </c>
      <c r="G4271" s="14" t="s">
        <v>5</v>
      </c>
      <c r="H4271" s="1" t="s">
        <v>5</v>
      </c>
      <c r="I4271" s="17">
        <v>41275</v>
      </c>
    </row>
    <row r="4272" spans="1:9">
      <c r="A4272" s="16" t="s">
        <v>4870</v>
      </c>
      <c r="B4272" s="1" t="s">
        <v>2628</v>
      </c>
      <c r="C4272" s="1">
        <v>3</v>
      </c>
      <c r="D4272" s="1" t="s">
        <v>11</v>
      </c>
      <c r="E4272" s="1" t="s">
        <v>10</v>
      </c>
      <c r="F4272" s="1" t="s">
        <v>2693</v>
      </c>
      <c r="G4272" s="14" t="s">
        <v>5</v>
      </c>
      <c r="H4272" s="1" t="s">
        <v>5</v>
      </c>
      <c r="I4272" s="17">
        <v>41275</v>
      </c>
    </row>
    <row r="4273" spans="1:10">
      <c r="A4273" s="16" t="s">
        <v>4871</v>
      </c>
      <c r="B4273" s="1" t="s">
        <v>2628</v>
      </c>
      <c r="C4273" s="1">
        <v>3</v>
      </c>
      <c r="D4273" s="1" t="s">
        <v>11</v>
      </c>
      <c r="E4273" s="1" t="s">
        <v>10</v>
      </c>
      <c r="F4273" s="1" t="s">
        <v>2693</v>
      </c>
      <c r="G4273" s="14" t="s">
        <v>5</v>
      </c>
      <c r="H4273" s="1" t="s">
        <v>5</v>
      </c>
      <c r="I4273" s="17">
        <v>41275</v>
      </c>
    </row>
    <row r="4274" spans="1:10">
      <c r="A4274" s="16" t="s">
        <v>4876</v>
      </c>
      <c r="B4274" s="1" t="s">
        <v>2628</v>
      </c>
      <c r="C4274" s="1">
        <v>3</v>
      </c>
      <c r="D4274" s="1" t="s">
        <v>11</v>
      </c>
      <c r="E4274" s="1" t="s">
        <v>10</v>
      </c>
      <c r="F4274" s="1" t="s">
        <v>2693</v>
      </c>
      <c r="G4274" s="14" t="s">
        <v>5</v>
      </c>
      <c r="H4274" s="1" t="s">
        <v>5</v>
      </c>
      <c r="I4274" s="17">
        <v>41275</v>
      </c>
    </row>
    <row r="4275" spans="1:10">
      <c r="A4275" s="16" t="s">
        <v>4879</v>
      </c>
      <c r="B4275" s="1" t="s">
        <v>2628</v>
      </c>
      <c r="C4275" s="1">
        <v>3</v>
      </c>
      <c r="D4275" s="1" t="s">
        <v>11</v>
      </c>
      <c r="E4275" s="1" t="s">
        <v>10</v>
      </c>
      <c r="F4275" s="1" t="s">
        <v>2693</v>
      </c>
      <c r="G4275" s="14" t="s">
        <v>4865</v>
      </c>
      <c r="H4275" s="1" t="s">
        <v>44</v>
      </c>
      <c r="I4275" s="17">
        <v>41275</v>
      </c>
    </row>
    <row r="4276" spans="1:10">
      <c r="A4276" s="16" t="s">
        <v>4884</v>
      </c>
      <c r="B4276" s="1" t="s">
        <v>2628</v>
      </c>
      <c r="C4276" s="1">
        <v>3</v>
      </c>
      <c r="D4276" s="1" t="s">
        <v>11</v>
      </c>
      <c r="E4276" s="1" t="s">
        <v>10</v>
      </c>
      <c r="F4276" s="1" t="s">
        <v>2693</v>
      </c>
      <c r="G4276" s="14" t="s">
        <v>5</v>
      </c>
      <c r="H4276" s="1" t="s">
        <v>5</v>
      </c>
      <c r="I4276" s="17">
        <v>41275</v>
      </c>
    </row>
    <row r="4277" spans="1:10">
      <c r="A4277" s="16" t="s">
        <v>4891</v>
      </c>
      <c r="B4277" s="1" t="s">
        <v>2628</v>
      </c>
      <c r="C4277" s="1">
        <v>3</v>
      </c>
      <c r="D4277" s="1" t="s">
        <v>11</v>
      </c>
      <c r="E4277" s="1" t="s">
        <v>10</v>
      </c>
      <c r="F4277" s="1" t="s">
        <v>2693</v>
      </c>
      <c r="G4277" s="14" t="s">
        <v>5</v>
      </c>
      <c r="H4277" s="1" t="s">
        <v>5</v>
      </c>
      <c r="I4277" s="17">
        <v>41275</v>
      </c>
    </row>
    <row r="4278" spans="1:10">
      <c r="A4278" s="16" t="s">
        <v>4901</v>
      </c>
      <c r="B4278" s="1" t="s">
        <v>2628</v>
      </c>
      <c r="C4278" s="1">
        <v>3</v>
      </c>
      <c r="D4278" s="1" t="s">
        <v>11</v>
      </c>
      <c r="E4278" s="1" t="s">
        <v>10</v>
      </c>
      <c r="F4278" s="1" t="s">
        <v>2693</v>
      </c>
      <c r="G4278" s="14" t="s">
        <v>5</v>
      </c>
      <c r="H4278" s="1" t="s">
        <v>5</v>
      </c>
      <c r="I4278" s="17">
        <v>41275</v>
      </c>
    </row>
    <row r="4279" spans="1:10">
      <c r="A4279" s="16" t="s">
        <v>4918</v>
      </c>
      <c r="B4279" s="1" t="s">
        <v>2628</v>
      </c>
      <c r="C4279" s="1">
        <v>3</v>
      </c>
      <c r="D4279" s="1" t="s">
        <v>11</v>
      </c>
      <c r="E4279" s="1" t="s">
        <v>10</v>
      </c>
      <c r="F4279" s="1" t="s">
        <v>2693</v>
      </c>
      <c r="G4279" s="14" t="s">
        <v>5</v>
      </c>
      <c r="H4279" s="1" t="s">
        <v>5</v>
      </c>
      <c r="I4279" s="17">
        <v>41275</v>
      </c>
    </row>
    <row r="4280" spans="1:10">
      <c r="A4280" s="16" t="s">
        <v>4921</v>
      </c>
      <c r="B4280" s="1" t="s">
        <v>2628</v>
      </c>
      <c r="C4280" s="1">
        <v>3</v>
      </c>
      <c r="D4280" s="1" t="s">
        <v>11</v>
      </c>
      <c r="E4280" s="1" t="s">
        <v>10</v>
      </c>
      <c r="F4280" s="1" t="s">
        <v>2693</v>
      </c>
      <c r="G4280" s="14" t="s">
        <v>4865</v>
      </c>
      <c r="H4280" s="1" t="s">
        <v>44</v>
      </c>
      <c r="I4280" s="17">
        <v>41275</v>
      </c>
    </row>
    <row r="4281" spans="1:10">
      <c r="A4281" s="16" t="s">
        <v>4930</v>
      </c>
      <c r="B4281" s="1" t="s">
        <v>2628</v>
      </c>
      <c r="C4281" s="1">
        <v>3</v>
      </c>
      <c r="D4281" s="1" t="s">
        <v>11</v>
      </c>
      <c r="E4281" s="1" t="s">
        <v>10</v>
      </c>
      <c r="F4281" s="1" t="s">
        <v>2693</v>
      </c>
      <c r="G4281" s="14" t="s">
        <v>5</v>
      </c>
      <c r="H4281" s="1" t="s">
        <v>5</v>
      </c>
      <c r="I4281" s="17">
        <v>41275</v>
      </c>
    </row>
    <row r="4282" spans="1:10">
      <c r="A4282" s="16" t="s">
        <v>4931</v>
      </c>
      <c r="B4282" s="1" t="s">
        <v>2628</v>
      </c>
      <c r="C4282" s="1">
        <v>3</v>
      </c>
      <c r="D4282" s="1" t="s">
        <v>11</v>
      </c>
      <c r="E4282" s="1" t="s">
        <v>10</v>
      </c>
      <c r="F4282" s="1" t="s">
        <v>2693</v>
      </c>
      <c r="G4282" s="14" t="s">
        <v>4865</v>
      </c>
      <c r="H4282" s="1" t="s">
        <v>44</v>
      </c>
      <c r="I4282" s="17">
        <v>41275</v>
      </c>
    </row>
    <row r="4283" spans="1:10">
      <c r="A4283" s="7" t="s">
        <v>4934</v>
      </c>
      <c r="B4283" s="1" t="s">
        <v>2629</v>
      </c>
      <c r="C4283" s="1">
        <v>3</v>
      </c>
      <c r="D4283" s="1" t="s">
        <v>11</v>
      </c>
      <c r="E4283" s="1" t="s">
        <v>10</v>
      </c>
      <c r="F4283" s="1" t="s">
        <v>2693</v>
      </c>
      <c r="G4283" s="1" t="s">
        <v>5</v>
      </c>
      <c r="H4283" s="1" t="s">
        <v>5</v>
      </c>
      <c r="I4283" s="17">
        <v>41640</v>
      </c>
      <c r="J4283" s="17"/>
    </row>
    <row r="4284" spans="1:10">
      <c r="A4284" s="16" t="s">
        <v>4940</v>
      </c>
      <c r="B4284" s="1" t="s">
        <v>2628</v>
      </c>
      <c r="C4284" s="1">
        <v>3</v>
      </c>
      <c r="D4284" s="1" t="s">
        <v>11</v>
      </c>
      <c r="E4284" s="1" t="s">
        <v>10</v>
      </c>
      <c r="F4284" s="1" t="s">
        <v>2693</v>
      </c>
      <c r="G4284" s="14" t="s">
        <v>5</v>
      </c>
      <c r="H4284" s="1" t="s">
        <v>5</v>
      </c>
      <c r="I4284" s="17">
        <v>41640</v>
      </c>
    </row>
    <row r="4285" spans="1:10">
      <c r="A4285" s="16" t="s">
        <v>4945</v>
      </c>
      <c r="B4285" s="1" t="s">
        <v>2628</v>
      </c>
      <c r="C4285" s="1">
        <v>3</v>
      </c>
      <c r="D4285" s="1" t="s">
        <v>11</v>
      </c>
      <c r="E4285" s="1" t="s">
        <v>10</v>
      </c>
      <c r="F4285" s="1" t="s">
        <v>2693</v>
      </c>
      <c r="G4285" s="14" t="s">
        <v>5</v>
      </c>
      <c r="H4285" s="1" t="s">
        <v>5</v>
      </c>
      <c r="I4285" s="17">
        <v>41640</v>
      </c>
    </row>
    <row r="4286" spans="1:10">
      <c r="A4286" s="16" t="s">
        <v>4949</v>
      </c>
      <c r="B4286" s="1" t="s">
        <v>2628</v>
      </c>
      <c r="C4286" s="1">
        <v>3</v>
      </c>
      <c r="D4286" s="1" t="s">
        <v>11</v>
      </c>
      <c r="E4286" s="1" t="s">
        <v>10</v>
      </c>
      <c r="F4286" s="1" t="s">
        <v>2693</v>
      </c>
      <c r="G4286" s="14" t="s">
        <v>5</v>
      </c>
      <c r="H4286" s="1" t="s">
        <v>5</v>
      </c>
      <c r="I4286" s="17">
        <v>41640</v>
      </c>
    </row>
    <row r="4287" spans="1:10">
      <c r="A4287" s="16" t="s">
        <v>4950</v>
      </c>
      <c r="B4287" s="1" t="s">
        <v>2628</v>
      </c>
      <c r="C4287" s="1">
        <v>3</v>
      </c>
      <c r="D4287" s="1" t="s">
        <v>11</v>
      </c>
      <c r="E4287" s="1" t="s">
        <v>10</v>
      </c>
      <c r="F4287" s="1" t="s">
        <v>2693</v>
      </c>
      <c r="G4287" s="14" t="s">
        <v>5</v>
      </c>
      <c r="H4287" s="1" t="s">
        <v>5</v>
      </c>
      <c r="I4287" s="17">
        <v>41640</v>
      </c>
    </row>
    <row r="4288" spans="1:10">
      <c r="A4288" s="16" t="s">
        <v>4951</v>
      </c>
      <c r="B4288" s="1" t="s">
        <v>2628</v>
      </c>
      <c r="C4288" s="1">
        <v>3</v>
      </c>
      <c r="D4288" s="1" t="s">
        <v>11</v>
      </c>
      <c r="E4288" s="1" t="s">
        <v>10</v>
      </c>
      <c r="F4288" s="1" t="s">
        <v>2693</v>
      </c>
      <c r="G4288" s="14" t="s">
        <v>5</v>
      </c>
      <c r="H4288" s="1" t="s">
        <v>5</v>
      </c>
      <c r="I4288" s="17">
        <v>41640</v>
      </c>
    </row>
    <row r="4289" spans="1:9">
      <c r="A4289" s="16" t="s">
        <v>4954</v>
      </c>
      <c r="B4289" s="1" t="s">
        <v>2628</v>
      </c>
      <c r="C4289" s="1">
        <v>3</v>
      </c>
      <c r="D4289" s="1" t="s">
        <v>11</v>
      </c>
      <c r="E4289" s="1" t="s">
        <v>10</v>
      </c>
      <c r="F4289" s="1" t="s">
        <v>2693</v>
      </c>
      <c r="G4289" s="14" t="s">
        <v>5</v>
      </c>
      <c r="H4289" s="1" t="s">
        <v>5</v>
      </c>
      <c r="I4289" s="17">
        <v>41640</v>
      </c>
    </row>
    <row r="4290" spans="1:9">
      <c r="A4290" s="16" t="s">
        <v>4955</v>
      </c>
      <c r="B4290" s="1" t="s">
        <v>2628</v>
      </c>
      <c r="C4290" s="1">
        <v>3</v>
      </c>
      <c r="D4290" s="1" t="s">
        <v>11</v>
      </c>
      <c r="E4290" s="1" t="s">
        <v>10</v>
      </c>
      <c r="F4290" s="1" t="s">
        <v>2693</v>
      </c>
      <c r="G4290" s="14" t="s">
        <v>5</v>
      </c>
      <c r="H4290" s="1" t="s">
        <v>5</v>
      </c>
      <c r="I4290" s="17">
        <v>41640</v>
      </c>
    </row>
    <row r="4291" spans="1:9">
      <c r="A4291" s="16" t="s">
        <v>4962</v>
      </c>
      <c r="B4291" s="1" t="s">
        <v>2628</v>
      </c>
      <c r="C4291" s="1">
        <v>3</v>
      </c>
      <c r="D4291" s="1" t="s">
        <v>11</v>
      </c>
      <c r="E4291" s="1" t="s">
        <v>10</v>
      </c>
      <c r="F4291" s="1" t="s">
        <v>2693</v>
      </c>
      <c r="G4291" s="14" t="s">
        <v>5</v>
      </c>
      <c r="H4291" s="1" t="s">
        <v>5</v>
      </c>
      <c r="I4291" s="17">
        <v>41640</v>
      </c>
    </row>
    <row r="4292" spans="1:9">
      <c r="A4292" s="16" t="s">
        <v>4969</v>
      </c>
      <c r="B4292" s="1" t="s">
        <v>2628</v>
      </c>
      <c r="C4292" s="1">
        <v>3</v>
      </c>
      <c r="D4292" s="1" t="s">
        <v>11</v>
      </c>
      <c r="E4292" s="1" t="s">
        <v>10</v>
      </c>
      <c r="F4292" s="1" t="s">
        <v>2693</v>
      </c>
      <c r="G4292" s="14" t="s">
        <v>5</v>
      </c>
      <c r="H4292" s="1" t="s">
        <v>5</v>
      </c>
      <c r="I4292" s="17">
        <v>41640</v>
      </c>
    </row>
    <row r="4293" spans="1:9">
      <c r="A4293" s="16" t="s">
        <v>4970</v>
      </c>
      <c r="B4293" s="1" t="s">
        <v>2628</v>
      </c>
      <c r="C4293" s="1">
        <v>3</v>
      </c>
      <c r="D4293" s="1" t="s">
        <v>11</v>
      </c>
      <c r="E4293" s="1" t="s">
        <v>10</v>
      </c>
      <c r="F4293" s="1" t="s">
        <v>2693</v>
      </c>
      <c r="G4293" s="14" t="s">
        <v>5</v>
      </c>
      <c r="H4293" s="1" t="s">
        <v>5</v>
      </c>
      <c r="I4293" s="17">
        <v>41640</v>
      </c>
    </row>
    <row r="4294" spans="1:9">
      <c r="A4294" s="16" t="s">
        <v>4971</v>
      </c>
      <c r="B4294" s="1" t="s">
        <v>2628</v>
      </c>
      <c r="C4294" s="1">
        <v>3</v>
      </c>
      <c r="D4294" s="1" t="s">
        <v>11</v>
      </c>
      <c r="E4294" s="1" t="s">
        <v>10</v>
      </c>
      <c r="F4294" s="1" t="s">
        <v>2693</v>
      </c>
      <c r="G4294" s="14" t="s">
        <v>5</v>
      </c>
      <c r="H4294" s="1" t="s">
        <v>5</v>
      </c>
      <c r="I4294" s="17">
        <v>41640</v>
      </c>
    </row>
    <row r="4295" spans="1:9">
      <c r="A4295" s="16" t="s">
        <v>4973</v>
      </c>
      <c r="B4295" s="1" t="s">
        <v>2628</v>
      </c>
      <c r="C4295" s="1">
        <v>3</v>
      </c>
      <c r="D4295" s="1" t="s">
        <v>11</v>
      </c>
      <c r="E4295" s="1" t="s">
        <v>10</v>
      </c>
      <c r="F4295" s="1" t="s">
        <v>2693</v>
      </c>
      <c r="G4295" s="14" t="s">
        <v>5</v>
      </c>
      <c r="H4295" s="1" t="s">
        <v>5</v>
      </c>
      <c r="I4295" s="17">
        <v>41640</v>
      </c>
    </row>
    <row r="4296" spans="1:9">
      <c r="A4296" s="16" t="s">
        <v>4977</v>
      </c>
      <c r="B4296" s="1" t="s">
        <v>2628</v>
      </c>
      <c r="C4296" s="1">
        <v>3</v>
      </c>
      <c r="D4296" s="1" t="s">
        <v>11</v>
      </c>
      <c r="E4296" s="1" t="s">
        <v>10</v>
      </c>
      <c r="F4296" s="1" t="s">
        <v>2693</v>
      </c>
      <c r="G4296" s="14" t="s">
        <v>5</v>
      </c>
      <c r="H4296" s="1" t="s">
        <v>5</v>
      </c>
      <c r="I4296" s="17">
        <v>42005</v>
      </c>
    </row>
    <row r="4297" spans="1:9">
      <c r="A4297" s="16" t="s">
        <v>4978</v>
      </c>
      <c r="B4297" s="1" t="s">
        <v>2628</v>
      </c>
      <c r="C4297" s="1">
        <v>3</v>
      </c>
      <c r="D4297" s="1" t="s">
        <v>11</v>
      </c>
      <c r="E4297" s="1" t="s">
        <v>10</v>
      </c>
      <c r="F4297" s="1" t="s">
        <v>2693</v>
      </c>
      <c r="G4297" s="14" t="s">
        <v>5</v>
      </c>
      <c r="H4297" s="1" t="s">
        <v>5</v>
      </c>
      <c r="I4297" s="17">
        <v>42005</v>
      </c>
    </row>
    <row r="4298" spans="1:9">
      <c r="A4298" s="16" t="s">
        <v>4979</v>
      </c>
      <c r="B4298" s="1" t="s">
        <v>2628</v>
      </c>
      <c r="C4298" s="1">
        <v>3</v>
      </c>
      <c r="D4298" s="1" t="s">
        <v>11</v>
      </c>
      <c r="E4298" s="1" t="s">
        <v>10</v>
      </c>
      <c r="F4298" s="1" t="s">
        <v>2693</v>
      </c>
      <c r="G4298" s="14" t="s">
        <v>5</v>
      </c>
      <c r="H4298" s="1" t="s">
        <v>5</v>
      </c>
      <c r="I4298" s="17">
        <v>42005</v>
      </c>
    </row>
    <row r="4299" spans="1:9">
      <c r="A4299" s="16" t="s">
        <v>4980</v>
      </c>
      <c r="B4299" s="1" t="s">
        <v>2628</v>
      </c>
      <c r="C4299" s="1">
        <v>3</v>
      </c>
      <c r="D4299" s="1" t="s">
        <v>11</v>
      </c>
      <c r="E4299" s="1" t="s">
        <v>10</v>
      </c>
      <c r="F4299" s="1" t="s">
        <v>2693</v>
      </c>
      <c r="G4299" s="14" t="s">
        <v>5</v>
      </c>
      <c r="H4299" s="1" t="s">
        <v>5</v>
      </c>
      <c r="I4299" s="17">
        <v>42005</v>
      </c>
    </row>
    <row r="4300" spans="1:9">
      <c r="A4300" s="16" t="s">
        <v>4981</v>
      </c>
      <c r="B4300" s="1" t="s">
        <v>2628</v>
      </c>
      <c r="C4300" s="1">
        <v>3</v>
      </c>
      <c r="D4300" s="1" t="s">
        <v>11</v>
      </c>
      <c r="E4300" s="1" t="s">
        <v>10</v>
      </c>
      <c r="F4300" s="1" t="s">
        <v>2693</v>
      </c>
      <c r="G4300" s="14" t="s">
        <v>5</v>
      </c>
      <c r="H4300" s="1" t="s">
        <v>5</v>
      </c>
      <c r="I4300" s="17">
        <v>42005</v>
      </c>
    </row>
    <row r="4301" spans="1:9">
      <c r="A4301" s="16" t="s">
        <v>4982</v>
      </c>
      <c r="B4301" s="1" t="s">
        <v>2628</v>
      </c>
      <c r="C4301" s="1">
        <v>3</v>
      </c>
      <c r="D4301" s="1" t="s">
        <v>11</v>
      </c>
      <c r="E4301" s="1" t="s">
        <v>10</v>
      </c>
      <c r="F4301" s="1" t="s">
        <v>2693</v>
      </c>
      <c r="G4301" s="14" t="s">
        <v>5</v>
      </c>
      <c r="H4301" s="1" t="s">
        <v>5</v>
      </c>
      <c r="I4301" s="17">
        <v>42005</v>
      </c>
    </row>
    <row r="4302" spans="1:9">
      <c r="A4302" s="16" t="s">
        <v>4983</v>
      </c>
      <c r="B4302" s="1" t="s">
        <v>2628</v>
      </c>
      <c r="C4302" s="1">
        <v>3</v>
      </c>
      <c r="D4302" s="1" t="s">
        <v>11</v>
      </c>
      <c r="E4302" s="1" t="s">
        <v>10</v>
      </c>
      <c r="F4302" s="1" t="s">
        <v>2693</v>
      </c>
      <c r="G4302" s="14" t="s">
        <v>5</v>
      </c>
      <c r="H4302" s="1" t="s">
        <v>5</v>
      </c>
      <c r="I4302" s="17">
        <v>42005</v>
      </c>
    </row>
    <row r="4303" spans="1:9">
      <c r="A4303" s="16" t="s">
        <v>5205</v>
      </c>
      <c r="B4303" s="1" t="s">
        <v>2628</v>
      </c>
      <c r="C4303" s="1">
        <v>3</v>
      </c>
      <c r="D4303" s="1" t="s">
        <v>11</v>
      </c>
      <c r="E4303" s="1" t="s">
        <v>10</v>
      </c>
      <c r="F4303" s="1" t="s">
        <v>2693</v>
      </c>
      <c r="G4303" s="14" t="s">
        <v>5206</v>
      </c>
      <c r="H4303" s="1" t="s">
        <v>5</v>
      </c>
      <c r="I4303" s="17">
        <v>38353</v>
      </c>
    </row>
    <row r="4304" spans="1:9">
      <c r="A4304" s="19" t="s">
        <v>5457</v>
      </c>
      <c r="B4304" s="13" t="s">
        <v>16952</v>
      </c>
      <c r="C4304" s="13">
        <v>3</v>
      </c>
      <c r="D4304" s="13" t="s">
        <v>11</v>
      </c>
      <c r="E4304" s="13" t="s">
        <v>10</v>
      </c>
      <c r="F4304" s="13" t="s">
        <v>588</v>
      </c>
      <c r="G4304" s="20" t="s">
        <v>4800</v>
      </c>
      <c r="H4304" s="13" t="s">
        <v>27</v>
      </c>
      <c r="I4304" s="18">
        <v>42666</v>
      </c>
    </row>
    <row r="4305" spans="1:10">
      <c r="A4305" s="7" t="s">
        <v>5637</v>
      </c>
      <c r="B4305" s="1" t="s">
        <v>2628</v>
      </c>
      <c r="C4305" s="1">
        <v>3</v>
      </c>
      <c r="D4305" s="1" t="s">
        <v>11</v>
      </c>
      <c r="E4305" s="1" t="s">
        <v>10</v>
      </c>
      <c r="F4305" s="1" t="s">
        <v>2693</v>
      </c>
      <c r="G4305" s="1" t="s">
        <v>5638</v>
      </c>
      <c r="H4305" s="1" t="s">
        <v>43</v>
      </c>
      <c r="I4305" s="1" t="s">
        <v>5630</v>
      </c>
    </row>
    <row r="4306" spans="1:10">
      <c r="A4306" s="7" t="s">
        <v>6267</v>
      </c>
      <c r="B4306" s="2" t="s">
        <v>2628</v>
      </c>
      <c r="C4306" s="1">
        <v>3</v>
      </c>
      <c r="D4306" s="1" t="s">
        <v>11</v>
      </c>
      <c r="E4306" s="1" t="s">
        <v>10</v>
      </c>
      <c r="F4306" s="1" t="s">
        <v>5091</v>
      </c>
      <c r="G4306" s="14" t="s">
        <v>6145</v>
      </c>
      <c r="H4306" s="1" t="s">
        <v>43</v>
      </c>
      <c r="I4306" s="1" t="s">
        <v>5807</v>
      </c>
    </row>
    <row r="4307" spans="1:10">
      <c r="A4307" s="7" t="s">
        <v>6796</v>
      </c>
      <c r="B4307" s="1" t="s">
        <v>2629</v>
      </c>
      <c r="C4307" s="1">
        <v>3</v>
      </c>
      <c r="D4307" s="1" t="s">
        <v>11</v>
      </c>
      <c r="E4307" s="1" t="s">
        <v>10</v>
      </c>
      <c r="F4307" s="1" t="s">
        <v>5091</v>
      </c>
      <c r="G4307" s="1" t="s">
        <v>6139</v>
      </c>
      <c r="H4307" s="1" t="s">
        <v>43</v>
      </c>
      <c r="I4307" s="1" t="s">
        <v>5807</v>
      </c>
    </row>
    <row r="4308" spans="1:10">
      <c r="A4308" s="7" t="s">
        <v>7208</v>
      </c>
      <c r="B4308" s="1" t="s">
        <v>2628</v>
      </c>
      <c r="C4308" s="1">
        <v>3</v>
      </c>
      <c r="D4308" s="1" t="s">
        <v>11</v>
      </c>
      <c r="E4308" s="1" t="s">
        <v>10</v>
      </c>
      <c r="F4308" s="1" t="s">
        <v>5091</v>
      </c>
      <c r="G4308" s="1" t="s">
        <v>6145</v>
      </c>
      <c r="H4308" s="1" t="s">
        <v>43</v>
      </c>
      <c r="I4308" s="1" t="s">
        <v>6090</v>
      </c>
      <c r="J4308" s="17"/>
    </row>
    <row r="4309" spans="1:10">
      <c r="A4309" s="16" t="s">
        <v>7419</v>
      </c>
      <c r="B4309" s="1" t="s">
        <v>2628</v>
      </c>
      <c r="C4309" s="1">
        <v>3</v>
      </c>
      <c r="D4309" s="1" t="s">
        <v>11</v>
      </c>
      <c r="E4309" s="1" t="s">
        <v>10</v>
      </c>
      <c r="F4309" s="1" t="s">
        <v>5091</v>
      </c>
      <c r="G4309" s="14" t="s">
        <v>6145</v>
      </c>
      <c r="H4309" s="1" t="s">
        <v>43</v>
      </c>
      <c r="I4309" s="17">
        <v>41653</v>
      </c>
    </row>
    <row r="4310" spans="1:10">
      <c r="A4310" s="16" t="s">
        <v>7422</v>
      </c>
      <c r="B4310" s="1" t="s">
        <v>2628</v>
      </c>
      <c r="C4310" s="1">
        <v>3</v>
      </c>
      <c r="D4310" s="1" t="s">
        <v>11</v>
      </c>
      <c r="E4310" s="1" t="s">
        <v>10</v>
      </c>
      <c r="F4310" s="1" t="s">
        <v>5091</v>
      </c>
      <c r="G4310" s="14" t="s">
        <v>6145</v>
      </c>
      <c r="H4310" s="1" t="s">
        <v>43</v>
      </c>
      <c r="I4310" s="17">
        <v>41653</v>
      </c>
    </row>
    <row r="4311" spans="1:10">
      <c r="A4311" s="7" t="s">
        <v>7558</v>
      </c>
      <c r="B4311" s="1" t="s">
        <v>2628</v>
      </c>
      <c r="C4311" s="1">
        <v>3</v>
      </c>
      <c r="D4311" s="1" t="s">
        <v>11</v>
      </c>
      <c r="E4311" s="1" t="s">
        <v>10</v>
      </c>
      <c r="F4311" s="1" t="s">
        <v>7559</v>
      </c>
      <c r="G4311" s="1" t="s">
        <v>7560</v>
      </c>
      <c r="H4311" s="1" t="s">
        <v>5</v>
      </c>
      <c r="I4311" s="1" t="s">
        <v>6090</v>
      </c>
      <c r="J4311" s="1"/>
    </row>
    <row r="4312" spans="1:10">
      <c r="A4312" s="7" t="s">
        <v>7561</v>
      </c>
      <c r="B4312" s="1" t="s">
        <v>2628</v>
      </c>
      <c r="C4312" s="1">
        <v>3</v>
      </c>
      <c r="D4312" s="1" t="s">
        <v>11</v>
      </c>
      <c r="E4312" s="1" t="s">
        <v>10</v>
      </c>
      <c r="F4312" s="1" t="s">
        <v>7559</v>
      </c>
      <c r="G4312" s="1" t="s">
        <v>7560</v>
      </c>
      <c r="H4312" s="1" t="s">
        <v>5</v>
      </c>
      <c r="I4312" s="1" t="s">
        <v>6090</v>
      </c>
      <c r="J4312" s="17"/>
    </row>
    <row r="4313" spans="1:10">
      <c r="A4313" s="7" t="s">
        <v>7870</v>
      </c>
      <c r="B4313" s="1" t="s">
        <v>2628</v>
      </c>
      <c r="C4313" s="1">
        <v>3</v>
      </c>
      <c r="D4313" s="1" t="s">
        <v>11</v>
      </c>
      <c r="E4313" s="1" t="s">
        <v>10</v>
      </c>
      <c r="F4313" s="1" t="s">
        <v>7559</v>
      </c>
      <c r="G4313" s="1" t="s">
        <v>7871</v>
      </c>
      <c r="H4313" s="1" t="s">
        <v>5</v>
      </c>
      <c r="I4313" s="1" t="s">
        <v>6090</v>
      </c>
      <c r="J4313" s="17"/>
    </row>
    <row r="4314" spans="1:10">
      <c r="A4314" s="7" t="s">
        <v>7872</v>
      </c>
      <c r="B4314" s="1" t="s">
        <v>2628</v>
      </c>
      <c r="C4314" s="1">
        <v>3</v>
      </c>
      <c r="D4314" s="1" t="s">
        <v>11</v>
      </c>
      <c r="E4314" s="1" t="s">
        <v>10</v>
      </c>
      <c r="F4314" s="1" t="s">
        <v>7559</v>
      </c>
      <c r="G4314" s="1" t="s">
        <v>7871</v>
      </c>
      <c r="H4314" s="1" t="s">
        <v>5</v>
      </c>
      <c r="I4314" s="1" t="s">
        <v>6090</v>
      </c>
      <c r="J4314" s="17"/>
    </row>
    <row r="4315" spans="1:10">
      <c r="A4315" s="7" t="s">
        <v>7877</v>
      </c>
      <c r="B4315" s="1" t="s">
        <v>2628</v>
      </c>
      <c r="C4315" s="1">
        <v>3</v>
      </c>
      <c r="D4315" s="1" t="s">
        <v>11</v>
      </c>
      <c r="E4315" s="1" t="s">
        <v>10</v>
      </c>
      <c r="F4315" s="1" t="s">
        <v>7559</v>
      </c>
      <c r="G4315" s="1" t="s">
        <v>7878</v>
      </c>
      <c r="H4315" s="1" t="s">
        <v>5</v>
      </c>
      <c r="I4315" s="1" t="s">
        <v>6090</v>
      </c>
      <c r="J4315" s="17"/>
    </row>
    <row r="4316" spans="1:10">
      <c r="A4316" s="16" t="s">
        <v>9031</v>
      </c>
      <c r="B4316" s="1" t="s">
        <v>2631</v>
      </c>
      <c r="C4316" s="1">
        <v>3</v>
      </c>
      <c r="D4316" s="1" t="s">
        <v>11</v>
      </c>
      <c r="E4316" s="1" t="s">
        <v>10</v>
      </c>
      <c r="F4316" s="1" t="s">
        <v>5091</v>
      </c>
      <c r="G4316" s="1" t="s">
        <v>6236</v>
      </c>
      <c r="H4316" s="1" t="s">
        <v>43</v>
      </c>
      <c r="I4316" s="17">
        <v>42005</v>
      </c>
    </row>
    <row r="4317" spans="1:10">
      <c r="A4317" s="16" t="s">
        <v>9186</v>
      </c>
      <c r="B4317" s="1" t="s">
        <v>2628</v>
      </c>
      <c r="C4317" s="1">
        <v>3</v>
      </c>
      <c r="D4317" s="1" t="s">
        <v>11</v>
      </c>
      <c r="E4317" s="1" t="s">
        <v>10</v>
      </c>
      <c r="F4317" s="1" t="s">
        <v>5091</v>
      </c>
      <c r="G4317" s="14" t="s">
        <v>6238</v>
      </c>
      <c r="H4317" s="1" t="s">
        <v>43</v>
      </c>
      <c r="I4317" s="17">
        <v>42005</v>
      </c>
    </row>
    <row r="4318" spans="1:10">
      <c r="A4318" s="16" t="s">
        <v>9477</v>
      </c>
      <c r="B4318" s="1" t="s">
        <v>2628</v>
      </c>
      <c r="C4318" s="1">
        <v>3</v>
      </c>
      <c r="D4318" s="1" t="s">
        <v>11</v>
      </c>
      <c r="E4318" s="1" t="s">
        <v>10</v>
      </c>
      <c r="F4318" s="1" t="s">
        <v>5091</v>
      </c>
      <c r="G4318" s="14" t="s">
        <v>6145</v>
      </c>
      <c r="H4318" s="1" t="s">
        <v>43</v>
      </c>
      <c r="I4318" s="17">
        <v>41995</v>
      </c>
    </row>
    <row r="4319" spans="1:10">
      <c r="A4319" s="16" t="s">
        <v>9478</v>
      </c>
      <c r="B4319" s="1" t="s">
        <v>2628</v>
      </c>
      <c r="C4319" s="1">
        <v>3</v>
      </c>
      <c r="D4319" s="1" t="s">
        <v>11</v>
      </c>
      <c r="E4319" s="1" t="s">
        <v>10</v>
      </c>
      <c r="F4319" s="1" t="s">
        <v>5091</v>
      </c>
      <c r="G4319" s="14" t="s">
        <v>6145</v>
      </c>
      <c r="H4319" s="1" t="s">
        <v>43</v>
      </c>
      <c r="I4319" s="17">
        <v>41995</v>
      </c>
    </row>
    <row r="4320" spans="1:10">
      <c r="A4320" s="16" t="s">
        <v>9482</v>
      </c>
      <c r="B4320" s="1" t="s">
        <v>2628</v>
      </c>
      <c r="C4320" s="1">
        <v>3</v>
      </c>
      <c r="D4320" s="1" t="s">
        <v>11</v>
      </c>
      <c r="E4320" s="1" t="s">
        <v>10</v>
      </c>
      <c r="F4320" s="1" t="s">
        <v>5091</v>
      </c>
      <c r="G4320" s="14" t="s">
        <v>6145</v>
      </c>
      <c r="H4320" s="1" t="s">
        <v>43</v>
      </c>
      <c r="I4320" s="17">
        <v>41995</v>
      </c>
    </row>
    <row r="4321" spans="1:9">
      <c r="A4321" s="16" t="s">
        <v>9483</v>
      </c>
      <c r="B4321" s="1" t="s">
        <v>2628</v>
      </c>
      <c r="C4321" s="1">
        <v>3</v>
      </c>
      <c r="D4321" s="1" t="s">
        <v>11</v>
      </c>
      <c r="E4321" s="1" t="s">
        <v>10</v>
      </c>
      <c r="F4321" s="1" t="s">
        <v>5091</v>
      </c>
      <c r="G4321" s="14" t="s">
        <v>6145</v>
      </c>
      <c r="H4321" s="1" t="s">
        <v>43</v>
      </c>
      <c r="I4321" s="17">
        <v>41995</v>
      </c>
    </row>
    <row r="4322" spans="1:9">
      <c r="A4322" s="16" t="s">
        <v>9529</v>
      </c>
      <c r="B4322" s="1" t="s">
        <v>2628</v>
      </c>
      <c r="C4322" s="1">
        <v>3</v>
      </c>
      <c r="D4322" s="1" t="s">
        <v>11</v>
      </c>
      <c r="E4322" s="1" t="s">
        <v>10</v>
      </c>
      <c r="F4322" s="1" t="s">
        <v>5091</v>
      </c>
      <c r="G4322" s="14" t="s">
        <v>4803</v>
      </c>
      <c r="H4322" s="1" t="s">
        <v>5</v>
      </c>
      <c r="I4322" s="17">
        <v>41887</v>
      </c>
    </row>
    <row r="4323" spans="1:9">
      <c r="A4323" s="7" t="s">
        <v>10235</v>
      </c>
      <c r="B4323" s="1" t="s">
        <v>2630</v>
      </c>
      <c r="C4323" s="1">
        <v>3</v>
      </c>
      <c r="D4323" s="1" t="s">
        <v>11</v>
      </c>
      <c r="E4323" s="1" t="s">
        <v>10</v>
      </c>
      <c r="F4323" s="1" t="s">
        <v>36</v>
      </c>
      <c r="G4323" s="1" t="s">
        <v>10236</v>
      </c>
      <c r="H4323" s="1" t="s">
        <v>5</v>
      </c>
      <c r="I4323" s="1">
        <v>2010</v>
      </c>
    </row>
    <row r="4324" spans="1:9">
      <c r="A4324" s="7" t="s">
        <v>10632</v>
      </c>
      <c r="B4324" s="1" t="s">
        <v>2630</v>
      </c>
      <c r="C4324" s="1">
        <v>3</v>
      </c>
      <c r="D4324" s="1" t="s">
        <v>11</v>
      </c>
      <c r="E4324" s="1" t="s">
        <v>10</v>
      </c>
      <c r="F4324" s="1" t="s">
        <v>139</v>
      </c>
      <c r="G4324" s="1" t="s">
        <v>10633</v>
      </c>
      <c r="H4324" s="1" t="s">
        <v>43</v>
      </c>
      <c r="I4324" s="1">
        <v>2014</v>
      </c>
    </row>
    <row r="4325" spans="1:9">
      <c r="A4325" s="7" t="s">
        <v>10698</v>
      </c>
      <c r="B4325" s="1" t="s">
        <v>2630</v>
      </c>
      <c r="C4325" s="1">
        <v>3</v>
      </c>
      <c r="D4325" s="1" t="s">
        <v>11</v>
      </c>
      <c r="E4325" s="1" t="s">
        <v>10</v>
      </c>
      <c r="F4325" s="1" t="s">
        <v>139</v>
      </c>
      <c r="G4325" s="1" t="s">
        <v>10699</v>
      </c>
      <c r="H4325" s="1" t="s">
        <v>43</v>
      </c>
      <c r="I4325" s="1">
        <v>2004</v>
      </c>
    </row>
    <row r="4326" spans="1:9">
      <c r="A4326" s="16" t="s">
        <v>11801</v>
      </c>
      <c r="B4326" s="1" t="s">
        <v>2628</v>
      </c>
      <c r="C4326" s="1">
        <v>3</v>
      </c>
      <c r="D4326" s="1" t="s">
        <v>11</v>
      </c>
      <c r="E4326" s="1" t="s">
        <v>10</v>
      </c>
      <c r="F4326" s="1" t="s">
        <v>5091</v>
      </c>
      <c r="G4326" s="14" t="s">
        <v>4803</v>
      </c>
      <c r="H4326" s="1" t="s">
        <v>5</v>
      </c>
      <c r="I4326" s="17">
        <v>42339</v>
      </c>
    </row>
    <row r="4327" spans="1:9">
      <c r="A4327" s="16" t="s">
        <v>13482</v>
      </c>
      <c r="B4327" s="1" t="s">
        <v>2628</v>
      </c>
      <c r="C4327" s="1">
        <v>3</v>
      </c>
      <c r="D4327" s="1" t="s">
        <v>11</v>
      </c>
      <c r="E4327" s="1" t="s">
        <v>10</v>
      </c>
      <c r="F4327" s="1" t="s">
        <v>5091</v>
      </c>
      <c r="G4327" s="14" t="s">
        <v>13483</v>
      </c>
      <c r="H4327" s="1" t="s">
        <v>5</v>
      </c>
      <c r="I4327" s="17">
        <v>42991</v>
      </c>
    </row>
    <row r="4328" spans="1:9">
      <c r="A4328" s="16" t="s">
        <v>13674</v>
      </c>
      <c r="B4328" s="1" t="s">
        <v>2628</v>
      </c>
      <c r="C4328" s="1">
        <v>3</v>
      </c>
      <c r="D4328" s="1" t="s">
        <v>11</v>
      </c>
      <c r="E4328" s="1" t="s">
        <v>10</v>
      </c>
      <c r="F4328" s="1" t="s">
        <v>5091</v>
      </c>
      <c r="G4328" s="14" t="s">
        <v>6145</v>
      </c>
      <c r="H4328" s="1" t="s">
        <v>43</v>
      </c>
      <c r="I4328" s="17">
        <v>43009</v>
      </c>
    </row>
    <row r="4329" spans="1:9">
      <c r="A4329" s="16" t="s">
        <v>13677</v>
      </c>
      <c r="B4329" s="1" t="s">
        <v>2628</v>
      </c>
      <c r="C4329" s="1">
        <v>3</v>
      </c>
      <c r="D4329" s="1" t="s">
        <v>11</v>
      </c>
      <c r="E4329" s="1" t="s">
        <v>10</v>
      </c>
      <c r="F4329" s="1" t="s">
        <v>5091</v>
      </c>
      <c r="G4329" s="14" t="s">
        <v>6145</v>
      </c>
      <c r="H4329" s="1" t="s">
        <v>43</v>
      </c>
      <c r="I4329" s="17">
        <v>43009</v>
      </c>
    </row>
    <row r="4330" spans="1:9" ht="31.2">
      <c r="A4330" s="16" t="s">
        <v>13678</v>
      </c>
      <c r="B4330" s="1" t="s">
        <v>2628</v>
      </c>
      <c r="C4330" s="1">
        <v>3</v>
      </c>
      <c r="D4330" s="1" t="s">
        <v>11</v>
      </c>
      <c r="E4330" s="1" t="s">
        <v>10</v>
      </c>
      <c r="F4330" s="1" t="s">
        <v>5091</v>
      </c>
      <c r="G4330" s="14" t="s">
        <v>6145</v>
      </c>
      <c r="H4330" s="1" t="s">
        <v>43</v>
      </c>
      <c r="I4330" s="17">
        <v>43009</v>
      </c>
    </row>
    <row r="4331" spans="1:9">
      <c r="A4331" s="16" t="s">
        <v>13734</v>
      </c>
      <c r="B4331" s="1" t="s">
        <v>2628</v>
      </c>
      <c r="C4331" s="1">
        <v>3</v>
      </c>
      <c r="D4331" s="1" t="s">
        <v>11</v>
      </c>
      <c r="E4331" s="1" t="s">
        <v>10</v>
      </c>
      <c r="F4331" s="1" t="s">
        <v>5091</v>
      </c>
      <c r="G4331" s="14" t="s">
        <v>6145</v>
      </c>
      <c r="H4331" s="1" t="s">
        <v>43</v>
      </c>
      <c r="I4331" s="17">
        <v>43009</v>
      </c>
    </row>
    <row r="4332" spans="1:9">
      <c r="A4332" s="16" t="s">
        <v>13747</v>
      </c>
      <c r="B4332" s="1" t="s">
        <v>2628</v>
      </c>
      <c r="C4332" s="1">
        <v>3</v>
      </c>
      <c r="D4332" s="1" t="s">
        <v>11</v>
      </c>
      <c r="E4332" s="1" t="s">
        <v>10</v>
      </c>
      <c r="F4332" s="1" t="s">
        <v>5091</v>
      </c>
      <c r="G4332" s="14" t="s">
        <v>6145</v>
      </c>
      <c r="H4332" s="1" t="s">
        <v>43</v>
      </c>
      <c r="I4332" s="17">
        <v>43009</v>
      </c>
    </row>
    <row r="4333" spans="1:9" ht="31.2">
      <c r="A4333" s="16" t="s">
        <v>13748</v>
      </c>
      <c r="B4333" s="1" t="s">
        <v>2628</v>
      </c>
      <c r="C4333" s="1">
        <v>3</v>
      </c>
      <c r="D4333" s="1" t="s">
        <v>11</v>
      </c>
      <c r="E4333" s="1" t="s">
        <v>10</v>
      </c>
      <c r="F4333" s="1" t="s">
        <v>5091</v>
      </c>
      <c r="G4333" s="14" t="s">
        <v>6145</v>
      </c>
      <c r="H4333" s="1" t="s">
        <v>43</v>
      </c>
      <c r="I4333" s="17">
        <v>43009</v>
      </c>
    </row>
    <row r="4334" spans="1:9">
      <c r="A4334" s="16" t="s">
        <v>13751</v>
      </c>
      <c r="B4334" s="1" t="s">
        <v>2628</v>
      </c>
      <c r="C4334" s="1">
        <v>3</v>
      </c>
      <c r="D4334" s="1" t="s">
        <v>11</v>
      </c>
      <c r="E4334" s="1" t="s">
        <v>10</v>
      </c>
      <c r="F4334" s="1" t="s">
        <v>5091</v>
      </c>
      <c r="G4334" s="14" t="s">
        <v>6145</v>
      </c>
      <c r="H4334" s="1" t="s">
        <v>43</v>
      </c>
      <c r="I4334" s="17">
        <v>43009</v>
      </c>
    </row>
    <row r="4335" spans="1:9">
      <c r="A4335" s="16" t="s">
        <v>14942</v>
      </c>
      <c r="B4335" s="1" t="s">
        <v>2628</v>
      </c>
      <c r="C4335" s="1">
        <v>3</v>
      </c>
      <c r="D4335" s="1" t="s">
        <v>11</v>
      </c>
      <c r="E4335" s="1" t="s">
        <v>10</v>
      </c>
      <c r="F4335" s="1" t="s">
        <v>5241</v>
      </c>
      <c r="G4335" s="14" t="s">
        <v>4803</v>
      </c>
      <c r="H4335" s="1" t="s">
        <v>5</v>
      </c>
      <c r="I4335" s="17">
        <v>42644</v>
      </c>
    </row>
    <row r="4336" spans="1:9">
      <c r="A4336" s="16" t="s">
        <v>15122</v>
      </c>
      <c r="B4336" s="1" t="s">
        <v>2628</v>
      </c>
      <c r="C4336" s="1">
        <v>3</v>
      </c>
      <c r="D4336" s="1" t="s">
        <v>11</v>
      </c>
      <c r="E4336" s="1" t="s">
        <v>10</v>
      </c>
      <c r="F4336" s="1" t="s">
        <v>5241</v>
      </c>
      <c r="G4336" s="14" t="s">
        <v>4803</v>
      </c>
      <c r="H4336" s="1" t="s">
        <v>5</v>
      </c>
      <c r="I4336" s="17">
        <v>42614</v>
      </c>
    </row>
    <row r="4337" spans="1:9">
      <c r="A4337" s="16" t="s">
        <v>15332</v>
      </c>
      <c r="B4337" s="1" t="s">
        <v>2628</v>
      </c>
      <c r="C4337" s="1">
        <v>3</v>
      </c>
      <c r="D4337" s="1" t="s">
        <v>11</v>
      </c>
      <c r="E4337" s="1" t="s">
        <v>10</v>
      </c>
      <c r="F4337" s="1" t="s">
        <v>5241</v>
      </c>
      <c r="G4337" s="14" t="s">
        <v>4803</v>
      </c>
      <c r="H4337" s="1" t="s">
        <v>5</v>
      </c>
      <c r="I4337" s="17">
        <v>42583</v>
      </c>
    </row>
    <row r="4338" spans="1:9">
      <c r="A4338" s="16" t="s">
        <v>15639</v>
      </c>
      <c r="B4338" s="1" t="s">
        <v>2628</v>
      </c>
      <c r="C4338" s="1">
        <v>3</v>
      </c>
      <c r="D4338" s="1" t="s">
        <v>11</v>
      </c>
      <c r="E4338" s="1" t="s">
        <v>10</v>
      </c>
      <c r="F4338" s="1" t="s">
        <v>5091</v>
      </c>
      <c r="G4338" s="14" t="s">
        <v>15640</v>
      </c>
      <c r="H4338" s="1" t="s">
        <v>5</v>
      </c>
      <c r="I4338" s="17">
        <v>39301</v>
      </c>
    </row>
    <row r="4339" spans="1:9">
      <c r="A4339" s="7" t="s">
        <v>16068</v>
      </c>
      <c r="B4339" s="2" t="s">
        <v>2628</v>
      </c>
      <c r="C4339" s="1">
        <v>3</v>
      </c>
      <c r="D4339" s="1" t="s">
        <v>11</v>
      </c>
      <c r="E4339" s="1" t="s">
        <v>10</v>
      </c>
      <c r="F4339" s="1" t="s">
        <v>2693</v>
      </c>
      <c r="G4339" s="22" t="s">
        <v>6181</v>
      </c>
      <c r="H4339" s="2" t="s">
        <v>118</v>
      </c>
      <c r="I4339" s="1" t="s">
        <v>5807</v>
      </c>
    </row>
    <row r="4340" spans="1:9">
      <c r="A4340" s="7" t="s">
        <v>16678</v>
      </c>
      <c r="B4340" s="2" t="s">
        <v>2628</v>
      </c>
      <c r="C4340" s="1">
        <v>3</v>
      </c>
      <c r="D4340" s="1" t="s">
        <v>11</v>
      </c>
      <c r="E4340" s="1" t="s">
        <v>10</v>
      </c>
      <c r="F4340" s="1" t="s">
        <v>5091</v>
      </c>
      <c r="G4340" s="14" t="s">
        <v>6139</v>
      </c>
      <c r="H4340" s="1" t="s">
        <v>43</v>
      </c>
      <c r="I4340" s="1" t="s">
        <v>5807</v>
      </c>
    </row>
    <row r="4341" spans="1:9">
      <c r="A4341" s="7" t="s">
        <v>5408</v>
      </c>
      <c r="B4341" s="1" t="s">
        <v>2629</v>
      </c>
      <c r="C4341" s="1">
        <v>3</v>
      </c>
      <c r="D4341" s="1" t="s">
        <v>11</v>
      </c>
      <c r="E4341" s="1" t="s">
        <v>10</v>
      </c>
      <c r="F4341" s="1" t="s">
        <v>406</v>
      </c>
      <c r="G4341" s="1" t="s">
        <v>4800</v>
      </c>
      <c r="H4341" s="1" t="s">
        <v>27</v>
      </c>
      <c r="I4341" s="17">
        <v>41623</v>
      </c>
    </row>
    <row r="4342" spans="1:9">
      <c r="A4342" s="7" t="s">
        <v>11947</v>
      </c>
      <c r="B4342" s="1" t="s">
        <v>2630</v>
      </c>
      <c r="C4342" s="1">
        <v>3</v>
      </c>
      <c r="D4342" s="1" t="s">
        <v>11</v>
      </c>
      <c r="E4342" s="1" t="s">
        <v>10</v>
      </c>
      <c r="F4342" s="1" t="s">
        <v>139</v>
      </c>
      <c r="G4342" s="1" t="s">
        <v>11948</v>
      </c>
      <c r="H4342" s="1" t="s">
        <v>27</v>
      </c>
      <c r="I4342" s="1">
        <v>2014</v>
      </c>
    </row>
    <row r="4343" spans="1:9">
      <c r="A4343" s="16" t="s">
        <v>5425</v>
      </c>
      <c r="B4343" s="1" t="s">
        <v>2631</v>
      </c>
      <c r="C4343" s="1">
        <v>3</v>
      </c>
      <c r="D4343" s="1" t="s">
        <v>11</v>
      </c>
      <c r="E4343" s="1" t="s">
        <v>10</v>
      </c>
      <c r="F4343" s="1" t="s">
        <v>588</v>
      </c>
      <c r="G4343" s="1" t="s">
        <v>4800</v>
      </c>
      <c r="H4343" s="1" t="s">
        <v>27</v>
      </c>
      <c r="I4343" s="17">
        <v>41731</v>
      </c>
    </row>
    <row r="4344" spans="1:9">
      <c r="A4344" s="16" t="s">
        <v>5428</v>
      </c>
      <c r="B4344" s="1" t="s">
        <v>2631</v>
      </c>
      <c r="C4344" s="1">
        <v>3</v>
      </c>
      <c r="D4344" s="1" t="s">
        <v>11</v>
      </c>
      <c r="E4344" s="1" t="s">
        <v>10</v>
      </c>
      <c r="F4344" s="1" t="s">
        <v>588</v>
      </c>
      <c r="G4344" s="1" t="s">
        <v>4800</v>
      </c>
      <c r="H4344" s="1" t="s">
        <v>27</v>
      </c>
      <c r="I4344" s="17">
        <v>41413</v>
      </c>
    </row>
    <row r="4345" spans="1:9">
      <c r="A4345" s="16" t="s">
        <v>5441</v>
      </c>
      <c r="B4345" s="1" t="s">
        <v>2631</v>
      </c>
      <c r="C4345" s="1">
        <v>3</v>
      </c>
      <c r="D4345" s="1" t="s">
        <v>11</v>
      </c>
      <c r="E4345" s="1" t="s">
        <v>10</v>
      </c>
      <c r="F4345" s="1" t="s">
        <v>588</v>
      </c>
      <c r="G4345" s="1" t="s">
        <v>4800</v>
      </c>
      <c r="H4345" s="1" t="s">
        <v>27</v>
      </c>
      <c r="I4345" s="17">
        <v>42432</v>
      </c>
    </row>
    <row r="4346" spans="1:9">
      <c r="A4346" s="16" t="s">
        <v>5443</v>
      </c>
      <c r="B4346" s="1" t="s">
        <v>2631</v>
      </c>
      <c r="C4346" s="1">
        <v>3</v>
      </c>
      <c r="D4346" s="1" t="s">
        <v>11</v>
      </c>
      <c r="E4346" s="1" t="s">
        <v>10</v>
      </c>
      <c r="F4346" s="1" t="s">
        <v>588</v>
      </c>
      <c r="G4346" s="1" t="s">
        <v>4800</v>
      </c>
      <c r="H4346" s="1" t="s">
        <v>27</v>
      </c>
      <c r="I4346" s="17">
        <v>42447</v>
      </c>
    </row>
    <row r="4347" spans="1:9">
      <c r="A4347" s="16" t="s">
        <v>5555</v>
      </c>
      <c r="B4347" s="1" t="s">
        <v>2631</v>
      </c>
      <c r="C4347" s="1">
        <v>3</v>
      </c>
      <c r="D4347" s="1" t="s">
        <v>11</v>
      </c>
      <c r="E4347" s="1" t="s">
        <v>10</v>
      </c>
      <c r="F4347" s="1" t="s">
        <v>2699</v>
      </c>
      <c r="G4347" s="1" t="s">
        <v>4800</v>
      </c>
      <c r="H4347" s="1" t="s">
        <v>27</v>
      </c>
      <c r="I4347" s="17">
        <v>41640</v>
      </c>
    </row>
    <row r="4348" spans="1:9">
      <c r="A4348" s="7" t="s">
        <v>5993</v>
      </c>
      <c r="B4348" s="1" t="s">
        <v>2631</v>
      </c>
      <c r="C4348" s="1">
        <v>3</v>
      </c>
      <c r="D4348" s="1" t="s">
        <v>11</v>
      </c>
      <c r="E4348" s="1" t="s">
        <v>10</v>
      </c>
      <c r="F4348" s="1" t="s">
        <v>139</v>
      </c>
      <c r="G4348" s="1" t="s">
        <v>5853</v>
      </c>
      <c r="H4348" s="1" t="s">
        <v>27</v>
      </c>
      <c r="I4348" s="1" t="s">
        <v>5801</v>
      </c>
    </row>
    <row r="4349" spans="1:9">
      <c r="A4349" s="16" t="s">
        <v>11560</v>
      </c>
      <c r="B4349" s="1" t="s">
        <v>2631</v>
      </c>
      <c r="C4349" s="1">
        <v>3</v>
      </c>
      <c r="D4349" s="1" t="s">
        <v>11</v>
      </c>
      <c r="E4349" s="1" t="s">
        <v>10</v>
      </c>
      <c r="F4349" s="1" t="s">
        <v>5241</v>
      </c>
      <c r="G4349" s="1" t="s">
        <v>4800</v>
      </c>
      <c r="H4349" s="1" t="s">
        <v>27</v>
      </c>
      <c r="I4349" s="17">
        <v>41852</v>
      </c>
    </row>
    <row r="4350" spans="1:9">
      <c r="A4350" s="16" t="s">
        <v>11459</v>
      </c>
      <c r="B4350" s="1" t="s">
        <v>2628</v>
      </c>
      <c r="C4350" s="1">
        <v>31</v>
      </c>
      <c r="D4350" s="1" t="s">
        <v>87</v>
      </c>
      <c r="E4350" s="1" t="s">
        <v>6</v>
      </c>
      <c r="F4350" s="1" t="s">
        <v>5241</v>
      </c>
      <c r="G4350" s="14" t="s">
        <v>4800</v>
      </c>
      <c r="H4350" s="1" t="s">
        <v>27</v>
      </c>
      <c r="I4350" s="17">
        <v>41244</v>
      </c>
    </row>
    <row r="4351" spans="1:9">
      <c r="A4351" s="16" t="s">
        <v>11490</v>
      </c>
      <c r="B4351" s="1" t="s">
        <v>2628</v>
      </c>
      <c r="C4351" s="1">
        <v>31</v>
      </c>
      <c r="D4351" s="1" t="s">
        <v>87</v>
      </c>
      <c r="E4351" s="1" t="s">
        <v>6</v>
      </c>
      <c r="F4351" s="1" t="s">
        <v>5241</v>
      </c>
      <c r="G4351" s="14" t="s">
        <v>4800</v>
      </c>
      <c r="H4351" s="1" t="s">
        <v>27</v>
      </c>
      <c r="I4351" s="17">
        <v>41244</v>
      </c>
    </row>
    <row r="4352" spans="1:9">
      <c r="A4352" s="16" t="s">
        <v>11548</v>
      </c>
      <c r="B4352" s="1" t="s">
        <v>2628</v>
      </c>
      <c r="C4352" s="1">
        <v>325</v>
      </c>
      <c r="D4352" s="1" t="s">
        <v>87</v>
      </c>
      <c r="E4352" s="1" t="s">
        <v>6</v>
      </c>
      <c r="F4352" s="1" t="s">
        <v>5241</v>
      </c>
      <c r="G4352" s="14" t="s">
        <v>4800</v>
      </c>
      <c r="H4352" s="1" t="s">
        <v>27</v>
      </c>
      <c r="I4352" s="17">
        <v>41306</v>
      </c>
    </row>
    <row r="4353" spans="1:10">
      <c r="A4353" s="16" t="s">
        <v>11551</v>
      </c>
      <c r="B4353" s="1" t="s">
        <v>2628</v>
      </c>
      <c r="C4353" s="1">
        <v>325</v>
      </c>
      <c r="D4353" s="1" t="s">
        <v>87</v>
      </c>
      <c r="E4353" s="1" t="s">
        <v>6</v>
      </c>
      <c r="F4353" s="1" t="s">
        <v>5241</v>
      </c>
      <c r="G4353" s="14" t="s">
        <v>4800</v>
      </c>
      <c r="H4353" s="1" t="s">
        <v>27</v>
      </c>
      <c r="I4353" s="17">
        <v>41244</v>
      </c>
    </row>
    <row r="4354" spans="1:10">
      <c r="A4354" s="16" t="s">
        <v>11554</v>
      </c>
      <c r="B4354" s="1" t="s">
        <v>2628</v>
      </c>
      <c r="C4354" s="1">
        <v>837</v>
      </c>
      <c r="D4354" s="1" t="s">
        <v>87</v>
      </c>
      <c r="E4354" s="1" t="s">
        <v>6</v>
      </c>
      <c r="F4354" s="1" t="s">
        <v>5241</v>
      </c>
      <c r="G4354" s="14" t="s">
        <v>4800</v>
      </c>
      <c r="H4354" s="1" t="s">
        <v>27</v>
      </c>
      <c r="I4354" s="17">
        <v>41334</v>
      </c>
    </row>
    <row r="4355" spans="1:10">
      <c r="A4355" s="16" t="s">
        <v>11942</v>
      </c>
      <c r="B4355" s="1" t="s">
        <v>2628</v>
      </c>
      <c r="C4355" s="1">
        <v>325</v>
      </c>
      <c r="D4355" s="1" t="s">
        <v>87</v>
      </c>
      <c r="E4355" s="1" t="s">
        <v>6</v>
      </c>
      <c r="F4355" s="1" t="s">
        <v>139</v>
      </c>
      <c r="G4355" s="14" t="s">
        <v>5853</v>
      </c>
      <c r="H4355" s="1" t="s">
        <v>27</v>
      </c>
      <c r="I4355" s="17">
        <v>41640</v>
      </c>
    </row>
    <row r="4356" spans="1:10">
      <c r="A4356" s="16" t="s">
        <v>11944</v>
      </c>
      <c r="B4356" s="1" t="s">
        <v>2628</v>
      </c>
      <c r="C4356" s="1">
        <v>325</v>
      </c>
      <c r="D4356" s="1" t="s">
        <v>87</v>
      </c>
      <c r="E4356" s="1" t="s">
        <v>6</v>
      </c>
      <c r="F4356" s="1" t="s">
        <v>139</v>
      </c>
      <c r="G4356" s="14" t="s">
        <v>5853</v>
      </c>
      <c r="H4356" s="1" t="s">
        <v>27</v>
      </c>
      <c r="I4356" s="17">
        <v>42005</v>
      </c>
    </row>
    <row r="4357" spans="1:10">
      <c r="A4357" s="16" t="s">
        <v>11951</v>
      </c>
      <c r="B4357" s="1" t="s">
        <v>2628</v>
      </c>
      <c r="C4357" s="1">
        <v>325</v>
      </c>
      <c r="D4357" s="1" t="s">
        <v>87</v>
      </c>
      <c r="E4357" s="1" t="s">
        <v>6</v>
      </c>
      <c r="F4357" s="1" t="s">
        <v>139</v>
      </c>
      <c r="G4357" s="14" t="s">
        <v>5853</v>
      </c>
      <c r="H4357" s="1" t="s">
        <v>27</v>
      </c>
      <c r="I4357" s="17">
        <v>41640</v>
      </c>
    </row>
    <row r="4358" spans="1:10">
      <c r="A4358" s="16" t="s">
        <v>14264</v>
      </c>
      <c r="B4358" s="1" t="s">
        <v>2628</v>
      </c>
      <c r="C4358" s="1">
        <v>325</v>
      </c>
      <c r="D4358" s="1" t="s">
        <v>87</v>
      </c>
      <c r="E4358" s="1" t="s">
        <v>6</v>
      </c>
      <c r="F4358" s="1" t="s">
        <v>5241</v>
      </c>
      <c r="G4358" s="14" t="s">
        <v>4800</v>
      </c>
      <c r="H4358" s="1" t="s">
        <v>27</v>
      </c>
      <c r="I4358" s="17">
        <v>42979</v>
      </c>
    </row>
    <row r="4359" spans="1:10">
      <c r="A4359" s="16" t="s">
        <v>4872</v>
      </c>
      <c r="B4359" s="1" t="s">
        <v>2628</v>
      </c>
      <c r="C4359" s="1">
        <v>325</v>
      </c>
      <c r="D4359" s="1" t="s">
        <v>87</v>
      </c>
      <c r="E4359" s="1" t="s">
        <v>6</v>
      </c>
      <c r="F4359" s="1" t="s">
        <v>2693</v>
      </c>
      <c r="G4359" s="14" t="s">
        <v>5</v>
      </c>
      <c r="H4359" s="1" t="s">
        <v>5</v>
      </c>
      <c r="I4359" s="17">
        <v>41275</v>
      </c>
    </row>
    <row r="4360" spans="1:10">
      <c r="A4360" s="16" t="s">
        <v>4893</v>
      </c>
      <c r="B4360" s="1" t="s">
        <v>2628</v>
      </c>
      <c r="C4360" s="1">
        <v>325</v>
      </c>
      <c r="D4360" s="1" t="s">
        <v>87</v>
      </c>
      <c r="E4360" s="1" t="s">
        <v>6</v>
      </c>
      <c r="F4360" s="1" t="s">
        <v>2693</v>
      </c>
      <c r="G4360" s="14" t="s">
        <v>5</v>
      </c>
      <c r="H4360" s="1" t="s">
        <v>5</v>
      </c>
      <c r="I4360" s="17">
        <v>41275</v>
      </c>
    </row>
    <row r="4361" spans="1:10">
      <c r="A4361" s="16" t="s">
        <v>4939</v>
      </c>
      <c r="B4361" s="1" t="s">
        <v>2628</v>
      </c>
      <c r="C4361" s="1">
        <v>325</v>
      </c>
      <c r="D4361" s="1" t="s">
        <v>87</v>
      </c>
      <c r="E4361" s="1" t="s">
        <v>6</v>
      </c>
      <c r="F4361" s="1" t="s">
        <v>2693</v>
      </c>
      <c r="G4361" s="14" t="s">
        <v>5</v>
      </c>
      <c r="H4361" s="1" t="s">
        <v>5</v>
      </c>
      <c r="I4361" s="17">
        <v>41640</v>
      </c>
    </row>
    <row r="4362" spans="1:10">
      <c r="A4362" s="7" t="s">
        <v>5011</v>
      </c>
      <c r="B4362" s="1" t="s">
        <v>2629</v>
      </c>
      <c r="C4362" s="1">
        <v>31</v>
      </c>
      <c r="D4362" s="1" t="s">
        <v>87</v>
      </c>
      <c r="E4362" s="1" t="s">
        <v>6</v>
      </c>
      <c r="F4362" s="1" t="s">
        <v>118</v>
      </c>
      <c r="G4362" s="1" t="s">
        <v>4458</v>
      </c>
      <c r="H4362" s="1" t="s">
        <v>118</v>
      </c>
      <c r="I4362" s="1" t="s">
        <v>4792</v>
      </c>
    </row>
    <row r="4363" spans="1:10">
      <c r="A4363" s="7" t="s">
        <v>5124</v>
      </c>
      <c r="B4363" s="1" t="s">
        <v>2629</v>
      </c>
      <c r="C4363" s="1">
        <v>31</v>
      </c>
      <c r="D4363" s="1" t="s">
        <v>87</v>
      </c>
      <c r="E4363" s="1" t="s">
        <v>6</v>
      </c>
      <c r="F4363" s="1" t="s">
        <v>2691</v>
      </c>
      <c r="G4363" s="1" t="s">
        <v>5</v>
      </c>
      <c r="H4363" s="1" t="s">
        <v>5</v>
      </c>
      <c r="I4363" s="17">
        <v>38353</v>
      </c>
      <c r="J4363" s="17"/>
    </row>
    <row r="4364" spans="1:10">
      <c r="A4364" s="16" t="s">
        <v>5176</v>
      </c>
      <c r="B4364" s="1" t="s">
        <v>2628</v>
      </c>
      <c r="C4364" s="1">
        <v>31</v>
      </c>
      <c r="D4364" s="1" t="s">
        <v>87</v>
      </c>
      <c r="E4364" s="1" t="s">
        <v>6</v>
      </c>
      <c r="F4364" s="1" t="s">
        <v>2691</v>
      </c>
      <c r="G4364" s="14" t="s">
        <v>5</v>
      </c>
      <c r="H4364" s="1" t="s">
        <v>5</v>
      </c>
      <c r="I4364" s="17">
        <v>32509</v>
      </c>
    </row>
    <row r="4365" spans="1:10">
      <c r="A4365" s="16" t="s">
        <v>5204</v>
      </c>
      <c r="B4365" s="1" t="s">
        <v>2628</v>
      </c>
      <c r="C4365" s="1">
        <v>1278</v>
      </c>
      <c r="D4365" s="1" t="s">
        <v>87</v>
      </c>
      <c r="E4365" s="1" t="s">
        <v>6</v>
      </c>
      <c r="F4365" s="1" t="s">
        <v>2695</v>
      </c>
      <c r="G4365" s="14" t="s">
        <v>5195</v>
      </c>
      <c r="H4365" s="1" t="s">
        <v>43</v>
      </c>
      <c r="I4365" s="17">
        <v>39448</v>
      </c>
    </row>
    <row r="4366" spans="1:10">
      <c r="A4366" s="7" t="s">
        <v>5224</v>
      </c>
      <c r="B4366" s="1" t="s">
        <v>2629</v>
      </c>
      <c r="C4366" s="1">
        <v>31</v>
      </c>
      <c r="D4366" s="1" t="s">
        <v>87</v>
      </c>
      <c r="E4366" s="1" t="s">
        <v>6</v>
      </c>
      <c r="F4366" s="1" t="s">
        <v>118</v>
      </c>
      <c r="G4366" s="1" t="s">
        <v>4458</v>
      </c>
      <c r="H4366" s="1" t="s">
        <v>118</v>
      </c>
      <c r="I4366" s="1" t="s">
        <v>4792</v>
      </c>
    </row>
    <row r="4367" spans="1:10">
      <c r="A4367" s="16" t="s">
        <v>5615</v>
      </c>
      <c r="B4367" s="1" t="s">
        <v>2628</v>
      </c>
      <c r="C4367" s="1">
        <v>31</v>
      </c>
      <c r="D4367" s="1" t="s">
        <v>87</v>
      </c>
      <c r="E4367" s="1" t="s">
        <v>6</v>
      </c>
      <c r="F4367" s="1" t="s">
        <v>2691</v>
      </c>
      <c r="G4367" s="14" t="s">
        <v>5338</v>
      </c>
      <c r="H4367" s="1" t="s">
        <v>5</v>
      </c>
      <c r="I4367" s="17">
        <v>40179</v>
      </c>
    </row>
    <row r="4368" spans="1:10">
      <c r="A4368" s="7" t="s">
        <v>5871</v>
      </c>
      <c r="B4368" s="1" t="s">
        <v>2628</v>
      </c>
      <c r="C4368" s="1">
        <v>325</v>
      </c>
      <c r="D4368" s="1" t="s">
        <v>87</v>
      </c>
      <c r="E4368" s="1" t="s">
        <v>6</v>
      </c>
      <c r="F4368" s="1" t="s">
        <v>2360</v>
      </c>
      <c r="G4368" s="1" t="s">
        <v>5872</v>
      </c>
      <c r="H4368" s="1" t="s">
        <v>43</v>
      </c>
      <c r="I4368" s="1" t="s">
        <v>5483</v>
      </c>
    </row>
    <row r="4369" spans="1:10">
      <c r="A4369" s="7" t="s">
        <v>5882</v>
      </c>
      <c r="B4369" s="1" t="s">
        <v>2628</v>
      </c>
      <c r="C4369" s="1">
        <v>325</v>
      </c>
      <c r="D4369" s="1" t="s">
        <v>87</v>
      </c>
      <c r="E4369" s="1" t="s">
        <v>6</v>
      </c>
      <c r="F4369" s="1" t="s">
        <v>2360</v>
      </c>
      <c r="G4369" s="1" t="s">
        <v>5872</v>
      </c>
      <c r="H4369" s="1" t="s">
        <v>43</v>
      </c>
      <c r="I4369" s="1" t="s">
        <v>5483</v>
      </c>
    </row>
    <row r="4370" spans="1:10">
      <c r="A4370" s="7" t="s">
        <v>5884</v>
      </c>
      <c r="B4370" s="1" t="s">
        <v>2628</v>
      </c>
      <c r="C4370" s="1">
        <v>325</v>
      </c>
      <c r="D4370" s="1" t="s">
        <v>87</v>
      </c>
      <c r="E4370" s="1" t="s">
        <v>6</v>
      </c>
      <c r="F4370" s="1" t="s">
        <v>2360</v>
      </c>
      <c r="G4370" s="1" t="s">
        <v>5872</v>
      </c>
      <c r="H4370" s="1" t="s">
        <v>43</v>
      </c>
      <c r="I4370" s="1" t="s">
        <v>5483</v>
      </c>
    </row>
    <row r="4371" spans="1:10">
      <c r="A4371" s="7" t="s">
        <v>5889</v>
      </c>
      <c r="B4371" s="1" t="s">
        <v>2628</v>
      </c>
      <c r="C4371" s="1">
        <v>325</v>
      </c>
      <c r="D4371" s="1" t="s">
        <v>87</v>
      </c>
      <c r="E4371" s="1" t="s">
        <v>6</v>
      </c>
      <c r="F4371" s="1" t="s">
        <v>2360</v>
      </c>
      <c r="G4371" s="1" t="s">
        <v>5872</v>
      </c>
      <c r="H4371" s="1" t="s">
        <v>43</v>
      </c>
      <c r="I4371" s="1" t="s">
        <v>5483</v>
      </c>
    </row>
    <row r="4372" spans="1:10">
      <c r="A4372" s="7" t="s">
        <v>5890</v>
      </c>
      <c r="B4372" s="1" t="s">
        <v>2628</v>
      </c>
      <c r="C4372" s="1">
        <v>325</v>
      </c>
      <c r="D4372" s="1" t="s">
        <v>87</v>
      </c>
      <c r="E4372" s="1" t="s">
        <v>6</v>
      </c>
      <c r="F4372" s="1" t="s">
        <v>2360</v>
      </c>
      <c r="G4372" s="1" t="s">
        <v>5872</v>
      </c>
      <c r="H4372" s="1" t="s">
        <v>43</v>
      </c>
      <c r="I4372" s="1" t="s">
        <v>5483</v>
      </c>
    </row>
    <row r="4373" spans="1:10">
      <c r="A4373" s="7" t="s">
        <v>5898</v>
      </c>
      <c r="B4373" s="1" t="s">
        <v>2628</v>
      </c>
      <c r="C4373" s="1">
        <v>325</v>
      </c>
      <c r="D4373" s="1" t="s">
        <v>87</v>
      </c>
      <c r="E4373" s="1" t="s">
        <v>6</v>
      </c>
      <c r="F4373" s="1" t="s">
        <v>2360</v>
      </c>
      <c r="G4373" s="1" t="s">
        <v>5872</v>
      </c>
      <c r="H4373" s="1" t="s">
        <v>43</v>
      </c>
      <c r="I4373" s="1" t="s">
        <v>5801</v>
      </c>
    </row>
    <row r="4374" spans="1:10">
      <c r="A4374" s="7" t="s">
        <v>5899</v>
      </c>
      <c r="B4374" s="1" t="s">
        <v>2628</v>
      </c>
      <c r="C4374" s="1">
        <v>325</v>
      </c>
      <c r="D4374" s="1" t="s">
        <v>87</v>
      </c>
      <c r="E4374" s="1" t="s">
        <v>6</v>
      </c>
      <c r="F4374" s="1" t="s">
        <v>2360</v>
      </c>
      <c r="G4374" s="1" t="s">
        <v>5872</v>
      </c>
      <c r="H4374" s="1" t="s">
        <v>43</v>
      </c>
      <c r="I4374" s="1" t="s">
        <v>5801</v>
      </c>
    </row>
    <row r="4375" spans="1:10">
      <c r="A4375" s="7" t="s">
        <v>5900</v>
      </c>
      <c r="B4375" s="1" t="s">
        <v>2628</v>
      </c>
      <c r="C4375" s="1">
        <v>325</v>
      </c>
      <c r="D4375" s="1" t="s">
        <v>87</v>
      </c>
      <c r="E4375" s="1" t="s">
        <v>6</v>
      </c>
      <c r="F4375" s="1" t="s">
        <v>2360</v>
      </c>
      <c r="G4375" s="1" t="s">
        <v>5872</v>
      </c>
      <c r="H4375" s="1" t="s">
        <v>43</v>
      </c>
      <c r="I4375" s="1" t="s">
        <v>5801</v>
      </c>
    </row>
    <row r="4376" spans="1:10">
      <c r="A4376" s="7" t="s">
        <v>5901</v>
      </c>
      <c r="B4376" s="1" t="s">
        <v>2628</v>
      </c>
      <c r="C4376" s="1">
        <v>325</v>
      </c>
      <c r="D4376" s="1" t="s">
        <v>87</v>
      </c>
      <c r="E4376" s="1" t="s">
        <v>6</v>
      </c>
      <c r="F4376" s="1" t="s">
        <v>2360</v>
      </c>
      <c r="G4376" s="1" t="s">
        <v>5872</v>
      </c>
      <c r="H4376" s="1" t="s">
        <v>43</v>
      </c>
      <c r="I4376" s="1" t="s">
        <v>5801</v>
      </c>
    </row>
    <row r="4377" spans="1:10">
      <c r="A4377" s="7" t="s">
        <v>5904</v>
      </c>
      <c r="B4377" s="1" t="s">
        <v>2628</v>
      </c>
      <c r="C4377" s="1">
        <v>325</v>
      </c>
      <c r="D4377" s="1" t="s">
        <v>87</v>
      </c>
      <c r="E4377" s="1" t="s">
        <v>6</v>
      </c>
      <c r="F4377" s="1" t="s">
        <v>2360</v>
      </c>
      <c r="G4377" s="1" t="s">
        <v>5872</v>
      </c>
      <c r="H4377" s="1" t="s">
        <v>43</v>
      </c>
      <c r="I4377" s="1" t="s">
        <v>5801</v>
      </c>
    </row>
    <row r="4378" spans="1:10">
      <c r="A4378" s="7" t="s">
        <v>5906</v>
      </c>
      <c r="B4378" s="1" t="s">
        <v>2628</v>
      </c>
      <c r="C4378" s="1">
        <v>325</v>
      </c>
      <c r="D4378" s="1" t="s">
        <v>87</v>
      </c>
      <c r="E4378" s="1" t="s">
        <v>6</v>
      </c>
      <c r="F4378" s="1" t="s">
        <v>2360</v>
      </c>
      <c r="G4378" s="1" t="s">
        <v>5872</v>
      </c>
      <c r="H4378" s="1" t="s">
        <v>43</v>
      </c>
      <c r="I4378" s="1" t="s">
        <v>5801</v>
      </c>
    </row>
    <row r="4379" spans="1:10">
      <c r="A4379" s="7" t="s">
        <v>5916</v>
      </c>
      <c r="B4379" s="1" t="s">
        <v>2628</v>
      </c>
      <c r="C4379" s="1">
        <v>325</v>
      </c>
      <c r="D4379" s="1" t="s">
        <v>87</v>
      </c>
      <c r="E4379" s="1" t="s">
        <v>6</v>
      </c>
      <c r="F4379" s="1" t="s">
        <v>2360</v>
      </c>
      <c r="G4379" s="1" t="s">
        <v>5872</v>
      </c>
      <c r="H4379" s="1" t="s">
        <v>43</v>
      </c>
      <c r="I4379" s="1" t="s">
        <v>5801</v>
      </c>
    </row>
    <row r="4380" spans="1:10">
      <c r="A4380" s="7" t="s">
        <v>5934</v>
      </c>
      <c r="B4380" s="1" t="s">
        <v>2628</v>
      </c>
      <c r="C4380" s="1">
        <v>325</v>
      </c>
      <c r="D4380" s="1" t="s">
        <v>87</v>
      </c>
      <c r="E4380" s="1" t="s">
        <v>6</v>
      </c>
      <c r="F4380" s="1" t="s">
        <v>2360</v>
      </c>
      <c r="G4380" s="1" t="s">
        <v>5872</v>
      </c>
      <c r="H4380" s="1" t="s">
        <v>43</v>
      </c>
      <c r="I4380" s="1" t="s">
        <v>5801</v>
      </c>
    </row>
    <row r="4381" spans="1:10">
      <c r="A4381" s="21" t="s">
        <v>6534</v>
      </c>
      <c r="B4381" s="13" t="s">
        <v>16953</v>
      </c>
      <c r="C4381" s="13">
        <v>31</v>
      </c>
      <c r="D4381" s="13" t="s">
        <v>87</v>
      </c>
      <c r="E4381" s="13" t="s">
        <v>6</v>
      </c>
      <c r="F4381" s="13" t="s">
        <v>5241</v>
      </c>
      <c r="G4381" s="13" t="s">
        <v>4803</v>
      </c>
      <c r="H4381" s="13" t="s">
        <v>5</v>
      </c>
      <c r="I4381" s="13" t="s">
        <v>5807</v>
      </c>
      <c r="J4381" s="17"/>
    </row>
    <row r="4382" spans="1:10">
      <c r="A4382" s="16" t="s">
        <v>8496</v>
      </c>
      <c r="B4382" s="1" t="s">
        <v>2628</v>
      </c>
      <c r="C4382" s="1">
        <v>31</v>
      </c>
      <c r="D4382" s="1" t="s">
        <v>87</v>
      </c>
      <c r="E4382" s="1" t="s">
        <v>6</v>
      </c>
      <c r="F4382" s="1" t="s">
        <v>5091</v>
      </c>
      <c r="G4382" s="14" t="s">
        <v>6236</v>
      </c>
      <c r="H4382" s="1" t="s">
        <v>43</v>
      </c>
      <c r="I4382" s="17">
        <v>41640</v>
      </c>
    </row>
    <row r="4383" spans="1:10">
      <c r="A4383" s="16" t="s">
        <v>8546</v>
      </c>
      <c r="B4383" s="1" t="s">
        <v>2628</v>
      </c>
      <c r="C4383" s="1">
        <v>31</v>
      </c>
      <c r="D4383" s="1" t="s">
        <v>87</v>
      </c>
      <c r="E4383" s="1" t="s">
        <v>6</v>
      </c>
      <c r="F4383" s="1" t="s">
        <v>5091</v>
      </c>
      <c r="G4383" s="14" t="s">
        <v>6236</v>
      </c>
      <c r="H4383" s="1" t="s">
        <v>43</v>
      </c>
      <c r="I4383" s="17">
        <v>41640</v>
      </c>
    </row>
    <row r="4384" spans="1:10">
      <c r="A4384" s="16" t="s">
        <v>8793</v>
      </c>
      <c r="B4384" s="1" t="s">
        <v>2628</v>
      </c>
      <c r="C4384" s="1">
        <v>325</v>
      </c>
      <c r="D4384" s="1" t="s">
        <v>87</v>
      </c>
      <c r="E4384" s="1" t="s">
        <v>6</v>
      </c>
      <c r="F4384" s="1" t="s">
        <v>5091</v>
      </c>
      <c r="G4384" s="14" t="s">
        <v>8794</v>
      </c>
      <c r="H4384" s="1" t="s">
        <v>5</v>
      </c>
      <c r="I4384" s="17">
        <v>36526</v>
      </c>
    </row>
    <row r="4385" spans="1:9">
      <c r="A4385" s="16" t="s">
        <v>8854</v>
      </c>
      <c r="B4385" s="1" t="s">
        <v>2628</v>
      </c>
      <c r="C4385" s="1">
        <v>325</v>
      </c>
      <c r="D4385" s="1" t="s">
        <v>87</v>
      </c>
      <c r="E4385" s="1" t="s">
        <v>6</v>
      </c>
      <c r="F4385" s="1" t="s">
        <v>118</v>
      </c>
      <c r="G4385" s="14" t="s">
        <v>4458</v>
      </c>
      <c r="H4385" s="1" t="s">
        <v>118</v>
      </c>
      <c r="I4385" s="1" t="s">
        <v>4458</v>
      </c>
    </row>
    <row r="4386" spans="1:9">
      <c r="A4386" s="16" t="s">
        <v>8961</v>
      </c>
      <c r="B4386" s="1" t="s">
        <v>2628</v>
      </c>
      <c r="C4386" s="1">
        <v>31</v>
      </c>
      <c r="D4386" s="1" t="s">
        <v>87</v>
      </c>
      <c r="E4386" s="1" t="s">
        <v>6</v>
      </c>
      <c r="F4386" s="1" t="s">
        <v>5091</v>
      </c>
      <c r="G4386" s="14" t="s">
        <v>6236</v>
      </c>
      <c r="H4386" s="1" t="s">
        <v>43</v>
      </c>
      <c r="I4386" s="17">
        <v>42005</v>
      </c>
    </row>
    <row r="4387" spans="1:9">
      <c r="A4387" s="16" t="s">
        <v>9211</v>
      </c>
      <c r="B4387" s="1" t="s">
        <v>2628</v>
      </c>
      <c r="C4387" s="1">
        <v>31</v>
      </c>
      <c r="D4387" s="1" t="s">
        <v>87</v>
      </c>
      <c r="E4387" s="1" t="s">
        <v>6</v>
      </c>
      <c r="F4387" s="1" t="s">
        <v>5091</v>
      </c>
      <c r="G4387" s="14" t="s">
        <v>6236</v>
      </c>
      <c r="H4387" s="1" t="s">
        <v>43</v>
      </c>
      <c r="I4387" s="17">
        <v>42005</v>
      </c>
    </row>
    <row r="4388" spans="1:9">
      <c r="A4388" s="16" t="s">
        <v>9226</v>
      </c>
      <c r="B4388" s="1" t="s">
        <v>2628</v>
      </c>
      <c r="C4388" s="1">
        <v>31</v>
      </c>
      <c r="D4388" s="1" t="s">
        <v>87</v>
      </c>
      <c r="E4388" s="1" t="s">
        <v>6</v>
      </c>
      <c r="F4388" s="1" t="s">
        <v>5091</v>
      </c>
      <c r="G4388" s="14" t="s">
        <v>9227</v>
      </c>
      <c r="H4388" s="1" t="s">
        <v>5</v>
      </c>
      <c r="I4388" s="17">
        <v>42005</v>
      </c>
    </row>
    <row r="4389" spans="1:9">
      <c r="A4389" s="16" t="s">
        <v>9536</v>
      </c>
      <c r="B4389" s="1" t="s">
        <v>2628</v>
      </c>
      <c r="C4389" s="1">
        <v>31</v>
      </c>
      <c r="D4389" s="1" t="s">
        <v>87</v>
      </c>
      <c r="E4389" s="1" t="s">
        <v>6</v>
      </c>
      <c r="F4389" s="1" t="s">
        <v>5091</v>
      </c>
      <c r="G4389" s="14" t="s">
        <v>9395</v>
      </c>
      <c r="H4389" s="1" t="s">
        <v>5</v>
      </c>
      <c r="I4389" s="17">
        <v>42005</v>
      </c>
    </row>
    <row r="4390" spans="1:9">
      <c r="A4390" s="16" t="s">
        <v>9605</v>
      </c>
      <c r="B4390" s="1" t="s">
        <v>2628</v>
      </c>
      <c r="C4390" s="1">
        <v>31</v>
      </c>
      <c r="D4390" s="1" t="s">
        <v>87</v>
      </c>
      <c r="E4390" s="1" t="s">
        <v>6</v>
      </c>
      <c r="F4390" s="1" t="s">
        <v>5091</v>
      </c>
      <c r="G4390" s="14" t="s">
        <v>9606</v>
      </c>
      <c r="H4390" s="1" t="s">
        <v>5</v>
      </c>
      <c r="I4390" s="17">
        <v>42241</v>
      </c>
    </row>
    <row r="4391" spans="1:9">
      <c r="A4391" s="16" t="s">
        <v>9662</v>
      </c>
      <c r="B4391" s="1" t="s">
        <v>2628</v>
      </c>
      <c r="C4391" s="1">
        <v>325</v>
      </c>
      <c r="D4391" s="1" t="s">
        <v>87</v>
      </c>
      <c r="E4391" s="1" t="s">
        <v>6</v>
      </c>
      <c r="F4391" s="1" t="s">
        <v>5091</v>
      </c>
      <c r="G4391" s="14" t="s">
        <v>9663</v>
      </c>
      <c r="H4391" s="1" t="s">
        <v>5</v>
      </c>
      <c r="I4391" s="17">
        <v>42277</v>
      </c>
    </row>
    <row r="4392" spans="1:9">
      <c r="A4392" s="16" t="s">
        <v>10338</v>
      </c>
      <c r="B4392" s="1" t="s">
        <v>2628</v>
      </c>
      <c r="C4392" s="1">
        <v>31</v>
      </c>
      <c r="D4392" s="1" t="s">
        <v>87</v>
      </c>
      <c r="E4392" s="1" t="s">
        <v>6</v>
      </c>
      <c r="F4392" s="1" t="s">
        <v>5091</v>
      </c>
      <c r="G4392" s="14" t="s">
        <v>6236</v>
      </c>
      <c r="H4392" s="1" t="s">
        <v>43</v>
      </c>
      <c r="I4392" s="17">
        <v>42370</v>
      </c>
    </row>
    <row r="4393" spans="1:9">
      <c r="A4393" s="16" t="s">
        <v>10382</v>
      </c>
      <c r="B4393" s="1" t="s">
        <v>2628</v>
      </c>
      <c r="C4393" s="1">
        <v>325</v>
      </c>
      <c r="D4393" s="1" t="s">
        <v>87</v>
      </c>
      <c r="E4393" s="1" t="s">
        <v>6</v>
      </c>
      <c r="F4393" s="1" t="s">
        <v>139</v>
      </c>
      <c r="G4393" s="14" t="s">
        <v>10383</v>
      </c>
      <c r="H4393" s="1" t="s">
        <v>5</v>
      </c>
      <c r="I4393" s="17">
        <v>39713</v>
      </c>
    </row>
    <row r="4394" spans="1:9">
      <c r="A4394" s="16" t="s">
        <v>10384</v>
      </c>
      <c r="B4394" s="1" t="s">
        <v>2628</v>
      </c>
      <c r="C4394" s="1">
        <v>325</v>
      </c>
      <c r="D4394" s="1" t="s">
        <v>87</v>
      </c>
      <c r="E4394" s="1" t="s">
        <v>6</v>
      </c>
      <c r="F4394" s="1" t="s">
        <v>139</v>
      </c>
      <c r="G4394" s="14" t="s">
        <v>10383</v>
      </c>
      <c r="H4394" s="1" t="s">
        <v>5</v>
      </c>
      <c r="I4394" s="17">
        <v>39713</v>
      </c>
    </row>
    <row r="4395" spans="1:9">
      <c r="A4395" s="16" t="s">
        <v>10385</v>
      </c>
      <c r="B4395" s="1" t="s">
        <v>2628</v>
      </c>
      <c r="C4395" s="1">
        <v>325</v>
      </c>
      <c r="D4395" s="1" t="s">
        <v>87</v>
      </c>
      <c r="E4395" s="1" t="s">
        <v>6</v>
      </c>
      <c r="F4395" s="1" t="s">
        <v>139</v>
      </c>
      <c r="G4395" s="14" t="s">
        <v>10383</v>
      </c>
      <c r="H4395" s="1" t="s">
        <v>5</v>
      </c>
      <c r="I4395" s="17">
        <v>39713</v>
      </c>
    </row>
    <row r="4396" spans="1:9">
      <c r="A4396" s="16" t="s">
        <v>10504</v>
      </c>
      <c r="B4396" s="1" t="s">
        <v>2628</v>
      </c>
      <c r="C4396" s="1">
        <v>325</v>
      </c>
      <c r="D4396" s="1" t="s">
        <v>87</v>
      </c>
      <c r="E4396" s="1" t="s">
        <v>6</v>
      </c>
      <c r="F4396" s="1" t="s">
        <v>139</v>
      </c>
      <c r="G4396" s="14" t="s">
        <v>2370</v>
      </c>
      <c r="H4396" s="1" t="s">
        <v>5</v>
      </c>
      <c r="I4396" s="17">
        <v>40695</v>
      </c>
    </row>
    <row r="4397" spans="1:9">
      <c r="A4397" s="16" t="s">
        <v>10616</v>
      </c>
      <c r="B4397" s="1" t="s">
        <v>2628</v>
      </c>
      <c r="C4397" s="1">
        <v>325</v>
      </c>
      <c r="D4397" s="1" t="s">
        <v>87</v>
      </c>
      <c r="E4397" s="1" t="s">
        <v>6</v>
      </c>
      <c r="F4397" s="1" t="s">
        <v>139</v>
      </c>
      <c r="G4397" s="14" t="s">
        <v>2370</v>
      </c>
      <c r="H4397" s="1" t="s">
        <v>5</v>
      </c>
      <c r="I4397" s="17">
        <v>41365</v>
      </c>
    </row>
    <row r="4398" spans="1:9">
      <c r="A4398" s="16" t="s">
        <v>10625</v>
      </c>
      <c r="B4398" s="1" t="s">
        <v>2628</v>
      </c>
      <c r="C4398" s="1">
        <v>325</v>
      </c>
      <c r="D4398" s="1" t="s">
        <v>87</v>
      </c>
      <c r="E4398" s="1" t="s">
        <v>6</v>
      </c>
      <c r="F4398" s="1" t="s">
        <v>139</v>
      </c>
      <c r="G4398" s="14" t="s">
        <v>2565</v>
      </c>
      <c r="H4398" s="1" t="s">
        <v>5</v>
      </c>
      <c r="I4398" s="17">
        <v>41579</v>
      </c>
    </row>
    <row r="4399" spans="1:9">
      <c r="A4399" s="16" t="s">
        <v>10631</v>
      </c>
      <c r="B4399" s="1" t="s">
        <v>2628</v>
      </c>
      <c r="C4399" s="1">
        <v>325</v>
      </c>
      <c r="D4399" s="1" t="s">
        <v>87</v>
      </c>
      <c r="E4399" s="1" t="s">
        <v>6</v>
      </c>
      <c r="F4399" s="1" t="s">
        <v>139</v>
      </c>
      <c r="G4399" s="14" t="s">
        <v>10607</v>
      </c>
      <c r="H4399" s="1" t="s">
        <v>43</v>
      </c>
      <c r="I4399" s="17">
        <v>41671</v>
      </c>
    </row>
    <row r="4400" spans="1:9">
      <c r="A4400" s="16" t="s">
        <v>10641</v>
      </c>
      <c r="B4400" s="1" t="s">
        <v>2628</v>
      </c>
      <c r="C4400" s="1">
        <v>325</v>
      </c>
      <c r="D4400" s="1" t="s">
        <v>87</v>
      </c>
      <c r="E4400" s="1" t="s">
        <v>6</v>
      </c>
      <c r="F4400" s="1" t="s">
        <v>139</v>
      </c>
      <c r="G4400" s="14" t="s">
        <v>2370</v>
      </c>
      <c r="H4400" s="1" t="s">
        <v>5</v>
      </c>
      <c r="I4400" s="17">
        <v>41214</v>
      </c>
    </row>
    <row r="4401" spans="1:9">
      <c r="A4401" s="16" t="s">
        <v>10643</v>
      </c>
      <c r="B4401" s="1" t="s">
        <v>2628</v>
      </c>
      <c r="C4401" s="1">
        <v>325</v>
      </c>
      <c r="D4401" s="1" t="s">
        <v>87</v>
      </c>
      <c r="E4401" s="1" t="s">
        <v>6</v>
      </c>
      <c r="F4401" s="1" t="s">
        <v>139</v>
      </c>
      <c r="G4401" s="14" t="s">
        <v>1475</v>
      </c>
      <c r="H4401" s="1" t="s">
        <v>5</v>
      </c>
      <c r="I4401" s="17">
        <v>40969</v>
      </c>
    </row>
    <row r="4402" spans="1:9">
      <c r="A4402" s="16" t="s">
        <v>10646</v>
      </c>
      <c r="B4402" s="1" t="s">
        <v>2628</v>
      </c>
      <c r="C4402" s="1">
        <v>325</v>
      </c>
      <c r="D4402" s="1" t="s">
        <v>87</v>
      </c>
      <c r="E4402" s="1" t="s">
        <v>6</v>
      </c>
      <c r="F4402" s="1" t="s">
        <v>139</v>
      </c>
      <c r="G4402" s="14" t="s">
        <v>10647</v>
      </c>
      <c r="H4402" s="1" t="s">
        <v>5</v>
      </c>
      <c r="I4402" s="17">
        <v>41030</v>
      </c>
    </row>
    <row r="4403" spans="1:9">
      <c r="A4403" s="16" t="s">
        <v>10649</v>
      </c>
      <c r="B4403" s="1" t="s">
        <v>2628</v>
      </c>
      <c r="C4403" s="1">
        <v>325</v>
      </c>
      <c r="D4403" s="1" t="s">
        <v>87</v>
      </c>
      <c r="E4403" s="1" t="s">
        <v>6</v>
      </c>
      <c r="F4403" s="1" t="s">
        <v>139</v>
      </c>
      <c r="G4403" s="14" t="s">
        <v>7919</v>
      </c>
      <c r="H4403" s="1" t="s">
        <v>5</v>
      </c>
      <c r="I4403" s="17">
        <v>41153</v>
      </c>
    </row>
    <row r="4404" spans="1:9">
      <c r="A4404" s="16" t="s">
        <v>10650</v>
      </c>
      <c r="B4404" s="1" t="s">
        <v>2628</v>
      </c>
      <c r="C4404" s="1">
        <v>325</v>
      </c>
      <c r="D4404" s="1" t="s">
        <v>87</v>
      </c>
      <c r="E4404" s="1" t="s">
        <v>6</v>
      </c>
      <c r="F4404" s="1" t="s">
        <v>139</v>
      </c>
      <c r="G4404" s="14" t="s">
        <v>10375</v>
      </c>
      <c r="H4404" s="1" t="s">
        <v>5</v>
      </c>
      <c r="I4404" s="17">
        <v>41153</v>
      </c>
    </row>
    <row r="4405" spans="1:9">
      <c r="A4405" s="16" t="s">
        <v>10651</v>
      </c>
      <c r="B4405" s="1" t="s">
        <v>2628</v>
      </c>
      <c r="C4405" s="1">
        <v>325</v>
      </c>
      <c r="D4405" s="1" t="s">
        <v>87</v>
      </c>
      <c r="E4405" s="1" t="s">
        <v>6</v>
      </c>
      <c r="F4405" s="1" t="s">
        <v>139</v>
      </c>
      <c r="G4405" s="14" t="s">
        <v>6145</v>
      </c>
      <c r="H4405" s="1" t="s">
        <v>43</v>
      </c>
      <c r="I4405" s="17">
        <v>41153</v>
      </c>
    </row>
    <row r="4406" spans="1:9">
      <c r="A4406" s="16" t="s">
        <v>10675</v>
      </c>
      <c r="B4406" s="1" t="s">
        <v>2628</v>
      </c>
      <c r="C4406" s="1">
        <v>325</v>
      </c>
      <c r="D4406" s="1" t="s">
        <v>87</v>
      </c>
      <c r="E4406" s="1" t="s">
        <v>6</v>
      </c>
      <c r="F4406" s="1" t="s">
        <v>139</v>
      </c>
      <c r="G4406" s="14" t="s">
        <v>6145</v>
      </c>
      <c r="H4406" s="1" t="s">
        <v>43</v>
      </c>
      <c r="I4406" s="17">
        <v>40817</v>
      </c>
    </row>
    <row r="4407" spans="1:9">
      <c r="A4407" s="16" t="s">
        <v>10706</v>
      </c>
      <c r="B4407" s="1" t="s">
        <v>2628</v>
      </c>
      <c r="C4407" s="1">
        <v>325</v>
      </c>
      <c r="D4407" s="1" t="s">
        <v>87</v>
      </c>
      <c r="E4407" s="1" t="s">
        <v>6</v>
      </c>
      <c r="F4407" s="1" t="s">
        <v>139</v>
      </c>
      <c r="G4407" s="14" t="s">
        <v>10705</v>
      </c>
      <c r="H4407" s="1" t="s">
        <v>44</v>
      </c>
      <c r="I4407" s="17">
        <v>37987</v>
      </c>
    </row>
    <row r="4408" spans="1:9">
      <c r="A4408" s="16" t="s">
        <v>10723</v>
      </c>
      <c r="B4408" s="1" t="s">
        <v>2628</v>
      </c>
      <c r="C4408" s="1">
        <v>31</v>
      </c>
      <c r="D4408" s="1" t="s">
        <v>87</v>
      </c>
      <c r="E4408" s="1" t="s">
        <v>6</v>
      </c>
      <c r="F4408" s="1" t="s">
        <v>5091</v>
      </c>
      <c r="G4408" s="14" t="s">
        <v>2565</v>
      </c>
      <c r="H4408" s="1" t="s">
        <v>5</v>
      </c>
      <c r="I4408" s="17">
        <v>42108</v>
      </c>
    </row>
    <row r="4409" spans="1:9">
      <c r="A4409" s="16" t="s">
        <v>10752</v>
      </c>
      <c r="B4409" s="1" t="s">
        <v>2628</v>
      </c>
      <c r="C4409" s="1">
        <v>31</v>
      </c>
      <c r="D4409" s="1" t="s">
        <v>87</v>
      </c>
      <c r="E4409" s="1" t="s">
        <v>6</v>
      </c>
      <c r="F4409" s="1" t="s">
        <v>5091</v>
      </c>
      <c r="G4409" s="14" t="s">
        <v>6307</v>
      </c>
      <c r="H4409" s="1" t="s">
        <v>44</v>
      </c>
      <c r="I4409" s="17">
        <v>42139</v>
      </c>
    </row>
    <row r="4410" spans="1:9">
      <c r="A4410" s="16" t="s">
        <v>10853</v>
      </c>
      <c r="B4410" s="1" t="s">
        <v>2628</v>
      </c>
      <c r="C4410" s="1">
        <v>31</v>
      </c>
      <c r="D4410" s="1" t="s">
        <v>87</v>
      </c>
      <c r="E4410" s="1" t="s">
        <v>6</v>
      </c>
      <c r="F4410" s="1" t="s">
        <v>5091</v>
      </c>
      <c r="G4410" s="14" t="s">
        <v>6450</v>
      </c>
      <c r="H4410" s="1" t="s">
        <v>43</v>
      </c>
      <c r="I4410" s="17">
        <v>42240</v>
      </c>
    </row>
    <row r="4411" spans="1:9">
      <c r="A4411" s="16" t="s">
        <v>11110</v>
      </c>
      <c r="B4411" s="1" t="s">
        <v>2628</v>
      </c>
      <c r="C4411" s="1">
        <v>31</v>
      </c>
      <c r="D4411" s="1" t="s">
        <v>87</v>
      </c>
      <c r="E4411" s="1" t="s">
        <v>6</v>
      </c>
      <c r="F4411" s="1" t="s">
        <v>5091</v>
      </c>
      <c r="G4411" s="14" t="s">
        <v>6145</v>
      </c>
      <c r="H4411" s="1" t="s">
        <v>43</v>
      </c>
      <c r="I4411" s="17">
        <v>41275</v>
      </c>
    </row>
    <row r="4412" spans="1:9">
      <c r="A4412" s="16" t="s">
        <v>11111</v>
      </c>
      <c r="B4412" s="1" t="s">
        <v>2628</v>
      </c>
      <c r="C4412" s="1">
        <v>31</v>
      </c>
      <c r="D4412" s="1" t="s">
        <v>87</v>
      </c>
      <c r="E4412" s="1" t="s">
        <v>6</v>
      </c>
      <c r="F4412" s="1" t="s">
        <v>5091</v>
      </c>
      <c r="G4412" s="14" t="s">
        <v>6236</v>
      </c>
      <c r="H4412" s="1" t="s">
        <v>43</v>
      </c>
      <c r="I4412" s="17">
        <v>42370</v>
      </c>
    </row>
    <row r="4413" spans="1:9">
      <c r="A4413" s="16" t="s">
        <v>11212</v>
      </c>
      <c r="B4413" s="1" t="s">
        <v>2628</v>
      </c>
      <c r="C4413" s="1">
        <v>325</v>
      </c>
      <c r="D4413" s="1" t="s">
        <v>87</v>
      </c>
      <c r="E4413" s="1" t="s">
        <v>6</v>
      </c>
      <c r="F4413" s="1" t="s">
        <v>139</v>
      </c>
      <c r="G4413" s="14" t="s">
        <v>11213</v>
      </c>
      <c r="H4413" s="1" t="s">
        <v>43</v>
      </c>
      <c r="I4413" s="17">
        <v>39814</v>
      </c>
    </row>
    <row r="4414" spans="1:9">
      <c r="A4414" s="16" t="s">
        <v>11214</v>
      </c>
      <c r="B4414" s="1" t="s">
        <v>2628</v>
      </c>
      <c r="C4414" s="1">
        <v>325</v>
      </c>
      <c r="D4414" s="1" t="s">
        <v>87</v>
      </c>
      <c r="E4414" s="1" t="s">
        <v>6</v>
      </c>
      <c r="F4414" s="1" t="s">
        <v>139</v>
      </c>
      <c r="G4414" s="14" t="s">
        <v>11213</v>
      </c>
      <c r="H4414" s="1" t="s">
        <v>43</v>
      </c>
      <c r="I4414" s="17">
        <v>39814</v>
      </c>
    </row>
    <row r="4415" spans="1:9">
      <c r="A4415" s="16" t="s">
        <v>11224</v>
      </c>
      <c r="B4415" s="1" t="s">
        <v>2628</v>
      </c>
      <c r="C4415" s="1">
        <v>31</v>
      </c>
      <c r="D4415" s="1" t="s">
        <v>87</v>
      </c>
      <c r="E4415" s="1" t="s">
        <v>6</v>
      </c>
      <c r="F4415" s="1" t="s">
        <v>5091</v>
      </c>
      <c r="G4415" s="14" t="s">
        <v>6236</v>
      </c>
      <c r="H4415" s="1" t="s">
        <v>43</v>
      </c>
      <c r="I4415" s="17">
        <v>42370</v>
      </c>
    </row>
    <row r="4416" spans="1:9">
      <c r="A4416" s="7" t="s">
        <v>11882</v>
      </c>
      <c r="B4416" s="1" t="s">
        <v>2630</v>
      </c>
      <c r="C4416" s="1">
        <v>31</v>
      </c>
      <c r="D4416" s="1" t="s">
        <v>87</v>
      </c>
      <c r="E4416" s="1" t="s">
        <v>6</v>
      </c>
      <c r="F4416" s="1" t="s">
        <v>2694</v>
      </c>
      <c r="G4416" s="1" t="s">
        <v>11883</v>
      </c>
      <c r="H4416" s="1" t="s">
        <v>5</v>
      </c>
      <c r="I4416" s="1">
        <v>2016</v>
      </c>
    </row>
    <row r="4417" spans="1:9">
      <c r="A4417" s="16" t="s">
        <v>11886</v>
      </c>
      <c r="B4417" s="1" t="s">
        <v>2628</v>
      </c>
      <c r="C4417" s="1">
        <v>31</v>
      </c>
      <c r="D4417" s="1" t="s">
        <v>87</v>
      </c>
      <c r="E4417" s="1" t="s">
        <v>6</v>
      </c>
      <c r="F4417" s="1" t="s">
        <v>5091</v>
      </c>
      <c r="G4417" s="14" t="s">
        <v>6145</v>
      </c>
      <c r="H4417" s="1" t="s">
        <v>43</v>
      </c>
      <c r="I4417" s="17">
        <v>42675</v>
      </c>
    </row>
    <row r="4418" spans="1:9">
      <c r="A4418" s="16" t="s">
        <v>11924</v>
      </c>
      <c r="B4418" s="1" t="s">
        <v>2628</v>
      </c>
      <c r="C4418" s="1">
        <v>325</v>
      </c>
      <c r="D4418" s="1" t="s">
        <v>87</v>
      </c>
      <c r="E4418" s="1" t="s">
        <v>6</v>
      </c>
      <c r="F4418" s="1" t="s">
        <v>139</v>
      </c>
      <c r="G4418" s="14" t="s">
        <v>11213</v>
      </c>
      <c r="H4418" s="1" t="s">
        <v>43</v>
      </c>
      <c r="I4418" s="17">
        <v>37987</v>
      </c>
    </row>
    <row r="4419" spans="1:9">
      <c r="A4419" s="16" t="s">
        <v>11925</v>
      </c>
      <c r="B4419" s="1" t="s">
        <v>2628</v>
      </c>
      <c r="C4419" s="1">
        <v>325</v>
      </c>
      <c r="D4419" s="1" t="s">
        <v>87</v>
      </c>
      <c r="E4419" s="1" t="s">
        <v>6</v>
      </c>
      <c r="F4419" s="1" t="s">
        <v>139</v>
      </c>
      <c r="G4419" s="14" t="s">
        <v>11213</v>
      </c>
      <c r="H4419" s="1" t="s">
        <v>43</v>
      </c>
      <c r="I4419" s="17">
        <v>37987</v>
      </c>
    </row>
    <row r="4420" spans="1:9">
      <c r="A4420" s="16" t="s">
        <v>11926</v>
      </c>
      <c r="B4420" s="1" t="s">
        <v>2628</v>
      </c>
      <c r="C4420" s="1">
        <v>325</v>
      </c>
      <c r="D4420" s="1" t="s">
        <v>87</v>
      </c>
      <c r="E4420" s="1" t="s">
        <v>6</v>
      </c>
      <c r="F4420" s="1" t="s">
        <v>139</v>
      </c>
      <c r="G4420" s="14" t="s">
        <v>11213</v>
      </c>
      <c r="H4420" s="1" t="s">
        <v>43</v>
      </c>
      <c r="I4420" s="17">
        <v>37987</v>
      </c>
    </row>
    <row r="4421" spans="1:9">
      <c r="A4421" s="16" t="s">
        <v>11927</v>
      </c>
      <c r="B4421" s="1" t="s">
        <v>2628</v>
      </c>
      <c r="C4421" s="1">
        <v>325</v>
      </c>
      <c r="D4421" s="1" t="s">
        <v>87</v>
      </c>
      <c r="E4421" s="1" t="s">
        <v>6</v>
      </c>
      <c r="F4421" s="1" t="s">
        <v>139</v>
      </c>
      <c r="G4421" s="14" t="s">
        <v>11213</v>
      </c>
      <c r="H4421" s="1" t="s">
        <v>43</v>
      </c>
      <c r="I4421" s="17">
        <v>37987</v>
      </c>
    </row>
    <row r="4422" spans="1:9">
      <c r="A4422" s="16" t="s">
        <v>11928</v>
      </c>
      <c r="B4422" s="1" t="s">
        <v>2628</v>
      </c>
      <c r="C4422" s="1">
        <v>325</v>
      </c>
      <c r="D4422" s="1" t="s">
        <v>87</v>
      </c>
      <c r="E4422" s="1" t="s">
        <v>6</v>
      </c>
      <c r="F4422" s="1" t="s">
        <v>139</v>
      </c>
      <c r="G4422" s="14" t="s">
        <v>11923</v>
      </c>
      <c r="H4422" s="1" t="s">
        <v>5</v>
      </c>
      <c r="I4422" s="17">
        <v>37987</v>
      </c>
    </row>
    <row r="4423" spans="1:9">
      <c r="A4423" s="16" t="s">
        <v>11931</v>
      </c>
      <c r="B4423" s="1" t="s">
        <v>2628</v>
      </c>
      <c r="C4423" s="1">
        <v>325</v>
      </c>
      <c r="D4423" s="1" t="s">
        <v>87</v>
      </c>
      <c r="E4423" s="1" t="s">
        <v>6</v>
      </c>
      <c r="F4423" s="1" t="s">
        <v>139</v>
      </c>
      <c r="G4423" s="14" t="s">
        <v>11923</v>
      </c>
      <c r="H4423" s="1" t="s">
        <v>5</v>
      </c>
      <c r="I4423" s="17">
        <v>38353</v>
      </c>
    </row>
    <row r="4424" spans="1:9">
      <c r="A4424" s="16" t="s">
        <v>11932</v>
      </c>
      <c r="B4424" s="1" t="s">
        <v>2628</v>
      </c>
      <c r="C4424" s="1">
        <v>325</v>
      </c>
      <c r="D4424" s="1" t="s">
        <v>87</v>
      </c>
      <c r="E4424" s="1" t="s">
        <v>6</v>
      </c>
      <c r="F4424" s="1" t="s">
        <v>139</v>
      </c>
      <c r="G4424" s="14" t="s">
        <v>11933</v>
      </c>
      <c r="H4424" s="1" t="s">
        <v>315</v>
      </c>
      <c r="I4424" s="17">
        <v>39814</v>
      </c>
    </row>
    <row r="4425" spans="1:9">
      <c r="A4425" s="16" t="s">
        <v>11936</v>
      </c>
      <c r="B4425" s="1" t="s">
        <v>2628</v>
      </c>
      <c r="C4425" s="1">
        <v>325</v>
      </c>
      <c r="D4425" s="1" t="s">
        <v>87</v>
      </c>
      <c r="E4425" s="1" t="s">
        <v>6</v>
      </c>
      <c r="F4425" s="1" t="s">
        <v>139</v>
      </c>
      <c r="G4425" s="14" t="s">
        <v>11933</v>
      </c>
      <c r="H4425" s="1" t="s">
        <v>315</v>
      </c>
      <c r="I4425" s="17">
        <v>39814</v>
      </c>
    </row>
    <row r="4426" spans="1:9">
      <c r="A4426" s="16" t="s">
        <v>11937</v>
      </c>
      <c r="B4426" s="1" t="s">
        <v>2628</v>
      </c>
      <c r="C4426" s="1">
        <v>325</v>
      </c>
      <c r="D4426" s="1" t="s">
        <v>87</v>
      </c>
      <c r="E4426" s="1" t="s">
        <v>6</v>
      </c>
      <c r="F4426" s="1" t="s">
        <v>139</v>
      </c>
      <c r="G4426" s="14" t="s">
        <v>11933</v>
      </c>
      <c r="H4426" s="1" t="s">
        <v>315</v>
      </c>
      <c r="I4426" s="17">
        <v>39814</v>
      </c>
    </row>
    <row r="4427" spans="1:9">
      <c r="A4427" s="16" t="s">
        <v>11938</v>
      </c>
      <c r="B4427" s="1" t="s">
        <v>2628</v>
      </c>
      <c r="C4427" s="1">
        <v>325</v>
      </c>
      <c r="D4427" s="1" t="s">
        <v>87</v>
      </c>
      <c r="E4427" s="1" t="s">
        <v>6</v>
      </c>
      <c r="F4427" s="1" t="s">
        <v>139</v>
      </c>
      <c r="G4427" s="14" t="s">
        <v>11933</v>
      </c>
      <c r="H4427" s="1" t="s">
        <v>315</v>
      </c>
      <c r="I4427" s="17">
        <v>39814</v>
      </c>
    </row>
    <row r="4428" spans="1:9">
      <c r="A4428" s="16" t="s">
        <v>12471</v>
      </c>
      <c r="B4428" s="1" t="s">
        <v>2628</v>
      </c>
      <c r="C4428" s="1">
        <v>31</v>
      </c>
      <c r="D4428" s="1" t="s">
        <v>87</v>
      </c>
      <c r="E4428" s="1" t="s">
        <v>6</v>
      </c>
      <c r="F4428" s="1" t="s">
        <v>5091</v>
      </c>
      <c r="G4428" s="14" t="s">
        <v>12472</v>
      </c>
      <c r="H4428" s="1" t="s">
        <v>5</v>
      </c>
      <c r="I4428" s="17">
        <v>41640</v>
      </c>
    </row>
    <row r="4429" spans="1:9">
      <c r="A4429" s="16" t="s">
        <v>12895</v>
      </c>
      <c r="B4429" s="1" t="s">
        <v>2628</v>
      </c>
      <c r="C4429" s="1">
        <v>31</v>
      </c>
      <c r="D4429" s="1" t="s">
        <v>87</v>
      </c>
      <c r="E4429" s="1" t="s">
        <v>6</v>
      </c>
      <c r="F4429" s="1" t="s">
        <v>5091</v>
      </c>
      <c r="G4429" s="14" t="s">
        <v>6450</v>
      </c>
      <c r="H4429" s="1" t="s">
        <v>43</v>
      </c>
      <c r="I4429" s="17">
        <v>42370</v>
      </c>
    </row>
    <row r="4430" spans="1:9">
      <c r="A4430" s="16" t="s">
        <v>13207</v>
      </c>
      <c r="B4430" s="1" t="s">
        <v>2628</v>
      </c>
      <c r="C4430" s="1">
        <v>31</v>
      </c>
      <c r="D4430" s="1" t="s">
        <v>87</v>
      </c>
      <c r="E4430" s="1" t="s">
        <v>6</v>
      </c>
      <c r="F4430" s="1" t="s">
        <v>5091</v>
      </c>
      <c r="G4430" s="14" t="s">
        <v>6236</v>
      </c>
      <c r="H4430" s="1" t="s">
        <v>43</v>
      </c>
      <c r="I4430" s="17">
        <v>42736</v>
      </c>
    </row>
    <row r="4431" spans="1:9">
      <c r="A4431" s="16" t="s">
        <v>13329</v>
      </c>
      <c r="B4431" s="1" t="s">
        <v>2628</v>
      </c>
      <c r="C4431" s="1">
        <v>31</v>
      </c>
      <c r="D4431" s="1" t="s">
        <v>87</v>
      </c>
      <c r="E4431" s="1" t="s">
        <v>6</v>
      </c>
      <c r="F4431" s="1" t="s">
        <v>5091</v>
      </c>
      <c r="G4431" s="14" t="s">
        <v>6236</v>
      </c>
      <c r="H4431" s="1" t="s">
        <v>43</v>
      </c>
      <c r="I4431" s="17">
        <v>42736</v>
      </c>
    </row>
    <row r="4432" spans="1:9">
      <c r="A4432" s="16" t="s">
        <v>13426</v>
      </c>
      <c r="B4432" s="1" t="s">
        <v>2628</v>
      </c>
      <c r="C4432" s="1">
        <v>1679</v>
      </c>
      <c r="D4432" s="1" t="s">
        <v>87</v>
      </c>
      <c r="E4432" s="1" t="s">
        <v>6</v>
      </c>
      <c r="F4432" s="1" t="s">
        <v>5091</v>
      </c>
      <c r="G4432" s="14" t="s">
        <v>6145</v>
      </c>
      <c r="H4432" s="1" t="s">
        <v>43</v>
      </c>
      <c r="I4432" s="17">
        <v>42985</v>
      </c>
    </row>
    <row r="4433" spans="1:9">
      <c r="A4433" s="16" t="s">
        <v>13729</v>
      </c>
      <c r="B4433" s="1" t="s">
        <v>2628</v>
      </c>
      <c r="C4433" s="1">
        <v>1425</v>
      </c>
      <c r="D4433" s="1" t="s">
        <v>87</v>
      </c>
      <c r="E4433" s="1" t="s">
        <v>6</v>
      </c>
      <c r="F4433" s="1" t="s">
        <v>5091</v>
      </c>
      <c r="G4433" s="14" t="s">
        <v>13730</v>
      </c>
      <c r="H4433" s="1" t="s">
        <v>5</v>
      </c>
      <c r="I4433" s="17">
        <v>43076</v>
      </c>
    </row>
    <row r="4434" spans="1:9">
      <c r="A4434" s="7" t="s">
        <v>13889</v>
      </c>
      <c r="B4434" s="1" t="s">
        <v>2630</v>
      </c>
      <c r="C4434" s="1">
        <v>31</v>
      </c>
      <c r="D4434" s="1" t="s">
        <v>87</v>
      </c>
      <c r="E4434" s="1" t="s">
        <v>6</v>
      </c>
      <c r="F4434" s="1" t="s">
        <v>5091</v>
      </c>
      <c r="G4434" s="1" t="s">
        <v>6145</v>
      </c>
      <c r="H4434" s="1" t="s">
        <v>43</v>
      </c>
      <c r="I4434" s="1">
        <v>2018</v>
      </c>
    </row>
    <row r="4435" spans="1:9">
      <c r="A4435" s="16" t="s">
        <v>14214</v>
      </c>
      <c r="B4435" s="1" t="s">
        <v>2628</v>
      </c>
      <c r="C4435" s="1">
        <v>31</v>
      </c>
      <c r="D4435" s="1" t="s">
        <v>87</v>
      </c>
      <c r="E4435" s="1" t="s">
        <v>6</v>
      </c>
      <c r="F4435" s="1" t="s">
        <v>5091</v>
      </c>
      <c r="G4435" s="14" t="s">
        <v>6236</v>
      </c>
      <c r="H4435" s="1" t="s">
        <v>43</v>
      </c>
      <c r="I4435" s="17">
        <v>43101</v>
      </c>
    </row>
    <row r="4436" spans="1:9">
      <c r="A4436" s="16" t="s">
        <v>14797</v>
      </c>
      <c r="B4436" s="1" t="s">
        <v>2628</v>
      </c>
      <c r="C4436" s="1">
        <v>325</v>
      </c>
      <c r="D4436" s="1" t="s">
        <v>87</v>
      </c>
      <c r="E4436" s="1" t="s">
        <v>6</v>
      </c>
      <c r="F4436" s="1" t="s">
        <v>5241</v>
      </c>
      <c r="G4436" s="14" t="s">
        <v>4803</v>
      </c>
      <c r="H4436" s="1" t="s">
        <v>5</v>
      </c>
      <c r="I4436" s="17">
        <v>42583</v>
      </c>
    </row>
    <row r="4437" spans="1:9">
      <c r="A4437" s="16" t="s">
        <v>14874</v>
      </c>
      <c r="B4437" s="1" t="s">
        <v>2628</v>
      </c>
      <c r="C4437" s="1">
        <v>325</v>
      </c>
      <c r="D4437" s="1" t="s">
        <v>87</v>
      </c>
      <c r="E4437" s="1" t="s">
        <v>6</v>
      </c>
      <c r="F4437" s="1" t="s">
        <v>5241</v>
      </c>
      <c r="G4437" s="14" t="s">
        <v>6307</v>
      </c>
      <c r="H4437" s="1" t="s">
        <v>44</v>
      </c>
      <c r="I4437" s="17">
        <v>43191</v>
      </c>
    </row>
    <row r="4438" spans="1:9">
      <c r="A4438" s="7" t="s">
        <v>15438</v>
      </c>
      <c r="B4438" s="1" t="s">
        <v>2629</v>
      </c>
      <c r="C4438" s="1">
        <v>31</v>
      </c>
      <c r="D4438" s="1" t="s">
        <v>87</v>
      </c>
      <c r="E4438" s="1" t="s">
        <v>6</v>
      </c>
      <c r="F4438" s="1" t="s">
        <v>5241</v>
      </c>
      <c r="G4438" s="1" t="s">
        <v>4803</v>
      </c>
      <c r="H4438" s="1" t="s">
        <v>5</v>
      </c>
      <c r="I4438" s="17">
        <v>42644</v>
      </c>
    </row>
    <row r="4439" spans="1:9">
      <c r="A4439" s="16" t="s">
        <v>15552</v>
      </c>
      <c r="B4439" s="1" t="s">
        <v>2628</v>
      </c>
      <c r="C4439" s="1">
        <v>31</v>
      </c>
      <c r="D4439" s="1" t="s">
        <v>87</v>
      </c>
      <c r="E4439" s="1" t="s">
        <v>6</v>
      </c>
      <c r="F4439" s="1" t="s">
        <v>5241</v>
      </c>
      <c r="G4439" s="14" t="s">
        <v>4803</v>
      </c>
      <c r="H4439" s="1" t="s">
        <v>5</v>
      </c>
      <c r="I4439" s="17">
        <v>42644</v>
      </c>
    </row>
    <row r="4440" spans="1:9">
      <c r="A4440" s="16" t="s">
        <v>15618</v>
      </c>
      <c r="B4440" s="1" t="s">
        <v>2628</v>
      </c>
      <c r="C4440" s="1">
        <v>31</v>
      </c>
      <c r="D4440" s="1" t="s">
        <v>87</v>
      </c>
      <c r="E4440" s="1" t="s">
        <v>6</v>
      </c>
      <c r="F4440" s="1" t="s">
        <v>5091</v>
      </c>
      <c r="G4440" s="14" t="s">
        <v>6186</v>
      </c>
      <c r="H4440" s="1" t="s">
        <v>5</v>
      </c>
      <c r="I4440" s="17">
        <v>43101</v>
      </c>
    </row>
    <row r="4441" spans="1:9">
      <c r="A4441" s="7" t="s">
        <v>15813</v>
      </c>
      <c r="B4441" s="2" t="s">
        <v>2628</v>
      </c>
      <c r="C4441" s="1">
        <v>31</v>
      </c>
      <c r="D4441" s="1" t="s">
        <v>87</v>
      </c>
      <c r="E4441" s="1" t="s">
        <v>6</v>
      </c>
      <c r="F4441" s="1" t="s">
        <v>588</v>
      </c>
      <c r="G4441" s="14" t="s">
        <v>15814</v>
      </c>
      <c r="H4441" s="1" t="s">
        <v>5</v>
      </c>
      <c r="I4441" s="1" t="s">
        <v>5089</v>
      </c>
    </row>
    <row r="4442" spans="1:9">
      <c r="A4442" s="7" t="s">
        <v>15819</v>
      </c>
      <c r="B4442" s="2" t="s">
        <v>2628</v>
      </c>
      <c r="C4442" s="1">
        <v>31</v>
      </c>
      <c r="D4442" s="1" t="s">
        <v>87</v>
      </c>
      <c r="E4442" s="1" t="s">
        <v>6</v>
      </c>
      <c r="F4442" s="1" t="s">
        <v>588</v>
      </c>
      <c r="G4442" s="14" t="s">
        <v>15820</v>
      </c>
      <c r="H4442" s="1" t="s">
        <v>43</v>
      </c>
      <c r="I4442" s="1" t="s">
        <v>5089</v>
      </c>
    </row>
    <row r="4443" spans="1:9">
      <c r="A4443" s="7" t="s">
        <v>15821</v>
      </c>
      <c r="B4443" s="2" t="s">
        <v>2628</v>
      </c>
      <c r="C4443" s="1">
        <v>31</v>
      </c>
      <c r="D4443" s="1" t="s">
        <v>87</v>
      </c>
      <c r="E4443" s="1" t="s">
        <v>6</v>
      </c>
      <c r="F4443" s="1" t="s">
        <v>588</v>
      </c>
      <c r="G4443" s="14" t="s">
        <v>15816</v>
      </c>
      <c r="H4443" s="1" t="s">
        <v>43</v>
      </c>
      <c r="I4443" s="1" t="s">
        <v>5089</v>
      </c>
    </row>
    <row r="4444" spans="1:9">
      <c r="A4444" s="7" t="s">
        <v>15822</v>
      </c>
      <c r="B4444" s="2" t="s">
        <v>2628</v>
      </c>
      <c r="C4444" s="1">
        <v>31</v>
      </c>
      <c r="D4444" s="1" t="s">
        <v>87</v>
      </c>
      <c r="E4444" s="1" t="s">
        <v>6</v>
      </c>
      <c r="F4444" s="1" t="s">
        <v>588</v>
      </c>
      <c r="G4444" s="14" t="s">
        <v>15816</v>
      </c>
      <c r="H4444" s="1" t="s">
        <v>43</v>
      </c>
      <c r="I4444" s="1">
        <v>2004</v>
      </c>
    </row>
    <row r="4445" spans="1:9" ht="31.2">
      <c r="A4445" s="16" t="s">
        <v>15985</v>
      </c>
      <c r="B4445" s="1" t="s">
        <v>2628</v>
      </c>
      <c r="C4445" s="1">
        <v>325</v>
      </c>
      <c r="D4445" s="1" t="s">
        <v>87</v>
      </c>
      <c r="E4445" s="1" t="s">
        <v>6</v>
      </c>
      <c r="F4445" s="1" t="s">
        <v>139</v>
      </c>
      <c r="G4445" s="14" t="s">
        <v>11364</v>
      </c>
      <c r="H4445" s="1" t="s">
        <v>5</v>
      </c>
      <c r="I4445" s="17">
        <v>43200</v>
      </c>
    </row>
    <row r="4446" spans="1:9">
      <c r="A4446" s="7" t="s">
        <v>16305</v>
      </c>
      <c r="B4446" s="2" t="s">
        <v>2628</v>
      </c>
      <c r="C4446" s="1">
        <v>31</v>
      </c>
      <c r="D4446" s="1" t="s">
        <v>87</v>
      </c>
      <c r="E4446" s="1" t="s">
        <v>6</v>
      </c>
      <c r="F4446" s="1" t="s">
        <v>5091</v>
      </c>
      <c r="G4446" s="14" t="s">
        <v>16306</v>
      </c>
      <c r="H4446" s="1" t="s">
        <v>43</v>
      </c>
      <c r="I4446" s="1" t="s">
        <v>5807</v>
      </c>
    </row>
    <row r="4447" spans="1:9">
      <c r="A4447" s="7" t="s">
        <v>11484</v>
      </c>
      <c r="B4447" s="1" t="s">
        <v>2629</v>
      </c>
      <c r="C4447" s="1">
        <v>31</v>
      </c>
      <c r="D4447" s="1" t="s">
        <v>87</v>
      </c>
      <c r="E4447" s="1" t="s">
        <v>6</v>
      </c>
      <c r="F4447" s="1" t="s">
        <v>5241</v>
      </c>
      <c r="G4447" s="1" t="s">
        <v>4800</v>
      </c>
      <c r="H4447" s="1" t="s">
        <v>27</v>
      </c>
      <c r="I4447" s="17">
        <v>41487</v>
      </c>
    </row>
    <row r="4448" spans="1:9">
      <c r="A4448" s="7" t="s">
        <v>11487</v>
      </c>
      <c r="B4448" s="1" t="s">
        <v>2629</v>
      </c>
      <c r="C4448" s="1">
        <v>31</v>
      </c>
      <c r="D4448" s="1" t="s">
        <v>87</v>
      </c>
      <c r="E4448" s="1" t="s">
        <v>6</v>
      </c>
      <c r="F4448" s="1" t="s">
        <v>5241</v>
      </c>
      <c r="G4448" s="1" t="s">
        <v>4800</v>
      </c>
      <c r="H4448" s="1" t="s">
        <v>27</v>
      </c>
      <c r="I4448" s="17">
        <v>41518</v>
      </c>
    </row>
    <row r="4449" spans="1:9">
      <c r="A4449" s="7" t="s">
        <v>11517</v>
      </c>
      <c r="B4449" s="1" t="s">
        <v>2629</v>
      </c>
      <c r="C4449" s="1">
        <v>31</v>
      </c>
      <c r="D4449" s="1" t="s">
        <v>87</v>
      </c>
      <c r="E4449" s="1" t="s">
        <v>6</v>
      </c>
      <c r="F4449" s="1" t="s">
        <v>5241</v>
      </c>
      <c r="G4449" s="1" t="s">
        <v>4800</v>
      </c>
      <c r="H4449" s="1" t="s">
        <v>27</v>
      </c>
      <c r="I4449" s="17">
        <v>41426</v>
      </c>
    </row>
    <row r="4450" spans="1:9">
      <c r="A4450" s="7" t="s">
        <v>11552</v>
      </c>
      <c r="B4450" s="1" t="s">
        <v>2629</v>
      </c>
      <c r="C4450" s="1">
        <v>31</v>
      </c>
      <c r="D4450" s="1" t="s">
        <v>87</v>
      </c>
      <c r="E4450" s="1" t="s">
        <v>6</v>
      </c>
      <c r="F4450" s="1" t="s">
        <v>5241</v>
      </c>
      <c r="G4450" s="1" t="s">
        <v>4800</v>
      </c>
      <c r="H4450" s="1" t="s">
        <v>27</v>
      </c>
      <c r="I4450" s="17">
        <v>41518</v>
      </c>
    </row>
    <row r="4451" spans="1:9">
      <c r="A4451" s="7" t="s">
        <v>4787</v>
      </c>
      <c r="B4451" s="1" t="s">
        <v>2628</v>
      </c>
      <c r="C4451" s="1">
        <v>321</v>
      </c>
      <c r="D4451" s="1" t="s">
        <v>52</v>
      </c>
      <c r="E4451" s="1" t="s">
        <v>6</v>
      </c>
      <c r="F4451" s="1" t="s">
        <v>2694</v>
      </c>
      <c r="G4451" s="1" t="s">
        <v>4788</v>
      </c>
      <c r="H4451" s="1" t="s">
        <v>4456</v>
      </c>
      <c r="I4451" s="1" t="s">
        <v>4789</v>
      </c>
    </row>
    <row r="4452" spans="1:9">
      <c r="A4452" s="16" t="s">
        <v>4953</v>
      </c>
      <c r="B4452" s="1" t="s">
        <v>2628</v>
      </c>
      <c r="C4452" s="1">
        <v>321</v>
      </c>
      <c r="D4452" s="1" t="s">
        <v>52</v>
      </c>
      <c r="E4452" s="1" t="s">
        <v>6</v>
      </c>
      <c r="F4452" s="1" t="s">
        <v>2693</v>
      </c>
      <c r="G4452" s="14" t="s">
        <v>27</v>
      </c>
      <c r="H4452" s="1" t="s">
        <v>27</v>
      </c>
      <c r="I4452" s="17">
        <v>41640</v>
      </c>
    </row>
    <row r="4453" spans="1:9">
      <c r="A4453" s="16" t="s">
        <v>4963</v>
      </c>
      <c r="B4453" s="1" t="s">
        <v>2628</v>
      </c>
      <c r="C4453" s="1">
        <v>321</v>
      </c>
      <c r="D4453" s="1" t="s">
        <v>52</v>
      </c>
      <c r="E4453" s="1" t="s">
        <v>6</v>
      </c>
      <c r="F4453" s="1" t="s">
        <v>2693</v>
      </c>
      <c r="G4453" s="14" t="s">
        <v>27</v>
      </c>
      <c r="H4453" s="1" t="s">
        <v>27</v>
      </c>
      <c r="I4453" s="17">
        <v>41640</v>
      </c>
    </row>
    <row r="4454" spans="1:9">
      <c r="A4454" s="16" t="s">
        <v>4964</v>
      </c>
      <c r="B4454" s="1" t="s">
        <v>2628</v>
      </c>
      <c r="C4454" s="1">
        <v>321</v>
      </c>
      <c r="D4454" s="1" t="s">
        <v>52</v>
      </c>
      <c r="E4454" s="1" t="s">
        <v>6</v>
      </c>
      <c r="F4454" s="1" t="s">
        <v>2693</v>
      </c>
      <c r="G4454" s="14" t="s">
        <v>27</v>
      </c>
      <c r="H4454" s="1" t="s">
        <v>27</v>
      </c>
      <c r="I4454" s="17">
        <v>41640</v>
      </c>
    </row>
    <row r="4455" spans="1:9">
      <c r="A4455" s="16" t="s">
        <v>6281</v>
      </c>
      <c r="B4455" s="1" t="s">
        <v>2628</v>
      </c>
      <c r="C4455" s="1">
        <v>321</v>
      </c>
      <c r="D4455" s="1" t="s">
        <v>52</v>
      </c>
      <c r="E4455" s="1" t="s">
        <v>6</v>
      </c>
      <c r="F4455" s="1" t="s">
        <v>5091</v>
      </c>
      <c r="G4455" s="14" t="s">
        <v>5853</v>
      </c>
      <c r="H4455" s="1" t="s">
        <v>27</v>
      </c>
      <c r="I4455" s="17">
        <v>41526</v>
      </c>
    </row>
    <row r="4456" spans="1:9">
      <c r="A4456" s="16" t="s">
        <v>7883</v>
      </c>
      <c r="B4456" s="1" t="s">
        <v>2628</v>
      </c>
      <c r="C4456" s="1">
        <v>321</v>
      </c>
      <c r="D4456" s="1" t="s">
        <v>52</v>
      </c>
      <c r="E4456" s="1" t="s">
        <v>6</v>
      </c>
      <c r="F4456" s="1" t="s">
        <v>5091</v>
      </c>
      <c r="G4456" s="14" t="s">
        <v>5853</v>
      </c>
      <c r="H4456" s="1" t="s">
        <v>27</v>
      </c>
      <c r="I4456" s="17">
        <v>41765</v>
      </c>
    </row>
    <row r="4457" spans="1:9">
      <c r="A4457" s="16" t="s">
        <v>8174</v>
      </c>
      <c r="B4457" s="1" t="s">
        <v>2628</v>
      </c>
      <c r="C4457" s="1">
        <v>321</v>
      </c>
      <c r="D4457" s="1" t="s">
        <v>52</v>
      </c>
      <c r="E4457" s="1" t="s">
        <v>6</v>
      </c>
      <c r="F4457" s="1" t="s">
        <v>5091</v>
      </c>
      <c r="G4457" s="14" t="s">
        <v>5853</v>
      </c>
      <c r="H4457" s="1" t="s">
        <v>27</v>
      </c>
      <c r="I4457" s="17">
        <v>41760</v>
      </c>
    </row>
    <row r="4458" spans="1:9">
      <c r="A4458" s="7" t="s">
        <v>8212</v>
      </c>
      <c r="B4458" s="1" t="s">
        <v>2628</v>
      </c>
      <c r="C4458" s="1">
        <v>321</v>
      </c>
      <c r="D4458" s="1" t="s">
        <v>52</v>
      </c>
      <c r="E4458" s="1" t="s">
        <v>6</v>
      </c>
      <c r="F4458" s="1" t="s">
        <v>5091</v>
      </c>
      <c r="G4458" s="1" t="s">
        <v>4800</v>
      </c>
      <c r="H4458" s="1" t="s">
        <v>27</v>
      </c>
      <c r="I4458" s="1">
        <v>2005</v>
      </c>
    </row>
    <row r="4459" spans="1:9">
      <c r="A4459" s="7" t="s">
        <v>8213</v>
      </c>
      <c r="B4459" s="1" t="s">
        <v>2628</v>
      </c>
      <c r="C4459" s="1">
        <v>321</v>
      </c>
      <c r="D4459" s="1" t="s">
        <v>52</v>
      </c>
      <c r="E4459" s="1" t="s">
        <v>6</v>
      </c>
      <c r="F4459" s="1" t="s">
        <v>5091</v>
      </c>
      <c r="G4459" s="1" t="s">
        <v>4800</v>
      </c>
      <c r="H4459" s="1" t="s">
        <v>27</v>
      </c>
      <c r="I4459" s="1">
        <v>2005</v>
      </c>
    </row>
    <row r="4460" spans="1:9">
      <c r="A4460" s="7" t="s">
        <v>8214</v>
      </c>
      <c r="B4460" s="1" t="s">
        <v>2628</v>
      </c>
      <c r="C4460" s="1">
        <v>321</v>
      </c>
      <c r="D4460" s="1" t="s">
        <v>52</v>
      </c>
      <c r="E4460" s="1" t="s">
        <v>6</v>
      </c>
      <c r="F4460" s="1" t="s">
        <v>5091</v>
      </c>
      <c r="G4460" s="1" t="s">
        <v>4800</v>
      </c>
      <c r="H4460" s="1" t="s">
        <v>27</v>
      </c>
      <c r="I4460" s="1">
        <v>2005</v>
      </c>
    </row>
    <row r="4461" spans="1:9">
      <c r="A4461" s="7" t="s">
        <v>8215</v>
      </c>
      <c r="B4461" s="1" t="s">
        <v>2628</v>
      </c>
      <c r="C4461" s="1">
        <v>321</v>
      </c>
      <c r="D4461" s="1" t="s">
        <v>52</v>
      </c>
      <c r="E4461" s="1" t="s">
        <v>6</v>
      </c>
      <c r="F4461" s="1" t="s">
        <v>5091</v>
      </c>
      <c r="G4461" s="1" t="s">
        <v>4800</v>
      </c>
      <c r="H4461" s="1" t="s">
        <v>27</v>
      </c>
      <c r="I4461" s="1">
        <v>2005</v>
      </c>
    </row>
    <row r="4462" spans="1:9">
      <c r="A4462" s="7" t="s">
        <v>8216</v>
      </c>
      <c r="B4462" s="1" t="s">
        <v>2628</v>
      </c>
      <c r="C4462" s="1">
        <v>321</v>
      </c>
      <c r="D4462" s="1" t="s">
        <v>52</v>
      </c>
      <c r="E4462" s="1" t="s">
        <v>6</v>
      </c>
      <c r="F4462" s="1" t="s">
        <v>5091</v>
      </c>
      <c r="G4462" s="1" t="s">
        <v>4800</v>
      </c>
      <c r="H4462" s="1" t="s">
        <v>27</v>
      </c>
      <c r="I4462" s="1">
        <v>2005</v>
      </c>
    </row>
    <row r="4463" spans="1:9">
      <c r="A4463" s="7" t="s">
        <v>8217</v>
      </c>
      <c r="B4463" s="1" t="s">
        <v>2628</v>
      </c>
      <c r="C4463" s="1">
        <v>321</v>
      </c>
      <c r="D4463" s="1" t="s">
        <v>52</v>
      </c>
      <c r="E4463" s="1" t="s">
        <v>6</v>
      </c>
      <c r="F4463" s="1" t="s">
        <v>5091</v>
      </c>
      <c r="G4463" s="1" t="s">
        <v>4800</v>
      </c>
      <c r="H4463" s="1" t="s">
        <v>27</v>
      </c>
      <c r="I4463" s="1">
        <v>2005</v>
      </c>
    </row>
    <row r="4464" spans="1:9">
      <c r="A4464" s="16" t="s">
        <v>8500</v>
      </c>
      <c r="B4464" s="1" t="s">
        <v>2628</v>
      </c>
      <c r="C4464" s="1">
        <v>321</v>
      </c>
      <c r="D4464" s="1" t="s">
        <v>52</v>
      </c>
      <c r="E4464" s="1" t="s">
        <v>6</v>
      </c>
      <c r="F4464" s="1" t="s">
        <v>5091</v>
      </c>
      <c r="G4464" s="14" t="s">
        <v>5853</v>
      </c>
      <c r="H4464" s="1" t="s">
        <v>27</v>
      </c>
      <c r="I4464" s="17">
        <v>41821</v>
      </c>
    </row>
    <row r="4465" spans="1:9">
      <c r="A4465" s="16" t="s">
        <v>8645</v>
      </c>
      <c r="B4465" s="1" t="s">
        <v>2628</v>
      </c>
      <c r="C4465" s="1">
        <v>321</v>
      </c>
      <c r="D4465" s="1" t="s">
        <v>52</v>
      </c>
      <c r="E4465" s="1" t="s">
        <v>6</v>
      </c>
      <c r="F4465" s="1" t="s">
        <v>5091</v>
      </c>
      <c r="G4465" s="14" t="s">
        <v>5853</v>
      </c>
      <c r="H4465" s="1" t="s">
        <v>27</v>
      </c>
      <c r="I4465" s="17">
        <v>41577</v>
      </c>
    </row>
    <row r="4466" spans="1:9">
      <c r="A4466" s="16" t="s">
        <v>8649</v>
      </c>
      <c r="B4466" s="1" t="s">
        <v>2628</v>
      </c>
      <c r="C4466" s="1">
        <v>321</v>
      </c>
      <c r="D4466" s="1" t="s">
        <v>52</v>
      </c>
      <c r="E4466" s="1" t="s">
        <v>6</v>
      </c>
      <c r="F4466" s="1" t="s">
        <v>5091</v>
      </c>
      <c r="G4466" s="14" t="s">
        <v>5853</v>
      </c>
      <c r="H4466" s="1" t="s">
        <v>27</v>
      </c>
      <c r="I4466" s="17">
        <v>41883</v>
      </c>
    </row>
    <row r="4467" spans="1:9">
      <c r="A4467" s="16" t="s">
        <v>8734</v>
      </c>
      <c r="B4467" s="1" t="s">
        <v>2628</v>
      </c>
      <c r="C4467" s="1">
        <v>321</v>
      </c>
      <c r="D4467" s="1" t="s">
        <v>52</v>
      </c>
      <c r="E4467" s="1" t="s">
        <v>6</v>
      </c>
      <c r="F4467" s="1" t="s">
        <v>5091</v>
      </c>
      <c r="G4467" s="14" t="s">
        <v>5853</v>
      </c>
      <c r="H4467" s="1" t="s">
        <v>27</v>
      </c>
      <c r="I4467" s="17">
        <v>41913</v>
      </c>
    </row>
    <row r="4468" spans="1:9">
      <c r="A4468" s="16" t="s">
        <v>8737</v>
      </c>
      <c r="B4468" s="1" t="s">
        <v>2628</v>
      </c>
      <c r="C4468" s="1">
        <v>321</v>
      </c>
      <c r="D4468" s="1" t="s">
        <v>52</v>
      </c>
      <c r="E4468" s="1" t="s">
        <v>6</v>
      </c>
      <c r="F4468" s="1" t="s">
        <v>5091</v>
      </c>
      <c r="G4468" s="14" t="s">
        <v>5853</v>
      </c>
      <c r="H4468" s="1" t="s">
        <v>27</v>
      </c>
      <c r="I4468" s="17">
        <v>41944</v>
      </c>
    </row>
    <row r="4469" spans="1:9">
      <c r="A4469" s="16" t="s">
        <v>8786</v>
      </c>
      <c r="B4469" s="1" t="s">
        <v>2628</v>
      </c>
      <c r="C4469" s="1">
        <v>321</v>
      </c>
      <c r="D4469" s="1" t="s">
        <v>52</v>
      </c>
      <c r="E4469" s="1" t="s">
        <v>6</v>
      </c>
      <c r="F4469" s="1" t="s">
        <v>5091</v>
      </c>
      <c r="G4469" s="14" t="s">
        <v>27</v>
      </c>
      <c r="H4469" s="1" t="s">
        <v>27</v>
      </c>
      <c r="I4469" s="17">
        <v>39814</v>
      </c>
    </row>
    <row r="4470" spans="1:9">
      <c r="A4470" s="16" t="s">
        <v>9049</v>
      </c>
      <c r="B4470" s="1" t="s">
        <v>2628</v>
      </c>
      <c r="C4470" s="1">
        <v>321</v>
      </c>
      <c r="D4470" s="1" t="s">
        <v>52</v>
      </c>
      <c r="E4470" s="1" t="s">
        <v>6</v>
      </c>
      <c r="F4470" s="1" t="s">
        <v>5091</v>
      </c>
      <c r="G4470" s="14" t="s">
        <v>5853</v>
      </c>
      <c r="H4470" s="1" t="s">
        <v>27</v>
      </c>
      <c r="I4470" s="17">
        <v>42064</v>
      </c>
    </row>
    <row r="4471" spans="1:9">
      <c r="A4471" s="16" t="s">
        <v>9056</v>
      </c>
      <c r="B4471" s="1" t="s">
        <v>2628</v>
      </c>
      <c r="C4471" s="1">
        <v>321</v>
      </c>
      <c r="D4471" s="1" t="s">
        <v>52</v>
      </c>
      <c r="E4471" s="1" t="s">
        <v>6</v>
      </c>
      <c r="F4471" s="1" t="s">
        <v>5091</v>
      </c>
      <c r="G4471" s="14" t="s">
        <v>5853</v>
      </c>
      <c r="H4471" s="1" t="s">
        <v>27</v>
      </c>
      <c r="I4471" s="17">
        <v>42095</v>
      </c>
    </row>
    <row r="4472" spans="1:9">
      <c r="A4472" s="16" t="s">
        <v>9071</v>
      </c>
      <c r="B4472" s="1" t="s">
        <v>2628</v>
      </c>
      <c r="C4472" s="1">
        <v>321</v>
      </c>
      <c r="D4472" s="1" t="s">
        <v>52</v>
      </c>
      <c r="E4472" s="1" t="s">
        <v>6</v>
      </c>
      <c r="F4472" s="1" t="s">
        <v>5091</v>
      </c>
      <c r="G4472" s="14" t="s">
        <v>5853</v>
      </c>
      <c r="H4472" s="1" t="s">
        <v>27</v>
      </c>
      <c r="I4472" s="17">
        <v>41614</v>
      </c>
    </row>
    <row r="4473" spans="1:9">
      <c r="A4473" s="16" t="s">
        <v>9118</v>
      </c>
      <c r="B4473" s="1" t="s">
        <v>2628</v>
      </c>
      <c r="C4473" s="1">
        <v>321</v>
      </c>
      <c r="D4473" s="1" t="s">
        <v>52</v>
      </c>
      <c r="E4473" s="1" t="s">
        <v>6</v>
      </c>
      <c r="F4473" s="1" t="s">
        <v>5091</v>
      </c>
      <c r="G4473" s="14" t="s">
        <v>9119</v>
      </c>
      <c r="H4473" s="1" t="s">
        <v>27</v>
      </c>
      <c r="I4473" s="1" t="s">
        <v>4458</v>
      </c>
    </row>
    <row r="4474" spans="1:9">
      <c r="A4474" s="16" t="s">
        <v>9771</v>
      </c>
      <c r="B4474" s="1" t="s">
        <v>2628</v>
      </c>
      <c r="C4474" s="1">
        <v>321</v>
      </c>
      <c r="D4474" s="1" t="s">
        <v>52</v>
      </c>
      <c r="E4474" s="1" t="s">
        <v>6</v>
      </c>
      <c r="F4474" s="1" t="s">
        <v>5091</v>
      </c>
      <c r="G4474" s="14" t="s">
        <v>5853</v>
      </c>
      <c r="H4474" s="1" t="s">
        <v>27</v>
      </c>
      <c r="I4474" s="17">
        <v>42217</v>
      </c>
    </row>
    <row r="4475" spans="1:9">
      <c r="A4475" s="16" t="s">
        <v>9921</v>
      </c>
      <c r="B4475" s="1" t="s">
        <v>2628</v>
      </c>
      <c r="C4475" s="1">
        <v>321</v>
      </c>
      <c r="D4475" s="1" t="s">
        <v>52</v>
      </c>
      <c r="E4475" s="1" t="s">
        <v>6</v>
      </c>
      <c r="F4475" s="1" t="s">
        <v>5091</v>
      </c>
      <c r="G4475" s="14" t="s">
        <v>5853</v>
      </c>
      <c r="H4475" s="1" t="s">
        <v>27</v>
      </c>
      <c r="I4475" s="17">
        <v>42309</v>
      </c>
    </row>
    <row r="4476" spans="1:9">
      <c r="A4476" s="16" t="s">
        <v>10049</v>
      </c>
      <c r="B4476" s="1" t="s">
        <v>2628</v>
      </c>
      <c r="C4476" s="1">
        <v>321</v>
      </c>
      <c r="D4476" s="1" t="s">
        <v>52</v>
      </c>
      <c r="E4476" s="1" t="s">
        <v>6</v>
      </c>
      <c r="F4476" s="1" t="s">
        <v>5091</v>
      </c>
      <c r="G4476" s="14" t="s">
        <v>5853</v>
      </c>
      <c r="H4476" s="1" t="s">
        <v>27</v>
      </c>
      <c r="I4476" s="1" t="s">
        <v>4458</v>
      </c>
    </row>
    <row r="4477" spans="1:9">
      <c r="A4477" s="16" t="s">
        <v>10202</v>
      </c>
      <c r="B4477" s="1" t="s">
        <v>2628</v>
      </c>
      <c r="C4477" s="1">
        <v>321</v>
      </c>
      <c r="D4477" s="1" t="s">
        <v>52</v>
      </c>
      <c r="E4477" s="1" t="s">
        <v>6</v>
      </c>
      <c r="F4477" s="1" t="s">
        <v>36</v>
      </c>
      <c r="G4477" s="14" t="s">
        <v>10203</v>
      </c>
      <c r="H4477" s="1" t="s">
        <v>27</v>
      </c>
      <c r="I4477" s="17">
        <v>37257</v>
      </c>
    </row>
    <row r="4478" spans="1:9">
      <c r="A4478" s="16" t="s">
        <v>10210</v>
      </c>
      <c r="B4478" s="1" t="s">
        <v>2628</v>
      </c>
      <c r="C4478" s="1">
        <v>321</v>
      </c>
      <c r="D4478" s="1" t="s">
        <v>52</v>
      </c>
      <c r="E4478" s="1" t="s">
        <v>6</v>
      </c>
      <c r="F4478" s="1" t="s">
        <v>36</v>
      </c>
      <c r="G4478" s="14" t="s">
        <v>10205</v>
      </c>
      <c r="H4478" s="1" t="s">
        <v>27</v>
      </c>
      <c r="I4478" s="17">
        <v>38353</v>
      </c>
    </row>
    <row r="4479" spans="1:9">
      <c r="A4479" s="16" t="s">
        <v>10454</v>
      </c>
      <c r="B4479" s="1" t="s">
        <v>2628</v>
      </c>
      <c r="C4479" s="1">
        <v>321</v>
      </c>
      <c r="D4479" s="1" t="s">
        <v>52</v>
      </c>
      <c r="E4479" s="1" t="s">
        <v>6</v>
      </c>
      <c r="F4479" s="1" t="s">
        <v>5091</v>
      </c>
      <c r="G4479" s="14" t="s">
        <v>5853</v>
      </c>
      <c r="H4479" s="1" t="s">
        <v>27</v>
      </c>
      <c r="I4479" s="17">
        <v>42370</v>
      </c>
    </row>
    <row r="4480" spans="1:9">
      <c r="A4480" s="16" t="s">
        <v>11030</v>
      </c>
      <c r="B4480" s="1" t="s">
        <v>2628</v>
      </c>
      <c r="C4480" s="1">
        <v>321</v>
      </c>
      <c r="D4480" s="1" t="s">
        <v>52</v>
      </c>
      <c r="E4480" s="1" t="s">
        <v>6</v>
      </c>
      <c r="F4480" s="1" t="s">
        <v>5091</v>
      </c>
      <c r="G4480" s="14" t="s">
        <v>5853</v>
      </c>
      <c r="H4480" s="1" t="s">
        <v>27</v>
      </c>
      <c r="I4480" s="17">
        <v>42461</v>
      </c>
    </row>
    <row r="4481" spans="1:9">
      <c r="A4481" s="16" t="s">
        <v>11445</v>
      </c>
      <c r="B4481" s="1" t="s">
        <v>2628</v>
      </c>
      <c r="C4481" s="1">
        <v>321</v>
      </c>
      <c r="D4481" s="1" t="s">
        <v>52</v>
      </c>
      <c r="E4481" s="1" t="s">
        <v>6</v>
      </c>
      <c r="F4481" s="1" t="s">
        <v>5091</v>
      </c>
      <c r="G4481" s="14" t="s">
        <v>5853</v>
      </c>
      <c r="H4481" s="1" t="s">
        <v>27</v>
      </c>
      <c r="I4481" s="17">
        <v>42583</v>
      </c>
    </row>
    <row r="4482" spans="1:9">
      <c r="A4482" s="16" t="s">
        <v>11584</v>
      </c>
      <c r="B4482" s="1" t="s">
        <v>2628</v>
      </c>
      <c r="C4482" s="1">
        <v>321</v>
      </c>
      <c r="D4482" s="1" t="s">
        <v>52</v>
      </c>
      <c r="E4482" s="1" t="s">
        <v>6</v>
      </c>
      <c r="F4482" s="1" t="s">
        <v>5091</v>
      </c>
      <c r="G4482" s="14" t="s">
        <v>5853</v>
      </c>
      <c r="H4482" s="1" t="s">
        <v>27</v>
      </c>
      <c r="I4482" s="17">
        <v>42583</v>
      </c>
    </row>
    <row r="4483" spans="1:9">
      <c r="A4483" s="16" t="s">
        <v>11619</v>
      </c>
      <c r="B4483" s="1" t="s">
        <v>2628</v>
      </c>
      <c r="C4483" s="1">
        <v>321</v>
      </c>
      <c r="D4483" s="1" t="s">
        <v>52</v>
      </c>
      <c r="E4483" s="1" t="s">
        <v>6</v>
      </c>
      <c r="F4483" s="1" t="s">
        <v>5091</v>
      </c>
      <c r="G4483" s="14" t="s">
        <v>5853</v>
      </c>
      <c r="H4483" s="1" t="s">
        <v>27</v>
      </c>
      <c r="I4483" s="17">
        <v>42583</v>
      </c>
    </row>
    <row r="4484" spans="1:9">
      <c r="A4484" s="16" t="s">
        <v>12013</v>
      </c>
      <c r="B4484" s="1" t="s">
        <v>2628</v>
      </c>
      <c r="C4484" s="1">
        <v>321</v>
      </c>
      <c r="D4484" s="1" t="s">
        <v>52</v>
      </c>
      <c r="E4484" s="1" t="s">
        <v>6</v>
      </c>
      <c r="F4484" s="1" t="s">
        <v>5091</v>
      </c>
      <c r="G4484" s="14" t="s">
        <v>5853</v>
      </c>
      <c r="H4484" s="1" t="s">
        <v>27</v>
      </c>
      <c r="I4484" s="17">
        <v>42675</v>
      </c>
    </row>
    <row r="4485" spans="1:9">
      <c r="A4485" s="16" t="s">
        <v>12051</v>
      </c>
      <c r="B4485" s="1" t="s">
        <v>2628</v>
      </c>
      <c r="C4485" s="1">
        <v>2041</v>
      </c>
      <c r="D4485" s="1" t="s">
        <v>52</v>
      </c>
      <c r="E4485" s="1" t="s">
        <v>6</v>
      </c>
      <c r="F4485" s="1" t="s">
        <v>5091</v>
      </c>
      <c r="G4485" s="14" t="s">
        <v>5853</v>
      </c>
      <c r="H4485" s="1" t="s">
        <v>27</v>
      </c>
      <c r="I4485" s="17">
        <v>42675</v>
      </c>
    </row>
    <row r="4486" spans="1:9">
      <c r="A4486" s="16" t="s">
        <v>12916</v>
      </c>
      <c r="B4486" s="1" t="s">
        <v>2628</v>
      </c>
      <c r="C4486" s="1">
        <v>321</v>
      </c>
      <c r="D4486" s="1" t="s">
        <v>52</v>
      </c>
      <c r="E4486" s="1" t="s">
        <v>6</v>
      </c>
      <c r="F4486" s="1" t="s">
        <v>5091</v>
      </c>
      <c r="G4486" s="14" t="s">
        <v>27</v>
      </c>
      <c r="H4486" s="1" t="s">
        <v>27</v>
      </c>
      <c r="I4486" s="1" t="s">
        <v>4458</v>
      </c>
    </row>
    <row r="4487" spans="1:9">
      <c r="A4487" s="16" t="s">
        <v>13140</v>
      </c>
      <c r="B4487" s="1" t="s">
        <v>2628</v>
      </c>
      <c r="C4487" s="1">
        <v>321</v>
      </c>
      <c r="D4487" s="1" t="s">
        <v>52</v>
      </c>
      <c r="E4487" s="1" t="s">
        <v>6</v>
      </c>
      <c r="F4487" s="1" t="s">
        <v>5091</v>
      </c>
      <c r="G4487" s="14" t="s">
        <v>5853</v>
      </c>
      <c r="H4487" s="1" t="s">
        <v>27</v>
      </c>
      <c r="I4487" s="17">
        <v>42856</v>
      </c>
    </row>
    <row r="4488" spans="1:9">
      <c r="A4488" s="16" t="s">
        <v>13300</v>
      </c>
      <c r="B4488" s="1" t="s">
        <v>2628</v>
      </c>
      <c r="C4488" s="1">
        <v>321</v>
      </c>
      <c r="D4488" s="1" t="s">
        <v>52</v>
      </c>
      <c r="E4488" s="1" t="s">
        <v>6</v>
      </c>
      <c r="F4488" s="1" t="s">
        <v>5091</v>
      </c>
      <c r="G4488" s="14" t="s">
        <v>5853</v>
      </c>
      <c r="H4488" s="1" t="s">
        <v>27</v>
      </c>
      <c r="I4488" s="17">
        <v>42917</v>
      </c>
    </row>
    <row r="4489" spans="1:9">
      <c r="A4489" s="16" t="s">
        <v>13661</v>
      </c>
      <c r="B4489" s="1" t="s">
        <v>2628</v>
      </c>
      <c r="C4489" s="1">
        <v>321</v>
      </c>
      <c r="D4489" s="1" t="s">
        <v>52</v>
      </c>
      <c r="E4489" s="1" t="s">
        <v>6</v>
      </c>
      <c r="F4489" s="1" t="s">
        <v>5091</v>
      </c>
      <c r="G4489" s="14" t="s">
        <v>5853</v>
      </c>
      <c r="H4489" s="1" t="s">
        <v>27</v>
      </c>
      <c r="I4489" s="17">
        <v>42887</v>
      </c>
    </row>
    <row r="4490" spans="1:9">
      <c r="A4490" s="16" t="s">
        <v>13703</v>
      </c>
      <c r="B4490" s="1" t="s">
        <v>2628</v>
      </c>
      <c r="C4490" s="1">
        <v>321</v>
      </c>
      <c r="D4490" s="1" t="s">
        <v>52</v>
      </c>
      <c r="E4490" s="1" t="s">
        <v>6</v>
      </c>
      <c r="F4490" s="1" t="s">
        <v>5091</v>
      </c>
      <c r="G4490" s="14" t="s">
        <v>27</v>
      </c>
      <c r="H4490" s="1" t="s">
        <v>27</v>
      </c>
      <c r="I4490" s="17">
        <v>42329</v>
      </c>
    </row>
    <row r="4491" spans="1:9">
      <c r="A4491" s="16" t="s">
        <v>13759</v>
      </c>
      <c r="B4491" s="1" t="s">
        <v>2628</v>
      </c>
      <c r="C4491" s="1">
        <v>321</v>
      </c>
      <c r="D4491" s="1" t="s">
        <v>52</v>
      </c>
      <c r="E4491" s="1" t="s">
        <v>6</v>
      </c>
      <c r="F4491" s="1" t="s">
        <v>5091</v>
      </c>
      <c r="G4491" s="14" t="s">
        <v>5853</v>
      </c>
      <c r="H4491" s="1" t="s">
        <v>27</v>
      </c>
      <c r="I4491" s="17">
        <v>43040</v>
      </c>
    </row>
    <row r="4492" spans="1:9">
      <c r="A4492" s="16" t="s">
        <v>14132</v>
      </c>
      <c r="B4492" s="1" t="s">
        <v>2628</v>
      </c>
      <c r="C4492" s="1">
        <v>2041</v>
      </c>
      <c r="D4492" s="1" t="s">
        <v>52</v>
      </c>
      <c r="E4492" s="1" t="s">
        <v>6</v>
      </c>
      <c r="F4492" s="1" t="s">
        <v>5091</v>
      </c>
      <c r="G4492" s="14" t="s">
        <v>5853</v>
      </c>
      <c r="H4492" s="1" t="s">
        <v>27</v>
      </c>
      <c r="I4492" s="17">
        <v>43132</v>
      </c>
    </row>
    <row r="4493" spans="1:9">
      <c r="A4493" s="16" t="s">
        <v>14171</v>
      </c>
      <c r="B4493" s="1" t="s">
        <v>2628</v>
      </c>
      <c r="C4493" s="1">
        <v>321</v>
      </c>
      <c r="D4493" s="1" t="s">
        <v>52</v>
      </c>
      <c r="E4493" s="1" t="s">
        <v>6</v>
      </c>
      <c r="F4493" s="1" t="s">
        <v>5091</v>
      </c>
      <c r="G4493" s="14" t="s">
        <v>5853</v>
      </c>
      <c r="H4493" s="1" t="s">
        <v>27</v>
      </c>
      <c r="I4493" s="17">
        <v>43160</v>
      </c>
    </row>
    <row r="4494" spans="1:9">
      <c r="A4494" s="16" t="s">
        <v>14459</v>
      </c>
      <c r="B4494" s="1" t="s">
        <v>2628</v>
      </c>
      <c r="C4494" s="1">
        <v>321</v>
      </c>
      <c r="D4494" s="1" t="s">
        <v>52</v>
      </c>
      <c r="E4494" s="1" t="s">
        <v>6</v>
      </c>
      <c r="F4494" s="1" t="s">
        <v>5091</v>
      </c>
      <c r="G4494" s="14" t="s">
        <v>5853</v>
      </c>
      <c r="H4494" s="1" t="s">
        <v>27</v>
      </c>
      <c r="I4494" s="17">
        <v>43252</v>
      </c>
    </row>
    <row r="4495" spans="1:9">
      <c r="A4495" s="16" t="s">
        <v>14637</v>
      </c>
      <c r="B4495" s="1" t="s">
        <v>2628</v>
      </c>
      <c r="C4495" s="1">
        <v>321</v>
      </c>
      <c r="D4495" s="1" t="s">
        <v>52</v>
      </c>
      <c r="E4495" s="1" t="s">
        <v>6</v>
      </c>
      <c r="F4495" s="1" t="s">
        <v>5091</v>
      </c>
      <c r="G4495" s="14" t="s">
        <v>5853</v>
      </c>
      <c r="H4495" s="1" t="s">
        <v>27</v>
      </c>
      <c r="I4495" s="17">
        <v>43282</v>
      </c>
    </row>
    <row r="4496" spans="1:9">
      <c r="A4496" s="16" t="s">
        <v>15598</v>
      </c>
      <c r="B4496" s="1" t="s">
        <v>2628</v>
      </c>
      <c r="C4496" s="1">
        <v>321</v>
      </c>
      <c r="D4496" s="1" t="s">
        <v>52</v>
      </c>
      <c r="E4496" s="1" t="s">
        <v>6</v>
      </c>
      <c r="F4496" s="1" t="s">
        <v>5091</v>
      </c>
      <c r="G4496" s="14" t="s">
        <v>5853</v>
      </c>
      <c r="H4496" s="1" t="s">
        <v>27</v>
      </c>
      <c r="I4496" s="17">
        <v>43344</v>
      </c>
    </row>
    <row r="4497" spans="1:9">
      <c r="A4497" s="16" t="s">
        <v>15603</v>
      </c>
      <c r="B4497" s="1" t="s">
        <v>2628</v>
      </c>
      <c r="C4497" s="1">
        <v>321</v>
      </c>
      <c r="D4497" s="1" t="s">
        <v>52</v>
      </c>
      <c r="E4497" s="1" t="s">
        <v>6</v>
      </c>
      <c r="F4497" s="1" t="s">
        <v>5091</v>
      </c>
      <c r="G4497" s="14" t="s">
        <v>5853</v>
      </c>
      <c r="H4497" s="1" t="s">
        <v>27</v>
      </c>
      <c r="I4497" s="17">
        <v>43313</v>
      </c>
    </row>
    <row r="4498" spans="1:9">
      <c r="A4498" s="16" t="s">
        <v>15616</v>
      </c>
      <c r="B4498" s="1" t="s">
        <v>2628</v>
      </c>
      <c r="C4498" s="1">
        <v>321</v>
      </c>
      <c r="D4498" s="1" t="s">
        <v>52</v>
      </c>
      <c r="E4498" s="1" t="s">
        <v>6</v>
      </c>
      <c r="F4498" s="1" t="s">
        <v>5091</v>
      </c>
      <c r="G4498" s="14" t="s">
        <v>5853</v>
      </c>
      <c r="H4498" s="1" t="s">
        <v>27</v>
      </c>
      <c r="I4498" s="17">
        <v>43344</v>
      </c>
    </row>
    <row r="4499" spans="1:9">
      <c r="A4499" s="16" t="s">
        <v>15732</v>
      </c>
      <c r="B4499" s="1" t="s">
        <v>2628</v>
      </c>
      <c r="C4499" s="1">
        <v>321</v>
      </c>
      <c r="D4499" s="1" t="s">
        <v>52</v>
      </c>
      <c r="E4499" s="1" t="s">
        <v>6</v>
      </c>
      <c r="F4499" s="1" t="s">
        <v>5091</v>
      </c>
      <c r="G4499" s="14" t="s">
        <v>5853</v>
      </c>
      <c r="H4499" s="1" t="s">
        <v>27</v>
      </c>
      <c r="I4499" s="17">
        <v>43374</v>
      </c>
    </row>
    <row r="4500" spans="1:9">
      <c r="A4500" s="16" t="s">
        <v>4841</v>
      </c>
      <c r="B4500" s="1" t="s">
        <v>2628</v>
      </c>
      <c r="C4500" s="1">
        <v>321</v>
      </c>
      <c r="D4500" s="1" t="s">
        <v>52</v>
      </c>
      <c r="E4500" s="1" t="s">
        <v>6</v>
      </c>
      <c r="F4500" s="1" t="s">
        <v>2693</v>
      </c>
      <c r="G4500" s="14" t="s">
        <v>5</v>
      </c>
      <c r="H4500" s="1" t="s">
        <v>5</v>
      </c>
      <c r="I4500" s="17">
        <v>40179</v>
      </c>
    </row>
    <row r="4501" spans="1:9">
      <c r="A4501" s="16" t="s">
        <v>4920</v>
      </c>
      <c r="B4501" s="1" t="s">
        <v>2628</v>
      </c>
      <c r="C4501" s="1">
        <v>321</v>
      </c>
      <c r="D4501" s="1" t="s">
        <v>52</v>
      </c>
      <c r="E4501" s="1" t="s">
        <v>6</v>
      </c>
      <c r="F4501" s="1" t="s">
        <v>2693</v>
      </c>
      <c r="G4501" s="14" t="s">
        <v>4865</v>
      </c>
      <c r="H4501" s="1" t="s">
        <v>44</v>
      </c>
      <c r="I4501" s="17">
        <v>41275</v>
      </c>
    </row>
    <row r="4502" spans="1:9">
      <c r="A4502" s="16" t="s">
        <v>4923</v>
      </c>
      <c r="B4502" s="1" t="s">
        <v>2628</v>
      </c>
      <c r="C4502" s="1">
        <v>321</v>
      </c>
      <c r="D4502" s="1" t="s">
        <v>52</v>
      </c>
      <c r="E4502" s="1" t="s">
        <v>6</v>
      </c>
      <c r="F4502" s="1" t="s">
        <v>2693</v>
      </c>
      <c r="G4502" s="14" t="s">
        <v>4865</v>
      </c>
      <c r="H4502" s="1" t="s">
        <v>44</v>
      </c>
      <c r="I4502" s="17">
        <v>41275</v>
      </c>
    </row>
    <row r="4503" spans="1:9">
      <c r="A4503" s="16" t="s">
        <v>5180</v>
      </c>
      <c r="B4503" s="1" t="s">
        <v>2628</v>
      </c>
      <c r="C4503" s="1">
        <v>321</v>
      </c>
      <c r="D4503" s="1" t="s">
        <v>52</v>
      </c>
      <c r="E4503" s="1" t="s">
        <v>6</v>
      </c>
      <c r="F4503" s="1" t="s">
        <v>2695</v>
      </c>
      <c r="G4503" s="14" t="s">
        <v>5181</v>
      </c>
      <c r="H4503" s="1" t="s">
        <v>43</v>
      </c>
      <c r="I4503" s="17">
        <v>40544</v>
      </c>
    </row>
    <row r="4504" spans="1:9">
      <c r="A4504" s="16" t="s">
        <v>5184</v>
      </c>
      <c r="B4504" s="1" t="s">
        <v>2628</v>
      </c>
      <c r="C4504" s="1">
        <v>321</v>
      </c>
      <c r="D4504" s="1" t="s">
        <v>52</v>
      </c>
      <c r="E4504" s="1" t="s">
        <v>6</v>
      </c>
      <c r="F4504" s="1" t="s">
        <v>2695</v>
      </c>
      <c r="G4504" s="14" t="s">
        <v>5185</v>
      </c>
      <c r="H4504" s="1" t="s">
        <v>43</v>
      </c>
      <c r="I4504" s="17">
        <v>39083</v>
      </c>
    </row>
    <row r="4505" spans="1:9">
      <c r="A4505" s="16" t="s">
        <v>5186</v>
      </c>
      <c r="B4505" s="1" t="s">
        <v>2628</v>
      </c>
      <c r="C4505" s="1">
        <v>321</v>
      </c>
      <c r="D4505" s="1" t="s">
        <v>52</v>
      </c>
      <c r="E4505" s="1" t="s">
        <v>6</v>
      </c>
      <c r="F4505" s="1" t="s">
        <v>2695</v>
      </c>
      <c r="G4505" s="14" t="s">
        <v>5187</v>
      </c>
      <c r="H4505" s="1" t="s">
        <v>43</v>
      </c>
      <c r="I4505" s="17">
        <v>39083</v>
      </c>
    </row>
    <row r="4506" spans="1:9">
      <c r="A4506" s="16" t="s">
        <v>5188</v>
      </c>
      <c r="B4506" s="1" t="s">
        <v>2628</v>
      </c>
      <c r="C4506" s="1">
        <v>321</v>
      </c>
      <c r="D4506" s="1" t="s">
        <v>52</v>
      </c>
      <c r="E4506" s="1" t="s">
        <v>6</v>
      </c>
      <c r="F4506" s="1" t="s">
        <v>2695</v>
      </c>
      <c r="G4506" s="14" t="s">
        <v>5189</v>
      </c>
      <c r="H4506" s="1" t="s">
        <v>43</v>
      </c>
      <c r="I4506" s="17">
        <v>39448</v>
      </c>
    </row>
    <row r="4507" spans="1:9">
      <c r="A4507" s="16" t="s">
        <v>5191</v>
      </c>
      <c r="B4507" s="1" t="s">
        <v>2628</v>
      </c>
      <c r="C4507" s="1">
        <v>321</v>
      </c>
      <c r="D4507" s="1" t="s">
        <v>52</v>
      </c>
      <c r="E4507" s="1" t="s">
        <v>6</v>
      </c>
      <c r="F4507" s="1" t="s">
        <v>2695</v>
      </c>
      <c r="G4507" s="14" t="s">
        <v>5185</v>
      </c>
      <c r="H4507" s="1" t="s">
        <v>43</v>
      </c>
      <c r="I4507" s="17">
        <v>39448</v>
      </c>
    </row>
    <row r="4508" spans="1:9">
      <c r="A4508" s="16" t="s">
        <v>5192</v>
      </c>
      <c r="B4508" s="1" t="s">
        <v>2628</v>
      </c>
      <c r="C4508" s="1">
        <v>321</v>
      </c>
      <c r="D4508" s="1" t="s">
        <v>52</v>
      </c>
      <c r="E4508" s="1" t="s">
        <v>6</v>
      </c>
      <c r="F4508" s="1" t="s">
        <v>2695</v>
      </c>
      <c r="G4508" s="14" t="s">
        <v>5185</v>
      </c>
      <c r="H4508" s="1" t="s">
        <v>43</v>
      </c>
      <c r="I4508" s="17">
        <v>39448</v>
      </c>
    </row>
    <row r="4509" spans="1:9">
      <c r="A4509" s="16" t="s">
        <v>5194</v>
      </c>
      <c r="B4509" s="1" t="s">
        <v>2628</v>
      </c>
      <c r="C4509" s="1">
        <v>321</v>
      </c>
      <c r="D4509" s="1" t="s">
        <v>52</v>
      </c>
      <c r="E4509" s="1" t="s">
        <v>6</v>
      </c>
      <c r="F4509" s="1" t="s">
        <v>2695</v>
      </c>
      <c r="G4509" s="14" t="s">
        <v>5195</v>
      </c>
      <c r="H4509" s="1" t="s">
        <v>43</v>
      </c>
      <c r="I4509" s="17">
        <v>39448</v>
      </c>
    </row>
    <row r="4510" spans="1:9">
      <c r="A4510" s="16" t="s">
        <v>5196</v>
      </c>
      <c r="B4510" s="1" t="s">
        <v>2628</v>
      </c>
      <c r="C4510" s="1">
        <v>321</v>
      </c>
      <c r="D4510" s="1" t="s">
        <v>52</v>
      </c>
      <c r="E4510" s="1" t="s">
        <v>6</v>
      </c>
      <c r="F4510" s="1" t="s">
        <v>2695</v>
      </c>
      <c r="G4510" s="14" t="s">
        <v>5197</v>
      </c>
      <c r="H4510" s="1" t="s">
        <v>43</v>
      </c>
      <c r="I4510" s="17">
        <v>39814</v>
      </c>
    </row>
    <row r="4511" spans="1:9">
      <c r="A4511" s="16" t="s">
        <v>5198</v>
      </c>
      <c r="B4511" s="1" t="s">
        <v>2628</v>
      </c>
      <c r="C4511" s="1">
        <v>321</v>
      </c>
      <c r="D4511" s="1" t="s">
        <v>52</v>
      </c>
      <c r="E4511" s="1" t="s">
        <v>6</v>
      </c>
      <c r="F4511" s="1" t="s">
        <v>2695</v>
      </c>
      <c r="G4511" s="14" t="s">
        <v>5197</v>
      </c>
      <c r="H4511" s="1" t="s">
        <v>43</v>
      </c>
      <c r="I4511" s="17">
        <v>39814</v>
      </c>
    </row>
    <row r="4512" spans="1:9">
      <c r="A4512" s="16" t="s">
        <v>5199</v>
      </c>
      <c r="B4512" s="1" t="s">
        <v>2628</v>
      </c>
      <c r="C4512" s="1">
        <v>321</v>
      </c>
      <c r="D4512" s="1" t="s">
        <v>52</v>
      </c>
      <c r="E4512" s="1" t="s">
        <v>6</v>
      </c>
      <c r="F4512" s="1" t="s">
        <v>2695</v>
      </c>
      <c r="G4512" s="14" t="s">
        <v>5181</v>
      </c>
      <c r="H4512" s="1" t="s">
        <v>43</v>
      </c>
      <c r="I4512" s="17">
        <v>40179</v>
      </c>
    </row>
    <row r="4513" spans="1:9">
      <c r="A4513" s="16" t="s">
        <v>5202</v>
      </c>
      <c r="B4513" s="1" t="s">
        <v>2628</v>
      </c>
      <c r="C4513" s="1">
        <v>321</v>
      </c>
      <c r="D4513" s="1" t="s">
        <v>52</v>
      </c>
      <c r="E4513" s="1" t="s">
        <v>6</v>
      </c>
      <c r="F4513" s="1" t="s">
        <v>2695</v>
      </c>
      <c r="G4513" s="14" t="s">
        <v>5185</v>
      </c>
      <c r="H4513" s="1" t="s">
        <v>43</v>
      </c>
      <c r="I4513" s="17">
        <v>39448</v>
      </c>
    </row>
    <row r="4514" spans="1:9">
      <c r="A4514" s="16" t="s">
        <v>5203</v>
      </c>
      <c r="B4514" s="1" t="s">
        <v>2628</v>
      </c>
      <c r="C4514" s="1">
        <v>321</v>
      </c>
      <c r="D4514" s="1" t="s">
        <v>52</v>
      </c>
      <c r="E4514" s="1" t="s">
        <v>6</v>
      </c>
      <c r="F4514" s="1" t="s">
        <v>2695</v>
      </c>
      <c r="G4514" s="14" t="s">
        <v>5185</v>
      </c>
      <c r="H4514" s="1" t="s">
        <v>43</v>
      </c>
      <c r="I4514" s="17">
        <v>39083</v>
      </c>
    </row>
    <row r="4515" spans="1:9">
      <c r="A4515" s="16" t="s">
        <v>5211</v>
      </c>
      <c r="B4515" s="1" t="s">
        <v>2628</v>
      </c>
      <c r="C4515" s="1">
        <v>321</v>
      </c>
      <c r="D4515" s="1" t="s">
        <v>52</v>
      </c>
      <c r="E4515" s="1" t="s">
        <v>6</v>
      </c>
      <c r="F4515" s="1" t="s">
        <v>2695</v>
      </c>
      <c r="G4515" s="14" t="s">
        <v>5185</v>
      </c>
      <c r="H4515" s="1" t="s">
        <v>43</v>
      </c>
      <c r="I4515" s="17">
        <v>39448</v>
      </c>
    </row>
    <row r="4516" spans="1:9">
      <c r="A4516" s="7" t="s">
        <v>5633</v>
      </c>
      <c r="B4516" s="1" t="s">
        <v>2628</v>
      </c>
      <c r="C4516" s="1">
        <v>321</v>
      </c>
      <c r="D4516" s="1" t="s">
        <v>52</v>
      </c>
      <c r="E4516" s="1" t="s">
        <v>6</v>
      </c>
      <c r="F4516" s="1" t="s">
        <v>2695</v>
      </c>
      <c r="G4516" s="1" t="s">
        <v>5629</v>
      </c>
      <c r="H4516" s="1" t="s">
        <v>43</v>
      </c>
      <c r="I4516" s="1" t="s">
        <v>5630</v>
      </c>
    </row>
    <row r="4517" spans="1:9">
      <c r="A4517" s="7" t="s">
        <v>5636</v>
      </c>
      <c r="B4517" s="1" t="s">
        <v>2628</v>
      </c>
      <c r="C4517" s="1">
        <v>321</v>
      </c>
      <c r="D4517" s="1" t="s">
        <v>52</v>
      </c>
      <c r="E4517" s="1" t="s">
        <v>6</v>
      </c>
      <c r="F4517" s="1" t="s">
        <v>2695</v>
      </c>
      <c r="G4517" s="1" t="s">
        <v>5635</v>
      </c>
      <c r="H4517" s="1" t="s">
        <v>43</v>
      </c>
      <c r="I4517" s="1" t="s">
        <v>5630</v>
      </c>
    </row>
    <row r="4518" spans="1:9">
      <c r="A4518" s="7" t="s">
        <v>5639</v>
      </c>
      <c r="B4518" s="1" t="s">
        <v>2628</v>
      </c>
      <c r="C4518" s="1">
        <v>321</v>
      </c>
      <c r="D4518" s="1" t="s">
        <v>52</v>
      </c>
      <c r="E4518" s="1" t="s">
        <v>6</v>
      </c>
      <c r="F4518" s="1" t="s">
        <v>2695</v>
      </c>
      <c r="G4518" s="1" t="s">
        <v>5638</v>
      </c>
      <c r="H4518" s="1" t="s">
        <v>43</v>
      </c>
      <c r="I4518" s="1" t="s">
        <v>5630</v>
      </c>
    </row>
    <row r="4519" spans="1:9">
      <c r="A4519" s="7" t="s">
        <v>5640</v>
      </c>
      <c r="B4519" s="1" t="s">
        <v>2628</v>
      </c>
      <c r="C4519" s="1">
        <v>321</v>
      </c>
      <c r="D4519" s="1" t="s">
        <v>52</v>
      </c>
      <c r="E4519" s="1" t="s">
        <v>6</v>
      </c>
      <c r="F4519" s="1" t="s">
        <v>2695</v>
      </c>
      <c r="G4519" s="1" t="s">
        <v>5632</v>
      </c>
      <c r="H4519" s="1" t="s">
        <v>5</v>
      </c>
      <c r="I4519" s="1" t="s">
        <v>5630</v>
      </c>
    </row>
    <row r="4520" spans="1:9">
      <c r="A4520" s="7" t="s">
        <v>5641</v>
      </c>
      <c r="B4520" s="1" t="s">
        <v>2628</v>
      </c>
      <c r="C4520" s="1">
        <v>321</v>
      </c>
      <c r="D4520" s="1" t="s">
        <v>52</v>
      </c>
      <c r="E4520" s="1" t="s">
        <v>6</v>
      </c>
      <c r="F4520" s="1" t="s">
        <v>2695</v>
      </c>
      <c r="G4520" s="1" t="s">
        <v>5635</v>
      </c>
      <c r="H4520" s="1" t="s">
        <v>43</v>
      </c>
      <c r="I4520" s="1" t="s">
        <v>5642</v>
      </c>
    </row>
    <row r="4521" spans="1:9">
      <c r="A4521" s="7" t="s">
        <v>5643</v>
      </c>
      <c r="B4521" s="1" t="s">
        <v>2628</v>
      </c>
      <c r="C4521" s="1">
        <v>321</v>
      </c>
      <c r="D4521" s="1" t="s">
        <v>52</v>
      </c>
      <c r="E4521" s="1" t="s">
        <v>6</v>
      </c>
      <c r="F4521" s="1" t="s">
        <v>2695</v>
      </c>
      <c r="G4521" s="1" t="s">
        <v>5635</v>
      </c>
      <c r="H4521" s="1" t="s">
        <v>43</v>
      </c>
      <c r="I4521" s="1" t="s">
        <v>5642</v>
      </c>
    </row>
    <row r="4522" spans="1:9">
      <c r="A4522" s="7" t="s">
        <v>5644</v>
      </c>
      <c r="B4522" s="1" t="s">
        <v>2628</v>
      </c>
      <c r="C4522" s="1">
        <v>321</v>
      </c>
      <c r="D4522" s="1" t="s">
        <v>52</v>
      </c>
      <c r="E4522" s="1" t="s">
        <v>6</v>
      </c>
      <c r="F4522" s="1" t="s">
        <v>2695</v>
      </c>
      <c r="G4522" s="1" t="s">
        <v>5635</v>
      </c>
      <c r="H4522" s="1" t="s">
        <v>43</v>
      </c>
      <c r="I4522" s="1" t="s">
        <v>5642</v>
      </c>
    </row>
    <row r="4523" spans="1:9">
      <c r="A4523" s="7" t="s">
        <v>5645</v>
      </c>
      <c r="B4523" s="1" t="s">
        <v>2628</v>
      </c>
      <c r="C4523" s="1">
        <v>321</v>
      </c>
      <c r="D4523" s="1" t="s">
        <v>52</v>
      </c>
      <c r="E4523" s="1" t="s">
        <v>6</v>
      </c>
      <c r="F4523" s="1" t="s">
        <v>2695</v>
      </c>
      <c r="G4523" s="1" t="s">
        <v>5635</v>
      </c>
      <c r="H4523" s="1" t="s">
        <v>43</v>
      </c>
      <c r="I4523" s="1" t="s">
        <v>5642</v>
      </c>
    </row>
    <row r="4524" spans="1:9">
      <c r="A4524" s="7" t="s">
        <v>5646</v>
      </c>
      <c r="B4524" s="1" t="s">
        <v>2628</v>
      </c>
      <c r="C4524" s="1">
        <v>321</v>
      </c>
      <c r="D4524" s="1" t="s">
        <v>52</v>
      </c>
      <c r="E4524" s="1" t="s">
        <v>6</v>
      </c>
      <c r="F4524" s="1" t="s">
        <v>2695</v>
      </c>
      <c r="G4524" s="1" t="s">
        <v>5635</v>
      </c>
      <c r="H4524" s="1" t="s">
        <v>43</v>
      </c>
      <c r="I4524" s="1" t="s">
        <v>5642</v>
      </c>
    </row>
    <row r="4525" spans="1:9">
      <c r="A4525" s="7" t="s">
        <v>5647</v>
      </c>
      <c r="B4525" s="1" t="s">
        <v>2628</v>
      </c>
      <c r="C4525" s="1">
        <v>321</v>
      </c>
      <c r="D4525" s="1" t="s">
        <v>52</v>
      </c>
      <c r="E4525" s="1" t="s">
        <v>6</v>
      </c>
      <c r="F4525" s="1" t="s">
        <v>2695</v>
      </c>
      <c r="G4525" s="1" t="s">
        <v>5635</v>
      </c>
      <c r="H4525" s="1" t="s">
        <v>43</v>
      </c>
      <c r="I4525" s="1" t="s">
        <v>5642</v>
      </c>
    </row>
    <row r="4526" spans="1:9">
      <c r="A4526" s="7" t="s">
        <v>5650</v>
      </c>
      <c r="B4526" s="1" t="s">
        <v>2628</v>
      </c>
      <c r="C4526" s="1">
        <v>321</v>
      </c>
      <c r="D4526" s="1" t="s">
        <v>52</v>
      </c>
      <c r="E4526" s="1" t="s">
        <v>6</v>
      </c>
      <c r="F4526" s="1" t="s">
        <v>2695</v>
      </c>
      <c r="G4526" s="1" t="s">
        <v>5635</v>
      </c>
      <c r="H4526" s="1" t="s">
        <v>43</v>
      </c>
      <c r="I4526" s="1" t="s">
        <v>5642</v>
      </c>
    </row>
    <row r="4527" spans="1:9">
      <c r="A4527" s="7" t="s">
        <v>5652</v>
      </c>
      <c r="B4527" s="1" t="s">
        <v>2628</v>
      </c>
      <c r="C4527" s="1">
        <v>321</v>
      </c>
      <c r="D4527" s="1" t="s">
        <v>52</v>
      </c>
      <c r="E4527" s="1" t="s">
        <v>6</v>
      </c>
      <c r="F4527" s="1" t="s">
        <v>2695</v>
      </c>
      <c r="G4527" s="1" t="s">
        <v>5635</v>
      </c>
      <c r="H4527" s="1" t="s">
        <v>43</v>
      </c>
      <c r="I4527" s="1" t="s">
        <v>5653</v>
      </c>
    </row>
    <row r="4528" spans="1:9">
      <c r="A4528" s="7" t="s">
        <v>5996</v>
      </c>
      <c r="B4528" s="1" t="s">
        <v>2628</v>
      </c>
      <c r="C4528" s="1">
        <v>321</v>
      </c>
      <c r="D4528" s="1" t="s">
        <v>52</v>
      </c>
      <c r="E4528" s="1" t="s">
        <v>6</v>
      </c>
      <c r="F4528" s="1" t="s">
        <v>2360</v>
      </c>
      <c r="G4528" s="1" t="s">
        <v>5</v>
      </c>
      <c r="H4528" s="1" t="s">
        <v>5</v>
      </c>
      <c r="I4528" s="1" t="s">
        <v>5848</v>
      </c>
    </row>
    <row r="4529" spans="1:10">
      <c r="A4529" s="7" t="s">
        <v>5997</v>
      </c>
      <c r="B4529" s="1" t="s">
        <v>2628</v>
      </c>
      <c r="C4529" s="1">
        <v>321</v>
      </c>
      <c r="D4529" s="1" t="s">
        <v>52</v>
      </c>
      <c r="E4529" s="1" t="s">
        <v>6</v>
      </c>
      <c r="F4529" s="1" t="s">
        <v>2360</v>
      </c>
      <c r="G4529" s="1" t="s">
        <v>5</v>
      </c>
      <c r="H4529" s="1" t="s">
        <v>5</v>
      </c>
      <c r="I4529" s="1" t="s">
        <v>5848</v>
      </c>
    </row>
    <row r="4530" spans="1:10">
      <c r="A4530" s="7" t="s">
        <v>6035</v>
      </c>
      <c r="B4530" s="1" t="s">
        <v>2628</v>
      </c>
      <c r="C4530" s="1">
        <v>321</v>
      </c>
      <c r="D4530" s="1" t="s">
        <v>52</v>
      </c>
      <c r="E4530" s="1" t="s">
        <v>6</v>
      </c>
      <c r="F4530" s="1" t="s">
        <v>2360</v>
      </c>
      <c r="G4530" s="1" t="s">
        <v>1446</v>
      </c>
      <c r="H4530" s="1" t="s">
        <v>44</v>
      </c>
      <c r="I4530" s="1" t="s">
        <v>5848</v>
      </c>
    </row>
    <row r="4531" spans="1:10">
      <c r="A4531" s="7" t="s">
        <v>6162</v>
      </c>
      <c r="B4531" s="2" t="s">
        <v>2628</v>
      </c>
      <c r="C4531" s="1">
        <v>321</v>
      </c>
      <c r="D4531" s="1" t="s">
        <v>52</v>
      </c>
      <c r="E4531" s="1" t="s">
        <v>6</v>
      </c>
      <c r="F4531" s="1" t="s">
        <v>5091</v>
      </c>
      <c r="G4531" s="14" t="s">
        <v>6163</v>
      </c>
      <c r="H4531" s="1" t="s">
        <v>43</v>
      </c>
      <c r="I4531" s="1">
        <v>2007</v>
      </c>
    </row>
    <row r="4532" spans="1:10">
      <c r="A4532" s="7" t="s">
        <v>6164</v>
      </c>
      <c r="B4532" s="2" t="s">
        <v>2628</v>
      </c>
      <c r="C4532" s="1">
        <v>321</v>
      </c>
      <c r="D4532" s="1" t="s">
        <v>52</v>
      </c>
      <c r="E4532" s="1" t="s">
        <v>6</v>
      </c>
      <c r="F4532" s="1" t="s">
        <v>5091</v>
      </c>
      <c r="G4532" s="14" t="s">
        <v>6165</v>
      </c>
      <c r="H4532" s="1" t="s">
        <v>43</v>
      </c>
      <c r="I4532" s="1">
        <v>2007</v>
      </c>
    </row>
    <row r="4533" spans="1:10">
      <c r="A4533" s="7" t="s">
        <v>6169</v>
      </c>
      <c r="B4533" s="2" t="s">
        <v>2628</v>
      </c>
      <c r="C4533" s="1">
        <v>321</v>
      </c>
      <c r="D4533" s="1" t="s">
        <v>52</v>
      </c>
      <c r="E4533" s="1" t="s">
        <v>6</v>
      </c>
      <c r="F4533" s="1" t="s">
        <v>5091</v>
      </c>
      <c r="G4533" s="14" t="s">
        <v>6170</v>
      </c>
      <c r="H4533" s="1" t="s">
        <v>43</v>
      </c>
      <c r="I4533" s="1">
        <v>2007</v>
      </c>
    </row>
    <row r="4534" spans="1:10">
      <c r="A4534" s="7" t="s">
        <v>6171</v>
      </c>
      <c r="B4534" s="2" t="s">
        <v>2628</v>
      </c>
      <c r="C4534" s="1">
        <v>321</v>
      </c>
      <c r="D4534" s="1" t="s">
        <v>52</v>
      </c>
      <c r="E4534" s="1" t="s">
        <v>6</v>
      </c>
      <c r="F4534" s="1" t="s">
        <v>5091</v>
      </c>
      <c r="G4534" s="14" t="s">
        <v>6172</v>
      </c>
      <c r="H4534" s="1" t="s">
        <v>43</v>
      </c>
      <c r="I4534" s="1">
        <v>2007</v>
      </c>
    </row>
    <row r="4535" spans="1:10">
      <c r="A4535" s="7" t="s">
        <v>6173</v>
      </c>
      <c r="B4535" s="2" t="s">
        <v>2628</v>
      </c>
      <c r="C4535" s="1">
        <v>321</v>
      </c>
      <c r="D4535" s="1" t="s">
        <v>52</v>
      </c>
      <c r="E4535" s="1" t="s">
        <v>6</v>
      </c>
      <c r="F4535" s="1" t="s">
        <v>5091</v>
      </c>
      <c r="G4535" s="14" t="s">
        <v>6174</v>
      </c>
      <c r="H4535" s="1" t="s">
        <v>43</v>
      </c>
      <c r="I4535" s="1">
        <v>2007</v>
      </c>
    </row>
    <row r="4536" spans="1:10">
      <c r="A4536" s="7" t="s">
        <v>6175</v>
      </c>
      <c r="B4536" s="2" t="s">
        <v>2628</v>
      </c>
      <c r="C4536" s="1">
        <v>321</v>
      </c>
      <c r="D4536" s="1" t="s">
        <v>52</v>
      </c>
      <c r="E4536" s="1" t="s">
        <v>6</v>
      </c>
      <c r="F4536" s="1" t="s">
        <v>5091</v>
      </c>
      <c r="G4536" s="14" t="s">
        <v>6176</v>
      </c>
      <c r="H4536" s="1" t="s">
        <v>43</v>
      </c>
      <c r="I4536" s="1">
        <v>2007</v>
      </c>
    </row>
    <row r="4537" spans="1:10">
      <c r="A4537" s="7" t="s">
        <v>6177</v>
      </c>
      <c r="B4537" s="2" t="s">
        <v>2628</v>
      </c>
      <c r="C4537" s="1">
        <v>321</v>
      </c>
      <c r="D4537" s="1" t="s">
        <v>52</v>
      </c>
      <c r="E4537" s="1" t="s">
        <v>6</v>
      </c>
      <c r="F4537" s="1" t="s">
        <v>5091</v>
      </c>
      <c r="G4537" s="14" t="s">
        <v>6172</v>
      </c>
      <c r="H4537" s="1" t="s">
        <v>43</v>
      </c>
      <c r="I4537" s="1">
        <v>2007</v>
      </c>
    </row>
    <row r="4538" spans="1:10">
      <c r="A4538" s="7" t="s">
        <v>6180</v>
      </c>
      <c r="B4538" s="2" t="s">
        <v>2628</v>
      </c>
      <c r="C4538" s="1">
        <v>321</v>
      </c>
      <c r="D4538" s="1" t="s">
        <v>52</v>
      </c>
      <c r="E4538" s="1" t="s">
        <v>6</v>
      </c>
      <c r="F4538" s="1" t="s">
        <v>5091</v>
      </c>
      <c r="G4538" s="22" t="s">
        <v>6181</v>
      </c>
      <c r="H4538" s="2" t="s">
        <v>118</v>
      </c>
      <c r="I4538" s="1" t="s">
        <v>4458</v>
      </c>
    </row>
    <row r="4539" spans="1:10">
      <c r="A4539" s="7" t="s">
        <v>6188</v>
      </c>
      <c r="B4539" s="2" t="s">
        <v>2628</v>
      </c>
      <c r="C4539" s="1">
        <v>321</v>
      </c>
      <c r="D4539" s="1" t="s">
        <v>52</v>
      </c>
      <c r="E4539" s="1" t="s">
        <v>6</v>
      </c>
      <c r="F4539" s="1" t="s">
        <v>5091</v>
      </c>
      <c r="G4539" s="14" t="s">
        <v>6186</v>
      </c>
      <c r="H4539" s="1" t="s">
        <v>5</v>
      </c>
      <c r="I4539" s="1" t="s">
        <v>5807</v>
      </c>
      <c r="J4539" s="17"/>
    </row>
    <row r="4540" spans="1:10">
      <c r="A4540" s="7" t="s">
        <v>6200</v>
      </c>
      <c r="B4540" s="2" t="s">
        <v>2628</v>
      </c>
      <c r="C4540" s="1">
        <v>321</v>
      </c>
      <c r="D4540" s="1" t="s">
        <v>52</v>
      </c>
      <c r="E4540" s="1" t="s">
        <v>6</v>
      </c>
      <c r="F4540" s="1" t="s">
        <v>5091</v>
      </c>
      <c r="G4540" s="14" t="s">
        <v>6201</v>
      </c>
      <c r="H4540" s="1" t="s">
        <v>43</v>
      </c>
      <c r="I4540" s="1">
        <v>2007</v>
      </c>
    </row>
    <row r="4541" spans="1:10">
      <c r="A4541" s="7" t="s">
        <v>6203</v>
      </c>
      <c r="B4541" s="2" t="s">
        <v>2628</v>
      </c>
      <c r="C4541" s="1">
        <v>321</v>
      </c>
      <c r="D4541" s="1" t="s">
        <v>52</v>
      </c>
      <c r="E4541" s="1" t="s">
        <v>6</v>
      </c>
      <c r="F4541" s="1" t="s">
        <v>5091</v>
      </c>
      <c r="G4541" s="14" t="s">
        <v>6204</v>
      </c>
      <c r="H4541" s="1" t="s">
        <v>43</v>
      </c>
      <c r="I4541" s="1">
        <v>2007</v>
      </c>
    </row>
    <row r="4542" spans="1:10">
      <c r="A4542" s="7" t="s">
        <v>6208</v>
      </c>
      <c r="B4542" s="2" t="s">
        <v>2628</v>
      </c>
      <c r="C4542" s="1">
        <v>321</v>
      </c>
      <c r="D4542" s="1" t="s">
        <v>52</v>
      </c>
      <c r="E4542" s="1" t="s">
        <v>6</v>
      </c>
      <c r="F4542" s="1" t="s">
        <v>5091</v>
      </c>
      <c r="G4542" s="14" t="s">
        <v>6209</v>
      </c>
      <c r="H4542" s="1" t="s">
        <v>43</v>
      </c>
      <c r="I4542" s="1">
        <v>2007</v>
      </c>
    </row>
    <row r="4543" spans="1:10">
      <c r="A4543" s="7" t="s">
        <v>6241</v>
      </c>
      <c r="B4543" s="2" t="s">
        <v>2628</v>
      </c>
      <c r="C4543" s="1">
        <v>321</v>
      </c>
      <c r="D4543" s="1" t="s">
        <v>52</v>
      </c>
      <c r="E4543" s="1" t="s">
        <v>6</v>
      </c>
      <c r="F4543" s="1" t="s">
        <v>5091</v>
      </c>
      <c r="G4543" s="22" t="s">
        <v>6181</v>
      </c>
      <c r="H4543" s="2" t="s">
        <v>118</v>
      </c>
      <c r="I4543" s="1" t="s">
        <v>4458</v>
      </c>
    </row>
    <row r="4544" spans="1:10">
      <c r="A4544" s="7" t="s">
        <v>6246</v>
      </c>
      <c r="B4544" s="2" t="s">
        <v>2628</v>
      </c>
      <c r="C4544" s="1">
        <v>321</v>
      </c>
      <c r="D4544" s="1" t="s">
        <v>52</v>
      </c>
      <c r="E4544" s="1" t="s">
        <v>6</v>
      </c>
      <c r="F4544" s="1" t="s">
        <v>5091</v>
      </c>
      <c r="G4544" s="14" t="s">
        <v>6139</v>
      </c>
      <c r="H4544" s="1" t="s">
        <v>43</v>
      </c>
      <c r="I4544" s="1" t="s">
        <v>5807</v>
      </c>
    </row>
    <row r="4545" spans="1:10">
      <c r="A4545" s="7" t="s">
        <v>6247</v>
      </c>
      <c r="B4545" s="2" t="s">
        <v>2628</v>
      </c>
      <c r="C4545" s="1">
        <v>321</v>
      </c>
      <c r="D4545" s="1" t="s">
        <v>52</v>
      </c>
      <c r="E4545" s="1" t="s">
        <v>6</v>
      </c>
      <c r="F4545" s="1" t="s">
        <v>5091</v>
      </c>
      <c r="G4545" s="14" t="s">
        <v>6139</v>
      </c>
      <c r="H4545" s="1" t="s">
        <v>43</v>
      </c>
      <c r="I4545" s="1" t="s">
        <v>5807</v>
      </c>
    </row>
    <row r="4546" spans="1:10">
      <c r="A4546" s="7" t="s">
        <v>6248</v>
      </c>
      <c r="B4546" s="2" t="s">
        <v>2628</v>
      </c>
      <c r="C4546" s="1">
        <v>321</v>
      </c>
      <c r="D4546" s="1" t="s">
        <v>52</v>
      </c>
      <c r="E4546" s="1" t="s">
        <v>6</v>
      </c>
      <c r="F4546" s="1" t="s">
        <v>5091</v>
      </c>
      <c r="G4546" s="14" t="s">
        <v>6139</v>
      </c>
      <c r="H4546" s="1" t="s">
        <v>43</v>
      </c>
      <c r="I4546" s="1" t="s">
        <v>5807</v>
      </c>
    </row>
    <row r="4547" spans="1:10">
      <c r="A4547" s="7" t="s">
        <v>6286</v>
      </c>
      <c r="B4547" s="2" t="s">
        <v>2628</v>
      </c>
      <c r="C4547" s="1">
        <v>321</v>
      </c>
      <c r="D4547" s="1" t="s">
        <v>52</v>
      </c>
      <c r="E4547" s="1" t="s">
        <v>6</v>
      </c>
      <c r="F4547" s="1" t="s">
        <v>5091</v>
      </c>
      <c r="G4547" s="22" t="s">
        <v>6181</v>
      </c>
      <c r="H4547" s="2" t="s">
        <v>118</v>
      </c>
      <c r="I4547" s="1" t="s">
        <v>4458</v>
      </c>
    </row>
    <row r="4548" spans="1:10">
      <c r="A4548" s="7" t="s">
        <v>6287</v>
      </c>
      <c r="B4548" s="2" t="s">
        <v>2628</v>
      </c>
      <c r="C4548" s="1">
        <v>321</v>
      </c>
      <c r="D4548" s="1" t="s">
        <v>52</v>
      </c>
      <c r="E4548" s="1" t="s">
        <v>6</v>
      </c>
      <c r="F4548" s="1" t="s">
        <v>5091</v>
      </c>
      <c r="G4548" s="22" t="s">
        <v>6181</v>
      </c>
      <c r="H4548" s="2" t="s">
        <v>118</v>
      </c>
      <c r="I4548" s="1" t="s">
        <v>4458</v>
      </c>
    </row>
    <row r="4549" spans="1:10">
      <c r="A4549" s="7" t="s">
        <v>6288</v>
      </c>
      <c r="B4549" s="2" t="s">
        <v>2628</v>
      </c>
      <c r="C4549" s="1">
        <v>321</v>
      </c>
      <c r="D4549" s="1" t="s">
        <v>52</v>
      </c>
      <c r="E4549" s="1" t="s">
        <v>6</v>
      </c>
      <c r="F4549" s="1" t="s">
        <v>5091</v>
      </c>
      <c r="G4549" s="22" t="s">
        <v>6181</v>
      </c>
      <c r="H4549" s="2" t="s">
        <v>118</v>
      </c>
      <c r="I4549" s="1" t="s">
        <v>4458</v>
      </c>
      <c r="J4549" s="11"/>
    </row>
    <row r="4550" spans="1:10">
      <c r="A4550" s="7" t="s">
        <v>6289</v>
      </c>
      <c r="B4550" s="2" t="s">
        <v>2628</v>
      </c>
      <c r="C4550" s="1">
        <v>321</v>
      </c>
      <c r="D4550" s="1" t="s">
        <v>52</v>
      </c>
      <c r="E4550" s="1" t="s">
        <v>6</v>
      </c>
      <c r="F4550" s="1" t="s">
        <v>5091</v>
      </c>
      <c r="G4550" s="14" t="s">
        <v>6290</v>
      </c>
      <c r="H4550" s="1" t="s">
        <v>5</v>
      </c>
      <c r="I4550" s="1" t="s">
        <v>5807</v>
      </c>
      <c r="J4550" s="17"/>
    </row>
    <row r="4551" spans="1:10">
      <c r="A4551" s="7" t="s">
        <v>6364</v>
      </c>
      <c r="B4551" s="2" t="s">
        <v>2628</v>
      </c>
      <c r="C4551" s="1">
        <v>321</v>
      </c>
      <c r="D4551" s="1" t="s">
        <v>52</v>
      </c>
      <c r="E4551" s="1" t="s">
        <v>6</v>
      </c>
      <c r="F4551" s="1" t="s">
        <v>5091</v>
      </c>
      <c r="G4551" s="14" t="s">
        <v>6365</v>
      </c>
      <c r="H4551" s="1" t="s">
        <v>5</v>
      </c>
      <c r="I4551" s="1" t="s">
        <v>5089</v>
      </c>
    </row>
    <row r="4552" spans="1:10">
      <c r="A4552" s="7" t="s">
        <v>6388</v>
      </c>
      <c r="B4552" s="2" t="s">
        <v>2628</v>
      </c>
      <c r="C4552" s="1">
        <v>321</v>
      </c>
      <c r="D4552" s="1" t="s">
        <v>52</v>
      </c>
      <c r="E4552" s="1" t="s">
        <v>6</v>
      </c>
      <c r="F4552" s="1" t="s">
        <v>5091</v>
      </c>
      <c r="G4552" s="14" t="s">
        <v>2400</v>
      </c>
      <c r="H4552" s="1" t="s">
        <v>43</v>
      </c>
      <c r="I4552" s="1" t="s">
        <v>4789</v>
      </c>
    </row>
    <row r="4553" spans="1:10">
      <c r="A4553" s="7" t="s">
        <v>6408</v>
      </c>
      <c r="B4553" s="1" t="s">
        <v>2628</v>
      </c>
      <c r="C4553" s="1">
        <v>321</v>
      </c>
      <c r="D4553" s="1" t="s">
        <v>52</v>
      </c>
      <c r="E4553" s="1" t="s">
        <v>6</v>
      </c>
      <c r="F4553" s="1" t="s">
        <v>5091</v>
      </c>
      <c r="G4553" s="1" t="s">
        <v>6236</v>
      </c>
      <c r="H4553" s="1" t="s">
        <v>43</v>
      </c>
      <c r="I4553" s="1" t="s">
        <v>5807</v>
      </c>
    </row>
    <row r="4554" spans="1:10">
      <c r="A4554" s="7" t="s">
        <v>6436</v>
      </c>
      <c r="B4554" s="1" t="s">
        <v>2628</v>
      </c>
      <c r="C4554" s="1">
        <v>321</v>
      </c>
      <c r="D4554" s="1" t="s">
        <v>52</v>
      </c>
      <c r="E4554" s="1" t="s">
        <v>6</v>
      </c>
      <c r="F4554" s="1" t="s">
        <v>5091</v>
      </c>
      <c r="G4554" s="1" t="s">
        <v>6437</v>
      </c>
      <c r="H4554" s="1" t="s">
        <v>5</v>
      </c>
      <c r="I4554" s="1" t="s">
        <v>5807</v>
      </c>
      <c r="J4554" s="17"/>
    </row>
    <row r="4555" spans="1:10">
      <c r="A4555" s="7" t="s">
        <v>6438</v>
      </c>
      <c r="B4555" s="1" t="s">
        <v>2628</v>
      </c>
      <c r="C4555" s="1">
        <v>321</v>
      </c>
      <c r="D4555" s="1" t="s">
        <v>52</v>
      </c>
      <c r="E4555" s="1" t="s">
        <v>6</v>
      </c>
      <c r="F4555" s="1" t="s">
        <v>5091</v>
      </c>
      <c r="G4555" s="1" t="s">
        <v>6437</v>
      </c>
      <c r="H4555" s="1" t="s">
        <v>5</v>
      </c>
      <c r="I4555" s="1" t="s">
        <v>5807</v>
      </c>
      <c r="J4555" s="17"/>
    </row>
    <row r="4556" spans="1:10">
      <c r="A4556" s="7" t="s">
        <v>6447</v>
      </c>
      <c r="B4556" s="1" t="s">
        <v>2628</v>
      </c>
      <c r="C4556" s="1">
        <v>321</v>
      </c>
      <c r="D4556" s="1" t="s">
        <v>52</v>
      </c>
      <c r="E4556" s="1" t="s">
        <v>6</v>
      </c>
      <c r="F4556" s="1" t="s">
        <v>5091</v>
      </c>
      <c r="G4556" s="1" t="s">
        <v>6181</v>
      </c>
      <c r="H4556" s="1" t="s">
        <v>118</v>
      </c>
      <c r="I4556" s="1" t="s">
        <v>4458</v>
      </c>
    </row>
    <row r="4557" spans="1:10">
      <c r="A4557" s="7" t="s">
        <v>6527</v>
      </c>
      <c r="B4557" s="1" t="s">
        <v>2628</v>
      </c>
      <c r="C4557" s="1">
        <v>2447</v>
      </c>
      <c r="D4557" s="1" t="s">
        <v>52</v>
      </c>
      <c r="E4557" s="1" t="s">
        <v>6</v>
      </c>
      <c r="F4557" s="1" t="s">
        <v>5091</v>
      </c>
      <c r="G4557" s="1" t="s">
        <v>6236</v>
      </c>
      <c r="H4557" s="1" t="s">
        <v>43</v>
      </c>
      <c r="I4557" s="1" t="s">
        <v>5807</v>
      </c>
    </row>
    <row r="4558" spans="1:10">
      <c r="A4558" s="7" t="s">
        <v>6528</v>
      </c>
      <c r="B4558" s="1" t="s">
        <v>2628</v>
      </c>
      <c r="C4558" s="1">
        <v>321</v>
      </c>
      <c r="D4558" s="1" t="s">
        <v>52</v>
      </c>
      <c r="E4558" s="1" t="s">
        <v>6</v>
      </c>
      <c r="F4558" s="1" t="s">
        <v>5091</v>
      </c>
      <c r="G4558" s="1" t="s">
        <v>6181</v>
      </c>
      <c r="H4558" s="1" t="s">
        <v>118</v>
      </c>
      <c r="I4558" s="1" t="s">
        <v>4458</v>
      </c>
    </row>
    <row r="4559" spans="1:10">
      <c r="A4559" s="7" t="s">
        <v>6581</v>
      </c>
      <c r="B4559" s="1" t="s">
        <v>2628</v>
      </c>
      <c r="C4559" s="1">
        <v>321</v>
      </c>
      <c r="D4559" s="1" t="s">
        <v>52</v>
      </c>
      <c r="E4559" s="1" t="s">
        <v>6</v>
      </c>
      <c r="F4559" s="1" t="s">
        <v>5091</v>
      </c>
      <c r="G4559" s="1" t="s">
        <v>6530</v>
      </c>
      <c r="H4559" s="1" t="s">
        <v>43</v>
      </c>
      <c r="I4559" s="1" t="s">
        <v>5630</v>
      </c>
    </row>
    <row r="4560" spans="1:10">
      <c r="A4560" s="7" t="s">
        <v>6588</v>
      </c>
      <c r="B4560" s="1" t="s">
        <v>2628</v>
      </c>
      <c r="C4560" s="1">
        <v>321</v>
      </c>
      <c r="D4560" s="1" t="s">
        <v>52</v>
      </c>
      <c r="E4560" s="1" t="s">
        <v>6</v>
      </c>
      <c r="F4560" s="1" t="s">
        <v>5091</v>
      </c>
      <c r="G4560" s="1" t="s">
        <v>6530</v>
      </c>
      <c r="H4560" s="1" t="s">
        <v>43</v>
      </c>
      <c r="I4560" s="1" t="s">
        <v>5630</v>
      </c>
    </row>
    <row r="4561" spans="1:10">
      <c r="A4561" s="7" t="s">
        <v>6593</v>
      </c>
      <c r="B4561" s="1" t="s">
        <v>2628</v>
      </c>
      <c r="C4561" s="1">
        <v>321</v>
      </c>
      <c r="D4561" s="1" t="s">
        <v>52</v>
      </c>
      <c r="E4561" s="1" t="s">
        <v>6</v>
      </c>
      <c r="F4561" s="1" t="s">
        <v>5091</v>
      </c>
      <c r="G4561" s="1" t="s">
        <v>6530</v>
      </c>
      <c r="H4561" s="1" t="s">
        <v>43</v>
      </c>
      <c r="I4561" s="1" t="s">
        <v>5630</v>
      </c>
    </row>
    <row r="4562" spans="1:10">
      <c r="A4562" s="7" t="s">
        <v>6608</v>
      </c>
      <c r="B4562" s="1" t="s">
        <v>2628</v>
      </c>
      <c r="C4562" s="1">
        <v>321</v>
      </c>
      <c r="D4562" s="1" t="s">
        <v>52</v>
      </c>
      <c r="E4562" s="1" t="s">
        <v>6</v>
      </c>
      <c r="F4562" s="1" t="s">
        <v>5091</v>
      </c>
      <c r="G4562" s="1" t="s">
        <v>6139</v>
      </c>
      <c r="H4562" s="1" t="s">
        <v>43</v>
      </c>
      <c r="I4562" s="1" t="s">
        <v>5807</v>
      </c>
    </row>
    <row r="4563" spans="1:10">
      <c r="A4563" s="7" t="s">
        <v>6611</v>
      </c>
      <c r="B4563" s="1" t="s">
        <v>2628</v>
      </c>
      <c r="C4563" s="1">
        <v>321</v>
      </c>
      <c r="D4563" s="1" t="s">
        <v>52</v>
      </c>
      <c r="E4563" s="1" t="s">
        <v>6</v>
      </c>
      <c r="F4563" s="1" t="s">
        <v>5091</v>
      </c>
      <c r="G4563" s="1" t="s">
        <v>6612</v>
      </c>
      <c r="H4563" s="1" t="s">
        <v>5</v>
      </c>
      <c r="I4563" s="1" t="s">
        <v>5807</v>
      </c>
      <c r="J4563" s="17"/>
    </row>
    <row r="4564" spans="1:10">
      <c r="A4564" s="7" t="s">
        <v>6613</v>
      </c>
      <c r="B4564" s="1" t="s">
        <v>2628</v>
      </c>
      <c r="C4564" s="1">
        <v>321</v>
      </c>
      <c r="D4564" s="1" t="s">
        <v>52</v>
      </c>
      <c r="E4564" s="1" t="s">
        <v>6</v>
      </c>
      <c r="F4564" s="1" t="s">
        <v>5091</v>
      </c>
      <c r="G4564" s="1" t="s">
        <v>6606</v>
      </c>
      <c r="H4564" s="1" t="s">
        <v>5</v>
      </c>
      <c r="I4564" s="1" t="s">
        <v>5807</v>
      </c>
      <c r="J4564" s="17"/>
    </row>
    <row r="4565" spans="1:10">
      <c r="A4565" s="7" t="s">
        <v>6619</v>
      </c>
      <c r="B4565" s="1" t="s">
        <v>2628</v>
      </c>
      <c r="C4565" s="1">
        <v>321</v>
      </c>
      <c r="D4565" s="1" t="s">
        <v>52</v>
      </c>
      <c r="E4565" s="1" t="s">
        <v>6</v>
      </c>
      <c r="F4565" s="1" t="s">
        <v>5091</v>
      </c>
      <c r="G4565" s="1" t="s">
        <v>6181</v>
      </c>
      <c r="H4565" s="1" t="s">
        <v>118</v>
      </c>
      <c r="I4565" s="1" t="s">
        <v>4458</v>
      </c>
    </row>
    <row r="4566" spans="1:10">
      <c r="A4566" s="7" t="s">
        <v>6623</v>
      </c>
      <c r="B4566" s="1" t="s">
        <v>2628</v>
      </c>
      <c r="C4566" s="1">
        <v>321</v>
      </c>
      <c r="D4566" s="1" t="s">
        <v>52</v>
      </c>
      <c r="E4566" s="1" t="s">
        <v>6</v>
      </c>
      <c r="F4566" s="1" t="s">
        <v>5091</v>
      </c>
      <c r="G4566" s="1" t="s">
        <v>6139</v>
      </c>
      <c r="H4566" s="1" t="s">
        <v>43</v>
      </c>
      <c r="I4566" s="1" t="s">
        <v>5807</v>
      </c>
    </row>
    <row r="4567" spans="1:10">
      <c r="A4567" s="7" t="s">
        <v>6624</v>
      </c>
      <c r="B4567" s="1" t="s">
        <v>2628</v>
      </c>
      <c r="C4567" s="1">
        <v>321</v>
      </c>
      <c r="D4567" s="1" t="s">
        <v>52</v>
      </c>
      <c r="E4567" s="1" t="s">
        <v>6</v>
      </c>
      <c r="F4567" s="1" t="s">
        <v>5091</v>
      </c>
      <c r="G4567" s="1" t="s">
        <v>6139</v>
      </c>
      <c r="H4567" s="1" t="s">
        <v>43</v>
      </c>
      <c r="I4567" s="1" t="s">
        <v>5807</v>
      </c>
    </row>
    <row r="4568" spans="1:10">
      <c r="A4568" s="7" t="s">
        <v>6625</v>
      </c>
      <c r="B4568" s="1" t="s">
        <v>2628</v>
      </c>
      <c r="C4568" s="1">
        <v>321</v>
      </c>
      <c r="D4568" s="1" t="s">
        <v>52</v>
      </c>
      <c r="E4568" s="1" t="s">
        <v>6</v>
      </c>
      <c r="F4568" s="1" t="s">
        <v>5091</v>
      </c>
      <c r="G4568" s="1" t="s">
        <v>6139</v>
      </c>
      <c r="H4568" s="1" t="s">
        <v>43</v>
      </c>
      <c r="I4568" s="1" t="s">
        <v>5807</v>
      </c>
    </row>
    <row r="4569" spans="1:10">
      <c r="A4569" s="7" t="s">
        <v>6628</v>
      </c>
      <c r="B4569" s="1" t="s">
        <v>2628</v>
      </c>
      <c r="C4569" s="1">
        <v>321</v>
      </c>
      <c r="D4569" s="1" t="s">
        <v>52</v>
      </c>
      <c r="E4569" s="1" t="s">
        <v>6</v>
      </c>
      <c r="F4569" s="1" t="s">
        <v>5091</v>
      </c>
      <c r="G4569" s="1" t="s">
        <v>6139</v>
      </c>
      <c r="H4569" s="1" t="s">
        <v>43</v>
      </c>
      <c r="I4569" s="1" t="s">
        <v>5807</v>
      </c>
    </row>
    <row r="4570" spans="1:10">
      <c r="A4570" s="7" t="s">
        <v>6629</v>
      </c>
      <c r="B4570" s="1" t="s">
        <v>2628</v>
      </c>
      <c r="C4570" s="1">
        <v>321</v>
      </c>
      <c r="D4570" s="1" t="s">
        <v>52</v>
      </c>
      <c r="E4570" s="1" t="s">
        <v>6</v>
      </c>
      <c r="F4570" s="1" t="s">
        <v>5091</v>
      </c>
      <c r="G4570" s="1" t="s">
        <v>6139</v>
      </c>
      <c r="H4570" s="1" t="s">
        <v>43</v>
      </c>
      <c r="I4570" s="1" t="s">
        <v>5807</v>
      </c>
    </row>
    <row r="4571" spans="1:10">
      <c r="A4571" s="7" t="s">
        <v>6637</v>
      </c>
      <c r="B4571" s="1" t="s">
        <v>2628</v>
      </c>
      <c r="C4571" s="1">
        <v>321</v>
      </c>
      <c r="D4571" s="1" t="s">
        <v>52</v>
      </c>
      <c r="E4571" s="1" t="s">
        <v>6</v>
      </c>
      <c r="F4571" s="1" t="s">
        <v>5091</v>
      </c>
      <c r="G4571" s="1" t="s">
        <v>6139</v>
      </c>
      <c r="H4571" s="1" t="s">
        <v>43</v>
      </c>
      <c r="I4571" s="1" t="s">
        <v>5807</v>
      </c>
    </row>
    <row r="4572" spans="1:10">
      <c r="A4572" s="7" t="s">
        <v>6638</v>
      </c>
      <c r="B4572" s="1" t="s">
        <v>2628</v>
      </c>
      <c r="C4572" s="1">
        <v>321</v>
      </c>
      <c r="D4572" s="1" t="s">
        <v>52</v>
      </c>
      <c r="E4572" s="1" t="s">
        <v>6</v>
      </c>
      <c r="F4572" s="1" t="s">
        <v>5091</v>
      </c>
      <c r="G4572" s="1" t="s">
        <v>6139</v>
      </c>
      <c r="H4572" s="1" t="s">
        <v>43</v>
      </c>
      <c r="I4572" s="1" t="s">
        <v>5807</v>
      </c>
    </row>
    <row r="4573" spans="1:10">
      <c r="A4573" s="7" t="s">
        <v>6640</v>
      </c>
      <c r="B4573" s="1" t="s">
        <v>2628</v>
      </c>
      <c r="C4573" s="1">
        <v>321</v>
      </c>
      <c r="D4573" s="1" t="s">
        <v>52</v>
      </c>
      <c r="E4573" s="1" t="s">
        <v>6</v>
      </c>
      <c r="F4573" s="1" t="s">
        <v>5091</v>
      </c>
      <c r="G4573" s="1" t="s">
        <v>6139</v>
      </c>
      <c r="H4573" s="1" t="s">
        <v>43</v>
      </c>
      <c r="I4573" s="1" t="s">
        <v>5807</v>
      </c>
    </row>
    <row r="4574" spans="1:10">
      <c r="A4574" s="7" t="s">
        <v>6641</v>
      </c>
      <c r="B4574" s="1" t="s">
        <v>2628</v>
      </c>
      <c r="C4574" s="1">
        <v>321</v>
      </c>
      <c r="D4574" s="1" t="s">
        <v>52</v>
      </c>
      <c r="E4574" s="1" t="s">
        <v>6</v>
      </c>
      <c r="F4574" s="1" t="s">
        <v>5091</v>
      </c>
      <c r="G4574" s="1" t="s">
        <v>6139</v>
      </c>
      <c r="H4574" s="1" t="s">
        <v>43</v>
      </c>
      <c r="I4574" s="1" t="s">
        <v>5807</v>
      </c>
    </row>
    <row r="4575" spans="1:10">
      <c r="A4575" s="7" t="s">
        <v>6642</v>
      </c>
      <c r="B4575" s="1" t="s">
        <v>2628</v>
      </c>
      <c r="C4575" s="1">
        <v>321</v>
      </c>
      <c r="D4575" s="1" t="s">
        <v>52</v>
      </c>
      <c r="E4575" s="1" t="s">
        <v>6</v>
      </c>
      <c r="F4575" s="1" t="s">
        <v>5091</v>
      </c>
      <c r="G4575" s="1" t="s">
        <v>6139</v>
      </c>
      <c r="H4575" s="1" t="s">
        <v>43</v>
      </c>
      <c r="I4575" s="1" t="s">
        <v>5807</v>
      </c>
    </row>
    <row r="4576" spans="1:10">
      <c r="A4576" s="7" t="s">
        <v>6643</v>
      </c>
      <c r="B4576" s="1" t="s">
        <v>2628</v>
      </c>
      <c r="C4576" s="1">
        <v>321</v>
      </c>
      <c r="D4576" s="1" t="s">
        <v>52</v>
      </c>
      <c r="E4576" s="1" t="s">
        <v>6</v>
      </c>
      <c r="F4576" s="1" t="s">
        <v>5091</v>
      </c>
      <c r="G4576" s="1" t="s">
        <v>6139</v>
      </c>
      <c r="H4576" s="1" t="s">
        <v>43</v>
      </c>
      <c r="I4576" s="1" t="s">
        <v>5807</v>
      </c>
    </row>
    <row r="4577" spans="1:9">
      <c r="A4577" s="7" t="s">
        <v>6644</v>
      </c>
      <c r="B4577" s="1" t="s">
        <v>2628</v>
      </c>
      <c r="C4577" s="1">
        <v>321</v>
      </c>
      <c r="D4577" s="1" t="s">
        <v>52</v>
      </c>
      <c r="E4577" s="1" t="s">
        <v>6</v>
      </c>
      <c r="F4577" s="1" t="s">
        <v>5091</v>
      </c>
      <c r="G4577" s="1" t="s">
        <v>6139</v>
      </c>
      <c r="H4577" s="1" t="s">
        <v>43</v>
      </c>
      <c r="I4577" s="1" t="s">
        <v>5807</v>
      </c>
    </row>
    <row r="4578" spans="1:9">
      <c r="A4578" s="7" t="s">
        <v>6645</v>
      </c>
      <c r="B4578" s="1" t="s">
        <v>2628</v>
      </c>
      <c r="C4578" s="1">
        <v>321</v>
      </c>
      <c r="D4578" s="1" t="s">
        <v>52</v>
      </c>
      <c r="E4578" s="1" t="s">
        <v>6</v>
      </c>
      <c r="F4578" s="1" t="s">
        <v>5091</v>
      </c>
      <c r="G4578" s="1" t="s">
        <v>6139</v>
      </c>
      <c r="H4578" s="1" t="s">
        <v>43</v>
      </c>
      <c r="I4578" s="1" t="s">
        <v>5807</v>
      </c>
    </row>
    <row r="4579" spans="1:9">
      <c r="A4579" s="7" t="s">
        <v>6646</v>
      </c>
      <c r="B4579" s="1" t="s">
        <v>2628</v>
      </c>
      <c r="C4579" s="1">
        <v>321</v>
      </c>
      <c r="D4579" s="1" t="s">
        <v>52</v>
      </c>
      <c r="E4579" s="1" t="s">
        <v>6</v>
      </c>
      <c r="F4579" s="1" t="s">
        <v>5091</v>
      </c>
      <c r="G4579" s="1" t="s">
        <v>6139</v>
      </c>
      <c r="H4579" s="1" t="s">
        <v>43</v>
      </c>
      <c r="I4579" s="1" t="s">
        <v>5807</v>
      </c>
    </row>
    <row r="4580" spans="1:9">
      <c r="A4580" s="7" t="s">
        <v>6647</v>
      </c>
      <c r="B4580" s="1" t="s">
        <v>2628</v>
      </c>
      <c r="C4580" s="1">
        <v>321</v>
      </c>
      <c r="D4580" s="1" t="s">
        <v>52</v>
      </c>
      <c r="E4580" s="1" t="s">
        <v>6</v>
      </c>
      <c r="F4580" s="1" t="s">
        <v>5091</v>
      </c>
      <c r="G4580" s="1" t="s">
        <v>6139</v>
      </c>
      <c r="H4580" s="1" t="s">
        <v>43</v>
      </c>
      <c r="I4580" s="1" t="s">
        <v>5807</v>
      </c>
    </row>
    <row r="4581" spans="1:9">
      <c r="A4581" s="7" t="s">
        <v>6648</v>
      </c>
      <c r="B4581" s="1" t="s">
        <v>2628</v>
      </c>
      <c r="C4581" s="1">
        <v>321</v>
      </c>
      <c r="D4581" s="1" t="s">
        <v>52</v>
      </c>
      <c r="E4581" s="1" t="s">
        <v>6</v>
      </c>
      <c r="F4581" s="1" t="s">
        <v>5091</v>
      </c>
      <c r="G4581" s="1" t="s">
        <v>6139</v>
      </c>
      <c r="H4581" s="1" t="s">
        <v>43</v>
      </c>
      <c r="I4581" s="1" t="s">
        <v>5807</v>
      </c>
    </row>
    <row r="4582" spans="1:9">
      <c r="A4582" s="7" t="s">
        <v>6649</v>
      </c>
      <c r="B4582" s="1" t="s">
        <v>2628</v>
      </c>
      <c r="C4582" s="1">
        <v>321</v>
      </c>
      <c r="D4582" s="1" t="s">
        <v>52</v>
      </c>
      <c r="E4582" s="1" t="s">
        <v>6</v>
      </c>
      <c r="F4582" s="1" t="s">
        <v>5091</v>
      </c>
      <c r="G4582" s="1" t="s">
        <v>6139</v>
      </c>
      <c r="H4582" s="1" t="s">
        <v>43</v>
      </c>
      <c r="I4582" s="1" t="s">
        <v>5807</v>
      </c>
    </row>
    <row r="4583" spans="1:9">
      <c r="A4583" s="7" t="s">
        <v>6650</v>
      </c>
      <c r="B4583" s="1" t="s">
        <v>2628</v>
      </c>
      <c r="C4583" s="1">
        <v>321</v>
      </c>
      <c r="D4583" s="1" t="s">
        <v>52</v>
      </c>
      <c r="E4583" s="1" t="s">
        <v>6</v>
      </c>
      <c r="F4583" s="1" t="s">
        <v>5091</v>
      </c>
      <c r="G4583" s="1" t="s">
        <v>6139</v>
      </c>
      <c r="H4583" s="1" t="s">
        <v>43</v>
      </c>
      <c r="I4583" s="1" t="s">
        <v>5807</v>
      </c>
    </row>
    <row r="4584" spans="1:9">
      <c r="A4584" s="7" t="s">
        <v>6651</v>
      </c>
      <c r="B4584" s="1" t="s">
        <v>2628</v>
      </c>
      <c r="C4584" s="1">
        <v>321</v>
      </c>
      <c r="D4584" s="1" t="s">
        <v>52</v>
      </c>
      <c r="E4584" s="1" t="s">
        <v>6</v>
      </c>
      <c r="F4584" s="1" t="s">
        <v>5091</v>
      </c>
      <c r="G4584" s="1" t="s">
        <v>6139</v>
      </c>
      <c r="H4584" s="1" t="s">
        <v>43</v>
      </c>
      <c r="I4584" s="1" t="s">
        <v>5807</v>
      </c>
    </row>
    <row r="4585" spans="1:9">
      <c r="A4585" s="7" t="s">
        <v>6652</v>
      </c>
      <c r="B4585" s="1" t="s">
        <v>2628</v>
      </c>
      <c r="C4585" s="1">
        <v>321</v>
      </c>
      <c r="D4585" s="1" t="s">
        <v>52</v>
      </c>
      <c r="E4585" s="1" t="s">
        <v>6</v>
      </c>
      <c r="F4585" s="1" t="s">
        <v>5091</v>
      </c>
      <c r="G4585" s="1" t="s">
        <v>6139</v>
      </c>
      <c r="H4585" s="1" t="s">
        <v>43</v>
      </c>
      <c r="I4585" s="1" t="s">
        <v>5807</v>
      </c>
    </row>
    <row r="4586" spans="1:9">
      <c r="A4586" s="7" t="s">
        <v>6653</v>
      </c>
      <c r="B4586" s="1" t="s">
        <v>2628</v>
      </c>
      <c r="C4586" s="1">
        <v>321</v>
      </c>
      <c r="D4586" s="1" t="s">
        <v>52</v>
      </c>
      <c r="E4586" s="1" t="s">
        <v>6</v>
      </c>
      <c r="F4586" s="1" t="s">
        <v>5091</v>
      </c>
      <c r="G4586" s="1" t="s">
        <v>6139</v>
      </c>
      <c r="H4586" s="1" t="s">
        <v>43</v>
      </c>
      <c r="I4586" s="1" t="s">
        <v>5807</v>
      </c>
    </row>
    <row r="4587" spans="1:9">
      <c r="A4587" s="7" t="s">
        <v>6654</v>
      </c>
      <c r="B4587" s="1" t="s">
        <v>2628</v>
      </c>
      <c r="C4587" s="1">
        <v>321</v>
      </c>
      <c r="D4587" s="1" t="s">
        <v>52</v>
      </c>
      <c r="E4587" s="1" t="s">
        <v>6</v>
      </c>
      <c r="F4587" s="1" t="s">
        <v>5091</v>
      </c>
      <c r="G4587" s="1" t="s">
        <v>6139</v>
      </c>
      <c r="H4587" s="1" t="s">
        <v>43</v>
      </c>
      <c r="I4587" s="1" t="s">
        <v>5807</v>
      </c>
    </row>
    <row r="4588" spans="1:9">
      <c r="A4588" s="7" t="s">
        <v>6655</v>
      </c>
      <c r="B4588" s="1" t="s">
        <v>2628</v>
      </c>
      <c r="C4588" s="1">
        <v>321</v>
      </c>
      <c r="D4588" s="1" t="s">
        <v>52</v>
      </c>
      <c r="E4588" s="1" t="s">
        <v>6</v>
      </c>
      <c r="F4588" s="1" t="s">
        <v>5091</v>
      </c>
      <c r="G4588" s="1" t="s">
        <v>6139</v>
      </c>
      <c r="H4588" s="1" t="s">
        <v>43</v>
      </c>
      <c r="I4588" s="1" t="s">
        <v>5807</v>
      </c>
    </row>
    <row r="4589" spans="1:9">
      <c r="A4589" s="7" t="s">
        <v>6661</v>
      </c>
      <c r="B4589" s="1" t="s">
        <v>2628</v>
      </c>
      <c r="C4589" s="1">
        <v>321</v>
      </c>
      <c r="D4589" s="1" t="s">
        <v>52</v>
      </c>
      <c r="E4589" s="1" t="s">
        <v>6</v>
      </c>
      <c r="F4589" s="1" t="s">
        <v>5091</v>
      </c>
      <c r="G4589" s="1" t="s">
        <v>6139</v>
      </c>
      <c r="H4589" s="1" t="s">
        <v>43</v>
      </c>
      <c r="I4589" s="1" t="s">
        <v>5807</v>
      </c>
    </row>
    <row r="4590" spans="1:9">
      <c r="A4590" s="7" t="s">
        <v>6662</v>
      </c>
      <c r="B4590" s="1" t="s">
        <v>2628</v>
      </c>
      <c r="C4590" s="1">
        <v>321</v>
      </c>
      <c r="D4590" s="1" t="s">
        <v>52</v>
      </c>
      <c r="E4590" s="1" t="s">
        <v>6</v>
      </c>
      <c r="F4590" s="1" t="s">
        <v>5091</v>
      </c>
      <c r="G4590" s="1" t="s">
        <v>6139</v>
      </c>
      <c r="H4590" s="1" t="s">
        <v>43</v>
      </c>
      <c r="I4590" s="1" t="s">
        <v>5807</v>
      </c>
    </row>
    <row r="4591" spans="1:9">
      <c r="A4591" s="7" t="s">
        <v>6663</v>
      </c>
      <c r="B4591" s="1" t="s">
        <v>2628</v>
      </c>
      <c r="C4591" s="1">
        <v>321</v>
      </c>
      <c r="D4591" s="1" t="s">
        <v>52</v>
      </c>
      <c r="E4591" s="1" t="s">
        <v>6</v>
      </c>
      <c r="F4591" s="1" t="s">
        <v>5091</v>
      </c>
      <c r="G4591" s="1" t="s">
        <v>6139</v>
      </c>
      <c r="H4591" s="1" t="s">
        <v>43</v>
      </c>
      <c r="I4591" s="1" t="s">
        <v>5807</v>
      </c>
    </row>
    <row r="4592" spans="1:9">
      <c r="A4592" s="7" t="s">
        <v>6664</v>
      </c>
      <c r="B4592" s="1" t="s">
        <v>2628</v>
      </c>
      <c r="C4592" s="1">
        <v>321</v>
      </c>
      <c r="D4592" s="1" t="s">
        <v>52</v>
      </c>
      <c r="E4592" s="1" t="s">
        <v>6</v>
      </c>
      <c r="F4592" s="1" t="s">
        <v>5091</v>
      </c>
      <c r="G4592" s="1" t="s">
        <v>6139</v>
      </c>
      <c r="H4592" s="1" t="s">
        <v>43</v>
      </c>
      <c r="I4592" s="1" t="s">
        <v>5807</v>
      </c>
    </row>
    <row r="4593" spans="1:10">
      <c r="A4593" s="7" t="s">
        <v>6666</v>
      </c>
      <c r="B4593" s="1" t="s">
        <v>2628</v>
      </c>
      <c r="C4593" s="1">
        <v>321</v>
      </c>
      <c r="D4593" s="1" t="s">
        <v>52</v>
      </c>
      <c r="E4593" s="1" t="s">
        <v>6</v>
      </c>
      <c r="F4593" s="1" t="s">
        <v>5091</v>
      </c>
      <c r="G4593" s="1" t="s">
        <v>6139</v>
      </c>
      <c r="H4593" s="1" t="s">
        <v>43</v>
      </c>
      <c r="I4593" s="1" t="s">
        <v>5807</v>
      </c>
    </row>
    <row r="4594" spans="1:10">
      <c r="A4594" s="7" t="s">
        <v>6667</v>
      </c>
      <c r="B4594" s="1" t="s">
        <v>2628</v>
      </c>
      <c r="C4594" s="1">
        <v>321</v>
      </c>
      <c r="D4594" s="1" t="s">
        <v>52</v>
      </c>
      <c r="E4594" s="1" t="s">
        <v>6</v>
      </c>
      <c r="F4594" s="1" t="s">
        <v>5091</v>
      </c>
      <c r="G4594" s="1" t="s">
        <v>6139</v>
      </c>
      <c r="H4594" s="1" t="s">
        <v>43</v>
      </c>
      <c r="I4594" s="1" t="s">
        <v>5807</v>
      </c>
    </row>
    <row r="4595" spans="1:10">
      <c r="A4595" s="7" t="s">
        <v>6668</v>
      </c>
      <c r="B4595" s="1" t="s">
        <v>2628</v>
      </c>
      <c r="C4595" s="1">
        <v>321</v>
      </c>
      <c r="D4595" s="1" t="s">
        <v>52</v>
      </c>
      <c r="E4595" s="1" t="s">
        <v>6</v>
      </c>
      <c r="F4595" s="1" t="s">
        <v>5091</v>
      </c>
      <c r="G4595" s="1" t="s">
        <v>6139</v>
      </c>
      <c r="H4595" s="1" t="s">
        <v>43</v>
      </c>
      <c r="I4595" s="1" t="s">
        <v>5807</v>
      </c>
    </row>
    <row r="4596" spans="1:10">
      <c r="A4596" s="7" t="s">
        <v>6669</v>
      </c>
      <c r="B4596" s="1" t="s">
        <v>2628</v>
      </c>
      <c r="C4596" s="1">
        <v>321</v>
      </c>
      <c r="D4596" s="1" t="s">
        <v>52</v>
      </c>
      <c r="E4596" s="1" t="s">
        <v>6</v>
      </c>
      <c r="F4596" s="1" t="s">
        <v>5091</v>
      </c>
      <c r="G4596" s="1" t="s">
        <v>6530</v>
      </c>
      <c r="H4596" s="1" t="s">
        <v>43</v>
      </c>
      <c r="I4596" s="1" t="s">
        <v>5630</v>
      </c>
    </row>
    <row r="4597" spans="1:10">
      <c r="A4597" s="7" t="s">
        <v>6670</v>
      </c>
      <c r="B4597" s="1" t="s">
        <v>2628</v>
      </c>
      <c r="C4597" s="1">
        <v>321</v>
      </c>
      <c r="D4597" s="1" t="s">
        <v>52</v>
      </c>
      <c r="E4597" s="1" t="s">
        <v>6</v>
      </c>
      <c r="F4597" s="1" t="s">
        <v>5091</v>
      </c>
      <c r="G4597" s="1" t="s">
        <v>6530</v>
      </c>
      <c r="H4597" s="1" t="s">
        <v>43</v>
      </c>
      <c r="I4597" s="1" t="s">
        <v>5630</v>
      </c>
    </row>
    <row r="4598" spans="1:10">
      <c r="A4598" s="7" t="s">
        <v>6671</v>
      </c>
      <c r="B4598" s="1" t="s">
        <v>2628</v>
      </c>
      <c r="C4598" s="1">
        <v>321</v>
      </c>
      <c r="D4598" s="1" t="s">
        <v>52</v>
      </c>
      <c r="E4598" s="1" t="s">
        <v>6</v>
      </c>
      <c r="F4598" s="1" t="s">
        <v>5091</v>
      </c>
      <c r="G4598" s="1" t="s">
        <v>6530</v>
      </c>
      <c r="H4598" s="1" t="s">
        <v>43</v>
      </c>
      <c r="I4598" s="1" t="s">
        <v>5630</v>
      </c>
    </row>
    <row r="4599" spans="1:10">
      <c r="A4599" s="7" t="s">
        <v>6720</v>
      </c>
      <c r="B4599" s="1" t="s">
        <v>2628</v>
      </c>
      <c r="C4599" s="1">
        <v>321</v>
      </c>
      <c r="D4599" s="1" t="s">
        <v>52</v>
      </c>
      <c r="E4599" s="1" t="s">
        <v>6</v>
      </c>
      <c r="F4599" s="1" t="s">
        <v>5091</v>
      </c>
      <c r="G4599" s="1" t="s">
        <v>6139</v>
      </c>
      <c r="H4599" s="1" t="s">
        <v>43</v>
      </c>
      <c r="I4599" s="1" t="s">
        <v>5807</v>
      </c>
    </row>
    <row r="4600" spans="1:10">
      <c r="A4600" s="7" t="s">
        <v>6721</v>
      </c>
      <c r="B4600" s="1" t="s">
        <v>2628</v>
      </c>
      <c r="C4600" s="1">
        <v>321</v>
      </c>
      <c r="D4600" s="1" t="s">
        <v>52</v>
      </c>
      <c r="E4600" s="1" t="s">
        <v>6</v>
      </c>
      <c r="F4600" s="1" t="s">
        <v>5091</v>
      </c>
      <c r="G4600" s="1" t="s">
        <v>6139</v>
      </c>
      <c r="H4600" s="1" t="s">
        <v>43</v>
      </c>
      <c r="I4600" s="1" t="s">
        <v>5807</v>
      </c>
    </row>
    <row r="4601" spans="1:10">
      <c r="A4601" s="7" t="s">
        <v>6727</v>
      </c>
      <c r="B4601" s="1" t="s">
        <v>2628</v>
      </c>
      <c r="C4601" s="1">
        <v>321</v>
      </c>
      <c r="D4601" s="1" t="s">
        <v>52</v>
      </c>
      <c r="E4601" s="1" t="s">
        <v>6</v>
      </c>
      <c r="F4601" s="1" t="s">
        <v>5091</v>
      </c>
      <c r="G4601" s="1" t="s">
        <v>6139</v>
      </c>
      <c r="H4601" s="1" t="s">
        <v>43</v>
      </c>
      <c r="I4601" s="1" t="s">
        <v>5807</v>
      </c>
    </row>
    <row r="4602" spans="1:10">
      <c r="A4602" s="7" t="s">
        <v>6729</v>
      </c>
      <c r="B4602" s="1" t="s">
        <v>2628</v>
      </c>
      <c r="C4602" s="1">
        <v>321</v>
      </c>
      <c r="D4602" s="1" t="s">
        <v>52</v>
      </c>
      <c r="E4602" s="1" t="s">
        <v>6</v>
      </c>
      <c r="F4602" s="1" t="s">
        <v>5091</v>
      </c>
      <c r="G4602" s="1" t="s">
        <v>6139</v>
      </c>
      <c r="H4602" s="1" t="s">
        <v>43</v>
      </c>
      <c r="I4602" s="1" t="s">
        <v>5807</v>
      </c>
    </row>
    <row r="4603" spans="1:10">
      <c r="A4603" s="7" t="s">
        <v>6769</v>
      </c>
      <c r="B4603" s="1" t="s">
        <v>2628</v>
      </c>
      <c r="C4603" s="1">
        <v>321</v>
      </c>
      <c r="D4603" s="1" t="s">
        <v>52</v>
      </c>
      <c r="E4603" s="1" t="s">
        <v>6</v>
      </c>
      <c r="F4603" s="1" t="s">
        <v>5091</v>
      </c>
      <c r="G4603" s="1" t="s">
        <v>6186</v>
      </c>
      <c r="H4603" s="1" t="s">
        <v>5</v>
      </c>
      <c r="I4603" s="1" t="s">
        <v>6090</v>
      </c>
      <c r="J4603" s="17"/>
    </row>
    <row r="4604" spans="1:10">
      <c r="A4604" s="7" t="s">
        <v>6778</v>
      </c>
      <c r="B4604" s="1" t="s">
        <v>2628</v>
      </c>
      <c r="C4604" s="1">
        <v>321</v>
      </c>
      <c r="D4604" s="1" t="s">
        <v>52</v>
      </c>
      <c r="E4604" s="1" t="s">
        <v>6</v>
      </c>
      <c r="F4604" s="1" t="s">
        <v>5091</v>
      </c>
      <c r="G4604" s="1" t="s">
        <v>6145</v>
      </c>
      <c r="H4604" s="1" t="s">
        <v>43</v>
      </c>
      <c r="I4604" s="1" t="s">
        <v>4789</v>
      </c>
    </row>
    <row r="4605" spans="1:10">
      <c r="A4605" s="7" t="s">
        <v>6800</v>
      </c>
      <c r="B4605" s="1" t="s">
        <v>2628</v>
      </c>
      <c r="C4605" s="1">
        <v>321</v>
      </c>
      <c r="D4605" s="1" t="s">
        <v>52</v>
      </c>
      <c r="E4605" s="1" t="s">
        <v>6</v>
      </c>
      <c r="F4605" s="1" t="s">
        <v>5091</v>
      </c>
      <c r="G4605" s="1" t="s">
        <v>6139</v>
      </c>
      <c r="H4605" s="1" t="s">
        <v>43</v>
      </c>
      <c r="I4605" s="1" t="s">
        <v>5807</v>
      </c>
    </row>
    <row r="4606" spans="1:10">
      <c r="A4606" s="7" t="s">
        <v>6801</v>
      </c>
      <c r="B4606" s="1" t="s">
        <v>2628</v>
      </c>
      <c r="C4606" s="1">
        <v>321</v>
      </c>
      <c r="D4606" s="1" t="s">
        <v>52</v>
      </c>
      <c r="E4606" s="1" t="s">
        <v>6</v>
      </c>
      <c r="F4606" s="1" t="s">
        <v>5091</v>
      </c>
      <c r="G4606" s="1" t="s">
        <v>6139</v>
      </c>
      <c r="H4606" s="1" t="s">
        <v>43</v>
      </c>
      <c r="I4606" s="1" t="s">
        <v>5807</v>
      </c>
    </row>
    <row r="4607" spans="1:10">
      <c r="A4607" s="7" t="s">
        <v>6803</v>
      </c>
      <c r="B4607" s="1" t="s">
        <v>2628</v>
      </c>
      <c r="C4607" s="1">
        <v>321</v>
      </c>
      <c r="D4607" s="1" t="s">
        <v>52</v>
      </c>
      <c r="E4607" s="1" t="s">
        <v>6</v>
      </c>
      <c r="F4607" s="1" t="s">
        <v>5091</v>
      </c>
      <c r="G4607" s="1" t="s">
        <v>6186</v>
      </c>
      <c r="H4607" s="1" t="s">
        <v>5</v>
      </c>
      <c r="I4607" s="1" t="s">
        <v>6090</v>
      </c>
      <c r="J4607" s="17"/>
    </row>
    <row r="4608" spans="1:10">
      <c r="A4608" s="7" t="s">
        <v>6830</v>
      </c>
      <c r="B4608" s="1" t="s">
        <v>2628</v>
      </c>
      <c r="C4608" s="1">
        <v>321</v>
      </c>
      <c r="D4608" s="1" t="s">
        <v>52</v>
      </c>
      <c r="E4608" s="1" t="s">
        <v>6</v>
      </c>
      <c r="F4608" s="1" t="s">
        <v>5241</v>
      </c>
      <c r="G4608" s="1" t="s">
        <v>4803</v>
      </c>
      <c r="H4608" s="1" t="s">
        <v>5</v>
      </c>
      <c r="I4608" s="1" t="s">
        <v>6090</v>
      </c>
      <c r="J4608" s="17"/>
    </row>
    <row r="4609" spans="1:10">
      <c r="A4609" s="16" t="s">
        <v>6835</v>
      </c>
      <c r="B4609" s="1" t="s">
        <v>2628</v>
      </c>
      <c r="C4609" s="1">
        <v>321</v>
      </c>
      <c r="D4609" s="1" t="s">
        <v>52</v>
      </c>
      <c r="E4609" s="1" t="s">
        <v>6</v>
      </c>
      <c r="F4609" s="1" t="s">
        <v>5091</v>
      </c>
      <c r="G4609" s="14" t="s">
        <v>6145</v>
      </c>
      <c r="H4609" s="1" t="s">
        <v>43</v>
      </c>
      <c r="I4609" s="17">
        <v>41484</v>
      </c>
    </row>
    <row r="4610" spans="1:10">
      <c r="A4610" s="16" t="s">
        <v>6836</v>
      </c>
      <c r="B4610" s="1" t="s">
        <v>2628</v>
      </c>
      <c r="C4610" s="1">
        <v>321</v>
      </c>
      <c r="D4610" s="1" t="s">
        <v>52</v>
      </c>
      <c r="E4610" s="1" t="s">
        <v>6</v>
      </c>
      <c r="F4610" s="1" t="s">
        <v>5091</v>
      </c>
      <c r="G4610" s="14" t="s">
        <v>6145</v>
      </c>
      <c r="H4610" s="1" t="s">
        <v>43</v>
      </c>
      <c r="I4610" s="17">
        <v>41484</v>
      </c>
    </row>
    <row r="4611" spans="1:10">
      <c r="A4611" s="16" t="s">
        <v>6837</v>
      </c>
      <c r="B4611" s="1" t="s">
        <v>2628</v>
      </c>
      <c r="C4611" s="1">
        <v>321</v>
      </c>
      <c r="D4611" s="1" t="s">
        <v>52</v>
      </c>
      <c r="E4611" s="1" t="s">
        <v>6</v>
      </c>
      <c r="F4611" s="1" t="s">
        <v>5091</v>
      </c>
      <c r="G4611" s="14" t="s">
        <v>6145</v>
      </c>
      <c r="H4611" s="1" t="s">
        <v>43</v>
      </c>
      <c r="I4611" s="17">
        <v>41484</v>
      </c>
    </row>
    <row r="4612" spans="1:10">
      <c r="A4612" s="16" t="s">
        <v>6838</v>
      </c>
      <c r="B4612" s="1" t="s">
        <v>2628</v>
      </c>
      <c r="C4612" s="1">
        <v>321</v>
      </c>
      <c r="D4612" s="1" t="s">
        <v>52</v>
      </c>
      <c r="E4612" s="1" t="s">
        <v>6</v>
      </c>
      <c r="F4612" s="1" t="s">
        <v>5091</v>
      </c>
      <c r="G4612" s="14" t="s">
        <v>6145</v>
      </c>
      <c r="H4612" s="1" t="s">
        <v>43</v>
      </c>
      <c r="I4612" s="17">
        <v>41484</v>
      </c>
    </row>
    <row r="4613" spans="1:10">
      <c r="A4613" s="16" t="s">
        <v>6839</v>
      </c>
      <c r="B4613" s="1" t="s">
        <v>2628</v>
      </c>
      <c r="C4613" s="1">
        <v>321</v>
      </c>
      <c r="D4613" s="1" t="s">
        <v>52</v>
      </c>
      <c r="E4613" s="1" t="s">
        <v>6</v>
      </c>
      <c r="F4613" s="1" t="s">
        <v>5091</v>
      </c>
      <c r="G4613" s="14" t="s">
        <v>6145</v>
      </c>
      <c r="H4613" s="1" t="s">
        <v>43</v>
      </c>
      <c r="I4613" s="17">
        <v>41484</v>
      </c>
    </row>
    <row r="4614" spans="1:10">
      <c r="A4614" s="16" t="s">
        <v>6840</v>
      </c>
      <c r="B4614" s="1" t="s">
        <v>2628</v>
      </c>
      <c r="C4614" s="1">
        <v>321</v>
      </c>
      <c r="D4614" s="1" t="s">
        <v>52</v>
      </c>
      <c r="E4614" s="1" t="s">
        <v>6</v>
      </c>
      <c r="F4614" s="1" t="s">
        <v>5091</v>
      </c>
      <c r="G4614" s="14" t="s">
        <v>6145</v>
      </c>
      <c r="H4614" s="1" t="s">
        <v>43</v>
      </c>
      <c r="I4614" s="17">
        <v>41484</v>
      </c>
    </row>
    <row r="4615" spans="1:10">
      <c r="A4615" s="16" t="s">
        <v>6841</v>
      </c>
      <c r="B4615" s="1" t="s">
        <v>2628</v>
      </c>
      <c r="C4615" s="1">
        <v>321</v>
      </c>
      <c r="D4615" s="1" t="s">
        <v>52</v>
      </c>
      <c r="E4615" s="1" t="s">
        <v>6</v>
      </c>
      <c r="F4615" s="1" t="s">
        <v>5091</v>
      </c>
      <c r="G4615" s="14" t="s">
        <v>6145</v>
      </c>
      <c r="H4615" s="1" t="s">
        <v>43</v>
      </c>
      <c r="I4615" s="17">
        <v>41484</v>
      </c>
    </row>
    <row r="4616" spans="1:10">
      <c r="A4616" s="16" t="s">
        <v>6842</v>
      </c>
      <c r="B4616" s="1" t="s">
        <v>2628</v>
      </c>
      <c r="C4616" s="1">
        <v>321</v>
      </c>
      <c r="D4616" s="1" t="s">
        <v>52</v>
      </c>
      <c r="E4616" s="1" t="s">
        <v>6</v>
      </c>
      <c r="F4616" s="1" t="s">
        <v>5091</v>
      </c>
      <c r="G4616" s="14" t="s">
        <v>6145</v>
      </c>
      <c r="H4616" s="1" t="s">
        <v>43</v>
      </c>
      <c r="I4616" s="17">
        <v>41484</v>
      </c>
    </row>
    <row r="4617" spans="1:10">
      <c r="A4617" s="7" t="s">
        <v>6893</v>
      </c>
      <c r="B4617" s="1" t="s">
        <v>2628</v>
      </c>
      <c r="C4617" s="1">
        <v>321</v>
      </c>
      <c r="D4617" s="1" t="s">
        <v>52</v>
      </c>
      <c r="E4617" s="1" t="s">
        <v>6</v>
      </c>
      <c r="F4617" s="1" t="s">
        <v>5091</v>
      </c>
      <c r="G4617" s="1" t="s">
        <v>6894</v>
      </c>
      <c r="H4617" s="1" t="s">
        <v>44</v>
      </c>
      <c r="I4617" s="1" t="s">
        <v>5798</v>
      </c>
    </row>
    <row r="4618" spans="1:10">
      <c r="A4618" s="7" t="s">
        <v>6901</v>
      </c>
      <c r="B4618" s="1" t="s">
        <v>2628</v>
      </c>
      <c r="C4618" s="1">
        <v>321</v>
      </c>
      <c r="D4618" s="1" t="s">
        <v>52</v>
      </c>
      <c r="E4618" s="1" t="s">
        <v>6</v>
      </c>
      <c r="F4618" s="1" t="s">
        <v>5091</v>
      </c>
      <c r="G4618" s="1" t="s">
        <v>6894</v>
      </c>
      <c r="H4618" s="1" t="s">
        <v>44</v>
      </c>
      <c r="I4618" s="1" t="s">
        <v>5855</v>
      </c>
    </row>
    <row r="4619" spans="1:10">
      <c r="A4619" s="7" t="s">
        <v>6907</v>
      </c>
      <c r="B4619" s="1" t="s">
        <v>2628</v>
      </c>
      <c r="C4619" s="1">
        <v>321</v>
      </c>
      <c r="D4619" s="1" t="s">
        <v>52</v>
      </c>
      <c r="E4619" s="1" t="s">
        <v>6</v>
      </c>
      <c r="F4619" s="1" t="s">
        <v>5091</v>
      </c>
      <c r="G4619" s="1" t="s">
        <v>6186</v>
      </c>
      <c r="H4619" s="1" t="s">
        <v>5</v>
      </c>
      <c r="I4619" s="1" t="s">
        <v>6090</v>
      </c>
      <c r="J4619" s="1"/>
    </row>
    <row r="4620" spans="1:10">
      <c r="A4620" s="7" t="s">
        <v>6908</v>
      </c>
      <c r="B4620" s="1" t="s">
        <v>2628</v>
      </c>
      <c r="C4620" s="1">
        <v>321</v>
      </c>
      <c r="D4620" s="1" t="s">
        <v>52</v>
      </c>
      <c r="E4620" s="1" t="s">
        <v>6</v>
      </c>
      <c r="F4620" s="1" t="s">
        <v>5091</v>
      </c>
      <c r="G4620" s="1" t="s">
        <v>6909</v>
      </c>
      <c r="H4620" s="1" t="s">
        <v>43</v>
      </c>
      <c r="I4620" s="1" t="s">
        <v>6090</v>
      </c>
      <c r="J4620" s="17"/>
    </row>
    <row r="4621" spans="1:10">
      <c r="A4621" s="7" t="s">
        <v>7209</v>
      </c>
      <c r="B4621" s="1" t="s">
        <v>2628</v>
      </c>
      <c r="C4621" s="1">
        <v>2437</v>
      </c>
      <c r="D4621" s="1" t="s">
        <v>52</v>
      </c>
      <c r="E4621" s="1" t="s">
        <v>6</v>
      </c>
      <c r="F4621" s="1" t="s">
        <v>5091</v>
      </c>
      <c r="G4621" s="1" t="s">
        <v>6186</v>
      </c>
      <c r="H4621" s="1" t="s">
        <v>5</v>
      </c>
      <c r="I4621" s="1" t="s">
        <v>6090</v>
      </c>
      <c r="J4621" s="17"/>
    </row>
    <row r="4622" spans="1:10">
      <c r="A4622" s="7" t="s">
        <v>7238</v>
      </c>
      <c r="B4622" s="1" t="s">
        <v>2628</v>
      </c>
      <c r="C4622" s="1">
        <v>321</v>
      </c>
      <c r="D4622" s="1" t="s">
        <v>52</v>
      </c>
      <c r="E4622" s="1" t="s">
        <v>6</v>
      </c>
      <c r="F4622" s="1" t="s">
        <v>5091</v>
      </c>
      <c r="G4622" s="1" t="s">
        <v>6139</v>
      </c>
      <c r="H4622" s="1" t="s">
        <v>43</v>
      </c>
      <c r="I4622" s="1" t="s">
        <v>6090</v>
      </c>
      <c r="J4622" s="17"/>
    </row>
    <row r="4623" spans="1:10">
      <c r="A4623" s="7" t="s">
        <v>7239</v>
      </c>
      <c r="B4623" s="1" t="s">
        <v>2628</v>
      </c>
      <c r="C4623" s="1">
        <v>321</v>
      </c>
      <c r="D4623" s="1" t="s">
        <v>52</v>
      </c>
      <c r="E4623" s="1" t="s">
        <v>6</v>
      </c>
      <c r="F4623" s="1" t="s">
        <v>5091</v>
      </c>
      <c r="G4623" s="1" t="s">
        <v>6139</v>
      </c>
      <c r="H4623" s="1" t="s">
        <v>43</v>
      </c>
      <c r="I4623" s="1" t="s">
        <v>6090</v>
      </c>
      <c r="J4623" s="17"/>
    </row>
    <row r="4624" spans="1:10">
      <c r="A4624" s="16" t="s">
        <v>7245</v>
      </c>
      <c r="B4624" s="1" t="s">
        <v>2628</v>
      </c>
      <c r="C4624" s="1">
        <v>321</v>
      </c>
      <c r="D4624" s="1" t="s">
        <v>52</v>
      </c>
      <c r="E4624" s="1" t="s">
        <v>6</v>
      </c>
      <c r="F4624" s="1" t="s">
        <v>5091</v>
      </c>
      <c r="G4624" s="14" t="s">
        <v>6145</v>
      </c>
      <c r="H4624" s="1" t="s">
        <v>43</v>
      </c>
      <c r="I4624" s="17">
        <v>41610</v>
      </c>
    </row>
    <row r="4625" spans="1:9">
      <c r="A4625" s="16" t="s">
        <v>7246</v>
      </c>
      <c r="B4625" s="1" t="s">
        <v>2628</v>
      </c>
      <c r="C4625" s="1">
        <v>321</v>
      </c>
      <c r="D4625" s="1" t="s">
        <v>52</v>
      </c>
      <c r="E4625" s="1" t="s">
        <v>6</v>
      </c>
      <c r="F4625" s="1" t="s">
        <v>5091</v>
      </c>
      <c r="G4625" s="14" t="s">
        <v>6145</v>
      </c>
      <c r="H4625" s="1" t="s">
        <v>43</v>
      </c>
      <c r="I4625" s="17">
        <v>41610</v>
      </c>
    </row>
    <row r="4626" spans="1:9">
      <c r="A4626" s="16" t="s">
        <v>7247</v>
      </c>
      <c r="B4626" s="1" t="s">
        <v>2628</v>
      </c>
      <c r="C4626" s="1">
        <v>321</v>
      </c>
      <c r="D4626" s="1" t="s">
        <v>52</v>
      </c>
      <c r="E4626" s="1" t="s">
        <v>6</v>
      </c>
      <c r="F4626" s="1" t="s">
        <v>5091</v>
      </c>
      <c r="G4626" s="14" t="s">
        <v>6145</v>
      </c>
      <c r="H4626" s="1" t="s">
        <v>43</v>
      </c>
      <c r="I4626" s="17">
        <v>41610</v>
      </c>
    </row>
    <row r="4627" spans="1:9">
      <c r="A4627" s="16" t="s">
        <v>7249</v>
      </c>
      <c r="B4627" s="1" t="s">
        <v>2628</v>
      </c>
      <c r="C4627" s="1">
        <v>321</v>
      </c>
      <c r="D4627" s="1" t="s">
        <v>52</v>
      </c>
      <c r="E4627" s="1" t="s">
        <v>6</v>
      </c>
      <c r="F4627" s="1" t="s">
        <v>5091</v>
      </c>
      <c r="G4627" s="14" t="s">
        <v>6145</v>
      </c>
      <c r="H4627" s="1" t="s">
        <v>43</v>
      </c>
      <c r="I4627" s="17">
        <v>41610</v>
      </c>
    </row>
    <row r="4628" spans="1:9">
      <c r="A4628" s="16" t="s">
        <v>7250</v>
      </c>
      <c r="B4628" s="1" t="s">
        <v>2628</v>
      </c>
      <c r="C4628" s="1">
        <v>321</v>
      </c>
      <c r="D4628" s="1" t="s">
        <v>52</v>
      </c>
      <c r="E4628" s="1" t="s">
        <v>6</v>
      </c>
      <c r="F4628" s="1" t="s">
        <v>5091</v>
      </c>
      <c r="G4628" s="14" t="s">
        <v>6145</v>
      </c>
      <c r="H4628" s="1" t="s">
        <v>43</v>
      </c>
      <c r="I4628" s="17">
        <v>41610</v>
      </c>
    </row>
    <row r="4629" spans="1:9">
      <c r="A4629" s="16" t="s">
        <v>7251</v>
      </c>
      <c r="B4629" s="1" t="s">
        <v>2628</v>
      </c>
      <c r="C4629" s="1">
        <v>321</v>
      </c>
      <c r="D4629" s="1" t="s">
        <v>52</v>
      </c>
      <c r="E4629" s="1" t="s">
        <v>6</v>
      </c>
      <c r="F4629" s="1" t="s">
        <v>5091</v>
      </c>
      <c r="G4629" s="14" t="s">
        <v>6145</v>
      </c>
      <c r="H4629" s="1" t="s">
        <v>43</v>
      </c>
      <c r="I4629" s="17">
        <v>41610</v>
      </c>
    </row>
    <row r="4630" spans="1:9">
      <c r="A4630" s="16" t="s">
        <v>7254</v>
      </c>
      <c r="B4630" s="1" t="s">
        <v>2628</v>
      </c>
      <c r="C4630" s="1">
        <v>321</v>
      </c>
      <c r="D4630" s="1" t="s">
        <v>52</v>
      </c>
      <c r="E4630" s="1" t="s">
        <v>6</v>
      </c>
      <c r="F4630" s="1" t="s">
        <v>5091</v>
      </c>
      <c r="G4630" s="14" t="s">
        <v>6145</v>
      </c>
      <c r="H4630" s="1" t="s">
        <v>43</v>
      </c>
      <c r="I4630" s="17">
        <v>41610</v>
      </c>
    </row>
    <row r="4631" spans="1:9">
      <c r="A4631" s="16" t="s">
        <v>7257</v>
      </c>
      <c r="B4631" s="1" t="s">
        <v>2628</v>
      </c>
      <c r="C4631" s="1">
        <v>321</v>
      </c>
      <c r="D4631" s="1" t="s">
        <v>52</v>
      </c>
      <c r="E4631" s="1" t="s">
        <v>6</v>
      </c>
      <c r="F4631" s="1" t="s">
        <v>5091</v>
      </c>
      <c r="G4631" s="14" t="s">
        <v>6145</v>
      </c>
      <c r="H4631" s="1" t="s">
        <v>43</v>
      </c>
      <c r="I4631" s="17">
        <v>41610</v>
      </c>
    </row>
    <row r="4632" spans="1:9">
      <c r="A4632" s="16" t="s">
        <v>7258</v>
      </c>
      <c r="B4632" s="1" t="s">
        <v>2628</v>
      </c>
      <c r="C4632" s="1">
        <v>321</v>
      </c>
      <c r="D4632" s="1" t="s">
        <v>52</v>
      </c>
      <c r="E4632" s="1" t="s">
        <v>6</v>
      </c>
      <c r="F4632" s="1" t="s">
        <v>5091</v>
      </c>
      <c r="G4632" s="14" t="s">
        <v>7244</v>
      </c>
      <c r="H4632" s="1" t="s">
        <v>43</v>
      </c>
      <c r="I4632" s="17">
        <v>41611</v>
      </c>
    </row>
    <row r="4633" spans="1:9">
      <c r="A4633" s="16" t="s">
        <v>7259</v>
      </c>
      <c r="B4633" s="1" t="s">
        <v>2628</v>
      </c>
      <c r="C4633" s="1">
        <v>321</v>
      </c>
      <c r="D4633" s="1" t="s">
        <v>52</v>
      </c>
      <c r="E4633" s="1" t="s">
        <v>6</v>
      </c>
      <c r="F4633" s="1" t="s">
        <v>5091</v>
      </c>
      <c r="G4633" s="14" t="s">
        <v>6145</v>
      </c>
      <c r="H4633" s="1" t="s">
        <v>43</v>
      </c>
      <c r="I4633" s="17">
        <v>41610</v>
      </c>
    </row>
    <row r="4634" spans="1:9">
      <c r="A4634" s="16" t="s">
        <v>7260</v>
      </c>
      <c r="B4634" s="1" t="s">
        <v>2628</v>
      </c>
      <c r="C4634" s="1">
        <v>321</v>
      </c>
      <c r="D4634" s="1" t="s">
        <v>52</v>
      </c>
      <c r="E4634" s="1" t="s">
        <v>6</v>
      </c>
      <c r="F4634" s="1" t="s">
        <v>5091</v>
      </c>
      <c r="G4634" s="14" t="s">
        <v>6145</v>
      </c>
      <c r="H4634" s="1" t="s">
        <v>43</v>
      </c>
      <c r="I4634" s="17">
        <v>41610</v>
      </c>
    </row>
    <row r="4635" spans="1:9">
      <c r="A4635" s="16" t="s">
        <v>7261</v>
      </c>
      <c r="B4635" s="1" t="s">
        <v>2628</v>
      </c>
      <c r="C4635" s="1">
        <v>321</v>
      </c>
      <c r="D4635" s="1" t="s">
        <v>52</v>
      </c>
      <c r="E4635" s="1" t="s">
        <v>6</v>
      </c>
      <c r="F4635" s="1" t="s">
        <v>5091</v>
      </c>
      <c r="G4635" s="14" t="s">
        <v>6145</v>
      </c>
      <c r="H4635" s="1" t="s">
        <v>43</v>
      </c>
      <c r="I4635" s="17">
        <v>41610</v>
      </c>
    </row>
    <row r="4636" spans="1:9">
      <c r="A4636" s="16" t="s">
        <v>7263</v>
      </c>
      <c r="B4636" s="1" t="s">
        <v>2628</v>
      </c>
      <c r="C4636" s="1">
        <v>321</v>
      </c>
      <c r="D4636" s="1" t="s">
        <v>52</v>
      </c>
      <c r="E4636" s="1" t="s">
        <v>6</v>
      </c>
      <c r="F4636" s="1" t="s">
        <v>5091</v>
      </c>
      <c r="G4636" s="14" t="s">
        <v>6145</v>
      </c>
      <c r="H4636" s="1" t="s">
        <v>43</v>
      </c>
      <c r="I4636" s="17">
        <v>41610</v>
      </c>
    </row>
    <row r="4637" spans="1:9">
      <c r="A4637" s="16" t="s">
        <v>7264</v>
      </c>
      <c r="B4637" s="1" t="s">
        <v>2628</v>
      </c>
      <c r="C4637" s="1">
        <v>321</v>
      </c>
      <c r="D4637" s="1" t="s">
        <v>52</v>
      </c>
      <c r="E4637" s="1" t="s">
        <v>6</v>
      </c>
      <c r="F4637" s="1" t="s">
        <v>5091</v>
      </c>
      <c r="G4637" s="14" t="s">
        <v>6145</v>
      </c>
      <c r="H4637" s="1" t="s">
        <v>43</v>
      </c>
      <c r="I4637" s="17">
        <v>41610</v>
      </c>
    </row>
    <row r="4638" spans="1:9">
      <c r="A4638" s="16" t="s">
        <v>7265</v>
      </c>
      <c r="B4638" s="1" t="s">
        <v>2628</v>
      </c>
      <c r="C4638" s="1">
        <v>321</v>
      </c>
      <c r="D4638" s="1" t="s">
        <v>52</v>
      </c>
      <c r="E4638" s="1" t="s">
        <v>6</v>
      </c>
      <c r="F4638" s="1" t="s">
        <v>5091</v>
      </c>
      <c r="G4638" s="14" t="s">
        <v>7244</v>
      </c>
      <c r="H4638" s="1" t="s">
        <v>43</v>
      </c>
      <c r="I4638" s="17">
        <v>41611</v>
      </c>
    </row>
    <row r="4639" spans="1:9">
      <c r="A4639" s="16" t="s">
        <v>7266</v>
      </c>
      <c r="B4639" s="1" t="s">
        <v>2628</v>
      </c>
      <c r="C4639" s="1">
        <v>321</v>
      </c>
      <c r="D4639" s="1" t="s">
        <v>52</v>
      </c>
      <c r="E4639" s="1" t="s">
        <v>6</v>
      </c>
      <c r="F4639" s="1" t="s">
        <v>5091</v>
      </c>
      <c r="G4639" s="14" t="s">
        <v>7244</v>
      </c>
      <c r="H4639" s="1" t="s">
        <v>43</v>
      </c>
      <c r="I4639" s="17">
        <v>41611</v>
      </c>
    </row>
    <row r="4640" spans="1:9">
      <c r="A4640" s="16" t="s">
        <v>7268</v>
      </c>
      <c r="B4640" s="1" t="s">
        <v>2628</v>
      </c>
      <c r="C4640" s="1">
        <v>321</v>
      </c>
      <c r="D4640" s="1" t="s">
        <v>52</v>
      </c>
      <c r="E4640" s="1" t="s">
        <v>6</v>
      </c>
      <c r="F4640" s="1" t="s">
        <v>5091</v>
      </c>
      <c r="G4640" s="14" t="s">
        <v>6145</v>
      </c>
      <c r="H4640" s="1" t="s">
        <v>43</v>
      </c>
      <c r="I4640" s="17">
        <v>41610</v>
      </c>
    </row>
    <row r="4641" spans="1:10">
      <c r="A4641" s="16" t="s">
        <v>7269</v>
      </c>
      <c r="B4641" s="1" t="s">
        <v>2628</v>
      </c>
      <c r="C4641" s="1">
        <v>321</v>
      </c>
      <c r="D4641" s="1" t="s">
        <v>52</v>
      </c>
      <c r="E4641" s="1" t="s">
        <v>6</v>
      </c>
      <c r="F4641" s="1" t="s">
        <v>5091</v>
      </c>
      <c r="G4641" s="14" t="s">
        <v>6145</v>
      </c>
      <c r="H4641" s="1" t="s">
        <v>43</v>
      </c>
      <c r="I4641" s="17">
        <v>41610</v>
      </c>
    </row>
    <row r="4642" spans="1:10">
      <c r="A4642" s="16" t="s">
        <v>7270</v>
      </c>
      <c r="B4642" s="1" t="s">
        <v>2628</v>
      </c>
      <c r="C4642" s="1">
        <v>321</v>
      </c>
      <c r="D4642" s="1" t="s">
        <v>52</v>
      </c>
      <c r="E4642" s="1" t="s">
        <v>6</v>
      </c>
      <c r="F4642" s="1" t="s">
        <v>5091</v>
      </c>
      <c r="G4642" s="14" t="s">
        <v>7244</v>
      </c>
      <c r="H4642" s="1" t="s">
        <v>43</v>
      </c>
      <c r="I4642" s="17">
        <v>41611</v>
      </c>
    </row>
    <row r="4643" spans="1:10">
      <c r="A4643" s="7" t="s">
        <v>7278</v>
      </c>
      <c r="B4643" s="1" t="s">
        <v>2628</v>
      </c>
      <c r="C4643" s="1">
        <v>321</v>
      </c>
      <c r="D4643" s="1" t="s">
        <v>52</v>
      </c>
      <c r="E4643" s="1" t="s">
        <v>6</v>
      </c>
      <c r="F4643" s="1" t="s">
        <v>36</v>
      </c>
      <c r="G4643" s="1" t="s">
        <v>4803</v>
      </c>
      <c r="H4643" s="1" t="s">
        <v>5</v>
      </c>
      <c r="I4643" s="1" t="s">
        <v>5653</v>
      </c>
    </row>
    <row r="4644" spans="1:10">
      <c r="A4644" s="7" t="s">
        <v>7279</v>
      </c>
      <c r="B4644" s="1" t="s">
        <v>2628</v>
      </c>
      <c r="C4644" s="1">
        <v>321</v>
      </c>
      <c r="D4644" s="1" t="s">
        <v>52</v>
      </c>
      <c r="E4644" s="1" t="s">
        <v>6</v>
      </c>
      <c r="F4644" s="1" t="s">
        <v>36</v>
      </c>
      <c r="G4644" s="1" t="s">
        <v>4803</v>
      </c>
      <c r="H4644" s="1" t="s">
        <v>5</v>
      </c>
      <c r="I4644" s="1" t="s">
        <v>5653</v>
      </c>
    </row>
    <row r="4645" spans="1:10">
      <c r="A4645" s="7" t="s">
        <v>7296</v>
      </c>
      <c r="B4645" s="1" t="s">
        <v>2628</v>
      </c>
      <c r="C4645" s="1">
        <v>321</v>
      </c>
      <c r="D4645" s="1" t="s">
        <v>52</v>
      </c>
      <c r="E4645" s="1" t="s">
        <v>6</v>
      </c>
      <c r="F4645" s="1" t="s">
        <v>36</v>
      </c>
      <c r="G4645" s="1" t="s">
        <v>1446</v>
      </c>
      <c r="H4645" s="1" t="s">
        <v>44</v>
      </c>
      <c r="I4645" s="1" t="s">
        <v>5653</v>
      </c>
    </row>
    <row r="4646" spans="1:10">
      <c r="A4646" s="7" t="s">
        <v>7297</v>
      </c>
      <c r="B4646" s="1" t="s">
        <v>2628</v>
      </c>
      <c r="C4646" s="1">
        <v>321</v>
      </c>
      <c r="D4646" s="1" t="s">
        <v>52</v>
      </c>
      <c r="E4646" s="1" t="s">
        <v>6</v>
      </c>
      <c r="F4646" s="1" t="s">
        <v>36</v>
      </c>
      <c r="G4646" s="1" t="s">
        <v>1446</v>
      </c>
      <c r="H4646" s="1" t="s">
        <v>44</v>
      </c>
      <c r="I4646" s="1" t="s">
        <v>5653</v>
      </c>
    </row>
    <row r="4647" spans="1:10">
      <c r="A4647" s="7" t="s">
        <v>7349</v>
      </c>
      <c r="B4647" s="1" t="s">
        <v>2628</v>
      </c>
      <c r="C4647" s="1">
        <v>321</v>
      </c>
      <c r="D4647" s="1" t="s">
        <v>52</v>
      </c>
      <c r="E4647" s="1" t="s">
        <v>6</v>
      </c>
      <c r="F4647" s="1" t="s">
        <v>5091</v>
      </c>
      <c r="G4647" s="1" t="s">
        <v>6181</v>
      </c>
      <c r="H4647" s="1" t="s">
        <v>118</v>
      </c>
      <c r="I4647" s="1" t="s">
        <v>4458</v>
      </c>
    </row>
    <row r="4648" spans="1:10">
      <c r="A4648" s="7" t="s">
        <v>7366</v>
      </c>
      <c r="B4648" s="1" t="s">
        <v>2628</v>
      </c>
      <c r="C4648" s="1">
        <v>321</v>
      </c>
      <c r="D4648" s="1" t="s">
        <v>52</v>
      </c>
      <c r="E4648" s="1" t="s">
        <v>6</v>
      </c>
      <c r="F4648" s="1" t="s">
        <v>5091</v>
      </c>
      <c r="G4648" s="1" t="s">
        <v>6186</v>
      </c>
      <c r="H4648" s="1" t="s">
        <v>5</v>
      </c>
      <c r="I4648" s="1" t="s">
        <v>6090</v>
      </c>
      <c r="J4648" s="17"/>
    </row>
    <row r="4649" spans="1:10">
      <c r="A4649" s="16" t="s">
        <v>7372</v>
      </c>
      <c r="B4649" s="1" t="s">
        <v>2628</v>
      </c>
      <c r="C4649" s="1">
        <v>321</v>
      </c>
      <c r="D4649" s="1" t="s">
        <v>52</v>
      </c>
      <c r="E4649" s="1" t="s">
        <v>6</v>
      </c>
      <c r="F4649" s="1" t="s">
        <v>36</v>
      </c>
      <c r="G4649" s="14" t="s">
        <v>2387</v>
      </c>
      <c r="H4649" s="1" t="s">
        <v>5</v>
      </c>
      <c r="I4649" s="17">
        <v>41626</v>
      </c>
    </row>
    <row r="4650" spans="1:10">
      <c r="A4650" s="16" t="s">
        <v>7373</v>
      </c>
      <c r="B4650" s="1" t="s">
        <v>2628</v>
      </c>
      <c r="C4650" s="1">
        <v>321</v>
      </c>
      <c r="D4650" s="1" t="s">
        <v>52</v>
      </c>
      <c r="E4650" s="1" t="s">
        <v>6</v>
      </c>
      <c r="F4650" s="1" t="s">
        <v>5091</v>
      </c>
      <c r="G4650" s="14" t="s">
        <v>6145</v>
      </c>
      <c r="H4650" s="1" t="s">
        <v>43</v>
      </c>
      <c r="I4650" s="17">
        <v>41618</v>
      </c>
    </row>
    <row r="4651" spans="1:10">
      <c r="A4651" s="16" t="s">
        <v>7425</v>
      </c>
      <c r="B4651" s="1" t="s">
        <v>2628</v>
      </c>
      <c r="C4651" s="1">
        <v>321</v>
      </c>
      <c r="D4651" s="1" t="s">
        <v>52</v>
      </c>
      <c r="E4651" s="1" t="s">
        <v>6</v>
      </c>
      <c r="F4651" s="1" t="s">
        <v>5091</v>
      </c>
      <c r="G4651" s="14" t="s">
        <v>6145</v>
      </c>
      <c r="H4651" s="1" t="s">
        <v>43</v>
      </c>
      <c r="I4651" s="17">
        <v>41456</v>
      </c>
    </row>
    <row r="4652" spans="1:10">
      <c r="A4652" s="16" t="s">
        <v>7436</v>
      </c>
      <c r="B4652" s="1" t="s">
        <v>2628</v>
      </c>
      <c r="C4652" s="1">
        <v>321</v>
      </c>
      <c r="D4652" s="1" t="s">
        <v>52</v>
      </c>
      <c r="E4652" s="1" t="s">
        <v>6</v>
      </c>
      <c r="F4652" s="1" t="s">
        <v>5091</v>
      </c>
      <c r="G4652" s="14" t="s">
        <v>6145</v>
      </c>
      <c r="H4652" s="1" t="s">
        <v>43</v>
      </c>
      <c r="I4652" s="17">
        <v>41426</v>
      </c>
    </row>
    <row r="4653" spans="1:10">
      <c r="A4653" s="7" t="s">
        <v>7450</v>
      </c>
      <c r="B4653" s="1" t="s">
        <v>2628</v>
      </c>
      <c r="C4653" s="1">
        <v>321</v>
      </c>
      <c r="D4653" s="1" t="s">
        <v>52</v>
      </c>
      <c r="E4653" s="1" t="s">
        <v>6</v>
      </c>
      <c r="F4653" s="1" t="s">
        <v>5091</v>
      </c>
      <c r="G4653" s="1" t="s">
        <v>6186</v>
      </c>
      <c r="H4653" s="1" t="s">
        <v>5</v>
      </c>
      <c r="I4653" s="1" t="s">
        <v>6090</v>
      </c>
      <c r="J4653" s="17"/>
    </row>
    <row r="4654" spans="1:10">
      <c r="A4654" s="7" t="s">
        <v>7523</v>
      </c>
      <c r="B4654" s="1" t="s">
        <v>2628</v>
      </c>
      <c r="C4654" s="1">
        <v>321</v>
      </c>
      <c r="D4654" s="1" t="s">
        <v>52</v>
      </c>
      <c r="E4654" s="1" t="s">
        <v>6</v>
      </c>
      <c r="F4654" s="1" t="s">
        <v>5091</v>
      </c>
      <c r="G4654" s="1" t="s">
        <v>6181</v>
      </c>
      <c r="H4654" s="1" t="s">
        <v>118</v>
      </c>
      <c r="I4654" s="1" t="s">
        <v>4458</v>
      </c>
    </row>
    <row r="4655" spans="1:10">
      <c r="A4655" s="7" t="s">
        <v>7524</v>
      </c>
      <c r="B4655" s="1" t="s">
        <v>2631</v>
      </c>
      <c r="C4655" s="1">
        <v>321</v>
      </c>
      <c r="D4655" s="1" t="s">
        <v>52</v>
      </c>
      <c r="E4655" s="1" t="s">
        <v>6</v>
      </c>
      <c r="F4655" s="1" t="s">
        <v>5241</v>
      </c>
      <c r="G4655" s="1" t="s">
        <v>4803</v>
      </c>
      <c r="H4655" s="1" t="s">
        <v>5</v>
      </c>
      <c r="I4655" s="1" t="s">
        <v>6090</v>
      </c>
      <c r="J4655" s="17"/>
    </row>
    <row r="4656" spans="1:10">
      <c r="A4656" s="7" t="s">
        <v>7525</v>
      </c>
      <c r="B4656" s="1" t="s">
        <v>2631</v>
      </c>
      <c r="C4656" s="1">
        <v>321</v>
      </c>
      <c r="D4656" s="1" t="s">
        <v>52</v>
      </c>
      <c r="E4656" s="1" t="s">
        <v>6</v>
      </c>
      <c r="F4656" s="1" t="s">
        <v>5241</v>
      </c>
      <c r="G4656" s="1" t="s">
        <v>4803</v>
      </c>
      <c r="H4656" s="1" t="s">
        <v>5</v>
      </c>
      <c r="I4656" s="1" t="s">
        <v>6090</v>
      </c>
      <c r="J4656" s="17"/>
    </row>
    <row r="4657" spans="1:10">
      <c r="A4657" s="7" t="s">
        <v>7526</v>
      </c>
      <c r="B4657" s="1" t="s">
        <v>2631</v>
      </c>
      <c r="C4657" s="1">
        <v>321</v>
      </c>
      <c r="D4657" s="1" t="s">
        <v>52</v>
      </c>
      <c r="E4657" s="1" t="s">
        <v>6</v>
      </c>
      <c r="F4657" s="1" t="s">
        <v>5241</v>
      </c>
      <c r="G4657" s="1" t="s">
        <v>4803</v>
      </c>
      <c r="H4657" s="1" t="s">
        <v>5</v>
      </c>
      <c r="I4657" s="1" t="s">
        <v>6090</v>
      </c>
      <c r="J4657" s="17"/>
    </row>
    <row r="4658" spans="1:10">
      <c r="A4658" s="7" t="s">
        <v>7527</v>
      </c>
      <c r="B4658" s="1" t="s">
        <v>2631</v>
      </c>
      <c r="C4658" s="1">
        <v>321</v>
      </c>
      <c r="D4658" s="1" t="s">
        <v>52</v>
      </c>
      <c r="E4658" s="1" t="s">
        <v>6</v>
      </c>
      <c r="F4658" s="1" t="s">
        <v>5241</v>
      </c>
      <c r="G4658" s="1" t="s">
        <v>4803</v>
      </c>
      <c r="H4658" s="1" t="s">
        <v>5</v>
      </c>
      <c r="I4658" s="1" t="s">
        <v>6090</v>
      </c>
      <c r="J4658" s="17"/>
    </row>
    <row r="4659" spans="1:10">
      <c r="A4659" s="7" t="s">
        <v>7528</v>
      </c>
      <c r="B4659" s="1" t="s">
        <v>2631</v>
      </c>
      <c r="C4659" s="1">
        <v>321</v>
      </c>
      <c r="D4659" s="1" t="s">
        <v>52</v>
      </c>
      <c r="E4659" s="1" t="s">
        <v>6</v>
      </c>
      <c r="F4659" s="1" t="s">
        <v>5241</v>
      </c>
      <c r="G4659" s="1" t="s">
        <v>4803</v>
      </c>
      <c r="H4659" s="1" t="s">
        <v>5</v>
      </c>
      <c r="I4659" s="1" t="s">
        <v>6090</v>
      </c>
      <c r="J4659" s="17"/>
    </row>
    <row r="4660" spans="1:10">
      <c r="A4660" s="7" t="s">
        <v>7529</v>
      </c>
      <c r="B4660" s="1" t="s">
        <v>2631</v>
      </c>
      <c r="C4660" s="1">
        <v>321</v>
      </c>
      <c r="D4660" s="1" t="s">
        <v>52</v>
      </c>
      <c r="E4660" s="1" t="s">
        <v>6</v>
      </c>
      <c r="F4660" s="1" t="s">
        <v>5241</v>
      </c>
      <c r="G4660" s="1" t="s">
        <v>4803</v>
      </c>
      <c r="H4660" s="1" t="s">
        <v>5</v>
      </c>
      <c r="I4660" s="1" t="s">
        <v>6090</v>
      </c>
      <c r="J4660" s="17"/>
    </row>
    <row r="4661" spans="1:10">
      <c r="A4661" s="7" t="s">
        <v>7530</v>
      </c>
      <c r="B4661" s="1" t="s">
        <v>2631</v>
      </c>
      <c r="C4661" s="1">
        <v>321</v>
      </c>
      <c r="D4661" s="1" t="s">
        <v>52</v>
      </c>
      <c r="E4661" s="1" t="s">
        <v>6</v>
      </c>
      <c r="F4661" s="1" t="s">
        <v>5241</v>
      </c>
      <c r="G4661" s="1" t="s">
        <v>4803</v>
      </c>
      <c r="H4661" s="1" t="s">
        <v>5</v>
      </c>
      <c r="I4661" s="1" t="s">
        <v>6090</v>
      </c>
      <c r="J4661" s="17"/>
    </row>
    <row r="4662" spans="1:10">
      <c r="A4662" s="7" t="s">
        <v>7531</v>
      </c>
      <c r="B4662" s="1" t="s">
        <v>2631</v>
      </c>
      <c r="C4662" s="1">
        <v>321</v>
      </c>
      <c r="D4662" s="1" t="s">
        <v>52</v>
      </c>
      <c r="E4662" s="1" t="s">
        <v>6</v>
      </c>
      <c r="F4662" s="1" t="s">
        <v>5241</v>
      </c>
      <c r="G4662" s="1" t="s">
        <v>4803</v>
      </c>
      <c r="H4662" s="1" t="s">
        <v>5</v>
      </c>
      <c r="I4662" s="1" t="s">
        <v>6090</v>
      </c>
      <c r="J4662" s="17"/>
    </row>
    <row r="4663" spans="1:10">
      <c r="A4663" s="7" t="s">
        <v>7532</v>
      </c>
      <c r="B4663" s="1" t="s">
        <v>2631</v>
      </c>
      <c r="C4663" s="1">
        <v>321</v>
      </c>
      <c r="D4663" s="1" t="s">
        <v>52</v>
      </c>
      <c r="E4663" s="1" t="s">
        <v>6</v>
      </c>
      <c r="F4663" s="1" t="s">
        <v>5241</v>
      </c>
      <c r="G4663" s="1" t="s">
        <v>4803</v>
      </c>
      <c r="H4663" s="1" t="s">
        <v>5</v>
      </c>
      <c r="I4663" s="1" t="s">
        <v>6090</v>
      </c>
      <c r="J4663" s="17"/>
    </row>
    <row r="4664" spans="1:10">
      <c r="A4664" s="7" t="s">
        <v>7533</v>
      </c>
      <c r="B4664" s="1" t="s">
        <v>2631</v>
      </c>
      <c r="C4664" s="1">
        <v>321</v>
      </c>
      <c r="D4664" s="1" t="s">
        <v>52</v>
      </c>
      <c r="E4664" s="1" t="s">
        <v>6</v>
      </c>
      <c r="F4664" s="1" t="s">
        <v>5241</v>
      </c>
      <c r="G4664" s="1" t="s">
        <v>4803</v>
      </c>
      <c r="H4664" s="1" t="s">
        <v>5</v>
      </c>
      <c r="I4664" s="1" t="s">
        <v>6090</v>
      </c>
      <c r="J4664" s="17"/>
    </row>
    <row r="4665" spans="1:10">
      <c r="A4665" s="7" t="s">
        <v>7534</v>
      </c>
      <c r="B4665" s="1" t="s">
        <v>2631</v>
      </c>
      <c r="C4665" s="1">
        <v>321</v>
      </c>
      <c r="D4665" s="1" t="s">
        <v>52</v>
      </c>
      <c r="E4665" s="1" t="s">
        <v>6</v>
      </c>
      <c r="F4665" s="1" t="s">
        <v>5241</v>
      </c>
      <c r="G4665" s="1" t="s">
        <v>4803</v>
      </c>
      <c r="H4665" s="1" t="s">
        <v>5</v>
      </c>
      <c r="I4665" s="1" t="s">
        <v>6090</v>
      </c>
      <c r="J4665" s="17"/>
    </row>
    <row r="4666" spans="1:10">
      <c r="A4666" s="7" t="s">
        <v>7535</v>
      </c>
      <c r="B4666" s="1" t="s">
        <v>2631</v>
      </c>
      <c r="C4666" s="1">
        <v>321</v>
      </c>
      <c r="D4666" s="1" t="s">
        <v>52</v>
      </c>
      <c r="E4666" s="1" t="s">
        <v>6</v>
      </c>
      <c r="F4666" s="1" t="s">
        <v>5241</v>
      </c>
      <c r="G4666" s="1" t="s">
        <v>4803</v>
      </c>
      <c r="H4666" s="1" t="s">
        <v>5</v>
      </c>
      <c r="I4666" s="1" t="s">
        <v>6090</v>
      </c>
      <c r="J4666" s="17"/>
    </row>
    <row r="4667" spans="1:10">
      <c r="A4667" s="7" t="s">
        <v>7536</v>
      </c>
      <c r="B4667" s="1" t="s">
        <v>2631</v>
      </c>
      <c r="C4667" s="1">
        <v>321</v>
      </c>
      <c r="D4667" s="1" t="s">
        <v>52</v>
      </c>
      <c r="E4667" s="1" t="s">
        <v>6</v>
      </c>
      <c r="F4667" s="1" t="s">
        <v>5241</v>
      </c>
      <c r="G4667" s="1" t="s">
        <v>4803</v>
      </c>
      <c r="H4667" s="1" t="s">
        <v>5</v>
      </c>
      <c r="I4667" s="1" t="s">
        <v>6090</v>
      </c>
      <c r="J4667" s="17"/>
    </row>
    <row r="4668" spans="1:10">
      <c r="A4668" s="7" t="s">
        <v>7537</v>
      </c>
      <c r="B4668" s="1" t="s">
        <v>2631</v>
      </c>
      <c r="C4668" s="1">
        <v>321</v>
      </c>
      <c r="D4668" s="1" t="s">
        <v>52</v>
      </c>
      <c r="E4668" s="1" t="s">
        <v>6</v>
      </c>
      <c r="F4668" s="1" t="s">
        <v>5241</v>
      </c>
      <c r="G4668" s="1" t="s">
        <v>4803</v>
      </c>
      <c r="H4668" s="1" t="s">
        <v>5</v>
      </c>
      <c r="I4668" s="1" t="s">
        <v>6090</v>
      </c>
      <c r="J4668" s="17"/>
    </row>
    <row r="4669" spans="1:10">
      <c r="A4669" s="7" t="s">
        <v>7538</v>
      </c>
      <c r="B4669" s="1" t="s">
        <v>2631</v>
      </c>
      <c r="C4669" s="1">
        <v>321</v>
      </c>
      <c r="D4669" s="1" t="s">
        <v>52</v>
      </c>
      <c r="E4669" s="1" t="s">
        <v>6</v>
      </c>
      <c r="F4669" s="1" t="s">
        <v>5241</v>
      </c>
      <c r="G4669" s="1" t="s">
        <v>4803</v>
      </c>
      <c r="H4669" s="1" t="s">
        <v>5</v>
      </c>
      <c r="I4669" s="1" t="s">
        <v>6090</v>
      </c>
      <c r="J4669" s="17"/>
    </row>
    <row r="4670" spans="1:10">
      <c r="A4670" s="7" t="s">
        <v>7539</v>
      </c>
      <c r="B4670" s="1" t="s">
        <v>2631</v>
      </c>
      <c r="C4670" s="1">
        <v>321</v>
      </c>
      <c r="D4670" s="1" t="s">
        <v>52</v>
      </c>
      <c r="E4670" s="1" t="s">
        <v>6</v>
      </c>
      <c r="F4670" s="1" t="s">
        <v>5241</v>
      </c>
      <c r="G4670" s="1" t="s">
        <v>4803</v>
      </c>
      <c r="H4670" s="1" t="s">
        <v>5</v>
      </c>
      <c r="I4670" s="1" t="s">
        <v>6090</v>
      </c>
      <c r="J4670" s="17"/>
    </row>
    <row r="4671" spans="1:10">
      <c r="A4671" s="7" t="s">
        <v>7612</v>
      </c>
      <c r="B4671" s="1" t="s">
        <v>2628</v>
      </c>
      <c r="C4671" s="1">
        <v>321</v>
      </c>
      <c r="D4671" s="1" t="s">
        <v>52</v>
      </c>
      <c r="E4671" s="1" t="s">
        <v>6</v>
      </c>
      <c r="F4671" s="1" t="s">
        <v>5091</v>
      </c>
      <c r="G4671" s="1" t="s">
        <v>6181</v>
      </c>
      <c r="H4671" s="1" t="s">
        <v>118</v>
      </c>
      <c r="I4671" s="1" t="s">
        <v>4458</v>
      </c>
    </row>
    <row r="4672" spans="1:10">
      <c r="A4672" s="7" t="s">
        <v>7617</v>
      </c>
      <c r="B4672" s="1" t="s">
        <v>2628</v>
      </c>
      <c r="C4672" s="1">
        <v>321</v>
      </c>
      <c r="D4672" s="1" t="s">
        <v>52</v>
      </c>
      <c r="E4672" s="1" t="s">
        <v>6</v>
      </c>
      <c r="F4672" s="1" t="s">
        <v>5091</v>
      </c>
      <c r="G4672" s="1" t="s">
        <v>6186</v>
      </c>
      <c r="H4672" s="1" t="s">
        <v>5</v>
      </c>
      <c r="I4672" s="1" t="s">
        <v>6090</v>
      </c>
      <c r="J4672" s="17"/>
    </row>
    <row r="4673" spans="1:10">
      <c r="A4673" s="7" t="s">
        <v>7627</v>
      </c>
      <c r="B4673" s="1" t="s">
        <v>2628</v>
      </c>
      <c r="C4673" s="1">
        <v>321</v>
      </c>
      <c r="D4673" s="1" t="s">
        <v>52</v>
      </c>
      <c r="E4673" s="1" t="s">
        <v>6</v>
      </c>
      <c r="F4673" s="1" t="s">
        <v>5091</v>
      </c>
      <c r="G4673" s="1" t="s">
        <v>6530</v>
      </c>
      <c r="H4673" s="1" t="s">
        <v>43</v>
      </c>
      <c r="I4673" s="1">
        <v>2008</v>
      </c>
    </row>
    <row r="4674" spans="1:10">
      <c r="A4674" s="7" t="s">
        <v>7634</v>
      </c>
      <c r="B4674" s="1" t="s">
        <v>2628</v>
      </c>
      <c r="C4674" s="1">
        <v>321</v>
      </c>
      <c r="D4674" s="1" t="s">
        <v>52</v>
      </c>
      <c r="E4674" s="1" t="s">
        <v>6</v>
      </c>
      <c r="F4674" s="1" t="s">
        <v>5091</v>
      </c>
      <c r="G4674" s="1" t="s">
        <v>6530</v>
      </c>
      <c r="H4674" s="1" t="s">
        <v>43</v>
      </c>
      <c r="I4674" s="1">
        <v>2008</v>
      </c>
    </row>
    <row r="4675" spans="1:10">
      <c r="A4675" s="7" t="s">
        <v>7636</v>
      </c>
      <c r="B4675" s="1" t="s">
        <v>2628</v>
      </c>
      <c r="C4675" s="1">
        <v>321</v>
      </c>
      <c r="D4675" s="1" t="s">
        <v>52</v>
      </c>
      <c r="E4675" s="1" t="s">
        <v>6</v>
      </c>
      <c r="F4675" s="1" t="s">
        <v>5091</v>
      </c>
      <c r="G4675" s="1" t="s">
        <v>7637</v>
      </c>
      <c r="H4675" s="1" t="s">
        <v>43</v>
      </c>
      <c r="I4675" s="1" t="s">
        <v>6090</v>
      </c>
      <c r="J4675" s="17"/>
    </row>
    <row r="4676" spans="1:10">
      <c r="A4676" s="7" t="s">
        <v>7657</v>
      </c>
      <c r="B4676" s="1" t="s">
        <v>2628</v>
      </c>
      <c r="C4676" s="1">
        <v>321</v>
      </c>
      <c r="D4676" s="1" t="s">
        <v>52</v>
      </c>
      <c r="E4676" s="1" t="s">
        <v>6</v>
      </c>
      <c r="F4676" s="1" t="s">
        <v>5091</v>
      </c>
      <c r="G4676" s="1" t="s">
        <v>7658</v>
      </c>
      <c r="H4676" s="1" t="s">
        <v>43</v>
      </c>
      <c r="I4676" s="1" t="s">
        <v>6090</v>
      </c>
      <c r="J4676" s="17"/>
    </row>
    <row r="4677" spans="1:10">
      <c r="A4677" s="7" t="s">
        <v>7659</v>
      </c>
      <c r="B4677" s="1" t="s">
        <v>2628</v>
      </c>
      <c r="C4677" s="1">
        <v>321</v>
      </c>
      <c r="D4677" s="1" t="s">
        <v>52</v>
      </c>
      <c r="E4677" s="1" t="s">
        <v>6</v>
      </c>
      <c r="F4677" s="1" t="s">
        <v>5091</v>
      </c>
      <c r="G4677" s="1" t="s">
        <v>7660</v>
      </c>
      <c r="H4677" s="1" t="s">
        <v>43</v>
      </c>
      <c r="I4677" s="1" t="s">
        <v>6090</v>
      </c>
      <c r="J4677" s="17"/>
    </row>
    <row r="4678" spans="1:10">
      <c r="A4678" s="16" t="s">
        <v>7785</v>
      </c>
      <c r="B4678" s="1" t="s">
        <v>2628</v>
      </c>
      <c r="C4678" s="1">
        <v>321</v>
      </c>
      <c r="D4678" s="1" t="s">
        <v>52</v>
      </c>
      <c r="E4678" s="1" t="s">
        <v>6</v>
      </c>
      <c r="F4678" s="1" t="s">
        <v>5091</v>
      </c>
      <c r="G4678" s="14" t="s">
        <v>6145</v>
      </c>
      <c r="H4678" s="1" t="s">
        <v>43</v>
      </c>
      <c r="I4678" s="17">
        <v>41617</v>
      </c>
    </row>
    <row r="4679" spans="1:10">
      <c r="A4679" s="16" t="s">
        <v>7786</v>
      </c>
      <c r="B4679" s="1" t="s">
        <v>2628</v>
      </c>
      <c r="C4679" s="1">
        <v>321</v>
      </c>
      <c r="D4679" s="1" t="s">
        <v>52</v>
      </c>
      <c r="E4679" s="1" t="s">
        <v>6</v>
      </c>
      <c r="F4679" s="1" t="s">
        <v>5091</v>
      </c>
      <c r="G4679" s="14" t="s">
        <v>6145</v>
      </c>
      <c r="H4679" s="1" t="s">
        <v>43</v>
      </c>
      <c r="I4679" s="17">
        <v>41596</v>
      </c>
    </row>
    <row r="4680" spans="1:10">
      <c r="A4680" s="16" t="s">
        <v>7790</v>
      </c>
      <c r="B4680" s="1" t="s">
        <v>2628</v>
      </c>
      <c r="C4680" s="1">
        <v>321</v>
      </c>
      <c r="D4680" s="1" t="s">
        <v>52</v>
      </c>
      <c r="E4680" s="1" t="s">
        <v>6</v>
      </c>
      <c r="F4680" s="1" t="s">
        <v>5091</v>
      </c>
      <c r="G4680" s="14" t="s">
        <v>6145</v>
      </c>
      <c r="H4680" s="1" t="s">
        <v>43</v>
      </c>
      <c r="I4680" s="17">
        <v>41617</v>
      </c>
    </row>
    <row r="4681" spans="1:10">
      <c r="A4681" s="16" t="s">
        <v>7795</v>
      </c>
      <c r="B4681" s="1" t="s">
        <v>2628</v>
      </c>
      <c r="C4681" s="1">
        <v>321</v>
      </c>
      <c r="D4681" s="1" t="s">
        <v>52</v>
      </c>
      <c r="E4681" s="1" t="s">
        <v>6</v>
      </c>
      <c r="F4681" s="1" t="s">
        <v>5091</v>
      </c>
      <c r="G4681" s="14" t="s">
        <v>6145</v>
      </c>
      <c r="H4681" s="1" t="s">
        <v>43</v>
      </c>
      <c r="I4681" s="17">
        <v>41617</v>
      </c>
    </row>
    <row r="4682" spans="1:10">
      <c r="A4682" s="16" t="s">
        <v>7796</v>
      </c>
      <c r="B4682" s="1" t="s">
        <v>2628</v>
      </c>
      <c r="C4682" s="1">
        <v>321</v>
      </c>
      <c r="D4682" s="1" t="s">
        <v>52</v>
      </c>
      <c r="E4682" s="1" t="s">
        <v>6</v>
      </c>
      <c r="F4682" s="1" t="s">
        <v>5091</v>
      </c>
      <c r="G4682" s="14" t="s">
        <v>6145</v>
      </c>
      <c r="H4682" s="1" t="s">
        <v>43</v>
      </c>
      <c r="I4682" s="17">
        <v>41617</v>
      </c>
    </row>
    <row r="4683" spans="1:10">
      <c r="A4683" s="16" t="s">
        <v>7798</v>
      </c>
      <c r="B4683" s="1" t="s">
        <v>2628</v>
      </c>
      <c r="C4683" s="1">
        <v>321</v>
      </c>
      <c r="D4683" s="1" t="s">
        <v>52</v>
      </c>
      <c r="E4683" s="1" t="s">
        <v>6</v>
      </c>
      <c r="F4683" s="1" t="s">
        <v>5091</v>
      </c>
      <c r="G4683" s="14" t="s">
        <v>6145</v>
      </c>
      <c r="H4683" s="1" t="s">
        <v>43</v>
      </c>
      <c r="I4683" s="17">
        <v>41617</v>
      </c>
    </row>
    <row r="4684" spans="1:10">
      <c r="A4684" s="16" t="s">
        <v>7850</v>
      </c>
      <c r="B4684" s="1" t="s">
        <v>2628</v>
      </c>
      <c r="C4684" s="1">
        <v>321</v>
      </c>
      <c r="D4684" s="1" t="s">
        <v>52</v>
      </c>
      <c r="E4684" s="1" t="s">
        <v>6</v>
      </c>
      <c r="F4684" s="1" t="s">
        <v>5091</v>
      </c>
      <c r="G4684" s="14" t="s">
        <v>6145</v>
      </c>
      <c r="H4684" s="1" t="s">
        <v>43</v>
      </c>
      <c r="I4684" s="17">
        <v>41617</v>
      </c>
    </row>
    <row r="4685" spans="1:10">
      <c r="A4685" s="7" t="s">
        <v>7866</v>
      </c>
      <c r="B4685" s="1" t="s">
        <v>2628</v>
      </c>
      <c r="C4685" s="1">
        <v>321</v>
      </c>
      <c r="D4685" s="1" t="s">
        <v>52</v>
      </c>
      <c r="E4685" s="1" t="s">
        <v>6</v>
      </c>
      <c r="F4685" s="1" t="s">
        <v>5091</v>
      </c>
      <c r="G4685" s="1" t="s">
        <v>6181</v>
      </c>
      <c r="H4685" s="1" t="s">
        <v>118</v>
      </c>
      <c r="I4685" s="1" t="s">
        <v>4458</v>
      </c>
    </row>
    <row r="4686" spans="1:10">
      <c r="A4686" s="7" t="s">
        <v>8068</v>
      </c>
      <c r="B4686" s="1" t="s">
        <v>2628</v>
      </c>
      <c r="C4686" s="1">
        <v>321</v>
      </c>
      <c r="D4686" s="1" t="s">
        <v>52</v>
      </c>
      <c r="E4686" s="1" t="s">
        <v>6</v>
      </c>
      <c r="F4686" s="1" t="s">
        <v>5091</v>
      </c>
      <c r="G4686" s="1" t="s">
        <v>6139</v>
      </c>
      <c r="H4686" s="1" t="s">
        <v>43</v>
      </c>
      <c r="I4686" s="1" t="s">
        <v>6090</v>
      </c>
      <c r="J4686" s="17"/>
    </row>
    <row r="4687" spans="1:10">
      <c r="A4687" s="7" t="s">
        <v>8069</v>
      </c>
      <c r="B4687" s="1" t="s">
        <v>2628</v>
      </c>
      <c r="C4687" s="1">
        <v>321</v>
      </c>
      <c r="D4687" s="1" t="s">
        <v>52</v>
      </c>
      <c r="E4687" s="1" t="s">
        <v>6</v>
      </c>
      <c r="F4687" s="1" t="s">
        <v>5091</v>
      </c>
      <c r="G4687" s="1" t="s">
        <v>6139</v>
      </c>
      <c r="H4687" s="1" t="s">
        <v>43</v>
      </c>
      <c r="I4687" s="1" t="s">
        <v>6090</v>
      </c>
      <c r="J4687" s="17"/>
    </row>
    <row r="4688" spans="1:10">
      <c r="A4688" s="7" t="s">
        <v>8070</v>
      </c>
      <c r="B4688" s="1" t="s">
        <v>2628</v>
      </c>
      <c r="C4688" s="1">
        <v>321</v>
      </c>
      <c r="D4688" s="1" t="s">
        <v>52</v>
      </c>
      <c r="E4688" s="1" t="s">
        <v>6</v>
      </c>
      <c r="F4688" s="1" t="s">
        <v>118</v>
      </c>
      <c r="G4688" s="1" t="s">
        <v>6181</v>
      </c>
      <c r="H4688" s="1" t="s">
        <v>118</v>
      </c>
      <c r="I4688" s="1" t="s">
        <v>6090</v>
      </c>
      <c r="J4688" s="17"/>
    </row>
    <row r="4689" spans="1:10">
      <c r="A4689" s="7" t="s">
        <v>8084</v>
      </c>
      <c r="B4689" s="1" t="s">
        <v>2628</v>
      </c>
      <c r="C4689" s="1">
        <v>321</v>
      </c>
      <c r="D4689" s="1" t="s">
        <v>52</v>
      </c>
      <c r="E4689" s="1" t="s">
        <v>6</v>
      </c>
      <c r="F4689" s="1" t="s">
        <v>118</v>
      </c>
      <c r="G4689" s="1" t="s">
        <v>7985</v>
      </c>
      <c r="H4689" s="1" t="s">
        <v>5</v>
      </c>
      <c r="I4689" s="1" t="s">
        <v>6090</v>
      </c>
      <c r="J4689" s="17"/>
    </row>
    <row r="4690" spans="1:10">
      <c r="A4690" s="7" t="s">
        <v>8101</v>
      </c>
      <c r="B4690" s="1" t="s">
        <v>2628</v>
      </c>
      <c r="C4690" s="1">
        <v>321</v>
      </c>
      <c r="D4690" s="1" t="s">
        <v>52</v>
      </c>
      <c r="E4690" s="1" t="s">
        <v>6</v>
      </c>
      <c r="F4690" s="1" t="s">
        <v>5091</v>
      </c>
      <c r="G4690" s="1" t="s">
        <v>8102</v>
      </c>
      <c r="H4690" s="1" t="s">
        <v>43</v>
      </c>
      <c r="I4690" s="1">
        <v>2004</v>
      </c>
    </row>
    <row r="4691" spans="1:10">
      <c r="A4691" s="7" t="s">
        <v>8103</v>
      </c>
      <c r="B4691" s="1" t="s">
        <v>2628</v>
      </c>
      <c r="C4691" s="1">
        <v>321</v>
      </c>
      <c r="D4691" s="1" t="s">
        <v>52</v>
      </c>
      <c r="E4691" s="1" t="s">
        <v>6</v>
      </c>
      <c r="F4691" s="1" t="s">
        <v>5091</v>
      </c>
      <c r="G4691" s="1" t="s">
        <v>8102</v>
      </c>
      <c r="H4691" s="1" t="s">
        <v>43</v>
      </c>
      <c r="I4691" s="1">
        <v>2005</v>
      </c>
    </row>
    <row r="4692" spans="1:10">
      <c r="A4692" s="7" t="s">
        <v>8104</v>
      </c>
      <c r="B4692" s="1" t="s">
        <v>2628</v>
      </c>
      <c r="C4692" s="1">
        <v>321</v>
      </c>
      <c r="D4692" s="1" t="s">
        <v>52</v>
      </c>
      <c r="E4692" s="1" t="s">
        <v>6</v>
      </c>
      <c r="F4692" s="1" t="s">
        <v>5091</v>
      </c>
      <c r="G4692" s="1" t="s">
        <v>8102</v>
      </c>
      <c r="H4692" s="1" t="s">
        <v>43</v>
      </c>
      <c r="I4692" s="1">
        <v>2004</v>
      </c>
    </row>
    <row r="4693" spans="1:10">
      <c r="A4693" s="7" t="s">
        <v>8105</v>
      </c>
      <c r="B4693" s="1" t="s">
        <v>2628</v>
      </c>
      <c r="C4693" s="1">
        <v>321</v>
      </c>
      <c r="D4693" s="1" t="s">
        <v>52</v>
      </c>
      <c r="E4693" s="1" t="s">
        <v>6</v>
      </c>
      <c r="F4693" s="1" t="s">
        <v>5091</v>
      </c>
      <c r="G4693" s="1" t="s">
        <v>8102</v>
      </c>
      <c r="H4693" s="1" t="s">
        <v>43</v>
      </c>
      <c r="I4693" s="1">
        <v>2004</v>
      </c>
    </row>
    <row r="4694" spans="1:10">
      <c r="A4694" s="7" t="s">
        <v>8107</v>
      </c>
      <c r="B4694" s="1" t="s">
        <v>2628</v>
      </c>
      <c r="C4694" s="1">
        <v>321</v>
      </c>
      <c r="D4694" s="1" t="s">
        <v>52</v>
      </c>
      <c r="E4694" s="1" t="s">
        <v>6</v>
      </c>
      <c r="F4694" s="1" t="s">
        <v>5091</v>
      </c>
      <c r="G4694" s="1" t="s">
        <v>8102</v>
      </c>
      <c r="H4694" s="1" t="s">
        <v>43</v>
      </c>
      <c r="I4694" s="1">
        <v>2006</v>
      </c>
    </row>
    <row r="4695" spans="1:10">
      <c r="A4695" s="7" t="s">
        <v>8108</v>
      </c>
      <c r="B4695" s="1" t="s">
        <v>2628</v>
      </c>
      <c r="C4695" s="1">
        <v>321</v>
      </c>
      <c r="D4695" s="1" t="s">
        <v>52</v>
      </c>
      <c r="E4695" s="1" t="s">
        <v>6</v>
      </c>
      <c r="F4695" s="1" t="s">
        <v>5091</v>
      </c>
      <c r="G4695" s="1" t="s">
        <v>8102</v>
      </c>
      <c r="H4695" s="1" t="s">
        <v>43</v>
      </c>
      <c r="I4695" s="1">
        <v>2004</v>
      </c>
    </row>
    <row r="4696" spans="1:10">
      <c r="A4696" s="7" t="s">
        <v>8109</v>
      </c>
      <c r="B4696" s="1" t="s">
        <v>2628</v>
      </c>
      <c r="C4696" s="1">
        <v>321</v>
      </c>
      <c r="D4696" s="1" t="s">
        <v>52</v>
      </c>
      <c r="E4696" s="1" t="s">
        <v>6</v>
      </c>
      <c r="F4696" s="1" t="s">
        <v>5091</v>
      </c>
      <c r="G4696" s="1" t="s">
        <v>8110</v>
      </c>
      <c r="H4696" s="1" t="s">
        <v>43</v>
      </c>
      <c r="I4696" s="1" t="s">
        <v>8096</v>
      </c>
      <c r="J4696" s="1"/>
    </row>
    <row r="4697" spans="1:10">
      <c r="A4697" s="7" t="s">
        <v>8111</v>
      </c>
      <c r="B4697" s="1" t="s">
        <v>2628</v>
      </c>
      <c r="C4697" s="1">
        <v>321</v>
      </c>
      <c r="D4697" s="1" t="s">
        <v>52</v>
      </c>
      <c r="E4697" s="1" t="s">
        <v>6</v>
      </c>
      <c r="F4697" s="1" t="s">
        <v>5091</v>
      </c>
      <c r="G4697" s="1" t="s">
        <v>8110</v>
      </c>
      <c r="H4697" s="1" t="s">
        <v>43</v>
      </c>
      <c r="I4697" s="1" t="s">
        <v>8096</v>
      </c>
      <c r="J4697" s="17"/>
    </row>
    <row r="4698" spans="1:10">
      <c r="A4698" s="7" t="s">
        <v>8112</v>
      </c>
      <c r="B4698" s="1" t="s">
        <v>2628</v>
      </c>
      <c r="C4698" s="1">
        <v>321</v>
      </c>
      <c r="D4698" s="1" t="s">
        <v>52</v>
      </c>
      <c r="E4698" s="1" t="s">
        <v>6</v>
      </c>
      <c r="F4698" s="1" t="s">
        <v>5091</v>
      </c>
      <c r="G4698" s="1" t="s">
        <v>8110</v>
      </c>
      <c r="H4698" s="1" t="s">
        <v>43</v>
      </c>
      <c r="I4698" s="1" t="s">
        <v>8096</v>
      </c>
      <c r="J4698" s="17"/>
    </row>
    <row r="4699" spans="1:10">
      <c r="A4699" s="7" t="s">
        <v>8113</v>
      </c>
      <c r="B4699" s="1" t="s">
        <v>2628</v>
      </c>
      <c r="C4699" s="1">
        <v>321</v>
      </c>
      <c r="D4699" s="1" t="s">
        <v>52</v>
      </c>
      <c r="E4699" s="1" t="s">
        <v>6</v>
      </c>
      <c r="F4699" s="1" t="s">
        <v>5091</v>
      </c>
      <c r="G4699" s="1" t="s">
        <v>8110</v>
      </c>
      <c r="H4699" s="1" t="s">
        <v>43</v>
      </c>
      <c r="I4699" s="1" t="s">
        <v>8096</v>
      </c>
      <c r="J4699" s="17"/>
    </row>
    <row r="4700" spans="1:10">
      <c r="A4700" s="7" t="s">
        <v>8114</v>
      </c>
      <c r="B4700" s="1" t="s">
        <v>2628</v>
      </c>
      <c r="C4700" s="1">
        <v>321</v>
      </c>
      <c r="D4700" s="1" t="s">
        <v>52</v>
      </c>
      <c r="E4700" s="1" t="s">
        <v>6</v>
      </c>
      <c r="F4700" s="1" t="s">
        <v>5091</v>
      </c>
      <c r="G4700" s="1" t="s">
        <v>8110</v>
      </c>
      <c r="H4700" s="1" t="s">
        <v>43</v>
      </c>
      <c r="I4700" s="1" t="s">
        <v>8096</v>
      </c>
      <c r="J4700" s="1"/>
    </row>
    <row r="4701" spans="1:10">
      <c r="A4701" s="7" t="s">
        <v>8115</v>
      </c>
      <c r="B4701" s="1" t="s">
        <v>2628</v>
      </c>
      <c r="C4701" s="1">
        <v>321</v>
      </c>
      <c r="D4701" s="1" t="s">
        <v>52</v>
      </c>
      <c r="E4701" s="1" t="s">
        <v>6</v>
      </c>
      <c r="F4701" s="1" t="s">
        <v>5091</v>
      </c>
      <c r="G4701" s="1" t="s">
        <v>8110</v>
      </c>
      <c r="H4701" s="1" t="s">
        <v>43</v>
      </c>
      <c r="I4701" s="1" t="s">
        <v>8096</v>
      </c>
      <c r="J4701" s="17"/>
    </row>
    <row r="4702" spans="1:10">
      <c r="A4702" s="16" t="s">
        <v>8122</v>
      </c>
      <c r="B4702" s="1" t="s">
        <v>2628</v>
      </c>
      <c r="C4702" s="1">
        <v>321</v>
      </c>
      <c r="D4702" s="1" t="s">
        <v>52</v>
      </c>
      <c r="E4702" s="1" t="s">
        <v>6</v>
      </c>
      <c r="F4702" s="1" t="s">
        <v>5091</v>
      </c>
      <c r="G4702" s="14" t="s">
        <v>8123</v>
      </c>
      <c r="H4702" s="1" t="s">
        <v>5</v>
      </c>
      <c r="I4702" s="17">
        <v>41275</v>
      </c>
    </row>
    <row r="4703" spans="1:10">
      <c r="A4703" s="16" t="s">
        <v>8128</v>
      </c>
      <c r="B4703" s="1" t="s">
        <v>2628</v>
      </c>
      <c r="C4703" s="1">
        <v>321</v>
      </c>
      <c r="D4703" s="1" t="s">
        <v>52</v>
      </c>
      <c r="E4703" s="1" t="s">
        <v>6</v>
      </c>
      <c r="F4703" s="1" t="s">
        <v>5091</v>
      </c>
      <c r="G4703" s="14" t="s">
        <v>8125</v>
      </c>
      <c r="H4703" s="1" t="s">
        <v>43</v>
      </c>
      <c r="I4703" s="17">
        <v>41275</v>
      </c>
    </row>
    <row r="4704" spans="1:10">
      <c r="A4704" s="16" t="s">
        <v>8134</v>
      </c>
      <c r="B4704" s="1" t="s">
        <v>2628</v>
      </c>
      <c r="C4704" s="1">
        <v>321</v>
      </c>
      <c r="D4704" s="1" t="s">
        <v>52</v>
      </c>
      <c r="E4704" s="1" t="s">
        <v>6</v>
      </c>
      <c r="F4704" s="1" t="s">
        <v>5091</v>
      </c>
      <c r="G4704" s="14" t="s">
        <v>8125</v>
      </c>
      <c r="H4704" s="1" t="s">
        <v>43</v>
      </c>
      <c r="I4704" s="17">
        <v>41275</v>
      </c>
    </row>
    <row r="4705" spans="1:10">
      <c r="A4705" s="16" t="s">
        <v>8198</v>
      </c>
      <c r="B4705" s="1" t="s">
        <v>2628</v>
      </c>
      <c r="C4705" s="1">
        <v>321</v>
      </c>
      <c r="D4705" s="1" t="s">
        <v>52</v>
      </c>
      <c r="E4705" s="1" t="s">
        <v>6</v>
      </c>
      <c r="F4705" s="1" t="s">
        <v>5091</v>
      </c>
      <c r="G4705" s="14" t="s">
        <v>8199</v>
      </c>
      <c r="H4705" s="1" t="s">
        <v>5</v>
      </c>
      <c r="I4705" s="17">
        <v>41781</v>
      </c>
    </row>
    <row r="4706" spans="1:10">
      <c r="A4706" s="7" t="s">
        <v>8218</v>
      </c>
      <c r="B4706" s="1" t="s">
        <v>2628</v>
      </c>
      <c r="C4706" s="1">
        <v>321</v>
      </c>
      <c r="D4706" s="1" t="s">
        <v>52</v>
      </c>
      <c r="E4706" s="1" t="s">
        <v>6</v>
      </c>
      <c r="F4706" s="1" t="s">
        <v>8219</v>
      </c>
      <c r="G4706" s="1" t="s">
        <v>8220</v>
      </c>
      <c r="H4706" s="1" t="s">
        <v>5</v>
      </c>
      <c r="I4706" s="1" t="s">
        <v>5807</v>
      </c>
      <c r="J4706" s="17"/>
    </row>
    <row r="4707" spans="1:10">
      <c r="A4707" s="7" t="s">
        <v>8228</v>
      </c>
      <c r="B4707" s="1" t="s">
        <v>2628</v>
      </c>
      <c r="C4707" s="1">
        <v>321</v>
      </c>
      <c r="D4707" s="1" t="s">
        <v>52</v>
      </c>
      <c r="E4707" s="1" t="s">
        <v>6</v>
      </c>
      <c r="F4707" s="1" t="s">
        <v>118</v>
      </c>
      <c r="G4707" s="1" t="s">
        <v>6530</v>
      </c>
      <c r="H4707" s="1" t="s">
        <v>43</v>
      </c>
      <c r="I4707" s="1" t="s">
        <v>5642</v>
      </c>
    </row>
    <row r="4708" spans="1:10">
      <c r="A4708" s="7" t="s">
        <v>8233</v>
      </c>
      <c r="B4708" s="1" t="s">
        <v>2628</v>
      </c>
      <c r="C4708" s="1">
        <v>321</v>
      </c>
      <c r="D4708" s="1" t="s">
        <v>52</v>
      </c>
      <c r="E4708" s="1" t="s">
        <v>6</v>
      </c>
      <c r="F4708" s="1" t="s">
        <v>118</v>
      </c>
      <c r="G4708" s="1" t="s">
        <v>6530</v>
      </c>
      <c r="H4708" s="1" t="s">
        <v>43</v>
      </c>
      <c r="I4708" s="1" t="s">
        <v>5642</v>
      </c>
    </row>
    <row r="4709" spans="1:10">
      <c r="A4709" s="7" t="s">
        <v>8235</v>
      </c>
      <c r="B4709" s="1" t="s">
        <v>2628</v>
      </c>
      <c r="C4709" s="1">
        <v>321</v>
      </c>
      <c r="D4709" s="1" t="s">
        <v>52</v>
      </c>
      <c r="E4709" s="1" t="s">
        <v>6</v>
      </c>
      <c r="F4709" s="1" t="s">
        <v>118</v>
      </c>
      <c r="G4709" s="1" t="s">
        <v>6530</v>
      </c>
      <c r="H4709" s="1" t="s">
        <v>43</v>
      </c>
      <c r="I4709" s="1" t="s">
        <v>5642</v>
      </c>
    </row>
    <row r="4710" spans="1:10">
      <c r="A4710" s="7" t="s">
        <v>8256</v>
      </c>
      <c r="B4710" s="1" t="s">
        <v>2628</v>
      </c>
      <c r="C4710" s="1">
        <v>321</v>
      </c>
      <c r="D4710" s="1" t="s">
        <v>52</v>
      </c>
      <c r="E4710" s="1" t="s">
        <v>6</v>
      </c>
      <c r="F4710" s="1" t="s">
        <v>2701</v>
      </c>
      <c r="G4710" s="1" t="s">
        <v>8257</v>
      </c>
      <c r="H4710" s="1" t="s">
        <v>43</v>
      </c>
      <c r="I4710" s="1">
        <v>2016</v>
      </c>
    </row>
    <row r="4711" spans="1:10">
      <c r="A4711" s="7" t="s">
        <v>8266</v>
      </c>
      <c r="B4711" s="1" t="s">
        <v>2628</v>
      </c>
      <c r="C4711" s="1">
        <v>321</v>
      </c>
      <c r="D4711" s="1" t="s">
        <v>52</v>
      </c>
      <c r="E4711" s="1" t="s">
        <v>6</v>
      </c>
      <c r="F4711" s="1" t="s">
        <v>2701</v>
      </c>
      <c r="G4711" s="1" t="s">
        <v>8267</v>
      </c>
      <c r="H4711" s="1" t="s">
        <v>43</v>
      </c>
      <c r="I4711" s="1">
        <v>2016</v>
      </c>
    </row>
    <row r="4712" spans="1:10">
      <c r="A4712" s="7" t="s">
        <v>8276</v>
      </c>
      <c r="B4712" s="1" t="s">
        <v>2628</v>
      </c>
      <c r="C4712" s="1">
        <v>321</v>
      </c>
      <c r="D4712" s="1" t="s">
        <v>52</v>
      </c>
      <c r="E4712" s="1" t="s">
        <v>6</v>
      </c>
      <c r="F4712" s="1" t="s">
        <v>2701</v>
      </c>
      <c r="G4712" s="1" t="s">
        <v>8277</v>
      </c>
      <c r="H4712" s="1" t="s">
        <v>43</v>
      </c>
      <c r="I4712" s="1">
        <v>2016</v>
      </c>
    </row>
    <row r="4713" spans="1:10">
      <c r="A4713" s="7" t="s">
        <v>8282</v>
      </c>
      <c r="B4713" s="1" t="s">
        <v>2628</v>
      </c>
      <c r="C4713" s="1">
        <v>321</v>
      </c>
      <c r="D4713" s="1" t="s">
        <v>52</v>
      </c>
      <c r="E4713" s="1" t="s">
        <v>6</v>
      </c>
      <c r="F4713" s="1" t="s">
        <v>2701</v>
      </c>
      <c r="G4713" s="1" t="s">
        <v>8283</v>
      </c>
      <c r="H4713" s="1" t="s">
        <v>5</v>
      </c>
      <c r="I4713" s="1" t="s">
        <v>5722</v>
      </c>
    </row>
    <row r="4714" spans="1:10">
      <c r="A4714" s="7" t="s">
        <v>8284</v>
      </c>
      <c r="B4714" s="1" t="s">
        <v>2628</v>
      </c>
      <c r="C4714" s="1">
        <v>321</v>
      </c>
      <c r="D4714" s="1" t="s">
        <v>52</v>
      </c>
      <c r="E4714" s="1" t="s">
        <v>6</v>
      </c>
      <c r="F4714" s="1" t="s">
        <v>2701</v>
      </c>
      <c r="G4714" s="1" t="s">
        <v>8285</v>
      </c>
      <c r="H4714" s="1" t="s">
        <v>5</v>
      </c>
      <c r="I4714" s="1" t="s">
        <v>5722</v>
      </c>
    </row>
    <row r="4715" spans="1:10">
      <c r="A4715" s="7" t="s">
        <v>8286</v>
      </c>
      <c r="B4715" s="1" t="s">
        <v>2628</v>
      </c>
      <c r="C4715" s="1">
        <v>321</v>
      </c>
      <c r="D4715" s="1" t="s">
        <v>52</v>
      </c>
      <c r="E4715" s="1" t="s">
        <v>6</v>
      </c>
      <c r="F4715" s="1" t="s">
        <v>2701</v>
      </c>
      <c r="G4715" s="1" t="s">
        <v>8287</v>
      </c>
      <c r="H4715" s="1" t="s">
        <v>43</v>
      </c>
      <c r="I4715" s="1" t="s">
        <v>5722</v>
      </c>
    </row>
    <row r="4716" spans="1:10">
      <c r="A4716" s="7" t="s">
        <v>8307</v>
      </c>
      <c r="B4716" s="1" t="s">
        <v>2628</v>
      </c>
      <c r="C4716" s="1">
        <v>321</v>
      </c>
      <c r="D4716" s="1" t="s">
        <v>52</v>
      </c>
      <c r="E4716" s="1" t="s">
        <v>6</v>
      </c>
      <c r="F4716" s="1" t="s">
        <v>2701</v>
      </c>
      <c r="G4716" s="1" t="s">
        <v>8308</v>
      </c>
      <c r="H4716" s="1" t="s">
        <v>5</v>
      </c>
      <c r="I4716" s="1" t="s">
        <v>5722</v>
      </c>
    </row>
    <row r="4717" spans="1:10">
      <c r="A4717" s="7" t="s">
        <v>8313</v>
      </c>
      <c r="B4717" s="1" t="s">
        <v>2628</v>
      </c>
      <c r="C4717" s="1">
        <v>321</v>
      </c>
      <c r="D4717" s="1" t="s">
        <v>52</v>
      </c>
      <c r="E4717" s="1" t="s">
        <v>6</v>
      </c>
      <c r="F4717" s="1" t="s">
        <v>2701</v>
      </c>
      <c r="G4717" s="1" t="s">
        <v>8314</v>
      </c>
      <c r="H4717" s="1" t="s">
        <v>5</v>
      </c>
      <c r="I4717" s="1" t="s">
        <v>5722</v>
      </c>
    </row>
    <row r="4718" spans="1:10">
      <c r="A4718" s="7" t="s">
        <v>8333</v>
      </c>
      <c r="B4718" s="1" t="s">
        <v>2628</v>
      </c>
      <c r="C4718" s="1">
        <v>321</v>
      </c>
      <c r="D4718" s="1" t="s">
        <v>52</v>
      </c>
      <c r="E4718" s="1" t="s">
        <v>6</v>
      </c>
      <c r="F4718" s="1" t="s">
        <v>2701</v>
      </c>
      <c r="G4718" s="1" t="s">
        <v>8334</v>
      </c>
      <c r="H4718" s="1" t="s">
        <v>5</v>
      </c>
      <c r="I4718" s="1" t="s">
        <v>5722</v>
      </c>
    </row>
    <row r="4719" spans="1:10">
      <c r="A4719" s="7" t="s">
        <v>8335</v>
      </c>
      <c r="B4719" s="1" t="s">
        <v>2628</v>
      </c>
      <c r="C4719" s="1">
        <v>321</v>
      </c>
      <c r="D4719" s="1" t="s">
        <v>52</v>
      </c>
      <c r="E4719" s="1" t="s">
        <v>6</v>
      </c>
      <c r="F4719" s="1" t="s">
        <v>2701</v>
      </c>
      <c r="G4719" s="1" t="s">
        <v>8336</v>
      </c>
      <c r="H4719" s="1" t="s">
        <v>5</v>
      </c>
      <c r="I4719" s="1" t="s">
        <v>5722</v>
      </c>
    </row>
    <row r="4720" spans="1:10">
      <c r="A4720" s="7" t="s">
        <v>8337</v>
      </c>
      <c r="B4720" s="1" t="s">
        <v>2628</v>
      </c>
      <c r="C4720" s="1">
        <v>321</v>
      </c>
      <c r="D4720" s="1" t="s">
        <v>52</v>
      </c>
      <c r="E4720" s="1" t="s">
        <v>6</v>
      </c>
      <c r="F4720" s="1" t="s">
        <v>2701</v>
      </c>
      <c r="G4720" s="1" t="s">
        <v>8338</v>
      </c>
      <c r="H4720" s="1" t="s">
        <v>5</v>
      </c>
      <c r="I4720" s="1" t="s">
        <v>5722</v>
      </c>
    </row>
    <row r="4721" spans="1:9">
      <c r="A4721" s="7" t="s">
        <v>8339</v>
      </c>
      <c r="B4721" s="1" t="s">
        <v>2628</v>
      </c>
      <c r="C4721" s="1">
        <v>321</v>
      </c>
      <c r="D4721" s="1" t="s">
        <v>52</v>
      </c>
      <c r="E4721" s="1" t="s">
        <v>6</v>
      </c>
      <c r="F4721" s="1" t="s">
        <v>2701</v>
      </c>
      <c r="G4721" s="1" t="s">
        <v>8340</v>
      </c>
      <c r="H4721" s="1" t="s">
        <v>43</v>
      </c>
      <c r="I4721" s="1" t="s">
        <v>5722</v>
      </c>
    </row>
    <row r="4722" spans="1:9">
      <c r="A4722" s="7" t="s">
        <v>8343</v>
      </c>
      <c r="B4722" s="1" t="s">
        <v>2628</v>
      </c>
      <c r="C4722" s="1">
        <v>321</v>
      </c>
      <c r="D4722" s="1" t="s">
        <v>52</v>
      </c>
      <c r="E4722" s="1" t="s">
        <v>6</v>
      </c>
      <c r="F4722" s="1" t="s">
        <v>2701</v>
      </c>
      <c r="G4722" s="1" t="s">
        <v>8344</v>
      </c>
      <c r="H4722" s="1" t="s">
        <v>43</v>
      </c>
      <c r="I4722" s="1" t="s">
        <v>5722</v>
      </c>
    </row>
    <row r="4723" spans="1:9">
      <c r="A4723" s="7" t="s">
        <v>8352</v>
      </c>
      <c r="B4723" s="1" t="s">
        <v>2628</v>
      </c>
      <c r="C4723" s="1">
        <v>321</v>
      </c>
      <c r="D4723" s="1" t="s">
        <v>52</v>
      </c>
      <c r="E4723" s="1" t="s">
        <v>6</v>
      </c>
      <c r="F4723" s="1" t="s">
        <v>118</v>
      </c>
      <c r="G4723" s="1" t="s">
        <v>6530</v>
      </c>
      <c r="H4723" s="1" t="s">
        <v>43</v>
      </c>
      <c r="I4723" s="1" t="s">
        <v>5642</v>
      </c>
    </row>
    <row r="4724" spans="1:9">
      <c r="A4724" s="7" t="s">
        <v>8358</v>
      </c>
      <c r="B4724" s="1" t="s">
        <v>2628</v>
      </c>
      <c r="C4724" s="1">
        <v>321</v>
      </c>
      <c r="D4724" s="1" t="s">
        <v>52</v>
      </c>
      <c r="E4724" s="1" t="s">
        <v>6</v>
      </c>
      <c r="F4724" s="1" t="s">
        <v>118</v>
      </c>
      <c r="G4724" s="1" t="s">
        <v>6358</v>
      </c>
      <c r="H4724" s="1" t="s">
        <v>5</v>
      </c>
      <c r="I4724" s="1" t="s">
        <v>5642</v>
      </c>
    </row>
    <row r="4725" spans="1:9">
      <c r="A4725" s="7" t="s">
        <v>8370</v>
      </c>
      <c r="B4725" s="1" t="s">
        <v>2628</v>
      </c>
      <c r="C4725" s="1">
        <v>321</v>
      </c>
      <c r="D4725" s="1" t="s">
        <v>52</v>
      </c>
      <c r="E4725" s="1" t="s">
        <v>6</v>
      </c>
      <c r="F4725" s="1" t="s">
        <v>5091</v>
      </c>
      <c r="G4725" s="1" t="s">
        <v>6530</v>
      </c>
      <c r="H4725" s="1" t="s">
        <v>43</v>
      </c>
      <c r="I4725" s="1">
        <v>2006</v>
      </c>
    </row>
    <row r="4726" spans="1:9">
      <c r="A4726" s="7" t="s">
        <v>8372</v>
      </c>
      <c r="B4726" s="1" t="s">
        <v>2628</v>
      </c>
      <c r="C4726" s="1">
        <v>321</v>
      </c>
      <c r="D4726" s="1" t="s">
        <v>52</v>
      </c>
      <c r="E4726" s="1" t="s">
        <v>6</v>
      </c>
      <c r="F4726" s="1" t="s">
        <v>5091</v>
      </c>
      <c r="G4726" s="1" t="s">
        <v>6530</v>
      </c>
      <c r="H4726" s="1" t="s">
        <v>43</v>
      </c>
      <c r="I4726" s="1">
        <v>2006</v>
      </c>
    </row>
    <row r="4727" spans="1:9">
      <c r="A4727" s="16" t="s">
        <v>8383</v>
      </c>
      <c r="B4727" s="1" t="s">
        <v>2628</v>
      </c>
      <c r="C4727" s="1">
        <v>321</v>
      </c>
      <c r="D4727" s="1" t="s">
        <v>52</v>
      </c>
      <c r="E4727" s="1" t="s">
        <v>6</v>
      </c>
      <c r="F4727" s="1" t="s">
        <v>5091</v>
      </c>
      <c r="G4727" s="14" t="s">
        <v>8125</v>
      </c>
      <c r="H4727" s="1" t="s">
        <v>43</v>
      </c>
      <c r="I4727" s="17">
        <v>41275</v>
      </c>
    </row>
    <row r="4728" spans="1:9">
      <c r="A4728" s="16" t="s">
        <v>8384</v>
      </c>
      <c r="B4728" s="1" t="s">
        <v>2628</v>
      </c>
      <c r="C4728" s="1">
        <v>321</v>
      </c>
      <c r="D4728" s="1" t="s">
        <v>52</v>
      </c>
      <c r="E4728" s="1" t="s">
        <v>6</v>
      </c>
      <c r="F4728" s="1" t="s">
        <v>5091</v>
      </c>
      <c r="G4728" s="14" t="s">
        <v>8385</v>
      </c>
      <c r="H4728" s="1" t="s">
        <v>5</v>
      </c>
      <c r="I4728" s="17">
        <v>41640</v>
      </c>
    </row>
    <row r="4729" spans="1:9">
      <c r="A4729" s="16" t="s">
        <v>8388</v>
      </c>
      <c r="B4729" s="1" t="s">
        <v>2628</v>
      </c>
      <c r="C4729" s="1">
        <v>321</v>
      </c>
      <c r="D4729" s="1" t="s">
        <v>52</v>
      </c>
      <c r="E4729" s="1" t="s">
        <v>6</v>
      </c>
      <c r="F4729" s="1" t="s">
        <v>5091</v>
      </c>
      <c r="G4729" s="14" t="s">
        <v>8389</v>
      </c>
      <c r="H4729" s="1" t="s">
        <v>5</v>
      </c>
      <c r="I4729" s="17">
        <v>41640</v>
      </c>
    </row>
    <row r="4730" spans="1:9">
      <c r="A4730" s="16" t="s">
        <v>8393</v>
      </c>
      <c r="B4730" s="1" t="s">
        <v>2628</v>
      </c>
      <c r="C4730" s="1">
        <v>1686</v>
      </c>
      <c r="D4730" s="1" t="s">
        <v>52</v>
      </c>
      <c r="E4730" s="1" t="s">
        <v>6</v>
      </c>
      <c r="F4730" s="1" t="s">
        <v>5091</v>
      </c>
      <c r="G4730" s="14" t="s">
        <v>6236</v>
      </c>
      <c r="H4730" s="1" t="s">
        <v>43</v>
      </c>
      <c r="I4730" s="17">
        <v>41275</v>
      </c>
    </row>
    <row r="4731" spans="1:9">
      <c r="A4731" s="16" t="s">
        <v>8424</v>
      </c>
      <c r="B4731" s="1" t="s">
        <v>2628</v>
      </c>
      <c r="C4731" s="1">
        <v>321</v>
      </c>
      <c r="D4731" s="1" t="s">
        <v>52</v>
      </c>
      <c r="E4731" s="1" t="s">
        <v>6</v>
      </c>
      <c r="F4731" s="1" t="s">
        <v>5091</v>
      </c>
      <c r="G4731" s="14" t="s">
        <v>8125</v>
      </c>
      <c r="H4731" s="1" t="s">
        <v>43</v>
      </c>
      <c r="I4731" s="17">
        <v>41275</v>
      </c>
    </row>
    <row r="4732" spans="1:9">
      <c r="A4732" s="16" t="s">
        <v>8426</v>
      </c>
      <c r="B4732" s="1" t="s">
        <v>2628</v>
      </c>
      <c r="C4732" s="1">
        <v>321</v>
      </c>
      <c r="D4732" s="1" t="s">
        <v>52</v>
      </c>
      <c r="E4732" s="1" t="s">
        <v>6</v>
      </c>
      <c r="F4732" s="1" t="s">
        <v>5091</v>
      </c>
      <c r="G4732" s="14" t="s">
        <v>6236</v>
      </c>
      <c r="H4732" s="1" t="s">
        <v>43</v>
      </c>
      <c r="I4732" s="17">
        <v>41275</v>
      </c>
    </row>
    <row r="4733" spans="1:9">
      <c r="A4733" s="16" t="s">
        <v>8429</v>
      </c>
      <c r="B4733" s="1" t="s">
        <v>2628</v>
      </c>
      <c r="C4733" s="1">
        <v>321</v>
      </c>
      <c r="D4733" s="1" t="s">
        <v>52</v>
      </c>
      <c r="E4733" s="1" t="s">
        <v>6</v>
      </c>
      <c r="F4733" s="1" t="s">
        <v>5091</v>
      </c>
      <c r="G4733" s="14" t="s">
        <v>8125</v>
      </c>
      <c r="H4733" s="1" t="s">
        <v>43</v>
      </c>
      <c r="I4733" s="17">
        <v>41275</v>
      </c>
    </row>
    <row r="4734" spans="1:9">
      <c r="A4734" s="16" t="s">
        <v>8430</v>
      </c>
      <c r="B4734" s="1" t="s">
        <v>2628</v>
      </c>
      <c r="C4734" s="1">
        <v>321</v>
      </c>
      <c r="D4734" s="1" t="s">
        <v>52</v>
      </c>
      <c r="E4734" s="1" t="s">
        <v>6</v>
      </c>
      <c r="F4734" s="1" t="s">
        <v>5091</v>
      </c>
      <c r="G4734" s="14" t="s">
        <v>6236</v>
      </c>
      <c r="H4734" s="1" t="s">
        <v>43</v>
      </c>
      <c r="I4734" s="17">
        <v>41275</v>
      </c>
    </row>
    <row r="4735" spans="1:9">
      <c r="A4735" s="16" t="s">
        <v>8433</v>
      </c>
      <c r="B4735" s="1" t="s">
        <v>2628</v>
      </c>
      <c r="C4735" s="1">
        <v>321</v>
      </c>
      <c r="D4735" s="1" t="s">
        <v>52</v>
      </c>
      <c r="E4735" s="1" t="s">
        <v>6</v>
      </c>
      <c r="F4735" s="1" t="s">
        <v>5091</v>
      </c>
      <c r="G4735" s="14" t="s">
        <v>6145</v>
      </c>
      <c r="H4735" s="1" t="s">
        <v>43</v>
      </c>
      <c r="I4735" s="17">
        <v>39709</v>
      </c>
    </row>
    <row r="4736" spans="1:9">
      <c r="A4736" s="16" t="s">
        <v>8437</v>
      </c>
      <c r="B4736" s="1" t="s">
        <v>2628</v>
      </c>
      <c r="C4736" s="1">
        <v>1641</v>
      </c>
      <c r="D4736" s="1" t="s">
        <v>52</v>
      </c>
      <c r="E4736" s="1" t="s">
        <v>6</v>
      </c>
      <c r="F4736" s="1" t="s">
        <v>5091</v>
      </c>
      <c r="G4736" s="14" t="s">
        <v>6145</v>
      </c>
      <c r="H4736" s="1" t="s">
        <v>43</v>
      </c>
      <c r="I4736" s="17">
        <v>40577</v>
      </c>
    </row>
    <row r="4737" spans="1:9">
      <c r="A4737" s="16" t="s">
        <v>8438</v>
      </c>
      <c r="B4737" s="1" t="s">
        <v>2628</v>
      </c>
      <c r="C4737" s="1">
        <v>321</v>
      </c>
      <c r="D4737" s="1" t="s">
        <v>52</v>
      </c>
      <c r="E4737" s="1" t="s">
        <v>6</v>
      </c>
      <c r="F4737" s="1" t="s">
        <v>5091</v>
      </c>
      <c r="G4737" s="14" t="s">
        <v>6145</v>
      </c>
      <c r="H4737" s="1" t="s">
        <v>43</v>
      </c>
      <c r="I4737" s="17">
        <v>41065</v>
      </c>
    </row>
    <row r="4738" spans="1:9">
      <c r="A4738" s="16" t="s">
        <v>8439</v>
      </c>
      <c r="B4738" s="1" t="s">
        <v>2628</v>
      </c>
      <c r="C4738" s="1">
        <v>321</v>
      </c>
      <c r="D4738" s="1" t="s">
        <v>52</v>
      </c>
      <c r="E4738" s="1" t="s">
        <v>6</v>
      </c>
      <c r="F4738" s="1" t="s">
        <v>5091</v>
      </c>
      <c r="G4738" s="14" t="s">
        <v>6145</v>
      </c>
      <c r="H4738" s="1" t="s">
        <v>43</v>
      </c>
      <c r="I4738" s="17">
        <v>39709</v>
      </c>
    </row>
    <row r="4739" spans="1:9">
      <c r="A4739" s="16" t="s">
        <v>8440</v>
      </c>
      <c r="B4739" s="1" t="s">
        <v>2628</v>
      </c>
      <c r="C4739" s="1">
        <v>321</v>
      </c>
      <c r="D4739" s="1" t="s">
        <v>52</v>
      </c>
      <c r="E4739" s="1" t="s">
        <v>6</v>
      </c>
      <c r="F4739" s="1" t="s">
        <v>5091</v>
      </c>
      <c r="G4739" s="14" t="s">
        <v>6145</v>
      </c>
      <c r="H4739" s="1" t="s">
        <v>43</v>
      </c>
      <c r="I4739" s="17">
        <v>36732</v>
      </c>
    </row>
    <row r="4740" spans="1:9">
      <c r="A4740" s="16" t="s">
        <v>8441</v>
      </c>
      <c r="B4740" s="1" t="s">
        <v>2628</v>
      </c>
      <c r="C4740" s="1">
        <v>321</v>
      </c>
      <c r="D4740" s="1" t="s">
        <v>52</v>
      </c>
      <c r="E4740" s="1" t="s">
        <v>6</v>
      </c>
      <c r="F4740" s="1" t="s">
        <v>5091</v>
      </c>
      <c r="G4740" s="14" t="s">
        <v>6145</v>
      </c>
      <c r="H4740" s="1" t="s">
        <v>43</v>
      </c>
      <c r="I4740" s="17">
        <v>40577</v>
      </c>
    </row>
    <row r="4741" spans="1:9">
      <c r="A4741" s="16" t="s">
        <v>8442</v>
      </c>
      <c r="B4741" s="1" t="s">
        <v>2628</v>
      </c>
      <c r="C4741" s="1">
        <v>321</v>
      </c>
      <c r="D4741" s="1" t="s">
        <v>52</v>
      </c>
      <c r="E4741" s="1" t="s">
        <v>6</v>
      </c>
      <c r="F4741" s="1" t="s">
        <v>5091</v>
      </c>
      <c r="G4741" s="14" t="s">
        <v>6145</v>
      </c>
      <c r="H4741" s="1" t="s">
        <v>43</v>
      </c>
      <c r="I4741" s="17">
        <v>41065</v>
      </c>
    </row>
    <row r="4742" spans="1:9">
      <c r="A4742" s="16" t="s">
        <v>8444</v>
      </c>
      <c r="B4742" s="1" t="s">
        <v>2628</v>
      </c>
      <c r="C4742" s="1">
        <v>321</v>
      </c>
      <c r="D4742" s="1" t="s">
        <v>52</v>
      </c>
      <c r="E4742" s="1" t="s">
        <v>6</v>
      </c>
      <c r="F4742" s="1" t="s">
        <v>5091</v>
      </c>
      <c r="G4742" s="14" t="s">
        <v>6145</v>
      </c>
      <c r="H4742" s="1" t="s">
        <v>43</v>
      </c>
      <c r="I4742" s="17">
        <v>39359</v>
      </c>
    </row>
    <row r="4743" spans="1:9">
      <c r="A4743" s="16" t="s">
        <v>8445</v>
      </c>
      <c r="B4743" s="1" t="s">
        <v>2628</v>
      </c>
      <c r="C4743" s="1">
        <v>321</v>
      </c>
      <c r="D4743" s="1" t="s">
        <v>52</v>
      </c>
      <c r="E4743" s="1" t="s">
        <v>6</v>
      </c>
      <c r="F4743" s="1" t="s">
        <v>5091</v>
      </c>
      <c r="G4743" s="14" t="s">
        <v>6145</v>
      </c>
      <c r="H4743" s="1" t="s">
        <v>43</v>
      </c>
      <c r="I4743" s="17">
        <v>36732</v>
      </c>
    </row>
    <row r="4744" spans="1:9">
      <c r="A4744" s="16" t="s">
        <v>8446</v>
      </c>
      <c r="B4744" s="1" t="s">
        <v>2628</v>
      </c>
      <c r="C4744" s="1">
        <v>321</v>
      </c>
      <c r="D4744" s="1" t="s">
        <v>52</v>
      </c>
      <c r="E4744" s="1" t="s">
        <v>6</v>
      </c>
      <c r="F4744" s="1" t="s">
        <v>5091</v>
      </c>
      <c r="G4744" s="14" t="s">
        <v>6145</v>
      </c>
      <c r="H4744" s="1" t="s">
        <v>43</v>
      </c>
      <c r="I4744" s="17">
        <v>39709</v>
      </c>
    </row>
    <row r="4745" spans="1:9">
      <c r="A4745" s="16" t="s">
        <v>8452</v>
      </c>
      <c r="B4745" s="1" t="s">
        <v>2628</v>
      </c>
      <c r="C4745" s="1">
        <v>321</v>
      </c>
      <c r="D4745" s="1" t="s">
        <v>52</v>
      </c>
      <c r="E4745" s="1" t="s">
        <v>6</v>
      </c>
      <c r="F4745" s="1" t="s">
        <v>5091</v>
      </c>
      <c r="G4745" s="14" t="s">
        <v>6145</v>
      </c>
      <c r="H4745" s="1" t="s">
        <v>43</v>
      </c>
      <c r="I4745" s="17">
        <v>41064</v>
      </c>
    </row>
    <row r="4746" spans="1:9">
      <c r="A4746" s="16" t="s">
        <v>8453</v>
      </c>
      <c r="B4746" s="1" t="s">
        <v>2628</v>
      </c>
      <c r="C4746" s="1">
        <v>321</v>
      </c>
      <c r="D4746" s="1" t="s">
        <v>52</v>
      </c>
      <c r="E4746" s="1" t="s">
        <v>6</v>
      </c>
      <c r="F4746" s="1" t="s">
        <v>5091</v>
      </c>
      <c r="G4746" s="14" t="s">
        <v>6145</v>
      </c>
      <c r="H4746" s="1" t="s">
        <v>43</v>
      </c>
      <c r="I4746" s="17">
        <v>41064</v>
      </c>
    </row>
    <row r="4747" spans="1:9">
      <c r="A4747" s="16" t="s">
        <v>8455</v>
      </c>
      <c r="B4747" s="1" t="s">
        <v>2628</v>
      </c>
      <c r="C4747" s="1">
        <v>321</v>
      </c>
      <c r="D4747" s="1" t="s">
        <v>52</v>
      </c>
      <c r="E4747" s="1" t="s">
        <v>6</v>
      </c>
      <c r="F4747" s="1" t="s">
        <v>5091</v>
      </c>
      <c r="G4747" s="14" t="s">
        <v>6145</v>
      </c>
      <c r="H4747" s="1" t="s">
        <v>43</v>
      </c>
      <c r="I4747" s="17">
        <v>39709</v>
      </c>
    </row>
    <row r="4748" spans="1:9">
      <c r="A4748" s="16" t="s">
        <v>8456</v>
      </c>
      <c r="B4748" s="1" t="s">
        <v>2628</v>
      </c>
      <c r="C4748" s="1">
        <v>321</v>
      </c>
      <c r="D4748" s="1" t="s">
        <v>52</v>
      </c>
      <c r="E4748" s="1" t="s">
        <v>6</v>
      </c>
      <c r="F4748" s="1" t="s">
        <v>5091</v>
      </c>
      <c r="G4748" s="14" t="s">
        <v>6145</v>
      </c>
      <c r="H4748" s="1" t="s">
        <v>43</v>
      </c>
      <c r="I4748" s="17">
        <v>40282</v>
      </c>
    </row>
    <row r="4749" spans="1:9">
      <c r="A4749" s="16" t="s">
        <v>8457</v>
      </c>
      <c r="B4749" s="1" t="s">
        <v>2628</v>
      </c>
      <c r="C4749" s="1">
        <v>321</v>
      </c>
      <c r="D4749" s="1" t="s">
        <v>52</v>
      </c>
      <c r="E4749" s="1" t="s">
        <v>6</v>
      </c>
      <c r="F4749" s="1" t="s">
        <v>5091</v>
      </c>
      <c r="G4749" s="14" t="s">
        <v>6145</v>
      </c>
      <c r="H4749" s="1" t="s">
        <v>43</v>
      </c>
      <c r="I4749" s="17">
        <v>39359</v>
      </c>
    </row>
    <row r="4750" spans="1:9">
      <c r="A4750" s="16" t="s">
        <v>8459</v>
      </c>
      <c r="B4750" s="1" t="s">
        <v>2628</v>
      </c>
      <c r="C4750" s="1">
        <v>321</v>
      </c>
      <c r="D4750" s="1" t="s">
        <v>52</v>
      </c>
      <c r="E4750" s="1" t="s">
        <v>6</v>
      </c>
      <c r="F4750" s="1" t="s">
        <v>5091</v>
      </c>
      <c r="G4750" s="14" t="s">
        <v>6145</v>
      </c>
      <c r="H4750" s="1" t="s">
        <v>43</v>
      </c>
      <c r="I4750" s="17">
        <v>36732</v>
      </c>
    </row>
    <row r="4751" spans="1:9">
      <c r="A4751" s="16" t="s">
        <v>8460</v>
      </c>
      <c r="B4751" s="1" t="s">
        <v>2628</v>
      </c>
      <c r="C4751" s="1">
        <v>321</v>
      </c>
      <c r="D4751" s="1" t="s">
        <v>52</v>
      </c>
      <c r="E4751" s="1" t="s">
        <v>6</v>
      </c>
      <c r="F4751" s="1" t="s">
        <v>5091</v>
      </c>
      <c r="G4751" s="14" t="s">
        <v>8461</v>
      </c>
      <c r="H4751" s="1" t="s">
        <v>5</v>
      </c>
      <c r="I4751" s="17">
        <v>39336</v>
      </c>
    </row>
    <row r="4752" spans="1:9">
      <c r="A4752" s="16" t="s">
        <v>8464</v>
      </c>
      <c r="B4752" s="1" t="s">
        <v>2628</v>
      </c>
      <c r="C4752" s="1">
        <v>321</v>
      </c>
      <c r="D4752" s="1" t="s">
        <v>52</v>
      </c>
      <c r="E4752" s="1" t="s">
        <v>6</v>
      </c>
      <c r="F4752" s="1" t="s">
        <v>5091</v>
      </c>
      <c r="G4752" s="14" t="s">
        <v>6145</v>
      </c>
      <c r="H4752" s="1" t="s">
        <v>43</v>
      </c>
      <c r="I4752" s="17">
        <v>41065</v>
      </c>
    </row>
    <row r="4753" spans="1:9">
      <c r="A4753" s="16" t="s">
        <v>8465</v>
      </c>
      <c r="B4753" s="1" t="s">
        <v>2628</v>
      </c>
      <c r="C4753" s="1">
        <v>321</v>
      </c>
      <c r="D4753" s="1" t="s">
        <v>52</v>
      </c>
      <c r="E4753" s="1" t="s">
        <v>6</v>
      </c>
      <c r="F4753" s="1" t="s">
        <v>5091</v>
      </c>
      <c r="G4753" s="14" t="s">
        <v>8461</v>
      </c>
      <c r="H4753" s="1" t="s">
        <v>5</v>
      </c>
      <c r="I4753" s="17">
        <v>39336</v>
      </c>
    </row>
    <row r="4754" spans="1:9">
      <c r="A4754" s="16" t="s">
        <v>8467</v>
      </c>
      <c r="B4754" s="1" t="s">
        <v>2628</v>
      </c>
      <c r="C4754" s="1">
        <v>321</v>
      </c>
      <c r="D4754" s="1" t="s">
        <v>52</v>
      </c>
      <c r="E4754" s="1" t="s">
        <v>6</v>
      </c>
      <c r="F4754" s="1" t="s">
        <v>5091</v>
      </c>
      <c r="G4754" s="14" t="s">
        <v>6145</v>
      </c>
      <c r="H4754" s="1" t="s">
        <v>43</v>
      </c>
      <c r="I4754" s="17">
        <v>39709</v>
      </c>
    </row>
    <row r="4755" spans="1:9">
      <c r="A4755" s="16" t="s">
        <v>8473</v>
      </c>
      <c r="B4755" s="1" t="s">
        <v>2628</v>
      </c>
      <c r="C4755" s="1">
        <v>321</v>
      </c>
      <c r="D4755" s="1" t="s">
        <v>52</v>
      </c>
      <c r="E4755" s="1" t="s">
        <v>6</v>
      </c>
      <c r="F4755" s="1" t="s">
        <v>5091</v>
      </c>
      <c r="G4755" s="14" t="s">
        <v>6236</v>
      </c>
      <c r="H4755" s="1" t="s">
        <v>43</v>
      </c>
      <c r="I4755" s="17">
        <v>41640</v>
      </c>
    </row>
    <row r="4756" spans="1:9">
      <c r="A4756" s="16" t="s">
        <v>8476</v>
      </c>
      <c r="B4756" s="1" t="s">
        <v>2628</v>
      </c>
      <c r="C4756" s="1">
        <v>321</v>
      </c>
      <c r="D4756" s="1" t="s">
        <v>52</v>
      </c>
      <c r="E4756" s="1" t="s">
        <v>6</v>
      </c>
      <c r="F4756" s="1" t="s">
        <v>5091</v>
      </c>
      <c r="G4756" s="14" t="s">
        <v>6236</v>
      </c>
      <c r="H4756" s="1" t="s">
        <v>43</v>
      </c>
      <c r="I4756" s="17">
        <v>41640</v>
      </c>
    </row>
    <row r="4757" spans="1:9">
      <c r="A4757" s="16" t="s">
        <v>8481</v>
      </c>
      <c r="B4757" s="1" t="s">
        <v>2628</v>
      </c>
      <c r="C4757" s="1">
        <v>321</v>
      </c>
      <c r="D4757" s="1" t="s">
        <v>52</v>
      </c>
      <c r="E4757" s="1" t="s">
        <v>6</v>
      </c>
      <c r="F4757" s="1" t="s">
        <v>5091</v>
      </c>
      <c r="G4757" s="14" t="s">
        <v>8125</v>
      </c>
      <c r="H4757" s="1" t="s">
        <v>43</v>
      </c>
      <c r="I4757" s="17">
        <v>41640</v>
      </c>
    </row>
    <row r="4758" spans="1:9">
      <c r="A4758" s="16" t="s">
        <v>8493</v>
      </c>
      <c r="B4758" s="1" t="s">
        <v>2628</v>
      </c>
      <c r="C4758" s="1">
        <v>321</v>
      </c>
      <c r="D4758" s="1" t="s">
        <v>52</v>
      </c>
      <c r="E4758" s="1" t="s">
        <v>6</v>
      </c>
      <c r="F4758" s="1" t="s">
        <v>5091</v>
      </c>
      <c r="G4758" s="14" t="s">
        <v>4458</v>
      </c>
      <c r="H4758" s="1" t="s">
        <v>118</v>
      </c>
      <c r="I4758" s="1" t="s">
        <v>4458</v>
      </c>
    </row>
    <row r="4759" spans="1:9">
      <c r="A4759" s="16" t="s">
        <v>8497</v>
      </c>
      <c r="B4759" s="1" t="s">
        <v>2628</v>
      </c>
      <c r="C4759" s="1">
        <v>321</v>
      </c>
      <c r="D4759" s="1" t="s">
        <v>52</v>
      </c>
      <c r="E4759" s="1" t="s">
        <v>6</v>
      </c>
      <c r="F4759" s="1" t="s">
        <v>5091</v>
      </c>
      <c r="G4759" s="14" t="s">
        <v>8498</v>
      </c>
      <c r="H4759" s="1" t="s">
        <v>5</v>
      </c>
      <c r="I4759" s="17">
        <v>41823</v>
      </c>
    </row>
    <row r="4760" spans="1:9">
      <c r="A4760" s="16" t="s">
        <v>8505</v>
      </c>
      <c r="B4760" s="1" t="s">
        <v>2628</v>
      </c>
      <c r="C4760" s="1">
        <v>321</v>
      </c>
      <c r="D4760" s="1" t="s">
        <v>52</v>
      </c>
      <c r="E4760" s="1" t="s">
        <v>6</v>
      </c>
      <c r="F4760" s="1" t="s">
        <v>5091</v>
      </c>
      <c r="G4760" s="14" t="s">
        <v>8506</v>
      </c>
      <c r="H4760" s="1" t="s">
        <v>43</v>
      </c>
      <c r="I4760" s="17">
        <v>40883</v>
      </c>
    </row>
    <row r="4761" spans="1:9">
      <c r="A4761" s="16" t="s">
        <v>8507</v>
      </c>
      <c r="B4761" s="1" t="s">
        <v>2628</v>
      </c>
      <c r="C4761" s="1">
        <v>321</v>
      </c>
      <c r="D4761" s="1" t="s">
        <v>52</v>
      </c>
      <c r="E4761" s="1" t="s">
        <v>6</v>
      </c>
      <c r="F4761" s="1" t="s">
        <v>5091</v>
      </c>
      <c r="G4761" s="14" t="s">
        <v>8508</v>
      </c>
      <c r="H4761" s="1" t="s">
        <v>43</v>
      </c>
      <c r="I4761" s="17">
        <v>40883</v>
      </c>
    </row>
    <row r="4762" spans="1:9">
      <c r="A4762" s="16" t="s">
        <v>8509</v>
      </c>
      <c r="B4762" s="1" t="s">
        <v>2628</v>
      </c>
      <c r="C4762" s="1">
        <v>321</v>
      </c>
      <c r="D4762" s="1" t="s">
        <v>52</v>
      </c>
      <c r="E4762" s="1" t="s">
        <v>6</v>
      </c>
      <c r="F4762" s="1" t="s">
        <v>5091</v>
      </c>
      <c r="G4762" s="14" t="s">
        <v>8508</v>
      </c>
      <c r="H4762" s="1" t="s">
        <v>43</v>
      </c>
      <c r="I4762" s="17">
        <v>40883</v>
      </c>
    </row>
    <row r="4763" spans="1:9">
      <c r="A4763" s="16" t="s">
        <v>8510</v>
      </c>
      <c r="B4763" s="1" t="s">
        <v>2628</v>
      </c>
      <c r="C4763" s="1">
        <v>321</v>
      </c>
      <c r="D4763" s="1" t="s">
        <v>52</v>
      </c>
      <c r="E4763" s="1" t="s">
        <v>6</v>
      </c>
      <c r="F4763" s="1" t="s">
        <v>5091</v>
      </c>
      <c r="G4763" s="14" t="s">
        <v>8511</v>
      </c>
      <c r="H4763" s="1" t="s">
        <v>43</v>
      </c>
      <c r="I4763" s="17">
        <v>40883</v>
      </c>
    </row>
    <row r="4764" spans="1:9">
      <c r="A4764" s="16" t="s">
        <v>8512</v>
      </c>
      <c r="B4764" s="1" t="s">
        <v>2628</v>
      </c>
      <c r="C4764" s="1">
        <v>321</v>
      </c>
      <c r="D4764" s="1" t="s">
        <v>52</v>
      </c>
      <c r="E4764" s="1" t="s">
        <v>6</v>
      </c>
      <c r="F4764" s="1" t="s">
        <v>5091</v>
      </c>
      <c r="G4764" s="14" t="s">
        <v>8513</v>
      </c>
      <c r="H4764" s="1" t="s">
        <v>5</v>
      </c>
      <c r="I4764" s="17">
        <v>40883</v>
      </c>
    </row>
    <row r="4765" spans="1:9">
      <c r="A4765" s="16" t="s">
        <v>8516</v>
      </c>
      <c r="B4765" s="1" t="s">
        <v>2628</v>
      </c>
      <c r="C4765" s="1">
        <v>321</v>
      </c>
      <c r="D4765" s="1" t="s">
        <v>52</v>
      </c>
      <c r="E4765" s="1" t="s">
        <v>6</v>
      </c>
      <c r="F4765" s="1" t="s">
        <v>5091</v>
      </c>
      <c r="G4765" s="14" t="s">
        <v>8517</v>
      </c>
      <c r="H4765" s="1" t="s">
        <v>5</v>
      </c>
      <c r="I4765" s="17">
        <v>41275</v>
      </c>
    </row>
    <row r="4766" spans="1:9">
      <c r="A4766" s="16" t="s">
        <v>8524</v>
      </c>
      <c r="B4766" s="1" t="s">
        <v>2628</v>
      </c>
      <c r="C4766" s="1">
        <v>321</v>
      </c>
      <c r="D4766" s="1" t="s">
        <v>52</v>
      </c>
      <c r="E4766" s="1" t="s">
        <v>6</v>
      </c>
      <c r="F4766" s="1" t="s">
        <v>5091</v>
      </c>
      <c r="G4766" s="14" t="s">
        <v>8125</v>
      </c>
      <c r="H4766" s="1" t="s">
        <v>43</v>
      </c>
      <c r="I4766" s="17">
        <v>41275</v>
      </c>
    </row>
    <row r="4767" spans="1:9">
      <c r="A4767" s="16" t="s">
        <v>8530</v>
      </c>
      <c r="B4767" s="1" t="s">
        <v>2628</v>
      </c>
      <c r="C4767" s="1">
        <v>321</v>
      </c>
      <c r="D4767" s="1" t="s">
        <v>52</v>
      </c>
      <c r="E4767" s="1" t="s">
        <v>6</v>
      </c>
      <c r="F4767" s="1" t="s">
        <v>5091</v>
      </c>
      <c r="G4767" s="14" t="s">
        <v>8125</v>
      </c>
      <c r="H4767" s="1" t="s">
        <v>43</v>
      </c>
      <c r="I4767" s="17">
        <v>41275</v>
      </c>
    </row>
    <row r="4768" spans="1:9">
      <c r="A4768" s="16" t="s">
        <v>8536</v>
      </c>
      <c r="B4768" s="1" t="s">
        <v>2628</v>
      </c>
      <c r="C4768" s="1">
        <v>321</v>
      </c>
      <c r="D4768" s="1" t="s">
        <v>52</v>
      </c>
      <c r="E4768" s="1" t="s">
        <v>6</v>
      </c>
      <c r="F4768" s="1" t="s">
        <v>5091</v>
      </c>
      <c r="G4768" s="14" t="s">
        <v>8537</v>
      </c>
      <c r="H4768" s="1" t="s">
        <v>5</v>
      </c>
      <c r="I4768" s="17">
        <v>41640</v>
      </c>
    </row>
    <row r="4769" spans="1:9">
      <c r="A4769" s="16" t="s">
        <v>8540</v>
      </c>
      <c r="B4769" s="1" t="s">
        <v>2628</v>
      </c>
      <c r="C4769" s="1">
        <v>321</v>
      </c>
      <c r="D4769" s="1" t="s">
        <v>52</v>
      </c>
      <c r="E4769" s="1" t="s">
        <v>6</v>
      </c>
      <c r="F4769" s="1" t="s">
        <v>5091</v>
      </c>
      <c r="G4769" s="14" t="s">
        <v>8541</v>
      </c>
      <c r="H4769" s="1" t="s">
        <v>5</v>
      </c>
      <c r="I4769" s="17">
        <v>41640</v>
      </c>
    </row>
    <row r="4770" spans="1:9">
      <c r="A4770" s="16" t="s">
        <v>8549</v>
      </c>
      <c r="B4770" s="1" t="s">
        <v>2628</v>
      </c>
      <c r="C4770" s="1">
        <v>321</v>
      </c>
      <c r="D4770" s="1" t="s">
        <v>52</v>
      </c>
      <c r="E4770" s="1" t="s">
        <v>6</v>
      </c>
      <c r="F4770" s="1" t="s">
        <v>5091</v>
      </c>
      <c r="G4770" s="14" t="s">
        <v>8550</v>
      </c>
      <c r="H4770" s="1" t="s">
        <v>5</v>
      </c>
      <c r="I4770" s="17">
        <v>41640</v>
      </c>
    </row>
    <row r="4771" spans="1:9">
      <c r="A4771" s="16" t="s">
        <v>8554</v>
      </c>
      <c r="B4771" s="1" t="s">
        <v>2628</v>
      </c>
      <c r="C4771" s="1">
        <v>321</v>
      </c>
      <c r="D4771" s="1" t="s">
        <v>52</v>
      </c>
      <c r="E4771" s="1" t="s">
        <v>6</v>
      </c>
      <c r="F4771" s="1" t="s">
        <v>5091</v>
      </c>
      <c r="G4771" s="14" t="s">
        <v>8555</v>
      </c>
      <c r="H4771" s="1" t="s">
        <v>43</v>
      </c>
      <c r="I4771" s="17">
        <v>40883</v>
      </c>
    </row>
    <row r="4772" spans="1:9">
      <c r="A4772" s="16" t="s">
        <v>8556</v>
      </c>
      <c r="B4772" s="1" t="s">
        <v>2628</v>
      </c>
      <c r="C4772" s="1">
        <v>321</v>
      </c>
      <c r="D4772" s="1" t="s">
        <v>52</v>
      </c>
      <c r="E4772" s="1" t="s">
        <v>6</v>
      </c>
      <c r="F4772" s="1" t="s">
        <v>5091</v>
      </c>
      <c r="G4772" s="14" t="s">
        <v>8557</v>
      </c>
      <c r="H4772" s="1" t="s">
        <v>43</v>
      </c>
      <c r="I4772" s="17">
        <v>40883</v>
      </c>
    </row>
    <row r="4773" spans="1:9">
      <c r="A4773" s="16" t="s">
        <v>8558</v>
      </c>
      <c r="B4773" s="1" t="s">
        <v>2628</v>
      </c>
      <c r="C4773" s="1">
        <v>321</v>
      </c>
      <c r="D4773" s="1" t="s">
        <v>52</v>
      </c>
      <c r="E4773" s="1" t="s">
        <v>6</v>
      </c>
      <c r="F4773" s="1" t="s">
        <v>5091</v>
      </c>
      <c r="G4773" s="14" t="s">
        <v>8559</v>
      </c>
      <c r="H4773" s="1" t="s">
        <v>43</v>
      </c>
      <c r="I4773" s="17">
        <v>40883</v>
      </c>
    </row>
    <row r="4774" spans="1:9">
      <c r="A4774" s="16" t="s">
        <v>8562</v>
      </c>
      <c r="B4774" s="1" t="s">
        <v>2628</v>
      </c>
      <c r="C4774" s="1">
        <v>321</v>
      </c>
      <c r="D4774" s="1" t="s">
        <v>52</v>
      </c>
      <c r="E4774" s="1" t="s">
        <v>6</v>
      </c>
      <c r="F4774" s="1" t="s">
        <v>5091</v>
      </c>
      <c r="G4774" s="14" t="s">
        <v>8563</v>
      </c>
      <c r="H4774" s="1" t="s">
        <v>43</v>
      </c>
      <c r="I4774" s="17">
        <v>40883</v>
      </c>
    </row>
    <row r="4775" spans="1:9">
      <c r="A4775" s="16" t="s">
        <v>8574</v>
      </c>
      <c r="B4775" s="1" t="s">
        <v>2628</v>
      </c>
      <c r="C4775" s="1">
        <v>321</v>
      </c>
      <c r="D4775" s="1" t="s">
        <v>52</v>
      </c>
      <c r="E4775" s="1" t="s">
        <v>6</v>
      </c>
      <c r="F4775" s="1" t="s">
        <v>5091</v>
      </c>
      <c r="G4775" s="14" t="s">
        <v>8575</v>
      </c>
      <c r="H4775" s="1" t="s">
        <v>43</v>
      </c>
      <c r="I4775" s="17">
        <v>40883</v>
      </c>
    </row>
    <row r="4776" spans="1:9">
      <c r="A4776" s="16" t="s">
        <v>8581</v>
      </c>
      <c r="B4776" s="1" t="s">
        <v>2628</v>
      </c>
      <c r="C4776" s="1">
        <v>321</v>
      </c>
      <c r="D4776" s="1" t="s">
        <v>52</v>
      </c>
      <c r="E4776" s="1" t="s">
        <v>6</v>
      </c>
      <c r="F4776" s="1" t="s">
        <v>5091</v>
      </c>
      <c r="G4776" s="14" t="s">
        <v>4458</v>
      </c>
      <c r="H4776" s="1" t="s">
        <v>118</v>
      </c>
      <c r="I4776" s="1" t="s">
        <v>4458</v>
      </c>
    </row>
    <row r="4777" spans="1:9">
      <c r="A4777" s="16" t="s">
        <v>8586</v>
      </c>
      <c r="B4777" s="1" t="s">
        <v>2628</v>
      </c>
      <c r="C4777" s="1">
        <v>321</v>
      </c>
      <c r="D4777" s="1" t="s">
        <v>52</v>
      </c>
      <c r="E4777" s="1" t="s">
        <v>6</v>
      </c>
      <c r="F4777" s="1" t="s">
        <v>5091</v>
      </c>
      <c r="G4777" s="14" t="s">
        <v>8587</v>
      </c>
      <c r="H4777" s="1" t="s">
        <v>5</v>
      </c>
      <c r="I4777" s="17">
        <v>41640</v>
      </c>
    </row>
    <row r="4778" spans="1:9">
      <c r="A4778" s="16" t="s">
        <v>8599</v>
      </c>
      <c r="B4778" s="1" t="s">
        <v>2628</v>
      </c>
      <c r="C4778" s="1">
        <v>321</v>
      </c>
      <c r="D4778" s="1" t="s">
        <v>52</v>
      </c>
      <c r="E4778" s="1" t="s">
        <v>6</v>
      </c>
      <c r="F4778" s="1" t="s">
        <v>5091</v>
      </c>
      <c r="G4778" s="14" t="s">
        <v>8600</v>
      </c>
      <c r="H4778" s="1" t="s">
        <v>5</v>
      </c>
      <c r="I4778" s="17">
        <v>41856</v>
      </c>
    </row>
    <row r="4779" spans="1:9">
      <c r="A4779" s="16" t="s">
        <v>8601</v>
      </c>
      <c r="B4779" s="1" t="s">
        <v>2628</v>
      </c>
      <c r="C4779" s="1">
        <v>321</v>
      </c>
      <c r="D4779" s="1" t="s">
        <v>52</v>
      </c>
      <c r="E4779" s="1" t="s">
        <v>6</v>
      </c>
      <c r="F4779" s="1" t="s">
        <v>5091</v>
      </c>
      <c r="G4779" s="14" t="s">
        <v>8602</v>
      </c>
      <c r="H4779" s="1" t="s">
        <v>5</v>
      </c>
      <c r="I4779" s="17">
        <v>41640</v>
      </c>
    </row>
    <row r="4780" spans="1:9">
      <c r="A4780" s="16" t="s">
        <v>8606</v>
      </c>
      <c r="B4780" s="1" t="s">
        <v>2628</v>
      </c>
      <c r="C4780" s="1">
        <v>321</v>
      </c>
      <c r="D4780" s="1" t="s">
        <v>52</v>
      </c>
      <c r="E4780" s="1" t="s">
        <v>6</v>
      </c>
      <c r="F4780" s="1" t="s">
        <v>5091</v>
      </c>
      <c r="G4780" s="14" t="s">
        <v>6236</v>
      </c>
      <c r="H4780" s="1" t="s">
        <v>43</v>
      </c>
      <c r="I4780" s="17">
        <v>41640</v>
      </c>
    </row>
    <row r="4781" spans="1:9">
      <c r="A4781" s="16" t="s">
        <v>8638</v>
      </c>
      <c r="B4781" s="1" t="s">
        <v>2628</v>
      </c>
      <c r="C4781" s="1">
        <v>321</v>
      </c>
      <c r="D4781" s="1" t="s">
        <v>52</v>
      </c>
      <c r="E4781" s="1" t="s">
        <v>6</v>
      </c>
      <c r="F4781" s="1" t="s">
        <v>5091</v>
      </c>
      <c r="G4781" s="14" t="s">
        <v>6145</v>
      </c>
      <c r="H4781" s="1" t="s">
        <v>43</v>
      </c>
      <c r="I4781" s="17">
        <v>41905</v>
      </c>
    </row>
    <row r="4782" spans="1:9">
      <c r="A4782" s="16" t="s">
        <v>8642</v>
      </c>
      <c r="B4782" s="1" t="s">
        <v>2628</v>
      </c>
      <c r="C4782" s="1">
        <v>321</v>
      </c>
      <c r="D4782" s="1" t="s">
        <v>52</v>
      </c>
      <c r="E4782" s="1" t="s">
        <v>6</v>
      </c>
      <c r="F4782" s="1" t="s">
        <v>5091</v>
      </c>
      <c r="G4782" s="14" t="s">
        <v>6145</v>
      </c>
      <c r="H4782" s="1" t="s">
        <v>43</v>
      </c>
      <c r="I4782" s="17">
        <v>41905</v>
      </c>
    </row>
    <row r="4783" spans="1:9">
      <c r="A4783" s="16" t="s">
        <v>8643</v>
      </c>
      <c r="B4783" s="1" t="s">
        <v>2628</v>
      </c>
      <c r="C4783" s="1">
        <v>321</v>
      </c>
      <c r="D4783" s="1" t="s">
        <v>52</v>
      </c>
      <c r="E4783" s="1" t="s">
        <v>6</v>
      </c>
      <c r="F4783" s="1" t="s">
        <v>5091</v>
      </c>
      <c r="G4783" s="14" t="s">
        <v>6145</v>
      </c>
      <c r="H4783" s="1" t="s">
        <v>43</v>
      </c>
      <c r="I4783" s="17">
        <v>41905</v>
      </c>
    </row>
    <row r="4784" spans="1:9">
      <c r="A4784" s="16" t="s">
        <v>8657</v>
      </c>
      <c r="B4784" s="1" t="s">
        <v>2628</v>
      </c>
      <c r="C4784" s="1">
        <v>321</v>
      </c>
      <c r="D4784" s="1" t="s">
        <v>52</v>
      </c>
      <c r="E4784" s="1" t="s">
        <v>6</v>
      </c>
      <c r="F4784" s="1" t="s">
        <v>5091</v>
      </c>
      <c r="G4784" s="14" t="s">
        <v>8658</v>
      </c>
      <c r="H4784" s="1" t="s">
        <v>5</v>
      </c>
      <c r="I4784" s="17">
        <v>41898</v>
      </c>
    </row>
    <row r="4785" spans="1:9">
      <c r="A4785" s="16" t="s">
        <v>8703</v>
      </c>
      <c r="B4785" s="1" t="s">
        <v>2628</v>
      </c>
      <c r="C4785" s="1">
        <v>321</v>
      </c>
      <c r="D4785" s="1" t="s">
        <v>52</v>
      </c>
      <c r="E4785" s="1" t="s">
        <v>6</v>
      </c>
      <c r="F4785" s="1" t="s">
        <v>5091</v>
      </c>
      <c r="G4785" s="14" t="s">
        <v>8704</v>
      </c>
      <c r="H4785" s="1" t="s">
        <v>5</v>
      </c>
      <c r="I4785" s="17">
        <v>41640</v>
      </c>
    </row>
    <row r="4786" spans="1:9">
      <c r="A4786" s="16" t="s">
        <v>8705</v>
      </c>
      <c r="B4786" s="1" t="s">
        <v>2628</v>
      </c>
      <c r="C4786" s="1">
        <v>321</v>
      </c>
      <c r="D4786" s="1" t="s">
        <v>52</v>
      </c>
      <c r="E4786" s="1" t="s">
        <v>6</v>
      </c>
      <c r="F4786" s="1" t="s">
        <v>5091</v>
      </c>
      <c r="G4786" s="14" t="s">
        <v>8699</v>
      </c>
      <c r="H4786" s="1" t="s">
        <v>43</v>
      </c>
      <c r="I4786" s="17">
        <v>41640</v>
      </c>
    </row>
    <row r="4787" spans="1:9">
      <c r="A4787" s="16" t="s">
        <v>8706</v>
      </c>
      <c r="B4787" s="1" t="s">
        <v>2628</v>
      </c>
      <c r="C4787" s="1">
        <v>321</v>
      </c>
      <c r="D4787" s="1" t="s">
        <v>52</v>
      </c>
      <c r="E4787" s="1" t="s">
        <v>6</v>
      </c>
      <c r="F4787" s="1" t="s">
        <v>5091</v>
      </c>
      <c r="G4787" s="14" t="s">
        <v>8707</v>
      </c>
      <c r="H4787" s="1" t="s">
        <v>5</v>
      </c>
      <c r="I4787" s="17">
        <v>41640</v>
      </c>
    </row>
    <row r="4788" spans="1:9">
      <c r="A4788" s="16" t="s">
        <v>8714</v>
      </c>
      <c r="B4788" s="1" t="s">
        <v>2628</v>
      </c>
      <c r="C4788" s="1">
        <v>321</v>
      </c>
      <c r="D4788" s="1" t="s">
        <v>52</v>
      </c>
      <c r="E4788" s="1" t="s">
        <v>6</v>
      </c>
      <c r="F4788" s="1" t="s">
        <v>118</v>
      </c>
      <c r="G4788" s="14" t="s">
        <v>4803</v>
      </c>
      <c r="H4788" s="1" t="s">
        <v>5</v>
      </c>
      <c r="I4788" s="1" t="s">
        <v>4458</v>
      </c>
    </row>
    <row r="4789" spans="1:9">
      <c r="A4789" s="16" t="s">
        <v>8716</v>
      </c>
      <c r="B4789" s="1" t="s">
        <v>2628</v>
      </c>
      <c r="C4789" s="1">
        <v>321</v>
      </c>
      <c r="D4789" s="1" t="s">
        <v>52</v>
      </c>
      <c r="E4789" s="1" t="s">
        <v>6</v>
      </c>
      <c r="F4789" s="1" t="s">
        <v>5091</v>
      </c>
      <c r="G4789" s="14" t="s">
        <v>8699</v>
      </c>
      <c r="H4789" s="1" t="s">
        <v>43</v>
      </c>
      <c r="I4789" s="17">
        <v>41640</v>
      </c>
    </row>
    <row r="4790" spans="1:9">
      <c r="A4790" s="16" t="s">
        <v>8719</v>
      </c>
      <c r="B4790" s="1" t="s">
        <v>2628</v>
      </c>
      <c r="C4790" s="1">
        <v>321</v>
      </c>
      <c r="D4790" s="1" t="s">
        <v>52</v>
      </c>
      <c r="E4790" s="1" t="s">
        <v>6</v>
      </c>
      <c r="F4790" s="1" t="s">
        <v>5091</v>
      </c>
      <c r="G4790" s="14" t="s">
        <v>8720</v>
      </c>
      <c r="H4790" s="1" t="s">
        <v>43</v>
      </c>
      <c r="I4790" s="17">
        <v>40883</v>
      </c>
    </row>
    <row r="4791" spans="1:9">
      <c r="A4791" s="16" t="s">
        <v>8722</v>
      </c>
      <c r="B4791" s="1" t="s">
        <v>2628</v>
      </c>
      <c r="C4791" s="1">
        <v>321</v>
      </c>
      <c r="D4791" s="1" t="s">
        <v>52</v>
      </c>
      <c r="E4791" s="1" t="s">
        <v>6</v>
      </c>
      <c r="F4791" s="1" t="s">
        <v>5091</v>
      </c>
      <c r="G4791" s="14" t="s">
        <v>8723</v>
      </c>
      <c r="H4791" s="1" t="s">
        <v>43</v>
      </c>
      <c r="I4791" s="17">
        <v>40883</v>
      </c>
    </row>
    <row r="4792" spans="1:9">
      <c r="A4792" s="16" t="s">
        <v>8735</v>
      </c>
      <c r="B4792" s="1" t="s">
        <v>2628</v>
      </c>
      <c r="C4792" s="1">
        <v>321</v>
      </c>
      <c r="D4792" s="1" t="s">
        <v>52</v>
      </c>
      <c r="E4792" s="1" t="s">
        <v>6</v>
      </c>
      <c r="F4792" s="1" t="s">
        <v>5091</v>
      </c>
      <c r="G4792" s="14" t="s">
        <v>4458</v>
      </c>
      <c r="H4792" s="1" t="s">
        <v>118</v>
      </c>
      <c r="I4792" s="1" t="s">
        <v>4458</v>
      </c>
    </row>
    <row r="4793" spans="1:9">
      <c r="A4793" s="16" t="s">
        <v>8745</v>
      </c>
      <c r="B4793" s="1" t="s">
        <v>2628</v>
      </c>
      <c r="C4793" s="1">
        <v>321</v>
      </c>
      <c r="D4793" s="1" t="s">
        <v>52</v>
      </c>
      <c r="E4793" s="1" t="s">
        <v>6</v>
      </c>
      <c r="F4793" s="1" t="s">
        <v>5091</v>
      </c>
      <c r="G4793" s="14" t="s">
        <v>6145</v>
      </c>
      <c r="H4793" s="1" t="s">
        <v>43</v>
      </c>
      <c r="I4793" s="17">
        <v>41990</v>
      </c>
    </row>
    <row r="4794" spans="1:9">
      <c r="A4794" s="16" t="s">
        <v>8746</v>
      </c>
      <c r="B4794" s="1" t="s">
        <v>2628</v>
      </c>
      <c r="C4794" s="1">
        <v>321</v>
      </c>
      <c r="D4794" s="1" t="s">
        <v>52</v>
      </c>
      <c r="E4794" s="1" t="s">
        <v>6</v>
      </c>
      <c r="F4794" s="1" t="s">
        <v>5091</v>
      </c>
      <c r="G4794" s="14" t="s">
        <v>2387</v>
      </c>
      <c r="H4794" s="1" t="s">
        <v>5</v>
      </c>
      <c r="I4794" s="17">
        <v>41990</v>
      </c>
    </row>
    <row r="4795" spans="1:9">
      <c r="A4795" s="16" t="s">
        <v>8747</v>
      </c>
      <c r="B4795" s="1" t="s">
        <v>2628</v>
      </c>
      <c r="C4795" s="1">
        <v>321</v>
      </c>
      <c r="D4795" s="1" t="s">
        <v>52</v>
      </c>
      <c r="E4795" s="1" t="s">
        <v>6</v>
      </c>
      <c r="F4795" s="1" t="s">
        <v>5091</v>
      </c>
      <c r="G4795" s="14" t="s">
        <v>6145</v>
      </c>
      <c r="H4795" s="1" t="s">
        <v>43</v>
      </c>
      <c r="I4795" s="17">
        <v>41990</v>
      </c>
    </row>
    <row r="4796" spans="1:9">
      <c r="A4796" s="16" t="s">
        <v>8750</v>
      </c>
      <c r="B4796" s="1" t="s">
        <v>2628</v>
      </c>
      <c r="C4796" s="1">
        <v>321</v>
      </c>
      <c r="D4796" s="1" t="s">
        <v>52</v>
      </c>
      <c r="E4796" s="1" t="s">
        <v>6</v>
      </c>
      <c r="F4796" s="1" t="s">
        <v>5091</v>
      </c>
      <c r="G4796" s="14" t="s">
        <v>2387</v>
      </c>
      <c r="H4796" s="1" t="s">
        <v>5</v>
      </c>
      <c r="I4796" s="17">
        <v>41990</v>
      </c>
    </row>
    <row r="4797" spans="1:9">
      <c r="A4797" s="16" t="s">
        <v>8756</v>
      </c>
      <c r="B4797" s="1" t="s">
        <v>2628</v>
      </c>
      <c r="C4797" s="1">
        <v>321</v>
      </c>
      <c r="D4797" s="1" t="s">
        <v>52</v>
      </c>
      <c r="E4797" s="1" t="s">
        <v>6</v>
      </c>
      <c r="F4797" s="1" t="s">
        <v>5091</v>
      </c>
      <c r="G4797" s="14" t="s">
        <v>8757</v>
      </c>
      <c r="H4797" s="1" t="s">
        <v>5</v>
      </c>
      <c r="I4797" s="17">
        <v>41941</v>
      </c>
    </row>
    <row r="4798" spans="1:9">
      <c r="A4798" s="16" t="s">
        <v>8759</v>
      </c>
      <c r="B4798" s="1" t="s">
        <v>2628</v>
      </c>
      <c r="C4798" s="1">
        <v>321</v>
      </c>
      <c r="D4798" s="1" t="s">
        <v>52</v>
      </c>
      <c r="E4798" s="1" t="s">
        <v>6</v>
      </c>
      <c r="F4798" s="1" t="s">
        <v>5091</v>
      </c>
      <c r="G4798" s="14" t="s">
        <v>6145</v>
      </c>
      <c r="H4798" s="1" t="s">
        <v>43</v>
      </c>
      <c r="I4798" s="17">
        <v>42016</v>
      </c>
    </row>
    <row r="4799" spans="1:9">
      <c r="A4799" s="16" t="s">
        <v>8807</v>
      </c>
      <c r="B4799" s="1" t="s">
        <v>2628</v>
      </c>
      <c r="C4799" s="1">
        <v>321</v>
      </c>
      <c r="D4799" s="1" t="s">
        <v>52</v>
      </c>
      <c r="E4799" s="1" t="s">
        <v>6</v>
      </c>
      <c r="F4799" s="1" t="s">
        <v>5091</v>
      </c>
      <c r="G4799" s="14" t="s">
        <v>8808</v>
      </c>
      <c r="H4799" s="1" t="s">
        <v>5</v>
      </c>
      <c r="I4799" s="17">
        <v>37445</v>
      </c>
    </row>
    <row r="4800" spans="1:9">
      <c r="A4800" s="16" t="s">
        <v>8833</v>
      </c>
      <c r="B4800" s="1" t="s">
        <v>2628</v>
      </c>
      <c r="C4800" s="1">
        <v>321</v>
      </c>
      <c r="D4800" s="1" t="s">
        <v>52</v>
      </c>
      <c r="E4800" s="1" t="s">
        <v>6</v>
      </c>
      <c r="F4800" s="1" t="s">
        <v>5091</v>
      </c>
      <c r="G4800" s="14" t="s">
        <v>8834</v>
      </c>
      <c r="H4800" s="1" t="s">
        <v>43</v>
      </c>
      <c r="I4800" s="17">
        <v>41640</v>
      </c>
    </row>
    <row r="4801" spans="1:9">
      <c r="A4801" s="16" t="s">
        <v>8852</v>
      </c>
      <c r="B4801" s="1" t="s">
        <v>2628</v>
      </c>
      <c r="C4801" s="1">
        <v>321</v>
      </c>
      <c r="D4801" s="1" t="s">
        <v>52</v>
      </c>
      <c r="E4801" s="1" t="s">
        <v>6</v>
      </c>
      <c r="F4801" s="1" t="s">
        <v>118</v>
      </c>
      <c r="G4801" s="14" t="s">
        <v>4458</v>
      </c>
      <c r="H4801" s="1" t="s">
        <v>118</v>
      </c>
      <c r="I4801" s="1" t="s">
        <v>4458</v>
      </c>
    </row>
    <row r="4802" spans="1:9">
      <c r="A4802" s="16" t="s">
        <v>8863</v>
      </c>
      <c r="B4802" s="1" t="s">
        <v>2628</v>
      </c>
      <c r="C4802" s="1">
        <v>321</v>
      </c>
      <c r="D4802" s="1" t="s">
        <v>52</v>
      </c>
      <c r="E4802" s="1" t="s">
        <v>6</v>
      </c>
      <c r="F4802" s="1" t="s">
        <v>118</v>
      </c>
      <c r="G4802" s="14" t="s">
        <v>4458</v>
      </c>
      <c r="H4802" s="1" t="s">
        <v>118</v>
      </c>
      <c r="I4802" s="1" t="s">
        <v>4458</v>
      </c>
    </row>
    <row r="4803" spans="1:9">
      <c r="A4803" s="16" t="s">
        <v>8872</v>
      </c>
      <c r="B4803" s="1" t="s">
        <v>2628</v>
      </c>
      <c r="C4803" s="1">
        <v>321</v>
      </c>
      <c r="D4803" s="1" t="s">
        <v>52</v>
      </c>
      <c r="E4803" s="1" t="s">
        <v>6</v>
      </c>
      <c r="F4803" s="1" t="s">
        <v>118</v>
      </c>
      <c r="G4803" s="14" t="s">
        <v>4458</v>
      </c>
      <c r="H4803" s="1" t="s">
        <v>118</v>
      </c>
      <c r="I4803" s="1" t="s">
        <v>4458</v>
      </c>
    </row>
    <row r="4804" spans="1:9">
      <c r="A4804" s="16" t="s">
        <v>8875</v>
      </c>
      <c r="B4804" s="1" t="s">
        <v>2628</v>
      </c>
      <c r="C4804" s="1">
        <v>321</v>
      </c>
      <c r="D4804" s="1" t="s">
        <v>52</v>
      </c>
      <c r="E4804" s="1" t="s">
        <v>6</v>
      </c>
      <c r="F4804" s="1" t="s">
        <v>118</v>
      </c>
      <c r="G4804" s="14" t="s">
        <v>4458</v>
      </c>
      <c r="H4804" s="1" t="s">
        <v>118</v>
      </c>
      <c r="I4804" s="1" t="s">
        <v>4458</v>
      </c>
    </row>
    <row r="4805" spans="1:9">
      <c r="A4805" s="16" t="s">
        <v>8893</v>
      </c>
      <c r="B4805" s="1" t="s">
        <v>2628</v>
      </c>
      <c r="C4805" s="1">
        <v>321</v>
      </c>
      <c r="D4805" s="1" t="s">
        <v>52</v>
      </c>
      <c r="E4805" s="1" t="s">
        <v>6</v>
      </c>
      <c r="F4805" s="1" t="s">
        <v>5091</v>
      </c>
      <c r="G4805" s="14" t="s">
        <v>8894</v>
      </c>
      <c r="H4805" s="1" t="s">
        <v>5</v>
      </c>
      <c r="I4805" s="17">
        <v>37288</v>
      </c>
    </row>
    <row r="4806" spans="1:9">
      <c r="A4806" s="16" t="s">
        <v>8914</v>
      </c>
      <c r="B4806" s="1" t="s">
        <v>2628</v>
      </c>
      <c r="C4806" s="1">
        <v>321</v>
      </c>
      <c r="D4806" s="1" t="s">
        <v>52</v>
      </c>
      <c r="E4806" s="1" t="s">
        <v>6</v>
      </c>
      <c r="F4806" s="1" t="s">
        <v>5091</v>
      </c>
      <c r="G4806" s="14" t="s">
        <v>8915</v>
      </c>
      <c r="H4806" s="1" t="s">
        <v>5</v>
      </c>
      <c r="I4806" s="17">
        <v>42026</v>
      </c>
    </row>
    <row r="4807" spans="1:9">
      <c r="A4807" s="16" t="s">
        <v>8916</v>
      </c>
      <c r="B4807" s="1" t="s">
        <v>2628</v>
      </c>
      <c r="C4807" s="1">
        <v>321</v>
      </c>
      <c r="D4807" s="1" t="s">
        <v>52</v>
      </c>
      <c r="E4807" s="1" t="s">
        <v>6</v>
      </c>
      <c r="F4807" s="1" t="s">
        <v>5091</v>
      </c>
      <c r="G4807" s="14" t="s">
        <v>8917</v>
      </c>
      <c r="H4807" s="1" t="s">
        <v>5</v>
      </c>
      <c r="I4807" s="17">
        <v>36739</v>
      </c>
    </row>
    <row r="4808" spans="1:9">
      <c r="A4808" s="16" t="s">
        <v>8924</v>
      </c>
      <c r="B4808" s="1" t="s">
        <v>2628</v>
      </c>
      <c r="C4808" s="1">
        <v>321</v>
      </c>
      <c r="D4808" s="1" t="s">
        <v>52</v>
      </c>
      <c r="E4808" s="1" t="s">
        <v>6</v>
      </c>
      <c r="F4808" s="1" t="s">
        <v>5091</v>
      </c>
      <c r="G4808" s="14" t="s">
        <v>6236</v>
      </c>
      <c r="H4808" s="1" t="s">
        <v>43</v>
      </c>
      <c r="I4808" s="17">
        <v>42005</v>
      </c>
    </row>
    <row r="4809" spans="1:9">
      <c r="A4809" s="16" t="s">
        <v>8925</v>
      </c>
      <c r="B4809" s="1" t="s">
        <v>2628</v>
      </c>
      <c r="C4809" s="1">
        <v>321</v>
      </c>
      <c r="D4809" s="1" t="s">
        <v>52</v>
      </c>
      <c r="E4809" s="1" t="s">
        <v>6</v>
      </c>
      <c r="F4809" s="1" t="s">
        <v>5091</v>
      </c>
      <c r="G4809" s="14" t="s">
        <v>8926</v>
      </c>
      <c r="H4809" s="1" t="s">
        <v>5</v>
      </c>
      <c r="I4809" s="17">
        <v>42005</v>
      </c>
    </row>
    <row r="4810" spans="1:9">
      <c r="A4810" s="16" t="s">
        <v>8966</v>
      </c>
      <c r="B4810" s="1" t="s">
        <v>2628</v>
      </c>
      <c r="C4810" s="1">
        <v>321</v>
      </c>
      <c r="D4810" s="1" t="s">
        <v>52</v>
      </c>
      <c r="E4810" s="1" t="s">
        <v>6</v>
      </c>
      <c r="F4810" s="1" t="s">
        <v>5091</v>
      </c>
      <c r="G4810" s="14" t="s">
        <v>8967</v>
      </c>
      <c r="H4810" s="1" t="s">
        <v>5</v>
      </c>
      <c r="I4810" s="17">
        <v>42005</v>
      </c>
    </row>
    <row r="4811" spans="1:9">
      <c r="A4811" s="16" t="s">
        <v>8985</v>
      </c>
      <c r="B4811" s="1" t="s">
        <v>2628</v>
      </c>
      <c r="C4811" s="1">
        <v>321</v>
      </c>
      <c r="D4811" s="1" t="s">
        <v>52</v>
      </c>
      <c r="E4811" s="1" t="s">
        <v>6</v>
      </c>
      <c r="F4811" s="1" t="s">
        <v>5091</v>
      </c>
      <c r="G4811" s="14" t="s">
        <v>6236</v>
      </c>
      <c r="H4811" s="1" t="s">
        <v>43</v>
      </c>
      <c r="I4811" s="17">
        <v>42005</v>
      </c>
    </row>
    <row r="4812" spans="1:9">
      <c r="A4812" s="16" t="s">
        <v>8994</v>
      </c>
      <c r="B4812" s="1" t="s">
        <v>2628</v>
      </c>
      <c r="C4812" s="1">
        <v>321</v>
      </c>
      <c r="D4812" s="1" t="s">
        <v>52</v>
      </c>
      <c r="E4812" s="1" t="s">
        <v>6</v>
      </c>
      <c r="F4812" s="1" t="s">
        <v>5091</v>
      </c>
      <c r="G4812" s="14" t="s">
        <v>4458</v>
      </c>
      <c r="H4812" s="1" t="s">
        <v>118</v>
      </c>
      <c r="I4812" s="1" t="s">
        <v>4458</v>
      </c>
    </row>
    <row r="4813" spans="1:9">
      <c r="A4813" s="16" t="s">
        <v>9015</v>
      </c>
      <c r="B4813" s="1" t="s">
        <v>2628</v>
      </c>
      <c r="C4813" s="1">
        <v>321</v>
      </c>
      <c r="D4813" s="1" t="s">
        <v>52</v>
      </c>
      <c r="E4813" s="1" t="s">
        <v>6</v>
      </c>
      <c r="F4813" s="1" t="s">
        <v>5091</v>
      </c>
      <c r="G4813" s="14" t="s">
        <v>6691</v>
      </c>
      <c r="H4813" s="1" t="s">
        <v>5</v>
      </c>
      <c r="I4813" s="17">
        <v>42114</v>
      </c>
    </row>
    <row r="4814" spans="1:9">
      <c r="A4814" s="16" t="s">
        <v>9016</v>
      </c>
      <c r="B4814" s="1" t="s">
        <v>2628</v>
      </c>
      <c r="C4814" s="1">
        <v>321</v>
      </c>
      <c r="D4814" s="1" t="s">
        <v>52</v>
      </c>
      <c r="E4814" s="1" t="s">
        <v>6</v>
      </c>
      <c r="F4814" s="1" t="s">
        <v>5091</v>
      </c>
      <c r="G4814" s="14" t="s">
        <v>6145</v>
      </c>
      <c r="H4814" s="1" t="s">
        <v>43</v>
      </c>
      <c r="I4814" s="17">
        <v>42102</v>
      </c>
    </row>
    <row r="4815" spans="1:9">
      <c r="A4815" s="16" t="s">
        <v>9017</v>
      </c>
      <c r="B4815" s="1" t="s">
        <v>2628</v>
      </c>
      <c r="C4815" s="1">
        <v>321</v>
      </c>
      <c r="D4815" s="1" t="s">
        <v>52</v>
      </c>
      <c r="E4815" s="1" t="s">
        <v>6</v>
      </c>
      <c r="F4815" s="1" t="s">
        <v>5091</v>
      </c>
      <c r="G4815" s="14" t="s">
        <v>6145</v>
      </c>
      <c r="H4815" s="1" t="s">
        <v>43</v>
      </c>
      <c r="I4815" s="17">
        <v>42102</v>
      </c>
    </row>
    <row r="4816" spans="1:9">
      <c r="A4816" s="16" t="s">
        <v>9020</v>
      </c>
      <c r="B4816" s="1" t="s">
        <v>2628</v>
      </c>
      <c r="C4816" s="1">
        <v>321</v>
      </c>
      <c r="D4816" s="1" t="s">
        <v>52</v>
      </c>
      <c r="E4816" s="1" t="s">
        <v>6</v>
      </c>
      <c r="F4816" s="1" t="s">
        <v>5091</v>
      </c>
      <c r="G4816" s="14" t="s">
        <v>6145</v>
      </c>
      <c r="H4816" s="1" t="s">
        <v>43</v>
      </c>
      <c r="I4816" s="17">
        <v>42102</v>
      </c>
    </row>
    <row r="4817" spans="1:9">
      <c r="A4817" s="16" t="s">
        <v>9025</v>
      </c>
      <c r="B4817" s="1" t="s">
        <v>2628</v>
      </c>
      <c r="C4817" s="1">
        <v>321</v>
      </c>
      <c r="D4817" s="1" t="s">
        <v>52</v>
      </c>
      <c r="E4817" s="1" t="s">
        <v>6</v>
      </c>
      <c r="F4817" s="1" t="s">
        <v>5091</v>
      </c>
      <c r="G4817" s="14" t="s">
        <v>6236</v>
      </c>
      <c r="H4817" s="1" t="s">
        <v>43</v>
      </c>
      <c r="I4817" s="17">
        <v>42005</v>
      </c>
    </row>
    <row r="4818" spans="1:9">
      <c r="A4818" s="16" t="s">
        <v>9028</v>
      </c>
      <c r="B4818" s="1" t="s">
        <v>2628</v>
      </c>
      <c r="C4818" s="1">
        <v>321</v>
      </c>
      <c r="D4818" s="1" t="s">
        <v>52</v>
      </c>
      <c r="E4818" s="1" t="s">
        <v>6</v>
      </c>
      <c r="F4818" s="1" t="s">
        <v>5091</v>
      </c>
      <c r="G4818" s="14" t="s">
        <v>6236</v>
      </c>
      <c r="H4818" s="1" t="s">
        <v>43</v>
      </c>
      <c r="I4818" s="17">
        <v>42005</v>
      </c>
    </row>
    <row r="4819" spans="1:9">
      <c r="A4819" s="16" t="s">
        <v>9032</v>
      </c>
      <c r="B4819" s="1" t="s">
        <v>2628</v>
      </c>
      <c r="C4819" s="1">
        <v>321</v>
      </c>
      <c r="D4819" s="1" t="s">
        <v>52</v>
      </c>
      <c r="E4819" s="1" t="s">
        <v>6</v>
      </c>
      <c r="F4819" s="1" t="s">
        <v>5091</v>
      </c>
      <c r="G4819" s="14" t="s">
        <v>6145</v>
      </c>
      <c r="H4819" s="1" t="s">
        <v>43</v>
      </c>
      <c r="I4819" s="17">
        <v>41990</v>
      </c>
    </row>
    <row r="4820" spans="1:9">
      <c r="A4820" s="16" t="s">
        <v>9033</v>
      </c>
      <c r="B4820" s="1" t="s">
        <v>2628</v>
      </c>
      <c r="C4820" s="1">
        <v>321</v>
      </c>
      <c r="D4820" s="1" t="s">
        <v>52</v>
      </c>
      <c r="E4820" s="1" t="s">
        <v>6</v>
      </c>
      <c r="F4820" s="1" t="s">
        <v>5091</v>
      </c>
      <c r="G4820" s="14" t="s">
        <v>6145</v>
      </c>
      <c r="H4820" s="1" t="s">
        <v>43</v>
      </c>
      <c r="I4820" s="17">
        <v>41990</v>
      </c>
    </row>
    <row r="4821" spans="1:9">
      <c r="A4821" s="16" t="s">
        <v>9034</v>
      </c>
      <c r="B4821" s="1" t="s">
        <v>2628</v>
      </c>
      <c r="C4821" s="1">
        <v>321</v>
      </c>
      <c r="D4821" s="1" t="s">
        <v>52</v>
      </c>
      <c r="E4821" s="1" t="s">
        <v>6</v>
      </c>
      <c r="F4821" s="1" t="s">
        <v>5091</v>
      </c>
      <c r="G4821" s="14" t="s">
        <v>6145</v>
      </c>
      <c r="H4821" s="1" t="s">
        <v>43</v>
      </c>
      <c r="I4821" s="17">
        <v>41990</v>
      </c>
    </row>
    <row r="4822" spans="1:9">
      <c r="A4822" s="16" t="s">
        <v>9035</v>
      </c>
      <c r="B4822" s="1" t="s">
        <v>2628</v>
      </c>
      <c r="C4822" s="1">
        <v>321</v>
      </c>
      <c r="D4822" s="1" t="s">
        <v>52</v>
      </c>
      <c r="E4822" s="1" t="s">
        <v>6</v>
      </c>
      <c r="F4822" s="1" t="s">
        <v>5091</v>
      </c>
      <c r="G4822" s="14" t="s">
        <v>6145</v>
      </c>
      <c r="H4822" s="1" t="s">
        <v>43</v>
      </c>
      <c r="I4822" s="17">
        <v>41990</v>
      </c>
    </row>
    <row r="4823" spans="1:9">
      <c r="A4823" s="16" t="s">
        <v>9036</v>
      </c>
      <c r="B4823" s="1" t="s">
        <v>2628</v>
      </c>
      <c r="C4823" s="1">
        <v>321</v>
      </c>
      <c r="D4823" s="1" t="s">
        <v>52</v>
      </c>
      <c r="E4823" s="1" t="s">
        <v>6</v>
      </c>
      <c r="F4823" s="1" t="s">
        <v>5091</v>
      </c>
      <c r="G4823" s="14" t="s">
        <v>6145</v>
      </c>
      <c r="H4823" s="1" t="s">
        <v>43</v>
      </c>
      <c r="I4823" s="17">
        <v>41990</v>
      </c>
    </row>
    <row r="4824" spans="1:9">
      <c r="A4824" s="16" t="s">
        <v>9037</v>
      </c>
      <c r="B4824" s="1" t="s">
        <v>2628</v>
      </c>
      <c r="C4824" s="1">
        <v>321</v>
      </c>
      <c r="D4824" s="1" t="s">
        <v>52</v>
      </c>
      <c r="E4824" s="1" t="s">
        <v>6</v>
      </c>
      <c r="F4824" s="1" t="s">
        <v>5091</v>
      </c>
      <c r="G4824" s="14" t="s">
        <v>6145</v>
      </c>
      <c r="H4824" s="1" t="s">
        <v>43</v>
      </c>
      <c r="I4824" s="17">
        <v>41990</v>
      </c>
    </row>
    <row r="4825" spans="1:9">
      <c r="A4825" s="16" t="s">
        <v>9038</v>
      </c>
      <c r="B4825" s="1" t="s">
        <v>2628</v>
      </c>
      <c r="C4825" s="1">
        <v>321</v>
      </c>
      <c r="D4825" s="1" t="s">
        <v>52</v>
      </c>
      <c r="E4825" s="1" t="s">
        <v>6</v>
      </c>
      <c r="F4825" s="1" t="s">
        <v>5091</v>
      </c>
      <c r="G4825" s="14" t="s">
        <v>6145</v>
      </c>
      <c r="H4825" s="1" t="s">
        <v>43</v>
      </c>
      <c r="I4825" s="17">
        <v>41990</v>
      </c>
    </row>
    <row r="4826" spans="1:9">
      <c r="A4826" s="16" t="s">
        <v>9039</v>
      </c>
      <c r="B4826" s="1" t="s">
        <v>2628</v>
      </c>
      <c r="C4826" s="1">
        <v>321</v>
      </c>
      <c r="D4826" s="1" t="s">
        <v>52</v>
      </c>
      <c r="E4826" s="1" t="s">
        <v>6</v>
      </c>
      <c r="F4826" s="1" t="s">
        <v>5091</v>
      </c>
      <c r="G4826" s="14" t="s">
        <v>6145</v>
      </c>
      <c r="H4826" s="1" t="s">
        <v>43</v>
      </c>
      <c r="I4826" s="17">
        <v>41990</v>
      </c>
    </row>
    <row r="4827" spans="1:9">
      <c r="A4827" s="16" t="s">
        <v>9040</v>
      </c>
      <c r="B4827" s="1" t="s">
        <v>2628</v>
      </c>
      <c r="C4827" s="1">
        <v>321</v>
      </c>
      <c r="D4827" s="1" t="s">
        <v>52</v>
      </c>
      <c r="E4827" s="1" t="s">
        <v>6</v>
      </c>
      <c r="F4827" s="1" t="s">
        <v>5091</v>
      </c>
      <c r="G4827" s="14" t="s">
        <v>6145</v>
      </c>
      <c r="H4827" s="1" t="s">
        <v>43</v>
      </c>
      <c r="I4827" s="17">
        <v>41990</v>
      </c>
    </row>
    <row r="4828" spans="1:9">
      <c r="A4828" s="16" t="s">
        <v>9042</v>
      </c>
      <c r="B4828" s="1" t="s">
        <v>2628</v>
      </c>
      <c r="C4828" s="1">
        <v>321</v>
      </c>
      <c r="D4828" s="1" t="s">
        <v>52</v>
      </c>
      <c r="E4828" s="1" t="s">
        <v>6</v>
      </c>
      <c r="F4828" s="1" t="s">
        <v>5091</v>
      </c>
      <c r="G4828" s="14" t="s">
        <v>6145</v>
      </c>
      <c r="H4828" s="1" t="s">
        <v>43</v>
      </c>
      <c r="I4828" s="17">
        <v>41990</v>
      </c>
    </row>
    <row r="4829" spans="1:9">
      <c r="A4829" s="16" t="s">
        <v>9043</v>
      </c>
      <c r="B4829" s="1" t="s">
        <v>2628</v>
      </c>
      <c r="C4829" s="1">
        <v>321</v>
      </c>
      <c r="D4829" s="1" t="s">
        <v>52</v>
      </c>
      <c r="E4829" s="1" t="s">
        <v>6</v>
      </c>
      <c r="F4829" s="1" t="s">
        <v>5091</v>
      </c>
      <c r="G4829" s="14" t="s">
        <v>6145</v>
      </c>
      <c r="H4829" s="1" t="s">
        <v>43</v>
      </c>
      <c r="I4829" s="17">
        <v>41990</v>
      </c>
    </row>
    <row r="4830" spans="1:9">
      <c r="A4830" s="16" t="s">
        <v>9044</v>
      </c>
      <c r="B4830" s="1" t="s">
        <v>2628</v>
      </c>
      <c r="C4830" s="1">
        <v>321</v>
      </c>
      <c r="D4830" s="1" t="s">
        <v>52</v>
      </c>
      <c r="E4830" s="1" t="s">
        <v>6</v>
      </c>
      <c r="F4830" s="1" t="s">
        <v>5091</v>
      </c>
      <c r="G4830" s="14" t="s">
        <v>6145</v>
      </c>
      <c r="H4830" s="1" t="s">
        <v>43</v>
      </c>
      <c r="I4830" s="17">
        <v>41990</v>
      </c>
    </row>
    <row r="4831" spans="1:9">
      <c r="A4831" s="16" t="s">
        <v>9045</v>
      </c>
      <c r="B4831" s="1" t="s">
        <v>2628</v>
      </c>
      <c r="C4831" s="1">
        <v>321</v>
      </c>
      <c r="D4831" s="1" t="s">
        <v>52</v>
      </c>
      <c r="E4831" s="1" t="s">
        <v>6</v>
      </c>
      <c r="F4831" s="1" t="s">
        <v>5091</v>
      </c>
      <c r="G4831" s="14" t="s">
        <v>6145</v>
      </c>
      <c r="H4831" s="1" t="s">
        <v>43</v>
      </c>
      <c r="I4831" s="17">
        <v>41990</v>
      </c>
    </row>
    <row r="4832" spans="1:9">
      <c r="A4832" s="16" t="s">
        <v>9046</v>
      </c>
      <c r="B4832" s="1" t="s">
        <v>2628</v>
      </c>
      <c r="C4832" s="1">
        <v>321</v>
      </c>
      <c r="D4832" s="1" t="s">
        <v>52</v>
      </c>
      <c r="E4832" s="1" t="s">
        <v>6</v>
      </c>
      <c r="F4832" s="1" t="s">
        <v>5091</v>
      </c>
      <c r="G4832" s="14" t="s">
        <v>6145</v>
      </c>
      <c r="H4832" s="1" t="s">
        <v>43</v>
      </c>
      <c r="I4832" s="17">
        <v>41990</v>
      </c>
    </row>
    <row r="4833" spans="1:9">
      <c r="A4833" s="16" t="s">
        <v>9047</v>
      </c>
      <c r="B4833" s="1" t="s">
        <v>2628</v>
      </c>
      <c r="C4833" s="1">
        <v>321</v>
      </c>
      <c r="D4833" s="1" t="s">
        <v>52</v>
      </c>
      <c r="E4833" s="1" t="s">
        <v>6</v>
      </c>
      <c r="F4833" s="1" t="s">
        <v>5091</v>
      </c>
      <c r="G4833" s="14" t="s">
        <v>6145</v>
      </c>
      <c r="H4833" s="1" t="s">
        <v>43</v>
      </c>
      <c r="I4833" s="17">
        <v>41990</v>
      </c>
    </row>
    <row r="4834" spans="1:9">
      <c r="A4834" s="16" t="s">
        <v>9048</v>
      </c>
      <c r="B4834" s="1" t="s">
        <v>2628</v>
      </c>
      <c r="C4834" s="1">
        <v>321</v>
      </c>
      <c r="D4834" s="1" t="s">
        <v>52</v>
      </c>
      <c r="E4834" s="1" t="s">
        <v>6</v>
      </c>
      <c r="F4834" s="1" t="s">
        <v>5091</v>
      </c>
      <c r="G4834" s="14" t="s">
        <v>6145</v>
      </c>
      <c r="H4834" s="1" t="s">
        <v>43</v>
      </c>
      <c r="I4834" s="17">
        <v>41990</v>
      </c>
    </row>
    <row r="4835" spans="1:9">
      <c r="A4835" s="16" t="s">
        <v>9065</v>
      </c>
      <c r="B4835" s="1" t="s">
        <v>2628</v>
      </c>
      <c r="C4835" s="1">
        <v>321</v>
      </c>
      <c r="D4835" s="1" t="s">
        <v>52</v>
      </c>
      <c r="E4835" s="1" t="s">
        <v>6</v>
      </c>
      <c r="F4835" s="1" t="s">
        <v>5091</v>
      </c>
      <c r="G4835" s="14" t="s">
        <v>4458</v>
      </c>
      <c r="H4835" s="1" t="s">
        <v>118</v>
      </c>
      <c r="I4835" s="1" t="s">
        <v>4458</v>
      </c>
    </row>
    <row r="4836" spans="1:9">
      <c r="A4836" s="16" t="s">
        <v>9131</v>
      </c>
      <c r="B4836" s="1" t="s">
        <v>2628</v>
      </c>
      <c r="C4836" s="1">
        <v>321</v>
      </c>
      <c r="D4836" s="1" t="s">
        <v>52</v>
      </c>
      <c r="E4836" s="1" t="s">
        <v>6</v>
      </c>
      <c r="F4836" s="1" t="s">
        <v>5091</v>
      </c>
      <c r="G4836" s="14" t="s">
        <v>6186</v>
      </c>
      <c r="H4836" s="1" t="s">
        <v>5</v>
      </c>
      <c r="I4836" s="17">
        <v>42005</v>
      </c>
    </row>
    <row r="4837" spans="1:9">
      <c r="A4837" s="16" t="s">
        <v>9154</v>
      </c>
      <c r="B4837" s="1" t="s">
        <v>2628</v>
      </c>
      <c r="C4837" s="1">
        <v>321</v>
      </c>
      <c r="D4837" s="1" t="s">
        <v>52</v>
      </c>
      <c r="E4837" s="1" t="s">
        <v>6</v>
      </c>
      <c r="F4837" s="1" t="s">
        <v>5091</v>
      </c>
      <c r="G4837" s="14" t="s">
        <v>6145</v>
      </c>
      <c r="H4837" s="1" t="s">
        <v>43</v>
      </c>
      <c r="I4837" s="17">
        <v>42156</v>
      </c>
    </row>
    <row r="4838" spans="1:9" ht="31.2">
      <c r="A4838" s="16" t="s">
        <v>9187</v>
      </c>
      <c r="B4838" s="1" t="s">
        <v>2628</v>
      </c>
      <c r="C4838" s="1">
        <v>321</v>
      </c>
      <c r="D4838" s="1" t="s">
        <v>52</v>
      </c>
      <c r="E4838" s="1" t="s">
        <v>6</v>
      </c>
      <c r="F4838" s="1" t="s">
        <v>5091</v>
      </c>
      <c r="G4838" s="14" t="s">
        <v>7935</v>
      </c>
      <c r="H4838" s="1" t="s">
        <v>5</v>
      </c>
      <c r="I4838" s="17">
        <v>42156</v>
      </c>
    </row>
    <row r="4839" spans="1:9">
      <c r="A4839" s="16" t="s">
        <v>9196</v>
      </c>
      <c r="B4839" s="1" t="s">
        <v>2628</v>
      </c>
      <c r="C4839" s="1">
        <v>321</v>
      </c>
      <c r="D4839" s="1" t="s">
        <v>52</v>
      </c>
      <c r="E4839" s="1" t="s">
        <v>6</v>
      </c>
      <c r="F4839" s="1" t="s">
        <v>5091</v>
      </c>
      <c r="G4839" s="14" t="s">
        <v>6236</v>
      </c>
      <c r="H4839" s="1" t="s">
        <v>43</v>
      </c>
      <c r="I4839" s="17">
        <v>42005</v>
      </c>
    </row>
    <row r="4840" spans="1:9">
      <c r="A4840" s="16" t="s">
        <v>9197</v>
      </c>
      <c r="B4840" s="1" t="s">
        <v>2628</v>
      </c>
      <c r="C4840" s="1">
        <v>321</v>
      </c>
      <c r="D4840" s="1" t="s">
        <v>52</v>
      </c>
      <c r="E4840" s="1" t="s">
        <v>6</v>
      </c>
      <c r="F4840" s="1" t="s">
        <v>5091</v>
      </c>
      <c r="G4840" s="14" t="s">
        <v>9198</v>
      </c>
      <c r="H4840" s="1" t="s">
        <v>5</v>
      </c>
      <c r="I4840" s="17">
        <v>42005</v>
      </c>
    </row>
    <row r="4841" spans="1:9">
      <c r="A4841" s="16" t="s">
        <v>9200</v>
      </c>
      <c r="B4841" s="1" t="s">
        <v>2628</v>
      </c>
      <c r="C4841" s="1">
        <v>321</v>
      </c>
      <c r="D4841" s="1" t="s">
        <v>52</v>
      </c>
      <c r="E4841" s="1" t="s">
        <v>6</v>
      </c>
      <c r="F4841" s="1" t="s">
        <v>5091</v>
      </c>
      <c r="G4841" s="14" t="s">
        <v>6238</v>
      </c>
      <c r="H4841" s="1" t="s">
        <v>43</v>
      </c>
      <c r="I4841" s="17">
        <v>42005</v>
      </c>
    </row>
    <row r="4842" spans="1:9">
      <c r="A4842" s="16" t="s">
        <v>9208</v>
      </c>
      <c r="B4842" s="1" t="s">
        <v>2628</v>
      </c>
      <c r="C4842" s="1">
        <v>321</v>
      </c>
      <c r="D4842" s="1" t="s">
        <v>52</v>
      </c>
      <c r="E4842" s="1" t="s">
        <v>6</v>
      </c>
      <c r="F4842" s="1" t="s">
        <v>5091</v>
      </c>
      <c r="G4842" s="14" t="s">
        <v>6236</v>
      </c>
      <c r="H4842" s="1" t="s">
        <v>43</v>
      </c>
      <c r="I4842" s="17">
        <v>42005</v>
      </c>
    </row>
    <row r="4843" spans="1:9">
      <c r="A4843" s="16" t="s">
        <v>9209</v>
      </c>
      <c r="B4843" s="1" t="s">
        <v>2628</v>
      </c>
      <c r="C4843" s="1">
        <v>321</v>
      </c>
      <c r="D4843" s="1" t="s">
        <v>52</v>
      </c>
      <c r="E4843" s="1" t="s">
        <v>6</v>
      </c>
      <c r="F4843" s="1" t="s">
        <v>5091</v>
      </c>
      <c r="G4843" s="14" t="s">
        <v>9210</v>
      </c>
      <c r="H4843" s="1" t="s">
        <v>5</v>
      </c>
      <c r="I4843" s="17">
        <v>42005</v>
      </c>
    </row>
    <row r="4844" spans="1:9">
      <c r="A4844" s="16" t="s">
        <v>9212</v>
      </c>
      <c r="B4844" s="1" t="s">
        <v>2628</v>
      </c>
      <c r="C4844" s="1">
        <v>321</v>
      </c>
      <c r="D4844" s="1" t="s">
        <v>52</v>
      </c>
      <c r="E4844" s="1" t="s">
        <v>6</v>
      </c>
      <c r="F4844" s="1" t="s">
        <v>5091</v>
      </c>
      <c r="G4844" s="14" t="s">
        <v>6238</v>
      </c>
      <c r="H4844" s="1" t="s">
        <v>43</v>
      </c>
      <c r="I4844" s="17">
        <v>42005</v>
      </c>
    </row>
    <row r="4845" spans="1:9">
      <c r="A4845" s="16" t="s">
        <v>9213</v>
      </c>
      <c r="B4845" s="1" t="s">
        <v>2628</v>
      </c>
      <c r="C4845" s="1">
        <v>321</v>
      </c>
      <c r="D4845" s="1" t="s">
        <v>52</v>
      </c>
      <c r="E4845" s="1" t="s">
        <v>6</v>
      </c>
      <c r="F4845" s="1" t="s">
        <v>5091</v>
      </c>
      <c r="G4845" s="14" t="s">
        <v>6238</v>
      </c>
      <c r="H4845" s="1" t="s">
        <v>43</v>
      </c>
      <c r="I4845" s="17">
        <v>42005</v>
      </c>
    </row>
    <row r="4846" spans="1:9">
      <c r="A4846" s="16" t="s">
        <v>9214</v>
      </c>
      <c r="B4846" s="1" t="s">
        <v>2628</v>
      </c>
      <c r="C4846" s="1">
        <v>321</v>
      </c>
      <c r="D4846" s="1" t="s">
        <v>52</v>
      </c>
      <c r="E4846" s="1" t="s">
        <v>6</v>
      </c>
      <c r="F4846" s="1" t="s">
        <v>5091</v>
      </c>
      <c r="G4846" s="14" t="s">
        <v>6238</v>
      </c>
      <c r="H4846" s="1" t="s">
        <v>43</v>
      </c>
      <c r="I4846" s="17">
        <v>42005</v>
      </c>
    </row>
    <row r="4847" spans="1:9">
      <c r="A4847" s="16" t="s">
        <v>9230</v>
      </c>
      <c r="B4847" s="1" t="s">
        <v>2628</v>
      </c>
      <c r="C4847" s="1">
        <v>321</v>
      </c>
      <c r="D4847" s="1" t="s">
        <v>52</v>
      </c>
      <c r="E4847" s="1" t="s">
        <v>6</v>
      </c>
      <c r="F4847" s="1" t="s">
        <v>5091</v>
      </c>
      <c r="G4847" s="14" t="s">
        <v>6238</v>
      </c>
      <c r="H4847" s="1" t="s">
        <v>43</v>
      </c>
      <c r="I4847" s="17">
        <v>42005</v>
      </c>
    </row>
    <row r="4848" spans="1:9">
      <c r="A4848" s="16" t="s">
        <v>9233</v>
      </c>
      <c r="B4848" s="1" t="s">
        <v>2628</v>
      </c>
      <c r="C4848" s="1">
        <v>321</v>
      </c>
      <c r="D4848" s="1" t="s">
        <v>52</v>
      </c>
      <c r="E4848" s="1" t="s">
        <v>6</v>
      </c>
      <c r="F4848" s="1" t="s">
        <v>5091</v>
      </c>
      <c r="G4848" s="14" t="s">
        <v>9234</v>
      </c>
      <c r="H4848" s="1" t="s">
        <v>5</v>
      </c>
      <c r="I4848" s="17">
        <v>42005</v>
      </c>
    </row>
    <row r="4849" spans="1:9">
      <c r="A4849" s="16" t="s">
        <v>9235</v>
      </c>
      <c r="B4849" s="1" t="s">
        <v>2628</v>
      </c>
      <c r="C4849" s="1">
        <v>321</v>
      </c>
      <c r="D4849" s="1" t="s">
        <v>52</v>
      </c>
      <c r="E4849" s="1" t="s">
        <v>6</v>
      </c>
      <c r="F4849" s="1" t="s">
        <v>5091</v>
      </c>
      <c r="G4849" s="14" t="s">
        <v>6236</v>
      </c>
      <c r="H4849" s="1" t="s">
        <v>43</v>
      </c>
      <c r="I4849" s="17">
        <v>42005</v>
      </c>
    </row>
    <row r="4850" spans="1:9">
      <c r="A4850" s="16" t="s">
        <v>9238</v>
      </c>
      <c r="B4850" s="1" t="s">
        <v>2628</v>
      </c>
      <c r="C4850" s="1">
        <v>321</v>
      </c>
      <c r="D4850" s="1" t="s">
        <v>52</v>
      </c>
      <c r="E4850" s="1" t="s">
        <v>6</v>
      </c>
      <c r="F4850" s="1" t="s">
        <v>5091</v>
      </c>
      <c r="G4850" s="14" t="s">
        <v>6477</v>
      </c>
      <c r="H4850" s="1" t="s">
        <v>5</v>
      </c>
      <c r="I4850" s="17">
        <v>40787</v>
      </c>
    </row>
    <row r="4851" spans="1:9">
      <c r="A4851" s="16" t="s">
        <v>9241</v>
      </c>
      <c r="B4851" s="1" t="s">
        <v>2628</v>
      </c>
      <c r="C4851" s="1">
        <v>321</v>
      </c>
      <c r="D4851" s="1" t="s">
        <v>52</v>
      </c>
      <c r="E4851" s="1" t="s">
        <v>6</v>
      </c>
      <c r="F4851" s="1" t="s">
        <v>5091</v>
      </c>
      <c r="G4851" s="14" t="s">
        <v>9242</v>
      </c>
      <c r="H4851" s="1" t="s">
        <v>5</v>
      </c>
      <c r="I4851" s="17">
        <v>40719</v>
      </c>
    </row>
    <row r="4852" spans="1:9">
      <c r="A4852" s="16" t="s">
        <v>9253</v>
      </c>
      <c r="B4852" s="1" t="s">
        <v>2628</v>
      </c>
      <c r="C4852" s="1">
        <v>321</v>
      </c>
      <c r="D4852" s="1" t="s">
        <v>52</v>
      </c>
      <c r="E4852" s="1" t="s">
        <v>6</v>
      </c>
      <c r="F4852" s="1" t="s">
        <v>5091</v>
      </c>
      <c r="G4852" s="14" t="s">
        <v>6477</v>
      </c>
      <c r="H4852" s="1" t="s">
        <v>5</v>
      </c>
      <c r="I4852" s="17">
        <v>40787</v>
      </c>
    </row>
    <row r="4853" spans="1:9">
      <c r="A4853" s="16" t="s">
        <v>9287</v>
      </c>
      <c r="B4853" s="1" t="s">
        <v>2628</v>
      </c>
      <c r="C4853" s="1">
        <v>321</v>
      </c>
      <c r="D4853" s="1" t="s">
        <v>52</v>
      </c>
      <c r="E4853" s="1" t="s">
        <v>6</v>
      </c>
      <c r="F4853" s="1" t="s">
        <v>5091</v>
      </c>
      <c r="G4853" s="14" t="s">
        <v>6236</v>
      </c>
      <c r="H4853" s="1" t="s">
        <v>43</v>
      </c>
      <c r="I4853" s="17">
        <v>42005</v>
      </c>
    </row>
    <row r="4854" spans="1:9">
      <c r="A4854" s="16" t="s">
        <v>9288</v>
      </c>
      <c r="B4854" s="1" t="s">
        <v>2628</v>
      </c>
      <c r="C4854" s="1">
        <v>321</v>
      </c>
      <c r="D4854" s="1" t="s">
        <v>52</v>
      </c>
      <c r="E4854" s="1" t="s">
        <v>6</v>
      </c>
      <c r="F4854" s="1" t="s">
        <v>5091</v>
      </c>
      <c r="G4854" s="14" t="s">
        <v>6236</v>
      </c>
      <c r="H4854" s="1" t="s">
        <v>43</v>
      </c>
      <c r="I4854" s="17">
        <v>42005</v>
      </c>
    </row>
    <row r="4855" spans="1:9">
      <c r="A4855" s="16" t="s">
        <v>9289</v>
      </c>
      <c r="B4855" s="1" t="s">
        <v>2628</v>
      </c>
      <c r="C4855" s="1">
        <v>321</v>
      </c>
      <c r="D4855" s="1" t="s">
        <v>52</v>
      </c>
      <c r="E4855" s="1" t="s">
        <v>6</v>
      </c>
      <c r="F4855" s="1" t="s">
        <v>5091</v>
      </c>
      <c r="G4855" s="14" t="s">
        <v>6238</v>
      </c>
      <c r="H4855" s="1" t="s">
        <v>43</v>
      </c>
      <c r="I4855" s="17">
        <v>42005</v>
      </c>
    </row>
    <row r="4856" spans="1:9">
      <c r="A4856" s="16" t="s">
        <v>9302</v>
      </c>
      <c r="B4856" s="1" t="s">
        <v>2628</v>
      </c>
      <c r="C4856" s="1">
        <v>826</v>
      </c>
      <c r="D4856" s="1" t="s">
        <v>52</v>
      </c>
      <c r="E4856" s="1" t="s">
        <v>6</v>
      </c>
      <c r="F4856" s="1" t="s">
        <v>5091</v>
      </c>
      <c r="G4856" s="14" t="s">
        <v>6145</v>
      </c>
      <c r="H4856" s="1" t="s">
        <v>43</v>
      </c>
      <c r="I4856" s="17">
        <v>39960</v>
      </c>
    </row>
    <row r="4857" spans="1:9">
      <c r="A4857" s="16" t="s">
        <v>9303</v>
      </c>
      <c r="B4857" s="1" t="s">
        <v>2628</v>
      </c>
      <c r="C4857" s="1">
        <v>321</v>
      </c>
      <c r="D4857" s="1" t="s">
        <v>52</v>
      </c>
      <c r="E4857" s="1" t="s">
        <v>6</v>
      </c>
      <c r="F4857" s="1" t="s">
        <v>5091</v>
      </c>
      <c r="G4857" s="14" t="s">
        <v>6145</v>
      </c>
      <c r="H4857" s="1" t="s">
        <v>43</v>
      </c>
      <c r="I4857" s="17">
        <v>40108</v>
      </c>
    </row>
    <row r="4858" spans="1:9">
      <c r="A4858" s="16" t="s">
        <v>9306</v>
      </c>
      <c r="B4858" s="1" t="s">
        <v>2628</v>
      </c>
      <c r="C4858" s="1">
        <v>826</v>
      </c>
      <c r="D4858" s="1" t="s">
        <v>52</v>
      </c>
      <c r="E4858" s="1" t="s">
        <v>6</v>
      </c>
      <c r="F4858" s="1" t="s">
        <v>5091</v>
      </c>
      <c r="G4858" s="14" t="s">
        <v>2387</v>
      </c>
      <c r="H4858" s="1" t="s">
        <v>5</v>
      </c>
      <c r="I4858" s="17">
        <v>39972</v>
      </c>
    </row>
    <row r="4859" spans="1:9">
      <c r="A4859" s="16" t="s">
        <v>9378</v>
      </c>
      <c r="B4859" s="1" t="s">
        <v>2628</v>
      </c>
      <c r="C4859" s="1">
        <v>321</v>
      </c>
      <c r="D4859" s="1" t="s">
        <v>52</v>
      </c>
      <c r="E4859" s="1" t="s">
        <v>6</v>
      </c>
      <c r="F4859" s="1" t="s">
        <v>5091</v>
      </c>
      <c r="G4859" s="14" t="s">
        <v>2387</v>
      </c>
      <c r="H4859" s="1" t="s">
        <v>5</v>
      </c>
      <c r="I4859" s="17">
        <v>40858</v>
      </c>
    </row>
    <row r="4860" spans="1:9">
      <c r="A4860" s="16" t="s">
        <v>9381</v>
      </c>
      <c r="B4860" s="1" t="s">
        <v>2628</v>
      </c>
      <c r="C4860" s="1">
        <v>321</v>
      </c>
      <c r="D4860" s="1" t="s">
        <v>52</v>
      </c>
      <c r="E4860" s="1" t="s">
        <v>6</v>
      </c>
      <c r="F4860" s="1" t="s">
        <v>5091</v>
      </c>
      <c r="G4860" s="14" t="s">
        <v>2387</v>
      </c>
      <c r="H4860" s="1" t="s">
        <v>5</v>
      </c>
      <c r="I4860" s="17">
        <v>39393</v>
      </c>
    </row>
    <row r="4861" spans="1:9">
      <c r="A4861" s="16" t="s">
        <v>9382</v>
      </c>
      <c r="B4861" s="1" t="s">
        <v>2628</v>
      </c>
      <c r="C4861" s="1">
        <v>321</v>
      </c>
      <c r="D4861" s="1" t="s">
        <v>52</v>
      </c>
      <c r="E4861" s="1" t="s">
        <v>6</v>
      </c>
      <c r="F4861" s="1" t="s">
        <v>5091</v>
      </c>
      <c r="G4861" s="14" t="s">
        <v>2387</v>
      </c>
      <c r="H4861" s="1" t="s">
        <v>5</v>
      </c>
      <c r="I4861" s="17">
        <v>40858</v>
      </c>
    </row>
    <row r="4862" spans="1:9">
      <c r="A4862" s="16" t="s">
        <v>9396</v>
      </c>
      <c r="B4862" s="1" t="s">
        <v>2628</v>
      </c>
      <c r="C4862" s="1">
        <v>321</v>
      </c>
      <c r="D4862" s="1" t="s">
        <v>52</v>
      </c>
      <c r="E4862" s="1" t="s">
        <v>6</v>
      </c>
      <c r="F4862" s="1" t="s">
        <v>5091</v>
      </c>
      <c r="G4862" s="14" t="s">
        <v>6236</v>
      </c>
      <c r="H4862" s="1" t="s">
        <v>43</v>
      </c>
      <c r="I4862" s="17">
        <v>42005</v>
      </c>
    </row>
    <row r="4863" spans="1:9">
      <c r="A4863" s="16" t="s">
        <v>9416</v>
      </c>
      <c r="B4863" s="1" t="s">
        <v>2628</v>
      </c>
      <c r="C4863" s="1">
        <v>321</v>
      </c>
      <c r="D4863" s="1" t="s">
        <v>52</v>
      </c>
      <c r="E4863" s="1" t="s">
        <v>6</v>
      </c>
      <c r="F4863" s="1" t="s">
        <v>5091</v>
      </c>
      <c r="G4863" s="14" t="s">
        <v>6145</v>
      </c>
      <c r="H4863" s="1" t="s">
        <v>43</v>
      </c>
      <c r="I4863" s="17">
        <v>41995</v>
      </c>
    </row>
    <row r="4864" spans="1:9">
      <c r="A4864" s="16" t="s">
        <v>9417</v>
      </c>
      <c r="B4864" s="1" t="s">
        <v>2628</v>
      </c>
      <c r="C4864" s="1">
        <v>321</v>
      </c>
      <c r="D4864" s="1" t="s">
        <v>52</v>
      </c>
      <c r="E4864" s="1" t="s">
        <v>6</v>
      </c>
      <c r="F4864" s="1" t="s">
        <v>5091</v>
      </c>
      <c r="G4864" s="14" t="s">
        <v>6145</v>
      </c>
      <c r="H4864" s="1" t="s">
        <v>43</v>
      </c>
      <c r="I4864" s="17">
        <v>41995</v>
      </c>
    </row>
    <row r="4865" spans="1:9">
      <c r="A4865" s="16" t="s">
        <v>9418</v>
      </c>
      <c r="B4865" s="1" t="s">
        <v>2628</v>
      </c>
      <c r="C4865" s="1">
        <v>321</v>
      </c>
      <c r="D4865" s="1" t="s">
        <v>52</v>
      </c>
      <c r="E4865" s="1" t="s">
        <v>6</v>
      </c>
      <c r="F4865" s="1" t="s">
        <v>5091</v>
      </c>
      <c r="G4865" s="14" t="s">
        <v>6145</v>
      </c>
      <c r="H4865" s="1" t="s">
        <v>43</v>
      </c>
      <c r="I4865" s="17">
        <v>41995</v>
      </c>
    </row>
    <row r="4866" spans="1:9">
      <c r="A4866" s="16" t="s">
        <v>9419</v>
      </c>
      <c r="B4866" s="1" t="s">
        <v>2628</v>
      </c>
      <c r="C4866" s="1">
        <v>321</v>
      </c>
      <c r="D4866" s="1" t="s">
        <v>52</v>
      </c>
      <c r="E4866" s="1" t="s">
        <v>6</v>
      </c>
      <c r="F4866" s="1" t="s">
        <v>5091</v>
      </c>
      <c r="G4866" s="14" t="s">
        <v>6145</v>
      </c>
      <c r="H4866" s="1" t="s">
        <v>43</v>
      </c>
      <c r="I4866" s="17">
        <v>41995</v>
      </c>
    </row>
    <row r="4867" spans="1:9">
      <c r="A4867" s="16" t="s">
        <v>9435</v>
      </c>
      <c r="B4867" s="1" t="s">
        <v>2628</v>
      </c>
      <c r="C4867" s="1">
        <v>321</v>
      </c>
      <c r="D4867" s="1" t="s">
        <v>52</v>
      </c>
      <c r="E4867" s="1" t="s">
        <v>6</v>
      </c>
      <c r="F4867" s="1" t="s">
        <v>5091</v>
      </c>
      <c r="G4867" s="14" t="s">
        <v>6145</v>
      </c>
      <c r="H4867" s="1" t="s">
        <v>43</v>
      </c>
      <c r="I4867" s="17">
        <v>42221</v>
      </c>
    </row>
    <row r="4868" spans="1:9">
      <c r="A4868" s="16" t="s">
        <v>9436</v>
      </c>
      <c r="B4868" s="1" t="s">
        <v>2628</v>
      </c>
      <c r="C4868" s="1">
        <v>321</v>
      </c>
      <c r="D4868" s="1" t="s">
        <v>52</v>
      </c>
      <c r="E4868" s="1" t="s">
        <v>6</v>
      </c>
      <c r="F4868" s="1" t="s">
        <v>5091</v>
      </c>
      <c r="G4868" s="14" t="s">
        <v>6145</v>
      </c>
      <c r="H4868" s="1" t="s">
        <v>43</v>
      </c>
      <c r="I4868" s="17">
        <v>42221</v>
      </c>
    </row>
    <row r="4869" spans="1:9">
      <c r="A4869" s="16" t="s">
        <v>9438</v>
      </c>
      <c r="B4869" s="1" t="s">
        <v>2628</v>
      </c>
      <c r="C4869" s="1">
        <v>321</v>
      </c>
      <c r="D4869" s="1" t="s">
        <v>52</v>
      </c>
      <c r="E4869" s="1" t="s">
        <v>6</v>
      </c>
      <c r="F4869" s="1" t="s">
        <v>5091</v>
      </c>
      <c r="G4869" s="14" t="s">
        <v>6145</v>
      </c>
      <c r="H4869" s="1" t="s">
        <v>43</v>
      </c>
      <c r="I4869" s="17">
        <v>42221</v>
      </c>
    </row>
    <row r="4870" spans="1:9">
      <c r="A4870" s="16" t="s">
        <v>9440</v>
      </c>
      <c r="B4870" s="1" t="s">
        <v>2628</v>
      </c>
      <c r="C4870" s="1">
        <v>321</v>
      </c>
      <c r="D4870" s="1" t="s">
        <v>52</v>
      </c>
      <c r="E4870" s="1" t="s">
        <v>6</v>
      </c>
      <c r="F4870" s="1" t="s">
        <v>5091</v>
      </c>
      <c r="G4870" s="14" t="s">
        <v>6145</v>
      </c>
      <c r="H4870" s="1" t="s">
        <v>43</v>
      </c>
      <c r="I4870" s="17">
        <v>42221</v>
      </c>
    </row>
    <row r="4871" spans="1:9">
      <c r="A4871" s="16" t="s">
        <v>9441</v>
      </c>
      <c r="B4871" s="1" t="s">
        <v>2628</v>
      </c>
      <c r="C4871" s="1">
        <v>321</v>
      </c>
      <c r="D4871" s="1" t="s">
        <v>52</v>
      </c>
      <c r="E4871" s="1" t="s">
        <v>6</v>
      </c>
      <c r="F4871" s="1" t="s">
        <v>5091</v>
      </c>
      <c r="G4871" s="14" t="s">
        <v>6145</v>
      </c>
      <c r="H4871" s="1" t="s">
        <v>43</v>
      </c>
      <c r="I4871" s="17">
        <v>42221</v>
      </c>
    </row>
    <row r="4872" spans="1:9">
      <c r="A4872" s="16" t="s">
        <v>9442</v>
      </c>
      <c r="B4872" s="1" t="s">
        <v>2628</v>
      </c>
      <c r="C4872" s="1">
        <v>321</v>
      </c>
      <c r="D4872" s="1" t="s">
        <v>52</v>
      </c>
      <c r="E4872" s="1" t="s">
        <v>6</v>
      </c>
      <c r="F4872" s="1" t="s">
        <v>5091</v>
      </c>
      <c r="G4872" s="14" t="s">
        <v>6145</v>
      </c>
      <c r="H4872" s="1" t="s">
        <v>43</v>
      </c>
      <c r="I4872" s="17">
        <v>42221</v>
      </c>
    </row>
    <row r="4873" spans="1:9">
      <c r="A4873" s="16" t="s">
        <v>9443</v>
      </c>
      <c r="B4873" s="1" t="s">
        <v>2628</v>
      </c>
      <c r="C4873" s="1">
        <v>321</v>
      </c>
      <c r="D4873" s="1" t="s">
        <v>52</v>
      </c>
      <c r="E4873" s="1" t="s">
        <v>6</v>
      </c>
      <c r="F4873" s="1" t="s">
        <v>5091</v>
      </c>
      <c r="G4873" s="14" t="s">
        <v>6145</v>
      </c>
      <c r="H4873" s="1" t="s">
        <v>43</v>
      </c>
      <c r="I4873" s="17">
        <v>42221</v>
      </c>
    </row>
    <row r="4874" spans="1:9">
      <c r="A4874" s="16" t="s">
        <v>9444</v>
      </c>
      <c r="B4874" s="1" t="s">
        <v>2628</v>
      </c>
      <c r="C4874" s="1">
        <v>321</v>
      </c>
      <c r="D4874" s="1" t="s">
        <v>52</v>
      </c>
      <c r="E4874" s="1" t="s">
        <v>6</v>
      </c>
      <c r="F4874" s="1" t="s">
        <v>5091</v>
      </c>
      <c r="G4874" s="14" t="s">
        <v>6145</v>
      </c>
      <c r="H4874" s="1" t="s">
        <v>43</v>
      </c>
      <c r="I4874" s="17">
        <v>42221</v>
      </c>
    </row>
    <row r="4875" spans="1:9">
      <c r="A4875" s="16" t="s">
        <v>9445</v>
      </c>
      <c r="B4875" s="1" t="s">
        <v>2628</v>
      </c>
      <c r="C4875" s="1">
        <v>321</v>
      </c>
      <c r="D4875" s="1" t="s">
        <v>52</v>
      </c>
      <c r="E4875" s="1" t="s">
        <v>6</v>
      </c>
      <c r="F4875" s="1" t="s">
        <v>5091</v>
      </c>
      <c r="G4875" s="14" t="s">
        <v>6145</v>
      </c>
      <c r="H4875" s="1" t="s">
        <v>43</v>
      </c>
      <c r="I4875" s="17">
        <v>42221</v>
      </c>
    </row>
    <row r="4876" spans="1:9">
      <c r="A4876" s="16" t="s">
        <v>9446</v>
      </c>
      <c r="B4876" s="1" t="s">
        <v>2628</v>
      </c>
      <c r="C4876" s="1">
        <v>321</v>
      </c>
      <c r="D4876" s="1" t="s">
        <v>52</v>
      </c>
      <c r="E4876" s="1" t="s">
        <v>6</v>
      </c>
      <c r="F4876" s="1" t="s">
        <v>5091</v>
      </c>
      <c r="G4876" s="14" t="s">
        <v>6145</v>
      </c>
      <c r="H4876" s="1" t="s">
        <v>43</v>
      </c>
      <c r="I4876" s="17">
        <v>42221</v>
      </c>
    </row>
    <row r="4877" spans="1:9">
      <c r="A4877" s="16" t="s">
        <v>9447</v>
      </c>
      <c r="B4877" s="1" t="s">
        <v>2628</v>
      </c>
      <c r="C4877" s="1">
        <v>321</v>
      </c>
      <c r="D4877" s="1" t="s">
        <v>52</v>
      </c>
      <c r="E4877" s="1" t="s">
        <v>6</v>
      </c>
      <c r="F4877" s="1" t="s">
        <v>5091</v>
      </c>
      <c r="G4877" s="14" t="s">
        <v>6145</v>
      </c>
      <c r="H4877" s="1" t="s">
        <v>43</v>
      </c>
      <c r="I4877" s="17">
        <v>42221</v>
      </c>
    </row>
    <row r="4878" spans="1:9">
      <c r="A4878" s="16" t="s">
        <v>9448</v>
      </c>
      <c r="B4878" s="1" t="s">
        <v>2628</v>
      </c>
      <c r="C4878" s="1">
        <v>321</v>
      </c>
      <c r="D4878" s="1" t="s">
        <v>52</v>
      </c>
      <c r="E4878" s="1" t="s">
        <v>6</v>
      </c>
      <c r="F4878" s="1" t="s">
        <v>5091</v>
      </c>
      <c r="G4878" s="14" t="s">
        <v>6145</v>
      </c>
      <c r="H4878" s="1" t="s">
        <v>43</v>
      </c>
      <c r="I4878" s="17">
        <v>42221</v>
      </c>
    </row>
    <row r="4879" spans="1:9">
      <c r="A4879" s="16" t="s">
        <v>9449</v>
      </c>
      <c r="B4879" s="1" t="s">
        <v>2628</v>
      </c>
      <c r="C4879" s="1">
        <v>321</v>
      </c>
      <c r="D4879" s="1" t="s">
        <v>52</v>
      </c>
      <c r="E4879" s="1" t="s">
        <v>6</v>
      </c>
      <c r="F4879" s="1" t="s">
        <v>5091</v>
      </c>
      <c r="G4879" s="14" t="s">
        <v>6145</v>
      </c>
      <c r="H4879" s="1" t="s">
        <v>43</v>
      </c>
      <c r="I4879" s="17">
        <v>42221</v>
      </c>
    </row>
    <row r="4880" spans="1:9">
      <c r="A4880" s="16" t="s">
        <v>9450</v>
      </c>
      <c r="B4880" s="1" t="s">
        <v>2628</v>
      </c>
      <c r="C4880" s="1">
        <v>321</v>
      </c>
      <c r="D4880" s="1" t="s">
        <v>52</v>
      </c>
      <c r="E4880" s="1" t="s">
        <v>6</v>
      </c>
      <c r="F4880" s="1" t="s">
        <v>5091</v>
      </c>
      <c r="G4880" s="14" t="s">
        <v>6145</v>
      </c>
      <c r="H4880" s="1" t="s">
        <v>43</v>
      </c>
      <c r="I4880" s="17">
        <v>42221</v>
      </c>
    </row>
    <row r="4881" spans="1:9">
      <c r="A4881" s="16" t="s">
        <v>9451</v>
      </c>
      <c r="B4881" s="1" t="s">
        <v>2628</v>
      </c>
      <c r="C4881" s="1">
        <v>321</v>
      </c>
      <c r="D4881" s="1" t="s">
        <v>52</v>
      </c>
      <c r="E4881" s="1" t="s">
        <v>6</v>
      </c>
      <c r="F4881" s="1" t="s">
        <v>5091</v>
      </c>
      <c r="G4881" s="14" t="s">
        <v>6145</v>
      </c>
      <c r="H4881" s="1" t="s">
        <v>43</v>
      </c>
      <c r="I4881" s="17">
        <v>42221</v>
      </c>
    </row>
    <row r="4882" spans="1:9">
      <c r="A4882" s="16" t="s">
        <v>9453</v>
      </c>
      <c r="B4882" s="1" t="s">
        <v>2628</v>
      </c>
      <c r="C4882" s="1">
        <v>321</v>
      </c>
      <c r="D4882" s="1" t="s">
        <v>52</v>
      </c>
      <c r="E4882" s="1" t="s">
        <v>6</v>
      </c>
      <c r="F4882" s="1" t="s">
        <v>5091</v>
      </c>
      <c r="G4882" s="14" t="s">
        <v>6145</v>
      </c>
      <c r="H4882" s="1" t="s">
        <v>43</v>
      </c>
      <c r="I4882" s="17">
        <v>42221</v>
      </c>
    </row>
    <row r="4883" spans="1:9">
      <c r="A4883" s="16" t="s">
        <v>9454</v>
      </c>
      <c r="B4883" s="1" t="s">
        <v>2628</v>
      </c>
      <c r="C4883" s="1">
        <v>321</v>
      </c>
      <c r="D4883" s="1" t="s">
        <v>52</v>
      </c>
      <c r="E4883" s="1" t="s">
        <v>6</v>
      </c>
      <c r="F4883" s="1" t="s">
        <v>5091</v>
      </c>
      <c r="G4883" s="14" t="s">
        <v>6145</v>
      </c>
      <c r="H4883" s="1" t="s">
        <v>43</v>
      </c>
      <c r="I4883" s="17">
        <v>42221</v>
      </c>
    </row>
    <row r="4884" spans="1:9">
      <c r="A4884" s="16" t="s">
        <v>9455</v>
      </c>
      <c r="B4884" s="1" t="s">
        <v>2628</v>
      </c>
      <c r="C4884" s="1">
        <v>321</v>
      </c>
      <c r="D4884" s="1" t="s">
        <v>52</v>
      </c>
      <c r="E4884" s="1" t="s">
        <v>6</v>
      </c>
      <c r="F4884" s="1" t="s">
        <v>5091</v>
      </c>
      <c r="G4884" s="14" t="s">
        <v>6145</v>
      </c>
      <c r="H4884" s="1" t="s">
        <v>43</v>
      </c>
      <c r="I4884" s="17">
        <v>42221</v>
      </c>
    </row>
    <row r="4885" spans="1:9">
      <c r="A4885" s="16" t="s">
        <v>9456</v>
      </c>
      <c r="B4885" s="1" t="s">
        <v>2628</v>
      </c>
      <c r="C4885" s="1">
        <v>321</v>
      </c>
      <c r="D4885" s="1" t="s">
        <v>52</v>
      </c>
      <c r="E4885" s="1" t="s">
        <v>6</v>
      </c>
      <c r="F4885" s="1" t="s">
        <v>5091</v>
      </c>
      <c r="G4885" s="14" t="s">
        <v>6145</v>
      </c>
      <c r="H4885" s="1" t="s">
        <v>43</v>
      </c>
      <c r="I4885" s="17">
        <v>42221</v>
      </c>
    </row>
    <row r="4886" spans="1:9">
      <c r="A4886" s="16" t="s">
        <v>9457</v>
      </c>
      <c r="B4886" s="1" t="s">
        <v>2628</v>
      </c>
      <c r="C4886" s="1">
        <v>321</v>
      </c>
      <c r="D4886" s="1" t="s">
        <v>52</v>
      </c>
      <c r="E4886" s="1" t="s">
        <v>6</v>
      </c>
      <c r="F4886" s="1" t="s">
        <v>5091</v>
      </c>
      <c r="G4886" s="14" t="s">
        <v>6145</v>
      </c>
      <c r="H4886" s="1" t="s">
        <v>43</v>
      </c>
      <c r="I4886" s="17">
        <v>42221</v>
      </c>
    </row>
    <row r="4887" spans="1:9">
      <c r="A4887" s="16" t="s">
        <v>9458</v>
      </c>
      <c r="B4887" s="1" t="s">
        <v>2628</v>
      </c>
      <c r="C4887" s="1">
        <v>321</v>
      </c>
      <c r="D4887" s="1" t="s">
        <v>52</v>
      </c>
      <c r="E4887" s="1" t="s">
        <v>6</v>
      </c>
      <c r="F4887" s="1" t="s">
        <v>5091</v>
      </c>
      <c r="G4887" s="14" t="s">
        <v>6145</v>
      </c>
      <c r="H4887" s="1" t="s">
        <v>43</v>
      </c>
      <c r="I4887" s="17">
        <v>42221</v>
      </c>
    </row>
    <row r="4888" spans="1:9">
      <c r="A4888" s="16" t="s">
        <v>9459</v>
      </c>
      <c r="B4888" s="1" t="s">
        <v>2628</v>
      </c>
      <c r="C4888" s="1">
        <v>321</v>
      </c>
      <c r="D4888" s="1" t="s">
        <v>52</v>
      </c>
      <c r="E4888" s="1" t="s">
        <v>6</v>
      </c>
      <c r="F4888" s="1" t="s">
        <v>5091</v>
      </c>
      <c r="G4888" s="14" t="s">
        <v>6145</v>
      </c>
      <c r="H4888" s="1" t="s">
        <v>43</v>
      </c>
      <c r="I4888" s="17">
        <v>42221</v>
      </c>
    </row>
    <row r="4889" spans="1:9">
      <c r="A4889" s="16" t="s">
        <v>9460</v>
      </c>
      <c r="B4889" s="1" t="s">
        <v>2628</v>
      </c>
      <c r="C4889" s="1">
        <v>321</v>
      </c>
      <c r="D4889" s="1" t="s">
        <v>52</v>
      </c>
      <c r="E4889" s="1" t="s">
        <v>6</v>
      </c>
      <c r="F4889" s="1" t="s">
        <v>5091</v>
      </c>
      <c r="G4889" s="14" t="s">
        <v>6145</v>
      </c>
      <c r="H4889" s="1" t="s">
        <v>43</v>
      </c>
      <c r="I4889" s="17">
        <v>42221</v>
      </c>
    </row>
    <row r="4890" spans="1:9">
      <c r="A4890" s="16" t="s">
        <v>9461</v>
      </c>
      <c r="B4890" s="1" t="s">
        <v>2628</v>
      </c>
      <c r="C4890" s="1">
        <v>321</v>
      </c>
      <c r="D4890" s="1" t="s">
        <v>52</v>
      </c>
      <c r="E4890" s="1" t="s">
        <v>6</v>
      </c>
      <c r="F4890" s="1" t="s">
        <v>5091</v>
      </c>
      <c r="G4890" s="14" t="s">
        <v>6145</v>
      </c>
      <c r="H4890" s="1" t="s">
        <v>43</v>
      </c>
      <c r="I4890" s="17">
        <v>42221</v>
      </c>
    </row>
    <row r="4891" spans="1:9">
      <c r="A4891" s="16" t="s">
        <v>9462</v>
      </c>
      <c r="B4891" s="1" t="s">
        <v>2628</v>
      </c>
      <c r="C4891" s="1">
        <v>321</v>
      </c>
      <c r="D4891" s="1" t="s">
        <v>52</v>
      </c>
      <c r="E4891" s="1" t="s">
        <v>6</v>
      </c>
      <c r="F4891" s="1" t="s">
        <v>5091</v>
      </c>
      <c r="G4891" s="14" t="s">
        <v>6145</v>
      </c>
      <c r="H4891" s="1" t="s">
        <v>43</v>
      </c>
      <c r="I4891" s="17">
        <v>42221</v>
      </c>
    </row>
    <row r="4892" spans="1:9">
      <c r="A4892" s="16" t="s">
        <v>9463</v>
      </c>
      <c r="B4892" s="1" t="s">
        <v>2628</v>
      </c>
      <c r="C4892" s="1">
        <v>321</v>
      </c>
      <c r="D4892" s="1" t="s">
        <v>52</v>
      </c>
      <c r="E4892" s="1" t="s">
        <v>6</v>
      </c>
      <c r="F4892" s="1" t="s">
        <v>5091</v>
      </c>
      <c r="G4892" s="14" t="s">
        <v>6145</v>
      </c>
      <c r="H4892" s="1" t="s">
        <v>43</v>
      </c>
      <c r="I4892" s="17">
        <v>42221</v>
      </c>
    </row>
    <row r="4893" spans="1:9">
      <c r="A4893" s="16" t="s">
        <v>9464</v>
      </c>
      <c r="B4893" s="1" t="s">
        <v>2628</v>
      </c>
      <c r="C4893" s="1">
        <v>321</v>
      </c>
      <c r="D4893" s="1" t="s">
        <v>52</v>
      </c>
      <c r="E4893" s="1" t="s">
        <v>6</v>
      </c>
      <c r="F4893" s="1" t="s">
        <v>5091</v>
      </c>
      <c r="G4893" s="14" t="s">
        <v>6145</v>
      </c>
      <c r="H4893" s="1" t="s">
        <v>43</v>
      </c>
      <c r="I4893" s="17">
        <v>42221</v>
      </c>
    </row>
    <row r="4894" spans="1:9">
      <c r="A4894" s="16" t="s">
        <v>9465</v>
      </c>
      <c r="B4894" s="1" t="s">
        <v>2628</v>
      </c>
      <c r="C4894" s="1">
        <v>321</v>
      </c>
      <c r="D4894" s="1" t="s">
        <v>52</v>
      </c>
      <c r="E4894" s="1" t="s">
        <v>6</v>
      </c>
      <c r="F4894" s="1" t="s">
        <v>5091</v>
      </c>
      <c r="G4894" s="14" t="s">
        <v>6145</v>
      </c>
      <c r="H4894" s="1" t="s">
        <v>43</v>
      </c>
      <c r="I4894" s="17">
        <v>42221</v>
      </c>
    </row>
    <row r="4895" spans="1:9">
      <c r="A4895" s="16" t="s">
        <v>9466</v>
      </c>
      <c r="B4895" s="1" t="s">
        <v>2628</v>
      </c>
      <c r="C4895" s="1">
        <v>321</v>
      </c>
      <c r="D4895" s="1" t="s">
        <v>52</v>
      </c>
      <c r="E4895" s="1" t="s">
        <v>6</v>
      </c>
      <c r="F4895" s="1" t="s">
        <v>5091</v>
      </c>
      <c r="G4895" s="14" t="s">
        <v>6145</v>
      </c>
      <c r="H4895" s="1" t="s">
        <v>43</v>
      </c>
      <c r="I4895" s="17">
        <v>42221</v>
      </c>
    </row>
    <row r="4896" spans="1:9">
      <c r="A4896" s="16" t="s">
        <v>9467</v>
      </c>
      <c r="B4896" s="1" t="s">
        <v>2628</v>
      </c>
      <c r="C4896" s="1">
        <v>321</v>
      </c>
      <c r="D4896" s="1" t="s">
        <v>52</v>
      </c>
      <c r="E4896" s="1" t="s">
        <v>6</v>
      </c>
      <c r="F4896" s="1" t="s">
        <v>5091</v>
      </c>
      <c r="G4896" s="14" t="s">
        <v>6145</v>
      </c>
      <c r="H4896" s="1" t="s">
        <v>43</v>
      </c>
      <c r="I4896" s="17">
        <v>42221</v>
      </c>
    </row>
    <row r="4897" spans="1:9">
      <c r="A4897" s="16" t="s">
        <v>9468</v>
      </c>
      <c r="B4897" s="1" t="s">
        <v>2628</v>
      </c>
      <c r="C4897" s="1">
        <v>321</v>
      </c>
      <c r="D4897" s="1" t="s">
        <v>52</v>
      </c>
      <c r="E4897" s="1" t="s">
        <v>6</v>
      </c>
      <c r="F4897" s="1" t="s">
        <v>5091</v>
      </c>
      <c r="G4897" s="14" t="s">
        <v>6145</v>
      </c>
      <c r="H4897" s="1" t="s">
        <v>43</v>
      </c>
      <c r="I4897" s="17">
        <v>42221</v>
      </c>
    </row>
    <row r="4898" spans="1:9">
      <c r="A4898" s="16" t="s">
        <v>9479</v>
      </c>
      <c r="B4898" s="1" t="s">
        <v>2628</v>
      </c>
      <c r="C4898" s="1">
        <v>321</v>
      </c>
      <c r="D4898" s="1" t="s">
        <v>52</v>
      </c>
      <c r="E4898" s="1" t="s">
        <v>6</v>
      </c>
      <c r="F4898" s="1" t="s">
        <v>5091</v>
      </c>
      <c r="G4898" s="14" t="s">
        <v>6145</v>
      </c>
      <c r="H4898" s="1" t="s">
        <v>43</v>
      </c>
      <c r="I4898" s="17">
        <v>42195</v>
      </c>
    </row>
    <row r="4899" spans="1:9">
      <c r="A4899" s="16" t="s">
        <v>9480</v>
      </c>
      <c r="B4899" s="1" t="s">
        <v>2628</v>
      </c>
      <c r="C4899" s="1">
        <v>321</v>
      </c>
      <c r="D4899" s="1" t="s">
        <v>52</v>
      </c>
      <c r="E4899" s="1" t="s">
        <v>6</v>
      </c>
      <c r="F4899" s="1" t="s">
        <v>5091</v>
      </c>
      <c r="G4899" s="14" t="s">
        <v>6145</v>
      </c>
      <c r="H4899" s="1" t="s">
        <v>43</v>
      </c>
      <c r="I4899" s="17">
        <v>42195</v>
      </c>
    </row>
    <row r="4900" spans="1:9">
      <c r="A4900" s="16" t="s">
        <v>9481</v>
      </c>
      <c r="B4900" s="1" t="s">
        <v>2628</v>
      </c>
      <c r="C4900" s="1">
        <v>321</v>
      </c>
      <c r="D4900" s="1" t="s">
        <v>52</v>
      </c>
      <c r="E4900" s="1" t="s">
        <v>6</v>
      </c>
      <c r="F4900" s="1" t="s">
        <v>5091</v>
      </c>
      <c r="G4900" s="14" t="s">
        <v>6145</v>
      </c>
      <c r="H4900" s="1" t="s">
        <v>43</v>
      </c>
      <c r="I4900" s="17">
        <v>42195</v>
      </c>
    </row>
    <row r="4901" spans="1:9">
      <c r="A4901" s="16" t="s">
        <v>9489</v>
      </c>
      <c r="B4901" s="1" t="s">
        <v>2628</v>
      </c>
      <c r="C4901" s="1">
        <v>321</v>
      </c>
      <c r="D4901" s="1" t="s">
        <v>52</v>
      </c>
      <c r="E4901" s="1" t="s">
        <v>6</v>
      </c>
      <c r="F4901" s="1" t="s">
        <v>5091</v>
      </c>
      <c r="G4901" s="14" t="s">
        <v>7895</v>
      </c>
      <c r="H4901" s="1" t="s">
        <v>43</v>
      </c>
      <c r="I4901" s="17">
        <v>41002</v>
      </c>
    </row>
    <row r="4902" spans="1:9">
      <c r="A4902" s="16" t="s">
        <v>9490</v>
      </c>
      <c r="B4902" s="1" t="s">
        <v>2628</v>
      </c>
      <c r="C4902" s="1">
        <v>321</v>
      </c>
      <c r="D4902" s="1" t="s">
        <v>52</v>
      </c>
      <c r="E4902" s="1" t="s">
        <v>6</v>
      </c>
      <c r="F4902" s="1" t="s">
        <v>5091</v>
      </c>
      <c r="G4902" s="14" t="s">
        <v>9491</v>
      </c>
      <c r="H4902" s="1" t="s">
        <v>5</v>
      </c>
      <c r="I4902" s="17">
        <v>41059</v>
      </c>
    </row>
    <row r="4903" spans="1:9">
      <c r="A4903" s="16" t="s">
        <v>9492</v>
      </c>
      <c r="B4903" s="1" t="s">
        <v>2628</v>
      </c>
      <c r="C4903" s="1">
        <v>321</v>
      </c>
      <c r="D4903" s="1" t="s">
        <v>52</v>
      </c>
      <c r="E4903" s="1" t="s">
        <v>6</v>
      </c>
      <c r="F4903" s="1" t="s">
        <v>5091</v>
      </c>
      <c r="G4903" s="14" t="s">
        <v>9493</v>
      </c>
      <c r="H4903" s="1" t="s">
        <v>5</v>
      </c>
      <c r="I4903" s="17">
        <v>41316</v>
      </c>
    </row>
    <row r="4904" spans="1:9">
      <c r="A4904" s="16" t="s">
        <v>9496</v>
      </c>
      <c r="B4904" s="1" t="s">
        <v>2628</v>
      </c>
      <c r="C4904" s="1">
        <v>321</v>
      </c>
      <c r="D4904" s="1" t="s">
        <v>52</v>
      </c>
      <c r="E4904" s="1" t="s">
        <v>6</v>
      </c>
      <c r="F4904" s="1" t="s">
        <v>5091</v>
      </c>
      <c r="G4904" s="14" t="s">
        <v>9493</v>
      </c>
      <c r="H4904" s="1" t="s">
        <v>5</v>
      </c>
      <c r="I4904" s="17">
        <v>41316</v>
      </c>
    </row>
    <row r="4905" spans="1:9">
      <c r="A4905" s="16" t="s">
        <v>9500</v>
      </c>
      <c r="B4905" s="1" t="s">
        <v>2628</v>
      </c>
      <c r="C4905" s="1">
        <v>321</v>
      </c>
      <c r="D4905" s="1" t="s">
        <v>52</v>
      </c>
      <c r="E4905" s="1" t="s">
        <v>6</v>
      </c>
      <c r="F4905" s="1" t="s">
        <v>5091</v>
      </c>
      <c r="G4905" s="14" t="s">
        <v>9493</v>
      </c>
      <c r="H4905" s="1" t="s">
        <v>5</v>
      </c>
      <c r="I4905" s="17">
        <v>41316</v>
      </c>
    </row>
    <row r="4906" spans="1:9">
      <c r="A4906" s="16" t="s">
        <v>9503</v>
      </c>
      <c r="B4906" s="1" t="s">
        <v>2628</v>
      </c>
      <c r="C4906" s="1">
        <v>321</v>
      </c>
      <c r="D4906" s="1" t="s">
        <v>52</v>
      </c>
      <c r="E4906" s="1" t="s">
        <v>6</v>
      </c>
      <c r="F4906" s="1" t="s">
        <v>5091</v>
      </c>
      <c r="G4906" s="14" t="s">
        <v>9504</v>
      </c>
      <c r="H4906" s="1" t="s">
        <v>5</v>
      </c>
      <c r="I4906" s="17">
        <v>40918</v>
      </c>
    </row>
    <row r="4907" spans="1:9">
      <c r="A4907" s="16" t="s">
        <v>9559</v>
      </c>
      <c r="B4907" s="1" t="s">
        <v>2628</v>
      </c>
      <c r="C4907" s="1">
        <v>321</v>
      </c>
      <c r="D4907" s="1" t="s">
        <v>52</v>
      </c>
      <c r="E4907" s="1" t="s">
        <v>6</v>
      </c>
      <c r="F4907" s="1" t="s">
        <v>5091</v>
      </c>
      <c r="G4907" s="14" t="s">
        <v>6145</v>
      </c>
      <c r="H4907" s="1" t="s">
        <v>43</v>
      </c>
      <c r="I4907" s="17">
        <v>39922</v>
      </c>
    </row>
    <row r="4908" spans="1:9">
      <c r="A4908" s="16" t="s">
        <v>9568</v>
      </c>
      <c r="B4908" s="1" t="s">
        <v>2628</v>
      </c>
      <c r="C4908" s="1">
        <v>321</v>
      </c>
      <c r="D4908" s="1" t="s">
        <v>52</v>
      </c>
      <c r="E4908" s="1" t="s">
        <v>6</v>
      </c>
      <c r="F4908" s="1" t="s">
        <v>5091</v>
      </c>
      <c r="G4908" s="14" t="s">
        <v>7952</v>
      </c>
      <c r="H4908" s="1" t="s">
        <v>5</v>
      </c>
      <c r="I4908" s="17">
        <v>40665</v>
      </c>
    </row>
    <row r="4909" spans="1:9">
      <c r="A4909" s="16" t="s">
        <v>9577</v>
      </c>
      <c r="B4909" s="1" t="s">
        <v>2628</v>
      </c>
      <c r="C4909" s="1">
        <v>321</v>
      </c>
      <c r="D4909" s="1" t="s">
        <v>52</v>
      </c>
      <c r="E4909" s="1" t="s">
        <v>6</v>
      </c>
      <c r="F4909" s="1" t="s">
        <v>5091</v>
      </c>
      <c r="G4909" s="14" t="s">
        <v>9578</v>
      </c>
      <c r="H4909" s="1" t="s">
        <v>5</v>
      </c>
      <c r="I4909" s="17">
        <v>42066</v>
      </c>
    </row>
    <row r="4910" spans="1:9">
      <c r="A4910" s="16" t="s">
        <v>9579</v>
      </c>
      <c r="B4910" s="1" t="s">
        <v>2628</v>
      </c>
      <c r="C4910" s="1">
        <v>321</v>
      </c>
      <c r="D4910" s="1" t="s">
        <v>52</v>
      </c>
      <c r="E4910" s="1" t="s">
        <v>6</v>
      </c>
      <c r="F4910" s="1" t="s">
        <v>5091</v>
      </c>
      <c r="G4910" s="14" t="s">
        <v>9580</v>
      </c>
      <c r="H4910" s="1" t="s">
        <v>5</v>
      </c>
      <c r="I4910" s="17">
        <v>41885</v>
      </c>
    </row>
    <row r="4911" spans="1:9">
      <c r="A4911" s="16" t="s">
        <v>9638</v>
      </c>
      <c r="B4911" s="1" t="s">
        <v>2628</v>
      </c>
      <c r="C4911" s="1">
        <v>321</v>
      </c>
      <c r="D4911" s="1" t="s">
        <v>52</v>
      </c>
      <c r="E4911" s="1" t="s">
        <v>6</v>
      </c>
      <c r="F4911" s="1" t="s">
        <v>5091</v>
      </c>
      <c r="G4911" s="14" t="s">
        <v>7895</v>
      </c>
      <c r="H4911" s="1" t="s">
        <v>43</v>
      </c>
      <c r="I4911" s="17">
        <v>41002</v>
      </c>
    </row>
    <row r="4912" spans="1:9">
      <c r="A4912" s="16" t="s">
        <v>9651</v>
      </c>
      <c r="B4912" s="1" t="s">
        <v>2628</v>
      </c>
      <c r="C4912" s="1">
        <v>321</v>
      </c>
      <c r="D4912" s="1" t="s">
        <v>52</v>
      </c>
      <c r="E4912" s="1" t="s">
        <v>6</v>
      </c>
      <c r="F4912" s="1" t="s">
        <v>5091</v>
      </c>
      <c r="G4912" s="14" t="s">
        <v>4458</v>
      </c>
      <c r="H4912" s="1" t="s">
        <v>118</v>
      </c>
      <c r="I4912" s="1" t="s">
        <v>4458</v>
      </c>
    </row>
    <row r="4913" spans="1:9">
      <c r="A4913" s="16" t="s">
        <v>9678</v>
      </c>
      <c r="B4913" s="1" t="s">
        <v>2628</v>
      </c>
      <c r="C4913" s="1">
        <v>321</v>
      </c>
      <c r="D4913" s="1" t="s">
        <v>52</v>
      </c>
      <c r="E4913" s="1" t="s">
        <v>6</v>
      </c>
      <c r="F4913" s="1" t="s">
        <v>5091</v>
      </c>
      <c r="G4913" s="14" t="s">
        <v>9679</v>
      </c>
      <c r="H4913" s="1" t="s">
        <v>43</v>
      </c>
      <c r="I4913" s="17">
        <v>41072</v>
      </c>
    </row>
    <row r="4914" spans="1:9">
      <c r="A4914" s="16" t="s">
        <v>9691</v>
      </c>
      <c r="B4914" s="1" t="s">
        <v>2628</v>
      </c>
      <c r="C4914" s="1">
        <v>321</v>
      </c>
      <c r="D4914" s="1" t="s">
        <v>52</v>
      </c>
      <c r="E4914" s="1" t="s">
        <v>6</v>
      </c>
      <c r="F4914" s="1" t="s">
        <v>5091</v>
      </c>
      <c r="G4914" s="14" t="s">
        <v>6307</v>
      </c>
      <c r="H4914" s="1" t="s">
        <v>44</v>
      </c>
      <c r="I4914" s="17">
        <v>42205</v>
      </c>
    </row>
    <row r="4915" spans="1:9">
      <c r="A4915" s="16" t="s">
        <v>9695</v>
      </c>
      <c r="B4915" s="1" t="s">
        <v>2628</v>
      </c>
      <c r="C4915" s="1">
        <v>321</v>
      </c>
      <c r="D4915" s="1" t="s">
        <v>52</v>
      </c>
      <c r="E4915" s="1" t="s">
        <v>6</v>
      </c>
      <c r="F4915" s="1" t="s">
        <v>5091</v>
      </c>
      <c r="G4915" s="14" t="s">
        <v>6236</v>
      </c>
      <c r="H4915" s="1" t="s">
        <v>43</v>
      </c>
      <c r="I4915" s="17">
        <v>42005</v>
      </c>
    </row>
    <row r="4916" spans="1:9">
      <c r="A4916" s="16" t="s">
        <v>9758</v>
      </c>
      <c r="B4916" s="1" t="s">
        <v>2628</v>
      </c>
      <c r="C4916" s="1">
        <v>321</v>
      </c>
      <c r="D4916" s="1" t="s">
        <v>52</v>
      </c>
      <c r="E4916" s="1" t="s">
        <v>6</v>
      </c>
      <c r="F4916" s="1" t="s">
        <v>5091</v>
      </c>
      <c r="G4916" s="14" t="s">
        <v>6307</v>
      </c>
      <c r="H4916" s="1" t="s">
        <v>44</v>
      </c>
      <c r="I4916" s="17">
        <v>42220</v>
      </c>
    </row>
    <row r="4917" spans="1:9">
      <c r="A4917" s="16" t="s">
        <v>9763</v>
      </c>
      <c r="B4917" s="1" t="s">
        <v>2628</v>
      </c>
      <c r="C4917" s="1">
        <v>321</v>
      </c>
      <c r="D4917" s="1" t="s">
        <v>52</v>
      </c>
      <c r="E4917" s="1" t="s">
        <v>6</v>
      </c>
      <c r="F4917" s="1" t="s">
        <v>5091</v>
      </c>
      <c r="G4917" s="14" t="s">
        <v>6307</v>
      </c>
      <c r="H4917" s="1" t="s">
        <v>44</v>
      </c>
      <c r="I4917" s="17">
        <v>42205</v>
      </c>
    </row>
    <row r="4918" spans="1:9">
      <c r="A4918" s="16" t="s">
        <v>9764</v>
      </c>
      <c r="B4918" s="1" t="s">
        <v>2628</v>
      </c>
      <c r="C4918" s="1">
        <v>321</v>
      </c>
      <c r="D4918" s="1" t="s">
        <v>52</v>
      </c>
      <c r="E4918" s="1" t="s">
        <v>6</v>
      </c>
      <c r="F4918" s="1" t="s">
        <v>5091</v>
      </c>
      <c r="G4918" s="14" t="s">
        <v>6307</v>
      </c>
      <c r="H4918" s="1" t="s">
        <v>44</v>
      </c>
      <c r="I4918" s="17">
        <v>42205</v>
      </c>
    </row>
    <row r="4919" spans="1:9">
      <c r="A4919" s="16" t="s">
        <v>9765</v>
      </c>
      <c r="B4919" s="1" t="s">
        <v>2628</v>
      </c>
      <c r="C4919" s="1">
        <v>321</v>
      </c>
      <c r="D4919" s="1" t="s">
        <v>52</v>
      </c>
      <c r="E4919" s="1" t="s">
        <v>6</v>
      </c>
      <c r="F4919" s="1" t="s">
        <v>5091</v>
      </c>
      <c r="G4919" s="14" t="s">
        <v>6307</v>
      </c>
      <c r="H4919" s="1" t="s">
        <v>44</v>
      </c>
      <c r="I4919" s="17">
        <v>42205</v>
      </c>
    </row>
    <row r="4920" spans="1:9">
      <c r="A4920" s="16" t="s">
        <v>9766</v>
      </c>
      <c r="B4920" s="1" t="s">
        <v>2628</v>
      </c>
      <c r="C4920" s="1">
        <v>321</v>
      </c>
      <c r="D4920" s="1" t="s">
        <v>52</v>
      </c>
      <c r="E4920" s="1" t="s">
        <v>6</v>
      </c>
      <c r="F4920" s="1" t="s">
        <v>5091</v>
      </c>
      <c r="G4920" s="14" t="s">
        <v>6307</v>
      </c>
      <c r="H4920" s="1" t="s">
        <v>44</v>
      </c>
      <c r="I4920" s="17">
        <v>42205</v>
      </c>
    </row>
    <row r="4921" spans="1:9">
      <c r="A4921" s="16" t="s">
        <v>9767</v>
      </c>
      <c r="B4921" s="1" t="s">
        <v>2628</v>
      </c>
      <c r="C4921" s="1">
        <v>321</v>
      </c>
      <c r="D4921" s="1" t="s">
        <v>52</v>
      </c>
      <c r="E4921" s="1" t="s">
        <v>6</v>
      </c>
      <c r="F4921" s="1" t="s">
        <v>5091</v>
      </c>
      <c r="G4921" s="14" t="s">
        <v>6307</v>
      </c>
      <c r="H4921" s="1" t="s">
        <v>44</v>
      </c>
      <c r="I4921" s="17">
        <v>42205</v>
      </c>
    </row>
    <row r="4922" spans="1:9">
      <c r="A4922" s="16" t="s">
        <v>9768</v>
      </c>
      <c r="B4922" s="1" t="s">
        <v>2628</v>
      </c>
      <c r="C4922" s="1">
        <v>321</v>
      </c>
      <c r="D4922" s="1" t="s">
        <v>52</v>
      </c>
      <c r="E4922" s="1" t="s">
        <v>6</v>
      </c>
      <c r="F4922" s="1" t="s">
        <v>5091</v>
      </c>
      <c r="G4922" s="14" t="s">
        <v>6307</v>
      </c>
      <c r="H4922" s="1" t="s">
        <v>44</v>
      </c>
      <c r="I4922" s="17">
        <v>42205</v>
      </c>
    </row>
    <row r="4923" spans="1:9">
      <c r="A4923" s="16" t="s">
        <v>9769</v>
      </c>
      <c r="B4923" s="1" t="s">
        <v>2628</v>
      </c>
      <c r="C4923" s="1">
        <v>321</v>
      </c>
      <c r="D4923" s="1" t="s">
        <v>52</v>
      </c>
      <c r="E4923" s="1" t="s">
        <v>6</v>
      </c>
      <c r="F4923" s="1" t="s">
        <v>5091</v>
      </c>
      <c r="G4923" s="14" t="s">
        <v>6307</v>
      </c>
      <c r="H4923" s="1" t="s">
        <v>44</v>
      </c>
      <c r="I4923" s="17">
        <v>42205</v>
      </c>
    </row>
    <row r="4924" spans="1:9">
      <c r="A4924" s="16" t="s">
        <v>9770</v>
      </c>
      <c r="B4924" s="1" t="s">
        <v>2628</v>
      </c>
      <c r="C4924" s="1">
        <v>321</v>
      </c>
      <c r="D4924" s="1" t="s">
        <v>52</v>
      </c>
      <c r="E4924" s="1" t="s">
        <v>6</v>
      </c>
      <c r="F4924" s="1" t="s">
        <v>5091</v>
      </c>
      <c r="G4924" s="14" t="s">
        <v>6307</v>
      </c>
      <c r="H4924" s="1" t="s">
        <v>44</v>
      </c>
      <c r="I4924" s="17">
        <v>42205</v>
      </c>
    </row>
    <row r="4925" spans="1:9">
      <c r="A4925" s="16" t="s">
        <v>9800</v>
      </c>
      <c r="B4925" s="1" t="s">
        <v>2628</v>
      </c>
      <c r="C4925" s="1">
        <v>321</v>
      </c>
      <c r="D4925" s="1" t="s">
        <v>52</v>
      </c>
      <c r="E4925" s="1" t="s">
        <v>6</v>
      </c>
      <c r="F4925" s="1" t="s">
        <v>5091</v>
      </c>
      <c r="G4925" s="14" t="s">
        <v>9801</v>
      </c>
      <c r="H4925" s="1" t="s">
        <v>5</v>
      </c>
      <c r="I4925" s="17">
        <v>41908</v>
      </c>
    </row>
    <row r="4926" spans="1:9">
      <c r="A4926" s="16" t="s">
        <v>9815</v>
      </c>
      <c r="B4926" s="1" t="s">
        <v>2628</v>
      </c>
      <c r="C4926" s="1">
        <v>321</v>
      </c>
      <c r="D4926" s="1" t="s">
        <v>52</v>
      </c>
      <c r="E4926" s="1" t="s">
        <v>6</v>
      </c>
      <c r="F4926" s="1" t="s">
        <v>5091</v>
      </c>
      <c r="G4926" s="14" t="s">
        <v>7895</v>
      </c>
      <c r="H4926" s="1" t="s">
        <v>43</v>
      </c>
      <c r="I4926" s="17">
        <v>41885</v>
      </c>
    </row>
    <row r="4927" spans="1:9">
      <c r="A4927" s="16" t="s">
        <v>9816</v>
      </c>
      <c r="B4927" s="1" t="s">
        <v>2628</v>
      </c>
      <c r="C4927" s="1">
        <v>321</v>
      </c>
      <c r="D4927" s="1" t="s">
        <v>52</v>
      </c>
      <c r="E4927" s="1" t="s">
        <v>6</v>
      </c>
      <c r="F4927" s="1" t="s">
        <v>5091</v>
      </c>
      <c r="G4927" s="14" t="s">
        <v>7895</v>
      </c>
      <c r="H4927" s="1" t="s">
        <v>43</v>
      </c>
      <c r="I4927" s="17">
        <v>41885</v>
      </c>
    </row>
    <row r="4928" spans="1:9">
      <c r="A4928" s="16" t="s">
        <v>9817</v>
      </c>
      <c r="B4928" s="1" t="s">
        <v>2628</v>
      </c>
      <c r="C4928" s="1">
        <v>321</v>
      </c>
      <c r="D4928" s="1" t="s">
        <v>52</v>
      </c>
      <c r="E4928" s="1" t="s">
        <v>6</v>
      </c>
      <c r="F4928" s="1" t="s">
        <v>5091</v>
      </c>
      <c r="G4928" s="14" t="s">
        <v>7895</v>
      </c>
      <c r="H4928" s="1" t="s">
        <v>43</v>
      </c>
      <c r="I4928" s="17">
        <v>41885</v>
      </c>
    </row>
    <row r="4929" spans="1:9">
      <c r="A4929" s="16" t="s">
        <v>9829</v>
      </c>
      <c r="B4929" s="1" t="s">
        <v>2628</v>
      </c>
      <c r="C4929" s="1">
        <v>321</v>
      </c>
      <c r="D4929" s="1" t="s">
        <v>52</v>
      </c>
      <c r="E4929" s="1" t="s">
        <v>6</v>
      </c>
      <c r="F4929" s="1" t="s">
        <v>5091</v>
      </c>
      <c r="G4929" s="14" t="s">
        <v>9830</v>
      </c>
      <c r="H4929" s="1" t="s">
        <v>5</v>
      </c>
      <c r="I4929" s="17">
        <v>41908</v>
      </c>
    </row>
    <row r="4930" spans="1:9">
      <c r="A4930" s="16" t="s">
        <v>9831</v>
      </c>
      <c r="B4930" s="1" t="s">
        <v>2628</v>
      </c>
      <c r="C4930" s="1">
        <v>321</v>
      </c>
      <c r="D4930" s="1" t="s">
        <v>52</v>
      </c>
      <c r="E4930" s="1" t="s">
        <v>6</v>
      </c>
      <c r="F4930" s="1" t="s">
        <v>5091</v>
      </c>
      <c r="G4930" s="14" t="s">
        <v>9830</v>
      </c>
      <c r="H4930" s="1" t="s">
        <v>5</v>
      </c>
      <c r="I4930" s="17">
        <v>41908</v>
      </c>
    </row>
    <row r="4931" spans="1:9">
      <c r="A4931" s="16" t="s">
        <v>9834</v>
      </c>
      <c r="B4931" s="1" t="s">
        <v>2628</v>
      </c>
      <c r="C4931" s="1">
        <v>321</v>
      </c>
      <c r="D4931" s="1" t="s">
        <v>52</v>
      </c>
      <c r="E4931" s="1" t="s">
        <v>6</v>
      </c>
      <c r="F4931" s="1" t="s">
        <v>5091</v>
      </c>
      <c r="G4931" s="14" t="s">
        <v>9835</v>
      </c>
      <c r="H4931" s="1" t="s">
        <v>5</v>
      </c>
      <c r="I4931" s="17">
        <v>40772</v>
      </c>
    </row>
    <row r="4932" spans="1:9">
      <c r="A4932" s="16" t="s">
        <v>9836</v>
      </c>
      <c r="B4932" s="1" t="s">
        <v>2628</v>
      </c>
      <c r="C4932" s="1">
        <v>321</v>
      </c>
      <c r="D4932" s="1" t="s">
        <v>52</v>
      </c>
      <c r="E4932" s="1" t="s">
        <v>6</v>
      </c>
      <c r="F4932" s="1" t="s">
        <v>5091</v>
      </c>
      <c r="G4932" s="14" t="s">
        <v>9835</v>
      </c>
      <c r="H4932" s="1" t="s">
        <v>5</v>
      </c>
      <c r="I4932" s="17">
        <v>40772</v>
      </c>
    </row>
    <row r="4933" spans="1:9">
      <c r="A4933" s="16" t="s">
        <v>9837</v>
      </c>
      <c r="B4933" s="1" t="s">
        <v>2628</v>
      </c>
      <c r="C4933" s="1">
        <v>321</v>
      </c>
      <c r="D4933" s="1" t="s">
        <v>52</v>
      </c>
      <c r="E4933" s="1" t="s">
        <v>6</v>
      </c>
      <c r="F4933" s="1" t="s">
        <v>5091</v>
      </c>
      <c r="G4933" s="14" t="s">
        <v>9833</v>
      </c>
      <c r="H4933" s="1" t="s">
        <v>5</v>
      </c>
      <c r="I4933" s="17">
        <v>40982</v>
      </c>
    </row>
    <row r="4934" spans="1:9">
      <c r="A4934" s="16" t="s">
        <v>9838</v>
      </c>
      <c r="B4934" s="1" t="s">
        <v>2628</v>
      </c>
      <c r="C4934" s="1">
        <v>321</v>
      </c>
      <c r="D4934" s="1" t="s">
        <v>52</v>
      </c>
      <c r="E4934" s="1" t="s">
        <v>6</v>
      </c>
      <c r="F4934" s="1" t="s">
        <v>5091</v>
      </c>
      <c r="G4934" s="14" t="s">
        <v>9833</v>
      </c>
      <c r="H4934" s="1" t="s">
        <v>5</v>
      </c>
      <c r="I4934" s="17">
        <v>40982</v>
      </c>
    </row>
    <row r="4935" spans="1:9">
      <c r="A4935" s="16" t="s">
        <v>9839</v>
      </c>
      <c r="B4935" s="1" t="s">
        <v>2628</v>
      </c>
      <c r="C4935" s="1">
        <v>321</v>
      </c>
      <c r="D4935" s="1" t="s">
        <v>52</v>
      </c>
      <c r="E4935" s="1" t="s">
        <v>6</v>
      </c>
      <c r="F4935" s="1" t="s">
        <v>5091</v>
      </c>
      <c r="G4935" s="14" t="s">
        <v>9840</v>
      </c>
      <c r="H4935" s="1" t="s">
        <v>5</v>
      </c>
      <c r="I4935" s="17">
        <v>40982</v>
      </c>
    </row>
    <row r="4936" spans="1:9">
      <c r="A4936" s="16" t="s">
        <v>9841</v>
      </c>
      <c r="B4936" s="1" t="s">
        <v>2628</v>
      </c>
      <c r="C4936" s="1">
        <v>321</v>
      </c>
      <c r="D4936" s="1" t="s">
        <v>52</v>
      </c>
      <c r="E4936" s="1" t="s">
        <v>6</v>
      </c>
      <c r="F4936" s="1" t="s">
        <v>5091</v>
      </c>
      <c r="G4936" s="14" t="s">
        <v>9840</v>
      </c>
      <c r="H4936" s="1" t="s">
        <v>5</v>
      </c>
      <c r="I4936" s="17">
        <v>40982</v>
      </c>
    </row>
    <row r="4937" spans="1:9">
      <c r="A4937" s="16" t="s">
        <v>9842</v>
      </c>
      <c r="B4937" s="1" t="s">
        <v>2628</v>
      </c>
      <c r="C4937" s="1">
        <v>321</v>
      </c>
      <c r="D4937" s="1" t="s">
        <v>52</v>
      </c>
      <c r="E4937" s="1" t="s">
        <v>6</v>
      </c>
      <c r="F4937" s="1" t="s">
        <v>5091</v>
      </c>
      <c r="G4937" s="14" t="s">
        <v>9843</v>
      </c>
      <c r="H4937" s="1" t="s">
        <v>5</v>
      </c>
      <c r="I4937" s="17">
        <v>41027</v>
      </c>
    </row>
    <row r="4938" spans="1:9">
      <c r="A4938" s="16" t="s">
        <v>9844</v>
      </c>
      <c r="B4938" s="1" t="s">
        <v>2628</v>
      </c>
      <c r="C4938" s="1">
        <v>321</v>
      </c>
      <c r="D4938" s="1" t="s">
        <v>52</v>
      </c>
      <c r="E4938" s="1" t="s">
        <v>6</v>
      </c>
      <c r="F4938" s="1" t="s">
        <v>5091</v>
      </c>
      <c r="G4938" s="14" t="s">
        <v>9843</v>
      </c>
      <c r="H4938" s="1" t="s">
        <v>5</v>
      </c>
      <c r="I4938" s="17">
        <v>41027</v>
      </c>
    </row>
    <row r="4939" spans="1:9">
      <c r="A4939" s="16" t="s">
        <v>9883</v>
      </c>
      <c r="B4939" s="1" t="s">
        <v>2628</v>
      </c>
      <c r="C4939" s="1">
        <v>321</v>
      </c>
      <c r="D4939" s="1" t="s">
        <v>52</v>
      </c>
      <c r="E4939" s="1" t="s">
        <v>6</v>
      </c>
      <c r="F4939" s="1" t="s">
        <v>5091</v>
      </c>
      <c r="G4939" s="14" t="s">
        <v>9884</v>
      </c>
      <c r="H4939" s="1" t="s">
        <v>5</v>
      </c>
      <c r="I4939" s="17">
        <v>41251</v>
      </c>
    </row>
    <row r="4940" spans="1:9">
      <c r="A4940" s="16" t="s">
        <v>9885</v>
      </c>
      <c r="B4940" s="1" t="s">
        <v>2628</v>
      </c>
      <c r="C4940" s="1">
        <v>321</v>
      </c>
      <c r="D4940" s="1" t="s">
        <v>52</v>
      </c>
      <c r="E4940" s="1" t="s">
        <v>6</v>
      </c>
      <c r="F4940" s="1" t="s">
        <v>5091</v>
      </c>
      <c r="G4940" s="14" t="s">
        <v>9884</v>
      </c>
      <c r="H4940" s="1" t="s">
        <v>5</v>
      </c>
      <c r="I4940" s="17">
        <v>41251</v>
      </c>
    </row>
    <row r="4941" spans="1:9">
      <c r="A4941" s="16" t="s">
        <v>9887</v>
      </c>
      <c r="B4941" s="1" t="s">
        <v>2628</v>
      </c>
      <c r="C4941" s="1">
        <v>321</v>
      </c>
      <c r="D4941" s="1" t="s">
        <v>52</v>
      </c>
      <c r="E4941" s="1" t="s">
        <v>6</v>
      </c>
      <c r="F4941" s="1" t="s">
        <v>5091</v>
      </c>
      <c r="G4941" s="14" t="s">
        <v>9565</v>
      </c>
      <c r="H4941" s="1" t="s">
        <v>5</v>
      </c>
      <c r="I4941" s="17">
        <v>39769</v>
      </c>
    </row>
    <row r="4942" spans="1:9">
      <c r="A4942" s="16" t="s">
        <v>9893</v>
      </c>
      <c r="B4942" s="1" t="s">
        <v>2628</v>
      </c>
      <c r="C4942" s="1">
        <v>321</v>
      </c>
      <c r="D4942" s="1" t="s">
        <v>52</v>
      </c>
      <c r="E4942" s="1" t="s">
        <v>6</v>
      </c>
      <c r="F4942" s="1" t="s">
        <v>5091</v>
      </c>
      <c r="G4942" s="14" t="s">
        <v>9558</v>
      </c>
      <c r="H4942" s="1" t="s">
        <v>5</v>
      </c>
      <c r="I4942" s="17">
        <v>39688</v>
      </c>
    </row>
    <row r="4943" spans="1:9">
      <c r="A4943" s="16" t="s">
        <v>9894</v>
      </c>
      <c r="B4943" s="1" t="s">
        <v>2628</v>
      </c>
      <c r="C4943" s="1">
        <v>321</v>
      </c>
      <c r="D4943" s="1" t="s">
        <v>52</v>
      </c>
      <c r="E4943" s="1" t="s">
        <v>6</v>
      </c>
      <c r="F4943" s="1" t="s">
        <v>5091</v>
      </c>
      <c r="G4943" s="14" t="s">
        <v>9895</v>
      </c>
      <c r="H4943" s="1" t="s">
        <v>5</v>
      </c>
      <c r="I4943" s="17">
        <v>39688</v>
      </c>
    </row>
    <row r="4944" spans="1:9">
      <c r="A4944" s="16" t="s">
        <v>9897</v>
      </c>
      <c r="B4944" s="1" t="s">
        <v>2628</v>
      </c>
      <c r="C4944" s="1">
        <v>321</v>
      </c>
      <c r="D4944" s="1" t="s">
        <v>52</v>
      </c>
      <c r="E4944" s="1" t="s">
        <v>6</v>
      </c>
      <c r="F4944" s="1" t="s">
        <v>5091</v>
      </c>
      <c r="G4944" s="14" t="s">
        <v>6186</v>
      </c>
      <c r="H4944" s="1" t="s">
        <v>5</v>
      </c>
      <c r="I4944" s="17">
        <v>42005</v>
      </c>
    </row>
    <row r="4945" spans="1:9">
      <c r="A4945" s="16" t="s">
        <v>9908</v>
      </c>
      <c r="B4945" s="1" t="s">
        <v>2628</v>
      </c>
      <c r="C4945" s="1">
        <v>321</v>
      </c>
      <c r="D4945" s="1" t="s">
        <v>52</v>
      </c>
      <c r="E4945" s="1" t="s">
        <v>6</v>
      </c>
      <c r="F4945" s="1" t="s">
        <v>5091</v>
      </c>
      <c r="G4945" s="14" t="s">
        <v>9909</v>
      </c>
      <c r="H4945" s="1" t="s">
        <v>43</v>
      </c>
      <c r="I4945" s="17">
        <v>38569</v>
      </c>
    </row>
    <row r="4946" spans="1:9">
      <c r="A4946" s="16" t="s">
        <v>9910</v>
      </c>
      <c r="B4946" s="1" t="s">
        <v>2628</v>
      </c>
      <c r="C4946" s="1">
        <v>321</v>
      </c>
      <c r="D4946" s="1" t="s">
        <v>52</v>
      </c>
      <c r="E4946" s="1" t="s">
        <v>6</v>
      </c>
      <c r="F4946" s="1" t="s">
        <v>5091</v>
      </c>
      <c r="G4946" s="14" t="s">
        <v>9911</v>
      </c>
      <c r="H4946" s="1" t="s">
        <v>43</v>
      </c>
      <c r="I4946" s="17">
        <v>38569</v>
      </c>
    </row>
    <row r="4947" spans="1:9">
      <c r="A4947" s="16" t="s">
        <v>9912</v>
      </c>
      <c r="B4947" s="1" t="s">
        <v>2628</v>
      </c>
      <c r="C4947" s="1">
        <v>321</v>
      </c>
      <c r="D4947" s="1" t="s">
        <v>52</v>
      </c>
      <c r="E4947" s="1" t="s">
        <v>6</v>
      </c>
      <c r="F4947" s="1" t="s">
        <v>5091</v>
      </c>
      <c r="G4947" s="14" t="s">
        <v>9913</v>
      </c>
      <c r="H4947" s="1" t="s">
        <v>5</v>
      </c>
      <c r="I4947" s="17">
        <v>42005</v>
      </c>
    </row>
    <row r="4948" spans="1:9">
      <c r="A4948" s="16" t="s">
        <v>9915</v>
      </c>
      <c r="B4948" s="1" t="s">
        <v>2628</v>
      </c>
      <c r="C4948" s="1">
        <v>321</v>
      </c>
      <c r="D4948" s="1" t="s">
        <v>52</v>
      </c>
      <c r="E4948" s="1" t="s">
        <v>6</v>
      </c>
      <c r="F4948" s="1" t="s">
        <v>5091</v>
      </c>
      <c r="G4948" s="14" t="s">
        <v>6145</v>
      </c>
      <c r="H4948" s="1" t="s">
        <v>43</v>
      </c>
      <c r="I4948" s="17">
        <v>42325</v>
      </c>
    </row>
    <row r="4949" spans="1:9">
      <c r="A4949" s="16" t="s">
        <v>9931</v>
      </c>
      <c r="B4949" s="1" t="s">
        <v>2628</v>
      </c>
      <c r="C4949" s="1">
        <v>321</v>
      </c>
      <c r="D4949" s="1" t="s">
        <v>52</v>
      </c>
      <c r="E4949" s="1" t="s">
        <v>6</v>
      </c>
      <c r="F4949" s="1" t="s">
        <v>5091</v>
      </c>
      <c r="G4949" s="14" t="s">
        <v>6307</v>
      </c>
      <c r="H4949" s="1" t="s">
        <v>44</v>
      </c>
      <c r="I4949" s="17">
        <v>42326</v>
      </c>
    </row>
    <row r="4950" spans="1:9">
      <c r="A4950" s="16" t="s">
        <v>9932</v>
      </c>
      <c r="B4950" s="1" t="s">
        <v>2628</v>
      </c>
      <c r="C4950" s="1">
        <v>321</v>
      </c>
      <c r="D4950" s="1" t="s">
        <v>52</v>
      </c>
      <c r="E4950" s="1" t="s">
        <v>6</v>
      </c>
      <c r="F4950" s="1" t="s">
        <v>5091</v>
      </c>
      <c r="G4950" s="14" t="s">
        <v>6307</v>
      </c>
      <c r="H4950" s="1" t="s">
        <v>44</v>
      </c>
      <c r="I4950" s="17">
        <v>42326</v>
      </c>
    </row>
    <row r="4951" spans="1:9">
      <c r="A4951" s="16" t="s">
        <v>9933</v>
      </c>
      <c r="B4951" s="1" t="s">
        <v>2628</v>
      </c>
      <c r="C4951" s="1">
        <v>321</v>
      </c>
      <c r="D4951" s="1" t="s">
        <v>52</v>
      </c>
      <c r="E4951" s="1" t="s">
        <v>6</v>
      </c>
      <c r="F4951" s="1" t="s">
        <v>5091</v>
      </c>
      <c r="G4951" s="14" t="s">
        <v>6307</v>
      </c>
      <c r="H4951" s="1" t="s">
        <v>44</v>
      </c>
      <c r="I4951" s="17">
        <v>42326</v>
      </c>
    </row>
    <row r="4952" spans="1:9">
      <c r="A4952" s="16" t="s">
        <v>9934</v>
      </c>
      <c r="B4952" s="1" t="s">
        <v>2628</v>
      </c>
      <c r="C4952" s="1">
        <v>321</v>
      </c>
      <c r="D4952" s="1" t="s">
        <v>52</v>
      </c>
      <c r="E4952" s="1" t="s">
        <v>6</v>
      </c>
      <c r="F4952" s="1" t="s">
        <v>5091</v>
      </c>
      <c r="G4952" s="14" t="s">
        <v>6307</v>
      </c>
      <c r="H4952" s="1" t="s">
        <v>44</v>
      </c>
      <c r="I4952" s="17">
        <v>42326</v>
      </c>
    </row>
    <row r="4953" spans="1:9">
      <c r="A4953" s="16" t="s">
        <v>9936</v>
      </c>
      <c r="B4953" s="1" t="s">
        <v>2628</v>
      </c>
      <c r="C4953" s="1">
        <v>321</v>
      </c>
      <c r="D4953" s="1" t="s">
        <v>52</v>
      </c>
      <c r="E4953" s="1" t="s">
        <v>6</v>
      </c>
      <c r="F4953" s="1" t="s">
        <v>5091</v>
      </c>
      <c r="G4953" s="14" t="s">
        <v>6307</v>
      </c>
      <c r="H4953" s="1" t="s">
        <v>44</v>
      </c>
      <c r="I4953" s="17">
        <v>42326</v>
      </c>
    </row>
    <row r="4954" spans="1:9">
      <c r="A4954" s="16" t="s">
        <v>9937</v>
      </c>
      <c r="B4954" s="1" t="s">
        <v>2628</v>
      </c>
      <c r="C4954" s="1">
        <v>321</v>
      </c>
      <c r="D4954" s="1" t="s">
        <v>52</v>
      </c>
      <c r="E4954" s="1" t="s">
        <v>6</v>
      </c>
      <c r="F4954" s="1" t="s">
        <v>5091</v>
      </c>
      <c r="G4954" s="14" t="s">
        <v>6307</v>
      </c>
      <c r="H4954" s="1" t="s">
        <v>44</v>
      </c>
      <c r="I4954" s="17">
        <v>42326</v>
      </c>
    </row>
    <row r="4955" spans="1:9">
      <c r="A4955" s="16" t="s">
        <v>9938</v>
      </c>
      <c r="B4955" s="1" t="s">
        <v>2628</v>
      </c>
      <c r="C4955" s="1">
        <v>321</v>
      </c>
      <c r="D4955" s="1" t="s">
        <v>52</v>
      </c>
      <c r="E4955" s="1" t="s">
        <v>6</v>
      </c>
      <c r="F4955" s="1" t="s">
        <v>5091</v>
      </c>
      <c r="G4955" s="14" t="s">
        <v>6307</v>
      </c>
      <c r="H4955" s="1" t="s">
        <v>44</v>
      </c>
      <c r="I4955" s="17">
        <v>42326</v>
      </c>
    </row>
    <row r="4956" spans="1:9">
      <c r="A4956" s="16" t="s">
        <v>9939</v>
      </c>
      <c r="B4956" s="1" t="s">
        <v>2628</v>
      </c>
      <c r="C4956" s="1">
        <v>321</v>
      </c>
      <c r="D4956" s="1" t="s">
        <v>52</v>
      </c>
      <c r="E4956" s="1" t="s">
        <v>6</v>
      </c>
      <c r="F4956" s="1" t="s">
        <v>5091</v>
      </c>
      <c r="G4956" s="14" t="s">
        <v>6307</v>
      </c>
      <c r="H4956" s="1" t="s">
        <v>44</v>
      </c>
      <c r="I4956" s="17">
        <v>42326</v>
      </c>
    </row>
    <row r="4957" spans="1:9">
      <c r="A4957" s="16" t="s">
        <v>9940</v>
      </c>
      <c r="B4957" s="1" t="s">
        <v>2628</v>
      </c>
      <c r="C4957" s="1">
        <v>321</v>
      </c>
      <c r="D4957" s="1" t="s">
        <v>52</v>
      </c>
      <c r="E4957" s="1" t="s">
        <v>6</v>
      </c>
      <c r="F4957" s="1" t="s">
        <v>5091</v>
      </c>
      <c r="G4957" s="14" t="s">
        <v>6307</v>
      </c>
      <c r="H4957" s="1" t="s">
        <v>44</v>
      </c>
      <c r="I4957" s="17">
        <v>42326</v>
      </c>
    </row>
    <row r="4958" spans="1:9">
      <c r="A4958" s="16" t="s">
        <v>9941</v>
      </c>
      <c r="B4958" s="1" t="s">
        <v>2628</v>
      </c>
      <c r="C4958" s="1">
        <v>321</v>
      </c>
      <c r="D4958" s="1" t="s">
        <v>52</v>
      </c>
      <c r="E4958" s="1" t="s">
        <v>6</v>
      </c>
      <c r="F4958" s="1" t="s">
        <v>5091</v>
      </c>
      <c r="G4958" s="14" t="s">
        <v>6307</v>
      </c>
      <c r="H4958" s="1" t="s">
        <v>44</v>
      </c>
      <c r="I4958" s="17">
        <v>42326</v>
      </c>
    </row>
    <row r="4959" spans="1:9">
      <c r="A4959" s="16" t="s">
        <v>9942</v>
      </c>
      <c r="B4959" s="1" t="s">
        <v>2628</v>
      </c>
      <c r="C4959" s="1">
        <v>321</v>
      </c>
      <c r="D4959" s="1" t="s">
        <v>52</v>
      </c>
      <c r="E4959" s="1" t="s">
        <v>6</v>
      </c>
      <c r="F4959" s="1" t="s">
        <v>5091</v>
      </c>
      <c r="G4959" s="14" t="s">
        <v>6307</v>
      </c>
      <c r="H4959" s="1" t="s">
        <v>44</v>
      </c>
      <c r="I4959" s="17">
        <v>42326</v>
      </c>
    </row>
    <row r="4960" spans="1:9" ht="31.2">
      <c r="A4960" s="16" t="s">
        <v>9943</v>
      </c>
      <c r="B4960" s="1" t="s">
        <v>2628</v>
      </c>
      <c r="C4960" s="1">
        <v>321</v>
      </c>
      <c r="D4960" s="1" t="s">
        <v>52</v>
      </c>
      <c r="E4960" s="1" t="s">
        <v>6</v>
      </c>
      <c r="F4960" s="1" t="s">
        <v>5091</v>
      </c>
      <c r="G4960" s="14" t="s">
        <v>6307</v>
      </c>
      <c r="H4960" s="1" t="s">
        <v>44</v>
      </c>
      <c r="I4960" s="17">
        <v>42326</v>
      </c>
    </row>
    <row r="4961" spans="1:9">
      <c r="A4961" s="16" t="s">
        <v>9944</v>
      </c>
      <c r="B4961" s="1" t="s">
        <v>2628</v>
      </c>
      <c r="C4961" s="1">
        <v>321</v>
      </c>
      <c r="D4961" s="1" t="s">
        <v>52</v>
      </c>
      <c r="E4961" s="1" t="s">
        <v>6</v>
      </c>
      <c r="F4961" s="1" t="s">
        <v>5091</v>
      </c>
      <c r="G4961" s="14" t="s">
        <v>6307</v>
      </c>
      <c r="H4961" s="1" t="s">
        <v>44</v>
      </c>
      <c r="I4961" s="17">
        <v>42326</v>
      </c>
    </row>
    <row r="4962" spans="1:9">
      <c r="A4962" s="16" t="s">
        <v>9947</v>
      </c>
      <c r="B4962" s="1" t="s">
        <v>2628</v>
      </c>
      <c r="C4962" s="1">
        <v>321</v>
      </c>
      <c r="D4962" s="1" t="s">
        <v>52</v>
      </c>
      <c r="E4962" s="1" t="s">
        <v>6</v>
      </c>
      <c r="F4962" s="1" t="s">
        <v>5091</v>
      </c>
      <c r="G4962" s="14" t="s">
        <v>6307</v>
      </c>
      <c r="H4962" s="1" t="s">
        <v>44</v>
      </c>
      <c r="I4962" s="17">
        <v>42326</v>
      </c>
    </row>
    <row r="4963" spans="1:9">
      <c r="A4963" s="16" t="s">
        <v>9948</v>
      </c>
      <c r="B4963" s="1" t="s">
        <v>2628</v>
      </c>
      <c r="C4963" s="1">
        <v>321</v>
      </c>
      <c r="D4963" s="1" t="s">
        <v>52</v>
      </c>
      <c r="E4963" s="1" t="s">
        <v>6</v>
      </c>
      <c r="F4963" s="1" t="s">
        <v>5091</v>
      </c>
      <c r="G4963" s="14" t="s">
        <v>6307</v>
      </c>
      <c r="H4963" s="1" t="s">
        <v>44</v>
      </c>
      <c r="I4963" s="17">
        <v>42326</v>
      </c>
    </row>
    <row r="4964" spans="1:9">
      <c r="A4964" s="16" t="s">
        <v>9951</v>
      </c>
      <c r="B4964" s="1" t="s">
        <v>2628</v>
      </c>
      <c r="C4964" s="1">
        <v>321</v>
      </c>
      <c r="D4964" s="1" t="s">
        <v>52</v>
      </c>
      <c r="E4964" s="1" t="s">
        <v>6</v>
      </c>
      <c r="F4964" s="1" t="s">
        <v>5091</v>
      </c>
      <c r="G4964" s="14" t="s">
        <v>9565</v>
      </c>
      <c r="H4964" s="1" t="s">
        <v>5</v>
      </c>
      <c r="I4964" s="17">
        <v>39769</v>
      </c>
    </row>
    <row r="4965" spans="1:9">
      <c r="A4965" s="16" t="s">
        <v>9980</v>
      </c>
      <c r="B4965" s="1" t="s">
        <v>2628</v>
      </c>
      <c r="C4965" s="1">
        <v>321</v>
      </c>
      <c r="D4965" s="1" t="s">
        <v>52</v>
      </c>
      <c r="E4965" s="1" t="s">
        <v>6</v>
      </c>
      <c r="F4965" s="1" t="s">
        <v>5091</v>
      </c>
      <c r="G4965" s="14" t="s">
        <v>9903</v>
      </c>
      <c r="H4965" s="1" t="s">
        <v>5</v>
      </c>
      <c r="I4965" s="17">
        <v>42005</v>
      </c>
    </row>
    <row r="4966" spans="1:9">
      <c r="A4966" s="16" t="s">
        <v>9986</v>
      </c>
      <c r="B4966" s="1" t="s">
        <v>2628</v>
      </c>
      <c r="C4966" s="1">
        <v>321</v>
      </c>
      <c r="D4966" s="1" t="s">
        <v>52</v>
      </c>
      <c r="E4966" s="1" t="s">
        <v>6</v>
      </c>
      <c r="F4966" s="1" t="s">
        <v>5091</v>
      </c>
      <c r="G4966" s="14" t="s">
        <v>6238</v>
      </c>
      <c r="H4966" s="1" t="s">
        <v>43</v>
      </c>
      <c r="I4966" s="17">
        <v>42005</v>
      </c>
    </row>
    <row r="4967" spans="1:9">
      <c r="A4967" s="16" t="s">
        <v>9989</v>
      </c>
      <c r="B4967" s="1" t="s">
        <v>2628</v>
      </c>
      <c r="C4967" s="1">
        <v>321</v>
      </c>
      <c r="D4967" s="1" t="s">
        <v>52</v>
      </c>
      <c r="E4967" s="1" t="s">
        <v>6</v>
      </c>
      <c r="F4967" s="1" t="s">
        <v>5091</v>
      </c>
      <c r="G4967" s="14" t="s">
        <v>6238</v>
      </c>
      <c r="H4967" s="1" t="s">
        <v>43</v>
      </c>
      <c r="I4967" s="17">
        <v>42005</v>
      </c>
    </row>
    <row r="4968" spans="1:9">
      <c r="A4968" s="16" t="s">
        <v>10007</v>
      </c>
      <c r="B4968" s="1" t="s">
        <v>2628</v>
      </c>
      <c r="C4968" s="1">
        <v>321</v>
      </c>
      <c r="D4968" s="1" t="s">
        <v>52</v>
      </c>
      <c r="E4968" s="1" t="s">
        <v>6</v>
      </c>
      <c r="F4968" s="1" t="s">
        <v>5091</v>
      </c>
      <c r="G4968" s="14" t="s">
        <v>6307</v>
      </c>
      <c r="H4968" s="1" t="s">
        <v>44</v>
      </c>
      <c r="I4968" s="17">
        <v>42011</v>
      </c>
    </row>
    <row r="4969" spans="1:9">
      <c r="A4969" s="16" t="s">
        <v>10013</v>
      </c>
      <c r="B4969" s="1" t="s">
        <v>2628</v>
      </c>
      <c r="C4969" s="1">
        <v>321</v>
      </c>
      <c r="D4969" s="1" t="s">
        <v>52</v>
      </c>
      <c r="E4969" s="1" t="s">
        <v>6</v>
      </c>
      <c r="F4969" s="1" t="s">
        <v>5091</v>
      </c>
      <c r="G4969" s="14" t="s">
        <v>6238</v>
      </c>
      <c r="H4969" s="1" t="s">
        <v>43</v>
      </c>
      <c r="I4969" s="17">
        <v>42005</v>
      </c>
    </row>
    <row r="4970" spans="1:9">
      <c r="A4970" s="16" t="s">
        <v>10014</v>
      </c>
      <c r="B4970" s="1" t="s">
        <v>2628</v>
      </c>
      <c r="C4970" s="1">
        <v>321</v>
      </c>
      <c r="D4970" s="1" t="s">
        <v>52</v>
      </c>
      <c r="E4970" s="1" t="s">
        <v>6</v>
      </c>
      <c r="F4970" s="1" t="s">
        <v>5091</v>
      </c>
      <c r="G4970" s="14" t="s">
        <v>6238</v>
      </c>
      <c r="H4970" s="1" t="s">
        <v>43</v>
      </c>
      <c r="I4970" s="17">
        <v>42005</v>
      </c>
    </row>
    <row r="4971" spans="1:9">
      <c r="A4971" s="16" t="s">
        <v>10015</v>
      </c>
      <c r="B4971" s="1" t="s">
        <v>2628</v>
      </c>
      <c r="C4971" s="1">
        <v>321</v>
      </c>
      <c r="D4971" s="1" t="s">
        <v>52</v>
      </c>
      <c r="E4971" s="1" t="s">
        <v>6</v>
      </c>
      <c r="F4971" s="1" t="s">
        <v>5091</v>
      </c>
      <c r="G4971" s="14" t="s">
        <v>6236</v>
      </c>
      <c r="H4971" s="1" t="s">
        <v>43</v>
      </c>
      <c r="I4971" s="17">
        <v>42005</v>
      </c>
    </row>
    <row r="4972" spans="1:9">
      <c r="A4972" s="16" t="s">
        <v>10016</v>
      </c>
      <c r="B4972" s="1" t="s">
        <v>2628</v>
      </c>
      <c r="C4972" s="1">
        <v>321</v>
      </c>
      <c r="D4972" s="1" t="s">
        <v>52</v>
      </c>
      <c r="E4972" s="1" t="s">
        <v>6</v>
      </c>
      <c r="F4972" s="1" t="s">
        <v>5091</v>
      </c>
      <c r="G4972" s="14" t="s">
        <v>6238</v>
      </c>
      <c r="H4972" s="1" t="s">
        <v>43</v>
      </c>
      <c r="I4972" s="17">
        <v>42005</v>
      </c>
    </row>
    <row r="4973" spans="1:9">
      <c r="A4973" s="16" t="s">
        <v>10017</v>
      </c>
      <c r="B4973" s="1" t="s">
        <v>2628</v>
      </c>
      <c r="C4973" s="1">
        <v>321</v>
      </c>
      <c r="D4973" s="1" t="s">
        <v>52</v>
      </c>
      <c r="E4973" s="1" t="s">
        <v>6</v>
      </c>
      <c r="F4973" s="1" t="s">
        <v>5091</v>
      </c>
      <c r="G4973" s="14" t="s">
        <v>6238</v>
      </c>
      <c r="H4973" s="1" t="s">
        <v>43</v>
      </c>
      <c r="I4973" s="17">
        <v>42005</v>
      </c>
    </row>
    <row r="4974" spans="1:9">
      <c r="A4974" s="16" t="s">
        <v>10018</v>
      </c>
      <c r="B4974" s="1" t="s">
        <v>2628</v>
      </c>
      <c r="C4974" s="1">
        <v>321</v>
      </c>
      <c r="D4974" s="1" t="s">
        <v>52</v>
      </c>
      <c r="E4974" s="1" t="s">
        <v>6</v>
      </c>
      <c r="F4974" s="1" t="s">
        <v>5091</v>
      </c>
      <c r="G4974" s="14" t="s">
        <v>6238</v>
      </c>
      <c r="H4974" s="1" t="s">
        <v>43</v>
      </c>
      <c r="I4974" s="17">
        <v>42005</v>
      </c>
    </row>
    <row r="4975" spans="1:9">
      <c r="A4975" s="16" t="s">
        <v>10019</v>
      </c>
      <c r="B4975" s="1" t="s">
        <v>2628</v>
      </c>
      <c r="C4975" s="1">
        <v>321</v>
      </c>
      <c r="D4975" s="1" t="s">
        <v>52</v>
      </c>
      <c r="E4975" s="1" t="s">
        <v>6</v>
      </c>
      <c r="F4975" s="1" t="s">
        <v>5091</v>
      </c>
      <c r="G4975" s="14" t="s">
        <v>10020</v>
      </c>
      <c r="H4975" s="1" t="s">
        <v>5</v>
      </c>
      <c r="I4975" s="17">
        <v>42005</v>
      </c>
    </row>
    <row r="4976" spans="1:9">
      <c r="A4976" s="16" t="s">
        <v>10021</v>
      </c>
      <c r="B4976" s="1" t="s">
        <v>2628</v>
      </c>
      <c r="C4976" s="1">
        <v>321</v>
      </c>
      <c r="D4976" s="1" t="s">
        <v>52</v>
      </c>
      <c r="E4976" s="1" t="s">
        <v>6</v>
      </c>
      <c r="F4976" s="1" t="s">
        <v>5091</v>
      </c>
      <c r="G4976" s="14" t="s">
        <v>6238</v>
      </c>
      <c r="H4976" s="1" t="s">
        <v>43</v>
      </c>
      <c r="I4976" s="17">
        <v>42005</v>
      </c>
    </row>
    <row r="4977" spans="1:9">
      <c r="A4977" s="16" t="s">
        <v>10022</v>
      </c>
      <c r="B4977" s="1" t="s">
        <v>2628</v>
      </c>
      <c r="C4977" s="1">
        <v>321</v>
      </c>
      <c r="D4977" s="1" t="s">
        <v>52</v>
      </c>
      <c r="E4977" s="1" t="s">
        <v>6</v>
      </c>
      <c r="F4977" s="1" t="s">
        <v>5091</v>
      </c>
      <c r="G4977" s="14" t="s">
        <v>6236</v>
      </c>
      <c r="H4977" s="1" t="s">
        <v>43</v>
      </c>
      <c r="I4977" s="17">
        <v>42005</v>
      </c>
    </row>
    <row r="4978" spans="1:9">
      <c r="A4978" s="16" t="s">
        <v>10023</v>
      </c>
      <c r="B4978" s="1" t="s">
        <v>2628</v>
      </c>
      <c r="C4978" s="1">
        <v>321</v>
      </c>
      <c r="D4978" s="1" t="s">
        <v>52</v>
      </c>
      <c r="E4978" s="1" t="s">
        <v>6</v>
      </c>
      <c r="F4978" s="1" t="s">
        <v>5091</v>
      </c>
      <c r="G4978" s="14" t="s">
        <v>6236</v>
      </c>
      <c r="H4978" s="1" t="s">
        <v>43</v>
      </c>
      <c r="I4978" s="17">
        <v>42005</v>
      </c>
    </row>
    <row r="4979" spans="1:9">
      <c r="A4979" s="16" t="s">
        <v>10024</v>
      </c>
      <c r="B4979" s="1" t="s">
        <v>2628</v>
      </c>
      <c r="C4979" s="1">
        <v>321</v>
      </c>
      <c r="D4979" s="1" t="s">
        <v>52</v>
      </c>
      <c r="E4979" s="1" t="s">
        <v>6</v>
      </c>
      <c r="F4979" s="1" t="s">
        <v>5091</v>
      </c>
      <c r="G4979" s="14" t="s">
        <v>6238</v>
      </c>
      <c r="H4979" s="1" t="s">
        <v>43</v>
      </c>
      <c r="I4979" s="17">
        <v>42005</v>
      </c>
    </row>
    <row r="4980" spans="1:9">
      <c r="A4980" s="16" t="s">
        <v>10025</v>
      </c>
      <c r="B4980" s="1" t="s">
        <v>2628</v>
      </c>
      <c r="C4980" s="1">
        <v>321</v>
      </c>
      <c r="D4980" s="1" t="s">
        <v>52</v>
      </c>
      <c r="E4980" s="1" t="s">
        <v>6</v>
      </c>
      <c r="F4980" s="1" t="s">
        <v>5091</v>
      </c>
      <c r="G4980" s="14" t="s">
        <v>10026</v>
      </c>
      <c r="H4980" s="1" t="s">
        <v>5</v>
      </c>
      <c r="I4980" s="17">
        <v>42005</v>
      </c>
    </row>
    <row r="4981" spans="1:9">
      <c r="A4981" s="16" t="s">
        <v>10027</v>
      </c>
      <c r="B4981" s="1" t="s">
        <v>2628</v>
      </c>
      <c r="C4981" s="1">
        <v>321</v>
      </c>
      <c r="D4981" s="1" t="s">
        <v>52</v>
      </c>
      <c r="E4981" s="1" t="s">
        <v>6</v>
      </c>
      <c r="F4981" s="1" t="s">
        <v>5091</v>
      </c>
      <c r="G4981" s="14" t="s">
        <v>10026</v>
      </c>
      <c r="H4981" s="1" t="s">
        <v>5</v>
      </c>
      <c r="I4981" s="17">
        <v>42005</v>
      </c>
    </row>
    <row r="4982" spans="1:9">
      <c r="A4982" s="16" t="s">
        <v>10036</v>
      </c>
      <c r="B4982" s="1" t="s">
        <v>2628</v>
      </c>
      <c r="C4982" s="1">
        <v>321</v>
      </c>
      <c r="D4982" s="1" t="s">
        <v>52</v>
      </c>
      <c r="E4982" s="1" t="s">
        <v>6</v>
      </c>
      <c r="F4982" s="1" t="s">
        <v>5091</v>
      </c>
      <c r="G4982" s="14" t="s">
        <v>6145</v>
      </c>
      <c r="H4982" s="1" t="s">
        <v>43</v>
      </c>
      <c r="I4982" s="17">
        <v>40674</v>
      </c>
    </row>
    <row r="4983" spans="1:9">
      <c r="A4983" s="16" t="s">
        <v>10037</v>
      </c>
      <c r="B4983" s="1" t="s">
        <v>2628</v>
      </c>
      <c r="C4983" s="1">
        <v>321</v>
      </c>
      <c r="D4983" s="1" t="s">
        <v>52</v>
      </c>
      <c r="E4983" s="1" t="s">
        <v>6</v>
      </c>
      <c r="F4983" s="1" t="s">
        <v>5091</v>
      </c>
      <c r="G4983" s="14" t="s">
        <v>6145</v>
      </c>
      <c r="H4983" s="1" t="s">
        <v>43</v>
      </c>
      <c r="I4983" s="17">
        <v>40674</v>
      </c>
    </row>
    <row r="4984" spans="1:9">
      <c r="A4984" s="16" t="s">
        <v>10038</v>
      </c>
      <c r="B4984" s="1" t="s">
        <v>2628</v>
      </c>
      <c r="C4984" s="1">
        <v>321</v>
      </c>
      <c r="D4984" s="1" t="s">
        <v>52</v>
      </c>
      <c r="E4984" s="1" t="s">
        <v>6</v>
      </c>
      <c r="F4984" s="1" t="s">
        <v>5091</v>
      </c>
      <c r="G4984" s="14" t="s">
        <v>6145</v>
      </c>
      <c r="H4984" s="1" t="s">
        <v>43</v>
      </c>
      <c r="I4984" s="17">
        <v>40674</v>
      </c>
    </row>
    <row r="4985" spans="1:9">
      <c r="A4985" s="16" t="s">
        <v>10051</v>
      </c>
      <c r="B4985" s="1" t="s">
        <v>2628</v>
      </c>
      <c r="C4985" s="1">
        <v>321</v>
      </c>
      <c r="D4985" s="1" t="s">
        <v>52</v>
      </c>
      <c r="E4985" s="1" t="s">
        <v>6</v>
      </c>
      <c r="F4985" s="1" t="s">
        <v>5091</v>
      </c>
      <c r="G4985" s="14" t="s">
        <v>6186</v>
      </c>
      <c r="H4985" s="1" t="s">
        <v>5</v>
      </c>
      <c r="I4985" s="17">
        <v>42005</v>
      </c>
    </row>
    <row r="4986" spans="1:9">
      <c r="A4986" s="16" t="s">
        <v>10064</v>
      </c>
      <c r="B4986" s="1" t="s">
        <v>2628</v>
      </c>
      <c r="C4986" s="1">
        <v>321</v>
      </c>
      <c r="D4986" s="1" t="s">
        <v>52</v>
      </c>
      <c r="E4986" s="1" t="s">
        <v>6</v>
      </c>
      <c r="F4986" s="1" t="s">
        <v>5091</v>
      </c>
      <c r="G4986" s="14" t="s">
        <v>6530</v>
      </c>
      <c r="H4986" s="1" t="s">
        <v>43</v>
      </c>
      <c r="I4986" s="17">
        <v>42309</v>
      </c>
    </row>
    <row r="4987" spans="1:9">
      <c r="A4987" s="16" t="s">
        <v>10067</v>
      </c>
      <c r="B4987" s="1" t="s">
        <v>2628</v>
      </c>
      <c r="C4987" s="1">
        <v>321</v>
      </c>
      <c r="D4987" s="1" t="s">
        <v>52</v>
      </c>
      <c r="E4987" s="1" t="s">
        <v>6</v>
      </c>
      <c r="F4987" s="1" t="s">
        <v>5091</v>
      </c>
      <c r="G4987" s="14" t="s">
        <v>6236</v>
      </c>
      <c r="H4987" s="1" t="s">
        <v>43</v>
      </c>
      <c r="I4987" s="17">
        <v>42005</v>
      </c>
    </row>
    <row r="4988" spans="1:9">
      <c r="A4988" s="16" t="s">
        <v>10070</v>
      </c>
      <c r="B4988" s="1" t="s">
        <v>2628</v>
      </c>
      <c r="C4988" s="1">
        <v>321</v>
      </c>
      <c r="D4988" s="1" t="s">
        <v>52</v>
      </c>
      <c r="E4988" s="1" t="s">
        <v>6</v>
      </c>
      <c r="F4988" s="1" t="s">
        <v>36</v>
      </c>
      <c r="G4988" s="14" t="s">
        <v>10071</v>
      </c>
      <c r="H4988" s="1" t="s">
        <v>5</v>
      </c>
      <c r="I4988" s="17">
        <v>39814</v>
      </c>
    </row>
    <row r="4989" spans="1:9">
      <c r="A4989" s="16" t="s">
        <v>10074</v>
      </c>
      <c r="B4989" s="1" t="s">
        <v>2628</v>
      </c>
      <c r="C4989" s="1">
        <v>321</v>
      </c>
      <c r="D4989" s="1" t="s">
        <v>52</v>
      </c>
      <c r="E4989" s="1" t="s">
        <v>6</v>
      </c>
      <c r="F4989" s="1" t="s">
        <v>36</v>
      </c>
      <c r="G4989" s="14" t="s">
        <v>10075</v>
      </c>
      <c r="H4989" s="1" t="s">
        <v>5</v>
      </c>
      <c r="I4989" s="17">
        <v>39814</v>
      </c>
    </row>
    <row r="4990" spans="1:9">
      <c r="A4990" s="16" t="s">
        <v>10078</v>
      </c>
      <c r="B4990" s="1" t="s">
        <v>2628</v>
      </c>
      <c r="C4990" s="1">
        <v>321</v>
      </c>
      <c r="D4990" s="1" t="s">
        <v>52</v>
      </c>
      <c r="E4990" s="1" t="s">
        <v>6</v>
      </c>
      <c r="F4990" s="1" t="s">
        <v>36</v>
      </c>
      <c r="G4990" s="14" t="s">
        <v>10079</v>
      </c>
      <c r="H4990" s="1" t="s">
        <v>5</v>
      </c>
      <c r="I4990" s="17">
        <v>40544</v>
      </c>
    </row>
    <row r="4991" spans="1:9">
      <c r="A4991" s="16" t="s">
        <v>10092</v>
      </c>
      <c r="B4991" s="1" t="s">
        <v>2628</v>
      </c>
      <c r="C4991" s="1">
        <v>321</v>
      </c>
      <c r="D4991" s="1" t="s">
        <v>52</v>
      </c>
      <c r="E4991" s="1" t="s">
        <v>6</v>
      </c>
      <c r="F4991" s="1" t="s">
        <v>36</v>
      </c>
      <c r="G4991" s="14" t="s">
        <v>10093</v>
      </c>
      <c r="H4991" s="1" t="s">
        <v>5</v>
      </c>
      <c r="I4991" s="17">
        <v>39814</v>
      </c>
    </row>
    <row r="4992" spans="1:9">
      <c r="A4992" s="16" t="s">
        <v>10107</v>
      </c>
      <c r="B4992" s="1" t="s">
        <v>2628</v>
      </c>
      <c r="C4992" s="1">
        <v>321</v>
      </c>
      <c r="D4992" s="1" t="s">
        <v>52</v>
      </c>
      <c r="E4992" s="1" t="s">
        <v>6</v>
      </c>
      <c r="F4992" s="1" t="s">
        <v>36</v>
      </c>
      <c r="G4992" s="14" t="s">
        <v>10108</v>
      </c>
      <c r="H4992" s="1" t="s">
        <v>5</v>
      </c>
      <c r="I4992" s="17">
        <v>40544</v>
      </c>
    </row>
    <row r="4993" spans="1:9">
      <c r="A4993" s="16" t="s">
        <v>10112</v>
      </c>
      <c r="B4993" s="1" t="s">
        <v>2628</v>
      </c>
      <c r="C4993" s="1">
        <v>321</v>
      </c>
      <c r="D4993" s="1" t="s">
        <v>52</v>
      </c>
      <c r="E4993" s="1" t="s">
        <v>6</v>
      </c>
      <c r="F4993" s="1" t="s">
        <v>36</v>
      </c>
      <c r="G4993" s="14" t="s">
        <v>10113</v>
      </c>
      <c r="H4993" s="1" t="s">
        <v>5</v>
      </c>
      <c r="I4993" s="17">
        <v>40544</v>
      </c>
    </row>
    <row r="4994" spans="1:9" ht="31.2">
      <c r="A4994" s="16" t="s">
        <v>10191</v>
      </c>
      <c r="B4994" s="1" t="s">
        <v>2628</v>
      </c>
      <c r="C4994" s="1">
        <v>321</v>
      </c>
      <c r="D4994" s="1" t="s">
        <v>52</v>
      </c>
      <c r="E4994" s="1" t="s">
        <v>6</v>
      </c>
      <c r="F4994" s="1" t="s">
        <v>36</v>
      </c>
      <c r="G4994" s="14" t="s">
        <v>10192</v>
      </c>
      <c r="H4994" s="1" t="s">
        <v>43</v>
      </c>
      <c r="I4994" s="17">
        <v>39814</v>
      </c>
    </row>
    <row r="4995" spans="1:9" ht="31.2">
      <c r="A4995" s="16" t="s">
        <v>10194</v>
      </c>
      <c r="B4995" s="1" t="s">
        <v>2628</v>
      </c>
      <c r="C4995" s="1">
        <v>321</v>
      </c>
      <c r="D4995" s="1" t="s">
        <v>52</v>
      </c>
      <c r="E4995" s="1" t="s">
        <v>6</v>
      </c>
      <c r="F4995" s="1" t="s">
        <v>36</v>
      </c>
      <c r="G4995" s="14" t="s">
        <v>10113</v>
      </c>
      <c r="H4995" s="1" t="s">
        <v>5</v>
      </c>
      <c r="I4995" s="17">
        <v>39814</v>
      </c>
    </row>
    <row r="4996" spans="1:9" ht="28.8">
      <c r="A4996" s="16" t="s">
        <v>10230</v>
      </c>
      <c r="B4996" s="1" t="s">
        <v>2628</v>
      </c>
      <c r="C4996" s="1">
        <v>321</v>
      </c>
      <c r="D4996" s="1" t="s">
        <v>52</v>
      </c>
      <c r="E4996" s="1" t="s">
        <v>6</v>
      </c>
      <c r="F4996" s="1" t="s">
        <v>36</v>
      </c>
      <c r="G4996" s="14" t="s">
        <v>10231</v>
      </c>
      <c r="H4996" s="1" t="s">
        <v>5</v>
      </c>
      <c r="I4996" s="17">
        <v>39814</v>
      </c>
    </row>
    <row r="4997" spans="1:9">
      <c r="A4997" s="16" t="s">
        <v>10232</v>
      </c>
      <c r="B4997" s="1" t="s">
        <v>2628</v>
      </c>
      <c r="C4997" s="1">
        <v>321</v>
      </c>
      <c r="D4997" s="1" t="s">
        <v>52</v>
      </c>
      <c r="E4997" s="1" t="s">
        <v>6</v>
      </c>
      <c r="F4997" s="1" t="s">
        <v>36</v>
      </c>
      <c r="G4997" s="14" t="s">
        <v>10233</v>
      </c>
      <c r="H4997" s="1" t="s">
        <v>43</v>
      </c>
      <c r="I4997" s="17">
        <v>36892</v>
      </c>
    </row>
    <row r="4998" spans="1:9">
      <c r="A4998" s="16" t="s">
        <v>10234</v>
      </c>
      <c r="B4998" s="1" t="s">
        <v>2628</v>
      </c>
      <c r="C4998" s="1">
        <v>321</v>
      </c>
      <c r="D4998" s="1" t="s">
        <v>52</v>
      </c>
      <c r="E4998" s="1" t="s">
        <v>6</v>
      </c>
      <c r="F4998" s="1" t="s">
        <v>36</v>
      </c>
      <c r="G4998" s="14" t="s">
        <v>10233</v>
      </c>
      <c r="H4998" s="1" t="s">
        <v>43</v>
      </c>
      <c r="I4998" s="17">
        <v>36892</v>
      </c>
    </row>
    <row r="4999" spans="1:9">
      <c r="A4999" s="16" t="s">
        <v>10237</v>
      </c>
      <c r="B4999" s="1" t="s">
        <v>2628</v>
      </c>
      <c r="C4999" s="1">
        <v>321</v>
      </c>
      <c r="D4999" s="1" t="s">
        <v>52</v>
      </c>
      <c r="E4999" s="1" t="s">
        <v>6</v>
      </c>
      <c r="F4999" s="1" t="s">
        <v>36</v>
      </c>
      <c r="G4999" s="14" t="s">
        <v>10113</v>
      </c>
      <c r="H4999" s="1" t="s">
        <v>5</v>
      </c>
      <c r="I4999" s="17">
        <v>39814</v>
      </c>
    </row>
    <row r="5000" spans="1:9" ht="28.8">
      <c r="A5000" s="16" t="s">
        <v>10238</v>
      </c>
      <c r="B5000" s="1" t="s">
        <v>2628</v>
      </c>
      <c r="C5000" s="1">
        <v>321</v>
      </c>
      <c r="D5000" s="1" t="s">
        <v>52</v>
      </c>
      <c r="E5000" s="1" t="s">
        <v>6</v>
      </c>
      <c r="F5000" s="1" t="s">
        <v>36</v>
      </c>
      <c r="G5000" s="14" t="s">
        <v>10239</v>
      </c>
      <c r="H5000" s="1" t="s">
        <v>5</v>
      </c>
      <c r="I5000" s="17">
        <v>39814</v>
      </c>
    </row>
    <row r="5001" spans="1:9">
      <c r="A5001" s="16" t="s">
        <v>10240</v>
      </c>
      <c r="B5001" s="1" t="s">
        <v>2628</v>
      </c>
      <c r="C5001" s="1">
        <v>321</v>
      </c>
      <c r="D5001" s="1" t="s">
        <v>52</v>
      </c>
      <c r="E5001" s="1" t="s">
        <v>6</v>
      </c>
      <c r="F5001" s="1" t="s">
        <v>36</v>
      </c>
      <c r="G5001" s="14" t="s">
        <v>10241</v>
      </c>
      <c r="H5001" s="1" t="s">
        <v>5</v>
      </c>
      <c r="I5001" s="17">
        <v>40909</v>
      </c>
    </row>
    <row r="5002" spans="1:9">
      <c r="A5002" s="16" t="s">
        <v>10242</v>
      </c>
      <c r="B5002" s="1" t="s">
        <v>2628</v>
      </c>
      <c r="C5002" s="1">
        <v>321</v>
      </c>
      <c r="D5002" s="1" t="s">
        <v>52</v>
      </c>
      <c r="E5002" s="1" t="s">
        <v>6</v>
      </c>
      <c r="F5002" s="1" t="s">
        <v>36</v>
      </c>
      <c r="G5002" s="14" t="s">
        <v>10113</v>
      </c>
      <c r="H5002" s="1" t="s">
        <v>5</v>
      </c>
      <c r="I5002" s="17">
        <v>39814</v>
      </c>
    </row>
    <row r="5003" spans="1:9">
      <c r="A5003" s="16" t="s">
        <v>10253</v>
      </c>
      <c r="B5003" s="1" t="s">
        <v>2628</v>
      </c>
      <c r="C5003" s="1">
        <v>321</v>
      </c>
      <c r="D5003" s="1" t="s">
        <v>52</v>
      </c>
      <c r="E5003" s="1" t="s">
        <v>6</v>
      </c>
      <c r="F5003" s="1" t="s">
        <v>36</v>
      </c>
      <c r="G5003" s="14" t="s">
        <v>10233</v>
      </c>
      <c r="H5003" s="1" t="s">
        <v>43</v>
      </c>
      <c r="I5003" s="17">
        <v>40179</v>
      </c>
    </row>
    <row r="5004" spans="1:9">
      <c r="A5004" s="16" t="s">
        <v>10254</v>
      </c>
      <c r="B5004" s="1" t="s">
        <v>2628</v>
      </c>
      <c r="C5004" s="1">
        <v>321</v>
      </c>
      <c r="D5004" s="1" t="s">
        <v>52</v>
      </c>
      <c r="E5004" s="1" t="s">
        <v>6</v>
      </c>
      <c r="F5004" s="1" t="s">
        <v>36</v>
      </c>
      <c r="G5004" s="14" t="s">
        <v>10244</v>
      </c>
      <c r="H5004" s="1" t="s">
        <v>43</v>
      </c>
      <c r="I5004" s="17">
        <v>39814</v>
      </c>
    </row>
    <row r="5005" spans="1:9">
      <c r="A5005" s="16" t="s">
        <v>10260</v>
      </c>
      <c r="B5005" s="1" t="s">
        <v>2628</v>
      </c>
      <c r="C5005" s="1">
        <v>321</v>
      </c>
      <c r="D5005" s="1" t="s">
        <v>52</v>
      </c>
      <c r="E5005" s="1" t="s">
        <v>6</v>
      </c>
      <c r="F5005" s="1" t="s">
        <v>36</v>
      </c>
      <c r="G5005" s="14" t="s">
        <v>10261</v>
      </c>
      <c r="H5005" s="1" t="s">
        <v>43</v>
      </c>
      <c r="I5005" s="17">
        <v>40179</v>
      </c>
    </row>
    <row r="5006" spans="1:9">
      <c r="A5006" s="16" t="s">
        <v>10263</v>
      </c>
      <c r="B5006" s="1" t="s">
        <v>2628</v>
      </c>
      <c r="C5006" s="1">
        <v>321</v>
      </c>
      <c r="D5006" s="1" t="s">
        <v>52</v>
      </c>
      <c r="E5006" s="1" t="s">
        <v>6</v>
      </c>
      <c r="F5006" s="1" t="s">
        <v>36</v>
      </c>
      <c r="G5006" s="14" t="s">
        <v>10233</v>
      </c>
      <c r="H5006" s="1" t="s">
        <v>43</v>
      </c>
      <c r="I5006" s="17">
        <v>39814</v>
      </c>
    </row>
    <row r="5007" spans="1:9">
      <c r="A5007" s="16" t="s">
        <v>10265</v>
      </c>
      <c r="B5007" s="1" t="s">
        <v>2628</v>
      </c>
      <c r="C5007" s="1">
        <v>321</v>
      </c>
      <c r="D5007" s="1" t="s">
        <v>52</v>
      </c>
      <c r="E5007" s="1" t="s">
        <v>6</v>
      </c>
      <c r="F5007" s="1" t="s">
        <v>36</v>
      </c>
      <c r="G5007" s="14" t="s">
        <v>10244</v>
      </c>
      <c r="H5007" s="1" t="s">
        <v>43</v>
      </c>
      <c r="I5007" s="17">
        <v>39814</v>
      </c>
    </row>
    <row r="5008" spans="1:9">
      <c r="A5008" s="16" t="s">
        <v>10268</v>
      </c>
      <c r="B5008" s="1" t="s">
        <v>2628</v>
      </c>
      <c r="C5008" s="1">
        <v>321</v>
      </c>
      <c r="D5008" s="1" t="s">
        <v>52</v>
      </c>
      <c r="E5008" s="1" t="s">
        <v>6</v>
      </c>
      <c r="F5008" s="1" t="s">
        <v>36</v>
      </c>
      <c r="G5008" s="14" t="s">
        <v>10233</v>
      </c>
      <c r="H5008" s="1" t="s">
        <v>43</v>
      </c>
      <c r="I5008" s="17">
        <v>39814</v>
      </c>
    </row>
    <row r="5009" spans="1:9">
      <c r="A5009" s="16" t="s">
        <v>10274</v>
      </c>
      <c r="B5009" s="1" t="s">
        <v>2628</v>
      </c>
      <c r="C5009" s="1">
        <v>321</v>
      </c>
      <c r="D5009" s="1" t="s">
        <v>52</v>
      </c>
      <c r="E5009" s="1" t="s">
        <v>6</v>
      </c>
      <c r="F5009" s="1" t="s">
        <v>36</v>
      </c>
      <c r="G5009" s="14" t="s">
        <v>10275</v>
      </c>
      <c r="H5009" s="1" t="s">
        <v>43</v>
      </c>
      <c r="I5009" s="17">
        <v>40544</v>
      </c>
    </row>
    <row r="5010" spans="1:9">
      <c r="A5010" s="16" t="s">
        <v>10276</v>
      </c>
      <c r="B5010" s="1" t="s">
        <v>2628</v>
      </c>
      <c r="C5010" s="1">
        <v>321</v>
      </c>
      <c r="D5010" s="1" t="s">
        <v>52</v>
      </c>
      <c r="E5010" s="1" t="s">
        <v>6</v>
      </c>
      <c r="F5010" s="1" t="s">
        <v>36</v>
      </c>
      <c r="G5010" s="14" t="s">
        <v>10277</v>
      </c>
      <c r="H5010" s="1" t="s">
        <v>5</v>
      </c>
      <c r="I5010" s="17">
        <v>39814</v>
      </c>
    </row>
    <row r="5011" spans="1:9">
      <c r="A5011" s="16" t="s">
        <v>10285</v>
      </c>
      <c r="B5011" s="1" t="s">
        <v>2628</v>
      </c>
      <c r="C5011" s="1">
        <v>321</v>
      </c>
      <c r="D5011" s="1" t="s">
        <v>52</v>
      </c>
      <c r="E5011" s="1" t="s">
        <v>6</v>
      </c>
      <c r="F5011" s="1" t="s">
        <v>5091</v>
      </c>
      <c r="G5011" s="14" t="s">
        <v>6236</v>
      </c>
      <c r="H5011" s="1" t="s">
        <v>43</v>
      </c>
      <c r="I5011" s="17">
        <v>40909</v>
      </c>
    </row>
    <row r="5012" spans="1:9">
      <c r="A5012" s="16" t="s">
        <v>10296</v>
      </c>
      <c r="B5012" s="1" t="s">
        <v>2628</v>
      </c>
      <c r="C5012" s="1">
        <v>321</v>
      </c>
      <c r="D5012" s="1" t="s">
        <v>52</v>
      </c>
      <c r="E5012" s="1" t="s">
        <v>6</v>
      </c>
      <c r="F5012" s="1" t="s">
        <v>5091</v>
      </c>
      <c r="G5012" s="14" t="s">
        <v>6145</v>
      </c>
      <c r="H5012" s="1" t="s">
        <v>43</v>
      </c>
      <c r="I5012" s="17">
        <v>42366</v>
      </c>
    </row>
    <row r="5013" spans="1:9">
      <c r="A5013" s="16" t="s">
        <v>10297</v>
      </c>
      <c r="B5013" s="1" t="s">
        <v>2628</v>
      </c>
      <c r="C5013" s="1">
        <v>321</v>
      </c>
      <c r="D5013" s="1" t="s">
        <v>52</v>
      </c>
      <c r="E5013" s="1" t="s">
        <v>6</v>
      </c>
      <c r="F5013" s="1" t="s">
        <v>5091</v>
      </c>
      <c r="G5013" s="14" t="s">
        <v>6145</v>
      </c>
      <c r="H5013" s="1" t="s">
        <v>43</v>
      </c>
      <c r="I5013" s="17">
        <v>42366</v>
      </c>
    </row>
    <row r="5014" spans="1:9">
      <c r="A5014" s="16" t="s">
        <v>10298</v>
      </c>
      <c r="B5014" s="1" t="s">
        <v>2628</v>
      </c>
      <c r="C5014" s="1">
        <v>321</v>
      </c>
      <c r="D5014" s="1" t="s">
        <v>52</v>
      </c>
      <c r="E5014" s="1" t="s">
        <v>6</v>
      </c>
      <c r="F5014" s="1" t="s">
        <v>5091</v>
      </c>
      <c r="G5014" s="14" t="s">
        <v>6145</v>
      </c>
      <c r="H5014" s="1" t="s">
        <v>43</v>
      </c>
      <c r="I5014" s="17">
        <v>42366</v>
      </c>
    </row>
    <row r="5015" spans="1:9">
      <c r="A5015" s="16" t="s">
        <v>10299</v>
      </c>
      <c r="B5015" s="1" t="s">
        <v>2628</v>
      </c>
      <c r="C5015" s="1">
        <v>321</v>
      </c>
      <c r="D5015" s="1" t="s">
        <v>52</v>
      </c>
      <c r="E5015" s="1" t="s">
        <v>6</v>
      </c>
      <c r="F5015" s="1" t="s">
        <v>5091</v>
      </c>
      <c r="G5015" s="14" t="s">
        <v>6145</v>
      </c>
      <c r="H5015" s="1" t="s">
        <v>43</v>
      </c>
      <c r="I5015" s="17">
        <v>42366</v>
      </c>
    </row>
    <row r="5016" spans="1:9">
      <c r="A5016" s="16" t="s">
        <v>10300</v>
      </c>
      <c r="B5016" s="1" t="s">
        <v>2628</v>
      </c>
      <c r="C5016" s="1">
        <v>321</v>
      </c>
      <c r="D5016" s="1" t="s">
        <v>52</v>
      </c>
      <c r="E5016" s="1" t="s">
        <v>6</v>
      </c>
      <c r="F5016" s="1" t="s">
        <v>5091</v>
      </c>
      <c r="G5016" s="14" t="s">
        <v>6145</v>
      </c>
      <c r="H5016" s="1" t="s">
        <v>43</v>
      </c>
      <c r="I5016" s="17">
        <v>42366</v>
      </c>
    </row>
    <row r="5017" spans="1:9">
      <c r="A5017" s="16" t="s">
        <v>10301</v>
      </c>
      <c r="B5017" s="1" t="s">
        <v>2628</v>
      </c>
      <c r="C5017" s="1">
        <v>321</v>
      </c>
      <c r="D5017" s="1" t="s">
        <v>52</v>
      </c>
      <c r="E5017" s="1" t="s">
        <v>6</v>
      </c>
      <c r="F5017" s="1" t="s">
        <v>5091</v>
      </c>
      <c r="G5017" s="14" t="s">
        <v>6145</v>
      </c>
      <c r="H5017" s="1" t="s">
        <v>43</v>
      </c>
      <c r="I5017" s="17">
        <v>42366</v>
      </c>
    </row>
    <row r="5018" spans="1:9">
      <c r="A5018" s="16" t="s">
        <v>10303</v>
      </c>
      <c r="B5018" s="1" t="s">
        <v>2628</v>
      </c>
      <c r="C5018" s="1">
        <v>321</v>
      </c>
      <c r="D5018" s="1" t="s">
        <v>52</v>
      </c>
      <c r="E5018" s="1" t="s">
        <v>6</v>
      </c>
      <c r="F5018" s="1" t="s">
        <v>5091</v>
      </c>
      <c r="G5018" s="14" t="s">
        <v>6145</v>
      </c>
      <c r="H5018" s="1" t="s">
        <v>43</v>
      </c>
      <c r="I5018" s="17">
        <v>42367</v>
      </c>
    </row>
    <row r="5019" spans="1:9">
      <c r="A5019" s="16" t="s">
        <v>10315</v>
      </c>
      <c r="B5019" s="1" t="s">
        <v>2628</v>
      </c>
      <c r="C5019" s="1">
        <v>321</v>
      </c>
      <c r="D5019" s="1" t="s">
        <v>52</v>
      </c>
      <c r="E5019" s="1" t="s">
        <v>6</v>
      </c>
      <c r="F5019" s="1" t="s">
        <v>5091</v>
      </c>
      <c r="G5019" s="14" t="s">
        <v>6236</v>
      </c>
      <c r="H5019" s="1" t="s">
        <v>43</v>
      </c>
      <c r="I5019" s="17">
        <v>42370</v>
      </c>
    </row>
    <row r="5020" spans="1:9">
      <c r="A5020" s="16" t="s">
        <v>10316</v>
      </c>
      <c r="B5020" s="1" t="s">
        <v>2628</v>
      </c>
      <c r="C5020" s="1">
        <v>321</v>
      </c>
      <c r="D5020" s="1" t="s">
        <v>52</v>
      </c>
      <c r="E5020" s="1" t="s">
        <v>6</v>
      </c>
      <c r="F5020" s="1" t="s">
        <v>5091</v>
      </c>
      <c r="G5020" s="14" t="s">
        <v>6236</v>
      </c>
      <c r="H5020" s="1" t="s">
        <v>43</v>
      </c>
      <c r="I5020" s="17">
        <v>42370</v>
      </c>
    </row>
    <row r="5021" spans="1:9">
      <c r="A5021" s="16" t="s">
        <v>10329</v>
      </c>
      <c r="B5021" s="1" t="s">
        <v>2628</v>
      </c>
      <c r="C5021" s="1">
        <v>321</v>
      </c>
      <c r="D5021" s="1" t="s">
        <v>52</v>
      </c>
      <c r="E5021" s="1" t="s">
        <v>6</v>
      </c>
      <c r="F5021" s="1" t="s">
        <v>5091</v>
      </c>
      <c r="G5021" s="14" t="s">
        <v>10053</v>
      </c>
      <c r="H5021" s="1" t="s">
        <v>43</v>
      </c>
      <c r="I5021" s="17">
        <v>40951</v>
      </c>
    </row>
    <row r="5022" spans="1:9">
      <c r="A5022" s="16" t="s">
        <v>10351</v>
      </c>
      <c r="B5022" s="1" t="s">
        <v>2628</v>
      </c>
      <c r="C5022" s="1">
        <v>321</v>
      </c>
      <c r="D5022" s="1" t="s">
        <v>52</v>
      </c>
      <c r="E5022" s="1" t="s">
        <v>6</v>
      </c>
      <c r="F5022" s="1" t="s">
        <v>5091</v>
      </c>
      <c r="G5022" s="14" t="s">
        <v>6307</v>
      </c>
      <c r="H5022" s="1" t="s">
        <v>44</v>
      </c>
      <c r="I5022" s="17">
        <v>42374</v>
      </c>
    </row>
    <row r="5023" spans="1:9">
      <c r="A5023" s="16" t="s">
        <v>10352</v>
      </c>
      <c r="B5023" s="1" t="s">
        <v>2628</v>
      </c>
      <c r="C5023" s="1">
        <v>321</v>
      </c>
      <c r="D5023" s="1" t="s">
        <v>52</v>
      </c>
      <c r="E5023" s="1" t="s">
        <v>6</v>
      </c>
      <c r="F5023" s="1" t="s">
        <v>5091</v>
      </c>
      <c r="G5023" s="14" t="s">
        <v>6307</v>
      </c>
      <c r="H5023" s="1" t="s">
        <v>44</v>
      </c>
      <c r="I5023" s="17">
        <v>42374</v>
      </c>
    </row>
    <row r="5024" spans="1:9">
      <c r="A5024" s="16" t="s">
        <v>10353</v>
      </c>
      <c r="B5024" s="1" t="s">
        <v>2628</v>
      </c>
      <c r="C5024" s="1">
        <v>321</v>
      </c>
      <c r="D5024" s="1" t="s">
        <v>52</v>
      </c>
      <c r="E5024" s="1" t="s">
        <v>6</v>
      </c>
      <c r="F5024" s="1" t="s">
        <v>5091</v>
      </c>
      <c r="G5024" s="14" t="s">
        <v>6307</v>
      </c>
      <c r="H5024" s="1" t="s">
        <v>44</v>
      </c>
      <c r="I5024" s="17">
        <v>42374</v>
      </c>
    </row>
    <row r="5025" spans="1:9">
      <c r="A5025" s="16" t="s">
        <v>10354</v>
      </c>
      <c r="B5025" s="1" t="s">
        <v>2628</v>
      </c>
      <c r="C5025" s="1">
        <v>321</v>
      </c>
      <c r="D5025" s="1" t="s">
        <v>52</v>
      </c>
      <c r="E5025" s="1" t="s">
        <v>6</v>
      </c>
      <c r="F5025" s="1" t="s">
        <v>5091</v>
      </c>
      <c r="G5025" s="14" t="s">
        <v>6307</v>
      </c>
      <c r="H5025" s="1" t="s">
        <v>44</v>
      </c>
      <c r="I5025" s="17">
        <v>42374</v>
      </c>
    </row>
    <row r="5026" spans="1:9">
      <c r="A5026" s="16" t="s">
        <v>10355</v>
      </c>
      <c r="B5026" s="1" t="s">
        <v>2628</v>
      </c>
      <c r="C5026" s="1">
        <v>321</v>
      </c>
      <c r="D5026" s="1" t="s">
        <v>52</v>
      </c>
      <c r="E5026" s="1" t="s">
        <v>6</v>
      </c>
      <c r="F5026" s="1" t="s">
        <v>5091</v>
      </c>
      <c r="G5026" s="14" t="s">
        <v>6307</v>
      </c>
      <c r="H5026" s="1" t="s">
        <v>44</v>
      </c>
      <c r="I5026" s="17">
        <v>42374</v>
      </c>
    </row>
    <row r="5027" spans="1:9">
      <c r="A5027" s="16" t="s">
        <v>10356</v>
      </c>
      <c r="B5027" s="1" t="s">
        <v>2628</v>
      </c>
      <c r="C5027" s="1">
        <v>321</v>
      </c>
      <c r="D5027" s="1" t="s">
        <v>52</v>
      </c>
      <c r="E5027" s="1" t="s">
        <v>6</v>
      </c>
      <c r="F5027" s="1" t="s">
        <v>5091</v>
      </c>
      <c r="G5027" s="14" t="s">
        <v>6307</v>
      </c>
      <c r="H5027" s="1" t="s">
        <v>44</v>
      </c>
      <c r="I5027" s="17">
        <v>42374</v>
      </c>
    </row>
    <row r="5028" spans="1:9">
      <c r="A5028" s="16" t="s">
        <v>10357</v>
      </c>
      <c r="B5028" s="1" t="s">
        <v>2628</v>
      </c>
      <c r="C5028" s="1">
        <v>321</v>
      </c>
      <c r="D5028" s="1" t="s">
        <v>52</v>
      </c>
      <c r="E5028" s="1" t="s">
        <v>6</v>
      </c>
      <c r="F5028" s="1" t="s">
        <v>5091</v>
      </c>
      <c r="G5028" s="14" t="s">
        <v>6307</v>
      </c>
      <c r="H5028" s="1" t="s">
        <v>44</v>
      </c>
      <c r="I5028" s="17">
        <v>42374</v>
      </c>
    </row>
    <row r="5029" spans="1:9">
      <c r="A5029" s="16" t="s">
        <v>10358</v>
      </c>
      <c r="B5029" s="1" t="s">
        <v>2628</v>
      </c>
      <c r="C5029" s="1">
        <v>321</v>
      </c>
      <c r="D5029" s="1" t="s">
        <v>52</v>
      </c>
      <c r="E5029" s="1" t="s">
        <v>6</v>
      </c>
      <c r="F5029" s="1" t="s">
        <v>5091</v>
      </c>
      <c r="G5029" s="14" t="s">
        <v>6307</v>
      </c>
      <c r="H5029" s="1" t="s">
        <v>44</v>
      </c>
      <c r="I5029" s="17">
        <v>42374</v>
      </c>
    </row>
    <row r="5030" spans="1:9">
      <c r="A5030" s="16" t="s">
        <v>10359</v>
      </c>
      <c r="B5030" s="1" t="s">
        <v>2628</v>
      </c>
      <c r="C5030" s="1">
        <v>321</v>
      </c>
      <c r="D5030" s="1" t="s">
        <v>52</v>
      </c>
      <c r="E5030" s="1" t="s">
        <v>6</v>
      </c>
      <c r="F5030" s="1" t="s">
        <v>5091</v>
      </c>
      <c r="G5030" s="14" t="s">
        <v>6307</v>
      </c>
      <c r="H5030" s="1" t="s">
        <v>44</v>
      </c>
      <c r="I5030" s="17">
        <v>42374</v>
      </c>
    </row>
    <row r="5031" spans="1:9">
      <c r="A5031" s="16" t="s">
        <v>10360</v>
      </c>
      <c r="B5031" s="1" t="s">
        <v>2628</v>
      </c>
      <c r="C5031" s="1">
        <v>321</v>
      </c>
      <c r="D5031" s="1" t="s">
        <v>52</v>
      </c>
      <c r="E5031" s="1" t="s">
        <v>6</v>
      </c>
      <c r="F5031" s="1" t="s">
        <v>5091</v>
      </c>
      <c r="G5031" s="14" t="s">
        <v>6307</v>
      </c>
      <c r="H5031" s="1" t="s">
        <v>44</v>
      </c>
      <c r="I5031" s="17">
        <v>42374</v>
      </c>
    </row>
    <row r="5032" spans="1:9">
      <c r="A5032" s="16" t="s">
        <v>10361</v>
      </c>
      <c r="B5032" s="1" t="s">
        <v>2628</v>
      </c>
      <c r="C5032" s="1">
        <v>321</v>
      </c>
      <c r="D5032" s="1" t="s">
        <v>52</v>
      </c>
      <c r="E5032" s="1" t="s">
        <v>6</v>
      </c>
      <c r="F5032" s="1" t="s">
        <v>5091</v>
      </c>
      <c r="G5032" s="14" t="s">
        <v>6307</v>
      </c>
      <c r="H5032" s="1" t="s">
        <v>44</v>
      </c>
      <c r="I5032" s="17">
        <v>42374</v>
      </c>
    </row>
    <row r="5033" spans="1:9">
      <c r="A5033" s="16" t="s">
        <v>10362</v>
      </c>
      <c r="B5033" s="1" t="s">
        <v>2628</v>
      </c>
      <c r="C5033" s="1">
        <v>321</v>
      </c>
      <c r="D5033" s="1" t="s">
        <v>52</v>
      </c>
      <c r="E5033" s="1" t="s">
        <v>6</v>
      </c>
      <c r="F5033" s="1" t="s">
        <v>5091</v>
      </c>
      <c r="G5033" s="14" t="s">
        <v>6307</v>
      </c>
      <c r="H5033" s="1" t="s">
        <v>44</v>
      </c>
      <c r="I5033" s="17">
        <v>42374</v>
      </c>
    </row>
    <row r="5034" spans="1:9">
      <c r="A5034" s="16" t="s">
        <v>10363</v>
      </c>
      <c r="B5034" s="1" t="s">
        <v>2628</v>
      </c>
      <c r="C5034" s="1">
        <v>321</v>
      </c>
      <c r="D5034" s="1" t="s">
        <v>52</v>
      </c>
      <c r="E5034" s="1" t="s">
        <v>6</v>
      </c>
      <c r="F5034" s="1" t="s">
        <v>5091</v>
      </c>
      <c r="G5034" s="14" t="s">
        <v>6307</v>
      </c>
      <c r="H5034" s="1" t="s">
        <v>44</v>
      </c>
      <c r="I5034" s="17">
        <v>42374</v>
      </c>
    </row>
    <row r="5035" spans="1:9">
      <c r="A5035" s="16" t="s">
        <v>10364</v>
      </c>
      <c r="B5035" s="1" t="s">
        <v>2628</v>
      </c>
      <c r="C5035" s="1">
        <v>321</v>
      </c>
      <c r="D5035" s="1" t="s">
        <v>52</v>
      </c>
      <c r="E5035" s="1" t="s">
        <v>6</v>
      </c>
      <c r="F5035" s="1" t="s">
        <v>5091</v>
      </c>
      <c r="G5035" s="14" t="s">
        <v>6307</v>
      </c>
      <c r="H5035" s="1" t="s">
        <v>44</v>
      </c>
      <c r="I5035" s="17">
        <v>42374</v>
      </c>
    </row>
    <row r="5036" spans="1:9">
      <c r="A5036" s="16" t="s">
        <v>10366</v>
      </c>
      <c r="B5036" s="1" t="s">
        <v>2628</v>
      </c>
      <c r="C5036" s="1">
        <v>321</v>
      </c>
      <c r="D5036" s="1" t="s">
        <v>52</v>
      </c>
      <c r="E5036" s="1" t="s">
        <v>6</v>
      </c>
      <c r="F5036" s="1" t="s">
        <v>5091</v>
      </c>
      <c r="G5036" s="14" t="s">
        <v>10367</v>
      </c>
      <c r="H5036" s="1" t="s">
        <v>5</v>
      </c>
      <c r="I5036" s="17">
        <v>42247</v>
      </c>
    </row>
    <row r="5037" spans="1:9">
      <c r="A5037" s="16" t="s">
        <v>10389</v>
      </c>
      <c r="B5037" s="1" t="s">
        <v>2628</v>
      </c>
      <c r="C5037" s="1">
        <v>321</v>
      </c>
      <c r="D5037" s="1" t="s">
        <v>52</v>
      </c>
      <c r="E5037" s="1" t="s">
        <v>6</v>
      </c>
      <c r="F5037" s="1" t="s">
        <v>5091</v>
      </c>
      <c r="G5037" s="14" t="s">
        <v>10390</v>
      </c>
      <c r="H5037" s="1" t="s">
        <v>43</v>
      </c>
      <c r="I5037" s="17">
        <v>40652</v>
      </c>
    </row>
    <row r="5038" spans="1:9">
      <c r="A5038" s="16" t="s">
        <v>10394</v>
      </c>
      <c r="B5038" s="1" t="s">
        <v>2628</v>
      </c>
      <c r="C5038" s="1">
        <v>321</v>
      </c>
      <c r="D5038" s="1" t="s">
        <v>52</v>
      </c>
      <c r="E5038" s="1" t="s">
        <v>6</v>
      </c>
      <c r="F5038" s="1" t="s">
        <v>5091</v>
      </c>
      <c r="G5038" s="14" t="s">
        <v>10393</v>
      </c>
      <c r="H5038" s="1" t="s">
        <v>5</v>
      </c>
      <c r="I5038" s="17">
        <v>40030</v>
      </c>
    </row>
    <row r="5039" spans="1:9">
      <c r="A5039" s="16" t="s">
        <v>10395</v>
      </c>
      <c r="B5039" s="1" t="s">
        <v>2628</v>
      </c>
      <c r="C5039" s="1">
        <v>321</v>
      </c>
      <c r="D5039" s="1" t="s">
        <v>52</v>
      </c>
      <c r="E5039" s="1" t="s">
        <v>6</v>
      </c>
      <c r="F5039" s="1" t="s">
        <v>5091</v>
      </c>
      <c r="G5039" s="14" t="s">
        <v>10393</v>
      </c>
      <c r="H5039" s="1" t="s">
        <v>5</v>
      </c>
      <c r="I5039" s="17">
        <v>40030</v>
      </c>
    </row>
    <row r="5040" spans="1:9">
      <c r="A5040" s="16" t="s">
        <v>10400</v>
      </c>
      <c r="B5040" s="1" t="s">
        <v>2628</v>
      </c>
      <c r="C5040" s="1">
        <v>321</v>
      </c>
      <c r="D5040" s="1" t="s">
        <v>52</v>
      </c>
      <c r="E5040" s="1" t="s">
        <v>6</v>
      </c>
      <c r="F5040" s="1" t="s">
        <v>5091</v>
      </c>
      <c r="G5040" s="14" t="s">
        <v>2387</v>
      </c>
      <c r="H5040" s="1" t="s">
        <v>5</v>
      </c>
      <c r="I5040" s="17">
        <v>39615</v>
      </c>
    </row>
    <row r="5041" spans="1:9">
      <c r="A5041" s="16" t="s">
        <v>10415</v>
      </c>
      <c r="B5041" s="1" t="s">
        <v>2628</v>
      </c>
      <c r="C5041" s="1">
        <v>321</v>
      </c>
      <c r="D5041" s="1" t="s">
        <v>52</v>
      </c>
      <c r="E5041" s="1" t="s">
        <v>6</v>
      </c>
      <c r="F5041" s="1" t="s">
        <v>5091</v>
      </c>
      <c r="G5041" s="14" t="s">
        <v>6145</v>
      </c>
      <c r="H5041" s="1" t="s">
        <v>43</v>
      </c>
      <c r="I5041" s="17">
        <v>42383</v>
      </c>
    </row>
    <row r="5042" spans="1:9">
      <c r="A5042" s="16" t="s">
        <v>10416</v>
      </c>
      <c r="B5042" s="1" t="s">
        <v>2628</v>
      </c>
      <c r="C5042" s="1">
        <v>321</v>
      </c>
      <c r="D5042" s="1" t="s">
        <v>52</v>
      </c>
      <c r="E5042" s="1" t="s">
        <v>6</v>
      </c>
      <c r="F5042" s="1" t="s">
        <v>5091</v>
      </c>
      <c r="G5042" s="14" t="s">
        <v>6145</v>
      </c>
      <c r="H5042" s="1" t="s">
        <v>43</v>
      </c>
      <c r="I5042" s="17">
        <v>42383</v>
      </c>
    </row>
    <row r="5043" spans="1:9">
      <c r="A5043" s="16" t="s">
        <v>10417</v>
      </c>
      <c r="B5043" s="1" t="s">
        <v>2628</v>
      </c>
      <c r="C5043" s="1">
        <v>321</v>
      </c>
      <c r="D5043" s="1" t="s">
        <v>52</v>
      </c>
      <c r="E5043" s="1" t="s">
        <v>6</v>
      </c>
      <c r="F5043" s="1" t="s">
        <v>5091</v>
      </c>
      <c r="G5043" s="14" t="s">
        <v>6145</v>
      </c>
      <c r="H5043" s="1" t="s">
        <v>43</v>
      </c>
      <c r="I5043" s="17">
        <v>42383</v>
      </c>
    </row>
    <row r="5044" spans="1:9">
      <c r="A5044" s="16" t="s">
        <v>10418</v>
      </c>
      <c r="B5044" s="1" t="s">
        <v>2628</v>
      </c>
      <c r="C5044" s="1">
        <v>321</v>
      </c>
      <c r="D5044" s="1" t="s">
        <v>52</v>
      </c>
      <c r="E5044" s="1" t="s">
        <v>6</v>
      </c>
      <c r="F5044" s="1" t="s">
        <v>5091</v>
      </c>
      <c r="G5044" s="14" t="s">
        <v>6145</v>
      </c>
      <c r="H5044" s="1" t="s">
        <v>43</v>
      </c>
      <c r="I5044" s="17">
        <v>42383</v>
      </c>
    </row>
    <row r="5045" spans="1:9">
      <c r="A5045" s="16" t="s">
        <v>10419</v>
      </c>
      <c r="B5045" s="1" t="s">
        <v>2628</v>
      </c>
      <c r="C5045" s="1">
        <v>321</v>
      </c>
      <c r="D5045" s="1" t="s">
        <v>52</v>
      </c>
      <c r="E5045" s="1" t="s">
        <v>6</v>
      </c>
      <c r="F5045" s="1" t="s">
        <v>5091</v>
      </c>
      <c r="G5045" s="14" t="s">
        <v>6145</v>
      </c>
      <c r="H5045" s="1" t="s">
        <v>43</v>
      </c>
      <c r="I5045" s="17">
        <v>42383</v>
      </c>
    </row>
    <row r="5046" spans="1:9">
      <c r="A5046" s="16" t="s">
        <v>10420</v>
      </c>
      <c r="B5046" s="1" t="s">
        <v>2628</v>
      </c>
      <c r="C5046" s="1">
        <v>321</v>
      </c>
      <c r="D5046" s="1" t="s">
        <v>52</v>
      </c>
      <c r="E5046" s="1" t="s">
        <v>6</v>
      </c>
      <c r="F5046" s="1" t="s">
        <v>5091</v>
      </c>
      <c r="G5046" s="14" t="s">
        <v>6145</v>
      </c>
      <c r="H5046" s="1" t="s">
        <v>43</v>
      </c>
      <c r="I5046" s="17">
        <v>42383</v>
      </c>
    </row>
    <row r="5047" spans="1:9">
      <c r="A5047" s="16" t="s">
        <v>10421</v>
      </c>
      <c r="B5047" s="1" t="s">
        <v>2628</v>
      </c>
      <c r="C5047" s="1">
        <v>321</v>
      </c>
      <c r="D5047" s="1" t="s">
        <v>52</v>
      </c>
      <c r="E5047" s="1" t="s">
        <v>6</v>
      </c>
      <c r="F5047" s="1" t="s">
        <v>5091</v>
      </c>
      <c r="G5047" s="14" t="s">
        <v>6145</v>
      </c>
      <c r="H5047" s="1" t="s">
        <v>43</v>
      </c>
      <c r="I5047" s="17">
        <v>42383</v>
      </c>
    </row>
    <row r="5048" spans="1:9">
      <c r="A5048" s="16" t="s">
        <v>10422</v>
      </c>
      <c r="B5048" s="1" t="s">
        <v>2628</v>
      </c>
      <c r="C5048" s="1">
        <v>321</v>
      </c>
      <c r="D5048" s="1" t="s">
        <v>52</v>
      </c>
      <c r="E5048" s="1" t="s">
        <v>6</v>
      </c>
      <c r="F5048" s="1" t="s">
        <v>5091</v>
      </c>
      <c r="G5048" s="14" t="s">
        <v>6145</v>
      </c>
      <c r="H5048" s="1" t="s">
        <v>43</v>
      </c>
      <c r="I5048" s="17">
        <v>42383</v>
      </c>
    </row>
    <row r="5049" spans="1:9">
      <c r="A5049" s="16" t="s">
        <v>10423</v>
      </c>
      <c r="B5049" s="1" t="s">
        <v>2628</v>
      </c>
      <c r="C5049" s="1">
        <v>321</v>
      </c>
      <c r="D5049" s="1" t="s">
        <v>52</v>
      </c>
      <c r="E5049" s="1" t="s">
        <v>6</v>
      </c>
      <c r="F5049" s="1" t="s">
        <v>5091</v>
      </c>
      <c r="G5049" s="14" t="s">
        <v>6145</v>
      </c>
      <c r="H5049" s="1" t="s">
        <v>43</v>
      </c>
      <c r="I5049" s="17">
        <v>42383</v>
      </c>
    </row>
    <row r="5050" spans="1:9">
      <c r="A5050" s="16" t="s">
        <v>10424</v>
      </c>
      <c r="B5050" s="1" t="s">
        <v>2628</v>
      </c>
      <c r="C5050" s="1">
        <v>321</v>
      </c>
      <c r="D5050" s="1" t="s">
        <v>52</v>
      </c>
      <c r="E5050" s="1" t="s">
        <v>6</v>
      </c>
      <c r="F5050" s="1" t="s">
        <v>5091</v>
      </c>
      <c r="G5050" s="14" t="s">
        <v>6145</v>
      </c>
      <c r="H5050" s="1" t="s">
        <v>43</v>
      </c>
      <c r="I5050" s="17">
        <v>42383</v>
      </c>
    </row>
    <row r="5051" spans="1:9">
      <c r="A5051" s="16" t="s">
        <v>10434</v>
      </c>
      <c r="B5051" s="1" t="s">
        <v>2628</v>
      </c>
      <c r="C5051" s="1">
        <v>321</v>
      </c>
      <c r="D5051" s="1" t="s">
        <v>52</v>
      </c>
      <c r="E5051" s="1" t="s">
        <v>6</v>
      </c>
      <c r="F5051" s="1" t="s">
        <v>5091</v>
      </c>
      <c r="G5051" s="14" t="s">
        <v>9561</v>
      </c>
      <c r="H5051" s="1" t="s">
        <v>5</v>
      </c>
      <c r="I5051" s="17">
        <v>39442</v>
      </c>
    </row>
    <row r="5052" spans="1:9">
      <c r="A5052" s="16" t="s">
        <v>10436</v>
      </c>
      <c r="B5052" s="1" t="s">
        <v>2628</v>
      </c>
      <c r="C5052" s="1">
        <v>321</v>
      </c>
      <c r="D5052" s="1" t="s">
        <v>52</v>
      </c>
      <c r="E5052" s="1" t="s">
        <v>6</v>
      </c>
      <c r="F5052" s="1" t="s">
        <v>5091</v>
      </c>
      <c r="G5052" s="14" t="s">
        <v>6530</v>
      </c>
      <c r="H5052" s="1" t="s">
        <v>43</v>
      </c>
      <c r="I5052" s="17">
        <v>42309</v>
      </c>
    </row>
    <row r="5053" spans="1:9">
      <c r="A5053" s="16" t="s">
        <v>10443</v>
      </c>
      <c r="B5053" s="1" t="s">
        <v>2628</v>
      </c>
      <c r="C5053" s="1">
        <v>321</v>
      </c>
      <c r="D5053" s="1" t="s">
        <v>52</v>
      </c>
      <c r="E5053" s="1" t="s">
        <v>6</v>
      </c>
      <c r="F5053" s="1" t="s">
        <v>5091</v>
      </c>
      <c r="G5053" s="14" t="s">
        <v>9561</v>
      </c>
      <c r="H5053" s="1" t="s">
        <v>5</v>
      </c>
      <c r="I5053" s="17">
        <v>39442</v>
      </c>
    </row>
    <row r="5054" spans="1:9">
      <c r="A5054" s="16" t="s">
        <v>10444</v>
      </c>
      <c r="B5054" s="1" t="s">
        <v>2628</v>
      </c>
      <c r="C5054" s="1">
        <v>321</v>
      </c>
      <c r="D5054" s="1" t="s">
        <v>52</v>
      </c>
      <c r="E5054" s="1" t="s">
        <v>6</v>
      </c>
      <c r="F5054" s="1" t="s">
        <v>5091</v>
      </c>
      <c r="G5054" s="14" t="s">
        <v>9567</v>
      </c>
      <c r="H5054" s="1" t="s">
        <v>5</v>
      </c>
      <c r="I5054" s="17">
        <v>39769</v>
      </c>
    </row>
    <row r="5055" spans="1:9">
      <c r="A5055" s="16" t="s">
        <v>10445</v>
      </c>
      <c r="B5055" s="1" t="s">
        <v>2628</v>
      </c>
      <c r="C5055" s="1">
        <v>321</v>
      </c>
      <c r="D5055" s="1" t="s">
        <v>52</v>
      </c>
      <c r="E5055" s="1" t="s">
        <v>6</v>
      </c>
      <c r="F5055" s="1" t="s">
        <v>5091</v>
      </c>
      <c r="G5055" s="14" t="s">
        <v>9567</v>
      </c>
      <c r="H5055" s="1" t="s">
        <v>5</v>
      </c>
      <c r="I5055" s="17">
        <v>39769</v>
      </c>
    </row>
    <row r="5056" spans="1:9">
      <c r="A5056" s="16" t="s">
        <v>10449</v>
      </c>
      <c r="B5056" s="1" t="s">
        <v>2628</v>
      </c>
      <c r="C5056" s="1">
        <v>321</v>
      </c>
      <c r="D5056" s="1" t="s">
        <v>52</v>
      </c>
      <c r="E5056" s="1" t="s">
        <v>6</v>
      </c>
      <c r="F5056" s="1" t="s">
        <v>5091</v>
      </c>
      <c r="G5056" s="14" t="s">
        <v>9567</v>
      </c>
      <c r="H5056" s="1" t="s">
        <v>5</v>
      </c>
      <c r="I5056" s="17">
        <v>39769</v>
      </c>
    </row>
    <row r="5057" spans="1:9">
      <c r="A5057" s="16" t="s">
        <v>10470</v>
      </c>
      <c r="B5057" s="1" t="s">
        <v>2628</v>
      </c>
      <c r="C5057" s="1">
        <v>321</v>
      </c>
      <c r="D5057" s="1" t="s">
        <v>52</v>
      </c>
      <c r="E5057" s="1" t="s">
        <v>6</v>
      </c>
      <c r="F5057" s="1" t="s">
        <v>5091</v>
      </c>
      <c r="G5057" s="14" t="s">
        <v>6145</v>
      </c>
      <c r="H5057" s="1" t="s">
        <v>43</v>
      </c>
      <c r="I5057" s="17">
        <v>42401</v>
      </c>
    </row>
    <row r="5058" spans="1:9">
      <c r="A5058" s="16" t="s">
        <v>10521</v>
      </c>
      <c r="B5058" s="1" t="s">
        <v>2628</v>
      </c>
      <c r="C5058" s="1">
        <v>321</v>
      </c>
      <c r="D5058" s="1" t="s">
        <v>52</v>
      </c>
      <c r="E5058" s="1" t="s">
        <v>6</v>
      </c>
      <c r="F5058" s="1" t="s">
        <v>5091</v>
      </c>
      <c r="G5058" s="14" t="s">
        <v>10522</v>
      </c>
      <c r="H5058" s="1" t="s">
        <v>5</v>
      </c>
      <c r="I5058" s="17">
        <v>38259</v>
      </c>
    </row>
    <row r="5059" spans="1:9">
      <c r="A5059" s="16" t="s">
        <v>10523</v>
      </c>
      <c r="B5059" s="1" t="s">
        <v>2628</v>
      </c>
      <c r="C5059" s="1">
        <v>321</v>
      </c>
      <c r="D5059" s="1" t="s">
        <v>52</v>
      </c>
      <c r="E5059" s="1" t="s">
        <v>6</v>
      </c>
      <c r="F5059" s="1" t="s">
        <v>5091</v>
      </c>
      <c r="G5059" s="14" t="s">
        <v>10522</v>
      </c>
      <c r="H5059" s="1" t="s">
        <v>5</v>
      </c>
      <c r="I5059" s="17">
        <v>38259</v>
      </c>
    </row>
    <row r="5060" spans="1:9">
      <c r="A5060" s="16" t="s">
        <v>10528</v>
      </c>
      <c r="B5060" s="1" t="s">
        <v>2628</v>
      </c>
      <c r="C5060" s="1">
        <v>321</v>
      </c>
      <c r="D5060" s="1" t="s">
        <v>52</v>
      </c>
      <c r="E5060" s="1" t="s">
        <v>6</v>
      </c>
      <c r="F5060" s="1" t="s">
        <v>5091</v>
      </c>
      <c r="G5060" s="14" t="s">
        <v>6145</v>
      </c>
      <c r="H5060" s="1" t="s">
        <v>43</v>
      </c>
      <c r="I5060" s="17">
        <v>42383</v>
      </c>
    </row>
    <row r="5061" spans="1:9">
      <c r="A5061" s="16" t="s">
        <v>10529</v>
      </c>
      <c r="B5061" s="1" t="s">
        <v>2628</v>
      </c>
      <c r="C5061" s="1">
        <v>321</v>
      </c>
      <c r="D5061" s="1" t="s">
        <v>52</v>
      </c>
      <c r="E5061" s="1" t="s">
        <v>6</v>
      </c>
      <c r="F5061" s="1" t="s">
        <v>5091</v>
      </c>
      <c r="G5061" s="14" t="s">
        <v>6145</v>
      </c>
      <c r="H5061" s="1" t="s">
        <v>43</v>
      </c>
      <c r="I5061" s="17">
        <v>42383</v>
      </c>
    </row>
    <row r="5062" spans="1:9">
      <c r="A5062" s="16" t="s">
        <v>10530</v>
      </c>
      <c r="B5062" s="1" t="s">
        <v>2628</v>
      </c>
      <c r="C5062" s="1">
        <v>321</v>
      </c>
      <c r="D5062" s="1" t="s">
        <v>52</v>
      </c>
      <c r="E5062" s="1" t="s">
        <v>6</v>
      </c>
      <c r="F5062" s="1" t="s">
        <v>5091</v>
      </c>
      <c r="G5062" s="14" t="s">
        <v>6145</v>
      </c>
      <c r="H5062" s="1" t="s">
        <v>43</v>
      </c>
      <c r="I5062" s="17">
        <v>42383</v>
      </c>
    </row>
    <row r="5063" spans="1:9">
      <c r="A5063" s="16" t="s">
        <v>10531</v>
      </c>
      <c r="B5063" s="1" t="s">
        <v>2628</v>
      </c>
      <c r="C5063" s="1">
        <v>321</v>
      </c>
      <c r="D5063" s="1" t="s">
        <v>52</v>
      </c>
      <c r="E5063" s="1" t="s">
        <v>6</v>
      </c>
      <c r="F5063" s="1" t="s">
        <v>5091</v>
      </c>
      <c r="G5063" s="14" t="s">
        <v>6145</v>
      </c>
      <c r="H5063" s="1" t="s">
        <v>43</v>
      </c>
      <c r="I5063" s="17">
        <v>42383</v>
      </c>
    </row>
    <row r="5064" spans="1:9">
      <c r="A5064" s="16" t="s">
        <v>10532</v>
      </c>
      <c r="B5064" s="1" t="s">
        <v>2628</v>
      </c>
      <c r="C5064" s="1">
        <v>321</v>
      </c>
      <c r="D5064" s="1" t="s">
        <v>52</v>
      </c>
      <c r="E5064" s="1" t="s">
        <v>6</v>
      </c>
      <c r="F5064" s="1" t="s">
        <v>5091</v>
      </c>
      <c r="G5064" s="14" t="s">
        <v>6530</v>
      </c>
      <c r="H5064" s="1" t="s">
        <v>43</v>
      </c>
      <c r="I5064" s="17">
        <v>42416</v>
      </c>
    </row>
    <row r="5065" spans="1:9">
      <c r="A5065" s="16" t="s">
        <v>10539</v>
      </c>
      <c r="B5065" s="1" t="s">
        <v>2628</v>
      </c>
      <c r="C5065" s="1">
        <v>321</v>
      </c>
      <c r="D5065" s="1" t="s">
        <v>52</v>
      </c>
      <c r="E5065" s="1" t="s">
        <v>6</v>
      </c>
      <c r="F5065" s="1" t="s">
        <v>5091</v>
      </c>
      <c r="G5065" s="14" t="s">
        <v>6145</v>
      </c>
      <c r="H5065" s="1" t="s">
        <v>43</v>
      </c>
      <c r="I5065" s="17">
        <v>42429</v>
      </c>
    </row>
    <row r="5066" spans="1:9">
      <c r="A5066" s="16" t="s">
        <v>10562</v>
      </c>
      <c r="B5066" s="1" t="s">
        <v>2628</v>
      </c>
      <c r="C5066" s="1">
        <v>321</v>
      </c>
      <c r="D5066" s="1" t="s">
        <v>52</v>
      </c>
      <c r="E5066" s="1" t="s">
        <v>6</v>
      </c>
      <c r="F5066" s="1" t="s">
        <v>5091</v>
      </c>
      <c r="G5066" s="14" t="s">
        <v>10488</v>
      </c>
      <c r="H5066" s="1" t="s">
        <v>5</v>
      </c>
      <c r="I5066" s="17">
        <v>38713</v>
      </c>
    </row>
    <row r="5067" spans="1:9">
      <c r="A5067" s="16" t="s">
        <v>10563</v>
      </c>
      <c r="B5067" s="1" t="s">
        <v>2628</v>
      </c>
      <c r="C5067" s="1">
        <v>321</v>
      </c>
      <c r="D5067" s="1" t="s">
        <v>52</v>
      </c>
      <c r="E5067" s="1" t="s">
        <v>6</v>
      </c>
      <c r="F5067" s="1" t="s">
        <v>5091</v>
      </c>
      <c r="G5067" s="14" t="s">
        <v>10564</v>
      </c>
      <c r="H5067" s="1" t="s">
        <v>5</v>
      </c>
      <c r="I5067" s="17">
        <v>38957</v>
      </c>
    </row>
    <row r="5068" spans="1:9">
      <c r="A5068" s="16" t="s">
        <v>10565</v>
      </c>
      <c r="B5068" s="1" t="s">
        <v>2628</v>
      </c>
      <c r="C5068" s="1">
        <v>321</v>
      </c>
      <c r="D5068" s="1" t="s">
        <v>52</v>
      </c>
      <c r="E5068" s="1" t="s">
        <v>6</v>
      </c>
      <c r="F5068" s="1" t="s">
        <v>5091</v>
      </c>
      <c r="G5068" s="14" t="s">
        <v>10566</v>
      </c>
      <c r="H5068" s="1" t="s">
        <v>5</v>
      </c>
      <c r="I5068" s="17">
        <v>38929</v>
      </c>
    </row>
    <row r="5069" spans="1:9">
      <c r="A5069" s="16" t="s">
        <v>10568</v>
      </c>
      <c r="B5069" s="1" t="s">
        <v>2628</v>
      </c>
      <c r="C5069" s="1">
        <v>321</v>
      </c>
      <c r="D5069" s="1" t="s">
        <v>52</v>
      </c>
      <c r="E5069" s="1" t="s">
        <v>6</v>
      </c>
      <c r="F5069" s="1" t="s">
        <v>5091</v>
      </c>
      <c r="G5069" s="14" t="s">
        <v>10488</v>
      </c>
      <c r="H5069" s="1" t="s">
        <v>5</v>
      </c>
      <c r="I5069" s="17">
        <v>38713</v>
      </c>
    </row>
    <row r="5070" spans="1:9">
      <c r="A5070" s="16" t="s">
        <v>10577</v>
      </c>
      <c r="B5070" s="1" t="s">
        <v>2628</v>
      </c>
      <c r="C5070" s="1">
        <v>321</v>
      </c>
      <c r="D5070" s="1" t="s">
        <v>52</v>
      </c>
      <c r="E5070" s="1" t="s">
        <v>6</v>
      </c>
      <c r="F5070" s="1" t="s">
        <v>5091</v>
      </c>
      <c r="G5070" s="14" t="s">
        <v>10522</v>
      </c>
      <c r="H5070" s="1" t="s">
        <v>5</v>
      </c>
      <c r="I5070" s="17">
        <v>38259</v>
      </c>
    </row>
    <row r="5071" spans="1:9">
      <c r="A5071" s="16" t="s">
        <v>10578</v>
      </c>
      <c r="B5071" s="1" t="s">
        <v>2628</v>
      </c>
      <c r="C5071" s="1">
        <v>321</v>
      </c>
      <c r="D5071" s="1" t="s">
        <v>52</v>
      </c>
      <c r="E5071" s="1" t="s">
        <v>6</v>
      </c>
      <c r="F5071" s="1" t="s">
        <v>5091</v>
      </c>
      <c r="G5071" s="14" t="s">
        <v>9561</v>
      </c>
      <c r="H5071" s="1" t="s">
        <v>5</v>
      </c>
      <c r="I5071" s="17">
        <v>38259</v>
      </c>
    </row>
    <row r="5072" spans="1:9">
      <c r="A5072" s="16" t="s">
        <v>10583</v>
      </c>
      <c r="B5072" s="1" t="s">
        <v>2628</v>
      </c>
      <c r="C5072" s="1">
        <v>321</v>
      </c>
      <c r="D5072" s="1" t="s">
        <v>52</v>
      </c>
      <c r="E5072" s="1" t="s">
        <v>6</v>
      </c>
      <c r="F5072" s="1" t="s">
        <v>5091</v>
      </c>
      <c r="G5072" s="14" t="s">
        <v>6145</v>
      </c>
      <c r="H5072" s="1" t="s">
        <v>43</v>
      </c>
      <c r="I5072" s="17">
        <v>42394</v>
      </c>
    </row>
    <row r="5073" spans="1:9">
      <c r="A5073" s="16" t="s">
        <v>10584</v>
      </c>
      <c r="B5073" s="1" t="s">
        <v>2628</v>
      </c>
      <c r="C5073" s="1">
        <v>321</v>
      </c>
      <c r="D5073" s="1" t="s">
        <v>52</v>
      </c>
      <c r="E5073" s="1" t="s">
        <v>6</v>
      </c>
      <c r="F5073" s="1" t="s">
        <v>5091</v>
      </c>
      <c r="G5073" s="14" t="s">
        <v>6145</v>
      </c>
      <c r="H5073" s="1" t="s">
        <v>43</v>
      </c>
      <c r="I5073" s="17">
        <v>42394</v>
      </c>
    </row>
    <row r="5074" spans="1:9">
      <c r="A5074" s="16" t="s">
        <v>10690</v>
      </c>
      <c r="B5074" s="1" t="s">
        <v>2628</v>
      </c>
      <c r="C5074" s="1">
        <v>321</v>
      </c>
      <c r="D5074" s="1" t="s">
        <v>52</v>
      </c>
      <c r="E5074" s="1" t="s">
        <v>6</v>
      </c>
      <c r="F5074" s="1" t="s">
        <v>5091</v>
      </c>
      <c r="G5074" s="14" t="s">
        <v>10691</v>
      </c>
      <c r="H5074" s="1" t="s">
        <v>5</v>
      </c>
      <c r="I5074" s="17">
        <v>40585</v>
      </c>
    </row>
    <row r="5075" spans="1:9">
      <c r="A5075" s="16" t="s">
        <v>10728</v>
      </c>
      <c r="B5075" s="1" t="s">
        <v>2628</v>
      </c>
      <c r="C5075" s="1">
        <v>321</v>
      </c>
      <c r="D5075" s="1" t="s">
        <v>52</v>
      </c>
      <c r="E5075" s="1" t="s">
        <v>6</v>
      </c>
      <c r="F5075" s="1" t="s">
        <v>5091</v>
      </c>
      <c r="G5075" s="14" t="s">
        <v>6307</v>
      </c>
      <c r="H5075" s="1" t="s">
        <v>44</v>
      </c>
      <c r="I5075" s="17">
        <v>42111</v>
      </c>
    </row>
    <row r="5076" spans="1:9">
      <c r="A5076" s="16" t="s">
        <v>10739</v>
      </c>
      <c r="B5076" s="1" t="s">
        <v>2628</v>
      </c>
      <c r="C5076" s="1">
        <v>321</v>
      </c>
      <c r="D5076" s="1" t="s">
        <v>52</v>
      </c>
      <c r="E5076" s="1" t="s">
        <v>6</v>
      </c>
      <c r="F5076" s="1" t="s">
        <v>5091</v>
      </c>
      <c r="G5076" s="14" t="s">
        <v>6307</v>
      </c>
      <c r="H5076" s="1" t="s">
        <v>44</v>
      </c>
      <c r="I5076" s="17">
        <v>42116</v>
      </c>
    </row>
    <row r="5077" spans="1:9">
      <c r="A5077" s="16" t="s">
        <v>10743</v>
      </c>
      <c r="B5077" s="1" t="s">
        <v>2628</v>
      </c>
      <c r="C5077" s="1">
        <v>321</v>
      </c>
      <c r="D5077" s="1" t="s">
        <v>52</v>
      </c>
      <c r="E5077" s="1" t="s">
        <v>6</v>
      </c>
      <c r="F5077" s="1" t="s">
        <v>5091</v>
      </c>
      <c r="G5077" s="14" t="s">
        <v>6307</v>
      </c>
      <c r="H5077" s="1" t="s">
        <v>44</v>
      </c>
      <c r="I5077" s="17">
        <v>42126</v>
      </c>
    </row>
    <row r="5078" spans="1:9">
      <c r="A5078" s="16" t="s">
        <v>10744</v>
      </c>
      <c r="B5078" s="1" t="s">
        <v>2628</v>
      </c>
      <c r="C5078" s="1">
        <v>321</v>
      </c>
      <c r="D5078" s="1" t="s">
        <v>52</v>
      </c>
      <c r="E5078" s="1" t="s">
        <v>6</v>
      </c>
      <c r="F5078" s="1" t="s">
        <v>5091</v>
      </c>
      <c r="G5078" s="14" t="s">
        <v>6307</v>
      </c>
      <c r="H5078" s="1" t="s">
        <v>44</v>
      </c>
      <c r="I5078" s="17">
        <v>42126</v>
      </c>
    </row>
    <row r="5079" spans="1:9">
      <c r="A5079" s="16" t="s">
        <v>10745</v>
      </c>
      <c r="B5079" s="1" t="s">
        <v>2628</v>
      </c>
      <c r="C5079" s="1">
        <v>321</v>
      </c>
      <c r="D5079" s="1" t="s">
        <v>52</v>
      </c>
      <c r="E5079" s="1" t="s">
        <v>6</v>
      </c>
      <c r="F5079" s="1" t="s">
        <v>5091</v>
      </c>
      <c r="G5079" s="14" t="s">
        <v>6307</v>
      </c>
      <c r="H5079" s="1" t="s">
        <v>44</v>
      </c>
      <c r="I5079" s="17">
        <v>42126</v>
      </c>
    </row>
    <row r="5080" spans="1:9">
      <c r="A5080" s="16" t="s">
        <v>10773</v>
      </c>
      <c r="B5080" s="1" t="s">
        <v>2628</v>
      </c>
      <c r="C5080" s="1">
        <v>321</v>
      </c>
      <c r="D5080" s="1" t="s">
        <v>52</v>
      </c>
      <c r="E5080" s="1" t="s">
        <v>6</v>
      </c>
      <c r="F5080" s="1" t="s">
        <v>5091</v>
      </c>
      <c r="G5080" s="14" t="s">
        <v>6909</v>
      </c>
      <c r="H5080" s="1" t="s">
        <v>43</v>
      </c>
      <c r="I5080" s="17">
        <v>42370</v>
      </c>
    </row>
    <row r="5081" spans="1:9">
      <c r="A5081" s="16" t="s">
        <v>10774</v>
      </c>
      <c r="B5081" s="1" t="s">
        <v>2628</v>
      </c>
      <c r="C5081" s="1">
        <v>321</v>
      </c>
      <c r="D5081" s="1" t="s">
        <v>52</v>
      </c>
      <c r="E5081" s="1" t="s">
        <v>6</v>
      </c>
      <c r="F5081" s="1" t="s">
        <v>5091</v>
      </c>
      <c r="G5081" s="14" t="s">
        <v>6145</v>
      </c>
      <c r="H5081" s="1" t="s">
        <v>43</v>
      </c>
      <c r="I5081" s="17">
        <v>42370</v>
      </c>
    </row>
    <row r="5082" spans="1:9">
      <c r="A5082" s="16" t="s">
        <v>10775</v>
      </c>
      <c r="B5082" s="1" t="s">
        <v>2628</v>
      </c>
      <c r="C5082" s="1">
        <v>321</v>
      </c>
      <c r="D5082" s="1" t="s">
        <v>52</v>
      </c>
      <c r="E5082" s="1" t="s">
        <v>6</v>
      </c>
      <c r="F5082" s="1" t="s">
        <v>5091</v>
      </c>
      <c r="G5082" s="14" t="s">
        <v>6145</v>
      </c>
      <c r="H5082" s="1" t="s">
        <v>43</v>
      </c>
      <c r="I5082" s="17">
        <v>42370</v>
      </c>
    </row>
    <row r="5083" spans="1:9">
      <c r="A5083" s="16" t="s">
        <v>10776</v>
      </c>
      <c r="B5083" s="1" t="s">
        <v>2628</v>
      </c>
      <c r="C5083" s="1">
        <v>321</v>
      </c>
      <c r="D5083" s="1" t="s">
        <v>52</v>
      </c>
      <c r="E5083" s="1" t="s">
        <v>6</v>
      </c>
      <c r="F5083" s="1" t="s">
        <v>5091</v>
      </c>
      <c r="G5083" s="14" t="s">
        <v>6145</v>
      </c>
      <c r="H5083" s="1" t="s">
        <v>43</v>
      </c>
      <c r="I5083" s="17">
        <v>42370</v>
      </c>
    </row>
    <row r="5084" spans="1:9">
      <c r="A5084" s="16" t="s">
        <v>10777</v>
      </c>
      <c r="B5084" s="1" t="s">
        <v>2628</v>
      </c>
      <c r="C5084" s="1">
        <v>321</v>
      </c>
      <c r="D5084" s="1" t="s">
        <v>52</v>
      </c>
      <c r="E5084" s="1" t="s">
        <v>6</v>
      </c>
      <c r="F5084" s="1" t="s">
        <v>5091</v>
      </c>
      <c r="G5084" s="14" t="s">
        <v>6145</v>
      </c>
      <c r="H5084" s="1" t="s">
        <v>43</v>
      </c>
      <c r="I5084" s="17">
        <v>42370</v>
      </c>
    </row>
    <row r="5085" spans="1:9">
      <c r="A5085" s="16" t="s">
        <v>10792</v>
      </c>
      <c r="B5085" s="1" t="s">
        <v>2628</v>
      </c>
      <c r="C5085" s="1">
        <v>321</v>
      </c>
      <c r="D5085" s="1" t="s">
        <v>52</v>
      </c>
      <c r="E5085" s="1" t="s">
        <v>6</v>
      </c>
      <c r="F5085" s="1" t="s">
        <v>5091</v>
      </c>
      <c r="G5085" s="14" t="s">
        <v>6145</v>
      </c>
      <c r="H5085" s="1" t="s">
        <v>43</v>
      </c>
      <c r="I5085" s="17">
        <v>40431</v>
      </c>
    </row>
    <row r="5086" spans="1:9">
      <c r="A5086" s="16" t="s">
        <v>10793</v>
      </c>
      <c r="B5086" s="1" t="s">
        <v>2628</v>
      </c>
      <c r="C5086" s="1">
        <v>321</v>
      </c>
      <c r="D5086" s="1" t="s">
        <v>52</v>
      </c>
      <c r="E5086" s="1" t="s">
        <v>6</v>
      </c>
      <c r="F5086" s="1" t="s">
        <v>5091</v>
      </c>
      <c r="G5086" s="14" t="s">
        <v>6236</v>
      </c>
      <c r="H5086" s="1" t="s">
        <v>43</v>
      </c>
      <c r="I5086" s="17">
        <v>42370</v>
      </c>
    </row>
    <row r="5087" spans="1:9">
      <c r="A5087" s="16" t="s">
        <v>10811</v>
      </c>
      <c r="B5087" s="1" t="s">
        <v>2628</v>
      </c>
      <c r="C5087" s="1">
        <v>321</v>
      </c>
      <c r="D5087" s="1" t="s">
        <v>52</v>
      </c>
      <c r="E5087" s="1" t="s">
        <v>6</v>
      </c>
      <c r="F5087" s="1" t="s">
        <v>5091</v>
      </c>
      <c r="G5087" s="14" t="s">
        <v>6145</v>
      </c>
      <c r="H5087" s="1" t="s">
        <v>43</v>
      </c>
      <c r="I5087" s="17">
        <v>42464</v>
      </c>
    </row>
    <row r="5088" spans="1:9">
      <c r="A5088" s="16" t="s">
        <v>10815</v>
      </c>
      <c r="B5088" s="1" t="s">
        <v>2628</v>
      </c>
      <c r="C5088" s="1">
        <v>321</v>
      </c>
      <c r="D5088" s="1" t="s">
        <v>52</v>
      </c>
      <c r="E5088" s="1" t="s">
        <v>6</v>
      </c>
      <c r="F5088" s="1" t="s">
        <v>5091</v>
      </c>
      <c r="G5088" s="14" t="s">
        <v>10816</v>
      </c>
      <c r="H5088" s="1" t="s">
        <v>5</v>
      </c>
      <c r="I5088" s="17">
        <v>42430</v>
      </c>
    </row>
    <row r="5089" spans="1:9">
      <c r="A5089" s="16" t="s">
        <v>10864</v>
      </c>
      <c r="B5089" s="1" t="s">
        <v>2628</v>
      </c>
      <c r="C5089" s="1">
        <v>321</v>
      </c>
      <c r="D5089" s="1" t="s">
        <v>52</v>
      </c>
      <c r="E5089" s="1" t="s">
        <v>6</v>
      </c>
      <c r="F5089" s="1" t="s">
        <v>5091</v>
      </c>
      <c r="G5089" s="14" t="s">
        <v>6307</v>
      </c>
      <c r="H5089" s="1" t="s">
        <v>44</v>
      </c>
      <c r="I5089" s="17">
        <v>42241</v>
      </c>
    </row>
    <row r="5090" spans="1:9">
      <c r="A5090" s="16" t="s">
        <v>10883</v>
      </c>
      <c r="B5090" s="1" t="s">
        <v>2628</v>
      </c>
      <c r="C5090" s="1">
        <v>321</v>
      </c>
      <c r="D5090" s="1" t="s">
        <v>52</v>
      </c>
      <c r="E5090" s="1" t="s">
        <v>6</v>
      </c>
      <c r="F5090" s="1" t="s">
        <v>5091</v>
      </c>
      <c r="G5090" s="14" t="s">
        <v>6236</v>
      </c>
      <c r="H5090" s="1" t="s">
        <v>43</v>
      </c>
      <c r="I5090" s="17">
        <v>42370</v>
      </c>
    </row>
    <row r="5091" spans="1:9">
      <c r="A5091" s="16" t="s">
        <v>10884</v>
      </c>
      <c r="B5091" s="1" t="s">
        <v>2628</v>
      </c>
      <c r="C5091" s="1">
        <v>321</v>
      </c>
      <c r="D5091" s="1" t="s">
        <v>52</v>
      </c>
      <c r="E5091" s="1" t="s">
        <v>6</v>
      </c>
      <c r="F5091" s="1" t="s">
        <v>5091</v>
      </c>
      <c r="G5091" s="14" t="s">
        <v>6145</v>
      </c>
      <c r="H5091" s="1" t="s">
        <v>43</v>
      </c>
      <c r="I5091" s="17">
        <v>42473</v>
      </c>
    </row>
    <row r="5092" spans="1:9">
      <c r="A5092" s="16" t="s">
        <v>10885</v>
      </c>
      <c r="B5092" s="1" t="s">
        <v>2628</v>
      </c>
      <c r="C5092" s="1">
        <v>321</v>
      </c>
      <c r="D5092" s="1" t="s">
        <v>52</v>
      </c>
      <c r="E5092" s="1" t="s">
        <v>6</v>
      </c>
      <c r="F5092" s="1" t="s">
        <v>5091</v>
      </c>
      <c r="G5092" s="14" t="s">
        <v>6145</v>
      </c>
      <c r="H5092" s="1" t="s">
        <v>43</v>
      </c>
      <c r="I5092" s="17">
        <v>42473</v>
      </c>
    </row>
    <row r="5093" spans="1:9">
      <c r="A5093" s="16" t="s">
        <v>10886</v>
      </c>
      <c r="B5093" s="1" t="s">
        <v>2628</v>
      </c>
      <c r="C5093" s="1">
        <v>321</v>
      </c>
      <c r="D5093" s="1" t="s">
        <v>52</v>
      </c>
      <c r="E5093" s="1" t="s">
        <v>6</v>
      </c>
      <c r="F5093" s="1" t="s">
        <v>5091</v>
      </c>
      <c r="G5093" s="14" t="s">
        <v>6145</v>
      </c>
      <c r="H5093" s="1" t="s">
        <v>43</v>
      </c>
      <c r="I5093" s="17">
        <v>42473</v>
      </c>
    </row>
    <row r="5094" spans="1:9">
      <c r="A5094" s="16" t="s">
        <v>10887</v>
      </c>
      <c r="B5094" s="1" t="s">
        <v>2628</v>
      </c>
      <c r="C5094" s="1">
        <v>321</v>
      </c>
      <c r="D5094" s="1" t="s">
        <v>52</v>
      </c>
      <c r="E5094" s="1" t="s">
        <v>6</v>
      </c>
      <c r="F5094" s="1" t="s">
        <v>5091</v>
      </c>
      <c r="G5094" s="14" t="s">
        <v>6145</v>
      </c>
      <c r="H5094" s="1" t="s">
        <v>43</v>
      </c>
      <c r="I5094" s="17">
        <v>42473</v>
      </c>
    </row>
    <row r="5095" spans="1:9">
      <c r="A5095" s="16" t="s">
        <v>10888</v>
      </c>
      <c r="B5095" s="1" t="s">
        <v>2628</v>
      </c>
      <c r="C5095" s="1">
        <v>321</v>
      </c>
      <c r="D5095" s="1" t="s">
        <v>52</v>
      </c>
      <c r="E5095" s="1" t="s">
        <v>6</v>
      </c>
      <c r="F5095" s="1" t="s">
        <v>5091</v>
      </c>
      <c r="G5095" s="14" t="s">
        <v>6145</v>
      </c>
      <c r="H5095" s="1" t="s">
        <v>43</v>
      </c>
      <c r="I5095" s="17">
        <v>42473</v>
      </c>
    </row>
    <row r="5096" spans="1:9">
      <c r="A5096" s="16" t="s">
        <v>10950</v>
      </c>
      <c r="B5096" s="1" t="s">
        <v>2628</v>
      </c>
      <c r="C5096" s="1">
        <v>321</v>
      </c>
      <c r="D5096" s="1" t="s">
        <v>52</v>
      </c>
      <c r="E5096" s="1" t="s">
        <v>6</v>
      </c>
      <c r="F5096" s="1" t="s">
        <v>5091</v>
      </c>
      <c r="G5096" s="14" t="s">
        <v>6145</v>
      </c>
      <c r="H5096" s="1" t="s">
        <v>43</v>
      </c>
      <c r="I5096" s="17">
        <v>42279</v>
      </c>
    </row>
    <row r="5097" spans="1:9">
      <c r="A5097" s="16" t="s">
        <v>10952</v>
      </c>
      <c r="B5097" s="1" t="s">
        <v>2628</v>
      </c>
      <c r="C5097" s="1">
        <v>321</v>
      </c>
      <c r="D5097" s="1" t="s">
        <v>52</v>
      </c>
      <c r="E5097" s="1" t="s">
        <v>6</v>
      </c>
      <c r="F5097" s="1" t="s">
        <v>5091</v>
      </c>
      <c r="G5097" s="14" t="s">
        <v>6145</v>
      </c>
      <c r="H5097" s="1" t="s">
        <v>43</v>
      </c>
      <c r="I5097" s="17">
        <v>42279</v>
      </c>
    </row>
    <row r="5098" spans="1:9">
      <c r="A5098" s="16" t="s">
        <v>10953</v>
      </c>
      <c r="B5098" s="1" t="s">
        <v>2628</v>
      </c>
      <c r="C5098" s="1">
        <v>321</v>
      </c>
      <c r="D5098" s="1" t="s">
        <v>52</v>
      </c>
      <c r="E5098" s="1" t="s">
        <v>6</v>
      </c>
      <c r="F5098" s="1" t="s">
        <v>5091</v>
      </c>
      <c r="G5098" s="14" t="s">
        <v>6145</v>
      </c>
      <c r="H5098" s="1" t="s">
        <v>43</v>
      </c>
      <c r="I5098" s="17">
        <v>42279</v>
      </c>
    </row>
    <row r="5099" spans="1:9">
      <c r="A5099" s="16" t="s">
        <v>10961</v>
      </c>
      <c r="B5099" s="1" t="s">
        <v>2628</v>
      </c>
      <c r="C5099" s="1">
        <v>321</v>
      </c>
      <c r="D5099" s="1" t="s">
        <v>52</v>
      </c>
      <c r="E5099" s="1" t="s">
        <v>6</v>
      </c>
      <c r="F5099" s="1" t="s">
        <v>5091</v>
      </c>
      <c r="G5099" s="14" t="s">
        <v>6450</v>
      </c>
      <c r="H5099" s="1" t="s">
        <v>43</v>
      </c>
      <c r="I5099" s="17">
        <v>42283</v>
      </c>
    </row>
    <row r="5100" spans="1:9">
      <c r="A5100" s="16" t="s">
        <v>10962</v>
      </c>
      <c r="B5100" s="1" t="s">
        <v>2628</v>
      </c>
      <c r="C5100" s="1">
        <v>321</v>
      </c>
      <c r="D5100" s="1" t="s">
        <v>52</v>
      </c>
      <c r="E5100" s="1" t="s">
        <v>6</v>
      </c>
      <c r="F5100" s="1" t="s">
        <v>5091</v>
      </c>
      <c r="G5100" s="14" t="s">
        <v>6450</v>
      </c>
      <c r="H5100" s="1" t="s">
        <v>43</v>
      </c>
      <c r="I5100" s="17">
        <v>42283</v>
      </c>
    </row>
    <row r="5101" spans="1:9">
      <c r="A5101" s="16" t="s">
        <v>10963</v>
      </c>
      <c r="B5101" s="1" t="s">
        <v>2628</v>
      </c>
      <c r="C5101" s="1">
        <v>321</v>
      </c>
      <c r="D5101" s="1" t="s">
        <v>52</v>
      </c>
      <c r="E5101" s="1" t="s">
        <v>6</v>
      </c>
      <c r="F5101" s="1" t="s">
        <v>5091</v>
      </c>
      <c r="G5101" s="14" t="s">
        <v>6450</v>
      </c>
      <c r="H5101" s="1" t="s">
        <v>43</v>
      </c>
      <c r="I5101" s="17">
        <v>42283</v>
      </c>
    </row>
    <row r="5102" spans="1:9">
      <c r="A5102" s="16" t="s">
        <v>10964</v>
      </c>
      <c r="B5102" s="1" t="s">
        <v>2628</v>
      </c>
      <c r="C5102" s="1">
        <v>321</v>
      </c>
      <c r="D5102" s="1" t="s">
        <v>52</v>
      </c>
      <c r="E5102" s="1" t="s">
        <v>6</v>
      </c>
      <c r="F5102" s="1" t="s">
        <v>5091</v>
      </c>
      <c r="G5102" s="14" t="s">
        <v>6450</v>
      </c>
      <c r="H5102" s="1" t="s">
        <v>43</v>
      </c>
      <c r="I5102" s="17">
        <v>42283</v>
      </c>
    </row>
    <row r="5103" spans="1:9">
      <c r="A5103" s="16" t="s">
        <v>11011</v>
      </c>
      <c r="B5103" s="1" t="s">
        <v>2628</v>
      </c>
      <c r="C5103" s="1">
        <v>321</v>
      </c>
      <c r="D5103" s="1" t="s">
        <v>52</v>
      </c>
      <c r="E5103" s="1" t="s">
        <v>6</v>
      </c>
      <c r="F5103" s="1" t="s">
        <v>5091</v>
      </c>
      <c r="G5103" s="14" t="s">
        <v>6145</v>
      </c>
      <c r="H5103" s="1" t="s">
        <v>43</v>
      </c>
      <c r="I5103" s="17">
        <v>42289</v>
      </c>
    </row>
    <row r="5104" spans="1:9">
      <c r="A5104" s="16" t="s">
        <v>11012</v>
      </c>
      <c r="B5104" s="1" t="s">
        <v>2628</v>
      </c>
      <c r="C5104" s="1">
        <v>321</v>
      </c>
      <c r="D5104" s="1" t="s">
        <v>52</v>
      </c>
      <c r="E5104" s="1" t="s">
        <v>6</v>
      </c>
      <c r="F5104" s="1" t="s">
        <v>5091</v>
      </c>
      <c r="G5104" s="14" t="s">
        <v>6145</v>
      </c>
      <c r="H5104" s="1" t="s">
        <v>43</v>
      </c>
      <c r="I5104" s="17">
        <v>42289</v>
      </c>
    </row>
    <row r="5105" spans="1:9">
      <c r="A5105" s="16" t="s">
        <v>11048</v>
      </c>
      <c r="B5105" s="1" t="s">
        <v>2628</v>
      </c>
      <c r="C5105" s="1">
        <v>321</v>
      </c>
      <c r="D5105" s="1" t="s">
        <v>52</v>
      </c>
      <c r="E5105" s="1" t="s">
        <v>6</v>
      </c>
      <c r="F5105" s="1" t="s">
        <v>5091</v>
      </c>
      <c r="G5105" s="14" t="s">
        <v>6145</v>
      </c>
      <c r="H5105" s="1" t="s">
        <v>43</v>
      </c>
      <c r="I5105" s="17">
        <v>42480</v>
      </c>
    </row>
    <row r="5106" spans="1:9">
      <c r="A5106" s="16" t="s">
        <v>11114</v>
      </c>
      <c r="B5106" s="1" t="s">
        <v>2628</v>
      </c>
      <c r="C5106" s="1">
        <v>321</v>
      </c>
      <c r="D5106" s="1" t="s">
        <v>52</v>
      </c>
      <c r="E5106" s="1" t="s">
        <v>6</v>
      </c>
      <c r="F5106" s="1" t="s">
        <v>5091</v>
      </c>
      <c r="G5106" s="14" t="s">
        <v>6236</v>
      </c>
      <c r="H5106" s="1" t="s">
        <v>43</v>
      </c>
      <c r="I5106" s="17">
        <v>42005</v>
      </c>
    </row>
    <row r="5107" spans="1:9">
      <c r="A5107" s="16" t="s">
        <v>11143</v>
      </c>
      <c r="B5107" s="1" t="s">
        <v>2628</v>
      </c>
      <c r="C5107" s="1">
        <v>321</v>
      </c>
      <c r="D5107" s="1" t="s">
        <v>52</v>
      </c>
      <c r="E5107" s="1" t="s">
        <v>6</v>
      </c>
      <c r="F5107" s="1" t="s">
        <v>5091</v>
      </c>
      <c r="G5107" s="14" t="s">
        <v>9063</v>
      </c>
      <c r="H5107" s="1" t="s">
        <v>5</v>
      </c>
      <c r="I5107" s="17">
        <v>42200</v>
      </c>
    </row>
    <row r="5108" spans="1:9">
      <c r="A5108" s="16" t="s">
        <v>11144</v>
      </c>
      <c r="B5108" s="1" t="s">
        <v>2628</v>
      </c>
      <c r="C5108" s="1">
        <v>321</v>
      </c>
      <c r="D5108" s="1" t="s">
        <v>52</v>
      </c>
      <c r="E5108" s="1" t="s">
        <v>6</v>
      </c>
      <c r="F5108" s="1" t="s">
        <v>5091</v>
      </c>
      <c r="G5108" s="14" t="s">
        <v>8658</v>
      </c>
      <c r="H5108" s="1" t="s">
        <v>5</v>
      </c>
      <c r="I5108" s="17">
        <v>41898</v>
      </c>
    </row>
    <row r="5109" spans="1:9">
      <c r="A5109" s="16" t="s">
        <v>11145</v>
      </c>
      <c r="B5109" s="1" t="s">
        <v>2628</v>
      </c>
      <c r="C5109" s="1">
        <v>321</v>
      </c>
      <c r="D5109" s="1" t="s">
        <v>52</v>
      </c>
      <c r="E5109" s="1" t="s">
        <v>6</v>
      </c>
      <c r="F5109" s="1" t="s">
        <v>5091</v>
      </c>
      <c r="G5109" s="14" t="s">
        <v>9495</v>
      </c>
      <c r="H5109" s="1" t="s">
        <v>5</v>
      </c>
      <c r="I5109" s="17">
        <v>42508</v>
      </c>
    </row>
    <row r="5110" spans="1:9">
      <c r="A5110" s="16" t="s">
        <v>11182</v>
      </c>
      <c r="B5110" s="1" t="s">
        <v>2628</v>
      </c>
      <c r="C5110" s="1">
        <v>321</v>
      </c>
      <c r="D5110" s="1" t="s">
        <v>52</v>
      </c>
      <c r="E5110" s="1" t="s">
        <v>6</v>
      </c>
      <c r="F5110" s="1" t="s">
        <v>5091</v>
      </c>
      <c r="G5110" s="14" t="s">
        <v>6145</v>
      </c>
      <c r="H5110" s="1" t="s">
        <v>43</v>
      </c>
      <c r="I5110" s="17">
        <v>42509</v>
      </c>
    </row>
    <row r="5111" spans="1:9">
      <c r="A5111" s="16" t="s">
        <v>11185</v>
      </c>
      <c r="B5111" s="1" t="s">
        <v>2628</v>
      </c>
      <c r="C5111" s="1">
        <v>321</v>
      </c>
      <c r="D5111" s="1" t="s">
        <v>52</v>
      </c>
      <c r="E5111" s="1" t="s">
        <v>6</v>
      </c>
      <c r="F5111" s="1" t="s">
        <v>5091</v>
      </c>
      <c r="G5111" s="14" t="s">
        <v>6307</v>
      </c>
      <c r="H5111" s="1" t="s">
        <v>44</v>
      </c>
      <c r="I5111" s="17">
        <v>42241</v>
      </c>
    </row>
    <row r="5112" spans="1:9">
      <c r="A5112" s="16" t="s">
        <v>11205</v>
      </c>
      <c r="B5112" s="1" t="s">
        <v>2628</v>
      </c>
      <c r="C5112" s="1">
        <v>321</v>
      </c>
      <c r="D5112" s="1" t="s">
        <v>52</v>
      </c>
      <c r="E5112" s="1" t="s">
        <v>6</v>
      </c>
      <c r="F5112" s="1" t="s">
        <v>5091</v>
      </c>
      <c r="G5112" s="14" t="s">
        <v>10488</v>
      </c>
      <c r="H5112" s="1" t="s">
        <v>5</v>
      </c>
      <c r="I5112" s="17">
        <v>38706</v>
      </c>
    </row>
    <row r="5113" spans="1:9">
      <c r="A5113" s="16" t="s">
        <v>11207</v>
      </c>
      <c r="B5113" s="1" t="s">
        <v>2628</v>
      </c>
      <c r="C5113" s="1">
        <v>321</v>
      </c>
      <c r="D5113" s="1" t="s">
        <v>52</v>
      </c>
      <c r="E5113" s="1" t="s">
        <v>6</v>
      </c>
      <c r="F5113" s="1" t="s">
        <v>5091</v>
      </c>
      <c r="G5113" s="14" t="s">
        <v>11208</v>
      </c>
      <c r="H5113" s="1" t="s">
        <v>5</v>
      </c>
      <c r="I5113" s="17">
        <v>38378</v>
      </c>
    </row>
    <row r="5114" spans="1:9">
      <c r="A5114" s="16" t="s">
        <v>11211</v>
      </c>
      <c r="B5114" s="1" t="s">
        <v>2628</v>
      </c>
      <c r="C5114" s="1">
        <v>321</v>
      </c>
      <c r="D5114" s="1" t="s">
        <v>52</v>
      </c>
      <c r="E5114" s="1" t="s">
        <v>6</v>
      </c>
      <c r="F5114" s="1" t="s">
        <v>5091</v>
      </c>
      <c r="G5114" s="14" t="s">
        <v>7829</v>
      </c>
      <c r="H5114" s="1" t="s">
        <v>118</v>
      </c>
      <c r="I5114" s="17">
        <v>42522</v>
      </c>
    </row>
    <row r="5115" spans="1:9">
      <c r="A5115" s="16" t="s">
        <v>11223</v>
      </c>
      <c r="B5115" s="1" t="s">
        <v>2628</v>
      </c>
      <c r="C5115" s="1">
        <v>321</v>
      </c>
      <c r="D5115" s="1" t="s">
        <v>52</v>
      </c>
      <c r="E5115" s="1" t="s">
        <v>6</v>
      </c>
      <c r="F5115" s="1" t="s">
        <v>5091</v>
      </c>
      <c r="G5115" s="14" t="s">
        <v>6236</v>
      </c>
      <c r="H5115" s="1" t="s">
        <v>43</v>
      </c>
      <c r="I5115" s="17">
        <v>42370</v>
      </c>
    </row>
    <row r="5116" spans="1:9">
      <c r="A5116" s="16" t="s">
        <v>11227</v>
      </c>
      <c r="B5116" s="1" t="s">
        <v>2628</v>
      </c>
      <c r="C5116" s="1">
        <v>321</v>
      </c>
      <c r="D5116" s="1" t="s">
        <v>52</v>
      </c>
      <c r="E5116" s="1" t="s">
        <v>6</v>
      </c>
      <c r="F5116" s="1" t="s">
        <v>5091</v>
      </c>
      <c r="G5116" s="14" t="s">
        <v>9606</v>
      </c>
      <c r="H5116" s="1" t="s">
        <v>5</v>
      </c>
      <c r="I5116" s="17">
        <v>38813</v>
      </c>
    </row>
    <row r="5117" spans="1:9">
      <c r="A5117" s="16" t="s">
        <v>11229</v>
      </c>
      <c r="B5117" s="1" t="s">
        <v>2628</v>
      </c>
      <c r="C5117" s="1">
        <v>321</v>
      </c>
      <c r="D5117" s="1" t="s">
        <v>52</v>
      </c>
      <c r="E5117" s="1" t="s">
        <v>6</v>
      </c>
      <c r="F5117" s="1" t="s">
        <v>5091</v>
      </c>
      <c r="G5117" s="14" t="s">
        <v>6145</v>
      </c>
      <c r="H5117" s="1" t="s">
        <v>43</v>
      </c>
      <c r="I5117" s="17">
        <v>42529</v>
      </c>
    </row>
    <row r="5118" spans="1:9">
      <c r="A5118" s="16" t="s">
        <v>11235</v>
      </c>
      <c r="B5118" s="1" t="s">
        <v>2628</v>
      </c>
      <c r="C5118" s="1">
        <v>321</v>
      </c>
      <c r="D5118" s="1" t="s">
        <v>52</v>
      </c>
      <c r="E5118" s="1" t="s">
        <v>6</v>
      </c>
      <c r="F5118" s="1" t="s">
        <v>5091</v>
      </c>
      <c r="G5118" s="14" t="s">
        <v>9234</v>
      </c>
      <c r="H5118" s="1" t="s">
        <v>5</v>
      </c>
      <c r="I5118" s="17">
        <v>42370</v>
      </c>
    </row>
    <row r="5119" spans="1:9">
      <c r="A5119" s="16" t="s">
        <v>11237</v>
      </c>
      <c r="B5119" s="1" t="s">
        <v>2628</v>
      </c>
      <c r="C5119" s="1">
        <v>321</v>
      </c>
      <c r="D5119" s="1" t="s">
        <v>52</v>
      </c>
      <c r="E5119" s="1" t="s">
        <v>6</v>
      </c>
      <c r="F5119" s="1" t="s">
        <v>5091</v>
      </c>
      <c r="G5119" s="14" t="s">
        <v>11238</v>
      </c>
      <c r="H5119" s="1" t="s">
        <v>5</v>
      </c>
      <c r="I5119" s="17">
        <v>42370</v>
      </c>
    </row>
    <row r="5120" spans="1:9">
      <c r="A5120" s="16" t="s">
        <v>11245</v>
      </c>
      <c r="B5120" s="1" t="s">
        <v>2628</v>
      </c>
      <c r="C5120" s="1">
        <v>321</v>
      </c>
      <c r="D5120" s="1" t="s">
        <v>52</v>
      </c>
      <c r="E5120" s="1" t="s">
        <v>6</v>
      </c>
      <c r="F5120" s="1" t="s">
        <v>5091</v>
      </c>
      <c r="G5120" s="14" t="s">
        <v>9377</v>
      </c>
      <c r="H5120" s="1" t="s">
        <v>5</v>
      </c>
      <c r="I5120" s="17">
        <v>37782</v>
      </c>
    </row>
    <row r="5121" spans="1:10">
      <c r="A5121" s="16" t="s">
        <v>11246</v>
      </c>
      <c r="B5121" s="1" t="s">
        <v>2628</v>
      </c>
      <c r="C5121" s="1">
        <v>321</v>
      </c>
      <c r="D5121" s="1" t="s">
        <v>52</v>
      </c>
      <c r="E5121" s="1" t="s">
        <v>6</v>
      </c>
      <c r="F5121" s="1" t="s">
        <v>5091</v>
      </c>
      <c r="G5121" s="14" t="s">
        <v>7619</v>
      </c>
      <c r="H5121" s="1" t="s">
        <v>43</v>
      </c>
      <c r="I5121" s="17">
        <v>37783</v>
      </c>
      <c r="J5121" s="11"/>
    </row>
    <row r="5122" spans="1:10">
      <c r="A5122" s="16" t="s">
        <v>11252</v>
      </c>
      <c r="B5122" s="1" t="s">
        <v>2628</v>
      </c>
      <c r="C5122" s="1">
        <v>321</v>
      </c>
      <c r="D5122" s="1" t="s">
        <v>52</v>
      </c>
      <c r="E5122" s="1" t="s">
        <v>6</v>
      </c>
      <c r="F5122" s="1" t="s">
        <v>5091</v>
      </c>
      <c r="G5122" s="14" t="s">
        <v>7619</v>
      </c>
      <c r="H5122" s="1" t="s">
        <v>43</v>
      </c>
      <c r="I5122" s="17">
        <v>37783</v>
      </c>
    </row>
    <row r="5123" spans="1:10">
      <c r="A5123" s="16" t="s">
        <v>11253</v>
      </c>
      <c r="B5123" s="1" t="s">
        <v>2628</v>
      </c>
      <c r="C5123" s="1">
        <v>321</v>
      </c>
      <c r="D5123" s="1" t="s">
        <v>52</v>
      </c>
      <c r="E5123" s="1" t="s">
        <v>6</v>
      </c>
      <c r="F5123" s="1" t="s">
        <v>5091</v>
      </c>
      <c r="G5123" s="14" t="s">
        <v>7619</v>
      </c>
      <c r="H5123" s="1" t="s">
        <v>43</v>
      </c>
      <c r="I5123" s="17">
        <v>37783</v>
      </c>
    </row>
    <row r="5124" spans="1:10">
      <c r="A5124" s="16" t="s">
        <v>11259</v>
      </c>
      <c r="B5124" s="1" t="s">
        <v>2628</v>
      </c>
      <c r="C5124" s="1">
        <v>1696</v>
      </c>
      <c r="D5124" s="1" t="s">
        <v>52</v>
      </c>
      <c r="E5124" s="1" t="s">
        <v>6</v>
      </c>
      <c r="F5124" s="1" t="s">
        <v>5091</v>
      </c>
      <c r="G5124" s="14" t="s">
        <v>11260</v>
      </c>
      <c r="H5124" s="1" t="s">
        <v>5</v>
      </c>
      <c r="I5124" s="17">
        <v>42370</v>
      </c>
    </row>
    <row r="5125" spans="1:10">
      <c r="A5125" s="16" t="s">
        <v>11261</v>
      </c>
      <c r="B5125" s="1" t="s">
        <v>2628</v>
      </c>
      <c r="C5125" s="1">
        <v>321</v>
      </c>
      <c r="D5125" s="1" t="s">
        <v>52</v>
      </c>
      <c r="E5125" s="1" t="s">
        <v>6</v>
      </c>
      <c r="F5125" s="1" t="s">
        <v>5091</v>
      </c>
      <c r="G5125" s="14" t="s">
        <v>6238</v>
      </c>
      <c r="H5125" s="1" t="s">
        <v>43</v>
      </c>
      <c r="I5125" s="17">
        <v>42370</v>
      </c>
    </row>
    <row r="5126" spans="1:10">
      <c r="A5126" s="16" t="s">
        <v>11262</v>
      </c>
      <c r="B5126" s="1" t="s">
        <v>2628</v>
      </c>
      <c r="C5126" s="1">
        <v>1696</v>
      </c>
      <c r="D5126" s="1" t="s">
        <v>52</v>
      </c>
      <c r="E5126" s="1" t="s">
        <v>6</v>
      </c>
      <c r="F5126" s="1" t="s">
        <v>5091</v>
      </c>
      <c r="G5126" s="14" t="s">
        <v>6238</v>
      </c>
      <c r="H5126" s="1" t="s">
        <v>43</v>
      </c>
      <c r="I5126" s="17">
        <v>42370</v>
      </c>
    </row>
    <row r="5127" spans="1:10">
      <c r="A5127" s="16" t="s">
        <v>11263</v>
      </c>
      <c r="B5127" s="1" t="s">
        <v>2628</v>
      </c>
      <c r="C5127" s="1">
        <v>321</v>
      </c>
      <c r="D5127" s="1" t="s">
        <v>52</v>
      </c>
      <c r="E5127" s="1" t="s">
        <v>6</v>
      </c>
      <c r="F5127" s="1" t="s">
        <v>5091</v>
      </c>
      <c r="G5127" s="14" t="s">
        <v>6238</v>
      </c>
      <c r="H5127" s="1" t="s">
        <v>43</v>
      </c>
      <c r="I5127" s="17">
        <v>42370</v>
      </c>
    </row>
    <row r="5128" spans="1:10">
      <c r="A5128" s="16" t="s">
        <v>11264</v>
      </c>
      <c r="B5128" s="1" t="s">
        <v>2628</v>
      </c>
      <c r="C5128" s="1">
        <v>1696</v>
      </c>
      <c r="D5128" s="1" t="s">
        <v>52</v>
      </c>
      <c r="E5128" s="1" t="s">
        <v>6</v>
      </c>
      <c r="F5128" s="1" t="s">
        <v>5091</v>
      </c>
      <c r="G5128" s="14" t="s">
        <v>6238</v>
      </c>
      <c r="H5128" s="1" t="s">
        <v>43</v>
      </c>
      <c r="I5128" s="17">
        <v>42370</v>
      </c>
    </row>
    <row r="5129" spans="1:10">
      <c r="A5129" s="16" t="s">
        <v>11265</v>
      </c>
      <c r="B5129" s="1" t="s">
        <v>2628</v>
      </c>
      <c r="C5129" s="1">
        <v>321</v>
      </c>
      <c r="D5129" s="1" t="s">
        <v>52</v>
      </c>
      <c r="E5129" s="1" t="s">
        <v>6</v>
      </c>
      <c r="F5129" s="1" t="s">
        <v>5091</v>
      </c>
      <c r="G5129" s="14" t="s">
        <v>6238</v>
      </c>
      <c r="H5129" s="1" t="s">
        <v>43</v>
      </c>
      <c r="I5129" s="17">
        <v>42370</v>
      </c>
    </row>
    <row r="5130" spans="1:10">
      <c r="A5130" s="16" t="s">
        <v>11266</v>
      </c>
      <c r="B5130" s="1" t="s">
        <v>2628</v>
      </c>
      <c r="C5130" s="1">
        <v>321</v>
      </c>
      <c r="D5130" s="1" t="s">
        <v>52</v>
      </c>
      <c r="E5130" s="1" t="s">
        <v>6</v>
      </c>
      <c r="F5130" s="1" t="s">
        <v>5091</v>
      </c>
      <c r="G5130" s="14" t="s">
        <v>6238</v>
      </c>
      <c r="H5130" s="1" t="s">
        <v>43</v>
      </c>
      <c r="I5130" s="17">
        <v>42370</v>
      </c>
    </row>
    <row r="5131" spans="1:10">
      <c r="A5131" s="16" t="s">
        <v>11268</v>
      </c>
      <c r="B5131" s="1" t="s">
        <v>2628</v>
      </c>
      <c r="C5131" s="1">
        <v>321</v>
      </c>
      <c r="D5131" s="1" t="s">
        <v>52</v>
      </c>
      <c r="E5131" s="1" t="s">
        <v>6</v>
      </c>
      <c r="F5131" s="1" t="s">
        <v>5091</v>
      </c>
      <c r="G5131" s="14" t="s">
        <v>11269</v>
      </c>
      <c r="H5131" s="1" t="s">
        <v>5</v>
      </c>
      <c r="I5131" s="17">
        <v>38589</v>
      </c>
    </row>
    <row r="5132" spans="1:10">
      <c r="A5132" s="16" t="s">
        <v>11270</v>
      </c>
      <c r="B5132" s="1" t="s">
        <v>2628</v>
      </c>
      <c r="C5132" s="1">
        <v>321</v>
      </c>
      <c r="D5132" s="1" t="s">
        <v>52</v>
      </c>
      <c r="E5132" s="1" t="s">
        <v>6</v>
      </c>
      <c r="F5132" s="1" t="s">
        <v>5091</v>
      </c>
      <c r="G5132" s="14" t="s">
        <v>11271</v>
      </c>
      <c r="H5132" s="1" t="s">
        <v>5</v>
      </c>
      <c r="I5132" s="17">
        <v>38595</v>
      </c>
    </row>
    <row r="5133" spans="1:10">
      <c r="A5133" s="16" t="s">
        <v>11272</v>
      </c>
      <c r="B5133" s="1" t="s">
        <v>2628</v>
      </c>
      <c r="C5133" s="1">
        <v>321</v>
      </c>
      <c r="D5133" s="1" t="s">
        <v>52</v>
      </c>
      <c r="E5133" s="1" t="s">
        <v>6</v>
      </c>
      <c r="F5133" s="1" t="s">
        <v>5091</v>
      </c>
      <c r="G5133" s="14" t="s">
        <v>11273</v>
      </c>
      <c r="H5133" s="1" t="s">
        <v>5</v>
      </c>
      <c r="I5133" s="17">
        <v>38856</v>
      </c>
    </row>
    <row r="5134" spans="1:10">
      <c r="A5134" s="16" t="s">
        <v>11286</v>
      </c>
      <c r="B5134" s="1" t="s">
        <v>2628</v>
      </c>
      <c r="C5134" s="1">
        <v>321</v>
      </c>
      <c r="D5134" s="1" t="s">
        <v>52</v>
      </c>
      <c r="E5134" s="1" t="s">
        <v>6</v>
      </c>
      <c r="F5134" s="1" t="s">
        <v>5091</v>
      </c>
      <c r="G5134" s="14" t="s">
        <v>6307</v>
      </c>
      <c r="H5134" s="1" t="s">
        <v>44</v>
      </c>
      <c r="I5134" s="17">
        <v>42326</v>
      </c>
    </row>
    <row r="5135" spans="1:10">
      <c r="A5135" s="16" t="s">
        <v>11287</v>
      </c>
      <c r="B5135" s="1" t="s">
        <v>2628</v>
      </c>
      <c r="C5135" s="1">
        <v>321</v>
      </c>
      <c r="D5135" s="1" t="s">
        <v>52</v>
      </c>
      <c r="E5135" s="1" t="s">
        <v>6</v>
      </c>
      <c r="F5135" s="1" t="s">
        <v>5091</v>
      </c>
      <c r="G5135" s="14" t="s">
        <v>9558</v>
      </c>
      <c r="H5135" s="1" t="s">
        <v>5</v>
      </c>
      <c r="I5135" s="17">
        <v>39688</v>
      </c>
    </row>
    <row r="5136" spans="1:10">
      <c r="A5136" s="16" t="s">
        <v>11315</v>
      </c>
      <c r="B5136" s="1" t="s">
        <v>2628</v>
      </c>
      <c r="C5136" s="1">
        <v>321</v>
      </c>
      <c r="D5136" s="1" t="s">
        <v>52</v>
      </c>
      <c r="E5136" s="1" t="s">
        <v>6</v>
      </c>
      <c r="F5136" s="1" t="s">
        <v>5091</v>
      </c>
      <c r="G5136" s="14" t="s">
        <v>11316</v>
      </c>
      <c r="H5136" s="1" t="s">
        <v>5</v>
      </c>
      <c r="I5136" s="17">
        <v>38435</v>
      </c>
    </row>
    <row r="5137" spans="1:9">
      <c r="A5137" s="16" t="s">
        <v>11343</v>
      </c>
      <c r="B5137" s="1" t="s">
        <v>2628</v>
      </c>
      <c r="C5137" s="1">
        <v>321</v>
      </c>
      <c r="D5137" s="1" t="s">
        <v>52</v>
      </c>
      <c r="E5137" s="1" t="s">
        <v>6</v>
      </c>
      <c r="F5137" s="1" t="s">
        <v>5091</v>
      </c>
      <c r="G5137" s="14" t="s">
        <v>6238</v>
      </c>
      <c r="H5137" s="1" t="s">
        <v>43</v>
      </c>
      <c r="I5137" s="17">
        <v>42370</v>
      </c>
    </row>
    <row r="5138" spans="1:9">
      <c r="A5138" s="16" t="s">
        <v>11344</v>
      </c>
      <c r="B5138" s="1" t="s">
        <v>2628</v>
      </c>
      <c r="C5138" s="1">
        <v>321</v>
      </c>
      <c r="D5138" s="1" t="s">
        <v>52</v>
      </c>
      <c r="E5138" s="1" t="s">
        <v>6</v>
      </c>
      <c r="F5138" s="1" t="s">
        <v>5091</v>
      </c>
      <c r="G5138" s="14" t="s">
        <v>6186</v>
      </c>
      <c r="H5138" s="1" t="s">
        <v>5</v>
      </c>
      <c r="I5138" s="17">
        <v>42370</v>
      </c>
    </row>
    <row r="5139" spans="1:9">
      <c r="A5139" s="16" t="s">
        <v>11346</v>
      </c>
      <c r="B5139" s="1" t="s">
        <v>2628</v>
      </c>
      <c r="C5139" s="1">
        <v>321</v>
      </c>
      <c r="D5139" s="1" t="s">
        <v>52</v>
      </c>
      <c r="E5139" s="1" t="s">
        <v>6</v>
      </c>
      <c r="F5139" s="1" t="s">
        <v>5091</v>
      </c>
      <c r="G5139" s="14" t="s">
        <v>6909</v>
      </c>
      <c r="H5139" s="1" t="s">
        <v>43</v>
      </c>
      <c r="I5139" s="17">
        <v>42370</v>
      </c>
    </row>
    <row r="5140" spans="1:9">
      <c r="A5140" s="16" t="s">
        <v>11348</v>
      </c>
      <c r="B5140" s="1" t="s">
        <v>2628</v>
      </c>
      <c r="C5140" s="1">
        <v>321</v>
      </c>
      <c r="D5140" s="1" t="s">
        <v>52</v>
      </c>
      <c r="E5140" s="1" t="s">
        <v>6</v>
      </c>
      <c r="F5140" s="1" t="s">
        <v>5091</v>
      </c>
      <c r="G5140" s="14" t="s">
        <v>6236</v>
      </c>
      <c r="H5140" s="1" t="s">
        <v>43</v>
      </c>
      <c r="I5140" s="17">
        <v>42370</v>
      </c>
    </row>
    <row r="5141" spans="1:9">
      <c r="A5141" s="16" t="s">
        <v>11349</v>
      </c>
      <c r="B5141" s="1" t="s">
        <v>2628</v>
      </c>
      <c r="C5141" s="1">
        <v>321</v>
      </c>
      <c r="D5141" s="1" t="s">
        <v>52</v>
      </c>
      <c r="E5141" s="1" t="s">
        <v>6</v>
      </c>
      <c r="F5141" s="1" t="s">
        <v>5091</v>
      </c>
      <c r="G5141" s="14" t="s">
        <v>6909</v>
      </c>
      <c r="H5141" s="1" t="s">
        <v>43</v>
      </c>
      <c r="I5141" s="17">
        <v>42370</v>
      </c>
    </row>
    <row r="5142" spans="1:9">
      <c r="A5142" s="16" t="s">
        <v>11372</v>
      </c>
      <c r="B5142" s="1" t="s">
        <v>2628</v>
      </c>
      <c r="C5142" s="1">
        <v>321</v>
      </c>
      <c r="D5142" s="1" t="s">
        <v>52</v>
      </c>
      <c r="E5142" s="1" t="s">
        <v>6</v>
      </c>
      <c r="F5142" s="1" t="s">
        <v>5091</v>
      </c>
      <c r="G5142" s="14" t="s">
        <v>6145</v>
      </c>
      <c r="H5142" s="1" t="s">
        <v>43</v>
      </c>
      <c r="I5142" s="17">
        <v>42542</v>
      </c>
    </row>
    <row r="5143" spans="1:9">
      <c r="A5143" s="16" t="s">
        <v>11373</v>
      </c>
      <c r="B5143" s="1" t="s">
        <v>2628</v>
      </c>
      <c r="C5143" s="1">
        <v>321</v>
      </c>
      <c r="D5143" s="1" t="s">
        <v>52</v>
      </c>
      <c r="E5143" s="1" t="s">
        <v>6</v>
      </c>
      <c r="F5143" s="1" t="s">
        <v>5091</v>
      </c>
      <c r="G5143" s="14" t="s">
        <v>6145</v>
      </c>
      <c r="H5143" s="1" t="s">
        <v>43</v>
      </c>
      <c r="I5143" s="17">
        <v>42542</v>
      </c>
    </row>
    <row r="5144" spans="1:9">
      <c r="A5144" s="16" t="s">
        <v>11374</v>
      </c>
      <c r="B5144" s="1" t="s">
        <v>2628</v>
      </c>
      <c r="C5144" s="1">
        <v>321</v>
      </c>
      <c r="D5144" s="1" t="s">
        <v>52</v>
      </c>
      <c r="E5144" s="1" t="s">
        <v>6</v>
      </c>
      <c r="F5144" s="1" t="s">
        <v>36</v>
      </c>
      <c r="G5144" s="14" t="s">
        <v>11375</v>
      </c>
      <c r="H5144" s="1" t="s">
        <v>5</v>
      </c>
      <c r="I5144" s="17">
        <v>42541</v>
      </c>
    </row>
    <row r="5145" spans="1:9">
      <c r="A5145" s="16" t="s">
        <v>11376</v>
      </c>
      <c r="B5145" s="1" t="s">
        <v>2628</v>
      </c>
      <c r="C5145" s="1">
        <v>321</v>
      </c>
      <c r="D5145" s="1" t="s">
        <v>52</v>
      </c>
      <c r="E5145" s="1" t="s">
        <v>6</v>
      </c>
      <c r="F5145" s="1" t="s">
        <v>5091</v>
      </c>
      <c r="G5145" s="14" t="s">
        <v>11377</v>
      </c>
      <c r="H5145" s="1" t="s">
        <v>5</v>
      </c>
      <c r="I5145" s="17">
        <v>40888</v>
      </c>
    </row>
    <row r="5146" spans="1:9">
      <c r="A5146" s="16" t="s">
        <v>11384</v>
      </c>
      <c r="B5146" s="1" t="s">
        <v>2628</v>
      </c>
      <c r="C5146" s="1">
        <v>321</v>
      </c>
      <c r="D5146" s="1" t="s">
        <v>52</v>
      </c>
      <c r="E5146" s="1" t="s">
        <v>6</v>
      </c>
      <c r="F5146" s="1" t="s">
        <v>5091</v>
      </c>
      <c r="G5146" s="14" t="s">
        <v>10599</v>
      </c>
      <c r="H5146" s="1" t="s">
        <v>44</v>
      </c>
      <c r="I5146" s="17">
        <v>40827</v>
      </c>
    </row>
    <row r="5147" spans="1:9">
      <c r="A5147" s="16" t="s">
        <v>11385</v>
      </c>
      <c r="B5147" s="1" t="s">
        <v>2628</v>
      </c>
      <c r="C5147" s="1">
        <v>321</v>
      </c>
      <c r="D5147" s="1" t="s">
        <v>52</v>
      </c>
      <c r="E5147" s="1" t="s">
        <v>6</v>
      </c>
      <c r="F5147" s="1" t="s">
        <v>5091</v>
      </c>
      <c r="G5147" s="14" t="s">
        <v>11386</v>
      </c>
      <c r="H5147" s="1" t="s">
        <v>5</v>
      </c>
      <c r="I5147" s="17">
        <v>38935</v>
      </c>
    </row>
    <row r="5148" spans="1:9">
      <c r="A5148" s="16" t="s">
        <v>11389</v>
      </c>
      <c r="B5148" s="1" t="s">
        <v>2628</v>
      </c>
      <c r="C5148" s="1">
        <v>321</v>
      </c>
      <c r="D5148" s="1" t="s">
        <v>52</v>
      </c>
      <c r="E5148" s="1" t="s">
        <v>6</v>
      </c>
      <c r="F5148" s="1" t="s">
        <v>5091</v>
      </c>
      <c r="G5148" s="14" t="s">
        <v>6145</v>
      </c>
      <c r="H5148" s="1" t="s">
        <v>43</v>
      </c>
      <c r="I5148" s="17">
        <v>42542</v>
      </c>
    </row>
    <row r="5149" spans="1:9">
      <c r="A5149" s="16" t="s">
        <v>11390</v>
      </c>
      <c r="B5149" s="1" t="s">
        <v>2628</v>
      </c>
      <c r="C5149" s="1">
        <v>321</v>
      </c>
      <c r="D5149" s="1" t="s">
        <v>52</v>
      </c>
      <c r="E5149" s="1" t="s">
        <v>6</v>
      </c>
      <c r="F5149" s="1" t="s">
        <v>5091</v>
      </c>
      <c r="G5149" s="14" t="s">
        <v>6145</v>
      </c>
      <c r="H5149" s="1" t="s">
        <v>43</v>
      </c>
      <c r="I5149" s="17">
        <v>42542</v>
      </c>
    </row>
    <row r="5150" spans="1:9">
      <c r="A5150" s="16" t="s">
        <v>11391</v>
      </c>
      <c r="B5150" s="1" t="s">
        <v>2628</v>
      </c>
      <c r="C5150" s="1">
        <v>321</v>
      </c>
      <c r="D5150" s="1" t="s">
        <v>52</v>
      </c>
      <c r="E5150" s="1" t="s">
        <v>6</v>
      </c>
      <c r="F5150" s="1" t="s">
        <v>5091</v>
      </c>
      <c r="G5150" s="14" t="s">
        <v>6145</v>
      </c>
      <c r="H5150" s="1" t="s">
        <v>43</v>
      </c>
      <c r="I5150" s="17">
        <v>42542</v>
      </c>
    </row>
    <row r="5151" spans="1:9">
      <c r="A5151" s="16" t="s">
        <v>11392</v>
      </c>
      <c r="B5151" s="1" t="s">
        <v>2628</v>
      </c>
      <c r="C5151" s="1">
        <v>321</v>
      </c>
      <c r="D5151" s="1" t="s">
        <v>52</v>
      </c>
      <c r="E5151" s="1" t="s">
        <v>6</v>
      </c>
      <c r="F5151" s="1" t="s">
        <v>5091</v>
      </c>
      <c r="G5151" s="14" t="s">
        <v>6145</v>
      </c>
      <c r="H5151" s="1" t="s">
        <v>43</v>
      </c>
      <c r="I5151" s="17">
        <v>42542</v>
      </c>
    </row>
    <row r="5152" spans="1:9">
      <c r="A5152" s="16" t="s">
        <v>11393</v>
      </c>
      <c r="B5152" s="1" t="s">
        <v>2628</v>
      </c>
      <c r="C5152" s="1">
        <v>321</v>
      </c>
      <c r="D5152" s="1" t="s">
        <v>52</v>
      </c>
      <c r="E5152" s="1" t="s">
        <v>6</v>
      </c>
      <c r="F5152" s="1" t="s">
        <v>5091</v>
      </c>
      <c r="G5152" s="14" t="s">
        <v>6145</v>
      </c>
      <c r="H5152" s="1" t="s">
        <v>43</v>
      </c>
      <c r="I5152" s="17">
        <v>42542</v>
      </c>
    </row>
    <row r="5153" spans="1:9">
      <c r="A5153" s="16" t="s">
        <v>11394</v>
      </c>
      <c r="B5153" s="1" t="s">
        <v>2628</v>
      </c>
      <c r="C5153" s="1">
        <v>321</v>
      </c>
      <c r="D5153" s="1" t="s">
        <v>52</v>
      </c>
      <c r="E5153" s="1" t="s">
        <v>6</v>
      </c>
      <c r="F5153" s="1" t="s">
        <v>5091</v>
      </c>
      <c r="G5153" s="14" t="s">
        <v>6145</v>
      </c>
      <c r="H5153" s="1" t="s">
        <v>43</v>
      </c>
      <c r="I5153" s="17">
        <v>42542</v>
      </c>
    </row>
    <row r="5154" spans="1:9">
      <c r="A5154" s="16" t="s">
        <v>11395</v>
      </c>
      <c r="B5154" s="1" t="s">
        <v>2628</v>
      </c>
      <c r="C5154" s="1">
        <v>321</v>
      </c>
      <c r="D5154" s="1" t="s">
        <v>52</v>
      </c>
      <c r="E5154" s="1" t="s">
        <v>6</v>
      </c>
      <c r="F5154" s="1" t="s">
        <v>5091</v>
      </c>
      <c r="G5154" s="14" t="s">
        <v>6145</v>
      </c>
      <c r="H5154" s="1" t="s">
        <v>43</v>
      </c>
      <c r="I5154" s="17">
        <v>42542</v>
      </c>
    </row>
    <row r="5155" spans="1:9">
      <c r="A5155" s="16" t="s">
        <v>11399</v>
      </c>
      <c r="B5155" s="1" t="s">
        <v>2628</v>
      </c>
      <c r="C5155" s="1">
        <v>321</v>
      </c>
      <c r="D5155" s="1" t="s">
        <v>52</v>
      </c>
      <c r="E5155" s="1" t="s">
        <v>6</v>
      </c>
      <c r="F5155" s="1" t="s">
        <v>5091</v>
      </c>
      <c r="G5155" s="14" t="s">
        <v>9198</v>
      </c>
      <c r="H5155" s="1" t="s">
        <v>5</v>
      </c>
      <c r="I5155" s="17">
        <v>42370</v>
      </c>
    </row>
    <row r="5156" spans="1:9">
      <c r="A5156" s="16" t="s">
        <v>11401</v>
      </c>
      <c r="B5156" s="1" t="s">
        <v>2628</v>
      </c>
      <c r="C5156" s="1">
        <v>321</v>
      </c>
      <c r="D5156" s="1" t="s">
        <v>52</v>
      </c>
      <c r="E5156" s="1" t="s">
        <v>6</v>
      </c>
      <c r="F5156" s="1" t="s">
        <v>5091</v>
      </c>
      <c r="G5156" s="14" t="s">
        <v>6238</v>
      </c>
      <c r="H5156" s="1" t="s">
        <v>43</v>
      </c>
      <c r="I5156" s="17">
        <v>42370</v>
      </c>
    </row>
    <row r="5157" spans="1:9">
      <c r="A5157" s="16" t="s">
        <v>11403</v>
      </c>
      <c r="B5157" s="1" t="s">
        <v>2628</v>
      </c>
      <c r="C5157" s="1">
        <v>321</v>
      </c>
      <c r="D5157" s="1" t="s">
        <v>52</v>
      </c>
      <c r="E5157" s="1" t="s">
        <v>6</v>
      </c>
      <c r="F5157" s="1" t="s">
        <v>5091</v>
      </c>
      <c r="G5157" s="14" t="s">
        <v>11404</v>
      </c>
      <c r="H5157" s="1" t="s">
        <v>5</v>
      </c>
      <c r="I5157" s="17">
        <v>38405</v>
      </c>
    </row>
    <row r="5158" spans="1:9">
      <c r="A5158" s="16" t="s">
        <v>11405</v>
      </c>
      <c r="B5158" s="1" t="s">
        <v>2628</v>
      </c>
      <c r="C5158" s="1">
        <v>321</v>
      </c>
      <c r="D5158" s="1" t="s">
        <v>52</v>
      </c>
      <c r="E5158" s="1" t="s">
        <v>6</v>
      </c>
      <c r="F5158" s="1" t="s">
        <v>5091</v>
      </c>
      <c r="G5158" s="14" t="s">
        <v>11316</v>
      </c>
      <c r="H5158" s="1" t="s">
        <v>5</v>
      </c>
      <c r="I5158" s="17">
        <v>38435</v>
      </c>
    </row>
    <row r="5159" spans="1:9">
      <c r="A5159" s="16" t="s">
        <v>11406</v>
      </c>
      <c r="B5159" s="1" t="s">
        <v>2628</v>
      </c>
      <c r="C5159" s="1">
        <v>321</v>
      </c>
      <c r="D5159" s="1" t="s">
        <v>52</v>
      </c>
      <c r="E5159" s="1" t="s">
        <v>6</v>
      </c>
      <c r="F5159" s="1" t="s">
        <v>5091</v>
      </c>
      <c r="G5159" s="14" t="s">
        <v>11316</v>
      </c>
      <c r="H5159" s="1" t="s">
        <v>5</v>
      </c>
      <c r="I5159" s="17">
        <v>38435</v>
      </c>
    </row>
    <row r="5160" spans="1:9">
      <c r="A5160" s="16" t="s">
        <v>11411</v>
      </c>
      <c r="B5160" s="1" t="s">
        <v>2628</v>
      </c>
      <c r="C5160" s="1">
        <v>321</v>
      </c>
      <c r="D5160" s="1" t="s">
        <v>52</v>
      </c>
      <c r="E5160" s="1" t="s">
        <v>6</v>
      </c>
      <c r="F5160" s="1" t="s">
        <v>5091</v>
      </c>
      <c r="G5160" s="14" t="s">
        <v>6145</v>
      </c>
      <c r="H5160" s="1" t="s">
        <v>43</v>
      </c>
      <c r="I5160" s="17">
        <v>42569</v>
      </c>
    </row>
    <row r="5161" spans="1:9">
      <c r="A5161" s="16" t="s">
        <v>11413</v>
      </c>
      <c r="B5161" s="1" t="s">
        <v>2628</v>
      </c>
      <c r="C5161" s="1">
        <v>321</v>
      </c>
      <c r="D5161" s="1" t="s">
        <v>52</v>
      </c>
      <c r="E5161" s="1" t="s">
        <v>6</v>
      </c>
      <c r="F5161" s="1" t="s">
        <v>5091</v>
      </c>
      <c r="G5161" s="14" t="s">
        <v>6145</v>
      </c>
      <c r="H5161" s="1" t="s">
        <v>43</v>
      </c>
      <c r="I5161" s="17">
        <v>42569</v>
      </c>
    </row>
    <row r="5162" spans="1:9">
      <c r="A5162" s="16" t="s">
        <v>11417</v>
      </c>
      <c r="B5162" s="1" t="s">
        <v>2628</v>
      </c>
      <c r="C5162" s="1">
        <v>321</v>
      </c>
      <c r="D5162" s="1" t="s">
        <v>52</v>
      </c>
      <c r="E5162" s="1" t="s">
        <v>6</v>
      </c>
      <c r="F5162" s="1" t="s">
        <v>5091</v>
      </c>
      <c r="G5162" s="14" t="s">
        <v>10522</v>
      </c>
      <c r="H5162" s="1" t="s">
        <v>5</v>
      </c>
      <c r="I5162" s="17">
        <v>38245</v>
      </c>
    </row>
    <row r="5163" spans="1:9">
      <c r="A5163" s="16" t="s">
        <v>11418</v>
      </c>
      <c r="B5163" s="1" t="s">
        <v>2628</v>
      </c>
      <c r="C5163" s="1">
        <v>321</v>
      </c>
      <c r="D5163" s="1" t="s">
        <v>52</v>
      </c>
      <c r="E5163" s="1" t="s">
        <v>6</v>
      </c>
      <c r="F5163" s="1" t="s">
        <v>5091</v>
      </c>
      <c r="G5163" s="14" t="s">
        <v>11419</v>
      </c>
      <c r="H5163" s="1" t="s">
        <v>5</v>
      </c>
      <c r="I5163" s="17">
        <v>38245</v>
      </c>
    </row>
    <row r="5164" spans="1:9">
      <c r="A5164" s="16" t="s">
        <v>11420</v>
      </c>
      <c r="B5164" s="1" t="s">
        <v>2628</v>
      </c>
      <c r="C5164" s="1">
        <v>321</v>
      </c>
      <c r="D5164" s="1" t="s">
        <v>52</v>
      </c>
      <c r="E5164" s="1" t="s">
        <v>6</v>
      </c>
      <c r="F5164" s="1" t="s">
        <v>5091</v>
      </c>
      <c r="G5164" s="14" t="s">
        <v>9561</v>
      </c>
      <c r="H5164" s="1" t="s">
        <v>5</v>
      </c>
      <c r="I5164" s="17">
        <v>38243</v>
      </c>
    </row>
    <row r="5165" spans="1:9">
      <c r="A5165" s="16" t="s">
        <v>11421</v>
      </c>
      <c r="B5165" s="1" t="s">
        <v>2628</v>
      </c>
      <c r="C5165" s="1">
        <v>321</v>
      </c>
      <c r="D5165" s="1" t="s">
        <v>52</v>
      </c>
      <c r="E5165" s="1" t="s">
        <v>6</v>
      </c>
      <c r="F5165" s="1" t="s">
        <v>5091</v>
      </c>
      <c r="G5165" s="14" t="s">
        <v>10522</v>
      </c>
      <c r="H5165" s="1" t="s">
        <v>5</v>
      </c>
      <c r="I5165" s="17">
        <v>38243</v>
      </c>
    </row>
    <row r="5166" spans="1:9">
      <c r="A5166" s="16" t="s">
        <v>11422</v>
      </c>
      <c r="B5166" s="1" t="s">
        <v>2628</v>
      </c>
      <c r="C5166" s="1">
        <v>321</v>
      </c>
      <c r="D5166" s="1" t="s">
        <v>52</v>
      </c>
      <c r="E5166" s="1" t="s">
        <v>6</v>
      </c>
      <c r="F5166" s="1" t="s">
        <v>5091</v>
      </c>
      <c r="G5166" s="14" t="s">
        <v>9561</v>
      </c>
      <c r="H5166" s="1" t="s">
        <v>5</v>
      </c>
      <c r="I5166" s="17">
        <v>38243</v>
      </c>
    </row>
    <row r="5167" spans="1:9">
      <c r="A5167" s="16" t="s">
        <v>11423</v>
      </c>
      <c r="B5167" s="1" t="s">
        <v>2628</v>
      </c>
      <c r="C5167" s="1">
        <v>321</v>
      </c>
      <c r="D5167" s="1" t="s">
        <v>52</v>
      </c>
      <c r="E5167" s="1" t="s">
        <v>6</v>
      </c>
      <c r="F5167" s="1" t="s">
        <v>5091</v>
      </c>
      <c r="G5167" s="14" t="s">
        <v>9561</v>
      </c>
      <c r="H5167" s="1" t="s">
        <v>5</v>
      </c>
      <c r="I5167" s="17">
        <v>38251</v>
      </c>
    </row>
    <row r="5168" spans="1:9">
      <c r="A5168" s="16" t="s">
        <v>11424</v>
      </c>
      <c r="B5168" s="1" t="s">
        <v>2628</v>
      </c>
      <c r="C5168" s="1">
        <v>321</v>
      </c>
      <c r="D5168" s="1" t="s">
        <v>52</v>
      </c>
      <c r="E5168" s="1" t="s">
        <v>6</v>
      </c>
      <c r="F5168" s="1" t="s">
        <v>5091</v>
      </c>
      <c r="G5168" s="14" t="s">
        <v>9561</v>
      </c>
      <c r="H5168" s="1" t="s">
        <v>5</v>
      </c>
      <c r="I5168" s="17">
        <v>38251</v>
      </c>
    </row>
    <row r="5169" spans="1:9">
      <c r="A5169" s="16" t="s">
        <v>11425</v>
      </c>
      <c r="B5169" s="1" t="s">
        <v>2628</v>
      </c>
      <c r="C5169" s="1">
        <v>321</v>
      </c>
      <c r="D5169" s="1" t="s">
        <v>52</v>
      </c>
      <c r="E5169" s="1" t="s">
        <v>6</v>
      </c>
      <c r="F5169" s="1" t="s">
        <v>5091</v>
      </c>
      <c r="G5169" s="14" t="s">
        <v>9561</v>
      </c>
      <c r="H5169" s="1" t="s">
        <v>5</v>
      </c>
      <c r="I5169" s="17">
        <v>38251</v>
      </c>
    </row>
    <row r="5170" spans="1:9">
      <c r="A5170" s="16" t="s">
        <v>11427</v>
      </c>
      <c r="B5170" s="1" t="s">
        <v>2628</v>
      </c>
      <c r="C5170" s="1">
        <v>321</v>
      </c>
      <c r="D5170" s="1" t="s">
        <v>52</v>
      </c>
      <c r="E5170" s="1" t="s">
        <v>6</v>
      </c>
      <c r="F5170" s="1" t="s">
        <v>5091</v>
      </c>
      <c r="G5170" s="14" t="s">
        <v>9561</v>
      </c>
      <c r="H5170" s="1" t="s">
        <v>5</v>
      </c>
      <c r="I5170" s="17">
        <v>38243</v>
      </c>
    </row>
    <row r="5171" spans="1:9">
      <c r="A5171" s="16" t="s">
        <v>11433</v>
      </c>
      <c r="B5171" s="1" t="s">
        <v>2628</v>
      </c>
      <c r="C5171" s="1">
        <v>321</v>
      </c>
      <c r="D5171" s="1" t="s">
        <v>52</v>
      </c>
      <c r="E5171" s="1" t="s">
        <v>6</v>
      </c>
      <c r="F5171" s="1" t="s">
        <v>5091</v>
      </c>
      <c r="G5171" s="14" t="s">
        <v>6145</v>
      </c>
      <c r="H5171" s="1" t="s">
        <v>43</v>
      </c>
      <c r="I5171" s="17">
        <v>42556</v>
      </c>
    </row>
    <row r="5172" spans="1:9">
      <c r="A5172" s="16" t="s">
        <v>11572</v>
      </c>
      <c r="B5172" s="1" t="s">
        <v>2628</v>
      </c>
      <c r="C5172" s="1">
        <v>321</v>
      </c>
      <c r="D5172" s="1" t="s">
        <v>52</v>
      </c>
      <c r="E5172" s="1" t="s">
        <v>6</v>
      </c>
      <c r="F5172" s="1" t="s">
        <v>5091</v>
      </c>
      <c r="G5172" s="14" t="s">
        <v>10574</v>
      </c>
      <c r="H5172" s="1" t="s">
        <v>5</v>
      </c>
      <c r="I5172" s="17">
        <v>41674</v>
      </c>
    </row>
    <row r="5173" spans="1:9">
      <c r="A5173" s="16" t="s">
        <v>11577</v>
      </c>
      <c r="B5173" s="1" t="s">
        <v>2628</v>
      </c>
      <c r="C5173" s="1">
        <v>321</v>
      </c>
      <c r="D5173" s="1" t="s">
        <v>52</v>
      </c>
      <c r="E5173" s="1" t="s">
        <v>6</v>
      </c>
      <c r="F5173" s="1" t="s">
        <v>5091</v>
      </c>
      <c r="G5173" s="14" t="s">
        <v>6477</v>
      </c>
      <c r="H5173" s="1" t="s">
        <v>5</v>
      </c>
      <c r="I5173" s="17">
        <v>36951</v>
      </c>
    </row>
    <row r="5174" spans="1:9">
      <c r="A5174" s="16" t="s">
        <v>11587</v>
      </c>
      <c r="B5174" s="1" t="s">
        <v>2628</v>
      </c>
      <c r="C5174" s="1">
        <v>321</v>
      </c>
      <c r="D5174" s="1" t="s">
        <v>52</v>
      </c>
      <c r="E5174" s="1" t="s">
        <v>6</v>
      </c>
      <c r="F5174" s="1" t="s">
        <v>5091</v>
      </c>
      <c r="G5174" s="14" t="s">
        <v>6307</v>
      </c>
      <c r="H5174" s="1" t="s">
        <v>44</v>
      </c>
      <c r="I5174" s="17">
        <v>42591</v>
      </c>
    </row>
    <row r="5175" spans="1:9">
      <c r="A5175" s="16" t="s">
        <v>11588</v>
      </c>
      <c r="B5175" s="1" t="s">
        <v>2628</v>
      </c>
      <c r="C5175" s="1">
        <v>321</v>
      </c>
      <c r="D5175" s="1" t="s">
        <v>52</v>
      </c>
      <c r="E5175" s="1" t="s">
        <v>6</v>
      </c>
      <c r="F5175" s="1" t="s">
        <v>5091</v>
      </c>
      <c r="G5175" s="14" t="s">
        <v>6307</v>
      </c>
      <c r="H5175" s="1" t="s">
        <v>44</v>
      </c>
      <c r="I5175" s="17">
        <v>42591</v>
      </c>
    </row>
    <row r="5176" spans="1:9">
      <c r="A5176" s="16" t="s">
        <v>11589</v>
      </c>
      <c r="B5176" s="1" t="s">
        <v>2628</v>
      </c>
      <c r="C5176" s="1">
        <v>321</v>
      </c>
      <c r="D5176" s="1" t="s">
        <v>52</v>
      </c>
      <c r="E5176" s="1" t="s">
        <v>6</v>
      </c>
      <c r="F5176" s="1" t="s">
        <v>5091</v>
      </c>
      <c r="G5176" s="14" t="s">
        <v>6307</v>
      </c>
      <c r="H5176" s="1" t="s">
        <v>44</v>
      </c>
      <c r="I5176" s="17">
        <v>42591</v>
      </c>
    </row>
    <row r="5177" spans="1:9">
      <c r="A5177" s="16" t="s">
        <v>11593</v>
      </c>
      <c r="B5177" s="1" t="s">
        <v>2628</v>
      </c>
      <c r="C5177" s="1">
        <v>321</v>
      </c>
      <c r="D5177" s="1" t="s">
        <v>52</v>
      </c>
      <c r="E5177" s="1" t="s">
        <v>6</v>
      </c>
      <c r="F5177" s="1" t="s">
        <v>5091</v>
      </c>
      <c r="G5177" s="14" t="s">
        <v>6307</v>
      </c>
      <c r="H5177" s="1" t="s">
        <v>44</v>
      </c>
      <c r="I5177" s="17">
        <v>42591</v>
      </c>
    </row>
    <row r="5178" spans="1:9">
      <c r="A5178" s="16" t="s">
        <v>11594</v>
      </c>
      <c r="B5178" s="1" t="s">
        <v>2628</v>
      </c>
      <c r="C5178" s="1">
        <v>321</v>
      </c>
      <c r="D5178" s="1" t="s">
        <v>52</v>
      </c>
      <c r="E5178" s="1" t="s">
        <v>6</v>
      </c>
      <c r="F5178" s="1" t="s">
        <v>5091</v>
      </c>
      <c r="G5178" s="14" t="s">
        <v>6307</v>
      </c>
      <c r="H5178" s="1" t="s">
        <v>44</v>
      </c>
      <c r="I5178" s="17">
        <v>42591</v>
      </c>
    </row>
    <row r="5179" spans="1:9">
      <c r="A5179" s="16" t="s">
        <v>11600</v>
      </c>
      <c r="B5179" s="1" t="s">
        <v>2628</v>
      </c>
      <c r="C5179" s="1">
        <v>321</v>
      </c>
      <c r="D5179" s="1" t="s">
        <v>52</v>
      </c>
      <c r="E5179" s="1" t="s">
        <v>6</v>
      </c>
      <c r="F5179" s="1" t="s">
        <v>5091</v>
      </c>
      <c r="G5179" s="14" t="s">
        <v>6145</v>
      </c>
      <c r="H5179" s="1" t="s">
        <v>43</v>
      </c>
      <c r="I5179" s="17">
        <v>42584</v>
      </c>
    </row>
    <row r="5180" spans="1:9">
      <c r="A5180" s="16" t="s">
        <v>11601</v>
      </c>
      <c r="B5180" s="1" t="s">
        <v>2628</v>
      </c>
      <c r="C5180" s="1">
        <v>321</v>
      </c>
      <c r="D5180" s="1" t="s">
        <v>52</v>
      </c>
      <c r="E5180" s="1" t="s">
        <v>6</v>
      </c>
      <c r="F5180" s="1" t="s">
        <v>5091</v>
      </c>
      <c r="G5180" s="14" t="s">
        <v>6145</v>
      </c>
      <c r="H5180" s="1" t="s">
        <v>43</v>
      </c>
      <c r="I5180" s="17">
        <v>42584</v>
      </c>
    </row>
    <row r="5181" spans="1:9">
      <c r="A5181" s="16" t="s">
        <v>11607</v>
      </c>
      <c r="B5181" s="1" t="s">
        <v>2628</v>
      </c>
      <c r="C5181" s="1">
        <v>321</v>
      </c>
      <c r="D5181" s="1" t="s">
        <v>52</v>
      </c>
      <c r="E5181" s="1" t="s">
        <v>6</v>
      </c>
      <c r="F5181" s="1" t="s">
        <v>5091</v>
      </c>
      <c r="G5181" s="14" t="s">
        <v>9561</v>
      </c>
      <c r="H5181" s="1" t="s">
        <v>5</v>
      </c>
      <c r="I5181" s="17">
        <v>38259</v>
      </c>
    </row>
    <row r="5182" spans="1:9">
      <c r="A5182" s="16" t="s">
        <v>11608</v>
      </c>
      <c r="B5182" s="1" t="s">
        <v>2628</v>
      </c>
      <c r="C5182" s="1">
        <v>321</v>
      </c>
      <c r="D5182" s="1" t="s">
        <v>52</v>
      </c>
      <c r="E5182" s="1" t="s">
        <v>6</v>
      </c>
      <c r="F5182" s="1" t="s">
        <v>5091</v>
      </c>
      <c r="G5182" s="14" t="s">
        <v>9561</v>
      </c>
      <c r="H5182" s="1" t="s">
        <v>5</v>
      </c>
      <c r="I5182" s="17">
        <v>38259</v>
      </c>
    </row>
    <row r="5183" spans="1:9">
      <c r="A5183" s="16" t="s">
        <v>11609</v>
      </c>
      <c r="B5183" s="1" t="s">
        <v>2628</v>
      </c>
      <c r="C5183" s="1">
        <v>321</v>
      </c>
      <c r="D5183" s="1" t="s">
        <v>52</v>
      </c>
      <c r="E5183" s="1" t="s">
        <v>6</v>
      </c>
      <c r="F5183" s="1" t="s">
        <v>5091</v>
      </c>
      <c r="G5183" s="14" t="s">
        <v>11419</v>
      </c>
      <c r="H5183" s="1" t="s">
        <v>5</v>
      </c>
      <c r="I5183" s="17">
        <v>38259</v>
      </c>
    </row>
    <row r="5184" spans="1:9">
      <c r="A5184" s="16" t="s">
        <v>11621</v>
      </c>
      <c r="B5184" s="1" t="s">
        <v>2628</v>
      </c>
      <c r="C5184" s="1">
        <v>321</v>
      </c>
      <c r="D5184" s="1" t="s">
        <v>52</v>
      </c>
      <c r="E5184" s="1" t="s">
        <v>6</v>
      </c>
      <c r="F5184" s="1" t="s">
        <v>5091</v>
      </c>
      <c r="G5184" s="14" t="s">
        <v>6530</v>
      </c>
      <c r="H5184" s="1" t="s">
        <v>43</v>
      </c>
      <c r="I5184" s="17">
        <v>42317</v>
      </c>
    </row>
    <row r="5185" spans="1:9">
      <c r="A5185" s="16" t="s">
        <v>11629</v>
      </c>
      <c r="B5185" s="1" t="s">
        <v>2628</v>
      </c>
      <c r="C5185" s="1">
        <v>321</v>
      </c>
      <c r="D5185" s="1" t="s">
        <v>52</v>
      </c>
      <c r="E5185" s="1" t="s">
        <v>6</v>
      </c>
      <c r="F5185" s="1" t="s">
        <v>5091</v>
      </c>
      <c r="G5185" s="14" t="s">
        <v>6236</v>
      </c>
      <c r="H5185" s="1" t="s">
        <v>43</v>
      </c>
      <c r="I5185" s="17">
        <v>40544</v>
      </c>
    </row>
    <row r="5186" spans="1:9">
      <c r="A5186" s="16" t="s">
        <v>11631</v>
      </c>
      <c r="B5186" s="1" t="s">
        <v>2628</v>
      </c>
      <c r="C5186" s="1">
        <v>321</v>
      </c>
      <c r="D5186" s="1" t="s">
        <v>52</v>
      </c>
      <c r="E5186" s="1" t="s">
        <v>6</v>
      </c>
      <c r="F5186" s="1" t="s">
        <v>5091</v>
      </c>
      <c r="G5186" s="14" t="s">
        <v>6236</v>
      </c>
      <c r="H5186" s="1" t="s">
        <v>43</v>
      </c>
      <c r="I5186" s="17">
        <v>41275</v>
      </c>
    </row>
    <row r="5187" spans="1:9">
      <c r="A5187" s="16" t="s">
        <v>11683</v>
      </c>
      <c r="B5187" s="1" t="s">
        <v>2628</v>
      </c>
      <c r="C5187" s="1">
        <v>321</v>
      </c>
      <c r="D5187" s="1" t="s">
        <v>52</v>
      </c>
      <c r="E5187" s="1" t="s">
        <v>6</v>
      </c>
      <c r="F5187" s="1" t="s">
        <v>5091</v>
      </c>
      <c r="G5187" s="14" t="s">
        <v>11684</v>
      </c>
      <c r="H5187" s="1" t="s">
        <v>5</v>
      </c>
      <c r="I5187" s="17">
        <v>37972</v>
      </c>
    </row>
    <row r="5188" spans="1:9">
      <c r="A5188" s="16" t="s">
        <v>11708</v>
      </c>
      <c r="B5188" s="1" t="s">
        <v>2628</v>
      </c>
      <c r="C5188" s="1">
        <v>321</v>
      </c>
      <c r="D5188" s="1" t="s">
        <v>52</v>
      </c>
      <c r="E5188" s="1" t="s">
        <v>6</v>
      </c>
      <c r="F5188" s="1" t="s">
        <v>5091</v>
      </c>
      <c r="G5188" s="14" t="s">
        <v>11709</v>
      </c>
      <c r="H5188" s="1" t="s">
        <v>5</v>
      </c>
      <c r="I5188" s="17">
        <v>38015</v>
      </c>
    </row>
    <row r="5189" spans="1:9">
      <c r="A5189" s="16" t="s">
        <v>11713</v>
      </c>
      <c r="B5189" s="1" t="s">
        <v>2628</v>
      </c>
      <c r="C5189" s="1">
        <v>321</v>
      </c>
      <c r="D5189" s="1" t="s">
        <v>52</v>
      </c>
      <c r="E5189" s="1" t="s">
        <v>6</v>
      </c>
      <c r="F5189" s="1" t="s">
        <v>5091</v>
      </c>
      <c r="G5189" s="14" t="s">
        <v>11709</v>
      </c>
      <c r="H5189" s="1" t="s">
        <v>5</v>
      </c>
      <c r="I5189" s="17">
        <v>38015</v>
      </c>
    </row>
    <row r="5190" spans="1:9">
      <c r="A5190" s="16" t="s">
        <v>11728</v>
      </c>
      <c r="B5190" s="1" t="s">
        <v>2628</v>
      </c>
      <c r="C5190" s="1">
        <v>321</v>
      </c>
      <c r="D5190" s="1" t="s">
        <v>52</v>
      </c>
      <c r="E5190" s="1" t="s">
        <v>6</v>
      </c>
      <c r="F5190" s="1" t="s">
        <v>5091</v>
      </c>
      <c r="G5190" s="14" t="s">
        <v>7935</v>
      </c>
      <c r="H5190" s="1" t="s">
        <v>5</v>
      </c>
      <c r="I5190" s="17">
        <v>39377</v>
      </c>
    </row>
    <row r="5191" spans="1:9">
      <c r="A5191" s="16" t="s">
        <v>11730</v>
      </c>
      <c r="B5191" s="1" t="s">
        <v>2628</v>
      </c>
      <c r="C5191" s="1">
        <v>321</v>
      </c>
      <c r="D5191" s="1" t="s">
        <v>52</v>
      </c>
      <c r="E5191" s="1" t="s">
        <v>6</v>
      </c>
      <c r="F5191" s="1" t="s">
        <v>5091</v>
      </c>
      <c r="G5191" s="14" t="s">
        <v>6145</v>
      </c>
      <c r="H5191" s="1" t="s">
        <v>43</v>
      </c>
      <c r="I5191" s="17">
        <v>37931</v>
      </c>
    </row>
    <row r="5192" spans="1:9">
      <c r="A5192" s="16" t="s">
        <v>11761</v>
      </c>
      <c r="B5192" s="1" t="s">
        <v>2628</v>
      </c>
      <c r="C5192" s="1">
        <v>321</v>
      </c>
      <c r="D5192" s="1" t="s">
        <v>52</v>
      </c>
      <c r="E5192" s="1" t="s">
        <v>6</v>
      </c>
      <c r="F5192" s="1" t="s">
        <v>5091</v>
      </c>
      <c r="G5192" s="14" t="s">
        <v>8519</v>
      </c>
      <c r="H5192" s="1" t="s">
        <v>5</v>
      </c>
      <c r="I5192" s="17">
        <v>37816</v>
      </c>
    </row>
    <row r="5193" spans="1:9">
      <c r="A5193" s="16" t="s">
        <v>11762</v>
      </c>
      <c r="B5193" s="1" t="s">
        <v>2628</v>
      </c>
      <c r="C5193" s="1">
        <v>321</v>
      </c>
      <c r="D5193" s="1" t="s">
        <v>52</v>
      </c>
      <c r="E5193" s="1" t="s">
        <v>6</v>
      </c>
      <c r="F5193" s="1" t="s">
        <v>5091</v>
      </c>
      <c r="G5193" s="14" t="s">
        <v>10426</v>
      </c>
      <c r="H5193" s="1" t="s">
        <v>5</v>
      </c>
      <c r="I5193" s="17">
        <v>37802</v>
      </c>
    </row>
    <row r="5194" spans="1:9">
      <c r="A5194" s="16" t="s">
        <v>11774</v>
      </c>
      <c r="B5194" s="1" t="s">
        <v>2628</v>
      </c>
      <c r="C5194" s="1">
        <v>321</v>
      </c>
      <c r="D5194" s="1" t="s">
        <v>52</v>
      </c>
      <c r="E5194" s="1" t="s">
        <v>6</v>
      </c>
      <c r="F5194" s="1" t="s">
        <v>5091</v>
      </c>
      <c r="G5194" s="14" t="s">
        <v>11775</v>
      </c>
      <c r="H5194" s="1" t="s">
        <v>5</v>
      </c>
      <c r="I5194" s="17">
        <v>42156</v>
      </c>
    </row>
    <row r="5195" spans="1:9">
      <c r="A5195" s="16" t="s">
        <v>11779</v>
      </c>
      <c r="B5195" s="1" t="s">
        <v>2628</v>
      </c>
      <c r="C5195" s="1">
        <v>1877</v>
      </c>
      <c r="D5195" s="1" t="s">
        <v>52</v>
      </c>
      <c r="E5195" s="1" t="s">
        <v>6</v>
      </c>
      <c r="F5195" s="1" t="s">
        <v>5091</v>
      </c>
      <c r="G5195" s="14" t="s">
        <v>4458</v>
      </c>
      <c r="H5195" s="1" t="s">
        <v>118</v>
      </c>
      <c r="I5195" s="1" t="s">
        <v>4458</v>
      </c>
    </row>
    <row r="5196" spans="1:9">
      <c r="A5196" s="16" t="s">
        <v>11785</v>
      </c>
      <c r="B5196" s="1" t="s">
        <v>2628</v>
      </c>
      <c r="C5196" s="1">
        <v>321</v>
      </c>
      <c r="D5196" s="1" t="s">
        <v>52</v>
      </c>
      <c r="E5196" s="1" t="s">
        <v>6</v>
      </c>
      <c r="F5196" s="1" t="s">
        <v>5091</v>
      </c>
      <c r="G5196" s="14" t="s">
        <v>9561</v>
      </c>
      <c r="H5196" s="1" t="s">
        <v>5</v>
      </c>
      <c r="I5196" s="17">
        <v>37690</v>
      </c>
    </row>
    <row r="5197" spans="1:9">
      <c r="A5197" s="16" t="s">
        <v>11792</v>
      </c>
      <c r="B5197" s="1" t="s">
        <v>2628</v>
      </c>
      <c r="C5197" s="1">
        <v>321</v>
      </c>
      <c r="D5197" s="1" t="s">
        <v>52</v>
      </c>
      <c r="E5197" s="1" t="s">
        <v>6</v>
      </c>
      <c r="F5197" s="1" t="s">
        <v>5091</v>
      </c>
      <c r="G5197" s="14" t="s">
        <v>9561</v>
      </c>
      <c r="H5197" s="1" t="s">
        <v>5</v>
      </c>
      <c r="I5197" s="17">
        <v>37690</v>
      </c>
    </row>
    <row r="5198" spans="1:9">
      <c r="A5198" s="16" t="s">
        <v>11794</v>
      </c>
      <c r="B5198" s="1" t="s">
        <v>2628</v>
      </c>
      <c r="C5198" s="1">
        <v>321</v>
      </c>
      <c r="D5198" s="1" t="s">
        <v>52</v>
      </c>
      <c r="E5198" s="1" t="s">
        <v>6</v>
      </c>
      <c r="F5198" s="1" t="s">
        <v>5091</v>
      </c>
      <c r="G5198" s="14" t="s">
        <v>9561</v>
      </c>
      <c r="H5198" s="1" t="s">
        <v>5</v>
      </c>
      <c r="I5198" s="17">
        <v>37690</v>
      </c>
    </row>
    <row r="5199" spans="1:9">
      <c r="A5199" s="16" t="s">
        <v>11795</v>
      </c>
      <c r="B5199" s="1" t="s">
        <v>2628</v>
      </c>
      <c r="C5199" s="1">
        <v>321</v>
      </c>
      <c r="D5199" s="1" t="s">
        <v>52</v>
      </c>
      <c r="E5199" s="1" t="s">
        <v>6</v>
      </c>
      <c r="F5199" s="1" t="s">
        <v>5091</v>
      </c>
      <c r="G5199" s="14" t="s">
        <v>9718</v>
      </c>
      <c r="H5199" s="1" t="s">
        <v>5</v>
      </c>
      <c r="I5199" s="17">
        <v>37637</v>
      </c>
    </row>
    <row r="5200" spans="1:9">
      <c r="A5200" s="16" t="s">
        <v>11796</v>
      </c>
      <c r="B5200" s="1" t="s">
        <v>2628</v>
      </c>
      <c r="C5200" s="1">
        <v>321</v>
      </c>
      <c r="D5200" s="1" t="s">
        <v>52</v>
      </c>
      <c r="E5200" s="1" t="s">
        <v>6</v>
      </c>
      <c r="F5200" s="1" t="s">
        <v>5091</v>
      </c>
      <c r="G5200" s="14" t="s">
        <v>11797</v>
      </c>
      <c r="H5200" s="1" t="s">
        <v>5</v>
      </c>
      <c r="I5200" s="17">
        <v>37637</v>
      </c>
    </row>
    <row r="5201" spans="1:9">
      <c r="A5201" s="16" t="s">
        <v>11798</v>
      </c>
      <c r="B5201" s="1" t="s">
        <v>2628</v>
      </c>
      <c r="C5201" s="1">
        <v>321</v>
      </c>
      <c r="D5201" s="1" t="s">
        <v>52</v>
      </c>
      <c r="E5201" s="1" t="s">
        <v>6</v>
      </c>
      <c r="F5201" s="1" t="s">
        <v>5091</v>
      </c>
      <c r="G5201" s="14" t="s">
        <v>9718</v>
      </c>
      <c r="H5201" s="1" t="s">
        <v>5</v>
      </c>
      <c r="I5201" s="17">
        <v>37637</v>
      </c>
    </row>
    <row r="5202" spans="1:9">
      <c r="A5202" s="16" t="s">
        <v>11825</v>
      </c>
      <c r="B5202" s="1" t="s">
        <v>2628</v>
      </c>
      <c r="C5202" s="1">
        <v>321</v>
      </c>
      <c r="D5202" s="1" t="s">
        <v>52</v>
      </c>
      <c r="E5202" s="1" t="s">
        <v>6</v>
      </c>
      <c r="F5202" s="1" t="s">
        <v>5091</v>
      </c>
      <c r="G5202" s="14" t="s">
        <v>6145</v>
      </c>
      <c r="H5202" s="1" t="s">
        <v>43</v>
      </c>
      <c r="I5202" s="17">
        <v>42668</v>
      </c>
    </row>
    <row r="5203" spans="1:9">
      <c r="A5203" s="16" t="s">
        <v>11828</v>
      </c>
      <c r="B5203" s="1" t="s">
        <v>2628</v>
      </c>
      <c r="C5203" s="1">
        <v>321</v>
      </c>
      <c r="D5203" s="1" t="s">
        <v>52</v>
      </c>
      <c r="E5203" s="1" t="s">
        <v>6</v>
      </c>
      <c r="F5203" s="1" t="s">
        <v>5091</v>
      </c>
      <c r="G5203" s="14" t="s">
        <v>6145</v>
      </c>
      <c r="H5203" s="1" t="s">
        <v>43</v>
      </c>
      <c r="I5203" s="17">
        <v>42668</v>
      </c>
    </row>
    <row r="5204" spans="1:9">
      <c r="A5204" s="16" t="s">
        <v>11829</v>
      </c>
      <c r="B5204" s="1" t="s">
        <v>2628</v>
      </c>
      <c r="C5204" s="1">
        <v>321</v>
      </c>
      <c r="D5204" s="1" t="s">
        <v>52</v>
      </c>
      <c r="E5204" s="1" t="s">
        <v>6</v>
      </c>
      <c r="F5204" s="1" t="s">
        <v>5091</v>
      </c>
      <c r="G5204" s="14" t="s">
        <v>6145</v>
      </c>
      <c r="H5204" s="1" t="s">
        <v>43</v>
      </c>
      <c r="I5204" s="17">
        <v>42668</v>
      </c>
    </row>
    <row r="5205" spans="1:9">
      <c r="A5205" s="16" t="s">
        <v>11832</v>
      </c>
      <c r="B5205" s="1" t="s">
        <v>2628</v>
      </c>
      <c r="C5205" s="1">
        <v>321</v>
      </c>
      <c r="D5205" s="1" t="s">
        <v>52</v>
      </c>
      <c r="E5205" s="1" t="s">
        <v>6</v>
      </c>
      <c r="F5205" s="1" t="s">
        <v>5091</v>
      </c>
      <c r="G5205" s="14" t="s">
        <v>6145</v>
      </c>
      <c r="H5205" s="1" t="s">
        <v>43</v>
      </c>
      <c r="I5205" s="17">
        <v>42667</v>
      </c>
    </row>
    <row r="5206" spans="1:9">
      <c r="A5206" s="16" t="s">
        <v>11833</v>
      </c>
      <c r="B5206" s="1" t="s">
        <v>2628</v>
      </c>
      <c r="C5206" s="1">
        <v>321</v>
      </c>
      <c r="D5206" s="1" t="s">
        <v>52</v>
      </c>
      <c r="E5206" s="1" t="s">
        <v>6</v>
      </c>
      <c r="F5206" s="1" t="s">
        <v>5091</v>
      </c>
      <c r="G5206" s="14" t="s">
        <v>6145</v>
      </c>
      <c r="H5206" s="1" t="s">
        <v>43</v>
      </c>
      <c r="I5206" s="17">
        <v>42667</v>
      </c>
    </row>
    <row r="5207" spans="1:9">
      <c r="A5207" s="16" t="s">
        <v>11843</v>
      </c>
      <c r="B5207" s="1" t="s">
        <v>2628</v>
      </c>
      <c r="C5207" s="1">
        <v>321</v>
      </c>
      <c r="D5207" s="1" t="s">
        <v>52</v>
      </c>
      <c r="E5207" s="1" t="s">
        <v>6</v>
      </c>
      <c r="F5207" s="1" t="s">
        <v>5091</v>
      </c>
      <c r="G5207" s="14" t="s">
        <v>6145</v>
      </c>
      <c r="H5207" s="1" t="s">
        <v>43</v>
      </c>
      <c r="I5207" s="17">
        <v>42648</v>
      </c>
    </row>
    <row r="5208" spans="1:9">
      <c r="A5208" s="16" t="s">
        <v>11847</v>
      </c>
      <c r="B5208" s="1" t="s">
        <v>2628</v>
      </c>
      <c r="C5208" s="1">
        <v>321</v>
      </c>
      <c r="D5208" s="1" t="s">
        <v>52</v>
      </c>
      <c r="E5208" s="1" t="s">
        <v>6</v>
      </c>
      <c r="F5208" s="1" t="s">
        <v>5091</v>
      </c>
      <c r="G5208" s="14" t="s">
        <v>6145</v>
      </c>
      <c r="H5208" s="1" t="s">
        <v>43</v>
      </c>
      <c r="I5208" s="17">
        <v>42648</v>
      </c>
    </row>
    <row r="5209" spans="1:9">
      <c r="A5209" s="16" t="s">
        <v>11854</v>
      </c>
      <c r="B5209" s="1" t="s">
        <v>2628</v>
      </c>
      <c r="C5209" s="1">
        <v>321</v>
      </c>
      <c r="D5209" s="1" t="s">
        <v>52</v>
      </c>
      <c r="E5209" s="1" t="s">
        <v>6</v>
      </c>
      <c r="F5209" s="1" t="s">
        <v>5091</v>
      </c>
      <c r="G5209" s="14" t="s">
        <v>6145</v>
      </c>
      <c r="H5209" s="1" t="s">
        <v>43</v>
      </c>
      <c r="I5209" s="17">
        <v>42674</v>
      </c>
    </row>
    <row r="5210" spans="1:9">
      <c r="A5210" s="16" t="s">
        <v>11860</v>
      </c>
      <c r="B5210" s="1" t="s">
        <v>2628</v>
      </c>
      <c r="C5210" s="1">
        <v>321</v>
      </c>
      <c r="D5210" s="1" t="s">
        <v>52</v>
      </c>
      <c r="E5210" s="1" t="s">
        <v>6</v>
      </c>
      <c r="F5210" s="1" t="s">
        <v>5091</v>
      </c>
      <c r="G5210" s="14" t="s">
        <v>6145</v>
      </c>
      <c r="H5210" s="1" t="s">
        <v>43</v>
      </c>
      <c r="I5210" s="17">
        <v>42674</v>
      </c>
    </row>
    <row r="5211" spans="1:9">
      <c r="A5211" s="16" t="s">
        <v>11873</v>
      </c>
      <c r="B5211" s="1" t="s">
        <v>2628</v>
      </c>
      <c r="C5211" s="1">
        <v>321</v>
      </c>
      <c r="D5211" s="1" t="s">
        <v>52</v>
      </c>
      <c r="E5211" s="1" t="s">
        <v>6</v>
      </c>
      <c r="F5211" s="1" t="s">
        <v>5091</v>
      </c>
      <c r="G5211" s="14" t="s">
        <v>6186</v>
      </c>
      <c r="H5211" s="1" t="s">
        <v>5</v>
      </c>
      <c r="I5211" s="17">
        <v>42370</v>
      </c>
    </row>
    <row r="5212" spans="1:9">
      <c r="A5212" s="16" t="s">
        <v>11874</v>
      </c>
      <c r="B5212" s="1" t="s">
        <v>2628</v>
      </c>
      <c r="C5212" s="1">
        <v>321</v>
      </c>
      <c r="D5212" s="1" t="s">
        <v>52</v>
      </c>
      <c r="E5212" s="1" t="s">
        <v>6</v>
      </c>
      <c r="F5212" s="1" t="s">
        <v>5091</v>
      </c>
      <c r="G5212" s="14" t="s">
        <v>6186</v>
      </c>
      <c r="H5212" s="1" t="s">
        <v>5</v>
      </c>
      <c r="I5212" s="17">
        <v>42370</v>
      </c>
    </row>
    <row r="5213" spans="1:9">
      <c r="A5213" s="16" t="s">
        <v>11881</v>
      </c>
      <c r="B5213" s="1" t="s">
        <v>2628</v>
      </c>
      <c r="C5213" s="1">
        <v>321</v>
      </c>
      <c r="D5213" s="1" t="s">
        <v>52</v>
      </c>
      <c r="E5213" s="1" t="s">
        <v>6</v>
      </c>
      <c r="F5213" s="1" t="s">
        <v>5091</v>
      </c>
      <c r="G5213" s="14" t="s">
        <v>6145</v>
      </c>
      <c r="H5213" s="1" t="s">
        <v>43</v>
      </c>
      <c r="I5213" s="17">
        <v>42675</v>
      </c>
    </row>
    <row r="5214" spans="1:9" ht="31.2">
      <c r="A5214" s="16" t="s">
        <v>11889</v>
      </c>
      <c r="B5214" s="1" t="s">
        <v>2628</v>
      </c>
      <c r="C5214" s="1">
        <v>321</v>
      </c>
      <c r="D5214" s="1" t="s">
        <v>52</v>
      </c>
      <c r="E5214" s="1" t="s">
        <v>6</v>
      </c>
      <c r="F5214" s="1" t="s">
        <v>5091</v>
      </c>
      <c r="G5214" s="14" t="s">
        <v>6145</v>
      </c>
      <c r="H5214" s="1" t="s">
        <v>43</v>
      </c>
      <c r="I5214" s="17">
        <v>42675</v>
      </c>
    </row>
    <row r="5215" spans="1:9" ht="31.2">
      <c r="A5215" s="16" t="s">
        <v>11892</v>
      </c>
      <c r="B5215" s="1" t="s">
        <v>2628</v>
      </c>
      <c r="C5215" s="1">
        <v>321</v>
      </c>
      <c r="D5215" s="1" t="s">
        <v>52</v>
      </c>
      <c r="E5215" s="1" t="s">
        <v>6</v>
      </c>
      <c r="F5215" s="1" t="s">
        <v>5091</v>
      </c>
      <c r="G5215" s="14" t="s">
        <v>6145</v>
      </c>
      <c r="H5215" s="1" t="s">
        <v>43</v>
      </c>
      <c r="I5215" s="17">
        <v>42675</v>
      </c>
    </row>
    <row r="5216" spans="1:9" ht="31.2">
      <c r="A5216" s="16" t="s">
        <v>11899</v>
      </c>
      <c r="B5216" s="1" t="s">
        <v>2628</v>
      </c>
      <c r="C5216" s="1">
        <v>321</v>
      </c>
      <c r="D5216" s="1" t="s">
        <v>52</v>
      </c>
      <c r="E5216" s="1" t="s">
        <v>6</v>
      </c>
      <c r="F5216" s="1" t="s">
        <v>5091</v>
      </c>
      <c r="G5216" s="14" t="s">
        <v>6145</v>
      </c>
      <c r="H5216" s="1" t="s">
        <v>43</v>
      </c>
      <c r="I5216" s="17">
        <v>42675</v>
      </c>
    </row>
    <row r="5217" spans="1:9" ht="31.2">
      <c r="A5217" s="16" t="s">
        <v>11901</v>
      </c>
      <c r="B5217" s="1" t="s">
        <v>2628</v>
      </c>
      <c r="C5217" s="1">
        <v>321</v>
      </c>
      <c r="D5217" s="1" t="s">
        <v>52</v>
      </c>
      <c r="E5217" s="1" t="s">
        <v>6</v>
      </c>
      <c r="F5217" s="1" t="s">
        <v>5091</v>
      </c>
      <c r="G5217" s="14" t="s">
        <v>6145</v>
      </c>
      <c r="H5217" s="1" t="s">
        <v>43</v>
      </c>
      <c r="I5217" s="17">
        <v>42675</v>
      </c>
    </row>
    <row r="5218" spans="1:9" ht="31.2">
      <c r="A5218" s="16" t="s">
        <v>11902</v>
      </c>
      <c r="B5218" s="1" t="s">
        <v>2628</v>
      </c>
      <c r="C5218" s="1">
        <v>321</v>
      </c>
      <c r="D5218" s="1" t="s">
        <v>52</v>
      </c>
      <c r="E5218" s="1" t="s">
        <v>6</v>
      </c>
      <c r="F5218" s="1" t="s">
        <v>5091</v>
      </c>
      <c r="G5218" s="14" t="s">
        <v>6145</v>
      </c>
      <c r="H5218" s="1" t="s">
        <v>43</v>
      </c>
      <c r="I5218" s="17">
        <v>42675</v>
      </c>
    </row>
    <row r="5219" spans="1:9">
      <c r="A5219" s="16" t="s">
        <v>11916</v>
      </c>
      <c r="B5219" s="1" t="s">
        <v>2628</v>
      </c>
      <c r="C5219" s="1">
        <v>321</v>
      </c>
      <c r="D5219" s="1" t="s">
        <v>52</v>
      </c>
      <c r="E5219" s="1" t="s">
        <v>6</v>
      </c>
      <c r="F5219" s="1" t="s">
        <v>5091</v>
      </c>
      <c r="G5219" s="14" t="s">
        <v>6145</v>
      </c>
      <c r="H5219" s="1" t="s">
        <v>43</v>
      </c>
      <c r="I5219" s="17">
        <v>42669</v>
      </c>
    </row>
    <row r="5220" spans="1:9">
      <c r="A5220" s="16" t="s">
        <v>11953</v>
      </c>
      <c r="B5220" s="1" t="s">
        <v>2628</v>
      </c>
      <c r="C5220" s="1">
        <v>321</v>
      </c>
      <c r="D5220" s="1" t="s">
        <v>52</v>
      </c>
      <c r="E5220" s="1" t="s">
        <v>6</v>
      </c>
      <c r="F5220" s="1" t="s">
        <v>5091</v>
      </c>
      <c r="G5220" s="14" t="s">
        <v>6236</v>
      </c>
      <c r="H5220" s="1" t="s">
        <v>43</v>
      </c>
      <c r="I5220" s="17">
        <v>42370</v>
      </c>
    </row>
    <row r="5221" spans="1:9">
      <c r="A5221" s="16" t="s">
        <v>11954</v>
      </c>
      <c r="B5221" s="1" t="s">
        <v>2628</v>
      </c>
      <c r="C5221" s="1">
        <v>321</v>
      </c>
      <c r="D5221" s="1" t="s">
        <v>52</v>
      </c>
      <c r="E5221" s="1" t="s">
        <v>6</v>
      </c>
      <c r="F5221" s="1" t="s">
        <v>5091</v>
      </c>
      <c r="G5221" s="14" t="s">
        <v>6238</v>
      </c>
      <c r="H5221" s="1" t="s">
        <v>43</v>
      </c>
      <c r="I5221" s="17">
        <v>42370</v>
      </c>
    </row>
    <row r="5222" spans="1:9">
      <c r="A5222" s="16" t="s">
        <v>11955</v>
      </c>
      <c r="B5222" s="1" t="s">
        <v>2628</v>
      </c>
      <c r="C5222" s="1">
        <v>321</v>
      </c>
      <c r="D5222" s="1" t="s">
        <v>52</v>
      </c>
      <c r="E5222" s="1" t="s">
        <v>6</v>
      </c>
      <c r="F5222" s="1" t="s">
        <v>5091</v>
      </c>
      <c r="G5222" s="14" t="s">
        <v>6236</v>
      </c>
      <c r="H5222" s="1" t="s">
        <v>43</v>
      </c>
      <c r="I5222" s="17">
        <v>42370</v>
      </c>
    </row>
    <row r="5223" spans="1:9">
      <c r="A5223" s="16" t="s">
        <v>11957</v>
      </c>
      <c r="B5223" s="1" t="s">
        <v>2628</v>
      </c>
      <c r="C5223" s="1">
        <v>321</v>
      </c>
      <c r="D5223" s="1" t="s">
        <v>52</v>
      </c>
      <c r="E5223" s="1" t="s">
        <v>6</v>
      </c>
      <c r="F5223" s="1" t="s">
        <v>5091</v>
      </c>
      <c r="G5223" s="14" t="s">
        <v>6909</v>
      </c>
      <c r="H5223" s="1" t="s">
        <v>43</v>
      </c>
      <c r="I5223" s="17">
        <v>42370</v>
      </c>
    </row>
    <row r="5224" spans="1:9">
      <c r="A5224" s="16" t="s">
        <v>11958</v>
      </c>
      <c r="B5224" s="1" t="s">
        <v>2628</v>
      </c>
      <c r="C5224" s="1">
        <v>321</v>
      </c>
      <c r="D5224" s="1" t="s">
        <v>52</v>
      </c>
      <c r="E5224" s="1" t="s">
        <v>6</v>
      </c>
      <c r="F5224" s="1" t="s">
        <v>5091</v>
      </c>
      <c r="G5224" s="14" t="s">
        <v>4458</v>
      </c>
      <c r="H5224" s="1" t="s">
        <v>118</v>
      </c>
      <c r="I5224" s="1" t="s">
        <v>4458</v>
      </c>
    </row>
    <row r="5225" spans="1:9">
      <c r="A5225" s="16" t="s">
        <v>11995</v>
      </c>
      <c r="B5225" s="1" t="s">
        <v>2628</v>
      </c>
      <c r="C5225" s="1">
        <v>321</v>
      </c>
      <c r="D5225" s="1" t="s">
        <v>52</v>
      </c>
      <c r="E5225" s="1" t="s">
        <v>6</v>
      </c>
      <c r="F5225" s="1" t="s">
        <v>5091</v>
      </c>
      <c r="G5225" s="14" t="s">
        <v>11836</v>
      </c>
      <c r="H5225" s="1" t="s">
        <v>43</v>
      </c>
      <c r="I5225" s="17">
        <v>42675</v>
      </c>
    </row>
    <row r="5226" spans="1:9">
      <c r="A5226" s="16" t="s">
        <v>11996</v>
      </c>
      <c r="B5226" s="1" t="s">
        <v>2628</v>
      </c>
      <c r="C5226" s="1">
        <v>321</v>
      </c>
      <c r="D5226" s="1" t="s">
        <v>52</v>
      </c>
      <c r="E5226" s="1" t="s">
        <v>6</v>
      </c>
      <c r="F5226" s="1" t="s">
        <v>5091</v>
      </c>
      <c r="G5226" s="14" t="s">
        <v>11836</v>
      </c>
      <c r="H5226" s="1" t="s">
        <v>43</v>
      </c>
      <c r="I5226" s="17">
        <v>42675</v>
      </c>
    </row>
    <row r="5227" spans="1:9">
      <c r="A5227" s="16" t="s">
        <v>12002</v>
      </c>
      <c r="B5227" s="1" t="s">
        <v>2628</v>
      </c>
      <c r="C5227" s="1">
        <v>321</v>
      </c>
      <c r="D5227" s="1" t="s">
        <v>52</v>
      </c>
      <c r="E5227" s="1" t="s">
        <v>6</v>
      </c>
      <c r="F5227" s="1" t="s">
        <v>5091</v>
      </c>
      <c r="G5227" s="14" t="s">
        <v>6145</v>
      </c>
      <c r="H5227" s="1" t="s">
        <v>43</v>
      </c>
      <c r="I5227" s="17">
        <v>42712</v>
      </c>
    </row>
    <row r="5228" spans="1:9">
      <c r="A5228" s="16" t="s">
        <v>12005</v>
      </c>
      <c r="B5228" s="1" t="s">
        <v>2628</v>
      </c>
      <c r="C5228" s="1">
        <v>321</v>
      </c>
      <c r="D5228" s="1" t="s">
        <v>52</v>
      </c>
      <c r="E5228" s="1" t="s">
        <v>6</v>
      </c>
      <c r="F5228" s="1" t="s">
        <v>5091</v>
      </c>
      <c r="G5228" s="14" t="s">
        <v>6145</v>
      </c>
      <c r="H5228" s="1" t="s">
        <v>43</v>
      </c>
      <c r="I5228" s="17">
        <v>42712</v>
      </c>
    </row>
    <row r="5229" spans="1:9" ht="31.2">
      <c r="A5229" s="16" t="s">
        <v>12010</v>
      </c>
      <c r="B5229" s="1" t="s">
        <v>2628</v>
      </c>
      <c r="C5229" s="1">
        <v>321</v>
      </c>
      <c r="D5229" s="1" t="s">
        <v>52</v>
      </c>
      <c r="E5229" s="1" t="s">
        <v>6</v>
      </c>
      <c r="F5229" s="1" t="s">
        <v>5091</v>
      </c>
      <c r="G5229" s="14" t="s">
        <v>12011</v>
      </c>
      <c r="H5229" s="1" t="s">
        <v>5</v>
      </c>
      <c r="I5229" s="17">
        <v>41484</v>
      </c>
    </row>
    <row r="5230" spans="1:9">
      <c r="A5230" s="16" t="s">
        <v>12016</v>
      </c>
      <c r="B5230" s="1" t="s">
        <v>2628</v>
      </c>
      <c r="C5230" s="1">
        <v>321</v>
      </c>
      <c r="D5230" s="1" t="s">
        <v>52</v>
      </c>
      <c r="E5230" s="1" t="s">
        <v>6</v>
      </c>
      <c r="F5230" s="1" t="s">
        <v>5091</v>
      </c>
      <c r="G5230" s="14" t="s">
        <v>7560</v>
      </c>
      <c r="H5230" s="1" t="s">
        <v>5</v>
      </c>
      <c r="I5230" s="17">
        <v>42370</v>
      </c>
    </row>
    <row r="5231" spans="1:9">
      <c r="A5231" s="16" t="s">
        <v>12054</v>
      </c>
      <c r="B5231" s="1" t="s">
        <v>2628</v>
      </c>
      <c r="C5231" s="1">
        <v>321</v>
      </c>
      <c r="D5231" s="1" t="s">
        <v>52</v>
      </c>
      <c r="E5231" s="1" t="s">
        <v>6</v>
      </c>
      <c r="F5231" s="1" t="s">
        <v>5091</v>
      </c>
      <c r="G5231" s="14" t="s">
        <v>12055</v>
      </c>
      <c r="H5231" s="1" t="s">
        <v>5</v>
      </c>
      <c r="I5231" s="17">
        <v>42710</v>
      </c>
    </row>
    <row r="5232" spans="1:9">
      <c r="A5232" s="16" t="s">
        <v>12056</v>
      </c>
      <c r="B5232" s="1" t="s">
        <v>2628</v>
      </c>
      <c r="C5232" s="1">
        <v>321</v>
      </c>
      <c r="D5232" s="1" t="s">
        <v>52</v>
      </c>
      <c r="E5232" s="1" t="s">
        <v>6</v>
      </c>
      <c r="F5232" s="1" t="s">
        <v>5091</v>
      </c>
      <c r="G5232" s="14" t="s">
        <v>12055</v>
      </c>
      <c r="H5232" s="1" t="s">
        <v>5</v>
      </c>
      <c r="I5232" s="17">
        <v>42711</v>
      </c>
    </row>
    <row r="5233" spans="1:9">
      <c r="A5233" s="16" t="s">
        <v>12057</v>
      </c>
      <c r="B5233" s="1" t="s">
        <v>2628</v>
      </c>
      <c r="C5233" s="1">
        <v>321</v>
      </c>
      <c r="D5233" s="1" t="s">
        <v>52</v>
      </c>
      <c r="E5233" s="1" t="s">
        <v>6</v>
      </c>
      <c r="F5233" s="1" t="s">
        <v>5091</v>
      </c>
      <c r="G5233" s="14" t="s">
        <v>12055</v>
      </c>
      <c r="H5233" s="1" t="s">
        <v>5</v>
      </c>
      <c r="I5233" s="17">
        <v>42710</v>
      </c>
    </row>
    <row r="5234" spans="1:9">
      <c r="A5234" s="16" t="s">
        <v>12064</v>
      </c>
      <c r="B5234" s="1" t="s">
        <v>2628</v>
      </c>
      <c r="C5234" s="1">
        <v>321</v>
      </c>
      <c r="D5234" s="1" t="s">
        <v>52</v>
      </c>
      <c r="E5234" s="1" t="s">
        <v>6</v>
      </c>
      <c r="F5234" s="1" t="s">
        <v>5091</v>
      </c>
      <c r="G5234" s="14" t="s">
        <v>12065</v>
      </c>
      <c r="H5234" s="1" t="s">
        <v>5</v>
      </c>
      <c r="I5234" s="17">
        <v>42370</v>
      </c>
    </row>
    <row r="5235" spans="1:9">
      <c r="A5235" s="16" t="s">
        <v>12066</v>
      </c>
      <c r="B5235" s="1" t="s">
        <v>2628</v>
      </c>
      <c r="C5235" s="1">
        <v>321</v>
      </c>
      <c r="D5235" s="1" t="s">
        <v>52</v>
      </c>
      <c r="E5235" s="1" t="s">
        <v>6</v>
      </c>
      <c r="F5235" s="1" t="s">
        <v>5091</v>
      </c>
      <c r="G5235" s="14" t="s">
        <v>12065</v>
      </c>
      <c r="H5235" s="1" t="s">
        <v>5</v>
      </c>
      <c r="I5235" s="17">
        <v>42370</v>
      </c>
    </row>
    <row r="5236" spans="1:9">
      <c r="A5236" s="16" t="s">
        <v>12070</v>
      </c>
      <c r="B5236" s="1" t="s">
        <v>2628</v>
      </c>
      <c r="C5236" s="1">
        <v>321</v>
      </c>
      <c r="D5236" s="1" t="s">
        <v>52</v>
      </c>
      <c r="E5236" s="1" t="s">
        <v>6</v>
      </c>
      <c r="F5236" s="1" t="s">
        <v>5091</v>
      </c>
      <c r="G5236" s="14" t="s">
        <v>12071</v>
      </c>
      <c r="H5236" s="1" t="s">
        <v>315</v>
      </c>
      <c r="I5236" s="17">
        <v>42370</v>
      </c>
    </row>
    <row r="5237" spans="1:9">
      <c r="A5237" s="16" t="s">
        <v>12072</v>
      </c>
      <c r="B5237" s="1" t="s">
        <v>2628</v>
      </c>
      <c r="C5237" s="1">
        <v>321</v>
      </c>
      <c r="D5237" s="1" t="s">
        <v>52</v>
      </c>
      <c r="E5237" s="1" t="s">
        <v>6</v>
      </c>
      <c r="F5237" s="1" t="s">
        <v>5091</v>
      </c>
      <c r="G5237" s="14" t="s">
        <v>12071</v>
      </c>
      <c r="H5237" s="1" t="s">
        <v>315</v>
      </c>
      <c r="I5237" s="17">
        <v>42370</v>
      </c>
    </row>
    <row r="5238" spans="1:9">
      <c r="A5238" s="16" t="s">
        <v>12073</v>
      </c>
      <c r="B5238" s="1" t="s">
        <v>2628</v>
      </c>
      <c r="C5238" s="1">
        <v>321</v>
      </c>
      <c r="D5238" s="1" t="s">
        <v>52</v>
      </c>
      <c r="E5238" s="1" t="s">
        <v>6</v>
      </c>
      <c r="F5238" s="1" t="s">
        <v>5091</v>
      </c>
      <c r="G5238" s="14" t="s">
        <v>6186</v>
      </c>
      <c r="H5238" s="1" t="s">
        <v>5</v>
      </c>
      <c r="I5238" s="17">
        <v>42370</v>
      </c>
    </row>
    <row r="5239" spans="1:9">
      <c r="A5239" s="16" t="s">
        <v>12074</v>
      </c>
      <c r="B5239" s="1" t="s">
        <v>2628</v>
      </c>
      <c r="C5239" s="1">
        <v>321</v>
      </c>
      <c r="D5239" s="1" t="s">
        <v>52</v>
      </c>
      <c r="E5239" s="1" t="s">
        <v>6</v>
      </c>
      <c r="F5239" s="1" t="s">
        <v>5091</v>
      </c>
      <c r="G5239" s="14" t="s">
        <v>6236</v>
      </c>
      <c r="H5239" s="1" t="s">
        <v>43</v>
      </c>
      <c r="I5239" s="17">
        <v>42736</v>
      </c>
    </row>
    <row r="5240" spans="1:9">
      <c r="A5240" s="16" t="s">
        <v>12078</v>
      </c>
      <c r="B5240" s="1" t="s">
        <v>2628</v>
      </c>
      <c r="C5240" s="1">
        <v>321</v>
      </c>
      <c r="D5240" s="1" t="s">
        <v>52</v>
      </c>
      <c r="E5240" s="1" t="s">
        <v>6</v>
      </c>
      <c r="F5240" s="1" t="s">
        <v>5091</v>
      </c>
      <c r="G5240" s="14" t="s">
        <v>12079</v>
      </c>
      <c r="H5240" s="1" t="s">
        <v>43</v>
      </c>
      <c r="I5240" s="17">
        <v>42745</v>
      </c>
    </row>
    <row r="5241" spans="1:9">
      <c r="A5241" s="16" t="s">
        <v>12080</v>
      </c>
      <c r="B5241" s="1" t="s">
        <v>2628</v>
      </c>
      <c r="C5241" s="1">
        <v>321</v>
      </c>
      <c r="D5241" s="1" t="s">
        <v>52</v>
      </c>
      <c r="E5241" s="1" t="s">
        <v>6</v>
      </c>
      <c r="F5241" s="1" t="s">
        <v>5091</v>
      </c>
      <c r="G5241" s="14" t="s">
        <v>12079</v>
      </c>
      <c r="H5241" s="1" t="s">
        <v>43</v>
      </c>
      <c r="I5241" s="17">
        <v>42745</v>
      </c>
    </row>
    <row r="5242" spans="1:9">
      <c r="A5242" s="16" t="s">
        <v>12092</v>
      </c>
      <c r="B5242" s="1" t="s">
        <v>2628</v>
      </c>
      <c r="C5242" s="1">
        <v>321</v>
      </c>
      <c r="D5242" s="1" t="s">
        <v>52</v>
      </c>
      <c r="E5242" s="1" t="s">
        <v>6</v>
      </c>
      <c r="F5242" s="1" t="s">
        <v>5091</v>
      </c>
      <c r="G5242" s="14" t="s">
        <v>1479</v>
      </c>
      <c r="H5242" s="1" t="s">
        <v>5</v>
      </c>
      <c r="I5242" s="1" t="s">
        <v>4458</v>
      </c>
    </row>
    <row r="5243" spans="1:9">
      <c r="A5243" s="16" t="s">
        <v>12110</v>
      </c>
      <c r="B5243" s="1" t="s">
        <v>2628</v>
      </c>
      <c r="C5243" s="1">
        <v>321</v>
      </c>
      <c r="D5243" s="1" t="s">
        <v>52</v>
      </c>
      <c r="E5243" s="1" t="s">
        <v>6</v>
      </c>
      <c r="F5243" s="1" t="s">
        <v>5091</v>
      </c>
      <c r="G5243" s="14" t="s">
        <v>4458</v>
      </c>
      <c r="H5243" s="1" t="s">
        <v>118</v>
      </c>
      <c r="I5243" s="1" t="s">
        <v>4458</v>
      </c>
    </row>
    <row r="5244" spans="1:9">
      <c r="A5244" s="16" t="s">
        <v>12120</v>
      </c>
      <c r="B5244" s="1" t="s">
        <v>2628</v>
      </c>
      <c r="C5244" s="1">
        <v>321</v>
      </c>
      <c r="D5244" s="1" t="s">
        <v>52</v>
      </c>
      <c r="E5244" s="1" t="s">
        <v>6</v>
      </c>
      <c r="F5244" s="1" t="s">
        <v>5091</v>
      </c>
      <c r="G5244" s="14" t="s">
        <v>6536</v>
      </c>
      <c r="H5244" s="1" t="s">
        <v>43</v>
      </c>
      <c r="I5244" s="17">
        <v>41640</v>
      </c>
    </row>
    <row r="5245" spans="1:9">
      <c r="A5245" s="16" t="s">
        <v>12125</v>
      </c>
      <c r="B5245" s="1" t="s">
        <v>2628</v>
      </c>
      <c r="C5245" s="1">
        <v>321</v>
      </c>
      <c r="D5245" s="1" t="s">
        <v>52</v>
      </c>
      <c r="E5245" s="1" t="s">
        <v>6</v>
      </c>
      <c r="F5245" s="1" t="s">
        <v>5091</v>
      </c>
      <c r="G5245" s="14" t="s">
        <v>12126</v>
      </c>
      <c r="H5245" s="1" t="s">
        <v>43</v>
      </c>
      <c r="I5245" s="17">
        <v>41640</v>
      </c>
    </row>
    <row r="5246" spans="1:9">
      <c r="A5246" s="16" t="s">
        <v>12127</v>
      </c>
      <c r="B5246" s="1" t="s">
        <v>2628</v>
      </c>
      <c r="C5246" s="1">
        <v>321</v>
      </c>
      <c r="D5246" s="1" t="s">
        <v>52</v>
      </c>
      <c r="E5246" s="1" t="s">
        <v>6</v>
      </c>
      <c r="F5246" s="1" t="s">
        <v>5091</v>
      </c>
      <c r="G5246" s="14" t="s">
        <v>12128</v>
      </c>
      <c r="H5246" s="1" t="s">
        <v>43</v>
      </c>
      <c r="I5246" s="17">
        <v>41640</v>
      </c>
    </row>
    <row r="5247" spans="1:9">
      <c r="A5247" s="16" t="s">
        <v>12134</v>
      </c>
      <c r="B5247" s="1" t="s">
        <v>2628</v>
      </c>
      <c r="C5247" s="1">
        <v>321</v>
      </c>
      <c r="D5247" s="1" t="s">
        <v>52</v>
      </c>
      <c r="E5247" s="1" t="s">
        <v>6</v>
      </c>
      <c r="F5247" s="1" t="s">
        <v>5091</v>
      </c>
      <c r="G5247" s="14" t="s">
        <v>6530</v>
      </c>
      <c r="H5247" s="1" t="s">
        <v>43</v>
      </c>
      <c r="I5247" s="17">
        <v>41640</v>
      </c>
    </row>
    <row r="5248" spans="1:9">
      <c r="A5248" s="16" t="s">
        <v>12145</v>
      </c>
      <c r="B5248" s="1" t="s">
        <v>2628</v>
      </c>
      <c r="C5248" s="1">
        <v>321</v>
      </c>
      <c r="D5248" s="1" t="s">
        <v>52</v>
      </c>
      <c r="E5248" s="1" t="s">
        <v>6</v>
      </c>
      <c r="F5248" s="1" t="s">
        <v>5091</v>
      </c>
      <c r="G5248" s="14" t="s">
        <v>6145</v>
      </c>
      <c r="H5248" s="1" t="s">
        <v>43</v>
      </c>
      <c r="I5248" s="17">
        <v>41640</v>
      </c>
    </row>
    <row r="5249" spans="1:9">
      <c r="A5249" s="16" t="s">
        <v>12148</v>
      </c>
      <c r="B5249" s="1" t="s">
        <v>2628</v>
      </c>
      <c r="C5249" s="1">
        <v>321</v>
      </c>
      <c r="D5249" s="1" t="s">
        <v>52</v>
      </c>
      <c r="E5249" s="1" t="s">
        <v>6</v>
      </c>
      <c r="F5249" s="1" t="s">
        <v>5091</v>
      </c>
      <c r="G5249" s="14" t="s">
        <v>6145</v>
      </c>
      <c r="H5249" s="1" t="s">
        <v>43</v>
      </c>
      <c r="I5249" s="17">
        <v>41640</v>
      </c>
    </row>
    <row r="5250" spans="1:9">
      <c r="A5250" s="16" t="s">
        <v>12152</v>
      </c>
      <c r="B5250" s="1" t="s">
        <v>2628</v>
      </c>
      <c r="C5250" s="1">
        <v>321</v>
      </c>
      <c r="D5250" s="1" t="s">
        <v>52</v>
      </c>
      <c r="E5250" s="1" t="s">
        <v>6</v>
      </c>
      <c r="F5250" s="1" t="s">
        <v>5091</v>
      </c>
      <c r="G5250" s="14" t="s">
        <v>6145</v>
      </c>
      <c r="H5250" s="1" t="s">
        <v>43</v>
      </c>
      <c r="I5250" s="17">
        <v>41640</v>
      </c>
    </row>
    <row r="5251" spans="1:9">
      <c r="A5251" s="16" t="s">
        <v>12155</v>
      </c>
      <c r="B5251" s="1" t="s">
        <v>2628</v>
      </c>
      <c r="C5251" s="1">
        <v>321</v>
      </c>
      <c r="D5251" s="1" t="s">
        <v>52</v>
      </c>
      <c r="E5251" s="1" t="s">
        <v>6</v>
      </c>
      <c r="F5251" s="1" t="s">
        <v>5091</v>
      </c>
      <c r="G5251" s="14" t="s">
        <v>6145</v>
      </c>
      <c r="H5251" s="1" t="s">
        <v>43</v>
      </c>
      <c r="I5251" s="17">
        <v>41640</v>
      </c>
    </row>
    <row r="5252" spans="1:9">
      <c r="A5252" s="16" t="s">
        <v>12157</v>
      </c>
      <c r="B5252" s="1" t="s">
        <v>2628</v>
      </c>
      <c r="C5252" s="1">
        <v>321</v>
      </c>
      <c r="D5252" s="1" t="s">
        <v>52</v>
      </c>
      <c r="E5252" s="1" t="s">
        <v>6</v>
      </c>
      <c r="F5252" s="1" t="s">
        <v>5091</v>
      </c>
      <c r="G5252" s="14" t="s">
        <v>6536</v>
      </c>
      <c r="H5252" s="1" t="s">
        <v>43</v>
      </c>
      <c r="I5252" s="17">
        <v>41640</v>
      </c>
    </row>
    <row r="5253" spans="1:9">
      <c r="A5253" s="16" t="s">
        <v>12158</v>
      </c>
      <c r="B5253" s="1" t="s">
        <v>2628</v>
      </c>
      <c r="C5253" s="1">
        <v>321</v>
      </c>
      <c r="D5253" s="1" t="s">
        <v>52</v>
      </c>
      <c r="E5253" s="1" t="s">
        <v>6</v>
      </c>
      <c r="F5253" s="1" t="s">
        <v>5091</v>
      </c>
      <c r="G5253" s="14" t="s">
        <v>6145</v>
      </c>
      <c r="H5253" s="1" t="s">
        <v>43</v>
      </c>
      <c r="I5253" s="17">
        <v>41640</v>
      </c>
    </row>
    <row r="5254" spans="1:9">
      <c r="A5254" s="16" t="s">
        <v>12181</v>
      </c>
      <c r="B5254" s="1" t="s">
        <v>2628</v>
      </c>
      <c r="C5254" s="1">
        <v>321</v>
      </c>
      <c r="D5254" s="1" t="s">
        <v>52</v>
      </c>
      <c r="E5254" s="1" t="s">
        <v>6</v>
      </c>
      <c r="F5254" s="1" t="s">
        <v>5091</v>
      </c>
      <c r="G5254" s="14" t="s">
        <v>6536</v>
      </c>
      <c r="H5254" s="1" t="s">
        <v>43</v>
      </c>
      <c r="I5254" s="17">
        <v>41640</v>
      </c>
    </row>
    <row r="5255" spans="1:9">
      <c r="A5255" s="16" t="s">
        <v>12212</v>
      </c>
      <c r="B5255" s="1" t="s">
        <v>2628</v>
      </c>
      <c r="C5255" s="1">
        <v>321</v>
      </c>
      <c r="D5255" s="1" t="s">
        <v>52</v>
      </c>
      <c r="E5255" s="1" t="s">
        <v>6</v>
      </c>
      <c r="F5255" s="1" t="s">
        <v>5091</v>
      </c>
      <c r="G5255" s="14" t="s">
        <v>6536</v>
      </c>
      <c r="H5255" s="1" t="s">
        <v>43</v>
      </c>
      <c r="I5255" s="17">
        <v>41640</v>
      </c>
    </row>
    <row r="5256" spans="1:9">
      <c r="A5256" s="16" t="s">
        <v>12223</v>
      </c>
      <c r="B5256" s="1" t="s">
        <v>2628</v>
      </c>
      <c r="C5256" s="1">
        <v>2041</v>
      </c>
      <c r="D5256" s="1" t="s">
        <v>52</v>
      </c>
      <c r="E5256" s="1" t="s">
        <v>6</v>
      </c>
      <c r="F5256" s="1" t="s">
        <v>5091</v>
      </c>
      <c r="G5256" s="14" t="s">
        <v>4458</v>
      </c>
      <c r="H5256" s="1" t="s">
        <v>118</v>
      </c>
      <c r="I5256" s="1" t="s">
        <v>4458</v>
      </c>
    </row>
    <row r="5257" spans="1:9">
      <c r="A5257" s="16" t="s">
        <v>12224</v>
      </c>
      <c r="B5257" s="1" t="s">
        <v>2628</v>
      </c>
      <c r="C5257" s="1">
        <v>321</v>
      </c>
      <c r="D5257" s="1" t="s">
        <v>52</v>
      </c>
      <c r="E5257" s="1" t="s">
        <v>6</v>
      </c>
      <c r="F5257" s="1" t="s">
        <v>5091</v>
      </c>
      <c r="G5257" s="14" t="s">
        <v>6236</v>
      </c>
      <c r="H5257" s="1" t="s">
        <v>43</v>
      </c>
      <c r="I5257" s="17">
        <v>42736</v>
      </c>
    </row>
    <row r="5258" spans="1:9">
      <c r="A5258" s="16" t="s">
        <v>12228</v>
      </c>
      <c r="B5258" s="1" t="s">
        <v>2628</v>
      </c>
      <c r="C5258" s="1">
        <v>321</v>
      </c>
      <c r="D5258" s="1" t="s">
        <v>52</v>
      </c>
      <c r="E5258" s="1" t="s">
        <v>6</v>
      </c>
      <c r="F5258" s="1" t="s">
        <v>5091</v>
      </c>
      <c r="G5258" s="14" t="s">
        <v>6236</v>
      </c>
      <c r="H5258" s="1" t="s">
        <v>43</v>
      </c>
      <c r="I5258" s="17">
        <v>42736</v>
      </c>
    </row>
    <row r="5259" spans="1:9">
      <c r="A5259" s="16" t="s">
        <v>12229</v>
      </c>
      <c r="B5259" s="1" t="s">
        <v>2628</v>
      </c>
      <c r="C5259" s="1">
        <v>321</v>
      </c>
      <c r="D5259" s="1" t="s">
        <v>52</v>
      </c>
      <c r="E5259" s="1" t="s">
        <v>6</v>
      </c>
      <c r="F5259" s="1" t="s">
        <v>5091</v>
      </c>
      <c r="G5259" s="14" t="s">
        <v>6236</v>
      </c>
      <c r="H5259" s="1" t="s">
        <v>43</v>
      </c>
      <c r="I5259" s="17">
        <v>42736</v>
      </c>
    </row>
    <row r="5260" spans="1:9">
      <c r="A5260" s="16" t="s">
        <v>12230</v>
      </c>
      <c r="B5260" s="1" t="s">
        <v>2628</v>
      </c>
      <c r="C5260" s="1">
        <v>321</v>
      </c>
      <c r="D5260" s="1" t="s">
        <v>52</v>
      </c>
      <c r="E5260" s="1" t="s">
        <v>6</v>
      </c>
      <c r="F5260" s="1" t="s">
        <v>5091</v>
      </c>
      <c r="G5260" s="14" t="s">
        <v>6186</v>
      </c>
      <c r="H5260" s="1" t="s">
        <v>5</v>
      </c>
      <c r="I5260" s="17">
        <v>42736</v>
      </c>
    </row>
    <row r="5261" spans="1:9">
      <c r="A5261" s="16" t="s">
        <v>12241</v>
      </c>
      <c r="B5261" s="1" t="s">
        <v>2628</v>
      </c>
      <c r="C5261" s="1">
        <v>321</v>
      </c>
      <c r="D5261" s="1" t="s">
        <v>52</v>
      </c>
      <c r="E5261" s="1" t="s">
        <v>6</v>
      </c>
      <c r="F5261" s="1" t="s">
        <v>5091</v>
      </c>
      <c r="G5261" s="14" t="s">
        <v>4458</v>
      </c>
      <c r="H5261" s="1" t="s">
        <v>118</v>
      </c>
      <c r="I5261" s="1" t="s">
        <v>4458</v>
      </c>
    </row>
    <row r="5262" spans="1:9">
      <c r="A5262" s="16" t="s">
        <v>12242</v>
      </c>
      <c r="B5262" s="1" t="s">
        <v>2628</v>
      </c>
      <c r="C5262" s="1">
        <v>321</v>
      </c>
      <c r="D5262" s="1" t="s">
        <v>52</v>
      </c>
      <c r="E5262" s="1" t="s">
        <v>6</v>
      </c>
      <c r="F5262" s="1" t="s">
        <v>5091</v>
      </c>
      <c r="G5262" s="14" t="s">
        <v>4458</v>
      </c>
      <c r="H5262" s="1" t="s">
        <v>118</v>
      </c>
      <c r="I5262" s="1" t="s">
        <v>4458</v>
      </c>
    </row>
    <row r="5263" spans="1:9">
      <c r="A5263" s="16" t="s">
        <v>12267</v>
      </c>
      <c r="B5263" s="1" t="s">
        <v>2628</v>
      </c>
      <c r="C5263" s="1">
        <v>321</v>
      </c>
      <c r="D5263" s="1" t="s">
        <v>52</v>
      </c>
      <c r="E5263" s="1" t="s">
        <v>6</v>
      </c>
      <c r="F5263" s="1" t="s">
        <v>5091</v>
      </c>
      <c r="G5263" s="14" t="s">
        <v>6145</v>
      </c>
      <c r="H5263" s="1" t="s">
        <v>43</v>
      </c>
      <c r="I5263" s="17">
        <v>42767</v>
      </c>
    </row>
    <row r="5264" spans="1:9">
      <c r="A5264" s="16" t="s">
        <v>12276</v>
      </c>
      <c r="B5264" s="1" t="s">
        <v>2628</v>
      </c>
      <c r="C5264" s="1">
        <v>321</v>
      </c>
      <c r="D5264" s="1" t="s">
        <v>52</v>
      </c>
      <c r="E5264" s="1" t="s">
        <v>6</v>
      </c>
      <c r="F5264" s="1" t="s">
        <v>5091</v>
      </c>
      <c r="G5264" s="14" t="s">
        <v>12277</v>
      </c>
      <c r="H5264" s="1" t="s">
        <v>5</v>
      </c>
      <c r="I5264" s="17">
        <v>41640</v>
      </c>
    </row>
    <row r="5265" spans="1:9">
      <c r="A5265" s="16" t="s">
        <v>12312</v>
      </c>
      <c r="B5265" s="1" t="s">
        <v>2628</v>
      </c>
      <c r="C5265" s="1">
        <v>321</v>
      </c>
      <c r="D5265" s="1" t="s">
        <v>52</v>
      </c>
      <c r="E5265" s="1" t="s">
        <v>6</v>
      </c>
      <c r="F5265" s="1" t="s">
        <v>5091</v>
      </c>
      <c r="G5265" s="14" t="s">
        <v>6450</v>
      </c>
      <c r="H5265" s="1" t="s">
        <v>43</v>
      </c>
      <c r="I5265" s="17">
        <v>41640</v>
      </c>
    </row>
    <row r="5266" spans="1:9">
      <c r="A5266" s="16" t="s">
        <v>12316</v>
      </c>
      <c r="B5266" s="1" t="s">
        <v>2628</v>
      </c>
      <c r="C5266" s="1">
        <v>321</v>
      </c>
      <c r="D5266" s="1" t="s">
        <v>52</v>
      </c>
      <c r="E5266" s="1" t="s">
        <v>6</v>
      </c>
      <c r="F5266" s="1" t="s">
        <v>5091</v>
      </c>
      <c r="G5266" s="14" t="s">
        <v>6450</v>
      </c>
      <c r="H5266" s="1" t="s">
        <v>43</v>
      </c>
      <c r="I5266" s="17">
        <v>41640</v>
      </c>
    </row>
    <row r="5267" spans="1:9">
      <c r="A5267" s="16" t="s">
        <v>12330</v>
      </c>
      <c r="B5267" s="1" t="s">
        <v>2628</v>
      </c>
      <c r="C5267" s="1">
        <v>321</v>
      </c>
      <c r="D5267" s="1" t="s">
        <v>52</v>
      </c>
      <c r="E5267" s="1" t="s">
        <v>6</v>
      </c>
      <c r="F5267" s="1" t="s">
        <v>5091</v>
      </c>
      <c r="G5267" s="14" t="s">
        <v>6450</v>
      </c>
      <c r="H5267" s="1" t="s">
        <v>43</v>
      </c>
      <c r="I5267" s="17">
        <v>41640</v>
      </c>
    </row>
    <row r="5268" spans="1:9">
      <c r="A5268" s="16" t="s">
        <v>12336</v>
      </c>
      <c r="B5268" s="1" t="s">
        <v>2628</v>
      </c>
      <c r="C5268" s="1">
        <v>321</v>
      </c>
      <c r="D5268" s="1" t="s">
        <v>52</v>
      </c>
      <c r="E5268" s="1" t="s">
        <v>6</v>
      </c>
      <c r="F5268" s="1" t="s">
        <v>5091</v>
      </c>
      <c r="G5268" s="14" t="s">
        <v>6450</v>
      </c>
      <c r="H5268" s="1" t="s">
        <v>43</v>
      </c>
      <c r="I5268" s="17">
        <v>41640</v>
      </c>
    </row>
    <row r="5269" spans="1:9">
      <c r="A5269" s="16" t="s">
        <v>12338</v>
      </c>
      <c r="B5269" s="1" t="s">
        <v>2628</v>
      </c>
      <c r="C5269" s="1">
        <v>321</v>
      </c>
      <c r="D5269" s="1" t="s">
        <v>52</v>
      </c>
      <c r="E5269" s="1" t="s">
        <v>6</v>
      </c>
      <c r="F5269" s="1" t="s">
        <v>5091</v>
      </c>
      <c r="G5269" s="14" t="s">
        <v>6450</v>
      </c>
      <c r="H5269" s="1" t="s">
        <v>43</v>
      </c>
      <c r="I5269" s="17">
        <v>41640</v>
      </c>
    </row>
    <row r="5270" spans="1:9">
      <c r="A5270" s="16" t="s">
        <v>12355</v>
      </c>
      <c r="B5270" s="1" t="s">
        <v>2628</v>
      </c>
      <c r="C5270" s="1">
        <v>321</v>
      </c>
      <c r="D5270" s="1" t="s">
        <v>52</v>
      </c>
      <c r="E5270" s="1" t="s">
        <v>6</v>
      </c>
      <c r="F5270" s="1" t="s">
        <v>5091</v>
      </c>
      <c r="G5270" s="14" t="s">
        <v>12356</v>
      </c>
      <c r="H5270" s="1" t="s">
        <v>5</v>
      </c>
      <c r="I5270" s="17">
        <v>41291</v>
      </c>
    </row>
    <row r="5271" spans="1:9">
      <c r="A5271" s="16" t="s">
        <v>12412</v>
      </c>
      <c r="B5271" s="1" t="s">
        <v>2628</v>
      </c>
      <c r="C5271" s="1">
        <v>321</v>
      </c>
      <c r="D5271" s="1" t="s">
        <v>52</v>
      </c>
      <c r="E5271" s="1" t="s">
        <v>6</v>
      </c>
      <c r="F5271" s="1" t="s">
        <v>5091</v>
      </c>
      <c r="G5271" s="14" t="s">
        <v>6450</v>
      </c>
      <c r="H5271" s="1" t="s">
        <v>43</v>
      </c>
      <c r="I5271" s="17">
        <v>42370</v>
      </c>
    </row>
    <row r="5272" spans="1:9">
      <c r="A5272" s="16" t="s">
        <v>12421</v>
      </c>
      <c r="B5272" s="1" t="s">
        <v>2628</v>
      </c>
      <c r="C5272" s="1">
        <v>321</v>
      </c>
      <c r="D5272" s="1" t="s">
        <v>52</v>
      </c>
      <c r="E5272" s="1" t="s">
        <v>6</v>
      </c>
      <c r="F5272" s="1" t="s">
        <v>5091</v>
      </c>
      <c r="G5272" s="14" t="s">
        <v>6145</v>
      </c>
      <c r="H5272" s="1" t="s">
        <v>43</v>
      </c>
      <c r="I5272" s="17">
        <v>42370</v>
      </c>
    </row>
    <row r="5273" spans="1:9">
      <c r="A5273" s="16" t="s">
        <v>12477</v>
      </c>
      <c r="B5273" s="1" t="s">
        <v>2628</v>
      </c>
      <c r="C5273" s="1">
        <v>321</v>
      </c>
      <c r="D5273" s="1" t="s">
        <v>52</v>
      </c>
      <c r="E5273" s="1" t="s">
        <v>6</v>
      </c>
      <c r="F5273" s="1" t="s">
        <v>5091</v>
      </c>
      <c r="G5273" s="14" t="s">
        <v>8658</v>
      </c>
      <c r="H5273" s="1" t="s">
        <v>5</v>
      </c>
      <c r="I5273" s="17">
        <v>40102</v>
      </c>
    </row>
    <row r="5274" spans="1:9">
      <c r="A5274" s="16" t="s">
        <v>12478</v>
      </c>
      <c r="B5274" s="1" t="s">
        <v>2628</v>
      </c>
      <c r="C5274" s="1">
        <v>321</v>
      </c>
      <c r="D5274" s="1" t="s">
        <v>52</v>
      </c>
      <c r="E5274" s="1" t="s">
        <v>6</v>
      </c>
      <c r="F5274" s="1" t="s">
        <v>5091</v>
      </c>
      <c r="G5274" s="14" t="s">
        <v>12479</v>
      </c>
      <c r="H5274" s="1" t="s">
        <v>5</v>
      </c>
      <c r="I5274" s="17">
        <v>40434</v>
      </c>
    </row>
    <row r="5275" spans="1:9">
      <c r="A5275" s="16" t="s">
        <v>12507</v>
      </c>
      <c r="B5275" s="1" t="s">
        <v>2628</v>
      </c>
      <c r="C5275" s="1">
        <v>321</v>
      </c>
      <c r="D5275" s="1" t="s">
        <v>52</v>
      </c>
      <c r="E5275" s="1" t="s">
        <v>6</v>
      </c>
      <c r="F5275" s="1" t="s">
        <v>5091</v>
      </c>
      <c r="G5275" s="14" t="s">
        <v>6145</v>
      </c>
      <c r="H5275" s="1" t="s">
        <v>43</v>
      </c>
      <c r="I5275" s="17">
        <v>42370</v>
      </c>
    </row>
    <row r="5276" spans="1:9">
      <c r="A5276" s="16" t="s">
        <v>12508</v>
      </c>
      <c r="B5276" s="1" t="s">
        <v>2628</v>
      </c>
      <c r="C5276" s="1">
        <v>321</v>
      </c>
      <c r="D5276" s="1" t="s">
        <v>52</v>
      </c>
      <c r="E5276" s="1" t="s">
        <v>6</v>
      </c>
      <c r="F5276" s="1" t="s">
        <v>5091</v>
      </c>
      <c r="G5276" s="14" t="s">
        <v>6145</v>
      </c>
      <c r="H5276" s="1" t="s">
        <v>43</v>
      </c>
      <c r="I5276" s="17">
        <v>42370</v>
      </c>
    </row>
    <row r="5277" spans="1:9">
      <c r="A5277" s="16" t="s">
        <v>12509</v>
      </c>
      <c r="B5277" s="1" t="s">
        <v>2628</v>
      </c>
      <c r="C5277" s="1">
        <v>321</v>
      </c>
      <c r="D5277" s="1" t="s">
        <v>52</v>
      </c>
      <c r="E5277" s="1" t="s">
        <v>6</v>
      </c>
      <c r="F5277" s="1" t="s">
        <v>5091</v>
      </c>
      <c r="G5277" s="14" t="s">
        <v>6450</v>
      </c>
      <c r="H5277" s="1" t="s">
        <v>43</v>
      </c>
      <c r="I5277" s="17">
        <v>42370</v>
      </c>
    </row>
    <row r="5278" spans="1:9">
      <c r="A5278" s="16" t="s">
        <v>12513</v>
      </c>
      <c r="B5278" s="1" t="s">
        <v>2628</v>
      </c>
      <c r="C5278" s="1">
        <v>321</v>
      </c>
      <c r="D5278" s="1" t="s">
        <v>52</v>
      </c>
      <c r="E5278" s="1" t="s">
        <v>6</v>
      </c>
      <c r="F5278" s="1" t="s">
        <v>5091</v>
      </c>
      <c r="G5278" s="14" t="s">
        <v>6145</v>
      </c>
      <c r="H5278" s="1" t="s">
        <v>43</v>
      </c>
      <c r="I5278" s="17">
        <v>42370</v>
      </c>
    </row>
    <row r="5279" spans="1:9">
      <c r="A5279" s="16" t="s">
        <v>12514</v>
      </c>
      <c r="B5279" s="1" t="s">
        <v>2631</v>
      </c>
      <c r="C5279" s="1">
        <v>321</v>
      </c>
      <c r="D5279" s="1" t="s">
        <v>52</v>
      </c>
      <c r="E5279" s="1" t="s">
        <v>6</v>
      </c>
      <c r="F5279" s="1" t="s">
        <v>5091</v>
      </c>
      <c r="G5279" s="1" t="s">
        <v>6450</v>
      </c>
      <c r="H5279" s="1" t="s">
        <v>43</v>
      </c>
      <c r="I5279" s="17">
        <v>42370</v>
      </c>
    </row>
    <row r="5280" spans="1:9">
      <c r="A5280" s="16" t="s">
        <v>12515</v>
      </c>
      <c r="B5280" s="1" t="s">
        <v>2628</v>
      </c>
      <c r="C5280" s="1">
        <v>321</v>
      </c>
      <c r="D5280" s="1" t="s">
        <v>52</v>
      </c>
      <c r="E5280" s="1" t="s">
        <v>6</v>
      </c>
      <c r="F5280" s="1" t="s">
        <v>5091</v>
      </c>
      <c r="G5280" s="14" t="s">
        <v>6145</v>
      </c>
      <c r="H5280" s="1" t="s">
        <v>43</v>
      </c>
      <c r="I5280" s="17">
        <v>42370</v>
      </c>
    </row>
    <row r="5281" spans="1:9">
      <c r="A5281" s="16" t="s">
        <v>12517</v>
      </c>
      <c r="B5281" s="1" t="s">
        <v>2628</v>
      </c>
      <c r="C5281" s="1">
        <v>321</v>
      </c>
      <c r="D5281" s="1" t="s">
        <v>52</v>
      </c>
      <c r="E5281" s="1" t="s">
        <v>6</v>
      </c>
      <c r="F5281" s="1" t="s">
        <v>5091</v>
      </c>
      <c r="G5281" s="14" t="s">
        <v>6145</v>
      </c>
      <c r="H5281" s="1" t="s">
        <v>43</v>
      </c>
      <c r="I5281" s="17">
        <v>42370</v>
      </c>
    </row>
    <row r="5282" spans="1:9">
      <c r="A5282" s="16" t="s">
        <v>12518</v>
      </c>
      <c r="B5282" s="1" t="s">
        <v>2628</v>
      </c>
      <c r="C5282" s="1">
        <v>321</v>
      </c>
      <c r="D5282" s="1" t="s">
        <v>52</v>
      </c>
      <c r="E5282" s="1" t="s">
        <v>6</v>
      </c>
      <c r="F5282" s="1" t="s">
        <v>5091</v>
      </c>
      <c r="G5282" s="14" t="s">
        <v>6145</v>
      </c>
      <c r="H5282" s="1" t="s">
        <v>43</v>
      </c>
      <c r="I5282" s="17">
        <v>42370</v>
      </c>
    </row>
    <row r="5283" spans="1:9">
      <c r="A5283" s="16" t="s">
        <v>12519</v>
      </c>
      <c r="B5283" s="1" t="s">
        <v>2628</v>
      </c>
      <c r="C5283" s="1">
        <v>321</v>
      </c>
      <c r="D5283" s="1" t="s">
        <v>52</v>
      </c>
      <c r="E5283" s="1" t="s">
        <v>6</v>
      </c>
      <c r="F5283" s="1" t="s">
        <v>5091</v>
      </c>
      <c r="G5283" s="14" t="s">
        <v>6450</v>
      </c>
      <c r="H5283" s="1" t="s">
        <v>43</v>
      </c>
      <c r="I5283" s="17">
        <v>42370</v>
      </c>
    </row>
    <row r="5284" spans="1:9">
      <c r="A5284" s="16" t="s">
        <v>12520</v>
      </c>
      <c r="B5284" s="1" t="s">
        <v>2628</v>
      </c>
      <c r="C5284" s="1">
        <v>321</v>
      </c>
      <c r="D5284" s="1" t="s">
        <v>52</v>
      </c>
      <c r="E5284" s="1" t="s">
        <v>6</v>
      </c>
      <c r="F5284" s="1" t="s">
        <v>5091</v>
      </c>
      <c r="G5284" s="14" t="s">
        <v>6145</v>
      </c>
      <c r="H5284" s="1" t="s">
        <v>43</v>
      </c>
      <c r="I5284" s="17">
        <v>42370</v>
      </c>
    </row>
    <row r="5285" spans="1:9">
      <c r="A5285" s="16" t="s">
        <v>12522</v>
      </c>
      <c r="B5285" s="1" t="s">
        <v>2628</v>
      </c>
      <c r="C5285" s="1">
        <v>321</v>
      </c>
      <c r="D5285" s="1" t="s">
        <v>52</v>
      </c>
      <c r="E5285" s="1" t="s">
        <v>6</v>
      </c>
      <c r="F5285" s="1" t="s">
        <v>5091</v>
      </c>
      <c r="G5285" s="14" t="s">
        <v>6145</v>
      </c>
      <c r="H5285" s="1" t="s">
        <v>43</v>
      </c>
      <c r="I5285" s="17">
        <v>42370</v>
      </c>
    </row>
    <row r="5286" spans="1:9">
      <c r="A5286" s="16" t="s">
        <v>12523</v>
      </c>
      <c r="B5286" s="1" t="s">
        <v>2631</v>
      </c>
      <c r="C5286" s="1">
        <v>321</v>
      </c>
      <c r="D5286" s="1" t="s">
        <v>52</v>
      </c>
      <c r="E5286" s="1" t="s">
        <v>6</v>
      </c>
      <c r="F5286" s="1" t="s">
        <v>5091</v>
      </c>
      <c r="G5286" s="1" t="s">
        <v>6450</v>
      </c>
      <c r="H5286" s="1" t="s">
        <v>43</v>
      </c>
      <c r="I5286" s="17">
        <v>42370</v>
      </c>
    </row>
    <row r="5287" spans="1:9">
      <c r="A5287" s="16" t="s">
        <v>12524</v>
      </c>
      <c r="B5287" s="1" t="s">
        <v>2628</v>
      </c>
      <c r="C5287" s="1">
        <v>321</v>
      </c>
      <c r="D5287" s="1" t="s">
        <v>52</v>
      </c>
      <c r="E5287" s="1" t="s">
        <v>6</v>
      </c>
      <c r="F5287" s="1" t="s">
        <v>5091</v>
      </c>
      <c r="G5287" s="14" t="s">
        <v>6145</v>
      </c>
      <c r="H5287" s="1" t="s">
        <v>43</v>
      </c>
      <c r="I5287" s="17">
        <v>42370</v>
      </c>
    </row>
    <row r="5288" spans="1:9">
      <c r="A5288" s="16" t="s">
        <v>12527</v>
      </c>
      <c r="B5288" s="1" t="s">
        <v>2628</v>
      </c>
      <c r="C5288" s="1">
        <v>321</v>
      </c>
      <c r="D5288" s="1" t="s">
        <v>52</v>
      </c>
      <c r="E5288" s="1" t="s">
        <v>6</v>
      </c>
      <c r="F5288" s="1" t="s">
        <v>5091</v>
      </c>
      <c r="G5288" s="14" t="s">
        <v>6450</v>
      </c>
      <c r="H5288" s="1" t="s">
        <v>43</v>
      </c>
      <c r="I5288" s="17">
        <v>42370</v>
      </c>
    </row>
    <row r="5289" spans="1:9">
      <c r="A5289" s="16" t="s">
        <v>12534</v>
      </c>
      <c r="B5289" s="1" t="s">
        <v>2628</v>
      </c>
      <c r="C5289" s="1">
        <v>321</v>
      </c>
      <c r="D5289" s="1" t="s">
        <v>52</v>
      </c>
      <c r="E5289" s="1" t="s">
        <v>6</v>
      </c>
      <c r="F5289" s="1" t="s">
        <v>5091</v>
      </c>
      <c r="G5289" s="14" t="s">
        <v>6145</v>
      </c>
      <c r="H5289" s="1" t="s">
        <v>43</v>
      </c>
      <c r="I5289" s="17">
        <v>42370</v>
      </c>
    </row>
    <row r="5290" spans="1:9">
      <c r="A5290" s="16" t="s">
        <v>12535</v>
      </c>
      <c r="B5290" s="1" t="s">
        <v>2628</v>
      </c>
      <c r="C5290" s="1">
        <v>321</v>
      </c>
      <c r="D5290" s="1" t="s">
        <v>52</v>
      </c>
      <c r="E5290" s="1" t="s">
        <v>6</v>
      </c>
      <c r="F5290" s="1" t="s">
        <v>5091</v>
      </c>
      <c r="G5290" s="14" t="s">
        <v>6145</v>
      </c>
      <c r="H5290" s="1" t="s">
        <v>43</v>
      </c>
      <c r="I5290" s="17">
        <v>42370</v>
      </c>
    </row>
    <row r="5291" spans="1:9">
      <c r="A5291" s="16" t="s">
        <v>12538</v>
      </c>
      <c r="B5291" s="1" t="s">
        <v>2631</v>
      </c>
      <c r="C5291" s="1">
        <v>321</v>
      </c>
      <c r="D5291" s="1" t="s">
        <v>52</v>
      </c>
      <c r="E5291" s="1" t="s">
        <v>6</v>
      </c>
      <c r="F5291" s="1" t="s">
        <v>5091</v>
      </c>
      <c r="G5291" s="1" t="s">
        <v>6450</v>
      </c>
      <c r="H5291" s="1" t="s">
        <v>43</v>
      </c>
      <c r="I5291" s="17">
        <v>42370</v>
      </c>
    </row>
    <row r="5292" spans="1:9">
      <c r="A5292" s="16" t="s">
        <v>12539</v>
      </c>
      <c r="B5292" s="1" t="s">
        <v>2628</v>
      </c>
      <c r="C5292" s="1">
        <v>321</v>
      </c>
      <c r="D5292" s="1" t="s">
        <v>52</v>
      </c>
      <c r="E5292" s="1" t="s">
        <v>6</v>
      </c>
      <c r="F5292" s="1" t="s">
        <v>5091</v>
      </c>
      <c r="G5292" s="14" t="s">
        <v>6145</v>
      </c>
      <c r="H5292" s="1" t="s">
        <v>43</v>
      </c>
      <c r="I5292" s="17">
        <v>42370</v>
      </c>
    </row>
    <row r="5293" spans="1:9">
      <c r="A5293" s="16" t="s">
        <v>12542</v>
      </c>
      <c r="B5293" s="1" t="s">
        <v>2628</v>
      </c>
      <c r="C5293" s="1">
        <v>321</v>
      </c>
      <c r="D5293" s="1" t="s">
        <v>52</v>
      </c>
      <c r="E5293" s="1" t="s">
        <v>6</v>
      </c>
      <c r="F5293" s="1" t="s">
        <v>5091</v>
      </c>
      <c r="G5293" s="14" t="s">
        <v>6145</v>
      </c>
      <c r="H5293" s="1" t="s">
        <v>43</v>
      </c>
      <c r="I5293" s="17">
        <v>42370</v>
      </c>
    </row>
    <row r="5294" spans="1:9">
      <c r="A5294" s="16" t="s">
        <v>12545</v>
      </c>
      <c r="B5294" s="1" t="s">
        <v>2628</v>
      </c>
      <c r="C5294" s="1">
        <v>321</v>
      </c>
      <c r="D5294" s="1" t="s">
        <v>52</v>
      </c>
      <c r="E5294" s="1" t="s">
        <v>6</v>
      </c>
      <c r="F5294" s="1" t="s">
        <v>5091</v>
      </c>
      <c r="G5294" s="14" t="s">
        <v>6145</v>
      </c>
      <c r="H5294" s="1" t="s">
        <v>43</v>
      </c>
      <c r="I5294" s="17">
        <v>42793</v>
      </c>
    </row>
    <row r="5295" spans="1:9" ht="31.2">
      <c r="A5295" s="16" t="s">
        <v>12559</v>
      </c>
      <c r="B5295" s="1" t="s">
        <v>2628</v>
      </c>
      <c r="C5295" s="1">
        <v>321</v>
      </c>
      <c r="D5295" s="1" t="s">
        <v>52</v>
      </c>
      <c r="E5295" s="1" t="s">
        <v>6</v>
      </c>
      <c r="F5295" s="1" t="s">
        <v>5091</v>
      </c>
      <c r="G5295" s="14" t="s">
        <v>6145</v>
      </c>
      <c r="H5295" s="1" t="s">
        <v>43</v>
      </c>
      <c r="I5295" s="17">
        <v>42759</v>
      </c>
    </row>
    <row r="5296" spans="1:9">
      <c r="A5296" s="16" t="s">
        <v>12566</v>
      </c>
      <c r="B5296" s="1" t="s">
        <v>2628</v>
      </c>
      <c r="C5296" s="1">
        <v>321</v>
      </c>
      <c r="D5296" s="1" t="s">
        <v>52</v>
      </c>
      <c r="E5296" s="1" t="s">
        <v>6</v>
      </c>
      <c r="F5296" s="1" t="s">
        <v>5091</v>
      </c>
      <c r="G5296" s="14" t="s">
        <v>12567</v>
      </c>
      <c r="H5296" s="1" t="s">
        <v>43</v>
      </c>
      <c r="I5296" s="17">
        <v>38859</v>
      </c>
    </row>
    <row r="5297" spans="1:9">
      <c r="A5297" s="16" t="s">
        <v>12568</v>
      </c>
      <c r="B5297" s="1" t="s">
        <v>2628</v>
      </c>
      <c r="C5297" s="1">
        <v>321</v>
      </c>
      <c r="D5297" s="1" t="s">
        <v>52</v>
      </c>
      <c r="E5297" s="1" t="s">
        <v>6</v>
      </c>
      <c r="F5297" s="1" t="s">
        <v>5091</v>
      </c>
      <c r="G5297" s="14" t="s">
        <v>12569</v>
      </c>
      <c r="H5297" s="1" t="s">
        <v>43</v>
      </c>
      <c r="I5297" s="17">
        <v>38859</v>
      </c>
    </row>
    <row r="5298" spans="1:9">
      <c r="A5298" s="16" t="s">
        <v>12570</v>
      </c>
      <c r="B5298" s="1" t="s">
        <v>2628</v>
      </c>
      <c r="C5298" s="1">
        <v>321</v>
      </c>
      <c r="D5298" s="1" t="s">
        <v>52</v>
      </c>
      <c r="E5298" s="1" t="s">
        <v>6</v>
      </c>
      <c r="F5298" s="1" t="s">
        <v>5091</v>
      </c>
      <c r="G5298" s="14" t="s">
        <v>12571</v>
      </c>
      <c r="H5298" s="1" t="s">
        <v>43</v>
      </c>
      <c r="I5298" s="17">
        <v>38859</v>
      </c>
    </row>
    <row r="5299" spans="1:9">
      <c r="A5299" s="16" t="s">
        <v>12572</v>
      </c>
      <c r="B5299" s="1" t="s">
        <v>2628</v>
      </c>
      <c r="C5299" s="1">
        <v>321</v>
      </c>
      <c r="D5299" s="1" t="s">
        <v>52</v>
      </c>
      <c r="E5299" s="1" t="s">
        <v>6</v>
      </c>
      <c r="F5299" s="1" t="s">
        <v>5091</v>
      </c>
      <c r="G5299" s="14" t="s">
        <v>12573</v>
      </c>
      <c r="H5299" s="1" t="s">
        <v>5</v>
      </c>
      <c r="I5299" s="17">
        <v>38859</v>
      </c>
    </row>
    <row r="5300" spans="1:9">
      <c r="A5300" s="16" t="s">
        <v>12574</v>
      </c>
      <c r="B5300" s="1" t="s">
        <v>2628</v>
      </c>
      <c r="C5300" s="1">
        <v>321</v>
      </c>
      <c r="D5300" s="1" t="s">
        <v>52</v>
      </c>
      <c r="E5300" s="1" t="s">
        <v>6</v>
      </c>
      <c r="F5300" s="1" t="s">
        <v>5091</v>
      </c>
      <c r="G5300" s="14" t="s">
        <v>12575</v>
      </c>
      <c r="H5300" s="1" t="s">
        <v>5</v>
      </c>
      <c r="I5300" s="17">
        <v>38859</v>
      </c>
    </row>
    <row r="5301" spans="1:9">
      <c r="A5301" s="16" t="s">
        <v>12578</v>
      </c>
      <c r="B5301" s="1" t="s">
        <v>2628</v>
      </c>
      <c r="C5301" s="1">
        <v>2041</v>
      </c>
      <c r="D5301" s="1" t="s">
        <v>52</v>
      </c>
      <c r="E5301" s="1" t="s">
        <v>6</v>
      </c>
      <c r="F5301" s="1" t="s">
        <v>5091</v>
      </c>
      <c r="G5301" s="14" t="s">
        <v>4458</v>
      </c>
      <c r="H5301" s="1" t="s">
        <v>118</v>
      </c>
      <c r="I5301" s="1" t="s">
        <v>4458</v>
      </c>
    </row>
    <row r="5302" spans="1:9">
      <c r="A5302" s="16" t="s">
        <v>12581</v>
      </c>
      <c r="B5302" s="1" t="s">
        <v>2628</v>
      </c>
      <c r="C5302" s="1">
        <v>321</v>
      </c>
      <c r="D5302" s="1" t="s">
        <v>52</v>
      </c>
      <c r="E5302" s="1" t="s">
        <v>6</v>
      </c>
      <c r="F5302" s="1" t="s">
        <v>5091</v>
      </c>
      <c r="G5302" s="14" t="s">
        <v>11775</v>
      </c>
      <c r="H5302" s="1" t="s">
        <v>5</v>
      </c>
      <c r="I5302" s="17">
        <v>42736</v>
      </c>
    </row>
    <row r="5303" spans="1:9">
      <c r="A5303" s="16" t="s">
        <v>12582</v>
      </c>
      <c r="B5303" s="1" t="s">
        <v>2628</v>
      </c>
      <c r="C5303" s="1">
        <v>321</v>
      </c>
      <c r="D5303" s="1" t="s">
        <v>52</v>
      </c>
      <c r="E5303" s="1" t="s">
        <v>6</v>
      </c>
      <c r="F5303" s="1" t="s">
        <v>5091</v>
      </c>
      <c r="G5303" s="14" t="s">
        <v>12583</v>
      </c>
      <c r="H5303" s="1" t="s">
        <v>43</v>
      </c>
      <c r="I5303" s="17">
        <v>38859</v>
      </c>
    </row>
    <row r="5304" spans="1:9">
      <c r="A5304" s="16" t="s">
        <v>12590</v>
      </c>
      <c r="B5304" s="1" t="s">
        <v>2628</v>
      </c>
      <c r="C5304" s="1">
        <v>321</v>
      </c>
      <c r="D5304" s="1" t="s">
        <v>52</v>
      </c>
      <c r="E5304" s="1" t="s">
        <v>6</v>
      </c>
      <c r="F5304" s="1" t="s">
        <v>5091</v>
      </c>
      <c r="G5304" s="14" t="s">
        <v>6606</v>
      </c>
      <c r="H5304" s="1" t="s">
        <v>5</v>
      </c>
      <c r="I5304" s="17">
        <v>39814</v>
      </c>
    </row>
    <row r="5305" spans="1:9">
      <c r="A5305" s="16" t="s">
        <v>12619</v>
      </c>
      <c r="B5305" s="1" t="s">
        <v>2628</v>
      </c>
      <c r="C5305" s="1">
        <v>321</v>
      </c>
      <c r="D5305" s="1" t="s">
        <v>52</v>
      </c>
      <c r="E5305" s="1" t="s">
        <v>6</v>
      </c>
      <c r="F5305" s="1" t="s">
        <v>5091</v>
      </c>
      <c r="G5305" s="14" t="s">
        <v>12620</v>
      </c>
      <c r="H5305" s="1" t="s">
        <v>5</v>
      </c>
      <c r="I5305" s="17">
        <v>40585</v>
      </c>
    </row>
    <row r="5306" spans="1:9">
      <c r="A5306" s="16" t="s">
        <v>12624</v>
      </c>
      <c r="B5306" s="1" t="s">
        <v>2628</v>
      </c>
      <c r="C5306" s="1">
        <v>321</v>
      </c>
      <c r="D5306" s="1" t="s">
        <v>52</v>
      </c>
      <c r="E5306" s="1" t="s">
        <v>6</v>
      </c>
      <c r="F5306" s="1" t="s">
        <v>5091</v>
      </c>
      <c r="G5306" s="14" t="s">
        <v>4458</v>
      </c>
      <c r="H5306" s="1" t="s">
        <v>118</v>
      </c>
      <c r="I5306" s="17">
        <v>42736</v>
      </c>
    </row>
    <row r="5307" spans="1:9" ht="31.2">
      <c r="A5307" s="16" t="s">
        <v>12628</v>
      </c>
      <c r="B5307" s="1" t="s">
        <v>2628</v>
      </c>
      <c r="C5307" s="1">
        <v>321</v>
      </c>
      <c r="D5307" s="1" t="s">
        <v>52</v>
      </c>
      <c r="E5307" s="1" t="s">
        <v>6</v>
      </c>
      <c r="F5307" s="1" t="s">
        <v>5091</v>
      </c>
      <c r="G5307" s="14" t="s">
        <v>6450</v>
      </c>
      <c r="H5307" s="1" t="s">
        <v>43</v>
      </c>
      <c r="I5307" s="17">
        <v>42370</v>
      </c>
    </row>
    <row r="5308" spans="1:9">
      <c r="A5308" s="16" t="s">
        <v>12629</v>
      </c>
      <c r="B5308" s="1" t="s">
        <v>2628</v>
      </c>
      <c r="C5308" s="1">
        <v>321</v>
      </c>
      <c r="D5308" s="1" t="s">
        <v>52</v>
      </c>
      <c r="E5308" s="1" t="s">
        <v>6</v>
      </c>
      <c r="F5308" s="1" t="s">
        <v>5091</v>
      </c>
      <c r="G5308" s="14" t="s">
        <v>6145</v>
      </c>
      <c r="H5308" s="1" t="s">
        <v>43</v>
      </c>
      <c r="I5308" s="17">
        <v>42370</v>
      </c>
    </row>
    <row r="5309" spans="1:9">
      <c r="A5309" s="16" t="s">
        <v>12631</v>
      </c>
      <c r="B5309" s="1" t="s">
        <v>2628</v>
      </c>
      <c r="C5309" s="1">
        <v>321</v>
      </c>
      <c r="D5309" s="1" t="s">
        <v>52</v>
      </c>
      <c r="E5309" s="1" t="s">
        <v>6</v>
      </c>
      <c r="F5309" s="1" t="s">
        <v>5091</v>
      </c>
      <c r="G5309" s="14" t="s">
        <v>4458</v>
      </c>
      <c r="H5309" s="1" t="s">
        <v>118</v>
      </c>
      <c r="I5309" s="17">
        <v>40544</v>
      </c>
    </row>
    <row r="5310" spans="1:9">
      <c r="A5310" s="16" t="s">
        <v>12646</v>
      </c>
      <c r="B5310" s="1" t="s">
        <v>2628</v>
      </c>
      <c r="C5310" s="1">
        <v>321</v>
      </c>
      <c r="D5310" s="1" t="s">
        <v>52</v>
      </c>
      <c r="E5310" s="1" t="s">
        <v>6</v>
      </c>
      <c r="F5310" s="1" t="s">
        <v>5091</v>
      </c>
      <c r="G5310" s="14" t="s">
        <v>4458</v>
      </c>
      <c r="H5310" s="1" t="s">
        <v>118</v>
      </c>
      <c r="I5310" s="17">
        <v>42795</v>
      </c>
    </row>
    <row r="5311" spans="1:9">
      <c r="A5311" s="16" t="s">
        <v>12647</v>
      </c>
      <c r="B5311" s="1" t="s">
        <v>2628</v>
      </c>
      <c r="C5311" s="1">
        <v>321</v>
      </c>
      <c r="D5311" s="1" t="s">
        <v>52</v>
      </c>
      <c r="E5311" s="1" t="s">
        <v>6</v>
      </c>
      <c r="F5311" s="1" t="s">
        <v>5091</v>
      </c>
      <c r="G5311" s="14" t="s">
        <v>4458</v>
      </c>
      <c r="H5311" s="1" t="s">
        <v>118</v>
      </c>
      <c r="I5311" s="17">
        <v>42795</v>
      </c>
    </row>
    <row r="5312" spans="1:9">
      <c r="A5312" s="16" t="s">
        <v>12649</v>
      </c>
      <c r="B5312" s="1" t="s">
        <v>2628</v>
      </c>
      <c r="C5312" s="1">
        <v>321</v>
      </c>
      <c r="D5312" s="1" t="s">
        <v>52</v>
      </c>
      <c r="E5312" s="1" t="s">
        <v>6</v>
      </c>
      <c r="F5312" s="1" t="s">
        <v>5091</v>
      </c>
      <c r="G5312" s="14" t="s">
        <v>4458</v>
      </c>
      <c r="H5312" s="1" t="s">
        <v>118</v>
      </c>
      <c r="I5312" s="17">
        <v>42795</v>
      </c>
    </row>
    <row r="5313" spans="1:9">
      <c r="A5313" s="16" t="s">
        <v>12650</v>
      </c>
      <c r="B5313" s="1" t="s">
        <v>2628</v>
      </c>
      <c r="C5313" s="1">
        <v>321</v>
      </c>
      <c r="D5313" s="1" t="s">
        <v>52</v>
      </c>
      <c r="E5313" s="1" t="s">
        <v>6</v>
      </c>
      <c r="F5313" s="1" t="s">
        <v>5091</v>
      </c>
      <c r="G5313" s="14" t="s">
        <v>4458</v>
      </c>
      <c r="H5313" s="1" t="s">
        <v>118</v>
      </c>
      <c r="I5313" s="17">
        <v>42795</v>
      </c>
    </row>
    <row r="5314" spans="1:9">
      <c r="A5314" s="16" t="s">
        <v>12653</v>
      </c>
      <c r="B5314" s="1" t="s">
        <v>2628</v>
      </c>
      <c r="C5314" s="1">
        <v>321</v>
      </c>
      <c r="D5314" s="1" t="s">
        <v>52</v>
      </c>
      <c r="E5314" s="1" t="s">
        <v>6</v>
      </c>
      <c r="F5314" s="1" t="s">
        <v>5091</v>
      </c>
      <c r="G5314" s="14" t="s">
        <v>4458</v>
      </c>
      <c r="H5314" s="1" t="s">
        <v>118</v>
      </c>
      <c r="I5314" s="17">
        <v>42795</v>
      </c>
    </row>
    <row r="5315" spans="1:9">
      <c r="A5315" s="16" t="s">
        <v>12654</v>
      </c>
      <c r="B5315" s="1" t="s">
        <v>2628</v>
      </c>
      <c r="C5315" s="1">
        <v>321</v>
      </c>
      <c r="D5315" s="1" t="s">
        <v>52</v>
      </c>
      <c r="E5315" s="1" t="s">
        <v>6</v>
      </c>
      <c r="F5315" s="1" t="s">
        <v>5091</v>
      </c>
      <c r="G5315" s="14" t="s">
        <v>4458</v>
      </c>
      <c r="H5315" s="1" t="s">
        <v>118</v>
      </c>
      <c r="I5315" s="17">
        <v>42802</v>
      </c>
    </row>
    <row r="5316" spans="1:9">
      <c r="A5316" s="16" t="s">
        <v>12655</v>
      </c>
      <c r="B5316" s="1" t="s">
        <v>2628</v>
      </c>
      <c r="C5316" s="1">
        <v>321</v>
      </c>
      <c r="D5316" s="1" t="s">
        <v>52</v>
      </c>
      <c r="E5316" s="1" t="s">
        <v>6</v>
      </c>
      <c r="F5316" s="1" t="s">
        <v>5091</v>
      </c>
      <c r="G5316" s="14" t="s">
        <v>4458</v>
      </c>
      <c r="H5316" s="1" t="s">
        <v>118</v>
      </c>
      <c r="I5316" s="17">
        <v>42802</v>
      </c>
    </row>
    <row r="5317" spans="1:9">
      <c r="A5317" s="16" t="s">
        <v>12656</v>
      </c>
      <c r="B5317" s="1" t="s">
        <v>2628</v>
      </c>
      <c r="C5317" s="1">
        <v>321</v>
      </c>
      <c r="D5317" s="1" t="s">
        <v>52</v>
      </c>
      <c r="E5317" s="1" t="s">
        <v>6</v>
      </c>
      <c r="F5317" s="1" t="s">
        <v>5091</v>
      </c>
      <c r="G5317" s="14" t="s">
        <v>4458</v>
      </c>
      <c r="H5317" s="1" t="s">
        <v>118</v>
      </c>
      <c r="I5317" s="17">
        <v>42802</v>
      </c>
    </row>
    <row r="5318" spans="1:9">
      <c r="A5318" s="16" t="s">
        <v>12657</v>
      </c>
      <c r="B5318" s="1" t="s">
        <v>2628</v>
      </c>
      <c r="C5318" s="1">
        <v>321</v>
      </c>
      <c r="D5318" s="1" t="s">
        <v>52</v>
      </c>
      <c r="E5318" s="1" t="s">
        <v>6</v>
      </c>
      <c r="F5318" s="1" t="s">
        <v>5091</v>
      </c>
      <c r="G5318" s="14" t="s">
        <v>4458</v>
      </c>
      <c r="H5318" s="1" t="s">
        <v>118</v>
      </c>
      <c r="I5318" s="17">
        <v>42802</v>
      </c>
    </row>
    <row r="5319" spans="1:9">
      <c r="A5319" s="16" t="s">
        <v>12658</v>
      </c>
      <c r="B5319" s="1" t="s">
        <v>2628</v>
      </c>
      <c r="C5319" s="1">
        <v>321</v>
      </c>
      <c r="D5319" s="1" t="s">
        <v>52</v>
      </c>
      <c r="E5319" s="1" t="s">
        <v>6</v>
      </c>
      <c r="F5319" s="1" t="s">
        <v>5091</v>
      </c>
      <c r="G5319" s="14" t="s">
        <v>4458</v>
      </c>
      <c r="H5319" s="1" t="s">
        <v>118</v>
      </c>
      <c r="I5319" s="17">
        <v>42802</v>
      </c>
    </row>
    <row r="5320" spans="1:9">
      <c r="A5320" s="16" t="s">
        <v>12659</v>
      </c>
      <c r="B5320" s="1" t="s">
        <v>2628</v>
      </c>
      <c r="C5320" s="1">
        <v>321</v>
      </c>
      <c r="D5320" s="1" t="s">
        <v>52</v>
      </c>
      <c r="E5320" s="1" t="s">
        <v>6</v>
      </c>
      <c r="F5320" s="1" t="s">
        <v>5091</v>
      </c>
      <c r="G5320" s="14" t="s">
        <v>4458</v>
      </c>
      <c r="H5320" s="1" t="s">
        <v>118</v>
      </c>
      <c r="I5320" s="17">
        <v>42802</v>
      </c>
    </row>
    <row r="5321" spans="1:9">
      <c r="A5321" s="16" t="s">
        <v>12660</v>
      </c>
      <c r="B5321" s="1" t="s">
        <v>2628</v>
      </c>
      <c r="C5321" s="1">
        <v>321</v>
      </c>
      <c r="D5321" s="1" t="s">
        <v>52</v>
      </c>
      <c r="E5321" s="1" t="s">
        <v>6</v>
      </c>
      <c r="F5321" s="1" t="s">
        <v>5091</v>
      </c>
      <c r="G5321" s="14" t="s">
        <v>4458</v>
      </c>
      <c r="H5321" s="1" t="s">
        <v>118</v>
      </c>
      <c r="I5321" s="17">
        <v>42802</v>
      </c>
    </row>
    <row r="5322" spans="1:9">
      <c r="A5322" s="16" t="s">
        <v>12661</v>
      </c>
      <c r="B5322" s="1" t="s">
        <v>2628</v>
      </c>
      <c r="C5322" s="1">
        <v>321</v>
      </c>
      <c r="D5322" s="1" t="s">
        <v>52</v>
      </c>
      <c r="E5322" s="1" t="s">
        <v>6</v>
      </c>
      <c r="F5322" s="1" t="s">
        <v>5091</v>
      </c>
      <c r="G5322" s="14" t="s">
        <v>4458</v>
      </c>
      <c r="H5322" s="1" t="s">
        <v>118</v>
      </c>
      <c r="I5322" s="17">
        <v>42802</v>
      </c>
    </row>
    <row r="5323" spans="1:9">
      <c r="A5323" s="16" t="s">
        <v>12662</v>
      </c>
      <c r="B5323" s="1" t="s">
        <v>2628</v>
      </c>
      <c r="C5323" s="1">
        <v>321</v>
      </c>
      <c r="D5323" s="1" t="s">
        <v>52</v>
      </c>
      <c r="E5323" s="1" t="s">
        <v>6</v>
      </c>
      <c r="F5323" s="1" t="s">
        <v>5091</v>
      </c>
      <c r="G5323" s="14" t="s">
        <v>4458</v>
      </c>
      <c r="H5323" s="1" t="s">
        <v>118</v>
      </c>
      <c r="I5323" s="17">
        <v>42802</v>
      </c>
    </row>
    <row r="5324" spans="1:9">
      <c r="A5324" s="16" t="s">
        <v>12663</v>
      </c>
      <c r="B5324" s="1" t="s">
        <v>2628</v>
      </c>
      <c r="C5324" s="1">
        <v>321</v>
      </c>
      <c r="D5324" s="1" t="s">
        <v>52</v>
      </c>
      <c r="E5324" s="1" t="s">
        <v>6</v>
      </c>
      <c r="F5324" s="1" t="s">
        <v>5091</v>
      </c>
      <c r="G5324" s="14" t="s">
        <v>4458</v>
      </c>
      <c r="H5324" s="1" t="s">
        <v>118</v>
      </c>
      <c r="I5324" s="17">
        <v>42802</v>
      </c>
    </row>
    <row r="5325" spans="1:9">
      <c r="A5325" s="16" t="s">
        <v>12665</v>
      </c>
      <c r="B5325" s="1" t="s">
        <v>2628</v>
      </c>
      <c r="C5325" s="1">
        <v>321</v>
      </c>
      <c r="D5325" s="1" t="s">
        <v>52</v>
      </c>
      <c r="E5325" s="1" t="s">
        <v>6</v>
      </c>
      <c r="F5325" s="1" t="s">
        <v>5091</v>
      </c>
      <c r="G5325" s="14" t="s">
        <v>4458</v>
      </c>
      <c r="H5325" s="1" t="s">
        <v>118</v>
      </c>
      <c r="I5325" s="17">
        <v>42802</v>
      </c>
    </row>
    <row r="5326" spans="1:9">
      <c r="A5326" s="16" t="s">
        <v>12666</v>
      </c>
      <c r="B5326" s="1" t="s">
        <v>2628</v>
      </c>
      <c r="C5326" s="1">
        <v>321</v>
      </c>
      <c r="D5326" s="1" t="s">
        <v>52</v>
      </c>
      <c r="E5326" s="1" t="s">
        <v>6</v>
      </c>
      <c r="F5326" s="1" t="s">
        <v>5091</v>
      </c>
      <c r="G5326" s="14" t="s">
        <v>4458</v>
      </c>
      <c r="H5326" s="1" t="s">
        <v>118</v>
      </c>
      <c r="I5326" s="17">
        <v>42802</v>
      </c>
    </row>
    <row r="5327" spans="1:9">
      <c r="A5327" s="16" t="s">
        <v>12667</v>
      </c>
      <c r="B5327" s="1" t="s">
        <v>2628</v>
      </c>
      <c r="C5327" s="1">
        <v>321</v>
      </c>
      <c r="D5327" s="1" t="s">
        <v>52</v>
      </c>
      <c r="E5327" s="1" t="s">
        <v>6</v>
      </c>
      <c r="F5327" s="1" t="s">
        <v>5091</v>
      </c>
      <c r="G5327" s="14" t="s">
        <v>4458</v>
      </c>
      <c r="H5327" s="1" t="s">
        <v>118</v>
      </c>
      <c r="I5327" s="17">
        <v>42802</v>
      </c>
    </row>
    <row r="5328" spans="1:9">
      <c r="A5328" s="16" t="s">
        <v>12668</v>
      </c>
      <c r="B5328" s="1" t="s">
        <v>2628</v>
      </c>
      <c r="C5328" s="1">
        <v>321</v>
      </c>
      <c r="D5328" s="1" t="s">
        <v>52</v>
      </c>
      <c r="E5328" s="1" t="s">
        <v>6</v>
      </c>
      <c r="F5328" s="1" t="s">
        <v>5091</v>
      </c>
      <c r="G5328" s="14" t="s">
        <v>4458</v>
      </c>
      <c r="H5328" s="1" t="s">
        <v>118</v>
      </c>
      <c r="I5328" s="17">
        <v>42802</v>
      </c>
    </row>
    <row r="5329" spans="1:9">
      <c r="A5329" s="16" t="s">
        <v>12669</v>
      </c>
      <c r="B5329" s="1" t="s">
        <v>2628</v>
      </c>
      <c r="C5329" s="1">
        <v>321</v>
      </c>
      <c r="D5329" s="1" t="s">
        <v>52</v>
      </c>
      <c r="E5329" s="1" t="s">
        <v>6</v>
      </c>
      <c r="F5329" s="1" t="s">
        <v>5091</v>
      </c>
      <c r="G5329" s="14" t="s">
        <v>4458</v>
      </c>
      <c r="H5329" s="1" t="s">
        <v>118</v>
      </c>
      <c r="I5329" s="17">
        <v>42802</v>
      </c>
    </row>
    <row r="5330" spans="1:9">
      <c r="A5330" s="16" t="s">
        <v>12671</v>
      </c>
      <c r="B5330" s="1" t="s">
        <v>2628</v>
      </c>
      <c r="C5330" s="1">
        <v>321</v>
      </c>
      <c r="D5330" s="1" t="s">
        <v>52</v>
      </c>
      <c r="E5330" s="1" t="s">
        <v>6</v>
      </c>
      <c r="F5330" s="1" t="s">
        <v>5091</v>
      </c>
      <c r="G5330" s="14" t="s">
        <v>4458</v>
      </c>
      <c r="H5330" s="1" t="s">
        <v>118</v>
      </c>
      <c r="I5330" s="17">
        <v>42802</v>
      </c>
    </row>
    <row r="5331" spans="1:9">
      <c r="A5331" s="16" t="s">
        <v>12672</v>
      </c>
      <c r="B5331" s="1" t="s">
        <v>2628</v>
      </c>
      <c r="C5331" s="1">
        <v>321</v>
      </c>
      <c r="D5331" s="1" t="s">
        <v>52</v>
      </c>
      <c r="E5331" s="1" t="s">
        <v>6</v>
      </c>
      <c r="F5331" s="1" t="s">
        <v>5091</v>
      </c>
      <c r="G5331" s="14" t="s">
        <v>4458</v>
      </c>
      <c r="H5331" s="1" t="s">
        <v>118</v>
      </c>
      <c r="I5331" s="17">
        <v>42802</v>
      </c>
    </row>
    <row r="5332" spans="1:9">
      <c r="A5332" s="16" t="s">
        <v>12673</v>
      </c>
      <c r="B5332" s="1" t="s">
        <v>2628</v>
      </c>
      <c r="C5332" s="1">
        <v>321</v>
      </c>
      <c r="D5332" s="1" t="s">
        <v>52</v>
      </c>
      <c r="E5332" s="1" t="s">
        <v>6</v>
      </c>
      <c r="F5332" s="1" t="s">
        <v>5091</v>
      </c>
      <c r="G5332" s="14" t="s">
        <v>4458</v>
      </c>
      <c r="H5332" s="1" t="s">
        <v>118</v>
      </c>
      <c r="I5332" s="17">
        <v>42802</v>
      </c>
    </row>
    <row r="5333" spans="1:9">
      <c r="A5333" s="16" t="s">
        <v>12677</v>
      </c>
      <c r="B5333" s="1" t="s">
        <v>2628</v>
      </c>
      <c r="C5333" s="1">
        <v>321</v>
      </c>
      <c r="D5333" s="1" t="s">
        <v>52</v>
      </c>
      <c r="E5333" s="1" t="s">
        <v>6</v>
      </c>
      <c r="F5333" s="1" t="s">
        <v>5091</v>
      </c>
      <c r="G5333" s="14" t="s">
        <v>4458</v>
      </c>
      <c r="H5333" s="1" t="s">
        <v>118</v>
      </c>
      <c r="I5333" s="17">
        <v>42802</v>
      </c>
    </row>
    <row r="5334" spans="1:9">
      <c r="A5334" s="16" t="s">
        <v>12678</v>
      </c>
      <c r="B5334" s="1" t="s">
        <v>2628</v>
      </c>
      <c r="C5334" s="1">
        <v>321</v>
      </c>
      <c r="D5334" s="1" t="s">
        <v>52</v>
      </c>
      <c r="E5334" s="1" t="s">
        <v>6</v>
      </c>
      <c r="F5334" s="1" t="s">
        <v>5091</v>
      </c>
      <c r="G5334" s="14" t="s">
        <v>4458</v>
      </c>
      <c r="H5334" s="1" t="s">
        <v>118</v>
      </c>
      <c r="I5334" s="17">
        <v>42802</v>
      </c>
    </row>
    <row r="5335" spans="1:9">
      <c r="A5335" s="16" t="s">
        <v>12683</v>
      </c>
      <c r="B5335" s="1" t="s">
        <v>2628</v>
      </c>
      <c r="C5335" s="1">
        <v>321</v>
      </c>
      <c r="D5335" s="1" t="s">
        <v>52</v>
      </c>
      <c r="E5335" s="1" t="s">
        <v>6</v>
      </c>
      <c r="F5335" s="1" t="s">
        <v>5091</v>
      </c>
      <c r="G5335" s="14" t="s">
        <v>4458</v>
      </c>
      <c r="H5335" s="1" t="s">
        <v>118</v>
      </c>
      <c r="I5335" s="17">
        <v>42802</v>
      </c>
    </row>
    <row r="5336" spans="1:9">
      <c r="A5336" s="16" t="s">
        <v>12684</v>
      </c>
      <c r="B5336" s="1" t="s">
        <v>2628</v>
      </c>
      <c r="C5336" s="1">
        <v>321</v>
      </c>
      <c r="D5336" s="1" t="s">
        <v>52</v>
      </c>
      <c r="E5336" s="1" t="s">
        <v>6</v>
      </c>
      <c r="F5336" s="1" t="s">
        <v>5091</v>
      </c>
      <c r="G5336" s="14" t="s">
        <v>4458</v>
      </c>
      <c r="H5336" s="1" t="s">
        <v>118</v>
      </c>
      <c r="I5336" s="17">
        <v>42802</v>
      </c>
    </row>
    <row r="5337" spans="1:9">
      <c r="A5337" s="16" t="s">
        <v>12685</v>
      </c>
      <c r="B5337" s="1" t="s">
        <v>2628</v>
      </c>
      <c r="C5337" s="1">
        <v>321</v>
      </c>
      <c r="D5337" s="1" t="s">
        <v>52</v>
      </c>
      <c r="E5337" s="1" t="s">
        <v>6</v>
      </c>
      <c r="F5337" s="1" t="s">
        <v>5091</v>
      </c>
      <c r="G5337" s="14" t="s">
        <v>4458</v>
      </c>
      <c r="H5337" s="1" t="s">
        <v>118</v>
      </c>
      <c r="I5337" s="17">
        <v>42802</v>
      </c>
    </row>
    <row r="5338" spans="1:9">
      <c r="A5338" s="16" t="s">
        <v>12686</v>
      </c>
      <c r="B5338" s="1" t="s">
        <v>2628</v>
      </c>
      <c r="C5338" s="1">
        <v>321</v>
      </c>
      <c r="D5338" s="1" t="s">
        <v>52</v>
      </c>
      <c r="E5338" s="1" t="s">
        <v>6</v>
      </c>
      <c r="F5338" s="1" t="s">
        <v>5091</v>
      </c>
      <c r="G5338" s="14" t="s">
        <v>4458</v>
      </c>
      <c r="H5338" s="1" t="s">
        <v>118</v>
      </c>
      <c r="I5338" s="17">
        <v>42736</v>
      </c>
    </row>
    <row r="5339" spans="1:9">
      <c r="A5339" s="16" t="s">
        <v>12690</v>
      </c>
      <c r="B5339" s="1" t="s">
        <v>2628</v>
      </c>
      <c r="C5339" s="1">
        <v>321</v>
      </c>
      <c r="D5339" s="1" t="s">
        <v>52</v>
      </c>
      <c r="E5339" s="1" t="s">
        <v>6</v>
      </c>
      <c r="F5339" s="1" t="s">
        <v>5091</v>
      </c>
      <c r="G5339" s="14" t="s">
        <v>4458</v>
      </c>
      <c r="H5339" s="1" t="s">
        <v>118</v>
      </c>
      <c r="I5339" s="17">
        <v>42736</v>
      </c>
    </row>
    <row r="5340" spans="1:9">
      <c r="A5340" s="16" t="s">
        <v>12691</v>
      </c>
      <c r="B5340" s="1" t="s">
        <v>2628</v>
      </c>
      <c r="C5340" s="1">
        <v>321</v>
      </c>
      <c r="D5340" s="1" t="s">
        <v>52</v>
      </c>
      <c r="E5340" s="1" t="s">
        <v>6</v>
      </c>
      <c r="F5340" s="1" t="s">
        <v>5091</v>
      </c>
      <c r="G5340" s="14" t="s">
        <v>4458</v>
      </c>
      <c r="H5340" s="1" t="s">
        <v>118</v>
      </c>
      <c r="I5340" s="17">
        <v>42736</v>
      </c>
    </row>
    <row r="5341" spans="1:9">
      <c r="A5341" s="16" t="s">
        <v>12692</v>
      </c>
      <c r="B5341" s="1" t="s">
        <v>2628</v>
      </c>
      <c r="C5341" s="1">
        <v>321</v>
      </c>
      <c r="D5341" s="1" t="s">
        <v>52</v>
      </c>
      <c r="E5341" s="1" t="s">
        <v>6</v>
      </c>
      <c r="F5341" s="1" t="s">
        <v>5091</v>
      </c>
      <c r="G5341" s="14" t="s">
        <v>4458</v>
      </c>
      <c r="H5341" s="1" t="s">
        <v>118</v>
      </c>
      <c r="I5341" s="17">
        <v>42802</v>
      </c>
    </row>
    <row r="5342" spans="1:9">
      <c r="A5342" s="16" t="s">
        <v>12693</v>
      </c>
      <c r="B5342" s="1" t="s">
        <v>2628</v>
      </c>
      <c r="C5342" s="1">
        <v>321</v>
      </c>
      <c r="D5342" s="1" t="s">
        <v>52</v>
      </c>
      <c r="E5342" s="1" t="s">
        <v>6</v>
      </c>
      <c r="F5342" s="1" t="s">
        <v>5091</v>
      </c>
      <c r="G5342" s="14" t="s">
        <v>4458</v>
      </c>
      <c r="H5342" s="1" t="s">
        <v>118</v>
      </c>
      <c r="I5342" s="17">
        <v>42802</v>
      </c>
    </row>
    <row r="5343" spans="1:9">
      <c r="A5343" s="16" t="s">
        <v>12696</v>
      </c>
      <c r="B5343" s="1" t="s">
        <v>2628</v>
      </c>
      <c r="C5343" s="1">
        <v>321</v>
      </c>
      <c r="D5343" s="1" t="s">
        <v>52</v>
      </c>
      <c r="E5343" s="1" t="s">
        <v>6</v>
      </c>
      <c r="F5343" s="1" t="s">
        <v>5091</v>
      </c>
      <c r="G5343" s="14" t="s">
        <v>4458</v>
      </c>
      <c r="H5343" s="1" t="s">
        <v>118</v>
      </c>
      <c r="I5343" s="17">
        <v>42736</v>
      </c>
    </row>
    <row r="5344" spans="1:9">
      <c r="A5344" s="16" t="s">
        <v>12705</v>
      </c>
      <c r="B5344" s="1" t="s">
        <v>2628</v>
      </c>
      <c r="C5344" s="1">
        <v>321</v>
      </c>
      <c r="D5344" s="1" t="s">
        <v>52</v>
      </c>
      <c r="E5344" s="1" t="s">
        <v>6</v>
      </c>
      <c r="F5344" s="1" t="s">
        <v>5091</v>
      </c>
      <c r="G5344" s="14" t="s">
        <v>10691</v>
      </c>
      <c r="H5344" s="1" t="s">
        <v>5</v>
      </c>
      <c r="I5344" s="17">
        <v>40585</v>
      </c>
    </row>
    <row r="5345" spans="1:9">
      <c r="A5345" s="16" t="s">
        <v>12706</v>
      </c>
      <c r="B5345" s="1" t="s">
        <v>2628</v>
      </c>
      <c r="C5345" s="1">
        <v>321</v>
      </c>
      <c r="D5345" s="1" t="s">
        <v>52</v>
      </c>
      <c r="E5345" s="1" t="s">
        <v>6</v>
      </c>
      <c r="F5345" s="1" t="s">
        <v>5091</v>
      </c>
      <c r="G5345" s="14" t="s">
        <v>12620</v>
      </c>
      <c r="H5345" s="1" t="s">
        <v>5</v>
      </c>
      <c r="I5345" s="17">
        <v>40613</v>
      </c>
    </row>
    <row r="5346" spans="1:9">
      <c r="A5346" s="16" t="s">
        <v>12707</v>
      </c>
      <c r="B5346" s="1" t="s">
        <v>2628</v>
      </c>
      <c r="C5346" s="1">
        <v>321</v>
      </c>
      <c r="D5346" s="1" t="s">
        <v>52</v>
      </c>
      <c r="E5346" s="1" t="s">
        <v>6</v>
      </c>
      <c r="F5346" s="1" t="s">
        <v>5091</v>
      </c>
      <c r="G5346" s="14" t="s">
        <v>12620</v>
      </c>
      <c r="H5346" s="1" t="s">
        <v>5</v>
      </c>
      <c r="I5346" s="17">
        <v>40613</v>
      </c>
    </row>
    <row r="5347" spans="1:9">
      <c r="A5347" s="16" t="s">
        <v>12726</v>
      </c>
      <c r="B5347" s="1" t="s">
        <v>2628</v>
      </c>
      <c r="C5347" s="1">
        <v>321</v>
      </c>
      <c r="D5347" s="1" t="s">
        <v>52</v>
      </c>
      <c r="E5347" s="1" t="s">
        <v>6</v>
      </c>
      <c r="F5347" s="1" t="s">
        <v>5091</v>
      </c>
      <c r="G5347" s="14" t="s">
        <v>4458</v>
      </c>
      <c r="H5347" s="1" t="s">
        <v>118</v>
      </c>
      <c r="I5347" s="17">
        <v>42828</v>
      </c>
    </row>
    <row r="5348" spans="1:9">
      <c r="A5348" s="16" t="s">
        <v>12727</v>
      </c>
      <c r="B5348" s="1" t="s">
        <v>2628</v>
      </c>
      <c r="C5348" s="1">
        <v>321</v>
      </c>
      <c r="D5348" s="1" t="s">
        <v>52</v>
      </c>
      <c r="E5348" s="1" t="s">
        <v>6</v>
      </c>
      <c r="F5348" s="1" t="s">
        <v>5091</v>
      </c>
      <c r="G5348" s="14" t="s">
        <v>4458</v>
      </c>
      <c r="H5348" s="1" t="s">
        <v>118</v>
      </c>
      <c r="I5348" s="17">
        <v>42828</v>
      </c>
    </row>
    <row r="5349" spans="1:9">
      <c r="A5349" s="16" t="s">
        <v>12728</v>
      </c>
      <c r="B5349" s="1" t="s">
        <v>2628</v>
      </c>
      <c r="C5349" s="1">
        <v>321</v>
      </c>
      <c r="D5349" s="1" t="s">
        <v>52</v>
      </c>
      <c r="E5349" s="1" t="s">
        <v>6</v>
      </c>
      <c r="F5349" s="1" t="s">
        <v>5091</v>
      </c>
      <c r="G5349" s="14" t="s">
        <v>4458</v>
      </c>
      <c r="H5349" s="1" t="s">
        <v>118</v>
      </c>
      <c r="I5349" s="17">
        <v>42828</v>
      </c>
    </row>
    <row r="5350" spans="1:9">
      <c r="A5350" s="16" t="s">
        <v>12729</v>
      </c>
      <c r="B5350" s="1" t="s">
        <v>2628</v>
      </c>
      <c r="C5350" s="1">
        <v>321</v>
      </c>
      <c r="D5350" s="1" t="s">
        <v>52</v>
      </c>
      <c r="E5350" s="1" t="s">
        <v>6</v>
      </c>
      <c r="F5350" s="1" t="s">
        <v>5091</v>
      </c>
      <c r="G5350" s="14" t="s">
        <v>4458</v>
      </c>
      <c r="H5350" s="1" t="s">
        <v>118</v>
      </c>
      <c r="I5350" s="17">
        <v>42828</v>
      </c>
    </row>
    <row r="5351" spans="1:9">
      <c r="A5351" s="16" t="s">
        <v>12730</v>
      </c>
      <c r="B5351" s="1" t="s">
        <v>2628</v>
      </c>
      <c r="C5351" s="1">
        <v>321</v>
      </c>
      <c r="D5351" s="1" t="s">
        <v>52</v>
      </c>
      <c r="E5351" s="1" t="s">
        <v>6</v>
      </c>
      <c r="F5351" s="1" t="s">
        <v>5091</v>
      </c>
      <c r="G5351" s="14" t="s">
        <v>4458</v>
      </c>
      <c r="H5351" s="1" t="s">
        <v>118</v>
      </c>
      <c r="I5351" s="17">
        <v>42828</v>
      </c>
    </row>
    <row r="5352" spans="1:9">
      <c r="A5352" s="16" t="s">
        <v>12731</v>
      </c>
      <c r="B5352" s="1" t="s">
        <v>2628</v>
      </c>
      <c r="C5352" s="1">
        <v>321</v>
      </c>
      <c r="D5352" s="1" t="s">
        <v>52</v>
      </c>
      <c r="E5352" s="1" t="s">
        <v>6</v>
      </c>
      <c r="F5352" s="1" t="s">
        <v>5091</v>
      </c>
      <c r="G5352" s="14" t="s">
        <v>4458</v>
      </c>
      <c r="H5352" s="1" t="s">
        <v>118</v>
      </c>
      <c r="I5352" s="17">
        <v>42828</v>
      </c>
    </row>
    <row r="5353" spans="1:9">
      <c r="A5353" s="16" t="s">
        <v>12732</v>
      </c>
      <c r="B5353" s="1" t="s">
        <v>2628</v>
      </c>
      <c r="C5353" s="1">
        <v>321</v>
      </c>
      <c r="D5353" s="1" t="s">
        <v>52</v>
      </c>
      <c r="E5353" s="1" t="s">
        <v>6</v>
      </c>
      <c r="F5353" s="1" t="s">
        <v>5091</v>
      </c>
      <c r="G5353" s="14" t="s">
        <v>4458</v>
      </c>
      <c r="H5353" s="1" t="s">
        <v>118</v>
      </c>
      <c r="I5353" s="17">
        <v>42829</v>
      </c>
    </row>
    <row r="5354" spans="1:9">
      <c r="A5354" s="16" t="s">
        <v>12733</v>
      </c>
      <c r="B5354" s="1" t="s">
        <v>2628</v>
      </c>
      <c r="C5354" s="1">
        <v>321</v>
      </c>
      <c r="D5354" s="1" t="s">
        <v>52</v>
      </c>
      <c r="E5354" s="1" t="s">
        <v>6</v>
      </c>
      <c r="F5354" s="1" t="s">
        <v>5091</v>
      </c>
      <c r="G5354" s="14" t="s">
        <v>4458</v>
      </c>
      <c r="H5354" s="1" t="s">
        <v>118</v>
      </c>
      <c r="I5354" s="17">
        <v>42829</v>
      </c>
    </row>
    <row r="5355" spans="1:9">
      <c r="A5355" s="16" t="s">
        <v>12734</v>
      </c>
      <c r="B5355" s="1" t="s">
        <v>2628</v>
      </c>
      <c r="C5355" s="1">
        <v>321</v>
      </c>
      <c r="D5355" s="1" t="s">
        <v>52</v>
      </c>
      <c r="E5355" s="1" t="s">
        <v>6</v>
      </c>
      <c r="F5355" s="1" t="s">
        <v>5091</v>
      </c>
      <c r="G5355" s="14" t="s">
        <v>4458</v>
      </c>
      <c r="H5355" s="1" t="s">
        <v>118</v>
      </c>
      <c r="I5355" s="17">
        <v>42829</v>
      </c>
    </row>
    <row r="5356" spans="1:9">
      <c r="A5356" s="16" t="s">
        <v>12735</v>
      </c>
      <c r="B5356" s="1" t="s">
        <v>2628</v>
      </c>
      <c r="C5356" s="1">
        <v>321</v>
      </c>
      <c r="D5356" s="1" t="s">
        <v>52</v>
      </c>
      <c r="E5356" s="1" t="s">
        <v>6</v>
      </c>
      <c r="F5356" s="1" t="s">
        <v>5091</v>
      </c>
      <c r="G5356" s="14" t="s">
        <v>4458</v>
      </c>
      <c r="H5356" s="1" t="s">
        <v>118</v>
      </c>
      <c r="I5356" s="17">
        <v>42829</v>
      </c>
    </row>
    <row r="5357" spans="1:9">
      <c r="A5357" s="16" t="s">
        <v>12736</v>
      </c>
      <c r="B5357" s="1" t="s">
        <v>2628</v>
      </c>
      <c r="C5357" s="1">
        <v>321</v>
      </c>
      <c r="D5357" s="1" t="s">
        <v>52</v>
      </c>
      <c r="E5357" s="1" t="s">
        <v>6</v>
      </c>
      <c r="F5357" s="1" t="s">
        <v>5091</v>
      </c>
      <c r="G5357" s="14" t="s">
        <v>4458</v>
      </c>
      <c r="H5357" s="1" t="s">
        <v>118</v>
      </c>
      <c r="I5357" s="17">
        <v>42829</v>
      </c>
    </row>
    <row r="5358" spans="1:9">
      <c r="A5358" s="16" t="s">
        <v>12737</v>
      </c>
      <c r="B5358" s="1" t="s">
        <v>2628</v>
      </c>
      <c r="C5358" s="1">
        <v>321</v>
      </c>
      <c r="D5358" s="1" t="s">
        <v>52</v>
      </c>
      <c r="E5358" s="1" t="s">
        <v>6</v>
      </c>
      <c r="F5358" s="1" t="s">
        <v>5091</v>
      </c>
      <c r="G5358" s="14" t="s">
        <v>4458</v>
      </c>
      <c r="H5358" s="1" t="s">
        <v>118</v>
      </c>
      <c r="I5358" s="17">
        <v>42829</v>
      </c>
    </row>
    <row r="5359" spans="1:9">
      <c r="A5359" s="16" t="s">
        <v>12738</v>
      </c>
      <c r="B5359" s="1" t="s">
        <v>2628</v>
      </c>
      <c r="C5359" s="1">
        <v>321</v>
      </c>
      <c r="D5359" s="1" t="s">
        <v>52</v>
      </c>
      <c r="E5359" s="1" t="s">
        <v>6</v>
      </c>
      <c r="F5359" s="1" t="s">
        <v>5091</v>
      </c>
      <c r="G5359" s="14" t="s">
        <v>4458</v>
      </c>
      <c r="H5359" s="1" t="s">
        <v>118</v>
      </c>
      <c r="I5359" s="17">
        <v>42829</v>
      </c>
    </row>
    <row r="5360" spans="1:9">
      <c r="A5360" s="16" t="s">
        <v>12739</v>
      </c>
      <c r="B5360" s="1" t="s">
        <v>2628</v>
      </c>
      <c r="C5360" s="1">
        <v>321</v>
      </c>
      <c r="D5360" s="1" t="s">
        <v>52</v>
      </c>
      <c r="E5360" s="1" t="s">
        <v>6</v>
      </c>
      <c r="F5360" s="1" t="s">
        <v>5091</v>
      </c>
      <c r="G5360" s="14" t="s">
        <v>4458</v>
      </c>
      <c r="H5360" s="1" t="s">
        <v>118</v>
      </c>
      <c r="I5360" s="17">
        <v>42829</v>
      </c>
    </row>
    <row r="5361" spans="1:9">
      <c r="A5361" s="16" t="s">
        <v>12780</v>
      </c>
      <c r="B5361" s="1" t="s">
        <v>2628</v>
      </c>
      <c r="C5361" s="1">
        <v>321</v>
      </c>
      <c r="D5361" s="1" t="s">
        <v>52</v>
      </c>
      <c r="E5361" s="1" t="s">
        <v>6</v>
      </c>
      <c r="F5361" s="1" t="s">
        <v>5091</v>
      </c>
      <c r="G5361" s="14" t="s">
        <v>6145</v>
      </c>
      <c r="H5361" s="1" t="s">
        <v>43</v>
      </c>
      <c r="I5361" s="17">
        <v>40858</v>
      </c>
    </row>
    <row r="5362" spans="1:9">
      <c r="A5362" s="16" t="s">
        <v>12782</v>
      </c>
      <c r="B5362" s="1" t="s">
        <v>2628</v>
      </c>
      <c r="C5362" s="1">
        <v>321</v>
      </c>
      <c r="D5362" s="1" t="s">
        <v>52</v>
      </c>
      <c r="E5362" s="1" t="s">
        <v>6</v>
      </c>
      <c r="F5362" s="1" t="s">
        <v>5091</v>
      </c>
      <c r="G5362" s="14" t="s">
        <v>6145</v>
      </c>
      <c r="H5362" s="1" t="s">
        <v>43</v>
      </c>
      <c r="I5362" s="17">
        <v>40858</v>
      </c>
    </row>
    <row r="5363" spans="1:9">
      <c r="A5363" s="16" t="s">
        <v>12783</v>
      </c>
      <c r="B5363" s="1" t="s">
        <v>2628</v>
      </c>
      <c r="C5363" s="1">
        <v>321</v>
      </c>
      <c r="D5363" s="1" t="s">
        <v>52</v>
      </c>
      <c r="E5363" s="1" t="s">
        <v>6</v>
      </c>
      <c r="F5363" s="1" t="s">
        <v>5091</v>
      </c>
      <c r="G5363" s="14" t="s">
        <v>6145</v>
      </c>
      <c r="H5363" s="1" t="s">
        <v>43</v>
      </c>
      <c r="I5363" s="17">
        <v>40858</v>
      </c>
    </row>
    <row r="5364" spans="1:9">
      <c r="A5364" s="16" t="s">
        <v>12785</v>
      </c>
      <c r="B5364" s="1" t="s">
        <v>2628</v>
      </c>
      <c r="C5364" s="1">
        <v>321</v>
      </c>
      <c r="D5364" s="1" t="s">
        <v>52</v>
      </c>
      <c r="E5364" s="1" t="s">
        <v>6</v>
      </c>
      <c r="F5364" s="1" t="s">
        <v>5091</v>
      </c>
      <c r="G5364" s="14" t="s">
        <v>6145</v>
      </c>
      <c r="H5364" s="1" t="s">
        <v>43</v>
      </c>
      <c r="I5364" s="17">
        <v>40613</v>
      </c>
    </row>
    <row r="5365" spans="1:9" ht="31.2">
      <c r="A5365" s="16" t="s">
        <v>12786</v>
      </c>
      <c r="B5365" s="1" t="s">
        <v>2628</v>
      </c>
      <c r="C5365" s="1">
        <v>321</v>
      </c>
      <c r="D5365" s="1" t="s">
        <v>52</v>
      </c>
      <c r="E5365" s="1" t="s">
        <v>6</v>
      </c>
      <c r="F5365" s="1" t="s">
        <v>5091</v>
      </c>
      <c r="G5365" s="14" t="s">
        <v>4458</v>
      </c>
      <c r="H5365" s="1" t="s">
        <v>118</v>
      </c>
      <c r="I5365" s="17">
        <v>42802</v>
      </c>
    </row>
    <row r="5366" spans="1:9">
      <c r="A5366" s="16" t="s">
        <v>12808</v>
      </c>
      <c r="B5366" s="1" t="s">
        <v>2628</v>
      </c>
      <c r="C5366" s="1">
        <v>321</v>
      </c>
      <c r="D5366" s="1" t="s">
        <v>52</v>
      </c>
      <c r="E5366" s="1" t="s">
        <v>6</v>
      </c>
      <c r="F5366" s="1" t="s">
        <v>5091</v>
      </c>
      <c r="G5366" s="14" t="s">
        <v>6236</v>
      </c>
      <c r="H5366" s="1" t="s">
        <v>43</v>
      </c>
      <c r="I5366" s="17">
        <v>40544</v>
      </c>
    </row>
    <row r="5367" spans="1:9">
      <c r="A5367" s="16" t="s">
        <v>12810</v>
      </c>
      <c r="B5367" s="1" t="s">
        <v>2628</v>
      </c>
      <c r="C5367" s="1">
        <v>321</v>
      </c>
      <c r="D5367" s="1" t="s">
        <v>52</v>
      </c>
      <c r="E5367" s="1" t="s">
        <v>6</v>
      </c>
      <c r="F5367" s="1" t="s">
        <v>5091</v>
      </c>
      <c r="G5367" s="14" t="s">
        <v>6236</v>
      </c>
      <c r="H5367" s="1" t="s">
        <v>43</v>
      </c>
      <c r="I5367" s="17">
        <v>40544</v>
      </c>
    </row>
    <row r="5368" spans="1:9">
      <c r="A5368" s="16" t="s">
        <v>12818</v>
      </c>
      <c r="B5368" s="1" t="s">
        <v>2628</v>
      </c>
      <c r="C5368" s="1">
        <v>321</v>
      </c>
      <c r="D5368" s="1" t="s">
        <v>52</v>
      </c>
      <c r="E5368" s="1" t="s">
        <v>6</v>
      </c>
      <c r="F5368" s="1" t="s">
        <v>5091</v>
      </c>
      <c r="G5368" s="14" t="s">
        <v>6186</v>
      </c>
      <c r="H5368" s="1" t="s">
        <v>5</v>
      </c>
      <c r="I5368" s="17">
        <v>42736</v>
      </c>
    </row>
    <row r="5369" spans="1:9">
      <c r="A5369" s="16" t="s">
        <v>12823</v>
      </c>
      <c r="B5369" s="1" t="s">
        <v>2628</v>
      </c>
      <c r="C5369" s="1">
        <v>321</v>
      </c>
      <c r="D5369" s="1" t="s">
        <v>52</v>
      </c>
      <c r="E5369" s="1" t="s">
        <v>6</v>
      </c>
      <c r="F5369" s="1" t="s">
        <v>5091</v>
      </c>
      <c r="G5369" s="14" t="s">
        <v>6145</v>
      </c>
      <c r="H5369" s="1" t="s">
        <v>43</v>
      </c>
      <c r="I5369" s="17">
        <v>41072</v>
      </c>
    </row>
    <row r="5370" spans="1:9">
      <c r="A5370" s="16" t="s">
        <v>12848</v>
      </c>
      <c r="B5370" s="1" t="s">
        <v>2628</v>
      </c>
      <c r="C5370" s="1">
        <v>321</v>
      </c>
      <c r="D5370" s="1" t="s">
        <v>52</v>
      </c>
      <c r="E5370" s="1" t="s">
        <v>6</v>
      </c>
      <c r="F5370" s="1" t="s">
        <v>5091</v>
      </c>
      <c r="G5370" s="14" t="s">
        <v>6145</v>
      </c>
      <c r="H5370" s="1" t="s">
        <v>43</v>
      </c>
      <c r="I5370" s="17">
        <v>41072</v>
      </c>
    </row>
    <row r="5371" spans="1:9">
      <c r="A5371" s="16" t="s">
        <v>12903</v>
      </c>
      <c r="B5371" s="1" t="s">
        <v>2628</v>
      </c>
      <c r="C5371" s="1">
        <v>321</v>
      </c>
      <c r="D5371" s="1" t="s">
        <v>52</v>
      </c>
      <c r="E5371" s="1" t="s">
        <v>6</v>
      </c>
      <c r="F5371" s="1" t="s">
        <v>5091</v>
      </c>
      <c r="G5371" s="14" t="s">
        <v>9884</v>
      </c>
      <c r="H5371" s="1" t="s">
        <v>5</v>
      </c>
      <c r="I5371" s="17">
        <v>37587</v>
      </c>
    </row>
    <row r="5372" spans="1:9">
      <c r="A5372" s="16" t="s">
        <v>12904</v>
      </c>
      <c r="B5372" s="1" t="s">
        <v>2628</v>
      </c>
      <c r="C5372" s="1">
        <v>321</v>
      </c>
      <c r="D5372" s="1" t="s">
        <v>52</v>
      </c>
      <c r="E5372" s="1" t="s">
        <v>6</v>
      </c>
      <c r="F5372" s="1" t="s">
        <v>5091</v>
      </c>
      <c r="G5372" s="14" t="s">
        <v>9884</v>
      </c>
      <c r="H5372" s="1" t="s">
        <v>5</v>
      </c>
      <c r="I5372" s="17">
        <v>37587</v>
      </c>
    </row>
    <row r="5373" spans="1:9">
      <c r="A5373" s="16" t="s">
        <v>12905</v>
      </c>
      <c r="B5373" s="1" t="s">
        <v>2628</v>
      </c>
      <c r="C5373" s="1">
        <v>321</v>
      </c>
      <c r="D5373" s="1" t="s">
        <v>52</v>
      </c>
      <c r="E5373" s="1" t="s">
        <v>6</v>
      </c>
      <c r="F5373" s="1" t="s">
        <v>5091</v>
      </c>
      <c r="G5373" s="14" t="s">
        <v>9884</v>
      </c>
      <c r="H5373" s="1" t="s">
        <v>5</v>
      </c>
      <c r="I5373" s="17">
        <v>37587</v>
      </c>
    </row>
    <row r="5374" spans="1:9">
      <c r="A5374" s="16" t="s">
        <v>12906</v>
      </c>
      <c r="B5374" s="1" t="s">
        <v>2628</v>
      </c>
      <c r="C5374" s="1">
        <v>321</v>
      </c>
      <c r="D5374" s="1" t="s">
        <v>52</v>
      </c>
      <c r="E5374" s="1" t="s">
        <v>6</v>
      </c>
      <c r="F5374" s="1" t="s">
        <v>5091</v>
      </c>
      <c r="G5374" s="14" t="s">
        <v>9884</v>
      </c>
      <c r="H5374" s="1" t="s">
        <v>5</v>
      </c>
      <c r="I5374" s="17">
        <v>37587</v>
      </c>
    </row>
    <row r="5375" spans="1:9">
      <c r="A5375" s="16" t="s">
        <v>12907</v>
      </c>
      <c r="B5375" s="1" t="s">
        <v>2628</v>
      </c>
      <c r="C5375" s="1">
        <v>321</v>
      </c>
      <c r="D5375" s="1" t="s">
        <v>52</v>
      </c>
      <c r="E5375" s="1" t="s">
        <v>6</v>
      </c>
      <c r="F5375" s="1" t="s">
        <v>5091</v>
      </c>
      <c r="G5375" s="14" t="s">
        <v>9884</v>
      </c>
      <c r="H5375" s="1" t="s">
        <v>5</v>
      </c>
      <c r="I5375" s="17">
        <v>37587</v>
      </c>
    </row>
    <row r="5376" spans="1:9">
      <c r="A5376" s="16" t="s">
        <v>12908</v>
      </c>
      <c r="B5376" s="1" t="s">
        <v>2628</v>
      </c>
      <c r="C5376" s="1">
        <v>321</v>
      </c>
      <c r="D5376" s="1" t="s">
        <v>52</v>
      </c>
      <c r="E5376" s="1" t="s">
        <v>6</v>
      </c>
      <c r="F5376" s="1" t="s">
        <v>5091</v>
      </c>
      <c r="G5376" s="14" t="s">
        <v>4458</v>
      </c>
      <c r="H5376" s="1" t="s">
        <v>118</v>
      </c>
      <c r="I5376" s="1" t="s">
        <v>4458</v>
      </c>
    </row>
    <row r="5377" spans="1:10">
      <c r="A5377" s="16" t="s">
        <v>12913</v>
      </c>
      <c r="B5377" s="1" t="s">
        <v>2628</v>
      </c>
      <c r="C5377" s="1">
        <v>321</v>
      </c>
      <c r="D5377" s="1" t="s">
        <v>52</v>
      </c>
      <c r="E5377" s="1" t="s">
        <v>6</v>
      </c>
      <c r="F5377" s="1" t="s">
        <v>5091</v>
      </c>
      <c r="G5377" s="14" t="s">
        <v>6145</v>
      </c>
      <c r="H5377" s="1" t="s">
        <v>43</v>
      </c>
      <c r="I5377" s="17">
        <v>42849</v>
      </c>
    </row>
    <row r="5378" spans="1:10">
      <c r="A5378" s="16" t="s">
        <v>12914</v>
      </c>
      <c r="B5378" s="1" t="s">
        <v>2628</v>
      </c>
      <c r="C5378" s="1">
        <v>321</v>
      </c>
      <c r="D5378" s="1" t="s">
        <v>52</v>
      </c>
      <c r="E5378" s="1" t="s">
        <v>6</v>
      </c>
      <c r="F5378" s="1" t="s">
        <v>5091</v>
      </c>
      <c r="G5378" s="14" t="s">
        <v>6145</v>
      </c>
      <c r="H5378" s="1" t="s">
        <v>43</v>
      </c>
      <c r="I5378" s="17">
        <v>42849</v>
      </c>
    </row>
    <row r="5379" spans="1:10">
      <c r="A5379" s="16" t="s">
        <v>12917</v>
      </c>
      <c r="B5379" s="1" t="s">
        <v>2628</v>
      </c>
      <c r="C5379" s="1">
        <v>321</v>
      </c>
      <c r="D5379" s="1" t="s">
        <v>52</v>
      </c>
      <c r="E5379" s="1" t="s">
        <v>6</v>
      </c>
      <c r="F5379" s="1" t="s">
        <v>5091</v>
      </c>
      <c r="G5379" s="14" t="s">
        <v>4458</v>
      </c>
      <c r="H5379" s="1" t="s">
        <v>118</v>
      </c>
      <c r="I5379" s="17">
        <v>42814</v>
      </c>
    </row>
    <row r="5380" spans="1:10">
      <c r="A5380" s="16" t="s">
        <v>12918</v>
      </c>
      <c r="B5380" s="1" t="s">
        <v>2628</v>
      </c>
      <c r="C5380" s="1">
        <v>321</v>
      </c>
      <c r="D5380" s="1" t="s">
        <v>52</v>
      </c>
      <c r="E5380" s="1" t="s">
        <v>6</v>
      </c>
      <c r="F5380" s="1" t="s">
        <v>5091</v>
      </c>
      <c r="G5380" s="14" t="s">
        <v>4458</v>
      </c>
      <c r="H5380" s="1" t="s">
        <v>118</v>
      </c>
      <c r="I5380" s="17">
        <v>42814</v>
      </c>
    </row>
    <row r="5381" spans="1:10">
      <c r="A5381" s="16" t="s">
        <v>12955</v>
      </c>
      <c r="B5381" s="1" t="s">
        <v>2628</v>
      </c>
      <c r="C5381" s="1">
        <v>321</v>
      </c>
      <c r="D5381" s="1" t="s">
        <v>52</v>
      </c>
      <c r="E5381" s="1" t="s">
        <v>6</v>
      </c>
      <c r="F5381" s="1" t="s">
        <v>5091</v>
      </c>
      <c r="G5381" s="14" t="s">
        <v>6530</v>
      </c>
      <c r="H5381" s="1" t="s">
        <v>43</v>
      </c>
      <c r="I5381" s="17">
        <v>39728</v>
      </c>
      <c r="J5381" s="11"/>
    </row>
    <row r="5382" spans="1:10">
      <c r="A5382" s="16" t="s">
        <v>12956</v>
      </c>
      <c r="B5382" s="1" t="s">
        <v>2628</v>
      </c>
      <c r="C5382" s="1">
        <v>321</v>
      </c>
      <c r="D5382" s="1" t="s">
        <v>52</v>
      </c>
      <c r="E5382" s="1" t="s">
        <v>6</v>
      </c>
      <c r="F5382" s="1" t="s">
        <v>5091</v>
      </c>
      <c r="G5382" s="14" t="s">
        <v>6530</v>
      </c>
      <c r="H5382" s="1" t="s">
        <v>43</v>
      </c>
      <c r="I5382" s="17">
        <v>39728</v>
      </c>
    </row>
    <row r="5383" spans="1:10">
      <c r="A5383" s="16" t="s">
        <v>12957</v>
      </c>
      <c r="B5383" s="1" t="s">
        <v>2628</v>
      </c>
      <c r="C5383" s="1">
        <v>321</v>
      </c>
      <c r="D5383" s="1" t="s">
        <v>52</v>
      </c>
      <c r="E5383" s="1" t="s">
        <v>6</v>
      </c>
      <c r="F5383" s="1" t="s">
        <v>5091</v>
      </c>
      <c r="G5383" s="14" t="s">
        <v>6530</v>
      </c>
      <c r="H5383" s="1" t="s">
        <v>43</v>
      </c>
      <c r="I5383" s="17">
        <v>39728</v>
      </c>
    </row>
    <row r="5384" spans="1:10">
      <c r="A5384" s="16" t="s">
        <v>12958</v>
      </c>
      <c r="B5384" s="1" t="s">
        <v>2628</v>
      </c>
      <c r="C5384" s="1">
        <v>321</v>
      </c>
      <c r="D5384" s="1" t="s">
        <v>52</v>
      </c>
      <c r="E5384" s="1" t="s">
        <v>6</v>
      </c>
      <c r="F5384" s="1" t="s">
        <v>5091</v>
      </c>
      <c r="G5384" s="14" t="s">
        <v>6530</v>
      </c>
      <c r="H5384" s="1" t="s">
        <v>43</v>
      </c>
      <c r="I5384" s="17">
        <v>39728</v>
      </c>
    </row>
    <row r="5385" spans="1:10">
      <c r="A5385" s="16" t="s">
        <v>12984</v>
      </c>
      <c r="B5385" s="1" t="s">
        <v>2628</v>
      </c>
      <c r="C5385" s="1">
        <v>321</v>
      </c>
      <c r="D5385" s="1" t="s">
        <v>52</v>
      </c>
      <c r="E5385" s="1" t="s">
        <v>6</v>
      </c>
      <c r="F5385" s="1" t="s">
        <v>5091</v>
      </c>
      <c r="G5385" s="14" t="s">
        <v>6145</v>
      </c>
      <c r="H5385" s="1" t="s">
        <v>43</v>
      </c>
      <c r="I5385" s="17">
        <v>42851</v>
      </c>
    </row>
    <row r="5386" spans="1:10">
      <c r="A5386" s="16" t="s">
        <v>12985</v>
      </c>
      <c r="B5386" s="1" t="s">
        <v>2628</v>
      </c>
      <c r="C5386" s="1">
        <v>321</v>
      </c>
      <c r="D5386" s="1" t="s">
        <v>52</v>
      </c>
      <c r="E5386" s="1" t="s">
        <v>6</v>
      </c>
      <c r="F5386" s="1" t="s">
        <v>5091</v>
      </c>
      <c r="G5386" s="14" t="s">
        <v>6145</v>
      </c>
      <c r="H5386" s="1" t="s">
        <v>43</v>
      </c>
      <c r="I5386" s="17">
        <v>42851</v>
      </c>
    </row>
    <row r="5387" spans="1:10">
      <c r="A5387" s="16" t="s">
        <v>12986</v>
      </c>
      <c r="B5387" s="1" t="s">
        <v>2628</v>
      </c>
      <c r="C5387" s="1">
        <v>321</v>
      </c>
      <c r="D5387" s="1" t="s">
        <v>52</v>
      </c>
      <c r="E5387" s="1" t="s">
        <v>6</v>
      </c>
      <c r="F5387" s="1" t="s">
        <v>5091</v>
      </c>
      <c r="G5387" s="14" t="s">
        <v>6145</v>
      </c>
      <c r="H5387" s="1" t="s">
        <v>43</v>
      </c>
      <c r="I5387" s="17">
        <v>42851</v>
      </c>
    </row>
    <row r="5388" spans="1:10">
      <c r="A5388" s="16" t="s">
        <v>12987</v>
      </c>
      <c r="B5388" s="1" t="s">
        <v>2628</v>
      </c>
      <c r="C5388" s="1">
        <v>321</v>
      </c>
      <c r="D5388" s="1" t="s">
        <v>52</v>
      </c>
      <c r="E5388" s="1" t="s">
        <v>6</v>
      </c>
      <c r="F5388" s="1" t="s">
        <v>5091</v>
      </c>
      <c r="G5388" s="14" t="s">
        <v>6145</v>
      </c>
      <c r="H5388" s="1" t="s">
        <v>43</v>
      </c>
      <c r="I5388" s="17">
        <v>42851</v>
      </c>
    </row>
    <row r="5389" spans="1:10">
      <c r="A5389" s="16" t="s">
        <v>12988</v>
      </c>
      <c r="B5389" s="1" t="s">
        <v>2628</v>
      </c>
      <c r="C5389" s="1">
        <v>321</v>
      </c>
      <c r="D5389" s="1" t="s">
        <v>52</v>
      </c>
      <c r="E5389" s="1" t="s">
        <v>6</v>
      </c>
      <c r="F5389" s="1" t="s">
        <v>5091</v>
      </c>
      <c r="G5389" s="14" t="s">
        <v>6145</v>
      </c>
      <c r="H5389" s="1" t="s">
        <v>43</v>
      </c>
      <c r="I5389" s="17">
        <v>42851</v>
      </c>
    </row>
    <row r="5390" spans="1:10">
      <c r="A5390" s="16" t="s">
        <v>12991</v>
      </c>
      <c r="B5390" s="1" t="s">
        <v>2628</v>
      </c>
      <c r="C5390" s="1">
        <v>321</v>
      </c>
      <c r="D5390" s="1" t="s">
        <v>52</v>
      </c>
      <c r="E5390" s="1" t="s">
        <v>6</v>
      </c>
      <c r="F5390" s="1" t="s">
        <v>5091</v>
      </c>
      <c r="G5390" s="14" t="s">
        <v>6145</v>
      </c>
      <c r="H5390" s="1" t="s">
        <v>43</v>
      </c>
      <c r="I5390" s="17">
        <v>42851</v>
      </c>
    </row>
    <row r="5391" spans="1:10">
      <c r="A5391" s="16" t="s">
        <v>12992</v>
      </c>
      <c r="B5391" s="1" t="s">
        <v>2628</v>
      </c>
      <c r="C5391" s="1">
        <v>321</v>
      </c>
      <c r="D5391" s="1" t="s">
        <v>52</v>
      </c>
      <c r="E5391" s="1" t="s">
        <v>6</v>
      </c>
      <c r="F5391" s="1" t="s">
        <v>5091</v>
      </c>
      <c r="G5391" s="14" t="s">
        <v>6145</v>
      </c>
      <c r="H5391" s="1" t="s">
        <v>43</v>
      </c>
      <c r="I5391" s="17">
        <v>42851</v>
      </c>
    </row>
    <row r="5392" spans="1:10">
      <c r="A5392" s="16" t="s">
        <v>12993</v>
      </c>
      <c r="B5392" s="1" t="s">
        <v>2628</v>
      </c>
      <c r="C5392" s="1">
        <v>321</v>
      </c>
      <c r="D5392" s="1" t="s">
        <v>52</v>
      </c>
      <c r="E5392" s="1" t="s">
        <v>6</v>
      </c>
      <c r="F5392" s="1" t="s">
        <v>5091</v>
      </c>
      <c r="G5392" s="14" t="s">
        <v>9884</v>
      </c>
      <c r="H5392" s="1" t="s">
        <v>5</v>
      </c>
      <c r="I5392" s="17">
        <v>37587</v>
      </c>
    </row>
    <row r="5393" spans="1:9">
      <c r="A5393" s="16" t="s">
        <v>12995</v>
      </c>
      <c r="B5393" s="1" t="s">
        <v>2628</v>
      </c>
      <c r="C5393" s="1">
        <v>321</v>
      </c>
      <c r="D5393" s="1" t="s">
        <v>52</v>
      </c>
      <c r="E5393" s="1" t="s">
        <v>6</v>
      </c>
      <c r="F5393" s="1" t="s">
        <v>5091</v>
      </c>
      <c r="G5393" s="14" t="s">
        <v>6145</v>
      </c>
      <c r="H5393" s="1" t="s">
        <v>43</v>
      </c>
      <c r="I5393" s="17">
        <v>42851</v>
      </c>
    </row>
    <row r="5394" spans="1:9">
      <c r="A5394" s="16" t="s">
        <v>12996</v>
      </c>
      <c r="B5394" s="1" t="s">
        <v>2628</v>
      </c>
      <c r="C5394" s="1">
        <v>321</v>
      </c>
      <c r="D5394" s="1" t="s">
        <v>52</v>
      </c>
      <c r="E5394" s="1" t="s">
        <v>6</v>
      </c>
      <c r="F5394" s="1" t="s">
        <v>5091</v>
      </c>
      <c r="G5394" s="14" t="s">
        <v>9884</v>
      </c>
      <c r="H5394" s="1" t="s">
        <v>5</v>
      </c>
      <c r="I5394" s="17">
        <v>37587</v>
      </c>
    </row>
    <row r="5395" spans="1:9">
      <c r="A5395" s="16" t="s">
        <v>12997</v>
      </c>
      <c r="B5395" s="1" t="s">
        <v>2628</v>
      </c>
      <c r="C5395" s="1">
        <v>321</v>
      </c>
      <c r="D5395" s="1" t="s">
        <v>52</v>
      </c>
      <c r="E5395" s="1" t="s">
        <v>6</v>
      </c>
      <c r="F5395" s="1" t="s">
        <v>5091</v>
      </c>
      <c r="G5395" s="14" t="s">
        <v>6145</v>
      </c>
      <c r="H5395" s="1" t="s">
        <v>43</v>
      </c>
      <c r="I5395" s="17">
        <v>42851</v>
      </c>
    </row>
    <row r="5396" spans="1:9">
      <c r="A5396" s="16" t="s">
        <v>12998</v>
      </c>
      <c r="B5396" s="1" t="s">
        <v>2628</v>
      </c>
      <c r="C5396" s="1">
        <v>321</v>
      </c>
      <c r="D5396" s="1" t="s">
        <v>52</v>
      </c>
      <c r="E5396" s="1" t="s">
        <v>6</v>
      </c>
      <c r="F5396" s="1" t="s">
        <v>5091</v>
      </c>
      <c r="G5396" s="14" t="s">
        <v>6145</v>
      </c>
      <c r="H5396" s="1" t="s">
        <v>43</v>
      </c>
      <c r="I5396" s="17">
        <v>42851</v>
      </c>
    </row>
    <row r="5397" spans="1:9">
      <c r="A5397" s="16" t="s">
        <v>12999</v>
      </c>
      <c r="B5397" s="1" t="s">
        <v>2628</v>
      </c>
      <c r="C5397" s="1">
        <v>321</v>
      </c>
      <c r="D5397" s="1" t="s">
        <v>52</v>
      </c>
      <c r="E5397" s="1" t="s">
        <v>6</v>
      </c>
      <c r="F5397" s="1" t="s">
        <v>5091</v>
      </c>
      <c r="G5397" s="14" t="s">
        <v>9884</v>
      </c>
      <c r="H5397" s="1" t="s">
        <v>5</v>
      </c>
      <c r="I5397" s="17">
        <v>37587</v>
      </c>
    </row>
    <row r="5398" spans="1:9">
      <c r="A5398" s="16" t="s">
        <v>13001</v>
      </c>
      <c r="B5398" s="1" t="s">
        <v>2628</v>
      </c>
      <c r="C5398" s="1">
        <v>321</v>
      </c>
      <c r="D5398" s="1" t="s">
        <v>52</v>
      </c>
      <c r="E5398" s="1" t="s">
        <v>6</v>
      </c>
      <c r="F5398" s="1" t="s">
        <v>5091</v>
      </c>
      <c r="G5398" s="14" t="s">
        <v>6145</v>
      </c>
      <c r="H5398" s="1" t="s">
        <v>43</v>
      </c>
      <c r="I5398" s="17">
        <v>42851</v>
      </c>
    </row>
    <row r="5399" spans="1:9">
      <c r="A5399" s="16" t="s">
        <v>13002</v>
      </c>
      <c r="B5399" s="1" t="s">
        <v>2628</v>
      </c>
      <c r="C5399" s="1">
        <v>321</v>
      </c>
      <c r="D5399" s="1" t="s">
        <v>52</v>
      </c>
      <c r="E5399" s="1" t="s">
        <v>6</v>
      </c>
      <c r="F5399" s="1" t="s">
        <v>5091</v>
      </c>
      <c r="G5399" s="14" t="s">
        <v>9884</v>
      </c>
      <c r="H5399" s="1" t="s">
        <v>5</v>
      </c>
      <c r="I5399" s="17">
        <v>37587</v>
      </c>
    </row>
    <row r="5400" spans="1:9">
      <c r="A5400" s="16" t="s">
        <v>13004</v>
      </c>
      <c r="B5400" s="1" t="s">
        <v>2628</v>
      </c>
      <c r="C5400" s="1">
        <v>321</v>
      </c>
      <c r="D5400" s="1" t="s">
        <v>52</v>
      </c>
      <c r="E5400" s="1" t="s">
        <v>6</v>
      </c>
      <c r="F5400" s="1" t="s">
        <v>5091</v>
      </c>
      <c r="G5400" s="14" t="s">
        <v>6145</v>
      </c>
      <c r="H5400" s="1" t="s">
        <v>43</v>
      </c>
      <c r="I5400" s="17">
        <v>42851</v>
      </c>
    </row>
    <row r="5401" spans="1:9">
      <c r="A5401" s="16" t="s">
        <v>13005</v>
      </c>
      <c r="B5401" s="1" t="s">
        <v>2628</v>
      </c>
      <c r="C5401" s="1">
        <v>321</v>
      </c>
      <c r="D5401" s="1" t="s">
        <v>52</v>
      </c>
      <c r="E5401" s="1" t="s">
        <v>6</v>
      </c>
      <c r="F5401" s="1" t="s">
        <v>5091</v>
      </c>
      <c r="G5401" s="14" t="s">
        <v>6145</v>
      </c>
      <c r="H5401" s="1" t="s">
        <v>43</v>
      </c>
      <c r="I5401" s="17">
        <v>42851</v>
      </c>
    </row>
    <row r="5402" spans="1:9">
      <c r="A5402" s="16" t="s">
        <v>13036</v>
      </c>
      <c r="B5402" s="1" t="s">
        <v>2628</v>
      </c>
      <c r="C5402" s="1">
        <v>321</v>
      </c>
      <c r="D5402" s="1" t="s">
        <v>52</v>
      </c>
      <c r="E5402" s="1" t="s">
        <v>6</v>
      </c>
      <c r="F5402" s="1" t="s">
        <v>5091</v>
      </c>
      <c r="G5402" s="14" t="s">
        <v>6145</v>
      </c>
      <c r="H5402" s="1" t="s">
        <v>43</v>
      </c>
      <c r="I5402" s="17">
        <v>42370</v>
      </c>
    </row>
    <row r="5403" spans="1:9">
      <c r="A5403" s="16" t="s">
        <v>13040</v>
      </c>
      <c r="B5403" s="1" t="s">
        <v>2628</v>
      </c>
      <c r="C5403" s="1">
        <v>321</v>
      </c>
      <c r="D5403" s="1" t="s">
        <v>52</v>
      </c>
      <c r="E5403" s="1" t="s">
        <v>6</v>
      </c>
      <c r="F5403" s="1" t="s">
        <v>5091</v>
      </c>
      <c r="G5403" s="14" t="s">
        <v>6450</v>
      </c>
      <c r="H5403" s="1" t="s">
        <v>43</v>
      </c>
      <c r="I5403" s="17">
        <v>42370</v>
      </c>
    </row>
    <row r="5404" spans="1:9">
      <c r="A5404" s="16" t="s">
        <v>13042</v>
      </c>
      <c r="B5404" s="1" t="s">
        <v>2628</v>
      </c>
      <c r="C5404" s="1">
        <v>321</v>
      </c>
      <c r="D5404" s="1" t="s">
        <v>52</v>
      </c>
      <c r="E5404" s="1" t="s">
        <v>6</v>
      </c>
      <c r="F5404" s="1" t="s">
        <v>5091</v>
      </c>
      <c r="G5404" s="14" t="s">
        <v>13043</v>
      </c>
      <c r="H5404" s="1" t="s">
        <v>5</v>
      </c>
      <c r="I5404" s="17">
        <v>42370</v>
      </c>
    </row>
    <row r="5405" spans="1:9">
      <c r="A5405" s="16" t="s">
        <v>13049</v>
      </c>
      <c r="B5405" s="1" t="s">
        <v>2628</v>
      </c>
      <c r="C5405" s="1">
        <v>321</v>
      </c>
      <c r="D5405" s="1" t="s">
        <v>52</v>
      </c>
      <c r="E5405" s="1" t="s">
        <v>6</v>
      </c>
      <c r="F5405" s="1" t="s">
        <v>5091</v>
      </c>
      <c r="G5405" s="14" t="s">
        <v>6450</v>
      </c>
      <c r="H5405" s="1" t="s">
        <v>43</v>
      </c>
      <c r="I5405" s="17">
        <v>42370</v>
      </c>
    </row>
    <row r="5406" spans="1:9">
      <c r="A5406" s="16" t="s">
        <v>13052</v>
      </c>
      <c r="B5406" s="1" t="s">
        <v>2628</v>
      </c>
      <c r="C5406" s="1">
        <v>321</v>
      </c>
      <c r="D5406" s="1" t="s">
        <v>52</v>
      </c>
      <c r="E5406" s="1" t="s">
        <v>6</v>
      </c>
      <c r="F5406" s="1" t="s">
        <v>5091</v>
      </c>
      <c r="G5406" s="14" t="s">
        <v>13043</v>
      </c>
      <c r="H5406" s="1" t="s">
        <v>5</v>
      </c>
      <c r="I5406" s="17">
        <v>42370</v>
      </c>
    </row>
    <row r="5407" spans="1:9">
      <c r="A5407" s="16" t="s">
        <v>13055</v>
      </c>
      <c r="B5407" s="1" t="s">
        <v>2628</v>
      </c>
      <c r="C5407" s="1">
        <v>321</v>
      </c>
      <c r="D5407" s="1" t="s">
        <v>52</v>
      </c>
      <c r="E5407" s="1" t="s">
        <v>6</v>
      </c>
      <c r="F5407" s="1" t="s">
        <v>5091</v>
      </c>
      <c r="G5407" s="14" t="s">
        <v>6450</v>
      </c>
      <c r="H5407" s="1" t="s">
        <v>43</v>
      </c>
      <c r="I5407" s="17">
        <v>42370</v>
      </c>
    </row>
    <row r="5408" spans="1:9">
      <c r="A5408" s="16" t="s">
        <v>13069</v>
      </c>
      <c r="B5408" s="1" t="s">
        <v>2628</v>
      </c>
      <c r="C5408" s="1">
        <v>321</v>
      </c>
      <c r="D5408" s="1" t="s">
        <v>52</v>
      </c>
      <c r="E5408" s="1" t="s">
        <v>6</v>
      </c>
      <c r="F5408" s="1" t="s">
        <v>5091</v>
      </c>
      <c r="G5408" s="14" t="s">
        <v>6145</v>
      </c>
      <c r="H5408" s="1" t="s">
        <v>43</v>
      </c>
      <c r="I5408" s="17">
        <v>42863</v>
      </c>
    </row>
    <row r="5409" spans="1:9">
      <c r="A5409" s="16" t="s">
        <v>13070</v>
      </c>
      <c r="B5409" s="1" t="s">
        <v>2628</v>
      </c>
      <c r="C5409" s="1">
        <v>321</v>
      </c>
      <c r="D5409" s="1" t="s">
        <v>52</v>
      </c>
      <c r="E5409" s="1" t="s">
        <v>6</v>
      </c>
      <c r="F5409" s="1" t="s">
        <v>5091</v>
      </c>
      <c r="G5409" s="14" t="s">
        <v>6145</v>
      </c>
      <c r="H5409" s="1" t="s">
        <v>43</v>
      </c>
      <c r="I5409" s="17">
        <v>42851</v>
      </c>
    </row>
    <row r="5410" spans="1:9">
      <c r="A5410" s="16" t="s">
        <v>13071</v>
      </c>
      <c r="B5410" s="1" t="s">
        <v>2628</v>
      </c>
      <c r="C5410" s="1">
        <v>321</v>
      </c>
      <c r="D5410" s="1" t="s">
        <v>52</v>
      </c>
      <c r="E5410" s="1" t="s">
        <v>6</v>
      </c>
      <c r="F5410" s="1" t="s">
        <v>5091</v>
      </c>
      <c r="G5410" s="14" t="s">
        <v>6145</v>
      </c>
      <c r="H5410" s="1" t="s">
        <v>43</v>
      </c>
      <c r="I5410" s="17">
        <v>42863</v>
      </c>
    </row>
    <row r="5411" spans="1:9">
      <c r="A5411" s="16" t="s">
        <v>13072</v>
      </c>
      <c r="B5411" s="1" t="s">
        <v>2628</v>
      </c>
      <c r="C5411" s="1">
        <v>321</v>
      </c>
      <c r="D5411" s="1" t="s">
        <v>52</v>
      </c>
      <c r="E5411" s="1" t="s">
        <v>6</v>
      </c>
      <c r="F5411" s="1" t="s">
        <v>5091</v>
      </c>
      <c r="G5411" s="14" t="s">
        <v>6145</v>
      </c>
      <c r="H5411" s="1" t="s">
        <v>43</v>
      </c>
      <c r="I5411" s="17">
        <v>42851</v>
      </c>
    </row>
    <row r="5412" spans="1:9">
      <c r="A5412" s="16" t="s">
        <v>13073</v>
      </c>
      <c r="B5412" s="1" t="s">
        <v>2628</v>
      </c>
      <c r="C5412" s="1">
        <v>321</v>
      </c>
      <c r="D5412" s="1" t="s">
        <v>52</v>
      </c>
      <c r="E5412" s="1" t="s">
        <v>6</v>
      </c>
      <c r="F5412" s="1" t="s">
        <v>5091</v>
      </c>
      <c r="G5412" s="14" t="s">
        <v>6145</v>
      </c>
      <c r="H5412" s="1" t="s">
        <v>43</v>
      </c>
      <c r="I5412" s="17">
        <v>42863</v>
      </c>
    </row>
    <row r="5413" spans="1:9">
      <c r="A5413" s="16" t="s">
        <v>13074</v>
      </c>
      <c r="B5413" s="1" t="s">
        <v>2628</v>
      </c>
      <c r="C5413" s="1">
        <v>321</v>
      </c>
      <c r="D5413" s="1" t="s">
        <v>52</v>
      </c>
      <c r="E5413" s="1" t="s">
        <v>6</v>
      </c>
      <c r="F5413" s="1" t="s">
        <v>5091</v>
      </c>
      <c r="G5413" s="14" t="s">
        <v>6145</v>
      </c>
      <c r="H5413" s="1" t="s">
        <v>43</v>
      </c>
      <c r="I5413" s="17">
        <v>42863</v>
      </c>
    </row>
    <row r="5414" spans="1:9">
      <c r="A5414" s="16" t="s">
        <v>13075</v>
      </c>
      <c r="B5414" s="1" t="s">
        <v>2628</v>
      </c>
      <c r="C5414" s="1">
        <v>321</v>
      </c>
      <c r="D5414" s="1" t="s">
        <v>52</v>
      </c>
      <c r="E5414" s="1" t="s">
        <v>6</v>
      </c>
      <c r="F5414" s="1" t="s">
        <v>5091</v>
      </c>
      <c r="G5414" s="14" t="s">
        <v>6145</v>
      </c>
      <c r="H5414" s="1" t="s">
        <v>43</v>
      </c>
      <c r="I5414" s="17">
        <v>42863</v>
      </c>
    </row>
    <row r="5415" spans="1:9">
      <c r="A5415" s="16" t="s">
        <v>13076</v>
      </c>
      <c r="B5415" s="1" t="s">
        <v>2628</v>
      </c>
      <c r="C5415" s="1">
        <v>321</v>
      </c>
      <c r="D5415" s="1" t="s">
        <v>52</v>
      </c>
      <c r="E5415" s="1" t="s">
        <v>6</v>
      </c>
      <c r="F5415" s="1" t="s">
        <v>5091</v>
      </c>
      <c r="G5415" s="14" t="s">
        <v>6145</v>
      </c>
      <c r="H5415" s="1" t="s">
        <v>43</v>
      </c>
      <c r="I5415" s="17">
        <v>42864</v>
      </c>
    </row>
    <row r="5416" spans="1:9">
      <c r="A5416" s="16" t="s">
        <v>13077</v>
      </c>
      <c r="B5416" s="1" t="s">
        <v>2628</v>
      </c>
      <c r="C5416" s="1">
        <v>321</v>
      </c>
      <c r="D5416" s="1" t="s">
        <v>52</v>
      </c>
      <c r="E5416" s="1" t="s">
        <v>6</v>
      </c>
      <c r="F5416" s="1" t="s">
        <v>5091</v>
      </c>
      <c r="G5416" s="14" t="s">
        <v>6145</v>
      </c>
      <c r="H5416" s="1" t="s">
        <v>43</v>
      </c>
      <c r="I5416" s="17">
        <v>42864</v>
      </c>
    </row>
    <row r="5417" spans="1:9">
      <c r="A5417" s="16" t="s">
        <v>13078</v>
      </c>
      <c r="B5417" s="1" t="s">
        <v>2628</v>
      </c>
      <c r="C5417" s="1">
        <v>321</v>
      </c>
      <c r="D5417" s="1" t="s">
        <v>52</v>
      </c>
      <c r="E5417" s="1" t="s">
        <v>6</v>
      </c>
      <c r="F5417" s="1" t="s">
        <v>5091</v>
      </c>
      <c r="G5417" s="14" t="s">
        <v>6145</v>
      </c>
      <c r="H5417" s="1" t="s">
        <v>43</v>
      </c>
      <c r="I5417" s="17">
        <v>42863</v>
      </c>
    </row>
    <row r="5418" spans="1:9">
      <c r="A5418" s="16" t="s">
        <v>13079</v>
      </c>
      <c r="B5418" s="1" t="s">
        <v>2628</v>
      </c>
      <c r="C5418" s="1">
        <v>321</v>
      </c>
      <c r="D5418" s="1" t="s">
        <v>52</v>
      </c>
      <c r="E5418" s="1" t="s">
        <v>6</v>
      </c>
      <c r="F5418" s="1" t="s">
        <v>5091</v>
      </c>
      <c r="G5418" s="14" t="s">
        <v>6145</v>
      </c>
      <c r="H5418" s="1" t="s">
        <v>43</v>
      </c>
      <c r="I5418" s="17">
        <v>42863</v>
      </c>
    </row>
    <row r="5419" spans="1:9">
      <c r="A5419" s="16" t="s">
        <v>13080</v>
      </c>
      <c r="B5419" s="1" t="s">
        <v>2628</v>
      </c>
      <c r="C5419" s="1">
        <v>321</v>
      </c>
      <c r="D5419" s="1" t="s">
        <v>52</v>
      </c>
      <c r="E5419" s="1" t="s">
        <v>6</v>
      </c>
      <c r="F5419" s="1" t="s">
        <v>5091</v>
      </c>
      <c r="G5419" s="14" t="s">
        <v>6145</v>
      </c>
      <c r="H5419" s="1" t="s">
        <v>43</v>
      </c>
      <c r="I5419" s="17">
        <v>42863</v>
      </c>
    </row>
    <row r="5420" spans="1:9">
      <c r="A5420" s="16" t="s">
        <v>13081</v>
      </c>
      <c r="B5420" s="1" t="s">
        <v>2628</v>
      </c>
      <c r="C5420" s="1">
        <v>321</v>
      </c>
      <c r="D5420" s="1" t="s">
        <v>52</v>
      </c>
      <c r="E5420" s="1" t="s">
        <v>6</v>
      </c>
      <c r="F5420" s="1" t="s">
        <v>5091</v>
      </c>
      <c r="G5420" s="14" t="s">
        <v>6145</v>
      </c>
      <c r="H5420" s="1" t="s">
        <v>43</v>
      </c>
      <c r="I5420" s="17">
        <v>42863</v>
      </c>
    </row>
    <row r="5421" spans="1:9">
      <c r="A5421" s="16" t="s">
        <v>13082</v>
      </c>
      <c r="B5421" s="1" t="s">
        <v>2628</v>
      </c>
      <c r="C5421" s="1">
        <v>321</v>
      </c>
      <c r="D5421" s="1" t="s">
        <v>52</v>
      </c>
      <c r="E5421" s="1" t="s">
        <v>6</v>
      </c>
      <c r="F5421" s="1" t="s">
        <v>5091</v>
      </c>
      <c r="G5421" s="14" t="s">
        <v>6145</v>
      </c>
      <c r="H5421" s="1" t="s">
        <v>43</v>
      </c>
      <c r="I5421" s="17">
        <v>42863</v>
      </c>
    </row>
    <row r="5422" spans="1:9">
      <c r="A5422" s="16" t="s">
        <v>13083</v>
      </c>
      <c r="B5422" s="1" t="s">
        <v>2628</v>
      </c>
      <c r="C5422" s="1">
        <v>321</v>
      </c>
      <c r="D5422" s="1" t="s">
        <v>52</v>
      </c>
      <c r="E5422" s="1" t="s">
        <v>6</v>
      </c>
      <c r="F5422" s="1" t="s">
        <v>5091</v>
      </c>
      <c r="G5422" s="14" t="s">
        <v>6145</v>
      </c>
      <c r="H5422" s="1" t="s">
        <v>43</v>
      </c>
      <c r="I5422" s="17">
        <v>42863</v>
      </c>
    </row>
    <row r="5423" spans="1:9">
      <c r="A5423" s="16" t="s">
        <v>13084</v>
      </c>
      <c r="B5423" s="1" t="s">
        <v>2628</v>
      </c>
      <c r="C5423" s="1">
        <v>321</v>
      </c>
      <c r="D5423" s="1" t="s">
        <v>52</v>
      </c>
      <c r="E5423" s="1" t="s">
        <v>6</v>
      </c>
      <c r="F5423" s="1" t="s">
        <v>5091</v>
      </c>
      <c r="G5423" s="14" t="s">
        <v>6145</v>
      </c>
      <c r="H5423" s="1" t="s">
        <v>43</v>
      </c>
      <c r="I5423" s="17">
        <v>42863</v>
      </c>
    </row>
    <row r="5424" spans="1:9">
      <c r="A5424" s="16" t="s">
        <v>13085</v>
      </c>
      <c r="B5424" s="1" t="s">
        <v>2628</v>
      </c>
      <c r="C5424" s="1">
        <v>321</v>
      </c>
      <c r="D5424" s="1" t="s">
        <v>52</v>
      </c>
      <c r="E5424" s="1" t="s">
        <v>6</v>
      </c>
      <c r="F5424" s="1" t="s">
        <v>5091</v>
      </c>
      <c r="G5424" s="14" t="s">
        <v>6145</v>
      </c>
      <c r="H5424" s="1" t="s">
        <v>43</v>
      </c>
      <c r="I5424" s="17">
        <v>42864</v>
      </c>
    </row>
    <row r="5425" spans="1:10">
      <c r="A5425" s="16" t="s">
        <v>13105</v>
      </c>
      <c r="B5425" s="1" t="s">
        <v>2628</v>
      </c>
      <c r="C5425" s="1">
        <v>321</v>
      </c>
      <c r="D5425" s="1" t="s">
        <v>52</v>
      </c>
      <c r="E5425" s="1" t="s">
        <v>6</v>
      </c>
      <c r="F5425" s="1" t="s">
        <v>5091</v>
      </c>
      <c r="G5425" s="14" t="s">
        <v>6145</v>
      </c>
      <c r="H5425" s="1" t="s">
        <v>43</v>
      </c>
      <c r="I5425" s="17">
        <v>42872</v>
      </c>
    </row>
    <row r="5426" spans="1:10">
      <c r="A5426" s="16" t="s">
        <v>13120</v>
      </c>
      <c r="B5426" s="1" t="s">
        <v>2628</v>
      </c>
      <c r="C5426" s="1">
        <v>321</v>
      </c>
      <c r="D5426" s="1" t="s">
        <v>52</v>
      </c>
      <c r="E5426" s="1" t="s">
        <v>6</v>
      </c>
      <c r="F5426" s="1" t="s">
        <v>5091</v>
      </c>
      <c r="G5426" s="14" t="s">
        <v>6145</v>
      </c>
      <c r="H5426" s="1" t="s">
        <v>43</v>
      </c>
      <c r="I5426" s="17">
        <v>42864</v>
      </c>
    </row>
    <row r="5427" spans="1:10">
      <c r="A5427" s="16" t="s">
        <v>13122</v>
      </c>
      <c r="B5427" s="1" t="s">
        <v>2628</v>
      </c>
      <c r="C5427" s="1">
        <v>321</v>
      </c>
      <c r="D5427" s="1" t="s">
        <v>52</v>
      </c>
      <c r="E5427" s="1" t="s">
        <v>6</v>
      </c>
      <c r="F5427" s="1" t="s">
        <v>5091</v>
      </c>
      <c r="G5427" s="14" t="s">
        <v>6145</v>
      </c>
      <c r="H5427" s="1" t="s">
        <v>43</v>
      </c>
      <c r="I5427" s="17">
        <v>42864</v>
      </c>
    </row>
    <row r="5428" spans="1:10">
      <c r="A5428" s="16" t="s">
        <v>13141</v>
      </c>
      <c r="B5428" s="1" t="s">
        <v>2628</v>
      </c>
      <c r="C5428" s="1">
        <v>2041</v>
      </c>
      <c r="D5428" s="1" t="s">
        <v>52</v>
      </c>
      <c r="E5428" s="1" t="s">
        <v>6</v>
      </c>
      <c r="F5428" s="1" t="s">
        <v>5091</v>
      </c>
      <c r="G5428" s="14" t="s">
        <v>4458</v>
      </c>
      <c r="H5428" s="1" t="s">
        <v>118</v>
      </c>
      <c r="I5428" s="1" t="s">
        <v>4458</v>
      </c>
    </row>
    <row r="5429" spans="1:10">
      <c r="A5429" s="16" t="s">
        <v>13148</v>
      </c>
      <c r="B5429" s="1" t="s">
        <v>2628</v>
      </c>
      <c r="C5429" s="1">
        <v>321</v>
      </c>
      <c r="D5429" s="1" t="s">
        <v>52</v>
      </c>
      <c r="E5429" s="1" t="s">
        <v>6</v>
      </c>
      <c r="F5429" s="1" t="s">
        <v>36</v>
      </c>
      <c r="G5429" s="14" t="s">
        <v>4803</v>
      </c>
      <c r="H5429" s="1" t="s">
        <v>5</v>
      </c>
      <c r="I5429" s="17">
        <v>39814</v>
      </c>
    </row>
    <row r="5430" spans="1:10">
      <c r="A5430" s="16" t="s">
        <v>13149</v>
      </c>
      <c r="B5430" s="1" t="s">
        <v>2628</v>
      </c>
      <c r="C5430" s="1">
        <v>321</v>
      </c>
      <c r="D5430" s="1" t="s">
        <v>52</v>
      </c>
      <c r="E5430" s="1" t="s">
        <v>6</v>
      </c>
      <c r="F5430" s="1" t="s">
        <v>36</v>
      </c>
      <c r="G5430" s="14" t="s">
        <v>8102</v>
      </c>
      <c r="H5430" s="1" t="s">
        <v>43</v>
      </c>
      <c r="I5430" s="17">
        <v>39814</v>
      </c>
    </row>
    <row r="5431" spans="1:10">
      <c r="A5431" s="16" t="s">
        <v>13160</v>
      </c>
      <c r="B5431" s="1" t="s">
        <v>2628</v>
      </c>
      <c r="C5431" s="1">
        <v>321</v>
      </c>
      <c r="D5431" s="1" t="s">
        <v>52</v>
      </c>
      <c r="E5431" s="1" t="s">
        <v>6</v>
      </c>
      <c r="F5431" s="1" t="s">
        <v>36</v>
      </c>
      <c r="G5431" s="14" t="s">
        <v>8102</v>
      </c>
      <c r="H5431" s="1" t="s">
        <v>43</v>
      </c>
      <c r="I5431" s="17">
        <v>39814</v>
      </c>
    </row>
    <row r="5432" spans="1:10">
      <c r="A5432" s="16" t="s">
        <v>13161</v>
      </c>
      <c r="B5432" s="1" t="s">
        <v>2628</v>
      </c>
      <c r="C5432" s="1">
        <v>321</v>
      </c>
      <c r="D5432" s="1" t="s">
        <v>52</v>
      </c>
      <c r="E5432" s="1" t="s">
        <v>6</v>
      </c>
      <c r="F5432" s="1" t="s">
        <v>36</v>
      </c>
      <c r="G5432" s="14" t="s">
        <v>8102</v>
      </c>
      <c r="H5432" s="1" t="s">
        <v>43</v>
      </c>
      <c r="I5432" s="17">
        <v>39814</v>
      </c>
    </row>
    <row r="5433" spans="1:10">
      <c r="A5433" s="16" t="s">
        <v>13174</v>
      </c>
      <c r="B5433" s="1" t="s">
        <v>2628</v>
      </c>
      <c r="C5433" s="1">
        <v>321</v>
      </c>
      <c r="D5433" s="1" t="s">
        <v>52</v>
      </c>
      <c r="E5433" s="1" t="s">
        <v>6</v>
      </c>
      <c r="F5433" s="1" t="s">
        <v>36</v>
      </c>
      <c r="G5433" s="14" t="s">
        <v>4803</v>
      </c>
      <c r="H5433" s="1" t="s">
        <v>5</v>
      </c>
      <c r="I5433" s="17">
        <v>39814</v>
      </c>
    </row>
    <row r="5434" spans="1:10">
      <c r="A5434" s="16" t="s">
        <v>13179</v>
      </c>
      <c r="B5434" s="1" t="s">
        <v>2628</v>
      </c>
      <c r="C5434" s="1">
        <v>321</v>
      </c>
      <c r="D5434" s="1" t="s">
        <v>52</v>
      </c>
      <c r="E5434" s="1" t="s">
        <v>6</v>
      </c>
      <c r="F5434" s="1" t="s">
        <v>36</v>
      </c>
      <c r="G5434" s="14" t="s">
        <v>8102</v>
      </c>
      <c r="H5434" s="1" t="s">
        <v>43</v>
      </c>
      <c r="I5434" s="17">
        <v>39814</v>
      </c>
    </row>
    <row r="5435" spans="1:10">
      <c r="A5435" s="16" t="s">
        <v>13180</v>
      </c>
      <c r="B5435" s="1" t="s">
        <v>2628</v>
      </c>
      <c r="C5435" s="1">
        <v>321</v>
      </c>
      <c r="D5435" s="1" t="s">
        <v>52</v>
      </c>
      <c r="E5435" s="1" t="s">
        <v>6</v>
      </c>
      <c r="F5435" s="1" t="s">
        <v>5091</v>
      </c>
      <c r="G5435" s="14" t="s">
        <v>6236</v>
      </c>
      <c r="H5435" s="1" t="s">
        <v>43</v>
      </c>
      <c r="I5435" s="17">
        <v>42736</v>
      </c>
    </row>
    <row r="5436" spans="1:10">
      <c r="A5436" s="16" t="s">
        <v>13213</v>
      </c>
      <c r="B5436" s="1" t="s">
        <v>2628</v>
      </c>
      <c r="C5436" s="1">
        <v>321</v>
      </c>
      <c r="D5436" s="1" t="s">
        <v>52</v>
      </c>
      <c r="E5436" s="1" t="s">
        <v>6</v>
      </c>
      <c r="F5436" s="1" t="s">
        <v>5091</v>
      </c>
      <c r="G5436" s="14" t="s">
        <v>6145</v>
      </c>
      <c r="H5436" s="1" t="s">
        <v>43</v>
      </c>
      <c r="I5436" s="17">
        <v>41463</v>
      </c>
    </row>
    <row r="5437" spans="1:10">
      <c r="A5437" s="16" t="s">
        <v>13222</v>
      </c>
      <c r="B5437" s="1" t="s">
        <v>2628</v>
      </c>
      <c r="C5437" s="1">
        <v>321</v>
      </c>
      <c r="D5437" s="1" t="s">
        <v>52</v>
      </c>
      <c r="E5437" s="1" t="s">
        <v>6</v>
      </c>
      <c r="F5437" s="1" t="s">
        <v>5091</v>
      </c>
      <c r="G5437" s="14" t="s">
        <v>9578</v>
      </c>
      <c r="H5437" s="1" t="s">
        <v>5</v>
      </c>
      <c r="I5437" s="17">
        <v>37462</v>
      </c>
    </row>
    <row r="5438" spans="1:10">
      <c r="A5438" s="16" t="s">
        <v>13223</v>
      </c>
      <c r="B5438" s="1" t="s">
        <v>2628</v>
      </c>
      <c r="C5438" s="1">
        <v>321</v>
      </c>
      <c r="D5438" s="1" t="s">
        <v>52</v>
      </c>
      <c r="E5438" s="1" t="s">
        <v>6</v>
      </c>
      <c r="F5438" s="1" t="s">
        <v>5091</v>
      </c>
      <c r="G5438" s="14" t="s">
        <v>13224</v>
      </c>
      <c r="H5438" s="1" t="s">
        <v>5</v>
      </c>
      <c r="I5438" s="17">
        <v>37455</v>
      </c>
    </row>
    <row r="5439" spans="1:10">
      <c r="A5439" s="16" t="s">
        <v>13225</v>
      </c>
      <c r="B5439" s="1" t="s">
        <v>2628</v>
      </c>
      <c r="C5439" s="1">
        <v>321</v>
      </c>
      <c r="D5439" s="1" t="s">
        <v>52</v>
      </c>
      <c r="E5439" s="1" t="s">
        <v>6</v>
      </c>
      <c r="F5439" s="1" t="s">
        <v>5091</v>
      </c>
      <c r="G5439" s="14" t="s">
        <v>13226</v>
      </c>
      <c r="H5439" s="1" t="s">
        <v>5</v>
      </c>
      <c r="I5439" s="17">
        <v>37398</v>
      </c>
      <c r="J5439" s="11"/>
    </row>
    <row r="5440" spans="1:10">
      <c r="A5440" s="16" t="s">
        <v>13233</v>
      </c>
      <c r="B5440" s="1" t="s">
        <v>2628</v>
      </c>
      <c r="C5440" s="1">
        <v>321</v>
      </c>
      <c r="D5440" s="1" t="s">
        <v>52</v>
      </c>
      <c r="E5440" s="1" t="s">
        <v>6</v>
      </c>
      <c r="F5440" s="1" t="s">
        <v>5091</v>
      </c>
      <c r="G5440" s="14" t="s">
        <v>6145</v>
      </c>
      <c r="H5440" s="1" t="s">
        <v>43</v>
      </c>
      <c r="I5440" s="17">
        <v>42907</v>
      </c>
    </row>
    <row r="5441" spans="1:10">
      <c r="A5441" s="16" t="s">
        <v>13234</v>
      </c>
      <c r="B5441" s="1" t="s">
        <v>2628</v>
      </c>
      <c r="C5441" s="1">
        <v>321</v>
      </c>
      <c r="D5441" s="1" t="s">
        <v>52</v>
      </c>
      <c r="E5441" s="1" t="s">
        <v>6</v>
      </c>
      <c r="F5441" s="1" t="s">
        <v>5091</v>
      </c>
      <c r="G5441" s="14" t="s">
        <v>6145</v>
      </c>
      <c r="H5441" s="1" t="s">
        <v>43</v>
      </c>
      <c r="I5441" s="17">
        <v>42907</v>
      </c>
    </row>
    <row r="5442" spans="1:10">
      <c r="A5442" s="16" t="s">
        <v>13242</v>
      </c>
      <c r="B5442" s="1" t="s">
        <v>2628</v>
      </c>
      <c r="C5442" s="1">
        <v>321</v>
      </c>
      <c r="D5442" s="1" t="s">
        <v>52</v>
      </c>
      <c r="E5442" s="1" t="s">
        <v>6</v>
      </c>
      <c r="F5442" s="1" t="s">
        <v>5091</v>
      </c>
      <c r="G5442" s="14" t="s">
        <v>9884</v>
      </c>
      <c r="H5442" s="1" t="s">
        <v>5</v>
      </c>
      <c r="I5442" s="17">
        <v>37341</v>
      </c>
      <c r="J5442" s="11"/>
    </row>
    <row r="5443" spans="1:10">
      <c r="A5443" s="16" t="s">
        <v>13244</v>
      </c>
      <c r="B5443" s="1" t="s">
        <v>2628</v>
      </c>
      <c r="C5443" s="1">
        <v>321</v>
      </c>
      <c r="D5443" s="1" t="s">
        <v>52</v>
      </c>
      <c r="E5443" s="1" t="s">
        <v>6</v>
      </c>
      <c r="F5443" s="1" t="s">
        <v>5091</v>
      </c>
      <c r="G5443" s="14" t="s">
        <v>9884</v>
      </c>
      <c r="H5443" s="1" t="s">
        <v>5</v>
      </c>
      <c r="I5443" s="17">
        <v>37341</v>
      </c>
    </row>
    <row r="5444" spans="1:10">
      <c r="A5444" s="16" t="s">
        <v>13245</v>
      </c>
      <c r="B5444" s="1" t="s">
        <v>2628</v>
      </c>
      <c r="C5444" s="1">
        <v>321</v>
      </c>
      <c r="D5444" s="1" t="s">
        <v>52</v>
      </c>
      <c r="E5444" s="1" t="s">
        <v>6</v>
      </c>
      <c r="F5444" s="1" t="s">
        <v>5091</v>
      </c>
      <c r="G5444" s="14" t="s">
        <v>9884</v>
      </c>
      <c r="H5444" s="1" t="s">
        <v>5</v>
      </c>
      <c r="I5444" s="17">
        <v>37341</v>
      </c>
    </row>
    <row r="5445" spans="1:10">
      <c r="A5445" s="16" t="s">
        <v>13248</v>
      </c>
      <c r="B5445" s="1" t="s">
        <v>2628</v>
      </c>
      <c r="C5445" s="1">
        <v>321</v>
      </c>
      <c r="D5445" s="1" t="s">
        <v>52</v>
      </c>
      <c r="E5445" s="1" t="s">
        <v>6</v>
      </c>
      <c r="F5445" s="1" t="s">
        <v>5091</v>
      </c>
      <c r="G5445" s="14" t="s">
        <v>13226</v>
      </c>
      <c r="H5445" s="1" t="s">
        <v>5</v>
      </c>
      <c r="I5445" s="17">
        <v>37398</v>
      </c>
      <c r="J5445" s="11"/>
    </row>
    <row r="5446" spans="1:10">
      <c r="A5446" s="16" t="s">
        <v>13250</v>
      </c>
      <c r="B5446" s="1" t="s">
        <v>2628</v>
      </c>
      <c r="C5446" s="1">
        <v>321</v>
      </c>
      <c r="D5446" s="1" t="s">
        <v>52</v>
      </c>
      <c r="E5446" s="1" t="s">
        <v>6</v>
      </c>
      <c r="F5446" s="1" t="s">
        <v>5091</v>
      </c>
      <c r="G5446" s="14" t="s">
        <v>13226</v>
      </c>
      <c r="H5446" s="1" t="s">
        <v>5</v>
      </c>
      <c r="I5446" s="17">
        <v>37398</v>
      </c>
    </row>
    <row r="5447" spans="1:10">
      <c r="A5447" s="16" t="s">
        <v>13259</v>
      </c>
      <c r="B5447" s="1" t="s">
        <v>2628</v>
      </c>
      <c r="C5447" s="1">
        <v>321</v>
      </c>
      <c r="D5447" s="1" t="s">
        <v>52</v>
      </c>
      <c r="E5447" s="1" t="s">
        <v>6</v>
      </c>
      <c r="F5447" s="1" t="s">
        <v>5091</v>
      </c>
      <c r="G5447" s="14" t="s">
        <v>6145</v>
      </c>
      <c r="H5447" s="1" t="s">
        <v>43</v>
      </c>
      <c r="I5447" s="17">
        <v>40766</v>
      </c>
    </row>
    <row r="5448" spans="1:10">
      <c r="A5448" s="16" t="s">
        <v>13260</v>
      </c>
      <c r="B5448" s="1" t="s">
        <v>2628</v>
      </c>
      <c r="C5448" s="1">
        <v>321</v>
      </c>
      <c r="D5448" s="1" t="s">
        <v>52</v>
      </c>
      <c r="E5448" s="1" t="s">
        <v>6</v>
      </c>
      <c r="F5448" s="1" t="s">
        <v>5091</v>
      </c>
      <c r="G5448" s="14" t="s">
        <v>6145</v>
      </c>
      <c r="H5448" s="1" t="s">
        <v>43</v>
      </c>
      <c r="I5448" s="17">
        <v>40766</v>
      </c>
    </row>
    <row r="5449" spans="1:10">
      <c r="A5449" s="16" t="s">
        <v>13261</v>
      </c>
      <c r="B5449" s="1" t="s">
        <v>2628</v>
      </c>
      <c r="C5449" s="1">
        <v>321</v>
      </c>
      <c r="D5449" s="1" t="s">
        <v>52</v>
      </c>
      <c r="E5449" s="1" t="s">
        <v>6</v>
      </c>
      <c r="F5449" s="1" t="s">
        <v>5091</v>
      </c>
      <c r="G5449" s="14" t="s">
        <v>6145</v>
      </c>
      <c r="H5449" s="1" t="s">
        <v>43</v>
      </c>
      <c r="I5449" s="17">
        <v>40766</v>
      </c>
    </row>
    <row r="5450" spans="1:10">
      <c r="A5450" s="16" t="s">
        <v>13262</v>
      </c>
      <c r="B5450" s="1" t="s">
        <v>2628</v>
      </c>
      <c r="C5450" s="1">
        <v>321</v>
      </c>
      <c r="D5450" s="1" t="s">
        <v>52</v>
      </c>
      <c r="E5450" s="1" t="s">
        <v>6</v>
      </c>
      <c r="F5450" s="1" t="s">
        <v>5091</v>
      </c>
      <c r="G5450" s="14" t="s">
        <v>6530</v>
      </c>
      <c r="H5450" s="1" t="s">
        <v>43</v>
      </c>
      <c r="I5450" s="17">
        <v>42892</v>
      </c>
    </row>
    <row r="5451" spans="1:10">
      <c r="A5451" s="16" t="s">
        <v>13279</v>
      </c>
      <c r="B5451" s="1" t="s">
        <v>2628</v>
      </c>
      <c r="C5451" s="1">
        <v>321</v>
      </c>
      <c r="D5451" s="1" t="s">
        <v>52</v>
      </c>
      <c r="E5451" s="1" t="s">
        <v>6</v>
      </c>
      <c r="F5451" s="1" t="s">
        <v>5091</v>
      </c>
      <c r="G5451" s="14" t="s">
        <v>6530</v>
      </c>
      <c r="H5451" s="1" t="s">
        <v>43</v>
      </c>
      <c r="I5451" s="17">
        <v>42892</v>
      </c>
    </row>
    <row r="5452" spans="1:10">
      <c r="A5452" s="16" t="s">
        <v>13280</v>
      </c>
      <c r="B5452" s="1" t="s">
        <v>2628</v>
      </c>
      <c r="C5452" s="1">
        <v>321</v>
      </c>
      <c r="D5452" s="1" t="s">
        <v>52</v>
      </c>
      <c r="E5452" s="1" t="s">
        <v>6</v>
      </c>
      <c r="F5452" s="1" t="s">
        <v>5091</v>
      </c>
      <c r="G5452" s="14" t="s">
        <v>6530</v>
      </c>
      <c r="H5452" s="1" t="s">
        <v>43</v>
      </c>
      <c r="I5452" s="17">
        <v>42892</v>
      </c>
    </row>
    <row r="5453" spans="1:10">
      <c r="A5453" s="16" t="s">
        <v>13281</v>
      </c>
      <c r="B5453" s="1" t="s">
        <v>2628</v>
      </c>
      <c r="C5453" s="1">
        <v>321</v>
      </c>
      <c r="D5453" s="1" t="s">
        <v>52</v>
      </c>
      <c r="E5453" s="1" t="s">
        <v>6</v>
      </c>
      <c r="F5453" s="1" t="s">
        <v>5091</v>
      </c>
      <c r="G5453" s="14" t="s">
        <v>9063</v>
      </c>
      <c r="H5453" s="1" t="s">
        <v>5</v>
      </c>
      <c r="I5453" s="17">
        <v>42913</v>
      </c>
    </row>
    <row r="5454" spans="1:10">
      <c r="A5454" s="16" t="s">
        <v>13289</v>
      </c>
      <c r="B5454" s="1" t="s">
        <v>2628</v>
      </c>
      <c r="C5454" s="1">
        <v>321</v>
      </c>
      <c r="D5454" s="1" t="s">
        <v>52</v>
      </c>
      <c r="E5454" s="1" t="s">
        <v>6</v>
      </c>
      <c r="F5454" s="1" t="s">
        <v>5091</v>
      </c>
      <c r="G5454" s="14" t="s">
        <v>6236</v>
      </c>
      <c r="H5454" s="1" t="s">
        <v>43</v>
      </c>
      <c r="I5454" s="17">
        <v>42736</v>
      </c>
    </row>
    <row r="5455" spans="1:10">
      <c r="A5455" s="16" t="s">
        <v>13294</v>
      </c>
      <c r="B5455" s="1" t="s">
        <v>2628</v>
      </c>
      <c r="C5455" s="1">
        <v>321</v>
      </c>
      <c r="D5455" s="1" t="s">
        <v>52</v>
      </c>
      <c r="E5455" s="1" t="s">
        <v>6</v>
      </c>
      <c r="F5455" s="1" t="s">
        <v>5091</v>
      </c>
      <c r="G5455" s="14" t="s">
        <v>6236</v>
      </c>
      <c r="H5455" s="1" t="s">
        <v>43</v>
      </c>
      <c r="I5455" s="17">
        <v>42736</v>
      </c>
    </row>
    <row r="5456" spans="1:10">
      <c r="A5456" s="16" t="s">
        <v>13295</v>
      </c>
      <c r="B5456" s="1" t="s">
        <v>2628</v>
      </c>
      <c r="C5456" s="1">
        <v>321</v>
      </c>
      <c r="D5456" s="1" t="s">
        <v>52</v>
      </c>
      <c r="E5456" s="1" t="s">
        <v>6</v>
      </c>
      <c r="F5456" s="1" t="s">
        <v>5091</v>
      </c>
      <c r="G5456" s="14" t="s">
        <v>6236</v>
      </c>
      <c r="H5456" s="1" t="s">
        <v>43</v>
      </c>
      <c r="I5456" s="17">
        <v>42736</v>
      </c>
    </row>
    <row r="5457" spans="1:9">
      <c r="A5457" s="16" t="s">
        <v>13348</v>
      </c>
      <c r="B5457" s="1" t="s">
        <v>2628</v>
      </c>
      <c r="C5457" s="1">
        <v>321</v>
      </c>
      <c r="D5457" s="1" t="s">
        <v>52</v>
      </c>
      <c r="E5457" s="1" t="s">
        <v>6</v>
      </c>
      <c r="F5457" s="1" t="s">
        <v>5091</v>
      </c>
      <c r="G5457" s="14" t="s">
        <v>6236</v>
      </c>
      <c r="H5457" s="1" t="s">
        <v>43</v>
      </c>
      <c r="I5457" s="17">
        <v>42736</v>
      </c>
    </row>
    <row r="5458" spans="1:9">
      <c r="A5458" s="16" t="s">
        <v>13349</v>
      </c>
      <c r="B5458" s="1" t="s">
        <v>2628</v>
      </c>
      <c r="C5458" s="1">
        <v>321</v>
      </c>
      <c r="D5458" s="1" t="s">
        <v>52</v>
      </c>
      <c r="E5458" s="1" t="s">
        <v>6</v>
      </c>
      <c r="F5458" s="1" t="s">
        <v>5091</v>
      </c>
      <c r="G5458" s="14" t="s">
        <v>6236</v>
      </c>
      <c r="H5458" s="1" t="s">
        <v>43</v>
      </c>
      <c r="I5458" s="17">
        <v>42736</v>
      </c>
    </row>
    <row r="5459" spans="1:9">
      <c r="A5459" s="16" t="s">
        <v>13358</v>
      </c>
      <c r="B5459" s="1" t="s">
        <v>2628</v>
      </c>
      <c r="C5459" s="1">
        <v>321</v>
      </c>
      <c r="D5459" s="1" t="s">
        <v>52</v>
      </c>
      <c r="E5459" s="1" t="s">
        <v>6</v>
      </c>
      <c r="F5459" s="1" t="s">
        <v>5091</v>
      </c>
      <c r="G5459" s="14" t="s">
        <v>4458</v>
      </c>
      <c r="H5459" s="1" t="s">
        <v>118</v>
      </c>
      <c r="I5459" s="1" t="s">
        <v>4458</v>
      </c>
    </row>
    <row r="5460" spans="1:9">
      <c r="A5460" s="16" t="s">
        <v>13360</v>
      </c>
      <c r="B5460" s="1" t="s">
        <v>2628</v>
      </c>
      <c r="C5460" s="1">
        <v>321</v>
      </c>
      <c r="D5460" s="1" t="s">
        <v>52</v>
      </c>
      <c r="E5460" s="1" t="s">
        <v>6</v>
      </c>
      <c r="F5460" s="1" t="s">
        <v>5091</v>
      </c>
      <c r="G5460" s="14" t="s">
        <v>6530</v>
      </c>
      <c r="H5460" s="1" t="s">
        <v>43</v>
      </c>
      <c r="I5460" s="17">
        <v>39714</v>
      </c>
    </row>
    <row r="5461" spans="1:9">
      <c r="A5461" s="16" t="s">
        <v>13361</v>
      </c>
      <c r="B5461" s="1" t="s">
        <v>2628</v>
      </c>
      <c r="C5461" s="1">
        <v>321</v>
      </c>
      <c r="D5461" s="1" t="s">
        <v>52</v>
      </c>
      <c r="E5461" s="1" t="s">
        <v>6</v>
      </c>
      <c r="F5461" s="1" t="s">
        <v>5091</v>
      </c>
      <c r="G5461" s="14" t="s">
        <v>6530</v>
      </c>
      <c r="H5461" s="1" t="s">
        <v>43</v>
      </c>
      <c r="I5461" s="17">
        <v>39714</v>
      </c>
    </row>
    <row r="5462" spans="1:9">
      <c r="A5462" s="16" t="s">
        <v>13363</v>
      </c>
      <c r="B5462" s="1" t="s">
        <v>2628</v>
      </c>
      <c r="C5462" s="1">
        <v>321</v>
      </c>
      <c r="D5462" s="1" t="s">
        <v>52</v>
      </c>
      <c r="E5462" s="1" t="s">
        <v>6</v>
      </c>
      <c r="F5462" s="1" t="s">
        <v>5091</v>
      </c>
      <c r="G5462" s="14" t="s">
        <v>6530</v>
      </c>
      <c r="H5462" s="1" t="s">
        <v>43</v>
      </c>
      <c r="I5462" s="17">
        <v>39714</v>
      </c>
    </row>
    <row r="5463" spans="1:9">
      <c r="A5463" s="16" t="s">
        <v>13372</v>
      </c>
      <c r="B5463" s="1" t="s">
        <v>2628</v>
      </c>
      <c r="C5463" s="1">
        <v>321</v>
      </c>
      <c r="D5463" s="1" t="s">
        <v>52</v>
      </c>
      <c r="E5463" s="1" t="s">
        <v>6</v>
      </c>
      <c r="F5463" s="1" t="s">
        <v>5091</v>
      </c>
      <c r="G5463" s="14" t="s">
        <v>6236</v>
      </c>
      <c r="H5463" s="1" t="s">
        <v>43</v>
      </c>
      <c r="I5463" s="17">
        <v>42736</v>
      </c>
    </row>
    <row r="5464" spans="1:9">
      <c r="A5464" s="16" t="s">
        <v>13375</v>
      </c>
      <c r="B5464" s="1" t="s">
        <v>2628</v>
      </c>
      <c r="C5464" s="1">
        <v>321</v>
      </c>
      <c r="D5464" s="1" t="s">
        <v>52</v>
      </c>
      <c r="E5464" s="1" t="s">
        <v>6</v>
      </c>
      <c r="F5464" s="1" t="s">
        <v>5091</v>
      </c>
      <c r="G5464" s="14" t="s">
        <v>9621</v>
      </c>
      <c r="H5464" s="1" t="s">
        <v>5</v>
      </c>
      <c r="I5464" s="17">
        <v>42736</v>
      </c>
    </row>
    <row r="5465" spans="1:9">
      <c r="A5465" s="16" t="s">
        <v>13376</v>
      </c>
      <c r="B5465" s="1" t="s">
        <v>2628</v>
      </c>
      <c r="C5465" s="1">
        <v>321</v>
      </c>
      <c r="D5465" s="1" t="s">
        <v>52</v>
      </c>
      <c r="E5465" s="1" t="s">
        <v>6</v>
      </c>
      <c r="F5465" s="1" t="s">
        <v>5091</v>
      </c>
      <c r="G5465" s="14" t="s">
        <v>6909</v>
      </c>
      <c r="H5465" s="1" t="s">
        <v>43</v>
      </c>
      <c r="I5465" s="17">
        <v>42736</v>
      </c>
    </row>
    <row r="5466" spans="1:9" ht="31.2">
      <c r="A5466" s="16" t="s">
        <v>13398</v>
      </c>
      <c r="B5466" s="1" t="s">
        <v>2628</v>
      </c>
      <c r="C5466" s="1">
        <v>321</v>
      </c>
      <c r="D5466" s="1" t="s">
        <v>52</v>
      </c>
      <c r="E5466" s="1" t="s">
        <v>6</v>
      </c>
      <c r="F5466" s="1" t="s">
        <v>5091</v>
      </c>
      <c r="G5466" s="14" t="s">
        <v>6145</v>
      </c>
      <c r="H5466" s="1" t="s">
        <v>43</v>
      </c>
      <c r="I5466" s="17">
        <v>40827</v>
      </c>
    </row>
    <row r="5467" spans="1:9">
      <c r="A5467" s="16" t="s">
        <v>13413</v>
      </c>
      <c r="B5467" s="1" t="s">
        <v>2628</v>
      </c>
      <c r="C5467" s="1">
        <v>321</v>
      </c>
      <c r="D5467" s="1" t="s">
        <v>52</v>
      </c>
      <c r="E5467" s="1" t="s">
        <v>6</v>
      </c>
      <c r="F5467" s="1" t="s">
        <v>5091</v>
      </c>
      <c r="G5467" s="14" t="s">
        <v>6145</v>
      </c>
      <c r="H5467" s="1" t="s">
        <v>43</v>
      </c>
      <c r="I5467" s="17">
        <v>42990</v>
      </c>
    </row>
    <row r="5468" spans="1:9">
      <c r="A5468" s="16" t="s">
        <v>13414</v>
      </c>
      <c r="B5468" s="1" t="s">
        <v>2628</v>
      </c>
      <c r="C5468" s="1">
        <v>321</v>
      </c>
      <c r="D5468" s="1" t="s">
        <v>52</v>
      </c>
      <c r="E5468" s="1" t="s">
        <v>6</v>
      </c>
      <c r="F5468" s="1" t="s">
        <v>5091</v>
      </c>
      <c r="G5468" s="14" t="s">
        <v>6145</v>
      </c>
      <c r="H5468" s="1" t="s">
        <v>43</v>
      </c>
      <c r="I5468" s="17">
        <v>42990</v>
      </c>
    </row>
    <row r="5469" spans="1:9">
      <c r="A5469" s="16" t="s">
        <v>13417</v>
      </c>
      <c r="B5469" s="1" t="s">
        <v>2628</v>
      </c>
      <c r="C5469" s="1">
        <v>321</v>
      </c>
      <c r="D5469" s="1" t="s">
        <v>52</v>
      </c>
      <c r="E5469" s="1" t="s">
        <v>6</v>
      </c>
      <c r="F5469" s="1" t="s">
        <v>5091</v>
      </c>
      <c r="G5469" s="14" t="s">
        <v>13418</v>
      </c>
      <c r="H5469" s="1" t="s">
        <v>5</v>
      </c>
      <c r="I5469" s="17">
        <v>37249</v>
      </c>
    </row>
    <row r="5470" spans="1:9">
      <c r="A5470" s="16" t="s">
        <v>13419</v>
      </c>
      <c r="B5470" s="1" t="s">
        <v>2628</v>
      </c>
      <c r="C5470" s="1">
        <v>321</v>
      </c>
      <c r="D5470" s="1" t="s">
        <v>52</v>
      </c>
      <c r="E5470" s="1" t="s">
        <v>6</v>
      </c>
      <c r="F5470" s="1" t="s">
        <v>5091</v>
      </c>
      <c r="G5470" s="14" t="s">
        <v>13420</v>
      </c>
      <c r="H5470" s="1" t="s">
        <v>5</v>
      </c>
      <c r="I5470" s="17">
        <v>37242</v>
      </c>
    </row>
    <row r="5471" spans="1:9">
      <c r="A5471" s="16" t="s">
        <v>13421</v>
      </c>
      <c r="B5471" s="1" t="s">
        <v>2628</v>
      </c>
      <c r="C5471" s="1">
        <v>321</v>
      </c>
      <c r="D5471" s="1" t="s">
        <v>52</v>
      </c>
      <c r="E5471" s="1" t="s">
        <v>6</v>
      </c>
      <c r="F5471" s="1" t="s">
        <v>5091</v>
      </c>
      <c r="G5471" s="14" t="s">
        <v>13422</v>
      </c>
      <c r="H5471" s="1" t="s">
        <v>5</v>
      </c>
      <c r="I5471" s="17">
        <v>37242</v>
      </c>
    </row>
    <row r="5472" spans="1:9">
      <c r="A5472" s="16" t="s">
        <v>13432</v>
      </c>
      <c r="B5472" s="1" t="s">
        <v>2628</v>
      </c>
      <c r="C5472" s="1">
        <v>321</v>
      </c>
      <c r="D5472" s="1" t="s">
        <v>52</v>
      </c>
      <c r="E5472" s="1" t="s">
        <v>6</v>
      </c>
      <c r="F5472" s="1" t="s">
        <v>5091</v>
      </c>
      <c r="G5472" s="14" t="s">
        <v>6477</v>
      </c>
      <c r="H5472" s="1" t="s">
        <v>5</v>
      </c>
      <c r="I5472" s="17">
        <v>37208</v>
      </c>
    </row>
    <row r="5473" spans="1:9">
      <c r="A5473" s="16" t="s">
        <v>13448</v>
      </c>
      <c r="B5473" s="1" t="s">
        <v>2628</v>
      </c>
      <c r="C5473" s="1">
        <v>2041</v>
      </c>
      <c r="D5473" s="1" t="s">
        <v>52</v>
      </c>
      <c r="E5473" s="1" t="s">
        <v>6</v>
      </c>
      <c r="F5473" s="1" t="s">
        <v>5091</v>
      </c>
      <c r="G5473" s="14" t="s">
        <v>4458</v>
      </c>
      <c r="H5473" s="1" t="s">
        <v>118</v>
      </c>
      <c r="I5473" s="1" t="s">
        <v>4458</v>
      </c>
    </row>
    <row r="5474" spans="1:9">
      <c r="A5474" s="16" t="s">
        <v>13458</v>
      </c>
      <c r="B5474" s="1" t="s">
        <v>2628</v>
      </c>
      <c r="C5474" s="1">
        <v>321</v>
      </c>
      <c r="D5474" s="1" t="s">
        <v>52</v>
      </c>
      <c r="E5474" s="1" t="s">
        <v>6</v>
      </c>
      <c r="F5474" s="1" t="s">
        <v>5091</v>
      </c>
      <c r="G5474" s="14" t="s">
        <v>9718</v>
      </c>
      <c r="H5474" s="1" t="s">
        <v>5</v>
      </c>
      <c r="I5474" s="17">
        <v>37012</v>
      </c>
    </row>
    <row r="5475" spans="1:9">
      <c r="A5475" s="16" t="s">
        <v>13459</v>
      </c>
      <c r="B5475" s="1" t="s">
        <v>2628</v>
      </c>
      <c r="C5475" s="1">
        <v>321</v>
      </c>
      <c r="D5475" s="1" t="s">
        <v>52</v>
      </c>
      <c r="E5475" s="1" t="s">
        <v>6</v>
      </c>
      <c r="F5475" s="1" t="s">
        <v>5091</v>
      </c>
      <c r="G5475" s="14" t="s">
        <v>9558</v>
      </c>
      <c r="H5475" s="1" t="s">
        <v>5</v>
      </c>
      <c r="I5475" s="17">
        <v>37012</v>
      </c>
    </row>
    <row r="5476" spans="1:9">
      <c r="A5476" s="16" t="s">
        <v>13464</v>
      </c>
      <c r="B5476" s="1" t="s">
        <v>2628</v>
      </c>
      <c r="C5476" s="1">
        <v>321</v>
      </c>
      <c r="D5476" s="1" t="s">
        <v>52</v>
      </c>
      <c r="E5476" s="1" t="s">
        <v>6</v>
      </c>
      <c r="F5476" s="1" t="s">
        <v>5091</v>
      </c>
      <c r="G5476" s="14" t="s">
        <v>9718</v>
      </c>
      <c r="H5476" s="1" t="s">
        <v>5</v>
      </c>
      <c r="I5476" s="17">
        <v>37012</v>
      </c>
    </row>
    <row r="5477" spans="1:9">
      <c r="A5477" s="16" t="s">
        <v>13467</v>
      </c>
      <c r="B5477" s="1" t="s">
        <v>2628</v>
      </c>
      <c r="C5477" s="1">
        <v>321</v>
      </c>
      <c r="D5477" s="1" t="s">
        <v>52</v>
      </c>
      <c r="E5477" s="1" t="s">
        <v>6</v>
      </c>
      <c r="F5477" s="1" t="s">
        <v>5091</v>
      </c>
      <c r="G5477" s="14" t="s">
        <v>9718</v>
      </c>
      <c r="H5477" s="1" t="s">
        <v>5</v>
      </c>
      <c r="I5477" s="17">
        <v>37012</v>
      </c>
    </row>
    <row r="5478" spans="1:9">
      <c r="A5478" s="16" t="s">
        <v>13475</v>
      </c>
      <c r="B5478" s="1" t="s">
        <v>2628</v>
      </c>
      <c r="C5478" s="1">
        <v>321</v>
      </c>
      <c r="D5478" s="1" t="s">
        <v>52</v>
      </c>
      <c r="E5478" s="1" t="s">
        <v>6</v>
      </c>
      <c r="F5478" s="1" t="s">
        <v>5091</v>
      </c>
      <c r="G5478" s="14" t="s">
        <v>9884</v>
      </c>
      <c r="H5478" s="1" t="s">
        <v>5</v>
      </c>
      <c r="I5478" s="17">
        <v>36892</v>
      </c>
    </row>
    <row r="5479" spans="1:9">
      <c r="A5479" s="16" t="s">
        <v>13476</v>
      </c>
      <c r="B5479" s="1" t="s">
        <v>2628</v>
      </c>
      <c r="C5479" s="1">
        <v>321</v>
      </c>
      <c r="D5479" s="1" t="s">
        <v>52</v>
      </c>
      <c r="E5479" s="1" t="s">
        <v>6</v>
      </c>
      <c r="F5479" s="1" t="s">
        <v>5091</v>
      </c>
      <c r="G5479" s="14" t="s">
        <v>9884</v>
      </c>
      <c r="H5479" s="1" t="s">
        <v>5</v>
      </c>
      <c r="I5479" s="17">
        <v>36892</v>
      </c>
    </row>
    <row r="5480" spans="1:9">
      <c r="A5480" s="16" t="s">
        <v>13500</v>
      </c>
      <c r="B5480" s="1" t="s">
        <v>2628</v>
      </c>
      <c r="C5480" s="1">
        <v>321</v>
      </c>
      <c r="D5480" s="1" t="s">
        <v>52</v>
      </c>
      <c r="E5480" s="1" t="s">
        <v>6</v>
      </c>
      <c r="F5480" s="1" t="s">
        <v>5091</v>
      </c>
      <c r="G5480" s="14" t="s">
        <v>9565</v>
      </c>
      <c r="H5480" s="1" t="s">
        <v>5</v>
      </c>
      <c r="I5480" s="17">
        <v>36951</v>
      </c>
    </row>
    <row r="5481" spans="1:9">
      <c r="A5481" s="16" t="s">
        <v>13502</v>
      </c>
      <c r="B5481" s="1" t="s">
        <v>2628</v>
      </c>
      <c r="C5481" s="1">
        <v>321</v>
      </c>
      <c r="D5481" s="1" t="s">
        <v>52</v>
      </c>
      <c r="E5481" s="1" t="s">
        <v>6</v>
      </c>
      <c r="F5481" s="1" t="s">
        <v>5091</v>
      </c>
      <c r="G5481" s="14" t="s">
        <v>11695</v>
      </c>
      <c r="H5481" s="1" t="s">
        <v>5</v>
      </c>
      <c r="I5481" s="17">
        <v>37012</v>
      </c>
    </row>
    <row r="5482" spans="1:9">
      <c r="A5482" s="16" t="s">
        <v>13510</v>
      </c>
      <c r="B5482" s="1" t="s">
        <v>2628</v>
      </c>
      <c r="C5482" s="1">
        <v>321</v>
      </c>
      <c r="D5482" s="1" t="s">
        <v>52</v>
      </c>
      <c r="E5482" s="1" t="s">
        <v>6</v>
      </c>
      <c r="F5482" s="1" t="s">
        <v>5091</v>
      </c>
      <c r="G5482" s="14" t="s">
        <v>6145</v>
      </c>
      <c r="H5482" s="1" t="s">
        <v>43</v>
      </c>
      <c r="I5482" s="17">
        <v>41041</v>
      </c>
    </row>
    <row r="5483" spans="1:9">
      <c r="A5483" s="16" t="s">
        <v>13520</v>
      </c>
      <c r="B5483" s="1" t="s">
        <v>2628</v>
      </c>
      <c r="C5483" s="1">
        <v>321</v>
      </c>
      <c r="D5483" s="1" t="s">
        <v>52</v>
      </c>
      <c r="E5483" s="1" t="s">
        <v>6</v>
      </c>
      <c r="F5483" s="1" t="s">
        <v>5091</v>
      </c>
      <c r="G5483" s="14" t="s">
        <v>9493</v>
      </c>
      <c r="H5483" s="1" t="s">
        <v>5</v>
      </c>
      <c r="I5483" s="17">
        <v>36647</v>
      </c>
    </row>
    <row r="5484" spans="1:9">
      <c r="A5484" s="16" t="s">
        <v>13522</v>
      </c>
      <c r="B5484" s="1" t="s">
        <v>2628</v>
      </c>
      <c r="C5484" s="1">
        <v>321</v>
      </c>
      <c r="D5484" s="1" t="s">
        <v>52</v>
      </c>
      <c r="E5484" s="1" t="s">
        <v>6</v>
      </c>
      <c r="F5484" s="1" t="s">
        <v>5091</v>
      </c>
      <c r="G5484" s="14" t="s">
        <v>4458</v>
      </c>
      <c r="H5484" s="1" t="s">
        <v>118</v>
      </c>
      <c r="I5484" s="1" t="s">
        <v>4458</v>
      </c>
    </row>
    <row r="5485" spans="1:9">
      <c r="A5485" s="16" t="s">
        <v>13524</v>
      </c>
      <c r="B5485" s="1" t="s">
        <v>2628</v>
      </c>
      <c r="C5485" s="1">
        <v>321</v>
      </c>
      <c r="D5485" s="1" t="s">
        <v>52</v>
      </c>
      <c r="E5485" s="1" t="s">
        <v>6</v>
      </c>
      <c r="F5485" s="1" t="s">
        <v>5091</v>
      </c>
      <c r="G5485" s="14" t="s">
        <v>9493</v>
      </c>
      <c r="H5485" s="1" t="s">
        <v>5</v>
      </c>
      <c r="I5485" s="17">
        <v>36647</v>
      </c>
    </row>
    <row r="5486" spans="1:9">
      <c r="A5486" s="16" t="s">
        <v>13525</v>
      </c>
      <c r="B5486" s="1" t="s">
        <v>2628</v>
      </c>
      <c r="C5486" s="1">
        <v>321</v>
      </c>
      <c r="D5486" s="1" t="s">
        <v>52</v>
      </c>
      <c r="E5486" s="1" t="s">
        <v>6</v>
      </c>
      <c r="F5486" s="1" t="s">
        <v>5091</v>
      </c>
      <c r="G5486" s="14" t="s">
        <v>6606</v>
      </c>
      <c r="H5486" s="1" t="s">
        <v>5</v>
      </c>
      <c r="I5486" s="17">
        <v>36404</v>
      </c>
    </row>
    <row r="5487" spans="1:9">
      <c r="A5487" s="16" t="s">
        <v>13526</v>
      </c>
      <c r="B5487" s="1" t="s">
        <v>2628</v>
      </c>
      <c r="C5487" s="1">
        <v>321</v>
      </c>
      <c r="D5487" s="1" t="s">
        <v>52</v>
      </c>
      <c r="E5487" s="1" t="s">
        <v>6</v>
      </c>
      <c r="F5487" s="1" t="s">
        <v>5091</v>
      </c>
      <c r="G5487" s="14" t="s">
        <v>6530</v>
      </c>
      <c r="H5487" s="1" t="s">
        <v>43</v>
      </c>
      <c r="I5487" s="17">
        <v>43004</v>
      </c>
    </row>
    <row r="5488" spans="1:9">
      <c r="A5488" s="16" t="s">
        <v>13527</v>
      </c>
      <c r="B5488" s="1" t="s">
        <v>2628</v>
      </c>
      <c r="C5488" s="1">
        <v>321</v>
      </c>
      <c r="D5488" s="1" t="s">
        <v>52</v>
      </c>
      <c r="E5488" s="1" t="s">
        <v>6</v>
      </c>
      <c r="F5488" s="1" t="s">
        <v>5091</v>
      </c>
      <c r="G5488" s="14" t="s">
        <v>6530</v>
      </c>
      <c r="H5488" s="1" t="s">
        <v>43</v>
      </c>
      <c r="I5488" s="17">
        <v>43004</v>
      </c>
    </row>
    <row r="5489" spans="1:9">
      <c r="A5489" s="16" t="s">
        <v>13528</v>
      </c>
      <c r="B5489" s="1" t="s">
        <v>2628</v>
      </c>
      <c r="C5489" s="1">
        <v>321</v>
      </c>
      <c r="D5489" s="1" t="s">
        <v>52</v>
      </c>
      <c r="E5489" s="1" t="s">
        <v>6</v>
      </c>
      <c r="F5489" s="1" t="s">
        <v>5091</v>
      </c>
      <c r="G5489" s="14" t="s">
        <v>6530</v>
      </c>
      <c r="H5489" s="1" t="s">
        <v>43</v>
      </c>
      <c r="I5489" s="17">
        <v>43004</v>
      </c>
    </row>
    <row r="5490" spans="1:9">
      <c r="A5490" s="16" t="s">
        <v>13529</v>
      </c>
      <c r="B5490" s="1" t="s">
        <v>2628</v>
      </c>
      <c r="C5490" s="1">
        <v>321</v>
      </c>
      <c r="D5490" s="1" t="s">
        <v>52</v>
      </c>
      <c r="E5490" s="1" t="s">
        <v>6</v>
      </c>
      <c r="F5490" s="1" t="s">
        <v>5091</v>
      </c>
      <c r="G5490" s="14" t="s">
        <v>6530</v>
      </c>
      <c r="H5490" s="1" t="s">
        <v>43</v>
      </c>
      <c r="I5490" s="17">
        <v>43004</v>
      </c>
    </row>
    <row r="5491" spans="1:9">
      <c r="A5491" s="16" t="s">
        <v>13530</v>
      </c>
      <c r="B5491" s="1" t="s">
        <v>2628</v>
      </c>
      <c r="C5491" s="1">
        <v>321</v>
      </c>
      <c r="D5491" s="1" t="s">
        <v>52</v>
      </c>
      <c r="E5491" s="1" t="s">
        <v>6</v>
      </c>
      <c r="F5491" s="1" t="s">
        <v>5091</v>
      </c>
      <c r="G5491" s="14" t="s">
        <v>6530</v>
      </c>
      <c r="H5491" s="1" t="s">
        <v>43</v>
      </c>
      <c r="I5491" s="17">
        <v>43004</v>
      </c>
    </row>
    <row r="5492" spans="1:9">
      <c r="A5492" s="16" t="s">
        <v>13531</v>
      </c>
      <c r="B5492" s="1" t="s">
        <v>2628</v>
      </c>
      <c r="C5492" s="1">
        <v>321</v>
      </c>
      <c r="D5492" s="1" t="s">
        <v>52</v>
      </c>
      <c r="E5492" s="1" t="s">
        <v>6</v>
      </c>
      <c r="F5492" s="1" t="s">
        <v>5091</v>
      </c>
      <c r="G5492" s="14" t="s">
        <v>6530</v>
      </c>
      <c r="H5492" s="1" t="s">
        <v>43</v>
      </c>
      <c r="I5492" s="17">
        <v>43004</v>
      </c>
    </row>
    <row r="5493" spans="1:9">
      <c r="A5493" s="16" t="s">
        <v>13532</v>
      </c>
      <c r="B5493" s="1" t="s">
        <v>2628</v>
      </c>
      <c r="C5493" s="1">
        <v>321</v>
      </c>
      <c r="D5493" s="1" t="s">
        <v>52</v>
      </c>
      <c r="E5493" s="1" t="s">
        <v>6</v>
      </c>
      <c r="F5493" s="1" t="s">
        <v>5091</v>
      </c>
      <c r="G5493" s="14" t="s">
        <v>13533</v>
      </c>
      <c r="H5493" s="1" t="s">
        <v>5</v>
      </c>
      <c r="I5493" s="17">
        <v>42947</v>
      </c>
    </row>
    <row r="5494" spans="1:9">
      <c r="A5494" s="16" t="s">
        <v>13536</v>
      </c>
      <c r="B5494" s="1" t="s">
        <v>2628</v>
      </c>
      <c r="C5494" s="1">
        <v>321</v>
      </c>
      <c r="D5494" s="1" t="s">
        <v>52</v>
      </c>
      <c r="E5494" s="1" t="s">
        <v>6</v>
      </c>
      <c r="F5494" s="1" t="s">
        <v>5091</v>
      </c>
      <c r="G5494" s="14" t="s">
        <v>6530</v>
      </c>
      <c r="H5494" s="1" t="s">
        <v>43</v>
      </c>
      <c r="I5494" s="17">
        <v>43004</v>
      </c>
    </row>
    <row r="5495" spans="1:9">
      <c r="A5495" s="16" t="s">
        <v>13544</v>
      </c>
      <c r="B5495" s="1" t="s">
        <v>2628</v>
      </c>
      <c r="C5495" s="1">
        <v>321</v>
      </c>
      <c r="D5495" s="1" t="s">
        <v>52</v>
      </c>
      <c r="E5495" s="1" t="s">
        <v>6</v>
      </c>
      <c r="F5495" s="1" t="s">
        <v>5091</v>
      </c>
      <c r="G5495" s="14" t="s">
        <v>4458</v>
      </c>
      <c r="H5495" s="1" t="s">
        <v>118</v>
      </c>
      <c r="I5495" s="17">
        <v>42736</v>
      </c>
    </row>
    <row r="5496" spans="1:9">
      <c r="A5496" s="16" t="s">
        <v>13559</v>
      </c>
      <c r="B5496" s="1" t="s">
        <v>2628</v>
      </c>
      <c r="C5496" s="1">
        <v>321</v>
      </c>
      <c r="D5496" s="1" t="s">
        <v>52</v>
      </c>
      <c r="E5496" s="1" t="s">
        <v>6</v>
      </c>
      <c r="F5496" s="1" t="s">
        <v>5091</v>
      </c>
      <c r="G5496" s="14" t="s">
        <v>11684</v>
      </c>
      <c r="H5496" s="1" t="s">
        <v>5</v>
      </c>
      <c r="I5496" s="17">
        <v>37991</v>
      </c>
    </row>
    <row r="5497" spans="1:9">
      <c r="A5497" s="16" t="s">
        <v>13565</v>
      </c>
      <c r="B5497" s="1" t="s">
        <v>2628</v>
      </c>
      <c r="C5497" s="1">
        <v>321</v>
      </c>
      <c r="D5497" s="1" t="s">
        <v>52</v>
      </c>
      <c r="E5497" s="1" t="s">
        <v>6</v>
      </c>
      <c r="F5497" s="1" t="s">
        <v>5091</v>
      </c>
      <c r="G5497" s="14" t="s">
        <v>4458</v>
      </c>
      <c r="H5497" s="1" t="s">
        <v>118</v>
      </c>
      <c r="I5497" s="1" t="s">
        <v>4458</v>
      </c>
    </row>
    <row r="5498" spans="1:9">
      <c r="A5498" s="16" t="s">
        <v>13572</v>
      </c>
      <c r="B5498" s="1" t="s">
        <v>2628</v>
      </c>
      <c r="C5498" s="1">
        <v>321</v>
      </c>
      <c r="D5498" s="1" t="s">
        <v>52</v>
      </c>
      <c r="E5498" s="1" t="s">
        <v>6</v>
      </c>
      <c r="F5498" s="1" t="s">
        <v>5091</v>
      </c>
      <c r="G5498" s="14" t="s">
        <v>6236</v>
      </c>
      <c r="H5498" s="1" t="s">
        <v>43</v>
      </c>
      <c r="I5498" s="17">
        <v>42736</v>
      </c>
    </row>
    <row r="5499" spans="1:9">
      <c r="A5499" s="16" t="s">
        <v>13586</v>
      </c>
      <c r="B5499" s="1" t="s">
        <v>2628</v>
      </c>
      <c r="C5499" s="1">
        <v>321</v>
      </c>
      <c r="D5499" s="1" t="s">
        <v>52</v>
      </c>
      <c r="E5499" s="1" t="s">
        <v>6</v>
      </c>
      <c r="F5499" s="1" t="s">
        <v>5091</v>
      </c>
      <c r="G5499" s="14" t="s">
        <v>13587</v>
      </c>
      <c r="H5499" s="1" t="s">
        <v>5</v>
      </c>
      <c r="I5499" s="17">
        <v>40827</v>
      </c>
    </row>
    <row r="5500" spans="1:9">
      <c r="A5500" s="16" t="s">
        <v>13590</v>
      </c>
      <c r="B5500" s="1" t="s">
        <v>2628</v>
      </c>
      <c r="C5500" s="1">
        <v>321</v>
      </c>
      <c r="D5500" s="1" t="s">
        <v>52</v>
      </c>
      <c r="E5500" s="1" t="s">
        <v>6</v>
      </c>
      <c r="F5500" s="1" t="s">
        <v>5091</v>
      </c>
      <c r="G5500" s="14" t="s">
        <v>6145</v>
      </c>
      <c r="H5500" s="1" t="s">
        <v>43</v>
      </c>
      <c r="I5500" s="17">
        <v>40827</v>
      </c>
    </row>
    <row r="5501" spans="1:9">
      <c r="A5501" s="16" t="s">
        <v>13591</v>
      </c>
      <c r="B5501" s="1" t="s">
        <v>2628</v>
      </c>
      <c r="C5501" s="1">
        <v>321</v>
      </c>
      <c r="D5501" s="1" t="s">
        <v>52</v>
      </c>
      <c r="E5501" s="1" t="s">
        <v>6</v>
      </c>
      <c r="F5501" s="1" t="s">
        <v>5091</v>
      </c>
      <c r="G5501" s="14" t="s">
        <v>13587</v>
      </c>
      <c r="H5501" s="1" t="s">
        <v>5</v>
      </c>
      <c r="I5501" s="17">
        <v>40827</v>
      </c>
    </row>
    <row r="5502" spans="1:9">
      <c r="A5502" s="16" t="s">
        <v>13600</v>
      </c>
      <c r="B5502" s="1" t="s">
        <v>2628</v>
      </c>
      <c r="C5502" s="1">
        <v>321</v>
      </c>
      <c r="D5502" s="1" t="s">
        <v>52</v>
      </c>
      <c r="E5502" s="1" t="s">
        <v>6</v>
      </c>
      <c r="F5502" s="1" t="s">
        <v>5091</v>
      </c>
      <c r="G5502" s="14" t="s">
        <v>6145</v>
      </c>
      <c r="H5502" s="1" t="s">
        <v>43</v>
      </c>
      <c r="I5502" s="17">
        <v>40827</v>
      </c>
    </row>
    <row r="5503" spans="1:9">
      <c r="A5503" s="16" t="s">
        <v>13601</v>
      </c>
      <c r="B5503" s="1" t="s">
        <v>2628</v>
      </c>
      <c r="C5503" s="1">
        <v>321</v>
      </c>
      <c r="D5503" s="1" t="s">
        <v>52</v>
      </c>
      <c r="E5503" s="1" t="s">
        <v>6</v>
      </c>
      <c r="F5503" s="1" t="s">
        <v>5091</v>
      </c>
      <c r="G5503" s="14" t="s">
        <v>6145</v>
      </c>
      <c r="H5503" s="1" t="s">
        <v>43</v>
      </c>
      <c r="I5503" s="17">
        <v>40827</v>
      </c>
    </row>
    <row r="5504" spans="1:9">
      <c r="A5504" s="16" t="s">
        <v>13603</v>
      </c>
      <c r="B5504" s="1" t="s">
        <v>2628</v>
      </c>
      <c r="C5504" s="1">
        <v>321</v>
      </c>
      <c r="D5504" s="1" t="s">
        <v>52</v>
      </c>
      <c r="E5504" s="1" t="s">
        <v>6</v>
      </c>
      <c r="F5504" s="1" t="s">
        <v>5091</v>
      </c>
      <c r="G5504" s="14" t="s">
        <v>6145</v>
      </c>
      <c r="H5504" s="1" t="s">
        <v>43</v>
      </c>
      <c r="I5504" s="17">
        <v>40827</v>
      </c>
    </row>
    <row r="5505" spans="1:9">
      <c r="A5505" s="16" t="s">
        <v>13607</v>
      </c>
      <c r="B5505" s="1" t="s">
        <v>2628</v>
      </c>
      <c r="C5505" s="1">
        <v>321</v>
      </c>
      <c r="D5505" s="1" t="s">
        <v>52</v>
      </c>
      <c r="E5505" s="1" t="s">
        <v>6</v>
      </c>
      <c r="F5505" s="1" t="s">
        <v>5091</v>
      </c>
      <c r="G5505" s="14" t="s">
        <v>6145</v>
      </c>
      <c r="H5505" s="1" t="s">
        <v>43</v>
      </c>
      <c r="I5505" s="17">
        <v>40827</v>
      </c>
    </row>
    <row r="5506" spans="1:9">
      <c r="A5506" s="16" t="s">
        <v>13610</v>
      </c>
      <c r="B5506" s="1" t="s">
        <v>2628</v>
      </c>
      <c r="C5506" s="1">
        <v>321</v>
      </c>
      <c r="D5506" s="1" t="s">
        <v>52</v>
      </c>
      <c r="E5506" s="1" t="s">
        <v>6</v>
      </c>
      <c r="F5506" s="1" t="s">
        <v>5091</v>
      </c>
      <c r="G5506" s="14" t="s">
        <v>6145</v>
      </c>
      <c r="H5506" s="1" t="s">
        <v>43</v>
      </c>
      <c r="I5506" s="17">
        <v>40827</v>
      </c>
    </row>
    <row r="5507" spans="1:9">
      <c r="A5507" s="16" t="s">
        <v>13611</v>
      </c>
      <c r="B5507" s="1" t="s">
        <v>2628</v>
      </c>
      <c r="C5507" s="1">
        <v>321</v>
      </c>
      <c r="D5507" s="1" t="s">
        <v>52</v>
      </c>
      <c r="E5507" s="1" t="s">
        <v>6</v>
      </c>
      <c r="F5507" s="1" t="s">
        <v>5091</v>
      </c>
      <c r="G5507" s="14" t="s">
        <v>6145</v>
      </c>
      <c r="H5507" s="1" t="s">
        <v>43</v>
      </c>
      <c r="I5507" s="17">
        <v>40827</v>
      </c>
    </row>
    <row r="5508" spans="1:9">
      <c r="A5508" s="16" t="s">
        <v>13612</v>
      </c>
      <c r="B5508" s="1" t="s">
        <v>2628</v>
      </c>
      <c r="C5508" s="1">
        <v>321</v>
      </c>
      <c r="D5508" s="1" t="s">
        <v>52</v>
      </c>
      <c r="E5508" s="1" t="s">
        <v>6</v>
      </c>
      <c r="F5508" s="1" t="s">
        <v>5091</v>
      </c>
      <c r="G5508" s="14" t="s">
        <v>13613</v>
      </c>
      <c r="H5508" s="1" t="s">
        <v>5</v>
      </c>
      <c r="I5508" s="17">
        <v>39637</v>
      </c>
    </row>
    <row r="5509" spans="1:9">
      <c r="A5509" s="16" t="s">
        <v>13616</v>
      </c>
      <c r="B5509" s="1" t="s">
        <v>2628</v>
      </c>
      <c r="C5509" s="1">
        <v>321</v>
      </c>
      <c r="D5509" s="1" t="s">
        <v>52</v>
      </c>
      <c r="E5509" s="1" t="s">
        <v>6</v>
      </c>
      <c r="F5509" s="1" t="s">
        <v>5091</v>
      </c>
      <c r="G5509" s="14" t="s">
        <v>13617</v>
      </c>
      <c r="H5509" s="1" t="s">
        <v>5</v>
      </c>
      <c r="I5509" s="17">
        <v>39637</v>
      </c>
    </row>
    <row r="5510" spans="1:9">
      <c r="A5510" s="16" t="s">
        <v>13630</v>
      </c>
      <c r="B5510" s="1" t="s">
        <v>2628</v>
      </c>
      <c r="C5510" s="1">
        <v>321</v>
      </c>
      <c r="D5510" s="1" t="s">
        <v>52</v>
      </c>
      <c r="E5510" s="1" t="s">
        <v>6</v>
      </c>
      <c r="F5510" s="1" t="s">
        <v>5091</v>
      </c>
      <c r="G5510" s="14" t="s">
        <v>6236</v>
      </c>
      <c r="H5510" s="1" t="s">
        <v>43</v>
      </c>
      <c r="I5510" s="17">
        <v>42736</v>
      </c>
    </row>
    <row r="5511" spans="1:9">
      <c r="A5511" s="16" t="s">
        <v>13643</v>
      </c>
      <c r="B5511" s="1" t="s">
        <v>2628</v>
      </c>
      <c r="C5511" s="1">
        <v>321</v>
      </c>
      <c r="D5511" s="1" t="s">
        <v>52</v>
      </c>
      <c r="E5511" s="1" t="s">
        <v>6</v>
      </c>
      <c r="F5511" s="1" t="s">
        <v>5091</v>
      </c>
      <c r="G5511" s="14" t="s">
        <v>9628</v>
      </c>
      <c r="H5511" s="1" t="s">
        <v>5</v>
      </c>
      <c r="I5511" s="17">
        <v>43034</v>
      </c>
    </row>
    <row r="5512" spans="1:9">
      <c r="A5512" s="16" t="s">
        <v>13644</v>
      </c>
      <c r="B5512" s="1" t="s">
        <v>2628</v>
      </c>
      <c r="C5512" s="1">
        <v>321</v>
      </c>
      <c r="D5512" s="1" t="s">
        <v>52</v>
      </c>
      <c r="E5512" s="1" t="s">
        <v>6</v>
      </c>
      <c r="F5512" s="1" t="s">
        <v>5091</v>
      </c>
      <c r="G5512" s="14" t="s">
        <v>9884</v>
      </c>
      <c r="H5512" s="1" t="s">
        <v>5</v>
      </c>
      <c r="I5512" s="17">
        <v>36800</v>
      </c>
    </row>
    <row r="5513" spans="1:9">
      <c r="A5513" s="16" t="s">
        <v>13651</v>
      </c>
      <c r="B5513" s="1" t="s">
        <v>2628</v>
      </c>
      <c r="C5513" s="1">
        <v>321</v>
      </c>
      <c r="D5513" s="1" t="s">
        <v>52</v>
      </c>
      <c r="E5513" s="1" t="s">
        <v>6</v>
      </c>
      <c r="F5513" s="1" t="s">
        <v>5091</v>
      </c>
      <c r="G5513" s="14" t="s">
        <v>9493</v>
      </c>
      <c r="H5513" s="1" t="s">
        <v>5</v>
      </c>
      <c r="I5513" s="17">
        <v>36647</v>
      </c>
    </row>
    <row r="5514" spans="1:9">
      <c r="A5514" s="16" t="s">
        <v>13652</v>
      </c>
      <c r="B5514" s="1" t="s">
        <v>2628</v>
      </c>
      <c r="C5514" s="1">
        <v>321</v>
      </c>
      <c r="D5514" s="1" t="s">
        <v>52</v>
      </c>
      <c r="E5514" s="1" t="s">
        <v>6</v>
      </c>
      <c r="F5514" s="1" t="s">
        <v>5091</v>
      </c>
      <c r="G5514" s="14" t="s">
        <v>9561</v>
      </c>
      <c r="H5514" s="1" t="s">
        <v>5</v>
      </c>
      <c r="I5514" s="17">
        <v>36617</v>
      </c>
    </row>
    <row r="5515" spans="1:9">
      <c r="A5515" s="16" t="s">
        <v>13655</v>
      </c>
      <c r="B5515" s="1" t="s">
        <v>2628</v>
      </c>
      <c r="C5515" s="1">
        <v>321</v>
      </c>
      <c r="D5515" s="1" t="s">
        <v>52</v>
      </c>
      <c r="E5515" s="1" t="s">
        <v>6</v>
      </c>
      <c r="F5515" s="1" t="s">
        <v>5091</v>
      </c>
      <c r="G5515" s="14" t="s">
        <v>10402</v>
      </c>
      <c r="H5515" s="1" t="s">
        <v>5</v>
      </c>
      <c r="I5515" s="17">
        <v>36617</v>
      </c>
    </row>
    <row r="5516" spans="1:9">
      <c r="A5516" s="16" t="s">
        <v>13656</v>
      </c>
      <c r="B5516" s="1" t="s">
        <v>2628</v>
      </c>
      <c r="C5516" s="1">
        <v>321</v>
      </c>
      <c r="D5516" s="1" t="s">
        <v>52</v>
      </c>
      <c r="E5516" s="1" t="s">
        <v>6</v>
      </c>
      <c r="F5516" s="1" t="s">
        <v>5091</v>
      </c>
      <c r="G5516" s="14" t="s">
        <v>9493</v>
      </c>
      <c r="H5516" s="1" t="s">
        <v>5</v>
      </c>
      <c r="I5516" s="17">
        <v>36617</v>
      </c>
    </row>
    <row r="5517" spans="1:9">
      <c r="A5517" s="16" t="s">
        <v>13657</v>
      </c>
      <c r="B5517" s="1" t="s">
        <v>2628</v>
      </c>
      <c r="C5517" s="1">
        <v>321</v>
      </c>
      <c r="D5517" s="1" t="s">
        <v>52</v>
      </c>
      <c r="E5517" s="1" t="s">
        <v>6</v>
      </c>
      <c r="F5517" s="1" t="s">
        <v>5091</v>
      </c>
      <c r="G5517" s="14" t="s">
        <v>9493</v>
      </c>
      <c r="H5517" s="1" t="s">
        <v>5</v>
      </c>
      <c r="I5517" s="17">
        <v>36617</v>
      </c>
    </row>
    <row r="5518" spans="1:9">
      <c r="A5518" s="16" t="s">
        <v>13658</v>
      </c>
      <c r="B5518" s="1" t="s">
        <v>2628</v>
      </c>
      <c r="C5518" s="1">
        <v>321</v>
      </c>
      <c r="D5518" s="1" t="s">
        <v>52</v>
      </c>
      <c r="E5518" s="1" t="s">
        <v>6</v>
      </c>
      <c r="F5518" s="1" t="s">
        <v>5091</v>
      </c>
      <c r="G5518" s="14" t="s">
        <v>9493</v>
      </c>
      <c r="H5518" s="1" t="s">
        <v>5</v>
      </c>
      <c r="I5518" s="17">
        <v>36617</v>
      </c>
    </row>
    <row r="5519" spans="1:9">
      <c r="A5519" s="16" t="s">
        <v>13659</v>
      </c>
      <c r="B5519" s="1" t="s">
        <v>2628</v>
      </c>
      <c r="C5519" s="1">
        <v>321</v>
      </c>
      <c r="D5519" s="1" t="s">
        <v>52</v>
      </c>
      <c r="E5519" s="1" t="s">
        <v>6</v>
      </c>
      <c r="F5519" s="1" t="s">
        <v>5091</v>
      </c>
      <c r="G5519" s="14" t="s">
        <v>10402</v>
      </c>
      <c r="H5519" s="1" t="s">
        <v>5</v>
      </c>
      <c r="I5519" s="17">
        <v>36647</v>
      </c>
    </row>
    <row r="5520" spans="1:9">
      <c r="A5520" s="16" t="s">
        <v>13684</v>
      </c>
      <c r="B5520" s="1" t="s">
        <v>2628</v>
      </c>
      <c r="C5520" s="1">
        <v>321</v>
      </c>
      <c r="D5520" s="1" t="s">
        <v>52</v>
      </c>
      <c r="E5520" s="1" t="s">
        <v>6</v>
      </c>
      <c r="F5520" s="1" t="s">
        <v>5091</v>
      </c>
      <c r="G5520" s="14" t="s">
        <v>13685</v>
      </c>
      <c r="H5520" s="1" t="s">
        <v>5</v>
      </c>
      <c r="I5520" s="17">
        <v>42997</v>
      </c>
    </row>
    <row r="5521" spans="1:9">
      <c r="A5521" s="16" t="s">
        <v>13686</v>
      </c>
      <c r="B5521" s="1" t="s">
        <v>2628</v>
      </c>
      <c r="C5521" s="1">
        <v>321</v>
      </c>
      <c r="D5521" s="1" t="s">
        <v>52</v>
      </c>
      <c r="E5521" s="1" t="s">
        <v>6</v>
      </c>
      <c r="F5521" s="1" t="s">
        <v>5091</v>
      </c>
      <c r="G5521" s="14" t="s">
        <v>13685</v>
      </c>
      <c r="H5521" s="1" t="s">
        <v>5</v>
      </c>
      <c r="I5521" s="17">
        <v>42997</v>
      </c>
    </row>
    <row r="5522" spans="1:9">
      <c r="A5522" s="16" t="s">
        <v>13687</v>
      </c>
      <c r="B5522" s="1" t="s">
        <v>2628</v>
      </c>
      <c r="C5522" s="1">
        <v>321</v>
      </c>
      <c r="D5522" s="1" t="s">
        <v>52</v>
      </c>
      <c r="E5522" s="1" t="s">
        <v>6</v>
      </c>
      <c r="F5522" s="1" t="s">
        <v>5091</v>
      </c>
      <c r="G5522" s="14" t="s">
        <v>13685</v>
      </c>
      <c r="H5522" s="1" t="s">
        <v>5</v>
      </c>
      <c r="I5522" s="17">
        <v>42997</v>
      </c>
    </row>
    <row r="5523" spans="1:9">
      <c r="A5523" s="16" t="s">
        <v>13718</v>
      </c>
      <c r="B5523" s="1" t="s">
        <v>2628</v>
      </c>
      <c r="C5523" s="1">
        <v>321</v>
      </c>
      <c r="D5523" s="1" t="s">
        <v>52</v>
      </c>
      <c r="E5523" s="1" t="s">
        <v>6</v>
      </c>
      <c r="F5523" s="1" t="s">
        <v>5091</v>
      </c>
      <c r="G5523" s="14" t="s">
        <v>6145</v>
      </c>
      <c r="H5523" s="1" t="s">
        <v>43</v>
      </c>
      <c r="I5523" s="17">
        <v>42248</v>
      </c>
    </row>
    <row r="5524" spans="1:9">
      <c r="A5524" s="16" t="s">
        <v>13720</v>
      </c>
      <c r="B5524" s="1" t="s">
        <v>2628</v>
      </c>
      <c r="C5524" s="1">
        <v>321</v>
      </c>
      <c r="D5524" s="1" t="s">
        <v>52</v>
      </c>
      <c r="E5524" s="1" t="s">
        <v>6</v>
      </c>
      <c r="F5524" s="1" t="s">
        <v>5091</v>
      </c>
      <c r="G5524" s="14" t="s">
        <v>6145</v>
      </c>
      <c r="H5524" s="1" t="s">
        <v>43</v>
      </c>
      <c r="I5524" s="17">
        <v>42248</v>
      </c>
    </row>
    <row r="5525" spans="1:9">
      <c r="A5525" s="16" t="s">
        <v>13723</v>
      </c>
      <c r="B5525" s="1" t="s">
        <v>2628</v>
      </c>
      <c r="C5525" s="1">
        <v>321</v>
      </c>
      <c r="D5525" s="1" t="s">
        <v>52</v>
      </c>
      <c r="E5525" s="1" t="s">
        <v>6</v>
      </c>
      <c r="F5525" s="1" t="s">
        <v>5091</v>
      </c>
      <c r="G5525" s="14" t="s">
        <v>6145</v>
      </c>
      <c r="H5525" s="1" t="s">
        <v>43</v>
      </c>
      <c r="I5525" s="17">
        <v>42248</v>
      </c>
    </row>
    <row r="5526" spans="1:9">
      <c r="A5526" s="16" t="s">
        <v>13724</v>
      </c>
      <c r="B5526" s="1" t="s">
        <v>2628</v>
      </c>
      <c r="C5526" s="1">
        <v>321</v>
      </c>
      <c r="D5526" s="1" t="s">
        <v>52</v>
      </c>
      <c r="E5526" s="1" t="s">
        <v>6</v>
      </c>
      <c r="F5526" s="1" t="s">
        <v>5091</v>
      </c>
      <c r="G5526" s="14" t="s">
        <v>6145</v>
      </c>
      <c r="H5526" s="1" t="s">
        <v>43</v>
      </c>
      <c r="I5526" s="17">
        <v>42248</v>
      </c>
    </row>
    <row r="5527" spans="1:9">
      <c r="A5527" s="16" t="s">
        <v>13731</v>
      </c>
      <c r="B5527" s="1" t="s">
        <v>2628</v>
      </c>
      <c r="C5527" s="1">
        <v>321</v>
      </c>
      <c r="D5527" s="1" t="s">
        <v>52</v>
      </c>
      <c r="E5527" s="1" t="s">
        <v>6</v>
      </c>
      <c r="F5527" s="1" t="s">
        <v>36</v>
      </c>
      <c r="G5527" s="14" t="s">
        <v>13732</v>
      </c>
      <c r="H5527" s="1" t="s">
        <v>5</v>
      </c>
      <c r="I5527" s="17">
        <v>41133</v>
      </c>
    </row>
    <row r="5528" spans="1:9">
      <c r="A5528" s="16" t="s">
        <v>13733</v>
      </c>
      <c r="B5528" s="1" t="s">
        <v>2628</v>
      </c>
      <c r="C5528" s="1">
        <v>321</v>
      </c>
      <c r="D5528" s="1" t="s">
        <v>52</v>
      </c>
      <c r="E5528" s="1" t="s">
        <v>6</v>
      </c>
      <c r="F5528" s="1" t="s">
        <v>36</v>
      </c>
      <c r="G5528" s="14" t="s">
        <v>13732</v>
      </c>
      <c r="H5528" s="1" t="s">
        <v>5</v>
      </c>
      <c r="I5528" s="17">
        <v>41133</v>
      </c>
    </row>
    <row r="5529" spans="1:9">
      <c r="A5529" s="16" t="s">
        <v>13735</v>
      </c>
      <c r="B5529" s="1" t="s">
        <v>2628</v>
      </c>
      <c r="C5529" s="1">
        <v>321</v>
      </c>
      <c r="D5529" s="1" t="s">
        <v>52</v>
      </c>
      <c r="E5529" s="1" t="s">
        <v>6</v>
      </c>
      <c r="F5529" s="1" t="s">
        <v>5091</v>
      </c>
      <c r="G5529" s="14" t="s">
        <v>6145</v>
      </c>
      <c r="H5529" s="1" t="s">
        <v>43</v>
      </c>
      <c r="I5529" s="17">
        <v>42430</v>
      </c>
    </row>
    <row r="5530" spans="1:9" ht="31.2">
      <c r="A5530" s="16" t="s">
        <v>13762</v>
      </c>
      <c r="B5530" s="1" t="s">
        <v>2628</v>
      </c>
      <c r="C5530" s="1">
        <v>321</v>
      </c>
      <c r="D5530" s="1" t="s">
        <v>52</v>
      </c>
      <c r="E5530" s="1" t="s">
        <v>6</v>
      </c>
      <c r="F5530" s="1" t="s">
        <v>5091</v>
      </c>
      <c r="G5530" s="14" t="s">
        <v>6145</v>
      </c>
      <c r="H5530" s="1" t="s">
        <v>43</v>
      </c>
      <c r="I5530" s="17">
        <v>43081</v>
      </c>
    </row>
    <row r="5531" spans="1:9">
      <c r="A5531" s="16" t="s">
        <v>13763</v>
      </c>
      <c r="B5531" s="1" t="s">
        <v>2628</v>
      </c>
      <c r="C5531" s="1">
        <v>321</v>
      </c>
      <c r="D5531" s="1" t="s">
        <v>52</v>
      </c>
      <c r="E5531" s="1" t="s">
        <v>6</v>
      </c>
      <c r="F5531" s="1" t="s">
        <v>5091</v>
      </c>
      <c r="G5531" s="14" t="s">
        <v>6145</v>
      </c>
      <c r="H5531" s="1" t="s">
        <v>43</v>
      </c>
      <c r="I5531" s="17">
        <v>43081</v>
      </c>
    </row>
    <row r="5532" spans="1:9">
      <c r="A5532" s="16" t="s">
        <v>13765</v>
      </c>
      <c r="B5532" s="1" t="s">
        <v>2628</v>
      </c>
      <c r="C5532" s="1">
        <v>321</v>
      </c>
      <c r="D5532" s="1" t="s">
        <v>52</v>
      </c>
      <c r="E5532" s="1" t="s">
        <v>6</v>
      </c>
      <c r="F5532" s="1" t="s">
        <v>5091</v>
      </c>
      <c r="G5532" s="14" t="s">
        <v>6145</v>
      </c>
      <c r="H5532" s="1" t="s">
        <v>43</v>
      </c>
      <c r="I5532" s="17">
        <v>43081</v>
      </c>
    </row>
    <row r="5533" spans="1:9" ht="31.2">
      <c r="A5533" s="16" t="s">
        <v>13766</v>
      </c>
      <c r="B5533" s="1" t="s">
        <v>2628</v>
      </c>
      <c r="C5533" s="1">
        <v>321</v>
      </c>
      <c r="D5533" s="1" t="s">
        <v>52</v>
      </c>
      <c r="E5533" s="1" t="s">
        <v>6</v>
      </c>
      <c r="F5533" s="1" t="s">
        <v>5091</v>
      </c>
      <c r="G5533" s="14" t="s">
        <v>6145</v>
      </c>
      <c r="H5533" s="1" t="s">
        <v>43</v>
      </c>
      <c r="I5533" s="17">
        <v>43081</v>
      </c>
    </row>
    <row r="5534" spans="1:9" ht="31.2">
      <c r="A5534" s="16" t="s">
        <v>13767</v>
      </c>
      <c r="B5534" s="1" t="s">
        <v>2628</v>
      </c>
      <c r="C5534" s="1">
        <v>321</v>
      </c>
      <c r="D5534" s="1" t="s">
        <v>52</v>
      </c>
      <c r="E5534" s="1" t="s">
        <v>6</v>
      </c>
      <c r="F5534" s="1" t="s">
        <v>5091</v>
      </c>
      <c r="G5534" s="14" t="s">
        <v>6145</v>
      </c>
      <c r="H5534" s="1" t="s">
        <v>43</v>
      </c>
      <c r="I5534" s="17">
        <v>43081</v>
      </c>
    </row>
    <row r="5535" spans="1:9">
      <c r="A5535" s="16" t="s">
        <v>13768</v>
      </c>
      <c r="B5535" s="1" t="s">
        <v>2628</v>
      </c>
      <c r="C5535" s="1">
        <v>321</v>
      </c>
      <c r="D5535" s="1" t="s">
        <v>52</v>
      </c>
      <c r="E5535" s="1" t="s">
        <v>6</v>
      </c>
      <c r="F5535" s="1" t="s">
        <v>5091</v>
      </c>
      <c r="G5535" s="14" t="s">
        <v>6145</v>
      </c>
      <c r="H5535" s="1" t="s">
        <v>43</v>
      </c>
      <c r="I5535" s="17">
        <v>43081</v>
      </c>
    </row>
    <row r="5536" spans="1:9">
      <c r="A5536" s="16" t="s">
        <v>13870</v>
      </c>
      <c r="B5536" s="1" t="s">
        <v>2628</v>
      </c>
      <c r="C5536" s="1">
        <v>321</v>
      </c>
      <c r="D5536" s="1" t="s">
        <v>52</v>
      </c>
      <c r="E5536" s="1" t="s">
        <v>6</v>
      </c>
      <c r="F5536" s="1" t="s">
        <v>5091</v>
      </c>
      <c r="G5536" s="14" t="s">
        <v>13871</v>
      </c>
      <c r="H5536" s="1" t="s">
        <v>5</v>
      </c>
      <c r="I5536" s="17">
        <v>42997</v>
      </c>
    </row>
    <row r="5537" spans="1:9">
      <c r="A5537" s="16" t="s">
        <v>13872</v>
      </c>
      <c r="B5537" s="1" t="s">
        <v>2628</v>
      </c>
      <c r="C5537" s="1">
        <v>321</v>
      </c>
      <c r="D5537" s="1" t="s">
        <v>52</v>
      </c>
      <c r="E5537" s="1" t="s">
        <v>6</v>
      </c>
      <c r="F5537" s="1" t="s">
        <v>5091</v>
      </c>
      <c r="G5537" s="14" t="s">
        <v>13871</v>
      </c>
      <c r="H5537" s="1" t="s">
        <v>5</v>
      </c>
      <c r="I5537" s="17">
        <v>42997</v>
      </c>
    </row>
    <row r="5538" spans="1:9">
      <c r="A5538" s="16" t="s">
        <v>13873</v>
      </c>
      <c r="B5538" s="1" t="s">
        <v>2628</v>
      </c>
      <c r="C5538" s="1">
        <v>321</v>
      </c>
      <c r="D5538" s="1" t="s">
        <v>52</v>
      </c>
      <c r="E5538" s="1" t="s">
        <v>6</v>
      </c>
      <c r="F5538" s="1" t="s">
        <v>5091</v>
      </c>
      <c r="G5538" s="14" t="s">
        <v>6145</v>
      </c>
      <c r="H5538" s="1" t="s">
        <v>43</v>
      </c>
      <c r="I5538" s="17">
        <v>40827</v>
      </c>
    </row>
    <row r="5539" spans="1:9">
      <c r="A5539" s="16" t="s">
        <v>13874</v>
      </c>
      <c r="B5539" s="1" t="s">
        <v>2628</v>
      </c>
      <c r="C5539" s="1">
        <v>321</v>
      </c>
      <c r="D5539" s="1" t="s">
        <v>52</v>
      </c>
      <c r="E5539" s="1" t="s">
        <v>6</v>
      </c>
      <c r="F5539" s="1" t="s">
        <v>5091</v>
      </c>
      <c r="G5539" s="14" t="s">
        <v>6145</v>
      </c>
      <c r="H5539" s="1" t="s">
        <v>43</v>
      </c>
      <c r="I5539" s="17">
        <v>40827</v>
      </c>
    </row>
    <row r="5540" spans="1:9">
      <c r="A5540" s="16" t="s">
        <v>13877</v>
      </c>
      <c r="B5540" s="1" t="s">
        <v>2628</v>
      </c>
      <c r="C5540" s="1">
        <v>321</v>
      </c>
      <c r="D5540" s="1" t="s">
        <v>52</v>
      </c>
      <c r="E5540" s="1" t="s">
        <v>6</v>
      </c>
      <c r="F5540" s="1" t="s">
        <v>5091</v>
      </c>
      <c r="G5540" s="14" t="s">
        <v>13878</v>
      </c>
      <c r="H5540" s="1" t="s">
        <v>43</v>
      </c>
      <c r="I5540" s="17">
        <v>43109</v>
      </c>
    </row>
    <row r="5541" spans="1:9">
      <c r="A5541" s="16" t="s">
        <v>13881</v>
      </c>
      <c r="B5541" s="1" t="s">
        <v>2628</v>
      </c>
      <c r="C5541" s="1">
        <v>321</v>
      </c>
      <c r="D5541" s="1" t="s">
        <v>52</v>
      </c>
      <c r="E5541" s="1" t="s">
        <v>6</v>
      </c>
      <c r="F5541" s="1" t="s">
        <v>5091</v>
      </c>
      <c r="G5541" s="14" t="s">
        <v>6186</v>
      </c>
      <c r="H5541" s="1" t="s">
        <v>5</v>
      </c>
      <c r="I5541" s="17">
        <v>42736</v>
      </c>
    </row>
    <row r="5542" spans="1:9">
      <c r="A5542" s="16" t="s">
        <v>13882</v>
      </c>
      <c r="B5542" s="1" t="s">
        <v>2628</v>
      </c>
      <c r="C5542" s="1">
        <v>321</v>
      </c>
      <c r="D5542" s="1" t="s">
        <v>52</v>
      </c>
      <c r="E5542" s="1" t="s">
        <v>6</v>
      </c>
      <c r="F5542" s="1" t="s">
        <v>5091</v>
      </c>
      <c r="G5542" s="14" t="s">
        <v>6238</v>
      </c>
      <c r="H5542" s="1" t="s">
        <v>43</v>
      </c>
      <c r="I5542" s="17">
        <v>42005</v>
      </c>
    </row>
    <row r="5543" spans="1:9">
      <c r="A5543" s="16" t="s">
        <v>13883</v>
      </c>
      <c r="B5543" s="1" t="s">
        <v>2628</v>
      </c>
      <c r="C5543" s="1">
        <v>321</v>
      </c>
      <c r="D5543" s="1" t="s">
        <v>52</v>
      </c>
      <c r="E5543" s="1" t="s">
        <v>6</v>
      </c>
      <c r="F5543" s="1" t="s">
        <v>5091</v>
      </c>
      <c r="G5543" s="14" t="s">
        <v>6238</v>
      </c>
      <c r="H5543" s="1" t="s">
        <v>43</v>
      </c>
      <c r="I5543" s="17">
        <v>42005</v>
      </c>
    </row>
    <row r="5544" spans="1:9">
      <c r="A5544" s="16" t="s">
        <v>13885</v>
      </c>
      <c r="B5544" s="1" t="s">
        <v>2628</v>
      </c>
      <c r="C5544" s="1">
        <v>321</v>
      </c>
      <c r="D5544" s="1" t="s">
        <v>52</v>
      </c>
      <c r="E5544" s="1" t="s">
        <v>6</v>
      </c>
      <c r="F5544" s="1" t="s">
        <v>5091</v>
      </c>
      <c r="G5544" s="14" t="s">
        <v>6145</v>
      </c>
      <c r="H5544" s="1" t="s">
        <v>43</v>
      </c>
      <c r="I5544" s="17">
        <v>43109</v>
      </c>
    </row>
    <row r="5545" spans="1:9">
      <c r="A5545" s="16" t="s">
        <v>13886</v>
      </c>
      <c r="B5545" s="1" t="s">
        <v>2628</v>
      </c>
      <c r="C5545" s="1">
        <v>321</v>
      </c>
      <c r="D5545" s="1" t="s">
        <v>52</v>
      </c>
      <c r="E5545" s="1" t="s">
        <v>6</v>
      </c>
      <c r="F5545" s="1" t="s">
        <v>5091</v>
      </c>
      <c r="G5545" s="14" t="s">
        <v>6145</v>
      </c>
      <c r="H5545" s="1" t="s">
        <v>43</v>
      </c>
      <c r="I5545" s="17">
        <v>43109</v>
      </c>
    </row>
    <row r="5546" spans="1:9">
      <c r="A5546" s="16" t="s">
        <v>13887</v>
      </c>
      <c r="B5546" s="1" t="s">
        <v>2628</v>
      </c>
      <c r="C5546" s="1">
        <v>321</v>
      </c>
      <c r="D5546" s="1" t="s">
        <v>52</v>
      </c>
      <c r="E5546" s="1" t="s">
        <v>6</v>
      </c>
      <c r="F5546" s="1" t="s">
        <v>5091</v>
      </c>
      <c r="G5546" s="14" t="s">
        <v>6145</v>
      </c>
      <c r="H5546" s="1" t="s">
        <v>43</v>
      </c>
      <c r="I5546" s="17">
        <v>43109</v>
      </c>
    </row>
    <row r="5547" spans="1:9">
      <c r="A5547" s="16" t="s">
        <v>13888</v>
      </c>
      <c r="B5547" s="1" t="s">
        <v>2628</v>
      </c>
      <c r="C5547" s="1">
        <v>321</v>
      </c>
      <c r="D5547" s="1" t="s">
        <v>52</v>
      </c>
      <c r="E5547" s="1" t="s">
        <v>6</v>
      </c>
      <c r="F5547" s="1" t="s">
        <v>5091</v>
      </c>
      <c r="G5547" s="14" t="s">
        <v>6145</v>
      </c>
      <c r="H5547" s="1" t="s">
        <v>43</v>
      </c>
      <c r="I5547" s="17">
        <v>43109</v>
      </c>
    </row>
    <row r="5548" spans="1:9">
      <c r="A5548" s="16" t="s">
        <v>13890</v>
      </c>
      <c r="B5548" s="1" t="s">
        <v>2628</v>
      </c>
      <c r="C5548" s="1">
        <v>2041</v>
      </c>
      <c r="D5548" s="1" t="s">
        <v>52</v>
      </c>
      <c r="E5548" s="1" t="s">
        <v>6</v>
      </c>
      <c r="F5548" s="1" t="s">
        <v>5091</v>
      </c>
      <c r="G5548" s="14" t="s">
        <v>13891</v>
      </c>
      <c r="H5548" s="1" t="s">
        <v>43</v>
      </c>
      <c r="I5548" s="17">
        <v>43101</v>
      </c>
    </row>
    <row r="5549" spans="1:9">
      <c r="A5549" s="16" t="s">
        <v>13902</v>
      </c>
      <c r="B5549" s="1" t="s">
        <v>2628</v>
      </c>
      <c r="C5549" s="1">
        <v>321</v>
      </c>
      <c r="D5549" s="1" t="s">
        <v>52</v>
      </c>
      <c r="E5549" s="1" t="s">
        <v>6</v>
      </c>
      <c r="F5549" s="1" t="s">
        <v>5091</v>
      </c>
      <c r="G5549" s="14" t="s">
        <v>13891</v>
      </c>
      <c r="H5549" s="1" t="s">
        <v>43</v>
      </c>
      <c r="I5549" s="17">
        <v>43101</v>
      </c>
    </row>
    <row r="5550" spans="1:9">
      <c r="A5550" s="16" t="s">
        <v>13903</v>
      </c>
      <c r="B5550" s="1" t="s">
        <v>2628</v>
      </c>
      <c r="C5550" s="1">
        <v>321</v>
      </c>
      <c r="D5550" s="1" t="s">
        <v>52</v>
      </c>
      <c r="E5550" s="1" t="s">
        <v>6</v>
      </c>
      <c r="F5550" s="1" t="s">
        <v>5091</v>
      </c>
      <c r="G5550" s="14" t="s">
        <v>13904</v>
      </c>
      <c r="H5550" s="1" t="s">
        <v>43</v>
      </c>
      <c r="I5550" s="17">
        <v>43101</v>
      </c>
    </row>
    <row r="5551" spans="1:9">
      <c r="A5551" s="16" t="s">
        <v>13905</v>
      </c>
      <c r="B5551" s="1" t="s">
        <v>2628</v>
      </c>
      <c r="C5551" s="1">
        <v>321</v>
      </c>
      <c r="D5551" s="1" t="s">
        <v>52</v>
      </c>
      <c r="E5551" s="1" t="s">
        <v>6</v>
      </c>
      <c r="F5551" s="1" t="s">
        <v>5091</v>
      </c>
      <c r="G5551" s="14" t="s">
        <v>13906</v>
      </c>
      <c r="H5551" s="1" t="s">
        <v>43</v>
      </c>
      <c r="I5551" s="17">
        <v>43101</v>
      </c>
    </row>
    <row r="5552" spans="1:9">
      <c r="A5552" s="16" t="s">
        <v>13907</v>
      </c>
      <c r="B5552" s="1" t="s">
        <v>2628</v>
      </c>
      <c r="C5552" s="1">
        <v>321</v>
      </c>
      <c r="D5552" s="1" t="s">
        <v>52</v>
      </c>
      <c r="E5552" s="1" t="s">
        <v>6</v>
      </c>
      <c r="F5552" s="1" t="s">
        <v>5091</v>
      </c>
      <c r="G5552" s="14" t="s">
        <v>13908</v>
      </c>
      <c r="H5552" s="1" t="s">
        <v>5</v>
      </c>
      <c r="I5552" s="17">
        <v>43101</v>
      </c>
    </row>
    <row r="5553" spans="1:9">
      <c r="A5553" s="16" t="s">
        <v>13910</v>
      </c>
      <c r="B5553" s="1" t="s">
        <v>2628</v>
      </c>
      <c r="C5553" s="1">
        <v>321</v>
      </c>
      <c r="D5553" s="1" t="s">
        <v>52</v>
      </c>
      <c r="E5553" s="1" t="s">
        <v>6</v>
      </c>
      <c r="F5553" s="1" t="s">
        <v>5091</v>
      </c>
      <c r="G5553" s="14" t="s">
        <v>6145</v>
      </c>
      <c r="H5553" s="1" t="s">
        <v>43</v>
      </c>
      <c r="I5553" s="17">
        <v>42857</v>
      </c>
    </row>
    <row r="5554" spans="1:9">
      <c r="A5554" s="16" t="s">
        <v>13911</v>
      </c>
      <c r="B5554" s="1" t="s">
        <v>2628</v>
      </c>
      <c r="C5554" s="1">
        <v>321</v>
      </c>
      <c r="D5554" s="1" t="s">
        <v>52</v>
      </c>
      <c r="E5554" s="1" t="s">
        <v>6</v>
      </c>
      <c r="F5554" s="1" t="s">
        <v>5091</v>
      </c>
      <c r="G5554" s="14" t="s">
        <v>6145</v>
      </c>
      <c r="H5554" s="1" t="s">
        <v>43</v>
      </c>
      <c r="I5554" s="17">
        <v>42857</v>
      </c>
    </row>
    <row r="5555" spans="1:9">
      <c r="A5555" s="16" t="s">
        <v>13927</v>
      </c>
      <c r="B5555" s="1" t="s">
        <v>2628</v>
      </c>
      <c r="C5555" s="1">
        <v>321</v>
      </c>
      <c r="D5555" s="1" t="s">
        <v>52</v>
      </c>
      <c r="E5555" s="1" t="s">
        <v>6</v>
      </c>
      <c r="F5555" s="1" t="s">
        <v>5091</v>
      </c>
      <c r="G5555" s="14" t="s">
        <v>6145</v>
      </c>
      <c r="H5555" s="1" t="s">
        <v>43</v>
      </c>
      <c r="I5555" s="17">
        <v>40827</v>
      </c>
    </row>
    <row r="5556" spans="1:9">
      <c r="A5556" s="16" t="s">
        <v>13928</v>
      </c>
      <c r="B5556" s="1" t="s">
        <v>2628</v>
      </c>
      <c r="C5556" s="1">
        <v>321</v>
      </c>
      <c r="D5556" s="1" t="s">
        <v>52</v>
      </c>
      <c r="E5556" s="1" t="s">
        <v>6</v>
      </c>
      <c r="F5556" s="1" t="s">
        <v>5091</v>
      </c>
      <c r="G5556" s="14" t="s">
        <v>6145</v>
      </c>
      <c r="H5556" s="1" t="s">
        <v>43</v>
      </c>
      <c r="I5556" s="17">
        <v>40827</v>
      </c>
    </row>
    <row r="5557" spans="1:9">
      <c r="A5557" s="16" t="s">
        <v>13934</v>
      </c>
      <c r="B5557" s="1" t="s">
        <v>2628</v>
      </c>
      <c r="C5557" s="1">
        <v>321</v>
      </c>
      <c r="D5557" s="1" t="s">
        <v>52</v>
      </c>
      <c r="E5557" s="1" t="s">
        <v>6</v>
      </c>
      <c r="F5557" s="1" t="s">
        <v>5091</v>
      </c>
      <c r="G5557" s="14" t="s">
        <v>4458</v>
      </c>
      <c r="H5557" s="1" t="s">
        <v>118</v>
      </c>
      <c r="I5557" s="1" t="s">
        <v>4458</v>
      </c>
    </row>
    <row r="5558" spans="1:9">
      <c r="A5558" s="16" t="s">
        <v>13936</v>
      </c>
      <c r="B5558" s="1" t="s">
        <v>2628</v>
      </c>
      <c r="C5558" s="1">
        <v>321</v>
      </c>
      <c r="D5558" s="1" t="s">
        <v>52</v>
      </c>
      <c r="E5558" s="1" t="s">
        <v>6</v>
      </c>
      <c r="F5558" s="1" t="s">
        <v>5091</v>
      </c>
      <c r="G5558" s="14" t="s">
        <v>6145</v>
      </c>
      <c r="H5558" s="1" t="s">
        <v>43</v>
      </c>
      <c r="I5558" s="17">
        <v>40827</v>
      </c>
    </row>
    <row r="5559" spans="1:9">
      <c r="A5559" s="16" t="s">
        <v>13937</v>
      </c>
      <c r="B5559" s="1" t="s">
        <v>2628</v>
      </c>
      <c r="C5559" s="1">
        <v>321</v>
      </c>
      <c r="D5559" s="1" t="s">
        <v>52</v>
      </c>
      <c r="E5559" s="1" t="s">
        <v>6</v>
      </c>
      <c r="F5559" s="1" t="s">
        <v>5091</v>
      </c>
      <c r="G5559" s="14" t="s">
        <v>6145</v>
      </c>
      <c r="H5559" s="1" t="s">
        <v>43</v>
      </c>
      <c r="I5559" s="17">
        <v>40827</v>
      </c>
    </row>
    <row r="5560" spans="1:9">
      <c r="A5560" s="16" t="s">
        <v>13938</v>
      </c>
      <c r="B5560" s="1" t="s">
        <v>2628</v>
      </c>
      <c r="C5560" s="1">
        <v>321</v>
      </c>
      <c r="D5560" s="1" t="s">
        <v>52</v>
      </c>
      <c r="E5560" s="1" t="s">
        <v>6</v>
      </c>
      <c r="F5560" s="1" t="s">
        <v>5091</v>
      </c>
      <c r="G5560" s="14" t="s">
        <v>13939</v>
      </c>
      <c r="H5560" s="1" t="s">
        <v>43</v>
      </c>
      <c r="I5560" s="17">
        <v>43101</v>
      </c>
    </row>
    <row r="5561" spans="1:9">
      <c r="A5561" s="16" t="s">
        <v>13940</v>
      </c>
      <c r="B5561" s="1" t="s">
        <v>2628</v>
      </c>
      <c r="C5561" s="1">
        <v>321</v>
      </c>
      <c r="D5561" s="1" t="s">
        <v>52</v>
      </c>
      <c r="E5561" s="1" t="s">
        <v>6</v>
      </c>
      <c r="F5561" s="1" t="s">
        <v>5091</v>
      </c>
      <c r="G5561" s="14" t="s">
        <v>13941</v>
      </c>
      <c r="H5561" s="1" t="s">
        <v>5</v>
      </c>
      <c r="I5561" s="17">
        <v>43101</v>
      </c>
    </row>
    <row r="5562" spans="1:9">
      <c r="A5562" s="16" t="s">
        <v>13942</v>
      </c>
      <c r="B5562" s="1" t="s">
        <v>2628</v>
      </c>
      <c r="C5562" s="1">
        <v>321</v>
      </c>
      <c r="D5562" s="1" t="s">
        <v>52</v>
      </c>
      <c r="E5562" s="1" t="s">
        <v>6</v>
      </c>
      <c r="F5562" s="1" t="s">
        <v>5091</v>
      </c>
      <c r="G5562" s="14" t="s">
        <v>13943</v>
      </c>
      <c r="H5562" s="1" t="s">
        <v>43</v>
      </c>
      <c r="I5562" s="17">
        <v>43101</v>
      </c>
    </row>
    <row r="5563" spans="1:9">
      <c r="A5563" s="16" t="s">
        <v>13944</v>
      </c>
      <c r="B5563" s="1" t="s">
        <v>2628</v>
      </c>
      <c r="C5563" s="1">
        <v>321</v>
      </c>
      <c r="D5563" s="1" t="s">
        <v>52</v>
      </c>
      <c r="E5563" s="1" t="s">
        <v>6</v>
      </c>
      <c r="F5563" s="1" t="s">
        <v>5091</v>
      </c>
      <c r="G5563" s="14" t="s">
        <v>13945</v>
      </c>
      <c r="H5563" s="1" t="s">
        <v>5</v>
      </c>
      <c r="I5563" s="17">
        <v>43101</v>
      </c>
    </row>
    <row r="5564" spans="1:9">
      <c r="A5564" s="16" t="s">
        <v>13948</v>
      </c>
      <c r="B5564" s="1" t="s">
        <v>2628</v>
      </c>
      <c r="C5564" s="1">
        <v>321</v>
      </c>
      <c r="D5564" s="1" t="s">
        <v>52</v>
      </c>
      <c r="E5564" s="1" t="s">
        <v>6</v>
      </c>
      <c r="F5564" s="1" t="s">
        <v>5091</v>
      </c>
      <c r="G5564" s="14" t="s">
        <v>6145</v>
      </c>
      <c r="H5564" s="1" t="s">
        <v>43</v>
      </c>
      <c r="I5564" s="17">
        <v>40827</v>
      </c>
    </row>
    <row r="5565" spans="1:9">
      <c r="A5565" s="16" t="s">
        <v>13949</v>
      </c>
      <c r="B5565" s="1" t="s">
        <v>2628</v>
      </c>
      <c r="C5565" s="1">
        <v>321</v>
      </c>
      <c r="D5565" s="1" t="s">
        <v>52</v>
      </c>
      <c r="E5565" s="1" t="s">
        <v>6</v>
      </c>
      <c r="F5565" s="1" t="s">
        <v>5091</v>
      </c>
      <c r="G5565" s="14" t="s">
        <v>6145</v>
      </c>
      <c r="H5565" s="1" t="s">
        <v>43</v>
      </c>
      <c r="I5565" s="17">
        <v>40827</v>
      </c>
    </row>
    <row r="5566" spans="1:9">
      <c r="A5566" s="16" t="s">
        <v>13950</v>
      </c>
      <c r="B5566" s="1" t="s">
        <v>2628</v>
      </c>
      <c r="C5566" s="1">
        <v>321</v>
      </c>
      <c r="D5566" s="1" t="s">
        <v>52</v>
      </c>
      <c r="E5566" s="1" t="s">
        <v>6</v>
      </c>
      <c r="F5566" s="1" t="s">
        <v>5091</v>
      </c>
      <c r="G5566" s="14" t="s">
        <v>6145</v>
      </c>
      <c r="H5566" s="1" t="s">
        <v>43</v>
      </c>
      <c r="I5566" s="17">
        <v>40827</v>
      </c>
    </row>
    <row r="5567" spans="1:9">
      <c r="A5567" s="16" t="s">
        <v>13951</v>
      </c>
      <c r="B5567" s="1" t="s">
        <v>2628</v>
      </c>
      <c r="C5567" s="1">
        <v>321</v>
      </c>
      <c r="D5567" s="1" t="s">
        <v>52</v>
      </c>
      <c r="E5567" s="1" t="s">
        <v>6</v>
      </c>
      <c r="F5567" s="1" t="s">
        <v>5091</v>
      </c>
      <c r="G5567" s="14" t="s">
        <v>6145</v>
      </c>
      <c r="H5567" s="1" t="s">
        <v>43</v>
      </c>
      <c r="I5567" s="17">
        <v>40827</v>
      </c>
    </row>
    <row r="5568" spans="1:9">
      <c r="A5568" s="16" t="s">
        <v>13991</v>
      </c>
      <c r="B5568" s="1" t="s">
        <v>2628</v>
      </c>
      <c r="C5568" s="1">
        <v>321</v>
      </c>
      <c r="D5568" s="1" t="s">
        <v>52</v>
      </c>
      <c r="E5568" s="1" t="s">
        <v>6</v>
      </c>
      <c r="F5568" s="1" t="s">
        <v>5091</v>
      </c>
      <c r="G5568" s="14" t="s">
        <v>6186</v>
      </c>
      <c r="H5568" s="1" t="s">
        <v>5</v>
      </c>
      <c r="I5568" s="17">
        <v>43101</v>
      </c>
    </row>
    <row r="5569" spans="1:9">
      <c r="A5569" s="16" t="s">
        <v>13998</v>
      </c>
      <c r="B5569" s="1" t="s">
        <v>2628</v>
      </c>
      <c r="C5569" s="1">
        <v>321</v>
      </c>
      <c r="D5569" s="1" t="s">
        <v>52</v>
      </c>
      <c r="E5569" s="1" t="s">
        <v>6</v>
      </c>
      <c r="F5569" s="1" t="s">
        <v>5091</v>
      </c>
      <c r="G5569" s="14" t="s">
        <v>6145</v>
      </c>
      <c r="H5569" s="1" t="s">
        <v>43</v>
      </c>
      <c r="I5569" s="17">
        <v>43137</v>
      </c>
    </row>
    <row r="5570" spans="1:9">
      <c r="A5570" s="16" t="s">
        <v>13999</v>
      </c>
      <c r="B5570" s="1" t="s">
        <v>2628</v>
      </c>
      <c r="C5570" s="1">
        <v>321</v>
      </c>
      <c r="D5570" s="1" t="s">
        <v>52</v>
      </c>
      <c r="E5570" s="1" t="s">
        <v>6</v>
      </c>
      <c r="F5570" s="1" t="s">
        <v>5091</v>
      </c>
      <c r="G5570" s="14" t="s">
        <v>6145</v>
      </c>
      <c r="H5570" s="1" t="s">
        <v>43</v>
      </c>
      <c r="I5570" s="17">
        <v>43137</v>
      </c>
    </row>
    <row r="5571" spans="1:9">
      <c r="A5571" s="16" t="s">
        <v>14000</v>
      </c>
      <c r="B5571" s="1" t="s">
        <v>2628</v>
      </c>
      <c r="C5571" s="1">
        <v>321</v>
      </c>
      <c r="D5571" s="1" t="s">
        <v>52</v>
      </c>
      <c r="E5571" s="1" t="s">
        <v>6</v>
      </c>
      <c r="F5571" s="1" t="s">
        <v>5091</v>
      </c>
      <c r="G5571" s="14" t="s">
        <v>6145</v>
      </c>
      <c r="H5571" s="1" t="s">
        <v>43</v>
      </c>
      <c r="I5571" s="17">
        <v>43137</v>
      </c>
    </row>
    <row r="5572" spans="1:9">
      <c r="A5572" s="16" t="s">
        <v>14044</v>
      </c>
      <c r="B5572" s="1" t="s">
        <v>2628</v>
      </c>
      <c r="C5572" s="1">
        <v>321</v>
      </c>
      <c r="D5572" s="1" t="s">
        <v>52</v>
      </c>
      <c r="E5572" s="1" t="s">
        <v>6</v>
      </c>
      <c r="F5572" s="1" t="s">
        <v>5091</v>
      </c>
      <c r="G5572" s="14" t="s">
        <v>6145</v>
      </c>
      <c r="H5572" s="1" t="s">
        <v>43</v>
      </c>
      <c r="I5572" s="17">
        <v>40126</v>
      </c>
    </row>
    <row r="5573" spans="1:9" ht="31.2">
      <c r="A5573" s="16" t="s">
        <v>14045</v>
      </c>
      <c r="B5573" s="1" t="s">
        <v>2628</v>
      </c>
      <c r="C5573" s="1">
        <v>321</v>
      </c>
      <c r="D5573" s="1" t="s">
        <v>52</v>
      </c>
      <c r="E5573" s="1" t="s">
        <v>6</v>
      </c>
      <c r="F5573" s="1" t="s">
        <v>5091</v>
      </c>
      <c r="G5573" s="14" t="s">
        <v>6145</v>
      </c>
      <c r="H5573" s="1" t="s">
        <v>43</v>
      </c>
      <c r="I5573" s="17">
        <v>40126</v>
      </c>
    </row>
    <row r="5574" spans="1:9">
      <c r="A5574" s="16" t="s">
        <v>14046</v>
      </c>
      <c r="B5574" s="1" t="s">
        <v>2628</v>
      </c>
      <c r="C5574" s="1">
        <v>321</v>
      </c>
      <c r="D5574" s="1" t="s">
        <v>52</v>
      </c>
      <c r="E5574" s="1" t="s">
        <v>6</v>
      </c>
      <c r="F5574" s="1" t="s">
        <v>5091</v>
      </c>
      <c r="G5574" s="14" t="s">
        <v>6145</v>
      </c>
      <c r="H5574" s="1" t="s">
        <v>43</v>
      </c>
      <c r="I5574" s="17">
        <v>40126</v>
      </c>
    </row>
    <row r="5575" spans="1:9">
      <c r="A5575" s="16" t="s">
        <v>14049</v>
      </c>
      <c r="B5575" s="1" t="s">
        <v>2628</v>
      </c>
      <c r="C5575" s="1">
        <v>321</v>
      </c>
      <c r="D5575" s="1" t="s">
        <v>52</v>
      </c>
      <c r="E5575" s="1" t="s">
        <v>6</v>
      </c>
      <c r="F5575" s="1" t="s">
        <v>5091</v>
      </c>
      <c r="G5575" s="14" t="s">
        <v>6145</v>
      </c>
      <c r="H5575" s="1" t="s">
        <v>43</v>
      </c>
      <c r="I5575" s="17">
        <v>40126</v>
      </c>
    </row>
    <row r="5576" spans="1:9">
      <c r="A5576" s="16" t="s">
        <v>14050</v>
      </c>
      <c r="B5576" s="1" t="s">
        <v>2628</v>
      </c>
      <c r="C5576" s="1">
        <v>321</v>
      </c>
      <c r="D5576" s="1" t="s">
        <v>52</v>
      </c>
      <c r="E5576" s="1" t="s">
        <v>6</v>
      </c>
      <c r="F5576" s="1" t="s">
        <v>5091</v>
      </c>
      <c r="G5576" s="14" t="s">
        <v>6145</v>
      </c>
      <c r="H5576" s="1" t="s">
        <v>43</v>
      </c>
      <c r="I5576" s="17">
        <v>40126</v>
      </c>
    </row>
    <row r="5577" spans="1:9">
      <c r="A5577" s="16" t="s">
        <v>14051</v>
      </c>
      <c r="B5577" s="1" t="s">
        <v>2628</v>
      </c>
      <c r="C5577" s="1">
        <v>321</v>
      </c>
      <c r="D5577" s="1" t="s">
        <v>52</v>
      </c>
      <c r="E5577" s="1" t="s">
        <v>6</v>
      </c>
      <c r="F5577" s="1" t="s">
        <v>5091</v>
      </c>
      <c r="G5577" s="14" t="s">
        <v>6145</v>
      </c>
      <c r="H5577" s="1" t="s">
        <v>43</v>
      </c>
      <c r="I5577" s="17">
        <v>40126</v>
      </c>
    </row>
    <row r="5578" spans="1:9" ht="31.2">
      <c r="A5578" s="16" t="s">
        <v>14060</v>
      </c>
      <c r="B5578" s="1" t="s">
        <v>2628</v>
      </c>
      <c r="C5578" s="1">
        <v>321</v>
      </c>
      <c r="D5578" s="1" t="s">
        <v>52</v>
      </c>
      <c r="E5578" s="1" t="s">
        <v>6</v>
      </c>
      <c r="F5578" s="1" t="s">
        <v>5091</v>
      </c>
      <c r="G5578" s="14" t="s">
        <v>6145</v>
      </c>
      <c r="H5578" s="1" t="s">
        <v>43</v>
      </c>
      <c r="I5578" s="17">
        <v>43081</v>
      </c>
    </row>
    <row r="5579" spans="1:9">
      <c r="A5579" s="16" t="s">
        <v>14062</v>
      </c>
      <c r="B5579" s="1" t="s">
        <v>2628</v>
      </c>
      <c r="C5579" s="1">
        <v>321</v>
      </c>
      <c r="D5579" s="1" t="s">
        <v>52</v>
      </c>
      <c r="E5579" s="1" t="s">
        <v>6</v>
      </c>
      <c r="F5579" s="1" t="s">
        <v>5091</v>
      </c>
      <c r="G5579" s="14" t="s">
        <v>9493</v>
      </c>
      <c r="H5579" s="1" t="s">
        <v>5</v>
      </c>
      <c r="I5579" s="17">
        <v>36617</v>
      </c>
    </row>
    <row r="5580" spans="1:9">
      <c r="A5580" s="16" t="s">
        <v>14074</v>
      </c>
      <c r="B5580" s="1" t="s">
        <v>2628</v>
      </c>
      <c r="C5580" s="1">
        <v>321</v>
      </c>
      <c r="D5580" s="1" t="s">
        <v>52</v>
      </c>
      <c r="E5580" s="1" t="s">
        <v>6</v>
      </c>
      <c r="F5580" s="1" t="s">
        <v>5091</v>
      </c>
      <c r="G5580" s="14" t="s">
        <v>9561</v>
      </c>
      <c r="H5580" s="1" t="s">
        <v>5</v>
      </c>
      <c r="I5580" s="17">
        <v>36617</v>
      </c>
    </row>
    <row r="5581" spans="1:9">
      <c r="A5581" s="16" t="s">
        <v>14075</v>
      </c>
      <c r="B5581" s="1" t="s">
        <v>2628</v>
      </c>
      <c r="C5581" s="1">
        <v>321</v>
      </c>
      <c r="D5581" s="1" t="s">
        <v>52</v>
      </c>
      <c r="E5581" s="1" t="s">
        <v>6</v>
      </c>
      <c r="F5581" s="1" t="s">
        <v>5091</v>
      </c>
      <c r="G5581" s="14" t="s">
        <v>14076</v>
      </c>
      <c r="H5581" s="1" t="s">
        <v>5</v>
      </c>
      <c r="I5581" s="17">
        <v>36617</v>
      </c>
    </row>
    <row r="5582" spans="1:9">
      <c r="A5582" s="16" t="s">
        <v>14077</v>
      </c>
      <c r="B5582" s="1" t="s">
        <v>2628</v>
      </c>
      <c r="C5582" s="1">
        <v>321</v>
      </c>
      <c r="D5582" s="1" t="s">
        <v>52</v>
      </c>
      <c r="E5582" s="1" t="s">
        <v>6</v>
      </c>
      <c r="F5582" s="1" t="s">
        <v>5091</v>
      </c>
      <c r="G5582" s="14" t="s">
        <v>9493</v>
      </c>
      <c r="H5582" s="1" t="s">
        <v>5</v>
      </c>
      <c r="I5582" s="17">
        <v>36617</v>
      </c>
    </row>
    <row r="5583" spans="1:9">
      <c r="A5583" s="16" t="s">
        <v>14078</v>
      </c>
      <c r="B5583" s="1" t="s">
        <v>2628</v>
      </c>
      <c r="C5583" s="1">
        <v>321</v>
      </c>
      <c r="D5583" s="1" t="s">
        <v>52</v>
      </c>
      <c r="E5583" s="1" t="s">
        <v>6</v>
      </c>
      <c r="F5583" s="1" t="s">
        <v>5091</v>
      </c>
      <c r="G5583" s="14" t="s">
        <v>9493</v>
      </c>
      <c r="H5583" s="1" t="s">
        <v>5</v>
      </c>
      <c r="I5583" s="17">
        <v>36617</v>
      </c>
    </row>
    <row r="5584" spans="1:9">
      <c r="A5584" s="16" t="s">
        <v>14079</v>
      </c>
      <c r="B5584" s="1" t="s">
        <v>2628</v>
      </c>
      <c r="C5584" s="1">
        <v>321</v>
      </c>
      <c r="D5584" s="1" t="s">
        <v>52</v>
      </c>
      <c r="E5584" s="1" t="s">
        <v>6</v>
      </c>
      <c r="F5584" s="1" t="s">
        <v>5091</v>
      </c>
      <c r="G5584" s="14" t="s">
        <v>14076</v>
      </c>
      <c r="H5584" s="1" t="s">
        <v>5</v>
      </c>
      <c r="I5584" s="17">
        <v>36617</v>
      </c>
    </row>
    <row r="5585" spans="1:9">
      <c r="A5585" s="16" t="s">
        <v>14080</v>
      </c>
      <c r="B5585" s="1" t="s">
        <v>2628</v>
      </c>
      <c r="C5585" s="1">
        <v>321</v>
      </c>
      <c r="D5585" s="1" t="s">
        <v>52</v>
      </c>
      <c r="E5585" s="1" t="s">
        <v>6</v>
      </c>
      <c r="F5585" s="1" t="s">
        <v>5091</v>
      </c>
      <c r="G5585" s="14" t="s">
        <v>9561</v>
      </c>
      <c r="H5585" s="1" t="s">
        <v>5</v>
      </c>
      <c r="I5585" s="17">
        <v>36617</v>
      </c>
    </row>
    <row r="5586" spans="1:9">
      <c r="A5586" s="16" t="s">
        <v>14081</v>
      </c>
      <c r="B5586" s="1" t="s">
        <v>2628</v>
      </c>
      <c r="C5586" s="1">
        <v>321</v>
      </c>
      <c r="D5586" s="1" t="s">
        <v>52</v>
      </c>
      <c r="E5586" s="1" t="s">
        <v>6</v>
      </c>
      <c r="F5586" s="1" t="s">
        <v>5091</v>
      </c>
      <c r="G5586" s="14" t="s">
        <v>14076</v>
      </c>
      <c r="H5586" s="1" t="s">
        <v>5</v>
      </c>
      <c r="I5586" s="17">
        <v>36617</v>
      </c>
    </row>
    <row r="5587" spans="1:9">
      <c r="A5587" s="16" t="s">
        <v>14106</v>
      </c>
      <c r="B5587" s="1" t="s">
        <v>2628</v>
      </c>
      <c r="C5587" s="1">
        <v>321</v>
      </c>
      <c r="D5587" s="1" t="s">
        <v>52</v>
      </c>
      <c r="E5587" s="1" t="s">
        <v>6</v>
      </c>
      <c r="F5587" s="1" t="s">
        <v>5091</v>
      </c>
      <c r="G5587" s="14" t="s">
        <v>14107</v>
      </c>
      <c r="H5587" s="1" t="s">
        <v>43</v>
      </c>
      <c r="I5587" s="17">
        <v>38565</v>
      </c>
    </row>
    <row r="5588" spans="1:9">
      <c r="A5588" s="16" t="s">
        <v>14110</v>
      </c>
      <c r="B5588" s="1" t="s">
        <v>2628</v>
      </c>
      <c r="C5588" s="1">
        <v>321</v>
      </c>
      <c r="D5588" s="1" t="s">
        <v>52</v>
      </c>
      <c r="E5588" s="1" t="s">
        <v>6</v>
      </c>
      <c r="F5588" s="1" t="s">
        <v>5091</v>
      </c>
      <c r="G5588" s="14" t="s">
        <v>14111</v>
      </c>
      <c r="H5588" s="1" t="s">
        <v>5</v>
      </c>
      <c r="I5588" s="17">
        <v>37990</v>
      </c>
    </row>
    <row r="5589" spans="1:9">
      <c r="A5589" s="16" t="s">
        <v>14112</v>
      </c>
      <c r="B5589" s="1" t="s">
        <v>2628</v>
      </c>
      <c r="C5589" s="1">
        <v>321</v>
      </c>
      <c r="D5589" s="1" t="s">
        <v>52</v>
      </c>
      <c r="E5589" s="1" t="s">
        <v>6</v>
      </c>
      <c r="F5589" s="1" t="s">
        <v>5091</v>
      </c>
      <c r="G5589" s="14" t="s">
        <v>2387</v>
      </c>
      <c r="H5589" s="1" t="s">
        <v>5</v>
      </c>
      <c r="I5589" s="17">
        <v>39393</v>
      </c>
    </row>
    <row r="5590" spans="1:9">
      <c r="A5590" s="16" t="s">
        <v>14113</v>
      </c>
      <c r="B5590" s="1" t="s">
        <v>2628</v>
      </c>
      <c r="C5590" s="1">
        <v>321</v>
      </c>
      <c r="D5590" s="1" t="s">
        <v>52</v>
      </c>
      <c r="E5590" s="1" t="s">
        <v>6</v>
      </c>
      <c r="F5590" s="1" t="s">
        <v>5091</v>
      </c>
      <c r="G5590" s="14" t="s">
        <v>6145</v>
      </c>
      <c r="H5590" s="1" t="s">
        <v>43</v>
      </c>
      <c r="I5590" s="17">
        <v>39393</v>
      </c>
    </row>
    <row r="5591" spans="1:9">
      <c r="A5591" s="16" t="s">
        <v>14114</v>
      </c>
      <c r="B5591" s="1" t="s">
        <v>2628</v>
      </c>
      <c r="C5591" s="1">
        <v>321</v>
      </c>
      <c r="D5591" s="1" t="s">
        <v>52</v>
      </c>
      <c r="E5591" s="1" t="s">
        <v>6</v>
      </c>
      <c r="F5591" s="1" t="s">
        <v>5091</v>
      </c>
      <c r="G5591" s="14" t="s">
        <v>6145</v>
      </c>
      <c r="H5591" s="1" t="s">
        <v>43</v>
      </c>
      <c r="I5591" s="17">
        <v>41407</v>
      </c>
    </row>
    <row r="5592" spans="1:9">
      <c r="A5592" s="16" t="s">
        <v>14115</v>
      </c>
      <c r="B5592" s="1" t="s">
        <v>2628</v>
      </c>
      <c r="C5592" s="1">
        <v>321</v>
      </c>
      <c r="D5592" s="1" t="s">
        <v>52</v>
      </c>
      <c r="E5592" s="1" t="s">
        <v>6</v>
      </c>
      <c r="F5592" s="1" t="s">
        <v>5091</v>
      </c>
      <c r="G5592" s="14" t="s">
        <v>6145</v>
      </c>
      <c r="H5592" s="1" t="s">
        <v>43</v>
      </c>
      <c r="I5592" s="17">
        <v>40797</v>
      </c>
    </row>
    <row r="5593" spans="1:9">
      <c r="A5593" s="16" t="s">
        <v>14116</v>
      </c>
      <c r="B5593" s="1" t="s">
        <v>2628</v>
      </c>
      <c r="C5593" s="1">
        <v>321</v>
      </c>
      <c r="D5593" s="1" t="s">
        <v>52</v>
      </c>
      <c r="E5593" s="1" t="s">
        <v>6</v>
      </c>
      <c r="F5593" s="1" t="s">
        <v>5091</v>
      </c>
      <c r="G5593" s="14" t="s">
        <v>6145</v>
      </c>
      <c r="H5593" s="1" t="s">
        <v>43</v>
      </c>
      <c r="I5593" s="17">
        <v>39760</v>
      </c>
    </row>
    <row r="5594" spans="1:9">
      <c r="A5594" s="16" t="s">
        <v>14120</v>
      </c>
      <c r="B5594" s="1" t="s">
        <v>2628</v>
      </c>
      <c r="C5594" s="1">
        <v>321</v>
      </c>
      <c r="D5594" s="1" t="s">
        <v>52</v>
      </c>
      <c r="E5594" s="1" t="s">
        <v>6</v>
      </c>
      <c r="F5594" s="1" t="s">
        <v>5091</v>
      </c>
      <c r="G5594" s="14" t="s">
        <v>14121</v>
      </c>
      <c r="H5594" s="1" t="s">
        <v>5</v>
      </c>
      <c r="I5594" s="17">
        <v>39393</v>
      </c>
    </row>
    <row r="5595" spans="1:9">
      <c r="A5595" s="16" t="s">
        <v>14126</v>
      </c>
      <c r="B5595" s="1" t="s">
        <v>2628</v>
      </c>
      <c r="C5595" s="1">
        <v>321</v>
      </c>
      <c r="D5595" s="1" t="s">
        <v>52</v>
      </c>
      <c r="E5595" s="1" t="s">
        <v>6</v>
      </c>
      <c r="F5595" s="1" t="s">
        <v>5091</v>
      </c>
      <c r="G5595" s="14" t="s">
        <v>6145</v>
      </c>
      <c r="H5595" s="1" t="s">
        <v>43</v>
      </c>
      <c r="I5595" s="17">
        <v>40126</v>
      </c>
    </row>
    <row r="5596" spans="1:9">
      <c r="A5596" s="16" t="s">
        <v>14130</v>
      </c>
      <c r="B5596" s="1" t="s">
        <v>2628</v>
      </c>
      <c r="C5596" s="1">
        <v>321</v>
      </c>
      <c r="D5596" s="1" t="s">
        <v>52</v>
      </c>
      <c r="E5596" s="1" t="s">
        <v>6</v>
      </c>
      <c r="F5596" s="1" t="s">
        <v>5091</v>
      </c>
      <c r="G5596" s="14" t="s">
        <v>8411</v>
      </c>
      <c r="H5596" s="1" t="s">
        <v>315</v>
      </c>
      <c r="I5596" s="17">
        <v>43140</v>
      </c>
    </row>
    <row r="5597" spans="1:9">
      <c r="A5597" s="16" t="s">
        <v>14131</v>
      </c>
      <c r="B5597" s="1" t="s">
        <v>2628</v>
      </c>
      <c r="C5597" s="1">
        <v>321</v>
      </c>
      <c r="D5597" s="1" t="s">
        <v>52</v>
      </c>
      <c r="E5597" s="1" t="s">
        <v>6</v>
      </c>
      <c r="F5597" s="1" t="s">
        <v>5091</v>
      </c>
      <c r="G5597" s="14" t="s">
        <v>8411</v>
      </c>
      <c r="H5597" s="1" t="s">
        <v>315</v>
      </c>
      <c r="I5597" s="17">
        <v>43140</v>
      </c>
    </row>
    <row r="5598" spans="1:9">
      <c r="A5598" s="16" t="s">
        <v>14140</v>
      </c>
      <c r="B5598" s="1" t="s">
        <v>2628</v>
      </c>
      <c r="C5598" s="1">
        <v>321</v>
      </c>
      <c r="D5598" s="1" t="s">
        <v>52</v>
      </c>
      <c r="E5598" s="1" t="s">
        <v>6</v>
      </c>
      <c r="F5598" s="1" t="s">
        <v>5091</v>
      </c>
      <c r="G5598" s="14" t="s">
        <v>14107</v>
      </c>
      <c r="H5598" s="1" t="s">
        <v>43</v>
      </c>
      <c r="I5598" s="17">
        <v>38588</v>
      </c>
    </row>
    <row r="5599" spans="1:9">
      <c r="A5599" s="16" t="s">
        <v>14148</v>
      </c>
      <c r="B5599" s="1" t="s">
        <v>2628</v>
      </c>
      <c r="C5599" s="1">
        <v>321</v>
      </c>
      <c r="D5599" s="1" t="s">
        <v>52</v>
      </c>
      <c r="E5599" s="1" t="s">
        <v>6</v>
      </c>
      <c r="F5599" s="1" t="s">
        <v>5091</v>
      </c>
      <c r="G5599" s="14" t="s">
        <v>2387</v>
      </c>
      <c r="H5599" s="1" t="s">
        <v>5</v>
      </c>
      <c r="I5599" s="17">
        <v>40858</v>
      </c>
    </row>
    <row r="5600" spans="1:9">
      <c r="A5600" s="16" t="s">
        <v>14149</v>
      </c>
      <c r="B5600" s="1" t="s">
        <v>2628</v>
      </c>
      <c r="C5600" s="1">
        <v>321</v>
      </c>
      <c r="D5600" s="1" t="s">
        <v>52</v>
      </c>
      <c r="E5600" s="1" t="s">
        <v>6</v>
      </c>
      <c r="F5600" s="1" t="s">
        <v>5091</v>
      </c>
      <c r="G5600" s="14" t="s">
        <v>13228</v>
      </c>
      <c r="H5600" s="1" t="s">
        <v>5</v>
      </c>
      <c r="I5600" s="17">
        <v>39853</v>
      </c>
    </row>
    <row r="5601" spans="1:9">
      <c r="A5601" s="16" t="s">
        <v>14150</v>
      </c>
      <c r="B5601" s="1" t="s">
        <v>2628</v>
      </c>
      <c r="C5601" s="1">
        <v>321</v>
      </c>
      <c r="D5601" s="1" t="s">
        <v>52</v>
      </c>
      <c r="E5601" s="1" t="s">
        <v>6</v>
      </c>
      <c r="F5601" s="1" t="s">
        <v>5091</v>
      </c>
      <c r="G5601" s="14" t="s">
        <v>14121</v>
      </c>
      <c r="H5601" s="1" t="s">
        <v>5</v>
      </c>
      <c r="I5601" s="17">
        <v>39393</v>
      </c>
    </row>
    <row r="5602" spans="1:9">
      <c r="A5602" s="16" t="s">
        <v>14151</v>
      </c>
      <c r="B5602" s="1" t="s">
        <v>2628</v>
      </c>
      <c r="C5602" s="1">
        <v>321</v>
      </c>
      <c r="D5602" s="1" t="s">
        <v>52</v>
      </c>
      <c r="E5602" s="1" t="s">
        <v>6</v>
      </c>
      <c r="F5602" s="1" t="s">
        <v>36</v>
      </c>
      <c r="G5602" s="14" t="s">
        <v>14152</v>
      </c>
      <c r="H5602" s="1" t="s">
        <v>5</v>
      </c>
      <c r="I5602" s="17">
        <v>40431</v>
      </c>
    </row>
    <row r="5603" spans="1:9">
      <c r="A5603" s="16" t="s">
        <v>14153</v>
      </c>
      <c r="B5603" s="1" t="s">
        <v>2628</v>
      </c>
      <c r="C5603" s="1">
        <v>321</v>
      </c>
      <c r="D5603" s="1" t="s">
        <v>52</v>
      </c>
      <c r="E5603" s="1" t="s">
        <v>6</v>
      </c>
      <c r="F5603" s="1" t="s">
        <v>36</v>
      </c>
      <c r="G5603" s="14" t="s">
        <v>14154</v>
      </c>
      <c r="H5603" s="1" t="s">
        <v>5</v>
      </c>
      <c r="I5603" s="17">
        <v>40766</v>
      </c>
    </row>
    <row r="5604" spans="1:9">
      <c r="A5604" s="16" t="s">
        <v>14155</v>
      </c>
      <c r="B5604" s="1" t="s">
        <v>2628</v>
      </c>
      <c r="C5604" s="1">
        <v>321</v>
      </c>
      <c r="D5604" s="1" t="s">
        <v>52</v>
      </c>
      <c r="E5604" s="1" t="s">
        <v>6</v>
      </c>
      <c r="F5604" s="1" t="s">
        <v>5091</v>
      </c>
      <c r="G5604" s="14" t="s">
        <v>4803</v>
      </c>
      <c r="H5604" s="1" t="s">
        <v>5</v>
      </c>
      <c r="I5604" s="1" t="s">
        <v>4458</v>
      </c>
    </row>
    <row r="5605" spans="1:9">
      <c r="A5605" s="16" t="s">
        <v>14156</v>
      </c>
      <c r="B5605" s="1" t="s">
        <v>2628</v>
      </c>
      <c r="C5605" s="1">
        <v>321</v>
      </c>
      <c r="D5605" s="1" t="s">
        <v>52</v>
      </c>
      <c r="E5605" s="1" t="s">
        <v>6</v>
      </c>
      <c r="F5605" s="1" t="s">
        <v>5091</v>
      </c>
      <c r="G5605" s="14" t="s">
        <v>6145</v>
      </c>
      <c r="H5605" s="1" t="s">
        <v>43</v>
      </c>
      <c r="I5605" s="17">
        <v>40827</v>
      </c>
    </row>
    <row r="5606" spans="1:9">
      <c r="A5606" s="16" t="s">
        <v>14157</v>
      </c>
      <c r="B5606" s="1" t="s">
        <v>2628</v>
      </c>
      <c r="C5606" s="1">
        <v>321</v>
      </c>
      <c r="D5606" s="1" t="s">
        <v>52</v>
      </c>
      <c r="E5606" s="1" t="s">
        <v>6</v>
      </c>
      <c r="F5606" s="1" t="s">
        <v>5091</v>
      </c>
      <c r="G5606" s="14" t="s">
        <v>6145</v>
      </c>
      <c r="H5606" s="1" t="s">
        <v>43</v>
      </c>
      <c r="I5606" s="17">
        <v>40827</v>
      </c>
    </row>
    <row r="5607" spans="1:9">
      <c r="A5607" s="16" t="s">
        <v>14158</v>
      </c>
      <c r="B5607" s="1" t="s">
        <v>2628</v>
      </c>
      <c r="C5607" s="1">
        <v>321</v>
      </c>
      <c r="D5607" s="1" t="s">
        <v>52</v>
      </c>
      <c r="E5607" s="1" t="s">
        <v>6</v>
      </c>
      <c r="F5607" s="1" t="s">
        <v>36</v>
      </c>
      <c r="G5607" s="14" t="s">
        <v>14159</v>
      </c>
      <c r="H5607" s="1" t="s">
        <v>5</v>
      </c>
      <c r="I5607" s="17">
        <v>40797</v>
      </c>
    </row>
    <row r="5608" spans="1:9">
      <c r="A5608" s="16" t="s">
        <v>14160</v>
      </c>
      <c r="B5608" s="1" t="s">
        <v>2628</v>
      </c>
      <c r="C5608" s="1">
        <v>321</v>
      </c>
      <c r="D5608" s="1" t="s">
        <v>52</v>
      </c>
      <c r="E5608" s="1" t="s">
        <v>6</v>
      </c>
      <c r="F5608" s="1" t="s">
        <v>5091</v>
      </c>
      <c r="G5608" s="14" t="s">
        <v>2387</v>
      </c>
      <c r="H5608" s="1" t="s">
        <v>5</v>
      </c>
      <c r="I5608" s="17">
        <v>40858</v>
      </c>
    </row>
    <row r="5609" spans="1:9">
      <c r="A5609" s="16" t="s">
        <v>14161</v>
      </c>
      <c r="B5609" s="1" t="s">
        <v>2628</v>
      </c>
      <c r="C5609" s="1">
        <v>321</v>
      </c>
      <c r="D5609" s="1" t="s">
        <v>52</v>
      </c>
      <c r="E5609" s="1" t="s">
        <v>6</v>
      </c>
      <c r="F5609" s="1" t="s">
        <v>5091</v>
      </c>
      <c r="G5609" s="14" t="s">
        <v>14162</v>
      </c>
      <c r="H5609" s="1" t="s">
        <v>5</v>
      </c>
      <c r="I5609" s="17">
        <v>37622</v>
      </c>
    </row>
    <row r="5610" spans="1:9">
      <c r="A5610" s="16" t="s">
        <v>14172</v>
      </c>
      <c r="B5610" s="1" t="s">
        <v>2628</v>
      </c>
      <c r="C5610" s="1">
        <v>321</v>
      </c>
      <c r="D5610" s="1" t="s">
        <v>52</v>
      </c>
      <c r="E5610" s="1" t="s">
        <v>6</v>
      </c>
      <c r="F5610" s="1" t="s">
        <v>5091</v>
      </c>
      <c r="G5610" s="14" t="s">
        <v>6145</v>
      </c>
      <c r="H5610" s="1" t="s">
        <v>43</v>
      </c>
      <c r="I5610" s="17">
        <v>40827</v>
      </c>
    </row>
    <row r="5611" spans="1:9">
      <c r="A5611" s="16" t="s">
        <v>14173</v>
      </c>
      <c r="B5611" s="1" t="s">
        <v>2628</v>
      </c>
      <c r="C5611" s="1">
        <v>321</v>
      </c>
      <c r="D5611" s="1" t="s">
        <v>52</v>
      </c>
      <c r="E5611" s="1" t="s">
        <v>6</v>
      </c>
      <c r="F5611" s="1" t="s">
        <v>5091</v>
      </c>
      <c r="G5611" s="14" t="s">
        <v>6145</v>
      </c>
      <c r="H5611" s="1" t="s">
        <v>43</v>
      </c>
      <c r="I5611" s="17">
        <v>40827</v>
      </c>
    </row>
    <row r="5612" spans="1:9">
      <c r="A5612" s="16" t="s">
        <v>14175</v>
      </c>
      <c r="B5612" s="1" t="s">
        <v>2628</v>
      </c>
      <c r="C5612" s="1">
        <v>321</v>
      </c>
      <c r="D5612" s="1" t="s">
        <v>52</v>
      </c>
      <c r="E5612" s="1" t="s">
        <v>6</v>
      </c>
      <c r="F5612" s="1" t="s">
        <v>5091</v>
      </c>
      <c r="G5612" s="14" t="s">
        <v>6145</v>
      </c>
      <c r="H5612" s="1" t="s">
        <v>43</v>
      </c>
      <c r="I5612" s="17">
        <v>40827</v>
      </c>
    </row>
    <row r="5613" spans="1:9">
      <c r="A5613" s="16" t="s">
        <v>14177</v>
      </c>
      <c r="B5613" s="1" t="s">
        <v>2628</v>
      </c>
      <c r="C5613" s="1">
        <v>321</v>
      </c>
      <c r="D5613" s="1" t="s">
        <v>52</v>
      </c>
      <c r="E5613" s="1" t="s">
        <v>6</v>
      </c>
      <c r="F5613" s="1" t="s">
        <v>5091</v>
      </c>
      <c r="G5613" s="14" t="s">
        <v>6145</v>
      </c>
      <c r="H5613" s="1" t="s">
        <v>43</v>
      </c>
      <c r="I5613" s="17">
        <v>40827</v>
      </c>
    </row>
    <row r="5614" spans="1:9">
      <c r="A5614" s="16" t="s">
        <v>14178</v>
      </c>
      <c r="B5614" s="1" t="s">
        <v>2628</v>
      </c>
      <c r="C5614" s="1">
        <v>321</v>
      </c>
      <c r="D5614" s="1" t="s">
        <v>52</v>
      </c>
      <c r="E5614" s="1" t="s">
        <v>6</v>
      </c>
      <c r="F5614" s="1" t="s">
        <v>5091</v>
      </c>
      <c r="G5614" s="14" t="s">
        <v>6145</v>
      </c>
      <c r="H5614" s="1" t="s">
        <v>43</v>
      </c>
      <c r="I5614" s="17">
        <v>40827</v>
      </c>
    </row>
    <row r="5615" spans="1:9">
      <c r="A5615" s="16" t="s">
        <v>14179</v>
      </c>
      <c r="B5615" s="1" t="s">
        <v>2628</v>
      </c>
      <c r="C5615" s="1">
        <v>321</v>
      </c>
      <c r="D5615" s="1" t="s">
        <v>52</v>
      </c>
      <c r="E5615" s="1" t="s">
        <v>6</v>
      </c>
      <c r="F5615" s="1" t="s">
        <v>5091</v>
      </c>
      <c r="G5615" s="14" t="s">
        <v>6145</v>
      </c>
      <c r="H5615" s="1" t="s">
        <v>43</v>
      </c>
      <c r="I5615" s="17">
        <v>40827</v>
      </c>
    </row>
    <row r="5616" spans="1:9">
      <c r="A5616" s="16" t="s">
        <v>14181</v>
      </c>
      <c r="B5616" s="1" t="s">
        <v>2628</v>
      </c>
      <c r="C5616" s="1">
        <v>321</v>
      </c>
      <c r="D5616" s="1" t="s">
        <v>52</v>
      </c>
      <c r="E5616" s="1" t="s">
        <v>6</v>
      </c>
      <c r="F5616" s="1" t="s">
        <v>5091</v>
      </c>
      <c r="G5616" s="14" t="s">
        <v>6145</v>
      </c>
      <c r="H5616" s="1" t="s">
        <v>43</v>
      </c>
      <c r="I5616" s="17">
        <v>40827</v>
      </c>
    </row>
    <row r="5617" spans="1:9">
      <c r="A5617" s="16" t="s">
        <v>14191</v>
      </c>
      <c r="B5617" s="1" t="s">
        <v>2628</v>
      </c>
      <c r="C5617" s="1">
        <v>321</v>
      </c>
      <c r="D5617" s="1" t="s">
        <v>52</v>
      </c>
      <c r="E5617" s="1" t="s">
        <v>6</v>
      </c>
      <c r="F5617" s="1" t="s">
        <v>5091</v>
      </c>
      <c r="G5617" s="14" t="s">
        <v>6145</v>
      </c>
      <c r="H5617" s="1" t="s">
        <v>43</v>
      </c>
      <c r="I5617" s="17">
        <v>40461</v>
      </c>
    </row>
    <row r="5618" spans="1:9">
      <c r="A5618" s="16" t="s">
        <v>14192</v>
      </c>
      <c r="B5618" s="1" t="s">
        <v>2628</v>
      </c>
      <c r="C5618" s="1">
        <v>321</v>
      </c>
      <c r="D5618" s="1" t="s">
        <v>52</v>
      </c>
      <c r="E5618" s="1" t="s">
        <v>6</v>
      </c>
      <c r="F5618" s="1" t="s">
        <v>5091</v>
      </c>
      <c r="G5618" s="14" t="s">
        <v>6145</v>
      </c>
      <c r="H5618" s="1" t="s">
        <v>43</v>
      </c>
      <c r="I5618" s="17">
        <v>40461</v>
      </c>
    </row>
    <row r="5619" spans="1:9">
      <c r="A5619" s="16" t="s">
        <v>14193</v>
      </c>
      <c r="B5619" s="1" t="s">
        <v>2628</v>
      </c>
      <c r="C5619" s="1">
        <v>321</v>
      </c>
      <c r="D5619" s="1" t="s">
        <v>52</v>
      </c>
      <c r="E5619" s="1" t="s">
        <v>6</v>
      </c>
      <c r="F5619" s="1" t="s">
        <v>5091</v>
      </c>
      <c r="G5619" s="14" t="s">
        <v>6145</v>
      </c>
      <c r="H5619" s="1" t="s">
        <v>43</v>
      </c>
      <c r="I5619" s="17">
        <v>40461</v>
      </c>
    </row>
    <row r="5620" spans="1:9">
      <c r="A5620" s="16" t="s">
        <v>14194</v>
      </c>
      <c r="B5620" s="1" t="s">
        <v>2628</v>
      </c>
      <c r="C5620" s="1">
        <v>321</v>
      </c>
      <c r="D5620" s="1" t="s">
        <v>52</v>
      </c>
      <c r="E5620" s="1" t="s">
        <v>6</v>
      </c>
      <c r="F5620" s="1" t="s">
        <v>5091</v>
      </c>
      <c r="G5620" s="14" t="s">
        <v>6145</v>
      </c>
      <c r="H5620" s="1" t="s">
        <v>43</v>
      </c>
      <c r="I5620" s="17">
        <v>40461</v>
      </c>
    </row>
    <row r="5621" spans="1:9">
      <c r="A5621" s="16" t="s">
        <v>14195</v>
      </c>
      <c r="B5621" s="1" t="s">
        <v>2628</v>
      </c>
      <c r="C5621" s="1">
        <v>321</v>
      </c>
      <c r="D5621" s="1" t="s">
        <v>52</v>
      </c>
      <c r="E5621" s="1" t="s">
        <v>6</v>
      </c>
      <c r="F5621" s="1" t="s">
        <v>5091</v>
      </c>
      <c r="G5621" s="14" t="s">
        <v>6145</v>
      </c>
      <c r="H5621" s="1" t="s">
        <v>43</v>
      </c>
      <c r="I5621" s="17">
        <v>40461</v>
      </c>
    </row>
    <row r="5622" spans="1:9">
      <c r="A5622" s="16" t="s">
        <v>14196</v>
      </c>
      <c r="B5622" s="1" t="s">
        <v>2628</v>
      </c>
      <c r="C5622" s="1">
        <v>321</v>
      </c>
      <c r="D5622" s="1" t="s">
        <v>52</v>
      </c>
      <c r="E5622" s="1" t="s">
        <v>6</v>
      </c>
      <c r="F5622" s="1" t="s">
        <v>5091</v>
      </c>
      <c r="G5622" s="14" t="s">
        <v>11226</v>
      </c>
      <c r="H5622" s="1" t="s">
        <v>5</v>
      </c>
      <c r="I5622" s="17">
        <v>40461</v>
      </c>
    </row>
    <row r="5623" spans="1:9">
      <c r="A5623" s="16" t="s">
        <v>14197</v>
      </c>
      <c r="B5623" s="1" t="s">
        <v>2628</v>
      </c>
      <c r="C5623" s="1">
        <v>321</v>
      </c>
      <c r="D5623" s="1" t="s">
        <v>52</v>
      </c>
      <c r="E5623" s="1" t="s">
        <v>6</v>
      </c>
      <c r="F5623" s="1" t="s">
        <v>5091</v>
      </c>
      <c r="G5623" s="14" t="s">
        <v>6145</v>
      </c>
      <c r="H5623" s="1" t="s">
        <v>43</v>
      </c>
      <c r="I5623" s="17">
        <v>40461</v>
      </c>
    </row>
    <row r="5624" spans="1:9">
      <c r="A5624" s="16" t="s">
        <v>14198</v>
      </c>
      <c r="B5624" s="1" t="s">
        <v>2628</v>
      </c>
      <c r="C5624" s="1">
        <v>321</v>
      </c>
      <c r="D5624" s="1" t="s">
        <v>52</v>
      </c>
      <c r="E5624" s="1" t="s">
        <v>6</v>
      </c>
      <c r="F5624" s="1" t="s">
        <v>5091</v>
      </c>
      <c r="G5624" s="14" t="s">
        <v>11226</v>
      </c>
      <c r="H5624" s="1" t="s">
        <v>5</v>
      </c>
      <c r="I5624" s="17">
        <v>40461</v>
      </c>
    </row>
    <row r="5625" spans="1:9">
      <c r="A5625" s="16" t="s">
        <v>14206</v>
      </c>
      <c r="B5625" s="1" t="s">
        <v>2628</v>
      </c>
      <c r="C5625" s="1">
        <v>321</v>
      </c>
      <c r="D5625" s="1" t="s">
        <v>52</v>
      </c>
      <c r="E5625" s="1" t="s">
        <v>6</v>
      </c>
      <c r="F5625" s="1" t="s">
        <v>5091</v>
      </c>
      <c r="G5625" s="14" t="s">
        <v>2400</v>
      </c>
      <c r="H5625" s="1" t="s">
        <v>43</v>
      </c>
      <c r="I5625" s="17">
        <v>42354</v>
      </c>
    </row>
    <row r="5626" spans="1:9">
      <c r="A5626" s="16" t="s">
        <v>14216</v>
      </c>
      <c r="B5626" s="1" t="s">
        <v>2628</v>
      </c>
      <c r="C5626" s="1">
        <v>321</v>
      </c>
      <c r="D5626" s="1" t="s">
        <v>52</v>
      </c>
      <c r="E5626" s="1" t="s">
        <v>6</v>
      </c>
      <c r="F5626" s="1" t="s">
        <v>5091</v>
      </c>
      <c r="G5626" s="14" t="s">
        <v>14217</v>
      </c>
      <c r="H5626" s="1" t="s">
        <v>43</v>
      </c>
      <c r="I5626" s="17">
        <v>38630</v>
      </c>
    </row>
    <row r="5627" spans="1:9">
      <c r="A5627" s="16" t="s">
        <v>14218</v>
      </c>
      <c r="B5627" s="1" t="s">
        <v>2628</v>
      </c>
      <c r="C5627" s="1">
        <v>321</v>
      </c>
      <c r="D5627" s="1" t="s">
        <v>52</v>
      </c>
      <c r="E5627" s="1" t="s">
        <v>6</v>
      </c>
      <c r="F5627" s="1" t="s">
        <v>5091</v>
      </c>
      <c r="G5627" s="14" t="s">
        <v>14219</v>
      </c>
      <c r="H5627" s="1" t="s">
        <v>5</v>
      </c>
      <c r="I5627" s="17">
        <v>38600</v>
      </c>
    </row>
    <row r="5628" spans="1:9">
      <c r="A5628" s="16" t="s">
        <v>14220</v>
      </c>
      <c r="B5628" s="1" t="s">
        <v>2628</v>
      </c>
      <c r="C5628" s="1">
        <v>321</v>
      </c>
      <c r="D5628" s="1" t="s">
        <v>52</v>
      </c>
      <c r="E5628" s="1" t="s">
        <v>6</v>
      </c>
      <c r="F5628" s="1" t="s">
        <v>5091</v>
      </c>
      <c r="G5628" s="14" t="s">
        <v>6145</v>
      </c>
      <c r="H5628" s="1" t="s">
        <v>43</v>
      </c>
      <c r="I5628" s="17">
        <v>40003</v>
      </c>
    </row>
    <row r="5629" spans="1:9">
      <c r="A5629" s="16" t="s">
        <v>14221</v>
      </c>
      <c r="B5629" s="1" t="s">
        <v>2628</v>
      </c>
      <c r="C5629" s="1">
        <v>321</v>
      </c>
      <c r="D5629" s="1" t="s">
        <v>52</v>
      </c>
      <c r="E5629" s="1" t="s">
        <v>6</v>
      </c>
      <c r="F5629" s="1" t="s">
        <v>5091</v>
      </c>
      <c r="G5629" s="14" t="s">
        <v>6145</v>
      </c>
      <c r="H5629" s="1" t="s">
        <v>43</v>
      </c>
      <c r="I5629" s="17">
        <v>40003</v>
      </c>
    </row>
    <row r="5630" spans="1:9">
      <c r="A5630" s="16" t="s">
        <v>14222</v>
      </c>
      <c r="B5630" s="1" t="s">
        <v>2628</v>
      </c>
      <c r="C5630" s="1">
        <v>321</v>
      </c>
      <c r="D5630" s="1" t="s">
        <v>52</v>
      </c>
      <c r="E5630" s="1" t="s">
        <v>6</v>
      </c>
      <c r="F5630" s="1" t="s">
        <v>5091</v>
      </c>
      <c r="G5630" s="14" t="s">
        <v>13228</v>
      </c>
      <c r="H5630" s="1" t="s">
        <v>5</v>
      </c>
      <c r="I5630" s="17">
        <v>40003</v>
      </c>
    </row>
    <row r="5631" spans="1:9">
      <c r="A5631" s="16" t="s">
        <v>14223</v>
      </c>
      <c r="B5631" s="1" t="s">
        <v>2628</v>
      </c>
      <c r="C5631" s="1">
        <v>321</v>
      </c>
      <c r="D5631" s="1" t="s">
        <v>52</v>
      </c>
      <c r="E5631" s="1" t="s">
        <v>6</v>
      </c>
      <c r="F5631" s="1" t="s">
        <v>5091</v>
      </c>
      <c r="G5631" s="14" t="s">
        <v>6145</v>
      </c>
      <c r="H5631" s="1" t="s">
        <v>43</v>
      </c>
      <c r="I5631" s="17">
        <v>39853</v>
      </c>
    </row>
    <row r="5632" spans="1:9">
      <c r="A5632" s="16" t="s">
        <v>14224</v>
      </c>
      <c r="B5632" s="1" t="s">
        <v>2628</v>
      </c>
      <c r="C5632" s="1">
        <v>321</v>
      </c>
      <c r="D5632" s="1" t="s">
        <v>52</v>
      </c>
      <c r="E5632" s="1" t="s">
        <v>6</v>
      </c>
      <c r="F5632" s="1" t="s">
        <v>5091</v>
      </c>
      <c r="G5632" s="14" t="s">
        <v>13228</v>
      </c>
      <c r="H5632" s="1" t="s">
        <v>5</v>
      </c>
      <c r="I5632" s="17">
        <v>40003</v>
      </c>
    </row>
    <row r="5633" spans="1:9">
      <c r="A5633" s="16" t="s">
        <v>14225</v>
      </c>
      <c r="B5633" s="1" t="s">
        <v>2628</v>
      </c>
      <c r="C5633" s="1">
        <v>321</v>
      </c>
      <c r="D5633" s="1" t="s">
        <v>52</v>
      </c>
      <c r="E5633" s="1" t="s">
        <v>6</v>
      </c>
      <c r="F5633" s="1" t="s">
        <v>5091</v>
      </c>
      <c r="G5633" s="14" t="s">
        <v>6145</v>
      </c>
      <c r="H5633" s="1" t="s">
        <v>43</v>
      </c>
      <c r="I5633" s="17">
        <v>40461</v>
      </c>
    </row>
    <row r="5634" spans="1:9">
      <c r="A5634" s="16" t="s">
        <v>14226</v>
      </c>
      <c r="B5634" s="1" t="s">
        <v>2628</v>
      </c>
      <c r="C5634" s="1">
        <v>321</v>
      </c>
      <c r="D5634" s="1" t="s">
        <v>52</v>
      </c>
      <c r="E5634" s="1" t="s">
        <v>6</v>
      </c>
      <c r="F5634" s="1" t="s">
        <v>5091</v>
      </c>
      <c r="G5634" s="14" t="s">
        <v>6145</v>
      </c>
      <c r="H5634" s="1" t="s">
        <v>43</v>
      </c>
      <c r="I5634" s="17">
        <v>40461</v>
      </c>
    </row>
    <row r="5635" spans="1:9">
      <c r="A5635" s="16" t="s">
        <v>14227</v>
      </c>
      <c r="B5635" s="1" t="s">
        <v>2628</v>
      </c>
      <c r="C5635" s="1">
        <v>321</v>
      </c>
      <c r="D5635" s="1" t="s">
        <v>52</v>
      </c>
      <c r="E5635" s="1" t="s">
        <v>6</v>
      </c>
      <c r="F5635" s="1" t="s">
        <v>5091</v>
      </c>
      <c r="G5635" s="14" t="s">
        <v>6145</v>
      </c>
      <c r="H5635" s="1" t="s">
        <v>43</v>
      </c>
      <c r="I5635" s="17">
        <v>40461</v>
      </c>
    </row>
    <row r="5636" spans="1:9">
      <c r="A5636" s="16" t="s">
        <v>14228</v>
      </c>
      <c r="B5636" s="1" t="s">
        <v>2628</v>
      </c>
      <c r="C5636" s="1">
        <v>321</v>
      </c>
      <c r="D5636" s="1" t="s">
        <v>52</v>
      </c>
      <c r="E5636" s="1" t="s">
        <v>6</v>
      </c>
      <c r="F5636" s="1" t="s">
        <v>5091</v>
      </c>
      <c r="G5636" s="14" t="s">
        <v>6145</v>
      </c>
      <c r="H5636" s="1" t="s">
        <v>43</v>
      </c>
      <c r="I5636" s="17">
        <v>39853</v>
      </c>
    </row>
    <row r="5637" spans="1:9">
      <c r="A5637" s="16" t="s">
        <v>14229</v>
      </c>
      <c r="B5637" s="1" t="s">
        <v>2628</v>
      </c>
      <c r="C5637" s="1">
        <v>321</v>
      </c>
      <c r="D5637" s="1" t="s">
        <v>52</v>
      </c>
      <c r="E5637" s="1" t="s">
        <v>6</v>
      </c>
      <c r="F5637" s="1" t="s">
        <v>5091</v>
      </c>
      <c r="G5637" s="14" t="s">
        <v>13228</v>
      </c>
      <c r="H5637" s="1" t="s">
        <v>5</v>
      </c>
      <c r="I5637" s="17">
        <v>39853</v>
      </c>
    </row>
    <row r="5638" spans="1:9">
      <c r="A5638" s="16" t="s">
        <v>14230</v>
      </c>
      <c r="B5638" s="1" t="s">
        <v>2628</v>
      </c>
      <c r="C5638" s="1">
        <v>321</v>
      </c>
      <c r="D5638" s="1" t="s">
        <v>52</v>
      </c>
      <c r="E5638" s="1" t="s">
        <v>6</v>
      </c>
      <c r="F5638" s="1" t="s">
        <v>5091</v>
      </c>
      <c r="G5638" s="14" t="s">
        <v>13228</v>
      </c>
      <c r="H5638" s="1" t="s">
        <v>5</v>
      </c>
      <c r="I5638" s="17">
        <v>40003</v>
      </c>
    </row>
    <row r="5639" spans="1:9">
      <c r="A5639" s="16" t="s">
        <v>14231</v>
      </c>
      <c r="B5639" s="1" t="s">
        <v>2628</v>
      </c>
      <c r="C5639" s="1">
        <v>321</v>
      </c>
      <c r="D5639" s="1" t="s">
        <v>52</v>
      </c>
      <c r="E5639" s="1" t="s">
        <v>6</v>
      </c>
      <c r="F5639" s="1" t="s">
        <v>5091</v>
      </c>
      <c r="G5639" s="14" t="s">
        <v>6145</v>
      </c>
      <c r="H5639" s="1" t="s">
        <v>43</v>
      </c>
      <c r="I5639" s="17">
        <v>43206</v>
      </c>
    </row>
    <row r="5640" spans="1:9">
      <c r="A5640" s="16" t="s">
        <v>14232</v>
      </c>
      <c r="B5640" s="1" t="s">
        <v>2628</v>
      </c>
      <c r="C5640" s="1">
        <v>321</v>
      </c>
      <c r="D5640" s="1" t="s">
        <v>52</v>
      </c>
      <c r="E5640" s="1" t="s">
        <v>6</v>
      </c>
      <c r="F5640" s="1" t="s">
        <v>5091</v>
      </c>
      <c r="G5640" s="14" t="s">
        <v>6186</v>
      </c>
      <c r="H5640" s="1" t="s">
        <v>5</v>
      </c>
      <c r="I5640" s="17">
        <v>43101</v>
      </c>
    </row>
    <row r="5641" spans="1:9">
      <c r="A5641" s="16" t="s">
        <v>14233</v>
      </c>
      <c r="B5641" s="1" t="s">
        <v>2628</v>
      </c>
      <c r="C5641" s="1">
        <v>321</v>
      </c>
      <c r="D5641" s="1" t="s">
        <v>52</v>
      </c>
      <c r="E5641" s="1" t="s">
        <v>6</v>
      </c>
      <c r="F5641" s="1" t="s">
        <v>5091</v>
      </c>
      <c r="G5641" s="14" t="s">
        <v>6236</v>
      </c>
      <c r="H5641" s="1" t="s">
        <v>43</v>
      </c>
      <c r="I5641" s="17">
        <v>43101</v>
      </c>
    </row>
    <row r="5642" spans="1:9">
      <c r="A5642" s="16" t="s">
        <v>14271</v>
      </c>
      <c r="B5642" s="1" t="s">
        <v>2628</v>
      </c>
      <c r="C5642" s="1">
        <v>321</v>
      </c>
      <c r="D5642" s="1" t="s">
        <v>52</v>
      </c>
      <c r="E5642" s="1" t="s">
        <v>6</v>
      </c>
      <c r="F5642" s="1" t="s">
        <v>5091</v>
      </c>
      <c r="G5642" s="14" t="s">
        <v>6145</v>
      </c>
      <c r="H5642" s="1" t="s">
        <v>43</v>
      </c>
      <c r="I5642" s="17">
        <v>40461</v>
      </c>
    </row>
    <row r="5643" spans="1:9">
      <c r="A5643" s="16" t="s">
        <v>14302</v>
      </c>
      <c r="B5643" s="1" t="s">
        <v>2628</v>
      </c>
      <c r="C5643" s="1">
        <v>321</v>
      </c>
      <c r="D5643" s="1" t="s">
        <v>52</v>
      </c>
      <c r="E5643" s="1" t="s">
        <v>6</v>
      </c>
      <c r="F5643" s="1" t="s">
        <v>5091</v>
      </c>
      <c r="G5643" s="14" t="s">
        <v>6145</v>
      </c>
      <c r="H5643" s="1" t="s">
        <v>43</v>
      </c>
      <c r="I5643" s="17">
        <v>43221</v>
      </c>
    </row>
    <row r="5644" spans="1:9">
      <c r="A5644" s="16" t="s">
        <v>14306</v>
      </c>
      <c r="B5644" s="1" t="s">
        <v>2628</v>
      </c>
      <c r="C5644" s="1">
        <v>321</v>
      </c>
      <c r="D5644" s="1" t="s">
        <v>52</v>
      </c>
      <c r="E5644" s="1" t="s">
        <v>6</v>
      </c>
      <c r="F5644" s="1" t="s">
        <v>5091</v>
      </c>
      <c r="G5644" s="14" t="s">
        <v>6145</v>
      </c>
      <c r="H5644" s="1" t="s">
        <v>43</v>
      </c>
      <c r="I5644" s="17">
        <v>43221</v>
      </c>
    </row>
    <row r="5645" spans="1:9">
      <c r="A5645" s="16" t="s">
        <v>14308</v>
      </c>
      <c r="B5645" s="1" t="s">
        <v>2628</v>
      </c>
      <c r="C5645" s="1">
        <v>321</v>
      </c>
      <c r="D5645" s="1" t="s">
        <v>52</v>
      </c>
      <c r="E5645" s="1" t="s">
        <v>6</v>
      </c>
      <c r="F5645" s="1" t="s">
        <v>5091</v>
      </c>
      <c r="G5645" s="14" t="s">
        <v>6145</v>
      </c>
      <c r="H5645" s="1" t="s">
        <v>43</v>
      </c>
      <c r="I5645" s="17">
        <v>43221</v>
      </c>
    </row>
    <row r="5646" spans="1:9">
      <c r="A5646" s="16" t="s">
        <v>14312</v>
      </c>
      <c r="B5646" s="1" t="s">
        <v>2628</v>
      </c>
      <c r="C5646" s="1">
        <v>321</v>
      </c>
      <c r="D5646" s="1" t="s">
        <v>52</v>
      </c>
      <c r="E5646" s="1" t="s">
        <v>6</v>
      </c>
      <c r="F5646" s="1" t="s">
        <v>5091</v>
      </c>
      <c r="G5646" s="14" t="s">
        <v>6145</v>
      </c>
      <c r="H5646" s="1" t="s">
        <v>43</v>
      </c>
      <c r="I5646" s="17">
        <v>43221</v>
      </c>
    </row>
    <row r="5647" spans="1:9">
      <c r="A5647" s="16" t="s">
        <v>14328</v>
      </c>
      <c r="B5647" s="1" t="s">
        <v>2628</v>
      </c>
      <c r="C5647" s="1">
        <v>321</v>
      </c>
      <c r="D5647" s="1" t="s">
        <v>52</v>
      </c>
      <c r="E5647" s="1" t="s">
        <v>6</v>
      </c>
      <c r="F5647" s="1" t="s">
        <v>5091</v>
      </c>
      <c r="G5647" s="14" t="s">
        <v>6145</v>
      </c>
      <c r="H5647" s="1" t="s">
        <v>43</v>
      </c>
      <c r="I5647" s="17">
        <v>43213</v>
      </c>
    </row>
    <row r="5648" spans="1:9">
      <c r="A5648" s="16" t="s">
        <v>14334</v>
      </c>
      <c r="B5648" s="1" t="s">
        <v>2628</v>
      </c>
      <c r="C5648" s="1">
        <v>321</v>
      </c>
      <c r="D5648" s="1" t="s">
        <v>52</v>
      </c>
      <c r="E5648" s="1" t="s">
        <v>6</v>
      </c>
      <c r="F5648" s="1" t="s">
        <v>5091</v>
      </c>
      <c r="G5648" s="14" t="s">
        <v>6145</v>
      </c>
      <c r="H5648" s="1" t="s">
        <v>43</v>
      </c>
      <c r="I5648" s="17">
        <v>43213</v>
      </c>
    </row>
    <row r="5649" spans="1:9">
      <c r="A5649" s="16" t="s">
        <v>14336</v>
      </c>
      <c r="B5649" s="1" t="s">
        <v>2628</v>
      </c>
      <c r="C5649" s="1">
        <v>321</v>
      </c>
      <c r="D5649" s="1" t="s">
        <v>52</v>
      </c>
      <c r="E5649" s="1" t="s">
        <v>6</v>
      </c>
      <c r="F5649" s="1" t="s">
        <v>5091</v>
      </c>
      <c r="G5649" s="14" t="s">
        <v>6145</v>
      </c>
      <c r="H5649" s="1" t="s">
        <v>43</v>
      </c>
      <c r="I5649" s="17">
        <v>43213</v>
      </c>
    </row>
    <row r="5650" spans="1:9">
      <c r="A5650" s="16" t="s">
        <v>14337</v>
      </c>
      <c r="B5650" s="1" t="s">
        <v>2628</v>
      </c>
      <c r="C5650" s="1">
        <v>321</v>
      </c>
      <c r="D5650" s="1" t="s">
        <v>52</v>
      </c>
      <c r="E5650" s="1" t="s">
        <v>6</v>
      </c>
      <c r="F5650" s="1" t="s">
        <v>5091</v>
      </c>
      <c r="G5650" s="14" t="s">
        <v>6145</v>
      </c>
      <c r="H5650" s="1" t="s">
        <v>43</v>
      </c>
      <c r="I5650" s="17">
        <v>43213</v>
      </c>
    </row>
    <row r="5651" spans="1:9">
      <c r="A5651" s="16" t="s">
        <v>14338</v>
      </c>
      <c r="B5651" s="1" t="s">
        <v>2628</v>
      </c>
      <c r="C5651" s="1">
        <v>321</v>
      </c>
      <c r="D5651" s="1" t="s">
        <v>52</v>
      </c>
      <c r="E5651" s="1" t="s">
        <v>6</v>
      </c>
      <c r="F5651" s="1" t="s">
        <v>5091</v>
      </c>
      <c r="G5651" s="14" t="s">
        <v>6145</v>
      </c>
      <c r="H5651" s="1" t="s">
        <v>43</v>
      </c>
      <c r="I5651" s="17">
        <v>43213</v>
      </c>
    </row>
    <row r="5652" spans="1:9">
      <c r="A5652" s="16" t="s">
        <v>14339</v>
      </c>
      <c r="B5652" s="1" t="s">
        <v>2628</v>
      </c>
      <c r="C5652" s="1">
        <v>321</v>
      </c>
      <c r="D5652" s="1" t="s">
        <v>52</v>
      </c>
      <c r="E5652" s="1" t="s">
        <v>6</v>
      </c>
      <c r="F5652" s="1" t="s">
        <v>5091</v>
      </c>
      <c r="G5652" s="14" t="s">
        <v>6145</v>
      </c>
      <c r="H5652" s="1" t="s">
        <v>43</v>
      </c>
      <c r="I5652" s="17">
        <v>43213</v>
      </c>
    </row>
    <row r="5653" spans="1:9">
      <c r="A5653" s="16" t="s">
        <v>14343</v>
      </c>
      <c r="B5653" s="1" t="s">
        <v>2628</v>
      </c>
      <c r="C5653" s="1">
        <v>321</v>
      </c>
      <c r="D5653" s="1" t="s">
        <v>52</v>
      </c>
      <c r="E5653" s="1" t="s">
        <v>6</v>
      </c>
      <c r="F5653" s="1" t="s">
        <v>5091</v>
      </c>
      <c r="G5653" s="14" t="s">
        <v>6145</v>
      </c>
      <c r="H5653" s="1" t="s">
        <v>43</v>
      </c>
      <c r="I5653" s="17">
        <v>43213</v>
      </c>
    </row>
    <row r="5654" spans="1:9">
      <c r="A5654" s="16" t="s">
        <v>14344</v>
      </c>
      <c r="B5654" s="1" t="s">
        <v>2628</v>
      </c>
      <c r="C5654" s="1">
        <v>321</v>
      </c>
      <c r="D5654" s="1" t="s">
        <v>52</v>
      </c>
      <c r="E5654" s="1" t="s">
        <v>6</v>
      </c>
      <c r="F5654" s="1" t="s">
        <v>5091</v>
      </c>
      <c r="G5654" s="14" t="s">
        <v>6145</v>
      </c>
      <c r="H5654" s="1" t="s">
        <v>43</v>
      </c>
      <c r="I5654" s="17">
        <v>43200</v>
      </c>
    </row>
    <row r="5655" spans="1:9">
      <c r="A5655" s="16" t="s">
        <v>14345</v>
      </c>
      <c r="B5655" s="1" t="s">
        <v>2628</v>
      </c>
      <c r="C5655" s="1">
        <v>321</v>
      </c>
      <c r="D5655" s="1" t="s">
        <v>52</v>
      </c>
      <c r="E5655" s="1" t="s">
        <v>6</v>
      </c>
      <c r="F5655" s="1" t="s">
        <v>5091</v>
      </c>
      <c r="G5655" s="14" t="s">
        <v>6145</v>
      </c>
      <c r="H5655" s="1" t="s">
        <v>43</v>
      </c>
      <c r="I5655" s="17">
        <v>43213</v>
      </c>
    </row>
    <row r="5656" spans="1:9">
      <c r="A5656" s="16" t="s">
        <v>14346</v>
      </c>
      <c r="B5656" s="1" t="s">
        <v>2628</v>
      </c>
      <c r="C5656" s="1">
        <v>321</v>
      </c>
      <c r="D5656" s="1" t="s">
        <v>52</v>
      </c>
      <c r="E5656" s="1" t="s">
        <v>6</v>
      </c>
      <c r="F5656" s="1" t="s">
        <v>5091</v>
      </c>
      <c r="G5656" s="14" t="s">
        <v>6145</v>
      </c>
      <c r="H5656" s="1" t="s">
        <v>43</v>
      </c>
      <c r="I5656" s="17">
        <v>43213</v>
      </c>
    </row>
    <row r="5657" spans="1:9">
      <c r="A5657" s="16" t="s">
        <v>14347</v>
      </c>
      <c r="B5657" s="1" t="s">
        <v>2628</v>
      </c>
      <c r="C5657" s="1">
        <v>321</v>
      </c>
      <c r="D5657" s="1" t="s">
        <v>52</v>
      </c>
      <c r="E5657" s="1" t="s">
        <v>6</v>
      </c>
      <c r="F5657" s="1" t="s">
        <v>5091</v>
      </c>
      <c r="G5657" s="14" t="s">
        <v>6145</v>
      </c>
      <c r="H5657" s="1" t="s">
        <v>43</v>
      </c>
      <c r="I5657" s="17">
        <v>43213</v>
      </c>
    </row>
    <row r="5658" spans="1:9">
      <c r="A5658" s="16" t="s">
        <v>14351</v>
      </c>
      <c r="B5658" s="1" t="s">
        <v>2628</v>
      </c>
      <c r="C5658" s="1">
        <v>321</v>
      </c>
      <c r="D5658" s="1" t="s">
        <v>52</v>
      </c>
      <c r="E5658" s="1" t="s">
        <v>6</v>
      </c>
      <c r="F5658" s="1" t="s">
        <v>5091</v>
      </c>
      <c r="G5658" s="14" t="s">
        <v>6238</v>
      </c>
      <c r="H5658" s="1" t="s">
        <v>43</v>
      </c>
      <c r="I5658" s="17">
        <v>42005</v>
      </c>
    </row>
    <row r="5659" spans="1:9">
      <c r="A5659" s="16" t="s">
        <v>14357</v>
      </c>
      <c r="B5659" s="1" t="s">
        <v>2628</v>
      </c>
      <c r="C5659" s="1">
        <v>321</v>
      </c>
      <c r="D5659" s="1" t="s">
        <v>52</v>
      </c>
      <c r="E5659" s="1" t="s">
        <v>6</v>
      </c>
      <c r="F5659" s="1" t="s">
        <v>5091</v>
      </c>
      <c r="G5659" s="14" t="s">
        <v>6145</v>
      </c>
      <c r="H5659" s="1" t="s">
        <v>43</v>
      </c>
      <c r="I5659" s="17">
        <v>43199</v>
      </c>
    </row>
    <row r="5660" spans="1:9">
      <c r="A5660" s="16" t="s">
        <v>14361</v>
      </c>
      <c r="B5660" s="1" t="s">
        <v>2628</v>
      </c>
      <c r="C5660" s="1">
        <v>321</v>
      </c>
      <c r="D5660" s="1" t="s">
        <v>52</v>
      </c>
      <c r="E5660" s="1" t="s">
        <v>6</v>
      </c>
      <c r="F5660" s="1" t="s">
        <v>5091</v>
      </c>
      <c r="G5660" s="14" t="s">
        <v>14362</v>
      </c>
      <c r="H5660" s="1" t="s">
        <v>5</v>
      </c>
      <c r="I5660" s="17">
        <v>38600</v>
      </c>
    </row>
    <row r="5661" spans="1:9">
      <c r="A5661" s="16" t="s">
        <v>14363</v>
      </c>
      <c r="B5661" s="1" t="s">
        <v>2628</v>
      </c>
      <c r="C5661" s="1">
        <v>321</v>
      </c>
      <c r="D5661" s="1" t="s">
        <v>52</v>
      </c>
      <c r="E5661" s="1" t="s">
        <v>6</v>
      </c>
      <c r="F5661" s="1" t="s">
        <v>5091</v>
      </c>
      <c r="G5661" s="14" t="s">
        <v>14364</v>
      </c>
      <c r="H5661" s="1" t="s">
        <v>315</v>
      </c>
      <c r="I5661" s="17">
        <v>43243</v>
      </c>
    </row>
    <row r="5662" spans="1:9">
      <c r="A5662" s="16" t="s">
        <v>14365</v>
      </c>
      <c r="B5662" s="1" t="s">
        <v>2628</v>
      </c>
      <c r="C5662" s="1">
        <v>321</v>
      </c>
      <c r="D5662" s="1" t="s">
        <v>52</v>
      </c>
      <c r="E5662" s="1" t="s">
        <v>6</v>
      </c>
      <c r="F5662" s="1" t="s">
        <v>5091</v>
      </c>
      <c r="G5662" s="14" t="s">
        <v>6145</v>
      </c>
      <c r="H5662" s="1" t="s">
        <v>43</v>
      </c>
      <c r="I5662" s="17">
        <v>43243</v>
      </c>
    </row>
    <row r="5663" spans="1:9">
      <c r="A5663" s="16" t="s">
        <v>14366</v>
      </c>
      <c r="B5663" s="1" t="s">
        <v>2628</v>
      </c>
      <c r="C5663" s="1">
        <v>321</v>
      </c>
      <c r="D5663" s="1" t="s">
        <v>52</v>
      </c>
      <c r="E5663" s="1" t="s">
        <v>6</v>
      </c>
      <c r="F5663" s="1" t="s">
        <v>5091</v>
      </c>
      <c r="G5663" s="14" t="s">
        <v>14362</v>
      </c>
      <c r="H5663" s="1" t="s">
        <v>5</v>
      </c>
      <c r="I5663" s="17">
        <v>38600</v>
      </c>
    </row>
    <row r="5664" spans="1:9">
      <c r="A5664" s="16" t="s">
        <v>14368</v>
      </c>
      <c r="B5664" s="1" t="s">
        <v>2628</v>
      </c>
      <c r="C5664" s="1">
        <v>321</v>
      </c>
      <c r="D5664" s="1" t="s">
        <v>52</v>
      </c>
      <c r="E5664" s="1" t="s">
        <v>6</v>
      </c>
      <c r="F5664" s="1" t="s">
        <v>5091</v>
      </c>
      <c r="G5664" s="14" t="s">
        <v>14219</v>
      </c>
      <c r="H5664" s="1" t="s">
        <v>5</v>
      </c>
      <c r="I5664" s="17">
        <v>38600</v>
      </c>
    </row>
    <row r="5665" spans="1:9">
      <c r="A5665" s="16" t="s">
        <v>14369</v>
      </c>
      <c r="B5665" s="1" t="s">
        <v>2628</v>
      </c>
      <c r="C5665" s="1">
        <v>321</v>
      </c>
      <c r="D5665" s="1" t="s">
        <v>52</v>
      </c>
      <c r="E5665" s="1" t="s">
        <v>6</v>
      </c>
      <c r="F5665" s="1" t="s">
        <v>5091</v>
      </c>
      <c r="G5665" s="14" t="s">
        <v>6145</v>
      </c>
      <c r="H5665" s="1" t="s">
        <v>43</v>
      </c>
      <c r="I5665" s="17">
        <v>43206</v>
      </c>
    </row>
    <row r="5666" spans="1:9">
      <c r="A5666" s="16" t="s">
        <v>14370</v>
      </c>
      <c r="B5666" s="1" t="s">
        <v>2628</v>
      </c>
      <c r="C5666" s="1">
        <v>321</v>
      </c>
      <c r="D5666" s="1" t="s">
        <v>52</v>
      </c>
      <c r="E5666" s="1" t="s">
        <v>6</v>
      </c>
      <c r="F5666" s="1" t="s">
        <v>5091</v>
      </c>
      <c r="G5666" s="14" t="s">
        <v>6145</v>
      </c>
      <c r="H5666" s="1" t="s">
        <v>43</v>
      </c>
      <c r="I5666" s="17">
        <v>43206</v>
      </c>
    </row>
    <row r="5667" spans="1:9">
      <c r="A5667" s="16" t="s">
        <v>14372</v>
      </c>
      <c r="B5667" s="1" t="s">
        <v>2628</v>
      </c>
      <c r="C5667" s="1">
        <v>321</v>
      </c>
      <c r="D5667" s="1" t="s">
        <v>52</v>
      </c>
      <c r="E5667" s="1" t="s">
        <v>6</v>
      </c>
      <c r="F5667" s="1" t="s">
        <v>5091</v>
      </c>
      <c r="G5667" s="14" t="s">
        <v>6145</v>
      </c>
      <c r="H5667" s="1" t="s">
        <v>43</v>
      </c>
      <c r="I5667" s="17">
        <v>43206</v>
      </c>
    </row>
    <row r="5668" spans="1:9">
      <c r="A5668" s="16" t="s">
        <v>14373</v>
      </c>
      <c r="B5668" s="1" t="s">
        <v>2628</v>
      </c>
      <c r="C5668" s="1">
        <v>321</v>
      </c>
      <c r="D5668" s="1" t="s">
        <v>52</v>
      </c>
      <c r="E5668" s="1" t="s">
        <v>6</v>
      </c>
      <c r="F5668" s="1" t="s">
        <v>5091</v>
      </c>
      <c r="G5668" s="14" t="s">
        <v>6145</v>
      </c>
      <c r="H5668" s="1" t="s">
        <v>43</v>
      </c>
      <c r="I5668" s="17">
        <v>43206</v>
      </c>
    </row>
    <row r="5669" spans="1:9">
      <c r="A5669" s="16" t="s">
        <v>14374</v>
      </c>
      <c r="B5669" s="1" t="s">
        <v>2628</v>
      </c>
      <c r="C5669" s="1">
        <v>321</v>
      </c>
      <c r="D5669" s="1" t="s">
        <v>52</v>
      </c>
      <c r="E5669" s="1" t="s">
        <v>6</v>
      </c>
      <c r="F5669" s="1" t="s">
        <v>5091</v>
      </c>
      <c r="G5669" s="14" t="s">
        <v>6145</v>
      </c>
      <c r="H5669" s="1" t="s">
        <v>43</v>
      </c>
      <c r="I5669" s="17">
        <v>43206</v>
      </c>
    </row>
    <row r="5670" spans="1:9">
      <c r="A5670" s="16" t="s">
        <v>14375</v>
      </c>
      <c r="B5670" s="1" t="s">
        <v>2628</v>
      </c>
      <c r="C5670" s="1">
        <v>321</v>
      </c>
      <c r="D5670" s="1" t="s">
        <v>52</v>
      </c>
      <c r="E5670" s="1" t="s">
        <v>6</v>
      </c>
      <c r="F5670" s="1" t="s">
        <v>5091</v>
      </c>
      <c r="G5670" s="14" t="s">
        <v>6145</v>
      </c>
      <c r="H5670" s="1" t="s">
        <v>43</v>
      </c>
      <c r="I5670" s="17">
        <v>43206</v>
      </c>
    </row>
    <row r="5671" spans="1:9">
      <c r="A5671" s="16" t="s">
        <v>14376</v>
      </c>
      <c r="B5671" s="1" t="s">
        <v>2628</v>
      </c>
      <c r="C5671" s="1">
        <v>321</v>
      </c>
      <c r="D5671" s="1" t="s">
        <v>52</v>
      </c>
      <c r="E5671" s="1" t="s">
        <v>6</v>
      </c>
      <c r="F5671" s="1" t="s">
        <v>5091</v>
      </c>
      <c r="G5671" s="14" t="s">
        <v>6145</v>
      </c>
      <c r="H5671" s="1" t="s">
        <v>43</v>
      </c>
      <c r="I5671" s="17">
        <v>43206</v>
      </c>
    </row>
    <row r="5672" spans="1:9">
      <c r="A5672" s="16" t="s">
        <v>14377</v>
      </c>
      <c r="B5672" s="1" t="s">
        <v>2628</v>
      </c>
      <c r="C5672" s="1">
        <v>321</v>
      </c>
      <c r="D5672" s="1" t="s">
        <v>52</v>
      </c>
      <c r="E5672" s="1" t="s">
        <v>6</v>
      </c>
      <c r="F5672" s="1" t="s">
        <v>5091</v>
      </c>
      <c r="G5672" s="14" t="s">
        <v>6145</v>
      </c>
      <c r="H5672" s="1" t="s">
        <v>43</v>
      </c>
      <c r="I5672" s="17">
        <v>43206</v>
      </c>
    </row>
    <row r="5673" spans="1:9">
      <c r="A5673" s="16" t="s">
        <v>14378</v>
      </c>
      <c r="B5673" s="1" t="s">
        <v>2628</v>
      </c>
      <c r="C5673" s="1">
        <v>321</v>
      </c>
      <c r="D5673" s="1" t="s">
        <v>52</v>
      </c>
      <c r="E5673" s="1" t="s">
        <v>6</v>
      </c>
      <c r="F5673" s="1" t="s">
        <v>5091</v>
      </c>
      <c r="G5673" s="14" t="s">
        <v>6145</v>
      </c>
      <c r="H5673" s="1" t="s">
        <v>43</v>
      </c>
      <c r="I5673" s="17">
        <v>43206</v>
      </c>
    </row>
    <row r="5674" spans="1:9">
      <c r="A5674" s="16" t="s">
        <v>14379</v>
      </c>
      <c r="B5674" s="1" t="s">
        <v>2628</v>
      </c>
      <c r="C5674" s="1">
        <v>321</v>
      </c>
      <c r="D5674" s="1" t="s">
        <v>52</v>
      </c>
      <c r="E5674" s="1" t="s">
        <v>6</v>
      </c>
      <c r="F5674" s="1" t="s">
        <v>5091</v>
      </c>
      <c r="G5674" s="14" t="s">
        <v>6145</v>
      </c>
      <c r="H5674" s="1" t="s">
        <v>43</v>
      </c>
      <c r="I5674" s="17">
        <v>43206</v>
      </c>
    </row>
    <row r="5675" spans="1:9">
      <c r="A5675" s="16" t="s">
        <v>14380</v>
      </c>
      <c r="B5675" s="1" t="s">
        <v>2628</v>
      </c>
      <c r="C5675" s="1">
        <v>321</v>
      </c>
      <c r="D5675" s="1" t="s">
        <v>52</v>
      </c>
      <c r="E5675" s="1" t="s">
        <v>6</v>
      </c>
      <c r="F5675" s="1" t="s">
        <v>5091</v>
      </c>
      <c r="G5675" s="14" t="s">
        <v>6145</v>
      </c>
      <c r="H5675" s="1" t="s">
        <v>43</v>
      </c>
      <c r="I5675" s="17">
        <v>43206</v>
      </c>
    </row>
    <row r="5676" spans="1:9">
      <c r="A5676" s="16" t="s">
        <v>14381</v>
      </c>
      <c r="B5676" s="1" t="s">
        <v>2628</v>
      </c>
      <c r="C5676" s="1">
        <v>321</v>
      </c>
      <c r="D5676" s="1" t="s">
        <v>52</v>
      </c>
      <c r="E5676" s="1" t="s">
        <v>6</v>
      </c>
      <c r="F5676" s="1" t="s">
        <v>5091</v>
      </c>
      <c r="G5676" s="14" t="s">
        <v>6145</v>
      </c>
      <c r="H5676" s="1" t="s">
        <v>43</v>
      </c>
      <c r="I5676" s="17">
        <v>43206</v>
      </c>
    </row>
    <row r="5677" spans="1:9">
      <c r="A5677" s="16" t="s">
        <v>14382</v>
      </c>
      <c r="B5677" s="1" t="s">
        <v>2628</v>
      </c>
      <c r="C5677" s="1">
        <v>321</v>
      </c>
      <c r="D5677" s="1" t="s">
        <v>52</v>
      </c>
      <c r="E5677" s="1" t="s">
        <v>6</v>
      </c>
      <c r="F5677" s="1" t="s">
        <v>5091</v>
      </c>
      <c r="G5677" s="14" t="s">
        <v>6145</v>
      </c>
      <c r="H5677" s="1" t="s">
        <v>43</v>
      </c>
      <c r="I5677" s="17">
        <v>43206</v>
      </c>
    </row>
    <row r="5678" spans="1:9">
      <c r="A5678" s="16" t="s">
        <v>14383</v>
      </c>
      <c r="B5678" s="1" t="s">
        <v>2628</v>
      </c>
      <c r="C5678" s="1">
        <v>321</v>
      </c>
      <c r="D5678" s="1" t="s">
        <v>52</v>
      </c>
      <c r="E5678" s="1" t="s">
        <v>6</v>
      </c>
      <c r="F5678" s="1" t="s">
        <v>5091</v>
      </c>
      <c r="G5678" s="14" t="s">
        <v>6145</v>
      </c>
      <c r="H5678" s="1" t="s">
        <v>43</v>
      </c>
      <c r="I5678" s="17">
        <v>43220</v>
      </c>
    </row>
    <row r="5679" spans="1:9">
      <c r="A5679" s="16" t="s">
        <v>14384</v>
      </c>
      <c r="B5679" s="1" t="s">
        <v>2628</v>
      </c>
      <c r="C5679" s="1">
        <v>321</v>
      </c>
      <c r="D5679" s="1" t="s">
        <v>52</v>
      </c>
      <c r="E5679" s="1" t="s">
        <v>6</v>
      </c>
      <c r="F5679" s="1" t="s">
        <v>5091</v>
      </c>
      <c r="G5679" s="14" t="s">
        <v>6145</v>
      </c>
      <c r="H5679" s="1" t="s">
        <v>43</v>
      </c>
      <c r="I5679" s="17">
        <v>43206</v>
      </c>
    </row>
    <row r="5680" spans="1:9">
      <c r="A5680" s="16" t="s">
        <v>14385</v>
      </c>
      <c r="B5680" s="1" t="s">
        <v>2628</v>
      </c>
      <c r="C5680" s="1">
        <v>321</v>
      </c>
      <c r="D5680" s="1" t="s">
        <v>52</v>
      </c>
      <c r="E5680" s="1" t="s">
        <v>6</v>
      </c>
      <c r="F5680" s="1" t="s">
        <v>5091</v>
      </c>
      <c r="G5680" s="14" t="s">
        <v>6145</v>
      </c>
      <c r="H5680" s="1" t="s">
        <v>43</v>
      </c>
      <c r="I5680" s="17">
        <v>43220</v>
      </c>
    </row>
    <row r="5681" spans="1:9">
      <c r="A5681" s="16" t="s">
        <v>14386</v>
      </c>
      <c r="B5681" s="1" t="s">
        <v>2628</v>
      </c>
      <c r="C5681" s="1">
        <v>321</v>
      </c>
      <c r="D5681" s="1" t="s">
        <v>52</v>
      </c>
      <c r="E5681" s="1" t="s">
        <v>6</v>
      </c>
      <c r="F5681" s="1" t="s">
        <v>5091</v>
      </c>
      <c r="G5681" s="14" t="s">
        <v>6145</v>
      </c>
      <c r="H5681" s="1" t="s">
        <v>43</v>
      </c>
      <c r="I5681" s="17">
        <v>43206</v>
      </c>
    </row>
    <row r="5682" spans="1:9">
      <c r="A5682" s="16" t="s">
        <v>14391</v>
      </c>
      <c r="B5682" s="1" t="s">
        <v>2628</v>
      </c>
      <c r="C5682" s="1">
        <v>321</v>
      </c>
      <c r="D5682" s="1" t="s">
        <v>52</v>
      </c>
      <c r="E5682" s="1" t="s">
        <v>6</v>
      </c>
      <c r="F5682" s="1" t="s">
        <v>5091</v>
      </c>
      <c r="G5682" s="14" t="s">
        <v>9493</v>
      </c>
      <c r="H5682" s="1" t="s">
        <v>5</v>
      </c>
      <c r="I5682" s="17">
        <v>36312</v>
      </c>
    </row>
    <row r="5683" spans="1:9">
      <c r="A5683" s="16" t="s">
        <v>14422</v>
      </c>
      <c r="B5683" s="1" t="s">
        <v>2628</v>
      </c>
      <c r="C5683" s="1">
        <v>321</v>
      </c>
      <c r="D5683" s="1" t="s">
        <v>52</v>
      </c>
      <c r="E5683" s="1" t="s">
        <v>6</v>
      </c>
      <c r="F5683" s="1" t="s">
        <v>5091</v>
      </c>
      <c r="G5683" s="14" t="s">
        <v>6145</v>
      </c>
      <c r="H5683" s="1" t="s">
        <v>43</v>
      </c>
      <c r="I5683" s="17">
        <v>40479</v>
      </c>
    </row>
    <row r="5684" spans="1:9">
      <c r="A5684" s="16" t="s">
        <v>14430</v>
      </c>
      <c r="B5684" s="1" t="s">
        <v>2628</v>
      </c>
      <c r="C5684" s="1">
        <v>826</v>
      </c>
      <c r="D5684" s="1" t="s">
        <v>52</v>
      </c>
      <c r="E5684" s="1" t="s">
        <v>6</v>
      </c>
      <c r="F5684" s="1" t="s">
        <v>5091</v>
      </c>
      <c r="G5684" s="14" t="s">
        <v>6145</v>
      </c>
      <c r="H5684" s="1" t="s">
        <v>43</v>
      </c>
      <c r="I5684" s="17">
        <v>40479</v>
      </c>
    </row>
    <row r="5685" spans="1:9">
      <c r="A5685" s="16" t="s">
        <v>14587</v>
      </c>
      <c r="B5685" s="1" t="s">
        <v>2628</v>
      </c>
      <c r="C5685" s="1">
        <v>321</v>
      </c>
      <c r="D5685" s="1" t="s">
        <v>52</v>
      </c>
      <c r="E5685" s="1" t="s">
        <v>6</v>
      </c>
      <c r="F5685" s="1" t="s">
        <v>5091</v>
      </c>
      <c r="G5685" s="14" t="s">
        <v>4458</v>
      </c>
      <c r="H5685" s="1" t="s">
        <v>118</v>
      </c>
      <c r="I5685" s="1" t="s">
        <v>4458</v>
      </c>
    </row>
    <row r="5686" spans="1:9">
      <c r="A5686" s="16" t="s">
        <v>14593</v>
      </c>
      <c r="B5686" s="1" t="s">
        <v>2628</v>
      </c>
      <c r="C5686" s="1">
        <v>321</v>
      </c>
      <c r="D5686" s="1" t="s">
        <v>52</v>
      </c>
      <c r="E5686" s="1" t="s">
        <v>6</v>
      </c>
      <c r="F5686" s="1" t="s">
        <v>36</v>
      </c>
      <c r="G5686" s="14" t="s">
        <v>14594</v>
      </c>
      <c r="H5686" s="1" t="s">
        <v>5</v>
      </c>
      <c r="I5686" s="17">
        <v>38203</v>
      </c>
    </row>
    <row r="5687" spans="1:9">
      <c r="A5687" s="16" t="s">
        <v>14598</v>
      </c>
      <c r="B5687" s="1" t="s">
        <v>2628</v>
      </c>
      <c r="C5687" s="1">
        <v>321</v>
      </c>
      <c r="D5687" s="1" t="s">
        <v>52</v>
      </c>
      <c r="E5687" s="1" t="s">
        <v>6</v>
      </c>
      <c r="F5687" s="1" t="s">
        <v>36</v>
      </c>
      <c r="G5687" s="14" t="s">
        <v>14594</v>
      </c>
      <c r="H5687" s="1" t="s">
        <v>5</v>
      </c>
      <c r="I5687" s="17">
        <v>38203</v>
      </c>
    </row>
    <row r="5688" spans="1:9" ht="31.2">
      <c r="A5688" s="16" t="s">
        <v>14609</v>
      </c>
      <c r="B5688" s="1" t="s">
        <v>2628</v>
      </c>
      <c r="C5688" s="1">
        <v>321</v>
      </c>
      <c r="D5688" s="1" t="s">
        <v>52</v>
      </c>
      <c r="E5688" s="1" t="s">
        <v>6</v>
      </c>
      <c r="F5688" s="1" t="s">
        <v>5091</v>
      </c>
      <c r="G5688" s="14" t="s">
        <v>6145</v>
      </c>
      <c r="H5688" s="1" t="s">
        <v>43</v>
      </c>
      <c r="I5688" s="17">
        <v>41527</v>
      </c>
    </row>
    <row r="5689" spans="1:9">
      <c r="A5689" s="16" t="s">
        <v>14639</v>
      </c>
      <c r="B5689" s="1" t="s">
        <v>2628</v>
      </c>
      <c r="C5689" s="1">
        <v>321</v>
      </c>
      <c r="D5689" s="1" t="s">
        <v>52</v>
      </c>
      <c r="E5689" s="1" t="s">
        <v>6</v>
      </c>
      <c r="F5689" s="1" t="s">
        <v>5091</v>
      </c>
      <c r="G5689" s="14" t="s">
        <v>14640</v>
      </c>
      <c r="H5689" s="1" t="s">
        <v>5</v>
      </c>
      <c r="I5689" s="17">
        <v>41179</v>
      </c>
    </row>
    <row r="5690" spans="1:9">
      <c r="A5690" s="16" t="s">
        <v>14652</v>
      </c>
      <c r="B5690" s="1" t="s">
        <v>2628</v>
      </c>
      <c r="C5690" s="1">
        <v>321</v>
      </c>
      <c r="D5690" s="1" t="s">
        <v>52</v>
      </c>
      <c r="E5690" s="1" t="s">
        <v>6</v>
      </c>
      <c r="F5690" s="1" t="s">
        <v>5091</v>
      </c>
      <c r="G5690" s="14" t="s">
        <v>6145</v>
      </c>
      <c r="H5690" s="1" t="s">
        <v>43</v>
      </c>
      <c r="I5690" s="17">
        <v>43101</v>
      </c>
    </row>
    <row r="5691" spans="1:9">
      <c r="A5691" s="16" t="s">
        <v>14656</v>
      </c>
      <c r="B5691" s="1" t="s">
        <v>2628</v>
      </c>
      <c r="C5691" s="1">
        <v>321</v>
      </c>
      <c r="D5691" s="1" t="s">
        <v>52</v>
      </c>
      <c r="E5691" s="1" t="s">
        <v>6</v>
      </c>
      <c r="F5691" s="1" t="s">
        <v>5091</v>
      </c>
      <c r="G5691" s="14" t="s">
        <v>6186</v>
      </c>
      <c r="H5691" s="1" t="s">
        <v>5</v>
      </c>
      <c r="I5691" s="17">
        <v>43101</v>
      </c>
    </row>
    <row r="5692" spans="1:9" ht="31.2">
      <c r="A5692" s="16" t="s">
        <v>14665</v>
      </c>
      <c r="B5692" s="1" t="s">
        <v>2628</v>
      </c>
      <c r="C5692" s="1">
        <v>321</v>
      </c>
      <c r="D5692" s="1" t="s">
        <v>52</v>
      </c>
      <c r="E5692" s="1" t="s">
        <v>6</v>
      </c>
      <c r="F5692" s="1" t="s">
        <v>5091</v>
      </c>
      <c r="G5692" s="14" t="s">
        <v>8411</v>
      </c>
      <c r="H5692" s="1" t="s">
        <v>315</v>
      </c>
      <c r="I5692" s="17">
        <v>43301</v>
      </c>
    </row>
    <row r="5693" spans="1:9">
      <c r="A5693" s="16" t="s">
        <v>14679</v>
      </c>
      <c r="B5693" s="1" t="s">
        <v>2628</v>
      </c>
      <c r="C5693" s="1">
        <v>321</v>
      </c>
      <c r="D5693" s="1" t="s">
        <v>52</v>
      </c>
      <c r="E5693" s="1" t="s">
        <v>6</v>
      </c>
      <c r="F5693" s="1" t="s">
        <v>5091</v>
      </c>
      <c r="G5693" s="14" t="s">
        <v>6145</v>
      </c>
      <c r="H5693" s="1" t="s">
        <v>43</v>
      </c>
      <c r="I5693" s="17">
        <v>40245</v>
      </c>
    </row>
    <row r="5694" spans="1:9">
      <c r="A5694" s="16" t="s">
        <v>14680</v>
      </c>
      <c r="B5694" s="1" t="s">
        <v>2628</v>
      </c>
      <c r="C5694" s="1">
        <v>321</v>
      </c>
      <c r="D5694" s="1" t="s">
        <v>52</v>
      </c>
      <c r="E5694" s="1" t="s">
        <v>6</v>
      </c>
      <c r="F5694" s="1" t="s">
        <v>5091</v>
      </c>
      <c r="G5694" s="14" t="s">
        <v>6145</v>
      </c>
      <c r="H5694" s="1" t="s">
        <v>43</v>
      </c>
      <c r="I5694" s="17">
        <v>40245</v>
      </c>
    </row>
    <row r="5695" spans="1:9" ht="31.2">
      <c r="A5695" s="16" t="s">
        <v>14686</v>
      </c>
      <c r="B5695" s="1" t="s">
        <v>2628</v>
      </c>
      <c r="C5695" s="1">
        <v>321</v>
      </c>
      <c r="D5695" s="1" t="s">
        <v>52</v>
      </c>
      <c r="E5695" s="1" t="s">
        <v>6</v>
      </c>
      <c r="F5695" s="1" t="s">
        <v>5091</v>
      </c>
      <c r="G5695" s="14" t="s">
        <v>6145</v>
      </c>
      <c r="H5695" s="1" t="s">
        <v>43</v>
      </c>
      <c r="I5695" s="17">
        <v>40245</v>
      </c>
    </row>
    <row r="5696" spans="1:9" ht="31.2">
      <c r="A5696" s="16" t="s">
        <v>14692</v>
      </c>
      <c r="B5696" s="1" t="s">
        <v>2628</v>
      </c>
      <c r="C5696" s="1">
        <v>321</v>
      </c>
      <c r="D5696" s="1" t="s">
        <v>52</v>
      </c>
      <c r="E5696" s="1" t="s">
        <v>6</v>
      </c>
      <c r="F5696" s="1" t="s">
        <v>5091</v>
      </c>
      <c r="G5696" s="14" t="s">
        <v>6145</v>
      </c>
      <c r="H5696" s="1" t="s">
        <v>43</v>
      </c>
      <c r="I5696" s="17">
        <v>40247</v>
      </c>
    </row>
    <row r="5697" spans="1:9">
      <c r="A5697" s="16" t="s">
        <v>14693</v>
      </c>
      <c r="B5697" s="1" t="s">
        <v>2628</v>
      </c>
      <c r="C5697" s="1">
        <v>321</v>
      </c>
      <c r="D5697" s="1" t="s">
        <v>52</v>
      </c>
      <c r="E5697" s="1" t="s">
        <v>6</v>
      </c>
      <c r="F5697" s="1" t="s">
        <v>5091</v>
      </c>
      <c r="G5697" s="14" t="s">
        <v>6145</v>
      </c>
      <c r="H5697" s="1" t="s">
        <v>43</v>
      </c>
      <c r="I5697" s="17">
        <v>40245</v>
      </c>
    </row>
    <row r="5698" spans="1:9">
      <c r="A5698" s="16" t="s">
        <v>14695</v>
      </c>
      <c r="B5698" s="1" t="s">
        <v>2628</v>
      </c>
      <c r="C5698" s="1">
        <v>2041</v>
      </c>
      <c r="D5698" s="1" t="s">
        <v>52</v>
      </c>
      <c r="E5698" s="1" t="s">
        <v>6</v>
      </c>
      <c r="F5698" s="1" t="s">
        <v>5091</v>
      </c>
      <c r="G5698" s="14" t="s">
        <v>6530</v>
      </c>
      <c r="H5698" s="1" t="s">
        <v>43</v>
      </c>
      <c r="I5698" s="17">
        <v>43318</v>
      </c>
    </row>
    <row r="5699" spans="1:9">
      <c r="A5699" s="16" t="s">
        <v>14696</v>
      </c>
      <c r="B5699" s="1" t="s">
        <v>2628</v>
      </c>
      <c r="C5699" s="1">
        <v>2041</v>
      </c>
      <c r="D5699" s="1" t="s">
        <v>52</v>
      </c>
      <c r="E5699" s="1" t="s">
        <v>6</v>
      </c>
      <c r="F5699" s="1" t="s">
        <v>5091</v>
      </c>
      <c r="G5699" s="14" t="s">
        <v>6530</v>
      </c>
      <c r="H5699" s="1" t="s">
        <v>43</v>
      </c>
      <c r="I5699" s="17">
        <v>43318</v>
      </c>
    </row>
    <row r="5700" spans="1:9">
      <c r="A5700" s="16" t="s">
        <v>14698</v>
      </c>
      <c r="B5700" s="1" t="s">
        <v>2628</v>
      </c>
      <c r="C5700" s="1">
        <v>321</v>
      </c>
      <c r="D5700" s="1" t="s">
        <v>52</v>
      </c>
      <c r="E5700" s="1" t="s">
        <v>6</v>
      </c>
      <c r="F5700" s="1" t="s">
        <v>5091</v>
      </c>
      <c r="G5700" s="14" t="s">
        <v>4458</v>
      </c>
      <c r="H5700" s="1" t="s">
        <v>118</v>
      </c>
      <c r="I5700" s="1" t="s">
        <v>4458</v>
      </c>
    </row>
    <row r="5701" spans="1:9">
      <c r="A5701" s="16" t="s">
        <v>14699</v>
      </c>
      <c r="B5701" s="1" t="s">
        <v>2628</v>
      </c>
      <c r="C5701" s="1">
        <v>321</v>
      </c>
      <c r="D5701" s="1" t="s">
        <v>52</v>
      </c>
      <c r="E5701" s="1" t="s">
        <v>6</v>
      </c>
      <c r="F5701" s="1" t="s">
        <v>5091</v>
      </c>
      <c r="G5701" s="14" t="s">
        <v>14700</v>
      </c>
      <c r="H5701" s="1" t="s">
        <v>5</v>
      </c>
      <c r="I5701" s="17">
        <v>43101</v>
      </c>
    </row>
    <row r="5702" spans="1:9">
      <c r="A5702" s="16" t="s">
        <v>14730</v>
      </c>
      <c r="B5702" s="1" t="s">
        <v>2628</v>
      </c>
      <c r="C5702" s="1">
        <v>321</v>
      </c>
      <c r="D5702" s="1" t="s">
        <v>52</v>
      </c>
      <c r="E5702" s="1" t="s">
        <v>6</v>
      </c>
      <c r="F5702" s="1" t="s">
        <v>5091</v>
      </c>
      <c r="G5702" s="14" t="s">
        <v>4458</v>
      </c>
      <c r="H5702" s="1" t="s">
        <v>118</v>
      </c>
      <c r="I5702" s="1" t="s">
        <v>4458</v>
      </c>
    </row>
    <row r="5703" spans="1:9">
      <c r="A5703" s="16" t="s">
        <v>14733</v>
      </c>
      <c r="B5703" s="1" t="s">
        <v>2628</v>
      </c>
      <c r="C5703" s="1">
        <v>321</v>
      </c>
      <c r="D5703" s="1" t="s">
        <v>52</v>
      </c>
      <c r="E5703" s="1" t="s">
        <v>6</v>
      </c>
      <c r="F5703" s="1" t="s">
        <v>5091</v>
      </c>
      <c r="G5703" s="14" t="s">
        <v>6186</v>
      </c>
      <c r="H5703" s="1" t="s">
        <v>5</v>
      </c>
      <c r="I5703" s="17">
        <v>43101</v>
      </c>
    </row>
    <row r="5704" spans="1:9">
      <c r="A5704" s="16" t="s">
        <v>14754</v>
      </c>
      <c r="B5704" s="1" t="s">
        <v>2628</v>
      </c>
      <c r="C5704" s="1">
        <v>321</v>
      </c>
      <c r="D5704" s="1" t="s">
        <v>52</v>
      </c>
      <c r="E5704" s="1" t="s">
        <v>6</v>
      </c>
      <c r="F5704" s="1" t="s">
        <v>5091</v>
      </c>
      <c r="G5704" s="14" t="s">
        <v>6145</v>
      </c>
      <c r="H5704" s="1" t="s">
        <v>43</v>
      </c>
      <c r="I5704" s="17">
        <v>43326</v>
      </c>
    </row>
    <row r="5705" spans="1:9">
      <c r="A5705" s="16" t="s">
        <v>14756</v>
      </c>
      <c r="B5705" s="1" t="s">
        <v>2628</v>
      </c>
      <c r="C5705" s="1">
        <v>321</v>
      </c>
      <c r="D5705" s="1" t="s">
        <v>52</v>
      </c>
      <c r="E5705" s="1" t="s">
        <v>6</v>
      </c>
      <c r="F5705" s="1" t="s">
        <v>5091</v>
      </c>
      <c r="G5705" s="14" t="s">
        <v>6145</v>
      </c>
      <c r="H5705" s="1" t="s">
        <v>43</v>
      </c>
      <c r="I5705" s="17">
        <v>43326</v>
      </c>
    </row>
    <row r="5706" spans="1:9">
      <c r="A5706" s="16" t="s">
        <v>14757</v>
      </c>
      <c r="B5706" s="1" t="s">
        <v>2628</v>
      </c>
      <c r="C5706" s="1">
        <v>321</v>
      </c>
      <c r="D5706" s="1" t="s">
        <v>52</v>
      </c>
      <c r="E5706" s="1" t="s">
        <v>6</v>
      </c>
      <c r="F5706" s="1" t="s">
        <v>5091</v>
      </c>
      <c r="G5706" s="14" t="s">
        <v>6145</v>
      </c>
      <c r="H5706" s="1" t="s">
        <v>43</v>
      </c>
      <c r="I5706" s="17">
        <v>43326</v>
      </c>
    </row>
    <row r="5707" spans="1:9">
      <c r="A5707" s="16" t="s">
        <v>14758</v>
      </c>
      <c r="B5707" s="1" t="s">
        <v>2628</v>
      </c>
      <c r="C5707" s="1">
        <v>321</v>
      </c>
      <c r="D5707" s="1" t="s">
        <v>52</v>
      </c>
      <c r="E5707" s="1" t="s">
        <v>6</v>
      </c>
      <c r="F5707" s="1" t="s">
        <v>5091</v>
      </c>
      <c r="G5707" s="14" t="s">
        <v>6145</v>
      </c>
      <c r="H5707" s="1" t="s">
        <v>43</v>
      </c>
      <c r="I5707" s="17">
        <v>43326</v>
      </c>
    </row>
    <row r="5708" spans="1:9">
      <c r="A5708" s="16" t="s">
        <v>14759</v>
      </c>
      <c r="B5708" s="1" t="s">
        <v>2628</v>
      </c>
      <c r="C5708" s="1">
        <v>321</v>
      </c>
      <c r="D5708" s="1" t="s">
        <v>52</v>
      </c>
      <c r="E5708" s="1" t="s">
        <v>6</v>
      </c>
      <c r="F5708" s="1" t="s">
        <v>5091</v>
      </c>
      <c r="G5708" s="14" t="s">
        <v>6145</v>
      </c>
      <c r="H5708" s="1" t="s">
        <v>43</v>
      </c>
      <c r="I5708" s="17">
        <v>43326</v>
      </c>
    </row>
    <row r="5709" spans="1:9">
      <c r="A5709" s="16" t="s">
        <v>14760</v>
      </c>
      <c r="B5709" s="1" t="s">
        <v>2628</v>
      </c>
      <c r="C5709" s="1">
        <v>321</v>
      </c>
      <c r="D5709" s="1" t="s">
        <v>52</v>
      </c>
      <c r="E5709" s="1" t="s">
        <v>6</v>
      </c>
      <c r="F5709" s="1" t="s">
        <v>5091</v>
      </c>
      <c r="G5709" s="14" t="s">
        <v>6145</v>
      </c>
      <c r="H5709" s="1" t="s">
        <v>43</v>
      </c>
      <c r="I5709" s="17">
        <v>43326</v>
      </c>
    </row>
    <row r="5710" spans="1:9">
      <c r="A5710" s="16" t="s">
        <v>14761</v>
      </c>
      <c r="B5710" s="1" t="s">
        <v>2628</v>
      </c>
      <c r="C5710" s="1">
        <v>321</v>
      </c>
      <c r="D5710" s="1" t="s">
        <v>52</v>
      </c>
      <c r="E5710" s="1" t="s">
        <v>6</v>
      </c>
      <c r="F5710" s="1" t="s">
        <v>5091</v>
      </c>
      <c r="G5710" s="14" t="s">
        <v>6145</v>
      </c>
      <c r="H5710" s="1" t="s">
        <v>43</v>
      </c>
      <c r="I5710" s="17">
        <v>43326</v>
      </c>
    </row>
    <row r="5711" spans="1:9">
      <c r="A5711" s="16" t="s">
        <v>14762</v>
      </c>
      <c r="B5711" s="1" t="s">
        <v>2628</v>
      </c>
      <c r="C5711" s="1">
        <v>321</v>
      </c>
      <c r="D5711" s="1" t="s">
        <v>52</v>
      </c>
      <c r="E5711" s="1" t="s">
        <v>6</v>
      </c>
      <c r="F5711" s="1" t="s">
        <v>5091</v>
      </c>
      <c r="G5711" s="14" t="s">
        <v>6145</v>
      </c>
      <c r="H5711" s="1" t="s">
        <v>43</v>
      </c>
      <c r="I5711" s="17">
        <v>43326</v>
      </c>
    </row>
    <row r="5712" spans="1:9">
      <c r="A5712" s="16" t="s">
        <v>14763</v>
      </c>
      <c r="B5712" s="1" t="s">
        <v>2628</v>
      </c>
      <c r="C5712" s="1">
        <v>321</v>
      </c>
      <c r="D5712" s="1" t="s">
        <v>52</v>
      </c>
      <c r="E5712" s="1" t="s">
        <v>6</v>
      </c>
      <c r="F5712" s="1" t="s">
        <v>5091</v>
      </c>
      <c r="G5712" s="14" t="s">
        <v>6145</v>
      </c>
      <c r="H5712" s="1" t="s">
        <v>43</v>
      </c>
      <c r="I5712" s="17">
        <v>43326</v>
      </c>
    </row>
    <row r="5713" spans="1:9">
      <c r="A5713" s="16" t="s">
        <v>14765</v>
      </c>
      <c r="B5713" s="1" t="s">
        <v>2628</v>
      </c>
      <c r="C5713" s="1">
        <v>321</v>
      </c>
      <c r="D5713" s="1" t="s">
        <v>52</v>
      </c>
      <c r="E5713" s="1" t="s">
        <v>6</v>
      </c>
      <c r="F5713" s="1" t="s">
        <v>5091</v>
      </c>
      <c r="G5713" s="14" t="s">
        <v>6145</v>
      </c>
      <c r="H5713" s="1" t="s">
        <v>43</v>
      </c>
      <c r="I5713" s="17">
        <v>43326</v>
      </c>
    </row>
    <row r="5714" spans="1:9">
      <c r="A5714" s="16" t="s">
        <v>14767</v>
      </c>
      <c r="B5714" s="1" t="s">
        <v>2628</v>
      </c>
      <c r="C5714" s="1">
        <v>321</v>
      </c>
      <c r="D5714" s="1" t="s">
        <v>52</v>
      </c>
      <c r="E5714" s="1" t="s">
        <v>6</v>
      </c>
      <c r="F5714" s="1" t="s">
        <v>5091</v>
      </c>
      <c r="G5714" s="14" t="s">
        <v>6145</v>
      </c>
      <c r="H5714" s="1" t="s">
        <v>43</v>
      </c>
      <c r="I5714" s="17">
        <v>43326</v>
      </c>
    </row>
    <row r="5715" spans="1:9">
      <c r="A5715" s="16" t="s">
        <v>14768</v>
      </c>
      <c r="B5715" s="1" t="s">
        <v>2628</v>
      </c>
      <c r="C5715" s="1">
        <v>321</v>
      </c>
      <c r="D5715" s="1" t="s">
        <v>52</v>
      </c>
      <c r="E5715" s="1" t="s">
        <v>6</v>
      </c>
      <c r="F5715" s="1" t="s">
        <v>5091</v>
      </c>
      <c r="G5715" s="14" t="s">
        <v>6145</v>
      </c>
      <c r="H5715" s="1" t="s">
        <v>43</v>
      </c>
      <c r="I5715" s="17">
        <v>43326</v>
      </c>
    </row>
    <row r="5716" spans="1:9">
      <c r="A5716" s="16" t="s">
        <v>14769</v>
      </c>
      <c r="B5716" s="1" t="s">
        <v>2628</v>
      </c>
      <c r="C5716" s="1">
        <v>321</v>
      </c>
      <c r="D5716" s="1" t="s">
        <v>52</v>
      </c>
      <c r="E5716" s="1" t="s">
        <v>6</v>
      </c>
      <c r="F5716" s="1" t="s">
        <v>5091</v>
      </c>
      <c r="G5716" s="14" t="s">
        <v>6145</v>
      </c>
      <c r="H5716" s="1" t="s">
        <v>43</v>
      </c>
      <c r="I5716" s="17">
        <v>43326</v>
      </c>
    </row>
    <row r="5717" spans="1:9">
      <c r="A5717" s="16" t="s">
        <v>14775</v>
      </c>
      <c r="B5717" s="1" t="s">
        <v>2628</v>
      </c>
      <c r="C5717" s="1">
        <v>321</v>
      </c>
      <c r="D5717" s="1" t="s">
        <v>52</v>
      </c>
      <c r="E5717" s="1" t="s">
        <v>6</v>
      </c>
      <c r="F5717" s="1" t="s">
        <v>5091</v>
      </c>
      <c r="G5717" s="14" t="s">
        <v>6450</v>
      </c>
      <c r="H5717" s="1" t="s">
        <v>43</v>
      </c>
      <c r="I5717" s="17">
        <v>43313</v>
      </c>
    </row>
    <row r="5718" spans="1:9">
      <c r="A5718" s="16" t="s">
        <v>14776</v>
      </c>
      <c r="B5718" s="1" t="s">
        <v>2628</v>
      </c>
      <c r="C5718" s="1">
        <v>321</v>
      </c>
      <c r="D5718" s="1" t="s">
        <v>52</v>
      </c>
      <c r="E5718" s="1" t="s">
        <v>6</v>
      </c>
      <c r="F5718" s="1" t="s">
        <v>5091</v>
      </c>
      <c r="G5718" s="14" t="s">
        <v>6450</v>
      </c>
      <c r="H5718" s="1" t="s">
        <v>43</v>
      </c>
      <c r="I5718" s="17">
        <v>43313</v>
      </c>
    </row>
    <row r="5719" spans="1:9">
      <c r="A5719" s="16" t="s">
        <v>14777</v>
      </c>
      <c r="B5719" s="1" t="s">
        <v>2628</v>
      </c>
      <c r="C5719" s="1">
        <v>321</v>
      </c>
      <c r="D5719" s="1" t="s">
        <v>52</v>
      </c>
      <c r="E5719" s="1" t="s">
        <v>6</v>
      </c>
      <c r="F5719" s="1" t="s">
        <v>5091</v>
      </c>
      <c r="G5719" s="14" t="s">
        <v>6450</v>
      </c>
      <c r="H5719" s="1" t="s">
        <v>43</v>
      </c>
      <c r="I5719" s="17">
        <v>43313</v>
      </c>
    </row>
    <row r="5720" spans="1:9">
      <c r="A5720" s="16" t="s">
        <v>14778</v>
      </c>
      <c r="B5720" s="1" t="s">
        <v>2628</v>
      </c>
      <c r="C5720" s="1">
        <v>321</v>
      </c>
      <c r="D5720" s="1" t="s">
        <v>52</v>
      </c>
      <c r="E5720" s="1" t="s">
        <v>6</v>
      </c>
      <c r="F5720" s="1" t="s">
        <v>5091</v>
      </c>
      <c r="G5720" s="14" t="s">
        <v>6450</v>
      </c>
      <c r="H5720" s="1" t="s">
        <v>43</v>
      </c>
      <c r="I5720" s="17">
        <v>43313</v>
      </c>
    </row>
    <row r="5721" spans="1:9">
      <c r="A5721" s="16" t="s">
        <v>14779</v>
      </c>
      <c r="B5721" s="1" t="s">
        <v>2628</v>
      </c>
      <c r="C5721" s="1">
        <v>321</v>
      </c>
      <c r="D5721" s="1" t="s">
        <v>52</v>
      </c>
      <c r="E5721" s="1" t="s">
        <v>6</v>
      </c>
      <c r="F5721" s="1" t="s">
        <v>5091</v>
      </c>
      <c r="G5721" s="14" t="s">
        <v>6450</v>
      </c>
      <c r="H5721" s="1" t="s">
        <v>43</v>
      </c>
      <c r="I5721" s="17">
        <v>43313</v>
      </c>
    </row>
    <row r="5722" spans="1:9">
      <c r="A5722" s="16" t="s">
        <v>14780</v>
      </c>
      <c r="B5722" s="1" t="s">
        <v>2628</v>
      </c>
      <c r="C5722" s="1">
        <v>321</v>
      </c>
      <c r="D5722" s="1" t="s">
        <v>52</v>
      </c>
      <c r="E5722" s="1" t="s">
        <v>6</v>
      </c>
      <c r="F5722" s="1" t="s">
        <v>5091</v>
      </c>
      <c r="G5722" s="14" t="s">
        <v>6450</v>
      </c>
      <c r="H5722" s="1" t="s">
        <v>43</v>
      </c>
      <c r="I5722" s="17">
        <v>43313</v>
      </c>
    </row>
    <row r="5723" spans="1:9">
      <c r="A5723" s="16" t="s">
        <v>14781</v>
      </c>
      <c r="B5723" s="1" t="s">
        <v>2628</v>
      </c>
      <c r="C5723" s="1">
        <v>321</v>
      </c>
      <c r="D5723" s="1" t="s">
        <v>52</v>
      </c>
      <c r="E5723" s="1" t="s">
        <v>6</v>
      </c>
      <c r="F5723" s="1" t="s">
        <v>5091</v>
      </c>
      <c r="G5723" s="14" t="s">
        <v>6450</v>
      </c>
      <c r="H5723" s="1" t="s">
        <v>43</v>
      </c>
      <c r="I5723" s="17">
        <v>43313</v>
      </c>
    </row>
    <row r="5724" spans="1:9">
      <c r="A5724" s="16" t="s">
        <v>14782</v>
      </c>
      <c r="B5724" s="1" t="s">
        <v>2628</v>
      </c>
      <c r="C5724" s="1">
        <v>321</v>
      </c>
      <c r="D5724" s="1" t="s">
        <v>52</v>
      </c>
      <c r="E5724" s="1" t="s">
        <v>6</v>
      </c>
      <c r="F5724" s="1" t="s">
        <v>5091</v>
      </c>
      <c r="G5724" s="14" t="s">
        <v>6450</v>
      </c>
      <c r="H5724" s="1" t="s">
        <v>43</v>
      </c>
      <c r="I5724" s="17">
        <v>43313</v>
      </c>
    </row>
    <row r="5725" spans="1:9">
      <c r="A5725" s="16" t="s">
        <v>14783</v>
      </c>
      <c r="B5725" s="1" t="s">
        <v>2628</v>
      </c>
      <c r="C5725" s="1">
        <v>321</v>
      </c>
      <c r="D5725" s="1" t="s">
        <v>52</v>
      </c>
      <c r="E5725" s="1" t="s">
        <v>6</v>
      </c>
      <c r="F5725" s="1" t="s">
        <v>5091</v>
      </c>
      <c r="G5725" s="14" t="s">
        <v>6450</v>
      </c>
      <c r="H5725" s="1" t="s">
        <v>43</v>
      </c>
      <c r="I5725" s="17">
        <v>43313</v>
      </c>
    </row>
    <row r="5726" spans="1:9">
      <c r="A5726" s="16" t="s">
        <v>14784</v>
      </c>
      <c r="B5726" s="1" t="s">
        <v>2628</v>
      </c>
      <c r="C5726" s="1">
        <v>321</v>
      </c>
      <c r="D5726" s="1" t="s">
        <v>52</v>
      </c>
      <c r="E5726" s="1" t="s">
        <v>6</v>
      </c>
      <c r="F5726" s="1" t="s">
        <v>5091</v>
      </c>
      <c r="G5726" s="14" t="s">
        <v>6450</v>
      </c>
      <c r="H5726" s="1" t="s">
        <v>43</v>
      </c>
      <c r="I5726" s="17">
        <v>43313</v>
      </c>
    </row>
    <row r="5727" spans="1:9">
      <c r="A5727" s="16" t="s">
        <v>14785</v>
      </c>
      <c r="B5727" s="1" t="s">
        <v>2628</v>
      </c>
      <c r="C5727" s="1">
        <v>321</v>
      </c>
      <c r="D5727" s="1" t="s">
        <v>52</v>
      </c>
      <c r="E5727" s="1" t="s">
        <v>6</v>
      </c>
      <c r="F5727" s="1" t="s">
        <v>5091</v>
      </c>
      <c r="G5727" s="14" t="s">
        <v>6450</v>
      </c>
      <c r="H5727" s="1" t="s">
        <v>43</v>
      </c>
      <c r="I5727" s="17">
        <v>43313</v>
      </c>
    </row>
    <row r="5728" spans="1:9">
      <c r="A5728" s="16" t="s">
        <v>14786</v>
      </c>
      <c r="B5728" s="1" t="s">
        <v>2628</v>
      </c>
      <c r="C5728" s="1">
        <v>321</v>
      </c>
      <c r="D5728" s="1" t="s">
        <v>52</v>
      </c>
      <c r="E5728" s="1" t="s">
        <v>6</v>
      </c>
      <c r="F5728" s="1" t="s">
        <v>5091</v>
      </c>
      <c r="G5728" s="14" t="s">
        <v>6450</v>
      </c>
      <c r="H5728" s="1" t="s">
        <v>43</v>
      </c>
      <c r="I5728" s="17">
        <v>43313</v>
      </c>
    </row>
    <row r="5729" spans="1:9">
      <c r="A5729" s="16" t="s">
        <v>14789</v>
      </c>
      <c r="B5729" s="1" t="s">
        <v>2628</v>
      </c>
      <c r="C5729" s="1">
        <v>321</v>
      </c>
      <c r="D5729" s="1" t="s">
        <v>52</v>
      </c>
      <c r="E5729" s="1" t="s">
        <v>6</v>
      </c>
      <c r="F5729" s="1" t="s">
        <v>5091</v>
      </c>
      <c r="G5729" s="14" t="s">
        <v>6450</v>
      </c>
      <c r="H5729" s="1" t="s">
        <v>43</v>
      </c>
      <c r="I5729" s="17">
        <v>43313</v>
      </c>
    </row>
    <row r="5730" spans="1:9">
      <c r="A5730" s="16" t="s">
        <v>14930</v>
      </c>
      <c r="B5730" s="1" t="s">
        <v>2628</v>
      </c>
      <c r="C5730" s="1">
        <v>321</v>
      </c>
      <c r="D5730" s="1" t="s">
        <v>52</v>
      </c>
      <c r="E5730" s="1" t="s">
        <v>6</v>
      </c>
      <c r="F5730" s="1" t="s">
        <v>5091</v>
      </c>
      <c r="G5730" s="14" t="s">
        <v>6236</v>
      </c>
      <c r="H5730" s="1" t="s">
        <v>43</v>
      </c>
      <c r="I5730" s="17">
        <v>43101</v>
      </c>
    </row>
    <row r="5731" spans="1:9">
      <c r="A5731" s="16" t="s">
        <v>14945</v>
      </c>
      <c r="B5731" s="1" t="s">
        <v>2628</v>
      </c>
      <c r="C5731" s="1">
        <v>321</v>
      </c>
      <c r="D5731" s="1" t="s">
        <v>52</v>
      </c>
      <c r="E5731" s="1" t="s">
        <v>6</v>
      </c>
      <c r="F5731" s="1" t="s">
        <v>5241</v>
      </c>
      <c r="G5731" s="14" t="s">
        <v>4803</v>
      </c>
      <c r="H5731" s="1" t="s">
        <v>5</v>
      </c>
      <c r="I5731" s="17">
        <v>43040</v>
      </c>
    </row>
    <row r="5732" spans="1:9">
      <c r="A5732" s="16" t="s">
        <v>15085</v>
      </c>
      <c r="B5732" s="1" t="s">
        <v>2628</v>
      </c>
      <c r="C5732" s="1">
        <v>321</v>
      </c>
      <c r="D5732" s="1" t="s">
        <v>52</v>
      </c>
      <c r="E5732" s="1" t="s">
        <v>6</v>
      </c>
      <c r="F5732" s="1" t="s">
        <v>5241</v>
      </c>
      <c r="G5732" s="14" t="s">
        <v>4803</v>
      </c>
      <c r="H5732" s="1" t="s">
        <v>5</v>
      </c>
      <c r="I5732" s="17">
        <v>43191</v>
      </c>
    </row>
    <row r="5733" spans="1:9">
      <c r="A5733" s="16" t="s">
        <v>15384</v>
      </c>
      <c r="B5733" s="1" t="s">
        <v>2628</v>
      </c>
      <c r="C5733" s="1">
        <v>321</v>
      </c>
      <c r="D5733" s="1" t="s">
        <v>52</v>
      </c>
      <c r="E5733" s="1" t="s">
        <v>6</v>
      </c>
      <c r="F5733" s="1" t="s">
        <v>5241</v>
      </c>
      <c r="G5733" s="14" t="s">
        <v>4803</v>
      </c>
      <c r="H5733" s="1" t="s">
        <v>5</v>
      </c>
      <c r="I5733" s="17">
        <v>43191</v>
      </c>
    </row>
    <row r="5734" spans="1:9">
      <c r="A5734" s="16" t="s">
        <v>15579</v>
      </c>
      <c r="B5734" s="1" t="s">
        <v>2628</v>
      </c>
      <c r="C5734" s="1">
        <v>321</v>
      </c>
      <c r="D5734" s="1" t="s">
        <v>52</v>
      </c>
      <c r="E5734" s="1" t="s">
        <v>6</v>
      </c>
      <c r="F5734" s="1" t="s">
        <v>5091</v>
      </c>
      <c r="G5734" s="14" t="s">
        <v>2387</v>
      </c>
      <c r="H5734" s="1" t="s">
        <v>5</v>
      </c>
      <c r="I5734" s="17">
        <v>38691</v>
      </c>
    </row>
    <row r="5735" spans="1:9">
      <c r="A5735" s="16" t="s">
        <v>15585</v>
      </c>
      <c r="B5735" s="1" t="s">
        <v>2628</v>
      </c>
      <c r="C5735" s="1">
        <v>321</v>
      </c>
      <c r="D5735" s="1" t="s">
        <v>52</v>
      </c>
      <c r="E5735" s="1" t="s">
        <v>6</v>
      </c>
      <c r="F5735" s="1" t="s">
        <v>36</v>
      </c>
      <c r="G5735" s="14" t="s">
        <v>14594</v>
      </c>
      <c r="H5735" s="1" t="s">
        <v>5</v>
      </c>
      <c r="I5735" s="17">
        <v>38388</v>
      </c>
    </row>
    <row r="5736" spans="1:9">
      <c r="A5736" s="16" t="s">
        <v>15622</v>
      </c>
      <c r="B5736" s="1" t="s">
        <v>2628</v>
      </c>
      <c r="C5736" s="1">
        <v>321</v>
      </c>
      <c r="D5736" s="1" t="s">
        <v>52</v>
      </c>
      <c r="E5736" s="1" t="s">
        <v>6</v>
      </c>
      <c r="F5736" s="1" t="s">
        <v>5091</v>
      </c>
      <c r="G5736" s="14" t="s">
        <v>6186</v>
      </c>
      <c r="H5736" s="1" t="s">
        <v>5</v>
      </c>
      <c r="I5736" s="17">
        <v>43101</v>
      </c>
    </row>
    <row r="5737" spans="1:9">
      <c r="A5737" s="16" t="s">
        <v>15687</v>
      </c>
      <c r="B5737" s="1" t="s">
        <v>2628</v>
      </c>
      <c r="C5737" s="1">
        <v>321</v>
      </c>
      <c r="D5737" s="1" t="s">
        <v>52</v>
      </c>
      <c r="E5737" s="1" t="s">
        <v>6</v>
      </c>
      <c r="F5737" s="1" t="s">
        <v>5091</v>
      </c>
      <c r="G5737" s="14" t="s">
        <v>9493</v>
      </c>
      <c r="H5737" s="1" t="s">
        <v>5</v>
      </c>
      <c r="I5737" s="17">
        <v>36617</v>
      </c>
    </row>
    <row r="5738" spans="1:9">
      <c r="A5738" s="16" t="s">
        <v>15707</v>
      </c>
      <c r="B5738" s="1" t="s">
        <v>2628</v>
      </c>
      <c r="C5738" s="1">
        <v>321</v>
      </c>
      <c r="D5738" s="1" t="s">
        <v>52</v>
      </c>
      <c r="E5738" s="1" t="s">
        <v>6</v>
      </c>
      <c r="F5738" s="1" t="s">
        <v>5091</v>
      </c>
      <c r="G5738" s="14" t="s">
        <v>6145</v>
      </c>
      <c r="H5738" s="1" t="s">
        <v>43</v>
      </c>
      <c r="I5738" s="17">
        <v>43368</v>
      </c>
    </row>
    <row r="5739" spans="1:9">
      <c r="A5739" s="16" t="s">
        <v>15710</v>
      </c>
      <c r="B5739" s="1" t="s">
        <v>2628</v>
      </c>
      <c r="C5739" s="1">
        <v>321</v>
      </c>
      <c r="D5739" s="1" t="s">
        <v>52</v>
      </c>
      <c r="E5739" s="1" t="s">
        <v>6</v>
      </c>
      <c r="F5739" s="1" t="s">
        <v>5091</v>
      </c>
      <c r="G5739" s="14" t="s">
        <v>6145</v>
      </c>
      <c r="H5739" s="1" t="s">
        <v>43</v>
      </c>
      <c r="I5739" s="17">
        <v>43368</v>
      </c>
    </row>
    <row r="5740" spans="1:9">
      <c r="A5740" s="16" t="s">
        <v>15718</v>
      </c>
      <c r="B5740" s="1" t="s">
        <v>2628</v>
      </c>
      <c r="C5740" s="1">
        <v>321</v>
      </c>
      <c r="D5740" s="1" t="s">
        <v>52</v>
      </c>
      <c r="E5740" s="1" t="s">
        <v>6</v>
      </c>
      <c r="F5740" s="1" t="s">
        <v>118</v>
      </c>
      <c r="G5740" s="14" t="s">
        <v>4458</v>
      </c>
      <c r="H5740" s="1" t="s">
        <v>118</v>
      </c>
      <c r="I5740" s="1" t="s">
        <v>4458</v>
      </c>
    </row>
    <row r="5741" spans="1:9">
      <c r="A5741" s="7" t="s">
        <v>15765</v>
      </c>
      <c r="B5741" s="2" t="s">
        <v>2628</v>
      </c>
      <c r="C5741" s="1">
        <v>321</v>
      </c>
      <c r="D5741" s="1" t="s">
        <v>52</v>
      </c>
      <c r="E5741" s="1" t="s">
        <v>6</v>
      </c>
      <c r="F5741" s="1" t="s">
        <v>5091</v>
      </c>
      <c r="G5741" s="14" t="s">
        <v>14102</v>
      </c>
      <c r="H5741" s="1" t="s">
        <v>5</v>
      </c>
      <c r="I5741" s="1" t="s">
        <v>5089</v>
      </c>
    </row>
    <row r="5742" spans="1:9">
      <c r="A5742" s="7" t="s">
        <v>15767</v>
      </c>
      <c r="B5742" s="2" t="s">
        <v>2628</v>
      </c>
      <c r="C5742" s="1">
        <v>2041</v>
      </c>
      <c r="D5742" s="1" t="s">
        <v>52</v>
      </c>
      <c r="E5742" s="1" t="s">
        <v>6</v>
      </c>
      <c r="F5742" s="1" t="s">
        <v>5091</v>
      </c>
      <c r="G5742" s="14" t="s">
        <v>1475</v>
      </c>
      <c r="H5742" s="1" t="s">
        <v>5</v>
      </c>
      <c r="I5742" s="1" t="s">
        <v>5801</v>
      </c>
    </row>
    <row r="5743" spans="1:9">
      <c r="A5743" s="7" t="s">
        <v>15779</v>
      </c>
      <c r="B5743" s="2" t="s">
        <v>2628</v>
      </c>
      <c r="C5743" s="1">
        <v>2041</v>
      </c>
      <c r="D5743" s="1" t="s">
        <v>52</v>
      </c>
      <c r="E5743" s="1" t="s">
        <v>6</v>
      </c>
      <c r="F5743" s="1" t="s">
        <v>5091</v>
      </c>
      <c r="G5743" s="14" t="s">
        <v>2400</v>
      </c>
      <c r="H5743" s="1" t="s">
        <v>43</v>
      </c>
      <c r="I5743" s="1" t="s">
        <v>5801</v>
      </c>
    </row>
    <row r="5744" spans="1:9">
      <c r="A5744" s="7" t="s">
        <v>15780</v>
      </c>
      <c r="B5744" s="2" t="s">
        <v>2628</v>
      </c>
      <c r="C5744" s="1">
        <v>2041</v>
      </c>
      <c r="D5744" s="1" t="s">
        <v>52</v>
      </c>
      <c r="E5744" s="1" t="s">
        <v>6</v>
      </c>
      <c r="F5744" s="1" t="s">
        <v>5091</v>
      </c>
      <c r="G5744" s="14" t="s">
        <v>2400</v>
      </c>
      <c r="H5744" s="1" t="s">
        <v>43</v>
      </c>
      <c r="I5744" s="1" t="s">
        <v>5801</v>
      </c>
    </row>
    <row r="5745" spans="1:9">
      <c r="A5745" s="7" t="s">
        <v>15781</v>
      </c>
      <c r="B5745" s="2" t="s">
        <v>2628</v>
      </c>
      <c r="C5745" s="1">
        <v>2041</v>
      </c>
      <c r="D5745" s="1" t="s">
        <v>52</v>
      </c>
      <c r="E5745" s="1" t="s">
        <v>6</v>
      </c>
      <c r="F5745" s="1" t="s">
        <v>5091</v>
      </c>
      <c r="G5745" s="14" t="s">
        <v>2400</v>
      </c>
      <c r="H5745" s="1" t="s">
        <v>43</v>
      </c>
      <c r="I5745" s="1" t="s">
        <v>5801</v>
      </c>
    </row>
    <row r="5746" spans="1:9">
      <c r="A5746" s="7" t="s">
        <v>15782</v>
      </c>
      <c r="B5746" s="2" t="s">
        <v>2628</v>
      </c>
      <c r="C5746" s="1">
        <v>2041</v>
      </c>
      <c r="D5746" s="1" t="s">
        <v>52</v>
      </c>
      <c r="E5746" s="1" t="s">
        <v>6</v>
      </c>
      <c r="F5746" s="1" t="s">
        <v>5091</v>
      </c>
      <c r="G5746" s="14" t="s">
        <v>2400</v>
      </c>
      <c r="H5746" s="1" t="s">
        <v>43</v>
      </c>
      <c r="I5746" s="1" t="s">
        <v>5801</v>
      </c>
    </row>
    <row r="5747" spans="1:9">
      <c r="A5747" s="7" t="s">
        <v>15783</v>
      </c>
      <c r="B5747" s="2" t="s">
        <v>2628</v>
      </c>
      <c r="C5747" s="1">
        <v>2041</v>
      </c>
      <c r="D5747" s="1" t="s">
        <v>52</v>
      </c>
      <c r="E5747" s="1" t="s">
        <v>6</v>
      </c>
      <c r="F5747" s="1" t="s">
        <v>5091</v>
      </c>
      <c r="G5747" s="14" t="s">
        <v>2400</v>
      </c>
      <c r="H5747" s="1" t="s">
        <v>43</v>
      </c>
      <c r="I5747" s="1" t="s">
        <v>5801</v>
      </c>
    </row>
    <row r="5748" spans="1:9">
      <c r="A5748" s="7" t="s">
        <v>15810</v>
      </c>
      <c r="B5748" s="2" t="s">
        <v>2628</v>
      </c>
      <c r="C5748" s="1">
        <v>321</v>
      </c>
      <c r="D5748" s="1" t="s">
        <v>52</v>
      </c>
      <c r="E5748" s="1" t="s">
        <v>6</v>
      </c>
      <c r="F5748" s="1" t="s">
        <v>5091</v>
      </c>
      <c r="G5748" s="14" t="s">
        <v>6236</v>
      </c>
      <c r="H5748" s="1" t="s">
        <v>43</v>
      </c>
      <c r="I5748" s="1" t="s">
        <v>5801</v>
      </c>
    </row>
    <row r="5749" spans="1:9">
      <c r="A5749" s="7" t="s">
        <v>15823</v>
      </c>
      <c r="B5749" s="2" t="s">
        <v>2628</v>
      </c>
      <c r="C5749" s="1">
        <v>321</v>
      </c>
      <c r="D5749" s="1" t="s">
        <v>52</v>
      </c>
      <c r="E5749" s="1" t="s">
        <v>6</v>
      </c>
      <c r="F5749" s="1" t="s">
        <v>5091</v>
      </c>
      <c r="G5749" s="22" t="s">
        <v>6181</v>
      </c>
      <c r="H5749" s="2" t="s">
        <v>118</v>
      </c>
      <c r="I5749" s="1">
        <v>2018</v>
      </c>
    </row>
    <row r="5750" spans="1:9">
      <c r="A5750" s="7" t="s">
        <v>15832</v>
      </c>
      <c r="B5750" s="2" t="s">
        <v>2628</v>
      </c>
      <c r="C5750" s="1">
        <v>2041</v>
      </c>
      <c r="D5750" s="1" t="s">
        <v>52</v>
      </c>
      <c r="E5750" s="1" t="s">
        <v>6</v>
      </c>
      <c r="F5750" s="1" t="s">
        <v>5091</v>
      </c>
      <c r="G5750" s="22" t="s">
        <v>6181</v>
      </c>
      <c r="H5750" s="2" t="s">
        <v>118</v>
      </c>
      <c r="I5750" s="1" t="s">
        <v>4458</v>
      </c>
    </row>
    <row r="5751" spans="1:9">
      <c r="A5751" s="7" t="s">
        <v>15835</v>
      </c>
      <c r="B5751" s="2" t="s">
        <v>2628</v>
      </c>
      <c r="C5751" s="1">
        <v>321</v>
      </c>
      <c r="D5751" s="1" t="s">
        <v>52</v>
      </c>
      <c r="E5751" s="1" t="s">
        <v>6</v>
      </c>
      <c r="F5751" s="1" t="s">
        <v>5091</v>
      </c>
      <c r="G5751" s="14" t="s">
        <v>15836</v>
      </c>
      <c r="H5751" s="1" t="s">
        <v>43</v>
      </c>
      <c r="I5751" s="1" t="s">
        <v>5089</v>
      </c>
    </row>
    <row r="5752" spans="1:9">
      <c r="A5752" s="7" t="s">
        <v>15837</v>
      </c>
      <c r="B5752" s="2" t="s">
        <v>2628</v>
      </c>
      <c r="C5752" s="1">
        <v>321</v>
      </c>
      <c r="D5752" s="1" t="s">
        <v>52</v>
      </c>
      <c r="E5752" s="1" t="s">
        <v>6</v>
      </c>
      <c r="F5752" s="1" t="s">
        <v>5091</v>
      </c>
      <c r="G5752" s="14" t="s">
        <v>6201</v>
      </c>
      <c r="H5752" s="1" t="s">
        <v>43</v>
      </c>
      <c r="I5752" s="1" t="s">
        <v>5089</v>
      </c>
    </row>
    <row r="5753" spans="1:9">
      <c r="A5753" s="7" t="s">
        <v>15838</v>
      </c>
      <c r="B5753" s="2" t="s">
        <v>2628</v>
      </c>
      <c r="C5753" s="1">
        <v>321</v>
      </c>
      <c r="D5753" s="1" t="s">
        <v>52</v>
      </c>
      <c r="E5753" s="1" t="s">
        <v>6</v>
      </c>
      <c r="F5753" s="1" t="s">
        <v>5091</v>
      </c>
      <c r="G5753" s="14" t="s">
        <v>15839</v>
      </c>
      <c r="H5753" s="1" t="s">
        <v>44</v>
      </c>
      <c r="I5753" s="17">
        <v>38706</v>
      </c>
    </row>
    <row r="5754" spans="1:9">
      <c r="A5754" s="7" t="s">
        <v>15852</v>
      </c>
      <c r="B5754" s="2" t="s">
        <v>2628</v>
      </c>
      <c r="C5754" s="1">
        <v>321</v>
      </c>
      <c r="D5754" s="1" t="s">
        <v>52</v>
      </c>
      <c r="E5754" s="1" t="s">
        <v>6</v>
      </c>
      <c r="F5754" s="1" t="s">
        <v>5091</v>
      </c>
      <c r="G5754" s="14" t="s">
        <v>6209</v>
      </c>
      <c r="H5754" s="1" t="s">
        <v>43</v>
      </c>
      <c r="I5754" s="1" t="s">
        <v>5092</v>
      </c>
    </row>
    <row r="5755" spans="1:9">
      <c r="A5755" s="7" t="s">
        <v>15858</v>
      </c>
      <c r="B5755" s="2" t="s">
        <v>2628</v>
      </c>
      <c r="C5755" s="1">
        <v>321</v>
      </c>
      <c r="D5755" s="1" t="s">
        <v>52</v>
      </c>
      <c r="E5755" s="1" t="s">
        <v>6</v>
      </c>
      <c r="F5755" s="1" t="s">
        <v>5091</v>
      </c>
      <c r="G5755" s="14" t="s">
        <v>15854</v>
      </c>
      <c r="H5755" s="1" t="s">
        <v>43</v>
      </c>
      <c r="I5755" s="1" t="s">
        <v>5092</v>
      </c>
    </row>
    <row r="5756" spans="1:9">
      <c r="A5756" s="7" t="s">
        <v>15866</v>
      </c>
      <c r="B5756" s="2" t="s">
        <v>2628</v>
      </c>
      <c r="C5756" s="1">
        <v>321</v>
      </c>
      <c r="D5756" s="1" t="s">
        <v>52</v>
      </c>
      <c r="E5756" s="1" t="s">
        <v>6</v>
      </c>
      <c r="F5756" s="1" t="s">
        <v>5091</v>
      </c>
      <c r="G5756" s="14" t="s">
        <v>6196</v>
      </c>
      <c r="H5756" s="1" t="s">
        <v>43</v>
      </c>
      <c r="I5756" s="1" t="s">
        <v>5092</v>
      </c>
    </row>
    <row r="5757" spans="1:9">
      <c r="A5757" s="7" t="s">
        <v>15869</v>
      </c>
      <c r="B5757" s="2" t="s">
        <v>2628</v>
      </c>
      <c r="C5757" s="1">
        <v>321</v>
      </c>
      <c r="D5757" s="1" t="s">
        <v>52</v>
      </c>
      <c r="E5757" s="1" t="s">
        <v>6</v>
      </c>
      <c r="F5757" s="1" t="s">
        <v>5091</v>
      </c>
      <c r="G5757" s="14" t="s">
        <v>6209</v>
      </c>
      <c r="H5757" s="1" t="s">
        <v>43</v>
      </c>
      <c r="I5757" s="1" t="s">
        <v>5092</v>
      </c>
    </row>
    <row r="5758" spans="1:9">
      <c r="A5758" s="7" t="s">
        <v>15897</v>
      </c>
      <c r="B5758" s="2" t="s">
        <v>2628</v>
      </c>
      <c r="C5758" s="1">
        <v>321</v>
      </c>
      <c r="D5758" s="1" t="s">
        <v>52</v>
      </c>
      <c r="E5758" s="1" t="s">
        <v>6</v>
      </c>
      <c r="F5758" s="1" t="s">
        <v>5091</v>
      </c>
      <c r="G5758" s="14" t="s">
        <v>14102</v>
      </c>
      <c r="H5758" s="1" t="s">
        <v>5</v>
      </c>
      <c r="I5758" s="1" t="s">
        <v>5092</v>
      </c>
    </row>
    <row r="5759" spans="1:9">
      <c r="A5759" s="7" t="s">
        <v>15898</v>
      </c>
      <c r="B5759" s="2" t="s">
        <v>2628</v>
      </c>
      <c r="C5759" s="1">
        <v>321</v>
      </c>
      <c r="D5759" s="1" t="s">
        <v>52</v>
      </c>
      <c r="E5759" s="1" t="s">
        <v>6</v>
      </c>
      <c r="F5759" s="1" t="s">
        <v>5091</v>
      </c>
      <c r="G5759" s="14" t="s">
        <v>15848</v>
      </c>
      <c r="H5759" s="1" t="s">
        <v>43</v>
      </c>
      <c r="I5759" s="1" t="s">
        <v>5092</v>
      </c>
    </row>
    <row r="5760" spans="1:9">
      <c r="A5760" s="7" t="s">
        <v>15923</v>
      </c>
      <c r="B5760" s="2" t="s">
        <v>2628</v>
      </c>
      <c r="C5760" s="1">
        <v>321</v>
      </c>
      <c r="D5760" s="1" t="s">
        <v>52</v>
      </c>
      <c r="E5760" s="1" t="s">
        <v>6</v>
      </c>
      <c r="F5760" s="1" t="s">
        <v>5091</v>
      </c>
      <c r="G5760" s="14" t="s">
        <v>6209</v>
      </c>
      <c r="H5760" s="1" t="s">
        <v>43</v>
      </c>
      <c r="I5760" s="1" t="s">
        <v>5092</v>
      </c>
    </row>
    <row r="5761" spans="1:9">
      <c r="A5761" s="7" t="s">
        <v>15962</v>
      </c>
      <c r="B5761" s="2" t="s">
        <v>2628</v>
      </c>
      <c r="C5761" s="1">
        <v>321</v>
      </c>
      <c r="D5761" s="1" t="s">
        <v>52</v>
      </c>
      <c r="E5761" s="1" t="s">
        <v>6</v>
      </c>
      <c r="F5761" s="1" t="s">
        <v>5091</v>
      </c>
      <c r="G5761" s="14" t="s">
        <v>6238</v>
      </c>
      <c r="H5761" s="1" t="s">
        <v>43</v>
      </c>
      <c r="I5761" s="1" t="s">
        <v>5807</v>
      </c>
    </row>
    <row r="5762" spans="1:9">
      <c r="A5762" s="7" t="s">
        <v>15999</v>
      </c>
      <c r="B5762" s="2" t="s">
        <v>2628</v>
      </c>
      <c r="C5762" s="1">
        <v>321</v>
      </c>
      <c r="D5762" s="1" t="s">
        <v>52</v>
      </c>
      <c r="E5762" s="1" t="s">
        <v>6</v>
      </c>
      <c r="F5762" s="1" t="s">
        <v>5091</v>
      </c>
      <c r="G5762" s="22" t="s">
        <v>6181</v>
      </c>
      <c r="H5762" s="2" t="s">
        <v>118</v>
      </c>
      <c r="I5762" s="1" t="s">
        <v>4458</v>
      </c>
    </row>
    <row r="5763" spans="1:9">
      <c r="A5763" s="7" t="s">
        <v>16043</v>
      </c>
      <c r="B5763" s="2" t="s">
        <v>2628</v>
      </c>
      <c r="C5763" s="1">
        <v>321</v>
      </c>
      <c r="D5763" s="1" t="s">
        <v>52</v>
      </c>
      <c r="E5763" s="1" t="s">
        <v>6</v>
      </c>
      <c r="F5763" s="1" t="s">
        <v>5091</v>
      </c>
      <c r="G5763" s="14" t="s">
        <v>6139</v>
      </c>
      <c r="H5763" s="1" t="s">
        <v>43</v>
      </c>
      <c r="I5763" s="1" t="s">
        <v>5807</v>
      </c>
    </row>
    <row r="5764" spans="1:9">
      <c r="A5764" s="7" t="s">
        <v>16046</v>
      </c>
      <c r="B5764" s="2" t="s">
        <v>2628</v>
      </c>
      <c r="C5764" s="1">
        <v>321</v>
      </c>
      <c r="D5764" s="1" t="s">
        <v>52</v>
      </c>
      <c r="E5764" s="1" t="s">
        <v>6</v>
      </c>
      <c r="F5764" s="1" t="s">
        <v>5091</v>
      </c>
      <c r="G5764" s="14" t="s">
        <v>6139</v>
      </c>
      <c r="H5764" s="1" t="s">
        <v>43</v>
      </c>
      <c r="I5764" s="1" t="s">
        <v>5807</v>
      </c>
    </row>
    <row r="5765" spans="1:9">
      <c r="A5765" s="7" t="s">
        <v>16047</v>
      </c>
      <c r="B5765" s="2" t="s">
        <v>2628</v>
      </c>
      <c r="C5765" s="1">
        <v>321</v>
      </c>
      <c r="D5765" s="1" t="s">
        <v>52</v>
      </c>
      <c r="E5765" s="1" t="s">
        <v>6</v>
      </c>
      <c r="F5765" s="1" t="s">
        <v>5091</v>
      </c>
      <c r="G5765" s="14" t="s">
        <v>6139</v>
      </c>
      <c r="H5765" s="1" t="s">
        <v>43</v>
      </c>
      <c r="I5765" s="1" t="s">
        <v>5807</v>
      </c>
    </row>
    <row r="5766" spans="1:9">
      <c r="A5766" s="7" t="s">
        <v>16048</v>
      </c>
      <c r="B5766" s="2" t="s">
        <v>2628</v>
      </c>
      <c r="C5766" s="1">
        <v>321</v>
      </c>
      <c r="D5766" s="1" t="s">
        <v>52</v>
      </c>
      <c r="E5766" s="1" t="s">
        <v>6</v>
      </c>
      <c r="F5766" s="1" t="s">
        <v>5091</v>
      </c>
      <c r="G5766" s="14" t="s">
        <v>6139</v>
      </c>
      <c r="H5766" s="1" t="s">
        <v>43</v>
      </c>
      <c r="I5766" s="1" t="s">
        <v>5807</v>
      </c>
    </row>
    <row r="5767" spans="1:9">
      <c r="A5767" s="7" t="s">
        <v>16049</v>
      </c>
      <c r="B5767" s="2" t="s">
        <v>2628</v>
      </c>
      <c r="C5767" s="1">
        <v>321</v>
      </c>
      <c r="D5767" s="1" t="s">
        <v>52</v>
      </c>
      <c r="E5767" s="1" t="s">
        <v>6</v>
      </c>
      <c r="F5767" s="1" t="s">
        <v>5091</v>
      </c>
      <c r="G5767" s="14" t="s">
        <v>6139</v>
      </c>
      <c r="H5767" s="1" t="s">
        <v>43</v>
      </c>
      <c r="I5767" s="1" t="s">
        <v>5807</v>
      </c>
    </row>
    <row r="5768" spans="1:9">
      <c r="A5768" s="7" t="s">
        <v>16051</v>
      </c>
      <c r="B5768" s="2" t="s">
        <v>2628</v>
      </c>
      <c r="C5768" s="1">
        <v>321</v>
      </c>
      <c r="D5768" s="1" t="s">
        <v>52</v>
      </c>
      <c r="E5768" s="1" t="s">
        <v>6</v>
      </c>
      <c r="F5768" s="1" t="s">
        <v>5091</v>
      </c>
      <c r="G5768" s="14" t="s">
        <v>6139</v>
      </c>
      <c r="H5768" s="1" t="s">
        <v>43</v>
      </c>
      <c r="I5768" s="1" t="s">
        <v>5807</v>
      </c>
    </row>
    <row r="5769" spans="1:9">
      <c r="A5769" s="7" t="s">
        <v>16056</v>
      </c>
      <c r="B5769" s="2" t="s">
        <v>2628</v>
      </c>
      <c r="C5769" s="1">
        <v>321</v>
      </c>
      <c r="D5769" s="1" t="s">
        <v>52</v>
      </c>
      <c r="E5769" s="1" t="s">
        <v>6</v>
      </c>
      <c r="F5769" s="1" t="s">
        <v>5091</v>
      </c>
      <c r="G5769" s="14" t="s">
        <v>6139</v>
      </c>
      <c r="H5769" s="1" t="s">
        <v>43</v>
      </c>
      <c r="I5769" s="1" t="s">
        <v>5807</v>
      </c>
    </row>
    <row r="5770" spans="1:9">
      <c r="A5770" s="7" t="s">
        <v>16057</v>
      </c>
      <c r="B5770" s="2" t="s">
        <v>2628</v>
      </c>
      <c r="C5770" s="1">
        <v>321</v>
      </c>
      <c r="D5770" s="1" t="s">
        <v>52</v>
      </c>
      <c r="E5770" s="1" t="s">
        <v>6</v>
      </c>
      <c r="F5770" s="1" t="s">
        <v>5091</v>
      </c>
      <c r="G5770" s="14" t="s">
        <v>6139</v>
      </c>
      <c r="H5770" s="1" t="s">
        <v>43</v>
      </c>
      <c r="I5770" s="1" t="s">
        <v>5807</v>
      </c>
    </row>
    <row r="5771" spans="1:9">
      <c r="A5771" s="7" t="s">
        <v>16058</v>
      </c>
      <c r="B5771" s="2" t="s">
        <v>2628</v>
      </c>
      <c r="C5771" s="1">
        <v>321</v>
      </c>
      <c r="D5771" s="1" t="s">
        <v>52</v>
      </c>
      <c r="E5771" s="1" t="s">
        <v>6</v>
      </c>
      <c r="F5771" s="1" t="s">
        <v>5091</v>
      </c>
      <c r="G5771" s="14" t="s">
        <v>6139</v>
      </c>
      <c r="H5771" s="1" t="s">
        <v>43</v>
      </c>
      <c r="I5771" s="1" t="s">
        <v>5807</v>
      </c>
    </row>
    <row r="5772" spans="1:9">
      <c r="A5772" s="7" t="s">
        <v>16063</v>
      </c>
      <c r="B5772" s="2" t="s">
        <v>2628</v>
      </c>
      <c r="C5772" s="1">
        <v>321</v>
      </c>
      <c r="D5772" s="1" t="s">
        <v>52</v>
      </c>
      <c r="E5772" s="1" t="s">
        <v>6</v>
      </c>
      <c r="F5772" s="1" t="s">
        <v>5091</v>
      </c>
      <c r="G5772" s="14" t="s">
        <v>6139</v>
      </c>
      <c r="H5772" s="1" t="s">
        <v>43</v>
      </c>
      <c r="I5772" s="1" t="s">
        <v>5807</v>
      </c>
    </row>
    <row r="5773" spans="1:9">
      <c r="A5773" s="7" t="s">
        <v>16064</v>
      </c>
      <c r="B5773" s="2" t="s">
        <v>2628</v>
      </c>
      <c r="C5773" s="1">
        <v>321</v>
      </c>
      <c r="D5773" s="1" t="s">
        <v>52</v>
      </c>
      <c r="E5773" s="1" t="s">
        <v>6</v>
      </c>
      <c r="F5773" s="1" t="s">
        <v>5091</v>
      </c>
      <c r="G5773" s="14" t="s">
        <v>6139</v>
      </c>
      <c r="H5773" s="1" t="s">
        <v>43</v>
      </c>
      <c r="I5773" s="1" t="s">
        <v>5807</v>
      </c>
    </row>
    <row r="5774" spans="1:9">
      <c r="A5774" s="7" t="s">
        <v>16065</v>
      </c>
      <c r="B5774" s="2" t="s">
        <v>2628</v>
      </c>
      <c r="C5774" s="1">
        <v>321</v>
      </c>
      <c r="D5774" s="1" t="s">
        <v>52</v>
      </c>
      <c r="E5774" s="1" t="s">
        <v>6</v>
      </c>
      <c r="F5774" s="1" t="s">
        <v>5091</v>
      </c>
      <c r="G5774" s="14" t="s">
        <v>6139</v>
      </c>
      <c r="H5774" s="1" t="s">
        <v>43</v>
      </c>
      <c r="I5774" s="1" t="s">
        <v>5807</v>
      </c>
    </row>
    <row r="5775" spans="1:9">
      <c r="A5775" s="7" t="s">
        <v>16066</v>
      </c>
      <c r="B5775" s="2" t="s">
        <v>2628</v>
      </c>
      <c r="C5775" s="1">
        <v>321</v>
      </c>
      <c r="D5775" s="1" t="s">
        <v>52</v>
      </c>
      <c r="E5775" s="1" t="s">
        <v>6</v>
      </c>
      <c r="F5775" s="1" t="s">
        <v>5091</v>
      </c>
      <c r="G5775" s="14" t="s">
        <v>6139</v>
      </c>
      <c r="H5775" s="1" t="s">
        <v>43</v>
      </c>
      <c r="I5775" s="1" t="s">
        <v>5807</v>
      </c>
    </row>
    <row r="5776" spans="1:9">
      <c r="A5776" s="7" t="s">
        <v>16067</v>
      </c>
      <c r="B5776" s="2" t="s">
        <v>2628</v>
      </c>
      <c r="C5776" s="1">
        <v>321</v>
      </c>
      <c r="D5776" s="1" t="s">
        <v>52</v>
      </c>
      <c r="E5776" s="1" t="s">
        <v>6</v>
      </c>
      <c r="F5776" s="1" t="s">
        <v>5091</v>
      </c>
      <c r="G5776" s="14" t="s">
        <v>6139</v>
      </c>
      <c r="H5776" s="1" t="s">
        <v>43</v>
      </c>
      <c r="I5776" s="1" t="s">
        <v>5807</v>
      </c>
    </row>
    <row r="5777" spans="1:10">
      <c r="A5777" s="7" t="s">
        <v>16069</v>
      </c>
      <c r="B5777" s="2" t="s">
        <v>2628</v>
      </c>
      <c r="C5777" s="1">
        <v>321</v>
      </c>
      <c r="D5777" s="1" t="s">
        <v>52</v>
      </c>
      <c r="E5777" s="1" t="s">
        <v>6</v>
      </c>
      <c r="F5777" s="1" t="s">
        <v>5091</v>
      </c>
      <c r="G5777" s="14" t="s">
        <v>6139</v>
      </c>
      <c r="H5777" s="1" t="s">
        <v>43</v>
      </c>
      <c r="I5777" s="1" t="s">
        <v>5807</v>
      </c>
    </row>
    <row r="5778" spans="1:10">
      <c r="A5778" s="7" t="s">
        <v>16077</v>
      </c>
      <c r="B5778" s="2" t="s">
        <v>2628</v>
      </c>
      <c r="C5778" s="1">
        <v>321</v>
      </c>
      <c r="D5778" s="1" t="s">
        <v>52</v>
      </c>
      <c r="E5778" s="1" t="s">
        <v>6</v>
      </c>
      <c r="F5778" s="1" t="s">
        <v>5241</v>
      </c>
      <c r="G5778" s="14" t="s">
        <v>4803</v>
      </c>
      <c r="H5778" s="1" t="s">
        <v>5</v>
      </c>
      <c r="I5778" s="1" t="s">
        <v>5801</v>
      </c>
    </row>
    <row r="5779" spans="1:10">
      <c r="A5779" s="7" t="s">
        <v>16079</v>
      </c>
      <c r="B5779" s="2" t="s">
        <v>2628</v>
      </c>
      <c r="C5779" s="1">
        <v>321</v>
      </c>
      <c r="D5779" s="1" t="s">
        <v>52</v>
      </c>
      <c r="E5779" s="1" t="s">
        <v>6</v>
      </c>
      <c r="F5779" s="1" t="s">
        <v>5241</v>
      </c>
      <c r="G5779" s="14" t="s">
        <v>4803</v>
      </c>
      <c r="H5779" s="1" t="s">
        <v>5</v>
      </c>
      <c r="I5779" s="1" t="s">
        <v>5801</v>
      </c>
    </row>
    <row r="5780" spans="1:10">
      <c r="A5780" s="7" t="s">
        <v>16104</v>
      </c>
      <c r="B5780" s="2" t="s">
        <v>2628</v>
      </c>
      <c r="C5780" s="1">
        <v>2041</v>
      </c>
      <c r="D5780" s="1" t="s">
        <v>52</v>
      </c>
      <c r="E5780" s="1" t="s">
        <v>6</v>
      </c>
      <c r="F5780" s="1" t="s">
        <v>5091</v>
      </c>
      <c r="G5780" s="22" t="s">
        <v>6181</v>
      </c>
      <c r="H5780" s="2" t="s">
        <v>118</v>
      </c>
      <c r="I5780" s="1" t="s">
        <v>4458</v>
      </c>
    </row>
    <row r="5781" spans="1:10">
      <c r="A5781" s="7" t="s">
        <v>16105</v>
      </c>
      <c r="B5781" s="2" t="s">
        <v>2628</v>
      </c>
      <c r="C5781" s="1">
        <v>321</v>
      </c>
      <c r="D5781" s="1" t="s">
        <v>52</v>
      </c>
      <c r="E5781" s="1" t="s">
        <v>6</v>
      </c>
      <c r="F5781" s="1" t="s">
        <v>5091</v>
      </c>
      <c r="G5781" s="14" t="s">
        <v>16106</v>
      </c>
      <c r="H5781" s="1" t="s">
        <v>5</v>
      </c>
      <c r="I5781" s="1">
        <v>1998</v>
      </c>
    </row>
    <row r="5782" spans="1:10">
      <c r="A5782" s="7" t="s">
        <v>16107</v>
      </c>
      <c r="B5782" s="2" t="s">
        <v>2628</v>
      </c>
      <c r="C5782" s="1">
        <v>321</v>
      </c>
      <c r="D5782" s="1" t="s">
        <v>52</v>
      </c>
      <c r="E5782" s="1" t="s">
        <v>6</v>
      </c>
      <c r="F5782" s="1" t="s">
        <v>5091</v>
      </c>
      <c r="G5782" s="14" t="s">
        <v>16106</v>
      </c>
      <c r="H5782" s="1" t="s">
        <v>5</v>
      </c>
      <c r="I5782" s="1">
        <v>1998</v>
      </c>
    </row>
    <row r="5783" spans="1:10">
      <c r="A5783" s="7" t="s">
        <v>16108</v>
      </c>
      <c r="B5783" s="2" t="s">
        <v>2628</v>
      </c>
      <c r="C5783" s="1">
        <v>321</v>
      </c>
      <c r="D5783" s="1" t="s">
        <v>52</v>
      </c>
      <c r="E5783" s="1" t="s">
        <v>6</v>
      </c>
      <c r="F5783" s="1" t="s">
        <v>5091</v>
      </c>
      <c r="G5783" s="14" t="s">
        <v>16106</v>
      </c>
      <c r="H5783" s="1" t="s">
        <v>5</v>
      </c>
      <c r="I5783" s="1">
        <v>1998</v>
      </c>
    </row>
    <row r="5784" spans="1:10">
      <c r="A5784" s="7" t="s">
        <v>16109</v>
      </c>
      <c r="B5784" s="2" t="s">
        <v>2628</v>
      </c>
      <c r="C5784" s="1">
        <v>321</v>
      </c>
      <c r="D5784" s="1" t="s">
        <v>52</v>
      </c>
      <c r="E5784" s="1" t="s">
        <v>6</v>
      </c>
      <c r="F5784" s="1" t="s">
        <v>5091</v>
      </c>
      <c r="G5784" s="14" t="s">
        <v>16106</v>
      </c>
      <c r="H5784" s="1" t="s">
        <v>5</v>
      </c>
      <c r="I5784" s="1">
        <v>1998</v>
      </c>
    </row>
    <row r="5785" spans="1:10">
      <c r="A5785" s="7" t="s">
        <v>16110</v>
      </c>
      <c r="B5785" s="2" t="s">
        <v>2628</v>
      </c>
      <c r="C5785" s="1">
        <v>321</v>
      </c>
      <c r="D5785" s="1" t="s">
        <v>52</v>
      </c>
      <c r="E5785" s="1" t="s">
        <v>6</v>
      </c>
      <c r="F5785" s="1" t="s">
        <v>5091</v>
      </c>
      <c r="G5785" s="14" t="s">
        <v>16106</v>
      </c>
      <c r="H5785" s="1" t="s">
        <v>5</v>
      </c>
      <c r="I5785" s="1">
        <v>1998</v>
      </c>
    </row>
    <row r="5786" spans="1:10">
      <c r="A5786" s="7" t="s">
        <v>16113</v>
      </c>
      <c r="B5786" s="2" t="s">
        <v>2628</v>
      </c>
      <c r="C5786" s="1">
        <v>321</v>
      </c>
      <c r="D5786" s="1" t="s">
        <v>52</v>
      </c>
      <c r="E5786" s="1" t="s">
        <v>6</v>
      </c>
      <c r="F5786" s="1" t="s">
        <v>5091</v>
      </c>
      <c r="G5786" s="14" t="s">
        <v>16106</v>
      </c>
      <c r="H5786" s="1" t="s">
        <v>5</v>
      </c>
      <c r="I5786" s="1">
        <v>1998</v>
      </c>
    </row>
    <row r="5787" spans="1:10">
      <c r="A5787" s="7" t="s">
        <v>16114</v>
      </c>
      <c r="B5787" s="2" t="s">
        <v>2628</v>
      </c>
      <c r="C5787" s="1">
        <v>321</v>
      </c>
      <c r="D5787" s="1" t="s">
        <v>52</v>
      </c>
      <c r="E5787" s="1" t="s">
        <v>6</v>
      </c>
      <c r="F5787" s="1" t="s">
        <v>5091</v>
      </c>
      <c r="G5787" s="14" t="s">
        <v>16106</v>
      </c>
      <c r="H5787" s="1" t="s">
        <v>5</v>
      </c>
      <c r="I5787" s="1">
        <v>1998</v>
      </c>
    </row>
    <row r="5788" spans="1:10">
      <c r="A5788" s="7" t="s">
        <v>16115</v>
      </c>
      <c r="B5788" s="2" t="s">
        <v>2628</v>
      </c>
      <c r="C5788" s="1">
        <v>321</v>
      </c>
      <c r="D5788" s="1" t="s">
        <v>52</v>
      </c>
      <c r="E5788" s="1" t="s">
        <v>6</v>
      </c>
      <c r="F5788" s="1" t="s">
        <v>5091</v>
      </c>
      <c r="G5788" s="14" t="s">
        <v>16116</v>
      </c>
      <c r="H5788" s="1" t="s">
        <v>5</v>
      </c>
      <c r="I5788" s="1">
        <v>1998</v>
      </c>
    </row>
    <row r="5789" spans="1:10">
      <c r="A5789" s="7" t="s">
        <v>16117</v>
      </c>
      <c r="B5789" s="2" t="s">
        <v>2628</v>
      </c>
      <c r="C5789" s="1">
        <v>321</v>
      </c>
      <c r="D5789" s="1" t="s">
        <v>52</v>
      </c>
      <c r="E5789" s="1" t="s">
        <v>6</v>
      </c>
      <c r="F5789" s="1" t="s">
        <v>5091</v>
      </c>
      <c r="G5789" s="14" t="s">
        <v>16118</v>
      </c>
      <c r="H5789" s="1" t="s">
        <v>5</v>
      </c>
      <c r="I5789" s="1">
        <v>1998</v>
      </c>
    </row>
    <row r="5790" spans="1:10">
      <c r="A5790" s="7" t="s">
        <v>16119</v>
      </c>
      <c r="B5790" s="2" t="s">
        <v>2628</v>
      </c>
      <c r="C5790" s="1">
        <v>321</v>
      </c>
      <c r="D5790" s="1" t="s">
        <v>52</v>
      </c>
      <c r="E5790" s="1" t="s">
        <v>6</v>
      </c>
      <c r="F5790" s="1" t="s">
        <v>5091</v>
      </c>
      <c r="G5790" s="14" t="s">
        <v>16120</v>
      </c>
      <c r="H5790" s="1" t="s">
        <v>5</v>
      </c>
      <c r="I5790" s="1" t="s">
        <v>5807</v>
      </c>
      <c r="J5790" s="17"/>
    </row>
    <row r="5791" spans="1:10">
      <c r="A5791" s="7" t="s">
        <v>16121</v>
      </c>
      <c r="B5791" s="2" t="s">
        <v>2628</v>
      </c>
      <c r="C5791" s="1">
        <v>321</v>
      </c>
      <c r="D5791" s="1" t="s">
        <v>52</v>
      </c>
      <c r="E5791" s="1" t="s">
        <v>6</v>
      </c>
      <c r="F5791" s="1" t="s">
        <v>5091</v>
      </c>
      <c r="G5791" s="14" t="s">
        <v>16106</v>
      </c>
      <c r="H5791" s="1" t="s">
        <v>5</v>
      </c>
      <c r="I5791" s="1">
        <v>1998</v>
      </c>
    </row>
    <row r="5792" spans="1:10">
      <c r="A5792" s="7" t="s">
        <v>16122</v>
      </c>
      <c r="B5792" s="2" t="s">
        <v>2628</v>
      </c>
      <c r="C5792" s="1">
        <v>321</v>
      </c>
      <c r="D5792" s="1" t="s">
        <v>52</v>
      </c>
      <c r="E5792" s="1" t="s">
        <v>6</v>
      </c>
      <c r="F5792" s="1" t="s">
        <v>5091</v>
      </c>
      <c r="G5792" s="14" t="s">
        <v>16123</v>
      </c>
      <c r="H5792" s="1" t="s">
        <v>5</v>
      </c>
      <c r="I5792" s="1" t="s">
        <v>5807</v>
      </c>
      <c r="J5792" s="17"/>
    </row>
    <row r="5793" spans="1:9">
      <c r="A5793" s="7" t="s">
        <v>16146</v>
      </c>
      <c r="B5793" s="2" t="s">
        <v>2628</v>
      </c>
      <c r="C5793" s="1">
        <v>321</v>
      </c>
      <c r="D5793" s="1" t="s">
        <v>52</v>
      </c>
      <c r="E5793" s="1" t="s">
        <v>6</v>
      </c>
      <c r="F5793" s="1" t="s">
        <v>5091</v>
      </c>
      <c r="G5793" s="14" t="s">
        <v>6236</v>
      </c>
      <c r="H5793" s="1" t="s">
        <v>43</v>
      </c>
      <c r="I5793" s="1" t="s">
        <v>5807</v>
      </c>
    </row>
    <row r="5794" spans="1:9">
      <c r="A5794" s="7" t="s">
        <v>16147</v>
      </c>
      <c r="B5794" s="2" t="s">
        <v>2628</v>
      </c>
      <c r="C5794" s="1">
        <v>321</v>
      </c>
      <c r="D5794" s="1" t="s">
        <v>52</v>
      </c>
      <c r="E5794" s="1" t="s">
        <v>6</v>
      </c>
      <c r="F5794" s="1" t="s">
        <v>5091</v>
      </c>
      <c r="G5794" s="14" t="s">
        <v>6236</v>
      </c>
      <c r="H5794" s="1" t="s">
        <v>43</v>
      </c>
      <c r="I5794" s="1" t="s">
        <v>5807</v>
      </c>
    </row>
    <row r="5795" spans="1:9">
      <c r="A5795" s="7" t="s">
        <v>16150</v>
      </c>
      <c r="B5795" s="2" t="s">
        <v>2628</v>
      </c>
      <c r="C5795" s="1">
        <v>321</v>
      </c>
      <c r="D5795" s="1" t="s">
        <v>52</v>
      </c>
      <c r="E5795" s="1" t="s">
        <v>6</v>
      </c>
      <c r="F5795" s="1" t="s">
        <v>5091</v>
      </c>
      <c r="G5795" s="22" t="s">
        <v>6181</v>
      </c>
      <c r="H5795" s="2" t="s">
        <v>118</v>
      </c>
      <c r="I5795" s="1" t="s">
        <v>4458</v>
      </c>
    </row>
    <row r="5796" spans="1:9">
      <c r="A5796" s="7" t="s">
        <v>16151</v>
      </c>
      <c r="B5796" s="2" t="s">
        <v>2628</v>
      </c>
      <c r="C5796" s="1">
        <v>321</v>
      </c>
      <c r="D5796" s="1" t="s">
        <v>52</v>
      </c>
      <c r="E5796" s="1" t="s">
        <v>6</v>
      </c>
      <c r="F5796" s="1" t="s">
        <v>5091</v>
      </c>
      <c r="G5796" s="22" t="s">
        <v>6181</v>
      </c>
      <c r="H5796" s="2" t="s">
        <v>118</v>
      </c>
      <c r="I5796" s="1" t="s">
        <v>4458</v>
      </c>
    </row>
    <row r="5797" spans="1:9">
      <c r="A5797" s="7" t="s">
        <v>16153</v>
      </c>
      <c r="B5797" s="2" t="s">
        <v>2628</v>
      </c>
      <c r="C5797" s="1">
        <v>321</v>
      </c>
      <c r="D5797" s="1" t="s">
        <v>52</v>
      </c>
      <c r="E5797" s="1" t="s">
        <v>6</v>
      </c>
      <c r="F5797" s="1" t="s">
        <v>5091</v>
      </c>
      <c r="G5797" s="14" t="s">
        <v>16154</v>
      </c>
      <c r="H5797" s="1" t="s">
        <v>43</v>
      </c>
      <c r="I5797" s="1" t="s">
        <v>5807</v>
      </c>
    </row>
    <row r="5798" spans="1:9">
      <c r="A5798" s="7" t="s">
        <v>16155</v>
      </c>
      <c r="B5798" s="2" t="s">
        <v>2628</v>
      </c>
      <c r="C5798" s="1">
        <v>321</v>
      </c>
      <c r="D5798" s="1" t="s">
        <v>52</v>
      </c>
      <c r="E5798" s="1" t="s">
        <v>6</v>
      </c>
      <c r="F5798" s="1" t="s">
        <v>5091</v>
      </c>
      <c r="G5798" s="14" t="s">
        <v>16154</v>
      </c>
      <c r="H5798" s="1" t="s">
        <v>43</v>
      </c>
      <c r="I5798" s="1" t="s">
        <v>5807</v>
      </c>
    </row>
    <row r="5799" spans="1:9">
      <c r="A5799" s="7" t="s">
        <v>16156</v>
      </c>
      <c r="B5799" s="2" t="s">
        <v>2628</v>
      </c>
      <c r="C5799" s="1">
        <v>321</v>
      </c>
      <c r="D5799" s="1" t="s">
        <v>52</v>
      </c>
      <c r="E5799" s="1" t="s">
        <v>6</v>
      </c>
      <c r="F5799" s="1" t="s">
        <v>5091</v>
      </c>
      <c r="G5799" s="14" t="s">
        <v>16154</v>
      </c>
      <c r="H5799" s="1" t="s">
        <v>43</v>
      </c>
      <c r="I5799" s="1" t="s">
        <v>5807</v>
      </c>
    </row>
    <row r="5800" spans="1:9">
      <c r="A5800" s="7" t="s">
        <v>16157</v>
      </c>
      <c r="B5800" s="2" t="s">
        <v>2628</v>
      </c>
      <c r="C5800" s="1">
        <v>321</v>
      </c>
      <c r="D5800" s="1" t="s">
        <v>52</v>
      </c>
      <c r="E5800" s="1" t="s">
        <v>6</v>
      </c>
      <c r="F5800" s="1" t="s">
        <v>5091</v>
      </c>
      <c r="G5800" s="14" t="s">
        <v>16158</v>
      </c>
      <c r="H5800" s="1" t="s">
        <v>43</v>
      </c>
      <c r="I5800" s="1" t="s">
        <v>5807</v>
      </c>
    </row>
    <row r="5801" spans="1:9">
      <c r="A5801" s="7" t="s">
        <v>16159</v>
      </c>
      <c r="B5801" s="2" t="s">
        <v>2628</v>
      </c>
      <c r="C5801" s="1">
        <v>321</v>
      </c>
      <c r="D5801" s="1" t="s">
        <v>52</v>
      </c>
      <c r="E5801" s="1" t="s">
        <v>6</v>
      </c>
      <c r="F5801" s="1" t="s">
        <v>5091</v>
      </c>
      <c r="G5801" s="14" t="s">
        <v>16154</v>
      </c>
      <c r="H5801" s="1" t="s">
        <v>43</v>
      </c>
      <c r="I5801" s="1" t="s">
        <v>5807</v>
      </c>
    </row>
    <row r="5802" spans="1:9">
      <c r="A5802" s="7" t="s">
        <v>16160</v>
      </c>
      <c r="B5802" s="2" t="s">
        <v>2628</v>
      </c>
      <c r="C5802" s="1">
        <v>321</v>
      </c>
      <c r="D5802" s="1" t="s">
        <v>52</v>
      </c>
      <c r="E5802" s="1" t="s">
        <v>6</v>
      </c>
      <c r="F5802" s="1" t="s">
        <v>5091</v>
      </c>
      <c r="G5802" s="14" t="s">
        <v>16154</v>
      </c>
      <c r="H5802" s="1" t="s">
        <v>43</v>
      </c>
      <c r="I5802" s="1" t="s">
        <v>5807</v>
      </c>
    </row>
    <row r="5803" spans="1:9">
      <c r="A5803" s="7" t="s">
        <v>16161</v>
      </c>
      <c r="B5803" s="2" t="s">
        <v>2628</v>
      </c>
      <c r="C5803" s="1">
        <v>321</v>
      </c>
      <c r="D5803" s="1" t="s">
        <v>52</v>
      </c>
      <c r="E5803" s="1" t="s">
        <v>6</v>
      </c>
      <c r="F5803" s="1" t="s">
        <v>5091</v>
      </c>
      <c r="G5803" s="14" t="s">
        <v>16154</v>
      </c>
      <c r="H5803" s="1" t="s">
        <v>43</v>
      </c>
      <c r="I5803" s="1" t="s">
        <v>5807</v>
      </c>
    </row>
    <row r="5804" spans="1:9">
      <c r="A5804" s="7" t="s">
        <v>16162</v>
      </c>
      <c r="B5804" s="2" t="s">
        <v>2628</v>
      </c>
      <c r="C5804" s="1">
        <v>321</v>
      </c>
      <c r="D5804" s="1" t="s">
        <v>52</v>
      </c>
      <c r="E5804" s="1" t="s">
        <v>6</v>
      </c>
      <c r="F5804" s="1" t="s">
        <v>5091</v>
      </c>
      <c r="G5804" s="14" t="s">
        <v>16163</v>
      </c>
      <c r="H5804" s="1" t="s">
        <v>43</v>
      </c>
      <c r="I5804" s="1" t="s">
        <v>5807</v>
      </c>
    </row>
    <row r="5805" spans="1:9">
      <c r="A5805" s="7" t="s">
        <v>16164</v>
      </c>
      <c r="B5805" s="2" t="s">
        <v>2628</v>
      </c>
      <c r="C5805" s="1">
        <v>321</v>
      </c>
      <c r="D5805" s="1" t="s">
        <v>52</v>
      </c>
      <c r="E5805" s="1" t="s">
        <v>6</v>
      </c>
      <c r="F5805" s="1" t="s">
        <v>5091</v>
      </c>
      <c r="G5805" s="14" t="s">
        <v>16154</v>
      </c>
      <c r="H5805" s="1" t="s">
        <v>43</v>
      </c>
      <c r="I5805" s="1" t="s">
        <v>5807</v>
      </c>
    </row>
    <row r="5806" spans="1:9">
      <c r="A5806" s="7" t="s">
        <v>16165</v>
      </c>
      <c r="B5806" s="2" t="s">
        <v>2628</v>
      </c>
      <c r="C5806" s="1">
        <v>321</v>
      </c>
      <c r="D5806" s="1" t="s">
        <v>52</v>
      </c>
      <c r="E5806" s="1" t="s">
        <v>6</v>
      </c>
      <c r="F5806" s="1" t="s">
        <v>5091</v>
      </c>
      <c r="G5806" s="14" t="s">
        <v>16158</v>
      </c>
      <c r="H5806" s="1" t="s">
        <v>43</v>
      </c>
      <c r="I5806" s="1" t="s">
        <v>5807</v>
      </c>
    </row>
    <row r="5807" spans="1:9">
      <c r="A5807" s="7" t="s">
        <v>16166</v>
      </c>
      <c r="B5807" s="2" t="s">
        <v>2628</v>
      </c>
      <c r="C5807" s="1">
        <v>321</v>
      </c>
      <c r="D5807" s="1" t="s">
        <v>52</v>
      </c>
      <c r="E5807" s="1" t="s">
        <v>6</v>
      </c>
      <c r="F5807" s="1" t="s">
        <v>5091</v>
      </c>
      <c r="G5807" s="14" t="s">
        <v>16154</v>
      </c>
      <c r="H5807" s="1" t="s">
        <v>43</v>
      </c>
      <c r="I5807" s="1" t="s">
        <v>5807</v>
      </c>
    </row>
    <row r="5808" spans="1:9">
      <c r="A5808" s="7" t="s">
        <v>16167</v>
      </c>
      <c r="B5808" s="2" t="s">
        <v>2628</v>
      </c>
      <c r="C5808" s="1">
        <v>321</v>
      </c>
      <c r="D5808" s="1" t="s">
        <v>52</v>
      </c>
      <c r="E5808" s="1" t="s">
        <v>6</v>
      </c>
      <c r="F5808" s="1" t="s">
        <v>5091</v>
      </c>
      <c r="G5808" s="14" t="s">
        <v>16154</v>
      </c>
      <c r="H5808" s="1" t="s">
        <v>43</v>
      </c>
      <c r="I5808" s="1" t="s">
        <v>5807</v>
      </c>
    </row>
    <row r="5809" spans="1:10">
      <c r="A5809" s="7" t="s">
        <v>16168</v>
      </c>
      <c r="B5809" s="2" t="s">
        <v>2628</v>
      </c>
      <c r="C5809" s="1">
        <v>321</v>
      </c>
      <c r="D5809" s="1" t="s">
        <v>52</v>
      </c>
      <c r="E5809" s="1" t="s">
        <v>6</v>
      </c>
      <c r="F5809" s="1" t="s">
        <v>5091</v>
      </c>
      <c r="G5809" s="14" t="s">
        <v>16154</v>
      </c>
      <c r="H5809" s="1" t="s">
        <v>43</v>
      </c>
      <c r="I5809" s="1" t="s">
        <v>5807</v>
      </c>
    </row>
    <row r="5810" spans="1:10">
      <c r="A5810" s="7" t="s">
        <v>16169</v>
      </c>
      <c r="B5810" s="2" t="s">
        <v>2628</v>
      </c>
      <c r="C5810" s="1">
        <v>321</v>
      </c>
      <c r="D5810" s="1" t="s">
        <v>52</v>
      </c>
      <c r="E5810" s="1" t="s">
        <v>6</v>
      </c>
      <c r="F5810" s="1" t="s">
        <v>5091</v>
      </c>
      <c r="G5810" s="14" t="s">
        <v>16154</v>
      </c>
      <c r="H5810" s="1" t="s">
        <v>43</v>
      </c>
      <c r="I5810" s="1" t="s">
        <v>5807</v>
      </c>
    </row>
    <row r="5811" spans="1:10">
      <c r="A5811" s="7" t="s">
        <v>16172</v>
      </c>
      <c r="B5811" s="2" t="s">
        <v>2628</v>
      </c>
      <c r="C5811" s="1">
        <v>321</v>
      </c>
      <c r="D5811" s="1" t="s">
        <v>52</v>
      </c>
      <c r="E5811" s="1" t="s">
        <v>6</v>
      </c>
      <c r="F5811" s="1" t="s">
        <v>5091</v>
      </c>
      <c r="G5811" s="14" t="s">
        <v>16163</v>
      </c>
      <c r="H5811" s="1" t="s">
        <v>43</v>
      </c>
      <c r="I5811" s="1" t="s">
        <v>5807</v>
      </c>
    </row>
    <row r="5812" spans="1:10">
      <c r="A5812" s="7" t="s">
        <v>16186</v>
      </c>
      <c r="B5812" s="2" t="s">
        <v>2628</v>
      </c>
      <c r="C5812" s="1">
        <v>2041</v>
      </c>
      <c r="D5812" s="1" t="s">
        <v>52</v>
      </c>
      <c r="E5812" s="1" t="s">
        <v>6</v>
      </c>
      <c r="F5812" s="1" t="s">
        <v>5091</v>
      </c>
      <c r="G5812" s="22" t="s">
        <v>6181</v>
      </c>
      <c r="H5812" s="2" t="s">
        <v>118</v>
      </c>
      <c r="I5812" s="1" t="s">
        <v>4458</v>
      </c>
    </row>
    <row r="5813" spans="1:10">
      <c r="A5813" s="7" t="s">
        <v>16211</v>
      </c>
      <c r="B5813" s="2" t="s">
        <v>2628</v>
      </c>
      <c r="C5813" s="1">
        <v>321</v>
      </c>
      <c r="D5813" s="1" t="s">
        <v>52</v>
      </c>
      <c r="E5813" s="1" t="s">
        <v>6</v>
      </c>
      <c r="F5813" s="1" t="s">
        <v>5091</v>
      </c>
      <c r="G5813" s="14" t="s">
        <v>4803</v>
      </c>
      <c r="H5813" s="1" t="s">
        <v>5</v>
      </c>
      <c r="I5813" s="1" t="s">
        <v>6844</v>
      </c>
    </row>
    <row r="5814" spans="1:10">
      <c r="A5814" s="7" t="s">
        <v>16221</v>
      </c>
      <c r="B5814" s="2" t="s">
        <v>2628</v>
      </c>
      <c r="C5814" s="1">
        <v>321</v>
      </c>
      <c r="D5814" s="1" t="s">
        <v>52</v>
      </c>
      <c r="E5814" s="1" t="s">
        <v>6</v>
      </c>
      <c r="F5814" s="1" t="s">
        <v>5091</v>
      </c>
      <c r="G5814" s="14" t="s">
        <v>16222</v>
      </c>
      <c r="H5814" s="1" t="s">
        <v>315</v>
      </c>
      <c r="I5814" s="1" t="s">
        <v>5807</v>
      </c>
      <c r="J5814" s="17"/>
    </row>
    <row r="5815" spans="1:10">
      <c r="A5815" s="7" t="s">
        <v>16225</v>
      </c>
      <c r="B5815" s="2" t="s">
        <v>2628</v>
      </c>
      <c r="C5815" s="1">
        <v>321</v>
      </c>
      <c r="D5815" s="1" t="s">
        <v>52</v>
      </c>
      <c r="E5815" s="1" t="s">
        <v>6</v>
      </c>
      <c r="F5815" s="1" t="s">
        <v>5091</v>
      </c>
      <c r="G5815" s="14" t="s">
        <v>16226</v>
      </c>
      <c r="H5815" s="1" t="s">
        <v>5</v>
      </c>
      <c r="I5815" s="1" t="s">
        <v>5659</v>
      </c>
    </row>
    <row r="5816" spans="1:10">
      <c r="A5816" s="7" t="s">
        <v>16228</v>
      </c>
      <c r="B5816" s="2" t="s">
        <v>2628</v>
      </c>
      <c r="C5816" s="1">
        <v>321</v>
      </c>
      <c r="D5816" s="1" t="s">
        <v>52</v>
      </c>
      <c r="E5816" s="1" t="s">
        <v>6</v>
      </c>
      <c r="F5816" s="1" t="s">
        <v>5091</v>
      </c>
      <c r="G5816" s="14" t="s">
        <v>2400</v>
      </c>
      <c r="H5816" s="1" t="s">
        <v>43</v>
      </c>
      <c r="I5816" s="1">
        <v>2009</v>
      </c>
    </row>
    <row r="5817" spans="1:10">
      <c r="A5817" s="7" t="s">
        <v>16233</v>
      </c>
      <c r="B5817" s="2" t="s">
        <v>2628</v>
      </c>
      <c r="C5817" s="1">
        <v>321</v>
      </c>
      <c r="D5817" s="1" t="s">
        <v>52</v>
      </c>
      <c r="E5817" s="1" t="s">
        <v>6</v>
      </c>
      <c r="F5817" s="1" t="s">
        <v>5091</v>
      </c>
      <c r="G5817" s="14" t="s">
        <v>2400</v>
      </c>
      <c r="H5817" s="1" t="s">
        <v>43</v>
      </c>
      <c r="I5817" s="1" t="s">
        <v>5659</v>
      </c>
    </row>
    <row r="5818" spans="1:10">
      <c r="A5818" s="7" t="s">
        <v>16243</v>
      </c>
      <c r="B5818" s="2" t="s">
        <v>2628</v>
      </c>
      <c r="C5818" s="1">
        <v>321</v>
      </c>
      <c r="D5818" s="1" t="s">
        <v>52</v>
      </c>
      <c r="E5818" s="1" t="s">
        <v>6</v>
      </c>
      <c r="F5818" s="1" t="s">
        <v>5091</v>
      </c>
      <c r="G5818" s="14" t="s">
        <v>6139</v>
      </c>
      <c r="H5818" s="1" t="s">
        <v>43</v>
      </c>
      <c r="I5818" s="1" t="s">
        <v>5807</v>
      </c>
    </row>
    <row r="5819" spans="1:10">
      <c r="A5819" s="7" t="s">
        <v>16244</v>
      </c>
      <c r="B5819" s="2" t="s">
        <v>2628</v>
      </c>
      <c r="C5819" s="1">
        <v>321</v>
      </c>
      <c r="D5819" s="1" t="s">
        <v>52</v>
      </c>
      <c r="E5819" s="1" t="s">
        <v>6</v>
      </c>
      <c r="F5819" s="1" t="s">
        <v>5091</v>
      </c>
      <c r="G5819" s="14" t="s">
        <v>6139</v>
      </c>
      <c r="H5819" s="1" t="s">
        <v>43</v>
      </c>
      <c r="I5819" s="1" t="s">
        <v>5807</v>
      </c>
    </row>
    <row r="5820" spans="1:10">
      <c r="A5820" s="7" t="s">
        <v>16247</v>
      </c>
      <c r="B5820" s="2" t="s">
        <v>2628</v>
      </c>
      <c r="C5820" s="1">
        <v>321</v>
      </c>
      <c r="D5820" s="1" t="s">
        <v>52</v>
      </c>
      <c r="E5820" s="1" t="s">
        <v>6</v>
      </c>
      <c r="F5820" s="1" t="s">
        <v>5091</v>
      </c>
      <c r="G5820" s="14" t="s">
        <v>6236</v>
      </c>
      <c r="H5820" s="1" t="s">
        <v>43</v>
      </c>
      <c r="I5820" s="1" t="s">
        <v>5807</v>
      </c>
    </row>
    <row r="5821" spans="1:10">
      <c r="A5821" s="7" t="s">
        <v>16256</v>
      </c>
      <c r="B5821" s="2" t="s">
        <v>2628</v>
      </c>
      <c r="C5821" s="1">
        <v>2041</v>
      </c>
      <c r="D5821" s="1" t="s">
        <v>52</v>
      </c>
      <c r="E5821" s="1" t="s">
        <v>6</v>
      </c>
      <c r="F5821" s="1" t="s">
        <v>5091</v>
      </c>
      <c r="G5821" s="22" t="s">
        <v>6181</v>
      </c>
      <c r="H5821" s="2" t="s">
        <v>118</v>
      </c>
      <c r="I5821" s="1" t="s">
        <v>4458</v>
      </c>
    </row>
    <row r="5822" spans="1:10">
      <c r="A5822" s="7" t="s">
        <v>16266</v>
      </c>
      <c r="B5822" s="2" t="s">
        <v>2628</v>
      </c>
      <c r="C5822" s="1">
        <v>321</v>
      </c>
      <c r="D5822" s="1" t="s">
        <v>52</v>
      </c>
      <c r="E5822" s="1" t="s">
        <v>6</v>
      </c>
      <c r="F5822" s="1" t="s">
        <v>5091</v>
      </c>
      <c r="G5822" s="14" t="s">
        <v>6186</v>
      </c>
      <c r="H5822" s="1" t="s">
        <v>5</v>
      </c>
      <c r="I5822" s="1" t="s">
        <v>5807</v>
      </c>
      <c r="J5822" s="17"/>
    </row>
    <row r="5823" spans="1:10">
      <c r="A5823" s="7" t="s">
        <v>16267</v>
      </c>
      <c r="B5823" s="2" t="s">
        <v>2628</v>
      </c>
      <c r="C5823" s="1">
        <v>321</v>
      </c>
      <c r="D5823" s="1" t="s">
        <v>52</v>
      </c>
      <c r="E5823" s="1" t="s">
        <v>6</v>
      </c>
      <c r="F5823" s="1" t="s">
        <v>5091</v>
      </c>
      <c r="G5823" s="14" t="s">
        <v>6139</v>
      </c>
      <c r="H5823" s="1" t="s">
        <v>43</v>
      </c>
      <c r="I5823" s="1" t="s">
        <v>5807</v>
      </c>
    </row>
    <row r="5824" spans="1:10">
      <c r="A5824" s="7" t="s">
        <v>16268</v>
      </c>
      <c r="B5824" s="2" t="s">
        <v>2628</v>
      </c>
      <c r="C5824" s="1">
        <v>321</v>
      </c>
      <c r="D5824" s="1" t="s">
        <v>52</v>
      </c>
      <c r="E5824" s="1" t="s">
        <v>6</v>
      </c>
      <c r="F5824" s="1" t="s">
        <v>5091</v>
      </c>
      <c r="G5824" s="14" t="s">
        <v>6139</v>
      </c>
      <c r="H5824" s="1" t="s">
        <v>43</v>
      </c>
      <c r="I5824" s="1" t="s">
        <v>5807</v>
      </c>
    </row>
    <row r="5825" spans="1:10">
      <c r="A5825" s="7" t="s">
        <v>16269</v>
      </c>
      <c r="B5825" s="2" t="s">
        <v>2628</v>
      </c>
      <c r="C5825" s="1">
        <v>321</v>
      </c>
      <c r="D5825" s="1" t="s">
        <v>52</v>
      </c>
      <c r="E5825" s="1" t="s">
        <v>6</v>
      </c>
      <c r="F5825" s="1" t="s">
        <v>5091</v>
      </c>
      <c r="G5825" s="14" t="s">
        <v>6139</v>
      </c>
      <c r="H5825" s="1" t="s">
        <v>43</v>
      </c>
      <c r="I5825" s="1" t="s">
        <v>5807</v>
      </c>
    </row>
    <row r="5826" spans="1:10">
      <c r="A5826" s="7" t="s">
        <v>16271</v>
      </c>
      <c r="B5826" s="2" t="s">
        <v>2628</v>
      </c>
      <c r="C5826" s="1">
        <v>321</v>
      </c>
      <c r="D5826" s="1" t="s">
        <v>52</v>
      </c>
      <c r="E5826" s="1" t="s">
        <v>6</v>
      </c>
      <c r="F5826" s="1" t="s">
        <v>5091</v>
      </c>
      <c r="G5826" s="14" t="s">
        <v>16272</v>
      </c>
      <c r="H5826" s="1" t="s">
        <v>5</v>
      </c>
      <c r="I5826" s="1" t="s">
        <v>5807</v>
      </c>
      <c r="J5826" s="17"/>
    </row>
    <row r="5827" spans="1:10">
      <c r="A5827" s="7" t="s">
        <v>16273</v>
      </c>
      <c r="B5827" s="2" t="s">
        <v>2628</v>
      </c>
      <c r="C5827" s="1">
        <v>321</v>
      </c>
      <c r="D5827" s="1" t="s">
        <v>52</v>
      </c>
      <c r="E5827" s="1" t="s">
        <v>6</v>
      </c>
      <c r="F5827" s="1" t="s">
        <v>5091</v>
      </c>
      <c r="G5827" s="14" t="s">
        <v>16272</v>
      </c>
      <c r="H5827" s="1" t="s">
        <v>5</v>
      </c>
      <c r="I5827" s="1" t="s">
        <v>5807</v>
      </c>
      <c r="J5827" s="17"/>
    </row>
    <row r="5828" spans="1:10">
      <c r="A5828" s="7" t="s">
        <v>16299</v>
      </c>
      <c r="B5828" s="2" t="s">
        <v>2628</v>
      </c>
      <c r="C5828" s="1">
        <v>321</v>
      </c>
      <c r="D5828" s="1" t="s">
        <v>52</v>
      </c>
      <c r="E5828" s="1" t="s">
        <v>6</v>
      </c>
      <c r="F5828" s="1" t="s">
        <v>5091</v>
      </c>
      <c r="G5828" s="14" t="s">
        <v>16300</v>
      </c>
      <c r="H5828" s="1" t="s">
        <v>43</v>
      </c>
      <c r="I5828" s="1" t="s">
        <v>5807</v>
      </c>
    </row>
    <row r="5829" spans="1:10">
      <c r="A5829" s="7" t="s">
        <v>16356</v>
      </c>
      <c r="B5829" s="1" t="s">
        <v>2628</v>
      </c>
      <c r="C5829" s="1">
        <v>321</v>
      </c>
      <c r="D5829" s="1" t="s">
        <v>52</v>
      </c>
      <c r="E5829" s="1" t="s">
        <v>6</v>
      </c>
      <c r="F5829" s="1" t="s">
        <v>5091</v>
      </c>
      <c r="G5829" s="1" t="s">
        <v>10705</v>
      </c>
      <c r="H5829" s="1" t="s">
        <v>44</v>
      </c>
      <c r="I5829" s="1" t="s">
        <v>5848</v>
      </c>
    </row>
    <row r="5830" spans="1:10">
      <c r="A5830" s="7" t="s">
        <v>16357</v>
      </c>
      <c r="B5830" s="1" t="s">
        <v>2628</v>
      </c>
      <c r="C5830" s="1">
        <v>321</v>
      </c>
      <c r="D5830" s="1" t="s">
        <v>52</v>
      </c>
      <c r="E5830" s="1" t="s">
        <v>6</v>
      </c>
      <c r="F5830" s="1" t="s">
        <v>5091</v>
      </c>
      <c r="G5830" s="1" t="s">
        <v>10705</v>
      </c>
      <c r="H5830" s="1" t="s">
        <v>44</v>
      </c>
      <c r="I5830" s="1" t="s">
        <v>5848</v>
      </c>
    </row>
    <row r="5831" spans="1:10">
      <c r="A5831" s="7" t="s">
        <v>16358</v>
      </c>
      <c r="B5831" s="1" t="s">
        <v>2628</v>
      </c>
      <c r="C5831" s="1">
        <v>321</v>
      </c>
      <c r="D5831" s="1" t="s">
        <v>52</v>
      </c>
      <c r="E5831" s="1" t="s">
        <v>6</v>
      </c>
      <c r="F5831" s="1" t="s">
        <v>5091</v>
      </c>
      <c r="G5831" s="1" t="s">
        <v>10705</v>
      </c>
      <c r="H5831" s="1" t="s">
        <v>44</v>
      </c>
      <c r="I5831" s="1" t="s">
        <v>5848</v>
      </c>
    </row>
    <row r="5832" spans="1:10">
      <c r="A5832" s="7" t="s">
        <v>16376</v>
      </c>
      <c r="B5832" s="1" t="s">
        <v>2628</v>
      </c>
      <c r="C5832" s="1">
        <v>321</v>
      </c>
      <c r="D5832" s="1" t="s">
        <v>52</v>
      </c>
      <c r="E5832" s="1" t="s">
        <v>6</v>
      </c>
      <c r="F5832" s="1" t="s">
        <v>5091</v>
      </c>
      <c r="G5832" s="1" t="s">
        <v>10705</v>
      </c>
      <c r="H5832" s="1" t="s">
        <v>44</v>
      </c>
      <c r="I5832" s="1" t="s">
        <v>5848</v>
      </c>
    </row>
    <row r="5833" spans="1:10">
      <c r="A5833" s="7" t="s">
        <v>16465</v>
      </c>
      <c r="B5833" s="1" t="s">
        <v>2628</v>
      </c>
      <c r="C5833" s="1">
        <v>321</v>
      </c>
      <c r="D5833" s="1" t="s">
        <v>52</v>
      </c>
      <c r="E5833" s="1" t="s">
        <v>6</v>
      </c>
      <c r="F5833" s="1" t="s">
        <v>5091</v>
      </c>
      <c r="G5833" s="1" t="s">
        <v>10705</v>
      </c>
      <c r="H5833" s="1" t="s">
        <v>44</v>
      </c>
      <c r="I5833" s="1" t="s">
        <v>5848</v>
      </c>
    </row>
    <row r="5834" spans="1:10">
      <c r="A5834" s="7" t="s">
        <v>16492</v>
      </c>
      <c r="B5834" s="1" t="s">
        <v>2628</v>
      </c>
      <c r="C5834" s="1">
        <v>321</v>
      </c>
      <c r="D5834" s="1" t="s">
        <v>52</v>
      </c>
      <c r="E5834" s="1" t="s">
        <v>6</v>
      </c>
      <c r="F5834" s="1" t="s">
        <v>5091</v>
      </c>
      <c r="G5834" s="1" t="s">
        <v>10705</v>
      </c>
      <c r="H5834" s="1" t="s">
        <v>44</v>
      </c>
      <c r="I5834" s="1" t="s">
        <v>5848</v>
      </c>
    </row>
    <row r="5835" spans="1:10">
      <c r="A5835" s="7" t="s">
        <v>16501</v>
      </c>
      <c r="B5835" s="1" t="s">
        <v>2628</v>
      </c>
      <c r="C5835" s="1">
        <v>321</v>
      </c>
      <c r="D5835" s="1" t="s">
        <v>52</v>
      </c>
      <c r="E5835" s="1" t="s">
        <v>6</v>
      </c>
      <c r="F5835" s="1" t="s">
        <v>5091</v>
      </c>
      <c r="G5835" s="1" t="s">
        <v>10705</v>
      </c>
      <c r="H5835" s="1" t="s">
        <v>44</v>
      </c>
      <c r="I5835" s="1" t="s">
        <v>5848</v>
      </c>
    </row>
    <row r="5836" spans="1:10">
      <c r="A5836" s="7" t="s">
        <v>16533</v>
      </c>
      <c r="B5836" s="2" t="s">
        <v>2628</v>
      </c>
      <c r="C5836" s="1">
        <v>321</v>
      </c>
      <c r="D5836" s="1" t="s">
        <v>52</v>
      </c>
      <c r="E5836" s="1" t="s">
        <v>6</v>
      </c>
      <c r="F5836" s="1" t="s">
        <v>5091</v>
      </c>
      <c r="G5836" s="14" t="s">
        <v>6139</v>
      </c>
      <c r="H5836" s="1" t="s">
        <v>43</v>
      </c>
      <c r="I5836" s="1" t="s">
        <v>5807</v>
      </c>
    </row>
    <row r="5837" spans="1:10">
      <c r="A5837" s="7" t="s">
        <v>16534</v>
      </c>
      <c r="B5837" s="2" t="s">
        <v>2628</v>
      </c>
      <c r="C5837" s="1">
        <v>321</v>
      </c>
      <c r="D5837" s="1" t="s">
        <v>52</v>
      </c>
      <c r="E5837" s="1" t="s">
        <v>6</v>
      </c>
      <c r="F5837" s="1" t="s">
        <v>5091</v>
      </c>
      <c r="G5837" s="14" t="s">
        <v>6139</v>
      </c>
      <c r="H5837" s="1" t="s">
        <v>43</v>
      </c>
      <c r="I5837" s="1" t="s">
        <v>5807</v>
      </c>
    </row>
    <row r="5838" spans="1:10">
      <c r="A5838" s="7" t="s">
        <v>16535</v>
      </c>
      <c r="B5838" s="2" t="s">
        <v>2628</v>
      </c>
      <c r="C5838" s="1">
        <v>321</v>
      </c>
      <c r="D5838" s="1" t="s">
        <v>52</v>
      </c>
      <c r="E5838" s="1" t="s">
        <v>6</v>
      </c>
      <c r="F5838" s="1" t="s">
        <v>5091</v>
      </c>
      <c r="G5838" s="14" t="s">
        <v>6139</v>
      </c>
      <c r="H5838" s="1" t="s">
        <v>43</v>
      </c>
      <c r="I5838" s="1" t="s">
        <v>5807</v>
      </c>
    </row>
    <row r="5839" spans="1:10">
      <c r="A5839" s="7" t="s">
        <v>16536</v>
      </c>
      <c r="B5839" s="2" t="s">
        <v>2628</v>
      </c>
      <c r="C5839" s="1">
        <v>321</v>
      </c>
      <c r="D5839" s="1" t="s">
        <v>52</v>
      </c>
      <c r="E5839" s="1" t="s">
        <v>6</v>
      </c>
      <c r="F5839" s="1" t="s">
        <v>5091</v>
      </c>
      <c r="G5839" s="14" t="s">
        <v>6139</v>
      </c>
      <c r="H5839" s="1" t="s">
        <v>43</v>
      </c>
      <c r="I5839" s="1" t="s">
        <v>5807</v>
      </c>
    </row>
    <row r="5840" spans="1:10">
      <c r="A5840" s="7" t="s">
        <v>16540</v>
      </c>
      <c r="B5840" s="2" t="s">
        <v>2628</v>
      </c>
      <c r="C5840" s="1">
        <v>321</v>
      </c>
      <c r="D5840" s="1" t="s">
        <v>52</v>
      </c>
      <c r="E5840" s="1" t="s">
        <v>6</v>
      </c>
      <c r="F5840" s="1" t="s">
        <v>5091</v>
      </c>
      <c r="G5840" s="14" t="s">
        <v>6139</v>
      </c>
      <c r="H5840" s="1" t="s">
        <v>43</v>
      </c>
      <c r="I5840" s="1" t="s">
        <v>5807</v>
      </c>
    </row>
    <row r="5841" spans="1:10">
      <c r="A5841" s="7" t="s">
        <v>16541</v>
      </c>
      <c r="B5841" s="2" t="s">
        <v>2628</v>
      </c>
      <c r="C5841" s="1">
        <v>321</v>
      </c>
      <c r="D5841" s="1" t="s">
        <v>52</v>
      </c>
      <c r="E5841" s="1" t="s">
        <v>6</v>
      </c>
      <c r="F5841" s="1" t="s">
        <v>5091</v>
      </c>
      <c r="G5841" s="14" t="s">
        <v>6139</v>
      </c>
      <c r="H5841" s="1" t="s">
        <v>43</v>
      </c>
      <c r="I5841" s="1" t="s">
        <v>5807</v>
      </c>
    </row>
    <row r="5842" spans="1:10">
      <c r="A5842" s="7" t="s">
        <v>16542</v>
      </c>
      <c r="B5842" s="2" t="s">
        <v>2628</v>
      </c>
      <c r="C5842" s="1">
        <v>321</v>
      </c>
      <c r="D5842" s="1" t="s">
        <v>52</v>
      </c>
      <c r="E5842" s="1" t="s">
        <v>6</v>
      </c>
      <c r="F5842" s="1" t="s">
        <v>5091</v>
      </c>
      <c r="G5842" s="14" t="s">
        <v>6139</v>
      </c>
      <c r="H5842" s="1" t="s">
        <v>43</v>
      </c>
      <c r="I5842" s="1" t="s">
        <v>5807</v>
      </c>
    </row>
    <row r="5843" spans="1:10">
      <c r="A5843" s="7" t="s">
        <v>16543</v>
      </c>
      <c r="B5843" s="2" t="s">
        <v>2628</v>
      </c>
      <c r="C5843" s="1">
        <v>321</v>
      </c>
      <c r="D5843" s="1" t="s">
        <v>52</v>
      </c>
      <c r="E5843" s="1" t="s">
        <v>6</v>
      </c>
      <c r="F5843" s="1" t="s">
        <v>5091</v>
      </c>
      <c r="G5843" s="14" t="s">
        <v>6186</v>
      </c>
      <c r="H5843" s="1" t="s">
        <v>5</v>
      </c>
      <c r="I5843" s="1" t="s">
        <v>5807</v>
      </c>
      <c r="J5843" s="17"/>
    </row>
    <row r="5844" spans="1:10">
      <c r="A5844" s="7" t="s">
        <v>16549</v>
      </c>
      <c r="B5844" s="2" t="s">
        <v>2628</v>
      </c>
      <c r="C5844" s="1">
        <v>321</v>
      </c>
      <c r="D5844" s="1" t="s">
        <v>52</v>
      </c>
      <c r="E5844" s="1" t="s">
        <v>6</v>
      </c>
      <c r="F5844" s="1" t="s">
        <v>5091</v>
      </c>
      <c r="G5844" s="14" t="s">
        <v>9621</v>
      </c>
      <c r="H5844" s="1" t="s">
        <v>5</v>
      </c>
      <c r="I5844" s="1" t="s">
        <v>5807</v>
      </c>
      <c r="J5844" s="17"/>
    </row>
    <row r="5845" spans="1:10">
      <c r="A5845" s="7" t="s">
        <v>16554</v>
      </c>
      <c r="B5845" s="2" t="s">
        <v>2628</v>
      </c>
      <c r="C5845" s="1">
        <v>321</v>
      </c>
      <c r="D5845" s="1" t="s">
        <v>52</v>
      </c>
      <c r="E5845" s="1" t="s">
        <v>6</v>
      </c>
      <c r="F5845" s="1" t="s">
        <v>5091</v>
      </c>
      <c r="G5845" s="14" t="s">
        <v>6186</v>
      </c>
      <c r="H5845" s="1" t="s">
        <v>5</v>
      </c>
      <c r="I5845" s="1" t="s">
        <v>4789</v>
      </c>
    </row>
    <row r="5846" spans="1:10">
      <c r="A5846" s="7" t="s">
        <v>16699</v>
      </c>
      <c r="B5846" s="2" t="s">
        <v>2628</v>
      </c>
      <c r="C5846" s="1">
        <v>2041</v>
      </c>
      <c r="D5846" s="1" t="s">
        <v>52</v>
      </c>
      <c r="E5846" s="1" t="s">
        <v>6</v>
      </c>
      <c r="F5846" s="1" t="s">
        <v>5091</v>
      </c>
      <c r="G5846" s="22" t="s">
        <v>6181</v>
      </c>
      <c r="H5846" s="2" t="s">
        <v>118</v>
      </c>
      <c r="I5846" s="1" t="s">
        <v>4458</v>
      </c>
    </row>
    <row r="5847" spans="1:10">
      <c r="A5847" s="7" t="s">
        <v>16700</v>
      </c>
      <c r="B5847" s="2" t="s">
        <v>2628</v>
      </c>
      <c r="C5847" s="1">
        <v>321</v>
      </c>
      <c r="D5847" s="1" t="s">
        <v>52</v>
      </c>
      <c r="E5847" s="1" t="s">
        <v>6</v>
      </c>
      <c r="F5847" s="1" t="s">
        <v>5091</v>
      </c>
      <c r="G5847" s="14" t="s">
        <v>6236</v>
      </c>
      <c r="H5847" s="1" t="s">
        <v>43</v>
      </c>
      <c r="I5847" s="1" t="s">
        <v>5807</v>
      </c>
    </row>
    <row r="5848" spans="1:10">
      <c r="A5848" s="7" t="s">
        <v>16721</v>
      </c>
      <c r="B5848" s="2" t="s">
        <v>2628</v>
      </c>
      <c r="C5848" s="1">
        <v>321</v>
      </c>
      <c r="D5848" s="1" t="s">
        <v>52</v>
      </c>
      <c r="E5848" s="1" t="s">
        <v>6</v>
      </c>
      <c r="F5848" s="1" t="s">
        <v>5091</v>
      </c>
      <c r="G5848" s="14" t="s">
        <v>6145</v>
      </c>
      <c r="H5848" s="1" t="s">
        <v>43</v>
      </c>
      <c r="I5848" s="1" t="s">
        <v>5807</v>
      </c>
    </row>
    <row r="5849" spans="1:10">
      <c r="A5849" s="7" t="s">
        <v>16722</v>
      </c>
      <c r="B5849" s="2" t="s">
        <v>2628</v>
      </c>
      <c r="C5849" s="1">
        <v>321</v>
      </c>
      <c r="D5849" s="1" t="s">
        <v>52</v>
      </c>
      <c r="E5849" s="1" t="s">
        <v>6</v>
      </c>
      <c r="F5849" s="1" t="s">
        <v>5091</v>
      </c>
      <c r="G5849" s="14" t="s">
        <v>6145</v>
      </c>
      <c r="H5849" s="1" t="s">
        <v>43</v>
      </c>
      <c r="I5849" s="1" t="s">
        <v>5807</v>
      </c>
    </row>
    <row r="5850" spans="1:10">
      <c r="A5850" s="7" t="s">
        <v>16725</v>
      </c>
      <c r="B5850" s="2" t="s">
        <v>2628</v>
      </c>
      <c r="C5850" s="1">
        <v>321</v>
      </c>
      <c r="D5850" s="1" t="s">
        <v>52</v>
      </c>
      <c r="E5850" s="1" t="s">
        <v>6</v>
      </c>
      <c r="F5850" s="1" t="s">
        <v>5091</v>
      </c>
      <c r="G5850" s="14" t="s">
        <v>6145</v>
      </c>
      <c r="H5850" s="1" t="s">
        <v>43</v>
      </c>
      <c r="I5850" s="1" t="s">
        <v>5807</v>
      </c>
    </row>
    <row r="5851" spans="1:10">
      <c r="A5851" s="7" t="s">
        <v>16727</v>
      </c>
      <c r="B5851" s="2" t="s">
        <v>2628</v>
      </c>
      <c r="C5851" s="1">
        <v>321</v>
      </c>
      <c r="D5851" s="1" t="s">
        <v>52</v>
      </c>
      <c r="E5851" s="1" t="s">
        <v>6</v>
      </c>
      <c r="F5851" s="1" t="s">
        <v>5091</v>
      </c>
      <c r="G5851" s="14" t="s">
        <v>6145</v>
      </c>
      <c r="H5851" s="1" t="s">
        <v>43</v>
      </c>
      <c r="I5851" s="1" t="s">
        <v>5807</v>
      </c>
    </row>
    <row r="5852" spans="1:10">
      <c r="A5852" s="7" t="s">
        <v>16735</v>
      </c>
      <c r="B5852" s="2" t="s">
        <v>2628</v>
      </c>
      <c r="C5852" s="1">
        <v>321</v>
      </c>
      <c r="D5852" s="1" t="s">
        <v>52</v>
      </c>
      <c r="E5852" s="1" t="s">
        <v>6</v>
      </c>
      <c r="F5852" s="1" t="s">
        <v>5091</v>
      </c>
      <c r="G5852" s="14" t="s">
        <v>6145</v>
      </c>
      <c r="H5852" s="1" t="s">
        <v>43</v>
      </c>
      <c r="I5852" s="1" t="s">
        <v>5807</v>
      </c>
    </row>
    <row r="5853" spans="1:10">
      <c r="A5853" s="7" t="s">
        <v>16737</v>
      </c>
      <c r="B5853" s="2" t="s">
        <v>2628</v>
      </c>
      <c r="C5853" s="1">
        <v>321</v>
      </c>
      <c r="D5853" s="1" t="s">
        <v>52</v>
      </c>
      <c r="E5853" s="1" t="s">
        <v>6</v>
      </c>
      <c r="F5853" s="1" t="s">
        <v>5091</v>
      </c>
      <c r="G5853" s="14" t="s">
        <v>6145</v>
      </c>
      <c r="H5853" s="1" t="s">
        <v>43</v>
      </c>
      <c r="I5853" s="1" t="s">
        <v>5807</v>
      </c>
    </row>
    <row r="5854" spans="1:10">
      <c r="A5854" s="7" t="s">
        <v>16740</v>
      </c>
      <c r="B5854" s="2" t="s">
        <v>2628</v>
      </c>
      <c r="C5854" s="1">
        <v>321</v>
      </c>
      <c r="D5854" s="1" t="s">
        <v>52</v>
      </c>
      <c r="E5854" s="1" t="s">
        <v>6</v>
      </c>
      <c r="F5854" s="1" t="s">
        <v>5091</v>
      </c>
      <c r="G5854" s="14" t="s">
        <v>6145</v>
      </c>
      <c r="H5854" s="1" t="s">
        <v>43</v>
      </c>
      <c r="I5854" s="1" t="s">
        <v>5807</v>
      </c>
    </row>
    <row r="5855" spans="1:10">
      <c r="A5855" s="7" t="s">
        <v>16741</v>
      </c>
      <c r="B5855" s="2" t="s">
        <v>2628</v>
      </c>
      <c r="C5855" s="1">
        <v>321</v>
      </c>
      <c r="D5855" s="1" t="s">
        <v>52</v>
      </c>
      <c r="E5855" s="1" t="s">
        <v>6</v>
      </c>
      <c r="F5855" s="1" t="s">
        <v>5091</v>
      </c>
      <c r="G5855" s="14" t="s">
        <v>6145</v>
      </c>
      <c r="H5855" s="1" t="s">
        <v>43</v>
      </c>
      <c r="I5855" s="1" t="s">
        <v>5807</v>
      </c>
    </row>
    <row r="5856" spans="1:10">
      <c r="A5856" s="7" t="s">
        <v>16742</v>
      </c>
      <c r="B5856" s="2" t="s">
        <v>2628</v>
      </c>
      <c r="C5856" s="1">
        <v>321</v>
      </c>
      <c r="D5856" s="1" t="s">
        <v>52</v>
      </c>
      <c r="E5856" s="1" t="s">
        <v>6</v>
      </c>
      <c r="F5856" s="1" t="s">
        <v>5091</v>
      </c>
      <c r="G5856" s="14" t="s">
        <v>6145</v>
      </c>
      <c r="H5856" s="1" t="s">
        <v>43</v>
      </c>
      <c r="I5856" s="1" t="s">
        <v>5807</v>
      </c>
    </row>
    <row r="5857" spans="1:9">
      <c r="A5857" s="7" t="s">
        <v>16744</v>
      </c>
      <c r="B5857" s="2" t="s">
        <v>2628</v>
      </c>
      <c r="C5857" s="1">
        <v>321</v>
      </c>
      <c r="D5857" s="1" t="s">
        <v>52</v>
      </c>
      <c r="E5857" s="1" t="s">
        <v>6</v>
      </c>
      <c r="F5857" s="1" t="s">
        <v>5091</v>
      </c>
      <c r="G5857" s="14" t="s">
        <v>6145</v>
      </c>
      <c r="H5857" s="1" t="s">
        <v>43</v>
      </c>
      <c r="I5857" s="1" t="s">
        <v>5807</v>
      </c>
    </row>
    <row r="5858" spans="1:9">
      <c r="A5858" s="7" t="s">
        <v>16745</v>
      </c>
      <c r="B5858" s="2" t="s">
        <v>2628</v>
      </c>
      <c r="C5858" s="1">
        <v>321</v>
      </c>
      <c r="D5858" s="1" t="s">
        <v>52</v>
      </c>
      <c r="E5858" s="1" t="s">
        <v>6</v>
      </c>
      <c r="F5858" s="1" t="s">
        <v>5091</v>
      </c>
      <c r="G5858" s="14" t="s">
        <v>6145</v>
      </c>
      <c r="H5858" s="1" t="s">
        <v>43</v>
      </c>
      <c r="I5858" s="1" t="s">
        <v>5807</v>
      </c>
    </row>
    <row r="5859" spans="1:9">
      <c r="A5859" s="7" t="s">
        <v>16746</v>
      </c>
      <c r="B5859" s="2" t="s">
        <v>2628</v>
      </c>
      <c r="C5859" s="1">
        <v>321</v>
      </c>
      <c r="D5859" s="1" t="s">
        <v>52</v>
      </c>
      <c r="E5859" s="1" t="s">
        <v>6</v>
      </c>
      <c r="F5859" s="1" t="s">
        <v>5091</v>
      </c>
      <c r="G5859" s="14" t="s">
        <v>6145</v>
      </c>
      <c r="H5859" s="1" t="s">
        <v>43</v>
      </c>
      <c r="I5859" s="1" t="s">
        <v>5807</v>
      </c>
    </row>
    <row r="5860" spans="1:9">
      <c r="A5860" s="7" t="s">
        <v>16752</v>
      </c>
      <c r="B5860" s="2" t="s">
        <v>2628</v>
      </c>
      <c r="C5860" s="1">
        <v>321</v>
      </c>
      <c r="D5860" s="1" t="s">
        <v>52</v>
      </c>
      <c r="E5860" s="1" t="s">
        <v>6</v>
      </c>
      <c r="F5860" s="1" t="s">
        <v>5091</v>
      </c>
      <c r="G5860" s="14" t="s">
        <v>6145</v>
      </c>
      <c r="H5860" s="1" t="s">
        <v>43</v>
      </c>
      <c r="I5860" s="1" t="s">
        <v>5807</v>
      </c>
    </row>
    <row r="5861" spans="1:9">
      <c r="A5861" s="7" t="s">
        <v>16753</v>
      </c>
      <c r="B5861" s="2" t="s">
        <v>2628</v>
      </c>
      <c r="C5861" s="1">
        <v>321</v>
      </c>
      <c r="D5861" s="1" t="s">
        <v>52</v>
      </c>
      <c r="E5861" s="1" t="s">
        <v>6</v>
      </c>
      <c r="F5861" s="1" t="s">
        <v>5091</v>
      </c>
      <c r="G5861" s="14" t="s">
        <v>6145</v>
      </c>
      <c r="H5861" s="1" t="s">
        <v>43</v>
      </c>
      <c r="I5861" s="1" t="s">
        <v>5807</v>
      </c>
    </row>
    <row r="5862" spans="1:9">
      <c r="A5862" s="7" t="s">
        <v>16754</v>
      </c>
      <c r="B5862" s="2" t="s">
        <v>2628</v>
      </c>
      <c r="C5862" s="1">
        <v>321</v>
      </c>
      <c r="D5862" s="1" t="s">
        <v>52</v>
      </c>
      <c r="E5862" s="1" t="s">
        <v>6</v>
      </c>
      <c r="F5862" s="1" t="s">
        <v>5091</v>
      </c>
      <c r="G5862" s="14" t="s">
        <v>6145</v>
      </c>
      <c r="H5862" s="1" t="s">
        <v>43</v>
      </c>
      <c r="I5862" s="1" t="s">
        <v>5807</v>
      </c>
    </row>
    <row r="5863" spans="1:9">
      <c r="A5863" s="7" t="s">
        <v>16761</v>
      </c>
      <c r="B5863" s="2" t="s">
        <v>2628</v>
      </c>
      <c r="C5863" s="1">
        <v>321</v>
      </c>
      <c r="D5863" s="1" t="s">
        <v>52</v>
      </c>
      <c r="E5863" s="1" t="s">
        <v>6</v>
      </c>
      <c r="F5863" s="1" t="s">
        <v>5091</v>
      </c>
      <c r="G5863" s="14" t="s">
        <v>6236</v>
      </c>
      <c r="H5863" s="1" t="s">
        <v>43</v>
      </c>
      <c r="I5863" s="1" t="s">
        <v>6844</v>
      </c>
    </row>
    <row r="5864" spans="1:9">
      <c r="A5864" s="7" t="s">
        <v>16762</v>
      </c>
      <c r="B5864" s="2" t="s">
        <v>2628</v>
      </c>
      <c r="C5864" s="1">
        <v>321</v>
      </c>
      <c r="D5864" s="1" t="s">
        <v>52</v>
      </c>
      <c r="E5864" s="1" t="s">
        <v>6</v>
      </c>
      <c r="F5864" s="1" t="s">
        <v>5091</v>
      </c>
      <c r="G5864" s="14" t="s">
        <v>6145</v>
      </c>
      <c r="H5864" s="1" t="s">
        <v>43</v>
      </c>
      <c r="I5864" s="1" t="s">
        <v>5807</v>
      </c>
    </row>
    <row r="5865" spans="1:9">
      <c r="A5865" s="7" t="s">
        <v>16764</v>
      </c>
      <c r="B5865" s="2" t="s">
        <v>2628</v>
      </c>
      <c r="C5865" s="1">
        <v>321</v>
      </c>
      <c r="D5865" s="1" t="s">
        <v>52</v>
      </c>
      <c r="E5865" s="1" t="s">
        <v>6</v>
      </c>
      <c r="F5865" s="1" t="s">
        <v>5091</v>
      </c>
      <c r="G5865" s="14" t="s">
        <v>6145</v>
      </c>
      <c r="H5865" s="1" t="s">
        <v>43</v>
      </c>
      <c r="I5865" s="1" t="s">
        <v>5807</v>
      </c>
    </row>
    <row r="5866" spans="1:9">
      <c r="A5866" s="7" t="s">
        <v>16765</v>
      </c>
      <c r="B5866" s="2" t="s">
        <v>2628</v>
      </c>
      <c r="C5866" s="1">
        <v>321</v>
      </c>
      <c r="D5866" s="1" t="s">
        <v>52</v>
      </c>
      <c r="E5866" s="1" t="s">
        <v>6</v>
      </c>
      <c r="F5866" s="1" t="s">
        <v>5091</v>
      </c>
      <c r="G5866" s="14" t="s">
        <v>6145</v>
      </c>
      <c r="H5866" s="1" t="s">
        <v>43</v>
      </c>
      <c r="I5866" s="1" t="s">
        <v>5807</v>
      </c>
    </row>
    <row r="5867" spans="1:9">
      <c r="A5867" s="7" t="s">
        <v>16766</v>
      </c>
      <c r="B5867" s="2" t="s">
        <v>2628</v>
      </c>
      <c r="C5867" s="1">
        <v>321</v>
      </c>
      <c r="D5867" s="1" t="s">
        <v>52</v>
      </c>
      <c r="E5867" s="1" t="s">
        <v>6</v>
      </c>
      <c r="F5867" s="1" t="s">
        <v>5091</v>
      </c>
      <c r="G5867" s="14" t="s">
        <v>6145</v>
      </c>
      <c r="H5867" s="1" t="s">
        <v>43</v>
      </c>
      <c r="I5867" s="1" t="s">
        <v>5807</v>
      </c>
    </row>
    <row r="5868" spans="1:9">
      <c r="A5868" s="7" t="s">
        <v>16768</v>
      </c>
      <c r="B5868" s="2" t="s">
        <v>2628</v>
      </c>
      <c r="C5868" s="1">
        <v>321</v>
      </c>
      <c r="D5868" s="1" t="s">
        <v>52</v>
      </c>
      <c r="E5868" s="1" t="s">
        <v>6</v>
      </c>
      <c r="F5868" s="1" t="s">
        <v>5091</v>
      </c>
      <c r="G5868" s="14" t="s">
        <v>6145</v>
      </c>
      <c r="H5868" s="1" t="s">
        <v>43</v>
      </c>
      <c r="I5868" s="1" t="s">
        <v>5807</v>
      </c>
    </row>
    <row r="5869" spans="1:9">
      <c r="A5869" s="7" t="s">
        <v>16769</v>
      </c>
      <c r="B5869" s="2" t="s">
        <v>2628</v>
      </c>
      <c r="C5869" s="1">
        <v>321</v>
      </c>
      <c r="D5869" s="1" t="s">
        <v>52</v>
      </c>
      <c r="E5869" s="1" t="s">
        <v>6</v>
      </c>
      <c r="F5869" s="1" t="s">
        <v>5091</v>
      </c>
      <c r="G5869" s="14" t="s">
        <v>6145</v>
      </c>
      <c r="H5869" s="1" t="s">
        <v>43</v>
      </c>
      <c r="I5869" s="1" t="s">
        <v>5807</v>
      </c>
    </row>
    <row r="5870" spans="1:9">
      <c r="A5870" s="7" t="s">
        <v>16770</v>
      </c>
      <c r="B5870" s="2" t="s">
        <v>2628</v>
      </c>
      <c r="C5870" s="1">
        <v>321</v>
      </c>
      <c r="D5870" s="1" t="s">
        <v>52</v>
      </c>
      <c r="E5870" s="1" t="s">
        <v>6</v>
      </c>
      <c r="F5870" s="1" t="s">
        <v>5091</v>
      </c>
      <c r="G5870" s="14" t="s">
        <v>6145</v>
      </c>
      <c r="H5870" s="1" t="s">
        <v>43</v>
      </c>
      <c r="I5870" s="1" t="s">
        <v>5807</v>
      </c>
    </row>
    <row r="5871" spans="1:9">
      <c r="A5871" s="7" t="s">
        <v>16811</v>
      </c>
      <c r="B5871" s="2" t="s">
        <v>2628</v>
      </c>
      <c r="C5871" s="1">
        <v>321</v>
      </c>
      <c r="D5871" s="1" t="s">
        <v>52</v>
      </c>
      <c r="E5871" s="1" t="s">
        <v>6</v>
      </c>
      <c r="F5871" s="1" t="s">
        <v>5091</v>
      </c>
      <c r="G5871" s="14" t="s">
        <v>16812</v>
      </c>
      <c r="H5871" s="1" t="s">
        <v>5</v>
      </c>
      <c r="I5871" s="1">
        <v>2007</v>
      </c>
    </row>
    <row r="5872" spans="1:9">
      <c r="A5872" s="7" t="s">
        <v>16814</v>
      </c>
      <c r="B5872" s="2" t="s">
        <v>2628</v>
      </c>
      <c r="C5872" s="1">
        <v>321</v>
      </c>
      <c r="D5872" s="1" t="s">
        <v>52</v>
      </c>
      <c r="E5872" s="1" t="s">
        <v>6</v>
      </c>
      <c r="F5872" s="1" t="s">
        <v>5091</v>
      </c>
      <c r="G5872" s="14" t="s">
        <v>16815</v>
      </c>
      <c r="H5872" s="1" t="s">
        <v>43</v>
      </c>
      <c r="I5872" s="1">
        <v>2007</v>
      </c>
    </row>
    <row r="5873" spans="1:10">
      <c r="A5873" s="7" t="s">
        <v>16817</v>
      </c>
      <c r="B5873" s="2" t="s">
        <v>2628</v>
      </c>
      <c r="C5873" s="1">
        <v>321</v>
      </c>
      <c r="D5873" s="1" t="s">
        <v>52</v>
      </c>
      <c r="E5873" s="1" t="s">
        <v>6</v>
      </c>
      <c r="F5873" s="1" t="s">
        <v>5091</v>
      </c>
      <c r="G5873" s="14" t="s">
        <v>16818</v>
      </c>
      <c r="H5873" s="1" t="s">
        <v>43</v>
      </c>
      <c r="I5873" s="1">
        <v>2007</v>
      </c>
    </row>
    <row r="5874" spans="1:10">
      <c r="A5874" s="7" t="s">
        <v>16821</v>
      </c>
      <c r="B5874" s="2" t="s">
        <v>2628</v>
      </c>
      <c r="C5874" s="1">
        <v>321</v>
      </c>
      <c r="D5874" s="1" t="s">
        <v>52</v>
      </c>
      <c r="E5874" s="1" t="s">
        <v>6</v>
      </c>
      <c r="F5874" s="1" t="s">
        <v>5091</v>
      </c>
      <c r="G5874" s="14" t="s">
        <v>16810</v>
      </c>
      <c r="H5874" s="1" t="s">
        <v>43</v>
      </c>
      <c r="I5874" s="1">
        <v>2007</v>
      </c>
    </row>
    <row r="5875" spans="1:10">
      <c r="A5875" s="7" t="s">
        <v>16836</v>
      </c>
      <c r="B5875" s="2" t="s">
        <v>2628</v>
      </c>
      <c r="C5875" s="1">
        <v>321</v>
      </c>
      <c r="D5875" s="1" t="s">
        <v>52</v>
      </c>
      <c r="E5875" s="1" t="s">
        <v>6</v>
      </c>
      <c r="F5875" s="1" t="s">
        <v>5091</v>
      </c>
      <c r="G5875" s="22" t="s">
        <v>6181</v>
      </c>
      <c r="H5875" s="2" t="s">
        <v>118</v>
      </c>
      <c r="I5875" s="1" t="s">
        <v>4458</v>
      </c>
    </row>
    <row r="5876" spans="1:10">
      <c r="A5876" s="7" t="s">
        <v>4995</v>
      </c>
      <c r="B5876" s="1" t="s">
        <v>2629</v>
      </c>
      <c r="C5876" s="1">
        <v>37</v>
      </c>
      <c r="D5876" s="1" t="s">
        <v>39</v>
      </c>
      <c r="E5876" s="1" t="s">
        <v>6</v>
      </c>
      <c r="F5876" s="1" t="s">
        <v>118</v>
      </c>
      <c r="G5876" s="1" t="s">
        <v>4458</v>
      </c>
      <c r="H5876" s="1" t="s">
        <v>118</v>
      </c>
      <c r="I5876" s="1" t="s">
        <v>4792</v>
      </c>
    </row>
    <row r="5877" spans="1:10">
      <c r="A5877" s="7" t="s">
        <v>8008</v>
      </c>
      <c r="B5877" s="1" t="s">
        <v>2628</v>
      </c>
      <c r="C5877" s="1">
        <v>37</v>
      </c>
      <c r="D5877" s="1" t="s">
        <v>39</v>
      </c>
      <c r="E5877" s="1" t="s">
        <v>6</v>
      </c>
      <c r="F5877" s="1" t="s">
        <v>118</v>
      </c>
      <c r="G5877" s="1" t="s">
        <v>8009</v>
      </c>
      <c r="H5877" s="1" t="s">
        <v>5</v>
      </c>
      <c r="I5877" s="1" t="s">
        <v>5807</v>
      </c>
      <c r="J5877" s="17"/>
    </row>
    <row r="5878" spans="1:10">
      <c r="A5878" s="7" t="s">
        <v>7272</v>
      </c>
      <c r="B5878" s="1" t="s">
        <v>2628</v>
      </c>
      <c r="C5878" s="1">
        <v>388</v>
      </c>
      <c r="D5878" s="1" t="s">
        <v>223</v>
      </c>
      <c r="E5878" s="1" t="s">
        <v>10</v>
      </c>
      <c r="F5878" s="1" t="s">
        <v>5091</v>
      </c>
      <c r="G5878" s="1" t="s">
        <v>7273</v>
      </c>
      <c r="H5878" s="1" t="s">
        <v>44</v>
      </c>
      <c r="I5878" s="1" t="s">
        <v>6090</v>
      </c>
      <c r="J5878" s="17"/>
    </row>
    <row r="5879" spans="1:10">
      <c r="A5879" s="7" t="s">
        <v>16029</v>
      </c>
      <c r="B5879" s="2" t="s">
        <v>2628</v>
      </c>
      <c r="C5879" s="1">
        <v>558</v>
      </c>
      <c r="D5879" s="1" t="s">
        <v>223</v>
      </c>
      <c r="E5879" s="1" t="s">
        <v>10</v>
      </c>
      <c r="F5879" s="1" t="s">
        <v>5091</v>
      </c>
      <c r="G5879" s="22" t="s">
        <v>6181</v>
      </c>
      <c r="H5879" s="2" t="s">
        <v>118</v>
      </c>
      <c r="I5879" s="1" t="s">
        <v>4458</v>
      </c>
    </row>
    <row r="5880" spans="1:10">
      <c r="A5880" s="16" t="s">
        <v>4994</v>
      </c>
      <c r="B5880" s="1" t="s">
        <v>2631</v>
      </c>
      <c r="C5880" s="1">
        <v>4</v>
      </c>
      <c r="D5880" s="1" t="s">
        <v>764</v>
      </c>
      <c r="E5880" s="1" t="s">
        <v>10</v>
      </c>
      <c r="F5880" s="1" t="s">
        <v>118</v>
      </c>
      <c r="G5880" s="14" t="s">
        <v>4458</v>
      </c>
      <c r="H5880" s="1" t="s">
        <v>118</v>
      </c>
      <c r="I5880" s="1" t="s">
        <v>4792</v>
      </c>
    </row>
    <row r="5881" spans="1:10">
      <c r="A5881" s="7" t="s">
        <v>5544</v>
      </c>
      <c r="B5881" s="1" t="s">
        <v>2629</v>
      </c>
      <c r="C5881" s="1">
        <v>4</v>
      </c>
      <c r="D5881" s="1" t="s">
        <v>764</v>
      </c>
      <c r="E5881" s="1" t="s">
        <v>10</v>
      </c>
      <c r="F5881" s="1" t="s">
        <v>2699</v>
      </c>
      <c r="G5881" s="1" t="s">
        <v>4800</v>
      </c>
      <c r="H5881" s="1" t="s">
        <v>27</v>
      </c>
      <c r="I5881" s="17">
        <v>41275</v>
      </c>
    </row>
    <row r="5882" spans="1:10">
      <c r="A5882" s="7" t="s">
        <v>5612</v>
      </c>
      <c r="B5882" s="1" t="s">
        <v>2629</v>
      </c>
      <c r="C5882" s="1">
        <v>4</v>
      </c>
      <c r="D5882" s="1" t="s">
        <v>764</v>
      </c>
      <c r="E5882" s="1" t="s">
        <v>10</v>
      </c>
      <c r="F5882" s="1" t="s">
        <v>1112</v>
      </c>
      <c r="G5882" s="1" t="s">
        <v>4800</v>
      </c>
      <c r="H5882" s="1" t="s">
        <v>27</v>
      </c>
      <c r="I5882" s="17">
        <v>40909</v>
      </c>
    </row>
    <row r="5883" spans="1:10">
      <c r="A5883" s="16" t="s">
        <v>15214</v>
      </c>
      <c r="B5883" s="1" t="s">
        <v>2631</v>
      </c>
      <c r="C5883" s="1">
        <v>219</v>
      </c>
      <c r="D5883" s="1" t="s">
        <v>764</v>
      </c>
      <c r="E5883" s="1" t="s">
        <v>10</v>
      </c>
      <c r="F5883" s="1" t="s">
        <v>5241</v>
      </c>
      <c r="G5883" s="1" t="s">
        <v>4800</v>
      </c>
      <c r="H5883" s="1" t="s">
        <v>27</v>
      </c>
      <c r="I5883" s="17">
        <v>43282</v>
      </c>
    </row>
    <row r="5884" spans="1:10">
      <c r="A5884" s="16" t="s">
        <v>11496</v>
      </c>
      <c r="B5884" s="1" t="s">
        <v>2628</v>
      </c>
      <c r="C5884" s="1">
        <v>394</v>
      </c>
      <c r="D5884" s="1" t="s">
        <v>534</v>
      </c>
      <c r="E5884" s="1" t="s">
        <v>6</v>
      </c>
      <c r="F5884" s="1" t="s">
        <v>5241</v>
      </c>
      <c r="G5884" s="14" t="s">
        <v>4800</v>
      </c>
      <c r="H5884" s="1" t="s">
        <v>27</v>
      </c>
      <c r="I5884" s="17">
        <v>41609</v>
      </c>
    </row>
    <row r="5885" spans="1:10">
      <c r="A5885" s="16" t="s">
        <v>14039</v>
      </c>
      <c r="B5885" s="1" t="s">
        <v>2628</v>
      </c>
      <c r="C5885" s="1">
        <v>394</v>
      </c>
      <c r="D5885" s="1" t="s">
        <v>534</v>
      </c>
      <c r="E5885" s="1" t="s">
        <v>6</v>
      </c>
      <c r="F5885" s="1" t="s">
        <v>5241</v>
      </c>
      <c r="G5885" s="14" t="s">
        <v>4800</v>
      </c>
      <c r="H5885" s="1" t="s">
        <v>27</v>
      </c>
      <c r="I5885" s="17">
        <v>41609</v>
      </c>
    </row>
    <row r="5886" spans="1:10">
      <c r="A5886" s="16" t="s">
        <v>14248</v>
      </c>
      <c r="B5886" s="1" t="s">
        <v>2628</v>
      </c>
      <c r="C5886" s="1">
        <v>394</v>
      </c>
      <c r="D5886" s="1" t="s">
        <v>534</v>
      </c>
      <c r="E5886" s="1" t="s">
        <v>6</v>
      </c>
      <c r="F5886" s="1" t="s">
        <v>5241</v>
      </c>
      <c r="G5886" s="14" t="s">
        <v>4800</v>
      </c>
      <c r="H5886" s="1" t="s">
        <v>27</v>
      </c>
      <c r="I5886" s="17">
        <v>42917</v>
      </c>
    </row>
    <row r="5887" spans="1:10">
      <c r="A5887" s="16" t="s">
        <v>14279</v>
      </c>
      <c r="B5887" s="1" t="s">
        <v>2628</v>
      </c>
      <c r="C5887" s="1">
        <v>394</v>
      </c>
      <c r="D5887" s="1" t="s">
        <v>534</v>
      </c>
      <c r="E5887" s="1" t="s">
        <v>6</v>
      </c>
      <c r="F5887" s="1" t="s">
        <v>5241</v>
      </c>
      <c r="G5887" s="14" t="s">
        <v>4800</v>
      </c>
      <c r="H5887" s="1" t="s">
        <v>27</v>
      </c>
      <c r="I5887" s="17">
        <v>42522</v>
      </c>
    </row>
    <row r="5888" spans="1:10">
      <c r="A5888" s="7" t="s">
        <v>14443</v>
      </c>
      <c r="B5888" s="2" t="s">
        <v>2628</v>
      </c>
      <c r="C5888" s="1">
        <v>394</v>
      </c>
      <c r="D5888" s="1" t="s">
        <v>534</v>
      </c>
      <c r="E5888" s="1" t="s">
        <v>6</v>
      </c>
      <c r="F5888" s="2" t="s">
        <v>118</v>
      </c>
      <c r="G5888" s="14" t="s">
        <v>4800</v>
      </c>
      <c r="H5888" s="1" t="s">
        <v>27</v>
      </c>
      <c r="I5888" s="1" t="s">
        <v>6844</v>
      </c>
    </row>
    <row r="5889" spans="1:9">
      <c r="A5889" s="7" t="s">
        <v>14457</v>
      </c>
      <c r="B5889" s="2" t="s">
        <v>2628</v>
      </c>
      <c r="C5889" s="1">
        <v>394</v>
      </c>
      <c r="D5889" s="1" t="s">
        <v>534</v>
      </c>
      <c r="E5889" s="1" t="s">
        <v>6</v>
      </c>
      <c r="F5889" s="2" t="s">
        <v>118</v>
      </c>
      <c r="G5889" s="14" t="s">
        <v>4800</v>
      </c>
      <c r="H5889" s="1" t="s">
        <v>27</v>
      </c>
      <c r="I5889" s="1" t="s">
        <v>6844</v>
      </c>
    </row>
    <row r="5890" spans="1:9">
      <c r="A5890" s="16" t="s">
        <v>15152</v>
      </c>
      <c r="B5890" s="1" t="s">
        <v>2628</v>
      </c>
      <c r="C5890" s="1">
        <v>394</v>
      </c>
      <c r="D5890" s="1" t="s">
        <v>534</v>
      </c>
      <c r="E5890" s="1" t="s">
        <v>6</v>
      </c>
      <c r="F5890" s="1" t="s">
        <v>5241</v>
      </c>
      <c r="G5890" s="14" t="s">
        <v>4458</v>
      </c>
      <c r="H5890" s="1" t="s">
        <v>118</v>
      </c>
      <c r="I5890" s="17">
        <v>41518</v>
      </c>
    </row>
    <row r="5891" spans="1:9">
      <c r="A5891" s="16" t="s">
        <v>15221</v>
      </c>
      <c r="B5891" s="1" t="s">
        <v>2628</v>
      </c>
      <c r="C5891" s="1">
        <v>394</v>
      </c>
      <c r="D5891" s="1" t="s">
        <v>534</v>
      </c>
      <c r="E5891" s="1" t="s">
        <v>6</v>
      </c>
      <c r="F5891" s="1" t="s">
        <v>5241</v>
      </c>
      <c r="G5891" s="14" t="s">
        <v>4458</v>
      </c>
      <c r="H5891" s="1" t="s">
        <v>118</v>
      </c>
      <c r="I5891" s="17">
        <v>41518</v>
      </c>
    </row>
    <row r="5892" spans="1:9">
      <c r="A5892" s="16" t="s">
        <v>15254</v>
      </c>
      <c r="B5892" s="1" t="s">
        <v>2628</v>
      </c>
      <c r="C5892" s="1">
        <v>394</v>
      </c>
      <c r="D5892" s="1" t="s">
        <v>534</v>
      </c>
      <c r="E5892" s="1" t="s">
        <v>6</v>
      </c>
      <c r="F5892" s="1" t="s">
        <v>5241</v>
      </c>
      <c r="G5892" s="14" t="s">
        <v>4803</v>
      </c>
      <c r="H5892" s="1" t="s">
        <v>5</v>
      </c>
      <c r="I5892" s="17">
        <v>41852</v>
      </c>
    </row>
    <row r="5893" spans="1:9">
      <c r="A5893" s="16" t="s">
        <v>9194</v>
      </c>
      <c r="B5893" s="1" t="s">
        <v>2628</v>
      </c>
      <c r="C5893" s="1">
        <v>426</v>
      </c>
      <c r="D5893" s="1" t="s">
        <v>9195</v>
      </c>
      <c r="E5893" s="1" t="s">
        <v>10</v>
      </c>
      <c r="F5893" s="1" t="s">
        <v>118</v>
      </c>
      <c r="G5893" s="14" t="s">
        <v>6145</v>
      </c>
      <c r="H5893" s="1" t="s">
        <v>43</v>
      </c>
      <c r="I5893" s="17">
        <v>42121</v>
      </c>
    </row>
    <row r="5894" spans="1:9">
      <c r="A5894" s="7" t="s">
        <v>4996</v>
      </c>
      <c r="B5894" s="1" t="s">
        <v>2629</v>
      </c>
      <c r="C5894" s="1">
        <v>504</v>
      </c>
      <c r="D5894" s="1" t="s">
        <v>75</v>
      </c>
      <c r="E5894" s="1" t="s">
        <v>6</v>
      </c>
      <c r="F5894" s="1" t="s">
        <v>118</v>
      </c>
      <c r="G5894" s="1" t="s">
        <v>4458</v>
      </c>
      <c r="H5894" s="1" t="s">
        <v>118</v>
      </c>
      <c r="I5894" s="1" t="s">
        <v>4792</v>
      </c>
    </row>
    <row r="5895" spans="1:9">
      <c r="A5895" s="7" t="s">
        <v>5435</v>
      </c>
      <c r="B5895" s="1" t="s">
        <v>2629</v>
      </c>
      <c r="C5895" s="1">
        <v>504</v>
      </c>
      <c r="D5895" s="1" t="s">
        <v>75</v>
      </c>
      <c r="E5895" s="1" t="s">
        <v>6</v>
      </c>
      <c r="F5895" s="1" t="s">
        <v>588</v>
      </c>
      <c r="G5895" s="1" t="s">
        <v>4800</v>
      </c>
      <c r="H5895" s="1" t="s">
        <v>27</v>
      </c>
      <c r="I5895" s="17">
        <v>42165</v>
      </c>
    </row>
    <row r="5896" spans="1:9">
      <c r="A5896" s="7" t="s">
        <v>5497</v>
      </c>
      <c r="B5896" s="1" t="s">
        <v>2629</v>
      </c>
      <c r="C5896" s="1">
        <v>504</v>
      </c>
      <c r="D5896" s="1" t="s">
        <v>75</v>
      </c>
      <c r="E5896" s="1" t="s">
        <v>6</v>
      </c>
      <c r="F5896" s="1" t="s">
        <v>2699</v>
      </c>
      <c r="G5896" s="1" t="s">
        <v>4800</v>
      </c>
      <c r="H5896" s="1" t="s">
        <v>27</v>
      </c>
      <c r="I5896" s="17">
        <v>40179</v>
      </c>
    </row>
    <row r="5897" spans="1:9">
      <c r="A5897" s="7" t="s">
        <v>5736</v>
      </c>
      <c r="B5897" s="2" t="s">
        <v>2631</v>
      </c>
      <c r="C5897" s="1">
        <v>489</v>
      </c>
      <c r="D5897" s="1" t="s">
        <v>434</v>
      </c>
      <c r="E5897" s="1" t="s">
        <v>10</v>
      </c>
      <c r="F5897" s="1" t="s">
        <v>5091</v>
      </c>
      <c r="G5897" s="14" t="s">
        <v>2277</v>
      </c>
      <c r="H5897" s="1" t="s">
        <v>5</v>
      </c>
      <c r="I5897" s="1" t="s">
        <v>5625</v>
      </c>
    </row>
    <row r="5898" spans="1:9">
      <c r="A5898" s="7" t="s">
        <v>5739</v>
      </c>
      <c r="B5898" s="2" t="s">
        <v>2631</v>
      </c>
      <c r="C5898" s="1">
        <v>489</v>
      </c>
      <c r="D5898" s="1" t="s">
        <v>434</v>
      </c>
      <c r="E5898" s="1" t="s">
        <v>10</v>
      </c>
      <c r="F5898" s="1" t="s">
        <v>118</v>
      </c>
      <c r="G5898" s="14" t="s">
        <v>2277</v>
      </c>
      <c r="H5898" s="1" t="s">
        <v>5</v>
      </c>
      <c r="I5898" s="1" t="s">
        <v>5625</v>
      </c>
    </row>
    <row r="5899" spans="1:9">
      <c r="A5899" s="7" t="s">
        <v>5788</v>
      </c>
      <c r="B5899" s="2" t="s">
        <v>2631</v>
      </c>
      <c r="C5899" s="1">
        <v>489</v>
      </c>
      <c r="D5899" s="1" t="s">
        <v>434</v>
      </c>
      <c r="E5899" s="1" t="s">
        <v>10</v>
      </c>
      <c r="F5899" s="1" t="s">
        <v>118</v>
      </c>
      <c r="G5899" s="14" t="s">
        <v>5781</v>
      </c>
      <c r="H5899" s="1" t="s">
        <v>5</v>
      </c>
      <c r="I5899" s="1" t="s">
        <v>5653</v>
      </c>
    </row>
    <row r="5900" spans="1:9">
      <c r="A5900" s="16" t="s">
        <v>8572</v>
      </c>
      <c r="B5900" s="1" t="s">
        <v>2628</v>
      </c>
      <c r="C5900" s="1">
        <v>489</v>
      </c>
      <c r="D5900" s="1" t="s">
        <v>434</v>
      </c>
      <c r="E5900" s="1" t="s">
        <v>10</v>
      </c>
      <c r="F5900" s="1" t="s">
        <v>5091</v>
      </c>
      <c r="G5900" s="14" t="s">
        <v>2399</v>
      </c>
      <c r="H5900" s="1" t="s">
        <v>43</v>
      </c>
      <c r="I5900" s="17">
        <v>40926</v>
      </c>
    </row>
    <row r="5901" spans="1:9">
      <c r="A5901" s="16" t="s">
        <v>8573</v>
      </c>
      <c r="B5901" s="1" t="s">
        <v>2628</v>
      </c>
      <c r="C5901" s="1">
        <v>489</v>
      </c>
      <c r="D5901" s="1" t="s">
        <v>434</v>
      </c>
      <c r="E5901" s="1" t="s">
        <v>10</v>
      </c>
      <c r="F5901" s="1" t="s">
        <v>5091</v>
      </c>
      <c r="G5901" s="14" t="s">
        <v>2399</v>
      </c>
      <c r="H5901" s="1" t="s">
        <v>43</v>
      </c>
      <c r="I5901" s="17">
        <v>40926</v>
      </c>
    </row>
    <row r="5902" spans="1:9">
      <c r="A5902" s="16" t="s">
        <v>9012</v>
      </c>
      <c r="B5902" s="1" t="s">
        <v>2628</v>
      </c>
      <c r="C5902" s="1">
        <v>489</v>
      </c>
      <c r="D5902" s="1" t="s">
        <v>434</v>
      </c>
      <c r="E5902" s="1" t="s">
        <v>10</v>
      </c>
      <c r="F5902" s="1" t="s">
        <v>5091</v>
      </c>
      <c r="G5902" s="14" t="s">
        <v>6145</v>
      </c>
      <c r="H5902" s="1" t="s">
        <v>43</v>
      </c>
      <c r="I5902" s="17">
        <v>42101</v>
      </c>
    </row>
    <row r="5903" spans="1:9">
      <c r="A5903" s="16" t="s">
        <v>10489</v>
      </c>
      <c r="B5903" s="1" t="s">
        <v>2628</v>
      </c>
      <c r="C5903" s="1">
        <v>489</v>
      </c>
      <c r="D5903" s="1" t="s">
        <v>434</v>
      </c>
      <c r="E5903" s="1" t="s">
        <v>10</v>
      </c>
      <c r="F5903" s="1" t="s">
        <v>5091</v>
      </c>
      <c r="G5903" s="14" t="s">
        <v>10490</v>
      </c>
      <c r="H5903" s="1" t="s">
        <v>5</v>
      </c>
      <c r="I5903" s="17">
        <v>38957</v>
      </c>
    </row>
    <row r="5904" spans="1:9">
      <c r="A5904" s="16" t="s">
        <v>10513</v>
      </c>
      <c r="B5904" s="1" t="s">
        <v>2631</v>
      </c>
      <c r="C5904" s="1">
        <v>489</v>
      </c>
      <c r="D5904" s="1" t="s">
        <v>434</v>
      </c>
      <c r="E5904" s="1" t="s">
        <v>10</v>
      </c>
      <c r="F5904" s="1" t="s">
        <v>5091</v>
      </c>
      <c r="G5904" s="1" t="s">
        <v>10514</v>
      </c>
      <c r="H5904" s="1" t="s">
        <v>5</v>
      </c>
      <c r="I5904" s="17">
        <v>39332</v>
      </c>
    </row>
    <row r="5905" spans="1:10">
      <c r="A5905" s="16" t="s">
        <v>10559</v>
      </c>
      <c r="B5905" s="1" t="s">
        <v>2631</v>
      </c>
      <c r="C5905" s="1">
        <v>489</v>
      </c>
      <c r="D5905" s="1" t="s">
        <v>434</v>
      </c>
      <c r="E5905" s="1" t="s">
        <v>10</v>
      </c>
      <c r="F5905" s="1" t="s">
        <v>5091</v>
      </c>
      <c r="G5905" s="1" t="s">
        <v>9553</v>
      </c>
      <c r="H5905" s="1" t="s">
        <v>5</v>
      </c>
      <c r="I5905" s="17">
        <v>39332</v>
      </c>
      <c r="J5905" s="17"/>
    </row>
    <row r="5906" spans="1:10">
      <c r="A5906" s="16" t="s">
        <v>11203</v>
      </c>
      <c r="B5906" s="1" t="s">
        <v>2631</v>
      </c>
      <c r="C5906" s="1">
        <v>489</v>
      </c>
      <c r="D5906" s="1" t="s">
        <v>434</v>
      </c>
      <c r="E5906" s="1" t="s">
        <v>10</v>
      </c>
      <c r="F5906" s="1" t="s">
        <v>5091</v>
      </c>
      <c r="G5906" s="1" t="s">
        <v>11204</v>
      </c>
      <c r="H5906" s="1" t="s">
        <v>5</v>
      </c>
      <c r="I5906" s="17">
        <v>38706</v>
      </c>
    </row>
    <row r="5907" spans="1:10">
      <c r="A5907" s="16" t="s">
        <v>11357</v>
      </c>
      <c r="B5907" s="1" t="s">
        <v>2631</v>
      </c>
      <c r="C5907" s="1">
        <v>489</v>
      </c>
      <c r="D5907" s="1" t="s">
        <v>434</v>
      </c>
      <c r="E5907" s="1" t="s">
        <v>10</v>
      </c>
      <c r="F5907" s="1" t="s">
        <v>5091</v>
      </c>
      <c r="G5907" s="1" t="s">
        <v>6145</v>
      </c>
      <c r="H5907" s="1" t="s">
        <v>43</v>
      </c>
      <c r="I5907" s="17">
        <v>38405</v>
      </c>
    </row>
    <row r="5908" spans="1:10">
      <c r="A5908" s="16" t="s">
        <v>11571</v>
      </c>
      <c r="B5908" s="1" t="s">
        <v>2631</v>
      </c>
      <c r="C5908" s="1">
        <v>489</v>
      </c>
      <c r="D5908" s="1" t="s">
        <v>434</v>
      </c>
      <c r="E5908" s="1" t="s">
        <v>10</v>
      </c>
      <c r="F5908" s="1" t="s">
        <v>5091</v>
      </c>
      <c r="G5908" s="1" t="s">
        <v>6530</v>
      </c>
      <c r="H5908" s="1" t="s">
        <v>43</v>
      </c>
      <c r="I5908" s="17">
        <v>42583</v>
      </c>
    </row>
    <row r="5909" spans="1:10">
      <c r="A5909" s="16" t="s">
        <v>11698</v>
      </c>
      <c r="B5909" s="1" t="s">
        <v>2628</v>
      </c>
      <c r="C5909" s="1">
        <v>489</v>
      </c>
      <c r="D5909" s="1" t="s">
        <v>434</v>
      </c>
      <c r="E5909" s="1" t="s">
        <v>10</v>
      </c>
      <c r="F5909" s="1" t="s">
        <v>5091</v>
      </c>
      <c r="G5909" s="14" t="s">
        <v>10426</v>
      </c>
      <c r="H5909" s="1" t="s">
        <v>5</v>
      </c>
      <c r="I5909" s="17">
        <v>37816</v>
      </c>
    </row>
    <row r="5910" spans="1:10">
      <c r="A5910" s="16" t="s">
        <v>11704</v>
      </c>
      <c r="B5910" s="1" t="s">
        <v>2631</v>
      </c>
      <c r="C5910" s="1">
        <v>489</v>
      </c>
      <c r="D5910" s="1" t="s">
        <v>434</v>
      </c>
      <c r="E5910" s="1" t="s">
        <v>10</v>
      </c>
      <c r="F5910" s="1" t="s">
        <v>5091</v>
      </c>
      <c r="G5910" s="1" t="s">
        <v>2387</v>
      </c>
      <c r="H5910" s="1" t="s">
        <v>5</v>
      </c>
      <c r="I5910" s="17">
        <v>38015</v>
      </c>
    </row>
    <row r="5911" spans="1:10">
      <c r="A5911" s="16" t="s">
        <v>11710</v>
      </c>
      <c r="B5911" s="1" t="s">
        <v>2628</v>
      </c>
      <c r="C5911" s="1">
        <v>489</v>
      </c>
      <c r="D5911" s="1" t="s">
        <v>434</v>
      </c>
      <c r="E5911" s="1" t="s">
        <v>10</v>
      </c>
      <c r="F5911" s="1" t="s">
        <v>5091</v>
      </c>
      <c r="G5911" s="14" t="s">
        <v>10426</v>
      </c>
      <c r="H5911" s="1" t="s">
        <v>5</v>
      </c>
      <c r="I5911" s="17">
        <v>37816</v>
      </c>
    </row>
    <row r="5912" spans="1:10">
      <c r="A5912" s="16" t="s">
        <v>11763</v>
      </c>
      <c r="B5912" s="1" t="s">
        <v>2628</v>
      </c>
      <c r="C5912" s="1">
        <v>489</v>
      </c>
      <c r="D5912" s="1" t="s">
        <v>434</v>
      </c>
      <c r="E5912" s="1" t="s">
        <v>10</v>
      </c>
      <c r="F5912" s="1" t="s">
        <v>5091</v>
      </c>
      <c r="G5912" s="14" t="s">
        <v>10426</v>
      </c>
      <c r="H5912" s="1" t="s">
        <v>5</v>
      </c>
      <c r="I5912" s="17">
        <v>37802</v>
      </c>
    </row>
    <row r="5913" spans="1:10">
      <c r="A5913" s="16" t="s">
        <v>11764</v>
      </c>
      <c r="B5913" s="1" t="s">
        <v>2628</v>
      </c>
      <c r="C5913" s="1">
        <v>489</v>
      </c>
      <c r="D5913" s="1" t="s">
        <v>434</v>
      </c>
      <c r="E5913" s="1" t="s">
        <v>10</v>
      </c>
      <c r="F5913" s="1" t="s">
        <v>5091</v>
      </c>
      <c r="G5913" s="14" t="s">
        <v>10426</v>
      </c>
      <c r="H5913" s="1" t="s">
        <v>5</v>
      </c>
      <c r="I5913" s="17">
        <v>37802</v>
      </c>
    </row>
    <row r="5914" spans="1:10">
      <c r="A5914" s="16" t="s">
        <v>12094</v>
      </c>
      <c r="B5914" s="1" t="s">
        <v>2631</v>
      </c>
      <c r="C5914" s="1">
        <v>489</v>
      </c>
      <c r="D5914" s="1" t="s">
        <v>434</v>
      </c>
      <c r="E5914" s="1" t="s">
        <v>10</v>
      </c>
      <c r="F5914" s="1" t="s">
        <v>5091</v>
      </c>
      <c r="G5914" s="1" t="s">
        <v>12095</v>
      </c>
      <c r="H5914" s="1" t="s">
        <v>43</v>
      </c>
      <c r="I5914" s="17">
        <v>42736</v>
      </c>
    </row>
    <row r="5915" spans="1:10">
      <c r="A5915" s="16" t="s">
        <v>12096</v>
      </c>
      <c r="B5915" s="1" t="s">
        <v>2631</v>
      </c>
      <c r="C5915" s="1">
        <v>489</v>
      </c>
      <c r="D5915" s="1" t="s">
        <v>434</v>
      </c>
      <c r="E5915" s="1" t="s">
        <v>10</v>
      </c>
      <c r="F5915" s="1" t="s">
        <v>5091</v>
      </c>
      <c r="G5915" s="1" t="s">
        <v>12097</v>
      </c>
      <c r="H5915" s="1" t="s">
        <v>43</v>
      </c>
      <c r="I5915" s="17">
        <v>42736</v>
      </c>
    </row>
    <row r="5916" spans="1:10">
      <c r="A5916" s="16" t="s">
        <v>12098</v>
      </c>
      <c r="B5916" s="1" t="s">
        <v>2631</v>
      </c>
      <c r="C5916" s="1">
        <v>489</v>
      </c>
      <c r="D5916" s="1" t="s">
        <v>434</v>
      </c>
      <c r="E5916" s="1" t="s">
        <v>10</v>
      </c>
      <c r="F5916" s="1" t="s">
        <v>5091</v>
      </c>
      <c r="G5916" s="1" t="s">
        <v>12099</v>
      </c>
      <c r="H5916" s="1" t="s">
        <v>43</v>
      </c>
      <c r="I5916" s="17">
        <v>42736</v>
      </c>
    </row>
    <row r="5917" spans="1:10">
      <c r="A5917" s="16" t="s">
        <v>12100</v>
      </c>
      <c r="B5917" s="1" t="s">
        <v>2631</v>
      </c>
      <c r="C5917" s="1">
        <v>489</v>
      </c>
      <c r="D5917" s="1" t="s">
        <v>434</v>
      </c>
      <c r="E5917" s="1" t="s">
        <v>10</v>
      </c>
      <c r="F5917" s="1" t="s">
        <v>5091</v>
      </c>
      <c r="G5917" s="1" t="s">
        <v>12095</v>
      </c>
      <c r="H5917" s="1" t="s">
        <v>43</v>
      </c>
      <c r="I5917" s="17">
        <v>42736</v>
      </c>
    </row>
    <row r="5918" spans="1:10">
      <c r="A5918" s="16" t="s">
        <v>12101</v>
      </c>
      <c r="B5918" s="1" t="s">
        <v>2631</v>
      </c>
      <c r="C5918" s="1">
        <v>489</v>
      </c>
      <c r="D5918" s="1" t="s">
        <v>434</v>
      </c>
      <c r="E5918" s="1" t="s">
        <v>10</v>
      </c>
      <c r="F5918" s="1" t="s">
        <v>5091</v>
      </c>
      <c r="G5918" s="1" t="s">
        <v>12102</v>
      </c>
      <c r="H5918" s="1" t="s">
        <v>43</v>
      </c>
      <c r="I5918" s="17">
        <v>42736</v>
      </c>
    </row>
    <row r="5919" spans="1:10">
      <c r="A5919" s="16" t="s">
        <v>13770</v>
      </c>
      <c r="B5919" s="1" t="s">
        <v>2628</v>
      </c>
      <c r="C5919" s="1">
        <v>489</v>
      </c>
      <c r="D5919" s="1" t="s">
        <v>434</v>
      </c>
      <c r="E5919" s="1" t="s">
        <v>10</v>
      </c>
      <c r="F5919" s="1" t="s">
        <v>5091</v>
      </c>
      <c r="G5919" s="14" t="s">
        <v>13771</v>
      </c>
      <c r="H5919" s="1" t="s">
        <v>5</v>
      </c>
      <c r="I5919" s="17">
        <v>43070</v>
      </c>
    </row>
    <row r="5920" spans="1:10">
      <c r="A5920" s="16" t="s">
        <v>13917</v>
      </c>
      <c r="B5920" s="1" t="s">
        <v>2628</v>
      </c>
      <c r="C5920" s="1">
        <v>489</v>
      </c>
      <c r="D5920" s="1" t="s">
        <v>434</v>
      </c>
      <c r="E5920" s="1" t="s">
        <v>10</v>
      </c>
      <c r="F5920" s="1" t="s">
        <v>5091</v>
      </c>
      <c r="G5920" s="14" t="s">
        <v>6145</v>
      </c>
      <c r="H5920" s="1" t="s">
        <v>43</v>
      </c>
      <c r="I5920" s="17">
        <v>43097</v>
      </c>
    </row>
    <row r="5921" spans="1:9">
      <c r="A5921" s="16" t="s">
        <v>13918</v>
      </c>
      <c r="B5921" s="1" t="s">
        <v>2628</v>
      </c>
      <c r="C5921" s="1">
        <v>489</v>
      </c>
      <c r="D5921" s="1" t="s">
        <v>434</v>
      </c>
      <c r="E5921" s="1" t="s">
        <v>10</v>
      </c>
      <c r="F5921" s="1" t="s">
        <v>5091</v>
      </c>
      <c r="G5921" s="14" t="s">
        <v>6145</v>
      </c>
      <c r="H5921" s="1" t="s">
        <v>43</v>
      </c>
      <c r="I5921" s="17">
        <v>43097</v>
      </c>
    </row>
    <row r="5922" spans="1:9">
      <c r="A5922" s="16" t="s">
        <v>13919</v>
      </c>
      <c r="B5922" s="1" t="s">
        <v>2628</v>
      </c>
      <c r="C5922" s="1">
        <v>489</v>
      </c>
      <c r="D5922" s="1" t="s">
        <v>434</v>
      </c>
      <c r="E5922" s="1" t="s">
        <v>10</v>
      </c>
      <c r="F5922" s="1" t="s">
        <v>5091</v>
      </c>
      <c r="G5922" s="14" t="s">
        <v>6145</v>
      </c>
      <c r="H5922" s="1" t="s">
        <v>43</v>
      </c>
      <c r="I5922" s="17">
        <v>43096</v>
      </c>
    </row>
    <row r="5923" spans="1:9">
      <c r="A5923" s="7" t="s">
        <v>14467</v>
      </c>
      <c r="B5923" s="2" t="s">
        <v>2631</v>
      </c>
      <c r="C5923" s="1">
        <v>489</v>
      </c>
      <c r="D5923" s="1" t="s">
        <v>434</v>
      </c>
      <c r="E5923" s="1" t="s">
        <v>10</v>
      </c>
      <c r="F5923" s="1" t="s">
        <v>5091</v>
      </c>
      <c r="G5923" s="14" t="s">
        <v>14463</v>
      </c>
      <c r="H5923" s="1" t="s">
        <v>5</v>
      </c>
      <c r="I5923" s="1" t="s">
        <v>4789</v>
      </c>
    </row>
    <row r="5924" spans="1:9">
      <c r="A5924" s="7" t="s">
        <v>15778</v>
      </c>
      <c r="B5924" s="2" t="s">
        <v>2631</v>
      </c>
      <c r="C5924" s="1">
        <v>489</v>
      </c>
      <c r="D5924" s="1" t="s">
        <v>434</v>
      </c>
      <c r="E5924" s="1" t="s">
        <v>10</v>
      </c>
      <c r="F5924" s="1" t="s">
        <v>5091</v>
      </c>
      <c r="G5924" s="14" t="s">
        <v>2400</v>
      </c>
      <c r="H5924" s="1" t="s">
        <v>43</v>
      </c>
      <c r="I5924" s="1">
        <v>2010</v>
      </c>
    </row>
    <row r="5925" spans="1:9">
      <c r="A5925" s="7" t="s">
        <v>15841</v>
      </c>
      <c r="B5925" s="2" t="s">
        <v>2631</v>
      </c>
      <c r="C5925" s="1">
        <v>489</v>
      </c>
      <c r="D5925" s="1" t="s">
        <v>434</v>
      </c>
      <c r="E5925" s="1" t="s">
        <v>10</v>
      </c>
      <c r="F5925" s="1" t="s">
        <v>5091</v>
      </c>
      <c r="G5925" s="14" t="s">
        <v>15842</v>
      </c>
      <c r="H5925" s="1" t="s">
        <v>5</v>
      </c>
      <c r="I5925" s="1" t="s">
        <v>5801</v>
      </c>
    </row>
    <row r="5926" spans="1:9">
      <c r="A5926" s="7" t="s">
        <v>16512</v>
      </c>
      <c r="B5926" s="2" t="s">
        <v>2631</v>
      </c>
      <c r="C5926" s="1">
        <v>489</v>
      </c>
      <c r="D5926" s="1" t="s">
        <v>434</v>
      </c>
      <c r="E5926" s="1" t="s">
        <v>10</v>
      </c>
      <c r="F5926" s="1" t="s">
        <v>2691</v>
      </c>
      <c r="G5926" s="14" t="s">
        <v>6307</v>
      </c>
      <c r="H5926" s="1" t="s">
        <v>44</v>
      </c>
      <c r="I5926" s="1">
        <v>2019</v>
      </c>
    </row>
    <row r="5927" spans="1:9">
      <c r="A5927" s="7" t="s">
        <v>16537</v>
      </c>
      <c r="B5927" s="2" t="s">
        <v>2631</v>
      </c>
      <c r="C5927" s="1">
        <v>489</v>
      </c>
      <c r="D5927" s="1" t="s">
        <v>434</v>
      </c>
      <c r="E5927" s="1" t="s">
        <v>10</v>
      </c>
      <c r="F5927" s="1" t="s">
        <v>5091</v>
      </c>
      <c r="G5927" s="14" t="s">
        <v>16538</v>
      </c>
      <c r="H5927" s="1" t="s">
        <v>5</v>
      </c>
      <c r="I5927" s="1">
        <v>2019</v>
      </c>
    </row>
    <row r="5928" spans="1:9">
      <c r="A5928" s="7" t="s">
        <v>16813</v>
      </c>
      <c r="B5928" s="2" t="s">
        <v>2631</v>
      </c>
      <c r="C5928" s="1">
        <v>489</v>
      </c>
      <c r="D5928" s="1" t="s">
        <v>434</v>
      </c>
      <c r="E5928" s="1" t="s">
        <v>10</v>
      </c>
      <c r="F5928" s="1" t="s">
        <v>5091</v>
      </c>
      <c r="G5928" s="14" t="s">
        <v>16810</v>
      </c>
      <c r="H5928" s="1" t="s">
        <v>43</v>
      </c>
      <c r="I5928" s="1">
        <v>2007</v>
      </c>
    </row>
    <row r="5929" spans="1:9">
      <c r="A5929" s="7" t="s">
        <v>5806</v>
      </c>
      <c r="B5929" s="2" t="s">
        <v>2631</v>
      </c>
      <c r="C5929" s="1">
        <v>489</v>
      </c>
      <c r="D5929" s="1" t="s">
        <v>434</v>
      </c>
      <c r="E5929" s="1" t="s">
        <v>10</v>
      </c>
      <c r="F5929" s="1" t="s">
        <v>5241</v>
      </c>
      <c r="G5929" s="14" t="s">
        <v>4800</v>
      </c>
      <c r="H5929" s="1" t="s">
        <v>27</v>
      </c>
      <c r="I5929" s="1" t="s">
        <v>5807</v>
      </c>
    </row>
    <row r="5930" spans="1:9">
      <c r="A5930" s="16" t="s">
        <v>12082</v>
      </c>
      <c r="B5930" s="1" t="s">
        <v>2631</v>
      </c>
      <c r="C5930" s="1">
        <v>489</v>
      </c>
      <c r="D5930" s="1" t="s">
        <v>434</v>
      </c>
      <c r="E5930" s="1" t="s">
        <v>10</v>
      </c>
      <c r="F5930" s="1" t="s">
        <v>5091</v>
      </c>
      <c r="G5930" s="1" t="s">
        <v>5853</v>
      </c>
      <c r="H5930" s="1" t="s">
        <v>27</v>
      </c>
      <c r="I5930" s="17">
        <v>42736</v>
      </c>
    </row>
    <row r="5931" spans="1:9">
      <c r="A5931" s="7" t="s">
        <v>14447</v>
      </c>
      <c r="B5931" s="2" t="s">
        <v>2631</v>
      </c>
      <c r="C5931" s="1">
        <v>489</v>
      </c>
      <c r="D5931" s="1" t="s">
        <v>434</v>
      </c>
      <c r="E5931" s="1" t="s">
        <v>10</v>
      </c>
      <c r="F5931" s="1" t="s">
        <v>5091</v>
      </c>
      <c r="G5931" s="14" t="s">
        <v>4800</v>
      </c>
      <c r="H5931" s="1" t="s">
        <v>27</v>
      </c>
      <c r="I5931" s="1" t="s">
        <v>5630</v>
      </c>
    </row>
    <row r="5932" spans="1:9">
      <c r="A5932" s="7" t="s">
        <v>14449</v>
      </c>
      <c r="B5932" s="2" t="s">
        <v>2631</v>
      </c>
      <c r="C5932" s="1">
        <v>489</v>
      </c>
      <c r="D5932" s="1" t="s">
        <v>434</v>
      </c>
      <c r="E5932" s="1" t="s">
        <v>10</v>
      </c>
      <c r="F5932" s="1" t="s">
        <v>5091</v>
      </c>
      <c r="G5932" s="14" t="s">
        <v>4800</v>
      </c>
      <c r="H5932" s="1" t="s">
        <v>27</v>
      </c>
      <c r="I5932" s="1" t="s">
        <v>4789</v>
      </c>
    </row>
    <row r="5933" spans="1:9">
      <c r="A5933" s="16" t="s">
        <v>4862</v>
      </c>
      <c r="B5933" s="1" t="s">
        <v>2628</v>
      </c>
      <c r="C5933" s="1">
        <v>5</v>
      </c>
      <c r="D5933" s="1" t="s">
        <v>34</v>
      </c>
      <c r="E5933" s="1" t="s">
        <v>10</v>
      </c>
      <c r="F5933" s="1" t="s">
        <v>2693</v>
      </c>
      <c r="G5933" s="14" t="s">
        <v>27</v>
      </c>
      <c r="H5933" s="1" t="s">
        <v>27</v>
      </c>
      <c r="I5933" s="17">
        <v>40909</v>
      </c>
    </row>
    <row r="5934" spans="1:9">
      <c r="A5934" s="16" t="s">
        <v>5307</v>
      </c>
      <c r="B5934" s="1" t="s">
        <v>2628</v>
      </c>
      <c r="C5934" s="1">
        <v>5</v>
      </c>
      <c r="D5934" s="1" t="s">
        <v>34</v>
      </c>
      <c r="E5934" s="1" t="s">
        <v>10</v>
      </c>
      <c r="F5934" s="1" t="s">
        <v>2360</v>
      </c>
      <c r="G5934" s="14" t="s">
        <v>5308</v>
      </c>
      <c r="H5934" s="1" t="s">
        <v>27</v>
      </c>
      <c r="I5934" s="17">
        <v>40179</v>
      </c>
    </row>
    <row r="5935" spans="1:9">
      <c r="A5935" s="16" t="s">
        <v>5310</v>
      </c>
      <c r="B5935" s="1" t="s">
        <v>2628</v>
      </c>
      <c r="C5935" s="1">
        <v>5</v>
      </c>
      <c r="D5935" s="1" t="s">
        <v>34</v>
      </c>
      <c r="E5935" s="1" t="s">
        <v>10</v>
      </c>
      <c r="F5935" s="1" t="s">
        <v>2360</v>
      </c>
      <c r="G5935" s="14" t="s">
        <v>5308</v>
      </c>
      <c r="H5935" s="1" t="s">
        <v>27</v>
      </c>
      <c r="I5935" s="17">
        <v>40909</v>
      </c>
    </row>
    <row r="5936" spans="1:9">
      <c r="A5936" s="16" t="s">
        <v>5311</v>
      </c>
      <c r="B5936" s="1" t="s">
        <v>2628</v>
      </c>
      <c r="C5936" s="1">
        <v>5</v>
      </c>
      <c r="D5936" s="1" t="s">
        <v>34</v>
      </c>
      <c r="E5936" s="1" t="s">
        <v>10</v>
      </c>
      <c r="F5936" s="1" t="s">
        <v>2360</v>
      </c>
      <c r="G5936" s="14" t="s">
        <v>5308</v>
      </c>
      <c r="H5936" s="1" t="s">
        <v>27</v>
      </c>
      <c r="I5936" s="17">
        <v>40909</v>
      </c>
    </row>
    <row r="5937" spans="1:9">
      <c r="A5937" s="16" t="s">
        <v>5372</v>
      </c>
      <c r="B5937" s="1" t="s">
        <v>2628</v>
      </c>
      <c r="C5937" s="1">
        <v>5</v>
      </c>
      <c r="D5937" s="1" t="s">
        <v>34</v>
      </c>
      <c r="E5937" s="1" t="s">
        <v>10</v>
      </c>
      <c r="F5937" s="1" t="s">
        <v>2696</v>
      </c>
      <c r="G5937" s="14" t="s">
        <v>27</v>
      </c>
      <c r="H5937" s="1" t="s">
        <v>27</v>
      </c>
      <c r="I5937" s="17">
        <v>40909</v>
      </c>
    </row>
    <row r="5938" spans="1:9">
      <c r="A5938" s="16" t="s">
        <v>5379</v>
      </c>
      <c r="B5938" s="1" t="s">
        <v>2628</v>
      </c>
      <c r="C5938" s="1">
        <v>5</v>
      </c>
      <c r="D5938" s="1" t="s">
        <v>34</v>
      </c>
      <c r="E5938" s="1" t="s">
        <v>10</v>
      </c>
      <c r="F5938" s="1" t="s">
        <v>2696</v>
      </c>
      <c r="G5938" s="14" t="s">
        <v>27</v>
      </c>
      <c r="H5938" s="1" t="s">
        <v>27</v>
      </c>
      <c r="I5938" s="17">
        <v>41275</v>
      </c>
    </row>
    <row r="5939" spans="1:9">
      <c r="A5939" s="16" t="s">
        <v>5396</v>
      </c>
      <c r="B5939" s="1" t="s">
        <v>2628</v>
      </c>
      <c r="C5939" s="1">
        <v>5</v>
      </c>
      <c r="D5939" s="1" t="s">
        <v>34</v>
      </c>
      <c r="E5939" s="1" t="s">
        <v>10</v>
      </c>
      <c r="F5939" s="1" t="s">
        <v>2696</v>
      </c>
      <c r="G5939" s="14" t="s">
        <v>27</v>
      </c>
      <c r="H5939" s="1" t="s">
        <v>27</v>
      </c>
      <c r="I5939" s="17">
        <v>41640</v>
      </c>
    </row>
    <row r="5940" spans="1:9">
      <c r="A5940" s="16" t="s">
        <v>5412</v>
      </c>
      <c r="B5940" s="1" t="s">
        <v>2628</v>
      </c>
      <c r="C5940" s="1">
        <v>5</v>
      </c>
      <c r="D5940" s="1" t="s">
        <v>34</v>
      </c>
      <c r="E5940" s="1" t="s">
        <v>10</v>
      </c>
      <c r="F5940" s="1" t="s">
        <v>2360</v>
      </c>
      <c r="G5940" s="14" t="s">
        <v>27</v>
      </c>
      <c r="H5940" s="1" t="s">
        <v>27</v>
      </c>
      <c r="I5940" s="17">
        <v>40179</v>
      </c>
    </row>
    <row r="5941" spans="1:9">
      <c r="A5941" s="16" t="s">
        <v>5420</v>
      </c>
      <c r="B5941" s="1" t="s">
        <v>2628</v>
      </c>
      <c r="C5941" s="1">
        <v>5</v>
      </c>
      <c r="D5941" s="1" t="s">
        <v>34</v>
      </c>
      <c r="E5941" s="1" t="s">
        <v>10</v>
      </c>
      <c r="F5941" s="1" t="s">
        <v>588</v>
      </c>
      <c r="G5941" s="14" t="s">
        <v>27</v>
      </c>
      <c r="H5941" s="1" t="s">
        <v>27</v>
      </c>
      <c r="I5941" s="17">
        <v>41482</v>
      </c>
    </row>
    <row r="5942" spans="1:9">
      <c r="A5942" s="16" t="s">
        <v>5511</v>
      </c>
      <c r="B5942" s="1" t="s">
        <v>2628</v>
      </c>
      <c r="C5942" s="1">
        <v>5</v>
      </c>
      <c r="D5942" s="1" t="s">
        <v>34</v>
      </c>
      <c r="E5942" s="1" t="s">
        <v>10</v>
      </c>
      <c r="F5942" s="1" t="s">
        <v>2699</v>
      </c>
      <c r="G5942" s="14" t="s">
        <v>27</v>
      </c>
      <c r="H5942" s="1" t="s">
        <v>27</v>
      </c>
      <c r="I5942" s="17">
        <v>40179</v>
      </c>
    </row>
    <row r="5943" spans="1:9">
      <c r="A5943" s="16" t="s">
        <v>5532</v>
      </c>
      <c r="B5943" s="1" t="s">
        <v>2628</v>
      </c>
      <c r="C5943" s="1">
        <v>5</v>
      </c>
      <c r="D5943" s="1" t="s">
        <v>34</v>
      </c>
      <c r="E5943" s="1" t="s">
        <v>10</v>
      </c>
      <c r="F5943" s="1" t="s">
        <v>2699</v>
      </c>
      <c r="G5943" s="14" t="s">
        <v>27</v>
      </c>
      <c r="H5943" s="1" t="s">
        <v>27</v>
      </c>
      <c r="I5943" s="17">
        <v>40909</v>
      </c>
    </row>
    <row r="5944" spans="1:9">
      <c r="A5944" s="16" t="s">
        <v>5552</v>
      </c>
      <c r="B5944" s="1" t="s">
        <v>2628</v>
      </c>
      <c r="C5944" s="1">
        <v>5</v>
      </c>
      <c r="D5944" s="1" t="s">
        <v>34</v>
      </c>
      <c r="E5944" s="1" t="s">
        <v>10</v>
      </c>
      <c r="F5944" s="1" t="s">
        <v>2699</v>
      </c>
      <c r="G5944" s="14" t="s">
        <v>27</v>
      </c>
      <c r="H5944" s="1" t="s">
        <v>27</v>
      </c>
      <c r="I5944" s="17">
        <v>41640</v>
      </c>
    </row>
    <row r="5945" spans="1:9">
      <c r="A5945" s="16" t="s">
        <v>5576</v>
      </c>
      <c r="B5945" s="1" t="s">
        <v>2628</v>
      </c>
      <c r="C5945" s="1">
        <v>5</v>
      </c>
      <c r="D5945" s="1" t="s">
        <v>34</v>
      </c>
      <c r="E5945" s="1" t="s">
        <v>10</v>
      </c>
      <c r="F5945" s="1" t="s">
        <v>449</v>
      </c>
      <c r="G5945" s="14" t="s">
        <v>27</v>
      </c>
      <c r="H5945" s="1" t="s">
        <v>27</v>
      </c>
      <c r="I5945" s="17">
        <v>41640</v>
      </c>
    </row>
    <row r="5946" spans="1:9">
      <c r="A5946" s="16" t="s">
        <v>5599</v>
      </c>
      <c r="B5946" s="1" t="s">
        <v>2628</v>
      </c>
      <c r="C5946" s="1">
        <v>5</v>
      </c>
      <c r="D5946" s="1" t="s">
        <v>34</v>
      </c>
      <c r="E5946" s="1" t="s">
        <v>10</v>
      </c>
      <c r="F5946" s="1" t="s">
        <v>2702</v>
      </c>
      <c r="G5946" s="14" t="s">
        <v>27</v>
      </c>
      <c r="H5946" s="1" t="s">
        <v>27</v>
      </c>
      <c r="I5946" s="17">
        <v>40544</v>
      </c>
    </row>
    <row r="5947" spans="1:9">
      <c r="A5947" s="7" t="s">
        <v>5800</v>
      </c>
      <c r="B5947" s="2" t="s">
        <v>2628</v>
      </c>
      <c r="C5947" s="1">
        <v>5</v>
      </c>
      <c r="D5947" s="1" t="s">
        <v>34</v>
      </c>
      <c r="E5947" s="1" t="s">
        <v>10</v>
      </c>
      <c r="F5947" s="1" t="s">
        <v>5596</v>
      </c>
      <c r="G5947" s="14" t="s">
        <v>4800</v>
      </c>
      <c r="H5947" s="1" t="s">
        <v>27</v>
      </c>
      <c r="I5947" s="1" t="s">
        <v>5801</v>
      </c>
    </row>
    <row r="5948" spans="1:9">
      <c r="A5948" s="7" t="s">
        <v>5959</v>
      </c>
      <c r="B5948" s="1" t="s">
        <v>2628</v>
      </c>
      <c r="C5948" s="1">
        <v>5</v>
      </c>
      <c r="D5948" s="1" t="s">
        <v>34</v>
      </c>
      <c r="E5948" s="1" t="s">
        <v>10</v>
      </c>
      <c r="F5948" s="1" t="s">
        <v>2360</v>
      </c>
      <c r="G5948" s="1" t="s">
        <v>5308</v>
      </c>
      <c r="H5948" s="1" t="s">
        <v>27</v>
      </c>
      <c r="I5948" s="1" t="s">
        <v>5483</v>
      </c>
    </row>
    <row r="5949" spans="1:9">
      <c r="A5949" s="16" t="s">
        <v>6085</v>
      </c>
      <c r="B5949" s="1" t="s">
        <v>2628</v>
      </c>
      <c r="C5949" s="1">
        <v>5</v>
      </c>
      <c r="D5949" s="1" t="s">
        <v>34</v>
      </c>
      <c r="E5949" s="1" t="s">
        <v>10</v>
      </c>
      <c r="F5949" s="1" t="s">
        <v>2690</v>
      </c>
      <c r="G5949" s="14" t="s">
        <v>27</v>
      </c>
      <c r="H5949" s="1" t="s">
        <v>27</v>
      </c>
      <c r="I5949" s="1" t="s">
        <v>4458</v>
      </c>
    </row>
    <row r="5950" spans="1:9">
      <c r="A5950" s="16" t="s">
        <v>6086</v>
      </c>
      <c r="B5950" s="1" t="s">
        <v>2628</v>
      </c>
      <c r="C5950" s="1">
        <v>5</v>
      </c>
      <c r="D5950" s="1" t="s">
        <v>34</v>
      </c>
      <c r="E5950" s="1" t="s">
        <v>10</v>
      </c>
      <c r="F5950" s="1" t="s">
        <v>2690</v>
      </c>
      <c r="G5950" s="14" t="s">
        <v>27</v>
      </c>
      <c r="H5950" s="1" t="s">
        <v>27</v>
      </c>
      <c r="I5950" s="1" t="s">
        <v>4458</v>
      </c>
    </row>
    <row r="5951" spans="1:9">
      <c r="A5951" s="16" t="s">
        <v>6087</v>
      </c>
      <c r="B5951" s="1" t="s">
        <v>2628</v>
      </c>
      <c r="C5951" s="1">
        <v>5</v>
      </c>
      <c r="D5951" s="1" t="s">
        <v>34</v>
      </c>
      <c r="E5951" s="1" t="s">
        <v>10</v>
      </c>
      <c r="F5951" s="1" t="s">
        <v>2690</v>
      </c>
      <c r="G5951" s="14" t="s">
        <v>27</v>
      </c>
      <c r="H5951" s="1" t="s">
        <v>27</v>
      </c>
      <c r="I5951" s="1" t="s">
        <v>4458</v>
      </c>
    </row>
    <row r="5952" spans="1:9">
      <c r="A5952" s="16" t="s">
        <v>6096</v>
      </c>
      <c r="B5952" s="1" t="s">
        <v>2628</v>
      </c>
      <c r="C5952" s="1">
        <v>5</v>
      </c>
      <c r="D5952" s="1" t="s">
        <v>34</v>
      </c>
      <c r="E5952" s="1" t="s">
        <v>10</v>
      </c>
      <c r="F5952" s="1" t="s">
        <v>2360</v>
      </c>
      <c r="G5952" s="14" t="s">
        <v>27</v>
      </c>
      <c r="H5952" s="1" t="s">
        <v>27</v>
      </c>
      <c r="I5952" s="17">
        <v>40544</v>
      </c>
    </row>
    <row r="5953" spans="1:10">
      <c r="A5953" s="16" t="s">
        <v>6097</v>
      </c>
      <c r="B5953" s="1" t="s">
        <v>2628</v>
      </c>
      <c r="C5953" s="1">
        <v>5</v>
      </c>
      <c r="D5953" s="1" t="s">
        <v>34</v>
      </c>
      <c r="E5953" s="1" t="s">
        <v>10</v>
      </c>
      <c r="F5953" s="1" t="s">
        <v>2690</v>
      </c>
      <c r="G5953" s="14" t="s">
        <v>27</v>
      </c>
      <c r="H5953" s="1" t="s">
        <v>27</v>
      </c>
      <c r="I5953" s="17">
        <v>41275</v>
      </c>
    </row>
    <row r="5954" spans="1:10">
      <c r="A5954" s="16" t="s">
        <v>6099</v>
      </c>
      <c r="B5954" s="1" t="s">
        <v>2628</v>
      </c>
      <c r="C5954" s="1">
        <v>5</v>
      </c>
      <c r="D5954" s="1" t="s">
        <v>34</v>
      </c>
      <c r="E5954" s="1" t="s">
        <v>10</v>
      </c>
      <c r="F5954" s="1" t="s">
        <v>2690</v>
      </c>
      <c r="G5954" s="14" t="s">
        <v>27</v>
      </c>
      <c r="H5954" s="1" t="s">
        <v>27</v>
      </c>
      <c r="I5954" s="17">
        <v>41275</v>
      </c>
    </row>
    <row r="5955" spans="1:10">
      <c r="A5955" s="16" t="s">
        <v>6100</v>
      </c>
      <c r="B5955" s="1" t="s">
        <v>2628</v>
      </c>
      <c r="C5955" s="1">
        <v>5</v>
      </c>
      <c r="D5955" s="1" t="s">
        <v>34</v>
      </c>
      <c r="E5955" s="1" t="s">
        <v>10</v>
      </c>
      <c r="F5955" s="1" t="s">
        <v>2360</v>
      </c>
      <c r="G5955" s="14" t="s">
        <v>27</v>
      </c>
      <c r="H5955" s="1" t="s">
        <v>27</v>
      </c>
      <c r="I5955" s="17">
        <v>40544</v>
      </c>
    </row>
    <row r="5956" spans="1:10">
      <c r="A5956" s="16" t="s">
        <v>6150</v>
      </c>
      <c r="B5956" s="1" t="s">
        <v>2628</v>
      </c>
      <c r="C5956" s="1">
        <v>5</v>
      </c>
      <c r="D5956" s="1" t="s">
        <v>34</v>
      </c>
      <c r="E5956" s="1" t="s">
        <v>10</v>
      </c>
      <c r="F5956" s="1" t="s">
        <v>5091</v>
      </c>
      <c r="G5956" s="14" t="s">
        <v>5853</v>
      </c>
      <c r="H5956" s="1" t="s">
        <v>27</v>
      </c>
      <c r="I5956" s="1" t="s">
        <v>4458</v>
      </c>
    </row>
    <row r="5957" spans="1:10" ht="31.2">
      <c r="A5957" s="16" t="s">
        <v>6399</v>
      </c>
      <c r="B5957" s="1" t="s">
        <v>2628</v>
      </c>
      <c r="C5957" s="1">
        <v>5</v>
      </c>
      <c r="D5957" s="1" t="s">
        <v>34</v>
      </c>
      <c r="E5957" s="1" t="s">
        <v>10</v>
      </c>
      <c r="F5957" s="1" t="s">
        <v>5091</v>
      </c>
      <c r="G5957" s="14" t="s">
        <v>5853</v>
      </c>
      <c r="H5957" s="1" t="s">
        <v>27</v>
      </c>
      <c r="I5957" s="17">
        <v>41563</v>
      </c>
    </row>
    <row r="5958" spans="1:10">
      <c r="A5958" s="7" t="s">
        <v>6843</v>
      </c>
      <c r="B5958" s="1" t="s">
        <v>2628</v>
      </c>
      <c r="C5958" s="1">
        <v>5</v>
      </c>
      <c r="D5958" s="1" t="s">
        <v>34</v>
      </c>
      <c r="E5958" s="1" t="s">
        <v>10</v>
      </c>
      <c r="F5958" s="1" t="s">
        <v>5091</v>
      </c>
      <c r="G5958" s="1" t="s">
        <v>5853</v>
      </c>
      <c r="H5958" s="1" t="s">
        <v>27</v>
      </c>
      <c r="I5958" s="1" t="s">
        <v>6844</v>
      </c>
    </row>
    <row r="5959" spans="1:10">
      <c r="A5959" s="7" t="s">
        <v>6848</v>
      </c>
      <c r="B5959" s="1" t="s">
        <v>2628</v>
      </c>
      <c r="C5959" s="1">
        <v>5</v>
      </c>
      <c r="D5959" s="1" t="s">
        <v>34</v>
      </c>
      <c r="E5959" s="1" t="s">
        <v>10</v>
      </c>
      <c r="F5959" s="1" t="s">
        <v>5091</v>
      </c>
      <c r="G5959" s="1" t="s">
        <v>5853</v>
      </c>
      <c r="H5959" s="1" t="s">
        <v>27</v>
      </c>
      <c r="I5959" s="1" t="s">
        <v>6844</v>
      </c>
    </row>
    <row r="5960" spans="1:10">
      <c r="A5960" s="7" t="s">
        <v>6850</v>
      </c>
      <c r="B5960" s="1" t="s">
        <v>2628</v>
      </c>
      <c r="C5960" s="1">
        <v>5</v>
      </c>
      <c r="D5960" s="1" t="s">
        <v>34</v>
      </c>
      <c r="E5960" s="1" t="s">
        <v>10</v>
      </c>
      <c r="F5960" s="1" t="s">
        <v>5091</v>
      </c>
      <c r="G5960" s="1" t="s">
        <v>5853</v>
      </c>
      <c r="H5960" s="1" t="s">
        <v>27</v>
      </c>
      <c r="I5960" s="1" t="s">
        <v>6844</v>
      </c>
    </row>
    <row r="5961" spans="1:10" ht="62.4">
      <c r="A5961" s="16" t="s">
        <v>6851</v>
      </c>
      <c r="B5961" s="1" t="s">
        <v>2628</v>
      </c>
      <c r="C5961" s="1">
        <v>5</v>
      </c>
      <c r="D5961" s="1" t="s">
        <v>34</v>
      </c>
      <c r="E5961" s="1" t="s">
        <v>10</v>
      </c>
      <c r="F5961" s="1" t="s">
        <v>5091</v>
      </c>
      <c r="G5961" s="14" t="s">
        <v>5853</v>
      </c>
      <c r="H5961" s="1" t="s">
        <v>27</v>
      </c>
      <c r="I5961" s="17">
        <v>41528</v>
      </c>
    </row>
    <row r="5962" spans="1:10">
      <c r="A5962" s="7" t="s">
        <v>6857</v>
      </c>
      <c r="B5962" s="1" t="s">
        <v>2628</v>
      </c>
      <c r="C5962" s="1">
        <v>5</v>
      </c>
      <c r="D5962" s="1" t="s">
        <v>34</v>
      </c>
      <c r="E5962" s="1" t="s">
        <v>10</v>
      </c>
      <c r="F5962" s="1" t="s">
        <v>5241</v>
      </c>
      <c r="G5962" s="1" t="s">
        <v>4800</v>
      </c>
      <c r="H5962" s="1" t="s">
        <v>27</v>
      </c>
      <c r="I5962" s="1" t="s">
        <v>5855</v>
      </c>
    </row>
    <row r="5963" spans="1:10">
      <c r="A5963" s="16" t="s">
        <v>6885</v>
      </c>
      <c r="B5963" s="1" t="s">
        <v>2628</v>
      </c>
      <c r="C5963" s="1">
        <v>5</v>
      </c>
      <c r="D5963" s="1" t="s">
        <v>34</v>
      </c>
      <c r="E5963" s="1" t="s">
        <v>10</v>
      </c>
      <c r="F5963" s="1" t="s">
        <v>5091</v>
      </c>
      <c r="G5963" s="14" t="s">
        <v>5853</v>
      </c>
      <c r="H5963" s="1" t="s">
        <v>27</v>
      </c>
      <c r="I5963" s="17">
        <v>41606</v>
      </c>
    </row>
    <row r="5964" spans="1:10">
      <c r="A5964" s="7" t="s">
        <v>6913</v>
      </c>
      <c r="B5964" s="1" t="s">
        <v>2628</v>
      </c>
      <c r="C5964" s="1">
        <v>5</v>
      </c>
      <c r="D5964" s="1" t="s">
        <v>34</v>
      </c>
      <c r="E5964" s="1" t="s">
        <v>10</v>
      </c>
      <c r="F5964" s="1" t="s">
        <v>5091</v>
      </c>
      <c r="G5964" s="1" t="s">
        <v>5853</v>
      </c>
      <c r="H5964" s="1" t="s">
        <v>27</v>
      </c>
      <c r="I5964" s="1" t="s">
        <v>6844</v>
      </c>
    </row>
    <row r="5965" spans="1:10">
      <c r="A5965" s="16" t="s">
        <v>7324</v>
      </c>
      <c r="B5965" s="1" t="s">
        <v>2628</v>
      </c>
      <c r="C5965" s="1">
        <v>5</v>
      </c>
      <c r="D5965" s="1" t="s">
        <v>34</v>
      </c>
      <c r="E5965" s="1" t="s">
        <v>10</v>
      </c>
      <c r="F5965" s="1" t="s">
        <v>5091</v>
      </c>
      <c r="G5965" s="14" t="s">
        <v>5853</v>
      </c>
      <c r="H5965" s="1" t="s">
        <v>27</v>
      </c>
      <c r="I5965" s="17">
        <v>41631</v>
      </c>
    </row>
    <row r="5966" spans="1:10">
      <c r="A5966" s="16" t="s">
        <v>7647</v>
      </c>
      <c r="B5966" s="1" t="s">
        <v>2628</v>
      </c>
      <c r="C5966" s="1">
        <v>5</v>
      </c>
      <c r="D5966" s="1" t="s">
        <v>34</v>
      </c>
      <c r="E5966" s="1" t="s">
        <v>10</v>
      </c>
      <c r="F5966" s="1" t="s">
        <v>5091</v>
      </c>
      <c r="G5966" s="14" t="s">
        <v>5853</v>
      </c>
      <c r="H5966" s="1" t="s">
        <v>27</v>
      </c>
      <c r="I5966" s="17">
        <v>41735</v>
      </c>
    </row>
    <row r="5967" spans="1:10">
      <c r="A5967" s="7" t="s">
        <v>7997</v>
      </c>
      <c r="B5967" s="1" t="s">
        <v>2628</v>
      </c>
      <c r="C5967" s="1">
        <v>5</v>
      </c>
      <c r="D5967" s="1" t="s">
        <v>34</v>
      </c>
      <c r="E5967" s="1" t="s">
        <v>10</v>
      </c>
      <c r="F5967" s="1" t="s">
        <v>5241</v>
      </c>
      <c r="G5967" s="1" t="s">
        <v>4800</v>
      </c>
      <c r="H5967" s="1" t="s">
        <v>27</v>
      </c>
      <c r="I5967" s="1" t="s">
        <v>6090</v>
      </c>
      <c r="J5967" s="17"/>
    </row>
    <row r="5968" spans="1:10">
      <c r="A5968" s="7" t="s">
        <v>8150</v>
      </c>
      <c r="B5968" s="1" t="s">
        <v>2628</v>
      </c>
      <c r="C5968" s="1">
        <v>5</v>
      </c>
      <c r="D5968" s="1" t="s">
        <v>34</v>
      </c>
      <c r="E5968" s="1" t="s">
        <v>10</v>
      </c>
      <c r="F5968" s="1" t="s">
        <v>5091</v>
      </c>
      <c r="G5968" s="1" t="s">
        <v>4800</v>
      </c>
      <c r="H5968" s="1" t="s">
        <v>27</v>
      </c>
      <c r="I5968" s="1">
        <v>2004</v>
      </c>
    </row>
    <row r="5969" spans="1:9">
      <c r="A5969" s="7" t="s">
        <v>8376</v>
      </c>
      <c r="B5969" s="1" t="s">
        <v>2628</v>
      </c>
      <c r="C5969" s="1">
        <v>820</v>
      </c>
      <c r="D5969" s="1" t="s">
        <v>34</v>
      </c>
      <c r="E5969" s="1" t="s">
        <v>10</v>
      </c>
      <c r="F5969" s="1" t="s">
        <v>5091</v>
      </c>
      <c r="G5969" s="1" t="s">
        <v>4800</v>
      </c>
      <c r="H5969" s="1" t="s">
        <v>27</v>
      </c>
      <c r="I5969" s="1">
        <v>2006</v>
      </c>
    </row>
    <row r="5970" spans="1:9">
      <c r="A5970" s="16" t="s">
        <v>8405</v>
      </c>
      <c r="B5970" s="1" t="s">
        <v>2628</v>
      </c>
      <c r="C5970" s="1">
        <v>5</v>
      </c>
      <c r="D5970" s="1" t="s">
        <v>34</v>
      </c>
      <c r="E5970" s="1" t="s">
        <v>10</v>
      </c>
      <c r="F5970" s="1" t="s">
        <v>5091</v>
      </c>
      <c r="G5970" s="14" t="s">
        <v>5853</v>
      </c>
      <c r="H5970" s="1" t="s">
        <v>27</v>
      </c>
      <c r="I5970" s="17">
        <v>41764</v>
      </c>
    </row>
    <row r="5971" spans="1:9" ht="31.2">
      <c r="A5971" s="16" t="s">
        <v>8412</v>
      </c>
      <c r="B5971" s="1" t="s">
        <v>2628</v>
      </c>
      <c r="C5971" s="1">
        <v>5</v>
      </c>
      <c r="D5971" s="1" t="s">
        <v>34</v>
      </c>
      <c r="E5971" s="1" t="s">
        <v>10</v>
      </c>
      <c r="F5971" s="1" t="s">
        <v>5091</v>
      </c>
      <c r="G5971" s="14" t="s">
        <v>8413</v>
      </c>
      <c r="H5971" s="1" t="s">
        <v>27</v>
      </c>
      <c r="I5971" s="17">
        <v>32238</v>
      </c>
    </row>
    <row r="5972" spans="1:9">
      <c r="A5972" s="16" t="s">
        <v>8751</v>
      </c>
      <c r="B5972" s="1" t="s">
        <v>2628</v>
      </c>
      <c r="C5972" s="1">
        <v>5</v>
      </c>
      <c r="D5972" s="1" t="s">
        <v>34</v>
      </c>
      <c r="E5972" s="1" t="s">
        <v>10</v>
      </c>
      <c r="F5972" s="1" t="s">
        <v>5091</v>
      </c>
      <c r="G5972" s="14" t="s">
        <v>5853</v>
      </c>
      <c r="H5972" s="1" t="s">
        <v>27</v>
      </c>
      <c r="I5972" s="17">
        <v>41913</v>
      </c>
    </row>
    <row r="5973" spans="1:9">
      <c r="A5973" s="16" t="s">
        <v>8755</v>
      </c>
      <c r="B5973" s="1" t="s">
        <v>2628</v>
      </c>
      <c r="C5973" s="1">
        <v>5</v>
      </c>
      <c r="D5973" s="1" t="s">
        <v>34</v>
      </c>
      <c r="E5973" s="1" t="s">
        <v>10</v>
      </c>
      <c r="F5973" s="1" t="s">
        <v>5091</v>
      </c>
      <c r="G5973" s="14" t="s">
        <v>5853</v>
      </c>
      <c r="H5973" s="1" t="s">
        <v>27</v>
      </c>
      <c r="I5973" s="1" t="s">
        <v>4458</v>
      </c>
    </row>
    <row r="5974" spans="1:9">
      <c r="A5974" s="16" t="s">
        <v>8780</v>
      </c>
      <c r="B5974" s="1" t="s">
        <v>2628</v>
      </c>
      <c r="C5974" s="1">
        <v>5</v>
      </c>
      <c r="D5974" s="1" t="s">
        <v>34</v>
      </c>
      <c r="E5974" s="1" t="s">
        <v>10</v>
      </c>
      <c r="F5974" s="1" t="s">
        <v>118</v>
      </c>
      <c r="G5974" s="14" t="s">
        <v>27</v>
      </c>
      <c r="H5974" s="1" t="s">
        <v>27</v>
      </c>
      <c r="I5974" s="1" t="s">
        <v>4458</v>
      </c>
    </row>
    <row r="5975" spans="1:9">
      <c r="A5975" s="16" t="s">
        <v>9000</v>
      </c>
      <c r="B5975" s="1" t="s">
        <v>2628</v>
      </c>
      <c r="C5975" s="1">
        <v>5</v>
      </c>
      <c r="D5975" s="1" t="s">
        <v>34</v>
      </c>
      <c r="E5975" s="1" t="s">
        <v>10</v>
      </c>
      <c r="F5975" s="1" t="s">
        <v>5091</v>
      </c>
      <c r="G5975" s="14" t="s">
        <v>5853</v>
      </c>
      <c r="H5975" s="1" t="s">
        <v>27</v>
      </c>
      <c r="I5975" s="17">
        <v>42064</v>
      </c>
    </row>
    <row r="5976" spans="1:9">
      <c r="A5976" s="16" t="s">
        <v>9055</v>
      </c>
      <c r="B5976" s="1" t="s">
        <v>2628</v>
      </c>
      <c r="C5976" s="1">
        <v>5</v>
      </c>
      <c r="D5976" s="1" t="s">
        <v>34</v>
      </c>
      <c r="E5976" s="1" t="s">
        <v>10</v>
      </c>
      <c r="F5976" s="1" t="s">
        <v>5091</v>
      </c>
      <c r="G5976" s="14" t="s">
        <v>5853</v>
      </c>
      <c r="H5976" s="1" t="s">
        <v>27</v>
      </c>
      <c r="I5976" s="1" t="s">
        <v>4458</v>
      </c>
    </row>
    <row r="5977" spans="1:9">
      <c r="A5977" s="16" t="s">
        <v>9117</v>
      </c>
      <c r="B5977" s="1" t="s">
        <v>2628</v>
      </c>
      <c r="C5977" s="1">
        <v>5</v>
      </c>
      <c r="D5977" s="1" t="s">
        <v>34</v>
      </c>
      <c r="E5977" s="1" t="s">
        <v>10</v>
      </c>
      <c r="F5977" s="1" t="s">
        <v>5091</v>
      </c>
      <c r="G5977" s="14" t="s">
        <v>9115</v>
      </c>
      <c r="H5977" s="1" t="s">
        <v>27</v>
      </c>
      <c r="I5977" s="17">
        <v>39688</v>
      </c>
    </row>
    <row r="5978" spans="1:9">
      <c r="A5978" s="16" t="s">
        <v>9299</v>
      </c>
      <c r="B5978" s="1" t="s">
        <v>2628</v>
      </c>
      <c r="C5978" s="1">
        <v>1812</v>
      </c>
      <c r="D5978" s="1" t="s">
        <v>34</v>
      </c>
      <c r="E5978" s="1" t="s">
        <v>10</v>
      </c>
      <c r="F5978" s="1" t="s">
        <v>5091</v>
      </c>
      <c r="G5978" s="14" t="s">
        <v>5853</v>
      </c>
      <c r="H5978" s="1" t="s">
        <v>27</v>
      </c>
      <c r="I5978" s="17">
        <v>42156</v>
      </c>
    </row>
    <row r="5979" spans="1:9">
      <c r="A5979" s="16" t="s">
        <v>9372</v>
      </c>
      <c r="B5979" s="1" t="s">
        <v>2628</v>
      </c>
      <c r="C5979" s="1">
        <v>5</v>
      </c>
      <c r="D5979" s="1" t="s">
        <v>34</v>
      </c>
      <c r="E5979" s="1" t="s">
        <v>10</v>
      </c>
      <c r="F5979" s="1" t="s">
        <v>5091</v>
      </c>
      <c r="G5979" s="14" t="s">
        <v>5853</v>
      </c>
      <c r="H5979" s="1" t="s">
        <v>27</v>
      </c>
      <c r="I5979" s="17">
        <v>42186</v>
      </c>
    </row>
    <row r="5980" spans="1:9">
      <c r="A5980" s="16" t="s">
        <v>9373</v>
      </c>
      <c r="B5980" s="1" t="s">
        <v>2628</v>
      </c>
      <c r="C5980" s="1">
        <v>5</v>
      </c>
      <c r="D5980" s="1" t="s">
        <v>34</v>
      </c>
      <c r="E5980" s="1" t="s">
        <v>10</v>
      </c>
      <c r="F5980" s="1" t="s">
        <v>5091</v>
      </c>
      <c r="G5980" s="14" t="s">
        <v>9374</v>
      </c>
      <c r="H5980" s="1" t="s">
        <v>27</v>
      </c>
      <c r="I5980" s="1" t="s">
        <v>4458</v>
      </c>
    </row>
    <row r="5981" spans="1:9">
      <c r="A5981" s="16" t="s">
        <v>9401</v>
      </c>
      <c r="B5981" s="1" t="s">
        <v>2628</v>
      </c>
      <c r="C5981" s="1">
        <v>5</v>
      </c>
      <c r="D5981" s="1" t="s">
        <v>34</v>
      </c>
      <c r="E5981" s="1" t="s">
        <v>10</v>
      </c>
      <c r="F5981" s="1" t="s">
        <v>5091</v>
      </c>
      <c r="G5981" s="14" t="s">
        <v>5853</v>
      </c>
      <c r="H5981" s="1" t="s">
        <v>27</v>
      </c>
      <c r="I5981" s="17">
        <v>42186</v>
      </c>
    </row>
    <row r="5982" spans="1:9">
      <c r="A5982" s="16" t="s">
        <v>9407</v>
      </c>
      <c r="B5982" s="1" t="s">
        <v>2628</v>
      </c>
      <c r="C5982" s="1">
        <v>5</v>
      </c>
      <c r="D5982" s="1" t="s">
        <v>34</v>
      </c>
      <c r="E5982" s="1" t="s">
        <v>10</v>
      </c>
      <c r="F5982" s="1" t="s">
        <v>5091</v>
      </c>
      <c r="G5982" s="14" t="s">
        <v>5853</v>
      </c>
      <c r="H5982" s="1" t="s">
        <v>27</v>
      </c>
      <c r="I5982" s="17">
        <v>42217</v>
      </c>
    </row>
    <row r="5983" spans="1:9">
      <c r="A5983" s="16" t="s">
        <v>9616</v>
      </c>
      <c r="B5983" s="1" t="s">
        <v>2628</v>
      </c>
      <c r="C5983" s="1">
        <v>5</v>
      </c>
      <c r="D5983" s="1" t="s">
        <v>34</v>
      </c>
      <c r="E5983" s="1" t="s">
        <v>10</v>
      </c>
      <c r="F5983" s="1" t="s">
        <v>5091</v>
      </c>
      <c r="G5983" s="14" t="s">
        <v>5853</v>
      </c>
      <c r="H5983" s="1" t="s">
        <v>27</v>
      </c>
      <c r="I5983" s="17">
        <v>42248</v>
      </c>
    </row>
    <row r="5984" spans="1:9">
      <c r="A5984" s="16" t="s">
        <v>10114</v>
      </c>
      <c r="B5984" s="1" t="s">
        <v>2628</v>
      </c>
      <c r="C5984" s="1">
        <v>5</v>
      </c>
      <c r="D5984" s="1" t="s">
        <v>34</v>
      </c>
      <c r="E5984" s="1" t="s">
        <v>10</v>
      </c>
      <c r="F5984" s="1" t="s">
        <v>5091</v>
      </c>
      <c r="G5984" s="14" t="s">
        <v>9917</v>
      </c>
      <c r="H5984" s="1" t="s">
        <v>27</v>
      </c>
      <c r="I5984" s="17">
        <v>42370</v>
      </c>
    </row>
    <row r="5985" spans="1:9">
      <c r="A5985" s="16" t="s">
        <v>10206</v>
      </c>
      <c r="B5985" s="1" t="s">
        <v>2628</v>
      </c>
      <c r="C5985" s="1">
        <v>5</v>
      </c>
      <c r="D5985" s="1" t="s">
        <v>34</v>
      </c>
      <c r="E5985" s="1" t="s">
        <v>10</v>
      </c>
      <c r="F5985" s="1" t="s">
        <v>36</v>
      </c>
      <c r="G5985" s="14" t="s">
        <v>10207</v>
      </c>
      <c r="H5985" s="1" t="s">
        <v>27</v>
      </c>
      <c r="I5985" s="17">
        <v>38353</v>
      </c>
    </row>
    <row r="5986" spans="1:9">
      <c r="A5986" s="16" t="s">
        <v>10453</v>
      </c>
      <c r="B5986" s="1" t="s">
        <v>2628</v>
      </c>
      <c r="C5986" s="1">
        <v>5</v>
      </c>
      <c r="D5986" s="1" t="s">
        <v>34</v>
      </c>
      <c r="E5986" s="1" t="s">
        <v>10</v>
      </c>
      <c r="F5986" s="1" t="s">
        <v>5091</v>
      </c>
      <c r="G5986" s="14" t="s">
        <v>5853</v>
      </c>
      <c r="H5986" s="1" t="s">
        <v>27</v>
      </c>
      <c r="I5986" s="17">
        <v>42401</v>
      </c>
    </row>
    <row r="5987" spans="1:9">
      <c r="A5987" s="16" t="s">
        <v>10716</v>
      </c>
      <c r="B5987" s="1" t="s">
        <v>2628</v>
      </c>
      <c r="C5987" s="1">
        <v>5</v>
      </c>
      <c r="D5987" s="1" t="s">
        <v>34</v>
      </c>
      <c r="E5987" s="1" t="s">
        <v>10</v>
      </c>
      <c r="F5987" s="1" t="s">
        <v>5033</v>
      </c>
      <c r="G5987" s="14" t="s">
        <v>10717</v>
      </c>
      <c r="H5987" s="1" t="s">
        <v>27</v>
      </c>
      <c r="I5987" s="17">
        <v>40179</v>
      </c>
    </row>
    <row r="5988" spans="1:9">
      <c r="A5988" s="16" t="s">
        <v>10817</v>
      </c>
      <c r="B5988" s="1" t="s">
        <v>2628</v>
      </c>
      <c r="C5988" s="1">
        <v>5</v>
      </c>
      <c r="D5988" s="1" t="s">
        <v>34</v>
      </c>
      <c r="E5988" s="1" t="s">
        <v>10</v>
      </c>
      <c r="F5988" s="1" t="s">
        <v>5091</v>
      </c>
      <c r="G5988" s="14" t="s">
        <v>5853</v>
      </c>
      <c r="H5988" s="1" t="s">
        <v>27</v>
      </c>
      <c r="I5988" s="17">
        <v>42401</v>
      </c>
    </row>
    <row r="5989" spans="1:9">
      <c r="A5989" s="16" t="s">
        <v>11218</v>
      </c>
      <c r="B5989" s="1" t="s">
        <v>2628</v>
      </c>
      <c r="C5989" s="1">
        <v>5</v>
      </c>
      <c r="D5989" s="1" t="s">
        <v>34</v>
      </c>
      <c r="E5989" s="1" t="s">
        <v>10</v>
      </c>
      <c r="F5989" s="1" t="s">
        <v>5091</v>
      </c>
      <c r="G5989" s="14" t="s">
        <v>27</v>
      </c>
      <c r="H5989" s="1" t="s">
        <v>27</v>
      </c>
      <c r="I5989" s="17">
        <v>35418</v>
      </c>
    </row>
    <row r="5990" spans="1:9">
      <c r="A5990" s="16" t="s">
        <v>11289</v>
      </c>
      <c r="B5990" s="1" t="s">
        <v>2628</v>
      </c>
      <c r="C5990" s="1">
        <v>5</v>
      </c>
      <c r="D5990" s="1" t="s">
        <v>34</v>
      </c>
      <c r="E5990" s="1" t="s">
        <v>10</v>
      </c>
      <c r="F5990" s="1" t="s">
        <v>5091</v>
      </c>
      <c r="G5990" s="14" t="s">
        <v>5853</v>
      </c>
      <c r="H5990" s="1" t="s">
        <v>27</v>
      </c>
      <c r="I5990" s="17">
        <v>42491</v>
      </c>
    </row>
    <row r="5991" spans="1:9">
      <c r="A5991" s="16" t="s">
        <v>11371</v>
      </c>
      <c r="B5991" s="1" t="s">
        <v>2628</v>
      </c>
      <c r="C5991" s="1">
        <v>5</v>
      </c>
      <c r="D5991" s="1" t="s">
        <v>34</v>
      </c>
      <c r="E5991" s="1" t="s">
        <v>10</v>
      </c>
      <c r="F5991" s="1" t="s">
        <v>5091</v>
      </c>
      <c r="G5991" s="14" t="s">
        <v>5853</v>
      </c>
      <c r="H5991" s="1" t="s">
        <v>27</v>
      </c>
      <c r="I5991" s="17">
        <v>42552</v>
      </c>
    </row>
    <row r="5992" spans="1:9">
      <c r="A5992" s="16" t="s">
        <v>11449</v>
      </c>
      <c r="B5992" s="1" t="s">
        <v>2628</v>
      </c>
      <c r="C5992" s="1">
        <v>5</v>
      </c>
      <c r="D5992" s="1" t="s">
        <v>34</v>
      </c>
      <c r="E5992" s="1" t="s">
        <v>10</v>
      </c>
      <c r="F5992" s="1" t="s">
        <v>5241</v>
      </c>
      <c r="G5992" s="14" t="s">
        <v>4800</v>
      </c>
      <c r="H5992" s="1" t="s">
        <v>27</v>
      </c>
      <c r="I5992" s="17">
        <v>41395</v>
      </c>
    </row>
    <row r="5993" spans="1:9">
      <c r="A5993" s="16" t="s">
        <v>11512</v>
      </c>
      <c r="B5993" s="1" t="s">
        <v>2628</v>
      </c>
      <c r="C5993" s="1">
        <v>5</v>
      </c>
      <c r="D5993" s="1" t="s">
        <v>34</v>
      </c>
      <c r="E5993" s="1" t="s">
        <v>10</v>
      </c>
      <c r="F5993" s="1" t="s">
        <v>5241</v>
      </c>
      <c r="G5993" s="14" t="s">
        <v>4800</v>
      </c>
      <c r="H5993" s="1" t="s">
        <v>27</v>
      </c>
      <c r="I5993" s="17">
        <v>41153</v>
      </c>
    </row>
    <row r="5994" spans="1:9">
      <c r="A5994" s="16" t="s">
        <v>11524</v>
      </c>
      <c r="B5994" s="1" t="s">
        <v>2628</v>
      </c>
      <c r="C5994" s="1">
        <v>5</v>
      </c>
      <c r="D5994" s="1" t="s">
        <v>34</v>
      </c>
      <c r="E5994" s="1" t="s">
        <v>10</v>
      </c>
      <c r="F5994" s="1" t="s">
        <v>5241</v>
      </c>
      <c r="G5994" s="14" t="s">
        <v>4800</v>
      </c>
      <c r="H5994" s="1" t="s">
        <v>27</v>
      </c>
      <c r="I5994" s="17">
        <v>41091</v>
      </c>
    </row>
    <row r="5995" spans="1:9">
      <c r="A5995" s="16" t="s">
        <v>11525</v>
      </c>
      <c r="B5995" s="1" t="s">
        <v>2628</v>
      </c>
      <c r="C5995" s="1">
        <v>5</v>
      </c>
      <c r="D5995" s="1" t="s">
        <v>34</v>
      </c>
      <c r="E5995" s="1" t="s">
        <v>10</v>
      </c>
      <c r="F5995" s="1" t="s">
        <v>5241</v>
      </c>
      <c r="G5995" s="14" t="s">
        <v>4800</v>
      </c>
      <c r="H5995" s="1" t="s">
        <v>27</v>
      </c>
      <c r="I5995" s="17">
        <v>41153</v>
      </c>
    </row>
    <row r="5996" spans="1:9">
      <c r="A5996" s="16" t="s">
        <v>11526</v>
      </c>
      <c r="B5996" s="1" t="s">
        <v>2628</v>
      </c>
      <c r="C5996" s="1">
        <v>5</v>
      </c>
      <c r="D5996" s="1" t="s">
        <v>34</v>
      </c>
      <c r="E5996" s="1" t="s">
        <v>10</v>
      </c>
      <c r="F5996" s="1" t="s">
        <v>5241</v>
      </c>
      <c r="G5996" s="14" t="s">
        <v>4800</v>
      </c>
      <c r="H5996" s="1" t="s">
        <v>27</v>
      </c>
      <c r="I5996" s="17">
        <v>41122</v>
      </c>
    </row>
    <row r="5997" spans="1:9">
      <c r="A5997" s="16" t="s">
        <v>11544</v>
      </c>
      <c r="B5997" s="1" t="s">
        <v>2628</v>
      </c>
      <c r="C5997" s="1">
        <v>5</v>
      </c>
      <c r="D5997" s="1" t="s">
        <v>34</v>
      </c>
      <c r="E5997" s="1" t="s">
        <v>10</v>
      </c>
      <c r="F5997" s="1" t="s">
        <v>5241</v>
      </c>
      <c r="G5997" s="14" t="s">
        <v>4800</v>
      </c>
      <c r="H5997" s="1" t="s">
        <v>27</v>
      </c>
      <c r="I5997" s="17">
        <v>41334</v>
      </c>
    </row>
    <row r="5998" spans="1:9">
      <c r="A5998" s="16" t="s">
        <v>11570</v>
      </c>
      <c r="B5998" s="1" t="s">
        <v>2628</v>
      </c>
      <c r="C5998" s="1">
        <v>5</v>
      </c>
      <c r="D5998" s="1" t="s">
        <v>34</v>
      </c>
      <c r="E5998" s="1" t="s">
        <v>10</v>
      </c>
      <c r="F5998" s="1" t="s">
        <v>5091</v>
      </c>
      <c r="G5998" s="14" t="s">
        <v>5853</v>
      </c>
      <c r="H5998" s="1" t="s">
        <v>27</v>
      </c>
      <c r="I5998" s="17">
        <v>42552</v>
      </c>
    </row>
    <row r="5999" spans="1:9">
      <c r="A5999" s="16" t="s">
        <v>11625</v>
      </c>
      <c r="B5999" s="1" t="s">
        <v>2628</v>
      </c>
      <c r="C5999" s="1">
        <v>5</v>
      </c>
      <c r="D5999" s="1" t="s">
        <v>34</v>
      </c>
      <c r="E5999" s="1" t="s">
        <v>10</v>
      </c>
      <c r="F5999" s="1" t="s">
        <v>5091</v>
      </c>
      <c r="G5999" s="14" t="s">
        <v>5853</v>
      </c>
      <c r="H5999" s="1" t="s">
        <v>27</v>
      </c>
      <c r="I5999" s="17">
        <v>42583</v>
      </c>
    </row>
    <row r="6000" spans="1:9">
      <c r="A6000" s="16" t="s">
        <v>11660</v>
      </c>
      <c r="B6000" s="1" t="s">
        <v>2628</v>
      </c>
      <c r="C6000" s="1">
        <v>5</v>
      </c>
      <c r="D6000" s="1" t="s">
        <v>34</v>
      </c>
      <c r="E6000" s="1" t="s">
        <v>10</v>
      </c>
      <c r="F6000" s="1" t="s">
        <v>5091</v>
      </c>
      <c r="G6000" s="14" t="s">
        <v>5853</v>
      </c>
      <c r="H6000" s="1" t="s">
        <v>27</v>
      </c>
      <c r="I6000" s="17">
        <v>42614</v>
      </c>
    </row>
    <row r="6001" spans="1:9">
      <c r="A6001" s="16" t="s">
        <v>11766</v>
      </c>
      <c r="B6001" s="1" t="s">
        <v>2628</v>
      </c>
      <c r="C6001" s="1">
        <v>5</v>
      </c>
      <c r="D6001" s="1" t="s">
        <v>34</v>
      </c>
      <c r="E6001" s="1" t="s">
        <v>10</v>
      </c>
      <c r="F6001" s="1" t="s">
        <v>5091</v>
      </c>
      <c r="G6001" s="14" t="s">
        <v>5853</v>
      </c>
      <c r="H6001" s="1" t="s">
        <v>27</v>
      </c>
      <c r="I6001" s="17">
        <v>42583</v>
      </c>
    </row>
    <row r="6002" spans="1:9">
      <c r="A6002" s="16" t="s">
        <v>11876</v>
      </c>
      <c r="B6002" s="1" t="s">
        <v>2628</v>
      </c>
      <c r="C6002" s="1">
        <v>5</v>
      </c>
      <c r="D6002" s="1" t="s">
        <v>34</v>
      </c>
      <c r="E6002" s="1" t="s">
        <v>10</v>
      </c>
      <c r="F6002" s="1" t="s">
        <v>5091</v>
      </c>
      <c r="G6002" s="14" t="s">
        <v>5853</v>
      </c>
      <c r="H6002" s="1" t="s">
        <v>27</v>
      </c>
      <c r="I6002" s="17">
        <v>42675</v>
      </c>
    </row>
    <row r="6003" spans="1:9">
      <c r="A6003" s="16" t="s">
        <v>12075</v>
      </c>
      <c r="B6003" s="1" t="s">
        <v>2628</v>
      </c>
      <c r="C6003" s="1">
        <v>5</v>
      </c>
      <c r="D6003" s="1" t="s">
        <v>34</v>
      </c>
      <c r="E6003" s="1" t="s">
        <v>10</v>
      </c>
      <c r="F6003" s="1" t="s">
        <v>5091</v>
      </c>
      <c r="G6003" s="14" t="s">
        <v>5853</v>
      </c>
      <c r="H6003" s="1" t="s">
        <v>27</v>
      </c>
      <c r="I6003" s="17">
        <v>42675</v>
      </c>
    </row>
    <row r="6004" spans="1:9">
      <c r="A6004" s="16" t="s">
        <v>12816</v>
      </c>
      <c r="B6004" s="1" t="s">
        <v>2628</v>
      </c>
      <c r="C6004" s="1">
        <v>5</v>
      </c>
      <c r="D6004" s="1" t="s">
        <v>34</v>
      </c>
      <c r="E6004" s="1" t="s">
        <v>10</v>
      </c>
      <c r="F6004" s="1" t="s">
        <v>5091</v>
      </c>
      <c r="G6004" s="14" t="s">
        <v>27</v>
      </c>
      <c r="H6004" s="1" t="s">
        <v>27</v>
      </c>
      <c r="I6004" s="1" t="s">
        <v>4458</v>
      </c>
    </row>
    <row r="6005" spans="1:9">
      <c r="A6005" s="16" t="s">
        <v>13033</v>
      </c>
      <c r="B6005" s="1" t="s">
        <v>2628</v>
      </c>
      <c r="C6005" s="1">
        <v>5</v>
      </c>
      <c r="D6005" s="1" t="s">
        <v>34</v>
      </c>
      <c r="E6005" s="1" t="s">
        <v>10</v>
      </c>
      <c r="F6005" s="1" t="s">
        <v>5091</v>
      </c>
      <c r="G6005" s="14" t="s">
        <v>5853</v>
      </c>
      <c r="H6005" s="1" t="s">
        <v>27</v>
      </c>
      <c r="I6005" s="17">
        <v>42856</v>
      </c>
    </row>
    <row r="6006" spans="1:9">
      <c r="A6006" s="16" t="s">
        <v>13321</v>
      </c>
      <c r="B6006" s="1" t="s">
        <v>2628</v>
      </c>
      <c r="C6006" s="1">
        <v>5</v>
      </c>
      <c r="D6006" s="1" t="s">
        <v>34</v>
      </c>
      <c r="E6006" s="1" t="s">
        <v>10</v>
      </c>
      <c r="F6006" s="1" t="s">
        <v>5091</v>
      </c>
      <c r="G6006" s="14" t="s">
        <v>5853</v>
      </c>
      <c r="H6006" s="1" t="s">
        <v>27</v>
      </c>
      <c r="I6006" s="17">
        <v>42917</v>
      </c>
    </row>
    <row r="6007" spans="1:9">
      <c r="A6007" s="16" t="s">
        <v>13333</v>
      </c>
      <c r="B6007" s="1" t="s">
        <v>2628</v>
      </c>
      <c r="C6007" s="1">
        <v>5</v>
      </c>
      <c r="D6007" s="1" t="s">
        <v>34</v>
      </c>
      <c r="E6007" s="1" t="s">
        <v>10</v>
      </c>
      <c r="F6007" s="1" t="s">
        <v>5091</v>
      </c>
      <c r="G6007" s="14" t="s">
        <v>5853</v>
      </c>
      <c r="H6007" s="1" t="s">
        <v>27</v>
      </c>
      <c r="I6007" s="17">
        <v>42948</v>
      </c>
    </row>
    <row r="6008" spans="1:9">
      <c r="A6008" s="16" t="s">
        <v>13545</v>
      </c>
      <c r="B6008" s="1" t="s">
        <v>2628</v>
      </c>
      <c r="C6008" s="1">
        <v>5</v>
      </c>
      <c r="D6008" s="1" t="s">
        <v>34</v>
      </c>
      <c r="E6008" s="1" t="s">
        <v>10</v>
      </c>
      <c r="F6008" s="1" t="s">
        <v>5091</v>
      </c>
      <c r="G6008" s="14" t="s">
        <v>5853</v>
      </c>
      <c r="H6008" s="1" t="s">
        <v>27</v>
      </c>
      <c r="I6008" s="17">
        <v>42856</v>
      </c>
    </row>
    <row r="6009" spans="1:9">
      <c r="A6009" s="16" t="s">
        <v>13571</v>
      </c>
      <c r="B6009" s="1" t="s">
        <v>2628</v>
      </c>
      <c r="C6009" s="1">
        <v>5</v>
      </c>
      <c r="D6009" s="1" t="s">
        <v>34</v>
      </c>
      <c r="E6009" s="1" t="s">
        <v>10</v>
      </c>
      <c r="F6009" s="1" t="s">
        <v>5091</v>
      </c>
      <c r="G6009" s="14" t="s">
        <v>5853</v>
      </c>
      <c r="H6009" s="1" t="s">
        <v>27</v>
      </c>
      <c r="I6009" s="17">
        <v>43040</v>
      </c>
    </row>
    <row r="6010" spans="1:9">
      <c r="A6010" s="16" t="s">
        <v>13594</v>
      </c>
      <c r="B6010" s="1" t="s">
        <v>2628</v>
      </c>
      <c r="C6010" s="1">
        <v>5</v>
      </c>
      <c r="D6010" s="1" t="s">
        <v>34</v>
      </c>
      <c r="E6010" s="1" t="s">
        <v>10</v>
      </c>
      <c r="F6010" s="1" t="s">
        <v>5091</v>
      </c>
      <c r="G6010" s="14" t="s">
        <v>5853</v>
      </c>
      <c r="H6010" s="1" t="s">
        <v>27</v>
      </c>
      <c r="I6010" s="17">
        <v>43040</v>
      </c>
    </row>
    <row r="6011" spans="1:9">
      <c r="A6011" s="16" t="s">
        <v>13628</v>
      </c>
      <c r="B6011" s="1" t="s">
        <v>2628</v>
      </c>
      <c r="C6011" s="1">
        <v>5</v>
      </c>
      <c r="D6011" s="1" t="s">
        <v>34</v>
      </c>
      <c r="E6011" s="1" t="s">
        <v>10</v>
      </c>
      <c r="F6011" s="1" t="s">
        <v>5091</v>
      </c>
      <c r="G6011" s="14" t="s">
        <v>13629</v>
      </c>
      <c r="H6011" s="1" t="s">
        <v>27</v>
      </c>
      <c r="I6011" s="17">
        <v>43040</v>
      </c>
    </row>
    <row r="6012" spans="1:9">
      <c r="A6012" s="16" t="s">
        <v>13660</v>
      </c>
      <c r="B6012" s="1" t="s">
        <v>2628</v>
      </c>
      <c r="C6012" s="1">
        <v>5</v>
      </c>
      <c r="D6012" s="1" t="s">
        <v>34</v>
      </c>
      <c r="E6012" s="1" t="s">
        <v>10</v>
      </c>
      <c r="F6012" s="1" t="s">
        <v>5091</v>
      </c>
      <c r="G6012" s="14" t="s">
        <v>5853</v>
      </c>
      <c r="H6012" s="1" t="s">
        <v>27</v>
      </c>
      <c r="I6012" s="17">
        <v>43040</v>
      </c>
    </row>
    <row r="6013" spans="1:9">
      <c r="A6013" s="16" t="s">
        <v>13681</v>
      </c>
      <c r="B6013" s="1" t="s">
        <v>2628</v>
      </c>
      <c r="C6013" s="1">
        <v>5</v>
      </c>
      <c r="D6013" s="1" t="s">
        <v>34</v>
      </c>
      <c r="E6013" s="1" t="s">
        <v>10</v>
      </c>
      <c r="F6013" s="1" t="s">
        <v>5091</v>
      </c>
      <c r="G6013" s="14" t="s">
        <v>27</v>
      </c>
      <c r="H6013" s="1" t="s">
        <v>27</v>
      </c>
      <c r="I6013" s="17">
        <v>41621</v>
      </c>
    </row>
    <row r="6014" spans="1:9">
      <c r="A6014" s="16" t="s">
        <v>13963</v>
      </c>
      <c r="B6014" s="1" t="s">
        <v>2628</v>
      </c>
      <c r="C6014" s="1">
        <v>5</v>
      </c>
      <c r="D6014" s="1" t="s">
        <v>34</v>
      </c>
      <c r="E6014" s="1" t="s">
        <v>10</v>
      </c>
      <c r="F6014" s="1" t="s">
        <v>5091</v>
      </c>
      <c r="G6014" s="14" t="s">
        <v>5853</v>
      </c>
      <c r="H6014" s="1" t="s">
        <v>27</v>
      </c>
      <c r="I6014" s="17">
        <v>43132</v>
      </c>
    </row>
    <row r="6015" spans="1:9">
      <c r="A6015" s="16" t="s">
        <v>13994</v>
      </c>
      <c r="B6015" s="1" t="s">
        <v>2628</v>
      </c>
      <c r="C6015" s="1">
        <v>5</v>
      </c>
      <c r="D6015" s="1" t="s">
        <v>34</v>
      </c>
      <c r="E6015" s="1" t="s">
        <v>10</v>
      </c>
      <c r="F6015" s="1" t="s">
        <v>5091</v>
      </c>
      <c r="G6015" s="14" t="s">
        <v>5853</v>
      </c>
      <c r="H6015" s="1" t="s">
        <v>27</v>
      </c>
      <c r="I6015" s="17">
        <v>43070</v>
      </c>
    </row>
    <row r="6016" spans="1:9">
      <c r="A6016" s="16" t="s">
        <v>14017</v>
      </c>
      <c r="B6016" s="1" t="s">
        <v>2628</v>
      </c>
      <c r="C6016" s="1">
        <v>5</v>
      </c>
      <c r="D6016" s="1" t="s">
        <v>34</v>
      </c>
      <c r="E6016" s="1" t="s">
        <v>10</v>
      </c>
      <c r="F6016" s="1" t="s">
        <v>5241</v>
      </c>
      <c r="G6016" s="14" t="s">
        <v>4800</v>
      </c>
      <c r="H6016" s="1" t="s">
        <v>27</v>
      </c>
      <c r="I6016" s="17">
        <v>41640</v>
      </c>
    </row>
    <row r="6017" spans="1:9">
      <c r="A6017" s="16" t="s">
        <v>14036</v>
      </c>
      <c r="B6017" s="1" t="s">
        <v>2628</v>
      </c>
      <c r="C6017" s="1">
        <v>5</v>
      </c>
      <c r="D6017" s="1" t="s">
        <v>34</v>
      </c>
      <c r="E6017" s="1" t="s">
        <v>10</v>
      </c>
      <c r="F6017" s="1" t="s">
        <v>5241</v>
      </c>
      <c r="G6017" s="14" t="s">
        <v>4800</v>
      </c>
      <c r="H6017" s="1" t="s">
        <v>27</v>
      </c>
      <c r="I6017" s="17">
        <v>41883</v>
      </c>
    </row>
    <row r="6018" spans="1:9">
      <c r="A6018" s="16" t="s">
        <v>14100</v>
      </c>
      <c r="B6018" s="1" t="s">
        <v>2628</v>
      </c>
      <c r="C6018" s="1">
        <v>820</v>
      </c>
      <c r="D6018" s="1" t="s">
        <v>34</v>
      </c>
      <c r="E6018" s="1" t="s">
        <v>10</v>
      </c>
      <c r="F6018" s="1" t="s">
        <v>5091</v>
      </c>
      <c r="G6018" s="14" t="s">
        <v>5853</v>
      </c>
      <c r="H6018" s="1" t="s">
        <v>27</v>
      </c>
      <c r="I6018" s="17">
        <v>43160</v>
      </c>
    </row>
    <row r="6019" spans="1:9">
      <c r="A6019" s="16" t="s">
        <v>14268</v>
      </c>
      <c r="B6019" s="1" t="s">
        <v>2628</v>
      </c>
      <c r="C6019" s="1">
        <v>5</v>
      </c>
      <c r="D6019" s="1" t="s">
        <v>34</v>
      </c>
      <c r="E6019" s="1" t="s">
        <v>10</v>
      </c>
      <c r="F6019" s="1" t="s">
        <v>5241</v>
      </c>
      <c r="G6019" s="14" t="s">
        <v>4800</v>
      </c>
      <c r="H6019" s="1" t="s">
        <v>27</v>
      </c>
      <c r="I6019" s="17">
        <v>42248</v>
      </c>
    </row>
    <row r="6020" spans="1:9">
      <c r="A6020" s="16" t="s">
        <v>14269</v>
      </c>
      <c r="B6020" s="1" t="s">
        <v>2628</v>
      </c>
      <c r="C6020" s="1">
        <v>5</v>
      </c>
      <c r="D6020" s="1" t="s">
        <v>34</v>
      </c>
      <c r="E6020" s="1" t="s">
        <v>10</v>
      </c>
      <c r="F6020" s="1" t="s">
        <v>5241</v>
      </c>
      <c r="G6020" s="14" t="s">
        <v>4800</v>
      </c>
      <c r="H6020" s="1" t="s">
        <v>27</v>
      </c>
      <c r="I6020" s="17">
        <v>42675</v>
      </c>
    </row>
    <row r="6021" spans="1:9">
      <c r="A6021" s="16" t="s">
        <v>14274</v>
      </c>
      <c r="B6021" s="1" t="s">
        <v>2628</v>
      </c>
      <c r="C6021" s="1">
        <v>5</v>
      </c>
      <c r="D6021" s="1" t="s">
        <v>34</v>
      </c>
      <c r="E6021" s="1" t="s">
        <v>10</v>
      </c>
      <c r="F6021" s="1" t="s">
        <v>5241</v>
      </c>
      <c r="G6021" s="14" t="s">
        <v>4800</v>
      </c>
      <c r="H6021" s="1" t="s">
        <v>27</v>
      </c>
      <c r="I6021" s="17">
        <v>42675</v>
      </c>
    </row>
    <row r="6022" spans="1:9">
      <c r="A6022" s="16" t="s">
        <v>14278</v>
      </c>
      <c r="B6022" s="1" t="s">
        <v>2628</v>
      </c>
      <c r="C6022" s="1">
        <v>5</v>
      </c>
      <c r="D6022" s="1" t="s">
        <v>34</v>
      </c>
      <c r="E6022" s="1" t="s">
        <v>10</v>
      </c>
      <c r="F6022" s="1" t="s">
        <v>5241</v>
      </c>
      <c r="G6022" s="14" t="s">
        <v>4800</v>
      </c>
      <c r="H6022" s="1" t="s">
        <v>27</v>
      </c>
      <c r="I6022" s="17">
        <v>42522</v>
      </c>
    </row>
    <row r="6023" spans="1:9">
      <c r="A6023" s="16" t="s">
        <v>14320</v>
      </c>
      <c r="B6023" s="1" t="s">
        <v>2628</v>
      </c>
      <c r="C6023" s="1">
        <v>5</v>
      </c>
      <c r="D6023" s="1" t="s">
        <v>34</v>
      </c>
      <c r="E6023" s="1" t="s">
        <v>10</v>
      </c>
      <c r="F6023" s="1" t="s">
        <v>5241</v>
      </c>
      <c r="G6023" s="14" t="s">
        <v>4800</v>
      </c>
      <c r="H6023" s="1" t="s">
        <v>27</v>
      </c>
      <c r="I6023" s="17">
        <v>42522</v>
      </c>
    </row>
    <row r="6024" spans="1:9">
      <c r="A6024" s="16" t="s">
        <v>14604</v>
      </c>
      <c r="B6024" s="1" t="s">
        <v>2628</v>
      </c>
      <c r="C6024" s="1">
        <v>5</v>
      </c>
      <c r="D6024" s="1" t="s">
        <v>34</v>
      </c>
      <c r="E6024" s="1" t="s">
        <v>10</v>
      </c>
      <c r="F6024" s="1" t="s">
        <v>5091</v>
      </c>
      <c r="G6024" s="14" t="s">
        <v>5853</v>
      </c>
      <c r="H6024" s="1" t="s">
        <v>27</v>
      </c>
      <c r="I6024" s="17">
        <v>43282</v>
      </c>
    </row>
    <row r="6025" spans="1:9">
      <c r="A6025" s="16" t="s">
        <v>14635</v>
      </c>
      <c r="B6025" s="1" t="s">
        <v>2628</v>
      </c>
      <c r="C6025" s="1">
        <v>5</v>
      </c>
      <c r="D6025" s="1" t="s">
        <v>34</v>
      </c>
      <c r="E6025" s="1" t="s">
        <v>10</v>
      </c>
      <c r="F6025" s="1" t="s">
        <v>5091</v>
      </c>
      <c r="G6025" s="14" t="s">
        <v>5853</v>
      </c>
      <c r="H6025" s="1" t="s">
        <v>27</v>
      </c>
      <c r="I6025" s="17">
        <v>43282</v>
      </c>
    </row>
    <row r="6026" spans="1:9">
      <c r="A6026" s="16" t="s">
        <v>14636</v>
      </c>
      <c r="B6026" s="1" t="s">
        <v>2628</v>
      </c>
      <c r="C6026" s="1">
        <v>5</v>
      </c>
      <c r="D6026" s="1" t="s">
        <v>34</v>
      </c>
      <c r="E6026" s="1" t="s">
        <v>10</v>
      </c>
      <c r="F6026" s="1" t="s">
        <v>5091</v>
      </c>
      <c r="G6026" s="14" t="s">
        <v>5853</v>
      </c>
      <c r="H6026" s="1" t="s">
        <v>27</v>
      </c>
      <c r="I6026" s="17">
        <v>43282</v>
      </c>
    </row>
    <row r="6027" spans="1:9">
      <c r="A6027" s="16" t="s">
        <v>15642</v>
      </c>
      <c r="B6027" s="1" t="s">
        <v>2628</v>
      </c>
      <c r="C6027" s="1">
        <v>5</v>
      </c>
      <c r="D6027" s="1" t="s">
        <v>34</v>
      </c>
      <c r="E6027" s="1" t="s">
        <v>10</v>
      </c>
      <c r="F6027" s="1" t="s">
        <v>5091</v>
      </c>
      <c r="G6027" s="14" t="s">
        <v>5853</v>
      </c>
      <c r="H6027" s="1" t="s">
        <v>27</v>
      </c>
      <c r="I6027" s="17">
        <v>43344</v>
      </c>
    </row>
    <row r="6028" spans="1:9">
      <c r="A6028" s="16" t="s">
        <v>15661</v>
      </c>
      <c r="B6028" s="1" t="s">
        <v>2628</v>
      </c>
      <c r="C6028" s="1">
        <v>5</v>
      </c>
      <c r="D6028" s="1" t="s">
        <v>34</v>
      </c>
      <c r="E6028" s="1" t="s">
        <v>10</v>
      </c>
      <c r="F6028" s="1" t="s">
        <v>5091</v>
      </c>
      <c r="G6028" s="14" t="s">
        <v>5853</v>
      </c>
      <c r="H6028" s="1" t="s">
        <v>27</v>
      </c>
      <c r="I6028" s="17">
        <v>43344</v>
      </c>
    </row>
    <row r="6029" spans="1:9">
      <c r="A6029" s="16" t="s">
        <v>15717</v>
      </c>
      <c r="B6029" s="1" t="s">
        <v>2628</v>
      </c>
      <c r="C6029" s="1">
        <v>5</v>
      </c>
      <c r="D6029" s="1" t="s">
        <v>34</v>
      </c>
      <c r="E6029" s="1" t="s">
        <v>10</v>
      </c>
      <c r="F6029" s="1" t="s">
        <v>5091</v>
      </c>
      <c r="G6029" s="14" t="s">
        <v>5853</v>
      </c>
      <c r="H6029" s="1" t="s">
        <v>27</v>
      </c>
      <c r="I6029" s="17">
        <v>43374</v>
      </c>
    </row>
    <row r="6030" spans="1:9">
      <c r="A6030" s="7" t="s">
        <v>15738</v>
      </c>
      <c r="B6030" s="2" t="s">
        <v>2628</v>
      </c>
      <c r="C6030" s="1">
        <v>5</v>
      </c>
      <c r="D6030" s="1" t="s">
        <v>34</v>
      </c>
      <c r="E6030" s="1" t="s">
        <v>10</v>
      </c>
      <c r="F6030" s="1" t="s">
        <v>5091</v>
      </c>
      <c r="G6030" s="14" t="s">
        <v>5853</v>
      </c>
      <c r="H6030" s="1" t="s">
        <v>27</v>
      </c>
      <c r="I6030" s="1" t="s">
        <v>4458</v>
      </c>
    </row>
    <row r="6031" spans="1:9">
      <c r="A6031" s="7" t="s">
        <v>16090</v>
      </c>
      <c r="B6031" s="2" t="s">
        <v>2628</v>
      </c>
      <c r="C6031" s="1">
        <v>5</v>
      </c>
      <c r="D6031" s="1" t="s">
        <v>34</v>
      </c>
      <c r="E6031" s="1" t="s">
        <v>10</v>
      </c>
      <c r="F6031" s="1" t="s">
        <v>5241</v>
      </c>
      <c r="G6031" s="14" t="s">
        <v>4800</v>
      </c>
      <c r="H6031" s="1" t="s">
        <v>27</v>
      </c>
      <c r="I6031" s="1" t="s">
        <v>5801</v>
      </c>
    </row>
    <row r="6032" spans="1:9">
      <c r="A6032" s="7" t="s">
        <v>16182</v>
      </c>
      <c r="B6032" s="2" t="s">
        <v>2628</v>
      </c>
      <c r="C6032" s="1">
        <v>5</v>
      </c>
      <c r="D6032" s="1" t="s">
        <v>34</v>
      </c>
      <c r="E6032" s="1" t="s">
        <v>10</v>
      </c>
      <c r="F6032" s="1" t="s">
        <v>5091</v>
      </c>
      <c r="G6032" s="14" t="s">
        <v>4788</v>
      </c>
      <c r="H6032" s="1" t="s">
        <v>4456</v>
      </c>
      <c r="I6032" s="1" t="s">
        <v>7214</v>
      </c>
    </row>
    <row r="6033" spans="1:9">
      <c r="A6033" s="7" t="s">
        <v>16692</v>
      </c>
      <c r="B6033" s="2" t="s">
        <v>2628</v>
      </c>
      <c r="C6033" s="1">
        <v>5</v>
      </c>
      <c r="D6033" s="1" t="s">
        <v>34</v>
      </c>
      <c r="E6033" s="1" t="s">
        <v>10</v>
      </c>
      <c r="F6033" s="1" t="s">
        <v>5241</v>
      </c>
      <c r="G6033" s="14" t="s">
        <v>4800</v>
      </c>
      <c r="H6033" s="1" t="s">
        <v>27</v>
      </c>
      <c r="I6033" s="1" t="s">
        <v>5807</v>
      </c>
    </row>
    <row r="6034" spans="1:9">
      <c r="A6034" s="16" t="s">
        <v>16757</v>
      </c>
      <c r="B6034" s="1" t="s">
        <v>2628</v>
      </c>
      <c r="C6034" s="1">
        <v>5</v>
      </c>
      <c r="D6034" s="1" t="s">
        <v>34</v>
      </c>
      <c r="E6034" s="1" t="s">
        <v>10</v>
      </c>
      <c r="F6034" s="1" t="s">
        <v>5091</v>
      </c>
      <c r="G6034" s="14" t="s">
        <v>5853</v>
      </c>
      <c r="H6034" s="1" t="s">
        <v>27</v>
      </c>
      <c r="I6034" s="17">
        <v>41485</v>
      </c>
    </row>
    <row r="6035" spans="1:9">
      <c r="A6035" s="16" t="s">
        <v>4790</v>
      </c>
      <c r="B6035" s="1" t="s">
        <v>2628</v>
      </c>
      <c r="C6035" s="1">
        <v>5</v>
      </c>
      <c r="D6035" s="1" t="s">
        <v>34</v>
      </c>
      <c r="E6035" s="1" t="s">
        <v>10</v>
      </c>
      <c r="F6035" s="1" t="s">
        <v>118</v>
      </c>
      <c r="G6035" s="14" t="s">
        <v>4458</v>
      </c>
      <c r="H6035" s="1" t="s">
        <v>118</v>
      </c>
      <c r="I6035" s="1" t="s">
        <v>4458</v>
      </c>
    </row>
    <row r="6036" spans="1:9">
      <c r="A6036" s="16" t="s">
        <v>4808</v>
      </c>
      <c r="B6036" s="1" t="s">
        <v>2628</v>
      </c>
      <c r="C6036" s="1">
        <v>5</v>
      </c>
      <c r="D6036" s="1" t="s">
        <v>34</v>
      </c>
      <c r="E6036" s="1" t="s">
        <v>10</v>
      </c>
      <c r="F6036" s="1" t="s">
        <v>2693</v>
      </c>
      <c r="G6036" s="14" t="s">
        <v>5</v>
      </c>
      <c r="H6036" s="1" t="s">
        <v>5</v>
      </c>
      <c r="I6036" s="17">
        <v>35796</v>
      </c>
    </row>
    <row r="6037" spans="1:9">
      <c r="A6037" s="16" t="s">
        <v>4809</v>
      </c>
      <c r="B6037" s="1" t="s">
        <v>2628</v>
      </c>
      <c r="C6037" s="1">
        <v>5</v>
      </c>
      <c r="D6037" s="1" t="s">
        <v>34</v>
      </c>
      <c r="E6037" s="1" t="s">
        <v>10</v>
      </c>
      <c r="F6037" s="1" t="s">
        <v>2693</v>
      </c>
      <c r="G6037" s="14" t="s">
        <v>5</v>
      </c>
      <c r="H6037" s="1" t="s">
        <v>5</v>
      </c>
      <c r="I6037" s="17">
        <v>35796</v>
      </c>
    </row>
    <row r="6038" spans="1:9">
      <c r="A6038" s="16" t="s">
        <v>4810</v>
      </c>
      <c r="B6038" s="1" t="s">
        <v>2628</v>
      </c>
      <c r="C6038" s="1">
        <v>5</v>
      </c>
      <c r="D6038" s="1" t="s">
        <v>34</v>
      </c>
      <c r="E6038" s="1" t="s">
        <v>10</v>
      </c>
      <c r="F6038" s="1" t="s">
        <v>2693</v>
      </c>
      <c r="G6038" s="14" t="s">
        <v>5</v>
      </c>
      <c r="H6038" s="1" t="s">
        <v>5</v>
      </c>
      <c r="I6038" s="17">
        <v>35796</v>
      </c>
    </row>
    <row r="6039" spans="1:9">
      <c r="A6039" s="16" t="s">
        <v>4898</v>
      </c>
      <c r="B6039" s="1" t="s">
        <v>2628</v>
      </c>
      <c r="C6039" s="1">
        <v>5</v>
      </c>
      <c r="D6039" s="1" t="s">
        <v>34</v>
      </c>
      <c r="E6039" s="1" t="s">
        <v>10</v>
      </c>
      <c r="F6039" s="1" t="s">
        <v>2693</v>
      </c>
      <c r="G6039" s="14" t="s">
        <v>4865</v>
      </c>
      <c r="H6039" s="1" t="s">
        <v>44</v>
      </c>
      <c r="I6039" s="17">
        <v>41275</v>
      </c>
    </row>
    <row r="6040" spans="1:9">
      <c r="A6040" s="16" t="s">
        <v>4899</v>
      </c>
      <c r="B6040" s="1" t="s">
        <v>2628</v>
      </c>
      <c r="C6040" s="1">
        <v>5</v>
      </c>
      <c r="D6040" s="1" t="s">
        <v>34</v>
      </c>
      <c r="E6040" s="1" t="s">
        <v>10</v>
      </c>
      <c r="F6040" s="1" t="s">
        <v>2693</v>
      </c>
      <c r="G6040" s="14" t="s">
        <v>4865</v>
      </c>
      <c r="H6040" s="1" t="s">
        <v>44</v>
      </c>
      <c r="I6040" s="17">
        <v>41275</v>
      </c>
    </row>
    <row r="6041" spans="1:9">
      <c r="A6041" s="16" t="s">
        <v>4900</v>
      </c>
      <c r="B6041" s="1" t="s">
        <v>2628</v>
      </c>
      <c r="C6041" s="1">
        <v>5</v>
      </c>
      <c r="D6041" s="1" t="s">
        <v>34</v>
      </c>
      <c r="E6041" s="1" t="s">
        <v>10</v>
      </c>
      <c r="F6041" s="1" t="s">
        <v>2693</v>
      </c>
      <c r="G6041" s="14" t="s">
        <v>4865</v>
      </c>
      <c r="H6041" s="1" t="s">
        <v>44</v>
      </c>
      <c r="I6041" s="17">
        <v>41275</v>
      </c>
    </row>
    <row r="6042" spans="1:9">
      <c r="A6042" s="16" t="s">
        <v>4902</v>
      </c>
      <c r="B6042" s="1" t="s">
        <v>2628</v>
      </c>
      <c r="C6042" s="1">
        <v>5</v>
      </c>
      <c r="D6042" s="1" t="s">
        <v>34</v>
      </c>
      <c r="E6042" s="1" t="s">
        <v>10</v>
      </c>
      <c r="F6042" s="1" t="s">
        <v>2693</v>
      </c>
      <c r="G6042" s="14" t="s">
        <v>4865</v>
      </c>
      <c r="H6042" s="1" t="s">
        <v>44</v>
      </c>
      <c r="I6042" s="17">
        <v>41275</v>
      </c>
    </row>
    <row r="6043" spans="1:9">
      <c r="A6043" s="16" t="s">
        <v>4919</v>
      </c>
      <c r="B6043" s="1" t="s">
        <v>2628</v>
      </c>
      <c r="C6043" s="1">
        <v>5</v>
      </c>
      <c r="D6043" s="1" t="s">
        <v>34</v>
      </c>
      <c r="E6043" s="1" t="s">
        <v>10</v>
      </c>
      <c r="F6043" s="1" t="s">
        <v>2693</v>
      </c>
      <c r="G6043" s="14" t="s">
        <v>4865</v>
      </c>
      <c r="H6043" s="1" t="s">
        <v>44</v>
      </c>
      <c r="I6043" s="17">
        <v>41275</v>
      </c>
    </row>
    <row r="6044" spans="1:9">
      <c r="A6044" s="16" t="s">
        <v>4922</v>
      </c>
      <c r="B6044" s="1" t="s">
        <v>2628</v>
      </c>
      <c r="C6044" s="1">
        <v>5</v>
      </c>
      <c r="D6044" s="1" t="s">
        <v>34</v>
      </c>
      <c r="E6044" s="1" t="s">
        <v>10</v>
      </c>
      <c r="F6044" s="1" t="s">
        <v>2693</v>
      </c>
      <c r="G6044" s="14" t="s">
        <v>4865</v>
      </c>
      <c r="H6044" s="1" t="s">
        <v>44</v>
      </c>
      <c r="I6044" s="17">
        <v>41275</v>
      </c>
    </row>
    <row r="6045" spans="1:9">
      <c r="A6045" s="16" t="s">
        <v>5016</v>
      </c>
      <c r="B6045" s="1" t="s">
        <v>2628</v>
      </c>
      <c r="C6045" s="1">
        <v>5</v>
      </c>
      <c r="D6045" s="1" t="s">
        <v>34</v>
      </c>
      <c r="E6045" s="1" t="s">
        <v>10</v>
      </c>
      <c r="F6045" s="1" t="s">
        <v>118</v>
      </c>
      <c r="G6045" s="14" t="s">
        <v>4458</v>
      </c>
      <c r="H6045" s="1" t="s">
        <v>118</v>
      </c>
      <c r="I6045" s="1" t="s">
        <v>4458</v>
      </c>
    </row>
    <row r="6046" spans="1:9">
      <c r="A6046" s="16" t="s">
        <v>5017</v>
      </c>
      <c r="B6046" s="1" t="s">
        <v>2628</v>
      </c>
      <c r="C6046" s="1">
        <v>5</v>
      </c>
      <c r="D6046" s="1" t="s">
        <v>34</v>
      </c>
      <c r="E6046" s="1" t="s">
        <v>10</v>
      </c>
      <c r="F6046" s="1" t="s">
        <v>118</v>
      </c>
      <c r="G6046" s="14" t="s">
        <v>4458</v>
      </c>
      <c r="H6046" s="1" t="s">
        <v>118</v>
      </c>
      <c r="I6046" s="1" t="s">
        <v>4458</v>
      </c>
    </row>
    <row r="6047" spans="1:9">
      <c r="A6047" s="16" t="s">
        <v>5018</v>
      </c>
      <c r="B6047" s="1" t="s">
        <v>2628</v>
      </c>
      <c r="C6047" s="1">
        <v>5</v>
      </c>
      <c r="D6047" s="1" t="s">
        <v>34</v>
      </c>
      <c r="E6047" s="1" t="s">
        <v>10</v>
      </c>
      <c r="F6047" s="1" t="s">
        <v>118</v>
      </c>
      <c r="G6047" s="14" t="s">
        <v>4458</v>
      </c>
      <c r="H6047" s="1" t="s">
        <v>118</v>
      </c>
      <c r="I6047" s="1" t="s">
        <v>4458</v>
      </c>
    </row>
    <row r="6048" spans="1:9">
      <c r="A6048" s="16" t="s">
        <v>5019</v>
      </c>
      <c r="B6048" s="1" t="s">
        <v>2628</v>
      </c>
      <c r="C6048" s="1">
        <v>5</v>
      </c>
      <c r="D6048" s="1" t="s">
        <v>34</v>
      </c>
      <c r="E6048" s="1" t="s">
        <v>10</v>
      </c>
      <c r="F6048" s="1" t="s">
        <v>118</v>
      </c>
      <c r="G6048" s="14" t="s">
        <v>4458</v>
      </c>
      <c r="H6048" s="1" t="s">
        <v>118</v>
      </c>
      <c r="I6048" s="1" t="s">
        <v>4458</v>
      </c>
    </row>
    <row r="6049" spans="1:9">
      <c r="A6049" s="16" t="s">
        <v>5020</v>
      </c>
      <c r="B6049" s="1" t="s">
        <v>2628</v>
      </c>
      <c r="C6049" s="1">
        <v>5</v>
      </c>
      <c r="D6049" s="1" t="s">
        <v>34</v>
      </c>
      <c r="E6049" s="1" t="s">
        <v>10</v>
      </c>
      <c r="F6049" s="1" t="s">
        <v>118</v>
      </c>
      <c r="G6049" s="14" t="s">
        <v>4458</v>
      </c>
      <c r="H6049" s="1" t="s">
        <v>118</v>
      </c>
      <c r="I6049" s="1" t="s">
        <v>4458</v>
      </c>
    </row>
    <row r="6050" spans="1:9">
      <c r="A6050" s="16" t="s">
        <v>5021</v>
      </c>
      <c r="B6050" s="1" t="s">
        <v>2628</v>
      </c>
      <c r="C6050" s="1">
        <v>5</v>
      </c>
      <c r="D6050" s="1" t="s">
        <v>34</v>
      </c>
      <c r="E6050" s="1" t="s">
        <v>10</v>
      </c>
      <c r="F6050" s="1" t="s">
        <v>118</v>
      </c>
      <c r="G6050" s="14" t="s">
        <v>4458</v>
      </c>
      <c r="H6050" s="1" t="s">
        <v>118</v>
      </c>
      <c r="I6050" s="1" t="s">
        <v>4458</v>
      </c>
    </row>
    <row r="6051" spans="1:9">
      <c r="A6051" s="16" t="s">
        <v>5022</v>
      </c>
      <c r="B6051" s="1" t="s">
        <v>2628</v>
      </c>
      <c r="C6051" s="1">
        <v>5</v>
      </c>
      <c r="D6051" s="1" t="s">
        <v>34</v>
      </c>
      <c r="E6051" s="1" t="s">
        <v>10</v>
      </c>
      <c r="F6051" s="1" t="s">
        <v>118</v>
      </c>
      <c r="G6051" s="14" t="s">
        <v>4458</v>
      </c>
      <c r="H6051" s="1" t="s">
        <v>118</v>
      </c>
      <c r="I6051" s="1" t="s">
        <v>4458</v>
      </c>
    </row>
    <row r="6052" spans="1:9">
      <c r="A6052" s="16" t="s">
        <v>5023</v>
      </c>
      <c r="B6052" s="1" t="s">
        <v>2628</v>
      </c>
      <c r="C6052" s="1">
        <v>5</v>
      </c>
      <c r="D6052" s="1" t="s">
        <v>34</v>
      </c>
      <c r="E6052" s="1" t="s">
        <v>10</v>
      </c>
      <c r="F6052" s="1" t="s">
        <v>118</v>
      </c>
      <c r="G6052" s="14" t="s">
        <v>4458</v>
      </c>
      <c r="H6052" s="1" t="s">
        <v>118</v>
      </c>
      <c r="I6052" s="1" t="s">
        <v>4458</v>
      </c>
    </row>
    <row r="6053" spans="1:9">
      <c r="A6053" s="16" t="s">
        <v>5024</v>
      </c>
      <c r="B6053" s="1" t="s">
        <v>2628</v>
      </c>
      <c r="C6053" s="1">
        <v>5</v>
      </c>
      <c r="D6053" s="1" t="s">
        <v>34</v>
      </c>
      <c r="E6053" s="1" t="s">
        <v>10</v>
      </c>
      <c r="F6053" s="1" t="s">
        <v>118</v>
      </c>
      <c r="G6053" s="14" t="s">
        <v>4458</v>
      </c>
      <c r="H6053" s="1" t="s">
        <v>118</v>
      </c>
      <c r="I6053" s="1" t="s">
        <v>4458</v>
      </c>
    </row>
    <row r="6054" spans="1:9">
      <c r="A6054" s="16" t="s">
        <v>5025</v>
      </c>
      <c r="B6054" s="1" t="s">
        <v>2628</v>
      </c>
      <c r="C6054" s="1">
        <v>5</v>
      </c>
      <c r="D6054" s="1" t="s">
        <v>34</v>
      </c>
      <c r="E6054" s="1" t="s">
        <v>10</v>
      </c>
      <c r="F6054" s="1" t="s">
        <v>118</v>
      </c>
      <c r="G6054" s="14" t="s">
        <v>4458</v>
      </c>
      <c r="H6054" s="1" t="s">
        <v>118</v>
      </c>
      <c r="I6054" s="1" t="s">
        <v>4458</v>
      </c>
    </row>
    <row r="6055" spans="1:9">
      <c r="A6055" s="16" t="s">
        <v>5026</v>
      </c>
      <c r="B6055" s="1" t="s">
        <v>2628</v>
      </c>
      <c r="C6055" s="1">
        <v>5</v>
      </c>
      <c r="D6055" s="1" t="s">
        <v>34</v>
      </c>
      <c r="E6055" s="1" t="s">
        <v>10</v>
      </c>
      <c r="F6055" s="1" t="s">
        <v>118</v>
      </c>
      <c r="G6055" s="14" t="s">
        <v>4458</v>
      </c>
      <c r="H6055" s="1" t="s">
        <v>118</v>
      </c>
      <c r="I6055" s="1" t="s">
        <v>4458</v>
      </c>
    </row>
    <row r="6056" spans="1:9">
      <c r="A6056" s="16" t="s">
        <v>5075</v>
      </c>
      <c r="B6056" s="1" t="s">
        <v>2628</v>
      </c>
      <c r="C6056" s="1">
        <v>5</v>
      </c>
      <c r="D6056" s="1" t="s">
        <v>34</v>
      </c>
      <c r="E6056" s="1" t="s">
        <v>10</v>
      </c>
      <c r="F6056" s="1" t="s">
        <v>2573</v>
      </c>
      <c r="G6056" s="14" t="s">
        <v>5071</v>
      </c>
      <c r="H6056" s="1" t="s">
        <v>118</v>
      </c>
      <c r="I6056" s="17">
        <v>38353</v>
      </c>
    </row>
    <row r="6057" spans="1:9">
      <c r="A6057" s="16" t="s">
        <v>5078</v>
      </c>
      <c r="B6057" s="1" t="s">
        <v>2628</v>
      </c>
      <c r="C6057" s="1">
        <v>5</v>
      </c>
      <c r="D6057" s="1" t="s">
        <v>34</v>
      </c>
      <c r="E6057" s="1" t="s">
        <v>10</v>
      </c>
      <c r="F6057" s="1" t="s">
        <v>2573</v>
      </c>
      <c r="G6057" s="14" t="s">
        <v>5071</v>
      </c>
      <c r="H6057" s="1" t="s">
        <v>118</v>
      </c>
      <c r="I6057" s="17">
        <v>39448</v>
      </c>
    </row>
    <row r="6058" spans="1:9">
      <c r="A6058" s="7" t="s">
        <v>5093</v>
      </c>
      <c r="B6058" s="2" t="s">
        <v>2631</v>
      </c>
      <c r="C6058" s="1">
        <v>5</v>
      </c>
      <c r="D6058" s="1" t="s">
        <v>34</v>
      </c>
      <c r="E6058" s="1" t="s">
        <v>10</v>
      </c>
      <c r="F6058" s="1" t="s">
        <v>5091</v>
      </c>
      <c r="G6058" s="14" t="s">
        <v>5088</v>
      </c>
      <c r="H6058" s="1" t="s">
        <v>43</v>
      </c>
      <c r="I6058" s="1" t="s">
        <v>5092</v>
      </c>
    </row>
    <row r="6059" spans="1:9">
      <c r="A6059" s="16" t="s">
        <v>5133</v>
      </c>
      <c r="B6059" s="1" t="s">
        <v>2628</v>
      </c>
      <c r="C6059" s="1">
        <v>5</v>
      </c>
      <c r="D6059" s="1" t="s">
        <v>34</v>
      </c>
      <c r="E6059" s="1" t="s">
        <v>10</v>
      </c>
      <c r="F6059" s="1" t="s">
        <v>2691</v>
      </c>
      <c r="G6059" s="14" t="s">
        <v>5</v>
      </c>
      <c r="H6059" s="1" t="s">
        <v>5</v>
      </c>
      <c r="I6059" s="17">
        <v>39083</v>
      </c>
    </row>
    <row r="6060" spans="1:9">
      <c r="A6060" s="16" t="s">
        <v>5139</v>
      </c>
      <c r="B6060" s="1" t="s">
        <v>2628</v>
      </c>
      <c r="C6060" s="1">
        <v>5</v>
      </c>
      <c r="D6060" s="1" t="s">
        <v>34</v>
      </c>
      <c r="E6060" s="1" t="s">
        <v>10</v>
      </c>
      <c r="F6060" s="1" t="s">
        <v>2691</v>
      </c>
      <c r="G6060" s="14" t="s">
        <v>5</v>
      </c>
      <c r="H6060" s="1" t="s">
        <v>5</v>
      </c>
      <c r="I6060" s="17">
        <v>39448</v>
      </c>
    </row>
    <row r="6061" spans="1:9">
      <c r="A6061" s="16" t="s">
        <v>5150</v>
      </c>
      <c r="B6061" s="1" t="s">
        <v>2628</v>
      </c>
      <c r="C6061" s="1">
        <v>5</v>
      </c>
      <c r="D6061" s="1" t="s">
        <v>34</v>
      </c>
      <c r="E6061" s="1" t="s">
        <v>10</v>
      </c>
      <c r="F6061" s="1" t="s">
        <v>2691</v>
      </c>
      <c r="G6061" s="14" t="s">
        <v>5</v>
      </c>
      <c r="H6061" s="1" t="s">
        <v>5</v>
      </c>
      <c r="I6061" s="17">
        <v>40179</v>
      </c>
    </row>
    <row r="6062" spans="1:9">
      <c r="A6062" s="16" t="s">
        <v>5171</v>
      </c>
      <c r="B6062" s="1" t="s">
        <v>2628</v>
      </c>
      <c r="C6062" s="1">
        <v>5</v>
      </c>
      <c r="D6062" s="1" t="s">
        <v>34</v>
      </c>
      <c r="E6062" s="1" t="s">
        <v>10</v>
      </c>
      <c r="F6062" s="1" t="s">
        <v>2691</v>
      </c>
      <c r="G6062" s="14" t="s">
        <v>5</v>
      </c>
      <c r="H6062" s="1" t="s">
        <v>5</v>
      </c>
      <c r="I6062" s="17">
        <v>41275</v>
      </c>
    </row>
    <row r="6063" spans="1:9">
      <c r="A6063" s="16" t="s">
        <v>5213</v>
      </c>
      <c r="B6063" s="1" t="s">
        <v>2628</v>
      </c>
      <c r="C6063" s="1">
        <v>5</v>
      </c>
      <c r="D6063" s="1" t="s">
        <v>34</v>
      </c>
      <c r="E6063" s="1" t="s">
        <v>10</v>
      </c>
      <c r="F6063" s="1" t="s">
        <v>118</v>
      </c>
      <c r="G6063" s="14" t="s">
        <v>4458</v>
      </c>
      <c r="H6063" s="1" t="s">
        <v>118</v>
      </c>
      <c r="I6063" s="1" t="s">
        <v>4458</v>
      </c>
    </row>
    <row r="6064" spans="1:9">
      <c r="A6064" s="16" t="s">
        <v>5227</v>
      </c>
      <c r="B6064" s="1" t="s">
        <v>2628</v>
      </c>
      <c r="C6064" s="1">
        <v>1151</v>
      </c>
      <c r="D6064" s="1" t="s">
        <v>34</v>
      </c>
      <c r="E6064" s="1" t="s">
        <v>10</v>
      </c>
      <c r="F6064" s="1" t="s">
        <v>118</v>
      </c>
      <c r="G6064" s="14" t="s">
        <v>4458</v>
      </c>
      <c r="H6064" s="1" t="s">
        <v>118</v>
      </c>
      <c r="I6064" s="1" t="s">
        <v>4458</v>
      </c>
    </row>
    <row r="6065" spans="1:9">
      <c r="A6065" s="16" t="s">
        <v>5228</v>
      </c>
      <c r="B6065" s="1" t="s">
        <v>2628</v>
      </c>
      <c r="C6065" s="1">
        <v>5</v>
      </c>
      <c r="D6065" s="1" t="s">
        <v>34</v>
      </c>
      <c r="E6065" s="1" t="s">
        <v>10</v>
      </c>
      <c r="F6065" s="1" t="s">
        <v>118</v>
      </c>
      <c r="G6065" s="14" t="s">
        <v>4458</v>
      </c>
      <c r="H6065" s="1" t="s">
        <v>118</v>
      </c>
      <c r="I6065" s="1" t="s">
        <v>4458</v>
      </c>
    </row>
    <row r="6066" spans="1:9">
      <c r="A6066" s="16" t="s">
        <v>5229</v>
      </c>
      <c r="B6066" s="1" t="s">
        <v>2628</v>
      </c>
      <c r="C6066" s="1">
        <v>5</v>
      </c>
      <c r="D6066" s="1" t="s">
        <v>34</v>
      </c>
      <c r="E6066" s="1" t="s">
        <v>10</v>
      </c>
      <c r="F6066" s="1" t="s">
        <v>118</v>
      </c>
      <c r="G6066" s="14" t="s">
        <v>4458</v>
      </c>
      <c r="H6066" s="1" t="s">
        <v>118</v>
      </c>
      <c r="I6066" s="1" t="s">
        <v>4458</v>
      </c>
    </row>
    <row r="6067" spans="1:9">
      <c r="A6067" s="16" t="s">
        <v>5230</v>
      </c>
      <c r="B6067" s="1" t="s">
        <v>2628</v>
      </c>
      <c r="C6067" s="1">
        <v>5</v>
      </c>
      <c r="D6067" s="1" t="s">
        <v>34</v>
      </c>
      <c r="E6067" s="1" t="s">
        <v>10</v>
      </c>
      <c r="F6067" s="1" t="s">
        <v>118</v>
      </c>
      <c r="G6067" s="14" t="s">
        <v>4458</v>
      </c>
      <c r="H6067" s="1" t="s">
        <v>118</v>
      </c>
      <c r="I6067" s="1" t="s">
        <v>4458</v>
      </c>
    </row>
    <row r="6068" spans="1:9">
      <c r="A6068" s="7" t="s">
        <v>5389</v>
      </c>
      <c r="B6068" s="1" t="s">
        <v>2629</v>
      </c>
      <c r="C6068" s="1">
        <v>5</v>
      </c>
      <c r="D6068" s="1" t="s">
        <v>34</v>
      </c>
      <c r="E6068" s="1" t="s">
        <v>10</v>
      </c>
      <c r="F6068" s="1" t="s">
        <v>2696</v>
      </c>
      <c r="G6068" s="1" t="s">
        <v>4800</v>
      </c>
      <c r="H6068" s="1" t="s">
        <v>27</v>
      </c>
      <c r="I6068" s="17">
        <v>41275</v>
      </c>
    </row>
    <row r="6069" spans="1:9">
      <c r="A6069" s="7" t="s">
        <v>11559</v>
      </c>
      <c r="B6069" s="1" t="s">
        <v>2629</v>
      </c>
      <c r="C6069" s="1">
        <v>5</v>
      </c>
      <c r="D6069" s="1" t="s">
        <v>34</v>
      </c>
      <c r="E6069" s="1" t="s">
        <v>10</v>
      </c>
      <c r="F6069" s="1" t="s">
        <v>5241</v>
      </c>
      <c r="G6069" s="1" t="s">
        <v>4800</v>
      </c>
      <c r="H6069" s="1" t="s">
        <v>27</v>
      </c>
      <c r="I6069" s="17">
        <v>41913</v>
      </c>
    </row>
    <row r="6070" spans="1:9">
      <c r="A6070" s="16" t="s">
        <v>5618</v>
      </c>
      <c r="B6070" s="1" t="s">
        <v>2628</v>
      </c>
      <c r="C6070" s="1">
        <v>5</v>
      </c>
      <c r="D6070" s="1" t="s">
        <v>34</v>
      </c>
      <c r="E6070" s="1" t="s">
        <v>10</v>
      </c>
      <c r="F6070" s="1" t="s">
        <v>2691</v>
      </c>
      <c r="G6070" s="14" t="s">
        <v>5338</v>
      </c>
      <c r="H6070" s="1" t="s">
        <v>5</v>
      </c>
      <c r="I6070" s="17">
        <v>40544</v>
      </c>
    </row>
    <row r="6071" spans="1:9">
      <c r="A6071" s="7" t="s">
        <v>5732</v>
      </c>
      <c r="B6071" s="2" t="s">
        <v>2631</v>
      </c>
      <c r="C6071" s="1">
        <v>5</v>
      </c>
      <c r="D6071" s="1" t="s">
        <v>34</v>
      </c>
      <c r="E6071" s="1" t="s">
        <v>10</v>
      </c>
      <c r="F6071" s="1" t="s">
        <v>2691</v>
      </c>
      <c r="G6071" s="14" t="s">
        <v>1446</v>
      </c>
      <c r="H6071" s="1" t="s">
        <v>44</v>
      </c>
      <c r="I6071" s="1" t="s">
        <v>5625</v>
      </c>
    </row>
    <row r="6072" spans="1:9">
      <c r="A6072" s="7" t="s">
        <v>5785</v>
      </c>
      <c r="B6072" s="2" t="s">
        <v>2631</v>
      </c>
      <c r="C6072" s="1">
        <v>5</v>
      </c>
      <c r="D6072" s="1" t="s">
        <v>34</v>
      </c>
      <c r="E6072" s="1" t="s">
        <v>10</v>
      </c>
      <c r="F6072" s="1" t="s">
        <v>118</v>
      </c>
      <c r="G6072" s="14" t="s">
        <v>5781</v>
      </c>
      <c r="H6072" s="1" t="s">
        <v>5</v>
      </c>
      <c r="I6072" s="1" t="s">
        <v>5653</v>
      </c>
    </row>
    <row r="6073" spans="1:9">
      <c r="A6073" s="7" t="s">
        <v>5791</v>
      </c>
      <c r="B6073" s="2" t="s">
        <v>2631</v>
      </c>
      <c r="C6073" s="1">
        <v>5</v>
      </c>
      <c r="D6073" s="1" t="s">
        <v>34</v>
      </c>
      <c r="E6073" s="1" t="s">
        <v>10</v>
      </c>
      <c r="F6073" s="1" t="s">
        <v>2691</v>
      </c>
      <c r="G6073" s="14" t="s">
        <v>1446</v>
      </c>
      <c r="H6073" s="1" t="s">
        <v>44</v>
      </c>
      <c r="I6073" s="1" t="s">
        <v>5659</v>
      </c>
    </row>
    <row r="6074" spans="1:9" ht="31.2">
      <c r="A6074" s="16" t="s">
        <v>6088</v>
      </c>
      <c r="B6074" s="1" t="s">
        <v>2628</v>
      </c>
      <c r="C6074" s="1">
        <v>5</v>
      </c>
      <c r="D6074" s="1" t="s">
        <v>34</v>
      </c>
      <c r="E6074" s="1" t="s">
        <v>10</v>
      </c>
      <c r="F6074" s="1" t="s">
        <v>2690</v>
      </c>
      <c r="G6074" s="14" t="s">
        <v>4458</v>
      </c>
      <c r="H6074" s="1" t="s">
        <v>118</v>
      </c>
      <c r="I6074" s="1" t="s">
        <v>4458</v>
      </c>
    </row>
    <row r="6075" spans="1:9">
      <c r="A6075" s="16" t="s">
        <v>6091</v>
      </c>
      <c r="B6075" s="1" t="s">
        <v>2628</v>
      </c>
      <c r="C6075" s="1">
        <v>5</v>
      </c>
      <c r="D6075" s="1" t="s">
        <v>34</v>
      </c>
      <c r="E6075" s="1" t="s">
        <v>10</v>
      </c>
      <c r="F6075" s="1" t="s">
        <v>2690</v>
      </c>
      <c r="G6075" s="14" t="s">
        <v>4458</v>
      </c>
      <c r="H6075" s="1" t="s">
        <v>118</v>
      </c>
      <c r="I6075" s="1" t="s">
        <v>4458</v>
      </c>
    </row>
    <row r="6076" spans="1:9">
      <c r="A6076" s="16" t="s">
        <v>6092</v>
      </c>
      <c r="B6076" s="1" t="s">
        <v>2628</v>
      </c>
      <c r="C6076" s="1">
        <v>5</v>
      </c>
      <c r="D6076" s="1" t="s">
        <v>34</v>
      </c>
      <c r="E6076" s="1" t="s">
        <v>10</v>
      </c>
      <c r="F6076" s="1" t="s">
        <v>2690</v>
      </c>
      <c r="G6076" s="14" t="s">
        <v>4458</v>
      </c>
      <c r="H6076" s="1" t="s">
        <v>118</v>
      </c>
      <c r="I6076" s="1" t="s">
        <v>4458</v>
      </c>
    </row>
    <row r="6077" spans="1:9">
      <c r="A6077" s="16" t="s">
        <v>6093</v>
      </c>
      <c r="B6077" s="1" t="s">
        <v>2628</v>
      </c>
      <c r="C6077" s="1">
        <v>5</v>
      </c>
      <c r="D6077" s="1" t="s">
        <v>34</v>
      </c>
      <c r="E6077" s="1" t="s">
        <v>10</v>
      </c>
      <c r="F6077" s="1" t="s">
        <v>2690</v>
      </c>
      <c r="G6077" s="14" t="s">
        <v>4458</v>
      </c>
      <c r="H6077" s="1" t="s">
        <v>118</v>
      </c>
      <c r="I6077" s="1" t="s">
        <v>4458</v>
      </c>
    </row>
    <row r="6078" spans="1:9">
      <c r="A6078" s="16" t="s">
        <v>6094</v>
      </c>
      <c r="B6078" s="1" t="s">
        <v>2628</v>
      </c>
      <c r="C6078" s="1">
        <v>5</v>
      </c>
      <c r="D6078" s="1" t="s">
        <v>34</v>
      </c>
      <c r="E6078" s="1" t="s">
        <v>10</v>
      </c>
      <c r="F6078" s="1" t="s">
        <v>2690</v>
      </c>
      <c r="G6078" s="14" t="s">
        <v>4458</v>
      </c>
      <c r="H6078" s="1" t="s">
        <v>118</v>
      </c>
      <c r="I6078" s="1" t="s">
        <v>4458</v>
      </c>
    </row>
    <row r="6079" spans="1:9">
      <c r="A6079" s="16" t="s">
        <v>6095</v>
      </c>
      <c r="B6079" s="1" t="s">
        <v>2628</v>
      </c>
      <c r="C6079" s="1">
        <v>5</v>
      </c>
      <c r="D6079" s="1" t="s">
        <v>34</v>
      </c>
      <c r="E6079" s="1" t="s">
        <v>10</v>
      </c>
      <c r="F6079" s="1" t="s">
        <v>2690</v>
      </c>
      <c r="G6079" s="14" t="s">
        <v>4458</v>
      </c>
      <c r="H6079" s="1" t="s">
        <v>118</v>
      </c>
      <c r="I6079" s="17">
        <v>41275</v>
      </c>
    </row>
    <row r="6080" spans="1:9">
      <c r="A6080" s="16" t="s">
        <v>6098</v>
      </c>
      <c r="B6080" s="1" t="s">
        <v>2628</v>
      </c>
      <c r="C6080" s="1">
        <v>5</v>
      </c>
      <c r="D6080" s="1" t="s">
        <v>34</v>
      </c>
      <c r="E6080" s="1" t="s">
        <v>10</v>
      </c>
      <c r="F6080" s="1" t="s">
        <v>2690</v>
      </c>
      <c r="G6080" s="14" t="s">
        <v>4458</v>
      </c>
      <c r="H6080" s="1" t="s">
        <v>118</v>
      </c>
      <c r="I6080" s="17">
        <v>41275</v>
      </c>
    </row>
    <row r="6081" spans="1:9">
      <c r="A6081" s="16" t="s">
        <v>6106</v>
      </c>
      <c r="B6081" s="1" t="s">
        <v>2628</v>
      </c>
      <c r="C6081" s="1">
        <v>5</v>
      </c>
      <c r="D6081" s="1" t="s">
        <v>34</v>
      </c>
      <c r="E6081" s="1" t="s">
        <v>10</v>
      </c>
      <c r="F6081" s="1" t="s">
        <v>118</v>
      </c>
      <c r="G6081" s="14" t="s">
        <v>4458</v>
      </c>
      <c r="H6081" s="1" t="s">
        <v>118</v>
      </c>
      <c r="I6081" s="1" t="s">
        <v>4458</v>
      </c>
    </row>
    <row r="6082" spans="1:9">
      <c r="A6082" s="7" t="s">
        <v>6153</v>
      </c>
      <c r="B6082" s="2" t="s">
        <v>2628</v>
      </c>
      <c r="C6082" s="1">
        <v>5</v>
      </c>
      <c r="D6082" s="1" t="s">
        <v>34</v>
      </c>
      <c r="E6082" s="1" t="s">
        <v>10</v>
      </c>
      <c r="F6082" s="1" t="s">
        <v>5091</v>
      </c>
      <c r="G6082" s="14" t="s">
        <v>6139</v>
      </c>
      <c r="H6082" s="1" t="s">
        <v>43</v>
      </c>
      <c r="I6082" s="1" t="s">
        <v>5807</v>
      </c>
    </row>
    <row r="6083" spans="1:9">
      <c r="A6083" s="7" t="s">
        <v>6154</v>
      </c>
      <c r="B6083" s="2" t="s">
        <v>2628</v>
      </c>
      <c r="C6083" s="1">
        <v>5</v>
      </c>
      <c r="D6083" s="1" t="s">
        <v>34</v>
      </c>
      <c r="E6083" s="1" t="s">
        <v>10</v>
      </c>
      <c r="F6083" s="1" t="s">
        <v>5091</v>
      </c>
      <c r="G6083" s="14" t="s">
        <v>6139</v>
      </c>
      <c r="H6083" s="1" t="s">
        <v>43</v>
      </c>
      <c r="I6083" s="1" t="s">
        <v>5807</v>
      </c>
    </row>
    <row r="6084" spans="1:9">
      <c r="A6084" s="7" t="s">
        <v>6155</v>
      </c>
      <c r="B6084" s="2" t="s">
        <v>2628</v>
      </c>
      <c r="C6084" s="1">
        <v>5</v>
      </c>
      <c r="D6084" s="1" t="s">
        <v>34</v>
      </c>
      <c r="E6084" s="1" t="s">
        <v>10</v>
      </c>
      <c r="F6084" s="1" t="s">
        <v>5091</v>
      </c>
      <c r="G6084" s="14" t="s">
        <v>6139</v>
      </c>
      <c r="H6084" s="1" t="s">
        <v>43</v>
      </c>
      <c r="I6084" s="1" t="s">
        <v>5807</v>
      </c>
    </row>
    <row r="6085" spans="1:9">
      <c r="A6085" s="7" t="s">
        <v>6156</v>
      </c>
      <c r="B6085" s="2" t="s">
        <v>2628</v>
      </c>
      <c r="C6085" s="1">
        <v>5</v>
      </c>
      <c r="D6085" s="1" t="s">
        <v>34</v>
      </c>
      <c r="E6085" s="1" t="s">
        <v>10</v>
      </c>
      <c r="F6085" s="1" t="s">
        <v>5091</v>
      </c>
      <c r="G6085" s="14" t="s">
        <v>6139</v>
      </c>
      <c r="H6085" s="1" t="s">
        <v>43</v>
      </c>
      <c r="I6085" s="1" t="s">
        <v>5807</v>
      </c>
    </row>
    <row r="6086" spans="1:9">
      <c r="A6086" s="7" t="s">
        <v>6158</v>
      </c>
      <c r="B6086" s="2" t="s">
        <v>2628</v>
      </c>
      <c r="C6086" s="1">
        <v>5</v>
      </c>
      <c r="D6086" s="1" t="s">
        <v>34</v>
      </c>
      <c r="E6086" s="1" t="s">
        <v>10</v>
      </c>
      <c r="F6086" s="1" t="s">
        <v>5091</v>
      </c>
      <c r="G6086" s="14" t="s">
        <v>6139</v>
      </c>
      <c r="H6086" s="1" t="s">
        <v>43</v>
      </c>
      <c r="I6086" s="1" t="s">
        <v>5807</v>
      </c>
    </row>
    <row r="6087" spans="1:9">
      <c r="A6087" s="7" t="s">
        <v>6159</v>
      </c>
      <c r="B6087" s="2" t="s">
        <v>2628</v>
      </c>
      <c r="C6087" s="1">
        <v>5</v>
      </c>
      <c r="D6087" s="1" t="s">
        <v>34</v>
      </c>
      <c r="E6087" s="1" t="s">
        <v>10</v>
      </c>
      <c r="F6087" s="1" t="s">
        <v>5091</v>
      </c>
      <c r="G6087" s="14" t="s">
        <v>6139</v>
      </c>
      <c r="H6087" s="1" t="s">
        <v>43</v>
      </c>
      <c r="I6087" s="1" t="s">
        <v>5807</v>
      </c>
    </row>
    <row r="6088" spans="1:9">
      <c r="A6088" s="7" t="s">
        <v>6160</v>
      </c>
      <c r="B6088" s="2" t="s">
        <v>2628</v>
      </c>
      <c r="C6088" s="1">
        <v>5</v>
      </c>
      <c r="D6088" s="1" t="s">
        <v>34</v>
      </c>
      <c r="E6088" s="1" t="s">
        <v>10</v>
      </c>
      <c r="F6088" s="1" t="s">
        <v>5091</v>
      </c>
      <c r="G6088" s="14" t="s">
        <v>6139</v>
      </c>
      <c r="H6088" s="1" t="s">
        <v>43</v>
      </c>
      <c r="I6088" s="1" t="s">
        <v>5807</v>
      </c>
    </row>
    <row r="6089" spans="1:9">
      <c r="A6089" s="7" t="s">
        <v>6161</v>
      </c>
      <c r="B6089" s="2" t="s">
        <v>2628</v>
      </c>
      <c r="C6089" s="1">
        <v>5</v>
      </c>
      <c r="D6089" s="1" t="s">
        <v>34</v>
      </c>
      <c r="E6089" s="1" t="s">
        <v>10</v>
      </c>
      <c r="F6089" s="1" t="s">
        <v>5091</v>
      </c>
      <c r="G6089" s="14" t="s">
        <v>6139</v>
      </c>
      <c r="H6089" s="1" t="s">
        <v>43</v>
      </c>
      <c r="I6089" s="1" t="s">
        <v>5807</v>
      </c>
    </row>
    <row r="6090" spans="1:9">
      <c r="A6090" s="7" t="s">
        <v>6168</v>
      </c>
      <c r="B6090" s="2" t="s">
        <v>2628</v>
      </c>
      <c r="C6090" s="1">
        <v>5</v>
      </c>
      <c r="D6090" s="1" t="s">
        <v>34</v>
      </c>
      <c r="E6090" s="1" t="s">
        <v>10</v>
      </c>
      <c r="F6090" s="1" t="s">
        <v>5091</v>
      </c>
      <c r="G6090" s="14" t="s">
        <v>6165</v>
      </c>
      <c r="H6090" s="1" t="s">
        <v>43</v>
      </c>
      <c r="I6090" s="1">
        <v>2007</v>
      </c>
    </row>
    <row r="6091" spans="1:9" ht="31.2">
      <c r="A6091" s="16" t="s">
        <v>6184</v>
      </c>
      <c r="B6091" s="1" t="s">
        <v>2631</v>
      </c>
      <c r="C6091" s="1">
        <v>5</v>
      </c>
      <c r="D6091" s="1" t="s">
        <v>34</v>
      </c>
      <c r="E6091" s="1" t="s">
        <v>10</v>
      </c>
      <c r="F6091" s="1" t="s">
        <v>5091</v>
      </c>
      <c r="G6091" s="1" t="s">
        <v>6145</v>
      </c>
      <c r="H6091" s="1" t="s">
        <v>43</v>
      </c>
      <c r="I6091" s="17">
        <v>42108</v>
      </c>
    </row>
    <row r="6092" spans="1:9">
      <c r="A6092" s="7" t="s">
        <v>6199</v>
      </c>
      <c r="B6092" s="2" t="s">
        <v>2628</v>
      </c>
      <c r="C6092" s="1">
        <v>1812</v>
      </c>
      <c r="D6092" s="1" t="s">
        <v>34</v>
      </c>
      <c r="E6092" s="1" t="s">
        <v>10</v>
      </c>
      <c r="F6092" s="1" t="s">
        <v>5091</v>
      </c>
      <c r="G6092" s="14" t="s">
        <v>6139</v>
      </c>
      <c r="H6092" s="1" t="s">
        <v>43</v>
      </c>
      <c r="I6092" s="1" t="s">
        <v>5807</v>
      </c>
    </row>
    <row r="6093" spans="1:9">
      <c r="A6093" s="7" t="s">
        <v>6212</v>
      </c>
      <c r="B6093" s="2" t="s">
        <v>2628</v>
      </c>
      <c r="C6093" s="1">
        <v>5</v>
      </c>
      <c r="D6093" s="1" t="s">
        <v>34</v>
      </c>
      <c r="E6093" s="1" t="s">
        <v>10</v>
      </c>
      <c r="F6093" s="1" t="s">
        <v>5091</v>
      </c>
      <c r="G6093" s="22" t="s">
        <v>6181</v>
      </c>
      <c r="H6093" s="2" t="s">
        <v>118</v>
      </c>
      <c r="I6093" s="1" t="s">
        <v>4458</v>
      </c>
    </row>
    <row r="6094" spans="1:9">
      <c r="A6094" s="7" t="s">
        <v>6216</v>
      </c>
      <c r="B6094" s="2" t="s">
        <v>2628</v>
      </c>
      <c r="C6094" s="1">
        <v>5</v>
      </c>
      <c r="D6094" s="1" t="s">
        <v>34</v>
      </c>
      <c r="E6094" s="1" t="s">
        <v>10</v>
      </c>
      <c r="F6094" s="1" t="s">
        <v>5091</v>
      </c>
      <c r="G6094" s="14" t="s">
        <v>6145</v>
      </c>
      <c r="H6094" s="1" t="s">
        <v>43</v>
      </c>
      <c r="I6094" s="1" t="s">
        <v>5807</v>
      </c>
    </row>
    <row r="6095" spans="1:9">
      <c r="A6095" s="7" t="s">
        <v>6221</v>
      </c>
      <c r="B6095" s="2" t="s">
        <v>2628</v>
      </c>
      <c r="C6095" s="1">
        <v>5</v>
      </c>
      <c r="D6095" s="1" t="s">
        <v>34</v>
      </c>
      <c r="E6095" s="1" t="s">
        <v>10</v>
      </c>
      <c r="F6095" s="1" t="s">
        <v>5091</v>
      </c>
      <c r="G6095" s="14" t="s">
        <v>6145</v>
      </c>
      <c r="H6095" s="1" t="s">
        <v>43</v>
      </c>
      <c r="I6095" s="1" t="s">
        <v>5807</v>
      </c>
    </row>
    <row r="6096" spans="1:9">
      <c r="A6096" s="7" t="s">
        <v>6223</v>
      </c>
      <c r="B6096" s="2" t="s">
        <v>2628</v>
      </c>
      <c r="C6096" s="1">
        <v>5</v>
      </c>
      <c r="D6096" s="1" t="s">
        <v>34</v>
      </c>
      <c r="E6096" s="1" t="s">
        <v>10</v>
      </c>
      <c r="F6096" s="1" t="s">
        <v>5091</v>
      </c>
      <c r="G6096" s="14" t="s">
        <v>6145</v>
      </c>
      <c r="H6096" s="1" t="s">
        <v>43</v>
      </c>
      <c r="I6096" s="1" t="s">
        <v>5807</v>
      </c>
    </row>
    <row r="6097" spans="1:9">
      <c r="A6097" s="7" t="s">
        <v>6224</v>
      </c>
      <c r="B6097" s="2" t="s">
        <v>2628</v>
      </c>
      <c r="C6097" s="1">
        <v>820</v>
      </c>
      <c r="D6097" s="1" t="s">
        <v>34</v>
      </c>
      <c r="E6097" s="1" t="s">
        <v>10</v>
      </c>
      <c r="F6097" s="1" t="s">
        <v>5091</v>
      </c>
      <c r="G6097" s="14" t="s">
        <v>6145</v>
      </c>
      <c r="H6097" s="1" t="s">
        <v>43</v>
      </c>
      <c r="I6097" s="1" t="s">
        <v>5807</v>
      </c>
    </row>
    <row r="6098" spans="1:9">
      <c r="A6098" s="7" t="s">
        <v>6227</v>
      </c>
      <c r="B6098" s="2" t="s">
        <v>2628</v>
      </c>
      <c r="C6098" s="1">
        <v>5</v>
      </c>
      <c r="D6098" s="1" t="s">
        <v>34</v>
      </c>
      <c r="E6098" s="1" t="s">
        <v>10</v>
      </c>
      <c r="F6098" s="1" t="s">
        <v>5091</v>
      </c>
      <c r="G6098" s="14" t="s">
        <v>6145</v>
      </c>
      <c r="H6098" s="1" t="s">
        <v>43</v>
      </c>
      <c r="I6098" s="1" t="s">
        <v>5807</v>
      </c>
    </row>
    <row r="6099" spans="1:9">
      <c r="A6099" s="7" t="s">
        <v>6230</v>
      </c>
      <c r="B6099" s="2" t="s">
        <v>2628</v>
      </c>
      <c r="C6099" s="1">
        <v>5</v>
      </c>
      <c r="D6099" s="1" t="s">
        <v>34</v>
      </c>
      <c r="E6099" s="1" t="s">
        <v>10</v>
      </c>
      <c r="F6099" s="1" t="s">
        <v>5091</v>
      </c>
      <c r="G6099" s="14" t="s">
        <v>6145</v>
      </c>
      <c r="H6099" s="1" t="s">
        <v>43</v>
      </c>
      <c r="I6099" s="1" t="s">
        <v>5807</v>
      </c>
    </row>
    <row r="6100" spans="1:9">
      <c r="A6100" s="7" t="s">
        <v>6231</v>
      </c>
      <c r="B6100" s="2" t="s">
        <v>2628</v>
      </c>
      <c r="C6100" s="1">
        <v>5</v>
      </c>
      <c r="D6100" s="1" t="s">
        <v>34</v>
      </c>
      <c r="E6100" s="1" t="s">
        <v>10</v>
      </c>
      <c r="F6100" s="1" t="s">
        <v>5091</v>
      </c>
      <c r="G6100" s="14" t="s">
        <v>6145</v>
      </c>
      <c r="H6100" s="1" t="s">
        <v>43</v>
      </c>
      <c r="I6100" s="1" t="s">
        <v>5807</v>
      </c>
    </row>
    <row r="6101" spans="1:9">
      <c r="A6101" s="7" t="s">
        <v>6232</v>
      </c>
      <c r="B6101" s="2" t="s">
        <v>2628</v>
      </c>
      <c r="C6101" s="1">
        <v>5</v>
      </c>
      <c r="D6101" s="1" t="s">
        <v>34</v>
      </c>
      <c r="E6101" s="1" t="s">
        <v>10</v>
      </c>
      <c r="F6101" s="1" t="s">
        <v>5091</v>
      </c>
      <c r="G6101" s="14" t="s">
        <v>6145</v>
      </c>
      <c r="H6101" s="1" t="s">
        <v>43</v>
      </c>
      <c r="I6101" s="1" t="s">
        <v>5807</v>
      </c>
    </row>
    <row r="6102" spans="1:9">
      <c r="A6102" s="7" t="s">
        <v>6233</v>
      </c>
      <c r="B6102" s="2" t="s">
        <v>2628</v>
      </c>
      <c r="C6102" s="1">
        <v>5</v>
      </c>
      <c r="D6102" s="1" t="s">
        <v>34</v>
      </c>
      <c r="E6102" s="1" t="s">
        <v>10</v>
      </c>
      <c r="F6102" s="1" t="s">
        <v>5091</v>
      </c>
      <c r="G6102" s="14" t="s">
        <v>6145</v>
      </c>
      <c r="H6102" s="1" t="s">
        <v>43</v>
      </c>
      <c r="I6102" s="1" t="s">
        <v>5807</v>
      </c>
    </row>
    <row r="6103" spans="1:9">
      <c r="A6103" s="7" t="s">
        <v>6234</v>
      </c>
      <c r="B6103" s="2" t="s">
        <v>2628</v>
      </c>
      <c r="C6103" s="1">
        <v>820</v>
      </c>
      <c r="D6103" s="1" t="s">
        <v>34</v>
      </c>
      <c r="E6103" s="1" t="s">
        <v>10</v>
      </c>
      <c r="F6103" s="1" t="s">
        <v>5091</v>
      </c>
      <c r="G6103" s="14" t="s">
        <v>6145</v>
      </c>
      <c r="H6103" s="1" t="s">
        <v>43</v>
      </c>
      <c r="I6103" s="1" t="s">
        <v>5807</v>
      </c>
    </row>
    <row r="6104" spans="1:9">
      <c r="A6104" s="7" t="s">
        <v>6243</v>
      </c>
      <c r="B6104" s="2" t="s">
        <v>2628</v>
      </c>
      <c r="C6104" s="1">
        <v>5</v>
      </c>
      <c r="D6104" s="1" t="s">
        <v>34</v>
      </c>
      <c r="E6104" s="1" t="s">
        <v>10</v>
      </c>
      <c r="F6104" s="1" t="s">
        <v>5091</v>
      </c>
      <c r="G6104" s="22" t="s">
        <v>6181</v>
      </c>
      <c r="H6104" s="2" t="s">
        <v>118</v>
      </c>
      <c r="I6104" s="1" t="s">
        <v>4458</v>
      </c>
    </row>
    <row r="6105" spans="1:9">
      <c r="A6105" s="7" t="s">
        <v>6244</v>
      </c>
      <c r="B6105" s="2" t="s">
        <v>2628</v>
      </c>
      <c r="C6105" s="1">
        <v>5</v>
      </c>
      <c r="D6105" s="1" t="s">
        <v>34</v>
      </c>
      <c r="E6105" s="1" t="s">
        <v>10</v>
      </c>
      <c r="F6105" s="1" t="s">
        <v>5091</v>
      </c>
      <c r="G6105" s="14" t="s">
        <v>6236</v>
      </c>
      <c r="H6105" s="1" t="s">
        <v>43</v>
      </c>
      <c r="I6105" s="1" t="s">
        <v>5807</v>
      </c>
    </row>
    <row r="6106" spans="1:9">
      <c r="A6106" s="7" t="s">
        <v>6245</v>
      </c>
      <c r="B6106" s="2" t="s">
        <v>2628</v>
      </c>
      <c r="C6106" s="1">
        <v>5</v>
      </c>
      <c r="D6106" s="1" t="s">
        <v>34</v>
      </c>
      <c r="E6106" s="1" t="s">
        <v>10</v>
      </c>
      <c r="F6106" s="1" t="s">
        <v>5091</v>
      </c>
      <c r="G6106" s="14" t="s">
        <v>6236</v>
      </c>
      <c r="H6106" s="1" t="s">
        <v>43</v>
      </c>
      <c r="I6106" s="1" t="s">
        <v>5807</v>
      </c>
    </row>
    <row r="6107" spans="1:9">
      <c r="A6107" s="7" t="s">
        <v>6249</v>
      </c>
      <c r="B6107" s="2" t="s">
        <v>2628</v>
      </c>
      <c r="C6107" s="1">
        <v>5</v>
      </c>
      <c r="D6107" s="1" t="s">
        <v>34</v>
      </c>
      <c r="E6107" s="1" t="s">
        <v>10</v>
      </c>
      <c r="F6107" s="1" t="s">
        <v>5091</v>
      </c>
      <c r="G6107" s="14" t="s">
        <v>6139</v>
      </c>
      <c r="H6107" s="1" t="s">
        <v>43</v>
      </c>
      <c r="I6107" s="1" t="s">
        <v>5807</v>
      </c>
    </row>
    <row r="6108" spans="1:9">
      <c r="A6108" s="7" t="s">
        <v>6251</v>
      </c>
      <c r="B6108" s="2" t="s">
        <v>2628</v>
      </c>
      <c r="C6108" s="1">
        <v>5</v>
      </c>
      <c r="D6108" s="1" t="s">
        <v>34</v>
      </c>
      <c r="E6108" s="1" t="s">
        <v>10</v>
      </c>
      <c r="F6108" s="1" t="s">
        <v>5091</v>
      </c>
      <c r="G6108" s="14" t="s">
        <v>6139</v>
      </c>
      <c r="H6108" s="1" t="s">
        <v>43</v>
      </c>
      <c r="I6108" s="1" t="s">
        <v>5807</v>
      </c>
    </row>
    <row r="6109" spans="1:9">
      <c r="A6109" s="7" t="s">
        <v>6253</v>
      </c>
      <c r="B6109" s="2" t="s">
        <v>2628</v>
      </c>
      <c r="C6109" s="1">
        <v>5</v>
      </c>
      <c r="D6109" s="1" t="s">
        <v>34</v>
      </c>
      <c r="E6109" s="1" t="s">
        <v>10</v>
      </c>
      <c r="F6109" s="1" t="s">
        <v>5091</v>
      </c>
      <c r="G6109" s="14" t="s">
        <v>6139</v>
      </c>
      <c r="H6109" s="1" t="s">
        <v>43</v>
      </c>
      <c r="I6109" s="1" t="s">
        <v>5807</v>
      </c>
    </row>
    <row r="6110" spans="1:9">
      <c r="A6110" s="7" t="s">
        <v>6256</v>
      </c>
      <c r="B6110" s="2" t="s">
        <v>2628</v>
      </c>
      <c r="C6110" s="1">
        <v>5</v>
      </c>
      <c r="D6110" s="1" t="s">
        <v>34</v>
      </c>
      <c r="E6110" s="1" t="s">
        <v>10</v>
      </c>
      <c r="F6110" s="1" t="s">
        <v>5091</v>
      </c>
      <c r="G6110" s="14" t="s">
        <v>6139</v>
      </c>
      <c r="H6110" s="1" t="s">
        <v>43</v>
      </c>
      <c r="I6110" s="1" t="s">
        <v>5807</v>
      </c>
    </row>
    <row r="6111" spans="1:9">
      <c r="A6111" s="7" t="s">
        <v>6261</v>
      </c>
      <c r="B6111" s="2" t="s">
        <v>2628</v>
      </c>
      <c r="C6111" s="1">
        <v>5</v>
      </c>
      <c r="D6111" s="1" t="s">
        <v>34</v>
      </c>
      <c r="E6111" s="1" t="s">
        <v>10</v>
      </c>
      <c r="F6111" s="1" t="s">
        <v>5091</v>
      </c>
      <c r="G6111" s="14" t="s">
        <v>6145</v>
      </c>
      <c r="H6111" s="1" t="s">
        <v>43</v>
      </c>
      <c r="I6111" s="1" t="s">
        <v>5807</v>
      </c>
    </row>
    <row r="6112" spans="1:9">
      <c r="A6112" s="7" t="s">
        <v>6262</v>
      </c>
      <c r="B6112" s="2" t="s">
        <v>2628</v>
      </c>
      <c r="C6112" s="1">
        <v>820</v>
      </c>
      <c r="D6112" s="1" t="s">
        <v>34</v>
      </c>
      <c r="E6112" s="1" t="s">
        <v>10</v>
      </c>
      <c r="F6112" s="1" t="s">
        <v>5091</v>
      </c>
      <c r="G6112" s="14" t="s">
        <v>6145</v>
      </c>
      <c r="H6112" s="1" t="s">
        <v>43</v>
      </c>
      <c r="I6112" s="1" t="s">
        <v>5807</v>
      </c>
    </row>
    <row r="6113" spans="1:9">
      <c r="A6113" s="7" t="s">
        <v>6263</v>
      </c>
      <c r="B6113" s="2" t="s">
        <v>2628</v>
      </c>
      <c r="C6113" s="1">
        <v>5</v>
      </c>
      <c r="D6113" s="1" t="s">
        <v>34</v>
      </c>
      <c r="E6113" s="1" t="s">
        <v>10</v>
      </c>
      <c r="F6113" s="1" t="s">
        <v>5091</v>
      </c>
      <c r="G6113" s="14" t="s">
        <v>6145</v>
      </c>
      <c r="H6113" s="1" t="s">
        <v>43</v>
      </c>
      <c r="I6113" s="1" t="s">
        <v>5807</v>
      </c>
    </row>
    <row r="6114" spans="1:9">
      <c r="A6114" s="7" t="s">
        <v>6264</v>
      </c>
      <c r="B6114" s="2" t="s">
        <v>2628</v>
      </c>
      <c r="C6114" s="1">
        <v>5</v>
      </c>
      <c r="D6114" s="1" t="s">
        <v>34</v>
      </c>
      <c r="E6114" s="1" t="s">
        <v>10</v>
      </c>
      <c r="F6114" s="1" t="s">
        <v>5091</v>
      </c>
      <c r="G6114" s="14" t="s">
        <v>6145</v>
      </c>
      <c r="H6114" s="1" t="s">
        <v>43</v>
      </c>
      <c r="I6114" s="1" t="s">
        <v>5807</v>
      </c>
    </row>
    <row r="6115" spans="1:9">
      <c r="A6115" s="7" t="s">
        <v>6265</v>
      </c>
      <c r="B6115" s="2" t="s">
        <v>2628</v>
      </c>
      <c r="C6115" s="1">
        <v>5</v>
      </c>
      <c r="D6115" s="1" t="s">
        <v>34</v>
      </c>
      <c r="E6115" s="1" t="s">
        <v>10</v>
      </c>
      <c r="F6115" s="1" t="s">
        <v>5091</v>
      </c>
      <c r="G6115" s="14" t="s">
        <v>6145</v>
      </c>
      <c r="H6115" s="1" t="s">
        <v>43</v>
      </c>
      <c r="I6115" s="1" t="s">
        <v>5807</v>
      </c>
    </row>
    <row r="6116" spans="1:9">
      <c r="A6116" s="7" t="s">
        <v>6266</v>
      </c>
      <c r="B6116" s="2" t="s">
        <v>2628</v>
      </c>
      <c r="C6116" s="1">
        <v>5</v>
      </c>
      <c r="D6116" s="1" t="s">
        <v>34</v>
      </c>
      <c r="E6116" s="1" t="s">
        <v>10</v>
      </c>
      <c r="F6116" s="1" t="s">
        <v>5091</v>
      </c>
      <c r="G6116" s="14" t="s">
        <v>6145</v>
      </c>
      <c r="H6116" s="1" t="s">
        <v>43</v>
      </c>
      <c r="I6116" s="1" t="s">
        <v>5807</v>
      </c>
    </row>
    <row r="6117" spans="1:9">
      <c r="A6117" s="7" t="s">
        <v>6268</v>
      </c>
      <c r="B6117" s="2" t="s">
        <v>2628</v>
      </c>
      <c r="C6117" s="1">
        <v>5</v>
      </c>
      <c r="D6117" s="1" t="s">
        <v>34</v>
      </c>
      <c r="E6117" s="1" t="s">
        <v>10</v>
      </c>
      <c r="F6117" s="1" t="s">
        <v>5091</v>
      </c>
      <c r="G6117" s="14" t="s">
        <v>6145</v>
      </c>
      <c r="H6117" s="1" t="s">
        <v>43</v>
      </c>
      <c r="I6117" s="1" t="s">
        <v>5807</v>
      </c>
    </row>
    <row r="6118" spans="1:9">
      <c r="A6118" s="7" t="s">
        <v>6269</v>
      </c>
      <c r="B6118" s="2" t="s">
        <v>2628</v>
      </c>
      <c r="C6118" s="1">
        <v>820</v>
      </c>
      <c r="D6118" s="1" t="s">
        <v>34</v>
      </c>
      <c r="E6118" s="1" t="s">
        <v>10</v>
      </c>
      <c r="F6118" s="1" t="s">
        <v>5091</v>
      </c>
      <c r="G6118" s="14" t="s">
        <v>6145</v>
      </c>
      <c r="H6118" s="1" t="s">
        <v>43</v>
      </c>
      <c r="I6118" s="1" t="s">
        <v>5807</v>
      </c>
    </row>
    <row r="6119" spans="1:9">
      <c r="A6119" s="7" t="s">
        <v>6273</v>
      </c>
      <c r="B6119" s="2" t="s">
        <v>2628</v>
      </c>
      <c r="C6119" s="1">
        <v>5</v>
      </c>
      <c r="D6119" s="1" t="s">
        <v>34</v>
      </c>
      <c r="E6119" s="1" t="s">
        <v>10</v>
      </c>
      <c r="F6119" s="1" t="s">
        <v>5091</v>
      </c>
      <c r="G6119" s="14" t="s">
        <v>6145</v>
      </c>
      <c r="H6119" s="1" t="s">
        <v>43</v>
      </c>
      <c r="I6119" s="1" t="s">
        <v>5807</v>
      </c>
    </row>
    <row r="6120" spans="1:9">
      <c r="A6120" s="7" t="s">
        <v>6274</v>
      </c>
      <c r="B6120" s="2" t="s">
        <v>2628</v>
      </c>
      <c r="C6120" s="1">
        <v>820</v>
      </c>
      <c r="D6120" s="1" t="s">
        <v>34</v>
      </c>
      <c r="E6120" s="1" t="s">
        <v>10</v>
      </c>
      <c r="F6120" s="1" t="s">
        <v>5091</v>
      </c>
      <c r="G6120" s="14" t="s">
        <v>6145</v>
      </c>
      <c r="H6120" s="1" t="s">
        <v>43</v>
      </c>
      <c r="I6120" s="1" t="s">
        <v>5807</v>
      </c>
    </row>
    <row r="6121" spans="1:9">
      <c r="A6121" s="7" t="s">
        <v>6279</v>
      </c>
      <c r="B6121" s="2" t="s">
        <v>2628</v>
      </c>
      <c r="C6121" s="1">
        <v>5</v>
      </c>
      <c r="D6121" s="1" t="s">
        <v>34</v>
      </c>
      <c r="E6121" s="1" t="s">
        <v>10</v>
      </c>
      <c r="F6121" s="1" t="s">
        <v>5091</v>
      </c>
      <c r="G6121" s="14" t="s">
        <v>6139</v>
      </c>
      <c r="H6121" s="1" t="s">
        <v>43</v>
      </c>
      <c r="I6121" s="1" t="s">
        <v>5807</v>
      </c>
    </row>
    <row r="6122" spans="1:9">
      <c r="A6122" s="7" t="s">
        <v>6315</v>
      </c>
      <c r="B6122" s="2" t="s">
        <v>2628</v>
      </c>
      <c r="C6122" s="1">
        <v>5</v>
      </c>
      <c r="D6122" s="1" t="s">
        <v>34</v>
      </c>
      <c r="E6122" s="1" t="s">
        <v>10</v>
      </c>
      <c r="F6122" s="1" t="s">
        <v>5091</v>
      </c>
      <c r="G6122" s="14" t="s">
        <v>6145</v>
      </c>
      <c r="H6122" s="1" t="s">
        <v>43</v>
      </c>
      <c r="I6122" s="1" t="s">
        <v>5807</v>
      </c>
    </row>
    <row r="6123" spans="1:9">
      <c r="A6123" s="7" t="s">
        <v>6316</v>
      </c>
      <c r="B6123" s="2" t="s">
        <v>2628</v>
      </c>
      <c r="C6123" s="1">
        <v>5</v>
      </c>
      <c r="D6123" s="1" t="s">
        <v>34</v>
      </c>
      <c r="E6123" s="1" t="s">
        <v>10</v>
      </c>
      <c r="F6123" s="1" t="s">
        <v>5091</v>
      </c>
      <c r="G6123" s="14" t="s">
        <v>6145</v>
      </c>
      <c r="H6123" s="1" t="s">
        <v>43</v>
      </c>
      <c r="I6123" s="1" t="s">
        <v>5807</v>
      </c>
    </row>
    <row r="6124" spans="1:9">
      <c r="A6124" s="7" t="s">
        <v>6317</v>
      </c>
      <c r="B6124" s="2" t="s">
        <v>2630</v>
      </c>
      <c r="C6124" s="1">
        <v>5</v>
      </c>
      <c r="D6124" s="1" t="s">
        <v>34</v>
      </c>
      <c r="E6124" s="1" t="s">
        <v>10</v>
      </c>
      <c r="F6124" s="1" t="s">
        <v>5091</v>
      </c>
      <c r="G6124" s="14" t="s">
        <v>6145</v>
      </c>
      <c r="H6124" s="1" t="s">
        <v>43</v>
      </c>
      <c r="I6124" s="1">
        <v>2019</v>
      </c>
    </row>
    <row r="6125" spans="1:9">
      <c r="A6125" s="7" t="s">
        <v>6318</v>
      </c>
      <c r="B6125" s="2" t="s">
        <v>2630</v>
      </c>
      <c r="C6125" s="1">
        <v>5</v>
      </c>
      <c r="D6125" s="1" t="s">
        <v>34</v>
      </c>
      <c r="E6125" s="1" t="s">
        <v>10</v>
      </c>
      <c r="F6125" s="1" t="s">
        <v>5091</v>
      </c>
      <c r="G6125" s="14" t="s">
        <v>6145</v>
      </c>
      <c r="H6125" s="1" t="s">
        <v>43</v>
      </c>
      <c r="I6125" s="1">
        <v>2019</v>
      </c>
    </row>
    <row r="6126" spans="1:9">
      <c r="A6126" s="7" t="s">
        <v>6319</v>
      </c>
      <c r="B6126" s="2" t="s">
        <v>2628</v>
      </c>
      <c r="C6126" s="1">
        <v>5</v>
      </c>
      <c r="D6126" s="1" t="s">
        <v>34</v>
      </c>
      <c r="E6126" s="1" t="s">
        <v>10</v>
      </c>
      <c r="F6126" s="1" t="s">
        <v>5091</v>
      </c>
      <c r="G6126" s="14" t="s">
        <v>6145</v>
      </c>
      <c r="H6126" s="1" t="s">
        <v>43</v>
      </c>
      <c r="I6126" s="1" t="s">
        <v>5807</v>
      </c>
    </row>
    <row r="6127" spans="1:9">
      <c r="A6127" s="7" t="s">
        <v>6320</v>
      </c>
      <c r="B6127" s="2" t="s">
        <v>2628</v>
      </c>
      <c r="C6127" s="1">
        <v>5</v>
      </c>
      <c r="D6127" s="1" t="s">
        <v>34</v>
      </c>
      <c r="E6127" s="1" t="s">
        <v>10</v>
      </c>
      <c r="F6127" s="1" t="s">
        <v>5091</v>
      </c>
      <c r="G6127" s="14" t="s">
        <v>6145</v>
      </c>
      <c r="H6127" s="1" t="s">
        <v>43</v>
      </c>
      <c r="I6127" s="1" t="s">
        <v>5807</v>
      </c>
    </row>
    <row r="6128" spans="1:9">
      <c r="A6128" s="7" t="s">
        <v>6321</v>
      </c>
      <c r="B6128" s="2" t="s">
        <v>2630</v>
      </c>
      <c r="C6128" s="1">
        <v>5</v>
      </c>
      <c r="D6128" s="1" t="s">
        <v>34</v>
      </c>
      <c r="E6128" s="1" t="s">
        <v>10</v>
      </c>
      <c r="F6128" s="1" t="s">
        <v>5091</v>
      </c>
      <c r="G6128" s="14" t="s">
        <v>6145</v>
      </c>
      <c r="H6128" s="1" t="s">
        <v>43</v>
      </c>
      <c r="I6128" s="1">
        <v>2019</v>
      </c>
    </row>
    <row r="6129" spans="1:9">
      <c r="A6129" s="7" t="s">
        <v>6322</v>
      </c>
      <c r="B6129" s="2" t="s">
        <v>2630</v>
      </c>
      <c r="C6129" s="1">
        <v>5</v>
      </c>
      <c r="D6129" s="1" t="s">
        <v>34</v>
      </c>
      <c r="E6129" s="1" t="s">
        <v>10</v>
      </c>
      <c r="F6129" s="1" t="s">
        <v>5091</v>
      </c>
      <c r="G6129" s="14" t="s">
        <v>6145</v>
      </c>
      <c r="H6129" s="1" t="s">
        <v>43</v>
      </c>
      <c r="I6129" s="1">
        <v>2019</v>
      </c>
    </row>
    <row r="6130" spans="1:9">
      <c r="A6130" s="7" t="s">
        <v>6323</v>
      </c>
      <c r="B6130" s="2" t="s">
        <v>2628</v>
      </c>
      <c r="C6130" s="1">
        <v>5</v>
      </c>
      <c r="D6130" s="1" t="s">
        <v>34</v>
      </c>
      <c r="E6130" s="1" t="s">
        <v>10</v>
      </c>
      <c r="F6130" s="1" t="s">
        <v>5091</v>
      </c>
      <c r="G6130" s="14" t="s">
        <v>6145</v>
      </c>
      <c r="H6130" s="1" t="s">
        <v>43</v>
      </c>
      <c r="I6130" s="1" t="s">
        <v>5807</v>
      </c>
    </row>
    <row r="6131" spans="1:9">
      <c r="A6131" s="7" t="s">
        <v>6324</v>
      </c>
      <c r="B6131" s="2" t="s">
        <v>2628</v>
      </c>
      <c r="C6131" s="1">
        <v>5</v>
      </c>
      <c r="D6131" s="1" t="s">
        <v>34</v>
      </c>
      <c r="E6131" s="1" t="s">
        <v>10</v>
      </c>
      <c r="F6131" s="1" t="s">
        <v>5091</v>
      </c>
      <c r="G6131" s="14" t="s">
        <v>6145</v>
      </c>
      <c r="H6131" s="1" t="s">
        <v>43</v>
      </c>
      <c r="I6131" s="1" t="s">
        <v>5807</v>
      </c>
    </row>
    <row r="6132" spans="1:9">
      <c r="A6132" s="7" t="s">
        <v>6366</v>
      </c>
      <c r="B6132" s="2" t="s">
        <v>2628</v>
      </c>
      <c r="C6132" s="1">
        <v>5</v>
      </c>
      <c r="D6132" s="1" t="s">
        <v>34</v>
      </c>
      <c r="E6132" s="1" t="s">
        <v>10</v>
      </c>
      <c r="F6132" s="1" t="s">
        <v>5091</v>
      </c>
      <c r="G6132" s="14" t="s">
        <v>6367</v>
      </c>
      <c r="H6132" s="1" t="s">
        <v>43</v>
      </c>
      <c r="I6132" s="1" t="s">
        <v>5089</v>
      </c>
    </row>
    <row r="6133" spans="1:9">
      <c r="A6133" s="7" t="s">
        <v>6372</v>
      </c>
      <c r="B6133" s="2" t="s">
        <v>2628</v>
      </c>
      <c r="C6133" s="1">
        <v>5</v>
      </c>
      <c r="D6133" s="1" t="s">
        <v>34</v>
      </c>
      <c r="E6133" s="1" t="s">
        <v>10</v>
      </c>
      <c r="F6133" s="1" t="s">
        <v>5091</v>
      </c>
      <c r="G6133" s="14" t="s">
        <v>6209</v>
      </c>
      <c r="H6133" s="1" t="s">
        <v>43</v>
      </c>
      <c r="I6133" s="1" t="s">
        <v>5089</v>
      </c>
    </row>
    <row r="6134" spans="1:9">
      <c r="A6134" s="7" t="s">
        <v>6394</v>
      </c>
      <c r="B6134" s="2" t="s">
        <v>2628</v>
      </c>
      <c r="C6134" s="1">
        <v>5</v>
      </c>
      <c r="D6134" s="1" t="s">
        <v>34</v>
      </c>
      <c r="E6134" s="1" t="s">
        <v>10</v>
      </c>
      <c r="F6134" s="1" t="s">
        <v>5091</v>
      </c>
      <c r="G6134" s="14" t="s">
        <v>6139</v>
      </c>
      <c r="H6134" s="1" t="s">
        <v>43</v>
      </c>
      <c r="I6134" s="1" t="s">
        <v>5807</v>
      </c>
    </row>
    <row r="6135" spans="1:9">
      <c r="A6135" s="7" t="s">
        <v>6435</v>
      </c>
      <c r="B6135" s="1" t="s">
        <v>2628</v>
      </c>
      <c r="C6135" s="1">
        <v>5</v>
      </c>
      <c r="D6135" s="1" t="s">
        <v>34</v>
      </c>
      <c r="E6135" s="1" t="s">
        <v>10</v>
      </c>
      <c r="F6135" s="1" t="s">
        <v>5091</v>
      </c>
      <c r="G6135" s="1" t="s">
        <v>6181</v>
      </c>
      <c r="H6135" s="1" t="s">
        <v>118</v>
      </c>
      <c r="I6135" s="1" t="s">
        <v>4458</v>
      </c>
    </row>
    <row r="6136" spans="1:9">
      <c r="A6136" s="7" t="s">
        <v>6449</v>
      </c>
      <c r="B6136" s="1" t="s">
        <v>2628</v>
      </c>
      <c r="C6136" s="1">
        <v>5</v>
      </c>
      <c r="D6136" s="1" t="s">
        <v>34</v>
      </c>
      <c r="E6136" s="1" t="s">
        <v>10</v>
      </c>
      <c r="F6136" s="1" t="s">
        <v>5091</v>
      </c>
      <c r="G6136" s="1" t="s">
        <v>6450</v>
      </c>
      <c r="H6136" s="1" t="s">
        <v>43</v>
      </c>
      <c r="I6136" s="1" t="s">
        <v>5722</v>
      </c>
    </row>
    <row r="6137" spans="1:9">
      <c r="A6137" s="7" t="s">
        <v>6452</v>
      </c>
      <c r="B6137" s="1" t="s">
        <v>2628</v>
      </c>
      <c r="C6137" s="1">
        <v>5</v>
      </c>
      <c r="D6137" s="1" t="s">
        <v>34</v>
      </c>
      <c r="E6137" s="1" t="s">
        <v>10</v>
      </c>
      <c r="F6137" s="1" t="s">
        <v>5091</v>
      </c>
      <c r="G6137" s="1" t="s">
        <v>6450</v>
      </c>
      <c r="H6137" s="1" t="s">
        <v>43</v>
      </c>
      <c r="I6137" s="1" t="s">
        <v>5722</v>
      </c>
    </row>
    <row r="6138" spans="1:9">
      <c r="A6138" s="7" t="s">
        <v>6453</v>
      </c>
      <c r="B6138" s="1" t="s">
        <v>2628</v>
      </c>
      <c r="C6138" s="1">
        <v>5</v>
      </c>
      <c r="D6138" s="1" t="s">
        <v>34</v>
      </c>
      <c r="E6138" s="1" t="s">
        <v>10</v>
      </c>
      <c r="F6138" s="1" t="s">
        <v>5091</v>
      </c>
      <c r="G6138" s="1" t="s">
        <v>6450</v>
      </c>
      <c r="H6138" s="1" t="s">
        <v>43</v>
      </c>
      <c r="I6138" s="1" t="s">
        <v>5722</v>
      </c>
    </row>
    <row r="6139" spans="1:9">
      <c r="A6139" s="7" t="s">
        <v>6455</v>
      </c>
      <c r="B6139" s="1" t="s">
        <v>2628</v>
      </c>
      <c r="C6139" s="1">
        <v>5</v>
      </c>
      <c r="D6139" s="1" t="s">
        <v>34</v>
      </c>
      <c r="E6139" s="1" t="s">
        <v>10</v>
      </c>
      <c r="F6139" s="1" t="s">
        <v>5091</v>
      </c>
      <c r="G6139" s="1" t="s">
        <v>6450</v>
      </c>
      <c r="H6139" s="1" t="s">
        <v>43</v>
      </c>
      <c r="I6139" s="1" t="s">
        <v>5722</v>
      </c>
    </row>
    <row r="6140" spans="1:9">
      <c r="A6140" s="7" t="s">
        <v>6456</v>
      </c>
      <c r="B6140" s="1" t="s">
        <v>2628</v>
      </c>
      <c r="C6140" s="1">
        <v>5</v>
      </c>
      <c r="D6140" s="1" t="s">
        <v>34</v>
      </c>
      <c r="E6140" s="1" t="s">
        <v>10</v>
      </c>
      <c r="F6140" s="1" t="s">
        <v>5091</v>
      </c>
      <c r="G6140" s="1" t="s">
        <v>6450</v>
      </c>
      <c r="H6140" s="1" t="s">
        <v>43</v>
      </c>
      <c r="I6140" s="1" t="s">
        <v>5722</v>
      </c>
    </row>
    <row r="6141" spans="1:9">
      <c r="A6141" s="7" t="s">
        <v>6457</v>
      </c>
      <c r="B6141" s="1" t="s">
        <v>2628</v>
      </c>
      <c r="C6141" s="1">
        <v>5</v>
      </c>
      <c r="D6141" s="1" t="s">
        <v>34</v>
      </c>
      <c r="E6141" s="1" t="s">
        <v>10</v>
      </c>
      <c r="F6141" s="1" t="s">
        <v>5091</v>
      </c>
      <c r="G6141" s="1" t="s">
        <v>6450</v>
      </c>
      <c r="H6141" s="1" t="s">
        <v>43</v>
      </c>
      <c r="I6141" s="1" t="s">
        <v>5722</v>
      </c>
    </row>
    <row r="6142" spans="1:9">
      <c r="A6142" s="7" t="s">
        <v>6459</v>
      </c>
      <c r="B6142" s="1" t="s">
        <v>2628</v>
      </c>
      <c r="C6142" s="1">
        <v>5</v>
      </c>
      <c r="D6142" s="1" t="s">
        <v>34</v>
      </c>
      <c r="E6142" s="1" t="s">
        <v>10</v>
      </c>
      <c r="F6142" s="1" t="s">
        <v>5091</v>
      </c>
      <c r="G6142" s="1" t="s">
        <v>6145</v>
      </c>
      <c r="H6142" s="1" t="s">
        <v>43</v>
      </c>
      <c r="I6142" s="1" t="s">
        <v>5807</v>
      </c>
    </row>
    <row r="6143" spans="1:9">
      <c r="A6143" s="7" t="s">
        <v>6461</v>
      </c>
      <c r="B6143" s="1" t="s">
        <v>2628</v>
      </c>
      <c r="C6143" s="1">
        <v>820</v>
      </c>
      <c r="D6143" s="1" t="s">
        <v>34</v>
      </c>
      <c r="E6143" s="1" t="s">
        <v>10</v>
      </c>
      <c r="F6143" s="1" t="s">
        <v>5091</v>
      </c>
      <c r="G6143" s="1" t="s">
        <v>6145</v>
      </c>
      <c r="H6143" s="1" t="s">
        <v>43</v>
      </c>
      <c r="I6143" s="1" t="s">
        <v>5807</v>
      </c>
    </row>
    <row r="6144" spans="1:9">
      <c r="A6144" s="7" t="s">
        <v>6462</v>
      </c>
      <c r="B6144" s="1" t="s">
        <v>2628</v>
      </c>
      <c r="C6144" s="1">
        <v>820</v>
      </c>
      <c r="D6144" s="1" t="s">
        <v>34</v>
      </c>
      <c r="E6144" s="1" t="s">
        <v>10</v>
      </c>
      <c r="F6144" s="1" t="s">
        <v>5091</v>
      </c>
      <c r="G6144" s="1" t="s">
        <v>6145</v>
      </c>
      <c r="H6144" s="1" t="s">
        <v>43</v>
      </c>
      <c r="I6144" s="1" t="s">
        <v>5807</v>
      </c>
    </row>
    <row r="6145" spans="1:9">
      <c r="A6145" s="7" t="s">
        <v>6463</v>
      </c>
      <c r="B6145" s="1" t="s">
        <v>2628</v>
      </c>
      <c r="C6145" s="1">
        <v>5</v>
      </c>
      <c r="D6145" s="1" t="s">
        <v>34</v>
      </c>
      <c r="E6145" s="1" t="s">
        <v>10</v>
      </c>
      <c r="F6145" s="1" t="s">
        <v>5091</v>
      </c>
      <c r="G6145" s="1" t="s">
        <v>6145</v>
      </c>
      <c r="H6145" s="1" t="s">
        <v>43</v>
      </c>
      <c r="I6145" s="1" t="s">
        <v>5807</v>
      </c>
    </row>
    <row r="6146" spans="1:9">
      <c r="A6146" s="7" t="s">
        <v>6465</v>
      </c>
      <c r="B6146" s="1" t="s">
        <v>2628</v>
      </c>
      <c r="C6146" s="1">
        <v>5</v>
      </c>
      <c r="D6146" s="1" t="s">
        <v>34</v>
      </c>
      <c r="E6146" s="1" t="s">
        <v>10</v>
      </c>
      <c r="F6146" s="1" t="s">
        <v>5091</v>
      </c>
      <c r="G6146" s="1" t="s">
        <v>6145</v>
      </c>
      <c r="H6146" s="1" t="s">
        <v>43</v>
      </c>
      <c r="I6146" s="1" t="s">
        <v>5807</v>
      </c>
    </row>
    <row r="6147" spans="1:9">
      <c r="A6147" s="7" t="s">
        <v>6466</v>
      </c>
      <c r="B6147" s="1" t="s">
        <v>2628</v>
      </c>
      <c r="C6147" s="1">
        <v>5</v>
      </c>
      <c r="D6147" s="1" t="s">
        <v>34</v>
      </c>
      <c r="E6147" s="1" t="s">
        <v>10</v>
      </c>
      <c r="F6147" s="1" t="s">
        <v>5091</v>
      </c>
      <c r="G6147" s="1" t="s">
        <v>6145</v>
      </c>
      <c r="H6147" s="1" t="s">
        <v>43</v>
      </c>
      <c r="I6147" s="1" t="s">
        <v>5807</v>
      </c>
    </row>
    <row r="6148" spans="1:9">
      <c r="A6148" s="7" t="s">
        <v>6467</v>
      </c>
      <c r="B6148" s="1" t="s">
        <v>2628</v>
      </c>
      <c r="C6148" s="1">
        <v>5</v>
      </c>
      <c r="D6148" s="1" t="s">
        <v>34</v>
      </c>
      <c r="E6148" s="1" t="s">
        <v>10</v>
      </c>
      <c r="F6148" s="1" t="s">
        <v>5091</v>
      </c>
      <c r="G6148" s="1" t="s">
        <v>6450</v>
      </c>
      <c r="H6148" s="1" t="s">
        <v>43</v>
      </c>
      <c r="I6148" s="1" t="s">
        <v>5801</v>
      </c>
    </row>
    <row r="6149" spans="1:9">
      <c r="A6149" s="7" t="s">
        <v>6472</v>
      </c>
      <c r="B6149" s="1" t="s">
        <v>2628</v>
      </c>
      <c r="C6149" s="1">
        <v>5</v>
      </c>
      <c r="D6149" s="1" t="s">
        <v>34</v>
      </c>
      <c r="E6149" s="1" t="s">
        <v>10</v>
      </c>
      <c r="F6149" s="1" t="s">
        <v>5091</v>
      </c>
      <c r="G6149" s="1" t="s">
        <v>6145</v>
      </c>
      <c r="H6149" s="1" t="s">
        <v>43</v>
      </c>
      <c r="I6149" s="1" t="s">
        <v>5807</v>
      </c>
    </row>
    <row r="6150" spans="1:9">
      <c r="A6150" s="7" t="s">
        <v>6473</v>
      </c>
      <c r="B6150" s="1" t="s">
        <v>2628</v>
      </c>
      <c r="C6150" s="1">
        <v>5</v>
      </c>
      <c r="D6150" s="1" t="s">
        <v>34</v>
      </c>
      <c r="E6150" s="1" t="s">
        <v>10</v>
      </c>
      <c r="F6150" s="1" t="s">
        <v>5091</v>
      </c>
      <c r="G6150" s="1" t="s">
        <v>6145</v>
      </c>
      <c r="H6150" s="1" t="s">
        <v>43</v>
      </c>
      <c r="I6150" s="1" t="s">
        <v>5807</v>
      </c>
    </row>
    <row r="6151" spans="1:9">
      <c r="A6151" s="16" t="s">
        <v>6478</v>
      </c>
      <c r="B6151" s="1" t="s">
        <v>2628</v>
      </c>
      <c r="C6151" s="1">
        <v>820</v>
      </c>
      <c r="D6151" s="1" t="s">
        <v>34</v>
      </c>
      <c r="E6151" s="1" t="s">
        <v>10</v>
      </c>
      <c r="F6151" s="1" t="s">
        <v>5091</v>
      </c>
      <c r="G6151" s="14" t="s">
        <v>6479</v>
      </c>
      <c r="H6151" s="1" t="s">
        <v>43</v>
      </c>
      <c r="I6151" s="17">
        <v>41576</v>
      </c>
    </row>
    <row r="6152" spans="1:9" ht="31.2">
      <c r="A6152" s="16" t="s">
        <v>6497</v>
      </c>
      <c r="B6152" s="1" t="s">
        <v>2628</v>
      </c>
      <c r="C6152" s="1">
        <v>5</v>
      </c>
      <c r="D6152" s="1" t="s">
        <v>34</v>
      </c>
      <c r="E6152" s="1" t="s">
        <v>10</v>
      </c>
      <c r="F6152" s="1" t="s">
        <v>5091</v>
      </c>
      <c r="G6152" s="14" t="s">
        <v>4458</v>
      </c>
      <c r="H6152" s="1" t="s">
        <v>118</v>
      </c>
      <c r="I6152" s="1" t="s">
        <v>4458</v>
      </c>
    </row>
    <row r="6153" spans="1:9">
      <c r="A6153" s="7" t="s">
        <v>6501</v>
      </c>
      <c r="B6153" s="1" t="s">
        <v>2628</v>
      </c>
      <c r="C6153" s="1">
        <v>5</v>
      </c>
      <c r="D6153" s="1" t="s">
        <v>34</v>
      </c>
      <c r="E6153" s="1" t="s">
        <v>10</v>
      </c>
      <c r="F6153" s="1" t="s">
        <v>5091</v>
      </c>
      <c r="G6153" s="1" t="s">
        <v>6450</v>
      </c>
      <c r="H6153" s="1" t="s">
        <v>43</v>
      </c>
      <c r="I6153" s="1" t="s">
        <v>5848</v>
      </c>
    </row>
    <row r="6154" spans="1:9">
      <c r="A6154" s="7" t="s">
        <v>6505</v>
      </c>
      <c r="B6154" s="1" t="s">
        <v>2628</v>
      </c>
      <c r="C6154" s="1">
        <v>5</v>
      </c>
      <c r="D6154" s="1" t="s">
        <v>34</v>
      </c>
      <c r="E6154" s="1" t="s">
        <v>10</v>
      </c>
      <c r="F6154" s="1" t="s">
        <v>5091</v>
      </c>
      <c r="G6154" s="1" t="s">
        <v>6450</v>
      </c>
      <c r="H6154" s="1" t="s">
        <v>43</v>
      </c>
      <c r="I6154" s="1" t="s">
        <v>5722</v>
      </c>
    </row>
    <row r="6155" spans="1:9">
      <c r="A6155" s="7" t="s">
        <v>6506</v>
      </c>
      <c r="B6155" s="1" t="s">
        <v>2628</v>
      </c>
      <c r="C6155" s="1">
        <v>5</v>
      </c>
      <c r="D6155" s="1" t="s">
        <v>34</v>
      </c>
      <c r="E6155" s="1" t="s">
        <v>10</v>
      </c>
      <c r="F6155" s="1" t="s">
        <v>5091</v>
      </c>
      <c r="G6155" s="1" t="s">
        <v>6450</v>
      </c>
      <c r="H6155" s="1" t="s">
        <v>43</v>
      </c>
      <c r="I6155" s="1" t="s">
        <v>5722</v>
      </c>
    </row>
    <row r="6156" spans="1:9">
      <c r="A6156" s="7" t="s">
        <v>6516</v>
      </c>
      <c r="B6156" s="1" t="s">
        <v>2628</v>
      </c>
      <c r="C6156" s="1">
        <v>5</v>
      </c>
      <c r="D6156" s="1" t="s">
        <v>34</v>
      </c>
      <c r="E6156" s="1" t="s">
        <v>10</v>
      </c>
      <c r="F6156" s="1" t="s">
        <v>5091</v>
      </c>
      <c r="G6156" s="1" t="s">
        <v>6450</v>
      </c>
      <c r="H6156" s="1" t="s">
        <v>43</v>
      </c>
      <c r="I6156" s="1" t="s">
        <v>5848</v>
      </c>
    </row>
    <row r="6157" spans="1:9">
      <c r="A6157" s="16" t="s">
        <v>6519</v>
      </c>
      <c r="B6157" s="1" t="s">
        <v>2628</v>
      </c>
      <c r="C6157" s="1">
        <v>820</v>
      </c>
      <c r="D6157" s="1" t="s">
        <v>34</v>
      </c>
      <c r="E6157" s="1" t="s">
        <v>10</v>
      </c>
      <c r="F6157" s="1" t="s">
        <v>5091</v>
      </c>
      <c r="G6157" s="14" t="s">
        <v>6520</v>
      </c>
      <c r="H6157" s="1" t="s">
        <v>43</v>
      </c>
      <c r="I6157" s="17">
        <v>41576</v>
      </c>
    </row>
    <row r="6158" spans="1:9">
      <c r="A6158" s="7" t="s">
        <v>6539</v>
      </c>
      <c r="B6158" s="1" t="s">
        <v>2631</v>
      </c>
      <c r="C6158" s="1">
        <v>5</v>
      </c>
      <c r="D6158" s="1" t="s">
        <v>34</v>
      </c>
      <c r="E6158" s="1" t="s">
        <v>10</v>
      </c>
      <c r="F6158" s="1" t="s">
        <v>5091</v>
      </c>
      <c r="G6158" s="1" t="s">
        <v>6238</v>
      </c>
      <c r="H6158" s="1" t="s">
        <v>43</v>
      </c>
      <c r="I6158" s="1" t="s">
        <v>5807</v>
      </c>
    </row>
    <row r="6159" spans="1:9">
      <c r="A6159" s="7" t="s">
        <v>6540</v>
      </c>
      <c r="B6159" s="1" t="s">
        <v>2631</v>
      </c>
      <c r="C6159" s="1">
        <v>5</v>
      </c>
      <c r="D6159" s="1" t="s">
        <v>34</v>
      </c>
      <c r="E6159" s="1" t="s">
        <v>10</v>
      </c>
      <c r="F6159" s="1" t="s">
        <v>5091</v>
      </c>
      <c r="G6159" s="1" t="s">
        <v>6236</v>
      </c>
      <c r="H6159" s="1" t="s">
        <v>43</v>
      </c>
      <c r="I6159" s="1" t="s">
        <v>5807</v>
      </c>
    </row>
    <row r="6160" spans="1:9">
      <c r="A6160" s="7" t="s">
        <v>6541</v>
      </c>
      <c r="B6160" s="1" t="s">
        <v>2631</v>
      </c>
      <c r="C6160" s="1">
        <v>5</v>
      </c>
      <c r="D6160" s="1" t="s">
        <v>34</v>
      </c>
      <c r="E6160" s="1" t="s">
        <v>10</v>
      </c>
      <c r="F6160" s="1" t="s">
        <v>5091</v>
      </c>
      <c r="G6160" s="1" t="s">
        <v>6238</v>
      </c>
      <c r="H6160" s="1" t="s">
        <v>43</v>
      </c>
      <c r="I6160" s="1" t="s">
        <v>5807</v>
      </c>
    </row>
    <row r="6161" spans="1:9">
      <c r="A6161" s="7" t="s">
        <v>6542</v>
      </c>
      <c r="B6161" s="1" t="s">
        <v>2631</v>
      </c>
      <c r="C6161" s="1">
        <v>5</v>
      </c>
      <c r="D6161" s="1" t="s">
        <v>34</v>
      </c>
      <c r="E6161" s="1" t="s">
        <v>10</v>
      </c>
      <c r="F6161" s="1" t="s">
        <v>5091</v>
      </c>
      <c r="G6161" s="1" t="s">
        <v>6238</v>
      </c>
      <c r="H6161" s="1" t="s">
        <v>43</v>
      </c>
      <c r="I6161" s="1" t="s">
        <v>5807</v>
      </c>
    </row>
    <row r="6162" spans="1:9">
      <c r="A6162" s="16" t="s">
        <v>6545</v>
      </c>
      <c r="B6162" s="1" t="s">
        <v>2628</v>
      </c>
      <c r="C6162" s="1">
        <v>820</v>
      </c>
      <c r="D6162" s="1" t="s">
        <v>34</v>
      </c>
      <c r="E6162" s="1" t="s">
        <v>10</v>
      </c>
      <c r="F6162" s="1" t="s">
        <v>5091</v>
      </c>
      <c r="G6162" s="14" t="s">
        <v>6546</v>
      </c>
      <c r="H6162" s="1" t="s">
        <v>43</v>
      </c>
      <c r="I6162" s="17">
        <v>41576</v>
      </c>
    </row>
    <row r="6163" spans="1:9">
      <c r="A6163" s="16" t="s">
        <v>6549</v>
      </c>
      <c r="B6163" s="1" t="s">
        <v>2628</v>
      </c>
      <c r="C6163" s="1">
        <v>820</v>
      </c>
      <c r="D6163" s="1" t="s">
        <v>34</v>
      </c>
      <c r="E6163" s="1" t="s">
        <v>10</v>
      </c>
      <c r="F6163" s="1" t="s">
        <v>5091</v>
      </c>
      <c r="G6163" s="14" t="s">
        <v>6550</v>
      </c>
      <c r="H6163" s="1" t="s">
        <v>43</v>
      </c>
      <c r="I6163" s="17">
        <v>41576</v>
      </c>
    </row>
    <row r="6164" spans="1:9">
      <c r="A6164" s="16" t="s">
        <v>6551</v>
      </c>
      <c r="B6164" s="1" t="s">
        <v>2628</v>
      </c>
      <c r="C6164" s="1">
        <v>820</v>
      </c>
      <c r="D6164" s="1" t="s">
        <v>34</v>
      </c>
      <c r="E6164" s="1" t="s">
        <v>10</v>
      </c>
      <c r="F6164" s="1" t="s">
        <v>5091</v>
      </c>
      <c r="G6164" s="14" t="s">
        <v>6552</v>
      </c>
      <c r="H6164" s="1" t="s">
        <v>43</v>
      </c>
      <c r="I6164" s="17">
        <v>41576</v>
      </c>
    </row>
    <row r="6165" spans="1:9">
      <c r="A6165" s="16" t="s">
        <v>6554</v>
      </c>
      <c r="B6165" s="1" t="s">
        <v>2628</v>
      </c>
      <c r="C6165" s="1">
        <v>820</v>
      </c>
      <c r="D6165" s="1" t="s">
        <v>34</v>
      </c>
      <c r="E6165" s="1" t="s">
        <v>10</v>
      </c>
      <c r="F6165" s="1" t="s">
        <v>5091</v>
      </c>
      <c r="G6165" s="14" t="s">
        <v>6555</v>
      </c>
      <c r="H6165" s="1" t="s">
        <v>43</v>
      </c>
      <c r="I6165" s="17">
        <v>41576</v>
      </c>
    </row>
    <row r="6166" spans="1:9">
      <c r="A6166" s="7" t="s">
        <v>6558</v>
      </c>
      <c r="B6166" s="1" t="s">
        <v>2628</v>
      </c>
      <c r="C6166" s="1">
        <v>5</v>
      </c>
      <c r="D6166" s="1" t="s">
        <v>34</v>
      </c>
      <c r="E6166" s="1" t="s">
        <v>10</v>
      </c>
      <c r="F6166" s="1" t="s">
        <v>5091</v>
      </c>
      <c r="G6166" s="1" t="s">
        <v>6536</v>
      </c>
      <c r="H6166" s="1" t="s">
        <v>43</v>
      </c>
      <c r="I6166" s="1" t="s">
        <v>5483</v>
      </c>
    </row>
    <row r="6167" spans="1:9">
      <c r="A6167" s="7" t="s">
        <v>6559</v>
      </c>
      <c r="B6167" s="1" t="s">
        <v>2628</v>
      </c>
      <c r="C6167" s="1">
        <v>5</v>
      </c>
      <c r="D6167" s="1" t="s">
        <v>34</v>
      </c>
      <c r="E6167" s="1" t="s">
        <v>10</v>
      </c>
      <c r="F6167" s="1" t="s">
        <v>5091</v>
      </c>
      <c r="G6167" s="1" t="s">
        <v>6536</v>
      </c>
      <c r="H6167" s="1" t="s">
        <v>43</v>
      </c>
      <c r="I6167" s="1" t="s">
        <v>5848</v>
      </c>
    </row>
    <row r="6168" spans="1:9">
      <c r="A6168" s="7" t="s">
        <v>6561</v>
      </c>
      <c r="B6168" s="1" t="s">
        <v>2628</v>
      </c>
      <c r="C6168" s="1">
        <v>5</v>
      </c>
      <c r="D6168" s="1" t="s">
        <v>34</v>
      </c>
      <c r="E6168" s="1" t="s">
        <v>10</v>
      </c>
      <c r="F6168" s="1" t="s">
        <v>5091</v>
      </c>
      <c r="G6168" s="1" t="s">
        <v>6536</v>
      </c>
      <c r="H6168" s="1" t="s">
        <v>43</v>
      </c>
      <c r="I6168" s="1" t="s">
        <v>5483</v>
      </c>
    </row>
    <row r="6169" spans="1:9">
      <c r="A6169" s="7" t="s">
        <v>6565</v>
      </c>
      <c r="B6169" s="1" t="s">
        <v>2628</v>
      </c>
      <c r="C6169" s="1">
        <v>5</v>
      </c>
      <c r="D6169" s="1" t="s">
        <v>34</v>
      </c>
      <c r="E6169" s="1" t="s">
        <v>10</v>
      </c>
      <c r="F6169" s="1" t="s">
        <v>5091</v>
      </c>
      <c r="G6169" s="1" t="s">
        <v>6536</v>
      </c>
      <c r="H6169" s="1" t="s">
        <v>43</v>
      </c>
      <c r="I6169" s="1" t="s">
        <v>5848</v>
      </c>
    </row>
    <row r="6170" spans="1:9">
      <c r="A6170" s="7" t="s">
        <v>6571</v>
      </c>
      <c r="B6170" s="1" t="s">
        <v>2631</v>
      </c>
      <c r="C6170" s="1">
        <v>5</v>
      </c>
      <c r="D6170" s="1" t="s">
        <v>34</v>
      </c>
      <c r="E6170" s="1" t="s">
        <v>10</v>
      </c>
      <c r="F6170" s="1" t="s">
        <v>5091</v>
      </c>
      <c r="G6170" s="1" t="s">
        <v>6181</v>
      </c>
      <c r="H6170" s="1" t="s">
        <v>118</v>
      </c>
      <c r="I6170" s="1" t="s">
        <v>4458</v>
      </c>
    </row>
    <row r="6171" spans="1:9">
      <c r="A6171" s="21" t="s">
        <v>6575</v>
      </c>
      <c r="B6171" s="13" t="s">
        <v>16952</v>
      </c>
      <c r="C6171" s="13">
        <v>5</v>
      </c>
      <c r="D6171" s="13" t="s">
        <v>34</v>
      </c>
      <c r="E6171" s="13" t="s">
        <v>10</v>
      </c>
      <c r="F6171" s="13" t="s">
        <v>5091</v>
      </c>
      <c r="G6171" s="13" t="s">
        <v>6536</v>
      </c>
      <c r="H6171" s="13" t="s">
        <v>43</v>
      </c>
      <c r="I6171" s="13" t="s">
        <v>5848</v>
      </c>
    </row>
    <row r="6172" spans="1:9">
      <c r="A6172" s="7" t="s">
        <v>6577</v>
      </c>
      <c r="B6172" s="1" t="s">
        <v>2628</v>
      </c>
      <c r="C6172" s="1">
        <v>5</v>
      </c>
      <c r="D6172" s="1" t="s">
        <v>34</v>
      </c>
      <c r="E6172" s="1" t="s">
        <v>10</v>
      </c>
      <c r="F6172" s="1" t="s">
        <v>5091</v>
      </c>
      <c r="G6172" s="1" t="s">
        <v>6536</v>
      </c>
      <c r="H6172" s="1" t="s">
        <v>43</v>
      </c>
      <c r="I6172" s="1" t="s">
        <v>5848</v>
      </c>
    </row>
    <row r="6173" spans="1:9">
      <c r="A6173" s="7" t="s">
        <v>6578</v>
      </c>
      <c r="B6173" s="1" t="s">
        <v>2628</v>
      </c>
      <c r="C6173" s="1">
        <v>5</v>
      </c>
      <c r="D6173" s="1" t="s">
        <v>34</v>
      </c>
      <c r="E6173" s="1" t="s">
        <v>10</v>
      </c>
      <c r="F6173" s="1" t="s">
        <v>5091</v>
      </c>
      <c r="G6173" s="1" t="s">
        <v>6536</v>
      </c>
      <c r="H6173" s="1" t="s">
        <v>43</v>
      </c>
      <c r="I6173" s="1" t="s">
        <v>5483</v>
      </c>
    </row>
    <row r="6174" spans="1:9">
      <c r="A6174" s="7" t="s">
        <v>6584</v>
      </c>
      <c r="B6174" s="1" t="s">
        <v>2628</v>
      </c>
      <c r="C6174" s="1">
        <v>5</v>
      </c>
      <c r="D6174" s="1" t="s">
        <v>34</v>
      </c>
      <c r="E6174" s="1" t="s">
        <v>10</v>
      </c>
      <c r="F6174" s="1" t="s">
        <v>5091</v>
      </c>
      <c r="G6174" s="1" t="s">
        <v>6585</v>
      </c>
      <c r="H6174" s="1" t="s">
        <v>5</v>
      </c>
      <c r="I6174" s="1" t="s">
        <v>5630</v>
      </c>
    </row>
    <row r="6175" spans="1:9">
      <c r="A6175" s="7" t="s">
        <v>6586</v>
      </c>
      <c r="B6175" s="1" t="s">
        <v>2628</v>
      </c>
      <c r="C6175" s="1">
        <v>5</v>
      </c>
      <c r="D6175" s="1" t="s">
        <v>34</v>
      </c>
      <c r="E6175" s="1" t="s">
        <v>10</v>
      </c>
      <c r="F6175" s="1" t="s">
        <v>5091</v>
      </c>
      <c r="G6175" s="1" t="s">
        <v>6530</v>
      </c>
      <c r="H6175" s="1" t="s">
        <v>43</v>
      </c>
      <c r="I6175" s="1" t="s">
        <v>5630</v>
      </c>
    </row>
    <row r="6176" spans="1:9">
      <c r="A6176" s="7" t="s">
        <v>6587</v>
      </c>
      <c r="B6176" s="1" t="s">
        <v>2628</v>
      </c>
      <c r="C6176" s="1">
        <v>5</v>
      </c>
      <c r="D6176" s="1" t="s">
        <v>34</v>
      </c>
      <c r="E6176" s="1" t="s">
        <v>10</v>
      </c>
      <c r="F6176" s="1" t="s">
        <v>5091</v>
      </c>
      <c r="G6176" s="1" t="s">
        <v>6530</v>
      </c>
      <c r="H6176" s="1" t="s">
        <v>43</v>
      </c>
      <c r="I6176" s="1" t="s">
        <v>5630</v>
      </c>
    </row>
    <row r="6177" spans="1:10">
      <c r="A6177" s="7" t="s">
        <v>6589</v>
      </c>
      <c r="B6177" s="1" t="s">
        <v>2628</v>
      </c>
      <c r="C6177" s="1">
        <v>5</v>
      </c>
      <c r="D6177" s="1" t="s">
        <v>34</v>
      </c>
      <c r="E6177" s="1" t="s">
        <v>10</v>
      </c>
      <c r="F6177" s="1" t="s">
        <v>5091</v>
      </c>
      <c r="G6177" s="1" t="s">
        <v>6530</v>
      </c>
      <c r="H6177" s="1" t="s">
        <v>43</v>
      </c>
      <c r="I6177" s="1" t="s">
        <v>5630</v>
      </c>
    </row>
    <row r="6178" spans="1:10">
      <c r="A6178" s="7" t="s">
        <v>6591</v>
      </c>
      <c r="B6178" s="1" t="s">
        <v>2628</v>
      </c>
      <c r="C6178" s="1">
        <v>5</v>
      </c>
      <c r="D6178" s="1" t="s">
        <v>34</v>
      </c>
      <c r="E6178" s="1" t="s">
        <v>10</v>
      </c>
      <c r="F6178" s="1" t="s">
        <v>5091</v>
      </c>
      <c r="G6178" s="1" t="s">
        <v>6530</v>
      </c>
      <c r="H6178" s="1" t="s">
        <v>43</v>
      </c>
      <c r="I6178" s="1" t="s">
        <v>5630</v>
      </c>
    </row>
    <row r="6179" spans="1:10">
      <c r="A6179" s="7" t="s">
        <v>6592</v>
      </c>
      <c r="B6179" s="1" t="s">
        <v>2628</v>
      </c>
      <c r="C6179" s="1">
        <v>5</v>
      </c>
      <c r="D6179" s="1" t="s">
        <v>34</v>
      </c>
      <c r="E6179" s="1" t="s">
        <v>10</v>
      </c>
      <c r="F6179" s="1" t="s">
        <v>5091</v>
      </c>
      <c r="G6179" s="1" t="s">
        <v>6530</v>
      </c>
      <c r="H6179" s="1" t="s">
        <v>43</v>
      </c>
      <c r="I6179" s="1" t="s">
        <v>5630</v>
      </c>
    </row>
    <row r="6180" spans="1:10">
      <c r="A6180" s="7" t="s">
        <v>6602</v>
      </c>
      <c r="B6180" s="1" t="s">
        <v>2628</v>
      </c>
      <c r="C6180" s="1">
        <v>5</v>
      </c>
      <c r="D6180" s="1" t="s">
        <v>34</v>
      </c>
      <c r="E6180" s="1" t="s">
        <v>10</v>
      </c>
      <c r="F6180" s="1" t="s">
        <v>5091</v>
      </c>
      <c r="G6180" s="1" t="s">
        <v>6603</v>
      </c>
      <c r="H6180" s="1" t="s">
        <v>5</v>
      </c>
      <c r="I6180" s="1" t="s">
        <v>5807</v>
      </c>
      <c r="J6180" s="17"/>
    </row>
    <row r="6181" spans="1:10">
      <c r="A6181" s="7" t="s">
        <v>6605</v>
      </c>
      <c r="B6181" s="1" t="s">
        <v>2628</v>
      </c>
      <c r="C6181" s="1">
        <v>5</v>
      </c>
      <c r="D6181" s="1" t="s">
        <v>34</v>
      </c>
      <c r="E6181" s="1" t="s">
        <v>10</v>
      </c>
      <c r="F6181" s="1" t="s">
        <v>5091</v>
      </c>
      <c r="G6181" s="1" t="s">
        <v>6606</v>
      </c>
      <c r="H6181" s="1" t="s">
        <v>5</v>
      </c>
      <c r="I6181" s="1" t="s">
        <v>5807</v>
      </c>
      <c r="J6181" s="17"/>
    </row>
    <row r="6182" spans="1:10">
      <c r="A6182" s="7" t="s">
        <v>6609</v>
      </c>
      <c r="B6182" s="1" t="s">
        <v>2628</v>
      </c>
      <c r="C6182" s="1">
        <v>5</v>
      </c>
      <c r="D6182" s="1" t="s">
        <v>34</v>
      </c>
      <c r="E6182" s="1" t="s">
        <v>10</v>
      </c>
      <c r="F6182" s="1" t="s">
        <v>5091</v>
      </c>
      <c r="G6182" s="1" t="s">
        <v>6610</v>
      </c>
      <c r="H6182" s="1" t="s">
        <v>43</v>
      </c>
      <c r="I6182" s="1" t="s">
        <v>5807</v>
      </c>
    </row>
    <row r="6183" spans="1:10">
      <c r="A6183" s="7" t="s">
        <v>6614</v>
      </c>
      <c r="B6183" s="1" t="s">
        <v>2628</v>
      </c>
      <c r="C6183" s="1">
        <v>5</v>
      </c>
      <c r="D6183" s="1" t="s">
        <v>34</v>
      </c>
      <c r="E6183" s="1" t="s">
        <v>10</v>
      </c>
      <c r="F6183" s="1" t="s">
        <v>5091</v>
      </c>
      <c r="G6183" s="1" t="s">
        <v>6536</v>
      </c>
      <c r="H6183" s="1" t="s">
        <v>43</v>
      </c>
      <c r="I6183" s="1" t="s">
        <v>5848</v>
      </c>
    </row>
    <row r="6184" spans="1:10">
      <c r="A6184" s="7" t="s">
        <v>6615</v>
      </c>
      <c r="B6184" s="1" t="s">
        <v>2628</v>
      </c>
      <c r="C6184" s="1">
        <v>5</v>
      </c>
      <c r="D6184" s="1" t="s">
        <v>34</v>
      </c>
      <c r="E6184" s="1" t="s">
        <v>10</v>
      </c>
      <c r="F6184" s="1" t="s">
        <v>5091</v>
      </c>
      <c r="G6184" s="1" t="s">
        <v>6536</v>
      </c>
      <c r="H6184" s="1" t="s">
        <v>43</v>
      </c>
      <c r="I6184" s="1" t="s">
        <v>5483</v>
      </c>
    </row>
    <row r="6185" spans="1:10">
      <c r="A6185" s="7" t="s">
        <v>6616</v>
      </c>
      <c r="B6185" s="1" t="s">
        <v>2628</v>
      </c>
      <c r="C6185" s="1">
        <v>5</v>
      </c>
      <c r="D6185" s="1" t="s">
        <v>34</v>
      </c>
      <c r="E6185" s="1" t="s">
        <v>10</v>
      </c>
      <c r="F6185" s="1" t="s">
        <v>5091</v>
      </c>
      <c r="G6185" s="1" t="s">
        <v>6536</v>
      </c>
      <c r="H6185" s="1" t="s">
        <v>43</v>
      </c>
      <c r="I6185" s="1" t="s">
        <v>5483</v>
      </c>
    </row>
    <row r="6186" spans="1:10">
      <c r="A6186" s="7" t="s">
        <v>6621</v>
      </c>
      <c r="B6186" s="1" t="s">
        <v>2628</v>
      </c>
      <c r="C6186" s="1">
        <v>5</v>
      </c>
      <c r="D6186" s="1" t="s">
        <v>34</v>
      </c>
      <c r="E6186" s="1" t="s">
        <v>10</v>
      </c>
      <c r="F6186" s="1" t="s">
        <v>5091</v>
      </c>
      <c r="G6186" s="1" t="s">
        <v>6238</v>
      </c>
      <c r="H6186" s="1" t="s">
        <v>43</v>
      </c>
      <c r="I6186" s="1" t="s">
        <v>5807</v>
      </c>
    </row>
    <row r="6187" spans="1:10">
      <c r="A6187" s="7" t="s">
        <v>6622</v>
      </c>
      <c r="B6187" s="1" t="s">
        <v>2628</v>
      </c>
      <c r="C6187" s="1">
        <v>5</v>
      </c>
      <c r="D6187" s="1" t="s">
        <v>34</v>
      </c>
      <c r="E6187" s="1" t="s">
        <v>10</v>
      </c>
      <c r="F6187" s="1" t="s">
        <v>5091</v>
      </c>
      <c r="G6187" s="1" t="s">
        <v>6238</v>
      </c>
      <c r="H6187" s="1" t="s">
        <v>43</v>
      </c>
      <c r="I6187" s="1" t="s">
        <v>5807</v>
      </c>
    </row>
    <row r="6188" spans="1:10">
      <c r="A6188" s="7" t="s">
        <v>6657</v>
      </c>
      <c r="B6188" s="1" t="s">
        <v>2628</v>
      </c>
      <c r="C6188" s="1">
        <v>5</v>
      </c>
      <c r="D6188" s="1" t="s">
        <v>34</v>
      </c>
      <c r="E6188" s="1" t="s">
        <v>10</v>
      </c>
      <c r="F6188" s="1" t="s">
        <v>5091</v>
      </c>
      <c r="G6188" s="1" t="s">
        <v>6627</v>
      </c>
      <c r="H6188" s="1" t="s">
        <v>43</v>
      </c>
      <c r="I6188" s="1" t="s">
        <v>5807</v>
      </c>
    </row>
    <row r="6189" spans="1:10">
      <c r="A6189" s="7" t="s">
        <v>6672</v>
      </c>
      <c r="B6189" s="1" t="s">
        <v>2628</v>
      </c>
      <c r="C6189" s="1">
        <v>5</v>
      </c>
      <c r="D6189" s="1" t="s">
        <v>34</v>
      </c>
      <c r="E6189" s="1" t="s">
        <v>10</v>
      </c>
      <c r="F6189" s="1" t="s">
        <v>118</v>
      </c>
      <c r="G6189" s="1" t="s">
        <v>6530</v>
      </c>
      <c r="H6189" s="1" t="s">
        <v>43</v>
      </c>
      <c r="I6189" s="1">
        <v>2019</v>
      </c>
    </row>
    <row r="6190" spans="1:10">
      <c r="A6190" s="7" t="s">
        <v>6673</v>
      </c>
      <c r="B6190" s="1" t="s">
        <v>2628</v>
      </c>
      <c r="C6190" s="1">
        <v>5</v>
      </c>
      <c r="D6190" s="1" t="s">
        <v>34</v>
      </c>
      <c r="E6190" s="1" t="s">
        <v>10</v>
      </c>
      <c r="F6190" s="1" t="s">
        <v>118</v>
      </c>
      <c r="G6190" s="1" t="s">
        <v>6530</v>
      </c>
      <c r="H6190" s="1" t="s">
        <v>43</v>
      </c>
      <c r="I6190" s="1">
        <v>2019</v>
      </c>
    </row>
    <row r="6191" spans="1:10">
      <c r="A6191" s="7" t="s">
        <v>6674</v>
      </c>
      <c r="B6191" s="1" t="s">
        <v>2628</v>
      </c>
      <c r="C6191" s="1">
        <v>5</v>
      </c>
      <c r="D6191" s="1" t="s">
        <v>34</v>
      </c>
      <c r="E6191" s="1" t="s">
        <v>10</v>
      </c>
      <c r="F6191" s="1" t="s">
        <v>118</v>
      </c>
      <c r="G6191" s="1" t="s">
        <v>6530</v>
      </c>
      <c r="H6191" s="1" t="s">
        <v>43</v>
      </c>
      <c r="I6191" s="1">
        <v>2019</v>
      </c>
    </row>
    <row r="6192" spans="1:10">
      <c r="A6192" s="7" t="s">
        <v>6697</v>
      </c>
      <c r="B6192" s="1" t="s">
        <v>2628</v>
      </c>
      <c r="C6192" s="1">
        <v>5</v>
      </c>
      <c r="D6192" s="1" t="s">
        <v>34</v>
      </c>
      <c r="E6192" s="1" t="s">
        <v>10</v>
      </c>
      <c r="F6192" s="1" t="s">
        <v>5091</v>
      </c>
      <c r="G6192" s="1" t="s">
        <v>6139</v>
      </c>
      <c r="H6192" s="1" t="s">
        <v>43</v>
      </c>
      <c r="I6192" s="1" t="s">
        <v>5807</v>
      </c>
    </row>
    <row r="6193" spans="1:10">
      <c r="A6193" s="7" t="s">
        <v>6738</v>
      </c>
      <c r="B6193" s="1" t="s">
        <v>2628</v>
      </c>
      <c r="C6193" s="1">
        <v>5</v>
      </c>
      <c r="D6193" s="1" t="s">
        <v>34</v>
      </c>
      <c r="E6193" s="1" t="s">
        <v>10</v>
      </c>
      <c r="F6193" s="1" t="s">
        <v>5241</v>
      </c>
      <c r="G6193" s="1" t="s">
        <v>4803</v>
      </c>
      <c r="H6193" s="1" t="s">
        <v>5</v>
      </c>
      <c r="I6193" s="1" t="s">
        <v>5807</v>
      </c>
      <c r="J6193" s="17"/>
    </row>
    <row r="6194" spans="1:10">
      <c r="A6194" s="7" t="s">
        <v>6740</v>
      </c>
      <c r="B6194" s="1" t="s">
        <v>2628</v>
      </c>
      <c r="C6194" s="1">
        <v>5</v>
      </c>
      <c r="D6194" s="1" t="s">
        <v>34</v>
      </c>
      <c r="E6194" s="1" t="s">
        <v>10</v>
      </c>
      <c r="F6194" s="1" t="s">
        <v>5241</v>
      </c>
      <c r="G6194" s="1" t="s">
        <v>6307</v>
      </c>
      <c r="H6194" s="1" t="s">
        <v>44</v>
      </c>
      <c r="I6194" s="1" t="s">
        <v>5807</v>
      </c>
    </row>
    <row r="6195" spans="1:10">
      <c r="A6195" s="7" t="s">
        <v>6745</v>
      </c>
      <c r="B6195" s="1" t="s">
        <v>2628</v>
      </c>
      <c r="C6195" s="1">
        <v>5</v>
      </c>
      <c r="D6195" s="1" t="s">
        <v>34</v>
      </c>
      <c r="E6195" s="1" t="s">
        <v>10</v>
      </c>
      <c r="F6195" s="1" t="s">
        <v>5091</v>
      </c>
      <c r="G6195" s="1" t="s">
        <v>6536</v>
      </c>
      <c r="H6195" s="1" t="s">
        <v>43</v>
      </c>
      <c r="I6195" s="1" t="s">
        <v>5801</v>
      </c>
    </row>
    <row r="6196" spans="1:10">
      <c r="A6196" s="7" t="s">
        <v>6749</v>
      </c>
      <c r="B6196" s="1" t="s">
        <v>2628</v>
      </c>
      <c r="C6196" s="1">
        <v>5</v>
      </c>
      <c r="D6196" s="1" t="s">
        <v>34</v>
      </c>
      <c r="E6196" s="1" t="s">
        <v>10</v>
      </c>
      <c r="F6196" s="1" t="s">
        <v>5091</v>
      </c>
      <c r="G6196" s="1" t="s">
        <v>6536</v>
      </c>
      <c r="H6196" s="1" t="s">
        <v>43</v>
      </c>
      <c r="I6196" s="1" t="s">
        <v>5722</v>
      </c>
    </row>
    <row r="6197" spans="1:10">
      <c r="A6197" s="7" t="s">
        <v>6754</v>
      </c>
      <c r="B6197" s="1" t="s">
        <v>2628</v>
      </c>
      <c r="C6197" s="1">
        <v>5</v>
      </c>
      <c r="D6197" s="1" t="s">
        <v>34</v>
      </c>
      <c r="E6197" s="1" t="s">
        <v>10</v>
      </c>
      <c r="F6197" s="1" t="s">
        <v>5091</v>
      </c>
      <c r="G6197" s="1" t="s">
        <v>6536</v>
      </c>
      <c r="H6197" s="1" t="s">
        <v>43</v>
      </c>
      <c r="I6197" s="1" t="s">
        <v>5801</v>
      </c>
    </row>
    <row r="6198" spans="1:10">
      <c r="A6198" s="7" t="s">
        <v>6755</v>
      </c>
      <c r="B6198" s="1" t="s">
        <v>2628</v>
      </c>
      <c r="C6198" s="1">
        <v>5</v>
      </c>
      <c r="D6198" s="1" t="s">
        <v>34</v>
      </c>
      <c r="E6198" s="1" t="s">
        <v>10</v>
      </c>
      <c r="F6198" s="1" t="s">
        <v>5091</v>
      </c>
      <c r="G6198" s="1" t="s">
        <v>6536</v>
      </c>
      <c r="H6198" s="1" t="s">
        <v>43</v>
      </c>
      <c r="I6198" s="1" t="s">
        <v>5801</v>
      </c>
    </row>
    <row r="6199" spans="1:10">
      <c r="A6199" s="7" t="s">
        <v>6756</v>
      </c>
      <c r="B6199" s="1" t="s">
        <v>2628</v>
      </c>
      <c r="C6199" s="1">
        <v>5</v>
      </c>
      <c r="D6199" s="1" t="s">
        <v>34</v>
      </c>
      <c r="E6199" s="1" t="s">
        <v>10</v>
      </c>
      <c r="F6199" s="1" t="s">
        <v>5091</v>
      </c>
      <c r="G6199" s="1" t="s">
        <v>6536</v>
      </c>
      <c r="H6199" s="1" t="s">
        <v>43</v>
      </c>
      <c r="I6199" s="1" t="s">
        <v>5801</v>
      </c>
    </row>
    <row r="6200" spans="1:10">
      <c r="A6200" s="7" t="s">
        <v>6763</v>
      </c>
      <c r="B6200" s="1" t="s">
        <v>2628</v>
      </c>
      <c r="C6200" s="1">
        <v>5</v>
      </c>
      <c r="D6200" s="1" t="s">
        <v>34</v>
      </c>
      <c r="E6200" s="1" t="s">
        <v>10</v>
      </c>
      <c r="F6200" s="1" t="s">
        <v>5091</v>
      </c>
      <c r="G6200" s="1" t="s">
        <v>6145</v>
      </c>
      <c r="H6200" s="1" t="s">
        <v>43</v>
      </c>
      <c r="I6200" s="1" t="s">
        <v>5807</v>
      </c>
    </row>
    <row r="6201" spans="1:10">
      <c r="A6201" s="7" t="s">
        <v>6770</v>
      </c>
      <c r="B6201" s="1" t="s">
        <v>2628</v>
      </c>
      <c r="C6201" s="1">
        <v>5</v>
      </c>
      <c r="D6201" s="1" t="s">
        <v>34</v>
      </c>
      <c r="E6201" s="1" t="s">
        <v>10</v>
      </c>
      <c r="F6201" s="1" t="s">
        <v>5091</v>
      </c>
      <c r="G6201" s="1" t="s">
        <v>6771</v>
      </c>
      <c r="H6201" s="1" t="s">
        <v>5</v>
      </c>
      <c r="I6201" s="1" t="s">
        <v>5807</v>
      </c>
      <c r="J6201" s="17"/>
    </row>
    <row r="6202" spans="1:10">
      <c r="A6202" s="7" t="s">
        <v>6772</v>
      </c>
      <c r="B6202" s="1" t="s">
        <v>2628</v>
      </c>
      <c r="C6202" s="1">
        <v>5</v>
      </c>
      <c r="D6202" s="1" t="s">
        <v>34</v>
      </c>
      <c r="E6202" s="1" t="s">
        <v>10</v>
      </c>
      <c r="F6202" s="1" t="s">
        <v>5091</v>
      </c>
      <c r="G6202" s="1" t="s">
        <v>6771</v>
      </c>
      <c r="H6202" s="1" t="s">
        <v>5</v>
      </c>
      <c r="I6202" s="1" t="s">
        <v>5807</v>
      </c>
      <c r="J6202" s="17"/>
    </row>
    <row r="6203" spans="1:10">
      <c r="A6203" s="7" t="s">
        <v>6773</v>
      </c>
      <c r="B6203" s="1" t="s">
        <v>2628</v>
      </c>
      <c r="C6203" s="1">
        <v>5</v>
      </c>
      <c r="D6203" s="1" t="s">
        <v>34</v>
      </c>
      <c r="E6203" s="1" t="s">
        <v>10</v>
      </c>
      <c r="F6203" s="1" t="s">
        <v>5091</v>
      </c>
      <c r="G6203" s="1" t="s">
        <v>6771</v>
      </c>
      <c r="H6203" s="1" t="s">
        <v>5</v>
      </c>
      <c r="I6203" s="1" t="s">
        <v>5807</v>
      </c>
      <c r="J6203" s="17"/>
    </row>
    <row r="6204" spans="1:10">
      <c r="A6204" s="7" t="s">
        <v>6776</v>
      </c>
      <c r="B6204" s="1" t="s">
        <v>2628</v>
      </c>
      <c r="C6204" s="1">
        <v>5</v>
      </c>
      <c r="D6204" s="1" t="s">
        <v>34</v>
      </c>
      <c r="E6204" s="1" t="s">
        <v>10</v>
      </c>
      <c r="F6204" s="1" t="s">
        <v>5091</v>
      </c>
      <c r="G6204" s="1" t="s">
        <v>6145</v>
      </c>
      <c r="H6204" s="1" t="s">
        <v>43</v>
      </c>
      <c r="I6204" s="1" t="s">
        <v>4789</v>
      </c>
    </row>
    <row r="6205" spans="1:10">
      <c r="A6205" s="7" t="s">
        <v>6777</v>
      </c>
      <c r="B6205" s="1" t="s">
        <v>2628</v>
      </c>
      <c r="C6205" s="1">
        <v>5</v>
      </c>
      <c r="D6205" s="1" t="s">
        <v>34</v>
      </c>
      <c r="E6205" s="1" t="s">
        <v>10</v>
      </c>
      <c r="F6205" s="1" t="s">
        <v>5091</v>
      </c>
      <c r="G6205" s="1" t="s">
        <v>6145</v>
      </c>
      <c r="H6205" s="1" t="s">
        <v>43</v>
      </c>
      <c r="I6205" s="1" t="s">
        <v>4789</v>
      </c>
    </row>
    <row r="6206" spans="1:10">
      <c r="A6206" s="7" t="s">
        <v>6779</v>
      </c>
      <c r="B6206" s="1" t="s">
        <v>2628</v>
      </c>
      <c r="C6206" s="1">
        <v>5</v>
      </c>
      <c r="D6206" s="1" t="s">
        <v>34</v>
      </c>
      <c r="E6206" s="1" t="s">
        <v>10</v>
      </c>
      <c r="F6206" s="1" t="s">
        <v>5091</v>
      </c>
      <c r="G6206" s="1" t="s">
        <v>6145</v>
      </c>
      <c r="H6206" s="1" t="s">
        <v>43</v>
      </c>
      <c r="I6206" s="1" t="s">
        <v>4789</v>
      </c>
    </row>
    <row r="6207" spans="1:10">
      <c r="A6207" s="7" t="s">
        <v>6790</v>
      </c>
      <c r="B6207" s="1" t="s">
        <v>2628</v>
      </c>
      <c r="C6207" s="1">
        <v>5</v>
      </c>
      <c r="D6207" s="1" t="s">
        <v>34</v>
      </c>
      <c r="E6207" s="1" t="s">
        <v>10</v>
      </c>
      <c r="F6207" s="1" t="s">
        <v>5091</v>
      </c>
      <c r="G6207" s="1" t="s">
        <v>6536</v>
      </c>
      <c r="H6207" s="1" t="s">
        <v>43</v>
      </c>
      <c r="I6207" s="1" t="s">
        <v>5483</v>
      </c>
    </row>
    <row r="6208" spans="1:10">
      <c r="A6208" s="7" t="s">
        <v>6792</v>
      </c>
      <c r="B6208" s="1" t="s">
        <v>2628</v>
      </c>
      <c r="C6208" s="1">
        <v>5</v>
      </c>
      <c r="D6208" s="1" t="s">
        <v>34</v>
      </c>
      <c r="E6208" s="1" t="s">
        <v>10</v>
      </c>
      <c r="F6208" s="1" t="s">
        <v>5091</v>
      </c>
      <c r="G6208" s="1" t="s">
        <v>6536</v>
      </c>
      <c r="H6208" s="1" t="s">
        <v>43</v>
      </c>
      <c r="I6208" s="1" t="s">
        <v>5483</v>
      </c>
    </row>
    <row r="6209" spans="1:10">
      <c r="A6209" s="7" t="s">
        <v>6794</v>
      </c>
      <c r="B6209" s="1" t="s">
        <v>2628</v>
      </c>
      <c r="C6209" s="1">
        <v>5</v>
      </c>
      <c r="D6209" s="1" t="s">
        <v>34</v>
      </c>
      <c r="E6209" s="1" t="s">
        <v>10</v>
      </c>
      <c r="F6209" s="1" t="s">
        <v>5091</v>
      </c>
      <c r="G6209" s="1" t="s">
        <v>6536</v>
      </c>
      <c r="H6209" s="1" t="s">
        <v>43</v>
      </c>
      <c r="I6209" s="1" t="s">
        <v>5483</v>
      </c>
    </row>
    <row r="6210" spans="1:10">
      <c r="A6210" s="7" t="s">
        <v>6814</v>
      </c>
      <c r="B6210" s="1" t="s">
        <v>2628</v>
      </c>
      <c r="C6210" s="1">
        <v>5</v>
      </c>
      <c r="D6210" s="1" t="s">
        <v>34</v>
      </c>
      <c r="E6210" s="1" t="s">
        <v>10</v>
      </c>
      <c r="F6210" s="1" t="s">
        <v>5091</v>
      </c>
      <c r="G6210" s="1" t="s">
        <v>6181</v>
      </c>
      <c r="H6210" s="1" t="s">
        <v>118</v>
      </c>
      <c r="I6210" s="1" t="s">
        <v>4458</v>
      </c>
    </row>
    <row r="6211" spans="1:10">
      <c r="A6211" s="7" t="s">
        <v>6834</v>
      </c>
      <c r="B6211" s="1" t="s">
        <v>2628</v>
      </c>
      <c r="C6211" s="1">
        <v>5</v>
      </c>
      <c r="D6211" s="1" t="s">
        <v>34</v>
      </c>
      <c r="E6211" s="1" t="s">
        <v>10</v>
      </c>
      <c r="F6211" s="1" t="s">
        <v>5091</v>
      </c>
      <c r="G6211" s="1" t="s">
        <v>6145</v>
      </c>
      <c r="H6211" s="1" t="s">
        <v>43</v>
      </c>
      <c r="I6211" s="1" t="s">
        <v>5807</v>
      </c>
    </row>
    <row r="6212" spans="1:10">
      <c r="A6212" s="7" t="s">
        <v>6903</v>
      </c>
      <c r="B6212" s="1" t="s">
        <v>2628</v>
      </c>
      <c r="C6212" s="1">
        <v>5</v>
      </c>
      <c r="D6212" s="1" t="s">
        <v>34</v>
      </c>
      <c r="E6212" s="1" t="s">
        <v>10</v>
      </c>
      <c r="F6212" s="1" t="s">
        <v>5091</v>
      </c>
      <c r="G6212" s="1" t="s">
        <v>6894</v>
      </c>
      <c r="H6212" s="1" t="s">
        <v>44</v>
      </c>
      <c r="I6212" s="1" t="s">
        <v>5848</v>
      </c>
    </row>
    <row r="6213" spans="1:10">
      <c r="A6213" s="7" t="s">
        <v>6904</v>
      </c>
      <c r="B6213" s="1" t="s">
        <v>2628</v>
      </c>
      <c r="C6213" s="1">
        <v>5</v>
      </c>
      <c r="D6213" s="1" t="s">
        <v>34</v>
      </c>
      <c r="E6213" s="1" t="s">
        <v>10</v>
      </c>
      <c r="F6213" s="1" t="s">
        <v>5091</v>
      </c>
      <c r="G6213" s="1" t="s">
        <v>6894</v>
      </c>
      <c r="H6213" s="1" t="s">
        <v>44</v>
      </c>
      <c r="I6213" s="1" t="s">
        <v>5855</v>
      </c>
    </row>
    <row r="6214" spans="1:10">
      <c r="A6214" s="7" t="s">
        <v>6919</v>
      </c>
      <c r="B6214" s="1" t="s">
        <v>2628</v>
      </c>
      <c r="C6214" s="1">
        <v>5</v>
      </c>
      <c r="D6214" s="1" t="s">
        <v>34</v>
      </c>
      <c r="E6214" s="1" t="s">
        <v>10</v>
      </c>
      <c r="F6214" s="1" t="s">
        <v>5241</v>
      </c>
      <c r="G6214" s="1" t="s">
        <v>4803</v>
      </c>
      <c r="H6214" s="1" t="s">
        <v>5</v>
      </c>
      <c r="I6214" s="1" t="s">
        <v>5653</v>
      </c>
    </row>
    <row r="6215" spans="1:10">
      <c r="A6215" s="7" t="s">
        <v>6921</v>
      </c>
      <c r="B6215" s="1" t="s">
        <v>2628</v>
      </c>
      <c r="C6215" s="1">
        <v>5</v>
      </c>
      <c r="D6215" s="1" t="s">
        <v>34</v>
      </c>
      <c r="E6215" s="1" t="s">
        <v>10</v>
      </c>
      <c r="F6215" s="1" t="s">
        <v>5241</v>
      </c>
      <c r="G6215" s="1" t="s">
        <v>4803</v>
      </c>
      <c r="H6215" s="1" t="s">
        <v>5</v>
      </c>
      <c r="I6215" s="1" t="s">
        <v>5653</v>
      </c>
    </row>
    <row r="6216" spans="1:10">
      <c r="A6216" s="7" t="s">
        <v>6928</v>
      </c>
      <c r="B6216" s="1" t="s">
        <v>2628</v>
      </c>
      <c r="C6216" s="1">
        <v>5</v>
      </c>
      <c r="D6216" s="1" t="s">
        <v>34</v>
      </c>
      <c r="E6216" s="1" t="s">
        <v>10</v>
      </c>
      <c r="F6216" s="1" t="s">
        <v>5091</v>
      </c>
      <c r="G6216" s="1" t="s">
        <v>6238</v>
      </c>
      <c r="H6216" s="1" t="s">
        <v>43</v>
      </c>
      <c r="I6216" s="1" t="s">
        <v>6090</v>
      </c>
      <c r="J6216" s="17"/>
    </row>
    <row r="6217" spans="1:10">
      <c r="A6217" s="7" t="s">
        <v>6937</v>
      </c>
      <c r="B6217" s="1" t="s">
        <v>2628</v>
      </c>
      <c r="C6217" s="1">
        <v>5</v>
      </c>
      <c r="D6217" s="1" t="s">
        <v>34</v>
      </c>
      <c r="E6217" s="1" t="s">
        <v>10</v>
      </c>
      <c r="F6217" s="1" t="s">
        <v>5241</v>
      </c>
      <c r="G6217" s="1" t="s">
        <v>4803</v>
      </c>
      <c r="H6217" s="1" t="s">
        <v>5</v>
      </c>
      <c r="I6217" s="1" t="s">
        <v>5659</v>
      </c>
    </row>
    <row r="6218" spans="1:10">
      <c r="A6218" s="7" t="s">
        <v>7179</v>
      </c>
      <c r="B6218" s="1" t="s">
        <v>2628</v>
      </c>
      <c r="C6218" s="1">
        <v>5</v>
      </c>
      <c r="D6218" s="1" t="s">
        <v>34</v>
      </c>
      <c r="E6218" s="1" t="s">
        <v>10</v>
      </c>
      <c r="F6218" s="1" t="s">
        <v>5091</v>
      </c>
      <c r="G6218" s="1" t="s">
        <v>6181</v>
      </c>
      <c r="H6218" s="1" t="s">
        <v>118</v>
      </c>
      <c r="I6218" s="1" t="s">
        <v>4458</v>
      </c>
    </row>
    <row r="6219" spans="1:10">
      <c r="A6219" s="7" t="s">
        <v>7200</v>
      </c>
      <c r="B6219" s="1" t="s">
        <v>2628</v>
      </c>
      <c r="C6219" s="1">
        <v>5</v>
      </c>
      <c r="D6219" s="1" t="s">
        <v>34</v>
      </c>
      <c r="E6219" s="1" t="s">
        <v>10</v>
      </c>
      <c r="F6219" s="1" t="s">
        <v>5091</v>
      </c>
      <c r="G6219" s="1" t="s">
        <v>6145</v>
      </c>
      <c r="H6219" s="1" t="s">
        <v>43</v>
      </c>
      <c r="I6219" s="1" t="s">
        <v>6090</v>
      </c>
      <c r="J6219" s="17"/>
    </row>
    <row r="6220" spans="1:10">
      <c r="A6220" s="7" t="s">
        <v>7201</v>
      </c>
      <c r="B6220" s="1" t="s">
        <v>2628</v>
      </c>
      <c r="C6220" s="1">
        <v>5</v>
      </c>
      <c r="D6220" s="1" t="s">
        <v>34</v>
      </c>
      <c r="E6220" s="1" t="s">
        <v>10</v>
      </c>
      <c r="F6220" s="1" t="s">
        <v>5091</v>
      </c>
      <c r="G6220" s="1" t="s">
        <v>6145</v>
      </c>
      <c r="H6220" s="1" t="s">
        <v>43</v>
      </c>
      <c r="I6220" s="1" t="s">
        <v>6090</v>
      </c>
      <c r="J6220" s="17"/>
    </row>
    <row r="6221" spans="1:10">
      <c r="A6221" s="7" t="s">
        <v>7202</v>
      </c>
      <c r="B6221" s="1" t="s">
        <v>2628</v>
      </c>
      <c r="C6221" s="1">
        <v>5</v>
      </c>
      <c r="D6221" s="1" t="s">
        <v>34</v>
      </c>
      <c r="E6221" s="1" t="s">
        <v>10</v>
      </c>
      <c r="F6221" s="1" t="s">
        <v>5091</v>
      </c>
      <c r="G6221" s="1" t="s">
        <v>6145</v>
      </c>
      <c r="H6221" s="1" t="s">
        <v>43</v>
      </c>
      <c r="I6221" s="1" t="s">
        <v>6090</v>
      </c>
      <c r="J6221" s="17"/>
    </row>
    <row r="6222" spans="1:10">
      <c r="A6222" s="7" t="s">
        <v>7203</v>
      </c>
      <c r="B6222" s="1" t="s">
        <v>2628</v>
      </c>
      <c r="C6222" s="1">
        <v>5</v>
      </c>
      <c r="D6222" s="1" t="s">
        <v>34</v>
      </c>
      <c r="E6222" s="1" t="s">
        <v>10</v>
      </c>
      <c r="F6222" s="1" t="s">
        <v>5091</v>
      </c>
      <c r="G6222" s="1" t="s">
        <v>6145</v>
      </c>
      <c r="H6222" s="1" t="s">
        <v>43</v>
      </c>
      <c r="I6222" s="1" t="s">
        <v>6090</v>
      </c>
      <c r="J6222" s="17"/>
    </row>
    <row r="6223" spans="1:10">
      <c r="A6223" s="7" t="s">
        <v>7204</v>
      </c>
      <c r="B6223" s="1" t="s">
        <v>2628</v>
      </c>
      <c r="C6223" s="1">
        <v>5</v>
      </c>
      <c r="D6223" s="1" t="s">
        <v>34</v>
      </c>
      <c r="E6223" s="1" t="s">
        <v>10</v>
      </c>
      <c r="F6223" s="1" t="s">
        <v>5091</v>
      </c>
      <c r="G6223" s="1" t="s">
        <v>6145</v>
      </c>
      <c r="H6223" s="1" t="s">
        <v>43</v>
      </c>
      <c r="I6223" s="1" t="s">
        <v>6090</v>
      </c>
      <c r="J6223" s="17"/>
    </row>
    <row r="6224" spans="1:10">
      <c r="A6224" s="7" t="s">
        <v>7205</v>
      </c>
      <c r="B6224" s="1" t="s">
        <v>2628</v>
      </c>
      <c r="C6224" s="1">
        <v>5</v>
      </c>
      <c r="D6224" s="1" t="s">
        <v>34</v>
      </c>
      <c r="E6224" s="1" t="s">
        <v>10</v>
      </c>
      <c r="F6224" s="1" t="s">
        <v>5091</v>
      </c>
      <c r="G6224" s="1" t="s">
        <v>6145</v>
      </c>
      <c r="H6224" s="1" t="s">
        <v>43</v>
      </c>
      <c r="I6224" s="1" t="s">
        <v>6090</v>
      </c>
      <c r="J6224" s="17"/>
    </row>
    <row r="6225" spans="1:10">
      <c r="A6225" s="7" t="s">
        <v>7206</v>
      </c>
      <c r="B6225" s="1" t="s">
        <v>2628</v>
      </c>
      <c r="C6225" s="1">
        <v>5</v>
      </c>
      <c r="D6225" s="1" t="s">
        <v>34</v>
      </c>
      <c r="E6225" s="1" t="s">
        <v>10</v>
      </c>
      <c r="F6225" s="1" t="s">
        <v>5091</v>
      </c>
      <c r="G6225" s="1" t="s">
        <v>6145</v>
      </c>
      <c r="H6225" s="1" t="s">
        <v>43</v>
      </c>
      <c r="I6225" s="1" t="s">
        <v>6090</v>
      </c>
      <c r="J6225" s="17"/>
    </row>
    <row r="6226" spans="1:10">
      <c r="A6226" s="7" t="s">
        <v>7207</v>
      </c>
      <c r="B6226" s="1" t="s">
        <v>2628</v>
      </c>
      <c r="C6226" s="1">
        <v>5</v>
      </c>
      <c r="D6226" s="1" t="s">
        <v>34</v>
      </c>
      <c r="E6226" s="1" t="s">
        <v>10</v>
      </c>
      <c r="F6226" s="1" t="s">
        <v>5091</v>
      </c>
      <c r="G6226" s="1" t="s">
        <v>6145</v>
      </c>
      <c r="H6226" s="1" t="s">
        <v>43</v>
      </c>
      <c r="I6226" s="1" t="s">
        <v>6090</v>
      </c>
      <c r="J6226" s="17"/>
    </row>
    <row r="6227" spans="1:10">
      <c r="A6227" s="7" t="s">
        <v>7210</v>
      </c>
      <c r="B6227" s="1" t="s">
        <v>2628</v>
      </c>
      <c r="C6227" s="1">
        <v>5</v>
      </c>
      <c r="D6227" s="1" t="s">
        <v>34</v>
      </c>
      <c r="E6227" s="1" t="s">
        <v>10</v>
      </c>
      <c r="F6227" s="1" t="s">
        <v>5091</v>
      </c>
      <c r="G6227" s="1" t="s">
        <v>6145</v>
      </c>
      <c r="H6227" s="1" t="s">
        <v>43</v>
      </c>
      <c r="I6227" s="1" t="s">
        <v>6090</v>
      </c>
      <c r="J6227" s="17"/>
    </row>
    <row r="6228" spans="1:10">
      <c r="A6228" s="7" t="s">
        <v>7211</v>
      </c>
      <c r="B6228" s="1" t="s">
        <v>2628</v>
      </c>
      <c r="C6228" s="1">
        <v>5</v>
      </c>
      <c r="D6228" s="1" t="s">
        <v>34</v>
      </c>
      <c r="E6228" s="1" t="s">
        <v>10</v>
      </c>
      <c r="F6228" s="1" t="s">
        <v>5091</v>
      </c>
      <c r="G6228" s="1" t="s">
        <v>6145</v>
      </c>
      <c r="H6228" s="1" t="s">
        <v>43</v>
      </c>
      <c r="I6228" s="1" t="s">
        <v>6090</v>
      </c>
      <c r="J6228" s="17"/>
    </row>
    <row r="6229" spans="1:10">
      <c r="A6229" s="7" t="s">
        <v>7212</v>
      </c>
      <c r="B6229" s="1" t="s">
        <v>2628</v>
      </c>
      <c r="C6229" s="1">
        <v>5</v>
      </c>
      <c r="D6229" s="1" t="s">
        <v>34</v>
      </c>
      <c r="E6229" s="1" t="s">
        <v>10</v>
      </c>
      <c r="F6229" s="1" t="s">
        <v>5091</v>
      </c>
      <c r="G6229" s="1" t="s">
        <v>6145</v>
      </c>
      <c r="H6229" s="1" t="s">
        <v>43</v>
      </c>
      <c r="I6229" s="1" t="s">
        <v>6090</v>
      </c>
      <c r="J6229" s="17"/>
    </row>
    <row r="6230" spans="1:10">
      <c r="A6230" s="7" t="s">
        <v>7213</v>
      </c>
      <c r="B6230" s="1" t="s">
        <v>2628</v>
      </c>
      <c r="C6230" s="1">
        <v>5</v>
      </c>
      <c r="D6230" s="1" t="s">
        <v>34</v>
      </c>
      <c r="E6230" s="1" t="s">
        <v>10</v>
      </c>
      <c r="F6230" s="1" t="s">
        <v>5091</v>
      </c>
      <c r="G6230" s="1" t="s">
        <v>6181</v>
      </c>
      <c r="H6230" s="1" t="s">
        <v>118</v>
      </c>
      <c r="I6230" s="1" t="s">
        <v>7214</v>
      </c>
    </row>
    <row r="6231" spans="1:10">
      <c r="A6231" s="7" t="s">
        <v>7215</v>
      </c>
      <c r="B6231" s="1" t="s">
        <v>2631</v>
      </c>
      <c r="C6231" s="1">
        <v>5</v>
      </c>
      <c r="D6231" s="1" t="s">
        <v>34</v>
      </c>
      <c r="E6231" s="1" t="s">
        <v>10</v>
      </c>
      <c r="F6231" s="1" t="s">
        <v>5091</v>
      </c>
      <c r="G6231" s="1" t="s">
        <v>6181</v>
      </c>
      <c r="H6231" s="1" t="s">
        <v>118</v>
      </c>
      <c r="I6231" s="1" t="s">
        <v>4789</v>
      </c>
    </row>
    <row r="6232" spans="1:10">
      <c r="A6232" s="16" t="s">
        <v>7243</v>
      </c>
      <c r="B6232" s="1" t="s">
        <v>2631</v>
      </c>
      <c r="C6232" s="1">
        <v>5</v>
      </c>
      <c r="D6232" s="1" t="s">
        <v>34</v>
      </c>
      <c r="E6232" s="1" t="s">
        <v>10</v>
      </c>
      <c r="F6232" s="1" t="s">
        <v>5091</v>
      </c>
      <c r="G6232" s="1" t="s">
        <v>7244</v>
      </c>
      <c r="H6232" s="1" t="s">
        <v>43</v>
      </c>
      <c r="I6232" s="17">
        <v>41611</v>
      </c>
    </row>
    <row r="6233" spans="1:10">
      <c r="A6233" s="16" t="s">
        <v>7252</v>
      </c>
      <c r="B6233" s="1" t="s">
        <v>2631</v>
      </c>
      <c r="C6233" s="1">
        <v>5</v>
      </c>
      <c r="D6233" s="1" t="s">
        <v>34</v>
      </c>
      <c r="E6233" s="1" t="s">
        <v>10</v>
      </c>
      <c r="F6233" s="1" t="s">
        <v>5091</v>
      </c>
      <c r="G6233" s="1" t="s">
        <v>7244</v>
      </c>
      <c r="H6233" s="1" t="s">
        <v>43</v>
      </c>
      <c r="I6233" s="17">
        <v>41611</v>
      </c>
    </row>
    <row r="6234" spans="1:10">
      <c r="A6234" s="16" t="s">
        <v>7253</v>
      </c>
      <c r="B6234" s="1" t="s">
        <v>2631</v>
      </c>
      <c r="C6234" s="1">
        <v>5</v>
      </c>
      <c r="D6234" s="1" t="s">
        <v>34</v>
      </c>
      <c r="E6234" s="1" t="s">
        <v>10</v>
      </c>
      <c r="F6234" s="1" t="s">
        <v>5091</v>
      </c>
      <c r="G6234" s="1" t="s">
        <v>7244</v>
      </c>
      <c r="H6234" s="1" t="s">
        <v>43</v>
      </c>
      <c r="I6234" s="17">
        <v>41611</v>
      </c>
    </row>
    <row r="6235" spans="1:10">
      <c r="A6235" s="16" t="s">
        <v>7256</v>
      </c>
      <c r="B6235" s="1" t="s">
        <v>2631</v>
      </c>
      <c r="C6235" s="1">
        <v>5</v>
      </c>
      <c r="D6235" s="1" t="s">
        <v>34</v>
      </c>
      <c r="E6235" s="1" t="s">
        <v>10</v>
      </c>
      <c r="F6235" s="1" t="s">
        <v>5091</v>
      </c>
      <c r="G6235" s="1" t="s">
        <v>7244</v>
      </c>
      <c r="H6235" s="1" t="s">
        <v>43</v>
      </c>
      <c r="I6235" s="17">
        <v>41611</v>
      </c>
    </row>
    <row r="6236" spans="1:10">
      <c r="A6236" s="16" t="s">
        <v>7262</v>
      </c>
      <c r="B6236" s="1" t="s">
        <v>2631</v>
      </c>
      <c r="C6236" s="1">
        <v>5</v>
      </c>
      <c r="D6236" s="1" t="s">
        <v>34</v>
      </c>
      <c r="E6236" s="1" t="s">
        <v>10</v>
      </c>
      <c r="F6236" s="1" t="s">
        <v>5091</v>
      </c>
      <c r="G6236" s="1" t="s">
        <v>7244</v>
      </c>
      <c r="H6236" s="1" t="s">
        <v>43</v>
      </c>
      <c r="I6236" s="17">
        <v>41611</v>
      </c>
    </row>
    <row r="6237" spans="1:10">
      <c r="A6237" s="16" t="s">
        <v>7267</v>
      </c>
      <c r="B6237" s="1" t="s">
        <v>2631</v>
      </c>
      <c r="C6237" s="1">
        <v>5</v>
      </c>
      <c r="D6237" s="1" t="s">
        <v>34</v>
      </c>
      <c r="E6237" s="1" t="s">
        <v>10</v>
      </c>
      <c r="F6237" s="1" t="s">
        <v>5091</v>
      </c>
      <c r="G6237" s="1" t="s">
        <v>7244</v>
      </c>
      <c r="H6237" s="1" t="s">
        <v>43</v>
      </c>
      <c r="I6237" s="17">
        <v>41611</v>
      </c>
    </row>
    <row r="6238" spans="1:10">
      <c r="A6238" s="7" t="s">
        <v>7282</v>
      </c>
      <c r="B6238" s="1" t="s">
        <v>2628</v>
      </c>
      <c r="C6238" s="1">
        <v>5</v>
      </c>
      <c r="D6238" s="1" t="s">
        <v>34</v>
      </c>
      <c r="E6238" s="1" t="s">
        <v>10</v>
      </c>
      <c r="F6238" s="1" t="s">
        <v>36</v>
      </c>
      <c r="G6238" s="1" t="s">
        <v>4803</v>
      </c>
      <c r="H6238" s="1" t="s">
        <v>5</v>
      </c>
      <c r="I6238" s="1" t="s">
        <v>7283</v>
      </c>
    </row>
    <row r="6239" spans="1:10">
      <c r="A6239" s="7" t="s">
        <v>7284</v>
      </c>
      <c r="B6239" s="1" t="s">
        <v>2628</v>
      </c>
      <c r="C6239" s="1">
        <v>5</v>
      </c>
      <c r="D6239" s="1" t="s">
        <v>34</v>
      </c>
      <c r="E6239" s="1" t="s">
        <v>10</v>
      </c>
      <c r="F6239" s="1" t="s">
        <v>36</v>
      </c>
      <c r="G6239" s="1" t="s">
        <v>4803</v>
      </c>
      <c r="H6239" s="1" t="s">
        <v>5</v>
      </c>
      <c r="I6239" s="1" t="s">
        <v>7283</v>
      </c>
    </row>
    <row r="6240" spans="1:10">
      <c r="A6240" s="7" t="s">
        <v>7299</v>
      </c>
      <c r="B6240" s="1" t="s">
        <v>2628</v>
      </c>
      <c r="C6240" s="1">
        <v>5</v>
      </c>
      <c r="D6240" s="1" t="s">
        <v>34</v>
      </c>
      <c r="E6240" s="1" t="s">
        <v>10</v>
      </c>
      <c r="F6240" s="1" t="s">
        <v>5091</v>
      </c>
      <c r="G6240" s="1" t="s">
        <v>6139</v>
      </c>
      <c r="H6240" s="1" t="s">
        <v>43</v>
      </c>
      <c r="I6240" s="1" t="s">
        <v>6090</v>
      </c>
      <c r="J6240" s="1"/>
    </row>
    <row r="6241" spans="1:10">
      <c r="A6241" s="7" t="s">
        <v>7311</v>
      </c>
      <c r="B6241" s="1" t="s">
        <v>2628</v>
      </c>
      <c r="C6241" s="1">
        <v>5</v>
      </c>
      <c r="D6241" s="1" t="s">
        <v>34</v>
      </c>
      <c r="E6241" s="1" t="s">
        <v>10</v>
      </c>
      <c r="F6241" s="1" t="s">
        <v>5091</v>
      </c>
      <c r="G6241" s="1" t="s">
        <v>6186</v>
      </c>
      <c r="H6241" s="1" t="s">
        <v>5</v>
      </c>
      <c r="I6241" s="1" t="s">
        <v>6090</v>
      </c>
      <c r="J6241" s="17"/>
    </row>
    <row r="6242" spans="1:10">
      <c r="A6242" s="7" t="s">
        <v>7316</v>
      </c>
      <c r="B6242" s="1" t="s">
        <v>2631</v>
      </c>
      <c r="C6242" s="1">
        <v>5</v>
      </c>
      <c r="D6242" s="1" t="s">
        <v>34</v>
      </c>
      <c r="E6242" s="1" t="s">
        <v>10</v>
      </c>
      <c r="F6242" s="1" t="s">
        <v>5091</v>
      </c>
      <c r="G6242" s="1" t="s">
        <v>6139</v>
      </c>
      <c r="H6242" s="1" t="s">
        <v>43</v>
      </c>
      <c r="I6242" s="1" t="s">
        <v>5722</v>
      </c>
    </row>
    <row r="6243" spans="1:10" ht="31.2">
      <c r="A6243" s="16" t="s">
        <v>7317</v>
      </c>
      <c r="B6243" s="1" t="s">
        <v>2631</v>
      </c>
      <c r="C6243" s="1">
        <v>5</v>
      </c>
      <c r="D6243" s="1" t="s">
        <v>34</v>
      </c>
      <c r="E6243" s="1" t="s">
        <v>10</v>
      </c>
      <c r="F6243" s="1" t="s">
        <v>5091</v>
      </c>
      <c r="G6243" s="1" t="s">
        <v>6145</v>
      </c>
      <c r="H6243" s="1" t="s">
        <v>43</v>
      </c>
      <c r="I6243" s="17">
        <v>42108</v>
      </c>
    </row>
    <row r="6244" spans="1:10">
      <c r="A6244" s="7" t="s">
        <v>7319</v>
      </c>
      <c r="B6244" s="1" t="s">
        <v>2628</v>
      </c>
      <c r="C6244" s="1">
        <v>5</v>
      </c>
      <c r="D6244" s="1" t="s">
        <v>34</v>
      </c>
      <c r="E6244" s="1" t="s">
        <v>10</v>
      </c>
      <c r="F6244" s="1" t="s">
        <v>5091</v>
      </c>
      <c r="G6244" s="1" t="s">
        <v>2400</v>
      </c>
      <c r="H6244" s="1" t="s">
        <v>43</v>
      </c>
      <c r="I6244" s="1" t="s">
        <v>4789</v>
      </c>
    </row>
    <row r="6245" spans="1:10" ht="31.2">
      <c r="A6245" s="16" t="s">
        <v>7320</v>
      </c>
      <c r="B6245" s="1" t="s">
        <v>2628</v>
      </c>
      <c r="C6245" s="1">
        <v>5</v>
      </c>
      <c r="D6245" s="1" t="s">
        <v>34</v>
      </c>
      <c r="E6245" s="1" t="s">
        <v>10</v>
      </c>
      <c r="F6245" s="1" t="s">
        <v>5091</v>
      </c>
      <c r="G6245" s="14" t="s">
        <v>6145</v>
      </c>
      <c r="H6245" s="1" t="s">
        <v>43</v>
      </c>
      <c r="I6245" s="17">
        <v>40862</v>
      </c>
    </row>
    <row r="6246" spans="1:10">
      <c r="A6246" s="16" t="s">
        <v>7325</v>
      </c>
      <c r="B6246" s="1" t="s">
        <v>2628</v>
      </c>
      <c r="C6246" s="1">
        <v>5</v>
      </c>
      <c r="D6246" s="1" t="s">
        <v>34</v>
      </c>
      <c r="E6246" s="1" t="s">
        <v>10</v>
      </c>
      <c r="F6246" s="1" t="s">
        <v>5091</v>
      </c>
      <c r="G6246" s="14" t="s">
        <v>6145</v>
      </c>
      <c r="H6246" s="1" t="s">
        <v>43</v>
      </c>
      <c r="I6246" s="17">
        <v>41591</v>
      </c>
    </row>
    <row r="6247" spans="1:10" ht="31.2">
      <c r="A6247" s="16" t="s">
        <v>7353</v>
      </c>
      <c r="B6247" s="1" t="s">
        <v>2628</v>
      </c>
      <c r="C6247" s="1">
        <v>5</v>
      </c>
      <c r="D6247" s="1" t="s">
        <v>34</v>
      </c>
      <c r="E6247" s="1" t="s">
        <v>10</v>
      </c>
      <c r="F6247" s="1" t="s">
        <v>5091</v>
      </c>
      <c r="G6247" s="14" t="s">
        <v>7354</v>
      </c>
      <c r="H6247" s="1" t="s">
        <v>5</v>
      </c>
      <c r="I6247" s="17">
        <v>41674</v>
      </c>
    </row>
    <row r="6248" spans="1:10" ht="31.2">
      <c r="A6248" s="16" t="s">
        <v>7355</v>
      </c>
      <c r="B6248" s="1" t="s">
        <v>2628</v>
      </c>
      <c r="C6248" s="1">
        <v>5</v>
      </c>
      <c r="D6248" s="1" t="s">
        <v>34</v>
      </c>
      <c r="E6248" s="1" t="s">
        <v>10</v>
      </c>
      <c r="F6248" s="1" t="s">
        <v>5091</v>
      </c>
      <c r="G6248" s="14" t="s">
        <v>7354</v>
      </c>
      <c r="H6248" s="1" t="s">
        <v>5</v>
      </c>
      <c r="I6248" s="17">
        <v>41674</v>
      </c>
    </row>
    <row r="6249" spans="1:10" ht="31.2">
      <c r="A6249" s="16" t="s">
        <v>7356</v>
      </c>
      <c r="B6249" s="1" t="s">
        <v>2628</v>
      </c>
      <c r="C6249" s="1">
        <v>5</v>
      </c>
      <c r="D6249" s="1" t="s">
        <v>34</v>
      </c>
      <c r="E6249" s="1" t="s">
        <v>10</v>
      </c>
      <c r="F6249" s="1" t="s">
        <v>5091</v>
      </c>
      <c r="G6249" s="14" t="s">
        <v>7354</v>
      </c>
      <c r="H6249" s="1" t="s">
        <v>5</v>
      </c>
      <c r="I6249" s="17">
        <v>41674</v>
      </c>
    </row>
    <row r="6250" spans="1:10" ht="31.2">
      <c r="A6250" s="16" t="s">
        <v>7357</v>
      </c>
      <c r="B6250" s="1" t="s">
        <v>2628</v>
      </c>
      <c r="C6250" s="1">
        <v>5</v>
      </c>
      <c r="D6250" s="1" t="s">
        <v>34</v>
      </c>
      <c r="E6250" s="1" t="s">
        <v>10</v>
      </c>
      <c r="F6250" s="1" t="s">
        <v>5091</v>
      </c>
      <c r="G6250" s="14" t="s">
        <v>7354</v>
      </c>
      <c r="H6250" s="1" t="s">
        <v>5</v>
      </c>
      <c r="I6250" s="17">
        <v>41674</v>
      </c>
    </row>
    <row r="6251" spans="1:10" ht="31.2">
      <c r="A6251" s="16" t="s">
        <v>7358</v>
      </c>
      <c r="B6251" s="1" t="s">
        <v>2628</v>
      </c>
      <c r="C6251" s="1">
        <v>5</v>
      </c>
      <c r="D6251" s="1" t="s">
        <v>34</v>
      </c>
      <c r="E6251" s="1" t="s">
        <v>10</v>
      </c>
      <c r="F6251" s="1" t="s">
        <v>5091</v>
      </c>
      <c r="G6251" s="14" t="s">
        <v>7359</v>
      </c>
      <c r="H6251" s="1" t="s">
        <v>5</v>
      </c>
      <c r="I6251" s="17">
        <v>41674</v>
      </c>
    </row>
    <row r="6252" spans="1:10" ht="31.2">
      <c r="A6252" s="16" t="s">
        <v>7360</v>
      </c>
      <c r="B6252" s="1" t="s">
        <v>2628</v>
      </c>
      <c r="C6252" s="1">
        <v>5</v>
      </c>
      <c r="D6252" s="1" t="s">
        <v>34</v>
      </c>
      <c r="E6252" s="1" t="s">
        <v>10</v>
      </c>
      <c r="F6252" s="1" t="s">
        <v>5091</v>
      </c>
      <c r="G6252" s="14" t="s">
        <v>7361</v>
      </c>
      <c r="H6252" s="1" t="s">
        <v>5</v>
      </c>
      <c r="I6252" s="17">
        <v>41674</v>
      </c>
    </row>
    <row r="6253" spans="1:10">
      <c r="A6253" s="16" t="s">
        <v>7370</v>
      </c>
      <c r="B6253" s="1" t="s">
        <v>2628</v>
      </c>
      <c r="C6253" s="1">
        <v>5</v>
      </c>
      <c r="D6253" s="1" t="s">
        <v>34</v>
      </c>
      <c r="E6253" s="1" t="s">
        <v>10</v>
      </c>
      <c r="F6253" s="1" t="s">
        <v>5091</v>
      </c>
      <c r="G6253" s="14" t="s">
        <v>4458</v>
      </c>
      <c r="H6253" s="1" t="s">
        <v>118</v>
      </c>
      <c r="I6253" s="1" t="s">
        <v>4458</v>
      </c>
    </row>
    <row r="6254" spans="1:10">
      <c r="A6254" s="16" t="s">
        <v>7374</v>
      </c>
      <c r="B6254" s="1" t="s">
        <v>2628</v>
      </c>
      <c r="C6254" s="1">
        <v>5</v>
      </c>
      <c r="D6254" s="1" t="s">
        <v>34</v>
      </c>
      <c r="E6254" s="1" t="s">
        <v>10</v>
      </c>
      <c r="F6254" s="1" t="s">
        <v>5091</v>
      </c>
      <c r="G6254" s="14" t="s">
        <v>7375</v>
      </c>
      <c r="H6254" s="1" t="s">
        <v>5</v>
      </c>
      <c r="I6254" s="17">
        <v>41641</v>
      </c>
    </row>
    <row r="6255" spans="1:10">
      <c r="A6255" s="16" t="s">
        <v>7376</v>
      </c>
      <c r="B6255" s="1" t="s">
        <v>2628</v>
      </c>
      <c r="C6255" s="1">
        <v>5</v>
      </c>
      <c r="D6255" s="1" t="s">
        <v>34</v>
      </c>
      <c r="E6255" s="1" t="s">
        <v>10</v>
      </c>
      <c r="F6255" s="1" t="s">
        <v>5091</v>
      </c>
      <c r="G6255" s="14" t="s">
        <v>7375</v>
      </c>
      <c r="H6255" s="1" t="s">
        <v>5</v>
      </c>
      <c r="I6255" s="17">
        <v>41641</v>
      </c>
    </row>
    <row r="6256" spans="1:10">
      <c r="A6256" s="16" t="s">
        <v>7377</v>
      </c>
      <c r="B6256" s="1" t="s">
        <v>2628</v>
      </c>
      <c r="C6256" s="1">
        <v>5</v>
      </c>
      <c r="D6256" s="1" t="s">
        <v>34</v>
      </c>
      <c r="E6256" s="1" t="s">
        <v>10</v>
      </c>
      <c r="F6256" s="1" t="s">
        <v>5091</v>
      </c>
      <c r="G6256" s="14" t="s">
        <v>7375</v>
      </c>
      <c r="H6256" s="1" t="s">
        <v>5</v>
      </c>
      <c r="I6256" s="17">
        <v>41641</v>
      </c>
    </row>
    <row r="6257" spans="1:9">
      <c r="A6257" s="16" t="s">
        <v>7378</v>
      </c>
      <c r="B6257" s="1" t="s">
        <v>2628</v>
      </c>
      <c r="C6257" s="1">
        <v>5</v>
      </c>
      <c r="D6257" s="1" t="s">
        <v>34</v>
      </c>
      <c r="E6257" s="1" t="s">
        <v>10</v>
      </c>
      <c r="F6257" s="1" t="s">
        <v>5091</v>
      </c>
      <c r="G6257" s="14" t="s">
        <v>7375</v>
      </c>
      <c r="H6257" s="1" t="s">
        <v>5</v>
      </c>
      <c r="I6257" s="17">
        <v>41641</v>
      </c>
    </row>
    <row r="6258" spans="1:9">
      <c r="A6258" s="16" t="s">
        <v>7379</v>
      </c>
      <c r="B6258" s="1" t="s">
        <v>2628</v>
      </c>
      <c r="C6258" s="1">
        <v>5</v>
      </c>
      <c r="D6258" s="1" t="s">
        <v>34</v>
      </c>
      <c r="E6258" s="1" t="s">
        <v>10</v>
      </c>
      <c r="F6258" s="1" t="s">
        <v>5091</v>
      </c>
      <c r="G6258" s="14" t="s">
        <v>7375</v>
      </c>
      <c r="H6258" s="1" t="s">
        <v>5</v>
      </c>
      <c r="I6258" s="17">
        <v>41641</v>
      </c>
    </row>
    <row r="6259" spans="1:9">
      <c r="A6259" s="7" t="s">
        <v>7380</v>
      </c>
      <c r="B6259" s="1" t="s">
        <v>2628</v>
      </c>
      <c r="C6259" s="1">
        <v>5</v>
      </c>
      <c r="D6259" s="1" t="s">
        <v>34</v>
      </c>
      <c r="E6259" s="1" t="s">
        <v>10</v>
      </c>
      <c r="F6259" s="1" t="s">
        <v>5091</v>
      </c>
      <c r="G6259" s="1" t="s">
        <v>6181</v>
      </c>
      <c r="H6259" s="1" t="s">
        <v>118</v>
      </c>
      <c r="I6259" s="1" t="s">
        <v>4458</v>
      </c>
    </row>
    <row r="6260" spans="1:9" ht="31.2">
      <c r="A6260" s="16" t="s">
        <v>7382</v>
      </c>
      <c r="B6260" s="1" t="s">
        <v>2628</v>
      </c>
      <c r="C6260" s="1">
        <v>5</v>
      </c>
      <c r="D6260" s="1" t="s">
        <v>34</v>
      </c>
      <c r="E6260" s="1" t="s">
        <v>10</v>
      </c>
      <c r="F6260" s="1" t="s">
        <v>5091</v>
      </c>
      <c r="G6260" s="14" t="s">
        <v>7354</v>
      </c>
      <c r="H6260" s="1" t="s">
        <v>5</v>
      </c>
      <c r="I6260" s="17">
        <v>41674</v>
      </c>
    </row>
    <row r="6261" spans="1:9" ht="31.2">
      <c r="A6261" s="16" t="s">
        <v>7383</v>
      </c>
      <c r="B6261" s="1" t="s">
        <v>2628</v>
      </c>
      <c r="C6261" s="1">
        <v>5</v>
      </c>
      <c r="D6261" s="1" t="s">
        <v>34</v>
      </c>
      <c r="E6261" s="1" t="s">
        <v>10</v>
      </c>
      <c r="F6261" s="1" t="s">
        <v>5091</v>
      </c>
      <c r="G6261" s="14" t="s">
        <v>7354</v>
      </c>
      <c r="H6261" s="1" t="s">
        <v>5</v>
      </c>
      <c r="I6261" s="17">
        <v>41674</v>
      </c>
    </row>
    <row r="6262" spans="1:9" ht="31.2">
      <c r="A6262" s="16" t="s">
        <v>7384</v>
      </c>
      <c r="B6262" s="1" t="s">
        <v>2628</v>
      </c>
      <c r="C6262" s="1">
        <v>5</v>
      </c>
      <c r="D6262" s="1" t="s">
        <v>34</v>
      </c>
      <c r="E6262" s="1" t="s">
        <v>10</v>
      </c>
      <c r="F6262" s="1" t="s">
        <v>5091</v>
      </c>
      <c r="G6262" s="14" t="s">
        <v>7354</v>
      </c>
      <c r="H6262" s="1" t="s">
        <v>5</v>
      </c>
      <c r="I6262" s="17">
        <v>41674</v>
      </c>
    </row>
    <row r="6263" spans="1:9" ht="31.2">
      <c r="A6263" s="16" t="s">
        <v>7385</v>
      </c>
      <c r="B6263" s="1" t="s">
        <v>2628</v>
      </c>
      <c r="C6263" s="1">
        <v>5</v>
      </c>
      <c r="D6263" s="1" t="s">
        <v>34</v>
      </c>
      <c r="E6263" s="1" t="s">
        <v>10</v>
      </c>
      <c r="F6263" s="1" t="s">
        <v>5091</v>
      </c>
      <c r="G6263" s="14" t="s">
        <v>7386</v>
      </c>
      <c r="H6263" s="1" t="s">
        <v>5</v>
      </c>
      <c r="I6263" s="17">
        <v>41674</v>
      </c>
    </row>
    <row r="6264" spans="1:9" ht="31.2">
      <c r="A6264" s="16" t="s">
        <v>7387</v>
      </c>
      <c r="B6264" s="1" t="s">
        <v>2628</v>
      </c>
      <c r="C6264" s="1">
        <v>5</v>
      </c>
      <c r="D6264" s="1" t="s">
        <v>34</v>
      </c>
      <c r="E6264" s="1" t="s">
        <v>10</v>
      </c>
      <c r="F6264" s="1" t="s">
        <v>5091</v>
      </c>
      <c r="G6264" s="14" t="s">
        <v>7386</v>
      </c>
      <c r="H6264" s="1" t="s">
        <v>5</v>
      </c>
      <c r="I6264" s="17">
        <v>41674</v>
      </c>
    </row>
    <row r="6265" spans="1:9" ht="31.2">
      <c r="A6265" s="16" t="s">
        <v>7388</v>
      </c>
      <c r="B6265" s="1" t="s">
        <v>2628</v>
      </c>
      <c r="C6265" s="1">
        <v>5</v>
      </c>
      <c r="D6265" s="1" t="s">
        <v>34</v>
      </c>
      <c r="E6265" s="1" t="s">
        <v>10</v>
      </c>
      <c r="F6265" s="1" t="s">
        <v>5091</v>
      </c>
      <c r="G6265" s="14" t="s">
        <v>7389</v>
      </c>
      <c r="H6265" s="1" t="s">
        <v>5</v>
      </c>
      <c r="I6265" s="17">
        <v>41674</v>
      </c>
    </row>
    <row r="6266" spans="1:9" ht="31.2">
      <c r="A6266" s="16" t="s">
        <v>7390</v>
      </c>
      <c r="B6266" s="1" t="s">
        <v>2628</v>
      </c>
      <c r="C6266" s="1">
        <v>5</v>
      </c>
      <c r="D6266" s="1" t="s">
        <v>34</v>
      </c>
      <c r="E6266" s="1" t="s">
        <v>10</v>
      </c>
      <c r="F6266" s="1" t="s">
        <v>5091</v>
      </c>
      <c r="G6266" s="14" t="s">
        <v>7389</v>
      </c>
      <c r="H6266" s="1" t="s">
        <v>5</v>
      </c>
      <c r="I6266" s="17">
        <v>41674</v>
      </c>
    </row>
    <row r="6267" spans="1:9">
      <c r="A6267" s="7" t="s">
        <v>7393</v>
      </c>
      <c r="B6267" s="1" t="s">
        <v>2631</v>
      </c>
      <c r="C6267" s="1">
        <v>5</v>
      </c>
      <c r="D6267" s="1" t="s">
        <v>34</v>
      </c>
      <c r="E6267" s="1" t="s">
        <v>10</v>
      </c>
      <c r="F6267" s="1" t="s">
        <v>5091</v>
      </c>
      <c r="G6267" s="1" t="s">
        <v>6139</v>
      </c>
      <c r="H6267" s="1" t="s">
        <v>43</v>
      </c>
      <c r="I6267" s="1" t="s">
        <v>5722</v>
      </c>
    </row>
    <row r="6268" spans="1:9" ht="31.2">
      <c r="A6268" s="16" t="s">
        <v>7394</v>
      </c>
      <c r="B6268" s="1" t="s">
        <v>2631</v>
      </c>
      <c r="C6268" s="1">
        <v>5</v>
      </c>
      <c r="D6268" s="1" t="s">
        <v>34</v>
      </c>
      <c r="E6268" s="1" t="s">
        <v>10</v>
      </c>
      <c r="F6268" s="1" t="s">
        <v>5091</v>
      </c>
      <c r="G6268" s="1" t="s">
        <v>6145</v>
      </c>
      <c r="H6268" s="1" t="s">
        <v>43</v>
      </c>
      <c r="I6268" s="17">
        <v>42108</v>
      </c>
    </row>
    <row r="6269" spans="1:9">
      <c r="A6269" s="16" t="s">
        <v>7398</v>
      </c>
      <c r="B6269" s="1" t="s">
        <v>2628</v>
      </c>
      <c r="C6269" s="1">
        <v>5</v>
      </c>
      <c r="D6269" s="1" t="s">
        <v>34</v>
      </c>
      <c r="E6269" s="1" t="s">
        <v>10</v>
      </c>
      <c r="F6269" s="1" t="s">
        <v>5091</v>
      </c>
      <c r="G6269" s="14" t="s">
        <v>6145</v>
      </c>
      <c r="H6269" s="1" t="s">
        <v>43</v>
      </c>
      <c r="I6269" s="17">
        <v>41674</v>
      </c>
    </row>
    <row r="6270" spans="1:9">
      <c r="A6270" s="7" t="s">
        <v>7399</v>
      </c>
      <c r="B6270" s="1" t="s">
        <v>2628</v>
      </c>
      <c r="C6270" s="1">
        <v>5</v>
      </c>
      <c r="D6270" s="1" t="s">
        <v>34</v>
      </c>
      <c r="E6270" s="1" t="s">
        <v>10</v>
      </c>
      <c r="F6270" s="1" t="s">
        <v>5091</v>
      </c>
      <c r="G6270" s="1" t="s">
        <v>6181</v>
      </c>
      <c r="H6270" s="1" t="s">
        <v>118</v>
      </c>
      <c r="I6270" s="1" t="s">
        <v>4458</v>
      </c>
    </row>
    <row r="6271" spans="1:9">
      <c r="A6271" s="7" t="s">
        <v>7400</v>
      </c>
      <c r="B6271" s="1" t="s">
        <v>2628</v>
      </c>
      <c r="C6271" s="1">
        <v>5</v>
      </c>
      <c r="D6271" s="1" t="s">
        <v>34</v>
      </c>
      <c r="E6271" s="1" t="s">
        <v>10</v>
      </c>
      <c r="F6271" s="1" t="s">
        <v>5241</v>
      </c>
      <c r="G6271" s="1" t="s">
        <v>4803</v>
      </c>
      <c r="H6271" s="1" t="s">
        <v>5</v>
      </c>
      <c r="I6271" s="1" t="s">
        <v>5722</v>
      </c>
    </row>
    <row r="6272" spans="1:9">
      <c r="A6272" s="16" t="s">
        <v>7420</v>
      </c>
      <c r="B6272" s="1" t="s">
        <v>2628</v>
      </c>
      <c r="C6272" s="1">
        <v>5</v>
      </c>
      <c r="D6272" s="1" t="s">
        <v>34</v>
      </c>
      <c r="E6272" s="1" t="s">
        <v>10</v>
      </c>
      <c r="F6272" s="1" t="s">
        <v>5091</v>
      </c>
      <c r="G6272" s="14" t="s">
        <v>7421</v>
      </c>
      <c r="H6272" s="1" t="s">
        <v>5</v>
      </c>
      <c r="I6272" s="17">
        <v>41652</v>
      </c>
    </row>
    <row r="6273" spans="1:10">
      <c r="A6273" s="16" t="s">
        <v>7424</v>
      </c>
      <c r="B6273" s="1" t="s">
        <v>2628</v>
      </c>
      <c r="C6273" s="1">
        <v>5</v>
      </c>
      <c r="D6273" s="1" t="s">
        <v>34</v>
      </c>
      <c r="E6273" s="1" t="s">
        <v>10</v>
      </c>
      <c r="F6273" s="1" t="s">
        <v>5091</v>
      </c>
      <c r="G6273" s="14" t="s">
        <v>6145</v>
      </c>
      <c r="H6273" s="1" t="s">
        <v>43</v>
      </c>
      <c r="I6273" s="17">
        <v>41334</v>
      </c>
    </row>
    <row r="6274" spans="1:10">
      <c r="A6274" s="16" t="s">
        <v>7428</v>
      </c>
      <c r="B6274" s="1" t="s">
        <v>2628</v>
      </c>
      <c r="C6274" s="1">
        <v>819</v>
      </c>
      <c r="D6274" s="1" t="s">
        <v>34</v>
      </c>
      <c r="E6274" s="1" t="s">
        <v>10</v>
      </c>
      <c r="F6274" s="1" t="s">
        <v>5091</v>
      </c>
      <c r="G6274" s="14" t="s">
        <v>6145</v>
      </c>
      <c r="H6274" s="1" t="s">
        <v>43</v>
      </c>
      <c r="I6274" s="17">
        <v>41456</v>
      </c>
    </row>
    <row r="6275" spans="1:10">
      <c r="A6275" s="16" t="s">
        <v>7437</v>
      </c>
      <c r="B6275" s="1" t="s">
        <v>2628</v>
      </c>
      <c r="C6275" s="1">
        <v>819</v>
      </c>
      <c r="D6275" s="1" t="s">
        <v>34</v>
      </c>
      <c r="E6275" s="1" t="s">
        <v>10</v>
      </c>
      <c r="F6275" s="1" t="s">
        <v>5091</v>
      </c>
      <c r="G6275" s="14" t="s">
        <v>6145</v>
      </c>
      <c r="H6275" s="1" t="s">
        <v>43</v>
      </c>
      <c r="I6275" s="17">
        <v>41456</v>
      </c>
    </row>
    <row r="6276" spans="1:10">
      <c r="A6276" s="16" t="s">
        <v>7439</v>
      </c>
      <c r="B6276" s="1" t="s">
        <v>2631</v>
      </c>
      <c r="C6276" s="1">
        <v>5</v>
      </c>
      <c r="D6276" s="1" t="s">
        <v>34</v>
      </c>
      <c r="E6276" s="1" t="s">
        <v>10</v>
      </c>
      <c r="F6276" s="1" t="s">
        <v>5091</v>
      </c>
      <c r="G6276" s="1" t="s">
        <v>6145</v>
      </c>
      <c r="H6276" s="1" t="s">
        <v>43</v>
      </c>
      <c r="I6276" s="17">
        <v>41334</v>
      </c>
    </row>
    <row r="6277" spans="1:10">
      <c r="A6277" s="7" t="s">
        <v>7454</v>
      </c>
      <c r="B6277" s="1" t="s">
        <v>2628</v>
      </c>
      <c r="C6277" s="1">
        <v>5</v>
      </c>
      <c r="D6277" s="1" t="s">
        <v>34</v>
      </c>
      <c r="E6277" s="1" t="s">
        <v>10</v>
      </c>
      <c r="F6277" s="1" t="s">
        <v>5091</v>
      </c>
      <c r="G6277" s="1" t="s">
        <v>4803</v>
      </c>
      <c r="H6277" s="1" t="s">
        <v>5</v>
      </c>
      <c r="I6277" s="1" t="s">
        <v>6090</v>
      </c>
      <c r="J6277" s="17"/>
    </row>
    <row r="6278" spans="1:10">
      <c r="A6278" s="7" t="s">
        <v>7455</v>
      </c>
      <c r="B6278" s="1" t="s">
        <v>2628</v>
      </c>
      <c r="C6278" s="1">
        <v>5</v>
      </c>
      <c r="D6278" s="1" t="s">
        <v>34</v>
      </c>
      <c r="E6278" s="1" t="s">
        <v>10</v>
      </c>
      <c r="F6278" s="1" t="s">
        <v>5091</v>
      </c>
      <c r="G6278" s="1" t="s">
        <v>7456</v>
      </c>
      <c r="H6278" s="1" t="s">
        <v>5</v>
      </c>
      <c r="I6278" s="1" t="s">
        <v>6090</v>
      </c>
      <c r="J6278" s="17"/>
    </row>
    <row r="6279" spans="1:10">
      <c r="A6279" s="7" t="s">
        <v>7457</v>
      </c>
      <c r="B6279" s="1" t="s">
        <v>2628</v>
      </c>
      <c r="C6279" s="1">
        <v>5</v>
      </c>
      <c r="D6279" s="1" t="s">
        <v>34</v>
      </c>
      <c r="E6279" s="1" t="s">
        <v>10</v>
      </c>
      <c r="F6279" s="1" t="s">
        <v>5091</v>
      </c>
      <c r="G6279" s="1" t="s">
        <v>7458</v>
      </c>
      <c r="H6279" s="1" t="s">
        <v>5</v>
      </c>
      <c r="I6279" s="1" t="s">
        <v>6090</v>
      </c>
      <c r="J6279" s="17"/>
    </row>
    <row r="6280" spans="1:10">
      <c r="A6280" s="16" t="s">
        <v>7488</v>
      </c>
      <c r="B6280" s="1" t="s">
        <v>2628</v>
      </c>
      <c r="C6280" s="1">
        <v>5</v>
      </c>
      <c r="D6280" s="1" t="s">
        <v>34</v>
      </c>
      <c r="E6280" s="1" t="s">
        <v>10</v>
      </c>
      <c r="F6280" s="1" t="s">
        <v>5091</v>
      </c>
      <c r="G6280" s="14" t="s">
        <v>7489</v>
      </c>
      <c r="H6280" s="1" t="s">
        <v>43</v>
      </c>
      <c r="I6280" s="17">
        <v>41699</v>
      </c>
    </row>
    <row r="6281" spans="1:10">
      <c r="A6281" s="16" t="s">
        <v>7506</v>
      </c>
      <c r="B6281" s="1" t="s">
        <v>2628</v>
      </c>
      <c r="C6281" s="1">
        <v>5</v>
      </c>
      <c r="D6281" s="1" t="s">
        <v>34</v>
      </c>
      <c r="E6281" s="1" t="s">
        <v>10</v>
      </c>
      <c r="F6281" s="1" t="s">
        <v>5091</v>
      </c>
      <c r="G6281" s="14" t="s">
        <v>2370</v>
      </c>
      <c r="H6281" s="1" t="s">
        <v>5</v>
      </c>
      <c r="I6281" s="17">
        <v>40148</v>
      </c>
    </row>
    <row r="6282" spans="1:10">
      <c r="A6282" s="16" t="s">
        <v>7509</v>
      </c>
      <c r="B6282" s="1" t="s">
        <v>2628</v>
      </c>
      <c r="C6282" s="1">
        <v>5</v>
      </c>
      <c r="D6282" s="1" t="s">
        <v>34</v>
      </c>
      <c r="E6282" s="1" t="s">
        <v>10</v>
      </c>
      <c r="F6282" s="1" t="s">
        <v>5091</v>
      </c>
      <c r="G6282" s="14" t="s">
        <v>7510</v>
      </c>
      <c r="H6282" s="1" t="s">
        <v>43</v>
      </c>
      <c r="I6282" s="17">
        <v>40238</v>
      </c>
    </row>
    <row r="6283" spans="1:10">
      <c r="A6283" s="7" t="s">
        <v>7521</v>
      </c>
      <c r="B6283" s="1" t="s">
        <v>2628</v>
      </c>
      <c r="C6283" s="1">
        <v>5</v>
      </c>
      <c r="D6283" s="1" t="s">
        <v>34</v>
      </c>
      <c r="E6283" s="1" t="s">
        <v>10</v>
      </c>
      <c r="F6283" s="1" t="s">
        <v>5091</v>
      </c>
      <c r="G6283" s="1" t="s">
        <v>6181</v>
      </c>
      <c r="H6283" s="1" t="s">
        <v>118</v>
      </c>
      <c r="I6283" s="1" t="s">
        <v>4458</v>
      </c>
    </row>
    <row r="6284" spans="1:10">
      <c r="A6284" s="7" t="s">
        <v>7547</v>
      </c>
      <c r="B6284" s="1" t="s">
        <v>2628</v>
      </c>
      <c r="C6284" s="1">
        <v>1093</v>
      </c>
      <c r="D6284" s="1" t="s">
        <v>34</v>
      </c>
      <c r="E6284" s="1" t="s">
        <v>10</v>
      </c>
      <c r="F6284" s="1" t="s">
        <v>5091</v>
      </c>
      <c r="G6284" s="1" t="s">
        <v>6236</v>
      </c>
      <c r="H6284" s="1" t="s">
        <v>43</v>
      </c>
      <c r="I6284" s="1" t="s">
        <v>6090</v>
      </c>
      <c r="J6284" s="17"/>
    </row>
    <row r="6285" spans="1:10">
      <c r="A6285" s="7" t="s">
        <v>7563</v>
      </c>
      <c r="B6285" s="1" t="s">
        <v>2628</v>
      </c>
      <c r="C6285" s="1">
        <v>5</v>
      </c>
      <c r="D6285" s="1" t="s">
        <v>34</v>
      </c>
      <c r="E6285" s="1" t="s">
        <v>10</v>
      </c>
      <c r="F6285" s="1" t="s">
        <v>5091</v>
      </c>
      <c r="G6285" s="1" t="s">
        <v>7564</v>
      </c>
      <c r="H6285" s="1" t="s">
        <v>5</v>
      </c>
      <c r="I6285" s="1">
        <v>2020</v>
      </c>
    </row>
    <row r="6286" spans="1:10">
      <c r="A6286" s="7" t="s">
        <v>7565</v>
      </c>
      <c r="B6286" s="1" t="s">
        <v>2628</v>
      </c>
      <c r="C6286" s="1">
        <v>5</v>
      </c>
      <c r="D6286" s="1" t="s">
        <v>34</v>
      </c>
      <c r="E6286" s="1" t="s">
        <v>10</v>
      </c>
      <c r="F6286" s="1" t="s">
        <v>5091</v>
      </c>
      <c r="G6286" s="1" t="s">
        <v>7564</v>
      </c>
      <c r="H6286" s="1" t="s">
        <v>5</v>
      </c>
      <c r="I6286" s="1">
        <v>2020</v>
      </c>
    </row>
    <row r="6287" spans="1:10">
      <c r="A6287" s="7" t="s">
        <v>7596</v>
      </c>
      <c r="B6287" s="1" t="s">
        <v>2628</v>
      </c>
      <c r="C6287" s="1">
        <v>5</v>
      </c>
      <c r="D6287" s="1" t="s">
        <v>34</v>
      </c>
      <c r="E6287" s="1" t="s">
        <v>10</v>
      </c>
      <c r="F6287" s="1" t="s">
        <v>5091</v>
      </c>
      <c r="G6287" s="1" t="s">
        <v>7567</v>
      </c>
      <c r="H6287" s="1" t="s">
        <v>43</v>
      </c>
      <c r="I6287" s="1" t="s">
        <v>6844</v>
      </c>
    </row>
    <row r="6288" spans="1:10">
      <c r="A6288" s="7" t="s">
        <v>7613</v>
      </c>
      <c r="B6288" s="1" t="s">
        <v>2628</v>
      </c>
      <c r="C6288" s="1">
        <v>5</v>
      </c>
      <c r="D6288" s="1" t="s">
        <v>34</v>
      </c>
      <c r="E6288" s="1" t="s">
        <v>10</v>
      </c>
      <c r="F6288" s="1" t="s">
        <v>5091</v>
      </c>
      <c r="G6288" s="1" t="s">
        <v>6186</v>
      </c>
      <c r="H6288" s="1" t="s">
        <v>5</v>
      </c>
      <c r="I6288" s="1" t="s">
        <v>6090</v>
      </c>
      <c r="J6288" s="17"/>
    </row>
    <row r="6289" spans="1:9">
      <c r="A6289" s="16" t="s">
        <v>7614</v>
      </c>
      <c r="B6289" s="1" t="s">
        <v>2628</v>
      </c>
      <c r="C6289" s="1">
        <v>5</v>
      </c>
      <c r="D6289" s="1" t="s">
        <v>34</v>
      </c>
      <c r="E6289" s="1" t="s">
        <v>10</v>
      </c>
      <c r="F6289" s="1" t="s">
        <v>5091</v>
      </c>
      <c r="G6289" s="14" t="s">
        <v>7615</v>
      </c>
      <c r="H6289" s="1" t="s">
        <v>5</v>
      </c>
      <c r="I6289" s="17">
        <v>41702</v>
      </c>
    </row>
    <row r="6290" spans="1:9">
      <c r="A6290" s="16" t="s">
        <v>7616</v>
      </c>
      <c r="B6290" s="1" t="s">
        <v>2628</v>
      </c>
      <c r="C6290" s="1">
        <v>5</v>
      </c>
      <c r="D6290" s="1" t="s">
        <v>34</v>
      </c>
      <c r="E6290" s="1" t="s">
        <v>10</v>
      </c>
      <c r="F6290" s="1" t="s">
        <v>5091</v>
      </c>
      <c r="G6290" s="14" t="s">
        <v>7615</v>
      </c>
      <c r="H6290" s="1" t="s">
        <v>5</v>
      </c>
      <c r="I6290" s="17">
        <v>41702</v>
      </c>
    </row>
    <row r="6291" spans="1:9">
      <c r="A6291" s="7" t="s">
        <v>7620</v>
      </c>
      <c r="B6291" s="1" t="s">
        <v>2628</v>
      </c>
      <c r="C6291" s="1">
        <v>5</v>
      </c>
      <c r="D6291" s="1" t="s">
        <v>34</v>
      </c>
      <c r="E6291" s="1" t="s">
        <v>10</v>
      </c>
      <c r="F6291" s="1" t="s">
        <v>5091</v>
      </c>
      <c r="G6291" s="1" t="s">
        <v>6181</v>
      </c>
      <c r="H6291" s="1" t="s">
        <v>118</v>
      </c>
      <c r="I6291" s="1" t="s">
        <v>4458</v>
      </c>
    </row>
    <row r="6292" spans="1:9">
      <c r="A6292" s="7" t="s">
        <v>7628</v>
      </c>
      <c r="B6292" s="1" t="s">
        <v>2628</v>
      </c>
      <c r="C6292" s="1">
        <v>5</v>
      </c>
      <c r="D6292" s="1" t="s">
        <v>34</v>
      </c>
      <c r="E6292" s="1" t="s">
        <v>10</v>
      </c>
      <c r="F6292" s="1" t="s">
        <v>5091</v>
      </c>
      <c r="G6292" s="1" t="s">
        <v>6530</v>
      </c>
      <c r="H6292" s="1" t="s">
        <v>43</v>
      </c>
      <c r="I6292" s="1">
        <v>2008</v>
      </c>
    </row>
    <row r="6293" spans="1:9">
      <c r="A6293" s="7" t="s">
        <v>7629</v>
      </c>
      <c r="B6293" s="1" t="s">
        <v>2628</v>
      </c>
      <c r="C6293" s="1">
        <v>5</v>
      </c>
      <c r="D6293" s="1" t="s">
        <v>34</v>
      </c>
      <c r="E6293" s="1" t="s">
        <v>10</v>
      </c>
      <c r="F6293" s="1" t="s">
        <v>5091</v>
      </c>
      <c r="G6293" s="1" t="s">
        <v>6530</v>
      </c>
      <c r="H6293" s="1" t="s">
        <v>43</v>
      </c>
      <c r="I6293" s="1">
        <v>2007</v>
      </c>
    </row>
    <row r="6294" spans="1:9">
      <c r="A6294" s="7" t="s">
        <v>7631</v>
      </c>
      <c r="B6294" s="1" t="s">
        <v>2628</v>
      </c>
      <c r="C6294" s="1">
        <v>5</v>
      </c>
      <c r="D6294" s="1" t="s">
        <v>34</v>
      </c>
      <c r="E6294" s="1" t="s">
        <v>10</v>
      </c>
      <c r="F6294" s="1" t="s">
        <v>5091</v>
      </c>
      <c r="G6294" s="1" t="s">
        <v>6530</v>
      </c>
      <c r="H6294" s="1" t="s">
        <v>43</v>
      </c>
      <c r="I6294" s="1">
        <v>2008</v>
      </c>
    </row>
    <row r="6295" spans="1:9">
      <c r="A6295" s="7" t="s">
        <v>7632</v>
      </c>
      <c r="B6295" s="1" t="s">
        <v>2628</v>
      </c>
      <c r="C6295" s="1">
        <v>5</v>
      </c>
      <c r="D6295" s="1" t="s">
        <v>34</v>
      </c>
      <c r="E6295" s="1" t="s">
        <v>10</v>
      </c>
      <c r="F6295" s="1" t="s">
        <v>5091</v>
      </c>
      <c r="G6295" s="1" t="s">
        <v>6530</v>
      </c>
      <c r="H6295" s="1" t="s">
        <v>43</v>
      </c>
      <c r="I6295" s="1">
        <v>2007</v>
      </c>
    </row>
    <row r="6296" spans="1:9">
      <c r="A6296" s="7" t="s">
        <v>7633</v>
      </c>
      <c r="B6296" s="1" t="s">
        <v>2628</v>
      </c>
      <c r="C6296" s="1">
        <v>5</v>
      </c>
      <c r="D6296" s="1" t="s">
        <v>34</v>
      </c>
      <c r="E6296" s="1" t="s">
        <v>10</v>
      </c>
      <c r="F6296" s="1" t="s">
        <v>5091</v>
      </c>
      <c r="G6296" s="1" t="s">
        <v>6530</v>
      </c>
      <c r="H6296" s="1" t="s">
        <v>43</v>
      </c>
      <c r="I6296" s="1">
        <v>2008</v>
      </c>
    </row>
    <row r="6297" spans="1:9">
      <c r="A6297" s="7" t="s">
        <v>7635</v>
      </c>
      <c r="B6297" s="1" t="s">
        <v>2628</v>
      </c>
      <c r="C6297" s="1">
        <v>5</v>
      </c>
      <c r="D6297" s="1" t="s">
        <v>34</v>
      </c>
      <c r="E6297" s="1" t="s">
        <v>10</v>
      </c>
      <c r="F6297" s="1" t="s">
        <v>5091</v>
      </c>
      <c r="G6297" s="1" t="s">
        <v>6530</v>
      </c>
      <c r="H6297" s="1" t="s">
        <v>43</v>
      </c>
      <c r="I6297" s="1">
        <v>2008</v>
      </c>
    </row>
    <row r="6298" spans="1:9">
      <c r="A6298" s="16" t="s">
        <v>7669</v>
      </c>
      <c r="B6298" s="1" t="s">
        <v>2628</v>
      </c>
      <c r="C6298" s="1">
        <v>5</v>
      </c>
      <c r="D6298" s="1" t="s">
        <v>34</v>
      </c>
      <c r="E6298" s="1" t="s">
        <v>10</v>
      </c>
      <c r="F6298" s="1" t="s">
        <v>5091</v>
      </c>
      <c r="G6298" s="14" t="s">
        <v>7665</v>
      </c>
      <c r="H6298" s="1" t="s">
        <v>5</v>
      </c>
      <c r="I6298" s="17">
        <v>40770</v>
      </c>
    </row>
    <row r="6299" spans="1:9">
      <c r="A6299" s="16" t="s">
        <v>7670</v>
      </c>
      <c r="B6299" s="1" t="s">
        <v>2628</v>
      </c>
      <c r="C6299" s="1">
        <v>5</v>
      </c>
      <c r="D6299" s="1" t="s">
        <v>34</v>
      </c>
      <c r="E6299" s="1" t="s">
        <v>10</v>
      </c>
      <c r="F6299" s="1" t="s">
        <v>5091</v>
      </c>
      <c r="G6299" s="14" t="s">
        <v>7665</v>
      </c>
      <c r="H6299" s="1" t="s">
        <v>5</v>
      </c>
      <c r="I6299" s="17">
        <v>40701</v>
      </c>
    </row>
    <row r="6300" spans="1:9">
      <c r="A6300" s="16" t="s">
        <v>7672</v>
      </c>
      <c r="B6300" s="1" t="s">
        <v>2628</v>
      </c>
      <c r="C6300" s="1">
        <v>5</v>
      </c>
      <c r="D6300" s="1" t="s">
        <v>34</v>
      </c>
      <c r="E6300" s="1" t="s">
        <v>10</v>
      </c>
      <c r="F6300" s="1" t="s">
        <v>5091</v>
      </c>
      <c r="G6300" s="14" t="s">
        <v>7665</v>
      </c>
      <c r="H6300" s="1" t="s">
        <v>5</v>
      </c>
      <c r="I6300" s="17">
        <v>40672</v>
      </c>
    </row>
    <row r="6301" spans="1:9">
      <c r="A6301" s="16" t="s">
        <v>7676</v>
      </c>
      <c r="B6301" s="1" t="s">
        <v>2631</v>
      </c>
      <c r="C6301" s="1">
        <v>5</v>
      </c>
      <c r="D6301" s="1" t="s">
        <v>34</v>
      </c>
      <c r="E6301" s="1" t="s">
        <v>10</v>
      </c>
      <c r="F6301" s="1" t="s">
        <v>5091</v>
      </c>
      <c r="G6301" s="1" t="s">
        <v>7665</v>
      </c>
      <c r="H6301" s="1" t="s">
        <v>5</v>
      </c>
      <c r="I6301" s="17">
        <v>40518</v>
      </c>
    </row>
    <row r="6302" spans="1:9">
      <c r="A6302" s="16" t="s">
        <v>7677</v>
      </c>
      <c r="B6302" s="1" t="s">
        <v>2628</v>
      </c>
      <c r="C6302" s="1">
        <v>5</v>
      </c>
      <c r="D6302" s="1" t="s">
        <v>34</v>
      </c>
      <c r="E6302" s="1" t="s">
        <v>10</v>
      </c>
      <c r="F6302" s="1" t="s">
        <v>5091</v>
      </c>
      <c r="G6302" s="14" t="s">
        <v>7665</v>
      </c>
      <c r="H6302" s="1" t="s">
        <v>5</v>
      </c>
      <c r="I6302" s="17">
        <v>40525</v>
      </c>
    </row>
    <row r="6303" spans="1:9">
      <c r="A6303" s="16" t="s">
        <v>7678</v>
      </c>
      <c r="B6303" s="1" t="s">
        <v>2628</v>
      </c>
      <c r="C6303" s="1">
        <v>5</v>
      </c>
      <c r="D6303" s="1" t="s">
        <v>34</v>
      </c>
      <c r="E6303" s="1" t="s">
        <v>10</v>
      </c>
      <c r="F6303" s="1" t="s">
        <v>5091</v>
      </c>
      <c r="G6303" s="14" t="s">
        <v>7665</v>
      </c>
      <c r="H6303" s="1" t="s">
        <v>5</v>
      </c>
      <c r="I6303" s="17">
        <v>40525</v>
      </c>
    </row>
    <row r="6304" spans="1:9">
      <c r="A6304" s="16" t="s">
        <v>7680</v>
      </c>
      <c r="B6304" s="1" t="s">
        <v>2628</v>
      </c>
      <c r="C6304" s="1">
        <v>5</v>
      </c>
      <c r="D6304" s="1" t="s">
        <v>34</v>
      </c>
      <c r="E6304" s="1" t="s">
        <v>10</v>
      </c>
      <c r="F6304" s="1" t="s">
        <v>5091</v>
      </c>
      <c r="G6304" s="14" t="s">
        <v>7665</v>
      </c>
      <c r="H6304" s="1" t="s">
        <v>5</v>
      </c>
      <c r="I6304" s="17">
        <v>40525</v>
      </c>
    </row>
    <row r="6305" spans="1:9">
      <c r="A6305" s="16" t="s">
        <v>7684</v>
      </c>
      <c r="B6305" s="1" t="s">
        <v>2628</v>
      </c>
      <c r="C6305" s="1">
        <v>5</v>
      </c>
      <c r="D6305" s="1" t="s">
        <v>34</v>
      </c>
      <c r="E6305" s="1" t="s">
        <v>10</v>
      </c>
      <c r="F6305" s="1" t="s">
        <v>5091</v>
      </c>
      <c r="G6305" s="14" t="s">
        <v>7665</v>
      </c>
      <c r="H6305" s="1" t="s">
        <v>5</v>
      </c>
      <c r="I6305" s="17">
        <v>40525</v>
      </c>
    </row>
    <row r="6306" spans="1:9">
      <c r="A6306" s="16" t="s">
        <v>7685</v>
      </c>
      <c r="B6306" s="1" t="s">
        <v>2628</v>
      </c>
      <c r="C6306" s="1">
        <v>5</v>
      </c>
      <c r="D6306" s="1" t="s">
        <v>34</v>
      </c>
      <c r="E6306" s="1" t="s">
        <v>10</v>
      </c>
      <c r="F6306" s="1" t="s">
        <v>5091</v>
      </c>
      <c r="G6306" s="14" t="s">
        <v>7665</v>
      </c>
      <c r="H6306" s="1" t="s">
        <v>5</v>
      </c>
      <c r="I6306" s="17">
        <v>40525</v>
      </c>
    </row>
    <row r="6307" spans="1:9">
      <c r="A6307" s="16" t="s">
        <v>7686</v>
      </c>
      <c r="B6307" s="1" t="s">
        <v>2628</v>
      </c>
      <c r="C6307" s="1">
        <v>5</v>
      </c>
      <c r="D6307" s="1" t="s">
        <v>34</v>
      </c>
      <c r="E6307" s="1" t="s">
        <v>10</v>
      </c>
      <c r="F6307" s="1" t="s">
        <v>5091</v>
      </c>
      <c r="G6307" s="14" t="s">
        <v>7665</v>
      </c>
      <c r="H6307" s="1" t="s">
        <v>5</v>
      </c>
      <c r="I6307" s="17">
        <v>40554</v>
      </c>
    </row>
    <row r="6308" spans="1:9">
      <c r="A6308" s="16" t="s">
        <v>7694</v>
      </c>
      <c r="B6308" s="1" t="s">
        <v>2628</v>
      </c>
      <c r="C6308" s="1">
        <v>5</v>
      </c>
      <c r="D6308" s="1" t="s">
        <v>34</v>
      </c>
      <c r="E6308" s="1" t="s">
        <v>10</v>
      </c>
      <c r="F6308" s="1" t="s">
        <v>5091</v>
      </c>
      <c r="G6308" s="14" t="s">
        <v>7665</v>
      </c>
      <c r="H6308" s="1" t="s">
        <v>5</v>
      </c>
      <c r="I6308" s="17">
        <v>40554</v>
      </c>
    </row>
    <row r="6309" spans="1:9">
      <c r="A6309" s="16" t="s">
        <v>7695</v>
      </c>
      <c r="B6309" s="1" t="s">
        <v>2628</v>
      </c>
      <c r="C6309" s="1">
        <v>5</v>
      </c>
      <c r="D6309" s="1" t="s">
        <v>34</v>
      </c>
      <c r="E6309" s="1" t="s">
        <v>10</v>
      </c>
      <c r="F6309" s="1" t="s">
        <v>5091</v>
      </c>
      <c r="G6309" s="14" t="s">
        <v>7665</v>
      </c>
      <c r="H6309" s="1" t="s">
        <v>5</v>
      </c>
      <c r="I6309" s="17">
        <v>40554</v>
      </c>
    </row>
    <row r="6310" spans="1:9">
      <c r="A6310" s="16" t="s">
        <v>7696</v>
      </c>
      <c r="B6310" s="1" t="s">
        <v>2628</v>
      </c>
      <c r="C6310" s="1">
        <v>5</v>
      </c>
      <c r="D6310" s="1" t="s">
        <v>34</v>
      </c>
      <c r="E6310" s="1" t="s">
        <v>10</v>
      </c>
      <c r="F6310" s="1" t="s">
        <v>5091</v>
      </c>
      <c r="G6310" s="14" t="s">
        <v>7665</v>
      </c>
      <c r="H6310" s="1" t="s">
        <v>5</v>
      </c>
      <c r="I6310" s="17">
        <v>40554</v>
      </c>
    </row>
    <row r="6311" spans="1:9">
      <c r="A6311" s="16" t="s">
        <v>7698</v>
      </c>
      <c r="B6311" s="1" t="s">
        <v>2628</v>
      </c>
      <c r="C6311" s="1">
        <v>5</v>
      </c>
      <c r="D6311" s="1" t="s">
        <v>34</v>
      </c>
      <c r="E6311" s="1" t="s">
        <v>10</v>
      </c>
      <c r="F6311" s="1" t="s">
        <v>5091</v>
      </c>
      <c r="G6311" s="14" t="s">
        <v>7665</v>
      </c>
      <c r="H6311" s="1" t="s">
        <v>5</v>
      </c>
      <c r="I6311" s="17">
        <v>40483</v>
      </c>
    </row>
    <row r="6312" spans="1:9">
      <c r="A6312" s="16" t="s">
        <v>7699</v>
      </c>
      <c r="B6312" s="1" t="s">
        <v>2628</v>
      </c>
      <c r="C6312" s="1">
        <v>5</v>
      </c>
      <c r="D6312" s="1" t="s">
        <v>34</v>
      </c>
      <c r="E6312" s="1" t="s">
        <v>10</v>
      </c>
      <c r="F6312" s="1" t="s">
        <v>5091</v>
      </c>
      <c r="G6312" s="14" t="s">
        <v>7665</v>
      </c>
      <c r="H6312" s="1" t="s">
        <v>5</v>
      </c>
      <c r="I6312" s="17">
        <v>40491</v>
      </c>
    </row>
    <row r="6313" spans="1:9">
      <c r="A6313" s="16" t="s">
        <v>7700</v>
      </c>
      <c r="B6313" s="1" t="s">
        <v>2628</v>
      </c>
      <c r="C6313" s="1">
        <v>5</v>
      </c>
      <c r="D6313" s="1" t="s">
        <v>34</v>
      </c>
      <c r="E6313" s="1" t="s">
        <v>10</v>
      </c>
      <c r="F6313" s="1" t="s">
        <v>5091</v>
      </c>
      <c r="G6313" s="14" t="s">
        <v>7665</v>
      </c>
      <c r="H6313" s="1" t="s">
        <v>5</v>
      </c>
      <c r="I6313" s="17">
        <v>40492</v>
      </c>
    </row>
    <row r="6314" spans="1:9">
      <c r="A6314" s="16" t="s">
        <v>7702</v>
      </c>
      <c r="B6314" s="1" t="s">
        <v>2628</v>
      </c>
      <c r="C6314" s="1">
        <v>5</v>
      </c>
      <c r="D6314" s="1" t="s">
        <v>34</v>
      </c>
      <c r="E6314" s="1" t="s">
        <v>10</v>
      </c>
      <c r="F6314" s="1" t="s">
        <v>5091</v>
      </c>
      <c r="G6314" s="14" t="s">
        <v>7665</v>
      </c>
      <c r="H6314" s="1" t="s">
        <v>5</v>
      </c>
      <c r="I6314" s="17">
        <v>40497</v>
      </c>
    </row>
    <row r="6315" spans="1:9">
      <c r="A6315" s="16" t="s">
        <v>7703</v>
      </c>
      <c r="B6315" s="1" t="s">
        <v>2628</v>
      </c>
      <c r="C6315" s="1">
        <v>5</v>
      </c>
      <c r="D6315" s="1" t="s">
        <v>34</v>
      </c>
      <c r="E6315" s="1" t="s">
        <v>10</v>
      </c>
      <c r="F6315" s="1" t="s">
        <v>5091</v>
      </c>
      <c r="G6315" s="14" t="s">
        <v>7665</v>
      </c>
      <c r="H6315" s="1" t="s">
        <v>5</v>
      </c>
      <c r="I6315" s="17">
        <v>40492</v>
      </c>
    </row>
    <row r="6316" spans="1:9">
      <c r="A6316" s="16" t="s">
        <v>7704</v>
      </c>
      <c r="B6316" s="1" t="s">
        <v>2631</v>
      </c>
      <c r="C6316" s="1">
        <v>5</v>
      </c>
      <c r="D6316" s="1" t="s">
        <v>34</v>
      </c>
      <c r="E6316" s="1" t="s">
        <v>10</v>
      </c>
      <c r="F6316" s="1" t="s">
        <v>5091</v>
      </c>
      <c r="G6316" s="1" t="s">
        <v>7665</v>
      </c>
      <c r="H6316" s="1" t="s">
        <v>5</v>
      </c>
      <c r="I6316" s="17">
        <v>40498</v>
      </c>
    </row>
    <row r="6317" spans="1:9">
      <c r="A6317" s="16" t="s">
        <v>7705</v>
      </c>
      <c r="B6317" s="1" t="s">
        <v>2628</v>
      </c>
      <c r="C6317" s="1">
        <v>5</v>
      </c>
      <c r="D6317" s="1" t="s">
        <v>34</v>
      </c>
      <c r="E6317" s="1" t="s">
        <v>10</v>
      </c>
      <c r="F6317" s="1" t="s">
        <v>5091</v>
      </c>
      <c r="G6317" s="14" t="s">
        <v>7665</v>
      </c>
      <c r="H6317" s="1" t="s">
        <v>5</v>
      </c>
      <c r="I6317" s="17">
        <v>40491</v>
      </c>
    </row>
    <row r="6318" spans="1:9">
      <c r="A6318" s="16" t="s">
        <v>7707</v>
      </c>
      <c r="B6318" s="1" t="s">
        <v>2628</v>
      </c>
      <c r="C6318" s="1">
        <v>5</v>
      </c>
      <c r="D6318" s="1" t="s">
        <v>34</v>
      </c>
      <c r="E6318" s="1" t="s">
        <v>10</v>
      </c>
      <c r="F6318" s="1" t="s">
        <v>5091</v>
      </c>
      <c r="G6318" s="14" t="s">
        <v>7665</v>
      </c>
      <c r="H6318" s="1" t="s">
        <v>5</v>
      </c>
      <c r="I6318" s="17">
        <v>40414</v>
      </c>
    </row>
    <row r="6319" spans="1:9">
      <c r="A6319" s="16" t="s">
        <v>7709</v>
      </c>
      <c r="B6319" s="1" t="s">
        <v>2628</v>
      </c>
      <c r="C6319" s="1">
        <v>5</v>
      </c>
      <c r="D6319" s="1" t="s">
        <v>34</v>
      </c>
      <c r="E6319" s="1" t="s">
        <v>10</v>
      </c>
      <c r="F6319" s="1" t="s">
        <v>5091</v>
      </c>
      <c r="G6319" s="14" t="s">
        <v>7665</v>
      </c>
      <c r="H6319" s="1" t="s">
        <v>5</v>
      </c>
      <c r="I6319" s="17">
        <v>40414</v>
      </c>
    </row>
    <row r="6320" spans="1:9">
      <c r="A6320" s="16" t="s">
        <v>7710</v>
      </c>
      <c r="B6320" s="1" t="s">
        <v>2628</v>
      </c>
      <c r="C6320" s="1">
        <v>5</v>
      </c>
      <c r="D6320" s="1" t="s">
        <v>34</v>
      </c>
      <c r="E6320" s="1" t="s">
        <v>10</v>
      </c>
      <c r="F6320" s="1" t="s">
        <v>5091</v>
      </c>
      <c r="G6320" s="14" t="s">
        <v>7665</v>
      </c>
      <c r="H6320" s="1" t="s">
        <v>5</v>
      </c>
      <c r="I6320" s="17">
        <v>40428</v>
      </c>
    </row>
    <row r="6321" spans="1:9">
      <c r="A6321" s="16" t="s">
        <v>7714</v>
      </c>
      <c r="B6321" s="1" t="s">
        <v>2628</v>
      </c>
      <c r="C6321" s="1">
        <v>5</v>
      </c>
      <c r="D6321" s="1" t="s">
        <v>34</v>
      </c>
      <c r="E6321" s="1" t="s">
        <v>10</v>
      </c>
      <c r="F6321" s="1" t="s">
        <v>5091</v>
      </c>
      <c r="G6321" s="14" t="s">
        <v>7665</v>
      </c>
      <c r="H6321" s="1" t="s">
        <v>5</v>
      </c>
      <c r="I6321" s="17">
        <v>40428</v>
      </c>
    </row>
    <row r="6322" spans="1:9">
      <c r="A6322" s="16" t="s">
        <v>7716</v>
      </c>
      <c r="B6322" s="1" t="s">
        <v>2628</v>
      </c>
      <c r="C6322" s="1">
        <v>5</v>
      </c>
      <c r="D6322" s="1" t="s">
        <v>34</v>
      </c>
      <c r="E6322" s="1" t="s">
        <v>10</v>
      </c>
      <c r="F6322" s="1" t="s">
        <v>5091</v>
      </c>
      <c r="G6322" s="14" t="s">
        <v>7665</v>
      </c>
      <c r="H6322" s="1" t="s">
        <v>5</v>
      </c>
      <c r="I6322" s="17">
        <v>40428</v>
      </c>
    </row>
    <row r="6323" spans="1:9">
      <c r="A6323" s="16" t="s">
        <v>7717</v>
      </c>
      <c r="B6323" s="1" t="s">
        <v>2628</v>
      </c>
      <c r="C6323" s="1">
        <v>5</v>
      </c>
      <c r="D6323" s="1" t="s">
        <v>34</v>
      </c>
      <c r="E6323" s="1" t="s">
        <v>10</v>
      </c>
      <c r="F6323" s="1" t="s">
        <v>5091</v>
      </c>
      <c r="G6323" s="14" t="s">
        <v>7665</v>
      </c>
      <c r="H6323" s="1" t="s">
        <v>5</v>
      </c>
      <c r="I6323" s="17">
        <v>40378</v>
      </c>
    </row>
    <row r="6324" spans="1:9">
      <c r="A6324" s="16" t="s">
        <v>7718</v>
      </c>
      <c r="B6324" s="1" t="s">
        <v>2628</v>
      </c>
      <c r="C6324" s="1">
        <v>5</v>
      </c>
      <c r="D6324" s="1" t="s">
        <v>34</v>
      </c>
      <c r="E6324" s="1" t="s">
        <v>10</v>
      </c>
      <c r="F6324" s="1" t="s">
        <v>5091</v>
      </c>
      <c r="G6324" s="14" t="s">
        <v>7665</v>
      </c>
      <c r="H6324" s="1" t="s">
        <v>5</v>
      </c>
      <c r="I6324" s="17">
        <v>40385</v>
      </c>
    </row>
    <row r="6325" spans="1:9">
      <c r="A6325" s="16" t="s">
        <v>7719</v>
      </c>
      <c r="B6325" s="1" t="s">
        <v>2628</v>
      </c>
      <c r="C6325" s="1">
        <v>5</v>
      </c>
      <c r="D6325" s="1" t="s">
        <v>34</v>
      </c>
      <c r="E6325" s="1" t="s">
        <v>10</v>
      </c>
      <c r="F6325" s="1" t="s">
        <v>5091</v>
      </c>
      <c r="G6325" s="14" t="s">
        <v>7665</v>
      </c>
      <c r="H6325" s="1" t="s">
        <v>5</v>
      </c>
      <c r="I6325" s="17">
        <v>40399</v>
      </c>
    </row>
    <row r="6326" spans="1:9">
      <c r="A6326" s="16" t="s">
        <v>7720</v>
      </c>
      <c r="B6326" s="1" t="s">
        <v>2628</v>
      </c>
      <c r="C6326" s="1">
        <v>5</v>
      </c>
      <c r="D6326" s="1" t="s">
        <v>34</v>
      </c>
      <c r="E6326" s="1" t="s">
        <v>10</v>
      </c>
      <c r="F6326" s="1" t="s">
        <v>5091</v>
      </c>
      <c r="G6326" s="14" t="s">
        <v>7665</v>
      </c>
      <c r="H6326" s="1" t="s">
        <v>5</v>
      </c>
      <c r="I6326" s="17">
        <v>40399</v>
      </c>
    </row>
    <row r="6327" spans="1:9">
      <c r="A6327" s="16" t="s">
        <v>7721</v>
      </c>
      <c r="B6327" s="1" t="s">
        <v>2628</v>
      </c>
      <c r="C6327" s="1">
        <v>5</v>
      </c>
      <c r="D6327" s="1" t="s">
        <v>34</v>
      </c>
      <c r="E6327" s="1" t="s">
        <v>10</v>
      </c>
      <c r="F6327" s="1" t="s">
        <v>5091</v>
      </c>
      <c r="G6327" s="14" t="s">
        <v>7665</v>
      </c>
      <c r="H6327" s="1" t="s">
        <v>5</v>
      </c>
      <c r="I6327" s="17">
        <v>40399</v>
      </c>
    </row>
    <row r="6328" spans="1:9">
      <c r="A6328" s="16" t="s">
        <v>7723</v>
      </c>
      <c r="B6328" s="1" t="s">
        <v>2628</v>
      </c>
      <c r="C6328" s="1">
        <v>5</v>
      </c>
      <c r="D6328" s="1" t="s">
        <v>34</v>
      </c>
      <c r="E6328" s="1" t="s">
        <v>10</v>
      </c>
      <c r="F6328" s="1" t="s">
        <v>5091</v>
      </c>
      <c r="G6328" s="14" t="s">
        <v>7665</v>
      </c>
      <c r="H6328" s="1" t="s">
        <v>5</v>
      </c>
      <c r="I6328" s="17">
        <v>40392</v>
      </c>
    </row>
    <row r="6329" spans="1:9">
      <c r="A6329" s="16" t="s">
        <v>7725</v>
      </c>
      <c r="B6329" s="1" t="s">
        <v>2628</v>
      </c>
      <c r="C6329" s="1">
        <v>5</v>
      </c>
      <c r="D6329" s="1" t="s">
        <v>34</v>
      </c>
      <c r="E6329" s="1" t="s">
        <v>10</v>
      </c>
      <c r="F6329" s="1" t="s">
        <v>5091</v>
      </c>
      <c r="G6329" s="14" t="s">
        <v>7665</v>
      </c>
      <c r="H6329" s="1" t="s">
        <v>5</v>
      </c>
      <c r="I6329" s="17">
        <v>40399</v>
      </c>
    </row>
    <row r="6330" spans="1:9">
      <c r="A6330" s="16" t="s">
        <v>7726</v>
      </c>
      <c r="B6330" s="1" t="s">
        <v>2628</v>
      </c>
      <c r="C6330" s="1">
        <v>5</v>
      </c>
      <c r="D6330" s="1" t="s">
        <v>34</v>
      </c>
      <c r="E6330" s="1" t="s">
        <v>10</v>
      </c>
      <c r="F6330" s="1" t="s">
        <v>5091</v>
      </c>
      <c r="G6330" s="14" t="s">
        <v>7665</v>
      </c>
      <c r="H6330" s="1" t="s">
        <v>5</v>
      </c>
      <c r="I6330" s="17">
        <v>40399</v>
      </c>
    </row>
    <row r="6331" spans="1:9">
      <c r="A6331" s="16" t="s">
        <v>7731</v>
      </c>
      <c r="B6331" s="1" t="s">
        <v>2628</v>
      </c>
      <c r="C6331" s="1">
        <v>5</v>
      </c>
      <c r="D6331" s="1" t="s">
        <v>34</v>
      </c>
      <c r="E6331" s="1" t="s">
        <v>10</v>
      </c>
      <c r="F6331" s="1" t="s">
        <v>5091</v>
      </c>
      <c r="G6331" s="14" t="s">
        <v>7674</v>
      </c>
      <c r="H6331" s="1" t="s">
        <v>43</v>
      </c>
      <c r="I6331" s="17">
        <v>39146</v>
      </c>
    </row>
    <row r="6332" spans="1:9">
      <c r="A6332" s="16" t="s">
        <v>7732</v>
      </c>
      <c r="B6332" s="1" t="s">
        <v>2628</v>
      </c>
      <c r="C6332" s="1">
        <v>5</v>
      </c>
      <c r="D6332" s="1" t="s">
        <v>34</v>
      </c>
      <c r="E6332" s="1" t="s">
        <v>10</v>
      </c>
      <c r="F6332" s="1" t="s">
        <v>5091</v>
      </c>
      <c r="G6332" s="14" t="s">
        <v>7674</v>
      </c>
      <c r="H6332" s="1" t="s">
        <v>43</v>
      </c>
      <c r="I6332" s="17">
        <v>39146</v>
      </c>
    </row>
    <row r="6333" spans="1:9">
      <c r="A6333" s="16" t="s">
        <v>7733</v>
      </c>
      <c r="B6333" s="1" t="s">
        <v>2628</v>
      </c>
      <c r="C6333" s="1">
        <v>5</v>
      </c>
      <c r="D6333" s="1" t="s">
        <v>34</v>
      </c>
      <c r="E6333" s="1" t="s">
        <v>10</v>
      </c>
      <c r="F6333" s="1" t="s">
        <v>5091</v>
      </c>
      <c r="G6333" s="14" t="s">
        <v>7674</v>
      </c>
      <c r="H6333" s="1" t="s">
        <v>43</v>
      </c>
      <c r="I6333" s="17">
        <v>38699</v>
      </c>
    </row>
    <row r="6334" spans="1:9">
      <c r="A6334" s="16" t="s">
        <v>7737</v>
      </c>
      <c r="B6334" s="1" t="s">
        <v>2628</v>
      </c>
      <c r="C6334" s="1">
        <v>5</v>
      </c>
      <c r="D6334" s="1" t="s">
        <v>34</v>
      </c>
      <c r="E6334" s="1" t="s">
        <v>10</v>
      </c>
      <c r="F6334" s="1" t="s">
        <v>5091</v>
      </c>
      <c r="G6334" s="14" t="s">
        <v>7665</v>
      </c>
      <c r="H6334" s="1" t="s">
        <v>5</v>
      </c>
      <c r="I6334" s="17">
        <v>40283</v>
      </c>
    </row>
    <row r="6335" spans="1:9">
      <c r="A6335" s="16" t="s">
        <v>7738</v>
      </c>
      <c r="B6335" s="1" t="s">
        <v>2628</v>
      </c>
      <c r="C6335" s="1">
        <v>5</v>
      </c>
      <c r="D6335" s="1" t="s">
        <v>34</v>
      </c>
      <c r="E6335" s="1" t="s">
        <v>10</v>
      </c>
      <c r="F6335" s="1" t="s">
        <v>5091</v>
      </c>
      <c r="G6335" s="14" t="s">
        <v>7665</v>
      </c>
      <c r="H6335" s="1" t="s">
        <v>5</v>
      </c>
      <c r="I6335" s="17">
        <v>40283</v>
      </c>
    </row>
    <row r="6336" spans="1:9">
      <c r="A6336" s="16" t="s">
        <v>7741</v>
      </c>
      <c r="B6336" s="1" t="s">
        <v>2628</v>
      </c>
      <c r="C6336" s="1">
        <v>5</v>
      </c>
      <c r="D6336" s="1" t="s">
        <v>34</v>
      </c>
      <c r="E6336" s="1" t="s">
        <v>10</v>
      </c>
      <c r="F6336" s="1" t="s">
        <v>5091</v>
      </c>
      <c r="G6336" s="14" t="s">
        <v>7665</v>
      </c>
      <c r="H6336" s="1" t="s">
        <v>5</v>
      </c>
      <c r="I6336" s="17">
        <v>40295</v>
      </c>
    </row>
    <row r="6337" spans="1:9">
      <c r="A6337" s="16" t="s">
        <v>7742</v>
      </c>
      <c r="B6337" s="1" t="s">
        <v>2628</v>
      </c>
      <c r="C6337" s="1">
        <v>5</v>
      </c>
      <c r="D6337" s="1" t="s">
        <v>34</v>
      </c>
      <c r="E6337" s="1" t="s">
        <v>10</v>
      </c>
      <c r="F6337" s="1" t="s">
        <v>5091</v>
      </c>
      <c r="G6337" s="14" t="s">
        <v>7665</v>
      </c>
      <c r="H6337" s="1" t="s">
        <v>5</v>
      </c>
      <c r="I6337" s="17">
        <v>40295</v>
      </c>
    </row>
    <row r="6338" spans="1:9">
      <c r="A6338" s="16" t="s">
        <v>7743</v>
      </c>
      <c r="B6338" s="1" t="s">
        <v>2628</v>
      </c>
      <c r="C6338" s="1">
        <v>5</v>
      </c>
      <c r="D6338" s="1" t="s">
        <v>34</v>
      </c>
      <c r="E6338" s="1" t="s">
        <v>10</v>
      </c>
      <c r="F6338" s="1" t="s">
        <v>5091</v>
      </c>
      <c r="G6338" s="14" t="s">
        <v>7665</v>
      </c>
      <c r="H6338" s="1" t="s">
        <v>5</v>
      </c>
      <c r="I6338" s="17">
        <v>40295</v>
      </c>
    </row>
    <row r="6339" spans="1:9">
      <c r="A6339" s="16" t="s">
        <v>7744</v>
      </c>
      <c r="B6339" s="1" t="s">
        <v>2631</v>
      </c>
      <c r="C6339" s="1">
        <v>5</v>
      </c>
      <c r="D6339" s="1" t="s">
        <v>34</v>
      </c>
      <c r="E6339" s="1" t="s">
        <v>10</v>
      </c>
      <c r="F6339" s="1" t="s">
        <v>5091</v>
      </c>
      <c r="G6339" s="1" t="s">
        <v>7665</v>
      </c>
      <c r="H6339" s="1" t="s">
        <v>5</v>
      </c>
      <c r="I6339" s="17">
        <v>40296</v>
      </c>
    </row>
    <row r="6340" spans="1:9">
      <c r="A6340" s="16" t="s">
        <v>7745</v>
      </c>
      <c r="B6340" s="1" t="s">
        <v>2628</v>
      </c>
      <c r="C6340" s="1">
        <v>5</v>
      </c>
      <c r="D6340" s="1" t="s">
        <v>34</v>
      </c>
      <c r="E6340" s="1" t="s">
        <v>10</v>
      </c>
      <c r="F6340" s="1" t="s">
        <v>5091</v>
      </c>
      <c r="G6340" s="14" t="s">
        <v>7665</v>
      </c>
      <c r="H6340" s="1" t="s">
        <v>5</v>
      </c>
      <c r="I6340" s="17">
        <v>40315</v>
      </c>
    </row>
    <row r="6341" spans="1:9">
      <c r="A6341" s="16" t="s">
        <v>7749</v>
      </c>
      <c r="B6341" s="1" t="s">
        <v>2628</v>
      </c>
      <c r="C6341" s="1">
        <v>5</v>
      </c>
      <c r="D6341" s="1" t="s">
        <v>34</v>
      </c>
      <c r="E6341" s="1" t="s">
        <v>10</v>
      </c>
      <c r="F6341" s="1" t="s">
        <v>5091</v>
      </c>
      <c r="G6341" s="14" t="s">
        <v>7665</v>
      </c>
      <c r="H6341" s="1" t="s">
        <v>5</v>
      </c>
      <c r="I6341" s="17">
        <v>40343</v>
      </c>
    </row>
    <row r="6342" spans="1:9">
      <c r="A6342" s="16" t="s">
        <v>7750</v>
      </c>
      <c r="B6342" s="1" t="s">
        <v>2628</v>
      </c>
      <c r="C6342" s="1">
        <v>5</v>
      </c>
      <c r="D6342" s="1" t="s">
        <v>34</v>
      </c>
      <c r="E6342" s="1" t="s">
        <v>10</v>
      </c>
      <c r="F6342" s="1" t="s">
        <v>5091</v>
      </c>
      <c r="G6342" s="14" t="s">
        <v>7665</v>
      </c>
      <c r="H6342" s="1" t="s">
        <v>5</v>
      </c>
      <c r="I6342" s="17">
        <v>40378</v>
      </c>
    </row>
    <row r="6343" spans="1:9">
      <c r="A6343" s="16" t="s">
        <v>7752</v>
      </c>
      <c r="B6343" s="1" t="s">
        <v>2628</v>
      </c>
      <c r="C6343" s="1">
        <v>5</v>
      </c>
      <c r="D6343" s="1" t="s">
        <v>34</v>
      </c>
      <c r="E6343" s="1" t="s">
        <v>10</v>
      </c>
      <c r="F6343" s="1" t="s">
        <v>5091</v>
      </c>
      <c r="G6343" s="14" t="s">
        <v>7665</v>
      </c>
      <c r="H6343" s="1" t="s">
        <v>5</v>
      </c>
      <c r="I6343" s="17">
        <v>40483</v>
      </c>
    </row>
    <row r="6344" spans="1:9">
      <c r="A6344" s="16" t="s">
        <v>7753</v>
      </c>
      <c r="B6344" s="1" t="s">
        <v>2628</v>
      </c>
      <c r="C6344" s="1">
        <v>5</v>
      </c>
      <c r="D6344" s="1" t="s">
        <v>34</v>
      </c>
      <c r="E6344" s="1" t="s">
        <v>10</v>
      </c>
      <c r="F6344" s="1" t="s">
        <v>5091</v>
      </c>
      <c r="G6344" s="14" t="s">
        <v>7665</v>
      </c>
      <c r="H6344" s="1" t="s">
        <v>5</v>
      </c>
      <c r="I6344" s="17">
        <v>40483</v>
      </c>
    </row>
    <row r="6345" spans="1:9">
      <c r="A6345" s="16" t="s">
        <v>7758</v>
      </c>
      <c r="B6345" s="1" t="s">
        <v>2628</v>
      </c>
      <c r="C6345" s="1">
        <v>5</v>
      </c>
      <c r="D6345" s="1" t="s">
        <v>34</v>
      </c>
      <c r="E6345" s="1" t="s">
        <v>10</v>
      </c>
      <c r="F6345" s="1" t="s">
        <v>5091</v>
      </c>
      <c r="G6345" s="14" t="s">
        <v>7665</v>
      </c>
      <c r="H6345" s="1" t="s">
        <v>5</v>
      </c>
      <c r="I6345" s="17">
        <v>40428</v>
      </c>
    </row>
    <row r="6346" spans="1:9">
      <c r="A6346" s="16" t="s">
        <v>7759</v>
      </c>
      <c r="B6346" s="1" t="s">
        <v>2628</v>
      </c>
      <c r="C6346" s="1">
        <v>5</v>
      </c>
      <c r="D6346" s="1" t="s">
        <v>34</v>
      </c>
      <c r="E6346" s="1" t="s">
        <v>10</v>
      </c>
      <c r="F6346" s="1" t="s">
        <v>5091</v>
      </c>
      <c r="G6346" s="14" t="s">
        <v>7665</v>
      </c>
      <c r="H6346" s="1" t="s">
        <v>5</v>
      </c>
      <c r="I6346" s="17">
        <v>40435</v>
      </c>
    </row>
    <row r="6347" spans="1:9">
      <c r="A6347" s="16" t="s">
        <v>7760</v>
      </c>
      <c r="B6347" s="1" t="s">
        <v>2628</v>
      </c>
      <c r="C6347" s="1">
        <v>5</v>
      </c>
      <c r="D6347" s="1" t="s">
        <v>34</v>
      </c>
      <c r="E6347" s="1" t="s">
        <v>10</v>
      </c>
      <c r="F6347" s="1" t="s">
        <v>5091</v>
      </c>
      <c r="G6347" s="14" t="s">
        <v>7665</v>
      </c>
      <c r="H6347" s="1" t="s">
        <v>5</v>
      </c>
      <c r="I6347" s="17">
        <v>40441</v>
      </c>
    </row>
    <row r="6348" spans="1:9">
      <c r="A6348" s="16" t="s">
        <v>7761</v>
      </c>
      <c r="B6348" s="1" t="s">
        <v>2628</v>
      </c>
      <c r="C6348" s="1">
        <v>5</v>
      </c>
      <c r="D6348" s="1" t="s">
        <v>34</v>
      </c>
      <c r="E6348" s="1" t="s">
        <v>10</v>
      </c>
      <c r="F6348" s="1" t="s">
        <v>5091</v>
      </c>
      <c r="G6348" s="14" t="s">
        <v>7665</v>
      </c>
      <c r="H6348" s="1" t="s">
        <v>5</v>
      </c>
      <c r="I6348" s="17">
        <v>40441</v>
      </c>
    </row>
    <row r="6349" spans="1:9">
      <c r="A6349" s="16" t="s">
        <v>7762</v>
      </c>
      <c r="B6349" s="1" t="s">
        <v>2628</v>
      </c>
      <c r="C6349" s="1">
        <v>5</v>
      </c>
      <c r="D6349" s="1" t="s">
        <v>34</v>
      </c>
      <c r="E6349" s="1" t="s">
        <v>10</v>
      </c>
      <c r="F6349" s="1" t="s">
        <v>5091</v>
      </c>
      <c r="G6349" s="14" t="s">
        <v>7665</v>
      </c>
      <c r="H6349" s="1" t="s">
        <v>5</v>
      </c>
      <c r="I6349" s="17">
        <v>40441</v>
      </c>
    </row>
    <row r="6350" spans="1:9">
      <c r="A6350" s="16" t="s">
        <v>7763</v>
      </c>
      <c r="B6350" s="1" t="s">
        <v>2628</v>
      </c>
      <c r="C6350" s="1">
        <v>5</v>
      </c>
      <c r="D6350" s="1" t="s">
        <v>34</v>
      </c>
      <c r="E6350" s="1" t="s">
        <v>10</v>
      </c>
      <c r="F6350" s="1" t="s">
        <v>5091</v>
      </c>
      <c r="G6350" s="14" t="s">
        <v>7665</v>
      </c>
      <c r="H6350" s="1" t="s">
        <v>5</v>
      </c>
      <c r="I6350" s="17">
        <v>40441</v>
      </c>
    </row>
    <row r="6351" spans="1:9">
      <c r="A6351" s="16" t="s">
        <v>7764</v>
      </c>
      <c r="B6351" s="1" t="s">
        <v>2628</v>
      </c>
      <c r="C6351" s="1">
        <v>5</v>
      </c>
      <c r="D6351" s="1" t="s">
        <v>34</v>
      </c>
      <c r="E6351" s="1" t="s">
        <v>10</v>
      </c>
      <c r="F6351" s="1" t="s">
        <v>5091</v>
      </c>
      <c r="G6351" s="14" t="s">
        <v>7665</v>
      </c>
      <c r="H6351" s="1" t="s">
        <v>5</v>
      </c>
      <c r="I6351" s="17">
        <v>40441</v>
      </c>
    </row>
    <row r="6352" spans="1:9">
      <c r="A6352" s="16" t="s">
        <v>7766</v>
      </c>
      <c r="B6352" s="1" t="s">
        <v>2631</v>
      </c>
      <c r="C6352" s="1">
        <v>5</v>
      </c>
      <c r="D6352" s="1" t="s">
        <v>34</v>
      </c>
      <c r="E6352" s="1" t="s">
        <v>10</v>
      </c>
      <c r="F6352" s="1" t="s">
        <v>5091</v>
      </c>
      <c r="G6352" s="1" t="s">
        <v>7665</v>
      </c>
      <c r="H6352" s="1" t="s">
        <v>5</v>
      </c>
      <c r="I6352" s="17">
        <v>40463</v>
      </c>
    </row>
    <row r="6353" spans="1:9">
      <c r="A6353" s="16" t="s">
        <v>7767</v>
      </c>
      <c r="B6353" s="1" t="s">
        <v>2628</v>
      </c>
      <c r="C6353" s="1">
        <v>5</v>
      </c>
      <c r="D6353" s="1" t="s">
        <v>34</v>
      </c>
      <c r="E6353" s="1" t="s">
        <v>10</v>
      </c>
      <c r="F6353" s="1" t="s">
        <v>5091</v>
      </c>
      <c r="G6353" s="14" t="s">
        <v>7665</v>
      </c>
      <c r="H6353" s="1" t="s">
        <v>5</v>
      </c>
      <c r="I6353" s="17">
        <v>40469</v>
      </c>
    </row>
    <row r="6354" spans="1:9">
      <c r="A6354" s="16" t="s">
        <v>7768</v>
      </c>
      <c r="B6354" s="1" t="s">
        <v>2628</v>
      </c>
      <c r="C6354" s="1">
        <v>5</v>
      </c>
      <c r="D6354" s="1" t="s">
        <v>34</v>
      </c>
      <c r="E6354" s="1" t="s">
        <v>10</v>
      </c>
      <c r="F6354" s="1" t="s">
        <v>5091</v>
      </c>
      <c r="G6354" s="14" t="s">
        <v>7665</v>
      </c>
      <c r="H6354" s="1" t="s">
        <v>5</v>
      </c>
      <c r="I6354" s="17">
        <v>40469</v>
      </c>
    </row>
    <row r="6355" spans="1:9">
      <c r="A6355" s="16" t="s">
        <v>7770</v>
      </c>
      <c r="B6355" s="1" t="s">
        <v>2628</v>
      </c>
      <c r="C6355" s="1">
        <v>5</v>
      </c>
      <c r="D6355" s="1" t="s">
        <v>34</v>
      </c>
      <c r="E6355" s="1" t="s">
        <v>10</v>
      </c>
      <c r="F6355" s="1" t="s">
        <v>5091</v>
      </c>
      <c r="G6355" s="14" t="s">
        <v>7665</v>
      </c>
      <c r="H6355" s="1" t="s">
        <v>5</v>
      </c>
      <c r="I6355" s="17">
        <v>40477</v>
      </c>
    </row>
    <row r="6356" spans="1:9">
      <c r="A6356" s="16" t="s">
        <v>7771</v>
      </c>
      <c r="B6356" s="1" t="s">
        <v>2628</v>
      </c>
      <c r="C6356" s="1">
        <v>5</v>
      </c>
      <c r="D6356" s="1" t="s">
        <v>34</v>
      </c>
      <c r="E6356" s="1" t="s">
        <v>10</v>
      </c>
      <c r="F6356" s="1" t="s">
        <v>5091</v>
      </c>
      <c r="G6356" s="14" t="s">
        <v>7665</v>
      </c>
      <c r="H6356" s="1" t="s">
        <v>5</v>
      </c>
      <c r="I6356" s="17">
        <v>40399</v>
      </c>
    </row>
    <row r="6357" spans="1:9">
      <c r="A6357" s="16" t="s">
        <v>7774</v>
      </c>
      <c r="B6357" s="1" t="s">
        <v>2628</v>
      </c>
      <c r="C6357" s="1">
        <v>5</v>
      </c>
      <c r="D6357" s="1" t="s">
        <v>34</v>
      </c>
      <c r="E6357" s="1" t="s">
        <v>10</v>
      </c>
      <c r="F6357" s="1" t="s">
        <v>5091</v>
      </c>
      <c r="G6357" s="14" t="s">
        <v>7665</v>
      </c>
      <c r="H6357" s="1" t="s">
        <v>5</v>
      </c>
      <c r="I6357" s="17">
        <v>40518</v>
      </c>
    </row>
    <row r="6358" spans="1:9">
      <c r="A6358" s="16" t="s">
        <v>7775</v>
      </c>
      <c r="B6358" s="1" t="s">
        <v>2628</v>
      </c>
      <c r="C6358" s="1">
        <v>5</v>
      </c>
      <c r="D6358" s="1" t="s">
        <v>34</v>
      </c>
      <c r="E6358" s="1" t="s">
        <v>10</v>
      </c>
      <c r="F6358" s="1" t="s">
        <v>5091</v>
      </c>
      <c r="G6358" s="14" t="s">
        <v>7665</v>
      </c>
      <c r="H6358" s="1" t="s">
        <v>5</v>
      </c>
      <c r="I6358" s="17">
        <v>40477</v>
      </c>
    </row>
    <row r="6359" spans="1:9">
      <c r="A6359" s="16" t="s">
        <v>7777</v>
      </c>
      <c r="B6359" s="1" t="s">
        <v>2628</v>
      </c>
      <c r="C6359" s="1">
        <v>5</v>
      </c>
      <c r="D6359" s="1" t="s">
        <v>34</v>
      </c>
      <c r="E6359" s="1" t="s">
        <v>10</v>
      </c>
      <c r="F6359" s="1" t="s">
        <v>5091</v>
      </c>
      <c r="G6359" s="14" t="s">
        <v>7665</v>
      </c>
      <c r="H6359" s="1" t="s">
        <v>5</v>
      </c>
      <c r="I6359" s="17">
        <v>40477</v>
      </c>
    </row>
    <row r="6360" spans="1:9">
      <c r="A6360" s="16" t="s">
        <v>7778</v>
      </c>
      <c r="B6360" s="1" t="s">
        <v>2628</v>
      </c>
      <c r="C6360" s="1">
        <v>5</v>
      </c>
      <c r="D6360" s="1" t="s">
        <v>34</v>
      </c>
      <c r="E6360" s="1" t="s">
        <v>10</v>
      </c>
      <c r="F6360" s="1" t="s">
        <v>5091</v>
      </c>
      <c r="G6360" s="14" t="s">
        <v>7665</v>
      </c>
      <c r="H6360" s="1" t="s">
        <v>5</v>
      </c>
      <c r="I6360" s="17">
        <v>40477</v>
      </c>
    </row>
    <row r="6361" spans="1:9">
      <c r="A6361" s="16" t="s">
        <v>7781</v>
      </c>
      <c r="B6361" s="1" t="s">
        <v>2628</v>
      </c>
      <c r="C6361" s="1">
        <v>5</v>
      </c>
      <c r="D6361" s="1" t="s">
        <v>34</v>
      </c>
      <c r="E6361" s="1" t="s">
        <v>10</v>
      </c>
      <c r="F6361" s="1" t="s">
        <v>5091</v>
      </c>
      <c r="G6361" s="14" t="s">
        <v>7665</v>
      </c>
      <c r="H6361" s="1" t="s">
        <v>5</v>
      </c>
      <c r="I6361" s="17">
        <v>40469</v>
      </c>
    </row>
    <row r="6362" spans="1:9">
      <c r="A6362" s="16" t="s">
        <v>7783</v>
      </c>
      <c r="B6362" s="1" t="s">
        <v>2631</v>
      </c>
      <c r="C6362" s="1">
        <v>5</v>
      </c>
      <c r="D6362" s="1" t="s">
        <v>34</v>
      </c>
      <c r="E6362" s="1" t="s">
        <v>10</v>
      </c>
      <c r="F6362" s="1" t="s">
        <v>5091</v>
      </c>
      <c r="G6362" s="14" t="s">
        <v>4458</v>
      </c>
      <c r="H6362" s="1" t="s">
        <v>118</v>
      </c>
      <c r="I6362" s="1" t="s">
        <v>4792</v>
      </c>
    </row>
    <row r="6363" spans="1:9">
      <c r="A6363" s="7" t="s">
        <v>7801</v>
      </c>
      <c r="B6363" s="1" t="s">
        <v>2628</v>
      </c>
      <c r="C6363" s="1">
        <v>5</v>
      </c>
      <c r="D6363" s="1" t="s">
        <v>34</v>
      </c>
      <c r="E6363" s="1" t="s">
        <v>10</v>
      </c>
      <c r="F6363" s="1" t="s">
        <v>5091</v>
      </c>
      <c r="G6363" s="1" t="s">
        <v>6181</v>
      </c>
      <c r="H6363" s="1" t="s">
        <v>118</v>
      </c>
      <c r="I6363" s="1" t="s">
        <v>4458</v>
      </c>
    </row>
    <row r="6364" spans="1:9">
      <c r="A6364" s="7" t="s">
        <v>7841</v>
      </c>
      <c r="B6364" s="1" t="s">
        <v>2628</v>
      </c>
      <c r="C6364" s="1">
        <v>5</v>
      </c>
      <c r="D6364" s="1" t="s">
        <v>34</v>
      </c>
      <c r="E6364" s="1" t="s">
        <v>10</v>
      </c>
      <c r="F6364" s="1" t="s">
        <v>5091</v>
      </c>
      <c r="G6364" s="1" t="s">
        <v>6181</v>
      </c>
      <c r="H6364" s="1" t="s">
        <v>118</v>
      </c>
      <c r="I6364" s="1" t="s">
        <v>4458</v>
      </c>
    </row>
    <row r="6365" spans="1:9">
      <c r="A6365" s="16" t="s">
        <v>7843</v>
      </c>
      <c r="B6365" s="1" t="s">
        <v>2628</v>
      </c>
      <c r="C6365" s="1">
        <v>5</v>
      </c>
      <c r="D6365" s="1" t="s">
        <v>34</v>
      </c>
      <c r="E6365" s="1" t="s">
        <v>10</v>
      </c>
      <c r="F6365" s="1" t="s">
        <v>5091</v>
      </c>
      <c r="G6365" s="14" t="s">
        <v>7844</v>
      </c>
      <c r="H6365" s="1" t="s">
        <v>43</v>
      </c>
      <c r="I6365" s="17">
        <v>41689</v>
      </c>
    </row>
    <row r="6366" spans="1:9">
      <c r="A6366" s="16" t="s">
        <v>7845</v>
      </c>
      <c r="B6366" s="1" t="s">
        <v>2628</v>
      </c>
      <c r="C6366" s="1">
        <v>5</v>
      </c>
      <c r="D6366" s="1" t="s">
        <v>34</v>
      </c>
      <c r="E6366" s="1" t="s">
        <v>10</v>
      </c>
      <c r="F6366" s="1" t="s">
        <v>5091</v>
      </c>
      <c r="G6366" s="14" t="s">
        <v>7844</v>
      </c>
      <c r="H6366" s="1" t="s">
        <v>43</v>
      </c>
      <c r="I6366" s="17">
        <v>41689</v>
      </c>
    </row>
    <row r="6367" spans="1:9">
      <c r="A6367" s="16" t="s">
        <v>7846</v>
      </c>
      <c r="B6367" s="1" t="s">
        <v>2628</v>
      </c>
      <c r="C6367" s="1">
        <v>5</v>
      </c>
      <c r="D6367" s="1" t="s">
        <v>34</v>
      </c>
      <c r="E6367" s="1" t="s">
        <v>10</v>
      </c>
      <c r="F6367" s="1" t="s">
        <v>5091</v>
      </c>
      <c r="G6367" s="14" t="s">
        <v>7844</v>
      </c>
      <c r="H6367" s="1" t="s">
        <v>43</v>
      </c>
      <c r="I6367" s="17">
        <v>41689</v>
      </c>
    </row>
    <row r="6368" spans="1:9">
      <c r="A6368" s="16" t="s">
        <v>7848</v>
      </c>
      <c r="B6368" s="1" t="s">
        <v>2628</v>
      </c>
      <c r="C6368" s="1">
        <v>5</v>
      </c>
      <c r="D6368" s="1" t="s">
        <v>34</v>
      </c>
      <c r="E6368" s="1" t="s">
        <v>10</v>
      </c>
      <c r="F6368" s="1" t="s">
        <v>5091</v>
      </c>
      <c r="G6368" s="14" t="s">
        <v>7844</v>
      </c>
      <c r="H6368" s="1" t="s">
        <v>43</v>
      </c>
      <c r="I6368" s="17">
        <v>41689</v>
      </c>
    </row>
    <row r="6369" spans="1:10">
      <c r="A6369" s="16" t="s">
        <v>7851</v>
      </c>
      <c r="B6369" s="1" t="s">
        <v>2628</v>
      </c>
      <c r="C6369" s="1">
        <v>5</v>
      </c>
      <c r="D6369" s="1" t="s">
        <v>34</v>
      </c>
      <c r="E6369" s="1" t="s">
        <v>10</v>
      </c>
      <c r="F6369" s="1" t="s">
        <v>5091</v>
      </c>
      <c r="G6369" s="14" t="s">
        <v>7844</v>
      </c>
      <c r="H6369" s="1" t="s">
        <v>43</v>
      </c>
      <c r="I6369" s="17">
        <v>41689</v>
      </c>
    </row>
    <row r="6370" spans="1:10">
      <c r="A6370" s="16" t="s">
        <v>7852</v>
      </c>
      <c r="B6370" s="1" t="s">
        <v>2628</v>
      </c>
      <c r="C6370" s="1">
        <v>5</v>
      </c>
      <c r="D6370" s="1" t="s">
        <v>34</v>
      </c>
      <c r="E6370" s="1" t="s">
        <v>10</v>
      </c>
      <c r="F6370" s="1" t="s">
        <v>5091</v>
      </c>
      <c r="G6370" s="14" t="s">
        <v>7844</v>
      </c>
      <c r="H6370" s="1" t="s">
        <v>43</v>
      </c>
      <c r="I6370" s="17">
        <v>41689</v>
      </c>
    </row>
    <row r="6371" spans="1:10">
      <c r="A6371" s="16" t="s">
        <v>7853</v>
      </c>
      <c r="B6371" s="1" t="s">
        <v>2628</v>
      </c>
      <c r="C6371" s="1">
        <v>5</v>
      </c>
      <c r="D6371" s="1" t="s">
        <v>34</v>
      </c>
      <c r="E6371" s="1" t="s">
        <v>10</v>
      </c>
      <c r="F6371" s="1" t="s">
        <v>5091</v>
      </c>
      <c r="G6371" s="14" t="s">
        <v>7854</v>
      </c>
      <c r="H6371" s="1" t="s">
        <v>5</v>
      </c>
      <c r="I6371" s="17">
        <v>41625</v>
      </c>
    </row>
    <row r="6372" spans="1:10">
      <c r="A6372" s="16" t="s">
        <v>7855</v>
      </c>
      <c r="B6372" s="1" t="s">
        <v>2628</v>
      </c>
      <c r="C6372" s="1">
        <v>5</v>
      </c>
      <c r="D6372" s="1" t="s">
        <v>34</v>
      </c>
      <c r="E6372" s="1" t="s">
        <v>10</v>
      </c>
      <c r="F6372" s="1" t="s">
        <v>5091</v>
      </c>
      <c r="G6372" s="14" t="s">
        <v>7844</v>
      </c>
      <c r="H6372" s="1" t="s">
        <v>43</v>
      </c>
      <c r="I6372" s="17">
        <v>41689</v>
      </c>
    </row>
    <row r="6373" spans="1:10">
      <c r="A6373" s="16" t="s">
        <v>7859</v>
      </c>
      <c r="B6373" s="1" t="s">
        <v>2628</v>
      </c>
      <c r="C6373" s="1">
        <v>5</v>
      </c>
      <c r="D6373" s="1" t="s">
        <v>34</v>
      </c>
      <c r="E6373" s="1" t="s">
        <v>10</v>
      </c>
      <c r="F6373" s="1" t="s">
        <v>5091</v>
      </c>
      <c r="G6373" s="14" t="s">
        <v>7860</v>
      </c>
      <c r="H6373" s="1" t="s">
        <v>5</v>
      </c>
      <c r="I6373" s="17">
        <v>41640</v>
      </c>
    </row>
    <row r="6374" spans="1:10">
      <c r="A6374" s="16" t="s">
        <v>7861</v>
      </c>
      <c r="B6374" s="1" t="s">
        <v>2628</v>
      </c>
      <c r="C6374" s="1">
        <v>5</v>
      </c>
      <c r="D6374" s="1" t="s">
        <v>34</v>
      </c>
      <c r="E6374" s="1" t="s">
        <v>10</v>
      </c>
      <c r="F6374" s="1" t="s">
        <v>5091</v>
      </c>
      <c r="G6374" s="14" t="s">
        <v>4458</v>
      </c>
      <c r="H6374" s="1" t="s">
        <v>118</v>
      </c>
      <c r="I6374" s="17">
        <v>41640</v>
      </c>
    </row>
    <row r="6375" spans="1:10">
      <c r="A6375" s="16" t="s">
        <v>7862</v>
      </c>
      <c r="B6375" s="1" t="s">
        <v>2628</v>
      </c>
      <c r="C6375" s="1">
        <v>5</v>
      </c>
      <c r="D6375" s="1" t="s">
        <v>34</v>
      </c>
      <c r="E6375" s="1" t="s">
        <v>10</v>
      </c>
      <c r="F6375" s="1" t="s">
        <v>5091</v>
      </c>
      <c r="G6375" s="14" t="s">
        <v>6307</v>
      </c>
      <c r="H6375" s="1" t="s">
        <v>44</v>
      </c>
      <c r="I6375" s="17">
        <v>41640</v>
      </c>
    </row>
    <row r="6376" spans="1:10">
      <c r="A6376" s="7" t="s">
        <v>7926</v>
      </c>
      <c r="B6376" s="1" t="s">
        <v>2628</v>
      </c>
      <c r="C6376" s="1">
        <v>5</v>
      </c>
      <c r="D6376" s="1" t="s">
        <v>34</v>
      </c>
      <c r="E6376" s="1" t="s">
        <v>10</v>
      </c>
      <c r="F6376" s="1" t="s">
        <v>118</v>
      </c>
      <c r="G6376" s="1" t="s">
        <v>2565</v>
      </c>
      <c r="H6376" s="1" t="s">
        <v>5</v>
      </c>
      <c r="I6376" s="1" t="s">
        <v>6090</v>
      </c>
      <c r="J6376" s="17"/>
    </row>
    <row r="6377" spans="1:10">
      <c r="A6377" s="7" t="s">
        <v>7940</v>
      </c>
      <c r="B6377" s="1" t="s">
        <v>2628</v>
      </c>
      <c r="C6377" s="1">
        <v>5</v>
      </c>
      <c r="D6377" s="1" t="s">
        <v>34</v>
      </c>
      <c r="E6377" s="1" t="s">
        <v>10</v>
      </c>
      <c r="F6377" s="1" t="s">
        <v>118</v>
      </c>
      <c r="G6377" s="1" t="s">
        <v>7932</v>
      </c>
      <c r="H6377" s="1" t="s">
        <v>5</v>
      </c>
      <c r="I6377" s="1" t="s">
        <v>6090</v>
      </c>
      <c r="J6377" s="17"/>
    </row>
    <row r="6378" spans="1:10">
      <c r="A6378" s="7" t="s">
        <v>7954</v>
      </c>
      <c r="B6378" s="1" t="s">
        <v>2628</v>
      </c>
      <c r="C6378" s="1">
        <v>5</v>
      </c>
      <c r="D6378" s="1" t="s">
        <v>34</v>
      </c>
      <c r="E6378" s="1" t="s">
        <v>10</v>
      </c>
      <c r="F6378" s="1" t="s">
        <v>118</v>
      </c>
      <c r="G6378" s="1" t="s">
        <v>2565</v>
      </c>
      <c r="H6378" s="1" t="s">
        <v>5</v>
      </c>
      <c r="I6378" s="1" t="s">
        <v>6090</v>
      </c>
      <c r="J6378" s="17"/>
    </row>
    <row r="6379" spans="1:10">
      <c r="A6379" s="7" t="s">
        <v>7956</v>
      </c>
      <c r="B6379" s="1" t="s">
        <v>2628</v>
      </c>
      <c r="C6379" s="1">
        <v>5</v>
      </c>
      <c r="D6379" s="1" t="s">
        <v>34</v>
      </c>
      <c r="E6379" s="1" t="s">
        <v>10</v>
      </c>
      <c r="F6379" s="1" t="s">
        <v>118</v>
      </c>
      <c r="G6379" s="1" t="s">
        <v>2565</v>
      </c>
      <c r="H6379" s="1" t="s">
        <v>5</v>
      </c>
      <c r="I6379" s="1" t="s">
        <v>6090</v>
      </c>
      <c r="J6379" s="17"/>
    </row>
    <row r="6380" spans="1:10">
      <c r="A6380" s="7" t="s">
        <v>7957</v>
      </c>
      <c r="B6380" s="1" t="s">
        <v>2628</v>
      </c>
      <c r="C6380" s="1">
        <v>5</v>
      </c>
      <c r="D6380" s="1" t="s">
        <v>34</v>
      </c>
      <c r="E6380" s="1" t="s">
        <v>10</v>
      </c>
      <c r="F6380" s="1" t="s">
        <v>118</v>
      </c>
      <c r="G6380" s="1" t="s">
        <v>7902</v>
      </c>
      <c r="H6380" s="1" t="s">
        <v>5</v>
      </c>
      <c r="I6380" s="1" t="s">
        <v>6090</v>
      </c>
      <c r="J6380" s="17"/>
    </row>
    <row r="6381" spans="1:10">
      <c r="A6381" s="7" t="s">
        <v>7969</v>
      </c>
      <c r="B6381" s="1" t="s">
        <v>2628</v>
      </c>
      <c r="C6381" s="1">
        <v>5</v>
      </c>
      <c r="D6381" s="1" t="s">
        <v>34</v>
      </c>
      <c r="E6381" s="1" t="s">
        <v>10</v>
      </c>
      <c r="F6381" s="1" t="s">
        <v>118</v>
      </c>
      <c r="G6381" s="1" t="s">
        <v>7932</v>
      </c>
      <c r="H6381" s="1" t="s">
        <v>5</v>
      </c>
      <c r="I6381" s="1" t="s">
        <v>6090</v>
      </c>
      <c r="J6381" s="17"/>
    </row>
    <row r="6382" spans="1:10">
      <c r="A6382" s="7" t="s">
        <v>7994</v>
      </c>
      <c r="B6382" s="1" t="s">
        <v>2628</v>
      </c>
      <c r="C6382" s="1">
        <v>5</v>
      </c>
      <c r="D6382" s="1" t="s">
        <v>34</v>
      </c>
      <c r="E6382" s="1" t="s">
        <v>10</v>
      </c>
      <c r="F6382" s="1" t="s">
        <v>5091</v>
      </c>
      <c r="G6382" s="1" t="s">
        <v>6181</v>
      </c>
      <c r="H6382" s="1" t="s">
        <v>118</v>
      </c>
      <c r="I6382" s="1" t="s">
        <v>4458</v>
      </c>
    </row>
    <row r="6383" spans="1:10">
      <c r="A6383" s="7" t="s">
        <v>8001</v>
      </c>
      <c r="B6383" s="1" t="s">
        <v>2628</v>
      </c>
      <c r="C6383" s="1">
        <v>5</v>
      </c>
      <c r="D6383" s="1" t="s">
        <v>34</v>
      </c>
      <c r="E6383" s="1" t="s">
        <v>10</v>
      </c>
      <c r="F6383" s="1" t="s">
        <v>5091</v>
      </c>
      <c r="G6383" s="1" t="s">
        <v>6181</v>
      </c>
      <c r="H6383" s="1" t="s">
        <v>118</v>
      </c>
      <c r="I6383" s="1" t="s">
        <v>4458</v>
      </c>
    </row>
    <row r="6384" spans="1:10">
      <c r="A6384" s="7" t="s">
        <v>8013</v>
      </c>
      <c r="B6384" s="1" t="s">
        <v>2628</v>
      </c>
      <c r="C6384" s="1">
        <v>5</v>
      </c>
      <c r="D6384" s="1" t="s">
        <v>34</v>
      </c>
      <c r="E6384" s="1" t="s">
        <v>10</v>
      </c>
      <c r="F6384" s="1" t="s">
        <v>5091</v>
      </c>
      <c r="G6384" s="1" t="s">
        <v>6186</v>
      </c>
      <c r="H6384" s="1" t="s">
        <v>5</v>
      </c>
      <c r="I6384" s="1" t="s">
        <v>6090</v>
      </c>
      <c r="J6384" s="17"/>
    </row>
    <row r="6385" spans="1:10">
      <c r="A6385" s="7" t="s">
        <v>8045</v>
      </c>
      <c r="B6385" s="1" t="s">
        <v>2628</v>
      </c>
      <c r="C6385" s="1">
        <v>5</v>
      </c>
      <c r="D6385" s="1" t="s">
        <v>34</v>
      </c>
      <c r="E6385" s="1" t="s">
        <v>10</v>
      </c>
      <c r="F6385" s="1" t="s">
        <v>5091</v>
      </c>
      <c r="G6385" s="1" t="s">
        <v>6181</v>
      </c>
      <c r="H6385" s="1" t="s">
        <v>118</v>
      </c>
      <c r="I6385" s="1" t="s">
        <v>4458</v>
      </c>
    </row>
    <row r="6386" spans="1:10">
      <c r="A6386" s="7" t="s">
        <v>8050</v>
      </c>
      <c r="B6386" s="1" t="s">
        <v>2628</v>
      </c>
      <c r="C6386" s="1">
        <v>5</v>
      </c>
      <c r="D6386" s="1" t="s">
        <v>34</v>
      </c>
      <c r="E6386" s="1" t="s">
        <v>10</v>
      </c>
      <c r="F6386" s="1" t="s">
        <v>5091</v>
      </c>
      <c r="G6386" s="1" t="s">
        <v>8051</v>
      </c>
      <c r="H6386" s="1" t="s">
        <v>43</v>
      </c>
      <c r="I6386" s="1" t="s">
        <v>5630</v>
      </c>
    </row>
    <row r="6387" spans="1:10">
      <c r="A6387" s="7" t="s">
        <v>8052</v>
      </c>
      <c r="B6387" s="1" t="s">
        <v>2628</v>
      </c>
      <c r="C6387" s="1">
        <v>5</v>
      </c>
      <c r="D6387" s="1" t="s">
        <v>34</v>
      </c>
      <c r="E6387" s="1" t="s">
        <v>10</v>
      </c>
      <c r="F6387" s="1" t="s">
        <v>5091</v>
      </c>
      <c r="G6387" s="1" t="s">
        <v>8051</v>
      </c>
      <c r="H6387" s="1" t="s">
        <v>43</v>
      </c>
      <c r="I6387" s="1" t="s">
        <v>5630</v>
      </c>
    </row>
    <row r="6388" spans="1:10">
      <c r="A6388" s="7" t="s">
        <v>8053</v>
      </c>
      <c r="B6388" s="1" t="s">
        <v>2628</v>
      </c>
      <c r="C6388" s="1">
        <v>5</v>
      </c>
      <c r="D6388" s="1" t="s">
        <v>34</v>
      </c>
      <c r="E6388" s="1" t="s">
        <v>10</v>
      </c>
      <c r="F6388" s="1" t="s">
        <v>5091</v>
      </c>
      <c r="G6388" s="1" t="s">
        <v>8051</v>
      </c>
      <c r="H6388" s="1" t="s">
        <v>43</v>
      </c>
      <c r="I6388" s="1" t="s">
        <v>5726</v>
      </c>
    </row>
    <row r="6389" spans="1:10">
      <c r="A6389" s="7" t="s">
        <v>8054</v>
      </c>
      <c r="B6389" s="1" t="s">
        <v>2628</v>
      </c>
      <c r="C6389" s="1">
        <v>5</v>
      </c>
      <c r="D6389" s="1" t="s">
        <v>34</v>
      </c>
      <c r="E6389" s="1" t="s">
        <v>10</v>
      </c>
      <c r="F6389" s="1" t="s">
        <v>5091</v>
      </c>
      <c r="G6389" s="1" t="s">
        <v>8055</v>
      </c>
      <c r="H6389" s="1" t="s">
        <v>5</v>
      </c>
      <c r="I6389" s="1" t="s">
        <v>6869</v>
      </c>
    </row>
    <row r="6390" spans="1:10">
      <c r="A6390" s="7" t="s">
        <v>8056</v>
      </c>
      <c r="B6390" s="1" t="s">
        <v>2628</v>
      </c>
      <c r="C6390" s="1">
        <v>5</v>
      </c>
      <c r="D6390" s="1" t="s">
        <v>34</v>
      </c>
      <c r="E6390" s="1" t="s">
        <v>10</v>
      </c>
      <c r="F6390" s="1" t="s">
        <v>5091</v>
      </c>
      <c r="G6390" s="1" t="s">
        <v>8051</v>
      </c>
      <c r="H6390" s="1" t="s">
        <v>43</v>
      </c>
      <c r="I6390" s="1" t="s">
        <v>4789</v>
      </c>
    </row>
    <row r="6391" spans="1:10">
      <c r="A6391" s="7" t="s">
        <v>8057</v>
      </c>
      <c r="B6391" s="1" t="s">
        <v>2628</v>
      </c>
      <c r="C6391" s="1">
        <v>5</v>
      </c>
      <c r="D6391" s="1" t="s">
        <v>34</v>
      </c>
      <c r="E6391" s="1" t="s">
        <v>10</v>
      </c>
      <c r="F6391" s="1" t="s">
        <v>5091</v>
      </c>
      <c r="G6391" s="1" t="s">
        <v>8051</v>
      </c>
      <c r="H6391" s="1" t="s">
        <v>43</v>
      </c>
      <c r="I6391" s="1" t="s">
        <v>4789</v>
      </c>
    </row>
    <row r="6392" spans="1:10">
      <c r="A6392" s="7" t="s">
        <v>8058</v>
      </c>
      <c r="B6392" s="1" t="s">
        <v>2628</v>
      </c>
      <c r="C6392" s="1">
        <v>5</v>
      </c>
      <c r="D6392" s="1" t="s">
        <v>34</v>
      </c>
      <c r="E6392" s="1" t="s">
        <v>10</v>
      </c>
      <c r="F6392" s="1" t="s">
        <v>5091</v>
      </c>
      <c r="G6392" s="1" t="s">
        <v>8051</v>
      </c>
      <c r="H6392" s="1" t="s">
        <v>43</v>
      </c>
      <c r="I6392" s="1" t="s">
        <v>4789</v>
      </c>
    </row>
    <row r="6393" spans="1:10">
      <c r="A6393" s="7" t="s">
        <v>8059</v>
      </c>
      <c r="B6393" s="1" t="s">
        <v>2628</v>
      </c>
      <c r="C6393" s="1">
        <v>5</v>
      </c>
      <c r="D6393" s="1" t="s">
        <v>34</v>
      </c>
      <c r="E6393" s="1" t="s">
        <v>10</v>
      </c>
      <c r="F6393" s="1" t="s">
        <v>5091</v>
      </c>
      <c r="G6393" s="1" t="s">
        <v>8051</v>
      </c>
      <c r="H6393" s="1" t="s">
        <v>43</v>
      </c>
      <c r="I6393" s="1" t="s">
        <v>5776</v>
      </c>
    </row>
    <row r="6394" spans="1:10">
      <c r="A6394" s="7" t="s">
        <v>8060</v>
      </c>
      <c r="B6394" s="1" t="s">
        <v>2628</v>
      </c>
      <c r="C6394" s="1">
        <v>5</v>
      </c>
      <c r="D6394" s="1" t="s">
        <v>34</v>
      </c>
      <c r="E6394" s="1" t="s">
        <v>10</v>
      </c>
      <c r="F6394" s="1" t="s">
        <v>5091</v>
      </c>
      <c r="G6394" s="1" t="s">
        <v>8055</v>
      </c>
      <c r="H6394" s="1" t="s">
        <v>5</v>
      </c>
      <c r="I6394" s="1" t="s">
        <v>5776</v>
      </c>
    </row>
    <row r="6395" spans="1:10">
      <c r="A6395" s="7" t="s">
        <v>8061</v>
      </c>
      <c r="B6395" s="1" t="s">
        <v>2628</v>
      </c>
      <c r="C6395" s="1">
        <v>5</v>
      </c>
      <c r="D6395" s="1" t="s">
        <v>34</v>
      </c>
      <c r="E6395" s="1" t="s">
        <v>10</v>
      </c>
      <c r="F6395" s="1" t="s">
        <v>5091</v>
      </c>
      <c r="G6395" s="1" t="s">
        <v>8051</v>
      </c>
      <c r="H6395" s="1" t="s">
        <v>43</v>
      </c>
      <c r="I6395" s="1" t="s">
        <v>5625</v>
      </c>
    </row>
    <row r="6396" spans="1:10">
      <c r="A6396" s="7" t="s">
        <v>8063</v>
      </c>
      <c r="B6396" s="1" t="s">
        <v>2628</v>
      </c>
      <c r="C6396" s="1">
        <v>5</v>
      </c>
      <c r="D6396" s="1" t="s">
        <v>34</v>
      </c>
      <c r="E6396" s="1" t="s">
        <v>10</v>
      </c>
      <c r="F6396" s="1" t="s">
        <v>5091</v>
      </c>
      <c r="G6396" s="1" t="s">
        <v>8051</v>
      </c>
      <c r="H6396" s="1" t="s">
        <v>43</v>
      </c>
      <c r="I6396" s="1" t="s">
        <v>5772</v>
      </c>
    </row>
    <row r="6397" spans="1:10">
      <c r="A6397" s="7" t="s">
        <v>8064</v>
      </c>
      <c r="B6397" s="1" t="s">
        <v>2628</v>
      </c>
      <c r="C6397" s="1">
        <v>5</v>
      </c>
      <c r="D6397" s="1" t="s">
        <v>34</v>
      </c>
      <c r="E6397" s="1" t="s">
        <v>10</v>
      </c>
      <c r="F6397" s="1" t="s">
        <v>5091</v>
      </c>
      <c r="G6397" s="1" t="s">
        <v>8051</v>
      </c>
      <c r="H6397" s="1" t="s">
        <v>43</v>
      </c>
      <c r="I6397" s="1" t="s">
        <v>5772</v>
      </c>
    </row>
    <row r="6398" spans="1:10">
      <c r="A6398" s="7" t="s">
        <v>8065</v>
      </c>
      <c r="B6398" s="1" t="s">
        <v>2628</v>
      </c>
      <c r="C6398" s="1">
        <v>5</v>
      </c>
      <c r="D6398" s="1" t="s">
        <v>34</v>
      </c>
      <c r="E6398" s="1" t="s">
        <v>10</v>
      </c>
      <c r="F6398" s="1" t="s">
        <v>5091</v>
      </c>
      <c r="G6398" s="1" t="s">
        <v>8066</v>
      </c>
      <c r="H6398" s="1" t="s">
        <v>5</v>
      </c>
      <c r="I6398" s="1" t="s">
        <v>5772</v>
      </c>
    </row>
    <row r="6399" spans="1:10">
      <c r="A6399" s="7" t="s">
        <v>8077</v>
      </c>
      <c r="B6399" s="1" t="s">
        <v>2628</v>
      </c>
      <c r="C6399" s="1">
        <v>5</v>
      </c>
      <c r="D6399" s="1" t="s">
        <v>34</v>
      </c>
      <c r="E6399" s="1" t="s">
        <v>10</v>
      </c>
      <c r="F6399" s="1" t="s">
        <v>118</v>
      </c>
      <c r="G6399" s="1" t="s">
        <v>7932</v>
      </c>
      <c r="H6399" s="1" t="s">
        <v>5</v>
      </c>
      <c r="I6399" s="1" t="s">
        <v>6090</v>
      </c>
      <c r="J6399" s="17"/>
    </row>
    <row r="6400" spans="1:10">
      <c r="A6400" s="7" t="s">
        <v>8085</v>
      </c>
      <c r="B6400" s="1" t="s">
        <v>2628</v>
      </c>
      <c r="C6400" s="1">
        <v>5</v>
      </c>
      <c r="D6400" s="1" t="s">
        <v>34</v>
      </c>
      <c r="E6400" s="1" t="s">
        <v>10</v>
      </c>
      <c r="F6400" s="1" t="s">
        <v>118</v>
      </c>
      <c r="G6400" s="1" t="s">
        <v>2565</v>
      </c>
      <c r="H6400" s="1" t="s">
        <v>5</v>
      </c>
      <c r="I6400" s="1" t="s">
        <v>6090</v>
      </c>
      <c r="J6400" s="17"/>
    </row>
    <row r="6401" spans="1:10">
      <c r="A6401" s="7" t="s">
        <v>8097</v>
      </c>
      <c r="B6401" s="1" t="s">
        <v>2628</v>
      </c>
      <c r="C6401" s="1">
        <v>5</v>
      </c>
      <c r="D6401" s="1" t="s">
        <v>34</v>
      </c>
      <c r="E6401" s="1" t="s">
        <v>10</v>
      </c>
      <c r="F6401" s="1" t="s">
        <v>2691</v>
      </c>
      <c r="G6401" s="1" t="s">
        <v>8098</v>
      </c>
      <c r="H6401" s="1" t="s">
        <v>43</v>
      </c>
      <c r="I6401" s="1" t="s">
        <v>5801</v>
      </c>
    </row>
    <row r="6402" spans="1:10">
      <c r="A6402" s="16" t="s">
        <v>8135</v>
      </c>
      <c r="B6402" s="1" t="s">
        <v>2628</v>
      </c>
      <c r="C6402" s="1">
        <v>5</v>
      </c>
      <c r="D6402" s="1" t="s">
        <v>34</v>
      </c>
      <c r="E6402" s="1" t="s">
        <v>10</v>
      </c>
      <c r="F6402" s="1" t="s">
        <v>5091</v>
      </c>
      <c r="G6402" s="14" t="s">
        <v>8136</v>
      </c>
      <c r="H6402" s="1" t="s">
        <v>5</v>
      </c>
      <c r="I6402" s="17">
        <v>41669</v>
      </c>
    </row>
    <row r="6403" spans="1:10">
      <c r="A6403" s="16" t="s">
        <v>8140</v>
      </c>
      <c r="B6403" s="1" t="s">
        <v>2628</v>
      </c>
      <c r="C6403" s="1">
        <v>5</v>
      </c>
      <c r="D6403" s="1" t="s">
        <v>34</v>
      </c>
      <c r="E6403" s="1" t="s">
        <v>10</v>
      </c>
      <c r="F6403" s="1" t="s">
        <v>5091</v>
      </c>
      <c r="G6403" s="14" t="s">
        <v>8141</v>
      </c>
      <c r="H6403" s="1" t="s">
        <v>5</v>
      </c>
      <c r="I6403" s="17">
        <v>41744</v>
      </c>
    </row>
    <row r="6404" spans="1:10">
      <c r="A6404" s="7" t="s">
        <v>8152</v>
      </c>
      <c r="B6404" s="1" t="s">
        <v>2628</v>
      </c>
      <c r="C6404" s="1">
        <v>5</v>
      </c>
      <c r="D6404" s="1" t="s">
        <v>34</v>
      </c>
      <c r="E6404" s="1" t="s">
        <v>10</v>
      </c>
      <c r="F6404" s="1" t="s">
        <v>5091</v>
      </c>
      <c r="G6404" s="1" t="s">
        <v>8153</v>
      </c>
      <c r="H6404" s="1" t="s">
        <v>43</v>
      </c>
      <c r="I6404" s="1">
        <v>2004</v>
      </c>
    </row>
    <row r="6405" spans="1:10">
      <c r="A6405" s="7" t="s">
        <v>8154</v>
      </c>
      <c r="B6405" s="1" t="s">
        <v>2628</v>
      </c>
      <c r="C6405" s="1">
        <v>5</v>
      </c>
      <c r="D6405" s="1" t="s">
        <v>34</v>
      </c>
      <c r="E6405" s="1" t="s">
        <v>10</v>
      </c>
      <c r="F6405" s="1" t="s">
        <v>5091</v>
      </c>
      <c r="G6405" s="1" t="s">
        <v>8155</v>
      </c>
      <c r="H6405" s="1" t="s">
        <v>43</v>
      </c>
      <c r="I6405" s="1">
        <v>2003</v>
      </c>
    </row>
    <row r="6406" spans="1:10">
      <c r="A6406" s="7" t="s">
        <v>8158</v>
      </c>
      <c r="B6406" s="1" t="s">
        <v>2628</v>
      </c>
      <c r="C6406" s="1">
        <v>5</v>
      </c>
      <c r="D6406" s="1" t="s">
        <v>34</v>
      </c>
      <c r="E6406" s="1" t="s">
        <v>10</v>
      </c>
      <c r="F6406" s="1" t="s">
        <v>5091</v>
      </c>
      <c r="G6406" s="1" t="s">
        <v>8159</v>
      </c>
      <c r="H6406" s="1" t="s">
        <v>43</v>
      </c>
      <c r="I6406" s="1">
        <v>2004</v>
      </c>
    </row>
    <row r="6407" spans="1:10">
      <c r="A6407" s="7" t="s">
        <v>8162</v>
      </c>
      <c r="B6407" s="1" t="s">
        <v>2628</v>
      </c>
      <c r="C6407" s="1">
        <v>5</v>
      </c>
      <c r="D6407" s="1" t="s">
        <v>34</v>
      </c>
      <c r="E6407" s="1" t="s">
        <v>10</v>
      </c>
      <c r="F6407" s="1" t="s">
        <v>5091</v>
      </c>
      <c r="G6407" s="1" t="s">
        <v>8157</v>
      </c>
      <c r="H6407" s="1" t="s">
        <v>43</v>
      </c>
      <c r="I6407" s="1">
        <v>2005</v>
      </c>
    </row>
    <row r="6408" spans="1:10">
      <c r="A6408" s="7" t="s">
        <v>8163</v>
      </c>
      <c r="B6408" s="1" t="s">
        <v>2628</v>
      </c>
      <c r="C6408" s="1">
        <v>5</v>
      </c>
      <c r="D6408" s="1" t="s">
        <v>34</v>
      </c>
      <c r="E6408" s="1" t="s">
        <v>10</v>
      </c>
      <c r="F6408" s="1" t="s">
        <v>5091</v>
      </c>
      <c r="G6408" s="1" t="s">
        <v>8164</v>
      </c>
      <c r="H6408" s="1" t="s">
        <v>43</v>
      </c>
      <c r="I6408" s="1">
        <v>2003</v>
      </c>
    </row>
    <row r="6409" spans="1:10">
      <c r="A6409" s="7" t="s">
        <v>8168</v>
      </c>
      <c r="B6409" s="1" t="s">
        <v>2628</v>
      </c>
      <c r="C6409" s="1">
        <v>5</v>
      </c>
      <c r="D6409" s="1" t="s">
        <v>34</v>
      </c>
      <c r="E6409" s="1" t="s">
        <v>10</v>
      </c>
      <c r="F6409" s="1" t="s">
        <v>5091</v>
      </c>
      <c r="G6409" s="1" t="s">
        <v>8169</v>
      </c>
      <c r="H6409" s="1" t="s">
        <v>43</v>
      </c>
      <c r="I6409" s="1">
        <v>2004</v>
      </c>
    </row>
    <row r="6410" spans="1:10">
      <c r="A6410" s="7" t="s">
        <v>8170</v>
      </c>
      <c r="B6410" s="1" t="s">
        <v>2628</v>
      </c>
      <c r="C6410" s="1">
        <v>5</v>
      </c>
      <c r="D6410" s="1" t="s">
        <v>34</v>
      </c>
      <c r="E6410" s="1" t="s">
        <v>10</v>
      </c>
      <c r="F6410" s="1" t="s">
        <v>5091</v>
      </c>
      <c r="G6410" s="1" t="s">
        <v>8157</v>
      </c>
      <c r="H6410" s="1" t="s">
        <v>43</v>
      </c>
      <c r="I6410" s="1">
        <v>2004</v>
      </c>
    </row>
    <row r="6411" spans="1:10">
      <c r="A6411" s="16" t="s">
        <v>8172</v>
      </c>
      <c r="B6411" s="1" t="s">
        <v>2628</v>
      </c>
      <c r="C6411" s="1">
        <v>5</v>
      </c>
      <c r="D6411" s="1" t="s">
        <v>34</v>
      </c>
      <c r="E6411" s="1" t="s">
        <v>10</v>
      </c>
      <c r="F6411" s="1" t="s">
        <v>5091</v>
      </c>
      <c r="G6411" s="14" t="s">
        <v>4458</v>
      </c>
      <c r="H6411" s="1" t="s">
        <v>118</v>
      </c>
      <c r="I6411" s="1" t="s">
        <v>4458</v>
      </c>
    </row>
    <row r="6412" spans="1:10">
      <c r="A6412" s="7" t="s">
        <v>8179</v>
      </c>
      <c r="B6412" s="1" t="s">
        <v>2628</v>
      </c>
      <c r="C6412" s="1">
        <v>5</v>
      </c>
      <c r="D6412" s="1" t="s">
        <v>34</v>
      </c>
      <c r="E6412" s="1" t="s">
        <v>10</v>
      </c>
      <c r="F6412" s="1" t="s">
        <v>5091</v>
      </c>
      <c r="G6412" s="1" t="s">
        <v>6181</v>
      </c>
      <c r="H6412" s="1" t="s">
        <v>118</v>
      </c>
      <c r="I6412" s="1" t="s">
        <v>4458</v>
      </c>
    </row>
    <row r="6413" spans="1:10">
      <c r="A6413" s="7" t="s">
        <v>8180</v>
      </c>
      <c r="B6413" s="1" t="s">
        <v>2628</v>
      </c>
      <c r="C6413" s="1">
        <v>5</v>
      </c>
      <c r="D6413" s="1" t="s">
        <v>34</v>
      </c>
      <c r="E6413" s="1" t="s">
        <v>10</v>
      </c>
      <c r="F6413" s="1" t="s">
        <v>5091</v>
      </c>
      <c r="G6413" s="1" t="s">
        <v>6139</v>
      </c>
      <c r="H6413" s="1" t="s">
        <v>43</v>
      </c>
      <c r="I6413" s="1" t="s">
        <v>8096</v>
      </c>
      <c r="J6413" s="17"/>
    </row>
    <row r="6414" spans="1:10">
      <c r="A6414" s="7" t="s">
        <v>8181</v>
      </c>
      <c r="B6414" s="1" t="s">
        <v>2628</v>
      </c>
      <c r="C6414" s="1">
        <v>5</v>
      </c>
      <c r="D6414" s="1" t="s">
        <v>34</v>
      </c>
      <c r="E6414" s="1" t="s">
        <v>10</v>
      </c>
      <c r="F6414" s="1" t="s">
        <v>5091</v>
      </c>
      <c r="G6414" s="1" t="s">
        <v>6139</v>
      </c>
      <c r="H6414" s="1" t="s">
        <v>43</v>
      </c>
      <c r="I6414" s="1" t="s">
        <v>8096</v>
      </c>
      <c r="J6414" s="1"/>
    </row>
    <row r="6415" spans="1:10">
      <c r="A6415" s="7" t="s">
        <v>8189</v>
      </c>
      <c r="B6415" s="1" t="s">
        <v>2628</v>
      </c>
      <c r="C6415" s="1">
        <v>5</v>
      </c>
      <c r="D6415" s="1" t="s">
        <v>34</v>
      </c>
      <c r="E6415" s="1" t="s">
        <v>10</v>
      </c>
      <c r="F6415" s="1" t="s">
        <v>5091</v>
      </c>
      <c r="G6415" s="1" t="s">
        <v>6145</v>
      </c>
      <c r="H6415" s="1" t="s">
        <v>43</v>
      </c>
      <c r="I6415" s="1" t="s">
        <v>5798</v>
      </c>
    </row>
    <row r="6416" spans="1:10">
      <c r="A6416" s="7" t="s">
        <v>8195</v>
      </c>
      <c r="B6416" s="1" t="s">
        <v>2628</v>
      </c>
      <c r="C6416" s="1">
        <v>5</v>
      </c>
      <c r="D6416" s="1" t="s">
        <v>34</v>
      </c>
      <c r="E6416" s="1" t="s">
        <v>10</v>
      </c>
      <c r="F6416" s="1" t="s">
        <v>5091</v>
      </c>
      <c r="G6416" s="1" t="s">
        <v>6236</v>
      </c>
      <c r="H6416" s="1" t="s">
        <v>43</v>
      </c>
      <c r="I6416" s="1" t="s">
        <v>8096</v>
      </c>
      <c r="J6416" s="17"/>
    </row>
    <row r="6417" spans="1:10">
      <c r="A6417" s="7" t="s">
        <v>8206</v>
      </c>
      <c r="B6417" s="1" t="s">
        <v>2628</v>
      </c>
      <c r="C6417" s="1">
        <v>5</v>
      </c>
      <c r="D6417" s="1" t="s">
        <v>34</v>
      </c>
      <c r="E6417" s="1" t="s">
        <v>10</v>
      </c>
      <c r="F6417" s="1" t="s">
        <v>5303</v>
      </c>
      <c r="G6417" s="1" t="s">
        <v>8207</v>
      </c>
      <c r="H6417" s="1" t="s">
        <v>5</v>
      </c>
      <c r="I6417" s="1" t="s">
        <v>8096</v>
      </c>
      <c r="J6417" s="1"/>
    </row>
    <row r="6418" spans="1:10">
      <c r="A6418" s="7" t="s">
        <v>8208</v>
      </c>
      <c r="B6418" s="1" t="s">
        <v>2628</v>
      </c>
      <c r="C6418" s="1">
        <v>5</v>
      </c>
      <c r="D6418" s="1" t="s">
        <v>34</v>
      </c>
      <c r="E6418" s="1" t="s">
        <v>10</v>
      </c>
      <c r="F6418" s="1" t="s">
        <v>5303</v>
      </c>
      <c r="G6418" s="1" t="s">
        <v>8207</v>
      </c>
      <c r="H6418" s="1" t="s">
        <v>5</v>
      </c>
      <c r="I6418" s="1" t="s">
        <v>8096</v>
      </c>
      <c r="J6418" s="1"/>
    </row>
    <row r="6419" spans="1:10">
      <c r="A6419" s="7" t="s">
        <v>8227</v>
      </c>
      <c r="B6419" s="1" t="s">
        <v>2628</v>
      </c>
      <c r="C6419" s="1">
        <v>5</v>
      </c>
      <c r="D6419" s="1" t="s">
        <v>34</v>
      </c>
      <c r="E6419" s="1" t="s">
        <v>10</v>
      </c>
      <c r="F6419" s="1" t="s">
        <v>118</v>
      </c>
      <c r="G6419" s="1" t="s">
        <v>6530</v>
      </c>
      <c r="H6419" s="1" t="s">
        <v>43</v>
      </c>
      <c r="I6419" s="1" t="s">
        <v>5642</v>
      </c>
    </row>
    <row r="6420" spans="1:10">
      <c r="A6420" s="7" t="s">
        <v>8268</v>
      </c>
      <c r="B6420" s="1" t="s">
        <v>2628</v>
      </c>
      <c r="C6420" s="1">
        <v>5</v>
      </c>
      <c r="D6420" s="1" t="s">
        <v>34</v>
      </c>
      <c r="E6420" s="1" t="s">
        <v>10</v>
      </c>
      <c r="F6420" s="1" t="s">
        <v>2701</v>
      </c>
      <c r="G6420" s="1" t="s">
        <v>8269</v>
      </c>
      <c r="H6420" s="1" t="s">
        <v>5</v>
      </c>
      <c r="I6420" s="1">
        <v>2014</v>
      </c>
    </row>
    <row r="6421" spans="1:10">
      <c r="A6421" s="7" t="s">
        <v>8278</v>
      </c>
      <c r="B6421" s="1" t="s">
        <v>2628</v>
      </c>
      <c r="C6421" s="1">
        <v>5</v>
      </c>
      <c r="D6421" s="1" t="s">
        <v>34</v>
      </c>
      <c r="E6421" s="1" t="s">
        <v>10</v>
      </c>
      <c r="F6421" s="1" t="s">
        <v>2701</v>
      </c>
      <c r="G6421" s="1" t="s">
        <v>8279</v>
      </c>
      <c r="H6421" s="1" t="s">
        <v>43</v>
      </c>
      <c r="I6421" s="1" t="s">
        <v>5722</v>
      </c>
    </row>
    <row r="6422" spans="1:10">
      <c r="A6422" s="7" t="s">
        <v>8319</v>
      </c>
      <c r="B6422" s="1" t="s">
        <v>2628</v>
      </c>
      <c r="C6422" s="1">
        <v>820</v>
      </c>
      <c r="D6422" s="1" t="s">
        <v>34</v>
      </c>
      <c r="E6422" s="1" t="s">
        <v>10</v>
      </c>
      <c r="F6422" s="1" t="s">
        <v>2701</v>
      </c>
      <c r="G6422" s="1" t="s">
        <v>8320</v>
      </c>
      <c r="H6422" s="1" t="s">
        <v>43</v>
      </c>
      <c r="I6422" s="1">
        <v>2014</v>
      </c>
    </row>
    <row r="6423" spans="1:10">
      <c r="A6423" s="7" t="s">
        <v>8325</v>
      </c>
      <c r="B6423" s="1" t="s">
        <v>2628</v>
      </c>
      <c r="C6423" s="1">
        <v>5</v>
      </c>
      <c r="D6423" s="1" t="s">
        <v>34</v>
      </c>
      <c r="E6423" s="1" t="s">
        <v>10</v>
      </c>
      <c r="F6423" s="1" t="s">
        <v>2701</v>
      </c>
      <c r="G6423" s="1" t="s">
        <v>8326</v>
      </c>
      <c r="H6423" s="1" t="s">
        <v>43</v>
      </c>
      <c r="I6423" s="1">
        <v>2014</v>
      </c>
    </row>
    <row r="6424" spans="1:10">
      <c r="A6424" s="7" t="s">
        <v>8327</v>
      </c>
      <c r="B6424" s="1" t="s">
        <v>2628</v>
      </c>
      <c r="C6424" s="1">
        <v>820</v>
      </c>
      <c r="D6424" s="1" t="s">
        <v>34</v>
      </c>
      <c r="E6424" s="1" t="s">
        <v>10</v>
      </c>
      <c r="F6424" s="1" t="s">
        <v>2701</v>
      </c>
      <c r="G6424" s="1" t="s">
        <v>8328</v>
      </c>
      <c r="H6424" s="1" t="s">
        <v>43</v>
      </c>
      <c r="I6424" s="1">
        <v>2016</v>
      </c>
    </row>
    <row r="6425" spans="1:10">
      <c r="A6425" s="7" t="s">
        <v>8331</v>
      </c>
      <c r="B6425" s="1" t="s">
        <v>2628</v>
      </c>
      <c r="C6425" s="1">
        <v>820</v>
      </c>
      <c r="D6425" s="1" t="s">
        <v>34</v>
      </c>
      <c r="E6425" s="1" t="s">
        <v>10</v>
      </c>
      <c r="F6425" s="1" t="s">
        <v>2701</v>
      </c>
      <c r="G6425" s="1" t="s">
        <v>8332</v>
      </c>
      <c r="H6425" s="1" t="s">
        <v>43</v>
      </c>
      <c r="I6425" s="1">
        <v>2016</v>
      </c>
    </row>
    <row r="6426" spans="1:10">
      <c r="A6426" s="7" t="s">
        <v>8359</v>
      </c>
      <c r="B6426" s="1" t="s">
        <v>2628</v>
      </c>
      <c r="C6426" s="1">
        <v>5</v>
      </c>
      <c r="D6426" s="1" t="s">
        <v>34</v>
      </c>
      <c r="E6426" s="1" t="s">
        <v>10</v>
      </c>
      <c r="F6426" s="1" t="s">
        <v>5091</v>
      </c>
      <c r="G6426" s="1" t="s">
        <v>6236</v>
      </c>
      <c r="H6426" s="1" t="s">
        <v>43</v>
      </c>
      <c r="I6426" s="1" t="s">
        <v>8096</v>
      </c>
      <c r="J6426" s="17"/>
    </row>
    <row r="6427" spans="1:10">
      <c r="A6427" s="7" t="s">
        <v>8366</v>
      </c>
      <c r="B6427" s="1" t="s">
        <v>2628</v>
      </c>
      <c r="C6427" s="1">
        <v>5</v>
      </c>
      <c r="D6427" s="1" t="s">
        <v>34</v>
      </c>
      <c r="E6427" s="1" t="s">
        <v>10</v>
      </c>
      <c r="F6427" s="1" t="s">
        <v>5091</v>
      </c>
      <c r="G6427" s="1" t="s">
        <v>6530</v>
      </c>
      <c r="H6427" s="1" t="s">
        <v>43</v>
      </c>
      <c r="I6427" s="1">
        <v>2006</v>
      </c>
    </row>
    <row r="6428" spans="1:10">
      <c r="A6428" s="7" t="s">
        <v>8368</v>
      </c>
      <c r="B6428" s="1" t="s">
        <v>2628</v>
      </c>
      <c r="C6428" s="1">
        <v>5</v>
      </c>
      <c r="D6428" s="1" t="s">
        <v>34</v>
      </c>
      <c r="E6428" s="1" t="s">
        <v>10</v>
      </c>
      <c r="F6428" s="1" t="s">
        <v>5091</v>
      </c>
      <c r="G6428" s="1" t="s">
        <v>6530</v>
      </c>
      <c r="H6428" s="1" t="s">
        <v>43</v>
      </c>
      <c r="I6428" s="1">
        <v>2006</v>
      </c>
    </row>
    <row r="6429" spans="1:10">
      <c r="A6429" s="7" t="s">
        <v>8369</v>
      </c>
      <c r="B6429" s="1" t="s">
        <v>2628</v>
      </c>
      <c r="C6429" s="1">
        <v>5</v>
      </c>
      <c r="D6429" s="1" t="s">
        <v>34</v>
      </c>
      <c r="E6429" s="1" t="s">
        <v>10</v>
      </c>
      <c r="F6429" s="1" t="s">
        <v>5091</v>
      </c>
      <c r="G6429" s="1" t="s">
        <v>6530</v>
      </c>
      <c r="H6429" s="1" t="s">
        <v>43</v>
      </c>
      <c r="I6429" s="1">
        <v>2006</v>
      </c>
    </row>
    <row r="6430" spans="1:10">
      <c r="A6430" s="7" t="s">
        <v>8371</v>
      </c>
      <c r="B6430" s="1" t="s">
        <v>2628</v>
      </c>
      <c r="C6430" s="1">
        <v>5</v>
      </c>
      <c r="D6430" s="1" t="s">
        <v>34</v>
      </c>
      <c r="E6430" s="1" t="s">
        <v>10</v>
      </c>
      <c r="F6430" s="1" t="s">
        <v>5091</v>
      </c>
      <c r="G6430" s="1" t="s">
        <v>6530</v>
      </c>
      <c r="H6430" s="1" t="s">
        <v>43</v>
      </c>
      <c r="I6430" s="1">
        <v>2006</v>
      </c>
    </row>
    <row r="6431" spans="1:10">
      <c r="A6431" s="7" t="s">
        <v>8374</v>
      </c>
      <c r="B6431" s="1" t="s">
        <v>2628</v>
      </c>
      <c r="C6431" s="2">
        <v>5</v>
      </c>
      <c r="D6431" s="2" t="s">
        <v>34</v>
      </c>
      <c r="E6431" s="2" t="s">
        <v>10</v>
      </c>
      <c r="F6431" s="2" t="s">
        <v>5091</v>
      </c>
      <c r="G6431" s="2" t="s">
        <v>6530</v>
      </c>
      <c r="H6431" s="1" t="s">
        <v>43</v>
      </c>
      <c r="I6431" s="2">
        <v>2006</v>
      </c>
    </row>
    <row r="6432" spans="1:10">
      <c r="A6432" s="7" t="s">
        <v>8377</v>
      </c>
      <c r="B6432" s="1" t="s">
        <v>2628</v>
      </c>
      <c r="C6432" s="1">
        <v>5</v>
      </c>
      <c r="D6432" s="1" t="s">
        <v>34</v>
      </c>
      <c r="E6432" s="1" t="s">
        <v>10</v>
      </c>
      <c r="F6432" s="1" t="s">
        <v>5091</v>
      </c>
      <c r="G6432" s="1" t="s">
        <v>8378</v>
      </c>
      <c r="H6432" s="1" t="s">
        <v>5</v>
      </c>
      <c r="I6432" s="1">
        <v>2011</v>
      </c>
    </row>
    <row r="6433" spans="1:9">
      <c r="A6433" s="16" t="s">
        <v>8380</v>
      </c>
      <c r="B6433" s="1" t="s">
        <v>2628</v>
      </c>
      <c r="C6433" s="1">
        <v>5</v>
      </c>
      <c r="D6433" s="1" t="s">
        <v>34</v>
      </c>
      <c r="E6433" s="1" t="s">
        <v>10</v>
      </c>
      <c r="F6433" s="1" t="s">
        <v>5091</v>
      </c>
      <c r="G6433" s="14" t="s">
        <v>8381</v>
      </c>
      <c r="H6433" s="1" t="s">
        <v>5</v>
      </c>
      <c r="I6433" s="17">
        <v>41640</v>
      </c>
    </row>
    <row r="6434" spans="1:9">
      <c r="A6434" s="16" t="s">
        <v>8392</v>
      </c>
      <c r="B6434" s="1" t="s">
        <v>2628</v>
      </c>
      <c r="C6434" s="1">
        <v>5</v>
      </c>
      <c r="D6434" s="1" t="s">
        <v>34</v>
      </c>
      <c r="E6434" s="1" t="s">
        <v>10</v>
      </c>
      <c r="F6434" s="1" t="s">
        <v>5091</v>
      </c>
      <c r="G6434" s="14" t="s">
        <v>6236</v>
      </c>
      <c r="H6434" s="1" t="s">
        <v>43</v>
      </c>
      <c r="I6434" s="17">
        <v>41275</v>
      </c>
    </row>
    <row r="6435" spans="1:9">
      <c r="A6435" s="16" t="s">
        <v>8407</v>
      </c>
      <c r="B6435" s="1" t="s">
        <v>2628</v>
      </c>
      <c r="C6435" s="1">
        <v>5</v>
      </c>
      <c r="D6435" s="1" t="s">
        <v>34</v>
      </c>
      <c r="E6435" s="1" t="s">
        <v>10</v>
      </c>
      <c r="F6435" s="1" t="s">
        <v>5091</v>
      </c>
      <c r="G6435" s="14" t="s">
        <v>8125</v>
      </c>
      <c r="H6435" s="1" t="s">
        <v>43</v>
      </c>
      <c r="I6435" s="17">
        <v>41275</v>
      </c>
    </row>
    <row r="6436" spans="1:9">
      <c r="A6436" s="16" t="s">
        <v>8408</v>
      </c>
      <c r="B6436" s="1" t="s">
        <v>2628</v>
      </c>
      <c r="C6436" s="1">
        <v>1095</v>
      </c>
      <c r="D6436" s="1" t="s">
        <v>34</v>
      </c>
      <c r="E6436" s="1" t="s">
        <v>10</v>
      </c>
      <c r="F6436" s="1" t="s">
        <v>5091</v>
      </c>
      <c r="G6436" s="14" t="s">
        <v>6236</v>
      </c>
      <c r="H6436" s="1" t="s">
        <v>43</v>
      </c>
      <c r="I6436" s="17">
        <v>41275</v>
      </c>
    </row>
    <row r="6437" spans="1:9">
      <c r="A6437" s="16" t="s">
        <v>8422</v>
      </c>
      <c r="B6437" s="1" t="s">
        <v>2628</v>
      </c>
      <c r="C6437" s="1">
        <v>5</v>
      </c>
      <c r="D6437" s="1" t="s">
        <v>34</v>
      </c>
      <c r="E6437" s="1" t="s">
        <v>10</v>
      </c>
      <c r="F6437" s="1" t="s">
        <v>5091</v>
      </c>
      <c r="G6437" s="14" t="s">
        <v>8423</v>
      </c>
      <c r="H6437" s="1" t="s">
        <v>5</v>
      </c>
      <c r="I6437" s="17">
        <v>41275</v>
      </c>
    </row>
    <row r="6438" spans="1:9">
      <c r="A6438" s="16" t="s">
        <v>8474</v>
      </c>
      <c r="B6438" s="1" t="s">
        <v>2628</v>
      </c>
      <c r="C6438" s="1">
        <v>5</v>
      </c>
      <c r="D6438" s="1" t="s">
        <v>34</v>
      </c>
      <c r="E6438" s="1" t="s">
        <v>10</v>
      </c>
      <c r="F6438" s="1" t="s">
        <v>5091</v>
      </c>
      <c r="G6438" s="14" t="s">
        <v>6145</v>
      </c>
      <c r="H6438" s="1" t="s">
        <v>43</v>
      </c>
      <c r="I6438" s="17">
        <v>41591</v>
      </c>
    </row>
    <row r="6439" spans="1:9">
      <c r="A6439" s="16" t="s">
        <v>8477</v>
      </c>
      <c r="B6439" s="1" t="s">
        <v>2628</v>
      </c>
      <c r="C6439" s="1">
        <v>5</v>
      </c>
      <c r="D6439" s="1" t="s">
        <v>34</v>
      </c>
      <c r="E6439" s="1" t="s">
        <v>10</v>
      </c>
      <c r="F6439" s="1" t="s">
        <v>5091</v>
      </c>
      <c r="G6439" s="14" t="s">
        <v>6145</v>
      </c>
      <c r="H6439" s="1" t="s">
        <v>43</v>
      </c>
      <c r="I6439" s="17">
        <v>41591</v>
      </c>
    </row>
    <row r="6440" spans="1:9">
      <c r="A6440" s="16" t="s">
        <v>8479</v>
      </c>
      <c r="B6440" s="1" t="s">
        <v>2628</v>
      </c>
      <c r="C6440" s="1">
        <v>5</v>
      </c>
      <c r="D6440" s="1" t="s">
        <v>34</v>
      </c>
      <c r="E6440" s="1" t="s">
        <v>10</v>
      </c>
      <c r="F6440" s="1" t="s">
        <v>5091</v>
      </c>
      <c r="G6440" s="14" t="s">
        <v>6145</v>
      </c>
      <c r="H6440" s="1" t="s">
        <v>43</v>
      </c>
      <c r="I6440" s="17">
        <v>41591</v>
      </c>
    </row>
    <row r="6441" spans="1:9">
      <c r="A6441" s="16" t="s">
        <v>8486</v>
      </c>
      <c r="B6441" s="1" t="s">
        <v>2628</v>
      </c>
      <c r="C6441" s="1">
        <v>5</v>
      </c>
      <c r="D6441" s="1" t="s">
        <v>34</v>
      </c>
      <c r="E6441" s="1" t="s">
        <v>10</v>
      </c>
      <c r="F6441" s="1" t="s">
        <v>5091</v>
      </c>
      <c r="G6441" s="14" t="s">
        <v>8487</v>
      </c>
      <c r="H6441" s="1" t="s">
        <v>43</v>
      </c>
      <c r="I6441" s="17">
        <v>41806</v>
      </c>
    </row>
    <row r="6442" spans="1:9">
      <c r="A6442" s="16" t="s">
        <v>8503</v>
      </c>
      <c r="B6442" s="1" t="s">
        <v>2628</v>
      </c>
      <c r="C6442" s="1">
        <v>5</v>
      </c>
      <c r="D6442" s="1" t="s">
        <v>34</v>
      </c>
      <c r="E6442" s="1" t="s">
        <v>10</v>
      </c>
      <c r="F6442" s="1" t="s">
        <v>5091</v>
      </c>
      <c r="G6442" s="14" t="s">
        <v>8504</v>
      </c>
      <c r="H6442" s="1" t="s">
        <v>43</v>
      </c>
      <c r="I6442" s="17">
        <v>40926</v>
      </c>
    </row>
    <row r="6443" spans="1:9">
      <c r="A6443" s="16" t="s">
        <v>8518</v>
      </c>
      <c r="B6443" s="1" t="s">
        <v>2628</v>
      </c>
      <c r="C6443" s="1">
        <v>5</v>
      </c>
      <c r="D6443" s="1" t="s">
        <v>34</v>
      </c>
      <c r="E6443" s="1" t="s">
        <v>10</v>
      </c>
      <c r="F6443" s="1" t="s">
        <v>5091</v>
      </c>
      <c r="G6443" s="14" t="s">
        <v>8519</v>
      </c>
      <c r="H6443" s="1" t="s">
        <v>5</v>
      </c>
      <c r="I6443" s="17">
        <v>41806</v>
      </c>
    </row>
    <row r="6444" spans="1:9">
      <c r="A6444" s="16" t="s">
        <v>8526</v>
      </c>
      <c r="B6444" s="1" t="s">
        <v>2628</v>
      </c>
      <c r="C6444" s="1">
        <v>5</v>
      </c>
      <c r="D6444" s="1" t="s">
        <v>34</v>
      </c>
      <c r="E6444" s="1" t="s">
        <v>10</v>
      </c>
      <c r="F6444" s="1" t="s">
        <v>5091</v>
      </c>
      <c r="G6444" s="14" t="s">
        <v>8527</v>
      </c>
      <c r="H6444" s="1" t="s">
        <v>5</v>
      </c>
      <c r="I6444" s="17">
        <v>40878</v>
      </c>
    </row>
    <row r="6445" spans="1:9">
      <c r="A6445" s="16" t="s">
        <v>8545</v>
      </c>
      <c r="B6445" s="1" t="s">
        <v>2628</v>
      </c>
      <c r="C6445" s="1">
        <v>5</v>
      </c>
      <c r="D6445" s="1" t="s">
        <v>34</v>
      </c>
      <c r="E6445" s="1" t="s">
        <v>10</v>
      </c>
      <c r="F6445" s="1" t="s">
        <v>5091</v>
      </c>
      <c r="G6445" s="14" t="s">
        <v>6236</v>
      </c>
      <c r="H6445" s="1" t="s">
        <v>43</v>
      </c>
      <c r="I6445" s="17">
        <v>41640</v>
      </c>
    </row>
    <row r="6446" spans="1:9">
      <c r="A6446" s="16" t="s">
        <v>8560</v>
      </c>
      <c r="B6446" s="1" t="s">
        <v>2628</v>
      </c>
      <c r="C6446" s="1">
        <v>5</v>
      </c>
      <c r="D6446" s="1" t="s">
        <v>34</v>
      </c>
      <c r="E6446" s="1" t="s">
        <v>10</v>
      </c>
      <c r="F6446" s="1" t="s">
        <v>5091</v>
      </c>
      <c r="G6446" s="14" t="s">
        <v>8561</v>
      </c>
      <c r="H6446" s="1" t="s">
        <v>43</v>
      </c>
      <c r="I6446" s="17">
        <v>40926</v>
      </c>
    </row>
    <row r="6447" spans="1:9">
      <c r="A6447" s="16" t="s">
        <v>8568</v>
      </c>
      <c r="B6447" s="1" t="s">
        <v>2628</v>
      </c>
      <c r="C6447" s="1">
        <v>5</v>
      </c>
      <c r="D6447" s="1" t="s">
        <v>34</v>
      </c>
      <c r="E6447" s="1" t="s">
        <v>10</v>
      </c>
      <c r="F6447" s="1" t="s">
        <v>5091</v>
      </c>
      <c r="G6447" s="14" t="s">
        <v>2399</v>
      </c>
      <c r="H6447" s="1" t="s">
        <v>43</v>
      </c>
      <c r="I6447" s="17">
        <v>40926</v>
      </c>
    </row>
    <row r="6448" spans="1:9">
      <c r="A6448" s="16" t="s">
        <v>8569</v>
      </c>
      <c r="B6448" s="1" t="s">
        <v>2628</v>
      </c>
      <c r="C6448" s="1">
        <v>5</v>
      </c>
      <c r="D6448" s="1" t="s">
        <v>34</v>
      </c>
      <c r="E6448" s="1" t="s">
        <v>10</v>
      </c>
      <c r="F6448" s="1" t="s">
        <v>5091</v>
      </c>
      <c r="G6448" s="14" t="s">
        <v>7619</v>
      </c>
      <c r="H6448" s="1" t="s">
        <v>43</v>
      </c>
      <c r="I6448" s="17">
        <v>40926</v>
      </c>
    </row>
    <row r="6449" spans="1:9">
      <c r="A6449" s="16" t="s">
        <v>8570</v>
      </c>
      <c r="B6449" s="1" t="s">
        <v>2628</v>
      </c>
      <c r="C6449" s="1">
        <v>5</v>
      </c>
      <c r="D6449" s="1" t="s">
        <v>34</v>
      </c>
      <c r="E6449" s="1" t="s">
        <v>10</v>
      </c>
      <c r="F6449" s="1" t="s">
        <v>5091</v>
      </c>
      <c r="G6449" s="14" t="s">
        <v>8571</v>
      </c>
      <c r="H6449" s="1" t="s">
        <v>43</v>
      </c>
      <c r="I6449" s="17">
        <v>40926</v>
      </c>
    </row>
    <row r="6450" spans="1:9">
      <c r="A6450" s="16" t="s">
        <v>8580</v>
      </c>
      <c r="B6450" s="1" t="s">
        <v>2628</v>
      </c>
      <c r="C6450" s="1">
        <v>5</v>
      </c>
      <c r="D6450" s="1" t="s">
        <v>34</v>
      </c>
      <c r="E6450" s="1" t="s">
        <v>10</v>
      </c>
      <c r="F6450" s="1" t="s">
        <v>5091</v>
      </c>
      <c r="G6450" s="14" t="s">
        <v>4458</v>
      </c>
      <c r="H6450" s="1" t="s">
        <v>118</v>
      </c>
      <c r="I6450" s="1" t="s">
        <v>4458</v>
      </c>
    </row>
    <row r="6451" spans="1:9">
      <c r="A6451" s="16" t="s">
        <v>8588</v>
      </c>
      <c r="B6451" s="1" t="s">
        <v>2628</v>
      </c>
      <c r="C6451" s="1">
        <v>5</v>
      </c>
      <c r="D6451" s="1" t="s">
        <v>34</v>
      </c>
      <c r="E6451" s="1" t="s">
        <v>10</v>
      </c>
      <c r="F6451" s="1" t="s">
        <v>5091</v>
      </c>
      <c r="G6451" s="14" t="s">
        <v>6307</v>
      </c>
      <c r="H6451" s="1" t="s">
        <v>44</v>
      </c>
      <c r="I6451" s="17">
        <v>41640</v>
      </c>
    </row>
    <row r="6452" spans="1:9">
      <c r="A6452" s="16" t="s">
        <v>8589</v>
      </c>
      <c r="B6452" s="1" t="s">
        <v>2628</v>
      </c>
      <c r="C6452" s="1">
        <v>5</v>
      </c>
      <c r="D6452" s="1" t="s">
        <v>34</v>
      </c>
      <c r="E6452" s="1" t="s">
        <v>10</v>
      </c>
      <c r="F6452" s="1" t="s">
        <v>5091</v>
      </c>
      <c r="G6452" s="14" t="s">
        <v>8590</v>
      </c>
      <c r="H6452" s="1" t="s">
        <v>5</v>
      </c>
      <c r="I6452" s="17">
        <v>41640</v>
      </c>
    </row>
    <row r="6453" spans="1:9">
      <c r="A6453" s="16" t="s">
        <v>8597</v>
      </c>
      <c r="B6453" s="1" t="s">
        <v>2628</v>
      </c>
      <c r="C6453" s="1">
        <v>5</v>
      </c>
      <c r="D6453" s="1" t="s">
        <v>34</v>
      </c>
      <c r="E6453" s="1" t="s">
        <v>10</v>
      </c>
      <c r="F6453" s="1" t="s">
        <v>5091</v>
      </c>
      <c r="G6453" s="14" t="s">
        <v>8598</v>
      </c>
      <c r="H6453" s="1" t="s">
        <v>5</v>
      </c>
      <c r="I6453" s="17">
        <v>41835</v>
      </c>
    </row>
    <row r="6454" spans="1:9">
      <c r="A6454" s="16" t="s">
        <v>8603</v>
      </c>
      <c r="B6454" s="1" t="s">
        <v>2628</v>
      </c>
      <c r="C6454" s="1">
        <v>5</v>
      </c>
      <c r="D6454" s="1" t="s">
        <v>34</v>
      </c>
      <c r="E6454" s="1" t="s">
        <v>10</v>
      </c>
      <c r="F6454" s="1" t="s">
        <v>5091</v>
      </c>
      <c r="G6454" s="14" t="s">
        <v>4458</v>
      </c>
      <c r="H6454" s="1" t="s">
        <v>118</v>
      </c>
      <c r="I6454" s="1" t="s">
        <v>4458</v>
      </c>
    </row>
    <row r="6455" spans="1:9">
      <c r="A6455" s="16" t="s">
        <v>8626</v>
      </c>
      <c r="B6455" s="1" t="s">
        <v>2628</v>
      </c>
      <c r="C6455" s="1">
        <v>5</v>
      </c>
      <c r="D6455" s="1" t="s">
        <v>34</v>
      </c>
      <c r="E6455" s="1" t="s">
        <v>10</v>
      </c>
      <c r="F6455" s="1" t="s">
        <v>5091</v>
      </c>
      <c r="G6455" s="14" t="s">
        <v>8627</v>
      </c>
      <c r="H6455" s="1" t="s">
        <v>5</v>
      </c>
      <c r="I6455" s="17">
        <v>34561</v>
      </c>
    </row>
    <row r="6456" spans="1:9">
      <c r="A6456" s="16" t="s">
        <v>8639</v>
      </c>
      <c r="B6456" s="1" t="s">
        <v>2628</v>
      </c>
      <c r="C6456" s="1">
        <v>5</v>
      </c>
      <c r="D6456" s="1" t="s">
        <v>34</v>
      </c>
      <c r="E6456" s="1" t="s">
        <v>10</v>
      </c>
      <c r="F6456" s="1" t="s">
        <v>5091</v>
      </c>
      <c r="G6456" s="14" t="s">
        <v>6145</v>
      </c>
      <c r="H6456" s="1" t="s">
        <v>43</v>
      </c>
      <c r="I6456" s="17">
        <v>41905</v>
      </c>
    </row>
    <row r="6457" spans="1:9">
      <c r="A6457" s="16" t="s">
        <v>8640</v>
      </c>
      <c r="B6457" s="1" t="s">
        <v>2628</v>
      </c>
      <c r="C6457" s="1">
        <v>5</v>
      </c>
      <c r="D6457" s="1" t="s">
        <v>34</v>
      </c>
      <c r="E6457" s="1" t="s">
        <v>10</v>
      </c>
      <c r="F6457" s="1" t="s">
        <v>5091</v>
      </c>
      <c r="G6457" s="14" t="s">
        <v>6145</v>
      </c>
      <c r="H6457" s="1" t="s">
        <v>43</v>
      </c>
      <c r="I6457" s="17">
        <v>41905</v>
      </c>
    </row>
    <row r="6458" spans="1:9">
      <c r="A6458" s="16" t="s">
        <v>8641</v>
      </c>
      <c r="B6458" s="1" t="s">
        <v>2628</v>
      </c>
      <c r="C6458" s="1">
        <v>5</v>
      </c>
      <c r="D6458" s="1" t="s">
        <v>34</v>
      </c>
      <c r="E6458" s="1" t="s">
        <v>10</v>
      </c>
      <c r="F6458" s="1" t="s">
        <v>5091</v>
      </c>
      <c r="G6458" s="14" t="s">
        <v>6145</v>
      </c>
      <c r="H6458" s="1" t="s">
        <v>43</v>
      </c>
      <c r="I6458" s="17">
        <v>41905</v>
      </c>
    </row>
    <row r="6459" spans="1:9">
      <c r="A6459" s="16" t="s">
        <v>8644</v>
      </c>
      <c r="B6459" s="1" t="s">
        <v>2628</v>
      </c>
      <c r="C6459" s="1">
        <v>5</v>
      </c>
      <c r="D6459" s="1" t="s">
        <v>34</v>
      </c>
      <c r="E6459" s="1" t="s">
        <v>10</v>
      </c>
      <c r="F6459" s="1" t="s">
        <v>5091</v>
      </c>
      <c r="G6459" s="14" t="s">
        <v>6145</v>
      </c>
      <c r="H6459" s="1" t="s">
        <v>43</v>
      </c>
      <c r="I6459" s="17">
        <v>41905</v>
      </c>
    </row>
    <row r="6460" spans="1:9">
      <c r="A6460" s="16" t="s">
        <v>8648</v>
      </c>
      <c r="B6460" s="1" t="s">
        <v>2628</v>
      </c>
      <c r="C6460" s="1">
        <v>5</v>
      </c>
      <c r="D6460" s="1" t="s">
        <v>34</v>
      </c>
      <c r="E6460" s="1" t="s">
        <v>10</v>
      </c>
      <c r="F6460" s="1" t="s">
        <v>5091</v>
      </c>
      <c r="G6460" s="14" t="s">
        <v>4458</v>
      </c>
      <c r="H6460" s="1" t="s">
        <v>118</v>
      </c>
      <c r="I6460" s="17">
        <v>41883</v>
      </c>
    </row>
    <row r="6461" spans="1:9">
      <c r="A6461" s="16" t="s">
        <v>8693</v>
      </c>
      <c r="B6461" s="1" t="s">
        <v>2628</v>
      </c>
      <c r="C6461" s="1">
        <v>5</v>
      </c>
      <c r="D6461" s="1" t="s">
        <v>34</v>
      </c>
      <c r="E6461" s="1" t="s">
        <v>10</v>
      </c>
      <c r="F6461" s="1" t="s">
        <v>5091</v>
      </c>
      <c r="G6461" s="14" t="s">
        <v>4458</v>
      </c>
      <c r="H6461" s="1" t="s">
        <v>118</v>
      </c>
      <c r="I6461" s="17">
        <v>41913</v>
      </c>
    </row>
    <row r="6462" spans="1:9">
      <c r="A6462" s="16" t="s">
        <v>8698</v>
      </c>
      <c r="B6462" s="1" t="s">
        <v>2628</v>
      </c>
      <c r="C6462" s="1">
        <v>5</v>
      </c>
      <c r="D6462" s="1" t="s">
        <v>34</v>
      </c>
      <c r="E6462" s="1" t="s">
        <v>10</v>
      </c>
      <c r="F6462" s="1" t="s">
        <v>5091</v>
      </c>
      <c r="G6462" s="14" t="s">
        <v>8699</v>
      </c>
      <c r="H6462" s="1" t="s">
        <v>43</v>
      </c>
      <c r="I6462" s="17">
        <v>41640</v>
      </c>
    </row>
    <row r="6463" spans="1:9">
      <c r="A6463" s="16" t="s">
        <v>8717</v>
      </c>
      <c r="B6463" s="1" t="s">
        <v>2628</v>
      </c>
      <c r="C6463" s="1">
        <v>5</v>
      </c>
      <c r="D6463" s="1" t="s">
        <v>34</v>
      </c>
      <c r="E6463" s="1" t="s">
        <v>10</v>
      </c>
      <c r="F6463" s="1" t="s">
        <v>5091</v>
      </c>
      <c r="G6463" s="14" t="s">
        <v>8718</v>
      </c>
      <c r="H6463" s="1" t="s">
        <v>5</v>
      </c>
      <c r="I6463" s="17">
        <v>40926</v>
      </c>
    </row>
    <row r="6464" spans="1:9">
      <c r="A6464" s="16" t="s">
        <v>8739</v>
      </c>
      <c r="B6464" s="1" t="s">
        <v>2628</v>
      </c>
      <c r="C6464" s="1">
        <v>5</v>
      </c>
      <c r="D6464" s="1" t="s">
        <v>34</v>
      </c>
      <c r="E6464" s="1" t="s">
        <v>10</v>
      </c>
      <c r="F6464" s="1" t="s">
        <v>5091</v>
      </c>
      <c r="G6464" s="14" t="s">
        <v>6145</v>
      </c>
      <c r="H6464" s="1" t="s">
        <v>43</v>
      </c>
      <c r="I6464" s="17">
        <v>41891</v>
      </c>
    </row>
    <row r="6465" spans="1:10">
      <c r="A6465" s="16" t="s">
        <v>8741</v>
      </c>
      <c r="B6465" s="1" t="s">
        <v>2628</v>
      </c>
      <c r="C6465" s="1">
        <v>5</v>
      </c>
      <c r="D6465" s="1" t="s">
        <v>34</v>
      </c>
      <c r="E6465" s="1" t="s">
        <v>10</v>
      </c>
      <c r="F6465" s="1" t="s">
        <v>5091</v>
      </c>
      <c r="G6465" s="14" t="s">
        <v>6145</v>
      </c>
      <c r="H6465" s="1" t="s">
        <v>43</v>
      </c>
      <c r="I6465" s="17">
        <v>41891</v>
      </c>
    </row>
    <row r="6466" spans="1:10">
      <c r="A6466" s="16" t="s">
        <v>8744</v>
      </c>
      <c r="B6466" s="1" t="s">
        <v>2628</v>
      </c>
      <c r="C6466" s="1">
        <v>5</v>
      </c>
      <c r="D6466" s="1" t="s">
        <v>34</v>
      </c>
      <c r="E6466" s="1" t="s">
        <v>10</v>
      </c>
      <c r="F6466" s="1" t="s">
        <v>5091</v>
      </c>
      <c r="G6466" s="14" t="s">
        <v>7403</v>
      </c>
      <c r="H6466" s="1" t="s">
        <v>44</v>
      </c>
      <c r="I6466" s="17">
        <v>41974</v>
      </c>
    </row>
    <row r="6467" spans="1:10">
      <c r="A6467" s="16" t="s">
        <v>8749</v>
      </c>
      <c r="B6467" s="1" t="s">
        <v>2628</v>
      </c>
      <c r="C6467" s="1">
        <v>5</v>
      </c>
      <c r="D6467" s="1" t="s">
        <v>34</v>
      </c>
      <c r="E6467" s="1" t="s">
        <v>10</v>
      </c>
      <c r="F6467" s="1" t="s">
        <v>5091</v>
      </c>
      <c r="G6467" s="14" t="s">
        <v>7403</v>
      </c>
      <c r="H6467" s="1" t="s">
        <v>44</v>
      </c>
      <c r="I6467" s="17">
        <v>41974</v>
      </c>
    </row>
    <row r="6468" spans="1:10">
      <c r="A6468" s="16" t="s">
        <v>8762</v>
      </c>
      <c r="B6468" s="1" t="s">
        <v>2631</v>
      </c>
      <c r="C6468" s="1">
        <v>5</v>
      </c>
      <c r="D6468" s="1" t="s">
        <v>34</v>
      </c>
      <c r="E6468" s="1" t="s">
        <v>10</v>
      </c>
      <c r="F6468" s="1" t="s">
        <v>5091</v>
      </c>
      <c r="G6468" s="1" t="s">
        <v>7619</v>
      </c>
      <c r="H6468" s="1" t="s">
        <v>43</v>
      </c>
      <c r="I6468" s="17">
        <v>41891</v>
      </c>
    </row>
    <row r="6469" spans="1:10">
      <c r="A6469" s="16" t="s">
        <v>8763</v>
      </c>
      <c r="B6469" s="1" t="s">
        <v>2631</v>
      </c>
      <c r="C6469" s="1">
        <v>5</v>
      </c>
      <c r="D6469" s="1" t="s">
        <v>34</v>
      </c>
      <c r="E6469" s="1" t="s">
        <v>10</v>
      </c>
      <c r="F6469" s="1" t="s">
        <v>5091</v>
      </c>
      <c r="G6469" s="1" t="s">
        <v>8764</v>
      </c>
      <c r="H6469" s="1" t="s">
        <v>5</v>
      </c>
      <c r="I6469" s="17">
        <v>41891</v>
      </c>
      <c r="J6469" s="17"/>
    </row>
    <row r="6470" spans="1:10">
      <c r="A6470" s="16" t="s">
        <v>8765</v>
      </c>
      <c r="B6470" s="1" t="s">
        <v>2628</v>
      </c>
      <c r="C6470" s="1">
        <v>5</v>
      </c>
      <c r="D6470" s="1" t="s">
        <v>34</v>
      </c>
      <c r="E6470" s="1" t="s">
        <v>10</v>
      </c>
      <c r="F6470" s="1" t="s">
        <v>5091</v>
      </c>
      <c r="G6470" s="14" t="s">
        <v>8513</v>
      </c>
      <c r="H6470" s="1" t="s">
        <v>5</v>
      </c>
      <c r="I6470" s="17">
        <v>41737</v>
      </c>
    </row>
    <row r="6471" spans="1:10">
      <c r="A6471" s="16" t="s">
        <v>8766</v>
      </c>
      <c r="B6471" s="1" t="s">
        <v>2631</v>
      </c>
      <c r="C6471" s="1">
        <v>5</v>
      </c>
      <c r="D6471" s="1" t="s">
        <v>34</v>
      </c>
      <c r="E6471" s="1" t="s">
        <v>10</v>
      </c>
      <c r="F6471" s="1" t="s">
        <v>5091</v>
      </c>
      <c r="G6471" s="1" t="s">
        <v>8718</v>
      </c>
      <c r="H6471" s="1" t="s">
        <v>5</v>
      </c>
      <c r="I6471" s="17">
        <v>41891</v>
      </c>
      <c r="J6471" s="17"/>
    </row>
    <row r="6472" spans="1:10">
      <c r="A6472" s="16" t="s">
        <v>8777</v>
      </c>
      <c r="B6472" s="1" t="s">
        <v>2628</v>
      </c>
      <c r="C6472" s="1">
        <v>745</v>
      </c>
      <c r="D6472" s="1" t="s">
        <v>34</v>
      </c>
      <c r="E6472" s="1" t="s">
        <v>10</v>
      </c>
      <c r="F6472" s="1" t="s">
        <v>118</v>
      </c>
      <c r="G6472" s="14" t="s">
        <v>8778</v>
      </c>
      <c r="H6472" s="1" t="s">
        <v>5</v>
      </c>
      <c r="I6472" s="1" t="s">
        <v>4458</v>
      </c>
      <c r="J6472" s="11"/>
    </row>
    <row r="6473" spans="1:10">
      <c r="A6473" s="16" t="s">
        <v>8779</v>
      </c>
      <c r="B6473" s="1" t="s">
        <v>2628</v>
      </c>
      <c r="C6473" s="1">
        <v>5</v>
      </c>
      <c r="D6473" s="1" t="s">
        <v>34</v>
      </c>
      <c r="E6473" s="1" t="s">
        <v>10</v>
      </c>
      <c r="F6473" s="1" t="s">
        <v>118</v>
      </c>
      <c r="G6473" s="14" t="s">
        <v>8127</v>
      </c>
      <c r="H6473" s="1" t="s">
        <v>5</v>
      </c>
      <c r="I6473" s="17">
        <v>36668</v>
      </c>
    </row>
    <row r="6474" spans="1:10">
      <c r="A6474" s="16" t="s">
        <v>8787</v>
      </c>
      <c r="B6474" s="1" t="s">
        <v>2628</v>
      </c>
      <c r="C6474" s="1">
        <v>5</v>
      </c>
      <c r="D6474" s="1" t="s">
        <v>34</v>
      </c>
      <c r="E6474" s="1" t="s">
        <v>10</v>
      </c>
      <c r="F6474" s="1" t="s">
        <v>118</v>
      </c>
      <c r="G6474" s="14" t="s">
        <v>8788</v>
      </c>
      <c r="H6474" s="1" t="s">
        <v>5</v>
      </c>
      <c r="I6474" s="1" t="s">
        <v>4458</v>
      </c>
    </row>
    <row r="6475" spans="1:10">
      <c r="A6475" s="16" t="s">
        <v>8789</v>
      </c>
      <c r="B6475" s="1" t="s">
        <v>2628</v>
      </c>
      <c r="C6475" s="1">
        <v>5</v>
      </c>
      <c r="D6475" s="1" t="s">
        <v>34</v>
      </c>
      <c r="E6475" s="1" t="s">
        <v>10</v>
      </c>
      <c r="F6475" s="1" t="s">
        <v>118</v>
      </c>
      <c r="G6475" s="14" t="s">
        <v>8790</v>
      </c>
      <c r="H6475" s="1" t="s">
        <v>5</v>
      </c>
      <c r="I6475" s="1" t="s">
        <v>4458</v>
      </c>
    </row>
    <row r="6476" spans="1:10">
      <c r="A6476" s="16" t="s">
        <v>8801</v>
      </c>
      <c r="B6476" s="1" t="s">
        <v>2628</v>
      </c>
      <c r="C6476" s="1">
        <v>5</v>
      </c>
      <c r="D6476" s="1" t="s">
        <v>34</v>
      </c>
      <c r="E6476" s="1" t="s">
        <v>10</v>
      </c>
      <c r="F6476" s="1" t="s">
        <v>5091</v>
      </c>
      <c r="G6476" s="14" t="s">
        <v>8802</v>
      </c>
      <c r="H6476" s="1" t="s">
        <v>5</v>
      </c>
      <c r="I6476" s="1" t="s">
        <v>4458</v>
      </c>
    </row>
    <row r="6477" spans="1:10">
      <c r="A6477" s="16" t="s">
        <v>8810</v>
      </c>
      <c r="B6477" s="1" t="s">
        <v>2628</v>
      </c>
      <c r="C6477" s="1">
        <v>5</v>
      </c>
      <c r="D6477" s="1" t="s">
        <v>34</v>
      </c>
      <c r="E6477" s="1" t="s">
        <v>10</v>
      </c>
      <c r="F6477" s="1" t="s">
        <v>5091</v>
      </c>
      <c r="G6477" s="14" t="s">
        <v>7895</v>
      </c>
      <c r="H6477" s="1" t="s">
        <v>43</v>
      </c>
      <c r="I6477" s="17">
        <v>41891</v>
      </c>
    </row>
    <row r="6478" spans="1:10">
      <c r="A6478" s="16" t="s">
        <v>8811</v>
      </c>
      <c r="B6478" s="1" t="s">
        <v>2628</v>
      </c>
      <c r="C6478" s="1">
        <v>5</v>
      </c>
      <c r="D6478" s="1" t="s">
        <v>34</v>
      </c>
      <c r="E6478" s="1" t="s">
        <v>10</v>
      </c>
      <c r="F6478" s="1" t="s">
        <v>5091</v>
      </c>
      <c r="G6478" s="14" t="s">
        <v>7895</v>
      </c>
      <c r="H6478" s="1" t="s">
        <v>43</v>
      </c>
      <c r="I6478" s="17">
        <v>41891</v>
      </c>
    </row>
    <row r="6479" spans="1:10">
      <c r="A6479" s="16" t="s">
        <v>8812</v>
      </c>
      <c r="B6479" s="1" t="s">
        <v>2628</v>
      </c>
      <c r="C6479" s="1">
        <v>5</v>
      </c>
      <c r="D6479" s="1" t="s">
        <v>34</v>
      </c>
      <c r="E6479" s="1" t="s">
        <v>10</v>
      </c>
      <c r="F6479" s="1" t="s">
        <v>5091</v>
      </c>
      <c r="G6479" s="14" t="s">
        <v>7895</v>
      </c>
      <c r="H6479" s="1" t="s">
        <v>43</v>
      </c>
      <c r="I6479" s="17">
        <v>41891</v>
      </c>
    </row>
    <row r="6480" spans="1:10">
      <c r="A6480" s="16" t="s">
        <v>8813</v>
      </c>
      <c r="B6480" s="1" t="s">
        <v>2628</v>
      </c>
      <c r="C6480" s="1">
        <v>5</v>
      </c>
      <c r="D6480" s="1" t="s">
        <v>34</v>
      </c>
      <c r="E6480" s="1" t="s">
        <v>10</v>
      </c>
      <c r="F6480" s="1" t="s">
        <v>5091</v>
      </c>
      <c r="G6480" s="14" t="s">
        <v>7895</v>
      </c>
      <c r="H6480" s="1" t="s">
        <v>43</v>
      </c>
      <c r="I6480" s="17">
        <v>41891</v>
      </c>
    </row>
    <row r="6481" spans="1:9">
      <c r="A6481" s="16" t="s">
        <v>8814</v>
      </c>
      <c r="B6481" s="1" t="s">
        <v>2628</v>
      </c>
      <c r="C6481" s="1">
        <v>5</v>
      </c>
      <c r="D6481" s="1" t="s">
        <v>34</v>
      </c>
      <c r="E6481" s="1" t="s">
        <v>10</v>
      </c>
      <c r="F6481" s="1" t="s">
        <v>5091</v>
      </c>
      <c r="G6481" s="14" t="s">
        <v>7895</v>
      </c>
      <c r="H6481" s="1" t="s">
        <v>43</v>
      </c>
      <c r="I6481" s="17">
        <v>41891</v>
      </c>
    </row>
    <row r="6482" spans="1:9">
      <c r="A6482" s="16" t="s">
        <v>8815</v>
      </c>
      <c r="B6482" s="1" t="s">
        <v>2628</v>
      </c>
      <c r="C6482" s="1">
        <v>5</v>
      </c>
      <c r="D6482" s="1" t="s">
        <v>34</v>
      </c>
      <c r="E6482" s="1" t="s">
        <v>10</v>
      </c>
      <c r="F6482" s="1" t="s">
        <v>5091</v>
      </c>
      <c r="G6482" s="14" t="s">
        <v>7895</v>
      </c>
      <c r="H6482" s="1" t="s">
        <v>43</v>
      </c>
      <c r="I6482" s="17">
        <v>41891</v>
      </c>
    </row>
    <row r="6483" spans="1:9">
      <c r="A6483" s="16" t="s">
        <v>8816</v>
      </c>
      <c r="B6483" s="1" t="s">
        <v>2628</v>
      </c>
      <c r="C6483" s="1">
        <v>5</v>
      </c>
      <c r="D6483" s="1" t="s">
        <v>34</v>
      </c>
      <c r="E6483" s="1" t="s">
        <v>10</v>
      </c>
      <c r="F6483" s="1" t="s">
        <v>5091</v>
      </c>
      <c r="G6483" s="14" t="s">
        <v>7895</v>
      </c>
      <c r="H6483" s="1" t="s">
        <v>43</v>
      </c>
      <c r="I6483" s="17">
        <v>41891</v>
      </c>
    </row>
    <row r="6484" spans="1:9">
      <c r="A6484" s="16" t="s">
        <v>8817</v>
      </c>
      <c r="B6484" s="1" t="s">
        <v>2628</v>
      </c>
      <c r="C6484" s="1">
        <v>5</v>
      </c>
      <c r="D6484" s="1" t="s">
        <v>34</v>
      </c>
      <c r="E6484" s="1" t="s">
        <v>10</v>
      </c>
      <c r="F6484" s="1" t="s">
        <v>5091</v>
      </c>
      <c r="G6484" s="14" t="s">
        <v>7895</v>
      </c>
      <c r="H6484" s="1" t="s">
        <v>43</v>
      </c>
      <c r="I6484" s="17">
        <v>41891</v>
      </c>
    </row>
    <row r="6485" spans="1:9">
      <c r="A6485" s="16" t="s">
        <v>8818</v>
      </c>
      <c r="B6485" s="1" t="s">
        <v>2628</v>
      </c>
      <c r="C6485" s="1">
        <v>5</v>
      </c>
      <c r="D6485" s="1" t="s">
        <v>34</v>
      </c>
      <c r="E6485" s="1" t="s">
        <v>10</v>
      </c>
      <c r="F6485" s="1" t="s">
        <v>5091</v>
      </c>
      <c r="G6485" s="14" t="s">
        <v>7895</v>
      </c>
      <c r="H6485" s="1" t="s">
        <v>43</v>
      </c>
      <c r="I6485" s="17">
        <v>41891</v>
      </c>
    </row>
    <row r="6486" spans="1:9">
      <c r="A6486" s="16" t="s">
        <v>8819</v>
      </c>
      <c r="B6486" s="1" t="s">
        <v>2628</v>
      </c>
      <c r="C6486" s="1">
        <v>5</v>
      </c>
      <c r="D6486" s="1" t="s">
        <v>34</v>
      </c>
      <c r="E6486" s="1" t="s">
        <v>10</v>
      </c>
      <c r="F6486" s="1" t="s">
        <v>5091</v>
      </c>
      <c r="G6486" s="14" t="s">
        <v>7895</v>
      </c>
      <c r="H6486" s="1" t="s">
        <v>43</v>
      </c>
      <c r="I6486" s="17">
        <v>41891</v>
      </c>
    </row>
    <row r="6487" spans="1:9">
      <c r="A6487" s="16" t="s">
        <v>8820</v>
      </c>
      <c r="B6487" s="1" t="s">
        <v>2628</v>
      </c>
      <c r="C6487" s="1">
        <v>5</v>
      </c>
      <c r="D6487" s="1" t="s">
        <v>34</v>
      </c>
      <c r="E6487" s="1" t="s">
        <v>10</v>
      </c>
      <c r="F6487" s="1" t="s">
        <v>5091</v>
      </c>
      <c r="G6487" s="14" t="s">
        <v>7895</v>
      </c>
      <c r="H6487" s="1" t="s">
        <v>43</v>
      </c>
      <c r="I6487" s="17">
        <v>41891</v>
      </c>
    </row>
    <row r="6488" spans="1:9">
      <c r="A6488" s="16" t="s">
        <v>8821</v>
      </c>
      <c r="B6488" s="1" t="s">
        <v>2628</v>
      </c>
      <c r="C6488" s="1">
        <v>5</v>
      </c>
      <c r="D6488" s="1" t="s">
        <v>34</v>
      </c>
      <c r="E6488" s="1" t="s">
        <v>10</v>
      </c>
      <c r="F6488" s="1" t="s">
        <v>5091</v>
      </c>
      <c r="G6488" s="14" t="s">
        <v>7895</v>
      </c>
      <c r="H6488" s="1" t="s">
        <v>43</v>
      </c>
      <c r="I6488" s="17">
        <v>41891</v>
      </c>
    </row>
    <row r="6489" spans="1:9">
      <c r="A6489" s="16" t="s">
        <v>8822</v>
      </c>
      <c r="B6489" s="1" t="s">
        <v>2628</v>
      </c>
      <c r="C6489" s="1">
        <v>5</v>
      </c>
      <c r="D6489" s="1" t="s">
        <v>34</v>
      </c>
      <c r="E6489" s="1" t="s">
        <v>10</v>
      </c>
      <c r="F6489" s="1" t="s">
        <v>5091</v>
      </c>
      <c r="G6489" s="14" t="s">
        <v>7895</v>
      </c>
      <c r="H6489" s="1" t="s">
        <v>43</v>
      </c>
      <c r="I6489" s="17">
        <v>41891</v>
      </c>
    </row>
    <row r="6490" spans="1:9">
      <c r="A6490" s="16" t="s">
        <v>8823</v>
      </c>
      <c r="B6490" s="1" t="s">
        <v>2628</v>
      </c>
      <c r="C6490" s="1">
        <v>5</v>
      </c>
      <c r="D6490" s="1" t="s">
        <v>34</v>
      </c>
      <c r="E6490" s="1" t="s">
        <v>10</v>
      </c>
      <c r="F6490" s="1" t="s">
        <v>5091</v>
      </c>
      <c r="G6490" s="14" t="s">
        <v>7895</v>
      </c>
      <c r="H6490" s="1" t="s">
        <v>43</v>
      </c>
      <c r="I6490" s="17">
        <v>41891</v>
      </c>
    </row>
    <row r="6491" spans="1:9">
      <c r="A6491" s="16" t="s">
        <v>8824</v>
      </c>
      <c r="B6491" s="1" t="s">
        <v>2628</v>
      </c>
      <c r="C6491" s="1">
        <v>5</v>
      </c>
      <c r="D6491" s="1" t="s">
        <v>34</v>
      </c>
      <c r="E6491" s="1" t="s">
        <v>10</v>
      </c>
      <c r="F6491" s="1" t="s">
        <v>5091</v>
      </c>
      <c r="G6491" s="14" t="s">
        <v>7895</v>
      </c>
      <c r="H6491" s="1" t="s">
        <v>43</v>
      </c>
      <c r="I6491" s="17">
        <v>41891</v>
      </c>
    </row>
    <row r="6492" spans="1:9">
      <c r="A6492" s="16" t="s">
        <v>8825</v>
      </c>
      <c r="B6492" s="1" t="s">
        <v>2628</v>
      </c>
      <c r="C6492" s="1">
        <v>5</v>
      </c>
      <c r="D6492" s="1" t="s">
        <v>34</v>
      </c>
      <c r="E6492" s="1" t="s">
        <v>10</v>
      </c>
      <c r="F6492" s="1" t="s">
        <v>5091</v>
      </c>
      <c r="G6492" s="14" t="s">
        <v>7895</v>
      </c>
      <c r="H6492" s="1" t="s">
        <v>43</v>
      </c>
      <c r="I6492" s="17">
        <v>41891</v>
      </c>
    </row>
    <row r="6493" spans="1:9">
      <c r="A6493" s="16" t="s">
        <v>8826</v>
      </c>
      <c r="B6493" s="1" t="s">
        <v>2628</v>
      </c>
      <c r="C6493" s="1">
        <v>5</v>
      </c>
      <c r="D6493" s="1" t="s">
        <v>34</v>
      </c>
      <c r="E6493" s="1" t="s">
        <v>10</v>
      </c>
      <c r="F6493" s="1" t="s">
        <v>5091</v>
      </c>
      <c r="G6493" s="14" t="s">
        <v>7895</v>
      </c>
      <c r="H6493" s="1" t="s">
        <v>43</v>
      </c>
      <c r="I6493" s="17">
        <v>41891</v>
      </c>
    </row>
    <row r="6494" spans="1:9">
      <c r="A6494" s="16" t="s">
        <v>8827</v>
      </c>
      <c r="B6494" s="1" t="s">
        <v>2628</v>
      </c>
      <c r="C6494" s="1">
        <v>5</v>
      </c>
      <c r="D6494" s="1" t="s">
        <v>34</v>
      </c>
      <c r="E6494" s="1" t="s">
        <v>10</v>
      </c>
      <c r="F6494" s="1" t="s">
        <v>5091</v>
      </c>
      <c r="G6494" s="14" t="s">
        <v>7895</v>
      </c>
      <c r="H6494" s="1" t="s">
        <v>43</v>
      </c>
      <c r="I6494" s="17">
        <v>41891</v>
      </c>
    </row>
    <row r="6495" spans="1:9">
      <c r="A6495" s="16" t="s">
        <v>8828</v>
      </c>
      <c r="B6495" s="1" t="s">
        <v>2628</v>
      </c>
      <c r="C6495" s="1">
        <v>5</v>
      </c>
      <c r="D6495" s="1" t="s">
        <v>34</v>
      </c>
      <c r="E6495" s="1" t="s">
        <v>10</v>
      </c>
      <c r="F6495" s="1" t="s">
        <v>5091</v>
      </c>
      <c r="G6495" s="14" t="s">
        <v>7895</v>
      </c>
      <c r="H6495" s="1" t="s">
        <v>43</v>
      </c>
      <c r="I6495" s="17">
        <v>41891</v>
      </c>
    </row>
    <row r="6496" spans="1:9">
      <c r="A6496" s="16" t="s">
        <v>8829</v>
      </c>
      <c r="B6496" s="1" t="s">
        <v>2628</v>
      </c>
      <c r="C6496" s="1">
        <v>5</v>
      </c>
      <c r="D6496" s="1" t="s">
        <v>34</v>
      </c>
      <c r="E6496" s="1" t="s">
        <v>10</v>
      </c>
      <c r="F6496" s="1" t="s">
        <v>5091</v>
      </c>
      <c r="G6496" s="14" t="s">
        <v>7895</v>
      </c>
      <c r="H6496" s="1" t="s">
        <v>43</v>
      </c>
      <c r="I6496" s="17">
        <v>41891</v>
      </c>
    </row>
    <row r="6497" spans="1:9">
      <c r="A6497" s="16" t="s">
        <v>8840</v>
      </c>
      <c r="B6497" s="1" t="s">
        <v>2628</v>
      </c>
      <c r="C6497" s="1">
        <v>5</v>
      </c>
      <c r="D6497" s="1" t="s">
        <v>34</v>
      </c>
      <c r="E6497" s="1" t="s">
        <v>10</v>
      </c>
      <c r="F6497" s="1" t="s">
        <v>5091</v>
      </c>
      <c r="G6497" s="14" t="s">
        <v>8838</v>
      </c>
      <c r="H6497" s="1" t="s">
        <v>43</v>
      </c>
      <c r="I6497" s="17">
        <v>41640</v>
      </c>
    </row>
    <row r="6498" spans="1:9">
      <c r="A6498" s="16" t="s">
        <v>8845</v>
      </c>
      <c r="B6498" s="1" t="s">
        <v>2628</v>
      </c>
      <c r="C6498" s="1">
        <v>5</v>
      </c>
      <c r="D6498" s="1" t="s">
        <v>34</v>
      </c>
      <c r="E6498" s="1" t="s">
        <v>10</v>
      </c>
      <c r="F6498" s="1" t="s">
        <v>118</v>
      </c>
      <c r="G6498" s="14" t="s">
        <v>4458</v>
      </c>
      <c r="H6498" s="1" t="s">
        <v>118</v>
      </c>
      <c r="I6498" s="1" t="s">
        <v>4458</v>
      </c>
    </row>
    <row r="6499" spans="1:9">
      <c r="A6499" s="16" t="s">
        <v>8853</v>
      </c>
      <c r="B6499" s="1" t="s">
        <v>2628</v>
      </c>
      <c r="C6499" s="1">
        <v>5</v>
      </c>
      <c r="D6499" s="1" t="s">
        <v>34</v>
      </c>
      <c r="E6499" s="1" t="s">
        <v>10</v>
      </c>
      <c r="F6499" s="1" t="s">
        <v>118</v>
      </c>
      <c r="G6499" s="14" t="s">
        <v>4458</v>
      </c>
      <c r="H6499" s="1" t="s">
        <v>118</v>
      </c>
      <c r="I6499" s="1" t="s">
        <v>4458</v>
      </c>
    </row>
    <row r="6500" spans="1:9">
      <c r="A6500" s="16" t="s">
        <v>8855</v>
      </c>
      <c r="B6500" s="1" t="s">
        <v>2628</v>
      </c>
      <c r="C6500" s="1">
        <v>5</v>
      </c>
      <c r="D6500" s="1" t="s">
        <v>34</v>
      </c>
      <c r="E6500" s="1" t="s">
        <v>10</v>
      </c>
      <c r="F6500" s="1" t="s">
        <v>118</v>
      </c>
      <c r="G6500" s="14" t="s">
        <v>4458</v>
      </c>
      <c r="H6500" s="1" t="s">
        <v>118</v>
      </c>
      <c r="I6500" s="1" t="s">
        <v>4458</v>
      </c>
    </row>
    <row r="6501" spans="1:9">
      <c r="A6501" s="16" t="s">
        <v>8856</v>
      </c>
      <c r="B6501" s="1" t="s">
        <v>2628</v>
      </c>
      <c r="C6501" s="1">
        <v>5</v>
      </c>
      <c r="D6501" s="1" t="s">
        <v>34</v>
      </c>
      <c r="E6501" s="1" t="s">
        <v>10</v>
      </c>
      <c r="F6501" s="1" t="s">
        <v>118</v>
      </c>
      <c r="G6501" s="14" t="s">
        <v>4458</v>
      </c>
      <c r="H6501" s="1" t="s">
        <v>118</v>
      </c>
      <c r="I6501" s="1" t="s">
        <v>4458</v>
      </c>
    </row>
    <row r="6502" spans="1:9">
      <c r="A6502" s="16" t="s">
        <v>8857</v>
      </c>
      <c r="B6502" s="1" t="s">
        <v>2628</v>
      </c>
      <c r="C6502" s="1">
        <v>5</v>
      </c>
      <c r="D6502" s="1" t="s">
        <v>34</v>
      </c>
      <c r="E6502" s="1" t="s">
        <v>10</v>
      </c>
      <c r="F6502" s="1" t="s">
        <v>118</v>
      </c>
      <c r="G6502" s="14" t="s">
        <v>4458</v>
      </c>
      <c r="H6502" s="1" t="s">
        <v>118</v>
      </c>
      <c r="I6502" s="1" t="s">
        <v>4458</v>
      </c>
    </row>
    <row r="6503" spans="1:9">
      <c r="A6503" s="16" t="s">
        <v>8858</v>
      </c>
      <c r="B6503" s="1" t="s">
        <v>2628</v>
      </c>
      <c r="C6503" s="1">
        <v>745</v>
      </c>
      <c r="D6503" s="1" t="s">
        <v>34</v>
      </c>
      <c r="E6503" s="1" t="s">
        <v>10</v>
      </c>
      <c r="F6503" s="1" t="s">
        <v>118</v>
      </c>
      <c r="G6503" s="14" t="s">
        <v>4458</v>
      </c>
      <c r="H6503" s="1" t="s">
        <v>118</v>
      </c>
      <c r="I6503" s="1" t="s">
        <v>4458</v>
      </c>
    </row>
    <row r="6504" spans="1:9">
      <c r="A6504" s="16" t="s">
        <v>8871</v>
      </c>
      <c r="B6504" s="1" t="s">
        <v>2628</v>
      </c>
      <c r="C6504" s="1">
        <v>5</v>
      </c>
      <c r="D6504" s="1" t="s">
        <v>34</v>
      </c>
      <c r="E6504" s="1" t="s">
        <v>10</v>
      </c>
      <c r="F6504" s="1" t="s">
        <v>118</v>
      </c>
      <c r="G6504" s="14" t="s">
        <v>4458</v>
      </c>
      <c r="H6504" s="1" t="s">
        <v>118</v>
      </c>
      <c r="I6504" s="1" t="s">
        <v>4458</v>
      </c>
    </row>
    <row r="6505" spans="1:9">
      <c r="A6505" s="16" t="s">
        <v>8882</v>
      </c>
      <c r="B6505" s="1" t="s">
        <v>2628</v>
      </c>
      <c r="C6505" s="1">
        <v>5</v>
      </c>
      <c r="D6505" s="1" t="s">
        <v>34</v>
      </c>
      <c r="E6505" s="1" t="s">
        <v>10</v>
      </c>
      <c r="F6505" s="1" t="s">
        <v>5091</v>
      </c>
      <c r="G6505" s="14" t="s">
        <v>8883</v>
      </c>
      <c r="H6505" s="1" t="s">
        <v>5</v>
      </c>
      <c r="I6505" s="1" t="s">
        <v>4458</v>
      </c>
    </row>
    <row r="6506" spans="1:9">
      <c r="A6506" s="16" t="s">
        <v>8884</v>
      </c>
      <c r="B6506" s="1" t="s">
        <v>2628</v>
      </c>
      <c r="C6506" s="1">
        <v>1063</v>
      </c>
      <c r="D6506" s="1" t="s">
        <v>34</v>
      </c>
      <c r="E6506" s="1" t="s">
        <v>10</v>
      </c>
      <c r="F6506" s="1" t="s">
        <v>5091</v>
      </c>
      <c r="G6506" s="14" t="s">
        <v>8885</v>
      </c>
      <c r="H6506" s="1" t="s">
        <v>5</v>
      </c>
      <c r="I6506" s="1" t="s">
        <v>4458</v>
      </c>
    </row>
    <row r="6507" spans="1:9">
      <c r="A6507" s="16" t="s">
        <v>8897</v>
      </c>
      <c r="B6507" s="1" t="s">
        <v>2628</v>
      </c>
      <c r="C6507" s="1">
        <v>5</v>
      </c>
      <c r="D6507" s="1" t="s">
        <v>34</v>
      </c>
      <c r="E6507" s="1" t="s">
        <v>10</v>
      </c>
      <c r="F6507" s="1" t="s">
        <v>588</v>
      </c>
      <c r="G6507" s="14" t="s">
        <v>8898</v>
      </c>
      <c r="H6507" s="1" t="s">
        <v>5</v>
      </c>
      <c r="I6507" s="1" t="s">
        <v>4458</v>
      </c>
    </row>
    <row r="6508" spans="1:9">
      <c r="A6508" s="16" t="s">
        <v>8918</v>
      </c>
      <c r="B6508" s="1" t="s">
        <v>2628</v>
      </c>
      <c r="C6508" s="1">
        <v>5</v>
      </c>
      <c r="D6508" s="1" t="s">
        <v>34</v>
      </c>
      <c r="E6508" s="1" t="s">
        <v>10</v>
      </c>
      <c r="F6508" s="1" t="s">
        <v>5091</v>
      </c>
      <c r="G6508" s="14" t="s">
        <v>8919</v>
      </c>
      <c r="H6508" s="1" t="s">
        <v>43</v>
      </c>
      <c r="I6508" s="17">
        <v>41733</v>
      </c>
    </row>
    <row r="6509" spans="1:9">
      <c r="A6509" s="16" t="s">
        <v>8929</v>
      </c>
      <c r="B6509" s="1" t="s">
        <v>2628</v>
      </c>
      <c r="C6509" s="1">
        <v>5</v>
      </c>
      <c r="D6509" s="1" t="s">
        <v>34</v>
      </c>
      <c r="E6509" s="1" t="s">
        <v>10</v>
      </c>
      <c r="F6509" s="1" t="s">
        <v>5091</v>
      </c>
      <c r="G6509" s="14" t="s">
        <v>6236</v>
      </c>
      <c r="H6509" s="1" t="s">
        <v>43</v>
      </c>
      <c r="I6509" s="17">
        <v>42005</v>
      </c>
    </row>
    <row r="6510" spans="1:9">
      <c r="A6510" s="16" t="s">
        <v>8930</v>
      </c>
      <c r="B6510" s="1" t="s">
        <v>2628</v>
      </c>
      <c r="C6510" s="1">
        <v>5</v>
      </c>
      <c r="D6510" s="1" t="s">
        <v>34</v>
      </c>
      <c r="E6510" s="1" t="s">
        <v>10</v>
      </c>
      <c r="F6510" s="1" t="s">
        <v>5091</v>
      </c>
      <c r="G6510" s="14" t="s">
        <v>6236</v>
      </c>
      <c r="H6510" s="1" t="s">
        <v>43</v>
      </c>
      <c r="I6510" s="17">
        <v>42005</v>
      </c>
    </row>
    <row r="6511" spans="1:9">
      <c r="A6511" s="16" t="s">
        <v>8931</v>
      </c>
      <c r="B6511" s="1" t="s">
        <v>2628</v>
      </c>
      <c r="C6511" s="1">
        <v>5</v>
      </c>
      <c r="D6511" s="1" t="s">
        <v>34</v>
      </c>
      <c r="E6511" s="1" t="s">
        <v>10</v>
      </c>
      <c r="F6511" s="1" t="s">
        <v>5091</v>
      </c>
      <c r="G6511" s="14" t="s">
        <v>6236</v>
      </c>
      <c r="H6511" s="1" t="s">
        <v>43</v>
      </c>
      <c r="I6511" s="17">
        <v>42005</v>
      </c>
    </row>
    <row r="6512" spans="1:9">
      <c r="A6512" s="16" t="s">
        <v>8932</v>
      </c>
      <c r="B6512" s="1" t="s">
        <v>2628</v>
      </c>
      <c r="C6512" s="1">
        <v>5</v>
      </c>
      <c r="D6512" s="1" t="s">
        <v>34</v>
      </c>
      <c r="E6512" s="1" t="s">
        <v>10</v>
      </c>
      <c r="F6512" s="1" t="s">
        <v>5091</v>
      </c>
      <c r="G6512" s="14" t="s">
        <v>6236</v>
      </c>
      <c r="H6512" s="1" t="s">
        <v>43</v>
      </c>
      <c r="I6512" s="17">
        <v>42005</v>
      </c>
    </row>
    <row r="6513" spans="1:9">
      <c r="A6513" s="16" t="s">
        <v>8934</v>
      </c>
      <c r="B6513" s="1" t="s">
        <v>2628</v>
      </c>
      <c r="C6513" s="1">
        <v>5</v>
      </c>
      <c r="D6513" s="1" t="s">
        <v>34</v>
      </c>
      <c r="E6513" s="1" t="s">
        <v>10</v>
      </c>
      <c r="F6513" s="1" t="s">
        <v>5091</v>
      </c>
      <c r="G6513" s="14" t="s">
        <v>4458</v>
      </c>
      <c r="H6513" s="1" t="s">
        <v>118</v>
      </c>
      <c r="I6513" s="17">
        <v>42005</v>
      </c>
    </row>
    <row r="6514" spans="1:9">
      <c r="A6514" s="16" t="s">
        <v>8935</v>
      </c>
      <c r="B6514" s="1" t="s">
        <v>2628</v>
      </c>
      <c r="C6514" s="1">
        <v>5</v>
      </c>
      <c r="D6514" s="1" t="s">
        <v>34</v>
      </c>
      <c r="E6514" s="1" t="s">
        <v>10</v>
      </c>
      <c r="F6514" s="1" t="s">
        <v>5091</v>
      </c>
      <c r="G6514" s="14" t="s">
        <v>6145</v>
      </c>
      <c r="H6514" s="1" t="s">
        <v>43</v>
      </c>
      <c r="I6514" s="17">
        <v>41464</v>
      </c>
    </row>
    <row r="6515" spans="1:9">
      <c r="A6515" s="16" t="s">
        <v>8939</v>
      </c>
      <c r="B6515" s="1" t="s">
        <v>2628</v>
      </c>
      <c r="C6515" s="1">
        <v>5</v>
      </c>
      <c r="D6515" s="1" t="s">
        <v>34</v>
      </c>
      <c r="E6515" s="1" t="s">
        <v>10</v>
      </c>
      <c r="F6515" s="1" t="s">
        <v>5091</v>
      </c>
      <c r="G6515" s="14" t="s">
        <v>6145</v>
      </c>
      <c r="H6515" s="1" t="s">
        <v>43</v>
      </c>
      <c r="I6515" s="17">
        <v>41464</v>
      </c>
    </row>
    <row r="6516" spans="1:9" ht="31.2">
      <c r="A6516" s="16" t="s">
        <v>8940</v>
      </c>
      <c r="B6516" s="1" t="s">
        <v>2628</v>
      </c>
      <c r="C6516" s="1">
        <v>5</v>
      </c>
      <c r="D6516" s="1" t="s">
        <v>34</v>
      </c>
      <c r="E6516" s="1" t="s">
        <v>10</v>
      </c>
      <c r="F6516" s="1" t="s">
        <v>5091</v>
      </c>
      <c r="G6516" s="14" t="s">
        <v>6145</v>
      </c>
      <c r="H6516" s="1" t="s">
        <v>43</v>
      </c>
      <c r="I6516" s="17">
        <v>41464</v>
      </c>
    </row>
    <row r="6517" spans="1:9">
      <c r="A6517" s="16" t="s">
        <v>8943</v>
      </c>
      <c r="B6517" s="1" t="s">
        <v>2628</v>
      </c>
      <c r="C6517" s="1">
        <v>5</v>
      </c>
      <c r="D6517" s="1" t="s">
        <v>34</v>
      </c>
      <c r="E6517" s="1" t="s">
        <v>10</v>
      </c>
      <c r="F6517" s="1" t="s">
        <v>5091</v>
      </c>
      <c r="G6517" s="14" t="s">
        <v>6145</v>
      </c>
      <c r="H6517" s="1" t="s">
        <v>43</v>
      </c>
      <c r="I6517" s="17">
        <v>41464</v>
      </c>
    </row>
    <row r="6518" spans="1:9">
      <c r="A6518" s="16" t="s">
        <v>8970</v>
      </c>
      <c r="B6518" s="1" t="s">
        <v>2628</v>
      </c>
      <c r="C6518" s="1">
        <v>5</v>
      </c>
      <c r="D6518" s="1" t="s">
        <v>34</v>
      </c>
      <c r="E6518" s="1" t="s">
        <v>10</v>
      </c>
      <c r="F6518" s="1" t="s">
        <v>5091</v>
      </c>
      <c r="G6518" s="14" t="s">
        <v>8971</v>
      </c>
      <c r="H6518" s="1" t="s">
        <v>5</v>
      </c>
      <c r="I6518" s="17">
        <v>42005</v>
      </c>
    </row>
    <row r="6519" spans="1:9">
      <c r="A6519" s="16" t="s">
        <v>8972</v>
      </c>
      <c r="B6519" s="1" t="s">
        <v>2628</v>
      </c>
      <c r="C6519" s="1">
        <v>5</v>
      </c>
      <c r="D6519" s="1" t="s">
        <v>34</v>
      </c>
      <c r="E6519" s="1" t="s">
        <v>10</v>
      </c>
      <c r="F6519" s="1" t="s">
        <v>5091</v>
      </c>
      <c r="G6519" s="14" t="s">
        <v>8973</v>
      </c>
      <c r="H6519" s="1" t="s">
        <v>5</v>
      </c>
      <c r="I6519" s="17">
        <v>42005</v>
      </c>
    </row>
    <row r="6520" spans="1:9">
      <c r="A6520" s="16" t="s">
        <v>8978</v>
      </c>
      <c r="B6520" s="1" t="s">
        <v>2628</v>
      </c>
      <c r="C6520" s="1">
        <v>5</v>
      </c>
      <c r="D6520" s="1" t="s">
        <v>34</v>
      </c>
      <c r="E6520" s="1" t="s">
        <v>10</v>
      </c>
      <c r="F6520" s="1" t="s">
        <v>5091</v>
      </c>
      <c r="G6520" s="14" t="s">
        <v>8979</v>
      </c>
      <c r="H6520" s="1" t="s">
        <v>5</v>
      </c>
      <c r="I6520" s="17">
        <v>42005</v>
      </c>
    </row>
    <row r="6521" spans="1:9">
      <c r="A6521" s="16" t="s">
        <v>8982</v>
      </c>
      <c r="B6521" s="1" t="s">
        <v>2628</v>
      </c>
      <c r="C6521" s="1">
        <v>5</v>
      </c>
      <c r="D6521" s="1" t="s">
        <v>34</v>
      </c>
      <c r="E6521" s="1" t="s">
        <v>10</v>
      </c>
      <c r="F6521" s="1" t="s">
        <v>5091</v>
      </c>
      <c r="G6521" s="14" t="s">
        <v>6236</v>
      </c>
      <c r="H6521" s="1" t="s">
        <v>43</v>
      </c>
      <c r="I6521" s="17">
        <v>42005</v>
      </c>
    </row>
    <row r="6522" spans="1:9">
      <c r="A6522" s="16" t="s">
        <v>8989</v>
      </c>
      <c r="B6522" s="1" t="s">
        <v>2628</v>
      </c>
      <c r="C6522" s="1">
        <v>5</v>
      </c>
      <c r="D6522" s="1" t="s">
        <v>34</v>
      </c>
      <c r="E6522" s="1" t="s">
        <v>10</v>
      </c>
      <c r="F6522" s="1" t="s">
        <v>5091</v>
      </c>
      <c r="G6522" s="14" t="s">
        <v>6236</v>
      </c>
      <c r="H6522" s="1" t="s">
        <v>43</v>
      </c>
      <c r="I6522" s="17">
        <v>42005</v>
      </c>
    </row>
    <row r="6523" spans="1:9">
      <c r="A6523" s="16" t="s">
        <v>8993</v>
      </c>
      <c r="B6523" s="1" t="s">
        <v>2631</v>
      </c>
      <c r="C6523" s="1">
        <v>5</v>
      </c>
      <c r="D6523" s="1" t="s">
        <v>34</v>
      </c>
      <c r="E6523" s="1" t="s">
        <v>10</v>
      </c>
      <c r="F6523" s="1" t="s">
        <v>5091</v>
      </c>
      <c r="G6523" s="14" t="s">
        <v>4458</v>
      </c>
      <c r="H6523" s="1" t="s">
        <v>118</v>
      </c>
      <c r="I6523" s="1" t="s">
        <v>4792</v>
      </c>
    </row>
    <row r="6524" spans="1:9">
      <c r="A6524" s="16" t="s">
        <v>8999</v>
      </c>
      <c r="B6524" s="1" t="s">
        <v>2628</v>
      </c>
      <c r="C6524" s="1">
        <v>5</v>
      </c>
      <c r="D6524" s="1" t="s">
        <v>34</v>
      </c>
      <c r="E6524" s="1" t="s">
        <v>10</v>
      </c>
      <c r="F6524" s="1" t="s">
        <v>5091</v>
      </c>
      <c r="G6524" s="14" t="s">
        <v>4458</v>
      </c>
      <c r="H6524" s="1" t="s">
        <v>118</v>
      </c>
      <c r="I6524" s="1" t="s">
        <v>4458</v>
      </c>
    </row>
    <row r="6525" spans="1:9">
      <c r="A6525" s="16" t="s">
        <v>9009</v>
      </c>
      <c r="B6525" s="1" t="s">
        <v>2628</v>
      </c>
      <c r="C6525" s="1">
        <v>5</v>
      </c>
      <c r="D6525" s="1" t="s">
        <v>34</v>
      </c>
      <c r="E6525" s="1" t="s">
        <v>10</v>
      </c>
      <c r="F6525" s="1" t="s">
        <v>5091</v>
      </c>
      <c r="G6525" s="14" t="s">
        <v>9010</v>
      </c>
      <c r="H6525" s="1" t="s">
        <v>5</v>
      </c>
      <c r="I6525" s="17">
        <v>42111</v>
      </c>
    </row>
    <row r="6526" spans="1:9">
      <c r="A6526" s="16" t="s">
        <v>9011</v>
      </c>
      <c r="B6526" s="1" t="s">
        <v>2628</v>
      </c>
      <c r="C6526" s="1">
        <v>5</v>
      </c>
      <c r="D6526" s="1" t="s">
        <v>34</v>
      </c>
      <c r="E6526" s="1" t="s">
        <v>10</v>
      </c>
      <c r="F6526" s="1" t="s">
        <v>5091</v>
      </c>
      <c r="G6526" s="14" t="s">
        <v>9010</v>
      </c>
      <c r="H6526" s="1" t="s">
        <v>5</v>
      </c>
      <c r="I6526" s="17">
        <v>42111</v>
      </c>
    </row>
    <row r="6527" spans="1:9">
      <c r="A6527" s="16" t="s">
        <v>9024</v>
      </c>
      <c r="B6527" s="1" t="s">
        <v>2628</v>
      </c>
      <c r="C6527" s="1">
        <v>5</v>
      </c>
      <c r="D6527" s="1" t="s">
        <v>34</v>
      </c>
      <c r="E6527" s="1" t="s">
        <v>10</v>
      </c>
      <c r="F6527" s="1" t="s">
        <v>5091</v>
      </c>
      <c r="G6527" s="14" t="s">
        <v>6236</v>
      </c>
      <c r="H6527" s="1" t="s">
        <v>43</v>
      </c>
      <c r="I6527" s="17">
        <v>42005</v>
      </c>
    </row>
    <row r="6528" spans="1:9">
      <c r="A6528" s="16" t="s">
        <v>9026</v>
      </c>
      <c r="B6528" s="1" t="s">
        <v>2628</v>
      </c>
      <c r="C6528" s="1">
        <v>5</v>
      </c>
      <c r="D6528" s="1" t="s">
        <v>34</v>
      </c>
      <c r="E6528" s="1" t="s">
        <v>10</v>
      </c>
      <c r="F6528" s="1" t="s">
        <v>5091</v>
      </c>
      <c r="G6528" s="14" t="s">
        <v>6238</v>
      </c>
      <c r="H6528" s="1" t="s">
        <v>43</v>
      </c>
      <c r="I6528" s="17">
        <v>42005</v>
      </c>
    </row>
    <row r="6529" spans="1:9">
      <c r="A6529" s="16" t="s">
        <v>9027</v>
      </c>
      <c r="B6529" s="1" t="s">
        <v>2628</v>
      </c>
      <c r="C6529" s="1">
        <v>5</v>
      </c>
      <c r="D6529" s="1" t="s">
        <v>34</v>
      </c>
      <c r="E6529" s="1" t="s">
        <v>10</v>
      </c>
      <c r="F6529" s="1" t="s">
        <v>5091</v>
      </c>
      <c r="G6529" s="14" t="s">
        <v>6236</v>
      </c>
      <c r="H6529" s="1" t="s">
        <v>43</v>
      </c>
      <c r="I6529" s="17">
        <v>42005</v>
      </c>
    </row>
    <row r="6530" spans="1:9">
      <c r="A6530" s="16" t="s">
        <v>9051</v>
      </c>
      <c r="B6530" s="1" t="s">
        <v>2628</v>
      </c>
      <c r="C6530" s="1">
        <v>820</v>
      </c>
      <c r="D6530" s="1" t="s">
        <v>34</v>
      </c>
      <c r="E6530" s="1" t="s">
        <v>10</v>
      </c>
      <c r="F6530" s="1" t="s">
        <v>5091</v>
      </c>
      <c r="G6530" s="14" t="s">
        <v>9052</v>
      </c>
      <c r="H6530" s="1" t="s">
        <v>43</v>
      </c>
      <c r="I6530" s="17">
        <v>41576</v>
      </c>
    </row>
    <row r="6531" spans="1:9">
      <c r="A6531" s="16" t="s">
        <v>9057</v>
      </c>
      <c r="B6531" s="1" t="s">
        <v>2628</v>
      </c>
      <c r="C6531" s="1">
        <v>5</v>
      </c>
      <c r="D6531" s="1" t="s">
        <v>34</v>
      </c>
      <c r="E6531" s="1" t="s">
        <v>10</v>
      </c>
      <c r="F6531" s="1" t="s">
        <v>5091</v>
      </c>
      <c r="G6531" s="14" t="s">
        <v>4458</v>
      </c>
      <c r="H6531" s="1" t="s">
        <v>118</v>
      </c>
      <c r="I6531" s="1" t="s">
        <v>4458</v>
      </c>
    </row>
    <row r="6532" spans="1:9">
      <c r="A6532" s="16" t="s">
        <v>9059</v>
      </c>
      <c r="B6532" s="1" t="s">
        <v>2628</v>
      </c>
      <c r="C6532" s="1">
        <v>5</v>
      </c>
      <c r="D6532" s="1" t="s">
        <v>34</v>
      </c>
      <c r="E6532" s="1" t="s">
        <v>10</v>
      </c>
      <c r="F6532" s="1" t="s">
        <v>5091</v>
      </c>
      <c r="G6532" s="14" t="s">
        <v>4458</v>
      </c>
      <c r="H6532" s="1" t="s">
        <v>118</v>
      </c>
      <c r="I6532" s="1" t="s">
        <v>4458</v>
      </c>
    </row>
    <row r="6533" spans="1:9">
      <c r="A6533" s="16" t="s">
        <v>9060</v>
      </c>
      <c r="B6533" s="1" t="s">
        <v>2631</v>
      </c>
      <c r="C6533" s="1">
        <v>5</v>
      </c>
      <c r="D6533" s="1" t="s">
        <v>34</v>
      </c>
      <c r="E6533" s="1" t="s">
        <v>10</v>
      </c>
      <c r="F6533" s="1" t="s">
        <v>5091</v>
      </c>
      <c r="G6533" s="14" t="s">
        <v>4458</v>
      </c>
      <c r="H6533" s="1" t="s">
        <v>118</v>
      </c>
      <c r="I6533" s="1" t="s">
        <v>4792</v>
      </c>
    </row>
    <row r="6534" spans="1:9">
      <c r="A6534" s="16" t="s">
        <v>9064</v>
      </c>
      <c r="B6534" s="1" t="s">
        <v>2628</v>
      </c>
      <c r="C6534" s="1">
        <v>5</v>
      </c>
      <c r="D6534" s="1" t="s">
        <v>34</v>
      </c>
      <c r="E6534" s="1" t="s">
        <v>10</v>
      </c>
      <c r="F6534" s="1" t="s">
        <v>5091</v>
      </c>
      <c r="G6534" s="14" t="s">
        <v>4458</v>
      </c>
      <c r="H6534" s="1" t="s">
        <v>118</v>
      </c>
      <c r="I6534" s="1" t="s">
        <v>4458</v>
      </c>
    </row>
    <row r="6535" spans="1:9">
      <c r="A6535" s="16" t="s">
        <v>9067</v>
      </c>
      <c r="B6535" s="1" t="s">
        <v>2628</v>
      </c>
      <c r="C6535" s="1">
        <v>820</v>
      </c>
      <c r="D6535" s="1" t="s">
        <v>34</v>
      </c>
      <c r="E6535" s="1" t="s">
        <v>10</v>
      </c>
      <c r="F6535" s="1" t="s">
        <v>5091</v>
      </c>
      <c r="G6535" s="14" t="s">
        <v>9068</v>
      </c>
      <c r="H6535" s="1" t="s">
        <v>43</v>
      </c>
      <c r="I6535" s="17">
        <v>41576</v>
      </c>
    </row>
    <row r="6536" spans="1:9">
      <c r="A6536" s="16" t="s">
        <v>9076</v>
      </c>
      <c r="B6536" s="1" t="s">
        <v>2628</v>
      </c>
      <c r="C6536" s="1">
        <v>5</v>
      </c>
      <c r="D6536" s="1" t="s">
        <v>34</v>
      </c>
      <c r="E6536" s="1" t="s">
        <v>10</v>
      </c>
      <c r="F6536" s="1" t="s">
        <v>5091</v>
      </c>
      <c r="G6536" s="14" t="s">
        <v>6145</v>
      </c>
      <c r="H6536" s="1" t="s">
        <v>43</v>
      </c>
      <c r="I6536" s="17">
        <v>42138</v>
      </c>
    </row>
    <row r="6537" spans="1:9">
      <c r="A6537" s="16" t="s">
        <v>9077</v>
      </c>
      <c r="B6537" s="1" t="s">
        <v>2628</v>
      </c>
      <c r="C6537" s="1">
        <v>819</v>
      </c>
      <c r="D6537" s="1" t="s">
        <v>34</v>
      </c>
      <c r="E6537" s="1" t="s">
        <v>10</v>
      </c>
      <c r="F6537" s="1" t="s">
        <v>5091</v>
      </c>
      <c r="G6537" s="14" t="s">
        <v>6145</v>
      </c>
      <c r="H6537" s="1" t="s">
        <v>43</v>
      </c>
      <c r="I6537" s="17">
        <v>40887</v>
      </c>
    </row>
    <row r="6538" spans="1:9">
      <c r="A6538" s="16" t="s">
        <v>9078</v>
      </c>
      <c r="B6538" s="1" t="s">
        <v>2628</v>
      </c>
      <c r="C6538" s="1">
        <v>819</v>
      </c>
      <c r="D6538" s="1" t="s">
        <v>34</v>
      </c>
      <c r="E6538" s="1" t="s">
        <v>10</v>
      </c>
      <c r="F6538" s="1" t="s">
        <v>5091</v>
      </c>
      <c r="G6538" s="14" t="s">
        <v>6145</v>
      </c>
      <c r="H6538" s="1" t="s">
        <v>43</v>
      </c>
      <c r="I6538" s="17">
        <v>40887</v>
      </c>
    </row>
    <row r="6539" spans="1:9">
      <c r="A6539" s="16" t="s">
        <v>9079</v>
      </c>
      <c r="B6539" s="1" t="s">
        <v>2628</v>
      </c>
      <c r="C6539" s="1">
        <v>819</v>
      </c>
      <c r="D6539" s="1" t="s">
        <v>34</v>
      </c>
      <c r="E6539" s="1" t="s">
        <v>10</v>
      </c>
      <c r="F6539" s="1" t="s">
        <v>5091</v>
      </c>
      <c r="G6539" s="14" t="s">
        <v>6145</v>
      </c>
      <c r="H6539" s="1" t="s">
        <v>43</v>
      </c>
      <c r="I6539" s="17">
        <v>40887</v>
      </c>
    </row>
    <row r="6540" spans="1:9">
      <c r="A6540" s="16" t="s">
        <v>9082</v>
      </c>
      <c r="B6540" s="1" t="s">
        <v>2628</v>
      </c>
      <c r="C6540" s="1">
        <v>5</v>
      </c>
      <c r="D6540" s="1" t="s">
        <v>34</v>
      </c>
      <c r="E6540" s="1" t="s">
        <v>10</v>
      </c>
      <c r="F6540" s="1" t="s">
        <v>5091</v>
      </c>
      <c r="G6540" s="14" t="s">
        <v>6145</v>
      </c>
      <c r="H6540" s="1" t="s">
        <v>43</v>
      </c>
      <c r="I6540" s="17">
        <v>42115</v>
      </c>
    </row>
    <row r="6541" spans="1:9">
      <c r="A6541" s="16" t="s">
        <v>9087</v>
      </c>
      <c r="B6541" s="1" t="s">
        <v>2628</v>
      </c>
      <c r="C6541" s="1">
        <v>5</v>
      </c>
      <c r="D6541" s="1" t="s">
        <v>34</v>
      </c>
      <c r="E6541" s="1" t="s">
        <v>10</v>
      </c>
      <c r="F6541" s="1" t="s">
        <v>5091</v>
      </c>
      <c r="G6541" s="14" t="s">
        <v>6145</v>
      </c>
      <c r="H6541" s="1" t="s">
        <v>43</v>
      </c>
      <c r="I6541" s="17">
        <v>42115</v>
      </c>
    </row>
    <row r="6542" spans="1:9">
      <c r="A6542" s="16" t="s">
        <v>9088</v>
      </c>
      <c r="B6542" s="1" t="s">
        <v>2628</v>
      </c>
      <c r="C6542" s="1">
        <v>5</v>
      </c>
      <c r="D6542" s="1" t="s">
        <v>34</v>
      </c>
      <c r="E6542" s="1" t="s">
        <v>10</v>
      </c>
      <c r="F6542" s="1" t="s">
        <v>5091</v>
      </c>
      <c r="G6542" s="14" t="s">
        <v>6145</v>
      </c>
      <c r="H6542" s="1" t="s">
        <v>43</v>
      </c>
      <c r="I6542" s="17">
        <v>42115</v>
      </c>
    </row>
    <row r="6543" spans="1:9">
      <c r="A6543" s="16" t="s">
        <v>9089</v>
      </c>
      <c r="B6543" s="1" t="s">
        <v>2628</v>
      </c>
      <c r="C6543" s="1">
        <v>819</v>
      </c>
      <c r="D6543" s="1" t="s">
        <v>34</v>
      </c>
      <c r="E6543" s="1" t="s">
        <v>10</v>
      </c>
      <c r="F6543" s="1" t="s">
        <v>5091</v>
      </c>
      <c r="G6543" s="14" t="s">
        <v>6145</v>
      </c>
      <c r="H6543" s="1" t="s">
        <v>43</v>
      </c>
      <c r="I6543" s="17">
        <v>41142</v>
      </c>
    </row>
    <row r="6544" spans="1:9">
      <c r="A6544" s="16" t="s">
        <v>9090</v>
      </c>
      <c r="B6544" s="1" t="s">
        <v>2628</v>
      </c>
      <c r="C6544" s="1">
        <v>819</v>
      </c>
      <c r="D6544" s="1" t="s">
        <v>34</v>
      </c>
      <c r="E6544" s="1" t="s">
        <v>10</v>
      </c>
      <c r="F6544" s="1" t="s">
        <v>5091</v>
      </c>
      <c r="G6544" s="14" t="s">
        <v>6145</v>
      </c>
      <c r="H6544" s="1" t="s">
        <v>43</v>
      </c>
      <c r="I6544" s="17">
        <v>40887</v>
      </c>
    </row>
    <row r="6545" spans="1:9">
      <c r="A6545" s="16" t="s">
        <v>9091</v>
      </c>
      <c r="B6545" s="1" t="s">
        <v>2628</v>
      </c>
      <c r="C6545" s="1">
        <v>819</v>
      </c>
      <c r="D6545" s="1" t="s">
        <v>34</v>
      </c>
      <c r="E6545" s="1" t="s">
        <v>10</v>
      </c>
      <c r="F6545" s="1" t="s">
        <v>5091</v>
      </c>
      <c r="G6545" s="14" t="s">
        <v>6145</v>
      </c>
      <c r="H6545" s="1" t="s">
        <v>43</v>
      </c>
      <c r="I6545" s="17">
        <v>40887</v>
      </c>
    </row>
    <row r="6546" spans="1:9">
      <c r="A6546" s="16" t="s">
        <v>9092</v>
      </c>
      <c r="B6546" s="1" t="s">
        <v>2628</v>
      </c>
      <c r="C6546" s="1">
        <v>5</v>
      </c>
      <c r="D6546" s="1" t="s">
        <v>34</v>
      </c>
      <c r="E6546" s="1" t="s">
        <v>10</v>
      </c>
      <c r="F6546" s="1" t="s">
        <v>5091</v>
      </c>
      <c r="G6546" s="14" t="s">
        <v>6145</v>
      </c>
      <c r="H6546" s="1" t="s">
        <v>43</v>
      </c>
      <c r="I6546" s="17">
        <v>42115</v>
      </c>
    </row>
    <row r="6547" spans="1:9">
      <c r="A6547" s="16" t="s">
        <v>9097</v>
      </c>
      <c r="B6547" s="1" t="s">
        <v>2631</v>
      </c>
      <c r="C6547" s="1">
        <v>5</v>
      </c>
      <c r="D6547" s="1" t="s">
        <v>34</v>
      </c>
      <c r="E6547" s="1" t="s">
        <v>10</v>
      </c>
      <c r="F6547" s="1" t="s">
        <v>5091</v>
      </c>
      <c r="G6547" s="1" t="s">
        <v>6145</v>
      </c>
      <c r="H6547" s="1" t="s">
        <v>43</v>
      </c>
      <c r="I6547" s="17">
        <v>42124</v>
      </c>
    </row>
    <row r="6548" spans="1:9">
      <c r="A6548" s="16" t="s">
        <v>9098</v>
      </c>
      <c r="B6548" s="1" t="s">
        <v>2628</v>
      </c>
      <c r="C6548" s="1">
        <v>5</v>
      </c>
      <c r="D6548" s="1" t="s">
        <v>34</v>
      </c>
      <c r="E6548" s="1" t="s">
        <v>10</v>
      </c>
      <c r="F6548" s="1" t="s">
        <v>5091</v>
      </c>
      <c r="G6548" s="14" t="s">
        <v>6145</v>
      </c>
      <c r="H6548" s="1" t="s">
        <v>43</v>
      </c>
      <c r="I6548" s="17">
        <v>42115</v>
      </c>
    </row>
    <row r="6549" spans="1:9">
      <c r="A6549" s="16" t="s">
        <v>9099</v>
      </c>
      <c r="B6549" s="1" t="s">
        <v>2628</v>
      </c>
      <c r="C6549" s="1">
        <v>5</v>
      </c>
      <c r="D6549" s="1" t="s">
        <v>34</v>
      </c>
      <c r="E6549" s="1" t="s">
        <v>10</v>
      </c>
      <c r="F6549" s="1" t="s">
        <v>5091</v>
      </c>
      <c r="G6549" s="14" t="s">
        <v>6145</v>
      </c>
      <c r="H6549" s="1" t="s">
        <v>43</v>
      </c>
      <c r="I6549" s="17">
        <v>42115</v>
      </c>
    </row>
    <row r="6550" spans="1:9">
      <c r="A6550" s="16" t="s">
        <v>9100</v>
      </c>
      <c r="B6550" s="1" t="s">
        <v>2628</v>
      </c>
      <c r="C6550" s="1">
        <v>5</v>
      </c>
      <c r="D6550" s="1" t="s">
        <v>34</v>
      </c>
      <c r="E6550" s="1" t="s">
        <v>10</v>
      </c>
      <c r="F6550" s="1" t="s">
        <v>5091</v>
      </c>
      <c r="G6550" s="14" t="s">
        <v>6145</v>
      </c>
      <c r="H6550" s="1" t="s">
        <v>43</v>
      </c>
      <c r="I6550" s="17">
        <v>42115</v>
      </c>
    </row>
    <row r="6551" spans="1:9">
      <c r="A6551" s="16" t="s">
        <v>9101</v>
      </c>
      <c r="B6551" s="1" t="s">
        <v>2628</v>
      </c>
      <c r="C6551" s="1">
        <v>5</v>
      </c>
      <c r="D6551" s="1" t="s">
        <v>34</v>
      </c>
      <c r="E6551" s="1" t="s">
        <v>10</v>
      </c>
      <c r="F6551" s="1" t="s">
        <v>5091</v>
      </c>
      <c r="G6551" s="14" t="s">
        <v>6145</v>
      </c>
      <c r="H6551" s="1" t="s">
        <v>43</v>
      </c>
      <c r="I6551" s="17">
        <v>42115</v>
      </c>
    </row>
    <row r="6552" spans="1:9">
      <c r="A6552" s="16" t="s">
        <v>9102</v>
      </c>
      <c r="B6552" s="1" t="s">
        <v>2628</v>
      </c>
      <c r="C6552" s="1">
        <v>5</v>
      </c>
      <c r="D6552" s="1" t="s">
        <v>34</v>
      </c>
      <c r="E6552" s="1" t="s">
        <v>10</v>
      </c>
      <c r="F6552" s="1" t="s">
        <v>5091</v>
      </c>
      <c r="G6552" s="14" t="s">
        <v>6145</v>
      </c>
      <c r="H6552" s="1" t="s">
        <v>43</v>
      </c>
      <c r="I6552" s="17">
        <v>42115</v>
      </c>
    </row>
    <row r="6553" spans="1:9">
      <c r="A6553" s="16" t="s">
        <v>9103</v>
      </c>
      <c r="B6553" s="1" t="s">
        <v>2628</v>
      </c>
      <c r="C6553" s="1">
        <v>5</v>
      </c>
      <c r="D6553" s="1" t="s">
        <v>34</v>
      </c>
      <c r="E6553" s="1" t="s">
        <v>10</v>
      </c>
      <c r="F6553" s="1" t="s">
        <v>5091</v>
      </c>
      <c r="G6553" s="14" t="s">
        <v>6145</v>
      </c>
      <c r="H6553" s="1" t="s">
        <v>43</v>
      </c>
      <c r="I6553" s="17">
        <v>42115</v>
      </c>
    </row>
    <row r="6554" spans="1:9">
      <c r="A6554" s="16" t="s">
        <v>9104</v>
      </c>
      <c r="B6554" s="1" t="s">
        <v>2628</v>
      </c>
      <c r="C6554" s="1">
        <v>5</v>
      </c>
      <c r="D6554" s="1" t="s">
        <v>34</v>
      </c>
      <c r="E6554" s="1" t="s">
        <v>10</v>
      </c>
      <c r="F6554" s="1" t="s">
        <v>5091</v>
      </c>
      <c r="G6554" s="14" t="s">
        <v>6145</v>
      </c>
      <c r="H6554" s="1" t="s">
        <v>43</v>
      </c>
      <c r="I6554" s="17">
        <v>42115</v>
      </c>
    </row>
    <row r="6555" spans="1:9">
      <c r="A6555" s="16" t="s">
        <v>9105</v>
      </c>
      <c r="B6555" s="1" t="s">
        <v>2628</v>
      </c>
      <c r="C6555" s="1">
        <v>5</v>
      </c>
      <c r="D6555" s="1" t="s">
        <v>34</v>
      </c>
      <c r="E6555" s="1" t="s">
        <v>10</v>
      </c>
      <c r="F6555" s="1" t="s">
        <v>5091</v>
      </c>
      <c r="G6555" s="14" t="s">
        <v>6145</v>
      </c>
      <c r="H6555" s="1" t="s">
        <v>43</v>
      </c>
      <c r="I6555" s="17">
        <v>42115</v>
      </c>
    </row>
    <row r="6556" spans="1:9">
      <c r="A6556" s="16" t="s">
        <v>9106</v>
      </c>
      <c r="B6556" s="1" t="s">
        <v>2628</v>
      </c>
      <c r="C6556" s="1">
        <v>5</v>
      </c>
      <c r="D6556" s="1" t="s">
        <v>34</v>
      </c>
      <c r="E6556" s="1" t="s">
        <v>10</v>
      </c>
      <c r="F6556" s="1" t="s">
        <v>5091</v>
      </c>
      <c r="G6556" s="14" t="s">
        <v>6145</v>
      </c>
      <c r="H6556" s="1" t="s">
        <v>43</v>
      </c>
      <c r="I6556" s="17">
        <v>42115</v>
      </c>
    </row>
    <row r="6557" spans="1:9">
      <c r="A6557" s="16" t="s">
        <v>9107</v>
      </c>
      <c r="B6557" s="1" t="s">
        <v>2628</v>
      </c>
      <c r="C6557" s="1">
        <v>5</v>
      </c>
      <c r="D6557" s="1" t="s">
        <v>34</v>
      </c>
      <c r="E6557" s="1" t="s">
        <v>10</v>
      </c>
      <c r="F6557" s="1" t="s">
        <v>5091</v>
      </c>
      <c r="G6557" s="14" t="s">
        <v>6145</v>
      </c>
      <c r="H6557" s="1" t="s">
        <v>43</v>
      </c>
      <c r="I6557" s="17">
        <v>42115</v>
      </c>
    </row>
    <row r="6558" spans="1:9">
      <c r="A6558" s="16" t="s">
        <v>9108</v>
      </c>
      <c r="B6558" s="1" t="s">
        <v>2628</v>
      </c>
      <c r="C6558" s="1">
        <v>5</v>
      </c>
      <c r="D6558" s="1" t="s">
        <v>34</v>
      </c>
      <c r="E6558" s="1" t="s">
        <v>10</v>
      </c>
      <c r="F6558" s="1" t="s">
        <v>5091</v>
      </c>
      <c r="G6558" s="14" t="s">
        <v>6145</v>
      </c>
      <c r="H6558" s="1" t="s">
        <v>43</v>
      </c>
      <c r="I6558" s="17">
        <v>42115</v>
      </c>
    </row>
    <row r="6559" spans="1:9">
      <c r="A6559" s="16" t="s">
        <v>9109</v>
      </c>
      <c r="B6559" s="1" t="s">
        <v>2628</v>
      </c>
      <c r="C6559" s="1">
        <v>5</v>
      </c>
      <c r="D6559" s="1" t="s">
        <v>34</v>
      </c>
      <c r="E6559" s="1" t="s">
        <v>10</v>
      </c>
      <c r="F6559" s="1" t="s">
        <v>5091</v>
      </c>
      <c r="G6559" s="14" t="s">
        <v>6145</v>
      </c>
      <c r="H6559" s="1" t="s">
        <v>43</v>
      </c>
      <c r="I6559" s="17">
        <v>42115</v>
      </c>
    </row>
    <row r="6560" spans="1:9">
      <c r="A6560" s="16" t="s">
        <v>9110</v>
      </c>
      <c r="B6560" s="1" t="s">
        <v>2628</v>
      </c>
      <c r="C6560" s="1">
        <v>5</v>
      </c>
      <c r="D6560" s="1" t="s">
        <v>34</v>
      </c>
      <c r="E6560" s="1" t="s">
        <v>10</v>
      </c>
      <c r="F6560" s="1" t="s">
        <v>5091</v>
      </c>
      <c r="G6560" s="14" t="s">
        <v>6145</v>
      </c>
      <c r="H6560" s="1" t="s">
        <v>43</v>
      </c>
      <c r="I6560" s="17">
        <v>42115</v>
      </c>
    </row>
    <row r="6561" spans="1:9">
      <c r="A6561" s="16" t="s">
        <v>9111</v>
      </c>
      <c r="B6561" s="1" t="s">
        <v>2628</v>
      </c>
      <c r="C6561" s="1">
        <v>5</v>
      </c>
      <c r="D6561" s="1" t="s">
        <v>34</v>
      </c>
      <c r="E6561" s="1" t="s">
        <v>10</v>
      </c>
      <c r="F6561" s="1" t="s">
        <v>5091</v>
      </c>
      <c r="G6561" s="14" t="s">
        <v>6145</v>
      </c>
      <c r="H6561" s="1" t="s">
        <v>43</v>
      </c>
      <c r="I6561" s="17">
        <v>42115</v>
      </c>
    </row>
    <row r="6562" spans="1:9">
      <c r="A6562" s="16" t="s">
        <v>9112</v>
      </c>
      <c r="B6562" s="1" t="s">
        <v>2628</v>
      </c>
      <c r="C6562" s="1">
        <v>5</v>
      </c>
      <c r="D6562" s="1" t="s">
        <v>34</v>
      </c>
      <c r="E6562" s="1" t="s">
        <v>10</v>
      </c>
      <c r="F6562" s="1" t="s">
        <v>5091</v>
      </c>
      <c r="G6562" s="14" t="s">
        <v>6145</v>
      </c>
      <c r="H6562" s="1" t="s">
        <v>43</v>
      </c>
      <c r="I6562" s="17">
        <v>42115</v>
      </c>
    </row>
    <row r="6563" spans="1:9">
      <c r="A6563" s="16" t="s">
        <v>9113</v>
      </c>
      <c r="B6563" s="1" t="s">
        <v>2628</v>
      </c>
      <c r="C6563" s="1">
        <v>5</v>
      </c>
      <c r="D6563" s="1" t="s">
        <v>34</v>
      </c>
      <c r="E6563" s="1" t="s">
        <v>10</v>
      </c>
      <c r="F6563" s="1" t="s">
        <v>5091</v>
      </c>
      <c r="G6563" s="14" t="s">
        <v>6145</v>
      </c>
      <c r="H6563" s="1" t="s">
        <v>43</v>
      </c>
      <c r="I6563" s="17">
        <v>42115</v>
      </c>
    </row>
    <row r="6564" spans="1:9">
      <c r="A6564" s="16" t="s">
        <v>9140</v>
      </c>
      <c r="B6564" s="1" t="s">
        <v>2628</v>
      </c>
      <c r="C6564" s="1">
        <v>5</v>
      </c>
      <c r="D6564" s="1" t="s">
        <v>34</v>
      </c>
      <c r="E6564" s="1" t="s">
        <v>10</v>
      </c>
      <c r="F6564" s="1" t="s">
        <v>5091</v>
      </c>
      <c r="G6564" s="14" t="s">
        <v>6145</v>
      </c>
      <c r="H6564" s="1" t="s">
        <v>43</v>
      </c>
      <c r="I6564" s="17">
        <v>42111</v>
      </c>
    </row>
    <row r="6565" spans="1:9">
      <c r="A6565" s="16" t="s">
        <v>9153</v>
      </c>
      <c r="B6565" s="1" t="s">
        <v>2628</v>
      </c>
      <c r="C6565" s="1">
        <v>5</v>
      </c>
      <c r="D6565" s="1" t="s">
        <v>34</v>
      </c>
      <c r="E6565" s="1" t="s">
        <v>10</v>
      </c>
      <c r="F6565" s="1" t="s">
        <v>5091</v>
      </c>
      <c r="G6565" s="14" t="s">
        <v>6236</v>
      </c>
      <c r="H6565" s="1" t="s">
        <v>43</v>
      </c>
      <c r="I6565" s="17">
        <v>42005</v>
      </c>
    </row>
    <row r="6566" spans="1:9">
      <c r="A6566" s="16" t="s">
        <v>9156</v>
      </c>
      <c r="B6566" s="1" t="s">
        <v>2628</v>
      </c>
      <c r="C6566" s="1">
        <v>5</v>
      </c>
      <c r="D6566" s="1" t="s">
        <v>34</v>
      </c>
      <c r="E6566" s="1" t="s">
        <v>10</v>
      </c>
      <c r="F6566" s="1" t="s">
        <v>5091</v>
      </c>
      <c r="G6566" s="14" t="s">
        <v>6145</v>
      </c>
      <c r="H6566" s="1" t="s">
        <v>43</v>
      </c>
      <c r="I6566" s="17">
        <v>42156</v>
      </c>
    </row>
    <row r="6567" spans="1:9">
      <c r="A6567" s="16" t="s">
        <v>9158</v>
      </c>
      <c r="B6567" s="1" t="s">
        <v>2628</v>
      </c>
      <c r="C6567" s="1">
        <v>5</v>
      </c>
      <c r="D6567" s="1" t="s">
        <v>34</v>
      </c>
      <c r="E6567" s="1" t="s">
        <v>10</v>
      </c>
      <c r="F6567" s="1" t="s">
        <v>5091</v>
      </c>
      <c r="G6567" s="14" t="s">
        <v>6145</v>
      </c>
      <c r="H6567" s="1" t="s">
        <v>43</v>
      </c>
      <c r="I6567" s="17">
        <v>42156</v>
      </c>
    </row>
    <row r="6568" spans="1:9">
      <c r="A6568" s="16" t="s">
        <v>9159</v>
      </c>
      <c r="B6568" s="1" t="s">
        <v>2628</v>
      </c>
      <c r="C6568" s="1">
        <v>5</v>
      </c>
      <c r="D6568" s="1" t="s">
        <v>34</v>
      </c>
      <c r="E6568" s="1" t="s">
        <v>10</v>
      </c>
      <c r="F6568" s="1" t="s">
        <v>5091</v>
      </c>
      <c r="G6568" s="14" t="s">
        <v>6145</v>
      </c>
      <c r="H6568" s="1" t="s">
        <v>43</v>
      </c>
      <c r="I6568" s="17">
        <v>42156</v>
      </c>
    </row>
    <row r="6569" spans="1:9">
      <c r="A6569" s="16" t="s">
        <v>9160</v>
      </c>
      <c r="B6569" s="1" t="s">
        <v>2628</v>
      </c>
      <c r="C6569" s="1">
        <v>819</v>
      </c>
      <c r="D6569" s="1" t="s">
        <v>34</v>
      </c>
      <c r="E6569" s="1" t="s">
        <v>10</v>
      </c>
      <c r="F6569" s="1" t="s">
        <v>5091</v>
      </c>
      <c r="G6569" s="14" t="s">
        <v>6145</v>
      </c>
      <c r="H6569" s="1" t="s">
        <v>43</v>
      </c>
      <c r="I6569" s="17">
        <v>40887</v>
      </c>
    </row>
    <row r="6570" spans="1:9">
      <c r="A6570" s="16" t="s">
        <v>9161</v>
      </c>
      <c r="B6570" s="1" t="s">
        <v>2628</v>
      </c>
      <c r="C6570" s="1">
        <v>819</v>
      </c>
      <c r="D6570" s="1" t="s">
        <v>34</v>
      </c>
      <c r="E6570" s="1" t="s">
        <v>10</v>
      </c>
      <c r="F6570" s="1" t="s">
        <v>5091</v>
      </c>
      <c r="G6570" s="14" t="s">
        <v>6145</v>
      </c>
      <c r="H6570" s="1" t="s">
        <v>43</v>
      </c>
      <c r="I6570" s="17">
        <v>40887</v>
      </c>
    </row>
    <row r="6571" spans="1:9">
      <c r="A6571" s="16" t="s">
        <v>9162</v>
      </c>
      <c r="B6571" s="1" t="s">
        <v>2628</v>
      </c>
      <c r="C6571" s="1">
        <v>819</v>
      </c>
      <c r="D6571" s="1" t="s">
        <v>34</v>
      </c>
      <c r="E6571" s="1" t="s">
        <v>10</v>
      </c>
      <c r="F6571" s="1" t="s">
        <v>5091</v>
      </c>
      <c r="G6571" s="14" t="s">
        <v>6145</v>
      </c>
      <c r="H6571" s="1" t="s">
        <v>43</v>
      </c>
      <c r="I6571" s="17">
        <v>40887</v>
      </c>
    </row>
    <row r="6572" spans="1:9">
      <c r="A6572" s="16" t="s">
        <v>9165</v>
      </c>
      <c r="B6572" s="1" t="s">
        <v>2628</v>
      </c>
      <c r="C6572" s="1">
        <v>819</v>
      </c>
      <c r="D6572" s="1" t="s">
        <v>34</v>
      </c>
      <c r="E6572" s="1" t="s">
        <v>10</v>
      </c>
      <c r="F6572" s="1" t="s">
        <v>5091</v>
      </c>
      <c r="G6572" s="14" t="s">
        <v>6145</v>
      </c>
      <c r="H6572" s="1" t="s">
        <v>43</v>
      </c>
      <c r="I6572" s="17">
        <v>40887</v>
      </c>
    </row>
    <row r="6573" spans="1:9">
      <c r="A6573" s="16" t="s">
        <v>9166</v>
      </c>
      <c r="B6573" s="1" t="s">
        <v>2628</v>
      </c>
      <c r="C6573" s="1">
        <v>819</v>
      </c>
      <c r="D6573" s="1" t="s">
        <v>34</v>
      </c>
      <c r="E6573" s="1" t="s">
        <v>10</v>
      </c>
      <c r="F6573" s="1" t="s">
        <v>5091</v>
      </c>
      <c r="G6573" s="14" t="s">
        <v>6145</v>
      </c>
      <c r="H6573" s="1" t="s">
        <v>43</v>
      </c>
      <c r="I6573" s="17">
        <v>40887</v>
      </c>
    </row>
    <row r="6574" spans="1:9">
      <c r="A6574" s="16" t="s">
        <v>9180</v>
      </c>
      <c r="B6574" s="1" t="s">
        <v>2628</v>
      </c>
      <c r="C6574" s="1">
        <v>5</v>
      </c>
      <c r="D6574" s="1" t="s">
        <v>34</v>
      </c>
      <c r="E6574" s="1" t="s">
        <v>10</v>
      </c>
      <c r="F6574" s="1" t="s">
        <v>5091</v>
      </c>
      <c r="G6574" s="14" t="s">
        <v>6145</v>
      </c>
      <c r="H6574" s="1" t="s">
        <v>43</v>
      </c>
      <c r="I6574" s="17">
        <v>42164</v>
      </c>
    </row>
    <row r="6575" spans="1:9">
      <c r="A6575" s="16" t="s">
        <v>9185</v>
      </c>
      <c r="B6575" s="1" t="s">
        <v>2628</v>
      </c>
      <c r="C6575" s="1">
        <v>5</v>
      </c>
      <c r="D6575" s="1" t="s">
        <v>34</v>
      </c>
      <c r="E6575" s="1" t="s">
        <v>10</v>
      </c>
      <c r="F6575" s="1" t="s">
        <v>5091</v>
      </c>
      <c r="G6575" s="14" t="s">
        <v>6145</v>
      </c>
      <c r="H6575" s="1" t="s">
        <v>43</v>
      </c>
      <c r="I6575" s="17">
        <v>42128</v>
      </c>
    </row>
    <row r="6576" spans="1:9">
      <c r="A6576" s="16" t="s">
        <v>9202</v>
      </c>
      <c r="B6576" s="1" t="s">
        <v>2628</v>
      </c>
      <c r="C6576" s="1">
        <v>5</v>
      </c>
      <c r="D6576" s="1" t="s">
        <v>34</v>
      </c>
      <c r="E6576" s="1" t="s">
        <v>10</v>
      </c>
      <c r="F6576" s="1" t="s">
        <v>5091</v>
      </c>
      <c r="G6576" s="14" t="s">
        <v>6236</v>
      </c>
      <c r="H6576" s="1" t="s">
        <v>43</v>
      </c>
      <c r="I6576" s="17">
        <v>42005</v>
      </c>
    </row>
    <row r="6577" spans="1:9">
      <c r="A6577" s="16" t="s">
        <v>9206</v>
      </c>
      <c r="B6577" s="1" t="s">
        <v>2628</v>
      </c>
      <c r="C6577" s="1">
        <v>5</v>
      </c>
      <c r="D6577" s="1" t="s">
        <v>34</v>
      </c>
      <c r="E6577" s="1" t="s">
        <v>10</v>
      </c>
      <c r="F6577" s="1" t="s">
        <v>5091</v>
      </c>
      <c r="G6577" s="14" t="s">
        <v>6238</v>
      </c>
      <c r="H6577" s="1" t="s">
        <v>43</v>
      </c>
      <c r="I6577" s="17">
        <v>42005</v>
      </c>
    </row>
    <row r="6578" spans="1:9">
      <c r="A6578" s="16" t="s">
        <v>9207</v>
      </c>
      <c r="B6578" s="1" t="s">
        <v>2628</v>
      </c>
      <c r="C6578" s="1">
        <v>5</v>
      </c>
      <c r="D6578" s="1" t="s">
        <v>34</v>
      </c>
      <c r="E6578" s="1" t="s">
        <v>10</v>
      </c>
      <c r="F6578" s="1" t="s">
        <v>5091</v>
      </c>
      <c r="G6578" s="14" t="s">
        <v>6238</v>
      </c>
      <c r="H6578" s="1" t="s">
        <v>43</v>
      </c>
      <c r="I6578" s="17">
        <v>42005</v>
      </c>
    </row>
    <row r="6579" spans="1:9">
      <c r="A6579" s="16" t="s">
        <v>9221</v>
      </c>
      <c r="B6579" s="1" t="s">
        <v>2628</v>
      </c>
      <c r="C6579" s="1">
        <v>5</v>
      </c>
      <c r="D6579" s="1" t="s">
        <v>34</v>
      </c>
      <c r="E6579" s="1" t="s">
        <v>10</v>
      </c>
      <c r="F6579" s="1" t="s">
        <v>5091</v>
      </c>
      <c r="G6579" s="14" t="s">
        <v>6145</v>
      </c>
      <c r="H6579" s="1" t="s">
        <v>43</v>
      </c>
      <c r="I6579" s="17">
        <v>38602</v>
      </c>
    </row>
    <row r="6580" spans="1:9">
      <c r="A6580" s="16" t="s">
        <v>9222</v>
      </c>
      <c r="B6580" s="1" t="s">
        <v>2628</v>
      </c>
      <c r="C6580" s="1">
        <v>5</v>
      </c>
      <c r="D6580" s="1" t="s">
        <v>34</v>
      </c>
      <c r="E6580" s="1" t="s">
        <v>10</v>
      </c>
      <c r="F6580" s="1" t="s">
        <v>5091</v>
      </c>
      <c r="G6580" s="14" t="s">
        <v>6145</v>
      </c>
      <c r="H6580" s="1" t="s">
        <v>43</v>
      </c>
      <c r="I6580" s="17">
        <v>38602</v>
      </c>
    </row>
    <row r="6581" spans="1:9">
      <c r="A6581" s="16" t="s">
        <v>9231</v>
      </c>
      <c r="B6581" s="1" t="s">
        <v>2628</v>
      </c>
      <c r="C6581" s="1">
        <v>5</v>
      </c>
      <c r="D6581" s="1" t="s">
        <v>34</v>
      </c>
      <c r="E6581" s="1" t="s">
        <v>10</v>
      </c>
      <c r="F6581" s="1" t="s">
        <v>5091</v>
      </c>
      <c r="G6581" s="14" t="s">
        <v>9232</v>
      </c>
      <c r="H6581" s="1" t="s">
        <v>5</v>
      </c>
      <c r="I6581" s="17">
        <v>42005</v>
      </c>
    </row>
    <row r="6582" spans="1:9">
      <c r="A6582" s="16" t="s">
        <v>9236</v>
      </c>
      <c r="B6582" s="1" t="s">
        <v>2628</v>
      </c>
      <c r="C6582" s="1">
        <v>5</v>
      </c>
      <c r="D6582" s="1" t="s">
        <v>34</v>
      </c>
      <c r="E6582" s="1" t="s">
        <v>10</v>
      </c>
      <c r="F6582" s="1" t="s">
        <v>5091</v>
      </c>
      <c r="G6582" s="14" t="s">
        <v>9237</v>
      </c>
      <c r="H6582" s="1" t="s">
        <v>5</v>
      </c>
      <c r="I6582" s="17">
        <v>40961</v>
      </c>
    </row>
    <row r="6583" spans="1:9">
      <c r="A6583" s="16" t="s">
        <v>9239</v>
      </c>
      <c r="B6583" s="1" t="s">
        <v>2628</v>
      </c>
      <c r="C6583" s="1">
        <v>5</v>
      </c>
      <c r="D6583" s="1" t="s">
        <v>34</v>
      </c>
      <c r="E6583" s="1" t="s">
        <v>10</v>
      </c>
      <c r="F6583" s="1" t="s">
        <v>5091</v>
      </c>
      <c r="G6583" s="14" t="s">
        <v>9237</v>
      </c>
      <c r="H6583" s="1" t="s">
        <v>5</v>
      </c>
      <c r="I6583" s="17">
        <v>40961</v>
      </c>
    </row>
    <row r="6584" spans="1:9">
      <c r="A6584" s="16" t="s">
        <v>9250</v>
      </c>
      <c r="B6584" s="1" t="s">
        <v>2628</v>
      </c>
      <c r="C6584" s="1">
        <v>5</v>
      </c>
      <c r="D6584" s="1" t="s">
        <v>34</v>
      </c>
      <c r="E6584" s="1" t="s">
        <v>10</v>
      </c>
      <c r="F6584" s="1" t="s">
        <v>5091</v>
      </c>
      <c r="G6584" s="14" t="s">
        <v>9251</v>
      </c>
      <c r="H6584" s="1" t="s">
        <v>5</v>
      </c>
      <c r="I6584" s="17">
        <v>40663</v>
      </c>
    </row>
    <row r="6585" spans="1:9">
      <c r="A6585" s="16" t="s">
        <v>9260</v>
      </c>
      <c r="B6585" s="1" t="s">
        <v>2628</v>
      </c>
      <c r="C6585" s="1">
        <v>5</v>
      </c>
      <c r="D6585" s="1" t="s">
        <v>34</v>
      </c>
      <c r="E6585" s="1" t="s">
        <v>10</v>
      </c>
      <c r="F6585" s="1" t="s">
        <v>5091</v>
      </c>
      <c r="G6585" s="14" t="s">
        <v>9251</v>
      </c>
      <c r="H6585" s="1" t="s">
        <v>5</v>
      </c>
      <c r="I6585" s="17">
        <v>40663</v>
      </c>
    </row>
    <row r="6586" spans="1:9">
      <c r="A6586" s="16" t="s">
        <v>9264</v>
      </c>
      <c r="B6586" s="1" t="s">
        <v>2628</v>
      </c>
      <c r="C6586" s="1">
        <v>5</v>
      </c>
      <c r="D6586" s="1" t="s">
        <v>34</v>
      </c>
      <c r="E6586" s="1" t="s">
        <v>10</v>
      </c>
      <c r="F6586" s="1" t="s">
        <v>5091</v>
      </c>
      <c r="G6586" s="14" t="s">
        <v>8964</v>
      </c>
      <c r="H6586" s="1" t="s">
        <v>5</v>
      </c>
      <c r="I6586" s="17">
        <v>40719</v>
      </c>
    </row>
    <row r="6587" spans="1:9">
      <c r="A6587" s="16" t="s">
        <v>9266</v>
      </c>
      <c r="B6587" s="1" t="s">
        <v>2628</v>
      </c>
      <c r="C6587" s="1">
        <v>5</v>
      </c>
      <c r="D6587" s="1" t="s">
        <v>34</v>
      </c>
      <c r="E6587" s="1" t="s">
        <v>10</v>
      </c>
      <c r="F6587" s="1" t="s">
        <v>5091</v>
      </c>
      <c r="G6587" s="14" t="s">
        <v>9242</v>
      </c>
      <c r="H6587" s="1" t="s">
        <v>5</v>
      </c>
      <c r="I6587" s="17">
        <v>40719</v>
      </c>
    </row>
    <row r="6588" spans="1:9">
      <c r="A6588" s="16" t="s">
        <v>9275</v>
      </c>
      <c r="B6588" s="1" t="s">
        <v>2628</v>
      </c>
      <c r="C6588" s="1">
        <v>5</v>
      </c>
      <c r="D6588" s="1" t="s">
        <v>34</v>
      </c>
      <c r="E6588" s="1" t="s">
        <v>10</v>
      </c>
      <c r="F6588" s="1" t="s">
        <v>5091</v>
      </c>
      <c r="G6588" s="14" t="s">
        <v>8964</v>
      </c>
      <c r="H6588" s="1" t="s">
        <v>5</v>
      </c>
      <c r="I6588" s="17">
        <v>40719</v>
      </c>
    </row>
    <row r="6589" spans="1:9">
      <c r="A6589" s="16" t="s">
        <v>9284</v>
      </c>
      <c r="B6589" s="1" t="s">
        <v>2628</v>
      </c>
      <c r="C6589" s="1">
        <v>5</v>
      </c>
      <c r="D6589" s="1" t="s">
        <v>34</v>
      </c>
      <c r="E6589" s="1" t="s">
        <v>10</v>
      </c>
      <c r="F6589" s="1" t="s">
        <v>5091</v>
      </c>
      <c r="G6589" s="14" t="s">
        <v>9251</v>
      </c>
      <c r="H6589" s="1" t="s">
        <v>5</v>
      </c>
      <c r="I6589" s="17">
        <v>40719</v>
      </c>
    </row>
    <row r="6590" spans="1:9">
      <c r="A6590" s="16" t="s">
        <v>9290</v>
      </c>
      <c r="B6590" s="1" t="s">
        <v>2628</v>
      </c>
      <c r="C6590" s="1">
        <v>5</v>
      </c>
      <c r="D6590" s="1" t="s">
        <v>34</v>
      </c>
      <c r="E6590" s="1" t="s">
        <v>10</v>
      </c>
      <c r="F6590" s="1" t="s">
        <v>5091</v>
      </c>
      <c r="G6590" s="14" t="s">
        <v>6236</v>
      </c>
      <c r="H6590" s="1" t="s">
        <v>43</v>
      </c>
      <c r="I6590" s="17">
        <v>42005</v>
      </c>
    </row>
    <row r="6591" spans="1:9">
      <c r="A6591" s="16" t="s">
        <v>9301</v>
      </c>
      <c r="B6591" s="1" t="s">
        <v>2628</v>
      </c>
      <c r="C6591" s="1">
        <v>5</v>
      </c>
      <c r="D6591" s="1" t="s">
        <v>34</v>
      </c>
      <c r="E6591" s="1" t="s">
        <v>10</v>
      </c>
      <c r="F6591" s="1" t="s">
        <v>5091</v>
      </c>
      <c r="G6591" s="14" t="s">
        <v>4458</v>
      </c>
      <c r="H6591" s="1" t="s">
        <v>118</v>
      </c>
      <c r="I6591" s="1" t="s">
        <v>4458</v>
      </c>
    </row>
    <row r="6592" spans="1:9">
      <c r="A6592" s="16" t="s">
        <v>9403</v>
      </c>
      <c r="B6592" s="1" t="s">
        <v>2628</v>
      </c>
      <c r="C6592" s="1">
        <v>5</v>
      </c>
      <c r="D6592" s="1" t="s">
        <v>34</v>
      </c>
      <c r="E6592" s="1" t="s">
        <v>10</v>
      </c>
      <c r="F6592" s="1" t="s">
        <v>5091</v>
      </c>
      <c r="G6592" s="14" t="s">
        <v>6145</v>
      </c>
      <c r="H6592" s="1" t="s">
        <v>43</v>
      </c>
      <c r="I6592" s="17">
        <v>42005</v>
      </c>
    </row>
    <row r="6593" spans="1:9">
      <c r="A6593" s="16" t="s">
        <v>9404</v>
      </c>
      <c r="B6593" s="1" t="s">
        <v>2628</v>
      </c>
      <c r="C6593" s="1">
        <v>5</v>
      </c>
      <c r="D6593" s="1" t="s">
        <v>34</v>
      </c>
      <c r="E6593" s="1" t="s">
        <v>10</v>
      </c>
      <c r="F6593" s="1" t="s">
        <v>5091</v>
      </c>
      <c r="G6593" s="14" t="s">
        <v>6145</v>
      </c>
      <c r="H6593" s="1" t="s">
        <v>43</v>
      </c>
      <c r="I6593" s="17">
        <v>42005</v>
      </c>
    </row>
    <row r="6594" spans="1:9">
      <c r="A6594" s="16" t="s">
        <v>9411</v>
      </c>
      <c r="B6594" s="1" t="s">
        <v>2628</v>
      </c>
      <c r="C6594" s="1">
        <v>5</v>
      </c>
      <c r="D6594" s="1" t="s">
        <v>34</v>
      </c>
      <c r="E6594" s="1" t="s">
        <v>10</v>
      </c>
      <c r="F6594" s="1" t="s">
        <v>5091</v>
      </c>
      <c r="G6594" s="14" t="s">
        <v>4458</v>
      </c>
      <c r="H6594" s="1" t="s">
        <v>118</v>
      </c>
      <c r="I6594" s="1" t="s">
        <v>4458</v>
      </c>
    </row>
    <row r="6595" spans="1:9">
      <c r="A6595" s="16" t="s">
        <v>9412</v>
      </c>
      <c r="B6595" s="1" t="s">
        <v>2628</v>
      </c>
      <c r="C6595" s="1">
        <v>5</v>
      </c>
      <c r="D6595" s="1" t="s">
        <v>34</v>
      </c>
      <c r="E6595" s="1" t="s">
        <v>10</v>
      </c>
      <c r="F6595" s="1" t="s">
        <v>5091</v>
      </c>
      <c r="G6595" s="14" t="s">
        <v>6236</v>
      </c>
      <c r="H6595" s="1" t="s">
        <v>43</v>
      </c>
      <c r="I6595" s="17">
        <v>42005</v>
      </c>
    </row>
    <row r="6596" spans="1:9">
      <c r="A6596" s="16" t="s">
        <v>9420</v>
      </c>
      <c r="B6596" s="1" t="s">
        <v>2628</v>
      </c>
      <c r="C6596" s="1">
        <v>5</v>
      </c>
      <c r="D6596" s="1" t="s">
        <v>34</v>
      </c>
      <c r="E6596" s="1" t="s">
        <v>10</v>
      </c>
      <c r="F6596" s="1" t="s">
        <v>5091</v>
      </c>
      <c r="G6596" s="14" t="s">
        <v>6145</v>
      </c>
      <c r="H6596" s="1" t="s">
        <v>43</v>
      </c>
      <c r="I6596" s="17">
        <v>41995</v>
      </c>
    </row>
    <row r="6597" spans="1:9">
      <c r="A6597" s="16" t="s">
        <v>9421</v>
      </c>
      <c r="B6597" s="1" t="s">
        <v>2628</v>
      </c>
      <c r="C6597" s="1">
        <v>5</v>
      </c>
      <c r="D6597" s="1" t="s">
        <v>34</v>
      </c>
      <c r="E6597" s="1" t="s">
        <v>10</v>
      </c>
      <c r="F6597" s="1" t="s">
        <v>5091</v>
      </c>
      <c r="G6597" s="14" t="s">
        <v>6145</v>
      </c>
      <c r="H6597" s="1" t="s">
        <v>43</v>
      </c>
      <c r="I6597" s="17">
        <v>41995</v>
      </c>
    </row>
    <row r="6598" spans="1:9">
      <c r="A6598" s="16" t="s">
        <v>9422</v>
      </c>
      <c r="B6598" s="1" t="s">
        <v>2628</v>
      </c>
      <c r="C6598" s="1">
        <v>5</v>
      </c>
      <c r="D6598" s="1" t="s">
        <v>34</v>
      </c>
      <c r="E6598" s="1" t="s">
        <v>10</v>
      </c>
      <c r="F6598" s="1" t="s">
        <v>5091</v>
      </c>
      <c r="G6598" s="14" t="s">
        <v>6145</v>
      </c>
      <c r="H6598" s="1" t="s">
        <v>43</v>
      </c>
      <c r="I6598" s="17">
        <v>41995</v>
      </c>
    </row>
    <row r="6599" spans="1:9">
      <c r="A6599" s="16" t="s">
        <v>9423</v>
      </c>
      <c r="B6599" s="1" t="s">
        <v>2628</v>
      </c>
      <c r="C6599" s="1">
        <v>5</v>
      </c>
      <c r="D6599" s="1" t="s">
        <v>34</v>
      </c>
      <c r="E6599" s="1" t="s">
        <v>10</v>
      </c>
      <c r="F6599" s="1" t="s">
        <v>5091</v>
      </c>
      <c r="G6599" s="14" t="s">
        <v>6145</v>
      </c>
      <c r="H6599" s="1" t="s">
        <v>43</v>
      </c>
      <c r="I6599" s="17">
        <v>41995</v>
      </c>
    </row>
    <row r="6600" spans="1:9">
      <c r="A6600" s="16" t="s">
        <v>9425</v>
      </c>
      <c r="B6600" s="1" t="s">
        <v>2628</v>
      </c>
      <c r="C6600" s="1">
        <v>5</v>
      </c>
      <c r="D6600" s="1" t="s">
        <v>34</v>
      </c>
      <c r="E6600" s="1" t="s">
        <v>10</v>
      </c>
      <c r="F6600" s="1" t="s">
        <v>5091</v>
      </c>
      <c r="G6600" s="14" t="s">
        <v>6145</v>
      </c>
      <c r="H6600" s="1" t="s">
        <v>43</v>
      </c>
      <c r="I6600" s="17">
        <v>42221</v>
      </c>
    </row>
    <row r="6601" spans="1:9">
      <c r="A6601" s="16" t="s">
        <v>9426</v>
      </c>
      <c r="B6601" s="1" t="s">
        <v>2628</v>
      </c>
      <c r="C6601" s="1">
        <v>5</v>
      </c>
      <c r="D6601" s="1" t="s">
        <v>34</v>
      </c>
      <c r="E6601" s="1" t="s">
        <v>10</v>
      </c>
      <c r="F6601" s="1" t="s">
        <v>5091</v>
      </c>
      <c r="G6601" s="14" t="s">
        <v>6145</v>
      </c>
      <c r="H6601" s="1" t="s">
        <v>43</v>
      </c>
      <c r="I6601" s="17">
        <v>42221</v>
      </c>
    </row>
    <row r="6602" spans="1:9">
      <c r="A6602" s="16" t="s">
        <v>9427</v>
      </c>
      <c r="B6602" s="1" t="s">
        <v>2628</v>
      </c>
      <c r="C6602" s="1">
        <v>5</v>
      </c>
      <c r="D6602" s="1" t="s">
        <v>34</v>
      </c>
      <c r="E6602" s="1" t="s">
        <v>10</v>
      </c>
      <c r="F6602" s="1" t="s">
        <v>5091</v>
      </c>
      <c r="G6602" s="14" t="s">
        <v>6145</v>
      </c>
      <c r="H6602" s="1" t="s">
        <v>43</v>
      </c>
      <c r="I6602" s="17">
        <v>42221</v>
      </c>
    </row>
    <row r="6603" spans="1:9">
      <c r="A6603" s="16" t="s">
        <v>9428</v>
      </c>
      <c r="B6603" s="1" t="s">
        <v>2628</v>
      </c>
      <c r="C6603" s="1">
        <v>5</v>
      </c>
      <c r="D6603" s="1" t="s">
        <v>34</v>
      </c>
      <c r="E6603" s="1" t="s">
        <v>10</v>
      </c>
      <c r="F6603" s="1" t="s">
        <v>5091</v>
      </c>
      <c r="G6603" s="14" t="s">
        <v>6145</v>
      </c>
      <c r="H6603" s="1" t="s">
        <v>43</v>
      </c>
      <c r="I6603" s="17">
        <v>42221</v>
      </c>
    </row>
    <row r="6604" spans="1:9">
      <c r="A6604" s="16" t="s">
        <v>9429</v>
      </c>
      <c r="B6604" s="1" t="s">
        <v>2628</v>
      </c>
      <c r="C6604" s="1">
        <v>5</v>
      </c>
      <c r="D6604" s="1" t="s">
        <v>34</v>
      </c>
      <c r="E6604" s="1" t="s">
        <v>10</v>
      </c>
      <c r="F6604" s="1" t="s">
        <v>5091</v>
      </c>
      <c r="G6604" s="14" t="s">
        <v>6145</v>
      </c>
      <c r="H6604" s="1" t="s">
        <v>43</v>
      </c>
      <c r="I6604" s="17">
        <v>42222</v>
      </c>
    </row>
    <row r="6605" spans="1:9">
      <c r="A6605" s="16" t="s">
        <v>9430</v>
      </c>
      <c r="B6605" s="1" t="s">
        <v>2628</v>
      </c>
      <c r="C6605" s="1">
        <v>1667</v>
      </c>
      <c r="D6605" s="1" t="s">
        <v>34</v>
      </c>
      <c r="E6605" s="1" t="s">
        <v>10</v>
      </c>
      <c r="F6605" s="1" t="s">
        <v>5091</v>
      </c>
      <c r="G6605" s="14" t="s">
        <v>6145</v>
      </c>
      <c r="H6605" s="1" t="s">
        <v>43</v>
      </c>
      <c r="I6605" s="17">
        <v>42222</v>
      </c>
    </row>
    <row r="6606" spans="1:9">
      <c r="A6606" s="16" t="s">
        <v>9431</v>
      </c>
      <c r="B6606" s="1" t="s">
        <v>2628</v>
      </c>
      <c r="C6606" s="1">
        <v>5</v>
      </c>
      <c r="D6606" s="1" t="s">
        <v>34</v>
      </c>
      <c r="E6606" s="1" t="s">
        <v>10</v>
      </c>
      <c r="F6606" s="1" t="s">
        <v>5091</v>
      </c>
      <c r="G6606" s="14" t="s">
        <v>6145</v>
      </c>
      <c r="H6606" s="1" t="s">
        <v>43</v>
      </c>
      <c r="I6606" s="17">
        <v>42222</v>
      </c>
    </row>
    <row r="6607" spans="1:9">
      <c r="A6607" s="16" t="s">
        <v>9432</v>
      </c>
      <c r="B6607" s="1" t="s">
        <v>2628</v>
      </c>
      <c r="C6607" s="1">
        <v>5</v>
      </c>
      <c r="D6607" s="1" t="s">
        <v>34</v>
      </c>
      <c r="E6607" s="1" t="s">
        <v>10</v>
      </c>
      <c r="F6607" s="1" t="s">
        <v>5091</v>
      </c>
      <c r="G6607" s="14" t="s">
        <v>6145</v>
      </c>
      <c r="H6607" s="1" t="s">
        <v>43</v>
      </c>
      <c r="I6607" s="17">
        <v>42222</v>
      </c>
    </row>
    <row r="6608" spans="1:9">
      <c r="A6608" s="16" t="s">
        <v>9433</v>
      </c>
      <c r="B6608" s="1" t="s">
        <v>2628</v>
      </c>
      <c r="C6608" s="1">
        <v>5</v>
      </c>
      <c r="D6608" s="1" t="s">
        <v>34</v>
      </c>
      <c r="E6608" s="1" t="s">
        <v>10</v>
      </c>
      <c r="F6608" s="1" t="s">
        <v>5091</v>
      </c>
      <c r="G6608" s="14" t="s">
        <v>6145</v>
      </c>
      <c r="H6608" s="1" t="s">
        <v>43</v>
      </c>
      <c r="I6608" s="17">
        <v>42222</v>
      </c>
    </row>
    <row r="6609" spans="1:10">
      <c r="A6609" s="16" t="s">
        <v>9437</v>
      </c>
      <c r="B6609" s="1" t="s">
        <v>2628</v>
      </c>
      <c r="C6609" s="1">
        <v>5</v>
      </c>
      <c r="D6609" s="1" t="s">
        <v>34</v>
      </c>
      <c r="E6609" s="1" t="s">
        <v>10</v>
      </c>
      <c r="F6609" s="1" t="s">
        <v>5091</v>
      </c>
      <c r="G6609" s="14" t="s">
        <v>6145</v>
      </c>
      <c r="H6609" s="1" t="s">
        <v>43</v>
      </c>
      <c r="I6609" s="17">
        <v>42221</v>
      </c>
    </row>
    <row r="6610" spans="1:10">
      <c r="A6610" s="16" t="s">
        <v>9439</v>
      </c>
      <c r="B6610" s="1" t="s">
        <v>2628</v>
      </c>
      <c r="C6610" s="1">
        <v>5</v>
      </c>
      <c r="D6610" s="1" t="s">
        <v>34</v>
      </c>
      <c r="E6610" s="1" t="s">
        <v>10</v>
      </c>
      <c r="F6610" s="1" t="s">
        <v>5091</v>
      </c>
      <c r="G6610" s="14" t="s">
        <v>6145</v>
      </c>
      <c r="H6610" s="1" t="s">
        <v>43</v>
      </c>
      <c r="I6610" s="17">
        <v>42221</v>
      </c>
    </row>
    <row r="6611" spans="1:10">
      <c r="A6611" s="16" t="s">
        <v>9452</v>
      </c>
      <c r="B6611" s="1" t="s">
        <v>2628</v>
      </c>
      <c r="C6611" s="1">
        <v>5</v>
      </c>
      <c r="D6611" s="1" t="s">
        <v>34</v>
      </c>
      <c r="E6611" s="1" t="s">
        <v>10</v>
      </c>
      <c r="F6611" s="1" t="s">
        <v>5091</v>
      </c>
      <c r="G6611" s="14" t="s">
        <v>6145</v>
      </c>
      <c r="H6611" s="1" t="s">
        <v>43</v>
      </c>
      <c r="I6611" s="17">
        <v>42221</v>
      </c>
    </row>
    <row r="6612" spans="1:10">
      <c r="A6612" s="16" t="s">
        <v>9472</v>
      </c>
      <c r="B6612" s="1" t="s">
        <v>2628</v>
      </c>
      <c r="C6612" s="1">
        <v>5</v>
      </c>
      <c r="D6612" s="1" t="s">
        <v>34</v>
      </c>
      <c r="E6612" s="1" t="s">
        <v>10</v>
      </c>
      <c r="F6612" s="1" t="s">
        <v>5091</v>
      </c>
      <c r="G6612" s="14" t="s">
        <v>6145</v>
      </c>
      <c r="H6612" s="1" t="s">
        <v>43</v>
      </c>
      <c r="I6612" s="17">
        <v>41995</v>
      </c>
    </row>
    <row r="6613" spans="1:10">
      <c r="A6613" s="16" t="s">
        <v>9473</v>
      </c>
      <c r="B6613" s="1" t="s">
        <v>2628</v>
      </c>
      <c r="C6613" s="1">
        <v>5</v>
      </c>
      <c r="D6613" s="1" t="s">
        <v>34</v>
      </c>
      <c r="E6613" s="1" t="s">
        <v>10</v>
      </c>
      <c r="F6613" s="1" t="s">
        <v>5091</v>
      </c>
      <c r="G6613" s="14" t="s">
        <v>6145</v>
      </c>
      <c r="H6613" s="1" t="s">
        <v>43</v>
      </c>
      <c r="I6613" s="17">
        <v>41995</v>
      </c>
    </row>
    <row r="6614" spans="1:10">
      <c r="A6614" s="16" t="s">
        <v>9474</v>
      </c>
      <c r="B6614" s="1" t="s">
        <v>2628</v>
      </c>
      <c r="C6614" s="1">
        <v>5</v>
      </c>
      <c r="D6614" s="1" t="s">
        <v>34</v>
      </c>
      <c r="E6614" s="1" t="s">
        <v>10</v>
      </c>
      <c r="F6614" s="1" t="s">
        <v>5091</v>
      </c>
      <c r="G6614" s="14" t="s">
        <v>6145</v>
      </c>
      <c r="H6614" s="1" t="s">
        <v>43</v>
      </c>
      <c r="I6614" s="17">
        <v>41995</v>
      </c>
    </row>
    <row r="6615" spans="1:10">
      <c r="A6615" s="16" t="s">
        <v>9475</v>
      </c>
      <c r="B6615" s="1" t="s">
        <v>2628</v>
      </c>
      <c r="C6615" s="1">
        <v>5</v>
      </c>
      <c r="D6615" s="1" t="s">
        <v>34</v>
      </c>
      <c r="E6615" s="1" t="s">
        <v>10</v>
      </c>
      <c r="F6615" s="1" t="s">
        <v>5091</v>
      </c>
      <c r="G6615" s="14" t="s">
        <v>6145</v>
      </c>
      <c r="H6615" s="1" t="s">
        <v>43</v>
      </c>
      <c r="I6615" s="17">
        <v>41995</v>
      </c>
    </row>
    <row r="6616" spans="1:10">
      <c r="A6616" s="16" t="s">
        <v>9476</v>
      </c>
      <c r="B6616" s="1" t="s">
        <v>2628</v>
      </c>
      <c r="C6616" s="1">
        <v>5</v>
      </c>
      <c r="D6616" s="1" t="s">
        <v>34</v>
      </c>
      <c r="E6616" s="1" t="s">
        <v>10</v>
      </c>
      <c r="F6616" s="1" t="s">
        <v>5091</v>
      </c>
      <c r="G6616" s="14" t="s">
        <v>6145</v>
      </c>
      <c r="H6616" s="1" t="s">
        <v>43</v>
      </c>
      <c r="I6616" s="17">
        <v>41995</v>
      </c>
    </row>
    <row r="6617" spans="1:10">
      <c r="A6617" s="16" t="s">
        <v>9484</v>
      </c>
      <c r="B6617" s="1" t="s">
        <v>2628</v>
      </c>
      <c r="C6617" s="1">
        <v>5</v>
      </c>
      <c r="D6617" s="1" t="s">
        <v>34</v>
      </c>
      <c r="E6617" s="1" t="s">
        <v>10</v>
      </c>
      <c r="F6617" s="1" t="s">
        <v>5091</v>
      </c>
      <c r="G6617" s="14" t="s">
        <v>9485</v>
      </c>
      <c r="H6617" s="1" t="s">
        <v>5</v>
      </c>
      <c r="I6617" s="17">
        <v>41317</v>
      </c>
    </row>
    <row r="6618" spans="1:10">
      <c r="A6618" s="16" t="s">
        <v>9557</v>
      </c>
      <c r="B6618" s="1" t="s">
        <v>2631</v>
      </c>
      <c r="C6618" s="1">
        <v>5</v>
      </c>
      <c r="D6618" s="1" t="s">
        <v>34</v>
      </c>
      <c r="E6618" s="1" t="s">
        <v>10</v>
      </c>
      <c r="F6618" s="1" t="s">
        <v>5091</v>
      </c>
      <c r="G6618" s="1" t="s">
        <v>9558</v>
      </c>
      <c r="H6618" s="1" t="s">
        <v>5</v>
      </c>
      <c r="I6618" s="17">
        <v>39972</v>
      </c>
    </row>
    <row r="6619" spans="1:10">
      <c r="A6619" s="16" t="s">
        <v>9570</v>
      </c>
      <c r="B6619" s="1" t="s">
        <v>2628</v>
      </c>
      <c r="C6619" s="1">
        <v>5</v>
      </c>
      <c r="D6619" s="1" t="s">
        <v>34</v>
      </c>
      <c r="E6619" s="1" t="s">
        <v>10</v>
      </c>
      <c r="F6619" s="1" t="s">
        <v>5091</v>
      </c>
      <c r="G6619" s="14" t="s">
        <v>9571</v>
      </c>
      <c r="H6619" s="1" t="s">
        <v>5</v>
      </c>
      <c r="I6619" s="17">
        <v>42082</v>
      </c>
    </row>
    <row r="6620" spans="1:10">
      <c r="A6620" s="16" t="s">
        <v>9572</v>
      </c>
      <c r="B6620" s="1" t="s">
        <v>2631</v>
      </c>
      <c r="C6620" s="1">
        <v>2382</v>
      </c>
      <c r="D6620" s="1" t="s">
        <v>34</v>
      </c>
      <c r="E6620" s="1" t="s">
        <v>10</v>
      </c>
      <c r="F6620" s="1" t="s">
        <v>5091</v>
      </c>
      <c r="G6620" s="1" t="s">
        <v>9495</v>
      </c>
      <c r="H6620" s="1" t="s">
        <v>5</v>
      </c>
      <c r="I6620" s="17">
        <v>42051</v>
      </c>
      <c r="J6620" s="17"/>
    </row>
    <row r="6621" spans="1:10">
      <c r="A6621" s="16" t="s">
        <v>9581</v>
      </c>
      <c r="B6621" s="1" t="s">
        <v>2628</v>
      </c>
      <c r="C6621" s="1">
        <v>5</v>
      </c>
      <c r="D6621" s="1" t="s">
        <v>34</v>
      </c>
      <c r="E6621" s="1" t="s">
        <v>10</v>
      </c>
      <c r="F6621" s="1" t="s">
        <v>5091</v>
      </c>
      <c r="G6621" s="14" t="s">
        <v>9582</v>
      </c>
      <c r="H6621" s="1" t="s">
        <v>5</v>
      </c>
      <c r="I6621" s="17">
        <v>41884</v>
      </c>
    </row>
    <row r="6622" spans="1:10">
      <c r="A6622" s="16" t="s">
        <v>9583</v>
      </c>
      <c r="B6622" s="1" t="s">
        <v>2628</v>
      </c>
      <c r="C6622" s="1">
        <v>5</v>
      </c>
      <c r="D6622" s="1" t="s">
        <v>34</v>
      </c>
      <c r="E6622" s="1" t="s">
        <v>10</v>
      </c>
      <c r="F6622" s="1" t="s">
        <v>5091</v>
      </c>
      <c r="G6622" s="14" t="s">
        <v>9582</v>
      </c>
      <c r="H6622" s="1" t="s">
        <v>5</v>
      </c>
      <c r="I6622" s="17">
        <v>41884</v>
      </c>
    </row>
    <row r="6623" spans="1:10">
      <c r="A6623" s="16" t="s">
        <v>9584</v>
      </c>
      <c r="B6623" s="1" t="s">
        <v>2628</v>
      </c>
      <c r="C6623" s="1">
        <v>5</v>
      </c>
      <c r="D6623" s="1" t="s">
        <v>34</v>
      </c>
      <c r="E6623" s="1" t="s">
        <v>10</v>
      </c>
      <c r="F6623" s="1" t="s">
        <v>5091</v>
      </c>
      <c r="G6623" s="14" t="s">
        <v>6145</v>
      </c>
      <c r="H6623" s="1" t="s">
        <v>43</v>
      </c>
      <c r="I6623" s="17">
        <v>42269</v>
      </c>
    </row>
    <row r="6624" spans="1:10">
      <c r="A6624" s="16" t="s">
        <v>9585</v>
      </c>
      <c r="B6624" s="1" t="s">
        <v>2628</v>
      </c>
      <c r="C6624" s="1">
        <v>5</v>
      </c>
      <c r="D6624" s="1" t="s">
        <v>34</v>
      </c>
      <c r="E6624" s="1" t="s">
        <v>10</v>
      </c>
      <c r="F6624" s="1" t="s">
        <v>5091</v>
      </c>
      <c r="G6624" s="14" t="s">
        <v>6145</v>
      </c>
      <c r="H6624" s="1" t="s">
        <v>43</v>
      </c>
      <c r="I6624" s="17">
        <v>42269</v>
      </c>
    </row>
    <row r="6625" spans="1:9">
      <c r="A6625" s="16" t="s">
        <v>9586</v>
      </c>
      <c r="B6625" s="1" t="s">
        <v>2628</v>
      </c>
      <c r="C6625" s="1">
        <v>5</v>
      </c>
      <c r="D6625" s="1" t="s">
        <v>34</v>
      </c>
      <c r="E6625" s="1" t="s">
        <v>10</v>
      </c>
      <c r="F6625" s="1" t="s">
        <v>5091</v>
      </c>
      <c r="G6625" s="14" t="s">
        <v>6145</v>
      </c>
      <c r="H6625" s="1" t="s">
        <v>43</v>
      </c>
      <c r="I6625" s="17">
        <v>42269</v>
      </c>
    </row>
    <row r="6626" spans="1:9">
      <c r="A6626" s="16" t="s">
        <v>9587</v>
      </c>
      <c r="B6626" s="1" t="s">
        <v>2628</v>
      </c>
      <c r="C6626" s="1">
        <v>5</v>
      </c>
      <c r="D6626" s="1" t="s">
        <v>34</v>
      </c>
      <c r="E6626" s="1" t="s">
        <v>10</v>
      </c>
      <c r="F6626" s="1" t="s">
        <v>5091</v>
      </c>
      <c r="G6626" s="14" t="s">
        <v>6145</v>
      </c>
      <c r="H6626" s="1" t="s">
        <v>43</v>
      </c>
      <c r="I6626" s="17">
        <v>42269</v>
      </c>
    </row>
    <row r="6627" spans="1:9">
      <c r="A6627" s="16" t="s">
        <v>9588</v>
      </c>
      <c r="B6627" s="1" t="s">
        <v>2628</v>
      </c>
      <c r="C6627" s="1">
        <v>5</v>
      </c>
      <c r="D6627" s="1" t="s">
        <v>34</v>
      </c>
      <c r="E6627" s="1" t="s">
        <v>10</v>
      </c>
      <c r="F6627" s="1" t="s">
        <v>5091</v>
      </c>
      <c r="G6627" s="14" t="s">
        <v>6145</v>
      </c>
      <c r="H6627" s="1" t="s">
        <v>43</v>
      </c>
      <c r="I6627" s="17">
        <v>42269</v>
      </c>
    </row>
    <row r="6628" spans="1:9">
      <c r="A6628" s="16" t="s">
        <v>9589</v>
      </c>
      <c r="B6628" s="1" t="s">
        <v>2628</v>
      </c>
      <c r="C6628" s="1">
        <v>5</v>
      </c>
      <c r="D6628" s="1" t="s">
        <v>34</v>
      </c>
      <c r="E6628" s="1" t="s">
        <v>10</v>
      </c>
      <c r="F6628" s="1" t="s">
        <v>5091</v>
      </c>
      <c r="G6628" s="14" t="s">
        <v>6145</v>
      </c>
      <c r="H6628" s="1" t="s">
        <v>43</v>
      </c>
      <c r="I6628" s="17">
        <v>42269</v>
      </c>
    </row>
    <row r="6629" spans="1:9">
      <c r="A6629" s="16" t="s">
        <v>9590</v>
      </c>
      <c r="B6629" s="1" t="s">
        <v>2628</v>
      </c>
      <c r="C6629" s="1">
        <v>5</v>
      </c>
      <c r="D6629" s="1" t="s">
        <v>34</v>
      </c>
      <c r="E6629" s="1" t="s">
        <v>10</v>
      </c>
      <c r="F6629" s="1" t="s">
        <v>5091</v>
      </c>
      <c r="G6629" s="14" t="s">
        <v>6145</v>
      </c>
      <c r="H6629" s="1" t="s">
        <v>43</v>
      </c>
      <c r="I6629" s="17">
        <v>42269</v>
      </c>
    </row>
    <row r="6630" spans="1:9">
      <c r="A6630" s="16" t="s">
        <v>9591</v>
      </c>
      <c r="B6630" s="1" t="s">
        <v>2628</v>
      </c>
      <c r="C6630" s="1">
        <v>5</v>
      </c>
      <c r="D6630" s="1" t="s">
        <v>34</v>
      </c>
      <c r="E6630" s="1" t="s">
        <v>10</v>
      </c>
      <c r="F6630" s="1" t="s">
        <v>5091</v>
      </c>
      <c r="G6630" s="14" t="s">
        <v>6145</v>
      </c>
      <c r="H6630" s="1" t="s">
        <v>43</v>
      </c>
      <c r="I6630" s="17">
        <v>42269</v>
      </c>
    </row>
    <row r="6631" spans="1:9">
      <c r="A6631" s="16" t="s">
        <v>9592</v>
      </c>
      <c r="B6631" s="1" t="s">
        <v>2628</v>
      </c>
      <c r="C6631" s="1">
        <v>5</v>
      </c>
      <c r="D6631" s="1" t="s">
        <v>34</v>
      </c>
      <c r="E6631" s="1" t="s">
        <v>10</v>
      </c>
      <c r="F6631" s="1" t="s">
        <v>5091</v>
      </c>
      <c r="G6631" s="14" t="s">
        <v>6145</v>
      </c>
      <c r="H6631" s="1" t="s">
        <v>43</v>
      </c>
      <c r="I6631" s="17">
        <v>42269</v>
      </c>
    </row>
    <row r="6632" spans="1:9">
      <c r="A6632" s="16" t="s">
        <v>9593</v>
      </c>
      <c r="B6632" s="1" t="s">
        <v>2628</v>
      </c>
      <c r="C6632" s="1">
        <v>5</v>
      </c>
      <c r="D6632" s="1" t="s">
        <v>34</v>
      </c>
      <c r="E6632" s="1" t="s">
        <v>10</v>
      </c>
      <c r="F6632" s="1" t="s">
        <v>5091</v>
      </c>
      <c r="G6632" s="14" t="s">
        <v>6145</v>
      </c>
      <c r="H6632" s="1" t="s">
        <v>43</v>
      </c>
      <c r="I6632" s="17">
        <v>42269</v>
      </c>
    </row>
    <row r="6633" spans="1:9">
      <c r="A6633" s="16" t="s">
        <v>9594</v>
      </c>
      <c r="B6633" s="1" t="s">
        <v>2628</v>
      </c>
      <c r="C6633" s="1">
        <v>5</v>
      </c>
      <c r="D6633" s="1" t="s">
        <v>34</v>
      </c>
      <c r="E6633" s="1" t="s">
        <v>10</v>
      </c>
      <c r="F6633" s="1" t="s">
        <v>5091</v>
      </c>
      <c r="G6633" s="14" t="s">
        <v>9595</v>
      </c>
      <c r="H6633" s="1" t="s">
        <v>5</v>
      </c>
      <c r="I6633" s="17">
        <v>42270</v>
      </c>
    </row>
    <row r="6634" spans="1:9">
      <c r="A6634" s="16" t="s">
        <v>9596</v>
      </c>
      <c r="B6634" s="1" t="s">
        <v>2631</v>
      </c>
      <c r="C6634" s="1">
        <v>5</v>
      </c>
      <c r="D6634" s="1" t="s">
        <v>34</v>
      </c>
      <c r="E6634" s="1" t="s">
        <v>10</v>
      </c>
      <c r="F6634" s="1" t="s">
        <v>5091</v>
      </c>
      <c r="G6634" s="1" t="s">
        <v>6145</v>
      </c>
      <c r="H6634" s="1" t="s">
        <v>43</v>
      </c>
      <c r="I6634" s="17">
        <v>42255</v>
      </c>
    </row>
    <row r="6635" spans="1:9">
      <c r="A6635" s="16" t="s">
        <v>9600</v>
      </c>
      <c r="B6635" s="1" t="s">
        <v>2628</v>
      </c>
      <c r="C6635" s="1">
        <v>5</v>
      </c>
      <c r="D6635" s="1" t="s">
        <v>34</v>
      </c>
      <c r="E6635" s="1" t="s">
        <v>10</v>
      </c>
      <c r="F6635" s="1" t="s">
        <v>5091</v>
      </c>
      <c r="G6635" s="14" t="s">
        <v>9495</v>
      </c>
      <c r="H6635" s="1" t="s">
        <v>5</v>
      </c>
      <c r="I6635" s="17">
        <v>42116</v>
      </c>
    </row>
    <row r="6636" spans="1:9">
      <c r="A6636" s="16" t="s">
        <v>9609</v>
      </c>
      <c r="B6636" s="1" t="s">
        <v>2628</v>
      </c>
      <c r="C6636" s="1">
        <v>5</v>
      </c>
      <c r="D6636" s="1" t="s">
        <v>34</v>
      </c>
      <c r="E6636" s="1" t="s">
        <v>10</v>
      </c>
      <c r="F6636" s="1" t="s">
        <v>5091</v>
      </c>
      <c r="G6636" s="14" t="s">
        <v>9610</v>
      </c>
      <c r="H6636" s="1" t="s">
        <v>5</v>
      </c>
      <c r="I6636" s="17">
        <v>41834</v>
      </c>
    </row>
    <row r="6637" spans="1:9">
      <c r="A6637" s="16" t="s">
        <v>9611</v>
      </c>
      <c r="B6637" s="1" t="s">
        <v>2628</v>
      </c>
      <c r="C6637" s="1">
        <v>5</v>
      </c>
      <c r="D6637" s="1" t="s">
        <v>34</v>
      </c>
      <c r="E6637" s="1" t="s">
        <v>10</v>
      </c>
      <c r="F6637" s="1" t="s">
        <v>5091</v>
      </c>
      <c r="G6637" s="14" t="s">
        <v>9612</v>
      </c>
      <c r="H6637" s="1" t="s">
        <v>5</v>
      </c>
      <c r="I6637" s="17">
        <v>41092</v>
      </c>
    </row>
    <row r="6638" spans="1:9">
      <c r="A6638" s="16" t="s">
        <v>9613</v>
      </c>
      <c r="B6638" s="1" t="s">
        <v>2628</v>
      </c>
      <c r="C6638" s="1">
        <v>5</v>
      </c>
      <c r="D6638" s="1" t="s">
        <v>34</v>
      </c>
      <c r="E6638" s="1" t="s">
        <v>10</v>
      </c>
      <c r="F6638" s="1" t="s">
        <v>5091</v>
      </c>
      <c r="G6638" s="14" t="s">
        <v>9612</v>
      </c>
      <c r="H6638" s="1" t="s">
        <v>5</v>
      </c>
      <c r="I6638" s="17">
        <v>41092</v>
      </c>
    </row>
    <row r="6639" spans="1:9">
      <c r="A6639" s="16" t="s">
        <v>9614</v>
      </c>
      <c r="B6639" s="1" t="s">
        <v>2628</v>
      </c>
      <c r="C6639" s="1">
        <v>5</v>
      </c>
      <c r="D6639" s="1" t="s">
        <v>34</v>
      </c>
      <c r="E6639" s="1" t="s">
        <v>10</v>
      </c>
      <c r="F6639" s="1" t="s">
        <v>5091</v>
      </c>
      <c r="G6639" s="14" t="s">
        <v>9612</v>
      </c>
      <c r="H6639" s="1" t="s">
        <v>5</v>
      </c>
      <c r="I6639" s="17">
        <v>41092</v>
      </c>
    </row>
    <row r="6640" spans="1:9">
      <c r="A6640" s="16" t="s">
        <v>9615</v>
      </c>
      <c r="B6640" s="1" t="s">
        <v>2628</v>
      </c>
      <c r="C6640" s="1">
        <v>5</v>
      </c>
      <c r="D6640" s="1" t="s">
        <v>34</v>
      </c>
      <c r="E6640" s="1" t="s">
        <v>10</v>
      </c>
      <c r="F6640" s="1" t="s">
        <v>5091</v>
      </c>
      <c r="G6640" s="14" t="s">
        <v>4458</v>
      </c>
      <c r="H6640" s="1" t="s">
        <v>118</v>
      </c>
      <c r="I6640" s="1" t="s">
        <v>4458</v>
      </c>
    </row>
    <row r="6641" spans="1:10">
      <c r="A6641" s="16" t="s">
        <v>9641</v>
      </c>
      <c r="B6641" s="1" t="s">
        <v>2628</v>
      </c>
      <c r="C6641" s="1">
        <v>5</v>
      </c>
      <c r="D6641" s="1" t="s">
        <v>34</v>
      </c>
      <c r="E6641" s="1" t="s">
        <v>10</v>
      </c>
      <c r="F6641" s="1" t="s">
        <v>5091</v>
      </c>
      <c r="G6641" s="14" t="s">
        <v>9493</v>
      </c>
      <c r="H6641" s="1" t="s">
        <v>5</v>
      </c>
      <c r="I6641" s="17">
        <v>40462</v>
      </c>
    </row>
    <row r="6642" spans="1:10">
      <c r="A6642" s="16" t="s">
        <v>9642</v>
      </c>
      <c r="B6642" s="1" t="s">
        <v>2628</v>
      </c>
      <c r="C6642" s="1">
        <v>5</v>
      </c>
      <c r="D6642" s="1" t="s">
        <v>34</v>
      </c>
      <c r="E6642" s="1" t="s">
        <v>10</v>
      </c>
      <c r="F6642" s="1" t="s">
        <v>5091</v>
      </c>
      <c r="G6642" s="14" t="s">
        <v>6145</v>
      </c>
      <c r="H6642" s="1" t="s">
        <v>43</v>
      </c>
      <c r="I6642" s="17">
        <v>41995</v>
      </c>
    </row>
    <row r="6643" spans="1:10">
      <c r="A6643" s="16" t="s">
        <v>9643</v>
      </c>
      <c r="B6643" s="1" t="s">
        <v>2628</v>
      </c>
      <c r="C6643" s="1">
        <v>5</v>
      </c>
      <c r="D6643" s="1" t="s">
        <v>34</v>
      </c>
      <c r="E6643" s="1" t="s">
        <v>10</v>
      </c>
      <c r="F6643" s="1" t="s">
        <v>5091</v>
      </c>
      <c r="G6643" s="14" t="s">
        <v>6145</v>
      </c>
      <c r="H6643" s="1" t="s">
        <v>43</v>
      </c>
      <c r="I6643" s="17">
        <v>41995</v>
      </c>
    </row>
    <row r="6644" spans="1:10">
      <c r="A6644" s="16" t="s">
        <v>9644</v>
      </c>
      <c r="B6644" s="1" t="s">
        <v>2628</v>
      </c>
      <c r="C6644" s="1">
        <v>5</v>
      </c>
      <c r="D6644" s="1" t="s">
        <v>34</v>
      </c>
      <c r="E6644" s="1" t="s">
        <v>10</v>
      </c>
      <c r="F6644" s="1" t="s">
        <v>5091</v>
      </c>
      <c r="G6644" s="14" t="s">
        <v>6145</v>
      </c>
      <c r="H6644" s="1" t="s">
        <v>43</v>
      </c>
      <c r="I6644" s="17">
        <v>41995</v>
      </c>
    </row>
    <row r="6645" spans="1:10">
      <c r="A6645" s="16" t="s">
        <v>9645</v>
      </c>
      <c r="B6645" s="1" t="s">
        <v>2628</v>
      </c>
      <c r="C6645" s="1">
        <v>5</v>
      </c>
      <c r="D6645" s="1" t="s">
        <v>34</v>
      </c>
      <c r="E6645" s="1" t="s">
        <v>10</v>
      </c>
      <c r="F6645" s="1" t="s">
        <v>5091</v>
      </c>
      <c r="G6645" s="14" t="s">
        <v>6145</v>
      </c>
      <c r="H6645" s="1" t="s">
        <v>43</v>
      </c>
      <c r="I6645" s="17">
        <v>41995</v>
      </c>
    </row>
    <row r="6646" spans="1:10">
      <c r="A6646" s="16" t="s">
        <v>9646</v>
      </c>
      <c r="B6646" s="1" t="s">
        <v>2628</v>
      </c>
      <c r="C6646" s="1">
        <v>5</v>
      </c>
      <c r="D6646" s="1" t="s">
        <v>34</v>
      </c>
      <c r="E6646" s="1" t="s">
        <v>10</v>
      </c>
      <c r="F6646" s="1" t="s">
        <v>5091</v>
      </c>
      <c r="G6646" s="14" t="s">
        <v>6145</v>
      </c>
      <c r="H6646" s="1" t="s">
        <v>43</v>
      </c>
      <c r="I6646" s="17">
        <v>41995</v>
      </c>
    </row>
    <row r="6647" spans="1:10">
      <c r="A6647" s="16" t="s">
        <v>9647</v>
      </c>
      <c r="B6647" s="1" t="s">
        <v>2628</v>
      </c>
      <c r="C6647" s="1">
        <v>5</v>
      </c>
      <c r="D6647" s="1" t="s">
        <v>34</v>
      </c>
      <c r="E6647" s="1" t="s">
        <v>10</v>
      </c>
      <c r="F6647" s="1" t="s">
        <v>5091</v>
      </c>
      <c r="G6647" s="14" t="s">
        <v>6145</v>
      </c>
      <c r="H6647" s="1" t="s">
        <v>43</v>
      </c>
      <c r="I6647" s="17">
        <v>41995</v>
      </c>
    </row>
    <row r="6648" spans="1:10">
      <c r="A6648" s="16" t="s">
        <v>9648</v>
      </c>
      <c r="B6648" s="1" t="s">
        <v>2628</v>
      </c>
      <c r="C6648" s="1">
        <v>5</v>
      </c>
      <c r="D6648" s="1" t="s">
        <v>34</v>
      </c>
      <c r="E6648" s="1" t="s">
        <v>10</v>
      </c>
      <c r="F6648" s="1" t="s">
        <v>5091</v>
      </c>
      <c r="G6648" s="14" t="s">
        <v>6145</v>
      </c>
      <c r="H6648" s="1" t="s">
        <v>43</v>
      </c>
      <c r="I6648" s="17">
        <v>41995</v>
      </c>
    </row>
    <row r="6649" spans="1:10">
      <c r="A6649" s="16" t="s">
        <v>9654</v>
      </c>
      <c r="B6649" s="1" t="s">
        <v>2628</v>
      </c>
      <c r="C6649" s="1">
        <v>5</v>
      </c>
      <c r="D6649" s="1" t="s">
        <v>34</v>
      </c>
      <c r="E6649" s="1" t="s">
        <v>10</v>
      </c>
      <c r="F6649" s="1" t="s">
        <v>5091</v>
      </c>
      <c r="G6649" s="14" t="s">
        <v>6536</v>
      </c>
      <c r="H6649" s="1" t="s">
        <v>43</v>
      </c>
      <c r="I6649" s="17">
        <v>42285</v>
      </c>
    </row>
    <row r="6650" spans="1:10">
      <c r="A6650" s="16" t="s">
        <v>9680</v>
      </c>
      <c r="B6650" s="1" t="s">
        <v>2628</v>
      </c>
      <c r="C6650" s="1">
        <v>5</v>
      </c>
      <c r="D6650" s="1" t="s">
        <v>34</v>
      </c>
      <c r="E6650" s="1" t="s">
        <v>10</v>
      </c>
      <c r="F6650" s="1" t="s">
        <v>5091</v>
      </c>
      <c r="G6650" s="14" t="s">
        <v>9679</v>
      </c>
      <c r="H6650" s="1" t="s">
        <v>43</v>
      </c>
      <c r="I6650" s="17">
        <v>41072</v>
      </c>
    </row>
    <row r="6651" spans="1:10">
      <c r="A6651" s="16" t="s">
        <v>9681</v>
      </c>
      <c r="B6651" s="1" t="s">
        <v>2628</v>
      </c>
      <c r="C6651" s="1">
        <v>5</v>
      </c>
      <c r="D6651" s="1" t="s">
        <v>34</v>
      </c>
      <c r="E6651" s="1" t="s">
        <v>10</v>
      </c>
      <c r="F6651" s="1" t="s">
        <v>5091</v>
      </c>
      <c r="G6651" s="14" t="s">
        <v>6145</v>
      </c>
      <c r="H6651" s="1" t="s">
        <v>43</v>
      </c>
      <c r="I6651" s="17">
        <v>41194</v>
      </c>
    </row>
    <row r="6652" spans="1:10">
      <c r="A6652" s="16" t="s">
        <v>9685</v>
      </c>
      <c r="B6652" s="1" t="s">
        <v>2631</v>
      </c>
      <c r="C6652" s="1">
        <v>5</v>
      </c>
      <c r="D6652" s="1" t="s">
        <v>34</v>
      </c>
      <c r="E6652" s="1" t="s">
        <v>10</v>
      </c>
      <c r="F6652" s="1" t="s">
        <v>5091</v>
      </c>
      <c r="G6652" s="1" t="s">
        <v>9686</v>
      </c>
      <c r="H6652" s="1" t="s">
        <v>5</v>
      </c>
      <c r="I6652" s="17">
        <v>40610</v>
      </c>
      <c r="J6652" s="1"/>
    </row>
    <row r="6653" spans="1:10">
      <c r="A6653" s="16" t="s">
        <v>9716</v>
      </c>
      <c r="B6653" s="1" t="s">
        <v>2628</v>
      </c>
      <c r="C6653" s="1">
        <v>5</v>
      </c>
      <c r="D6653" s="1" t="s">
        <v>34</v>
      </c>
      <c r="E6653" s="1" t="s">
        <v>10</v>
      </c>
      <c r="F6653" s="1" t="s">
        <v>5091</v>
      </c>
      <c r="G6653" s="14" t="s">
        <v>9493</v>
      </c>
      <c r="H6653" s="1" t="s">
        <v>5</v>
      </c>
      <c r="I6653" s="17">
        <v>40462</v>
      </c>
    </row>
    <row r="6654" spans="1:10">
      <c r="A6654" s="16" t="s">
        <v>9717</v>
      </c>
      <c r="B6654" s="1" t="s">
        <v>2628</v>
      </c>
      <c r="C6654" s="1">
        <v>5</v>
      </c>
      <c r="D6654" s="1" t="s">
        <v>34</v>
      </c>
      <c r="E6654" s="1" t="s">
        <v>10</v>
      </c>
      <c r="F6654" s="1" t="s">
        <v>5091</v>
      </c>
      <c r="G6654" s="14" t="s">
        <v>9718</v>
      </c>
      <c r="H6654" s="1" t="s">
        <v>5</v>
      </c>
      <c r="I6654" s="17">
        <v>40386</v>
      </c>
    </row>
    <row r="6655" spans="1:10">
      <c r="A6655" s="16" t="s">
        <v>9791</v>
      </c>
      <c r="B6655" s="1" t="s">
        <v>2631</v>
      </c>
      <c r="C6655" s="1">
        <v>5</v>
      </c>
      <c r="D6655" s="1" t="s">
        <v>34</v>
      </c>
      <c r="E6655" s="1" t="s">
        <v>10</v>
      </c>
      <c r="F6655" s="1" t="s">
        <v>5091</v>
      </c>
      <c r="G6655" s="1" t="s">
        <v>7895</v>
      </c>
      <c r="H6655" s="1" t="s">
        <v>43</v>
      </c>
      <c r="I6655" s="17">
        <v>41969</v>
      </c>
    </row>
    <row r="6656" spans="1:10">
      <c r="A6656" s="16" t="s">
        <v>9792</v>
      </c>
      <c r="B6656" s="1" t="s">
        <v>2631</v>
      </c>
      <c r="C6656" s="1">
        <v>5</v>
      </c>
      <c r="D6656" s="1" t="s">
        <v>34</v>
      </c>
      <c r="E6656" s="1" t="s">
        <v>10</v>
      </c>
      <c r="F6656" s="1" t="s">
        <v>5091</v>
      </c>
      <c r="G6656" s="1" t="s">
        <v>6145</v>
      </c>
      <c r="H6656" s="1" t="s">
        <v>43</v>
      </c>
      <c r="I6656" s="17">
        <v>41969</v>
      </c>
    </row>
    <row r="6657" spans="1:10">
      <c r="A6657" s="16" t="s">
        <v>9793</v>
      </c>
      <c r="B6657" s="1" t="s">
        <v>2628</v>
      </c>
      <c r="C6657" s="1">
        <v>5</v>
      </c>
      <c r="D6657" s="1" t="s">
        <v>34</v>
      </c>
      <c r="E6657" s="1" t="s">
        <v>10</v>
      </c>
      <c r="F6657" s="1" t="s">
        <v>5091</v>
      </c>
      <c r="G6657" s="14" t="s">
        <v>6145</v>
      </c>
      <c r="H6657" s="1" t="s">
        <v>43</v>
      </c>
      <c r="I6657" s="17">
        <v>41969</v>
      </c>
    </row>
    <row r="6658" spans="1:10">
      <c r="A6658" s="16" t="s">
        <v>9845</v>
      </c>
      <c r="B6658" s="1" t="s">
        <v>2628</v>
      </c>
      <c r="C6658" s="1">
        <v>5</v>
      </c>
      <c r="D6658" s="1" t="s">
        <v>34</v>
      </c>
      <c r="E6658" s="1" t="s">
        <v>10</v>
      </c>
      <c r="F6658" s="1" t="s">
        <v>5091</v>
      </c>
      <c r="G6658" s="14" t="s">
        <v>9846</v>
      </c>
      <c r="H6658" s="1" t="s">
        <v>5</v>
      </c>
      <c r="I6658" s="17">
        <v>41033</v>
      </c>
    </row>
    <row r="6659" spans="1:10">
      <c r="A6659" s="16" t="s">
        <v>9847</v>
      </c>
      <c r="B6659" s="1" t="s">
        <v>2628</v>
      </c>
      <c r="C6659" s="1">
        <v>5</v>
      </c>
      <c r="D6659" s="1" t="s">
        <v>34</v>
      </c>
      <c r="E6659" s="1" t="s">
        <v>10</v>
      </c>
      <c r="F6659" s="1" t="s">
        <v>5091</v>
      </c>
      <c r="G6659" s="14" t="s">
        <v>9846</v>
      </c>
      <c r="H6659" s="1" t="s">
        <v>5</v>
      </c>
      <c r="I6659" s="17">
        <v>41033</v>
      </c>
    </row>
    <row r="6660" spans="1:10">
      <c r="A6660" s="16" t="s">
        <v>9859</v>
      </c>
      <c r="B6660" s="1" t="s">
        <v>2628</v>
      </c>
      <c r="C6660" s="1">
        <v>5</v>
      </c>
      <c r="D6660" s="1" t="s">
        <v>34</v>
      </c>
      <c r="E6660" s="1" t="s">
        <v>10</v>
      </c>
      <c r="F6660" s="1" t="s">
        <v>5091</v>
      </c>
      <c r="G6660" s="14" t="s">
        <v>9860</v>
      </c>
      <c r="H6660" s="1" t="s">
        <v>5</v>
      </c>
      <c r="I6660" s="17">
        <v>41328</v>
      </c>
    </row>
    <row r="6661" spans="1:10">
      <c r="A6661" s="16" t="s">
        <v>9861</v>
      </c>
      <c r="B6661" s="1" t="s">
        <v>2628</v>
      </c>
      <c r="C6661" s="1">
        <v>5</v>
      </c>
      <c r="D6661" s="1" t="s">
        <v>34</v>
      </c>
      <c r="E6661" s="1" t="s">
        <v>10</v>
      </c>
      <c r="F6661" s="1" t="s">
        <v>5091</v>
      </c>
      <c r="G6661" s="14" t="s">
        <v>9860</v>
      </c>
      <c r="H6661" s="1" t="s">
        <v>5</v>
      </c>
      <c r="I6661" s="17">
        <v>41328</v>
      </c>
    </row>
    <row r="6662" spans="1:10">
      <c r="A6662" s="16" t="s">
        <v>9890</v>
      </c>
      <c r="B6662" s="1" t="s">
        <v>2628</v>
      </c>
      <c r="C6662" s="1">
        <v>5</v>
      </c>
      <c r="D6662" s="1" t="s">
        <v>34</v>
      </c>
      <c r="E6662" s="1" t="s">
        <v>10</v>
      </c>
      <c r="F6662" s="1" t="s">
        <v>5091</v>
      </c>
      <c r="G6662" s="14" t="s">
        <v>9891</v>
      </c>
      <c r="H6662" s="1" t="s">
        <v>5</v>
      </c>
      <c r="I6662" s="17">
        <v>39847</v>
      </c>
    </row>
    <row r="6663" spans="1:10">
      <c r="A6663" s="16" t="s">
        <v>9892</v>
      </c>
      <c r="B6663" s="1" t="s">
        <v>2628</v>
      </c>
      <c r="C6663" s="1">
        <v>5</v>
      </c>
      <c r="D6663" s="1" t="s">
        <v>34</v>
      </c>
      <c r="E6663" s="1" t="s">
        <v>10</v>
      </c>
      <c r="F6663" s="1" t="s">
        <v>5091</v>
      </c>
      <c r="G6663" s="14" t="s">
        <v>9891</v>
      </c>
      <c r="H6663" s="1" t="s">
        <v>5</v>
      </c>
      <c r="I6663" s="17">
        <v>39863</v>
      </c>
    </row>
    <row r="6664" spans="1:10">
      <c r="A6664" s="16" t="s">
        <v>9898</v>
      </c>
      <c r="B6664" s="1" t="s">
        <v>2628</v>
      </c>
      <c r="C6664" s="1">
        <v>1692</v>
      </c>
      <c r="D6664" s="1" t="s">
        <v>34</v>
      </c>
      <c r="E6664" s="1" t="s">
        <v>10</v>
      </c>
      <c r="F6664" s="1" t="s">
        <v>5091</v>
      </c>
      <c r="G6664" s="14" t="s">
        <v>9899</v>
      </c>
      <c r="H6664" s="1" t="s">
        <v>5</v>
      </c>
      <c r="I6664" s="17">
        <v>42005</v>
      </c>
    </row>
    <row r="6665" spans="1:10">
      <c r="A6665" s="16" t="s">
        <v>9905</v>
      </c>
      <c r="B6665" s="1" t="s">
        <v>2628</v>
      </c>
      <c r="C6665" s="1">
        <v>5</v>
      </c>
      <c r="D6665" s="1" t="s">
        <v>34</v>
      </c>
      <c r="E6665" s="1" t="s">
        <v>10</v>
      </c>
      <c r="F6665" s="1" t="s">
        <v>5091</v>
      </c>
      <c r="G6665" s="14" t="s">
        <v>6236</v>
      </c>
      <c r="H6665" s="1" t="s">
        <v>43</v>
      </c>
      <c r="I6665" s="17">
        <v>42005</v>
      </c>
    </row>
    <row r="6666" spans="1:10">
      <c r="A6666" s="16" t="s">
        <v>9935</v>
      </c>
      <c r="B6666" s="1" t="s">
        <v>2631</v>
      </c>
      <c r="C6666" s="1">
        <v>5</v>
      </c>
      <c r="D6666" s="1" t="s">
        <v>34</v>
      </c>
      <c r="E6666" s="1" t="s">
        <v>10</v>
      </c>
      <c r="F6666" s="1" t="s">
        <v>5091</v>
      </c>
      <c r="G6666" s="1" t="s">
        <v>6307</v>
      </c>
      <c r="H6666" s="1" t="s">
        <v>44</v>
      </c>
      <c r="I6666" s="17">
        <v>42326</v>
      </c>
    </row>
    <row r="6667" spans="1:10">
      <c r="A6667" s="16" t="s">
        <v>9945</v>
      </c>
      <c r="B6667" s="1" t="s">
        <v>2631</v>
      </c>
      <c r="C6667" s="1">
        <v>5</v>
      </c>
      <c r="D6667" s="1" t="s">
        <v>34</v>
      </c>
      <c r="E6667" s="1" t="s">
        <v>10</v>
      </c>
      <c r="F6667" s="1" t="s">
        <v>5091</v>
      </c>
      <c r="G6667" s="1" t="s">
        <v>6307</v>
      </c>
      <c r="H6667" s="1" t="s">
        <v>44</v>
      </c>
      <c r="I6667" s="17">
        <v>42326</v>
      </c>
    </row>
    <row r="6668" spans="1:10">
      <c r="A6668" s="16" t="s">
        <v>9946</v>
      </c>
      <c r="B6668" s="1" t="s">
        <v>2631</v>
      </c>
      <c r="C6668" s="1">
        <v>5</v>
      </c>
      <c r="D6668" s="1" t="s">
        <v>34</v>
      </c>
      <c r="E6668" s="1" t="s">
        <v>10</v>
      </c>
      <c r="F6668" s="1" t="s">
        <v>5091</v>
      </c>
      <c r="G6668" s="1" t="s">
        <v>6307</v>
      </c>
      <c r="H6668" s="1" t="s">
        <v>44</v>
      </c>
      <c r="I6668" s="17">
        <v>42326</v>
      </c>
    </row>
    <row r="6669" spans="1:10">
      <c r="A6669" s="16" t="s">
        <v>9949</v>
      </c>
      <c r="B6669" s="1" t="s">
        <v>2631</v>
      </c>
      <c r="C6669" s="1">
        <v>5</v>
      </c>
      <c r="D6669" s="1" t="s">
        <v>34</v>
      </c>
      <c r="E6669" s="1" t="s">
        <v>10</v>
      </c>
      <c r="F6669" s="1" t="s">
        <v>5091</v>
      </c>
      <c r="G6669" s="1" t="s">
        <v>6307</v>
      </c>
      <c r="H6669" s="1" t="s">
        <v>44</v>
      </c>
      <c r="I6669" s="17">
        <v>42326</v>
      </c>
    </row>
    <row r="6670" spans="1:10">
      <c r="A6670" s="16" t="s">
        <v>9950</v>
      </c>
      <c r="B6670" s="1" t="s">
        <v>2628</v>
      </c>
      <c r="C6670" s="1">
        <v>5</v>
      </c>
      <c r="D6670" s="1" t="s">
        <v>34</v>
      </c>
      <c r="E6670" s="1" t="s">
        <v>10</v>
      </c>
      <c r="F6670" s="1" t="s">
        <v>5091</v>
      </c>
      <c r="G6670" s="14" t="s">
        <v>9495</v>
      </c>
      <c r="H6670" s="1" t="s">
        <v>5</v>
      </c>
      <c r="I6670" s="17">
        <v>39561</v>
      </c>
    </row>
    <row r="6671" spans="1:10">
      <c r="A6671" s="16" t="s">
        <v>9952</v>
      </c>
      <c r="B6671" s="1" t="s">
        <v>2628</v>
      </c>
      <c r="C6671" s="1">
        <v>5</v>
      </c>
      <c r="D6671" s="1" t="s">
        <v>34</v>
      </c>
      <c r="E6671" s="1" t="s">
        <v>10</v>
      </c>
      <c r="F6671" s="1" t="s">
        <v>5091</v>
      </c>
      <c r="G6671" s="14" t="s">
        <v>9953</v>
      </c>
      <c r="H6671" s="1" t="s">
        <v>5</v>
      </c>
      <c r="I6671" s="17">
        <v>39391</v>
      </c>
    </row>
    <row r="6672" spans="1:10">
      <c r="A6672" s="16" t="s">
        <v>9956</v>
      </c>
      <c r="B6672" s="1" t="s">
        <v>2631</v>
      </c>
      <c r="C6672" s="1">
        <v>5</v>
      </c>
      <c r="D6672" s="1" t="s">
        <v>34</v>
      </c>
      <c r="E6672" s="1" t="s">
        <v>10</v>
      </c>
      <c r="F6672" s="1" t="s">
        <v>5091</v>
      </c>
      <c r="G6672" s="1" t="s">
        <v>9567</v>
      </c>
      <c r="H6672" s="1" t="s">
        <v>5</v>
      </c>
      <c r="I6672" s="17">
        <v>39741</v>
      </c>
      <c r="J6672" s="1"/>
    </row>
    <row r="6673" spans="1:9">
      <c r="A6673" s="16" t="s">
        <v>9957</v>
      </c>
      <c r="B6673" s="1" t="s">
        <v>2628</v>
      </c>
      <c r="C6673" s="1">
        <v>5</v>
      </c>
      <c r="D6673" s="1" t="s">
        <v>34</v>
      </c>
      <c r="E6673" s="1" t="s">
        <v>10</v>
      </c>
      <c r="F6673" s="1" t="s">
        <v>5091</v>
      </c>
      <c r="G6673" s="14" t="s">
        <v>9561</v>
      </c>
      <c r="H6673" s="1" t="s">
        <v>5</v>
      </c>
      <c r="I6673" s="17">
        <v>39464</v>
      </c>
    </row>
    <row r="6674" spans="1:9">
      <c r="A6674" s="16" t="s">
        <v>9967</v>
      </c>
      <c r="B6674" s="1" t="s">
        <v>2628</v>
      </c>
      <c r="C6674" s="1">
        <v>5</v>
      </c>
      <c r="D6674" s="1" t="s">
        <v>34</v>
      </c>
      <c r="E6674" s="1" t="s">
        <v>10</v>
      </c>
      <c r="F6674" s="1" t="s">
        <v>5091</v>
      </c>
      <c r="G6674" s="14" t="s">
        <v>9968</v>
      </c>
      <c r="H6674" s="1" t="s">
        <v>5</v>
      </c>
      <c r="I6674" s="17">
        <v>39325</v>
      </c>
    </row>
    <row r="6675" spans="1:9">
      <c r="A6675" s="16" t="s">
        <v>9969</v>
      </c>
      <c r="B6675" s="1" t="s">
        <v>2628</v>
      </c>
      <c r="C6675" s="1">
        <v>5</v>
      </c>
      <c r="D6675" s="1" t="s">
        <v>34</v>
      </c>
      <c r="E6675" s="1" t="s">
        <v>10</v>
      </c>
      <c r="F6675" s="1" t="s">
        <v>5091</v>
      </c>
      <c r="G6675" s="14" t="s">
        <v>9968</v>
      </c>
      <c r="H6675" s="1" t="s">
        <v>5</v>
      </c>
      <c r="I6675" s="17">
        <v>39325</v>
      </c>
    </row>
    <row r="6676" spans="1:9">
      <c r="A6676" s="16" t="s">
        <v>9970</v>
      </c>
      <c r="B6676" s="1" t="s">
        <v>2628</v>
      </c>
      <c r="C6676" s="1">
        <v>5</v>
      </c>
      <c r="D6676" s="1" t="s">
        <v>34</v>
      </c>
      <c r="E6676" s="1" t="s">
        <v>10</v>
      </c>
      <c r="F6676" s="1" t="s">
        <v>5091</v>
      </c>
      <c r="G6676" s="14" t="s">
        <v>9968</v>
      </c>
      <c r="H6676" s="1" t="s">
        <v>5</v>
      </c>
      <c r="I6676" s="17">
        <v>39325</v>
      </c>
    </row>
    <row r="6677" spans="1:9">
      <c r="A6677" s="16" t="s">
        <v>9971</v>
      </c>
      <c r="B6677" s="1" t="s">
        <v>2628</v>
      </c>
      <c r="C6677" s="1">
        <v>5</v>
      </c>
      <c r="D6677" s="1" t="s">
        <v>34</v>
      </c>
      <c r="E6677" s="1" t="s">
        <v>10</v>
      </c>
      <c r="F6677" s="1" t="s">
        <v>5091</v>
      </c>
      <c r="G6677" s="14" t="s">
        <v>9968</v>
      </c>
      <c r="H6677" s="1" t="s">
        <v>5</v>
      </c>
      <c r="I6677" s="17">
        <v>39370</v>
      </c>
    </row>
    <row r="6678" spans="1:9">
      <c r="A6678" s="16" t="s">
        <v>9972</v>
      </c>
      <c r="B6678" s="1" t="s">
        <v>2628</v>
      </c>
      <c r="C6678" s="1">
        <v>5</v>
      </c>
      <c r="D6678" s="1" t="s">
        <v>34</v>
      </c>
      <c r="E6678" s="1" t="s">
        <v>10</v>
      </c>
      <c r="F6678" s="1" t="s">
        <v>5091</v>
      </c>
      <c r="G6678" s="14" t="s">
        <v>9968</v>
      </c>
      <c r="H6678" s="1" t="s">
        <v>5</v>
      </c>
      <c r="I6678" s="17">
        <v>39370</v>
      </c>
    </row>
    <row r="6679" spans="1:9">
      <c r="A6679" s="16" t="s">
        <v>9973</v>
      </c>
      <c r="B6679" s="1" t="s">
        <v>2628</v>
      </c>
      <c r="C6679" s="1">
        <v>5</v>
      </c>
      <c r="D6679" s="1" t="s">
        <v>34</v>
      </c>
      <c r="E6679" s="1" t="s">
        <v>10</v>
      </c>
      <c r="F6679" s="1" t="s">
        <v>5091</v>
      </c>
      <c r="G6679" s="14" t="s">
        <v>9968</v>
      </c>
      <c r="H6679" s="1" t="s">
        <v>5</v>
      </c>
      <c r="I6679" s="17">
        <v>39370</v>
      </c>
    </row>
    <row r="6680" spans="1:9">
      <c r="A6680" s="16" t="s">
        <v>9974</v>
      </c>
      <c r="B6680" s="1" t="s">
        <v>2628</v>
      </c>
      <c r="C6680" s="1">
        <v>5</v>
      </c>
      <c r="D6680" s="1" t="s">
        <v>34</v>
      </c>
      <c r="E6680" s="1" t="s">
        <v>10</v>
      </c>
      <c r="F6680" s="1" t="s">
        <v>5091</v>
      </c>
      <c r="G6680" s="14" t="s">
        <v>8519</v>
      </c>
      <c r="H6680" s="1" t="s">
        <v>5</v>
      </c>
      <c r="I6680" s="17">
        <v>39377</v>
      </c>
    </row>
    <row r="6681" spans="1:9">
      <c r="A6681" s="16" t="s">
        <v>9975</v>
      </c>
      <c r="B6681" s="1" t="s">
        <v>2628</v>
      </c>
      <c r="C6681" s="1">
        <v>5</v>
      </c>
      <c r="D6681" s="1" t="s">
        <v>34</v>
      </c>
      <c r="E6681" s="1" t="s">
        <v>10</v>
      </c>
      <c r="F6681" s="1" t="s">
        <v>5091</v>
      </c>
      <c r="G6681" s="14" t="s">
        <v>9718</v>
      </c>
      <c r="H6681" s="1" t="s">
        <v>5</v>
      </c>
      <c r="I6681" s="17">
        <v>39377</v>
      </c>
    </row>
    <row r="6682" spans="1:9">
      <c r="A6682" s="16" t="s">
        <v>9976</v>
      </c>
      <c r="B6682" s="1" t="s">
        <v>2628</v>
      </c>
      <c r="C6682" s="1">
        <v>5</v>
      </c>
      <c r="D6682" s="1" t="s">
        <v>34</v>
      </c>
      <c r="E6682" s="1" t="s">
        <v>10</v>
      </c>
      <c r="F6682" s="1" t="s">
        <v>5091</v>
      </c>
      <c r="G6682" s="14" t="s">
        <v>9567</v>
      </c>
      <c r="H6682" s="1" t="s">
        <v>5</v>
      </c>
      <c r="I6682" s="17">
        <v>39377</v>
      </c>
    </row>
    <row r="6683" spans="1:9">
      <c r="A6683" s="16" t="s">
        <v>10008</v>
      </c>
      <c r="B6683" s="1" t="s">
        <v>2631</v>
      </c>
      <c r="C6683" s="1">
        <v>5</v>
      </c>
      <c r="D6683" s="1" t="s">
        <v>34</v>
      </c>
      <c r="E6683" s="1" t="s">
        <v>10</v>
      </c>
      <c r="F6683" s="1" t="s">
        <v>5091</v>
      </c>
      <c r="G6683" s="1" t="s">
        <v>6307</v>
      </c>
      <c r="H6683" s="1" t="s">
        <v>44</v>
      </c>
      <c r="I6683" s="17">
        <v>42018</v>
      </c>
    </row>
    <row r="6684" spans="1:9">
      <c r="A6684" s="16" t="s">
        <v>10009</v>
      </c>
      <c r="B6684" s="1" t="s">
        <v>2628</v>
      </c>
      <c r="C6684" s="1">
        <v>1094</v>
      </c>
      <c r="D6684" s="1" t="s">
        <v>34</v>
      </c>
      <c r="E6684" s="1" t="s">
        <v>10</v>
      </c>
      <c r="F6684" s="1" t="s">
        <v>5091</v>
      </c>
      <c r="G6684" s="14" t="s">
        <v>6307</v>
      </c>
      <c r="H6684" s="1" t="s">
        <v>44</v>
      </c>
      <c r="I6684" s="17">
        <v>42018</v>
      </c>
    </row>
    <row r="6685" spans="1:9">
      <c r="A6685" s="16" t="s">
        <v>10011</v>
      </c>
      <c r="B6685" s="1" t="s">
        <v>2631</v>
      </c>
      <c r="C6685" s="1">
        <v>5</v>
      </c>
      <c r="D6685" s="1" t="s">
        <v>34</v>
      </c>
      <c r="E6685" s="1" t="s">
        <v>10</v>
      </c>
      <c r="F6685" s="1" t="s">
        <v>5091</v>
      </c>
      <c r="G6685" s="1" t="s">
        <v>6307</v>
      </c>
      <c r="H6685" s="1" t="s">
        <v>44</v>
      </c>
      <c r="I6685" s="17">
        <v>42024</v>
      </c>
    </row>
    <row r="6686" spans="1:9">
      <c r="A6686" s="16" t="s">
        <v>10030</v>
      </c>
      <c r="B6686" s="1" t="s">
        <v>2628</v>
      </c>
      <c r="C6686" s="1">
        <v>5</v>
      </c>
      <c r="D6686" s="1" t="s">
        <v>34</v>
      </c>
      <c r="E6686" s="1" t="s">
        <v>10</v>
      </c>
      <c r="F6686" s="1" t="s">
        <v>5091</v>
      </c>
      <c r="G6686" s="14" t="s">
        <v>6145</v>
      </c>
      <c r="H6686" s="1" t="s">
        <v>43</v>
      </c>
      <c r="I6686" s="17">
        <v>40758</v>
      </c>
    </row>
    <row r="6687" spans="1:9">
      <c r="A6687" s="16" t="s">
        <v>10031</v>
      </c>
      <c r="B6687" s="1" t="s">
        <v>2628</v>
      </c>
      <c r="C6687" s="1">
        <v>5</v>
      </c>
      <c r="D6687" s="1" t="s">
        <v>34</v>
      </c>
      <c r="E6687" s="1" t="s">
        <v>10</v>
      </c>
      <c r="F6687" s="1" t="s">
        <v>5091</v>
      </c>
      <c r="G6687" s="14" t="s">
        <v>6145</v>
      </c>
      <c r="H6687" s="1" t="s">
        <v>43</v>
      </c>
      <c r="I6687" s="17">
        <v>40758</v>
      </c>
    </row>
    <row r="6688" spans="1:9">
      <c r="A6688" s="16" t="s">
        <v>10032</v>
      </c>
      <c r="B6688" s="1" t="s">
        <v>2628</v>
      </c>
      <c r="C6688" s="1">
        <v>5</v>
      </c>
      <c r="D6688" s="1" t="s">
        <v>34</v>
      </c>
      <c r="E6688" s="1" t="s">
        <v>10</v>
      </c>
      <c r="F6688" s="1" t="s">
        <v>5091</v>
      </c>
      <c r="G6688" s="14" t="s">
        <v>6145</v>
      </c>
      <c r="H6688" s="1" t="s">
        <v>43</v>
      </c>
      <c r="I6688" s="17">
        <v>40758</v>
      </c>
    </row>
    <row r="6689" spans="1:9">
      <c r="A6689" s="16" t="s">
        <v>10033</v>
      </c>
      <c r="B6689" s="1" t="s">
        <v>2628</v>
      </c>
      <c r="C6689" s="1">
        <v>5</v>
      </c>
      <c r="D6689" s="1" t="s">
        <v>34</v>
      </c>
      <c r="E6689" s="1" t="s">
        <v>10</v>
      </c>
      <c r="F6689" s="1" t="s">
        <v>5091</v>
      </c>
      <c r="G6689" s="14" t="s">
        <v>6145</v>
      </c>
      <c r="H6689" s="1" t="s">
        <v>43</v>
      </c>
      <c r="I6689" s="17">
        <v>40758</v>
      </c>
    </row>
    <row r="6690" spans="1:9">
      <c r="A6690" s="16" t="s">
        <v>10034</v>
      </c>
      <c r="B6690" s="1" t="s">
        <v>2628</v>
      </c>
      <c r="C6690" s="1">
        <v>5</v>
      </c>
      <c r="D6690" s="1" t="s">
        <v>34</v>
      </c>
      <c r="E6690" s="1" t="s">
        <v>10</v>
      </c>
      <c r="F6690" s="1" t="s">
        <v>5091</v>
      </c>
      <c r="G6690" s="14" t="s">
        <v>6145</v>
      </c>
      <c r="H6690" s="1" t="s">
        <v>43</v>
      </c>
      <c r="I6690" s="17">
        <v>40758</v>
      </c>
    </row>
    <row r="6691" spans="1:9">
      <c r="A6691" s="16" t="s">
        <v>10035</v>
      </c>
      <c r="B6691" s="1" t="s">
        <v>2628</v>
      </c>
      <c r="C6691" s="1">
        <v>5</v>
      </c>
      <c r="D6691" s="1" t="s">
        <v>34</v>
      </c>
      <c r="E6691" s="1" t="s">
        <v>10</v>
      </c>
      <c r="F6691" s="1" t="s">
        <v>5091</v>
      </c>
      <c r="G6691" s="14" t="s">
        <v>6145</v>
      </c>
      <c r="H6691" s="1" t="s">
        <v>43</v>
      </c>
      <c r="I6691" s="17">
        <v>40758</v>
      </c>
    </row>
    <row r="6692" spans="1:9">
      <c r="A6692" s="16" t="s">
        <v>10050</v>
      </c>
      <c r="B6692" s="1" t="s">
        <v>2628</v>
      </c>
      <c r="C6692" s="1">
        <v>5</v>
      </c>
      <c r="D6692" s="1" t="s">
        <v>34</v>
      </c>
      <c r="E6692" s="1" t="s">
        <v>10</v>
      </c>
      <c r="F6692" s="1" t="s">
        <v>5091</v>
      </c>
      <c r="G6692" s="14" t="s">
        <v>4458</v>
      </c>
      <c r="H6692" s="1" t="s">
        <v>118</v>
      </c>
      <c r="I6692" s="1" t="s">
        <v>4458</v>
      </c>
    </row>
    <row r="6693" spans="1:9">
      <c r="A6693" s="16" t="s">
        <v>10054</v>
      </c>
      <c r="B6693" s="1" t="s">
        <v>2628</v>
      </c>
      <c r="C6693" s="1">
        <v>5</v>
      </c>
      <c r="D6693" s="1" t="s">
        <v>34</v>
      </c>
      <c r="E6693" s="1" t="s">
        <v>10</v>
      </c>
      <c r="F6693" s="1" t="s">
        <v>5091</v>
      </c>
      <c r="G6693" s="14" t="s">
        <v>10053</v>
      </c>
      <c r="H6693" s="1" t="s">
        <v>43</v>
      </c>
      <c r="I6693" s="17">
        <v>40962</v>
      </c>
    </row>
    <row r="6694" spans="1:9">
      <c r="A6694" s="16" t="s">
        <v>10056</v>
      </c>
      <c r="B6694" s="1" t="s">
        <v>2628</v>
      </c>
      <c r="C6694" s="1">
        <v>5</v>
      </c>
      <c r="D6694" s="1" t="s">
        <v>34</v>
      </c>
      <c r="E6694" s="1" t="s">
        <v>10</v>
      </c>
      <c r="F6694" s="1" t="s">
        <v>5091</v>
      </c>
      <c r="G6694" s="14" t="s">
        <v>10053</v>
      </c>
      <c r="H6694" s="1" t="s">
        <v>43</v>
      </c>
      <c r="I6694" s="17">
        <v>40962</v>
      </c>
    </row>
    <row r="6695" spans="1:9">
      <c r="A6695" s="16" t="s">
        <v>10063</v>
      </c>
      <c r="B6695" s="1" t="s">
        <v>2628</v>
      </c>
      <c r="C6695" s="1">
        <v>5</v>
      </c>
      <c r="D6695" s="1" t="s">
        <v>34</v>
      </c>
      <c r="E6695" s="1" t="s">
        <v>10</v>
      </c>
      <c r="F6695" s="1" t="s">
        <v>5091</v>
      </c>
      <c r="G6695" s="14" t="s">
        <v>6530</v>
      </c>
      <c r="H6695" s="1" t="s">
        <v>43</v>
      </c>
      <c r="I6695" s="17">
        <v>42309</v>
      </c>
    </row>
    <row r="6696" spans="1:9">
      <c r="A6696" s="16" t="s">
        <v>10072</v>
      </c>
      <c r="B6696" s="1" t="s">
        <v>2628</v>
      </c>
      <c r="C6696" s="1">
        <v>5</v>
      </c>
      <c r="D6696" s="1" t="s">
        <v>34</v>
      </c>
      <c r="E6696" s="1" t="s">
        <v>10</v>
      </c>
      <c r="F6696" s="1" t="s">
        <v>36</v>
      </c>
      <c r="G6696" s="14" t="s">
        <v>10073</v>
      </c>
      <c r="H6696" s="1" t="s">
        <v>43</v>
      </c>
      <c r="I6696" s="17">
        <v>40179</v>
      </c>
    </row>
    <row r="6697" spans="1:9">
      <c r="A6697" s="16" t="s">
        <v>10081</v>
      </c>
      <c r="B6697" s="1" t="s">
        <v>2628</v>
      </c>
      <c r="C6697" s="1">
        <v>5</v>
      </c>
      <c r="D6697" s="1" t="s">
        <v>34</v>
      </c>
      <c r="E6697" s="1" t="s">
        <v>10</v>
      </c>
      <c r="F6697" s="1" t="s">
        <v>36</v>
      </c>
      <c r="G6697" s="14" t="s">
        <v>10082</v>
      </c>
      <c r="H6697" s="1" t="s">
        <v>5</v>
      </c>
      <c r="I6697" s="17">
        <v>40179</v>
      </c>
    </row>
    <row r="6698" spans="1:9" ht="28.8">
      <c r="A6698" s="16" t="s">
        <v>10083</v>
      </c>
      <c r="B6698" s="1" t="s">
        <v>2628</v>
      </c>
      <c r="C6698" s="1">
        <v>5</v>
      </c>
      <c r="D6698" s="1" t="s">
        <v>34</v>
      </c>
      <c r="E6698" s="1" t="s">
        <v>10</v>
      </c>
      <c r="F6698" s="1" t="s">
        <v>36</v>
      </c>
      <c r="G6698" s="14" t="s">
        <v>10084</v>
      </c>
      <c r="H6698" s="1" t="s">
        <v>5</v>
      </c>
      <c r="I6698" s="17">
        <v>36892</v>
      </c>
    </row>
    <row r="6699" spans="1:9">
      <c r="A6699" s="16" t="s">
        <v>10085</v>
      </c>
      <c r="B6699" s="1" t="s">
        <v>2628</v>
      </c>
      <c r="C6699" s="1">
        <v>5</v>
      </c>
      <c r="D6699" s="1" t="s">
        <v>34</v>
      </c>
      <c r="E6699" s="1" t="s">
        <v>10</v>
      </c>
      <c r="F6699" s="1" t="s">
        <v>36</v>
      </c>
      <c r="G6699" s="14" t="s">
        <v>10073</v>
      </c>
      <c r="H6699" s="1" t="s">
        <v>43</v>
      </c>
      <c r="I6699" s="17">
        <v>39814</v>
      </c>
    </row>
    <row r="6700" spans="1:9">
      <c r="A6700" s="16" t="s">
        <v>10098</v>
      </c>
      <c r="B6700" s="1" t="s">
        <v>2628</v>
      </c>
      <c r="C6700" s="1">
        <v>5</v>
      </c>
      <c r="D6700" s="1" t="s">
        <v>34</v>
      </c>
      <c r="E6700" s="1" t="s">
        <v>10</v>
      </c>
      <c r="F6700" s="1" t="s">
        <v>36</v>
      </c>
      <c r="G6700" s="14" t="s">
        <v>10099</v>
      </c>
      <c r="H6700" s="1" t="s">
        <v>43</v>
      </c>
      <c r="I6700" s="17">
        <v>39814</v>
      </c>
    </row>
    <row r="6701" spans="1:9">
      <c r="A6701" s="16" t="s">
        <v>10185</v>
      </c>
      <c r="B6701" s="1" t="s">
        <v>2628</v>
      </c>
      <c r="C6701" s="1">
        <v>5</v>
      </c>
      <c r="D6701" s="1" t="s">
        <v>34</v>
      </c>
      <c r="E6701" s="1" t="s">
        <v>10</v>
      </c>
      <c r="F6701" s="1" t="s">
        <v>36</v>
      </c>
      <c r="G6701" s="14" t="s">
        <v>10181</v>
      </c>
      <c r="H6701" s="1" t="s">
        <v>43</v>
      </c>
      <c r="I6701" s="17">
        <v>38718</v>
      </c>
    </row>
    <row r="6702" spans="1:9">
      <c r="A6702" s="16" t="s">
        <v>10198</v>
      </c>
      <c r="B6702" s="1" t="s">
        <v>2628</v>
      </c>
      <c r="C6702" s="1">
        <v>5</v>
      </c>
      <c r="D6702" s="1" t="s">
        <v>34</v>
      </c>
      <c r="E6702" s="1" t="s">
        <v>10</v>
      </c>
      <c r="F6702" s="1" t="s">
        <v>36</v>
      </c>
      <c r="G6702" s="14" t="s">
        <v>10181</v>
      </c>
      <c r="H6702" s="1" t="s">
        <v>43</v>
      </c>
      <c r="I6702" s="17">
        <v>38718</v>
      </c>
    </row>
    <row r="6703" spans="1:9">
      <c r="A6703" s="16" t="s">
        <v>10199</v>
      </c>
      <c r="B6703" s="1" t="s">
        <v>2628</v>
      </c>
      <c r="C6703" s="1">
        <v>5</v>
      </c>
      <c r="D6703" s="1" t="s">
        <v>34</v>
      </c>
      <c r="E6703" s="1" t="s">
        <v>10</v>
      </c>
      <c r="F6703" s="1" t="s">
        <v>36</v>
      </c>
      <c r="G6703" s="14" t="s">
        <v>10181</v>
      </c>
      <c r="H6703" s="1" t="s">
        <v>43</v>
      </c>
      <c r="I6703" s="17">
        <v>38718</v>
      </c>
    </row>
    <row r="6704" spans="1:9">
      <c r="A6704" s="16" t="s">
        <v>10243</v>
      </c>
      <c r="B6704" s="1" t="s">
        <v>2628</v>
      </c>
      <c r="C6704" s="1">
        <v>5</v>
      </c>
      <c r="D6704" s="1" t="s">
        <v>34</v>
      </c>
      <c r="E6704" s="1" t="s">
        <v>10</v>
      </c>
      <c r="F6704" s="1" t="s">
        <v>36</v>
      </c>
      <c r="G6704" s="14" t="s">
        <v>10244</v>
      </c>
      <c r="H6704" s="1" t="s">
        <v>43</v>
      </c>
      <c r="I6704" s="17">
        <v>39814</v>
      </c>
    </row>
    <row r="6705" spans="1:9">
      <c r="A6705" s="16" t="s">
        <v>10281</v>
      </c>
      <c r="B6705" s="1" t="s">
        <v>2631</v>
      </c>
      <c r="C6705" s="1">
        <v>5</v>
      </c>
      <c r="D6705" s="1" t="s">
        <v>34</v>
      </c>
      <c r="E6705" s="1" t="s">
        <v>10</v>
      </c>
      <c r="F6705" s="1" t="s">
        <v>5091</v>
      </c>
      <c r="G6705" s="1" t="s">
        <v>6307</v>
      </c>
      <c r="H6705" s="1" t="s">
        <v>44</v>
      </c>
      <c r="I6705" s="17">
        <v>42066</v>
      </c>
    </row>
    <row r="6706" spans="1:9" ht="31.2">
      <c r="A6706" s="16" t="s">
        <v>10317</v>
      </c>
      <c r="B6706" s="1" t="s">
        <v>2628</v>
      </c>
      <c r="C6706" s="1">
        <v>5</v>
      </c>
      <c r="D6706" s="1" t="s">
        <v>34</v>
      </c>
      <c r="E6706" s="1" t="s">
        <v>10</v>
      </c>
      <c r="F6706" s="1" t="s">
        <v>5091</v>
      </c>
      <c r="G6706" s="14" t="s">
        <v>10318</v>
      </c>
      <c r="H6706" s="1" t="s">
        <v>43</v>
      </c>
      <c r="I6706" s="17">
        <v>41995</v>
      </c>
    </row>
    <row r="6707" spans="1:9">
      <c r="A6707" s="16" t="s">
        <v>10332</v>
      </c>
      <c r="B6707" s="1" t="s">
        <v>2628</v>
      </c>
      <c r="C6707" s="1">
        <v>5</v>
      </c>
      <c r="D6707" s="1" t="s">
        <v>34</v>
      </c>
      <c r="E6707" s="1" t="s">
        <v>10</v>
      </c>
      <c r="F6707" s="1" t="s">
        <v>5091</v>
      </c>
      <c r="G6707" s="14" t="s">
        <v>10053</v>
      </c>
      <c r="H6707" s="1" t="s">
        <v>43</v>
      </c>
      <c r="I6707" s="17">
        <v>40962</v>
      </c>
    </row>
    <row r="6708" spans="1:9">
      <c r="A6708" s="16" t="s">
        <v>10333</v>
      </c>
      <c r="B6708" s="1" t="s">
        <v>2628</v>
      </c>
      <c r="C6708" s="1">
        <v>5</v>
      </c>
      <c r="D6708" s="1" t="s">
        <v>34</v>
      </c>
      <c r="E6708" s="1" t="s">
        <v>10</v>
      </c>
      <c r="F6708" s="1" t="s">
        <v>5091</v>
      </c>
      <c r="G6708" s="14" t="s">
        <v>10053</v>
      </c>
      <c r="H6708" s="1" t="s">
        <v>43</v>
      </c>
      <c r="I6708" s="17">
        <v>40962</v>
      </c>
    </row>
    <row r="6709" spans="1:9">
      <c r="A6709" s="16" t="s">
        <v>10336</v>
      </c>
      <c r="B6709" s="1" t="s">
        <v>2628</v>
      </c>
      <c r="C6709" s="1">
        <v>5</v>
      </c>
      <c r="D6709" s="1" t="s">
        <v>34</v>
      </c>
      <c r="E6709" s="1" t="s">
        <v>10</v>
      </c>
      <c r="F6709" s="1" t="s">
        <v>5091</v>
      </c>
      <c r="G6709" s="14" t="s">
        <v>10053</v>
      </c>
      <c r="H6709" s="1" t="s">
        <v>43</v>
      </c>
      <c r="I6709" s="17">
        <v>40951</v>
      </c>
    </row>
    <row r="6710" spans="1:9">
      <c r="A6710" s="16" t="s">
        <v>10368</v>
      </c>
      <c r="B6710" s="1" t="s">
        <v>2628</v>
      </c>
      <c r="C6710" s="1">
        <v>5</v>
      </c>
      <c r="D6710" s="1" t="s">
        <v>34</v>
      </c>
      <c r="E6710" s="1" t="s">
        <v>10</v>
      </c>
      <c r="F6710" s="1" t="s">
        <v>5091</v>
      </c>
      <c r="G6710" s="14" t="s">
        <v>6236</v>
      </c>
      <c r="H6710" s="1" t="s">
        <v>43</v>
      </c>
      <c r="I6710" s="17">
        <v>42370</v>
      </c>
    </row>
    <row r="6711" spans="1:9">
      <c r="A6711" s="16" t="s">
        <v>10379</v>
      </c>
      <c r="B6711" s="1" t="s">
        <v>2628</v>
      </c>
      <c r="C6711" s="1">
        <v>5</v>
      </c>
      <c r="D6711" s="1" t="s">
        <v>34</v>
      </c>
      <c r="E6711" s="1" t="s">
        <v>10</v>
      </c>
      <c r="F6711" s="1" t="s">
        <v>5091</v>
      </c>
      <c r="G6711" s="14" t="s">
        <v>6236</v>
      </c>
      <c r="H6711" s="1" t="s">
        <v>43</v>
      </c>
      <c r="I6711" s="17">
        <v>42370</v>
      </c>
    </row>
    <row r="6712" spans="1:9">
      <c r="A6712" s="16" t="s">
        <v>10380</v>
      </c>
      <c r="B6712" s="1" t="s">
        <v>2628</v>
      </c>
      <c r="C6712" s="1">
        <v>5</v>
      </c>
      <c r="D6712" s="1" t="s">
        <v>34</v>
      </c>
      <c r="E6712" s="1" t="s">
        <v>10</v>
      </c>
      <c r="F6712" s="1" t="s">
        <v>5091</v>
      </c>
      <c r="G6712" s="14" t="s">
        <v>6236</v>
      </c>
      <c r="H6712" s="1" t="s">
        <v>43</v>
      </c>
      <c r="I6712" s="17">
        <v>42370</v>
      </c>
    </row>
    <row r="6713" spans="1:9">
      <c r="A6713" s="16" t="s">
        <v>10386</v>
      </c>
      <c r="B6713" s="1" t="s">
        <v>2628</v>
      </c>
      <c r="C6713" s="1">
        <v>5</v>
      </c>
      <c r="D6713" s="1" t="s">
        <v>34</v>
      </c>
      <c r="E6713" s="1" t="s">
        <v>10</v>
      </c>
      <c r="F6713" s="1" t="s">
        <v>5091</v>
      </c>
      <c r="G6713" s="14" t="s">
        <v>6145</v>
      </c>
      <c r="H6713" s="1" t="s">
        <v>43</v>
      </c>
      <c r="I6713" s="17">
        <v>42395</v>
      </c>
    </row>
    <row r="6714" spans="1:9">
      <c r="A6714" s="16" t="s">
        <v>10387</v>
      </c>
      <c r="B6714" s="1" t="s">
        <v>2628</v>
      </c>
      <c r="C6714" s="1">
        <v>5</v>
      </c>
      <c r="D6714" s="1" t="s">
        <v>34</v>
      </c>
      <c r="E6714" s="1" t="s">
        <v>10</v>
      </c>
      <c r="F6714" s="1" t="s">
        <v>5091</v>
      </c>
      <c r="G6714" s="14" t="s">
        <v>6145</v>
      </c>
      <c r="H6714" s="1" t="s">
        <v>43</v>
      </c>
      <c r="I6714" s="17">
        <v>42395</v>
      </c>
    </row>
    <row r="6715" spans="1:9" ht="31.2">
      <c r="A6715" s="16" t="s">
        <v>10391</v>
      </c>
      <c r="B6715" s="1" t="s">
        <v>2628</v>
      </c>
      <c r="C6715" s="1">
        <v>5</v>
      </c>
      <c r="D6715" s="1" t="s">
        <v>34</v>
      </c>
      <c r="E6715" s="1" t="s">
        <v>10</v>
      </c>
      <c r="F6715" s="1" t="s">
        <v>5091</v>
      </c>
      <c r="G6715" s="14" t="s">
        <v>9612</v>
      </c>
      <c r="H6715" s="1" t="s">
        <v>5</v>
      </c>
      <c r="I6715" s="17">
        <v>41102</v>
      </c>
    </row>
    <row r="6716" spans="1:9">
      <c r="A6716" s="16" t="s">
        <v>10396</v>
      </c>
      <c r="B6716" s="1" t="s">
        <v>2628</v>
      </c>
      <c r="C6716" s="1">
        <v>5</v>
      </c>
      <c r="D6716" s="1" t="s">
        <v>34</v>
      </c>
      <c r="E6716" s="1" t="s">
        <v>10</v>
      </c>
      <c r="F6716" s="1" t="s">
        <v>5091</v>
      </c>
      <c r="G6716" s="14" t="s">
        <v>6377</v>
      </c>
      <c r="H6716" s="1" t="s">
        <v>5</v>
      </c>
      <c r="I6716" s="17">
        <v>40070</v>
      </c>
    </row>
    <row r="6717" spans="1:9">
      <c r="A6717" s="16" t="s">
        <v>10397</v>
      </c>
      <c r="B6717" s="1" t="s">
        <v>2628</v>
      </c>
      <c r="C6717" s="1">
        <v>5</v>
      </c>
      <c r="D6717" s="1" t="s">
        <v>34</v>
      </c>
      <c r="E6717" s="1" t="s">
        <v>10</v>
      </c>
      <c r="F6717" s="1" t="s">
        <v>5091</v>
      </c>
      <c r="G6717" s="14" t="s">
        <v>6377</v>
      </c>
      <c r="H6717" s="1" t="s">
        <v>5</v>
      </c>
      <c r="I6717" s="17">
        <v>40070</v>
      </c>
    </row>
    <row r="6718" spans="1:9">
      <c r="A6718" s="16" t="s">
        <v>10398</v>
      </c>
      <c r="B6718" s="1" t="s">
        <v>2628</v>
      </c>
      <c r="C6718" s="1">
        <v>5</v>
      </c>
      <c r="D6718" s="1" t="s">
        <v>34</v>
      </c>
      <c r="E6718" s="1" t="s">
        <v>10</v>
      </c>
      <c r="F6718" s="1" t="s">
        <v>5091</v>
      </c>
      <c r="G6718" s="14" t="s">
        <v>9567</v>
      </c>
      <c r="H6718" s="1" t="s">
        <v>5</v>
      </c>
      <c r="I6718" s="17">
        <v>39404</v>
      </c>
    </row>
    <row r="6719" spans="1:9">
      <c r="A6719" s="16" t="s">
        <v>10405</v>
      </c>
      <c r="B6719" s="1" t="s">
        <v>2628</v>
      </c>
      <c r="C6719" s="1">
        <v>5</v>
      </c>
      <c r="D6719" s="1" t="s">
        <v>34</v>
      </c>
      <c r="E6719" s="1" t="s">
        <v>10</v>
      </c>
      <c r="F6719" s="1" t="s">
        <v>5091</v>
      </c>
      <c r="G6719" s="14" t="s">
        <v>10406</v>
      </c>
      <c r="H6719" s="1" t="s">
        <v>5</v>
      </c>
      <c r="I6719" s="17">
        <v>40266</v>
      </c>
    </row>
    <row r="6720" spans="1:9">
      <c r="A6720" s="16" t="s">
        <v>10407</v>
      </c>
      <c r="B6720" s="1" t="s">
        <v>2628</v>
      </c>
      <c r="C6720" s="1">
        <v>2383</v>
      </c>
      <c r="D6720" s="1" t="s">
        <v>34</v>
      </c>
      <c r="E6720" s="1" t="s">
        <v>10</v>
      </c>
      <c r="F6720" s="1" t="s">
        <v>5091</v>
      </c>
      <c r="G6720" s="14" t="s">
        <v>10408</v>
      </c>
      <c r="H6720" s="1" t="s">
        <v>5</v>
      </c>
      <c r="I6720" s="17">
        <v>40386</v>
      </c>
    </row>
    <row r="6721" spans="1:10">
      <c r="A6721" s="16" t="s">
        <v>10410</v>
      </c>
      <c r="B6721" s="1" t="s">
        <v>2628</v>
      </c>
      <c r="C6721" s="1">
        <v>5</v>
      </c>
      <c r="D6721" s="1" t="s">
        <v>34</v>
      </c>
      <c r="E6721" s="1" t="s">
        <v>10</v>
      </c>
      <c r="F6721" s="1" t="s">
        <v>5091</v>
      </c>
      <c r="G6721" s="14" t="s">
        <v>10408</v>
      </c>
      <c r="H6721" s="1" t="s">
        <v>5</v>
      </c>
      <c r="I6721" s="17">
        <v>40406</v>
      </c>
    </row>
    <row r="6722" spans="1:10">
      <c r="A6722" s="16" t="s">
        <v>10429</v>
      </c>
      <c r="B6722" s="1" t="s">
        <v>2628</v>
      </c>
      <c r="C6722" s="1">
        <v>5</v>
      </c>
      <c r="D6722" s="1" t="s">
        <v>34</v>
      </c>
      <c r="E6722" s="1" t="s">
        <v>10</v>
      </c>
      <c r="F6722" s="1" t="s">
        <v>5091</v>
      </c>
      <c r="G6722" s="14" t="s">
        <v>9953</v>
      </c>
      <c r="H6722" s="1" t="s">
        <v>5</v>
      </c>
      <c r="I6722" s="17">
        <v>39391</v>
      </c>
    </row>
    <row r="6723" spans="1:10">
      <c r="A6723" s="16" t="s">
        <v>10430</v>
      </c>
      <c r="B6723" s="1" t="s">
        <v>2628</v>
      </c>
      <c r="C6723" s="1">
        <v>5</v>
      </c>
      <c r="D6723" s="1" t="s">
        <v>34</v>
      </c>
      <c r="E6723" s="1" t="s">
        <v>10</v>
      </c>
      <c r="F6723" s="1" t="s">
        <v>5091</v>
      </c>
      <c r="G6723" s="14" t="s">
        <v>9567</v>
      </c>
      <c r="H6723" s="1" t="s">
        <v>5</v>
      </c>
      <c r="I6723" s="17">
        <v>39404</v>
      </c>
    </row>
    <row r="6724" spans="1:10">
      <c r="A6724" s="16" t="s">
        <v>10432</v>
      </c>
      <c r="B6724" s="1" t="s">
        <v>2628</v>
      </c>
      <c r="C6724" s="1">
        <v>5</v>
      </c>
      <c r="D6724" s="1" t="s">
        <v>34</v>
      </c>
      <c r="E6724" s="1" t="s">
        <v>10</v>
      </c>
      <c r="F6724" s="1" t="s">
        <v>5091</v>
      </c>
      <c r="G6724" s="14" t="s">
        <v>9495</v>
      </c>
      <c r="H6724" s="1" t="s">
        <v>5</v>
      </c>
      <c r="I6724" s="17">
        <v>39561</v>
      </c>
    </row>
    <row r="6725" spans="1:10" ht="31.2">
      <c r="A6725" s="16" t="s">
        <v>10435</v>
      </c>
      <c r="B6725" s="1" t="s">
        <v>2628</v>
      </c>
      <c r="C6725" s="1">
        <v>5</v>
      </c>
      <c r="D6725" s="1" t="s">
        <v>34</v>
      </c>
      <c r="E6725" s="1" t="s">
        <v>10</v>
      </c>
      <c r="F6725" s="1" t="s">
        <v>5091</v>
      </c>
      <c r="G6725" s="14" t="s">
        <v>6377</v>
      </c>
      <c r="H6725" s="1" t="s">
        <v>5</v>
      </c>
      <c r="I6725" s="17">
        <v>39545</v>
      </c>
    </row>
    <row r="6726" spans="1:10">
      <c r="A6726" s="16" t="s">
        <v>10437</v>
      </c>
      <c r="B6726" s="1" t="s">
        <v>2628</v>
      </c>
      <c r="C6726" s="1">
        <v>819</v>
      </c>
      <c r="D6726" s="1" t="s">
        <v>34</v>
      </c>
      <c r="E6726" s="1" t="s">
        <v>10</v>
      </c>
      <c r="F6726" s="1" t="s">
        <v>5091</v>
      </c>
      <c r="G6726" s="14" t="s">
        <v>6145</v>
      </c>
      <c r="H6726" s="1" t="s">
        <v>43</v>
      </c>
      <c r="I6726" s="17">
        <v>40858</v>
      </c>
    </row>
    <row r="6727" spans="1:10">
      <c r="A6727" s="16" t="s">
        <v>10441</v>
      </c>
      <c r="B6727" s="1" t="s">
        <v>2628</v>
      </c>
      <c r="C6727" s="1">
        <v>5</v>
      </c>
      <c r="D6727" s="1" t="s">
        <v>34</v>
      </c>
      <c r="E6727" s="1" t="s">
        <v>10</v>
      </c>
      <c r="F6727" s="1" t="s">
        <v>5091</v>
      </c>
      <c r="G6727" s="14" t="s">
        <v>10442</v>
      </c>
      <c r="H6727" s="1" t="s">
        <v>5</v>
      </c>
      <c r="I6727" s="17">
        <v>39442</v>
      </c>
    </row>
    <row r="6728" spans="1:10">
      <c r="A6728" s="16" t="s">
        <v>10446</v>
      </c>
      <c r="B6728" s="1" t="s">
        <v>2628</v>
      </c>
      <c r="C6728" s="1">
        <v>5</v>
      </c>
      <c r="D6728" s="1" t="s">
        <v>34</v>
      </c>
      <c r="E6728" s="1" t="s">
        <v>10</v>
      </c>
      <c r="F6728" s="1" t="s">
        <v>5091</v>
      </c>
      <c r="G6728" s="14" t="s">
        <v>9718</v>
      </c>
      <c r="H6728" s="1" t="s">
        <v>5</v>
      </c>
      <c r="I6728" s="17">
        <v>39464</v>
      </c>
    </row>
    <row r="6729" spans="1:10">
      <c r="A6729" s="16" t="s">
        <v>10447</v>
      </c>
      <c r="B6729" s="1" t="s">
        <v>2628</v>
      </c>
      <c r="C6729" s="1">
        <v>5</v>
      </c>
      <c r="D6729" s="1" t="s">
        <v>34</v>
      </c>
      <c r="E6729" s="1" t="s">
        <v>10</v>
      </c>
      <c r="F6729" s="1" t="s">
        <v>5091</v>
      </c>
      <c r="G6729" s="14" t="s">
        <v>9567</v>
      </c>
      <c r="H6729" s="1" t="s">
        <v>5</v>
      </c>
      <c r="I6729" s="17">
        <v>39404</v>
      </c>
    </row>
    <row r="6730" spans="1:10">
      <c r="A6730" s="16" t="s">
        <v>10448</v>
      </c>
      <c r="B6730" s="1" t="s">
        <v>2628</v>
      </c>
      <c r="C6730" s="1">
        <v>5</v>
      </c>
      <c r="D6730" s="1" t="s">
        <v>34</v>
      </c>
      <c r="E6730" s="1" t="s">
        <v>10</v>
      </c>
      <c r="F6730" s="1" t="s">
        <v>5091</v>
      </c>
      <c r="G6730" s="14" t="s">
        <v>9558</v>
      </c>
      <c r="H6730" s="1" t="s">
        <v>5</v>
      </c>
      <c r="I6730" s="17">
        <v>39517</v>
      </c>
    </row>
    <row r="6731" spans="1:10">
      <c r="A6731" s="16" t="s">
        <v>10450</v>
      </c>
      <c r="B6731" s="1" t="s">
        <v>2631</v>
      </c>
      <c r="C6731" s="1">
        <v>5</v>
      </c>
      <c r="D6731" s="1" t="s">
        <v>34</v>
      </c>
      <c r="E6731" s="1" t="s">
        <v>10</v>
      </c>
      <c r="F6731" s="1" t="s">
        <v>5091</v>
      </c>
      <c r="G6731" s="1" t="s">
        <v>9567</v>
      </c>
      <c r="H6731" s="1" t="s">
        <v>5</v>
      </c>
      <c r="I6731" s="17">
        <v>39741</v>
      </c>
      <c r="J6731" s="17"/>
    </row>
    <row r="6732" spans="1:10">
      <c r="A6732" s="16" t="s">
        <v>10472</v>
      </c>
      <c r="B6732" s="1" t="s">
        <v>2628</v>
      </c>
      <c r="C6732" s="1">
        <v>5</v>
      </c>
      <c r="D6732" s="1" t="s">
        <v>34</v>
      </c>
      <c r="E6732" s="1" t="s">
        <v>10</v>
      </c>
      <c r="F6732" s="1" t="s">
        <v>5091</v>
      </c>
      <c r="G6732" s="14" t="s">
        <v>10473</v>
      </c>
      <c r="H6732" s="1" t="s">
        <v>5</v>
      </c>
      <c r="I6732" s="17">
        <v>39265</v>
      </c>
    </row>
    <row r="6733" spans="1:10">
      <c r="A6733" s="16" t="s">
        <v>10474</v>
      </c>
      <c r="B6733" s="1" t="s">
        <v>2628</v>
      </c>
      <c r="C6733" s="1">
        <v>5</v>
      </c>
      <c r="D6733" s="1" t="s">
        <v>34</v>
      </c>
      <c r="E6733" s="1" t="s">
        <v>10</v>
      </c>
      <c r="F6733" s="1" t="s">
        <v>5091</v>
      </c>
      <c r="G6733" s="14" t="s">
        <v>9891</v>
      </c>
      <c r="H6733" s="1" t="s">
        <v>5</v>
      </c>
      <c r="I6733" s="17">
        <v>39265</v>
      </c>
    </row>
    <row r="6734" spans="1:10">
      <c r="A6734" s="16" t="s">
        <v>10475</v>
      </c>
      <c r="B6734" s="1" t="s">
        <v>2628</v>
      </c>
      <c r="C6734" s="1">
        <v>5</v>
      </c>
      <c r="D6734" s="1" t="s">
        <v>34</v>
      </c>
      <c r="E6734" s="1" t="s">
        <v>10</v>
      </c>
      <c r="F6734" s="1" t="s">
        <v>5091</v>
      </c>
      <c r="G6734" s="14" t="s">
        <v>9891</v>
      </c>
      <c r="H6734" s="1" t="s">
        <v>5</v>
      </c>
      <c r="I6734" s="17">
        <v>39265</v>
      </c>
    </row>
    <row r="6735" spans="1:10">
      <c r="A6735" s="16" t="s">
        <v>10476</v>
      </c>
      <c r="B6735" s="1" t="s">
        <v>2628</v>
      </c>
      <c r="C6735" s="1">
        <v>5</v>
      </c>
      <c r="D6735" s="1" t="s">
        <v>34</v>
      </c>
      <c r="E6735" s="1" t="s">
        <v>10</v>
      </c>
      <c r="F6735" s="1" t="s">
        <v>5091</v>
      </c>
      <c r="G6735" s="14" t="s">
        <v>10477</v>
      </c>
      <c r="H6735" s="1" t="s">
        <v>5</v>
      </c>
      <c r="I6735" s="17">
        <v>39251</v>
      </c>
    </row>
    <row r="6736" spans="1:10">
      <c r="A6736" s="16" t="s">
        <v>10480</v>
      </c>
      <c r="B6736" s="1" t="s">
        <v>2628</v>
      </c>
      <c r="C6736" s="1">
        <v>5</v>
      </c>
      <c r="D6736" s="1" t="s">
        <v>34</v>
      </c>
      <c r="E6736" s="1" t="s">
        <v>10</v>
      </c>
      <c r="F6736" s="1" t="s">
        <v>5091</v>
      </c>
      <c r="G6736" s="14" t="s">
        <v>10481</v>
      </c>
      <c r="H6736" s="1" t="s">
        <v>5</v>
      </c>
      <c r="I6736" s="17">
        <v>39265</v>
      </c>
    </row>
    <row r="6737" spans="1:9">
      <c r="A6737" s="16" t="s">
        <v>10482</v>
      </c>
      <c r="B6737" s="1" t="s">
        <v>2628</v>
      </c>
      <c r="C6737" s="1">
        <v>5</v>
      </c>
      <c r="D6737" s="1" t="s">
        <v>34</v>
      </c>
      <c r="E6737" s="1" t="s">
        <v>10</v>
      </c>
      <c r="F6737" s="1" t="s">
        <v>5091</v>
      </c>
      <c r="G6737" s="14" t="s">
        <v>9493</v>
      </c>
      <c r="H6737" s="1" t="s">
        <v>5</v>
      </c>
      <c r="I6737" s="17">
        <v>39265</v>
      </c>
    </row>
    <row r="6738" spans="1:9">
      <c r="A6738" s="16" t="s">
        <v>10483</v>
      </c>
      <c r="B6738" s="1" t="s">
        <v>2628</v>
      </c>
      <c r="C6738" s="1">
        <v>5</v>
      </c>
      <c r="D6738" s="1" t="s">
        <v>34</v>
      </c>
      <c r="E6738" s="1" t="s">
        <v>10</v>
      </c>
      <c r="F6738" s="1" t="s">
        <v>5091</v>
      </c>
      <c r="G6738" s="14" t="s">
        <v>9493</v>
      </c>
      <c r="H6738" s="1" t="s">
        <v>5</v>
      </c>
      <c r="I6738" s="17">
        <v>39265</v>
      </c>
    </row>
    <row r="6739" spans="1:9">
      <c r="A6739" s="16" t="s">
        <v>10486</v>
      </c>
      <c r="B6739" s="1" t="s">
        <v>2628</v>
      </c>
      <c r="C6739" s="1">
        <v>5</v>
      </c>
      <c r="D6739" s="1" t="s">
        <v>34</v>
      </c>
      <c r="E6739" s="1" t="s">
        <v>10</v>
      </c>
      <c r="F6739" s="1" t="s">
        <v>5091</v>
      </c>
      <c r="G6739" s="14" t="s">
        <v>10481</v>
      </c>
      <c r="H6739" s="1" t="s">
        <v>5</v>
      </c>
      <c r="I6739" s="17">
        <v>39265</v>
      </c>
    </row>
    <row r="6740" spans="1:9">
      <c r="A6740" s="16" t="s">
        <v>10515</v>
      </c>
      <c r="B6740" s="1" t="s">
        <v>2628</v>
      </c>
      <c r="C6740" s="1">
        <v>5</v>
      </c>
      <c r="D6740" s="1" t="s">
        <v>34</v>
      </c>
      <c r="E6740" s="1" t="s">
        <v>10</v>
      </c>
      <c r="F6740" s="1" t="s">
        <v>5091</v>
      </c>
      <c r="G6740" s="14" t="s">
        <v>10477</v>
      </c>
      <c r="H6740" s="1" t="s">
        <v>5</v>
      </c>
      <c r="I6740" s="17">
        <v>39265</v>
      </c>
    </row>
    <row r="6741" spans="1:9">
      <c r="A6741" s="16" t="s">
        <v>10516</v>
      </c>
      <c r="B6741" s="1" t="s">
        <v>2628</v>
      </c>
      <c r="C6741" s="1">
        <v>5</v>
      </c>
      <c r="D6741" s="1" t="s">
        <v>34</v>
      </c>
      <c r="E6741" s="1" t="s">
        <v>10</v>
      </c>
      <c r="F6741" s="1" t="s">
        <v>5091</v>
      </c>
      <c r="G6741" s="14" t="s">
        <v>9891</v>
      </c>
      <c r="H6741" s="1" t="s">
        <v>5</v>
      </c>
      <c r="I6741" s="17">
        <v>39265</v>
      </c>
    </row>
    <row r="6742" spans="1:9">
      <c r="A6742" s="16" t="s">
        <v>10517</v>
      </c>
      <c r="B6742" s="1" t="s">
        <v>2628</v>
      </c>
      <c r="C6742" s="1">
        <v>5</v>
      </c>
      <c r="D6742" s="1" t="s">
        <v>34</v>
      </c>
      <c r="E6742" s="1" t="s">
        <v>10</v>
      </c>
      <c r="F6742" s="1" t="s">
        <v>5091</v>
      </c>
      <c r="G6742" s="14" t="s">
        <v>10477</v>
      </c>
      <c r="H6742" s="1" t="s">
        <v>5</v>
      </c>
      <c r="I6742" s="17">
        <v>39265</v>
      </c>
    </row>
    <row r="6743" spans="1:9">
      <c r="A6743" s="16" t="s">
        <v>10518</v>
      </c>
      <c r="B6743" s="1" t="s">
        <v>2628</v>
      </c>
      <c r="C6743" s="1">
        <v>5</v>
      </c>
      <c r="D6743" s="1" t="s">
        <v>34</v>
      </c>
      <c r="E6743" s="1" t="s">
        <v>10</v>
      </c>
      <c r="F6743" s="1" t="s">
        <v>5091</v>
      </c>
      <c r="G6743" s="14" t="s">
        <v>9493</v>
      </c>
      <c r="H6743" s="1" t="s">
        <v>5</v>
      </c>
      <c r="I6743" s="17">
        <v>39265</v>
      </c>
    </row>
    <row r="6744" spans="1:9">
      <c r="A6744" s="16" t="s">
        <v>10519</v>
      </c>
      <c r="B6744" s="1" t="s">
        <v>2628</v>
      </c>
      <c r="C6744" s="1">
        <v>5</v>
      </c>
      <c r="D6744" s="1" t="s">
        <v>34</v>
      </c>
      <c r="E6744" s="1" t="s">
        <v>10</v>
      </c>
      <c r="F6744" s="1" t="s">
        <v>5091</v>
      </c>
      <c r="G6744" s="14" t="s">
        <v>7919</v>
      </c>
      <c r="H6744" s="1" t="s">
        <v>5</v>
      </c>
      <c r="I6744" s="17">
        <v>39265</v>
      </c>
    </row>
    <row r="6745" spans="1:9">
      <c r="A6745" s="16" t="s">
        <v>10520</v>
      </c>
      <c r="B6745" s="1" t="s">
        <v>2628</v>
      </c>
      <c r="C6745" s="1">
        <v>5</v>
      </c>
      <c r="D6745" s="1" t="s">
        <v>34</v>
      </c>
      <c r="E6745" s="1" t="s">
        <v>10</v>
      </c>
      <c r="F6745" s="1" t="s">
        <v>5091</v>
      </c>
      <c r="G6745" s="14" t="s">
        <v>10477</v>
      </c>
      <c r="H6745" s="1" t="s">
        <v>5</v>
      </c>
      <c r="I6745" s="17">
        <v>39265</v>
      </c>
    </row>
    <row r="6746" spans="1:9">
      <c r="A6746" s="16" t="s">
        <v>10534</v>
      </c>
      <c r="B6746" s="1" t="s">
        <v>2628</v>
      </c>
      <c r="C6746" s="1">
        <v>5</v>
      </c>
      <c r="D6746" s="1" t="s">
        <v>34</v>
      </c>
      <c r="E6746" s="1" t="s">
        <v>10</v>
      </c>
      <c r="F6746" s="1" t="s">
        <v>5091</v>
      </c>
      <c r="G6746" s="14" t="s">
        <v>6530</v>
      </c>
      <c r="H6746" s="1" t="s">
        <v>43</v>
      </c>
      <c r="I6746" s="17">
        <v>42416</v>
      </c>
    </row>
    <row r="6747" spans="1:9">
      <c r="A6747" s="16" t="s">
        <v>10560</v>
      </c>
      <c r="B6747" s="1" t="s">
        <v>2628</v>
      </c>
      <c r="C6747" s="1">
        <v>5</v>
      </c>
      <c r="D6747" s="1" t="s">
        <v>34</v>
      </c>
      <c r="E6747" s="1" t="s">
        <v>10</v>
      </c>
      <c r="F6747" s="1" t="s">
        <v>5091</v>
      </c>
      <c r="G6747" s="14" t="s">
        <v>10561</v>
      </c>
      <c r="H6747" s="1" t="s">
        <v>5</v>
      </c>
      <c r="I6747" s="17">
        <v>39232</v>
      </c>
    </row>
    <row r="6748" spans="1:9">
      <c r="A6748" s="16" t="s">
        <v>10567</v>
      </c>
      <c r="B6748" s="1" t="s">
        <v>2628</v>
      </c>
      <c r="C6748" s="1">
        <v>5</v>
      </c>
      <c r="D6748" s="1" t="s">
        <v>34</v>
      </c>
      <c r="E6748" s="1" t="s">
        <v>10</v>
      </c>
      <c r="F6748" s="1" t="s">
        <v>5091</v>
      </c>
      <c r="G6748" s="14" t="s">
        <v>9578</v>
      </c>
      <c r="H6748" s="1" t="s">
        <v>5</v>
      </c>
      <c r="I6748" s="17">
        <v>39077</v>
      </c>
    </row>
    <row r="6749" spans="1:9">
      <c r="A6749" s="16" t="s">
        <v>10569</v>
      </c>
      <c r="B6749" s="1" t="s">
        <v>2628</v>
      </c>
      <c r="C6749" s="1">
        <v>5</v>
      </c>
      <c r="D6749" s="1" t="s">
        <v>34</v>
      </c>
      <c r="E6749" s="1" t="s">
        <v>10</v>
      </c>
      <c r="F6749" s="1" t="s">
        <v>5091</v>
      </c>
      <c r="G6749" s="14" t="s">
        <v>10570</v>
      </c>
      <c r="H6749" s="1" t="s">
        <v>5</v>
      </c>
      <c r="I6749" s="17">
        <v>38330</v>
      </c>
    </row>
    <row r="6750" spans="1:9">
      <c r="A6750" s="16" t="s">
        <v>10571</v>
      </c>
      <c r="B6750" s="1" t="s">
        <v>2628</v>
      </c>
      <c r="C6750" s="1">
        <v>5</v>
      </c>
      <c r="D6750" s="1" t="s">
        <v>34</v>
      </c>
      <c r="E6750" s="1" t="s">
        <v>10</v>
      </c>
      <c r="F6750" s="1" t="s">
        <v>5091</v>
      </c>
      <c r="G6750" s="14" t="s">
        <v>10572</v>
      </c>
      <c r="H6750" s="1" t="s">
        <v>5</v>
      </c>
      <c r="I6750" s="17">
        <v>38322</v>
      </c>
    </row>
    <row r="6751" spans="1:9">
      <c r="A6751" s="16" t="s">
        <v>10573</v>
      </c>
      <c r="B6751" s="1" t="s">
        <v>2628</v>
      </c>
      <c r="C6751" s="1">
        <v>5</v>
      </c>
      <c r="D6751" s="1" t="s">
        <v>34</v>
      </c>
      <c r="E6751" s="1" t="s">
        <v>10</v>
      </c>
      <c r="F6751" s="1" t="s">
        <v>5091</v>
      </c>
      <c r="G6751" s="14" t="s">
        <v>10574</v>
      </c>
      <c r="H6751" s="1" t="s">
        <v>5</v>
      </c>
      <c r="I6751" s="17">
        <v>38310</v>
      </c>
    </row>
    <row r="6752" spans="1:9">
      <c r="A6752" s="16" t="s">
        <v>10579</v>
      </c>
      <c r="B6752" s="1" t="s">
        <v>2628</v>
      </c>
      <c r="C6752" s="1">
        <v>5</v>
      </c>
      <c r="D6752" s="1" t="s">
        <v>34</v>
      </c>
      <c r="E6752" s="1" t="s">
        <v>10</v>
      </c>
      <c r="F6752" s="1" t="s">
        <v>5091</v>
      </c>
      <c r="G6752" s="14" t="s">
        <v>10572</v>
      </c>
      <c r="H6752" s="1" t="s">
        <v>5</v>
      </c>
      <c r="I6752" s="17">
        <v>38322</v>
      </c>
    </row>
    <row r="6753" spans="1:9">
      <c r="A6753" s="16" t="s">
        <v>10580</v>
      </c>
      <c r="B6753" s="1" t="s">
        <v>2628</v>
      </c>
      <c r="C6753" s="1">
        <v>5</v>
      </c>
      <c r="D6753" s="1" t="s">
        <v>34</v>
      </c>
      <c r="E6753" s="1" t="s">
        <v>10</v>
      </c>
      <c r="F6753" s="1" t="s">
        <v>5091</v>
      </c>
      <c r="G6753" s="14" t="s">
        <v>10581</v>
      </c>
      <c r="H6753" s="1" t="s">
        <v>5</v>
      </c>
      <c r="I6753" s="17">
        <v>38335</v>
      </c>
    </row>
    <row r="6754" spans="1:9">
      <c r="A6754" s="16" t="s">
        <v>10582</v>
      </c>
      <c r="B6754" s="1" t="s">
        <v>2628</v>
      </c>
      <c r="C6754" s="1">
        <v>5</v>
      </c>
      <c r="D6754" s="1" t="s">
        <v>34</v>
      </c>
      <c r="E6754" s="1" t="s">
        <v>10</v>
      </c>
      <c r="F6754" s="1" t="s">
        <v>5091</v>
      </c>
      <c r="G6754" s="14" t="s">
        <v>10581</v>
      </c>
      <c r="H6754" s="1" t="s">
        <v>5</v>
      </c>
      <c r="I6754" s="17">
        <v>38335</v>
      </c>
    </row>
    <row r="6755" spans="1:9">
      <c r="A6755" s="16" t="s">
        <v>10692</v>
      </c>
      <c r="B6755" s="1" t="s">
        <v>2631</v>
      </c>
      <c r="C6755" s="1">
        <v>5</v>
      </c>
      <c r="D6755" s="1" t="s">
        <v>34</v>
      </c>
      <c r="E6755" s="1" t="s">
        <v>10</v>
      </c>
      <c r="F6755" s="1" t="s">
        <v>5091</v>
      </c>
      <c r="G6755" s="1" t="s">
        <v>6145</v>
      </c>
      <c r="H6755" s="1" t="s">
        <v>43</v>
      </c>
      <c r="I6755" s="17">
        <v>40278</v>
      </c>
    </row>
    <row r="6756" spans="1:9">
      <c r="A6756" s="16" t="s">
        <v>10713</v>
      </c>
      <c r="B6756" s="1" t="s">
        <v>2628</v>
      </c>
      <c r="C6756" s="1">
        <v>5</v>
      </c>
      <c r="D6756" s="1" t="s">
        <v>34</v>
      </c>
      <c r="E6756" s="1" t="s">
        <v>10</v>
      </c>
      <c r="F6756" s="1" t="s">
        <v>5033</v>
      </c>
      <c r="G6756" s="14" t="s">
        <v>10279</v>
      </c>
      <c r="H6756" s="1" t="s">
        <v>5</v>
      </c>
      <c r="I6756" s="17">
        <v>40179</v>
      </c>
    </row>
    <row r="6757" spans="1:9">
      <c r="A6757" s="16" t="s">
        <v>10718</v>
      </c>
      <c r="B6757" s="1" t="s">
        <v>2628</v>
      </c>
      <c r="C6757" s="1">
        <v>5</v>
      </c>
      <c r="D6757" s="1" t="s">
        <v>34</v>
      </c>
      <c r="E6757" s="1" t="s">
        <v>10</v>
      </c>
      <c r="F6757" s="1" t="s">
        <v>5033</v>
      </c>
      <c r="G6757" s="14" t="s">
        <v>10279</v>
      </c>
      <c r="H6757" s="1" t="s">
        <v>5</v>
      </c>
      <c r="I6757" s="17">
        <v>40179</v>
      </c>
    </row>
    <row r="6758" spans="1:9">
      <c r="A6758" s="16" t="s">
        <v>10722</v>
      </c>
      <c r="B6758" s="1" t="s">
        <v>2628</v>
      </c>
      <c r="C6758" s="1">
        <v>1096</v>
      </c>
      <c r="D6758" s="1" t="s">
        <v>34</v>
      </c>
      <c r="E6758" s="1" t="s">
        <v>10</v>
      </c>
      <c r="F6758" s="1" t="s">
        <v>5091</v>
      </c>
      <c r="G6758" s="14" t="s">
        <v>6307</v>
      </c>
      <c r="H6758" s="1" t="s">
        <v>44</v>
      </c>
      <c r="I6758" s="17">
        <v>42101</v>
      </c>
    </row>
    <row r="6759" spans="1:9">
      <c r="A6759" s="16" t="s">
        <v>10729</v>
      </c>
      <c r="B6759" s="1" t="s">
        <v>2628</v>
      </c>
      <c r="C6759" s="1">
        <v>5</v>
      </c>
      <c r="D6759" s="1" t="s">
        <v>34</v>
      </c>
      <c r="E6759" s="1" t="s">
        <v>10</v>
      </c>
      <c r="F6759" s="1" t="s">
        <v>5091</v>
      </c>
      <c r="G6759" s="14" t="s">
        <v>6307</v>
      </c>
      <c r="H6759" s="1" t="s">
        <v>44</v>
      </c>
      <c r="I6759" s="17">
        <v>42111</v>
      </c>
    </row>
    <row r="6760" spans="1:9">
      <c r="A6760" s="16" t="s">
        <v>10732</v>
      </c>
      <c r="B6760" s="1" t="s">
        <v>2628</v>
      </c>
      <c r="C6760" s="1">
        <v>5</v>
      </c>
      <c r="D6760" s="1" t="s">
        <v>34</v>
      </c>
      <c r="E6760" s="1" t="s">
        <v>10</v>
      </c>
      <c r="F6760" s="1" t="s">
        <v>5091</v>
      </c>
      <c r="G6760" s="14" t="s">
        <v>6307</v>
      </c>
      <c r="H6760" s="1" t="s">
        <v>44</v>
      </c>
      <c r="I6760" s="17">
        <v>42111</v>
      </c>
    </row>
    <row r="6761" spans="1:9">
      <c r="A6761" s="16" t="s">
        <v>10734</v>
      </c>
      <c r="B6761" s="1" t="s">
        <v>2628</v>
      </c>
      <c r="C6761" s="1">
        <v>5</v>
      </c>
      <c r="D6761" s="1" t="s">
        <v>34</v>
      </c>
      <c r="E6761" s="1" t="s">
        <v>10</v>
      </c>
      <c r="F6761" s="1" t="s">
        <v>5091</v>
      </c>
      <c r="G6761" s="14" t="s">
        <v>6307</v>
      </c>
      <c r="H6761" s="1" t="s">
        <v>44</v>
      </c>
      <c r="I6761" s="17">
        <v>42116</v>
      </c>
    </row>
    <row r="6762" spans="1:9">
      <c r="A6762" s="16" t="s">
        <v>10736</v>
      </c>
      <c r="B6762" s="1" t="s">
        <v>2628</v>
      </c>
      <c r="C6762" s="1">
        <v>5</v>
      </c>
      <c r="D6762" s="1" t="s">
        <v>34</v>
      </c>
      <c r="E6762" s="1" t="s">
        <v>10</v>
      </c>
      <c r="F6762" s="1" t="s">
        <v>5091</v>
      </c>
      <c r="G6762" s="14" t="s">
        <v>6307</v>
      </c>
      <c r="H6762" s="1" t="s">
        <v>44</v>
      </c>
      <c r="I6762" s="17">
        <v>42116</v>
      </c>
    </row>
    <row r="6763" spans="1:9">
      <c r="A6763" s="16" t="s">
        <v>10737</v>
      </c>
      <c r="B6763" s="1" t="s">
        <v>2628</v>
      </c>
      <c r="C6763" s="1">
        <v>5</v>
      </c>
      <c r="D6763" s="1" t="s">
        <v>34</v>
      </c>
      <c r="E6763" s="1" t="s">
        <v>10</v>
      </c>
      <c r="F6763" s="1" t="s">
        <v>5091</v>
      </c>
      <c r="G6763" s="14" t="s">
        <v>6307</v>
      </c>
      <c r="H6763" s="1" t="s">
        <v>44</v>
      </c>
      <c r="I6763" s="17">
        <v>42116</v>
      </c>
    </row>
    <row r="6764" spans="1:9">
      <c r="A6764" s="16" t="s">
        <v>10740</v>
      </c>
      <c r="B6764" s="1" t="s">
        <v>2628</v>
      </c>
      <c r="C6764" s="1">
        <v>5</v>
      </c>
      <c r="D6764" s="1" t="s">
        <v>34</v>
      </c>
      <c r="E6764" s="1" t="s">
        <v>10</v>
      </c>
      <c r="F6764" s="1" t="s">
        <v>5091</v>
      </c>
      <c r="G6764" s="14" t="s">
        <v>6307</v>
      </c>
      <c r="H6764" s="1" t="s">
        <v>44</v>
      </c>
      <c r="I6764" s="17">
        <v>42118</v>
      </c>
    </row>
    <row r="6765" spans="1:9">
      <c r="A6765" s="16" t="s">
        <v>10746</v>
      </c>
      <c r="B6765" s="1" t="s">
        <v>2628</v>
      </c>
      <c r="C6765" s="1">
        <v>5</v>
      </c>
      <c r="D6765" s="1" t="s">
        <v>34</v>
      </c>
      <c r="E6765" s="1" t="s">
        <v>10</v>
      </c>
      <c r="F6765" s="1" t="s">
        <v>5091</v>
      </c>
      <c r="G6765" s="14" t="s">
        <v>6307</v>
      </c>
      <c r="H6765" s="1" t="s">
        <v>44</v>
      </c>
      <c r="I6765" s="17">
        <v>42131</v>
      </c>
    </row>
    <row r="6766" spans="1:9">
      <c r="A6766" s="16" t="s">
        <v>10747</v>
      </c>
      <c r="B6766" s="1" t="s">
        <v>2628</v>
      </c>
      <c r="C6766" s="1">
        <v>5</v>
      </c>
      <c r="D6766" s="1" t="s">
        <v>34</v>
      </c>
      <c r="E6766" s="1" t="s">
        <v>10</v>
      </c>
      <c r="F6766" s="1" t="s">
        <v>5091</v>
      </c>
      <c r="G6766" s="14" t="s">
        <v>6307</v>
      </c>
      <c r="H6766" s="1" t="s">
        <v>44</v>
      </c>
      <c r="I6766" s="17">
        <v>42131</v>
      </c>
    </row>
    <row r="6767" spans="1:9">
      <c r="A6767" s="16" t="s">
        <v>10748</v>
      </c>
      <c r="B6767" s="1" t="s">
        <v>2628</v>
      </c>
      <c r="C6767" s="1">
        <v>5</v>
      </c>
      <c r="D6767" s="1" t="s">
        <v>34</v>
      </c>
      <c r="E6767" s="1" t="s">
        <v>10</v>
      </c>
      <c r="F6767" s="1" t="s">
        <v>5091</v>
      </c>
      <c r="G6767" s="14" t="s">
        <v>10749</v>
      </c>
      <c r="H6767" s="1" t="s">
        <v>315</v>
      </c>
      <c r="I6767" s="17">
        <v>42136</v>
      </c>
    </row>
    <row r="6768" spans="1:9">
      <c r="A6768" s="16" t="s">
        <v>10772</v>
      </c>
      <c r="B6768" s="1" t="s">
        <v>2628</v>
      </c>
      <c r="C6768" s="1">
        <v>5</v>
      </c>
      <c r="D6768" s="1" t="s">
        <v>34</v>
      </c>
      <c r="E6768" s="1" t="s">
        <v>10</v>
      </c>
      <c r="F6768" s="1" t="s">
        <v>5091</v>
      </c>
      <c r="G6768" s="14" t="s">
        <v>6236</v>
      </c>
      <c r="H6768" s="1" t="s">
        <v>43</v>
      </c>
      <c r="I6768" s="17">
        <v>42370</v>
      </c>
    </row>
    <row r="6769" spans="1:9">
      <c r="A6769" s="16" t="s">
        <v>10794</v>
      </c>
      <c r="B6769" s="1" t="s">
        <v>2628</v>
      </c>
      <c r="C6769" s="1">
        <v>5</v>
      </c>
      <c r="D6769" s="1" t="s">
        <v>34</v>
      </c>
      <c r="E6769" s="1" t="s">
        <v>10</v>
      </c>
      <c r="F6769" s="1" t="s">
        <v>5091</v>
      </c>
      <c r="G6769" s="14" t="s">
        <v>6145</v>
      </c>
      <c r="H6769" s="1" t="s">
        <v>43</v>
      </c>
      <c r="I6769" s="17">
        <v>40023</v>
      </c>
    </row>
    <row r="6770" spans="1:9">
      <c r="A6770" s="16" t="s">
        <v>10801</v>
      </c>
      <c r="B6770" s="1" t="s">
        <v>2628</v>
      </c>
      <c r="C6770" s="1">
        <v>1093</v>
      </c>
      <c r="D6770" s="1" t="s">
        <v>34</v>
      </c>
      <c r="E6770" s="1" t="s">
        <v>10</v>
      </c>
      <c r="F6770" s="1" t="s">
        <v>5091</v>
      </c>
      <c r="G6770" s="14" t="s">
        <v>6145</v>
      </c>
      <c r="H6770" s="1" t="s">
        <v>43</v>
      </c>
      <c r="I6770" s="17">
        <v>42325</v>
      </c>
    </row>
    <row r="6771" spans="1:9">
      <c r="A6771" s="16" t="s">
        <v>10802</v>
      </c>
      <c r="B6771" s="1" t="s">
        <v>2628</v>
      </c>
      <c r="C6771" s="1">
        <v>1093</v>
      </c>
      <c r="D6771" s="1" t="s">
        <v>34</v>
      </c>
      <c r="E6771" s="1" t="s">
        <v>10</v>
      </c>
      <c r="F6771" s="1" t="s">
        <v>5091</v>
      </c>
      <c r="G6771" s="14" t="s">
        <v>6145</v>
      </c>
      <c r="H6771" s="1" t="s">
        <v>43</v>
      </c>
      <c r="I6771" s="17">
        <v>42325</v>
      </c>
    </row>
    <row r="6772" spans="1:9">
      <c r="A6772" s="16" t="s">
        <v>10803</v>
      </c>
      <c r="B6772" s="1" t="s">
        <v>2628</v>
      </c>
      <c r="C6772" s="1">
        <v>1093</v>
      </c>
      <c r="D6772" s="1" t="s">
        <v>34</v>
      </c>
      <c r="E6772" s="1" t="s">
        <v>10</v>
      </c>
      <c r="F6772" s="1" t="s">
        <v>5091</v>
      </c>
      <c r="G6772" s="14" t="s">
        <v>6145</v>
      </c>
      <c r="H6772" s="1" t="s">
        <v>43</v>
      </c>
      <c r="I6772" s="17">
        <v>42325</v>
      </c>
    </row>
    <row r="6773" spans="1:9">
      <c r="A6773" s="16" t="s">
        <v>10837</v>
      </c>
      <c r="B6773" s="1" t="s">
        <v>2628</v>
      </c>
      <c r="C6773" s="1">
        <v>5</v>
      </c>
      <c r="D6773" s="1" t="s">
        <v>34</v>
      </c>
      <c r="E6773" s="1" t="s">
        <v>10</v>
      </c>
      <c r="F6773" s="1" t="s">
        <v>5091</v>
      </c>
      <c r="G6773" s="14" t="s">
        <v>8411</v>
      </c>
      <c r="H6773" s="1" t="s">
        <v>315</v>
      </c>
      <c r="I6773" s="17">
        <v>42272</v>
      </c>
    </row>
    <row r="6774" spans="1:9">
      <c r="A6774" s="16" t="s">
        <v>10838</v>
      </c>
      <c r="B6774" s="1" t="s">
        <v>2628</v>
      </c>
      <c r="C6774" s="1">
        <v>5</v>
      </c>
      <c r="D6774" s="1" t="s">
        <v>34</v>
      </c>
      <c r="E6774" s="1" t="s">
        <v>10</v>
      </c>
      <c r="F6774" s="1" t="s">
        <v>5091</v>
      </c>
      <c r="G6774" s="14" t="s">
        <v>1475</v>
      </c>
      <c r="H6774" s="1" t="s">
        <v>5</v>
      </c>
      <c r="I6774" s="17">
        <v>42272</v>
      </c>
    </row>
    <row r="6775" spans="1:9">
      <c r="A6775" s="16" t="s">
        <v>10839</v>
      </c>
      <c r="B6775" s="1" t="s">
        <v>2628</v>
      </c>
      <c r="C6775" s="1">
        <v>5</v>
      </c>
      <c r="D6775" s="1" t="s">
        <v>34</v>
      </c>
      <c r="E6775" s="1" t="s">
        <v>10</v>
      </c>
      <c r="F6775" s="1" t="s">
        <v>5091</v>
      </c>
      <c r="G6775" s="14" t="s">
        <v>1475</v>
      </c>
      <c r="H6775" s="1" t="s">
        <v>5</v>
      </c>
      <c r="I6775" s="17">
        <v>42272</v>
      </c>
    </row>
    <row r="6776" spans="1:9">
      <c r="A6776" s="16" t="s">
        <v>10840</v>
      </c>
      <c r="B6776" s="1" t="s">
        <v>2628</v>
      </c>
      <c r="C6776" s="1">
        <v>5</v>
      </c>
      <c r="D6776" s="1" t="s">
        <v>34</v>
      </c>
      <c r="E6776" s="1" t="s">
        <v>10</v>
      </c>
      <c r="F6776" s="1" t="s">
        <v>5091</v>
      </c>
      <c r="G6776" s="14" t="s">
        <v>1475</v>
      </c>
      <c r="H6776" s="1" t="s">
        <v>5</v>
      </c>
      <c r="I6776" s="17">
        <v>42272</v>
      </c>
    </row>
    <row r="6777" spans="1:9">
      <c r="A6777" s="16" t="s">
        <v>10842</v>
      </c>
      <c r="B6777" s="1" t="s">
        <v>2628</v>
      </c>
      <c r="C6777" s="1">
        <v>5</v>
      </c>
      <c r="D6777" s="1" t="s">
        <v>34</v>
      </c>
      <c r="E6777" s="1" t="s">
        <v>10</v>
      </c>
      <c r="F6777" s="1" t="s">
        <v>5091</v>
      </c>
      <c r="G6777" s="14" t="s">
        <v>6450</v>
      </c>
      <c r="H6777" s="1" t="s">
        <v>43</v>
      </c>
      <c r="I6777" s="17">
        <v>42273</v>
      </c>
    </row>
    <row r="6778" spans="1:9">
      <c r="A6778" s="16" t="s">
        <v>10851</v>
      </c>
      <c r="B6778" s="1" t="s">
        <v>2628</v>
      </c>
      <c r="C6778" s="1">
        <v>5</v>
      </c>
      <c r="D6778" s="1" t="s">
        <v>34</v>
      </c>
      <c r="E6778" s="1" t="s">
        <v>10</v>
      </c>
      <c r="F6778" s="1" t="s">
        <v>5091</v>
      </c>
      <c r="G6778" s="14" t="s">
        <v>6450</v>
      </c>
      <c r="H6778" s="1" t="s">
        <v>43</v>
      </c>
      <c r="I6778" s="17">
        <v>42240</v>
      </c>
    </row>
    <row r="6779" spans="1:9">
      <c r="A6779" s="16" t="s">
        <v>10852</v>
      </c>
      <c r="B6779" s="1" t="s">
        <v>2628</v>
      </c>
      <c r="C6779" s="1">
        <v>5</v>
      </c>
      <c r="D6779" s="1" t="s">
        <v>34</v>
      </c>
      <c r="E6779" s="1" t="s">
        <v>10</v>
      </c>
      <c r="F6779" s="1" t="s">
        <v>5091</v>
      </c>
      <c r="G6779" s="14" t="s">
        <v>6450</v>
      </c>
      <c r="H6779" s="1" t="s">
        <v>43</v>
      </c>
      <c r="I6779" s="17">
        <v>42240</v>
      </c>
    </row>
    <row r="6780" spans="1:9">
      <c r="A6780" s="16" t="s">
        <v>10856</v>
      </c>
      <c r="B6780" s="1" t="s">
        <v>2628</v>
      </c>
      <c r="C6780" s="1">
        <v>5</v>
      </c>
      <c r="D6780" s="1" t="s">
        <v>34</v>
      </c>
      <c r="E6780" s="1" t="s">
        <v>10</v>
      </c>
      <c r="F6780" s="1" t="s">
        <v>5091</v>
      </c>
      <c r="G6780" s="14" t="s">
        <v>1475</v>
      </c>
      <c r="H6780" s="1" t="s">
        <v>5</v>
      </c>
      <c r="I6780" s="17">
        <v>42241</v>
      </c>
    </row>
    <row r="6781" spans="1:9">
      <c r="A6781" s="16" t="s">
        <v>10858</v>
      </c>
      <c r="B6781" s="1" t="s">
        <v>2628</v>
      </c>
      <c r="C6781" s="1">
        <v>5</v>
      </c>
      <c r="D6781" s="1" t="s">
        <v>34</v>
      </c>
      <c r="E6781" s="1" t="s">
        <v>10</v>
      </c>
      <c r="F6781" s="1" t="s">
        <v>5091</v>
      </c>
      <c r="G6781" s="14" t="s">
        <v>6450</v>
      </c>
      <c r="H6781" s="1" t="s">
        <v>43</v>
      </c>
      <c r="I6781" s="17">
        <v>42242</v>
      </c>
    </row>
    <row r="6782" spans="1:9">
      <c r="A6782" s="16" t="s">
        <v>10859</v>
      </c>
      <c r="B6782" s="1" t="s">
        <v>2628</v>
      </c>
      <c r="C6782" s="1">
        <v>5</v>
      </c>
      <c r="D6782" s="1" t="s">
        <v>34</v>
      </c>
      <c r="E6782" s="1" t="s">
        <v>10</v>
      </c>
      <c r="F6782" s="1" t="s">
        <v>5091</v>
      </c>
      <c r="G6782" s="14" t="s">
        <v>6450</v>
      </c>
      <c r="H6782" s="1" t="s">
        <v>43</v>
      </c>
      <c r="I6782" s="17">
        <v>42247</v>
      </c>
    </row>
    <row r="6783" spans="1:9">
      <c r="A6783" s="16" t="s">
        <v>10860</v>
      </c>
      <c r="B6783" s="1" t="s">
        <v>2628</v>
      </c>
      <c r="C6783" s="1">
        <v>5</v>
      </c>
      <c r="D6783" s="1" t="s">
        <v>34</v>
      </c>
      <c r="E6783" s="1" t="s">
        <v>10</v>
      </c>
      <c r="F6783" s="1" t="s">
        <v>5091</v>
      </c>
      <c r="G6783" s="14" t="s">
        <v>6450</v>
      </c>
      <c r="H6783" s="1" t="s">
        <v>43</v>
      </c>
      <c r="I6783" s="17">
        <v>42247</v>
      </c>
    </row>
    <row r="6784" spans="1:9">
      <c r="A6784" s="16" t="s">
        <v>10865</v>
      </c>
      <c r="B6784" s="1" t="s">
        <v>2628</v>
      </c>
      <c r="C6784" s="1">
        <v>5</v>
      </c>
      <c r="D6784" s="1" t="s">
        <v>34</v>
      </c>
      <c r="E6784" s="1" t="s">
        <v>10</v>
      </c>
      <c r="F6784" s="1" t="s">
        <v>5091</v>
      </c>
      <c r="G6784" s="14" t="s">
        <v>6450</v>
      </c>
      <c r="H6784" s="1" t="s">
        <v>43</v>
      </c>
      <c r="I6784" s="17">
        <v>42250</v>
      </c>
    </row>
    <row r="6785" spans="1:9">
      <c r="A6785" s="16" t="s">
        <v>10867</v>
      </c>
      <c r="B6785" s="1" t="s">
        <v>2628</v>
      </c>
      <c r="C6785" s="1">
        <v>5</v>
      </c>
      <c r="D6785" s="1" t="s">
        <v>34</v>
      </c>
      <c r="E6785" s="1" t="s">
        <v>10</v>
      </c>
      <c r="F6785" s="1" t="s">
        <v>5091</v>
      </c>
      <c r="G6785" s="14" t="s">
        <v>6450</v>
      </c>
      <c r="H6785" s="1" t="s">
        <v>43</v>
      </c>
      <c r="I6785" s="17">
        <v>42259</v>
      </c>
    </row>
    <row r="6786" spans="1:9">
      <c r="A6786" s="16" t="s">
        <v>10868</v>
      </c>
      <c r="B6786" s="1" t="s">
        <v>2628</v>
      </c>
      <c r="C6786" s="1">
        <v>5</v>
      </c>
      <c r="D6786" s="1" t="s">
        <v>34</v>
      </c>
      <c r="E6786" s="1" t="s">
        <v>10</v>
      </c>
      <c r="F6786" s="1" t="s">
        <v>5091</v>
      </c>
      <c r="G6786" s="14" t="s">
        <v>6450</v>
      </c>
      <c r="H6786" s="1" t="s">
        <v>43</v>
      </c>
      <c r="I6786" s="17">
        <v>42259</v>
      </c>
    </row>
    <row r="6787" spans="1:9">
      <c r="A6787" s="16" t="s">
        <v>10869</v>
      </c>
      <c r="B6787" s="1" t="s">
        <v>2628</v>
      </c>
      <c r="C6787" s="1">
        <v>5</v>
      </c>
      <c r="D6787" s="1" t="s">
        <v>34</v>
      </c>
      <c r="E6787" s="1" t="s">
        <v>10</v>
      </c>
      <c r="F6787" s="1" t="s">
        <v>5091</v>
      </c>
      <c r="G6787" s="14" t="s">
        <v>10870</v>
      </c>
      <c r="H6787" s="1" t="s">
        <v>5</v>
      </c>
      <c r="I6787" s="17">
        <v>42139</v>
      </c>
    </row>
    <row r="6788" spans="1:9">
      <c r="A6788" s="16" t="s">
        <v>10871</v>
      </c>
      <c r="B6788" s="1" t="s">
        <v>2628</v>
      </c>
      <c r="C6788" s="1">
        <v>5</v>
      </c>
      <c r="D6788" s="1" t="s">
        <v>34</v>
      </c>
      <c r="E6788" s="1" t="s">
        <v>10</v>
      </c>
      <c r="F6788" s="1" t="s">
        <v>5091</v>
      </c>
      <c r="G6788" s="14" t="s">
        <v>7899</v>
      </c>
      <c r="H6788" s="1" t="s">
        <v>5</v>
      </c>
      <c r="I6788" s="17">
        <v>42266</v>
      </c>
    </row>
    <row r="6789" spans="1:9">
      <c r="A6789" s="16" t="s">
        <v>10872</v>
      </c>
      <c r="B6789" s="1" t="s">
        <v>2628</v>
      </c>
      <c r="C6789" s="1">
        <v>5</v>
      </c>
      <c r="D6789" s="1" t="s">
        <v>34</v>
      </c>
      <c r="E6789" s="1" t="s">
        <v>10</v>
      </c>
      <c r="F6789" s="1" t="s">
        <v>5091</v>
      </c>
      <c r="G6789" s="14" t="s">
        <v>6450</v>
      </c>
      <c r="H6789" s="1" t="s">
        <v>43</v>
      </c>
      <c r="I6789" s="17">
        <v>42258</v>
      </c>
    </row>
    <row r="6790" spans="1:9">
      <c r="A6790" s="16" t="s">
        <v>10873</v>
      </c>
      <c r="B6790" s="1" t="s">
        <v>2628</v>
      </c>
      <c r="C6790" s="1">
        <v>5</v>
      </c>
      <c r="D6790" s="1" t="s">
        <v>34</v>
      </c>
      <c r="E6790" s="1" t="s">
        <v>10</v>
      </c>
      <c r="F6790" s="1" t="s">
        <v>5091</v>
      </c>
      <c r="G6790" s="14" t="s">
        <v>6450</v>
      </c>
      <c r="H6790" s="1" t="s">
        <v>43</v>
      </c>
      <c r="I6790" s="17">
        <v>42247</v>
      </c>
    </row>
    <row r="6791" spans="1:9">
      <c r="A6791" s="16" t="s">
        <v>10919</v>
      </c>
      <c r="B6791" s="1" t="s">
        <v>2628</v>
      </c>
      <c r="C6791" s="1">
        <v>5</v>
      </c>
      <c r="D6791" s="1" t="s">
        <v>34</v>
      </c>
      <c r="E6791" s="1" t="s">
        <v>10</v>
      </c>
      <c r="F6791" s="1" t="s">
        <v>5091</v>
      </c>
      <c r="G6791" s="14" t="s">
        <v>7985</v>
      </c>
      <c r="H6791" s="1" t="s">
        <v>5</v>
      </c>
      <c r="I6791" s="17">
        <v>42286</v>
      </c>
    </row>
    <row r="6792" spans="1:9">
      <c r="A6792" s="16" t="s">
        <v>10925</v>
      </c>
      <c r="B6792" s="1" t="s">
        <v>2628</v>
      </c>
      <c r="C6792" s="1">
        <v>5</v>
      </c>
      <c r="D6792" s="1" t="s">
        <v>34</v>
      </c>
      <c r="E6792" s="1" t="s">
        <v>10</v>
      </c>
      <c r="F6792" s="1" t="s">
        <v>5091</v>
      </c>
      <c r="G6792" s="14" t="s">
        <v>10926</v>
      </c>
      <c r="H6792" s="1" t="s">
        <v>5</v>
      </c>
      <c r="I6792" s="17">
        <v>42286</v>
      </c>
    </row>
    <row r="6793" spans="1:9">
      <c r="A6793" s="16" t="s">
        <v>10927</v>
      </c>
      <c r="B6793" s="1" t="s">
        <v>2628</v>
      </c>
      <c r="C6793" s="1">
        <v>5</v>
      </c>
      <c r="D6793" s="1" t="s">
        <v>34</v>
      </c>
      <c r="E6793" s="1" t="s">
        <v>10</v>
      </c>
      <c r="F6793" s="1" t="s">
        <v>5091</v>
      </c>
      <c r="G6793" s="14" t="s">
        <v>10926</v>
      </c>
      <c r="H6793" s="1" t="s">
        <v>5</v>
      </c>
      <c r="I6793" s="17">
        <v>42286</v>
      </c>
    </row>
    <row r="6794" spans="1:9">
      <c r="A6794" s="16" t="s">
        <v>10928</v>
      </c>
      <c r="B6794" s="1" t="s">
        <v>2628</v>
      </c>
      <c r="C6794" s="1">
        <v>5</v>
      </c>
      <c r="D6794" s="1" t="s">
        <v>34</v>
      </c>
      <c r="E6794" s="1" t="s">
        <v>10</v>
      </c>
      <c r="F6794" s="1" t="s">
        <v>5091</v>
      </c>
      <c r="G6794" s="14" t="s">
        <v>10926</v>
      </c>
      <c r="H6794" s="1" t="s">
        <v>5</v>
      </c>
      <c r="I6794" s="17">
        <v>42290</v>
      </c>
    </row>
    <row r="6795" spans="1:9">
      <c r="A6795" s="16" t="s">
        <v>10931</v>
      </c>
      <c r="B6795" s="1" t="s">
        <v>2628</v>
      </c>
      <c r="C6795" s="1">
        <v>5</v>
      </c>
      <c r="D6795" s="1" t="s">
        <v>34</v>
      </c>
      <c r="E6795" s="1" t="s">
        <v>10</v>
      </c>
      <c r="F6795" s="1" t="s">
        <v>5091</v>
      </c>
      <c r="G6795" s="14" t="s">
        <v>10926</v>
      </c>
      <c r="H6795" s="1" t="s">
        <v>5</v>
      </c>
      <c r="I6795" s="17">
        <v>42290</v>
      </c>
    </row>
    <row r="6796" spans="1:9">
      <c r="A6796" s="16" t="s">
        <v>10932</v>
      </c>
      <c r="B6796" s="1" t="s">
        <v>2628</v>
      </c>
      <c r="C6796" s="1">
        <v>5</v>
      </c>
      <c r="D6796" s="1" t="s">
        <v>34</v>
      </c>
      <c r="E6796" s="1" t="s">
        <v>10</v>
      </c>
      <c r="F6796" s="1" t="s">
        <v>5091</v>
      </c>
      <c r="G6796" s="14" t="s">
        <v>10926</v>
      </c>
      <c r="H6796" s="1" t="s">
        <v>5</v>
      </c>
      <c r="I6796" s="17">
        <v>42290</v>
      </c>
    </row>
    <row r="6797" spans="1:9">
      <c r="A6797" s="16" t="s">
        <v>10935</v>
      </c>
      <c r="B6797" s="1" t="s">
        <v>2628</v>
      </c>
      <c r="C6797" s="1">
        <v>5</v>
      </c>
      <c r="D6797" s="1" t="s">
        <v>34</v>
      </c>
      <c r="E6797" s="1" t="s">
        <v>10</v>
      </c>
      <c r="F6797" s="1" t="s">
        <v>5091</v>
      </c>
      <c r="G6797" s="14" t="s">
        <v>6450</v>
      </c>
      <c r="H6797" s="1" t="s">
        <v>43</v>
      </c>
      <c r="I6797" s="17">
        <v>42273</v>
      </c>
    </row>
    <row r="6798" spans="1:9">
      <c r="A6798" s="16" t="s">
        <v>10936</v>
      </c>
      <c r="B6798" s="1" t="s">
        <v>2628</v>
      </c>
      <c r="C6798" s="1">
        <v>5</v>
      </c>
      <c r="D6798" s="1" t="s">
        <v>34</v>
      </c>
      <c r="E6798" s="1" t="s">
        <v>10</v>
      </c>
      <c r="F6798" s="1" t="s">
        <v>5091</v>
      </c>
      <c r="G6798" s="14" t="s">
        <v>1475</v>
      </c>
      <c r="H6798" s="1" t="s">
        <v>5</v>
      </c>
      <c r="I6798" s="17">
        <v>42276</v>
      </c>
    </row>
    <row r="6799" spans="1:9">
      <c r="A6799" s="16" t="s">
        <v>10937</v>
      </c>
      <c r="B6799" s="1" t="s">
        <v>2628</v>
      </c>
      <c r="C6799" s="1">
        <v>5</v>
      </c>
      <c r="D6799" s="1" t="s">
        <v>34</v>
      </c>
      <c r="E6799" s="1" t="s">
        <v>10</v>
      </c>
      <c r="F6799" s="1" t="s">
        <v>5091</v>
      </c>
      <c r="G6799" s="14" t="s">
        <v>1475</v>
      </c>
      <c r="H6799" s="1" t="s">
        <v>5</v>
      </c>
      <c r="I6799" s="17">
        <v>42276</v>
      </c>
    </row>
    <row r="6800" spans="1:9">
      <c r="A6800" s="16" t="s">
        <v>10959</v>
      </c>
      <c r="B6800" s="1" t="s">
        <v>2628</v>
      </c>
      <c r="C6800" s="1">
        <v>5</v>
      </c>
      <c r="D6800" s="1" t="s">
        <v>34</v>
      </c>
      <c r="E6800" s="1" t="s">
        <v>10</v>
      </c>
      <c r="F6800" s="1" t="s">
        <v>5091</v>
      </c>
      <c r="G6800" s="14" t="s">
        <v>1475</v>
      </c>
      <c r="H6800" s="1" t="s">
        <v>5</v>
      </c>
      <c r="I6800" s="17">
        <v>42283</v>
      </c>
    </row>
    <row r="6801" spans="1:9">
      <c r="A6801" s="16" t="s">
        <v>10960</v>
      </c>
      <c r="B6801" s="1" t="s">
        <v>2628</v>
      </c>
      <c r="C6801" s="1">
        <v>5</v>
      </c>
      <c r="D6801" s="1" t="s">
        <v>34</v>
      </c>
      <c r="E6801" s="1" t="s">
        <v>10</v>
      </c>
      <c r="F6801" s="1" t="s">
        <v>5091</v>
      </c>
      <c r="G6801" s="14" t="s">
        <v>1475</v>
      </c>
      <c r="H6801" s="1" t="s">
        <v>5</v>
      </c>
      <c r="I6801" s="17">
        <v>42283</v>
      </c>
    </row>
    <row r="6802" spans="1:9">
      <c r="A6802" s="16" t="s">
        <v>10976</v>
      </c>
      <c r="B6802" s="1" t="s">
        <v>2628</v>
      </c>
      <c r="C6802" s="1">
        <v>5</v>
      </c>
      <c r="D6802" s="1" t="s">
        <v>34</v>
      </c>
      <c r="E6802" s="1" t="s">
        <v>10</v>
      </c>
      <c r="F6802" s="1" t="s">
        <v>5091</v>
      </c>
      <c r="G6802" s="14" t="s">
        <v>1475</v>
      </c>
      <c r="H6802" s="1" t="s">
        <v>5</v>
      </c>
      <c r="I6802" s="17">
        <v>42290</v>
      </c>
    </row>
    <row r="6803" spans="1:9">
      <c r="A6803" s="16" t="s">
        <v>10977</v>
      </c>
      <c r="B6803" s="1" t="s">
        <v>2628</v>
      </c>
      <c r="C6803" s="1">
        <v>5</v>
      </c>
      <c r="D6803" s="1" t="s">
        <v>34</v>
      </c>
      <c r="E6803" s="1" t="s">
        <v>10</v>
      </c>
      <c r="F6803" s="1" t="s">
        <v>5091</v>
      </c>
      <c r="G6803" s="14" t="s">
        <v>1475</v>
      </c>
      <c r="H6803" s="1" t="s">
        <v>5</v>
      </c>
      <c r="I6803" s="17">
        <v>42290</v>
      </c>
    </row>
    <row r="6804" spans="1:9">
      <c r="A6804" s="16" t="s">
        <v>10979</v>
      </c>
      <c r="B6804" s="1" t="s">
        <v>2628</v>
      </c>
      <c r="C6804" s="1">
        <v>5</v>
      </c>
      <c r="D6804" s="1" t="s">
        <v>34</v>
      </c>
      <c r="E6804" s="1" t="s">
        <v>10</v>
      </c>
      <c r="F6804" s="1" t="s">
        <v>5091</v>
      </c>
      <c r="G6804" s="14" t="s">
        <v>1475</v>
      </c>
      <c r="H6804" s="1" t="s">
        <v>5</v>
      </c>
      <c r="I6804" s="17">
        <v>42290</v>
      </c>
    </row>
    <row r="6805" spans="1:9">
      <c r="A6805" s="16" t="s">
        <v>10980</v>
      </c>
      <c r="B6805" s="1" t="s">
        <v>2628</v>
      </c>
      <c r="C6805" s="1">
        <v>5</v>
      </c>
      <c r="D6805" s="1" t="s">
        <v>34</v>
      </c>
      <c r="E6805" s="1" t="s">
        <v>10</v>
      </c>
      <c r="F6805" s="1" t="s">
        <v>5091</v>
      </c>
      <c r="G6805" s="14" t="s">
        <v>1475</v>
      </c>
      <c r="H6805" s="1" t="s">
        <v>5</v>
      </c>
      <c r="I6805" s="17">
        <v>42293</v>
      </c>
    </row>
    <row r="6806" spans="1:9">
      <c r="A6806" s="16" t="s">
        <v>10983</v>
      </c>
      <c r="B6806" s="1" t="s">
        <v>2628</v>
      </c>
      <c r="C6806" s="1">
        <v>5</v>
      </c>
      <c r="D6806" s="1" t="s">
        <v>34</v>
      </c>
      <c r="E6806" s="1" t="s">
        <v>10</v>
      </c>
      <c r="F6806" s="1" t="s">
        <v>5091</v>
      </c>
      <c r="G6806" s="14" t="s">
        <v>1475</v>
      </c>
      <c r="H6806" s="1" t="s">
        <v>5</v>
      </c>
      <c r="I6806" s="17">
        <v>42293</v>
      </c>
    </row>
    <row r="6807" spans="1:9">
      <c r="A6807" s="16" t="s">
        <v>10990</v>
      </c>
      <c r="B6807" s="1" t="s">
        <v>2628</v>
      </c>
      <c r="C6807" s="1">
        <v>5</v>
      </c>
      <c r="D6807" s="1" t="s">
        <v>34</v>
      </c>
      <c r="E6807" s="1" t="s">
        <v>10</v>
      </c>
      <c r="F6807" s="1" t="s">
        <v>5091</v>
      </c>
      <c r="G6807" s="14" t="s">
        <v>6450</v>
      </c>
      <c r="H6807" s="1" t="s">
        <v>43</v>
      </c>
      <c r="I6807" s="17">
        <v>42301</v>
      </c>
    </row>
    <row r="6808" spans="1:9">
      <c r="A6808" s="16" t="s">
        <v>10993</v>
      </c>
      <c r="B6808" s="1" t="s">
        <v>2628</v>
      </c>
      <c r="C6808" s="1">
        <v>5</v>
      </c>
      <c r="D6808" s="1" t="s">
        <v>34</v>
      </c>
      <c r="E6808" s="1" t="s">
        <v>10</v>
      </c>
      <c r="F6808" s="1" t="s">
        <v>5091</v>
      </c>
      <c r="G6808" s="14" t="s">
        <v>6450</v>
      </c>
      <c r="H6808" s="1" t="s">
        <v>43</v>
      </c>
      <c r="I6808" s="17">
        <v>42301</v>
      </c>
    </row>
    <row r="6809" spans="1:9">
      <c r="A6809" s="16" t="s">
        <v>10998</v>
      </c>
      <c r="B6809" s="1" t="s">
        <v>2628</v>
      </c>
      <c r="C6809" s="1">
        <v>5</v>
      </c>
      <c r="D6809" s="1" t="s">
        <v>34</v>
      </c>
      <c r="E6809" s="1" t="s">
        <v>10</v>
      </c>
      <c r="F6809" s="1" t="s">
        <v>5091</v>
      </c>
      <c r="G6809" s="14" t="s">
        <v>6450</v>
      </c>
      <c r="H6809" s="1" t="s">
        <v>43</v>
      </c>
      <c r="I6809" s="17">
        <v>42301</v>
      </c>
    </row>
    <row r="6810" spans="1:9">
      <c r="A6810" s="16" t="s">
        <v>11013</v>
      </c>
      <c r="B6810" s="1" t="s">
        <v>2628</v>
      </c>
      <c r="C6810" s="1">
        <v>5</v>
      </c>
      <c r="D6810" s="1" t="s">
        <v>34</v>
      </c>
      <c r="E6810" s="1" t="s">
        <v>10</v>
      </c>
      <c r="F6810" s="1" t="s">
        <v>5091</v>
      </c>
      <c r="G6810" s="14" t="s">
        <v>6450</v>
      </c>
      <c r="H6810" s="1" t="s">
        <v>43</v>
      </c>
      <c r="I6810" s="17">
        <v>42313</v>
      </c>
    </row>
    <row r="6811" spans="1:9">
      <c r="A6811" s="16" t="s">
        <v>11014</v>
      </c>
      <c r="B6811" s="1" t="s">
        <v>2628</v>
      </c>
      <c r="C6811" s="1">
        <v>5</v>
      </c>
      <c r="D6811" s="1" t="s">
        <v>34</v>
      </c>
      <c r="E6811" s="1" t="s">
        <v>10</v>
      </c>
      <c r="F6811" s="1" t="s">
        <v>5091</v>
      </c>
      <c r="G6811" s="14" t="s">
        <v>6450</v>
      </c>
      <c r="H6811" s="1" t="s">
        <v>43</v>
      </c>
      <c r="I6811" s="17">
        <v>42313</v>
      </c>
    </row>
    <row r="6812" spans="1:9">
      <c r="A6812" s="16" t="s">
        <v>11017</v>
      </c>
      <c r="B6812" s="1" t="s">
        <v>2628</v>
      </c>
      <c r="C6812" s="1">
        <v>5</v>
      </c>
      <c r="D6812" s="1" t="s">
        <v>34</v>
      </c>
      <c r="E6812" s="1" t="s">
        <v>10</v>
      </c>
      <c r="F6812" s="1" t="s">
        <v>5091</v>
      </c>
      <c r="G6812" s="14" t="s">
        <v>6450</v>
      </c>
      <c r="H6812" s="1" t="s">
        <v>43</v>
      </c>
      <c r="I6812" s="17">
        <v>42313</v>
      </c>
    </row>
    <row r="6813" spans="1:9">
      <c r="A6813" s="16" t="s">
        <v>11018</v>
      </c>
      <c r="B6813" s="1" t="s">
        <v>2628</v>
      </c>
      <c r="C6813" s="1">
        <v>5</v>
      </c>
      <c r="D6813" s="1" t="s">
        <v>34</v>
      </c>
      <c r="E6813" s="1" t="s">
        <v>10</v>
      </c>
      <c r="F6813" s="1" t="s">
        <v>5091</v>
      </c>
      <c r="G6813" s="14" t="s">
        <v>6450</v>
      </c>
      <c r="H6813" s="1" t="s">
        <v>43</v>
      </c>
      <c r="I6813" s="17">
        <v>42313</v>
      </c>
    </row>
    <row r="6814" spans="1:9">
      <c r="A6814" s="16" t="s">
        <v>11045</v>
      </c>
      <c r="B6814" s="1" t="s">
        <v>2628</v>
      </c>
      <c r="C6814" s="1">
        <v>5</v>
      </c>
      <c r="D6814" s="1" t="s">
        <v>34</v>
      </c>
      <c r="E6814" s="1" t="s">
        <v>10</v>
      </c>
      <c r="F6814" s="1" t="s">
        <v>5091</v>
      </c>
      <c r="G6814" s="14" t="s">
        <v>6145</v>
      </c>
      <c r="H6814" s="1" t="s">
        <v>43</v>
      </c>
      <c r="I6814" s="17">
        <v>42496</v>
      </c>
    </row>
    <row r="6815" spans="1:9">
      <c r="A6815" s="16" t="s">
        <v>11046</v>
      </c>
      <c r="B6815" s="1" t="s">
        <v>2628</v>
      </c>
      <c r="C6815" s="1">
        <v>5</v>
      </c>
      <c r="D6815" s="1" t="s">
        <v>34</v>
      </c>
      <c r="E6815" s="1" t="s">
        <v>10</v>
      </c>
      <c r="F6815" s="1" t="s">
        <v>5091</v>
      </c>
      <c r="G6815" s="14" t="s">
        <v>6145</v>
      </c>
      <c r="H6815" s="1" t="s">
        <v>43</v>
      </c>
      <c r="I6815" s="17">
        <v>42496</v>
      </c>
    </row>
    <row r="6816" spans="1:9">
      <c r="A6816" s="16" t="s">
        <v>11054</v>
      </c>
      <c r="B6816" s="1" t="s">
        <v>2628</v>
      </c>
      <c r="C6816" s="1">
        <v>5</v>
      </c>
      <c r="D6816" s="1" t="s">
        <v>34</v>
      </c>
      <c r="E6816" s="1" t="s">
        <v>10</v>
      </c>
      <c r="F6816" s="1" t="s">
        <v>5091</v>
      </c>
      <c r="G6816" s="14" t="s">
        <v>6236</v>
      </c>
      <c r="H6816" s="1" t="s">
        <v>43</v>
      </c>
      <c r="I6816" s="17">
        <v>42370</v>
      </c>
    </row>
    <row r="6817" spans="1:9">
      <c r="A6817" s="16" t="s">
        <v>11055</v>
      </c>
      <c r="B6817" s="1" t="s">
        <v>2628</v>
      </c>
      <c r="C6817" s="1">
        <v>5</v>
      </c>
      <c r="D6817" s="1" t="s">
        <v>34</v>
      </c>
      <c r="E6817" s="1" t="s">
        <v>10</v>
      </c>
      <c r="F6817" s="1" t="s">
        <v>5091</v>
      </c>
      <c r="G6817" s="14" t="s">
        <v>11056</v>
      </c>
      <c r="H6817" s="1" t="s">
        <v>5</v>
      </c>
      <c r="I6817" s="17">
        <v>42370</v>
      </c>
    </row>
    <row r="6818" spans="1:9">
      <c r="A6818" s="16" t="s">
        <v>11057</v>
      </c>
      <c r="B6818" s="1" t="s">
        <v>2628</v>
      </c>
      <c r="C6818" s="1">
        <v>5</v>
      </c>
      <c r="D6818" s="1" t="s">
        <v>34</v>
      </c>
      <c r="E6818" s="1" t="s">
        <v>10</v>
      </c>
      <c r="F6818" s="1" t="s">
        <v>5091</v>
      </c>
      <c r="G6818" s="14" t="s">
        <v>11058</v>
      </c>
      <c r="H6818" s="1" t="s">
        <v>5</v>
      </c>
      <c r="I6818" s="17">
        <v>41275</v>
      </c>
    </row>
    <row r="6819" spans="1:9">
      <c r="A6819" s="16" t="s">
        <v>11066</v>
      </c>
      <c r="B6819" s="1" t="s">
        <v>2631</v>
      </c>
      <c r="C6819" s="1">
        <v>5</v>
      </c>
      <c r="D6819" s="1" t="s">
        <v>34</v>
      </c>
      <c r="E6819" s="1" t="s">
        <v>10</v>
      </c>
      <c r="F6819" s="1" t="s">
        <v>5091</v>
      </c>
      <c r="G6819" s="1" t="s">
        <v>6145</v>
      </c>
      <c r="H6819" s="1" t="s">
        <v>43</v>
      </c>
      <c r="I6819" s="17">
        <v>40830</v>
      </c>
    </row>
    <row r="6820" spans="1:9">
      <c r="A6820" s="16" t="s">
        <v>11067</v>
      </c>
      <c r="B6820" s="1" t="s">
        <v>2628</v>
      </c>
      <c r="C6820" s="1">
        <v>5</v>
      </c>
      <c r="D6820" s="1" t="s">
        <v>34</v>
      </c>
      <c r="E6820" s="1" t="s">
        <v>10</v>
      </c>
      <c r="F6820" s="1" t="s">
        <v>5091</v>
      </c>
      <c r="G6820" s="14" t="s">
        <v>11068</v>
      </c>
      <c r="H6820" s="1" t="s">
        <v>5</v>
      </c>
      <c r="I6820" s="17">
        <v>42473</v>
      </c>
    </row>
    <row r="6821" spans="1:9">
      <c r="A6821" s="16" t="s">
        <v>11069</v>
      </c>
      <c r="B6821" s="1" t="s">
        <v>2628</v>
      </c>
      <c r="C6821" s="1">
        <v>5</v>
      </c>
      <c r="D6821" s="1" t="s">
        <v>34</v>
      </c>
      <c r="E6821" s="1" t="s">
        <v>10</v>
      </c>
      <c r="F6821" s="1" t="s">
        <v>5091</v>
      </c>
      <c r="G6821" s="14" t="s">
        <v>11068</v>
      </c>
      <c r="H6821" s="1" t="s">
        <v>5</v>
      </c>
      <c r="I6821" s="17">
        <v>42473</v>
      </c>
    </row>
    <row r="6822" spans="1:9">
      <c r="A6822" s="16" t="s">
        <v>11075</v>
      </c>
      <c r="B6822" s="1" t="s">
        <v>2628</v>
      </c>
      <c r="C6822" s="1">
        <v>5</v>
      </c>
      <c r="D6822" s="1" t="s">
        <v>34</v>
      </c>
      <c r="E6822" s="1" t="s">
        <v>10</v>
      </c>
      <c r="F6822" s="1" t="s">
        <v>5091</v>
      </c>
      <c r="G6822" s="14" t="s">
        <v>6145</v>
      </c>
      <c r="H6822" s="1" t="s">
        <v>43</v>
      </c>
      <c r="I6822" s="17">
        <v>40023</v>
      </c>
    </row>
    <row r="6823" spans="1:9">
      <c r="A6823" s="16" t="s">
        <v>11083</v>
      </c>
      <c r="B6823" s="1" t="s">
        <v>2628</v>
      </c>
      <c r="C6823" s="1">
        <v>5</v>
      </c>
      <c r="D6823" s="1" t="s">
        <v>34</v>
      </c>
      <c r="E6823" s="1" t="s">
        <v>10</v>
      </c>
      <c r="F6823" s="1" t="s">
        <v>5091</v>
      </c>
      <c r="G6823" s="14" t="s">
        <v>6450</v>
      </c>
      <c r="H6823" s="1" t="s">
        <v>43</v>
      </c>
      <c r="I6823" s="17">
        <v>41129</v>
      </c>
    </row>
    <row r="6824" spans="1:9">
      <c r="A6824" s="16" t="s">
        <v>11084</v>
      </c>
      <c r="B6824" s="1" t="s">
        <v>2628</v>
      </c>
      <c r="C6824" s="1">
        <v>5</v>
      </c>
      <c r="D6824" s="1" t="s">
        <v>34</v>
      </c>
      <c r="E6824" s="1" t="s">
        <v>10</v>
      </c>
      <c r="F6824" s="1" t="s">
        <v>5091</v>
      </c>
      <c r="G6824" s="14" t="s">
        <v>6450</v>
      </c>
      <c r="H6824" s="1" t="s">
        <v>43</v>
      </c>
      <c r="I6824" s="17">
        <v>41129</v>
      </c>
    </row>
    <row r="6825" spans="1:9">
      <c r="A6825" s="16" t="s">
        <v>11085</v>
      </c>
      <c r="B6825" s="1" t="s">
        <v>2628</v>
      </c>
      <c r="C6825" s="1">
        <v>5</v>
      </c>
      <c r="D6825" s="1" t="s">
        <v>34</v>
      </c>
      <c r="E6825" s="1" t="s">
        <v>10</v>
      </c>
      <c r="F6825" s="1" t="s">
        <v>5091</v>
      </c>
      <c r="G6825" s="14" t="s">
        <v>6450</v>
      </c>
      <c r="H6825" s="1" t="s">
        <v>43</v>
      </c>
      <c r="I6825" s="17">
        <v>41129</v>
      </c>
    </row>
    <row r="6826" spans="1:9">
      <c r="A6826" s="16" t="s">
        <v>11086</v>
      </c>
      <c r="B6826" s="1" t="s">
        <v>2628</v>
      </c>
      <c r="C6826" s="1">
        <v>5</v>
      </c>
      <c r="D6826" s="1" t="s">
        <v>34</v>
      </c>
      <c r="E6826" s="1" t="s">
        <v>10</v>
      </c>
      <c r="F6826" s="1" t="s">
        <v>5091</v>
      </c>
      <c r="G6826" s="14" t="s">
        <v>11087</v>
      </c>
      <c r="H6826" s="1" t="s">
        <v>5</v>
      </c>
      <c r="I6826" s="17">
        <v>41135</v>
      </c>
    </row>
    <row r="6827" spans="1:9">
      <c r="A6827" s="16" t="s">
        <v>11088</v>
      </c>
      <c r="B6827" s="1" t="s">
        <v>2628</v>
      </c>
      <c r="C6827" s="1">
        <v>5</v>
      </c>
      <c r="D6827" s="1" t="s">
        <v>34</v>
      </c>
      <c r="E6827" s="1" t="s">
        <v>10</v>
      </c>
      <c r="F6827" s="1" t="s">
        <v>5091</v>
      </c>
      <c r="G6827" s="14" t="s">
        <v>11087</v>
      </c>
      <c r="H6827" s="1" t="s">
        <v>5</v>
      </c>
      <c r="I6827" s="17">
        <v>41135</v>
      </c>
    </row>
    <row r="6828" spans="1:9">
      <c r="A6828" s="16" t="s">
        <v>11089</v>
      </c>
      <c r="B6828" s="1" t="s">
        <v>2628</v>
      </c>
      <c r="C6828" s="1">
        <v>5</v>
      </c>
      <c r="D6828" s="1" t="s">
        <v>34</v>
      </c>
      <c r="E6828" s="1" t="s">
        <v>10</v>
      </c>
      <c r="F6828" s="1" t="s">
        <v>5091</v>
      </c>
      <c r="G6828" s="14" t="s">
        <v>11087</v>
      </c>
      <c r="H6828" s="1" t="s">
        <v>5</v>
      </c>
      <c r="I6828" s="17">
        <v>41135</v>
      </c>
    </row>
    <row r="6829" spans="1:9">
      <c r="A6829" s="16" t="s">
        <v>11090</v>
      </c>
      <c r="B6829" s="1" t="s">
        <v>2628</v>
      </c>
      <c r="C6829" s="1">
        <v>5</v>
      </c>
      <c r="D6829" s="1" t="s">
        <v>34</v>
      </c>
      <c r="E6829" s="1" t="s">
        <v>10</v>
      </c>
      <c r="F6829" s="1" t="s">
        <v>5091</v>
      </c>
      <c r="G6829" s="14" t="s">
        <v>11087</v>
      </c>
      <c r="H6829" s="1" t="s">
        <v>5</v>
      </c>
      <c r="I6829" s="17">
        <v>41135</v>
      </c>
    </row>
    <row r="6830" spans="1:9">
      <c r="A6830" s="16" t="s">
        <v>11091</v>
      </c>
      <c r="B6830" s="1" t="s">
        <v>2628</v>
      </c>
      <c r="C6830" s="1">
        <v>5</v>
      </c>
      <c r="D6830" s="1" t="s">
        <v>34</v>
      </c>
      <c r="E6830" s="1" t="s">
        <v>10</v>
      </c>
      <c r="F6830" s="1" t="s">
        <v>5091</v>
      </c>
      <c r="G6830" s="14" t="s">
        <v>11087</v>
      </c>
      <c r="H6830" s="1" t="s">
        <v>5</v>
      </c>
      <c r="I6830" s="17">
        <v>41135</v>
      </c>
    </row>
    <row r="6831" spans="1:9">
      <c r="A6831" s="16" t="s">
        <v>11092</v>
      </c>
      <c r="B6831" s="1" t="s">
        <v>2628</v>
      </c>
      <c r="C6831" s="1">
        <v>5</v>
      </c>
      <c r="D6831" s="1" t="s">
        <v>34</v>
      </c>
      <c r="E6831" s="1" t="s">
        <v>10</v>
      </c>
      <c r="F6831" s="1" t="s">
        <v>5091</v>
      </c>
      <c r="G6831" s="14" t="s">
        <v>11087</v>
      </c>
      <c r="H6831" s="1" t="s">
        <v>5</v>
      </c>
      <c r="I6831" s="17">
        <v>41135</v>
      </c>
    </row>
    <row r="6832" spans="1:9">
      <c r="A6832" s="16" t="s">
        <v>11093</v>
      </c>
      <c r="B6832" s="1" t="s">
        <v>2628</v>
      </c>
      <c r="C6832" s="1">
        <v>5</v>
      </c>
      <c r="D6832" s="1" t="s">
        <v>34</v>
      </c>
      <c r="E6832" s="1" t="s">
        <v>10</v>
      </c>
      <c r="F6832" s="1" t="s">
        <v>5091</v>
      </c>
      <c r="G6832" s="14" t="s">
        <v>11087</v>
      </c>
      <c r="H6832" s="1" t="s">
        <v>5</v>
      </c>
      <c r="I6832" s="17">
        <v>41135</v>
      </c>
    </row>
    <row r="6833" spans="1:9">
      <c r="A6833" s="16" t="s">
        <v>11094</v>
      </c>
      <c r="B6833" s="1" t="s">
        <v>2628</v>
      </c>
      <c r="C6833" s="1">
        <v>5</v>
      </c>
      <c r="D6833" s="1" t="s">
        <v>34</v>
      </c>
      <c r="E6833" s="1" t="s">
        <v>10</v>
      </c>
      <c r="F6833" s="1" t="s">
        <v>5091</v>
      </c>
      <c r="G6833" s="14" t="s">
        <v>11087</v>
      </c>
      <c r="H6833" s="1" t="s">
        <v>5</v>
      </c>
      <c r="I6833" s="17">
        <v>41135</v>
      </c>
    </row>
    <row r="6834" spans="1:9">
      <c r="A6834" s="16" t="s">
        <v>11095</v>
      </c>
      <c r="B6834" s="1" t="s">
        <v>2628</v>
      </c>
      <c r="C6834" s="1">
        <v>5</v>
      </c>
      <c r="D6834" s="1" t="s">
        <v>34</v>
      </c>
      <c r="E6834" s="1" t="s">
        <v>10</v>
      </c>
      <c r="F6834" s="1" t="s">
        <v>5091</v>
      </c>
      <c r="G6834" s="14" t="s">
        <v>11087</v>
      </c>
      <c r="H6834" s="1" t="s">
        <v>5</v>
      </c>
      <c r="I6834" s="17">
        <v>41135</v>
      </c>
    </row>
    <row r="6835" spans="1:9">
      <c r="A6835" s="16" t="s">
        <v>11096</v>
      </c>
      <c r="B6835" s="1" t="s">
        <v>2628</v>
      </c>
      <c r="C6835" s="1">
        <v>5</v>
      </c>
      <c r="D6835" s="1" t="s">
        <v>34</v>
      </c>
      <c r="E6835" s="1" t="s">
        <v>10</v>
      </c>
      <c r="F6835" s="1" t="s">
        <v>5091</v>
      </c>
      <c r="G6835" s="14" t="s">
        <v>11087</v>
      </c>
      <c r="H6835" s="1" t="s">
        <v>5</v>
      </c>
      <c r="I6835" s="17">
        <v>41135</v>
      </c>
    </row>
    <row r="6836" spans="1:9">
      <c r="A6836" s="16" t="s">
        <v>11105</v>
      </c>
      <c r="B6836" s="1" t="s">
        <v>2628</v>
      </c>
      <c r="C6836" s="1">
        <v>5</v>
      </c>
      <c r="D6836" s="1" t="s">
        <v>34</v>
      </c>
      <c r="E6836" s="1" t="s">
        <v>10</v>
      </c>
      <c r="F6836" s="1" t="s">
        <v>5091</v>
      </c>
      <c r="G6836" s="14" t="s">
        <v>6145</v>
      </c>
      <c r="H6836" s="1" t="s">
        <v>43</v>
      </c>
      <c r="I6836" s="17">
        <v>39699</v>
      </c>
    </row>
    <row r="6837" spans="1:9">
      <c r="A6837" s="16" t="s">
        <v>11132</v>
      </c>
      <c r="B6837" s="1" t="s">
        <v>2628</v>
      </c>
      <c r="C6837" s="1">
        <v>5</v>
      </c>
      <c r="D6837" s="1" t="s">
        <v>34</v>
      </c>
      <c r="E6837" s="1" t="s">
        <v>10</v>
      </c>
      <c r="F6837" s="1" t="s">
        <v>5091</v>
      </c>
      <c r="G6837" s="14" t="s">
        <v>11133</v>
      </c>
      <c r="H6837" s="1" t="s">
        <v>5</v>
      </c>
      <c r="I6837" s="17">
        <v>39178</v>
      </c>
    </row>
    <row r="6838" spans="1:9">
      <c r="A6838" s="16" t="s">
        <v>11160</v>
      </c>
      <c r="B6838" s="1" t="s">
        <v>2628</v>
      </c>
      <c r="C6838" s="1">
        <v>5</v>
      </c>
      <c r="D6838" s="1" t="s">
        <v>34</v>
      </c>
      <c r="E6838" s="1" t="s">
        <v>10</v>
      </c>
      <c r="F6838" s="1" t="s">
        <v>5091</v>
      </c>
      <c r="G6838" s="14" t="s">
        <v>6145</v>
      </c>
      <c r="H6838" s="1" t="s">
        <v>43</v>
      </c>
      <c r="I6838" s="17">
        <v>39881</v>
      </c>
    </row>
    <row r="6839" spans="1:9">
      <c r="A6839" s="16" t="s">
        <v>11187</v>
      </c>
      <c r="B6839" s="1" t="s">
        <v>2628</v>
      </c>
      <c r="C6839" s="1">
        <v>5</v>
      </c>
      <c r="D6839" s="1" t="s">
        <v>34</v>
      </c>
      <c r="E6839" s="1" t="s">
        <v>10</v>
      </c>
      <c r="F6839" s="1" t="s">
        <v>5091</v>
      </c>
      <c r="G6839" s="14" t="s">
        <v>10599</v>
      </c>
      <c r="H6839" s="1" t="s">
        <v>44</v>
      </c>
      <c r="I6839" s="17">
        <v>40575</v>
      </c>
    </row>
    <row r="6840" spans="1:9">
      <c r="A6840" s="16" t="s">
        <v>11191</v>
      </c>
      <c r="B6840" s="1" t="s">
        <v>2628</v>
      </c>
      <c r="C6840" s="1">
        <v>5</v>
      </c>
      <c r="D6840" s="1" t="s">
        <v>34</v>
      </c>
      <c r="E6840" s="1" t="s">
        <v>10</v>
      </c>
      <c r="F6840" s="1" t="s">
        <v>5091</v>
      </c>
      <c r="G6840" s="14" t="s">
        <v>6145</v>
      </c>
      <c r="H6840" s="1" t="s">
        <v>43</v>
      </c>
      <c r="I6840" s="17">
        <v>41275</v>
      </c>
    </row>
    <row r="6841" spans="1:9">
      <c r="A6841" s="16" t="s">
        <v>11195</v>
      </c>
      <c r="B6841" s="1" t="s">
        <v>2628</v>
      </c>
      <c r="C6841" s="1">
        <v>5</v>
      </c>
      <c r="D6841" s="1" t="s">
        <v>34</v>
      </c>
      <c r="E6841" s="1" t="s">
        <v>10</v>
      </c>
      <c r="F6841" s="1" t="s">
        <v>5091</v>
      </c>
      <c r="G6841" s="14" t="s">
        <v>6145</v>
      </c>
      <c r="H6841" s="1" t="s">
        <v>43</v>
      </c>
      <c r="I6841" s="17">
        <v>41275</v>
      </c>
    </row>
    <row r="6842" spans="1:9">
      <c r="A6842" s="16" t="s">
        <v>11197</v>
      </c>
      <c r="B6842" s="1" t="s">
        <v>2628</v>
      </c>
      <c r="C6842" s="1">
        <v>5</v>
      </c>
      <c r="D6842" s="1" t="s">
        <v>34</v>
      </c>
      <c r="E6842" s="1" t="s">
        <v>10</v>
      </c>
      <c r="F6842" s="1" t="s">
        <v>5091</v>
      </c>
      <c r="G6842" s="14" t="s">
        <v>6145</v>
      </c>
      <c r="H6842" s="1" t="s">
        <v>43</v>
      </c>
      <c r="I6842" s="17">
        <v>41275</v>
      </c>
    </row>
    <row r="6843" spans="1:9">
      <c r="A6843" s="16" t="s">
        <v>11221</v>
      </c>
      <c r="B6843" s="1" t="s">
        <v>2628</v>
      </c>
      <c r="C6843" s="1">
        <v>5</v>
      </c>
      <c r="D6843" s="1" t="s">
        <v>34</v>
      </c>
      <c r="E6843" s="1" t="s">
        <v>10</v>
      </c>
      <c r="F6843" s="1" t="s">
        <v>5091</v>
      </c>
      <c r="G6843" s="14" t="s">
        <v>6236</v>
      </c>
      <c r="H6843" s="1" t="s">
        <v>43</v>
      </c>
      <c r="I6843" s="17">
        <v>42370</v>
      </c>
    </row>
    <row r="6844" spans="1:9">
      <c r="A6844" s="16" t="s">
        <v>11236</v>
      </c>
      <c r="B6844" s="1" t="s">
        <v>2628</v>
      </c>
      <c r="C6844" s="1">
        <v>5</v>
      </c>
      <c r="D6844" s="1" t="s">
        <v>34</v>
      </c>
      <c r="E6844" s="1" t="s">
        <v>10</v>
      </c>
      <c r="F6844" s="1" t="s">
        <v>5091</v>
      </c>
      <c r="G6844" s="14" t="s">
        <v>6236</v>
      </c>
      <c r="H6844" s="1" t="s">
        <v>43</v>
      </c>
      <c r="I6844" s="17">
        <v>42370</v>
      </c>
    </row>
    <row r="6845" spans="1:9">
      <c r="A6845" s="16" t="s">
        <v>11239</v>
      </c>
      <c r="B6845" s="1" t="s">
        <v>2628</v>
      </c>
      <c r="C6845" s="1">
        <v>5</v>
      </c>
      <c r="D6845" s="1" t="s">
        <v>34</v>
      </c>
      <c r="E6845" s="1" t="s">
        <v>10</v>
      </c>
      <c r="F6845" s="1" t="s">
        <v>5091</v>
      </c>
      <c r="G6845" s="14" t="s">
        <v>6236</v>
      </c>
      <c r="H6845" s="1" t="s">
        <v>43</v>
      </c>
      <c r="I6845" s="17">
        <v>42370</v>
      </c>
    </row>
    <row r="6846" spans="1:9">
      <c r="A6846" s="16" t="s">
        <v>11274</v>
      </c>
      <c r="B6846" s="1" t="s">
        <v>2628</v>
      </c>
      <c r="C6846" s="1">
        <v>5</v>
      </c>
      <c r="D6846" s="1" t="s">
        <v>34</v>
      </c>
      <c r="E6846" s="1" t="s">
        <v>10</v>
      </c>
      <c r="F6846" s="1" t="s">
        <v>5091</v>
      </c>
      <c r="G6846" s="14" t="s">
        <v>11275</v>
      </c>
      <c r="H6846" s="1" t="s">
        <v>5</v>
      </c>
      <c r="I6846" s="17">
        <v>38932</v>
      </c>
    </row>
    <row r="6847" spans="1:9">
      <c r="A6847" s="16" t="s">
        <v>11278</v>
      </c>
      <c r="B6847" s="1" t="s">
        <v>2628</v>
      </c>
      <c r="C6847" s="1">
        <v>5</v>
      </c>
      <c r="D6847" s="1" t="s">
        <v>34</v>
      </c>
      <c r="E6847" s="1" t="s">
        <v>10</v>
      </c>
      <c r="F6847" s="1" t="s">
        <v>5091</v>
      </c>
      <c r="G6847" s="14" t="s">
        <v>11279</v>
      </c>
      <c r="H6847" s="1" t="s">
        <v>5</v>
      </c>
      <c r="I6847" s="17">
        <v>40070</v>
      </c>
    </row>
    <row r="6848" spans="1:9">
      <c r="A6848" s="16" t="s">
        <v>11285</v>
      </c>
      <c r="B6848" s="1" t="s">
        <v>2631</v>
      </c>
      <c r="C6848" s="1">
        <v>5</v>
      </c>
      <c r="D6848" s="1" t="s">
        <v>34</v>
      </c>
      <c r="E6848" s="1" t="s">
        <v>10</v>
      </c>
      <c r="F6848" s="1" t="s">
        <v>5091</v>
      </c>
      <c r="G6848" s="1" t="s">
        <v>6307</v>
      </c>
      <c r="H6848" s="1" t="s">
        <v>44</v>
      </c>
      <c r="I6848" s="17">
        <v>42326</v>
      </c>
    </row>
    <row r="6849" spans="1:9">
      <c r="A6849" s="16" t="s">
        <v>11294</v>
      </c>
      <c r="B6849" s="1" t="s">
        <v>2628</v>
      </c>
      <c r="C6849" s="1">
        <v>5</v>
      </c>
      <c r="D6849" s="1" t="s">
        <v>34</v>
      </c>
      <c r="E6849" s="1" t="s">
        <v>10</v>
      </c>
      <c r="F6849" s="1" t="s">
        <v>5091</v>
      </c>
      <c r="G6849" s="14" t="s">
        <v>6145</v>
      </c>
      <c r="H6849" s="1" t="s">
        <v>43</v>
      </c>
      <c r="I6849" s="17">
        <v>41275</v>
      </c>
    </row>
    <row r="6850" spans="1:9">
      <c r="A6850" s="16" t="s">
        <v>11317</v>
      </c>
      <c r="B6850" s="1" t="s">
        <v>2628</v>
      </c>
      <c r="C6850" s="1">
        <v>5</v>
      </c>
      <c r="D6850" s="1" t="s">
        <v>34</v>
      </c>
      <c r="E6850" s="1" t="s">
        <v>10</v>
      </c>
      <c r="F6850" s="1" t="s">
        <v>5091</v>
      </c>
      <c r="G6850" s="14" t="s">
        <v>11318</v>
      </c>
      <c r="H6850" s="1" t="s">
        <v>5</v>
      </c>
      <c r="I6850" s="17">
        <v>38457</v>
      </c>
    </row>
    <row r="6851" spans="1:9">
      <c r="A6851" s="16" t="s">
        <v>11319</v>
      </c>
      <c r="B6851" s="1" t="s">
        <v>2628</v>
      </c>
      <c r="C6851" s="1">
        <v>5</v>
      </c>
      <c r="D6851" s="1" t="s">
        <v>34</v>
      </c>
      <c r="E6851" s="1" t="s">
        <v>10</v>
      </c>
      <c r="F6851" s="1" t="s">
        <v>5091</v>
      </c>
      <c r="G6851" s="14" t="s">
        <v>11320</v>
      </c>
      <c r="H6851" s="1" t="s">
        <v>5</v>
      </c>
      <c r="I6851" s="17">
        <v>38435</v>
      </c>
    </row>
    <row r="6852" spans="1:9">
      <c r="A6852" s="16" t="s">
        <v>11329</v>
      </c>
      <c r="B6852" s="1" t="s">
        <v>2628</v>
      </c>
      <c r="C6852" s="1">
        <v>5</v>
      </c>
      <c r="D6852" s="1" t="s">
        <v>34</v>
      </c>
      <c r="E6852" s="1" t="s">
        <v>10</v>
      </c>
      <c r="F6852" s="1" t="s">
        <v>5091</v>
      </c>
      <c r="G6852" s="14" t="s">
        <v>6450</v>
      </c>
      <c r="H6852" s="1" t="s">
        <v>43</v>
      </c>
      <c r="I6852" s="17">
        <v>42247</v>
      </c>
    </row>
    <row r="6853" spans="1:9">
      <c r="A6853" s="16" t="s">
        <v>11340</v>
      </c>
      <c r="B6853" s="1" t="s">
        <v>2628</v>
      </c>
      <c r="C6853" s="1">
        <v>5</v>
      </c>
      <c r="D6853" s="1" t="s">
        <v>34</v>
      </c>
      <c r="E6853" s="1" t="s">
        <v>10</v>
      </c>
      <c r="F6853" s="1" t="s">
        <v>5091</v>
      </c>
      <c r="G6853" s="14" t="s">
        <v>4458</v>
      </c>
      <c r="H6853" s="1" t="s">
        <v>118</v>
      </c>
      <c r="I6853" s="17">
        <v>42491</v>
      </c>
    </row>
    <row r="6854" spans="1:9">
      <c r="A6854" s="16" t="s">
        <v>11341</v>
      </c>
      <c r="B6854" s="1" t="s">
        <v>2628</v>
      </c>
      <c r="C6854" s="1">
        <v>5</v>
      </c>
      <c r="D6854" s="1" t="s">
        <v>34</v>
      </c>
      <c r="E6854" s="1" t="s">
        <v>10</v>
      </c>
      <c r="F6854" s="1" t="s">
        <v>5091</v>
      </c>
      <c r="G6854" s="14" t="s">
        <v>6909</v>
      </c>
      <c r="H6854" s="1" t="s">
        <v>43</v>
      </c>
      <c r="I6854" s="17">
        <v>42370</v>
      </c>
    </row>
    <row r="6855" spans="1:9">
      <c r="A6855" s="16" t="s">
        <v>11342</v>
      </c>
      <c r="B6855" s="1" t="s">
        <v>2628</v>
      </c>
      <c r="C6855" s="1">
        <v>5</v>
      </c>
      <c r="D6855" s="1" t="s">
        <v>34</v>
      </c>
      <c r="E6855" s="1" t="s">
        <v>10</v>
      </c>
      <c r="F6855" s="1" t="s">
        <v>5091</v>
      </c>
      <c r="G6855" s="14" t="s">
        <v>6236</v>
      </c>
      <c r="H6855" s="1" t="s">
        <v>43</v>
      </c>
      <c r="I6855" s="17">
        <v>42370</v>
      </c>
    </row>
    <row r="6856" spans="1:9">
      <c r="A6856" s="16" t="s">
        <v>11345</v>
      </c>
      <c r="B6856" s="1" t="s">
        <v>2628</v>
      </c>
      <c r="C6856" s="1">
        <v>5</v>
      </c>
      <c r="D6856" s="1" t="s">
        <v>34</v>
      </c>
      <c r="E6856" s="1" t="s">
        <v>10</v>
      </c>
      <c r="F6856" s="1" t="s">
        <v>5091</v>
      </c>
      <c r="G6856" s="14" t="s">
        <v>6909</v>
      </c>
      <c r="H6856" s="1" t="s">
        <v>43</v>
      </c>
      <c r="I6856" s="17">
        <v>42370</v>
      </c>
    </row>
    <row r="6857" spans="1:9">
      <c r="A6857" s="16" t="s">
        <v>11347</v>
      </c>
      <c r="B6857" s="1" t="s">
        <v>2628</v>
      </c>
      <c r="C6857" s="1">
        <v>5</v>
      </c>
      <c r="D6857" s="1" t="s">
        <v>34</v>
      </c>
      <c r="E6857" s="1" t="s">
        <v>10</v>
      </c>
      <c r="F6857" s="1" t="s">
        <v>5091</v>
      </c>
      <c r="G6857" s="14" t="s">
        <v>6909</v>
      </c>
      <c r="H6857" s="1" t="s">
        <v>43</v>
      </c>
      <c r="I6857" s="17">
        <v>42370</v>
      </c>
    </row>
    <row r="6858" spans="1:9">
      <c r="A6858" s="16" t="s">
        <v>11350</v>
      </c>
      <c r="B6858" s="1" t="s">
        <v>2628</v>
      </c>
      <c r="C6858" s="1">
        <v>5</v>
      </c>
      <c r="D6858" s="1" t="s">
        <v>34</v>
      </c>
      <c r="E6858" s="1" t="s">
        <v>10</v>
      </c>
      <c r="F6858" s="1" t="s">
        <v>5091</v>
      </c>
      <c r="G6858" s="14" t="s">
        <v>6909</v>
      </c>
      <c r="H6858" s="1" t="s">
        <v>43</v>
      </c>
      <c r="I6858" s="17">
        <v>42370</v>
      </c>
    </row>
    <row r="6859" spans="1:9">
      <c r="A6859" s="16" t="s">
        <v>11354</v>
      </c>
      <c r="B6859" s="1" t="s">
        <v>2628</v>
      </c>
      <c r="C6859" s="1">
        <v>5</v>
      </c>
      <c r="D6859" s="1" t="s">
        <v>34</v>
      </c>
      <c r="E6859" s="1" t="s">
        <v>10</v>
      </c>
      <c r="F6859" s="1" t="s">
        <v>5091</v>
      </c>
      <c r="G6859" s="14" t="s">
        <v>11355</v>
      </c>
      <c r="H6859" s="1" t="s">
        <v>5</v>
      </c>
      <c r="I6859" s="17">
        <v>38425</v>
      </c>
    </row>
    <row r="6860" spans="1:9">
      <c r="A6860" s="16" t="s">
        <v>11356</v>
      </c>
      <c r="B6860" s="1" t="s">
        <v>2628</v>
      </c>
      <c r="C6860" s="1">
        <v>5</v>
      </c>
      <c r="D6860" s="1" t="s">
        <v>34</v>
      </c>
      <c r="E6860" s="1" t="s">
        <v>10</v>
      </c>
      <c r="F6860" s="1" t="s">
        <v>5091</v>
      </c>
      <c r="G6860" s="14" t="s">
        <v>11355</v>
      </c>
      <c r="H6860" s="1" t="s">
        <v>5</v>
      </c>
      <c r="I6860" s="17">
        <v>38425</v>
      </c>
    </row>
    <row r="6861" spans="1:9">
      <c r="A6861" s="16" t="s">
        <v>11358</v>
      </c>
      <c r="B6861" s="1" t="s">
        <v>2628</v>
      </c>
      <c r="C6861" s="1">
        <v>5</v>
      </c>
      <c r="D6861" s="1" t="s">
        <v>34</v>
      </c>
      <c r="E6861" s="1" t="s">
        <v>10</v>
      </c>
      <c r="F6861" s="1" t="s">
        <v>5091</v>
      </c>
      <c r="G6861" s="14" t="s">
        <v>11318</v>
      </c>
      <c r="H6861" s="1" t="s">
        <v>5</v>
      </c>
      <c r="I6861" s="17">
        <v>38457</v>
      </c>
    </row>
    <row r="6862" spans="1:9">
      <c r="A6862" s="16" t="s">
        <v>11370</v>
      </c>
      <c r="B6862" s="1" t="s">
        <v>2628</v>
      </c>
      <c r="C6862" s="1">
        <v>5</v>
      </c>
      <c r="D6862" s="1" t="s">
        <v>34</v>
      </c>
      <c r="E6862" s="1" t="s">
        <v>10</v>
      </c>
      <c r="F6862" s="1" t="s">
        <v>5091</v>
      </c>
      <c r="G6862" s="14" t="s">
        <v>10279</v>
      </c>
      <c r="H6862" s="1" t="s">
        <v>5</v>
      </c>
      <c r="I6862" s="17">
        <v>42552</v>
      </c>
    </row>
    <row r="6863" spans="1:9">
      <c r="A6863" s="16" t="s">
        <v>11378</v>
      </c>
      <c r="B6863" s="1" t="s">
        <v>2628</v>
      </c>
      <c r="C6863" s="1">
        <v>5</v>
      </c>
      <c r="D6863" s="1" t="s">
        <v>34</v>
      </c>
      <c r="E6863" s="1" t="s">
        <v>10</v>
      </c>
      <c r="F6863" s="1" t="s">
        <v>5091</v>
      </c>
      <c r="G6863" s="14" t="s">
        <v>6145</v>
      </c>
      <c r="H6863" s="1" t="s">
        <v>43</v>
      </c>
      <c r="I6863" s="17">
        <v>40023</v>
      </c>
    </row>
    <row r="6864" spans="1:9">
      <c r="A6864" s="16" t="s">
        <v>11398</v>
      </c>
      <c r="B6864" s="1" t="s">
        <v>2628</v>
      </c>
      <c r="C6864" s="1">
        <v>5</v>
      </c>
      <c r="D6864" s="1" t="s">
        <v>34</v>
      </c>
      <c r="E6864" s="1" t="s">
        <v>10</v>
      </c>
      <c r="F6864" s="1" t="s">
        <v>5091</v>
      </c>
      <c r="G6864" s="14" t="s">
        <v>6238</v>
      </c>
      <c r="H6864" s="1" t="s">
        <v>43</v>
      </c>
      <c r="I6864" s="17">
        <v>42370</v>
      </c>
    </row>
    <row r="6865" spans="1:9">
      <c r="A6865" s="16" t="s">
        <v>11400</v>
      </c>
      <c r="B6865" s="1" t="s">
        <v>2628</v>
      </c>
      <c r="C6865" s="1">
        <v>5</v>
      </c>
      <c r="D6865" s="1" t="s">
        <v>34</v>
      </c>
      <c r="E6865" s="1" t="s">
        <v>10</v>
      </c>
      <c r="F6865" s="1" t="s">
        <v>5091</v>
      </c>
      <c r="G6865" s="14" t="s">
        <v>6238</v>
      </c>
      <c r="H6865" s="1" t="s">
        <v>43</v>
      </c>
      <c r="I6865" s="17">
        <v>42370</v>
      </c>
    </row>
    <row r="6866" spans="1:9">
      <c r="A6866" s="16" t="s">
        <v>11402</v>
      </c>
      <c r="B6866" s="1" t="s">
        <v>2628</v>
      </c>
      <c r="C6866" s="1">
        <v>5</v>
      </c>
      <c r="D6866" s="1" t="s">
        <v>34</v>
      </c>
      <c r="E6866" s="1" t="s">
        <v>10</v>
      </c>
      <c r="F6866" s="1" t="s">
        <v>5091</v>
      </c>
      <c r="G6866" s="14" t="s">
        <v>10279</v>
      </c>
      <c r="H6866" s="1" t="s">
        <v>5</v>
      </c>
      <c r="I6866" s="17">
        <v>42552</v>
      </c>
    </row>
    <row r="6867" spans="1:9">
      <c r="A6867" s="16" t="s">
        <v>11410</v>
      </c>
      <c r="B6867" s="1" t="s">
        <v>2628</v>
      </c>
      <c r="C6867" s="1">
        <v>5</v>
      </c>
      <c r="D6867" s="1" t="s">
        <v>34</v>
      </c>
      <c r="E6867" s="1" t="s">
        <v>10</v>
      </c>
      <c r="F6867" s="1" t="s">
        <v>5091</v>
      </c>
      <c r="G6867" s="14" t="s">
        <v>4458</v>
      </c>
      <c r="H6867" s="1" t="s">
        <v>118</v>
      </c>
      <c r="I6867" s="17">
        <v>42571</v>
      </c>
    </row>
    <row r="6868" spans="1:9">
      <c r="A6868" s="16" t="s">
        <v>11415</v>
      </c>
      <c r="B6868" s="1" t="s">
        <v>2628</v>
      </c>
      <c r="C6868" s="1">
        <v>5</v>
      </c>
      <c r="D6868" s="1" t="s">
        <v>34</v>
      </c>
      <c r="E6868" s="1" t="s">
        <v>10</v>
      </c>
      <c r="F6868" s="1" t="s">
        <v>5091</v>
      </c>
      <c r="G6868" s="14" t="s">
        <v>11416</v>
      </c>
      <c r="H6868" s="1" t="s">
        <v>5</v>
      </c>
      <c r="I6868" s="17">
        <v>38231</v>
      </c>
    </row>
    <row r="6869" spans="1:9">
      <c r="A6869" s="16" t="s">
        <v>11426</v>
      </c>
      <c r="B6869" s="1" t="s">
        <v>2628</v>
      </c>
      <c r="C6869" s="1">
        <v>5</v>
      </c>
      <c r="D6869" s="1" t="s">
        <v>34</v>
      </c>
      <c r="E6869" s="1" t="s">
        <v>10</v>
      </c>
      <c r="F6869" s="1" t="s">
        <v>5091</v>
      </c>
      <c r="G6869" s="14" t="s">
        <v>11416</v>
      </c>
      <c r="H6869" s="1" t="s">
        <v>5</v>
      </c>
      <c r="I6869" s="17">
        <v>38250</v>
      </c>
    </row>
    <row r="6870" spans="1:9">
      <c r="A6870" s="16" t="s">
        <v>11436</v>
      </c>
      <c r="B6870" s="1" t="s">
        <v>2628</v>
      </c>
      <c r="C6870" s="1">
        <v>5</v>
      </c>
      <c r="D6870" s="1" t="s">
        <v>34</v>
      </c>
      <c r="E6870" s="1" t="s">
        <v>10</v>
      </c>
      <c r="F6870" s="1" t="s">
        <v>5091</v>
      </c>
      <c r="G6870" s="14" t="s">
        <v>6145</v>
      </c>
      <c r="H6870" s="1" t="s">
        <v>43</v>
      </c>
      <c r="I6870" s="17">
        <v>42577</v>
      </c>
    </row>
    <row r="6871" spans="1:9">
      <c r="A6871" s="16" t="s">
        <v>11437</v>
      </c>
      <c r="B6871" s="1" t="s">
        <v>2628</v>
      </c>
      <c r="C6871" s="1">
        <v>5</v>
      </c>
      <c r="D6871" s="1" t="s">
        <v>34</v>
      </c>
      <c r="E6871" s="1" t="s">
        <v>10</v>
      </c>
      <c r="F6871" s="1" t="s">
        <v>5091</v>
      </c>
      <c r="G6871" s="14" t="s">
        <v>6145</v>
      </c>
      <c r="H6871" s="1" t="s">
        <v>43</v>
      </c>
      <c r="I6871" s="17">
        <v>42577</v>
      </c>
    </row>
    <row r="6872" spans="1:9">
      <c r="A6872" s="16" t="s">
        <v>11438</v>
      </c>
      <c r="B6872" s="1" t="s">
        <v>2628</v>
      </c>
      <c r="C6872" s="1">
        <v>5</v>
      </c>
      <c r="D6872" s="1" t="s">
        <v>34</v>
      </c>
      <c r="E6872" s="1" t="s">
        <v>10</v>
      </c>
      <c r="F6872" s="1" t="s">
        <v>5091</v>
      </c>
      <c r="G6872" s="14" t="s">
        <v>6145</v>
      </c>
      <c r="H6872" s="1" t="s">
        <v>43</v>
      </c>
      <c r="I6872" s="17">
        <v>42577</v>
      </c>
    </row>
    <row r="6873" spans="1:9">
      <c r="A6873" s="16" t="s">
        <v>11439</v>
      </c>
      <c r="B6873" s="1" t="s">
        <v>2628</v>
      </c>
      <c r="C6873" s="1">
        <v>5</v>
      </c>
      <c r="D6873" s="1" t="s">
        <v>34</v>
      </c>
      <c r="E6873" s="1" t="s">
        <v>10</v>
      </c>
      <c r="F6873" s="1" t="s">
        <v>5091</v>
      </c>
      <c r="G6873" s="14" t="s">
        <v>6145</v>
      </c>
      <c r="H6873" s="1" t="s">
        <v>43</v>
      </c>
      <c r="I6873" s="17">
        <v>42576</v>
      </c>
    </row>
    <row r="6874" spans="1:9">
      <c r="A6874" s="16" t="s">
        <v>11440</v>
      </c>
      <c r="B6874" s="1" t="s">
        <v>2628</v>
      </c>
      <c r="C6874" s="1">
        <v>5</v>
      </c>
      <c r="D6874" s="1" t="s">
        <v>34</v>
      </c>
      <c r="E6874" s="1" t="s">
        <v>10</v>
      </c>
      <c r="F6874" s="1" t="s">
        <v>5091</v>
      </c>
      <c r="G6874" s="14" t="s">
        <v>6145</v>
      </c>
      <c r="H6874" s="1" t="s">
        <v>43</v>
      </c>
      <c r="I6874" s="17">
        <v>42576</v>
      </c>
    </row>
    <row r="6875" spans="1:9">
      <c r="A6875" s="16" t="s">
        <v>11441</v>
      </c>
      <c r="B6875" s="1" t="s">
        <v>2628</v>
      </c>
      <c r="C6875" s="1">
        <v>5</v>
      </c>
      <c r="D6875" s="1" t="s">
        <v>34</v>
      </c>
      <c r="E6875" s="1" t="s">
        <v>10</v>
      </c>
      <c r="F6875" s="1" t="s">
        <v>5091</v>
      </c>
      <c r="G6875" s="14" t="s">
        <v>6145</v>
      </c>
      <c r="H6875" s="1" t="s">
        <v>43</v>
      </c>
      <c r="I6875" s="17">
        <v>42576</v>
      </c>
    </row>
    <row r="6876" spans="1:9">
      <c r="A6876" s="16" t="s">
        <v>11442</v>
      </c>
      <c r="B6876" s="1" t="s">
        <v>2628</v>
      </c>
      <c r="C6876" s="1">
        <v>5</v>
      </c>
      <c r="D6876" s="1" t="s">
        <v>34</v>
      </c>
      <c r="E6876" s="1" t="s">
        <v>10</v>
      </c>
      <c r="F6876" s="1" t="s">
        <v>5091</v>
      </c>
      <c r="G6876" s="14" t="s">
        <v>6145</v>
      </c>
      <c r="H6876" s="1" t="s">
        <v>43</v>
      </c>
      <c r="I6876" s="17">
        <v>42576</v>
      </c>
    </row>
    <row r="6877" spans="1:9">
      <c r="A6877" s="16" t="s">
        <v>11573</v>
      </c>
      <c r="B6877" s="1" t="s">
        <v>2631</v>
      </c>
      <c r="C6877" s="1">
        <v>5</v>
      </c>
      <c r="D6877" s="1" t="s">
        <v>34</v>
      </c>
      <c r="E6877" s="1" t="s">
        <v>10</v>
      </c>
      <c r="F6877" s="1" t="s">
        <v>5091</v>
      </c>
      <c r="G6877" s="1" t="s">
        <v>6145</v>
      </c>
      <c r="H6877" s="1" t="s">
        <v>43</v>
      </c>
      <c r="I6877" s="17">
        <v>40830</v>
      </c>
    </row>
    <row r="6878" spans="1:9">
      <c r="A6878" s="16" t="s">
        <v>11574</v>
      </c>
      <c r="B6878" s="1" t="s">
        <v>2631</v>
      </c>
      <c r="C6878" s="1">
        <v>5</v>
      </c>
      <c r="D6878" s="1" t="s">
        <v>34</v>
      </c>
      <c r="E6878" s="1" t="s">
        <v>10</v>
      </c>
      <c r="F6878" s="1" t="s">
        <v>5091</v>
      </c>
      <c r="G6878" s="1" t="s">
        <v>6145</v>
      </c>
      <c r="H6878" s="1" t="s">
        <v>43</v>
      </c>
      <c r="I6878" s="17">
        <v>40830</v>
      </c>
    </row>
    <row r="6879" spans="1:9">
      <c r="A6879" s="16" t="s">
        <v>11578</v>
      </c>
      <c r="B6879" s="1" t="s">
        <v>2628</v>
      </c>
      <c r="C6879" s="1">
        <v>1652</v>
      </c>
      <c r="D6879" s="1" t="s">
        <v>34</v>
      </c>
      <c r="E6879" s="1" t="s">
        <v>10</v>
      </c>
      <c r="F6879" s="1" t="s">
        <v>5091</v>
      </c>
      <c r="G6879" s="14" t="s">
        <v>11360</v>
      </c>
      <c r="H6879" s="1" t="s">
        <v>5</v>
      </c>
      <c r="I6879" s="17">
        <v>38455</v>
      </c>
    </row>
    <row r="6880" spans="1:9">
      <c r="A6880" s="16" t="s">
        <v>11579</v>
      </c>
      <c r="B6880" s="1" t="s">
        <v>2628</v>
      </c>
      <c r="C6880" s="1">
        <v>5</v>
      </c>
      <c r="D6880" s="1" t="s">
        <v>34</v>
      </c>
      <c r="E6880" s="1" t="s">
        <v>10</v>
      </c>
      <c r="F6880" s="1" t="s">
        <v>5091</v>
      </c>
      <c r="G6880" s="14" t="s">
        <v>11580</v>
      </c>
      <c r="H6880" s="1" t="s">
        <v>5</v>
      </c>
      <c r="I6880" s="17">
        <v>38455</v>
      </c>
    </row>
    <row r="6881" spans="1:9">
      <c r="A6881" s="16" t="s">
        <v>11581</v>
      </c>
      <c r="B6881" s="1" t="s">
        <v>2628</v>
      </c>
      <c r="C6881" s="1">
        <v>5</v>
      </c>
      <c r="D6881" s="1" t="s">
        <v>34</v>
      </c>
      <c r="E6881" s="1" t="s">
        <v>10</v>
      </c>
      <c r="F6881" s="1" t="s">
        <v>5091</v>
      </c>
      <c r="G6881" s="14" t="s">
        <v>11580</v>
      </c>
      <c r="H6881" s="1" t="s">
        <v>5</v>
      </c>
      <c r="I6881" s="17">
        <v>38455</v>
      </c>
    </row>
    <row r="6882" spans="1:9">
      <c r="A6882" s="16" t="s">
        <v>11582</v>
      </c>
      <c r="B6882" s="1" t="s">
        <v>2628</v>
      </c>
      <c r="C6882" s="1">
        <v>5</v>
      </c>
      <c r="D6882" s="1" t="s">
        <v>34</v>
      </c>
      <c r="E6882" s="1" t="s">
        <v>10</v>
      </c>
      <c r="F6882" s="1" t="s">
        <v>5091</v>
      </c>
      <c r="G6882" s="14" t="s">
        <v>11583</v>
      </c>
      <c r="H6882" s="1" t="s">
        <v>5</v>
      </c>
      <c r="I6882" s="17">
        <v>42370</v>
      </c>
    </row>
    <row r="6883" spans="1:9">
      <c r="A6883" s="16" t="s">
        <v>11596</v>
      </c>
      <c r="B6883" s="1" t="s">
        <v>2628</v>
      </c>
      <c r="C6883" s="1">
        <v>5</v>
      </c>
      <c r="D6883" s="1" t="s">
        <v>34</v>
      </c>
      <c r="E6883" s="1" t="s">
        <v>10</v>
      </c>
      <c r="F6883" s="1" t="s">
        <v>5091</v>
      </c>
      <c r="G6883" s="14" t="s">
        <v>6145</v>
      </c>
      <c r="H6883" s="1" t="s">
        <v>43</v>
      </c>
      <c r="I6883" s="17">
        <v>42576</v>
      </c>
    </row>
    <row r="6884" spans="1:9">
      <c r="A6884" s="16" t="s">
        <v>11597</v>
      </c>
      <c r="B6884" s="1" t="s">
        <v>2628</v>
      </c>
      <c r="C6884" s="1">
        <v>5</v>
      </c>
      <c r="D6884" s="1" t="s">
        <v>34</v>
      </c>
      <c r="E6884" s="1" t="s">
        <v>10</v>
      </c>
      <c r="F6884" s="1" t="s">
        <v>5091</v>
      </c>
      <c r="G6884" s="14" t="s">
        <v>6145</v>
      </c>
      <c r="H6884" s="1" t="s">
        <v>43</v>
      </c>
      <c r="I6884" s="17">
        <v>42576</v>
      </c>
    </row>
    <row r="6885" spans="1:9">
      <c r="A6885" s="16" t="s">
        <v>11598</v>
      </c>
      <c r="B6885" s="1" t="s">
        <v>2628</v>
      </c>
      <c r="C6885" s="1">
        <v>5</v>
      </c>
      <c r="D6885" s="1" t="s">
        <v>34</v>
      </c>
      <c r="E6885" s="1" t="s">
        <v>10</v>
      </c>
      <c r="F6885" s="1" t="s">
        <v>5091</v>
      </c>
      <c r="G6885" s="14" t="s">
        <v>6145</v>
      </c>
      <c r="H6885" s="1" t="s">
        <v>43</v>
      </c>
      <c r="I6885" s="17">
        <v>42576</v>
      </c>
    </row>
    <row r="6886" spans="1:9">
      <c r="A6886" s="16" t="s">
        <v>11599</v>
      </c>
      <c r="B6886" s="1" t="s">
        <v>2628</v>
      </c>
      <c r="C6886" s="1">
        <v>5</v>
      </c>
      <c r="D6886" s="1" t="s">
        <v>34</v>
      </c>
      <c r="E6886" s="1" t="s">
        <v>10</v>
      </c>
      <c r="F6886" s="1" t="s">
        <v>5091</v>
      </c>
      <c r="G6886" s="14" t="s">
        <v>6145</v>
      </c>
      <c r="H6886" s="1" t="s">
        <v>43</v>
      </c>
      <c r="I6886" s="17">
        <v>42576</v>
      </c>
    </row>
    <row r="6887" spans="1:9">
      <c r="A6887" s="16" t="s">
        <v>11610</v>
      </c>
      <c r="B6887" s="1" t="s">
        <v>2628</v>
      </c>
      <c r="C6887" s="1">
        <v>5</v>
      </c>
      <c r="D6887" s="1" t="s">
        <v>34</v>
      </c>
      <c r="E6887" s="1" t="s">
        <v>10</v>
      </c>
      <c r="F6887" s="1" t="s">
        <v>5091</v>
      </c>
      <c r="G6887" s="14" t="s">
        <v>11133</v>
      </c>
      <c r="H6887" s="1" t="s">
        <v>5</v>
      </c>
      <c r="I6887" s="17">
        <v>38112</v>
      </c>
    </row>
    <row r="6888" spans="1:9">
      <c r="A6888" s="16" t="s">
        <v>11613</v>
      </c>
      <c r="B6888" s="1" t="s">
        <v>2628</v>
      </c>
      <c r="C6888" s="1">
        <v>5</v>
      </c>
      <c r="D6888" s="1" t="s">
        <v>34</v>
      </c>
      <c r="E6888" s="1" t="s">
        <v>10</v>
      </c>
      <c r="F6888" s="1" t="s">
        <v>5091</v>
      </c>
      <c r="G6888" s="14" t="s">
        <v>11133</v>
      </c>
      <c r="H6888" s="1" t="s">
        <v>5</v>
      </c>
      <c r="I6888" s="17">
        <v>38096</v>
      </c>
    </row>
    <row r="6889" spans="1:9">
      <c r="A6889" s="16" t="s">
        <v>11614</v>
      </c>
      <c r="B6889" s="1" t="s">
        <v>2628</v>
      </c>
      <c r="C6889" s="1">
        <v>5</v>
      </c>
      <c r="D6889" s="1" t="s">
        <v>34</v>
      </c>
      <c r="E6889" s="1" t="s">
        <v>10</v>
      </c>
      <c r="F6889" s="1" t="s">
        <v>5091</v>
      </c>
      <c r="G6889" s="14" t="s">
        <v>11615</v>
      </c>
      <c r="H6889" s="1" t="s">
        <v>5</v>
      </c>
      <c r="I6889" s="17">
        <v>40175</v>
      </c>
    </row>
    <row r="6890" spans="1:9">
      <c r="A6890" s="16" t="s">
        <v>11616</v>
      </c>
      <c r="B6890" s="1" t="s">
        <v>2628</v>
      </c>
      <c r="C6890" s="1">
        <v>5</v>
      </c>
      <c r="D6890" s="1" t="s">
        <v>34</v>
      </c>
      <c r="E6890" s="1" t="s">
        <v>10</v>
      </c>
      <c r="F6890" s="1" t="s">
        <v>5091</v>
      </c>
      <c r="G6890" s="14" t="s">
        <v>6530</v>
      </c>
      <c r="H6890" s="1" t="s">
        <v>43</v>
      </c>
      <c r="I6890" s="17">
        <v>40168</v>
      </c>
    </row>
    <row r="6891" spans="1:9">
      <c r="A6891" s="16" t="s">
        <v>11618</v>
      </c>
      <c r="B6891" s="1" t="s">
        <v>2628</v>
      </c>
      <c r="C6891" s="1">
        <v>5</v>
      </c>
      <c r="D6891" s="1" t="s">
        <v>34</v>
      </c>
      <c r="E6891" s="1" t="s">
        <v>10</v>
      </c>
      <c r="F6891" s="1" t="s">
        <v>5091</v>
      </c>
      <c r="G6891" s="14" t="s">
        <v>11133</v>
      </c>
      <c r="H6891" s="1" t="s">
        <v>5</v>
      </c>
      <c r="I6891" s="17">
        <v>38096</v>
      </c>
    </row>
    <row r="6892" spans="1:9">
      <c r="A6892" s="16" t="s">
        <v>11623</v>
      </c>
      <c r="B6892" s="1" t="s">
        <v>2631</v>
      </c>
      <c r="C6892" s="1">
        <v>5</v>
      </c>
      <c r="D6892" s="1" t="s">
        <v>34</v>
      </c>
      <c r="E6892" s="1" t="s">
        <v>10</v>
      </c>
      <c r="F6892" s="1" t="s">
        <v>5091</v>
      </c>
      <c r="G6892" s="14" t="s">
        <v>4458</v>
      </c>
      <c r="H6892" s="1" t="s">
        <v>118</v>
      </c>
      <c r="I6892" s="1" t="s">
        <v>4792</v>
      </c>
    </row>
    <row r="6893" spans="1:9">
      <c r="A6893" s="16" t="s">
        <v>11627</v>
      </c>
      <c r="B6893" s="1" t="s">
        <v>2628</v>
      </c>
      <c r="C6893" s="1">
        <v>5</v>
      </c>
      <c r="D6893" s="1" t="s">
        <v>34</v>
      </c>
      <c r="E6893" s="1" t="s">
        <v>10</v>
      </c>
      <c r="F6893" s="1" t="s">
        <v>5091</v>
      </c>
      <c r="G6893" s="14" t="s">
        <v>4458</v>
      </c>
      <c r="H6893" s="1" t="s">
        <v>118</v>
      </c>
      <c r="I6893" s="1" t="s">
        <v>4458</v>
      </c>
    </row>
    <row r="6894" spans="1:9">
      <c r="A6894" s="16" t="s">
        <v>11630</v>
      </c>
      <c r="B6894" s="1" t="s">
        <v>2628</v>
      </c>
      <c r="C6894" s="1">
        <v>5</v>
      </c>
      <c r="D6894" s="1" t="s">
        <v>34</v>
      </c>
      <c r="E6894" s="1" t="s">
        <v>10</v>
      </c>
      <c r="F6894" s="1" t="s">
        <v>5091</v>
      </c>
      <c r="G6894" s="14" t="s">
        <v>6236</v>
      </c>
      <c r="H6894" s="1" t="s">
        <v>43</v>
      </c>
      <c r="I6894" s="17">
        <v>41275</v>
      </c>
    </row>
    <row r="6895" spans="1:9">
      <c r="A6895" s="16" t="s">
        <v>11636</v>
      </c>
      <c r="B6895" s="1" t="s">
        <v>2628</v>
      </c>
      <c r="C6895" s="1">
        <v>5</v>
      </c>
      <c r="D6895" s="1" t="s">
        <v>34</v>
      </c>
      <c r="E6895" s="1" t="s">
        <v>10</v>
      </c>
      <c r="F6895" s="1" t="s">
        <v>5091</v>
      </c>
      <c r="G6895" s="14" t="s">
        <v>11637</v>
      </c>
      <c r="H6895" s="1" t="s">
        <v>5</v>
      </c>
      <c r="I6895" s="17">
        <v>38153</v>
      </c>
    </row>
    <row r="6896" spans="1:9">
      <c r="A6896" s="16" t="s">
        <v>11639</v>
      </c>
      <c r="B6896" s="1" t="s">
        <v>2628</v>
      </c>
      <c r="C6896" s="1">
        <v>5</v>
      </c>
      <c r="D6896" s="1" t="s">
        <v>34</v>
      </c>
      <c r="E6896" s="1" t="s">
        <v>10</v>
      </c>
      <c r="F6896" s="1" t="s">
        <v>5091</v>
      </c>
      <c r="G6896" s="14" t="s">
        <v>11133</v>
      </c>
      <c r="H6896" s="1" t="s">
        <v>5</v>
      </c>
      <c r="I6896" s="17">
        <v>38112</v>
      </c>
    </row>
    <row r="6897" spans="1:9">
      <c r="A6897" s="16" t="s">
        <v>11640</v>
      </c>
      <c r="B6897" s="1" t="s">
        <v>2628</v>
      </c>
      <c r="C6897" s="1">
        <v>5</v>
      </c>
      <c r="D6897" s="1" t="s">
        <v>34</v>
      </c>
      <c r="E6897" s="1" t="s">
        <v>10</v>
      </c>
      <c r="F6897" s="1" t="s">
        <v>5091</v>
      </c>
      <c r="G6897" s="14" t="s">
        <v>11133</v>
      </c>
      <c r="H6897" s="1" t="s">
        <v>5</v>
      </c>
      <c r="I6897" s="17">
        <v>38113</v>
      </c>
    </row>
    <row r="6898" spans="1:9">
      <c r="A6898" s="16" t="s">
        <v>11641</v>
      </c>
      <c r="B6898" s="1" t="s">
        <v>2628</v>
      </c>
      <c r="C6898" s="1">
        <v>5</v>
      </c>
      <c r="D6898" s="1" t="s">
        <v>34</v>
      </c>
      <c r="E6898" s="1" t="s">
        <v>10</v>
      </c>
      <c r="F6898" s="1" t="s">
        <v>5091</v>
      </c>
      <c r="G6898" s="14" t="s">
        <v>6145</v>
      </c>
      <c r="H6898" s="1" t="s">
        <v>43</v>
      </c>
      <c r="I6898" s="17">
        <v>42627</v>
      </c>
    </row>
    <row r="6899" spans="1:9">
      <c r="A6899" s="16" t="s">
        <v>11647</v>
      </c>
      <c r="B6899" s="1" t="s">
        <v>2628</v>
      </c>
      <c r="C6899" s="1">
        <v>5</v>
      </c>
      <c r="D6899" s="1" t="s">
        <v>34</v>
      </c>
      <c r="E6899" s="1" t="s">
        <v>10</v>
      </c>
      <c r="F6899" s="1" t="s">
        <v>5091</v>
      </c>
      <c r="G6899" s="14" t="s">
        <v>6236</v>
      </c>
      <c r="H6899" s="1" t="s">
        <v>43</v>
      </c>
      <c r="I6899" s="17">
        <v>40179</v>
      </c>
    </row>
    <row r="6900" spans="1:9">
      <c r="A6900" s="16" t="s">
        <v>11648</v>
      </c>
      <c r="B6900" s="1" t="s">
        <v>2628</v>
      </c>
      <c r="C6900" s="1">
        <v>5</v>
      </c>
      <c r="D6900" s="1" t="s">
        <v>34</v>
      </c>
      <c r="E6900" s="1" t="s">
        <v>10</v>
      </c>
      <c r="F6900" s="1" t="s">
        <v>5091</v>
      </c>
      <c r="G6900" s="14" t="s">
        <v>6236</v>
      </c>
      <c r="H6900" s="1" t="s">
        <v>43</v>
      </c>
      <c r="I6900" s="17">
        <v>40179</v>
      </c>
    </row>
    <row r="6901" spans="1:9">
      <c r="A6901" s="16" t="s">
        <v>11652</v>
      </c>
      <c r="B6901" s="1" t="s">
        <v>2628</v>
      </c>
      <c r="C6901" s="1">
        <v>2383</v>
      </c>
      <c r="D6901" s="1" t="s">
        <v>34</v>
      </c>
      <c r="E6901" s="1" t="s">
        <v>10</v>
      </c>
      <c r="F6901" s="1" t="s">
        <v>5091</v>
      </c>
      <c r="G6901" s="14" t="s">
        <v>6236</v>
      </c>
      <c r="H6901" s="1" t="s">
        <v>43</v>
      </c>
      <c r="I6901" s="17">
        <v>40909</v>
      </c>
    </row>
    <row r="6902" spans="1:9">
      <c r="A6902" s="16" t="s">
        <v>11661</v>
      </c>
      <c r="B6902" s="1" t="s">
        <v>2628</v>
      </c>
      <c r="C6902" s="1">
        <v>5</v>
      </c>
      <c r="D6902" s="1" t="s">
        <v>34</v>
      </c>
      <c r="E6902" s="1" t="s">
        <v>10</v>
      </c>
      <c r="F6902" s="1" t="s">
        <v>5091</v>
      </c>
      <c r="G6902" s="14" t="s">
        <v>4458</v>
      </c>
      <c r="H6902" s="1" t="s">
        <v>118</v>
      </c>
      <c r="I6902" s="1" t="s">
        <v>4458</v>
      </c>
    </row>
    <row r="6903" spans="1:9">
      <c r="A6903" s="16" t="s">
        <v>11669</v>
      </c>
      <c r="B6903" s="1" t="s">
        <v>2628</v>
      </c>
      <c r="C6903" s="1">
        <v>5</v>
      </c>
      <c r="D6903" s="1" t="s">
        <v>34</v>
      </c>
      <c r="E6903" s="1" t="s">
        <v>10</v>
      </c>
      <c r="F6903" s="1" t="s">
        <v>5091</v>
      </c>
      <c r="G6903" s="14" t="s">
        <v>6236</v>
      </c>
      <c r="H6903" s="1" t="s">
        <v>43</v>
      </c>
      <c r="I6903" s="17">
        <v>42005</v>
      </c>
    </row>
    <row r="6904" spans="1:9">
      <c r="A6904" s="16" t="s">
        <v>11678</v>
      </c>
      <c r="B6904" s="1" t="s">
        <v>2628</v>
      </c>
      <c r="C6904" s="1">
        <v>5</v>
      </c>
      <c r="D6904" s="1" t="s">
        <v>34</v>
      </c>
      <c r="E6904" s="1" t="s">
        <v>10</v>
      </c>
      <c r="F6904" s="1" t="s">
        <v>5091</v>
      </c>
      <c r="G6904" s="14" t="s">
        <v>10279</v>
      </c>
      <c r="H6904" s="1" t="s">
        <v>5</v>
      </c>
      <c r="I6904" s="17">
        <v>42370</v>
      </c>
    </row>
    <row r="6905" spans="1:9">
      <c r="A6905" s="16" t="s">
        <v>11689</v>
      </c>
      <c r="B6905" s="1" t="s">
        <v>2628</v>
      </c>
      <c r="C6905" s="1">
        <v>819</v>
      </c>
      <c r="D6905" s="1" t="s">
        <v>34</v>
      </c>
      <c r="E6905" s="1" t="s">
        <v>10</v>
      </c>
      <c r="F6905" s="1" t="s">
        <v>5091</v>
      </c>
      <c r="G6905" s="14" t="s">
        <v>7481</v>
      </c>
      <c r="H6905" s="1" t="s">
        <v>5</v>
      </c>
      <c r="I6905" s="17">
        <v>40544</v>
      </c>
    </row>
    <row r="6906" spans="1:9">
      <c r="A6906" s="16" t="s">
        <v>11690</v>
      </c>
      <c r="B6906" s="1" t="s">
        <v>2628</v>
      </c>
      <c r="C6906" s="1">
        <v>819</v>
      </c>
      <c r="D6906" s="1" t="s">
        <v>34</v>
      </c>
      <c r="E6906" s="1" t="s">
        <v>10</v>
      </c>
      <c r="F6906" s="1" t="s">
        <v>5091</v>
      </c>
      <c r="G6906" s="14" t="s">
        <v>8527</v>
      </c>
      <c r="H6906" s="1" t="s">
        <v>5</v>
      </c>
      <c r="I6906" s="17">
        <v>40544</v>
      </c>
    </row>
    <row r="6907" spans="1:9">
      <c r="A6907" s="16" t="s">
        <v>11691</v>
      </c>
      <c r="B6907" s="1" t="s">
        <v>2628</v>
      </c>
      <c r="C6907" s="1">
        <v>819</v>
      </c>
      <c r="D6907" s="1" t="s">
        <v>34</v>
      </c>
      <c r="E6907" s="1" t="s">
        <v>10</v>
      </c>
      <c r="F6907" s="1" t="s">
        <v>5091</v>
      </c>
      <c r="G6907" s="14" t="s">
        <v>8527</v>
      </c>
      <c r="H6907" s="1" t="s">
        <v>5</v>
      </c>
      <c r="I6907" s="17">
        <v>40544</v>
      </c>
    </row>
    <row r="6908" spans="1:9">
      <c r="A6908" s="16" t="s">
        <v>11715</v>
      </c>
      <c r="B6908" s="1" t="s">
        <v>2628</v>
      </c>
      <c r="C6908" s="1">
        <v>5</v>
      </c>
      <c r="D6908" s="1" t="s">
        <v>34</v>
      </c>
      <c r="E6908" s="1" t="s">
        <v>10</v>
      </c>
      <c r="F6908" s="1" t="s">
        <v>5091</v>
      </c>
      <c r="G6908" s="14" t="s">
        <v>11583</v>
      </c>
      <c r="H6908" s="1" t="s">
        <v>5</v>
      </c>
      <c r="I6908" s="17">
        <v>42614</v>
      </c>
    </row>
    <row r="6909" spans="1:9">
      <c r="A6909" s="16" t="s">
        <v>11727</v>
      </c>
      <c r="B6909" s="1" t="s">
        <v>2628</v>
      </c>
      <c r="C6909" s="1">
        <v>5</v>
      </c>
      <c r="D6909" s="1" t="s">
        <v>34</v>
      </c>
      <c r="E6909" s="1" t="s">
        <v>10</v>
      </c>
      <c r="F6909" s="1" t="s">
        <v>5091</v>
      </c>
      <c r="G6909" s="14" t="s">
        <v>6145</v>
      </c>
      <c r="H6909" s="1" t="s">
        <v>43</v>
      </c>
      <c r="I6909" s="17">
        <v>37931</v>
      </c>
    </row>
    <row r="6910" spans="1:9">
      <c r="A6910" s="16" t="s">
        <v>11732</v>
      </c>
      <c r="B6910" s="1" t="s">
        <v>2628</v>
      </c>
      <c r="C6910" s="1">
        <v>5</v>
      </c>
      <c r="D6910" s="1" t="s">
        <v>34</v>
      </c>
      <c r="E6910" s="1" t="s">
        <v>10</v>
      </c>
      <c r="F6910" s="1" t="s">
        <v>5091</v>
      </c>
      <c r="G6910" s="14" t="s">
        <v>11733</v>
      </c>
      <c r="H6910" s="1" t="s">
        <v>5</v>
      </c>
      <c r="I6910" s="17">
        <v>40175</v>
      </c>
    </row>
    <row r="6911" spans="1:9">
      <c r="A6911" s="16" t="s">
        <v>11734</v>
      </c>
      <c r="B6911" s="1" t="s">
        <v>2628</v>
      </c>
      <c r="C6911" s="1">
        <v>5</v>
      </c>
      <c r="D6911" s="1" t="s">
        <v>34</v>
      </c>
      <c r="E6911" s="1" t="s">
        <v>10</v>
      </c>
      <c r="F6911" s="1" t="s">
        <v>5091</v>
      </c>
      <c r="G6911" s="14" t="s">
        <v>6606</v>
      </c>
      <c r="H6911" s="1" t="s">
        <v>5</v>
      </c>
      <c r="I6911" s="17">
        <v>38337</v>
      </c>
    </row>
    <row r="6912" spans="1:9">
      <c r="A6912" s="16" t="s">
        <v>11741</v>
      </c>
      <c r="B6912" s="1" t="s">
        <v>2628</v>
      </c>
      <c r="C6912" s="1">
        <v>5</v>
      </c>
      <c r="D6912" s="1" t="s">
        <v>34</v>
      </c>
      <c r="E6912" s="1" t="s">
        <v>10</v>
      </c>
      <c r="F6912" s="1" t="s">
        <v>5091</v>
      </c>
      <c r="G6912" s="14" t="s">
        <v>11742</v>
      </c>
      <c r="H6912" s="1" t="s">
        <v>5</v>
      </c>
      <c r="I6912" s="17">
        <v>42641</v>
      </c>
    </row>
    <row r="6913" spans="1:9">
      <c r="A6913" s="16" t="s">
        <v>11743</v>
      </c>
      <c r="B6913" s="1" t="s">
        <v>2628</v>
      </c>
      <c r="C6913" s="1">
        <v>5</v>
      </c>
      <c r="D6913" s="1" t="s">
        <v>34</v>
      </c>
      <c r="E6913" s="1" t="s">
        <v>10</v>
      </c>
      <c r="F6913" s="1" t="s">
        <v>5091</v>
      </c>
      <c r="G6913" s="14" t="s">
        <v>11742</v>
      </c>
      <c r="H6913" s="1" t="s">
        <v>5</v>
      </c>
      <c r="I6913" s="17">
        <v>42641</v>
      </c>
    </row>
    <row r="6914" spans="1:9">
      <c r="A6914" s="16" t="s">
        <v>11744</v>
      </c>
      <c r="B6914" s="1" t="s">
        <v>2628</v>
      </c>
      <c r="C6914" s="1">
        <v>5</v>
      </c>
      <c r="D6914" s="1" t="s">
        <v>34</v>
      </c>
      <c r="E6914" s="1" t="s">
        <v>10</v>
      </c>
      <c r="F6914" s="1" t="s">
        <v>5091</v>
      </c>
      <c r="G6914" s="14" t="s">
        <v>11745</v>
      </c>
      <c r="H6914" s="1" t="s">
        <v>118</v>
      </c>
      <c r="I6914" s="17">
        <v>42649</v>
      </c>
    </row>
    <row r="6915" spans="1:9">
      <c r="A6915" s="16" t="s">
        <v>11746</v>
      </c>
      <c r="B6915" s="1" t="s">
        <v>2628</v>
      </c>
      <c r="C6915" s="1">
        <v>5</v>
      </c>
      <c r="D6915" s="1" t="s">
        <v>34</v>
      </c>
      <c r="E6915" s="1" t="s">
        <v>10</v>
      </c>
      <c r="F6915" s="1" t="s">
        <v>5091</v>
      </c>
      <c r="G6915" s="14" t="s">
        <v>11742</v>
      </c>
      <c r="H6915" s="1" t="s">
        <v>5</v>
      </c>
      <c r="I6915" s="17">
        <v>42641</v>
      </c>
    </row>
    <row r="6916" spans="1:9">
      <c r="A6916" s="16" t="s">
        <v>11747</v>
      </c>
      <c r="B6916" s="1" t="s">
        <v>2628</v>
      </c>
      <c r="C6916" s="1">
        <v>5</v>
      </c>
      <c r="D6916" s="1" t="s">
        <v>34</v>
      </c>
      <c r="E6916" s="1" t="s">
        <v>10</v>
      </c>
      <c r="F6916" s="1" t="s">
        <v>5091</v>
      </c>
      <c r="G6916" s="14" t="s">
        <v>11745</v>
      </c>
      <c r="H6916" s="1" t="s">
        <v>118</v>
      </c>
      <c r="I6916" s="17">
        <v>42649</v>
      </c>
    </row>
    <row r="6917" spans="1:9">
      <c r="A6917" s="16" t="s">
        <v>11748</v>
      </c>
      <c r="B6917" s="1" t="s">
        <v>2628</v>
      </c>
      <c r="C6917" s="1">
        <v>5</v>
      </c>
      <c r="D6917" s="1" t="s">
        <v>34</v>
      </c>
      <c r="E6917" s="1" t="s">
        <v>10</v>
      </c>
      <c r="F6917" s="1" t="s">
        <v>5091</v>
      </c>
      <c r="G6917" s="14" t="s">
        <v>11742</v>
      </c>
      <c r="H6917" s="1" t="s">
        <v>5</v>
      </c>
      <c r="I6917" s="17">
        <v>42641</v>
      </c>
    </row>
    <row r="6918" spans="1:9">
      <c r="A6918" s="16" t="s">
        <v>11749</v>
      </c>
      <c r="B6918" s="1" t="s">
        <v>2628</v>
      </c>
      <c r="C6918" s="1">
        <v>5</v>
      </c>
      <c r="D6918" s="1" t="s">
        <v>34</v>
      </c>
      <c r="E6918" s="1" t="s">
        <v>10</v>
      </c>
      <c r="F6918" s="1" t="s">
        <v>5091</v>
      </c>
      <c r="G6918" s="14" t="s">
        <v>11745</v>
      </c>
      <c r="H6918" s="1" t="s">
        <v>118</v>
      </c>
      <c r="I6918" s="17">
        <v>42649</v>
      </c>
    </row>
    <row r="6919" spans="1:9">
      <c r="A6919" s="16" t="s">
        <v>11750</v>
      </c>
      <c r="B6919" s="1" t="s">
        <v>2628</v>
      </c>
      <c r="C6919" s="1">
        <v>5</v>
      </c>
      <c r="D6919" s="1" t="s">
        <v>34</v>
      </c>
      <c r="E6919" s="1" t="s">
        <v>10</v>
      </c>
      <c r="F6919" s="1" t="s">
        <v>5091</v>
      </c>
      <c r="G6919" s="14" t="s">
        <v>11745</v>
      </c>
      <c r="H6919" s="1" t="s">
        <v>118</v>
      </c>
      <c r="I6919" s="17">
        <v>42649</v>
      </c>
    </row>
    <row r="6920" spans="1:9">
      <c r="A6920" s="16" t="s">
        <v>11751</v>
      </c>
      <c r="B6920" s="1" t="s">
        <v>2628</v>
      </c>
      <c r="C6920" s="1">
        <v>5</v>
      </c>
      <c r="D6920" s="1" t="s">
        <v>34</v>
      </c>
      <c r="E6920" s="1" t="s">
        <v>10</v>
      </c>
      <c r="F6920" s="1" t="s">
        <v>5091</v>
      </c>
      <c r="G6920" s="14" t="s">
        <v>11745</v>
      </c>
      <c r="H6920" s="1" t="s">
        <v>118</v>
      </c>
      <c r="I6920" s="17">
        <v>42649</v>
      </c>
    </row>
    <row r="6921" spans="1:9">
      <c r="A6921" s="16" t="s">
        <v>11752</v>
      </c>
      <c r="B6921" s="1" t="s">
        <v>2628</v>
      </c>
      <c r="C6921" s="1">
        <v>5</v>
      </c>
      <c r="D6921" s="1" t="s">
        <v>34</v>
      </c>
      <c r="E6921" s="1" t="s">
        <v>10</v>
      </c>
      <c r="F6921" s="1" t="s">
        <v>5091</v>
      </c>
      <c r="G6921" s="14" t="s">
        <v>11745</v>
      </c>
      <c r="H6921" s="1" t="s">
        <v>118</v>
      </c>
      <c r="I6921" s="17">
        <v>42649</v>
      </c>
    </row>
    <row r="6922" spans="1:9">
      <c r="A6922" s="16" t="s">
        <v>11753</v>
      </c>
      <c r="B6922" s="1" t="s">
        <v>2628</v>
      </c>
      <c r="C6922" s="1">
        <v>5</v>
      </c>
      <c r="D6922" s="1" t="s">
        <v>34</v>
      </c>
      <c r="E6922" s="1" t="s">
        <v>10</v>
      </c>
      <c r="F6922" s="1" t="s">
        <v>5091</v>
      </c>
      <c r="G6922" s="14" t="s">
        <v>11745</v>
      </c>
      <c r="H6922" s="1" t="s">
        <v>118</v>
      </c>
      <c r="I6922" s="17">
        <v>42649</v>
      </c>
    </row>
    <row r="6923" spans="1:9">
      <c r="A6923" s="16" t="s">
        <v>11754</v>
      </c>
      <c r="B6923" s="1" t="s">
        <v>2628</v>
      </c>
      <c r="C6923" s="1">
        <v>5</v>
      </c>
      <c r="D6923" s="1" t="s">
        <v>34</v>
      </c>
      <c r="E6923" s="1" t="s">
        <v>10</v>
      </c>
      <c r="F6923" s="1" t="s">
        <v>5091</v>
      </c>
      <c r="G6923" s="14" t="s">
        <v>11745</v>
      </c>
      <c r="H6923" s="1" t="s">
        <v>118</v>
      </c>
      <c r="I6923" s="17">
        <v>42649</v>
      </c>
    </row>
    <row r="6924" spans="1:9">
      <c r="A6924" s="16" t="s">
        <v>11755</v>
      </c>
      <c r="B6924" s="1" t="s">
        <v>2628</v>
      </c>
      <c r="C6924" s="1">
        <v>5</v>
      </c>
      <c r="D6924" s="1" t="s">
        <v>34</v>
      </c>
      <c r="E6924" s="1" t="s">
        <v>10</v>
      </c>
      <c r="F6924" s="1" t="s">
        <v>5091</v>
      </c>
      <c r="G6924" s="14" t="s">
        <v>11745</v>
      </c>
      <c r="H6924" s="1" t="s">
        <v>118</v>
      </c>
      <c r="I6924" s="17">
        <v>42649</v>
      </c>
    </row>
    <row r="6925" spans="1:9">
      <c r="A6925" s="16" t="s">
        <v>11756</v>
      </c>
      <c r="B6925" s="1" t="s">
        <v>2628</v>
      </c>
      <c r="C6925" s="1">
        <v>5</v>
      </c>
      <c r="D6925" s="1" t="s">
        <v>34</v>
      </c>
      <c r="E6925" s="1" t="s">
        <v>10</v>
      </c>
      <c r="F6925" s="1" t="s">
        <v>5091</v>
      </c>
      <c r="G6925" s="14" t="s">
        <v>11745</v>
      </c>
      <c r="H6925" s="1" t="s">
        <v>118</v>
      </c>
      <c r="I6925" s="17">
        <v>42649</v>
      </c>
    </row>
    <row r="6926" spans="1:9">
      <c r="A6926" s="16" t="s">
        <v>11757</v>
      </c>
      <c r="B6926" s="1" t="s">
        <v>2628</v>
      </c>
      <c r="C6926" s="1">
        <v>5</v>
      </c>
      <c r="D6926" s="1" t="s">
        <v>34</v>
      </c>
      <c r="E6926" s="1" t="s">
        <v>10</v>
      </c>
      <c r="F6926" s="1" t="s">
        <v>5091</v>
      </c>
      <c r="G6926" s="14" t="s">
        <v>11745</v>
      </c>
      <c r="H6926" s="1" t="s">
        <v>118</v>
      </c>
      <c r="I6926" s="17">
        <v>42649</v>
      </c>
    </row>
    <row r="6927" spans="1:9">
      <c r="A6927" s="16" t="s">
        <v>11769</v>
      </c>
      <c r="B6927" s="1" t="s">
        <v>2628</v>
      </c>
      <c r="C6927" s="1">
        <v>5</v>
      </c>
      <c r="D6927" s="1" t="s">
        <v>34</v>
      </c>
      <c r="E6927" s="1" t="s">
        <v>10</v>
      </c>
      <c r="F6927" s="1" t="s">
        <v>5091</v>
      </c>
      <c r="G6927" s="14" t="s">
        <v>7497</v>
      </c>
      <c r="H6927" s="1" t="s">
        <v>5</v>
      </c>
      <c r="I6927" s="17">
        <v>40182</v>
      </c>
    </row>
    <row r="6928" spans="1:9">
      <c r="A6928" s="16" t="s">
        <v>11770</v>
      </c>
      <c r="B6928" s="1" t="s">
        <v>2628</v>
      </c>
      <c r="C6928" s="1">
        <v>5</v>
      </c>
      <c r="D6928" s="1" t="s">
        <v>34</v>
      </c>
      <c r="E6928" s="1" t="s">
        <v>10</v>
      </c>
      <c r="F6928" s="1" t="s">
        <v>5091</v>
      </c>
      <c r="G6928" s="14" t="s">
        <v>6530</v>
      </c>
      <c r="H6928" s="1" t="s">
        <v>43</v>
      </c>
      <c r="I6928" s="17">
        <v>40189</v>
      </c>
    </row>
    <row r="6929" spans="1:9">
      <c r="A6929" s="16" t="s">
        <v>11771</v>
      </c>
      <c r="B6929" s="1" t="s">
        <v>2628</v>
      </c>
      <c r="C6929" s="1">
        <v>5</v>
      </c>
      <c r="D6929" s="1" t="s">
        <v>34</v>
      </c>
      <c r="E6929" s="1" t="s">
        <v>10</v>
      </c>
      <c r="F6929" s="1" t="s">
        <v>5091</v>
      </c>
      <c r="G6929" s="14" t="s">
        <v>11772</v>
      </c>
      <c r="H6929" s="1" t="s">
        <v>43</v>
      </c>
      <c r="I6929" s="17">
        <v>40245</v>
      </c>
    </row>
    <row r="6930" spans="1:9">
      <c r="A6930" s="16" t="s">
        <v>11786</v>
      </c>
      <c r="B6930" s="1" t="s">
        <v>2628</v>
      </c>
      <c r="C6930" s="1">
        <v>5</v>
      </c>
      <c r="D6930" s="1" t="s">
        <v>34</v>
      </c>
      <c r="E6930" s="1" t="s">
        <v>10</v>
      </c>
      <c r="F6930" s="1" t="s">
        <v>5091</v>
      </c>
      <c r="G6930" s="14" t="s">
        <v>9891</v>
      </c>
      <c r="H6930" s="1" t="s">
        <v>5</v>
      </c>
      <c r="I6930" s="17">
        <v>37704</v>
      </c>
    </row>
    <row r="6931" spans="1:9">
      <c r="A6931" s="16" t="s">
        <v>11788</v>
      </c>
      <c r="B6931" s="1" t="s">
        <v>2628</v>
      </c>
      <c r="C6931" s="1">
        <v>5</v>
      </c>
      <c r="D6931" s="1" t="s">
        <v>34</v>
      </c>
      <c r="E6931" s="1" t="s">
        <v>10</v>
      </c>
      <c r="F6931" s="1" t="s">
        <v>5091</v>
      </c>
      <c r="G6931" s="14" t="s">
        <v>11789</v>
      </c>
      <c r="H6931" s="1" t="s">
        <v>5</v>
      </c>
      <c r="I6931" s="17">
        <v>40336</v>
      </c>
    </row>
    <row r="6932" spans="1:9">
      <c r="A6932" s="16" t="s">
        <v>11799</v>
      </c>
      <c r="B6932" s="1" t="s">
        <v>2628</v>
      </c>
      <c r="C6932" s="1">
        <v>5</v>
      </c>
      <c r="D6932" s="1" t="s">
        <v>34</v>
      </c>
      <c r="E6932" s="1" t="s">
        <v>10</v>
      </c>
      <c r="F6932" s="1" t="s">
        <v>5091</v>
      </c>
      <c r="G6932" s="14" t="s">
        <v>9561</v>
      </c>
      <c r="H6932" s="1" t="s">
        <v>5</v>
      </c>
      <c r="I6932" s="17">
        <v>37617</v>
      </c>
    </row>
    <row r="6933" spans="1:9">
      <c r="A6933" s="16" t="s">
        <v>11812</v>
      </c>
      <c r="B6933" s="1" t="s">
        <v>2628</v>
      </c>
      <c r="C6933" s="1">
        <v>5</v>
      </c>
      <c r="D6933" s="1" t="s">
        <v>34</v>
      </c>
      <c r="E6933" s="1" t="s">
        <v>10</v>
      </c>
      <c r="F6933" s="1" t="s">
        <v>5091</v>
      </c>
      <c r="G6933" s="14" t="s">
        <v>4803</v>
      </c>
      <c r="H6933" s="1" t="s">
        <v>5</v>
      </c>
      <c r="I6933" s="17">
        <v>42339</v>
      </c>
    </row>
    <row r="6934" spans="1:9">
      <c r="A6934" s="16" t="s">
        <v>11813</v>
      </c>
      <c r="B6934" s="1" t="s">
        <v>2628</v>
      </c>
      <c r="C6934" s="1">
        <v>5</v>
      </c>
      <c r="D6934" s="1" t="s">
        <v>34</v>
      </c>
      <c r="E6934" s="1" t="s">
        <v>10</v>
      </c>
      <c r="F6934" s="1" t="s">
        <v>5091</v>
      </c>
      <c r="G6934" s="14" t="s">
        <v>4803</v>
      </c>
      <c r="H6934" s="1" t="s">
        <v>5</v>
      </c>
      <c r="I6934" s="17">
        <v>42339</v>
      </c>
    </row>
    <row r="6935" spans="1:9">
      <c r="A6935" s="16" t="s">
        <v>11814</v>
      </c>
      <c r="B6935" s="1" t="s">
        <v>2628</v>
      </c>
      <c r="C6935" s="1">
        <v>5</v>
      </c>
      <c r="D6935" s="1" t="s">
        <v>34</v>
      </c>
      <c r="E6935" s="1" t="s">
        <v>10</v>
      </c>
      <c r="F6935" s="1" t="s">
        <v>5091</v>
      </c>
      <c r="G6935" s="14" t="s">
        <v>4803</v>
      </c>
      <c r="H6935" s="1" t="s">
        <v>5</v>
      </c>
      <c r="I6935" s="17">
        <v>42339</v>
      </c>
    </row>
    <row r="6936" spans="1:9">
      <c r="A6936" s="16" t="s">
        <v>11815</v>
      </c>
      <c r="B6936" s="1" t="s">
        <v>2628</v>
      </c>
      <c r="C6936" s="1">
        <v>5</v>
      </c>
      <c r="D6936" s="1" t="s">
        <v>34</v>
      </c>
      <c r="E6936" s="1" t="s">
        <v>10</v>
      </c>
      <c r="F6936" s="1" t="s">
        <v>5091</v>
      </c>
      <c r="G6936" s="14" t="s">
        <v>4803</v>
      </c>
      <c r="H6936" s="1" t="s">
        <v>5</v>
      </c>
      <c r="I6936" s="17">
        <v>42339</v>
      </c>
    </row>
    <row r="6937" spans="1:9">
      <c r="A6937" s="16" t="s">
        <v>11817</v>
      </c>
      <c r="B6937" s="1" t="s">
        <v>2628</v>
      </c>
      <c r="C6937" s="1">
        <v>5</v>
      </c>
      <c r="D6937" s="1" t="s">
        <v>34</v>
      </c>
      <c r="E6937" s="1" t="s">
        <v>10</v>
      </c>
      <c r="F6937" s="1" t="s">
        <v>5091</v>
      </c>
      <c r="G6937" s="14" t="s">
        <v>4803</v>
      </c>
      <c r="H6937" s="1" t="s">
        <v>5</v>
      </c>
      <c r="I6937" s="17">
        <v>42339</v>
      </c>
    </row>
    <row r="6938" spans="1:9">
      <c r="A6938" s="16" t="s">
        <v>11823</v>
      </c>
      <c r="B6938" s="1" t="s">
        <v>2628</v>
      </c>
      <c r="C6938" s="1">
        <v>5</v>
      </c>
      <c r="D6938" s="1" t="s">
        <v>34</v>
      </c>
      <c r="E6938" s="1" t="s">
        <v>10</v>
      </c>
      <c r="F6938" s="1" t="s">
        <v>5091</v>
      </c>
      <c r="G6938" s="14" t="s">
        <v>11583</v>
      </c>
      <c r="H6938" s="1" t="s">
        <v>5</v>
      </c>
      <c r="I6938" s="17">
        <v>42614</v>
      </c>
    </row>
    <row r="6939" spans="1:9">
      <c r="A6939" s="16" t="s">
        <v>11826</v>
      </c>
      <c r="B6939" s="1" t="s">
        <v>2628</v>
      </c>
      <c r="C6939" s="1">
        <v>5</v>
      </c>
      <c r="D6939" s="1" t="s">
        <v>34</v>
      </c>
      <c r="E6939" s="1" t="s">
        <v>10</v>
      </c>
      <c r="F6939" s="1" t="s">
        <v>5091</v>
      </c>
      <c r="G6939" s="14" t="s">
        <v>6145</v>
      </c>
      <c r="H6939" s="1" t="s">
        <v>43</v>
      </c>
      <c r="I6939" s="17">
        <v>42667</v>
      </c>
    </row>
    <row r="6940" spans="1:9">
      <c r="A6940" s="16" t="s">
        <v>11838</v>
      </c>
      <c r="B6940" s="1" t="s">
        <v>2628</v>
      </c>
      <c r="C6940" s="1">
        <v>5</v>
      </c>
      <c r="D6940" s="1" t="s">
        <v>34</v>
      </c>
      <c r="E6940" s="1" t="s">
        <v>10</v>
      </c>
      <c r="F6940" s="1" t="s">
        <v>5091</v>
      </c>
      <c r="G6940" s="14" t="s">
        <v>6145</v>
      </c>
      <c r="H6940" s="1" t="s">
        <v>43</v>
      </c>
      <c r="I6940" s="17">
        <v>42660</v>
      </c>
    </row>
    <row r="6941" spans="1:9">
      <c r="A6941" s="16" t="s">
        <v>11839</v>
      </c>
      <c r="B6941" s="1" t="s">
        <v>2628</v>
      </c>
      <c r="C6941" s="1">
        <v>5</v>
      </c>
      <c r="D6941" s="1" t="s">
        <v>34</v>
      </c>
      <c r="E6941" s="1" t="s">
        <v>10</v>
      </c>
      <c r="F6941" s="1" t="s">
        <v>5091</v>
      </c>
      <c r="G6941" s="14" t="s">
        <v>6145</v>
      </c>
      <c r="H6941" s="1" t="s">
        <v>43</v>
      </c>
      <c r="I6941" s="17">
        <v>42660</v>
      </c>
    </row>
    <row r="6942" spans="1:9">
      <c r="A6942" s="16" t="s">
        <v>11840</v>
      </c>
      <c r="B6942" s="1" t="s">
        <v>2628</v>
      </c>
      <c r="C6942" s="1">
        <v>5</v>
      </c>
      <c r="D6942" s="1" t="s">
        <v>34</v>
      </c>
      <c r="E6942" s="1" t="s">
        <v>10</v>
      </c>
      <c r="F6942" s="1" t="s">
        <v>5091</v>
      </c>
      <c r="G6942" s="14" t="s">
        <v>6145</v>
      </c>
      <c r="H6942" s="1" t="s">
        <v>43</v>
      </c>
      <c r="I6942" s="17">
        <v>42660</v>
      </c>
    </row>
    <row r="6943" spans="1:9">
      <c r="A6943" s="16" t="s">
        <v>11841</v>
      </c>
      <c r="B6943" s="1" t="s">
        <v>2628</v>
      </c>
      <c r="C6943" s="1">
        <v>5</v>
      </c>
      <c r="D6943" s="1" t="s">
        <v>34</v>
      </c>
      <c r="E6943" s="1" t="s">
        <v>10</v>
      </c>
      <c r="F6943" s="1" t="s">
        <v>5091</v>
      </c>
      <c r="G6943" s="14" t="s">
        <v>6145</v>
      </c>
      <c r="H6943" s="1" t="s">
        <v>43</v>
      </c>
      <c r="I6943" s="17">
        <v>42660</v>
      </c>
    </row>
    <row r="6944" spans="1:9">
      <c r="A6944" s="16" t="s">
        <v>11842</v>
      </c>
      <c r="B6944" s="1" t="s">
        <v>2628</v>
      </c>
      <c r="C6944" s="1">
        <v>5</v>
      </c>
      <c r="D6944" s="1" t="s">
        <v>34</v>
      </c>
      <c r="E6944" s="1" t="s">
        <v>10</v>
      </c>
      <c r="F6944" s="1" t="s">
        <v>5091</v>
      </c>
      <c r="G6944" s="14" t="s">
        <v>6145</v>
      </c>
      <c r="H6944" s="1" t="s">
        <v>43</v>
      </c>
      <c r="I6944" s="17">
        <v>42660</v>
      </c>
    </row>
    <row r="6945" spans="1:9">
      <c r="A6945" s="16" t="s">
        <v>11844</v>
      </c>
      <c r="B6945" s="1" t="s">
        <v>2628</v>
      </c>
      <c r="C6945" s="1">
        <v>5</v>
      </c>
      <c r="D6945" s="1" t="s">
        <v>34</v>
      </c>
      <c r="E6945" s="1" t="s">
        <v>10</v>
      </c>
      <c r="F6945" s="1" t="s">
        <v>5091</v>
      </c>
      <c r="G6945" s="14" t="s">
        <v>6145</v>
      </c>
      <c r="H6945" s="1" t="s">
        <v>43</v>
      </c>
      <c r="I6945" s="17">
        <v>42660</v>
      </c>
    </row>
    <row r="6946" spans="1:9">
      <c r="A6946" s="16" t="s">
        <v>11845</v>
      </c>
      <c r="B6946" s="1" t="s">
        <v>2628</v>
      </c>
      <c r="C6946" s="1">
        <v>5</v>
      </c>
      <c r="D6946" s="1" t="s">
        <v>34</v>
      </c>
      <c r="E6946" s="1" t="s">
        <v>10</v>
      </c>
      <c r="F6946" s="1" t="s">
        <v>5091</v>
      </c>
      <c r="G6946" s="14" t="s">
        <v>6145</v>
      </c>
      <c r="H6946" s="1" t="s">
        <v>43</v>
      </c>
      <c r="I6946" s="17">
        <v>42660</v>
      </c>
    </row>
    <row r="6947" spans="1:9">
      <c r="A6947" s="16" t="s">
        <v>11846</v>
      </c>
      <c r="B6947" s="1" t="s">
        <v>2628</v>
      </c>
      <c r="C6947" s="1">
        <v>5</v>
      </c>
      <c r="D6947" s="1" t="s">
        <v>34</v>
      </c>
      <c r="E6947" s="1" t="s">
        <v>10</v>
      </c>
      <c r="F6947" s="1" t="s">
        <v>5091</v>
      </c>
      <c r="G6947" s="14" t="s">
        <v>6145</v>
      </c>
      <c r="H6947" s="1" t="s">
        <v>43</v>
      </c>
      <c r="I6947" s="17">
        <v>42660</v>
      </c>
    </row>
    <row r="6948" spans="1:9">
      <c r="A6948" s="16" t="s">
        <v>11848</v>
      </c>
      <c r="B6948" s="1" t="s">
        <v>2628</v>
      </c>
      <c r="C6948" s="1">
        <v>5</v>
      </c>
      <c r="D6948" s="1" t="s">
        <v>34</v>
      </c>
      <c r="E6948" s="1" t="s">
        <v>10</v>
      </c>
      <c r="F6948" s="1" t="s">
        <v>5091</v>
      </c>
      <c r="G6948" s="14" t="s">
        <v>6145</v>
      </c>
      <c r="H6948" s="1" t="s">
        <v>43</v>
      </c>
      <c r="I6948" s="17">
        <v>42660</v>
      </c>
    </row>
    <row r="6949" spans="1:9">
      <c r="A6949" s="16" t="s">
        <v>11849</v>
      </c>
      <c r="B6949" s="1" t="s">
        <v>2628</v>
      </c>
      <c r="C6949" s="1">
        <v>5</v>
      </c>
      <c r="D6949" s="1" t="s">
        <v>34</v>
      </c>
      <c r="E6949" s="1" t="s">
        <v>10</v>
      </c>
      <c r="F6949" s="1" t="s">
        <v>5091</v>
      </c>
      <c r="G6949" s="14" t="s">
        <v>6145</v>
      </c>
      <c r="H6949" s="1" t="s">
        <v>43</v>
      </c>
      <c r="I6949" s="17">
        <v>42660</v>
      </c>
    </row>
    <row r="6950" spans="1:9">
      <c r="A6950" s="16" t="s">
        <v>11850</v>
      </c>
      <c r="B6950" s="1" t="s">
        <v>2628</v>
      </c>
      <c r="C6950" s="1">
        <v>5</v>
      </c>
      <c r="D6950" s="1" t="s">
        <v>34</v>
      </c>
      <c r="E6950" s="1" t="s">
        <v>10</v>
      </c>
      <c r="F6950" s="1" t="s">
        <v>5091</v>
      </c>
      <c r="G6950" s="14" t="s">
        <v>6145</v>
      </c>
      <c r="H6950" s="1" t="s">
        <v>43</v>
      </c>
      <c r="I6950" s="17">
        <v>42660</v>
      </c>
    </row>
    <row r="6951" spans="1:9">
      <c r="A6951" s="16" t="s">
        <v>11852</v>
      </c>
      <c r="B6951" s="1" t="s">
        <v>2628</v>
      </c>
      <c r="C6951" s="1">
        <v>5</v>
      </c>
      <c r="D6951" s="1" t="s">
        <v>34</v>
      </c>
      <c r="E6951" s="1" t="s">
        <v>10</v>
      </c>
      <c r="F6951" s="1" t="s">
        <v>5091</v>
      </c>
      <c r="G6951" s="14" t="s">
        <v>6145</v>
      </c>
      <c r="H6951" s="1" t="s">
        <v>43</v>
      </c>
      <c r="I6951" s="17">
        <v>42674</v>
      </c>
    </row>
    <row r="6952" spans="1:9">
      <c r="A6952" s="16" t="s">
        <v>11853</v>
      </c>
      <c r="B6952" s="1" t="s">
        <v>2628</v>
      </c>
      <c r="C6952" s="1">
        <v>5</v>
      </c>
      <c r="D6952" s="1" t="s">
        <v>34</v>
      </c>
      <c r="E6952" s="1" t="s">
        <v>10</v>
      </c>
      <c r="F6952" s="1" t="s">
        <v>5091</v>
      </c>
      <c r="G6952" s="14" t="s">
        <v>6145</v>
      </c>
      <c r="H6952" s="1" t="s">
        <v>43</v>
      </c>
      <c r="I6952" s="17">
        <v>42674</v>
      </c>
    </row>
    <row r="6953" spans="1:9">
      <c r="A6953" s="16" t="s">
        <v>11855</v>
      </c>
      <c r="B6953" s="1" t="s">
        <v>2628</v>
      </c>
      <c r="C6953" s="1">
        <v>5</v>
      </c>
      <c r="D6953" s="1" t="s">
        <v>34</v>
      </c>
      <c r="E6953" s="1" t="s">
        <v>10</v>
      </c>
      <c r="F6953" s="1" t="s">
        <v>5091</v>
      </c>
      <c r="G6953" s="14" t="s">
        <v>6145</v>
      </c>
      <c r="H6953" s="1" t="s">
        <v>43</v>
      </c>
      <c r="I6953" s="17">
        <v>42674</v>
      </c>
    </row>
    <row r="6954" spans="1:9">
      <c r="A6954" s="16" t="s">
        <v>11856</v>
      </c>
      <c r="B6954" s="1" t="s">
        <v>2628</v>
      </c>
      <c r="C6954" s="1">
        <v>5</v>
      </c>
      <c r="D6954" s="1" t="s">
        <v>34</v>
      </c>
      <c r="E6954" s="1" t="s">
        <v>10</v>
      </c>
      <c r="F6954" s="1" t="s">
        <v>5091</v>
      </c>
      <c r="G6954" s="14" t="s">
        <v>6145</v>
      </c>
      <c r="H6954" s="1" t="s">
        <v>43</v>
      </c>
      <c r="I6954" s="17">
        <v>42674</v>
      </c>
    </row>
    <row r="6955" spans="1:9">
      <c r="A6955" s="16" t="s">
        <v>11857</v>
      </c>
      <c r="B6955" s="1" t="s">
        <v>2628</v>
      </c>
      <c r="C6955" s="1">
        <v>5</v>
      </c>
      <c r="D6955" s="1" t="s">
        <v>34</v>
      </c>
      <c r="E6955" s="1" t="s">
        <v>10</v>
      </c>
      <c r="F6955" s="1" t="s">
        <v>5091</v>
      </c>
      <c r="G6955" s="14" t="s">
        <v>6145</v>
      </c>
      <c r="H6955" s="1" t="s">
        <v>43</v>
      </c>
      <c r="I6955" s="17">
        <v>42674</v>
      </c>
    </row>
    <row r="6956" spans="1:9">
      <c r="A6956" s="16" t="s">
        <v>11858</v>
      </c>
      <c r="B6956" s="1" t="s">
        <v>2628</v>
      </c>
      <c r="C6956" s="1">
        <v>5</v>
      </c>
      <c r="D6956" s="1" t="s">
        <v>34</v>
      </c>
      <c r="E6956" s="1" t="s">
        <v>10</v>
      </c>
      <c r="F6956" s="1" t="s">
        <v>5091</v>
      </c>
      <c r="G6956" s="14" t="s">
        <v>6145</v>
      </c>
      <c r="H6956" s="1" t="s">
        <v>43</v>
      </c>
      <c r="I6956" s="17">
        <v>42674</v>
      </c>
    </row>
    <row r="6957" spans="1:9">
      <c r="A6957" s="16" t="s">
        <v>11861</v>
      </c>
      <c r="B6957" s="1" t="s">
        <v>2628</v>
      </c>
      <c r="C6957" s="1">
        <v>5</v>
      </c>
      <c r="D6957" s="1" t="s">
        <v>34</v>
      </c>
      <c r="E6957" s="1" t="s">
        <v>10</v>
      </c>
      <c r="F6957" s="1" t="s">
        <v>5091</v>
      </c>
      <c r="G6957" s="14" t="s">
        <v>6145</v>
      </c>
      <c r="H6957" s="1" t="s">
        <v>43</v>
      </c>
      <c r="I6957" s="17">
        <v>42674</v>
      </c>
    </row>
    <row r="6958" spans="1:9">
      <c r="A6958" s="16" t="s">
        <v>11871</v>
      </c>
      <c r="B6958" s="1" t="s">
        <v>2628</v>
      </c>
      <c r="C6958" s="1">
        <v>5</v>
      </c>
      <c r="D6958" s="1" t="s">
        <v>34</v>
      </c>
      <c r="E6958" s="1" t="s">
        <v>10</v>
      </c>
      <c r="F6958" s="1" t="s">
        <v>5091</v>
      </c>
      <c r="G6958" s="14" t="s">
        <v>6236</v>
      </c>
      <c r="H6958" s="1" t="s">
        <v>43</v>
      </c>
      <c r="I6958" s="17">
        <v>42370</v>
      </c>
    </row>
    <row r="6959" spans="1:9">
      <c r="A6959" s="16" t="s">
        <v>11885</v>
      </c>
      <c r="B6959" s="1" t="s">
        <v>2628</v>
      </c>
      <c r="C6959" s="1">
        <v>5</v>
      </c>
      <c r="D6959" s="1" t="s">
        <v>34</v>
      </c>
      <c r="E6959" s="1" t="s">
        <v>10</v>
      </c>
      <c r="F6959" s="1" t="s">
        <v>5091</v>
      </c>
      <c r="G6959" s="14" t="s">
        <v>6145</v>
      </c>
      <c r="H6959" s="1" t="s">
        <v>43</v>
      </c>
      <c r="I6959" s="17">
        <v>42675</v>
      </c>
    </row>
    <row r="6960" spans="1:9">
      <c r="A6960" s="16" t="s">
        <v>11887</v>
      </c>
      <c r="B6960" s="1" t="s">
        <v>2628</v>
      </c>
      <c r="C6960" s="1">
        <v>5</v>
      </c>
      <c r="D6960" s="1" t="s">
        <v>34</v>
      </c>
      <c r="E6960" s="1" t="s">
        <v>10</v>
      </c>
      <c r="F6960" s="1" t="s">
        <v>5091</v>
      </c>
      <c r="G6960" s="14" t="s">
        <v>11836</v>
      </c>
      <c r="H6960" s="1" t="s">
        <v>43</v>
      </c>
      <c r="I6960" s="17">
        <v>42614</v>
      </c>
    </row>
    <row r="6961" spans="1:9" ht="31.2">
      <c r="A6961" s="16" t="s">
        <v>11890</v>
      </c>
      <c r="B6961" s="1" t="s">
        <v>2628</v>
      </c>
      <c r="C6961" s="1">
        <v>5</v>
      </c>
      <c r="D6961" s="1" t="s">
        <v>34</v>
      </c>
      <c r="E6961" s="1" t="s">
        <v>10</v>
      </c>
      <c r="F6961" s="1" t="s">
        <v>5091</v>
      </c>
      <c r="G6961" s="14" t="s">
        <v>6145</v>
      </c>
      <c r="H6961" s="1" t="s">
        <v>43</v>
      </c>
      <c r="I6961" s="17">
        <v>42675</v>
      </c>
    </row>
    <row r="6962" spans="1:9" ht="31.2">
      <c r="A6962" s="16" t="s">
        <v>11891</v>
      </c>
      <c r="B6962" s="1" t="s">
        <v>2628</v>
      </c>
      <c r="C6962" s="1">
        <v>5</v>
      </c>
      <c r="D6962" s="1" t="s">
        <v>34</v>
      </c>
      <c r="E6962" s="1" t="s">
        <v>10</v>
      </c>
      <c r="F6962" s="1" t="s">
        <v>5091</v>
      </c>
      <c r="G6962" s="14" t="s">
        <v>6145</v>
      </c>
      <c r="H6962" s="1" t="s">
        <v>43</v>
      </c>
      <c r="I6962" s="17">
        <v>42675</v>
      </c>
    </row>
    <row r="6963" spans="1:9">
      <c r="A6963" s="16" t="s">
        <v>11893</v>
      </c>
      <c r="B6963" s="1" t="s">
        <v>2628</v>
      </c>
      <c r="C6963" s="1">
        <v>1812</v>
      </c>
      <c r="D6963" s="1" t="s">
        <v>34</v>
      </c>
      <c r="E6963" s="1" t="s">
        <v>10</v>
      </c>
      <c r="F6963" s="1" t="s">
        <v>5091</v>
      </c>
      <c r="G6963" s="14" t="s">
        <v>6145</v>
      </c>
      <c r="H6963" s="1" t="s">
        <v>43</v>
      </c>
      <c r="I6963" s="17">
        <v>42674</v>
      </c>
    </row>
    <row r="6964" spans="1:9">
      <c r="A6964" s="16" t="s">
        <v>11894</v>
      </c>
      <c r="B6964" s="1" t="s">
        <v>2628</v>
      </c>
      <c r="C6964" s="1">
        <v>5</v>
      </c>
      <c r="D6964" s="1" t="s">
        <v>34</v>
      </c>
      <c r="E6964" s="1" t="s">
        <v>10</v>
      </c>
      <c r="F6964" s="1" t="s">
        <v>5091</v>
      </c>
      <c r="G6964" s="14" t="s">
        <v>6145</v>
      </c>
      <c r="H6964" s="1" t="s">
        <v>43</v>
      </c>
      <c r="I6964" s="17">
        <v>42674</v>
      </c>
    </row>
    <row r="6965" spans="1:9">
      <c r="A6965" s="16" t="s">
        <v>11895</v>
      </c>
      <c r="B6965" s="1" t="s">
        <v>2628</v>
      </c>
      <c r="C6965" s="1">
        <v>5</v>
      </c>
      <c r="D6965" s="1" t="s">
        <v>34</v>
      </c>
      <c r="E6965" s="1" t="s">
        <v>10</v>
      </c>
      <c r="F6965" s="1" t="s">
        <v>5091</v>
      </c>
      <c r="G6965" s="14" t="s">
        <v>6145</v>
      </c>
      <c r="H6965" s="1" t="s">
        <v>43</v>
      </c>
      <c r="I6965" s="17">
        <v>42674</v>
      </c>
    </row>
    <row r="6966" spans="1:9">
      <c r="A6966" s="16" t="s">
        <v>11896</v>
      </c>
      <c r="B6966" s="1" t="s">
        <v>2628</v>
      </c>
      <c r="C6966" s="1">
        <v>5</v>
      </c>
      <c r="D6966" s="1" t="s">
        <v>34</v>
      </c>
      <c r="E6966" s="1" t="s">
        <v>10</v>
      </c>
      <c r="F6966" s="1" t="s">
        <v>5091</v>
      </c>
      <c r="G6966" s="14" t="s">
        <v>6145</v>
      </c>
      <c r="H6966" s="1" t="s">
        <v>43</v>
      </c>
      <c r="I6966" s="17">
        <v>42674</v>
      </c>
    </row>
    <row r="6967" spans="1:9">
      <c r="A6967" s="16" t="s">
        <v>11897</v>
      </c>
      <c r="B6967" s="1" t="s">
        <v>2628</v>
      </c>
      <c r="C6967" s="1">
        <v>5</v>
      </c>
      <c r="D6967" s="1" t="s">
        <v>34</v>
      </c>
      <c r="E6967" s="1" t="s">
        <v>10</v>
      </c>
      <c r="F6967" s="1" t="s">
        <v>5091</v>
      </c>
      <c r="G6967" s="14" t="s">
        <v>6145</v>
      </c>
      <c r="H6967" s="1" t="s">
        <v>43</v>
      </c>
      <c r="I6967" s="17">
        <v>42674</v>
      </c>
    </row>
    <row r="6968" spans="1:9" ht="31.2">
      <c r="A6968" s="16" t="s">
        <v>11898</v>
      </c>
      <c r="B6968" s="1" t="s">
        <v>2628</v>
      </c>
      <c r="C6968" s="1">
        <v>5</v>
      </c>
      <c r="D6968" s="1" t="s">
        <v>34</v>
      </c>
      <c r="E6968" s="1" t="s">
        <v>10</v>
      </c>
      <c r="F6968" s="1" t="s">
        <v>5091</v>
      </c>
      <c r="G6968" s="14" t="s">
        <v>6145</v>
      </c>
      <c r="H6968" s="1" t="s">
        <v>43</v>
      </c>
      <c r="I6968" s="17">
        <v>42675</v>
      </c>
    </row>
    <row r="6969" spans="1:9">
      <c r="A6969" s="16" t="s">
        <v>11907</v>
      </c>
      <c r="B6969" s="1" t="s">
        <v>2628</v>
      </c>
      <c r="C6969" s="1">
        <v>5</v>
      </c>
      <c r="D6969" s="1" t="s">
        <v>34</v>
      </c>
      <c r="E6969" s="1" t="s">
        <v>10</v>
      </c>
      <c r="F6969" s="1" t="s">
        <v>5091</v>
      </c>
      <c r="G6969" s="14" t="s">
        <v>4458</v>
      </c>
      <c r="H6969" s="1" t="s">
        <v>118</v>
      </c>
      <c r="I6969" s="1" t="s">
        <v>4458</v>
      </c>
    </row>
    <row r="6970" spans="1:9">
      <c r="A6970" s="16" t="s">
        <v>11908</v>
      </c>
      <c r="B6970" s="1" t="s">
        <v>2628</v>
      </c>
      <c r="C6970" s="1">
        <v>5</v>
      </c>
      <c r="D6970" s="1" t="s">
        <v>34</v>
      </c>
      <c r="E6970" s="1" t="s">
        <v>10</v>
      </c>
      <c r="F6970" s="1" t="s">
        <v>5091</v>
      </c>
      <c r="G6970" s="14" t="s">
        <v>11909</v>
      </c>
      <c r="H6970" s="1" t="s">
        <v>5</v>
      </c>
      <c r="I6970" s="17">
        <v>42669</v>
      </c>
    </row>
    <row r="6971" spans="1:9">
      <c r="A6971" s="16" t="s">
        <v>11910</v>
      </c>
      <c r="B6971" s="1" t="s">
        <v>2628</v>
      </c>
      <c r="C6971" s="1">
        <v>5</v>
      </c>
      <c r="D6971" s="1" t="s">
        <v>34</v>
      </c>
      <c r="E6971" s="1" t="s">
        <v>10</v>
      </c>
      <c r="F6971" s="1" t="s">
        <v>5091</v>
      </c>
      <c r="G6971" s="14" t="s">
        <v>11909</v>
      </c>
      <c r="H6971" s="1" t="s">
        <v>5</v>
      </c>
      <c r="I6971" s="17">
        <v>42669</v>
      </c>
    </row>
    <row r="6972" spans="1:9">
      <c r="A6972" s="16" t="s">
        <v>11911</v>
      </c>
      <c r="B6972" s="1" t="s">
        <v>2628</v>
      </c>
      <c r="C6972" s="1">
        <v>5</v>
      </c>
      <c r="D6972" s="1" t="s">
        <v>34</v>
      </c>
      <c r="E6972" s="1" t="s">
        <v>10</v>
      </c>
      <c r="F6972" s="1" t="s">
        <v>5091</v>
      </c>
      <c r="G6972" s="14" t="s">
        <v>11909</v>
      </c>
      <c r="H6972" s="1" t="s">
        <v>5</v>
      </c>
      <c r="I6972" s="17">
        <v>42669</v>
      </c>
    </row>
    <row r="6973" spans="1:9">
      <c r="A6973" s="16" t="s">
        <v>11913</v>
      </c>
      <c r="B6973" s="1" t="s">
        <v>2628</v>
      </c>
      <c r="C6973" s="1">
        <v>5</v>
      </c>
      <c r="D6973" s="1" t="s">
        <v>34</v>
      </c>
      <c r="E6973" s="1" t="s">
        <v>10</v>
      </c>
      <c r="F6973" s="1" t="s">
        <v>5091</v>
      </c>
      <c r="G6973" s="14" t="s">
        <v>11909</v>
      </c>
      <c r="H6973" s="1" t="s">
        <v>5</v>
      </c>
      <c r="I6973" s="17">
        <v>42669</v>
      </c>
    </row>
    <row r="6974" spans="1:9">
      <c r="A6974" s="16" t="s">
        <v>11915</v>
      </c>
      <c r="B6974" s="1" t="s">
        <v>2628</v>
      </c>
      <c r="C6974" s="1">
        <v>5</v>
      </c>
      <c r="D6974" s="1" t="s">
        <v>34</v>
      </c>
      <c r="E6974" s="1" t="s">
        <v>10</v>
      </c>
      <c r="F6974" s="1" t="s">
        <v>5091</v>
      </c>
      <c r="G6974" s="14" t="s">
        <v>11909</v>
      </c>
      <c r="H6974" s="1" t="s">
        <v>5</v>
      </c>
      <c r="I6974" s="17">
        <v>42669</v>
      </c>
    </row>
    <row r="6975" spans="1:9">
      <c r="A6975" s="16" t="s">
        <v>11956</v>
      </c>
      <c r="B6975" s="1" t="s">
        <v>2628</v>
      </c>
      <c r="C6975" s="1">
        <v>5</v>
      </c>
      <c r="D6975" s="1" t="s">
        <v>34</v>
      </c>
      <c r="E6975" s="1" t="s">
        <v>10</v>
      </c>
      <c r="F6975" s="1" t="s">
        <v>5091</v>
      </c>
      <c r="G6975" s="14" t="s">
        <v>6236</v>
      </c>
      <c r="H6975" s="1" t="s">
        <v>43</v>
      </c>
      <c r="I6975" s="17">
        <v>42370</v>
      </c>
    </row>
    <row r="6976" spans="1:9" ht="31.2">
      <c r="A6976" s="16" t="s">
        <v>11963</v>
      </c>
      <c r="B6976" s="1" t="s">
        <v>2628</v>
      </c>
      <c r="C6976" s="1">
        <v>5</v>
      </c>
      <c r="D6976" s="1" t="s">
        <v>34</v>
      </c>
      <c r="E6976" s="1" t="s">
        <v>10</v>
      </c>
      <c r="F6976" s="1" t="s">
        <v>5091</v>
      </c>
      <c r="G6976" s="14" t="s">
        <v>9891</v>
      </c>
      <c r="H6976" s="1" t="s">
        <v>5</v>
      </c>
      <c r="I6976" s="17">
        <v>37704</v>
      </c>
    </row>
    <row r="6977" spans="1:9" ht="31.2">
      <c r="A6977" s="16" t="s">
        <v>11964</v>
      </c>
      <c r="B6977" s="1" t="s">
        <v>2628</v>
      </c>
      <c r="C6977" s="1">
        <v>5</v>
      </c>
      <c r="D6977" s="1" t="s">
        <v>34</v>
      </c>
      <c r="E6977" s="1" t="s">
        <v>10</v>
      </c>
      <c r="F6977" s="1" t="s">
        <v>5091</v>
      </c>
      <c r="G6977" s="14" t="s">
        <v>10426</v>
      </c>
      <c r="H6977" s="1" t="s">
        <v>5</v>
      </c>
      <c r="I6977" s="17">
        <v>37704</v>
      </c>
    </row>
    <row r="6978" spans="1:9" ht="31.2">
      <c r="A6978" s="16" t="s">
        <v>11965</v>
      </c>
      <c r="B6978" s="1" t="s">
        <v>2628</v>
      </c>
      <c r="C6978" s="1">
        <v>5</v>
      </c>
      <c r="D6978" s="1" t="s">
        <v>34</v>
      </c>
      <c r="E6978" s="1" t="s">
        <v>10</v>
      </c>
      <c r="F6978" s="1" t="s">
        <v>5091</v>
      </c>
      <c r="G6978" s="14" t="s">
        <v>9891</v>
      </c>
      <c r="H6978" s="1" t="s">
        <v>5</v>
      </c>
      <c r="I6978" s="17">
        <v>37704</v>
      </c>
    </row>
    <row r="6979" spans="1:9">
      <c r="A6979" s="16" t="s">
        <v>11966</v>
      </c>
      <c r="B6979" s="1" t="s">
        <v>2628</v>
      </c>
      <c r="C6979" s="1">
        <v>5</v>
      </c>
      <c r="D6979" s="1" t="s">
        <v>34</v>
      </c>
      <c r="E6979" s="1" t="s">
        <v>10</v>
      </c>
      <c r="F6979" s="1" t="s">
        <v>5091</v>
      </c>
      <c r="G6979" s="14" t="s">
        <v>9561</v>
      </c>
      <c r="H6979" s="1" t="s">
        <v>5</v>
      </c>
      <c r="I6979" s="17">
        <v>37734</v>
      </c>
    </row>
    <row r="6980" spans="1:9">
      <c r="A6980" s="16" t="s">
        <v>11967</v>
      </c>
      <c r="B6980" s="1" t="s">
        <v>2628</v>
      </c>
      <c r="C6980" s="1">
        <v>1093</v>
      </c>
      <c r="D6980" s="1" t="s">
        <v>34</v>
      </c>
      <c r="E6980" s="1" t="s">
        <v>10</v>
      </c>
      <c r="F6980" s="1" t="s">
        <v>5091</v>
      </c>
      <c r="G6980" s="14" t="s">
        <v>9891</v>
      </c>
      <c r="H6980" s="1" t="s">
        <v>5</v>
      </c>
      <c r="I6980" s="17">
        <v>37706</v>
      </c>
    </row>
    <row r="6981" spans="1:9" ht="31.2">
      <c r="A6981" s="16" t="s">
        <v>11969</v>
      </c>
      <c r="B6981" s="1" t="s">
        <v>2628</v>
      </c>
      <c r="C6981" s="1">
        <v>5</v>
      </c>
      <c r="D6981" s="1" t="s">
        <v>34</v>
      </c>
      <c r="E6981" s="1" t="s">
        <v>10</v>
      </c>
      <c r="F6981" s="1" t="s">
        <v>5091</v>
      </c>
      <c r="G6981" s="14" t="s">
        <v>10426</v>
      </c>
      <c r="H6981" s="1" t="s">
        <v>5</v>
      </c>
      <c r="I6981" s="17">
        <v>37704</v>
      </c>
    </row>
    <row r="6982" spans="1:9">
      <c r="A6982" s="16" t="s">
        <v>11972</v>
      </c>
      <c r="B6982" s="1" t="s">
        <v>2628</v>
      </c>
      <c r="C6982" s="1">
        <v>5</v>
      </c>
      <c r="D6982" s="1" t="s">
        <v>34</v>
      </c>
      <c r="E6982" s="1" t="s">
        <v>10</v>
      </c>
      <c r="F6982" s="1" t="s">
        <v>5091</v>
      </c>
      <c r="G6982" s="14" t="s">
        <v>6236</v>
      </c>
      <c r="H6982" s="1" t="s">
        <v>43</v>
      </c>
      <c r="I6982" s="17">
        <v>42370</v>
      </c>
    </row>
    <row r="6983" spans="1:9">
      <c r="A6983" s="16" t="s">
        <v>11973</v>
      </c>
      <c r="B6983" s="1" t="s">
        <v>2628</v>
      </c>
      <c r="C6983" s="1">
        <v>5</v>
      </c>
      <c r="D6983" s="1" t="s">
        <v>34</v>
      </c>
      <c r="E6983" s="1" t="s">
        <v>10</v>
      </c>
      <c r="F6983" s="1" t="s">
        <v>5091</v>
      </c>
      <c r="G6983" s="14" t="s">
        <v>6236</v>
      </c>
      <c r="H6983" s="1" t="s">
        <v>43</v>
      </c>
      <c r="I6983" s="17">
        <v>42370</v>
      </c>
    </row>
    <row r="6984" spans="1:9">
      <c r="A6984" s="16" t="s">
        <v>11974</v>
      </c>
      <c r="B6984" s="1" t="s">
        <v>2628</v>
      </c>
      <c r="C6984" s="1">
        <v>5</v>
      </c>
      <c r="D6984" s="1" t="s">
        <v>34</v>
      </c>
      <c r="E6984" s="1" t="s">
        <v>10</v>
      </c>
      <c r="F6984" s="1" t="s">
        <v>5091</v>
      </c>
      <c r="G6984" s="14" t="s">
        <v>6236</v>
      </c>
      <c r="H6984" s="1" t="s">
        <v>43</v>
      </c>
      <c r="I6984" s="17">
        <v>42370</v>
      </c>
    </row>
    <row r="6985" spans="1:9">
      <c r="A6985" s="16" t="s">
        <v>11975</v>
      </c>
      <c r="B6985" s="1" t="s">
        <v>2628</v>
      </c>
      <c r="C6985" s="1">
        <v>5</v>
      </c>
      <c r="D6985" s="1" t="s">
        <v>34</v>
      </c>
      <c r="E6985" s="1" t="s">
        <v>10</v>
      </c>
      <c r="F6985" s="1" t="s">
        <v>5091</v>
      </c>
      <c r="G6985" s="14" t="s">
        <v>6236</v>
      </c>
      <c r="H6985" s="1" t="s">
        <v>43</v>
      </c>
      <c r="I6985" s="17">
        <v>42370</v>
      </c>
    </row>
    <row r="6986" spans="1:9">
      <c r="A6986" s="16" t="s">
        <v>11976</v>
      </c>
      <c r="B6986" s="1" t="s">
        <v>2628</v>
      </c>
      <c r="C6986" s="1">
        <v>5</v>
      </c>
      <c r="D6986" s="1" t="s">
        <v>34</v>
      </c>
      <c r="E6986" s="1" t="s">
        <v>10</v>
      </c>
      <c r="F6986" s="1" t="s">
        <v>5091</v>
      </c>
      <c r="G6986" s="14" t="s">
        <v>6186</v>
      </c>
      <c r="H6986" s="1" t="s">
        <v>5</v>
      </c>
      <c r="I6986" s="17">
        <v>42370</v>
      </c>
    </row>
    <row r="6987" spans="1:9">
      <c r="A6987" s="16" t="s">
        <v>11977</v>
      </c>
      <c r="B6987" s="1" t="s">
        <v>2628</v>
      </c>
      <c r="C6987" s="1">
        <v>5</v>
      </c>
      <c r="D6987" s="1" t="s">
        <v>34</v>
      </c>
      <c r="E6987" s="1" t="s">
        <v>10</v>
      </c>
      <c r="F6987" s="1" t="s">
        <v>5091</v>
      </c>
      <c r="G6987" s="14" t="s">
        <v>6236</v>
      </c>
      <c r="H6987" s="1" t="s">
        <v>43</v>
      </c>
      <c r="I6987" s="17">
        <v>42370</v>
      </c>
    </row>
    <row r="6988" spans="1:9">
      <c r="A6988" s="16" t="s">
        <v>11986</v>
      </c>
      <c r="B6988" s="1" t="s">
        <v>2628</v>
      </c>
      <c r="C6988" s="1">
        <v>5</v>
      </c>
      <c r="D6988" s="1" t="s">
        <v>34</v>
      </c>
      <c r="E6988" s="1" t="s">
        <v>10</v>
      </c>
      <c r="F6988" s="1" t="s">
        <v>5091</v>
      </c>
      <c r="G6988" s="14" t="s">
        <v>6145</v>
      </c>
      <c r="H6988" s="1" t="s">
        <v>43</v>
      </c>
      <c r="I6988" s="17">
        <v>42690</v>
      </c>
    </row>
    <row r="6989" spans="1:9">
      <c r="A6989" s="16" t="s">
        <v>11987</v>
      </c>
      <c r="B6989" s="1" t="s">
        <v>2628</v>
      </c>
      <c r="C6989" s="1">
        <v>5</v>
      </c>
      <c r="D6989" s="1" t="s">
        <v>34</v>
      </c>
      <c r="E6989" s="1" t="s">
        <v>10</v>
      </c>
      <c r="F6989" s="1" t="s">
        <v>5091</v>
      </c>
      <c r="G6989" s="14" t="s">
        <v>6145</v>
      </c>
      <c r="H6989" s="1" t="s">
        <v>43</v>
      </c>
      <c r="I6989" s="17">
        <v>42690</v>
      </c>
    </row>
    <row r="6990" spans="1:9">
      <c r="A6990" s="16" t="s">
        <v>11988</v>
      </c>
      <c r="B6990" s="1" t="s">
        <v>2628</v>
      </c>
      <c r="C6990" s="1">
        <v>5</v>
      </c>
      <c r="D6990" s="1" t="s">
        <v>34</v>
      </c>
      <c r="E6990" s="1" t="s">
        <v>10</v>
      </c>
      <c r="F6990" s="1" t="s">
        <v>5091</v>
      </c>
      <c r="G6990" s="14" t="s">
        <v>6145</v>
      </c>
      <c r="H6990" s="1" t="s">
        <v>43</v>
      </c>
      <c r="I6990" s="17">
        <v>42689</v>
      </c>
    </row>
    <row r="6991" spans="1:9">
      <c r="A6991" s="16" t="s">
        <v>12007</v>
      </c>
      <c r="B6991" s="1" t="s">
        <v>2628</v>
      </c>
      <c r="C6991" s="1">
        <v>5</v>
      </c>
      <c r="D6991" s="1" t="s">
        <v>34</v>
      </c>
      <c r="E6991" s="1" t="s">
        <v>10</v>
      </c>
      <c r="F6991" s="1" t="s">
        <v>5091</v>
      </c>
      <c r="G6991" s="14" t="s">
        <v>9244</v>
      </c>
      <c r="H6991" s="1" t="s">
        <v>5</v>
      </c>
      <c r="I6991" s="17">
        <v>42716</v>
      </c>
    </row>
    <row r="6992" spans="1:9">
      <c r="A6992" s="16" t="s">
        <v>12017</v>
      </c>
      <c r="B6992" s="1" t="s">
        <v>2628</v>
      </c>
      <c r="C6992" s="1">
        <v>5</v>
      </c>
      <c r="D6992" s="1" t="s">
        <v>34</v>
      </c>
      <c r="E6992" s="1" t="s">
        <v>10</v>
      </c>
      <c r="F6992" s="1" t="s">
        <v>5091</v>
      </c>
      <c r="G6992" s="14" t="s">
        <v>6145</v>
      </c>
      <c r="H6992" s="1" t="s">
        <v>43</v>
      </c>
      <c r="I6992" s="17">
        <v>42370</v>
      </c>
    </row>
    <row r="6993" spans="1:10">
      <c r="A6993" s="16" t="s">
        <v>12018</v>
      </c>
      <c r="B6993" s="1" t="s">
        <v>2628</v>
      </c>
      <c r="C6993" s="1">
        <v>5</v>
      </c>
      <c r="D6993" s="1" t="s">
        <v>34</v>
      </c>
      <c r="E6993" s="1" t="s">
        <v>10</v>
      </c>
      <c r="F6993" s="1" t="s">
        <v>5091</v>
      </c>
      <c r="G6993" s="14" t="s">
        <v>6145</v>
      </c>
      <c r="H6993" s="1" t="s">
        <v>43</v>
      </c>
      <c r="I6993" s="17">
        <v>42370</v>
      </c>
    </row>
    <row r="6994" spans="1:10">
      <c r="A6994" s="16" t="s">
        <v>12019</v>
      </c>
      <c r="B6994" s="1" t="s">
        <v>2628</v>
      </c>
      <c r="C6994" s="1">
        <v>5</v>
      </c>
      <c r="D6994" s="1" t="s">
        <v>34</v>
      </c>
      <c r="E6994" s="1" t="s">
        <v>10</v>
      </c>
      <c r="F6994" s="1" t="s">
        <v>5091</v>
      </c>
      <c r="G6994" s="14" t="s">
        <v>6145</v>
      </c>
      <c r="H6994" s="1" t="s">
        <v>43</v>
      </c>
      <c r="I6994" s="17">
        <v>42370</v>
      </c>
    </row>
    <row r="6995" spans="1:10">
      <c r="A6995" s="16" t="s">
        <v>12020</v>
      </c>
      <c r="B6995" s="1" t="s">
        <v>2628</v>
      </c>
      <c r="C6995" s="1">
        <v>5</v>
      </c>
      <c r="D6995" s="1" t="s">
        <v>34</v>
      </c>
      <c r="E6995" s="1" t="s">
        <v>10</v>
      </c>
      <c r="F6995" s="1" t="s">
        <v>5091</v>
      </c>
      <c r="G6995" s="14" t="s">
        <v>6145</v>
      </c>
      <c r="H6995" s="1" t="s">
        <v>43</v>
      </c>
      <c r="I6995" s="17">
        <v>42370</v>
      </c>
    </row>
    <row r="6996" spans="1:10">
      <c r="A6996" s="16" t="s">
        <v>12021</v>
      </c>
      <c r="B6996" s="1" t="s">
        <v>2628</v>
      </c>
      <c r="C6996" s="1">
        <v>5</v>
      </c>
      <c r="D6996" s="1" t="s">
        <v>34</v>
      </c>
      <c r="E6996" s="1" t="s">
        <v>10</v>
      </c>
      <c r="F6996" s="1" t="s">
        <v>5091</v>
      </c>
      <c r="G6996" s="14" t="s">
        <v>6145</v>
      </c>
      <c r="H6996" s="1" t="s">
        <v>43</v>
      </c>
      <c r="I6996" s="17">
        <v>42370</v>
      </c>
    </row>
    <row r="6997" spans="1:10" ht="31.2">
      <c r="A6997" s="16" t="s">
        <v>12027</v>
      </c>
      <c r="B6997" s="1" t="s">
        <v>2628</v>
      </c>
      <c r="C6997" s="1">
        <v>5</v>
      </c>
      <c r="D6997" s="1" t="s">
        <v>34</v>
      </c>
      <c r="E6997" s="1" t="s">
        <v>10</v>
      </c>
      <c r="F6997" s="1" t="s">
        <v>5241</v>
      </c>
      <c r="G6997" s="14" t="s">
        <v>8618</v>
      </c>
      <c r="H6997" s="1" t="s">
        <v>5</v>
      </c>
      <c r="I6997" s="1" t="s">
        <v>4458</v>
      </c>
    </row>
    <row r="6998" spans="1:10">
      <c r="A6998" s="16" t="s">
        <v>12039</v>
      </c>
      <c r="B6998" s="1" t="s">
        <v>2628</v>
      </c>
      <c r="C6998" s="1">
        <v>5</v>
      </c>
      <c r="D6998" s="1" t="s">
        <v>34</v>
      </c>
      <c r="E6998" s="1" t="s">
        <v>10</v>
      </c>
      <c r="F6998" s="1" t="s">
        <v>5091</v>
      </c>
      <c r="G6998" s="14" t="s">
        <v>6236</v>
      </c>
      <c r="H6998" s="1" t="s">
        <v>43</v>
      </c>
      <c r="I6998" s="17">
        <v>42370</v>
      </c>
    </row>
    <row r="6999" spans="1:10">
      <c r="A6999" s="16" t="s">
        <v>12040</v>
      </c>
      <c r="B6999" s="1" t="s">
        <v>2628</v>
      </c>
      <c r="C6999" s="1">
        <v>5</v>
      </c>
      <c r="D6999" s="1" t="s">
        <v>34</v>
      </c>
      <c r="E6999" s="1" t="s">
        <v>10</v>
      </c>
      <c r="F6999" s="1" t="s">
        <v>5091</v>
      </c>
      <c r="G6999" s="14" t="s">
        <v>6186</v>
      </c>
      <c r="H6999" s="1" t="s">
        <v>5</v>
      </c>
      <c r="I6999" s="17">
        <v>42370</v>
      </c>
    </row>
    <row r="7000" spans="1:10">
      <c r="A7000" s="16" t="s">
        <v>12052</v>
      </c>
      <c r="B7000" s="1" t="s">
        <v>2628</v>
      </c>
      <c r="C7000" s="1">
        <v>5</v>
      </c>
      <c r="D7000" s="1" t="s">
        <v>34</v>
      </c>
      <c r="E7000" s="1" t="s">
        <v>10</v>
      </c>
      <c r="F7000" s="1" t="s">
        <v>5091</v>
      </c>
      <c r="G7000" s="14" t="s">
        <v>12053</v>
      </c>
      <c r="H7000" s="1" t="s">
        <v>5</v>
      </c>
      <c r="I7000" s="17">
        <v>42717</v>
      </c>
    </row>
    <row r="7001" spans="1:10">
      <c r="A7001" s="16" t="s">
        <v>12061</v>
      </c>
      <c r="B7001" s="1" t="s">
        <v>2628</v>
      </c>
      <c r="C7001" s="1">
        <v>5</v>
      </c>
      <c r="D7001" s="1" t="s">
        <v>34</v>
      </c>
      <c r="E7001" s="1" t="s">
        <v>10</v>
      </c>
      <c r="F7001" s="1" t="s">
        <v>5091</v>
      </c>
      <c r="G7001" s="14" t="s">
        <v>6145</v>
      </c>
      <c r="H7001" s="1" t="s">
        <v>43</v>
      </c>
      <c r="I7001" s="17">
        <v>42005</v>
      </c>
    </row>
    <row r="7002" spans="1:10">
      <c r="A7002" s="16" t="s">
        <v>12062</v>
      </c>
      <c r="B7002" s="1" t="s">
        <v>2628</v>
      </c>
      <c r="C7002" s="1">
        <v>5</v>
      </c>
      <c r="D7002" s="1" t="s">
        <v>34</v>
      </c>
      <c r="E7002" s="1" t="s">
        <v>10</v>
      </c>
      <c r="F7002" s="1" t="s">
        <v>5091</v>
      </c>
      <c r="G7002" s="14" t="s">
        <v>6145</v>
      </c>
      <c r="H7002" s="1" t="s">
        <v>43</v>
      </c>
      <c r="I7002" s="17">
        <v>42370</v>
      </c>
    </row>
    <row r="7003" spans="1:10">
      <c r="A7003" s="16" t="s">
        <v>12077</v>
      </c>
      <c r="B7003" s="1" t="s">
        <v>2628</v>
      </c>
      <c r="C7003" s="1">
        <v>5</v>
      </c>
      <c r="D7003" s="1" t="s">
        <v>34</v>
      </c>
      <c r="E7003" s="1" t="s">
        <v>10</v>
      </c>
      <c r="F7003" s="1" t="s">
        <v>5091</v>
      </c>
      <c r="G7003" s="14" t="s">
        <v>4458</v>
      </c>
      <c r="H7003" s="1" t="s">
        <v>118</v>
      </c>
      <c r="I7003" s="1" t="s">
        <v>4458</v>
      </c>
    </row>
    <row r="7004" spans="1:10">
      <c r="A7004" s="16" t="s">
        <v>12081</v>
      </c>
      <c r="B7004" s="1" t="s">
        <v>2628</v>
      </c>
      <c r="C7004" s="1">
        <v>5</v>
      </c>
      <c r="D7004" s="1" t="s">
        <v>34</v>
      </c>
      <c r="E7004" s="1" t="s">
        <v>10</v>
      </c>
      <c r="F7004" s="1" t="s">
        <v>5091</v>
      </c>
      <c r="G7004" s="14" t="s">
        <v>12079</v>
      </c>
      <c r="H7004" s="1" t="s">
        <v>43</v>
      </c>
      <c r="I7004" s="17">
        <v>42745</v>
      </c>
    </row>
    <row r="7005" spans="1:10">
      <c r="A7005" s="16" t="s">
        <v>12086</v>
      </c>
      <c r="B7005" s="1" t="s">
        <v>2628</v>
      </c>
      <c r="C7005" s="1">
        <v>5</v>
      </c>
      <c r="D7005" s="1" t="s">
        <v>34</v>
      </c>
      <c r="E7005" s="1" t="s">
        <v>10</v>
      </c>
      <c r="F7005" s="1" t="s">
        <v>5091</v>
      </c>
      <c r="G7005" s="14" t="s">
        <v>12085</v>
      </c>
      <c r="H7005" s="1" t="s">
        <v>43</v>
      </c>
      <c r="I7005" s="17">
        <v>42736</v>
      </c>
    </row>
    <row r="7006" spans="1:10">
      <c r="A7006" s="16" t="s">
        <v>12088</v>
      </c>
      <c r="B7006" s="1" t="s">
        <v>2631</v>
      </c>
      <c r="C7006" s="1">
        <v>5</v>
      </c>
      <c r="D7006" s="1" t="s">
        <v>34</v>
      </c>
      <c r="E7006" s="1" t="s">
        <v>10</v>
      </c>
      <c r="F7006" s="1" t="s">
        <v>5091</v>
      </c>
      <c r="G7006" s="1" t="s">
        <v>2370</v>
      </c>
      <c r="H7006" s="1" t="s">
        <v>5</v>
      </c>
      <c r="I7006" s="17">
        <v>42736</v>
      </c>
      <c r="J7006" s="17"/>
    </row>
    <row r="7007" spans="1:10">
      <c r="A7007" s="16" t="s">
        <v>12089</v>
      </c>
      <c r="B7007" s="1" t="s">
        <v>2631</v>
      </c>
      <c r="C7007" s="1">
        <v>5</v>
      </c>
      <c r="D7007" s="1" t="s">
        <v>34</v>
      </c>
      <c r="E7007" s="1" t="s">
        <v>10</v>
      </c>
      <c r="F7007" s="1" t="s">
        <v>5091</v>
      </c>
      <c r="G7007" s="1" t="s">
        <v>6145</v>
      </c>
      <c r="H7007" s="1" t="s">
        <v>43</v>
      </c>
      <c r="I7007" s="17">
        <v>42759</v>
      </c>
    </row>
    <row r="7008" spans="1:10">
      <c r="A7008" s="16" t="s">
        <v>12093</v>
      </c>
      <c r="B7008" s="1" t="s">
        <v>2628</v>
      </c>
      <c r="C7008" s="1">
        <v>5</v>
      </c>
      <c r="D7008" s="1" t="s">
        <v>34</v>
      </c>
      <c r="E7008" s="1" t="s">
        <v>10</v>
      </c>
      <c r="F7008" s="1" t="s">
        <v>5091</v>
      </c>
      <c r="G7008" s="14" t="s">
        <v>6145</v>
      </c>
      <c r="H7008" s="1" t="s">
        <v>43</v>
      </c>
      <c r="I7008" s="17">
        <v>42736</v>
      </c>
    </row>
    <row r="7009" spans="1:9">
      <c r="A7009" s="16" t="s">
        <v>12103</v>
      </c>
      <c r="B7009" s="1" t="s">
        <v>2628</v>
      </c>
      <c r="C7009" s="1">
        <v>5</v>
      </c>
      <c r="D7009" s="1" t="s">
        <v>34</v>
      </c>
      <c r="E7009" s="1" t="s">
        <v>10</v>
      </c>
      <c r="F7009" s="1" t="s">
        <v>5091</v>
      </c>
      <c r="G7009" s="14" t="s">
        <v>6145</v>
      </c>
      <c r="H7009" s="1" t="s">
        <v>43</v>
      </c>
      <c r="I7009" s="17">
        <v>42736</v>
      </c>
    </row>
    <row r="7010" spans="1:9">
      <c r="A7010" s="16" t="s">
        <v>12104</v>
      </c>
      <c r="B7010" s="1" t="s">
        <v>2628</v>
      </c>
      <c r="C7010" s="1">
        <v>5</v>
      </c>
      <c r="D7010" s="1" t="s">
        <v>34</v>
      </c>
      <c r="E7010" s="1" t="s">
        <v>10</v>
      </c>
      <c r="F7010" s="1" t="s">
        <v>5091</v>
      </c>
      <c r="G7010" s="14" t="s">
        <v>6145</v>
      </c>
      <c r="H7010" s="1" t="s">
        <v>43</v>
      </c>
      <c r="I7010" s="17">
        <v>42745</v>
      </c>
    </row>
    <row r="7011" spans="1:9">
      <c r="A7011" s="16" t="s">
        <v>12105</v>
      </c>
      <c r="B7011" s="1" t="s">
        <v>2628</v>
      </c>
      <c r="C7011" s="1">
        <v>5</v>
      </c>
      <c r="D7011" s="1" t="s">
        <v>34</v>
      </c>
      <c r="E7011" s="1" t="s">
        <v>10</v>
      </c>
      <c r="F7011" s="1" t="s">
        <v>5091</v>
      </c>
      <c r="G7011" s="14" t="s">
        <v>6145</v>
      </c>
      <c r="H7011" s="1" t="s">
        <v>43</v>
      </c>
      <c r="I7011" s="17">
        <v>42745</v>
      </c>
    </row>
    <row r="7012" spans="1:9">
      <c r="A7012" s="16" t="s">
        <v>12106</v>
      </c>
      <c r="B7012" s="1" t="s">
        <v>2628</v>
      </c>
      <c r="C7012" s="1">
        <v>5</v>
      </c>
      <c r="D7012" s="1" t="s">
        <v>34</v>
      </c>
      <c r="E7012" s="1" t="s">
        <v>10</v>
      </c>
      <c r="F7012" s="1" t="s">
        <v>5091</v>
      </c>
      <c r="G7012" s="14" t="s">
        <v>6145</v>
      </c>
      <c r="H7012" s="1" t="s">
        <v>43</v>
      </c>
      <c r="I7012" s="17">
        <v>42745</v>
      </c>
    </row>
    <row r="7013" spans="1:9">
      <c r="A7013" s="16" t="s">
        <v>12108</v>
      </c>
      <c r="B7013" s="1" t="s">
        <v>2628</v>
      </c>
      <c r="C7013" s="1">
        <v>5</v>
      </c>
      <c r="D7013" s="1" t="s">
        <v>34</v>
      </c>
      <c r="E7013" s="1" t="s">
        <v>10</v>
      </c>
      <c r="F7013" s="1" t="s">
        <v>5091</v>
      </c>
      <c r="G7013" s="14" t="s">
        <v>6699</v>
      </c>
      <c r="H7013" s="1" t="s">
        <v>44</v>
      </c>
      <c r="I7013" s="17">
        <v>42746</v>
      </c>
    </row>
    <row r="7014" spans="1:9">
      <c r="A7014" s="16" t="s">
        <v>12109</v>
      </c>
      <c r="B7014" s="1" t="s">
        <v>2628</v>
      </c>
      <c r="C7014" s="1">
        <v>5</v>
      </c>
      <c r="D7014" s="1" t="s">
        <v>34</v>
      </c>
      <c r="E7014" s="1" t="s">
        <v>10</v>
      </c>
      <c r="F7014" s="1" t="s">
        <v>5091</v>
      </c>
      <c r="G7014" s="14" t="s">
        <v>6699</v>
      </c>
      <c r="H7014" s="1" t="s">
        <v>44</v>
      </c>
      <c r="I7014" s="17">
        <v>42745</v>
      </c>
    </row>
    <row r="7015" spans="1:9">
      <c r="A7015" s="16" t="s">
        <v>12122</v>
      </c>
      <c r="B7015" s="1" t="s">
        <v>2628</v>
      </c>
      <c r="C7015" s="1">
        <v>5</v>
      </c>
      <c r="D7015" s="1" t="s">
        <v>34</v>
      </c>
      <c r="E7015" s="1" t="s">
        <v>10</v>
      </c>
      <c r="F7015" s="1" t="s">
        <v>5091</v>
      </c>
      <c r="G7015" s="14" t="s">
        <v>12123</v>
      </c>
      <c r="H7015" s="1" t="s">
        <v>43</v>
      </c>
      <c r="I7015" s="17">
        <v>41640</v>
      </c>
    </row>
    <row r="7016" spans="1:9">
      <c r="A7016" s="16" t="s">
        <v>12124</v>
      </c>
      <c r="B7016" s="1" t="s">
        <v>2631</v>
      </c>
      <c r="C7016" s="1">
        <v>5</v>
      </c>
      <c r="D7016" s="1" t="s">
        <v>34</v>
      </c>
      <c r="E7016" s="1" t="s">
        <v>10</v>
      </c>
      <c r="F7016" s="1" t="s">
        <v>5091</v>
      </c>
      <c r="G7016" s="1" t="s">
        <v>6145</v>
      </c>
      <c r="H7016" s="1" t="s">
        <v>43</v>
      </c>
      <c r="I7016" s="17">
        <v>41640</v>
      </c>
    </row>
    <row r="7017" spans="1:9">
      <c r="A7017" s="16" t="s">
        <v>12136</v>
      </c>
      <c r="B7017" s="1" t="s">
        <v>2628</v>
      </c>
      <c r="C7017" s="1">
        <v>5</v>
      </c>
      <c r="D7017" s="1" t="s">
        <v>34</v>
      </c>
      <c r="E7017" s="1" t="s">
        <v>10</v>
      </c>
      <c r="F7017" s="1" t="s">
        <v>5091</v>
      </c>
      <c r="G7017" s="14" t="s">
        <v>6536</v>
      </c>
      <c r="H7017" s="1" t="s">
        <v>43</v>
      </c>
      <c r="I7017" s="17">
        <v>41640</v>
      </c>
    </row>
    <row r="7018" spans="1:9">
      <c r="A7018" s="16" t="s">
        <v>12142</v>
      </c>
      <c r="B7018" s="1" t="s">
        <v>2631</v>
      </c>
      <c r="C7018" s="1">
        <v>5</v>
      </c>
      <c r="D7018" s="1" t="s">
        <v>34</v>
      </c>
      <c r="E7018" s="1" t="s">
        <v>10</v>
      </c>
      <c r="F7018" s="1" t="s">
        <v>5091</v>
      </c>
      <c r="G7018" s="1" t="s">
        <v>12143</v>
      </c>
      <c r="H7018" s="1" t="s">
        <v>43</v>
      </c>
      <c r="I7018" s="17">
        <v>41640</v>
      </c>
    </row>
    <row r="7019" spans="1:9">
      <c r="A7019" s="16" t="s">
        <v>12144</v>
      </c>
      <c r="B7019" s="1" t="s">
        <v>2628</v>
      </c>
      <c r="C7019" s="1">
        <v>5</v>
      </c>
      <c r="D7019" s="1" t="s">
        <v>34</v>
      </c>
      <c r="E7019" s="1" t="s">
        <v>10</v>
      </c>
      <c r="F7019" s="1" t="s">
        <v>5091</v>
      </c>
      <c r="G7019" s="14" t="s">
        <v>6145</v>
      </c>
      <c r="H7019" s="1" t="s">
        <v>43</v>
      </c>
      <c r="I7019" s="17">
        <v>41640</v>
      </c>
    </row>
    <row r="7020" spans="1:9">
      <c r="A7020" s="16" t="s">
        <v>12147</v>
      </c>
      <c r="B7020" s="1" t="s">
        <v>2628</v>
      </c>
      <c r="C7020" s="1">
        <v>5</v>
      </c>
      <c r="D7020" s="1" t="s">
        <v>34</v>
      </c>
      <c r="E7020" s="1" t="s">
        <v>10</v>
      </c>
      <c r="F7020" s="1" t="s">
        <v>5091</v>
      </c>
      <c r="G7020" s="14" t="s">
        <v>6145</v>
      </c>
      <c r="H7020" s="1" t="s">
        <v>43</v>
      </c>
      <c r="I7020" s="17">
        <v>41640</v>
      </c>
    </row>
    <row r="7021" spans="1:9">
      <c r="A7021" s="16" t="s">
        <v>12156</v>
      </c>
      <c r="B7021" s="1" t="s">
        <v>2628</v>
      </c>
      <c r="C7021" s="1">
        <v>5</v>
      </c>
      <c r="D7021" s="1" t="s">
        <v>34</v>
      </c>
      <c r="E7021" s="1" t="s">
        <v>10</v>
      </c>
      <c r="F7021" s="1" t="s">
        <v>5091</v>
      </c>
      <c r="G7021" s="14" t="s">
        <v>6145</v>
      </c>
      <c r="H7021" s="1" t="s">
        <v>43</v>
      </c>
      <c r="I7021" s="17">
        <v>41640</v>
      </c>
    </row>
    <row r="7022" spans="1:9" ht="31.2">
      <c r="A7022" s="16" t="s">
        <v>12159</v>
      </c>
      <c r="B7022" s="1" t="s">
        <v>2628</v>
      </c>
      <c r="C7022" s="1">
        <v>5</v>
      </c>
      <c r="D7022" s="1" t="s">
        <v>34</v>
      </c>
      <c r="E7022" s="1" t="s">
        <v>10</v>
      </c>
      <c r="F7022" s="1" t="s">
        <v>5091</v>
      </c>
      <c r="G7022" s="14" t="s">
        <v>6145</v>
      </c>
      <c r="H7022" s="1" t="s">
        <v>43</v>
      </c>
      <c r="I7022" s="17">
        <v>40862</v>
      </c>
    </row>
    <row r="7023" spans="1:9">
      <c r="A7023" s="16" t="s">
        <v>12170</v>
      </c>
      <c r="B7023" s="1" t="s">
        <v>2628</v>
      </c>
      <c r="C7023" s="1">
        <v>5</v>
      </c>
      <c r="D7023" s="1" t="s">
        <v>34</v>
      </c>
      <c r="E7023" s="1" t="s">
        <v>10</v>
      </c>
      <c r="F7023" s="1" t="s">
        <v>5091</v>
      </c>
      <c r="G7023" s="14" t="s">
        <v>6536</v>
      </c>
      <c r="H7023" s="1" t="s">
        <v>43</v>
      </c>
      <c r="I7023" s="17">
        <v>41640</v>
      </c>
    </row>
    <row r="7024" spans="1:9">
      <c r="A7024" s="16" t="s">
        <v>12180</v>
      </c>
      <c r="B7024" s="1" t="s">
        <v>2631</v>
      </c>
      <c r="C7024" s="1">
        <v>5</v>
      </c>
      <c r="D7024" s="1" t="s">
        <v>34</v>
      </c>
      <c r="E7024" s="1" t="s">
        <v>10</v>
      </c>
      <c r="F7024" s="1" t="s">
        <v>5091</v>
      </c>
      <c r="G7024" s="1" t="s">
        <v>6536</v>
      </c>
      <c r="H7024" s="1" t="s">
        <v>43</v>
      </c>
      <c r="I7024" s="17">
        <v>41640</v>
      </c>
    </row>
    <row r="7025" spans="1:9">
      <c r="A7025" s="16" t="s">
        <v>12183</v>
      </c>
      <c r="B7025" s="1" t="s">
        <v>2628</v>
      </c>
      <c r="C7025" s="1">
        <v>5</v>
      </c>
      <c r="D7025" s="1" t="s">
        <v>34</v>
      </c>
      <c r="E7025" s="1" t="s">
        <v>10</v>
      </c>
      <c r="F7025" s="1" t="s">
        <v>5091</v>
      </c>
      <c r="G7025" s="14" t="s">
        <v>6536</v>
      </c>
      <c r="H7025" s="1" t="s">
        <v>43</v>
      </c>
      <c r="I7025" s="17">
        <v>41640</v>
      </c>
    </row>
    <row r="7026" spans="1:9">
      <c r="A7026" s="16" t="s">
        <v>12203</v>
      </c>
      <c r="B7026" s="1" t="s">
        <v>2628</v>
      </c>
      <c r="C7026" s="1">
        <v>5</v>
      </c>
      <c r="D7026" s="1" t="s">
        <v>34</v>
      </c>
      <c r="E7026" s="1" t="s">
        <v>10</v>
      </c>
      <c r="F7026" s="1" t="s">
        <v>5091</v>
      </c>
      <c r="G7026" s="14" t="s">
        <v>6536</v>
      </c>
      <c r="H7026" s="1" t="s">
        <v>43</v>
      </c>
      <c r="I7026" s="17">
        <v>41640</v>
      </c>
    </row>
    <row r="7027" spans="1:9">
      <c r="A7027" s="16" t="s">
        <v>12211</v>
      </c>
      <c r="B7027" s="1" t="s">
        <v>2631</v>
      </c>
      <c r="C7027" s="1">
        <v>5</v>
      </c>
      <c r="D7027" s="1" t="s">
        <v>34</v>
      </c>
      <c r="E7027" s="1" t="s">
        <v>10</v>
      </c>
      <c r="F7027" s="1" t="s">
        <v>5091</v>
      </c>
      <c r="G7027" s="1" t="s">
        <v>6536</v>
      </c>
      <c r="H7027" s="1" t="s">
        <v>43</v>
      </c>
      <c r="I7027" s="17">
        <v>41640</v>
      </c>
    </row>
    <row r="7028" spans="1:9">
      <c r="A7028" s="16" t="s">
        <v>12235</v>
      </c>
      <c r="B7028" s="1" t="s">
        <v>2628</v>
      </c>
      <c r="C7028" s="1">
        <v>5</v>
      </c>
      <c r="D7028" s="1" t="s">
        <v>34</v>
      </c>
      <c r="E7028" s="1" t="s">
        <v>10</v>
      </c>
      <c r="F7028" s="1" t="s">
        <v>5091</v>
      </c>
      <c r="G7028" s="14" t="s">
        <v>6236</v>
      </c>
      <c r="H7028" s="1" t="s">
        <v>43</v>
      </c>
      <c r="I7028" s="17">
        <v>42736</v>
      </c>
    </row>
    <row r="7029" spans="1:9">
      <c r="A7029" s="16" t="s">
        <v>12238</v>
      </c>
      <c r="B7029" s="1" t="s">
        <v>2628</v>
      </c>
      <c r="C7029" s="1">
        <v>5</v>
      </c>
      <c r="D7029" s="1" t="s">
        <v>34</v>
      </c>
      <c r="E7029" s="1" t="s">
        <v>10</v>
      </c>
      <c r="F7029" s="1" t="s">
        <v>5091</v>
      </c>
      <c r="G7029" s="14" t="s">
        <v>6236</v>
      </c>
      <c r="H7029" s="1" t="s">
        <v>43</v>
      </c>
      <c r="I7029" s="17">
        <v>42736</v>
      </c>
    </row>
    <row r="7030" spans="1:9">
      <c r="A7030" s="16" t="s">
        <v>12239</v>
      </c>
      <c r="B7030" s="1" t="s">
        <v>2628</v>
      </c>
      <c r="C7030" s="1">
        <v>5</v>
      </c>
      <c r="D7030" s="1" t="s">
        <v>34</v>
      </c>
      <c r="E7030" s="1" t="s">
        <v>10</v>
      </c>
      <c r="F7030" s="1" t="s">
        <v>5091</v>
      </c>
      <c r="G7030" s="14" t="s">
        <v>6236</v>
      </c>
      <c r="H7030" s="1" t="s">
        <v>43</v>
      </c>
      <c r="I7030" s="17">
        <v>42736</v>
      </c>
    </row>
    <row r="7031" spans="1:9">
      <c r="A7031" s="16" t="s">
        <v>12245</v>
      </c>
      <c r="B7031" s="1" t="s">
        <v>2631</v>
      </c>
      <c r="C7031" s="1">
        <v>5</v>
      </c>
      <c r="D7031" s="1" t="s">
        <v>34</v>
      </c>
      <c r="E7031" s="1" t="s">
        <v>10</v>
      </c>
      <c r="F7031" s="1" t="s">
        <v>5091</v>
      </c>
      <c r="G7031" s="1" t="s">
        <v>12246</v>
      </c>
      <c r="H7031" s="1" t="s">
        <v>5</v>
      </c>
      <c r="I7031" s="17">
        <v>42774</v>
      </c>
    </row>
    <row r="7032" spans="1:9">
      <c r="A7032" s="16" t="s">
        <v>12247</v>
      </c>
      <c r="B7032" s="1" t="s">
        <v>2631</v>
      </c>
      <c r="C7032" s="1">
        <v>5</v>
      </c>
      <c r="D7032" s="1" t="s">
        <v>34</v>
      </c>
      <c r="E7032" s="1" t="s">
        <v>10</v>
      </c>
      <c r="F7032" s="1" t="s">
        <v>5091</v>
      </c>
      <c r="G7032" s="1" t="s">
        <v>6145</v>
      </c>
      <c r="H7032" s="1" t="s">
        <v>43</v>
      </c>
      <c r="I7032" s="17">
        <v>42108</v>
      </c>
    </row>
    <row r="7033" spans="1:9">
      <c r="A7033" s="16" t="s">
        <v>12249</v>
      </c>
      <c r="B7033" s="1" t="s">
        <v>2631</v>
      </c>
      <c r="C7033" s="1">
        <v>5</v>
      </c>
      <c r="D7033" s="1" t="s">
        <v>34</v>
      </c>
      <c r="E7033" s="1" t="s">
        <v>10</v>
      </c>
      <c r="F7033" s="1" t="s">
        <v>5091</v>
      </c>
      <c r="G7033" s="1" t="s">
        <v>6145</v>
      </c>
      <c r="H7033" s="1" t="s">
        <v>43</v>
      </c>
      <c r="I7033" s="17">
        <v>42108</v>
      </c>
    </row>
    <row r="7034" spans="1:9">
      <c r="A7034" s="16" t="s">
        <v>12252</v>
      </c>
      <c r="B7034" s="1" t="s">
        <v>2631</v>
      </c>
      <c r="C7034" s="1">
        <v>5</v>
      </c>
      <c r="D7034" s="1" t="s">
        <v>34</v>
      </c>
      <c r="E7034" s="1" t="s">
        <v>10</v>
      </c>
      <c r="F7034" s="1" t="s">
        <v>5091</v>
      </c>
      <c r="G7034" s="1" t="s">
        <v>6145</v>
      </c>
      <c r="H7034" s="1" t="s">
        <v>43</v>
      </c>
      <c r="I7034" s="17">
        <v>42108</v>
      </c>
    </row>
    <row r="7035" spans="1:9">
      <c r="A7035" s="16" t="s">
        <v>12253</v>
      </c>
      <c r="B7035" s="1" t="s">
        <v>2631</v>
      </c>
      <c r="C7035" s="1">
        <v>5</v>
      </c>
      <c r="D7035" s="1" t="s">
        <v>34</v>
      </c>
      <c r="E7035" s="1" t="s">
        <v>10</v>
      </c>
      <c r="F7035" s="1" t="s">
        <v>5091</v>
      </c>
      <c r="G7035" s="1" t="s">
        <v>6145</v>
      </c>
      <c r="H7035" s="1" t="s">
        <v>43</v>
      </c>
      <c r="I7035" s="17">
        <v>42108</v>
      </c>
    </row>
    <row r="7036" spans="1:9">
      <c r="A7036" s="16" t="s">
        <v>12254</v>
      </c>
      <c r="B7036" s="1" t="s">
        <v>2631</v>
      </c>
      <c r="C7036" s="1">
        <v>5</v>
      </c>
      <c r="D7036" s="1" t="s">
        <v>34</v>
      </c>
      <c r="E7036" s="1" t="s">
        <v>10</v>
      </c>
      <c r="F7036" s="1" t="s">
        <v>5091</v>
      </c>
      <c r="G7036" s="1" t="s">
        <v>6145</v>
      </c>
      <c r="H7036" s="1" t="s">
        <v>43</v>
      </c>
      <c r="I7036" s="17">
        <v>42108</v>
      </c>
    </row>
    <row r="7037" spans="1:9">
      <c r="A7037" s="16" t="s">
        <v>12257</v>
      </c>
      <c r="B7037" s="1" t="s">
        <v>2631</v>
      </c>
      <c r="C7037" s="1">
        <v>5</v>
      </c>
      <c r="D7037" s="1" t="s">
        <v>34</v>
      </c>
      <c r="E7037" s="1" t="s">
        <v>10</v>
      </c>
      <c r="F7037" s="1" t="s">
        <v>5091</v>
      </c>
      <c r="G7037" s="1" t="s">
        <v>6145</v>
      </c>
      <c r="H7037" s="1" t="s">
        <v>43</v>
      </c>
      <c r="I7037" s="17">
        <v>42108</v>
      </c>
    </row>
    <row r="7038" spans="1:9">
      <c r="A7038" s="16" t="s">
        <v>12259</v>
      </c>
      <c r="B7038" s="1" t="s">
        <v>2628</v>
      </c>
      <c r="C7038" s="1">
        <v>5</v>
      </c>
      <c r="D7038" s="1" t="s">
        <v>34</v>
      </c>
      <c r="E7038" s="1" t="s">
        <v>10</v>
      </c>
      <c r="F7038" s="1" t="s">
        <v>5091</v>
      </c>
      <c r="G7038" s="14" t="s">
        <v>6145</v>
      </c>
      <c r="H7038" s="1" t="s">
        <v>43</v>
      </c>
      <c r="I7038" s="17">
        <v>42759</v>
      </c>
    </row>
    <row r="7039" spans="1:9">
      <c r="A7039" s="16" t="s">
        <v>12260</v>
      </c>
      <c r="B7039" s="1" t="s">
        <v>2628</v>
      </c>
      <c r="C7039" s="1">
        <v>5</v>
      </c>
      <c r="D7039" s="1" t="s">
        <v>34</v>
      </c>
      <c r="E7039" s="1" t="s">
        <v>10</v>
      </c>
      <c r="F7039" s="1" t="s">
        <v>5091</v>
      </c>
      <c r="G7039" s="14" t="s">
        <v>6145</v>
      </c>
      <c r="H7039" s="1" t="s">
        <v>43</v>
      </c>
      <c r="I7039" s="17">
        <v>42759</v>
      </c>
    </row>
    <row r="7040" spans="1:9">
      <c r="A7040" s="16" t="s">
        <v>12261</v>
      </c>
      <c r="B7040" s="1" t="s">
        <v>2628</v>
      </c>
      <c r="C7040" s="1">
        <v>5</v>
      </c>
      <c r="D7040" s="1" t="s">
        <v>34</v>
      </c>
      <c r="E7040" s="1" t="s">
        <v>10</v>
      </c>
      <c r="F7040" s="1" t="s">
        <v>5091</v>
      </c>
      <c r="G7040" s="14" t="s">
        <v>6145</v>
      </c>
      <c r="H7040" s="1" t="s">
        <v>43</v>
      </c>
      <c r="I7040" s="17">
        <v>42759</v>
      </c>
    </row>
    <row r="7041" spans="1:9">
      <c r="A7041" s="16" t="s">
        <v>12262</v>
      </c>
      <c r="B7041" s="1" t="s">
        <v>2628</v>
      </c>
      <c r="C7041" s="1">
        <v>5</v>
      </c>
      <c r="D7041" s="1" t="s">
        <v>34</v>
      </c>
      <c r="E7041" s="1" t="s">
        <v>10</v>
      </c>
      <c r="F7041" s="1" t="s">
        <v>5091</v>
      </c>
      <c r="G7041" s="14" t="s">
        <v>6145</v>
      </c>
      <c r="H7041" s="1" t="s">
        <v>43</v>
      </c>
      <c r="I7041" s="17">
        <v>42759</v>
      </c>
    </row>
    <row r="7042" spans="1:9">
      <c r="A7042" s="16" t="s">
        <v>12263</v>
      </c>
      <c r="B7042" s="1" t="s">
        <v>2628</v>
      </c>
      <c r="C7042" s="1">
        <v>5</v>
      </c>
      <c r="D7042" s="1" t="s">
        <v>34</v>
      </c>
      <c r="E7042" s="1" t="s">
        <v>10</v>
      </c>
      <c r="F7042" s="1" t="s">
        <v>5091</v>
      </c>
      <c r="G7042" s="14" t="s">
        <v>6145</v>
      </c>
      <c r="H7042" s="1" t="s">
        <v>43</v>
      </c>
      <c r="I7042" s="17">
        <v>42759</v>
      </c>
    </row>
    <row r="7043" spans="1:9">
      <c r="A7043" s="16" t="s">
        <v>12264</v>
      </c>
      <c r="B7043" s="1" t="s">
        <v>2628</v>
      </c>
      <c r="C7043" s="1">
        <v>5</v>
      </c>
      <c r="D7043" s="1" t="s">
        <v>34</v>
      </c>
      <c r="E7043" s="1" t="s">
        <v>10</v>
      </c>
      <c r="F7043" s="1" t="s">
        <v>5091</v>
      </c>
      <c r="G7043" s="14" t="s">
        <v>6145</v>
      </c>
      <c r="H7043" s="1" t="s">
        <v>43</v>
      </c>
      <c r="I7043" s="17">
        <v>42759</v>
      </c>
    </row>
    <row r="7044" spans="1:9" ht="31.2">
      <c r="A7044" s="16" t="s">
        <v>12265</v>
      </c>
      <c r="B7044" s="1" t="s">
        <v>2631</v>
      </c>
      <c r="C7044" s="1">
        <v>5</v>
      </c>
      <c r="D7044" s="1" t="s">
        <v>34</v>
      </c>
      <c r="E7044" s="1" t="s">
        <v>10</v>
      </c>
      <c r="F7044" s="1" t="s">
        <v>5091</v>
      </c>
      <c r="G7044" s="1" t="s">
        <v>12246</v>
      </c>
      <c r="H7044" s="1" t="s">
        <v>5</v>
      </c>
      <c r="I7044" s="17">
        <v>42773</v>
      </c>
    </row>
    <row r="7045" spans="1:9" ht="31.2">
      <c r="A7045" s="16" t="s">
        <v>12266</v>
      </c>
      <c r="B7045" s="1" t="s">
        <v>2631</v>
      </c>
      <c r="C7045" s="1">
        <v>5</v>
      </c>
      <c r="D7045" s="1" t="s">
        <v>34</v>
      </c>
      <c r="E7045" s="1" t="s">
        <v>10</v>
      </c>
      <c r="F7045" s="1" t="s">
        <v>5091</v>
      </c>
      <c r="G7045" s="1" t="s">
        <v>12246</v>
      </c>
      <c r="H7045" s="1" t="s">
        <v>5</v>
      </c>
      <c r="I7045" s="17">
        <v>42774</v>
      </c>
    </row>
    <row r="7046" spans="1:9">
      <c r="A7046" s="16" t="s">
        <v>12268</v>
      </c>
      <c r="B7046" s="1" t="s">
        <v>2628</v>
      </c>
      <c r="C7046" s="1">
        <v>5</v>
      </c>
      <c r="D7046" s="1" t="s">
        <v>34</v>
      </c>
      <c r="E7046" s="1" t="s">
        <v>10</v>
      </c>
      <c r="F7046" s="1" t="s">
        <v>5091</v>
      </c>
      <c r="G7046" s="14" t="s">
        <v>6145</v>
      </c>
      <c r="H7046" s="1" t="s">
        <v>43</v>
      </c>
      <c r="I7046" s="17">
        <v>42773</v>
      </c>
    </row>
    <row r="7047" spans="1:9">
      <c r="A7047" s="16" t="s">
        <v>12271</v>
      </c>
      <c r="B7047" s="1" t="s">
        <v>2628</v>
      </c>
      <c r="C7047" s="1">
        <v>5</v>
      </c>
      <c r="D7047" s="1" t="s">
        <v>34</v>
      </c>
      <c r="E7047" s="1" t="s">
        <v>10</v>
      </c>
      <c r="F7047" s="1" t="s">
        <v>5091</v>
      </c>
      <c r="G7047" s="14" t="s">
        <v>6145</v>
      </c>
      <c r="H7047" s="1" t="s">
        <v>43</v>
      </c>
      <c r="I7047" s="17">
        <v>41640</v>
      </c>
    </row>
    <row r="7048" spans="1:9">
      <c r="A7048" s="16" t="s">
        <v>12287</v>
      </c>
      <c r="B7048" s="1" t="s">
        <v>2628</v>
      </c>
      <c r="C7048" s="1">
        <v>5</v>
      </c>
      <c r="D7048" s="1" t="s">
        <v>34</v>
      </c>
      <c r="E7048" s="1" t="s">
        <v>10</v>
      </c>
      <c r="F7048" s="1" t="s">
        <v>5091</v>
      </c>
      <c r="G7048" s="14" t="s">
        <v>6450</v>
      </c>
      <c r="H7048" s="1" t="s">
        <v>43</v>
      </c>
      <c r="I7048" s="17">
        <v>41640</v>
      </c>
    </row>
    <row r="7049" spans="1:9">
      <c r="A7049" s="16" t="s">
        <v>12289</v>
      </c>
      <c r="B7049" s="1" t="s">
        <v>2628</v>
      </c>
      <c r="C7049" s="1">
        <v>5</v>
      </c>
      <c r="D7049" s="1" t="s">
        <v>34</v>
      </c>
      <c r="E7049" s="1" t="s">
        <v>10</v>
      </c>
      <c r="F7049" s="1" t="s">
        <v>5091</v>
      </c>
      <c r="G7049" s="14" t="s">
        <v>6450</v>
      </c>
      <c r="H7049" s="1" t="s">
        <v>43</v>
      </c>
      <c r="I7049" s="17">
        <v>41640</v>
      </c>
    </row>
    <row r="7050" spans="1:9">
      <c r="A7050" s="16" t="s">
        <v>12296</v>
      </c>
      <c r="B7050" s="1" t="s">
        <v>2631</v>
      </c>
      <c r="C7050" s="1">
        <v>5</v>
      </c>
      <c r="D7050" s="1" t="s">
        <v>34</v>
      </c>
      <c r="E7050" s="1" t="s">
        <v>10</v>
      </c>
      <c r="F7050" s="1" t="s">
        <v>5091</v>
      </c>
      <c r="G7050" s="1" t="s">
        <v>6145</v>
      </c>
      <c r="H7050" s="1" t="s">
        <v>43</v>
      </c>
      <c r="I7050" s="17">
        <v>41640</v>
      </c>
    </row>
    <row r="7051" spans="1:9">
      <c r="A7051" s="16" t="s">
        <v>12301</v>
      </c>
      <c r="B7051" s="1" t="s">
        <v>2628</v>
      </c>
      <c r="C7051" s="1">
        <v>5</v>
      </c>
      <c r="D7051" s="1" t="s">
        <v>34</v>
      </c>
      <c r="E7051" s="1" t="s">
        <v>10</v>
      </c>
      <c r="F7051" s="1" t="s">
        <v>5091</v>
      </c>
      <c r="G7051" s="14" t="s">
        <v>6450</v>
      </c>
      <c r="H7051" s="1" t="s">
        <v>43</v>
      </c>
      <c r="I7051" s="17">
        <v>41640</v>
      </c>
    </row>
    <row r="7052" spans="1:9">
      <c r="A7052" s="16" t="s">
        <v>12307</v>
      </c>
      <c r="B7052" s="1" t="s">
        <v>2628</v>
      </c>
      <c r="C7052" s="1">
        <v>5</v>
      </c>
      <c r="D7052" s="1" t="s">
        <v>34</v>
      </c>
      <c r="E7052" s="1" t="s">
        <v>10</v>
      </c>
      <c r="F7052" s="1" t="s">
        <v>5091</v>
      </c>
      <c r="G7052" s="14" t="s">
        <v>6450</v>
      </c>
      <c r="H7052" s="1" t="s">
        <v>43</v>
      </c>
      <c r="I7052" s="17">
        <v>41640</v>
      </c>
    </row>
    <row r="7053" spans="1:9">
      <c r="A7053" s="16" t="s">
        <v>12309</v>
      </c>
      <c r="B7053" s="1" t="s">
        <v>2628</v>
      </c>
      <c r="C7053" s="1">
        <v>5</v>
      </c>
      <c r="D7053" s="1" t="s">
        <v>34</v>
      </c>
      <c r="E7053" s="1" t="s">
        <v>10</v>
      </c>
      <c r="F7053" s="1" t="s">
        <v>5091</v>
      </c>
      <c r="G7053" s="14" t="s">
        <v>6450</v>
      </c>
      <c r="H7053" s="1" t="s">
        <v>43</v>
      </c>
      <c r="I7053" s="17">
        <v>41640</v>
      </c>
    </row>
    <row r="7054" spans="1:9">
      <c r="A7054" s="16" t="s">
        <v>12317</v>
      </c>
      <c r="B7054" s="1" t="s">
        <v>2628</v>
      </c>
      <c r="C7054" s="1">
        <v>5</v>
      </c>
      <c r="D7054" s="1" t="s">
        <v>34</v>
      </c>
      <c r="E7054" s="1" t="s">
        <v>10</v>
      </c>
      <c r="F7054" s="1" t="s">
        <v>5091</v>
      </c>
      <c r="G7054" s="14" t="s">
        <v>6450</v>
      </c>
      <c r="H7054" s="1" t="s">
        <v>43</v>
      </c>
      <c r="I7054" s="17">
        <v>41640</v>
      </c>
    </row>
    <row r="7055" spans="1:9">
      <c r="A7055" s="16" t="s">
        <v>12325</v>
      </c>
      <c r="B7055" s="1" t="s">
        <v>2628</v>
      </c>
      <c r="C7055" s="1">
        <v>5</v>
      </c>
      <c r="D7055" s="1" t="s">
        <v>34</v>
      </c>
      <c r="E7055" s="1" t="s">
        <v>10</v>
      </c>
      <c r="F7055" s="1" t="s">
        <v>5091</v>
      </c>
      <c r="G7055" s="14" t="s">
        <v>6450</v>
      </c>
      <c r="H7055" s="1" t="s">
        <v>43</v>
      </c>
      <c r="I7055" s="17">
        <v>41640</v>
      </c>
    </row>
    <row r="7056" spans="1:9">
      <c r="A7056" s="16" t="s">
        <v>12327</v>
      </c>
      <c r="B7056" s="1" t="s">
        <v>2628</v>
      </c>
      <c r="C7056" s="1">
        <v>2390</v>
      </c>
      <c r="D7056" s="1" t="s">
        <v>34</v>
      </c>
      <c r="E7056" s="1" t="s">
        <v>10</v>
      </c>
      <c r="F7056" s="1" t="s">
        <v>5091</v>
      </c>
      <c r="G7056" s="14" t="s">
        <v>6450</v>
      </c>
      <c r="H7056" s="1" t="s">
        <v>43</v>
      </c>
      <c r="I7056" s="17">
        <v>41640</v>
      </c>
    </row>
    <row r="7057" spans="1:9">
      <c r="A7057" s="16" t="s">
        <v>12329</v>
      </c>
      <c r="B7057" s="1" t="s">
        <v>2628</v>
      </c>
      <c r="C7057" s="1">
        <v>5</v>
      </c>
      <c r="D7057" s="1" t="s">
        <v>34</v>
      </c>
      <c r="E7057" s="1" t="s">
        <v>10</v>
      </c>
      <c r="F7057" s="1" t="s">
        <v>5091</v>
      </c>
      <c r="G7057" s="14" t="s">
        <v>6450</v>
      </c>
      <c r="H7057" s="1" t="s">
        <v>43</v>
      </c>
      <c r="I7057" s="17">
        <v>41640</v>
      </c>
    </row>
    <row r="7058" spans="1:9">
      <c r="A7058" s="16" t="s">
        <v>12331</v>
      </c>
      <c r="B7058" s="1" t="s">
        <v>2628</v>
      </c>
      <c r="C7058" s="1">
        <v>5</v>
      </c>
      <c r="D7058" s="1" t="s">
        <v>34</v>
      </c>
      <c r="E7058" s="1" t="s">
        <v>10</v>
      </c>
      <c r="F7058" s="1" t="s">
        <v>5091</v>
      </c>
      <c r="G7058" s="14" t="s">
        <v>6450</v>
      </c>
      <c r="H7058" s="1" t="s">
        <v>43</v>
      </c>
      <c r="I7058" s="17">
        <v>41640</v>
      </c>
    </row>
    <row r="7059" spans="1:9">
      <c r="A7059" s="16" t="s">
        <v>12332</v>
      </c>
      <c r="B7059" s="1" t="s">
        <v>2628</v>
      </c>
      <c r="C7059" s="1">
        <v>5</v>
      </c>
      <c r="D7059" s="1" t="s">
        <v>34</v>
      </c>
      <c r="E7059" s="1" t="s">
        <v>10</v>
      </c>
      <c r="F7059" s="1" t="s">
        <v>5091</v>
      </c>
      <c r="G7059" s="14" t="s">
        <v>6450</v>
      </c>
      <c r="H7059" s="1" t="s">
        <v>43</v>
      </c>
      <c r="I7059" s="17">
        <v>41640</v>
      </c>
    </row>
    <row r="7060" spans="1:9">
      <c r="A7060" s="16" t="s">
        <v>12334</v>
      </c>
      <c r="B7060" s="1" t="s">
        <v>2628</v>
      </c>
      <c r="C7060" s="1">
        <v>5</v>
      </c>
      <c r="D7060" s="1" t="s">
        <v>34</v>
      </c>
      <c r="E7060" s="1" t="s">
        <v>10</v>
      </c>
      <c r="F7060" s="1" t="s">
        <v>5091</v>
      </c>
      <c r="G7060" s="14" t="s">
        <v>6450</v>
      </c>
      <c r="H7060" s="1" t="s">
        <v>43</v>
      </c>
      <c r="I7060" s="17">
        <v>41640</v>
      </c>
    </row>
    <row r="7061" spans="1:9">
      <c r="A7061" s="16" t="s">
        <v>12345</v>
      </c>
      <c r="B7061" s="1" t="s">
        <v>2631</v>
      </c>
      <c r="C7061" s="1">
        <v>5</v>
      </c>
      <c r="D7061" s="1" t="s">
        <v>34</v>
      </c>
      <c r="E7061" s="1" t="s">
        <v>10</v>
      </c>
      <c r="F7061" s="1" t="s">
        <v>5091</v>
      </c>
      <c r="G7061" s="1" t="s">
        <v>6536</v>
      </c>
      <c r="H7061" s="1" t="s">
        <v>43</v>
      </c>
      <c r="I7061" s="17">
        <v>41640</v>
      </c>
    </row>
    <row r="7062" spans="1:9" ht="31.2">
      <c r="A7062" s="16" t="s">
        <v>12353</v>
      </c>
      <c r="B7062" s="1" t="s">
        <v>2628</v>
      </c>
      <c r="C7062" s="1">
        <v>5</v>
      </c>
      <c r="D7062" s="1" t="s">
        <v>34</v>
      </c>
      <c r="E7062" s="1" t="s">
        <v>10</v>
      </c>
      <c r="F7062" s="1" t="s">
        <v>5091</v>
      </c>
      <c r="G7062" s="14" t="s">
        <v>12354</v>
      </c>
      <c r="H7062" s="1" t="s">
        <v>44</v>
      </c>
      <c r="I7062" s="17">
        <v>42773</v>
      </c>
    </row>
    <row r="7063" spans="1:9">
      <c r="A7063" s="16" t="s">
        <v>12361</v>
      </c>
      <c r="B7063" s="1" t="s">
        <v>2628</v>
      </c>
      <c r="C7063" s="1">
        <v>5</v>
      </c>
      <c r="D7063" s="1" t="s">
        <v>34</v>
      </c>
      <c r="E7063" s="1" t="s">
        <v>10</v>
      </c>
      <c r="F7063" s="1" t="s">
        <v>5091</v>
      </c>
      <c r="G7063" s="14" t="s">
        <v>6145</v>
      </c>
      <c r="H7063" s="1" t="s">
        <v>43</v>
      </c>
      <c r="I7063" s="17">
        <v>42759</v>
      </c>
    </row>
    <row r="7064" spans="1:9">
      <c r="A7064" s="16" t="s">
        <v>12362</v>
      </c>
      <c r="B7064" s="1" t="s">
        <v>2628</v>
      </c>
      <c r="C7064" s="1">
        <v>5</v>
      </c>
      <c r="D7064" s="1" t="s">
        <v>34</v>
      </c>
      <c r="E7064" s="1" t="s">
        <v>10</v>
      </c>
      <c r="F7064" s="1" t="s">
        <v>5091</v>
      </c>
      <c r="G7064" s="14" t="s">
        <v>6145</v>
      </c>
      <c r="H7064" s="1" t="s">
        <v>43</v>
      </c>
      <c r="I7064" s="17">
        <v>42759</v>
      </c>
    </row>
    <row r="7065" spans="1:9">
      <c r="A7065" s="16" t="s">
        <v>12363</v>
      </c>
      <c r="B7065" s="1" t="s">
        <v>2628</v>
      </c>
      <c r="C7065" s="1">
        <v>5</v>
      </c>
      <c r="D7065" s="1" t="s">
        <v>34</v>
      </c>
      <c r="E7065" s="1" t="s">
        <v>10</v>
      </c>
      <c r="F7065" s="1" t="s">
        <v>5091</v>
      </c>
      <c r="G7065" s="14" t="s">
        <v>6145</v>
      </c>
      <c r="H7065" s="1" t="s">
        <v>43</v>
      </c>
      <c r="I7065" s="17">
        <v>42759</v>
      </c>
    </row>
    <row r="7066" spans="1:9">
      <c r="A7066" s="16" t="s">
        <v>12364</v>
      </c>
      <c r="B7066" s="1" t="s">
        <v>2628</v>
      </c>
      <c r="C7066" s="1">
        <v>5</v>
      </c>
      <c r="D7066" s="1" t="s">
        <v>34</v>
      </c>
      <c r="E7066" s="1" t="s">
        <v>10</v>
      </c>
      <c r="F7066" s="1" t="s">
        <v>5091</v>
      </c>
      <c r="G7066" s="14" t="s">
        <v>6145</v>
      </c>
      <c r="H7066" s="1" t="s">
        <v>43</v>
      </c>
      <c r="I7066" s="17">
        <v>42759</v>
      </c>
    </row>
    <row r="7067" spans="1:9">
      <c r="A7067" s="16" t="s">
        <v>12365</v>
      </c>
      <c r="B7067" s="1" t="s">
        <v>2628</v>
      </c>
      <c r="C7067" s="1">
        <v>5</v>
      </c>
      <c r="D7067" s="1" t="s">
        <v>34</v>
      </c>
      <c r="E7067" s="1" t="s">
        <v>10</v>
      </c>
      <c r="F7067" s="1" t="s">
        <v>5091</v>
      </c>
      <c r="G7067" s="14" t="s">
        <v>6145</v>
      </c>
      <c r="H7067" s="1" t="s">
        <v>43</v>
      </c>
      <c r="I7067" s="17">
        <v>42759</v>
      </c>
    </row>
    <row r="7068" spans="1:9">
      <c r="A7068" s="16" t="s">
        <v>12366</v>
      </c>
      <c r="B7068" s="1" t="s">
        <v>2628</v>
      </c>
      <c r="C7068" s="1">
        <v>5</v>
      </c>
      <c r="D7068" s="1" t="s">
        <v>34</v>
      </c>
      <c r="E7068" s="1" t="s">
        <v>10</v>
      </c>
      <c r="F7068" s="1" t="s">
        <v>5091</v>
      </c>
      <c r="G7068" s="14" t="s">
        <v>6145</v>
      </c>
      <c r="H7068" s="1" t="s">
        <v>43</v>
      </c>
      <c r="I7068" s="17">
        <v>42759</v>
      </c>
    </row>
    <row r="7069" spans="1:9">
      <c r="A7069" s="16" t="s">
        <v>12367</v>
      </c>
      <c r="B7069" s="1" t="s">
        <v>2628</v>
      </c>
      <c r="C7069" s="1">
        <v>5</v>
      </c>
      <c r="D7069" s="1" t="s">
        <v>34</v>
      </c>
      <c r="E7069" s="1" t="s">
        <v>10</v>
      </c>
      <c r="F7069" s="1" t="s">
        <v>5091</v>
      </c>
      <c r="G7069" s="14" t="s">
        <v>6145</v>
      </c>
      <c r="H7069" s="1" t="s">
        <v>43</v>
      </c>
      <c r="I7069" s="17">
        <v>42759</v>
      </c>
    </row>
    <row r="7070" spans="1:9">
      <c r="A7070" s="16" t="s">
        <v>12368</v>
      </c>
      <c r="B7070" s="1" t="s">
        <v>2628</v>
      </c>
      <c r="C7070" s="1">
        <v>5</v>
      </c>
      <c r="D7070" s="1" t="s">
        <v>34</v>
      </c>
      <c r="E7070" s="1" t="s">
        <v>10</v>
      </c>
      <c r="F7070" s="1" t="s">
        <v>5091</v>
      </c>
      <c r="G7070" s="14" t="s">
        <v>6145</v>
      </c>
      <c r="H7070" s="1" t="s">
        <v>43</v>
      </c>
      <c r="I7070" s="17">
        <v>42759</v>
      </c>
    </row>
    <row r="7071" spans="1:9">
      <c r="A7071" s="16" t="s">
        <v>12369</v>
      </c>
      <c r="B7071" s="1" t="s">
        <v>2628</v>
      </c>
      <c r="C7071" s="1">
        <v>5</v>
      </c>
      <c r="D7071" s="1" t="s">
        <v>34</v>
      </c>
      <c r="E7071" s="1" t="s">
        <v>10</v>
      </c>
      <c r="F7071" s="1" t="s">
        <v>5091</v>
      </c>
      <c r="G7071" s="14" t="s">
        <v>6145</v>
      </c>
      <c r="H7071" s="1" t="s">
        <v>43</v>
      </c>
      <c r="I7071" s="17">
        <v>42759</v>
      </c>
    </row>
    <row r="7072" spans="1:9">
      <c r="A7072" s="16" t="s">
        <v>12397</v>
      </c>
      <c r="B7072" s="1" t="s">
        <v>2628</v>
      </c>
      <c r="C7072" s="1">
        <v>5</v>
      </c>
      <c r="D7072" s="1" t="s">
        <v>34</v>
      </c>
      <c r="E7072" s="1" t="s">
        <v>10</v>
      </c>
      <c r="F7072" s="1" t="s">
        <v>5091</v>
      </c>
      <c r="G7072" s="14" t="s">
        <v>6450</v>
      </c>
      <c r="H7072" s="1" t="s">
        <v>43</v>
      </c>
      <c r="I7072" s="17">
        <v>41640</v>
      </c>
    </row>
    <row r="7073" spans="1:9">
      <c r="A7073" s="16" t="s">
        <v>12400</v>
      </c>
      <c r="B7073" s="1" t="s">
        <v>2628</v>
      </c>
      <c r="C7073" s="1">
        <v>5</v>
      </c>
      <c r="D7073" s="1" t="s">
        <v>34</v>
      </c>
      <c r="E7073" s="1" t="s">
        <v>10</v>
      </c>
      <c r="F7073" s="1" t="s">
        <v>5091</v>
      </c>
      <c r="G7073" s="14" t="s">
        <v>6450</v>
      </c>
      <c r="H7073" s="1" t="s">
        <v>43</v>
      </c>
      <c r="I7073" s="17">
        <v>41640</v>
      </c>
    </row>
    <row r="7074" spans="1:9">
      <c r="A7074" s="16" t="s">
        <v>12401</v>
      </c>
      <c r="B7074" s="1" t="s">
        <v>2628</v>
      </c>
      <c r="C7074" s="1">
        <v>5</v>
      </c>
      <c r="D7074" s="1" t="s">
        <v>34</v>
      </c>
      <c r="E7074" s="1" t="s">
        <v>10</v>
      </c>
      <c r="F7074" s="1" t="s">
        <v>5091</v>
      </c>
      <c r="G7074" s="14" t="s">
        <v>6450</v>
      </c>
      <c r="H7074" s="1" t="s">
        <v>43</v>
      </c>
      <c r="I7074" s="17">
        <v>41640</v>
      </c>
    </row>
    <row r="7075" spans="1:9">
      <c r="A7075" s="16" t="s">
        <v>12410</v>
      </c>
      <c r="B7075" s="1" t="s">
        <v>2628</v>
      </c>
      <c r="C7075" s="1">
        <v>5</v>
      </c>
      <c r="D7075" s="1" t="s">
        <v>34</v>
      </c>
      <c r="E7075" s="1" t="s">
        <v>10</v>
      </c>
      <c r="F7075" s="1" t="s">
        <v>5091</v>
      </c>
      <c r="G7075" s="14" t="s">
        <v>12411</v>
      </c>
      <c r="H7075" s="1" t="s">
        <v>315</v>
      </c>
      <c r="I7075" s="17">
        <v>42370</v>
      </c>
    </row>
    <row r="7076" spans="1:9">
      <c r="A7076" s="16" t="s">
        <v>12415</v>
      </c>
      <c r="B7076" s="1" t="s">
        <v>2628</v>
      </c>
      <c r="C7076" s="1">
        <v>5</v>
      </c>
      <c r="D7076" s="1" t="s">
        <v>34</v>
      </c>
      <c r="E7076" s="1" t="s">
        <v>10</v>
      </c>
      <c r="F7076" s="1" t="s">
        <v>5091</v>
      </c>
      <c r="G7076" s="14" t="s">
        <v>12416</v>
      </c>
      <c r="H7076" s="1" t="s">
        <v>5</v>
      </c>
      <c r="I7076" s="17">
        <v>42370</v>
      </c>
    </row>
    <row r="7077" spans="1:9">
      <c r="A7077" s="16" t="s">
        <v>12422</v>
      </c>
      <c r="B7077" s="1" t="s">
        <v>2628</v>
      </c>
      <c r="C7077" s="1">
        <v>5</v>
      </c>
      <c r="D7077" s="1" t="s">
        <v>34</v>
      </c>
      <c r="E7077" s="1" t="s">
        <v>10</v>
      </c>
      <c r="F7077" s="1" t="s">
        <v>5091</v>
      </c>
      <c r="G7077" s="14" t="s">
        <v>12423</v>
      </c>
      <c r="H7077" s="1" t="s">
        <v>5</v>
      </c>
      <c r="I7077" s="17">
        <v>41640</v>
      </c>
    </row>
    <row r="7078" spans="1:9">
      <c r="A7078" s="16" t="s">
        <v>12425</v>
      </c>
      <c r="B7078" s="1" t="s">
        <v>2628</v>
      </c>
      <c r="C7078" s="1">
        <v>5</v>
      </c>
      <c r="D7078" s="1" t="s">
        <v>34</v>
      </c>
      <c r="E7078" s="1" t="s">
        <v>10</v>
      </c>
      <c r="F7078" s="1" t="s">
        <v>5091</v>
      </c>
      <c r="G7078" s="14" t="s">
        <v>6450</v>
      </c>
      <c r="H7078" s="1" t="s">
        <v>43</v>
      </c>
      <c r="I7078" s="17">
        <v>41640</v>
      </c>
    </row>
    <row r="7079" spans="1:9">
      <c r="A7079" s="16" t="s">
        <v>12426</v>
      </c>
      <c r="B7079" s="1" t="s">
        <v>2628</v>
      </c>
      <c r="C7079" s="1">
        <v>5</v>
      </c>
      <c r="D7079" s="1" t="s">
        <v>34</v>
      </c>
      <c r="E7079" s="1" t="s">
        <v>10</v>
      </c>
      <c r="F7079" s="1" t="s">
        <v>5091</v>
      </c>
      <c r="G7079" s="14" t="s">
        <v>6450</v>
      </c>
      <c r="H7079" s="1" t="s">
        <v>43</v>
      </c>
      <c r="I7079" s="17">
        <v>42005</v>
      </c>
    </row>
    <row r="7080" spans="1:9">
      <c r="A7080" s="16" t="s">
        <v>12428</v>
      </c>
      <c r="B7080" s="1" t="s">
        <v>2628</v>
      </c>
      <c r="C7080" s="1">
        <v>5</v>
      </c>
      <c r="D7080" s="1" t="s">
        <v>34</v>
      </c>
      <c r="E7080" s="1" t="s">
        <v>10</v>
      </c>
      <c r="F7080" s="1" t="s">
        <v>5091</v>
      </c>
      <c r="G7080" s="14" t="s">
        <v>6450</v>
      </c>
      <c r="H7080" s="1" t="s">
        <v>43</v>
      </c>
      <c r="I7080" s="17">
        <v>42005</v>
      </c>
    </row>
    <row r="7081" spans="1:9">
      <c r="A7081" s="16" t="s">
        <v>12431</v>
      </c>
      <c r="B7081" s="1" t="s">
        <v>2628</v>
      </c>
      <c r="C7081" s="1">
        <v>5</v>
      </c>
      <c r="D7081" s="1" t="s">
        <v>34</v>
      </c>
      <c r="E7081" s="1" t="s">
        <v>10</v>
      </c>
      <c r="F7081" s="1" t="s">
        <v>5091</v>
      </c>
      <c r="G7081" s="14" t="s">
        <v>6450</v>
      </c>
      <c r="H7081" s="1" t="s">
        <v>43</v>
      </c>
      <c r="I7081" s="17">
        <v>42005</v>
      </c>
    </row>
    <row r="7082" spans="1:9">
      <c r="A7082" s="16" t="s">
        <v>12465</v>
      </c>
      <c r="B7082" s="1" t="s">
        <v>2631</v>
      </c>
      <c r="C7082" s="1">
        <v>5</v>
      </c>
      <c r="D7082" s="1" t="s">
        <v>34</v>
      </c>
      <c r="E7082" s="1" t="s">
        <v>10</v>
      </c>
      <c r="F7082" s="1" t="s">
        <v>5091</v>
      </c>
      <c r="G7082" s="1" t="s">
        <v>6450</v>
      </c>
      <c r="H7082" s="1" t="s">
        <v>43</v>
      </c>
      <c r="I7082" s="17">
        <v>41640</v>
      </c>
    </row>
    <row r="7083" spans="1:9">
      <c r="A7083" s="16" t="s">
        <v>12474</v>
      </c>
      <c r="B7083" s="1" t="s">
        <v>2628</v>
      </c>
      <c r="C7083" s="1">
        <v>5</v>
      </c>
      <c r="D7083" s="1" t="s">
        <v>34</v>
      </c>
      <c r="E7083" s="1" t="s">
        <v>10</v>
      </c>
      <c r="F7083" s="1" t="s">
        <v>5091</v>
      </c>
      <c r="G7083" s="14" t="s">
        <v>8782</v>
      </c>
      <c r="H7083" s="1" t="s">
        <v>5</v>
      </c>
      <c r="I7083" s="17">
        <v>41640</v>
      </c>
    </row>
    <row r="7084" spans="1:9">
      <c r="A7084" s="16" t="s">
        <v>12480</v>
      </c>
      <c r="B7084" s="1" t="s">
        <v>2628</v>
      </c>
      <c r="C7084" s="1">
        <v>5</v>
      </c>
      <c r="D7084" s="1" t="s">
        <v>34</v>
      </c>
      <c r="E7084" s="1" t="s">
        <v>10</v>
      </c>
      <c r="F7084" s="1" t="s">
        <v>5091</v>
      </c>
      <c r="G7084" s="14" t="s">
        <v>12479</v>
      </c>
      <c r="H7084" s="1" t="s">
        <v>5</v>
      </c>
      <c r="I7084" s="17">
        <v>40273</v>
      </c>
    </row>
    <row r="7085" spans="1:9">
      <c r="A7085" s="16" t="s">
        <v>12481</v>
      </c>
      <c r="B7085" s="1" t="s">
        <v>2631</v>
      </c>
      <c r="C7085" s="1">
        <v>5</v>
      </c>
      <c r="D7085" s="1" t="s">
        <v>34</v>
      </c>
      <c r="E7085" s="1" t="s">
        <v>10</v>
      </c>
      <c r="F7085" s="1" t="s">
        <v>5091</v>
      </c>
      <c r="G7085" s="1" t="s">
        <v>6145</v>
      </c>
      <c r="H7085" s="1" t="s">
        <v>43</v>
      </c>
      <c r="I7085" s="17">
        <v>41041</v>
      </c>
    </row>
    <row r="7086" spans="1:9">
      <c r="A7086" s="16" t="s">
        <v>12482</v>
      </c>
      <c r="B7086" s="1" t="s">
        <v>2631</v>
      </c>
      <c r="C7086" s="1">
        <v>5</v>
      </c>
      <c r="D7086" s="1" t="s">
        <v>34</v>
      </c>
      <c r="E7086" s="1" t="s">
        <v>10</v>
      </c>
      <c r="F7086" s="1" t="s">
        <v>5091</v>
      </c>
      <c r="G7086" s="1" t="s">
        <v>6145</v>
      </c>
      <c r="H7086" s="1" t="s">
        <v>43</v>
      </c>
      <c r="I7086" s="17">
        <v>42108</v>
      </c>
    </row>
    <row r="7087" spans="1:9">
      <c r="A7087" s="16" t="s">
        <v>12483</v>
      </c>
      <c r="B7087" s="1" t="s">
        <v>2631</v>
      </c>
      <c r="C7087" s="1">
        <v>5</v>
      </c>
      <c r="D7087" s="1" t="s">
        <v>34</v>
      </c>
      <c r="E7087" s="1" t="s">
        <v>10</v>
      </c>
      <c r="F7087" s="1" t="s">
        <v>5091</v>
      </c>
      <c r="G7087" s="1" t="s">
        <v>6145</v>
      </c>
      <c r="H7087" s="1" t="s">
        <v>43</v>
      </c>
      <c r="I7087" s="17">
        <v>41041</v>
      </c>
    </row>
    <row r="7088" spans="1:9">
      <c r="A7088" s="16" t="s">
        <v>12484</v>
      </c>
      <c r="B7088" s="1" t="s">
        <v>2631</v>
      </c>
      <c r="C7088" s="1">
        <v>5</v>
      </c>
      <c r="D7088" s="1" t="s">
        <v>34</v>
      </c>
      <c r="E7088" s="1" t="s">
        <v>10</v>
      </c>
      <c r="F7088" s="1" t="s">
        <v>5091</v>
      </c>
      <c r="G7088" s="1" t="s">
        <v>6145</v>
      </c>
      <c r="H7088" s="1" t="s">
        <v>43</v>
      </c>
      <c r="I7088" s="17">
        <v>41041</v>
      </c>
    </row>
    <row r="7089" spans="1:10">
      <c r="A7089" s="16" t="s">
        <v>12485</v>
      </c>
      <c r="B7089" s="1" t="s">
        <v>2631</v>
      </c>
      <c r="C7089" s="1">
        <v>5</v>
      </c>
      <c r="D7089" s="1" t="s">
        <v>34</v>
      </c>
      <c r="E7089" s="1" t="s">
        <v>10</v>
      </c>
      <c r="F7089" s="1" t="s">
        <v>5091</v>
      </c>
      <c r="G7089" s="1" t="s">
        <v>6145</v>
      </c>
      <c r="H7089" s="1" t="s">
        <v>43</v>
      </c>
      <c r="I7089" s="17">
        <v>41041</v>
      </c>
    </row>
    <row r="7090" spans="1:10">
      <c r="A7090" s="16" t="s">
        <v>12487</v>
      </c>
      <c r="B7090" s="1" t="s">
        <v>2631</v>
      </c>
      <c r="C7090" s="1">
        <v>5</v>
      </c>
      <c r="D7090" s="1" t="s">
        <v>34</v>
      </c>
      <c r="E7090" s="1" t="s">
        <v>10</v>
      </c>
      <c r="F7090" s="1" t="s">
        <v>5091</v>
      </c>
      <c r="G7090" s="1" t="s">
        <v>6145</v>
      </c>
      <c r="H7090" s="1" t="s">
        <v>43</v>
      </c>
      <c r="I7090" s="17">
        <v>41041</v>
      </c>
    </row>
    <row r="7091" spans="1:10" ht="31.2">
      <c r="A7091" s="16" t="s">
        <v>12490</v>
      </c>
      <c r="B7091" s="1" t="s">
        <v>2631</v>
      </c>
      <c r="C7091" s="1">
        <v>5</v>
      </c>
      <c r="D7091" s="1" t="s">
        <v>34</v>
      </c>
      <c r="E7091" s="1" t="s">
        <v>10</v>
      </c>
      <c r="F7091" s="1" t="s">
        <v>5091</v>
      </c>
      <c r="G7091" s="1" t="s">
        <v>6145</v>
      </c>
      <c r="H7091" s="1" t="s">
        <v>43</v>
      </c>
      <c r="I7091" s="17">
        <v>41512</v>
      </c>
    </row>
    <row r="7092" spans="1:10" ht="31.2">
      <c r="A7092" s="16" t="s">
        <v>12498</v>
      </c>
      <c r="B7092" s="1" t="s">
        <v>2631</v>
      </c>
      <c r="C7092" s="1">
        <v>5</v>
      </c>
      <c r="D7092" s="1" t="s">
        <v>34</v>
      </c>
      <c r="E7092" s="1" t="s">
        <v>10</v>
      </c>
      <c r="F7092" s="1" t="s">
        <v>5091</v>
      </c>
      <c r="G7092" s="1" t="s">
        <v>6145</v>
      </c>
      <c r="H7092" s="1" t="s">
        <v>43</v>
      </c>
      <c r="I7092" s="17">
        <v>41512</v>
      </c>
    </row>
    <row r="7093" spans="1:10">
      <c r="A7093" s="16" t="s">
        <v>12505</v>
      </c>
      <c r="B7093" s="1" t="s">
        <v>2631</v>
      </c>
      <c r="C7093" s="1">
        <v>5</v>
      </c>
      <c r="D7093" s="1" t="s">
        <v>34</v>
      </c>
      <c r="E7093" s="1" t="s">
        <v>10</v>
      </c>
      <c r="F7093" s="1" t="s">
        <v>5091</v>
      </c>
      <c r="G7093" s="1" t="s">
        <v>6145</v>
      </c>
      <c r="H7093" s="1" t="s">
        <v>43</v>
      </c>
      <c r="I7093" s="17">
        <v>41041</v>
      </c>
      <c r="J7093" s="11"/>
    </row>
    <row r="7094" spans="1:10">
      <c r="A7094" s="16" t="s">
        <v>12530</v>
      </c>
      <c r="B7094" s="1" t="s">
        <v>2628</v>
      </c>
      <c r="C7094" s="1">
        <v>5</v>
      </c>
      <c r="D7094" s="1" t="s">
        <v>34</v>
      </c>
      <c r="E7094" s="1" t="s">
        <v>10</v>
      </c>
      <c r="F7094" s="1" t="s">
        <v>5091</v>
      </c>
      <c r="G7094" s="14" t="s">
        <v>12411</v>
      </c>
      <c r="H7094" s="1" t="s">
        <v>315</v>
      </c>
      <c r="I7094" s="17">
        <v>42370</v>
      </c>
    </row>
    <row r="7095" spans="1:10">
      <c r="A7095" s="16" t="s">
        <v>12550</v>
      </c>
      <c r="B7095" s="1" t="s">
        <v>2628</v>
      </c>
      <c r="C7095" s="1">
        <v>5</v>
      </c>
      <c r="D7095" s="1" t="s">
        <v>34</v>
      </c>
      <c r="E7095" s="1" t="s">
        <v>10</v>
      </c>
      <c r="F7095" s="1" t="s">
        <v>5091</v>
      </c>
      <c r="G7095" s="14" t="s">
        <v>4458</v>
      </c>
      <c r="H7095" s="1" t="s">
        <v>118</v>
      </c>
      <c r="I7095" s="17">
        <v>42736</v>
      </c>
    </row>
    <row r="7096" spans="1:10">
      <c r="A7096" s="16" t="s">
        <v>12553</v>
      </c>
      <c r="B7096" s="1" t="s">
        <v>2628</v>
      </c>
      <c r="C7096" s="1">
        <v>5</v>
      </c>
      <c r="D7096" s="1" t="s">
        <v>34</v>
      </c>
      <c r="E7096" s="1" t="s">
        <v>10</v>
      </c>
      <c r="F7096" s="1" t="s">
        <v>5091</v>
      </c>
      <c r="G7096" s="14" t="s">
        <v>4458</v>
      </c>
      <c r="H7096" s="1" t="s">
        <v>118</v>
      </c>
      <c r="I7096" s="17">
        <v>42736</v>
      </c>
    </row>
    <row r="7097" spans="1:10">
      <c r="A7097" s="16" t="s">
        <v>12561</v>
      </c>
      <c r="B7097" s="1" t="s">
        <v>2628</v>
      </c>
      <c r="C7097" s="1">
        <v>5</v>
      </c>
      <c r="D7097" s="1" t="s">
        <v>34</v>
      </c>
      <c r="E7097" s="1" t="s">
        <v>10</v>
      </c>
      <c r="F7097" s="1" t="s">
        <v>5091</v>
      </c>
      <c r="G7097" s="14" t="s">
        <v>6145</v>
      </c>
      <c r="H7097" s="1" t="s">
        <v>43</v>
      </c>
      <c r="I7097" s="17">
        <v>40862</v>
      </c>
    </row>
    <row r="7098" spans="1:10">
      <c r="A7098" s="16" t="s">
        <v>12562</v>
      </c>
      <c r="B7098" s="1" t="s">
        <v>2628</v>
      </c>
      <c r="C7098" s="1">
        <v>5</v>
      </c>
      <c r="D7098" s="1" t="s">
        <v>34</v>
      </c>
      <c r="E7098" s="1" t="s">
        <v>10</v>
      </c>
      <c r="F7098" s="1" t="s">
        <v>5091</v>
      </c>
      <c r="G7098" s="14" t="s">
        <v>6145</v>
      </c>
      <c r="H7098" s="1" t="s">
        <v>43</v>
      </c>
      <c r="I7098" s="17">
        <v>42793</v>
      </c>
    </row>
    <row r="7099" spans="1:10">
      <c r="A7099" s="16" t="s">
        <v>12580</v>
      </c>
      <c r="B7099" s="1" t="s">
        <v>2628</v>
      </c>
      <c r="C7099" s="1">
        <v>5</v>
      </c>
      <c r="D7099" s="1" t="s">
        <v>34</v>
      </c>
      <c r="E7099" s="1" t="s">
        <v>10</v>
      </c>
      <c r="F7099" s="1" t="s">
        <v>5091</v>
      </c>
      <c r="G7099" s="14" t="s">
        <v>6145</v>
      </c>
      <c r="H7099" s="1" t="s">
        <v>43</v>
      </c>
      <c r="I7099" s="17">
        <v>42736</v>
      </c>
    </row>
    <row r="7100" spans="1:10">
      <c r="A7100" s="16" t="s">
        <v>12586</v>
      </c>
      <c r="B7100" s="1" t="s">
        <v>2628</v>
      </c>
      <c r="C7100" s="1">
        <v>5</v>
      </c>
      <c r="D7100" s="1" t="s">
        <v>34</v>
      </c>
      <c r="E7100" s="1" t="s">
        <v>10</v>
      </c>
      <c r="F7100" s="1" t="s">
        <v>5091</v>
      </c>
      <c r="G7100" s="14" t="s">
        <v>12587</v>
      </c>
      <c r="H7100" s="1" t="s">
        <v>43</v>
      </c>
      <c r="I7100" s="17">
        <v>38296</v>
      </c>
    </row>
    <row r="7101" spans="1:10">
      <c r="A7101" s="16" t="s">
        <v>12595</v>
      </c>
      <c r="B7101" s="1" t="s">
        <v>2628</v>
      </c>
      <c r="C7101" s="1">
        <v>820</v>
      </c>
      <c r="D7101" s="1" t="s">
        <v>34</v>
      </c>
      <c r="E7101" s="1" t="s">
        <v>10</v>
      </c>
      <c r="F7101" s="1" t="s">
        <v>5091</v>
      </c>
      <c r="G7101" s="14" t="s">
        <v>4458</v>
      </c>
      <c r="H7101" s="1" t="s">
        <v>118</v>
      </c>
      <c r="I7101" s="17">
        <v>42795</v>
      </c>
    </row>
    <row r="7102" spans="1:10">
      <c r="A7102" s="16" t="s">
        <v>12609</v>
      </c>
      <c r="B7102" s="1" t="s">
        <v>2628</v>
      </c>
      <c r="C7102" s="1">
        <v>5</v>
      </c>
      <c r="D7102" s="1" t="s">
        <v>34</v>
      </c>
      <c r="E7102" s="1" t="s">
        <v>10</v>
      </c>
      <c r="F7102" s="1" t="s">
        <v>5091</v>
      </c>
      <c r="G7102" s="14" t="s">
        <v>4458</v>
      </c>
      <c r="H7102" s="1" t="s">
        <v>118</v>
      </c>
      <c r="I7102" s="17">
        <v>42807</v>
      </c>
    </row>
    <row r="7103" spans="1:10">
      <c r="A7103" s="16" t="s">
        <v>12618</v>
      </c>
      <c r="B7103" s="1" t="s">
        <v>2628</v>
      </c>
      <c r="C7103" s="1">
        <v>5</v>
      </c>
      <c r="D7103" s="1" t="s">
        <v>34</v>
      </c>
      <c r="E7103" s="1" t="s">
        <v>10</v>
      </c>
      <c r="F7103" s="1" t="s">
        <v>5091</v>
      </c>
      <c r="G7103" s="14" t="s">
        <v>8764</v>
      </c>
      <c r="H7103" s="1" t="s">
        <v>43</v>
      </c>
      <c r="I7103" s="17">
        <v>38569</v>
      </c>
    </row>
    <row r="7104" spans="1:10">
      <c r="A7104" s="16" t="s">
        <v>12626</v>
      </c>
      <c r="B7104" s="1" t="s">
        <v>2628</v>
      </c>
      <c r="C7104" s="1">
        <v>5</v>
      </c>
      <c r="D7104" s="1" t="s">
        <v>34</v>
      </c>
      <c r="E7104" s="1" t="s">
        <v>10</v>
      </c>
      <c r="F7104" s="1" t="s">
        <v>5091</v>
      </c>
      <c r="G7104" s="14" t="s">
        <v>4458</v>
      </c>
      <c r="H7104" s="1" t="s">
        <v>118</v>
      </c>
      <c r="I7104" s="17">
        <v>42795</v>
      </c>
    </row>
    <row r="7105" spans="1:9">
      <c r="A7105" s="16" t="s">
        <v>12627</v>
      </c>
      <c r="B7105" s="1" t="s">
        <v>2628</v>
      </c>
      <c r="C7105" s="1">
        <v>5</v>
      </c>
      <c r="D7105" s="1" t="s">
        <v>34</v>
      </c>
      <c r="E7105" s="1" t="s">
        <v>10</v>
      </c>
      <c r="F7105" s="1" t="s">
        <v>5091</v>
      </c>
      <c r="G7105" s="14" t="s">
        <v>4458</v>
      </c>
      <c r="H7105" s="1" t="s">
        <v>118</v>
      </c>
      <c r="I7105" s="1" t="s">
        <v>4458</v>
      </c>
    </row>
    <row r="7106" spans="1:9">
      <c r="A7106" s="16" t="s">
        <v>12632</v>
      </c>
      <c r="B7106" s="1" t="s">
        <v>2628</v>
      </c>
      <c r="C7106" s="1">
        <v>5</v>
      </c>
      <c r="D7106" s="1" t="s">
        <v>34</v>
      </c>
      <c r="E7106" s="1" t="s">
        <v>10</v>
      </c>
      <c r="F7106" s="1" t="s">
        <v>5091</v>
      </c>
      <c r="G7106" s="14" t="s">
        <v>4458</v>
      </c>
      <c r="H7106" s="1" t="s">
        <v>118</v>
      </c>
      <c r="I7106" s="17">
        <v>40544</v>
      </c>
    </row>
    <row r="7107" spans="1:9">
      <c r="A7107" s="16" t="s">
        <v>12633</v>
      </c>
      <c r="B7107" s="1" t="s">
        <v>2628</v>
      </c>
      <c r="C7107" s="1">
        <v>5</v>
      </c>
      <c r="D7107" s="1" t="s">
        <v>34</v>
      </c>
      <c r="E7107" s="1" t="s">
        <v>10</v>
      </c>
      <c r="F7107" s="1" t="s">
        <v>5091</v>
      </c>
      <c r="G7107" s="14" t="s">
        <v>4458</v>
      </c>
      <c r="H7107" s="1" t="s">
        <v>118</v>
      </c>
      <c r="I7107" s="17">
        <v>40544</v>
      </c>
    </row>
    <row r="7108" spans="1:9">
      <c r="A7108" s="16" t="s">
        <v>12634</v>
      </c>
      <c r="B7108" s="1" t="s">
        <v>2628</v>
      </c>
      <c r="C7108" s="1">
        <v>5</v>
      </c>
      <c r="D7108" s="1" t="s">
        <v>34</v>
      </c>
      <c r="E7108" s="1" t="s">
        <v>10</v>
      </c>
      <c r="F7108" s="1" t="s">
        <v>5091</v>
      </c>
      <c r="G7108" s="14" t="s">
        <v>4458</v>
      </c>
      <c r="H7108" s="1" t="s">
        <v>118</v>
      </c>
      <c r="I7108" s="17">
        <v>42736</v>
      </c>
    </row>
    <row r="7109" spans="1:9">
      <c r="A7109" s="16" t="s">
        <v>12636</v>
      </c>
      <c r="B7109" s="1" t="s">
        <v>2628</v>
      </c>
      <c r="C7109" s="1">
        <v>5</v>
      </c>
      <c r="D7109" s="1" t="s">
        <v>34</v>
      </c>
      <c r="E7109" s="1" t="s">
        <v>10</v>
      </c>
      <c r="F7109" s="1" t="s">
        <v>5091</v>
      </c>
      <c r="G7109" s="14" t="s">
        <v>4458</v>
      </c>
      <c r="H7109" s="1" t="s">
        <v>118</v>
      </c>
      <c r="I7109" s="17">
        <v>42814</v>
      </c>
    </row>
    <row r="7110" spans="1:9">
      <c r="A7110" s="16" t="s">
        <v>12638</v>
      </c>
      <c r="B7110" s="1" t="s">
        <v>2628</v>
      </c>
      <c r="C7110" s="1">
        <v>5</v>
      </c>
      <c r="D7110" s="1" t="s">
        <v>34</v>
      </c>
      <c r="E7110" s="1" t="s">
        <v>10</v>
      </c>
      <c r="F7110" s="1" t="s">
        <v>5091</v>
      </c>
      <c r="G7110" s="14" t="s">
        <v>4458</v>
      </c>
      <c r="H7110" s="1" t="s">
        <v>118</v>
      </c>
      <c r="I7110" s="17">
        <v>42814</v>
      </c>
    </row>
    <row r="7111" spans="1:9">
      <c r="A7111" s="16" t="s">
        <v>12639</v>
      </c>
      <c r="B7111" s="1" t="s">
        <v>2628</v>
      </c>
      <c r="C7111" s="1">
        <v>5</v>
      </c>
      <c r="D7111" s="1" t="s">
        <v>34</v>
      </c>
      <c r="E7111" s="1" t="s">
        <v>10</v>
      </c>
      <c r="F7111" s="1" t="s">
        <v>5091</v>
      </c>
      <c r="G7111" s="14" t="s">
        <v>4458</v>
      </c>
      <c r="H7111" s="1" t="s">
        <v>118</v>
      </c>
      <c r="I7111" s="17">
        <v>42814</v>
      </c>
    </row>
    <row r="7112" spans="1:9">
      <c r="A7112" s="16" t="s">
        <v>12664</v>
      </c>
      <c r="B7112" s="1" t="s">
        <v>2631</v>
      </c>
      <c r="C7112" s="1">
        <v>5</v>
      </c>
      <c r="D7112" s="1" t="s">
        <v>34</v>
      </c>
      <c r="E7112" s="1" t="s">
        <v>10</v>
      </c>
      <c r="F7112" s="1" t="s">
        <v>5091</v>
      </c>
      <c r="G7112" s="14" t="s">
        <v>4458</v>
      </c>
      <c r="H7112" s="1" t="s">
        <v>118</v>
      </c>
      <c r="I7112" s="17">
        <v>42802</v>
      </c>
    </row>
    <row r="7113" spans="1:9">
      <c r="A7113" s="16" t="s">
        <v>12670</v>
      </c>
      <c r="B7113" s="1" t="s">
        <v>2631</v>
      </c>
      <c r="C7113" s="1">
        <v>5</v>
      </c>
      <c r="D7113" s="1" t="s">
        <v>34</v>
      </c>
      <c r="E7113" s="1" t="s">
        <v>10</v>
      </c>
      <c r="F7113" s="1" t="s">
        <v>5091</v>
      </c>
      <c r="G7113" s="14" t="s">
        <v>4458</v>
      </c>
      <c r="H7113" s="1" t="s">
        <v>118</v>
      </c>
      <c r="I7113" s="17">
        <v>42802</v>
      </c>
    </row>
    <row r="7114" spans="1:9">
      <c r="A7114" s="16" t="s">
        <v>12674</v>
      </c>
      <c r="B7114" s="1" t="s">
        <v>2628</v>
      </c>
      <c r="C7114" s="1">
        <v>5</v>
      </c>
      <c r="D7114" s="1" t="s">
        <v>34</v>
      </c>
      <c r="E7114" s="1" t="s">
        <v>10</v>
      </c>
      <c r="F7114" s="1" t="s">
        <v>5091</v>
      </c>
      <c r="G7114" s="14" t="s">
        <v>4458</v>
      </c>
      <c r="H7114" s="1" t="s">
        <v>118</v>
      </c>
      <c r="I7114" s="17">
        <v>42821</v>
      </c>
    </row>
    <row r="7115" spans="1:9">
      <c r="A7115" s="16" t="s">
        <v>12675</v>
      </c>
      <c r="B7115" s="1" t="s">
        <v>2631</v>
      </c>
      <c r="C7115" s="1">
        <v>5</v>
      </c>
      <c r="D7115" s="1" t="s">
        <v>34</v>
      </c>
      <c r="E7115" s="1" t="s">
        <v>10</v>
      </c>
      <c r="F7115" s="1" t="s">
        <v>5091</v>
      </c>
      <c r="G7115" s="14" t="s">
        <v>4458</v>
      </c>
      <c r="H7115" s="1" t="s">
        <v>118</v>
      </c>
      <c r="I7115" s="17">
        <v>42802</v>
      </c>
    </row>
    <row r="7116" spans="1:9">
      <c r="A7116" s="16" t="s">
        <v>12676</v>
      </c>
      <c r="B7116" s="1" t="s">
        <v>2631</v>
      </c>
      <c r="C7116" s="1">
        <v>5</v>
      </c>
      <c r="D7116" s="1" t="s">
        <v>34</v>
      </c>
      <c r="E7116" s="1" t="s">
        <v>10</v>
      </c>
      <c r="F7116" s="1" t="s">
        <v>5091</v>
      </c>
      <c r="G7116" s="14" t="s">
        <v>4458</v>
      </c>
      <c r="H7116" s="1" t="s">
        <v>118</v>
      </c>
      <c r="I7116" s="17">
        <v>42802</v>
      </c>
    </row>
    <row r="7117" spans="1:9">
      <c r="A7117" s="16" t="s">
        <v>12679</v>
      </c>
      <c r="B7117" s="1" t="s">
        <v>2628</v>
      </c>
      <c r="C7117" s="1">
        <v>5</v>
      </c>
      <c r="D7117" s="1" t="s">
        <v>34</v>
      </c>
      <c r="E7117" s="1" t="s">
        <v>10</v>
      </c>
      <c r="F7117" s="1" t="s">
        <v>5091</v>
      </c>
      <c r="G7117" s="14" t="s">
        <v>4458</v>
      </c>
      <c r="H7117" s="1" t="s">
        <v>118</v>
      </c>
      <c r="I7117" s="17">
        <v>42823</v>
      </c>
    </row>
    <row r="7118" spans="1:9">
      <c r="A7118" s="16" t="s">
        <v>12680</v>
      </c>
      <c r="B7118" s="1" t="s">
        <v>2631</v>
      </c>
      <c r="C7118" s="1">
        <v>5</v>
      </c>
      <c r="D7118" s="1" t="s">
        <v>34</v>
      </c>
      <c r="E7118" s="1" t="s">
        <v>10</v>
      </c>
      <c r="F7118" s="1" t="s">
        <v>5091</v>
      </c>
      <c r="G7118" s="14" t="s">
        <v>4458</v>
      </c>
      <c r="H7118" s="1" t="s">
        <v>118</v>
      </c>
      <c r="I7118" s="17">
        <v>42802</v>
      </c>
    </row>
    <row r="7119" spans="1:9">
      <c r="A7119" s="16" t="s">
        <v>12681</v>
      </c>
      <c r="B7119" s="1" t="s">
        <v>2631</v>
      </c>
      <c r="C7119" s="1">
        <v>5</v>
      </c>
      <c r="D7119" s="1" t="s">
        <v>34</v>
      </c>
      <c r="E7119" s="1" t="s">
        <v>10</v>
      </c>
      <c r="F7119" s="1" t="s">
        <v>5091</v>
      </c>
      <c r="G7119" s="14" t="s">
        <v>4458</v>
      </c>
      <c r="H7119" s="1" t="s">
        <v>118</v>
      </c>
      <c r="I7119" s="17">
        <v>42802</v>
      </c>
    </row>
    <row r="7120" spans="1:9">
      <c r="A7120" s="16" t="s">
        <v>12682</v>
      </c>
      <c r="B7120" s="1" t="s">
        <v>2628</v>
      </c>
      <c r="C7120" s="1">
        <v>5</v>
      </c>
      <c r="D7120" s="1" t="s">
        <v>34</v>
      </c>
      <c r="E7120" s="1" t="s">
        <v>10</v>
      </c>
      <c r="F7120" s="1" t="s">
        <v>5091</v>
      </c>
      <c r="G7120" s="14" t="s">
        <v>4458</v>
      </c>
      <c r="H7120" s="1" t="s">
        <v>118</v>
      </c>
      <c r="I7120" s="17">
        <v>42823</v>
      </c>
    </row>
    <row r="7121" spans="1:9">
      <c r="A7121" s="16" t="s">
        <v>12687</v>
      </c>
      <c r="B7121" s="1" t="s">
        <v>2628</v>
      </c>
      <c r="C7121" s="1">
        <v>5</v>
      </c>
      <c r="D7121" s="1" t="s">
        <v>34</v>
      </c>
      <c r="E7121" s="1" t="s">
        <v>10</v>
      </c>
      <c r="F7121" s="1" t="s">
        <v>5091</v>
      </c>
      <c r="G7121" s="14" t="s">
        <v>4458</v>
      </c>
      <c r="H7121" s="1" t="s">
        <v>118</v>
      </c>
      <c r="I7121" s="17">
        <v>42823</v>
      </c>
    </row>
    <row r="7122" spans="1:9">
      <c r="A7122" s="16" t="s">
        <v>12688</v>
      </c>
      <c r="B7122" s="1" t="s">
        <v>2628</v>
      </c>
      <c r="C7122" s="1">
        <v>5</v>
      </c>
      <c r="D7122" s="1" t="s">
        <v>34</v>
      </c>
      <c r="E7122" s="1" t="s">
        <v>10</v>
      </c>
      <c r="F7122" s="1" t="s">
        <v>5091</v>
      </c>
      <c r="G7122" s="14" t="s">
        <v>4458</v>
      </c>
      <c r="H7122" s="1" t="s">
        <v>118</v>
      </c>
      <c r="I7122" s="17">
        <v>42822</v>
      </c>
    </row>
    <row r="7123" spans="1:9">
      <c r="A7123" s="16" t="s">
        <v>12689</v>
      </c>
      <c r="B7123" s="1" t="s">
        <v>2631</v>
      </c>
      <c r="C7123" s="1">
        <v>5</v>
      </c>
      <c r="D7123" s="1" t="s">
        <v>34</v>
      </c>
      <c r="E7123" s="1" t="s">
        <v>10</v>
      </c>
      <c r="F7123" s="1" t="s">
        <v>5091</v>
      </c>
      <c r="G7123" s="14" t="s">
        <v>4458</v>
      </c>
      <c r="H7123" s="1" t="s">
        <v>118</v>
      </c>
      <c r="I7123" s="17">
        <v>42802</v>
      </c>
    </row>
    <row r="7124" spans="1:9">
      <c r="A7124" s="16" t="s">
        <v>12694</v>
      </c>
      <c r="B7124" s="1" t="s">
        <v>2628</v>
      </c>
      <c r="C7124" s="1">
        <v>5</v>
      </c>
      <c r="D7124" s="1" t="s">
        <v>34</v>
      </c>
      <c r="E7124" s="1" t="s">
        <v>10</v>
      </c>
      <c r="F7124" s="1" t="s">
        <v>5091</v>
      </c>
      <c r="G7124" s="14" t="s">
        <v>4458</v>
      </c>
      <c r="H7124" s="1" t="s">
        <v>118</v>
      </c>
      <c r="I7124" s="17">
        <v>42821</v>
      </c>
    </row>
    <row r="7125" spans="1:9">
      <c r="A7125" s="16" t="s">
        <v>12695</v>
      </c>
      <c r="B7125" s="1" t="s">
        <v>2628</v>
      </c>
      <c r="C7125" s="1">
        <v>5</v>
      </c>
      <c r="D7125" s="1" t="s">
        <v>34</v>
      </c>
      <c r="E7125" s="1" t="s">
        <v>10</v>
      </c>
      <c r="F7125" s="1" t="s">
        <v>5091</v>
      </c>
      <c r="G7125" s="14" t="s">
        <v>4458</v>
      </c>
      <c r="H7125" s="1" t="s">
        <v>118</v>
      </c>
      <c r="I7125" s="17">
        <v>42822</v>
      </c>
    </row>
    <row r="7126" spans="1:9">
      <c r="A7126" s="16" t="s">
        <v>12697</v>
      </c>
      <c r="B7126" s="1" t="s">
        <v>2628</v>
      </c>
      <c r="C7126" s="1">
        <v>5</v>
      </c>
      <c r="D7126" s="1" t="s">
        <v>34</v>
      </c>
      <c r="E7126" s="1" t="s">
        <v>10</v>
      </c>
      <c r="F7126" s="1" t="s">
        <v>5091</v>
      </c>
      <c r="G7126" s="14" t="s">
        <v>4458</v>
      </c>
      <c r="H7126" s="1" t="s">
        <v>118</v>
      </c>
      <c r="I7126" s="17">
        <v>42822</v>
      </c>
    </row>
    <row r="7127" spans="1:9">
      <c r="A7127" s="16" t="s">
        <v>12698</v>
      </c>
      <c r="B7127" s="1" t="s">
        <v>2628</v>
      </c>
      <c r="C7127" s="1">
        <v>5</v>
      </c>
      <c r="D7127" s="1" t="s">
        <v>34</v>
      </c>
      <c r="E7127" s="1" t="s">
        <v>10</v>
      </c>
      <c r="F7127" s="1" t="s">
        <v>5091</v>
      </c>
      <c r="G7127" s="14" t="s">
        <v>4458</v>
      </c>
      <c r="H7127" s="1" t="s">
        <v>118</v>
      </c>
      <c r="I7127" s="17">
        <v>42822</v>
      </c>
    </row>
    <row r="7128" spans="1:9">
      <c r="A7128" s="16" t="s">
        <v>12699</v>
      </c>
      <c r="B7128" s="1" t="s">
        <v>2628</v>
      </c>
      <c r="C7128" s="1">
        <v>5</v>
      </c>
      <c r="D7128" s="1" t="s">
        <v>34</v>
      </c>
      <c r="E7128" s="1" t="s">
        <v>10</v>
      </c>
      <c r="F7128" s="1" t="s">
        <v>5091</v>
      </c>
      <c r="G7128" s="14" t="s">
        <v>4458</v>
      </c>
      <c r="H7128" s="1" t="s">
        <v>118</v>
      </c>
      <c r="I7128" s="17">
        <v>42822</v>
      </c>
    </row>
    <row r="7129" spans="1:9">
      <c r="A7129" s="16" t="s">
        <v>12700</v>
      </c>
      <c r="B7129" s="1" t="s">
        <v>2628</v>
      </c>
      <c r="C7129" s="1">
        <v>5</v>
      </c>
      <c r="D7129" s="1" t="s">
        <v>34</v>
      </c>
      <c r="E7129" s="1" t="s">
        <v>10</v>
      </c>
      <c r="F7129" s="1" t="s">
        <v>5091</v>
      </c>
      <c r="G7129" s="14" t="s">
        <v>4458</v>
      </c>
      <c r="H7129" s="1" t="s">
        <v>118</v>
      </c>
      <c r="I7129" s="17">
        <v>42822</v>
      </c>
    </row>
    <row r="7130" spans="1:9">
      <c r="A7130" s="16" t="s">
        <v>12701</v>
      </c>
      <c r="B7130" s="1" t="s">
        <v>2628</v>
      </c>
      <c r="C7130" s="1">
        <v>5</v>
      </c>
      <c r="D7130" s="1" t="s">
        <v>34</v>
      </c>
      <c r="E7130" s="1" t="s">
        <v>10</v>
      </c>
      <c r="F7130" s="1" t="s">
        <v>5091</v>
      </c>
      <c r="G7130" s="14" t="s">
        <v>4458</v>
      </c>
      <c r="H7130" s="1" t="s">
        <v>118</v>
      </c>
      <c r="I7130" s="17">
        <v>42822</v>
      </c>
    </row>
    <row r="7131" spans="1:9">
      <c r="A7131" s="16" t="s">
        <v>12740</v>
      </c>
      <c r="B7131" s="1" t="s">
        <v>2631</v>
      </c>
      <c r="C7131" s="1">
        <v>5</v>
      </c>
      <c r="D7131" s="1" t="s">
        <v>34</v>
      </c>
      <c r="E7131" s="1" t="s">
        <v>10</v>
      </c>
      <c r="F7131" s="1" t="s">
        <v>5091</v>
      </c>
      <c r="G7131" s="14" t="s">
        <v>4458</v>
      </c>
      <c r="H7131" s="1" t="s">
        <v>118</v>
      </c>
      <c r="I7131" s="17">
        <v>42736</v>
      </c>
    </row>
    <row r="7132" spans="1:9">
      <c r="A7132" s="16" t="s">
        <v>12741</v>
      </c>
      <c r="B7132" s="1" t="s">
        <v>2628</v>
      </c>
      <c r="C7132" s="1">
        <v>5</v>
      </c>
      <c r="D7132" s="1" t="s">
        <v>34</v>
      </c>
      <c r="E7132" s="1" t="s">
        <v>10</v>
      </c>
      <c r="F7132" s="1" t="s">
        <v>5091</v>
      </c>
      <c r="G7132" s="14" t="s">
        <v>4458</v>
      </c>
      <c r="H7132" s="1" t="s">
        <v>118</v>
      </c>
      <c r="I7132" s="17">
        <v>42829</v>
      </c>
    </row>
    <row r="7133" spans="1:9">
      <c r="A7133" s="16" t="s">
        <v>12744</v>
      </c>
      <c r="B7133" s="1" t="s">
        <v>2631</v>
      </c>
      <c r="C7133" s="1">
        <v>5</v>
      </c>
      <c r="D7133" s="1" t="s">
        <v>34</v>
      </c>
      <c r="E7133" s="1" t="s">
        <v>10</v>
      </c>
      <c r="F7133" s="1" t="s">
        <v>5091</v>
      </c>
      <c r="G7133" s="14" t="s">
        <v>4458</v>
      </c>
      <c r="H7133" s="1" t="s">
        <v>118</v>
      </c>
      <c r="I7133" s="17">
        <v>42736</v>
      </c>
    </row>
    <row r="7134" spans="1:9">
      <c r="A7134" s="16" t="s">
        <v>12745</v>
      </c>
      <c r="B7134" s="1" t="s">
        <v>2631</v>
      </c>
      <c r="C7134" s="1">
        <v>5</v>
      </c>
      <c r="D7134" s="1" t="s">
        <v>34</v>
      </c>
      <c r="E7134" s="1" t="s">
        <v>10</v>
      </c>
      <c r="F7134" s="1" t="s">
        <v>5091</v>
      </c>
      <c r="G7134" s="14" t="s">
        <v>4458</v>
      </c>
      <c r="H7134" s="1" t="s">
        <v>118</v>
      </c>
      <c r="I7134" s="17">
        <v>42736</v>
      </c>
    </row>
    <row r="7135" spans="1:9">
      <c r="A7135" s="16" t="s">
        <v>12746</v>
      </c>
      <c r="B7135" s="1" t="s">
        <v>2631</v>
      </c>
      <c r="C7135" s="1">
        <v>5</v>
      </c>
      <c r="D7135" s="1" t="s">
        <v>34</v>
      </c>
      <c r="E7135" s="1" t="s">
        <v>10</v>
      </c>
      <c r="F7135" s="1" t="s">
        <v>5091</v>
      </c>
      <c r="G7135" s="14" t="s">
        <v>4458</v>
      </c>
      <c r="H7135" s="1" t="s">
        <v>118</v>
      </c>
      <c r="I7135" s="17">
        <v>42736</v>
      </c>
    </row>
    <row r="7136" spans="1:9">
      <c r="A7136" s="16" t="s">
        <v>12747</v>
      </c>
      <c r="B7136" s="1" t="s">
        <v>2631</v>
      </c>
      <c r="C7136" s="1">
        <v>5</v>
      </c>
      <c r="D7136" s="1" t="s">
        <v>34</v>
      </c>
      <c r="E7136" s="1" t="s">
        <v>10</v>
      </c>
      <c r="F7136" s="1" t="s">
        <v>5091</v>
      </c>
      <c r="G7136" s="14" t="s">
        <v>4458</v>
      </c>
      <c r="H7136" s="1" t="s">
        <v>118</v>
      </c>
      <c r="I7136" s="17">
        <v>42736</v>
      </c>
    </row>
    <row r="7137" spans="1:9">
      <c r="A7137" s="16" t="s">
        <v>12748</v>
      </c>
      <c r="B7137" s="1" t="s">
        <v>2631</v>
      </c>
      <c r="C7137" s="1">
        <v>5</v>
      </c>
      <c r="D7137" s="1" t="s">
        <v>34</v>
      </c>
      <c r="E7137" s="1" t="s">
        <v>10</v>
      </c>
      <c r="F7137" s="1" t="s">
        <v>5091</v>
      </c>
      <c r="G7137" s="14" t="s">
        <v>4458</v>
      </c>
      <c r="H7137" s="1" t="s">
        <v>118</v>
      </c>
      <c r="I7137" s="17">
        <v>42736</v>
      </c>
    </row>
    <row r="7138" spans="1:9">
      <c r="A7138" s="16" t="s">
        <v>12749</v>
      </c>
      <c r="B7138" s="1" t="s">
        <v>2631</v>
      </c>
      <c r="C7138" s="1">
        <v>5</v>
      </c>
      <c r="D7138" s="1" t="s">
        <v>34</v>
      </c>
      <c r="E7138" s="1" t="s">
        <v>10</v>
      </c>
      <c r="F7138" s="1" t="s">
        <v>5091</v>
      </c>
      <c r="G7138" s="14" t="s">
        <v>4458</v>
      </c>
      <c r="H7138" s="1" t="s">
        <v>118</v>
      </c>
      <c r="I7138" s="17">
        <v>42736</v>
      </c>
    </row>
    <row r="7139" spans="1:9">
      <c r="A7139" s="16" t="s">
        <v>12750</v>
      </c>
      <c r="B7139" s="1" t="s">
        <v>2631</v>
      </c>
      <c r="C7139" s="1">
        <v>5</v>
      </c>
      <c r="D7139" s="1" t="s">
        <v>34</v>
      </c>
      <c r="E7139" s="1" t="s">
        <v>10</v>
      </c>
      <c r="F7139" s="1" t="s">
        <v>5091</v>
      </c>
      <c r="G7139" s="14" t="s">
        <v>4458</v>
      </c>
      <c r="H7139" s="1" t="s">
        <v>118</v>
      </c>
      <c r="I7139" s="17">
        <v>42736</v>
      </c>
    </row>
    <row r="7140" spans="1:9">
      <c r="A7140" s="16" t="s">
        <v>12751</v>
      </c>
      <c r="B7140" s="1" t="s">
        <v>2631</v>
      </c>
      <c r="C7140" s="1">
        <v>5</v>
      </c>
      <c r="D7140" s="1" t="s">
        <v>34</v>
      </c>
      <c r="E7140" s="1" t="s">
        <v>10</v>
      </c>
      <c r="F7140" s="1" t="s">
        <v>5091</v>
      </c>
      <c r="G7140" s="14" t="s">
        <v>4458</v>
      </c>
      <c r="H7140" s="1" t="s">
        <v>118</v>
      </c>
      <c r="I7140" s="17">
        <v>42736</v>
      </c>
    </row>
    <row r="7141" spans="1:9">
      <c r="A7141" s="16" t="s">
        <v>12752</v>
      </c>
      <c r="B7141" s="1" t="s">
        <v>2631</v>
      </c>
      <c r="C7141" s="1">
        <v>5</v>
      </c>
      <c r="D7141" s="1" t="s">
        <v>34</v>
      </c>
      <c r="E7141" s="1" t="s">
        <v>10</v>
      </c>
      <c r="F7141" s="1" t="s">
        <v>5091</v>
      </c>
      <c r="G7141" s="14" t="s">
        <v>4458</v>
      </c>
      <c r="H7141" s="1" t="s">
        <v>118</v>
      </c>
      <c r="I7141" s="17">
        <v>42736</v>
      </c>
    </row>
    <row r="7142" spans="1:9">
      <c r="A7142" s="16" t="s">
        <v>12753</v>
      </c>
      <c r="B7142" s="1" t="s">
        <v>2631</v>
      </c>
      <c r="C7142" s="1">
        <v>5</v>
      </c>
      <c r="D7142" s="1" t="s">
        <v>34</v>
      </c>
      <c r="E7142" s="1" t="s">
        <v>10</v>
      </c>
      <c r="F7142" s="1" t="s">
        <v>5091</v>
      </c>
      <c r="G7142" s="14" t="s">
        <v>4458</v>
      </c>
      <c r="H7142" s="1" t="s">
        <v>118</v>
      </c>
      <c r="I7142" s="17">
        <v>42736</v>
      </c>
    </row>
    <row r="7143" spans="1:9">
      <c r="A7143" s="16" t="s">
        <v>12754</v>
      </c>
      <c r="B7143" s="1" t="s">
        <v>2631</v>
      </c>
      <c r="C7143" s="1">
        <v>5</v>
      </c>
      <c r="D7143" s="1" t="s">
        <v>34</v>
      </c>
      <c r="E7143" s="1" t="s">
        <v>10</v>
      </c>
      <c r="F7143" s="1" t="s">
        <v>5091</v>
      </c>
      <c r="G7143" s="14" t="s">
        <v>4458</v>
      </c>
      <c r="H7143" s="1" t="s">
        <v>118</v>
      </c>
      <c r="I7143" s="17">
        <v>42736</v>
      </c>
    </row>
    <row r="7144" spans="1:9">
      <c r="A7144" s="16" t="s">
        <v>12755</v>
      </c>
      <c r="B7144" s="1" t="s">
        <v>2631</v>
      </c>
      <c r="C7144" s="1">
        <v>5</v>
      </c>
      <c r="D7144" s="1" t="s">
        <v>34</v>
      </c>
      <c r="E7144" s="1" t="s">
        <v>10</v>
      </c>
      <c r="F7144" s="1" t="s">
        <v>5091</v>
      </c>
      <c r="G7144" s="14" t="s">
        <v>4458</v>
      </c>
      <c r="H7144" s="1" t="s">
        <v>118</v>
      </c>
      <c r="I7144" s="17">
        <v>42736</v>
      </c>
    </row>
    <row r="7145" spans="1:9">
      <c r="A7145" s="16" t="s">
        <v>12756</v>
      </c>
      <c r="B7145" s="1" t="s">
        <v>2631</v>
      </c>
      <c r="C7145" s="1">
        <v>5</v>
      </c>
      <c r="D7145" s="1" t="s">
        <v>34</v>
      </c>
      <c r="E7145" s="1" t="s">
        <v>10</v>
      </c>
      <c r="F7145" s="1" t="s">
        <v>5091</v>
      </c>
      <c r="G7145" s="14" t="s">
        <v>4458</v>
      </c>
      <c r="H7145" s="1" t="s">
        <v>118</v>
      </c>
      <c r="I7145" s="17">
        <v>42736</v>
      </c>
    </row>
    <row r="7146" spans="1:9">
      <c r="A7146" s="16" t="s">
        <v>12757</v>
      </c>
      <c r="B7146" s="1" t="s">
        <v>2631</v>
      </c>
      <c r="C7146" s="1">
        <v>5</v>
      </c>
      <c r="D7146" s="1" t="s">
        <v>34</v>
      </c>
      <c r="E7146" s="1" t="s">
        <v>10</v>
      </c>
      <c r="F7146" s="1" t="s">
        <v>5091</v>
      </c>
      <c r="G7146" s="14" t="s">
        <v>4458</v>
      </c>
      <c r="H7146" s="1" t="s">
        <v>118</v>
      </c>
      <c r="I7146" s="17">
        <v>42736</v>
      </c>
    </row>
    <row r="7147" spans="1:9">
      <c r="A7147" s="16" t="s">
        <v>12758</v>
      </c>
      <c r="B7147" s="1" t="s">
        <v>2628</v>
      </c>
      <c r="C7147" s="1">
        <v>5</v>
      </c>
      <c r="D7147" s="1" t="s">
        <v>34</v>
      </c>
      <c r="E7147" s="1" t="s">
        <v>10</v>
      </c>
      <c r="F7147" s="1" t="s">
        <v>5091</v>
      </c>
      <c r="G7147" s="14" t="s">
        <v>4458</v>
      </c>
      <c r="H7147" s="1" t="s">
        <v>118</v>
      </c>
      <c r="I7147" s="1" t="s">
        <v>4458</v>
      </c>
    </row>
    <row r="7148" spans="1:9">
      <c r="A7148" s="16" t="s">
        <v>12763</v>
      </c>
      <c r="B7148" s="1" t="s">
        <v>2628</v>
      </c>
      <c r="C7148" s="1">
        <v>5</v>
      </c>
      <c r="D7148" s="1" t="s">
        <v>34</v>
      </c>
      <c r="E7148" s="1" t="s">
        <v>10</v>
      </c>
      <c r="F7148" s="1" t="s">
        <v>5091</v>
      </c>
      <c r="G7148" s="14" t="s">
        <v>4458</v>
      </c>
      <c r="H7148" s="1" t="s">
        <v>118</v>
      </c>
      <c r="I7148" s="17">
        <v>42835</v>
      </c>
    </row>
    <row r="7149" spans="1:9">
      <c r="A7149" s="16" t="s">
        <v>12764</v>
      </c>
      <c r="B7149" s="1" t="s">
        <v>2628</v>
      </c>
      <c r="C7149" s="1">
        <v>5</v>
      </c>
      <c r="D7149" s="1" t="s">
        <v>34</v>
      </c>
      <c r="E7149" s="1" t="s">
        <v>10</v>
      </c>
      <c r="F7149" s="1" t="s">
        <v>5091</v>
      </c>
      <c r="G7149" s="14" t="s">
        <v>4458</v>
      </c>
      <c r="H7149" s="1" t="s">
        <v>118</v>
      </c>
      <c r="I7149" s="17">
        <v>42835</v>
      </c>
    </row>
    <row r="7150" spans="1:9">
      <c r="A7150" s="16" t="s">
        <v>12775</v>
      </c>
      <c r="B7150" s="1" t="s">
        <v>2631</v>
      </c>
      <c r="C7150" s="1">
        <v>5</v>
      </c>
      <c r="D7150" s="1" t="s">
        <v>34</v>
      </c>
      <c r="E7150" s="1" t="s">
        <v>10</v>
      </c>
      <c r="F7150" s="1" t="s">
        <v>5091</v>
      </c>
      <c r="G7150" s="1" t="s">
        <v>6145</v>
      </c>
      <c r="H7150" s="1" t="s">
        <v>43</v>
      </c>
      <c r="I7150" s="17">
        <v>40858</v>
      </c>
    </row>
    <row r="7151" spans="1:9">
      <c r="A7151" s="16" t="s">
        <v>12776</v>
      </c>
      <c r="B7151" s="1" t="s">
        <v>2631</v>
      </c>
      <c r="C7151" s="1">
        <v>5</v>
      </c>
      <c r="D7151" s="1" t="s">
        <v>34</v>
      </c>
      <c r="E7151" s="1" t="s">
        <v>10</v>
      </c>
      <c r="F7151" s="1" t="s">
        <v>5091</v>
      </c>
      <c r="G7151" s="1" t="s">
        <v>6145</v>
      </c>
      <c r="H7151" s="1" t="s">
        <v>43</v>
      </c>
      <c r="I7151" s="17">
        <v>40858</v>
      </c>
    </row>
    <row r="7152" spans="1:9">
      <c r="A7152" s="16" t="s">
        <v>12777</v>
      </c>
      <c r="B7152" s="1" t="s">
        <v>2631</v>
      </c>
      <c r="C7152" s="1">
        <v>5</v>
      </c>
      <c r="D7152" s="1" t="s">
        <v>34</v>
      </c>
      <c r="E7152" s="1" t="s">
        <v>10</v>
      </c>
      <c r="F7152" s="1" t="s">
        <v>5091</v>
      </c>
      <c r="G7152" s="1" t="s">
        <v>6145</v>
      </c>
      <c r="H7152" s="1" t="s">
        <v>43</v>
      </c>
      <c r="I7152" s="17">
        <v>40858</v>
      </c>
    </row>
    <row r="7153" spans="1:9">
      <c r="A7153" s="16" t="s">
        <v>12778</v>
      </c>
      <c r="B7153" s="1" t="s">
        <v>2631</v>
      </c>
      <c r="C7153" s="1">
        <v>5</v>
      </c>
      <c r="D7153" s="1" t="s">
        <v>34</v>
      </c>
      <c r="E7153" s="1" t="s">
        <v>10</v>
      </c>
      <c r="F7153" s="1" t="s">
        <v>5091</v>
      </c>
      <c r="G7153" s="1" t="s">
        <v>6145</v>
      </c>
      <c r="H7153" s="1" t="s">
        <v>43</v>
      </c>
      <c r="I7153" s="17">
        <v>40858</v>
      </c>
    </row>
    <row r="7154" spans="1:9">
      <c r="A7154" s="16" t="s">
        <v>12779</v>
      </c>
      <c r="B7154" s="1" t="s">
        <v>2631</v>
      </c>
      <c r="C7154" s="1">
        <v>5</v>
      </c>
      <c r="D7154" s="1" t="s">
        <v>34</v>
      </c>
      <c r="E7154" s="1" t="s">
        <v>10</v>
      </c>
      <c r="F7154" s="1" t="s">
        <v>5091</v>
      </c>
      <c r="G7154" s="1" t="s">
        <v>6145</v>
      </c>
      <c r="H7154" s="1" t="s">
        <v>43</v>
      </c>
      <c r="I7154" s="17">
        <v>40858</v>
      </c>
    </row>
    <row r="7155" spans="1:9">
      <c r="A7155" s="16" t="s">
        <v>12781</v>
      </c>
      <c r="B7155" s="1" t="s">
        <v>2631</v>
      </c>
      <c r="C7155" s="1">
        <v>5</v>
      </c>
      <c r="D7155" s="1" t="s">
        <v>34</v>
      </c>
      <c r="E7155" s="1" t="s">
        <v>10</v>
      </c>
      <c r="F7155" s="1" t="s">
        <v>5091</v>
      </c>
      <c r="G7155" s="1" t="s">
        <v>6145</v>
      </c>
      <c r="H7155" s="1" t="s">
        <v>43</v>
      </c>
      <c r="I7155" s="17">
        <v>40858</v>
      </c>
    </row>
    <row r="7156" spans="1:9" ht="31.2">
      <c r="A7156" s="16" t="s">
        <v>12784</v>
      </c>
      <c r="B7156" s="1" t="s">
        <v>2631</v>
      </c>
      <c r="C7156" s="1">
        <v>5</v>
      </c>
      <c r="D7156" s="1" t="s">
        <v>34</v>
      </c>
      <c r="E7156" s="1" t="s">
        <v>10</v>
      </c>
      <c r="F7156" s="1" t="s">
        <v>5091</v>
      </c>
      <c r="G7156" s="14" t="s">
        <v>4458</v>
      </c>
      <c r="H7156" s="1" t="s">
        <v>118</v>
      </c>
      <c r="I7156" s="17">
        <v>42802</v>
      </c>
    </row>
    <row r="7157" spans="1:9">
      <c r="A7157" s="16" t="s">
        <v>12812</v>
      </c>
      <c r="B7157" s="1" t="s">
        <v>2628</v>
      </c>
      <c r="C7157" s="1">
        <v>5</v>
      </c>
      <c r="D7157" s="1" t="s">
        <v>34</v>
      </c>
      <c r="E7157" s="1" t="s">
        <v>10</v>
      </c>
      <c r="F7157" s="1" t="s">
        <v>5091</v>
      </c>
      <c r="G7157" s="14" t="s">
        <v>4458</v>
      </c>
      <c r="H7157" s="1" t="s">
        <v>118</v>
      </c>
      <c r="I7157" s="1" t="s">
        <v>4458</v>
      </c>
    </row>
    <row r="7158" spans="1:9">
      <c r="A7158" s="16" t="s">
        <v>12829</v>
      </c>
      <c r="B7158" s="1" t="s">
        <v>2628</v>
      </c>
      <c r="C7158" s="1">
        <v>5</v>
      </c>
      <c r="D7158" s="1" t="s">
        <v>34</v>
      </c>
      <c r="E7158" s="1" t="s">
        <v>10</v>
      </c>
      <c r="F7158" s="1" t="s">
        <v>5091</v>
      </c>
      <c r="G7158" s="14" t="s">
        <v>6145</v>
      </c>
      <c r="H7158" s="1" t="s">
        <v>43</v>
      </c>
      <c r="I7158" s="17">
        <v>42850</v>
      </c>
    </row>
    <row r="7159" spans="1:9">
      <c r="A7159" s="16" t="s">
        <v>12831</v>
      </c>
      <c r="B7159" s="1" t="s">
        <v>2628</v>
      </c>
      <c r="C7159" s="1">
        <v>5</v>
      </c>
      <c r="D7159" s="1" t="s">
        <v>34</v>
      </c>
      <c r="E7159" s="1" t="s">
        <v>10</v>
      </c>
      <c r="F7159" s="1" t="s">
        <v>5091</v>
      </c>
      <c r="G7159" s="14" t="s">
        <v>6145</v>
      </c>
      <c r="H7159" s="1" t="s">
        <v>43</v>
      </c>
      <c r="I7159" s="17">
        <v>42850</v>
      </c>
    </row>
    <row r="7160" spans="1:9">
      <c r="A7160" s="16" t="s">
        <v>12834</v>
      </c>
      <c r="B7160" s="1" t="s">
        <v>2628</v>
      </c>
      <c r="C7160" s="1">
        <v>5</v>
      </c>
      <c r="D7160" s="1" t="s">
        <v>34</v>
      </c>
      <c r="E7160" s="1" t="s">
        <v>10</v>
      </c>
      <c r="F7160" s="1" t="s">
        <v>5091</v>
      </c>
      <c r="G7160" s="14" t="s">
        <v>6145</v>
      </c>
      <c r="H7160" s="1" t="s">
        <v>43</v>
      </c>
      <c r="I7160" s="17">
        <v>42850</v>
      </c>
    </row>
    <row r="7161" spans="1:9">
      <c r="A7161" s="16" t="s">
        <v>12835</v>
      </c>
      <c r="B7161" s="1" t="s">
        <v>2631</v>
      </c>
      <c r="C7161" s="1">
        <v>5</v>
      </c>
      <c r="D7161" s="1" t="s">
        <v>34</v>
      </c>
      <c r="E7161" s="1" t="s">
        <v>10</v>
      </c>
      <c r="F7161" s="1" t="s">
        <v>5091</v>
      </c>
      <c r="G7161" s="1" t="s">
        <v>6145</v>
      </c>
      <c r="H7161" s="1" t="s">
        <v>43</v>
      </c>
      <c r="I7161" s="17">
        <v>40830</v>
      </c>
    </row>
    <row r="7162" spans="1:9">
      <c r="A7162" s="16" t="s">
        <v>12838</v>
      </c>
      <c r="B7162" s="1" t="s">
        <v>2628</v>
      </c>
      <c r="C7162" s="1">
        <v>5</v>
      </c>
      <c r="D7162" s="1" t="s">
        <v>34</v>
      </c>
      <c r="E7162" s="1" t="s">
        <v>10</v>
      </c>
      <c r="F7162" s="1" t="s">
        <v>5091</v>
      </c>
      <c r="G7162" s="14" t="s">
        <v>6145</v>
      </c>
      <c r="H7162" s="1" t="s">
        <v>43</v>
      </c>
      <c r="I7162" s="17">
        <v>42850</v>
      </c>
    </row>
    <row r="7163" spans="1:9">
      <c r="A7163" s="16" t="s">
        <v>12839</v>
      </c>
      <c r="B7163" s="1" t="s">
        <v>2628</v>
      </c>
      <c r="C7163" s="1">
        <v>5</v>
      </c>
      <c r="D7163" s="1" t="s">
        <v>34</v>
      </c>
      <c r="E7163" s="1" t="s">
        <v>10</v>
      </c>
      <c r="F7163" s="1" t="s">
        <v>5091</v>
      </c>
      <c r="G7163" s="14" t="s">
        <v>6145</v>
      </c>
      <c r="H7163" s="1" t="s">
        <v>43</v>
      </c>
      <c r="I7163" s="17">
        <v>42850</v>
      </c>
    </row>
    <row r="7164" spans="1:9">
      <c r="A7164" s="16" t="s">
        <v>12843</v>
      </c>
      <c r="B7164" s="1" t="s">
        <v>2628</v>
      </c>
      <c r="C7164" s="1">
        <v>5</v>
      </c>
      <c r="D7164" s="1" t="s">
        <v>34</v>
      </c>
      <c r="E7164" s="1" t="s">
        <v>10</v>
      </c>
      <c r="F7164" s="1" t="s">
        <v>5091</v>
      </c>
      <c r="G7164" s="14" t="s">
        <v>6145</v>
      </c>
      <c r="H7164" s="1" t="s">
        <v>43</v>
      </c>
      <c r="I7164" s="17">
        <v>42850</v>
      </c>
    </row>
    <row r="7165" spans="1:9">
      <c r="A7165" s="16" t="s">
        <v>12844</v>
      </c>
      <c r="B7165" s="1" t="s">
        <v>2628</v>
      </c>
      <c r="C7165" s="1">
        <v>5</v>
      </c>
      <c r="D7165" s="1" t="s">
        <v>34</v>
      </c>
      <c r="E7165" s="1" t="s">
        <v>10</v>
      </c>
      <c r="F7165" s="1" t="s">
        <v>5091</v>
      </c>
      <c r="G7165" s="14" t="s">
        <v>6145</v>
      </c>
      <c r="H7165" s="1" t="s">
        <v>43</v>
      </c>
      <c r="I7165" s="17">
        <v>42850</v>
      </c>
    </row>
    <row r="7166" spans="1:9">
      <c r="A7166" s="16" t="s">
        <v>12851</v>
      </c>
      <c r="B7166" s="1" t="s">
        <v>2628</v>
      </c>
      <c r="C7166" s="1">
        <v>5</v>
      </c>
      <c r="D7166" s="1" t="s">
        <v>34</v>
      </c>
      <c r="E7166" s="1" t="s">
        <v>10</v>
      </c>
      <c r="F7166" s="1" t="s">
        <v>5091</v>
      </c>
      <c r="G7166" s="14" t="s">
        <v>6145</v>
      </c>
      <c r="H7166" s="1" t="s">
        <v>43</v>
      </c>
      <c r="I7166" s="17">
        <v>42850</v>
      </c>
    </row>
    <row r="7167" spans="1:9">
      <c r="A7167" s="16" t="s">
        <v>12852</v>
      </c>
      <c r="B7167" s="1" t="s">
        <v>2628</v>
      </c>
      <c r="C7167" s="1">
        <v>5</v>
      </c>
      <c r="D7167" s="1" t="s">
        <v>34</v>
      </c>
      <c r="E7167" s="1" t="s">
        <v>10</v>
      </c>
      <c r="F7167" s="1" t="s">
        <v>5091</v>
      </c>
      <c r="G7167" s="14" t="s">
        <v>6145</v>
      </c>
      <c r="H7167" s="1" t="s">
        <v>43</v>
      </c>
      <c r="I7167" s="17">
        <v>42850</v>
      </c>
    </row>
    <row r="7168" spans="1:9">
      <c r="A7168" s="16" t="s">
        <v>12854</v>
      </c>
      <c r="B7168" s="1" t="s">
        <v>2631</v>
      </c>
      <c r="C7168" s="1">
        <v>5</v>
      </c>
      <c r="D7168" s="1" t="s">
        <v>34</v>
      </c>
      <c r="E7168" s="1" t="s">
        <v>10</v>
      </c>
      <c r="F7168" s="1" t="s">
        <v>5091</v>
      </c>
      <c r="G7168" s="14" t="s">
        <v>4458</v>
      </c>
      <c r="H7168" s="1" t="s">
        <v>118</v>
      </c>
      <c r="I7168" s="17">
        <v>42736</v>
      </c>
    </row>
    <row r="7169" spans="1:9">
      <c r="A7169" s="16" t="s">
        <v>12855</v>
      </c>
      <c r="B7169" s="1" t="s">
        <v>2631</v>
      </c>
      <c r="C7169" s="1">
        <v>5</v>
      </c>
      <c r="D7169" s="1" t="s">
        <v>34</v>
      </c>
      <c r="E7169" s="1" t="s">
        <v>10</v>
      </c>
      <c r="F7169" s="1" t="s">
        <v>5091</v>
      </c>
      <c r="G7169" s="14" t="s">
        <v>4458</v>
      </c>
      <c r="H7169" s="1" t="s">
        <v>118</v>
      </c>
      <c r="I7169" s="17">
        <v>42736</v>
      </c>
    </row>
    <row r="7170" spans="1:9">
      <c r="A7170" s="16" t="s">
        <v>12860</v>
      </c>
      <c r="B7170" s="1" t="s">
        <v>2628</v>
      </c>
      <c r="C7170" s="1">
        <v>5</v>
      </c>
      <c r="D7170" s="1" t="s">
        <v>34</v>
      </c>
      <c r="E7170" s="1" t="s">
        <v>10</v>
      </c>
      <c r="F7170" s="1" t="s">
        <v>5091</v>
      </c>
      <c r="G7170" s="14" t="s">
        <v>6145</v>
      </c>
      <c r="H7170" s="1" t="s">
        <v>43</v>
      </c>
      <c r="I7170" s="17">
        <v>42851</v>
      </c>
    </row>
    <row r="7171" spans="1:9">
      <c r="A7171" s="16" t="s">
        <v>12861</v>
      </c>
      <c r="B7171" s="1" t="s">
        <v>2628</v>
      </c>
      <c r="C7171" s="1">
        <v>5</v>
      </c>
      <c r="D7171" s="1" t="s">
        <v>34</v>
      </c>
      <c r="E7171" s="1" t="s">
        <v>10</v>
      </c>
      <c r="F7171" s="1" t="s">
        <v>5091</v>
      </c>
      <c r="G7171" s="14" t="s">
        <v>6145</v>
      </c>
      <c r="H7171" s="1" t="s">
        <v>43</v>
      </c>
      <c r="I7171" s="17">
        <v>42851</v>
      </c>
    </row>
    <row r="7172" spans="1:9">
      <c r="A7172" s="16" t="s">
        <v>12862</v>
      </c>
      <c r="B7172" s="1" t="s">
        <v>2628</v>
      </c>
      <c r="C7172" s="1">
        <v>5</v>
      </c>
      <c r="D7172" s="1" t="s">
        <v>34</v>
      </c>
      <c r="E7172" s="1" t="s">
        <v>10</v>
      </c>
      <c r="F7172" s="1" t="s">
        <v>5091</v>
      </c>
      <c r="G7172" s="14" t="s">
        <v>6145</v>
      </c>
      <c r="H7172" s="1" t="s">
        <v>43</v>
      </c>
      <c r="I7172" s="17">
        <v>42851</v>
      </c>
    </row>
    <row r="7173" spans="1:9">
      <c r="A7173" s="16" t="s">
        <v>12865</v>
      </c>
      <c r="B7173" s="1" t="s">
        <v>2628</v>
      </c>
      <c r="C7173" s="1">
        <v>5</v>
      </c>
      <c r="D7173" s="1" t="s">
        <v>34</v>
      </c>
      <c r="E7173" s="1" t="s">
        <v>10</v>
      </c>
      <c r="F7173" s="1" t="s">
        <v>5091</v>
      </c>
      <c r="G7173" s="14" t="s">
        <v>6145</v>
      </c>
      <c r="H7173" s="1" t="s">
        <v>43</v>
      </c>
      <c r="I7173" s="17">
        <v>42851</v>
      </c>
    </row>
    <row r="7174" spans="1:9">
      <c r="A7174" s="16" t="s">
        <v>12866</v>
      </c>
      <c r="B7174" s="1" t="s">
        <v>2628</v>
      </c>
      <c r="C7174" s="1">
        <v>5</v>
      </c>
      <c r="D7174" s="1" t="s">
        <v>34</v>
      </c>
      <c r="E7174" s="1" t="s">
        <v>10</v>
      </c>
      <c r="F7174" s="1" t="s">
        <v>5091</v>
      </c>
      <c r="G7174" s="14" t="s">
        <v>6145</v>
      </c>
      <c r="H7174" s="1" t="s">
        <v>43</v>
      </c>
      <c r="I7174" s="17">
        <v>42851</v>
      </c>
    </row>
    <row r="7175" spans="1:9">
      <c r="A7175" s="16" t="s">
        <v>12867</v>
      </c>
      <c r="B7175" s="1" t="s">
        <v>2628</v>
      </c>
      <c r="C7175" s="1">
        <v>5</v>
      </c>
      <c r="D7175" s="1" t="s">
        <v>34</v>
      </c>
      <c r="E7175" s="1" t="s">
        <v>10</v>
      </c>
      <c r="F7175" s="1" t="s">
        <v>5091</v>
      </c>
      <c r="G7175" s="14" t="s">
        <v>6145</v>
      </c>
      <c r="H7175" s="1" t="s">
        <v>43</v>
      </c>
      <c r="I7175" s="17">
        <v>42851</v>
      </c>
    </row>
    <row r="7176" spans="1:9">
      <c r="A7176" s="16" t="s">
        <v>12868</v>
      </c>
      <c r="B7176" s="1" t="s">
        <v>2628</v>
      </c>
      <c r="C7176" s="1">
        <v>5</v>
      </c>
      <c r="D7176" s="1" t="s">
        <v>34</v>
      </c>
      <c r="E7176" s="1" t="s">
        <v>10</v>
      </c>
      <c r="F7176" s="1" t="s">
        <v>5091</v>
      </c>
      <c r="G7176" s="14" t="s">
        <v>6145</v>
      </c>
      <c r="H7176" s="1" t="s">
        <v>43</v>
      </c>
      <c r="I7176" s="17">
        <v>42851</v>
      </c>
    </row>
    <row r="7177" spans="1:9">
      <c r="A7177" s="16" t="s">
        <v>12869</v>
      </c>
      <c r="B7177" s="1" t="s">
        <v>2628</v>
      </c>
      <c r="C7177" s="1">
        <v>5</v>
      </c>
      <c r="D7177" s="1" t="s">
        <v>34</v>
      </c>
      <c r="E7177" s="1" t="s">
        <v>10</v>
      </c>
      <c r="F7177" s="1" t="s">
        <v>5091</v>
      </c>
      <c r="G7177" s="14" t="s">
        <v>6145</v>
      </c>
      <c r="H7177" s="1" t="s">
        <v>43</v>
      </c>
      <c r="I7177" s="17">
        <v>42851</v>
      </c>
    </row>
    <row r="7178" spans="1:9">
      <c r="A7178" s="16" t="s">
        <v>12870</v>
      </c>
      <c r="B7178" s="1" t="s">
        <v>2628</v>
      </c>
      <c r="C7178" s="1">
        <v>5</v>
      </c>
      <c r="D7178" s="1" t="s">
        <v>34</v>
      </c>
      <c r="E7178" s="1" t="s">
        <v>10</v>
      </c>
      <c r="F7178" s="1" t="s">
        <v>5091</v>
      </c>
      <c r="G7178" s="14" t="s">
        <v>6145</v>
      </c>
      <c r="H7178" s="1" t="s">
        <v>43</v>
      </c>
      <c r="I7178" s="17">
        <v>42851</v>
      </c>
    </row>
    <row r="7179" spans="1:9">
      <c r="A7179" s="16" t="s">
        <v>12871</v>
      </c>
      <c r="B7179" s="1" t="s">
        <v>2628</v>
      </c>
      <c r="C7179" s="1">
        <v>5</v>
      </c>
      <c r="D7179" s="1" t="s">
        <v>34</v>
      </c>
      <c r="E7179" s="1" t="s">
        <v>10</v>
      </c>
      <c r="F7179" s="1" t="s">
        <v>5091</v>
      </c>
      <c r="G7179" s="14" t="s">
        <v>6145</v>
      </c>
      <c r="H7179" s="1" t="s">
        <v>43</v>
      </c>
      <c r="I7179" s="17">
        <v>42851</v>
      </c>
    </row>
    <row r="7180" spans="1:9">
      <c r="A7180" s="16" t="s">
        <v>12872</v>
      </c>
      <c r="B7180" s="1" t="s">
        <v>2628</v>
      </c>
      <c r="C7180" s="1">
        <v>5</v>
      </c>
      <c r="D7180" s="1" t="s">
        <v>34</v>
      </c>
      <c r="E7180" s="1" t="s">
        <v>10</v>
      </c>
      <c r="F7180" s="1" t="s">
        <v>5091</v>
      </c>
      <c r="G7180" s="14" t="s">
        <v>6145</v>
      </c>
      <c r="H7180" s="1" t="s">
        <v>43</v>
      </c>
      <c r="I7180" s="17">
        <v>42851</v>
      </c>
    </row>
    <row r="7181" spans="1:9">
      <c r="A7181" s="16" t="s">
        <v>12873</v>
      </c>
      <c r="B7181" s="1" t="s">
        <v>2628</v>
      </c>
      <c r="C7181" s="1">
        <v>5</v>
      </c>
      <c r="D7181" s="1" t="s">
        <v>34</v>
      </c>
      <c r="E7181" s="1" t="s">
        <v>10</v>
      </c>
      <c r="F7181" s="1" t="s">
        <v>5091</v>
      </c>
      <c r="G7181" s="14" t="s">
        <v>6145</v>
      </c>
      <c r="H7181" s="1" t="s">
        <v>43</v>
      </c>
      <c r="I7181" s="17">
        <v>42851</v>
      </c>
    </row>
    <row r="7182" spans="1:9">
      <c r="A7182" s="16" t="s">
        <v>12874</v>
      </c>
      <c r="B7182" s="1" t="s">
        <v>2628</v>
      </c>
      <c r="C7182" s="1">
        <v>5</v>
      </c>
      <c r="D7182" s="1" t="s">
        <v>34</v>
      </c>
      <c r="E7182" s="1" t="s">
        <v>10</v>
      </c>
      <c r="F7182" s="1" t="s">
        <v>5091</v>
      </c>
      <c r="G7182" s="14" t="s">
        <v>6145</v>
      </c>
      <c r="H7182" s="1" t="s">
        <v>43</v>
      </c>
      <c r="I7182" s="17">
        <v>42851</v>
      </c>
    </row>
    <row r="7183" spans="1:9">
      <c r="A7183" s="16" t="s">
        <v>12875</v>
      </c>
      <c r="B7183" s="1" t="s">
        <v>2628</v>
      </c>
      <c r="C7183" s="1">
        <v>5</v>
      </c>
      <c r="D7183" s="1" t="s">
        <v>34</v>
      </c>
      <c r="E7183" s="1" t="s">
        <v>10</v>
      </c>
      <c r="F7183" s="1" t="s">
        <v>5091</v>
      </c>
      <c r="G7183" s="14" t="s">
        <v>6145</v>
      </c>
      <c r="H7183" s="1" t="s">
        <v>43</v>
      </c>
      <c r="I7183" s="17">
        <v>42851</v>
      </c>
    </row>
    <row r="7184" spans="1:9">
      <c r="A7184" s="16" t="s">
        <v>12876</v>
      </c>
      <c r="B7184" s="1" t="s">
        <v>2628</v>
      </c>
      <c r="C7184" s="1">
        <v>5</v>
      </c>
      <c r="D7184" s="1" t="s">
        <v>34</v>
      </c>
      <c r="E7184" s="1" t="s">
        <v>10</v>
      </c>
      <c r="F7184" s="1" t="s">
        <v>5091</v>
      </c>
      <c r="G7184" s="14" t="s">
        <v>6145</v>
      </c>
      <c r="H7184" s="1" t="s">
        <v>43</v>
      </c>
      <c r="I7184" s="17">
        <v>42851</v>
      </c>
    </row>
    <row r="7185" spans="1:9">
      <c r="A7185" s="16" t="s">
        <v>12877</v>
      </c>
      <c r="B7185" s="1" t="s">
        <v>2628</v>
      </c>
      <c r="C7185" s="1">
        <v>5</v>
      </c>
      <c r="D7185" s="1" t="s">
        <v>34</v>
      </c>
      <c r="E7185" s="1" t="s">
        <v>10</v>
      </c>
      <c r="F7185" s="1" t="s">
        <v>5091</v>
      </c>
      <c r="G7185" s="14" t="s">
        <v>6145</v>
      </c>
      <c r="H7185" s="1" t="s">
        <v>43</v>
      </c>
      <c r="I7185" s="17">
        <v>42851</v>
      </c>
    </row>
    <row r="7186" spans="1:9">
      <c r="A7186" s="16" t="s">
        <v>12878</v>
      </c>
      <c r="B7186" s="1" t="s">
        <v>2628</v>
      </c>
      <c r="C7186" s="1">
        <v>5</v>
      </c>
      <c r="D7186" s="1" t="s">
        <v>34</v>
      </c>
      <c r="E7186" s="1" t="s">
        <v>10</v>
      </c>
      <c r="F7186" s="1" t="s">
        <v>5091</v>
      </c>
      <c r="G7186" s="14" t="s">
        <v>6145</v>
      </c>
      <c r="H7186" s="1" t="s">
        <v>43</v>
      </c>
      <c r="I7186" s="17">
        <v>42851</v>
      </c>
    </row>
    <row r="7187" spans="1:9">
      <c r="A7187" s="16" t="s">
        <v>12879</v>
      </c>
      <c r="B7187" s="1" t="s">
        <v>2628</v>
      </c>
      <c r="C7187" s="1">
        <v>5</v>
      </c>
      <c r="D7187" s="1" t="s">
        <v>34</v>
      </c>
      <c r="E7187" s="1" t="s">
        <v>10</v>
      </c>
      <c r="F7187" s="1" t="s">
        <v>5091</v>
      </c>
      <c r="G7187" s="14" t="s">
        <v>6145</v>
      </c>
      <c r="H7187" s="1" t="s">
        <v>43</v>
      </c>
      <c r="I7187" s="17">
        <v>42851</v>
      </c>
    </row>
    <row r="7188" spans="1:9">
      <c r="A7188" s="16" t="s">
        <v>12880</v>
      </c>
      <c r="B7188" s="1" t="s">
        <v>2628</v>
      </c>
      <c r="C7188" s="1">
        <v>5</v>
      </c>
      <c r="D7188" s="1" t="s">
        <v>34</v>
      </c>
      <c r="E7188" s="1" t="s">
        <v>10</v>
      </c>
      <c r="F7188" s="1" t="s">
        <v>5091</v>
      </c>
      <c r="G7188" s="14" t="s">
        <v>6145</v>
      </c>
      <c r="H7188" s="1" t="s">
        <v>43</v>
      </c>
      <c r="I7188" s="17">
        <v>42851</v>
      </c>
    </row>
    <row r="7189" spans="1:9">
      <c r="A7189" s="16" t="s">
        <v>12881</v>
      </c>
      <c r="B7189" s="1" t="s">
        <v>2628</v>
      </c>
      <c r="C7189" s="1">
        <v>5</v>
      </c>
      <c r="D7189" s="1" t="s">
        <v>34</v>
      </c>
      <c r="E7189" s="1" t="s">
        <v>10</v>
      </c>
      <c r="F7189" s="1" t="s">
        <v>5091</v>
      </c>
      <c r="G7189" s="14" t="s">
        <v>6145</v>
      </c>
      <c r="H7189" s="1" t="s">
        <v>43</v>
      </c>
      <c r="I7189" s="17">
        <v>42851</v>
      </c>
    </row>
    <row r="7190" spans="1:9">
      <c r="A7190" s="16" t="s">
        <v>12882</v>
      </c>
      <c r="B7190" s="1" t="s">
        <v>2628</v>
      </c>
      <c r="C7190" s="1">
        <v>5</v>
      </c>
      <c r="D7190" s="1" t="s">
        <v>34</v>
      </c>
      <c r="E7190" s="1" t="s">
        <v>10</v>
      </c>
      <c r="F7190" s="1" t="s">
        <v>5091</v>
      </c>
      <c r="G7190" s="14" t="s">
        <v>6145</v>
      </c>
      <c r="H7190" s="1" t="s">
        <v>43</v>
      </c>
      <c r="I7190" s="17">
        <v>42851</v>
      </c>
    </row>
    <row r="7191" spans="1:9">
      <c r="A7191" s="16" t="s">
        <v>12883</v>
      </c>
      <c r="B7191" s="1" t="s">
        <v>2628</v>
      </c>
      <c r="C7191" s="1">
        <v>5</v>
      </c>
      <c r="D7191" s="1" t="s">
        <v>34</v>
      </c>
      <c r="E7191" s="1" t="s">
        <v>10</v>
      </c>
      <c r="F7191" s="1" t="s">
        <v>5091</v>
      </c>
      <c r="G7191" s="14" t="s">
        <v>6145</v>
      </c>
      <c r="H7191" s="1" t="s">
        <v>43</v>
      </c>
      <c r="I7191" s="17">
        <v>42851</v>
      </c>
    </row>
    <row r="7192" spans="1:9">
      <c r="A7192" s="16" t="s">
        <v>12884</v>
      </c>
      <c r="B7192" s="1" t="s">
        <v>2628</v>
      </c>
      <c r="C7192" s="1">
        <v>5</v>
      </c>
      <c r="D7192" s="1" t="s">
        <v>34</v>
      </c>
      <c r="E7192" s="1" t="s">
        <v>10</v>
      </c>
      <c r="F7192" s="1" t="s">
        <v>5091</v>
      </c>
      <c r="G7192" s="14" t="s">
        <v>6145</v>
      </c>
      <c r="H7192" s="1" t="s">
        <v>43</v>
      </c>
      <c r="I7192" s="17">
        <v>42851</v>
      </c>
    </row>
    <row r="7193" spans="1:9">
      <c r="A7193" s="16" t="s">
        <v>12885</v>
      </c>
      <c r="B7193" s="1" t="s">
        <v>2628</v>
      </c>
      <c r="C7193" s="1">
        <v>5</v>
      </c>
      <c r="D7193" s="1" t="s">
        <v>34</v>
      </c>
      <c r="E7193" s="1" t="s">
        <v>10</v>
      </c>
      <c r="F7193" s="1" t="s">
        <v>5091</v>
      </c>
      <c r="G7193" s="14" t="s">
        <v>6145</v>
      </c>
      <c r="H7193" s="1" t="s">
        <v>43</v>
      </c>
      <c r="I7193" s="17">
        <v>42851</v>
      </c>
    </row>
    <row r="7194" spans="1:9" ht="31.2">
      <c r="A7194" s="16" t="s">
        <v>12910</v>
      </c>
      <c r="B7194" s="1" t="s">
        <v>2628</v>
      </c>
      <c r="C7194" s="1">
        <v>5</v>
      </c>
      <c r="D7194" s="1" t="s">
        <v>34</v>
      </c>
      <c r="E7194" s="1" t="s">
        <v>10</v>
      </c>
      <c r="F7194" s="1" t="s">
        <v>5091</v>
      </c>
      <c r="G7194" s="14" t="s">
        <v>6145</v>
      </c>
      <c r="H7194" s="1" t="s">
        <v>43</v>
      </c>
      <c r="I7194" s="17">
        <v>42850</v>
      </c>
    </row>
    <row r="7195" spans="1:9">
      <c r="A7195" s="16" t="s">
        <v>12915</v>
      </c>
      <c r="B7195" s="1" t="s">
        <v>2628</v>
      </c>
      <c r="C7195" s="1">
        <v>5</v>
      </c>
      <c r="D7195" s="1" t="s">
        <v>34</v>
      </c>
      <c r="E7195" s="1" t="s">
        <v>10</v>
      </c>
      <c r="F7195" s="1" t="s">
        <v>5303</v>
      </c>
      <c r="G7195" s="14" t="s">
        <v>8598</v>
      </c>
      <c r="H7195" s="1" t="s">
        <v>5</v>
      </c>
      <c r="I7195" s="17">
        <v>41835</v>
      </c>
    </row>
    <row r="7196" spans="1:9">
      <c r="A7196" s="16" t="s">
        <v>12952</v>
      </c>
      <c r="B7196" s="1" t="s">
        <v>2628</v>
      </c>
      <c r="C7196" s="1">
        <v>5</v>
      </c>
      <c r="D7196" s="1" t="s">
        <v>34</v>
      </c>
      <c r="E7196" s="1" t="s">
        <v>10</v>
      </c>
      <c r="F7196" s="1" t="s">
        <v>5091</v>
      </c>
      <c r="G7196" s="14" t="s">
        <v>9561</v>
      </c>
      <c r="H7196" s="1" t="s">
        <v>5</v>
      </c>
      <c r="I7196" s="17">
        <v>37734</v>
      </c>
    </row>
    <row r="7197" spans="1:9">
      <c r="A7197" s="16" t="s">
        <v>12954</v>
      </c>
      <c r="B7197" s="1" t="s">
        <v>2628</v>
      </c>
      <c r="C7197" s="1">
        <v>5</v>
      </c>
      <c r="D7197" s="1" t="s">
        <v>34</v>
      </c>
      <c r="E7197" s="1" t="s">
        <v>10</v>
      </c>
      <c r="F7197" s="1" t="s">
        <v>5091</v>
      </c>
      <c r="G7197" s="14" t="s">
        <v>7935</v>
      </c>
      <c r="H7197" s="1" t="s">
        <v>5</v>
      </c>
      <c r="I7197" s="17">
        <v>40807</v>
      </c>
    </row>
    <row r="7198" spans="1:9">
      <c r="A7198" s="16" t="s">
        <v>12974</v>
      </c>
      <c r="B7198" s="1" t="s">
        <v>2628</v>
      </c>
      <c r="C7198" s="1">
        <v>1675</v>
      </c>
      <c r="D7198" s="1" t="s">
        <v>34</v>
      </c>
      <c r="E7198" s="1" t="s">
        <v>10</v>
      </c>
      <c r="F7198" s="1" t="s">
        <v>5091</v>
      </c>
      <c r="G7198" s="14" t="s">
        <v>7403</v>
      </c>
      <c r="H7198" s="1" t="s">
        <v>44</v>
      </c>
      <c r="I7198" s="17">
        <v>42849</v>
      </c>
    </row>
    <row r="7199" spans="1:9">
      <c r="A7199" s="16" t="s">
        <v>12976</v>
      </c>
      <c r="B7199" s="1" t="s">
        <v>2628</v>
      </c>
      <c r="C7199" s="1">
        <v>5</v>
      </c>
      <c r="D7199" s="1" t="s">
        <v>34</v>
      </c>
      <c r="E7199" s="1" t="s">
        <v>10</v>
      </c>
      <c r="F7199" s="1" t="s">
        <v>5091</v>
      </c>
      <c r="G7199" s="14" t="s">
        <v>6145</v>
      </c>
      <c r="H7199" s="1" t="s">
        <v>43</v>
      </c>
      <c r="I7199" s="17">
        <v>42851</v>
      </c>
    </row>
    <row r="7200" spans="1:9">
      <c r="A7200" s="16" t="s">
        <v>12977</v>
      </c>
      <c r="B7200" s="1" t="s">
        <v>2628</v>
      </c>
      <c r="C7200" s="1">
        <v>5</v>
      </c>
      <c r="D7200" s="1" t="s">
        <v>34</v>
      </c>
      <c r="E7200" s="1" t="s">
        <v>10</v>
      </c>
      <c r="F7200" s="1" t="s">
        <v>5091</v>
      </c>
      <c r="G7200" s="14" t="s">
        <v>12978</v>
      </c>
      <c r="H7200" s="1" t="s">
        <v>5</v>
      </c>
      <c r="I7200" s="17">
        <v>42852</v>
      </c>
    </row>
    <row r="7201" spans="1:9">
      <c r="A7201" s="16" t="s">
        <v>12979</v>
      </c>
      <c r="B7201" s="1" t="s">
        <v>2628</v>
      </c>
      <c r="C7201" s="1">
        <v>5</v>
      </c>
      <c r="D7201" s="1" t="s">
        <v>34</v>
      </c>
      <c r="E7201" s="1" t="s">
        <v>10</v>
      </c>
      <c r="F7201" s="1" t="s">
        <v>5091</v>
      </c>
      <c r="G7201" s="14" t="s">
        <v>12978</v>
      </c>
      <c r="H7201" s="1" t="s">
        <v>5</v>
      </c>
      <c r="I7201" s="17">
        <v>42852</v>
      </c>
    </row>
    <row r="7202" spans="1:9">
      <c r="A7202" s="16" t="s">
        <v>12981</v>
      </c>
      <c r="B7202" s="1" t="s">
        <v>2628</v>
      </c>
      <c r="C7202" s="1">
        <v>5</v>
      </c>
      <c r="D7202" s="1" t="s">
        <v>34</v>
      </c>
      <c r="E7202" s="1" t="s">
        <v>10</v>
      </c>
      <c r="F7202" s="1" t="s">
        <v>5091</v>
      </c>
      <c r="G7202" s="14" t="s">
        <v>6145</v>
      </c>
      <c r="H7202" s="1" t="s">
        <v>43</v>
      </c>
      <c r="I7202" s="17">
        <v>42851</v>
      </c>
    </row>
    <row r="7203" spans="1:9">
      <c r="A7203" s="16" t="s">
        <v>13010</v>
      </c>
      <c r="B7203" s="1" t="s">
        <v>2631</v>
      </c>
      <c r="C7203" s="1">
        <v>5</v>
      </c>
      <c r="D7203" s="1" t="s">
        <v>34</v>
      </c>
      <c r="E7203" s="1" t="s">
        <v>10</v>
      </c>
      <c r="F7203" s="1" t="s">
        <v>5091</v>
      </c>
      <c r="G7203" s="1" t="s">
        <v>6145</v>
      </c>
      <c r="H7203" s="1" t="s">
        <v>43</v>
      </c>
      <c r="I7203" s="17">
        <v>40830</v>
      </c>
    </row>
    <row r="7204" spans="1:9">
      <c r="A7204" s="16" t="s">
        <v>13011</v>
      </c>
      <c r="B7204" s="1" t="s">
        <v>2628</v>
      </c>
      <c r="C7204" s="1">
        <v>5</v>
      </c>
      <c r="D7204" s="1" t="s">
        <v>34</v>
      </c>
      <c r="E7204" s="1" t="s">
        <v>10</v>
      </c>
      <c r="F7204" s="1" t="s">
        <v>5091</v>
      </c>
      <c r="G7204" s="14" t="s">
        <v>6145</v>
      </c>
      <c r="H7204" s="1" t="s">
        <v>43</v>
      </c>
      <c r="I7204" s="17">
        <v>42852</v>
      </c>
    </row>
    <row r="7205" spans="1:9">
      <c r="A7205" s="16" t="s">
        <v>13012</v>
      </c>
      <c r="B7205" s="1" t="s">
        <v>2628</v>
      </c>
      <c r="C7205" s="1">
        <v>5</v>
      </c>
      <c r="D7205" s="1" t="s">
        <v>34</v>
      </c>
      <c r="E7205" s="1" t="s">
        <v>10</v>
      </c>
      <c r="F7205" s="1" t="s">
        <v>5091</v>
      </c>
      <c r="G7205" s="14" t="s">
        <v>6145</v>
      </c>
      <c r="H7205" s="1" t="s">
        <v>43</v>
      </c>
      <c r="I7205" s="17">
        <v>42852</v>
      </c>
    </row>
    <row r="7206" spans="1:9">
      <c r="A7206" s="16" t="s">
        <v>13013</v>
      </c>
      <c r="B7206" s="1" t="s">
        <v>2628</v>
      </c>
      <c r="C7206" s="1">
        <v>5</v>
      </c>
      <c r="D7206" s="1" t="s">
        <v>34</v>
      </c>
      <c r="E7206" s="1" t="s">
        <v>10</v>
      </c>
      <c r="F7206" s="1" t="s">
        <v>5091</v>
      </c>
      <c r="G7206" s="14" t="s">
        <v>6145</v>
      </c>
      <c r="H7206" s="1" t="s">
        <v>43</v>
      </c>
      <c r="I7206" s="17">
        <v>42852</v>
      </c>
    </row>
    <row r="7207" spans="1:9">
      <c r="A7207" s="16" t="s">
        <v>13014</v>
      </c>
      <c r="B7207" s="1" t="s">
        <v>2628</v>
      </c>
      <c r="C7207" s="1">
        <v>5</v>
      </c>
      <c r="D7207" s="1" t="s">
        <v>34</v>
      </c>
      <c r="E7207" s="1" t="s">
        <v>10</v>
      </c>
      <c r="F7207" s="1" t="s">
        <v>5091</v>
      </c>
      <c r="G7207" s="14" t="s">
        <v>6145</v>
      </c>
      <c r="H7207" s="1" t="s">
        <v>43</v>
      </c>
      <c r="I7207" s="17">
        <v>42852</v>
      </c>
    </row>
    <row r="7208" spans="1:9">
      <c r="A7208" s="16" t="s">
        <v>13015</v>
      </c>
      <c r="B7208" s="1" t="s">
        <v>2628</v>
      </c>
      <c r="C7208" s="1">
        <v>5</v>
      </c>
      <c r="D7208" s="1" t="s">
        <v>34</v>
      </c>
      <c r="E7208" s="1" t="s">
        <v>10</v>
      </c>
      <c r="F7208" s="1" t="s">
        <v>5091</v>
      </c>
      <c r="G7208" s="14" t="s">
        <v>6145</v>
      </c>
      <c r="H7208" s="1" t="s">
        <v>43</v>
      </c>
      <c r="I7208" s="17">
        <v>42852</v>
      </c>
    </row>
    <row r="7209" spans="1:9">
      <c r="A7209" s="16" t="s">
        <v>13016</v>
      </c>
      <c r="B7209" s="1" t="s">
        <v>2631</v>
      </c>
      <c r="C7209" s="1">
        <v>5</v>
      </c>
      <c r="D7209" s="1" t="s">
        <v>34</v>
      </c>
      <c r="E7209" s="1" t="s">
        <v>10</v>
      </c>
      <c r="F7209" s="1" t="s">
        <v>5091</v>
      </c>
      <c r="G7209" s="1" t="s">
        <v>6145</v>
      </c>
      <c r="H7209" s="1" t="s">
        <v>43</v>
      </c>
      <c r="I7209" s="17">
        <v>40830</v>
      </c>
    </row>
    <row r="7210" spans="1:9">
      <c r="A7210" s="16" t="s">
        <v>13017</v>
      </c>
      <c r="B7210" s="1" t="s">
        <v>2628</v>
      </c>
      <c r="C7210" s="1">
        <v>5</v>
      </c>
      <c r="D7210" s="1" t="s">
        <v>34</v>
      </c>
      <c r="E7210" s="1" t="s">
        <v>10</v>
      </c>
      <c r="F7210" s="1" t="s">
        <v>5091</v>
      </c>
      <c r="G7210" s="14" t="s">
        <v>6145</v>
      </c>
      <c r="H7210" s="1" t="s">
        <v>43</v>
      </c>
      <c r="I7210" s="17">
        <v>42852</v>
      </c>
    </row>
    <row r="7211" spans="1:9">
      <c r="A7211" s="16" t="s">
        <v>13018</v>
      </c>
      <c r="B7211" s="1" t="s">
        <v>2628</v>
      </c>
      <c r="C7211" s="1">
        <v>5</v>
      </c>
      <c r="D7211" s="1" t="s">
        <v>34</v>
      </c>
      <c r="E7211" s="1" t="s">
        <v>10</v>
      </c>
      <c r="F7211" s="1" t="s">
        <v>5091</v>
      </c>
      <c r="G7211" s="14" t="s">
        <v>6145</v>
      </c>
      <c r="H7211" s="1" t="s">
        <v>43</v>
      </c>
      <c r="I7211" s="17">
        <v>42852</v>
      </c>
    </row>
    <row r="7212" spans="1:9">
      <c r="A7212" s="16" t="s">
        <v>13019</v>
      </c>
      <c r="B7212" s="1" t="s">
        <v>2628</v>
      </c>
      <c r="C7212" s="1">
        <v>5</v>
      </c>
      <c r="D7212" s="1" t="s">
        <v>34</v>
      </c>
      <c r="E7212" s="1" t="s">
        <v>10</v>
      </c>
      <c r="F7212" s="1" t="s">
        <v>5091</v>
      </c>
      <c r="G7212" s="14" t="s">
        <v>6145</v>
      </c>
      <c r="H7212" s="1" t="s">
        <v>43</v>
      </c>
      <c r="I7212" s="17">
        <v>42852</v>
      </c>
    </row>
    <row r="7213" spans="1:9">
      <c r="A7213" s="16" t="s">
        <v>13020</v>
      </c>
      <c r="B7213" s="1" t="s">
        <v>2628</v>
      </c>
      <c r="C7213" s="1">
        <v>5</v>
      </c>
      <c r="D7213" s="1" t="s">
        <v>34</v>
      </c>
      <c r="E7213" s="1" t="s">
        <v>10</v>
      </c>
      <c r="F7213" s="1" t="s">
        <v>5091</v>
      </c>
      <c r="G7213" s="14" t="s">
        <v>6145</v>
      </c>
      <c r="H7213" s="1" t="s">
        <v>43</v>
      </c>
      <c r="I7213" s="17">
        <v>42852</v>
      </c>
    </row>
    <row r="7214" spans="1:9">
      <c r="A7214" s="16" t="s">
        <v>13021</v>
      </c>
      <c r="B7214" s="1" t="s">
        <v>2628</v>
      </c>
      <c r="C7214" s="1">
        <v>5</v>
      </c>
      <c r="D7214" s="1" t="s">
        <v>34</v>
      </c>
      <c r="E7214" s="1" t="s">
        <v>10</v>
      </c>
      <c r="F7214" s="1" t="s">
        <v>5091</v>
      </c>
      <c r="G7214" s="14" t="s">
        <v>6145</v>
      </c>
      <c r="H7214" s="1" t="s">
        <v>43</v>
      </c>
      <c r="I7214" s="17">
        <v>42852</v>
      </c>
    </row>
    <row r="7215" spans="1:9">
      <c r="A7215" s="16" t="s">
        <v>13022</v>
      </c>
      <c r="B7215" s="1" t="s">
        <v>2628</v>
      </c>
      <c r="C7215" s="1">
        <v>5</v>
      </c>
      <c r="D7215" s="1" t="s">
        <v>34</v>
      </c>
      <c r="E7215" s="1" t="s">
        <v>10</v>
      </c>
      <c r="F7215" s="1" t="s">
        <v>5091</v>
      </c>
      <c r="G7215" s="14" t="s">
        <v>6145</v>
      </c>
      <c r="H7215" s="1" t="s">
        <v>43</v>
      </c>
      <c r="I7215" s="17">
        <v>42852</v>
      </c>
    </row>
    <row r="7216" spans="1:9">
      <c r="A7216" s="16" t="s">
        <v>13023</v>
      </c>
      <c r="B7216" s="1" t="s">
        <v>2628</v>
      </c>
      <c r="C7216" s="1">
        <v>5</v>
      </c>
      <c r="D7216" s="1" t="s">
        <v>34</v>
      </c>
      <c r="E7216" s="1" t="s">
        <v>10</v>
      </c>
      <c r="F7216" s="1" t="s">
        <v>5091</v>
      </c>
      <c r="G7216" s="14" t="s">
        <v>6145</v>
      </c>
      <c r="H7216" s="1" t="s">
        <v>43</v>
      </c>
      <c r="I7216" s="17">
        <v>42852</v>
      </c>
    </row>
    <row r="7217" spans="1:9">
      <c r="A7217" s="16" t="s">
        <v>13024</v>
      </c>
      <c r="B7217" s="1" t="s">
        <v>2628</v>
      </c>
      <c r="C7217" s="1">
        <v>5</v>
      </c>
      <c r="D7217" s="1" t="s">
        <v>34</v>
      </c>
      <c r="E7217" s="1" t="s">
        <v>10</v>
      </c>
      <c r="F7217" s="1" t="s">
        <v>5091</v>
      </c>
      <c r="G7217" s="14" t="s">
        <v>6145</v>
      </c>
      <c r="H7217" s="1" t="s">
        <v>43</v>
      </c>
      <c r="I7217" s="17">
        <v>42852</v>
      </c>
    </row>
    <row r="7218" spans="1:9">
      <c r="A7218" s="16" t="s">
        <v>13025</v>
      </c>
      <c r="B7218" s="1" t="s">
        <v>2628</v>
      </c>
      <c r="C7218" s="1">
        <v>5</v>
      </c>
      <c r="D7218" s="1" t="s">
        <v>34</v>
      </c>
      <c r="E7218" s="1" t="s">
        <v>10</v>
      </c>
      <c r="F7218" s="1" t="s">
        <v>5091</v>
      </c>
      <c r="G7218" s="14" t="s">
        <v>6145</v>
      </c>
      <c r="H7218" s="1" t="s">
        <v>43</v>
      </c>
      <c r="I7218" s="17">
        <v>42852</v>
      </c>
    </row>
    <row r="7219" spans="1:9">
      <c r="A7219" s="16" t="s">
        <v>13026</v>
      </c>
      <c r="B7219" s="1" t="s">
        <v>2628</v>
      </c>
      <c r="C7219" s="1">
        <v>5</v>
      </c>
      <c r="D7219" s="1" t="s">
        <v>34</v>
      </c>
      <c r="E7219" s="1" t="s">
        <v>10</v>
      </c>
      <c r="F7219" s="1" t="s">
        <v>5091</v>
      </c>
      <c r="G7219" s="14" t="s">
        <v>6145</v>
      </c>
      <c r="H7219" s="1" t="s">
        <v>43</v>
      </c>
      <c r="I7219" s="17">
        <v>42852</v>
      </c>
    </row>
    <row r="7220" spans="1:9">
      <c r="A7220" s="16" t="s">
        <v>13027</v>
      </c>
      <c r="B7220" s="1" t="s">
        <v>2628</v>
      </c>
      <c r="C7220" s="1">
        <v>5</v>
      </c>
      <c r="D7220" s="1" t="s">
        <v>34</v>
      </c>
      <c r="E7220" s="1" t="s">
        <v>10</v>
      </c>
      <c r="F7220" s="1" t="s">
        <v>5091</v>
      </c>
      <c r="G7220" s="14" t="s">
        <v>6145</v>
      </c>
      <c r="H7220" s="1" t="s">
        <v>43</v>
      </c>
      <c r="I7220" s="17">
        <v>42852</v>
      </c>
    </row>
    <row r="7221" spans="1:9">
      <c r="A7221" s="16" t="s">
        <v>13032</v>
      </c>
      <c r="B7221" s="1" t="s">
        <v>2631</v>
      </c>
      <c r="C7221" s="1">
        <v>5</v>
      </c>
      <c r="D7221" s="1" t="s">
        <v>34</v>
      </c>
      <c r="E7221" s="1" t="s">
        <v>10</v>
      </c>
      <c r="F7221" s="1" t="s">
        <v>5091</v>
      </c>
      <c r="G7221" s="1" t="s">
        <v>7403</v>
      </c>
      <c r="H7221" s="1" t="s">
        <v>44</v>
      </c>
      <c r="I7221" s="17">
        <v>42864</v>
      </c>
    </row>
    <row r="7222" spans="1:9">
      <c r="A7222" s="16" t="s">
        <v>13044</v>
      </c>
      <c r="B7222" s="1" t="s">
        <v>2628</v>
      </c>
      <c r="C7222" s="1">
        <v>5</v>
      </c>
      <c r="D7222" s="1" t="s">
        <v>34</v>
      </c>
      <c r="E7222" s="1" t="s">
        <v>10</v>
      </c>
      <c r="F7222" s="1" t="s">
        <v>5091</v>
      </c>
      <c r="G7222" s="14" t="s">
        <v>6145</v>
      </c>
      <c r="H7222" s="1" t="s">
        <v>43</v>
      </c>
      <c r="I7222" s="17">
        <v>42370</v>
      </c>
    </row>
    <row r="7223" spans="1:9">
      <c r="A7223" s="16" t="s">
        <v>13045</v>
      </c>
      <c r="B7223" s="1" t="s">
        <v>2628</v>
      </c>
      <c r="C7223" s="1">
        <v>5</v>
      </c>
      <c r="D7223" s="1" t="s">
        <v>34</v>
      </c>
      <c r="E7223" s="1" t="s">
        <v>10</v>
      </c>
      <c r="F7223" s="1" t="s">
        <v>5091</v>
      </c>
      <c r="G7223" s="14" t="s">
        <v>6145</v>
      </c>
      <c r="H7223" s="1" t="s">
        <v>43</v>
      </c>
      <c r="I7223" s="17">
        <v>42370</v>
      </c>
    </row>
    <row r="7224" spans="1:9">
      <c r="A7224" s="16" t="s">
        <v>13054</v>
      </c>
      <c r="B7224" s="1" t="s">
        <v>2628</v>
      </c>
      <c r="C7224" s="1">
        <v>5</v>
      </c>
      <c r="D7224" s="1" t="s">
        <v>34</v>
      </c>
      <c r="E7224" s="1" t="s">
        <v>10</v>
      </c>
      <c r="F7224" s="1" t="s">
        <v>5091</v>
      </c>
      <c r="G7224" s="14" t="s">
        <v>6450</v>
      </c>
      <c r="H7224" s="1" t="s">
        <v>43</v>
      </c>
      <c r="I7224" s="17">
        <v>42370</v>
      </c>
    </row>
    <row r="7225" spans="1:9">
      <c r="A7225" s="16" t="s">
        <v>13056</v>
      </c>
      <c r="B7225" s="1" t="s">
        <v>2628</v>
      </c>
      <c r="C7225" s="1">
        <v>5</v>
      </c>
      <c r="D7225" s="1" t="s">
        <v>34</v>
      </c>
      <c r="E7225" s="1" t="s">
        <v>10</v>
      </c>
      <c r="F7225" s="1" t="s">
        <v>5091</v>
      </c>
      <c r="G7225" s="14" t="s">
        <v>6145</v>
      </c>
      <c r="H7225" s="1" t="s">
        <v>43</v>
      </c>
      <c r="I7225" s="17">
        <v>42370</v>
      </c>
    </row>
    <row r="7226" spans="1:9">
      <c r="A7226" s="16" t="s">
        <v>13058</v>
      </c>
      <c r="B7226" s="1" t="s">
        <v>2628</v>
      </c>
      <c r="C7226" s="1">
        <v>5</v>
      </c>
      <c r="D7226" s="1" t="s">
        <v>34</v>
      </c>
      <c r="E7226" s="1" t="s">
        <v>10</v>
      </c>
      <c r="F7226" s="1" t="s">
        <v>5091</v>
      </c>
      <c r="G7226" s="14" t="s">
        <v>6450</v>
      </c>
      <c r="H7226" s="1" t="s">
        <v>43</v>
      </c>
      <c r="I7226" s="17">
        <v>42370</v>
      </c>
    </row>
    <row r="7227" spans="1:9">
      <c r="A7227" s="16" t="s">
        <v>13059</v>
      </c>
      <c r="B7227" s="1" t="s">
        <v>2628</v>
      </c>
      <c r="C7227" s="1">
        <v>5</v>
      </c>
      <c r="D7227" s="1" t="s">
        <v>34</v>
      </c>
      <c r="E7227" s="1" t="s">
        <v>10</v>
      </c>
      <c r="F7227" s="1" t="s">
        <v>5091</v>
      </c>
      <c r="G7227" s="14" t="s">
        <v>6145</v>
      </c>
      <c r="H7227" s="1" t="s">
        <v>43</v>
      </c>
      <c r="I7227" s="17">
        <v>42370</v>
      </c>
    </row>
    <row r="7228" spans="1:9">
      <c r="A7228" s="16" t="s">
        <v>13060</v>
      </c>
      <c r="B7228" s="1" t="s">
        <v>2628</v>
      </c>
      <c r="C7228" s="1">
        <v>5</v>
      </c>
      <c r="D7228" s="1" t="s">
        <v>34</v>
      </c>
      <c r="E7228" s="1" t="s">
        <v>10</v>
      </c>
      <c r="F7228" s="1" t="s">
        <v>5091</v>
      </c>
      <c r="G7228" s="14" t="s">
        <v>6145</v>
      </c>
      <c r="H7228" s="1" t="s">
        <v>43</v>
      </c>
      <c r="I7228" s="17">
        <v>42370</v>
      </c>
    </row>
    <row r="7229" spans="1:9">
      <c r="A7229" s="16" t="s">
        <v>13066</v>
      </c>
      <c r="B7229" s="1" t="s">
        <v>2628</v>
      </c>
      <c r="C7229" s="1">
        <v>5</v>
      </c>
      <c r="D7229" s="1" t="s">
        <v>34</v>
      </c>
      <c r="E7229" s="1" t="s">
        <v>10</v>
      </c>
      <c r="F7229" s="1" t="s">
        <v>5091</v>
      </c>
      <c r="G7229" s="14" t="s">
        <v>6145</v>
      </c>
      <c r="H7229" s="1" t="s">
        <v>43</v>
      </c>
      <c r="I7229" s="17">
        <v>42795</v>
      </c>
    </row>
    <row r="7230" spans="1:9">
      <c r="A7230" s="16" t="s">
        <v>13087</v>
      </c>
      <c r="B7230" s="1" t="s">
        <v>2628</v>
      </c>
      <c r="C7230" s="1">
        <v>5</v>
      </c>
      <c r="D7230" s="1" t="s">
        <v>34</v>
      </c>
      <c r="E7230" s="1" t="s">
        <v>10</v>
      </c>
      <c r="F7230" s="1" t="s">
        <v>5091</v>
      </c>
      <c r="G7230" s="14" t="s">
        <v>8428</v>
      </c>
      <c r="H7230" s="1" t="s">
        <v>5</v>
      </c>
      <c r="I7230" s="17">
        <v>42736</v>
      </c>
    </row>
    <row r="7231" spans="1:9">
      <c r="A7231" s="16" t="s">
        <v>13093</v>
      </c>
      <c r="B7231" s="1" t="s">
        <v>2628</v>
      </c>
      <c r="C7231" s="1">
        <v>5</v>
      </c>
      <c r="D7231" s="1" t="s">
        <v>34</v>
      </c>
      <c r="E7231" s="1" t="s">
        <v>10</v>
      </c>
      <c r="F7231" s="1" t="s">
        <v>5091</v>
      </c>
      <c r="G7231" s="14" t="s">
        <v>6145</v>
      </c>
      <c r="H7231" s="1" t="s">
        <v>43</v>
      </c>
      <c r="I7231" s="17">
        <v>42871</v>
      </c>
    </row>
    <row r="7232" spans="1:9">
      <c r="A7232" s="16" t="s">
        <v>13095</v>
      </c>
      <c r="B7232" s="1" t="s">
        <v>2631</v>
      </c>
      <c r="C7232" s="1">
        <v>5</v>
      </c>
      <c r="D7232" s="1" t="s">
        <v>34</v>
      </c>
      <c r="E7232" s="1" t="s">
        <v>10</v>
      </c>
      <c r="F7232" s="1" t="s">
        <v>5091</v>
      </c>
      <c r="G7232" s="1" t="s">
        <v>6145</v>
      </c>
      <c r="H7232" s="1" t="s">
        <v>43</v>
      </c>
      <c r="I7232" s="17">
        <v>42877</v>
      </c>
    </row>
    <row r="7233" spans="1:9">
      <c r="A7233" s="16" t="s">
        <v>13100</v>
      </c>
      <c r="B7233" s="1" t="s">
        <v>2631</v>
      </c>
      <c r="C7233" s="1">
        <v>5</v>
      </c>
      <c r="D7233" s="1" t="s">
        <v>34</v>
      </c>
      <c r="E7233" s="1" t="s">
        <v>10</v>
      </c>
      <c r="F7233" s="1" t="s">
        <v>5091</v>
      </c>
      <c r="G7233" s="1" t="s">
        <v>6145</v>
      </c>
      <c r="H7233" s="1" t="s">
        <v>43</v>
      </c>
      <c r="I7233" s="17">
        <v>42877</v>
      </c>
    </row>
    <row r="7234" spans="1:9">
      <c r="A7234" s="16" t="s">
        <v>13102</v>
      </c>
      <c r="B7234" s="1" t="s">
        <v>2628</v>
      </c>
      <c r="C7234" s="1">
        <v>5</v>
      </c>
      <c r="D7234" s="1" t="s">
        <v>34</v>
      </c>
      <c r="E7234" s="1" t="s">
        <v>10</v>
      </c>
      <c r="F7234" s="1" t="s">
        <v>5091</v>
      </c>
      <c r="G7234" s="14" t="s">
        <v>6145</v>
      </c>
      <c r="H7234" s="1" t="s">
        <v>43</v>
      </c>
      <c r="I7234" s="17">
        <v>42878</v>
      </c>
    </row>
    <row r="7235" spans="1:9">
      <c r="A7235" s="16" t="s">
        <v>13104</v>
      </c>
      <c r="B7235" s="1" t="s">
        <v>2628</v>
      </c>
      <c r="C7235" s="1">
        <v>5</v>
      </c>
      <c r="D7235" s="1" t="s">
        <v>34</v>
      </c>
      <c r="E7235" s="1" t="s">
        <v>10</v>
      </c>
      <c r="F7235" s="1" t="s">
        <v>5091</v>
      </c>
      <c r="G7235" s="14" t="s">
        <v>6145</v>
      </c>
      <c r="H7235" s="1" t="s">
        <v>43</v>
      </c>
      <c r="I7235" s="17">
        <v>42871</v>
      </c>
    </row>
    <row r="7236" spans="1:9">
      <c r="A7236" s="16" t="s">
        <v>13106</v>
      </c>
      <c r="B7236" s="1" t="s">
        <v>2628</v>
      </c>
      <c r="C7236" s="1">
        <v>5</v>
      </c>
      <c r="D7236" s="1" t="s">
        <v>34</v>
      </c>
      <c r="E7236" s="1" t="s">
        <v>10</v>
      </c>
      <c r="F7236" s="1" t="s">
        <v>5091</v>
      </c>
      <c r="G7236" s="14" t="s">
        <v>6145</v>
      </c>
      <c r="H7236" s="1" t="s">
        <v>43</v>
      </c>
      <c r="I7236" s="17">
        <v>42871</v>
      </c>
    </row>
    <row r="7237" spans="1:9">
      <c r="A7237" s="16" t="s">
        <v>13108</v>
      </c>
      <c r="B7237" s="1" t="s">
        <v>2628</v>
      </c>
      <c r="C7237" s="1">
        <v>5</v>
      </c>
      <c r="D7237" s="1" t="s">
        <v>34</v>
      </c>
      <c r="E7237" s="1" t="s">
        <v>10</v>
      </c>
      <c r="F7237" s="1" t="s">
        <v>5091</v>
      </c>
      <c r="G7237" s="14" t="s">
        <v>6145</v>
      </c>
      <c r="H7237" s="1" t="s">
        <v>43</v>
      </c>
      <c r="I7237" s="17">
        <v>42900</v>
      </c>
    </row>
    <row r="7238" spans="1:9">
      <c r="A7238" s="16" t="s">
        <v>13109</v>
      </c>
      <c r="B7238" s="1" t="s">
        <v>2628</v>
      </c>
      <c r="C7238" s="1">
        <v>5</v>
      </c>
      <c r="D7238" s="1" t="s">
        <v>34</v>
      </c>
      <c r="E7238" s="1" t="s">
        <v>10</v>
      </c>
      <c r="F7238" s="1" t="s">
        <v>5091</v>
      </c>
      <c r="G7238" s="14" t="s">
        <v>6145</v>
      </c>
      <c r="H7238" s="1" t="s">
        <v>43</v>
      </c>
      <c r="I7238" s="17">
        <v>42900</v>
      </c>
    </row>
    <row r="7239" spans="1:9">
      <c r="A7239" s="16" t="s">
        <v>13110</v>
      </c>
      <c r="B7239" s="1" t="s">
        <v>2628</v>
      </c>
      <c r="C7239" s="1">
        <v>5</v>
      </c>
      <c r="D7239" s="1" t="s">
        <v>34</v>
      </c>
      <c r="E7239" s="1" t="s">
        <v>10</v>
      </c>
      <c r="F7239" s="1" t="s">
        <v>5091</v>
      </c>
      <c r="G7239" s="14" t="s">
        <v>6145</v>
      </c>
      <c r="H7239" s="1" t="s">
        <v>43</v>
      </c>
      <c r="I7239" s="17">
        <v>42900</v>
      </c>
    </row>
    <row r="7240" spans="1:9">
      <c r="A7240" s="16" t="s">
        <v>13111</v>
      </c>
      <c r="B7240" s="1" t="s">
        <v>2628</v>
      </c>
      <c r="C7240" s="1">
        <v>5</v>
      </c>
      <c r="D7240" s="1" t="s">
        <v>34</v>
      </c>
      <c r="E7240" s="1" t="s">
        <v>10</v>
      </c>
      <c r="F7240" s="1" t="s">
        <v>5091</v>
      </c>
      <c r="G7240" s="14" t="s">
        <v>6145</v>
      </c>
      <c r="H7240" s="1" t="s">
        <v>43</v>
      </c>
      <c r="I7240" s="17">
        <v>42900</v>
      </c>
    </row>
    <row r="7241" spans="1:9">
      <c r="A7241" s="16" t="s">
        <v>13112</v>
      </c>
      <c r="B7241" s="1" t="s">
        <v>2628</v>
      </c>
      <c r="C7241" s="1">
        <v>5</v>
      </c>
      <c r="D7241" s="1" t="s">
        <v>34</v>
      </c>
      <c r="E7241" s="1" t="s">
        <v>10</v>
      </c>
      <c r="F7241" s="1" t="s">
        <v>5091</v>
      </c>
      <c r="G7241" s="14" t="s">
        <v>6145</v>
      </c>
      <c r="H7241" s="1" t="s">
        <v>43</v>
      </c>
      <c r="I7241" s="17">
        <v>42900</v>
      </c>
    </row>
    <row r="7242" spans="1:9">
      <c r="A7242" s="16" t="s">
        <v>13113</v>
      </c>
      <c r="B7242" s="1" t="s">
        <v>2628</v>
      </c>
      <c r="C7242" s="1">
        <v>5</v>
      </c>
      <c r="D7242" s="1" t="s">
        <v>34</v>
      </c>
      <c r="E7242" s="1" t="s">
        <v>10</v>
      </c>
      <c r="F7242" s="1" t="s">
        <v>5091</v>
      </c>
      <c r="G7242" s="14" t="s">
        <v>6145</v>
      </c>
      <c r="H7242" s="1" t="s">
        <v>43</v>
      </c>
      <c r="I7242" s="17">
        <v>42900</v>
      </c>
    </row>
    <row r="7243" spans="1:9">
      <c r="A7243" s="16" t="s">
        <v>13114</v>
      </c>
      <c r="B7243" s="1" t="s">
        <v>2628</v>
      </c>
      <c r="C7243" s="1">
        <v>5</v>
      </c>
      <c r="D7243" s="1" t="s">
        <v>34</v>
      </c>
      <c r="E7243" s="1" t="s">
        <v>10</v>
      </c>
      <c r="F7243" s="1" t="s">
        <v>5091</v>
      </c>
      <c r="G7243" s="14" t="s">
        <v>6145</v>
      </c>
      <c r="H7243" s="1" t="s">
        <v>43</v>
      </c>
      <c r="I7243" s="17">
        <v>42900</v>
      </c>
    </row>
    <row r="7244" spans="1:9">
      <c r="A7244" s="16" t="s">
        <v>13115</v>
      </c>
      <c r="B7244" s="1" t="s">
        <v>2628</v>
      </c>
      <c r="C7244" s="1">
        <v>5</v>
      </c>
      <c r="D7244" s="1" t="s">
        <v>34</v>
      </c>
      <c r="E7244" s="1" t="s">
        <v>10</v>
      </c>
      <c r="F7244" s="1" t="s">
        <v>5091</v>
      </c>
      <c r="G7244" s="14" t="s">
        <v>6145</v>
      </c>
      <c r="H7244" s="1" t="s">
        <v>43</v>
      </c>
      <c r="I7244" s="17">
        <v>42900</v>
      </c>
    </row>
    <row r="7245" spans="1:9">
      <c r="A7245" s="16" t="s">
        <v>13116</v>
      </c>
      <c r="B7245" s="1" t="s">
        <v>2628</v>
      </c>
      <c r="C7245" s="1">
        <v>5</v>
      </c>
      <c r="D7245" s="1" t="s">
        <v>34</v>
      </c>
      <c r="E7245" s="1" t="s">
        <v>10</v>
      </c>
      <c r="F7245" s="1" t="s">
        <v>5091</v>
      </c>
      <c r="G7245" s="14" t="s">
        <v>6145</v>
      </c>
      <c r="H7245" s="1" t="s">
        <v>43</v>
      </c>
      <c r="I7245" s="17">
        <v>42900</v>
      </c>
    </row>
    <row r="7246" spans="1:9">
      <c r="A7246" s="16" t="s">
        <v>13117</v>
      </c>
      <c r="B7246" s="1" t="s">
        <v>2628</v>
      </c>
      <c r="C7246" s="1">
        <v>5</v>
      </c>
      <c r="D7246" s="1" t="s">
        <v>34</v>
      </c>
      <c r="E7246" s="1" t="s">
        <v>10</v>
      </c>
      <c r="F7246" s="1" t="s">
        <v>5091</v>
      </c>
      <c r="G7246" s="14" t="s">
        <v>6145</v>
      </c>
      <c r="H7246" s="1" t="s">
        <v>43</v>
      </c>
      <c r="I7246" s="17">
        <v>42900</v>
      </c>
    </row>
    <row r="7247" spans="1:9">
      <c r="A7247" s="16" t="s">
        <v>13118</v>
      </c>
      <c r="B7247" s="1" t="s">
        <v>2628</v>
      </c>
      <c r="C7247" s="1">
        <v>5</v>
      </c>
      <c r="D7247" s="1" t="s">
        <v>34</v>
      </c>
      <c r="E7247" s="1" t="s">
        <v>10</v>
      </c>
      <c r="F7247" s="1" t="s">
        <v>5091</v>
      </c>
      <c r="G7247" s="14" t="s">
        <v>6145</v>
      </c>
      <c r="H7247" s="1" t="s">
        <v>43</v>
      </c>
      <c r="I7247" s="17">
        <v>42901</v>
      </c>
    </row>
    <row r="7248" spans="1:9">
      <c r="A7248" s="16" t="s">
        <v>13119</v>
      </c>
      <c r="B7248" s="1" t="s">
        <v>2628</v>
      </c>
      <c r="C7248" s="1">
        <v>5</v>
      </c>
      <c r="D7248" s="1" t="s">
        <v>34</v>
      </c>
      <c r="E7248" s="1" t="s">
        <v>10</v>
      </c>
      <c r="F7248" s="1" t="s">
        <v>5091</v>
      </c>
      <c r="G7248" s="14" t="s">
        <v>6145</v>
      </c>
      <c r="H7248" s="1" t="s">
        <v>43</v>
      </c>
      <c r="I7248" s="17">
        <v>42901</v>
      </c>
    </row>
    <row r="7249" spans="1:9">
      <c r="A7249" s="16" t="s">
        <v>13129</v>
      </c>
      <c r="B7249" s="1" t="s">
        <v>2628</v>
      </c>
      <c r="C7249" s="1">
        <v>5</v>
      </c>
      <c r="D7249" s="1" t="s">
        <v>34</v>
      </c>
      <c r="E7249" s="1" t="s">
        <v>10</v>
      </c>
      <c r="F7249" s="1" t="s">
        <v>5091</v>
      </c>
      <c r="G7249" s="14" t="s">
        <v>6145</v>
      </c>
      <c r="H7249" s="1" t="s">
        <v>43</v>
      </c>
      <c r="I7249" s="17">
        <v>42899</v>
      </c>
    </row>
    <row r="7250" spans="1:9">
      <c r="A7250" s="16" t="s">
        <v>13135</v>
      </c>
      <c r="B7250" s="1" t="s">
        <v>2628</v>
      </c>
      <c r="C7250" s="1">
        <v>5</v>
      </c>
      <c r="D7250" s="1" t="s">
        <v>34</v>
      </c>
      <c r="E7250" s="1" t="s">
        <v>10</v>
      </c>
      <c r="F7250" s="1" t="s">
        <v>5091</v>
      </c>
      <c r="G7250" s="14" t="s">
        <v>6145</v>
      </c>
      <c r="H7250" s="1" t="s">
        <v>43</v>
      </c>
      <c r="I7250" s="17">
        <v>42900</v>
      </c>
    </row>
    <row r="7251" spans="1:9">
      <c r="A7251" s="16" t="s">
        <v>13136</v>
      </c>
      <c r="B7251" s="1" t="s">
        <v>2628</v>
      </c>
      <c r="C7251" s="1">
        <v>5</v>
      </c>
      <c r="D7251" s="1" t="s">
        <v>34</v>
      </c>
      <c r="E7251" s="1" t="s">
        <v>10</v>
      </c>
      <c r="F7251" s="1" t="s">
        <v>5091</v>
      </c>
      <c r="G7251" s="14" t="s">
        <v>6145</v>
      </c>
      <c r="H7251" s="1" t="s">
        <v>43</v>
      </c>
      <c r="I7251" s="17">
        <v>42899</v>
      </c>
    </row>
    <row r="7252" spans="1:9">
      <c r="A7252" s="16" t="s">
        <v>13137</v>
      </c>
      <c r="B7252" s="1" t="s">
        <v>2628</v>
      </c>
      <c r="C7252" s="1">
        <v>5</v>
      </c>
      <c r="D7252" s="1" t="s">
        <v>34</v>
      </c>
      <c r="E7252" s="1" t="s">
        <v>10</v>
      </c>
      <c r="F7252" s="1" t="s">
        <v>5091</v>
      </c>
      <c r="G7252" s="14" t="s">
        <v>6145</v>
      </c>
      <c r="H7252" s="1" t="s">
        <v>43</v>
      </c>
      <c r="I7252" s="17">
        <v>42899</v>
      </c>
    </row>
    <row r="7253" spans="1:9" ht="31.2">
      <c r="A7253" s="16" t="s">
        <v>13138</v>
      </c>
      <c r="B7253" s="1" t="s">
        <v>2628</v>
      </c>
      <c r="C7253" s="1">
        <v>5</v>
      </c>
      <c r="D7253" s="1" t="s">
        <v>34</v>
      </c>
      <c r="E7253" s="1" t="s">
        <v>10</v>
      </c>
      <c r="F7253" s="1" t="s">
        <v>5091</v>
      </c>
      <c r="G7253" s="14" t="s">
        <v>13139</v>
      </c>
      <c r="H7253" s="1" t="s">
        <v>5</v>
      </c>
      <c r="I7253" s="17">
        <v>42552</v>
      </c>
    </row>
    <row r="7254" spans="1:9">
      <c r="A7254" s="16" t="s">
        <v>13143</v>
      </c>
      <c r="B7254" s="1" t="s">
        <v>2628</v>
      </c>
      <c r="C7254" s="1">
        <v>5</v>
      </c>
      <c r="D7254" s="1" t="s">
        <v>34</v>
      </c>
      <c r="E7254" s="1" t="s">
        <v>10</v>
      </c>
      <c r="F7254" s="1" t="s">
        <v>36</v>
      </c>
      <c r="G7254" s="14" t="s">
        <v>4803</v>
      </c>
      <c r="H7254" s="1" t="s">
        <v>5</v>
      </c>
      <c r="I7254" s="17">
        <v>32935</v>
      </c>
    </row>
    <row r="7255" spans="1:9">
      <c r="A7255" s="16" t="s">
        <v>13171</v>
      </c>
      <c r="B7255" s="1" t="s">
        <v>2628</v>
      </c>
      <c r="C7255" s="1">
        <v>5</v>
      </c>
      <c r="D7255" s="1" t="s">
        <v>34</v>
      </c>
      <c r="E7255" s="1" t="s">
        <v>10</v>
      </c>
      <c r="F7255" s="1" t="s">
        <v>876</v>
      </c>
      <c r="G7255" s="14" t="s">
        <v>8102</v>
      </c>
      <c r="H7255" s="1" t="s">
        <v>43</v>
      </c>
      <c r="I7255" s="17">
        <v>40544</v>
      </c>
    </row>
    <row r="7256" spans="1:9">
      <c r="A7256" s="16" t="s">
        <v>13172</v>
      </c>
      <c r="B7256" s="1" t="s">
        <v>2628</v>
      </c>
      <c r="C7256" s="1">
        <v>5</v>
      </c>
      <c r="D7256" s="1" t="s">
        <v>34</v>
      </c>
      <c r="E7256" s="1" t="s">
        <v>10</v>
      </c>
      <c r="F7256" s="1" t="s">
        <v>36</v>
      </c>
      <c r="G7256" s="14" t="s">
        <v>4803</v>
      </c>
      <c r="H7256" s="1" t="s">
        <v>5</v>
      </c>
      <c r="I7256" s="17">
        <v>32945</v>
      </c>
    </row>
    <row r="7257" spans="1:9">
      <c r="A7257" s="16" t="s">
        <v>13181</v>
      </c>
      <c r="B7257" s="1" t="s">
        <v>2631</v>
      </c>
      <c r="C7257" s="1">
        <v>5</v>
      </c>
      <c r="D7257" s="1" t="s">
        <v>34</v>
      </c>
      <c r="E7257" s="1" t="s">
        <v>10</v>
      </c>
      <c r="F7257" s="1" t="s">
        <v>5091</v>
      </c>
      <c r="G7257" s="1" t="s">
        <v>6236</v>
      </c>
      <c r="H7257" s="1" t="s">
        <v>43</v>
      </c>
      <c r="I7257" s="17">
        <v>42736</v>
      </c>
    </row>
    <row r="7258" spans="1:9">
      <c r="A7258" s="16" t="s">
        <v>13199</v>
      </c>
      <c r="B7258" s="1" t="s">
        <v>2628</v>
      </c>
      <c r="C7258" s="1">
        <v>5</v>
      </c>
      <c r="D7258" s="1" t="s">
        <v>34</v>
      </c>
      <c r="E7258" s="1" t="s">
        <v>10</v>
      </c>
      <c r="F7258" s="1" t="s">
        <v>5091</v>
      </c>
      <c r="G7258" s="14" t="s">
        <v>6236</v>
      </c>
      <c r="H7258" s="1" t="s">
        <v>43</v>
      </c>
      <c r="I7258" s="17">
        <v>42736</v>
      </c>
    </row>
    <row r="7259" spans="1:9">
      <c r="A7259" s="16" t="s">
        <v>13202</v>
      </c>
      <c r="B7259" s="1" t="s">
        <v>2628</v>
      </c>
      <c r="C7259" s="1">
        <v>5</v>
      </c>
      <c r="D7259" s="1" t="s">
        <v>34</v>
      </c>
      <c r="E7259" s="1" t="s">
        <v>10</v>
      </c>
      <c r="F7259" s="1" t="s">
        <v>5091</v>
      </c>
      <c r="G7259" s="14" t="s">
        <v>6236</v>
      </c>
      <c r="H7259" s="1" t="s">
        <v>43</v>
      </c>
      <c r="I7259" s="17">
        <v>42736</v>
      </c>
    </row>
    <row r="7260" spans="1:9">
      <c r="A7260" s="16" t="s">
        <v>13206</v>
      </c>
      <c r="B7260" s="1" t="s">
        <v>2628</v>
      </c>
      <c r="C7260" s="1">
        <v>5</v>
      </c>
      <c r="D7260" s="1" t="s">
        <v>34</v>
      </c>
      <c r="E7260" s="1" t="s">
        <v>10</v>
      </c>
      <c r="F7260" s="1" t="s">
        <v>5091</v>
      </c>
      <c r="G7260" s="14" t="s">
        <v>4458</v>
      </c>
      <c r="H7260" s="1" t="s">
        <v>118</v>
      </c>
      <c r="I7260" s="1" t="s">
        <v>4458</v>
      </c>
    </row>
    <row r="7261" spans="1:9">
      <c r="A7261" s="16" t="s">
        <v>13208</v>
      </c>
      <c r="B7261" s="1" t="s">
        <v>2628</v>
      </c>
      <c r="C7261" s="1">
        <v>1812</v>
      </c>
      <c r="D7261" s="1" t="s">
        <v>34</v>
      </c>
      <c r="E7261" s="1" t="s">
        <v>10</v>
      </c>
      <c r="F7261" s="1" t="s">
        <v>5091</v>
      </c>
      <c r="G7261" s="14" t="s">
        <v>6145</v>
      </c>
      <c r="H7261" s="1" t="s">
        <v>43</v>
      </c>
      <c r="I7261" s="17">
        <v>42899</v>
      </c>
    </row>
    <row r="7262" spans="1:9">
      <c r="A7262" s="16" t="s">
        <v>13212</v>
      </c>
      <c r="B7262" s="1" t="s">
        <v>2631</v>
      </c>
      <c r="C7262" s="1">
        <v>5</v>
      </c>
      <c r="D7262" s="1" t="s">
        <v>34</v>
      </c>
      <c r="E7262" s="1" t="s">
        <v>10</v>
      </c>
      <c r="F7262" s="1" t="s">
        <v>5091</v>
      </c>
      <c r="G7262" s="1" t="s">
        <v>6145</v>
      </c>
      <c r="H7262" s="1" t="s">
        <v>43</v>
      </c>
      <c r="I7262" s="17">
        <v>41310</v>
      </c>
    </row>
    <row r="7263" spans="1:9">
      <c r="A7263" s="16" t="s">
        <v>13214</v>
      </c>
      <c r="B7263" s="1" t="s">
        <v>2631</v>
      </c>
      <c r="C7263" s="1">
        <v>5</v>
      </c>
      <c r="D7263" s="1" t="s">
        <v>34</v>
      </c>
      <c r="E7263" s="1" t="s">
        <v>10</v>
      </c>
      <c r="F7263" s="1" t="s">
        <v>5091</v>
      </c>
      <c r="G7263" s="1" t="s">
        <v>6145</v>
      </c>
      <c r="H7263" s="1" t="s">
        <v>43</v>
      </c>
      <c r="I7263" s="17">
        <v>41310</v>
      </c>
    </row>
    <row r="7264" spans="1:9">
      <c r="A7264" s="16" t="s">
        <v>13215</v>
      </c>
      <c r="B7264" s="1" t="s">
        <v>2628</v>
      </c>
      <c r="C7264" s="1">
        <v>1093</v>
      </c>
      <c r="D7264" s="1" t="s">
        <v>34</v>
      </c>
      <c r="E7264" s="1" t="s">
        <v>10</v>
      </c>
      <c r="F7264" s="1" t="s">
        <v>5091</v>
      </c>
      <c r="G7264" s="14" t="s">
        <v>6377</v>
      </c>
      <c r="H7264" s="1" t="s">
        <v>5</v>
      </c>
      <c r="I7264" s="17">
        <v>37506</v>
      </c>
    </row>
    <row r="7265" spans="1:10">
      <c r="A7265" s="16" t="s">
        <v>13216</v>
      </c>
      <c r="B7265" s="1" t="s">
        <v>2628</v>
      </c>
      <c r="C7265" s="1">
        <v>1093</v>
      </c>
      <c r="D7265" s="1" t="s">
        <v>34</v>
      </c>
      <c r="E7265" s="1" t="s">
        <v>10</v>
      </c>
      <c r="F7265" s="1" t="s">
        <v>5091</v>
      </c>
      <c r="G7265" s="14" t="s">
        <v>6377</v>
      </c>
      <c r="H7265" s="1" t="s">
        <v>5</v>
      </c>
      <c r="I7265" s="17">
        <v>37506</v>
      </c>
    </row>
    <row r="7266" spans="1:10">
      <c r="A7266" s="16" t="s">
        <v>13217</v>
      </c>
      <c r="B7266" s="1" t="s">
        <v>2628</v>
      </c>
      <c r="C7266" s="1">
        <v>1093</v>
      </c>
      <c r="D7266" s="1" t="s">
        <v>34</v>
      </c>
      <c r="E7266" s="1" t="s">
        <v>10</v>
      </c>
      <c r="F7266" s="1" t="s">
        <v>5091</v>
      </c>
      <c r="G7266" s="14" t="s">
        <v>9718</v>
      </c>
      <c r="H7266" s="1" t="s">
        <v>5</v>
      </c>
      <c r="I7266" s="17">
        <v>37506</v>
      </c>
    </row>
    <row r="7267" spans="1:10">
      <c r="A7267" s="16" t="s">
        <v>13218</v>
      </c>
      <c r="B7267" s="1" t="s">
        <v>2628</v>
      </c>
      <c r="C7267" s="1">
        <v>1093</v>
      </c>
      <c r="D7267" s="1" t="s">
        <v>34</v>
      </c>
      <c r="E7267" s="1" t="s">
        <v>10</v>
      </c>
      <c r="F7267" s="1" t="s">
        <v>5091</v>
      </c>
      <c r="G7267" s="14" t="s">
        <v>9718</v>
      </c>
      <c r="H7267" s="1" t="s">
        <v>5</v>
      </c>
      <c r="I7267" s="17">
        <v>37506</v>
      </c>
    </row>
    <row r="7268" spans="1:10">
      <c r="A7268" s="16" t="s">
        <v>13219</v>
      </c>
      <c r="B7268" s="1" t="s">
        <v>2628</v>
      </c>
      <c r="C7268" s="1">
        <v>1093</v>
      </c>
      <c r="D7268" s="1" t="s">
        <v>34</v>
      </c>
      <c r="E7268" s="1" t="s">
        <v>10</v>
      </c>
      <c r="F7268" s="1" t="s">
        <v>5091</v>
      </c>
      <c r="G7268" s="14" t="s">
        <v>9718</v>
      </c>
      <c r="H7268" s="1" t="s">
        <v>5</v>
      </c>
      <c r="I7268" s="17">
        <v>37506</v>
      </c>
    </row>
    <row r="7269" spans="1:10">
      <c r="A7269" s="16" t="s">
        <v>13227</v>
      </c>
      <c r="B7269" s="1" t="s">
        <v>2628</v>
      </c>
      <c r="C7269" s="1">
        <v>5</v>
      </c>
      <c r="D7269" s="1" t="s">
        <v>34</v>
      </c>
      <c r="E7269" s="1" t="s">
        <v>10</v>
      </c>
      <c r="F7269" s="1" t="s">
        <v>5091</v>
      </c>
      <c r="G7269" s="14" t="s">
        <v>13228</v>
      </c>
      <c r="H7269" s="1" t="s">
        <v>5</v>
      </c>
      <c r="I7269" s="17">
        <v>37455</v>
      </c>
    </row>
    <row r="7270" spans="1:10">
      <c r="A7270" s="16" t="s">
        <v>13230</v>
      </c>
      <c r="B7270" s="1" t="s">
        <v>2628</v>
      </c>
      <c r="C7270" s="1">
        <v>5</v>
      </c>
      <c r="D7270" s="1" t="s">
        <v>34</v>
      </c>
      <c r="E7270" s="1" t="s">
        <v>10</v>
      </c>
      <c r="F7270" s="1" t="s">
        <v>5091</v>
      </c>
      <c r="G7270" s="14" t="s">
        <v>4458</v>
      </c>
      <c r="H7270" s="1" t="s">
        <v>118</v>
      </c>
      <c r="I7270" s="1" t="s">
        <v>4458</v>
      </c>
    </row>
    <row r="7271" spans="1:10">
      <c r="A7271" s="16" t="s">
        <v>13231</v>
      </c>
      <c r="B7271" s="1" t="s">
        <v>2628</v>
      </c>
      <c r="C7271" s="1">
        <v>5</v>
      </c>
      <c r="D7271" s="1" t="s">
        <v>34</v>
      </c>
      <c r="E7271" s="1" t="s">
        <v>10</v>
      </c>
      <c r="F7271" s="1" t="s">
        <v>5091</v>
      </c>
      <c r="G7271" s="14" t="s">
        <v>4458</v>
      </c>
      <c r="H7271" s="1" t="s">
        <v>118</v>
      </c>
      <c r="I7271" s="1" t="s">
        <v>4458</v>
      </c>
    </row>
    <row r="7272" spans="1:10">
      <c r="A7272" s="16" t="s">
        <v>13235</v>
      </c>
      <c r="B7272" s="1" t="s">
        <v>2628</v>
      </c>
      <c r="C7272" s="1">
        <v>5</v>
      </c>
      <c r="D7272" s="1" t="s">
        <v>34</v>
      </c>
      <c r="E7272" s="1" t="s">
        <v>10</v>
      </c>
      <c r="F7272" s="1" t="s">
        <v>5091</v>
      </c>
      <c r="G7272" s="14" t="s">
        <v>6145</v>
      </c>
      <c r="H7272" s="1" t="s">
        <v>43</v>
      </c>
      <c r="I7272" s="17">
        <v>42914</v>
      </c>
    </row>
    <row r="7273" spans="1:10">
      <c r="A7273" s="16" t="s">
        <v>13238</v>
      </c>
      <c r="B7273" s="1" t="s">
        <v>2628</v>
      </c>
      <c r="C7273" s="1">
        <v>5</v>
      </c>
      <c r="D7273" s="1" t="s">
        <v>34</v>
      </c>
      <c r="E7273" s="1" t="s">
        <v>10</v>
      </c>
      <c r="F7273" s="1" t="s">
        <v>5091</v>
      </c>
      <c r="G7273" s="14" t="s">
        <v>13239</v>
      </c>
      <c r="H7273" s="1" t="s">
        <v>5</v>
      </c>
      <c r="I7273" s="17">
        <v>37341</v>
      </c>
      <c r="J7273" s="11"/>
    </row>
    <row r="7274" spans="1:10">
      <c r="A7274" s="16" t="s">
        <v>13240</v>
      </c>
      <c r="B7274" s="1" t="s">
        <v>2628</v>
      </c>
      <c r="C7274" s="1">
        <v>5</v>
      </c>
      <c r="D7274" s="1" t="s">
        <v>34</v>
      </c>
      <c r="E7274" s="1" t="s">
        <v>10</v>
      </c>
      <c r="F7274" s="1" t="s">
        <v>5091</v>
      </c>
      <c r="G7274" s="14" t="s">
        <v>13241</v>
      </c>
      <c r="H7274" s="1" t="s">
        <v>5</v>
      </c>
      <c r="I7274" s="17">
        <v>37377</v>
      </c>
    </row>
    <row r="7275" spans="1:10">
      <c r="A7275" s="16" t="s">
        <v>13243</v>
      </c>
      <c r="B7275" s="1" t="s">
        <v>2628</v>
      </c>
      <c r="C7275" s="1">
        <v>5</v>
      </c>
      <c r="D7275" s="1" t="s">
        <v>34</v>
      </c>
      <c r="E7275" s="1" t="s">
        <v>10</v>
      </c>
      <c r="F7275" s="1" t="s">
        <v>5091</v>
      </c>
      <c r="G7275" s="14" t="s">
        <v>13239</v>
      </c>
      <c r="H7275" s="1" t="s">
        <v>5</v>
      </c>
      <c r="I7275" s="17">
        <v>37341</v>
      </c>
      <c r="J7275" s="11"/>
    </row>
    <row r="7276" spans="1:10">
      <c r="A7276" s="16" t="s">
        <v>13246</v>
      </c>
      <c r="B7276" s="1" t="s">
        <v>2628</v>
      </c>
      <c r="C7276" s="1">
        <v>5</v>
      </c>
      <c r="D7276" s="1" t="s">
        <v>34</v>
      </c>
      <c r="E7276" s="1" t="s">
        <v>10</v>
      </c>
      <c r="F7276" s="1" t="s">
        <v>5091</v>
      </c>
      <c r="G7276" s="14" t="s">
        <v>13239</v>
      </c>
      <c r="H7276" s="1" t="s">
        <v>5</v>
      </c>
      <c r="I7276" s="17">
        <v>37341</v>
      </c>
    </row>
    <row r="7277" spans="1:10">
      <c r="A7277" s="16" t="s">
        <v>13251</v>
      </c>
      <c r="B7277" s="1" t="s">
        <v>2628</v>
      </c>
      <c r="C7277" s="1">
        <v>5</v>
      </c>
      <c r="D7277" s="1" t="s">
        <v>34</v>
      </c>
      <c r="E7277" s="1" t="s">
        <v>10</v>
      </c>
      <c r="F7277" s="1" t="s">
        <v>5091</v>
      </c>
      <c r="G7277" s="14" t="s">
        <v>13239</v>
      </c>
      <c r="H7277" s="1" t="s">
        <v>5</v>
      </c>
      <c r="I7277" s="17">
        <v>37387</v>
      </c>
    </row>
    <row r="7278" spans="1:10">
      <c r="A7278" s="16" t="s">
        <v>13258</v>
      </c>
      <c r="B7278" s="1" t="s">
        <v>2628</v>
      </c>
      <c r="C7278" s="1">
        <v>5</v>
      </c>
      <c r="D7278" s="1" t="s">
        <v>34</v>
      </c>
      <c r="E7278" s="1" t="s">
        <v>10</v>
      </c>
      <c r="F7278" s="1" t="s">
        <v>5091</v>
      </c>
      <c r="G7278" s="14" t="s">
        <v>6145</v>
      </c>
      <c r="H7278" s="1" t="s">
        <v>43</v>
      </c>
      <c r="I7278" s="17">
        <v>42794</v>
      </c>
    </row>
    <row r="7279" spans="1:10">
      <c r="A7279" s="16" t="s">
        <v>13284</v>
      </c>
      <c r="B7279" s="1" t="s">
        <v>2628</v>
      </c>
      <c r="C7279" s="1">
        <v>5</v>
      </c>
      <c r="D7279" s="1" t="s">
        <v>34</v>
      </c>
      <c r="E7279" s="1" t="s">
        <v>10</v>
      </c>
      <c r="F7279" s="1" t="s">
        <v>5303</v>
      </c>
      <c r="G7279" s="14" t="s">
        <v>4458</v>
      </c>
      <c r="H7279" s="1" t="s">
        <v>118</v>
      </c>
      <c r="I7279" s="17">
        <v>42803</v>
      </c>
    </row>
    <row r="7280" spans="1:10">
      <c r="A7280" s="16" t="s">
        <v>13286</v>
      </c>
      <c r="B7280" s="1" t="s">
        <v>2628</v>
      </c>
      <c r="C7280" s="1">
        <v>5</v>
      </c>
      <c r="D7280" s="1" t="s">
        <v>34</v>
      </c>
      <c r="E7280" s="1" t="s">
        <v>10</v>
      </c>
      <c r="F7280" s="1" t="s">
        <v>5303</v>
      </c>
      <c r="G7280" s="14" t="s">
        <v>4458</v>
      </c>
      <c r="H7280" s="1" t="s">
        <v>118</v>
      </c>
      <c r="I7280" s="17">
        <v>42803</v>
      </c>
    </row>
    <row r="7281" spans="1:9">
      <c r="A7281" s="16" t="s">
        <v>13287</v>
      </c>
      <c r="B7281" s="1" t="s">
        <v>2628</v>
      </c>
      <c r="C7281" s="1">
        <v>5</v>
      </c>
      <c r="D7281" s="1" t="s">
        <v>34</v>
      </c>
      <c r="E7281" s="1" t="s">
        <v>10</v>
      </c>
      <c r="F7281" s="1" t="s">
        <v>5303</v>
      </c>
      <c r="G7281" s="14" t="s">
        <v>4458</v>
      </c>
      <c r="H7281" s="1" t="s">
        <v>118</v>
      </c>
      <c r="I7281" s="17">
        <v>42803</v>
      </c>
    </row>
    <row r="7282" spans="1:9">
      <c r="A7282" s="16" t="s">
        <v>13290</v>
      </c>
      <c r="B7282" s="1" t="s">
        <v>2628</v>
      </c>
      <c r="C7282" s="1">
        <v>5</v>
      </c>
      <c r="D7282" s="1" t="s">
        <v>34</v>
      </c>
      <c r="E7282" s="1" t="s">
        <v>10</v>
      </c>
      <c r="F7282" s="1" t="s">
        <v>5091</v>
      </c>
      <c r="G7282" s="14" t="s">
        <v>6145</v>
      </c>
      <c r="H7282" s="1" t="s">
        <v>43</v>
      </c>
      <c r="I7282" s="17">
        <v>42913</v>
      </c>
    </row>
    <row r="7283" spans="1:9">
      <c r="A7283" s="16" t="s">
        <v>13296</v>
      </c>
      <c r="B7283" s="1" t="s">
        <v>2628</v>
      </c>
      <c r="C7283" s="1">
        <v>5</v>
      </c>
      <c r="D7283" s="1" t="s">
        <v>34</v>
      </c>
      <c r="E7283" s="1" t="s">
        <v>10</v>
      </c>
      <c r="F7283" s="1" t="s">
        <v>5091</v>
      </c>
      <c r="G7283" s="14" t="s">
        <v>6236</v>
      </c>
      <c r="H7283" s="1" t="s">
        <v>43</v>
      </c>
      <c r="I7283" s="17">
        <v>42736</v>
      </c>
    </row>
    <row r="7284" spans="1:9" ht="296.39999999999998">
      <c r="A7284" s="16" t="s">
        <v>13298</v>
      </c>
      <c r="B7284" s="1" t="s">
        <v>2628</v>
      </c>
      <c r="C7284" s="1">
        <v>5</v>
      </c>
      <c r="D7284" s="1" t="s">
        <v>34</v>
      </c>
      <c r="E7284" s="1" t="s">
        <v>10</v>
      </c>
      <c r="F7284" s="1" t="s">
        <v>5091</v>
      </c>
      <c r="G7284" s="14" t="s">
        <v>13299</v>
      </c>
      <c r="H7284" s="1" t="s">
        <v>5</v>
      </c>
      <c r="I7284" s="1" t="s">
        <v>4458</v>
      </c>
    </row>
    <row r="7285" spans="1:9">
      <c r="A7285" s="16" t="s">
        <v>13306</v>
      </c>
      <c r="B7285" s="1" t="s">
        <v>2628</v>
      </c>
      <c r="C7285" s="1">
        <v>5</v>
      </c>
      <c r="D7285" s="1" t="s">
        <v>34</v>
      </c>
      <c r="E7285" s="1" t="s">
        <v>10</v>
      </c>
      <c r="F7285" s="1" t="s">
        <v>5091</v>
      </c>
      <c r="G7285" s="14" t="s">
        <v>13307</v>
      </c>
      <c r="H7285" s="1" t="s">
        <v>5</v>
      </c>
      <c r="I7285" s="17">
        <v>42887</v>
      </c>
    </row>
    <row r="7286" spans="1:9">
      <c r="A7286" s="16" t="s">
        <v>13308</v>
      </c>
      <c r="B7286" s="1" t="s">
        <v>2628</v>
      </c>
      <c r="C7286" s="1">
        <v>5</v>
      </c>
      <c r="D7286" s="1" t="s">
        <v>34</v>
      </c>
      <c r="E7286" s="1" t="s">
        <v>10</v>
      </c>
      <c r="F7286" s="1" t="s">
        <v>5091</v>
      </c>
      <c r="G7286" s="14" t="s">
        <v>13307</v>
      </c>
      <c r="H7286" s="1" t="s">
        <v>5</v>
      </c>
      <c r="I7286" s="17">
        <v>42887</v>
      </c>
    </row>
    <row r="7287" spans="1:9">
      <c r="A7287" s="16" t="s">
        <v>13309</v>
      </c>
      <c r="B7287" s="1" t="s">
        <v>2628</v>
      </c>
      <c r="C7287" s="1">
        <v>5</v>
      </c>
      <c r="D7287" s="1" t="s">
        <v>34</v>
      </c>
      <c r="E7287" s="1" t="s">
        <v>10</v>
      </c>
      <c r="F7287" s="1" t="s">
        <v>5091</v>
      </c>
      <c r="G7287" s="14" t="s">
        <v>13310</v>
      </c>
      <c r="H7287" s="1" t="s">
        <v>5</v>
      </c>
      <c r="I7287" s="17">
        <v>42887</v>
      </c>
    </row>
    <row r="7288" spans="1:9">
      <c r="A7288" s="16" t="s">
        <v>13311</v>
      </c>
      <c r="B7288" s="1" t="s">
        <v>2628</v>
      </c>
      <c r="C7288" s="1">
        <v>5</v>
      </c>
      <c r="D7288" s="1" t="s">
        <v>34</v>
      </c>
      <c r="E7288" s="1" t="s">
        <v>10</v>
      </c>
      <c r="F7288" s="1" t="s">
        <v>5091</v>
      </c>
      <c r="G7288" s="14" t="s">
        <v>13310</v>
      </c>
      <c r="H7288" s="1" t="s">
        <v>5</v>
      </c>
      <c r="I7288" s="17">
        <v>42887</v>
      </c>
    </row>
    <row r="7289" spans="1:9">
      <c r="A7289" s="16" t="s">
        <v>13313</v>
      </c>
      <c r="B7289" s="1" t="s">
        <v>2628</v>
      </c>
      <c r="C7289" s="1">
        <v>5</v>
      </c>
      <c r="D7289" s="1" t="s">
        <v>34</v>
      </c>
      <c r="E7289" s="1" t="s">
        <v>10</v>
      </c>
      <c r="F7289" s="1" t="s">
        <v>5091</v>
      </c>
      <c r="G7289" s="14" t="s">
        <v>6145</v>
      </c>
      <c r="H7289" s="1" t="s">
        <v>43</v>
      </c>
      <c r="I7289" s="17">
        <v>42736</v>
      </c>
    </row>
    <row r="7290" spans="1:9">
      <c r="A7290" s="16" t="s">
        <v>13314</v>
      </c>
      <c r="B7290" s="1" t="s">
        <v>2628</v>
      </c>
      <c r="C7290" s="1">
        <v>5</v>
      </c>
      <c r="D7290" s="1" t="s">
        <v>34</v>
      </c>
      <c r="E7290" s="1" t="s">
        <v>10</v>
      </c>
      <c r="F7290" s="1" t="s">
        <v>5091</v>
      </c>
      <c r="G7290" s="14" t="s">
        <v>6145</v>
      </c>
      <c r="H7290" s="1" t="s">
        <v>43</v>
      </c>
      <c r="I7290" s="17">
        <v>42736</v>
      </c>
    </row>
    <row r="7291" spans="1:9">
      <c r="A7291" s="16" t="s">
        <v>13316</v>
      </c>
      <c r="B7291" s="1" t="s">
        <v>2628</v>
      </c>
      <c r="C7291" s="1">
        <v>5</v>
      </c>
      <c r="D7291" s="1" t="s">
        <v>34</v>
      </c>
      <c r="E7291" s="1" t="s">
        <v>10</v>
      </c>
      <c r="F7291" s="1" t="s">
        <v>5091</v>
      </c>
      <c r="G7291" s="14" t="s">
        <v>4458</v>
      </c>
      <c r="H7291" s="1" t="s">
        <v>118</v>
      </c>
      <c r="I7291" s="1" t="s">
        <v>4458</v>
      </c>
    </row>
    <row r="7292" spans="1:9" ht="31.2">
      <c r="A7292" s="16" t="s">
        <v>13335</v>
      </c>
      <c r="B7292" s="1" t="s">
        <v>2628</v>
      </c>
      <c r="C7292" s="1">
        <v>5</v>
      </c>
      <c r="D7292" s="1" t="s">
        <v>34</v>
      </c>
      <c r="E7292" s="1" t="s">
        <v>10</v>
      </c>
      <c r="F7292" s="1" t="s">
        <v>5091</v>
      </c>
      <c r="G7292" s="14" t="s">
        <v>6145</v>
      </c>
      <c r="H7292" s="1" t="s">
        <v>43</v>
      </c>
      <c r="I7292" s="17">
        <v>42926</v>
      </c>
    </row>
    <row r="7293" spans="1:9" ht="31.2">
      <c r="A7293" s="16" t="s">
        <v>13343</v>
      </c>
      <c r="B7293" s="1" t="s">
        <v>2628</v>
      </c>
      <c r="C7293" s="1">
        <v>5</v>
      </c>
      <c r="D7293" s="1" t="s">
        <v>34</v>
      </c>
      <c r="E7293" s="1" t="s">
        <v>10</v>
      </c>
      <c r="F7293" s="1" t="s">
        <v>5091</v>
      </c>
      <c r="G7293" s="14" t="s">
        <v>6145</v>
      </c>
      <c r="H7293" s="1" t="s">
        <v>43</v>
      </c>
      <c r="I7293" s="17">
        <v>42941</v>
      </c>
    </row>
    <row r="7294" spans="1:9" ht="31.2">
      <c r="A7294" s="16" t="s">
        <v>13344</v>
      </c>
      <c r="B7294" s="1" t="s">
        <v>2628</v>
      </c>
      <c r="C7294" s="1">
        <v>5</v>
      </c>
      <c r="D7294" s="1" t="s">
        <v>34</v>
      </c>
      <c r="E7294" s="1" t="s">
        <v>10</v>
      </c>
      <c r="F7294" s="1" t="s">
        <v>5091</v>
      </c>
      <c r="G7294" s="14" t="s">
        <v>6145</v>
      </c>
      <c r="H7294" s="1" t="s">
        <v>43</v>
      </c>
      <c r="I7294" s="17">
        <v>42934</v>
      </c>
    </row>
    <row r="7295" spans="1:9">
      <c r="A7295" s="16" t="s">
        <v>13368</v>
      </c>
      <c r="B7295" s="1" t="s">
        <v>2628</v>
      </c>
      <c r="C7295" s="1">
        <v>5</v>
      </c>
      <c r="D7295" s="1" t="s">
        <v>34</v>
      </c>
      <c r="E7295" s="1" t="s">
        <v>10</v>
      </c>
      <c r="F7295" s="1" t="s">
        <v>5091</v>
      </c>
      <c r="G7295" s="14" t="s">
        <v>4458</v>
      </c>
      <c r="H7295" s="1" t="s">
        <v>118</v>
      </c>
      <c r="I7295" s="1" t="s">
        <v>4458</v>
      </c>
    </row>
    <row r="7296" spans="1:9">
      <c r="A7296" s="16" t="s">
        <v>13369</v>
      </c>
      <c r="B7296" s="1" t="s">
        <v>2628</v>
      </c>
      <c r="C7296" s="1">
        <v>5</v>
      </c>
      <c r="D7296" s="1" t="s">
        <v>34</v>
      </c>
      <c r="E7296" s="1" t="s">
        <v>10</v>
      </c>
      <c r="F7296" s="1" t="s">
        <v>5091</v>
      </c>
      <c r="G7296" s="14" t="s">
        <v>13370</v>
      </c>
      <c r="H7296" s="1" t="s">
        <v>43</v>
      </c>
      <c r="I7296" s="17">
        <v>42970</v>
      </c>
    </row>
    <row r="7297" spans="1:9" ht="31.2">
      <c r="A7297" s="16" t="s">
        <v>13371</v>
      </c>
      <c r="B7297" s="1" t="s">
        <v>2628</v>
      </c>
      <c r="C7297" s="1">
        <v>5</v>
      </c>
      <c r="D7297" s="1" t="s">
        <v>34</v>
      </c>
      <c r="E7297" s="1" t="s">
        <v>10</v>
      </c>
      <c r="F7297" s="1" t="s">
        <v>5091</v>
      </c>
      <c r="G7297" s="14" t="s">
        <v>6145</v>
      </c>
      <c r="H7297" s="1" t="s">
        <v>43</v>
      </c>
      <c r="I7297" s="17">
        <v>42926</v>
      </c>
    </row>
    <row r="7298" spans="1:9">
      <c r="A7298" s="16" t="s">
        <v>13373</v>
      </c>
      <c r="B7298" s="1" t="s">
        <v>2628</v>
      </c>
      <c r="C7298" s="1">
        <v>5</v>
      </c>
      <c r="D7298" s="1" t="s">
        <v>34</v>
      </c>
      <c r="E7298" s="1" t="s">
        <v>10</v>
      </c>
      <c r="F7298" s="1" t="s">
        <v>5091</v>
      </c>
      <c r="G7298" s="14" t="s">
        <v>6236</v>
      </c>
      <c r="H7298" s="1" t="s">
        <v>43</v>
      </c>
      <c r="I7298" s="17">
        <v>42736</v>
      </c>
    </row>
    <row r="7299" spans="1:9">
      <c r="A7299" s="16" t="s">
        <v>13386</v>
      </c>
      <c r="B7299" s="1" t="s">
        <v>2628</v>
      </c>
      <c r="C7299" s="1">
        <v>5</v>
      </c>
      <c r="D7299" s="1" t="s">
        <v>34</v>
      </c>
      <c r="E7299" s="1" t="s">
        <v>10</v>
      </c>
      <c r="F7299" s="1" t="s">
        <v>5091</v>
      </c>
      <c r="G7299" s="14" t="s">
        <v>4458</v>
      </c>
      <c r="H7299" s="1" t="s">
        <v>118</v>
      </c>
      <c r="I7299" s="1" t="s">
        <v>4458</v>
      </c>
    </row>
    <row r="7300" spans="1:9">
      <c r="A7300" s="16" t="s">
        <v>13388</v>
      </c>
      <c r="B7300" s="1" t="s">
        <v>2628</v>
      </c>
      <c r="C7300" s="1">
        <v>5</v>
      </c>
      <c r="D7300" s="1" t="s">
        <v>34</v>
      </c>
      <c r="E7300" s="1" t="s">
        <v>10</v>
      </c>
      <c r="F7300" s="1" t="s">
        <v>5091</v>
      </c>
      <c r="G7300" s="14" t="s">
        <v>6145</v>
      </c>
      <c r="H7300" s="1" t="s">
        <v>43</v>
      </c>
      <c r="I7300" s="17">
        <v>42977</v>
      </c>
    </row>
    <row r="7301" spans="1:9">
      <c r="A7301" s="16" t="s">
        <v>13390</v>
      </c>
      <c r="B7301" s="1" t="s">
        <v>2628</v>
      </c>
      <c r="C7301" s="1">
        <v>5</v>
      </c>
      <c r="D7301" s="1" t="s">
        <v>34</v>
      </c>
      <c r="E7301" s="1" t="s">
        <v>10</v>
      </c>
      <c r="F7301" s="1" t="s">
        <v>5091</v>
      </c>
      <c r="G7301" s="14" t="s">
        <v>6145</v>
      </c>
      <c r="H7301" s="1" t="s">
        <v>43</v>
      </c>
      <c r="I7301" s="17">
        <v>42977</v>
      </c>
    </row>
    <row r="7302" spans="1:9">
      <c r="A7302" s="16" t="s">
        <v>13391</v>
      </c>
      <c r="B7302" s="1" t="s">
        <v>2628</v>
      </c>
      <c r="C7302" s="1">
        <v>5</v>
      </c>
      <c r="D7302" s="1" t="s">
        <v>34</v>
      </c>
      <c r="E7302" s="1" t="s">
        <v>10</v>
      </c>
      <c r="F7302" s="1" t="s">
        <v>5091</v>
      </c>
      <c r="G7302" s="14" t="s">
        <v>6145</v>
      </c>
      <c r="H7302" s="1" t="s">
        <v>43</v>
      </c>
      <c r="I7302" s="17">
        <v>42977</v>
      </c>
    </row>
    <row r="7303" spans="1:9">
      <c r="A7303" s="16" t="s">
        <v>13416</v>
      </c>
      <c r="B7303" s="1" t="s">
        <v>2628</v>
      </c>
      <c r="C7303" s="1">
        <v>5</v>
      </c>
      <c r="D7303" s="1" t="s">
        <v>34</v>
      </c>
      <c r="E7303" s="1" t="s">
        <v>10</v>
      </c>
      <c r="F7303" s="1" t="s">
        <v>5091</v>
      </c>
      <c r="G7303" s="14" t="s">
        <v>9561</v>
      </c>
      <c r="H7303" s="1" t="s">
        <v>5</v>
      </c>
      <c r="I7303" s="17">
        <v>37333</v>
      </c>
    </row>
    <row r="7304" spans="1:9">
      <c r="A7304" s="16" t="s">
        <v>13428</v>
      </c>
      <c r="B7304" s="1" t="s">
        <v>2628</v>
      </c>
      <c r="C7304" s="1">
        <v>5</v>
      </c>
      <c r="D7304" s="1" t="s">
        <v>34</v>
      </c>
      <c r="E7304" s="1" t="s">
        <v>10</v>
      </c>
      <c r="F7304" s="1" t="s">
        <v>5091</v>
      </c>
      <c r="G7304" s="14" t="s">
        <v>6236</v>
      </c>
      <c r="H7304" s="1" t="s">
        <v>43</v>
      </c>
      <c r="I7304" s="17">
        <v>42736</v>
      </c>
    </row>
    <row r="7305" spans="1:9">
      <c r="A7305" s="16" t="s">
        <v>13438</v>
      </c>
      <c r="B7305" s="1" t="s">
        <v>2628</v>
      </c>
      <c r="C7305" s="1">
        <v>5</v>
      </c>
      <c r="D7305" s="1" t="s">
        <v>34</v>
      </c>
      <c r="E7305" s="1" t="s">
        <v>10</v>
      </c>
      <c r="F7305" s="1" t="s">
        <v>5091</v>
      </c>
      <c r="G7305" s="14" t="s">
        <v>13439</v>
      </c>
      <c r="H7305" s="1" t="s">
        <v>5</v>
      </c>
      <c r="I7305" s="17">
        <v>37208</v>
      </c>
    </row>
    <row r="7306" spans="1:9">
      <c r="A7306" s="16" t="s">
        <v>13442</v>
      </c>
      <c r="B7306" s="1" t="s">
        <v>2628</v>
      </c>
      <c r="C7306" s="1">
        <v>5</v>
      </c>
      <c r="D7306" s="1" t="s">
        <v>34</v>
      </c>
      <c r="E7306" s="1" t="s">
        <v>10</v>
      </c>
      <c r="F7306" s="1" t="s">
        <v>5091</v>
      </c>
      <c r="G7306" s="14" t="s">
        <v>8519</v>
      </c>
      <c r="H7306" s="1" t="s">
        <v>5</v>
      </c>
      <c r="I7306" s="17">
        <v>37135</v>
      </c>
    </row>
    <row r="7307" spans="1:9">
      <c r="A7307" s="16" t="s">
        <v>13446</v>
      </c>
      <c r="B7307" s="1" t="s">
        <v>2628</v>
      </c>
      <c r="C7307" s="1">
        <v>5</v>
      </c>
      <c r="D7307" s="1" t="s">
        <v>34</v>
      </c>
      <c r="E7307" s="1" t="s">
        <v>10</v>
      </c>
      <c r="F7307" s="1" t="s">
        <v>5091</v>
      </c>
      <c r="G7307" s="14" t="s">
        <v>4458</v>
      </c>
      <c r="H7307" s="1" t="s">
        <v>118</v>
      </c>
      <c r="I7307" s="1" t="s">
        <v>4458</v>
      </c>
    </row>
    <row r="7308" spans="1:9">
      <c r="A7308" s="16" t="s">
        <v>13449</v>
      </c>
      <c r="B7308" s="1" t="s">
        <v>2628</v>
      </c>
      <c r="C7308" s="1">
        <v>5</v>
      </c>
      <c r="D7308" s="1" t="s">
        <v>34</v>
      </c>
      <c r="E7308" s="1" t="s">
        <v>10</v>
      </c>
      <c r="F7308" s="1" t="s">
        <v>5091</v>
      </c>
      <c r="G7308" s="14" t="s">
        <v>6236</v>
      </c>
      <c r="H7308" s="1" t="s">
        <v>43</v>
      </c>
      <c r="I7308" s="17">
        <v>42736</v>
      </c>
    </row>
    <row r="7309" spans="1:9">
      <c r="A7309" s="16" t="s">
        <v>13457</v>
      </c>
      <c r="B7309" s="1" t="s">
        <v>2628</v>
      </c>
      <c r="C7309" s="1">
        <v>5</v>
      </c>
      <c r="D7309" s="1" t="s">
        <v>34</v>
      </c>
      <c r="E7309" s="1" t="s">
        <v>10</v>
      </c>
      <c r="F7309" s="1" t="s">
        <v>5091</v>
      </c>
      <c r="G7309" s="14" t="s">
        <v>9891</v>
      </c>
      <c r="H7309" s="1" t="s">
        <v>5</v>
      </c>
      <c r="I7309" s="17">
        <v>37073</v>
      </c>
    </row>
    <row r="7310" spans="1:9">
      <c r="A7310" s="16" t="s">
        <v>13466</v>
      </c>
      <c r="B7310" s="1" t="s">
        <v>2628</v>
      </c>
      <c r="C7310" s="1">
        <v>5</v>
      </c>
      <c r="D7310" s="1" t="s">
        <v>34</v>
      </c>
      <c r="E7310" s="1" t="s">
        <v>10</v>
      </c>
      <c r="F7310" s="1" t="s">
        <v>5091</v>
      </c>
      <c r="G7310" s="14" t="s">
        <v>9561</v>
      </c>
      <c r="H7310" s="1" t="s">
        <v>5</v>
      </c>
      <c r="I7310" s="17">
        <v>36800</v>
      </c>
    </row>
    <row r="7311" spans="1:9">
      <c r="A7311" s="16" t="s">
        <v>13470</v>
      </c>
      <c r="B7311" s="1" t="s">
        <v>2628</v>
      </c>
      <c r="C7311" s="1">
        <v>5</v>
      </c>
      <c r="D7311" s="1" t="s">
        <v>34</v>
      </c>
      <c r="E7311" s="1" t="s">
        <v>10</v>
      </c>
      <c r="F7311" s="1" t="s">
        <v>5091</v>
      </c>
      <c r="G7311" s="14" t="s">
        <v>9561</v>
      </c>
      <c r="H7311" s="1" t="s">
        <v>5</v>
      </c>
      <c r="I7311" s="17">
        <v>36800</v>
      </c>
    </row>
    <row r="7312" spans="1:9">
      <c r="A7312" s="16" t="s">
        <v>13471</v>
      </c>
      <c r="B7312" s="1" t="s">
        <v>2628</v>
      </c>
      <c r="C7312" s="1">
        <v>5</v>
      </c>
      <c r="D7312" s="1" t="s">
        <v>34</v>
      </c>
      <c r="E7312" s="1" t="s">
        <v>10</v>
      </c>
      <c r="F7312" s="1" t="s">
        <v>5091</v>
      </c>
      <c r="G7312" s="14" t="s">
        <v>9561</v>
      </c>
      <c r="H7312" s="1" t="s">
        <v>5</v>
      </c>
      <c r="I7312" s="17">
        <v>36800</v>
      </c>
    </row>
    <row r="7313" spans="1:9">
      <c r="A7313" s="16" t="s">
        <v>13472</v>
      </c>
      <c r="B7313" s="1" t="s">
        <v>2628</v>
      </c>
      <c r="C7313" s="1">
        <v>5</v>
      </c>
      <c r="D7313" s="1" t="s">
        <v>34</v>
      </c>
      <c r="E7313" s="1" t="s">
        <v>10</v>
      </c>
      <c r="F7313" s="1" t="s">
        <v>5091</v>
      </c>
      <c r="G7313" s="14" t="s">
        <v>13473</v>
      </c>
      <c r="H7313" s="1" t="s">
        <v>5</v>
      </c>
      <c r="I7313" s="17">
        <v>36800</v>
      </c>
    </row>
    <row r="7314" spans="1:9">
      <c r="A7314" s="16" t="s">
        <v>13474</v>
      </c>
      <c r="B7314" s="1" t="s">
        <v>2628</v>
      </c>
      <c r="C7314" s="1">
        <v>5</v>
      </c>
      <c r="D7314" s="1" t="s">
        <v>34</v>
      </c>
      <c r="E7314" s="1" t="s">
        <v>10</v>
      </c>
      <c r="F7314" s="1" t="s">
        <v>5091</v>
      </c>
      <c r="G7314" s="14" t="s">
        <v>9891</v>
      </c>
      <c r="H7314" s="1" t="s">
        <v>5</v>
      </c>
      <c r="I7314" s="17">
        <v>37073</v>
      </c>
    </row>
    <row r="7315" spans="1:9">
      <c r="A7315" s="16" t="s">
        <v>13479</v>
      </c>
      <c r="B7315" s="1" t="s">
        <v>2631</v>
      </c>
      <c r="C7315" s="1">
        <v>5</v>
      </c>
      <c r="D7315" s="1" t="s">
        <v>34</v>
      </c>
      <c r="E7315" s="1" t="s">
        <v>10</v>
      </c>
      <c r="F7315" s="1" t="s">
        <v>5091</v>
      </c>
      <c r="G7315" s="1" t="s">
        <v>6145</v>
      </c>
      <c r="H7315" s="1" t="s">
        <v>43</v>
      </c>
      <c r="I7315" s="17">
        <v>41318</v>
      </c>
    </row>
    <row r="7316" spans="1:9">
      <c r="A7316" s="16" t="s">
        <v>13481</v>
      </c>
      <c r="B7316" s="1" t="s">
        <v>2631</v>
      </c>
      <c r="C7316" s="1">
        <v>5</v>
      </c>
      <c r="D7316" s="1" t="s">
        <v>34</v>
      </c>
      <c r="E7316" s="1" t="s">
        <v>10</v>
      </c>
      <c r="F7316" s="1" t="s">
        <v>5091</v>
      </c>
      <c r="G7316" s="1" t="s">
        <v>6145</v>
      </c>
      <c r="H7316" s="1" t="s">
        <v>43</v>
      </c>
      <c r="I7316" s="17">
        <v>41318</v>
      </c>
    </row>
    <row r="7317" spans="1:9">
      <c r="A7317" s="16" t="s">
        <v>13485</v>
      </c>
      <c r="B7317" s="1" t="s">
        <v>2631</v>
      </c>
      <c r="C7317" s="1">
        <v>5</v>
      </c>
      <c r="D7317" s="1" t="s">
        <v>34</v>
      </c>
      <c r="E7317" s="1" t="s">
        <v>10</v>
      </c>
      <c r="F7317" s="1" t="s">
        <v>5091</v>
      </c>
      <c r="G7317" s="1" t="s">
        <v>6145</v>
      </c>
      <c r="H7317" s="1" t="s">
        <v>43</v>
      </c>
      <c r="I7317" s="17">
        <v>41310</v>
      </c>
    </row>
    <row r="7318" spans="1:9">
      <c r="A7318" s="16" t="s">
        <v>13492</v>
      </c>
      <c r="B7318" s="1" t="s">
        <v>2628</v>
      </c>
      <c r="C7318" s="1">
        <v>5</v>
      </c>
      <c r="D7318" s="1" t="s">
        <v>34</v>
      </c>
      <c r="E7318" s="1" t="s">
        <v>10</v>
      </c>
      <c r="F7318" s="1" t="s">
        <v>5091</v>
      </c>
      <c r="G7318" s="14" t="s">
        <v>13493</v>
      </c>
      <c r="H7318" s="1" t="s">
        <v>5</v>
      </c>
      <c r="I7318" s="17">
        <v>36923</v>
      </c>
    </row>
    <row r="7319" spans="1:9">
      <c r="A7319" s="16" t="s">
        <v>13494</v>
      </c>
      <c r="B7319" s="1" t="s">
        <v>2628</v>
      </c>
      <c r="C7319" s="1">
        <v>5</v>
      </c>
      <c r="D7319" s="1" t="s">
        <v>34</v>
      </c>
      <c r="E7319" s="1" t="s">
        <v>10</v>
      </c>
      <c r="F7319" s="1" t="s">
        <v>5091</v>
      </c>
      <c r="G7319" s="14" t="s">
        <v>9561</v>
      </c>
      <c r="H7319" s="1" t="s">
        <v>5</v>
      </c>
      <c r="I7319" s="17">
        <v>36923</v>
      </c>
    </row>
    <row r="7320" spans="1:9">
      <c r="A7320" s="16" t="s">
        <v>13495</v>
      </c>
      <c r="B7320" s="1" t="s">
        <v>2628</v>
      </c>
      <c r="C7320" s="1">
        <v>5</v>
      </c>
      <c r="D7320" s="1" t="s">
        <v>34</v>
      </c>
      <c r="E7320" s="1" t="s">
        <v>10</v>
      </c>
      <c r="F7320" s="1" t="s">
        <v>5091</v>
      </c>
      <c r="G7320" s="14" t="s">
        <v>13493</v>
      </c>
      <c r="H7320" s="1" t="s">
        <v>5</v>
      </c>
      <c r="I7320" s="17">
        <v>36923</v>
      </c>
    </row>
    <row r="7321" spans="1:9">
      <c r="A7321" s="16" t="s">
        <v>13496</v>
      </c>
      <c r="B7321" s="1" t="s">
        <v>2628</v>
      </c>
      <c r="C7321" s="1">
        <v>5</v>
      </c>
      <c r="D7321" s="1" t="s">
        <v>34</v>
      </c>
      <c r="E7321" s="1" t="s">
        <v>10</v>
      </c>
      <c r="F7321" s="1" t="s">
        <v>5091</v>
      </c>
      <c r="G7321" s="14" t="s">
        <v>9891</v>
      </c>
      <c r="H7321" s="1" t="s">
        <v>5</v>
      </c>
      <c r="I7321" s="17">
        <v>36951</v>
      </c>
    </row>
    <row r="7322" spans="1:9">
      <c r="A7322" s="16" t="s">
        <v>13505</v>
      </c>
      <c r="B7322" s="1" t="s">
        <v>2631</v>
      </c>
      <c r="C7322" s="1">
        <v>5</v>
      </c>
      <c r="D7322" s="1" t="s">
        <v>34</v>
      </c>
      <c r="E7322" s="1" t="s">
        <v>10</v>
      </c>
      <c r="F7322" s="1" t="s">
        <v>5091</v>
      </c>
      <c r="G7322" s="14" t="s">
        <v>4458</v>
      </c>
      <c r="H7322" s="1" t="s">
        <v>118</v>
      </c>
      <c r="I7322" s="1" t="s">
        <v>4792</v>
      </c>
    </row>
    <row r="7323" spans="1:9">
      <c r="A7323" s="16" t="s">
        <v>13511</v>
      </c>
      <c r="B7323" s="1" t="s">
        <v>2628</v>
      </c>
      <c r="C7323" s="1">
        <v>5</v>
      </c>
      <c r="D7323" s="1" t="s">
        <v>34</v>
      </c>
      <c r="E7323" s="1" t="s">
        <v>10</v>
      </c>
      <c r="F7323" s="1" t="s">
        <v>5091</v>
      </c>
      <c r="G7323" s="14" t="s">
        <v>6145</v>
      </c>
      <c r="H7323" s="1" t="s">
        <v>43</v>
      </c>
      <c r="I7323" s="17">
        <v>41050</v>
      </c>
    </row>
    <row r="7324" spans="1:9">
      <c r="A7324" s="16" t="s">
        <v>13521</v>
      </c>
      <c r="B7324" s="1" t="s">
        <v>2628</v>
      </c>
      <c r="C7324" s="1">
        <v>5</v>
      </c>
      <c r="D7324" s="1" t="s">
        <v>34</v>
      </c>
      <c r="E7324" s="1" t="s">
        <v>10</v>
      </c>
      <c r="F7324" s="1" t="s">
        <v>5091</v>
      </c>
      <c r="G7324" s="14" t="s">
        <v>9561</v>
      </c>
      <c r="H7324" s="1" t="s">
        <v>5</v>
      </c>
      <c r="I7324" s="17">
        <v>36647</v>
      </c>
    </row>
    <row r="7325" spans="1:9">
      <c r="A7325" s="16" t="s">
        <v>13523</v>
      </c>
      <c r="B7325" s="1" t="s">
        <v>2628</v>
      </c>
      <c r="C7325" s="1">
        <v>5</v>
      </c>
      <c r="D7325" s="1" t="s">
        <v>34</v>
      </c>
      <c r="E7325" s="1" t="s">
        <v>10</v>
      </c>
      <c r="F7325" s="1" t="s">
        <v>5091</v>
      </c>
      <c r="G7325" s="14" t="s">
        <v>4458</v>
      </c>
      <c r="H7325" s="1" t="s">
        <v>118</v>
      </c>
      <c r="I7325" s="1" t="s">
        <v>4458</v>
      </c>
    </row>
    <row r="7326" spans="1:9">
      <c r="A7326" s="16" t="s">
        <v>13535</v>
      </c>
      <c r="B7326" s="1" t="s">
        <v>2628</v>
      </c>
      <c r="C7326" s="1">
        <v>2391</v>
      </c>
      <c r="D7326" s="1" t="s">
        <v>34</v>
      </c>
      <c r="E7326" s="1" t="s">
        <v>10</v>
      </c>
      <c r="F7326" s="1" t="s">
        <v>5091</v>
      </c>
      <c r="G7326" s="14" t="s">
        <v>6145</v>
      </c>
      <c r="H7326" s="1" t="s">
        <v>43</v>
      </c>
      <c r="I7326" s="17">
        <v>36404</v>
      </c>
    </row>
    <row r="7327" spans="1:9">
      <c r="A7327" s="16" t="s">
        <v>13537</v>
      </c>
      <c r="B7327" s="1" t="s">
        <v>2628</v>
      </c>
      <c r="C7327" s="1">
        <v>5</v>
      </c>
      <c r="D7327" s="1" t="s">
        <v>34</v>
      </c>
      <c r="E7327" s="1" t="s">
        <v>10</v>
      </c>
      <c r="F7327" s="1" t="s">
        <v>5091</v>
      </c>
      <c r="G7327" s="14" t="s">
        <v>9244</v>
      </c>
      <c r="H7327" s="1" t="s">
        <v>5</v>
      </c>
      <c r="I7327" s="17">
        <v>43012</v>
      </c>
    </row>
    <row r="7328" spans="1:9">
      <c r="A7328" s="16" t="s">
        <v>13538</v>
      </c>
      <c r="B7328" s="1" t="s">
        <v>2628</v>
      </c>
      <c r="C7328" s="1">
        <v>5</v>
      </c>
      <c r="D7328" s="1" t="s">
        <v>34</v>
      </c>
      <c r="E7328" s="1" t="s">
        <v>10</v>
      </c>
      <c r="F7328" s="1" t="s">
        <v>5091</v>
      </c>
      <c r="G7328" s="14" t="s">
        <v>13539</v>
      </c>
      <c r="H7328" s="1" t="s">
        <v>5</v>
      </c>
      <c r="I7328" s="17">
        <v>36373</v>
      </c>
    </row>
    <row r="7329" spans="1:9">
      <c r="A7329" s="16" t="s">
        <v>13541</v>
      </c>
      <c r="B7329" s="1" t="s">
        <v>2628</v>
      </c>
      <c r="C7329" s="1">
        <v>5</v>
      </c>
      <c r="D7329" s="1" t="s">
        <v>34</v>
      </c>
      <c r="E7329" s="1" t="s">
        <v>10</v>
      </c>
      <c r="F7329" s="1" t="s">
        <v>5091</v>
      </c>
      <c r="G7329" s="14" t="s">
        <v>4458</v>
      </c>
      <c r="H7329" s="1" t="s">
        <v>118</v>
      </c>
      <c r="I7329" s="1" t="s">
        <v>4458</v>
      </c>
    </row>
    <row r="7330" spans="1:9">
      <c r="A7330" s="16" t="s">
        <v>13542</v>
      </c>
      <c r="B7330" s="1" t="s">
        <v>2628</v>
      </c>
      <c r="C7330" s="1">
        <v>5</v>
      </c>
      <c r="D7330" s="1" t="s">
        <v>34</v>
      </c>
      <c r="E7330" s="1" t="s">
        <v>10</v>
      </c>
      <c r="F7330" s="1" t="s">
        <v>5091</v>
      </c>
      <c r="G7330" s="14" t="s">
        <v>4458</v>
      </c>
      <c r="H7330" s="1" t="s">
        <v>118</v>
      </c>
      <c r="I7330" s="1" t="s">
        <v>4458</v>
      </c>
    </row>
    <row r="7331" spans="1:9">
      <c r="A7331" s="16" t="s">
        <v>13543</v>
      </c>
      <c r="B7331" s="1" t="s">
        <v>2628</v>
      </c>
      <c r="C7331" s="1">
        <v>5</v>
      </c>
      <c r="D7331" s="1" t="s">
        <v>34</v>
      </c>
      <c r="E7331" s="1" t="s">
        <v>10</v>
      </c>
      <c r="F7331" s="1" t="s">
        <v>5091</v>
      </c>
      <c r="G7331" s="14" t="s">
        <v>4458</v>
      </c>
      <c r="H7331" s="1" t="s">
        <v>118</v>
      </c>
      <c r="I7331" s="1" t="s">
        <v>4458</v>
      </c>
    </row>
    <row r="7332" spans="1:9">
      <c r="A7332" s="16" t="s">
        <v>13546</v>
      </c>
      <c r="B7332" s="1" t="s">
        <v>2628</v>
      </c>
      <c r="C7332" s="1">
        <v>5</v>
      </c>
      <c r="D7332" s="1" t="s">
        <v>34</v>
      </c>
      <c r="E7332" s="1" t="s">
        <v>10</v>
      </c>
      <c r="F7332" s="1" t="s">
        <v>5091</v>
      </c>
      <c r="G7332" s="14" t="s">
        <v>6145</v>
      </c>
      <c r="H7332" s="1" t="s">
        <v>43</v>
      </c>
      <c r="I7332" s="17">
        <v>43019</v>
      </c>
    </row>
    <row r="7333" spans="1:9">
      <c r="A7333" s="16" t="s">
        <v>13547</v>
      </c>
      <c r="B7333" s="1" t="s">
        <v>2628</v>
      </c>
      <c r="C7333" s="1">
        <v>5</v>
      </c>
      <c r="D7333" s="1" t="s">
        <v>34</v>
      </c>
      <c r="E7333" s="1" t="s">
        <v>10</v>
      </c>
      <c r="F7333" s="1" t="s">
        <v>5091</v>
      </c>
      <c r="G7333" s="14" t="s">
        <v>6145</v>
      </c>
      <c r="H7333" s="1" t="s">
        <v>43</v>
      </c>
      <c r="I7333" s="17">
        <v>43020</v>
      </c>
    </row>
    <row r="7334" spans="1:9">
      <c r="A7334" s="16" t="s">
        <v>13548</v>
      </c>
      <c r="B7334" s="1" t="s">
        <v>2628</v>
      </c>
      <c r="C7334" s="1">
        <v>5</v>
      </c>
      <c r="D7334" s="1" t="s">
        <v>34</v>
      </c>
      <c r="E7334" s="1" t="s">
        <v>10</v>
      </c>
      <c r="F7334" s="1" t="s">
        <v>5091</v>
      </c>
      <c r="G7334" s="14" t="s">
        <v>6186</v>
      </c>
      <c r="H7334" s="1" t="s">
        <v>5</v>
      </c>
      <c r="I7334" s="17">
        <v>42736</v>
      </c>
    </row>
    <row r="7335" spans="1:9">
      <c r="A7335" s="16" t="s">
        <v>13549</v>
      </c>
      <c r="B7335" s="1" t="s">
        <v>2628</v>
      </c>
      <c r="C7335" s="1">
        <v>5</v>
      </c>
      <c r="D7335" s="1" t="s">
        <v>34</v>
      </c>
      <c r="E7335" s="1" t="s">
        <v>10</v>
      </c>
      <c r="F7335" s="1" t="s">
        <v>5091</v>
      </c>
      <c r="G7335" s="14" t="s">
        <v>6145</v>
      </c>
      <c r="H7335" s="1" t="s">
        <v>43</v>
      </c>
      <c r="I7335" s="17">
        <v>43020</v>
      </c>
    </row>
    <row r="7336" spans="1:9">
      <c r="A7336" s="16" t="s">
        <v>13550</v>
      </c>
      <c r="B7336" s="1" t="s">
        <v>2628</v>
      </c>
      <c r="C7336" s="1">
        <v>5</v>
      </c>
      <c r="D7336" s="1" t="s">
        <v>34</v>
      </c>
      <c r="E7336" s="1" t="s">
        <v>10</v>
      </c>
      <c r="F7336" s="1" t="s">
        <v>5091</v>
      </c>
      <c r="G7336" s="14" t="s">
        <v>6145</v>
      </c>
      <c r="H7336" s="1" t="s">
        <v>43</v>
      </c>
      <c r="I7336" s="17">
        <v>43020</v>
      </c>
    </row>
    <row r="7337" spans="1:9">
      <c r="A7337" s="16" t="s">
        <v>13557</v>
      </c>
      <c r="B7337" s="1" t="s">
        <v>2628</v>
      </c>
      <c r="C7337" s="1">
        <v>5</v>
      </c>
      <c r="D7337" s="1" t="s">
        <v>34</v>
      </c>
      <c r="E7337" s="1" t="s">
        <v>10</v>
      </c>
      <c r="F7337" s="1" t="s">
        <v>5091</v>
      </c>
      <c r="G7337" s="14" t="s">
        <v>13558</v>
      </c>
      <c r="H7337" s="1" t="s">
        <v>5</v>
      </c>
      <c r="I7337" s="17">
        <v>38587</v>
      </c>
    </row>
    <row r="7338" spans="1:9">
      <c r="A7338" s="16" t="s">
        <v>13570</v>
      </c>
      <c r="B7338" s="1" t="s">
        <v>2628</v>
      </c>
      <c r="C7338" s="1">
        <v>5</v>
      </c>
      <c r="D7338" s="1" t="s">
        <v>34</v>
      </c>
      <c r="E7338" s="1" t="s">
        <v>10</v>
      </c>
      <c r="F7338" s="1" t="s">
        <v>5091</v>
      </c>
      <c r="G7338" s="14" t="s">
        <v>6145</v>
      </c>
      <c r="H7338" s="1" t="s">
        <v>43</v>
      </c>
      <c r="I7338" s="17">
        <v>42917</v>
      </c>
    </row>
    <row r="7339" spans="1:9" ht="31.2">
      <c r="A7339" s="16" t="s">
        <v>13573</v>
      </c>
      <c r="B7339" s="1" t="s">
        <v>2631</v>
      </c>
      <c r="C7339" s="1">
        <v>5</v>
      </c>
      <c r="D7339" s="1" t="s">
        <v>34</v>
      </c>
      <c r="E7339" s="1" t="s">
        <v>10</v>
      </c>
      <c r="F7339" s="1" t="s">
        <v>5091</v>
      </c>
      <c r="G7339" s="1" t="s">
        <v>6145</v>
      </c>
      <c r="H7339" s="1" t="s">
        <v>43</v>
      </c>
      <c r="I7339" s="17">
        <v>41512</v>
      </c>
    </row>
    <row r="7340" spans="1:9" ht="31.2">
      <c r="A7340" s="16" t="s">
        <v>13574</v>
      </c>
      <c r="B7340" s="1" t="s">
        <v>2631</v>
      </c>
      <c r="C7340" s="1">
        <v>5</v>
      </c>
      <c r="D7340" s="1" t="s">
        <v>34</v>
      </c>
      <c r="E7340" s="1" t="s">
        <v>10</v>
      </c>
      <c r="F7340" s="1" t="s">
        <v>5091</v>
      </c>
      <c r="G7340" s="1" t="s">
        <v>6145</v>
      </c>
      <c r="H7340" s="1" t="s">
        <v>43</v>
      </c>
      <c r="I7340" s="17">
        <v>41512</v>
      </c>
    </row>
    <row r="7341" spans="1:9" ht="31.2">
      <c r="A7341" s="16" t="s">
        <v>13575</v>
      </c>
      <c r="B7341" s="1" t="s">
        <v>2631</v>
      </c>
      <c r="C7341" s="1">
        <v>5</v>
      </c>
      <c r="D7341" s="1" t="s">
        <v>34</v>
      </c>
      <c r="E7341" s="1" t="s">
        <v>10</v>
      </c>
      <c r="F7341" s="1" t="s">
        <v>5091</v>
      </c>
      <c r="G7341" s="1" t="s">
        <v>6145</v>
      </c>
      <c r="H7341" s="1" t="s">
        <v>43</v>
      </c>
      <c r="I7341" s="17">
        <v>41512</v>
      </c>
    </row>
    <row r="7342" spans="1:9">
      <c r="A7342" s="16" t="s">
        <v>13595</v>
      </c>
      <c r="B7342" s="1" t="s">
        <v>2628</v>
      </c>
      <c r="C7342" s="1">
        <v>5</v>
      </c>
      <c r="D7342" s="1" t="s">
        <v>34</v>
      </c>
      <c r="E7342" s="1" t="s">
        <v>10</v>
      </c>
      <c r="F7342" s="1" t="s">
        <v>5091</v>
      </c>
      <c r="G7342" s="14" t="s">
        <v>9884</v>
      </c>
      <c r="H7342" s="1" t="s">
        <v>5</v>
      </c>
      <c r="I7342" s="17">
        <v>37369</v>
      </c>
    </row>
    <row r="7343" spans="1:9">
      <c r="A7343" s="16" t="s">
        <v>13599</v>
      </c>
      <c r="B7343" s="1" t="s">
        <v>2631</v>
      </c>
      <c r="C7343" s="1">
        <v>2384</v>
      </c>
      <c r="D7343" s="1" t="s">
        <v>34</v>
      </c>
      <c r="E7343" s="1" t="s">
        <v>10</v>
      </c>
      <c r="F7343" s="1" t="s">
        <v>5091</v>
      </c>
      <c r="G7343" s="1" t="s">
        <v>11125</v>
      </c>
      <c r="H7343" s="1" t="s">
        <v>5</v>
      </c>
      <c r="I7343" s="17">
        <v>43045</v>
      </c>
    </row>
    <row r="7344" spans="1:9">
      <c r="A7344" s="16" t="s">
        <v>13621</v>
      </c>
      <c r="B7344" s="1" t="s">
        <v>2631</v>
      </c>
      <c r="C7344" s="1">
        <v>5</v>
      </c>
      <c r="D7344" s="1" t="s">
        <v>34</v>
      </c>
      <c r="E7344" s="1" t="s">
        <v>10</v>
      </c>
      <c r="F7344" s="1" t="s">
        <v>5091</v>
      </c>
      <c r="G7344" s="14" t="s">
        <v>4458</v>
      </c>
      <c r="H7344" s="1" t="s">
        <v>118</v>
      </c>
      <c r="I7344" s="1" t="s">
        <v>4792</v>
      </c>
    </row>
    <row r="7345" spans="1:9">
      <c r="A7345" s="16" t="s">
        <v>13627</v>
      </c>
      <c r="B7345" s="1" t="s">
        <v>2631</v>
      </c>
      <c r="C7345" s="1">
        <v>5</v>
      </c>
      <c r="D7345" s="1" t="s">
        <v>34</v>
      </c>
      <c r="E7345" s="1" t="s">
        <v>10</v>
      </c>
      <c r="F7345" s="1" t="s">
        <v>5091</v>
      </c>
      <c r="G7345" s="14" t="s">
        <v>4458</v>
      </c>
      <c r="H7345" s="1" t="s">
        <v>118</v>
      </c>
      <c r="I7345" s="1" t="s">
        <v>4792</v>
      </c>
    </row>
    <row r="7346" spans="1:9">
      <c r="A7346" s="16" t="s">
        <v>13649</v>
      </c>
      <c r="B7346" s="1" t="s">
        <v>2628</v>
      </c>
      <c r="C7346" s="1">
        <v>5</v>
      </c>
      <c r="D7346" s="1" t="s">
        <v>34</v>
      </c>
      <c r="E7346" s="1" t="s">
        <v>10</v>
      </c>
      <c r="F7346" s="1" t="s">
        <v>5091</v>
      </c>
      <c r="G7346" s="14" t="s">
        <v>13650</v>
      </c>
      <c r="H7346" s="1" t="s">
        <v>5</v>
      </c>
      <c r="I7346" s="17">
        <v>36404</v>
      </c>
    </row>
    <row r="7347" spans="1:9">
      <c r="A7347" s="16" t="s">
        <v>13653</v>
      </c>
      <c r="B7347" s="1" t="s">
        <v>2628</v>
      </c>
      <c r="C7347" s="1">
        <v>5</v>
      </c>
      <c r="D7347" s="1" t="s">
        <v>34</v>
      </c>
      <c r="E7347" s="1" t="s">
        <v>10</v>
      </c>
      <c r="F7347" s="1" t="s">
        <v>5091</v>
      </c>
      <c r="G7347" s="14" t="s">
        <v>13654</v>
      </c>
      <c r="H7347" s="1" t="s">
        <v>5</v>
      </c>
      <c r="I7347" s="17">
        <v>36617</v>
      </c>
    </row>
    <row r="7348" spans="1:9">
      <c r="A7348" s="16" t="s">
        <v>13664</v>
      </c>
      <c r="B7348" s="1" t="s">
        <v>2628</v>
      </c>
      <c r="C7348" s="1">
        <v>5</v>
      </c>
      <c r="D7348" s="1" t="s">
        <v>34</v>
      </c>
      <c r="E7348" s="1" t="s">
        <v>10</v>
      </c>
      <c r="F7348" s="1" t="s">
        <v>5091</v>
      </c>
      <c r="G7348" s="14" t="s">
        <v>6145</v>
      </c>
      <c r="H7348" s="1" t="s">
        <v>43</v>
      </c>
      <c r="I7348" s="17">
        <v>43056</v>
      </c>
    </row>
    <row r="7349" spans="1:9">
      <c r="A7349" s="16" t="s">
        <v>13665</v>
      </c>
      <c r="B7349" s="1" t="s">
        <v>2628</v>
      </c>
      <c r="C7349" s="1">
        <v>5</v>
      </c>
      <c r="D7349" s="1" t="s">
        <v>34</v>
      </c>
      <c r="E7349" s="1" t="s">
        <v>10</v>
      </c>
      <c r="F7349" s="1" t="s">
        <v>5091</v>
      </c>
      <c r="G7349" s="14" t="s">
        <v>6145</v>
      </c>
      <c r="H7349" s="1" t="s">
        <v>43</v>
      </c>
      <c r="I7349" s="17">
        <v>43056</v>
      </c>
    </row>
    <row r="7350" spans="1:9">
      <c r="A7350" s="16" t="s">
        <v>13666</v>
      </c>
      <c r="B7350" s="1" t="s">
        <v>2628</v>
      </c>
      <c r="C7350" s="1">
        <v>5</v>
      </c>
      <c r="D7350" s="1" t="s">
        <v>34</v>
      </c>
      <c r="E7350" s="1" t="s">
        <v>10</v>
      </c>
      <c r="F7350" s="1" t="s">
        <v>5091</v>
      </c>
      <c r="G7350" s="14" t="s">
        <v>6145</v>
      </c>
      <c r="H7350" s="1" t="s">
        <v>43</v>
      </c>
      <c r="I7350" s="17">
        <v>43056</v>
      </c>
    </row>
    <row r="7351" spans="1:9">
      <c r="A7351" s="16" t="s">
        <v>13667</v>
      </c>
      <c r="B7351" s="1" t="s">
        <v>2628</v>
      </c>
      <c r="C7351" s="1">
        <v>5</v>
      </c>
      <c r="D7351" s="1" t="s">
        <v>34</v>
      </c>
      <c r="E7351" s="1" t="s">
        <v>10</v>
      </c>
      <c r="F7351" s="1" t="s">
        <v>5091</v>
      </c>
      <c r="G7351" s="14" t="s">
        <v>6145</v>
      </c>
      <c r="H7351" s="1" t="s">
        <v>43</v>
      </c>
      <c r="I7351" s="17">
        <v>43056</v>
      </c>
    </row>
    <row r="7352" spans="1:9">
      <c r="A7352" s="16" t="s">
        <v>13668</v>
      </c>
      <c r="B7352" s="1" t="s">
        <v>2628</v>
      </c>
      <c r="C7352" s="1">
        <v>5</v>
      </c>
      <c r="D7352" s="1" t="s">
        <v>34</v>
      </c>
      <c r="E7352" s="1" t="s">
        <v>10</v>
      </c>
      <c r="F7352" s="1" t="s">
        <v>5091</v>
      </c>
      <c r="G7352" s="14" t="s">
        <v>6145</v>
      </c>
      <c r="H7352" s="1" t="s">
        <v>43</v>
      </c>
      <c r="I7352" s="17">
        <v>43056</v>
      </c>
    </row>
    <row r="7353" spans="1:9">
      <c r="A7353" s="16" t="s">
        <v>13669</v>
      </c>
      <c r="B7353" s="1" t="s">
        <v>2628</v>
      </c>
      <c r="C7353" s="1">
        <v>5</v>
      </c>
      <c r="D7353" s="1" t="s">
        <v>34</v>
      </c>
      <c r="E7353" s="1" t="s">
        <v>10</v>
      </c>
      <c r="F7353" s="1" t="s">
        <v>5091</v>
      </c>
      <c r="G7353" s="14" t="s">
        <v>6145</v>
      </c>
      <c r="H7353" s="1" t="s">
        <v>43</v>
      </c>
      <c r="I7353" s="17">
        <v>43056</v>
      </c>
    </row>
    <row r="7354" spans="1:9">
      <c r="A7354" s="16" t="s">
        <v>13670</v>
      </c>
      <c r="B7354" s="1" t="s">
        <v>2628</v>
      </c>
      <c r="C7354" s="1">
        <v>5</v>
      </c>
      <c r="D7354" s="1" t="s">
        <v>34</v>
      </c>
      <c r="E7354" s="1" t="s">
        <v>10</v>
      </c>
      <c r="F7354" s="1" t="s">
        <v>5091</v>
      </c>
      <c r="G7354" s="14" t="s">
        <v>6145</v>
      </c>
      <c r="H7354" s="1" t="s">
        <v>43</v>
      </c>
      <c r="I7354" s="17">
        <v>43056</v>
      </c>
    </row>
    <row r="7355" spans="1:9">
      <c r="A7355" s="16" t="s">
        <v>13671</v>
      </c>
      <c r="B7355" s="1" t="s">
        <v>2628</v>
      </c>
      <c r="C7355" s="1">
        <v>5</v>
      </c>
      <c r="D7355" s="1" t="s">
        <v>34</v>
      </c>
      <c r="E7355" s="1" t="s">
        <v>10</v>
      </c>
      <c r="F7355" s="1" t="s">
        <v>5091</v>
      </c>
      <c r="G7355" s="14" t="s">
        <v>6145</v>
      </c>
      <c r="H7355" s="1" t="s">
        <v>43</v>
      </c>
      <c r="I7355" s="17">
        <v>43056</v>
      </c>
    </row>
    <row r="7356" spans="1:9">
      <c r="A7356" s="16" t="s">
        <v>13672</v>
      </c>
      <c r="B7356" s="1" t="s">
        <v>2628</v>
      </c>
      <c r="C7356" s="1">
        <v>5</v>
      </c>
      <c r="D7356" s="1" t="s">
        <v>34</v>
      </c>
      <c r="E7356" s="1" t="s">
        <v>10</v>
      </c>
      <c r="F7356" s="1" t="s">
        <v>5091</v>
      </c>
      <c r="G7356" s="14" t="s">
        <v>6145</v>
      </c>
      <c r="H7356" s="1" t="s">
        <v>43</v>
      </c>
      <c r="I7356" s="17">
        <v>42826</v>
      </c>
    </row>
    <row r="7357" spans="1:9">
      <c r="A7357" s="16" t="s">
        <v>13673</v>
      </c>
      <c r="B7357" s="1" t="s">
        <v>2628</v>
      </c>
      <c r="C7357" s="1">
        <v>5</v>
      </c>
      <c r="D7357" s="1" t="s">
        <v>34</v>
      </c>
      <c r="E7357" s="1" t="s">
        <v>10</v>
      </c>
      <c r="F7357" s="1" t="s">
        <v>5091</v>
      </c>
      <c r="G7357" s="14" t="s">
        <v>6145</v>
      </c>
      <c r="H7357" s="1" t="s">
        <v>43</v>
      </c>
      <c r="I7357" s="17">
        <v>42826</v>
      </c>
    </row>
    <row r="7358" spans="1:9">
      <c r="A7358" s="16" t="s">
        <v>13675</v>
      </c>
      <c r="B7358" s="1" t="s">
        <v>2631</v>
      </c>
      <c r="C7358" s="1">
        <v>5</v>
      </c>
      <c r="D7358" s="1" t="s">
        <v>34</v>
      </c>
      <c r="E7358" s="1" t="s">
        <v>10</v>
      </c>
      <c r="F7358" s="1" t="s">
        <v>5091</v>
      </c>
      <c r="G7358" s="1" t="s">
        <v>6145</v>
      </c>
      <c r="H7358" s="1" t="s">
        <v>43</v>
      </c>
      <c r="I7358" s="17">
        <v>43009</v>
      </c>
    </row>
    <row r="7359" spans="1:9">
      <c r="A7359" s="16" t="s">
        <v>13676</v>
      </c>
      <c r="B7359" s="1" t="s">
        <v>2631</v>
      </c>
      <c r="C7359" s="1">
        <v>5</v>
      </c>
      <c r="D7359" s="1" t="s">
        <v>34</v>
      </c>
      <c r="E7359" s="1" t="s">
        <v>10</v>
      </c>
      <c r="F7359" s="1" t="s">
        <v>5091</v>
      </c>
      <c r="G7359" s="1" t="s">
        <v>6145</v>
      </c>
      <c r="H7359" s="1" t="s">
        <v>43</v>
      </c>
      <c r="I7359" s="17">
        <v>43009</v>
      </c>
    </row>
    <row r="7360" spans="1:9">
      <c r="A7360" s="16" t="s">
        <v>13679</v>
      </c>
      <c r="B7360" s="1" t="s">
        <v>2631</v>
      </c>
      <c r="C7360" s="1">
        <v>5</v>
      </c>
      <c r="D7360" s="1" t="s">
        <v>34</v>
      </c>
      <c r="E7360" s="1" t="s">
        <v>10</v>
      </c>
      <c r="F7360" s="1" t="s">
        <v>5091</v>
      </c>
      <c r="G7360" s="1" t="s">
        <v>6145</v>
      </c>
      <c r="H7360" s="1" t="s">
        <v>43</v>
      </c>
      <c r="I7360" s="17">
        <v>43009</v>
      </c>
    </row>
    <row r="7361" spans="1:9">
      <c r="A7361" s="16" t="s">
        <v>13680</v>
      </c>
      <c r="B7361" s="1" t="s">
        <v>2628</v>
      </c>
      <c r="C7361" s="1">
        <v>5</v>
      </c>
      <c r="D7361" s="1" t="s">
        <v>34</v>
      </c>
      <c r="E7361" s="1" t="s">
        <v>10</v>
      </c>
      <c r="F7361" s="1" t="s">
        <v>5091</v>
      </c>
      <c r="G7361" s="14" t="s">
        <v>6145</v>
      </c>
      <c r="H7361" s="1" t="s">
        <v>43</v>
      </c>
      <c r="I7361" s="17">
        <v>43009</v>
      </c>
    </row>
    <row r="7362" spans="1:9">
      <c r="A7362" s="16" t="s">
        <v>13708</v>
      </c>
      <c r="B7362" s="1" t="s">
        <v>2628</v>
      </c>
      <c r="C7362" s="1">
        <v>5</v>
      </c>
      <c r="D7362" s="1" t="s">
        <v>34</v>
      </c>
      <c r="E7362" s="1" t="s">
        <v>10</v>
      </c>
      <c r="F7362" s="1" t="s">
        <v>5091</v>
      </c>
      <c r="G7362" s="14" t="s">
        <v>13709</v>
      </c>
      <c r="H7362" s="1" t="s">
        <v>5</v>
      </c>
      <c r="I7362" s="17">
        <v>42736</v>
      </c>
    </row>
    <row r="7363" spans="1:9">
      <c r="A7363" s="16" t="s">
        <v>13715</v>
      </c>
      <c r="B7363" s="1" t="s">
        <v>2631</v>
      </c>
      <c r="C7363" s="1">
        <v>2384</v>
      </c>
      <c r="D7363" s="1" t="s">
        <v>34</v>
      </c>
      <c r="E7363" s="1" t="s">
        <v>10</v>
      </c>
      <c r="F7363" s="1" t="s">
        <v>5091</v>
      </c>
      <c r="G7363" s="1" t="s">
        <v>6145</v>
      </c>
      <c r="H7363" s="1" t="s">
        <v>43</v>
      </c>
      <c r="I7363" s="17">
        <v>43068</v>
      </c>
    </row>
    <row r="7364" spans="1:9">
      <c r="A7364" s="16" t="s">
        <v>13716</v>
      </c>
      <c r="B7364" s="1" t="s">
        <v>2631</v>
      </c>
      <c r="C7364" s="1">
        <v>2384</v>
      </c>
      <c r="D7364" s="1" t="s">
        <v>34</v>
      </c>
      <c r="E7364" s="1" t="s">
        <v>10</v>
      </c>
      <c r="F7364" s="1" t="s">
        <v>5091</v>
      </c>
      <c r="G7364" s="1" t="s">
        <v>6145</v>
      </c>
      <c r="H7364" s="1" t="s">
        <v>43</v>
      </c>
      <c r="I7364" s="17">
        <v>43068</v>
      </c>
    </row>
    <row r="7365" spans="1:9">
      <c r="A7365" s="16" t="s">
        <v>13717</v>
      </c>
      <c r="B7365" s="1" t="s">
        <v>2631</v>
      </c>
      <c r="C7365" s="1">
        <v>2384</v>
      </c>
      <c r="D7365" s="1" t="s">
        <v>34</v>
      </c>
      <c r="E7365" s="1" t="s">
        <v>10</v>
      </c>
      <c r="F7365" s="1" t="s">
        <v>5091</v>
      </c>
      <c r="G7365" s="1" t="s">
        <v>6145</v>
      </c>
      <c r="H7365" s="1" t="s">
        <v>43</v>
      </c>
      <c r="I7365" s="17">
        <v>43068</v>
      </c>
    </row>
    <row r="7366" spans="1:9">
      <c r="A7366" s="16" t="s">
        <v>13719</v>
      </c>
      <c r="B7366" s="1" t="s">
        <v>2628</v>
      </c>
      <c r="C7366" s="1">
        <v>5</v>
      </c>
      <c r="D7366" s="1" t="s">
        <v>34</v>
      </c>
      <c r="E7366" s="1" t="s">
        <v>10</v>
      </c>
      <c r="F7366" s="1" t="s">
        <v>5091</v>
      </c>
      <c r="G7366" s="14" t="s">
        <v>6145</v>
      </c>
      <c r="H7366" s="1" t="s">
        <v>43</v>
      </c>
      <c r="I7366" s="17">
        <v>43068</v>
      </c>
    </row>
    <row r="7367" spans="1:9">
      <c r="A7367" s="16" t="s">
        <v>13721</v>
      </c>
      <c r="B7367" s="1" t="s">
        <v>2631</v>
      </c>
      <c r="C7367" s="1">
        <v>2384</v>
      </c>
      <c r="D7367" s="1" t="s">
        <v>34</v>
      </c>
      <c r="E7367" s="1" t="s">
        <v>10</v>
      </c>
      <c r="F7367" s="1" t="s">
        <v>5091</v>
      </c>
      <c r="G7367" s="1" t="s">
        <v>6145</v>
      </c>
      <c r="H7367" s="1" t="s">
        <v>43</v>
      </c>
      <c r="I7367" s="17">
        <v>43068</v>
      </c>
    </row>
    <row r="7368" spans="1:9">
      <c r="A7368" s="16" t="s">
        <v>13722</v>
      </c>
      <c r="B7368" s="1" t="s">
        <v>2631</v>
      </c>
      <c r="C7368" s="1">
        <v>2384</v>
      </c>
      <c r="D7368" s="1" t="s">
        <v>34</v>
      </c>
      <c r="E7368" s="1" t="s">
        <v>10</v>
      </c>
      <c r="F7368" s="1" t="s">
        <v>5091</v>
      </c>
      <c r="G7368" s="1" t="s">
        <v>6145</v>
      </c>
      <c r="H7368" s="1" t="s">
        <v>43</v>
      </c>
      <c r="I7368" s="17">
        <v>43068</v>
      </c>
    </row>
    <row r="7369" spans="1:9">
      <c r="A7369" s="16" t="s">
        <v>13725</v>
      </c>
      <c r="B7369" s="1" t="s">
        <v>2628</v>
      </c>
      <c r="C7369" s="1">
        <v>819</v>
      </c>
      <c r="D7369" s="1" t="s">
        <v>34</v>
      </c>
      <c r="E7369" s="1" t="s">
        <v>10</v>
      </c>
      <c r="F7369" s="1" t="s">
        <v>5091</v>
      </c>
      <c r="G7369" s="14" t="s">
        <v>6145</v>
      </c>
      <c r="H7369" s="1" t="s">
        <v>43</v>
      </c>
      <c r="I7369" s="17">
        <v>40887</v>
      </c>
    </row>
    <row r="7370" spans="1:9">
      <c r="A7370" s="16" t="s">
        <v>13726</v>
      </c>
      <c r="B7370" s="1" t="s">
        <v>2631</v>
      </c>
      <c r="C7370" s="1">
        <v>2384</v>
      </c>
      <c r="D7370" s="1" t="s">
        <v>34</v>
      </c>
      <c r="E7370" s="1" t="s">
        <v>10</v>
      </c>
      <c r="F7370" s="1" t="s">
        <v>5091</v>
      </c>
      <c r="G7370" s="1" t="s">
        <v>6145</v>
      </c>
      <c r="H7370" s="1" t="s">
        <v>43</v>
      </c>
      <c r="I7370" s="17">
        <v>43068</v>
      </c>
    </row>
    <row r="7371" spans="1:9">
      <c r="A7371" s="16" t="s">
        <v>13727</v>
      </c>
      <c r="B7371" s="1" t="s">
        <v>2631</v>
      </c>
      <c r="C7371" s="1">
        <v>2384</v>
      </c>
      <c r="D7371" s="1" t="s">
        <v>34</v>
      </c>
      <c r="E7371" s="1" t="s">
        <v>10</v>
      </c>
      <c r="F7371" s="1" t="s">
        <v>5091</v>
      </c>
      <c r="G7371" s="1" t="s">
        <v>6145</v>
      </c>
      <c r="H7371" s="1" t="s">
        <v>43</v>
      </c>
      <c r="I7371" s="17">
        <v>43068</v>
      </c>
    </row>
    <row r="7372" spans="1:9">
      <c r="A7372" s="19" t="s">
        <v>13728</v>
      </c>
      <c r="B7372" s="13" t="s">
        <v>16952</v>
      </c>
      <c r="C7372" s="13">
        <v>2384</v>
      </c>
      <c r="D7372" s="13" t="s">
        <v>34</v>
      </c>
      <c r="E7372" s="13" t="s">
        <v>10</v>
      </c>
      <c r="F7372" s="13" t="s">
        <v>5091</v>
      </c>
      <c r="G7372" s="20" t="s">
        <v>6145</v>
      </c>
      <c r="H7372" s="13" t="s">
        <v>43</v>
      </c>
      <c r="I7372" s="18">
        <v>43068</v>
      </c>
    </row>
    <row r="7373" spans="1:9">
      <c r="A7373" s="16" t="s">
        <v>13736</v>
      </c>
      <c r="B7373" s="1" t="s">
        <v>2628</v>
      </c>
      <c r="C7373" s="1">
        <v>819</v>
      </c>
      <c r="D7373" s="1" t="s">
        <v>34</v>
      </c>
      <c r="E7373" s="1" t="s">
        <v>10</v>
      </c>
      <c r="F7373" s="1" t="s">
        <v>5091</v>
      </c>
      <c r="G7373" s="14" t="s">
        <v>6145</v>
      </c>
      <c r="H7373" s="1" t="s">
        <v>43</v>
      </c>
      <c r="I7373" s="17">
        <v>40888</v>
      </c>
    </row>
    <row r="7374" spans="1:9">
      <c r="A7374" s="16" t="s">
        <v>13737</v>
      </c>
      <c r="B7374" s="1" t="s">
        <v>2628</v>
      </c>
      <c r="C7374" s="1">
        <v>819</v>
      </c>
      <c r="D7374" s="1" t="s">
        <v>34</v>
      </c>
      <c r="E7374" s="1" t="s">
        <v>10</v>
      </c>
      <c r="F7374" s="1" t="s">
        <v>5091</v>
      </c>
      <c r="G7374" s="14" t="s">
        <v>6145</v>
      </c>
      <c r="H7374" s="1" t="s">
        <v>43</v>
      </c>
      <c r="I7374" s="17">
        <v>41133</v>
      </c>
    </row>
    <row r="7375" spans="1:9">
      <c r="A7375" s="16" t="s">
        <v>13738</v>
      </c>
      <c r="B7375" s="1" t="s">
        <v>2628</v>
      </c>
      <c r="C7375" s="1">
        <v>819</v>
      </c>
      <c r="D7375" s="1" t="s">
        <v>34</v>
      </c>
      <c r="E7375" s="1" t="s">
        <v>10</v>
      </c>
      <c r="F7375" s="1" t="s">
        <v>5091</v>
      </c>
      <c r="G7375" s="14" t="s">
        <v>6145</v>
      </c>
      <c r="H7375" s="1" t="s">
        <v>43</v>
      </c>
      <c r="I7375" s="17">
        <v>41194</v>
      </c>
    </row>
    <row r="7376" spans="1:9">
      <c r="A7376" s="16" t="s">
        <v>13739</v>
      </c>
      <c r="B7376" s="1" t="s">
        <v>2628</v>
      </c>
      <c r="C7376" s="1">
        <v>819</v>
      </c>
      <c r="D7376" s="1" t="s">
        <v>34</v>
      </c>
      <c r="E7376" s="1" t="s">
        <v>10</v>
      </c>
      <c r="F7376" s="1" t="s">
        <v>5091</v>
      </c>
      <c r="G7376" s="14" t="s">
        <v>6145</v>
      </c>
      <c r="H7376" s="1" t="s">
        <v>43</v>
      </c>
      <c r="I7376" s="17">
        <v>41194</v>
      </c>
    </row>
    <row r="7377" spans="1:9">
      <c r="A7377" s="16" t="s">
        <v>13740</v>
      </c>
      <c r="B7377" s="1" t="s">
        <v>2631</v>
      </c>
      <c r="C7377" s="1">
        <v>2384</v>
      </c>
      <c r="D7377" s="1" t="s">
        <v>34</v>
      </c>
      <c r="E7377" s="1" t="s">
        <v>10</v>
      </c>
      <c r="F7377" s="1" t="s">
        <v>5091</v>
      </c>
      <c r="G7377" s="1" t="s">
        <v>6145</v>
      </c>
      <c r="H7377" s="1" t="s">
        <v>43</v>
      </c>
      <c r="I7377" s="17">
        <v>43068</v>
      </c>
    </row>
    <row r="7378" spans="1:9">
      <c r="A7378" s="16" t="s">
        <v>13741</v>
      </c>
      <c r="B7378" s="1" t="s">
        <v>2631</v>
      </c>
      <c r="C7378" s="1">
        <v>2384</v>
      </c>
      <c r="D7378" s="1" t="s">
        <v>34</v>
      </c>
      <c r="E7378" s="1" t="s">
        <v>10</v>
      </c>
      <c r="F7378" s="1" t="s">
        <v>5091</v>
      </c>
      <c r="G7378" s="1" t="s">
        <v>6145</v>
      </c>
      <c r="H7378" s="1" t="s">
        <v>43</v>
      </c>
      <c r="I7378" s="17">
        <v>43068</v>
      </c>
    </row>
    <row r="7379" spans="1:9">
      <c r="A7379" s="16" t="s">
        <v>13744</v>
      </c>
      <c r="B7379" s="1" t="s">
        <v>2628</v>
      </c>
      <c r="C7379" s="1">
        <v>5</v>
      </c>
      <c r="D7379" s="1" t="s">
        <v>34</v>
      </c>
      <c r="E7379" s="1" t="s">
        <v>10</v>
      </c>
      <c r="F7379" s="1" t="s">
        <v>5091</v>
      </c>
      <c r="G7379" s="14" t="s">
        <v>6145</v>
      </c>
      <c r="H7379" s="1" t="s">
        <v>43</v>
      </c>
      <c r="I7379" s="17">
        <v>43068</v>
      </c>
    </row>
    <row r="7380" spans="1:9">
      <c r="A7380" s="16" t="s">
        <v>13745</v>
      </c>
      <c r="B7380" s="1" t="s">
        <v>2631</v>
      </c>
      <c r="C7380" s="1">
        <v>2384</v>
      </c>
      <c r="D7380" s="1" t="s">
        <v>34</v>
      </c>
      <c r="E7380" s="1" t="s">
        <v>10</v>
      </c>
      <c r="F7380" s="1" t="s">
        <v>5091</v>
      </c>
      <c r="G7380" s="1" t="s">
        <v>6145</v>
      </c>
      <c r="H7380" s="1" t="s">
        <v>43</v>
      </c>
      <c r="I7380" s="17">
        <v>43068</v>
      </c>
    </row>
    <row r="7381" spans="1:9">
      <c r="A7381" s="16" t="s">
        <v>13746</v>
      </c>
      <c r="B7381" s="1" t="s">
        <v>2628</v>
      </c>
      <c r="C7381" s="1">
        <v>5</v>
      </c>
      <c r="D7381" s="1" t="s">
        <v>34</v>
      </c>
      <c r="E7381" s="1" t="s">
        <v>10</v>
      </c>
      <c r="F7381" s="1" t="s">
        <v>5091</v>
      </c>
      <c r="G7381" s="14" t="s">
        <v>6145</v>
      </c>
      <c r="H7381" s="1" t="s">
        <v>43</v>
      </c>
      <c r="I7381" s="17">
        <v>43009</v>
      </c>
    </row>
    <row r="7382" spans="1:9">
      <c r="A7382" s="16" t="s">
        <v>13749</v>
      </c>
      <c r="B7382" s="1" t="s">
        <v>2631</v>
      </c>
      <c r="C7382" s="1">
        <v>5</v>
      </c>
      <c r="D7382" s="1" t="s">
        <v>34</v>
      </c>
      <c r="E7382" s="1" t="s">
        <v>10</v>
      </c>
      <c r="F7382" s="1" t="s">
        <v>5091</v>
      </c>
      <c r="G7382" s="1" t="s">
        <v>6145</v>
      </c>
      <c r="H7382" s="1" t="s">
        <v>43</v>
      </c>
      <c r="I7382" s="17">
        <v>43009</v>
      </c>
    </row>
    <row r="7383" spans="1:9">
      <c r="A7383" s="16" t="s">
        <v>13750</v>
      </c>
      <c r="B7383" s="1" t="s">
        <v>2631</v>
      </c>
      <c r="C7383" s="1">
        <v>5</v>
      </c>
      <c r="D7383" s="1" t="s">
        <v>34</v>
      </c>
      <c r="E7383" s="1" t="s">
        <v>10</v>
      </c>
      <c r="F7383" s="1" t="s">
        <v>5091</v>
      </c>
      <c r="G7383" s="1" t="s">
        <v>6145</v>
      </c>
      <c r="H7383" s="1" t="s">
        <v>43</v>
      </c>
      <c r="I7383" s="17">
        <v>43009</v>
      </c>
    </row>
    <row r="7384" spans="1:9">
      <c r="A7384" s="16" t="s">
        <v>13752</v>
      </c>
      <c r="B7384" s="1" t="s">
        <v>2628</v>
      </c>
      <c r="C7384" s="1">
        <v>5</v>
      </c>
      <c r="D7384" s="1" t="s">
        <v>34</v>
      </c>
      <c r="E7384" s="1" t="s">
        <v>10</v>
      </c>
      <c r="F7384" s="1" t="s">
        <v>5091</v>
      </c>
      <c r="G7384" s="14" t="s">
        <v>13753</v>
      </c>
      <c r="H7384" s="1" t="s">
        <v>5</v>
      </c>
      <c r="I7384" s="17">
        <v>37796</v>
      </c>
    </row>
    <row r="7385" spans="1:9">
      <c r="A7385" s="16" t="s">
        <v>13769</v>
      </c>
      <c r="B7385" s="1" t="s">
        <v>2628</v>
      </c>
      <c r="C7385" s="1">
        <v>5</v>
      </c>
      <c r="D7385" s="1" t="s">
        <v>34</v>
      </c>
      <c r="E7385" s="1" t="s">
        <v>10</v>
      </c>
      <c r="F7385" s="1" t="s">
        <v>5091</v>
      </c>
      <c r="G7385" s="14" t="s">
        <v>13709</v>
      </c>
      <c r="H7385" s="1" t="s">
        <v>5</v>
      </c>
      <c r="I7385" s="17">
        <v>42736</v>
      </c>
    </row>
    <row r="7386" spans="1:9">
      <c r="A7386" s="16" t="s">
        <v>13781</v>
      </c>
      <c r="B7386" s="1" t="s">
        <v>2628</v>
      </c>
      <c r="C7386" s="1">
        <v>5</v>
      </c>
      <c r="D7386" s="1" t="s">
        <v>34</v>
      </c>
      <c r="E7386" s="1" t="s">
        <v>10</v>
      </c>
      <c r="F7386" s="1" t="s">
        <v>2698</v>
      </c>
      <c r="G7386" s="14" t="s">
        <v>4458</v>
      </c>
      <c r="H7386" s="1" t="s">
        <v>118</v>
      </c>
      <c r="I7386" s="17">
        <v>40909</v>
      </c>
    </row>
    <row r="7387" spans="1:9">
      <c r="A7387" s="16" t="s">
        <v>13789</v>
      </c>
      <c r="B7387" s="1" t="s">
        <v>2628</v>
      </c>
      <c r="C7387" s="1">
        <v>5</v>
      </c>
      <c r="D7387" s="1" t="s">
        <v>34</v>
      </c>
      <c r="E7387" s="1" t="s">
        <v>10</v>
      </c>
      <c r="F7387" s="1" t="s">
        <v>2698</v>
      </c>
      <c r="G7387" s="14" t="s">
        <v>4803</v>
      </c>
      <c r="H7387" s="1" t="s">
        <v>5</v>
      </c>
      <c r="I7387" s="17">
        <v>40179</v>
      </c>
    </row>
    <row r="7388" spans="1:9">
      <c r="A7388" s="16" t="s">
        <v>13790</v>
      </c>
      <c r="B7388" s="1" t="s">
        <v>2628</v>
      </c>
      <c r="C7388" s="1">
        <v>5</v>
      </c>
      <c r="D7388" s="1" t="s">
        <v>34</v>
      </c>
      <c r="E7388" s="1" t="s">
        <v>10</v>
      </c>
      <c r="F7388" s="1" t="s">
        <v>2698</v>
      </c>
      <c r="G7388" s="14" t="s">
        <v>4803</v>
      </c>
      <c r="H7388" s="1" t="s">
        <v>5</v>
      </c>
      <c r="I7388" s="17">
        <v>40179</v>
      </c>
    </row>
    <row r="7389" spans="1:9">
      <c r="A7389" s="16" t="s">
        <v>13791</v>
      </c>
      <c r="B7389" s="1" t="s">
        <v>2628</v>
      </c>
      <c r="C7389" s="1">
        <v>5</v>
      </c>
      <c r="D7389" s="1" t="s">
        <v>34</v>
      </c>
      <c r="E7389" s="1" t="s">
        <v>10</v>
      </c>
      <c r="F7389" s="1" t="s">
        <v>2698</v>
      </c>
      <c r="G7389" s="14" t="s">
        <v>4803</v>
      </c>
      <c r="H7389" s="1" t="s">
        <v>5</v>
      </c>
      <c r="I7389" s="17">
        <v>40179</v>
      </c>
    </row>
    <row r="7390" spans="1:9">
      <c r="A7390" s="16" t="s">
        <v>13792</v>
      </c>
      <c r="B7390" s="1" t="s">
        <v>2628</v>
      </c>
      <c r="C7390" s="1">
        <v>5</v>
      </c>
      <c r="D7390" s="1" t="s">
        <v>34</v>
      </c>
      <c r="E7390" s="1" t="s">
        <v>10</v>
      </c>
      <c r="F7390" s="1" t="s">
        <v>2698</v>
      </c>
      <c r="G7390" s="14" t="s">
        <v>4803</v>
      </c>
      <c r="H7390" s="1" t="s">
        <v>5</v>
      </c>
      <c r="I7390" s="17">
        <v>40179</v>
      </c>
    </row>
    <row r="7391" spans="1:9">
      <c r="A7391" s="16" t="s">
        <v>13794</v>
      </c>
      <c r="B7391" s="1" t="s">
        <v>2628</v>
      </c>
      <c r="C7391" s="1">
        <v>5</v>
      </c>
      <c r="D7391" s="1" t="s">
        <v>34</v>
      </c>
      <c r="E7391" s="1" t="s">
        <v>10</v>
      </c>
      <c r="F7391" s="1" t="s">
        <v>2698</v>
      </c>
      <c r="G7391" s="14" t="s">
        <v>4803</v>
      </c>
      <c r="H7391" s="1" t="s">
        <v>5</v>
      </c>
      <c r="I7391" s="17">
        <v>40179</v>
      </c>
    </row>
    <row r="7392" spans="1:9">
      <c r="A7392" s="16" t="s">
        <v>13795</v>
      </c>
      <c r="B7392" s="1" t="s">
        <v>2628</v>
      </c>
      <c r="C7392" s="1">
        <v>5</v>
      </c>
      <c r="D7392" s="1" t="s">
        <v>34</v>
      </c>
      <c r="E7392" s="1" t="s">
        <v>10</v>
      </c>
      <c r="F7392" s="1" t="s">
        <v>2698</v>
      </c>
      <c r="G7392" s="14" t="s">
        <v>4803</v>
      </c>
      <c r="H7392" s="1" t="s">
        <v>5</v>
      </c>
      <c r="I7392" s="17">
        <v>40179</v>
      </c>
    </row>
    <row r="7393" spans="1:9">
      <c r="A7393" s="16" t="s">
        <v>13809</v>
      </c>
      <c r="B7393" s="1" t="s">
        <v>2628</v>
      </c>
      <c r="C7393" s="1">
        <v>5</v>
      </c>
      <c r="D7393" s="1" t="s">
        <v>34</v>
      </c>
      <c r="E7393" s="1" t="s">
        <v>10</v>
      </c>
      <c r="F7393" s="1" t="s">
        <v>2698</v>
      </c>
      <c r="G7393" s="14" t="s">
        <v>4803</v>
      </c>
      <c r="H7393" s="1" t="s">
        <v>5</v>
      </c>
      <c r="I7393" s="17">
        <v>40179</v>
      </c>
    </row>
    <row r="7394" spans="1:9">
      <c r="A7394" s="16" t="s">
        <v>13810</v>
      </c>
      <c r="B7394" s="1" t="s">
        <v>2628</v>
      </c>
      <c r="C7394" s="1">
        <v>5</v>
      </c>
      <c r="D7394" s="1" t="s">
        <v>34</v>
      </c>
      <c r="E7394" s="1" t="s">
        <v>10</v>
      </c>
      <c r="F7394" s="1" t="s">
        <v>2698</v>
      </c>
      <c r="G7394" s="14" t="s">
        <v>4803</v>
      </c>
      <c r="H7394" s="1" t="s">
        <v>5</v>
      </c>
      <c r="I7394" s="17">
        <v>40179</v>
      </c>
    </row>
    <row r="7395" spans="1:9">
      <c r="A7395" s="16" t="s">
        <v>13811</v>
      </c>
      <c r="B7395" s="1" t="s">
        <v>2628</v>
      </c>
      <c r="C7395" s="1">
        <v>5</v>
      </c>
      <c r="D7395" s="1" t="s">
        <v>34</v>
      </c>
      <c r="E7395" s="1" t="s">
        <v>10</v>
      </c>
      <c r="F7395" s="1" t="s">
        <v>2698</v>
      </c>
      <c r="G7395" s="14" t="s">
        <v>4803</v>
      </c>
      <c r="H7395" s="1" t="s">
        <v>5</v>
      </c>
      <c r="I7395" s="17">
        <v>40179</v>
      </c>
    </row>
    <row r="7396" spans="1:9">
      <c r="A7396" s="16" t="s">
        <v>13816</v>
      </c>
      <c r="B7396" s="1" t="s">
        <v>2628</v>
      </c>
      <c r="C7396" s="1">
        <v>5</v>
      </c>
      <c r="D7396" s="1" t="s">
        <v>34</v>
      </c>
      <c r="E7396" s="1" t="s">
        <v>10</v>
      </c>
      <c r="F7396" s="1" t="s">
        <v>2698</v>
      </c>
      <c r="G7396" s="14" t="s">
        <v>4803</v>
      </c>
      <c r="H7396" s="1" t="s">
        <v>5</v>
      </c>
      <c r="I7396" s="17">
        <v>40179</v>
      </c>
    </row>
    <row r="7397" spans="1:9">
      <c r="A7397" s="16" t="s">
        <v>13833</v>
      </c>
      <c r="B7397" s="1" t="s">
        <v>2628</v>
      </c>
      <c r="C7397" s="1">
        <v>5</v>
      </c>
      <c r="D7397" s="1" t="s">
        <v>34</v>
      </c>
      <c r="E7397" s="1" t="s">
        <v>10</v>
      </c>
      <c r="F7397" s="1" t="s">
        <v>5091</v>
      </c>
      <c r="G7397" s="14" t="s">
        <v>6236</v>
      </c>
      <c r="H7397" s="1" t="s">
        <v>43</v>
      </c>
      <c r="I7397" s="17">
        <v>42005</v>
      </c>
    </row>
    <row r="7398" spans="1:9">
      <c r="A7398" s="16" t="s">
        <v>13834</v>
      </c>
      <c r="B7398" s="1" t="s">
        <v>2628</v>
      </c>
      <c r="C7398" s="1">
        <v>5</v>
      </c>
      <c r="D7398" s="1" t="s">
        <v>34</v>
      </c>
      <c r="E7398" s="1" t="s">
        <v>10</v>
      </c>
      <c r="F7398" s="1" t="s">
        <v>5091</v>
      </c>
      <c r="G7398" s="14" t="s">
        <v>13835</v>
      </c>
      <c r="H7398" s="1" t="s">
        <v>5</v>
      </c>
      <c r="I7398" s="17">
        <v>43066</v>
      </c>
    </row>
    <row r="7399" spans="1:9">
      <c r="A7399" s="16" t="s">
        <v>13836</v>
      </c>
      <c r="B7399" s="1" t="s">
        <v>2628</v>
      </c>
      <c r="C7399" s="1">
        <v>5</v>
      </c>
      <c r="D7399" s="1" t="s">
        <v>34</v>
      </c>
      <c r="E7399" s="1" t="s">
        <v>10</v>
      </c>
      <c r="F7399" s="1" t="s">
        <v>5091</v>
      </c>
      <c r="G7399" s="14" t="s">
        <v>13835</v>
      </c>
      <c r="H7399" s="1" t="s">
        <v>5</v>
      </c>
      <c r="I7399" s="17">
        <v>43066</v>
      </c>
    </row>
    <row r="7400" spans="1:9" ht="31.2">
      <c r="A7400" s="16" t="s">
        <v>13841</v>
      </c>
      <c r="B7400" s="1" t="s">
        <v>2628</v>
      </c>
      <c r="C7400" s="1">
        <v>5</v>
      </c>
      <c r="D7400" s="1" t="s">
        <v>34</v>
      </c>
      <c r="E7400" s="1" t="s">
        <v>10</v>
      </c>
      <c r="F7400" s="1" t="s">
        <v>5091</v>
      </c>
      <c r="G7400" s="14" t="s">
        <v>6145</v>
      </c>
      <c r="H7400" s="1" t="s">
        <v>43</v>
      </c>
      <c r="I7400" s="17">
        <v>38600</v>
      </c>
    </row>
    <row r="7401" spans="1:9">
      <c r="A7401" s="16" t="s">
        <v>13849</v>
      </c>
      <c r="B7401" s="1" t="s">
        <v>2631</v>
      </c>
      <c r="C7401" s="1">
        <v>2384</v>
      </c>
      <c r="D7401" s="1" t="s">
        <v>34</v>
      </c>
      <c r="E7401" s="1" t="s">
        <v>10</v>
      </c>
      <c r="F7401" s="1" t="s">
        <v>5091</v>
      </c>
      <c r="G7401" s="1" t="s">
        <v>6145</v>
      </c>
      <c r="H7401" s="1" t="s">
        <v>43</v>
      </c>
      <c r="I7401" s="17">
        <v>43068</v>
      </c>
    </row>
    <row r="7402" spans="1:9">
      <c r="A7402" s="16" t="s">
        <v>13850</v>
      </c>
      <c r="B7402" s="1" t="s">
        <v>2631</v>
      </c>
      <c r="C7402" s="1">
        <v>2384</v>
      </c>
      <c r="D7402" s="1" t="s">
        <v>34</v>
      </c>
      <c r="E7402" s="1" t="s">
        <v>10</v>
      </c>
      <c r="F7402" s="1" t="s">
        <v>5091</v>
      </c>
      <c r="G7402" s="1" t="s">
        <v>6145</v>
      </c>
      <c r="H7402" s="1" t="s">
        <v>43</v>
      </c>
      <c r="I7402" s="17">
        <v>43068</v>
      </c>
    </row>
    <row r="7403" spans="1:9">
      <c r="A7403" s="16" t="s">
        <v>13851</v>
      </c>
      <c r="B7403" s="1" t="s">
        <v>2631</v>
      </c>
      <c r="C7403" s="1">
        <v>2384</v>
      </c>
      <c r="D7403" s="1" t="s">
        <v>34</v>
      </c>
      <c r="E7403" s="1" t="s">
        <v>10</v>
      </c>
      <c r="F7403" s="1" t="s">
        <v>5091</v>
      </c>
      <c r="G7403" s="1" t="s">
        <v>6145</v>
      </c>
      <c r="H7403" s="1" t="s">
        <v>43</v>
      </c>
      <c r="I7403" s="17">
        <v>43068</v>
      </c>
    </row>
    <row r="7404" spans="1:9">
      <c r="A7404" s="16" t="s">
        <v>13852</v>
      </c>
      <c r="B7404" s="1" t="s">
        <v>2631</v>
      </c>
      <c r="C7404" s="1">
        <v>2384</v>
      </c>
      <c r="D7404" s="1" t="s">
        <v>34</v>
      </c>
      <c r="E7404" s="1" t="s">
        <v>10</v>
      </c>
      <c r="F7404" s="1" t="s">
        <v>5091</v>
      </c>
      <c r="G7404" s="1" t="s">
        <v>6145</v>
      </c>
      <c r="H7404" s="1" t="s">
        <v>43</v>
      </c>
      <c r="I7404" s="17">
        <v>43068</v>
      </c>
    </row>
    <row r="7405" spans="1:9">
      <c r="A7405" s="16" t="s">
        <v>13853</v>
      </c>
      <c r="B7405" s="1" t="s">
        <v>2631</v>
      </c>
      <c r="C7405" s="1">
        <v>2384</v>
      </c>
      <c r="D7405" s="1" t="s">
        <v>34</v>
      </c>
      <c r="E7405" s="1" t="s">
        <v>10</v>
      </c>
      <c r="F7405" s="1" t="s">
        <v>5091</v>
      </c>
      <c r="G7405" s="1" t="s">
        <v>6145</v>
      </c>
      <c r="H7405" s="1" t="s">
        <v>43</v>
      </c>
      <c r="I7405" s="17">
        <v>43068</v>
      </c>
    </row>
    <row r="7406" spans="1:9">
      <c r="A7406" s="16" t="s">
        <v>13854</v>
      </c>
      <c r="B7406" s="1" t="s">
        <v>2631</v>
      </c>
      <c r="C7406" s="1">
        <v>2384</v>
      </c>
      <c r="D7406" s="1" t="s">
        <v>34</v>
      </c>
      <c r="E7406" s="1" t="s">
        <v>10</v>
      </c>
      <c r="F7406" s="1" t="s">
        <v>5091</v>
      </c>
      <c r="G7406" s="1" t="s">
        <v>6145</v>
      </c>
      <c r="H7406" s="1" t="s">
        <v>43</v>
      </c>
      <c r="I7406" s="17">
        <v>43068</v>
      </c>
    </row>
    <row r="7407" spans="1:9">
      <c r="A7407" s="16" t="s">
        <v>13855</v>
      </c>
      <c r="B7407" s="1" t="s">
        <v>2631</v>
      </c>
      <c r="C7407" s="1">
        <v>2384</v>
      </c>
      <c r="D7407" s="1" t="s">
        <v>34</v>
      </c>
      <c r="E7407" s="1" t="s">
        <v>10</v>
      </c>
      <c r="F7407" s="1" t="s">
        <v>5091</v>
      </c>
      <c r="G7407" s="1" t="s">
        <v>6145</v>
      </c>
      <c r="H7407" s="1" t="s">
        <v>43</v>
      </c>
      <c r="I7407" s="17">
        <v>43068</v>
      </c>
    </row>
    <row r="7408" spans="1:9">
      <c r="A7408" s="16" t="s">
        <v>13856</v>
      </c>
      <c r="B7408" s="1" t="s">
        <v>2631</v>
      </c>
      <c r="C7408" s="1">
        <v>2384</v>
      </c>
      <c r="D7408" s="1" t="s">
        <v>34</v>
      </c>
      <c r="E7408" s="1" t="s">
        <v>10</v>
      </c>
      <c r="F7408" s="1" t="s">
        <v>5091</v>
      </c>
      <c r="G7408" s="1" t="s">
        <v>6145</v>
      </c>
      <c r="H7408" s="1" t="s">
        <v>43</v>
      </c>
      <c r="I7408" s="17">
        <v>43068</v>
      </c>
    </row>
    <row r="7409" spans="1:9">
      <c r="A7409" s="16" t="s">
        <v>13862</v>
      </c>
      <c r="B7409" s="1" t="s">
        <v>2628</v>
      </c>
      <c r="C7409" s="1">
        <v>5</v>
      </c>
      <c r="D7409" s="1" t="s">
        <v>34</v>
      </c>
      <c r="E7409" s="1" t="s">
        <v>10</v>
      </c>
      <c r="F7409" s="1" t="s">
        <v>5091</v>
      </c>
      <c r="G7409" s="14" t="s">
        <v>6236</v>
      </c>
      <c r="H7409" s="1" t="s">
        <v>43</v>
      </c>
      <c r="I7409" s="17">
        <v>43101</v>
      </c>
    </row>
    <row r="7410" spans="1:9">
      <c r="A7410" s="16" t="s">
        <v>13865</v>
      </c>
      <c r="B7410" s="1" t="s">
        <v>2628</v>
      </c>
      <c r="C7410" s="1">
        <v>5</v>
      </c>
      <c r="D7410" s="1" t="s">
        <v>34</v>
      </c>
      <c r="E7410" s="1" t="s">
        <v>10</v>
      </c>
      <c r="F7410" s="1" t="s">
        <v>5091</v>
      </c>
      <c r="G7410" s="14" t="s">
        <v>6236</v>
      </c>
      <c r="H7410" s="1" t="s">
        <v>43</v>
      </c>
      <c r="I7410" s="17">
        <v>43101</v>
      </c>
    </row>
    <row r="7411" spans="1:9">
      <c r="A7411" s="16" t="s">
        <v>13866</v>
      </c>
      <c r="B7411" s="1" t="s">
        <v>2628</v>
      </c>
      <c r="C7411" s="1">
        <v>5</v>
      </c>
      <c r="D7411" s="1" t="s">
        <v>34</v>
      </c>
      <c r="E7411" s="1" t="s">
        <v>10</v>
      </c>
      <c r="F7411" s="1" t="s">
        <v>5091</v>
      </c>
      <c r="G7411" s="14" t="s">
        <v>6236</v>
      </c>
      <c r="H7411" s="1" t="s">
        <v>43</v>
      </c>
      <c r="I7411" s="17">
        <v>43101</v>
      </c>
    </row>
    <row r="7412" spans="1:9">
      <c r="A7412" s="16" t="s">
        <v>13869</v>
      </c>
      <c r="B7412" s="1" t="s">
        <v>2631</v>
      </c>
      <c r="C7412" s="1">
        <v>2384</v>
      </c>
      <c r="D7412" s="1" t="s">
        <v>34</v>
      </c>
      <c r="E7412" s="1" t="s">
        <v>10</v>
      </c>
      <c r="F7412" s="1" t="s">
        <v>5091</v>
      </c>
      <c r="G7412" s="1" t="s">
        <v>6145</v>
      </c>
      <c r="H7412" s="1" t="s">
        <v>43</v>
      </c>
      <c r="I7412" s="17">
        <v>43068</v>
      </c>
    </row>
    <row r="7413" spans="1:9">
      <c r="A7413" s="16" t="s">
        <v>13892</v>
      </c>
      <c r="B7413" s="1" t="s">
        <v>2628</v>
      </c>
      <c r="C7413" s="1">
        <v>5</v>
      </c>
      <c r="D7413" s="1" t="s">
        <v>34</v>
      </c>
      <c r="E7413" s="1" t="s">
        <v>10</v>
      </c>
      <c r="F7413" s="1" t="s">
        <v>5091</v>
      </c>
      <c r="G7413" s="14" t="s">
        <v>6238</v>
      </c>
      <c r="H7413" s="1" t="s">
        <v>43</v>
      </c>
      <c r="I7413" s="17">
        <v>43101</v>
      </c>
    </row>
    <row r="7414" spans="1:9">
      <c r="A7414" s="16" t="s">
        <v>13894</v>
      </c>
      <c r="B7414" s="1" t="s">
        <v>2628</v>
      </c>
      <c r="C7414" s="1">
        <v>1093</v>
      </c>
      <c r="D7414" s="1" t="s">
        <v>34</v>
      </c>
      <c r="E7414" s="1" t="s">
        <v>10</v>
      </c>
      <c r="F7414" s="1" t="s">
        <v>5091</v>
      </c>
      <c r="G7414" s="14" t="s">
        <v>6236</v>
      </c>
      <c r="H7414" s="1" t="s">
        <v>43</v>
      </c>
      <c r="I7414" s="17">
        <v>43101</v>
      </c>
    </row>
    <row r="7415" spans="1:9">
      <c r="A7415" s="16" t="s">
        <v>13895</v>
      </c>
      <c r="B7415" s="1" t="s">
        <v>2628</v>
      </c>
      <c r="C7415" s="1">
        <v>1093</v>
      </c>
      <c r="D7415" s="1" t="s">
        <v>34</v>
      </c>
      <c r="E7415" s="1" t="s">
        <v>10</v>
      </c>
      <c r="F7415" s="1" t="s">
        <v>5091</v>
      </c>
      <c r="G7415" s="14" t="s">
        <v>6238</v>
      </c>
      <c r="H7415" s="1" t="s">
        <v>43</v>
      </c>
      <c r="I7415" s="17">
        <v>43101</v>
      </c>
    </row>
    <row r="7416" spans="1:9">
      <c r="A7416" s="16" t="s">
        <v>13896</v>
      </c>
      <c r="B7416" s="1" t="s">
        <v>2628</v>
      </c>
      <c r="C7416" s="1">
        <v>5</v>
      </c>
      <c r="D7416" s="1" t="s">
        <v>34</v>
      </c>
      <c r="E7416" s="1" t="s">
        <v>10</v>
      </c>
      <c r="F7416" s="1" t="s">
        <v>5091</v>
      </c>
      <c r="G7416" s="14" t="s">
        <v>6236</v>
      </c>
      <c r="H7416" s="1" t="s">
        <v>43</v>
      </c>
      <c r="I7416" s="17">
        <v>43101</v>
      </c>
    </row>
    <row r="7417" spans="1:9">
      <c r="A7417" s="16" t="s">
        <v>13897</v>
      </c>
      <c r="B7417" s="1" t="s">
        <v>2628</v>
      </c>
      <c r="C7417" s="1">
        <v>5</v>
      </c>
      <c r="D7417" s="1" t="s">
        <v>34</v>
      </c>
      <c r="E7417" s="1" t="s">
        <v>10</v>
      </c>
      <c r="F7417" s="1" t="s">
        <v>5091</v>
      </c>
      <c r="G7417" s="14" t="s">
        <v>6145</v>
      </c>
      <c r="H7417" s="1" t="s">
        <v>43</v>
      </c>
      <c r="I7417" s="17">
        <v>43068</v>
      </c>
    </row>
    <row r="7418" spans="1:9">
      <c r="A7418" s="16" t="s">
        <v>13898</v>
      </c>
      <c r="B7418" s="1" t="s">
        <v>2628</v>
      </c>
      <c r="C7418" s="1">
        <v>5</v>
      </c>
      <c r="D7418" s="1" t="s">
        <v>34</v>
      </c>
      <c r="E7418" s="1" t="s">
        <v>10</v>
      </c>
      <c r="F7418" s="1" t="s">
        <v>5091</v>
      </c>
      <c r="G7418" s="14" t="s">
        <v>6145</v>
      </c>
      <c r="H7418" s="1" t="s">
        <v>43</v>
      </c>
      <c r="I7418" s="17">
        <v>43068</v>
      </c>
    </row>
    <row r="7419" spans="1:9">
      <c r="A7419" s="16" t="s">
        <v>13899</v>
      </c>
      <c r="B7419" s="1" t="s">
        <v>2628</v>
      </c>
      <c r="C7419" s="1">
        <v>1675</v>
      </c>
      <c r="D7419" s="1" t="s">
        <v>34</v>
      </c>
      <c r="E7419" s="1" t="s">
        <v>10</v>
      </c>
      <c r="F7419" s="1" t="s">
        <v>5091</v>
      </c>
      <c r="G7419" s="14" t="s">
        <v>6145</v>
      </c>
      <c r="H7419" s="1" t="s">
        <v>43</v>
      </c>
      <c r="I7419" s="17">
        <v>43109</v>
      </c>
    </row>
    <row r="7420" spans="1:9">
      <c r="A7420" s="16" t="s">
        <v>13900</v>
      </c>
      <c r="B7420" s="1" t="s">
        <v>2628</v>
      </c>
      <c r="C7420" s="1">
        <v>1675</v>
      </c>
      <c r="D7420" s="1" t="s">
        <v>34</v>
      </c>
      <c r="E7420" s="1" t="s">
        <v>10</v>
      </c>
      <c r="F7420" s="1" t="s">
        <v>5091</v>
      </c>
      <c r="G7420" s="14" t="s">
        <v>6145</v>
      </c>
      <c r="H7420" s="1" t="s">
        <v>43</v>
      </c>
      <c r="I7420" s="17">
        <v>43109</v>
      </c>
    </row>
    <row r="7421" spans="1:9">
      <c r="A7421" s="16" t="s">
        <v>13901</v>
      </c>
      <c r="B7421" s="1" t="s">
        <v>2628</v>
      </c>
      <c r="C7421" s="1">
        <v>5</v>
      </c>
      <c r="D7421" s="1" t="s">
        <v>34</v>
      </c>
      <c r="E7421" s="1" t="s">
        <v>10</v>
      </c>
      <c r="F7421" s="1" t="s">
        <v>5091</v>
      </c>
      <c r="G7421" s="14" t="s">
        <v>6145</v>
      </c>
      <c r="H7421" s="1" t="s">
        <v>43</v>
      </c>
      <c r="I7421" s="17">
        <v>43067</v>
      </c>
    </row>
    <row r="7422" spans="1:9">
      <c r="A7422" s="16" t="s">
        <v>13913</v>
      </c>
      <c r="B7422" s="1" t="s">
        <v>2628</v>
      </c>
      <c r="C7422" s="1">
        <v>5</v>
      </c>
      <c r="D7422" s="1" t="s">
        <v>34</v>
      </c>
      <c r="E7422" s="1" t="s">
        <v>10</v>
      </c>
      <c r="F7422" s="1" t="s">
        <v>5091</v>
      </c>
      <c r="G7422" s="14" t="s">
        <v>6145</v>
      </c>
      <c r="H7422" s="1" t="s">
        <v>43</v>
      </c>
      <c r="I7422" s="17">
        <v>43067</v>
      </c>
    </row>
    <row r="7423" spans="1:9">
      <c r="A7423" s="16" t="s">
        <v>13916</v>
      </c>
      <c r="B7423" s="1" t="s">
        <v>2628</v>
      </c>
      <c r="C7423" s="1">
        <v>5</v>
      </c>
      <c r="D7423" s="1" t="s">
        <v>34</v>
      </c>
      <c r="E7423" s="1" t="s">
        <v>10</v>
      </c>
      <c r="F7423" s="1" t="s">
        <v>5091</v>
      </c>
      <c r="G7423" s="14" t="s">
        <v>4458</v>
      </c>
      <c r="H7423" s="1" t="s">
        <v>118</v>
      </c>
      <c r="I7423" s="1" t="s">
        <v>4458</v>
      </c>
    </row>
    <row r="7424" spans="1:9">
      <c r="A7424" s="16" t="s">
        <v>13967</v>
      </c>
      <c r="B7424" s="1" t="s">
        <v>2628</v>
      </c>
      <c r="C7424" s="1">
        <v>5</v>
      </c>
      <c r="D7424" s="1" t="s">
        <v>34</v>
      </c>
      <c r="E7424" s="1" t="s">
        <v>10</v>
      </c>
      <c r="F7424" s="1" t="s">
        <v>5033</v>
      </c>
      <c r="G7424" s="14" t="s">
        <v>13968</v>
      </c>
      <c r="H7424" s="1" t="s">
        <v>5</v>
      </c>
      <c r="I7424" s="17">
        <v>38325</v>
      </c>
    </row>
    <row r="7425" spans="1:9">
      <c r="A7425" s="16" t="s">
        <v>13969</v>
      </c>
      <c r="B7425" s="1" t="s">
        <v>2628</v>
      </c>
      <c r="C7425" s="1">
        <v>5</v>
      </c>
      <c r="D7425" s="1" t="s">
        <v>34</v>
      </c>
      <c r="E7425" s="1" t="s">
        <v>10</v>
      </c>
      <c r="F7425" s="1" t="s">
        <v>5091</v>
      </c>
      <c r="G7425" s="14" t="s">
        <v>13970</v>
      </c>
      <c r="H7425" s="1" t="s">
        <v>5</v>
      </c>
      <c r="I7425" s="17">
        <v>37683</v>
      </c>
    </row>
    <row r="7426" spans="1:9">
      <c r="A7426" s="16" t="s">
        <v>13980</v>
      </c>
      <c r="B7426" s="1" t="s">
        <v>2628</v>
      </c>
      <c r="C7426" s="1">
        <v>5</v>
      </c>
      <c r="D7426" s="1" t="s">
        <v>34</v>
      </c>
      <c r="E7426" s="1" t="s">
        <v>10</v>
      </c>
      <c r="F7426" s="1" t="s">
        <v>5091</v>
      </c>
      <c r="G7426" s="14" t="s">
        <v>6145</v>
      </c>
      <c r="H7426" s="1" t="s">
        <v>43</v>
      </c>
      <c r="I7426" s="17">
        <v>43101</v>
      </c>
    </row>
    <row r="7427" spans="1:9">
      <c r="A7427" s="16" t="s">
        <v>13981</v>
      </c>
      <c r="B7427" s="1" t="s">
        <v>2628</v>
      </c>
      <c r="C7427" s="1">
        <v>5</v>
      </c>
      <c r="D7427" s="1" t="s">
        <v>34</v>
      </c>
      <c r="E7427" s="1" t="s">
        <v>10</v>
      </c>
      <c r="F7427" s="1" t="s">
        <v>5091</v>
      </c>
      <c r="G7427" s="14" t="s">
        <v>6145</v>
      </c>
      <c r="H7427" s="1" t="s">
        <v>43</v>
      </c>
      <c r="I7427" s="17">
        <v>42005</v>
      </c>
    </row>
    <row r="7428" spans="1:9">
      <c r="A7428" s="16" t="s">
        <v>13982</v>
      </c>
      <c r="B7428" s="1" t="s">
        <v>2628</v>
      </c>
      <c r="C7428" s="1">
        <v>5</v>
      </c>
      <c r="D7428" s="1" t="s">
        <v>34</v>
      </c>
      <c r="E7428" s="1" t="s">
        <v>10</v>
      </c>
      <c r="F7428" s="1" t="s">
        <v>5091</v>
      </c>
      <c r="G7428" s="14" t="s">
        <v>6145</v>
      </c>
      <c r="H7428" s="1" t="s">
        <v>43</v>
      </c>
      <c r="I7428" s="17">
        <v>42005</v>
      </c>
    </row>
    <row r="7429" spans="1:9">
      <c r="A7429" s="16" t="s">
        <v>13983</v>
      </c>
      <c r="B7429" s="1" t="s">
        <v>2628</v>
      </c>
      <c r="C7429" s="1">
        <v>5</v>
      </c>
      <c r="D7429" s="1" t="s">
        <v>34</v>
      </c>
      <c r="E7429" s="1" t="s">
        <v>10</v>
      </c>
      <c r="F7429" s="1" t="s">
        <v>5091</v>
      </c>
      <c r="G7429" s="14" t="s">
        <v>6145</v>
      </c>
      <c r="H7429" s="1" t="s">
        <v>43</v>
      </c>
      <c r="I7429" s="17">
        <v>42005</v>
      </c>
    </row>
    <row r="7430" spans="1:9">
      <c r="A7430" s="16" t="s">
        <v>13985</v>
      </c>
      <c r="B7430" s="1" t="s">
        <v>2628</v>
      </c>
      <c r="C7430" s="1">
        <v>5</v>
      </c>
      <c r="D7430" s="1" t="s">
        <v>34</v>
      </c>
      <c r="E7430" s="1" t="s">
        <v>10</v>
      </c>
      <c r="F7430" s="1" t="s">
        <v>5091</v>
      </c>
      <c r="G7430" s="14" t="s">
        <v>6145</v>
      </c>
      <c r="H7430" s="1" t="s">
        <v>43</v>
      </c>
      <c r="I7430" s="17">
        <v>42005</v>
      </c>
    </row>
    <row r="7431" spans="1:9">
      <c r="A7431" s="16" t="s">
        <v>13986</v>
      </c>
      <c r="B7431" s="1" t="s">
        <v>2628</v>
      </c>
      <c r="C7431" s="1">
        <v>5</v>
      </c>
      <c r="D7431" s="1" t="s">
        <v>34</v>
      </c>
      <c r="E7431" s="1" t="s">
        <v>10</v>
      </c>
      <c r="F7431" s="1" t="s">
        <v>5091</v>
      </c>
      <c r="G7431" s="14" t="s">
        <v>6145</v>
      </c>
      <c r="H7431" s="1" t="s">
        <v>43</v>
      </c>
      <c r="I7431" s="17">
        <v>43101</v>
      </c>
    </row>
    <row r="7432" spans="1:9">
      <c r="A7432" s="16" t="s">
        <v>13987</v>
      </c>
      <c r="B7432" s="1" t="s">
        <v>2628</v>
      </c>
      <c r="C7432" s="1">
        <v>5</v>
      </c>
      <c r="D7432" s="1" t="s">
        <v>34</v>
      </c>
      <c r="E7432" s="1" t="s">
        <v>10</v>
      </c>
      <c r="F7432" s="1" t="s">
        <v>5091</v>
      </c>
      <c r="G7432" s="14" t="s">
        <v>6145</v>
      </c>
      <c r="H7432" s="1" t="s">
        <v>43</v>
      </c>
      <c r="I7432" s="17">
        <v>43101</v>
      </c>
    </row>
    <row r="7433" spans="1:9">
      <c r="A7433" s="16" t="s">
        <v>13988</v>
      </c>
      <c r="B7433" s="1" t="s">
        <v>2628</v>
      </c>
      <c r="C7433" s="1">
        <v>5</v>
      </c>
      <c r="D7433" s="1" t="s">
        <v>34</v>
      </c>
      <c r="E7433" s="1" t="s">
        <v>10</v>
      </c>
      <c r="F7433" s="1" t="s">
        <v>5091</v>
      </c>
      <c r="G7433" s="14" t="s">
        <v>6145</v>
      </c>
      <c r="H7433" s="1" t="s">
        <v>43</v>
      </c>
      <c r="I7433" s="17">
        <v>42005</v>
      </c>
    </row>
    <row r="7434" spans="1:9">
      <c r="A7434" s="16" t="s">
        <v>13989</v>
      </c>
      <c r="B7434" s="1" t="s">
        <v>2628</v>
      </c>
      <c r="C7434" s="1">
        <v>5</v>
      </c>
      <c r="D7434" s="1" t="s">
        <v>34</v>
      </c>
      <c r="E7434" s="1" t="s">
        <v>10</v>
      </c>
      <c r="F7434" s="1" t="s">
        <v>5091</v>
      </c>
      <c r="G7434" s="14" t="s">
        <v>6145</v>
      </c>
      <c r="H7434" s="1" t="s">
        <v>43</v>
      </c>
      <c r="I7434" s="17">
        <v>43101</v>
      </c>
    </row>
    <row r="7435" spans="1:9">
      <c r="A7435" s="16" t="s">
        <v>13990</v>
      </c>
      <c r="B7435" s="1" t="s">
        <v>2628</v>
      </c>
      <c r="C7435" s="1">
        <v>5</v>
      </c>
      <c r="D7435" s="1" t="s">
        <v>34</v>
      </c>
      <c r="E7435" s="1" t="s">
        <v>10</v>
      </c>
      <c r="F7435" s="1" t="s">
        <v>5091</v>
      </c>
      <c r="G7435" s="14" t="s">
        <v>6145</v>
      </c>
      <c r="H7435" s="1" t="s">
        <v>43</v>
      </c>
      <c r="I7435" s="17">
        <v>43101</v>
      </c>
    </row>
    <row r="7436" spans="1:9">
      <c r="A7436" s="16" t="s">
        <v>13995</v>
      </c>
      <c r="B7436" s="1" t="s">
        <v>2631</v>
      </c>
      <c r="C7436" s="1">
        <v>2384</v>
      </c>
      <c r="D7436" s="1" t="s">
        <v>34</v>
      </c>
      <c r="E7436" s="1" t="s">
        <v>10</v>
      </c>
      <c r="F7436" s="1" t="s">
        <v>5091</v>
      </c>
      <c r="G7436" s="1" t="s">
        <v>6145</v>
      </c>
      <c r="H7436" s="1" t="s">
        <v>43</v>
      </c>
      <c r="I7436" s="17">
        <v>43068</v>
      </c>
    </row>
    <row r="7437" spans="1:9">
      <c r="A7437" s="16" t="s">
        <v>13997</v>
      </c>
      <c r="B7437" s="1" t="s">
        <v>2628</v>
      </c>
      <c r="C7437" s="1">
        <v>5</v>
      </c>
      <c r="D7437" s="1" t="s">
        <v>34</v>
      </c>
      <c r="E7437" s="1" t="s">
        <v>10</v>
      </c>
      <c r="F7437" s="1" t="s">
        <v>5091</v>
      </c>
      <c r="G7437" s="14" t="s">
        <v>6145</v>
      </c>
      <c r="H7437" s="1" t="s">
        <v>43</v>
      </c>
      <c r="I7437" s="17">
        <v>40883</v>
      </c>
    </row>
    <row r="7438" spans="1:9">
      <c r="A7438" s="16" t="s">
        <v>14005</v>
      </c>
      <c r="B7438" s="1" t="s">
        <v>2628</v>
      </c>
      <c r="C7438" s="1">
        <v>5</v>
      </c>
      <c r="D7438" s="1" t="s">
        <v>34</v>
      </c>
      <c r="E7438" s="1" t="s">
        <v>10</v>
      </c>
      <c r="F7438" s="1" t="s">
        <v>5091</v>
      </c>
      <c r="G7438" s="14" t="s">
        <v>13993</v>
      </c>
      <c r="H7438" s="1" t="s">
        <v>43</v>
      </c>
      <c r="I7438" s="17">
        <v>37257</v>
      </c>
    </row>
    <row r="7439" spans="1:9">
      <c r="A7439" s="16" t="s">
        <v>14043</v>
      </c>
      <c r="B7439" s="1" t="s">
        <v>2628</v>
      </c>
      <c r="C7439" s="1">
        <v>5</v>
      </c>
      <c r="D7439" s="1" t="s">
        <v>34</v>
      </c>
      <c r="E7439" s="1" t="s">
        <v>10</v>
      </c>
      <c r="F7439" s="1" t="s">
        <v>5091</v>
      </c>
      <c r="G7439" s="14" t="s">
        <v>6145</v>
      </c>
      <c r="H7439" s="1" t="s">
        <v>43</v>
      </c>
      <c r="I7439" s="17">
        <v>43153</v>
      </c>
    </row>
    <row r="7440" spans="1:9">
      <c r="A7440" s="16" t="s">
        <v>14047</v>
      </c>
      <c r="B7440" s="1" t="s">
        <v>2628</v>
      </c>
      <c r="C7440" s="1">
        <v>5</v>
      </c>
      <c r="D7440" s="1" t="s">
        <v>34</v>
      </c>
      <c r="E7440" s="1" t="s">
        <v>10</v>
      </c>
      <c r="F7440" s="1" t="s">
        <v>5091</v>
      </c>
      <c r="G7440" s="14" t="s">
        <v>6145</v>
      </c>
      <c r="H7440" s="1" t="s">
        <v>43</v>
      </c>
      <c r="I7440" s="17">
        <v>43153</v>
      </c>
    </row>
    <row r="7441" spans="1:9">
      <c r="A7441" s="16" t="s">
        <v>14061</v>
      </c>
      <c r="B7441" s="1" t="s">
        <v>2628</v>
      </c>
      <c r="C7441" s="1">
        <v>5</v>
      </c>
      <c r="D7441" s="1" t="s">
        <v>34</v>
      </c>
      <c r="E7441" s="1" t="s">
        <v>10</v>
      </c>
      <c r="F7441" s="1" t="s">
        <v>5091</v>
      </c>
      <c r="G7441" s="14" t="s">
        <v>9561</v>
      </c>
      <c r="H7441" s="1" t="s">
        <v>5</v>
      </c>
      <c r="I7441" s="17">
        <v>36342</v>
      </c>
    </row>
    <row r="7442" spans="1:9">
      <c r="A7442" s="16" t="s">
        <v>14069</v>
      </c>
      <c r="B7442" s="1" t="s">
        <v>2631</v>
      </c>
      <c r="C7442" s="1">
        <v>5</v>
      </c>
      <c r="D7442" s="1" t="s">
        <v>34</v>
      </c>
      <c r="E7442" s="1" t="s">
        <v>10</v>
      </c>
      <c r="F7442" s="1" t="s">
        <v>5091</v>
      </c>
      <c r="G7442" s="1" t="s">
        <v>6145</v>
      </c>
      <c r="H7442" s="1" t="s">
        <v>43</v>
      </c>
      <c r="I7442" s="17">
        <v>43101</v>
      </c>
    </row>
    <row r="7443" spans="1:9">
      <c r="A7443" s="16" t="s">
        <v>14070</v>
      </c>
      <c r="B7443" s="1" t="s">
        <v>2628</v>
      </c>
      <c r="C7443" s="1">
        <v>5</v>
      </c>
      <c r="D7443" s="1" t="s">
        <v>34</v>
      </c>
      <c r="E7443" s="1" t="s">
        <v>10</v>
      </c>
      <c r="F7443" s="1" t="s">
        <v>5091</v>
      </c>
      <c r="G7443" s="14" t="s">
        <v>6145</v>
      </c>
      <c r="H7443" s="1" t="s">
        <v>43</v>
      </c>
      <c r="I7443" s="17">
        <v>43101</v>
      </c>
    </row>
    <row r="7444" spans="1:9">
      <c r="A7444" s="16" t="s">
        <v>14072</v>
      </c>
      <c r="B7444" s="1" t="s">
        <v>2631</v>
      </c>
      <c r="C7444" s="1">
        <v>5</v>
      </c>
      <c r="D7444" s="1" t="s">
        <v>34</v>
      </c>
      <c r="E7444" s="1" t="s">
        <v>10</v>
      </c>
      <c r="F7444" s="1" t="s">
        <v>5091</v>
      </c>
      <c r="G7444" s="1" t="s">
        <v>6145</v>
      </c>
      <c r="H7444" s="1" t="s">
        <v>43</v>
      </c>
      <c r="I7444" s="17">
        <v>43101</v>
      </c>
    </row>
    <row r="7445" spans="1:9">
      <c r="A7445" s="16" t="s">
        <v>14073</v>
      </c>
      <c r="B7445" s="1" t="s">
        <v>2628</v>
      </c>
      <c r="C7445" s="1">
        <v>5</v>
      </c>
      <c r="D7445" s="1" t="s">
        <v>34</v>
      </c>
      <c r="E7445" s="1" t="s">
        <v>10</v>
      </c>
      <c r="F7445" s="1" t="s">
        <v>5091</v>
      </c>
      <c r="G7445" s="14" t="s">
        <v>6145</v>
      </c>
      <c r="H7445" s="1" t="s">
        <v>43</v>
      </c>
      <c r="I7445" s="17">
        <v>43101</v>
      </c>
    </row>
    <row r="7446" spans="1:9">
      <c r="A7446" s="16" t="s">
        <v>14086</v>
      </c>
      <c r="B7446" s="1" t="s">
        <v>2628</v>
      </c>
      <c r="C7446" s="1">
        <v>5</v>
      </c>
      <c r="D7446" s="1" t="s">
        <v>34</v>
      </c>
      <c r="E7446" s="1" t="s">
        <v>10</v>
      </c>
      <c r="F7446" s="1" t="s">
        <v>2701</v>
      </c>
      <c r="G7446" s="14" t="s">
        <v>4458</v>
      </c>
      <c r="H7446" s="1" t="s">
        <v>118</v>
      </c>
      <c r="I7446" s="1" t="s">
        <v>4458</v>
      </c>
    </row>
    <row r="7447" spans="1:9">
      <c r="A7447" s="16" t="s">
        <v>14101</v>
      </c>
      <c r="B7447" s="1" t="s">
        <v>2628</v>
      </c>
      <c r="C7447" s="1">
        <v>5</v>
      </c>
      <c r="D7447" s="1" t="s">
        <v>34</v>
      </c>
      <c r="E7447" s="1" t="s">
        <v>10</v>
      </c>
      <c r="F7447" s="1" t="s">
        <v>5091</v>
      </c>
      <c r="G7447" s="14" t="s">
        <v>14102</v>
      </c>
      <c r="H7447" s="1" t="s">
        <v>5</v>
      </c>
      <c r="I7447" s="17">
        <v>38574</v>
      </c>
    </row>
    <row r="7448" spans="1:9">
      <c r="A7448" s="16" t="s">
        <v>14169</v>
      </c>
      <c r="B7448" s="1" t="s">
        <v>2628</v>
      </c>
      <c r="C7448" s="1">
        <v>5</v>
      </c>
      <c r="D7448" s="1" t="s">
        <v>34</v>
      </c>
      <c r="E7448" s="1" t="s">
        <v>10</v>
      </c>
      <c r="F7448" s="1" t="s">
        <v>5091</v>
      </c>
      <c r="G7448" s="14" t="s">
        <v>6236</v>
      </c>
      <c r="H7448" s="1" t="s">
        <v>43</v>
      </c>
      <c r="I7448" s="17">
        <v>43101</v>
      </c>
    </row>
    <row r="7449" spans="1:9">
      <c r="A7449" s="16" t="s">
        <v>14183</v>
      </c>
      <c r="B7449" s="1" t="s">
        <v>2628</v>
      </c>
      <c r="C7449" s="1">
        <v>5</v>
      </c>
      <c r="D7449" s="1" t="s">
        <v>34</v>
      </c>
      <c r="E7449" s="1" t="s">
        <v>10</v>
      </c>
      <c r="F7449" s="1" t="s">
        <v>5091</v>
      </c>
      <c r="G7449" s="14" t="s">
        <v>6145</v>
      </c>
      <c r="H7449" s="1" t="s">
        <v>43</v>
      </c>
      <c r="I7449" s="17">
        <v>40705</v>
      </c>
    </row>
    <row r="7450" spans="1:9">
      <c r="A7450" s="16" t="s">
        <v>14185</v>
      </c>
      <c r="B7450" s="1" t="s">
        <v>2628</v>
      </c>
      <c r="C7450" s="1">
        <v>5</v>
      </c>
      <c r="D7450" s="1" t="s">
        <v>34</v>
      </c>
      <c r="E7450" s="1" t="s">
        <v>10</v>
      </c>
      <c r="F7450" s="1" t="s">
        <v>5091</v>
      </c>
      <c r="G7450" s="14" t="s">
        <v>6145</v>
      </c>
      <c r="H7450" s="1" t="s">
        <v>43</v>
      </c>
      <c r="I7450" s="17">
        <v>40705</v>
      </c>
    </row>
    <row r="7451" spans="1:9">
      <c r="A7451" s="16" t="s">
        <v>14187</v>
      </c>
      <c r="B7451" s="1" t="s">
        <v>2628</v>
      </c>
      <c r="C7451" s="1">
        <v>5</v>
      </c>
      <c r="D7451" s="1" t="s">
        <v>34</v>
      </c>
      <c r="E7451" s="1" t="s">
        <v>10</v>
      </c>
      <c r="F7451" s="1" t="s">
        <v>5091</v>
      </c>
      <c r="G7451" s="14" t="s">
        <v>6145</v>
      </c>
      <c r="H7451" s="1" t="s">
        <v>43</v>
      </c>
      <c r="I7451" s="17">
        <v>40705</v>
      </c>
    </row>
    <row r="7452" spans="1:9">
      <c r="A7452" s="16" t="s">
        <v>14188</v>
      </c>
      <c r="B7452" s="1" t="s">
        <v>2628</v>
      </c>
      <c r="C7452" s="1">
        <v>5</v>
      </c>
      <c r="D7452" s="1" t="s">
        <v>34</v>
      </c>
      <c r="E7452" s="1" t="s">
        <v>10</v>
      </c>
      <c r="F7452" s="1" t="s">
        <v>5091</v>
      </c>
      <c r="G7452" s="14" t="s">
        <v>6145</v>
      </c>
      <c r="H7452" s="1" t="s">
        <v>43</v>
      </c>
      <c r="I7452" s="17">
        <v>40705</v>
      </c>
    </row>
    <row r="7453" spans="1:9">
      <c r="A7453" s="16" t="s">
        <v>14189</v>
      </c>
      <c r="B7453" s="1" t="s">
        <v>2628</v>
      </c>
      <c r="C7453" s="1">
        <v>5</v>
      </c>
      <c r="D7453" s="1" t="s">
        <v>34</v>
      </c>
      <c r="E7453" s="1" t="s">
        <v>10</v>
      </c>
      <c r="F7453" s="1" t="s">
        <v>5091</v>
      </c>
      <c r="G7453" s="14" t="s">
        <v>6145</v>
      </c>
      <c r="H7453" s="1" t="s">
        <v>43</v>
      </c>
      <c r="I7453" s="17">
        <v>40705</v>
      </c>
    </row>
    <row r="7454" spans="1:9" ht="31.2">
      <c r="A7454" s="16" t="s">
        <v>14212</v>
      </c>
      <c r="B7454" s="1" t="s">
        <v>2628</v>
      </c>
      <c r="C7454" s="1">
        <v>5</v>
      </c>
      <c r="D7454" s="1" t="s">
        <v>34</v>
      </c>
      <c r="E7454" s="1" t="s">
        <v>10</v>
      </c>
      <c r="F7454" s="1" t="s">
        <v>5091</v>
      </c>
      <c r="G7454" s="14" t="s">
        <v>6145</v>
      </c>
      <c r="H7454" s="1" t="s">
        <v>43</v>
      </c>
      <c r="I7454" s="17">
        <v>43196</v>
      </c>
    </row>
    <row r="7455" spans="1:9">
      <c r="A7455" s="16" t="s">
        <v>14213</v>
      </c>
      <c r="B7455" s="1" t="s">
        <v>2628</v>
      </c>
      <c r="C7455" s="1">
        <v>5</v>
      </c>
      <c r="D7455" s="1" t="s">
        <v>34</v>
      </c>
      <c r="E7455" s="1" t="s">
        <v>10</v>
      </c>
      <c r="F7455" s="1" t="s">
        <v>5091</v>
      </c>
      <c r="G7455" s="14" t="s">
        <v>6236</v>
      </c>
      <c r="H7455" s="1" t="s">
        <v>43</v>
      </c>
      <c r="I7455" s="17">
        <v>43101</v>
      </c>
    </row>
    <row r="7456" spans="1:9">
      <c r="A7456" s="16" t="s">
        <v>14215</v>
      </c>
      <c r="B7456" s="1" t="s">
        <v>2631</v>
      </c>
      <c r="C7456" s="1">
        <v>5</v>
      </c>
      <c r="D7456" s="1" t="s">
        <v>34</v>
      </c>
      <c r="E7456" s="1" t="s">
        <v>10</v>
      </c>
      <c r="F7456" s="1" t="s">
        <v>118</v>
      </c>
      <c r="G7456" s="14" t="s">
        <v>4458</v>
      </c>
      <c r="H7456" s="1" t="s">
        <v>118</v>
      </c>
      <c r="I7456" s="1" t="s">
        <v>4792</v>
      </c>
    </row>
    <row r="7457" spans="1:9">
      <c r="A7457" s="16" t="s">
        <v>14352</v>
      </c>
      <c r="B7457" s="1" t="s">
        <v>2628</v>
      </c>
      <c r="C7457" s="1">
        <v>5</v>
      </c>
      <c r="D7457" s="1" t="s">
        <v>34</v>
      </c>
      <c r="E7457" s="1" t="s">
        <v>10</v>
      </c>
      <c r="F7457" s="1" t="s">
        <v>5091</v>
      </c>
      <c r="G7457" s="14" t="s">
        <v>14353</v>
      </c>
      <c r="H7457" s="1" t="s">
        <v>5</v>
      </c>
      <c r="I7457" s="17">
        <v>43186</v>
      </c>
    </row>
    <row r="7458" spans="1:9">
      <c r="A7458" s="16" t="s">
        <v>14354</v>
      </c>
      <c r="B7458" s="1" t="s">
        <v>2628</v>
      </c>
      <c r="C7458" s="1">
        <v>5</v>
      </c>
      <c r="D7458" s="1" t="s">
        <v>34</v>
      </c>
      <c r="E7458" s="1" t="s">
        <v>10</v>
      </c>
      <c r="F7458" s="1" t="s">
        <v>5091</v>
      </c>
      <c r="G7458" s="14" t="s">
        <v>14355</v>
      </c>
      <c r="H7458" s="1" t="s">
        <v>5</v>
      </c>
      <c r="I7458" s="17">
        <v>36220</v>
      </c>
    </row>
    <row r="7459" spans="1:9">
      <c r="A7459" s="16" t="s">
        <v>14356</v>
      </c>
      <c r="B7459" s="1" t="s">
        <v>2628</v>
      </c>
      <c r="C7459" s="1">
        <v>5</v>
      </c>
      <c r="D7459" s="1" t="s">
        <v>34</v>
      </c>
      <c r="E7459" s="1" t="s">
        <v>10</v>
      </c>
      <c r="F7459" s="1" t="s">
        <v>5091</v>
      </c>
      <c r="G7459" s="14" t="s">
        <v>6477</v>
      </c>
      <c r="H7459" s="1" t="s">
        <v>5</v>
      </c>
      <c r="I7459" s="17">
        <v>43186</v>
      </c>
    </row>
    <row r="7460" spans="1:9">
      <c r="A7460" s="16" t="s">
        <v>14358</v>
      </c>
      <c r="B7460" s="1" t="s">
        <v>2628</v>
      </c>
      <c r="C7460" s="1">
        <v>5</v>
      </c>
      <c r="D7460" s="1" t="s">
        <v>34</v>
      </c>
      <c r="E7460" s="1" t="s">
        <v>10</v>
      </c>
      <c r="F7460" s="1" t="s">
        <v>5091</v>
      </c>
      <c r="G7460" s="14" t="s">
        <v>4458</v>
      </c>
      <c r="H7460" s="1" t="s">
        <v>118</v>
      </c>
      <c r="I7460" s="1" t="s">
        <v>4458</v>
      </c>
    </row>
    <row r="7461" spans="1:9">
      <c r="A7461" s="16" t="s">
        <v>14371</v>
      </c>
      <c r="B7461" s="1" t="s">
        <v>2628</v>
      </c>
      <c r="C7461" s="1">
        <v>5</v>
      </c>
      <c r="D7461" s="1" t="s">
        <v>34</v>
      </c>
      <c r="E7461" s="1" t="s">
        <v>10</v>
      </c>
      <c r="F7461" s="1" t="s">
        <v>5091</v>
      </c>
      <c r="G7461" s="14" t="s">
        <v>4458</v>
      </c>
      <c r="H7461" s="1" t="s">
        <v>118</v>
      </c>
      <c r="I7461" s="1" t="s">
        <v>4458</v>
      </c>
    </row>
    <row r="7462" spans="1:9">
      <c r="A7462" s="16" t="s">
        <v>14392</v>
      </c>
      <c r="B7462" s="1" t="s">
        <v>2628</v>
      </c>
      <c r="C7462" s="1">
        <v>5</v>
      </c>
      <c r="D7462" s="1" t="s">
        <v>34</v>
      </c>
      <c r="E7462" s="1" t="s">
        <v>10</v>
      </c>
      <c r="F7462" s="1" t="s">
        <v>5091</v>
      </c>
      <c r="G7462" s="14" t="s">
        <v>6477</v>
      </c>
      <c r="H7462" s="1" t="s">
        <v>5</v>
      </c>
      <c r="I7462" s="17">
        <v>43166</v>
      </c>
    </row>
    <row r="7463" spans="1:9">
      <c r="A7463" s="16" t="s">
        <v>14427</v>
      </c>
      <c r="B7463" s="1" t="s">
        <v>2628</v>
      </c>
      <c r="C7463" s="1">
        <v>5</v>
      </c>
      <c r="D7463" s="1" t="s">
        <v>34</v>
      </c>
      <c r="E7463" s="1" t="s">
        <v>10</v>
      </c>
      <c r="F7463" s="1" t="s">
        <v>5091</v>
      </c>
      <c r="G7463" s="14" t="s">
        <v>6307</v>
      </c>
      <c r="H7463" s="1" t="s">
        <v>44</v>
      </c>
      <c r="I7463" s="17">
        <v>43255</v>
      </c>
    </row>
    <row r="7464" spans="1:9">
      <c r="A7464" s="7" t="s">
        <v>14483</v>
      </c>
      <c r="B7464" s="2" t="s">
        <v>2628</v>
      </c>
      <c r="C7464" s="1">
        <v>5</v>
      </c>
      <c r="D7464" s="1" t="s">
        <v>34</v>
      </c>
      <c r="E7464" s="1" t="s">
        <v>10</v>
      </c>
      <c r="F7464" s="2" t="s">
        <v>118</v>
      </c>
      <c r="G7464" s="14" t="s">
        <v>14463</v>
      </c>
      <c r="H7464" s="1" t="s">
        <v>5</v>
      </c>
      <c r="I7464" s="1" t="s">
        <v>5659</v>
      </c>
    </row>
    <row r="7465" spans="1:9">
      <c r="A7465" s="16" t="s">
        <v>14551</v>
      </c>
      <c r="B7465" s="1" t="s">
        <v>2628</v>
      </c>
      <c r="C7465" s="1">
        <v>5</v>
      </c>
      <c r="D7465" s="1" t="s">
        <v>34</v>
      </c>
      <c r="E7465" s="1" t="s">
        <v>10</v>
      </c>
      <c r="F7465" s="1" t="s">
        <v>5091</v>
      </c>
      <c r="G7465" s="14" t="s">
        <v>6307</v>
      </c>
      <c r="H7465" s="1" t="s">
        <v>44</v>
      </c>
      <c r="I7465" s="17">
        <v>43255</v>
      </c>
    </row>
    <row r="7466" spans="1:9">
      <c r="A7466" s="16" t="s">
        <v>14565</v>
      </c>
      <c r="B7466" s="1" t="s">
        <v>2628</v>
      </c>
      <c r="C7466" s="1">
        <v>5</v>
      </c>
      <c r="D7466" s="1" t="s">
        <v>34</v>
      </c>
      <c r="E7466" s="1" t="s">
        <v>10</v>
      </c>
      <c r="F7466" s="1" t="s">
        <v>5091</v>
      </c>
      <c r="G7466" s="14" t="s">
        <v>6307</v>
      </c>
      <c r="H7466" s="1" t="s">
        <v>44</v>
      </c>
      <c r="I7466" s="17">
        <v>43255</v>
      </c>
    </row>
    <row r="7467" spans="1:9" ht="31.2">
      <c r="A7467" s="16" t="s">
        <v>14579</v>
      </c>
      <c r="B7467" s="1" t="s">
        <v>2628</v>
      </c>
      <c r="C7467" s="1">
        <v>5</v>
      </c>
      <c r="D7467" s="1" t="s">
        <v>34</v>
      </c>
      <c r="E7467" s="1" t="s">
        <v>10</v>
      </c>
      <c r="F7467" s="1" t="s">
        <v>5091</v>
      </c>
      <c r="G7467" s="14" t="s">
        <v>6145</v>
      </c>
      <c r="H7467" s="1" t="s">
        <v>43</v>
      </c>
      <c r="I7467" s="17">
        <v>42901</v>
      </c>
    </row>
    <row r="7468" spans="1:9">
      <c r="A7468" s="16" t="s">
        <v>14580</v>
      </c>
      <c r="B7468" s="1" t="s">
        <v>2628</v>
      </c>
      <c r="C7468" s="1">
        <v>5</v>
      </c>
      <c r="D7468" s="1" t="s">
        <v>34</v>
      </c>
      <c r="E7468" s="1" t="s">
        <v>10</v>
      </c>
      <c r="F7468" s="1" t="s">
        <v>5091</v>
      </c>
      <c r="G7468" s="14" t="s">
        <v>6145</v>
      </c>
      <c r="H7468" s="1" t="s">
        <v>43</v>
      </c>
      <c r="I7468" s="17">
        <v>39930</v>
      </c>
    </row>
    <row r="7469" spans="1:9">
      <c r="A7469" s="16" t="s">
        <v>14584</v>
      </c>
      <c r="B7469" s="1" t="s">
        <v>2628</v>
      </c>
      <c r="C7469" s="1">
        <v>5</v>
      </c>
      <c r="D7469" s="1" t="s">
        <v>34</v>
      </c>
      <c r="E7469" s="1" t="s">
        <v>10</v>
      </c>
      <c r="F7469" s="1" t="s">
        <v>5091</v>
      </c>
      <c r="G7469" s="14" t="s">
        <v>6145</v>
      </c>
      <c r="H7469" s="1" t="s">
        <v>43</v>
      </c>
      <c r="I7469" s="17">
        <v>43257</v>
      </c>
    </row>
    <row r="7470" spans="1:9">
      <c r="A7470" s="16" t="s">
        <v>14585</v>
      </c>
      <c r="B7470" s="1" t="s">
        <v>2628</v>
      </c>
      <c r="C7470" s="1">
        <v>5</v>
      </c>
      <c r="D7470" s="1" t="s">
        <v>34</v>
      </c>
      <c r="E7470" s="1" t="s">
        <v>10</v>
      </c>
      <c r="F7470" s="1" t="s">
        <v>5091</v>
      </c>
      <c r="G7470" s="14" t="s">
        <v>6145</v>
      </c>
      <c r="H7470" s="1" t="s">
        <v>43</v>
      </c>
      <c r="I7470" s="17">
        <v>43257</v>
      </c>
    </row>
    <row r="7471" spans="1:9" ht="31.2">
      <c r="A7471" s="16" t="s">
        <v>14586</v>
      </c>
      <c r="B7471" s="1" t="s">
        <v>2628</v>
      </c>
      <c r="C7471" s="1">
        <v>5</v>
      </c>
      <c r="D7471" s="1" t="s">
        <v>34</v>
      </c>
      <c r="E7471" s="1" t="s">
        <v>10</v>
      </c>
      <c r="F7471" s="1" t="s">
        <v>5091</v>
      </c>
      <c r="G7471" s="14" t="s">
        <v>6145</v>
      </c>
      <c r="H7471" s="1" t="s">
        <v>43</v>
      </c>
      <c r="I7471" s="17">
        <v>42900</v>
      </c>
    </row>
    <row r="7472" spans="1:9">
      <c r="A7472" s="16" t="s">
        <v>14589</v>
      </c>
      <c r="B7472" s="1" t="s">
        <v>2631</v>
      </c>
      <c r="C7472" s="1">
        <v>5</v>
      </c>
      <c r="D7472" s="1" t="s">
        <v>34</v>
      </c>
      <c r="E7472" s="1" t="s">
        <v>10</v>
      </c>
      <c r="F7472" s="1" t="s">
        <v>5091</v>
      </c>
      <c r="G7472" s="1" t="s">
        <v>6145</v>
      </c>
      <c r="H7472" s="1" t="s">
        <v>43</v>
      </c>
      <c r="I7472" s="17">
        <v>38172</v>
      </c>
    </row>
    <row r="7473" spans="1:10">
      <c r="A7473" s="16" t="s">
        <v>14591</v>
      </c>
      <c r="B7473" s="1" t="s">
        <v>2628</v>
      </c>
      <c r="C7473" s="1">
        <v>5</v>
      </c>
      <c r="D7473" s="1" t="s">
        <v>34</v>
      </c>
      <c r="E7473" s="1" t="s">
        <v>10</v>
      </c>
      <c r="F7473" s="1" t="s">
        <v>5091</v>
      </c>
      <c r="G7473" s="14" t="s">
        <v>6307</v>
      </c>
      <c r="H7473" s="1" t="s">
        <v>44</v>
      </c>
      <c r="I7473" s="17">
        <v>39930</v>
      </c>
    </row>
    <row r="7474" spans="1:10">
      <c r="A7474" s="16" t="s">
        <v>14595</v>
      </c>
      <c r="B7474" s="1" t="s">
        <v>2628</v>
      </c>
      <c r="C7474" s="1">
        <v>5</v>
      </c>
      <c r="D7474" s="1" t="s">
        <v>34</v>
      </c>
      <c r="E7474" s="1" t="s">
        <v>10</v>
      </c>
      <c r="F7474" s="1" t="s">
        <v>5091</v>
      </c>
      <c r="G7474" s="14" t="s">
        <v>6307</v>
      </c>
      <c r="H7474" s="1" t="s">
        <v>44</v>
      </c>
      <c r="I7474" s="17">
        <v>39930</v>
      </c>
      <c r="J7474" s="11"/>
    </row>
    <row r="7475" spans="1:10">
      <c r="A7475" s="16" t="s">
        <v>14596</v>
      </c>
      <c r="B7475" s="1" t="s">
        <v>2631</v>
      </c>
      <c r="C7475" s="1">
        <v>5</v>
      </c>
      <c r="D7475" s="1" t="s">
        <v>34</v>
      </c>
      <c r="E7475" s="1" t="s">
        <v>10</v>
      </c>
      <c r="F7475" s="1" t="s">
        <v>5091</v>
      </c>
      <c r="G7475" s="1" t="s">
        <v>6145</v>
      </c>
      <c r="H7475" s="1" t="s">
        <v>43</v>
      </c>
      <c r="I7475" s="17">
        <v>38172</v>
      </c>
    </row>
    <row r="7476" spans="1:10">
      <c r="A7476" s="16" t="s">
        <v>14597</v>
      </c>
      <c r="B7476" s="1" t="s">
        <v>2628</v>
      </c>
      <c r="C7476" s="1">
        <v>5</v>
      </c>
      <c r="D7476" s="1" t="s">
        <v>34</v>
      </c>
      <c r="E7476" s="1" t="s">
        <v>10</v>
      </c>
      <c r="F7476" s="1" t="s">
        <v>5091</v>
      </c>
      <c r="G7476" s="14" t="s">
        <v>6307</v>
      </c>
      <c r="H7476" s="1" t="s">
        <v>44</v>
      </c>
      <c r="I7476" s="17">
        <v>39930</v>
      </c>
    </row>
    <row r="7477" spans="1:10">
      <c r="A7477" s="16" t="s">
        <v>14599</v>
      </c>
      <c r="B7477" s="1" t="s">
        <v>2628</v>
      </c>
      <c r="C7477" s="1">
        <v>5</v>
      </c>
      <c r="D7477" s="1" t="s">
        <v>34</v>
      </c>
      <c r="E7477" s="1" t="s">
        <v>10</v>
      </c>
      <c r="F7477" s="1" t="s">
        <v>5091</v>
      </c>
      <c r="G7477" s="14" t="s">
        <v>6307</v>
      </c>
      <c r="H7477" s="1" t="s">
        <v>44</v>
      </c>
      <c r="I7477" s="17">
        <v>39930</v>
      </c>
    </row>
    <row r="7478" spans="1:10">
      <c r="A7478" s="16" t="s">
        <v>14601</v>
      </c>
      <c r="B7478" s="1" t="s">
        <v>2631</v>
      </c>
      <c r="C7478" s="1">
        <v>5</v>
      </c>
      <c r="D7478" s="1" t="s">
        <v>34</v>
      </c>
      <c r="E7478" s="1" t="s">
        <v>10</v>
      </c>
      <c r="F7478" s="1" t="s">
        <v>5091</v>
      </c>
      <c r="G7478" s="1" t="s">
        <v>6145</v>
      </c>
      <c r="H7478" s="1" t="s">
        <v>43</v>
      </c>
      <c r="I7478" s="17">
        <v>38172</v>
      </c>
    </row>
    <row r="7479" spans="1:10">
      <c r="A7479" s="16" t="s">
        <v>14602</v>
      </c>
      <c r="B7479" s="1" t="s">
        <v>2628</v>
      </c>
      <c r="C7479" s="1">
        <v>5</v>
      </c>
      <c r="D7479" s="1" t="s">
        <v>34</v>
      </c>
      <c r="E7479" s="1" t="s">
        <v>10</v>
      </c>
      <c r="F7479" s="1" t="s">
        <v>5091</v>
      </c>
      <c r="G7479" s="14" t="s">
        <v>6307</v>
      </c>
      <c r="H7479" s="1" t="s">
        <v>44</v>
      </c>
      <c r="I7479" s="17">
        <v>39930</v>
      </c>
    </row>
    <row r="7480" spans="1:10">
      <c r="A7480" s="16" t="s">
        <v>14603</v>
      </c>
      <c r="B7480" s="1" t="s">
        <v>2628</v>
      </c>
      <c r="C7480" s="1">
        <v>5</v>
      </c>
      <c r="D7480" s="1" t="s">
        <v>34</v>
      </c>
      <c r="E7480" s="1" t="s">
        <v>10</v>
      </c>
      <c r="F7480" s="1" t="s">
        <v>5091</v>
      </c>
      <c r="G7480" s="14" t="s">
        <v>6307</v>
      </c>
      <c r="H7480" s="1" t="s">
        <v>44</v>
      </c>
      <c r="I7480" s="17">
        <v>39930</v>
      </c>
    </row>
    <row r="7481" spans="1:10">
      <c r="A7481" s="16" t="s">
        <v>14612</v>
      </c>
      <c r="B7481" s="1" t="s">
        <v>2628</v>
      </c>
      <c r="C7481" s="1">
        <v>5</v>
      </c>
      <c r="D7481" s="1" t="s">
        <v>34</v>
      </c>
      <c r="E7481" s="1" t="s">
        <v>10</v>
      </c>
      <c r="F7481" s="1" t="s">
        <v>5091</v>
      </c>
      <c r="G7481" s="14" t="s">
        <v>6307</v>
      </c>
      <c r="H7481" s="1" t="s">
        <v>44</v>
      </c>
      <c r="I7481" s="17">
        <v>39930</v>
      </c>
    </row>
    <row r="7482" spans="1:10">
      <c r="A7482" s="16" t="s">
        <v>14613</v>
      </c>
      <c r="B7482" s="1" t="s">
        <v>2628</v>
      </c>
      <c r="C7482" s="1">
        <v>5</v>
      </c>
      <c r="D7482" s="1" t="s">
        <v>34</v>
      </c>
      <c r="E7482" s="1" t="s">
        <v>10</v>
      </c>
      <c r="F7482" s="1" t="s">
        <v>5091</v>
      </c>
      <c r="G7482" s="14" t="s">
        <v>6307</v>
      </c>
      <c r="H7482" s="1" t="s">
        <v>44</v>
      </c>
      <c r="I7482" s="17">
        <v>39930</v>
      </c>
    </row>
    <row r="7483" spans="1:10">
      <c r="A7483" s="16" t="s">
        <v>14614</v>
      </c>
      <c r="B7483" s="1" t="s">
        <v>2628</v>
      </c>
      <c r="C7483" s="1">
        <v>5</v>
      </c>
      <c r="D7483" s="1" t="s">
        <v>34</v>
      </c>
      <c r="E7483" s="1" t="s">
        <v>10</v>
      </c>
      <c r="F7483" s="1" t="s">
        <v>5091</v>
      </c>
      <c r="G7483" s="14" t="s">
        <v>6307</v>
      </c>
      <c r="H7483" s="1" t="s">
        <v>44</v>
      </c>
      <c r="I7483" s="17">
        <v>39930</v>
      </c>
    </row>
    <row r="7484" spans="1:10">
      <c r="A7484" s="16" t="s">
        <v>14615</v>
      </c>
      <c r="B7484" s="1" t="s">
        <v>2628</v>
      </c>
      <c r="C7484" s="1">
        <v>5</v>
      </c>
      <c r="D7484" s="1" t="s">
        <v>34</v>
      </c>
      <c r="E7484" s="1" t="s">
        <v>10</v>
      </c>
      <c r="F7484" s="1" t="s">
        <v>5091</v>
      </c>
      <c r="G7484" s="14" t="s">
        <v>6307</v>
      </c>
      <c r="H7484" s="1" t="s">
        <v>44</v>
      </c>
      <c r="I7484" s="17">
        <v>39930</v>
      </c>
    </row>
    <row r="7485" spans="1:10">
      <c r="A7485" s="16" t="s">
        <v>14616</v>
      </c>
      <c r="B7485" s="1" t="s">
        <v>2628</v>
      </c>
      <c r="C7485" s="1">
        <v>5</v>
      </c>
      <c r="D7485" s="1" t="s">
        <v>34</v>
      </c>
      <c r="E7485" s="1" t="s">
        <v>10</v>
      </c>
      <c r="F7485" s="1" t="s">
        <v>5091</v>
      </c>
      <c r="G7485" s="14" t="s">
        <v>6307</v>
      </c>
      <c r="H7485" s="1" t="s">
        <v>44</v>
      </c>
      <c r="I7485" s="17">
        <v>39930</v>
      </c>
    </row>
    <row r="7486" spans="1:10">
      <c r="A7486" s="16" t="s">
        <v>14617</v>
      </c>
      <c r="B7486" s="1" t="s">
        <v>2628</v>
      </c>
      <c r="C7486" s="1">
        <v>5</v>
      </c>
      <c r="D7486" s="1" t="s">
        <v>34</v>
      </c>
      <c r="E7486" s="1" t="s">
        <v>10</v>
      </c>
      <c r="F7486" s="1" t="s">
        <v>5091</v>
      </c>
      <c r="G7486" s="14" t="s">
        <v>6307</v>
      </c>
      <c r="H7486" s="1" t="s">
        <v>44</v>
      </c>
      <c r="I7486" s="17">
        <v>39930</v>
      </c>
    </row>
    <row r="7487" spans="1:10">
      <c r="A7487" s="16" t="s">
        <v>14618</v>
      </c>
      <c r="B7487" s="1" t="s">
        <v>2628</v>
      </c>
      <c r="C7487" s="1">
        <v>5</v>
      </c>
      <c r="D7487" s="1" t="s">
        <v>34</v>
      </c>
      <c r="E7487" s="1" t="s">
        <v>10</v>
      </c>
      <c r="F7487" s="1" t="s">
        <v>5091</v>
      </c>
      <c r="G7487" s="14" t="s">
        <v>6307</v>
      </c>
      <c r="H7487" s="1" t="s">
        <v>44</v>
      </c>
      <c r="I7487" s="17">
        <v>39930</v>
      </c>
    </row>
    <row r="7488" spans="1:10">
      <c r="A7488" s="16" t="s">
        <v>14619</v>
      </c>
      <c r="B7488" s="1" t="s">
        <v>2628</v>
      </c>
      <c r="C7488" s="1">
        <v>5</v>
      </c>
      <c r="D7488" s="1" t="s">
        <v>34</v>
      </c>
      <c r="E7488" s="1" t="s">
        <v>10</v>
      </c>
      <c r="F7488" s="1" t="s">
        <v>5091</v>
      </c>
      <c r="G7488" s="14" t="s">
        <v>6307</v>
      </c>
      <c r="H7488" s="1" t="s">
        <v>44</v>
      </c>
      <c r="I7488" s="17">
        <v>39930</v>
      </c>
    </row>
    <row r="7489" spans="1:9">
      <c r="A7489" s="16" t="s">
        <v>14620</v>
      </c>
      <c r="B7489" s="1" t="s">
        <v>2628</v>
      </c>
      <c r="C7489" s="1">
        <v>5</v>
      </c>
      <c r="D7489" s="1" t="s">
        <v>34</v>
      </c>
      <c r="E7489" s="1" t="s">
        <v>10</v>
      </c>
      <c r="F7489" s="1" t="s">
        <v>5091</v>
      </c>
      <c r="G7489" s="14" t="s">
        <v>6307</v>
      </c>
      <c r="H7489" s="1" t="s">
        <v>44</v>
      </c>
      <c r="I7489" s="17">
        <v>39930</v>
      </c>
    </row>
    <row r="7490" spans="1:9">
      <c r="A7490" s="16" t="s">
        <v>14621</v>
      </c>
      <c r="B7490" s="1" t="s">
        <v>2628</v>
      </c>
      <c r="C7490" s="1">
        <v>5</v>
      </c>
      <c r="D7490" s="1" t="s">
        <v>34</v>
      </c>
      <c r="E7490" s="1" t="s">
        <v>10</v>
      </c>
      <c r="F7490" s="1" t="s">
        <v>5091</v>
      </c>
      <c r="G7490" s="14" t="s">
        <v>6307</v>
      </c>
      <c r="H7490" s="1" t="s">
        <v>44</v>
      </c>
      <c r="I7490" s="17">
        <v>39930</v>
      </c>
    </row>
    <row r="7491" spans="1:9">
      <c r="A7491" s="16" t="s">
        <v>14622</v>
      </c>
      <c r="B7491" s="1" t="s">
        <v>2628</v>
      </c>
      <c r="C7491" s="1">
        <v>5</v>
      </c>
      <c r="D7491" s="1" t="s">
        <v>34</v>
      </c>
      <c r="E7491" s="1" t="s">
        <v>10</v>
      </c>
      <c r="F7491" s="1" t="s">
        <v>5091</v>
      </c>
      <c r="G7491" s="14" t="s">
        <v>6307</v>
      </c>
      <c r="H7491" s="1" t="s">
        <v>44</v>
      </c>
      <c r="I7491" s="17">
        <v>39930</v>
      </c>
    </row>
    <row r="7492" spans="1:9">
      <c r="A7492" s="16" t="s">
        <v>14623</v>
      </c>
      <c r="B7492" s="1" t="s">
        <v>2628</v>
      </c>
      <c r="C7492" s="1">
        <v>5</v>
      </c>
      <c r="D7492" s="1" t="s">
        <v>34</v>
      </c>
      <c r="E7492" s="1" t="s">
        <v>10</v>
      </c>
      <c r="F7492" s="1" t="s">
        <v>5091</v>
      </c>
      <c r="G7492" s="14" t="s">
        <v>6307</v>
      </c>
      <c r="H7492" s="1" t="s">
        <v>44</v>
      </c>
      <c r="I7492" s="17">
        <v>39930</v>
      </c>
    </row>
    <row r="7493" spans="1:9">
      <c r="A7493" s="16" t="s">
        <v>14624</v>
      </c>
      <c r="B7493" s="1" t="s">
        <v>2628</v>
      </c>
      <c r="C7493" s="1">
        <v>5</v>
      </c>
      <c r="D7493" s="1" t="s">
        <v>34</v>
      </c>
      <c r="E7493" s="1" t="s">
        <v>10</v>
      </c>
      <c r="F7493" s="1" t="s">
        <v>5091</v>
      </c>
      <c r="G7493" s="14" t="s">
        <v>6307</v>
      </c>
      <c r="H7493" s="1" t="s">
        <v>44</v>
      </c>
      <c r="I7493" s="17">
        <v>39930</v>
      </c>
    </row>
    <row r="7494" spans="1:9">
      <c r="A7494" s="16" t="s">
        <v>14625</v>
      </c>
      <c r="B7494" s="1" t="s">
        <v>2628</v>
      </c>
      <c r="C7494" s="1">
        <v>5</v>
      </c>
      <c r="D7494" s="1" t="s">
        <v>34</v>
      </c>
      <c r="E7494" s="1" t="s">
        <v>10</v>
      </c>
      <c r="F7494" s="1" t="s">
        <v>5091</v>
      </c>
      <c r="G7494" s="14" t="s">
        <v>6307</v>
      </c>
      <c r="H7494" s="1" t="s">
        <v>44</v>
      </c>
      <c r="I7494" s="17">
        <v>39930</v>
      </c>
    </row>
    <row r="7495" spans="1:9">
      <c r="A7495" s="16" t="s">
        <v>14626</v>
      </c>
      <c r="B7495" s="1" t="s">
        <v>2628</v>
      </c>
      <c r="C7495" s="1">
        <v>5</v>
      </c>
      <c r="D7495" s="1" t="s">
        <v>34</v>
      </c>
      <c r="E7495" s="1" t="s">
        <v>10</v>
      </c>
      <c r="F7495" s="1" t="s">
        <v>5091</v>
      </c>
      <c r="G7495" s="14" t="s">
        <v>6307</v>
      </c>
      <c r="H7495" s="1" t="s">
        <v>44</v>
      </c>
      <c r="I7495" s="17">
        <v>39930</v>
      </c>
    </row>
    <row r="7496" spans="1:9">
      <c r="A7496" s="16" t="s">
        <v>14627</v>
      </c>
      <c r="B7496" s="1" t="s">
        <v>2628</v>
      </c>
      <c r="C7496" s="1">
        <v>5</v>
      </c>
      <c r="D7496" s="1" t="s">
        <v>34</v>
      </c>
      <c r="E7496" s="1" t="s">
        <v>10</v>
      </c>
      <c r="F7496" s="1" t="s">
        <v>5091</v>
      </c>
      <c r="G7496" s="14" t="s">
        <v>6307</v>
      </c>
      <c r="H7496" s="1" t="s">
        <v>44</v>
      </c>
      <c r="I7496" s="17">
        <v>39930</v>
      </c>
    </row>
    <row r="7497" spans="1:9">
      <c r="A7497" s="16" t="s">
        <v>14628</v>
      </c>
      <c r="B7497" s="1" t="s">
        <v>2628</v>
      </c>
      <c r="C7497" s="1">
        <v>5</v>
      </c>
      <c r="D7497" s="1" t="s">
        <v>34</v>
      </c>
      <c r="E7497" s="1" t="s">
        <v>10</v>
      </c>
      <c r="F7497" s="1" t="s">
        <v>5091</v>
      </c>
      <c r="G7497" s="14" t="s">
        <v>6186</v>
      </c>
      <c r="H7497" s="1" t="s">
        <v>5</v>
      </c>
      <c r="I7497" s="17">
        <v>43101</v>
      </c>
    </row>
    <row r="7498" spans="1:9">
      <c r="A7498" s="16" t="s">
        <v>14629</v>
      </c>
      <c r="B7498" s="1" t="s">
        <v>2628</v>
      </c>
      <c r="C7498" s="1">
        <v>5</v>
      </c>
      <c r="D7498" s="1" t="s">
        <v>34</v>
      </c>
      <c r="E7498" s="1" t="s">
        <v>10</v>
      </c>
      <c r="F7498" s="1" t="s">
        <v>5091</v>
      </c>
      <c r="G7498" s="14" t="s">
        <v>14630</v>
      </c>
      <c r="H7498" s="1" t="s">
        <v>43</v>
      </c>
      <c r="I7498" s="17">
        <v>43282</v>
      </c>
    </row>
    <row r="7499" spans="1:9">
      <c r="A7499" s="16" t="s">
        <v>14631</v>
      </c>
      <c r="B7499" s="1" t="s">
        <v>2628</v>
      </c>
      <c r="C7499" s="1">
        <v>5</v>
      </c>
      <c r="D7499" s="1" t="s">
        <v>34</v>
      </c>
      <c r="E7499" s="1" t="s">
        <v>10</v>
      </c>
      <c r="F7499" s="1" t="s">
        <v>5091</v>
      </c>
      <c r="G7499" s="14" t="s">
        <v>14632</v>
      </c>
      <c r="H7499" s="1" t="s">
        <v>43</v>
      </c>
      <c r="I7499" s="17">
        <v>43282</v>
      </c>
    </row>
    <row r="7500" spans="1:9">
      <c r="A7500" s="16" t="s">
        <v>14633</v>
      </c>
      <c r="B7500" s="1" t="s">
        <v>2628</v>
      </c>
      <c r="C7500" s="1">
        <v>5</v>
      </c>
      <c r="D7500" s="1" t="s">
        <v>34</v>
      </c>
      <c r="E7500" s="1" t="s">
        <v>10</v>
      </c>
      <c r="F7500" s="1" t="s">
        <v>5091</v>
      </c>
      <c r="G7500" s="14" t="s">
        <v>14634</v>
      </c>
      <c r="H7500" s="1" t="s">
        <v>43</v>
      </c>
      <c r="I7500" s="17">
        <v>43282</v>
      </c>
    </row>
    <row r="7501" spans="1:9">
      <c r="A7501" s="16" t="s">
        <v>14638</v>
      </c>
      <c r="B7501" s="1" t="s">
        <v>2628</v>
      </c>
      <c r="C7501" s="1">
        <v>5</v>
      </c>
      <c r="D7501" s="1" t="s">
        <v>34</v>
      </c>
      <c r="E7501" s="1" t="s">
        <v>10</v>
      </c>
      <c r="F7501" s="1" t="s">
        <v>5091</v>
      </c>
      <c r="G7501" s="14" t="s">
        <v>4458</v>
      </c>
      <c r="H7501" s="1" t="s">
        <v>118</v>
      </c>
      <c r="I7501" s="1" t="s">
        <v>4458</v>
      </c>
    </row>
    <row r="7502" spans="1:9">
      <c r="A7502" s="16" t="s">
        <v>14655</v>
      </c>
      <c r="B7502" s="1" t="s">
        <v>2628</v>
      </c>
      <c r="C7502" s="1">
        <v>5</v>
      </c>
      <c r="D7502" s="1" t="s">
        <v>34</v>
      </c>
      <c r="E7502" s="1" t="s">
        <v>10</v>
      </c>
      <c r="F7502" s="1" t="s">
        <v>5091</v>
      </c>
      <c r="G7502" s="14" t="s">
        <v>6186</v>
      </c>
      <c r="H7502" s="1" t="s">
        <v>5</v>
      </c>
      <c r="I7502" s="17">
        <v>43101</v>
      </c>
    </row>
    <row r="7503" spans="1:9">
      <c r="A7503" s="16" t="s">
        <v>14666</v>
      </c>
      <c r="B7503" s="1" t="s">
        <v>2628</v>
      </c>
      <c r="C7503" s="1">
        <v>5</v>
      </c>
      <c r="D7503" s="1" t="s">
        <v>34</v>
      </c>
      <c r="E7503" s="1" t="s">
        <v>10</v>
      </c>
      <c r="F7503" s="1" t="s">
        <v>5091</v>
      </c>
      <c r="G7503" s="14" t="s">
        <v>6145</v>
      </c>
      <c r="H7503" s="1" t="s">
        <v>43</v>
      </c>
      <c r="I7503" s="17">
        <v>43307</v>
      </c>
    </row>
    <row r="7504" spans="1:9" ht="31.2">
      <c r="A7504" s="16" t="s">
        <v>14667</v>
      </c>
      <c r="B7504" s="1" t="s">
        <v>2628</v>
      </c>
      <c r="C7504" s="1">
        <v>5</v>
      </c>
      <c r="D7504" s="1" t="s">
        <v>34</v>
      </c>
      <c r="E7504" s="1" t="s">
        <v>10</v>
      </c>
      <c r="F7504" s="1" t="s">
        <v>5091</v>
      </c>
      <c r="G7504" s="14" t="s">
        <v>6145</v>
      </c>
      <c r="H7504" s="1" t="s">
        <v>43</v>
      </c>
      <c r="I7504" s="17">
        <v>43307</v>
      </c>
    </row>
    <row r="7505" spans="1:9">
      <c r="A7505" s="16" t="s">
        <v>14674</v>
      </c>
      <c r="B7505" s="1" t="s">
        <v>2628</v>
      </c>
      <c r="C7505" s="1">
        <v>5</v>
      </c>
      <c r="D7505" s="1" t="s">
        <v>34</v>
      </c>
      <c r="E7505" s="1" t="s">
        <v>10</v>
      </c>
      <c r="F7505" s="1" t="s">
        <v>5091</v>
      </c>
      <c r="G7505" s="14" t="s">
        <v>2400</v>
      </c>
      <c r="H7505" s="1" t="s">
        <v>43</v>
      </c>
      <c r="I7505" s="17">
        <v>43282</v>
      </c>
    </row>
    <row r="7506" spans="1:9">
      <c r="A7506" s="16" t="s">
        <v>14677</v>
      </c>
      <c r="B7506" s="1" t="s">
        <v>2628</v>
      </c>
      <c r="C7506" s="1">
        <v>5</v>
      </c>
      <c r="D7506" s="1" t="s">
        <v>34</v>
      </c>
      <c r="E7506" s="1" t="s">
        <v>10</v>
      </c>
      <c r="F7506" s="1" t="s">
        <v>5091</v>
      </c>
      <c r="G7506" s="14" t="s">
        <v>14678</v>
      </c>
      <c r="H7506" s="1" t="s">
        <v>315</v>
      </c>
      <c r="I7506" s="17">
        <v>43272</v>
      </c>
    </row>
    <row r="7507" spans="1:9">
      <c r="A7507" s="16" t="s">
        <v>14681</v>
      </c>
      <c r="B7507" s="1" t="s">
        <v>2628</v>
      </c>
      <c r="C7507" s="1">
        <v>5</v>
      </c>
      <c r="D7507" s="1" t="s">
        <v>34</v>
      </c>
      <c r="E7507" s="1" t="s">
        <v>10</v>
      </c>
      <c r="F7507" s="1" t="s">
        <v>5091</v>
      </c>
      <c r="G7507" s="14" t="s">
        <v>6145</v>
      </c>
      <c r="H7507" s="1" t="s">
        <v>43</v>
      </c>
      <c r="I7507" s="17">
        <v>40245</v>
      </c>
    </row>
    <row r="7508" spans="1:9" ht="31.2">
      <c r="A7508" s="16" t="s">
        <v>14684</v>
      </c>
      <c r="B7508" s="1" t="s">
        <v>2628</v>
      </c>
      <c r="C7508" s="1">
        <v>5</v>
      </c>
      <c r="D7508" s="1" t="s">
        <v>34</v>
      </c>
      <c r="E7508" s="1" t="s">
        <v>10</v>
      </c>
      <c r="F7508" s="1" t="s">
        <v>5091</v>
      </c>
      <c r="G7508" s="14" t="s">
        <v>6307</v>
      </c>
      <c r="H7508" s="1" t="s">
        <v>44</v>
      </c>
      <c r="I7508" s="17">
        <v>39930</v>
      </c>
    </row>
    <row r="7509" spans="1:9">
      <c r="A7509" s="16" t="s">
        <v>14685</v>
      </c>
      <c r="B7509" s="1" t="s">
        <v>2628</v>
      </c>
      <c r="C7509" s="1">
        <v>5</v>
      </c>
      <c r="D7509" s="1" t="s">
        <v>34</v>
      </c>
      <c r="E7509" s="1" t="s">
        <v>10</v>
      </c>
      <c r="F7509" s="1" t="s">
        <v>5091</v>
      </c>
      <c r="G7509" s="14" t="s">
        <v>6307</v>
      </c>
      <c r="H7509" s="1" t="s">
        <v>44</v>
      </c>
      <c r="I7509" s="17">
        <v>39930</v>
      </c>
    </row>
    <row r="7510" spans="1:9" ht="31.2">
      <c r="A7510" s="16" t="s">
        <v>14687</v>
      </c>
      <c r="B7510" s="1" t="s">
        <v>2628</v>
      </c>
      <c r="C7510" s="1">
        <v>5</v>
      </c>
      <c r="D7510" s="1" t="s">
        <v>34</v>
      </c>
      <c r="E7510" s="1" t="s">
        <v>10</v>
      </c>
      <c r="F7510" s="1" t="s">
        <v>5091</v>
      </c>
      <c r="G7510" s="14" t="s">
        <v>6307</v>
      </c>
      <c r="H7510" s="1" t="s">
        <v>44</v>
      </c>
      <c r="I7510" s="17">
        <v>39930</v>
      </c>
    </row>
    <row r="7511" spans="1:9">
      <c r="A7511" s="16" t="s">
        <v>14688</v>
      </c>
      <c r="B7511" s="1" t="s">
        <v>2628</v>
      </c>
      <c r="C7511" s="1">
        <v>5</v>
      </c>
      <c r="D7511" s="1" t="s">
        <v>34</v>
      </c>
      <c r="E7511" s="1" t="s">
        <v>10</v>
      </c>
      <c r="F7511" s="1" t="s">
        <v>5091</v>
      </c>
      <c r="G7511" s="14" t="s">
        <v>6307</v>
      </c>
      <c r="H7511" s="1" t="s">
        <v>44</v>
      </c>
      <c r="I7511" s="17">
        <v>39930</v>
      </c>
    </row>
    <row r="7512" spans="1:9" ht="31.2">
      <c r="A7512" s="16" t="s">
        <v>14689</v>
      </c>
      <c r="B7512" s="1" t="s">
        <v>2628</v>
      </c>
      <c r="C7512" s="1">
        <v>5</v>
      </c>
      <c r="D7512" s="1" t="s">
        <v>34</v>
      </c>
      <c r="E7512" s="1" t="s">
        <v>10</v>
      </c>
      <c r="F7512" s="1" t="s">
        <v>5091</v>
      </c>
      <c r="G7512" s="14" t="s">
        <v>6307</v>
      </c>
      <c r="H7512" s="1" t="s">
        <v>44</v>
      </c>
      <c r="I7512" s="17">
        <v>39930</v>
      </c>
    </row>
    <row r="7513" spans="1:9">
      <c r="A7513" s="16" t="s">
        <v>14690</v>
      </c>
      <c r="B7513" s="1" t="s">
        <v>2628</v>
      </c>
      <c r="C7513" s="1">
        <v>5</v>
      </c>
      <c r="D7513" s="1" t="s">
        <v>34</v>
      </c>
      <c r="E7513" s="1" t="s">
        <v>10</v>
      </c>
      <c r="F7513" s="1" t="s">
        <v>5091</v>
      </c>
      <c r="G7513" s="14" t="s">
        <v>6307</v>
      </c>
      <c r="H7513" s="1" t="s">
        <v>44</v>
      </c>
      <c r="I7513" s="17">
        <v>39930</v>
      </c>
    </row>
    <row r="7514" spans="1:9" ht="31.2">
      <c r="A7514" s="16" t="s">
        <v>14691</v>
      </c>
      <c r="B7514" s="1" t="s">
        <v>2628</v>
      </c>
      <c r="C7514" s="1">
        <v>5</v>
      </c>
      <c r="D7514" s="1" t="s">
        <v>34</v>
      </c>
      <c r="E7514" s="1" t="s">
        <v>10</v>
      </c>
      <c r="F7514" s="1" t="s">
        <v>5091</v>
      </c>
      <c r="G7514" s="14" t="s">
        <v>6307</v>
      </c>
      <c r="H7514" s="1" t="s">
        <v>44</v>
      </c>
      <c r="I7514" s="17">
        <v>39930</v>
      </c>
    </row>
    <row r="7515" spans="1:9">
      <c r="A7515" s="16" t="s">
        <v>14722</v>
      </c>
      <c r="B7515" s="1" t="s">
        <v>2628</v>
      </c>
      <c r="C7515" s="1">
        <v>5</v>
      </c>
      <c r="D7515" s="1" t="s">
        <v>34</v>
      </c>
      <c r="E7515" s="1" t="s">
        <v>10</v>
      </c>
      <c r="F7515" s="1" t="s">
        <v>5091</v>
      </c>
      <c r="G7515" s="14" t="s">
        <v>14723</v>
      </c>
      <c r="H7515" s="1" t="s">
        <v>43</v>
      </c>
      <c r="I7515" s="17">
        <v>38663</v>
      </c>
    </row>
    <row r="7516" spans="1:9">
      <c r="A7516" s="16" t="s">
        <v>14724</v>
      </c>
      <c r="B7516" s="1" t="s">
        <v>2628</v>
      </c>
      <c r="C7516" s="1">
        <v>5</v>
      </c>
      <c r="D7516" s="1" t="s">
        <v>34</v>
      </c>
      <c r="E7516" s="1" t="s">
        <v>10</v>
      </c>
      <c r="F7516" s="1" t="s">
        <v>5091</v>
      </c>
      <c r="G7516" s="14" t="s">
        <v>14725</v>
      </c>
      <c r="H7516" s="1" t="s">
        <v>43</v>
      </c>
      <c r="I7516" s="17">
        <v>38663</v>
      </c>
    </row>
    <row r="7517" spans="1:9">
      <c r="A7517" s="16" t="s">
        <v>14751</v>
      </c>
      <c r="B7517" s="1" t="s">
        <v>2628</v>
      </c>
      <c r="C7517" s="1">
        <v>5</v>
      </c>
      <c r="D7517" s="1" t="s">
        <v>34</v>
      </c>
      <c r="E7517" s="1" t="s">
        <v>10</v>
      </c>
      <c r="F7517" s="1" t="s">
        <v>5091</v>
      </c>
      <c r="G7517" s="14" t="s">
        <v>8411</v>
      </c>
      <c r="H7517" s="1" t="s">
        <v>315</v>
      </c>
      <c r="I7517" s="17">
        <v>43313</v>
      </c>
    </row>
    <row r="7518" spans="1:9">
      <c r="A7518" s="16" t="s">
        <v>14752</v>
      </c>
      <c r="B7518" s="1" t="s">
        <v>2628</v>
      </c>
      <c r="C7518" s="1">
        <v>5</v>
      </c>
      <c r="D7518" s="1" t="s">
        <v>34</v>
      </c>
      <c r="E7518" s="1" t="s">
        <v>10</v>
      </c>
      <c r="F7518" s="1" t="s">
        <v>5091</v>
      </c>
      <c r="G7518" s="14" t="s">
        <v>6145</v>
      </c>
      <c r="H7518" s="1" t="s">
        <v>43</v>
      </c>
      <c r="I7518" s="17">
        <v>43333</v>
      </c>
    </row>
    <row r="7519" spans="1:9">
      <c r="A7519" s="16" t="s">
        <v>14753</v>
      </c>
      <c r="B7519" s="1" t="s">
        <v>2628</v>
      </c>
      <c r="C7519" s="1">
        <v>5</v>
      </c>
      <c r="D7519" s="1" t="s">
        <v>34</v>
      </c>
      <c r="E7519" s="1" t="s">
        <v>10</v>
      </c>
      <c r="F7519" s="1" t="s">
        <v>5091</v>
      </c>
      <c r="G7519" s="14" t="s">
        <v>6145</v>
      </c>
      <c r="H7519" s="1" t="s">
        <v>43</v>
      </c>
      <c r="I7519" s="17">
        <v>43319</v>
      </c>
    </row>
    <row r="7520" spans="1:9">
      <c r="A7520" s="16" t="s">
        <v>14770</v>
      </c>
      <c r="B7520" s="1" t="s">
        <v>2628</v>
      </c>
      <c r="C7520" s="1">
        <v>5</v>
      </c>
      <c r="D7520" s="1" t="s">
        <v>34</v>
      </c>
      <c r="E7520" s="1" t="s">
        <v>10</v>
      </c>
      <c r="F7520" s="1" t="s">
        <v>5091</v>
      </c>
      <c r="G7520" s="14" t="s">
        <v>6145</v>
      </c>
      <c r="H7520" s="1" t="s">
        <v>43</v>
      </c>
      <c r="I7520" s="17">
        <v>43319</v>
      </c>
    </row>
    <row r="7521" spans="1:10">
      <c r="A7521" s="16" t="s">
        <v>14773</v>
      </c>
      <c r="B7521" s="1" t="s">
        <v>2628</v>
      </c>
      <c r="C7521" s="1">
        <v>5</v>
      </c>
      <c r="D7521" s="1" t="s">
        <v>34</v>
      </c>
      <c r="E7521" s="1" t="s">
        <v>10</v>
      </c>
      <c r="F7521" s="1" t="s">
        <v>36</v>
      </c>
      <c r="G7521" s="14" t="s">
        <v>14774</v>
      </c>
      <c r="H7521" s="1" t="s">
        <v>5</v>
      </c>
      <c r="I7521" s="17">
        <v>43318</v>
      </c>
    </row>
    <row r="7522" spans="1:10">
      <c r="A7522" s="16" t="s">
        <v>14787</v>
      </c>
      <c r="B7522" s="1" t="s">
        <v>2628</v>
      </c>
      <c r="C7522" s="1">
        <v>5</v>
      </c>
      <c r="D7522" s="1" t="s">
        <v>34</v>
      </c>
      <c r="E7522" s="1" t="s">
        <v>10</v>
      </c>
      <c r="F7522" s="1" t="s">
        <v>5091</v>
      </c>
      <c r="G7522" s="14" t="s">
        <v>14788</v>
      </c>
      <c r="H7522" s="1" t="s">
        <v>5</v>
      </c>
      <c r="I7522" s="17">
        <v>43313</v>
      </c>
    </row>
    <row r="7523" spans="1:10">
      <c r="A7523" s="16" t="s">
        <v>14900</v>
      </c>
      <c r="B7523" s="1" t="s">
        <v>2628</v>
      </c>
      <c r="C7523" s="1">
        <v>5</v>
      </c>
      <c r="D7523" s="1" t="s">
        <v>34</v>
      </c>
      <c r="E7523" s="1" t="s">
        <v>10</v>
      </c>
      <c r="F7523" s="1" t="s">
        <v>5241</v>
      </c>
      <c r="G7523" s="14" t="s">
        <v>6307</v>
      </c>
      <c r="H7523" s="1" t="s">
        <v>44</v>
      </c>
      <c r="I7523" s="17">
        <v>43070</v>
      </c>
    </row>
    <row r="7524" spans="1:10">
      <c r="A7524" s="16" t="s">
        <v>14902</v>
      </c>
      <c r="B7524" s="1" t="s">
        <v>2628</v>
      </c>
      <c r="C7524" s="1">
        <v>5</v>
      </c>
      <c r="D7524" s="1" t="s">
        <v>34</v>
      </c>
      <c r="E7524" s="1" t="s">
        <v>10</v>
      </c>
      <c r="F7524" s="1" t="s">
        <v>5241</v>
      </c>
      <c r="G7524" s="14" t="s">
        <v>4803</v>
      </c>
      <c r="H7524" s="1" t="s">
        <v>5</v>
      </c>
      <c r="I7524" s="17">
        <v>43040</v>
      </c>
    </row>
    <row r="7525" spans="1:10">
      <c r="A7525" s="16" t="s">
        <v>14923</v>
      </c>
      <c r="B7525" s="1" t="s">
        <v>2628</v>
      </c>
      <c r="C7525" s="1">
        <v>5</v>
      </c>
      <c r="D7525" s="1" t="s">
        <v>34</v>
      </c>
      <c r="E7525" s="1" t="s">
        <v>10</v>
      </c>
      <c r="F7525" s="1" t="s">
        <v>5241</v>
      </c>
      <c r="G7525" s="14" t="s">
        <v>4803</v>
      </c>
      <c r="H7525" s="1" t="s">
        <v>5</v>
      </c>
      <c r="I7525" s="17">
        <v>43040</v>
      </c>
    </row>
    <row r="7526" spans="1:10">
      <c r="A7526" s="16" t="s">
        <v>14929</v>
      </c>
      <c r="B7526" s="1" t="s">
        <v>2628</v>
      </c>
      <c r="C7526" s="1">
        <v>5</v>
      </c>
      <c r="D7526" s="1" t="s">
        <v>34</v>
      </c>
      <c r="E7526" s="1" t="s">
        <v>10</v>
      </c>
      <c r="F7526" s="1" t="s">
        <v>5091</v>
      </c>
      <c r="G7526" s="14" t="s">
        <v>9244</v>
      </c>
      <c r="H7526" s="1" t="s">
        <v>5</v>
      </c>
      <c r="I7526" s="17">
        <v>43333</v>
      </c>
    </row>
    <row r="7527" spans="1:10">
      <c r="A7527" s="16" t="s">
        <v>14933</v>
      </c>
      <c r="B7527" s="1" t="s">
        <v>2631</v>
      </c>
      <c r="C7527" s="1">
        <v>5</v>
      </c>
      <c r="D7527" s="1" t="s">
        <v>34</v>
      </c>
      <c r="E7527" s="1" t="s">
        <v>10</v>
      </c>
      <c r="F7527" s="1" t="s">
        <v>5241</v>
      </c>
      <c r="G7527" s="1" t="s">
        <v>4803</v>
      </c>
      <c r="H7527" s="1" t="s">
        <v>5</v>
      </c>
      <c r="I7527" s="17">
        <v>42278</v>
      </c>
      <c r="J7527" s="17"/>
    </row>
    <row r="7528" spans="1:10">
      <c r="A7528" s="16" t="s">
        <v>15005</v>
      </c>
      <c r="B7528" s="1" t="s">
        <v>2631</v>
      </c>
      <c r="C7528" s="1">
        <v>5</v>
      </c>
      <c r="D7528" s="1" t="s">
        <v>34</v>
      </c>
      <c r="E7528" s="1" t="s">
        <v>10</v>
      </c>
      <c r="F7528" s="1" t="s">
        <v>5241</v>
      </c>
      <c r="G7528" s="1" t="s">
        <v>4803</v>
      </c>
      <c r="H7528" s="1" t="s">
        <v>5</v>
      </c>
      <c r="I7528" s="17">
        <v>42278</v>
      </c>
      <c r="J7528" s="17"/>
    </row>
    <row r="7529" spans="1:10">
      <c r="A7529" s="7" t="s">
        <v>15052</v>
      </c>
      <c r="B7529" s="1" t="s">
        <v>2629</v>
      </c>
      <c r="C7529" s="1">
        <v>5</v>
      </c>
      <c r="D7529" s="1" t="s">
        <v>34</v>
      </c>
      <c r="E7529" s="1" t="s">
        <v>10</v>
      </c>
      <c r="F7529" s="1" t="s">
        <v>5241</v>
      </c>
      <c r="G7529" s="1" t="s">
        <v>6307</v>
      </c>
      <c r="H7529" s="1" t="s">
        <v>44</v>
      </c>
      <c r="I7529" s="17">
        <v>42979</v>
      </c>
    </row>
    <row r="7530" spans="1:10">
      <c r="A7530" s="16" t="s">
        <v>15091</v>
      </c>
      <c r="B7530" s="1" t="s">
        <v>2628</v>
      </c>
      <c r="C7530" s="1">
        <v>5</v>
      </c>
      <c r="D7530" s="1" t="s">
        <v>34</v>
      </c>
      <c r="E7530" s="1" t="s">
        <v>10</v>
      </c>
      <c r="F7530" s="1" t="s">
        <v>5241</v>
      </c>
      <c r="G7530" s="14" t="s">
        <v>6307</v>
      </c>
      <c r="H7530" s="1" t="s">
        <v>44</v>
      </c>
      <c r="I7530" s="17">
        <v>42644</v>
      </c>
    </row>
    <row r="7531" spans="1:10">
      <c r="A7531" s="16" t="s">
        <v>15106</v>
      </c>
      <c r="B7531" s="1" t="s">
        <v>2631</v>
      </c>
      <c r="C7531" s="1">
        <v>5</v>
      </c>
      <c r="D7531" s="1" t="s">
        <v>34</v>
      </c>
      <c r="E7531" s="1" t="s">
        <v>10</v>
      </c>
      <c r="F7531" s="1" t="s">
        <v>5241</v>
      </c>
      <c r="G7531" s="1" t="s">
        <v>4803</v>
      </c>
      <c r="H7531" s="1" t="s">
        <v>5</v>
      </c>
      <c r="I7531" s="17">
        <v>42278</v>
      </c>
      <c r="J7531" s="17"/>
    </row>
    <row r="7532" spans="1:10">
      <c r="A7532" s="16" t="s">
        <v>15115</v>
      </c>
      <c r="B7532" s="1" t="s">
        <v>2628</v>
      </c>
      <c r="C7532" s="1">
        <v>5</v>
      </c>
      <c r="D7532" s="1" t="s">
        <v>34</v>
      </c>
      <c r="E7532" s="1" t="s">
        <v>10</v>
      </c>
      <c r="F7532" s="1" t="s">
        <v>5241</v>
      </c>
      <c r="G7532" s="14" t="s">
        <v>6307</v>
      </c>
      <c r="H7532" s="1" t="s">
        <v>44</v>
      </c>
      <c r="I7532" s="17">
        <v>42644</v>
      </c>
    </row>
    <row r="7533" spans="1:10">
      <c r="A7533" s="7" t="s">
        <v>15172</v>
      </c>
      <c r="B7533" s="1" t="s">
        <v>2629</v>
      </c>
      <c r="C7533" s="1">
        <v>5</v>
      </c>
      <c r="D7533" s="1" t="s">
        <v>34</v>
      </c>
      <c r="E7533" s="1" t="s">
        <v>10</v>
      </c>
      <c r="F7533" s="1" t="s">
        <v>5241</v>
      </c>
      <c r="G7533" s="1" t="s">
        <v>6307</v>
      </c>
      <c r="H7533" s="1" t="s">
        <v>44</v>
      </c>
      <c r="I7533" s="17">
        <v>42979</v>
      </c>
    </row>
    <row r="7534" spans="1:10">
      <c r="A7534" s="16" t="s">
        <v>15226</v>
      </c>
      <c r="B7534" s="1" t="s">
        <v>2628</v>
      </c>
      <c r="C7534" s="1">
        <v>5</v>
      </c>
      <c r="D7534" s="1" t="s">
        <v>34</v>
      </c>
      <c r="E7534" s="1" t="s">
        <v>10</v>
      </c>
      <c r="F7534" s="1" t="s">
        <v>5241</v>
      </c>
      <c r="G7534" s="14" t="s">
        <v>4803</v>
      </c>
      <c r="H7534" s="1" t="s">
        <v>5</v>
      </c>
      <c r="I7534" s="17">
        <v>43040</v>
      </c>
    </row>
    <row r="7535" spans="1:10">
      <c r="A7535" s="7" t="s">
        <v>15447</v>
      </c>
      <c r="B7535" s="1" t="s">
        <v>2629</v>
      </c>
      <c r="C7535" s="1">
        <v>5</v>
      </c>
      <c r="D7535" s="1" t="s">
        <v>34</v>
      </c>
      <c r="E7535" s="1" t="s">
        <v>10</v>
      </c>
      <c r="F7535" s="1" t="s">
        <v>5241</v>
      </c>
      <c r="G7535" s="1" t="s">
        <v>4803</v>
      </c>
      <c r="H7535" s="1" t="s">
        <v>5</v>
      </c>
      <c r="I7535" s="17">
        <v>42430</v>
      </c>
    </row>
    <row r="7536" spans="1:10">
      <c r="A7536" s="16" t="s">
        <v>15478</v>
      </c>
      <c r="B7536" s="1" t="s">
        <v>2628</v>
      </c>
      <c r="C7536" s="1">
        <v>5</v>
      </c>
      <c r="D7536" s="1" t="s">
        <v>34</v>
      </c>
      <c r="E7536" s="1" t="s">
        <v>10</v>
      </c>
      <c r="F7536" s="1" t="s">
        <v>5241</v>
      </c>
      <c r="G7536" s="14" t="s">
        <v>4803</v>
      </c>
      <c r="H7536" s="1" t="s">
        <v>5</v>
      </c>
      <c r="I7536" s="17">
        <v>43009</v>
      </c>
    </row>
    <row r="7537" spans="1:9">
      <c r="A7537" s="16" t="s">
        <v>15548</v>
      </c>
      <c r="B7537" s="1" t="s">
        <v>2631</v>
      </c>
      <c r="C7537" s="1">
        <v>5</v>
      </c>
      <c r="D7537" s="1" t="s">
        <v>34</v>
      </c>
      <c r="E7537" s="1" t="s">
        <v>10</v>
      </c>
      <c r="F7537" s="1" t="s">
        <v>5241</v>
      </c>
      <c r="G7537" s="1" t="s">
        <v>4803</v>
      </c>
      <c r="H7537" s="1" t="s">
        <v>5</v>
      </c>
      <c r="I7537" s="17">
        <v>42278</v>
      </c>
    </row>
    <row r="7538" spans="1:9">
      <c r="A7538" s="16" t="s">
        <v>15584</v>
      </c>
      <c r="B7538" s="1" t="s">
        <v>2628</v>
      </c>
      <c r="C7538" s="1">
        <v>5</v>
      </c>
      <c r="D7538" s="1" t="s">
        <v>34</v>
      </c>
      <c r="E7538" s="1" t="s">
        <v>10</v>
      </c>
      <c r="F7538" s="1" t="s">
        <v>5091</v>
      </c>
      <c r="G7538" s="14" t="s">
        <v>6145</v>
      </c>
      <c r="H7538" s="1" t="s">
        <v>43</v>
      </c>
      <c r="I7538" s="17">
        <v>38508</v>
      </c>
    </row>
    <row r="7539" spans="1:9">
      <c r="A7539" s="16" t="s">
        <v>15591</v>
      </c>
      <c r="B7539" s="1" t="s">
        <v>2628</v>
      </c>
      <c r="C7539" s="1">
        <v>5</v>
      </c>
      <c r="D7539" s="1" t="s">
        <v>34</v>
      </c>
      <c r="E7539" s="1" t="s">
        <v>10</v>
      </c>
      <c r="F7539" s="1" t="s">
        <v>5091</v>
      </c>
      <c r="G7539" s="14" t="s">
        <v>6145</v>
      </c>
      <c r="H7539" s="1" t="s">
        <v>43</v>
      </c>
      <c r="I7539" s="17">
        <v>40245</v>
      </c>
    </row>
    <row r="7540" spans="1:9">
      <c r="A7540" s="16" t="s">
        <v>15617</v>
      </c>
      <c r="B7540" s="1" t="s">
        <v>2628</v>
      </c>
      <c r="C7540" s="1">
        <v>5</v>
      </c>
      <c r="D7540" s="1" t="s">
        <v>34</v>
      </c>
      <c r="E7540" s="1" t="s">
        <v>10</v>
      </c>
      <c r="F7540" s="1" t="s">
        <v>5091</v>
      </c>
      <c r="G7540" s="14" t="s">
        <v>9251</v>
      </c>
      <c r="H7540" s="1" t="s">
        <v>5</v>
      </c>
      <c r="I7540" s="17">
        <v>40719</v>
      </c>
    </row>
    <row r="7541" spans="1:9">
      <c r="A7541" s="16" t="s">
        <v>15620</v>
      </c>
      <c r="B7541" s="1" t="s">
        <v>2628</v>
      </c>
      <c r="C7541" s="1">
        <v>5</v>
      </c>
      <c r="D7541" s="1" t="s">
        <v>34</v>
      </c>
      <c r="E7541" s="1" t="s">
        <v>10</v>
      </c>
      <c r="F7541" s="1" t="s">
        <v>5241</v>
      </c>
      <c r="G7541" s="14" t="s">
        <v>4803</v>
      </c>
      <c r="H7541" s="1" t="s">
        <v>5</v>
      </c>
      <c r="I7541" s="17">
        <v>43344</v>
      </c>
    </row>
    <row r="7542" spans="1:9">
      <c r="A7542" s="16" t="s">
        <v>15655</v>
      </c>
      <c r="B7542" s="1" t="s">
        <v>2628</v>
      </c>
      <c r="C7542" s="1">
        <v>5</v>
      </c>
      <c r="D7542" s="1" t="s">
        <v>34</v>
      </c>
      <c r="E7542" s="1" t="s">
        <v>10</v>
      </c>
      <c r="F7542" s="1" t="s">
        <v>5091</v>
      </c>
      <c r="G7542" s="14" t="s">
        <v>15652</v>
      </c>
      <c r="H7542" s="1" t="s">
        <v>5</v>
      </c>
      <c r="I7542" s="17">
        <v>41640</v>
      </c>
    </row>
    <row r="7543" spans="1:9">
      <c r="A7543" s="16" t="s">
        <v>15656</v>
      </c>
      <c r="B7543" s="1" t="s">
        <v>2628</v>
      </c>
      <c r="C7543" s="1">
        <v>5</v>
      </c>
      <c r="D7543" s="1" t="s">
        <v>34</v>
      </c>
      <c r="E7543" s="1" t="s">
        <v>10</v>
      </c>
      <c r="F7543" s="1" t="s">
        <v>5091</v>
      </c>
      <c r="G7543" s="14" t="s">
        <v>15652</v>
      </c>
      <c r="H7543" s="1" t="s">
        <v>5</v>
      </c>
      <c r="I7543" s="17">
        <v>41640</v>
      </c>
    </row>
    <row r="7544" spans="1:9">
      <c r="A7544" s="16" t="s">
        <v>15657</v>
      </c>
      <c r="B7544" s="1" t="s">
        <v>2628</v>
      </c>
      <c r="C7544" s="1">
        <v>5</v>
      </c>
      <c r="D7544" s="1" t="s">
        <v>34</v>
      </c>
      <c r="E7544" s="1" t="s">
        <v>10</v>
      </c>
      <c r="F7544" s="1" t="s">
        <v>5091</v>
      </c>
      <c r="G7544" s="14" t="s">
        <v>15652</v>
      </c>
      <c r="H7544" s="1" t="s">
        <v>5</v>
      </c>
      <c r="I7544" s="17">
        <v>41640</v>
      </c>
    </row>
    <row r="7545" spans="1:9">
      <c r="A7545" s="16" t="s">
        <v>15658</v>
      </c>
      <c r="B7545" s="1" t="s">
        <v>2628</v>
      </c>
      <c r="C7545" s="1">
        <v>5</v>
      </c>
      <c r="D7545" s="1" t="s">
        <v>34</v>
      </c>
      <c r="E7545" s="1" t="s">
        <v>10</v>
      </c>
      <c r="F7545" s="1" t="s">
        <v>5091</v>
      </c>
      <c r="G7545" s="14" t="s">
        <v>15652</v>
      </c>
      <c r="H7545" s="1" t="s">
        <v>5</v>
      </c>
      <c r="I7545" s="17">
        <v>41640</v>
      </c>
    </row>
    <row r="7546" spans="1:9">
      <c r="A7546" s="16" t="s">
        <v>15660</v>
      </c>
      <c r="B7546" s="1" t="s">
        <v>2628</v>
      </c>
      <c r="C7546" s="1">
        <v>5</v>
      </c>
      <c r="D7546" s="1" t="s">
        <v>34</v>
      </c>
      <c r="E7546" s="1" t="s">
        <v>10</v>
      </c>
      <c r="F7546" s="1" t="s">
        <v>5091</v>
      </c>
      <c r="G7546" s="14" t="s">
        <v>15652</v>
      </c>
      <c r="H7546" s="1" t="s">
        <v>5</v>
      </c>
      <c r="I7546" s="17">
        <v>42278</v>
      </c>
    </row>
    <row r="7547" spans="1:9">
      <c r="A7547" s="16" t="s">
        <v>15665</v>
      </c>
      <c r="B7547" s="1" t="s">
        <v>2628</v>
      </c>
      <c r="C7547" s="1">
        <v>5</v>
      </c>
      <c r="D7547" s="1" t="s">
        <v>34</v>
      </c>
      <c r="E7547" s="1" t="s">
        <v>10</v>
      </c>
      <c r="F7547" s="1" t="s">
        <v>5091</v>
      </c>
      <c r="G7547" s="14" t="s">
        <v>6145</v>
      </c>
      <c r="H7547" s="1" t="s">
        <v>43</v>
      </c>
      <c r="I7547" s="17">
        <v>43382</v>
      </c>
    </row>
    <row r="7548" spans="1:9">
      <c r="A7548" s="16" t="s">
        <v>15675</v>
      </c>
      <c r="B7548" s="1" t="s">
        <v>2628</v>
      </c>
      <c r="C7548" s="1">
        <v>5</v>
      </c>
      <c r="D7548" s="1" t="s">
        <v>34</v>
      </c>
      <c r="E7548" s="1" t="s">
        <v>10</v>
      </c>
      <c r="F7548" s="1" t="s">
        <v>5091</v>
      </c>
      <c r="G7548" s="14" t="s">
        <v>6145</v>
      </c>
      <c r="H7548" s="1" t="s">
        <v>43</v>
      </c>
      <c r="I7548" s="17">
        <v>43382</v>
      </c>
    </row>
    <row r="7549" spans="1:9">
      <c r="A7549" s="16" t="s">
        <v>15676</v>
      </c>
      <c r="B7549" s="1" t="s">
        <v>2628</v>
      </c>
      <c r="C7549" s="1">
        <v>5</v>
      </c>
      <c r="D7549" s="1" t="s">
        <v>34</v>
      </c>
      <c r="E7549" s="1" t="s">
        <v>10</v>
      </c>
      <c r="F7549" s="1" t="s">
        <v>5091</v>
      </c>
      <c r="G7549" s="14" t="s">
        <v>6145</v>
      </c>
      <c r="H7549" s="1" t="s">
        <v>43</v>
      </c>
      <c r="I7549" s="17">
        <v>43382</v>
      </c>
    </row>
    <row r="7550" spans="1:9">
      <c r="A7550" s="16" t="s">
        <v>15685</v>
      </c>
      <c r="B7550" s="1" t="s">
        <v>2631</v>
      </c>
      <c r="C7550" s="1">
        <v>2384</v>
      </c>
      <c r="D7550" s="1" t="s">
        <v>34</v>
      </c>
      <c r="E7550" s="1" t="s">
        <v>10</v>
      </c>
      <c r="F7550" s="1" t="s">
        <v>5091</v>
      </c>
      <c r="G7550" s="1" t="s">
        <v>6145</v>
      </c>
      <c r="H7550" s="1" t="s">
        <v>43</v>
      </c>
      <c r="I7550" s="17">
        <v>43068</v>
      </c>
    </row>
    <row r="7551" spans="1:9">
      <c r="A7551" s="16" t="s">
        <v>15686</v>
      </c>
      <c r="B7551" s="1" t="s">
        <v>2628</v>
      </c>
      <c r="C7551" s="1">
        <v>5</v>
      </c>
      <c r="D7551" s="1" t="s">
        <v>34</v>
      </c>
      <c r="E7551" s="1" t="s">
        <v>10</v>
      </c>
      <c r="F7551" s="1" t="s">
        <v>5091</v>
      </c>
      <c r="G7551" s="14" t="s">
        <v>6145</v>
      </c>
      <c r="H7551" s="1" t="s">
        <v>43</v>
      </c>
      <c r="I7551" s="17">
        <v>43068</v>
      </c>
    </row>
    <row r="7552" spans="1:9">
      <c r="A7552" s="16" t="s">
        <v>15688</v>
      </c>
      <c r="B7552" s="1" t="s">
        <v>2631</v>
      </c>
      <c r="C7552" s="1">
        <v>2384</v>
      </c>
      <c r="D7552" s="1" t="s">
        <v>34</v>
      </c>
      <c r="E7552" s="1" t="s">
        <v>10</v>
      </c>
      <c r="F7552" s="1" t="s">
        <v>5091</v>
      </c>
      <c r="G7552" s="1" t="s">
        <v>6145</v>
      </c>
      <c r="H7552" s="1" t="s">
        <v>43</v>
      </c>
      <c r="I7552" s="17">
        <v>43068</v>
      </c>
    </row>
    <row r="7553" spans="1:9">
      <c r="A7553" s="16" t="s">
        <v>15689</v>
      </c>
      <c r="B7553" s="1" t="s">
        <v>2631</v>
      </c>
      <c r="C7553" s="1">
        <v>2384</v>
      </c>
      <c r="D7553" s="1" t="s">
        <v>34</v>
      </c>
      <c r="E7553" s="1" t="s">
        <v>10</v>
      </c>
      <c r="F7553" s="1" t="s">
        <v>5091</v>
      </c>
      <c r="G7553" s="1" t="s">
        <v>6145</v>
      </c>
      <c r="H7553" s="1" t="s">
        <v>43</v>
      </c>
      <c r="I7553" s="17">
        <v>43068</v>
      </c>
    </row>
    <row r="7554" spans="1:9">
      <c r="A7554" s="16" t="s">
        <v>15711</v>
      </c>
      <c r="B7554" s="1" t="s">
        <v>2628</v>
      </c>
      <c r="C7554" s="1">
        <v>5</v>
      </c>
      <c r="D7554" s="1" t="s">
        <v>34</v>
      </c>
      <c r="E7554" s="1" t="s">
        <v>10</v>
      </c>
      <c r="F7554" s="1" t="s">
        <v>5091</v>
      </c>
      <c r="G7554" s="14" t="s">
        <v>6145</v>
      </c>
      <c r="H7554" s="1" t="s">
        <v>43</v>
      </c>
      <c r="I7554" s="17">
        <v>43369</v>
      </c>
    </row>
    <row r="7555" spans="1:9">
      <c r="A7555" s="16" t="s">
        <v>15729</v>
      </c>
      <c r="B7555" s="1" t="s">
        <v>2628</v>
      </c>
      <c r="C7555" s="1">
        <v>5</v>
      </c>
      <c r="D7555" s="1" t="s">
        <v>34</v>
      </c>
      <c r="E7555" s="1" t="s">
        <v>10</v>
      </c>
      <c r="F7555" s="1" t="s">
        <v>5091</v>
      </c>
      <c r="G7555" s="14" t="s">
        <v>2370</v>
      </c>
      <c r="H7555" s="1" t="s">
        <v>5</v>
      </c>
      <c r="I7555" s="17">
        <v>43101</v>
      </c>
    </row>
    <row r="7556" spans="1:9">
      <c r="A7556" s="16" t="s">
        <v>15733</v>
      </c>
      <c r="B7556" s="1" t="s">
        <v>2628</v>
      </c>
      <c r="C7556" s="1">
        <v>5</v>
      </c>
      <c r="D7556" s="1" t="s">
        <v>34</v>
      </c>
      <c r="E7556" s="1" t="s">
        <v>10</v>
      </c>
      <c r="F7556" s="1" t="s">
        <v>5091</v>
      </c>
      <c r="G7556" s="14" t="s">
        <v>2400</v>
      </c>
      <c r="H7556" s="1" t="s">
        <v>43</v>
      </c>
      <c r="I7556" s="17">
        <v>43374</v>
      </c>
    </row>
    <row r="7557" spans="1:9">
      <c r="A7557" s="16" t="s">
        <v>15734</v>
      </c>
      <c r="B7557" s="1" t="s">
        <v>2628</v>
      </c>
      <c r="C7557" s="1">
        <v>5</v>
      </c>
      <c r="D7557" s="1" t="s">
        <v>34</v>
      </c>
      <c r="E7557" s="1" t="s">
        <v>10</v>
      </c>
      <c r="F7557" s="1" t="s">
        <v>5091</v>
      </c>
      <c r="G7557" s="14" t="s">
        <v>2400</v>
      </c>
      <c r="H7557" s="1" t="s">
        <v>43</v>
      </c>
      <c r="I7557" s="17">
        <v>43374</v>
      </c>
    </row>
    <row r="7558" spans="1:9">
      <c r="A7558" s="16" t="s">
        <v>15735</v>
      </c>
      <c r="B7558" s="1" t="s">
        <v>2628</v>
      </c>
      <c r="C7558" s="1">
        <v>5</v>
      </c>
      <c r="D7558" s="1" t="s">
        <v>34</v>
      </c>
      <c r="E7558" s="1" t="s">
        <v>10</v>
      </c>
      <c r="F7558" s="1" t="s">
        <v>5091</v>
      </c>
      <c r="G7558" s="14" t="s">
        <v>4458</v>
      </c>
      <c r="H7558" s="1" t="s">
        <v>118</v>
      </c>
      <c r="I7558" s="17">
        <v>43374</v>
      </c>
    </row>
    <row r="7559" spans="1:9">
      <c r="A7559" s="7" t="s">
        <v>15743</v>
      </c>
      <c r="B7559" s="2" t="s">
        <v>2628</v>
      </c>
      <c r="C7559" s="1">
        <v>5</v>
      </c>
      <c r="D7559" s="1" t="s">
        <v>34</v>
      </c>
      <c r="E7559" s="1" t="s">
        <v>10</v>
      </c>
      <c r="F7559" s="1" t="s">
        <v>5091</v>
      </c>
      <c r="G7559" s="14" t="s">
        <v>2400</v>
      </c>
      <c r="H7559" s="1" t="s">
        <v>43</v>
      </c>
      <c r="I7559" s="1" t="s">
        <v>4789</v>
      </c>
    </row>
    <row r="7560" spans="1:9">
      <c r="A7560" s="7" t="s">
        <v>15744</v>
      </c>
      <c r="B7560" s="2" t="s">
        <v>2628</v>
      </c>
      <c r="C7560" s="1">
        <v>5</v>
      </c>
      <c r="D7560" s="1" t="s">
        <v>34</v>
      </c>
      <c r="E7560" s="1" t="s">
        <v>10</v>
      </c>
      <c r="F7560" s="1" t="s">
        <v>5091</v>
      </c>
      <c r="G7560" s="14" t="s">
        <v>2400</v>
      </c>
      <c r="H7560" s="1" t="s">
        <v>43</v>
      </c>
      <c r="I7560" s="1" t="s">
        <v>4789</v>
      </c>
    </row>
    <row r="7561" spans="1:9">
      <c r="A7561" s="7" t="s">
        <v>15745</v>
      </c>
      <c r="B7561" s="2" t="s">
        <v>2628</v>
      </c>
      <c r="C7561" s="1">
        <v>5</v>
      </c>
      <c r="D7561" s="1" t="s">
        <v>34</v>
      </c>
      <c r="E7561" s="1" t="s">
        <v>10</v>
      </c>
      <c r="F7561" s="1" t="s">
        <v>5091</v>
      </c>
      <c r="G7561" s="14" t="s">
        <v>2400</v>
      </c>
      <c r="H7561" s="1" t="s">
        <v>43</v>
      </c>
      <c r="I7561" s="1" t="s">
        <v>4789</v>
      </c>
    </row>
    <row r="7562" spans="1:9">
      <c r="A7562" s="7" t="s">
        <v>15746</v>
      </c>
      <c r="B7562" s="2" t="s">
        <v>2628</v>
      </c>
      <c r="C7562" s="1">
        <v>5</v>
      </c>
      <c r="D7562" s="1" t="s">
        <v>34</v>
      </c>
      <c r="E7562" s="1" t="s">
        <v>10</v>
      </c>
      <c r="F7562" s="1" t="s">
        <v>5091</v>
      </c>
      <c r="G7562" s="14" t="s">
        <v>2400</v>
      </c>
      <c r="H7562" s="1" t="s">
        <v>43</v>
      </c>
      <c r="I7562" s="1" t="s">
        <v>4789</v>
      </c>
    </row>
    <row r="7563" spans="1:9">
      <c r="A7563" s="7" t="s">
        <v>15752</v>
      </c>
      <c r="B7563" s="2" t="s">
        <v>2628</v>
      </c>
      <c r="C7563" s="1">
        <v>5</v>
      </c>
      <c r="D7563" s="1" t="s">
        <v>34</v>
      </c>
      <c r="E7563" s="1" t="s">
        <v>10</v>
      </c>
      <c r="F7563" s="1" t="s">
        <v>5091</v>
      </c>
      <c r="G7563" s="14" t="s">
        <v>15753</v>
      </c>
      <c r="H7563" s="1" t="s">
        <v>43</v>
      </c>
      <c r="I7563" s="1" t="s">
        <v>5089</v>
      </c>
    </row>
    <row r="7564" spans="1:9">
      <c r="A7564" s="7" t="s">
        <v>15792</v>
      </c>
      <c r="B7564" s="2" t="s">
        <v>2628</v>
      </c>
      <c r="C7564" s="1">
        <v>5</v>
      </c>
      <c r="D7564" s="1" t="s">
        <v>34</v>
      </c>
      <c r="E7564" s="1" t="s">
        <v>10</v>
      </c>
      <c r="F7564" s="1" t="s">
        <v>5091</v>
      </c>
      <c r="G7564" s="14" t="s">
        <v>6145</v>
      </c>
      <c r="H7564" s="1" t="s">
        <v>43</v>
      </c>
      <c r="I7564" s="1" t="s">
        <v>5659</v>
      </c>
    </row>
    <row r="7565" spans="1:9">
      <c r="A7565" s="7" t="s">
        <v>15794</v>
      </c>
      <c r="B7565" s="2" t="s">
        <v>2628</v>
      </c>
      <c r="C7565" s="1">
        <v>5</v>
      </c>
      <c r="D7565" s="1" t="s">
        <v>34</v>
      </c>
      <c r="E7565" s="1" t="s">
        <v>10</v>
      </c>
      <c r="F7565" s="1" t="s">
        <v>5091</v>
      </c>
      <c r="G7565" s="14" t="s">
        <v>2400</v>
      </c>
      <c r="H7565" s="1" t="s">
        <v>43</v>
      </c>
      <c r="I7565" s="1" t="s">
        <v>5659</v>
      </c>
    </row>
    <row r="7566" spans="1:9">
      <c r="A7566" s="7" t="s">
        <v>15796</v>
      </c>
      <c r="B7566" s="2" t="s">
        <v>2628</v>
      </c>
      <c r="C7566" s="1">
        <v>5</v>
      </c>
      <c r="D7566" s="1" t="s">
        <v>34</v>
      </c>
      <c r="E7566" s="1" t="s">
        <v>10</v>
      </c>
      <c r="F7566" s="1" t="s">
        <v>5091</v>
      </c>
      <c r="G7566" s="14" t="s">
        <v>2400</v>
      </c>
      <c r="H7566" s="1" t="s">
        <v>43</v>
      </c>
      <c r="I7566" s="1" t="s">
        <v>5659</v>
      </c>
    </row>
    <row r="7567" spans="1:9">
      <c r="A7567" s="7" t="s">
        <v>15799</v>
      </c>
      <c r="B7567" s="2" t="s">
        <v>2628</v>
      </c>
      <c r="C7567" s="1">
        <v>5</v>
      </c>
      <c r="D7567" s="1" t="s">
        <v>34</v>
      </c>
      <c r="E7567" s="1" t="s">
        <v>10</v>
      </c>
      <c r="F7567" s="1" t="s">
        <v>5091</v>
      </c>
      <c r="G7567" s="14" t="s">
        <v>2400</v>
      </c>
      <c r="H7567" s="1" t="s">
        <v>43</v>
      </c>
      <c r="I7567" s="1" t="s">
        <v>5659</v>
      </c>
    </row>
    <row r="7568" spans="1:9">
      <c r="A7568" s="7" t="s">
        <v>15802</v>
      </c>
      <c r="B7568" s="2" t="s">
        <v>2628</v>
      </c>
      <c r="C7568" s="1">
        <v>5</v>
      </c>
      <c r="D7568" s="1" t="s">
        <v>34</v>
      </c>
      <c r="E7568" s="1" t="s">
        <v>10</v>
      </c>
      <c r="F7568" s="1" t="s">
        <v>5091</v>
      </c>
      <c r="G7568" s="14" t="s">
        <v>2400</v>
      </c>
      <c r="H7568" s="1" t="s">
        <v>43</v>
      </c>
      <c r="I7568" s="1" t="s">
        <v>5659</v>
      </c>
    </row>
    <row r="7569" spans="1:10">
      <c r="A7569" s="7" t="s">
        <v>15804</v>
      </c>
      <c r="B7569" s="2" t="s">
        <v>2628</v>
      </c>
      <c r="C7569" s="1">
        <v>5</v>
      </c>
      <c r="D7569" s="1" t="s">
        <v>34</v>
      </c>
      <c r="E7569" s="1" t="s">
        <v>10</v>
      </c>
      <c r="F7569" s="1" t="s">
        <v>5091</v>
      </c>
      <c r="G7569" s="14" t="s">
        <v>2400</v>
      </c>
      <c r="H7569" s="1" t="s">
        <v>43</v>
      </c>
      <c r="I7569" s="1" t="s">
        <v>5659</v>
      </c>
    </row>
    <row r="7570" spans="1:10">
      <c r="A7570" s="7" t="s">
        <v>15818</v>
      </c>
      <c r="B7570" s="2" t="s">
        <v>2631</v>
      </c>
      <c r="C7570" s="1">
        <v>5</v>
      </c>
      <c r="D7570" s="1" t="s">
        <v>34</v>
      </c>
      <c r="E7570" s="1" t="s">
        <v>10</v>
      </c>
      <c r="F7570" s="1" t="s">
        <v>5091</v>
      </c>
      <c r="G7570" s="14" t="s">
        <v>15816</v>
      </c>
      <c r="H7570" s="1" t="s">
        <v>43</v>
      </c>
      <c r="I7570" s="1">
        <v>2004</v>
      </c>
      <c r="J7570" s="11"/>
    </row>
    <row r="7571" spans="1:10">
      <c r="A7571" s="7" t="s">
        <v>15829</v>
      </c>
      <c r="B7571" s="2" t="s">
        <v>2628</v>
      </c>
      <c r="C7571" s="1">
        <v>5</v>
      </c>
      <c r="D7571" s="1" t="s">
        <v>34</v>
      </c>
      <c r="E7571" s="1" t="s">
        <v>10</v>
      </c>
      <c r="F7571" s="1" t="s">
        <v>5091</v>
      </c>
      <c r="G7571" s="22" t="s">
        <v>6181</v>
      </c>
      <c r="H7571" s="2" t="s">
        <v>118</v>
      </c>
      <c r="I7571" s="1" t="s">
        <v>4458</v>
      </c>
    </row>
    <row r="7572" spans="1:10">
      <c r="A7572" s="7" t="s">
        <v>15830</v>
      </c>
      <c r="B7572" s="2" t="s">
        <v>2628</v>
      </c>
      <c r="C7572" s="1">
        <v>5</v>
      </c>
      <c r="D7572" s="1" t="s">
        <v>34</v>
      </c>
      <c r="E7572" s="1" t="s">
        <v>10</v>
      </c>
      <c r="F7572" s="1" t="s">
        <v>5091</v>
      </c>
      <c r="G7572" s="22" t="s">
        <v>6181</v>
      </c>
      <c r="H7572" s="2" t="s">
        <v>118</v>
      </c>
      <c r="I7572" s="1" t="s">
        <v>4458</v>
      </c>
    </row>
    <row r="7573" spans="1:10">
      <c r="A7573" s="7" t="s">
        <v>15831</v>
      </c>
      <c r="B7573" s="2" t="s">
        <v>2628</v>
      </c>
      <c r="C7573" s="1">
        <v>5</v>
      </c>
      <c r="D7573" s="1" t="s">
        <v>34</v>
      </c>
      <c r="E7573" s="1" t="s">
        <v>10</v>
      </c>
      <c r="F7573" s="1" t="s">
        <v>5091</v>
      </c>
      <c r="G7573" s="22" t="s">
        <v>6181</v>
      </c>
      <c r="H7573" s="2" t="s">
        <v>118</v>
      </c>
      <c r="I7573" s="1" t="s">
        <v>4458</v>
      </c>
    </row>
    <row r="7574" spans="1:10">
      <c r="A7574" s="7" t="s">
        <v>15840</v>
      </c>
      <c r="B7574" s="2" t="s">
        <v>2628</v>
      </c>
      <c r="C7574" s="1">
        <v>5</v>
      </c>
      <c r="D7574" s="1" t="s">
        <v>34</v>
      </c>
      <c r="E7574" s="1" t="s">
        <v>10</v>
      </c>
      <c r="F7574" s="1" t="s">
        <v>5091</v>
      </c>
      <c r="G7574" s="14" t="s">
        <v>6201</v>
      </c>
      <c r="H7574" s="1" t="s">
        <v>43</v>
      </c>
      <c r="I7574" s="1" t="s">
        <v>5092</v>
      </c>
    </row>
    <row r="7575" spans="1:10">
      <c r="A7575" s="7" t="s">
        <v>15845</v>
      </c>
      <c r="B7575" s="2" t="s">
        <v>2628</v>
      </c>
      <c r="C7575" s="1">
        <v>5</v>
      </c>
      <c r="D7575" s="1" t="s">
        <v>34</v>
      </c>
      <c r="E7575" s="1" t="s">
        <v>10</v>
      </c>
      <c r="F7575" s="1" t="s">
        <v>5091</v>
      </c>
      <c r="G7575" s="14" t="s">
        <v>6362</v>
      </c>
      <c r="H7575" s="1" t="s">
        <v>44</v>
      </c>
      <c r="I7575" s="17">
        <v>38769</v>
      </c>
    </row>
    <row r="7576" spans="1:10">
      <c r="A7576" s="7" t="s">
        <v>15850</v>
      </c>
      <c r="B7576" s="2" t="s">
        <v>2628</v>
      </c>
      <c r="C7576" s="1">
        <v>5</v>
      </c>
      <c r="D7576" s="1" t="s">
        <v>34</v>
      </c>
      <c r="E7576" s="1" t="s">
        <v>10</v>
      </c>
      <c r="F7576" s="1" t="s">
        <v>5091</v>
      </c>
      <c r="G7576" s="14" t="s">
        <v>6367</v>
      </c>
      <c r="H7576" s="1" t="s">
        <v>43</v>
      </c>
      <c r="I7576" s="1" t="s">
        <v>5092</v>
      </c>
    </row>
    <row r="7577" spans="1:10">
      <c r="A7577" s="7" t="s">
        <v>15857</v>
      </c>
      <c r="B7577" s="2" t="s">
        <v>2628</v>
      </c>
      <c r="C7577" s="1">
        <v>5</v>
      </c>
      <c r="D7577" s="1" t="s">
        <v>34</v>
      </c>
      <c r="E7577" s="1" t="s">
        <v>10</v>
      </c>
      <c r="F7577" s="1" t="s">
        <v>5091</v>
      </c>
      <c r="G7577" s="14" t="s">
        <v>15854</v>
      </c>
      <c r="H7577" s="1" t="s">
        <v>43</v>
      </c>
      <c r="I7577" s="1" t="s">
        <v>5092</v>
      </c>
    </row>
    <row r="7578" spans="1:10">
      <c r="A7578" s="7" t="s">
        <v>15859</v>
      </c>
      <c r="B7578" s="2" t="s">
        <v>2628</v>
      </c>
      <c r="C7578" s="1">
        <v>5</v>
      </c>
      <c r="D7578" s="1" t="s">
        <v>34</v>
      </c>
      <c r="E7578" s="1" t="s">
        <v>10</v>
      </c>
      <c r="F7578" s="1" t="s">
        <v>5091</v>
      </c>
      <c r="G7578" s="14" t="s">
        <v>6209</v>
      </c>
      <c r="H7578" s="1" t="s">
        <v>43</v>
      </c>
      <c r="I7578" s="1" t="s">
        <v>5092</v>
      </c>
    </row>
    <row r="7579" spans="1:10">
      <c r="A7579" s="7" t="s">
        <v>15862</v>
      </c>
      <c r="B7579" s="2" t="s">
        <v>2628</v>
      </c>
      <c r="C7579" s="1">
        <v>5</v>
      </c>
      <c r="D7579" s="1" t="s">
        <v>34</v>
      </c>
      <c r="E7579" s="1" t="s">
        <v>10</v>
      </c>
      <c r="F7579" s="1" t="s">
        <v>5091</v>
      </c>
      <c r="G7579" s="14" t="s">
        <v>6196</v>
      </c>
      <c r="H7579" s="1" t="s">
        <v>43</v>
      </c>
      <c r="I7579" s="1" t="s">
        <v>5092</v>
      </c>
    </row>
    <row r="7580" spans="1:10">
      <c r="A7580" s="7" t="s">
        <v>15863</v>
      </c>
      <c r="B7580" s="2" t="s">
        <v>2628</v>
      </c>
      <c r="C7580" s="1">
        <v>5</v>
      </c>
      <c r="D7580" s="1" t="s">
        <v>34</v>
      </c>
      <c r="E7580" s="1" t="s">
        <v>10</v>
      </c>
      <c r="F7580" s="1" t="s">
        <v>5091</v>
      </c>
      <c r="G7580" s="14" t="s">
        <v>6209</v>
      </c>
      <c r="H7580" s="1" t="s">
        <v>43</v>
      </c>
      <c r="I7580" s="1" t="s">
        <v>5092</v>
      </c>
    </row>
    <row r="7581" spans="1:10">
      <c r="A7581" s="7" t="s">
        <v>15864</v>
      </c>
      <c r="B7581" s="2" t="s">
        <v>2628</v>
      </c>
      <c r="C7581" s="1">
        <v>820</v>
      </c>
      <c r="D7581" s="1" t="s">
        <v>34</v>
      </c>
      <c r="E7581" s="1" t="s">
        <v>10</v>
      </c>
      <c r="F7581" s="1" t="s">
        <v>5091</v>
      </c>
      <c r="G7581" s="14" t="s">
        <v>15854</v>
      </c>
      <c r="H7581" s="1" t="s">
        <v>43</v>
      </c>
      <c r="I7581" s="1" t="s">
        <v>5092</v>
      </c>
    </row>
    <row r="7582" spans="1:10">
      <c r="A7582" s="7" t="s">
        <v>15865</v>
      </c>
      <c r="B7582" s="2" t="s">
        <v>2628</v>
      </c>
      <c r="C7582" s="1">
        <v>5</v>
      </c>
      <c r="D7582" s="1" t="s">
        <v>34</v>
      </c>
      <c r="E7582" s="1" t="s">
        <v>10</v>
      </c>
      <c r="F7582" s="1" t="s">
        <v>5091</v>
      </c>
      <c r="G7582" s="14" t="s">
        <v>6367</v>
      </c>
      <c r="H7582" s="1" t="s">
        <v>43</v>
      </c>
      <c r="I7582" s="1" t="s">
        <v>5092</v>
      </c>
    </row>
    <row r="7583" spans="1:10">
      <c r="A7583" s="7" t="s">
        <v>15872</v>
      </c>
      <c r="B7583" s="2" t="s">
        <v>2628</v>
      </c>
      <c r="C7583" s="1">
        <v>5</v>
      </c>
      <c r="D7583" s="1" t="s">
        <v>34</v>
      </c>
      <c r="E7583" s="1" t="s">
        <v>10</v>
      </c>
      <c r="F7583" s="1" t="s">
        <v>5091</v>
      </c>
      <c r="G7583" s="14" t="s">
        <v>6209</v>
      </c>
      <c r="H7583" s="1" t="s">
        <v>43</v>
      </c>
      <c r="I7583" s="1" t="s">
        <v>5092</v>
      </c>
    </row>
    <row r="7584" spans="1:10">
      <c r="A7584" s="7" t="s">
        <v>15873</v>
      </c>
      <c r="B7584" s="2" t="s">
        <v>2631</v>
      </c>
      <c r="C7584" s="1">
        <v>5</v>
      </c>
      <c r="D7584" s="1" t="s">
        <v>34</v>
      </c>
      <c r="E7584" s="1" t="s">
        <v>10</v>
      </c>
      <c r="F7584" s="1" t="s">
        <v>118</v>
      </c>
      <c r="G7584" s="14" t="s">
        <v>15842</v>
      </c>
      <c r="H7584" s="1" t="s">
        <v>5</v>
      </c>
      <c r="I7584" s="1" t="s">
        <v>5801</v>
      </c>
    </row>
    <row r="7585" spans="1:10">
      <c r="A7585" s="7" t="s">
        <v>15874</v>
      </c>
      <c r="B7585" s="2" t="s">
        <v>2628</v>
      </c>
      <c r="C7585" s="1">
        <v>5</v>
      </c>
      <c r="D7585" s="1" t="s">
        <v>34</v>
      </c>
      <c r="E7585" s="1" t="s">
        <v>10</v>
      </c>
      <c r="F7585" s="1" t="s">
        <v>5091</v>
      </c>
      <c r="G7585" s="14" t="s">
        <v>6186</v>
      </c>
      <c r="H7585" s="1" t="s">
        <v>5</v>
      </c>
      <c r="I7585" s="1" t="s">
        <v>5801</v>
      </c>
    </row>
    <row r="7586" spans="1:10">
      <c r="A7586" s="7" t="s">
        <v>15903</v>
      </c>
      <c r="B7586" s="2" t="s">
        <v>2628</v>
      </c>
      <c r="C7586" s="1">
        <v>5</v>
      </c>
      <c r="D7586" s="1" t="s">
        <v>34</v>
      </c>
      <c r="E7586" s="1" t="s">
        <v>10</v>
      </c>
      <c r="F7586" s="1" t="s">
        <v>5091</v>
      </c>
      <c r="G7586" s="14" t="s">
        <v>2400</v>
      </c>
      <c r="H7586" s="1" t="s">
        <v>43</v>
      </c>
      <c r="I7586" s="1" t="s">
        <v>4789</v>
      </c>
    </row>
    <row r="7587" spans="1:10">
      <c r="A7587" s="7" t="s">
        <v>15904</v>
      </c>
      <c r="B7587" s="2" t="s">
        <v>2628</v>
      </c>
      <c r="C7587" s="1">
        <v>5</v>
      </c>
      <c r="D7587" s="1" t="s">
        <v>34</v>
      </c>
      <c r="E7587" s="1" t="s">
        <v>10</v>
      </c>
      <c r="F7587" s="1" t="s">
        <v>5091</v>
      </c>
      <c r="G7587" s="14" t="s">
        <v>2400</v>
      </c>
      <c r="H7587" s="1" t="s">
        <v>43</v>
      </c>
      <c r="I7587" s="1" t="s">
        <v>4789</v>
      </c>
    </row>
    <row r="7588" spans="1:10">
      <c r="A7588" s="7" t="s">
        <v>15905</v>
      </c>
      <c r="B7588" s="2" t="s">
        <v>2628</v>
      </c>
      <c r="C7588" s="1">
        <v>5</v>
      </c>
      <c r="D7588" s="1" t="s">
        <v>34</v>
      </c>
      <c r="E7588" s="1" t="s">
        <v>10</v>
      </c>
      <c r="F7588" s="1" t="s">
        <v>5091</v>
      </c>
      <c r="G7588" s="14" t="s">
        <v>2400</v>
      </c>
      <c r="H7588" s="1" t="s">
        <v>43</v>
      </c>
      <c r="I7588" s="1" t="s">
        <v>4789</v>
      </c>
    </row>
    <row r="7589" spans="1:10">
      <c r="A7589" s="7" t="s">
        <v>15916</v>
      </c>
      <c r="B7589" s="2" t="s">
        <v>2628</v>
      </c>
      <c r="C7589" s="1">
        <v>5</v>
      </c>
      <c r="D7589" s="1" t="s">
        <v>34</v>
      </c>
      <c r="E7589" s="1" t="s">
        <v>10</v>
      </c>
      <c r="F7589" s="1" t="s">
        <v>5091</v>
      </c>
      <c r="G7589" s="22" t="s">
        <v>6181</v>
      </c>
      <c r="H7589" s="2" t="s">
        <v>118</v>
      </c>
      <c r="I7589" s="1" t="s">
        <v>4458</v>
      </c>
    </row>
    <row r="7590" spans="1:10">
      <c r="A7590" s="7" t="s">
        <v>15918</v>
      </c>
      <c r="B7590" s="2" t="s">
        <v>2628</v>
      </c>
      <c r="C7590" s="1">
        <v>5</v>
      </c>
      <c r="D7590" s="1" t="s">
        <v>34</v>
      </c>
      <c r="E7590" s="1" t="s">
        <v>10</v>
      </c>
      <c r="F7590" s="1" t="s">
        <v>5091</v>
      </c>
      <c r="G7590" s="14" t="s">
        <v>6186</v>
      </c>
      <c r="H7590" s="1" t="s">
        <v>5</v>
      </c>
      <c r="I7590" s="1" t="s">
        <v>5807</v>
      </c>
      <c r="J7590" s="17"/>
    </row>
    <row r="7591" spans="1:10">
      <c r="A7591" s="7" t="s">
        <v>15924</v>
      </c>
      <c r="B7591" s="2" t="s">
        <v>2628</v>
      </c>
      <c r="C7591" s="1">
        <v>5</v>
      </c>
      <c r="D7591" s="1" t="s">
        <v>34</v>
      </c>
      <c r="E7591" s="1" t="s">
        <v>10</v>
      </c>
      <c r="F7591" s="1" t="s">
        <v>5091</v>
      </c>
      <c r="G7591" s="14" t="s">
        <v>6209</v>
      </c>
      <c r="H7591" s="1" t="s">
        <v>43</v>
      </c>
      <c r="I7591" s="1" t="s">
        <v>5092</v>
      </c>
    </row>
    <row r="7592" spans="1:10">
      <c r="A7592" s="7" t="s">
        <v>15925</v>
      </c>
      <c r="B7592" s="2" t="s">
        <v>2628</v>
      </c>
      <c r="C7592" s="1">
        <v>820</v>
      </c>
      <c r="D7592" s="1" t="s">
        <v>34</v>
      </c>
      <c r="E7592" s="1" t="s">
        <v>10</v>
      </c>
      <c r="F7592" s="1" t="s">
        <v>5091</v>
      </c>
      <c r="G7592" s="14" t="s">
        <v>6209</v>
      </c>
      <c r="H7592" s="1" t="s">
        <v>43</v>
      </c>
      <c r="I7592" s="1" t="s">
        <v>5092</v>
      </c>
    </row>
    <row r="7593" spans="1:10">
      <c r="A7593" s="21" t="s">
        <v>15981</v>
      </c>
      <c r="B7593" s="13" t="s">
        <v>16958</v>
      </c>
      <c r="C7593" s="13">
        <v>5</v>
      </c>
      <c r="D7593" s="13" t="s">
        <v>34</v>
      </c>
      <c r="E7593" s="13" t="s">
        <v>10</v>
      </c>
      <c r="F7593" s="13" t="s">
        <v>5091</v>
      </c>
      <c r="G7593" s="20" t="s">
        <v>6307</v>
      </c>
      <c r="H7593" s="13" t="s">
        <v>44</v>
      </c>
      <c r="I7593" s="18">
        <v>39930</v>
      </c>
    </row>
    <row r="7594" spans="1:10">
      <c r="A7594" s="7" t="s">
        <v>15982</v>
      </c>
      <c r="B7594" s="2" t="s">
        <v>2628</v>
      </c>
      <c r="C7594" s="1">
        <v>5</v>
      </c>
      <c r="D7594" s="1" t="s">
        <v>34</v>
      </c>
      <c r="E7594" s="1" t="s">
        <v>10</v>
      </c>
      <c r="F7594" s="1" t="s">
        <v>5091</v>
      </c>
      <c r="G7594" s="14" t="s">
        <v>15983</v>
      </c>
      <c r="H7594" s="1" t="s">
        <v>5</v>
      </c>
      <c r="I7594" s="1" t="s">
        <v>5659</v>
      </c>
    </row>
    <row r="7595" spans="1:10">
      <c r="A7595" s="7" t="s">
        <v>15986</v>
      </c>
      <c r="B7595" s="2" t="s">
        <v>2628</v>
      </c>
      <c r="C7595" s="1">
        <v>5</v>
      </c>
      <c r="D7595" s="1" t="s">
        <v>34</v>
      </c>
      <c r="E7595" s="1" t="s">
        <v>10</v>
      </c>
      <c r="F7595" s="1" t="s">
        <v>5091</v>
      </c>
      <c r="G7595" s="14" t="s">
        <v>2400</v>
      </c>
      <c r="H7595" s="1" t="s">
        <v>43</v>
      </c>
      <c r="I7595" s="1" t="s">
        <v>5659</v>
      </c>
    </row>
    <row r="7596" spans="1:10">
      <c r="A7596" s="7" t="s">
        <v>15987</v>
      </c>
      <c r="B7596" s="2" t="s">
        <v>2628</v>
      </c>
      <c r="C7596" s="1">
        <v>5</v>
      </c>
      <c r="D7596" s="1" t="s">
        <v>34</v>
      </c>
      <c r="E7596" s="1" t="s">
        <v>10</v>
      </c>
      <c r="F7596" s="1" t="s">
        <v>5091</v>
      </c>
      <c r="G7596" s="14" t="s">
        <v>2400</v>
      </c>
      <c r="H7596" s="1" t="s">
        <v>43</v>
      </c>
      <c r="I7596" s="1" t="s">
        <v>5659</v>
      </c>
    </row>
    <row r="7597" spans="1:10">
      <c r="A7597" s="21" t="s">
        <v>15988</v>
      </c>
      <c r="B7597" s="13" t="s">
        <v>16958</v>
      </c>
      <c r="C7597" s="13">
        <v>5</v>
      </c>
      <c r="D7597" s="13" t="s">
        <v>34</v>
      </c>
      <c r="E7597" s="13" t="s">
        <v>10</v>
      </c>
      <c r="F7597" s="13" t="s">
        <v>5091</v>
      </c>
      <c r="G7597" s="20" t="s">
        <v>6145</v>
      </c>
      <c r="H7597" s="13" t="s">
        <v>43</v>
      </c>
      <c r="I7597" s="13" t="s">
        <v>5801</v>
      </c>
    </row>
    <row r="7598" spans="1:10">
      <c r="A7598" s="21" t="s">
        <v>15989</v>
      </c>
      <c r="B7598" s="13" t="s">
        <v>16958</v>
      </c>
      <c r="C7598" s="13">
        <v>5</v>
      </c>
      <c r="D7598" s="13" t="s">
        <v>34</v>
      </c>
      <c r="E7598" s="13" t="s">
        <v>10</v>
      </c>
      <c r="F7598" s="13" t="s">
        <v>5091</v>
      </c>
      <c r="G7598" s="20" t="s">
        <v>6307</v>
      </c>
      <c r="H7598" s="13" t="s">
        <v>44</v>
      </c>
      <c r="I7598" s="18">
        <v>39930</v>
      </c>
    </row>
    <row r="7599" spans="1:10">
      <c r="A7599" s="7" t="s">
        <v>15994</v>
      </c>
      <c r="B7599" s="2" t="s">
        <v>2628</v>
      </c>
      <c r="C7599" s="1">
        <v>5</v>
      </c>
      <c r="D7599" s="1" t="s">
        <v>34</v>
      </c>
      <c r="E7599" s="1" t="s">
        <v>10</v>
      </c>
      <c r="F7599" s="1" t="s">
        <v>5091</v>
      </c>
      <c r="G7599" s="14" t="s">
        <v>15983</v>
      </c>
      <c r="H7599" s="1" t="s">
        <v>5</v>
      </c>
      <c r="I7599" s="1" t="s">
        <v>5659</v>
      </c>
    </row>
    <row r="7600" spans="1:10">
      <c r="A7600" s="7" t="s">
        <v>15998</v>
      </c>
      <c r="B7600" s="2" t="s">
        <v>2628</v>
      </c>
      <c r="C7600" s="1">
        <v>5</v>
      </c>
      <c r="D7600" s="1" t="s">
        <v>34</v>
      </c>
      <c r="E7600" s="1" t="s">
        <v>10</v>
      </c>
      <c r="F7600" s="1" t="s">
        <v>5091</v>
      </c>
      <c r="G7600" s="14" t="s">
        <v>15854</v>
      </c>
      <c r="H7600" s="1" t="s">
        <v>43</v>
      </c>
      <c r="I7600" s="1">
        <v>2007</v>
      </c>
    </row>
    <row r="7601" spans="1:10">
      <c r="A7601" s="7" t="s">
        <v>16019</v>
      </c>
      <c r="B7601" s="2" t="s">
        <v>2628</v>
      </c>
      <c r="C7601" s="1">
        <v>5</v>
      </c>
      <c r="D7601" s="1" t="s">
        <v>34</v>
      </c>
      <c r="E7601" s="1" t="s">
        <v>10</v>
      </c>
      <c r="F7601" s="1" t="s">
        <v>5091</v>
      </c>
      <c r="G7601" s="14" t="s">
        <v>16020</v>
      </c>
      <c r="H7601" s="1" t="s">
        <v>5</v>
      </c>
      <c r="I7601" s="1">
        <v>1998</v>
      </c>
    </row>
    <row r="7602" spans="1:10">
      <c r="A7602" s="7" t="s">
        <v>16021</v>
      </c>
      <c r="B7602" s="2" t="s">
        <v>2628</v>
      </c>
      <c r="C7602" s="1">
        <v>5</v>
      </c>
      <c r="D7602" s="1" t="s">
        <v>34</v>
      </c>
      <c r="E7602" s="1" t="s">
        <v>10</v>
      </c>
      <c r="F7602" s="1" t="s">
        <v>5091</v>
      </c>
      <c r="G7602" s="14" t="s">
        <v>6236</v>
      </c>
      <c r="H7602" s="1" t="s">
        <v>43</v>
      </c>
      <c r="I7602" s="1" t="s">
        <v>5807</v>
      </c>
    </row>
    <row r="7603" spans="1:10">
      <c r="A7603" s="7" t="s">
        <v>16022</v>
      </c>
      <c r="B7603" s="2" t="s">
        <v>2628</v>
      </c>
      <c r="C7603" s="1">
        <v>5</v>
      </c>
      <c r="D7603" s="1" t="s">
        <v>34</v>
      </c>
      <c r="E7603" s="1" t="s">
        <v>10</v>
      </c>
      <c r="F7603" s="1" t="s">
        <v>5091</v>
      </c>
      <c r="G7603" s="14" t="s">
        <v>6236</v>
      </c>
      <c r="H7603" s="1" t="s">
        <v>43</v>
      </c>
      <c r="I7603" s="1" t="s">
        <v>5807</v>
      </c>
    </row>
    <row r="7604" spans="1:10">
      <c r="A7604" s="7" t="s">
        <v>16028</v>
      </c>
      <c r="B7604" s="2" t="s">
        <v>2628</v>
      </c>
      <c r="C7604" s="1">
        <v>5</v>
      </c>
      <c r="D7604" s="1" t="s">
        <v>34</v>
      </c>
      <c r="E7604" s="1" t="s">
        <v>10</v>
      </c>
      <c r="F7604" s="1" t="s">
        <v>5091</v>
      </c>
      <c r="G7604" s="14" t="s">
        <v>6186</v>
      </c>
      <c r="H7604" s="1" t="s">
        <v>5</v>
      </c>
      <c r="I7604" s="1" t="s">
        <v>5807</v>
      </c>
      <c r="J7604" s="17"/>
    </row>
    <row r="7605" spans="1:10">
      <c r="A7605" s="7" t="s">
        <v>16060</v>
      </c>
      <c r="B7605" s="2" t="s">
        <v>2628</v>
      </c>
      <c r="C7605" s="1">
        <v>5</v>
      </c>
      <c r="D7605" s="1" t="s">
        <v>34</v>
      </c>
      <c r="E7605" s="1" t="s">
        <v>10</v>
      </c>
      <c r="F7605" s="1" t="s">
        <v>5091</v>
      </c>
      <c r="G7605" s="14" t="s">
        <v>6139</v>
      </c>
      <c r="H7605" s="1" t="s">
        <v>43</v>
      </c>
      <c r="I7605" s="1" t="s">
        <v>5807</v>
      </c>
    </row>
    <row r="7606" spans="1:10">
      <c r="A7606" s="7" t="s">
        <v>16062</v>
      </c>
      <c r="B7606" s="2" t="s">
        <v>2628</v>
      </c>
      <c r="C7606" s="1">
        <v>5</v>
      </c>
      <c r="D7606" s="1" t="s">
        <v>34</v>
      </c>
      <c r="E7606" s="1" t="s">
        <v>10</v>
      </c>
      <c r="F7606" s="1" t="s">
        <v>5091</v>
      </c>
      <c r="G7606" s="14" t="s">
        <v>6139</v>
      </c>
      <c r="H7606" s="1" t="s">
        <v>43</v>
      </c>
      <c r="I7606" s="1" t="s">
        <v>5807</v>
      </c>
    </row>
    <row r="7607" spans="1:10">
      <c r="A7607" s="7" t="s">
        <v>16130</v>
      </c>
      <c r="B7607" s="2" t="s">
        <v>2628</v>
      </c>
      <c r="C7607" s="1">
        <v>5</v>
      </c>
      <c r="D7607" s="1" t="s">
        <v>34</v>
      </c>
      <c r="E7607" s="1" t="s">
        <v>10</v>
      </c>
      <c r="F7607" s="1" t="s">
        <v>5091</v>
      </c>
      <c r="G7607" s="14" t="s">
        <v>6307</v>
      </c>
      <c r="H7607" s="1" t="s">
        <v>44</v>
      </c>
      <c r="I7607" s="17" t="s">
        <v>5807</v>
      </c>
    </row>
    <row r="7608" spans="1:10">
      <c r="A7608" s="7" t="s">
        <v>16133</v>
      </c>
      <c r="B7608" s="2" t="s">
        <v>2631</v>
      </c>
      <c r="C7608" s="1">
        <v>5</v>
      </c>
      <c r="D7608" s="1" t="s">
        <v>34</v>
      </c>
      <c r="E7608" s="1" t="s">
        <v>10</v>
      </c>
      <c r="F7608" s="1" t="s">
        <v>2691</v>
      </c>
      <c r="G7608" s="14" t="s">
        <v>6307</v>
      </c>
      <c r="H7608" s="1" t="s">
        <v>44</v>
      </c>
      <c r="I7608" s="1" t="s">
        <v>5807</v>
      </c>
    </row>
    <row r="7609" spans="1:10">
      <c r="A7609" s="21" t="s">
        <v>16142</v>
      </c>
      <c r="B7609" s="13" t="s">
        <v>16958</v>
      </c>
      <c r="C7609" s="13">
        <v>5</v>
      </c>
      <c r="D7609" s="13" t="s">
        <v>34</v>
      </c>
      <c r="E7609" s="13" t="s">
        <v>10</v>
      </c>
      <c r="F7609" s="13" t="s">
        <v>5091</v>
      </c>
      <c r="G7609" s="20" t="s">
        <v>6145</v>
      </c>
      <c r="H7609" s="13" t="s">
        <v>43</v>
      </c>
      <c r="I7609" s="13" t="s">
        <v>5801</v>
      </c>
    </row>
    <row r="7610" spans="1:10">
      <c r="A7610" s="7" t="s">
        <v>16148</v>
      </c>
      <c r="B7610" s="2" t="s">
        <v>2628</v>
      </c>
      <c r="C7610" s="1">
        <v>5</v>
      </c>
      <c r="D7610" s="1" t="s">
        <v>34</v>
      </c>
      <c r="E7610" s="1" t="s">
        <v>10</v>
      </c>
      <c r="F7610" s="1" t="s">
        <v>5091</v>
      </c>
      <c r="G7610" s="22" t="s">
        <v>6181</v>
      </c>
      <c r="H7610" s="2" t="s">
        <v>118</v>
      </c>
      <c r="I7610" s="1" t="s">
        <v>4458</v>
      </c>
    </row>
    <row r="7611" spans="1:10">
      <c r="A7611" s="7" t="s">
        <v>16152</v>
      </c>
      <c r="B7611" s="2" t="s">
        <v>2628</v>
      </c>
      <c r="C7611" s="1">
        <v>5</v>
      </c>
      <c r="D7611" s="1" t="s">
        <v>34</v>
      </c>
      <c r="E7611" s="1" t="s">
        <v>10</v>
      </c>
      <c r="F7611" s="1" t="s">
        <v>5091</v>
      </c>
      <c r="G7611" s="22" t="s">
        <v>6181</v>
      </c>
      <c r="H7611" s="2" t="s">
        <v>118</v>
      </c>
      <c r="I7611" s="1" t="s">
        <v>4458</v>
      </c>
    </row>
    <row r="7612" spans="1:10">
      <c r="A7612" s="7" t="s">
        <v>16171</v>
      </c>
      <c r="B7612" s="2" t="s">
        <v>2628</v>
      </c>
      <c r="C7612" s="1">
        <v>5</v>
      </c>
      <c r="D7612" s="1" t="s">
        <v>34</v>
      </c>
      <c r="E7612" s="1" t="s">
        <v>10</v>
      </c>
      <c r="F7612" s="1" t="s">
        <v>5091</v>
      </c>
      <c r="G7612" s="22" t="s">
        <v>6181</v>
      </c>
      <c r="H7612" s="2" t="s">
        <v>118</v>
      </c>
      <c r="I7612" s="1" t="s">
        <v>4458</v>
      </c>
    </row>
    <row r="7613" spans="1:10">
      <c r="A7613" s="7" t="s">
        <v>16174</v>
      </c>
      <c r="B7613" s="2" t="s">
        <v>2628</v>
      </c>
      <c r="C7613" s="1">
        <v>5</v>
      </c>
      <c r="D7613" s="1" t="s">
        <v>34</v>
      </c>
      <c r="E7613" s="1" t="s">
        <v>10</v>
      </c>
      <c r="F7613" s="1" t="s">
        <v>5091</v>
      </c>
      <c r="G7613" s="14" t="s">
        <v>6186</v>
      </c>
      <c r="H7613" s="1" t="s">
        <v>5</v>
      </c>
      <c r="I7613" s="1" t="s">
        <v>5807</v>
      </c>
      <c r="J7613" s="17"/>
    </row>
    <row r="7614" spans="1:10">
      <c r="A7614" s="7" t="s">
        <v>16191</v>
      </c>
      <c r="B7614" s="2" t="s">
        <v>2628</v>
      </c>
      <c r="C7614" s="1">
        <v>5</v>
      </c>
      <c r="D7614" s="1" t="s">
        <v>34</v>
      </c>
      <c r="E7614" s="1" t="s">
        <v>10</v>
      </c>
      <c r="F7614" s="1" t="s">
        <v>5091</v>
      </c>
      <c r="G7614" s="14" t="s">
        <v>16192</v>
      </c>
      <c r="H7614" s="1" t="s">
        <v>43</v>
      </c>
      <c r="I7614" s="1" t="s">
        <v>5807</v>
      </c>
    </row>
    <row r="7615" spans="1:10">
      <c r="A7615" s="7" t="s">
        <v>16193</v>
      </c>
      <c r="B7615" s="2" t="s">
        <v>2628</v>
      </c>
      <c r="C7615" s="1">
        <v>5</v>
      </c>
      <c r="D7615" s="1" t="s">
        <v>34</v>
      </c>
      <c r="E7615" s="1" t="s">
        <v>10</v>
      </c>
      <c r="F7615" s="1" t="s">
        <v>5091</v>
      </c>
      <c r="G7615" s="14" t="s">
        <v>16194</v>
      </c>
      <c r="H7615" s="1" t="s">
        <v>5</v>
      </c>
      <c r="I7615" s="1" t="s">
        <v>5807</v>
      </c>
      <c r="J7615" s="17"/>
    </row>
    <row r="7616" spans="1:10">
      <c r="A7616" s="7" t="s">
        <v>16196</v>
      </c>
      <c r="B7616" s="2" t="s">
        <v>2628</v>
      </c>
      <c r="C7616" s="1">
        <v>5</v>
      </c>
      <c r="D7616" s="1" t="s">
        <v>34</v>
      </c>
      <c r="E7616" s="1" t="s">
        <v>10</v>
      </c>
      <c r="F7616" s="1" t="s">
        <v>5091</v>
      </c>
      <c r="G7616" s="14" t="s">
        <v>16197</v>
      </c>
      <c r="H7616" s="1" t="s">
        <v>43</v>
      </c>
      <c r="I7616" s="1" t="s">
        <v>5807</v>
      </c>
    </row>
    <row r="7617" spans="1:10">
      <c r="A7617" s="7" t="s">
        <v>16198</v>
      </c>
      <c r="B7617" s="2" t="s">
        <v>2628</v>
      </c>
      <c r="C7617" s="1">
        <v>5</v>
      </c>
      <c r="D7617" s="1" t="s">
        <v>34</v>
      </c>
      <c r="E7617" s="1" t="s">
        <v>10</v>
      </c>
      <c r="F7617" s="1" t="s">
        <v>5091</v>
      </c>
      <c r="G7617" s="14" t="s">
        <v>16199</v>
      </c>
      <c r="H7617" s="1" t="s">
        <v>43</v>
      </c>
      <c r="I7617" s="1" t="s">
        <v>5807</v>
      </c>
    </row>
    <row r="7618" spans="1:10">
      <c r="A7618" s="7" t="s">
        <v>16203</v>
      </c>
      <c r="B7618" s="2" t="s">
        <v>2628</v>
      </c>
      <c r="C7618" s="1">
        <v>5</v>
      </c>
      <c r="D7618" s="1" t="s">
        <v>34</v>
      </c>
      <c r="E7618" s="1" t="s">
        <v>10</v>
      </c>
      <c r="F7618" s="1" t="s">
        <v>5091</v>
      </c>
      <c r="G7618" s="14" t="s">
        <v>16204</v>
      </c>
      <c r="H7618" s="1" t="s">
        <v>43</v>
      </c>
      <c r="I7618" s="1" t="s">
        <v>5807</v>
      </c>
    </row>
    <row r="7619" spans="1:10">
      <c r="A7619" s="7" t="s">
        <v>16208</v>
      </c>
      <c r="B7619" s="2" t="s">
        <v>2628</v>
      </c>
      <c r="C7619" s="1">
        <v>5</v>
      </c>
      <c r="D7619" s="1" t="s">
        <v>34</v>
      </c>
      <c r="E7619" s="1" t="s">
        <v>10</v>
      </c>
      <c r="F7619" s="1" t="s">
        <v>5091</v>
      </c>
      <c r="G7619" s="14" t="s">
        <v>16209</v>
      </c>
      <c r="H7619" s="1" t="s">
        <v>43</v>
      </c>
      <c r="I7619" s="1" t="s">
        <v>5807</v>
      </c>
    </row>
    <row r="7620" spans="1:10">
      <c r="A7620" s="7" t="s">
        <v>16223</v>
      </c>
      <c r="B7620" s="2" t="s">
        <v>2628</v>
      </c>
      <c r="C7620" s="1">
        <v>5</v>
      </c>
      <c r="D7620" s="1" t="s">
        <v>34</v>
      </c>
      <c r="E7620" s="1" t="s">
        <v>10</v>
      </c>
      <c r="F7620" s="1" t="s">
        <v>5091</v>
      </c>
      <c r="G7620" s="14" t="s">
        <v>16194</v>
      </c>
      <c r="H7620" s="1" t="s">
        <v>5</v>
      </c>
      <c r="I7620" s="1" t="s">
        <v>5807</v>
      </c>
      <c r="J7620" s="17"/>
    </row>
    <row r="7621" spans="1:10">
      <c r="A7621" s="7" t="s">
        <v>16224</v>
      </c>
      <c r="B7621" s="2" t="s">
        <v>2628</v>
      </c>
      <c r="C7621" s="1">
        <v>5</v>
      </c>
      <c r="D7621" s="1" t="s">
        <v>34</v>
      </c>
      <c r="E7621" s="1" t="s">
        <v>10</v>
      </c>
      <c r="F7621" s="1" t="s">
        <v>5091</v>
      </c>
      <c r="G7621" s="14" t="s">
        <v>16194</v>
      </c>
      <c r="H7621" s="1" t="s">
        <v>5</v>
      </c>
      <c r="I7621" s="1" t="s">
        <v>5807</v>
      </c>
      <c r="J7621" s="17"/>
    </row>
    <row r="7622" spans="1:10">
      <c r="A7622" s="7" t="s">
        <v>16246</v>
      </c>
      <c r="B7622" s="2" t="s">
        <v>2628</v>
      </c>
      <c r="C7622" s="1">
        <v>5</v>
      </c>
      <c r="D7622" s="1" t="s">
        <v>34</v>
      </c>
      <c r="E7622" s="1" t="s">
        <v>10</v>
      </c>
      <c r="F7622" s="1" t="s">
        <v>5091</v>
      </c>
      <c r="G7622" s="22" t="s">
        <v>6181</v>
      </c>
      <c r="H7622" s="2" t="s">
        <v>118</v>
      </c>
      <c r="I7622" s="1" t="s">
        <v>4458</v>
      </c>
    </row>
    <row r="7623" spans="1:10">
      <c r="A7623" s="7" t="s">
        <v>16253</v>
      </c>
      <c r="B7623" s="2" t="s">
        <v>2628</v>
      </c>
      <c r="C7623" s="1">
        <v>5</v>
      </c>
      <c r="D7623" s="1" t="s">
        <v>34</v>
      </c>
      <c r="E7623" s="1" t="s">
        <v>10</v>
      </c>
      <c r="F7623" s="1" t="s">
        <v>5091</v>
      </c>
      <c r="G7623" s="14" t="s">
        <v>10279</v>
      </c>
      <c r="H7623" s="1" t="s">
        <v>5</v>
      </c>
      <c r="I7623" s="1" t="s">
        <v>5659</v>
      </c>
    </row>
    <row r="7624" spans="1:10">
      <c r="A7624" s="7" t="s">
        <v>16254</v>
      </c>
      <c r="B7624" s="2" t="s">
        <v>2628</v>
      </c>
      <c r="C7624" s="1">
        <v>5</v>
      </c>
      <c r="D7624" s="1" t="s">
        <v>34</v>
      </c>
      <c r="E7624" s="1" t="s">
        <v>10</v>
      </c>
      <c r="F7624" s="1" t="s">
        <v>5091</v>
      </c>
      <c r="G7624" s="14" t="s">
        <v>16255</v>
      </c>
      <c r="H7624" s="1" t="s">
        <v>5</v>
      </c>
      <c r="I7624" s="1" t="s">
        <v>6844</v>
      </c>
    </row>
    <row r="7625" spans="1:10">
      <c r="A7625" s="7" t="s">
        <v>16275</v>
      </c>
      <c r="B7625" s="2" t="s">
        <v>2628</v>
      </c>
      <c r="C7625" s="1">
        <v>5</v>
      </c>
      <c r="D7625" s="1" t="s">
        <v>34</v>
      </c>
      <c r="E7625" s="1" t="s">
        <v>10</v>
      </c>
      <c r="F7625" s="1" t="s">
        <v>5091</v>
      </c>
      <c r="G7625" s="22" t="s">
        <v>6181</v>
      </c>
      <c r="H7625" s="2" t="s">
        <v>118</v>
      </c>
      <c r="I7625" s="1" t="s">
        <v>4458</v>
      </c>
    </row>
    <row r="7626" spans="1:10">
      <c r="A7626" s="7" t="s">
        <v>16277</v>
      </c>
      <c r="B7626" s="2" t="s">
        <v>2628</v>
      </c>
      <c r="C7626" s="1">
        <v>5</v>
      </c>
      <c r="D7626" s="1" t="s">
        <v>34</v>
      </c>
      <c r="E7626" s="1" t="s">
        <v>10</v>
      </c>
      <c r="F7626" s="1" t="s">
        <v>5091</v>
      </c>
      <c r="G7626" s="14" t="s">
        <v>16278</v>
      </c>
      <c r="H7626" s="1" t="s">
        <v>43</v>
      </c>
      <c r="I7626" s="1" t="s">
        <v>5807</v>
      </c>
    </row>
    <row r="7627" spans="1:10">
      <c r="A7627" s="7" t="s">
        <v>16283</v>
      </c>
      <c r="B7627" s="2" t="s">
        <v>2628</v>
      </c>
      <c r="C7627" s="1">
        <v>5</v>
      </c>
      <c r="D7627" s="1" t="s">
        <v>34</v>
      </c>
      <c r="E7627" s="1" t="s">
        <v>10</v>
      </c>
      <c r="F7627" s="1" t="s">
        <v>5091</v>
      </c>
      <c r="G7627" s="14" t="s">
        <v>16284</v>
      </c>
      <c r="H7627" s="1" t="s">
        <v>43</v>
      </c>
      <c r="I7627" s="1" t="s">
        <v>5807</v>
      </c>
    </row>
    <row r="7628" spans="1:10">
      <c r="A7628" s="7" t="s">
        <v>16289</v>
      </c>
      <c r="B7628" s="2" t="s">
        <v>2628</v>
      </c>
      <c r="C7628" s="1">
        <v>5</v>
      </c>
      <c r="D7628" s="1" t="s">
        <v>34</v>
      </c>
      <c r="E7628" s="1" t="s">
        <v>10</v>
      </c>
      <c r="F7628" s="1" t="s">
        <v>5091</v>
      </c>
      <c r="G7628" s="14" t="s">
        <v>16290</v>
      </c>
      <c r="H7628" s="1" t="s">
        <v>43</v>
      </c>
      <c r="I7628" s="1" t="s">
        <v>5807</v>
      </c>
    </row>
    <row r="7629" spans="1:10">
      <c r="A7629" s="7" t="s">
        <v>16291</v>
      </c>
      <c r="B7629" s="2" t="s">
        <v>2628</v>
      </c>
      <c r="C7629" s="1">
        <v>5</v>
      </c>
      <c r="D7629" s="1" t="s">
        <v>34</v>
      </c>
      <c r="E7629" s="1" t="s">
        <v>10</v>
      </c>
      <c r="F7629" s="1" t="s">
        <v>5091</v>
      </c>
      <c r="G7629" s="14" t="s">
        <v>16292</v>
      </c>
      <c r="H7629" s="1" t="s">
        <v>43</v>
      </c>
      <c r="I7629" s="1" t="s">
        <v>5807</v>
      </c>
    </row>
    <row r="7630" spans="1:10">
      <c r="A7630" s="7" t="s">
        <v>16293</v>
      </c>
      <c r="B7630" s="2" t="s">
        <v>2628</v>
      </c>
      <c r="C7630" s="1">
        <v>5</v>
      </c>
      <c r="D7630" s="1" t="s">
        <v>34</v>
      </c>
      <c r="E7630" s="1" t="s">
        <v>10</v>
      </c>
      <c r="F7630" s="1" t="s">
        <v>5091</v>
      </c>
      <c r="G7630" s="14" t="s">
        <v>16294</v>
      </c>
      <c r="H7630" s="1" t="s">
        <v>43</v>
      </c>
      <c r="I7630" s="1" t="s">
        <v>5807</v>
      </c>
    </row>
    <row r="7631" spans="1:10">
      <c r="A7631" s="7" t="s">
        <v>16295</v>
      </c>
      <c r="B7631" s="2" t="s">
        <v>2628</v>
      </c>
      <c r="C7631" s="1">
        <v>5</v>
      </c>
      <c r="D7631" s="1" t="s">
        <v>34</v>
      </c>
      <c r="E7631" s="1" t="s">
        <v>10</v>
      </c>
      <c r="F7631" s="1" t="s">
        <v>5091</v>
      </c>
      <c r="G7631" s="14" t="s">
        <v>16296</v>
      </c>
      <c r="H7631" s="1" t="s">
        <v>43</v>
      </c>
      <c r="I7631" s="1" t="s">
        <v>5807</v>
      </c>
    </row>
    <row r="7632" spans="1:10">
      <c r="A7632" s="7" t="s">
        <v>16301</v>
      </c>
      <c r="B7632" s="2" t="s">
        <v>2628</v>
      </c>
      <c r="C7632" s="1">
        <v>5</v>
      </c>
      <c r="D7632" s="1" t="s">
        <v>34</v>
      </c>
      <c r="E7632" s="1" t="s">
        <v>10</v>
      </c>
      <c r="F7632" s="1" t="s">
        <v>5091</v>
      </c>
      <c r="G7632" s="14" t="s">
        <v>16302</v>
      </c>
      <c r="H7632" s="1" t="s">
        <v>43</v>
      </c>
      <c r="I7632" s="1" t="s">
        <v>5807</v>
      </c>
      <c r="J7632" s="11"/>
    </row>
    <row r="7633" spans="1:9">
      <c r="A7633" s="7" t="s">
        <v>16309</v>
      </c>
      <c r="B7633" s="2" t="s">
        <v>2628</v>
      </c>
      <c r="C7633" s="1">
        <v>5</v>
      </c>
      <c r="D7633" s="1" t="s">
        <v>34</v>
      </c>
      <c r="E7633" s="1" t="s">
        <v>10</v>
      </c>
      <c r="F7633" s="1" t="s">
        <v>5091</v>
      </c>
      <c r="G7633" s="14" t="s">
        <v>16310</v>
      </c>
      <c r="H7633" s="1" t="s">
        <v>43</v>
      </c>
      <c r="I7633" s="1" t="s">
        <v>5807</v>
      </c>
    </row>
    <row r="7634" spans="1:9">
      <c r="A7634" s="7" t="s">
        <v>16311</v>
      </c>
      <c r="B7634" s="2" t="s">
        <v>2628</v>
      </c>
      <c r="C7634" s="1">
        <v>5</v>
      </c>
      <c r="D7634" s="1" t="s">
        <v>34</v>
      </c>
      <c r="E7634" s="1" t="s">
        <v>10</v>
      </c>
      <c r="F7634" s="1" t="s">
        <v>5091</v>
      </c>
      <c r="G7634" s="14" t="s">
        <v>16312</v>
      </c>
      <c r="H7634" s="1" t="s">
        <v>43</v>
      </c>
      <c r="I7634" s="1" t="s">
        <v>5807</v>
      </c>
    </row>
    <row r="7635" spans="1:9">
      <c r="A7635" s="7" t="s">
        <v>16315</v>
      </c>
      <c r="B7635" s="2" t="s">
        <v>2628</v>
      </c>
      <c r="C7635" s="1">
        <v>5</v>
      </c>
      <c r="D7635" s="1" t="s">
        <v>34</v>
      </c>
      <c r="E7635" s="1" t="s">
        <v>10</v>
      </c>
      <c r="F7635" s="1" t="s">
        <v>5091</v>
      </c>
      <c r="G7635" s="14" t="s">
        <v>16316</v>
      </c>
      <c r="H7635" s="1" t="s">
        <v>43</v>
      </c>
      <c r="I7635" s="1" t="s">
        <v>5807</v>
      </c>
    </row>
    <row r="7636" spans="1:9">
      <c r="A7636" s="7" t="s">
        <v>16317</v>
      </c>
      <c r="B7636" s="2" t="s">
        <v>2628</v>
      </c>
      <c r="C7636" s="1">
        <v>5</v>
      </c>
      <c r="D7636" s="1" t="s">
        <v>34</v>
      </c>
      <c r="E7636" s="1" t="s">
        <v>10</v>
      </c>
      <c r="F7636" s="1" t="s">
        <v>5091</v>
      </c>
      <c r="G7636" s="14" t="s">
        <v>16318</v>
      </c>
      <c r="H7636" s="1" t="s">
        <v>43</v>
      </c>
      <c r="I7636" s="1" t="s">
        <v>5807</v>
      </c>
    </row>
    <row r="7637" spans="1:9">
      <c r="A7637" s="7" t="s">
        <v>16321</v>
      </c>
      <c r="B7637" s="2" t="s">
        <v>2628</v>
      </c>
      <c r="C7637" s="1">
        <v>5</v>
      </c>
      <c r="D7637" s="1" t="s">
        <v>34</v>
      </c>
      <c r="E7637" s="1" t="s">
        <v>10</v>
      </c>
      <c r="F7637" s="1" t="s">
        <v>5091</v>
      </c>
      <c r="G7637" s="14" t="s">
        <v>16322</v>
      </c>
      <c r="H7637" s="1" t="s">
        <v>43</v>
      </c>
      <c r="I7637" s="1" t="s">
        <v>5807</v>
      </c>
    </row>
    <row r="7638" spans="1:9">
      <c r="A7638" s="7" t="s">
        <v>16326</v>
      </c>
      <c r="B7638" s="1" t="s">
        <v>2628</v>
      </c>
      <c r="C7638" s="1">
        <v>5</v>
      </c>
      <c r="D7638" s="1" t="s">
        <v>34</v>
      </c>
      <c r="E7638" s="1" t="s">
        <v>10</v>
      </c>
      <c r="F7638" s="1" t="s">
        <v>5091</v>
      </c>
      <c r="G7638" s="1" t="s">
        <v>10705</v>
      </c>
      <c r="H7638" s="1" t="s">
        <v>44</v>
      </c>
      <c r="I7638" s="1" t="s">
        <v>5848</v>
      </c>
    </row>
    <row r="7639" spans="1:9">
      <c r="A7639" s="7" t="s">
        <v>16327</v>
      </c>
      <c r="B7639" s="1" t="s">
        <v>2628</v>
      </c>
      <c r="C7639" s="1">
        <v>5</v>
      </c>
      <c r="D7639" s="1" t="s">
        <v>34</v>
      </c>
      <c r="E7639" s="1" t="s">
        <v>10</v>
      </c>
      <c r="F7639" s="1" t="s">
        <v>5091</v>
      </c>
      <c r="G7639" s="1" t="s">
        <v>10705</v>
      </c>
      <c r="H7639" s="1" t="s">
        <v>44</v>
      </c>
      <c r="I7639" s="1" t="s">
        <v>5848</v>
      </c>
    </row>
    <row r="7640" spans="1:9">
      <c r="A7640" s="7" t="s">
        <v>16328</v>
      </c>
      <c r="B7640" s="1" t="s">
        <v>2628</v>
      </c>
      <c r="C7640" s="1">
        <v>5</v>
      </c>
      <c r="D7640" s="1" t="s">
        <v>34</v>
      </c>
      <c r="E7640" s="1" t="s">
        <v>10</v>
      </c>
      <c r="F7640" s="1" t="s">
        <v>5091</v>
      </c>
      <c r="G7640" s="1" t="s">
        <v>10705</v>
      </c>
      <c r="H7640" s="1" t="s">
        <v>44</v>
      </c>
      <c r="I7640" s="1" t="s">
        <v>5848</v>
      </c>
    </row>
    <row r="7641" spans="1:9">
      <c r="A7641" s="7" t="s">
        <v>16329</v>
      </c>
      <c r="B7641" s="1" t="s">
        <v>2628</v>
      </c>
      <c r="C7641" s="1">
        <v>5</v>
      </c>
      <c r="D7641" s="1" t="s">
        <v>34</v>
      </c>
      <c r="E7641" s="1" t="s">
        <v>10</v>
      </c>
      <c r="F7641" s="1" t="s">
        <v>5091</v>
      </c>
      <c r="G7641" s="1" t="s">
        <v>10705</v>
      </c>
      <c r="H7641" s="1" t="s">
        <v>44</v>
      </c>
      <c r="I7641" s="1" t="s">
        <v>5848</v>
      </c>
    </row>
    <row r="7642" spans="1:9">
      <c r="A7642" s="7" t="s">
        <v>16330</v>
      </c>
      <c r="B7642" s="1" t="s">
        <v>2628</v>
      </c>
      <c r="C7642" s="1">
        <v>5</v>
      </c>
      <c r="D7642" s="1" t="s">
        <v>34</v>
      </c>
      <c r="E7642" s="1" t="s">
        <v>10</v>
      </c>
      <c r="F7642" s="1" t="s">
        <v>5091</v>
      </c>
      <c r="G7642" s="1" t="s">
        <v>10705</v>
      </c>
      <c r="H7642" s="1" t="s">
        <v>44</v>
      </c>
      <c r="I7642" s="1" t="s">
        <v>5848</v>
      </c>
    </row>
    <row r="7643" spans="1:9">
      <c r="A7643" s="7" t="s">
        <v>16331</v>
      </c>
      <c r="B7643" s="1" t="s">
        <v>2628</v>
      </c>
      <c r="C7643" s="1">
        <v>5</v>
      </c>
      <c r="D7643" s="1" t="s">
        <v>34</v>
      </c>
      <c r="E7643" s="1" t="s">
        <v>10</v>
      </c>
      <c r="F7643" s="1" t="s">
        <v>5091</v>
      </c>
      <c r="G7643" s="1" t="s">
        <v>10705</v>
      </c>
      <c r="H7643" s="1" t="s">
        <v>44</v>
      </c>
      <c r="I7643" s="1" t="s">
        <v>5848</v>
      </c>
    </row>
    <row r="7644" spans="1:9">
      <c r="A7644" s="7" t="s">
        <v>16332</v>
      </c>
      <c r="B7644" s="1" t="s">
        <v>2628</v>
      </c>
      <c r="C7644" s="1">
        <v>5</v>
      </c>
      <c r="D7644" s="1" t="s">
        <v>34</v>
      </c>
      <c r="E7644" s="1" t="s">
        <v>10</v>
      </c>
      <c r="F7644" s="1" t="s">
        <v>5091</v>
      </c>
      <c r="G7644" s="1" t="s">
        <v>10705</v>
      </c>
      <c r="H7644" s="1" t="s">
        <v>44</v>
      </c>
      <c r="I7644" s="1" t="s">
        <v>5848</v>
      </c>
    </row>
    <row r="7645" spans="1:9">
      <c r="A7645" s="7" t="s">
        <v>16333</v>
      </c>
      <c r="B7645" s="1" t="s">
        <v>2628</v>
      </c>
      <c r="C7645" s="1">
        <v>5</v>
      </c>
      <c r="D7645" s="1" t="s">
        <v>34</v>
      </c>
      <c r="E7645" s="1" t="s">
        <v>10</v>
      </c>
      <c r="F7645" s="1" t="s">
        <v>5091</v>
      </c>
      <c r="G7645" s="1" t="s">
        <v>10705</v>
      </c>
      <c r="H7645" s="1" t="s">
        <v>44</v>
      </c>
      <c r="I7645" s="1" t="s">
        <v>5848</v>
      </c>
    </row>
    <row r="7646" spans="1:9">
      <c r="A7646" s="7" t="s">
        <v>16334</v>
      </c>
      <c r="B7646" s="1" t="s">
        <v>2628</v>
      </c>
      <c r="C7646" s="1">
        <v>5</v>
      </c>
      <c r="D7646" s="1" t="s">
        <v>34</v>
      </c>
      <c r="E7646" s="1" t="s">
        <v>10</v>
      </c>
      <c r="F7646" s="1" t="s">
        <v>5091</v>
      </c>
      <c r="G7646" s="1" t="s">
        <v>10705</v>
      </c>
      <c r="H7646" s="1" t="s">
        <v>44</v>
      </c>
      <c r="I7646" s="1" t="s">
        <v>5848</v>
      </c>
    </row>
    <row r="7647" spans="1:9">
      <c r="A7647" s="7" t="s">
        <v>16335</v>
      </c>
      <c r="B7647" s="1" t="s">
        <v>2628</v>
      </c>
      <c r="C7647" s="1">
        <v>5</v>
      </c>
      <c r="D7647" s="1" t="s">
        <v>34</v>
      </c>
      <c r="E7647" s="1" t="s">
        <v>10</v>
      </c>
      <c r="F7647" s="1" t="s">
        <v>5091</v>
      </c>
      <c r="G7647" s="1" t="s">
        <v>10705</v>
      </c>
      <c r="H7647" s="1" t="s">
        <v>44</v>
      </c>
      <c r="I7647" s="1" t="s">
        <v>5848</v>
      </c>
    </row>
    <row r="7648" spans="1:9">
      <c r="A7648" s="7" t="s">
        <v>16336</v>
      </c>
      <c r="B7648" s="1" t="s">
        <v>2631</v>
      </c>
      <c r="C7648" s="1">
        <v>5</v>
      </c>
      <c r="D7648" s="1" t="s">
        <v>34</v>
      </c>
      <c r="E7648" s="1" t="s">
        <v>10</v>
      </c>
      <c r="F7648" s="1" t="s">
        <v>5091</v>
      </c>
      <c r="G7648" s="1" t="s">
        <v>10705</v>
      </c>
      <c r="H7648" s="1" t="s">
        <v>44</v>
      </c>
      <c r="I7648" s="1" t="s">
        <v>5848</v>
      </c>
    </row>
    <row r="7649" spans="1:9">
      <c r="A7649" s="7" t="s">
        <v>16337</v>
      </c>
      <c r="B7649" s="1" t="s">
        <v>2628</v>
      </c>
      <c r="C7649" s="1">
        <v>5</v>
      </c>
      <c r="D7649" s="1" t="s">
        <v>34</v>
      </c>
      <c r="E7649" s="1" t="s">
        <v>10</v>
      </c>
      <c r="F7649" s="1" t="s">
        <v>5091</v>
      </c>
      <c r="G7649" s="1" t="s">
        <v>10705</v>
      </c>
      <c r="H7649" s="1" t="s">
        <v>44</v>
      </c>
      <c r="I7649" s="1" t="s">
        <v>5848</v>
      </c>
    </row>
    <row r="7650" spans="1:9">
      <c r="A7650" s="7" t="s">
        <v>16338</v>
      </c>
      <c r="B7650" s="1" t="s">
        <v>2628</v>
      </c>
      <c r="C7650" s="1">
        <v>5</v>
      </c>
      <c r="D7650" s="1" t="s">
        <v>34</v>
      </c>
      <c r="E7650" s="1" t="s">
        <v>10</v>
      </c>
      <c r="F7650" s="1" t="s">
        <v>5091</v>
      </c>
      <c r="G7650" s="1" t="s">
        <v>10705</v>
      </c>
      <c r="H7650" s="1" t="s">
        <v>44</v>
      </c>
      <c r="I7650" s="1" t="s">
        <v>5483</v>
      </c>
    </row>
    <row r="7651" spans="1:9">
      <c r="A7651" s="7" t="s">
        <v>16339</v>
      </c>
      <c r="B7651" s="1" t="s">
        <v>2628</v>
      </c>
      <c r="C7651" s="1">
        <v>5</v>
      </c>
      <c r="D7651" s="1" t="s">
        <v>34</v>
      </c>
      <c r="E7651" s="1" t="s">
        <v>10</v>
      </c>
      <c r="F7651" s="1" t="s">
        <v>5091</v>
      </c>
      <c r="G7651" s="1" t="s">
        <v>10705</v>
      </c>
      <c r="H7651" s="1" t="s">
        <v>44</v>
      </c>
      <c r="I7651" s="1" t="s">
        <v>5848</v>
      </c>
    </row>
    <row r="7652" spans="1:9">
      <c r="A7652" s="7" t="s">
        <v>16340</v>
      </c>
      <c r="B7652" s="1" t="s">
        <v>2628</v>
      </c>
      <c r="C7652" s="1">
        <v>5</v>
      </c>
      <c r="D7652" s="1" t="s">
        <v>34</v>
      </c>
      <c r="E7652" s="1" t="s">
        <v>10</v>
      </c>
      <c r="F7652" s="1" t="s">
        <v>5091</v>
      </c>
      <c r="G7652" s="1" t="s">
        <v>10705</v>
      </c>
      <c r="H7652" s="1" t="s">
        <v>44</v>
      </c>
      <c r="I7652" s="1" t="s">
        <v>5483</v>
      </c>
    </row>
    <row r="7653" spans="1:9">
      <c r="A7653" s="7" t="s">
        <v>16341</v>
      </c>
      <c r="B7653" s="1" t="s">
        <v>2628</v>
      </c>
      <c r="C7653" s="1">
        <v>5</v>
      </c>
      <c r="D7653" s="1" t="s">
        <v>34</v>
      </c>
      <c r="E7653" s="1" t="s">
        <v>10</v>
      </c>
      <c r="F7653" s="1" t="s">
        <v>5091</v>
      </c>
      <c r="G7653" s="1" t="s">
        <v>10705</v>
      </c>
      <c r="H7653" s="1" t="s">
        <v>44</v>
      </c>
      <c r="I7653" s="1" t="s">
        <v>5848</v>
      </c>
    </row>
    <row r="7654" spans="1:9">
      <c r="A7654" s="7" t="s">
        <v>16342</v>
      </c>
      <c r="B7654" s="1" t="s">
        <v>2628</v>
      </c>
      <c r="C7654" s="1">
        <v>5</v>
      </c>
      <c r="D7654" s="1" t="s">
        <v>34</v>
      </c>
      <c r="E7654" s="1" t="s">
        <v>10</v>
      </c>
      <c r="F7654" s="1" t="s">
        <v>5091</v>
      </c>
      <c r="G7654" s="1" t="s">
        <v>10705</v>
      </c>
      <c r="H7654" s="1" t="s">
        <v>44</v>
      </c>
      <c r="I7654" s="1" t="s">
        <v>5848</v>
      </c>
    </row>
    <row r="7655" spans="1:9">
      <c r="A7655" s="7" t="s">
        <v>16343</v>
      </c>
      <c r="B7655" s="1" t="s">
        <v>2628</v>
      </c>
      <c r="C7655" s="1">
        <v>5</v>
      </c>
      <c r="D7655" s="1" t="s">
        <v>34</v>
      </c>
      <c r="E7655" s="1" t="s">
        <v>10</v>
      </c>
      <c r="F7655" s="1" t="s">
        <v>5091</v>
      </c>
      <c r="G7655" s="1" t="s">
        <v>10705</v>
      </c>
      <c r="H7655" s="1" t="s">
        <v>44</v>
      </c>
      <c r="I7655" s="1" t="s">
        <v>5848</v>
      </c>
    </row>
    <row r="7656" spans="1:9">
      <c r="A7656" s="7" t="s">
        <v>16344</v>
      </c>
      <c r="B7656" s="1" t="s">
        <v>2628</v>
      </c>
      <c r="C7656" s="1">
        <v>5</v>
      </c>
      <c r="D7656" s="1" t="s">
        <v>34</v>
      </c>
      <c r="E7656" s="1" t="s">
        <v>10</v>
      </c>
      <c r="F7656" s="1" t="s">
        <v>5091</v>
      </c>
      <c r="G7656" s="1" t="s">
        <v>10705</v>
      </c>
      <c r="H7656" s="1" t="s">
        <v>44</v>
      </c>
      <c r="I7656" s="1" t="s">
        <v>5848</v>
      </c>
    </row>
    <row r="7657" spans="1:9">
      <c r="A7657" s="7" t="s">
        <v>16345</v>
      </c>
      <c r="B7657" s="1" t="s">
        <v>2628</v>
      </c>
      <c r="C7657" s="1">
        <v>5</v>
      </c>
      <c r="D7657" s="1" t="s">
        <v>34</v>
      </c>
      <c r="E7657" s="1" t="s">
        <v>10</v>
      </c>
      <c r="F7657" s="1" t="s">
        <v>5091</v>
      </c>
      <c r="G7657" s="1" t="s">
        <v>10705</v>
      </c>
      <c r="H7657" s="1" t="s">
        <v>44</v>
      </c>
      <c r="I7657" s="1" t="s">
        <v>5848</v>
      </c>
    </row>
    <row r="7658" spans="1:9">
      <c r="A7658" s="7" t="s">
        <v>16347</v>
      </c>
      <c r="B7658" s="1" t="s">
        <v>2628</v>
      </c>
      <c r="C7658" s="1">
        <v>5</v>
      </c>
      <c r="D7658" s="1" t="s">
        <v>34</v>
      </c>
      <c r="E7658" s="1" t="s">
        <v>10</v>
      </c>
      <c r="F7658" s="1" t="s">
        <v>5091</v>
      </c>
      <c r="G7658" s="1" t="s">
        <v>10705</v>
      </c>
      <c r="H7658" s="1" t="s">
        <v>44</v>
      </c>
      <c r="I7658" s="1" t="s">
        <v>5848</v>
      </c>
    </row>
    <row r="7659" spans="1:9">
      <c r="A7659" s="7" t="s">
        <v>16348</v>
      </c>
      <c r="B7659" s="1" t="s">
        <v>2628</v>
      </c>
      <c r="C7659" s="1">
        <v>5</v>
      </c>
      <c r="D7659" s="1" t="s">
        <v>34</v>
      </c>
      <c r="E7659" s="1" t="s">
        <v>10</v>
      </c>
      <c r="F7659" s="1" t="s">
        <v>5091</v>
      </c>
      <c r="G7659" s="1" t="s">
        <v>10705</v>
      </c>
      <c r="H7659" s="1" t="s">
        <v>44</v>
      </c>
      <c r="I7659" s="1" t="s">
        <v>5848</v>
      </c>
    </row>
    <row r="7660" spans="1:9">
      <c r="A7660" s="7" t="s">
        <v>16349</v>
      </c>
      <c r="B7660" s="1" t="s">
        <v>2628</v>
      </c>
      <c r="C7660" s="1">
        <v>5</v>
      </c>
      <c r="D7660" s="1" t="s">
        <v>34</v>
      </c>
      <c r="E7660" s="1" t="s">
        <v>10</v>
      </c>
      <c r="F7660" s="1" t="s">
        <v>5091</v>
      </c>
      <c r="G7660" s="1" t="s">
        <v>10705</v>
      </c>
      <c r="H7660" s="1" t="s">
        <v>44</v>
      </c>
      <c r="I7660" s="1" t="s">
        <v>5848</v>
      </c>
    </row>
    <row r="7661" spans="1:9">
      <c r="A7661" s="7" t="s">
        <v>16350</v>
      </c>
      <c r="B7661" s="1" t="s">
        <v>2628</v>
      </c>
      <c r="C7661" s="1">
        <v>5</v>
      </c>
      <c r="D7661" s="1" t="s">
        <v>34</v>
      </c>
      <c r="E7661" s="1" t="s">
        <v>10</v>
      </c>
      <c r="F7661" s="1" t="s">
        <v>5091</v>
      </c>
      <c r="G7661" s="1" t="s">
        <v>10705</v>
      </c>
      <c r="H7661" s="1" t="s">
        <v>44</v>
      </c>
      <c r="I7661" s="1" t="s">
        <v>5848</v>
      </c>
    </row>
    <row r="7662" spans="1:9">
      <c r="A7662" s="7" t="s">
        <v>16351</v>
      </c>
      <c r="B7662" s="1" t="s">
        <v>2628</v>
      </c>
      <c r="C7662" s="1">
        <v>5</v>
      </c>
      <c r="D7662" s="1" t="s">
        <v>34</v>
      </c>
      <c r="E7662" s="1" t="s">
        <v>10</v>
      </c>
      <c r="F7662" s="1" t="s">
        <v>5091</v>
      </c>
      <c r="G7662" s="1" t="s">
        <v>10705</v>
      </c>
      <c r="H7662" s="1" t="s">
        <v>44</v>
      </c>
      <c r="I7662" s="1" t="s">
        <v>5483</v>
      </c>
    </row>
    <row r="7663" spans="1:9">
      <c r="A7663" s="7" t="s">
        <v>16352</v>
      </c>
      <c r="B7663" s="1" t="s">
        <v>2628</v>
      </c>
      <c r="C7663" s="1">
        <v>5</v>
      </c>
      <c r="D7663" s="1" t="s">
        <v>34</v>
      </c>
      <c r="E7663" s="1" t="s">
        <v>10</v>
      </c>
      <c r="F7663" s="1" t="s">
        <v>5091</v>
      </c>
      <c r="G7663" s="1" t="s">
        <v>10705</v>
      </c>
      <c r="H7663" s="1" t="s">
        <v>44</v>
      </c>
      <c r="I7663" s="1" t="s">
        <v>5848</v>
      </c>
    </row>
    <row r="7664" spans="1:9">
      <c r="A7664" s="7" t="s">
        <v>16353</v>
      </c>
      <c r="B7664" s="1" t="s">
        <v>2628</v>
      </c>
      <c r="C7664" s="1">
        <v>5</v>
      </c>
      <c r="D7664" s="1" t="s">
        <v>34</v>
      </c>
      <c r="E7664" s="1" t="s">
        <v>10</v>
      </c>
      <c r="F7664" s="1" t="s">
        <v>5091</v>
      </c>
      <c r="G7664" s="1" t="s">
        <v>10705</v>
      </c>
      <c r="H7664" s="1" t="s">
        <v>44</v>
      </c>
      <c r="I7664" s="1" t="s">
        <v>5848</v>
      </c>
    </row>
    <row r="7665" spans="1:9">
      <c r="A7665" s="7" t="s">
        <v>16354</v>
      </c>
      <c r="B7665" s="1" t="s">
        <v>2628</v>
      </c>
      <c r="C7665" s="1">
        <v>5</v>
      </c>
      <c r="D7665" s="1" t="s">
        <v>34</v>
      </c>
      <c r="E7665" s="1" t="s">
        <v>10</v>
      </c>
      <c r="F7665" s="1" t="s">
        <v>5091</v>
      </c>
      <c r="G7665" s="1" t="s">
        <v>10705</v>
      </c>
      <c r="H7665" s="1" t="s">
        <v>44</v>
      </c>
      <c r="I7665" s="1" t="s">
        <v>5848</v>
      </c>
    </row>
    <row r="7666" spans="1:9">
      <c r="A7666" s="7" t="s">
        <v>16355</v>
      </c>
      <c r="B7666" s="1" t="s">
        <v>2628</v>
      </c>
      <c r="C7666" s="1">
        <v>5</v>
      </c>
      <c r="D7666" s="1" t="s">
        <v>34</v>
      </c>
      <c r="E7666" s="1" t="s">
        <v>10</v>
      </c>
      <c r="F7666" s="1" t="s">
        <v>5091</v>
      </c>
      <c r="G7666" s="1" t="s">
        <v>10705</v>
      </c>
      <c r="H7666" s="1" t="s">
        <v>44</v>
      </c>
      <c r="I7666" s="1" t="s">
        <v>5848</v>
      </c>
    </row>
    <row r="7667" spans="1:9">
      <c r="A7667" s="7" t="s">
        <v>16360</v>
      </c>
      <c r="B7667" s="1" t="s">
        <v>2631</v>
      </c>
      <c r="C7667" s="1">
        <v>5</v>
      </c>
      <c r="D7667" s="1" t="s">
        <v>34</v>
      </c>
      <c r="E7667" s="1" t="s">
        <v>10</v>
      </c>
      <c r="F7667" s="1" t="s">
        <v>5091</v>
      </c>
      <c r="G7667" s="1" t="s">
        <v>10705</v>
      </c>
      <c r="H7667" s="1" t="s">
        <v>44</v>
      </c>
      <c r="I7667" s="1" t="s">
        <v>5848</v>
      </c>
    </row>
    <row r="7668" spans="1:9">
      <c r="A7668" s="7" t="s">
        <v>16361</v>
      </c>
      <c r="B7668" s="1" t="s">
        <v>2628</v>
      </c>
      <c r="C7668" s="1">
        <v>5</v>
      </c>
      <c r="D7668" s="1" t="s">
        <v>34</v>
      </c>
      <c r="E7668" s="1" t="s">
        <v>10</v>
      </c>
      <c r="F7668" s="1" t="s">
        <v>5091</v>
      </c>
      <c r="G7668" s="1" t="s">
        <v>10705</v>
      </c>
      <c r="H7668" s="1" t="s">
        <v>44</v>
      </c>
      <c r="I7668" s="1" t="s">
        <v>5848</v>
      </c>
    </row>
    <row r="7669" spans="1:9">
      <c r="A7669" s="7" t="s">
        <v>16364</v>
      </c>
      <c r="B7669" s="1" t="s">
        <v>2628</v>
      </c>
      <c r="C7669" s="1">
        <v>5</v>
      </c>
      <c r="D7669" s="1" t="s">
        <v>34</v>
      </c>
      <c r="E7669" s="1" t="s">
        <v>10</v>
      </c>
      <c r="F7669" s="1" t="s">
        <v>5091</v>
      </c>
      <c r="G7669" s="1" t="s">
        <v>10705</v>
      </c>
      <c r="H7669" s="1" t="s">
        <v>44</v>
      </c>
      <c r="I7669" s="1" t="s">
        <v>5848</v>
      </c>
    </row>
    <row r="7670" spans="1:9">
      <c r="A7670" s="7" t="s">
        <v>16366</v>
      </c>
      <c r="B7670" s="1" t="s">
        <v>2628</v>
      </c>
      <c r="C7670" s="1">
        <v>5</v>
      </c>
      <c r="D7670" s="1" t="s">
        <v>34</v>
      </c>
      <c r="E7670" s="1" t="s">
        <v>10</v>
      </c>
      <c r="F7670" s="1" t="s">
        <v>5091</v>
      </c>
      <c r="G7670" s="1" t="s">
        <v>10705</v>
      </c>
      <c r="H7670" s="1" t="s">
        <v>44</v>
      </c>
      <c r="I7670" s="1" t="s">
        <v>5848</v>
      </c>
    </row>
    <row r="7671" spans="1:9">
      <c r="A7671" s="7" t="s">
        <v>16368</v>
      </c>
      <c r="B7671" s="1" t="s">
        <v>2628</v>
      </c>
      <c r="C7671" s="1">
        <v>5</v>
      </c>
      <c r="D7671" s="1" t="s">
        <v>34</v>
      </c>
      <c r="E7671" s="1" t="s">
        <v>10</v>
      </c>
      <c r="F7671" s="1" t="s">
        <v>5091</v>
      </c>
      <c r="G7671" s="1" t="s">
        <v>10705</v>
      </c>
      <c r="H7671" s="1" t="s">
        <v>44</v>
      </c>
      <c r="I7671" s="1" t="s">
        <v>5848</v>
      </c>
    </row>
    <row r="7672" spans="1:9">
      <c r="A7672" s="7" t="s">
        <v>16370</v>
      </c>
      <c r="B7672" s="1" t="s">
        <v>2628</v>
      </c>
      <c r="C7672" s="1">
        <v>5</v>
      </c>
      <c r="D7672" s="1" t="s">
        <v>34</v>
      </c>
      <c r="E7672" s="1" t="s">
        <v>10</v>
      </c>
      <c r="F7672" s="1" t="s">
        <v>5091</v>
      </c>
      <c r="G7672" s="1" t="s">
        <v>10705</v>
      </c>
      <c r="H7672" s="1" t="s">
        <v>44</v>
      </c>
      <c r="I7672" s="1" t="s">
        <v>5848</v>
      </c>
    </row>
    <row r="7673" spans="1:9">
      <c r="A7673" s="7" t="s">
        <v>16371</v>
      </c>
      <c r="B7673" s="1" t="s">
        <v>2628</v>
      </c>
      <c r="C7673" s="1">
        <v>5</v>
      </c>
      <c r="D7673" s="1" t="s">
        <v>34</v>
      </c>
      <c r="E7673" s="1" t="s">
        <v>10</v>
      </c>
      <c r="F7673" s="1" t="s">
        <v>5091</v>
      </c>
      <c r="G7673" s="1" t="s">
        <v>10705</v>
      </c>
      <c r="H7673" s="1" t="s">
        <v>44</v>
      </c>
      <c r="I7673" s="1" t="s">
        <v>5848</v>
      </c>
    </row>
    <row r="7674" spans="1:9">
      <c r="A7674" s="7" t="s">
        <v>16372</v>
      </c>
      <c r="B7674" s="1" t="s">
        <v>2628</v>
      </c>
      <c r="C7674" s="1">
        <v>5</v>
      </c>
      <c r="D7674" s="1" t="s">
        <v>34</v>
      </c>
      <c r="E7674" s="1" t="s">
        <v>10</v>
      </c>
      <c r="F7674" s="1" t="s">
        <v>5091</v>
      </c>
      <c r="G7674" s="1" t="s">
        <v>10705</v>
      </c>
      <c r="H7674" s="1" t="s">
        <v>44</v>
      </c>
      <c r="I7674" s="1" t="s">
        <v>5848</v>
      </c>
    </row>
    <row r="7675" spans="1:9">
      <c r="A7675" s="7" t="s">
        <v>16373</v>
      </c>
      <c r="B7675" s="1" t="s">
        <v>2628</v>
      </c>
      <c r="C7675" s="1">
        <v>5</v>
      </c>
      <c r="D7675" s="1" t="s">
        <v>34</v>
      </c>
      <c r="E7675" s="1" t="s">
        <v>10</v>
      </c>
      <c r="F7675" s="1" t="s">
        <v>5091</v>
      </c>
      <c r="G7675" s="1" t="s">
        <v>10705</v>
      </c>
      <c r="H7675" s="1" t="s">
        <v>44</v>
      </c>
      <c r="I7675" s="1" t="s">
        <v>5848</v>
      </c>
    </row>
    <row r="7676" spans="1:9">
      <c r="A7676" s="7" t="s">
        <v>16374</v>
      </c>
      <c r="B7676" s="1" t="s">
        <v>2628</v>
      </c>
      <c r="C7676" s="1">
        <v>5</v>
      </c>
      <c r="D7676" s="1" t="s">
        <v>34</v>
      </c>
      <c r="E7676" s="1" t="s">
        <v>10</v>
      </c>
      <c r="F7676" s="1" t="s">
        <v>5091</v>
      </c>
      <c r="G7676" s="1" t="s">
        <v>10705</v>
      </c>
      <c r="H7676" s="1" t="s">
        <v>44</v>
      </c>
      <c r="I7676" s="1" t="s">
        <v>5848</v>
      </c>
    </row>
    <row r="7677" spans="1:9">
      <c r="A7677" s="7" t="s">
        <v>16375</v>
      </c>
      <c r="B7677" s="1" t="s">
        <v>2628</v>
      </c>
      <c r="C7677" s="1">
        <v>5</v>
      </c>
      <c r="D7677" s="1" t="s">
        <v>34</v>
      </c>
      <c r="E7677" s="1" t="s">
        <v>10</v>
      </c>
      <c r="F7677" s="1" t="s">
        <v>5091</v>
      </c>
      <c r="G7677" s="1" t="s">
        <v>10705</v>
      </c>
      <c r="H7677" s="1" t="s">
        <v>44</v>
      </c>
      <c r="I7677" s="1" t="s">
        <v>5848</v>
      </c>
    </row>
    <row r="7678" spans="1:9">
      <c r="A7678" s="7" t="s">
        <v>16378</v>
      </c>
      <c r="B7678" s="1" t="s">
        <v>2628</v>
      </c>
      <c r="C7678" s="1">
        <v>5</v>
      </c>
      <c r="D7678" s="1" t="s">
        <v>34</v>
      </c>
      <c r="E7678" s="1" t="s">
        <v>10</v>
      </c>
      <c r="F7678" s="1" t="s">
        <v>5091</v>
      </c>
      <c r="G7678" s="1" t="s">
        <v>10705</v>
      </c>
      <c r="H7678" s="1" t="s">
        <v>44</v>
      </c>
      <c r="I7678" s="1" t="s">
        <v>5848</v>
      </c>
    </row>
    <row r="7679" spans="1:9">
      <c r="A7679" s="7" t="s">
        <v>16379</v>
      </c>
      <c r="B7679" s="1" t="s">
        <v>2628</v>
      </c>
      <c r="C7679" s="1">
        <v>5</v>
      </c>
      <c r="D7679" s="1" t="s">
        <v>34</v>
      </c>
      <c r="E7679" s="1" t="s">
        <v>10</v>
      </c>
      <c r="F7679" s="1" t="s">
        <v>5091</v>
      </c>
      <c r="G7679" s="1" t="s">
        <v>10705</v>
      </c>
      <c r="H7679" s="1" t="s">
        <v>44</v>
      </c>
      <c r="I7679" s="1" t="s">
        <v>5848</v>
      </c>
    </row>
    <row r="7680" spans="1:9">
      <c r="A7680" s="7" t="s">
        <v>16380</v>
      </c>
      <c r="B7680" s="1" t="s">
        <v>2628</v>
      </c>
      <c r="C7680" s="1">
        <v>5</v>
      </c>
      <c r="D7680" s="1" t="s">
        <v>34</v>
      </c>
      <c r="E7680" s="1" t="s">
        <v>10</v>
      </c>
      <c r="F7680" s="1" t="s">
        <v>5091</v>
      </c>
      <c r="G7680" s="1" t="s">
        <v>10705</v>
      </c>
      <c r="H7680" s="1" t="s">
        <v>44</v>
      </c>
      <c r="I7680" s="1" t="s">
        <v>5848</v>
      </c>
    </row>
    <row r="7681" spans="1:9">
      <c r="A7681" s="7" t="s">
        <v>16381</v>
      </c>
      <c r="B7681" s="1" t="s">
        <v>2628</v>
      </c>
      <c r="C7681" s="1">
        <v>5</v>
      </c>
      <c r="D7681" s="1" t="s">
        <v>34</v>
      </c>
      <c r="E7681" s="1" t="s">
        <v>10</v>
      </c>
      <c r="F7681" s="1" t="s">
        <v>5091</v>
      </c>
      <c r="G7681" s="1" t="s">
        <v>10705</v>
      </c>
      <c r="H7681" s="1" t="s">
        <v>44</v>
      </c>
      <c r="I7681" s="1" t="s">
        <v>5848</v>
      </c>
    </row>
    <row r="7682" spans="1:9">
      <c r="A7682" s="7" t="s">
        <v>16382</v>
      </c>
      <c r="B7682" s="1" t="s">
        <v>2628</v>
      </c>
      <c r="C7682" s="1">
        <v>5</v>
      </c>
      <c r="D7682" s="1" t="s">
        <v>34</v>
      </c>
      <c r="E7682" s="1" t="s">
        <v>10</v>
      </c>
      <c r="F7682" s="1" t="s">
        <v>5091</v>
      </c>
      <c r="G7682" s="1" t="s">
        <v>10705</v>
      </c>
      <c r="H7682" s="1" t="s">
        <v>44</v>
      </c>
      <c r="I7682" s="1" t="s">
        <v>5848</v>
      </c>
    </row>
    <row r="7683" spans="1:9">
      <c r="A7683" s="7" t="s">
        <v>16383</v>
      </c>
      <c r="B7683" s="1" t="s">
        <v>2628</v>
      </c>
      <c r="C7683" s="1">
        <v>5</v>
      </c>
      <c r="D7683" s="1" t="s">
        <v>34</v>
      </c>
      <c r="E7683" s="1" t="s">
        <v>10</v>
      </c>
      <c r="F7683" s="1" t="s">
        <v>5091</v>
      </c>
      <c r="G7683" s="1" t="s">
        <v>10705</v>
      </c>
      <c r="H7683" s="1" t="s">
        <v>44</v>
      </c>
      <c r="I7683" s="1" t="s">
        <v>5848</v>
      </c>
    </row>
    <row r="7684" spans="1:9">
      <c r="A7684" s="7" t="s">
        <v>16384</v>
      </c>
      <c r="B7684" s="1" t="s">
        <v>2628</v>
      </c>
      <c r="C7684" s="1">
        <v>5</v>
      </c>
      <c r="D7684" s="1" t="s">
        <v>34</v>
      </c>
      <c r="E7684" s="1" t="s">
        <v>10</v>
      </c>
      <c r="F7684" s="1" t="s">
        <v>5091</v>
      </c>
      <c r="G7684" s="1" t="s">
        <v>10705</v>
      </c>
      <c r="H7684" s="1" t="s">
        <v>44</v>
      </c>
      <c r="I7684" s="1" t="s">
        <v>5483</v>
      </c>
    </row>
    <row r="7685" spans="1:9">
      <c r="A7685" s="7" t="s">
        <v>16385</v>
      </c>
      <c r="B7685" s="1" t="s">
        <v>2628</v>
      </c>
      <c r="C7685" s="1">
        <v>5</v>
      </c>
      <c r="D7685" s="1" t="s">
        <v>34</v>
      </c>
      <c r="E7685" s="1" t="s">
        <v>10</v>
      </c>
      <c r="F7685" s="1" t="s">
        <v>5091</v>
      </c>
      <c r="G7685" s="1" t="s">
        <v>10705</v>
      </c>
      <c r="H7685" s="1" t="s">
        <v>44</v>
      </c>
      <c r="I7685" s="1" t="s">
        <v>5483</v>
      </c>
    </row>
    <row r="7686" spans="1:9">
      <c r="A7686" s="7" t="s">
        <v>16386</v>
      </c>
      <c r="B7686" s="1" t="s">
        <v>2628</v>
      </c>
      <c r="C7686" s="1">
        <v>5</v>
      </c>
      <c r="D7686" s="1" t="s">
        <v>34</v>
      </c>
      <c r="E7686" s="1" t="s">
        <v>10</v>
      </c>
      <c r="F7686" s="1" t="s">
        <v>5091</v>
      </c>
      <c r="G7686" s="1" t="s">
        <v>10705</v>
      </c>
      <c r="H7686" s="1" t="s">
        <v>44</v>
      </c>
      <c r="I7686" s="1" t="s">
        <v>5483</v>
      </c>
    </row>
    <row r="7687" spans="1:9">
      <c r="A7687" s="7" t="s">
        <v>16387</v>
      </c>
      <c r="B7687" s="1" t="s">
        <v>2628</v>
      </c>
      <c r="C7687" s="1">
        <v>5</v>
      </c>
      <c r="D7687" s="1" t="s">
        <v>34</v>
      </c>
      <c r="E7687" s="1" t="s">
        <v>10</v>
      </c>
      <c r="F7687" s="1" t="s">
        <v>5091</v>
      </c>
      <c r="G7687" s="1" t="s">
        <v>10705</v>
      </c>
      <c r="H7687" s="1" t="s">
        <v>44</v>
      </c>
      <c r="I7687" s="1" t="s">
        <v>5848</v>
      </c>
    </row>
    <row r="7688" spans="1:9">
      <c r="A7688" s="7" t="s">
        <v>16388</v>
      </c>
      <c r="B7688" s="1" t="s">
        <v>2628</v>
      </c>
      <c r="C7688" s="1">
        <v>5</v>
      </c>
      <c r="D7688" s="1" t="s">
        <v>34</v>
      </c>
      <c r="E7688" s="1" t="s">
        <v>10</v>
      </c>
      <c r="F7688" s="1" t="s">
        <v>5091</v>
      </c>
      <c r="G7688" s="1" t="s">
        <v>10705</v>
      </c>
      <c r="H7688" s="1" t="s">
        <v>44</v>
      </c>
      <c r="I7688" s="1" t="s">
        <v>5848</v>
      </c>
    </row>
    <row r="7689" spans="1:9">
      <c r="A7689" s="7" t="s">
        <v>16390</v>
      </c>
      <c r="B7689" s="1" t="s">
        <v>2628</v>
      </c>
      <c r="C7689" s="1">
        <v>5</v>
      </c>
      <c r="D7689" s="1" t="s">
        <v>34</v>
      </c>
      <c r="E7689" s="1" t="s">
        <v>10</v>
      </c>
      <c r="F7689" s="1" t="s">
        <v>5091</v>
      </c>
      <c r="G7689" s="1" t="s">
        <v>10705</v>
      </c>
      <c r="H7689" s="1" t="s">
        <v>44</v>
      </c>
      <c r="I7689" s="1" t="s">
        <v>5848</v>
      </c>
    </row>
    <row r="7690" spans="1:9">
      <c r="A7690" s="7" t="s">
        <v>16391</v>
      </c>
      <c r="B7690" s="1" t="s">
        <v>2628</v>
      </c>
      <c r="C7690" s="1">
        <v>5</v>
      </c>
      <c r="D7690" s="1" t="s">
        <v>34</v>
      </c>
      <c r="E7690" s="1" t="s">
        <v>10</v>
      </c>
      <c r="F7690" s="1" t="s">
        <v>5091</v>
      </c>
      <c r="G7690" s="1" t="s">
        <v>10705</v>
      </c>
      <c r="H7690" s="1" t="s">
        <v>44</v>
      </c>
      <c r="I7690" s="1" t="s">
        <v>5848</v>
      </c>
    </row>
    <row r="7691" spans="1:9">
      <c r="A7691" s="7" t="s">
        <v>16392</v>
      </c>
      <c r="B7691" s="1" t="s">
        <v>2628</v>
      </c>
      <c r="C7691" s="1">
        <v>5</v>
      </c>
      <c r="D7691" s="1" t="s">
        <v>34</v>
      </c>
      <c r="E7691" s="1" t="s">
        <v>10</v>
      </c>
      <c r="F7691" s="1" t="s">
        <v>5091</v>
      </c>
      <c r="G7691" s="1" t="s">
        <v>10705</v>
      </c>
      <c r="H7691" s="1" t="s">
        <v>44</v>
      </c>
      <c r="I7691" s="1" t="s">
        <v>5848</v>
      </c>
    </row>
    <row r="7692" spans="1:9">
      <c r="A7692" s="7" t="s">
        <v>16393</v>
      </c>
      <c r="B7692" s="1" t="s">
        <v>2628</v>
      </c>
      <c r="C7692" s="1">
        <v>5</v>
      </c>
      <c r="D7692" s="1" t="s">
        <v>34</v>
      </c>
      <c r="E7692" s="1" t="s">
        <v>10</v>
      </c>
      <c r="F7692" s="1" t="s">
        <v>5091</v>
      </c>
      <c r="G7692" s="1" t="s">
        <v>10705</v>
      </c>
      <c r="H7692" s="1" t="s">
        <v>44</v>
      </c>
      <c r="I7692" s="1" t="s">
        <v>5848</v>
      </c>
    </row>
    <row r="7693" spans="1:9">
      <c r="A7693" s="7" t="s">
        <v>16394</v>
      </c>
      <c r="B7693" s="1" t="s">
        <v>2628</v>
      </c>
      <c r="C7693" s="1">
        <v>5</v>
      </c>
      <c r="D7693" s="1" t="s">
        <v>34</v>
      </c>
      <c r="E7693" s="1" t="s">
        <v>10</v>
      </c>
      <c r="F7693" s="1" t="s">
        <v>5091</v>
      </c>
      <c r="G7693" s="1" t="s">
        <v>10705</v>
      </c>
      <c r="H7693" s="1" t="s">
        <v>44</v>
      </c>
      <c r="I7693" s="1" t="s">
        <v>5848</v>
      </c>
    </row>
    <row r="7694" spans="1:9">
      <c r="A7694" s="7" t="s">
        <v>16395</v>
      </c>
      <c r="B7694" s="1" t="s">
        <v>2628</v>
      </c>
      <c r="C7694" s="1">
        <v>5</v>
      </c>
      <c r="D7694" s="1" t="s">
        <v>34</v>
      </c>
      <c r="E7694" s="1" t="s">
        <v>10</v>
      </c>
      <c r="F7694" s="1" t="s">
        <v>5091</v>
      </c>
      <c r="G7694" s="1" t="s">
        <v>10705</v>
      </c>
      <c r="H7694" s="1" t="s">
        <v>44</v>
      </c>
      <c r="I7694" s="1" t="s">
        <v>5848</v>
      </c>
    </row>
    <row r="7695" spans="1:9">
      <c r="A7695" s="7" t="s">
        <v>16396</v>
      </c>
      <c r="B7695" s="1" t="s">
        <v>2628</v>
      </c>
      <c r="C7695" s="1">
        <v>5</v>
      </c>
      <c r="D7695" s="1" t="s">
        <v>34</v>
      </c>
      <c r="E7695" s="1" t="s">
        <v>10</v>
      </c>
      <c r="F7695" s="1" t="s">
        <v>5091</v>
      </c>
      <c r="G7695" s="1" t="s">
        <v>10705</v>
      </c>
      <c r="H7695" s="1" t="s">
        <v>44</v>
      </c>
      <c r="I7695" s="1" t="s">
        <v>5848</v>
      </c>
    </row>
    <row r="7696" spans="1:9">
      <c r="A7696" s="7" t="s">
        <v>16398</v>
      </c>
      <c r="B7696" s="1" t="s">
        <v>2628</v>
      </c>
      <c r="C7696" s="1">
        <v>5</v>
      </c>
      <c r="D7696" s="1" t="s">
        <v>34</v>
      </c>
      <c r="E7696" s="1" t="s">
        <v>10</v>
      </c>
      <c r="F7696" s="1" t="s">
        <v>5091</v>
      </c>
      <c r="G7696" s="1" t="s">
        <v>10705</v>
      </c>
      <c r="H7696" s="1" t="s">
        <v>44</v>
      </c>
      <c r="I7696" s="1" t="s">
        <v>5483</v>
      </c>
    </row>
    <row r="7697" spans="1:10">
      <c r="A7697" s="7" t="s">
        <v>16399</v>
      </c>
      <c r="B7697" s="1" t="s">
        <v>2628</v>
      </c>
      <c r="C7697" s="1">
        <v>5</v>
      </c>
      <c r="D7697" s="1" t="s">
        <v>34</v>
      </c>
      <c r="E7697" s="1" t="s">
        <v>10</v>
      </c>
      <c r="F7697" s="1" t="s">
        <v>5091</v>
      </c>
      <c r="G7697" s="1" t="s">
        <v>10705</v>
      </c>
      <c r="H7697" s="1" t="s">
        <v>44</v>
      </c>
      <c r="I7697" s="1" t="s">
        <v>5483</v>
      </c>
    </row>
    <row r="7698" spans="1:10">
      <c r="A7698" s="7" t="s">
        <v>16400</v>
      </c>
      <c r="B7698" s="1" t="s">
        <v>2628</v>
      </c>
      <c r="C7698" s="1">
        <v>5</v>
      </c>
      <c r="D7698" s="1" t="s">
        <v>34</v>
      </c>
      <c r="E7698" s="1" t="s">
        <v>10</v>
      </c>
      <c r="F7698" s="1" t="s">
        <v>5091</v>
      </c>
      <c r="G7698" s="1" t="s">
        <v>10705</v>
      </c>
      <c r="H7698" s="1" t="s">
        <v>44</v>
      </c>
      <c r="I7698" s="1" t="s">
        <v>5483</v>
      </c>
    </row>
    <row r="7699" spans="1:10">
      <c r="A7699" s="7" t="s">
        <v>16401</v>
      </c>
      <c r="B7699" s="1" t="s">
        <v>2628</v>
      </c>
      <c r="C7699" s="1">
        <v>5</v>
      </c>
      <c r="D7699" s="1" t="s">
        <v>34</v>
      </c>
      <c r="E7699" s="1" t="s">
        <v>10</v>
      </c>
      <c r="F7699" s="1" t="s">
        <v>5091</v>
      </c>
      <c r="G7699" s="1" t="s">
        <v>10705</v>
      </c>
      <c r="H7699" s="1" t="s">
        <v>44</v>
      </c>
      <c r="I7699" s="1" t="s">
        <v>5483</v>
      </c>
    </row>
    <row r="7700" spans="1:10">
      <c r="A7700" s="7" t="s">
        <v>16405</v>
      </c>
      <c r="B7700" s="1" t="s">
        <v>2628</v>
      </c>
      <c r="C7700" s="1">
        <v>5</v>
      </c>
      <c r="D7700" s="1" t="s">
        <v>34</v>
      </c>
      <c r="E7700" s="1" t="s">
        <v>10</v>
      </c>
      <c r="F7700" s="1" t="s">
        <v>5091</v>
      </c>
      <c r="G7700" s="1" t="s">
        <v>10705</v>
      </c>
      <c r="H7700" s="1" t="s">
        <v>44</v>
      </c>
      <c r="I7700" s="1" t="s">
        <v>5483</v>
      </c>
    </row>
    <row r="7701" spans="1:10">
      <c r="A7701" s="7" t="s">
        <v>16406</v>
      </c>
      <c r="B7701" s="1" t="s">
        <v>2628</v>
      </c>
      <c r="C7701" s="1">
        <v>5</v>
      </c>
      <c r="D7701" s="1" t="s">
        <v>34</v>
      </c>
      <c r="E7701" s="1" t="s">
        <v>10</v>
      </c>
      <c r="F7701" s="1" t="s">
        <v>5091</v>
      </c>
      <c r="G7701" s="1" t="s">
        <v>10705</v>
      </c>
      <c r="H7701" s="1" t="s">
        <v>44</v>
      </c>
      <c r="I7701" s="1" t="s">
        <v>5483</v>
      </c>
    </row>
    <row r="7702" spans="1:10">
      <c r="A7702" s="7" t="s">
        <v>16407</v>
      </c>
      <c r="B7702" s="1" t="s">
        <v>2628</v>
      </c>
      <c r="C7702" s="1">
        <v>5</v>
      </c>
      <c r="D7702" s="1" t="s">
        <v>34</v>
      </c>
      <c r="E7702" s="1" t="s">
        <v>10</v>
      </c>
      <c r="F7702" s="1" t="s">
        <v>5091</v>
      </c>
      <c r="G7702" s="1" t="s">
        <v>10705</v>
      </c>
      <c r="H7702" s="1" t="s">
        <v>44</v>
      </c>
      <c r="I7702" s="1" t="s">
        <v>5848</v>
      </c>
    </row>
    <row r="7703" spans="1:10">
      <c r="A7703" s="7" t="s">
        <v>16408</v>
      </c>
      <c r="B7703" s="1" t="s">
        <v>2628</v>
      </c>
      <c r="C7703" s="1">
        <v>5</v>
      </c>
      <c r="D7703" s="1" t="s">
        <v>34</v>
      </c>
      <c r="E7703" s="1" t="s">
        <v>10</v>
      </c>
      <c r="F7703" s="1" t="s">
        <v>5091</v>
      </c>
      <c r="G7703" s="1" t="s">
        <v>10705</v>
      </c>
      <c r="H7703" s="1" t="s">
        <v>44</v>
      </c>
      <c r="I7703" s="1" t="s">
        <v>5848</v>
      </c>
    </row>
    <row r="7704" spans="1:10">
      <c r="A7704" s="7" t="s">
        <v>16409</v>
      </c>
      <c r="B7704" s="1" t="s">
        <v>2628</v>
      </c>
      <c r="C7704" s="1">
        <v>5</v>
      </c>
      <c r="D7704" s="1" t="s">
        <v>34</v>
      </c>
      <c r="E7704" s="1" t="s">
        <v>10</v>
      </c>
      <c r="F7704" s="1" t="s">
        <v>5091</v>
      </c>
      <c r="G7704" s="1" t="s">
        <v>10705</v>
      </c>
      <c r="H7704" s="1" t="s">
        <v>44</v>
      </c>
      <c r="I7704" s="1" t="s">
        <v>5483</v>
      </c>
    </row>
    <row r="7705" spans="1:10">
      <c r="A7705" s="7" t="s">
        <v>16410</v>
      </c>
      <c r="B7705" s="1" t="s">
        <v>2631</v>
      </c>
      <c r="C7705" s="1">
        <v>5</v>
      </c>
      <c r="D7705" s="1" t="s">
        <v>34</v>
      </c>
      <c r="E7705" s="1" t="s">
        <v>10</v>
      </c>
      <c r="F7705" s="1" t="s">
        <v>5091</v>
      </c>
      <c r="G7705" s="1" t="s">
        <v>10705</v>
      </c>
      <c r="H7705" s="1" t="s">
        <v>44</v>
      </c>
      <c r="I7705" s="1" t="s">
        <v>5848</v>
      </c>
    </row>
    <row r="7706" spans="1:10">
      <c r="A7706" s="7" t="s">
        <v>16411</v>
      </c>
      <c r="B7706" s="1" t="s">
        <v>2628</v>
      </c>
      <c r="C7706" s="1">
        <v>5</v>
      </c>
      <c r="D7706" s="1" t="s">
        <v>34</v>
      </c>
      <c r="E7706" s="1" t="s">
        <v>10</v>
      </c>
      <c r="F7706" s="1" t="s">
        <v>5091</v>
      </c>
      <c r="G7706" s="1" t="s">
        <v>10705</v>
      </c>
      <c r="H7706" s="1" t="s">
        <v>44</v>
      </c>
      <c r="I7706" s="1" t="s">
        <v>5848</v>
      </c>
    </row>
    <row r="7707" spans="1:10">
      <c r="A7707" s="7" t="s">
        <v>16412</v>
      </c>
      <c r="B7707" s="1" t="s">
        <v>2628</v>
      </c>
      <c r="C7707" s="1">
        <v>5</v>
      </c>
      <c r="D7707" s="1" t="s">
        <v>34</v>
      </c>
      <c r="E7707" s="1" t="s">
        <v>10</v>
      </c>
      <c r="F7707" s="1" t="s">
        <v>5091</v>
      </c>
      <c r="G7707" s="1" t="s">
        <v>10705</v>
      </c>
      <c r="H7707" s="1" t="s">
        <v>44</v>
      </c>
      <c r="I7707" s="1" t="s">
        <v>5848</v>
      </c>
    </row>
    <row r="7708" spans="1:10">
      <c r="A7708" s="7" t="s">
        <v>16413</v>
      </c>
      <c r="B7708" s="1" t="s">
        <v>2628</v>
      </c>
      <c r="C7708" s="1">
        <v>5</v>
      </c>
      <c r="D7708" s="1" t="s">
        <v>34</v>
      </c>
      <c r="E7708" s="1" t="s">
        <v>10</v>
      </c>
      <c r="F7708" s="1" t="s">
        <v>5091</v>
      </c>
      <c r="G7708" s="1" t="s">
        <v>10705</v>
      </c>
      <c r="H7708" s="1" t="s">
        <v>44</v>
      </c>
      <c r="I7708" s="1" t="s">
        <v>5848</v>
      </c>
    </row>
    <row r="7709" spans="1:10">
      <c r="A7709" s="7" t="s">
        <v>16414</v>
      </c>
      <c r="B7709" s="1" t="s">
        <v>2628</v>
      </c>
      <c r="C7709" s="1">
        <v>5</v>
      </c>
      <c r="D7709" s="1" t="s">
        <v>34</v>
      </c>
      <c r="E7709" s="1" t="s">
        <v>10</v>
      </c>
      <c r="F7709" s="1" t="s">
        <v>5091</v>
      </c>
      <c r="G7709" s="1" t="s">
        <v>10705</v>
      </c>
      <c r="H7709" s="1" t="s">
        <v>44</v>
      </c>
      <c r="I7709" s="1" t="s">
        <v>5483</v>
      </c>
    </row>
    <row r="7710" spans="1:10">
      <c r="A7710" s="7" t="s">
        <v>16415</v>
      </c>
      <c r="B7710" s="1" t="s">
        <v>2628</v>
      </c>
      <c r="C7710" s="1">
        <v>5</v>
      </c>
      <c r="D7710" s="1" t="s">
        <v>34</v>
      </c>
      <c r="E7710" s="1" t="s">
        <v>10</v>
      </c>
      <c r="F7710" s="1" t="s">
        <v>5091</v>
      </c>
      <c r="G7710" s="1" t="s">
        <v>10705</v>
      </c>
      <c r="H7710" s="1" t="s">
        <v>44</v>
      </c>
      <c r="I7710" s="1" t="s">
        <v>5483</v>
      </c>
      <c r="J7710" s="11"/>
    </row>
    <row r="7711" spans="1:10">
      <c r="A7711" s="7" t="s">
        <v>16416</v>
      </c>
      <c r="B7711" s="1" t="s">
        <v>2628</v>
      </c>
      <c r="C7711" s="1">
        <v>5</v>
      </c>
      <c r="D7711" s="1" t="s">
        <v>34</v>
      </c>
      <c r="E7711" s="1" t="s">
        <v>10</v>
      </c>
      <c r="F7711" s="1" t="s">
        <v>5091</v>
      </c>
      <c r="G7711" s="1" t="s">
        <v>10705</v>
      </c>
      <c r="H7711" s="1" t="s">
        <v>44</v>
      </c>
      <c r="I7711" s="1" t="s">
        <v>5483</v>
      </c>
    </row>
    <row r="7712" spans="1:10">
      <c r="A7712" s="7" t="s">
        <v>16417</v>
      </c>
      <c r="B7712" s="1" t="s">
        <v>2628</v>
      </c>
      <c r="C7712" s="1">
        <v>5</v>
      </c>
      <c r="D7712" s="1" t="s">
        <v>34</v>
      </c>
      <c r="E7712" s="1" t="s">
        <v>10</v>
      </c>
      <c r="F7712" s="1" t="s">
        <v>5091</v>
      </c>
      <c r="G7712" s="1" t="s">
        <v>10705</v>
      </c>
      <c r="H7712" s="1" t="s">
        <v>44</v>
      </c>
      <c r="I7712" s="1" t="s">
        <v>5483</v>
      </c>
    </row>
    <row r="7713" spans="1:10">
      <c r="A7713" s="7" t="s">
        <v>16420</v>
      </c>
      <c r="B7713" s="1" t="s">
        <v>2628</v>
      </c>
      <c r="C7713" s="1">
        <v>5</v>
      </c>
      <c r="D7713" s="1" t="s">
        <v>34</v>
      </c>
      <c r="E7713" s="1" t="s">
        <v>10</v>
      </c>
      <c r="F7713" s="1" t="s">
        <v>5091</v>
      </c>
      <c r="G7713" s="1" t="s">
        <v>10705</v>
      </c>
      <c r="H7713" s="1" t="s">
        <v>44</v>
      </c>
      <c r="I7713" s="1" t="s">
        <v>5483</v>
      </c>
      <c r="J7713" s="11"/>
    </row>
    <row r="7714" spans="1:10">
      <c r="A7714" s="7" t="s">
        <v>16421</v>
      </c>
      <c r="B7714" s="1" t="s">
        <v>2628</v>
      </c>
      <c r="C7714" s="1">
        <v>5</v>
      </c>
      <c r="D7714" s="1" t="s">
        <v>34</v>
      </c>
      <c r="E7714" s="1" t="s">
        <v>10</v>
      </c>
      <c r="F7714" s="1" t="s">
        <v>5091</v>
      </c>
      <c r="G7714" s="1" t="s">
        <v>10705</v>
      </c>
      <c r="H7714" s="1" t="s">
        <v>44</v>
      </c>
      <c r="I7714" s="1" t="s">
        <v>5483</v>
      </c>
    </row>
    <row r="7715" spans="1:10">
      <c r="A7715" s="7" t="s">
        <v>16422</v>
      </c>
      <c r="B7715" s="1" t="s">
        <v>2628</v>
      </c>
      <c r="C7715" s="1">
        <v>5</v>
      </c>
      <c r="D7715" s="1" t="s">
        <v>34</v>
      </c>
      <c r="E7715" s="1" t="s">
        <v>10</v>
      </c>
      <c r="F7715" s="1" t="s">
        <v>5091</v>
      </c>
      <c r="G7715" s="1" t="s">
        <v>10705</v>
      </c>
      <c r="H7715" s="1" t="s">
        <v>44</v>
      </c>
      <c r="I7715" s="1" t="s">
        <v>5483</v>
      </c>
    </row>
    <row r="7716" spans="1:10">
      <c r="A7716" s="7" t="s">
        <v>16424</v>
      </c>
      <c r="B7716" s="1" t="s">
        <v>2628</v>
      </c>
      <c r="C7716" s="1">
        <v>5</v>
      </c>
      <c r="D7716" s="1" t="s">
        <v>34</v>
      </c>
      <c r="E7716" s="1" t="s">
        <v>10</v>
      </c>
      <c r="F7716" s="1" t="s">
        <v>5091</v>
      </c>
      <c r="G7716" s="1" t="s">
        <v>10705</v>
      </c>
      <c r="H7716" s="1" t="s">
        <v>44</v>
      </c>
      <c r="I7716" s="1" t="s">
        <v>5848</v>
      </c>
    </row>
    <row r="7717" spans="1:10">
      <c r="A7717" s="7" t="s">
        <v>16425</v>
      </c>
      <c r="B7717" s="1" t="s">
        <v>2628</v>
      </c>
      <c r="C7717" s="1">
        <v>5</v>
      </c>
      <c r="D7717" s="1" t="s">
        <v>34</v>
      </c>
      <c r="E7717" s="1" t="s">
        <v>10</v>
      </c>
      <c r="F7717" s="1" t="s">
        <v>5091</v>
      </c>
      <c r="G7717" s="1" t="s">
        <v>10705</v>
      </c>
      <c r="H7717" s="1" t="s">
        <v>44</v>
      </c>
      <c r="I7717" s="1" t="s">
        <v>5848</v>
      </c>
    </row>
    <row r="7718" spans="1:10">
      <c r="A7718" s="7" t="s">
        <v>16426</v>
      </c>
      <c r="B7718" s="1" t="s">
        <v>2628</v>
      </c>
      <c r="C7718" s="1">
        <v>5</v>
      </c>
      <c r="D7718" s="1" t="s">
        <v>34</v>
      </c>
      <c r="E7718" s="1" t="s">
        <v>10</v>
      </c>
      <c r="F7718" s="1" t="s">
        <v>5091</v>
      </c>
      <c r="G7718" s="1" t="s">
        <v>10705</v>
      </c>
      <c r="H7718" s="1" t="s">
        <v>44</v>
      </c>
      <c r="I7718" s="1" t="s">
        <v>5848</v>
      </c>
    </row>
    <row r="7719" spans="1:10">
      <c r="A7719" s="7" t="s">
        <v>16427</v>
      </c>
      <c r="B7719" s="1" t="s">
        <v>2628</v>
      </c>
      <c r="C7719" s="1">
        <v>5</v>
      </c>
      <c r="D7719" s="1" t="s">
        <v>34</v>
      </c>
      <c r="E7719" s="1" t="s">
        <v>10</v>
      </c>
      <c r="F7719" s="1" t="s">
        <v>5091</v>
      </c>
      <c r="G7719" s="1" t="s">
        <v>10705</v>
      </c>
      <c r="H7719" s="1" t="s">
        <v>44</v>
      </c>
      <c r="I7719" s="1" t="s">
        <v>5848</v>
      </c>
    </row>
    <row r="7720" spans="1:10">
      <c r="A7720" s="7" t="s">
        <v>16429</v>
      </c>
      <c r="B7720" s="1" t="s">
        <v>2628</v>
      </c>
      <c r="C7720" s="1">
        <v>5</v>
      </c>
      <c r="D7720" s="1" t="s">
        <v>34</v>
      </c>
      <c r="E7720" s="1" t="s">
        <v>10</v>
      </c>
      <c r="F7720" s="1" t="s">
        <v>5091</v>
      </c>
      <c r="G7720" s="1" t="s">
        <v>10705</v>
      </c>
      <c r="H7720" s="1" t="s">
        <v>44</v>
      </c>
      <c r="I7720" s="1" t="s">
        <v>5483</v>
      </c>
    </row>
    <row r="7721" spans="1:10">
      <c r="A7721" s="7" t="s">
        <v>16430</v>
      </c>
      <c r="B7721" s="1" t="s">
        <v>2628</v>
      </c>
      <c r="C7721" s="1">
        <v>5</v>
      </c>
      <c r="D7721" s="1" t="s">
        <v>34</v>
      </c>
      <c r="E7721" s="1" t="s">
        <v>10</v>
      </c>
      <c r="F7721" s="1" t="s">
        <v>5091</v>
      </c>
      <c r="G7721" s="1" t="s">
        <v>10705</v>
      </c>
      <c r="H7721" s="1" t="s">
        <v>44</v>
      </c>
      <c r="I7721" s="1" t="s">
        <v>5483</v>
      </c>
    </row>
    <row r="7722" spans="1:10">
      <c r="A7722" s="7" t="s">
        <v>16431</v>
      </c>
      <c r="B7722" s="1" t="s">
        <v>2628</v>
      </c>
      <c r="C7722" s="1">
        <v>5</v>
      </c>
      <c r="D7722" s="1" t="s">
        <v>34</v>
      </c>
      <c r="E7722" s="1" t="s">
        <v>10</v>
      </c>
      <c r="F7722" s="1" t="s">
        <v>5091</v>
      </c>
      <c r="G7722" s="1" t="s">
        <v>10705</v>
      </c>
      <c r="H7722" s="1" t="s">
        <v>44</v>
      </c>
      <c r="I7722" s="1" t="s">
        <v>5483</v>
      </c>
    </row>
    <row r="7723" spans="1:10">
      <c r="A7723" s="7" t="s">
        <v>16432</v>
      </c>
      <c r="B7723" s="1" t="s">
        <v>2628</v>
      </c>
      <c r="C7723" s="1">
        <v>5</v>
      </c>
      <c r="D7723" s="1" t="s">
        <v>34</v>
      </c>
      <c r="E7723" s="1" t="s">
        <v>10</v>
      </c>
      <c r="F7723" s="1" t="s">
        <v>5091</v>
      </c>
      <c r="G7723" s="1" t="s">
        <v>10705</v>
      </c>
      <c r="H7723" s="1" t="s">
        <v>44</v>
      </c>
      <c r="I7723" s="1" t="s">
        <v>5483</v>
      </c>
    </row>
    <row r="7724" spans="1:10">
      <c r="A7724" s="7" t="s">
        <v>16433</v>
      </c>
      <c r="B7724" s="1" t="s">
        <v>2628</v>
      </c>
      <c r="C7724" s="1">
        <v>5</v>
      </c>
      <c r="D7724" s="1" t="s">
        <v>34</v>
      </c>
      <c r="E7724" s="1" t="s">
        <v>10</v>
      </c>
      <c r="F7724" s="1" t="s">
        <v>5091</v>
      </c>
      <c r="G7724" s="1" t="s">
        <v>10705</v>
      </c>
      <c r="H7724" s="1" t="s">
        <v>44</v>
      </c>
      <c r="I7724" s="1" t="s">
        <v>5483</v>
      </c>
    </row>
    <row r="7725" spans="1:10">
      <c r="A7725" s="7" t="s">
        <v>16435</v>
      </c>
      <c r="B7725" s="1" t="s">
        <v>2628</v>
      </c>
      <c r="C7725" s="1">
        <v>5</v>
      </c>
      <c r="D7725" s="1" t="s">
        <v>34</v>
      </c>
      <c r="E7725" s="1" t="s">
        <v>10</v>
      </c>
      <c r="F7725" s="1" t="s">
        <v>5091</v>
      </c>
      <c r="G7725" s="1" t="s">
        <v>10705</v>
      </c>
      <c r="H7725" s="1" t="s">
        <v>44</v>
      </c>
      <c r="I7725" s="1" t="s">
        <v>5848</v>
      </c>
    </row>
    <row r="7726" spans="1:10">
      <c r="A7726" s="7" t="s">
        <v>16436</v>
      </c>
      <c r="B7726" s="1" t="s">
        <v>2628</v>
      </c>
      <c r="C7726" s="1">
        <v>5</v>
      </c>
      <c r="D7726" s="1" t="s">
        <v>34</v>
      </c>
      <c r="E7726" s="1" t="s">
        <v>10</v>
      </c>
      <c r="F7726" s="1" t="s">
        <v>5091</v>
      </c>
      <c r="G7726" s="1" t="s">
        <v>10705</v>
      </c>
      <c r="H7726" s="1" t="s">
        <v>44</v>
      </c>
      <c r="I7726" s="1" t="s">
        <v>5483</v>
      </c>
    </row>
    <row r="7727" spans="1:10">
      <c r="A7727" s="7" t="s">
        <v>16437</v>
      </c>
      <c r="B7727" s="1" t="s">
        <v>2628</v>
      </c>
      <c r="C7727" s="1">
        <v>5</v>
      </c>
      <c r="D7727" s="1" t="s">
        <v>34</v>
      </c>
      <c r="E7727" s="1" t="s">
        <v>10</v>
      </c>
      <c r="F7727" s="1" t="s">
        <v>5091</v>
      </c>
      <c r="G7727" s="1" t="s">
        <v>10705</v>
      </c>
      <c r="H7727" s="1" t="s">
        <v>44</v>
      </c>
      <c r="I7727" s="1" t="s">
        <v>5483</v>
      </c>
    </row>
    <row r="7728" spans="1:10">
      <c r="A7728" s="7" t="s">
        <v>16438</v>
      </c>
      <c r="B7728" s="1" t="s">
        <v>2628</v>
      </c>
      <c r="C7728" s="1">
        <v>5</v>
      </c>
      <c r="D7728" s="1" t="s">
        <v>34</v>
      </c>
      <c r="E7728" s="1" t="s">
        <v>10</v>
      </c>
      <c r="F7728" s="1" t="s">
        <v>5091</v>
      </c>
      <c r="G7728" s="1" t="s">
        <v>10705</v>
      </c>
      <c r="H7728" s="1" t="s">
        <v>44</v>
      </c>
      <c r="I7728" s="1" t="s">
        <v>5848</v>
      </c>
    </row>
    <row r="7729" spans="1:9">
      <c r="A7729" s="7" t="s">
        <v>16439</v>
      </c>
      <c r="B7729" s="1" t="s">
        <v>2628</v>
      </c>
      <c r="C7729" s="1">
        <v>5</v>
      </c>
      <c r="D7729" s="1" t="s">
        <v>34</v>
      </c>
      <c r="E7729" s="1" t="s">
        <v>10</v>
      </c>
      <c r="F7729" s="1" t="s">
        <v>5091</v>
      </c>
      <c r="G7729" s="1" t="s">
        <v>10705</v>
      </c>
      <c r="H7729" s="1" t="s">
        <v>44</v>
      </c>
      <c r="I7729" s="1" t="s">
        <v>5848</v>
      </c>
    </row>
    <row r="7730" spans="1:9">
      <c r="A7730" s="7" t="s">
        <v>16440</v>
      </c>
      <c r="B7730" s="1" t="s">
        <v>2628</v>
      </c>
      <c r="C7730" s="1">
        <v>5</v>
      </c>
      <c r="D7730" s="1" t="s">
        <v>34</v>
      </c>
      <c r="E7730" s="1" t="s">
        <v>10</v>
      </c>
      <c r="F7730" s="1" t="s">
        <v>5091</v>
      </c>
      <c r="G7730" s="1" t="s">
        <v>10705</v>
      </c>
      <c r="H7730" s="1" t="s">
        <v>44</v>
      </c>
      <c r="I7730" s="1" t="s">
        <v>5848</v>
      </c>
    </row>
    <row r="7731" spans="1:9">
      <c r="A7731" s="7" t="s">
        <v>16441</v>
      </c>
      <c r="B7731" s="1" t="s">
        <v>2628</v>
      </c>
      <c r="C7731" s="1">
        <v>5</v>
      </c>
      <c r="D7731" s="1" t="s">
        <v>34</v>
      </c>
      <c r="E7731" s="1" t="s">
        <v>10</v>
      </c>
      <c r="F7731" s="1" t="s">
        <v>5091</v>
      </c>
      <c r="G7731" s="1" t="s">
        <v>10705</v>
      </c>
      <c r="H7731" s="1" t="s">
        <v>44</v>
      </c>
      <c r="I7731" s="1" t="s">
        <v>5848</v>
      </c>
    </row>
    <row r="7732" spans="1:9">
      <c r="A7732" s="7" t="s">
        <v>16442</v>
      </c>
      <c r="B7732" s="1" t="s">
        <v>2628</v>
      </c>
      <c r="C7732" s="1">
        <v>5</v>
      </c>
      <c r="D7732" s="1" t="s">
        <v>34</v>
      </c>
      <c r="E7732" s="1" t="s">
        <v>10</v>
      </c>
      <c r="F7732" s="1" t="s">
        <v>5091</v>
      </c>
      <c r="G7732" s="1" t="s">
        <v>10705</v>
      </c>
      <c r="H7732" s="1" t="s">
        <v>44</v>
      </c>
      <c r="I7732" s="1" t="s">
        <v>5848</v>
      </c>
    </row>
    <row r="7733" spans="1:9">
      <c r="A7733" s="7" t="s">
        <v>16443</v>
      </c>
      <c r="B7733" s="1" t="s">
        <v>2628</v>
      </c>
      <c r="C7733" s="1">
        <v>5</v>
      </c>
      <c r="D7733" s="1" t="s">
        <v>34</v>
      </c>
      <c r="E7733" s="1" t="s">
        <v>10</v>
      </c>
      <c r="F7733" s="1" t="s">
        <v>5091</v>
      </c>
      <c r="G7733" s="1" t="s">
        <v>10705</v>
      </c>
      <c r="H7733" s="1" t="s">
        <v>44</v>
      </c>
      <c r="I7733" s="1" t="s">
        <v>5848</v>
      </c>
    </row>
    <row r="7734" spans="1:9">
      <c r="A7734" s="7" t="s">
        <v>16445</v>
      </c>
      <c r="B7734" s="1" t="s">
        <v>2628</v>
      </c>
      <c r="C7734" s="1">
        <v>5</v>
      </c>
      <c r="D7734" s="1" t="s">
        <v>34</v>
      </c>
      <c r="E7734" s="1" t="s">
        <v>10</v>
      </c>
      <c r="F7734" s="1" t="s">
        <v>5091</v>
      </c>
      <c r="G7734" s="1" t="s">
        <v>10705</v>
      </c>
      <c r="H7734" s="1" t="s">
        <v>44</v>
      </c>
      <c r="I7734" s="1" t="s">
        <v>5848</v>
      </c>
    </row>
    <row r="7735" spans="1:9">
      <c r="A7735" s="7" t="s">
        <v>16446</v>
      </c>
      <c r="B7735" s="1" t="s">
        <v>2628</v>
      </c>
      <c r="C7735" s="1">
        <v>5</v>
      </c>
      <c r="D7735" s="1" t="s">
        <v>34</v>
      </c>
      <c r="E7735" s="1" t="s">
        <v>10</v>
      </c>
      <c r="F7735" s="1" t="s">
        <v>5091</v>
      </c>
      <c r="G7735" s="1" t="s">
        <v>10705</v>
      </c>
      <c r="H7735" s="1" t="s">
        <v>44</v>
      </c>
      <c r="I7735" s="1" t="s">
        <v>5848</v>
      </c>
    </row>
    <row r="7736" spans="1:9">
      <c r="A7736" s="7" t="s">
        <v>16447</v>
      </c>
      <c r="B7736" s="1" t="s">
        <v>2628</v>
      </c>
      <c r="C7736" s="1">
        <v>5</v>
      </c>
      <c r="D7736" s="1" t="s">
        <v>34</v>
      </c>
      <c r="E7736" s="1" t="s">
        <v>10</v>
      </c>
      <c r="F7736" s="1" t="s">
        <v>5091</v>
      </c>
      <c r="G7736" s="1" t="s">
        <v>10705</v>
      </c>
      <c r="H7736" s="1" t="s">
        <v>44</v>
      </c>
      <c r="I7736" s="1" t="s">
        <v>5848</v>
      </c>
    </row>
    <row r="7737" spans="1:9">
      <c r="A7737" s="7" t="s">
        <v>16448</v>
      </c>
      <c r="B7737" s="1" t="s">
        <v>2628</v>
      </c>
      <c r="C7737" s="1">
        <v>5</v>
      </c>
      <c r="D7737" s="1" t="s">
        <v>34</v>
      </c>
      <c r="E7737" s="1" t="s">
        <v>10</v>
      </c>
      <c r="F7737" s="1" t="s">
        <v>5091</v>
      </c>
      <c r="G7737" s="1" t="s">
        <v>10705</v>
      </c>
      <c r="H7737" s="1" t="s">
        <v>44</v>
      </c>
      <c r="I7737" s="1" t="s">
        <v>5848</v>
      </c>
    </row>
    <row r="7738" spans="1:9">
      <c r="A7738" s="7" t="s">
        <v>16449</v>
      </c>
      <c r="B7738" s="1" t="s">
        <v>2628</v>
      </c>
      <c r="C7738" s="1">
        <v>5</v>
      </c>
      <c r="D7738" s="1" t="s">
        <v>34</v>
      </c>
      <c r="E7738" s="1" t="s">
        <v>10</v>
      </c>
      <c r="F7738" s="1" t="s">
        <v>5091</v>
      </c>
      <c r="G7738" s="1" t="s">
        <v>10705</v>
      </c>
      <c r="H7738" s="1" t="s">
        <v>44</v>
      </c>
      <c r="I7738" s="1" t="s">
        <v>5848</v>
      </c>
    </row>
    <row r="7739" spans="1:9">
      <c r="A7739" s="7" t="s">
        <v>16450</v>
      </c>
      <c r="B7739" s="1" t="s">
        <v>2628</v>
      </c>
      <c r="C7739" s="1">
        <v>5</v>
      </c>
      <c r="D7739" s="1" t="s">
        <v>34</v>
      </c>
      <c r="E7739" s="1" t="s">
        <v>10</v>
      </c>
      <c r="F7739" s="1" t="s">
        <v>5091</v>
      </c>
      <c r="G7739" s="1" t="s">
        <v>10705</v>
      </c>
      <c r="H7739" s="1" t="s">
        <v>44</v>
      </c>
      <c r="I7739" s="1" t="s">
        <v>5848</v>
      </c>
    </row>
    <row r="7740" spans="1:9">
      <c r="A7740" s="7" t="s">
        <v>16451</v>
      </c>
      <c r="B7740" s="1" t="s">
        <v>2628</v>
      </c>
      <c r="C7740" s="1">
        <v>5</v>
      </c>
      <c r="D7740" s="1" t="s">
        <v>34</v>
      </c>
      <c r="E7740" s="1" t="s">
        <v>10</v>
      </c>
      <c r="F7740" s="1" t="s">
        <v>5091</v>
      </c>
      <c r="G7740" s="1" t="s">
        <v>10705</v>
      </c>
      <c r="H7740" s="1" t="s">
        <v>44</v>
      </c>
      <c r="I7740" s="1" t="s">
        <v>5848</v>
      </c>
    </row>
    <row r="7741" spans="1:9">
      <c r="A7741" s="7" t="s">
        <v>16452</v>
      </c>
      <c r="B7741" s="1" t="s">
        <v>2628</v>
      </c>
      <c r="C7741" s="1">
        <v>5</v>
      </c>
      <c r="D7741" s="1" t="s">
        <v>34</v>
      </c>
      <c r="E7741" s="1" t="s">
        <v>10</v>
      </c>
      <c r="F7741" s="1" t="s">
        <v>5091</v>
      </c>
      <c r="G7741" s="1" t="s">
        <v>10705</v>
      </c>
      <c r="H7741" s="1" t="s">
        <v>44</v>
      </c>
      <c r="I7741" s="1" t="s">
        <v>5848</v>
      </c>
    </row>
    <row r="7742" spans="1:9">
      <c r="A7742" s="7" t="s">
        <v>16453</v>
      </c>
      <c r="B7742" s="1" t="s">
        <v>2628</v>
      </c>
      <c r="C7742" s="1">
        <v>5</v>
      </c>
      <c r="D7742" s="1" t="s">
        <v>34</v>
      </c>
      <c r="E7742" s="1" t="s">
        <v>10</v>
      </c>
      <c r="F7742" s="1" t="s">
        <v>5091</v>
      </c>
      <c r="G7742" s="1" t="s">
        <v>10705</v>
      </c>
      <c r="H7742" s="1" t="s">
        <v>44</v>
      </c>
      <c r="I7742" s="1" t="s">
        <v>5483</v>
      </c>
    </row>
    <row r="7743" spans="1:9">
      <c r="A7743" s="7" t="s">
        <v>16454</v>
      </c>
      <c r="B7743" s="1" t="s">
        <v>2628</v>
      </c>
      <c r="C7743" s="1">
        <v>5</v>
      </c>
      <c r="D7743" s="1" t="s">
        <v>34</v>
      </c>
      <c r="E7743" s="1" t="s">
        <v>10</v>
      </c>
      <c r="F7743" s="1" t="s">
        <v>5091</v>
      </c>
      <c r="G7743" s="1" t="s">
        <v>10705</v>
      </c>
      <c r="H7743" s="1" t="s">
        <v>44</v>
      </c>
      <c r="I7743" s="1" t="s">
        <v>5483</v>
      </c>
    </row>
    <row r="7744" spans="1:9">
      <c r="A7744" s="7" t="s">
        <v>16455</v>
      </c>
      <c r="B7744" s="1" t="s">
        <v>2628</v>
      </c>
      <c r="C7744" s="1">
        <v>5</v>
      </c>
      <c r="D7744" s="1" t="s">
        <v>34</v>
      </c>
      <c r="E7744" s="1" t="s">
        <v>10</v>
      </c>
      <c r="F7744" s="1" t="s">
        <v>5091</v>
      </c>
      <c r="G7744" s="1" t="s">
        <v>10705</v>
      </c>
      <c r="H7744" s="1" t="s">
        <v>44</v>
      </c>
      <c r="I7744" s="1" t="s">
        <v>5848</v>
      </c>
    </row>
    <row r="7745" spans="1:9">
      <c r="A7745" s="7" t="s">
        <v>16456</v>
      </c>
      <c r="B7745" s="1" t="s">
        <v>2628</v>
      </c>
      <c r="C7745" s="1">
        <v>5</v>
      </c>
      <c r="D7745" s="1" t="s">
        <v>34</v>
      </c>
      <c r="E7745" s="1" t="s">
        <v>10</v>
      </c>
      <c r="F7745" s="1" t="s">
        <v>5091</v>
      </c>
      <c r="G7745" s="1" t="s">
        <v>10705</v>
      </c>
      <c r="H7745" s="1" t="s">
        <v>44</v>
      </c>
      <c r="I7745" s="1" t="s">
        <v>5848</v>
      </c>
    </row>
    <row r="7746" spans="1:9">
      <c r="A7746" s="7" t="s">
        <v>16458</v>
      </c>
      <c r="B7746" s="1" t="s">
        <v>2628</v>
      </c>
      <c r="C7746" s="1">
        <v>5</v>
      </c>
      <c r="D7746" s="1" t="s">
        <v>34</v>
      </c>
      <c r="E7746" s="1" t="s">
        <v>10</v>
      </c>
      <c r="F7746" s="1" t="s">
        <v>5091</v>
      </c>
      <c r="G7746" s="1" t="s">
        <v>10705</v>
      </c>
      <c r="H7746" s="1" t="s">
        <v>44</v>
      </c>
      <c r="I7746" s="1" t="s">
        <v>5848</v>
      </c>
    </row>
    <row r="7747" spans="1:9">
      <c r="A7747" s="7" t="s">
        <v>16459</v>
      </c>
      <c r="B7747" s="1" t="s">
        <v>2628</v>
      </c>
      <c r="C7747" s="1">
        <v>5</v>
      </c>
      <c r="D7747" s="1" t="s">
        <v>34</v>
      </c>
      <c r="E7747" s="1" t="s">
        <v>10</v>
      </c>
      <c r="F7747" s="1" t="s">
        <v>5091</v>
      </c>
      <c r="G7747" s="1" t="s">
        <v>10705</v>
      </c>
      <c r="H7747" s="1" t="s">
        <v>44</v>
      </c>
      <c r="I7747" s="1" t="s">
        <v>5848</v>
      </c>
    </row>
    <row r="7748" spans="1:9">
      <c r="A7748" s="7" t="s">
        <v>16460</v>
      </c>
      <c r="B7748" s="1" t="s">
        <v>2628</v>
      </c>
      <c r="C7748" s="1">
        <v>5</v>
      </c>
      <c r="D7748" s="1" t="s">
        <v>34</v>
      </c>
      <c r="E7748" s="1" t="s">
        <v>10</v>
      </c>
      <c r="F7748" s="1" t="s">
        <v>5091</v>
      </c>
      <c r="G7748" s="1" t="s">
        <v>10705</v>
      </c>
      <c r="H7748" s="1" t="s">
        <v>44</v>
      </c>
      <c r="I7748" s="1" t="s">
        <v>5848</v>
      </c>
    </row>
    <row r="7749" spans="1:9">
      <c r="A7749" s="7" t="s">
        <v>16461</v>
      </c>
      <c r="B7749" s="1" t="s">
        <v>2628</v>
      </c>
      <c r="C7749" s="1">
        <v>5</v>
      </c>
      <c r="D7749" s="1" t="s">
        <v>34</v>
      </c>
      <c r="E7749" s="1" t="s">
        <v>10</v>
      </c>
      <c r="F7749" s="1" t="s">
        <v>5091</v>
      </c>
      <c r="G7749" s="1" t="s">
        <v>10705</v>
      </c>
      <c r="H7749" s="1" t="s">
        <v>44</v>
      </c>
      <c r="I7749" s="1" t="s">
        <v>5848</v>
      </c>
    </row>
    <row r="7750" spans="1:9">
      <c r="A7750" s="7" t="s">
        <v>16462</v>
      </c>
      <c r="B7750" s="1" t="s">
        <v>2628</v>
      </c>
      <c r="C7750" s="1">
        <v>5</v>
      </c>
      <c r="D7750" s="1" t="s">
        <v>34</v>
      </c>
      <c r="E7750" s="1" t="s">
        <v>10</v>
      </c>
      <c r="F7750" s="1" t="s">
        <v>5091</v>
      </c>
      <c r="G7750" s="1" t="s">
        <v>10705</v>
      </c>
      <c r="H7750" s="1" t="s">
        <v>44</v>
      </c>
      <c r="I7750" s="1" t="s">
        <v>5848</v>
      </c>
    </row>
    <row r="7751" spans="1:9">
      <c r="A7751" s="7" t="s">
        <v>16463</v>
      </c>
      <c r="B7751" s="1" t="s">
        <v>2628</v>
      </c>
      <c r="C7751" s="1">
        <v>5</v>
      </c>
      <c r="D7751" s="1" t="s">
        <v>34</v>
      </c>
      <c r="E7751" s="1" t="s">
        <v>10</v>
      </c>
      <c r="F7751" s="1" t="s">
        <v>5091</v>
      </c>
      <c r="G7751" s="1" t="s">
        <v>10705</v>
      </c>
      <c r="H7751" s="1" t="s">
        <v>44</v>
      </c>
      <c r="I7751" s="1" t="s">
        <v>5848</v>
      </c>
    </row>
    <row r="7752" spans="1:9">
      <c r="A7752" s="7" t="s">
        <v>16464</v>
      </c>
      <c r="B7752" s="1" t="s">
        <v>2628</v>
      </c>
      <c r="C7752" s="1">
        <v>5</v>
      </c>
      <c r="D7752" s="1" t="s">
        <v>34</v>
      </c>
      <c r="E7752" s="1" t="s">
        <v>10</v>
      </c>
      <c r="F7752" s="1" t="s">
        <v>5091</v>
      </c>
      <c r="G7752" s="1" t="s">
        <v>10705</v>
      </c>
      <c r="H7752" s="1" t="s">
        <v>44</v>
      </c>
      <c r="I7752" s="1" t="s">
        <v>5848</v>
      </c>
    </row>
    <row r="7753" spans="1:9">
      <c r="A7753" s="7" t="s">
        <v>16467</v>
      </c>
      <c r="B7753" s="1" t="s">
        <v>2628</v>
      </c>
      <c r="C7753" s="1">
        <v>5</v>
      </c>
      <c r="D7753" s="1" t="s">
        <v>34</v>
      </c>
      <c r="E7753" s="1" t="s">
        <v>10</v>
      </c>
      <c r="F7753" s="1" t="s">
        <v>5091</v>
      </c>
      <c r="G7753" s="1" t="s">
        <v>10705</v>
      </c>
      <c r="H7753" s="1" t="s">
        <v>44</v>
      </c>
      <c r="I7753" s="1" t="s">
        <v>5848</v>
      </c>
    </row>
    <row r="7754" spans="1:9">
      <c r="A7754" s="7" t="s">
        <v>16468</v>
      </c>
      <c r="B7754" s="1" t="s">
        <v>2628</v>
      </c>
      <c r="C7754" s="1">
        <v>5</v>
      </c>
      <c r="D7754" s="1" t="s">
        <v>34</v>
      </c>
      <c r="E7754" s="1" t="s">
        <v>10</v>
      </c>
      <c r="F7754" s="1" t="s">
        <v>5091</v>
      </c>
      <c r="G7754" s="1" t="s">
        <v>10705</v>
      </c>
      <c r="H7754" s="1" t="s">
        <v>44</v>
      </c>
      <c r="I7754" s="1" t="s">
        <v>5848</v>
      </c>
    </row>
    <row r="7755" spans="1:9">
      <c r="A7755" s="7" t="s">
        <v>16470</v>
      </c>
      <c r="B7755" s="1" t="s">
        <v>2628</v>
      </c>
      <c r="C7755" s="1">
        <v>5</v>
      </c>
      <c r="D7755" s="1" t="s">
        <v>34</v>
      </c>
      <c r="E7755" s="1" t="s">
        <v>10</v>
      </c>
      <c r="F7755" s="1" t="s">
        <v>5091</v>
      </c>
      <c r="G7755" s="1" t="s">
        <v>10705</v>
      </c>
      <c r="H7755" s="1" t="s">
        <v>44</v>
      </c>
      <c r="I7755" s="1" t="s">
        <v>5483</v>
      </c>
    </row>
    <row r="7756" spans="1:9">
      <c r="A7756" s="7" t="s">
        <v>16471</v>
      </c>
      <c r="B7756" s="1" t="s">
        <v>2628</v>
      </c>
      <c r="C7756" s="1">
        <v>5</v>
      </c>
      <c r="D7756" s="1" t="s">
        <v>34</v>
      </c>
      <c r="E7756" s="1" t="s">
        <v>10</v>
      </c>
      <c r="F7756" s="1" t="s">
        <v>5091</v>
      </c>
      <c r="G7756" s="1" t="s">
        <v>10705</v>
      </c>
      <c r="H7756" s="1" t="s">
        <v>44</v>
      </c>
      <c r="I7756" s="1" t="s">
        <v>5483</v>
      </c>
    </row>
    <row r="7757" spans="1:9">
      <c r="A7757" s="7" t="s">
        <v>16472</v>
      </c>
      <c r="B7757" s="1" t="s">
        <v>2628</v>
      </c>
      <c r="C7757" s="1">
        <v>5</v>
      </c>
      <c r="D7757" s="1" t="s">
        <v>34</v>
      </c>
      <c r="E7757" s="1" t="s">
        <v>10</v>
      </c>
      <c r="F7757" s="1" t="s">
        <v>5091</v>
      </c>
      <c r="G7757" s="1" t="s">
        <v>10705</v>
      </c>
      <c r="H7757" s="1" t="s">
        <v>44</v>
      </c>
      <c r="I7757" s="1" t="s">
        <v>5483</v>
      </c>
    </row>
    <row r="7758" spans="1:9">
      <c r="A7758" s="7" t="s">
        <v>16473</v>
      </c>
      <c r="B7758" s="1" t="s">
        <v>2628</v>
      </c>
      <c r="C7758" s="1">
        <v>5</v>
      </c>
      <c r="D7758" s="1" t="s">
        <v>34</v>
      </c>
      <c r="E7758" s="1" t="s">
        <v>10</v>
      </c>
      <c r="F7758" s="1" t="s">
        <v>5091</v>
      </c>
      <c r="G7758" s="1" t="s">
        <v>10705</v>
      </c>
      <c r="H7758" s="1" t="s">
        <v>44</v>
      </c>
      <c r="I7758" s="1" t="s">
        <v>5483</v>
      </c>
    </row>
    <row r="7759" spans="1:9">
      <c r="A7759" s="7" t="s">
        <v>16474</v>
      </c>
      <c r="B7759" s="1" t="s">
        <v>2628</v>
      </c>
      <c r="C7759" s="1">
        <v>5</v>
      </c>
      <c r="D7759" s="1" t="s">
        <v>34</v>
      </c>
      <c r="E7759" s="1" t="s">
        <v>10</v>
      </c>
      <c r="F7759" s="1" t="s">
        <v>5091</v>
      </c>
      <c r="G7759" s="1" t="s">
        <v>10705</v>
      </c>
      <c r="H7759" s="1" t="s">
        <v>44</v>
      </c>
      <c r="I7759" s="1" t="s">
        <v>5848</v>
      </c>
    </row>
    <row r="7760" spans="1:9">
      <c r="A7760" s="7" t="s">
        <v>16475</v>
      </c>
      <c r="B7760" s="1" t="s">
        <v>2628</v>
      </c>
      <c r="C7760" s="1">
        <v>5</v>
      </c>
      <c r="D7760" s="1" t="s">
        <v>34</v>
      </c>
      <c r="E7760" s="1" t="s">
        <v>10</v>
      </c>
      <c r="F7760" s="1" t="s">
        <v>5091</v>
      </c>
      <c r="G7760" s="1" t="s">
        <v>10705</v>
      </c>
      <c r="H7760" s="1" t="s">
        <v>44</v>
      </c>
      <c r="I7760" s="1" t="s">
        <v>5848</v>
      </c>
    </row>
    <row r="7761" spans="1:9">
      <c r="A7761" s="7" t="s">
        <v>16476</v>
      </c>
      <c r="B7761" s="1" t="s">
        <v>2628</v>
      </c>
      <c r="C7761" s="1">
        <v>5</v>
      </c>
      <c r="D7761" s="1" t="s">
        <v>34</v>
      </c>
      <c r="E7761" s="1" t="s">
        <v>10</v>
      </c>
      <c r="F7761" s="1" t="s">
        <v>5091</v>
      </c>
      <c r="G7761" s="1" t="s">
        <v>10705</v>
      </c>
      <c r="H7761" s="1" t="s">
        <v>44</v>
      </c>
      <c r="I7761" s="1" t="s">
        <v>5848</v>
      </c>
    </row>
    <row r="7762" spans="1:9">
      <c r="A7762" s="7" t="s">
        <v>16477</v>
      </c>
      <c r="B7762" s="1" t="s">
        <v>2628</v>
      </c>
      <c r="C7762" s="1">
        <v>5</v>
      </c>
      <c r="D7762" s="1" t="s">
        <v>34</v>
      </c>
      <c r="E7762" s="1" t="s">
        <v>10</v>
      </c>
      <c r="F7762" s="1" t="s">
        <v>5091</v>
      </c>
      <c r="G7762" s="1" t="s">
        <v>10705</v>
      </c>
      <c r="H7762" s="1" t="s">
        <v>44</v>
      </c>
      <c r="I7762" s="1" t="s">
        <v>5848</v>
      </c>
    </row>
    <row r="7763" spans="1:9">
      <c r="A7763" s="7" t="s">
        <v>16478</v>
      </c>
      <c r="B7763" s="1" t="s">
        <v>2628</v>
      </c>
      <c r="C7763" s="1">
        <v>5</v>
      </c>
      <c r="D7763" s="1" t="s">
        <v>34</v>
      </c>
      <c r="E7763" s="1" t="s">
        <v>10</v>
      </c>
      <c r="F7763" s="1" t="s">
        <v>5091</v>
      </c>
      <c r="G7763" s="1" t="s">
        <v>10705</v>
      </c>
      <c r="H7763" s="1" t="s">
        <v>44</v>
      </c>
      <c r="I7763" s="1" t="s">
        <v>5848</v>
      </c>
    </row>
    <row r="7764" spans="1:9">
      <c r="A7764" s="7" t="s">
        <v>16479</v>
      </c>
      <c r="B7764" s="1" t="s">
        <v>2628</v>
      </c>
      <c r="C7764" s="1">
        <v>5</v>
      </c>
      <c r="D7764" s="1" t="s">
        <v>34</v>
      </c>
      <c r="E7764" s="1" t="s">
        <v>10</v>
      </c>
      <c r="F7764" s="1" t="s">
        <v>5091</v>
      </c>
      <c r="G7764" s="1" t="s">
        <v>10705</v>
      </c>
      <c r="H7764" s="1" t="s">
        <v>44</v>
      </c>
      <c r="I7764" s="1" t="s">
        <v>5848</v>
      </c>
    </row>
    <row r="7765" spans="1:9">
      <c r="A7765" s="7" t="s">
        <v>16480</v>
      </c>
      <c r="B7765" s="1" t="s">
        <v>2628</v>
      </c>
      <c r="C7765" s="1">
        <v>5</v>
      </c>
      <c r="D7765" s="1" t="s">
        <v>34</v>
      </c>
      <c r="E7765" s="1" t="s">
        <v>10</v>
      </c>
      <c r="F7765" s="1" t="s">
        <v>5091</v>
      </c>
      <c r="G7765" s="1" t="s">
        <v>10705</v>
      </c>
      <c r="H7765" s="1" t="s">
        <v>44</v>
      </c>
      <c r="I7765" s="1" t="s">
        <v>5848</v>
      </c>
    </row>
    <row r="7766" spans="1:9">
      <c r="A7766" s="7" t="s">
        <v>16481</v>
      </c>
      <c r="B7766" s="1" t="s">
        <v>2628</v>
      </c>
      <c r="C7766" s="1">
        <v>5</v>
      </c>
      <c r="D7766" s="1" t="s">
        <v>34</v>
      </c>
      <c r="E7766" s="1" t="s">
        <v>10</v>
      </c>
      <c r="F7766" s="1" t="s">
        <v>5091</v>
      </c>
      <c r="G7766" s="1" t="s">
        <v>10705</v>
      </c>
      <c r="H7766" s="1" t="s">
        <v>44</v>
      </c>
      <c r="I7766" s="1" t="s">
        <v>5848</v>
      </c>
    </row>
    <row r="7767" spans="1:9">
      <c r="A7767" s="7" t="s">
        <v>16482</v>
      </c>
      <c r="B7767" s="1" t="s">
        <v>2628</v>
      </c>
      <c r="C7767" s="1">
        <v>5</v>
      </c>
      <c r="D7767" s="1" t="s">
        <v>34</v>
      </c>
      <c r="E7767" s="1" t="s">
        <v>10</v>
      </c>
      <c r="F7767" s="1" t="s">
        <v>5091</v>
      </c>
      <c r="G7767" s="1" t="s">
        <v>10705</v>
      </c>
      <c r="H7767" s="1" t="s">
        <v>44</v>
      </c>
      <c r="I7767" s="1" t="s">
        <v>5848</v>
      </c>
    </row>
    <row r="7768" spans="1:9">
      <c r="A7768" s="7" t="s">
        <v>16483</v>
      </c>
      <c r="B7768" s="1" t="s">
        <v>2628</v>
      </c>
      <c r="C7768" s="1">
        <v>5</v>
      </c>
      <c r="D7768" s="1" t="s">
        <v>34</v>
      </c>
      <c r="E7768" s="1" t="s">
        <v>10</v>
      </c>
      <c r="F7768" s="1" t="s">
        <v>5091</v>
      </c>
      <c r="G7768" s="1" t="s">
        <v>10705</v>
      </c>
      <c r="H7768" s="1" t="s">
        <v>44</v>
      </c>
      <c r="I7768" s="1" t="s">
        <v>5848</v>
      </c>
    </row>
    <row r="7769" spans="1:9">
      <c r="A7769" s="7" t="s">
        <v>16487</v>
      </c>
      <c r="B7769" s="1" t="s">
        <v>2628</v>
      </c>
      <c r="C7769" s="1">
        <v>5</v>
      </c>
      <c r="D7769" s="1" t="s">
        <v>34</v>
      </c>
      <c r="E7769" s="1" t="s">
        <v>10</v>
      </c>
      <c r="F7769" s="1" t="s">
        <v>5091</v>
      </c>
      <c r="G7769" s="1" t="s">
        <v>10705</v>
      </c>
      <c r="H7769" s="1" t="s">
        <v>44</v>
      </c>
      <c r="I7769" s="1" t="s">
        <v>5848</v>
      </c>
    </row>
    <row r="7770" spans="1:9">
      <c r="A7770" s="7" t="s">
        <v>16489</v>
      </c>
      <c r="B7770" s="1" t="s">
        <v>2628</v>
      </c>
      <c r="C7770" s="1">
        <v>5</v>
      </c>
      <c r="D7770" s="1" t="s">
        <v>34</v>
      </c>
      <c r="E7770" s="1" t="s">
        <v>10</v>
      </c>
      <c r="F7770" s="1" t="s">
        <v>5091</v>
      </c>
      <c r="G7770" s="1" t="s">
        <v>10705</v>
      </c>
      <c r="H7770" s="1" t="s">
        <v>44</v>
      </c>
      <c r="I7770" s="1" t="s">
        <v>5848</v>
      </c>
    </row>
    <row r="7771" spans="1:9">
      <c r="A7771" s="7" t="s">
        <v>16490</v>
      </c>
      <c r="B7771" s="1" t="s">
        <v>2628</v>
      </c>
      <c r="C7771" s="1">
        <v>5</v>
      </c>
      <c r="D7771" s="1" t="s">
        <v>34</v>
      </c>
      <c r="E7771" s="1" t="s">
        <v>10</v>
      </c>
      <c r="F7771" s="1" t="s">
        <v>5091</v>
      </c>
      <c r="G7771" s="1" t="s">
        <v>10705</v>
      </c>
      <c r="H7771" s="1" t="s">
        <v>44</v>
      </c>
      <c r="I7771" s="1" t="s">
        <v>5483</v>
      </c>
    </row>
    <row r="7772" spans="1:9">
      <c r="A7772" s="7" t="s">
        <v>16491</v>
      </c>
      <c r="B7772" s="1" t="s">
        <v>2628</v>
      </c>
      <c r="C7772" s="1">
        <v>5</v>
      </c>
      <c r="D7772" s="1" t="s">
        <v>34</v>
      </c>
      <c r="E7772" s="1" t="s">
        <v>10</v>
      </c>
      <c r="F7772" s="1" t="s">
        <v>5091</v>
      </c>
      <c r="G7772" s="1" t="s">
        <v>10705</v>
      </c>
      <c r="H7772" s="1" t="s">
        <v>44</v>
      </c>
      <c r="I7772" s="1" t="s">
        <v>5483</v>
      </c>
    </row>
    <row r="7773" spans="1:9">
      <c r="A7773" s="7" t="s">
        <v>16493</v>
      </c>
      <c r="B7773" s="1" t="s">
        <v>2628</v>
      </c>
      <c r="C7773" s="1">
        <v>5</v>
      </c>
      <c r="D7773" s="1" t="s">
        <v>34</v>
      </c>
      <c r="E7773" s="1" t="s">
        <v>10</v>
      </c>
      <c r="F7773" s="1" t="s">
        <v>5091</v>
      </c>
      <c r="G7773" s="1" t="s">
        <v>10705</v>
      </c>
      <c r="H7773" s="1" t="s">
        <v>44</v>
      </c>
      <c r="I7773" s="1" t="s">
        <v>5848</v>
      </c>
    </row>
    <row r="7774" spans="1:9">
      <c r="A7774" s="7" t="s">
        <v>16494</v>
      </c>
      <c r="B7774" s="1" t="s">
        <v>2628</v>
      </c>
      <c r="C7774" s="1">
        <v>5</v>
      </c>
      <c r="D7774" s="1" t="s">
        <v>34</v>
      </c>
      <c r="E7774" s="1" t="s">
        <v>10</v>
      </c>
      <c r="F7774" s="1" t="s">
        <v>5091</v>
      </c>
      <c r="G7774" s="1" t="s">
        <v>10705</v>
      </c>
      <c r="H7774" s="1" t="s">
        <v>44</v>
      </c>
      <c r="I7774" s="1" t="s">
        <v>5483</v>
      </c>
    </row>
    <row r="7775" spans="1:9">
      <c r="A7775" s="7" t="s">
        <v>16495</v>
      </c>
      <c r="B7775" s="1" t="s">
        <v>2628</v>
      </c>
      <c r="C7775" s="1">
        <v>5</v>
      </c>
      <c r="D7775" s="1" t="s">
        <v>34</v>
      </c>
      <c r="E7775" s="1" t="s">
        <v>10</v>
      </c>
      <c r="F7775" s="1" t="s">
        <v>5091</v>
      </c>
      <c r="G7775" s="1" t="s">
        <v>10705</v>
      </c>
      <c r="H7775" s="1" t="s">
        <v>44</v>
      </c>
      <c r="I7775" s="1" t="s">
        <v>5483</v>
      </c>
    </row>
    <row r="7776" spans="1:9">
      <c r="A7776" s="7" t="s">
        <v>16496</v>
      </c>
      <c r="B7776" s="1" t="s">
        <v>2628</v>
      </c>
      <c r="C7776" s="1">
        <v>5</v>
      </c>
      <c r="D7776" s="1" t="s">
        <v>34</v>
      </c>
      <c r="E7776" s="1" t="s">
        <v>10</v>
      </c>
      <c r="F7776" s="1" t="s">
        <v>5091</v>
      </c>
      <c r="G7776" s="1" t="s">
        <v>10705</v>
      </c>
      <c r="H7776" s="1" t="s">
        <v>44</v>
      </c>
      <c r="I7776" s="1" t="s">
        <v>5848</v>
      </c>
    </row>
    <row r="7777" spans="1:10">
      <c r="A7777" s="7" t="s">
        <v>16497</v>
      </c>
      <c r="B7777" s="1" t="s">
        <v>2628</v>
      </c>
      <c r="C7777" s="1">
        <v>5</v>
      </c>
      <c r="D7777" s="1" t="s">
        <v>34</v>
      </c>
      <c r="E7777" s="1" t="s">
        <v>10</v>
      </c>
      <c r="F7777" s="1" t="s">
        <v>5091</v>
      </c>
      <c r="G7777" s="1" t="s">
        <v>10705</v>
      </c>
      <c r="H7777" s="1" t="s">
        <v>44</v>
      </c>
      <c r="I7777" s="1" t="s">
        <v>5848</v>
      </c>
    </row>
    <row r="7778" spans="1:10">
      <c r="A7778" s="7" t="s">
        <v>16499</v>
      </c>
      <c r="B7778" s="1" t="s">
        <v>2628</v>
      </c>
      <c r="C7778" s="1">
        <v>5</v>
      </c>
      <c r="D7778" s="1" t="s">
        <v>34</v>
      </c>
      <c r="E7778" s="1" t="s">
        <v>10</v>
      </c>
      <c r="F7778" s="1" t="s">
        <v>5091</v>
      </c>
      <c r="G7778" s="1" t="s">
        <v>10705</v>
      </c>
      <c r="H7778" s="1" t="s">
        <v>44</v>
      </c>
      <c r="I7778" s="1" t="s">
        <v>5848</v>
      </c>
    </row>
    <row r="7779" spans="1:10">
      <c r="A7779" s="7" t="s">
        <v>16500</v>
      </c>
      <c r="B7779" s="1" t="s">
        <v>2628</v>
      </c>
      <c r="C7779" s="1">
        <v>5</v>
      </c>
      <c r="D7779" s="1" t="s">
        <v>34</v>
      </c>
      <c r="E7779" s="1" t="s">
        <v>10</v>
      </c>
      <c r="F7779" s="1" t="s">
        <v>5091</v>
      </c>
      <c r="G7779" s="1" t="s">
        <v>10705</v>
      </c>
      <c r="H7779" s="1" t="s">
        <v>44</v>
      </c>
      <c r="I7779" s="1" t="s">
        <v>5483</v>
      </c>
    </row>
    <row r="7780" spans="1:10">
      <c r="A7780" s="7" t="s">
        <v>16502</v>
      </c>
      <c r="B7780" s="1" t="s">
        <v>2628</v>
      </c>
      <c r="C7780" s="1">
        <v>5</v>
      </c>
      <c r="D7780" s="1" t="s">
        <v>34</v>
      </c>
      <c r="E7780" s="1" t="s">
        <v>10</v>
      </c>
      <c r="F7780" s="1" t="s">
        <v>5091</v>
      </c>
      <c r="G7780" s="1" t="s">
        <v>10705</v>
      </c>
      <c r="H7780" s="1" t="s">
        <v>44</v>
      </c>
      <c r="I7780" s="1" t="s">
        <v>5848</v>
      </c>
    </row>
    <row r="7781" spans="1:10">
      <c r="A7781" s="7" t="s">
        <v>16503</v>
      </c>
      <c r="B7781" s="1" t="s">
        <v>2628</v>
      </c>
      <c r="C7781" s="1">
        <v>5</v>
      </c>
      <c r="D7781" s="1" t="s">
        <v>34</v>
      </c>
      <c r="E7781" s="1" t="s">
        <v>10</v>
      </c>
      <c r="F7781" s="1" t="s">
        <v>5091</v>
      </c>
      <c r="G7781" s="1" t="s">
        <v>10705</v>
      </c>
      <c r="H7781" s="1" t="s">
        <v>44</v>
      </c>
      <c r="I7781" s="1" t="s">
        <v>5848</v>
      </c>
    </row>
    <row r="7782" spans="1:10">
      <c r="A7782" s="7" t="s">
        <v>16505</v>
      </c>
      <c r="B7782" s="2" t="s">
        <v>2628</v>
      </c>
      <c r="C7782" s="1">
        <v>5</v>
      </c>
      <c r="D7782" s="1" t="s">
        <v>34</v>
      </c>
      <c r="E7782" s="1" t="s">
        <v>10</v>
      </c>
      <c r="F7782" s="1" t="s">
        <v>5091</v>
      </c>
      <c r="G7782" s="14" t="s">
        <v>7375</v>
      </c>
      <c r="H7782" s="1" t="s">
        <v>5</v>
      </c>
      <c r="I7782" s="1" t="s">
        <v>4458</v>
      </c>
    </row>
    <row r="7783" spans="1:10">
      <c r="A7783" s="7" t="s">
        <v>16514</v>
      </c>
      <c r="B7783" s="2" t="s">
        <v>2631</v>
      </c>
      <c r="C7783" s="1">
        <v>5</v>
      </c>
      <c r="D7783" s="1" t="s">
        <v>34</v>
      </c>
      <c r="E7783" s="1" t="s">
        <v>10</v>
      </c>
      <c r="F7783" s="1" t="s">
        <v>2691</v>
      </c>
      <c r="G7783" s="14" t="s">
        <v>6307</v>
      </c>
      <c r="H7783" s="1" t="s">
        <v>44</v>
      </c>
      <c r="I7783" s="1">
        <v>2019</v>
      </c>
    </row>
    <row r="7784" spans="1:10">
      <c r="A7784" s="7" t="s">
        <v>16519</v>
      </c>
      <c r="B7784" s="2" t="s">
        <v>2628</v>
      </c>
      <c r="C7784" s="1">
        <v>5</v>
      </c>
      <c r="D7784" s="1" t="s">
        <v>34</v>
      </c>
      <c r="E7784" s="1" t="s">
        <v>10</v>
      </c>
      <c r="F7784" s="1" t="s">
        <v>5091</v>
      </c>
      <c r="G7784" s="14" t="s">
        <v>6139</v>
      </c>
      <c r="H7784" s="1" t="s">
        <v>43</v>
      </c>
      <c r="I7784" s="1" t="s">
        <v>5807</v>
      </c>
    </row>
    <row r="7785" spans="1:10">
      <c r="A7785" s="7" t="s">
        <v>16520</v>
      </c>
      <c r="B7785" s="2" t="s">
        <v>2628</v>
      </c>
      <c r="C7785" s="1">
        <v>5</v>
      </c>
      <c r="D7785" s="1" t="s">
        <v>34</v>
      </c>
      <c r="E7785" s="1" t="s">
        <v>10</v>
      </c>
      <c r="F7785" s="1" t="s">
        <v>5091</v>
      </c>
      <c r="G7785" s="14" t="s">
        <v>6139</v>
      </c>
      <c r="H7785" s="1" t="s">
        <v>43</v>
      </c>
      <c r="I7785" s="1" t="s">
        <v>5807</v>
      </c>
    </row>
    <row r="7786" spans="1:10">
      <c r="A7786" s="7" t="s">
        <v>16523</v>
      </c>
      <c r="B7786" s="2" t="s">
        <v>2628</v>
      </c>
      <c r="C7786" s="1">
        <v>5</v>
      </c>
      <c r="D7786" s="1" t="s">
        <v>34</v>
      </c>
      <c r="E7786" s="1" t="s">
        <v>10</v>
      </c>
      <c r="F7786" s="1" t="s">
        <v>5091</v>
      </c>
      <c r="G7786" s="14" t="s">
        <v>16524</v>
      </c>
      <c r="H7786" s="1" t="s">
        <v>5</v>
      </c>
      <c r="I7786" s="1" t="s">
        <v>5807</v>
      </c>
      <c r="J7786" s="17"/>
    </row>
    <row r="7787" spans="1:10">
      <c r="A7787" s="7" t="s">
        <v>16527</v>
      </c>
      <c r="B7787" s="2" t="s">
        <v>2628</v>
      </c>
      <c r="C7787" s="1">
        <v>5</v>
      </c>
      <c r="D7787" s="1" t="s">
        <v>34</v>
      </c>
      <c r="E7787" s="1" t="s">
        <v>10</v>
      </c>
      <c r="F7787" s="1" t="s">
        <v>5091</v>
      </c>
      <c r="G7787" s="14" t="s">
        <v>16524</v>
      </c>
      <c r="H7787" s="1" t="s">
        <v>5</v>
      </c>
      <c r="I7787" s="1" t="s">
        <v>5807</v>
      </c>
      <c r="J7787" s="17"/>
    </row>
    <row r="7788" spans="1:10">
      <c r="A7788" s="7" t="s">
        <v>16603</v>
      </c>
      <c r="B7788" s="2" t="s">
        <v>2628</v>
      </c>
      <c r="C7788" s="1">
        <v>5</v>
      </c>
      <c r="D7788" s="1" t="s">
        <v>34</v>
      </c>
      <c r="E7788" s="1" t="s">
        <v>10</v>
      </c>
      <c r="F7788" s="1" t="s">
        <v>5091</v>
      </c>
      <c r="G7788" s="22" t="s">
        <v>6181</v>
      </c>
      <c r="H7788" s="2" t="s">
        <v>118</v>
      </c>
      <c r="I7788" s="1" t="s">
        <v>4458</v>
      </c>
    </row>
    <row r="7789" spans="1:10">
      <c r="A7789" s="7" t="s">
        <v>16613</v>
      </c>
      <c r="B7789" s="2" t="s">
        <v>2628</v>
      </c>
      <c r="C7789" s="1">
        <v>5</v>
      </c>
      <c r="D7789" s="1" t="s">
        <v>34</v>
      </c>
      <c r="E7789" s="1" t="s">
        <v>10</v>
      </c>
      <c r="F7789" s="1" t="s">
        <v>5091</v>
      </c>
      <c r="G7789" s="14" t="s">
        <v>16614</v>
      </c>
      <c r="H7789" s="1" t="s">
        <v>5</v>
      </c>
      <c r="I7789" s="1" t="s">
        <v>5807</v>
      </c>
      <c r="J7789" s="17"/>
    </row>
    <row r="7790" spans="1:10">
      <c r="A7790" s="7" t="s">
        <v>16628</v>
      </c>
      <c r="B7790" s="2" t="s">
        <v>2628</v>
      </c>
      <c r="C7790" s="1">
        <v>5</v>
      </c>
      <c r="D7790" s="1" t="s">
        <v>34</v>
      </c>
      <c r="E7790" s="1" t="s">
        <v>10</v>
      </c>
      <c r="F7790" s="1" t="s">
        <v>5091</v>
      </c>
      <c r="G7790" s="14" t="s">
        <v>6139</v>
      </c>
      <c r="H7790" s="1" t="s">
        <v>43</v>
      </c>
      <c r="I7790" s="1" t="s">
        <v>5807</v>
      </c>
    </row>
    <row r="7791" spans="1:10">
      <c r="A7791" s="7" t="s">
        <v>16643</v>
      </c>
      <c r="B7791" s="2" t="s">
        <v>2628</v>
      </c>
      <c r="C7791" s="1">
        <v>5</v>
      </c>
      <c r="D7791" s="1" t="s">
        <v>34</v>
      </c>
      <c r="E7791" s="1" t="s">
        <v>10</v>
      </c>
      <c r="F7791" s="1" t="s">
        <v>5091</v>
      </c>
      <c r="G7791" s="22" t="s">
        <v>6181</v>
      </c>
      <c r="H7791" s="2" t="s">
        <v>118</v>
      </c>
      <c r="I7791" s="1" t="s">
        <v>4458</v>
      </c>
    </row>
    <row r="7792" spans="1:10">
      <c r="A7792" s="7" t="s">
        <v>16644</v>
      </c>
      <c r="B7792" s="2" t="s">
        <v>2628</v>
      </c>
      <c r="C7792" s="1">
        <v>5</v>
      </c>
      <c r="D7792" s="1" t="s">
        <v>34</v>
      </c>
      <c r="E7792" s="1" t="s">
        <v>10</v>
      </c>
      <c r="F7792" s="1" t="s">
        <v>5091</v>
      </c>
      <c r="G7792" s="14" t="s">
        <v>6139</v>
      </c>
      <c r="H7792" s="1" t="s">
        <v>43</v>
      </c>
      <c r="I7792" s="1" t="s">
        <v>5807</v>
      </c>
    </row>
    <row r="7793" spans="1:9">
      <c r="A7793" s="7" t="s">
        <v>16645</v>
      </c>
      <c r="B7793" s="2" t="s">
        <v>2628</v>
      </c>
      <c r="C7793" s="1">
        <v>5</v>
      </c>
      <c r="D7793" s="1" t="s">
        <v>34</v>
      </c>
      <c r="E7793" s="1" t="s">
        <v>10</v>
      </c>
      <c r="F7793" s="1" t="s">
        <v>5091</v>
      </c>
      <c r="G7793" s="14" t="s">
        <v>6139</v>
      </c>
      <c r="H7793" s="1" t="s">
        <v>43</v>
      </c>
      <c r="I7793" s="1" t="s">
        <v>5807</v>
      </c>
    </row>
    <row r="7794" spans="1:9">
      <c r="A7794" s="7" t="s">
        <v>16647</v>
      </c>
      <c r="B7794" s="2" t="s">
        <v>2628</v>
      </c>
      <c r="C7794" s="1">
        <v>5</v>
      </c>
      <c r="D7794" s="1" t="s">
        <v>34</v>
      </c>
      <c r="E7794" s="1" t="s">
        <v>10</v>
      </c>
      <c r="F7794" s="1" t="s">
        <v>5091</v>
      </c>
      <c r="G7794" s="14" t="s">
        <v>6139</v>
      </c>
      <c r="H7794" s="1" t="s">
        <v>43</v>
      </c>
      <c r="I7794" s="1" t="s">
        <v>5807</v>
      </c>
    </row>
    <row r="7795" spans="1:9">
      <c r="A7795" s="7" t="s">
        <v>16650</v>
      </c>
      <c r="B7795" s="2" t="s">
        <v>2628</v>
      </c>
      <c r="C7795" s="1">
        <v>5</v>
      </c>
      <c r="D7795" s="1" t="s">
        <v>34</v>
      </c>
      <c r="E7795" s="1" t="s">
        <v>10</v>
      </c>
      <c r="F7795" s="1" t="s">
        <v>5091</v>
      </c>
      <c r="G7795" s="14" t="s">
        <v>6139</v>
      </c>
      <c r="H7795" s="1" t="s">
        <v>43</v>
      </c>
      <c r="I7795" s="1" t="s">
        <v>5807</v>
      </c>
    </row>
    <row r="7796" spans="1:9">
      <c r="A7796" s="7" t="s">
        <v>16651</v>
      </c>
      <c r="B7796" s="2" t="s">
        <v>2628</v>
      </c>
      <c r="C7796" s="1">
        <v>5</v>
      </c>
      <c r="D7796" s="1" t="s">
        <v>34</v>
      </c>
      <c r="E7796" s="1" t="s">
        <v>10</v>
      </c>
      <c r="F7796" s="1" t="s">
        <v>5091</v>
      </c>
      <c r="G7796" s="14" t="s">
        <v>6139</v>
      </c>
      <c r="H7796" s="1" t="s">
        <v>43</v>
      </c>
      <c r="I7796" s="1" t="s">
        <v>5807</v>
      </c>
    </row>
    <row r="7797" spans="1:9">
      <c r="A7797" s="7" t="s">
        <v>16652</v>
      </c>
      <c r="B7797" s="2" t="s">
        <v>2628</v>
      </c>
      <c r="C7797" s="1">
        <v>5</v>
      </c>
      <c r="D7797" s="1" t="s">
        <v>34</v>
      </c>
      <c r="E7797" s="1" t="s">
        <v>10</v>
      </c>
      <c r="F7797" s="1" t="s">
        <v>5091</v>
      </c>
      <c r="G7797" s="14" t="s">
        <v>6139</v>
      </c>
      <c r="H7797" s="1" t="s">
        <v>43</v>
      </c>
      <c r="I7797" s="1" t="s">
        <v>5807</v>
      </c>
    </row>
    <row r="7798" spans="1:9">
      <c r="A7798" s="7" t="s">
        <v>16654</v>
      </c>
      <c r="B7798" s="2" t="s">
        <v>2628</v>
      </c>
      <c r="C7798" s="1">
        <v>5</v>
      </c>
      <c r="D7798" s="1" t="s">
        <v>34</v>
      </c>
      <c r="E7798" s="1" t="s">
        <v>10</v>
      </c>
      <c r="F7798" s="1" t="s">
        <v>5091</v>
      </c>
      <c r="G7798" s="14" t="s">
        <v>6139</v>
      </c>
      <c r="H7798" s="1" t="s">
        <v>43</v>
      </c>
      <c r="I7798" s="1" t="s">
        <v>5807</v>
      </c>
    </row>
    <row r="7799" spans="1:9">
      <c r="A7799" s="7" t="s">
        <v>16655</v>
      </c>
      <c r="B7799" s="2" t="s">
        <v>2628</v>
      </c>
      <c r="C7799" s="1">
        <v>5</v>
      </c>
      <c r="D7799" s="1" t="s">
        <v>34</v>
      </c>
      <c r="E7799" s="1" t="s">
        <v>10</v>
      </c>
      <c r="F7799" s="1" t="s">
        <v>5091</v>
      </c>
      <c r="G7799" s="14" t="s">
        <v>6139</v>
      </c>
      <c r="H7799" s="1" t="s">
        <v>43</v>
      </c>
      <c r="I7799" s="1" t="s">
        <v>5807</v>
      </c>
    </row>
    <row r="7800" spans="1:9">
      <c r="A7800" s="7" t="s">
        <v>16656</v>
      </c>
      <c r="B7800" s="2" t="s">
        <v>2628</v>
      </c>
      <c r="C7800" s="1">
        <v>5</v>
      </c>
      <c r="D7800" s="1" t="s">
        <v>34</v>
      </c>
      <c r="E7800" s="1" t="s">
        <v>10</v>
      </c>
      <c r="F7800" s="1" t="s">
        <v>5091</v>
      </c>
      <c r="G7800" s="14" t="s">
        <v>6139</v>
      </c>
      <c r="H7800" s="1" t="s">
        <v>43</v>
      </c>
      <c r="I7800" s="1" t="s">
        <v>5807</v>
      </c>
    </row>
    <row r="7801" spans="1:9">
      <c r="A7801" s="7" t="s">
        <v>16657</v>
      </c>
      <c r="B7801" s="2" t="s">
        <v>2628</v>
      </c>
      <c r="C7801" s="1">
        <v>5</v>
      </c>
      <c r="D7801" s="1" t="s">
        <v>34</v>
      </c>
      <c r="E7801" s="1" t="s">
        <v>10</v>
      </c>
      <c r="F7801" s="1" t="s">
        <v>5091</v>
      </c>
      <c r="G7801" s="14" t="s">
        <v>6139</v>
      </c>
      <c r="H7801" s="1" t="s">
        <v>43</v>
      </c>
      <c r="I7801" s="1" t="s">
        <v>5807</v>
      </c>
    </row>
    <row r="7802" spans="1:9">
      <c r="A7802" s="7" t="s">
        <v>16658</v>
      </c>
      <c r="B7802" s="2" t="s">
        <v>2628</v>
      </c>
      <c r="C7802" s="1">
        <v>5</v>
      </c>
      <c r="D7802" s="1" t="s">
        <v>34</v>
      </c>
      <c r="E7802" s="1" t="s">
        <v>10</v>
      </c>
      <c r="F7802" s="1" t="s">
        <v>5091</v>
      </c>
      <c r="G7802" s="14" t="s">
        <v>6139</v>
      </c>
      <c r="H7802" s="1" t="s">
        <v>43</v>
      </c>
      <c r="I7802" s="1" t="s">
        <v>5807</v>
      </c>
    </row>
    <row r="7803" spans="1:9">
      <c r="A7803" s="7" t="s">
        <v>16659</v>
      </c>
      <c r="B7803" s="2" t="s">
        <v>2628</v>
      </c>
      <c r="C7803" s="1">
        <v>5</v>
      </c>
      <c r="D7803" s="1" t="s">
        <v>34</v>
      </c>
      <c r="E7803" s="1" t="s">
        <v>10</v>
      </c>
      <c r="F7803" s="1" t="s">
        <v>5091</v>
      </c>
      <c r="G7803" s="14" t="s">
        <v>6139</v>
      </c>
      <c r="H7803" s="1" t="s">
        <v>43</v>
      </c>
      <c r="I7803" s="1" t="s">
        <v>5807</v>
      </c>
    </row>
    <row r="7804" spans="1:9">
      <c r="A7804" s="7" t="s">
        <v>16660</v>
      </c>
      <c r="B7804" s="2" t="s">
        <v>2628</v>
      </c>
      <c r="C7804" s="1">
        <v>5</v>
      </c>
      <c r="D7804" s="1" t="s">
        <v>34</v>
      </c>
      <c r="E7804" s="1" t="s">
        <v>10</v>
      </c>
      <c r="F7804" s="1" t="s">
        <v>5091</v>
      </c>
      <c r="G7804" s="14" t="s">
        <v>6139</v>
      </c>
      <c r="H7804" s="1" t="s">
        <v>43</v>
      </c>
      <c r="I7804" s="1" t="s">
        <v>5807</v>
      </c>
    </row>
    <row r="7805" spans="1:9">
      <c r="A7805" s="7" t="s">
        <v>16662</v>
      </c>
      <c r="B7805" s="2" t="s">
        <v>2628</v>
      </c>
      <c r="C7805" s="1">
        <v>5</v>
      </c>
      <c r="D7805" s="1" t="s">
        <v>34</v>
      </c>
      <c r="E7805" s="1" t="s">
        <v>10</v>
      </c>
      <c r="F7805" s="1" t="s">
        <v>5091</v>
      </c>
      <c r="G7805" s="14" t="s">
        <v>6139</v>
      </c>
      <c r="H7805" s="1" t="s">
        <v>43</v>
      </c>
      <c r="I7805" s="1" t="s">
        <v>5807</v>
      </c>
    </row>
    <row r="7806" spans="1:9">
      <c r="A7806" s="7" t="s">
        <v>16663</v>
      </c>
      <c r="B7806" s="2" t="s">
        <v>2628</v>
      </c>
      <c r="C7806" s="1">
        <v>5</v>
      </c>
      <c r="D7806" s="1" t="s">
        <v>34</v>
      </c>
      <c r="E7806" s="1" t="s">
        <v>10</v>
      </c>
      <c r="F7806" s="1" t="s">
        <v>5091</v>
      </c>
      <c r="G7806" s="14" t="s">
        <v>6139</v>
      </c>
      <c r="H7806" s="1" t="s">
        <v>43</v>
      </c>
      <c r="I7806" s="1" t="s">
        <v>5807</v>
      </c>
    </row>
    <row r="7807" spans="1:9">
      <c r="A7807" s="7" t="s">
        <v>16664</v>
      </c>
      <c r="B7807" s="2" t="s">
        <v>2628</v>
      </c>
      <c r="C7807" s="1">
        <v>5</v>
      </c>
      <c r="D7807" s="1" t="s">
        <v>34</v>
      </c>
      <c r="E7807" s="1" t="s">
        <v>10</v>
      </c>
      <c r="F7807" s="1" t="s">
        <v>5091</v>
      </c>
      <c r="G7807" s="14" t="s">
        <v>6139</v>
      </c>
      <c r="H7807" s="1" t="s">
        <v>43</v>
      </c>
      <c r="I7807" s="1" t="s">
        <v>5807</v>
      </c>
    </row>
    <row r="7808" spans="1:9">
      <c r="A7808" s="7" t="s">
        <v>16665</v>
      </c>
      <c r="B7808" s="2" t="s">
        <v>2628</v>
      </c>
      <c r="C7808" s="1">
        <v>5</v>
      </c>
      <c r="D7808" s="1" t="s">
        <v>34</v>
      </c>
      <c r="E7808" s="1" t="s">
        <v>10</v>
      </c>
      <c r="F7808" s="1" t="s">
        <v>5091</v>
      </c>
      <c r="G7808" s="14" t="s">
        <v>6139</v>
      </c>
      <c r="H7808" s="1" t="s">
        <v>43</v>
      </c>
      <c r="I7808" s="1" t="s">
        <v>5807</v>
      </c>
    </row>
    <row r="7809" spans="1:9">
      <c r="A7809" s="7" t="s">
        <v>16666</v>
      </c>
      <c r="B7809" s="2" t="s">
        <v>2628</v>
      </c>
      <c r="C7809" s="1">
        <v>5</v>
      </c>
      <c r="D7809" s="1" t="s">
        <v>34</v>
      </c>
      <c r="E7809" s="1" t="s">
        <v>10</v>
      </c>
      <c r="F7809" s="1" t="s">
        <v>5091</v>
      </c>
      <c r="G7809" s="14" t="s">
        <v>6139</v>
      </c>
      <c r="H7809" s="1" t="s">
        <v>43</v>
      </c>
      <c r="I7809" s="1" t="s">
        <v>5807</v>
      </c>
    </row>
    <row r="7810" spans="1:9">
      <c r="A7810" s="7" t="s">
        <v>16668</v>
      </c>
      <c r="B7810" s="2" t="s">
        <v>2628</v>
      </c>
      <c r="C7810" s="1">
        <v>5</v>
      </c>
      <c r="D7810" s="1" t="s">
        <v>34</v>
      </c>
      <c r="E7810" s="1" t="s">
        <v>10</v>
      </c>
      <c r="F7810" s="1" t="s">
        <v>5091</v>
      </c>
      <c r="G7810" s="14" t="s">
        <v>6139</v>
      </c>
      <c r="H7810" s="1" t="s">
        <v>43</v>
      </c>
      <c r="I7810" s="1" t="s">
        <v>5807</v>
      </c>
    </row>
    <row r="7811" spans="1:9">
      <c r="A7811" s="7" t="s">
        <v>16669</v>
      </c>
      <c r="B7811" s="2" t="s">
        <v>2628</v>
      </c>
      <c r="C7811" s="1">
        <v>5</v>
      </c>
      <c r="D7811" s="1" t="s">
        <v>34</v>
      </c>
      <c r="E7811" s="1" t="s">
        <v>10</v>
      </c>
      <c r="F7811" s="1" t="s">
        <v>5091</v>
      </c>
      <c r="G7811" s="14" t="s">
        <v>6139</v>
      </c>
      <c r="H7811" s="1" t="s">
        <v>43</v>
      </c>
      <c r="I7811" s="1" t="s">
        <v>5807</v>
      </c>
    </row>
    <row r="7812" spans="1:9">
      <c r="A7812" s="7" t="s">
        <v>16670</v>
      </c>
      <c r="B7812" s="2" t="s">
        <v>2628</v>
      </c>
      <c r="C7812" s="1">
        <v>5</v>
      </c>
      <c r="D7812" s="1" t="s">
        <v>34</v>
      </c>
      <c r="E7812" s="1" t="s">
        <v>10</v>
      </c>
      <c r="F7812" s="1" t="s">
        <v>5091</v>
      </c>
      <c r="G7812" s="14" t="s">
        <v>6139</v>
      </c>
      <c r="H7812" s="1" t="s">
        <v>43</v>
      </c>
      <c r="I7812" s="1" t="s">
        <v>5807</v>
      </c>
    </row>
    <row r="7813" spans="1:9">
      <c r="A7813" s="7" t="s">
        <v>16671</v>
      </c>
      <c r="B7813" s="2" t="s">
        <v>2628</v>
      </c>
      <c r="C7813" s="1">
        <v>5</v>
      </c>
      <c r="D7813" s="1" t="s">
        <v>34</v>
      </c>
      <c r="E7813" s="1" t="s">
        <v>10</v>
      </c>
      <c r="F7813" s="1" t="s">
        <v>5091</v>
      </c>
      <c r="G7813" s="14" t="s">
        <v>6139</v>
      </c>
      <c r="H7813" s="1" t="s">
        <v>43</v>
      </c>
      <c r="I7813" s="1" t="s">
        <v>5807</v>
      </c>
    </row>
    <row r="7814" spans="1:9">
      <c r="A7814" s="7" t="s">
        <v>16673</v>
      </c>
      <c r="B7814" s="2" t="s">
        <v>2628</v>
      </c>
      <c r="C7814" s="1">
        <v>5</v>
      </c>
      <c r="D7814" s="1" t="s">
        <v>34</v>
      </c>
      <c r="E7814" s="1" t="s">
        <v>10</v>
      </c>
      <c r="F7814" s="1" t="s">
        <v>5091</v>
      </c>
      <c r="G7814" s="14" t="s">
        <v>6139</v>
      </c>
      <c r="H7814" s="1" t="s">
        <v>43</v>
      </c>
      <c r="I7814" s="1" t="s">
        <v>5807</v>
      </c>
    </row>
    <row r="7815" spans="1:9">
      <c r="A7815" s="7" t="s">
        <v>16674</v>
      </c>
      <c r="B7815" s="2" t="s">
        <v>2628</v>
      </c>
      <c r="C7815" s="1">
        <v>5</v>
      </c>
      <c r="D7815" s="1" t="s">
        <v>34</v>
      </c>
      <c r="E7815" s="1" t="s">
        <v>10</v>
      </c>
      <c r="F7815" s="1" t="s">
        <v>5091</v>
      </c>
      <c r="G7815" s="14" t="s">
        <v>6139</v>
      </c>
      <c r="H7815" s="1" t="s">
        <v>43</v>
      </c>
      <c r="I7815" s="1" t="s">
        <v>5807</v>
      </c>
    </row>
    <row r="7816" spans="1:9">
      <c r="A7816" s="7" t="s">
        <v>16676</v>
      </c>
      <c r="B7816" s="2" t="s">
        <v>2628</v>
      </c>
      <c r="C7816" s="1">
        <v>5</v>
      </c>
      <c r="D7816" s="1" t="s">
        <v>34</v>
      </c>
      <c r="E7816" s="1" t="s">
        <v>10</v>
      </c>
      <c r="F7816" s="1" t="s">
        <v>5091</v>
      </c>
      <c r="G7816" s="14" t="s">
        <v>6139</v>
      </c>
      <c r="H7816" s="1" t="s">
        <v>43</v>
      </c>
      <c r="I7816" s="1" t="s">
        <v>5807</v>
      </c>
    </row>
    <row r="7817" spans="1:9">
      <c r="A7817" s="7" t="s">
        <v>16677</v>
      </c>
      <c r="B7817" s="2" t="s">
        <v>2628</v>
      </c>
      <c r="C7817" s="1">
        <v>5</v>
      </c>
      <c r="D7817" s="1" t="s">
        <v>34</v>
      </c>
      <c r="E7817" s="1" t="s">
        <v>10</v>
      </c>
      <c r="F7817" s="1" t="s">
        <v>5091</v>
      </c>
      <c r="G7817" s="14" t="s">
        <v>6139</v>
      </c>
      <c r="H7817" s="1" t="s">
        <v>43</v>
      </c>
      <c r="I7817" s="1" t="s">
        <v>5807</v>
      </c>
    </row>
    <row r="7818" spans="1:9">
      <c r="A7818" s="7" t="s">
        <v>16679</v>
      </c>
      <c r="B7818" s="2" t="s">
        <v>2628</v>
      </c>
      <c r="C7818" s="1">
        <v>5</v>
      </c>
      <c r="D7818" s="1" t="s">
        <v>34</v>
      </c>
      <c r="E7818" s="1" t="s">
        <v>10</v>
      </c>
      <c r="F7818" s="1" t="s">
        <v>5091</v>
      </c>
      <c r="G7818" s="14" t="s">
        <v>6139</v>
      </c>
      <c r="H7818" s="1" t="s">
        <v>43</v>
      </c>
      <c r="I7818" s="1" t="s">
        <v>5807</v>
      </c>
    </row>
    <row r="7819" spans="1:9">
      <c r="A7819" s="7" t="s">
        <v>16682</v>
      </c>
      <c r="B7819" s="2" t="s">
        <v>2628</v>
      </c>
      <c r="C7819" s="1">
        <v>5</v>
      </c>
      <c r="D7819" s="1" t="s">
        <v>34</v>
      </c>
      <c r="E7819" s="1" t="s">
        <v>10</v>
      </c>
      <c r="F7819" s="1" t="s">
        <v>5091</v>
      </c>
      <c r="G7819" s="14" t="s">
        <v>6139</v>
      </c>
      <c r="H7819" s="1" t="s">
        <v>43</v>
      </c>
      <c r="I7819" s="1" t="s">
        <v>5807</v>
      </c>
    </row>
    <row r="7820" spans="1:9">
      <c r="A7820" s="7" t="s">
        <v>16693</v>
      </c>
      <c r="B7820" s="2" t="s">
        <v>2628</v>
      </c>
      <c r="C7820" s="1">
        <v>5</v>
      </c>
      <c r="D7820" s="1" t="s">
        <v>34</v>
      </c>
      <c r="E7820" s="1" t="s">
        <v>10</v>
      </c>
      <c r="F7820" s="1" t="s">
        <v>5091</v>
      </c>
      <c r="G7820" s="14" t="s">
        <v>6139</v>
      </c>
      <c r="H7820" s="1" t="s">
        <v>43</v>
      </c>
      <c r="I7820" s="1" t="s">
        <v>5807</v>
      </c>
    </row>
    <row r="7821" spans="1:9">
      <c r="A7821" s="7" t="s">
        <v>16694</v>
      </c>
      <c r="B7821" s="2" t="s">
        <v>2628</v>
      </c>
      <c r="C7821" s="1">
        <v>5</v>
      </c>
      <c r="D7821" s="1" t="s">
        <v>34</v>
      </c>
      <c r="E7821" s="1" t="s">
        <v>10</v>
      </c>
      <c r="F7821" s="1" t="s">
        <v>5091</v>
      </c>
      <c r="G7821" s="14" t="s">
        <v>6139</v>
      </c>
      <c r="H7821" s="1" t="s">
        <v>43</v>
      </c>
      <c r="I7821" s="1" t="s">
        <v>5807</v>
      </c>
    </row>
    <row r="7822" spans="1:9">
      <c r="A7822" s="7" t="s">
        <v>16697</v>
      </c>
      <c r="B7822" s="2" t="s">
        <v>2631</v>
      </c>
      <c r="C7822" s="1">
        <v>5</v>
      </c>
      <c r="D7822" s="1" t="s">
        <v>34</v>
      </c>
      <c r="E7822" s="1" t="s">
        <v>10</v>
      </c>
      <c r="F7822" s="1" t="s">
        <v>5596</v>
      </c>
      <c r="G7822" s="14" t="s">
        <v>6139</v>
      </c>
      <c r="H7822" s="1" t="s">
        <v>43</v>
      </c>
      <c r="I7822" s="1">
        <v>2019</v>
      </c>
    </row>
    <row r="7823" spans="1:9">
      <c r="A7823" s="7" t="s">
        <v>16698</v>
      </c>
      <c r="B7823" s="2" t="s">
        <v>2628</v>
      </c>
      <c r="C7823" s="1">
        <v>5</v>
      </c>
      <c r="D7823" s="1" t="s">
        <v>34</v>
      </c>
      <c r="E7823" s="1" t="s">
        <v>10</v>
      </c>
      <c r="F7823" s="1" t="s">
        <v>5091</v>
      </c>
      <c r="G7823" s="22" t="s">
        <v>6181</v>
      </c>
      <c r="H7823" s="2" t="s">
        <v>118</v>
      </c>
      <c r="I7823" s="1" t="s">
        <v>4458</v>
      </c>
    </row>
    <row r="7824" spans="1:9">
      <c r="A7824" s="7" t="s">
        <v>16702</v>
      </c>
      <c r="B7824" s="2" t="s">
        <v>2628</v>
      </c>
      <c r="C7824" s="1">
        <v>5</v>
      </c>
      <c r="D7824" s="1" t="s">
        <v>34</v>
      </c>
      <c r="E7824" s="1" t="s">
        <v>10</v>
      </c>
      <c r="F7824" s="1" t="s">
        <v>5091</v>
      </c>
      <c r="G7824" s="14" t="s">
        <v>6139</v>
      </c>
      <c r="H7824" s="1" t="s">
        <v>43</v>
      </c>
      <c r="I7824" s="1" t="s">
        <v>5807</v>
      </c>
    </row>
    <row r="7825" spans="1:9">
      <c r="A7825" s="7" t="s">
        <v>16703</v>
      </c>
      <c r="B7825" s="2" t="s">
        <v>2628</v>
      </c>
      <c r="C7825" s="1">
        <v>5</v>
      </c>
      <c r="D7825" s="1" t="s">
        <v>34</v>
      </c>
      <c r="E7825" s="1" t="s">
        <v>10</v>
      </c>
      <c r="F7825" s="1" t="s">
        <v>5091</v>
      </c>
      <c r="G7825" s="14" t="s">
        <v>6139</v>
      </c>
      <c r="H7825" s="1" t="s">
        <v>43</v>
      </c>
      <c r="I7825" s="1" t="s">
        <v>5807</v>
      </c>
    </row>
    <row r="7826" spans="1:9">
      <c r="A7826" s="7" t="s">
        <v>16704</v>
      </c>
      <c r="B7826" s="2" t="s">
        <v>2628</v>
      </c>
      <c r="C7826" s="1">
        <v>5</v>
      </c>
      <c r="D7826" s="1" t="s">
        <v>34</v>
      </c>
      <c r="E7826" s="1" t="s">
        <v>10</v>
      </c>
      <c r="F7826" s="1" t="s">
        <v>5091</v>
      </c>
      <c r="G7826" s="14" t="s">
        <v>6139</v>
      </c>
      <c r="H7826" s="1" t="s">
        <v>43</v>
      </c>
      <c r="I7826" s="1" t="s">
        <v>5807</v>
      </c>
    </row>
    <row r="7827" spans="1:9">
      <c r="A7827" s="7" t="s">
        <v>16705</v>
      </c>
      <c r="B7827" s="2" t="s">
        <v>2628</v>
      </c>
      <c r="C7827" s="1">
        <v>5</v>
      </c>
      <c r="D7827" s="1" t="s">
        <v>34</v>
      </c>
      <c r="E7827" s="1" t="s">
        <v>10</v>
      </c>
      <c r="F7827" s="1" t="s">
        <v>5091</v>
      </c>
      <c r="G7827" s="14" t="s">
        <v>6139</v>
      </c>
      <c r="H7827" s="1" t="s">
        <v>43</v>
      </c>
      <c r="I7827" s="1" t="s">
        <v>5807</v>
      </c>
    </row>
    <row r="7828" spans="1:9">
      <c r="A7828" s="7" t="s">
        <v>16706</v>
      </c>
      <c r="B7828" s="2" t="s">
        <v>2628</v>
      </c>
      <c r="C7828" s="1">
        <v>5</v>
      </c>
      <c r="D7828" s="1" t="s">
        <v>34</v>
      </c>
      <c r="E7828" s="1" t="s">
        <v>10</v>
      </c>
      <c r="F7828" s="1" t="s">
        <v>5091</v>
      </c>
      <c r="G7828" s="14" t="s">
        <v>6139</v>
      </c>
      <c r="H7828" s="1" t="s">
        <v>43</v>
      </c>
      <c r="I7828" s="1" t="s">
        <v>5807</v>
      </c>
    </row>
    <row r="7829" spans="1:9">
      <c r="A7829" s="7" t="s">
        <v>16707</v>
      </c>
      <c r="B7829" s="2" t="s">
        <v>2628</v>
      </c>
      <c r="C7829" s="1">
        <v>5</v>
      </c>
      <c r="D7829" s="1" t="s">
        <v>34</v>
      </c>
      <c r="E7829" s="1" t="s">
        <v>10</v>
      </c>
      <c r="F7829" s="1" t="s">
        <v>5091</v>
      </c>
      <c r="G7829" s="14" t="s">
        <v>6139</v>
      </c>
      <c r="H7829" s="1" t="s">
        <v>43</v>
      </c>
      <c r="I7829" s="1" t="s">
        <v>5807</v>
      </c>
    </row>
    <row r="7830" spans="1:9">
      <c r="A7830" s="7" t="s">
        <v>16708</v>
      </c>
      <c r="B7830" s="2" t="s">
        <v>2628</v>
      </c>
      <c r="C7830" s="1">
        <v>5</v>
      </c>
      <c r="D7830" s="1" t="s">
        <v>34</v>
      </c>
      <c r="E7830" s="1" t="s">
        <v>10</v>
      </c>
      <c r="F7830" s="1" t="s">
        <v>5091</v>
      </c>
      <c r="G7830" s="14" t="s">
        <v>6139</v>
      </c>
      <c r="H7830" s="1" t="s">
        <v>43</v>
      </c>
      <c r="I7830" s="1" t="s">
        <v>5807</v>
      </c>
    </row>
    <row r="7831" spans="1:9">
      <c r="A7831" s="7" t="s">
        <v>16709</v>
      </c>
      <c r="B7831" s="2" t="s">
        <v>2628</v>
      </c>
      <c r="C7831" s="1">
        <v>5</v>
      </c>
      <c r="D7831" s="1" t="s">
        <v>34</v>
      </c>
      <c r="E7831" s="1" t="s">
        <v>10</v>
      </c>
      <c r="F7831" s="1" t="s">
        <v>5091</v>
      </c>
      <c r="G7831" s="14" t="s">
        <v>6139</v>
      </c>
      <c r="H7831" s="1" t="s">
        <v>43</v>
      </c>
      <c r="I7831" s="1" t="s">
        <v>5807</v>
      </c>
    </row>
    <row r="7832" spans="1:9">
      <c r="A7832" s="7" t="s">
        <v>16710</v>
      </c>
      <c r="B7832" s="2" t="s">
        <v>2628</v>
      </c>
      <c r="C7832" s="1">
        <v>5</v>
      </c>
      <c r="D7832" s="1" t="s">
        <v>34</v>
      </c>
      <c r="E7832" s="1" t="s">
        <v>10</v>
      </c>
      <c r="F7832" s="1" t="s">
        <v>5091</v>
      </c>
      <c r="G7832" s="14" t="s">
        <v>6139</v>
      </c>
      <c r="H7832" s="1" t="s">
        <v>43</v>
      </c>
      <c r="I7832" s="1" t="s">
        <v>5807</v>
      </c>
    </row>
    <row r="7833" spans="1:9">
      <c r="A7833" s="7" t="s">
        <v>16711</v>
      </c>
      <c r="B7833" s="2" t="s">
        <v>2628</v>
      </c>
      <c r="C7833" s="1">
        <v>5</v>
      </c>
      <c r="D7833" s="1" t="s">
        <v>34</v>
      </c>
      <c r="E7833" s="1" t="s">
        <v>10</v>
      </c>
      <c r="F7833" s="1" t="s">
        <v>5091</v>
      </c>
      <c r="G7833" s="14" t="s">
        <v>6139</v>
      </c>
      <c r="H7833" s="1" t="s">
        <v>43</v>
      </c>
      <c r="I7833" s="1" t="s">
        <v>5807</v>
      </c>
    </row>
    <row r="7834" spans="1:9">
      <c r="A7834" s="7" t="s">
        <v>16712</v>
      </c>
      <c r="B7834" s="2" t="s">
        <v>2628</v>
      </c>
      <c r="C7834" s="1">
        <v>5</v>
      </c>
      <c r="D7834" s="1" t="s">
        <v>34</v>
      </c>
      <c r="E7834" s="1" t="s">
        <v>10</v>
      </c>
      <c r="F7834" s="1" t="s">
        <v>5091</v>
      </c>
      <c r="G7834" s="14" t="s">
        <v>6139</v>
      </c>
      <c r="H7834" s="1" t="s">
        <v>43</v>
      </c>
      <c r="I7834" s="1" t="s">
        <v>5807</v>
      </c>
    </row>
    <row r="7835" spans="1:9">
      <c r="A7835" s="7" t="s">
        <v>16713</v>
      </c>
      <c r="B7835" s="2" t="s">
        <v>2628</v>
      </c>
      <c r="C7835" s="1">
        <v>5</v>
      </c>
      <c r="D7835" s="1" t="s">
        <v>34</v>
      </c>
      <c r="E7835" s="1" t="s">
        <v>10</v>
      </c>
      <c r="F7835" s="1" t="s">
        <v>5091</v>
      </c>
      <c r="G7835" s="14" t="s">
        <v>6139</v>
      </c>
      <c r="H7835" s="1" t="s">
        <v>43</v>
      </c>
      <c r="I7835" s="1" t="s">
        <v>5807</v>
      </c>
    </row>
    <row r="7836" spans="1:9">
      <c r="A7836" s="7" t="s">
        <v>16714</v>
      </c>
      <c r="B7836" s="2" t="s">
        <v>2628</v>
      </c>
      <c r="C7836" s="1">
        <v>5</v>
      </c>
      <c r="D7836" s="1" t="s">
        <v>34</v>
      </c>
      <c r="E7836" s="1" t="s">
        <v>10</v>
      </c>
      <c r="F7836" s="1" t="s">
        <v>5091</v>
      </c>
      <c r="G7836" s="14" t="s">
        <v>6139</v>
      </c>
      <c r="H7836" s="1" t="s">
        <v>43</v>
      </c>
      <c r="I7836" s="1" t="s">
        <v>5807</v>
      </c>
    </row>
    <row r="7837" spans="1:9">
      <c r="A7837" s="7" t="s">
        <v>16715</v>
      </c>
      <c r="B7837" s="2" t="s">
        <v>2628</v>
      </c>
      <c r="C7837" s="1">
        <v>5</v>
      </c>
      <c r="D7837" s="1" t="s">
        <v>34</v>
      </c>
      <c r="E7837" s="1" t="s">
        <v>10</v>
      </c>
      <c r="F7837" s="1" t="s">
        <v>5091</v>
      </c>
      <c r="G7837" s="14" t="s">
        <v>6139</v>
      </c>
      <c r="H7837" s="1" t="s">
        <v>43</v>
      </c>
      <c r="I7837" s="1" t="s">
        <v>5807</v>
      </c>
    </row>
    <row r="7838" spans="1:9">
      <c r="A7838" s="7" t="s">
        <v>16716</v>
      </c>
      <c r="B7838" s="2" t="s">
        <v>2628</v>
      </c>
      <c r="C7838" s="1">
        <v>5</v>
      </c>
      <c r="D7838" s="1" t="s">
        <v>34</v>
      </c>
      <c r="E7838" s="1" t="s">
        <v>10</v>
      </c>
      <c r="F7838" s="1" t="s">
        <v>5091</v>
      </c>
      <c r="G7838" s="14" t="s">
        <v>6139</v>
      </c>
      <c r="H7838" s="1" t="s">
        <v>43</v>
      </c>
      <c r="I7838" s="1" t="s">
        <v>5807</v>
      </c>
    </row>
    <row r="7839" spans="1:9">
      <c r="A7839" s="7" t="s">
        <v>16717</v>
      </c>
      <c r="B7839" s="2" t="s">
        <v>2628</v>
      </c>
      <c r="C7839" s="1">
        <v>5</v>
      </c>
      <c r="D7839" s="1" t="s">
        <v>34</v>
      </c>
      <c r="E7839" s="1" t="s">
        <v>10</v>
      </c>
      <c r="F7839" s="1" t="s">
        <v>5091</v>
      </c>
      <c r="G7839" s="14" t="s">
        <v>6139</v>
      </c>
      <c r="H7839" s="1" t="s">
        <v>43</v>
      </c>
      <c r="I7839" s="1" t="s">
        <v>5807</v>
      </c>
    </row>
    <row r="7840" spans="1:9">
      <c r="A7840" s="7" t="s">
        <v>16718</v>
      </c>
      <c r="B7840" s="2" t="s">
        <v>2628</v>
      </c>
      <c r="C7840" s="1">
        <v>5</v>
      </c>
      <c r="D7840" s="1" t="s">
        <v>34</v>
      </c>
      <c r="E7840" s="1" t="s">
        <v>10</v>
      </c>
      <c r="F7840" s="1" t="s">
        <v>5091</v>
      </c>
      <c r="G7840" s="14" t="s">
        <v>6139</v>
      </c>
      <c r="H7840" s="1" t="s">
        <v>43</v>
      </c>
      <c r="I7840" s="1" t="s">
        <v>5807</v>
      </c>
    </row>
    <row r="7841" spans="1:10">
      <c r="A7841" s="7" t="s">
        <v>16720</v>
      </c>
      <c r="B7841" s="2" t="s">
        <v>2628</v>
      </c>
      <c r="C7841" s="1">
        <v>5</v>
      </c>
      <c r="D7841" s="1" t="s">
        <v>34</v>
      </c>
      <c r="E7841" s="1" t="s">
        <v>10</v>
      </c>
      <c r="F7841" s="1" t="s">
        <v>5091</v>
      </c>
      <c r="G7841" s="14" t="s">
        <v>16614</v>
      </c>
      <c r="H7841" s="1" t="s">
        <v>5</v>
      </c>
      <c r="I7841" s="1" t="s">
        <v>5807</v>
      </c>
      <c r="J7841" s="17"/>
    </row>
    <row r="7842" spans="1:10">
      <c r="A7842" s="16" t="s">
        <v>16755</v>
      </c>
      <c r="B7842" s="1" t="s">
        <v>2628</v>
      </c>
      <c r="C7842" s="1">
        <v>5</v>
      </c>
      <c r="D7842" s="1" t="s">
        <v>34</v>
      </c>
      <c r="E7842" s="1" t="s">
        <v>10</v>
      </c>
      <c r="F7842" s="1" t="s">
        <v>5091</v>
      </c>
      <c r="G7842" s="14" t="s">
        <v>4458</v>
      </c>
      <c r="H7842" s="1" t="s">
        <v>118</v>
      </c>
      <c r="I7842" s="1" t="s">
        <v>4458</v>
      </c>
    </row>
    <row r="7843" spans="1:10">
      <c r="A7843" s="16" t="s">
        <v>16756</v>
      </c>
      <c r="B7843" s="1" t="s">
        <v>2628</v>
      </c>
      <c r="C7843" s="1">
        <v>5</v>
      </c>
      <c r="D7843" s="1" t="s">
        <v>34</v>
      </c>
      <c r="E7843" s="1" t="s">
        <v>10</v>
      </c>
      <c r="F7843" s="1" t="s">
        <v>5091</v>
      </c>
      <c r="G7843" s="14" t="s">
        <v>4458</v>
      </c>
      <c r="H7843" s="1" t="s">
        <v>118</v>
      </c>
      <c r="I7843" s="1" t="s">
        <v>4458</v>
      </c>
    </row>
    <row r="7844" spans="1:10">
      <c r="A7844" s="7" t="s">
        <v>16779</v>
      </c>
      <c r="B7844" s="2" t="s">
        <v>2628</v>
      </c>
      <c r="C7844" s="1">
        <v>5</v>
      </c>
      <c r="D7844" s="1" t="s">
        <v>34</v>
      </c>
      <c r="E7844" s="1" t="s">
        <v>10</v>
      </c>
      <c r="F7844" s="1" t="s">
        <v>5091</v>
      </c>
      <c r="G7844" s="22" t="s">
        <v>6181</v>
      </c>
      <c r="H7844" s="2" t="s">
        <v>118</v>
      </c>
      <c r="I7844" s="1" t="s">
        <v>4458</v>
      </c>
    </row>
    <row r="7845" spans="1:10">
      <c r="A7845" s="7" t="s">
        <v>16793</v>
      </c>
      <c r="B7845" s="2" t="s">
        <v>2628</v>
      </c>
      <c r="C7845" s="1">
        <v>5</v>
      </c>
      <c r="D7845" s="1" t="s">
        <v>34</v>
      </c>
      <c r="E7845" s="1" t="s">
        <v>10</v>
      </c>
      <c r="F7845" s="1" t="s">
        <v>5091</v>
      </c>
      <c r="G7845" s="22" t="s">
        <v>6181</v>
      </c>
      <c r="H7845" s="2" t="s">
        <v>118</v>
      </c>
      <c r="I7845" s="1" t="s">
        <v>4458</v>
      </c>
    </row>
    <row r="7846" spans="1:10">
      <c r="A7846" s="7" t="s">
        <v>16800</v>
      </c>
      <c r="B7846" s="2" t="s">
        <v>2631</v>
      </c>
      <c r="C7846" s="1">
        <v>5</v>
      </c>
      <c r="D7846" s="1" t="s">
        <v>34</v>
      </c>
      <c r="E7846" s="1" t="s">
        <v>10</v>
      </c>
      <c r="F7846" s="1" t="s">
        <v>118</v>
      </c>
      <c r="G7846" s="14" t="s">
        <v>6186</v>
      </c>
      <c r="H7846" s="1" t="s">
        <v>5</v>
      </c>
      <c r="I7846" s="1" t="s">
        <v>5807</v>
      </c>
    </row>
    <row r="7847" spans="1:10">
      <c r="A7847" s="7" t="s">
        <v>16802</v>
      </c>
      <c r="B7847" s="2" t="s">
        <v>2628</v>
      </c>
      <c r="C7847" s="1">
        <v>5</v>
      </c>
      <c r="D7847" s="1" t="s">
        <v>34</v>
      </c>
      <c r="E7847" s="1" t="s">
        <v>10</v>
      </c>
      <c r="F7847" s="1" t="s">
        <v>5241</v>
      </c>
      <c r="G7847" s="14" t="s">
        <v>4803</v>
      </c>
      <c r="H7847" s="1" t="s">
        <v>5</v>
      </c>
      <c r="I7847" s="1" t="s">
        <v>5807</v>
      </c>
    </row>
    <row r="7848" spans="1:10">
      <c r="A7848" s="7" t="s">
        <v>16809</v>
      </c>
      <c r="B7848" s="2" t="s">
        <v>2628</v>
      </c>
      <c r="C7848" s="1">
        <v>5</v>
      </c>
      <c r="D7848" s="1" t="s">
        <v>34</v>
      </c>
      <c r="E7848" s="1" t="s">
        <v>10</v>
      </c>
      <c r="F7848" s="1" t="s">
        <v>5091</v>
      </c>
      <c r="G7848" s="14" t="s">
        <v>16810</v>
      </c>
      <c r="H7848" s="1" t="s">
        <v>43</v>
      </c>
      <c r="I7848" s="1">
        <v>2007</v>
      </c>
    </row>
    <row r="7849" spans="1:10">
      <c r="A7849" s="7" t="s">
        <v>16819</v>
      </c>
      <c r="B7849" s="2" t="s">
        <v>2628</v>
      </c>
      <c r="C7849" s="1">
        <v>5</v>
      </c>
      <c r="D7849" s="1" t="s">
        <v>34</v>
      </c>
      <c r="E7849" s="1" t="s">
        <v>10</v>
      </c>
      <c r="F7849" s="1" t="s">
        <v>5091</v>
      </c>
      <c r="G7849" s="14" t="s">
        <v>16820</v>
      </c>
      <c r="H7849" s="1" t="s">
        <v>43</v>
      </c>
      <c r="I7849" s="1">
        <v>2007</v>
      </c>
    </row>
    <row r="7850" spans="1:10">
      <c r="A7850" s="7" t="s">
        <v>16834</v>
      </c>
      <c r="B7850" s="2" t="s">
        <v>2628</v>
      </c>
      <c r="C7850" s="1">
        <v>5</v>
      </c>
      <c r="D7850" s="1" t="s">
        <v>34</v>
      </c>
      <c r="E7850" s="1" t="s">
        <v>10</v>
      </c>
      <c r="F7850" s="1" t="s">
        <v>5091</v>
      </c>
      <c r="G7850" s="14" t="s">
        <v>6139</v>
      </c>
      <c r="H7850" s="1" t="s">
        <v>43</v>
      </c>
      <c r="I7850" s="1" t="s">
        <v>5807</v>
      </c>
    </row>
    <row r="7851" spans="1:10">
      <c r="A7851" s="7" t="s">
        <v>16839</v>
      </c>
      <c r="B7851" s="2" t="s">
        <v>2628</v>
      </c>
      <c r="C7851" s="1">
        <v>5</v>
      </c>
      <c r="D7851" s="1" t="s">
        <v>34</v>
      </c>
      <c r="E7851" s="1" t="s">
        <v>10</v>
      </c>
      <c r="F7851" s="1" t="s">
        <v>5091</v>
      </c>
      <c r="G7851" s="14" t="s">
        <v>6139</v>
      </c>
      <c r="H7851" s="1" t="s">
        <v>43</v>
      </c>
      <c r="I7851" s="1" t="s">
        <v>5807</v>
      </c>
    </row>
    <row r="7852" spans="1:10">
      <c r="A7852" s="7" t="s">
        <v>16841</v>
      </c>
      <c r="B7852" s="2" t="s">
        <v>2628</v>
      </c>
      <c r="C7852" s="1">
        <v>5</v>
      </c>
      <c r="D7852" s="1" t="s">
        <v>34</v>
      </c>
      <c r="E7852" s="1" t="s">
        <v>10</v>
      </c>
      <c r="F7852" s="1" t="s">
        <v>5091</v>
      </c>
      <c r="G7852" s="14" t="s">
        <v>6139</v>
      </c>
      <c r="H7852" s="1" t="s">
        <v>43</v>
      </c>
      <c r="I7852" s="1" t="s">
        <v>5807</v>
      </c>
    </row>
    <row r="7853" spans="1:10">
      <c r="A7853" s="7" t="s">
        <v>16842</v>
      </c>
      <c r="B7853" s="2" t="s">
        <v>2628</v>
      </c>
      <c r="C7853" s="1">
        <v>5</v>
      </c>
      <c r="D7853" s="1" t="s">
        <v>34</v>
      </c>
      <c r="E7853" s="1" t="s">
        <v>10</v>
      </c>
      <c r="F7853" s="1" t="s">
        <v>5091</v>
      </c>
      <c r="G7853" s="14" t="s">
        <v>6139</v>
      </c>
      <c r="H7853" s="1" t="s">
        <v>43</v>
      </c>
      <c r="I7853" s="1" t="s">
        <v>5807</v>
      </c>
    </row>
    <row r="7854" spans="1:10">
      <c r="A7854" s="16" t="s">
        <v>8492</v>
      </c>
      <c r="B7854" s="1" t="s">
        <v>2631</v>
      </c>
      <c r="C7854" s="1">
        <v>5</v>
      </c>
      <c r="D7854" s="1" t="s">
        <v>34</v>
      </c>
      <c r="E7854" s="1" t="s">
        <v>10</v>
      </c>
      <c r="F7854" s="1" t="s">
        <v>5091</v>
      </c>
      <c r="G7854" s="1" t="s">
        <v>5853</v>
      </c>
      <c r="H7854" s="1" t="s">
        <v>27</v>
      </c>
      <c r="I7854" s="17">
        <v>41805</v>
      </c>
    </row>
    <row r="7855" spans="1:10">
      <c r="A7855" s="16" t="s">
        <v>11326</v>
      </c>
      <c r="B7855" s="1" t="s">
        <v>2631</v>
      </c>
      <c r="C7855" s="1">
        <v>5</v>
      </c>
      <c r="D7855" s="1" t="s">
        <v>34</v>
      </c>
      <c r="E7855" s="1" t="s">
        <v>10</v>
      </c>
      <c r="F7855" s="1" t="s">
        <v>5091</v>
      </c>
      <c r="G7855" s="1" t="s">
        <v>5853</v>
      </c>
      <c r="H7855" s="1" t="s">
        <v>27</v>
      </c>
      <c r="I7855" s="1" t="s">
        <v>4792</v>
      </c>
    </row>
    <row r="7856" spans="1:10">
      <c r="A7856" s="16" t="s">
        <v>11822</v>
      </c>
      <c r="B7856" s="1" t="s">
        <v>2631</v>
      </c>
      <c r="C7856" s="1">
        <v>5</v>
      </c>
      <c r="D7856" s="1" t="s">
        <v>34</v>
      </c>
      <c r="E7856" s="1" t="s">
        <v>10</v>
      </c>
      <c r="F7856" s="1" t="s">
        <v>5091</v>
      </c>
      <c r="G7856" s="1" t="s">
        <v>5853</v>
      </c>
      <c r="H7856" s="1" t="s">
        <v>27</v>
      </c>
      <c r="I7856" s="17">
        <v>42644</v>
      </c>
    </row>
    <row r="7857" spans="1:9">
      <c r="A7857" s="16" t="s">
        <v>11851</v>
      </c>
      <c r="B7857" s="1" t="s">
        <v>2631</v>
      </c>
      <c r="C7857" s="1">
        <v>5</v>
      </c>
      <c r="D7857" s="1" t="s">
        <v>34</v>
      </c>
      <c r="E7857" s="1" t="s">
        <v>10</v>
      </c>
      <c r="F7857" s="1" t="s">
        <v>5091</v>
      </c>
      <c r="G7857" s="1" t="s">
        <v>5853</v>
      </c>
      <c r="H7857" s="1" t="s">
        <v>27</v>
      </c>
      <c r="I7857" s="17">
        <v>42644</v>
      </c>
    </row>
    <row r="7858" spans="1:9">
      <c r="A7858" s="16" t="s">
        <v>12544</v>
      </c>
      <c r="B7858" s="1" t="s">
        <v>2631</v>
      </c>
      <c r="C7858" s="1">
        <v>5</v>
      </c>
      <c r="D7858" s="1" t="s">
        <v>34</v>
      </c>
      <c r="E7858" s="1" t="s">
        <v>10</v>
      </c>
      <c r="F7858" s="1" t="s">
        <v>5091</v>
      </c>
      <c r="G7858" s="1" t="s">
        <v>4800</v>
      </c>
      <c r="H7858" s="1" t="s">
        <v>27</v>
      </c>
      <c r="I7858" s="17">
        <v>42767</v>
      </c>
    </row>
    <row r="7859" spans="1:9">
      <c r="A7859" s="16" t="s">
        <v>12704</v>
      </c>
      <c r="B7859" s="1" t="s">
        <v>2631</v>
      </c>
      <c r="C7859" s="1">
        <v>5</v>
      </c>
      <c r="D7859" s="1" t="s">
        <v>34</v>
      </c>
      <c r="E7859" s="1" t="s">
        <v>10</v>
      </c>
      <c r="F7859" s="1" t="s">
        <v>5091</v>
      </c>
      <c r="G7859" s="1" t="s">
        <v>4800</v>
      </c>
      <c r="H7859" s="1" t="s">
        <v>27</v>
      </c>
      <c r="I7859" s="17">
        <v>42767</v>
      </c>
    </row>
    <row r="7860" spans="1:9">
      <c r="A7860" s="16" t="s">
        <v>12909</v>
      </c>
      <c r="B7860" s="1" t="s">
        <v>2631</v>
      </c>
      <c r="C7860" s="1">
        <v>5</v>
      </c>
      <c r="D7860" s="1" t="s">
        <v>34</v>
      </c>
      <c r="E7860" s="1" t="s">
        <v>10</v>
      </c>
      <c r="F7860" s="1" t="s">
        <v>5091</v>
      </c>
      <c r="G7860" s="1" t="s">
        <v>5853</v>
      </c>
      <c r="H7860" s="1" t="s">
        <v>27</v>
      </c>
      <c r="I7860" s="1" t="s">
        <v>4792</v>
      </c>
    </row>
    <row r="7861" spans="1:9">
      <c r="A7861" s="16" t="s">
        <v>13364</v>
      </c>
      <c r="B7861" s="1" t="s">
        <v>2631</v>
      </c>
      <c r="C7861" s="1">
        <v>5</v>
      </c>
      <c r="D7861" s="1" t="s">
        <v>34</v>
      </c>
      <c r="E7861" s="1" t="s">
        <v>10</v>
      </c>
      <c r="F7861" s="1" t="s">
        <v>5091</v>
      </c>
      <c r="G7861" s="1" t="s">
        <v>5853</v>
      </c>
      <c r="H7861" s="1" t="s">
        <v>27</v>
      </c>
      <c r="I7861" s="1" t="s">
        <v>4792</v>
      </c>
    </row>
    <row r="7862" spans="1:9">
      <c r="A7862" s="16" t="s">
        <v>13845</v>
      </c>
      <c r="B7862" s="1" t="s">
        <v>2631</v>
      </c>
      <c r="C7862" s="1">
        <v>5</v>
      </c>
      <c r="D7862" s="1" t="s">
        <v>34</v>
      </c>
      <c r="E7862" s="1" t="s">
        <v>10</v>
      </c>
      <c r="F7862" s="1" t="s">
        <v>5091</v>
      </c>
      <c r="G7862" s="1" t="s">
        <v>5853</v>
      </c>
      <c r="H7862" s="1" t="s">
        <v>27</v>
      </c>
      <c r="I7862" s="17">
        <v>43070</v>
      </c>
    </row>
    <row r="7863" spans="1:9">
      <c r="A7863" s="7" t="s">
        <v>14448</v>
      </c>
      <c r="B7863" s="2" t="s">
        <v>2631</v>
      </c>
      <c r="C7863" s="1">
        <v>5</v>
      </c>
      <c r="D7863" s="1" t="s">
        <v>34</v>
      </c>
      <c r="E7863" s="1" t="s">
        <v>10</v>
      </c>
      <c r="F7863" s="1" t="s">
        <v>5241</v>
      </c>
      <c r="G7863" s="14" t="s">
        <v>4800</v>
      </c>
      <c r="H7863" s="1" t="s">
        <v>27</v>
      </c>
      <c r="I7863" s="1" t="s">
        <v>5642</v>
      </c>
    </row>
    <row r="7864" spans="1:9">
      <c r="A7864" s="7" t="s">
        <v>14451</v>
      </c>
      <c r="B7864" s="2" t="s">
        <v>2631</v>
      </c>
      <c r="C7864" s="1">
        <v>5</v>
      </c>
      <c r="D7864" s="1" t="s">
        <v>34</v>
      </c>
      <c r="E7864" s="1" t="s">
        <v>10</v>
      </c>
      <c r="F7864" s="1" t="s">
        <v>5241</v>
      </c>
      <c r="G7864" s="14" t="s">
        <v>4800</v>
      </c>
      <c r="H7864" s="1" t="s">
        <v>27</v>
      </c>
      <c r="I7864" s="1" t="s">
        <v>6844</v>
      </c>
    </row>
    <row r="7865" spans="1:9">
      <c r="A7865" s="16" t="s">
        <v>14541</v>
      </c>
      <c r="B7865" s="1" t="s">
        <v>2631</v>
      </c>
      <c r="C7865" s="1">
        <v>5</v>
      </c>
      <c r="D7865" s="1" t="s">
        <v>34</v>
      </c>
      <c r="E7865" s="1" t="s">
        <v>10</v>
      </c>
      <c r="F7865" s="1" t="s">
        <v>5091</v>
      </c>
      <c r="G7865" s="1" t="s">
        <v>5853</v>
      </c>
      <c r="H7865" s="1" t="s">
        <v>27</v>
      </c>
      <c r="I7865" s="17">
        <v>43252</v>
      </c>
    </row>
    <row r="7866" spans="1:9">
      <c r="A7866" s="16" t="s">
        <v>12012</v>
      </c>
      <c r="B7866" s="1" t="s">
        <v>2628</v>
      </c>
      <c r="C7866" s="1">
        <v>554</v>
      </c>
      <c r="D7866" s="1" t="s">
        <v>156</v>
      </c>
      <c r="E7866" s="1" t="s">
        <v>10</v>
      </c>
      <c r="F7866" s="1" t="s">
        <v>5091</v>
      </c>
      <c r="G7866" s="14" t="s">
        <v>5853</v>
      </c>
      <c r="H7866" s="1" t="s">
        <v>27</v>
      </c>
      <c r="I7866" s="1" t="s">
        <v>4458</v>
      </c>
    </row>
    <row r="7867" spans="1:9">
      <c r="A7867" s="7" t="s">
        <v>6525</v>
      </c>
      <c r="B7867" s="1" t="s">
        <v>2628</v>
      </c>
      <c r="C7867" s="1">
        <v>554</v>
      </c>
      <c r="D7867" s="1" t="s">
        <v>156</v>
      </c>
      <c r="E7867" s="1" t="s">
        <v>10</v>
      </c>
      <c r="F7867" s="1" t="s">
        <v>5091</v>
      </c>
      <c r="G7867" s="1" t="s">
        <v>6238</v>
      </c>
      <c r="H7867" s="1" t="s">
        <v>43</v>
      </c>
      <c r="I7867" s="1" t="s">
        <v>5807</v>
      </c>
    </row>
    <row r="7868" spans="1:9">
      <c r="A7868" s="7" t="s">
        <v>16550</v>
      </c>
      <c r="B7868" s="2" t="s">
        <v>2629</v>
      </c>
      <c r="C7868" s="1">
        <v>59</v>
      </c>
      <c r="D7868" s="1" t="s">
        <v>30</v>
      </c>
      <c r="E7868" s="1" t="s">
        <v>10</v>
      </c>
      <c r="F7868" s="1" t="s">
        <v>5241</v>
      </c>
      <c r="G7868" s="14" t="s">
        <v>6307</v>
      </c>
      <c r="H7868" s="1" t="s">
        <v>44</v>
      </c>
      <c r="I7868" s="1">
        <v>2019</v>
      </c>
    </row>
    <row r="7869" spans="1:9">
      <c r="A7869" s="7" t="s">
        <v>5992</v>
      </c>
      <c r="B7869" s="1" t="s">
        <v>2628</v>
      </c>
      <c r="C7869" s="1">
        <v>6</v>
      </c>
      <c r="D7869" s="1" t="s">
        <v>58</v>
      </c>
      <c r="E7869" s="1" t="s">
        <v>10</v>
      </c>
      <c r="F7869" s="1" t="s">
        <v>139</v>
      </c>
      <c r="G7869" s="1" t="s">
        <v>5853</v>
      </c>
      <c r="H7869" s="1" t="s">
        <v>27</v>
      </c>
      <c r="I7869" s="1" t="s">
        <v>5801</v>
      </c>
    </row>
    <row r="7870" spans="1:9">
      <c r="A7870" s="7" t="s">
        <v>6868</v>
      </c>
      <c r="B7870" s="1" t="s">
        <v>2628</v>
      </c>
      <c r="C7870" s="1">
        <v>6</v>
      </c>
      <c r="D7870" s="1" t="s">
        <v>58</v>
      </c>
      <c r="E7870" s="1" t="s">
        <v>10</v>
      </c>
      <c r="F7870" s="1" t="s">
        <v>5091</v>
      </c>
      <c r="G7870" s="1" t="s">
        <v>5853</v>
      </c>
      <c r="H7870" s="1" t="s">
        <v>27</v>
      </c>
      <c r="I7870" s="1" t="s">
        <v>6869</v>
      </c>
    </row>
    <row r="7871" spans="1:9">
      <c r="A7871" s="7" t="s">
        <v>6870</v>
      </c>
      <c r="B7871" s="1" t="s">
        <v>2628</v>
      </c>
      <c r="C7871" s="1">
        <v>6</v>
      </c>
      <c r="D7871" s="1" t="s">
        <v>58</v>
      </c>
      <c r="E7871" s="1" t="s">
        <v>10</v>
      </c>
      <c r="F7871" s="1" t="s">
        <v>5091</v>
      </c>
      <c r="G7871" s="1" t="s">
        <v>5853</v>
      </c>
      <c r="H7871" s="1" t="s">
        <v>27</v>
      </c>
      <c r="I7871" s="1" t="s">
        <v>6869</v>
      </c>
    </row>
    <row r="7872" spans="1:9">
      <c r="A7872" s="7" t="s">
        <v>6871</v>
      </c>
      <c r="B7872" s="1" t="s">
        <v>2628</v>
      </c>
      <c r="C7872" s="1">
        <v>6</v>
      </c>
      <c r="D7872" s="1" t="s">
        <v>58</v>
      </c>
      <c r="E7872" s="1" t="s">
        <v>10</v>
      </c>
      <c r="F7872" s="1" t="s">
        <v>5091</v>
      </c>
      <c r="G7872" s="1" t="s">
        <v>5853</v>
      </c>
      <c r="H7872" s="1" t="s">
        <v>27</v>
      </c>
      <c r="I7872" s="1" t="s">
        <v>6869</v>
      </c>
    </row>
    <row r="7873" spans="1:9">
      <c r="A7873" s="7" t="s">
        <v>6872</v>
      </c>
      <c r="B7873" s="1" t="s">
        <v>2628</v>
      </c>
      <c r="C7873" s="1">
        <v>6</v>
      </c>
      <c r="D7873" s="1" t="s">
        <v>58</v>
      </c>
      <c r="E7873" s="1" t="s">
        <v>10</v>
      </c>
      <c r="F7873" s="1" t="s">
        <v>5091</v>
      </c>
      <c r="G7873" s="1" t="s">
        <v>5853</v>
      </c>
      <c r="H7873" s="1" t="s">
        <v>27</v>
      </c>
      <c r="I7873" s="1" t="s">
        <v>6869</v>
      </c>
    </row>
    <row r="7874" spans="1:9">
      <c r="A7874" s="7" t="s">
        <v>6873</v>
      </c>
      <c r="B7874" s="1" t="s">
        <v>2628</v>
      </c>
      <c r="C7874" s="1">
        <v>6</v>
      </c>
      <c r="D7874" s="1" t="s">
        <v>58</v>
      </c>
      <c r="E7874" s="1" t="s">
        <v>10</v>
      </c>
      <c r="F7874" s="1" t="s">
        <v>5091</v>
      </c>
      <c r="G7874" s="1" t="s">
        <v>5853</v>
      </c>
      <c r="H7874" s="1" t="s">
        <v>27</v>
      </c>
      <c r="I7874" s="1" t="s">
        <v>6869</v>
      </c>
    </row>
    <row r="7875" spans="1:9">
      <c r="A7875" s="7" t="s">
        <v>6874</v>
      </c>
      <c r="B7875" s="1" t="s">
        <v>2628</v>
      </c>
      <c r="C7875" s="1">
        <v>6</v>
      </c>
      <c r="D7875" s="1" t="s">
        <v>58</v>
      </c>
      <c r="E7875" s="1" t="s">
        <v>10</v>
      </c>
      <c r="F7875" s="1" t="s">
        <v>5091</v>
      </c>
      <c r="G7875" s="1" t="s">
        <v>5853</v>
      </c>
      <c r="H7875" s="1" t="s">
        <v>27</v>
      </c>
      <c r="I7875" s="1" t="s">
        <v>6869</v>
      </c>
    </row>
    <row r="7876" spans="1:9">
      <c r="A7876" s="7" t="s">
        <v>6875</v>
      </c>
      <c r="B7876" s="1" t="s">
        <v>2628</v>
      </c>
      <c r="C7876" s="1">
        <v>6</v>
      </c>
      <c r="D7876" s="1" t="s">
        <v>58</v>
      </c>
      <c r="E7876" s="1" t="s">
        <v>10</v>
      </c>
      <c r="F7876" s="1" t="s">
        <v>5091</v>
      </c>
      <c r="G7876" s="1" t="s">
        <v>5853</v>
      </c>
      <c r="H7876" s="1" t="s">
        <v>27</v>
      </c>
      <c r="I7876" s="1" t="s">
        <v>6869</v>
      </c>
    </row>
    <row r="7877" spans="1:9">
      <c r="A7877" s="7" t="s">
        <v>6876</v>
      </c>
      <c r="B7877" s="1" t="s">
        <v>2628</v>
      </c>
      <c r="C7877" s="1">
        <v>6</v>
      </c>
      <c r="D7877" s="1" t="s">
        <v>58</v>
      </c>
      <c r="E7877" s="1" t="s">
        <v>10</v>
      </c>
      <c r="F7877" s="1" t="s">
        <v>5091</v>
      </c>
      <c r="G7877" s="1" t="s">
        <v>5853</v>
      </c>
      <c r="H7877" s="1" t="s">
        <v>27</v>
      </c>
      <c r="I7877" s="1" t="s">
        <v>6869</v>
      </c>
    </row>
    <row r="7878" spans="1:9">
      <c r="A7878" s="7" t="s">
        <v>6877</v>
      </c>
      <c r="B7878" s="1" t="s">
        <v>2628</v>
      </c>
      <c r="C7878" s="1">
        <v>6</v>
      </c>
      <c r="D7878" s="1" t="s">
        <v>58</v>
      </c>
      <c r="E7878" s="1" t="s">
        <v>10</v>
      </c>
      <c r="F7878" s="1" t="s">
        <v>5091</v>
      </c>
      <c r="G7878" s="1" t="s">
        <v>5853</v>
      </c>
      <c r="H7878" s="1" t="s">
        <v>27</v>
      </c>
      <c r="I7878" s="1" t="s">
        <v>6869</v>
      </c>
    </row>
    <row r="7879" spans="1:9">
      <c r="A7879" s="7" t="s">
        <v>6878</v>
      </c>
      <c r="B7879" s="1" t="s">
        <v>2628</v>
      </c>
      <c r="C7879" s="1">
        <v>6</v>
      </c>
      <c r="D7879" s="1" t="s">
        <v>58</v>
      </c>
      <c r="E7879" s="1" t="s">
        <v>10</v>
      </c>
      <c r="F7879" s="1" t="s">
        <v>5091</v>
      </c>
      <c r="G7879" s="1" t="s">
        <v>5853</v>
      </c>
      <c r="H7879" s="1" t="s">
        <v>27</v>
      </c>
      <c r="I7879" s="1" t="s">
        <v>6869</v>
      </c>
    </row>
    <row r="7880" spans="1:9">
      <c r="A7880" s="7" t="s">
        <v>6879</v>
      </c>
      <c r="B7880" s="1" t="s">
        <v>2628</v>
      </c>
      <c r="C7880" s="1">
        <v>6</v>
      </c>
      <c r="D7880" s="1" t="s">
        <v>58</v>
      </c>
      <c r="E7880" s="1" t="s">
        <v>10</v>
      </c>
      <c r="F7880" s="1" t="s">
        <v>5091</v>
      </c>
      <c r="G7880" s="1" t="s">
        <v>5853</v>
      </c>
      <c r="H7880" s="1" t="s">
        <v>27</v>
      </c>
      <c r="I7880" s="1" t="s">
        <v>6869</v>
      </c>
    </row>
    <row r="7881" spans="1:9">
      <c r="A7881" s="7" t="s">
        <v>6880</v>
      </c>
      <c r="B7881" s="1" t="s">
        <v>2628</v>
      </c>
      <c r="C7881" s="1">
        <v>6</v>
      </c>
      <c r="D7881" s="1" t="s">
        <v>58</v>
      </c>
      <c r="E7881" s="1" t="s">
        <v>10</v>
      </c>
      <c r="F7881" s="1" t="s">
        <v>5091</v>
      </c>
      <c r="G7881" s="1" t="s">
        <v>5853</v>
      </c>
      <c r="H7881" s="1" t="s">
        <v>27</v>
      </c>
      <c r="I7881" s="1" t="s">
        <v>6869</v>
      </c>
    </row>
    <row r="7882" spans="1:9">
      <c r="A7882" s="7" t="s">
        <v>6881</v>
      </c>
      <c r="B7882" s="1" t="s">
        <v>2628</v>
      </c>
      <c r="C7882" s="1">
        <v>6</v>
      </c>
      <c r="D7882" s="1" t="s">
        <v>58</v>
      </c>
      <c r="E7882" s="1" t="s">
        <v>10</v>
      </c>
      <c r="F7882" s="1" t="s">
        <v>5091</v>
      </c>
      <c r="G7882" s="1" t="s">
        <v>5853</v>
      </c>
      <c r="H7882" s="1" t="s">
        <v>27</v>
      </c>
      <c r="I7882" s="1" t="s">
        <v>6869</v>
      </c>
    </row>
    <row r="7883" spans="1:9">
      <c r="A7883" s="7" t="s">
        <v>6882</v>
      </c>
      <c r="B7883" s="1" t="s">
        <v>2628</v>
      </c>
      <c r="C7883" s="1">
        <v>6</v>
      </c>
      <c r="D7883" s="1" t="s">
        <v>58</v>
      </c>
      <c r="E7883" s="1" t="s">
        <v>10</v>
      </c>
      <c r="F7883" s="1" t="s">
        <v>5091</v>
      </c>
      <c r="G7883" s="1" t="s">
        <v>5853</v>
      </c>
      <c r="H7883" s="1" t="s">
        <v>27</v>
      </c>
      <c r="I7883" s="1" t="s">
        <v>6869</v>
      </c>
    </row>
    <row r="7884" spans="1:9">
      <c r="A7884" s="7" t="s">
        <v>6883</v>
      </c>
      <c r="B7884" s="1" t="s">
        <v>2628</v>
      </c>
      <c r="C7884" s="1">
        <v>6</v>
      </c>
      <c r="D7884" s="1" t="s">
        <v>58</v>
      </c>
      <c r="E7884" s="1" t="s">
        <v>10</v>
      </c>
      <c r="F7884" s="1" t="s">
        <v>5091</v>
      </c>
      <c r="G7884" s="1" t="s">
        <v>5853</v>
      </c>
      <c r="H7884" s="1" t="s">
        <v>27</v>
      </c>
      <c r="I7884" s="1" t="s">
        <v>6869</v>
      </c>
    </row>
    <row r="7885" spans="1:9">
      <c r="A7885" s="16" t="s">
        <v>8655</v>
      </c>
      <c r="B7885" s="1" t="s">
        <v>2628</v>
      </c>
      <c r="C7885" s="1">
        <v>6</v>
      </c>
      <c r="D7885" s="1" t="s">
        <v>58</v>
      </c>
      <c r="E7885" s="1" t="s">
        <v>10</v>
      </c>
      <c r="F7885" s="1" t="s">
        <v>5091</v>
      </c>
      <c r="G7885" s="14" t="s">
        <v>27</v>
      </c>
      <c r="H7885" s="1" t="s">
        <v>27</v>
      </c>
      <c r="I7885" s="1" t="s">
        <v>4458</v>
      </c>
    </row>
    <row r="7886" spans="1:9">
      <c r="A7886" s="16" t="s">
        <v>8776</v>
      </c>
      <c r="B7886" s="1" t="s">
        <v>2628</v>
      </c>
      <c r="C7886" s="1">
        <v>6</v>
      </c>
      <c r="D7886" s="1" t="s">
        <v>58</v>
      </c>
      <c r="E7886" s="1" t="s">
        <v>10</v>
      </c>
      <c r="F7886" s="1" t="s">
        <v>5091</v>
      </c>
      <c r="G7886" s="14" t="s">
        <v>27</v>
      </c>
      <c r="H7886" s="1" t="s">
        <v>27</v>
      </c>
      <c r="I7886" s="1" t="s">
        <v>4458</v>
      </c>
    </row>
    <row r="7887" spans="1:9">
      <c r="A7887" s="16" t="s">
        <v>9189</v>
      </c>
      <c r="B7887" s="1" t="s">
        <v>2628</v>
      </c>
      <c r="C7887" s="1">
        <v>6</v>
      </c>
      <c r="D7887" s="1" t="s">
        <v>58</v>
      </c>
      <c r="E7887" s="1" t="s">
        <v>10</v>
      </c>
      <c r="F7887" s="1" t="s">
        <v>5091</v>
      </c>
      <c r="G7887" s="14" t="s">
        <v>8651</v>
      </c>
      <c r="H7887" s="1" t="s">
        <v>27</v>
      </c>
      <c r="I7887" s="17">
        <v>42125</v>
      </c>
    </row>
    <row r="7888" spans="1:9">
      <c r="A7888" s="16" t="s">
        <v>9919</v>
      </c>
      <c r="B7888" s="1" t="s">
        <v>2628</v>
      </c>
      <c r="C7888" s="1">
        <v>6</v>
      </c>
      <c r="D7888" s="1" t="s">
        <v>58</v>
      </c>
      <c r="E7888" s="1" t="s">
        <v>10</v>
      </c>
      <c r="F7888" s="1" t="s">
        <v>5091</v>
      </c>
      <c r="G7888" s="14" t="s">
        <v>5853</v>
      </c>
      <c r="H7888" s="1" t="s">
        <v>27</v>
      </c>
      <c r="I7888" s="17">
        <v>42309</v>
      </c>
    </row>
    <row r="7889" spans="1:9">
      <c r="A7889" s="16" t="s">
        <v>11219</v>
      </c>
      <c r="B7889" s="1" t="s">
        <v>2628</v>
      </c>
      <c r="C7889" s="1">
        <v>6</v>
      </c>
      <c r="D7889" s="1" t="s">
        <v>58</v>
      </c>
      <c r="E7889" s="1" t="s">
        <v>10</v>
      </c>
      <c r="F7889" s="1" t="s">
        <v>5091</v>
      </c>
      <c r="G7889" s="14" t="s">
        <v>27</v>
      </c>
      <c r="H7889" s="1" t="s">
        <v>27</v>
      </c>
      <c r="I7889" s="17">
        <v>35796</v>
      </c>
    </row>
    <row r="7890" spans="1:9">
      <c r="A7890" s="16" t="s">
        <v>13334</v>
      </c>
      <c r="B7890" s="1" t="s">
        <v>2628</v>
      </c>
      <c r="C7890" s="1">
        <v>6</v>
      </c>
      <c r="D7890" s="1" t="s">
        <v>58</v>
      </c>
      <c r="E7890" s="1" t="s">
        <v>10</v>
      </c>
      <c r="F7890" s="1" t="s">
        <v>5091</v>
      </c>
      <c r="G7890" s="14" t="s">
        <v>5853</v>
      </c>
      <c r="H7890" s="1" t="s">
        <v>27</v>
      </c>
      <c r="I7890" s="17">
        <v>42887</v>
      </c>
    </row>
    <row r="7891" spans="1:9">
      <c r="A7891" s="7" t="s">
        <v>15812</v>
      </c>
      <c r="B7891" s="2" t="s">
        <v>2628</v>
      </c>
      <c r="C7891" s="1">
        <v>6</v>
      </c>
      <c r="D7891" s="1" t="s">
        <v>58</v>
      </c>
      <c r="E7891" s="1" t="s">
        <v>10</v>
      </c>
      <c r="F7891" s="1" t="s">
        <v>5091</v>
      </c>
      <c r="G7891" s="14" t="s">
        <v>5853</v>
      </c>
      <c r="H7891" s="1" t="s">
        <v>27</v>
      </c>
      <c r="I7891" s="1">
        <v>2018</v>
      </c>
    </row>
    <row r="7892" spans="1:9">
      <c r="A7892" s="7" t="s">
        <v>5070</v>
      </c>
      <c r="B7892" s="1" t="s">
        <v>2629</v>
      </c>
      <c r="C7892" s="1">
        <v>6</v>
      </c>
      <c r="D7892" s="1" t="s">
        <v>58</v>
      </c>
      <c r="E7892" s="1" t="s">
        <v>10</v>
      </c>
      <c r="F7892" s="1" t="s">
        <v>2573</v>
      </c>
      <c r="G7892" s="1" t="s">
        <v>5071</v>
      </c>
      <c r="H7892" s="1" t="s">
        <v>27</v>
      </c>
      <c r="I7892" s="17">
        <v>37622</v>
      </c>
    </row>
    <row r="7893" spans="1:9">
      <c r="A7893" s="7" t="s">
        <v>5072</v>
      </c>
      <c r="B7893" s="1" t="s">
        <v>2629</v>
      </c>
      <c r="C7893" s="1">
        <v>6</v>
      </c>
      <c r="D7893" s="1" t="s">
        <v>58</v>
      </c>
      <c r="E7893" s="1" t="s">
        <v>10</v>
      </c>
      <c r="F7893" s="1" t="s">
        <v>2573</v>
      </c>
      <c r="G7893" s="1" t="s">
        <v>5071</v>
      </c>
      <c r="H7893" s="1" t="s">
        <v>27</v>
      </c>
      <c r="I7893" s="17">
        <v>37622</v>
      </c>
    </row>
    <row r="7894" spans="1:9">
      <c r="A7894" s="7" t="s">
        <v>5073</v>
      </c>
      <c r="B7894" s="1" t="s">
        <v>2629</v>
      </c>
      <c r="C7894" s="1">
        <v>6</v>
      </c>
      <c r="D7894" s="1" t="s">
        <v>58</v>
      </c>
      <c r="E7894" s="1" t="s">
        <v>10</v>
      </c>
      <c r="F7894" s="1" t="s">
        <v>2573</v>
      </c>
      <c r="G7894" s="1" t="s">
        <v>5071</v>
      </c>
      <c r="H7894" s="1" t="s">
        <v>27</v>
      </c>
      <c r="I7894" s="17">
        <v>37622</v>
      </c>
    </row>
    <row r="7895" spans="1:9">
      <c r="A7895" s="7" t="s">
        <v>5079</v>
      </c>
      <c r="B7895" s="1" t="s">
        <v>2629</v>
      </c>
      <c r="C7895" s="1">
        <v>6</v>
      </c>
      <c r="D7895" s="1" t="s">
        <v>58</v>
      </c>
      <c r="E7895" s="1" t="s">
        <v>10</v>
      </c>
      <c r="F7895" s="1" t="s">
        <v>2573</v>
      </c>
      <c r="G7895" s="1" t="s">
        <v>5071</v>
      </c>
      <c r="H7895" s="1" t="s">
        <v>27</v>
      </c>
      <c r="I7895" s="17">
        <v>39814</v>
      </c>
    </row>
    <row r="7896" spans="1:9">
      <c r="A7896" s="7" t="s">
        <v>5309</v>
      </c>
      <c r="B7896" s="1" t="s">
        <v>2629</v>
      </c>
      <c r="C7896" s="1">
        <v>6</v>
      </c>
      <c r="D7896" s="1" t="s">
        <v>58</v>
      </c>
      <c r="E7896" s="1" t="s">
        <v>10</v>
      </c>
      <c r="F7896" s="1" t="s">
        <v>2360</v>
      </c>
      <c r="G7896" s="1" t="s">
        <v>5308</v>
      </c>
      <c r="H7896" s="1" t="s">
        <v>27</v>
      </c>
      <c r="I7896" s="17">
        <v>40544</v>
      </c>
    </row>
    <row r="7897" spans="1:9">
      <c r="A7897" s="7" t="s">
        <v>5312</v>
      </c>
      <c r="B7897" s="1" t="s">
        <v>2629</v>
      </c>
      <c r="C7897" s="1">
        <v>6</v>
      </c>
      <c r="D7897" s="1" t="s">
        <v>58</v>
      </c>
      <c r="E7897" s="1" t="s">
        <v>10</v>
      </c>
      <c r="F7897" s="1" t="s">
        <v>2360</v>
      </c>
      <c r="G7897" s="1" t="s">
        <v>5308</v>
      </c>
      <c r="H7897" s="1" t="s">
        <v>27</v>
      </c>
      <c r="I7897" s="17">
        <v>42370</v>
      </c>
    </row>
    <row r="7898" spans="1:9">
      <c r="A7898" s="7" t="s">
        <v>5313</v>
      </c>
      <c r="B7898" s="1" t="s">
        <v>2629</v>
      </c>
      <c r="C7898" s="1">
        <v>6</v>
      </c>
      <c r="D7898" s="1" t="s">
        <v>58</v>
      </c>
      <c r="E7898" s="1" t="s">
        <v>10</v>
      </c>
      <c r="F7898" s="1" t="s">
        <v>2360</v>
      </c>
      <c r="G7898" s="1" t="s">
        <v>5308</v>
      </c>
      <c r="H7898" s="1" t="s">
        <v>27</v>
      </c>
      <c r="I7898" s="17">
        <v>42370</v>
      </c>
    </row>
    <row r="7899" spans="1:9">
      <c r="A7899" s="7" t="s">
        <v>5314</v>
      </c>
      <c r="B7899" s="1" t="s">
        <v>2629</v>
      </c>
      <c r="C7899" s="1">
        <v>6</v>
      </c>
      <c r="D7899" s="1" t="s">
        <v>58</v>
      </c>
      <c r="E7899" s="1" t="s">
        <v>10</v>
      </c>
      <c r="F7899" s="1" t="s">
        <v>2360</v>
      </c>
      <c r="G7899" s="1" t="s">
        <v>5308</v>
      </c>
      <c r="H7899" s="1" t="s">
        <v>27</v>
      </c>
      <c r="I7899" s="17">
        <v>42370</v>
      </c>
    </row>
    <row r="7900" spans="1:9">
      <c r="A7900" s="7" t="s">
        <v>5315</v>
      </c>
      <c r="B7900" s="1" t="s">
        <v>2629</v>
      </c>
      <c r="C7900" s="1">
        <v>6</v>
      </c>
      <c r="D7900" s="1" t="s">
        <v>58</v>
      </c>
      <c r="E7900" s="1" t="s">
        <v>10</v>
      </c>
      <c r="F7900" s="1" t="s">
        <v>2360</v>
      </c>
      <c r="G7900" s="1" t="s">
        <v>5308</v>
      </c>
      <c r="H7900" s="1" t="s">
        <v>27</v>
      </c>
      <c r="I7900" s="17">
        <v>42370</v>
      </c>
    </row>
    <row r="7901" spans="1:9">
      <c r="A7901" s="7" t="s">
        <v>5316</v>
      </c>
      <c r="B7901" s="1" t="s">
        <v>2629</v>
      </c>
      <c r="C7901" s="1">
        <v>6</v>
      </c>
      <c r="D7901" s="1" t="s">
        <v>58</v>
      </c>
      <c r="E7901" s="1" t="s">
        <v>10</v>
      </c>
      <c r="F7901" s="1" t="s">
        <v>2360</v>
      </c>
      <c r="G7901" s="1" t="s">
        <v>5308</v>
      </c>
      <c r="H7901" s="1" t="s">
        <v>27</v>
      </c>
      <c r="I7901" s="17">
        <v>42370</v>
      </c>
    </row>
    <row r="7902" spans="1:9">
      <c r="A7902" s="7" t="s">
        <v>5317</v>
      </c>
      <c r="B7902" s="1" t="s">
        <v>2629</v>
      </c>
      <c r="C7902" s="1">
        <v>6</v>
      </c>
      <c r="D7902" s="1" t="s">
        <v>58</v>
      </c>
      <c r="E7902" s="1" t="s">
        <v>10</v>
      </c>
      <c r="F7902" s="1" t="s">
        <v>2360</v>
      </c>
      <c r="G7902" s="1" t="s">
        <v>5308</v>
      </c>
      <c r="H7902" s="1" t="s">
        <v>27</v>
      </c>
      <c r="I7902" s="17">
        <v>42370</v>
      </c>
    </row>
    <row r="7903" spans="1:9">
      <c r="A7903" s="7" t="s">
        <v>5318</v>
      </c>
      <c r="B7903" s="1" t="s">
        <v>2629</v>
      </c>
      <c r="C7903" s="1">
        <v>6</v>
      </c>
      <c r="D7903" s="1" t="s">
        <v>58</v>
      </c>
      <c r="E7903" s="1" t="s">
        <v>10</v>
      </c>
      <c r="F7903" s="1" t="s">
        <v>2360</v>
      </c>
      <c r="G7903" s="1" t="s">
        <v>5308</v>
      </c>
      <c r="H7903" s="1" t="s">
        <v>27</v>
      </c>
      <c r="I7903" s="17">
        <v>42370</v>
      </c>
    </row>
    <row r="7904" spans="1:9">
      <c r="A7904" s="7" t="s">
        <v>5319</v>
      </c>
      <c r="B7904" s="1" t="s">
        <v>2629</v>
      </c>
      <c r="C7904" s="1">
        <v>6</v>
      </c>
      <c r="D7904" s="1" t="s">
        <v>58</v>
      </c>
      <c r="E7904" s="1" t="s">
        <v>10</v>
      </c>
      <c r="F7904" s="1" t="s">
        <v>2360</v>
      </c>
      <c r="G7904" s="1" t="s">
        <v>5308</v>
      </c>
      <c r="H7904" s="1" t="s">
        <v>27</v>
      </c>
      <c r="I7904" s="17">
        <v>42370</v>
      </c>
    </row>
    <row r="7905" spans="1:9">
      <c r="A7905" s="7" t="s">
        <v>5321</v>
      </c>
      <c r="B7905" s="1" t="s">
        <v>2629</v>
      </c>
      <c r="C7905" s="1">
        <v>6</v>
      </c>
      <c r="D7905" s="1" t="s">
        <v>58</v>
      </c>
      <c r="E7905" s="1" t="s">
        <v>10</v>
      </c>
      <c r="F7905" s="1" t="s">
        <v>2360</v>
      </c>
      <c r="G7905" s="1" t="s">
        <v>5308</v>
      </c>
      <c r="H7905" s="1" t="s">
        <v>27</v>
      </c>
      <c r="I7905" s="17">
        <v>42370</v>
      </c>
    </row>
    <row r="7906" spans="1:9">
      <c r="A7906" s="7" t="s">
        <v>5322</v>
      </c>
      <c r="B7906" s="1" t="s">
        <v>2629</v>
      </c>
      <c r="C7906" s="1">
        <v>6</v>
      </c>
      <c r="D7906" s="1" t="s">
        <v>58</v>
      </c>
      <c r="E7906" s="1" t="s">
        <v>10</v>
      </c>
      <c r="F7906" s="1" t="s">
        <v>2360</v>
      </c>
      <c r="G7906" s="1" t="s">
        <v>5308</v>
      </c>
      <c r="H7906" s="1" t="s">
        <v>27</v>
      </c>
      <c r="I7906" s="17">
        <v>42370</v>
      </c>
    </row>
    <row r="7907" spans="1:9">
      <c r="A7907" s="7" t="s">
        <v>5330</v>
      </c>
      <c r="B7907" s="1" t="s">
        <v>2629</v>
      </c>
      <c r="C7907" s="1">
        <v>6</v>
      </c>
      <c r="D7907" s="1" t="s">
        <v>58</v>
      </c>
      <c r="E7907" s="1" t="s">
        <v>10</v>
      </c>
      <c r="F7907" s="1" t="s">
        <v>2360</v>
      </c>
      <c r="G7907" s="1" t="s">
        <v>5308</v>
      </c>
      <c r="H7907" s="1" t="s">
        <v>27</v>
      </c>
      <c r="I7907" s="17">
        <v>42370</v>
      </c>
    </row>
    <row r="7908" spans="1:9">
      <c r="A7908" s="7" t="s">
        <v>5331</v>
      </c>
      <c r="B7908" s="1" t="s">
        <v>2629</v>
      </c>
      <c r="C7908" s="1">
        <v>6</v>
      </c>
      <c r="D7908" s="1" t="s">
        <v>58</v>
      </c>
      <c r="E7908" s="1" t="s">
        <v>10</v>
      </c>
      <c r="F7908" s="1" t="s">
        <v>2360</v>
      </c>
      <c r="G7908" s="1" t="s">
        <v>5308</v>
      </c>
      <c r="H7908" s="1" t="s">
        <v>27</v>
      </c>
      <c r="I7908" s="17">
        <v>42370</v>
      </c>
    </row>
    <row r="7909" spans="1:9">
      <c r="A7909" s="7" t="s">
        <v>5332</v>
      </c>
      <c r="B7909" s="1" t="s">
        <v>2629</v>
      </c>
      <c r="C7909" s="1">
        <v>6</v>
      </c>
      <c r="D7909" s="1" t="s">
        <v>58</v>
      </c>
      <c r="E7909" s="1" t="s">
        <v>10</v>
      </c>
      <c r="F7909" s="1" t="s">
        <v>2360</v>
      </c>
      <c r="G7909" s="1" t="s">
        <v>5308</v>
      </c>
      <c r="H7909" s="1" t="s">
        <v>27</v>
      </c>
      <c r="I7909" s="17">
        <v>42370</v>
      </c>
    </row>
    <row r="7910" spans="1:9">
      <c r="A7910" s="7" t="s">
        <v>5359</v>
      </c>
      <c r="B7910" s="1" t="s">
        <v>2629</v>
      </c>
      <c r="C7910" s="1">
        <v>6</v>
      </c>
      <c r="D7910" s="1" t="s">
        <v>58</v>
      </c>
      <c r="E7910" s="1" t="s">
        <v>10</v>
      </c>
      <c r="F7910" s="1" t="s">
        <v>2696</v>
      </c>
      <c r="G7910" s="1" t="s">
        <v>4800</v>
      </c>
      <c r="H7910" s="1" t="s">
        <v>27</v>
      </c>
      <c r="I7910" s="17">
        <v>40179</v>
      </c>
    </row>
    <row r="7911" spans="1:9">
      <c r="A7911" s="7" t="s">
        <v>5367</v>
      </c>
      <c r="B7911" s="1" t="s">
        <v>2629</v>
      </c>
      <c r="C7911" s="1">
        <v>6</v>
      </c>
      <c r="D7911" s="1" t="s">
        <v>58</v>
      </c>
      <c r="E7911" s="1" t="s">
        <v>10</v>
      </c>
      <c r="F7911" s="1" t="s">
        <v>2696</v>
      </c>
      <c r="G7911" s="1" t="s">
        <v>4800</v>
      </c>
      <c r="H7911" s="1" t="s">
        <v>27</v>
      </c>
      <c r="I7911" s="17">
        <v>40544</v>
      </c>
    </row>
    <row r="7912" spans="1:9">
      <c r="A7912" s="7" t="s">
        <v>5370</v>
      </c>
      <c r="B7912" s="1" t="s">
        <v>2629</v>
      </c>
      <c r="C7912" s="1">
        <v>6</v>
      </c>
      <c r="D7912" s="1" t="s">
        <v>58</v>
      </c>
      <c r="E7912" s="1" t="s">
        <v>10</v>
      </c>
      <c r="F7912" s="1" t="s">
        <v>2696</v>
      </c>
      <c r="G7912" s="1" t="s">
        <v>4800</v>
      </c>
      <c r="H7912" s="1" t="s">
        <v>27</v>
      </c>
      <c r="I7912" s="17">
        <v>40909</v>
      </c>
    </row>
    <row r="7913" spans="1:9">
      <c r="A7913" s="7" t="s">
        <v>5399</v>
      </c>
      <c r="B7913" s="1" t="s">
        <v>2629</v>
      </c>
      <c r="C7913" s="1">
        <v>6</v>
      </c>
      <c r="D7913" s="1" t="s">
        <v>58</v>
      </c>
      <c r="E7913" s="1" t="s">
        <v>10</v>
      </c>
      <c r="F7913" s="1" t="s">
        <v>2696</v>
      </c>
      <c r="G7913" s="1" t="s">
        <v>4800</v>
      </c>
      <c r="H7913" s="1" t="s">
        <v>27</v>
      </c>
      <c r="I7913" s="17">
        <v>41640</v>
      </c>
    </row>
    <row r="7914" spans="1:9">
      <c r="A7914" s="7" t="s">
        <v>5400</v>
      </c>
      <c r="B7914" s="1" t="s">
        <v>2629</v>
      </c>
      <c r="C7914" s="1">
        <v>6</v>
      </c>
      <c r="D7914" s="1" t="s">
        <v>58</v>
      </c>
      <c r="E7914" s="1" t="s">
        <v>10</v>
      </c>
      <c r="F7914" s="1" t="s">
        <v>2697</v>
      </c>
      <c r="G7914" s="1" t="s">
        <v>4800</v>
      </c>
      <c r="H7914" s="1" t="s">
        <v>27</v>
      </c>
      <c r="I7914" s="17">
        <v>41009</v>
      </c>
    </row>
    <row r="7915" spans="1:9">
      <c r="A7915" s="7" t="s">
        <v>5406</v>
      </c>
      <c r="B7915" s="1" t="s">
        <v>2629</v>
      </c>
      <c r="C7915" s="1">
        <v>6</v>
      </c>
      <c r="D7915" s="1" t="s">
        <v>58</v>
      </c>
      <c r="E7915" s="1" t="s">
        <v>10</v>
      </c>
      <c r="F7915" s="1" t="s">
        <v>406</v>
      </c>
      <c r="G7915" s="1" t="s">
        <v>4800</v>
      </c>
      <c r="H7915" s="1" t="s">
        <v>27</v>
      </c>
      <c r="I7915" s="17">
        <v>41167</v>
      </c>
    </row>
    <row r="7916" spans="1:9">
      <c r="A7916" s="7" t="s">
        <v>5413</v>
      </c>
      <c r="B7916" s="1" t="s">
        <v>2629</v>
      </c>
      <c r="C7916" s="1">
        <v>6</v>
      </c>
      <c r="D7916" s="1" t="s">
        <v>58</v>
      </c>
      <c r="E7916" s="1" t="s">
        <v>10</v>
      </c>
      <c r="F7916" s="1" t="s">
        <v>2360</v>
      </c>
      <c r="G7916" s="1" t="s">
        <v>4800</v>
      </c>
      <c r="H7916" s="1" t="s">
        <v>27</v>
      </c>
      <c r="I7916" s="17">
        <v>40544</v>
      </c>
    </row>
    <row r="7917" spans="1:9">
      <c r="A7917" s="7" t="s">
        <v>5424</v>
      </c>
      <c r="B7917" s="1" t="s">
        <v>2629</v>
      </c>
      <c r="C7917" s="1">
        <v>6</v>
      </c>
      <c r="D7917" s="1" t="s">
        <v>58</v>
      </c>
      <c r="E7917" s="1" t="s">
        <v>10</v>
      </c>
      <c r="F7917" s="1" t="s">
        <v>588</v>
      </c>
      <c r="G7917" s="1" t="s">
        <v>4800</v>
      </c>
      <c r="H7917" s="1" t="s">
        <v>27</v>
      </c>
      <c r="I7917" s="17">
        <v>41650</v>
      </c>
    </row>
    <row r="7918" spans="1:9">
      <c r="A7918" s="7" t="s">
        <v>5439</v>
      </c>
      <c r="B7918" s="1" t="s">
        <v>2629</v>
      </c>
      <c r="C7918" s="1">
        <v>6</v>
      </c>
      <c r="D7918" s="1" t="s">
        <v>58</v>
      </c>
      <c r="E7918" s="1" t="s">
        <v>10</v>
      </c>
      <c r="F7918" s="1" t="s">
        <v>588</v>
      </c>
      <c r="G7918" s="1" t="s">
        <v>4800</v>
      </c>
      <c r="H7918" s="1" t="s">
        <v>27</v>
      </c>
      <c r="I7918" s="17">
        <v>42412</v>
      </c>
    </row>
    <row r="7919" spans="1:9">
      <c r="A7919" s="7" t="s">
        <v>5444</v>
      </c>
      <c r="B7919" s="1" t="s">
        <v>2629</v>
      </c>
      <c r="C7919" s="1">
        <v>6</v>
      </c>
      <c r="D7919" s="1" t="s">
        <v>58</v>
      </c>
      <c r="E7919" s="1" t="s">
        <v>10</v>
      </c>
      <c r="F7919" s="1" t="s">
        <v>588</v>
      </c>
      <c r="G7919" s="1" t="s">
        <v>4800</v>
      </c>
      <c r="H7919" s="1" t="s">
        <v>27</v>
      </c>
      <c r="I7919" s="17">
        <v>42467</v>
      </c>
    </row>
    <row r="7920" spans="1:9">
      <c r="A7920" s="7" t="s">
        <v>5446</v>
      </c>
      <c r="B7920" s="1" t="s">
        <v>2629</v>
      </c>
      <c r="C7920" s="1">
        <v>6</v>
      </c>
      <c r="D7920" s="1" t="s">
        <v>58</v>
      </c>
      <c r="E7920" s="1" t="s">
        <v>10</v>
      </c>
      <c r="F7920" s="1" t="s">
        <v>588</v>
      </c>
      <c r="G7920" s="1" t="s">
        <v>4800</v>
      </c>
      <c r="H7920" s="1" t="s">
        <v>27</v>
      </c>
      <c r="I7920" s="17">
        <v>42511</v>
      </c>
    </row>
    <row r="7921" spans="1:9">
      <c r="A7921" s="7" t="s">
        <v>5454</v>
      </c>
      <c r="B7921" s="1" t="s">
        <v>2629</v>
      </c>
      <c r="C7921" s="1">
        <v>6</v>
      </c>
      <c r="D7921" s="1" t="s">
        <v>58</v>
      </c>
      <c r="E7921" s="1" t="s">
        <v>10</v>
      </c>
      <c r="F7921" s="1" t="s">
        <v>588</v>
      </c>
      <c r="G7921" s="1" t="s">
        <v>4800</v>
      </c>
      <c r="H7921" s="1" t="s">
        <v>27</v>
      </c>
      <c r="I7921" s="17">
        <v>42641</v>
      </c>
    </row>
    <row r="7922" spans="1:9">
      <c r="A7922" s="7" t="s">
        <v>5455</v>
      </c>
      <c r="B7922" s="1" t="s">
        <v>2629</v>
      </c>
      <c r="C7922" s="1">
        <v>6</v>
      </c>
      <c r="D7922" s="1" t="s">
        <v>58</v>
      </c>
      <c r="E7922" s="1" t="s">
        <v>10</v>
      </c>
      <c r="F7922" s="1" t="s">
        <v>588</v>
      </c>
      <c r="G7922" s="1" t="s">
        <v>4800</v>
      </c>
      <c r="H7922" s="1" t="s">
        <v>27</v>
      </c>
      <c r="I7922" s="17">
        <v>42649</v>
      </c>
    </row>
    <row r="7923" spans="1:9">
      <c r="A7923" s="7" t="s">
        <v>5458</v>
      </c>
      <c r="B7923" s="1" t="s">
        <v>2629</v>
      </c>
      <c r="C7923" s="1">
        <v>6</v>
      </c>
      <c r="D7923" s="1" t="s">
        <v>58</v>
      </c>
      <c r="E7923" s="1" t="s">
        <v>10</v>
      </c>
      <c r="F7923" s="1" t="s">
        <v>588</v>
      </c>
      <c r="G7923" s="1" t="s">
        <v>4800</v>
      </c>
      <c r="H7923" s="1" t="s">
        <v>27</v>
      </c>
      <c r="I7923" s="17">
        <v>42674</v>
      </c>
    </row>
    <row r="7924" spans="1:9">
      <c r="A7924" s="7" t="s">
        <v>5461</v>
      </c>
      <c r="B7924" s="1" t="s">
        <v>2629</v>
      </c>
      <c r="C7924" s="1">
        <v>6</v>
      </c>
      <c r="D7924" s="1" t="s">
        <v>58</v>
      </c>
      <c r="E7924" s="1" t="s">
        <v>10</v>
      </c>
      <c r="F7924" s="1" t="s">
        <v>588</v>
      </c>
      <c r="G7924" s="1" t="s">
        <v>4800</v>
      </c>
      <c r="H7924" s="1" t="s">
        <v>27</v>
      </c>
      <c r="I7924" s="17">
        <v>42720</v>
      </c>
    </row>
    <row r="7925" spans="1:9">
      <c r="A7925" s="7" t="s">
        <v>5469</v>
      </c>
      <c r="B7925" s="1" t="s">
        <v>2629</v>
      </c>
      <c r="C7925" s="1">
        <v>6</v>
      </c>
      <c r="D7925" s="1" t="s">
        <v>58</v>
      </c>
      <c r="E7925" s="1" t="s">
        <v>10</v>
      </c>
      <c r="F7925" s="1" t="s">
        <v>2698</v>
      </c>
      <c r="G7925" s="1" t="s">
        <v>4800</v>
      </c>
      <c r="H7925" s="1" t="s">
        <v>27</v>
      </c>
      <c r="I7925" s="17">
        <v>41640</v>
      </c>
    </row>
    <row r="7926" spans="1:9">
      <c r="A7926" s="7" t="s">
        <v>5482</v>
      </c>
      <c r="B7926" s="1" t="s">
        <v>2629</v>
      </c>
      <c r="C7926" s="1">
        <v>6</v>
      </c>
      <c r="D7926" s="1" t="s">
        <v>58</v>
      </c>
      <c r="E7926" s="1" t="s">
        <v>10</v>
      </c>
      <c r="F7926" s="1" t="s">
        <v>5478</v>
      </c>
      <c r="G7926" s="1" t="s">
        <v>4800</v>
      </c>
      <c r="H7926" s="1" t="s">
        <v>27</v>
      </c>
      <c r="I7926" s="1" t="s">
        <v>5483</v>
      </c>
    </row>
    <row r="7927" spans="1:9">
      <c r="A7927" s="7" t="s">
        <v>5490</v>
      </c>
      <c r="B7927" s="1" t="s">
        <v>2629</v>
      </c>
      <c r="C7927" s="1">
        <v>6</v>
      </c>
      <c r="D7927" s="1" t="s">
        <v>58</v>
      </c>
      <c r="E7927" s="1" t="s">
        <v>10</v>
      </c>
      <c r="F7927" s="1" t="s">
        <v>2699</v>
      </c>
      <c r="G7927" s="1" t="s">
        <v>4800</v>
      </c>
      <c r="H7927" s="1" t="s">
        <v>27</v>
      </c>
      <c r="I7927" s="17">
        <v>40179</v>
      </c>
    </row>
    <row r="7928" spans="1:9">
      <c r="A7928" s="7" t="s">
        <v>5492</v>
      </c>
      <c r="B7928" s="1" t="s">
        <v>2629</v>
      </c>
      <c r="C7928" s="1">
        <v>6</v>
      </c>
      <c r="D7928" s="1" t="s">
        <v>58</v>
      </c>
      <c r="E7928" s="1" t="s">
        <v>10</v>
      </c>
      <c r="F7928" s="1" t="s">
        <v>2699</v>
      </c>
      <c r="G7928" s="1" t="s">
        <v>4800</v>
      </c>
      <c r="H7928" s="1" t="s">
        <v>27</v>
      </c>
      <c r="I7928" s="17">
        <v>40179</v>
      </c>
    </row>
    <row r="7929" spans="1:9">
      <c r="A7929" s="7" t="s">
        <v>5496</v>
      </c>
      <c r="B7929" s="1" t="s">
        <v>2629</v>
      </c>
      <c r="C7929" s="1">
        <v>6</v>
      </c>
      <c r="D7929" s="1" t="s">
        <v>58</v>
      </c>
      <c r="E7929" s="1" t="s">
        <v>10</v>
      </c>
      <c r="F7929" s="1" t="s">
        <v>2699</v>
      </c>
      <c r="G7929" s="1" t="s">
        <v>4800</v>
      </c>
      <c r="H7929" s="1" t="s">
        <v>27</v>
      </c>
      <c r="I7929" s="17">
        <v>40179</v>
      </c>
    </row>
    <row r="7930" spans="1:9">
      <c r="A7930" s="7" t="s">
        <v>5498</v>
      </c>
      <c r="B7930" s="1" t="s">
        <v>2629</v>
      </c>
      <c r="C7930" s="1">
        <v>6</v>
      </c>
      <c r="D7930" s="1" t="s">
        <v>58</v>
      </c>
      <c r="E7930" s="1" t="s">
        <v>10</v>
      </c>
      <c r="F7930" s="1" t="s">
        <v>2699</v>
      </c>
      <c r="G7930" s="1" t="s">
        <v>4800</v>
      </c>
      <c r="H7930" s="1" t="s">
        <v>27</v>
      </c>
      <c r="I7930" s="17">
        <v>40179</v>
      </c>
    </row>
    <row r="7931" spans="1:9">
      <c r="A7931" s="7" t="s">
        <v>5499</v>
      </c>
      <c r="B7931" s="1" t="s">
        <v>2629</v>
      </c>
      <c r="C7931" s="1">
        <v>6</v>
      </c>
      <c r="D7931" s="1" t="s">
        <v>58</v>
      </c>
      <c r="E7931" s="1" t="s">
        <v>10</v>
      </c>
      <c r="F7931" s="1" t="s">
        <v>2699</v>
      </c>
      <c r="G7931" s="1" t="s">
        <v>4800</v>
      </c>
      <c r="H7931" s="1" t="s">
        <v>27</v>
      </c>
      <c r="I7931" s="17">
        <v>40179</v>
      </c>
    </row>
    <row r="7932" spans="1:9">
      <c r="A7932" s="7" t="s">
        <v>5501</v>
      </c>
      <c r="B7932" s="1" t="s">
        <v>2629</v>
      </c>
      <c r="C7932" s="1">
        <v>6</v>
      </c>
      <c r="D7932" s="1" t="s">
        <v>58</v>
      </c>
      <c r="E7932" s="1" t="s">
        <v>10</v>
      </c>
      <c r="F7932" s="1" t="s">
        <v>2699</v>
      </c>
      <c r="G7932" s="1" t="s">
        <v>4800</v>
      </c>
      <c r="H7932" s="1" t="s">
        <v>27</v>
      </c>
      <c r="I7932" s="17">
        <v>40179</v>
      </c>
    </row>
    <row r="7933" spans="1:9">
      <c r="A7933" s="7" t="s">
        <v>5502</v>
      </c>
      <c r="B7933" s="1" t="s">
        <v>2629</v>
      </c>
      <c r="C7933" s="1">
        <v>6</v>
      </c>
      <c r="D7933" s="1" t="s">
        <v>58</v>
      </c>
      <c r="E7933" s="1" t="s">
        <v>10</v>
      </c>
      <c r="F7933" s="1" t="s">
        <v>2699</v>
      </c>
      <c r="G7933" s="1" t="s">
        <v>4800</v>
      </c>
      <c r="H7933" s="1" t="s">
        <v>27</v>
      </c>
      <c r="I7933" s="17">
        <v>40179</v>
      </c>
    </row>
    <row r="7934" spans="1:9">
      <c r="A7934" s="7" t="s">
        <v>5507</v>
      </c>
      <c r="B7934" s="1" t="s">
        <v>2629</v>
      </c>
      <c r="C7934" s="1">
        <v>6</v>
      </c>
      <c r="D7934" s="1" t="s">
        <v>58</v>
      </c>
      <c r="E7934" s="1" t="s">
        <v>10</v>
      </c>
      <c r="F7934" s="1" t="s">
        <v>2699</v>
      </c>
      <c r="G7934" s="1" t="s">
        <v>4800</v>
      </c>
      <c r="H7934" s="1" t="s">
        <v>27</v>
      </c>
      <c r="I7934" s="17">
        <v>40179</v>
      </c>
    </row>
    <row r="7935" spans="1:9">
      <c r="A7935" s="7" t="s">
        <v>5508</v>
      </c>
      <c r="B7935" s="1" t="s">
        <v>2629</v>
      </c>
      <c r="C7935" s="1">
        <v>6</v>
      </c>
      <c r="D7935" s="1" t="s">
        <v>58</v>
      </c>
      <c r="E7935" s="1" t="s">
        <v>10</v>
      </c>
      <c r="F7935" s="1" t="s">
        <v>2699</v>
      </c>
      <c r="G7935" s="1" t="s">
        <v>4800</v>
      </c>
      <c r="H7935" s="1" t="s">
        <v>27</v>
      </c>
      <c r="I7935" s="17">
        <v>40179</v>
      </c>
    </row>
    <row r="7936" spans="1:9">
      <c r="A7936" s="7" t="s">
        <v>5509</v>
      </c>
      <c r="B7936" s="1" t="s">
        <v>2629</v>
      </c>
      <c r="C7936" s="1">
        <v>6</v>
      </c>
      <c r="D7936" s="1" t="s">
        <v>58</v>
      </c>
      <c r="E7936" s="1" t="s">
        <v>10</v>
      </c>
      <c r="F7936" s="1" t="s">
        <v>2699</v>
      </c>
      <c r="G7936" s="1" t="s">
        <v>4800</v>
      </c>
      <c r="H7936" s="1" t="s">
        <v>27</v>
      </c>
      <c r="I7936" s="17">
        <v>40179</v>
      </c>
    </row>
    <row r="7937" spans="1:9">
      <c r="A7937" s="7" t="s">
        <v>5510</v>
      </c>
      <c r="B7937" s="1" t="s">
        <v>2629</v>
      </c>
      <c r="C7937" s="1">
        <v>6</v>
      </c>
      <c r="D7937" s="1" t="s">
        <v>58</v>
      </c>
      <c r="E7937" s="1" t="s">
        <v>10</v>
      </c>
      <c r="F7937" s="1" t="s">
        <v>2699</v>
      </c>
      <c r="G7937" s="1" t="s">
        <v>4800</v>
      </c>
      <c r="H7937" s="1" t="s">
        <v>27</v>
      </c>
      <c r="I7937" s="17">
        <v>40179</v>
      </c>
    </row>
    <row r="7938" spans="1:9">
      <c r="A7938" s="7" t="s">
        <v>5512</v>
      </c>
      <c r="B7938" s="1" t="s">
        <v>2629</v>
      </c>
      <c r="C7938" s="1">
        <v>6</v>
      </c>
      <c r="D7938" s="1" t="s">
        <v>58</v>
      </c>
      <c r="E7938" s="1" t="s">
        <v>10</v>
      </c>
      <c r="F7938" s="1" t="s">
        <v>2699</v>
      </c>
      <c r="G7938" s="1" t="s">
        <v>4800</v>
      </c>
      <c r="H7938" s="1" t="s">
        <v>27</v>
      </c>
      <c r="I7938" s="17">
        <v>40179</v>
      </c>
    </row>
    <row r="7939" spans="1:9">
      <c r="A7939" s="7" t="s">
        <v>5516</v>
      </c>
      <c r="B7939" s="1" t="s">
        <v>2629</v>
      </c>
      <c r="C7939" s="1">
        <v>6</v>
      </c>
      <c r="D7939" s="1" t="s">
        <v>58</v>
      </c>
      <c r="E7939" s="1" t="s">
        <v>10</v>
      </c>
      <c r="F7939" s="1" t="s">
        <v>2699</v>
      </c>
      <c r="G7939" s="1" t="s">
        <v>4800</v>
      </c>
      <c r="H7939" s="1" t="s">
        <v>27</v>
      </c>
      <c r="I7939" s="17">
        <v>40544</v>
      </c>
    </row>
    <row r="7940" spans="1:9">
      <c r="A7940" s="7" t="s">
        <v>5517</v>
      </c>
      <c r="B7940" s="1" t="s">
        <v>2629</v>
      </c>
      <c r="C7940" s="1">
        <v>6</v>
      </c>
      <c r="D7940" s="1" t="s">
        <v>58</v>
      </c>
      <c r="E7940" s="1" t="s">
        <v>10</v>
      </c>
      <c r="F7940" s="1" t="s">
        <v>2699</v>
      </c>
      <c r="G7940" s="1" t="s">
        <v>4800</v>
      </c>
      <c r="H7940" s="1" t="s">
        <v>27</v>
      </c>
      <c r="I7940" s="17">
        <v>40544</v>
      </c>
    </row>
    <row r="7941" spans="1:9">
      <c r="A7941" s="7" t="s">
        <v>5524</v>
      </c>
      <c r="B7941" s="1" t="s">
        <v>2629</v>
      </c>
      <c r="C7941" s="1">
        <v>6</v>
      </c>
      <c r="D7941" s="1" t="s">
        <v>58</v>
      </c>
      <c r="E7941" s="1" t="s">
        <v>10</v>
      </c>
      <c r="F7941" s="1" t="s">
        <v>2699</v>
      </c>
      <c r="G7941" s="1" t="s">
        <v>4800</v>
      </c>
      <c r="H7941" s="1" t="s">
        <v>27</v>
      </c>
      <c r="I7941" s="17">
        <v>40544</v>
      </c>
    </row>
    <row r="7942" spans="1:9">
      <c r="A7942" s="7" t="s">
        <v>5526</v>
      </c>
      <c r="B7942" s="1" t="s">
        <v>2629</v>
      </c>
      <c r="C7942" s="1">
        <v>6</v>
      </c>
      <c r="D7942" s="1" t="s">
        <v>58</v>
      </c>
      <c r="E7942" s="1" t="s">
        <v>10</v>
      </c>
      <c r="F7942" s="1" t="s">
        <v>2699</v>
      </c>
      <c r="G7942" s="1" t="s">
        <v>4800</v>
      </c>
      <c r="H7942" s="1" t="s">
        <v>27</v>
      </c>
      <c r="I7942" s="17">
        <v>40544</v>
      </c>
    </row>
    <row r="7943" spans="1:9">
      <c r="A7943" s="7" t="s">
        <v>5538</v>
      </c>
      <c r="B7943" s="1" t="s">
        <v>2629</v>
      </c>
      <c r="C7943" s="1">
        <v>6</v>
      </c>
      <c r="D7943" s="1" t="s">
        <v>58</v>
      </c>
      <c r="E7943" s="1" t="s">
        <v>10</v>
      </c>
      <c r="F7943" s="1" t="s">
        <v>2699</v>
      </c>
      <c r="G7943" s="1" t="s">
        <v>4800</v>
      </c>
      <c r="H7943" s="1" t="s">
        <v>27</v>
      </c>
      <c r="I7943" s="17">
        <v>41275</v>
      </c>
    </row>
    <row r="7944" spans="1:9">
      <c r="A7944" s="7" t="s">
        <v>5539</v>
      </c>
      <c r="B7944" s="1" t="s">
        <v>2629</v>
      </c>
      <c r="C7944" s="1">
        <v>6</v>
      </c>
      <c r="D7944" s="1" t="s">
        <v>58</v>
      </c>
      <c r="E7944" s="1" t="s">
        <v>10</v>
      </c>
      <c r="F7944" s="1" t="s">
        <v>2699</v>
      </c>
      <c r="G7944" s="1" t="s">
        <v>4800</v>
      </c>
      <c r="H7944" s="1" t="s">
        <v>27</v>
      </c>
      <c r="I7944" s="17">
        <v>41275</v>
      </c>
    </row>
    <row r="7945" spans="1:9">
      <c r="A7945" s="7" t="s">
        <v>5545</v>
      </c>
      <c r="B7945" s="1" t="s">
        <v>2629</v>
      </c>
      <c r="C7945" s="1">
        <v>6</v>
      </c>
      <c r="D7945" s="1" t="s">
        <v>58</v>
      </c>
      <c r="E7945" s="1" t="s">
        <v>10</v>
      </c>
      <c r="F7945" s="1" t="s">
        <v>2699</v>
      </c>
      <c r="G7945" s="1" t="s">
        <v>4800</v>
      </c>
      <c r="H7945" s="1" t="s">
        <v>27</v>
      </c>
      <c r="I7945" s="17">
        <v>41275</v>
      </c>
    </row>
    <row r="7946" spans="1:9">
      <c r="A7946" s="7" t="s">
        <v>5546</v>
      </c>
      <c r="B7946" s="1" t="s">
        <v>2629</v>
      </c>
      <c r="C7946" s="1">
        <v>6</v>
      </c>
      <c r="D7946" s="1" t="s">
        <v>58</v>
      </c>
      <c r="E7946" s="1" t="s">
        <v>10</v>
      </c>
      <c r="F7946" s="1" t="s">
        <v>2699</v>
      </c>
      <c r="G7946" s="1" t="s">
        <v>4800</v>
      </c>
      <c r="H7946" s="1" t="s">
        <v>27</v>
      </c>
      <c r="I7946" s="17">
        <v>41640</v>
      </c>
    </row>
    <row r="7947" spans="1:9">
      <c r="A7947" s="7" t="s">
        <v>5547</v>
      </c>
      <c r="B7947" s="1" t="s">
        <v>2629</v>
      </c>
      <c r="C7947" s="1">
        <v>6</v>
      </c>
      <c r="D7947" s="1" t="s">
        <v>58</v>
      </c>
      <c r="E7947" s="1" t="s">
        <v>10</v>
      </c>
      <c r="F7947" s="1" t="s">
        <v>2699</v>
      </c>
      <c r="G7947" s="1" t="s">
        <v>4800</v>
      </c>
      <c r="H7947" s="1" t="s">
        <v>27</v>
      </c>
      <c r="I7947" s="17">
        <v>41640</v>
      </c>
    </row>
    <row r="7948" spans="1:9">
      <c r="A7948" s="7" t="s">
        <v>5551</v>
      </c>
      <c r="B7948" s="1" t="s">
        <v>2629</v>
      </c>
      <c r="C7948" s="1">
        <v>6</v>
      </c>
      <c r="D7948" s="1" t="s">
        <v>58</v>
      </c>
      <c r="E7948" s="1" t="s">
        <v>10</v>
      </c>
      <c r="F7948" s="1" t="s">
        <v>2699</v>
      </c>
      <c r="G7948" s="1" t="s">
        <v>4800</v>
      </c>
      <c r="H7948" s="1" t="s">
        <v>27</v>
      </c>
      <c r="I7948" s="17">
        <v>41640</v>
      </c>
    </row>
    <row r="7949" spans="1:9">
      <c r="A7949" s="7" t="s">
        <v>5556</v>
      </c>
      <c r="B7949" s="1" t="s">
        <v>2629</v>
      </c>
      <c r="C7949" s="1">
        <v>6</v>
      </c>
      <c r="D7949" s="1" t="s">
        <v>58</v>
      </c>
      <c r="E7949" s="1" t="s">
        <v>10</v>
      </c>
      <c r="F7949" s="1" t="s">
        <v>2699</v>
      </c>
      <c r="G7949" s="1" t="s">
        <v>4800</v>
      </c>
      <c r="H7949" s="1" t="s">
        <v>27</v>
      </c>
      <c r="I7949" s="17">
        <v>42005</v>
      </c>
    </row>
    <row r="7950" spans="1:9">
      <c r="A7950" s="7" t="s">
        <v>5557</v>
      </c>
      <c r="B7950" s="1" t="s">
        <v>2629</v>
      </c>
      <c r="C7950" s="1">
        <v>6</v>
      </c>
      <c r="D7950" s="1" t="s">
        <v>58</v>
      </c>
      <c r="E7950" s="1" t="s">
        <v>10</v>
      </c>
      <c r="F7950" s="1" t="s">
        <v>2699</v>
      </c>
      <c r="G7950" s="1" t="s">
        <v>4800</v>
      </c>
      <c r="H7950" s="1" t="s">
        <v>27</v>
      </c>
      <c r="I7950" s="17">
        <v>42005</v>
      </c>
    </row>
    <row r="7951" spans="1:9">
      <c r="A7951" s="7" t="s">
        <v>5583</v>
      </c>
      <c r="B7951" s="1" t="s">
        <v>2629</v>
      </c>
      <c r="C7951" s="1">
        <v>6</v>
      </c>
      <c r="D7951" s="1" t="s">
        <v>58</v>
      </c>
      <c r="E7951" s="1" t="s">
        <v>10</v>
      </c>
      <c r="F7951" s="1" t="s">
        <v>2700</v>
      </c>
      <c r="G7951" s="1" t="s">
        <v>4800</v>
      </c>
      <c r="H7951" s="1" t="s">
        <v>27</v>
      </c>
      <c r="I7951" s="17">
        <v>40544</v>
      </c>
    </row>
    <row r="7952" spans="1:9">
      <c r="A7952" s="7" t="s">
        <v>5608</v>
      </c>
      <c r="B7952" s="1" t="s">
        <v>2629</v>
      </c>
      <c r="C7952" s="1">
        <v>6</v>
      </c>
      <c r="D7952" s="1" t="s">
        <v>58</v>
      </c>
      <c r="E7952" s="1" t="s">
        <v>10</v>
      </c>
      <c r="F7952" s="1" t="s">
        <v>2573</v>
      </c>
      <c r="G7952" s="1" t="s">
        <v>4800</v>
      </c>
      <c r="H7952" s="1" t="s">
        <v>27</v>
      </c>
      <c r="I7952" s="17">
        <v>40909</v>
      </c>
    </row>
    <row r="7953" spans="1:9">
      <c r="A7953" s="7" t="s">
        <v>5809</v>
      </c>
      <c r="B7953" s="1" t="s">
        <v>2629</v>
      </c>
      <c r="C7953" s="1">
        <v>6</v>
      </c>
      <c r="D7953" s="1" t="s">
        <v>58</v>
      </c>
      <c r="E7953" s="1" t="s">
        <v>10</v>
      </c>
      <c r="F7953" s="1" t="s">
        <v>2360</v>
      </c>
      <c r="G7953" s="1" t="s">
        <v>5308</v>
      </c>
      <c r="H7953" s="1" t="s">
        <v>27</v>
      </c>
      <c r="I7953" s="1" t="s">
        <v>5801</v>
      </c>
    </row>
    <row r="7954" spans="1:9">
      <c r="A7954" s="7" t="s">
        <v>5810</v>
      </c>
      <c r="B7954" s="1" t="s">
        <v>2629</v>
      </c>
      <c r="C7954" s="1">
        <v>6</v>
      </c>
      <c r="D7954" s="1" t="s">
        <v>58</v>
      </c>
      <c r="E7954" s="1" t="s">
        <v>10</v>
      </c>
      <c r="F7954" s="1" t="s">
        <v>2360</v>
      </c>
      <c r="G7954" s="1" t="s">
        <v>5308</v>
      </c>
      <c r="H7954" s="1" t="s">
        <v>27</v>
      </c>
      <c r="I7954" s="1" t="s">
        <v>5801</v>
      </c>
    </row>
    <row r="7955" spans="1:9">
      <c r="A7955" s="7" t="s">
        <v>5811</v>
      </c>
      <c r="B7955" s="1" t="s">
        <v>2629</v>
      </c>
      <c r="C7955" s="1">
        <v>6</v>
      </c>
      <c r="D7955" s="1" t="s">
        <v>58</v>
      </c>
      <c r="E7955" s="1" t="s">
        <v>10</v>
      </c>
      <c r="F7955" s="1" t="s">
        <v>2360</v>
      </c>
      <c r="G7955" s="1" t="s">
        <v>5308</v>
      </c>
      <c r="H7955" s="1" t="s">
        <v>27</v>
      </c>
      <c r="I7955" s="1" t="s">
        <v>5801</v>
      </c>
    </row>
    <row r="7956" spans="1:9">
      <c r="A7956" s="7" t="s">
        <v>5812</v>
      </c>
      <c r="B7956" s="1" t="s">
        <v>2629</v>
      </c>
      <c r="C7956" s="1">
        <v>6</v>
      </c>
      <c r="D7956" s="1" t="s">
        <v>58</v>
      </c>
      <c r="E7956" s="1" t="s">
        <v>10</v>
      </c>
      <c r="F7956" s="1" t="s">
        <v>2360</v>
      </c>
      <c r="G7956" s="1" t="s">
        <v>5308</v>
      </c>
      <c r="H7956" s="1" t="s">
        <v>27</v>
      </c>
      <c r="I7956" s="1" t="s">
        <v>5801</v>
      </c>
    </row>
    <row r="7957" spans="1:9">
      <c r="A7957" s="7" t="s">
        <v>5813</v>
      </c>
      <c r="B7957" s="1" t="s">
        <v>2629</v>
      </c>
      <c r="C7957" s="1">
        <v>6</v>
      </c>
      <c r="D7957" s="1" t="s">
        <v>58</v>
      </c>
      <c r="E7957" s="1" t="s">
        <v>10</v>
      </c>
      <c r="F7957" s="1" t="s">
        <v>2360</v>
      </c>
      <c r="G7957" s="1" t="s">
        <v>5308</v>
      </c>
      <c r="H7957" s="1" t="s">
        <v>27</v>
      </c>
      <c r="I7957" s="1" t="s">
        <v>5801</v>
      </c>
    </row>
    <row r="7958" spans="1:9">
      <c r="A7958" s="7" t="s">
        <v>5814</v>
      </c>
      <c r="B7958" s="1" t="s">
        <v>2629</v>
      </c>
      <c r="C7958" s="1">
        <v>6</v>
      </c>
      <c r="D7958" s="1" t="s">
        <v>58</v>
      </c>
      <c r="E7958" s="1" t="s">
        <v>10</v>
      </c>
      <c r="F7958" s="1" t="s">
        <v>2360</v>
      </c>
      <c r="G7958" s="1" t="s">
        <v>5308</v>
      </c>
      <c r="H7958" s="1" t="s">
        <v>27</v>
      </c>
      <c r="I7958" s="1" t="s">
        <v>5801</v>
      </c>
    </row>
    <row r="7959" spans="1:9">
      <c r="A7959" s="7" t="s">
        <v>5815</v>
      </c>
      <c r="B7959" s="1" t="s">
        <v>2629</v>
      </c>
      <c r="C7959" s="1">
        <v>6</v>
      </c>
      <c r="D7959" s="1" t="s">
        <v>58</v>
      </c>
      <c r="E7959" s="1" t="s">
        <v>10</v>
      </c>
      <c r="F7959" s="1" t="s">
        <v>2360</v>
      </c>
      <c r="G7959" s="1" t="s">
        <v>5308</v>
      </c>
      <c r="H7959" s="1" t="s">
        <v>27</v>
      </c>
      <c r="I7959" s="1" t="s">
        <v>5801</v>
      </c>
    </row>
    <row r="7960" spans="1:9">
      <c r="A7960" s="7" t="s">
        <v>5816</v>
      </c>
      <c r="B7960" s="1" t="s">
        <v>2629</v>
      </c>
      <c r="C7960" s="1">
        <v>6</v>
      </c>
      <c r="D7960" s="1" t="s">
        <v>58</v>
      </c>
      <c r="E7960" s="1" t="s">
        <v>10</v>
      </c>
      <c r="F7960" s="1" t="s">
        <v>2360</v>
      </c>
      <c r="G7960" s="1" t="s">
        <v>5308</v>
      </c>
      <c r="H7960" s="1" t="s">
        <v>27</v>
      </c>
      <c r="I7960" s="1" t="s">
        <v>5801</v>
      </c>
    </row>
    <row r="7961" spans="1:9">
      <c r="A7961" s="7" t="s">
        <v>5817</v>
      </c>
      <c r="B7961" s="1" t="s">
        <v>2629</v>
      </c>
      <c r="C7961" s="1">
        <v>6</v>
      </c>
      <c r="D7961" s="1" t="s">
        <v>58</v>
      </c>
      <c r="E7961" s="1" t="s">
        <v>10</v>
      </c>
      <c r="F7961" s="1" t="s">
        <v>2360</v>
      </c>
      <c r="G7961" s="1" t="s">
        <v>5308</v>
      </c>
      <c r="H7961" s="1" t="s">
        <v>27</v>
      </c>
      <c r="I7961" s="1" t="s">
        <v>5801</v>
      </c>
    </row>
    <row r="7962" spans="1:9">
      <c r="A7962" s="7" t="s">
        <v>5818</v>
      </c>
      <c r="B7962" s="1" t="s">
        <v>2629</v>
      </c>
      <c r="C7962" s="1">
        <v>6</v>
      </c>
      <c r="D7962" s="1" t="s">
        <v>58</v>
      </c>
      <c r="E7962" s="1" t="s">
        <v>10</v>
      </c>
      <c r="F7962" s="1" t="s">
        <v>2360</v>
      </c>
      <c r="G7962" s="1" t="s">
        <v>5308</v>
      </c>
      <c r="H7962" s="1" t="s">
        <v>27</v>
      </c>
      <c r="I7962" s="1" t="s">
        <v>5801</v>
      </c>
    </row>
    <row r="7963" spans="1:9">
      <c r="A7963" s="7" t="s">
        <v>5819</v>
      </c>
      <c r="B7963" s="1" t="s">
        <v>2629</v>
      </c>
      <c r="C7963" s="1">
        <v>6</v>
      </c>
      <c r="D7963" s="1" t="s">
        <v>58</v>
      </c>
      <c r="E7963" s="1" t="s">
        <v>10</v>
      </c>
      <c r="F7963" s="1" t="s">
        <v>2360</v>
      </c>
      <c r="G7963" s="1" t="s">
        <v>5308</v>
      </c>
      <c r="H7963" s="1" t="s">
        <v>27</v>
      </c>
      <c r="I7963" s="1" t="s">
        <v>5801</v>
      </c>
    </row>
    <row r="7964" spans="1:9">
      <c r="A7964" s="7" t="s">
        <v>5820</v>
      </c>
      <c r="B7964" s="1" t="s">
        <v>2629</v>
      </c>
      <c r="C7964" s="1">
        <v>6</v>
      </c>
      <c r="D7964" s="1" t="s">
        <v>58</v>
      </c>
      <c r="E7964" s="1" t="s">
        <v>10</v>
      </c>
      <c r="F7964" s="1" t="s">
        <v>2360</v>
      </c>
      <c r="G7964" s="1" t="s">
        <v>5308</v>
      </c>
      <c r="H7964" s="1" t="s">
        <v>27</v>
      </c>
      <c r="I7964" s="1" t="s">
        <v>5801</v>
      </c>
    </row>
    <row r="7965" spans="1:9">
      <c r="A7965" s="7" t="s">
        <v>5821</v>
      </c>
      <c r="B7965" s="1" t="s">
        <v>2629</v>
      </c>
      <c r="C7965" s="1">
        <v>6</v>
      </c>
      <c r="D7965" s="1" t="s">
        <v>58</v>
      </c>
      <c r="E7965" s="1" t="s">
        <v>10</v>
      </c>
      <c r="F7965" s="1" t="s">
        <v>2360</v>
      </c>
      <c r="G7965" s="1" t="s">
        <v>5308</v>
      </c>
      <c r="H7965" s="1" t="s">
        <v>27</v>
      </c>
      <c r="I7965" s="1" t="s">
        <v>5801</v>
      </c>
    </row>
    <row r="7966" spans="1:9">
      <c r="A7966" s="7" t="s">
        <v>5822</v>
      </c>
      <c r="B7966" s="1" t="s">
        <v>2629</v>
      </c>
      <c r="C7966" s="1">
        <v>6</v>
      </c>
      <c r="D7966" s="1" t="s">
        <v>58</v>
      </c>
      <c r="E7966" s="1" t="s">
        <v>10</v>
      </c>
      <c r="F7966" s="1" t="s">
        <v>2360</v>
      </c>
      <c r="G7966" s="1" t="s">
        <v>5308</v>
      </c>
      <c r="H7966" s="1" t="s">
        <v>27</v>
      </c>
      <c r="I7966" s="1" t="s">
        <v>5801</v>
      </c>
    </row>
    <row r="7967" spans="1:9">
      <c r="A7967" s="7" t="s">
        <v>5823</v>
      </c>
      <c r="B7967" s="1" t="s">
        <v>2629</v>
      </c>
      <c r="C7967" s="1">
        <v>6</v>
      </c>
      <c r="D7967" s="1" t="s">
        <v>58</v>
      </c>
      <c r="E7967" s="1" t="s">
        <v>10</v>
      </c>
      <c r="F7967" s="1" t="s">
        <v>2360</v>
      </c>
      <c r="G7967" s="1" t="s">
        <v>5308</v>
      </c>
      <c r="H7967" s="1" t="s">
        <v>27</v>
      </c>
      <c r="I7967" s="1" t="s">
        <v>5801</v>
      </c>
    </row>
    <row r="7968" spans="1:9">
      <c r="A7968" s="7" t="s">
        <v>5824</v>
      </c>
      <c r="B7968" s="1" t="s">
        <v>2629</v>
      </c>
      <c r="C7968" s="1">
        <v>6</v>
      </c>
      <c r="D7968" s="1" t="s">
        <v>58</v>
      </c>
      <c r="E7968" s="1" t="s">
        <v>10</v>
      </c>
      <c r="F7968" s="1" t="s">
        <v>2360</v>
      </c>
      <c r="G7968" s="1" t="s">
        <v>5308</v>
      </c>
      <c r="H7968" s="1" t="s">
        <v>27</v>
      </c>
      <c r="I7968" s="1" t="s">
        <v>5801</v>
      </c>
    </row>
    <row r="7969" spans="1:9">
      <c r="A7969" s="7" t="s">
        <v>5826</v>
      </c>
      <c r="B7969" s="1" t="s">
        <v>2629</v>
      </c>
      <c r="C7969" s="1">
        <v>6</v>
      </c>
      <c r="D7969" s="1" t="s">
        <v>58</v>
      </c>
      <c r="E7969" s="1" t="s">
        <v>10</v>
      </c>
      <c r="F7969" s="1" t="s">
        <v>2360</v>
      </c>
      <c r="G7969" s="1" t="s">
        <v>5308</v>
      </c>
      <c r="H7969" s="1" t="s">
        <v>27</v>
      </c>
      <c r="I7969" s="1" t="s">
        <v>5801</v>
      </c>
    </row>
    <row r="7970" spans="1:9">
      <c r="A7970" s="7" t="s">
        <v>5827</v>
      </c>
      <c r="B7970" s="1" t="s">
        <v>2629</v>
      </c>
      <c r="C7970" s="1">
        <v>6</v>
      </c>
      <c r="D7970" s="1" t="s">
        <v>58</v>
      </c>
      <c r="E7970" s="1" t="s">
        <v>10</v>
      </c>
      <c r="F7970" s="1" t="s">
        <v>2360</v>
      </c>
      <c r="G7970" s="1" t="s">
        <v>5308</v>
      </c>
      <c r="H7970" s="1" t="s">
        <v>27</v>
      </c>
      <c r="I7970" s="1" t="s">
        <v>5801</v>
      </c>
    </row>
    <row r="7971" spans="1:9">
      <c r="A7971" s="7" t="s">
        <v>5828</v>
      </c>
      <c r="B7971" s="1" t="s">
        <v>2629</v>
      </c>
      <c r="C7971" s="1">
        <v>6</v>
      </c>
      <c r="D7971" s="1" t="s">
        <v>58</v>
      </c>
      <c r="E7971" s="1" t="s">
        <v>10</v>
      </c>
      <c r="F7971" s="1" t="s">
        <v>2360</v>
      </c>
      <c r="G7971" s="1" t="s">
        <v>5308</v>
      </c>
      <c r="H7971" s="1" t="s">
        <v>27</v>
      </c>
      <c r="I7971" s="1" t="s">
        <v>5801</v>
      </c>
    </row>
    <row r="7972" spans="1:9">
      <c r="A7972" s="7" t="s">
        <v>5829</v>
      </c>
      <c r="B7972" s="1" t="s">
        <v>2629</v>
      </c>
      <c r="C7972" s="1">
        <v>6</v>
      </c>
      <c r="D7972" s="1" t="s">
        <v>58</v>
      </c>
      <c r="E7972" s="1" t="s">
        <v>10</v>
      </c>
      <c r="F7972" s="1" t="s">
        <v>2360</v>
      </c>
      <c r="G7972" s="1" t="s">
        <v>5308</v>
      </c>
      <c r="H7972" s="1" t="s">
        <v>27</v>
      </c>
      <c r="I7972" s="1" t="s">
        <v>5801</v>
      </c>
    </row>
    <row r="7973" spans="1:9">
      <c r="A7973" s="7" t="s">
        <v>5830</v>
      </c>
      <c r="B7973" s="1" t="s">
        <v>2629</v>
      </c>
      <c r="C7973" s="1">
        <v>6</v>
      </c>
      <c r="D7973" s="1" t="s">
        <v>58</v>
      </c>
      <c r="E7973" s="1" t="s">
        <v>10</v>
      </c>
      <c r="F7973" s="1" t="s">
        <v>2360</v>
      </c>
      <c r="G7973" s="1" t="s">
        <v>5308</v>
      </c>
      <c r="H7973" s="1" t="s">
        <v>27</v>
      </c>
      <c r="I7973" s="1" t="s">
        <v>5801</v>
      </c>
    </row>
    <row r="7974" spans="1:9">
      <c r="A7974" s="7" t="s">
        <v>5831</v>
      </c>
      <c r="B7974" s="1" t="s">
        <v>2629</v>
      </c>
      <c r="C7974" s="1">
        <v>6</v>
      </c>
      <c r="D7974" s="1" t="s">
        <v>58</v>
      </c>
      <c r="E7974" s="1" t="s">
        <v>10</v>
      </c>
      <c r="F7974" s="1" t="s">
        <v>2360</v>
      </c>
      <c r="G7974" s="1" t="s">
        <v>5308</v>
      </c>
      <c r="H7974" s="1" t="s">
        <v>27</v>
      </c>
      <c r="I7974" s="1" t="s">
        <v>5801</v>
      </c>
    </row>
    <row r="7975" spans="1:9">
      <c r="A7975" s="7" t="s">
        <v>5832</v>
      </c>
      <c r="B7975" s="1" t="s">
        <v>2629</v>
      </c>
      <c r="C7975" s="1">
        <v>6</v>
      </c>
      <c r="D7975" s="1" t="s">
        <v>58</v>
      </c>
      <c r="E7975" s="1" t="s">
        <v>10</v>
      </c>
      <c r="F7975" s="1" t="s">
        <v>2360</v>
      </c>
      <c r="G7975" s="1" t="s">
        <v>5308</v>
      </c>
      <c r="H7975" s="1" t="s">
        <v>27</v>
      </c>
      <c r="I7975" s="1" t="s">
        <v>5801</v>
      </c>
    </row>
    <row r="7976" spans="1:9">
      <c r="A7976" s="7" t="s">
        <v>5833</v>
      </c>
      <c r="B7976" s="1" t="s">
        <v>2629</v>
      </c>
      <c r="C7976" s="1">
        <v>6</v>
      </c>
      <c r="D7976" s="1" t="s">
        <v>58</v>
      </c>
      <c r="E7976" s="1" t="s">
        <v>10</v>
      </c>
      <c r="F7976" s="1" t="s">
        <v>2360</v>
      </c>
      <c r="G7976" s="1" t="s">
        <v>5308</v>
      </c>
      <c r="H7976" s="1" t="s">
        <v>27</v>
      </c>
      <c r="I7976" s="1" t="s">
        <v>5801</v>
      </c>
    </row>
    <row r="7977" spans="1:9">
      <c r="A7977" s="7" t="s">
        <v>5834</v>
      </c>
      <c r="B7977" s="1" t="s">
        <v>2629</v>
      </c>
      <c r="C7977" s="1">
        <v>6</v>
      </c>
      <c r="D7977" s="1" t="s">
        <v>58</v>
      </c>
      <c r="E7977" s="1" t="s">
        <v>10</v>
      </c>
      <c r="F7977" s="1" t="s">
        <v>2360</v>
      </c>
      <c r="G7977" s="1" t="s">
        <v>5308</v>
      </c>
      <c r="H7977" s="1" t="s">
        <v>27</v>
      </c>
      <c r="I7977" s="1" t="s">
        <v>5801</v>
      </c>
    </row>
    <row r="7978" spans="1:9">
      <c r="A7978" s="7" t="s">
        <v>5835</v>
      </c>
      <c r="B7978" s="1" t="s">
        <v>2629</v>
      </c>
      <c r="C7978" s="1">
        <v>6</v>
      </c>
      <c r="D7978" s="1" t="s">
        <v>58</v>
      </c>
      <c r="E7978" s="1" t="s">
        <v>10</v>
      </c>
      <c r="F7978" s="1" t="s">
        <v>2360</v>
      </c>
      <c r="G7978" s="1" t="s">
        <v>5308</v>
      </c>
      <c r="H7978" s="1" t="s">
        <v>27</v>
      </c>
      <c r="I7978" s="1" t="s">
        <v>5801</v>
      </c>
    </row>
    <row r="7979" spans="1:9">
      <c r="A7979" s="7" t="s">
        <v>5836</v>
      </c>
      <c r="B7979" s="1" t="s">
        <v>2629</v>
      </c>
      <c r="C7979" s="1">
        <v>6</v>
      </c>
      <c r="D7979" s="1" t="s">
        <v>58</v>
      </c>
      <c r="E7979" s="1" t="s">
        <v>10</v>
      </c>
      <c r="F7979" s="1" t="s">
        <v>2360</v>
      </c>
      <c r="G7979" s="1" t="s">
        <v>5308</v>
      </c>
      <c r="H7979" s="1" t="s">
        <v>27</v>
      </c>
      <c r="I7979" s="1" t="s">
        <v>5801</v>
      </c>
    </row>
    <row r="7980" spans="1:9">
      <c r="A7980" s="7" t="s">
        <v>5837</v>
      </c>
      <c r="B7980" s="1" t="s">
        <v>2629</v>
      </c>
      <c r="C7980" s="1">
        <v>6</v>
      </c>
      <c r="D7980" s="1" t="s">
        <v>58</v>
      </c>
      <c r="E7980" s="1" t="s">
        <v>10</v>
      </c>
      <c r="F7980" s="1" t="s">
        <v>2360</v>
      </c>
      <c r="G7980" s="1" t="s">
        <v>5308</v>
      </c>
      <c r="H7980" s="1" t="s">
        <v>27</v>
      </c>
      <c r="I7980" s="1" t="s">
        <v>5807</v>
      </c>
    </row>
    <row r="7981" spans="1:9">
      <c r="A7981" s="7" t="s">
        <v>5838</v>
      </c>
      <c r="B7981" s="1" t="s">
        <v>2629</v>
      </c>
      <c r="C7981" s="1">
        <v>6</v>
      </c>
      <c r="D7981" s="1" t="s">
        <v>58</v>
      </c>
      <c r="E7981" s="1" t="s">
        <v>10</v>
      </c>
      <c r="F7981" s="1" t="s">
        <v>2360</v>
      </c>
      <c r="G7981" s="1" t="s">
        <v>5308</v>
      </c>
      <c r="H7981" s="1" t="s">
        <v>27</v>
      </c>
      <c r="I7981" s="1" t="s">
        <v>5807</v>
      </c>
    </row>
    <row r="7982" spans="1:9">
      <c r="A7982" s="7" t="s">
        <v>5839</v>
      </c>
      <c r="B7982" s="1" t="s">
        <v>2629</v>
      </c>
      <c r="C7982" s="1">
        <v>6</v>
      </c>
      <c r="D7982" s="1" t="s">
        <v>58</v>
      </c>
      <c r="E7982" s="1" t="s">
        <v>10</v>
      </c>
      <c r="F7982" s="1" t="s">
        <v>2360</v>
      </c>
      <c r="G7982" s="1" t="s">
        <v>5308</v>
      </c>
      <c r="H7982" s="1" t="s">
        <v>27</v>
      </c>
      <c r="I7982" s="1" t="s">
        <v>5807</v>
      </c>
    </row>
    <row r="7983" spans="1:9">
      <c r="A7983" s="7" t="s">
        <v>5840</v>
      </c>
      <c r="B7983" s="1" t="s">
        <v>2629</v>
      </c>
      <c r="C7983" s="1">
        <v>6</v>
      </c>
      <c r="D7983" s="1" t="s">
        <v>58</v>
      </c>
      <c r="E7983" s="1" t="s">
        <v>10</v>
      </c>
      <c r="F7983" s="1" t="s">
        <v>2360</v>
      </c>
      <c r="G7983" s="1" t="s">
        <v>5308</v>
      </c>
      <c r="H7983" s="1" t="s">
        <v>27</v>
      </c>
      <c r="I7983" s="1" t="s">
        <v>5807</v>
      </c>
    </row>
    <row r="7984" spans="1:9">
      <c r="A7984" s="7" t="s">
        <v>5841</v>
      </c>
      <c r="B7984" s="1" t="s">
        <v>2629</v>
      </c>
      <c r="C7984" s="1">
        <v>6</v>
      </c>
      <c r="D7984" s="1" t="s">
        <v>58</v>
      </c>
      <c r="E7984" s="1" t="s">
        <v>10</v>
      </c>
      <c r="F7984" s="1" t="s">
        <v>2360</v>
      </c>
      <c r="G7984" s="1" t="s">
        <v>5308</v>
      </c>
      <c r="H7984" s="1" t="s">
        <v>27</v>
      </c>
      <c r="I7984" s="1" t="s">
        <v>5807</v>
      </c>
    </row>
    <row r="7985" spans="1:9">
      <c r="A7985" s="7" t="s">
        <v>5842</v>
      </c>
      <c r="B7985" s="1" t="s">
        <v>2629</v>
      </c>
      <c r="C7985" s="1">
        <v>6</v>
      </c>
      <c r="D7985" s="1" t="s">
        <v>58</v>
      </c>
      <c r="E7985" s="1" t="s">
        <v>10</v>
      </c>
      <c r="F7985" s="1" t="s">
        <v>2360</v>
      </c>
      <c r="G7985" s="1" t="s">
        <v>5308</v>
      </c>
      <c r="H7985" s="1" t="s">
        <v>27</v>
      </c>
      <c r="I7985" s="1" t="s">
        <v>5807</v>
      </c>
    </row>
    <row r="7986" spans="1:9">
      <c r="A7986" s="7" t="s">
        <v>5843</v>
      </c>
      <c r="B7986" s="1" t="s">
        <v>2629</v>
      </c>
      <c r="C7986" s="1">
        <v>6</v>
      </c>
      <c r="D7986" s="1" t="s">
        <v>58</v>
      </c>
      <c r="E7986" s="1" t="s">
        <v>10</v>
      </c>
      <c r="F7986" s="1" t="s">
        <v>2360</v>
      </c>
      <c r="G7986" s="1" t="s">
        <v>5308</v>
      </c>
      <c r="H7986" s="1" t="s">
        <v>27</v>
      </c>
      <c r="I7986" s="1" t="s">
        <v>5807</v>
      </c>
    </row>
    <row r="7987" spans="1:9">
      <c r="A7987" s="7" t="s">
        <v>5844</v>
      </c>
      <c r="B7987" s="1" t="s">
        <v>2629</v>
      </c>
      <c r="C7987" s="1">
        <v>6</v>
      </c>
      <c r="D7987" s="1" t="s">
        <v>58</v>
      </c>
      <c r="E7987" s="1" t="s">
        <v>10</v>
      </c>
      <c r="F7987" s="1" t="s">
        <v>2360</v>
      </c>
      <c r="G7987" s="1" t="s">
        <v>5308</v>
      </c>
      <c r="H7987" s="1" t="s">
        <v>27</v>
      </c>
      <c r="I7987" s="1" t="s">
        <v>5807</v>
      </c>
    </row>
    <row r="7988" spans="1:9">
      <c r="A7988" s="7" t="s">
        <v>5845</v>
      </c>
      <c r="B7988" s="1" t="s">
        <v>2629</v>
      </c>
      <c r="C7988" s="1">
        <v>6</v>
      </c>
      <c r="D7988" s="1" t="s">
        <v>58</v>
      </c>
      <c r="E7988" s="1" t="s">
        <v>10</v>
      </c>
      <c r="F7988" s="1" t="s">
        <v>2360</v>
      </c>
      <c r="G7988" s="1" t="s">
        <v>5308</v>
      </c>
      <c r="H7988" s="1" t="s">
        <v>27</v>
      </c>
      <c r="I7988" s="1" t="s">
        <v>5807</v>
      </c>
    </row>
    <row r="7989" spans="1:9">
      <c r="A7989" s="7" t="s">
        <v>5847</v>
      </c>
      <c r="B7989" s="1" t="s">
        <v>2629</v>
      </c>
      <c r="C7989" s="1">
        <v>6</v>
      </c>
      <c r="D7989" s="1" t="s">
        <v>58</v>
      </c>
      <c r="E7989" s="1" t="s">
        <v>10</v>
      </c>
      <c r="F7989" s="1" t="s">
        <v>2360</v>
      </c>
      <c r="G7989" s="1" t="s">
        <v>5308</v>
      </c>
      <c r="H7989" s="1" t="s">
        <v>27</v>
      </c>
      <c r="I7989" s="1" t="s">
        <v>5848</v>
      </c>
    </row>
    <row r="7990" spans="1:9">
      <c r="A7990" s="7" t="s">
        <v>5849</v>
      </c>
      <c r="B7990" s="1" t="s">
        <v>2629</v>
      </c>
      <c r="C7990" s="1">
        <v>6</v>
      </c>
      <c r="D7990" s="1" t="s">
        <v>58</v>
      </c>
      <c r="E7990" s="1" t="s">
        <v>10</v>
      </c>
      <c r="F7990" s="1" t="s">
        <v>2360</v>
      </c>
      <c r="G7990" s="1" t="s">
        <v>5308</v>
      </c>
      <c r="H7990" s="1" t="s">
        <v>27</v>
      </c>
      <c r="I7990" s="1" t="s">
        <v>5848</v>
      </c>
    </row>
    <row r="7991" spans="1:9">
      <c r="A7991" s="7" t="s">
        <v>6107</v>
      </c>
      <c r="B7991" s="1" t="s">
        <v>2629</v>
      </c>
      <c r="C7991" s="1">
        <v>6</v>
      </c>
      <c r="D7991" s="1" t="s">
        <v>58</v>
      </c>
      <c r="E7991" s="1" t="s">
        <v>10</v>
      </c>
      <c r="F7991" s="1" t="s">
        <v>2699</v>
      </c>
      <c r="G7991" s="1" t="s">
        <v>6108</v>
      </c>
      <c r="H7991" s="1" t="s">
        <v>27</v>
      </c>
      <c r="I7991" s="17">
        <v>38718</v>
      </c>
    </row>
    <row r="7992" spans="1:9">
      <c r="A7992" s="7" t="s">
        <v>6109</v>
      </c>
      <c r="B7992" s="1" t="s">
        <v>2629</v>
      </c>
      <c r="C7992" s="1">
        <v>6</v>
      </c>
      <c r="D7992" s="1" t="s">
        <v>58</v>
      </c>
      <c r="E7992" s="1" t="s">
        <v>10</v>
      </c>
      <c r="F7992" s="1" t="s">
        <v>2699</v>
      </c>
      <c r="G7992" s="1" t="s">
        <v>6110</v>
      </c>
      <c r="H7992" s="1" t="s">
        <v>27</v>
      </c>
      <c r="I7992" s="17">
        <v>38718</v>
      </c>
    </row>
    <row r="7993" spans="1:9">
      <c r="A7993" s="7" t="s">
        <v>6115</v>
      </c>
      <c r="B7993" s="1" t="s">
        <v>2629</v>
      </c>
      <c r="C7993" s="1">
        <v>6</v>
      </c>
      <c r="D7993" s="1" t="s">
        <v>58</v>
      </c>
      <c r="E7993" s="1" t="s">
        <v>10</v>
      </c>
      <c r="F7993" s="1" t="s">
        <v>2699</v>
      </c>
      <c r="G7993" s="1" t="s">
        <v>6108</v>
      </c>
      <c r="H7993" s="1" t="s">
        <v>27</v>
      </c>
      <c r="I7993" s="17">
        <v>38718</v>
      </c>
    </row>
    <row r="7994" spans="1:9">
      <c r="A7994" s="7" t="s">
        <v>6116</v>
      </c>
      <c r="B7994" s="1" t="s">
        <v>2629</v>
      </c>
      <c r="C7994" s="1">
        <v>6</v>
      </c>
      <c r="D7994" s="1" t="s">
        <v>58</v>
      </c>
      <c r="E7994" s="1" t="s">
        <v>10</v>
      </c>
      <c r="F7994" s="1" t="s">
        <v>2699</v>
      </c>
      <c r="G7994" s="1" t="s">
        <v>6110</v>
      </c>
      <c r="H7994" s="1" t="s">
        <v>27</v>
      </c>
      <c r="I7994" s="17">
        <v>38718</v>
      </c>
    </row>
    <row r="7995" spans="1:9">
      <c r="A7995" s="7" t="s">
        <v>6117</v>
      </c>
      <c r="B7995" s="1" t="s">
        <v>2629</v>
      </c>
      <c r="C7995" s="1">
        <v>6</v>
      </c>
      <c r="D7995" s="1" t="s">
        <v>58</v>
      </c>
      <c r="E7995" s="1" t="s">
        <v>10</v>
      </c>
      <c r="F7995" s="1" t="s">
        <v>2699</v>
      </c>
      <c r="G7995" s="1" t="s">
        <v>6108</v>
      </c>
      <c r="H7995" s="1" t="s">
        <v>27</v>
      </c>
      <c r="I7995" s="17">
        <v>38718</v>
      </c>
    </row>
    <row r="7996" spans="1:9">
      <c r="A7996" s="7" t="s">
        <v>6118</v>
      </c>
      <c r="B7996" s="1" t="s">
        <v>2629</v>
      </c>
      <c r="C7996" s="1">
        <v>6</v>
      </c>
      <c r="D7996" s="1" t="s">
        <v>58</v>
      </c>
      <c r="E7996" s="1" t="s">
        <v>10</v>
      </c>
      <c r="F7996" s="1" t="s">
        <v>2699</v>
      </c>
      <c r="G7996" s="1" t="s">
        <v>6110</v>
      </c>
      <c r="H7996" s="1" t="s">
        <v>27</v>
      </c>
      <c r="I7996" s="17">
        <v>38718</v>
      </c>
    </row>
    <row r="7997" spans="1:9">
      <c r="A7997" s="7" t="s">
        <v>6124</v>
      </c>
      <c r="B7997" s="1" t="s">
        <v>2629</v>
      </c>
      <c r="C7997" s="1">
        <v>6</v>
      </c>
      <c r="D7997" s="1" t="s">
        <v>58</v>
      </c>
      <c r="E7997" s="1" t="s">
        <v>10</v>
      </c>
      <c r="F7997" s="1" t="s">
        <v>2699</v>
      </c>
      <c r="G7997" s="1" t="s">
        <v>6108</v>
      </c>
      <c r="H7997" s="1" t="s">
        <v>27</v>
      </c>
      <c r="I7997" s="17">
        <v>38718</v>
      </c>
    </row>
    <row r="7998" spans="1:9">
      <c r="A7998" s="7" t="s">
        <v>4986</v>
      </c>
      <c r="B7998" s="1" t="s">
        <v>2629</v>
      </c>
      <c r="C7998" s="1">
        <v>6</v>
      </c>
      <c r="D7998" s="1" t="s">
        <v>58</v>
      </c>
      <c r="E7998" s="1" t="s">
        <v>10</v>
      </c>
      <c r="F7998" s="1" t="s">
        <v>118</v>
      </c>
      <c r="G7998" s="1" t="s">
        <v>4458</v>
      </c>
      <c r="H7998" s="1" t="s">
        <v>118</v>
      </c>
      <c r="I7998" s="1" t="s">
        <v>4792</v>
      </c>
    </row>
    <row r="7999" spans="1:9">
      <c r="A7999" s="7" t="s">
        <v>4988</v>
      </c>
      <c r="B7999" s="1" t="s">
        <v>2629</v>
      </c>
      <c r="C7999" s="1">
        <v>6</v>
      </c>
      <c r="D7999" s="1" t="s">
        <v>58</v>
      </c>
      <c r="E7999" s="1" t="s">
        <v>10</v>
      </c>
      <c r="F7999" s="1" t="s">
        <v>118</v>
      </c>
      <c r="G7999" s="1" t="s">
        <v>4458</v>
      </c>
      <c r="H7999" s="1" t="s">
        <v>118</v>
      </c>
      <c r="I7999" s="1" t="s">
        <v>4792</v>
      </c>
    </row>
    <row r="8000" spans="1:9">
      <c r="A8000" s="7" t="s">
        <v>5030</v>
      </c>
      <c r="B8000" s="1" t="s">
        <v>2629</v>
      </c>
      <c r="C8000" s="1">
        <v>6</v>
      </c>
      <c r="D8000" s="1" t="s">
        <v>58</v>
      </c>
      <c r="E8000" s="1" t="s">
        <v>10</v>
      </c>
      <c r="F8000" s="1" t="s">
        <v>118</v>
      </c>
      <c r="G8000" s="1" t="s">
        <v>4458</v>
      </c>
      <c r="H8000" s="1" t="s">
        <v>118</v>
      </c>
      <c r="I8000" s="1" t="s">
        <v>4792</v>
      </c>
    </row>
    <row r="8001" spans="1:10">
      <c r="A8001" s="7" t="s">
        <v>6125</v>
      </c>
      <c r="B8001" s="1" t="s">
        <v>2629</v>
      </c>
      <c r="C8001" s="1">
        <v>6</v>
      </c>
      <c r="D8001" s="1" t="s">
        <v>58</v>
      </c>
      <c r="E8001" s="1" t="s">
        <v>10</v>
      </c>
      <c r="F8001" s="1" t="s">
        <v>2699</v>
      </c>
      <c r="G8001" s="1" t="s">
        <v>6110</v>
      </c>
      <c r="H8001" s="1" t="s">
        <v>27</v>
      </c>
      <c r="I8001" s="17">
        <v>38718</v>
      </c>
    </row>
    <row r="8002" spans="1:10">
      <c r="A8002" s="7" t="s">
        <v>6127</v>
      </c>
      <c r="B8002" s="1" t="s">
        <v>2629</v>
      </c>
      <c r="C8002" s="1">
        <v>6</v>
      </c>
      <c r="D8002" s="1" t="s">
        <v>58</v>
      </c>
      <c r="E8002" s="1" t="s">
        <v>10</v>
      </c>
      <c r="F8002" s="1" t="s">
        <v>2699</v>
      </c>
      <c r="G8002" s="1" t="s">
        <v>6108</v>
      </c>
      <c r="H8002" s="1" t="s">
        <v>27</v>
      </c>
      <c r="I8002" s="17">
        <v>38718</v>
      </c>
    </row>
    <row r="8003" spans="1:10">
      <c r="A8003" s="7" t="s">
        <v>6128</v>
      </c>
      <c r="B8003" s="1" t="s">
        <v>2629</v>
      </c>
      <c r="C8003" s="1">
        <v>6</v>
      </c>
      <c r="D8003" s="1" t="s">
        <v>58</v>
      </c>
      <c r="E8003" s="1" t="s">
        <v>10</v>
      </c>
      <c r="F8003" s="1" t="s">
        <v>2699</v>
      </c>
      <c r="G8003" s="1" t="s">
        <v>6110</v>
      </c>
      <c r="H8003" s="1" t="s">
        <v>27</v>
      </c>
      <c r="I8003" s="17">
        <v>38718</v>
      </c>
    </row>
    <row r="8004" spans="1:10">
      <c r="A8004" s="7" t="s">
        <v>6129</v>
      </c>
      <c r="B8004" s="1" t="s">
        <v>2629</v>
      </c>
      <c r="C8004" s="1">
        <v>6</v>
      </c>
      <c r="D8004" s="1" t="s">
        <v>58</v>
      </c>
      <c r="E8004" s="1" t="s">
        <v>10</v>
      </c>
      <c r="F8004" s="1" t="s">
        <v>2699</v>
      </c>
      <c r="G8004" s="1" t="s">
        <v>6108</v>
      </c>
      <c r="H8004" s="1" t="s">
        <v>27</v>
      </c>
      <c r="I8004" s="17">
        <v>38718</v>
      </c>
    </row>
    <row r="8005" spans="1:10">
      <c r="A8005" s="7" t="s">
        <v>6130</v>
      </c>
      <c r="B8005" s="1" t="s">
        <v>2629</v>
      </c>
      <c r="C8005" s="1">
        <v>6</v>
      </c>
      <c r="D8005" s="1" t="s">
        <v>58</v>
      </c>
      <c r="E8005" s="1" t="s">
        <v>10</v>
      </c>
      <c r="F8005" s="1" t="s">
        <v>2699</v>
      </c>
      <c r="G8005" s="1" t="s">
        <v>6110</v>
      </c>
      <c r="H8005" s="1" t="s">
        <v>27</v>
      </c>
      <c r="I8005" s="17">
        <v>38718</v>
      </c>
    </row>
    <row r="8006" spans="1:10" s="11" customFormat="1">
      <c r="A8006" s="7" t="s">
        <v>6131</v>
      </c>
      <c r="B8006" s="1" t="s">
        <v>2629</v>
      </c>
      <c r="C8006" s="1">
        <v>6</v>
      </c>
      <c r="D8006" s="1" t="s">
        <v>58</v>
      </c>
      <c r="E8006" s="1" t="s">
        <v>10</v>
      </c>
      <c r="F8006" s="1" t="s">
        <v>2699</v>
      </c>
      <c r="G8006" s="1" t="s">
        <v>6108</v>
      </c>
      <c r="H8006" s="1" t="s">
        <v>27</v>
      </c>
      <c r="I8006" s="17">
        <v>38718</v>
      </c>
      <c r="J8006"/>
    </row>
    <row r="8007" spans="1:10" s="11" customFormat="1">
      <c r="A8007" s="7" t="s">
        <v>6132</v>
      </c>
      <c r="B8007" s="1" t="s">
        <v>2629</v>
      </c>
      <c r="C8007" s="1">
        <v>6</v>
      </c>
      <c r="D8007" s="1" t="s">
        <v>58</v>
      </c>
      <c r="E8007" s="1" t="s">
        <v>10</v>
      </c>
      <c r="F8007" s="1" t="s">
        <v>2699</v>
      </c>
      <c r="G8007" s="1" t="s">
        <v>6110</v>
      </c>
      <c r="H8007" s="1" t="s">
        <v>27</v>
      </c>
      <c r="I8007" s="17">
        <v>38718</v>
      </c>
      <c r="J8007"/>
    </row>
    <row r="8008" spans="1:10">
      <c r="A8008" s="7" t="s">
        <v>6595</v>
      </c>
      <c r="B8008" s="1" t="s">
        <v>2629</v>
      </c>
      <c r="C8008" s="1">
        <v>6</v>
      </c>
      <c r="D8008" s="1" t="s">
        <v>58</v>
      </c>
      <c r="E8008" s="1" t="s">
        <v>10</v>
      </c>
      <c r="F8008" s="1" t="s">
        <v>5241</v>
      </c>
      <c r="G8008" s="1" t="s">
        <v>4800</v>
      </c>
      <c r="H8008" s="1" t="s">
        <v>27</v>
      </c>
      <c r="I8008" s="1" t="s">
        <v>5807</v>
      </c>
    </row>
    <row r="8009" spans="1:10">
      <c r="A8009" s="7" t="s">
        <v>6760</v>
      </c>
      <c r="B8009" s="1" t="s">
        <v>2629</v>
      </c>
      <c r="C8009" s="1">
        <v>6</v>
      </c>
      <c r="D8009" s="1" t="s">
        <v>58</v>
      </c>
      <c r="E8009" s="1" t="s">
        <v>10</v>
      </c>
      <c r="F8009" s="1" t="s">
        <v>5241</v>
      </c>
      <c r="G8009" s="1" t="s">
        <v>4800</v>
      </c>
      <c r="H8009" s="1" t="s">
        <v>27</v>
      </c>
      <c r="I8009" s="1" t="s">
        <v>5855</v>
      </c>
    </row>
    <row r="8010" spans="1:10">
      <c r="A8010" s="7" t="s">
        <v>6761</v>
      </c>
      <c r="B8010" s="1" t="s">
        <v>2629</v>
      </c>
      <c r="C8010" s="1">
        <v>6</v>
      </c>
      <c r="D8010" s="1" t="s">
        <v>58</v>
      </c>
      <c r="E8010" s="1" t="s">
        <v>10</v>
      </c>
      <c r="F8010" s="1" t="s">
        <v>5241</v>
      </c>
      <c r="G8010" s="1" t="s">
        <v>4800</v>
      </c>
      <c r="H8010" s="1" t="s">
        <v>27</v>
      </c>
      <c r="I8010" s="1" t="s">
        <v>5855</v>
      </c>
    </row>
    <row r="8011" spans="1:10">
      <c r="A8011" s="7" t="s">
        <v>6768</v>
      </c>
      <c r="B8011" s="1" t="s">
        <v>2629</v>
      </c>
      <c r="C8011" s="1">
        <v>6</v>
      </c>
      <c r="D8011" s="1" t="s">
        <v>58</v>
      </c>
      <c r="E8011" s="1" t="s">
        <v>10</v>
      </c>
      <c r="F8011" s="1" t="s">
        <v>5241</v>
      </c>
      <c r="G8011" s="1" t="s">
        <v>4800</v>
      </c>
      <c r="H8011" s="1" t="s">
        <v>27</v>
      </c>
      <c r="I8011" s="1" t="s">
        <v>5855</v>
      </c>
    </row>
    <row r="8012" spans="1:10">
      <c r="A8012" s="7" t="s">
        <v>6859</v>
      </c>
      <c r="B8012" s="1" t="s">
        <v>2629</v>
      </c>
      <c r="C8012" s="1">
        <v>6</v>
      </c>
      <c r="D8012" s="1" t="s">
        <v>58</v>
      </c>
      <c r="E8012" s="1" t="s">
        <v>10</v>
      </c>
      <c r="F8012" s="1" t="s">
        <v>5241</v>
      </c>
      <c r="G8012" s="1" t="s">
        <v>4800</v>
      </c>
      <c r="H8012" s="1" t="s">
        <v>27</v>
      </c>
      <c r="I8012" s="1" t="s">
        <v>5855</v>
      </c>
    </row>
    <row r="8013" spans="1:10">
      <c r="A8013" s="7" t="s">
        <v>6864</v>
      </c>
      <c r="B8013" s="1" t="s">
        <v>2629</v>
      </c>
      <c r="C8013" s="1">
        <v>6</v>
      </c>
      <c r="D8013" s="1" t="s">
        <v>58</v>
      </c>
      <c r="E8013" s="1" t="s">
        <v>10</v>
      </c>
      <c r="F8013" s="1" t="s">
        <v>5241</v>
      </c>
      <c r="G8013" s="1" t="s">
        <v>4800</v>
      </c>
      <c r="H8013" s="1" t="s">
        <v>27</v>
      </c>
      <c r="I8013" s="1" t="s">
        <v>5855</v>
      </c>
    </row>
    <row r="8014" spans="1:10">
      <c r="A8014" s="7" t="s">
        <v>6892</v>
      </c>
      <c r="B8014" s="1" t="s">
        <v>2629</v>
      </c>
      <c r="C8014" s="1">
        <v>6</v>
      </c>
      <c r="D8014" s="1" t="s">
        <v>58</v>
      </c>
      <c r="E8014" s="1" t="s">
        <v>10</v>
      </c>
      <c r="F8014" s="1" t="s">
        <v>5241</v>
      </c>
      <c r="G8014" s="1" t="s">
        <v>4800</v>
      </c>
      <c r="H8014" s="1" t="s">
        <v>27</v>
      </c>
      <c r="I8014" s="1" t="s">
        <v>5722</v>
      </c>
    </row>
    <row r="8015" spans="1:10">
      <c r="A8015" s="7" t="s">
        <v>6922</v>
      </c>
      <c r="B8015" s="1" t="s">
        <v>2629</v>
      </c>
      <c r="C8015" s="1">
        <v>6</v>
      </c>
      <c r="D8015" s="1" t="s">
        <v>58</v>
      </c>
      <c r="E8015" s="1" t="s">
        <v>10</v>
      </c>
      <c r="F8015" s="1" t="s">
        <v>5241</v>
      </c>
      <c r="G8015" s="1" t="s">
        <v>4800</v>
      </c>
      <c r="H8015" s="1" t="s">
        <v>27</v>
      </c>
      <c r="I8015" s="1" t="s">
        <v>5722</v>
      </c>
    </row>
    <row r="8016" spans="1:10">
      <c r="A8016" s="7" t="s">
        <v>7522</v>
      </c>
      <c r="B8016" s="1" t="s">
        <v>2629</v>
      </c>
      <c r="C8016" s="1">
        <v>6</v>
      </c>
      <c r="D8016" s="1" t="s">
        <v>58</v>
      </c>
      <c r="E8016" s="1" t="s">
        <v>10</v>
      </c>
      <c r="F8016" s="1" t="s">
        <v>5241</v>
      </c>
      <c r="G8016" s="1" t="s">
        <v>4800</v>
      </c>
      <c r="H8016" s="1" t="s">
        <v>27</v>
      </c>
      <c r="I8016" s="1" t="s">
        <v>6090</v>
      </c>
    </row>
    <row r="8017" spans="1:9">
      <c r="A8017" s="7" t="s">
        <v>7562</v>
      </c>
      <c r="B8017" s="1" t="s">
        <v>2629</v>
      </c>
      <c r="C8017" s="1">
        <v>6</v>
      </c>
      <c r="D8017" s="1" t="s">
        <v>58</v>
      </c>
      <c r="E8017" s="1" t="s">
        <v>10</v>
      </c>
      <c r="F8017" s="1" t="s">
        <v>5241</v>
      </c>
      <c r="G8017" s="1" t="s">
        <v>4800</v>
      </c>
      <c r="H8017" s="1" t="s">
        <v>27</v>
      </c>
      <c r="I8017" s="1">
        <v>2020</v>
      </c>
    </row>
    <row r="8018" spans="1:9">
      <c r="A8018" s="7" t="s">
        <v>7661</v>
      </c>
      <c r="B8018" s="1" t="s">
        <v>2629</v>
      </c>
      <c r="C8018" s="1">
        <v>6</v>
      </c>
      <c r="D8018" s="1" t="s">
        <v>58</v>
      </c>
      <c r="E8018" s="1" t="s">
        <v>10</v>
      </c>
      <c r="F8018" s="1" t="s">
        <v>5241</v>
      </c>
      <c r="G8018" s="1" t="s">
        <v>4800</v>
      </c>
      <c r="H8018" s="1" t="s">
        <v>27</v>
      </c>
      <c r="I8018" s="1" t="s">
        <v>6090</v>
      </c>
    </row>
    <row r="8019" spans="1:9">
      <c r="A8019" s="7" t="s">
        <v>7662</v>
      </c>
      <c r="B8019" s="1" t="s">
        <v>2629</v>
      </c>
      <c r="C8019" s="1">
        <v>6</v>
      </c>
      <c r="D8019" s="1" t="s">
        <v>58</v>
      </c>
      <c r="E8019" s="1" t="s">
        <v>10</v>
      </c>
      <c r="F8019" s="1" t="s">
        <v>5241</v>
      </c>
      <c r="G8019" s="1" t="s">
        <v>4800</v>
      </c>
      <c r="H8019" s="1" t="s">
        <v>27</v>
      </c>
      <c r="I8019" s="1" t="s">
        <v>6090</v>
      </c>
    </row>
    <row r="8020" spans="1:9">
      <c r="A8020" s="7" t="s">
        <v>7824</v>
      </c>
      <c r="B8020" s="1" t="s">
        <v>2629</v>
      </c>
      <c r="C8020" s="1">
        <v>6</v>
      </c>
      <c r="D8020" s="1" t="s">
        <v>58</v>
      </c>
      <c r="E8020" s="1" t="s">
        <v>10</v>
      </c>
      <c r="F8020" s="1" t="s">
        <v>5241</v>
      </c>
      <c r="G8020" s="1" t="s">
        <v>4800</v>
      </c>
      <c r="H8020" s="1" t="s">
        <v>27</v>
      </c>
      <c r="I8020" s="1" t="s">
        <v>6090</v>
      </c>
    </row>
    <row r="8021" spans="1:9">
      <c r="A8021" s="7" t="s">
        <v>8015</v>
      </c>
      <c r="B8021" s="1" t="s">
        <v>2629</v>
      </c>
      <c r="C8021" s="1">
        <v>6</v>
      </c>
      <c r="D8021" s="1" t="s">
        <v>58</v>
      </c>
      <c r="E8021" s="1" t="s">
        <v>10</v>
      </c>
      <c r="F8021" s="1" t="s">
        <v>5241</v>
      </c>
      <c r="G8021" s="1" t="s">
        <v>4800</v>
      </c>
      <c r="H8021" s="1" t="s">
        <v>27</v>
      </c>
      <c r="I8021" s="1">
        <v>2009</v>
      </c>
    </row>
    <row r="8022" spans="1:9">
      <c r="A8022" s="7" t="s">
        <v>8018</v>
      </c>
      <c r="B8022" s="1" t="s">
        <v>2629</v>
      </c>
      <c r="C8022" s="1">
        <v>6</v>
      </c>
      <c r="D8022" s="1" t="s">
        <v>58</v>
      </c>
      <c r="E8022" s="1" t="s">
        <v>10</v>
      </c>
      <c r="F8022" s="1" t="s">
        <v>5241</v>
      </c>
      <c r="G8022" s="1" t="s">
        <v>4800</v>
      </c>
      <c r="H8022" s="1" t="s">
        <v>27</v>
      </c>
      <c r="I8022" s="1">
        <v>2009</v>
      </c>
    </row>
    <row r="8023" spans="1:9">
      <c r="A8023" s="7" t="s">
        <v>8019</v>
      </c>
      <c r="B8023" s="1" t="s">
        <v>2629</v>
      </c>
      <c r="C8023" s="1">
        <v>6</v>
      </c>
      <c r="D8023" s="1" t="s">
        <v>58</v>
      </c>
      <c r="E8023" s="1" t="s">
        <v>10</v>
      </c>
      <c r="F8023" s="1" t="s">
        <v>5241</v>
      </c>
      <c r="G8023" s="1" t="s">
        <v>4800</v>
      </c>
      <c r="H8023" s="1" t="s">
        <v>27</v>
      </c>
      <c r="I8023" s="1">
        <v>2009</v>
      </c>
    </row>
    <row r="8024" spans="1:9">
      <c r="A8024" s="7" t="s">
        <v>8020</v>
      </c>
      <c r="B8024" s="1" t="s">
        <v>2629</v>
      </c>
      <c r="C8024" s="1">
        <v>6</v>
      </c>
      <c r="D8024" s="1" t="s">
        <v>58</v>
      </c>
      <c r="E8024" s="1" t="s">
        <v>10</v>
      </c>
      <c r="F8024" s="1" t="s">
        <v>5241</v>
      </c>
      <c r="G8024" s="1" t="s">
        <v>4800</v>
      </c>
      <c r="H8024" s="1" t="s">
        <v>27</v>
      </c>
      <c r="I8024" s="1">
        <v>2009</v>
      </c>
    </row>
    <row r="8025" spans="1:9">
      <c r="A8025" s="7" t="s">
        <v>8021</v>
      </c>
      <c r="B8025" s="1" t="s">
        <v>2629</v>
      </c>
      <c r="C8025" s="1">
        <v>6</v>
      </c>
      <c r="D8025" s="1" t="s">
        <v>58</v>
      </c>
      <c r="E8025" s="1" t="s">
        <v>10</v>
      </c>
      <c r="F8025" s="1" t="s">
        <v>5241</v>
      </c>
      <c r="G8025" s="1" t="s">
        <v>4800</v>
      </c>
      <c r="H8025" s="1" t="s">
        <v>27</v>
      </c>
      <c r="I8025" s="1">
        <v>2009</v>
      </c>
    </row>
    <row r="8026" spans="1:9">
      <c r="A8026" s="7" t="s">
        <v>8023</v>
      </c>
      <c r="B8026" s="1" t="s">
        <v>2629</v>
      </c>
      <c r="C8026" s="1">
        <v>6</v>
      </c>
      <c r="D8026" s="1" t="s">
        <v>58</v>
      </c>
      <c r="E8026" s="1" t="s">
        <v>10</v>
      </c>
      <c r="F8026" s="1" t="s">
        <v>5241</v>
      </c>
      <c r="G8026" s="1" t="s">
        <v>4800</v>
      </c>
      <c r="H8026" s="1" t="s">
        <v>27</v>
      </c>
      <c r="I8026" s="1">
        <v>2009</v>
      </c>
    </row>
    <row r="8027" spans="1:9">
      <c r="A8027" s="7" t="s">
        <v>8041</v>
      </c>
      <c r="B8027" s="1" t="s">
        <v>2629</v>
      </c>
      <c r="C8027" s="1">
        <v>6</v>
      </c>
      <c r="D8027" s="1" t="s">
        <v>58</v>
      </c>
      <c r="E8027" s="1" t="s">
        <v>10</v>
      </c>
      <c r="F8027" s="1" t="s">
        <v>5241</v>
      </c>
      <c r="G8027" s="1" t="s">
        <v>4800</v>
      </c>
      <c r="H8027" s="1" t="s">
        <v>27</v>
      </c>
      <c r="I8027" s="1" t="s">
        <v>6844</v>
      </c>
    </row>
    <row r="8028" spans="1:9">
      <c r="A8028" s="7" t="s">
        <v>8043</v>
      </c>
      <c r="B8028" s="1" t="s">
        <v>2629</v>
      </c>
      <c r="C8028" s="1">
        <v>6</v>
      </c>
      <c r="D8028" s="1" t="s">
        <v>58</v>
      </c>
      <c r="E8028" s="1" t="s">
        <v>10</v>
      </c>
      <c r="F8028" s="1" t="s">
        <v>5241</v>
      </c>
      <c r="G8028" s="1" t="s">
        <v>4800</v>
      </c>
      <c r="H8028" s="1" t="s">
        <v>27</v>
      </c>
      <c r="I8028" s="1">
        <v>2008</v>
      </c>
    </row>
    <row r="8029" spans="1:9">
      <c r="A8029" s="7" t="s">
        <v>8046</v>
      </c>
      <c r="B8029" s="1" t="s">
        <v>2629</v>
      </c>
      <c r="C8029" s="1">
        <v>6</v>
      </c>
      <c r="D8029" s="1" t="s">
        <v>58</v>
      </c>
      <c r="E8029" s="1" t="s">
        <v>10</v>
      </c>
      <c r="F8029" s="1" t="s">
        <v>5241</v>
      </c>
      <c r="G8029" s="1" t="s">
        <v>4800</v>
      </c>
      <c r="H8029" s="1" t="s">
        <v>27</v>
      </c>
      <c r="I8029" s="1">
        <v>2007</v>
      </c>
    </row>
    <row r="8030" spans="1:9">
      <c r="A8030" s="7" t="s">
        <v>10721</v>
      </c>
      <c r="B8030" s="1" t="s">
        <v>2629</v>
      </c>
      <c r="C8030" s="1">
        <v>6</v>
      </c>
      <c r="D8030" s="1" t="s">
        <v>58</v>
      </c>
      <c r="E8030" s="1" t="s">
        <v>10</v>
      </c>
      <c r="F8030" s="1" t="s">
        <v>2698</v>
      </c>
      <c r="G8030" s="1" t="s">
        <v>4800</v>
      </c>
      <c r="H8030" s="1" t="s">
        <v>27</v>
      </c>
      <c r="I8030" s="17">
        <v>42005</v>
      </c>
    </row>
    <row r="8031" spans="1:9">
      <c r="A8031" s="7" t="s">
        <v>11079</v>
      </c>
      <c r="B8031" s="1" t="s">
        <v>2629</v>
      </c>
      <c r="C8031" s="1">
        <v>6</v>
      </c>
      <c r="D8031" s="1" t="s">
        <v>58</v>
      </c>
      <c r="E8031" s="1" t="s">
        <v>10</v>
      </c>
      <c r="F8031" s="1" t="s">
        <v>5091</v>
      </c>
      <c r="G8031" s="1" t="s">
        <v>11080</v>
      </c>
      <c r="H8031" s="1" t="s">
        <v>27</v>
      </c>
      <c r="I8031" s="17">
        <v>41944</v>
      </c>
    </row>
    <row r="8032" spans="1:9">
      <c r="A8032" s="7" t="s">
        <v>11451</v>
      </c>
      <c r="B8032" s="1" t="s">
        <v>2629</v>
      </c>
      <c r="C8032" s="1">
        <v>6</v>
      </c>
      <c r="D8032" s="1" t="s">
        <v>58</v>
      </c>
      <c r="E8032" s="1" t="s">
        <v>10</v>
      </c>
      <c r="F8032" s="1" t="s">
        <v>5241</v>
      </c>
      <c r="G8032" s="1" t="s">
        <v>4800</v>
      </c>
      <c r="H8032" s="1" t="s">
        <v>27</v>
      </c>
      <c r="I8032" s="17">
        <v>41456</v>
      </c>
    </row>
    <row r="8033" spans="1:9">
      <c r="A8033" s="7" t="s">
        <v>11460</v>
      </c>
      <c r="B8033" s="1" t="s">
        <v>2629</v>
      </c>
      <c r="C8033" s="1">
        <v>6</v>
      </c>
      <c r="D8033" s="1" t="s">
        <v>58</v>
      </c>
      <c r="E8033" s="1" t="s">
        <v>10</v>
      </c>
      <c r="F8033" s="1" t="s">
        <v>5241</v>
      </c>
      <c r="G8033" s="1" t="s">
        <v>4800</v>
      </c>
      <c r="H8033" s="1" t="s">
        <v>27</v>
      </c>
      <c r="I8033" s="17">
        <v>41275</v>
      </c>
    </row>
    <row r="8034" spans="1:9">
      <c r="A8034" s="7" t="s">
        <v>11462</v>
      </c>
      <c r="B8034" s="1" t="s">
        <v>2629</v>
      </c>
      <c r="C8034" s="1">
        <v>6</v>
      </c>
      <c r="D8034" s="1" t="s">
        <v>58</v>
      </c>
      <c r="E8034" s="1" t="s">
        <v>10</v>
      </c>
      <c r="F8034" s="1" t="s">
        <v>5241</v>
      </c>
      <c r="G8034" s="1" t="s">
        <v>4800</v>
      </c>
      <c r="H8034" s="1" t="s">
        <v>27</v>
      </c>
      <c r="I8034" s="17">
        <v>41640</v>
      </c>
    </row>
    <row r="8035" spans="1:9">
      <c r="A8035" s="7" t="s">
        <v>11464</v>
      </c>
      <c r="B8035" s="1" t="s">
        <v>2629</v>
      </c>
      <c r="C8035" s="1">
        <v>6</v>
      </c>
      <c r="D8035" s="1" t="s">
        <v>58</v>
      </c>
      <c r="E8035" s="1" t="s">
        <v>10</v>
      </c>
      <c r="F8035" s="1" t="s">
        <v>5241</v>
      </c>
      <c r="G8035" s="1" t="s">
        <v>4800</v>
      </c>
      <c r="H8035" s="1" t="s">
        <v>27</v>
      </c>
      <c r="I8035" s="17">
        <v>41671</v>
      </c>
    </row>
    <row r="8036" spans="1:9">
      <c r="A8036" s="7" t="s">
        <v>11474</v>
      </c>
      <c r="B8036" s="1" t="s">
        <v>2629</v>
      </c>
      <c r="C8036" s="1">
        <v>6</v>
      </c>
      <c r="D8036" s="1" t="s">
        <v>58</v>
      </c>
      <c r="E8036" s="1" t="s">
        <v>10</v>
      </c>
      <c r="F8036" s="1" t="s">
        <v>5241</v>
      </c>
      <c r="G8036" s="1" t="s">
        <v>4800</v>
      </c>
      <c r="H8036" s="1" t="s">
        <v>27</v>
      </c>
      <c r="I8036" s="17">
        <v>41548</v>
      </c>
    </row>
    <row r="8037" spans="1:9">
      <c r="A8037" s="7" t="s">
        <v>11509</v>
      </c>
      <c r="B8037" s="1" t="s">
        <v>2629</v>
      </c>
      <c r="C8037" s="1">
        <v>6</v>
      </c>
      <c r="D8037" s="1" t="s">
        <v>58</v>
      </c>
      <c r="E8037" s="1" t="s">
        <v>10</v>
      </c>
      <c r="F8037" s="1" t="s">
        <v>5241</v>
      </c>
      <c r="G8037" s="1" t="s">
        <v>4800</v>
      </c>
      <c r="H8037" s="1" t="s">
        <v>27</v>
      </c>
      <c r="I8037" s="17">
        <v>39873</v>
      </c>
    </row>
    <row r="8038" spans="1:9">
      <c r="A8038" s="7" t="s">
        <v>11510</v>
      </c>
      <c r="B8038" s="1" t="s">
        <v>2629</v>
      </c>
      <c r="C8038" s="1">
        <v>6</v>
      </c>
      <c r="D8038" s="1" t="s">
        <v>58</v>
      </c>
      <c r="E8038" s="1" t="s">
        <v>10</v>
      </c>
      <c r="F8038" s="1" t="s">
        <v>5241</v>
      </c>
      <c r="G8038" s="1" t="s">
        <v>4800</v>
      </c>
      <c r="H8038" s="1" t="s">
        <v>27</v>
      </c>
      <c r="I8038" s="17">
        <v>40118</v>
      </c>
    </row>
    <row r="8039" spans="1:9">
      <c r="A8039" s="7" t="s">
        <v>11515</v>
      </c>
      <c r="B8039" s="1" t="s">
        <v>2629</v>
      </c>
      <c r="C8039" s="1">
        <v>6</v>
      </c>
      <c r="D8039" s="1" t="s">
        <v>58</v>
      </c>
      <c r="E8039" s="1" t="s">
        <v>10</v>
      </c>
      <c r="F8039" s="1" t="s">
        <v>5241</v>
      </c>
      <c r="G8039" s="1" t="s">
        <v>4800</v>
      </c>
      <c r="H8039" s="1" t="s">
        <v>27</v>
      </c>
      <c r="I8039" s="17">
        <v>41548</v>
      </c>
    </row>
    <row r="8040" spans="1:9">
      <c r="A8040" s="7" t="s">
        <v>11518</v>
      </c>
      <c r="B8040" s="1" t="s">
        <v>2629</v>
      </c>
      <c r="C8040" s="1">
        <v>6</v>
      </c>
      <c r="D8040" s="1" t="s">
        <v>58</v>
      </c>
      <c r="E8040" s="1" t="s">
        <v>10</v>
      </c>
      <c r="F8040" s="1" t="s">
        <v>5241</v>
      </c>
      <c r="G8040" s="1" t="s">
        <v>4800</v>
      </c>
      <c r="H8040" s="1" t="s">
        <v>27</v>
      </c>
      <c r="I8040" s="17">
        <v>41153</v>
      </c>
    </row>
    <row r="8041" spans="1:9">
      <c r="A8041" s="7" t="s">
        <v>11529</v>
      </c>
      <c r="B8041" s="1" t="s">
        <v>2629</v>
      </c>
      <c r="C8041" s="1">
        <v>6</v>
      </c>
      <c r="D8041" s="1" t="s">
        <v>58</v>
      </c>
      <c r="E8041" s="1" t="s">
        <v>10</v>
      </c>
      <c r="F8041" s="1" t="s">
        <v>5241</v>
      </c>
      <c r="G8041" s="1" t="s">
        <v>4800</v>
      </c>
      <c r="H8041" s="1" t="s">
        <v>27</v>
      </c>
      <c r="I8041" s="17">
        <v>41579</v>
      </c>
    </row>
    <row r="8042" spans="1:9">
      <c r="A8042" s="7" t="s">
        <v>11532</v>
      </c>
      <c r="B8042" s="1" t="s">
        <v>2629</v>
      </c>
      <c r="C8042" s="1">
        <v>6</v>
      </c>
      <c r="D8042" s="1" t="s">
        <v>58</v>
      </c>
      <c r="E8042" s="1" t="s">
        <v>10</v>
      </c>
      <c r="F8042" s="1" t="s">
        <v>5241</v>
      </c>
      <c r="G8042" s="1" t="s">
        <v>4800</v>
      </c>
      <c r="H8042" s="1" t="s">
        <v>27</v>
      </c>
      <c r="I8042" s="17">
        <v>40118</v>
      </c>
    </row>
    <row r="8043" spans="1:9">
      <c r="A8043" s="7" t="s">
        <v>11536</v>
      </c>
      <c r="B8043" s="1" t="s">
        <v>2629</v>
      </c>
      <c r="C8043" s="1">
        <v>6</v>
      </c>
      <c r="D8043" s="1" t="s">
        <v>58</v>
      </c>
      <c r="E8043" s="1" t="s">
        <v>10</v>
      </c>
      <c r="F8043" s="1" t="s">
        <v>5241</v>
      </c>
      <c r="G8043" s="1" t="s">
        <v>4800</v>
      </c>
      <c r="H8043" s="1" t="s">
        <v>27</v>
      </c>
      <c r="I8043" s="17">
        <v>41518</v>
      </c>
    </row>
    <row r="8044" spans="1:9">
      <c r="A8044" s="7" t="s">
        <v>11540</v>
      </c>
      <c r="B8044" s="1" t="s">
        <v>2629</v>
      </c>
      <c r="C8044" s="1">
        <v>6</v>
      </c>
      <c r="D8044" s="1" t="s">
        <v>58</v>
      </c>
      <c r="E8044" s="1" t="s">
        <v>10</v>
      </c>
      <c r="F8044" s="1" t="s">
        <v>5241</v>
      </c>
      <c r="G8044" s="1" t="s">
        <v>4800</v>
      </c>
      <c r="H8044" s="1" t="s">
        <v>27</v>
      </c>
      <c r="I8044" s="17">
        <v>41122</v>
      </c>
    </row>
    <row r="8045" spans="1:9">
      <c r="A8045" s="7" t="s">
        <v>11546</v>
      </c>
      <c r="B8045" s="1" t="s">
        <v>2629</v>
      </c>
      <c r="C8045" s="1">
        <v>6</v>
      </c>
      <c r="D8045" s="1" t="s">
        <v>58</v>
      </c>
      <c r="E8045" s="1" t="s">
        <v>10</v>
      </c>
      <c r="F8045" s="1" t="s">
        <v>5241</v>
      </c>
      <c r="G8045" s="1" t="s">
        <v>4800</v>
      </c>
      <c r="H8045" s="1" t="s">
        <v>27</v>
      </c>
      <c r="I8045" s="17">
        <v>41487</v>
      </c>
    </row>
    <row r="8046" spans="1:9">
      <c r="A8046" s="7" t="s">
        <v>11564</v>
      </c>
      <c r="B8046" s="1" t="s">
        <v>2629</v>
      </c>
      <c r="C8046" s="1">
        <v>6</v>
      </c>
      <c r="D8046" s="1" t="s">
        <v>58</v>
      </c>
      <c r="E8046" s="1" t="s">
        <v>10</v>
      </c>
      <c r="F8046" s="1" t="s">
        <v>5241</v>
      </c>
      <c r="G8046" s="1" t="s">
        <v>4800</v>
      </c>
      <c r="H8046" s="1" t="s">
        <v>27</v>
      </c>
      <c r="I8046" s="17">
        <v>40909</v>
      </c>
    </row>
    <row r="8047" spans="1:9">
      <c r="A8047" s="7" t="s">
        <v>14007</v>
      </c>
      <c r="B8047" s="1" t="s">
        <v>2629</v>
      </c>
      <c r="C8047" s="1">
        <v>6</v>
      </c>
      <c r="D8047" s="1" t="s">
        <v>58</v>
      </c>
      <c r="E8047" s="1" t="s">
        <v>10</v>
      </c>
      <c r="F8047" s="1" t="s">
        <v>5241</v>
      </c>
      <c r="G8047" s="1" t="s">
        <v>4800</v>
      </c>
      <c r="H8047" s="1" t="s">
        <v>27</v>
      </c>
      <c r="I8047" s="17">
        <v>42095</v>
      </c>
    </row>
    <row r="8048" spans="1:9">
      <c r="A8048" s="7" t="s">
        <v>14014</v>
      </c>
      <c r="B8048" s="1" t="s">
        <v>2629</v>
      </c>
      <c r="C8048" s="1">
        <v>6</v>
      </c>
      <c r="D8048" s="1" t="s">
        <v>58</v>
      </c>
      <c r="E8048" s="1" t="s">
        <v>10</v>
      </c>
      <c r="F8048" s="1" t="s">
        <v>5241</v>
      </c>
      <c r="G8048" s="1" t="s">
        <v>4800</v>
      </c>
      <c r="H8048" s="1" t="s">
        <v>27</v>
      </c>
      <c r="I8048" s="17">
        <v>42278</v>
      </c>
    </row>
    <row r="8049" spans="1:9">
      <c r="A8049" s="7" t="s">
        <v>14018</v>
      </c>
      <c r="B8049" s="1" t="s">
        <v>2629</v>
      </c>
      <c r="C8049" s="1">
        <v>6</v>
      </c>
      <c r="D8049" s="1" t="s">
        <v>58</v>
      </c>
      <c r="E8049" s="1" t="s">
        <v>10</v>
      </c>
      <c r="F8049" s="1" t="s">
        <v>5241</v>
      </c>
      <c r="G8049" s="1" t="s">
        <v>4800</v>
      </c>
      <c r="H8049" s="1" t="s">
        <v>27</v>
      </c>
      <c r="I8049" s="17">
        <v>42278</v>
      </c>
    </row>
    <row r="8050" spans="1:9">
      <c r="A8050" s="7" t="s">
        <v>14019</v>
      </c>
      <c r="B8050" s="1" t="s">
        <v>2629</v>
      </c>
      <c r="C8050" s="1">
        <v>6</v>
      </c>
      <c r="D8050" s="1" t="s">
        <v>58</v>
      </c>
      <c r="E8050" s="1" t="s">
        <v>10</v>
      </c>
      <c r="F8050" s="1" t="s">
        <v>5241</v>
      </c>
      <c r="G8050" s="1" t="s">
        <v>4800</v>
      </c>
      <c r="H8050" s="1" t="s">
        <v>27</v>
      </c>
      <c r="I8050" s="17">
        <v>41760</v>
      </c>
    </row>
    <row r="8051" spans="1:9">
      <c r="A8051" s="7" t="s">
        <v>14027</v>
      </c>
      <c r="B8051" s="1" t="s">
        <v>2629</v>
      </c>
      <c r="C8051" s="1">
        <v>6</v>
      </c>
      <c r="D8051" s="1" t="s">
        <v>58</v>
      </c>
      <c r="E8051" s="1" t="s">
        <v>10</v>
      </c>
      <c r="F8051" s="1" t="s">
        <v>5241</v>
      </c>
      <c r="G8051" s="1" t="s">
        <v>4800</v>
      </c>
      <c r="H8051" s="1" t="s">
        <v>27</v>
      </c>
      <c r="I8051" s="17">
        <v>42278</v>
      </c>
    </row>
    <row r="8052" spans="1:9">
      <c r="A8052" s="7" t="s">
        <v>14030</v>
      </c>
      <c r="B8052" s="1" t="s">
        <v>2629</v>
      </c>
      <c r="C8052" s="1">
        <v>6</v>
      </c>
      <c r="D8052" s="1" t="s">
        <v>58</v>
      </c>
      <c r="E8052" s="1" t="s">
        <v>10</v>
      </c>
      <c r="F8052" s="1" t="s">
        <v>5241</v>
      </c>
      <c r="G8052" s="1" t="s">
        <v>4800</v>
      </c>
      <c r="H8052" s="1" t="s">
        <v>27</v>
      </c>
      <c r="I8052" s="17">
        <v>42278</v>
      </c>
    </row>
    <row r="8053" spans="1:9">
      <c r="A8053" s="7" t="s">
        <v>14035</v>
      </c>
      <c r="B8053" s="1" t="s">
        <v>2629</v>
      </c>
      <c r="C8053" s="1">
        <v>6</v>
      </c>
      <c r="D8053" s="1" t="s">
        <v>58</v>
      </c>
      <c r="E8053" s="1" t="s">
        <v>10</v>
      </c>
      <c r="F8053" s="1" t="s">
        <v>5241</v>
      </c>
      <c r="G8053" s="1" t="s">
        <v>4800</v>
      </c>
      <c r="H8053" s="1" t="s">
        <v>27</v>
      </c>
      <c r="I8053" s="17">
        <v>41306</v>
      </c>
    </row>
    <row r="8054" spans="1:9">
      <c r="A8054" s="7" t="s">
        <v>14037</v>
      </c>
      <c r="B8054" s="1" t="s">
        <v>2629</v>
      </c>
      <c r="C8054" s="1">
        <v>6</v>
      </c>
      <c r="D8054" s="1" t="s">
        <v>58</v>
      </c>
      <c r="E8054" s="1" t="s">
        <v>10</v>
      </c>
      <c r="F8054" s="1" t="s">
        <v>5241</v>
      </c>
      <c r="G8054" s="1" t="s">
        <v>4800</v>
      </c>
      <c r="H8054" s="1" t="s">
        <v>27</v>
      </c>
      <c r="I8054" s="17">
        <v>42339</v>
      </c>
    </row>
    <row r="8055" spans="1:9">
      <c r="A8055" s="7" t="s">
        <v>14042</v>
      </c>
      <c r="B8055" s="1" t="s">
        <v>2629</v>
      </c>
      <c r="C8055" s="1">
        <v>6</v>
      </c>
      <c r="D8055" s="1" t="s">
        <v>58</v>
      </c>
      <c r="E8055" s="1" t="s">
        <v>10</v>
      </c>
      <c r="F8055" s="1" t="s">
        <v>5241</v>
      </c>
      <c r="G8055" s="1" t="s">
        <v>4800</v>
      </c>
      <c r="H8055" s="1" t="s">
        <v>27</v>
      </c>
      <c r="I8055" s="17">
        <v>42278</v>
      </c>
    </row>
    <row r="8056" spans="1:9">
      <c r="A8056" s="7" t="s">
        <v>14056</v>
      </c>
      <c r="B8056" s="1" t="s">
        <v>2629</v>
      </c>
      <c r="C8056" s="1">
        <v>6</v>
      </c>
      <c r="D8056" s="1" t="s">
        <v>58</v>
      </c>
      <c r="E8056" s="1" t="s">
        <v>10</v>
      </c>
      <c r="F8056" s="1" t="s">
        <v>5241</v>
      </c>
      <c r="G8056" s="1" t="s">
        <v>4800</v>
      </c>
      <c r="H8056" s="1" t="s">
        <v>27</v>
      </c>
      <c r="I8056" s="17">
        <v>40878</v>
      </c>
    </row>
    <row r="8057" spans="1:9">
      <c r="A8057" s="7" t="s">
        <v>14242</v>
      </c>
      <c r="B8057" s="1" t="s">
        <v>2629</v>
      </c>
      <c r="C8057" s="1">
        <v>6</v>
      </c>
      <c r="D8057" s="1" t="s">
        <v>58</v>
      </c>
      <c r="E8057" s="1" t="s">
        <v>10</v>
      </c>
      <c r="F8057" s="1" t="s">
        <v>5241</v>
      </c>
      <c r="G8057" s="1" t="s">
        <v>4800</v>
      </c>
      <c r="H8057" s="1" t="s">
        <v>27</v>
      </c>
      <c r="I8057" s="17">
        <v>42278</v>
      </c>
    </row>
    <row r="8058" spans="1:9">
      <c r="A8058" s="7" t="s">
        <v>14245</v>
      </c>
      <c r="B8058" s="1" t="s">
        <v>2629</v>
      </c>
      <c r="C8058" s="1">
        <v>6</v>
      </c>
      <c r="D8058" s="1" t="s">
        <v>58</v>
      </c>
      <c r="E8058" s="1" t="s">
        <v>10</v>
      </c>
      <c r="F8058" s="1" t="s">
        <v>5241</v>
      </c>
      <c r="G8058" s="1" t="s">
        <v>4800</v>
      </c>
      <c r="H8058" s="1" t="s">
        <v>27</v>
      </c>
      <c r="I8058" s="17">
        <v>43009</v>
      </c>
    </row>
    <row r="8059" spans="1:9">
      <c r="A8059" s="7" t="s">
        <v>14262</v>
      </c>
      <c r="B8059" s="1" t="s">
        <v>2629</v>
      </c>
      <c r="C8059" s="1">
        <v>6</v>
      </c>
      <c r="D8059" s="1" t="s">
        <v>58</v>
      </c>
      <c r="E8059" s="1" t="s">
        <v>10</v>
      </c>
      <c r="F8059" s="1" t="s">
        <v>5241</v>
      </c>
      <c r="G8059" s="1" t="s">
        <v>4800</v>
      </c>
      <c r="H8059" s="1" t="s">
        <v>27</v>
      </c>
      <c r="I8059" s="17">
        <v>42826</v>
      </c>
    </row>
    <row r="8060" spans="1:9">
      <c r="A8060" s="7" t="s">
        <v>14275</v>
      </c>
      <c r="B8060" s="1" t="s">
        <v>2629</v>
      </c>
      <c r="C8060" s="1">
        <v>6</v>
      </c>
      <c r="D8060" s="1" t="s">
        <v>58</v>
      </c>
      <c r="E8060" s="1" t="s">
        <v>10</v>
      </c>
      <c r="F8060" s="1" t="s">
        <v>5241</v>
      </c>
      <c r="G8060" s="1" t="s">
        <v>4800</v>
      </c>
      <c r="H8060" s="1" t="s">
        <v>27</v>
      </c>
      <c r="I8060" s="17">
        <v>42278</v>
      </c>
    </row>
    <row r="8061" spans="1:9">
      <c r="A8061" s="7" t="s">
        <v>14280</v>
      </c>
      <c r="B8061" s="1" t="s">
        <v>2629</v>
      </c>
      <c r="C8061" s="1">
        <v>6</v>
      </c>
      <c r="D8061" s="1" t="s">
        <v>58</v>
      </c>
      <c r="E8061" s="1" t="s">
        <v>10</v>
      </c>
      <c r="F8061" s="1" t="s">
        <v>5241</v>
      </c>
      <c r="G8061" s="1" t="s">
        <v>4800</v>
      </c>
      <c r="H8061" s="1" t="s">
        <v>27</v>
      </c>
      <c r="I8061" s="17">
        <v>42278</v>
      </c>
    </row>
    <row r="8062" spans="1:9">
      <c r="A8062" s="7" t="s">
        <v>14294</v>
      </c>
      <c r="B8062" s="1" t="s">
        <v>2629</v>
      </c>
      <c r="C8062" s="1">
        <v>6</v>
      </c>
      <c r="D8062" s="1" t="s">
        <v>58</v>
      </c>
      <c r="E8062" s="1" t="s">
        <v>10</v>
      </c>
      <c r="F8062" s="1" t="s">
        <v>5241</v>
      </c>
      <c r="G8062" s="1" t="s">
        <v>4800</v>
      </c>
      <c r="H8062" s="1" t="s">
        <v>27</v>
      </c>
      <c r="I8062" s="17">
        <v>42552</v>
      </c>
    </row>
    <row r="8063" spans="1:9">
      <c r="A8063" s="7" t="s">
        <v>14296</v>
      </c>
      <c r="B8063" s="1" t="s">
        <v>2629</v>
      </c>
      <c r="C8063" s="1">
        <v>6</v>
      </c>
      <c r="D8063" s="1" t="s">
        <v>58</v>
      </c>
      <c r="E8063" s="1" t="s">
        <v>10</v>
      </c>
      <c r="F8063" s="1" t="s">
        <v>5241</v>
      </c>
      <c r="G8063" s="1" t="s">
        <v>4800</v>
      </c>
      <c r="H8063" s="1" t="s">
        <v>27</v>
      </c>
      <c r="I8063" s="17">
        <v>42979</v>
      </c>
    </row>
    <row r="8064" spans="1:9">
      <c r="A8064" s="7" t="s">
        <v>14435</v>
      </c>
      <c r="B8064" s="2" t="s">
        <v>2629</v>
      </c>
      <c r="C8064" s="1">
        <v>6</v>
      </c>
      <c r="D8064" s="1" t="s">
        <v>58</v>
      </c>
      <c r="E8064" s="1" t="s">
        <v>10</v>
      </c>
      <c r="F8064" s="1" t="s">
        <v>118</v>
      </c>
      <c r="G8064" s="14" t="s">
        <v>4800</v>
      </c>
      <c r="H8064" s="1" t="s">
        <v>27</v>
      </c>
      <c r="I8064" s="1" t="s">
        <v>5659</v>
      </c>
    </row>
    <row r="8065" spans="1:10">
      <c r="A8065" s="7" t="s">
        <v>14453</v>
      </c>
      <c r="B8065" s="2" t="s">
        <v>2629</v>
      </c>
      <c r="C8065" s="1">
        <v>6</v>
      </c>
      <c r="D8065" s="1" t="s">
        <v>58</v>
      </c>
      <c r="E8065" s="1" t="s">
        <v>10</v>
      </c>
      <c r="F8065" s="1" t="s">
        <v>118</v>
      </c>
      <c r="G8065" s="14" t="s">
        <v>4800</v>
      </c>
      <c r="H8065" s="1" t="s">
        <v>27</v>
      </c>
      <c r="I8065" s="1" t="s">
        <v>4789</v>
      </c>
    </row>
    <row r="8066" spans="1:10">
      <c r="A8066" s="7" t="s">
        <v>14548</v>
      </c>
      <c r="B8066" s="1" t="s">
        <v>2629</v>
      </c>
      <c r="C8066" s="1">
        <v>6</v>
      </c>
      <c r="D8066" s="1" t="s">
        <v>58</v>
      </c>
      <c r="E8066" s="1" t="s">
        <v>10</v>
      </c>
      <c r="F8066" s="1" t="s">
        <v>5241</v>
      </c>
      <c r="G8066" s="1" t="s">
        <v>4800</v>
      </c>
      <c r="H8066" s="1" t="s">
        <v>27</v>
      </c>
      <c r="I8066" s="17">
        <v>43252</v>
      </c>
    </row>
    <row r="8067" spans="1:10">
      <c r="A8067" s="7" t="s">
        <v>16076</v>
      </c>
      <c r="B8067" s="2" t="s">
        <v>2629</v>
      </c>
      <c r="C8067" s="1">
        <v>6</v>
      </c>
      <c r="D8067" s="1" t="s">
        <v>58</v>
      </c>
      <c r="E8067" s="1" t="s">
        <v>10</v>
      </c>
      <c r="F8067" s="1" t="s">
        <v>5241</v>
      </c>
      <c r="G8067" s="14" t="s">
        <v>4800</v>
      </c>
      <c r="H8067" s="1" t="s">
        <v>27</v>
      </c>
      <c r="I8067" s="1">
        <v>2018</v>
      </c>
    </row>
    <row r="8068" spans="1:10">
      <c r="A8068" s="7" t="s">
        <v>16078</v>
      </c>
      <c r="B8068" s="2" t="s">
        <v>2629</v>
      </c>
      <c r="C8068" s="1">
        <v>6</v>
      </c>
      <c r="D8068" s="1" t="s">
        <v>58</v>
      </c>
      <c r="E8068" s="1" t="s">
        <v>10</v>
      </c>
      <c r="F8068" s="1" t="s">
        <v>5241</v>
      </c>
      <c r="G8068" s="14" t="s">
        <v>4800</v>
      </c>
      <c r="H8068" s="1" t="s">
        <v>27</v>
      </c>
      <c r="I8068" s="1">
        <v>2018</v>
      </c>
    </row>
    <row r="8069" spans="1:10">
      <c r="A8069" s="7" t="s">
        <v>16095</v>
      </c>
      <c r="B8069" s="2" t="s">
        <v>2629</v>
      </c>
      <c r="C8069" s="1">
        <v>6</v>
      </c>
      <c r="D8069" s="1" t="s">
        <v>58</v>
      </c>
      <c r="E8069" s="1" t="s">
        <v>10</v>
      </c>
      <c r="F8069" s="1" t="s">
        <v>5241</v>
      </c>
      <c r="G8069" s="14" t="s">
        <v>4800</v>
      </c>
      <c r="H8069" s="1" t="s">
        <v>27</v>
      </c>
      <c r="I8069" s="1">
        <v>2018</v>
      </c>
    </row>
    <row r="8070" spans="1:10">
      <c r="A8070" s="7" t="s">
        <v>16097</v>
      </c>
      <c r="B8070" s="2" t="s">
        <v>2629</v>
      </c>
      <c r="C8070" s="1">
        <v>6</v>
      </c>
      <c r="D8070" s="1" t="s">
        <v>58</v>
      </c>
      <c r="E8070" s="1" t="s">
        <v>10</v>
      </c>
      <c r="F8070" s="1" t="s">
        <v>5241</v>
      </c>
      <c r="G8070" s="14" t="s">
        <v>4800</v>
      </c>
      <c r="H8070" s="1" t="s">
        <v>27</v>
      </c>
      <c r="I8070" s="1">
        <v>2018</v>
      </c>
    </row>
    <row r="8071" spans="1:10">
      <c r="A8071" s="7" t="s">
        <v>16187</v>
      </c>
      <c r="B8071" s="2" t="s">
        <v>2629</v>
      </c>
      <c r="C8071" s="1">
        <v>6</v>
      </c>
      <c r="D8071" s="1" t="s">
        <v>58</v>
      </c>
      <c r="E8071" s="1" t="s">
        <v>10</v>
      </c>
      <c r="F8071" s="1" t="s">
        <v>5241</v>
      </c>
      <c r="G8071" s="14" t="s">
        <v>4800</v>
      </c>
      <c r="H8071" s="1" t="s">
        <v>27</v>
      </c>
      <c r="I8071" s="1">
        <v>2019</v>
      </c>
    </row>
    <row r="8072" spans="1:10">
      <c r="A8072" s="7" t="s">
        <v>16634</v>
      </c>
      <c r="B8072" s="2" t="s">
        <v>2629</v>
      </c>
      <c r="C8072" s="1">
        <v>6</v>
      </c>
      <c r="D8072" s="1" t="s">
        <v>58</v>
      </c>
      <c r="E8072" s="1" t="s">
        <v>10</v>
      </c>
      <c r="F8072" s="1" t="s">
        <v>5241</v>
      </c>
      <c r="G8072" s="14" t="s">
        <v>4800</v>
      </c>
      <c r="H8072" s="1" t="s">
        <v>27</v>
      </c>
      <c r="I8072" s="1">
        <v>2019</v>
      </c>
    </row>
    <row r="8073" spans="1:10">
      <c r="A8073" s="7" t="s">
        <v>16638</v>
      </c>
      <c r="B8073" s="2" t="s">
        <v>2629</v>
      </c>
      <c r="C8073" s="1">
        <v>6</v>
      </c>
      <c r="D8073" s="1" t="s">
        <v>58</v>
      </c>
      <c r="E8073" s="1" t="s">
        <v>10</v>
      </c>
      <c r="F8073" s="1" t="s">
        <v>5241</v>
      </c>
      <c r="G8073" s="14" t="s">
        <v>4800</v>
      </c>
      <c r="H8073" s="1" t="s">
        <v>27</v>
      </c>
      <c r="I8073" s="1">
        <v>2019</v>
      </c>
    </row>
    <row r="8074" spans="1:10">
      <c r="A8074" s="7" t="s">
        <v>5846</v>
      </c>
      <c r="B8074" s="1" t="s">
        <v>2629</v>
      </c>
      <c r="C8074" s="1">
        <v>6</v>
      </c>
      <c r="D8074" s="1" t="s">
        <v>58</v>
      </c>
      <c r="E8074" s="1" t="s">
        <v>10</v>
      </c>
      <c r="F8074" s="1" t="s">
        <v>2360</v>
      </c>
      <c r="G8074" s="1" t="s">
        <v>4803</v>
      </c>
      <c r="H8074" s="1" t="s">
        <v>5</v>
      </c>
      <c r="I8074" s="1" t="s">
        <v>5807</v>
      </c>
      <c r="J8074" s="17"/>
    </row>
    <row r="8075" spans="1:10">
      <c r="A8075" s="7" t="s">
        <v>5883</v>
      </c>
      <c r="B8075" s="1" t="s">
        <v>2628</v>
      </c>
      <c r="C8075" s="1">
        <v>6</v>
      </c>
      <c r="D8075" s="1" t="s">
        <v>58</v>
      </c>
      <c r="E8075" s="1" t="s">
        <v>10</v>
      </c>
      <c r="F8075" s="1" t="s">
        <v>2360</v>
      </c>
      <c r="G8075" s="1" t="s">
        <v>5872</v>
      </c>
      <c r="H8075" s="1" t="s">
        <v>43</v>
      </c>
      <c r="I8075" s="1" t="s">
        <v>5483</v>
      </c>
    </row>
    <row r="8076" spans="1:10">
      <c r="A8076" s="7" t="s">
        <v>5998</v>
      </c>
      <c r="B8076" s="1" t="s">
        <v>2629</v>
      </c>
      <c r="C8076" s="1">
        <v>6</v>
      </c>
      <c r="D8076" s="1" t="s">
        <v>58</v>
      </c>
      <c r="E8076" s="1" t="s">
        <v>10</v>
      </c>
      <c r="F8076" s="1" t="s">
        <v>2360</v>
      </c>
      <c r="G8076" s="1" t="s">
        <v>5</v>
      </c>
      <c r="H8076" s="1" t="s">
        <v>5</v>
      </c>
      <c r="I8076" s="1" t="s">
        <v>5848</v>
      </c>
      <c r="J8076" s="17"/>
    </row>
    <row r="8077" spans="1:10">
      <c r="A8077" s="7" t="s">
        <v>6036</v>
      </c>
      <c r="B8077" s="1" t="s">
        <v>2629</v>
      </c>
      <c r="C8077" s="1">
        <v>6</v>
      </c>
      <c r="D8077" s="1" t="s">
        <v>58</v>
      </c>
      <c r="E8077" s="1" t="s">
        <v>10</v>
      </c>
      <c r="F8077" s="1" t="s">
        <v>2360</v>
      </c>
      <c r="G8077" s="1" t="s">
        <v>5</v>
      </c>
      <c r="H8077" s="1" t="s">
        <v>5</v>
      </c>
      <c r="I8077" s="1" t="s">
        <v>5848</v>
      </c>
      <c r="J8077" s="1"/>
    </row>
    <row r="8078" spans="1:10">
      <c r="A8078" s="7" t="s">
        <v>6104</v>
      </c>
      <c r="B8078" s="1" t="s">
        <v>2629</v>
      </c>
      <c r="C8078" s="1">
        <v>6</v>
      </c>
      <c r="D8078" s="1" t="s">
        <v>58</v>
      </c>
      <c r="E8078" s="1" t="s">
        <v>10</v>
      </c>
      <c r="F8078" s="1" t="s">
        <v>118</v>
      </c>
      <c r="G8078" s="1" t="s">
        <v>4458</v>
      </c>
      <c r="H8078" s="1" t="s">
        <v>118</v>
      </c>
      <c r="I8078" s="1" t="s">
        <v>4792</v>
      </c>
    </row>
    <row r="8079" spans="1:10">
      <c r="A8079" s="7" t="s">
        <v>6105</v>
      </c>
      <c r="B8079" s="1" t="s">
        <v>2629</v>
      </c>
      <c r="C8079" s="1">
        <v>6</v>
      </c>
      <c r="D8079" s="1" t="s">
        <v>58</v>
      </c>
      <c r="E8079" s="1" t="s">
        <v>10</v>
      </c>
      <c r="F8079" s="1" t="s">
        <v>118</v>
      </c>
      <c r="G8079" s="1" t="s">
        <v>4458</v>
      </c>
      <c r="H8079" s="1" t="s">
        <v>118</v>
      </c>
      <c r="I8079" s="1" t="s">
        <v>4792</v>
      </c>
    </row>
    <row r="8080" spans="1:10">
      <c r="A8080" s="7" t="s">
        <v>6123</v>
      </c>
      <c r="B8080" s="1" t="s">
        <v>2629</v>
      </c>
      <c r="C8080" s="1">
        <v>6</v>
      </c>
      <c r="D8080" s="1" t="s">
        <v>58</v>
      </c>
      <c r="E8080" s="1" t="s">
        <v>10</v>
      </c>
      <c r="F8080" s="1" t="s">
        <v>118</v>
      </c>
      <c r="G8080" s="1" t="s">
        <v>4458</v>
      </c>
      <c r="H8080" s="1" t="s">
        <v>118</v>
      </c>
      <c r="I8080" s="1" t="s">
        <v>4792</v>
      </c>
    </row>
    <row r="8081" spans="1:10">
      <c r="A8081" s="7" t="s">
        <v>6133</v>
      </c>
      <c r="B8081" s="1" t="s">
        <v>2629</v>
      </c>
      <c r="C8081" s="1">
        <v>6</v>
      </c>
      <c r="D8081" s="1" t="s">
        <v>58</v>
      </c>
      <c r="E8081" s="1" t="s">
        <v>10</v>
      </c>
      <c r="F8081" s="1" t="s">
        <v>118</v>
      </c>
      <c r="G8081" s="1" t="s">
        <v>4458</v>
      </c>
      <c r="H8081" s="1" t="s">
        <v>118</v>
      </c>
      <c r="I8081" s="1" t="s">
        <v>4792</v>
      </c>
    </row>
    <row r="8082" spans="1:10">
      <c r="A8082" s="7" t="s">
        <v>6136</v>
      </c>
      <c r="B8082" s="1" t="s">
        <v>2629</v>
      </c>
      <c r="C8082" s="1">
        <v>6</v>
      </c>
      <c r="D8082" s="1" t="s">
        <v>58</v>
      </c>
      <c r="E8082" s="1" t="s">
        <v>10</v>
      </c>
      <c r="F8082" s="1" t="s">
        <v>118</v>
      </c>
      <c r="G8082" s="1" t="s">
        <v>4458</v>
      </c>
      <c r="H8082" s="1" t="s">
        <v>118</v>
      </c>
      <c r="I8082" s="1" t="s">
        <v>4792</v>
      </c>
    </row>
    <row r="8083" spans="1:10">
      <c r="A8083" s="7" t="s">
        <v>6187</v>
      </c>
      <c r="B8083" s="2" t="s">
        <v>2628</v>
      </c>
      <c r="C8083" s="1">
        <v>6</v>
      </c>
      <c r="D8083" s="1" t="s">
        <v>58</v>
      </c>
      <c r="E8083" s="1" t="s">
        <v>10</v>
      </c>
      <c r="F8083" s="1" t="s">
        <v>5091</v>
      </c>
      <c r="G8083" s="14" t="s">
        <v>6186</v>
      </c>
      <c r="H8083" s="1" t="s">
        <v>5</v>
      </c>
      <c r="I8083" s="1" t="s">
        <v>5807</v>
      </c>
      <c r="J8083" s="17"/>
    </row>
    <row r="8084" spans="1:10">
      <c r="A8084" s="7" t="s">
        <v>6193</v>
      </c>
      <c r="B8084" s="2" t="s">
        <v>2628</v>
      </c>
      <c r="C8084" s="1">
        <v>6</v>
      </c>
      <c r="D8084" s="1" t="s">
        <v>58</v>
      </c>
      <c r="E8084" s="1" t="s">
        <v>10</v>
      </c>
      <c r="F8084" s="1" t="s">
        <v>5091</v>
      </c>
      <c r="G8084" s="14" t="s">
        <v>6194</v>
      </c>
      <c r="H8084" s="1" t="s">
        <v>43</v>
      </c>
      <c r="I8084" s="1">
        <v>2007</v>
      </c>
    </row>
    <row r="8085" spans="1:10">
      <c r="A8085" s="7" t="s">
        <v>6195</v>
      </c>
      <c r="B8085" s="2" t="s">
        <v>2628</v>
      </c>
      <c r="C8085" s="1">
        <v>6</v>
      </c>
      <c r="D8085" s="1" t="s">
        <v>58</v>
      </c>
      <c r="E8085" s="1" t="s">
        <v>10</v>
      </c>
      <c r="F8085" s="1" t="s">
        <v>5091</v>
      </c>
      <c r="G8085" s="14" t="s">
        <v>6196</v>
      </c>
      <c r="H8085" s="1" t="s">
        <v>43</v>
      </c>
      <c r="I8085" s="1">
        <v>2007</v>
      </c>
    </row>
    <row r="8086" spans="1:10">
      <c r="A8086" s="7" t="s">
        <v>6197</v>
      </c>
      <c r="B8086" s="2" t="s">
        <v>2628</v>
      </c>
      <c r="C8086" s="1">
        <v>6</v>
      </c>
      <c r="D8086" s="1" t="s">
        <v>58</v>
      </c>
      <c r="E8086" s="1" t="s">
        <v>10</v>
      </c>
      <c r="F8086" s="1" t="s">
        <v>5091</v>
      </c>
      <c r="G8086" s="14" t="s">
        <v>6198</v>
      </c>
      <c r="H8086" s="1" t="s">
        <v>43</v>
      </c>
      <c r="I8086" s="1">
        <v>2007</v>
      </c>
    </row>
    <row r="8087" spans="1:10">
      <c r="A8087" s="7" t="s">
        <v>6202</v>
      </c>
      <c r="B8087" s="2" t="s">
        <v>2628</v>
      </c>
      <c r="C8087" s="1">
        <v>1812</v>
      </c>
      <c r="D8087" s="1" t="s">
        <v>58</v>
      </c>
      <c r="E8087" s="1" t="s">
        <v>10</v>
      </c>
      <c r="F8087" s="1" t="s">
        <v>5091</v>
      </c>
      <c r="G8087" s="14" t="s">
        <v>6139</v>
      </c>
      <c r="H8087" s="1" t="s">
        <v>43</v>
      </c>
      <c r="I8087" s="1" t="s">
        <v>5807</v>
      </c>
    </row>
    <row r="8088" spans="1:10">
      <c r="A8088" s="7" t="s">
        <v>6306</v>
      </c>
      <c r="B8088" s="2" t="s">
        <v>2629</v>
      </c>
      <c r="C8088" s="1">
        <v>6</v>
      </c>
      <c r="D8088" s="1" t="s">
        <v>58</v>
      </c>
      <c r="E8088" s="1" t="s">
        <v>10</v>
      </c>
      <c r="F8088" s="1" t="s">
        <v>5241</v>
      </c>
      <c r="G8088" s="14" t="s">
        <v>6307</v>
      </c>
      <c r="H8088" s="1" t="s">
        <v>44</v>
      </c>
      <c r="I8088" s="1">
        <v>2019</v>
      </c>
    </row>
    <row r="8089" spans="1:10">
      <c r="A8089" s="7" t="s">
        <v>6308</v>
      </c>
      <c r="B8089" s="2" t="s">
        <v>2629</v>
      </c>
      <c r="C8089" s="1">
        <v>6</v>
      </c>
      <c r="D8089" s="1" t="s">
        <v>58</v>
      </c>
      <c r="E8089" s="1" t="s">
        <v>10</v>
      </c>
      <c r="F8089" s="1" t="s">
        <v>5241</v>
      </c>
      <c r="G8089" s="14" t="s">
        <v>6307</v>
      </c>
      <c r="H8089" s="1" t="s">
        <v>44</v>
      </c>
      <c r="I8089" s="1">
        <v>2019</v>
      </c>
    </row>
    <row r="8090" spans="1:10">
      <c r="A8090" s="7" t="s">
        <v>6386</v>
      </c>
      <c r="B8090" s="2" t="s">
        <v>2629</v>
      </c>
      <c r="C8090" s="1">
        <v>6</v>
      </c>
      <c r="D8090" s="1" t="s">
        <v>58</v>
      </c>
      <c r="E8090" s="1" t="s">
        <v>10</v>
      </c>
      <c r="F8090" s="1" t="s">
        <v>5241</v>
      </c>
      <c r="G8090" s="14" t="s">
        <v>4803</v>
      </c>
      <c r="H8090" s="1" t="s">
        <v>5</v>
      </c>
      <c r="I8090" s="1">
        <v>2019</v>
      </c>
      <c r="J8090" s="17"/>
    </row>
    <row r="8091" spans="1:10">
      <c r="A8091" s="7" t="s">
        <v>6424</v>
      </c>
      <c r="B8091" s="1" t="s">
        <v>2629</v>
      </c>
      <c r="C8091" s="1">
        <v>6</v>
      </c>
      <c r="D8091" s="1" t="s">
        <v>58</v>
      </c>
      <c r="E8091" s="1" t="s">
        <v>10</v>
      </c>
      <c r="F8091" s="1" t="s">
        <v>5241</v>
      </c>
      <c r="G8091" s="1" t="s">
        <v>4803</v>
      </c>
      <c r="H8091" s="1" t="s">
        <v>5</v>
      </c>
      <c r="I8091" s="1" t="s">
        <v>5807</v>
      </c>
      <c r="J8091" s="17"/>
    </row>
    <row r="8092" spans="1:10">
      <c r="A8092" s="7" t="s">
        <v>6442</v>
      </c>
      <c r="B8092" s="1" t="s">
        <v>2629</v>
      </c>
      <c r="C8092" s="1">
        <v>6</v>
      </c>
      <c r="D8092" s="1" t="s">
        <v>58</v>
      </c>
      <c r="E8092" s="1" t="s">
        <v>10</v>
      </c>
      <c r="F8092" s="1" t="s">
        <v>5241</v>
      </c>
      <c r="G8092" s="1" t="s">
        <v>6307</v>
      </c>
      <c r="H8092" s="1" t="s">
        <v>44</v>
      </c>
      <c r="I8092" s="1" t="s">
        <v>5807</v>
      </c>
    </row>
    <row r="8093" spans="1:10">
      <c r="A8093" s="7" t="s">
        <v>6444</v>
      </c>
      <c r="B8093" s="1" t="s">
        <v>2629</v>
      </c>
      <c r="C8093" s="1">
        <v>6</v>
      </c>
      <c r="D8093" s="1" t="s">
        <v>58</v>
      </c>
      <c r="E8093" s="1" t="s">
        <v>10</v>
      </c>
      <c r="F8093" s="1" t="s">
        <v>5241</v>
      </c>
      <c r="G8093" s="1" t="s">
        <v>4803</v>
      </c>
      <c r="H8093" s="1" t="s">
        <v>5</v>
      </c>
      <c r="I8093" s="1" t="s">
        <v>5807</v>
      </c>
      <c r="J8093" s="17"/>
    </row>
    <row r="8094" spans="1:10">
      <c r="A8094" s="7" t="s">
        <v>6445</v>
      </c>
      <c r="B8094" s="1" t="s">
        <v>2629</v>
      </c>
      <c r="C8094" s="1">
        <v>6</v>
      </c>
      <c r="D8094" s="1" t="s">
        <v>58</v>
      </c>
      <c r="E8094" s="1" t="s">
        <v>10</v>
      </c>
      <c r="F8094" s="1" t="s">
        <v>5241</v>
      </c>
      <c r="G8094" s="1" t="s">
        <v>4803</v>
      </c>
      <c r="H8094" s="1" t="s">
        <v>5</v>
      </c>
      <c r="I8094" s="1" t="s">
        <v>5807</v>
      </c>
      <c r="J8094" s="17"/>
    </row>
    <row r="8095" spans="1:10">
      <c r="A8095" s="7" t="s">
        <v>6446</v>
      </c>
      <c r="B8095" s="1" t="s">
        <v>2629</v>
      </c>
      <c r="C8095" s="1">
        <v>6</v>
      </c>
      <c r="D8095" s="1" t="s">
        <v>58</v>
      </c>
      <c r="E8095" s="1" t="s">
        <v>10</v>
      </c>
      <c r="F8095" s="1" t="s">
        <v>5241</v>
      </c>
      <c r="G8095" s="1" t="s">
        <v>6307</v>
      </c>
      <c r="H8095" s="1" t="s">
        <v>44</v>
      </c>
      <c r="I8095" s="1" t="s">
        <v>5807</v>
      </c>
    </row>
    <row r="8096" spans="1:10" ht="31.2">
      <c r="A8096" s="16" t="s">
        <v>6806</v>
      </c>
      <c r="B8096" s="1" t="s">
        <v>2628</v>
      </c>
      <c r="C8096" s="1">
        <v>6</v>
      </c>
      <c r="D8096" s="1" t="s">
        <v>58</v>
      </c>
      <c r="E8096" s="1" t="s">
        <v>10</v>
      </c>
      <c r="F8096" s="1" t="s">
        <v>5091</v>
      </c>
      <c r="G8096" s="14" t="s">
        <v>6145</v>
      </c>
      <c r="H8096" s="1" t="s">
        <v>43</v>
      </c>
      <c r="I8096" s="17">
        <v>41591</v>
      </c>
    </row>
    <row r="8097" spans="1:10">
      <c r="A8097" s="7" t="s">
        <v>6860</v>
      </c>
      <c r="B8097" s="1" t="s">
        <v>2629</v>
      </c>
      <c r="C8097" s="1">
        <v>6</v>
      </c>
      <c r="D8097" s="1" t="s">
        <v>58</v>
      </c>
      <c r="E8097" s="1" t="s">
        <v>10</v>
      </c>
      <c r="F8097" s="1" t="s">
        <v>5241</v>
      </c>
      <c r="G8097" s="1" t="s">
        <v>4803</v>
      </c>
      <c r="H8097" s="1" t="s">
        <v>5</v>
      </c>
      <c r="I8097" s="1" t="s">
        <v>5807</v>
      </c>
      <c r="J8097" s="17"/>
    </row>
    <row r="8098" spans="1:10">
      <c r="A8098" s="16" t="s">
        <v>6888</v>
      </c>
      <c r="B8098" s="1" t="s">
        <v>2628</v>
      </c>
      <c r="C8098" s="1">
        <v>6</v>
      </c>
      <c r="D8098" s="1" t="s">
        <v>58</v>
      </c>
      <c r="E8098" s="1" t="s">
        <v>10</v>
      </c>
      <c r="F8098" s="1" t="s">
        <v>5091</v>
      </c>
      <c r="G8098" s="14" t="s">
        <v>6889</v>
      </c>
      <c r="H8098" s="1" t="s">
        <v>5</v>
      </c>
      <c r="I8098" s="17">
        <v>35796</v>
      </c>
    </row>
    <row r="8099" spans="1:10">
      <c r="A8099" s="7" t="s">
        <v>6902</v>
      </c>
      <c r="B8099" s="1" t="s">
        <v>2628</v>
      </c>
      <c r="C8099" s="1">
        <v>6</v>
      </c>
      <c r="D8099" s="1" t="s">
        <v>58</v>
      </c>
      <c r="E8099" s="1" t="s">
        <v>10</v>
      </c>
      <c r="F8099" s="1" t="s">
        <v>5091</v>
      </c>
      <c r="G8099" s="1" t="s">
        <v>6894</v>
      </c>
      <c r="H8099" s="1" t="s">
        <v>44</v>
      </c>
      <c r="I8099" s="1" t="s">
        <v>5722</v>
      </c>
    </row>
    <row r="8100" spans="1:10">
      <c r="A8100" s="7" t="s">
        <v>6923</v>
      </c>
      <c r="B8100" s="1" t="s">
        <v>2629</v>
      </c>
      <c r="C8100" s="1">
        <v>6</v>
      </c>
      <c r="D8100" s="1" t="s">
        <v>58</v>
      </c>
      <c r="E8100" s="1" t="s">
        <v>10</v>
      </c>
      <c r="F8100" s="1" t="s">
        <v>5241</v>
      </c>
      <c r="G8100" s="1" t="s">
        <v>4803</v>
      </c>
      <c r="H8100" s="1" t="s">
        <v>5</v>
      </c>
      <c r="I8100" s="1" t="s">
        <v>5653</v>
      </c>
      <c r="J8100" s="17"/>
    </row>
    <row r="8101" spans="1:10">
      <c r="A8101" s="7" t="s">
        <v>6939</v>
      </c>
      <c r="B8101" s="1" t="s">
        <v>2629</v>
      </c>
      <c r="C8101" s="1">
        <v>6</v>
      </c>
      <c r="D8101" s="1" t="s">
        <v>58</v>
      </c>
      <c r="E8101" s="1" t="s">
        <v>10</v>
      </c>
      <c r="F8101" s="1" t="s">
        <v>5241</v>
      </c>
      <c r="G8101" s="1" t="s">
        <v>6307</v>
      </c>
      <c r="H8101" s="1" t="s">
        <v>44</v>
      </c>
      <c r="I8101" s="1" t="s">
        <v>6844</v>
      </c>
    </row>
    <row r="8102" spans="1:10">
      <c r="A8102" s="7" t="s">
        <v>6948</v>
      </c>
      <c r="B8102" s="1" t="s">
        <v>2629</v>
      </c>
      <c r="C8102" s="1">
        <v>6</v>
      </c>
      <c r="D8102" s="1" t="s">
        <v>58</v>
      </c>
      <c r="E8102" s="1" t="s">
        <v>10</v>
      </c>
      <c r="F8102" s="1" t="s">
        <v>5241</v>
      </c>
      <c r="G8102" s="1" t="s">
        <v>4803</v>
      </c>
      <c r="H8102" s="1" t="s">
        <v>5</v>
      </c>
      <c r="I8102" s="1" t="s">
        <v>5659</v>
      </c>
      <c r="J8102" s="17"/>
    </row>
    <row r="8103" spans="1:10">
      <c r="A8103" s="7" t="s">
        <v>6950</v>
      </c>
      <c r="B8103" s="1" t="s">
        <v>2629</v>
      </c>
      <c r="C8103" s="1">
        <v>6</v>
      </c>
      <c r="D8103" s="1" t="s">
        <v>58</v>
      </c>
      <c r="E8103" s="1" t="s">
        <v>10</v>
      </c>
      <c r="F8103" s="1" t="s">
        <v>5241</v>
      </c>
      <c r="G8103" s="1" t="s">
        <v>4803</v>
      </c>
      <c r="H8103" s="1" t="s">
        <v>5</v>
      </c>
      <c r="I8103" s="1" t="s">
        <v>5659</v>
      </c>
      <c r="J8103" s="17"/>
    </row>
    <row r="8104" spans="1:10" ht="31.2">
      <c r="A8104" s="16" t="s">
        <v>7326</v>
      </c>
      <c r="B8104" s="1" t="s">
        <v>2628</v>
      </c>
      <c r="C8104" s="1">
        <v>6</v>
      </c>
      <c r="D8104" s="1" t="s">
        <v>58</v>
      </c>
      <c r="E8104" s="1" t="s">
        <v>10</v>
      </c>
      <c r="F8104" s="1" t="s">
        <v>5091</v>
      </c>
      <c r="G8104" s="14" t="s">
        <v>6145</v>
      </c>
      <c r="H8104" s="1" t="s">
        <v>43</v>
      </c>
      <c r="I8104" s="17">
        <v>41591</v>
      </c>
    </row>
    <row r="8105" spans="1:10">
      <c r="A8105" s="7" t="s">
        <v>7352</v>
      </c>
      <c r="B8105" s="1" t="s">
        <v>2628</v>
      </c>
      <c r="C8105" s="1">
        <v>6</v>
      </c>
      <c r="D8105" s="1" t="s">
        <v>58</v>
      </c>
      <c r="E8105" s="1" t="s">
        <v>10</v>
      </c>
      <c r="F8105" s="1" t="s">
        <v>5091</v>
      </c>
      <c r="G8105" s="1" t="s">
        <v>6181</v>
      </c>
      <c r="H8105" s="1" t="s">
        <v>118</v>
      </c>
      <c r="I8105" s="1" t="s">
        <v>4458</v>
      </c>
    </row>
    <row r="8106" spans="1:10">
      <c r="A8106" s="7" t="s">
        <v>7381</v>
      </c>
      <c r="B8106" s="1" t="s">
        <v>2628</v>
      </c>
      <c r="C8106" s="1">
        <v>6</v>
      </c>
      <c r="D8106" s="1" t="s">
        <v>58</v>
      </c>
      <c r="E8106" s="1" t="s">
        <v>10</v>
      </c>
      <c r="F8106" s="1" t="s">
        <v>5091</v>
      </c>
      <c r="G8106" s="1" t="s">
        <v>6181</v>
      </c>
      <c r="H8106" s="1" t="s">
        <v>118</v>
      </c>
      <c r="I8106" s="1" t="s">
        <v>4458</v>
      </c>
    </row>
    <row r="8107" spans="1:10">
      <c r="A8107" s="16" t="s">
        <v>7442</v>
      </c>
      <c r="B8107" s="1" t="s">
        <v>2628</v>
      </c>
      <c r="C8107" s="1">
        <v>6</v>
      </c>
      <c r="D8107" s="1" t="s">
        <v>58</v>
      </c>
      <c r="E8107" s="1" t="s">
        <v>10</v>
      </c>
      <c r="F8107" s="1" t="s">
        <v>5091</v>
      </c>
      <c r="G8107" s="14" t="s">
        <v>6145</v>
      </c>
      <c r="H8107" s="1" t="s">
        <v>43</v>
      </c>
      <c r="I8107" s="17">
        <v>41395</v>
      </c>
    </row>
    <row r="8108" spans="1:10">
      <c r="A8108" s="7" t="s">
        <v>7472</v>
      </c>
      <c r="B8108" s="1" t="s">
        <v>2629</v>
      </c>
      <c r="C8108" s="1">
        <v>6</v>
      </c>
      <c r="D8108" s="1" t="s">
        <v>58</v>
      </c>
      <c r="E8108" s="1" t="s">
        <v>10</v>
      </c>
      <c r="F8108" s="1" t="s">
        <v>118</v>
      </c>
      <c r="G8108" s="1" t="s">
        <v>2543</v>
      </c>
      <c r="H8108" s="1" t="s">
        <v>5</v>
      </c>
      <c r="I8108" s="1" t="s">
        <v>5807</v>
      </c>
      <c r="J8108" s="17"/>
    </row>
    <row r="8109" spans="1:10">
      <c r="A8109" s="7" t="s">
        <v>7473</v>
      </c>
      <c r="B8109" s="1" t="s">
        <v>2629</v>
      </c>
      <c r="C8109" s="1">
        <v>6</v>
      </c>
      <c r="D8109" s="1" t="s">
        <v>58</v>
      </c>
      <c r="E8109" s="1" t="s">
        <v>10</v>
      </c>
      <c r="F8109" s="1" t="s">
        <v>118</v>
      </c>
      <c r="G8109" s="1" t="s">
        <v>2543</v>
      </c>
      <c r="H8109" s="1" t="s">
        <v>5</v>
      </c>
      <c r="I8109" s="1" t="s">
        <v>5807</v>
      </c>
      <c r="J8109" s="17"/>
    </row>
    <row r="8110" spans="1:10">
      <c r="A8110" s="16" t="s">
        <v>7480</v>
      </c>
      <c r="B8110" s="1" t="s">
        <v>2628</v>
      </c>
      <c r="C8110" s="1">
        <v>1101</v>
      </c>
      <c r="D8110" s="1" t="s">
        <v>58</v>
      </c>
      <c r="E8110" s="1" t="s">
        <v>10</v>
      </c>
      <c r="F8110" s="1" t="s">
        <v>5091</v>
      </c>
      <c r="G8110" s="14" t="s">
        <v>7481</v>
      </c>
      <c r="H8110" s="1" t="s">
        <v>5</v>
      </c>
      <c r="I8110" s="17">
        <v>41030</v>
      </c>
    </row>
    <row r="8111" spans="1:10">
      <c r="A8111" s="16" t="s">
        <v>7482</v>
      </c>
      <c r="B8111" s="1" t="s">
        <v>2628</v>
      </c>
      <c r="C8111" s="1">
        <v>6</v>
      </c>
      <c r="D8111" s="1" t="s">
        <v>58</v>
      </c>
      <c r="E8111" s="1" t="s">
        <v>10</v>
      </c>
      <c r="F8111" s="1" t="s">
        <v>5091</v>
      </c>
      <c r="G8111" s="14" t="s">
        <v>6145</v>
      </c>
      <c r="H8111" s="1" t="s">
        <v>43</v>
      </c>
      <c r="I8111" s="17">
        <v>41030</v>
      </c>
    </row>
    <row r="8112" spans="1:10">
      <c r="A8112" s="16" t="s">
        <v>7483</v>
      </c>
      <c r="B8112" s="1" t="s">
        <v>2628</v>
      </c>
      <c r="C8112" s="1">
        <v>6</v>
      </c>
      <c r="D8112" s="1" t="s">
        <v>58</v>
      </c>
      <c r="E8112" s="1" t="s">
        <v>10</v>
      </c>
      <c r="F8112" s="1" t="s">
        <v>5091</v>
      </c>
      <c r="G8112" s="14" t="s">
        <v>7481</v>
      </c>
      <c r="H8112" s="1" t="s">
        <v>5</v>
      </c>
      <c r="I8112" s="17">
        <v>41122</v>
      </c>
    </row>
    <row r="8113" spans="1:9">
      <c r="A8113" s="16" t="s">
        <v>7490</v>
      </c>
      <c r="B8113" s="1" t="s">
        <v>2628</v>
      </c>
      <c r="C8113" s="1">
        <v>6</v>
      </c>
      <c r="D8113" s="1" t="s">
        <v>58</v>
      </c>
      <c r="E8113" s="1" t="s">
        <v>10</v>
      </c>
      <c r="F8113" s="1" t="s">
        <v>5091</v>
      </c>
      <c r="G8113" s="14" t="s">
        <v>7481</v>
      </c>
      <c r="H8113" s="1" t="s">
        <v>5</v>
      </c>
      <c r="I8113" s="17">
        <v>41030</v>
      </c>
    </row>
    <row r="8114" spans="1:9">
      <c r="A8114" s="16" t="s">
        <v>7491</v>
      </c>
      <c r="B8114" s="1" t="s">
        <v>2628</v>
      </c>
      <c r="C8114" s="1">
        <v>6</v>
      </c>
      <c r="D8114" s="1" t="s">
        <v>58</v>
      </c>
      <c r="E8114" s="1" t="s">
        <v>10</v>
      </c>
      <c r="F8114" s="1" t="s">
        <v>5091</v>
      </c>
      <c r="G8114" s="14" t="s">
        <v>7481</v>
      </c>
      <c r="H8114" s="1" t="s">
        <v>5</v>
      </c>
      <c r="I8114" s="17">
        <v>41030</v>
      </c>
    </row>
    <row r="8115" spans="1:9">
      <c r="A8115" s="16" t="s">
        <v>7498</v>
      </c>
      <c r="B8115" s="1" t="s">
        <v>2628</v>
      </c>
      <c r="C8115" s="1">
        <v>6</v>
      </c>
      <c r="D8115" s="1" t="s">
        <v>58</v>
      </c>
      <c r="E8115" s="1" t="s">
        <v>10</v>
      </c>
      <c r="F8115" s="1" t="s">
        <v>5091</v>
      </c>
      <c r="G8115" s="14" t="s">
        <v>6145</v>
      </c>
      <c r="H8115" s="1" t="s">
        <v>43</v>
      </c>
      <c r="I8115" s="17">
        <v>41244</v>
      </c>
    </row>
    <row r="8116" spans="1:9">
      <c r="A8116" s="16" t="s">
        <v>7499</v>
      </c>
      <c r="B8116" s="1" t="s">
        <v>2628</v>
      </c>
      <c r="C8116" s="1">
        <v>6</v>
      </c>
      <c r="D8116" s="1" t="s">
        <v>58</v>
      </c>
      <c r="E8116" s="1" t="s">
        <v>10</v>
      </c>
      <c r="F8116" s="1" t="s">
        <v>5091</v>
      </c>
      <c r="G8116" s="14" t="s">
        <v>6145</v>
      </c>
      <c r="H8116" s="1" t="s">
        <v>43</v>
      </c>
      <c r="I8116" s="17">
        <v>41030</v>
      </c>
    </row>
    <row r="8117" spans="1:9">
      <c r="A8117" s="16" t="s">
        <v>7500</v>
      </c>
      <c r="B8117" s="1" t="s">
        <v>2628</v>
      </c>
      <c r="C8117" s="1">
        <v>6</v>
      </c>
      <c r="D8117" s="1" t="s">
        <v>58</v>
      </c>
      <c r="E8117" s="1" t="s">
        <v>10</v>
      </c>
      <c r="F8117" s="1" t="s">
        <v>5091</v>
      </c>
      <c r="G8117" s="14" t="s">
        <v>7481</v>
      </c>
      <c r="H8117" s="1" t="s">
        <v>5</v>
      </c>
      <c r="I8117" s="17">
        <v>41061</v>
      </c>
    </row>
    <row r="8118" spans="1:9">
      <c r="A8118" s="16" t="s">
        <v>7503</v>
      </c>
      <c r="B8118" s="1" t="s">
        <v>2628</v>
      </c>
      <c r="C8118" s="1">
        <v>6</v>
      </c>
      <c r="D8118" s="1" t="s">
        <v>58</v>
      </c>
      <c r="E8118" s="1" t="s">
        <v>10</v>
      </c>
      <c r="F8118" s="1" t="s">
        <v>5091</v>
      </c>
      <c r="G8118" s="14" t="s">
        <v>6145</v>
      </c>
      <c r="H8118" s="1" t="s">
        <v>43</v>
      </c>
      <c r="I8118" s="17">
        <v>41244</v>
      </c>
    </row>
    <row r="8119" spans="1:9">
      <c r="A8119" s="16" t="s">
        <v>7504</v>
      </c>
      <c r="B8119" s="1" t="s">
        <v>2628</v>
      </c>
      <c r="C8119" s="1">
        <v>6</v>
      </c>
      <c r="D8119" s="1" t="s">
        <v>58</v>
      </c>
      <c r="E8119" s="1" t="s">
        <v>10</v>
      </c>
      <c r="F8119" s="1" t="s">
        <v>5091</v>
      </c>
      <c r="G8119" s="14" t="s">
        <v>6145</v>
      </c>
      <c r="H8119" s="1" t="s">
        <v>43</v>
      </c>
      <c r="I8119" s="17">
        <v>39356</v>
      </c>
    </row>
    <row r="8120" spans="1:9">
      <c r="A8120" s="16" t="s">
        <v>7505</v>
      </c>
      <c r="B8120" s="1" t="s">
        <v>2628</v>
      </c>
      <c r="C8120" s="1">
        <v>6</v>
      </c>
      <c r="D8120" s="1" t="s">
        <v>58</v>
      </c>
      <c r="E8120" s="1" t="s">
        <v>10</v>
      </c>
      <c r="F8120" s="1" t="s">
        <v>5091</v>
      </c>
      <c r="G8120" s="14" t="s">
        <v>6145</v>
      </c>
      <c r="H8120" s="1" t="s">
        <v>43</v>
      </c>
      <c r="I8120" s="17">
        <v>41030</v>
      </c>
    </row>
    <row r="8121" spans="1:9">
      <c r="A8121" s="16" t="s">
        <v>7512</v>
      </c>
      <c r="B8121" s="1" t="s">
        <v>2628</v>
      </c>
      <c r="C8121" s="1">
        <v>6</v>
      </c>
      <c r="D8121" s="1" t="s">
        <v>58</v>
      </c>
      <c r="E8121" s="1" t="s">
        <v>10</v>
      </c>
      <c r="F8121" s="1" t="s">
        <v>5091</v>
      </c>
      <c r="G8121" s="14" t="s">
        <v>6145</v>
      </c>
      <c r="H8121" s="1" t="s">
        <v>43</v>
      </c>
      <c r="I8121" s="17">
        <v>39326</v>
      </c>
    </row>
    <row r="8122" spans="1:9">
      <c r="A8122" s="16" t="s">
        <v>7514</v>
      </c>
      <c r="B8122" s="1" t="s">
        <v>2628</v>
      </c>
      <c r="C8122" s="1">
        <v>6</v>
      </c>
      <c r="D8122" s="1" t="s">
        <v>58</v>
      </c>
      <c r="E8122" s="1" t="s">
        <v>10</v>
      </c>
      <c r="F8122" s="1" t="s">
        <v>5091</v>
      </c>
      <c r="G8122" s="14" t="s">
        <v>6145</v>
      </c>
      <c r="H8122" s="1" t="s">
        <v>43</v>
      </c>
      <c r="I8122" s="17">
        <v>41244</v>
      </c>
    </row>
    <row r="8123" spans="1:9">
      <c r="A8123" s="16" t="s">
        <v>7517</v>
      </c>
      <c r="B8123" s="1" t="s">
        <v>2628</v>
      </c>
      <c r="C8123" s="1">
        <v>6</v>
      </c>
      <c r="D8123" s="1" t="s">
        <v>58</v>
      </c>
      <c r="E8123" s="1" t="s">
        <v>10</v>
      </c>
      <c r="F8123" s="1" t="s">
        <v>5091</v>
      </c>
      <c r="G8123" s="14" t="s">
        <v>6145</v>
      </c>
      <c r="H8123" s="1" t="s">
        <v>43</v>
      </c>
      <c r="I8123" s="17">
        <v>41244</v>
      </c>
    </row>
    <row r="8124" spans="1:9">
      <c r="A8124" s="7" t="s">
        <v>7569</v>
      </c>
      <c r="B8124" s="1" t="s">
        <v>2628</v>
      </c>
      <c r="C8124" s="1">
        <v>6</v>
      </c>
      <c r="D8124" s="1" t="s">
        <v>58</v>
      </c>
      <c r="E8124" s="1" t="s">
        <v>10</v>
      </c>
      <c r="F8124" s="1" t="s">
        <v>5091</v>
      </c>
      <c r="G8124" s="1" t="s">
        <v>6307</v>
      </c>
      <c r="H8124" s="1" t="s">
        <v>44</v>
      </c>
      <c r="I8124" s="1">
        <v>2008</v>
      </c>
    </row>
    <row r="8125" spans="1:9">
      <c r="A8125" s="7" t="s">
        <v>7603</v>
      </c>
      <c r="B8125" s="1" t="s">
        <v>2628</v>
      </c>
      <c r="C8125" s="1">
        <v>6</v>
      </c>
      <c r="D8125" s="1" t="s">
        <v>58</v>
      </c>
      <c r="E8125" s="1" t="s">
        <v>10</v>
      </c>
      <c r="F8125" s="1" t="s">
        <v>5091</v>
      </c>
      <c r="G8125" s="1" t="s">
        <v>7604</v>
      </c>
      <c r="H8125" s="1" t="s">
        <v>44</v>
      </c>
      <c r="I8125" s="1">
        <v>2013</v>
      </c>
    </row>
    <row r="8126" spans="1:9">
      <c r="A8126" s="7" t="s">
        <v>7606</v>
      </c>
      <c r="B8126" s="1" t="s">
        <v>2628</v>
      </c>
      <c r="C8126" s="1">
        <v>6</v>
      </c>
      <c r="D8126" s="1" t="s">
        <v>58</v>
      </c>
      <c r="E8126" s="1" t="s">
        <v>10</v>
      </c>
      <c r="F8126" s="1" t="s">
        <v>5091</v>
      </c>
      <c r="G8126" s="1" t="s">
        <v>7607</v>
      </c>
      <c r="H8126" s="1" t="s">
        <v>43</v>
      </c>
      <c r="I8126" s="1">
        <v>2020</v>
      </c>
    </row>
    <row r="8127" spans="1:9">
      <c r="A8127" s="7" t="s">
        <v>7609</v>
      </c>
      <c r="B8127" s="1" t="s">
        <v>2628</v>
      </c>
      <c r="C8127" s="1">
        <v>6</v>
      </c>
      <c r="D8127" s="1" t="s">
        <v>58</v>
      </c>
      <c r="E8127" s="1" t="s">
        <v>10</v>
      </c>
      <c r="F8127" s="1" t="s">
        <v>5091</v>
      </c>
      <c r="G8127" s="1" t="s">
        <v>7604</v>
      </c>
      <c r="H8127" s="1" t="s">
        <v>44</v>
      </c>
      <c r="I8127" s="1">
        <v>2013</v>
      </c>
    </row>
    <row r="8128" spans="1:9">
      <c r="A8128" s="7" t="s">
        <v>7610</v>
      </c>
      <c r="B8128" s="1" t="s">
        <v>2628</v>
      </c>
      <c r="C8128" s="1">
        <v>6</v>
      </c>
      <c r="D8128" s="1" t="s">
        <v>58</v>
      </c>
      <c r="E8128" s="1" t="s">
        <v>10</v>
      </c>
      <c r="F8128" s="1" t="s">
        <v>5091</v>
      </c>
      <c r="G8128" s="1" t="s">
        <v>6181</v>
      </c>
      <c r="H8128" s="1" t="s">
        <v>118</v>
      </c>
      <c r="I8128" s="1" t="s">
        <v>4458</v>
      </c>
    </row>
    <row r="8129" spans="1:9">
      <c r="A8129" s="16" t="s">
        <v>7666</v>
      </c>
      <c r="B8129" s="1" t="s">
        <v>2628</v>
      </c>
      <c r="C8129" s="1">
        <v>6</v>
      </c>
      <c r="D8129" s="1" t="s">
        <v>58</v>
      </c>
      <c r="E8129" s="1" t="s">
        <v>10</v>
      </c>
      <c r="F8129" s="1" t="s">
        <v>5091</v>
      </c>
      <c r="G8129" s="14" t="s">
        <v>7665</v>
      </c>
      <c r="H8129" s="1" t="s">
        <v>5</v>
      </c>
      <c r="I8129" s="17">
        <v>40700</v>
      </c>
    </row>
    <row r="8130" spans="1:9">
      <c r="A8130" s="16" t="s">
        <v>7667</v>
      </c>
      <c r="B8130" s="1" t="s">
        <v>2628</v>
      </c>
      <c r="C8130" s="1">
        <v>6</v>
      </c>
      <c r="D8130" s="1" t="s">
        <v>58</v>
      </c>
      <c r="E8130" s="1" t="s">
        <v>10</v>
      </c>
      <c r="F8130" s="1" t="s">
        <v>5091</v>
      </c>
      <c r="G8130" s="14" t="s">
        <v>7665</v>
      </c>
      <c r="H8130" s="1" t="s">
        <v>5</v>
      </c>
      <c r="I8130" s="17">
        <v>40701</v>
      </c>
    </row>
    <row r="8131" spans="1:9">
      <c r="A8131" s="16" t="s">
        <v>7668</v>
      </c>
      <c r="B8131" s="1" t="s">
        <v>2628</v>
      </c>
      <c r="C8131" s="1">
        <v>6</v>
      </c>
      <c r="D8131" s="1" t="s">
        <v>58</v>
      </c>
      <c r="E8131" s="1" t="s">
        <v>10</v>
      </c>
      <c r="F8131" s="1" t="s">
        <v>5091</v>
      </c>
      <c r="G8131" s="14" t="s">
        <v>7665</v>
      </c>
      <c r="H8131" s="1" t="s">
        <v>5</v>
      </c>
      <c r="I8131" s="17">
        <v>40672</v>
      </c>
    </row>
    <row r="8132" spans="1:9">
      <c r="A8132" s="16" t="s">
        <v>7681</v>
      </c>
      <c r="B8132" s="1" t="s">
        <v>2628</v>
      </c>
      <c r="C8132" s="1">
        <v>6</v>
      </c>
      <c r="D8132" s="1" t="s">
        <v>58</v>
      </c>
      <c r="E8132" s="1" t="s">
        <v>10</v>
      </c>
      <c r="F8132" s="1" t="s">
        <v>5091</v>
      </c>
      <c r="G8132" s="14" t="s">
        <v>7665</v>
      </c>
      <c r="H8132" s="1" t="s">
        <v>5</v>
      </c>
      <c r="I8132" s="17">
        <v>40525</v>
      </c>
    </row>
    <row r="8133" spans="1:9">
      <c r="A8133" s="16" t="s">
        <v>7682</v>
      </c>
      <c r="B8133" s="1" t="s">
        <v>2628</v>
      </c>
      <c r="C8133" s="1">
        <v>6</v>
      </c>
      <c r="D8133" s="1" t="s">
        <v>58</v>
      </c>
      <c r="E8133" s="1" t="s">
        <v>10</v>
      </c>
      <c r="F8133" s="1" t="s">
        <v>5091</v>
      </c>
      <c r="G8133" s="14" t="s">
        <v>7665</v>
      </c>
      <c r="H8133" s="1" t="s">
        <v>5</v>
      </c>
      <c r="I8133" s="17">
        <v>40525</v>
      </c>
    </row>
    <row r="8134" spans="1:9">
      <c r="A8134" s="16" t="s">
        <v>7683</v>
      </c>
      <c r="B8134" s="1" t="s">
        <v>2628</v>
      </c>
      <c r="C8134" s="1">
        <v>6</v>
      </c>
      <c r="D8134" s="1" t="s">
        <v>58</v>
      </c>
      <c r="E8134" s="1" t="s">
        <v>10</v>
      </c>
      <c r="F8134" s="1" t="s">
        <v>5091</v>
      </c>
      <c r="G8134" s="14" t="s">
        <v>7665</v>
      </c>
      <c r="H8134" s="1" t="s">
        <v>5</v>
      </c>
      <c r="I8134" s="17">
        <v>40525</v>
      </c>
    </row>
    <row r="8135" spans="1:9">
      <c r="A8135" s="16" t="s">
        <v>7687</v>
      </c>
      <c r="B8135" s="1" t="s">
        <v>2628</v>
      </c>
      <c r="C8135" s="1">
        <v>6</v>
      </c>
      <c r="D8135" s="1" t="s">
        <v>58</v>
      </c>
      <c r="E8135" s="1" t="s">
        <v>10</v>
      </c>
      <c r="F8135" s="1" t="s">
        <v>5091</v>
      </c>
      <c r="G8135" s="14" t="s">
        <v>7665</v>
      </c>
      <c r="H8135" s="1" t="s">
        <v>5</v>
      </c>
      <c r="I8135" s="17">
        <v>40554</v>
      </c>
    </row>
    <row r="8136" spans="1:9">
      <c r="A8136" s="16" t="s">
        <v>7688</v>
      </c>
      <c r="B8136" s="1" t="s">
        <v>2628</v>
      </c>
      <c r="C8136" s="1">
        <v>6</v>
      </c>
      <c r="D8136" s="1" t="s">
        <v>58</v>
      </c>
      <c r="E8136" s="1" t="s">
        <v>10</v>
      </c>
      <c r="F8136" s="1" t="s">
        <v>5091</v>
      </c>
      <c r="G8136" s="14" t="s">
        <v>7665</v>
      </c>
      <c r="H8136" s="1" t="s">
        <v>5</v>
      </c>
      <c r="I8136" s="17">
        <v>40554</v>
      </c>
    </row>
    <row r="8137" spans="1:9">
      <c r="A8137" s="16" t="s">
        <v>7689</v>
      </c>
      <c r="B8137" s="1" t="s">
        <v>2628</v>
      </c>
      <c r="C8137" s="1">
        <v>6</v>
      </c>
      <c r="D8137" s="1" t="s">
        <v>58</v>
      </c>
      <c r="E8137" s="1" t="s">
        <v>10</v>
      </c>
      <c r="F8137" s="1" t="s">
        <v>5091</v>
      </c>
      <c r="G8137" s="14" t="s">
        <v>7665</v>
      </c>
      <c r="H8137" s="1" t="s">
        <v>5</v>
      </c>
      <c r="I8137" s="17">
        <v>40554</v>
      </c>
    </row>
    <row r="8138" spans="1:9">
      <c r="A8138" s="16" t="s">
        <v>7690</v>
      </c>
      <c r="B8138" s="1" t="s">
        <v>2628</v>
      </c>
      <c r="C8138" s="1">
        <v>6</v>
      </c>
      <c r="D8138" s="1" t="s">
        <v>58</v>
      </c>
      <c r="E8138" s="1" t="s">
        <v>10</v>
      </c>
      <c r="F8138" s="1" t="s">
        <v>5091</v>
      </c>
      <c r="G8138" s="14" t="s">
        <v>7665</v>
      </c>
      <c r="H8138" s="1" t="s">
        <v>5</v>
      </c>
      <c r="I8138" s="17">
        <v>40554</v>
      </c>
    </row>
    <row r="8139" spans="1:9">
      <c r="A8139" s="16" t="s">
        <v>7692</v>
      </c>
      <c r="B8139" s="1" t="s">
        <v>2628</v>
      </c>
      <c r="C8139" s="1">
        <v>6</v>
      </c>
      <c r="D8139" s="1" t="s">
        <v>58</v>
      </c>
      <c r="E8139" s="1" t="s">
        <v>10</v>
      </c>
      <c r="F8139" s="1" t="s">
        <v>5091</v>
      </c>
      <c r="G8139" s="14" t="s">
        <v>7665</v>
      </c>
      <c r="H8139" s="1" t="s">
        <v>5</v>
      </c>
      <c r="I8139" s="17">
        <v>40554</v>
      </c>
    </row>
    <row r="8140" spans="1:9">
      <c r="A8140" s="16" t="s">
        <v>7693</v>
      </c>
      <c r="B8140" s="1" t="s">
        <v>2628</v>
      </c>
      <c r="C8140" s="1">
        <v>6</v>
      </c>
      <c r="D8140" s="1" t="s">
        <v>58</v>
      </c>
      <c r="E8140" s="1" t="s">
        <v>10</v>
      </c>
      <c r="F8140" s="1" t="s">
        <v>5091</v>
      </c>
      <c r="G8140" s="14" t="s">
        <v>7665</v>
      </c>
      <c r="H8140" s="1" t="s">
        <v>5</v>
      </c>
      <c r="I8140" s="17">
        <v>40554</v>
      </c>
    </row>
    <row r="8141" spans="1:9">
      <c r="A8141" s="16" t="s">
        <v>7701</v>
      </c>
      <c r="B8141" s="1" t="s">
        <v>2628</v>
      </c>
      <c r="C8141" s="1">
        <v>6</v>
      </c>
      <c r="D8141" s="1" t="s">
        <v>58</v>
      </c>
      <c r="E8141" s="1" t="s">
        <v>10</v>
      </c>
      <c r="F8141" s="1" t="s">
        <v>5091</v>
      </c>
      <c r="G8141" s="14" t="s">
        <v>7665</v>
      </c>
      <c r="H8141" s="1" t="s">
        <v>5</v>
      </c>
      <c r="I8141" s="17">
        <v>40492</v>
      </c>
    </row>
    <row r="8142" spans="1:9">
      <c r="A8142" s="16" t="s">
        <v>7708</v>
      </c>
      <c r="B8142" s="1" t="s">
        <v>2628</v>
      </c>
      <c r="C8142" s="1">
        <v>6</v>
      </c>
      <c r="D8142" s="1" t="s">
        <v>58</v>
      </c>
      <c r="E8142" s="1" t="s">
        <v>10</v>
      </c>
      <c r="F8142" s="1" t="s">
        <v>5091</v>
      </c>
      <c r="G8142" s="14" t="s">
        <v>7665</v>
      </c>
      <c r="H8142" s="1" t="s">
        <v>5</v>
      </c>
      <c r="I8142" s="17">
        <v>40414</v>
      </c>
    </row>
    <row r="8143" spans="1:9">
      <c r="A8143" s="16" t="s">
        <v>7711</v>
      </c>
      <c r="B8143" s="1" t="s">
        <v>2628</v>
      </c>
      <c r="C8143" s="1">
        <v>6</v>
      </c>
      <c r="D8143" s="1" t="s">
        <v>58</v>
      </c>
      <c r="E8143" s="1" t="s">
        <v>10</v>
      </c>
      <c r="F8143" s="1" t="s">
        <v>5091</v>
      </c>
      <c r="G8143" s="14" t="s">
        <v>7665</v>
      </c>
      <c r="H8143" s="1" t="s">
        <v>5</v>
      </c>
      <c r="I8143" s="17">
        <v>40428</v>
      </c>
    </row>
    <row r="8144" spans="1:9">
      <c r="A8144" s="16" t="s">
        <v>7712</v>
      </c>
      <c r="B8144" s="1" t="s">
        <v>2628</v>
      </c>
      <c r="C8144" s="1">
        <v>6</v>
      </c>
      <c r="D8144" s="1" t="s">
        <v>58</v>
      </c>
      <c r="E8144" s="1" t="s">
        <v>10</v>
      </c>
      <c r="F8144" s="1" t="s">
        <v>5091</v>
      </c>
      <c r="G8144" s="14" t="s">
        <v>7665</v>
      </c>
      <c r="H8144" s="1" t="s">
        <v>5</v>
      </c>
      <c r="I8144" s="17">
        <v>40428</v>
      </c>
    </row>
    <row r="8145" spans="1:9">
      <c r="A8145" s="16" t="s">
        <v>7713</v>
      </c>
      <c r="B8145" s="1" t="s">
        <v>2628</v>
      </c>
      <c r="C8145" s="1">
        <v>6</v>
      </c>
      <c r="D8145" s="1" t="s">
        <v>58</v>
      </c>
      <c r="E8145" s="1" t="s">
        <v>10</v>
      </c>
      <c r="F8145" s="1" t="s">
        <v>5091</v>
      </c>
      <c r="G8145" s="14" t="s">
        <v>7665</v>
      </c>
      <c r="H8145" s="1" t="s">
        <v>5</v>
      </c>
      <c r="I8145" s="17">
        <v>40428</v>
      </c>
    </row>
    <row r="8146" spans="1:9">
      <c r="A8146" s="16" t="s">
        <v>7722</v>
      </c>
      <c r="B8146" s="1" t="s">
        <v>2628</v>
      </c>
      <c r="C8146" s="1">
        <v>6</v>
      </c>
      <c r="D8146" s="1" t="s">
        <v>58</v>
      </c>
      <c r="E8146" s="1" t="s">
        <v>10</v>
      </c>
      <c r="F8146" s="1" t="s">
        <v>5091</v>
      </c>
      <c r="G8146" s="14" t="s">
        <v>7665</v>
      </c>
      <c r="H8146" s="1" t="s">
        <v>5</v>
      </c>
      <c r="I8146" s="17">
        <v>40392</v>
      </c>
    </row>
    <row r="8147" spans="1:9">
      <c r="A8147" s="16" t="s">
        <v>7724</v>
      </c>
      <c r="B8147" s="1" t="s">
        <v>2628</v>
      </c>
      <c r="C8147" s="1">
        <v>6</v>
      </c>
      <c r="D8147" s="1" t="s">
        <v>58</v>
      </c>
      <c r="E8147" s="1" t="s">
        <v>10</v>
      </c>
      <c r="F8147" s="1" t="s">
        <v>5091</v>
      </c>
      <c r="G8147" s="14" t="s">
        <v>7665</v>
      </c>
      <c r="H8147" s="1" t="s">
        <v>5</v>
      </c>
      <c r="I8147" s="17">
        <v>40392</v>
      </c>
    </row>
    <row r="8148" spans="1:9">
      <c r="A8148" s="16" t="s">
        <v>7727</v>
      </c>
      <c r="B8148" s="1" t="s">
        <v>2628</v>
      </c>
      <c r="C8148" s="1">
        <v>6</v>
      </c>
      <c r="D8148" s="1" t="s">
        <v>58</v>
      </c>
      <c r="E8148" s="1" t="s">
        <v>10</v>
      </c>
      <c r="F8148" s="1" t="s">
        <v>5091</v>
      </c>
      <c r="G8148" s="14" t="s">
        <v>7665</v>
      </c>
      <c r="H8148" s="1" t="s">
        <v>5</v>
      </c>
      <c r="I8148" s="17">
        <v>40399</v>
      </c>
    </row>
    <row r="8149" spans="1:9">
      <c r="A8149" s="16" t="s">
        <v>7728</v>
      </c>
      <c r="B8149" s="1" t="s">
        <v>2628</v>
      </c>
      <c r="C8149" s="1">
        <v>6</v>
      </c>
      <c r="D8149" s="1" t="s">
        <v>58</v>
      </c>
      <c r="E8149" s="1" t="s">
        <v>10</v>
      </c>
      <c r="F8149" s="1" t="s">
        <v>5091</v>
      </c>
      <c r="G8149" s="14" t="s">
        <v>7665</v>
      </c>
      <c r="H8149" s="1" t="s">
        <v>5</v>
      </c>
      <c r="I8149" s="17">
        <v>40399</v>
      </c>
    </row>
    <row r="8150" spans="1:9">
      <c r="A8150" s="16" t="s">
        <v>7729</v>
      </c>
      <c r="B8150" s="1" t="s">
        <v>2628</v>
      </c>
      <c r="C8150" s="1">
        <v>6</v>
      </c>
      <c r="D8150" s="1" t="s">
        <v>58</v>
      </c>
      <c r="E8150" s="1" t="s">
        <v>10</v>
      </c>
      <c r="F8150" s="1" t="s">
        <v>5091</v>
      </c>
      <c r="G8150" s="14" t="s">
        <v>7665</v>
      </c>
      <c r="H8150" s="1" t="s">
        <v>5</v>
      </c>
      <c r="I8150" s="17">
        <v>40399</v>
      </c>
    </row>
    <row r="8151" spans="1:9">
      <c r="A8151" s="16" t="s">
        <v>7730</v>
      </c>
      <c r="B8151" s="1" t="s">
        <v>2628</v>
      </c>
      <c r="C8151" s="1">
        <v>6</v>
      </c>
      <c r="D8151" s="1" t="s">
        <v>58</v>
      </c>
      <c r="E8151" s="1" t="s">
        <v>10</v>
      </c>
      <c r="F8151" s="1" t="s">
        <v>5091</v>
      </c>
      <c r="G8151" s="14" t="s">
        <v>7665</v>
      </c>
      <c r="H8151" s="1" t="s">
        <v>5</v>
      </c>
      <c r="I8151" s="17">
        <v>40399</v>
      </c>
    </row>
    <row r="8152" spans="1:9">
      <c r="A8152" s="16" t="s">
        <v>7739</v>
      </c>
      <c r="B8152" s="1" t="s">
        <v>2628</v>
      </c>
      <c r="C8152" s="1">
        <v>6</v>
      </c>
      <c r="D8152" s="1" t="s">
        <v>58</v>
      </c>
      <c r="E8152" s="1" t="s">
        <v>10</v>
      </c>
      <c r="F8152" s="1" t="s">
        <v>5091</v>
      </c>
      <c r="G8152" s="14" t="s">
        <v>7665</v>
      </c>
      <c r="H8152" s="1" t="s">
        <v>5</v>
      </c>
      <c r="I8152" s="17">
        <v>40282</v>
      </c>
    </row>
    <row r="8153" spans="1:9">
      <c r="A8153" s="16" t="s">
        <v>7740</v>
      </c>
      <c r="B8153" s="1" t="s">
        <v>2628</v>
      </c>
      <c r="C8153" s="1">
        <v>6</v>
      </c>
      <c r="D8153" s="1" t="s">
        <v>58</v>
      </c>
      <c r="E8153" s="1" t="s">
        <v>10</v>
      </c>
      <c r="F8153" s="1" t="s">
        <v>5091</v>
      </c>
      <c r="G8153" s="14" t="s">
        <v>7665</v>
      </c>
      <c r="H8153" s="1" t="s">
        <v>5</v>
      </c>
      <c r="I8153" s="17">
        <v>40290</v>
      </c>
    </row>
    <row r="8154" spans="1:9">
      <c r="A8154" s="16" t="s">
        <v>7746</v>
      </c>
      <c r="B8154" s="1" t="s">
        <v>2628</v>
      </c>
      <c r="C8154" s="1">
        <v>6</v>
      </c>
      <c r="D8154" s="1" t="s">
        <v>58</v>
      </c>
      <c r="E8154" s="1" t="s">
        <v>10</v>
      </c>
      <c r="F8154" s="1" t="s">
        <v>5091</v>
      </c>
      <c r="G8154" s="14" t="s">
        <v>7665</v>
      </c>
      <c r="H8154" s="1" t="s">
        <v>5</v>
      </c>
      <c r="I8154" s="17">
        <v>40315</v>
      </c>
    </row>
    <row r="8155" spans="1:9">
      <c r="A8155" s="16" t="s">
        <v>7747</v>
      </c>
      <c r="B8155" s="1" t="s">
        <v>2628</v>
      </c>
      <c r="C8155" s="1">
        <v>6</v>
      </c>
      <c r="D8155" s="1" t="s">
        <v>58</v>
      </c>
      <c r="E8155" s="1" t="s">
        <v>10</v>
      </c>
      <c r="F8155" s="1" t="s">
        <v>5091</v>
      </c>
      <c r="G8155" s="14" t="s">
        <v>7665</v>
      </c>
      <c r="H8155" s="1" t="s">
        <v>5</v>
      </c>
      <c r="I8155" s="17">
        <v>40315</v>
      </c>
    </row>
    <row r="8156" spans="1:9">
      <c r="A8156" s="16" t="s">
        <v>7748</v>
      </c>
      <c r="B8156" s="1" t="s">
        <v>2628</v>
      </c>
      <c r="C8156" s="1">
        <v>6</v>
      </c>
      <c r="D8156" s="1" t="s">
        <v>58</v>
      </c>
      <c r="E8156" s="1" t="s">
        <v>10</v>
      </c>
      <c r="F8156" s="1" t="s">
        <v>5091</v>
      </c>
      <c r="G8156" s="14" t="s">
        <v>7665</v>
      </c>
      <c r="H8156" s="1" t="s">
        <v>5</v>
      </c>
      <c r="I8156" s="17">
        <v>40343</v>
      </c>
    </row>
    <row r="8157" spans="1:9">
      <c r="A8157" s="16" t="s">
        <v>7754</v>
      </c>
      <c r="B8157" s="1" t="s">
        <v>2628</v>
      </c>
      <c r="C8157" s="1">
        <v>6</v>
      </c>
      <c r="D8157" s="1" t="s">
        <v>58</v>
      </c>
      <c r="E8157" s="1" t="s">
        <v>10</v>
      </c>
      <c r="F8157" s="1" t="s">
        <v>5091</v>
      </c>
      <c r="G8157" s="14" t="s">
        <v>7665</v>
      </c>
      <c r="H8157" s="1" t="s">
        <v>5</v>
      </c>
      <c r="I8157" s="17">
        <v>40483</v>
      </c>
    </row>
    <row r="8158" spans="1:9">
      <c r="A8158" s="16" t="s">
        <v>7755</v>
      </c>
      <c r="B8158" s="1" t="s">
        <v>2628</v>
      </c>
      <c r="C8158" s="1">
        <v>6</v>
      </c>
      <c r="D8158" s="1" t="s">
        <v>58</v>
      </c>
      <c r="E8158" s="1" t="s">
        <v>10</v>
      </c>
      <c r="F8158" s="1" t="s">
        <v>5091</v>
      </c>
      <c r="G8158" s="14" t="s">
        <v>7665</v>
      </c>
      <c r="H8158" s="1" t="s">
        <v>5</v>
      </c>
      <c r="I8158" s="17">
        <v>40483</v>
      </c>
    </row>
    <row r="8159" spans="1:9">
      <c r="A8159" s="16" t="s">
        <v>7756</v>
      </c>
      <c r="B8159" s="1" t="s">
        <v>2628</v>
      </c>
      <c r="C8159" s="1">
        <v>6</v>
      </c>
      <c r="D8159" s="1" t="s">
        <v>58</v>
      </c>
      <c r="E8159" s="1" t="s">
        <v>10</v>
      </c>
      <c r="F8159" s="1" t="s">
        <v>5091</v>
      </c>
      <c r="G8159" s="14" t="s">
        <v>7665</v>
      </c>
      <c r="H8159" s="1" t="s">
        <v>5</v>
      </c>
      <c r="I8159" s="17">
        <v>40483</v>
      </c>
    </row>
    <row r="8160" spans="1:9">
      <c r="A8160" s="16" t="s">
        <v>7757</v>
      </c>
      <c r="B8160" s="1" t="s">
        <v>2628</v>
      </c>
      <c r="C8160" s="1">
        <v>6</v>
      </c>
      <c r="D8160" s="1" t="s">
        <v>58</v>
      </c>
      <c r="E8160" s="1" t="s">
        <v>10</v>
      </c>
      <c r="F8160" s="1" t="s">
        <v>5091</v>
      </c>
      <c r="G8160" s="14" t="s">
        <v>7665</v>
      </c>
      <c r="H8160" s="1" t="s">
        <v>5</v>
      </c>
      <c r="I8160" s="17">
        <v>40483</v>
      </c>
    </row>
    <row r="8161" spans="1:10">
      <c r="A8161" s="16" t="s">
        <v>7772</v>
      </c>
      <c r="B8161" s="1" t="s">
        <v>2628</v>
      </c>
      <c r="C8161" s="1">
        <v>6</v>
      </c>
      <c r="D8161" s="1" t="s">
        <v>58</v>
      </c>
      <c r="E8161" s="1" t="s">
        <v>10</v>
      </c>
      <c r="F8161" s="1" t="s">
        <v>5091</v>
      </c>
      <c r="G8161" s="14" t="s">
        <v>7665</v>
      </c>
      <c r="H8161" s="1" t="s">
        <v>5</v>
      </c>
      <c r="I8161" s="17">
        <v>40414</v>
      </c>
    </row>
    <row r="8162" spans="1:10">
      <c r="A8162" s="16" t="s">
        <v>7773</v>
      </c>
      <c r="B8162" s="1" t="s">
        <v>2628</v>
      </c>
      <c r="C8162" s="1">
        <v>6</v>
      </c>
      <c r="D8162" s="1" t="s">
        <v>58</v>
      </c>
      <c r="E8162" s="1" t="s">
        <v>10</v>
      </c>
      <c r="F8162" s="1" t="s">
        <v>5091</v>
      </c>
      <c r="G8162" s="14" t="s">
        <v>7665</v>
      </c>
      <c r="H8162" s="1" t="s">
        <v>5</v>
      </c>
      <c r="I8162" s="17">
        <v>40518</v>
      </c>
    </row>
    <row r="8163" spans="1:10">
      <c r="A8163" s="16" t="s">
        <v>7776</v>
      </c>
      <c r="B8163" s="1" t="s">
        <v>2628</v>
      </c>
      <c r="C8163" s="1">
        <v>6</v>
      </c>
      <c r="D8163" s="1" t="s">
        <v>58</v>
      </c>
      <c r="E8163" s="1" t="s">
        <v>10</v>
      </c>
      <c r="F8163" s="1" t="s">
        <v>5091</v>
      </c>
      <c r="G8163" s="14" t="s">
        <v>7665</v>
      </c>
      <c r="H8163" s="1" t="s">
        <v>5</v>
      </c>
      <c r="I8163" s="17">
        <v>40477</v>
      </c>
    </row>
    <row r="8164" spans="1:10">
      <c r="A8164" s="16" t="s">
        <v>7779</v>
      </c>
      <c r="B8164" s="1" t="s">
        <v>2628</v>
      </c>
      <c r="C8164" s="1">
        <v>6</v>
      </c>
      <c r="D8164" s="1" t="s">
        <v>58</v>
      </c>
      <c r="E8164" s="1" t="s">
        <v>10</v>
      </c>
      <c r="F8164" s="1" t="s">
        <v>5091</v>
      </c>
      <c r="G8164" s="14" t="s">
        <v>7665</v>
      </c>
      <c r="H8164" s="1" t="s">
        <v>5</v>
      </c>
      <c r="I8164" s="17">
        <v>40477</v>
      </c>
    </row>
    <row r="8165" spans="1:10">
      <c r="A8165" s="16" t="s">
        <v>7780</v>
      </c>
      <c r="B8165" s="1" t="s">
        <v>2628</v>
      </c>
      <c r="C8165" s="1">
        <v>6</v>
      </c>
      <c r="D8165" s="1" t="s">
        <v>58</v>
      </c>
      <c r="E8165" s="1" t="s">
        <v>10</v>
      </c>
      <c r="F8165" s="1" t="s">
        <v>5091</v>
      </c>
      <c r="G8165" s="14" t="s">
        <v>7665</v>
      </c>
      <c r="H8165" s="1" t="s">
        <v>5</v>
      </c>
      <c r="I8165" s="17">
        <v>40477</v>
      </c>
    </row>
    <row r="8166" spans="1:10">
      <c r="A8166" s="16" t="s">
        <v>7864</v>
      </c>
      <c r="B8166" s="1" t="s">
        <v>2628</v>
      </c>
      <c r="C8166" s="1">
        <v>6</v>
      </c>
      <c r="D8166" s="1" t="s">
        <v>58</v>
      </c>
      <c r="E8166" s="1" t="s">
        <v>10</v>
      </c>
      <c r="F8166" s="1" t="s">
        <v>5091</v>
      </c>
      <c r="G8166" s="14" t="s">
        <v>7865</v>
      </c>
      <c r="H8166" s="1" t="s">
        <v>5</v>
      </c>
      <c r="I8166" s="17">
        <v>41640</v>
      </c>
    </row>
    <row r="8167" spans="1:10">
      <c r="A8167" s="7" t="s">
        <v>7944</v>
      </c>
      <c r="B8167" s="1" t="s">
        <v>2629</v>
      </c>
      <c r="C8167" s="1">
        <v>6</v>
      </c>
      <c r="D8167" s="1" t="s">
        <v>58</v>
      </c>
      <c r="E8167" s="1" t="s">
        <v>10</v>
      </c>
      <c r="F8167" s="1" t="s">
        <v>118</v>
      </c>
      <c r="G8167" s="1" t="s">
        <v>7895</v>
      </c>
      <c r="H8167" s="1" t="s">
        <v>43</v>
      </c>
      <c r="I8167" s="1" t="s">
        <v>6090</v>
      </c>
    </row>
    <row r="8168" spans="1:10">
      <c r="A8168" s="7" t="s">
        <v>8014</v>
      </c>
      <c r="B8168" s="1" t="s">
        <v>2629</v>
      </c>
      <c r="C8168" s="1">
        <v>6</v>
      </c>
      <c r="D8168" s="1" t="s">
        <v>58</v>
      </c>
      <c r="E8168" s="1" t="s">
        <v>10</v>
      </c>
      <c r="F8168" s="1" t="s">
        <v>5241</v>
      </c>
      <c r="G8168" s="1" t="s">
        <v>6307</v>
      </c>
      <c r="H8168" s="1" t="s">
        <v>44</v>
      </c>
      <c r="I8168" s="1">
        <v>2009</v>
      </c>
    </row>
    <row r="8169" spans="1:10">
      <c r="A8169" s="7" t="s">
        <v>8016</v>
      </c>
      <c r="B8169" s="1" t="s">
        <v>2629</v>
      </c>
      <c r="C8169" s="1">
        <v>6</v>
      </c>
      <c r="D8169" s="1" t="s">
        <v>58</v>
      </c>
      <c r="E8169" s="1" t="s">
        <v>10</v>
      </c>
      <c r="F8169" s="1" t="s">
        <v>5241</v>
      </c>
      <c r="G8169" s="1" t="s">
        <v>4803</v>
      </c>
      <c r="H8169" s="1" t="s">
        <v>5</v>
      </c>
      <c r="I8169" s="1">
        <v>2008</v>
      </c>
      <c r="J8169" s="17"/>
    </row>
    <row r="8170" spans="1:10">
      <c r="A8170" s="7" t="s">
        <v>8017</v>
      </c>
      <c r="B8170" s="1" t="s">
        <v>2629</v>
      </c>
      <c r="C8170" s="1">
        <v>6</v>
      </c>
      <c r="D8170" s="1" t="s">
        <v>58</v>
      </c>
      <c r="E8170" s="1" t="s">
        <v>10</v>
      </c>
      <c r="F8170" s="1" t="s">
        <v>5241</v>
      </c>
      <c r="G8170" s="1" t="s">
        <v>4803</v>
      </c>
      <c r="H8170" s="1" t="s">
        <v>5</v>
      </c>
      <c r="I8170" s="1">
        <v>2009</v>
      </c>
      <c r="J8170" s="17"/>
    </row>
    <row r="8171" spans="1:10">
      <c r="A8171" s="7" t="s">
        <v>8022</v>
      </c>
      <c r="B8171" s="1" t="s">
        <v>2629</v>
      </c>
      <c r="C8171" s="1">
        <v>6</v>
      </c>
      <c r="D8171" s="1" t="s">
        <v>58</v>
      </c>
      <c r="E8171" s="1" t="s">
        <v>10</v>
      </c>
      <c r="F8171" s="1" t="s">
        <v>5241</v>
      </c>
      <c r="G8171" s="1" t="s">
        <v>4803</v>
      </c>
      <c r="H8171" s="1" t="s">
        <v>5</v>
      </c>
      <c r="I8171" s="1">
        <v>2009</v>
      </c>
      <c r="J8171" s="17"/>
    </row>
    <row r="8172" spans="1:10">
      <c r="A8172" s="7" t="s">
        <v>8042</v>
      </c>
      <c r="B8172" s="1" t="s">
        <v>2629</v>
      </c>
      <c r="C8172" s="1">
        <v>6</v>
      </c>
      <c r="D8172" s="1" t="s">
        <v>58</v>
      </c>
      <c r="E8172" s="1" t="s">
        <v>10</v>
      </c>
      <c r="F8172" s="1" t="s">
        <v>5241</v>
      </c>
      <c r="G8172" s="1" t="s">
        <v>4803</v>
      </c>
      <c r="H8172" s="1" t="s">
        <v>5</v>
      </c>
      <c r="I8172" s="1">
        <v>2014</v>
      </c>
      <c r="J8172" s="17"/>
    </row>
    <row r="8173" spans="1:10">
      <c r="A8173" s="7" t="s">
        <v>8044</v>
      </c>
      <c r="B8173" s="1" t="s">
        <v>2629</v>
      </c>
      <c r="C8173" s="1">
        <v>6</v>
      </c>
      <c r="D8173" s="1" t="s">
        <v>58</v>
      </c>
      <c r="E8173" s="1" t="s">
        <v>10</v>
      </c>
      <c r="F8173" s="1" t="s">
        <v>5241</v>
      </c>
      <c r="G8173" s="1" t="s">
        <v>4803</v>
      </c>
      <c r="H8173" s="1" t="s">
        <v>5</v>
      </c>
      <c r="I8173" s="1" t="s">
        <v>5722</v>
      </c>
      <c r="J8173" s="17"/>
    </row>
    <row r="8174" spans="1:10">
      <c r="A8174" s="7" t="s">
        <v>8156</v>
      </c>
      <c r="B8174" s="1" t="s">
        <v>2628</v>
      </c>
      <c r="C8174" s="1">
        <v>6</v>
      </c>
      <c r="D8174" s="1" t="s">
        <v>58</v>
      </c>
      <c r="E8174" s="1" t="s">
        <v>10</v>
      </c>
      <c r="F8174" s="1" t="s">
        <v>5091</v>
      </c>
      <c r="G8174" s="1" t="s">
        <v>8157</v>
      </c>
      <c r="H8174" s="1" t="s">
        <v>43</v>
      </c>
      <c r="I8174" s="1">
        <v>2003</v>
      </c>
    </row>
    <row r="8175" spans="1:10">
      <c r="A8175" s="7" t="s">
        <v>8360</v>
      </c>
      <c r="B8175" s="1" t="s">
        <v>2629</v>
      </c>
      <c r="C8175" s="1">
        <v>6</v>
      </c>
      <c r="D8175" s="1" t="s">
        <v>58</v>
      </c>
      <c r="E8175" s="1" t="s">
        <v>10</v>
      </c>
      <c r="F8175" s="1" t="s">
        <v>5241</v>
      </c>
      <c r="G8175" s="1" t="s">
        <v>6307</v>
      </c>
      <c r="H8175" s="1" t="s">
        <v>44</v>
      </c>
      <c r="I8175" s="1" t="s">
        <v>8096</v>
      </c>
    </row>
    <row r="8176" spans="1:10">
      <c r="A8176" s="16" t="s">
        <v>8416</v>
      </c>
      <c r="B8176" s="1" t="s">
        <v>2628</v>
      </c>
      <c r="C8176" s="1">
        <v>6</v>
      </c>
      <c r="D8176" s="1" t="s">
        <v>58</v>
      </c>
      <c r="E8176" s="1" t="s">
        <v>10</v>
      </c>
      <c r="F8176" s="1" t="s">
        <v>5091</v>
      </c>
      <c r="G8176" s="14" t="s">
        <v>8417</v>
      </c>
      <c r="H8176" s="1" t="s">
        <v>5</v>
      </c>
      <c r="I8176" s="17">
        <v>41067</v>
      </c>
    </row>
    <row r="8177" spans="1:9" ht="31.2">
      <c r="A8177" s="16" t="s">
        <v>8469</v>
      </c>
      <c r="B8177" s="1" t="s">
        <v>2628</v>
      </c>
      <c r="C8177" s="1">
        <v>6</v>
      </c>
      <c r="D8177" s="1" t="s">
        <v>58</v>
      </c>
      <c r="E8177" s="1" t="s">
        <v>10</v>
      </c>
      <c r="F8177" s="1" t="s">
        <v>5091</v>
      </c>
      <c r="G8177" s="14" t="s">
        <v>6145</v>
      </c>
      <c r="H8177" s="1" t="s">
        <v>43</v>
      </c>
      <c r="I8177" s="17">
        <v>41591</v>
      </c>
    </row>
    <row r="8178" spans="1:9">
      <c r="A8178" s="16" t="s">
        <v>8514</v>
      </c>
      <c r="B8178" s="1" t="s">
        <v>2628</v>
      </c>
      <c r="C8178" s="1">
        <v>6</v>
      </c>
      <c r="D8178" s="1" t="s">
        <v>58</v>
      </c>
      <c r="E8178" s="1" t="s">
        <v>10</v>
      </c>
      <c r="F8178" s="1" t="s">
        <v>5091</v>
      </c>
      <c r="G8178" s="14" t="s">
        <v>7481</v>
      </c>
      <c r="H8178" s="1" t="s">
        <v>5</v>
      </c>
      <c r="I8178" s="17">
        <v>41518</v>
      </c>
    </row>
    <row r="8179" spans="1:9">
      <c r="A8179" s="16" t="s">
        <v>8521</v>
      </c>
      <c r="B8179" s="1" t="s">
        <v>2628</v>
      </c>
      <c r="C8179" s="1">
        <v>6</v>
      </c>
      <c r="D8179" s="1" t="s">
        <v>58</v>
      </c>
      <c r="E8179" s="1" t="s">
        <v>10</v>
      </c>
      <c r="F8179" s="1" t="s">
        <v>5091</v>
      </c>
      <c r="G8179" s="14" t="s">
        <v>7481</v>
      </c>
      <c r="H8179" s="1" t="s">
        <v>5</v>
      </c>
      <c r="I8179" s="17">
        <v>40848</v>
      </c>
    </row>
    <row r="8180" spans="1:9" ht="31.2">
      <c r="A8180" s="16" t="s">
        <v>8528</v>
      </c>
      <c r="B8180" s="1" t="s">
        <v>2628</v>
      </c>
      <c r="C8180" s="1">
        <v>6</v>
      </c>
      <c r="D8180" s="1" t="s">
        <v>58</v>
      </c>
      <c r="E8180" s="1" t="s">
        <v>10</v>
      </c>
      <c r="F8180" s="1" t="s">
        <v>5091</v>
      </c>
      <c r="G8180" s="14" t="s">
        <v>6145</v>
      </c>
      <c r="H8180" s="1" t="s">
        <v>43</v>
      </c>
      <c r="I8180" s="17">
        <v>41591</v>
      </c>
    </row>
    <row r="8181" spans="1:9">
      <c r="A8181" s="16" t="s">
        <v>8532</v>
      </c>
      <c r="B8181" s="1" t="s">
        <v>2628</v>
      </c>
      <c r="C8181" s="1">
        <v>6</v>
      </c>
      <c r="D8181" s="1" t="s">
        <v>58</v>
      </c>
      <c r="E8181" s="1" t="s">
        <v>10</v>
      </c>
      <c r="F8181" s="1" t="s">
        <v>5091</v>
      </c>
      <c r="G8181" s="14" t="s">
        <v>7481</v>
      </c>
      <c r="H8181" s="1" t="s">
        <v>5</v>
      </c>
      <c r="I8181" s="17">
        <v>41244</v>
      </c>
    </row>
    <row r="8182" spans="1:9">
      <c r="A8182" s="16" t="s">
        <v>8843</v>
      </c>
      <c r="B8182" s="1" t="s">
        <v>2628</v>
      </c>
      <c r="C8182" s="1">
        <v>6</v>
      </c>
      <c r="D8182" s="1" t="s">
        <v>58</v>
      </c>
      <c r="E8182" s="1" t="s">
        <v>10</v>
      </c>
      <c r="F8182" s="1" t="s">
        <v>118</v>
      </c>
      <c r="G8182" s="14" t="s">
        <v>4458</v>
      </c>
      <c r="H8182" s="1" t="s">
        <v>118</v>
      </c>
      <c r="I8182" s="1" t="s">
        <v>4458</v>
      </c>
    </row>
    <row r="8183" spans="1:9">
      <c r="A8183" s="16" t="s">
        <v>8846</v>
      </c>
      <c r="B8183" s="1" t="s">
        <v>2628</v>
      </c>
      <c r="C8183" s="1">
        <v>6</v>
      </c>
      <c r="D8183" s="1" t="s">
        <v>58</v>
      </c>
      <c r="E8183" s="1" t="s">
        <v>10</v>
      </c>
      <c r="F8183" s="1" t="s">
        <v>118</v>
      </c>
      <c r="G8183" s="14" t="s">
        <v>4458</v>
      </c>
      <c r="H8183" s="1" t="s">
        <v>118</v>
      </c>
      <c r="I8183" s="1" t="s">
        <v>4458</v>
      </c>
    </row>
    <row r="8184" spans="1:9">
      <c r="A8184" s="16" t="s">
        <v>8847</v>
      </c>
      <c r="B8184" s="1" t="s">
        <v>2628</v>
      </c>
      <c r="C8184" s="1">
        <v>6</v>
      </c>
      <c r="D8184" s="1" t="s">
        <v>58</v>
      </c>
      <c r="E8184" s="1" t="s">
        <v>10</v>
      </c>
      <c r="F8184" s="1" t="s">
        <v>118</v>
      </c>
      <c r="G8184" s="14" t="s">
        <v>8848</v>
      </c>
      <c r="H8184" s="1" t="s">
        <v>5</v>
      </c>
      <c r="I8184" s="1" t="s">
        <v>4458</v>
      </c>
    </row>
    <row r="8185" spans="1:9">
      <c r="A8185" s="16" t="s">
        <v>8849</v>
      </c>
      <c r="B8185" s="1" t="s">
        <v>2628</v>
      </c>
      <c r="C8185" s="1">
        <v>6</v>
      </c>
      <c r="D8185" s="1" t="s">
        <v>58</v>
      </c>
      <c r="E8185" s="1" t="s">
        <v>10</v>
      </c>
      <c r="F8185" s="1" t="s">
        <v>118</v>
      </c>
      <c r="G8185" s="14" t="s">
        <v>4458</v>
      </c>
      <c r="H8185" s="1" t="s">
        <v>118</v>
      </c>
      <c r="I8185" s="1" t="s">
        <v>4458</v>
      </c>
    </row>
    <row r="8186" spans="1:9">
      <c r="A8186" s="16" t="s">
        <v>8850</v>
      </c>
      <c r="B8186" s="1" t="s">
        <v>2628</v>
      </c>
      <c r="C8186" s="1">
        <v>6</v>
      </c>
      <c r="D8186" s="1" t="s">
        <v>58</v>
      </c>
      <c r="E8186" s="1" t="s">
        <v>10</v>
      </c>
      <c r="F8186" s="1" t="s">
        <v>118</v>
      </c>
      <c r="G8186" s="14" t="s">
        <v>8848</v>
      </c>
      <c r="H8186" s="1" t="s">
        <v>5</v>
      </c>
      <c r="I8186" s="1" t="s">
        <v>4458</v>
      </c>
    </row>
    <row r="8187" spans="1:9">
      <c r="A8187" s="16" t="s">
        <v>8851</v>
      </c>
      <c r="B8187" s="1" t="s">
        <v>2628</v>
      </c>
      <c r="C8187" s="1">
        <v>6</v>
      </c>
      <c r="D8187" s="1" t="s">
        <v>58</v>
      </c>
      <c r="E8187" s="1" t="s">
        <v>10</v>
      </c>
      <c r="F8187" s="1" t="s">
        <v>118</v>
      </c>
      <c r="G8187" s="14" t="s">
        <v>8848</v>
      </c>
      <c r="H8187" s="1" t="s">
        <v>5</v>
      </c>
      <c r="I8187" s="1" t="s">
        <v>4458</v>
      </c>
    </row>
    <row r="8188" spans="1:9">
      <c r="A8188" s="16" t="s">
        <v>8877</v>
      </c>
      <c r="B8188" s="1" t="s">
        <v>2628</v>
      </c>
      <c r="C8188" s="1">
        <v>6</v>
      </c>
      <c r="D8188" s="1" t="s">
        <v>58</v>
      </c>
      <c r="E8188" s="1" t="s">
        <v>10</v>
      </c>
      <c r="F8188" s="1" t="s">
        <v>5091</v>
      </c>
      <c r="G8188" s="14" t="s">
        <v>6145</v>
      </c>
      <c r="H8188" s="1" t="s">
        <v>43</v>
      </c>
      <c r="I8188" s="17">
        <v>42045</v>
      </c>
    </row>
    <row r="8189" spans="1:9">
      <c r="A8189" s="16" t="s">
        <v>8878</v>
      </c>
      <c r="B8189" s="1" t="s">
        <v>2628</v>
      </c>
      <c r="C8189" s="1">
        <v>6</v>
      </c>
      <c r="D8189" s="1" t="s">
        <v>58</v>
      </c>
      <c r="E8189" s="1" t="s">
        <v>10</v>
      </c>
      <c r="F8189" s="1" t="s">
        <v>5091</v>
      </c>
      <c r="G8189" s="14" t="s">
        <v>6145</v>
      </c>
      <c r="H8189" s="1" t="s">
        <v>43</v>
      </c>
      <c r="I8189" s="17">
        <v>42045</v>
      </c>
    </row>
    <row r="8190" spans="1:9">
      <c r="A8190" s="16" t="s">
        <v>8879</v>
      </c>
      <c r="B8190" s="1" t="s">
        <v>2628</v>
      </c>
      <c r="C8190" s="1">
        <v>6</v>
      </c>
      <c r="D8190" s="1" t="s">
        <v>58</v>
      </c>
      <c r="E8190" s="1" t="s">
        <v>10</v>
      </c>
      <c r="F8190" s="1" t="s">
        <v>5091</v>
      </c>
      <c r="G8190" s="14" t="s">
        <v>6145</v>
      </c>
      <c r="H8190" s="1" t="s">
        <v>43</v>
      </c>
      <c r="I8190" s="17">
        <v>42045</v>
      </c>
    </row>
    <row r="8191" spans="1:9">
      <c r="A8191" s="16" t="s">
        <v>8880</v>
      </c>
      <c r="B8191" s="1" t="s">
        <v>2628</v>
      </c>
      <c r="C8191" s="1">
        <v>6</v>
      </c>
      <c r="D8191" s="1" t="s">
        <v>58</v>
      </c>
      <c r="E8191" s="1" t="s">
        <v>10</v>
      </c>
      <c r="F8191" s="1" t="s">
        <v>5091</v>
      </c>
      <c r="G8191" s="14" t="s">
        <v>6145</v>
      </c>
      <c r="H8191" s="1" t="s">
        <v>43</v>
      </c>
      <c r="I8191" s="17">
        <v>42045</v>
      </c>
    </row>
    <row r="8192" spans="1:9">
      <c r="A8192" s="16" t="s">
        <v>8881</v>
      </c>
      <c r="B8192" s="1" t="s">
        <v>2628</v>
      </c>
      <c r="C8192" s="1">
        <v>6</v>
      </c>
      <c r="D8192" s="1" t="s">
        <v>58</v>
      </c>
      <c r="E8192" s="1" t="s">
        <v>10</v>
      </c>
      <c r="F8192" s="1" t="s">
        <v>5091</v>
      </c>
      <c r="G8192" s="14" t="s">
        <v>6145</v>
      </c>
      <c r="H8192" s="1" t="s">
        <v>43</v>
      </c>
      <c r="I8192" s="17">
        <v>42045</v>
      </c>
    </row>
    <row r="8193" spans="1:9">
      <c r="A8193" s="16" t="s">
        <v>8913</v>
      </c>
      <c r="B8193" s="1" t="s">
        <v>2628</v>
      </c>
      <c r="C8193" s="1">
        <v>1173</v>
      </c>
      <c r="D8193" s="1" t="s">
        <v>58</v>
      </c>
      <c r="E8193" s="1" t="s">
        <v>10</v>
      </c>
      <c r="F8193" s="1" t="s">
        <v>5091</v>
      </c>
      <c r="G8193" s="14" t="s">
        <v>4458</v>
      </c>
      <c r="H8193" s="1" t="s">
        <v>118</v>
      </c>
      <c r="I8193" s="17">
        <v>37844</v>
      </c>
    </row>
    <row r="8194" spans="1:9">
      <c r="A8194" s="16" t="s">
        <v>9053</v>
      </c>
      <c r="B8194" s="1" t="s">
        <v>2628</v>
      </c>
      <c r="C8194" s="1">
        <v>6</v>
      </c>
      <c r="D8194" s="1" t="s">
        <v>58</v>
      </c>
      <c r="E8194" s="1" t="s">
        <v>10</v>
      </c>
      <c r="F8194" s="1" t="s">
        <v>5091</v>
      </c>
      <c r="G8194" s="14" t="s">
        <v>4458</v>
      </c>
      <c r="H8194" s="1" t="s">
        <v>118</v>
      </c>
      <c r="I8194" s="1" t="s">
        <v>4458</v>
      </c>
    </row>
    <row r="8195" spans="1:9">
      <c r="A8195" s="16" t="s">
        <v>9093</v>
      </c>
      <c r="B8195" s="1" t="s">
        <v>2628</v>
      </c>
      <c r="C8195" s="1">
        <v>6</v>
      </c>
      <c r="D8195" s="1" t="s">
        <v>58</v>
      </c>
      <c r="E8195" s="1" t="s">
        <v>10</v>
      </c>
      <c r="F8195" s="1" t="s">
        <v>5091</v>
      </c>
      <c r="G8195" s="14" t="s">
        <v>6145</v>
      </c>
      <c r="H8195" s="1" t="s">
        <v>43</v>
      </c>
      <c r="I8195" s="17">
        <v>42124</v>
      </c>
    </row>
    <row r="8196" spans="1:9">
      <c r="A8196" s="16" t="s">
        <v>9096</v>
      </c>
      <c r="B8196" s="1" t="s">
        <v>2628</v>
      </c>
      <c r="C8196" s="1">
        <v>6</v>
      </c>
      <c r="D8196" s="1" t="s">
        <v>58</v>
      </c>
      <c r="E8196" s="1" t="s">
        <v>10</v>
      </c>
      <c r="F8196" s="1" t="s">
        <v>5091</v>
      </c>
      <c r="G8196" s="14" t="s">
        <v>6145</v>
      </c>
      <c r="H8196" s="1" t="s">
        <v>43</v>
      </c>
      <c r="I8196" s="17">
        <v>42124</v>
      </c>
    </row>
    <row r="8197" spans="1:9">
      <c r="A8197" s="16" t="s">
        <v>9217</v>
      </c>
      <c r="B8197" s="1" t="s">
        <v>2628</v>
      </c>
      <c r="C8197" s="1">
        <v>6</v>
      </c>
      <c r="D8197" s="1" t="s">
        <v>58</v>
      </c>
      <c r="E8197" s="1" t="s">
        <v>10</v>
      </c>
      <c r="F8197" s="1" t="s">
        <v>5091</v>
      </c>
      <c r="G8197" s="14" t="s">
        <v>6145</v>
      </c>
      <c r="H8197" s="1" t="s">
        <v>43</v>
      </c>
      <c r="I8197" s="17">
        <v>40058</v>
      </c>
    </row>
    <row r="8198" spans="1:9">
      <c r="A8198" s="16" t="s">
        <v>9223</v>
      </c>
      <c r="B8198" s="1" t="s">
        <v>2628</v>
      </c>
      <c r="C8198" s="1">
        <v>6</v>
      </c>
      <c r="D8198" s="1" t="s">
        <v>58</v>
      </c>
      <c r="E8198" s="1" t="s">
        <v>10</v>
      </c>
      <c r="F8198" s="1" t="s">
        <v>5091</v>
      </c>
      <c r="G8198" s="14" t="s">
        <v>9224</v>
      </c>
      <c r="H8198" s="1" t="s">
        <v>5</v>
      </c>
      <c r="I8198" s="17">
        <v>38546</v>
      </c>
    </row>
    <row r="8199" spans="1:9">
      <c r="A8199" s="16" t="s">
        <v>9355</v>
      </c>
      <c r="B8199" s="1" t="s">
        <v>2628</v>
      </c>
      <c r="C8199" s="1">
        <v>6</v>
      </c>
      <c r="D8199" s="1" t="s">
        <v>58</v>
      </c>
      <c r="E8199" s="1" t="s">
        <v>10</v>
      </c>
      <c r="F8199" s="1" t="s">
        <v>5091</v>
      </c>
      <c r="G8199" s="14" t="s">
        <v>6145</v>
      </c>
      <c r="H8199" s="1" t="s">
        <v>43</v>
      </c>
      <c r="I8199" s="17">
        <v>42205</v>
      </c>
    </row>
    <row r="8200" spans="1:9">
      <c r="A8200" s="16" t="s">
        <v>9356</v>
      </c>
      <c r="B8200" s="1" t="s">
        <v>2628</v>
      </c>
      <c r="C8200" s="1">
        <v>6</v>
      </c>
      <c r="D8200" s="1" t="s">
        <v>58</v>
      </c>
      <c r="E8200" s="1" t="s">
        <v>10</v>
      </c>
      <c r="F8200" s="1" t="s">
        <v>5091</v>
      </c>
      <c r="G8200" s="14" t="s">
        <v>6145</v>
      </c>
      <c r="H8200" s="1" t="s">
        <v>43</v>
      </c>
      <c r="I8200" s="17">
        <v>42205</v>
      </c>
    </row>
    <row r="8201" spans="1:9">
      <c r="A8201" s="16" t="s">
        <v>9357</v>
      </c>
      <c r="B8201" s="1" t="s">
        <v>2628</v>
      </c>
      <c r="C8201" s="1">
        <v>6</v>
      </c>
      <c r="D8201" s="1" t="s">
        <v>58</v>
      </c>
      <c r="E8201" s="1" t="s">
        <v>10</v>
      </c>
      <c r="F8201" s="1" t="s">
        <v>5091</v>
      </c>
      <c r="G8201" s="14" t="s">
        <v>6145</v>
      </c>
      <c r="H8201" s="1" t="s">
        <v>43</v>
      </c>
      <c r="I8201" s="17">
        <v>42205</v>
      </c>
    </row>
    <row r="8202" spans="1:9">
      <c r="A8202" s="16" t="s">
        <v>9358</v>
      </c>
      <c r="B8202" s="1" t="s">
        <v>2628</v>
      </c>
      <c r="C8202" s="1">
        <v>6</v>
      </c>
      <c r="D8202" s="1" t="s">
        <v>58</v>
      </c>
      <c r="E8202" s="1" t="s">
        <v>10</v>
      </c>
      <c r="F8202" s="1" t="s">
        <v>5091</v>
      </c>
      <c r="G8202" s="14" t="s">
        <v>6145</v>
      </c>
      <c r="H8202" s="1" t="s">
        <v>43</v>
      </c>
      <c r="I8202" s="17">
        <v>42205</v>
      </c>
    </row>
    <row r="8203" spans="1:9">
      <c r="A8203" s="16" t="s">
        <v>9363</v>
      </c>
      <c r="B8203" s="1" t="s">
        <v>2628</v>
      </c>
      <c r="C8203" s="1">
        <v>6</v>
      </c>
      <c r="D8203" s="1" t="s">
        <v>58</v>
      </c>
      <c r="E8203" s="1" t="s">
        <v>10</v>
      </c>
      <c r="F8203" s="1" t="s">
        <v>5091</v>
      </c>
      <c r="G8203" s="14" t="s">
        <v>6145</v>
      </c>
      <c r="H8203" s="1" t="s">
        <v>43</v>
      </c>
      <c r="I8203" s="17">
        <v>42205</v>
      </c>
    </row>
    <row r="8204" spans="1:9">
      <c r="A8204" s="16" t="s">
        <v>9365</v>
      </c>
      <c r="B8204" s="1" t="s">
        <v>2628</v>
      </c>
      <c r="C8204" s="1">
        <v>6</v>
      </c>
      <c r="D8204" s="1" t="s">
        <v>58</v>
      </c>
      <c r="E8204" s="1" t="s">
        <v>10</v>
      </c>
      <c r="F8204" s="1" t="s">
        <v>5091</v>
      </c>
      <c r="G8204" s="14" t="s">
        <v>6145</v>
      </c>
      <c r="H8204" s="1" t="s">
        <v>43</v>
      </c>
      <c r="I8204" s="17">
        <v>42205</v>
      </c>
    </row>
    <row r="8205" spans="1:9">
      <c r="A8205" s="16" t="s">
        <v>9366</v>
      </c>
      <c r="B8205" s="1" t="s">
        <v>2628</v>
      </c>
      <c r="C8205" s="1">
        <v>6</v>
      </c>
      <c r="D8205" s="1" t="s">
        <v>58</v>
      </c>
      <c r="E8205" s="1" t="s">
        <v>10</v>
      </c>
      <c r="F8205" s="1" t="s">
        <v>5091</v>
      </c>
      <c r="G8205" s="14" t="s">
        <v>6145</v>
      </c>
      <c r="H8205" s="1" t="s">
        <v>43</v>
      </c>
      <c r="I8205" s="17">
        <v>42205</v>
      </c>
    </row>
    <row r="8206" spans="1:9">
      <c r="A8206" s="16" t="s">
        <v>9369</v>
      </c>
      <c r="B8206" s="1" t="s">
        <v>2628</v>
      </c>
      <c r="C8206" s="1">
        <v>6</v>
      </c>
      <c r="D8206" s="1" t="s">
        <v>58</v>
      </c>
      <c r="E8206" s="1" t="s">
        <v>10</v>
      </c>
      <c r="F8206" s="1" t="s">
        <v>5091</v>
      </c>
      <c r="G8206" s="14" t="s">
        <v>6145</v>
      </c>
      <c r="H8206" s="1" t="s">
        <v>43</v>
      </c>
      <c r="I8206" s="17">
        <v>42205</v>
      </c>
    </row>
    <row r="8207" spans="1:9">
      <c r="A8207" s="16" t="s">
        <v>9370</v>
      </c>
      <c r="B8207" s="1" t="s">
        <v>2628</v>
      </c>
      <c r="C8207" s="1">
        <v>6</v>
      </c>
      <c r="D8207" s="1" t="s">
        <v>58</v>
      </c>
      <c r="E8207" s="1" t="s">
        <v>10</v>
      </c>
      <c r="F8207" s="1" t="s">
        <v>5091</v>
      </c>
      <c r="G8207" s="14" t="s">
        <v>6145</v>
      </c>
      <c r="H8207" s="1" t="s">
        <v>43</v>
      </c>
      <c r="I8207" s="17">
        <v>42205</v>
      </c>
    </row>
    <row r="8208" spans="1:9" ht="31.2">
      <c r="A8208" s="16" t="s">
        <v>9413</v>
      </c>
      <c r="B8208" s="1" t="s">
        <v>2628</v>
      </c>
      <c r="C8208" s="1">
        <v>6</v>
      </c>
      <c r="D8208" s="1" t="s">
        <v>58</v>
      </c>
      <c r="E8208" s="1" t="s">
        <v>10</v>
      </c>
      <c r="F8208" s="1" t="s">
        <v>5091</v>
      </c>
      <c r="G8208" s="14" t="s">
        <v>9414</v>
      </c>
      <c r="H8208" s="1" t="s">
        <v>5</v>
      </c>
      <c r="I8208" s="17">
        <v>42005</v>
      </c>
    </row>
    <row r="8209" spans="1:10">
      <c r="A8209" s="16" t="s">
        <v>9906</v>
      </c>
      <c r="B8209" s="1" t="s">
        <v>2628</v>
      </c>
      <c r="C8209" s="1">
        <v>6</v>
      </c>
      <c r="D8209" s="1" t="s">
        <v>58</v>
      </c>
      <c r="E8209" s="1" t="s">
        <v>10</v>
      </c>
      <c r="F8209" s="1" t="s">
        <v>5091</v>
      </c>
      <c r="G8209" s="14" t="s">
        <v>9907</v>
      </c>
      <c r="H8209" s="1" t="s">
        <v>5</v>
      </c>
      <c r="I8209" s="17">
        <v>41870</v>
      </c>
    </row>
    <row r="8210" spans="1:10">
      <c r="A8210" s="7" t="s">
        <v>10109</v>
      </c>
      <c r="B8210" s="1" t="s">
        <v>2629</v>
      </c>
      <c r="C8210" s="1">
        <v>6</v>
      </c>
      <c r="D8210" s="1" t="s">
        <v>58</v>
      </c>
      <c r="E8210" s="1" t="s">
        <v>10</v>
      </c>
      <c r="F8210" s="1" t="s">
        <v>36</v>
      </c>
      <c r="G8210" s="1" t="s">
        <v>2531</v>
      </c>
      <c r="H8210" s="1" t="s">
        <v>5</v>
      </c>
      <c r="I8210" s="17">
        <v>40179</v>
      </c>
      <c r="J8210" s="17"/>
    </row>
    <row r="8211" spans="1:10">
      <c r="A8211" s="16" t="s">
        <v>10365</v>
      </c>
      <c r="B8211" s="1" t="s">
        <v>2628</v>
      </c>
      <c r="C8211" s="1">
        <v>6</v>
      </c>
      <c r="D8211" s="1" t="s">
        <v>58</v>
      </c>
      <c r="E8211" s="1" t="s">
        <v>10</v>
      </c>
      <c r="F8211" s="1" t="s">
        <v>5091</v>
      </c>
      <c r="G8211" s="14" t="s">
        <v>9907</v>
      </c>
      <c r="H8211" s="1" t="s">
        <v>5</v>
      </c>
      <c r="I8211" s="17">
        <v>41861</v>
      </c>
    </row>
    <row r="8212" spans="1:10">
      <c r="A8212" s="16" t="s">
        <v>10455</v>
      </c>
      <c r="B8212" s="1" t="s">
        <v>2628</v>
      </c>
      <c r="C8212" s="1">
        <v>6</v>
      </c>
      <c r="D8212" s="1" t="s">
        <v>58</v>
      </c>
      <c r="E8212" s="1" t="s">
        <v>10</v>
      </c>
      <c r="F8212" s="1" t="s">
        <v>5091</v>
      </c>
      <c r="G8212" s="14" t="s">
        <v>6145</v>
      </c>
      <c r="H8212" s="1" t="s">
        <v>43</v>
      </c>
      <c r="I8212" s="17">
        <v>42409</v>
      </c>
    </row>
    <row r="8213" spans="1:10">
      <c r="A8213" s="16" t="s">
        <v>10456</v>
      </c>
      <c r="B8213" s="1" t="s">
        <v>2628</v>
      </c>
      <c r="C8213" s="1">
        <v>6</v>
      </c>
      <c r="D8213" s="1" t="s">
        <v>58</v>
      </c>
      <c r="E8213" s="1" t="s">
        <v>10</v>
      </c>
      <c r="F8213" s="1" t="s">
        <v>5091</v>
      </c>
      <c r="G8213" s="14" t="s">
        <v>6145</v>
      </c>
      <c r="H8213" s="1" t="s">
        <v>43</v>
      </c>
      <c r="I8213" s="17">
        <v>42409</v>
      </c>
    </row>
    <row r="8214" spans="1:10">
      <c r="A8214" s="16" t="s">
        <v>10457</v>
      </c>
      <c r="B8214" s="1" t="s">
        <v>2628</v>
      </c>
      <c r="C8214" s="1">
        <v>6</v>
      </c>
      <c r="D8214" s="1" t="s">
        <v>58</v>
      </c>
      <c r="E8214" s="1" t="s">
        <v>10</v>
      </c>
      <c r="F8214" s="1" t="s">
        <v>5091</v>
      </c>
      <c r="G8214" s="14" t="s">
        <v>6145</v>
      </c>
      <c r="H8214" s="1" t="s">
        <v>43</v>
      </c>
      <c r="I8214" s="17">
        <v>42409</v>
      </c>
    </row>
    <row r="8215" spans="1:10">
      <c r="A8215" s="16" t="s">
        <v>10458</v>
      </c>
      <c r="B8215" s="1" t="s">
        <v>2628</v>
      </c>
      <c r="C8215" s="1">
        <v>6</v>
      </c>
      <c r="D8215" s="1" t="s">
        <v>58</v>
      </c>
      <c r="E8215" s="1" t="s">
        <v>10</v>
      </c>
      <c r="F8215" s="1" t="s">
        <v>5091</v>
      </c>
      <c r="G8215" s="14" t="s">
        <v>6145</v>
      </c>
      <c r="H8215" s="1" t="s">
        <v>43</v>
      </c>
      <c r="I8215" s="17">
        <v>42409</v>
      </c>
    </row>
    <row r="8216" spans="1:10">
      <c r="A8216" s="16" t="s">
        <v>10459</v>
      </c>
      <c r="B8216" s="1" t="s">
        <v>2628</v>
      </c>
      <c r="C8216" s="1">
        <v>6</v>
      </c>
      <c r="D8216" s="1" t="s">
        <v>58</v>
      </c>
      <c r="E8216" s="1" t="s">
        <v>10</v>
      </c>
      <c r="F8216" s="1" t="s">
        <v>5091</v>
      </c>
      <c r="G8216" s="14" t="s">
        <v>6145</v>
      </c>
      <c r="H8216" s="1" t="s">
        <v>43</v>
      </c>
      <c r="I8216" s="17">
        <v>42409</v>
      </c>
    </row>
    <row r="8217" spans="1:10">
      <c r="A8217" s="16" t="s">
        <v>10460</v>
      </c>
      <c r="B8217" s="1" t="s">
        <v>2628</v>
      </c>
      <c r="C8217" s="1">
        <v>6</v>
      </c>
      <c r="D8217" s="1" t="s">
        <v>58</v>
      </c>
      <c r="E8217" s="1" t="s">
        <v>10</v>
      </c>
      <c r="F8217" s="1" t="s">
        <v>5091</v>
      </c>
      <c r="G8217" s="14" t="s">
        <v>6145</v>
      </c>
      <c r="H8217" s="1" t="s">
        <v>43</v>
      </c>
      <c r="I8217" s="17">
        <v>42409</v>
      </c>
    </row>
    <row r="8218" spans="1:10">
      <c r="A8218" s="16" t="s">
        <v>10461</v>
      </c>
      <c r="B8218" s="1" t="s">
        <v>2628</v>
      </c>
      <c r="C8218" s="1">
        <v>6</v>
      </c>
      <c r="D8218" s="1" t="s">
        <v>58</v>
      </c>
      <c r="E8218" s="1" t="s">
        <v>10</v>
      </c>
      <c r="F8218" s="1" t="s">
        <v>5091</v>
      </c>
      <c r="G8218" s="14" t="s">
        <v>6145</v>
      </c>
      <c r="H8218" s="1" t="s">
        <v>43</v>
      </c>
      <c r="I8218" s="17">
        <v>42409</v>
      </c>
    </row>
    <row r="8219" spans="1:10">
      <c r="A8219" s="16" t="s">
        <v>10462</v>
      </c>
      <c r="B8219" s="1" t="s">
        <v>2628</v>
      </c>
      <c r="C8219" s="1">
        <v>6</v>
      </c>
      <c r="D8219" s="1" t="s">
        <v>58</v>
      </c>
      <c r="E8219" s="1" t="s">
        <v>10</v>
      </c>
      <c r="F8219" s="1" t="s">
        <v>5091</v>
      </c>
      <c r="G8219" s="14" t="s">
        <v>6145</v>
      </c>
      <c r="H8219" s="1" t="s">
        <v>43</v>
      </c>
      <c r="I8219" s="17">
        <v>42409</v>
      </c>
    </row>
    <row r="8220" spans="1:10">
      <c r="A8220" s="16" t="s">
        <v>10463</v>
      </c>
      <c r="B8220" s="1" t="s">
        <v>2628</v>
      </c>
      <c r="C8220" s="1">
        <v>6</v>
      </c>
      <c r="D8220" s="1" t="s">
        <v>58</v>
      </c>
      <c r="E8220" s="1" t="s">
        <v>10</v>
      </c>
      <c r="F8220" s="1" t="s">
        <v>5091</v>
      </c>
      <c r="G8220" s="14" t="s">
        <v>6145</v>
      </c>
      <c r="H8220" s="1" t="s">
        <v>43</v>
      </c>
      <c r="I8220" s="17">
        <v>42409</v>
      </c>
    </row>
    <row r="8221" spans="1:10">
      <c r="A8221" s="16" t="s">
        <v>10464</v>
      </c>
      <c r="B8221" s="1" t="s">
        <v>2628</v>
      </c>
      <c r="C8221" s="1">
        <v>6</v>
      </c>
      <c r="D8221" s="1" t="s">
        <v>58</v>
      </c>
      <c r="E8221" s="1" t="s">
        <v>10</v>
      </c>
      <c r="F8221" s="1" t="s">
        <v>5091</v>
      </c>
      <c r="G8221" s="14" t="s">
        <v>6145</v>
      </c>
      <c r="H8221" s="1" t="s">
        <v>43</v>
      </c>
      <c r="I8221" s="17">
        <v>42409</v>
      </c>
    </row>
    <row r="8222" spans="1:10">
      <c r="A8222" s="16" t="s">
        <v>10465</v>
      </c>
      <c r="B8222" s="1" t="s">
        <v>2628</v>
      </c>
      <c r="C8222" s="1">
        <v>6</v>
      </c>
      <c r="D8222" s="1" t="s">
        <v>58</v>
      </c>
      <c r="E8222" s="1" t="s">
        <v>10</v>
      </c>
      <c r="F8222" s="1" t="s">
        <v>5091</v>
      </c>
      <c r="G8222" s="14" t="s">
        <v>6145</v>
      </c>
      <c r="H8222" s="1" t="s">
        <v>43</v>
      </c>
      <c r="I8222" s="17">
        <v>42409</v>
      </c>
    </row>
    <row r="8223" spans="1:10">
      <c r="A8223" s="16" t="s">
        <v>10466</v>
      </c>
      <c r="B8223" s="1" t="s">
        <v>2628</v>
      </c>
      <c r="C8223" s="1">
        <v>6</v>
      </c>
      <c r="D8223" s="1" t="s">
        <v>58</v>
      </c>
      <c r="E8223" s="1" t="s">
        <v>10</v>
      </c>
      <c r="F8223" s="1" t="s">
        <v>5091</v>
      </c>
      <c r="G8223" s="14" t="s">
        <v>6145</v>
      </c>
      <c r="H8223" s="1" t="s">
        <v>43</v>
      </c>
      <c r="I8223" s="17">
        <v>42409</v>
      </c>
    </row>
    <row r="8224" spans="1:10">
      <c r="A8224" s="16" t="s">
        <v>10467</v>
      </c>
      <c r="B8224" s="1" t="s">
        <v>2628</v>
      </c>
      <c r="C8224" s="1">
        <v>6</v>
      </c>
      <c r="D8224" s="1" t="s">
        <v>58</v>
      </c>
      <c r="E8224" s="1" t="s">
        <v>10</v>
      </c>
      <c r="F8224" s="1" t="s">
        <v>5091</v>
      </c>
      <c r="G8224" s="14" t="s">
        <v>6145</v>
      </c>
      <c r="H8224" s="1" t="s">
        <v>43</v>
      </c>
      <c r="I8224" s="17">
        <v>42409</v>
      </c>
    </row>
    <row r="8225" spans="1:10">
      <c r="A8225" s="16" t="s">
        <v>10468</v>
      </c>
      <c r="B8225" s="1" t="s">
        <v>2628</v>
      </c>
      <c r="C8225" s="1">
        <v>6</v>
      </c>
      <c r="D8225" s="1" t="s">
        <v>58</v>
      </c>
      <c r="E8225" s="1" t="s">
        <v>10</v>
      </c>
      <c r="F8225" s="1" t="s">
        <v>5091</v>
      </c>
      <c r="G8225" s="14" t="s">
        <v>4458</v>
      </c>
      <c r="H8225" s="1" t="s">
        <v>118</v>
      </c>
      <c r="I8225" s="1" t="s">
        <v>4458</v>
      </c>
    </row>
    <row r="8226" spans="1:10">
      <c r="A8226" s="16" t="s">
        <v>10555</v>
      </c>
      <c r="B8226" s="1" t="s">
        <v>2628</v>
      </c>
      <c r="C8226" s="1">
        <v>6</v>
      </c>
      <c r="D8226" s="1" t="s">
        <v>58</v>
      </c>
      <c r="E8226" s="1" t="s">
        <v>10</v>
      </c>
      <c r="F8226" s="1" t="s">
        <v>5091</v>
      </c>
      <c r="G8226" s="14" t="s">
        <v>6145</v>
      </c>
      <c r="H8226" s="1" t="s">
        <v>43</v>
      </c>
      <c r="I8226" s="17">
        <v>40585</v>
      </c>
    </row>
    <row r="8227" spans="1:10">
      <c r="A8227" s="16" t="s">
        <v>10587</v>
      </c>
      <c r="B8227" s="1" t="s">
        <v>2628</v>
      </c>
      <c r="C8227" s="1">
        <v>6</v>
      </c>
      <c r="D8227" s="1" t="s">
        <v>58</v>
      </c>
      <c r="E8227" s="1" t="s">
        <v>10</v>
      </c>
      <c r="F8227" s="1" t="s">
        <v>5091</v>
      </c>
      <c r="G8227" s="14" t="s">
        <v>6145</v>
      </c>
      <c r="H8227" s="1" t="s">
        <v>43</v>
      </c>
      <c r="I8227" s="17">
        <v>42423</v>
      </c>
    </row>
    <row r="8228" spans="1:10">
      <c r="A8228" s="16" t="s">
        <v>10588</v>
      </c>
      <c r="B8228" s="1" t="s">
        <v>2628</v>
      </c>
      <c r="C8228" s="1">
        <v>6</v>
      </c>
      <c r="D8228" s="1" t="s">
        <v>58</v>
      </c>
      <c r="E8228" s="1" t="s">
        <v>10</v>
      </c>
      <c r="F8228" s="1" t="s">
        <v>5091</v>
      </c>
      <c r="G8228" s="14" t="s">
        <v>6145</v>
      </c>
      <c r="H8228" s="1" t="s">
        <v>43</v>
      </c>
      <c r="I8228" s="17">
        <v>42423</v>
      </c>
    </row>
    <row r="8229" spans="1:10">
      <c r="A8229" s="16" t="s">
        <v>10589</v>
      </c>
      <c r="B8229" s="1" t="s">
        <v>2628</v>
      </c>
      <c r="C8229" s="1">
        <v>6</v>
      </c>
      <c r="D8229" s="1" t="s">
        <v>58</v>
      </c>
      <c r="E8229" s="1" t="s">
        <v>10</v>
      </c>
      <c r="F8229" s="1" t="s">
        <v>5091</v>
      </c>
      <c r="G8229" s="14" t="s">
        <v>6145</v>
      </c>
      <c r="H8229" s="1" t="s">
        <v>43</v>
      </c>
      <c r="I8229" s="17">
        <v>42423</v>
      </c>
    </row>
    <row r="8230" spans="1:10">
      <c r="A8230" s="16" t="s">
        <v>10760</v>
      </c>
      <c r="B8230" s="1" t="s">
        <v>2628</v>
      </c>
      <c r="C8230" s="1">
        <v>6</v>
      </c>
      <c r="D8230" s="1" t="s">
        <v>58</v>
      </c>
      <c r="E8230" s="1" t="s">
        <v>10</v>
      </c>
      <c r="F8230" s="1" t="s">
        <v>5091</v>
      </c>
      <c r="G8230" s="14" t="s">
        <v>6450</v>
      </c>
      <c r="H8230" s="1" t="s">
        <v>43</v>
      </c>
      <c r="I8230" s="17">
        <v>42194</v>
      </c>
    </row>
    <row r="8231" spans="1:10">
      <c r="A8231" s="16" t="s">
        <v>10861</v>
      </c>
      <c r="B8231" s="1" t="s">
        <v>2628</v>
      </c>
      <c r="C8231" s="1">
        <v>6</v>
      </c>
      <c r="D8231" s="1" t="s">
        <v>58</v>
      </c>
      <c r="E8231" s="1" t="s">
        <v>10</v>
      </c>
      <c r="F8231" s="1" t="s">
        <v>5091</v>
      </c>
      <c r="G8231" s="14" t="s">
        <v>6450</v>
      </c>
      <c r="H8231" s="1" t="s">
        <v>43</v>
      </c>
      <c r="I8231" s="17">
        <v>42249</v>
      </c>
    </row>
    <row r="8232" spans="1:10">
      <c r="A8232" s="16" t="s">
        <v>10877</v>
      </c>
      <c r="B8232" s="1" t="s">
        <v>2628</v>
      </c>
      <c r="C8232" s="1">
        <v>6</v>
      </c>
      <c r="D8232" s="1" t="s">
        <v>58</v>
      </c>
      <c r="E8232" s="1" t="s">
        <v>10</v>
      </c>
      <c r="F8232" s="1" t="s">
        <v>5091</v>
      </c>
      <c r="G8232" s="14" t="s">
        <v>6145</v>
      </c>
      <c r="H8232" s="1" t="s">
        <v>43</v>
      </c>
      <c r="I8232" s="17">
        <v>42268</v>
      </c>
    </row>
    <row r="8233" spans="1:10">
      <c r="A8233" s="16" t="s">
        <v>11117</v>
      </c>
      <c r="B8233" s="1" t="s">
        <v>2628</v>
      </c>
      <c r="C8233" s="1">
        <v>6</v>
      </c>
      <c r="D8233" s="1" t="s">
        <v>58</v>
      </c>
      <c r="E8233" s="1" t="s">
        <v>10</v>
      </c>
      <c r="F8233" s="1" t="s">
        <v>5091</v>
      </c>
      <c r="G8233" s="14" t="s">
        <v>11118</v>
      </c>
      <c r="H8233" s="1" t="s">
        <v>5</v>
      </c>
      <c r="I8233" s="17">
        <v>38197</v>
      </c>
    </row>
    <row r="8234" spans="1:10">
      <c r="A8234" s="16" t="s">
        <v>11139</v>
      </c>
      <c r="B8234" s="1" t="s">
        <v>2628</v>
      </c>
      <c r="C8234" s="1">
        <v>6</v>
      </c>
      <c r="D8234" s="1" t="s">
        <v>58</v>
      </c>
      <c r="E8234" s="1" t="s">
        <v>10</v>
      </c>
      <c r="F8234" s="1" t="s">
        <v>5091</v>
      </c>
      <c r="G8234" s="14" t="s">
        <v>11140</v>
      </c>
      <c r="H8234" s="1" t="s">
        <v>5</v>
      </c>
      <c r="I8234" s="17">
        <v>38265</v>
      </c>
    </row>
    <row r="8235" spans="1:10">
      <c r="A8235" s="16" t="s">
        <v>11141</v>
      </c>
      <c r="B8235" s="1" t="s">
        <v>2628</v>
      </c>
      <c r="C8235" s="1">
        <v>6</v>
      </c>
      <c r="D8235" s="1" t="s">
        <v>58</v>
      </c>
      <c r="E8235" s="1" t="s">
        <v>10</v>
      </c>
      <c r="F8235" s="1" t="s">
        <v>5091</v>
      </c>
      <c r="G8235" s="14" t="s">
        <v>9578</v>
      </c>
      <c r="H8235" s="1" t="s">
        <v>5</v>
      </c>
      <c r="I8235" s="17">
        <v>38265</v>
      </c>
    </row>
    <row r="8236" spans="1:10">
      <c r="A8236" s="16" t="s">
        <v>11142</v>
      </c>
      <c r="B8236" s="1" t="s">
        <v>2628</v>
      </c>
      <c r="C8236" s="1">
        <v>6</v>
      </c>
      <c r="D8236" s="1" t="s">
        <v>58</v>
      </c>
      <c r="E8236" s="1" t="s">
        <v>10</v>
      </c>
      <c r="F8236" s="1" t="s">
        <v>5091</v>
      </c>
      <c r="G8236" s="14" t="s">
        <v>9063</v>
      </c>
      <c r="H8236" s="1" t="s">
        <v>5</v>
      </c>
      <c r="I8236" s="17">
        <v>38271</v>
      </c>
    </row>
    <row r="8237" spans="1:10">
      <c r="A8237" s="16" t="s">
        <v>11220</v>
      </c>
      <c r="B8237" s="1" t="s">
        <v>2628</v>
      </c>
      <c r="C8237" s="1">
        <v>6</v>
      </c>
      <c r="D8237" s="1" t="s">
        <v>58</v>
      </c>
      <c r="E8237" s="1" t="s">
        <v>10</v>
      </c>
      <c r="F8237" s="1" t="s">
        <v>5091</v>
      </c>
      <c r="G8237" s="14" t="s">
        <v>8848</v>
      </c>
      <c r="H8237" s="1" t="s">
        <v>5</v>
      </c>
      <c r="I8237" s="17">
        <v>35796</v>
      </c>
    </row>
    <row r="8238" spans="1:10">
      <c r="A8238" s="16" t="s">
        <v>11790</v>
      </c>
      <c r="B8238" s="1" t="s">
        <v>2628</v>
      </c>
      <c r="C8238" s="1">
        <v>6</v>
      </c>
      <c r="D8238" s="1" t="s">
        <v>58</v>
      </c>
      <c r="E8238" s="1" t="s">
        <v>10</v>
      </c>
      <c r="F8238" s="1" t="s">
        <v>5091</v>
      </c>
      <c r="G8238" s="14" t="s">
        <v>9558</v>
      </c>
      <c r="H8238" s="1" t="s">
        <v>5</v>
      </c>
      <c r="I8238" s="17">
        <v>37697</v>
      </c>
    </row>
    <row r="8239" spans="1:10">
      <c r="A8239" s="16" t="s">
        <v>11870</v>
      </c>
      <c r="B8239" s="1" t="s">
        <v>2628</v>
      </c>
      <c r="C8239" s="1">
        <v>6</v>
      </c>
      <c r="D8239" s="1" t="s">
        <v>58</v>
      </c>
      <c r="E8239" s="1" t="s">
        <v>10</v>
      </c>
      <c r="F8239" s="1" t="s">
        <v>5091</v>
      </c>
      <c r="G8239" s="14" t="s">
        <v>6236</v>
      </c>
      <c r="H8239" s="1" t="s">
        <v>43</v>
      </c>
      <c r="I8239" s="17">
        <v>42370</v>
      </c>
    </row>
    <row r="8240" spans="1:10">
      <c r="A8240" s="7" t="s">
        <v>12033</v>
      </c>
      <c r="B8240" s="1" t="s">
        <v>2629</v>
      </c>
      <c r="C8240" s="1">
        <v>6</v>
      </c>
      <c r="D8240" s="1" t="s">
        <v>58</v>
      </c>
      <c r="E8240" s="1" t="s">
        <v>10</v>
      </c>
      <c r="F8240" s="1" t="s">
        <v>5241</v>
      </c>
      <c r="G8240" s="1" t="s">
        <v>4803</v>
      </c>
      <c r="H8240" s="1" t="s">
        <v>5</v>
      </c>
      <c r="I8240" s="1" t="s">
        <v>4792</v>
      </c>
      <c r="J8240" s="17"/>
    </row>
    <row r="8241" spans="1:9">
      <c r="A8241" s="16" t="s">
        <v>12141</v>
      </c>
      <c r="B8241" s="1" t="s">
        <v>2628</v>
      </c>
      <c r="C8241" s="1">
        <v>6</v>
      </c>
      <c r="D8241" s="1" t="s">
        <v>58</v>
      </c>
      <c r="E8241" s="1" t="s">
        <v>10</v>
      </c>
      <c r="F8241" s="1" t="s">
        <v>5091</v>
      </c>
      <c r="G8241" s="14" t="s">
        <v>6536</v>
      </c>
      <c r="H8241" s="1" t="s">
        <v>43</v>
      </c>
      <c r="I8241" s="17">
        <v>41640</v>
      </c>
    </row>
    <row r="8242" spans="1:9">
      <c r="A8242" s="16" t="s">
        <v>12184</v>
      </c>
      <c r="B8242" s="1" t="s">
        <v>2628</v>
      </c>
      <c r="C8242" s="1">
        <v>6</v>
      </c>
      <c r="D8242" s="1" t="s">
        <v>58</v>
      </c>
      <c r="E8242" s="1" t="s">
        <v>10</v>
      </c>
      <c r="F8242" s="1" t="s">
        <v>5091</v>
      </c>
      <c r="G8242" s="14" t="s">
        <v>6536</v>
      </c>
      <c r="H8242" s="1" t="s">
        <v>43</v>
      </c>
      <c r="I8242" s="17">
        <v>41640</v>
      </c>
    </row>
    <row r="8243" spans="1:9">
      <c r="A8243" s="16" t="s">
        <v>12185</v>
      </c>
      <c r="B8243" s="1" t="s">
        <v>2628</v>
      </c>
      <c r="C8243" s="1">
        <v>6</v>
      </c>
      <c r="D8243" s="1" t="s">
        <v>58</v>
      </c>
      <c r="E8243" s="1" t="s">
        <v>10</v>
      </c>
      <c r="F8243" s="1" t="s">
        <v>5091</v>
      </c>
      <c r="G8243" s="14" t="s">
        <v>6536</v>
      </c>
      <c r="H8243" s="1" t="s">
        <v>43</v>
      </c>
      <c r="I8243" s="17">
        <v>41640</v>
      </c>
    </row>
    <row r="8244" spans="1:9">
      <c r="A8244" s="16" t="s">
        <v>12563</v>
      </c>
      <c r="B8244" s="1" t="s">
        <v>2628</v>
      </c>
      <c r="C8244" s="1">
        <v>6</v>
      </c>
      <c r="D8244" s="1" t="s">
        <v>58</v>
      </c>
      <c r="E8244" s="1" t="s">
        <v>10</v>
      </c>
      <c r="F8244" s="1" t="s">
        <v>5091</v>
      </c>
      <c r="G8244" s="14" t="s">
        <v>6145</v>
      </c>
      <c r="H8244" s="1" t="s">
        <v>43</v>
      </c>
      <c r="I8244" s="17">
        <v>42797</v>
      </c>
    </row>
    <row r="8245" spans="1:9">
      <c r="A8245" s="16" t="s">
        <v>13185</v>
      </c>
      <c r="B8245" s="1" t="s">
        <v>2628</v>
      </c>
      <c r="C8245" s="1">
        <v>6</v>
      </c>
      <c r="D8245" s="1" t="s">
        <v>58</v>
      </c>
      <c r="E8245" s="1" t="s">
        <v>10</v>
      </c>
      <c r="F8245" s="1" t="s">
        <v>5091</v>
      </c>
      <c r="G8245" s="14" t="s">
        <v>6236</v>
      </c>
      <c r="H8245" s="1" t="s">
        <v>43</v>
      </c>
      <c r="I8245" s="17">
        <v>40909</v>
      </c>
    </row>
    <row r="8246" spans="1:9">
      <c r="A8246" s="16" t="s">
        <v>13203</v>
      </c>
      <c r="B8246" s="1" t="s">
        <v>2628</v>
      </c>
      <c r="C8246" s="1">
        <v>6</v>
      </c>
      <c r="D8246" s="1" t="s">
        <v>58</v>
      </c>
      <c r="E8246" s="1" t="s">
        <v>10</v>
      </c>
      <c r="F8246" s="1" t="s">
        <v>5091</v>
      </c>
      <c r="G8246" s="14" t="s">
        <v>6236</v>
      </c>
      <c r="H8246" s="1" t="s">
        <v>43</v>
      </c>
      <c r="I8246" s="17">
        <v>42736</v>
      </c>
    </row>
    <row r="8247" spans="1:9" ht="31.2">
      <c r="A8247" s="16" t="s">
        <v>13383</v>
      </c>
      <c r="B8247" s="1" t="s">
        <v>2628</v>
      </c>
      <c r="C8247" s="1">
        <v>6</v>
      </c>
      <c r="D8247" s="1" t="s">
        <v>58</v>
      </c>
      <c r="E8247" s="1" t="s">
        <v>10</v>
      </c>
      <c r="F8247" s="1" t="s">
        <v>5091</v>
      </c>
      <c r="G8247" s="14" t="s">
        <v>6145</v>
      </c>
      <c r="H8247" s="1" t="s">
        <v>43</v>
      </c>
      <c r="I8247" s="17">
        <v>42913</v>
      </c>
    </row>
    <row r="8248" spans="1:9">
      <c r="A8248" s="16" t="s">
        <v>13424</v>
      </c>
      <c r="B8248" s="1" t="s">
        <v>2628</v>
      </c>
      <c r="C8248" s="1">
        <v>6</v>
      </c>
      <c r="D8248" s="1" t="s">
        <v>58</v>
      </c>
      <c r="E8248" s="1" t="s">
        <v>10</v>
      </c>
      <c r="F8248" s="1" t="s">
        <v>5091</v>
      </c>
      <c r="G8248" s="14" t="s">
        <v>6186</v>
      </c>
      <c r="H8248" s="1" t="s">
        <v>5</v>
      </c>
      <c r="I8248" s="17">
        <v>42736</v>
      </c>
    </row>
    <row r="8249" spans="1:9">
      <c r="A8249" s="16" t="s">
        <v>13447</v>
      </c>
      <c r="B8249" s="1" t="s">
        <v>2628</v>
      </c>
      <c r="C8249" s="1">
        <v>6</v>
      </c>
      <c r="D8249" s="1" t="s">
        <v>58</v>
      </c>
      <c r="E8249" s="1" t="s">
        <v>10</v>
      </c>
      <c r="F8249" s="1" t="s">
        <v>5091</v>
      </c>
      <c r="G8249" s="14" t="s">
        <v>4458</v>
      </c>
      <c r="H8249" s="1" t="s">
        <v>118</v>
      </c>
      <c r="I8249" s="1" t="s">
        <v>4458</v>
      </c>
    </row>
    <row r="8250" spans="1:9">
      <c r="A8250" s="16" t="s">
        <v>13509</v>
      </c>
      <c r="B8250" s="1" t="s">
        <v>2628</v>
      </c>
      <c r="C8250" s="1">
        <v>6</v>
      </c>
      <c r="D8250" s="1" t="s">
        <v>58</v>
      </c>
      <c r="E8250" s="1" t="s">
        <v>10</v>
      </c>
      <c r="F8250" s="1" t="s">
        <v>5091</v>
      </c>
      <c r="G8250" s="14" t="s">
        <v>6145</v>
      </c>
      <c r="H8250" s="1" t="s">
        <v>43</v>
      </c>
      <c r="I8250" s="17">
        <v>41050</v>
      </c>
    </row>
    <row r="8251" spans="1:9">
      <c r="A8251" s="7" t="s">
        <v>14084</v>
      </c>
      <c r="B8251" s="1" t="s">
        <v>2629</v>
      </c>
      <c r="C8251" s="1">
        <v>6</v>
      </c>
      <c r="D8251" s="1" t="s">
        <v>58</v>
      </c>
      <c r="E8251" s="1" t="s">
        <v>10</v>
      </c>
      <c r="F8251" s="1" t="s">
        <v>2701</v>
      </c>
      <c r="G8251" s="1" t="s">
        <v>4458</v>
      </c>
      <c r="H8251" s="1" t="s">
        <v>118</v>
      </c>
      <c r="I8251" s="1" t="s">
        <v>4792</v>
      </c>
    </row>
    <row r="8252" spans="1:9">
      <c r="A8252" s="7" t="s">
        <v>14085</v>
      </c>
      <c r="B8252" s="1" t="s">
        <v>2629</v>
      </c>
      <c r="C8252" s="1">
        <v>6</v>
      </c>
      <c r="D8252" s="1" t="s">
        <v>58</v>
      </c>
      <c r="E8252" s="1" t="s">
        <v>10</v>
      </c>
      <c r="F8252" s="1" t="s">
        <v>2701</v>
      </c>
      <c r="G8252" s="1" t="s">
        <v>4458</v>
      </c>
      <c r="H8252" s="1" t="s">
        <v>118</v>
      </c>
      <c r="I8252" s="1" t="s">
        <v>4792</v>
      </c>
    </row>
    <row r="8253" spans="1:9">
      <c r="A8253" s="7" t="s">
        <v>14087</v>
      </c>
      <c r="B8253" s="1" t="s">
        <v>2629</v>
      </c>
      <c r="C8253" s="1">
        <v>6</v>
      </c>
      <c r="D8253" s="1" t="s">
        <v>58</v>
      </c>
      <c r="E8253" s="1" t="s">
        <v>10</v>
      </c>
      <c r="F8253" s="1" t="s">
        <v>2701</v>
      </c>
      <c r="G8253" s="1" t="s">
        <v>4458</v>
      </c>
      <c r="H8253" s="1" t="s">
        <v>118</v>
      </c>
      <c r="I8253" s="1" t="s">
        <v>4792</v>
      </c>
    </row>
    <row r="8254" spans="1:9">
      <c r="A8254" s="7" t="s">
        <v>14088</v>
      </c>
      <c r="B8254" s="1" t="s">
        <v>2629</v>
      </c>
      <c r="C8254" s="1">
        <v>6</v>
      </c>
      <c r="D8254" s="1" t="s">
        <v>58</v>
      </c>
      <c r="E8254" s="1" t="s">
        <v>10</v>
      </c>
      <c r="F8254" s="1" t="s">
        <v>2701</v>
      </c>
      <c r="G8254" s="1" t="s">
        <v>4458</v>
      </c>
      <c r="H8254" s="1" t="s">
        <v>118</v>
      </c>
      <c r="I8254" s="1" t="s">
        <v>4792</v>
      </c>
    </row>
    <row r="8255" spans="1:9">
      <c r="A8255" s="7" t="s">
        <v>14089</v>
      </c>
      <c r="B8255" s="1" t="s">
        <v>2629</v>
      </c>
      <c r="C8255" s="1">
        <v>6</v>
      </c>
      <c r="D8255" s="1" t="s">
        <v>58</v>
      </c>
      <c r="E8255" s="1" t="s">
        <v>10</v>
      </c>
      <c r="F8255" s="1" t="s">
        <v>2701</v>
      </c>
      <c r="G8255" s="1" t="s">
        <v>4458</v>
      </c>
      <c r="H8255" s="1" t="s">
        <v>118</v>
      </c>
      <c r="I8255" s="1" t="s">
        <v>4792</v>
      </c>
    </row>
    <row r="8256" spans="1:9">
      <c r="A8256" s="7" t="s">
        <v>14091</v>
      </c>
      <c r="B8256" s="1" t="s">
        <v>2629</v>
      </c>
      <c r="C8256" s="1">
        <v>6</v>
      </c>
      <c r="D8256" s="1" t="s">
        <v>58</v>
      </c>
      <c r="E8256" s="1" t="s">
        <v>10</v>
      </c>
      <c r="F8256" s="1" t="s">
        <v>2701</v>
      </c>
      <c r="G8256" s="1" t="s">
        <v>4458</v>
      </c>
      <c r="H8256" s="1" t="s">
        <v>118</v>
      </c>
      <c r="I8256" s="1" t="s">
        <v>4792</v>
      </c>
    </row>
    <row r="8257" spans="1:10">
      <c r="A8257" s="7" t="s">
        <v>14092</v>
      </c>
      <c r="B8257" s="1" t="s">
        <v>2629</v>
      </c>
      <c r="C8257" s="1">
        <v>6</v>
      </c>
      <c r="D8257" s="1" t="s">
        <v>58</v>
      </c>
      <c r="E8257" s="1" t="s">
        <v>10</v>
      </c>
      <c r="F8257" s="1" t="s">
        <v>2701</v>
      </c>
      <c r="G8257" s="1" t="s">
        <v>4458</v>
      </c>
      <c r="H8257" s="1" t="s">
        <v>118</v>
      </c>
      <c r="I8257" s="1" t="s">
        <v>4792</v>
      </c>
    </row>
    <row r="8258" spans="1:10">
      <c r="A8258" s="7" t="s">
        <v>14093</v>
      </c>
      <c r="B8258" s="1" t="s">
        <v>2629</v>
      </c>
      <c r="C8258" s="1">
        <v>6</v>
      </c>
      <c r="D8258" s="1" t="s">
        <v>58</v>
      </c>
      <c r="E8258" s="1" t="s">
        <v>10</v>
      </c>
      <c r="F8258" s="1" t="s">
        <v>2701</v>
      </c>
      <c r="G8258" s="1" t="s">
        <v>4458</v>
      </c>
      <c r="H8258" s="1" t="s">
        <v>118</v>
      </c>
      <c r="I8258" s="1" t="s">
        <v>4792</v>
      </c>
    </row>
    <row r="8259" spans="1:10">
      <c r="A8259" s="7" t="s">
        <v>14094</v>
      </c>
      <c r="B8259" s="1" t="s">
        <v>2629</v>
      </c>
      <c r="C8259" s="1">
        <v>6</v>
      </c>
      <c r="D8259" s="1" t="s">
        <v>58</v>
      </c>
      <c r="E8259" s="1" t="s">
        <v>10</v>
      </c>
      <c r="F8259" s="1" t="s">
        <v>2701</v>
      </c>
      <c r="G8259" s="1" t="s">
        <v>4458</v>
      </c>
      <c r="H8259" s="1" t="s">
        <v>118</v>
      </c>
      <c r="I8259" s="1" t="s">
        <v>4792</v>
      </c>
    </row>
    <row r="8260" spans="1:10">
      <c r="A8260" s="7" t="s">
        <v>14095</v>
      </c>
      <c r="B8260" s="1" t="s">
        <v>2629</v>
      </c>
      <c r="C8260" s="1">
        <v>6</v>
      </c>
      <c r="D8260" s="1" t="s">
        <v>58</v>
      </c>
      <c r="E8260" s="1" t="s">
        <v>10</v>
      </c>
      <c r="F8260" s="1" t="s">
        <v>2701</v>
      </c>
      <c r="G8260" s="1" t="s">
        <v>4458</v>
      </c>
      <c r="H8260" s="1" t="s">
        <v>118</v>
      </c>
      <c r="I8260" s="1" t="s">
        <v>4792</v>
      </c>
    </row>
    <row r="8261" spans="1:10">
      <c r="A8261" s="7" t="s">
        <v>14096</v>
      </c>
      <c r="B8261" s="1" t="s">
        <v>2629</v>
      </c>
      <c r="C8261" s="1">
        <v>6</v>
      </c>
      <c r="D8261" s="1" t="s">
        <v>58</v>
      </c>
      <c r="E8261" s="1" t="s">
        <v>10</v>
      </c>
      <c r="F8261" s="1" t="s">
        <v>2701</v>
      </c>
      <c r="G8261" s="1" t="s">
        <v>4458</v>
      </c>
      <c r="H8261" s="1" t="s">
        <v>118</v>
      </c>
      <c r="I8261" s="1" t="s">
        <v>4792</v>
      </c>
    </row>
    <row r="8262" spans="1:10">
      <c r="A8262" s="7" t="s">
        <v>14097</v>
      </c>
      <c r="B8262" s="1" t="s">
        <v>2629</v>
      </c>
      <c r="C8262" s="1">
        <v>6</v>
      </c>
      <c r="D8262" s="1" t="s">
        <v>58</v>
      </c>
      <c r="E8262" s="1" t="s">
        <v>10</v>
      </c>
      <c r="F8262" s="1" t="s">
        <v>2701</v>
      </c>
      <c r="G8262" s="1" t="s">
        <v>4458</v>
      </c>
      <c r="H8262" s="1" t="s">
        <v>118</v>
      </c>
      <c r="I8262" s="1" t="s">
        <v>4792</v>
      </c>
    </row>
    <row r="8263" spans="1:10">
      <c r="A8263" s="16" t="s">
        <v>14117</v>
      </c>
      <c r="B8263" s="1" t="s">
        <v>2628</v>
      </c>
      <c r="C8263" s="1">
        <v>6</v>
      </c>
      <c r="D8263" s="1" t="s">
        <v>58</v>
      </c>
      <c r="E8263" s="1" t="s">
        <v>10</v>
      </c>
      <c r="F8263" s="1" t="s">
        <v>5091</v>
      </c>
      <c r="G8263" s="14" t="s">
        <v>6145</v>
      </c>
      <c r="H8263" s="1" t="s">
        <v>43</v>
      </c>
      <c r="I8263" s="17">
        <v>43157</v>
      </c>
    </row>
    <row r="8264" spans="1:10">
      <c r="A8264" s="16" t="s">
        <v>14118</v>
      </c>
      <c r="B8264" s="1" t="s">
        <v>2628</v>
      </c>
      <c r="C8264" s="1">
        <v>6</v>
      </c>
      <c r="D8264" s="1" t="s">
        <v>58</v>
      </c>
      <c r="E8264" s="1" t="s">
        <v>10</v>
      </c>
      <c r="F8264" s="1" t="s">
        <v>5091</v>
      </c>
      <c r="G8264" s="14" t="s">
        <v>6145</v>
      </c>
      <c r="H8264" s="1" t="s">
        <v>43</v>
      </c>
      <c r="I8264" s="17">
        <v>43157</v>
      </c>
    </row>
    <row r="8265" spans="1:10">
      <c r="A8265" s="16" t="s">
        <v>14119</v>
      </c>
      <c r="B8265" s="1" t="s">
        <v>2628</v>
      </c>
      <c r="C8265" s="1">
        <v>6</v>
      </c>
      <c r="D8265" s="1" t="s">
        <v>58</v>
      </c>
      <c r="E8265" s="1" t="s">
        <v>10</v>
      </c>
      <c r="F8265" s="1" t="s">
        <v>5091</v>
      </c>
      <c r="G8265" s="14" t="s">
        <v>6145</v>
      </c>
      <c r="H8265" s="1" t="s">
        <v>43</v>
      </c>
      <c r="I8265" s="17">
        <v>43157</v>
      </c>
    </row>
    <row r="8266" spans="1:10">
      <c r="A8266" s="16" t="s">
        <v>14135</v>
      </c>
      <c r="B8266" s="1" t="s">
        <v>2628</v>
      </c>
      <c r="C8266" s="1">
        <v>6</v>
      </c>
      <c r="D8266" s="1" t="s">
        <v>58</v>
      </c>
      <c r="E8266" s="1" t="s">
        <v>10</v>
      </c>
      <c r="F8266" s="1" t="s">
        <v>5091</v>
      </c>
      <c r="G8266" s="14" t="s">
        <v>6145</v>
      </c>
      <c r="H8266" s="1" t="s">
        <v>43</v>
      </c>
      <c r="I8266" s="17">
        <v>40721</v>
      </c>
    </row>
    <row r="8267" spans="1:10">
      <c r="A8267" s="16" t="s">
        <v>14137</v>
      </c>
      <c r="B8267" s="1" t="s">
        <v>2628</v>
      </c>
      <c r="C8267" s="1">
        <v>6</v>
      </c>
      <c r="D8267" s="1" t="s">
        <v>58</v>
      </c>
      <c r="E8267" s="1" t="s">
        <v>10</v>
      </c>
      <c r="F8267" s="1" t="s">
        <v>5091</v>
      </c>
      <c r="G8267" s="14" t="s">
        <v>6145</v>
      </c>
      <c r="H8267" s="1" t="s">
        <v>43</v>
      </c>
      <c r="I8267" s="17">
        <v>40721</v>
      </c>
    </row>
    <row r="8268" spans="1:10">
      <c r="A8268" s="16" t="s">
        <v>14190</v>
      </c>
      <c r="B8268" s="1" t="s">
        <v>2628</v>
      </c>
      <c r="C8268" s="1">
        <v>6</v>
      </c>
      <c r="D8268" s="1" t="s">
        <v>58</v>
      </c>
      <c r="E8268" s="1" t="s">
        <v>10</v>
      </c>
      <c r="F8268" s="1" t="s">
        <v>5091</v>
      </c>
      <c r="G8268" s="14" t="s">
        <v>6145</v>
      </c>
      <c r="H8268" s="1" t="s">
        <v>43</v>
      </c>
      <c r="I8268" s="17">
        <v>40705</v>
      </c>
    </row>
    <row r="8269" spans="1:10">
      <c r="A8269" s="16" t="s">
        <v>14201</v>
      </c>
      <c r="B8269" s="1" t="s">
        <v>2631</v>
      </c>
      <c r="C8269" s="1">
        <v>6</v>
      </c>
      <c r="D8269" s="1" t="s">
        <v>58</v>
      </c>
      <c r="E8269" s="1" t="s">
        <v>10</v>
      </c>
      <c r="F8269" s="1" t="s">
        <v>2701</v>
      </c>
      <c r="G8269" s="1" t="s">
        <v>4803</v>
      </c>
      <c r="H8269" s="1" t="s">
        <v>5</v>
      </c>
      <c r="I8269" s="17">
        <v>43116</v>
      </c>
      <c r="J8269" s="17"/>
    </row>
    <row r="8270" spans="1:10">
      <c r="A8270" s="19" t="s">
        <v>14276</v>
      </c>
      <c r="B8270" s="13" t="s">
        <v>16956</v>
      </c>
      <c r="C8270" s="13">
        <v>6</v>
      </c>
      <c r="D8270" s="13" t="s">
        <v>58</v>
      </c>
      <c r="E8270" s="13" t="s">
        <v>10</v>
      </c>
      <c r="F8270" s="13" t="s">
        <v>5241</v>
      </c>
      <c r="G8270" s="13" t="s">
        <v>4800</v>
      </c>
      <c r="H8270" s="13" t="s">
        <v>27</v>
      </c>
      <c r="I8270" s="18">
        <v>43132</v>
      </c>
    </row>
    <row r="8271" spans="1:10">
      <c r="A8271" s="16" t="s">
        <v>14428</v>
      </c>
      <c r="B8271" s="1" t="s">
        <v>2628</v>
      </c>
      <c r="C8271" s="1">
        <v>6</v>
      </c>
      <c r="D8271" s="1" t="s">
        <v>58</v>
      </c>
      <c r="E8271" s="1" t="s">
        <v>10</v>
      </c>
      <c r="F8271" s="1" t="s">
        <v>5091</v>
      </c>
      <c r="G8271" s="14" t="s">
        <v>6145</v>
      </c>
      <c r="H8271" s="1" t="s">
        <v>43</v>
      </c>
      <c r="I8271" s="17">
        <v>40705</v>
      </c>
    </row>
    <row r="8272" spans="1:10">
      <c r="A8272" s="16" t="s">
        <v>14429</v>
      </c>
      <c r="B8272" s="1" t="s">
        <v>2628</v>
      </c>
      <c r="C8272" s="1">
        <v>6</v>
      </c>
      <c r="D8272" s="1" t="s">
        <v>58</v>
      </c>
      <c r="E8272" s="1" t="s">
        <v>10</v>
      </c>
      <c r="F8272" s="1" t="s">
        <v>5091</v>
      </c>
      <c r="G8272" s="14" t="s">
        <v>6145</v>
      </c>
      <c r="H8272" s="1" t="s">
        <v>43</v>
      </c>
      <c r="I8272" s="17">
        <v>40705</v>
      </c>
    </row>
    <row r="8273" spans="1:10">
      <c r="A8273" s="7" t="s">
        <v>14493</v>
      </c>
      <c r="B8273" s="2" t="s">
        <v>2629</v>
      </c>
      <c r="C8273" s="1">
        <v>6</v>
      </c>
      <c r="D8273" s="1" t="s">
        <v>58</v>
      </c>
      <c r="E8273" s="1" t="s">
        <v>10</v>
      </c>
      <c r="F8273" s="1" t="s">
        <v>118</v>
      </c>
      <c r="G8273" s="14" t="s">
        <v>14465</v>
      </c>
      <c r="H8273" s="1" t="s">
        <v>43</v>
      </c>
      <c r="I8273" s="1" t="s">
        <v>4789</v>
      </c>
    </row>
    <row r="8274" spans="1:10">
      <c r="A8274" s="7" t="s">
        <v>14504</v>
      </c>
      <c r="B8274" s="2" t="s">
        <v>2629</v>
      </c>
      <c r="C8274" s="1">
        <v>6</v>
      </c>
      <c r="D8274" s="1" t="s">
        <v>58</v>
      </c>
      <c r="E8274" s="1" t="s">
        <v>10</v>
      </c>
      <c r="F8274" s="1" t="s">
        <v>118</v>
      </c>
      <c r="G8274" s="14" t="s">
        <v>14463</v>
      </c>
      <c r="H8274" s="1" t="s">
        <v>5</v>
      </c>
      <c r="I8274" s="1" t="s">
        <v>4789</v>
      </c>
      <c r="J8274" s="17"/>
    </row>
    <row r="8275" spans="1:10">
      <c r="A8275" s="7" t="s">
        <v>14507</v>
      </c>
      <c r="B8275" s="2" t="s">
        <v>2629</v>
      </c>
      <c r="C8275" s="1">
        <v>6</v>
      </c>
      <c r="D8275" s="1" t="s">
        <v>58</v>
      </c>
      <c r="E8275" s="1" t="s">
        <v>10</v>
      </c>
      <c r="F8275" s="1" t="s">
        <v>118</v>
      </c>
      <c r="G8275" s="14" t="s">
        <v>14463</v>
      </c>
      <c r="H8275" s="1" t="s">
        <v>5</v>
      </c>
      <c r="I8275" s="1" t="s">
        <v>4789</v>
      </c>
      <c r="J8275" s="17"/>
    </row>
    <row r="8276" spans="1:10">
      <c r="A8276" s="7" t="s">
        <v>14512</v>
      </c>
      <c r="B8276" s="2" t="s">
        <v>2629</v>
      </c>
      <c r="C8276" s="1">
        <v>6</v>
      </c>
      <c r="D8276" s="1" t="s">
        <v>58</v>
      </c>
      <c r="E8276" s="1" t="s">
        <v>10</v>
      </c>
      <c r="F8276" s="1" t="s">
        <v>118</v>
      </c>
      <c r="G8276" s="14" t="s">
        <v>14465</v>
      </c>
      <c r="H8276" s="1" t="s">
        <v>43</v>
      </c>
      <c r="I8276" s="1" t="s">
        <v>6844</v>
      </c>
    </row>
    <row r="8277" spans="1:10">
      <c r="A8277" s="7" t="s">
        <v>14514</v>
      </c>
      <c r="B8277" s="2" t="s">
        <v>2629</v>
      </c>
      <c r="C8277" s="1">
        <v>6</v>
      </c>
      <c r="D8277" s="1" t="s">
        <v>58</v>
      </c>
      <c r="E8277" s="1" t="s">
        <v>10</v>
      </c>
      <c r="F8277" s="1" t="s">
        <v>118</v>
      </c>
      <c r="G8277" s="14" t="s">
        <v>14463</v>
      </c>
      <c r="H8277" s="1" t="s">
        <v>5</v>
      </c>
      <c r="I8277" s="1" t="s">
        <v>4789</v>
      </c>
      <c r="J8277" s="17"/>
    </row>
    <row r="8278" spans="1:10">
      <c r="A8278" s="7" t="s">
        <v>14519</v>
      </c>
      <c r="B8278" s="2" t="s">
        <v>2629</v>
      </c>
      <c r="C8278" s="1">
        <v>6</v>
      </c>
      <c r="D8278" s="1" t="s">
        <v>58</v>
      </c>
      <c r="E8278" s="1" t="s">
        <v>10</v>
      </c>
      <c r="F8278" s="1" t="s">
        <v>118</v>
      </c>
      <c r="G8278" s="14" t="s">
        <v>14463</v>
      </c>
      <c r="H8278" s="1" t="s">
        <v>5</v>
      </c>
      <c r="I8278" s="1" t="s">
        <v>4789</v>
      </c>
      <c r="J8278" s="17"/>
    </row>
    <row r="8279" spans="1:10">
      <c r="A8279" s="16" t="s">
        <v>14645</v>
      </c>
      <c r="B8279" s="1" t="s">
        <v>2628</v>
      </c>
      <c r="C8279" s="1">
        <v>6</v>
      </c>
      <c r="D8279" s="1" t="s">
        <v>58</v>
      </c>
      <c r="E8279" s="1" t="s">
        <v>10</v>
      </c>
      <c r="F8279" s="1" t="s">
        <v>5091</v>
      </c>
      <c r="G8279" s="14" t="s">
        <v>6236</v>
      </c>
      <c r="H8279" s="1" t="s">
        <v>43</v>
      </c>
      <c r="I8279" s="17">
        <v>43101</v>
      </c>
    </row>
    <row r="8280" spans="1:10">
      <c r="A8280" s="16" t="s">
        <v>14646</v>
      </c>
      <c r="B8280" s="1" t="s">
        <v>2628</v>
      </c>
      <c r="C8280" s="1">
        <v>6</v>
      </c>
      <c r="D8280" s="1" t="s">
        <v>58</v>
      </c>
      <c r="E8280" s="1" t="s">
        <v>10</v>
      </c>
      <c r="F8280" s="1" t="s">
        <v>5091</v>
      </c>
      <c r="G8280" s="14" t="s">
        <v>6236</v>
      </c>
      <c r="H8280" s="1" t="s">
        <v>43</v>
      </c>
      <c r="I8280" s="17">
        <v>43101</v>
      </c>
    </row>
    <row r="8281" spans="1:10">
      <c r="A8281" s="16" t="s">
        <v>14657</v>
      </c>
      <c r="B8281" s="1" t="s">
        <v>2628</v>
      </c>
      <c r="C8281" s="1">
        <v>6</v>
      </c>
      <c r="D8281" s="1" t="s">
        <v>58</v>
      </c>
      <c r="E8281" s="1" t="s">
        <v>10</v>
      </c>
      <c r="F8281" s="1" t="s">
        <v>14658</v>
      </c>
      <c r="G8281" s="14" t="s">
        <v>8848</v>
      </c>
      <c r="H8281" s="1" t="s">
        <v>5</v>
      </c>
      <c r="I8281" s="17">
        <v>35796</v>
      </c>
    </row>
    <row r="8282" spans="1:10">
      <c r="A8282" s="16" t="s">
        <v>14673</v>
      </c>
      <c r="B8282" s="1" t="s">
        <v>2628</v>
      </c>
      <c r="C8282" s="1">
        <v>6</v>
      </c>
      <c r="D8282" s="1" t="s">
        <v>58</v>
      </c>
      <c r="E8282" s="1" t="s">
        <v>10</v>
      </c>
      <c r="F8282" s="1" t="s">
        <v>5091</v>
      </c>
      <c r="G8282" s="14" t="s">
        <v>6145</v>
      </c>
      <c r="H8282" s="1" t="s">
        <v>43</v>
      </c>
      <c r="I8282" s="17">
        <v>40705</v>
      </c>
    </row>
    <row r="8283" spans="1:10">
      <c r="A8283" s="7" t="s">
        <v>14851</v>
      </c>
      <c r="B8283" s="1" t="s">
        <v>2629</v>
      </c>
      <c r="C8283" s="1">
        <v>6</v>
      </c>
      <c r="D8283" s="1" t="s">
        <v>58</v>
      </c>
      <c r="E8283" s="1" t="s">
        <v>10</v>
      </c>
      <c r="F8283" s="1" t="s">
        <v>5241</v>
      </c>
      <c r="G8283" s="1" t="s">
        <v>4803</v>
      </c>
      <c r="H8283" s="1" t="s">
        <v>5</v>
      </c>
      <c r="I8283" s="17">
        <v>42675</v>
      </c>
      <c r="J8283" s="17"/>
    </row>
    <row r="8284" spans="1:10">
      <c r="A8284" s="7" t="s">
        <v>14855</v>
      </c>
      <c r="B8284" s="1" t="s">
        <v>2629</v>
      </c>
      <c r="C8284" s="1">
        <v>6</v>
      </c>
      <c r="D8284" s="1" t="s">
        <v>58</v>
      </c>
      <c r="E8284" s="1" t="s">
        <v>10</v>
      </c>
      <c r="F8284" s="1" t="s">
        <v>5241</v>
      </c>
      <c r="G8284" s="1" t="s">
        <v>4803</v>
      </c>
      <c r="H8284" s="1" t="s">
        <v>5</v>
      </c>
      <c r="I8284" s="17">
        <v>42675</v>
      </c>
      <c r="J8284" s="17"/>
    </row>
    <row r="8285" spans="1:10">
      <c r="A8285" s="7" t="s">
        <v>14862</v>
      </c>
      <c r="B8285" s="1" t="s">
        <v>2629</v>
      </c>
      <c r="C8285" s="1">
        <v>6</v>
      </c>
      <c r="D8285" s="1" t="s">
        <v>58</v>
      </c>
      <c r="E8285" s="1" t="s">
        <v>10</v>
      </c>
      <c r="F8285" s="1" t="s">
        <v>5241</v>
      </c>
      <c r="G8285" s="1" t="s">
        <v>4803</v>
      </c>
      <c r="H8285" s="1" t="s">
        <v>5</v>
      </c>
      <c r="I8285" s="17">
        <v>42552</v>
      </c>
      <c r="J8285" s="17"/>
    </row>
    <row r="8286" spans="1:10">
      <c r="A8286" s="7" t="s">
        <v>14863</v>
      </c>
      <c r="B8286" s="1" t="s">
        <v>2629</v>
      </c>
      <c r="C8286" s="1">
        <v>6</v>
      </c>
      <c r="D8286" s="1" t="s">
        <v>58</v>
      </c>
      <c r="E8286" s="1" t="s">
        <v>10</v>
      </c>
      <c r="F8286" s="1" t="s">
        <v>5241</v>
      </c>
      <c r="G8286" s="1" t="s">
        <v>6307</v>
      </c>
      <c r="H8286" s="1" t="s">
        <v>44</v>
      </c>
      <c r="I8286" s="17">
        <v>43160</v>
      </c>
    </row>
    <row r="8287" spans="1:10">
      <c r="A8287" s="7" t="s">
        <v>14875</v>
      </c>
      <c r="B8287" s="1" t="s">
        <v>2629</v>
      </c>
      <c r="C8287" s="1">
        <v>6</v>
      </c>
      <c r="D8287" s="1" t="s">
        <v>58</v>
      </c>
      <c r="E8287" s="1" t="s">
        <v>10</v>
      </c>
      <c r="F8287" s="1" t="s">
        <v>5241</v>
      </c>
      <c r="G8287" s="1" t="s">
        <v>6307</v>
      </c>
      <c r="H8287" s="1" t="s">
        <v>44</v>
      </c>
      <c r="I8287" s="17">
        <v>42767</v>
      </c>
    </row>
    <row r="8288" spans="1:10">
      <c r="A8288" s="7" t="s">
        <v>14881</v>
      </c>
      <c r="B8288" s="1" t="s">
        <v>2629</v>
      </c>
      <c r="C8288" s="1">
        <v>6</v>
      </c>
      <c r="D8288" s="1" t="s">
        <v>58</v>
      </c>
      <c r="E8288" s="1" t="s">
        <v>10</v>
      </c>
      <c r="F8288" s="1" t="s">
        <v>5241</v>
      </c>
      <c r="G8288" s="1" t="s">
        <v>4803</v>
      </c>
      <c r="H8288" s="1" t="s">
        <v>5</v>
      </c>
      <c r="I8288" s="17">
        <v>42430</v>
      </c>
      <c r="J8288" s="17"/>
    </row>
    <row r="8289" spans="1:10">
      <c r="A8289" s="7" t="s">
        <v>14882</v>
      </c>
      <c r="B8289" s="1" t="s">
        <v>2629</v>
      </c>
      <c r="C8289" s="1">
        <v>6</v>
      </c>
      <c r="D8289" s="1" t="s">
        <v>58</v>
      </c>
      <c r="E8289" s="1" t="s">
        <v>10</v>
      </c>
      <c r="F8289" s="1" t="s">
        <v>5241</v>
      </c>
      <c r="G8289" s="1" t="s">
        <v>6307</v>
      </c>
      <c r="H8289" s="1" t="s">
        <v>44</v>
      </c>
      <c r="I8289" s="17">
        <v>42583</v>
      </c>
    </row>
    <row r="8290" spans="1:10">
      <c r="A8290" s="7" t="s">
        <v>14907</v>
      </c>
      <c r="B8290" s="1" t="s">
        <v>2629</v>
      </c>
      <c r="C8290" s="1">
        <v>6</v>
      </c>
      <c r="D8290" s="1" t="s">
        <v>58</v>
      </c>
      <c r="E8290" s="1" t="s">
        <v>10</v>
      </c>
      <c r="F8290" s="1" t="s">
        <v>5241</v>
      </c>
      <c r="G8290" s="1" t="s">
        <v>6307</v>
      </c>
      <c r="H8290" s="1" t="s">
        <v>44</v>
      </c>
      <c r="I8290" s="17">
        <v>42705</v>
      </c>
    </row>
    <row r="8291" spans="1:10">
      <c r="A8291" s="7" t="s">
        <v>14996</v>
      </c>
      <c r="B8291" s="1" t="s">
        <v>2629</v>
      </c>
      <c r="C8291" s="1">
        <v>6</v>
      </c>
      <c r="D8291" s="1" t="s">
        <v>58</v>
      </c>
      <c r="E8291" s="1" t="s">
        <v>10</v>
      </c>
      <c r="F8291" s="1" t="s">
        <v>5241</v>
      </c>
      <c r="G8291" s="1" t="s">
        <v>4803</v>
      </c>
      <c r="H8291" s="1" t="s">
        <v>5</v>
      </c>
      <c r="I8291" s="17">
        <v>43252</v>
      </c>
      <c r="J8291" s="17"/>
    </row>
    <row r="8292" spans="1:10">
      <c r="A8292" s="7" t="s">
        <v>15011</v>
      </c>
      <c r="B8292" s="1" t="s">
        <v>2629</v>
      </c>
      <c r="C8292" s="1">
        <v>6</v>
      </c>
      <c r="D8292" s="1" t="s">
        <v>58</v>
      </c>
      <c r="E8292" s="1" t="s">
        <v>10</v>
      </c>
      <c r="F8292" s="1" t="s">
        <v>5241</v>
      </c>
      <c r="G8292" s="1" t="s">
        <v>6307</v>
      </c>
      <c r="H8292" s="1" t="s">
        <v>44</v>
      </c>
      <c r="I8292" s="17">
        <v>42552</v>
      </c>
    </row>
    <row r="8293" spans="1:10">
      <c r="A8293" s="7" t="s">
        <v>15018</v>
      </c>
      <c r="B8293" s="1" t="s">
        <v>2629</v>
      </c>
      <c r="C8293" s="1">
        <v>6</v>
      </c>
      <c r="D8293" s="1" t="s">
        <v>58</v>
      </c>
      <c r="E8293" s="1" t="s">
        <v>10</v>
      </c>
      <c r="F8293" s="1" t="s">
        <v>5241</v>
      </c>
      <c r="G8293" s="1" t="s">
        <v>4803</v>
      </c>
      <c r="H8293" s="1" t="s">
        <v>5</v>
      </c>
      <c r="I8293" s="17">
        <v>43132</v>
      </c>
      <c r="J8293" s="17"/>
    </row>
    <row r="8294" spans="1:10">
      <c r="A8294" s="7" t="s">
        <v>15025</v>
      </c>
      <c r="B8294" s="1" t="s">
        <v>2629</v>
      </c>
      <c r="C8294" s="1">
        <v>6</v>
      </c>
      <c r="D8294" s="1" t="s">
        <v>58</v>
      </c>
      <c r="E8294" s="1" t="s">
        <v>10</v>
      </c>
      <c r="F8294" s="1" t="s">
        <v>5241</v>
      </c>
      <c r="G8294" s="1" t="s">
        <v>6307</v>
      </c>
      <c r="H8294" s="1" t="s">
        <v>44</v>
      </c>
      <c r="I8294" s="17">
        <v>43160</v>
      </c>
    </row>
    <row r="8295" spans="1:10">
      <c r="A8295" s="7" t="s">
        <v>15036</v>
      </c>
      <c r="B8295" s="1" t="s">
        <v>2629</v>
      </c>
      <c r="C8295" s="1">
        <v>6</v>
      </c>
      <c r="D8295" s="1" t="s">
        <v>58</v>
      </c>
      <c r="E8295" s="1" t="s">
        <v>10</v>
      </c>
      <c r="F8295" s="1" t="s">
        <v>5241</v>
      </c>
      <c r="G8295" s="1" t="s">
        <v>4803</v>
      </c>
      <c r="H8295" s="1" t="s">
        <v>5</v>
      </c>
      <c r="I8295" s="17">
        <v>43009</v>
      </c>
      <c r="J8295" s="17"/>
    </row>
    <row r="8296" spans="1:10">
      <c r="A8296" s="7" t="s">
        <v>15045</v>
      </c>
      <c r="B8296" s="1" t="s">
        <v>2629</v>
      </c>
      <c r="C8296" s="1">
        <v>6</v>
      </c>
      <c r="D8296" s="1" t="s">
        <v>58</v>
      </c>
      <c r="E8296" s="1" t="s">
        <v>10</v>
      </c>
      <c r="F8296" s="1" t="s">
        <v>5241</v>
      </c>
      <c r="G8296" s="1" t="s">
        <v>4803</v>
      </c>
      <c r="H8296" s="1" t="s">
        <v>5</v>
      </c>
      <c r="I8296" s="17">
        <v>42552</v>
      </c>
      <c r="J8296" s="17"/>
    </row>
    <row r="8297" spans="1:10">
      <c r="A8297" s="7" t="s">
        <v>15065</v>
      </c>
      <c r="B8297" s="1" t="s">
        <v>2629</v>
      </c>
      <c r="C8297" s="1">
        <v>6</v>
      </c>
      <c r="D8297" s="1" t="s">
        <v>58</v>
      </c>
      <c r="E8297" s="1" t="s">
        <v>10</v>
      </c>
      <c r="F8297" s="1" t="s">
        <v>5241</v>
      </c>
      <c r="G8297" s="1" t="s">
        <v>6307</v>
      </c>
      <c r="H8297" s="1" t="s">
        <v>44</v>
      </c>
      <c r="I8297" s="17">
        <v>42705</v>
      </c>
    </row>
    <row r="8298" spans="1:10">
      <c r="A8298" s="7" t="s">
        <v>15072</v>
      </c>
      <c r="B8298" s="1" t="s">
        <v>2629</v>
      </c>
      <c r="C8298" s="1">
        <v>6</v>
      </c>
      <c r="D8298" s="1" t="s">
        <v>58</v>
      </c>
      <c r="E8298" s="1" t="s">
        <v>10</v>
      </c>
      <c r="F8298" s="1" t="s">
        <v>5241</v>
      </c>
      <c r="G8298" s="1" t="s">
        <v>6307</v>
      </c>
      <c r="H8298" s="1" t="s">
        <v>44</v>
      </c>
      <c r="I8298" s="17">
        <v>43160</v>
      </c>
    </row>
    <row r="8299" spans="1:10">
      <c r="A8299" s="7" t="s">
        <v>15094</v>
      </c>
      <c r="B8299" s="1" t="s">
        <v>2629</v>
      </c>
      <c r="C8299" s="1">
        <v>6</v>
      </c>
      <c r="D8299" s="1" t="s">
        <v>58</v>
      </c>
      <c r="E8299" s="1" t="s">
        <v>10</v>
      </c>
      <c r="F8299" s="1" t="s">
        <v>5241</v>
      </c>
      <c r="G8299" s="1" t="s">
        <v>6307</v>
      </c>
      <c r="H8299" s="1" t="s">
        <v>44</v>
      </c>
      <c r="I8299" s="17">
        <v>43160</v>
      </c>
    </row>
    <row r="8300" spans="1:10">
      <c r="A8300" s="7" t="s">
        <v>15138</v>
      </c>
      <c r="B8300" s="1" t="s">
        <v>2629</v>
      </c>
      <c r="C8300" s="1">
        <v>6</v>
      </c>
      <c r="D8300" s="1" t="s">
        <v>58</v>
      </c>
      <c r="E8300" s="1" t="s">
        <v>10</v>
      </c>
      <c r="F8300" s="1" t="s">
        <v>5241</v>
      </c>
      <c r="G8300" s="1" t="s">
        <v>6307</v>
      </c>
      <c r="H8300" s="1" t="s">
        <v>44</v>
      </c>
      <c r="I8300" s="17">
        <v>42583</v>
      </c>
    </row>
    <row r="8301" spans="1:10">
      <c r="A8301" s="7" t="s">
        <v>15141</v>
      </c>
      <c r="B8301" s="1" t="s">
        <v>2629</v>
      </c>
      <c r="C8301" s="1">
        <v>6</v>
      </c>
      <c r="D8301" s="1" t="s">
        <v>58</v>
      </c>
      <c r="E8301" s="1" t="s">
        <v>10</v>
      </c>
      <c r="F8301" s="1" t="s">
        <v>5241</v>
      </c>
      <c r="G8301" s="1" t="s">
        <v>6307</v>
      </c>
      <c r="H8301" s="1" t="s">
        <v>44</v>
      </c>
      <c r="I8301" s="17">
        <v>42979</v>
      </c>
    </row>
    <row r="8302" spans="1:10">
      <c r="A8302" s="7" t="s">
        <v>15159</v>
      </c>
      <c r="B8302" s="1" t="s">
        <v>2629</v>
      </c>
      <c r="C8302" s="1">
        <v>6</v>
      </c>
      <c r="D8302" s="1" t="s">
        <v>58</v>
      </c>
      <c r="E8302" s="1" t="s">
        <v>10</v>
      </c>
      <c r="F8302" s="1" t="s">
        <v>5241</v>
      </c>
      <c r="G8302" s="1" t="s">
        <v>6307</v>
      </c>
      <c r="H8302" s="1" t="s">
        <v>44</v>
      </c>
      <c r="I8302" s="17">
        <v>42552</v>
      </c>
    </row>
    <row r="8303" spans="1:10">
      <c r="A8303" s="7" t="s">
        <v>15164</v>
      </c>
      <c r="B8303" s="1" t="s">
        <v>2629</v>
      </c>
      <c r="C8303" s="1">
        <v>6</v>
      </c>
      <c r="D8303" s="1" t="s">
        <v>58</v>
      </c>
      <c r="E8303" s="1" t="s">
        <v>10</v>
      </c>
      <c r="F8303" s="1" t="s">
        <v>5241</v>
      </c>
      <c r="G8303" s="1" t="s">
        <v>6307</v>
      </c>
      <c r="H8303" s="1" t="s">
        <v>44</v>
      </c>
      <c r="I8303" s="17">
        <v>42705</v>
      </c>
    </row>
    <row r="8304" spans="1:10">
      <c r="A8304" s="7" t="s">
        <v>15182</v>
      </c>
      <c r="B8304" s="1" t="s">
        <v>2629</v>
      </c>
      <c r="C8304" s="1">
        <v>6</v>
      </c>
      <c r="D8304" s="1" t="s">
        <v>58</v>
      </c>
      <c r="E8304" s="1" t="s">
        <v>10</v>
      </c>
      <c r="F8304" s="1" t="s">
        <v>5241</v>
      </c>
      <c r="G8304" s="1" t="s">
        <v>4803</v>
      </c>
      <c r="H8304" s="1" t="s">
        <v>5</v>
      </c>
      <c r="I8304" s="17">
        <v>42583</v>
      </c>
    </row>
    <row r="8305" spans="1:9">
      <c r="A8305" s="7" t="s">
        <v>15234</v>
      </c>
      <c r="B8305" s="1" t="s">
        <v>2629</v>
      </c>
      <c r="C8305" s="1">
        <v>6</v>
      </c>
      <c r="D8305" s="1" t="s">
        <v>58</v>
      </c>
      <c r="E8305" s="1" t="s">
        <v>10</v>
      </c>
      <c r="F8305" s="1" t="s">
        <v>5241</v>
      </c>
      <c r="G8305" s="1" t="s">
        <v>4803</v>
      </c>
      <c r="H8305" s="1" t="s">
        <v>5</v>
      </c>
      <c r="I8305" s="17">
        <v>42552</v>
      </c>
    </row>
    <row r="8306" spans="1:9">
      <c r="A8306" s="7" t="s">
        <v>15253</v>
      </c>
      <c r="B8306" s="1" t="s">
        <v>2629</v>
      </c>
      <c r="C8306" s="1">
        <v>6</v>
      </c>
      <c r="D8306" s="1" t="s">
        <v>58</v>
      </c>
      <c r="E8306" s="1" t="s">
        <v>10</v>
      </c>
      <c r="F8306" s="1" t="s">
        <v>5241</v>
      </c>
      <c r="G8306" s="1" t="s">
        <v>6307</v>
      </c>
      <c r="H8306" s="1" t="s">
        <v>44</v>
      </c>
      <c r="I8306" s="17">
        <v>43160</v>
      </c>
    </row>
    <row r="8307" spans="1:9">
      <c r="A8307" s="7" t="s">
        <v>15258</v>
      </c>
      <c r="B8307" s="1" t="s">
        <v>2629</v>
      </c>
      <c r="C8307" s="1">
        <v>6</v>
      </c>
      <c r="D8307" s="1" t="s">
        <v>58</v>
      </c>
      <c r="E8307" s="1" t="s">
        <v>10</v>
      </c>
      <c r="F8307" s="1" t="s">
        <v>5241</v>
      </c>
      <c r="G8307" s="1" t="s">
        <v>6307</v>
      </c>
      <c r="H8307" s="1" t="s">
        <v>44</v>
      </c>
      <c r="I8307" s="17">
        <v>42583</v>
      </c>
    </row>
    <row r="8308" spans="1:9">
      <c r="A8308" s="7" t="s">
        <v>15275</v>
      </c>
      <c r="B8308" s="1" t="s">
        <v>2629</v>
      </c>
      <c r="C8308" s="1">
        <v>6</v>
      </c>
      <c r="D8308" s="1" t="s">
        <v>58</v>
      </c>
      <c r="E8308" s="1" t="s">
        <v>10</v>
      </c>
      <c r="F8308" s="1" t="s">
        <v>5241</v>
      </c>
      <c r="G8308" s="1" t="s">
        <v>6307</v>
      </c>
      <c r="H8308" s="1" t="s">
        <v>44</v>
      </c>
      <c r="I8308" s="17">
        <v>42767</v>
      </c>
    </row>
    <row r="8309" spans="1:9">
      <c r="A8309" s="7" t="s">
        <v>15277</v>
      </c>
      <c r="B8309" s="1" t="s">
        <v>2629</v>
      </c>
      <c r="C8309" s="1">
        <v>6</v>
      </c>
      <c r="D8309" s="1" t="s">
        <v>58</v>
      </c>
      <c r="E8309" s="1" t="s">
        <v>10</v>
      </c>
      <c r="F8309" s="1" t="s">
        <v>5241</v>
      </c>
      <c r="G8309" s="1" t="s">
        <v>6307</v>
      </c>
      <c r="H8309" s="1" t="s">
        <v>44</v>
      </c>
      <c r="I8309" s="17">
        <v>43132</v>
      </c>
    </row>
    <row r="8310" spans="1:9">
      <c r="A8310" s="7" t="s">
        <v>15285</v>
      </c>
      <c r="B8310" s="1" t="s">
        <v>2629</v>
      </c>
      <c r="C8310" s="1">
        <v>6</v>
      </c>
      <c r="D8310" s="1" t="s">
        <v>58</v>
      </c>
      <c r="E8310" s="1" t="s">
        <v>10</v>
      </c>
      <c r="F8310" s="1" t="s">
        <v>5241</v>
      </c>
      <c r="G8310" s="1" t="s">
        <v>6307</v>
      </c>
      <c r="H8310" s="1" t="s">
        <v>44</v>
      </c>
      <c r="I8310" s="17">
        <v>42705</v>
      </c>
    </row>
    <row r="8311" spans="1:9">
      <c r="A8311" s="7" t="s">
        <v>15294</v>
      </c>
      <c r="B8311" s="1" t="s">
        <v>2629</v>
      </c>
      <c r="C8311" s="1">
        <v>6</v>
      </c>
      <c r="D8311" s="1" t="s">
        <v>58</v>
      </c>
      <c r="E8311" s="1" t="s">
        <v>10</v>
      </c>
      <c r="F8311" s="1" t="s">
        <v>5241</v>
      </c>
      <c r="G8311" s="1" t="s">
        <v>4803</v>
      </c>
      <c r="H8311" s="1" t="s">
        <v>5</v>
      </c>
      <c r="I8311" s="17">
        <v>42675</v>
      </c>
    </row>
    <row r="8312" spans="1:9">
      <c r="A8312" s="7" t="s">
        <v>15313</v>
      </c>
      <c r="B8312" s="1" t="s">
        <v>2629</v>
      </c>
      <c r="C8312" s="1">
        <v>6</v>
      </c>
      <c r="D8312" s="1" t="s">
        <v>58</v>
      </c>
      <c r="E8312" s="1" t="s">
        <v>10</v>
      </c>
      <c r="F8312" s="1" t="s">
        <v>5241</v>
      </c>
      <c r="G8312" s="1" t="s">
        <v>4803</v>
      </c>
      <c r="H8312" s="1" t="s">
        <v>5</v>
      </c>
      <c r="I8312" s="17">
        <v>42675</v>
      </c>
    </row>
    <row r="8313" spans="1:9">
      <c r="A8313" s="7" t="s">
        <v>15315</v>
      </c>
      <c r="B8313" s="1" t="s">
        <v>2629</v>
      </c>
      <c r="C8313" s="1">
        <v>6</v>
      </c>
      <c r="D8313" s="1" t="s">
        <v>58</v>
      </c>
      <c r="E8313" s="1" t="s">
        <v>10</v>
      </c>
      <c r="F8313" s="1" t="s">
        <v>5241</v>
      </c>
      <c r="G8313" s="1" t="s">
        <v>4803</v>
      </c>
      <c r="H8313" s="1" t="s">
        <v>5</v>
      </c>
      <c r="I8313" s="17">
        <v>42552</v>
      </c>
    </row>
    <row r="8314" spans="1:9">
      <c r="A8314" s="7" t="s">
        <v>15330</v>
      </c>
      <c r="B8314" s="1" t="s">
        <v>2629</v>
      </c>
      <c r="C8314" s="1">
        <v>6</v>
      </c>
      <c r="D8314" s="1" t="s">
        <v>58</v>
      </c>
      <c r="E8314" s="1" t="s">
        <v>10</v>
      </c>
      <c r="F8314" s="1" t="s">
        <v>5241</v>
      </c>
      <c r="G8314" s="1" t="s">
        <v>4803</v>
      </c>
      <c r="H8314" s="1" t="s">
        <v>5</v>
      </c>
      <c r="I8314" s="17">
        <v>42675</v>
      </c>
    </row>
    <row r="8315" spans="1:9">
      <c r="A8315" s="7" t="s">
        <v>15368</v>
      </c>
      <c r="B8315" s="1" t="s">
        <v>2629</v>
      </c>
      <c r="C8315" s="1">
        <v>6</v>
      </c>
      <c r="D8315" s="1" t="s">
        <v>58</v>
      </c>
      <c r="E8315" s="1" t="s">
        <v>10</v>
      </c>
      <c r="F8315" s="1" t="s">
        <v>5241</v>
      </c>
      <c r="G8315" s="1" t="s">
        <v>6307</v>
      </c>
      <c r="H8315" s="1" t="s">
        <v>44</v>
      </c>
      <c r="I8315" s="17">
        <v>43160</v>
      </c>
    </row>
    <row r="8316" spans="1:9">
      <c r="A8316" s="7" t="s">
        <v>15420</v>
      </c>
      <c r="B8316" s="1" t="s">
        <v>2629</v>
      </c>
      <c r="C8316" s="1">
        <v>6</v>
      </c>
      <c r="D8316" s="1" t="s">
        <v>58</v>
      </c>
      <c r="E8316" s="1" t="s">
        <v>10</v>
      </c>
      <c r="F8316" s="1" t="s">
        <v>5241</v>
      </c>
      <c r="G8316" s="1" t="s">
        <v>4803</v>
      </c>
      <c r="H8316" s="1" t="s">
        <v>5</v>
      </c>
      <c r="I8316" s="17">
        <v>42583</v>
      </c>
    </row>
    <row r="8317" spans="1:9">
      <c r="A8317" s="7" t="s">
        <v>15445</v>
      </c>
      <c r="B8317" s="1" t="s">
        <v>2629</v>
      </c>
      <c r="C8317" s="1">
        <v>6</v>
      </c>
      <c r="D8317" s="1" t="s">
        <v>58</v>
      </c>
      <c r="E8317" s="1" t="s">
        <v>10</v>
      </c>
      <c r="F8317" s="1" t="s">
        <v>5241</v>
      </c>
      <c r="G8317" s="1" t="s">
        <v>4803</v>
      </c>
      <c r="H8317" s="1" t="s">
        <v>5</v>
      </c>
      <c r="I8317" s="17">
        <v>43132</v>
      </c>
    </row>
    <row r="8318" spans="1:9">
      <c r="A8318" s="7" t="s">
        <v>15452</v>
      </c>
      <c r="B8318" s="1" t="s">
        <v>2629</v>
      </c>
      <c r="C8318" s="1">
        <v>6</v>
      </c>
      <c r="D8318" s="1" t="s">
        <v>58</v>
      </c>
      <c r="E8318" s="1" t="s">
        <v>10</v>
      </c>
      <c r="F8318" s="1" t="s">
        <v>5241</v>
      </c>
      <c r="G8318" s="1" t="s">
        <v>6307</v>
      </c>
      <c r="H8318" s="1" t="s">
        <v>44</v>
      </c>
      <c r="I8318" s="17">
        <v>43132</v>
      </c>
    </row>
    <row r="8319" spans="1:9">
      <c r="A8319" s="7" t="s">
        <v>15481</v>
      </c>
      <c r="B8319" s="1" t="s">
        <v>2629</v>
      </c>
      <c r="C8319" s="1">
        <v>6</v>
      </c>
      <c r="D8319" s="1" t="s">
        <v>58</v>
      </c>
      <c r="E8319" s="1" t="s">
        <v>10</v>
      </c>
      <c r="F8319" s="1" t="s">
        <v>5241</v>
      </c>
      <c r="G8319" s="1" t="s">
        <v>6307</v>
      </c>
      <c r="H8319" s="1" t="s">
        <v>44</v>
      </c>
      <c r="I8319" s="17">
        <v>42705</v>
      </c>
    </row>
    <row r="8320" spans="1:9">
      <c r="A8320" s="7" t="s">
        <v>15509</v>
      </c>
      <c r="B8320" s="1" t="s">
        <v>2629</v>
      </c>
      <c r="C8320" s="1">
        <v>6</v>
      </c>
      <c r="D8320" s="1" t="s">
        <v>58</v>
      </c>
      <c r="E8320" s="1" t="s">
        <v>10</v>
      </c>
      <c r="F8320" s="1" t="s">
        <v>5241</v>
      </c>
      <c r="G8320" s="1" t="s">
        <v>4803</v>
      </c>
      <c r="H8320" s="1" t="s">
        <v>5</v>
      </c>
      <c r="I8320" s="17">
        <v>42430</v>
      </c>
    </row>
    <row r="8321" spans="1:10">
      <c r="A8321" s="7" t="s">
        <v>15519</v>
      </c>
      <c r="B8321" s="1" t="s">
        <v>2629</v>
      </c>
      <c r="C8321" s="1">
        <v>6</v>
      </c>
      <c r="D8321" s="1" t="s">
        <v>58</v>
      </c>
      <c r="E8321" s="1" t="s">
        <v>10</v>
      </c>
      <c r="F8321" s="1" t="s">
        <v>5241</v>
      </c>
      <c r="G8321" s="1" t="s">
        <v>6307</v>
      </c>
      <c r="H8321" s="1" t="s">
        <v>44</v>
      </c>
      <c r="I8321" s="17">
        <v>43160</v>
      </c>
    </row>
    <row r="8322" spans="1:10">
      <c r="A8322" s="7" t="s">
        <v>15523</v>
      </c>
      <c r="B8322" s="1" t="s">
        <v>2629</v>
      </c>
      <c r="C8322" s="1">
        <v>6</v>
      </c>
      <c r="D8322" s="1" t="s">
        <v>58</v>
      </c>
      <c r="E8322" s="1" t="s">
        <v>10</v>
      </c>
      <c r="F8322" s="1" t="s">
        <v>5241</v>
      </c>
      <c r="G8322" s="1" t="s">
        <v>4803</v>
      </c>
      <c r="H8322" s="1" t="s">
        <v>5</v>
      </c>
      <c r="I8322" s="17">
        <v>43009</v>
      </c>
    </row>
    <row r="8323" spans="1:10">
      <c r="A8323" s="7" t="s">
        <v>15534</v>
      </c>
      <c r="B8323" s="1" t="s">
        <v>2629</v>
      </c>
      <c r="C8323" s="1">
        <v>6</v>
      </c>
      <c r="D8323" s="1" t="s">
        <v>58</v>
      </c>
      <c r="E8323" s="1" t="s">
        <v>10</v>
      </c>
      <c r="F8323" s="1" t="s">
        <v>5241</v>
      </c>
      <c r="G8323" s="1" t="s">
        <v>4803</v>
      </c>
      <c r="H8323" s="1" t="s">
        <v>5</v>
      </c>
      <c r="I8323" s="17">
        <v>42583</v>
      </c>
    </row>
    <row r="8324" spans="1:10">
      <c r="A8324" s="7" t="s">
        <v>15624</v>
      </c>
      <c r="B8324" s="1" t="s">
        <v>2629</v>
      </c>
      <c r="C8324" s="1">
        <v>6</v>
      </c>
      <c r="D8324" s="1" t="s">
        <v>58</v>
      </c>
      <c r="E8324" s="1" t="s">
        <v>10</v>
      </c>
      <c r="F8324" s="1" t="s">
        <v>5241</v>
      </c>
      <c r="G8324" s="1" t="s">
        <v>6307</v>
      </c>
      <c r="H8324" s="1" t="s">
        <v>44</v>
      </c>
      <c r="I8324" s="17">
        <v>43344</v>
      </c>
    </row>
    <row r="8325" spans="1:10">
      <c r="A8325" s="7" t="s">
        <v>15631</v>
      </c>
      <c r="B8325" s="1" t="s">
        <v>2629</v>
      </c>
      <c r="C8325" s="1">
        <v>6</v>
      </c>
      <c r="D8325" s="1" t="s">
        <v>58</v>
      </c>
      <c r="E8325" s="1" t="s">
        <v>10</v>
      </c>
      <c r="F8325" s="1" t="s">
        <v>5241</v>
      </c>
      <c r="G8325" s="1" t="s">
        <v>6307</v>
      </c>
      <c r="H8325" s="1" t="s">
        <v>44</v>
      </c>
      <c r="I8325" s="17">
        <v>43344</v>
      </c>
    </row>
    <row r="8326" spans="1:10">
      <c r="A8326" s="16" t="s">
        <v>15692</v>
      </c>
      <c r="B8326" s="1" t="s">
        <v>2628</v>
      </c>
      <c r="C8326" s="1">
        <v>6</v>
      </c>
      <c r="D8326" s="1" t="s">
        <v>58</v>
      </c>
      <c r="E8326" s="1" t="s">
        <v>10</v>
      </c>
      <c r="F8326" s="1" t="s">
        <v>5091</v>
      </c>
      <c r="G8326" s="14" t="s">
        <v>6145</v>
      </c>
      <c r="H8326" s="1" t="s">
        <v>43</v>
      </c>
      <c r="I8326" s="17">
        <v>43348</v>
      </c>
    </row>
    <row r="8327" spans="1:10">
      <c r="A8327" s="16" t="s">
        <v>15696</v>
      </c>
      <c r="B8327" s="1" t="s">
        <v>2628</v>
      </c>
      <c r="C8327" s="1">
        <v>6</v>
      </c>
      <c r="D8327" s="1" t="s">
        <v>58</v>
      </c>
      <c r="E8327" s="1" t="s">
        <v>10</v>
      </c>
      <c r="F8327" s="1" t="s">
        <v>5091</v>
      </c>
      <c r="G8327" s="14" t="s">
        <v>6145</v>
      </c>
      <c r="H8327" s="1" t="s">
        <v>43</v>
      </c>
      <c r="I8327" s="17">
        <v>43348</v>
      </c>
    </row>
    <row r="8328" spans="1:10">
      <c r="A8328" s="16" t="s">
        <v>15698</v>
      </c>
      <c r="B8328" s="1" t="s">
        <v>2628</v>
      </c>
      <c r="C8328" s="1">
        <v>6</v>
      </c>
      <c r="D8328" s="1" t="s">
        <v>58</v>
      </c>
      <c r="E8328" s="1" t="s">
        <v>10</v>
      </c>
      <c r="F8328" s="1" t="s">
        <v>5091</v>
      </c>
      <c r="G8328" s="14" t="s">
        <v>6145</v>
      </c>
      <c r="H8328" s="1" t="s">
        <v>43</v>
      </c>
      <c r="I8328" s="17">
        <v>43348</v>
      </c>
    </row>
    <row r="8329" spans="1:10">
      <c r="A8329" s="16" t="s">
        <v>15699</v>
      </c>
      <c r="B8329" s="1" t="s">
        <v>2628</v>
      </c>
      <c r="C8329" s="1">
        <v>6</v>
      </c>
      <c r="D8329" s="1" t="s">
        <v>58</v>
      </c>
      <c r="E8329" s="1" t="s">
        <v>10</v>
      </c>
      <c r="F8329" s="1" t="s">
        <v>5091</v>
      </c>
      <c r="G8329" s="14" t="s">
        <v>6145</v>
      </c>
      <c r="H8329" s="1" t="s">
        <v>43</v>
      </c>
      <c r="I8329" s="17">
        <v>43348</v>
      </c>
    </row>
    <row r="8330" spans="1:10">
      <c r="A8330" s="16" t="s">
        <v>15700</v>
      </c>
      <c r="B8330" s="1" t="s">
        <v>2628</v>
      </c>
      <c r="C8330" s="1">
        <v>6</v>
      </c>
      <c r="D8330" s="1" t="s">
        <v>58</v>
      </c>
      <c r="E8330" s="1" t="s">
        <v>10</v>
      </c>
      <c r="F8330" s="1" t="s">
        <v>5091</v>
      </c>
      <c r="G8330" s="14" t="s">
        <v>6145</v>
      </c>
      <c r="H8330" s="1" t="s">
        <v>43</v>
      </c>
      <c r="I8330" s="17">
        <v>43348</v>
      </c>
    </row>
    <row r="8331" spans="1:10">
      <c r="A8331" s="16" t="s">
        <v>15701</v>
      </c>
      <c r="B8331" s="1" t="s">
        <v>2628</v>
      </c>
      <c r="C8331" s="1">
        <v>6</v>
      </c>
      <c r="D8331" s="1" t="s">
        <v>58</v>
      </c>
      <c r="E8331" s="1" t="s">
        <v>10</v>
      </c>
      <c r="F8331" s="1" t="s">
        <v>5091</v>
      </c>
      <c r="G8331" s="14" t="s">
        <v>6145</v>
      </c>
      <c r="H8331" s="1" t="s">
        <v>43</v>
      </c>
      <c r="I8331" s="17">
        <v>43348</v>
      </c>
    </row>
    <row r="8332" spans="1:10">
      <c r="A8332" s="7" t="s">
        <v>15853</v>
      </c>
      <c r="B8332" s="2" t="s">
        <v>2628</v>
      </c>
      <c r="C8332" s="1">
        <v>6</v>
      </c>
      <c r="D8332" s="1" t="s">
        <v>58</v>
      </c>
      <c r="E8332" s="1" t="s">
        <v>10</v>
      </c>
      <c r="F8332" s="1" t="s">
        <v>5091</v>
      </c>
      <c r="G8332" s="14" t="s">
        <v>15854</v>
      </c>
      <c r="H8332" s="1" t="s">
        <v>43</v>
      </c>
      <c r="I8332" s="1" t="s">
        <v>5092</v>
      </c>
    </row>
    <row r="8333" spans="1:10">
      <c r="A8333" s="7" t="s">
        <v>16091</v>
      </c>
      <c r="B8333" s="2" t="s">
        <v>2629</v>
      </c>
      <c r="C8333" s="1">
        <v>6</v>
      </c>
      <c r="D8333" s="1" t="s">
        <v>58</v>
      </c>
      <c r="E8333" s="1" t="s">
        <v>10</v>
      </c>
      <c r="F8333" s="1" t="s">
        <v>5241</v>
      </c>
      <c r="G8333" s="14" t="s">
        <v>4803</v>
      </c>
      <c r="H8333" s="1" t="s">
        <v>5</v>
      </c>
      <c r="I8333" s="1">
        <v>2019</v>
      </c>
    </row>
    <row r="8334" spans="1:10">
      <c r="A8334" s="7" t="s">
        <v>16218</v>
      </c>
      <c r="B8334" s="2" t="s">
        <v>2628</v>
      </c>
      <c r="C8334" s="1">
        <v>6</v>
      </c>
      <c r="D8334" s="1" t="s">
        <v>58</v>
      </c>
      <c r="E8334" s="1" t="s">
        <v>10</v>
      </c>
      <c r="F8334" s="1" t="s">
        <v>5091</v>
      </c>
      <c r="G8334" s="14" t="s">
        <v>16219</v>
      </c>
      <c r="H8334" s="1" t="s">
        <v>5</v>
      </c>
      <c r="I8334" s="1" t="s">
        <v>5807</v>
      </c>
      <c r="J8334" s="17"/>
    </row>
    <row r="8335" spans="1:10">
      <c r="A8335" s="7" t="s">
        <v>16235</v>
      </c>
      <c r="B8335" s="2" t="s">
        <v>2628</v>
      </c>
      <c r="C8335" s="1">
        <v>6</v>
      </c>
      <c r="D8335" s="1" t="s">
        <v>58</v>
      </c>
      <c r="E8335" s="1" t="s">
        <v>10</v>
      </c>
      <c r="F8335" s="1" t="s">
        <v>5091</v>
      </c>
      <c r="G8335" s="14" t="s">
        <v>6139</v>
      </c>
      <c r="H8335" s="1" t="s">
        <v>43</v>
      </c>
      <c r="I8335" s="1" t="s">
        <v>5807</v>
      </c>
    </row>
    <row r="8336" spans="1:10">
      <c r="A8336" s="7" t="s">
        <v>16236</v>
      </c>
      <c r="B8336" s="2" t="s">
        <v>2628</v>
      </c>
      <c r="C8336" s="1">
        <v>6</v>
      </c>
      <c r="D8336" s="1" t="s">
        <v>58</v>
      </c>
      <c r="E8336" s="1" t="s">
        <v>10</v>
      </c>
      <c r="F8336" s="1" t="s">
        <v>5091</v>
      </c>
      <c r="G8336" s="14" t="s">
        <v>6139</v>
      </c>
      <c r="H8336" s="1" t="s">
        <v>43</v>
      </c>
      <c r="I8336" s="1" t="s">
        <v>5807</v>
      </c>
    </row>
    <row r="8337" spans="1:10">
      <c r="A8337" s="7" t="s">
        <v>16237</v>
      </c>
      <c r="B8337" s="2" t="s">
        <v>2628</v>
      </c>
      <c r="C8337" s="1">
        <v>6</v>
      </c>
      <c r="D8337" s="1" t="s">
        <v>58</v>
      </c>
      <c r="E8337" s="1" t="s">
        <v>10</v>
      </c>
      <c r="F8337" s="1" t="s">
        <v>5091</v>
      </c>
      <c r="G8337" s="14" t="s">
        <v>6139</v>
      </c>
      <c r="H8337" s="1" t="s">
        <v>43</v>
      </c>
      <c r="I8337" s="1" t="s">
        <v>5807</v>
      </c>
    </row>
    <row r="8338" spans="1:10">
      <c r="A8338" s="7" t="s">
        <v>16238</v>
      </c>
      <c r="B8338" s="2" t="s">
        <v>2628</v>
      </c>
      <c r="C8338" s="1">
        <v>6</v>
      </c>
      <c r="D8338" s="1" t="s">
        <v>58</v>
      </c>
      <c r="E8338" s="1" t="s">
        <v>10</v>
      </c>
      <c r="F8338" s="1" t="s">
        <v>5091</v>
      </c>
      <c r="G8338" s="14" t="s">
        <v>6139</v>
      </c>
      <c r="H8338" s="1" t="s">
        <v>43</v>
      </c>
      <c r="I8338" s="1" t="s">
        <v>5807</v>
      </c>
    </row>
    <row r="8339" spans="1:10">
      <c r="A8339" s="7" t="s">
        <v>16239</v>
      </c>
      <c r="B8339" s="2" t="s">
        <v>2628</v>
      </c>
      <c r="C8339" s="1">
        <v>6</v>
      </c>
      <c r="D8339" s="1" t="s">
        <v>58</v>
      </c>
      <c r="E8339" s="1" t="s">
        <v>10</v>
      </c>
      <c r="F8339" s="1" t="s">
        <v>5091</v>
      </c>
      <c r="G8339" s="14" t="s">
        <v>6139</v>
      </c>
      <c r="H8339" s="1" t="s">
        <v>43</v>
      </c>
      <c r="I8339" s="1" t="s">
        <v>5807</v>
      </c>
    </row>
    <row r="8340" spans="1:10">
      <c r="A8340" s="7" t="s">
        <v>16558</v>
      </c>
      <c r="B8340" s="2" t="s">
        <v>2628</v>
      </c>
      <c r="C8340" s="1">
        <v>6</v>
      </c>
      <c r="D8340" s="1" t="s">
        <v>58</v>
      </c>
      <c r="E8340" s="1" t="s">
        <v>10</v>
      </c>
      <c r="F8340" s="1" t="s">
        <v>5091</v>
      </c>
      <c r="G8340" s="14" t="s">
        <v>2400</v>
      </c>
      <c r="H8340" s="1" t="s">
        <v>43</v>
      </c>
      <c r="I8340" s="1" t="s">
        <v>5659</v>
      </c>
    </row>
    <row r="8341" spans="1:10">
      <c r="A8341" s="7" t="s">
        <v>16624</v>
      </c>
      <c r="B8341" s="2" t="s">
        <v>2628</v>
      </c>
      <c r="C8341" s="1">
        <v>6</v>
      </c>
      <c r="D8341" s="1" t="s">
        <v>58</v>
      </c>
      <c r="E8341" s="1" t="s">
        <v>10</v>
      </c>
      <c r="F8341" s="1" t="s">
        <v>5091</v>
      </c>
      <c r="G8341" s="14" t="s">
        <v>16625</v>
      </c>
      <c r="H8341" s="1" t="s">
        <v>44</v>
      </c>
      <c r="I8341" s="17" t="s">
        <v>5807</v>
      </c>
    </row>
    <row r="8342" spans="1:10">
      <c r="A8342" s="7" t="s">
        <v>16649</v>
      </c>
      <c r="B8342" s="2" t="s">
        <v>2628</v>
      </c>
      <c r="C8342" s="1">
        <v>6</v>
      </c>
      <c r="D8342" s="1" t="s">
        <v>58</v>
      </c>
      <c r="E8342" s="1" t="s">
        <v>10</v>
      </c>
      <c r="F8342" s="1" t="s">
        <v>5091</v>
      </c>
      <c r="G8342" s="14" t="s">
        <v>2400</v>
      </c>
      <c r="H8342" s="1" t="s">
        <v>43</v>
      </c>
      <c r="I8342" s="1" t="s">
        <v>5659</v>
      </c>
    </row>
    <row r="8343" spans="1:10">
      <c r="A8343" s="16" t="s">
        <v>16683</v>
      </c>
      <c r="B8343" s="1" t="s">
        <v>2628</v>
      </c>
      <c r="C8343" s="1">
        <v>6</v>
      </c>
      <c r="D8343" s="1" t="s">
        <v>58</v>
      </c>
      <c r="E8343" s="1" t="s">
        <v>10</v>
      </c>
      <c r="F8343" s="1" t="s">
        <v>5091</v>
      </c>
      <c r="G8343" s="14" t="s">
        <v>16684</v>
      </c>
      <c r="H8343" s="1" t="s">
        <v>5</v>
      </c>
      <c r="I8343" s="17">
        <v>39584</v>
      </c>
    </row>
    <row r="8344" spans="1:10">
      <c r="A8344" s="7" t="s">
        <v>16723</v>
      </c>
      <c r="B8344" s="2" t="s">
        <v>2628</v>
      </c>
      <c r="C8344" s="1">
        <v>6</v>
      </c>
      <c r="D8344" s="1" t="s">
        <v>58</v>
      </c>
      <c r="E8344" s="1" t="s">
        <v>10</v>
      </c>
      <c r="F8344" s="1" t="s">
        <v>5091</v>
      </c>
      <c r="G8344" s="14" t="s">
        <v>16614</v>
      </c>
      <c r="H8344" s="1" t="s">
        <v>5</v>
      </c>
      <c r="I8344" s="1" t="s">
        <v>5807</v>
      </c>
      <c r="J8344" s="17"/>
    </row>
    <row r="8345" spans="1:10">
      <c r="A8345" s="7" t="s">
        <v>16825</v>
      </c>
      <c r="B8345" s="2" t="s">
        <v>2628</v>
      </c>
      <c r="C8345" s="1">
        <v>6</v>
      </c>
      <c r="D8345" s="1" t="s">
        <v>58</v>
      </c>
      <c r="E8345" s="1" t="s">
        <v>10</v>
      </c>
      <c r="F8345" s="1" t="s">
        <v>5091</v>
      </c>
      <c r="G8345" s="14" t="s">
        <v>6139</v>
      </c>
      <c r="H8345" s="1" t="s">
        <v>43</v>
      </c>
      <c r="I8345" s="1" t="s">
        <v>5807</v>
      </c>
    </row>
    <row r="8346" spans="1:10">
      <c r="A8346" s="7" t="s">
        <v>16826</v>
      </c>
      <c r="B8346" s="2" t="s">
        <v>2628</v>
      </c>
      <c r="C8346" s="1">
        <v>6</v>
      </c>
      <c r="D8346" s="1" t="s">
        <v>58</v>
      </c>
      <c r="E8346" s="1" t="s">
        <v>10</v>
      </c>
      <c r="F8346" s="1" t="s">
        <v>5091</v>
      </c>
      <c r="G8346" s="14" t="s">
        <v>6139</v>
      </c>
      <c r="H8346" s="1" t="s">
        <v>43</v>
      </c>
      <c r="I8346" s="1" t="s">
        <v>5807</v>
      </c>
    </row>
    <row r="8347" spans="1:10">
      <c r="A8347" s="7" t="s">
        <v>16828</v>
      </c>
      <c r="B8347" s="2" t="s">
        <v>2628</v>
      </c>
      <c r="C8347" s="1">
        <v>6</v>
      </c>
      <c r="D8347" s="1" t="s">
        <v>58</v>
      </c>
      <c r="E8347" s="1" t="s">
        <v>10</v>
      </c>
      <c r="F8347" s="1" t="s">
        <v>5091</v>
      </c>
      <c r="G8347" s="14" t="s">
        <v>6139</v>
      </c>
      <c r="H8347" s="1" t="s">
        <v>43</v>
      </c>
      <c r="I8347" s="1" t="s">
        <v>5807</v>
      </c>
    </row>
    <row r="8348" spans="1:10">
      <c r="A8348" s="7" t="s">
        <v>16829</v>
      </c>
      <c r="B8348" s="2" t="s">
        <v>2628</v>
      </c>
      <c r="C8348" s="1">
        <v>6</v>
      </c>
      <c r="D8348" s="1" t="s">
        <v>58</v>
      </c>
      <c r="E8348" s="1" t="s">
        <v>10</v>
      </c>
      <c r="F8348" s="1" t="s">
        <v>5091</v>
      </c>
      <c r="G8348" s="14" t="s">
        <v>6139</v>
      </c>
      <c r="H8348" s="1" t="s">
        <v>43</v>
      </c>
      <c r="I8348" s="1" t="s">
        <v>5807</v>
      </c>
    </row>
    <row r="8349" spans="1:10">
      <c r="A8349" s="16" t="s">
        <v>14199</v>
      </c>
      <c r="B8349" s="1" t="s">
        <v>2631</v>
      </c>
      <c r="C8349" s="1">
        <v>6</v>
      </c>
      <c r="D8349" s="1" t="s">
        <v>58</v>
      </c>
      <c r="E8349" s="1" t="s">
        <v>10</v>
      </c>
      <c r="F8349" s="1" t="s">
        <v>2701</v>
      </c>
      <c r="G8349" s="1" t="s">
        <v>14200</v>
      </c>
      <c r="H8349" s="1" t="s">
        <v>27</v>
      </c>
      <c r="I8349" s="17">
        <v>43084</v>
      </c>
    </row>
    <row r="8350" spans="1:10">
      <c r="A8350" s="16" t="s">
        <v>14202</v>
      </c>
      <c r="B8350" s="1" t="s">
        <v>2631</v>
      </c>
      <c r="C8350" s="1">
        <v>6</v>
      </c>
      <c r="D8350" s="1" t="s">
        <v>58</v>
      </c>
      <c r="E8350" s="1" t="s">
        <v>10</v>
      </c>
      <c r="F8350" s="1" t="s">
        <v>2701</v>
      </c>
      <c r="G8350" s="1" t="s">
        <v>14203</v>
      </c>
      <c r="H8350" s="1" t="s">
        <v>27</v>
      </c>
      <c r="I8350" s="17">
        <v>43096</v>
      </c>
      <c r="J8350" s="1"/>
    </row>
    <row r="8351" spans="1:10">
      <c r="A8351" s="7" t="s">
        <v>8361</v>
      </c>
      <c r="B8351" s="1" t="s">
        <v>2628</v>
      </c>
      <c r="C8351" s="1">
        <v>635</v>
      </c>
      <c r="D8351" s="1" t="s">
        <v>7664</v>
      </c>
      <c r="E8351" s="1" t="s">
        <v>6</v>
      </c>
      <c r="F8351" s="1" t="s">
        <v>5091</v>
      </c>
      <c r="G8351" s="1" t="s">
        <v>4800</v>
      </c>
      <c r="H8351" s="1" t="s">
        <v>27</v>
      </c>
      <c r="I8351" s="1">
        <v>2005</v>
      </c>
    </row>
    <row r="8352" spans="1:10">
      <c r="A8352" s="16" t="s">
        <v>7663</v>
      </c>
      <c r="B8352" s="1" t="s">
        <v>2628</v>
      </c>
      <c r="C8352" s="1">
        <v>635</v>
      </c>
      <c r="D8352" s="1" t="s">
        <v>7664</v>
      </c>
      <c r="E8352" s="1" t="s">
        <v>6</v>
      </c>
      <c r="F8352" s="1" t="s">
        <v>5091</v>
      </c>
      <c r="G8352" s="14" t="s">
        <v>7665</v>
      </c>
      <c r="H8352" s="1" t="s">
        <v>5</v>
      </c>
      <c r="I8352" s="17">
        <v>40554</v>
      </c>
    </row>
    <row r="8353" spans="1:10">
      <c r="A8353" s="16" t="s">
        <v>7673</v>
      </c>
      <c r="B8353" s="1" t="s">
        <v>2628</v>
      </c>
      <c r="C8353" s="1">
        <v>635</v>
      </c>
      <c r="D8353" s="1" t="s">
        <v>7664</v>
      </c>
      <c r="E8353" s="1" t="s">
        <v>6</v>
      </c>
      <c r="F8353" s="1" t="s">
        <v>5091</v>
      </c>
      <c r="G8353" s="14" t="s">
        <v>7674</v>
      </c>
      <c r="H8353" s="1" t="s">
        <v>43</v>
      </c>
      <c r="I8353" s="17">
        <v>36951</v>
      </c>
    </row>
    <row r="8354" spans="1:10">
      <c r="A8354" s="16" t="s">
        <v>7675</v>
      </c>
      <c r="B8354" s="1" t="s">
        <v>2628</v>
      </c>
      <c r="C8354" s="1">
        <v>635</v>
      </c>
      <c r="D8354" s="1" t="s">
        <v>7664</v>
      </c>
      <c r="E8354" s="1" t="s">
        <v>6</v>
      </c>
      <c r="F8354" s="1" t="s">
        <v>5091</v>
      </c>
      <c r="G8354" s="14" t="s">
        <v>7674</v>
      </c>
      <c r="H8354" s="1" t="s">
        <v>43</v>
      </c>
      <c r="I8354" s="17">
        <v>37196</v>
      </c>
    </row>
    <row r="8355" spans="1:10">
      <c r="A8355" s="16" t="s">
        <v>7734</v>
      </c>
      <c r="B8355" s="1" t="s">
        <v>2628</v>
      </c>
      <c r="C8355" s="1">
        <v>635</v>
      </c>
      <c r="D8355" s="1" t="s">
        <v>7664</v>
      </c>
      <c r="E8355" s="1" t="s">
        <v>6</v>
      </c>
      <c r="F8355" s="1" t="s">
        <v>5091</v>
      </c>
      <c r="G8355" s="14" t="s">
        <v>7735</v>
      </c>
      <c r="H8355" s="1" t="s">
        <v>43</v>
      </c>
      <c r="I8355" s="17">
        <v>37355</v>
      </c>
      <c r="J8355" s="11"/>
    </row>
    <row r="8356" spans="1:10">
      <c r="A8356" s="16" t="s">
        <v>7736</v>
      </c>
      <c r="B8356" s="1" t="s">
        <v>2628</v>
      </c>
      <c r="C8356" s="1">
        <v>635</v>
      </c>
      <c r="D8356" s="1" t="s">
        <v>7664</v>
      </c>
      <c r="E8356" s="1" t="s">
        <v>6</v>
      </c>
      <c r="F8356" s="1" t="s">
        <v>5091</v>
      </c>
      <c r="G8356" s="14" t="s">
        <v>7674</v>
      </c>
      <c r="H8356" s="1" t="s">
        <v>43</v>
      </c>
      <c r="I8356" s="17">
        <v>37606</v>
      </c>
    </row>
    <row r="8357" spans="1:10">
      <c r="A8357" s="16" t="s">
        <v>7765</v>
      </c>
      <c r="B8357" s="1" t="s">
        <v>2628</v>
      </c>
      <c r="C8357" s="1">
        <v>635</v>
      </c>
      <c r="D8357" s="1" t="s">
        <v>7664</v>
      </c>
      <c r="E8357" s="1" t="s">
        <v>6</v>
      </c>
      <c r="F8357" s="1" t="s">
        <v>5091</v>
      </c>
      <c r="G8357" s="14" t="s">
        <v>7665</v>
      </c>
      <c r="H8357" s="1" t="s">
        <v>5</v>
      </c>
      <c r="I8357" s="17">
        <v>40448</v>
      </c>
    </row>
    <row r="8358" spans="1:10">
      <c r="A8358" s="16" t="s">
        <v>8783</v>
      </c>
      <c r="B8358" s="1" t="s">
        <v>2628</v>
      </c>
      <c r="C8358" s="1">
        <v>635</v>
      </c>
      <c r="D8358" s="1" t="s">
        <v>7664</v>
      </c>
      <c r="E8358" s="1" t="s">
        <v>6</v>
      </c>
      <c r="F8358" s="1" t="s">
        <v>5091</v>
      </c>
      <c r="G8358" s="14" t="s">
        <v>8784</v>
      </c>
      <c r="H8358" s="1" t="s">
        <v>5</v>
      </c>
      <c r="I8358" s="1" t="s">
        <v>4458</v>
      </c>
    </row>
    <row r="8359" spans="1:10">
      <c r="A8359" s="16" t="s">
        <v>8869</v>
      </c>
      <c r="B8359" s="1" t="s">
        <v>2628</v>
      </c>
      <c r="C8359" s="1">
        <v>635</v>
      </c>
      <c r="D8359" s="1" t="s">
        <v>7664</v>
      </c>
      <c r="E8359" s="1" t="s">
        <v>6</v>
      </c>
      <c r="F8359" s="1" t="s">
        <v>118</v>
      </c>
      <c r="G8359" s="14" t="s">
        <v>4458</v>
      </c>
      <c r="H8359" s="1" t="s">
        <v>118</v>
      </c>
      <c r="I8359" s="1" t="s">
        <v>4458</v>
      </c>
    </row>
    <row r="8360" spans="1:10">
      <c r="A8360" s="16" t="s">
        <v>9061</v>
      </c>
      <c r="B8360" s="1" t="s">
        <v>2628</v>
      </c>
      <c r="C8360" s="1">
        <v>635</v>
      </c>
      <c r="D8360" s="1" t="s">
        <v>7664</v>
      </c>
      <c r="E8360" s="1" t="s">
        <v>6</v>
      </c>
      <c r="F8360" s="1" t="s">
        <v>5091</v>
      </c>
      <c r="G8360" s="14" t="s">
        <v>4458</v>
      </c>
      <c r="H8360" s="1" t="s">
        <v>118</v>
      </c>
      <c r="I8360" s="1" t="s">
        <v>4458</v>
      </c>
    </row>
    <row r="8361" spans="1:10">
      <c r="A8361" s="16" t="s">
        <v>9868</v>
      </c>
      <c r="B8361" s="1" t="s">
        <v>2628</v>
      </c>
      <c r="C8361" s="1">
        <v>635</v>
      </c>
      <c r="D8361" s="1" t="s">
        <v>7664</v>
      </c>
      <c r="E8361" s="1" t="s">
        <v>6</v>
      </c>
      <c r="F8361" s="1" t="s">
        <v>5091</v>
      </c>
      <c r="G8361" s="14" t="s">
        <v>9869</v>
      </c>
      <c r="H8361" s="1" t="s">
        <v>5</v>
      </c>
      <c r="I8361" s="17">
        <v>41330</v>
      </c>
    </row>
    <row r="8362" spans="1:10">
      <c r="A8362" s="16" t="s">
        <v>9870</v>
      </c>
      <c r="B8362" s="1" t="s">
        <v>2628</v>
      </c>
      <c r="C8362" s="1">
        <v>635</v>
      </c>
      <c r="D8362" s="1" t="s">
        <v>7664</v>
      </c>
      <c r="E8362" s="1" t="s">
        <v>6</v>
      </c>
      <c r="F8362" s="1" t="s">
        <v>5091</v>
      </c>
      <c r="G8362" s="14" t="s">
        <v>9869</v>
      </c>
      <c r="H8362" s="1" t="s">
        <v>5</v>
      </c>
      <c r="I8362" s="17">
        <v>41330</v>
      </c>
    </row>
    <row r="8363" spans="1:10">
      <c r="A8363" s="16" t="s">
        <v>11242</v>
      </c>
      <c r="B8363" s="1" t="s">
        <v>2628</v>
      </c>
      <c r="C8363" s="1">
        <v>635</v>
      </c>
      <c r="D8363" s="1" t="s">
        <v>7664</v>
      </c>
      <c r="E8363" s="1" t="s">
        <v>6</v>
      </c>
      <c r="F8363" s="1" t="s">
        <v>5091</v>
      </c>
      <c r="G8363" s="14" t="s">
        <v>6145</v>
      </c>
      <c r="H8363" s="1" t="s">
        <v>43</v>
      </c>
      <c r="I8363" s="17">
        <v>38569</v>
      </c>
    </row>
    <row r="8364" spans="1:10">
      <c r="A8364" s="16" t="s">
        <v>11332</v>
      </c>
      <c r="B8364" s="1" t="s">
        <v>2628</v>
      </c>
      <c r="C8364" s="1">
        <v>635</v>
      </c>
      <c r="D8364" s="1" t="s">
        <v>7664</v>
      </c>
      <c r="E8364" s="1" t="s">
        <v>6</v>
      </c>
      <c r="F8364" s="1" t="s">
        <v>5091</v>
      </c>
      <c r="G8364" s="14" t="s">
        <v>6145</v>
      </c>
      <c r="H8364" s="1" t="s">
        <v>43</v>
      </c>
      <c r="I8364" s="17">
        <v>38594</v>
      </c>
    </row>
    <row r="8365" spans="1:10">
      <c r="A8365" s="16" t="s">
        <v>11655</v>
      </c>
      <c r="B8365" s="1" t="s">
        <v>2628</v>
      </c>
      <c r="C8365" s="1">
        <v>635</v>
      </c>
      <c r="D8365" s="1" t="s">
        <v>7664</v>
      </c>
      <c r="E8365" s="1" t="s">
        <v>6</v>
      </c>
      <c r="F8365" s="1" t="s">
        <v>5091</v>
      </c>
      <c r="G8365" s="14" t="s">
        <v>6145</v>
      </c>
      <c r="H8365" s="1" t="s">
        <v>43</v>
      </c>
      <c r="I8365" s="17">
        <v>40674</v>
      </c>
    </row>
    <row r="8366" spans="1:10">
      <c r="A8366" s="16" t="s">
        <v>11670</v>
      </c>
      <c r="B8366" s="1" t="s">
        <v>2628</v>
      </c>
      <c r="C8366" s="1">
        <v>635</v>
      </c>
      <c r="D8366" s="1" t="s">
        <v>7664</v>
      </c>
      <c r="E8366" s="1" t="s">
        <v>6</v>
      </c>
      <c r="F8366" s="1" t="s">
        <v>5091</v>
      </c>
      <c r="G8366" s="14" t="s">
        <v>11671</v>
      </c>
      <c r="H8366" s="1" t="s">
        <v>43</v>
      </c>
      <c r="I8366" s="17">
        <v>38477</v>
      </c>
    </row>
    <row r="8367" spans="1:10">
      <c r="A8367" s="16" t="s">
        <v>11672</v>
      </c>
      <c r="B8367" s="1" t="s">
        <v>2628</v>
      </c>
      <c r="C8367" s="1">
        <v>635</v>
      </c>
      <c r="D8367" s="1" t="s">
        <v>7664</v>
      </c>
      <c r="E8367" s="1" t="s">
        <v>6</v>
      </c>
      <c r="F8367" s="1" t="s">
        <v>5091</v>
      </c>
      <c r="G8367" s="14" t="s">
        <v>11671</v>
      </c>
      <c r="H8367" s="1" t="s">
        <v>43</v>
      </c>
      <c r="I8367" s="17">
        <v>38477</v>
      </c>
    </row>
    <row r="8368" spans="1:10">
      <c r="A8368" s="16" t="s">
        <v>11673</v>
      </c>
      <c r="B8368" s="1" t="s">
        <v>2628</v>
      </c>
      <c r="C8368" s="1">
        <v>635</v>
      </c>
      <c r="D8368" s="1" t="s">
        <v>7664</v>
      </c>
      <c r="E8368" s="1" t="s">
        <v>6</v>
      </c>
      <c r="F8368" s="1" t="s">
        <v>5091</v>
      </c>
      <c r="G8368" s="14" t="s">
        <v>11674</v>
      </c>
      <c r="H8368" s="1" t="s">
        <v>43</v>
      </c>
      <c r="I8368" s="17">
        <v>38477</v>
      </c>
    </row>
    <row r="8369" spans="1:9">
      <c r="A8369" s="16" t="s">
        <v>11675</v>
      </c>
      <c r="B8369" s="1" t="s">
        <v>2628</v>
      </c>
      <c r="C8369" s="1">
        <v>635</v>
      </c>
      <c r="D8369" s="1" t="s">
        <v>7664</v>
      </c>
      <c r="E8369" s="1" t="s">
        <v>6</v>
      </c>
      <c r="F8369" s="1" t="s">
        <v>5091</v>
      </c>
      <c r="G8369" s="14" t="s">
        <v>11676</v>
      </c>
      <c r="H8369" s="1" t="s">
        <v>43</v>
      </c>
      <c r="I8369" s="17">
        <v>38477</v>
      </c>
    </row>
    <row r="8370" spans="1:9">
      <c r="A8370" s="16" t="s">
        <v>11677</v>
      </c>
      <c r="B8370" s="1" t="s">
        <v>2628</v>
      </c>
      <c r="C8370" s="1">
        <v>635</v>
      </c>
      <c r="D8370" s="1" t="s">
        <v>7664</v>
      </c>
      <c r="E8370" s="1" t="s">
        <v>6</v>
      </c>
      <c r="F8370" s="1" t="s">
        <v>5091</v>
      </c>
      <c r="G8370" s="14" t="s">
        <v>11676</v>
      </c>
      <c r="H8370" s="1" t="s">
        <v>43</v>
      </c>
      <c r="I8370" s="17">
        <v>38477</v>
      </c>
    </row>
    <row r="8371" spans="1:9" ht="31.2">
      <c r="A8371" s="16" t="s">
        <v>12045</v>
      </c>
      <c r="B8371" s="1" t="s">
        <v>2628</v>
      </c>
      <c r="C8371" s="1">
        <v>635</v>
      </c>
      <c r="D8371" s="1" t="s">
        <v>7664</v>
      </c>
      <c r="E8371" s="1" t="s">
        <v>6</v>
      </c>
      <c r="F8371" s="1" t="s">
        <v>5091</v>
      </c>
      <c r="G8371" s="14" t="s">
        <v>7932</v>
      </c>
      <c r="H8371" s="1" t="s">
        <v>5</v>
      </c>
      <c r="I8371" s="17">
        <v>38477</v>
      </c>
    </row>
    <row r="8372" spans="1:9" ht="31.2">
      <c r="A8372" s="16" t="s">
        <v>12046</v>
      </c>
      <c r="B8372" s="1" t="s">
        <v>2628</v>
      </c>
      <c r="C8372" s="1">
        <v>635</v>
      </c>
      <c r="D8372" s="1" t="s">
        <v>7664</v>
      </c>
      <c r="E8372" s="1" t="s">
        <v>6</v>
      </c>
      <c r="F8372" s="1" t="s">
        <v>5091</v>
      </c>
      <c r="G8372" s="14" t="s">
        <v>7932</v>
      </c>
      <c r="H8372" s="1" t="s">
        <v>5</v>
      </c>
      <c r="I8372" s="17">
        <v>38477</v>
      </c>
    </row>
    <row r="8373" spans="1:9">
      <c r="A8373" s="16" t="s">
        <v>12047</v>
      </c>
      <c r="B8373" s="1" t="s">
        <v>2628</v>
      </c>
      <c r="C8373" s="1">
        <v>635</v>
      </c>
      <c r="D8373" s="1" t="s">
        <v>7664</v>
      </c>
      <c r="E8373" s="1" t="s">
        <v>6</v>
      </c>
      <c r="F8373" s="1" t="s">
        <v>5091</v>
      </c>
      <c r="G8373" s="14" t="s">
        <v>12048</v>
      </c>
      <c r="H8373" s="1" t="s">
        <v>43</v>
      </c>
      <c r="I8373" s="17">
        <v>38538</v>
      </c>
    </row>
    <row r="8374" spans="1:9">
      <c r="A8374" s="16" t="s">
        <v>12119</v>
      </c>
      <c r="B8374" s="1" t="s">
        <v>2628</v>
      </c>
      <c r="C8374" s="1">
        <v>635</v>
      </c>
      <c r="D8374" s="1" t="s">
        <v>7664</v>
      </c>
      <c r="E8374" s="1" t="s">
        <v>6</v>
      </c>
      <c r="F8374" s="1" t="s">
        <v>5091</v>
      </c>
      <c r="G8374" s="14" t="s">
        <v>6145</v>
      </c>
      <c r="H8374" s="1" t="s">
        <v>43</v>
      </c>
      <c r="I8374" s="17">
        <v>42736</v>
      </c>
    </row>
    <row r="8375" spans="1:9">
      <c r="A8375" s="16" t="s">
        <v>13249</v>
      </c>
      <c r="B8375" s="1" t="s">
        <v>2628</v>
      </c>
      <c r="C8375" s="1">
        <v>635</v>
      </c>
      <c r="D8375" s="1" t="s">
        <v>7664</v>
      </c>
      <c r="E8375" s="1" t="s">
        <v>6</v>
      </c>
      <c r="F8375" s="1" t="s">
        <v>5091</v>
      </c>
      <c r="G8375" s="14" t="s">
        <v>13241</v>
      </c>
      <c r="H8375" s="1" t="s">
        <v>5</v>
      </c>
      <c r="I8375" s="17">
        <v>37341</v>
      </c>
    </row>
    <row r="8376" spans="1:9" ht="31.2">
      <c r="A8376" s="16" t="s">
        <v>13623</v>
      </c>
      <c r="B8376" s="1" t="s">
        <v>2628</v>
      </c>
      <c r="C8376" s="1">
        <v>635</v>
      </c>
      <c r="D8376" s="1" t="s">
        <v>7664</v>
      </c>
      <c r="E8376" s="1" t="s">
        <v>6</v>
      </c>
      <c r="F8376" s="1" t="s">
        <v>5091</v>
      </c>
      <c r="G8376" s="14" t="s">
        <v>7932</v>
      </c>
      <c r="H8376" s="1" t="s">
        <v>5</v>
      </c>
      <c r="I8376" s="17">
        <v>38477</v>
      </c>
    </row>
    <row r="8377" spans="1:9">
      <c r="A8377" s="16" t="s">
        <v>13624</v>
      </c>
      <c r="B8377" s="1" t="s">
        <v>2628</v>
      </c>
      <c r="C8377" s="1">
        <v>635</v>
      </c>
      <c r="D8377" s="1" t="s">
        <v>7664</v>
      </c>
      <c r="E8377" s="1" t="s">
        <v>6</v>
      </c>
      <c r="F8377" s="1" t="s">
        <v>5091</v>
      </c>
      <c r="G8377" s="14" t="s">
        <v>6145</v>
      </c>
      <c r="H8377" s="1" t="s">
        <v>43</v>
      </c>
      <c r="I8377" s="17">
        <v>40095</v>
      </c>
    </row>
    <row r="8378" spans="1:9">
      <c r="A8378" s="16" t="s">
        <v>13992</v>
      </c>
      <c r="B8378" s="1" t="s">
        <v>2628</v>
      </c>
      <c r="C8378" s="1">
        <v>635</v>
      </c>
      <c r="D8378" s="1" t="s">
        <v>7664</v>
      </c>
      <c r="E8378" s="1" t="s">
        <v>6</v>
      </c>
      <c r="F8378" s="1" t="s">
        <v>5091</v>
      </c>
      <c r="G8378" s="14" t="s">
        <v>13993</v>
      </c>
      <c r="H8378" s="1" t="s">
        <v>43</v>
      </c>
      <c r="I8378" s="17">
        <v>37257</v>
      </c>
    </row>
    <row r="8379" spans="1:9">
      <c r="A8379" s="7" t="s">
        <v>16270</v>
      </c>
      <c r="B8379" s="2" t="s">
        <v>2628</v>
      </c>
      <c r="C8379" s="1">
        <v>635</v>
      </c>
      <c r="D8379" s="1" t="s">
        <v>7664</v>
      </c>
      <c r="E8379" s="1" t="s">
        <v>6</v>
      </c>
      <c r="F8379" s="1" t="s">
        <v>5091</v>
      </c>
      <c r="G8379" s="22" t="s">
        <v>6181</v>
      </c>
      <c r="H8379" s="2" t="s">
        <v>118</v>
      </c>
      <c r="I8379" s="1" t="s">
        <v>4458</v>
      </c>
    </row>
    <row r="8380" spans="1:9">
      <c r="A8380" s="16" t="s">
        <v>5369</v>
      </c>
      <c r="B8380" s="1" t="s">
        <v>2628</v>
      </c>
      <c r="C8380" s="1">
        <v>7</v>
      </c>
      <c r="D8380" s="1" t="s">
        <v>101</v>
      </c>
      <c r="E8380" s="1" t="s">
        <v>6</v>
      </c>
      <c r="F8380" s="1" t="s">
        <v>2696</v>
      </c>
      <c r="G8380" s="14" t="s">
        <v>27</v>
      </c>
      <c r="H8380" s="1" t="s">
        <v>27</v>
      </c>
      <c r="I8380" s="17">
        <v>40909</v>
      </c>
    </row>
    <row r="8381" spans="1:9">
      <c r="A8381" s="16" t="s">
        <v>5380</v>
      </c>
      <c r="B8381" s="1" t="s">
        <v>2628</v>
      </c>
      <c r="C8381" s="1">
        <v>7</v>
      </c>
      <c r="D8381" s="1" t="s">
        <v>101</v>
      </c>
      <c r="E8381" s="1" t="s">
        <v>6</v>
      </c>
      <c r="F8381" s="1" t="s">
        <v>2696</v>
      </c>
      <c r="G8381" s="14" t="s">
        <v>27</v>
      </c>
      <c r="H8381" s="1" t="s">
        <v>27</v>
      </c>
      <c r="I8381" s="17">
        <v>41275</v>
      </c>
    </row>
    <row r="8382" spans="1:9">
      <c r="A8382" s="16" t="s">
        <v>5415</v>
      </c>
      <c r="B8382" s="1" t="s">
        <v>2628</v>
      </c>
      <c r="C8382" s="1">
        <v>7</v>
      </c>
      <c r="D8382" s="1" t="s">
        <v>101</v>
      </c>
      <c r="E8382" s="1" t="s">
        <v>6</v>
      </c>
      <c r="F8382" s="1" t="s">
        <v>588</v>
      </c>
      <c r="G8382" s="14" t="s">
        <v>27</v>
      </c>
      <c r="H8382" s="1" t="s">
        <v>27</v>
      </c>
      <c r="I8382" s="17">
        <v>40801</v>
      </c>
    </row>
    <row r="8383" spans="1:9">
      <c r="A8383" s="16" t="s">
        <v>5416</v>
      </c>
      <c r="B8383" s="1" t="s">
        <v>2628</v>
      </c>
      <c r="C8383" s="1">
        <v>7</v>
      </c>
      <c r="D8383" s="1" t="s">
        <v>101</v>
      </c>
      <c r="E8383" s="1" t="s">
        <v>6</v>
      </c>
      <c r="F8383" s="1" t="s">
        <v>588</v>
      </c>
      <c r="G8383" s="14" t="s">
        <v>27</v>
      </c>
      <c r="H8383" s="1" t="s">
        <v>27</v>
      </c>
      <c r="I8383" s="17">
        <v>40833</v>
      </c>
    </row>
    <row r="8384" spans="1:9">
      <c r="A8384" s="16" t="s">
        <v>5417</v>
      </c>
      <c r="B8384" s="1" t="s">
        <v>2628</v>
      </c>
      <c r="C8384" s="1">
        <v>7</v>
      </c>
      <c r="D8384" s="1" t="s">
        <v>101</v>
      </c>
      <c r="E8384" s="1" t="s">
        <v>6</v>
      </c>
      <c r="F8384" s="1" t="s">
        <v>588</v>
      </c>
      <c r="G8384" s="14" t="s">
        <v>27</v>
      </c>
      <c r="H8384" s="1" t="s">
        <v>27</v>
      </c>
      <c r="I8384" s="17">
        <v>40840</v>
      </c>
    </row>
    <row r="8385" spans="1:9">
      <c r="A8385" s="16" t="s">
        <v>5421</v>
      </c>
      <c r="B8385" s="1" t="s">
        <v>2628</v>
      </c>
      <c r="C8385" s="1">
        <v>7</v>
      </c>
      <c r="D8385" s="1" t="s">
        <v>101</v>
      </c>
      <c r="E8385" s="1" t="s">
        <v>6</v>
      </c>
      <c r="F8385" s="1" t="s">
        <v>588</v>
      </c>
      <c r="G8385" s="14" t="s">
        <v>27</v>
      </c>
      <c r="H8385" s="1" t="s">
        <v>27</v>
      </c>
      <c r="I8385" s="17">
        <v>41536</v>
      </c>
    </row>
    <row r="8386" spans="1:9">
      <c r="A8386" s="16" t="s">
        <v>5422</v>
      </c>
      <c r="B8386" s="1" t="s">
        <v>2628</v>
      </c>
      <c r="C8386" s="1">
        <v>7</v>
      </c>
      <c r="D8386" s="1" t="s">
        <v>101</v>
      </c>
      <c r="E8386" s="1" t="s">
        <v>6</v>
      </c>
      <c r="F8386" s="1" t="s">
        <v>588</v>
      </c>
      <c r="G8386" s="14" t="s">
        <v>27</v>
      </c>
      <c r="H8386" s="1" t="s">
        <v>27</v>
      </c>
      <c r="I8386" s="17">
        <v>41536</v>
      </c>
    </row>
    <row r="8387" spans="1:9">
      <c r="A8387" s="16" t="s">
        <v>5423</v>
      </c>
      <c r="B8387" s="1" t="s">
        <v>2628</v>
      </c>
      <c r="C8387" s="1">
        <v>7</v>
      </c>
      <c r="D8387" s="1" t="s">
        <v>101</v>
      </c>
      <c r="E8387" s="1" t="s">
        <v>6</v>
      </c>
      <c r="F8387" s="1" t="s">
        <v>588</v>
      </c>
      <c r="G8387" s="14" t="s">
        <v>27</v>
      </c>
      <c r="H8387" s="1" t="s">
        <v>27</v>
      </c>
      <c r="I8387" s="17">
        <v>41561</v>
      </c>
    </row>
    <row r="8388" spans="1:9">
      <c r="A8388" s="16" t="s">
        <v>5426</v>
      </c>
      <c r="B8388" s="1" t="s">
        <v>2628</v>
      </c>
      <c r="C8388" s="1">
        <v>7</v>
      </c>
      <c r="D8388" s="1" t="s">
        <v>101</v>
      </c>
      <c r="E8388" s="1" t="s">
        <v>6</v>
      </c>
      <c r="F8388" s="1" t="s">
        <v>588</v>
      </c>
      <c r="G8388" s="14" t="s">
        <v>27</v>
      </c>
      <c r="H8388" s="1" t="s">
        <v>27</v>
      </c>
      <c r="I8388" s="17">
        <v>41750</v>
      </c>
    </row>
    <row r="8389" spans="1:9">
      <c r="A8389" s="16" t="s">
        <v>5429</v>
      </c>
      <c r="B8389" s="1" t="s">
        <v>2628</v>
      </c>
      <c r="C8389" s="1">
        <v>7</v>
      </c>
      <c r="D8389" s="1" t="s">
        <v>101</v>
      </c>
      <c r="E8389" s="1" t="s">
        <v>6</v>
      </c>
      <c r="F8389" s="1" t="s">
        <v>588</v>
      </c>
      <c r="G8389" s="14" t="s">
        <v>27</v>
      </c>
      <c r="H8389" s="1" t="s">
        <v>27</v>
      </c>
      <c r="I8389" s="17">
        <v>41877</v>
      </c>
    </row>
    <row r="8390" spans="1:9">
      <c r="A8390" s="16" t="s">
        <v>5431</v>
      </c>
      <c r="B8390" s="1" t="s">
        <v>2628</v>
      </c>
      <c r="C8390" s="1">
        <v>7</v>
      </c>
      <c r="D8390" s="1" t="s">
        <v>101</v>
      </c>
      <c r="E8390" s="1" t="s">
        <v>6</v>
      </c>
      <c r="F8390" s="1" t="s">
        <v>588</v>
      </c>
      <c r="G8390" s="14" t="s">
        <v>27</v>
      </c>
      <c r="H8390" s="1" t="s">
        <v>27</v>
      </c>
      <c r="I8390" s="17">
        <v>42038</v>
      </c>
    </row>
    <row r="8391" spans="1:9">
      <c r="A8391" s="16" t="s">
        <v>5448</v>
      </c>
      <c r="B8391" s="1" t="s">
        <v>2628</v>
      </c>
      <c r="C8391" s="1">
        <v>7</v>
      </c>
      <c r="D8391" s="1" t="s">
        <v>101</v>
      </c>
      <c r="E8391" s="1" t="s">
        <v>6</v>
      </c>
      <c r="F8391" s="1" t="s">
        <v>588</v>
      </c>
      <c r="G8391" s="14" t="s">
        <v>27</v>
      </c>
      <c r="H8391" s="1" t="s">
        <v>27</v>
      </c>
      <c r="I8391" s="17">
        <v>42538</v>
      </c>
    </row>
    <row r="8392" spans="1:9">
      <c r="A8392" s="16" t="s">
        <v>5450</v>
      </c>
      <c r="B8392" s="1" t="s">
        <v>2628</v>
      </c>
      <c r="C8392" s="1">
        <v>7</v>
      </c>
      <c r="D8392" s="1" t="s">
        <v>101</v>
      </c>
      <c r="E8392" s="1" t="s">
        <v>6</v>
      </c>
      <c r="F8392" s="1" t="s">
        <v>588</v>
      </c>
      <c r="G8392" s="14" t="s">
        <v>27</v>
      </c>
      <c r="H8392" s="1" t="s">
        <v>27</v>
      </c>
      <c r="I8392" s="17">
        <v>42605</v>
      </c>
    </row>
    <row r="8393" spans="1:9">
      <c r="A8393" s="16" t="s">
        <v>5453</v>
      </c>
      <c r="B8393" s="1" t="s">
        <v>2628</v>
      </c>
      <c r="C8393" s="1">
        <v>7</v>
      </c>
      <c r="D8393" s="1" t="s">
        <v>101</v>
      </c>
      <c r="E8393" s="1" t="s">
        <v>6</v>
      </c>
      <c r="F8393" s="1" t="s">
        <v>588</v>
      </c>
      <c r="G8393" s="14" t="s">
        <v>27</v>
      </c>
      <c r="H8393" s="1" t="s">
        <v>27</v>
      </c>
      <c r="I8393" s="17">
        <v>42631</v>
      </c>
    </row>
    <row r="8394" spans="1:9">
      <c r="A8394" s="16" t="s">
        <v>5460</v>
      </c>
      <c r="B8394" s="1" t="s">
        <v>2628</v>
      </c>
      <c r="C8394" s="1">
        <v>7</v>
      </c>
      <c r="D8394" s="1" t="s">
        <v>101</v>
      </c>
      <c r="E8394" s="1" t="s">
        <v>6</v>
      </c>
      <c r="F8394" s="1" t="s">
        <v>588</v>
      </c>
      <c r="G8394" s="14" t="s">
        <v>27</v>
      </c>
      <c r="H8394" s="1" t="s">
        <v>27</v>
      </c>
      <c r="I8394" s="17">
        <v>42718</v>
      </c>
    </row>
    <row r="8395" spans="1:9">
      <c r="A8395" s="16" t="s">
        <v>5462</v>
      </c>
      <c r="B8395" s="1" t="s">
        <v>2628</v>
      </c>
      <c r="C8395" s="1">
        <v>7</v>
      </c>
      <c r="D8395" s="1" t="s">
        <v>101</v>
      </c>
      <c r="E8395" s="1" t="s">
        <v>6</v>
      </c>
      <c r="F8395" s="1" t="s">
        <v>588</v>
      </c>
      <c r="G8395" s="14" t="s">
        <v>27</v>
      </c>
      <c r="H8395" s="1" t="s">
        <v>27</v>
      </c>
      <c r="I8395" s="17">
        <v>42740</v>
      </c>
    </row>
    <row r="8396" spans="1:9">
      <c r="A8396" s="16" t="s">
        <v>5463</v>
      </c>
      <c r="B8396" s="1" t="s">
        <v>2628</v>
      </c>
      <c r="C8396" s="1">
        <v>7</v>
      </c>
      <c r="D8396" s="1" t="s">
        <v>101</v>
      </c>
      <c r="E8396" s="1" t="s">
        <v>6</v>
      </c>
      <c r="F8396" s="1" t="s">
        <v>588</v>
      </c>
      <c r="G8396" s="14" t="s">
        <v>27</v>
      </c>
      <c r="H8396" s="1" t="s">
        <v>27</v>
      </c>
      <c r="I8396" s="17">
        <v>42758</v>
      </c>
    </row>
    <row r="8397" spans="1:9">
      <c r="A8397" s="16" t="s">
        <v>5567</v>
      </c>
      <c r="B8397" s="1" t="s">
        <v>2628</v>
      </c>
      <c r="C8397" s="1">
        <v>7</v>
      </c>
      <c r="D8397" s="1" t="s">
        <v>101</v>
      </c>
      <c r="E8397" s="1" t="s">
        <v>6</v>
      </c>
      <c r="F8397" s="1" t="s">
        <v>449</v>
      </c>
      <c r="G8397" s="14" t="s">
        <v>27</v>
      </c>
      <c r="H8397" s="1" t="s">
        <v>27</v>
      </c>
      <c r="I8397" s="17">
        <v>40909</v>
      </c>
    </row>
    <row r="8398" spans="1:9">
      <c r="A8398" s="16" t="s">
        <v>6282</v>
      </c>
      <c r="B8398" s="1" t="s">
        <v>2628</v>
      </c>
      <c r="C8398" s="1">
        <v>7</v>
      </c>
      <c r="D8398" s="1" t="s">
        <v>101</v>
      </c>
      <c r="E8398" s="1" t="s">
        <v>6</v>
      </c>
      <c r="F8398" s="1" t="s">
        <v>5091</v>
      </c>
      <c r="G8398" s="14" t="s">
        <v>6283</v>
      </c>
      <c r="H8398" s="1" t="s">
        <v>27</v>
      </c>
      <c r="I8398" s="17">
        <v>41534</v>
      </c>
    </row>
    <row r="8399" spans="1:9">
      <c r="A8399" s="7" t="s">
        <v>8149</v>
      </c>
      <c r="B8399" s="1" t="s">
        <v>2628</v>
      </c>
      <c r="C8399" s="1">
        <v>7</v>
      </c>
      <c r="D8399" s="1" t="s">
        <v>101</v>
      </c>
      <c r="E8399" s="1" t="s">
        <v>6</v>
      </c>
      <c r="F8399" s="1" t="s">
        <v>5091</v>
      </c>
      <c r="G8399" s="1" t="s">
        <v>4800</v>
      </c>
      <c r="H8399" s="1" t="s">
        <v>27</v>
      </c>
      <c r="I8399" s="1">
        <v>2003</v>
      </c>
    </row>
    <row r="8400" spans="1:9">
      <c r="A8400" s="7" t="s">
        <v>8375</v>
      </c>
      <c r="B8400" s="1" t="s">
        <v>2628</v>
      </c>
      <c r="C8400" s="1">
        <v>7</v>
      </c>
      <c r="D8400" s="1" t="s">
        <v>101</v>
      </c>
      <c r="E8400" s="1" t="s">
        <v>6</v>
      </c>
      <c r="F8400" s="1" t="s">
        <v>5091</v>
      </c>
      <c r="G8400" s="1" t="s">
        <v>4800</v>
      </c>
      <c r="H8400" s="1" t="s">
        <v>27</v>
      </c>
      <c r="I8400" s="1">
        <v>2006</v>
      </c>
    </row>
    <row r="8401" spans="1:9">
      <c r="A8401" s="16" t="s">
        <v>8577</v>
      </c>
      <c r="B8401" s="1" t="s">
        <v>2628</v>
      </c>
      <c r="C8401" s="1">
        <v>7</v>
      </c>
      <c r="D8401" s="1" t="s">
        <v>101</v>
      </c>
      <c r="E8401" s="1" t="s">
        <v>6</v>
      </c>
      <c r="F8401" s="1" t="s">
        <v>5091</v>
      </c>
      <c r="G8401" s="14" t="s">
        <v>5853</v>
      </c>
      <c r="H8401" s="1" t="s">
        <v>27</v>
      </c>
      <c r="I8401" s="17">
        <v>41821</v>
      </c>
    </row>
    <row r="8402" spans="1:9">
      <c r="A8402" s="16" t="s">
        <v>8736</v>
      </c>
      <c r="B8402" s="1" t="s">
        <v>2628</v>
      </c>
      <c r="C8402" s="1">
        <v>7</v>
      </c>
      <c r="D8402" s="1" t="s">
        <v>101</v>
      </c>
      <c r="E8402" s="1" t="s">
        <v>6</v>
      </c>
      <c r="F8402" s="1" t="s">
        <v>5091</v>
      </c>
      <c r="G8402" s="14" t="s">
        <v>5853</v>
      </c>
      <c r="H8402" s="1" t="s">
        <v>27</v>
      </c>
      <c r="I8402" s="17">
        <v>41913</v>
      </c>
    </row>
    <row r="8403" spans="1:9">
      <c r="A8403" s="16" t="s">
        <v>8992</v>
      </c>
      <c r="B8403" s="1" t="s">
        <v>2628</v>
      </c>
      <c r="C8403" s="1">
        <v>7</v>
      </c>
      <c r="D8403" s="1" t="s">
        <v>101</v>
      </c>
      <c r="E8403" s="1" t="s">
        <v>6</v>
      </c>
      <c r="F8403" s="1" t="s">
        <v>5091</v>
      </c>
      <c r="G8403" s="14" t="s">
        <v>5853</v>
      </c>
      <c r="H8403" s="1" t="s">
        <v>27</v>
      </c>
      <c r="I8403" s="17">
        <v>42036</v>
      </c>
    </row>
    <row r="8404" spans="1:9">
      <c r="A8404" s="16" t="s">
        <v>9114</v>
      </c>
      <c r="B8404" s="1" t="s">
        <v>2628</v>
      </c>
      <c r="C8404" s="1">
        <v>7</v>
      </c>
      <c r="D8404" s="1" t="s">
        <v>101</v>
      </c>
      <c r="E8404" s="1" t="s">
        <v>6</v>
      </c>
      <c r="F8404" s="1" t="s">
        <v>5091</v>
      </c>
      <c r="G8404" s="14" t="s">
        <v>9115</v>
      </c>
      <c r="H8404" s="1" t="s">
        <v>27</v>
      </c>
      <c r="I8404" s="17">
        <v>38618</v>
      </c>
    </row>
    <row r="8405" spans="1:9">
      <c r="A8405" s="16" t="s">
        <v>9569</v>
      </c>
      <c r="B8405" s="1" t="s">
        <v>2628</v>
      </c>
      <c r="C8405" s="1">
        <v>7</v>
      </c>
      <c r="D8405" s="1" t="s">
        <v>101</v>
      </c>
      <c r="E8405" s="1" t="s">
        <v>6</v>
      </c>
      <c r="F8405" s="1" t="s">
        <v>5091</v>
      </c>
      <c r="G8405" s="14" t="s">
        <v>9115</v>
      </c>
      <c r="H8405" s="1" t="s">
        <v>27</v>
      </c>
      <c r="I8405" s="17">
        <v>42248</v>
      </c>
    </row>
    <row r="8406" spans="1:9">
      <c r="A8406" s="16" t="s">
        <v>9772</v>
      </c>
      <c r="B8406" s="1" t="s">
        <v>2628</v>
      </c>
      <c r="C8406" s="1">
        <v>7</v>
      </c>
      <c r="D8406" s="1" t="s">
        <v>101</v>
      </c>
      <c r="E8406" s="1" t="s">
        <v>6</v>
      </c>
      <c r="F8406" s="1" t="s">
        <v>5091</v>
      </c>
      <c r="G8406" s="14" t="s">
        <v>5853</v>
      </c>
      <c r="H8406" s="1" t="s">
        <v>27</v>
      </c>
      <c r="I8406" s="17">
        <v>42248</v>
      </c>
    </row>
    <row r="8407" spans="1:9">
      <c r="A8407" s="16" t="s">
        <v>9920</v>
      </c>
      <c r="B8407" s="1" t="s">
        <v>2628</v>
      </c>
      <c r="C8407" s="1">
        <v>7</v>
      </c>
      <c r="D8407" s="1" t="s">
        <v>101</v>
      </c>
      <c r="E8407" s="1" t="s">
        <v>6</v>
      </c>
      <c r="F8407" s="1" t="s">
        <v>5091</v>
      </c>
      <c r="G8407" s="14" t="s">
        <v>5853</v>
      </c>
      <c r="H8407" s="1" t="s">
        <v>27</v>
      </c>
      <c r="I8407" s="1" t="s">
        <v>4458</v>
      </c>
    </row>
    <row r="8408" spans="1:9">
      <c r="A8408" s="16" t="s">
        <v>10002</v>
      </c>
      <c r="B8408" s="1" t="s">
        <v>2628</v>
      </c>
      <c r="C8408" s="1">
        <v>7</v>
      </c>
      <c r="D8408" s="1" t="s">
        <v>101</v>
      </c>
      <c r="E8408" s="1" t="s">
        <v>6</v>
      </c>
      <c r="F8408" s="1" t="s">
        <v>5091</v>
      </c>
      <c r="G8408" s="14" t="s">
        <v>5853</v>
      </c>
      <c r="H8408" s="1" t="s">
        <v>27</v>
      </c>
      <c r="I8408" s="1" t="s">
        <v>4458</v>
      </c>
    </row>
    <row r="8409" spans="1:9">
      <c r="A8409" s="16" t="s">
        <v>10048</v>
      </c>
      <c r="B8409" s="1" t="s">
        <v>2628</v>
      </c>
      <c r="C8409" s="1">
        <v>7</v>
      </c>
      <c r="D8409" s="1" t="s">
        <v>101</v>
      </c>
      <c r="E8409" s="1" t="s">
        <v>6</v>
      </c>
      <c r="F8409" s="1" t="s">
        <v>5091</v>
      </c>
      <c r="G8409" s="14" t="s">
        <v>5853</v>
      </c>
      <c r="H8409" s="1" t="s">
        <v>27</v>
      </c>
      <c r="I8409" s="1" t="s">
        <v>4458</v>
      </c>
    </row>
    <row r="8410" spans="1:9">
      <c r="A8410" s="16" t="s">
        <v>10538</v>
      </c>
      <c r="B8410" s="1" t="s">
        <v>2628</v>
      </c>
      <c r="C8410" s="1">
        <v>7</v>
      </c>
      <c r="D8410" s="1" t="s">
        <v>101</v>
      </c>
      <c r="E8410" s="1" t="s">
        <v>6</v>
      </c>
      <c r="F8410" s="1" t="s">
        <v>5091</v>
      </c>
      <c r="G8410" s="14" t="s">
        <v>5853</v>
      </c>
      <c r="H8410" s="1" t="s">
        <v>27</v>
      </c>
      <c r="I8410" s="17">
        <v>42401</v>
      </c>
    </row>
    <row r="8411" spans="1:9">
      <c r="A8411" s="16" t="s">
        <v>10812</v>
      </c>
      <c r="B8411" s="1" t="s">
        <v>2628</v>
      </c>
      <c r="C8411" s="1">
        <v>7</v>
      </c>
      <c r="D8411" s="1" t="s">
        <v>101</v>
      </c>
      <c r="E8411" s="1" t="s">
        <v>6</v>
      </c>
      <c r="F8411" s="1" t="s">
        <v>5091</v>
      </c>
      <c r="G8411" s="14" t="s">
        <v>10813</v>
      </c>
      <c r="H8411" s="1" t="s">
        <v>27</v>
      </c>
      <c r="I8411" s="1" t="s">
        <v>4458</v>
      </c>
    </row>
    <row r="8412" spans="1:9">
      <c r="A8412" s="16" t="s">
        <v>10814</v>
      </c>
      <c r="B8412" s="1" t="s">
        <v>2628</v>
      </c>
      <c r="C8412" s="1">
        <v>7</v>
      </c>
      <c r="D8412" s="1" t="s">
        <v>101</v>
      </c>
      <c r="E8412" s="1" t="s">
        <v>6</v>
      </c>
      <c r="F8412" s="1" t="s">
        <v>5091</v>
      </c>
      <c r="G8412" s="14" t="s">
        <v>5853</v>
      </c>
      <c r="H8412" s="1" t="s">
        <v>27</v>
      </c>
      <c r="I8412" s="1" t="s">
        <v>4458</v>
      </c>
    </row>
    <row r="8413" spans="1:9">
      <c r="A8413" s="16" t="s">
        <v>11626</v>
      </c>
      <c r="B8413" s="1" t="s">
        <v>2628</v>
      </c>
      <c r="C8413" s="1">
        <v>7</v>
      </c>
      <c r="D8413" s="1" t="s">
        <v>101</v>
      </c>
      <c r="E8413" s="1" t="s">
        <v>6</v>
      </c>
      <c r="F8413" s="1" t="s">
        <v>5091</v>
      </c>
      <c r="G8413" s="14" t="s">
        <v>9917</v>
      </c>
      <c r="H8413" s="1" t="s">
        <v>27</v>
      </c>
      <c r="I8413" s="17">
        <v>42583</v>
      </c>
    </row>
    <row r="8414" spans="1:9">
      <c r="A8414" s="16" t="s">
        <v>11680</v>
      </c>
      <c r="B8414" s="1" t="s">
        <v>2628</v>
      </c>
      <c r="C8414" s="1">
        <v>7</v>
      </c>
      <c r="D8414" s="1" t="s">
        <v>101</v>
      </c>
      <c r="E8414" s="1" t="s">
        <v>6</v>
      </c>
      <c r="F8414" s="1" t="s">
        <v>5091</v>
      </c>
      <c r="G8414" s="14" t="s">
        <v>5853</v>
      </c>
      <c r="H8414" s="1" t="s">
        <v>27</v>
      </c>
      <c r="I8414" s="17">
        <v>42614</v>
      </c>
    </row>
    <row r="8415" spans="1:9">
      <c r="A8415" s="16" t="s">
        <v>12090</v>
      </c>
      <c r="B8415" s="1" t="s">
        <v>2628</v>
      </c>
      <c r="C8415" s="1">
        <v>7</v>
      </c>
      <c r="D8415" s="1" t="s">
        <v>101</v>
      </c>
      <c r="E8415" s="1" t="s">
        <v>6</v>
      </c>
      <c r="F8415" s="1" t="s">
        <v>5091</v>
      </c>
      <c r="G8415" s="14" t="s">
        <v>27</v>
      </c>
      <c r="H8415" s="1" t="s">
        <v>27</v>
      </c>
      <c r="I8415" s="1" t="s">
        <v>4458</v>
      </c>
    </row>
    <row r="8416" spans="1:9">
      <c r="A8416" s="16" t="s">
        <v>12091</v>
      </c>
      <c r="B8416" s="1" t="s">
        <v>2628</v>
      </c>
      <c r="C8416" s="1">
        <v>7</v>
      </c>
      <c r="D8416" s="1" t="s">
        <v>101</v>
      </c>
      <c r="E8416" s="1" t="s">
        <v>6</v>
      </c>
      <c r="F8416" s="1" t="s">
        <v>5091</v>
      </c>
      <c r="G8416" s="14" t="s">
        <v>27</v>
      </c>
      <c r="H8416" s="1" t="s">
        <v>27</v>
      </c>
      <c r="I8416" s="1" t="s">
        <v>4458</v>
      </c>
    </row>
    <row r="8417" spans="1:9" ht="31.2">
      <c r="A8417" s="16" t="s">
        <v>12702</v>
      </c>
      <c r="B8417" s="1" t="s">
        <v>2628</v>
      </c>
      <c r="C8417" s="1">
        <v>7</v>
      </c>
      <c r="D8417" s="1" t="s">
        <v>101</v>
      </c>
      <c r="E8417" s="1" t="s">
        <v>6</v>
      </c>
      <c r="F8417" s="1" t="s">
        <v>5091</v>
      </c>
      <c r="G8417" s="14" t="s">
        <v>27</v>
      </c>
      <c r="H8417" s="1" t="s">
        <v>27</v>
      </c>
      <c r="I8417" s="1" t="s">
        <v>4458</v>
      </c>
    </row>
    <row r="8418" spans="1:9">
      <c r="A8418" s="16" t="s">
        <v>13107</v>
      </c>
      <c r="B8418" s="1" t="s">
        <v>2628</v>
      </c>
      <c r="C8418" s="1">
        <v>7</v>
      </c>
      <c r="D8418" s="1" t="s">
        <v>101</v>
      </c>
      <c r="E8418" s="1" t="s">
        <v>6</v>
      </c>
      <c r="F8418" s="1" t="s">
        <v>5091</v>
      </c>
      <c r="G8418" s="14" t="s">
        <v>5853</v>
      </c>
      <c r="H8418" s="1" t="s">
        <v>27</v>
      </c>
      <c r="I8418" s="1" t="s">
        <v>4458</v>
      </c>
    </row>
    <row r="8419" spans="1:9">
      <c r="A8419" s="16" t="s">
        <v>13182</v>
      </c>
      <c r="B8419" s="1" t="s">
        <v>2628</v>
      </c>
      <c r="C8419" s="1">
        <v>7</v>
      </c>
      <c r="D8419" s="1" t="s">
        <v>101</v>
      </c>
      <c r="E8419" s="1" t="s">
        <v>6</v>
      </c>
      <c r="F8419" s="1" t="s">
        <v>5091</v>
      </c>
      <c r="G8419" s="14" t="s">
        <v>5853</v>
      </c>
      <c r="H8419" s="1" t="s">
        <v>27</v>
      </c>
      <c r="I8419" s="17">
        <v>42887</v>
      </c>
    </row>
    <row r="8420" spans="1:9">
      <c r="A8420" s="16" t="s">
        <v>13328</v>
      </c>
      <c r="B8420" s="1" t="s">
        <v>2628</v>
      </c>
      <c r="C8420" s="1">
        <v>7</v>
      </c>
      <c r="D8420" s="1" t="s">
        <v>101</v>
      </c>
      <c r="E8420" s="1" t="s">
        <v>6</v>
      </c>
      <c r="F8420" s="1" t="s">
        <v>5091</v>
      </c>
      <c r="G8420" s="14" t="s">
        <v>5853</v>
      </c>
      <c r="H8420" s="1" t="s">
        <v>27</v>
      </c>
      <c r="I8420" s="17">
        <v>42917</v>
      </c>
    </row>
    <row r="8421" spans="1:9">
      <c r="A8421" s="16" t="s">
        <v>13844</v>
      </c>
      <c r="B8421" s="1" t="s">
        <v>2628</v>
      </c>
      <c r="C8421" s="1">
        <v>7</v>
      </c>
      <c r="D8421" s="1" t="s">
        <v>101</v>
      </c>
      <c r="E8421" s="1" t="s">
        <v>6</v>
      </c>
      <c r="F8421" s="1" t="s">
        <v>5091</v>
      </c>
      <c r="G8421" s="14" t="s">
        <v>5853</v>
      </c>
      <c r="H8421" s="1" t="s">
        <v>27</v>
      </c>
      <c r="I8421" s="17">
        <v>43101</v>
      </c>
    </row>
    <row r="8422" spans="1:9">
      <c r="A8422" s="16" t="s">
        <v>13846</v>
      </c>
      <c r="B8422" s="1" t="s">
        <v>2628</v>
      </c>
      <c r="C8422" s="1">
        <v>7</v>
      </c>
      <c r="D8422" s="1" t="s">
        <v>101</v>
      </c>
      <c r="E8422" s="1" t="s">
        <v>6</v>
      </c>
      <c r="F8422" s="1" t="s">
        <v>5091</v>
      </c>
      <c r="G8422" s="14" t="s">
        <v>5853</v>
      </c>
      <c r="H8422" s="1" t="s">
        <v>27</v>
      </c>
      <c r="I8422" s="17">
        <v>43101</v>
      </c>
    </row>
    <row r="8423" spans="1:9">
      <c r="A8423" s="16" t="s">
        <v>13847</v>
      </c>
      <c r="B8423" s="1" t="s">
        <v>2628</v>
      </c>
      <c r="C8423" s="1">
        <v>7</v>
      </c>
      <c r="D8423" s="1" t="s">
        <v>101</v>
      </c>
      <c r="E8423" s="1" t="s">
        <v>6</v>
      </c>
      <c r="F8423" s="1" t="s">
        <v>5091</v>
      </c>
      <c r="G8423" s="14" t="s">
        <v>5853</v>
      </c>
      <c r="H8423" s="1" t="s">
        <v>27</v>
      </c>
      <c r="I8423" s="17">
        <v>43101</v>
      </c>
    </row>
    <row r="8424" spans="1:9">
      <c r="A8424" s="16" t="s">
        <v>13953</v>
      </c>
      <c r="B8424" s="1" t="s">
        <v>2628</v>
      </c>
      <c r="C8424" s="1">
        <v>7</v>
      </c>
      <c r="D8424" s="1" t="s">
        <v>101</v>
      </c>
      <c r="E8424" s="1" t="s">
        <v>6</v>
      </c>
      <c r="F8424" s="1" t="s">
        <v>5091</v>
      </c>
      <c r="G8424" s="14" t="s">
        <v>5853</v>
      </c>
      <c r="H8424" s="1" t="s">
        <v>27</v>
      </c>
      <c r="I8424" s="17">
        <v>43101</v>
      </c>
    </row>
    <row r="8425" spans="1:9">
      <c r="A8425" s="16" t="s">
        <v>14029</v>
      </c>
      <c r="B8425" s="1" t="s">
        <v>2628</v>
      </c>
      <c r="C8425" s="1">
        <v>7</v>
      </c>
      <c r="D8425" s="1" t="s">
        <v>101</v>
      </c>
      <c r="E8425" s="1" t="s">
        <v>6</v>
      </c>
      <c r="F8425" s="1" t="s">
        <v>5241</v>
      </c>
      <c r="G8425" s="14" t="s">
        <v>4800</v>
      </c>
      <c r="H8425" s="1" t="s">
        <v>27</v>
      </c>
      <c r="I8425" s="17">
        <v>42278</v>
      </c>
    </row>
    <row r="8426" spans="1:9">
      <c r="A8426" s="7" t="s">
        <v>14431</v>
      </c>
      <c r="B8426" s="2" t="s">
        <v>2628</v>
      </c>
      <c r="C8426" s="1">
        <v>7</v>
      </c>
      <c r="D8426" s="1" t="s">
        <v>101</v>
      </c>
      <c r="E8426" s="1" t="s">
        <v>6</v>
      </c>
      <c r="F8426" s="2" t="s">
        <v>118</v>
      </c>
      <c r="G8426" s="14" t="s">
        <v>4800</v>
      </c>
      <c r="H8426" s="1" t="s">
        <v>27</v>
      </c>
      <c r="I8426" s="1" t="s">
        <v>4789</v>
      </c>
    </row>
    <row r="8427" spans="1:9">
      <c r="A8427" s="7" t="s">
        <v>14437</v>
      </c>
      <c r="B8427" s="2" t="s">
        <v>2628</v>
      </c>
      <c r="C8427" s="1">
        <v>7</v>
      </c>
      <c r="D8427" s="1" t="s">
        <v>101</v>
      </c>
      <c r="E8427" s="1" t="s">
        <v>6</v>
      </c>
      <c r="F8427" s="2" t="s">
        <v>118</v>
      </c>
      <c r="G8427" s="14" t="s">
        <v>4800</v>
      </c>
      <c r="H8427" s="1" t="s">
        <v>27</v>
      </c>
      <c r="I8427" s="1" t="s">
        <v>4789</v>
      </c>
    </row>
    <row r="8428" spans="1:9">
      <c r="A8428" s="7" t="s">
        <v>14438</v>
      </c>
      <c r="B8428" s="2" t="s">
        <v>2628</v>
      </c>
      <c r="C8428" s="1">
        <v>7</v>
      </c>
      <c r="D8428" s="1" t="s">
        <v>101</v>
      </c>
      <c r="E8428" s="1" t="s">
        <v>6</v>
      </c>
      <c r="F8428" s="2" t="s">
        <v>118</v>
      </c>
      <c r="G8428" s="14" t="s">
        <v>4800</v>
      </c>
      <c r="H8428" s="1" t="s">
        <v>27</v>
      </c>
      <c r="I8428" s="1" t="s">
        <v>4789</v>
      </c>
    </row>
    <row r="8429" spans="1:9">
      <c r="A8429" s="16" t="s">
        <v>14661</v>
      </c>
      <c r="B8429" s="1" t="s">
        <v>2628</v>
      </c>
      <c r="C8429" s="1">
        <v>7</v>
      </c>
      <c r="D8429" s="1" t="s">
        <v>101</v>
      </c>
      <c r="E8429" s="1" t="s">
        <v>6</v>
      </c>
      <c r="F8429" s="1" t="s">
        <v>5091</v>
      </c>
      <c r="G8429" s="14" t="s">
        <v>5853</v>
      </c>
      <c r="H8429" s="1" t="s">
        <v>27</v>
      </c>
      <c r="I8429" s="17">
        <v>37622</v>
      </c>
    </row>
    <row r="8430" spans="1:9">
      <c r="A8430" s="16" t="s">
        <v>14663</v>
      </c>
      <c r="B8430" s="1" t="s">
        <v>2628</v>
      </c>
      <c r="C8430" s="1">
        <v>7</v>
      </c>
      <c r="D8430" s="1" t="s">
        <v>101</v>
      </c>
      <c r="E8430" s="1" t="s">
        <v>6</v>
      </c>
      <c r="F8430" s="1" t="s">
        <v>5091</v>
      </c>
      <c r="G8430" s="14" t="s">
        <v>5853</v>
      </c>
      <c r="H8430" s="1" t="s">
        <v>27</v>
      </c>
      <c r="I8430" s="17">
        <v>36892</v>
      </c>
    </row>
    <row r="8431" spans="1:9">
      <c r="A8431" s="16" t="s">
        <v>15683</v>
      </c>
      <c r="B8431" s="1" t="s">
        <v>2628</v>
      </c>
      <c r="C8431" s="1">
        <v>7</v>
      </c>
      <c r="D8431" s="1" t="s">
        <v>101</v>
      </c>
      <c r="E8431" s="1" t="s">
        <v>6</v>
      </c>
      <c r="F8431" s="1" t="s">
        <v>5091</v>
      </c>
      <c r="G8431" s="14" t="s">
        <v>5853</v>
      </c>
      <c r="H8431" s="1" t="s">
        <v>27</v>
      </c>
      <c r="I8431" s="17">
        <v>43374</v>
      </c>
    </row>
    <row r="8432" spans="1:9">
      <c r="A8432" s="7" t="s">
        <v>15768</v>
      </c>
      <c r="B8432" s="2" t="s">
        <v>2628</v>
      </c>
      <c r="C8432" s="1">
        <v>7</v>
      </c>
      <c r="D8432" s="1" t="s">
        <v>101</v>
      </c>
      <c r="E8432" s="1" t="s">
        <v>6</v>
      </c>
      <c r="F8432" s="1" t="s">
        <v>5091</v>
      </c>
      <c r="G8432" s="14" t="s">
        <v>5853</v>
      </c>
      <c r="H8432" s="1" t="s">
        <v>27</v>
      </c>
      <c r="I8432" s="1" t="s">
        <v>4458</v>
      </c>
    </row>
    <row r="8433" spans="1:10" ht="31.2">
      <c r="A8433" s="16" t="s">
        <v>16633</v>
      </c>
      <c r="B8433" s="1" t="s">
        <v>2628</v>
      </c>
      <c r="C8433" s="1">
        <v>7</v>
      </c>
      <c r="D8433" s="1" t="s">
        <v>101</v>
      </c>
      <c r="E8433" s="1" t="s">
        <v>6</v>
      </c>
      <c r="F8433" s="1" t="s">
        <v>5091</v>
      </c>
      <c r="G8433" s="14" t="s">
        <v>5853</v>
      </c>
      <c r="H8433" s="1" t="s">
        <v>27</v>
      </c>
      <c r="I8433" s="17">
        <v>41341</v>
      </c>
    </row>
    <row r="8434" spans="1:10">
      <c r="A8434" s="7" t="s">
        <v>5573</v>
      </c>
      <c r="B8434" s="1" t="s">
        <v>2629</v>
      </c>
      <c r="C8434" s="1">
        <v>691</v>
      </c>
      <c r="D8434" s="1" t="s">
        <v>101</v>
      </c>
      <c r="E8434" s="1" t="s">
        <v>6</v>
      </c>
      <c r="F8434" s="1" t="s">
        <v>449</v>
      </c>
      <c r="G8434" s="1" t="s">
        <v>4800</v>
      </c>
      <c r="H8434" s="1" t="s">
        <v>27</v>
      </c>
      <c r="I8434" s="17">
        <v>41275</v>
      </c>
    </row>
    <row r="8435" spans="1:10">
      <c r="A8435" s="7" t="s">
        <v>6103</v>
      </c>
      <c r="B8435" s="1" t="s">
        <v>2629</v>
      </c>
      <c r="C8435" s="1">
        <v>7</v>
      </c>
      <c r="D8435" s="1" t="s">
        <v>101</v>
      </c>
      <c r="E8435" s="1" t="s">
        <v>6</v>
      </c>
      <c r="F8435" s="1" t="s">
        <v>2573</v>
      </c>
      <c r="G8435" s="1" t="s">
        <v>4800</v>
      </c>
      <c r="H8435" s="1" t="s">
        <v>27</v>
      </c>
      <c r="I8435" s="1" t="s">
        <v>6090</v>
      </c>
    </row>
    <row r="8436" spans="1:10">
      <c r="A8436" s="7" t="s">
        <v>6758</v>
      </c>
      <c r="B8436" s="1" t="s">
        <v>2629</v>
      </c>
      <c r="C8436" s="1">
        <v>7</v>
      </c>
      <c r="D8436" s="1" t="s">
        <v>101</v>
      </c>
      <c r="E8436" s="1" t="s">
        <v>6</v>
      </c>
      <c r="F8436" s="1" t="s">
        <v>5241</v>
      </c>
      <c r="G8436" s="1" t="s">
        <v>4800</v>
      </c>
      <c r="H8436" s="1" t="s">
        <v>27</v>
      </c>
      <c r="I8436" s="1" t="s">
        <v>5855</v>
      </c>
    </row>
    <row r="8437" spans="1:10">
      <c r="A8437" s="7" t="s">
        <v>7464</v>
      </c>
      <c r="B8437" s="1" t="s">
        <v>2629</v>
      </c>
      <c r="C8437" s="1">
        <v>7</v>
      </c>
      <c r="D8437" s="1" t="s">
        <v>101</v>
      </c>
      <c r="E8437" s="1" t="s">
        <v>6</v>
      </c>
      <c r="F8437" s="1" t="s">
        <v>5241</v>
      </c>
      <c r="G8437" s="1" t="s">
        <v>4800</v>
      </c>
      <c r="H8437" s="1" t="s">
        <v>27</v>
      </c>
      <c r="I8437" s="1" t="s">
        <v>6844</v>
      </c>
      <c r="J8437" s="11"/>
    </row>
    <row r="8438" spans="1:10">
      <c r="A8438" s="7" t="s">
        <v>11494</v>
      </c>
      <c r="B8438" s="1" t="s">
        <v>2629</v>
      </c>
      <c r="C8438" s="1">
        <v>7</v>
      </c>
      <c r="D8438" s="1" t="s">
        <v>101</v>
      </c>
      <c r="E8438" s="1" t="s">
        <v>6</v>
      </c>
      <c r="F8438" s="1" t="s">
        <v>5241</v>
      </c>
      <c r="G8438" s="1" t="s">
        <v>4800</v>
      </c>
      <c r="H8438" s="1" t="s">
        <v>27</v>
      </c>
      <c r="I8438" s="17">
        <v>41640</v>
      </c>
    </row>
    <row r="8439" spans="1:10">
      <c r="A8439" s="7" t="s">
        <v>11495</v>
      </c>
      <c r="B8439" s="1" t="s">
        <v>2629</v>
      </c>
      <c r="C8439" s="1">
        <v>7</v>
      </c>
      <c r="D8439" s="1" t="s">
        <v>101</v>
      </c>
      <c r="E8439" s="1" t="s">
        <v>6</v>
      </c>
      <c r="F8439" s="1" t="s">
        <v>5241</v>
      </c>
      <c r="G8439" s="1" t="s">
        <v>4800</v>
      </c>
      <c r="H8439" s="1" t="s">
        <v>27</v>
      </c>
      <c r="I8439" s="17">
        <v>41671</v>
      </c>
    </row>
    <row r="8440" spans="1:10">
      <c r="A8440" s="7" t="s">
        <v>11503</v>
      </c>
      <c r="B8440" s="1" t="s">
        <v>2629</v>
      </c>
      <c r="C8440" s="1">
        <v>7</v>
      </c>
      <c r="D8440" s="1" t="s">
        <v>101</v>
      </c>
      <c r="E8440" s="1" t="s">
        <v>6</v>
      </c>
      <c r="F8440" s="1" t="s">
        <v>5241</v>
      </c>
      <c r="G8440" s="1" t="s">
        <v>4800</v>
      </c>
      <c r="H8440" s="1" t="s">
        <v>27</v>
      </c>
      <c r="I8440" s="17">
        <v>41671</v>
      </c>
    </row>
    <row r="8441" spans="1:10">
      <c r="A8441" s="7" t="s">
        <v>11506</v>
      </c>
      <c r="B8441" s="1" t="s">
        <v>2629</v>
      </c>
      <c r="C8441" s="1">
        <v>7</v>
      </c>
      <c r="D8441" s="1" t="s">
        <v>101</v>
      </c>
      <c r="E8441" s="1" t="s">
        <v>6</v>
      </c>
      <c r="F8441" s="1" t="s">
        <v>5241</v>
      </c>
      <c r="G8441" s="1" t="s">
        <v>4800</v>
      </c>
      <c r="H8441" s="1" t="s">
        <v>27</v>
      </c>
      <c r="I8441" s="17">
        <v>41395</v>
      </c>
    </row>
    <row r="8442" spans="1:10">
      <c r="A8442" s="7" t="s">
        <v>11520</v>
      </c>
      <c r="B8442" s="1" t="s">
        <v>2629</v>
      </c>
      <c r="C8442" s="1">
        <v>7</v>
      </c>
      <c r="D8442" s="1" t="s">
        <v>101</v>
      </c>
      <c r="E8442" s="1" t="s">
        <v>6</v>
      </c>
      <c r="F8442" s="1" t="s">
        <v>5241</v>
      </c>
      <c r="G8442" s="1" t="s">
        <v>4800</v>
      </c>
      <c r="H8442" s="1" t="s">
        <v>27</v>
      </c>
      <c r="I8442" s="17">
        <v>41671</v>
      </c>
    </row>
    <row r="8443" spans="1:10">
      <c r="A8443" s="7" t="s">
        <v>11527</v>
      </c>
      <c r="B8443" s="1" t="s">
        <v>2629</v>
      </c>
      <c r="C8443" s="1">
        <v>7</v>
      </c>
      <c r="D8443" s="1" t="s">
        <v>101</v>
      </c>
      <c r="E8443" s="1" t="s">
        <v>6</v>
      </c>
      <c r="F8443" s="1" t="s">
        <v>5241</v>
      </c>
      <c r="G8443" s="1" t="s">
        <v>4800</v>
      </c>
      <c r="H8443" s="1" t="s">
        <v>27</v>
      </c>
      <c r="I8443" s="17">
        <v>40360</v>
      </c>
    </row>
    <row r="8444" spans="1:10">
      <c r="A8444" s="7" t="s">
        <v>11549</v>
      </c>
      <c r="B8444" s="1" t="s">
        <v>2629</v>
      </c>
      <c r="C8444" s="1">
        <v>7</v>
      </c>
      <c r="D8444" s="1" t="s">
        <v>101</v>
      </c>
      <c r="E8444" s="1" t="s">
        <v>6</v>
      </c>
      <c r="F8444" s="1" t="s">
        <v>5241</v>
      </c>
      <c r="G8444" s="1" t="s">
        <v>4800</v>
      </c>
      <c r="H8444" s="1" t="s">
        <v>27</v>
      </c>
      <c r="I8444" s="17">
        <v>40210</v>
      </c>
    </row>
    <row r="8445" spans="1:10">
      <c r="A8445" s="7" t="s">
        <v>11561</v>
      </c>
      <c r="B8445" s="1" t="s">
        <v>2629</v>
      </c>
      <c r="C8445" s="1">
        <v>7</v>
      </c>
      <c r="D8445" s="1" t="s">
        <v>101</v>
      </c>
      <c r="E8445" s="1" t="s">
        <v>6</v>
      </c>
      <c r="F8445" s="1" t="s">
        <v>5241</v>
      </c>
      <c r="G8445" s="1" t="s">
        <v>4800</v>
      </c>
      <c r="H8445" s="1" t="s">
        <v>27</v>
      </c>
      <c r="I8445" s="17">
        <v>40360</v>
      </c>
    </row>
    <row r="8446" spans="1:10">
      <c r="A8446" s="7" t="s">
        <v>11567</v>
      </c>
      <c r="B8446" s="1" t="s">
        <v>2629</v>
      </c>
      <c r="C8446" s="1">
        <v>7</v>
      </c>
      <c r="D8446" s="1" t="s">
        <v>101</v>
      </c>
      <c r="E8446" s="1" t="s">
        <v>6</v>
      </c>
      <c r="F8446" s="1" t="s">
        <v>5241</v>
      </c>
      <c r="G8446" s="1" t="s">
        <v>4800</v>
      </c>
      <c r="H8446" s="1" t="s">
        <v>27</v>
      </c>
      <c r="I8446" s="17">
        <v>40422</v>
      </c>
    </row>
    <row r="8447" spans="1:10">
      <c r="A8447" s="7" t="s">
        <v>11568</v>
      </c>
      <c r="B8447" s="1" t="s">
        <v>2629</v>
      </c>
      <c r="C8447" s="1">
        <v>7</v>
      </c>
      <c r="D8447" s="1" t="s">
        <v>101</v>
      </c>
      <c r="E8447" s="1" t="s">
        <v>6</v>
      </c>
      <c r="F8447" s="1" t="s">
        <v>5241</v>
      </c>
      <c r="G8447" s="1" t="s">
        <v>4800</v>
      </c>
      <c r="H8447" s="1" t="s">
        <v>27</v>
      </c>
      <c r="I8447" s="17">
        <v>40087</v>
      </c>
    </row>
    <row r="8448" spans="1:10">
      <c r="A8448" s="7" t="s">
        <v>14011</v>
      </c>
      <c r="B8448" s="1" t="s">
        <v>2629</v>
      </c>
      <c r="C8448" s="1">
        <v>7</v>
      </c>
      <c r="D8448" s="1" t="s">
        <v>101</v>
      </c>
      <c r="E8448" s="1" t="s">
        <v>6</v>
      </c>
      <c r="F8448" s="1" t="s">
        <v>5241</v>
      </c>
      <c r="G8448" s="1" t="s">
        <v>4800</v>
      </c>
      <c r="H8448" s="1" t="s">
        <v>27</v>
      </c>
      <c r="I8448" s="17">
        <v>41671</v>
      </c>
    </row>
    <row r="8449" spans="1:10">
      <c r="A8449" s="7" t="s">
        <v>14015</v>
      </c>
      <c r="B8449" s="1" t="s">
        <v>2629</v>
      </c>
      <c r="C8449" s="1">
        <v>7</v>
      </c>
      <c r="D8449" s="1" t="s">
        <v>101</v>
      </c>
      <c r="E8449" s="1" t="s">
        <v>6</v>
      </c>
      <c r="F8449" s="1" t="s">
        <v>5241</v>
      </c>
      <c r="G8449" s="1" t="s">
        <v>4800</v>
      </c>
      <c r="H8449" s="1" t="s">
        <v>27</v>
      </c>
      <c r="I8449" s="17">
        <v>40544</v>
      </c>
    </row>
    <row r="8450" spans="1:10">
      <c r="A8450" s="7" t="s">
        <v>14033</v>
      </c>
      <c r="B8450" s="1" t="s">
        <v>2629</v>
      </c>
      <c r="C8450" s="1">
        <v>7</v>
      </c>
      <c r="D8450" s="1" t="s">
        <v>101</v>
      </c>
      <c r="E8450" s="1" t="s">
        <v>6</v>
      </c>
      <c r="F8450" s="1" t="s">
        <v>5241</v>
      </c>
      <c r="G8450" s="1" t="s">
        <v>4800</v>
      </c>
      <c r="H8450" s="1" t="s">
        <v>27</v>
      </c>
      <c r="I8450" s="17">
        <v>41426</v>
      </c>
    </row>
    <row r="8451" spans="1:10">
      <c r="A8451" s="7" t="s">
        <v>14058</v>
      </c>
      <c r="B8451" s="1" t="s">
        <v>2629</v>
      </c>
      <c r="C8451" s="1">
        <v>7</v>
      </c>
      <c r="D8451" s="1" t="s">
        <v>101</v>
      </c>
      <c r="E8451" s="1" t="s">
        <v>6</v>
      </c>
      <c r="F8451" s="1" t="s">
        <v>5241</v>
      </c>
      <c r="G8451" s="1" t="s">
        <v>4800</v>
      </c>
      <c r="H8451" s="1" t="s">
        <v>27</v>
      </c>
      <c r="I8451" s="17">
        <v>40452</v>
      </c>
      <c r="J8451" s="11"/>
    </row>
    <row r="8452" spans="1:10">
      <c r="A8452" s="7" t="s">
        <v>14288</v>
      </c>
      <c r="B8452" s="1" t="s">
        <v>2629</v>
      </c>
      <c r="C8452" s="1">
        <v>7</v>
      </c>
      <c r="D8452" s="1" t="s">
        <v>101</v>
      </c>
      <c r="E8452" s="1" t="s">
        <v>6</v>
      </c>
      <c r="F8452" s="1" t="s">
        <v>5241</v>
      </c>
      <c r="G8452" s="1" t="s">
        <v>4800</v>
      </c>
      <c r="H8452" s="1" t="s">
        <v>27</v>
      </c>
      <c r="I8452" s="17">
        <v>42491</v>
      </c>
    </row>
    <row r="8453" spans="1:10">
      <c r="A8453" s="7" t="s">
        <v>14439</v>
      </c>
      <c r="B8453" s="2" t="s">
        <v>2629</v>
      </c>
      <c r="C8453" s="1">
        <v>7</v>
      </c>
      <c r="D8453" s="1" t="s">
        <v>101</v>
      </c>
      <c r="E8453" s="1" t="s">
        <v>6</v>
      </c>
      <c r="F8453" s="1" t="s">
        <v>118</v>
      </c>
      <c r="G8453" s="14" t="s">
        <v>4800</v>
      </c>
      <c r="H8453" s="1" t="s">
        <v>27</v>
      </c>
      <c r="I8453" s="1" t="s">
        <v>5855</v>
      </c>
    </row>
    <row r="8454" spans="1:10">
      <c r="A8454" s="7" t="s">
        <v>14441</v>
      </c>
      <c r="B8454" s="2" t="s">
        <v>2629</v>
      </c>
      <c r="C8454" s="1">
        <v>7</v>
      </c>
      <c r="D8454" s="1" t="s">
        <v>101</v>
      </c>
      <c r="E8454" s="1" t="s">
        <v>6</v>
      </c>
      <c r="F8454" s="1" t="s">
        <v>118</v>
      </c>
      <c r="G8454" s="14" t="s">
        <v>4800</v>
      </c>
      <c r="H8454" s="1" t="s">
        <v>27</v>
      </c>
      <c r="I8454" s="1" t="s">
        <v>5855</v>
      </c>
    </row>
    <row r="8455" spans="1:10">
      <c r="A8455" s="7" t="s">
        <v>14442</v>
      </c>
      <c r="B8455" s="2" t="s">
        <v>2629</v>
      </c>
      <c r="C8455" s="1">
        <v>7</v>
      </c>
      <c r="D8455" s="1" t="s">
        <v>101</v>
      </c>
      <c r="E8455" s="1" t="s">
        <v>6</v>
      </c>
      <c r="F8455" s="1" t="s">
        <v>118</v>
      </c>
      <c r="G8455" s="14" t="s">
        <v>4800</v>
      </c>
      <c r="H8455" s="1" t="s">
        <v>27</v>
      </c>
      <c r="I8455" s="1" t="s">
        <v>5855</v>
      </c>
    </row>
    <row r="8456" spans="1:10">
      <c r="A8456" s="7" t="s">
        <v>14450</v>
      </c>
      <c r="B8456" s="2" t="s">
        <v>2629</v>
      </c>
      <c r="C8456" s="1">
        <v>7</v>
      </c>
      <c r="D8456" s="1" t="s">
        <v>101</v>
      </c>
      <c r="E8456" s="1" t="s">
        <v>6</v>
      </c>
      <c r="F8456" s="1" t="s">
        <v>118</v>
      </c>
      <c r="G8456" s="14" t="s">
        <v>4800</v>
      </c>
      <c r="H8456" s="1" t="s">
        <v>27</v>
      </c>
      <c r="I8456" s="1" t="s">
        <v>6844</v>
      </c>
    </row>
    <row r="8457" spans="1:10">
      <c r="A8457" s="7" t="s">
        <v>14455</v>
      </c>
      <c r="B8457" s="2" t="s">
        <v>2629</v>
      </c>
      <c r="C8457" s="1">
        <v>7</v>
      </c>
      <c r="D8457" s="1" t="s">
        <v>101</v>
      </c>
      <c r="E8457" s="1" t="s">
        <v>6</v>
      </c>
      <c r="F8457" s="1" t="s">
        <v>118</v>
      </c>
      <c r="G8457" s="14" t="s">
        <v>4800</v>
      </c>
      <c r="H8457" s="1" t="s">
        <v>27</v>
      </c>
      <c r="I8457" s="1" t="s">
        <v>5659</v>
      </c>
    </row>
    <row r="8458" spans="1:10">
      <c r="A8458" s="7" t="s">
        <v>5009</v>
      </c>
      <c r="B8458" s="1" t="s">
        <v>2629</v>
      </c>
      <c r="C8458" s="1">
        <v>7</v>
      </c>
      <c r="D8458" s="1" t="s">
        <v>101</v>
      </c>
      <c r="E8458" s="1" t="s">
        <v>6</v>
      </c>
      <c r="F8458" s="1" t="s">
        <v>118</v>
      </c>
      <c r="G8458" s="1" t="s">
        <v>4458</v>
      </c>
      <c r="H8458" s="1" t="s">
        <v>118</v>
      </c>
      <c r="I8458" s="1" t="s">
        <v>4792</v>
      </c>
    </row>
    <row r="8459" spans="1:10">
      <c r="A8459" s="7" t="s">
        <v>5730</v>
      </c>
      <c r="B8459" s="2" t="s">
        <v>2628</v>
      </c>
      <c r="C8459" s="1">
        <v>624</v>
      </c>
      <c r="D8459" s="1" t="s">
        <v>101</v>
      </c>
      <c r="E8459" s="1" t="s">
        <v>6</v>
      </c>
      <c r="F8459" s="1" t="s">
        <v>2691</v>
      </c>
      <c r="G8459" s="14" t="s">
        <v>1446</v>
      </c>
      <c r="H8459" s="1" t="s">
        <v>44</v>
      </c>
      <c r="I8459" s="17" t="s">
        <v>5726</v>
      </c>
    </row>
    <row r="8460" spans="1:10">
      <c r="A8460" s="7" t="s">
        <v>5742</v>
      </c>
      <c r="B8460" s="2" t="s">
        <v>2628</v>
      </c>
      <c r="C8460" s="1">
        <v>624</v>
      </c>
      <c r="D8460" s="1" t="s">
        <v>101</v>
      </c>
      <c r="E8460" s="1" t="s">
        <v>6</v>
      </c>
      <c r="F8460" s="1" t="s">
        <v>2691</v>
      </c>
      <c r="G8460" s="14" t="s">
        <v>1446</v>
      </c>
      <c r="H8460" s="1" t="s">
        <v>44</v>
      </c>
      <c r="I8460" s="17" t="s">
        <v>5625</v>
      </c>
    </row>
    <row r="8461" spans="1:10">
      <c r="A8461" s="7" t="s">
        <v>5759</v>
      </c>
      <c r="B8461" s="2" t="s">
        <v>2628</v>
      </c>
      <c r="C8461" s="1">
        <v>624</v>
      </c>
      <c r="D8461" s="1" t="s">
        <v>101</v>
      </c>
      <c r="E8461" s="1" t="s">
        <v>6</v>
      </c>
      <c r="F8461" s="1" t="s">
        <v>2691</v>
      </c>
      <c r="G8461" s="14" t="s">
        <v>1446</v>
      </c>
      <c r="H8461" s="1" t="s">
        <v>44</v>
      </c>
      <c r="I8461" s="17" t="s">
        <v>5625</v>
      </c>
    </row>
    <row r="8462" spans="1:10">
      <c r="A8462" s="7" t="s">
        <v>5760</v>
      </c>
      <c r="B8462" s="2" t="s">
        <v>2628</v>
      </c>
      <c r="C8462" s="1">
        <v>624</v>
      </c>
      <c r="D8462" s="1" t="s">
        <v>101</v>
      </c>
      <c r="E8462" s="1" t="s">
        <v>6</v>
      </c>
      <c r="F8462" s="1" t="s">
        <v>2691</v>
      </c>
      <c r="G8462" s="14" t="s">
        <v>2395</v>
      </c>
      <c r="H8462" s="1" t="s">
        <v>5</v>
      </c>
      <c r="I8462" s="1" t="s">
        <v>5625</v>
      </c>
    </row>
    <row r="8463" spans="1:10">
      <c r="A8463" s="7" t="s">
        <v>5763</v>
      </c>
      <c r="B8463" s="2" t="s">
        <v>2628</v>
      </c>
      <c r="C8463" s="1">
        <v>624</v>
      </c>
      <c r="D8463" s="1" t="s">
        <v>101</v>
      </c>
      <c r="E8463" s="1" t="s">
        <v>6</v>
      </c>
      <c r="F8463" s="1" t="s">
        <v>2691</v>
      </c>
      <c r="G8463" s="14" t="s">
        <v>1446</v>
      </c>
      <c r="H8463" s="1" t="s">
        <v>44</v>
      </c>
      <c r="I8463" s="17" t="s">
        <v>5625</v>
      </c>
    </row>
    <row r="8464" spans="1:10">
      <c r="A8464" s="7" t="s">
        <v>5764</v>
      </c>
      <c r="B8464" s="2" t="s">
        <v>2628</v>
      </c>
      <c r="C8464" s="1">
        <v>624</v>
      </c>
      <c r="D8464" s="1" t="s">
        <v>101</v>
      </c>
      <c r="E8464" s="1" t="s">
        <v>6</v>
      </c>
      <c r="F8464" s="1" t="s">
        <v>2691</v>
      </c>
      <c r="G8464" s="14" t="s">
        <v>2395</v>
      </c>
      <c r="H8464" s="1" t="s">
        <v>5</v>
      </c>
      <c r="I8464" s="1" t="s">
        <v>5625</v>
      </c>
    </row>
    <row r="8465" spans="1:9">
      <c r="A8465" s="7" t="s">
        <v>5765</v>
      </c>
      <c r="B8465" s="2" t="s">
        <v>2628</v>
      </c>
      <c r="C8465" s="1">
        <v>624</v>
      </c>
      <c r="D8465" s="1" t="s">
        <v>101</v>
      </c>
      <c r="E8465" s="1" t="s">
        <v>6</v>
      </c>
      <c r="F8465" s="1" t="s">
        <v>2691</v>
      </c>
      <c r="G8465" s="14" t="s">
        <v>2395</v>
      </c>
      <c r="H8465" s="1" t="s">
        <v>5</v>
      </c>
      <c r="I8465" s="1" t="s">
        <v>5625</v>
      </c>
    </row>
    <row r="8466" spans="1:9">
      <c r="A8466" s="7" t="s">
        <v>5767</v>
      </c>
      <c r="B8466" s="2" t="s">
        <v>2628</v>
      </c>
      <c r="C8466" s="1">
        <v>624</v>
      </c>
      <c r="D8466" s="1" t="s">
        <v>101</v>
      </c>
      <c r="E8466" s="1" t="s">
        <v>6</v>
      </c>
      <c r="F8466" s="1" t="s">
        <v>2691</v>
      </c>
      <c r="G8466" s="14" t="s">
        <v>1446</v>
      </c>
      <c r="H8466" s="1" t="s">
        <v>44</v>
      </c>
      <c r="I8466" s="17" t="s">
        <v>5625</v>
      </c>
    </row>
    <row r="8467" spans="1:9">
      <c r="A8467" s="7" t="s">
        <v>5769</v>
      </c>
      <c r="B8467" s="2" t="s">
        <v>2628</v>
      </c>
      <c r="C8467" s="1">
        <v>624</v>
      </c>
      <c r="D8467" s="1" t="s">
        <v>101</v>
      </c>
      <c r="E8467" s="1" t="s">
        <v>6</v>
      </c>
      <c r="F8467" s="1" t="s">
        <v>2691</v>
      </c>
      <c r="G8467" s="14" t="s">
        <v>2395</v>
      </c>
      <c r="H8467" s="1" t="s">
        <v>5</v>
      </c>
      <c r="I8467" s="1" t="s">
        <v>5625</v>
      </c>
    </row>
    <row r="8468" spans="1:9">
      <c r="A8468" s="7" t="s">
        <v>5770</v>
      </c>
      <c r="B8468" s="2" t="s">
        <v>2628</v>
      </c>
      <c r="C8468" s="1">
        <v>624</v>
      </c>
      <c r="D8468" s="1" t="s">
        <v>101</v>
      </c>
      <c r="E8468" s="1" t="s">
        <v>6</v>
      </c>
      <c r="F8468" s="1" t="s">
        <v>2691</v>
      </c>
      <c r="G8468" s="14" t="s">
        <v>2395</v>
      </c>
      <c r="H8468" s="1" t="s">
        <v>5</v>
      </c>
      <c r="I8468" s="1" t="s">
        <v>5625</v>
      </c>
    </row>
    <row r="8469" spans="1:9">
      <c r="A8469" s="7" t="s">
        <v>5773</v>
      </c>
      <c r="B8469" s="2" t="s">
        <v>2628</v>
      </c>
      <c r="C8469" s="1">
        <v>624</v>
      </c>
      <c r="D8469" s="1" t="s">
        <v>101</v>
      </c>
      <c r="E8469" s="1" t="s">
        <v>6</v>
      </c>
      <c r="F8469" s="1" t="s">
        <v>2691</v>
      </c>
      <c r="G8469" s="14" t="s">
        <v>1446</v>
      </c>
      <c r="H8469" s="1" t="s">
        <v>44</v>
      </c>
      <c r="I8469" s="17" t="s">
        <v>5772</v>
      </c>
    </row>
    <row r="8470" spans="1:9">
      <c r="A8470" s="7" t="s">
        <v>5774</v>
      </c>
      <c r="B8470" s="2" t="s">
        <v>2628</v>
      </c>
      <c r="C8470" s="1">
        <v>624</v>
      </c>
      <c r="D8470" s="1" t="s">
        <v>101</v>
      </c>
      <c r="E8470" s="1" t="s">
        <v>6</v>
      </c>
      <c r="F8470" s="1" t="s">
        <v>2691</v>
      </c>
      <c r="G8470" s="14" t="s">
        <v>1446</v>
      </c>
      <c r="H8470" s="1" t="s">
        <v>44</v>
      </c>
      <c r="I8470" s="17" t="s">
        <v>5625</v>
      </c>
    </row>
    <row r="8471" spans="1:9">
      <c r="A8471" s="7" t="s">
        <v>6140</v>
      </c>
      <c r="B8471" s="2" t="s">
        <v>2628</v>
      </c>
      <c r="C8471" s="1">
        <v>7</v>
      </c>
      <c r="D8471" s="1" t="s">
        <v>101</v>
      </c>
      <c r="E8471" s="1" t="s">
        <v>6</v>
      </c>
      <c r="F8471" s="1" t="s">
        <v>5091</v>
      </c>
      <c r="G8471" s="14" t="s">
        <v>6139</v>
      </c>
      <c r="H8471" s="1" t="s">
        <v>43</v>
      </c>
      <c r="I8471" s="1" t="s">
        <v>5722</v>
      </c>
    </row>
    <row r="8472" spans="1:9">
      <c r="A8472" s="7" t="s">
        <v>6141</v>
      </c>
      <c r="B8472" s="2" t="s">
        <v>2628</v>
      </c>
      <c r="C8472" s="1">
        <v>7</v>
      </c>
      <c r="D8472" s="1" t="s">
        <v>101</v>
      </c>
      <c r="E8472" s="1" t="s">
        <v>6</v>
      </c>
      <c r="F8472" s="1" t="s">
        <v>5091</v>
      </c>
      <c r="G8472" s="14" t="s">
        <v>6139</v>
      </c>
      <c r="H8472" s="1" t="s">
        <v>43</v>
      </c>
      <c r="I8472" s="1" t="s">
        <v>5722</v>
      </c>
    </row>
    <row r="8473" spans="1:9">
      <c r="A8473" s="7" t="s">
        <v>6142</v>
      </c>
      <c r="B8473" s="2" t="s">
        <v>2628</v>
      </c>
      <c r="C8473" s="1">
        <v>7</v>
      </c>
      <c r="D8473" s="1" t="s">
        <v>101</v>
      </c>
      <c r="E8473" s="1" t="s">
        <v>6</v>
      </c>
      <c r="F8473" s="1" t="s">
        <v>5091</v>
      </c>
      <c r="G8473" s="14" t="s">
        <v>6139</v>
      </c>
      <c r="H8473" s="1" t="s">
        <v>43</v>
      </c>
      <c r="I8473" s="1" t="s">
        <v>5722</v>
      </c>
    </row>
    <row r="8474" spans="1:9">
      <c r="A8474" s="7" t="s">
        <v>6143</v>
      </c>
      <c r="B8474" s="2" t="s">
        <v>2628</v>
      </c>
      <c r="C8474" s="1">
        <v>7</v>
      </c>
      <c r="D8474" s="1" t="s">
        <v>101</v>
      </c>
      <c r="E8474" s="1" t="s">
        <v>6</v>
      </c>
      <c r="F8474" s="1" t="s">
        <v>5091</v>
      </c>
      <c r="G8474" s="14" t="s">
        <v>6139</v>
      </c>
      <c r="H8474" s="1" t="s">
        <v>43</v>
      </c>
      <c r="I8474" s="1" t="s">
        <v>5722</v>
      </c>
    </row>
    <row r="8475" spans="1:9" ht="31.2">
      <c r="A8475" s="16" t="s">
        <v>6144</v>
      </c>
      <c r="B8475" s="1" t="s">
        <v>2628</v>
      </c>
      <c r="C8475" s="1">
        <v>7</v>
      </c>
      <c r="D8475" s="1" t="s">
        <v>101</v>
      </c>
      <c r="E8475" s="1" t="s">
        <v>6</v>
      </c>
      <c r="F8475" s="1" t="s">
        <v>5091</v>
      </c>
      <c r="G8475" s="14" t="s">
        <v>6145</v>
      </c>
      <c r="H8475" s="1" t="s">
        <v>43</v>
      </c>
      <c r="I8475" s="17">
        <v>42111</v>
      </c>
    </row>
    <row r="8476" spans="1:9">
      <c r="A8476" s="7" t="s">
        <v>6146</v>
      </c>
      <c r="B8476" s="2" t="s">
        <v>2628</v>
      </c>
      <c r="C8476" s="1">
        <v>7</v>
      </c>
      <c r="D8476" s="1" t="s">
        <v>101</v>
      </c>
      <c r="E8476" s="1" t="s">
        <v>6</v>
      </c>
      <c r="F8476" s="1" t="s">
        <v>5091</v>
      </c>
      <c r="G8476" s="14" t="s">
        <v>6139</v>
      </c>
      <c r="H8476" s="1" t="s">
        <v>43</v>
      </c>
      <c r="I8476" s="1" t="s">
        <v>5722</v>
      </c>
    </row>
    <row r="8477" spans="1:9">
      <c r="A8477" s="7" t="s">
        <v>6147</v>
      </c>
      <c r="B8477" s="2" t="s">
        <v>2628</v>
      </c>
      <c r="C8477" s="1">
        <v>7</v>
      </c>
      <c r="D8477" s="1" t="s">
        <v>101</v>
      </c>
      <c r="E8477" s="1" t="s">
        <v>6</v>
      </c>
      <c r="F8477" s="1" t="s">
        <v>5091</v>
      </c>
      <c r="G8477" s="14" t="s">
        <v>6139</v>
      </c>
      <c r="H8477" s="1" t="s">
        <v>43</v>
      </c>
      <c r="I8477" s="1" t="s">
        <v>5722</v>
      </c>
    </row>
    <row r="8478" spans="1:9" ht="31.2">
      <c r="A8478" s="16" t="s">
        <v>6148</v>
      </c>
      <c r="B8478" s="1" t="s">
        <v>2628</v>
      </c>
      <c r="C8478" s="1">
        <v>7</v>
      </c>
      <c r="D8478" s="1" t="s">
        <v>101</v>
      </c>
      <c r="E8478" s="1" t="s">
        <v>6</v>
      </c>
      <c r="F8478" s="1" t="s">
        <v>5091</v>
      </c>
      <c r="G8478" s="14" t="s">
        <v>6145</v>
      </c>
      <c r="H8478" s="1" t="s">
        <v>43</v>
      </c>
      <c r="I8478" s="17">
        <v>42111</v>
      </c>
    </row>
    <row r="8479" spans="1:9">
      <c r="A8479" s="7" t="s">
        <v>6149</v>
      </c>
      <c r="B8479" s="2" t="s">
        <v>2628</v>
      </c>
      <c r="C8479" s="1">
        <v>7</v>
      </c>
      <c r="D8479" s="1" t="s">
        <v>101</v>
      </c>
      <c r="E8479" s="1" t="s">
        <v>6</v>
      </c>
      <c r="F8479" s="1" t="s">
        <v>5091</v>
      </c>
      <c r="G8479" s="14" t="s">
        <v>6139</v>
      </c>
      <c r="H8479" s="1" t="s">
        <v>43</v>
      </c>
      <c r="I8479" s="1" t="s">
        <v>5722</v>
      </c>
    </row>
    <row r="8480" spans="1:9">
      <c r="A8480" s="7" t="s">
        <v>6206</v>
      </c>
      <c r="B8480" s="2" t="s">
        <v>2628</v>
      </c>
      <c r="C8480" s="1">
        <v>1812</v>
      </c>
      <c r="D8480" s="1" t="s">
        <v>101</v>
      </c>
      <c r="E8480" s="1" t="s">
        <v>6</v>
      </c>
      <c r="F8480" s="1" t="s">
        <v>5091</v>
      </c>
      <c r="G8480" s="14" t="s">
        <v>6139</v>
      </c>
      <c r="H8480" s="1" t="s">
        <v>43</v>
      </c>
      <c r="I8480" s="1" t="s">
        <v>5807</v>
      </c>
    </row>
    <row r="8481" spans="1:10">
      <c r="A8481" s="7" t="s">
        <v>6225</v>
      </c>
      <c r="B8481" s="2" t="s">
        <v>2628</v>
      </c>
      <c r="C8481" s="1">
        <v>7</v>
      </c>
      <c r="D8481" s="1" t="s">
        <v>101</v>
      </c>
      <c r="E8481" s="1" t="s">
        <v>6</v>
      </c>
      <c r="F8481" s="1" t="s">
        <v>5091</v>
      </c>
      <c r="G8481" s="14" t="s">
        <v>6139</v>
      </c>
      <c r="H8481" s="1" t="s">
        <v>43</v>
      </c>
      <c r="I8481" s="1" t="s">
        <v>5807</v>
      </c>
    </row>
    <row r="8482" spans="1:10">
      <c r="A8482" s="7" t="s">
        <v>6291</v>
      </c>
      <c r="B8482" s="2" t="s">
        <v>2628</v>
      </c>
      <c r="C8482" s="1">
        <v>7</v>
      </c>
      <c r="D8482" s="1" t="s">
        <v>101</v>
      </c>
      <c r="E8482" s="1" t="s">
        <v>6</v>
      </c>
      <c r="F8482" s="1" t="s">
        <v>5091</v>
      </c>
      <c r="G8482" s="22" t="s">
        <v>6181</v>
      </c>
      <c r="H8482" s="2" t="s">
        <v>118</v>
      </c>
      <c r="I8482" s="1" t="s">
        <v>4458</v>
      </c>
      <c r="J8482" s="11"/>
    </row>
    <row r="8483" spans="1:10">
      <c r="A8483" s="7" t="s">
        <v>6292</v>
      </c>
      <c r="B8483" s="2" t="s">
        <v>2628</v>
      </c>
      <c r="C8483" s="1">
        <v>7</v>
      </c>
      <c r="D8483" s="1" t="s">
        <v>101</v>
      </c>
      <c r="E8483" s="1" t="s">
        <v>6</v>
      </c>
      <c r="F8483" s="1" t="s">
        <v>5091</v>
      </c>
      <c r="G8483" s="22" t="s">
        <v>6181</v>
      </c>
      <c r="H8483" s="2" t="s">
        <v>118</v>
      </c>
      <c r="I8483" s="1" t="s">
        <v>4458</v>
      </c>
    </row>
    <row r="8484" spans="1:10">
      <c r="A8484" s="7" t="s">
        <v>6293</v>
      </c>
      <c r="B8484" s="2" t="s">
        <v>2628</v>
      </c>
      <c r="C8484" s="1">
        <v>7</v>
      </c>
      <c r="D8484" s="1" t="s">
        <v>101</v>
      </c>
      <c r="E8484" s="1" t="s">
        <v>6</v>
      </c>
      <c r="F8484" s="1" t="s">
        <v>5091</v>
      </c>
      <c r="G8484" s="22" t="s">
        <v>6181</v>
      </c>
      <c r="H8484" s="2" t="s">
        <v>118</v>
      </c>
      <c r="I8484" s="1" t="s">
        <v>4458</v>
      </c>
    </row>
    <row r="8485" spans="1:10">
      <c r="A8485" s="7" t="s">
        <v>6294</v>
      </c>
      <c r="B8485" s="2" t="s">
        <v>2628</v>
      </c>
      <c r="C8485" s="1">
        <v>7</v>
      </c>
      <c r="D8485" s="1" t="s">
        <v>101</v>
      </c>
      <c r="E8485" s="1" t="s">
        <v>6</v>
      </c>
      <c r="F8485" s="1" t="s">
        <v>5091</v>
      </c>
      <c r="G8485" s="22" t="s">
        <v>6181</v>
      </c>
      <c r="H8485" s="2" t="s">
        <v>118</v>
      </c>
      <c r="I8485" s="1" t="s">
        <v>4458</v>
      </c>
    </row>
    <row r="8486" spans="1:10">
      <c r="A8486" s="7" t="s">
        <v>6295</v>
      </c>
      <c r="B8486" s="2" t="s">
        <v>2628</v>
      </c>
      <c r="C8486" s="1">
        <v>7</v>
      </c>
      <c r="D8486" s="1" t="s">
        <v>101</v>
      </c>
      <c r="E8486" s="1" t="s">
        <v>6</v>
      </c>
      <c r="F8486" s="1" t="s">
        <v>5091</v>
      </c>
      <c r="G8486" s="22" t="s">
        <v>6181</v>
      </c>
      <c r="H8486" s="2" t="s">
        <v>118</v>
      </c>
      <c r="I8486" s="1" t="s">
        <v>4458</v>
      </c>
    </row>
    <row r="8487" spans="1:10">
      <c r="A8487" s="7" t="s">
        <v>6296</v>
      </c>
      <c r="B8487" s="2" t="s">
        <v>2628</v>
      </c>
      <c r="C8487" s="1">
        <v>7</v>
      </c>
      <c r="D8487" s="1" t="s">
        <v>101</v>
      </c>
      <c r="E8487" s="1" t="s">
        <v>6</v>
      </c>
      <c r="F8487" s="1" t="s">
        <v>5091</v>
      </c>
      <c r="G8487" s="22" t="s">
        <v>6181</v>
      </c>
      <c r="H8487" s="2" t="s">
        <v>118</v>
      </c>
      <c r="I8487" s="1" t="s">
        <v>4458</v>
      </c>
    </row>
    <row r="8488" spans="1:10">
      <c r="A8488" s="7" t="s">
        <v>6297</v>
      </c>
      <c r="B8488" s="2" t="s">
        <v>2628</v>
      </c>
      <c r="C8488" s="1">
        <v>7</v>
      </c>
      <c r="D8488" s="1" t="s">
        <v>101</v>
      </c>
      <c r="E8488" s="1" t="s">
        <v>6</v>
      </c>
      <c r="F8488" s="1" t="s">
        <v>5091</v>
      </c>
      <c r="G8488" s="22" t="s">
        <v>6181</v>
      </c>
      <c r="H8488" s="2" t="s">
        <v>118</v>
      </c>
      <c r="I8488" s="1" t="s">
        <v>4458</v>
      </c>
    </row>
    <row r="8489" spans="1:10">
      <c r="A8489" s="7" t="s">
        <v>6298</v>
      </c>
      <c r="B8489" s="2" t="s">
        <v>2628</v>
      </c>
      <c r="C8489" s="1">
        <v>7</v>
      </c>
      <c r="D8489" s="1" t="s">
        <v>101</v>
      </c>
      <c r="E8489" s="1" t="s">
        <v>6</v>
      </c>
      <c r="F8489" s="1" t="s">
        <v>5091</v>
      </c>
      <c r="G8489" s="22" t="s">
        <v>6181</v>
      </c>
      <c r="H8489" s="2" t="s">
        <v>118</v>
      </c>
      <c r="I8489" s="1" t="s">
        <v>4458</v>
      </c>
    </row>
    <row r="8490" spans="1:10">
      <c r="A8490" s="7" t="s">
        <v>6299</v>
      </c>
      <c r="B8490" s="2" t="s">
        <v>2628</v>
      </c>
      <c r="C8490" s="1">
        <v>7</v>
      </c>
      <c r="D8490" s="1" t="s">
        <v>101</v>
      </c>
      <c r="E8490" s="1" t="s">
        <v>6</v>
      </c>
      <c r="F8490" s="1" t="s">
        <v>5091</v>
      </c>
      <c r="G8490" s="22" t="s">
        <v>6181</v>
      </c>
      <c r="H8490" s="2" t="s">
        <v>118</v>
      </c>
      <c r="I8490" s="1" t="s">
        <v>4458</v>
      </c>
    </row>
    <row r="8491" spans="1:10">
      <c r="A8491" s="7" t="s">
        <v>6300</v>
      </c>
      <c r="B8491" s="2" t="s">
        <v>2628</v>
      </c>
      <c r="C8491" s="1">
        <v>7</v>
      </c>
      <c r="D8491" s="1" t="s">
        <v>101</v>
      </c>
      <c r="E8491" s="1" t="s">
        <v>6</v>
      </c>
      <c r="F8491" s="1" t="s">
        <v>5091</v>
      </c>
      <c r="G8491" s="22" t="s">
        <v>6181</v>
      </c>
      <c r="H8491" s="2" t="s">
        <v>118</v>
      </c>
      <c r="I8491" s="1" t="s">
        <v>4458</v>
      </c>
    </row>
    <row r="8492" spans="1:10">
      <c r="A8492" s="7" t="s">
        <v>6301</v>
      </c>
      <c r="B8492" s="2" t="s">
        <v>2628</v>
      </c>
      <c r="C8492" s="1">
        <v>7</v>
      </c>
      <c r="D8492" s="1" t="s">
        <v>101</v>
      </c>
      <c r="E8492" s="1" t="s">
        <v>6</v>
      </c>
      <c r="F8492" s="1" t="s">
        <v>5091</v>
      </c>
      <c r="G8492" s="22" t="s">
        <v>6181</v>
      </c>
      <c r="H8492" s="2" t="s">
        <v>118</v>
      </c>
      <c r="I8492" s="1" t="s">
        <v>4458</v>
      </c>
    </row>
    <row r="8493" spans="1:10">
      <c r="A8493" s="7" t="s">
        <v>6302</v>
      </c>
      <c r="B8493" s="2" t="s">
        <v>2628</v>
      </c>
      <c r="C8493" s="1">
        <v>7</v>
      </c>
      <c r="D8493" s="1" t="s">
        <v>101</v>
      </c>
      <c r="E8493" s="1" t="s">
        <v>6</v>
      </c>
      <c r="F8493" s="1" t="s">
        <v>5091</v>
      </c>
      <c r="G8493" s="22" t="s">
        <v>6181</v>
      </c>
      <c r="H8493" s="2" t="s">
        <v>118</v>
      </c>
      <c r="I8493" s="1" t="s">
        <v>4458</v>
      </c>
    </row>
    <row r="8494" spans="1:10">
      <c r="A8494" s="7" t="s">
        <v>6303</v>
      </c>
      <c r="B8494" s="2" t="s">
        <v>2628</v>
      </c>
      <c r="C8494" s="1">
        <v>7</v>
      </c>
      <c r="D8494" s="1" t="s">
        <v>101</v>
      </c>
      <c r="E8494" s="1" t="s">
        <v>6</v>
      </c>
      <c r="F8494" s="1" t="s">
        <v>5091</v>
      </c>
      <c r="G8494" s="22" t="s">
        <v>6181</v>
      </c>
      <c r="H8494" s="2" t="s">
        <v>118</v>
      </c>
      <c r="I8494" s="1" t="s">
        <v>4458</v>
      </c>
    </row>
    <row r="8495" spans="1:10">
      <c r="A8495" s="7" t="s">
        <v>6304</v>
      </c>
      <c r="B8495" s="2" t="s">
        <v>2628</v>
      </c>
      <c r="C8495" s="1">
        <v>7</v>
      </c>
      <c r="D8495" s="1" t="s">
        <v>101</v>
      </c>
      <c r="E8495" s="1" t="s">
        <v>6</v>
      </c>
      <c r="F8495" s="1" t="s">
        <v>5091</v>
      </c>
      <c r="G8495" s="22" t="s">
        <v>6181</v>
      </c>
      <c r="H8495" s="2" t="s">
        <v>118</v>
      </c>
      <c r="I8495" s="1" t="s">
        <v>4458</v>
      </c>
    </row>
    <row r="8496" spans="1:10">
      <c r="A8496" s="7" t="s">
        <v>6305</v>
      </c>
      <c r="B8496" s="2" t="s">
        <v>2628</v>
      </c>
      <c r="C8496" s="1">
        <v>7</v>
      </c>
      <c r="D8496" s="1" t="s">
        <v>101</v>
      </c>
      <c r="E8496" s="1" t="s">
        <v>6</v>
      </c>
      <c r="F8496" s="1" t="s">
        <v>5091</v>
      </c>
      <c r="G8496" s="22" t="s">
        <v>6181</v>
      </c>
      <c r="H8496" s="2" t="s">
        <v>118</v>
      </c>
      <c r="I8496" s="1" t="s">
        <v>4458</v>
      </c>
    </row>
    <row r="8497" spans="1:10">
      <c r="A8497" s="16" t="s">
        <v>6309</v>
      </c>
      <c r="B8497" s="1" t="s">
        <v>2628</v>
      </c>
      <c r="C8497" s="1">
        <v>7</v>
      </c>
      <c r="D8497" s="1" t="s">
        <v>101</v>
      </c>
      <c r="E8497" s="1" t="s">
        <v>6</v>
      </c>
      <c r="F8497" s="1" t="s">
        <v>5091</v>
      </c>
      <c r="G8497" s="14" t="s">
        <v>4458</v>
      </c>
      <c r="H8497" s="1" t="s">
        <v>118</v>
      </c>
      <c r="I8497" s="1" t="s">
        <v>4458</v>
      </c>
    </row>
    <row r="8498" spans="1:10">
      <c r="A8498" s="7" t="s">
        <v>6310</v>
      </c>
      <c r="B8498" s="2" t="s">
        <v>2628</v>
      </c>
      <c r="C8498" s="1">
        <v>7</v>
      </c>
      <c r="D8498" s="1" t="s">
        <v>101</v>
      </c>
      <c r="E8498" s="1" t="s">
        <v>6</v>
      </c>
      <c r="F8498" s="1" t="s">
        <v>5091</v>
      </c>
      <c r="G8498" s="22" t="s">
        <v>6181</v>
      </c>
      <c r="H8498" s="2" t="s">
        <v>118</v>
      </c>
      <c r="I8498" s="1" t="s">
        <v>4458</v>
      </c>
    </row>
    <row r="8499" spans="1:10">
      <c r="A8499" s="7" t="s">
        <v>6328</v>
      </c>
      <c r="B8499" s="2" t="s">
        <v>2628</v>
      </c>
      <c r="C8499" s="1">
        <v>7</v>
      </c>
      <c r="D8499" s="1" t="s">
        <v>101</v>
      </c>
      <c r="E8499" s="1" t="s">
        <v>6</v>
      </c>
      <c r="F8499" s="1" t="s">
        <v>5091</v>
      </c>
      <c r="G8499" s="22" t="s">
        <v>6181</v>
      </c>
      <c r="H8499" s="2" t="s">
        <v>118</v>
      </c>
      <c r="I8499" s="1" t="s">
        <v>4458</v>
      </c>
    </row>
    <row r="8500" spans="1:10">
      <c r="A8500" s="7" t="s">
        <v>6329</v>
      </c>
      <c r="B8500" s="2" t="s">
        <v>2628</v>
      </c>
      <c r="C8500" s="1">
        <v>7</v>
      </c>
      <c r="D8500" s="1" t="s">
        <v>101</v>
      </c>
      <c r="E8500" s="1" t="s">
        <v>6</v>
      </c>
      <c r="F8500" s="1" t="s">
        <v>5091</v>
      </c>
      <c r="G8500" s="22" t="s">
        <v>6181</v>
      </c>
      <c r="H8500" s="2" t="s">
        <v>118</v>
      </c>
      <c r="I8500" s="1" t="s">
        <v>4458</v>
      </c>
    </row>
    <row r="8501" spans="1:10">
      <c r="A8501" s="7" t="s">
        <v>6330</v>
      </c>
      <c r="B8501" s="2" t="s">
        <v>2628</v>
      </c>
      <c r="C8501" s="1">
        <v>7</v>
      </c>
      <c r="D8501" s="1" t="s">
        <v>101</v>
      </c>
      <c r="E8501" s="1" t="s">
        <v>6</v>
      </c>
      <c r="F8501" s="1" t="s">
        <v>5091</v>
      </c>
      <c r="G8501" s="22" t="s">
        <v>6181</v>
      </c>
      <c r="H8501" s="2" t="s">
        <v>118</v>
      </c>
      <c r="I8501" s="1" t="s">
        <v>4458</v>
      </c>
    </row>
    <row r="8502" spans="1:10">
      <c r="A8502" s="7" t="s">
        <v>6331</v>
      </c>
      <c r="B8502" s="2" t="s">
        <v>2628</v>
      </c>
      <c r="C8502" s="1">
        <v>7</v>
      </c>
      <c r="D8502" s="1" t="s">
        <v>101</v>
      </c>
      <c r="E8502" s="1" t="s">
        <v>6</v>
      </c>
      <c r="F8502" s="1" t="s">
        <v>5091</v>
      </c>
      <c r="G8502" s="22" t="s">
        <v>6181</v>
      </c>
      <c r="H8502" s="2" t="s">
        <v>118</v>
      </c>
      <c r="I8502" s="1" t="s">
        <v>4458</v>
      </c>
    </row>
    <row r="8503" spans="1:10">
      <c r="A8503" s="7" t="s">
        <v>6332</v>
      </c>
      <c r="B8503" s="2" t="s">
        <v>2628</v>
      </c>
      <c r="C8503" s="1">
        <v>7</v>
      </c>
      <c r="D8503" s="1" t="s">
        <v>101</v>
      </c>
      <c r="E8503" s="1" t="s">
        <v>6</v>
      </c>
      <c r="F8503" s="1" t="s">
        <v>5091</v>
      </c>
      <c r="G8503" s="22" t="s">
        <v>6181</v>
      </c>
      <c r="H8503" s="2" t="s">
        <v>118</v>
      </c>
      <c r="I8503" s="1" t="s">
        <v>4458</v>
      </c>
    </row>
    <row r="8504" spans="1:10">
      <c r="A8504" s="7" t="s">
        <v>6333</v>
      </c>
      <c r="B8504" s="2" t="s">
        <v>2628</v>
      </c>
      <c r="C8504" s="1">
        <v>7</v>
      </c>
      <c r="D8504" s="1" t="s">
        <v>101</v>
      </c>
      <c r="E8504" s="1" t="s">
        <v>6</v>
      </c>
      <c r="F8504" s="1" t="s">
        <v>5091</v>
      </c>
      <c r="G8504" s="22" t="s">
        <v>6181</v>
      </c>
      <c r="H8504" s="2" t="s">
        <v>118</v>
      </c>
      <c r="I8504" s="1" t="s">
        <v>4458</v>
      </c>
    </row>
    <row r="8505" spans="1:10">
      <c r="A8505" s="7" t="s">
        <v>6334</v>
      </c>
      <c r="B8505" s="2" t="s">
        <v>2628</v>
      </c>
      <c r="C8505" s="1">
        <v>7</v>
      </c>
      <c r="D8505" s="1" t="s">
        <v>101</v>
      </c>
      <c r="E8505" s="1" t="s">
        <v>6</v>
      </c>
      <c r="F8505" s="1" t="s">
        <v>5091</v>
      </c>
      <c r="G8505" s="22" t="s">
        <v>6181</v>
      </c>
      <c r="H8505" s="2" t="s">
        <v>118</v>
      </c>
      <c r="I8505" s="1" t="s">
        <v>4458</v>
      </c>
    </row>
    <row r="8506" spans="1:10">
      <c r="A8506" s="7" t="s">
        <v>6335</v>
      </c>
      <c r="B8506" s="2" t="s">
        <v>2628</v>
      </c>
      <c r="C8506" s="1">
        <v>7</v>
      </c>
      <c r="D8506" s="1" t="s">
        <v>101</v>
      </c>
      <c r="E8506" s="1" t="s">
        <v>6</v>
      </c>
      <c r="F8506" s="1" t="s">
        <v>5091</v>
      </c>
      <c r="G8506" s="22" t="s">
        <v>6181</v>
      </c>
      <c r="H8506" s="2" t="s">
        <v>118</v>
      </c>
      <c r="I8506" s="1" t="s">
        <v>4458</v>
      </c>
    </row>
    <row r="8507" spans="1:10">
      <c r="A8507" s="7" t="s">
        <v>6336</v>
      </c>
      <c r="B8507" s="2" t="s">
        <v>2628</v>
      </c>
      <c r="C8507" s="1">
        <v>7</v>
      </c>
      <c r="D8507" s="1" t="s">
        <v>101</v>
      </c>
      <c r="E8507" s="1" t="s">
        <v>6</v>
      </c>
      <c r="F8507" s="1" t="s">
        <v>5091</v>
      </c>
      <c r="G8507" s="22" t="s">
        <v>6181</v>
      </c>
      <c r="H8507" s="2" t="s">
        <v>118</v>
      </c>
      <c r="I8507" s="1" t="s">
        <v>4458</v>
      </c>
    </row>
    <row r="8508" spans="1:10">
      <c r="A8508" s="7" t="s">
        <v>6337</v>
      </c>
      <c r="B8508" s="2" t="s">
        <v>2628</v>
      </c>
      <c r="C8508" s="1">
        <v>7</v>
      </c>
      <c r="D8508" s="1" t="s">
        <v>101</v>
      </c>
      <c r="E8508" s="1" t="s">
        <v>6</v>
      </c>
      <c r="F8508" s="1" t="s">
        <v>5091</v>
      </c>
      <c r="G8508" s="22" t="s">
        <v>6181</v>
      </c>
      <c r="H8508" s="2" t="s">
        <v>118</v>
      </c>
      <c r="I8508" s="1" t="s">
        <v>4458</v>
      </c>
    </row>
    <row r="8509" spans="1:10" s="11" customFormat="1">
      <c r="A8509" s="7" t="s">
        <v>6338</v>
      </c>
      <c r="B8509" s="2" t="s">
        <v>2628</v>
      </c>
      <c r="C8509" s="1">
        <v>7</v>
      </c>
      <c r="D8509" s="1" t="s">
        <v>101</v>
      </c>
      <c r="E8509" s="1" t="s">
        <v>6</v>
      </c>
      <c r="F8509" s="1" t="s">
        <v>5091</v>
      </c>
      <c r="G8509" s="22" t="s">
        <v>6181</v>
      </c>
      <c r="H8509" s="2" t="s">
        <v>118</v>
      </c>
      <c r="I8509" s="1" t="s">
        <v>4458</v>
      </c>
      <c r="J8509"/>
    </row>
    <row r="8510" spans="1:10" s="11" customFormat="1">
      <c r="A8510" s="7" t="s">
        <v>6339</v>
      </c>
      <c r="B8510" s="2" t="s">
        <v>2628</v>
      </c>
      <c r="C8510" s="1">
        <v>7</v>
      </c>
      <c r="D8510" s="1" t="s">
        <v>101</v>
      </c>
      <c r="E8510" s="1" t="s">
        <v>6</v>
      </c>
      <c r="F8510" s="1" t="s">
        <v>5091</v>
      </c>
      <c r="G8510" s="22" t="s">
        <v>6181</v>
      </c>
      <c r="H8510" s="2" t="s">
        <v>118</v>
      </c>
      <c r="I8510" s="1" t="s">
        <v>4458</v>
      </c>
      <c r="J8510"/>
    </row>
    <row r="8511" spans="1:10">
      <c r="A8511" s="7" t="s">
        <v>6340</v>
      </c>
      <c r="B8511" s="2" t="s">
        <v>2628</v>
      </c>
      <c r="C8511" s="1">
        <v>7</v>
      </c>
      <c r="D8511" s="1" t="s">
        <v>101</v>
      </c>
      <c r="E8511" s="1" t="s">
        <v>6</v>
      </c>
      <c r="F8511" s="1" t="s">
        <v>5091</v>
      </c>
      <c r="G8511" s="22" t="s">
        <v>6181</v>
      </c>
      <c r="H8511" s="2" t="s">
        <v>118</v>
      </c>
      <c r="I8511" s="1" t="s">
        <v>4458</v>
      </c>
    </row>
    <row r="8512" spans="1:10">
      <c r="A8512" s="7" t="s">
        <v>6341</v>
      </c>
      <c r="B8512" s="2" t="s">
        <v>2628</v>
      </c>
      <c r="C8512" s="1">
        <v>7</v>
      </c>
      <c r="D8512" s="1" t="s">
        <v>101</v>
      </c>
      <c r="E8512" s="1" t="s">
        <v>6</v>
      </c>
      <c r="F8512" s="1" t="s">
        <v>5091</v>
      </c>
      <c r="G8512" s="22" t="s">
        <v>6181</v>
      </c>
      <c r="H8512" s="2" t="s">
        <v>118</v>
      </c>
      <c r="I8512" s="1" t="s">
        <v>4458</v>
      </c>
    </row>
    <row r="8513" spans="1:10">
      <c r="A8513" s="7" t="s">
        <v>6342</v>
      </c>
      <c r="B8513" s="2" t="s">
        <v>2628</v>
      </c>
      <c r="C8513" s="1">
        <v>7</v>
      </c>
      <c r="D8513" s="1" t="s">
        <v>101</v>
      </c>
      <c r="E8513" s="1" t="s">
        <v>6</v>
      </c>
      <c r="F8513" s="1" t="s">
        <v>5091</v>
      </c>
      <c r="G8513" s="22" t="s">
        <v>6181</v>
      </c>
      <c r="H8513" s="2" t="s">
        <v>118</v>
      </c>
      <c r="I8513" s="1" t="s">
        <v>4458</v>
      </c>
    </row>
    <row r="8514" spans="1:10">
      <c r="A8514" s="7" t="s">
        <v>6343</v>
      </c>
      <c r="B8514" s="2" t="s">
        <v>2628</v>
      </c>
      <c r="C8514" s="1">
        <v>7</v>
      </c>
      <c r="D8514" s="1" t="s">
        <v>101</v>
      </c>
      <c r="E8514" s="1" t="s">
        <v>6</v>
      </c>
      <c r="F8514" s="1" t="s">
        <v>5091</v>
      </c>
      <c r="G8514" s="22" t="s">
        <v>6181</v>
      </c>
      <c r="H8514" s="2" t="s">
        <v>118</v>
      </c>
      <c r="I8514" s="1" t="s">
        <v>4458</v>
      </c>
    </row>
    <row r="8515" spans="1:10">
      <c r="A8515" s="7" t="s">
        <v>6344</v>
      </c>
      <c r="B8515" s="2" t="s">
        <v>2628</v>
      </c>
      <c r="C8515" s="1">
        <v>7</v>
      </c>
      <c r="D8515" s="1" t="s">
        <v>101</v>
      </c>
      <c r="E8515" s="1" t="s">
        <v>6</v>
      </c>
      <c r="F8515" s="1" t="s">
        <v>5091</v>
      </c>
      <c r="G8515" s="22" t="s">
        <v>6181</v>
      </c>
      <c r="H8515" s="2" t="s">
        <v>118</v>
      </c>
      <c r="I8515" s="1" t="s">
        <v>4458</v>
      </c>
    </row>
    <row r="8516" spans="1:10">
      <c r="A8516" s="7" t="s">
        <v>6345</v>
      </c>
      <c r="B8516" s="2" t="s">
        <v>2628</v>
      </c>
      <c r="C8516" s="1">
        <v>7</v>
      </c>
      <c r="D8516" s="1" t="s">
        <v>101</v>
      </c>
      <c r="E8516" s="1" t="s">
        <v>6</v>
      </c>
      <c r="F8516" s="1" t="s">
        <v>5091</v>
      </c>
      <c r="G8516" s="22" t="s">
        <v>6181</v>
      </c>
      <c r="H8516" s="2" t="s">
        <v>118</v>
      </c>
      <c r="I8516" s="1" t="s">
        <v>4458</v>
      </c>
    </row>
    <row r="8517" spans="1:10">
      <c r="A8517" s="7" t="s">
        <v>6346</v>
      </c>
      <c r="B8517" s="2" t="s">
        <v>2628</v>
      </c>
      <c r="C8517" s="1">
        <v>7</v>
      </c>
      <c r="D8517" s="1" t="s">
        <v>101</v>
      </c>
      <c r="E8517" s="1" t="s">
        <v>6</v>
      </c>
      <c r="F8517" s="1" t="s">
        <v>5091</v>
      </c>
      <c r="G8517" s="22" t="s">
        <v>6181</v>
      </c>
      <c r="H8517" s="2" t="s">
        <v>118</v>
      </c>
      <c r="I8517" s="1" t="s">
        <v>4458</v>
      </c>
    </row>
    <row r="8518" spans="1:10">
      <c r="A8518" s="7" t="s">
        <v>6347</v>
      </c>
      <c r="B8518" s="2" t="s">
        <v>2628</v>
      </c>
      <c r="C8518" s="1">
        <v>7</v>
      </c>
      <c r="D8518" s="1" t="s">
        <v>101</v>
      </c>
      <c r="E8518" s="1" t="s">
        <v>6</v>
      </c>
      <c r="F8518" s="1" t="s">
        <v>5091</v>
      </c>
      <c r="G8518" s="22" t="s">
        <v>6181</v>
      </c>
      <c r="H8518" s="2" t="s">
        <v>118</v>
      </c>
      <c r="I8518" s="1" t="s">
        <v>4458</v>
      </c>
    </row>
    <row r="8519" spans="1:10">
      <c r="A8519" s="7" t="s">
        <v>6348</v>
      </c>
      <c r="B8519" s="2" t="s">
        <v>2628</v>
      </c>
      <c r="C8519" s="1">
        <v>7</v>
      </c>
      <c r="D8519" s="1" t="s">
        <v>101</v>
      </c>
      <c r="E8519" s="1" t="s">
        <v>6</v>
      </c>
      <c r="F8519" s="1" t="s">
        <v>5091</v>
      </c>
      <c r="G8519" s="22" t="s">
        <v>6181</v>
      </c>
      <c r="H8519" s="2" t="s">
        <v>118</v>
      </c>
      <c r="I8519" s="1" t="s">
        <v>4458</v>
      </c>
    </row>
    <row r="8520" spans="1:10">
      <c r="A8520" s="7" t="s">
        <v>6349</v>
      </c>
      <c r="B8520" s="2" t="s">
        <v>2628</v>
      </c>
      <c r="C8520" s="1">
        <v>7</v>
      </c>
      <c r="D8520" s="1" t="s">
        <v>101</v>
      </c>
      <c r="E8520" s="1" t="s">
        <v>6</v>
      </c>
      <c r="F8520" s="1" t="s">
        <v>5091</v>
      </c>
      <c r="G8520" s="22" t="s">
        <v>6181</v>
      </c>
      <c r="H8520" s="2" t="s">
        <v>118</v>
      </c>
      <c r="I8520" s="1" t="s">
        <v>4458</v>
      </c>
    </row>
    <row r="8521" spans="1:10">
      <c r="A8521" s="7" t="s">
        <v>6350</v>
      </c>
      <c r="B8521" s="2" t="s">
        <v>2628</v>
      </c>
      <c r="C8521" s="1">
        <v>7</v>
      </c>
      <c r="D8521" s="1" t="s">
        <v>101</v>
      </c>
      <c r="E8521" s="1" t="s">
        <v>6</v>
      </c>
      <c r="F8521" s="1" t="s">
        <v>5091</v>
      </c>
      <c r="G8521" s="22" t="s">
        <v>6181</v>
      </c>
      <c r="H8521" s="2" t="s">
        <v>118</v>
      </c>
      <c r="I8521" s="1" t="s">
        <v>4458</v>
      </c>
    </row>
    <row r="8522" spans="1:10">
      <c r="A8522" s="7" t="s">
        <v>6351</v>
      </c>
      <c r="B8522" s="2" t="s">
        <v>2628</v>
      </c>
      <c r="C8522" s="1">
        <v>7</v>
      </c>
      <c r="D8522" s="1" t="s">
        <v>101</v>
      </c>
      <c r="E8522" s="1" t="s">
        <v>6</v>
      </c>
      <c r="F8522" s="1" t="s">
        <v>5091</v>
      </c>
      <c r="G8522" s="22" t="s">
        <v>6181</v>
      </c>
      <c r="H8522" s="2" t="s">
        <v>118</v>
      </c>
      <c r="I8522" s="1" t="s">
        <v>4458</v>
      </c>
    </row>
    <row r="8523" spans="1:10">
      <c r="A8523" s="7" t="s">
        <v>6352</v>
      </c>
      <c r="B8523" s="2" t="s">
        <v>2628</v>
      </c>
      <c r="C8523" s="1">
        <v>7</v>
      </c>
      <c r="D8523" s="1" t="s">
        <v>101</v>
      </c>
      <c r="E8523" s="1" t="s">
        <v>6</v>
      </c>
      <c r="F8523" s="1" t="s">
        <v>5091</v>
      </c>
      <c r="G8523" s="22" t="s">
        <v>6181</v>
      </c>
      <c r="H8523" s="2" t="s">
        <v>118</v>
      </c>
      <c r="I8523" s="1" t="s">
        <v>4458</v>
      </c>
    </row>
    <row r="8524" spans="1:10">
      <c r="A8524" s="7" t="s">
        <v>6353</v>
      </c>
      <c r="B8524" s="2" t="s">
        <v>2628</v>
      </c>
      <c r="C8524" s="1">
        <v>7</v>
      </c>
      <c r="D8524" s="1" t="s">
        <v>101</v>
      </c>
      <c r="E8524" s="1" t="s">
        <v>6</v>
      </c>
      <c r="F8524" s="1" t="s">
        <v>5091</v>
      </c>
      <c r="G8524" s="22" t="s">
        <v>6181</v>
      </c>
      <c r="H8524" s="2" t="s">
        <v>118</v>
      </c>
      <c r="I8524" s="1" t="s">
        <v>4458</v>
      </c>
    </row>
    <row r="8525" spans="1:10">
      <c r="A8525" s="7" t="s">
        <v>6354</v>
      </c>
      <c r="B8525" s="2" t="s">
        <v>2628</v>
      </c>
      <c r="C8525" s="1">
        <v>7</v>
      </c>
      <c r="D8525" s="1" t="s">
        <v>101</v>
      </c>
      <c r="E8525" s="1" t="s">
        <v>6</v>
      </c>
      <c r="F8525" s="1" t="s">
        <v>5091</v>
      </c>
      <c r="G8525" s="22" t="s">
        <v>6181</v>
      </c>
      <c r="H8525" s="2" t="s">
        <v>118</v>
      </c>
      <c r="I8525" s="1" t="s">
        <v>4458</v>
      </c>
    </row>
    <row r="8526" spans="1:10">
      <c r="A8526" s="7" t="s">
        <v>6355</v>
      </c>
      <c r="B8526" s="2" t="s">
        <v>2628</v>
      </c>
      <c r="C8526" s="1">
        <v>7</v>
      </c>
      <c r="D8526" s="1" t="s">
        <v>101</v>
      </c>
      <c r="E8526" s="1" t="s">
        <v>6</v>
      </c>
      <c r="F8526" s="1" t="s">
        <v>5091</v>
      </c>
      <c r="G8526" s="22" t="s">
        <v>6181</v>
      </c>
      <c r="H8526" s="2" t="s">
        <v>118</v>
      </c>
      <c r="I8526" s="1" t="s">
        <v>4458</v>
      </c>
    </row>
    <row r="8527" spans="1:10">
      <c r="A8527" s="7" t="s">
        <v>6357</v>
      </c>
      <c r="B8527" s="2" t="s">
        <v>2628</v>
      </c>
      <c r="C8527" s="1">
        <v>7</v>
      </c>
      <c r="D8527" s="1" t="s">
        <v>101</v>
      </c>
      <c r="E8527" s="1" t="s">
        <v>6</v>
      </c>
      <c r="F8527" s="1" t="s">
        <v>5091</v>
      </c>
      <c r="G8527" s="14" t="s">
        <v>6358</v>
      </c>
      <c r="H8527" s="1" t="s">
        <v>5</v>
      </c>
      <c r="I8527" s="1" t="s">
        <v>5807</v>
      </c>
      <c r="J8527" s="17"/>
    </row>
    <row r="8528" spans="1:10">
      <c r="A8528" s="7" t="s">
        <v>6359</v>
      </c>
      <c r="B8528" s="2" t="s">
        <v>2628</v>
      </c>
      <c r="C8528" s="1">
        <v>7</v>
      </c>
      <c r="D8528" s="1" t="s">
        <v>101</v>
      </c>
      <c r="E8528" s="1" t="s">
        <v>6</v>
      </c>
      <c r="F8528" s="1" t="s">
        <v>5091</v>
      </c>
      <c r="G8528" s="14" t="s">
        <v>6358</v>
      </c>
      <c r="H8528" s="1" t="s">
        <v>5</v>
      </c>
      <c r="I8528" s="1" t="s">
        <v>5807</v>
      </c>
      <c r="J8528" s="17"/>
    </row>
    <row r="8529" spans="1:9">
      <c r="A8529" s="7" t="s">
        <v>6469</v>
      </c>
      <c r="B8529" s="1" t="s">
        <v>2628</v>
      </c>
      <c r="C8529" s="1">
        <v>7</v>
      </c>
      <c r="D8529" s="1" t="s">
        <v>101</v>
      </c>
      <c r="E8529" s="1" t="s">
        <v>6</v>
      </c>
      <c r="F8529" s="1" t="s">
        <v>5091</v>
      </c>
      <c r="G8529" s="1" t="s">
        <v>6450</v>
      </c>
      <c r="H8529" s="1" t="s">
        <v>43</v>
      </c>
      <c r="I8529" s="1" t="s">
        <v>5801</v>
      </c>
    </row>
    <row r="8530" spans="1:9">
      <c r="A8530" s="7" t="s">
        <v>6470</v>
      </c>
      <c r="B8530" s="1" t="s">
        <v>2628</v>
      </c>
      <c r="C8530" s="1">
        <v>7</v>
      </c>
      <c r="D8530" s="1" t="s">
        <v>101</v>
      </c>
      <c r="E8530" s="1" t="s">
        <v>6</v>
      </c>
      <c r="F8530" s="1" t="s">
        <v>5091</v>
      </c>
      <c r="G8530" s="1" t="s">
        <v>6450</v>
      </c>
      <c r="H8530" s="1" t="s">
        <v>43</v>
      </c>
      <c r="I8530" s="1" t="s">
        <v>5801</v>
      </c>
    </row>
    <row r="8531" spans="1:9">
      <c r="A8531" s="7" t="s">
        <v>6499</v>
      </c>
      <c r="B8531" s="1" t="s">
        <v>2628</v>
      </c>
      <c r="C8531" s="1">
        <v>7</v>
      </c>
      <c r="D8531" s="1" t="s">
        <v>101</v>
      </c>
      <c r="E8531" s="1" t="s">
        <v>6</v>
      </c>
      <c r="F8531" s="1" t="s">
        <v>5091</v>
      </c>
      <c r="G8531" s="1" t="s">
        <v>6450</v>
      </c>
      <c r="H8531" s="1" t="s">
        <v>43</v>
      </c>
      <c r="I8531" s="1" t="s">
        <v>5848</v>
      </c>
    </row>
    <row r="8532" spans="1:9">
      <c r="A8532" s="7" t="s">
        <v>6500</v>
      </c>
      <c r="B8532" s="1" t="s">
        <v>2628</v>
      </c>
      <c r="C8532" s="1">
        <v>7</v>
      </c>
      <c r="D8532" s="1" t="s">
        <v>101</v>
      </c>
      <c r="E8532" s="1" t="s">
        <v>6</v>
      </c>
      <c r="F8532" s="1" t="s">
        <v>5091</v>
      </c>
      <c r="G8532" s="1" t="s">
        <v>6450</v>
      </c>
      <c r="H8532" s="1" t="s">
        <v>43</v>
      </c>
      <c r="I8532" s="1" t="s">
        <v>5848</v>
      </c>
    </row>
    <row r="8533" spans="1:9">
      <c r="A8533" s="7" t="s">
        <v>6502</v>
      </c>
      <c r="B8533" s="1" t="s">
        <v>2628</v>
      </c>
      <c r="C8533" s="1">
        <v>7</v>
      </c>
      <c r="D8533" s="1" t="s">
        <v>101</v>
      </c>
      <c r="E8533" s="1" t="s">
        <v>6</v>
      </c>
      <c r="F8533" s="1" t="s">
        <v>5091</v>
      </c>
      <c r="G8533" s="1" t="s">
        <v>6450</v>
      </c>
      <c r="H8533" s="1" t="s">
        <v>43</v>
      </c>
      <c r="I8533" s="1" t="s">
        <v>5848</v>
      </c>
    </row>
    <row r="8534" spans="1:9">
      <c r="A8534" s="7" t="s">
        <v>6503</v>
      </c>
      <c r="B8534" s="1" t="s">
        <v>2628</v>
      </c>
      <c r="C8534" s="1">
        <v>7</v>
      </c>
      <c r="D8534" s="1" t="s">
        <v>101</v>
      </c>
      <c r="E8534" s="1" t="s">
        <v>6</v>
      </c>
      <c r="F8534" s="1" t="s">
        <v>5091</v>
      </c>
      <c r="G8534" s="1" t="s">
        <v>6450</v>
      </c>
      <c r="H8534" s="1" t="s">
        <v>43</v>
      </c>
      <c r="I8534" s="1" t="s">
        <v>5848</v>
      </c>
    </row>
    <row r="8535" spans="1:9">
      <c r="A8535" s="7" t="s">
        <v>6504</v>
      </c>
      <c r="B8535" s="1" t="s">
        <v>2628</v>
      </c>
      <c r="C8535" s="1">
        <v>7</v>
      </c>
      <c r="D8535" s="1" t="s">
        <v>101</v>
      </c>
      <c r="E8535" s="1" t="s">
        <v>6</v>
      </c>
      <c r="F8535" s="1" t="s">
        <v>5091</v>
      </c>
      <c r="G8535" s="1" t="s">
        <v>6450</v>
      </c>
      <c r="H8535" s="1" t="s">
        <v>43</v>
      </c>
      <c r="I8535" s="1" t="s">
        <v>5848</v>
      </c>
    </row>
    <row r="8536" spans="1:9">
      <c r="A8536" s="7" t="s">
        <v>6508</v>
      </c>
      <c r="B8536" s="1" t="s">
        <v>2628</v>
      </c>
      <c r="C8536" s="1">
        <v>7</v>
      </c>
      <c r="D8536" s="1" t="s">
        <v>101</v>
      </c>
      <c r="E8536" s="1" t="s">
        <v>6</v>
      </c>
      <c r="F8536" s="1" t="s">
        <v>5091</v>
      </c>
      <c r="G8536" s="1" t="s">
        <v>6450</v>
      </c>
      <c r="H8536" s="1" t="s">
        <v>43</v>
      </c>
      <c r="I8536" s="1" t="s">
        <v>5848</v>
      </c>
    </row>
    <row r="8537" spans="1:9">
      <c r="A8537" s="7" t="s">
        <v>6509</v>
      </c>
      <c r="B8537" s="1" t="s">
        <v>2628</v>
      </c>
      <c r="C8537" s="1">
        <v>7</v>
      </c>
      <c r="D8537" s="1" t="s">
        <v>101</v>
      </c>
      <c r="E8537" s="1" t="s">
        <v>6</v>
      </c>
      <c r="F8537" s="1" t="s">
        <v>5091</v>
      </c>
      <c r="G8537" s="1" t="s">
        <v>6450</v>
      </c>
      <c r="H8537" s="1" t="s">
        <v>43</v>
      </c>
      <c r="I8537" s="1" t="s">
        <v>5848</v>
      </c>
    </row>
    <row r="8538" spans="1:9">
      <c r="A8538" s="7" t="s">
        <v>6510</v>
      </c>
      <c r="B8538" s="1" t="s">
        <v>2628</v>
      </c>
      <c r="C8538" s="1">
        <v>7</v>
      </c>
      <c r="D8538" s="1" t="s">
        <v>101</v>
      </c>
      <c r="E8538" s="1" t="s">
        <v>6</v>
      </c>
      <c r="F8538" s="1" t="s">
        <v>5091</v>
      </c>
      <c r="G8538" s="1" t="s">
        <v>6450</v>
      </c>
      <c r="H8538" s="1" t="s">
        <v>43</v>
      </c>
      <c r="I8538" s="1" t="s">
        <v>5848</v>
      </c>
    </row>
    <row r="8539" spans="1:9">
      <c r="A8539" s="7" t="s">
        <v>6513</v>
      </c>
      <c r="B8539" s="1" t="s">
        <v>2628</v>
      </c>
      <c r="C8539" s="1">
        <v>7</v>
      </c>
      <c r="D8539" s="1" t="s">
        <v>101</v>
      </c>
      <c r="E8539" s="1" t="s">
        <v>6</v>
      </c>
      <c r="F8539" s="1" t="s">
        <v>5091</v>
      </c>
      <c r="G8539" s="1" t="s">
        <v>6450</v>
      </c>
      <c r="H8539" s="1" t="s">
        <v>43</v>
      </c>
      <c r="I8539" s="1" t="s">
        <v>5848</v>
      </c>
    </row>
    <row r="8540" spans="1:9">
      <c r="A8540" s="7" t="s">
        <v>6514</v>
      </c>
      <c r="B8540" s="1" t="s">
        <v>2628</v>
      </c>
      <c r="C8540" s="1">
        <v>7</v>
      </c>
      <c r="D8540" s="1" t="s">
        <v>101</v>
      </c>
      <c r="E8540" s="1" t="s">
        <v>6</v>
      </c>
      <c r="F8540" s="1" t="s">
        <v>5091</v>
      </c>
      <c r="G8540" s="1" t="s">
        <v>6450</v>
      </c>
      <c r="H8540" s="1" t="s">
        <v>43</v>
      </c>
      <c r="I8540" s="1" t="s">
        <v>5848</v>
      </c>
    </row>
    <row r="8541" spans="1:9">
      <c r="A8541" s="7" t="s">
        <v>6518</v>
      </c>
      <c r="B8541" s="1" t="s">
        <v>2628</v>
      </c>
      <c r="C8541" s="1">
        <v>7</v>
      </c>
      <c r="D8541" s="1" t="s">
        <v>101</v>
      </c>
      <c r="E8541" s="1" t="s">
        <v>6</v>
      </c>
      <c r="F8541" s="1" t="s">
        <v>5091</v>
      </c>
      <c r="G8541" s="1" t="s">
        <v>6450</v>
      </c>
      <c r="H8541" s="1" t="s">
        <v>43</v>
      </c>
      <c r="I8541" s="1" t="s">
        <v>5848</v>
      </c>
    </row>
    <row r="8542" spans="1:9">
      <c r="A8542" s="7" t="s">
        <v>6535</v>
      </c>
      <c r="B8542" s="1" t="s">
        <v>2628</v>
      </c>
      <c r="C8542" s="1">
        <v>7</v>
      </c>
      <c r="D8542" s="1" t="s">
        <v>101</v>
      </c>
      <c r="E8542" s="1" t="s">
        <v>6</v>
      </c>
      <c r="F8542" s="1" t="s">
        <v>5091</v>
      </c>
      <c r="G8542" s="1" t="s">
        <v>6536</v>
      </c>
      <c r="H8542" s="1" t="s">
        <v>43</v>
      </c>
      <c r="I8542" s="1" t="s">
        <v>5483</v>
      </c>
    </row>
    <row r="8543" spans="1:9">
      <c r="A8543" s="7" t="s">
        <v>6538</v>
      </c>
      <c r="B8543" s="1" t="s">
        <v>2628</v>
      </c>
      <c r="C8543" s="1">
        <v>7</v>
      </c>
      <c r="D8543" s="1" t="s">
        <v>101</v>
      </c>
      <c r="E8543" s="1" t="s">
        <v>6</v>
      </c>
      <c r="F8543" s="1" t="s">
        <v>5091</v>
      </c>
      <c r="G8543" s="1" t="s">
        <v>6536</v>
      </c>
      <c r="H8543" s="1" t="s">
        <v>43</v>
      </c>
      <c r="I8543" s="1" t="s">
        <v>5483</v>
      </c>
    </row>
    <row r="8544" spans="1:9">
      <c r="A8544" s="7" t="s">
        <v>6582</v>
      </c>
      <c r="B8544" s="1" t="s">
        <v>2628</v>
      </c>
      <c r="C8544" s="1">
        <v>7</v>
      </c>
      <c r="D8544" s="1" t="s">
        <v>101</v>
      </c>
      <c r="E8544" s="1" t="s">
        <v>6</v>
      </c>
      <c r="F8544" s="1" t="s">
        <v>5091</v>
      </c>
      <c r="G8544" s="1" t="s">
        <v>6536</v>
      </c>
      <c r="H8544" s="1" t="s">
        <v>43</v>
      </c>
      <c r="I8544" s="1" t="s">
        <v>5848</v>
      </c>
    </row>
    <row r="8545" spans="1:9">
      <c r="A8545" s="16" t="s">
        <v>6597</v>
      </c>
      <c r="B8545" s="1" t="s">
        <v>2628</v>
      </c>
      <c r="C8545" s="1">
        <v>7</v>
      </c>
      <c r="D8545" s="1" t="s">
        <v>101</v>
      </c>
      <c r="E8545" s="1" t="s">
        <v>6</v>
      </c>
      <c r="F8545" s="1" t="s">
        <v>5091</v>
      </c>
      <c r="G8545" s="14" t="s">
        <v>4458</v>
      </c>
      <c r="H8545" s="1" t="s">
        <v>118</v>
      </c>
      <c r="I8545" s="1" t="s">
        <v>4458</v>
      </c>
    </row>
    <row r="8546" spans="1:9">
      <c r="A8546" s="7" t="s">
        <v>6618</v>
      </c>
      <c r="B8546" s="1" t="s">
        <v>2628</v>
      </c>
      <c r="C8546" s="1">
        <v>7</v>
      </c>
      <c r="D8546" s="1" t="s">
        <v>101</v>
      </c>
      <c r="E8546" s="1" t="s">
        <v>6</v>
      </c>
      <c r="F8546" s="1" t="s">
        <v>5091</v>
      </c>
      <c r="G8546" s="1" t="s">
        <v>6536</v>
      </c>
      <c r="H8546" s="1" t="s">
        <v>43</v>
      </c>
      <c r="I8546" s="1" t="s">
        <v>5483</v>
      </c>
    </row>
    <row r="8547" spans="1:9">
      <c r="A8547" s="7" t="s">
        <v>6620</v>
      </c>
      <c r="B8547" s="1" t="s">
        <v>2628</v>
      </c>
      <c r="C8547" s="1">
        <v>7</v>
      </c>
      <c r="D8547" s="1" t="s">
        <v>101</v>
      </c>
      <c r="E8547" s="1" t="s">
        <v>6</v>
      </c>
      <c r="F8547" s="1" t="s">
        <v>5091</v>
      </c>
      <c r="G8547" s="1" t="s">
        <v>6181</v>
      </c>
      <c r="H8547" s="1" t="s">
        <v>118</v>
      </c>
      <c r="I8547" s="1" t="s">
        <v>4458</v>
      </c>
    </row>
    <row r="8548" spans="1:9">
      <c r="A8548" s="7" t="s">
        <v>6694</v>
      </c>
      <c r="B8548" s="1" t="s">
        <v>2628</v>
      </c>
      <c r="C8548" s="1">
        <v>7</v>
      </c>
      <c r="D8548" s="1" t="s">
        <v>101</v>
      </c>
      <c r="E8548" s="1" t="s">
        <v>6</v>
      </c>
      <c r="F8548" s="1" t="s">
        <v>5091</v>
      </c>
      <c r="G8548" s="1" t="s">
        <v>6695</v>
      </c>
      <c r="H8548" s="1" t="s">
        <v>43</v>
      </c>
      <c r="I8548" s="1" t="s">
        <v>5807</v>
      </c>
    </row>
    <row r="8549" spans="1:9">
      <c r="A8549" s="7" t="s">
        <v>6698</v>
      </c>
      <c r="B8549" s="1" t="s">
        <v>2628</v>
      </c>
      <c r="C8549" s="1">
        <v>7</v>
      </c>
      <c r="D8549" s="1" t="s">
        <v>101</v>
      </c>
      <c r="E8549" s="1" t="s">
        <v>6</v>
      </c>
      <c r="F8549" s="1" t="s">
        <v>5091</v>
      </c>
      <c r="G8549" s="1" t="s">
        <v>6699</v>
      </c>
      <c r="H8549" s="1" t="s">
        <v>44</v>
      </c>
      <c r="I8549" s="1" t="s">
        <v>5807</v>
      </c>
    </row>
    <row r="8550" spans="1:9">
      <c r="A8550" s="7" t="s">
        <v>6700</v>
      </c>
      <c r="B8550" s="1" t="s">
        <v>2628</v>
      </c>
      <c r="C8550" s="1">
        <v>7</v>
      </c>
      <c r="D8550" s="1" t="s">
        <v>101</v>
      </c>
      <c r="E8550" s="1" t="s">
        <v>6</v>
      </c>
      <c r="F8550" s="1" t="s">
        <v>5091</v>
      </c>
      <c r="G8550" s="1" t="s">
        <v>6695</v>
      </c>
      <c r="H8550" s="1" t="s">
        <v>43</v>
      </c>
      <c r="I8550" s="1" t="s">
        <v>5807</v>
      </c>
    </row>
    <row r="8551" spans="1:9">
      <c r="A8551" s="7" t="s">
        <v>6703</v>
      </c>
      <c r="B8551" s="1" t="s">
        <v>2628</v>
      </c>
      <c r="C8551" s="1">
        <v>7</v>
      </c>
      <c r="D8551" s="1" t="s">
        <v>101</v>
      </c>
      <c r="E8551" s="1" t="s">
        <v>6</v>
      </c>
      <c r="F8551" s="1" t="s">
        <v>5091</v>
      </c>
      <c r="G8551" s="1" t="s">
        <v>6695</v>
      </c>
      <c r="H8551" s="1" t="s">
        <v>43</v>
      </c>
      <c r="I8551" s="1" t="s">
        <v>5807</v>
      </c>
    </row>
    <row r="8552" spans="1:9">
      <c r="A8552" s="7" t="s">
        <v>6710</v>
      </c>
      <c r="B8552" s="1" t="s">
        <v>2628</v>
      </c>
      <c r="C8552" s="1">
        <v>7</v>
      </c>
      <c r="D8552" s="1" t="s">
        <v>101</v>
      </c>
      <c r="E8552" s="1" t="s">
        <v>6</v>
      </c>
      <c r="F8552" s="1" t="s">
        <v>5091</v>
      </c>
      <c r="G8552" s="1" t="s">
        <v>6181</v>
      </c>
      <c r="H8552" s="1" t="s">
        <v>118</v>
      </c>
      <c r="I8552" s="1" t="s">
        <v>5801</v>
      </c>
    </row>
    <row r="8553" spans="1:9">
      <c r="A8553" s="7" t="s">
        <v>6712</v>
      </c>
      <c r="B8553" s="1" t="s">
        <v>2628</v>
      </c>
      <c r="C8553" s="1">
        <v>7</v>
      </c>
      <c r="D8553" s="1" t="s">
        <v>101</v>
      </c>
      <c r="E8553" s="1" t="s">
        <v>6</v>
      </c>
      <c r="F8553" s="1" t="s">
        <v>5091</v>
      </c>
      <c r="G8553" s="1" t="s">
        <v>6139</v>
      </c>
      <c r="H8553" s="1" t="s">
        <v>43</v>
      </c>
      <c r="I8553" s="1" t="s">
        <v>5807</v>
      </c>
    </row>
    <row r="8554" spans="1:9">
      <c r="A8554" s="7" t="s">
        <v>6714</v>
      </c>
      <c r="B8554" s="1" t="s">
        <v>2628</v>
      </c>
      <c r="C8554" s="1">
        <v>7</v>
      </c>
      <c r="D8554" s="1" t="s">
        <v>101</v>
      </c>
      <c r="E8554" s="1" t="s">
        <v>6</v>
      </c>
      <c r="F8554" s="1" t="s">
        <v>5091</v>
      </c>
      <c r="G8554" s="1" t="s">
        <v>6139</v>
      </c>
      <c r="H8554" s="1" t="s">
        <v>43</v>
      </c>
      <c r="I8554" s="1" t="s">
        <v>5807</v>
      </c>
    </row>
    <row r="8555" spans="1:9">
      <c r="A8555" s="7" t="s">
        <v>6717</v>
      </c>
      <c r="B8555" s="1" t="s">
        <v>2628</v>
      </c>
      <c r="C8555" s="1">
        <v>7</v>
      </c>
      <c r="D8555" s="1" t="s">
        <v>101</v>
      </c>
      <c r="E8555" s="1" t="s">
        <v>6</v>
      </c>
      <c r="F8555" s="1" t="s">
        <v>5091</v>
      </c>
      <c r="G8555" s="1" t="s">
        <v>6139</v>
      </c>
      <c r="H8555" s="1" t="s">
        <v>43</v>
      </c>
      <c r="I8555" s="1" t="s">
        <v>5807</v>
      </c>
    </row>
    <row r="8556" spans="1:9">
      <c r="A8556" s="7" t="s">
        <v>6722</v>
      </c>
      <c r="B8556" s="1" t="s">
        <v>2628</v>
      </c>
      <c r="C8556" s="1">
        <v>7</v>
      </c>
      <c r="D8556" s="1" t="s">
        <v>101</v>
      </c>
      <c r="E8556" s="1" t="s">
        <v>6</v>
      </c>
      <c r="F8556" s="1" t="s">
        <v>5091</v>
      </c>
      <c r="G8556" s="1" t="s">
        <v>6139</v>
      </c>
      <c r="H8556" s="1" t="s">
        <v>43</v>
      </c>
      <c r="I8556" s="1" t="s">
        <v>5807</v>
      </c>
    </row>
    <row r="8557" spans="1:9">
      <c r="A8557" s="7" t="s">
        <v>6723</v>
      </c>
      <c r="B8557" s="1" t="s">
        <v>2628</v>
      </c>
      <c r="C8557" s="1">
        <v>7</v>
      </c>
      <c r="D8557" s="1" t="s">
        <v>101</v>
      </c>
      <c r="E8557" s="1" t="s">
        <v>6</v>
      </c>
      <c r="F8557" s="1" t="s">
        <v>5091</v>
      </c>
      <c r="G8557" s="1" t="s">
        <v>6139</v>
      </c>
      <c r="H8557" s="1" t="s">
        <v>43</v>
      </c>
      <c r="I8557" s="1" t="s">
        <v>5807</v>
      </c>
    </row>
    <row r="8558" spans="1:9">
      <c r="A8558" s="7" t="s">
        <v>6725</v>
      </c>
      <c r="B8558" s="1" t="s">
        <v>2628</v>
      </c>
      <c r="C8558" s="1">
        <v>7</v>
      </c>
      <c r="D8558" s="1" t="s">
        <v>101</v>
      </c>
      <c r="E8558" s="1" t="s">
        <v>6</v>
      </c>
      <c r="F8558" s="1" t="s">
        <v>5091</v>
      </c>
      <c r="G8558" s="1" t="s">
        <v>6139</v>
      </c>
      <c r="H8558" s="1" t="s">
        <v>43</v>
      </c>
      <c r="I8558" s="1" t="s">
        <v>5807</v>
      </c>
    </row>
    <row r="8559" spans="1:9">
      <c r="A8559" s="7" t="s">
        <v>6743</v>
      </c>
      <c r="B8559" s="1" t="s">
        <v>2628</v>
      </c>
      <c r="C8559" s="1">
        <v>7</v>
      </c>
      <c r="D8559" s="1" t="s">
        <v>101</v>
      </c>
      <c r="E8559" s="1" t="s">
        <v>6</v>
      </c>
      <c r="F8559" s="1" t="s">
        <v>5091</v>
      </c>
      <c r="G8559" s="1" t="s">
        <v>6536</v>
      </c>
      <c r="H8559" s="1" t="s">
        <v>43</v>
      </c>
      <c r="I8559" s="1" t="s">
        <v>5801</v>
      </c>
    </row>
    <row r="8560" spans="1:9">
      <c r="A8560" s="7" t="s">
        <v>6744</v>
      </c>
      <c r="B8560" s="1" t="s">
        <v>2628</v>
      </c>
      <c r="C8560" s="1">
        <v>7</v>
      </c>
      <c r="D8560" s="1" t="s">
        <v>101</v>
      </c>
      <c r="E8560" s="1" t="s">
        <v>6</v>
      </c>
      <c r="F8560" s="1" t="s">
        <v>5091</v>
      </c>
      <c r="G8560" s="1" t="s">
        <v>6536</v>
      </c>
      <c r="H8560" s="1" t="s">
        <v>43</v>
      </c>
      <c r="I8560" s="1" t="s">
        <v>5801</v>
      </c>
    </row>
    <row r="8561" spans="1:10">
      <c r="A8561" s="7" t="s">
        <v>6748</v>
      </c>
      <c r="B8561" s="1" t="s">
        <v>2628</v>
      </c>
      <c r="C8561" s="1">
        <v>7</v>
      </c>
      <c r="D8561" s="1" t="s">
        <v>101</v>
      </c>
      <c r="E8561" s="1" t="s">
        <v>6</v>
      </c>
      <c r="F8561" s="1" t="s">
        <v>5091</v>
      </c>
      <c r="G8561" s="1" t="s">
        <v>6536</v>
      </c>
      <c r="H8561" s="1" t="s">
        <v>43</v>
      </c>
      <c r="I8561" s="1" t="s">
        <v>5483</v>
      </c>
    </row>
    <row r="8562" spans="1:10">
      <c r="A8562" s="7" t="s">
        <v>6753</v>
      </c>
      <c r="B8562" s="1" t="s">
        <v>2628</v>
      </c>
      <c r="C8562" s="1">
        <v>7</v>
      </c>
      <c r="D8562" s="1" t="s">
        <v>101</v>
      </c>
      <c r="E8562" s="1" t="s">
        <v>6</v>
      </c>
      <c r="F8562" s="1" t="s">
        <v>5091</v>
      </c>
      <c r="G8562" s="1" t="s">
        <v>6536</v>
      </c>
      <c r="H8562" s="1" t="s">
        <v>43</v>
      </c>
      <c r="I8562" s="1" t="s">
        <v>5801</v>
      </c>
    </row>
    <row r="8563" spans="1:10">
      <c r="A8563" s="7" t="s">
        <v>6793</v>
      </c>
      <c r="B8563" s="1" t="s">
        <v>2628</v>
      </c>
      <c r="C8563" s="1">
        <v>7</v>
      </c>
      <c r="D8563" s="1" t="s">
        <v>101</v>
      </c>
      <c r="E8563" s="1" t="s">
        <v>6</v>
      </c>
      <c r="F8563" s="1" t="s">
        <v>5091</v>
      </c>
      <c r="G8563" s="1" t="s">
        <v>6536</v>
      </c>
      <c r="H8563" s="1" t="s">
        <v>43</v>
      </c>
      <c r="I8563" s="1" t="s">
        <v>5483</v>
      </c>
    </row>
    <row r="8564" spans="1:10">
      <c r="A8564" s="16" t="s">
        <v>6884</v>
      </c>
      <c r="B8564" s="1" t="s">
        <v>2628</v>
      </c>
      <c r="C8564" s="1">
        <v>7</v>
      </c>
      <c r="D8564" s="1" t="s">
        <v>101</v>
      </c>
      <c r="E8564" s="1" t="s">
        <v>6</v>
      </c>
      <c r="F8564" s="1" t="s">
        <v>5091</v>
      </c>
      <c r="G8564" s="14" t="s">
        <v>4458</v>
      </c>
      <c r="H8564" s="1" t="s">
        <v>118</v>
      </c>
      <c r="I8564" s="1" t="s">
        <v>4458</v>
      </c>
    </row>
    <row r="8565" spans="1:10">
      <c r="A8565" s="7" t="s">
        <v>6911</v>
      </c>
      <c r="B8565" s="1" t="s">
        <v>2628</v>
      </c>
      <c r="C8565" s="1">
        <v>7</v>
      </c>
      <c r="D8565" s="1" t="s">
        <v>101</v>
      </c>
      <c r="E8565" s="1" t="s">
        <v>6</v>
      </c>
      <c r="F8565" s="1" t="s">
        <v>5091</v>
      </c>
      <c r="G8565" s="1" t="s">
        <v>6181</v>
      </c>
      <c r="H8565" s="1" t="s">
        <v>118</v>
      </c>
      <c r="I8565" s="1" t="s">
        <v>4458</v>
      </c>
    </row>
    <row r="8566" spans="1:10">
      <c r="A8566" s="7" t="s">
        <v>6947</v>
      </c>
      <c r="B8566" s="1" t="s">
        <v>2629</v>
      </c>
      <c r="C8566" s="1">
        <v>7</v>
      </c>
      <c r="D8566" s="1" t="s">
        <v>101</v>
      </c>
      <c r="E8566" s="1" t="s">
        <v>6</v>
      </c>
      <c r="F8566" s="1" t="s">
        <v>5241</v>
      </c>
      <c r="G8566" s="1" t="s">
        <v>6307</v>
      </c>
      <c r="H8566" s="1" t="s">
        <v>44</v>
      </c>
      <c r="I8566" s="1" t="s">
        <v>5659</v>
      </c>
    </row>
    <row r="8567" spans="1:10">
      <c r="A8567" s="7" t="s">
        <v>6949</v>
      </c>
      <c r="B8567" s="1" t="s">
        <v>2629</v>
      </c>
      <c r="C8567" s="1">
        <v>7</v>
      </c>
      <c r="D8567" s="1" t="s">
        <v>101</v>
      </c>
      <c r="E8567" s="1" t="s">
        <v>6</v>
      </c>
      <c r="F8567" s="1" t="s">
        <v>5241</v>
      </c>
      <c r="G8567" s="1" t="s">
        <v>4803</v>
      </c>
      <c r="H8567" s="1" t="s">
        <v>5</v>
      </c>
      <c r="I8567" s="1" t="s">
        <v>5659</v>
      </c>
      <c r="J8567" s="17"/>
    </row>
    <row r="8568" spans="1:10">
      <c r="A8568" s="7" t="s">
        <v>6951</v>
      </c>
      <c r="B8568" s="1" t="s">
        <v>2628</v>
      </c>
      <c r="C8568" s="1">
        <v>7</v>
      </c>
      <c r="D8568" s="1" t="s">
        <v>101</v>
      </c>
      <c r="E8568" s="1" t="s">
        <v>6</v>
      </c>
      <c r="F8568" s="1" t="s">
        <v>5091</v>
      </c>
      <c r="G8568" s="1" t="s">
        <v>6181</v>
      </c>
      <c r="H8568" s="1" t="s">
        <v>118</v>
      </c>
      <c r="I8568" s="1" t="s">
        <v>4458</v>
      </c>
    </row>
    <row r="8569" spans="1:10">
      <c r="A8569" s="7" t="s">
        <v>7280</v>
      </c>
      <c r="B8569" s="1" t="s">
        <v>2630</v>
      </c>
      <c r="C8569" s="1">
        <v>7</v>
      </c>
      <c r="D8569" s="1" t="s">
        <v>101</v>
      </c>
      <c r="E8569" s="1" t="s">
        <v>6</v>
      </c>
      <c r="F8569" s="1" t="s">
        <v>36</v>
      </c>
      <c r="G8569" s="1" t="s">
        <v>4803</v>
      </c>
      <c r="H8569" s="1" t="s">
        <v>5</v>
      </c>
      <c r="I8569" s="1" t="s">
        <v>7281</v>
      </c>
    </row>
    <row r="8570" spans="1:10">
      <c r="A8570" s="7" t="s">
        <v>7294</v>
      </c>
      <c r="B8570" s="1" t="s">
        <v>2628</v>
      </c>
      <c r="C8570" s="1">
        <v>7</v>
      </c>
      <c r="D8570" s="1" t="s">
        <v>101</v>
      </c>
      <c r="E8570" s="1" t="s">
        <v>6</v>
      </c>
      <c r="F8570" s="1" t="s">
        <v>36</v>
      </c>
      <c r="G8570" s="1" t="s">
        <v>4803</v>
      </c>
      <c r="H8570" s="1" t="s">
        <v>5</v>
      </c>
      <c r="I8570" s="1" t="s">
        <v>7283</v>
      </c>
    </row>
    <row r="8571" spans="1:10">
      <c r="A8571" s="7" t="s">
        <v>7300</v>
      </c>
      <c r="B8571" s="1" t="s">
        <v>2628</v>
      </c>
      <c r="C8571" s="1">
        <v>7</v>
      </c>
      <c r="D8571" s="1" t="s">
        <v>101</v>
      </c>
      <c r="E8571" s="1" t="s">
        <v>6</v>
      </c>
      <c r="F8571" s="1" t="s">
        <v>5091</v>
      </c>
      <c r="G8571" s="1" t="s">
        <v>6181</v>
      </c>
      <c r="H8571" s="1" t="s">
        <v>118</v>
      </c>
      <c r="I8571" s="1" t="s">
        <v>5630</v>
      </c>
    </row>
    <row r="8572" spans="1:10">
      <c r="A8572" s="7" t="s">
        <v>7301</v>
      </c>
      <c r="B8572" s="1" t="s">
        <v>2628</v>
      </c>
      <c r="C8572" s="1">
        <v>7</v>
      </c>
      <c r="D8572" s="1" t="s">
        <v>101</v>
      </c>
      <c r="E8572" s="1" t="s">
        <v>6</v>
      </c>
      <c r="F8572" s="1" t="s">
        <v>5091</v>
      </c>
      <c r="G8572" s="1" t="s">
        <v>6181</v>
      </c>
      <c r="H8572" s="1" t="s">
        <v>118</v>
      </c>
      <c r="I8572" s="1" t="s">
        <v>5630</v>
      </c>
    </row>
    <row r="8573" spans="1:10">
      <c r="A8573" s="7" t="s">
        <v>7302</v>
      </c>
      <c r="B8573" s="1" t="s">
        <v>2628</v>
      </c>
      <c r="C8573" s="1">
        <v>7</v>
      </c>
      <c r="D8573" s="1" t="s">
        <v>101</v>
      </c>
      <c r="E8573" s="1" t="s">
        <v>6</v>
      </c>
      <c r="F8573" s="1" t="s">
        <v>5091</v>
      </c>
      <c r="G8573" s="1" t="s">
        <v>6181</v>
      </c>
      <c r="H8573" s="1" t="s">
        <v>118</v>
      </c>
      <c r="I8573" s="1" t="s">
        <v>5630</v>
      </c>
    </row>
    <row r="8574" spans="1:10">
      <c r="A8574" s="7" t="s">
        <v>7303</v>
      </c>
      <c r="B8574" s="1" t="s">
        <v>2628</v>
      </c>
      <c r="C8574" s="1">
        <v>7</v>
      </c>
      <c r="D8574" s="1" t="s">
        <v>101</v>
      </c>
      <c r="E8574" s="1" t="s">
        <v>6</v>
      </c>
      <c r="F8574" s="1" t="s">
        <v>5091</v>
      </c>
      <c r="G8574" s="1" t="s">
        <v>6181</v>
      </c>
      <c r="H8574" s="1" t="s">
        <v>118</v>
      </c>
      <c r="I8574" s="1" t="s">
        <v>5630</v>
      </c>
    </row>
    <row r="8575" spans="1:10">
      <c r="A8575" s="7" t="s">
        <v>7304</v>
      </c>
      <c r="B8575" s="1" t="s">
        <v>2628</v>
      </c>
      <c r="C8575" s="1">
        <v>7</v>
      </c>
      <c r="D8575" s="1" t="s">
        <v>101</v>
      </c>
      <c r="E8575" s="1" t="s">
        <v>6</v>
      </c>
      <c r="F8575" s="1" t="s">
        <v>5091</v>
      </c>
      <c r="G8575" s="1" t="s">
        <v>6181</v>
      </c>
      <c r="H8575" s="1" t="s">
        <v>118</v>
      </c>
      <c r="I8575" s="1" t="s">
        <v>5630</v>
      </c>
    </row>
    <row r="8576" spans="1:10">
      <c r="A8576" s="7" t="s">
        <v>7305</v>
      </c>
      <c r="B8576" s="1" t="s">
        <v>2628</v>
      </c>
      <c r="C8576" s="1">
        <v>7</v>
      </c>
      <c r="D8576" s="1" t="s">
        <v>101</v>
      </c>
      <c r="E8576" s="1" t="s">
        <v>6</v>
      </c>
      <c r="F8576" s="1" t="s">
        <v>5091</v>
      </c>
      <c r="G8576" s="1" t="s">
        <v>6181</v>
      </c>
      <c r="H8576" s="1" t="s">
        <v>118</v>
      </c>
      <c r="I8576" s="1" t="s">
        <v>5630</v>
      </c>
    </row>
    <row r="8577" spans="1:9">
      <c r="A8577" s="7" t="s">
        <v>7306</v>
      </c>
      <c r="B8577" s="1" t="s">
        <v>2628</v>
      </c>
      <c r="C8577" s="1">
        <v>7</v>
      </c>
      <c r="D8577" s="1" t="s">
        <v>101</v>
      </c>
      <c r="E8577" s="1" t="s">
        <v>6</v>
      </c>
      <c r="F8577" s="1" t="s">
        <v>5091</v>
      </c>
      <c r="G8577" s="1" t="s">
        <v>6181</v>
      </c>
      <c r="H8577" s="1" t="s">
        <v>118</v>
      </c>
      <c r="I8577" s="1" t="s">
        <v>5630</v>
      </c>
    </row>
    <row r="8578" spans="1:9">
      <c r="A8578" s="7" t="s">
        <v>7307</v>
      </c>
      <c r="B8578" s="1" t="s">
        <v>2628</v>
      </c>
      <c r="C8578" s="1">
        <v>7</v>
      </c>
      <c r="D8578" s="1" t="s">
        <v>101</v>
      </c>
      <c r="E8578" s="1" t="s">
        <v>6</v>
      </c>
      <c r="F8578" s="1" t="s">
        <v>5091</v>
      </c>
      <c r="G8578" s="1" t="s">
        <v>6181</v>
      </c>
      <c r="H8578" s="1" t="s">
        <v>118</v>
      </c>
      <c r="I8578" s="1" t="s">
        <v>5630</v>
      </c>
    </row>
    <row r="8579" spans="1:9">
      <c r="A8579" s="7" t="s">
        <v>7308</v>
      </c>
      <c r="B8579" s="1" t="s">
        <v>2628</v>
      </c>
      <c r="C8579" s="1">
        <v>7</v>
      </c>
      <c r="D8579" s="1" t="s">
        <v>101</v>
      </c>
      <c r="E8579" s="1" t="s">
        <v>6</v>
      </c>
      <c r="F8579" s="1" t="s">
        <v>5091</v>
      </c>
      <c r="G8579" s="1" t="s">
        <v>6181</v>
      </c>
      <c r="H8579" s="1" t="s">
        <v>118</v>
      </c>
      <c r="I8579" s="1" t="s">
        <v>5630</v>
      </c>
    </row>
    <row r="8580" spans="1:9">
      <c r="A8580" s="7" t="s">
        <v>7309</v>
      </c>
      <c r="B8580" s="1" t="s">
        <v>2628</v>
      </c>
      <c r="C8580" s="1">
        <v>7</v>
      </c>
      <c r="D8580" s="1" t="s">
        <v>101</v>
      </c>
      <c r="E8580" s="1" t="s">
        <v>6</v>
      </c>
      <c r="F8580" s="1" t="s">
        <v>5091</v>
      </c>
      <c r="G8580" s="1" t="s">
        <v>6181</v>
      </c>
      <c r="H8580" s="1" t="s">
        <v>118</v>
      </c>
      <c r="I8580" s="1" t="s">
        <v>5630</v>
      </c>
    </row>
    <row r="8581" spans="1:9">
      <c r="A8581" s="7" t="s">
        <v>7310</v>
      </c>
      <c r="B8581" s="1" t="s">
        <v>2628</v>
      </c>
      <c r="C8581" s="1">
        <v>7</v>
      </c>
      <c r="D8581" s="1" t="s">
        <v>101</v>
      </c>
      <c r="E8581" s="1" t="s">
        <v>6</v>
      </c>
      <c r="F8581" s="1" t="s">
        <v>5091</v>
      </c>
      <c r="G8581" s="1" t="s">
        <v>6181</v>
      </c>
      <c r="H8581" s="1" t="s">
        <v>118</v>
      </c>
      <c r="I8581" s="1" t="s">
        <v>5630</v>
      </c>
    </row>
    <row r="8582" spans="1:9">
      <c r="A8582" s="7" t="s">
        <v>7313</v>
      </c>
      <c r="B8582" s="1" t="s">
        <v>2628</v>
      </c>
      <c r="C8582" s="1">
        <v>7</v>
      </c>
      <c r="D8582" s="1" t="s">
        <v>101</v>
      </c>
      <c r="E8582" s="1" t="s">
        <v>6</v>
      </c>
      <c r="F8582" s="1" t="s">
        <v>5091</v>
      </c>
      <c r="G8582" s="1" t="s">
        <v>6181</v>
      </c>
      <c r="H8582" s="1" t="s">
        <v>118</v>
      </c>
      <c r="I8582" s="1" t="s">
        <v>5630</v>
      </c>
    </row>
    <row r="8583" spans="1:9">
      <c r="A8583" s="7" t="s">
        <v>7314</v>
      </c>
      <c r="B8583" s="1" t="s">
        <v>2628</v>
      </c>
      <c r="C8583" s="1">
        <v>7</v>
      </c>
      <c r="D8583" s="1" t="s">
        <v>101</v>
      </c>
      <c r="E8583" s="1" t="s">
        <v>6</v>
      </c>
      <c r="F8583" s="1" t="s">
        <v>5091</v>
      </c>
      <c r="G8583" s="1" t="s">
        <v>6181</v>
      </c>
      <c r="H8583" s="1" t="s">
        <v>118</v>
      </c>
      <c r="I8583" s="1" t="s">
        <v>5630</v>
      </c>
    </row>
    <row r="8584" spans="1:9">
      <c r="A8584" s="16" t="s">
        <v>7371</v>
      </c>
      <c r="B8584" s="1" t="s">
        <v>2628</v>
      </c>
      <c r="C8584" s="1">
        <v>7</v>
      </c>
      <c r="D8584" s="1" t="s">
        <v>101</v>
      </c>
      <c r="E8584" s="1" t="s">
        <v>6</v>
      </c>
      <c r="F8584" s="1" t="s">
        <v>5091</v>
      </c>
      <c r="G8584" s="14" t="s">
        <v>4458</v>
      </c>
      <c r="H8584" s="1" t="s">
        <v>118</v>
      </c>
      <c r="I8584" s="1" t="s">
        <v>4458</v>
      </c>
    </row>
    <row r="8585" spans="1:9">
      <c r="A8585" s="16" t="s">
        <v>7426</v>
      </c>
      <c r="B8585" s="1" t="s">
        <v>2628</v>
      </c>
      <c r="C8585" s="1">
        <v>7</v>
      </c>
      <c r="D8585" s="1" t="s">
        <v>101</v>
      </c>
      <c r="E8585" s="1" t="s">
        <v>6</v>
      </c>
      <c r="F8585" s="1" t="s">
        <v>5091</v>
      </c>
      <c r="G8585" s="14" t="s">
        <v>7427</v>
      </c>
      <c r="H8585" s="1" t="s">
        <v>5</v>
      </c>
      <c r="I8585" s="17">
        <v>41306</v>
      </c>
    </row>
    <row r="8586" spans="1:9">
      <c r="A8586" s="16" t="s">
        <v>7429</v>
      </c>
      <c r="B8586" s="1" t="s">
        <v>2628</v>
      </c>
      <c r="C8586" s="1">
        <v>7</v>
      </c>
      <c r="D8586" s="1" t="s">
        <v>101</v>
      </c>
      <c r="E8586" s="1" t="s">
        <v>6</v>
      </c>
      <c r="F8586" s="1" t="s">
        <v>5091</v>
      </c>
      <c r="G8586" s="14" t="s">
        <v>7430</v>
      </c>
      <c r="H8586" s="1" t="s">
        <v>5</v>
      </c>
      <c r="I8586" s="17">
        <v>40118</v>
      </c>
    </row>
    <row r="8587" spans="1:9">
      <c r="A8587" s="16" t="s">
        <v>7432</v>
      </c>
      <c r="B8587" s="1" t="s">
        <v>2628</v>
      </c>
      <c r="C8587" s="1">
        <v>7</v>
      </c>
      <c r="D8587" s="1" t="s">
        <v>101</v>
      </c>
      <c r="E8587" s="1" t="s">
        <v>6</v>
      </c>
      <c r="F8587" s="1" t="s">
        <v>5091</v>
      </c>
      <c r="G8587" s="14" t="s">
        <v>7427</v>
      </c>
      <c r="H8587" s="1" t="s">
        <v>5</v>
      </c>
      <c r="I8587" s="17">
        <v>41306</v>
      </c>
    </row>
    <row r="8588" spans="1:9">
      <c r="A8588" s="16" t="s">
        <v>7438</v>
      </c>
      <c r="B8588" s="1" t="s">
        <v>2628</v>
      </c>
      <c r="C8588" s="1">
        <v>7</v>
      </c>
      <c r="D8588" s="1" t="s">
        <v>101</v>
      </c>
      <c r="E8588" s="1" t="s">
        <v>6</v>
      </c>
      <c r="F8588" s="1" t="s">
        <v>5091</v>
      </c>
      <c r="G8588" s="14" t="s">
        <v>6145</v>
      </c>
      <c r="H8588" s="1" t="s">
        <v>43</v>
      </c>
      <c r="I8588" s="17">
        <v>41456</v>
      </c>
    </row>
    <row r="8589" spans="1:9">
      <c r="A8589" s="16" t="s">
        <v>7443</v>
      </c>
      <c r="B8589" s="1" t="s">
        <v>2628</v>
      </c>
      <c r="C8589" s="1">
        <v>7</v>
      </c>
      <c r="D8589" s="1" t="s">
        <v>101</v>
      </c>
      <c r="E8589" s="1" t="s">
        <v>6</v>
      </c>
      <c r="F8589" s="1" t="s">
        <v>5091</v>
      </c>
      <c r="G8589" s="14" t="s">
        <v>6145</v>
      </c>
      <c r="H8589" s="1" t="s">
        <v>43</v>
      </c>
      <c r="I8589" s="17">
        <v>39326</v>
      </c>
    </row>
    <row r="8590" spans="1:9">
      <c r="A8590" s="16" t="s">
        <v>7444</v>
      </c>
      <c r="B8590" s="1" t="s">
        <v>2628</v>
      </c>
      <c r="C8590" s="1">
        <v>7</v>
      </c>
      <c r="D8590" s="1" t="s">
        <v>101</v>
      </c>
      <c r="E8590" s="1" t="s">
        <v>6</v>
      </c>
      <c r="F8590" s="1" t="s">
        <v>5091</v>
      </c>
      <c r="G8590" s="14" t="s">
        <v>7445</v>
      </c>
      <c r="H8590" s="1" t="s">
        <v>5</v>
      </c>
      <c r="I8590" s="17">
        <v>40057</v>
      </c>
    </row>
    <row r="8591" spans="1:9">
      <c r="A8591" s="16" t="s">
        <v>7446</v>
      </c>
      <c r="B8591" s="1" t="s">
        <v>2628</v>
      </c>
      <c r="C8591" s="1">
        <v>7</v>
      </c>
      <c r="D8591" s="1" t="s">
        <v>101</v>
      </c>
      <c r="E8591" s="1" t="s">
        <v>6</v>
      </c>
      <c r="F8591" s="1" t="s">
        <v>5091</v>
      </c>
      <c r="G8591" s="14" t="s">
        <v>7430</v>
      </c>
      <c r="H8591" s="1" t="s">
        <v>5</v>
      </c>
      <c r="I8591" s="17">
        <v>40118</v>
      </c>
    </row>
    <row r="8592" spans="1:9">
      <c r="A8592" s="16" t="s">
        <v>7449</v>
      </c>
      <c r="B8592" s="1" t="s">
        <v>2628</v>
      </c>
      <c r="C8592" s="1">
        <v>7</v>
      </c>
      <c r="D8592" s="1" t="s">
        <v>101</v>
      </c>
      <c r="E8592" s="1" t="s">
        <v>6</v>
      </c>
      <c r="F8592" s="1" t="s">
        <v>5091</v>
      </c>
      <c r="G8592" s="14" t="s">
        <v>7427</v>
      </c>
      <c r="H8592" s="1" t="s">
        <v>5</v>
      </c>
      <c r="I8592" s="17">
        <v>41306</v>
      </c>
    </row>
    <row r="8593" spans="1:10">
      <c r="A8593" s="7" t="s">
        <v>7577</v>
      </c>
      <c r="B8593" s="1" t="s">
        <v>2628</v>
      </c>
      <c r="C8593" s="1">
        <v>7</v>
      </c>
      <c r="D8593" s="1" t="s">
        <v>101</v>
      </c>
      <c r="E8593" s="1" t="s">
        <v>6</v>
      </c>
      <c r="F8593" s="1" t="s">
        <v>5091</v>
      </c>
      <c r="G8593" s="1" t="s">
        <v>7567</v>
      </c>
      <c r="H8593" s="1" t="s">
        <v>43</v>
      </c>
      <c r="I8593" s="1" t="s">
        <v>6844</v>
      </c>
    </row>
    <row r="8594" spans="1:10">
      <c r="A8594" s="7" t="s">
        <v>7873</v>
      </c>
      <c r="B8594" s="1" t="s">
        <v>2628</v>
      </c>
      <c r="C8594" s="1">
        <v>7</v>
      </c>
      <c r="D8594" s="1" t="s">
        <v>101</v>
      </c>
      <c r="E8594" s="1" t="s">
        <v>6</v>
      </c>
      <c r="F8594" s="1" t="s">
        <v>5091</v>
      </c>
      <c r="G8594" s="1" t="s">
        <v>6181</v>
      </c>
      <c r="H8594" s="1" t="s">
        <v>118</v>
      </c>
      <c r="I8594" s="1" t="s">
        <v>4458</v>
      </c>
    </row>
    <row r="8595" spans="1:10">
      <c r="A8595" s="16" t="s">
        <v>7879</v>
      </c>
      <c r="B8595" s="1" t="s">
        <v>2628</v>
      </c>
      <c r="C8595" s="1">
        <v>7</v>
      </c>
      <c r="D8595" s="1" t="s">
        <v>101</v>
      </c>
      <c r="E8595" s="1" t="s">
        <v>6</v>
      </c>
      <c r="F8595" s="1" t="s">
        <v>5091</v>
      </c>
      <c r="G8595" s="14" t="s">
        <v>7880</v>
      </c>
      <c r="H8595" s="1" t="s">
        <v>5</v>
      </c>
      <c r="I8595" s="17">
        <v>41312</v>
      </c>
    </row>
    <row r="8596" spans="1:10">
      <c r="A8596" s="16" t="s">
        <v>7881</v>
      </c>
      <c r="B8596" s="1" t="s">
        <v>2628</v>
      </c>
      <c r="C8596" s="1">
        <v>7</v>
      </c>
      <c r="D8596" s="1" t="s">
        <v>101</v>
      </c>
      <c r="E8596" s="1" t="s">
        <v>6</v>
      </c>
      <c r="F8596" s="1" t="s">
        <v>5091</v>
      </c>
      <c r="G8596" s="14" t="s">
        <v>7427</v>
      </c>
      <c r="H8596" s="1" t="s">
        <v>5</v>
      </c>
      <c r="I8596" s="17">
        <v>41302</v>
      </c>
    </row>
    <row r="8597" spans="1:10">
      <c r="A8597" s="7" t="s">
        <v>7999</v>
      </c>
      <c r="B8597" s="1" t="s">
        <v>2628</v>
      </c>
      <c r="C8597" s="1">
        <v>7</v>
      </c>
      <c r="D8597" s="1" t="s">
        <v>101</v>
      </c>
      <c r="E8597" s="1" t="s">
        <v>6</v>
      </c>
      <c r="F8597" s="1" t="s">
        <v>5091</v>
      </c>
      <c r="G8597" s="1" t="s">
        <v>6181</v>
      </c>
      <c r="H8597" s="1" t="s">
        <v>118</v>
      </c>
      <c r="I8597" s="1" t="s">
        <v>4458</v>
      </c>
    </row>
    <row r="8598" spans="1:10">
      <c r="A8598" s="7" t="s">
        <v>8142</v>
      </c>
      <c r="B8598" s="1" t="s">
        <v>2628</v>
      </c>
      <c r="C8598" s="1">
        <v>7</v>
      </c>
      <c r="D8598" s="1" t="s">
        <v>101</v>
      </c>
      <c r="E8598" s="1" t="s">
        <v>6</v>
      </c>
      <c r="F8598" s="1" t="s">
        <v>5091</v>
      </c>
      <c r="G8598" s="1" t="s">
        <v>6181</v>
      </c>
      <c r="H8598" s="1" t="s">
        <v>118</v>
      </c>
      <c r="I8598" s="1" t="s">
        <v>4458</v>
      </c>
    </row>
    <row r="8599" spans="1:10">
      <c r="A8599" s="7" t="s">
        <v>8166</v>
      </c>
      <c r="B8599" s="1" t="s">
        <v>2628</v>
      </c>
      <c r="C8599" s="1">
        <v>7</v>
      </c>
      <c r="D8599" s="1" t="s">
        <v>101</v>
      </c>
      <c r="E8599" s="1" t="s">
        <v>6</v>
      </c>
      <c r="F8599" s="1" t="s">
        <v>5091</v>
      </c>
      <c r="G8599" s="1" t="s">
        <v>8167</v>
      </c>
      <c r="H8599" s="1" t="s">
        <v>43</v>
      </c>
      <c r="I8599" s="1">
        <v>2005</v>
      </c>
    </row>
    <row r="8600" spans="1:10">
      <c r="A8600" s="7" t="s">
        <v>8196</v>
      </c>
      <c r="B8600" s="1" t="s">
        <v>2628</v>
      </c>
      <c r="C8600" s="1">
        <v>7</v>
      </c>
      <c r="D8600" s="1" t="s">
        <v>101</v>
      </c>
      <c r="E8600" s="1" t="s">
        <v>6</v>
      </c>
      <c r="F8600" s="1" t="s">
        <v>5091</v>
      </c>
      <c r="G8600" s="1" t="s">
        <v>6186</v>
      </c>
      <c r="H8600" s="1" t="s">
        <v>5</v>
      </c>
      <c r="I8600" s="1" t="s">
        <v>8096</v>
      </c>
      <c r="J8600" s="1"/>
    </row>
    <row r="8601" spans="1:10">
      <c r="A8601" s="7" t="s">
        <v>8230</v>
      </c>
      <c r="B8601" s="1" t="s">
        <v>2628</v>
      </c>
      <c r="C8601" s="1">
        <v>7</v>
      </c>
      <c r="D8601" s="1" t="s">
        <v>101</v>
      </c>
      <c r="E8601" s="1" t="s">
        <v>6</v>
      </c>
      <c r="F8601" s="1" t="s">
        <v>118</v>
      </c>
      <c r="G8601" s="1" t="s">
        <v>6530</v>
      </c>
      <c r="H8601" s="1" t="s">
        <v>43</v>
      </c>
      <c r="I8601" s="1" t="s">
        <v>5642</v>
      </c>
    </row>
    <row r="8602" spans="1:10">
      <c r="A8602" s="7" t="s">
        <v>8309</v>
      </c>
      <c r="B8602" s="1" t="s">
        <v>2629</v>
      </c>
      <c r="C8602" s="1">
        <v>7</v>
      </c>
      <c r="D8602" s="1" t="s">
        <v>101</v>
      </c>
      <c r="E8602" s="1" t="s">
        <v>6</v>
      </c>
      <c r="F8602" s="1" t="s">
        <v>2701</v>
      </c>
      <c r="G8602" s="1" t="s">
        <v>8310</v>
      </c>
      <c r="H8602" s="1" t="s">
        <v>5</v>
      </c>
      <c r="I8602" s="1" t="s">
        <v>5722</v>
      </c>
      <c r="J8602" s="17"/>
    </row>
    <row r="8603" spans="1:10">
      <c r="A8603" s="7" t="s">
        <v>8347</v>
      </c>
      <c r="B8603" s="1" t="s">
        <v>2629</v>
      </c>
      <c r="C8603" s="1">
        <v>7</v>
      </c>
      <c r="D8603" s="1" t="s">
        <v>101</v>
      </c>
      <c r="E8603" s="1" t="s">
        <v>6</v>
      </c>
      <c r="F8603" s="1" t="s">
        <v>2701</v>
      </c>
      <c r="G8603" s="1" t="s">
        <v>8348</v>
      </c>
      <c r="H8603" s="1" t="s">
        <v>43</v>
      </c>
      <c r="I8603" s="1" t="s">
        <v>5722</v>
      </c>
    </row>
    <row r="8604" spans="1:10">
      <c r="A8604" s="7" t="s">
        <v>8379</v>
      </c>
      <c r="B8604" s="1" t="s">
        <v>2628</v>
      </c>
      <c r="C8604" s="1">
        <v>7</v>
      </c>
      <c r="D8604" s="1" t="s">
        <v>101</v>
      </c>
      <c r="E8604" s="1" t="s">
        <v>6</v>
      </c>
      <c r="F8604" s="1" t="s">
        <v>5091</v>
      </c>
      <c r="G8604" s="1" t="s">
        <v>6186</v>
      </c>
      <c r="H8604" s="1" t="s">
        <v>5</v>
      </c>
      <c r="I8604" s="1" t="s">
        <v>8096</v>
      </c>
      <c r="J8604" s="1"/>
    </row>
    <row r="8605" spans="1:10">
      <c r="A8605" s="16" t="s">
        <v>8386</v>
      </c>
      <c r="B8605" s="1" t="s">
        <v>2628</v>
      </c>
      <c r="C8605" s="1">
        <v>7</v>
      </c>
      <c r="D8605" s="1" t="s">
        <v>101</v>
      </c>
      <c r="E8605" s="1" t="s">
        <v>6</v>
      </c>
      <c r="F8605" s="1" t="s">
        <v>5091</v>
      </c>
      <c r="G8605" s="14" t="s">
        <v>8387</v>
      </c>
      <c r="H8605" s="1" t="s">
        <v>5</v>
      </c>
      <c r="I8605" s="17">
        <v>41640</v>
      </c>
    </row>
    <row r="8606" spans="1:10">
      <c r="A8606" s="16" t="s">
        <v>8436</v>
      </c>
      <c r="B8606" s="1" t="s">
        <v>2628</v>
      </c>
      <c r="C8606" s="1">
        <v>7</v>
      </c>
      <c r="D8606" s="1" t="s">
        <v>101</v>
      </c>
      <c r="E8606" s="1" t="s">
        <v>6</v>
      </c>
      <c r="F8606" s="1" t="s">
        <v>5091</v>
      </c>
      <c r="G8606" s="14" t="s">
        <v>6145</v>
      </c>
      <c r="H8606" s="1" t="s">
        <v>43</v>
      </c>
      <c r="I8606" s="17">
        <v>41064</v>
      </c>
    </row>
    <row r="8607" spans="1:10" ht="31.2">
      <c r="A8607" s="16" t="s">
        <v>8480</v>
      </c>
      <c r="B8607" s="1" t="s">
        <v>2628</v>
      </c>
      <c r="C8607" s="1">
        <v>7</v>
      </c>
      <c r="D8607" s="1" t="s">
        <v>101</v>
      </c>
      <c r="E8607" s="1" t="s">
        <v>6</v>
      </c>
      <c r="F8607" s="1" t="s">
        <v>5091</v>
      </c>
      <c r="G8607" s="14" t="s">
        <v>6145</v>
      </c>
      <c r="H8607" s="1" t="s">
        <v>43</v>
      </c>
      <c r="I8607" s="17">
        <v>41591</v>
      </c>
    </row>
    <row r="8608" spans="1:10">
      <c r="A8608" s="16" t="s">
        <v>8591</v>
      </c>
      <c r="B8608" s="1" t="s">
        <v>2628</v>
      </c>
      <c r="C8608" s="1">
        <v>7</v>
      </c>
      <c r="D8608" s="1" t="s">
        <v>101</v>
      </c>
      <c r="E8608" s="1" t="s">
        <v>6</v>
      </c>
      <c r="F8608" s="1" t="s">
        <v>5091</v>
      </c>
      <c r="G8608" s="14" t="s">
        <v>6307</v>
      </c>
      <c r="H8608" s="1" t="s">
        <v>44</v>
      </c>
      <c r="I8608" s="17">
        <v>41640</v>
      </c>
    </row>
    <row r="8609" spans="1:9">
      <c r="A8609" s="16" t="s">
        <v>8611</v>
      </c>
      <c r="B8609" s="1" t="s">
        <v>2628</v>
      </c>
      <c r="C8609" s="1">
        <v>7</v>
      </c>
      <c r="D8609" s="1" t="s">
        <v>101</v>
      </c>
      <c r="E8609" s="1" t="s">
        <v>6</v>
      </c>
      <c r="F8609" s="1" t="s">
        <v>5091</v>
      </c>
      <c r="G8609" s="14" t="s">
        <v>8612</v>
      </c>
      <c r="H8609" s="1" t="s">
        <v>5</v>
      </c>
      <c r="I8609" s="17">
        <v>41640</v>
      </c>
    </row>
    <row r="8610" spans="1:9">
      <c r="A8610" s="16" t="s">
        <v>8620</v>
      </c>
      <c r="B8610" s="1" t="s">
        <v>2628</v>
      </c>
      <c r="C8610" s="1">
        <v>7</v>
      </c>
      <c r="D8610" s="1" t="s">
        <v>101</v>
      </c>
      <c r="E8610" s="1" t="s">
        <v>6</v>
      </c>
      <c r="F8610" s="1" t="s">
        <v>5091</v>
      </c>
      <c r="G8610" s="14" t="s">
        <v>6145</v>
      </c>
      <c r="H8610" s="1" t="s">
        <v>43</v>
      </c>
      <c r="I8610" s="17">
        <v>41792</v>
      </c>
    </row>
    <row r="8611" spans="1:9">
      <c r="A8611" s="16" t="s">
        <v>8621</v>
      </c>
      <c r="B8611" s="1" t="s">
        <v>2628</v>
      </c>
      <c r="C8611" s="1">
        <v>7</v>
      </c>
      <c r="D8611" s="1" t="s">
        <v>101</v>
      </c>
      <c r="E8611" s="1" t="s">
        <v>6</v>
      </c>
      <c r="F8611" s="1" t="s">
        <v>5091</v>
      </c>
      <c r="G8611" s="14" t="s">
        <v>6145</v>
      </c>
      <c r="H8611" s="1" t="s">
        <v>43</v>
      </c>
      <c r="I8611" s="17">
        <v>41792</v>
      </c>
    </row>
    <row r="8612" spans="1:9">
      <c r="A8612" s="16" t="s">
        <v>8664</v>
      </c>
      <c r="B8612" s="1" t="s">
        <v>2628</v>
      </c>
      <c r="C8612" s="1">
        <v>7</v>
      </c>
      <c r="D8612" s="1" t="s">
        <v>101</v>
      </c>
      <c r="E8612" s="1" t="s">
        <v>6</v>
      </c>
      <c r="F8612" s="1" t="s">
        <v>5091</v>
      </c>
      <c r="G8612" s="14" t="s">
        <v>6145</v>
      </c>
      <c r="H8612" s="1" t="s">
        <v>43</v>
      </c>
      <c r="I8612" s="17">
        <v>41934</v>
      </c>
    </row>
    <row r="8613" spans="1:9">
      <c r="A8613" s="16" t="s">
        <v>8665</v>
      </c>
      <c r="B8613" s="1" t="s">
        <v>2628</v>
      </c>
      <c r="C8613" s="1">
        <v>7</v>
      </c>
      <c r="D8613" s="1" t="s">
        <v>101</v>
      </c>
      <c r="E8613" s="1" t="s">
        <v>6</v>
      </c>
      <c r="F8613" s="1" t="s">
        <v>5091</v>
      </c>
      <c r="G8613" s="14" t="s">
        <v>6145</v>
      </c>
      <c r="H8613" s="1" t="s">
        <v>43</v>
      </c>
      <c r="I8613" s="17">
        <v>41933</v>
      </c>
    </row>
    <row r="8614" spans="1:9">
      <c r="A8614" s="16" t="s">
        <v>8667</v>
      </c>
      <c r="B8614" s="1" t="s">
        <v>2628</v>
      </c>
      <c r="C8614" s="1">
        <v>7</v>
      </c>
      <c r="D8614" s="1" t="s">
        <v>101</v>
      </c>
      <c r="E8614" s="1" t="s">
        <v>6</v>
      </c>
      <c r="F8614" s="1" t="s">
        <v>5091</v>
      </c>
      <c r="G8614" s="14" t="s">
        <v>6145</v>
      </c>
      <c r="H8614" s="1" t="s">
        <v>43</v>
      </c>
      <c r="I8614" s="17">
        <v>41933</v>
      </c>
    </row>
    <row r="8615" spans="1:9">
      <c r="A8615" s="16" t="s">
        <v>8668</v>
      </c>
      <c r="B8615" s="1" t="s">
        <v>2628</v>
      </c>
      <c r="C8615" s="1">
        <v>7</v>
      </c>
      <c r="D8615" s="1" t="s">
        <v>101</v>
      </c>
      <c r="E8615" s="1" t="s">
        <v>6</v>
      </c>
      <c r="F8615" s="1" t="s">
        <v>5091</v>
      </c>
      <c r="G8615" s="14" t="s">
        <v>6145</v>
      </c>
      <c r="H8615" s="1" t="s">
        <v>43</v>
      </c>
      <c r="I8615" s="17">
        <v>41933</v>
      </c>
    </row>
    <row r="8616" spans="1:9">
      <c r="A8616" s="16" t="s">
        <v>8669</v>
      </c>
      <c r="B8616" s="1" t="s">
        <v>2628</v>
      </c>
      <c r="C8616" s="1">
        <v>7</v>
      </c>
      <c r="D8616" s="1" t="s">
        <v>101</v>
      </c>
      <c r="E8616" s="1" t="s">
        <v>6</v>
      </c>
      <c r="F8616" s="1" t="s">
        <v>5091</v>
      </c>
      <c r="G8616" s="14" t="s">
        <v>6145</v>
      </c>
      <c r="H8616" s="1" t="s">
        <v>43</v>
      </c>
      <c r="I8616" s="17">
        <v>41933</v>
      </c>
    </row>
    <row r="8617" spans="1:9">
      <c r="A8617" s="16" t="s">
        <v>8672</v>
      </c>
      <c r="B8617" s="1" t="s">
        <v>2628</v>
      </c>
      <c r="C8617" s="1">
        <v>7</v>
      </c>
      <c r="D8617" s="1" t="s">
        <v>101</v>
      </c>
      <c r="E8617" s="1" t="s">
        <v>6</v>
      </c>
      <c r="F8617" s="1" t="s">
        <v>5091</v>
      </c>
      <c r="G8617" s="14" t="s">
        <v>6145</v>
      </c>
      <c r="H8617" s="1" t="s">
        <v>43</v>
      </c>
      <c r="I8617" s="17">
        <v>41933</v>
      </c>
    </row>
    <row r="8618" spans="1:9">
      <c r="A8618" s="16" t="s">
        <v>8673</v>
      </c>
      <c r="B8618" s="1" t="s">
        <v>2628</v>
      </c>
      <c r="C8618" s="1">
        <v>7</v>
      </c>
      <c r="D8618" s="1" t="s">
        <v>101</v>
      </c>
      <c r="E8618" s="1" t="s">
        <v>6</v>
      </c>
      <c r="F8618" s="1" t="s">
        <v>5091</v>
      </c>
      <c r="G8618" s="14" t="s">
        <v>6145</v>
      </c>
      <c r="H8618" s="1" t="s">
        <v>43</v>
      </c>
      <c r="I8618" s="17">
        <v>41933</v>
      </c>
    </row>
    <row r="8619" spans="1:9">
      <c r="A8619" s="16" t="s">
        <v>8674</v>
      </c>
      <c r="B8619" s="1" t="s">
        <v>2628</v>
      </c>
      <c r="C8619" s="1">
        <v>7</v>
      </c>
      <c r="D8619" s="1" t="s">
        <v>101</v>
      </c>
      <c r="E8619" s="1" t="s">
        <v>6</v>
      </c>
      <c r="F8619" s="1" t="s">
        <v>5091</v>
      </c>
      <c r="G8619" s="14" t="s">
        <v>6145</v>
      </c>
      <c r="H8619" s="1" t="s">
        <v>43</v>
      </c>
      <c r="I8619" s="17">
        <v>41933</v>
      </c>
    </row>
    <row r="8620" spans="1:9">
      <c r="A8620" s="16" t="s">
        <v>8710</v>
      </c>
      <c r="B8620" s="1" t="s">
        <v>2628</v>
      </c>
      <c r="C8620" s="1">
        <v>7</v>
      </c>
      <c r="D8620" s="1" t="s">
        <v>101</v>
      </c>
      <c r="E8620" s="1" t="s">
        <v>6</v>
      </c>
      <c r="F8620" s="1" t="s">
        <v>5091</v>
      </c>
      <c r="G8620" s="14" t="s">
        <v>8699</v>
      </c>
      <c r="H8620" s="1" t="s">
        <v>43</v>
      </c>
      <c r="I8620" s="17">
        <v>41640</v>
      </c>
    </row>
    <row r="8621" spans="1:9">
      <c r="A8621" s="16" t="s">
        <v>8726</v>
      </c>
      <c r="B8621" s="1" t="s">
        <v>2628</v>
      </c>
      <c r="C8621" s="1">
        <v>7</v>
      </c>
      <c r="D8621" s="1" t="s">
        <v>101</v>
      </c>
      <c r="E8621" s="1" t="s">
        <v>6</v>
      </c>
      <c r="F8621" s="1" t="s">
        <v>5091</v>
      </c>
      <c r="G8621" s="14" t="s">
        <v>6145</v>
      </c>
      <c r="H8621" s="1" t="s">
        <v>43</v>
      </c>
      <c r="I8621" s="17">
        <v>41940</v>
      </c>
    </row>
    <row r="8622" spans="1:9">
      <c r="A8622" s="16" t="s">
        <v>8727</v>
      </c>
      <c r="B8622" s="1" t="s">
        <v>2628</v>
      </c>
      <c r="C8622" s="1">
        <v>7</v>
      </c>
      <c r="D8622" s="1" t="s">
        <v>101</v>
      </c>
      <c r="E8622" s="1" t="s">
        <v>6</v>
      </c>
      <c r="F8622" s="1" t="s">
        <v>5091</v>
      </c>
      <c r="G8622" s="14" t="s">
        <v>6145</v>
      </c>
      <c r="H8622" s="1" t="s">
        <v>43</v>
      </c>
      <c r="I8622" s="17">
        <v>41941</v>
      </c>
    </row>
    <row r="8623" spans="1:9">
      <c r="A8623" s="16" t="s">
        <v>8728</v>
      </c>
      <c r="B8623" s="1" t="s">
        <v>2628</v>
      </c>
      <c r="C8623" s="1">
        <v>7</v>
      </c>
      <c r="D8623" s="1" t="s">
        <v>101</v>
      </c>
      <c r="E8623" s="1" t="s">
        <v>6</v>
      </c>
      <c r="F8623" s="1" t="s">
        <v>5091</v>
      </c>
      <c r="G8623" s="14" t="s">
        <v>6145</v>
      </c>
      <c r="H8623" s="1" t="s">
        <v>43</v>
      </c>
      <c r="I8623" s="17">
        <v>41940</v>
      </c>
    </row>
    <row r="8624" spans="1:9">
      <c r="A8624" s="16" t="s">
        <v>8752</v>
      </c>
      <c r="B8624" s="1" t="s">
        <v>2628</v>
      </c>
      <c r="C8624" s="1">
        <v>7</v>
      </c>
      <c r="D8624" s="1" t="s">
        <v>101</v>
      </c>
      <c r="E8624" s="1" t="s">
        <v>6</v>
      </c>
      <c r="F8624" s="1" t="s">
        <v>5091</v>
      </c>
      <c r="G8624" s="14" t="s">
        <v>4458</v>
      </c>
      <c r="H8624" s="1" t="s">
        <v>118</v>
      </c>
      <c r="I8624" s="1" t="s">
        <v>4458</v>
      </c>
    </row>
    <row r="8625" spans="1:9">
      <c r="A8625" s="16" t="s">
        <v>8831</v>
      </c>
      <c r="B8625" s="1" t="s">
        <v>2628</v>
      </c>
      <c r="C8625" s="1">
        <v>7</v>
      </c>
      <c r="D8625" s="1" t="s">
        <v>101</v>
      </c>
      <c r="E8625" s="1" t="s">
        <v>6</v>
      </c>
      <c r="F8625" s="1" t="s">
        <v>5091</v>
      </c>
      <c r="G8625" s="14" t="s">
        <v>8832</v>
      </c>
      <c r="H8625" s="1" t="s">
        <v>5</v>
      </c>
      <c r="I8625" s="17">
        <v>41640</v>
      </c>
    </row>
    <row r="8626" spans="1:9">
      <c r="A8626" s="16" t="s">
        <v>8909</v>
      </c>
      <c r="B8626" s="1" t="s">
        <v>2628</v>
      </c>
      <c r="C8626" s="1">
        <v>7</v>
      </c>
      <c r="D8626" s="1" t="s">
        <v>101</v>
      </c>
      <c r="E8626" s="1" t="s">
        <v>6</v>
      </c>
      <c r="F8626" s="1" t="s">
        <v>5091</v>
      </c>
      <c r="G8626" s="14" t="s">
        <v>8910</v>
      </c>
      <c r="H8626" s="1" t="s">
        <v>5</v>
      </c>
      <c r="I8626" s="17">
        <v>37245</v>
      </c>
    </row>
    <row r="8627" spans="1:9">
      <c r="A8627" s="16" t="s">
        <v>8937</v>
      </c>
      <c r="B8627" s="1" t="s">
        <v>2628</v>
      </c>
      <c r="C8627" s="1">
        <v>7</v>
      </c>
      <c r="D8627" s="1" t="s">
        <v>101</v>
      </c>
      <c r="E8627" s="1" t="s">
        <v>6</v>
      </c>
      <c r="F8627" s="1" t="s">
        <v>5303</v>
      </c>
      <c r="G8627" s="14" t="s">
        <v>8938</v>
      </c>
      <c r="H8627" s="1" t="s">
        <v>5</v>
      </c>
      <c r="I8627" s="17">
        <v>37826</v>
      </c>
    </row>
    <row r="8628" spans="1:9">
      <c r="A8628" s="16" t="s">
        <v>9014</v>
      </c>
      <c r="B8628" s="1" t="s">
        <v>2628</v>
      </c>
      <c r="C8628" s="1">
        <v>7</v>
      </c>
      <c r="D8628" s="1" t="s">
        <v>101</v>
      </c>
      <c r="E8628" s="1" t="s">
        <v>6</v>
      </c>
      <c r="F8628" s="1" t="s">
        <v>5091</v>
      </c>
      <c r="G8628" s="14" t="s">
        <v>4803</v>
      </c>
      <c r="H8628" s="1" t="s">
        <v>5</v>
      </c>
      <c r="I8628" s="17">
        <v>42017</v>
      </c>
    </row>
    <row r="8629" spans="1:9">
      <c r="A8629" s="16" t="s">
        <v>9022</v>
      </c>
      <c r="B8629" s="1" t="s">
        <v>2628</v>
      </c>
      <c r="C8629" s="1">
        <v>7</v>
      </c>
      <c r="D8629" s="1" t="s">
        <v>101</v>
      </c>
      <c r="E8629" s="1" t="s">
        <v>6</v>
      </c>
      <c r="F8629" s="1" t="s">
        <v>5091</v>
      </c>
      <c r="G8629" s="14" t="s">
        <v>9023</v>
      </c>
      <c r="H8629" s="1" t="s">
        <v>5</v>
      </c>
      <c r="I8629" s="17">
        <v>42096</v>
      </c>
    </row>
    <row r="8630" spans="1:9">
      <c r="A8630" s="16" t="s">
        <v>9054</v>
      </c>
      <c r="B8630" s="1" t="s">
        <v>2628</v>
      </c>
      <c r="C8630" s="1">
        <v>7</v>
      </c>
      <c r="D8630" s="1" t="s">
        <v>101</v>
      </c>
      <c r="E8630" s="1" t="s">
        <v>6</v>
      </c>
      <c r="F8630" s="1" t="s">
        <v>5091</v>
      </c>
      <c r="G8630" s="14" t="s">
        <v>4458</v>
      </c>
      <c r="H8630" s="1" t="s">
        <v>118</v>
      </c>
      <c r="I8630" s="1" t="s">
        <v>4458</v>
      </c>
    </row>
    <row r="8631" spans="1:9">
      <c r="A8631" s="16" t="s">
        <v>9080</v>
      </c>
      <c r="B8631" s="1" t="s">
        <v>2628</v>
      </c>
      <c r="C8631" s="1">
        <v>7</v>
      </c>
      <c r="D8631" s="1" t="s">
        <v>101</v>
      </c>
      <c r="E8631" s="1" t="s">
        <v>6</v>
      </c>
      <c r="F8631" s="1" t="s">
        <v>5091</v>
      </c>
      <c r="G8631" s="14" t="s">
        <v>6145</v>
      </c>
      <c r="H8631" s="1" t="s">
        <v>43</v>
      </c>
      <c r="I8631" s="17">
        <v>42111</v>
      </c>
    </row>
    <row r="8632" spans="1:9">
      <c r="A8632" s="16" t="s">
        <v>9081</v>
      </c>
      <c r="B8632" s="1" t="s">
        <v>2628</v>
      </c>
      <c r="C8632" s="1">
        <v>7</v>
      </c>
      <c r="D8632" s="1" t="s">
        <v>101</v>
      </c>
      <c r="E8632" s="1" t="s">
        <v>6</v>
      </c>
      <c r="F8632" s="1" t="s">
        <v>5091</v>
      </c>
      <c r="G8632" s="14" t="s">
        <v>6145</v>
      </c>
      <c r="H8632" s="1" t="s">
        <v>43</v>
      </c>
      <c r="I8632" s="17">
        <v>42111</v>
      </c>
    </row>
    <row r="8633" spans="1:9">
      <c r="A8633" s="16" t="s">
        <v>9083</v>
      </c>
      <c r="B8633" s="1" t="s">
        <v>2628</v>
      </c>
      <c r="C8633" s="1">
        <v>7</v>
      </c>
      <c r="D8633" s="1" t="s">
        <v>101</v>
      </c>
      <c r="E8633" s="1" t="s">
        <v>6</v>
      </c>
      <c r="F8633" s="1" t="s">
        <v>5091</v>
      </c>
      <c r="G8633" s="14" t="s">
        <v>6145</v>
      </c>
      <c r="H8633" s="1" t="s">
        <v>43</v>
      </c>
      <c r="I8633" s="17">
        <v>42111</v>
      </c>
    </row>
    <row r="8634" spans="1:9">
      <c r="A8634" s="16" t="s">
        <v>9084</v>
      </c>
      <c r="B8634" s="1" t="s">
        <v>2628</v>
      </c>
      <c r="C8634" s="1">
        <v>7</v>
      </c>
      <c r="D8634" s="1" t="s">
        <v>101</v>
      </c>
      <c r="E8634" s="1" t="s">
        <v>6</v>
      </c>
      <c r="F8634" s="1" t="s">
        <v>5091</v>
      </c>
      <c r="G8634" s="14" t="s">
        <v>9085</v>
      </c>
      <c r="H8634" s="1" t="s">
        <v>5</v>
      </c>
      <c r="I8634" s="17">
        <v>42114</v>
      </c>
    </row>
    <row r="8635" spans="1:9">
      <c r="A8635" s="16" t="s">
        <v>9086</v>
      </c>
      <c r="B8635" s="1" t="s">
        <v>2628</v>
      </c>
      <c r="C8635" s="1">
        <v>7</v>
      </c>
      <c r="D8635" s="1" t="s">
        <v>101</v>
      </c>
      <c r="E8635" s="1" t="s">
        <v>6</v>
      </c>
      <c r="F8635" s="1" t="s">
        <v>5091</v>
      </c>
      <c r="G8635" s="14" t="s">
        <v>9085</v>
      </c>
      <c r="H8635" s="1" t="s">
        <v>5</v>
      </c>
      <c r="I8635" s="17">
        <v>42114</v>
      </c>
    </row>
    <row r="8636" spans="1:9">
      <c r="A8636" s="16" t="s">
        <v>9120</v>
      </c>
      <c r="B8636" s="1" t="s">
        <v>2628</v>
      </c>
      <c r="C8636" s="1">
        <v>7</v>
      </c>
      <c r="D8636" s="1" t="s">
        <v>101</v>
      </c>
      <c r="E8636" s="1" t="s">
        <v>6</v>
      </c>
      <c r="F8636" s="1" t="s">
        <v>5091</v>
      </c>
      <c r="G8636" s="14" t="s">
        <v>6145</v>
      </c>
      <c r="H8636" s="1" t="s">
        <v>43</v>
      </c>
      <c r="I8636" s="17">
        <v>42111</v>
      </c>
    </row>
    <row r="8637" spans="1:9">
      <c r="A8637" s="16" t="s">
        <v>9121</v>
      </c>
      <c r="B8637" s="1" t="s">
        <v>2628</v>
      </c>
      <c r="C8637" s="1">
        <v>7</v>
      </c>
      <c r="D8637" s="1" t="s">
        <v>101</v>
      </c>
      <c r="E8637" s="1" t="s">
        <v>6</v>
      </c>
      <c r="F8637" s="1" t="s">
        <v>5091</v>
      </c>
      <c r="G8637" s="14" t="s">
        <v>6145</v>
      </c>
      <c r="H8637" s="1" t="s">
        <v>43</v>
      </c>
      <c r="I8637" s="17">
        <v>42111</v>
      </c>
    </row>
    <row r="8638" spans="1:9">
      <c r="A8638" s="16" t="s">
        <v>9123</v>
      </c>
      <c r="B8638" s="1" t="s">
        <v>2628</v>
      </c>
      <c r="C8638" s="1">
        <v>7</v>
      </c>
      <c r="D8638" s="1" t="s">
        <v>101</v>
      </c>
      <c r="E8638" s="1" t="s">
        <v>6</v>
      </c>
      <c r="F8638" s="1" t="s">
        <v>5091</v>
      </c>
      <c r="G8638" s="14" t="s">
        <v>6145</v>
      </c>
      <c r="H8638" s="1" t="s">
        <v>43</v>
      </c>
      <c r="I8638" s="17">
        <v>42111</v>
      </c>
    </row>
    <row r="8639" spans="1:9">
      <c r="A8639" s="16" t="s">
        <v>9124</v>
      </c>
      <c r="B8639" s="1" t="s">
        <v>2628</v>
      </c>
      <c r="C8639" s="1">
        <v>7</v>
      </c>
      <c r="D8639" s="1" t="s">
        <v>101</v>
      </c>
      <c r="E8639" s="1" t="s">
        <v>6</v>
      </c>
      <c r="F8639" s="1" t="s">
        <v>5091</v>
      </c>
      <c r="G8639" s="14" t="s">
        <v>6145</v>
      </c>
      <c r="H8639" s="1" t="s">
        <v>43</v>
      </c>
      <c r="I8639" s="17">
        <v>42111</v>
      </c>
    </row>
    <row r="8640" spans="1:9">
      <c r="A8640" s="16" t="s">
        <v>9125</v>
      </c>
      <c r="B8640" s="1" t="s">
        <v>2628</v>
      </c>
      <c r="C8640" s="1">
        <v>7</v>
      </c>
      <c r="D8640" s="1" t="s">
        <v>101</v>
      </c>
      <c r="E8640" s="1" t="s">
        <v>6</v>
      </c>
      <c r="F8640" s="1" t="s">
        <v>5091</v>
      </c>
      <c r="G8640" s="14" t="s">
        <v>6145</v>
      </c>
      <c r="H8640" s="1" t="s">
        <v>43</v>
      </c>
      <c r="I8640" s="17">
        <v>42111</v>
      </c>
    </row>
    <row r="8641" spans="1:9">
      <c r="A8641" s="16" t="s">
        <v>9126</v>
      </c>
      <c r="B8641" s="1" t="s">
        <v>2628</v>
      </c>
      <c r="C8641" s="1">
        <v>7</v>
      </c>
      <c r="D8641" s="1" t="s">
        <v>101</v>
      </c>
      <c r="E8641" s="1" t="s">
        <v>6</v>
      </c>
      <c r="F8641" s="1" t="s">
        <v>5091</v>
      </c>
      <c r="G8641" s="14" t="s">
        <v>6145</v>
      </c>
      <c r="H8641" s="1" t="s">
        <v>43</v>
      </c>
      <c r="I8641" s="17">
        <v>42111</v>
      </c>
    </row>
    <row r="8642" spans="1:9">
      <c r="A8642" s="16" t="s">
        <v>9127</v>
      </c>
      <c r="B8642" s="1" t="s">
        <v>2628</v>
      </c>
      <c r="C8642" s="1">
        <v>7</v>
      </c>
      <c r="D8642" s="1" t="s">
        <v>101</v>
      </c>
      <c r="E8642" s="1" t="s">
        <v>6</v>
      </c>
      <c r="F8642" s="1" t="s">
        <v>5091</v>
      </c>
      <c r="G8642" s="14" t="s">
        <v>6145</v>
      </c>
      <c r="H8642" s="1" t="s">
        <v>43</v>
      </c>
      <c r="I8642" s="17">
        <v>42111</v>
      </c>
    </row>
    <row r="8643" spans="1:9">
      <c r="A8643" s="16" t="s">
        <v>9128</v>
      </c>
      <c r="B8643" s="1" t="s">
        <v>2628</v>
      </c>
      <c r="C8643" s="1">
        <v>7</v>
      </c>
      <c r="D8643" s="1" t="s">
        <v>101</v>
      </c>
      <c r="E8643" s="1" t="s">
        <v>6</v>
      </c>
      <c r="F8643" s="1" t="s">
        <v>5091</v>
      </c>
      <c r="G8643" s="14" t="s">
        <v>6145</v>
      </c>
      <c r="H8643" s="1" t="s">
        <v>43</v>
      </c>
      <c r="I8643" s="17">
        <v>42111</v>
      </c>
    </row>
    <row r="8644" spans="1:9">
      <c r="A8644" s="16" t="s">
        <v>9132</v>
      </c>
      <c r="B8644" s="1" t="s">
        <v>2628</v>
      </c>
      <c r="C8644" s="1">
        <v>7</v>
      </c>
      <c r="D8644" s="1" t="s">
        <v>101</v>
      </c>
      <c r="E8644" s="1" t="s">
        <v>6</v>
      </c>
      <c r="F8644" s="1" t="s">
        <v>5091</v>
      </c>
      <c r="G8644" s="14" t="s">
        <v>6145</v>
      </c>
      <c r="H8644" s="1" t="s">
        <v>43</v>
      </c>
      <c r="I8644" s="17">
        <v>42111</v>
      </c>
    </row>
    <row r="8645" spans="1:9">
      <c r="A8645" s="16" t="s">
        <v>9133</v>
      </c>
      <c r="B8645" s="1" t="s">
        <v>2628</v>
      </c>
      <c r="C8645" s="1">
        <v>7</v>
      </c>
      <c r="D8645" s="1" t="s">
        <v>101</v>
      </c>
      <c r="E8645" s="1" t="s">
        <v>6</v>
      </c>
      <c r="F8645" s="1" t="s">
        <v>5091</v>
      </c>
      <c r="G8645" s="14" t="s">
        <v>6145</v>
      </c>
      <c r="H8645" s="1" t="s">
        <v>43</v>
      </c>
      <c r="I8645" s="17">
        <v>42111</v>
      </c>
    </row>
    <row r="8646" spans="1:9">
      <c r="A8646" s="16" t="s">
        <v>9134</v>
      </c>
      <c r="B8646" s="1" t="s">
        <v>2628</v>
      </c>
      <c r="C8646" s="1">
        <v>7</v>
      </c>
      <c r="D8646" s="1" t="s">
        <v>101</v>
      </c>
      <c r="E8646" s="1" t="s">
        <v>6</v>
      </c>
      <c r="F8646" s="1" t="s">
        <v>5091</v>
      </c>
      <c r="G8646" s="14" t="s">
        <v>6145</v>
      </c>
      <c r="H8646" s="1" t="s">
        <v>43</v>
      </c>
      <c r="I8646" s="17">
        <v>42111</v>
      </c>
    </row>
    <row r="8647" spans="1:9">
      <c r="A8647" s="16" t="s">
        <v>9135</v>
      </c>
      <c r="B8647" s="1" t="s">
        <v>2628</v>
      </c>
      <c r="C8647" s="1">
        <v>7</v>
      </c>
      <c r="D8647" s="1" t="s">
        <v>101</v>
      </c>
      <c r="E8647" s="1" t="s">
        <v>6</v>
      </c>
      <c r="F8647" s="1" t="s">
        <v>5091</v>
      </c>
      <c r="G8647" s="14" t="s">
        <v>6145</v>
      </c>
      <c r="H8647" s="1" t="s">
        <v>43</v>
      </c>
      <c r="I8647" s="17">
        <v>42111</v>
      </c>
    </row>
    <row r="8648" spans="1:9">
      <c r="A8648" s="16" t="s">
        <v>9136</v>
      </c>
      <c r="B8648" s="1" t="s">
        <v>2628</v>
      </c>
      <c r="C8648" s="1">
        <v>7</v>
      </c>
      <c r="D8648" s="1" t="s">
        <v>101</v>
      </c>
      <c r="E8648" s="1" t="s">
        <v>6</v>
      </c>
      <c r="F8648" s="1" t="s">
        <v>5091</v>
      </c>
      <c r="G8648" s="14" t="s">
        <v>6145</v>
      </c>
      <c r="H8648" s="1" t="s">
        <v>43</v>
      </c>
      <c r="I8648" s="17">
        <v>42111</v>
      </c>
    </row>
    <row r="8649" spans="1:9">
      <c r="A8649" s="16" t="s">
        <v>9137</v>
      </c>
      <c r="B8649" s="1" t="s">
        <v>2628</v>
      </c>
      <c r="C8649" s="1">
        <v>7</v>
      </c>
      <c r="D8649" s="1" t="s">
        <v>101</v>
      </c>
      <c r="E8649" s="1" t="s">
        <v>6</v>
      </c>
      <c r="F8649" s="1" t="s">
        <v>5091</v>
      </c>
      <c r="G8649" s="14" t="s">
        <v>6145</v>
      </c>
      <c r="H8649" s="1" t="s">
        <v>43</v>
      </c>
      <c r="I8649" s="17">
        <v>42111</v>
      </c>
    </row>
    <row r="8650" spans="1:9">
      <c r="A8650" s="16" t="s">
        <v>9139</v>
      </c>
      <c r="B8650" s="1" t="s">
        <v>2628</v>
      </c>
      <c r="C8650" s="1">
        <v>7</v>
      </c>
      <c r="D8650" s="1" t="s">
        <v>101</v>
      </c>
      <c r="E8650" s="1" t="s">
        <v>6</v>
      </c>
      <c r="F8650" s="1" t="s">
        <v>5091</v>
      </c>
      <c r="G8650" s="14" t="s">
        <v>6145</v>
      </c>
      <c r="H8650" s="1" t="s">
        <v>43</v>
      </c>
      <c r="I8650" s="17">
        <v>42111</v>
      </c>
    </row>
    <row r="8651" spans="1:9">
      <c r="A8651" s="16" t="s">
        <v>9141</v>
      </c>
      <c r="B8651" s="1" t="s">
        <v>2628</v>
      </c>
      <c r="C8651" s="1">
        <v>7</v>
      </c>
      <c r="D8651" s="1" t="s">
        <v>101</v>
      </c>
      <c r="E8651" s="1" t="s">
        <v>6</v>
      </c>
      <c r="F8651" s="1" t="s">
        <v>5091</v>
      </c>
      <c r="G8651" s="14" t="s">
        <v>6145</v>
      </c>
      <c r="H8651" s="1" t="s">
        <v>43</v>
      </c>
      <c r="I8651" s="17">
        <v>42111</v>
      </c>
    </row>
    <row r="8652" spans="1:9">
      <c r="A8652" s="16" t="s">
        <v>9142</v>
      </c>
      <c r="B8652" s="1" t="s">
        <v>2628</v>
      </c>
      <c r="C8652" s="1">
        <v>7</v>
      </c>
      <c r="D8652" s="1" t="s">
        <v>101</v>
      </c>
      <c r="E8652" s="1" t="s">
        <v>6</v>
      </c>
      <c r="F8652" s="1" t="s">
        <v>5091</v>
      </c>
      <c r="G8652" s="14" t="s">
        <v>6145</v>
      </c>
      <c r="H8652" s="1" t="s">
        <v>43</v>
      </c>
      <c r="I8652" s="17">
        <v>42111</v>
      </c>
    </row>
    <row r="8653" spans="1:9">
      <c r="A8653" s="16" t="s">
        <v>9143</v>
      </c>
      <c r="B8653" s="1" t="s">
        <v>2628</v>
      </c>
      <c r="C8653" s="1">
        <v>7</v>
      </c>
      <c r="D8653" s="1" t="s">
        <v>101</v>
      </c>
      <c r="E8653" s="1" t="s">
        <v>6</v>
      </c>
      <c r="F8653" s="1" t="s">
        <v>5091</v>
      </c>
      <c r="G8653" s="14" t="s">
        <v>6145</v>
      </c>
      <c r="H8653" s="1" t="s">
        <v>43</v>
      </c>
      <c r="I8653" s="17">
        <v>42111</v>
      </c>
    </row>
    <row r="8654" spans="1:9">
      <c r="A8654" s="16" t="s">
        <v>9144</v>
      </c>
      <c r="B8654" s="1" t="s">
        <v>2628</v>
      </c>
      <c r="C8654" s="1">
        <v>7</v>
      </c>
      <c r="D8654" s="1" t="s">
        <v>101</v>
      </c>
      <c r="E8654" s="1" t="s">
        <v>6</v>
      </c>
      <c r="F8654" s="1" t="s">
        <v>5091</v>
      </c>
      <c r="G8654" s="14" t="s">
        <v>6145</v>
      </c>
      <c r="H8654" s="1" t="s">
        <v>43</v>
      </c>
      <c r="I8654" s="17">
        <v>42111</v>
      </c>
    </row>
    <row r="8655" spans="1:9">
      <c r="A8655" s="16" t="s">
        <v>9145</v>
      </c>
      <c r="B8655" s="1" t="s">
        <v>2628</v>
      </c>
      <c r="C8655" s="1">
        <v>7</v>
      </c>
      <c r="D8655" s="1" t="s">
        <v>101</v>
      </c>
      <c r="E8655" s="1" t="s">
        <v>6</v>
      </c>
      <c r="F8655" s="1" t="s">
        <v>5091</v>
      </c>
      <c r="G8655" s="14" t="s">
        <v>6145</v>
      </c>
      <c r="H8655" s="1" t="s">
        <v>43</v>
      </c>
      <c r="I8655" s="17">
        <v>42111</v>
      </c>
    </row>
    <row r="8656" spans="1:9">
      <c r="A8656" s="16" t="s">
        <v>9146</v>
      </c>
      <c r="B8656" s="1" t="s">
        <v>2628</v>
      </c>
      <c r="C8656" s="1">
        <v>7</v>
      </c>
      <c r="D8656" s="1" t="s">
        <v>101</v>
      </c>
      <c r="E8656" s="1" t="s">
        <v>6</v>
      </c>
      <c r="F8656" s="1" t="s">
        <v>5091</v>
      </c>
      <c r="G8656" s="14" t="s">
        <v>6145</v>
      </c>
      <c r="H8656" s="1" t="s">
        <v>43</v>
      </c>
      <c r="I8656" s="17">
        <v>42111</v>
      </c>
    </row>
    <row r="8657" spans="1:9">
      <c r="A8657" s="16" t="s">
        <v>9147</v>
      </c>
      <c r="B8657" s="1" t="s">
        <v>2628</v>
      </c>
      <c r="C8657" s="1">
        <v>7</v>
      </c>
      <c r="D8657" s="1" t="s">
        <v>101</v>
      </c>
      <c r="E8657" s="1" t="s">
        <v>6</v>
      </c>
      <c r="F8657" s="1" t="s">
        <v>5091</v>
      </c>
      <c r="G8657" s="14" t="s">
        <v>6145</v>
      </c>
      <c r="H8657" s="1" t="s">
        <v>43</v>
      </c>
      <c r="I8657" s="17">
        <v>42111</v>
      </c>
    </row>
    <row r="8658" spans="1:9">
      <c r="A8658" s="16" t="s">
        <v>9148</v>
      </c>
      <c r="B8658" s="1" t="s">
        <v>2628</v>
      </c>
      <c r="C8658" s="1">
        <v>7</v>
      </c>
      <c r="D8658" s="1" t="s">
        <v>101</v>
      </c>
      <c r="E8658" s="1" t="s">
        <v>6</v>
      </c>
      <c r="F8658" s="1" t="s">
        <v>5091</v>
      </c>
      <c r="G8658" s="14" t="s">
        <v>6145</v>
      </c>
      <c r="H8658" s="1" t="s">
        <v>43</v>
      </c>
      <c r="I8658" s="17">
        <v>42111</v>
      </c>
    </row>
    <row r="8659" spans="1:9">
      <c r="A8659" s="16" t="s">
        <v>9149</v>
      </c>
      <c r="B8659" s="1" t="s">
        <v>2628</v>
      </c>
      <c r="C8659" s="1">
        <v>7</v>
      </c>
      <c r="D8659" s="1" t="s">
        <v>101</v>
      </c>
      <c r="E8659" s="1" t="s">
        <v>6</v>
      </c>
      <c r="F8659" s="1" t="s">
        <v>5091</v>
      </c>
      <c r="G8659" s="14" t="s">
        <v>6145</v>
      </c>
      <c r="H8659" s="1" t="s">
        <v>43</v>
      </c>
      <c r="I8659" s="17">
        <v>42111</v>
      </c>
    </row>
    <row r="8660" spans="1:9">
      <c r="A8660" s="16" t="s">
        <v>9150</v>
      </c>
      <c r="B8660" s="1" t="s">
        <v>2628</v>
      </c>
      <c r="C8660" s="1">
        <v>7</v>
      </c>
      <c r="D8660" s="1" t="s">
        <v>101</v>
      </c>
      <c r="E8660" s="1" t="s">
        <v>6</v>
      </c>
      <c r="F8660" s="1" t="s">
        <v>5091</v>
      </c>
      <c r="G8660" s="14" t="s">
        <v>6145</v>
      </c>
      <c r="H8660" s="1" t="s">
        <v>43</v>
      </c>
      <c r="I8660" s="17">
        <v>42111</v>
      </c>
    </row>
    <row r="8661" spans="1:9">
      <c r="A8661" s="16" t="s">
        <v>9151</v>
      </c>
      <c r="B8661" s="1" t="s">
        <v>2628</v>
      </c>
      <c r="C8661" s="1">
        <v>7</v>
      </c>
      <c r="D8661" s="1" t="s">
        <v>101</v>
      </c>
      <c r="E8661" s="1" t="s">
        <v>6</v>
      </c>
      <c r="F8661" s="1" t="s">
        <v>5091</v>
      </c>
      <c r="G8661" s="14" t="s">
        <v>6145</v>
      </c>
      <c r="H8661" s="1" t="s">
        <v>43</v>
      </c>
      <c r="I8661" s="17">
        <v>42111</v>
      </c>
    </row>
    <row r="8662" spans="1:9">
      <c r="A8662" s="16" t="s">
        <v>9152</v>
      </c>
      <c r="B8662" s="1" t="s">
        <v>2628</v>
      </c>
      <c r="C8662" s="1">
        <v>7</v>
      </c>
      <c r="D8662" s="1" t="s">
        <v>101</v>
      </c>
      <c r="E8662" s="1" t="s">
        <v>6</v>
      </c>
      <c r="F8662" s="1" t="s">
        <v>5091</v>
      </c>
      <c r="G8662" s="14" t="s">
        <v>6145</v>
      </c>
      <c r="H8662" s="1" t="s">
        <v>43</v>
      </c>
      <c r="I8662" s="17">
        <v>42111</v>
      </c>
    </row>
    <row r="8663" spans="1:9">
      <c r="A8663" s="16" t="s">
        <v>9170</v>
      </c>
      <c r="B8663" s="1" t="s">
        <v>2628</v>
      </c>
      <c r="C8663" s="1">
        <v>7</v>
      </c>
      <c r="D8663" s="1" t="s">
        <v>101</v>
      </c>
      <c r="E8663" s="1" t="s">
        <v>6</v>
      </c>
      <c r="F8663" s="1" t="s">
        <v>5091</v>
      </c>
      <c r="G8663" s="14" t="s">
        <v>6145</v>
      </c>
      <c r="H8663" s="1" t="s">
        <v>43</v>
      </c>
      <c r="I8663" s="17">
        <v>42111</v>
      </c>
    </row>
    <row r="8664" spans="1:9">
      <c r="A8664" s="16" t="s">
        <v>9171</v>
      </c>
      <c r="B8664" s="1" t="s">
        <v>2628</v>
      </c>
      <c r="C8664" s="1">
        <v>7</v>
      </c>
      <c r="D8664" s="1" t="s">
        <v>101</v>
      </c>
      <c r="E8664" s="1" t="s">
        <v>6</v>
      </c>
      <c r="F8664" s="1" t="s">
        <v>5091</v>
      </c>
      <c r="G8664" s="14" t="s">
        <v>6145</v>
      </c>
      <c r="H8664" s="1" t="s">
        <v>43</v>
      </c>
      <c r="I8664" s="17">
        <v>42111</v>
      </c>
    </row>
    <row r="8665" spans="1:9">
      <c r="A8665" s="16" t="s">
        <v>9172</v>
      </c>
      <c r="B8665" s="1" t="s">
        <v>2628</v>
      </c>
      <c r="C8665" s="1">
        <v>7</v>
      </c>
      <c r="D8665" s="1" t="s">
        <v>101</v>
      </c>
      <c r="E8665" s="1" t="s">
        <v>6</v>
      </c>
      <c r="F8665" s="1" t="s">
        <v>5091</v>
      </c>
      <c r="G8665" s="14" t="s">
        <v>6145</v>
      </c>
      <c r="H8665" s="1" t="s">
        <v>43</v>
      </c>
      <c r="I8665" s="17">
        <v>42111</v>
      </c>
    </row>
    <row r="8666" spans="1:9">
      <c r="A8666" s="16" t="s">
        <v>9173</v>
      </c>
      <c r="B8666" s="1" t="s">
        <v>2628</v>
      </c>
      <c r="C8666" s="1">
        <v>7</v>
      </c>
      <c r="D8666" s="1" t="s">
        <v>101</v>
      </c>
      <c r="E8666" s="1" t="s">
        <v>6</v>
      </c>
      <c r="F8666" s="1" t="s">
        <v>5091</v>
      </c>
      <c r="G8666" s="14" t="s">
        <v>6145</v>
      </c>
      <c r="H8666" s="1" t="s">
        <v>43</v>
      </c>
      <c r="I8666" s="17">
        <v>42111</v>
      </c>
    </row>
    <row r="8667" spans="1:9">
      <c r="A8667" s="16" t="s">
        <v>9174</v>
      </c>
      <c r="B8667" s="1" t="s">
        <v>2628</v>
      </c>
      <c r="C8667" s="1">
        <v>7</v>
      </c>
      <c r="D8667" s="1" t="s">
        <v>101</v>
      </c>
      <c r="E8667" s="1" t="s">
        <v>6</v>
      </c>
      <c r="F8667" s="1" t="s">
        <v>5091</v>
      </c>
      <c r="G8667" s="14" t="s">
        <v>6145</v>
      </c>
      <c r="H8667" s="1" t="s">
        <v>43</v>
      </c>
      <c r="I8667" s="17">
        <v>42111</v>
      </c>
    </row>
    <row r="8668" spans="1:9">
      <c r="A8668" s="16" t="s">
        <v>9175</v>
      </c>
      <c r="B8668" s="1" t="s">
        <v>2628</v>
      </c>
      <c r="C8668" s="1">
        <v>7</v>
      </c>
      <c r="D8668" s="1" t="s">
        <v>101</v>
      </c>
      <c r="E8668" s="1" t="s">
        <v>6</v>
      </c>
      <c r="F8668" s="1" t="s">
        <v>5091</v>
      </c>
      <c r="G8668" s="14" t="s">
        <v>6145</v>
      </c>
      <c r="H8668" s="1" t="s">
        <v>43</v>
      </c>
      <c r="I8668" s="17">
        <v>42111</v>
      </c>
    </row>
    <row r="8669" spans="1:9">
      <c r="A8669" s="16" t="s">
        <v>9176</v>
      </c>
      <c r="B8669" s="1" t="s">
        <v>2628</v>
      </c>
      <c r="C8669" s="1">
        <v>7</v>
      </c>
      <c r="D8669" s="1" t="s">
        <v>101</v>
      </c>
      <c r="E8669" s="1" t="s">
        <v>6</v>
      </c>
      <c r="F8669" s="1" t="s">
        <v>5091</v>
      </c>
      <c r="G8669" s="14" t="s">
        <v>6145</v>
      </c>
      <c r="H8669" s="1" t="s">
        <v>43</v>
      </c>
      <c r="I8669" s="17">
        <v>42111</v>
      </c>
    </row>
    <row r="8670" spans="1:9">
      <c r="A8670" s="16" t="s">
        <v>9177</v>
      </c>
      <c r="B8670" s="1" t="s">
        <v>2628</v>
      </c>
      <c r="C8670" s="1">
        <v>7</v>
      </c>
      <c r="D8670" s="1" t="s">
        <v>101</v>
      </c>
      <c r="E8670" s="1" t="s">
        <v>6</v>
      </c>
      <c r="F8670" s="1" t="s">
        <v>5091</v>
      </c>
      <c r="G8670" s="14" t="s">
        <v>6145</v>
      </c>
      <c r="H8670" s="1" t="s">
        <v>43</v>
      </c>
      <c r="I8670" s="17">
        <v>42111</v>
      </c>
    </row>
    <row r="8671" spans="1:9">
      <c r="A8671" s="16" t="s">
        <v>9178</v>
      </c>
      <c r="B8671" s="1" t="s">
        <v>2628</v>
      </c>
      <c r="C8671" s="1">
        <v>7</v>
      </c>
      <c r="D8671" s="1" t="s">
        <v>101</v>
      </c>
      <c r="E8671" s="1" t="s">
        <v>6</v>
      </c>
      <c r="F8671" s="1" t="s">
        <v>5091</v>
      </c>
      <c r="G8671" s="14" t="s">
        <v>6145</v>
      </c>
      <c r="H8671" s="1" t="s">
        <v>43</v>
      </c>
      <c r="I8671" s="17">
        <v>42111</v>
      </c>
    </row>
    <row r="8672" spans="1:9">
      <c r="A8672" s="16" t="s">
        <v>9179</v>
      </c>
      <c r="B8672" s="1" t="s">
        <v>2628</v>
      </c>
      <c r="C8672" s="1">
        <v>7</v>
      </c>
      <c r="D8672" s="1" t="s">
        <v>101</v>
      </c>
      <c r="E8672" s="1" t="s">
        <v>6</v>
      </c>
      <c r="F8672" s="1" t="s">
        <v>5091</v>
      </c>
      <c r="G8672" s="14" t="s">
        <v>6145</v>
      </c>
      <c r="H8672" s="1" t="s">
        <v>43</v>
      </c>
      <c r="I8672" s="17">
        <v>42111</v>
      </c>
    </row>
    <row r="8673" spans="1:9">
      <c r="A8673" s="16" t="s">
        <v>9181</v>
      </c>
      <c r="B8673" s="1" t="s">
        <v>2628</v>
      </c>
      <c r="C8673" s="1">
        <v>7</v>
      </c>
      <c r="D8673" s="1" t="s">
        <v>101</v>
      </c>
      <c r="E8673" s="1" t="s">
        <v>6</v>
      </c>
      <c r="F8673" s="1" t="s">
        <v>5091</v>
      </c>
      <c r="G8673" s="14" t="s">
        <v>6145</v>
      </c>
      <c r="H8673" s="1" t="s">
        <v>43</v>
      </c>
      <c r="I8673" s="17">
        <v>42111</v>
      </c>
    </row>
    <row r="8674" spans="1:9">
      <c r="A8674" s="16" t="s">
        <v>9183</v>
      </c>
      <c r="B8674" s="1" t="s">
        <v>2628</v>
      </c>
      <c r="C8674" s="1">
        <v>7</v>
      </c>
      <c r="D8674" s="1" t="s">
        <v>101</v>
      </c>
      <c r="E8674" s="1" t="s">
        <v>6</v>
      </c>
      <c r="F8674" s="1" t="s">
        <v>5091</v>
      </c>
      <c r="G8674" s="14" t="s">
        <v>6145</v>
      </c>
      <c r="H8674" s="1" t="s">
        <v>43</v>
      </c>
      <c r="I8674" s="17">
        <v>42111</v>
      </c>
    </row>
    <row r="8675" spans="1:9">
      <c r="A8675" s="16" t="s">
        <v>9184</v>
      </c>
      <c r="B8675" s="1" t="s">
        <v>2628</v>
      </c>
      <c r="C8675" s="1">
        <v>7</v>
      </c>
      <c r="D8675" s="1" t="s">
        <v>101</v>
      </c>
      <c r="E8675" s="1" t="s">
        <v>6</v>
      </c>
      <c r="F8675" s="1" t="s">
        <v>5091</v>
      </c>
      <c r="G8675" s="14" t="s">
        <v>6145</v>
      </c>
      <c r="H8675" s="1" t="s">
        <v>43</v>
      </c>
      <c r="I8675" s="17">
        <v>42111</v>
      </c>
    </row>
    <row r="8676" spans="1:9">
      <c r="A8676" s="16" t="s">
        <v>9203</v>
      </c>
      <c r="B8676" s="1" t="s">
        <v>2628</v>
      </c>
      <c r="C8676" s="1">
        <v>7</v>
      </c>
      <c r="D8676" s="1" t="s">
        <v>101</v>
      </c>
      <c r="E8676" s="1" t="s">
        <v>6</v>
      </c>
      <c r="F8676" s="1" t="s">
        <v>5091</v>
      </c>
      <c r="G8676" s="14" t="s">
        <v>6145</v>
      </c>
      <c r="H8676" s="1" t="s">
        <v>43</v>
      </c>
      <c r="I8676" s="17">
        <v>42177</v>
      </c>
    </row>
    <row r="8677" spans="1:9">
      <c r="A8677" s="16" t="s">
        <v>9204</v>
      </c>
      <c r="B8677" s="1" t="s">
        <v>2628</v>
      </c>
      <c r="C8677" s="1">
        <v>7</v>
      </c>
      <c r="D8677" s="1" t="s">
        <v>101</v>
      </c>
      <c r="E8677" s="1" t="s">
        <v>6</v>
      </c>
      <c r="F8677" s="1" t="s">
        <v>5091</v>
      </c>
      <c r="G8677" s="14" t="s">
        <v>6145</v>
      </c>
      <c r="H8677" s="1" t="s">
        <v>43</v>
      </c>
      <c r="I8677" s="17">
        <v>42177</v>
      </c>
    </row>
    <row r="8678" spans="1:9">
      <c r="A8678" s="16" t="s">
        <v>9205</v>
      </c>
      <c r="B8678" s="1" t="s">
        <v>2628</v>
      </c>
      <c r="C8678" s="1">
        <v>7</v>
      </c>
      <c r="D8678" s="1" t="s">
        <v>101</v>
      </c>
      <c r="E8678" s="1" t="s">
        <v>6</v>
      </c>
      <c r="F8678" s="1" t="s">
        <v>5091</v>
      </c>
      <c r="G8678" s="14" t="s">
        <v>6145</v>
      </c>
      <c r="H8678" s="1" t="s">
        <v>43</v>
      </c>
      <c r="I8678" s="17">
        <v>42177</v>
      </c>
    </row>
    <row r="8679" spans="1:9">
      <c r="A8679" s="16" t="s">
        <v>9215</v>
      </c>
      <c r="B8679" s="1" t="s">
        <v>2628</v>
      </c>
      <c r="C8679" s="1">
        <v>7</v>
      </c>
      <c r="D8679" s="1" t="s">
        <v>101</v>
      </c>
      <c r="E8679" s="1" t="s">
        <v>6</v>
      </c>
      <c r="F8679" s="1" t="s">
        <v>5091</v>
      </c>
      <c r="G8679" s="14" t="s">
        <v>6145</v>
      </c>
      <c r="H8679" s="1" t="s">
        <v>43</v>
      </c>
      <c r="I8679" s="17">
        <v>42164</v>
      </c>
    </row>
    <row r="8680" spans="1:9">
      <c r="A8680" s="16" t="s">
        <v>9216</v>
      </c>
      <c r="B8680" s="1" t="s">
        <v>2628</v>
      </c>
      <c r="C8680" s="1">
        <v>7</v>
      </c>
      <c r="D8680" s="1" t="s">
        <v>101</v>
      </c>
      <c r="E8680" s="1" t="s">
        <v>6</v>
      </c>
      <c r="F8680" s="1" t="s">
        <v>5091</v>
      </c>
      <c r="G8680" s="14" t="s">
        <v>6145</v>
      </c>
      <c r="H8680" s="1" t="s">
        <v>43</v>
      </c>
      <c r="I8680" s="17">
        <v>42164</v>
      </c>
    </row>
    <row r="8681" spans="1:9">
      <c r="A8681" s="16" t="s">
        <v>9225</v>
      </c>
      <c r="B8681" s="1" t="s">
        <v>2628</v>
      </c>
      <c r="C8681" s="1">
        <v>7</v>
      </c>
      <c r="D8681" s="1" t="s">
        <v>101</v>
      </c>
      <c r="E8681" s="1" t="s">
        <v>6</v>
      </c>
      <c r="F8681" s="1" t="s">
        <v>5091</v>
      </c>
      <c r="G8681" s="14" t="s">
        <v>6145</v>
      </c>
      <c r="H8681" s="1" t="s">
        <v>43</v>
      </c>
      <c r="I8681" s="17">
        <v>42164</v>
      </c>
    </row>
    <row r="8682" spans="1:9">
      <c r="A8682" s="16" t="s">
        <v>9291</v>
      </c>
      <c r="B8682" s="1" t="s">
        <v>2628</v>
      </c>
      <c r="C8682" s="1">
        <v>7</v>
      </c>
      <c r="D8682" s="1" t="s">
        <v>101</v>
      </c>
      <c r="E8682" s="1" t="s">
        <v>6</v>
      </c>
      <c r="F8682" s="1" t="s">
        <v>5091</v>
      </c>
      <c r="G8682" s="14" t="s">
        <v>9292</v>
      </c>
      <c r="H8682" s="1" t="s">
        <v>5</v>
      </c>
      <c r="I8682" s="17">
        <v>42005</v>
      </c>
    </row>
    <row r="8683" spans="1:9">
      <c r="A8683" s="16" t="s">
        <v>9307</v>
      </c>
      <c r="B8683" s="1" t="s">
        <v>2628</v>
      </c>
      <c r="C8683" s="1">
        <v>7</v>
      </c>
      <c r="D8683" s="1" t="s">
        <v>101</v>
      </c>
      <c r="E8683" s="1" t="s">
        <v>6</v>
      </c>
      <c r="F8683" s="1" t="s">
        <v>5091</v>
      </c>
      <c r="G8683" s="14" t="s">
        <v>6145</v>
      </c>
      <c r="H8683" s="1" t="s">
        <v>43</v>
      </c>
      <c r="I8683" s="17">
        <v>40108</v>
      </c>
    </row>
    <row r="8684" spans="1:9">
      <c r="A8684" s="16" t="s">
        <v>9376</v>
      </c>
      <c r="B8684" s="1" t="s">
        <v>2628</v>
      </c>
      <c r="C8684" s="1">
        <v>7</v>
      </c>
      <c r="D8684" s="1" t="s">
        <v>101</v>
      </c>
      <c r="E8684" s="1" t="s">
        <v>6</v>
      </c>
      <c r="F8684" s="1" t="s">
        <v>5091</v>
      </c>
      <c r="G8684" s="14" t="s">
        <v>9377</v>
      </c>
      <c r="H8684" s="1" t="s">
        <v>5</v>
      </c>
      <c r="I8684" s="17">
        <v>37196</v>
      </c>
    </row>
    <row r="8685" spans="1:9">
      <c r="A8685" s="16" t="s">
        <v>9379</v>
      </c>
      <c r="B8685" s="1" t="s">
        <v>2628</v>
      </c>
      <c r="C8685" s="1">
        <v>7</v>
      </c>
      <c r="D8685" s="1" t="s">
        <v>101</v>
      </c>
      <c r="E8685" s="1" t="s">
        <v>6</v>
      </c>
      <c r="F8685" s="1" t="s">
        <v>36</v>
      </c>
      <c r="G8685" s="14" t="s">
        <v>9380</v>
      </c>
      <c r="H8685" s="1" t="s">
        <v>5</v>
      </c>
      <c r="I8685" s="17">
        <v>40613</v>
      </c>
    </row>
    <row r="8686" spans="1:9">
      <c r="A8686" s="16" t="s">
        <v>9385</v>
      </c>
      <c r="B8686" s="1" t="s">
        <v>2628</v>
      </c>
      <c r="C8686" s="1">
        <v>7</v>
      </c>
      <c r="D8686" s="1" t="s">
        <v>101</v>
      </c>
      <c r="E8686" s="1" t="s">
        <v>6</v>
      </c>
      <c r="F8686" s="1" t="s">
        <v>5091</v>
      </c>
      <c r="G8686" s="14" t="s">
        <v>6145</v>
      </c>
      <c r="H8686" s="1" t="s">
        <v>43</v>
      </c>
      <c r="I8686" s="17">
        <v>40735</v>
      </c>
    </row>
    <row r="8687" spans="1:9">
      <c r="A8687" s="16" t="s">
        <v>9386</v>
      </c>
      <c r="B8687" s="1" t="s">
        <v>2628</v>
      </c>
      <c r="C8687" s="1">
        <v>7</v>
      </c>
      <c r="D8687" s="1" t="s">
        <v>101</v>
      </c>
      <c r="E8687" s="1" t="s">
        <v>6</v>
      </c>
      <c r="F8687" s="1" t="s">
        <v>5091</v>
      </c>
      <c r="G8687" s="14" t="s">
        <v>6145</v>
      </c>
      <c r="H8687" s="1" t="s">
        <v>43</v>
      </c>
      <c r="I8687" s="17">
        <v>40735</v>
      </c>
    </row>
    <row r="8688" spans="1:9">
      <c r="A8688" s="16" t="s">
        <v>9387</v>
      </c>
      <c r="B8688" s="1" t="s">
        <v>2628</v>
      </c>
      <c r="C8688" s="1">
        <v>7</v>
      </c>
      <c r="D8688" s="1" t="s">
        <v>101</v>
      </c>
      <c r="E8688" s="1" t="s">
        <v>6</v>
      </c>
      <c r="F8688" s="1" t="s">
        <v>5091</v>
      </c>
      <c r="G8688" s="14" t="s">
        <v>4458</v>
      </c>
      <c r="H8688" s="1" t="s">
        <v>118</v>
      </c>
      <c r="I8688" s="1" t="s">
        <v>4458</v>
      </c>
    </row>
    <row r="8689" spans="1:9">
      <c r="A8689" s="16" t="s">
        <v>9408</v>
      </c>
      <c r="B8689" s="1" t="s">
        <v>2628</v>
      </c>
      <c r="C8689" s="1">
        <v>7</v>
      </c>
      <c r="D8689" s="1" t="s">
        <v>101</v>
      </c>
      <c r="E8689" s="1" t="s">
        <v>6</v>
      </c>
      <c r="F8689" s="1" t="s">
        <v>5091</v>
      </c>
      <c r="G8689" s="14" t="s">
        <v>9409</v>
      </c>
      <c r="H8689" s="1" t="s">
        <v>5</v>
      </c>
      <c r="I8689" s="17">
        <v>42217</v>
      </c>
    </row>
    <row r="8690" spans="1:9">
      <c r="A8690" s="16" t="s">
        <v>9497</v>
      </c>
      <c r="B8690" s="1" t="s">
        <v>2628</v>
      </c>
      <c r="C8690" s="1">
        <v>7</v>
      </c>
      <c r="D8690" s="1" t="s">
        <v>101</v>
      </c>
      <c r="E8690" s="1" t="s">
        <v>6</v>
      </c>
      <c r="F8690" s="1" t="s">
        <v>5091</v>
      </c>
      <c r="G8690" s="14" t="s">
        <v>7987</v>
      </c>
      <c r="H8690" s="1" t="s">
        <v>5</v>
      </c>
      <c r="I8690" s="17">
        <v>41128</v>
      </c>
    </row>
    <row r="8691" spans="1:9">
      <c r="A8691" s="16" t="s">
        <v>9505</v>
      </c>
      <c r="B8691" s="1" t="s">
        <v>2628</v>
      </c>
      <c r="C8691" s="1">
        <v>7</v>
      </c>
      <c r="D8691" s="1" t="s">
        <v>101</v>
      </c>
      <c r="E8691" s="1" t="s">
        <v>6</v>
      </c>
      <c r="F8691" s="1" t="s">
        <v>5091</v>
      </c>
      <c r="G8691" s="14" t="s">
        <v>9506</v>
      </c>
      <c r="H8691" s="1" t="s">
        <v>5</v>
      </c>
      <c r="I8691" s="17">
        <v>37008</v>
      </c>
    </row>
    <row r="8692" spans="1:9">
      <c r="A8692" s="16" t="s">
        <v>9507</v>
      </c>
      <c r="B8692" s="1" t="s">
        <v>2628</v>
      </c>
      <c r="C8692" s="1">
        <v>7</v>
      </c>
      <c r="D8692" s="1" t="s">
        <v>101</v>
      </c>
      <c r="E8692" s="1" t="s">
        <v>6</v>
      </c>
      <c r="F8692" s="1" t="s">
        <v>5091</v>
      </c>
      <c r="G8692" s="14" t="s">
        <v>7560</v>
      </c>
      <c r="H8692" s="1" t="s">
        <v>5</v>
      </c>
      <c r="I8692" s="17">
        <v>37026</v>
      </c>
    </row>
    <row r="8693" spans="1:9">
      <c r="A8693" s="16" t="s">
        <v>9508</v>
      </c>
      <c r="B8693" s="1" t="s">
        <v>2628</v>
      </c>
      <c r="C8693" s="1">
        <v>7</v>
      </c>
      <c r="D8693" s="1" t="s">
        <v>101</v>
      </c>
      <c r="E8693" s="1" t="s">
        <v>6</v>
      </c>
      <c r="F8693" s="1" t="s">
        <v>5091</v>
      </c>
      <c r="G8693" s="14" t="s">
        <v>9506</v>
      </c>
      <c r="H8693" s="1" t="s">
        <v>5</v>
      </c>
      <c r="I8693" s="17">
        <v>37027</v>
      </c>
    </row>
    <row r="8694" spans="1:9">
      <c r="A8694" s="16" t="s">
        <v>9509</v>
      </c>
      <c r="B8694" s="1" t="s">
        <v>2628</v>
      </c>
      <c r="C8694" s="1">
        <v>7</v>
      </c>
      <c r="D8694" s="1" t="s">
        <v>101</v>
      </c>
      <c r="E8694" s="1" t="s">
        <v>6</v>
      </c>
      <c r="F8694" s="1" t="s">
        <v>5091</v>
      </c>
      <c r="G8694" s="14" t="s">
        <v>9506</v>
      </c>
      <c r="H8694" s="1" t="s">
        <v>5</v>
      </c>
      <c r="I8694" s="17">
        <v>37027</v>
      </c>
    </row>
    <row r="8695" spans="1:9">
      <c r="A8695" s="16" t="s">
        <v>9510</v>
      </c>
      <c r="B8695" s="1" t="s">
        <v>2628</v>
      </c>
      <c r="C8695" s="1">
        <v>7</v>
      </c>
      <c r="D8695" s="1" t="s">
        <v>101</v>
      </c>
      <c r="E8695" s="1" t="s">
        <v>6</v>
      </c>
      <c r="F8695" s="1" t="s">
        <v>5091</v>
      </c>
      <c r="G8695" s="14" t="s">
        <v>9506</v>
      </c>
      <c r="H8695" s="1" t="s">
        <v>5</v>
      </c>
      <c r="I8695" s="17">
        <v>37028</v>
      </c>
    </row>
    <row r="8696" spans="1:9">
      <c r="A8696" s="16" t="s">
        <v>9597</v>
      </c>
      <c r="B8696" s="1" t="s">
        <v>2628</v>
      </c>
      <c r="C8696" s="1">
        <v>7</v>
      </c>
      <c r="D8696" s="1" t="s">
        <v>101</v>
      </c>
      <c r="E8696" s="1" t="s">
        <v>6</v>
      </c>
      <c r="F8696" s="1" t="s">
        <v>5091</v>
      </c>
      <c r="G8696" s="14" t="s">
        <v>6145</v>
      </c>
      <c r="H8696" s="1" t="s">
        <v>43</v>
      </c>
      <c r="I8696" s="17">
        <v>42255</v>
      </c>
    </row>
    <row r="8697" spans="1:9">
      <c r="A8697" s="16" t="s">
        <v>9608</v>
      </c>
      <c r="B8697" s="1" t="s">
        <v>2628</v>
      </c>
      <c r="C8697" s="1">
        <v>7</v>
      </c>
      <c r="D8697" s="1" t="s">
        <v>101</v>
      </c>
      <c r="E8697" s="1" t="s">
        <v>6</v>
      </c>
      <c r="F8697" s="1" t="s">
        <v>5091</v>
      </c>
      <c r="G8697" s="14" t="s">
        <v>6530</v>
      </c>
      <c r="H8697" s="1" t="s">
        <v>43</v>
      </c>
      <c r="I8697" s="17">
        <v>42269</v>
      </c>
    </row>
    <row r="8698" spans="1:9">
      <c r="A8698" s="16" t="s">
        <v>9617</v>
      </c>
      <c r="B8698" s="1" t="s">
        <v>2628</v>
      </c>
      <c r="C8698" s="1">
        <v>7</v>
      </c>
      <c r="D8698" s="1" t="s">
        <v>101</v>
      </c>
      <c r="E8698" s="1" t="s">
        <v>6</v>
      </c>
      <c r="F8698" s="1" t="s">
        <v>5091</v>
      </c>
      <c r="G8698" s="14" t="s">
        <v>9292</v>
      </c>
      <c r="H8698" s="1" t="s">
        <v>5</v>
      </c>
      <c r="I8698" s="17">
        <v>42005</v>
      </c>
    </row>
    <row r="8699" spans="1:9">
      <c r="A8699" s="16" t="s">
        <v>9631</v>
      </c>
      <c r="B8699" s="1" t="s">
        <v>2628</v>
      </c>
      <c r="C8699" s="1">
        <v>7</v>
      </c>
      <c r="D8699" s="1" t="s">
        <v>101</v>
      </c>
      <c r="E8699" s="1" t="s">
        <v>6</v>
      </c>
      <c r="F8699" s="1" t="s">
        <v>5091</v>
      </c>
      <c r="G8699" s="14" t="s">
        <v>9632</v>
      </c>
      <c r="H8699" s="1" t="s">
        <v>5</v>
      </c>
      <c r="I8699" s="17">
        <v>42263</v>
      </c>
    </row>
    <row r="8700" spans="1:9">
      <c r="A8700" s="16" t="s">
        <v>9633</v>
      </c>
      <c r="B8700" s="1" t="s">
        <v>2628</v>
      </c>
      <c r="C8700" s="1">
        <v>7</v>
      </c>
      <c r="D8700" s="1" t="s">
        <v>101</v>
      </c>
      <c r="E8700" s="1" t="s">
        <v>6</v>
      </c>
      <c r="F8700" s="1" t="s">
        <v>5091</v>
      </c>
      <c r="G8700" s="14" t="s">
        <v>9632</v>
      </c>
      <c r="H8700" s="1" t="s">
        <v>5</v>
      </c>
      <c r="I8700" s="17">
        <v>42263</v>
      </c>
    </row>
    <row r="8701" spans="1:9">
      <c r="A8701" s="16" t="s">
        <v>9665</v>
      </c>
      <c r="B8701" s="1" t="s">
        <v>2628</v>
      </c>
      <c r="C8701" s="1">
        <v>7</v>
      </c>
      <c r="D8701" s="1" t="s">
        <v>101</v>
      </c>
      <c r="E8701" s="1" t="s">
        <v>6</v>
      </c>
      <c r="F8701" s="1" t="s">
        <v>5091</v>
      </c>
      <c r="G8701" s="14" t="s">
        <v>6307</v>
      </c>
      <c r="H8701" s="1" t="s">
        <v>44</v>
      </c>
      <c r="I8701" s="17">
        <v>42283</v>
      </c>
    </row>
    <row r="8702" spans="1:9">
      <c r="A8702" s="16" t="s">
        <v>9666</v>
      </c>
      <c r="B8702" s="1" t="s">
        <v>2628</v>
      </c>
      <c r="C8702" s="1">
        <v>7</v>
      </c>
      <c r="D8702" s="1" t="s">
        <v>101</v>
      </c>
      <c r="E8702" s="1" t="s">
        <v>6</v>
      </c>
      <c r="F8702" s="1" t="s">
        <v>5091</v>
      </c>
      <c r="G8702" s="14" t="s">
        <v>6307</v>
      </c>
      <c r="H8702" s="1" t="s">
        <v>44</v>
      </c>
      <c r="I8702" s="17">
        <v>42283</v>
      </c>
    </row>
    <row r="8703" spans="1:9">
      <c r="A8703" s="16" t="s">
        <v>9667</v>
      </c>
      <c r="B8703" s="1" t="s">
        <v>2628</v>
      </c>
      <c r="C8703" s="1">
        <v>7</v>
      </c>
      <c r="D8703" s="1" t="s">
        <v>101</v>
      </c>
      <c r="E8703" s="1" t="s">
        <v>6</v>
      </c>
      <c r="F8703" s="1" t="s">
        <v>5091</v>
      </c>
      <c r="G8703" s="14" t="s">
        <v>6307</v>
      </c>
      <c r="H8703" s="1" t="s">
        <v>44</v>
      </c>
      <c r="I8703" s="17">
        <v>42283</v>
      </c>
    </row>
    <row r="8704" spans="1:9">
      <c r="A8704" s="16" t="s">
        <v>9699</v>
      </c>
      <c r="B8704" s="1" t="s">
        <v>2628</v>
      </c>
      <c r="C8704" s="1">
        <v>7</v>
      </c>
      <c r="D8704" s="1" t="s">
        <v>101</v>
      </c>
      <c r="E8704" s="1" t="s">
        <v>6</v>
      </c>
      <c r="F8704" s="1" t="s">
        <v>5091</v>
      </c>
      <c r="G8704" s="14" t="s">
        <v>6307</v>
      </c>
      <c r="H8704" s="1" t="s">
        <v>44</v>
      </c>
      <c r="I8704" s="17">
        <v>42282</v>
      </c>
    </row>
    <row r="8705" spans="1:9">
      <c r="A8705" s="16" t="s">
        <v>9700</v>
      </c>
      <c r="B8705" s="1" t="s">
        <v>2628</v>
      </c>
      <c r="C8705" s="1">
        <v>7</v>
      </c>
      <c r="D8705" s="1" t="s">
        <v>101</v>
      </c>
      <c r="E8705" s="1" t="s">
        <v>6</v>
      </c>
      <c r="F8705" s="1" t="s">
        <v>5091</v>
      </c>
      <c r="G8705" s="14" t="s">
        <v>6307</v>
      </c>
      <c r="H8705" s="1" t="s">
        <v>44</v>
      </c>
      <c r="I8705" s="17">
        <v>42282</v>
      </c>
    </row>
    <row r="8706" spans="1:9">
      <c r="A8706" s="16" t="s">
        <v>9702</v>
      </c>
      <c r="B8706" s="1" t="s">
        <v>2628</v>
      </c>
      <c r="C8706" s="1">
        <v>7</v>
      </c>
      <c r="D8706" s="1" t="s">
        <v>101</v>
      </c>
      <c r="E8706" s="1" t="s">
        <v>6</v>
      </c>
      <c r="F8706" s="1" t="s">
        <v>5091</v>
      </c>
      <c r="G8706" s="14" t="s">
        <v>6307</v>
      </c>
      <c r="H8706" s="1" t="s">
        <v>44</v>
      </c>
      <c r="I8706" s="17">
        <v>42282</v>
      </c>
    </row>
    <row r="8707" spans="1:9">
      <c r="A8707" s="16" t="s">
        <v>9706</v>
      </c>
      <c r="B8707" s="1" t="s">
        <v>2628</v>
      </c>
      <c r="C8707" s="1">
        <v>7</v>
      </c>
      <c r="D8707" s="1" t="s">
        <v>101</v>
      </c>
      <c r="E8707" s="1" t="s">
        <v>6</v>
      </c>
      <c r="F8707" s="1" t="s">
        <v>5091</v>
      </c>
      <c r="G8707" s="14" t="s">
        <v>6307</v>
      </c>
      <c r="H8707" s="1" t="s">
        <v>44</v>
      </c>
      <c r="I8707" s="17">
        <v>42282</v>
      </c>
    </row>
    <row r="8708" spans="1:9">
      <c r="A8708" s="16" t="s">
        <v>9707</v>
      </c>
      <c r="B8708" s="1" t="s">
        <v>2628</v>
      </c>
      <c r="C8708" s="1">
        <v>7</v>
      </c>
      <c r="D8708" s="1" t="s">
        <v>101</v>
      </c>
      <c r="E8708" s="1" t="s">
        <v>6</v>
      </c>
      <c r="F8708" s="1" t="s">
        <v>5091</v>
      </c>
      <c r="G8708" s="14" t="s">
        <v>6307</v>
      </c>
      <c r="H8708" s="1" t="s">
        <v>44</v>
      </c>
      <c r="I8708" s="17">
        <v>42282</v>
      </c>
    </row>
    <row r="8709" spans="1:9">
      <c r="A8709" s="16" t="s">
        <v>9709</v>
      </c>
      <c r="B8709" s="1" t="s">
        <v>2628</v>
      </c>
      <c r="C8709" s="1">
        <v>7</v>
      </c>
      <c r="D8709" s="1" t="s">
        <v>101</v>
      </c>
      <c r="E8709" s="1" t="s">
        <v>6</v>
      </c>
      <c r="F8709" s="1" t="s">
        <v>5091</v>
      </c>
      <c r="G8709" s="14" t="s">
        <v>6307</v>
      </c>
      <c r="H8709" s="1" t="s">
        <v>44</v>
      </c>
      <c r="I8709" s="17">
        <v>42282</v>
      </c>
    </row>
    <row r="8710" spans="1:9">
      <c r="A8710" s="16" t="s">
        <v>9710</v>
      </c>
      <c r="B8710" s="1" t="s">
        <v>2628</v>
      </c>
      <c r="C8710" s="1">
        <v>7</v>
      </c>
      <c r="D8710" s="1" t="s">
        <v>101</v>
      </c>
      <c r="E8710" s="1" t="s">
        <v>6</v>
      </c>
      <c r="F8710" s="1" t="s">
        <v>5091</v>
      </c>
      <c r="G8710" s="14" t="s">
        <v>6307</v>
      </c>
      <c r="H8710" s="1" t="s">
        <v>44</v>
      </c>
      <c r="I8710" s="17">
        <v>42282</v>
      </c>
    </row>
    <row r="8711" spans="1:9">
      <c r="A8711" s="16" t="s">
        <v>9711</v>
      </c>
      <c r="B8711" s="1" t="s">
        <v>2628</v>
      </c>
      <c r="C8711" s="1">
        <v>7</v>
      </c>
      <c r="D8711" s="1" t="s">
        <v>101</v>
      </c>
      <c r="E8711" s="1" t="s">
        <v>6</v>
      </c>
      <c r="F8711" s="1" t="s">
        <v>5091</v>
      </c>
      <c r="G8711" s="14" t="s">
        <v>6307</v>
      </c>
      <c r="H8711" s="1" t="s">
        <v>44</v>
      </c>
      <c r="I8711" s="17">
        <v>42282</v>
      </c>
    </row>
    <row r="8712" spans="1:9">
      <c r="A8712" s="16" t="s">
        <v>9712</v>
      </c>
      <c r="B8712" s="1" t="s">
        <v>2628</v>
      </c>
      <c r="C8712" s="1">
        <v>7</v>
      </c>
      <c r="D8712" s="1" t="s">
        <v>101</v>
      </c>
      <c r="E8712" s="1" t="s">
        <v>6</v>
      </c>
      <c r="F8712" s="1" t="s">
        <v>5091</v>
      </c>
      <c r="G8712" s="14" t="s">
        <v>6307</v>
      </c>
      <c r="H8712" s="1" t="s">
        <v>44</v>
      </c>
      <c r="I8712" s="17">
        <v>42282</v>
      </c>
    </row>
    <row r="8713" spans="1:9">
      <c r="A8713" s="16" t="s">
        <v>9715</v>
      </c>
      <c r="B8713" s="1" t="s">
        <v>2628</v>
      </c>
      <c r="C8713" s="1">
        <v>7</v>
      </c>
      <c r="D8713" s="1" t="s">
        <v>101</v>
      </c>
      <c r="E8713" s="1" t="s">
        <v>6</v>
      </c>
      <c r="F8713" s="1" t="s">
        <v>5091</v>
      </c>
      <c r="G8713" s="14" t="s">
        <v>6307</v>
      </c>
      <c r="H8713" s="1" t="s">
        <v>44</v>
      </c>
      <c r="I8713" s="17">
        <v>42282</v>
      </c>
    </row>
    <row r="8714" spans="1:9">
      <c r="A8714" s="16" t="s">
        <v>9732</v>
      </c>
      <c r="B8714" s="1" t="s">
        <v>2628</v>
      </c>
      <c r="C8714" s="1">
        <v>7</v>
      </c>
      <c r="D8714" s="1" t="s">
        <v>101</v>
      </c>
      <c r="E8714" s="1" t="s">
        <v>6</v>
      </c>
      <c r="F8714" s="1" t="s">
        <v>5091</v>
      </c>
      <c r="G8714" s="14" t="s">
        <v>6307</v>
      </c>
      <c r="H8714" s="1" t="s">
        <v>44</v>
      </c>
      <c r="I8714" s="17">
        <v>42282</v>
      </c>
    </row>
    <row r="8715" spans="1:9">
      <c r="A8715" s="16" t="s">
        <v>9734</v>
      </c>
      <c r="B8715" s="1" t="s">
        <v>2628</v>
      </c>
      <c r="C8715" s="1">
        <v>7</v>
      </c>
      <c r="D8715" s="1" t="s">
        <v>101</v>
      </c>
      <c r="E8715" s="1" t="s">
        <v>6</v>
      </c>
      <c r="F8715" s="1" t="s">
        <v>5091</v>
      </c>
      <c r="G8715" s="14" t="s">
        <v>6307</v>
      </c>
      <c r="H8715" s="1" t="s">
        <v>44</v>
      </c>
      <c r="I8715" s="17">
        <v>42282</v>
      </c>
    </row>
    <row r="8716" spans="1:9">
      <c r="A8716" s="16" t="s">
        <v>9735</v>
      </c>
      <c r="B8716" s="1" t="s">
        <v>2628</v>
      </c>
      <c r="C8716" s="1">
        <v>7</v>
      </c>
      <c r="D8716" s="1" t="s">
        <v>101</v>
      </c>
      <c r="E8716" s="1" t="s">
        <v>6</v>
      </c>
      <c r="F8716" s="1" t="s">
        <v>5091</v>
      </c>
      <c r="G8716" s="14" t="s">
        <v>6307</v>
      </c>
      <c r="H8716" s="1" t="s">
        <v>44</v>
      </c>
      <c r="I8716" s="17">
        <v>42282</v>
      </c>
    </row>
    <row r="8717" spans="1:9">
      <c r="A8717" s="16" t="s">
        <v>9745</v>
      </c>
      <c r="B8717" s="1" t="s">
        <v>2628</v>
      </c>
      <c r="C8717" s="1">
        <v>7</v>
      </c>
      <c r="D8717" s="1" t="s">
        <v>101</v>
      </c>
      <c r="E8717" s="1" t="s">
        <v>6</v>
      </c>
      <c r="F8717" s="1" t="s">
        <v>5091</v>
      </c>
      <c r="G8717" s="14" t="s">
        <v>6307</v>
      </c>
      <c r="H8717" s="1" t="s">
        <v>44</v>
      </c>
      <c r="I8717" s="17">
        <v>42283</v>
      </c>
    </row>
    <row r="8718" spans="1:9">
      <c r="A8718" s="16" t="s">
        <v>9746</v>
      </c>
      <c r="B8718" s="1" t="s">
        <v>2628</v>
      </c>
      <c r="C8718" s="1">
        <v>7</v>
      </c>
      <c r="D8718" s="1" t="s">
        <v>101</v>
      </c>
      <c r="E8718" s="1" t="s">
        <v>6</v>
      </c>
      <c r="F8718" s="1" t="s">
        <v>5091</v>
      </c>
      <c r="G8718" s="14" t="s">
        <v>6307</v>
      </c>
      <c r="H8718" s="1" t="s">
        <v>44</v>
      </c>
      <c r="I8718" s="17">
        <v>42283</v>
      </c>
    </row>
    <row r="8719" spans="1:9">
      <c r="A8719" s="16" t="s">
        <v>9747</v>
      </c>
      <c r="B8719" s="1" t="s">
        <v>2628</v>
      </c>
      <c r="C8719" s="1">
        <v>7</v>
      </c>
      <c r="D8719" s="1" t="s">
        <v>101</v>
      </c>
      <c r="E8719" s="1" t="s">
        <v>6</v>
      </c>
      <c r="F8719" s="1" t="s">
        <v>5091</v>
      </c>
      <c r="G8719" s="14" t="s">
        <v>6307</v>
      </c>
      <c r="H8719" s="1" t="s">
        <v>44</v>
      </c>
      <c r="I8719" s="17">
        <v>42283</v>
      </c>
    </row>
    <row r="8720" spans="1:9">
      <c r="A8720" s="16" t="s">
        <v>9748</v>
      </c>
      <c r="B8720" s="1" t="s">
        <v>2628</v>
      </c>
      <c r="C8720" s="1">
        <v>7</v>
      </c>
      <c r="D8720" s="1" t="s">
        <v>101</v>
      </c>
      <c r="E8720" s="1" t="s">
        <v>6</v>
      </c>
      <c r="F8720" s="1" t="s">
        <v>5091</v>
      </c>
      <c r="G8720" s="14" t="s">
        <v>6307</v>
      </c>
      <c r="H8720" s="1" t="s">
        <v>44</v>
      </c>
      <c r="I8720" s="17">
        <v>42283</v>
      </c>
    </row>
    <row r="8721" spans="1:9">
      <c r="A8721" s="16" t="s">
        <v>9750</v>
      </c>
      <c r="B8721" s="1" t="s">
        <v>2628</v>
      </c>
      <c r="C8721" s="1">
        <v>7</v>
      </c>
      <c r="D8721" s="1" t="s">
        <v>101</v>
      </c>
      <c r="E8721" s="1" t="s">
        <v>6</v>
      </c>
      <c r="F8721" s="1" t="s">
        <v>5091</v>
      </c>
      <c r="G8721" s="14" t="s">
        <v>6307</v>
      </c>
      <c r="H8721" s="1" t="s">
        <v>44</v>
      </c>
      <c r="I8721" s="17">
        <v>42283</v>
      </c>
    </row>
    <row r="8722" spans="1:9">
      <c r="A8722" s="16" t="s">
        <v>9762</v>
      </c>
      <c r="B8722" s="1" t="s">
        <v>2628</v>
      </c>
      <c r="C8722" s="1">
        <v>7</v>
      </c>
      <c r="D8722" s="1" t="s">
        <v>101</v>
      </c>
      <c r="E8722" s="1" t="s">
        <v>6</v>
      </c>
      <c r="F8722" s="1" t="s">
        <v>5091</v>
      </c>
      <c r="G8722" s="14" t="s">
        <v>6307</v>
      </c>
      <c r="H8722" s="1" t="s">
        <v>44</v>
      </c>
      <c r="I8722" s="17">
        <v>42222</v>
      </c>
    </row>
    <row r="8723" spans="1:9">
      <c r="A8723" s="16" t="s">
        <v>9790</v>
      </c>
      <c r="B8723" s="1" t="s">
        <v>2628</v>
      </c>
      <c r="C8723" s="1">
        <v>7</v>
      </c>
      <c r="D8723" s="1" t="s">
        <v>101</v>
      </c>
      <c r="E8723" s="1" t="s">
        <v>6</v>
      </c>
      <c r="F8723" s="1" t="s">
        <v>5091</v>
      </c>
      <c r="G8723" s="14" t="s">
        <v>8527</v>
      </c>
      <c r="H8723" s="1" t="s">
        <v>5</v>
      </c>
      <c r="I8723" s="17">
        <v>41964</v>
      </c>
    </row>
    <row r="8724" spans="1:9">
      <c r="A8724" s="16" t="s">
        <v>9803</v>
      </c>
      <c r="B8724" s="1" t="s">
        <v>2628</v>
      </c>
      <c r="C8724" s="1">
        <v>7</v>
      </c>
      <c r="D8724" s="1" t="s">
        <v>101</v>
      </c>
      <c r="E8724" s="1" t="s">
        <v>6</v>
      </c>
      <c r="F8724" s="1" t="s">
        <v>5091</v>
      </c>
      <c r="G8724" s="14" t="s">
        <v>6145</v>
      </c>
      <c r="H8724" s="1" t="s">
        <v>43</v>
      </c>
      <c r="I8724" s="17">
        <v>41922</v>
      </c>
    </row>
    <row r="8725" spans="1:9">
      <c r="A8725" s="16" t="s">
        <v>9804</v>
      </c>
      <c r="B8725" s="1" t="s">
        <v>2628</v>
      </c>
      <c r="C8725" s="1">
        <v>7</v>
      </c>
      <c r="D8725" s="1" t="s">
        <v>101</v>
      </c>
      <c r="E8725" s="1" t="s">
        <v>6</v>
      </c>
      <c r="F8725" s="1" t="s">
        <v>5091</v>
      </c>
      <c r="G8725" s="14" t="s">
        <v>6145</v>
      </c>
      <c r="H8725" s="1" t="s">
        <v>43</v>
      </c>
      <c r="I8725" s="17">
        <v>41922</v>
      </c>
    </row>
    <row r="8726" spans="1:9">
      <c r="A8726" s="16" t="s">
        <v>9805</v>
      </c>
      <c r="B8726" s="1" t="s">
        <v>2628</v>
      </c>
      <c r="C8726" s="1">
        <v>7</v>
      </c>
      <c r="D8726" s="1" t="s">
        <v>101</v>
      </c>
      <c r="E8726" s="1" t="s">
        <v>6</v>
      </c>
      <c r="F8726" s="1" t="s">
        <v>5091</v>
      </c>
      <c r="G8726" s="14" t="s">
        <v>6145</v>
      </c>
      <c r="H8726" s="1" t="s">
        <v>43</v>
      </c>
      <c r="I8726" s="17">
        <v>41922</v>
      </c>
    </row>
    <row r="8727" spans="1:9">
      <c r="A8727" s="16" t="s">
        <v>9806</v>
      </c>
      <c r="B8727" s="1" t="s">
        <v>2628</v>
      </c>
      <c r="C8727" s="1">
        <v>7</v>
      </c>
      <c r="D8727" s="1" t="s">
        <v>101</v>
      </c>
      <c r="E8727" s="1" t="s">
        <v>6</v>
      </c>
      <c r="F8727" s="1" t="s">
        <v>5091</v>
      </c>
      <c r="G8727" s="14" t="s">
        <v>6145</v>
      </c>
      <c r="H8727" s="1" t="s">
        <v>43</v>
      </c>
      <c r="I8727" s="17">
        <v>41922</v>
      </c>
    </row>
    <row r="8728" spans="1:9">
      <c r="A8728" s="16" t="s">
        <v>9807</v>
      </c>
      <c r="B8728" s="1" t="s">
        <v>2628</v>
      </c>
      <c r="C8728" s="1">
        <v>7</v>
      </c>
      <c r="D8728" s="1" t="s">
        <v>101</v>
      </c>
      <c r="E8728" s="1" t="s">
        <v>6</v>
      </c>
      <c r="F8728" s="1" t="s">
        <v>5091</v>
      </c>
      <c r="G8728" s="14" t="s">
        <v>6145</v>
      </c>
      <c r="H8728" s="1" t="s">
        <v>43</v>
      </c>
      <c r="I8728" s="17">
        <v>41922</v>
      </c>
    </row>
    <row r="8729" spans="1:9">
      <c r="A8729" s="16" t="s">
        <v>9818</v>
      </c>
      <c r="B8729" s="1" t="s">
        <v>2628</v>
      </c>
      <c r="C8729" s="1">
        <v>7</v>
      </c>
      <c r="D8729" s="1" t="s">
        <v>101</v>
      </c>
      <c r="E8729" s="1" t="s">
        <v>6</v>
      </c>
      <c r="F8729" s="1" t="s">
        <v>5091</v>
      </c>
      <c r="G8729" s="14" t="s">
        <v>6145</v>
      </c>
      <c r="H8729" s="1" t="s">
        <v>43</v>
      </c>
      <c r="I8729" s="17">
        <v>41891</v>
      </c>
    </row>
    <row r="8730" spans="1:9">
      <c r="A8730" s="16" t="s">
        <v>9820</v>
      </c>
      <c r="B8730" s="1" t="s">
        <v>2628</v>
      </c>
      <c r="C8730" s="1">
        <v>7</v>
      </c>
      <c r="D8730" s="1" t="s">
        <v>101</v>
      </c>
      <c r="E8730" s="1" t="s">
        <v>6</v>
      </c>
      <c r="F8730" s="1" t="s">
        <v>5091</v>
      </c>
      <c r="G8730" s="14" t="s">
        <v>6145</v>
      </c>
      <c r="H8730" s="1" t="s">
        <v>43</v>
      </c>
      <c r="I8730" s="17">
        <v>41905</v>
      </c>
    </row>
    <row r="8731" spans="1:9">
      <c r="A8731" s="16" t="s">
        <v>9821</v>
      </c>
      <c r="B8731" s="1" t="s">
        <v>2628</v>
      </c>
      <c r="C8731" s="1">
        <v>7</v>
      </c>
      <c r="D8731" s="1" t="s">
        <v>101</v>
      </c>
      <c r="E8731" s="1" t="s">
        <v>6</v>
      </c>
      <c r="F8731" s="1" t="s">
        <v>5091</v>
      </c>
      <c r="G8731" s="14" t="s">
        <v>6145</v>
      </c>
      <c r="H8731" s="1" t="s">
        <v>43</v>
      </c>
      <c r="I8731" s="17">
        <v>41905</v>
      </c>
    </row>
    <row r="8732" spans="1:9">
      <c r="A8732" s="16" t="s">
        <v>9853</v>
      </c>
      <c r="B8732" s="1" t="s">
        <v>2628</v>
      </c>
      <c r="C8732" s="1">
        <v>7</v>
      </c>
      <c r="D8732" s="1" t="s">
        <v>101</v>
      </c>
      <c r="E8732" s="1" t="s">
        <v>6</v>
      </c>
      <c r="F8732" s="1" t="s">
        <v>5091</v>
      </c>
      <c r="G8732" s="14" t="s">
        <v>9851</v>
      </c>
      <c r="H8732" s="1" t="s">
        <v>5</v>
      </c>
      <c r="I8732" s="17">
        <v>41297</v>
      </c>
    </row>
    <row r="8733" spans="1:9">
      <c r="A8733" s="16" t="s">
        <v>9854</v>
      </c>
      <c r="B8733" s="1" t="s">
        <v>2628</v>
      </c>
      <c r="C8733" s="1">
        <v>7</v>
      </c>
      <c r="D8733" s="1" t="s">
        <v>101</v>
      </c>
      <c r="E8733" s="1" t="s">
        <v>6</v>
      </c>
      <c r="F8733" s="1" t="s">
        <v>5091</v>
      </c>
      <c r="G8733" s="14" t="s">
        <v>9851</v>
      </c>
      <c r="H8733" s="1" t="s">
        <v>5</v>
      </c>
      <c r="I8733" s="17">
        <v>41297</v>
      </c>
    </row>
    <row r="8734" spans="1:9">
      <c r="A8734" s="16" t="s">
        <v>9855</v>
      </c>
      <c r="B8734" s="1" t="s">
        <v>2628</v>
      </c>
      <c r="C8734" s="1">
        <v>7</v>
      </c>
      <c r="D8734" s="1" t="s">
        <v>101</v>
      </c>
      <c r="E8734" s="1" t="s">
        <v>6</v>
      </c>
      <c r="F8734" s="1" t="s">
        <v>5091</v>
      </c>
      <c r="G8734" s="14" t="s">
        <v>9851</v>
      </c>
      <c r="H8734" s="1" t="s">
        <v>5</v>
      </c>
      <c r="I8734" s="17">
        <v>41297</v>
      </c>
    </row>
    <row r="8735" spans="1:9">
      <c r="A8735" s="16" t="s">
        <v>9856</v>
      </c>
      <c r="B8735" s="1" t="s">
        <v>2628</v>
      </c>
      <c r="C8735" s="1">
        <v>7</v>
      </c>
      <c r="D8735" s="1" t="s">
        <v>101</v>
      </c>
      <c r="E8735" s="1" t="s">
        <v>6</v>
      </c>
      <c r="F8735" s="1" t="s">
        <v>5091</v>
      </c>
      <c r="G8735" s="14" t="s">
        <v>9851</v>
      </c>
      <c r="H8735" s="1" t="s">
        <v>5</v>
      </c>
      <c r="I8735" s="17">
        <v>41297</v>
      </c>
    </row>
    <row r="8736" spans="1:9">
      <c r="A8736" s="16" t="s">
        <v>9857</v>
      </c>
      <c r="B8736" s="1" t="s">
        <v>2628</v>
      </c>
      <c r="C8736" s="1">
        <v>7</v>
      </c>
      <c r="D8736" s="1" t="s">
        <v>101</v>
      </c>
      <c r="E8736" s="1" t="s">
        <v>6</v>
      </c>
      <c r="F8736" s="1" t="s">
        <v>5091</v>
      </c>
      <c r="G8736" s="14" t="s">
        <v>9851</v>
      </c>
      <c r="H8736" s="1" t="s">
        <v>5</v>
      </c>
      <c r="I8736" s="17">
        <v>41297</v>
      </c>
    </row>
    <row r="8737" spans="1:9">
      <c r="A8737" s="16" t="s">
        <v>9858</v>
      </c>
      <c r="B8737" s="1" t="s">
        <v>2628</v>
      </c>
      <c r="C8737" s="1">
        <v>7</v>
      </c>
      <c r="D8737" s="1" t="s">
        <v>101</v>
      </c>
      <c r="E8737" s="1" t="s">
        <v>6</v>
      </c>
      <c r="F8737" s="1" t="s">
        <v>5091</v>
      </c>
      <c r="G8737" s="14" t="s">
        <v>9851</v>
      </c>
      <c r="H8737" s="1" t="s">
        <v>5</v>
      </c>
      <c r="I8737" s="17">
        <v>41297</v>
      </c>
    </row>
    <row r="8738" spans="1:9">
      <c r="A8738" s="16" t="s">
        <v>9862</v>
      </c>
      <c r="B8738" s="1" t="s">
        <v>2628</v>
      </c>
      <c r="C8738" s="1">
        <v>7</v>
      </c>
      <c r="D8738" s="1" t="s">
        <v>101</v>
      </c>
      <c r="E8738" s="1" t="s">
        <v>6</v>
      </c>
      <c r="F8738" s="1" t="s">
        <v>5091</v>
      </c>
      <c r="G8738" s="14" t="s">
        <v>9863</v>
      </c>
      <c r="H8738" s="1" t="s">
        <v>5</v>
      </c>
      <c r="I8738" s="17">
        <v>41328</v>
      </c>
    </row>
    <row r="8739" spans="1:9">
      <c r="A8739" s="16" t="s">
        <v>9864</v>
      </c>
      <c r="B8739" s="1" t="s">
        <v>2628</v>
      </c>
      <c r="C8739" s="1">
        <v>7</v>
      </c>
      <c r="D8739" s="1" t="s">
        <v>101</v>
      </c>
      <c r="E8739" s="1" t="s">
        <v>6</v>
      </c>
      <c r="F8739" s="1" t="s">
        <v>5091</v>
      </c>
      <c r="G8739" s="14" t="s">
        <v>9863</v>
      </c>
      <c r="H8739" s="1" t="s">
        <v>5</v>
      </c>
      <c r="I8739" s="17">
        <v>41328</v>
      </c>
    </row>
    <row r="8740" spans="1:9">
      <c r="A8740" s="16" t="s">
        <v>9873</v>
      </c>
      <c r="B8740" s="1" t="s">
        <v>2628</v>
      </c>
      <c r="C8740" s="1">
        <v>7</v>
      </c>
      <c r="D8740" s="1" t="s">
        <v>101</v>
      </c>
      <c r="E8740" s="1" t="s">
        <v>6</v>
      </c>
      <c r="F8740" s="1" t="s">
        <v>5091</v>
      </c>
      <c r="G8740" s="14" t="s">
        <v>8527</v>
      </c>
      <c r="H8740" s="1" t="s">
        <v>5</v>
      </c>
      <c r="I8740" s="17">
        <v>41979</v>
      </c>
    </row>
    <row r="8741" spans="1:9">
      <c r="A8741" s="16" t="s">
        <v>9874</v>
      </c>
      <c r="B8741" s="1" t="s">
        <v>2628</v>
      </c>
      <c r="C8741" s="1">
        <v>7</v>
      </c>
      <c r="D8741" s="1" t="s">
        <v>101</v>
      </c>
      <c r="E8741" s="1" t="s">
        <v>6</v>
      </c>
      <c r="F8741" s="1" t="s">
        <v>5091</v>
      </c>
      <c r="G8741" s="14" t="s">
        <v>8527</v>
      </c>
      <c r="H8741" s="1" t="s">
        <v>5</v>
      </c>
      <c r="I8741" s="17">
        <v>41979</v>
      </c>
    </row>
    <row r="8742" spans="1:9">
      <c r="A8742" s="16" t="s">
        <v>9875</v>
      </c>
      <c r="B8742" s="1" t="s">
        <v>2628</v>
      </c>
      <c r="C8742" s="1">
        <v>7</v>
      </c>
      <c r="D8742" s="1" t="s">
        <v>101</v>
      </c>
      <c r="E8742" s="1" t="s">
        <v>6</v>
      </c>
      <c r="F8742" s="1" t="s">
        <v>5091</v>
      </c>
      <c r="G8742" s="14" t="s">
        <v>8527</v>
      </c>
      <c r="H8742" s="1" t="s">
        <v>5</v>
      </c>
      <c r="I8742" s="17">
        <v>41985</v>
      </c>
    </row>
    <row r="8743" spans="1:9">
      <c r="A8743" s="16" t="s">
        <v>9876</v>
      </c>
      <c r="B8743" s="1" t="s">
        <v>2628</v>
      </c>
      <c r="C8743" s="1">
        <v>7</v>
      </c>
      <c r="D8743" s="1" t="s">
        <v>101</v>
      </c>
      <c r="E8743" s="1" t="s">
        <v>6</v>
      </c>
      <c r="F8743" s="1" t="s">
        <v>5091</v>
      </c>
      <c r="G8743" s="14" t="s">
        <v>8527</v>
      </c>
      <c r="H8743" s="1" t="s">
        <v>5</v>
      </c>
      <c r="I8743" s="17">
        <v>41986</v>
      </c>
    </row>
    <row r="8744" spans="1:9">
      <c r="A8744" s="16" t="s">
        <v>9877</v>
      </c>
      <c r="B8744" s="1" t="s">
        <v>2628</v>
      </c>
      <c r="C8744" s="1">
        <v>7</v>
      </c>
      <c r="D8744" s="1" t="s">
        <v>101</v>
      </c>
      <c r="E8744" s="1" t="s">
        <v>6</v>
      </c>
      <c r="F8744" s="1" t="s">
        <v>5091</v>
      </c>
      <c r="G8744" s="14" t="s">
        <v>8527</v>
      </c>
      <c r="H8744" s="1" t="s">
        <v>5</v>
      </c>
      <c r="I8744" s="17">
        <v>41986</v>
      </c>
    </row>
    <row r="8745" spans="1:9">
      <c r="A8745" s="16" t="s">
        <v>10057</v>
      </c>
      <c r="B8745" s="1" t="s">
        <v>2628</v>
      </c>
      <c r="C8745" s="1">
        <v>7</v>
      </c>
      <c r="D8745" s="1" t="s">
        <v>101</v>
      </c>
      <c r="E8745" s="1" t="s">
        <v>6</v>
      </c>
      <c r="F8745" s="1" t="s">
        <v>5091</v>
      </c>
      <c r="G8745" s="14" t="s">
        <v>6145</v>
      </c>
      <c r="H8745" s="1" t="s">
        <v>43</v>
      </c>
      <c r="I8745" s="17">
        <v>42352</v>
      </c>
    </row>
    <row r="8746" spans="1:9">
      <c r="A8746" s="16" t="s">
        <v>10059</v>
      </c>
      <c r="B8746" s="1" t="s">
        <v>2628</v>
      </c>
      <c r="C8746" s="1">
        <v>7</v>
      </c>
      <c r="D8746" s="1" t="s">
        <v>101</v>
      </c>
      <c r="E8746" s="1" t="s">
        <v>6</v>
      </c>
      <c r="F8746" s="1" t="s">
        <v>5091</v>
      </c>
      <c r="G8746" s="14" t="s">
        <v>6145</v>
      </c>
      <c r="H8746" s="1" t="s">
        <v>43</v>
      </c>
      <c r="I8746" s="17">
        <v>42352</v>
      </c>
    </row>
    <row r="8747" spans="1:9">
      <c r="A8747" s="16" t="s">
        <v>10060</v>
      </c>
      <c r="B8747" s="1" t="s">
        <v>2628</v>
      </c>
      <c r="C8747" s="1">
        <v>7</v>
      </c>
      <c r="D8747" s="1" t="s">
        <v>101</v>
      </c>
      <c r="E8747" s="1" t="s">
        <v>6</v>
      </c>
      <c r="F8747" s="1" t="s">
        <v>5091</v>
      </c>
      <c r="G8747" s="14" t="s">
        <v>6145</v>
      </c>
      <c r="H8747" s="1" t="s">
        <v>43</v>
      </c>
      <c r="I8747" s="17">
        <v>42352</v>
      </c>
    </row>
    <row r="8748" spans="1:9">
      <c r="A8748" s="16" t="s">
        <v>10062</v>
      </c>
      <c r="B8748" s="1" t="s">
        <v>2628</v>
      </c>
      <c r="C8748" s="1">
        <v>7</v>
      </c>
      <c r="D8748" s="1" t="s">
        <v>101</v>
      </c>
      <c r="E8748" s="1" t="s">
        <v>6</v>
      </c>
      <c r="F8748" s="1" t="s">
        <v>5091</v>
      </c>
      <c r="G8748" s="14" t="s">
        <v>6145</v>
      </c>
      <c r="H8748" s="1" t="s">
        <v>43</v>
      </c>
      <c r="I8748" s="17">
        <v>42352</v>
      </c>
    </row>
    <row r="8749" spans="1:9">
      <c r="A8749" s="16" t="s">
        <v>10259</v>
      </c>
      <c r="B8749" s="1" t="s">
        <v>2628</v>
      </c>
      <c r="C8749" s="1">
        <v>7</v>
      </c>
      <c r="D8749" s="1" t="s">
        <v>101</v>
      </c>
      <c r="E8749" s="1" t="s">
        <v>6</v>
      </c>
      <c r="F8749" s="1" t="s">
        <v>36</v>
      </c>
      <c r="G8749" s="14" t="s">
        <v>10233</v>
      </c>
      <c r="H8749" s="1" t="s">
        <v>43</v>
      </c>
      <c r="I8749" s="17">
        <v>40179</v>
      </c>
    </row>
    <row r="8750" spans="1:9">
      <c r="A8750" s="16" t="s">
        <v>10343</v>
      </c>
      <c r="B8750" s="1" t="s">
        <v>2628</v>
      </c>
      <c r="C8750" s="1">
        <v>7</v>
      </c>
      <c r="D8750" s="1" t="s">
        <v>101</v>
      </c>
      <c r="E8750" s="1" t="s">
        <v>6</v>
      </c>
      <c r="F8750" s="1" t="s">
        <v>5091</v>
      </c>
      <c r="G8750" s="14" t="s">
        <v>9851</v>
      </c>
      <c r="H8750" s="1" t="s">
        <v>5</v>
      </c>
      <c r="I8750" s="17">
        <v>42309</v>
      </c>
    </row>
    <row r="8751" spans="1:9">
      <c r="A8751" s="16" t="s">
        <v>10344</v>
      </c>
      <c r="B8751" s="1" t="s">
        <v>2628</v>
      </c>
      <c r="C8751" s="1">
        <v>7</v>
      </c>
      <c r="D8751" s="1" t="s">
        <v>101</v>
      </c>
      <c r="E8751" s="1" t="s">
        <v>6</v>
      </c>
      <c r="F8751" s="1" t="s">
        <v>5091</v>
      </c>
      <c r="G8751" s="14" t="s">
        <v>9851</v>
      </c>
      <c r="H8751" s="1" t="s">
        <v>5</v>
      </c>
      <c r="I8751" s="17">
        <v>42309</v>
      </c>
    </row>
    <row r="8752" spans="1:9">
      <c r="A8752" s="16" t="s">
        <v>10345</v>
      </c>
      <c r="B8752" s="1" t="s">
        <v>2628</v>
      </c>
      <c r="C8752" s="1">
        <v>7</v>
      </c>
      <c r="D8752" s="1" t="s">
        <v>101</v>
      </c>
      <c r="E8752" s="1" t="s">
        <v>6</v>
      </c>
      <c r="F8752" s="1" t="s">
        <v>5091</v>
      </c>
      <c r="G8752" s="14" t="s">
        <v>9851</v>
      </c>
      <c r="H8752" s="1" t="s">
        <v>5</v>
      </c>
      <c r="I8752" s="17">
        <v>42309</v>
      </c>
    </row>
    <row r="8753" spans="1:9">
      <c r="A8753" s="16" t="s">
        <v>10346</v>
      </c>
      <c r="B8753" s="1" t="s">
        <v>2628</v>
      </c>
      <c r="C8753" s="1">
        <v>7</v>
      </c>
      <c r="D8753" s="1" t="s">
        <v>101</v>
      </c>
      <c r="E8753" s="1" t="s">
        <v>6</v>
      </c>
      <c r="F8753" s="1" t="s">
        <v>5091</v>
      </c>
      <c r="G8753" s="14" t="s">
        <v>9851</v>
      </c>
      <c r="H8753" s="1" t="s">
        <v>5</v>
      </c>
      <c r="I8753" s="17">
        <v>42309</v>
      </c>
    </row>
    <row r="8754" spans="1:9">
      <c r="A8754" s="16" t="s">
        <v>10347</v>
      </c>
      <c r="B8754" s="1" t="s">
        <v>2628</v>
      </c>
      <c r="C8754" s="1">
        <v>7</v>
      </c>
      <c r="D8754" s="1" t="s">
        <v>101</v>
      </c>
      <c r="E8754" s="1" t="s">
        <v>6</v>
      </c>
      <c r="F8754" s="1" t="s">
        <v>5091</v>
      </c>
      <c r="G8754" s="14" t="s">
        <v>6145</v>
      </c>
      <c r="H8754" s="1" t="s">
        <v>43</v>
      </c>
      <c r="I8754" s="17">
        <v>42370</v>
      </c>
    </row>
    <row r="8755" spans="1:9">
      <c r="A8755" s="16" t="s">
        <v>10348</v>
      </c>
      <c r="B8755" s="1" t="s">
        <v>2628</v>
      </c>
      <c r="C8755" s="1">
        <v>7</v>
      </c>
      <c r="D8755" s="1" t="s">
        <v>101</v>
      </c>
      <c r="E8755" s="1" t="s">
        <v>6</v>
      </c>
      <c r="F8755" s="1" t="s">
        <v>5091</v>
      </c>
      <c r="G8755" s="14" t="s">
        <v>6145</v>
      </c>
      <c r="H8755" s="1" t="s">
        <v>43</v>
      </c>
      <c r="I8755" s="17">
        <v>42370</v>
      </c>
    </row>
    <row r="8756" spans="1:9">
      <c r="A8756" s="16" t="s">
        <v>10409</v>
      </c>
      <c r="B8756" s="1" t="s">
        <v>2628</v>
      </c>
      <c r="C8756" s="1">
        <v>7</v>
      </c>
      <c r="D8756" s="1" t="s">
        <v>101</v>
      </c>
      <c r="E8756" s="1" t="s">
        <v>6</v>
      </c>
      <c r="F8756" s="1" t="s">
        <v>5091</v>
      </c>
      <c r="G8756" s="14" t="s">
        <v>6145</v>
      </c>
      <c r="H8756" s="1" t="s">
        <v>43</v>
      </c>
      <c r="I8756" s="17">
        <v>41891</v>
      </c>
    </row>
    <row r="8757" spans="1:9">
      <c r="A8757" s="16" t="s">
        <v>10471</v>
      </c>
      <c r="B8757" s="1" t="s">
        <v>2628</v>
      </c>
      <c r="C8757" s="1">
        <v>7</v>
      </c>
      <c r="D8757" s="1" t="s">
        <v>101</v>
      </c>
      <c r="E8757" s="1" t="s">
        <v>6</v>
      </c>
      <c r="F8757" s="1" t="s">
        <v>5091</v>
      </c>
      <c r="G8757" s="14" t="s">
        <v>4458</v>
      </c>
      <c r="H8757" s="1" t="s">
        <v>118</v>
      </c>
      <c r="I8757" s="1" t="s">
        <v>4458</v>
      </c>
    </row>
    <row r="8758" spans="1:9">
      <c r="A8758" s="16" t="s">
        <v>10590</v>
      </c>
      <c r="B8758" s="1" t="s">
        <v>2628</v>
      </c>
      <c r="C8758" s="1">
        <v>7</v>
      </c>
      <c r="D8758" s="1" t="s">
        <v>101</v>
      </c>
      <c r="E8758" s="1" t="s">
        <v>6</v>
      </c>
      <c r="F8758" s="1" t="s">
        <v>5091</v>
      </c>
      <c r="G8758" s="14" t="s">
        <v>6145</v>
      </c>
      <c r="H8758" s="1" t="s">
        <v>43</v>
      </c>
      <c r="I8758" s="17">
        <v>42401</v>
      </c>
    </row>
    <row r="8759" spans="1:9">
      <c r="A8759" s="16" t="s">
        <v>10788</v>
      </c>
      <c r="B8759" s="1" t="s">
        <v>2628</v>
      </c>
      <c r="C8759" s="1">
        <v>1111</v>
      </c>
      <c r="D8759" s="1" t="s">
        <v>101</v>
      </c>
      <c r="E8759" s="1" t="s">
        <v>6</v>
      </c>
      <c r="F8759" s="1" t="s">
        <v>5091</v>
      </c>
      <c r="G8759" s="14" t="s">
        <v>6145</v>
      </c>
      <c r="H8759" s="1" t="s">
        <v>43</v>
      </c>
      <c r="I8759" s="17">
        <v>42214</v>
      </c>
    </row>
    <row r="8760" spans="1:9">
      <c r="A8760" s="16" t="s">
        <v>10791</v>
      </c>
      <c r="B8760" s="1" t="s">
        <v>2628</v>
      </c>
      <c r="C8760" s="1">
        <v>7</v>
      </c>
      <c r="D8760" s="1" t="s">
        <v>101</v>
      </c>
      <c r="E8760" s="1" t="s">
        <v>6</v>
      </c>
      <c r="F8760" s="1" t="s">
        <v>5091</v>
      </c>
      <c r="G8760" s="14" t="s">
        <v>6145</v>
      </c>
      <c r="H8760" s="1" t="s">
        <v>43</v>
      </c>
      <c r="I8760" s="17">
        <v>42466</v>
      </c>
    </row>
    <row r="8761" spans="1:9">
      <c r="A8761" s="16" t="s">
        <v>10978</v>
      </c>
      <c r="B8761" s="1" t="s">
        <v>2628</v>
      </c>
      <c r="C8761" s="1">
        <v>7</v>
      </c>
      <c r="D8761" s="1" t="s">
        <v>101</v>
      </c>
      <c r="E8761" s="1" t="s">
        <v>6</v>
      </c>
      <c r="F8761" s="1" t="s">
        <v>5091</v>
      </c>
      <c r="G8761" s="14" t="s">
        <v>6145</v>
      </c>
      <c r="H8761" s="1" t="s">
        <v>43</v>
      </c>
      <c r="I8761" s="17">
        <v>42290</v>
      </c>
    </row>
    <row r="8762" spans="1:9">
      <c r="A8762" s="16" t="s">
        <v>10991</v>
      </c>
      <c r="B8762" s="1" t="s">
        <v>2628</v>
      </c>
      <c r="C8762" s="1">
        <v>7</v>
      </c>
      <c r="D8762" s="1" t="s">
        <v>101</v>
      </c>
      <c r="E8762" s="1" t="s">
        <v>6</v>
      </c>
      <c r="F8762" s="1" t="s">
        <v>5091</v>
      </c>
      <c r="G8762" s="14" t="s">
        <v>6450</v>
      </c>
      <c r="H8762" s="1" t="s">
        <v>43</v>
      </c>
      <c r="I8762" s="17">
        <v>42301</v>
      </c>
    </row>
    <row r="8763" spans="1:9">
      <c r="A8763" s="16" t="s">
        <v>10992</v>
      </c>
      <c r="B8763" s="1" t="s">
        <v>2628</v>
      </c>
      <c r="C8763" s="1">
        <v>7</v>
      </c>
      <c r="D8763" s="1" t="s">
        <v>101</v>
      </c>
      <c r="E8763" s="1" t="s">
        <v>6</v>
      </c>
      <c r="F8763" s="1" t="s">
        <v>5091</v>
      </c>
      <c r="G8763" s="14" t="s">
        <v>6450</v>
      </c>
      <c r="H8763" s="1" t="s">
        <v>43</v>
      </c>
      <c r="I8763" s="17">
        <v>42301</v>
      </c>
    </row>
    <row r="8764" spans="1:9">
      <c r="A8764" s="16" t="s">
        <v>10994</v>
      </c>
      <c r="B8764" s="1" t="s">
        <v>2628</v>
      </c>
      <c r="C8764" s="1">
        <v>7</v>
      </c>
      <c r="D8764" s="1" t="s">
        <v>101</v>
      </c>
      <c r="E8764" s="1" t="s">
        <v>6</v>
      </c>
      <c r="F8764" s="1" t="s">
        <v>5091</v>
      </c>
      <c r="G8764" s="14" t="s">
        <v>6450</v>
      </c>
      <c r="H8764" s="1" t="s">
        <v>43</v>
      </c>
      <c r="I8764" s="17">
        <v>42301</v>
      </c>
    </row>
    <row r="8765" spans="1:9">
      <c r="A8765" s="16" t="s">
        <v>10995</v>
      </c>
      <c r="B8765" s="1" t="s">
        <v>2628</v>
      </c>
      <c r="C8765" s="1">
        <v>7</v>
      </c>
      <c r="D8765" s="1" t="s">
        <v>101</v>
      </c>
      <c r="E8765" s="1" t="s">
        <v>6</v>
      </c>
      <c r="F8765" s="1" t="s">
        <v>5091</v>
      </c>
      <c r="G8765" s="14" t="s">
        <v>6450</v>
      </c>
      <c r="H8765" s="1" t="s">
        <v>43</v>
      </c>
      <c r="I8765" s="17">
        <v>42301</v>
      </c>
    </row>
    <row r="8766" spans="1:9">
      <c r="A8766" s="16" t="s">
        <v>10996</v>
      </c>
      <c r="B8766" s="1" t="s">
        <v>2628</v>
      </c>
      <c r="C8766" s="1">
        <v>7</v>
      </c>
      <c r="D8766" s="1" t="s">
        <v>101</v>
      </c>
      <c r="E8766" s="1" t="s">
        <v>6</v>
      </c>
      <c r="F8766" s="1" t="s">
        <v>5091</v>
      </c>
      <c r="G8766" s="14" t="s">
        <v>6450</v>
      </c>
      <c r="H8766" s="1" t="s">
        <v>43</v>
      </c>
      <c r="I8766" s="17">
        <v>42301</v>
      </c>
    </row>
    <row r="8767" spans="1:9">
      <c r="A8767" s="16" t="s">
        <v>10997</v>
      </c>
      <c r="B8767" s="1" t="s">
        <v>2628</v>
      </c>
      <c r="C8767" s="1">
        <v>7</v>
      </c>
      <c r="D8767" s="1" t="s">
        <v>101</v>
      </c>
      <c r="E8767" s="1" t="s">
        <v>6</v>
      </c>
      <c r="F8767" s="1" t="s">
        <v>5091</v>
      </c>
      <c r="G8767" s="14" t="s">
        <v>6450</v>
      </c>
      <c r="H8767" s="1" t="s">
        <v>43</v>
      </c>
      <c r="I8767" s="17">
        <v>42301</v>
      </c>
    </row>
    <row r="8768" spans="1:9">
      <c r="A8768" s="16" t="s">
        <v>10999</v>
      </c>
      <c r="B8768" s="1" t="s">
        <v>2628</v>
      </c>
      <c r="C8768" s="1">
        <v>7</v>
      </c>
      <c r="D8768" s="1" t="s">
        <v>101</v>
      </c>
      <c r="E8768" s="1" t="s">
        <v>6</v>
      </c>
      <c r="F8768" s="1" t="s">
        <v>5091</v>
      </c>
      <c r="G8768" s="14" t="s">
        <v>6450</v>
      </c>
      <c r="H8768" s="1" t="s">
        <v>43</v>
      </c>
      <c r="I8768" s="17">
        <v>42301</v>
      </c>
    </row>
    <row r="8769" spans="1:9">
      <c r="A8769" s="16" t="s">
        <v>11000</v>
      </c>
      <c r="B8769" s="1" t="s">
        <v>2628</v>
      </c>
      <c r="C8769" s="1">
        <v>7</v>
      </c>
      <c r="D8769" s="1" t="s">
        <v>101</v>
      </c>
      <c r="E8769" s="1" t="s">
        <v>6</v>
      </c>
      <c r="F8769" s="1" t="s">
        <v>5091</v>
      </c>
      <c r="G8769" s="14" t="s">
        <v>6450</v>
      </c>
      <c r="H8769" s="1" t="s">
        <v>43</v>
      </c>
      <c r="I8769" s="17">
        <v>42301</v>
      </c>
    </row>
    <row r="8770" spans="1:9">
      <c r="A8770" s="16" t="s">
        <v>11001</v>
      </c>
      <c r="B8770" s="1" t="s">
        <v>2628</v>
      </c>
      <c r="C8770" s="1">
        <v>7</v>
      </c>
      <c r="D8770" s="1" t="s">
        <v>101</v>
      </c>
      <c r="E8770" s="1" t="s">
        <v>6</v>
      </c>
      <c r="F8770" s="1" t="s">
        <v>5091</v>
      </c>
      <c r="G8770" s="14" t="s">
        <v>6450</v>
      </c>
      <c r="H8770" s="1" t="s">
        <v>43</v>
      </c>
      <c r="I8770" s="17">
        <v>42301</v>
      </c>
    </row>
    <row r="8771" spans="1:9">
      <c r="A8771" s="16" t="s">
        <v>11002</v>
      </c>
      <c r="B8771" s="1" t="s">
        <v>2628</v>
      </c>
      <c r="C8771" s="1">
        <v>7</v>
      </c>
      <c r="D8771" s="1" t="s">
        <v>101</v>
      </c>
      <c r="E8771" s="1" t="s">
        <v>6</v>
      </c>
      <c r="F8771" s="1" t="s">
        <v>5091</v>
      </c>
      <c r="G8771" s="14" t="s">
        <v>6450</v>
      </c>
      <c r="H8771" s="1" t="s">
        <v>43</v>
      </c>
      <c r="I8771" s="17">
        <v>42301</v>
      </c>
    </row>
    <row r="8772" spans="1:9">
      <c r="A8772" s="16" t="s">
        <v>11008</v>
      </c>
      <c r="B8772" s="1" t="s">
        <v>2628</v>
      </c>
      <c r="C8772" s="1">
        <v>7</v>
      </c>
      <c r="D8772" s="1" t="s">
        <v>101</v>
      </c>
      <c r="E8772" s="1" t="s">
        <v>6</v>
      </c>
      <c r="F8772" s="1" t="s">
        <v>5091</v>
      </c>
      <c r="G8772" s="14" t="s">
        <v>6450</v>
      </c>
      <c r="H8772" s="1" t="s">
        <v>43</v>
      </c>
      <c r="I8772" s="17">
        <v>42301</v>
      </c>
    </row>
    <row r="8773" spans="1:9">
      <c r="A8773" s="16" t="s">
        <v>11010</v>
      </c>
      <c r="B8773" s="1" t="s">
        <v>2628</v>
      </c>
      <c r="C8773" s="1">
        <v>7</v>
      </c>
      <c r="D8773" s="1" t="s">
        <v>101</v>
      </c>
      <c r="E8773" s="1" t="s">
        <v>6</v>
      </c>
      <c r="F8773" s="1" t="s">
        <v>5091</v>
      </c>
      <c r="G8773" s="14" t="s">
        <v>6450</v>
      </c>
      <c r="H8773" s="1" t="s">
        <v>43</v>
      </c>
      <c r="I8773" s="17">
        <v>42301</v>
      </c>
    </row>
    <row r="8774" spans="1:9">
      <c r="A8774" s="16" t="s">
        <v>11063</v>
      </c>
      <c r="B8774" s="1" t="s">
        <v>2628</v>
      </c>
      <c r="C8774" s="1">
        <v>7</v>
      </c>
      <c r="D8774" s="1" t="s">
        <v>101</v>
      </c>
      <c r="E8774" s="1" t="s">
        <v>6</v>
      </c>
      <c r="F8774" s="1" t="s">
        <v>5091</v>
      </c>
      <c r="G8774" s="14" t="s">
        <v>6145</v>
      </c>
      <c r="H8774" s="1" t="s">
        <v>43</v>
      </c>
      <c r="I8774" s="17">
        <v>40626</v>
      </c>
    </row>
    <row r="8775" spans="1:9">
      <c r="A8775" s="16" t="s">
        <v>11081</v>
      </c>
      <c r="B8775" s="1" t="s">
        <v>2628</v>
      </c>
      <c r="C8775" s="1">
        <v>7</v>
      </c>
      <c r="D8775" s="1" t="s">
        <v>101</v>
      </c>
      <c r="E8775" s="1" t="s">
        <v>6</v>
      </c>
      <c r="F8775" s="1" t="s">
        <v>5091</v>
      </c>
      <c r="G8775" s="14" t="s">
        <v>11082</v>
      </c>
      <c r="H8775" s="1" t="s">
        <v>5</v>
      </c>
      <c r="I8775" s="1" t="s">
        <v>4458</v>
      </c>
    </row>
    <row r="8776" spans="1:9">
      <c r="A8776" s="16" t="s">
        <v>11162</v>
      </c>
      <c r="B8776" s="1" t="s">
        <v>2628</v>
      </c>
      <c r="C8776" s="1">
        <v>7</v>
      </c>
      <c r="D8776" s="1" t="s">
        <v>101</v>
      </c>
      <c r="E8776" s="1" t="s">
        <v>6</v>
      </c>
      <c r="F8776" s="1" t="s">
        <v>5091</v>
      </c>
      <c r="G8776" s="14" t="s">
        <v>6699</v>
      </c>
      <c r="H8776" s="1" t="s">
        <v>44</v>
      </c>
      <c r="I8776" s="17">
        <v>42507</v>
      </c>
    </row>
    <row r="8777" spans="1:9">
      <c r="A8777" s="16" t="s">
        <v>11225</v>
      </c>
      <c r="B8777" s="1" t="s">
        <v>2628</v>
      </c>
      <c r="C8777" s="1">
        <v>7</v>
      </c>
      <c r="D8777" s="1" t="s">
        <v>101</v>
      </c>
      <c r="E8777" s="1" t="s">
        <v>6</v>
      </c>
      <c r="F8777" s="1" t="s">
        <v>5091</v>
      </c>
      <c r="G8777" s="14" t="s">
        <v>11226</v>
      </c>
      <c r="H8777" s="1" t="s">
        <v>5</v>
      </c>
      <c r="I8777" s="17">
        <v>39212</v>
      </c>
    </row>
    <row r="8778" spans="1:9">
      <c r="A8778" s="16" t="s">
        <v>11296</v>
      </c>
      <c r="B8778" s="1" t="s">
        <v>2628</v>
      </c>
      <c r="C8778" s="1">
        <v>7</v>
      </c>
      <c r="D8778" s="1" t="s">
        <v>101</v>
      </c>
      <c r="E8778" s="1" t="s">
        <v>6</v>
      </c>
      <c r="F8778" s="1" t="s">
        <v>5091</v>
      </c>
      <c r="G8778" s="14" t="s">
        <v>6145</v>
      </c>
      <c r="H8778" s="1" t="s">
        <v>43</v>
      </c>
      <c r="I8778" s="17">
        <v>42541</v>
      </c>
    </row>
    <row r="8779" spans="1:9">
      <c r="A8779" s="16" t="s">
        <v>11297</v>
      </c>
      <c r="B8779" s="1" t="s">
        <v>2628</v>
      </c>
      <c r="C8779" s="1">
        <v>7</v>
      </c>
      <c r="D8779" s="1" t="s">
        <v>101</v>
      </c>
      <c r="E8779" s="1" t="s">
        <v>6</v>
      </c>
      <c r="F8779" s="1" t="s">
        <v>5091</v>
      </c>
      <c r="G8779" s="14" t="s">
        <v>6145</v>
      </c>
      <c r="H8779" s="1" t="s">
        <v>43</v>
      </c>
      <c r="I8779" s="17">
        <v>42541</v>
      </c>
    </row>
    <row r="8780" spans="1:9">
      <c r="A8780" s="16" t="s">
        <v>11298</v>
      </c>
      <c r="B8780" s="1" t="s">
        <v>2628</v>
      </c>
      <c r="C8780" s="1">
        <v>7</v>
      </c>
      <c r="D8780" s="1" t="s">
        <v>101</v>
      </c>
      <c r="E8780" s="1" t="s">
        <v>6</v>
      </c>
      <c r="F8780" s="1" t="s">
        <v>5091</v>
      </c>
      <c r="G8780" s="14" t="s">
        <v>6145</v>
      </c>
      <c r="H8780" s="1" t="s">
        <v>43</v>
      </c>
      <c r="I8780" s="17">
        <v>42541</v>
      </c>
    </row>
    <row r="8781" spans="1:9">
      <c r="A8781" s="16" t="s">
        <v>11299</v>
      </c>
      <c r="B8781" s="1" t="s">
        <v>2628</v>
      </c>
      <c r="C8781" s="1">
        <v>7</v>
      </c>
      <c r="D8781" s="1" t="s">
        <v>101</v>
      </c>
      <c r="E8781" s="1" t="s">
        <v>6</v>
      </c>
      <c r="F8781" s="1" t="s">
        <v>5091</v>
      </c>
      <c r="G8781" s="14" t="s">
        <v>6145</v>
      </c>
      <c r="H8781" s="1" t="s">
        <v>43</v>
      </c>
      <c r="I8781" s="17">
        <v>42541</v>
      </c>
    </row>
    <row r="8782" spans="1:9">
      <c r="A8782" s="16" t="s">
        <v>11301</v>
      </c>
      <c r="B8782" s="1" t="s">
        <v>2628</v>
      </c>
      <c r="C8782" s="1">
        <v>7</v>
      </c>
      <c r="D8782" s="1" t="s">
        <v>101</v>
      </c>
      <c r="E8782" s="1" t="s">
        <v>6</v>
      </c>
      <c r="F8782" s="1" t="s">
        <v>5091</v>
      </c>
      <c r="G8782" s="14" t="s">
        <v>6145</v>
      </c>
      <c r="H8782" s="1" t="s">
        <v>43</v>
      </c>
      <c r="I8782" s="17">
        <v>42541</v>
      </c>
    </row>
    <row r="8783" spans="1:9">
      <c r="A8783" s="16" t="s">
        <v>11302</v>
      </c>
      <c r="B8783" s="1" t="s">
        <v>2628</v>
      </c>
      <c r="C8783" s="1">
        <v>7</v>
      </c>
      <c r="D8783" s="1" t="s">
        <v>101</v>
      </c>
      <c r="E8783" s="1" t="s">
        <v>6</v>
      </c>
      <c r="F8783" s="1" t="s">
        <v>5091</v>
      </c>
      <c r="G8783" s="14" t="s">
        <v>6145</v>
      </c>
      <c r="H8783" s="1" t="s">
        <v>43</v>
      </c>
      <c r="I8783" s="17">
        <v>42541</v>
      </c>
    </row>
    <row r="8784" spans="1:9">
      <c r="A8784" s="16" t="s">
        <v>11303</v>
      </c>
      <c r="B8784" s="1" t="s">
        <v>2628</v>
      </c>
      <c r="C8784" s="1">
        <v>7</v>
      </c>
      <c r="D8784" s="1" t="s">
        <v>101</v>
      </c>
      <c r="E8784" s="1" t="s">
        <v>6</v>
      </c>
      <c r="F8784" s="1" t="s">
        <v>5091</v>
      </c>
      <c r="G8784" s="14" t="s">
        <v>6145</v>
      </c>
      <c r="H8784" s="1" t="s">
        <v>43</v>
      </c>
      <c r="I8784" s="17">
        <v>42541</v>
      </c>
    </row>
    <row r="8785" spans="1:9">
      <c r="A8785" s="16" t="s">
        <v>11304</v>
      </c>
      <c r="B8785" s="1" t="s">
        <v>2628</v>
      </c>
      <c r="C8785" s="1">
        <v>7</v>
      </c>
      <c r="D8785" s="1" t="s">
        <v>101</v>
      </c>
      <c r="E8785" s="1" t="s">
        <v>6</v>
      </c>
      <c r="F8785" s="1" t="s">
        <v>5091</v>
      </c>
      <c r="G8785" s="14" t="s">
        <v>6145</v>
      </c>
      <c r="H8785" s="1" t="s">
        <v>43</v>
      </c>
      <c r="I8785" s="17">
        <v>42541</v>
      </c>
    </row>
    <row r="8786" spans="1:9">
      <c r="A8786" s="16" t="s">
        <v>11305</v>
      </c>
      <c r="B8786" s="1" t="s">
        <v>2628</v>
      </c>
      <c r="C8786" s="1">
        <v>7</v>
      </c>
      <c r="D8786" s="1" t="s">
        <v>101</v>
      </c>
      <c r="E8786" s="1" t="s">
        <v>6</v>
      </c>
      <c r="F8786" s="1" t="s">
        <v>5091</v>
      </c>
      <c r="G8786" s="14" t="s">
        <v>6145</v>
      </c>
      <c r="H8786" s="1" t="s">
        <v>43</v>
      </c>
      <c r="I8786" s="17">
        <v>42541</v>
      </c>
    </row>
    <row r="8787" spans="1:9">
      <c r="A8787" s="16" t="s">
        <v>11306</v>
      </c>
      <c r="B8787" s="1" t="s">
        <v>2628</v>
      </c>
      <c r="C8787" s="1">
        <v>7</v>
      </c>
      <c r="D8787" s="1" t="s">
        <v>101</v>
      </c>
      <c r="E8787" s="1" t="s">
        <v>6</v>
      </c>
      <c r="F8787" s="1" t="s">
        <v>5091</v>
      </c>
      <c r="G8787" s="14" t="s">
        <v>6145</v>
      </c>
      <c r="H8787" s="1" t="s">
        <v>43</v>
      </c>
      <c r="I8787" s="17">
        <v>42541</v>
      </c>
    </row>
    <row r="8788" spans="1:9">
      <c r="A8788" s="16" t="s">
        <v>11307</v>
      </c>
      <c r="B8788" s="1" t="s">
        <v>2628</v>
      </c>
      <c r="C8788" s="1">
        <v>7</v>
      </c>
      <c r="D8788" s="1" t="s">
        <v>101</v>
      </c>
      <c r="E8788" s="1" t="s">
        <v>6</v>
      </c>
      <c r="F8788" s="1" t="s">
        <v>5091</v>
      </c>
      <c r="G8788" s="14" t="s">
        <v>6145</v>
      </c>
      <c r="H8788" s="1" t="s">
        <v>43</v>
      </c>
      <c r="I8788" s="17">
        <v>42541</v>
      </c>
    </row>
    <row r="8789" spans="1:9">
      <c r="A8789" s="16" t="s">
        <v>11412</v>
      </c>
      <c r="B8789" s="1" t="s">
        <v>2628</v>
      </c>
      <c r="C8789" s="1">
        <v>7</v>
      </c>
      <c r="D8789" s="1" t="s">
        <v>101</v>
      </c>
      <c r="E8789" s="1" t="s">
        <v>6</v>
      </c>
      <c r="F8789" s="1" t="s">
        <v>5091</v>
      </c>
      <c r="G8789" s="14" t="s">
        <v>6145</v>
      </c>
      <c r="H8789" s="1" t="s">
        <v>43</v>
      </c>
      <c r="I8789" s="17">
        <v>42569</v>
      </c>
    </row>
    <row r="8790" spans="1:9">
      <c r="A8790" s="16" t="s">
        <v>11435</v>
      </c>
      <c r="B8790" s="1" t="s">
        <v>2628</v>
      </c>
      <c r="C8790" s="1">
        <v>7</v>
      </c>
      <c r="D8790" s="1" t="s">
        <v>101</v>
      </c>
      <c r="E8790" s="1" t="s">
        <v>6</v>
      </c>
      <c r="F8790" s="1" t="s">
        <v>5091</v>
      </c>
      <c r="G8790" s="14" t="s">
        <v>6145</v>
      </c>
      <c r="H8790" s="1" t="s">
        <v>43</v>
      </c>
      <c r="I8790" s="17">
        <v>42556</v>
      </c>
    </row>
    <row r="8791" spans="1:9">
      <c r="A8791" s="16" t="s">
        <v>11617</v>
      </c>
      <c r="B8791" s="1" t="s">
        <v>2628</v>
      </c>
      <c r="C8791" s="1">
        <v>7</v>
      </c>
      <c r="D8791" s="1" t="s">
        <v>101</v>
      </c>
      <c r="E8791" s="1" t="s">
        <v>6</v>
      </c>
      <c r="F8791" s="1" t="s">
        <v>5091</v>
      </c>
      <c r="G8791" s="14" t="s">
        <v>6186</v>
      </c>
      <c r="H8791" s="1" t="s">
        <v>5</v>
      </c>
      <c r="I8791" s="17">
        <v>42370</v>
      </c>
    </row>
    <row r="8792" spans="1:9">
      <c r="A8792" s="16" t="s">
        <v>11642</v>
      </c>
      <c r="B8792" s="1" t="s">
        <v>2628</v>
      </c>
      <c r="C8792" s="1">
        <v>7</v>
      </c>
      <c r="D8792" s="1" t="s">
        <v>101</v>
      </c>
      <c r="E8792" s="1" t="s">
        <v>6</v>
      </c>
      <c r="F8792" s="1" t="s">
        <v>5091</v>
      </c>
      <c r="G8792" s="14" t="s">
        <v>6236</v>
      </c>
      <c r="H8792" s="1" t="s">
        <v>43</v>
      </c>
      <c r="I8792" s="17">
        <v>41640</v>
      </c>
    </row>
    <row r="8793" spans="1:9">
      <c r="A8793" s="16" t="s">
        <v>11643</v>
      </c>
      <c r="B8793" s="1" t="s">
        <v>2628</v>
      </c>
      <c r="C8793" s="1">
        <v>7</v>
      </c>
      <c r="D8793" s="1" t="s">
        <v>101</v>
      </c>
      <c r="E8793" s="1" t="s">
        <v>6</v>
      </c>
      <c r="F8793" s="1" t="s">
        <v>5091</v>
      </c>
      <c r="G8793" s="14" t="s">
        <v>6236</v>
      </c>
      <c r="H8793" s="1" t="s">
        <v>43</v>
      </c>
      <c r="I8793" s="17">
        <v>41640</v>
      </c>
    </row>
    <row r="8794" spans="1:9">
      <c r="A8794" s="16" t="s">
        <v>11668</v>
      </c>
      <c r="B8794" s="1" t="s">
        <v>2628</v>
      </c>
      <c r="C8794" s="1">
        <v>7</v>
      </c>
      <c r="D8794" s="1" t="s">
        <v>101</v>
      </c>
      <c r="E8794" s="1" t="s">
        <v>6</v>
      </c>
      <c r="F8794" s="1" t="s">
        <v>5091</v>
      </c>
      <c r="G8794" s="14" t="s">
        <v>6236</v>
      </c>
      <c r="H8794" s="1" t="s">
        <v>43</v>
      </c>
      <c r="I8794" s="17">
        <v>42370</v>
      </c>
    </row>
    <row r="8795" spans="1:9">
      <c r="A8795" s="16" t="s">
        <v>11716</v>
      </c>
      <c r="B8795" s="1" t="s">
        <v>2628</v>
      </c>
      <c r="C8795" s="1">
        <v>7</v>
      </c>
      <c r="D8795" s="1" t="s">
        <v>101</v>
      </c>
      <c r="E8795" s="1" t="s">
        <v>6</v>
      </c>
      <c r="F8795" s="1" t="s">
        <v>5091</v>
      </c>
      <c r="G8795" s="14" t="s">
        <v>6145</v>
      </c>
      <c r="H8795" s="1" t="s">
        <v>43</v>
      </c>
      <c r="I8795" s="17">
        <v>42649</v>
      </c>
    </row>
    <row r="8796" spans="1:9">
      <c r="A8796" s="16" t="s">
        <v>11717</v>
      </c>
      <c r="B8796" s="1" t="s">
        <v>2628</v>
      </c>
      <c r="C8796" s="1">
        <v>7</v>
      </c>
      <c r="D8796" s="1" t="s">
        <v>101</v>
      </c>
      <c r="E8796" s="1" t="s">
        <v>6</v>
      </c>
      <c r="F8796" s="1" t="s">
        <v>5091</v>
      </c>
      <c r="G8796" s="14" t="s">
        <v>6145</v>
      </c>
      <c r="H8796" s="1" t="s">
        <v>43</v>
      </c>
      <c r="I8796" s="17">
        <v>42649</v>
      </c>
    </row>
    <row r="8797" spans="1:9">
      <c r="A8797" s="16" t="s">
        <v>11718</v>
      </c>
      <c r="B8797" s="1" t="s">
        <v>2628</v>
      </c>
      <c r="C8797" s="1">
        <v>7</v>
      </c>
      <c r="D8797" s="1" t="s">
        <v>101</v>
      </c>
      <c r="E8797" s="1" t="s">
        <v>6</v>
      </c>
      <c r="F8797" s="1" t="s">
        <v>5091</v>
      </c>
      <c r="G8797" s="14" t="s">
        <v>6145</v>
      </c>
      <c r="H8797" s="1" t="s">
        <v>43</v>
      </c>
      <c r="I8797" s="17">
        <v>42649</v>
      </c>
    </row>
    <row r="8798" spans="1:9">
      <c r="A8798" s="16" t="s">
        <v>11719</v>
      </c>
      <c r="B8798" s="1" t="s">
        <v>2628</v>
      </c>
      <c r="C8798" s="1">
        <v>7</v>
      </c>
      <c r="D8798" s="1" t="s">
        <v>101</v>
      </c>
      <c r="E8798" s="1" t="s">
        <v>6</v>
      </c>
      <c r="F8798" s="1" t="s">
        <v>5091</v>
      </c>
      <c r="G8798" s="14" t="s">
        <v>6145</v>
      </c>
      <c r="H8798" s="1" t="s">
        <v>43</v>
      </c>
      <c r="I8798" s="17">
        <v>42649</v>
      </c>
    </row>
    <row r="8799" spans="1:9">
      <c r="A8799" s="16" t="s">
        <v>11720</v>
      </c>
      <c r="B8799" s="1" t="s">
        <v>2628</v>
      </c>
      <c r="C8799" s="1">
        <v>7</v>
      </c>
      <c r="D8799" s="1" t="s">
        <v>101</v>
      </c>
      <c r="E8799" s="1" t="s">
        <v>6</v>
      </c>
      <c r="F8799" s="1" t="s">
        <v>5091</v>
      </c>
      <c r="G8799" s="14" t="s">
        <v>6145</v>
      </c>
      <c r="H8799" s="1" t="s">
        <v>43</v>
      </c>
      <c r="I8799" s="17">
        <v>42649</v>
      </c>
    </row>
    <row r="8800" spans="1:9">
      <c r="A8800" s="16" t="s">
        <v>11721</v>
      </c>
      <c r="B8800" s="1" t="s">
        <v>2628</v>
      </c>
      <c r="C8800" s="1">
        <v>7</v>
      </c>
      <c r="D8800" s="1" t="s">
        <v>101</v>
      </c>
      <c r="E8800" s="1" t="s">
        <v>6</v>
      </c>
      <c r="F8800" s="1" t="s">
        <v>5091</v>
      </c>
      <c r="G8800" s="14" t="s">
        <v>6145</v>
      </c>
      <c r="H8800" s="1" t="s">
        <v>43</v>
      </c>
      <c r="I8800" s="17">
        <v>42649</v>
      </c>
    </row>
    <row r="8801" spans="1:9">
      <c r="A8801" s="16" t="s">
        <v>11722</v>
      </c>
      <c r="B8801" s="1" t="s">
        <v>2628</v>
      </c>
      <c r="C8801" s="1">
        <v>7</v>
      </c>
      <c r="D8801" s="1" t="s">
        <v>101</v>
      </c>
      <c r="E8801" s="1" t="s">
        <v>6</v>
      </c>
      <c r="F8801" s="1" t="s">
        <v>5091</v>
      </c>
      <c r="G8801" s="14" t="s">
        <v>6145</v>
      </c>
      <c r="H8801" s="1" t="s">
        <v>43</v>
      </c>
      <c r="I8801" s="17">
        <v>42649</v>
      </c>
    </row>
    <row r="8802" spans="1:9">
      <c r="A8802" s="16" t="s">
        <v>11735</v>
      </c>
      <c r="B8802" s="1" t="s">
        <v>2628</v>
      </c>
      <c r="C8802" s="1">
        <v>7</v>
      </c>
      <c r="D8802" s="1" t="s">
        <v>101</v>
      </c>
      <c r="E8802" s="1" t="s">
        <v>6</v>
      </c>
      <c r="F8802" s="1" t="s">
        <v>5091</v>
      </c>
      <c r="G8802" s="14" t="s">
        <v>11736</v>
      </c>
      <c r="H8802" s="1" t="s">
        <v>5</v>
      </c>
      <c r="I8802" s="17">
        <v>40161</v>
      </c>
    </row>
    <row r="8803" spans="1:9">
      <c r="A8803" s="16" t="s">
        <v>11737</v>
      </c>
      <c r="B8803" s="1" t="s">
        <v>2628</v>
      </c>
      <c r="C8803" s="1">
        <v>7</v>
      </c>
      <c r="D8803" s="1" t="s">
        <v>101</v>
      </c>
      <c r="E8803" s="1" t="s">
        <v>6</v>
      </c>
      <c r="F8803" s="1" t="s">
        <v>5091</v>
      </c>
      <c r="G8803" s="14" t="s">
        <v>11738</v>
      </c>
      <c r="H8803" s="1" t="s">
        <v>5</v>
      </c>
      <c r="I8803" s="17">
        <v>40147</v>
      </c>
    </row>
    <row r="8804" spans="1:9">
      <c r="A8804" s="16" t="s">
        <v>11739</v>
      </c>
      <c r="B8804" s="1" t="s">
        <v>2628</v>
      </c>
      <c r="C8804" s="1">
        <v>7</v>
      </c>
      <c r="D8804" s="1" t="s">
        <v>101</v>
      </c>
      <c r="E8804" s="1" t="s">
        <v>6</v>
      </c>
      <c r="F8804" s="1" t="s">
        <v>5091</v>
      </c>
      <c r="G8804" s="14" t="s">
        <v>11740</v>
      </c>
      <c r="H8804" s="1" t="s">
        <v>5</v>
      </c>
      <c r="I8804" s="17">
        <v>40161</v>
      </c>
    </row>
    <row r="8805" spans="1:9">
      <c r="A8805" s="16" t="s">
        <v>11784</v>
      </c>
      <c r="B8805" s="1" t="s">
        <v>2628</v>
      </c>
      <c r="C8805" s="1">
        <v>7</v>
      </c>
      <c r="D8805" s="1" t="s">
        <v>101</v>
      </c>
      <c r="E8805" s="1" t="s">
        <v>6</v>
      </c>
      <c r="F8805" s="1" t="s">
        <v>5091</v>
      </c>
      <c r="G8805" s="14" t="s">
        <v>11740</v>
      </c>
      <c r="H8805" s="1" t="s">
        <v>5</v>
      </c>
      <c r="I8805" s="17">
        <v>40512</v>
      </c>
    </row>
    <row r="8806" spans="1:9">
      <c r="A8806" s="16" t="s">
        <v>11787</v>
      </c>
      <c r="B8806" s="1" t="s">
        <v>2628</v>
      </c>
      <c r="C8806" s="1">
        <v>7</v>
      </c>
      <c r="D8806" s="1" t="s">
        <v>101</v>
      </c>
      <c r="E8806" s="1" t="s">
        <v>6</v>
      </c>
      <c r="F8806" s="1" t="s">
        <v>5091</v>
      </c>
      <c r="G8806" s="14" t="s">
        <v>11740</v>
      </c>
      <c r="H8806" s="1" t="s">
        <v>5</v>
      </c>
      <c r="I8806" s="17">
        <v>40512</v>
      </c>
    </row>
    <row r="8807" spans="1:9">
      <c r="A8807" s="16" t="s">
        <v>11824</v>
      </c>
      <c r="B8807" s="1" t="s">
        <v>2628</v>
      </c>
      <c r="C8807" s="1">
        <v>7</v>
      </c>
      <c r="D8807" s="1" t="s">
        <v>101</v>
      </c>
      <c r="E8807" s="1" t="s">
        <v>6</v>
      </c>
      <c r="F8807" s="1" t="s">
        <v>5091</v>
      </c>
      <c r="G8807" s="14" t="s">
        <v>6145</v>
      </c>
      <c r="H8807" s="1" t="s">
        <v>43</v>
      </c>
      <c r="I8807" s="17">
        <v>42669</v>
      </c>
    </row>
    <row r="8808" spans="1:9">
      <c r="A8808" s="16" t="s">
        <v>11834</v>
      </c>
      <c r="B8808" s="1" t="s">
        <v>2628</v>
      </c>
      <c r="C8808" s="1">
        <v>7</v>
      </c>
      <c r="D8808" s="1" t="s">
        <v>101</v>
      </c>
      <c r="E8808" s="1" t="s">
        <v>6</v>
      </c>
      <c r="F8808" s="1" t="s">
        <v>5091</v>
      </c>
      <c r="G8808" s="14" t="s">
        <v>6145</v>
      </c>
      <c r="H8808" s="1" t="s">
        <v>43</v>
      </c>
      <c r="I8808" s="17">
        <v>42670</v>
      </c>
    </row>
    <row r="8809" spans="1:9">
      <c r="A8809" s="16" t="s">
        <v>11877</v>
      </c>
      <c r="B8809" s="1" t="s">
        <v>2628</v>
      </c>
      <c r="C8809" s="1">
        <v>7</v>
      </c>
      <c r="D8809" s="1" t="s">
        <v>101</v>
      </c>
      <c r="E8809" s="1" t="s">
        <v>6</v>
      </c>
      <c r="F8809" s="1" t="s">
        <v>5091</v>
      </c>
      <c r="G8809" s="14" t="s">
        <v>6145</v>
      </c>
      <c r="H8809" s="1" t="s">
        <v>43</v>
      </c>
      <c r="I8809" s="17">
        <v>42644</v>
      </c>
    </row>
    <row r="8810" spans="1:9">
      <c r="A8810" s="16" t="s">
        <v>11878</v>
      </c>
      <c r="B8810" s="1" t="s">
        <v>2628</v>
      </c>
      <c r="C8810" s="1">
        <v>7</v>
      </c>
      <c r="D8810" s="1" t="s">
        <v>101</v>
      </c>
      <c r="E8810" s="1" t="s">
        <v>6</v>
      </c>
      <c r="F8810" s="1" t="s">
        <v>5091</v>
      </c>
      <c r="G8810" s="14" t="s">
        <v>6145</v>
      </c>
      <c r="H8810" s="1" t="s">
        <v>43</v>
      </c>
      <c r="I8810" s="17">
        <v>42663</v>
      </c>
    </row>
    <row r="8811" spans="1:9">
      <c r="A8811" s="16" t="s">
        <v>11879</v>
      </c>
      <c r="B8811" s="1" t="s">
        <v>2628</v>
      </c>
      <c r="C8811" s="1">
        <v>7</v>
      </c>
      <c r="D8811" s="1" t="s">
        <v>101</v>
      </c>
      <c r="E8811" s="1" t="s">
        <v>6</v>
      </c>
      <c r="F8811" s="1" t="s">
        <v>5091</v>
      </c>
      <c r="G8811" s="14" t="s">
        <v>6145</v>
      </c>
      <c r="H8811" s="1" t="s">
        <v>43</v>
      </c>
      <c r="I8811" s="17">
        <v>42663</v>
      </c>
    </row>
    <row r="8812" spans="1:9">
      <c r="A8812" s="16" t="s">
        <v>11880</v>
      </c>
      <c r="B8812" s="1" t="s">
        <v>2628</v>
      </c>
      <c r="C8812" s="1">
        <v>7</v>
      </c>
      <c r="D8812" s="1" t="s">
        <v>101</v>
      </c>
      <c r="E8812" s="1" t="s">
        <v>6</v>
      </c>
      <c r="F8812" s="1" t="s">
        <v>5091</v>
      </c>
      <c r="G8812" s="14" t="s">
        <v>6145</v>
      </c>
      <c r="H8812" s="1" t="s">
        <v>43</v>
      </c>
      <c r="I8812" s="17">
        <v>42644</v>
      </c>
    </row>
    <row r="8813" spans="1:9">
      <c r="A8813" s="16" t="s">
        <v>11884</v>
      </c>
      <c r="B8813" s="1" t="s">
        <v>2628</v>
      </c>
      <c r="C8813" s="1">
        <v>7</v>
      </c>
      <c r="D8813" s="1" t="s">
        <v>101</v>
      </c>
      <c r="E8813" s="1" t="s">
        <v>6</v>
      </c>
      <c r="F8813" s="1" t="s">
        <v>5091</v>
      </c>
      <c r="G8813" s="14" t="s">
        <v>6145</v>
      </c>
      <c r="H8813" s="1" t="s">
        <v>43</v>
      </c>
      <c r="I8813" s="17">
        <v>42663</v>
      </c>
    </row>
    <row r="8814" spans="1:9">
      <c r="A8814" s="16" t="s">
        <v>11952</v>
      </c>
      <c r="B8814" s="1" t="s">
        <v>2628</v>
      </c>
      <c r="C8814" s="1">
        <v>7</v>
      </c>
      <c r="D8814" s="1" t="s">
        <v>101</v>
      </c>
      <c r="E8814" s="1" t="s">
        <v>6</v>
      </c>
      <c r="F8814" s="1" t="s">
        <v>5091</v>
      </c>
      <c r="G8814" s="14" t="s">
        <v>6236</v>
      </c>
      <c r="H8814" s="1" t="s">
        <v>43</v>
      </c>
      <c r="I8814" s="17">
        <v>42370</v>
      </c>
    </row>
    <row r="8815" spans="1:9">
      <c r="A8815" s="16" t="s">
        <v>11989</v>
      </c>
      <c r="B8815" s="1" t="s">
        <v>2628</v>
      </c>
      <c r="C8815" s="1">
        <v>7</v>
      </c>
      <c r="D8815" s="1" t="s">
        <v>101</v>
      </c>
      <c r="E8815" s="1" t="s">
        <v>6</v>
      </c>
      <c r="F8815" s="1" t="s">
        <v>5091</v>
      </c>
      <c r="G8815" s="14" t="s">
        <v>6145</v>
      </c>
      <c r="H8815" s="1" t="s">
        <v>43</v>
      </c>
      <c r="I8815" s="17">
        <v>40674</v>
      </c>
    </row>
    <row r="8816" spans="1:9">
      <c r="A8816" s="16" t="s">
        <v>11990</v>
      </c>
      <c r="B8816" s="1" t="s">
        <v>2628</v>
      </c>
      <c r="C8816" s="1">
        <v>7</v>
      </c>
      <c r="D8816" s="1" t="s">
        <v>101</v>
      </c>
      <c r="E8816" s="1" t="s">
        <v>6</v>
      </c>
      <c r="F8816" s="1" t="s">
        <v>5091</v>
      </c>
      <c r="G8816" s="14" t="s">
        <v>6145</v>
      </c>
      <c r="H8816" s="1" t="s">
        <v>43</v>
      </c>
      <c r="I8816" s="17">
        <v>40674</v>
      </c>
    </row>
    <row r="8817" spans="1:9">
      <c r="A8817" s="16" t="s">
        <v>11991</v>
      </c>
      <c r="B8817" s="1" t="s">
        <v>2628</v>
      </c>
      <c r="C8817" s="1">
        <v>7</v>
      </c>
      <c r="D8817" s="1" t="s">
        <v>101</v>
      </c>
      <c r="E8817" s="1" t="s">
        <v>6</v>
      </c>
      <c r="F8817" s="1" t="s">
        <v>5091</v>
      </c>
      <c r="G8817" s="14" t="s">
        <v>6145</v>
      </c>
      <c r="H8817" s="1" t="s">
        <v>43</v>
      </c>
      <c r="I8817" s="17">
        <v>40668</v>
      </c>
    </row>
    <row r="8818" spans="1:9">
      <c r="A8818" s="16" t="s">
        <v>12076</v>
      </c>
      <c r="B8818" s="1" t="s">
        <v>2628</v>
      </c>
      <c r="C8818" s="1">
        <v>7</v>
      </c>
      <c r="D8818" s="1" t="s">
        <v>101</v>
      </c>
      <c r="E8818" s="1" t="s">
        <v>6</v>
      </c>
      <c r="F8818" s="1" t="s">
        <v>5091</v>
      </c>
      <c r="G8818" s="14" t="s">
        <v>4458</v>
      </c>
      <c r="H8818" s="1" t="s">
        <v>118</v>
      </c>
      <c r="I8818" s="1" t="s">
        <v>4458</v>
      </c>
    </row>
    <row r="8819" spans="1:9" ht="31.2">
      <c r="A8819" s="16" t="s">
        <v>12111</v>
      </c>
      <c r="B8819" s="1" t="s">
        <v>2628</v>
      </c>
      <c r="C8819" s="1">
        <v>7</v>
      </c>
      <c r="D8819" s="1" t="s">
        <v>101</v>
      </c>
      <c r="E8819" s="1" t="s">
        <v>6</v>
      </c>
      <c r="F8819" s="1" t="s">
        <v>5091</v>
      </c>
      <c r="G8819" s="14" t="s">
        <v>6699</v>
      </c>
      <c r="H8819" s="1" t="s">
        <v>44</v>
      </c>
      <c r="I8819" s="17">
        <v>42765</v>
      </c>
    </row>
    <row r="8820" spans="1:9" ht="31.2">
      <c r="A8820" s="16" t="s">
        <v>12112</v>
      </c>
      <c r="B8820" s="1" t="s">
        <v>2628</v>
      </c>
      <c r="C8820" s="1">
        <v>7</v>
      </c>
      <c r="D8820" s="1" t="s">
        <v>101</v>
      </c>
      <c r="E8820" s="1" t="s">
        <v>6</v>
      </c>
      <c r="F8820" s="1" t="s">
        <v>5091</v>
      </c>
      <c r="G8820" s="14" t="s">
        <v>6699</v>
      </c>
      <c r="H8820" s="1" t="s">
        <v>44</v>
      </c>
      <c r="I8820" s="17">
        <v>42765</v>
      </c>
    </row>
    <row r="8821" spans="1:9">
      <c r="A8821" s="16" t="s">
        <v>12113</v>
      </c>
      <c r="B8821" s="1" t="s">
        <v>2628</v>
      </c>
      <c r="C8821" s="1">
        <v>7</v>
      </c>
      <c r="D8821" s="1" t="s">
        <v>101</v>
      </c>
      <c r="E8821" s="1" t="s">
        <v>6</v>
      </c>
      <c r="F8821" s="1" t="s">
        <v>5091</v>
      </c>
      <c r="G8821" s="14" t="s">
        <v>6699</v>
      </c>
      <c r="H8821" s="1" t="s">
        <v>44</v>
      </c>
      <c r="I8821" s="17">
        <v>42766</v>
      </c>
    </row>
    <row r="8822" spans="1:9" ht="31.2">
      <c r="A8822" s="16" t="s">
        <v>12114</v>
      </c>
      <c r="B8822" s="1" t="s">
        <v>2628</v>
      </c>
      <c r="C8822" s="1">
        <v>7</v>
      </c>
      <c r="D8822" s="1" t="s">
        <v>101</v>
      </c>
      <c r="E8822" s="1" t="s">
        <v>6</v>
      </c>
      <c r="F8822" s="1" t="s">
        <v>5091</v>
      </c>
      <c r="G8822" s="14" t="s">
        <v>6699</v>
      </c>
      <c r="H8822" s="1" t="s">
        <v>44</v>
      </c>
      <c r="I8822" s="17">
        <v>42766</v>
      </c>
    </row>
    <row r="8823" spans="1:9" ht="31.2">
      <c r="A8823" s="16" t="s">
        <v>12115</v>
      </c>
      <c r="B8823" s="1" t="s">
        <v>2628</v>
      </c>
      <c r="C8823" s="1">
        <v>7</v>
      </c>
      <c r="D8823" s="1" t="s">
        <v>101</v>
      </c>
      <c r="E8823" s="1" t="s">
        <v>6</v>
      </c>
      <c r="F8823" s="1" t="s">
        <v>5091</v>
      </c>
      <c r="G8823" s="14" t="s">
        <v>6699</v>
      </c>
      <c r="H8823" s="1" t="s">
        <v>44</v>
      </c>
      <c r="I8823" s="17">
        <v>42766</v>
      </c>
    </row>
    <row r="8824" spans="1:9">
      <c r="A8824" s="16" t="s">
        <v>12116</v>
      </c>
      <c r="B8824" s="1" t="s">
        <v>2628</v>
      </c>
      <c r="C8824" s="1">
        <v>7</v>
      </c>
      <c r="D8824" s="1" t="s">
        <v>101</v>
      </c>
      <c r="E8824" s="1" t="s">
        <v>6</v>
      </c>
      <c r="F8824" s="1" t="s">
        <v>5091</v>
      </c>
      <c r="G8824" s="14" t="s">
        <v>6145</v>
      </c>
      <c r="H8824" s="1" t="s">
        <v>43</v>
      </c>
      <c r="I8824" s="17">
        <v>42766</v>
      </c>
    </row>
    <row r="8825" spans="1:9" ht="31.2">
      <c r="A8825" s="16" t="s">
        <v>12117</v>
      </c>
      <c r="B8825" s="1" t="s">
        <v>2628</v>
      </c>
      <c r="C8825" s="1">
        <v>7</v>
      </c>
      <c r="D8825" s="1" t="s">
        <v>101</v>
      </c>
      <c r="E8825" s="1" t="s">
        <v>6</v>
      </c>
      <c r="F8825" s="1" t="s">
        <v>5091</v>
      </c>
      <c r="G8825" s="14" t="s">
        <v>6699</v>
      </c>
      <c r="H8825" s="1" t="s">
        <v>44</v>
      </c>
      <c r="I8825" s="17">
        <v>42766</v>
      </c>
    </row>
    <row r="8826" spans="1:9">
      <c r="A8826" s="16" t="s">
        <v>12129</v>
      </c>
      <c r="B8826" s="1" t="s">
        <v>2628</v>
      </c>
      <c r="C8826" s="1">
        <v>7</v>
      </c>
      <c r="D8826" s="1" t="s">
        <v>101</v>
      </c>
      <c r="E8826" s="1" t="s">
        <v>6</v>
      </c>
      <c r="F8826" s="1" t="s">
        <v>5091</v>
      </c>
      <c r="G8826" s="14" t="s">
        <v>6145</v>
      </c>
      <c r="H8826" s="1" t="s">
        <v>43</v>
      </c>
      <c r="I8826" s="17">
        <v>41640</v>
      </c>
    </row>
    <row r="8827" spans="1:9">
      <c r="A8827" s="16" t="s">
        <v>12130</v>
      </c>
      <c r="B8827" s="1" t="s">
        <v>2628</v>
      </c>
      <c r="C8827" s="1">
        <v>7</v>
      </c>
      <c r="D8827" s="1" t="s">
        <v>101</v>
      </c>
      <c r="E8827" s="1" t="s">
        <v>6</v>
      </c>
      <c r="F8827" s="1" t="s">
        <v>5091</v>
      </c>
      <c r="G8827" s="14" t="s">
        <v>6145</v>
      </c>
      <c r="H8827" s="1" t="s">
        <v>43</v>
      </c>
      <c r="I8827" s="17">
        <v>41640</v>
      </c>
    </row>
    <row r="8828" spans="1:9">
      <c r="A8828" s="16" t="s">
        <v>12162</v>
      </c>
      <c r="B8828" s="1" t="s">
        <v>2628</v>
      </c>
      <c r="C8828" s="1">
        <v>7</v>
      </c>
      <c r="D8828" s="1" t="s">
        <v>101</v>
      </c>
      <c r="E8828" s="1" t="s">
        <v>6</v>
      </c>
      <c r="F8828" s="1" t="s">
        <v>5091</v>
      </c>
      <c r="G8828" s="14" t="s">
        <v>4458</v>
      </c>
      <c r="H8828" s="1" t="s">
        <v>118</v>
      </c>
      <c r="I8828" s="17">
        <v>37315</v>
      </c>
    </row>
    <row r="8829" spans="1:9">
      <c r="A8829" s="16" t="s">
        <v>12165</v>
      </c>
      <c r="B8829" s="1" t="s">
        <v>2628</v>
      </c>
      <c r="C8829" s="1">
        <v>7</v>
      </c>
      <c r="D8829" s="1" t="s">
        <v>101</v>
      </c>
      <c r="E8829" s="1" t="s">
        <v>6</v>
      </c>
      <c r="F8829" s="1" t="s">
        <v>5091</v>
      </c>
      <c r="G8829" s="14" t="s">
        <v>4458</v>
      </c>
      <c r="H8829" s="1" t="s">
        <v>118</v>
      </c>
      <c r="I8829" s="17">
        <v>37315</v>
      </c>
    </row>
    <row r="8830" spans="1:9">
      <c r="A8830" s="16" t="s">
        <v>12166</v>
      </c>
      <c r="B8830" s="1" t="s">
        <v>2628</v>
      </c>
      <c r="C8830" s="1">
        <v>7</v>
      </c>
      <c r="D8830" s="1" t="s">
        <v>101</v>
      </c>
      <c r="E8830" s="1" t="s">
        <v>6</v>
      </c>
      <c r="F8830" s="1" t="s">
        <v>5091</v>
      </c>
      <c r="G8830" s="14" t="s">
        <v>4458</v>
      </c>
      <c r="H8830" s="1" t="s">
        <v>118</v>
      </c>
      <c r="I8830" s="17">
        <v>37315</v>
      </c>
    </row>
    <row r="8831" spans="1:9">
      <c r="A8831" s="16" t="s">
        <v>12167</v>
      </c>
      <c r="B8831" s="1" t="s">
        <v>2628</v>
      </c>
      <c r="C8831" s="1">
        <v>7</v>
      </c>
      <c r="D8831" s="1" t="s">
        <v>101</v>
      </c>
      <c r="E8831" s="1" t="s">
        <v>6</v>
      </c>
      <c r="F8831" s="1" t="s">
        <v>5091</v>
      </c>
      <c r="G8831" s="14" t="s">
        <v>4458</v>
      </c>
      <c r="H8831" s="1" t="s">
        <v>118</v>
      </c>
      <c r="I8831" s="17">
        <v>37315</v>
      </c>
    </row>
    <row r="8832" spans="1:9">
      <c r="A8832" s="16" t="s">
        <v>12172</v>
      </c>
      <c r="B8832" s="1" t="s">
        <v>2628</v>
      </c>
      <c r="C8832" s="1">
        <v>7</v>
      </c>
      <c r="D8832" s="1" t="s">
        <v>101</v>
      </c>
      <c r="E8832" s="1" t="s">
        <v>6</v>
      </c>
      <c r="F8832" s="1" t="s">
        <v>5091</v>
      </c>
      <c r="G8832" s="14" t="s">
        <v>12173</v>
      </c>
      <c r="H8832" s="1" t="s">
        <v>5</v>
      </c>
      <c r="I8832" s="17">
        <v>41640</v>
      </c>
    </row>
    <row r="8833" spans="1:9">
      <c r="A8833" s="16" t="s">
        <v>12177</v>
      </c>
      <c r="B8833" s="1" t="s">
        <v>2628</v>
      </c>
      <c r="C8833" s="1">
        <v>7</v>
      </c>
      <c r="D8833" s="1" t="s">
        <v>101</v>
      </c>
      <c r="E8833" s="1" t="s">
        <v>6</v>
      </c>
      <c r="F8833" s="1" t="s">
        <v>5091</v>
      </c>
      <c r="G8833" s="14" t="s">
        <v>12173</v>
      </c>
      <c r="H8833" s="1" t="s">
        <v>5</v>
      </c>
      <c r="I8833" s="17">
        <v>41640</v>
      </c>
    </row>
    <row r="8834" spans="1:9">
      <c r="A8834" s="16" t="s">
        <v>12204</v>
      </c>
      <c r="B8834" s="1" t="s">
        <v>2628</v>
      </c>
      <c r="C8834" s="1">
        <v>7</v>
      </c>
      <c r="D8834" s="1" t="s">
        <v>101</v>
      </c>
      <c r="E8834" s="1" t="s">
        <v>6</v>
      </c>
      <c r="F8834" s="1" t="s">
        <v>5091</v>
      </c>
      <c r="G8834" s="14" t="s">
        <v>6145</v>
      </c>
      <c r="H8834" s="1" t="s">
        <v>43</v>
      </c>
      <c r="I8834" s="17">
        <v>41640</v>
      </c>
    </row>
    <row r="8835" spans="1:9">
      <c r="A8835" s="16" t="s">
        <v>12273</v>
      </c>
      <c r="B8835" s="1" t="s">
        <v>2628</v>
      </c>
      <c r="C8835" s="1">
        <v>7</v>
      </c>
      <c r="D8835" s="1" t="s">
        <v>101</v>
      </c>
      <c r="E8835" s="1" t="s">
        <v>6</v>
      </c>
      <c r="F8835" s="1" t="s">
        <v>5091</v>
      </c>
      <c r="G8835" s="14" t="s">
        <v>6450</v>
      </c>
      <c r="H8835" s="1" t="s">
        <v>43</v>
      </c>
      <c r="I8835" s="17">
        <v>41640</v>
      </c>
    </row>
    <row r="8836" spans="1:9">
      <c r="A8836" s="16" t="s">
        <v>12275</v>
      </c>
      <c r="B8836" s="1" t="s">
        <v>2628</v>
      </c>
      <c r="C8836" s="1">
        <v>7</v>
      </c>
      <c r="D8836" s="1" t="s">
        <v>101</v>
      </c>
      <c r="E8836" s="1" t="s">
        <v>6</v>
      </c>
      <c r="F8836" s="1" t="s">
        <v>5091</v>
      </c>
      <c r="G8836" s="14" t="s">
        <v>6450</v>
      </c>
      <c r="H8836" s="1" t="s">
        <v>43</v>
      </c>
      <c r="I8836" s="17">
        <v>41640</v>
      </c>
    </row>
    <row r="8837" spans="1:9">
      <c r="A8837" s="16" t="s">
        <v>12280</v>
      </c>
      <c r="B8837" s="1" t="s">
        <v>2628</v>
      </c>
      <c r="C8837" s="1">
        <v>7</v>
      </c>
      <c r="D8837" s="1" t="s">
        <v>101</v>
      </c>
      <c r="E8837" s="1" t="s">
        <v>6</v>
      </c>
      <c r="F8837" s="1" t="s">
        <v>5091</v>
      </c>
      <c r="G8837" s="14" t="s">
        <v>6450</v>
      </c>
      <c r="H8837" s="1" t="s">
        <v>43</v>
      </c>
      <c r="I8837" s="17">
        <v>41640</v>
      </c>
    </row>
    <row r="8838" spans="1:9">
      <c r="A8838" s="16" t="s">
        <v>12281</v>
      </c>
      <c r="B8838" s="1" t="s">
        <v>2628</v>
      </c>
      <c r="C8838" s="1">
        <v>7</v>
      </c>
      <c r="D8838" s="1" t="s">
        <v>101</v>
      </c>
      <c r="E8838" s="1" t="s">
        <v>6</v>
      </c>
      <c r="F8838" s="1" t="s">
        <v>5091</v>
      </c>
      <c r="G8838" s="14" t="s">
        <v>6450</v>
      </c>
      <c r="H8838" s="1" t="s">
        <v>43</v>
      </c>
      <c r="I8838" s="17">
        <v>41640</v>
      </c>
    </row>
    <row r="8839" spans="1:9">
      <c r="A8839" s="16" t="s">
        <v>12282</v>
      </c>
      <c r="B8839" s="1" t="s">
        <v>2628</v>
      </c>
      <c r="C8839" s="1">
        <v>7</v>
      </c>
      <c r="D8839" s="1" t="s">
        <v>101</v>
      </c>
      <c r="E8839" s="1" t="s">
        <v>6</v>
      </c>
      <c r="F8839" s="1" t="s">
        <v>5091</v>
      </c>
      <c r="G8839" s="14" t="s">
        <v>6450</v>
      </c>
      <c r="H8839" s="1" t="s">
        <v>43</v>
      </c>
      <c r="I8839" s="17">
        <v>41640</v>
      </c>
    </row>
    <row r="8840" spans="1:9">
      <c r="A8840" s="16" t="s">
        <v>12283</v>
      </c>
      <c r="B8840" s="1" t="s">
        <v>2628</v>
      </c>
      <c r="C8840" s="1">
        <v>7</v>
      </c>
      <c r="D8840" s="1" t="s">
        <v>101</v>
      </c>
      <c r="E8840" s="1" t="s">
        <v>6</v>
      </c>
      <c r="F8840" s="1" t="s">
        <v>5091</v>
      </c>
      <c r="G8840" s="14" t="s">
        <v>6450</v>
      </c>
      <c r="H8840" s="1" t="s">
        <v>43</v>
      </c>
      <c r="I8840" s="17">
        <v>41640</v>
      </c>
    </row>
    <row r="8841" spans="1:9">
      <c r="A8841" s="16" t="s">
        <v>12288</v>
      </c>
      <c r="B8841" s="1" t="s">
        <v>2628</v>
      </c>
      <c r="C8841" s="1">
        <v>7</v>
      </c>
      <c r="D8841" s="1" t="s">
        <v>101</v>
      </c>
      <c r="E8841" s="1" t="s">
        <v>6</v>
      </c>
      <c r="F8841" s="1" t="s">
        <v>5091</v>
      </c>
      <c r="G8841" s="14" t="s">
        <v>6307</v>
      </c>
      <c r="H8841" s="1" t="s">
        <v>44</v>
      </c>
      <c r="I8841" s="17">
        <v>41640</v>
      </c>
    </row>
    <row r="8842" spans="1:9">
      <c r="A8842" s="16" t="s">
        <v>12292</v>
      </c>
      <c r="B8842" s="1" t="s">
        <v>2628</v>
      </c>
      <c r="C8842" s="1">
        <v>7</v>
      </c>
      <c r="D8842" s="1" t="s">
        <v>101</v>
      </c>
      <c r="E8842" s="1" t="s">
        <v>6</v>
      </c>
      <c r="F8842" s="1" t="s">
        <v>5091</v>
      </c>
      <c r="G8842" s="14" t="s">
        <v>6450</v>
      </c>
      <c r="H8842" s="1" t="s">
        <v>43</v>
      </c>
      <c r="I8842" s="17">
        <v>41640</v>
      </c>
    </row>
    <row r="8843" spans="1:9">
      <c r="A8843" s="16" t="s">
        <v>12300</v>
      </c>
      <c r="B8843" s="1" t="s">
        <v>2628</v>
      </c>
      <c r="C8843" s="1">
        <v>7</v>
      </c>
      <c r="D8843" s="1" t="s">
        <v>101</v>
      </c>
      <c r="E8843" s="1" t="s">
        <v>6</v>
      </c>
      <c r="F8843" s="1" t="s">
        <v>5091</v>
      </c>
      <c r="G8843" s="14" t="s">
        <v>6145</v>
      </c>
      <c r="H8843" s="1" t="s">
        <v>43</v>
      </c>
      <c r="I8843" s="17">
        <v>41640</v>
      </c>
    </row>
    <row r="8844" spans="1:9">
      <c r="A8844" s="16" t="s">
        <v>12302</v>
      </c>
      <c r="B8844" s="1" t="s">
        <v>2628</v>
      </c>
      <c r="C8844" s="1">
        <v>7</v>
      </c>
      <c r="D8844" s="1" t="s">
        <v>101</v>
      </c>
      <c r="E8844" s="1" t="s">
        <v>6</v>
      </c>
      <c r="F8844" s="1" t="s">
        <v>5091</v>
      </c>
      <c r="G8844" s="14" t="s">
        <v>6145</v>
      </c>
      <c r="H8844" s="1" t="s">
        <v>43</v>
      </c>
      <c r="I8844" s="17">
        <v>41640</v>
      </c>
    </row>
    <row r="8845" spans="1:9">
      <c r="A8845" s="16" t="s">
        <v>12303</v>
      </c>
      <c r="B8845" s="1" t="s">
        <v>2628</v>
      </c>
      <c r="C8845" s="1">
        <v>7</v>
      </c>
      <c r="D8845" s="1" t="s">
        <v>101</v>
      </c>
      <c r="E8845" s="1" t="s">
        <v>6</v>
      </c>
      <c r="F8845" s="1" t="s">
        <v>5091</v>
      </c>
      <c r="G8845" s="14" t="s">
        <v>6145</v>
      </c>
      <c r="H8845" s="1" t="s">
        <v>43</v>
      </c>
      <c r="I8845" s="17">
        <v>41640</v>
      </c>
    </row>
    <row r="8846" spans="1:9">
      <c r="A8846" s="16" t="s">
        <v>12304</v>
      </c>
      <c r="B8846" s="1" t="s">
        <v>2628</v>
      </c>
      <c r="C8846" s="1">
        <v>7</v>
      </c>
      <c r="D8846" s="1" t="s">
        <v>101</v>
      </c>
      <c r="E8846" s="1" t="s">
        <v>6</v>
      </c>
      <c r="F8846" s="1" t="s">
        <v>5091</v>
      </c>
      <c r="G8846" s="14" t="s">
        <v>6145</v>
      </c>
      <c r="H8846" s="1" t="s">
        <v>43</v>
      </c>
      <c r="I8846" s="17">
        <v>41640</v>
      </c>
    </row>
    <row r="8847" spans="1:9">
      <c r="A8847" s="16" t="s">
        <v>12305</v>
      </c>
      <c r="B8847" s="1" t="s">
        <v>2628</v>
      </c>
      <c r="C8847" s="1">
        <v>7</v>
      </c>
      <c r="D8847" s="1" t="s">
        <v>101</v>
      </c>
      <c r="E8847" s="1" t="s">
        <v>6</v>
      </c>
      <c r="F8847" s="1" t="s">
        <v>5091</v>
      </c>
      <c r="G8847" s="14" t="s">
        <v>6145</v>
      </c>
      <c r="H8847" s="1" t="s">
        <v>43</v>
      </c>
      <c r="I8847" s="17">
        <v>41640</v>
      </c>
    </row>
    <row r="8848" spans="1:9">
      <c r="A8848" s="16" t="s">
        <v>12315</v>
      </c>
      <c r="B8848" s="1" t="s">
        <v>2628</v>
      </c>
      <c r="C8848" s="1">
        <v>7</v>
      </c>
      <c r="D8848" s="1" t="s">
        <v>101</v>
      </c>
      <c r="E8848" s="1" t="s">
        <v>6</v>
      </c>
      <c r="F8848" s="1" t="s">
        <v>5091</v>
      </c>
      <c r="G8848" s="14" t="s">
        <v>6145</v>
      </c>
      <c r="H8848" s="1" t="s">
        <v>43</v>
      </c>
      <c r="I8848" s="17">
        <v>41640</v>
      </c>
    </row>
    <row r="8849" spans="1:9">
      <c r="A8849" s="16" t="s">
        <v>12320</v>
      </c>
      <c r="B8849" s="1" t="s">
        <v>2628</v>
      </c>
      <c r="C8849" s="1">
        <v>7</v>
      </c>
      <c r="D8849" s="1" t="s">
        <v>101</v>
      </c>
      <c r="E8849" s="1" t="s">
        <v>6</v>
      </c>
      <c r="F8849" s="1" t="s">
        <v>5091</v>
      </c>
      <c r="G8849" s="14" t="s">
        <v>6145</v>
      </c>
      <c r="H8849" s="1" t="s">
        <v>43</v>
      </c>
      <c r="I8849" s="17">
        <v>41640</v>
      </c>
    </row>
    <row r="8850" spans="1:9">
      <c r="A8850" s="16" t="s">
        <v>12328</v>
      </c>
      <c r="B8850" s="1" t="s">
        <v>2628</v>
      </c>
      <c r="C8850" s="1">
        <v>7</v>
      </c>
      <c r="D8850" s="1" t="s">
        <v>101</v>
      </c>
      <c r="E8850" s="1" t="s">
        <v>6</v>
      </c>
      <c r="F8850" s="1" t="s">
        <v>5091</v>
      </c>
      <c r="G8850" s="14" t="s">
        <v>6145</v>
      </c>
      <c r="H8850" s="1" t="s">
        <v>43</v>
      </c>
      <c r="I8850" s="17">
        <v>41640</v>
      </c>
    </row>
    <row r="8851" spans="1:9">
      <c r="A8851" s="16" t="s">
        <v>12370</v>
      </c>
      <c r="B8851" s="1" t="s">
        <v>2628</v>
      </c>
      <c r="C8851" s="1">
        <v>7</v>
      </c>
      <c r="D8851" s="1" t="s">
        <v>101</v>
      </c>
      <c r="E8851" s="1" t="s">
        <v>6</v>
      </c>
      <c r="F8851" s="1" t="s">
        <v>5091</v>
      </c>
      <c r="G8851" s="14" t="s">
        <v>6145</v>
      </c>
      <c r="H8851" s="1" t="s">
        <v>43</v>
      </c>
      <c r="I8851" s="17">
        <v>41640</v>
      </c>
    </row>
    <row r="8852" spans="1:9">
      <c r="A8852" s="16" t="s">
        <v>12373</v>
      </c>
      <c r="B8852" s="1" t="s">
        <v>2628</v>
      </c>
      <c r="C8852" s="1">
        <v>7</v>
      </c>
      <c r="D8852" s="1" t="s">
        <v>101</v>
      </c>
      <c r="E8852" s="1" t="s">
        <v>6</v>
      </c>
      <c r="F8852" s="1" t="s">
        <v>5091</v>
      </c>
      <c r="G8852" s="14" t="s">
        <v>6145</v>
      </c>
      <c r="H8852" s="1" t="s">
        <v>43</v>
      </c>
      <c r="I8852" s="17">
        <v>41640</v>
      </c>
    </row>
    <row r="8853" spans="1:9">
      <c r="A8853" s="16" t="s">
        <v>12377</v>
      </c>
      <c r="B8853" s="1" t="s">
        <v>2628</v>
      </c>
      <c r="C8853" s="1">
        <v>7</v>
      </c>
      <c r="D8853" s="1" t="s">
        <v>101</v>
      </c>
      <c r="E8853" s="1" t="s">
        <v>6</v>
      </c>
      <c r="F8853" s="1" t="s">
        <v>5091</v>
      </c>
      <c r="G8853" s="14" t="s">
        <v>6145</v>
      </c>
      <c r="H8853" s="1" t="s">
        <v>43</v>
      </c>
      <c r="I8853" s="17">
        <v>41640</v>
      </c>
    </row>
    <row r="8854" spans="1:9">
      <c r="A8854" s="16" t="s">
        <v>12378</v>
      </c>
      <c r="B8854" s="1" t="s">
        <v>2628</v>
      </c>
      <c r="C8854" s="1">
        <v>7</v>
      </c>
      <c r="D8854" s="1" t="s">
        <v>101</v>
      </c>
      <c r="E8854" s="1" t="s">
        <v>6</v>
      </c>
      <c r="F8854" s="1" t="s">
        <v>5091</v>
      </c>
      <c r="G8854" s="14" t="s">
        <v>6145</v>
      </c>
      <c r="H8854" s="1" t="s">
        <v>43</v>
      </c>
      <c r="I8854" s="17">
        <v>41640</v>
      </c>
    </row>
    <row r="8855" spans="1:9">
      <c r="A8855" s="16" t="s">
        <v>12379</v>
      </c>
      <c r="B8855" s="1" t="s">
        <v>2628</v>
      </c>
      <c r="C8855" s="1">
        <v>7</v>
      </c>
      <c r="D8855" s="1" t="s">
        <v>101</v>
      </c>
      <c r="E8855" s="1" t="s">
        <v>6</v>
      </c>
      <c r="F8855" s="1" t="s">
        <v>5091</v>
      </c>
      <c r="G8855" s="14" t="s">
        <v>6145</v>
      </c>
      <c r="H8855" s="1" t="s">
        <v>43</v>
      </c>
      <c r="I8855" s="17">
        <v>41640</v>
      </c>
    </row>
    <row r="8856" spans="1:9">
      <c r="A8856" s="16" t="s">
        <v>12382</v>
      </c>
      <c r="B8856" s="1" t="s">
        <v>2628</v>
      </c>
      <c r="C8856" s="1">
        <v>7</v>
      </c>
      <c r="D8856" s="1" t="s">
        <v>101</v>
      </c>
      <c r="E8856" s="1" t="s">
        <v>6</v>
      </c>
      <c r="F8856" s="1" t="s">
        <v>5091</v>
      </c>
      <c r="G8856" s="14" t="s">
        <v>6450</v>
      </c>
      <c r="H8856" s="1" t="s">
        <v>43</v>
      </c>
      <c r="I8856" s="17">
        <v>41640</v>
      </c>
    </row>
    <row r="8857" spans="1:9">
      <c r="A8857" s="16" t="s">
        <v>12383</v>
      </c>
      <c r="B8857" s="1" t="s">
        <v>2628</v>
      </c>
      <c r="C8857" s="1">
        <v>7</v>
      </c>
      <c r="D8857" s="1" t="s">
        <v>101</v>
      </c>
      <c r="E8857" s="1" t="s">
        <v>6</v>
      </c>
      <c r="F8857" s="1" t="s">
        <v>5091</v>
      </c>
      <c r="G8857" s="14" t="s">
        <v>6145</v>
      </c>
      <c r="H8857" s="1" t="s">
        <v>43</v>
      </c>
      <c r="I8857" s="17">
        <v>41640</v>
      </c>
    </row>
    <row r="8858" spans="1:9">
      <c r="A8858" s="16" t="s">
        <v>12385</v>
      </c>
      <c r="B8858" s="1" t="s">
        <v>2628</v>
      </c>
      <c r="C8858" s="1">
        <v>7</v>
      </c>
      <c r="D8858" s="1" t="s">
        <v>101</v>
      </c>
      <c r="E8858" s="1" t="s">
        <v>6</v>
      </c>
      <c r="F8858" s="1" t="s">
        <v>5091</v>
      </c>
      <c r="G8858" s="14" t="s">
        <v>6450</v>
      </c>
      <c r="H8858" s="1" t="s">
        <v>43</v>
      </c>
      <c r="I8858" s="17">
        <v>41640</v>
      </c>
    </row>
    <row r="8859" spans="1:9">
      <c r="A8859" s="16" t="s">
        <v>12392</v>
      </c>
      <c r="B8859" s="1" t="s">
        <v>2628</v>
      </c>
      <c r="C8859" s="1">
        <v>7</v>
      </c>
      <c r="D8859" s="1" t="s">
        <v>101</v>
      </c>
      <c r="E8859" s="1" t="s">
        <v>6</v>
      </c>
      <c r="F8859" s="1" t="s">
        <v>5091</v>
      </c>
      <c r="G8859" s="14" t="s">
        <v>6145</v>
      </c>
      <c r="H8859" s="1" t="s">
        <v>43</v>
      </c>
      <c r="I8859" s="17">
        <v>41640</v>
      </c>
    </row>
    <row r="8860" spans="1:9">
      <c r="A8860" s="16" t="s">
        <v>12393</v>
      </c>
      <c r="B8860" s="1" t="s">
        <v>2628</v>
      </c>
      <c r="C8860" s="1">
        <v>7</v>
      </c>
      <c r="D8860" s="1" t="s">
        <v>101</v>
      </c>
      <c r="E8860" s="1" t="s">
        <v>6</v>
      </c>
      <c r="F8860" s="1" t="s">
        <v>5091</v>
      </c>
      <c r="G8860" s="14" t="s">
        <v>6145</v>
      </c>
      <c r="H8860" s="1" t="s">
        <v>43</v>
      </c>
      <c r="I8860" s="17">
        <v>41640</v>
      </c>
    </row>
    <row r="8861" spans="1:9">
      <c r="A8861" s="16" t="s">
        <v>12395</v>
      </c>
      <c r="B8861" s="1" t="s">
        <v>2628</v>
      </c>
      <c r="C8861" s="1">
        <v>7</v>
      </c>
      <c r="D8861" s="1" t="s">
        <v>101</v>
      </c>
      <c r="E8861" s="1" t="s">
        <v>6</v>
      </c>
      <c r="F8861" s="1" t="s">
        <v>5091</v>
      </c>
      <c r="G8861" s="14" t="s">
        <v>6145</v>
      </c>
      <c r="H8861" s="1" t="s">
        <v>43</v>
      </c>
      <c r="I8861" s="17">
        <v>41640</v>
      </c>
    </row>
    <row r="8862" spans="1:9">
      <c r="A8862" s="16" t="s">
        <v>12398</v>
      </c>
      <c r="B8862" s="1" t="s">
        <v>2628</v>
      </c>
      <c r="C8862" s="1">
        <v>7</v>
      </c>
      <c r="D8862" s="1" t="s">
        <v>101</v>
      </c>
      <c r="E8862" s="1" t="s">
        <v>6</v>
      </c>
      <c r="F8862" s="1" t="s">
        <v>5091</v>
      </c>
      <c r="G8862" s="14" t="s">
        <v>6145</v>
      </c>
      <c r="H8862" s="1" t="s">
        <v>43</v>
      </c>
      <c r="I8862" s="17">
        <v>41640</v>
      </c>
    </row>
    <row r="8863" spans="1:9">
      <c r="A8863" s="16" t="s">
        <v>12409</v>
      </c>
      <c r="B8863" s="1" t="s">
        <v>2628</v>
      </c>
      <c r="C8863" s="1">
        <v>7</v>
      </c>
      <c r="D8863" s="1" t="s">
        <v>101</v>
      </c>
      <c r="E8863" s="1" t="s">
        <v>6</v>
      </c>
      <c r="F8863" s="1" t="s">
        <v>5091</v>
      </c>
      <c r="G8863" s="14" t="s">
        <v>6450</v>
      </c>
      <c r="H8863" s="1" t="s">
        <v>43</v>
      </c>
      <c r="I8863" s="17">
        <v>42370</v>
      </c>
    </row>
    <row r="8864" spans="1:9">
      <c r="A8864" s="16" t="s">
        <v>12413</v>
      </c>
      <c r="B8864" s="1" t="s">
        <v>2628</v>
      </c>
      <c r="C8864" s="1">
        <v>7</v>
      </c>
      <c r="D8864" s="1" t="s">
        <v>101</v>
      </c>
      <c r="E8864" s="1" t="s">
        <v>6</v>
      </c>
      <c r="F8864" s="1" t="s">
        <v>5091</v>
      </c>
      <c r="G8864" s="14" t="s">
        <v>6450</v>
      </c>
      <c r="H8864" s="1" t="s">
        <v>43</v>
      </c>
      <c r="I8864" s="17">
        <v>42370</v>
      </c>
    </row>
    <row r="8865" spans="1:9">
      <c r="A8865" s="16" t="s">
        <v>12429</v>
      </c>
      <c r="B8865" s="1" t="s">
        <v>2628</v>
      </c>
      <c r="C8865" s="1">
        <v>7</v>
      </c>
      <c r="D8865" s="1" t="s">
        <v>101</v>
      </c>
      <c r="E8865" s="1" t="s">
        <v>6</v>
      </c>
      <c r="F8865" s="1" t="s">
        <v>5091</v>
      </c>
      <c r="G8865" s="14" t="s">
        <v>12430</v>
      </c>
      <c r="H8865" s="1" t="s">
        <v>5</v>
      </c>
      <c r="I8865" s="17">
        <v>42005</v>
      </c>
    </row>
    <row r="8866" spans="1:9">
      <c r="A8866" s="16" t="s">
        <v>12452</v>
      </c>
      <c r="B8866" s="1" t="s">
        <v>2628</v>
      </c>
      <c r="C8866" s="1">
        <v>7</v>
      </c>
      <c r="D8866" s="1" t="s">
        <v>101</v>
      </c>
      <c r="E8866" s="1" t="s">
        <v>6</v>
      </c>
      <c r="F8866" s="1" t="s">
        <v>5091</v>
      </c>
      <c r="G8866" s="14" t="s">
        <v>12453</v>
      </c>
      <c r="H8866" s="1" t="s">
        <v>5</v>
      </c>
      <c r="I8866" s="17">
        <v>41640</v>
      </c>
    </row>
    <row r="8867" spans="1:9">
      <c r="A8867" s="16" t="s">
        <v>12457</v>
      </c>
      <c r="B8867" s="1" t="s">
        <v>2628</v>
      </c>
      <c r="C8867" s="1">
        <v>7</v>
      </c>
      <c r="D8867" s="1" t="s">
        <v>101</v>
      </c>
      <c r="E8867" s="1" t="s">
        <v>6</v>
      </c>
      <c r="F8867" s="1" t="s">
        <v>5091</v>
      </c>
      <c r="G8867" s="14" t="s">
        <v>12430</v>
      </c>
      <c r="H8867" s="1" t="s">
        <v>5</v>
      </c>
      <c r="I8867" s="17">
        <v>41640</v>
      </c>
    </row>
    <row r="8868" spans="1:9">
      <c r="A8868" s="16" t="s">
        <v>12458</v>
      </c>
      <c r="B8868" s="1" t="s">
        <v>2628</v>
      </c>
      <c r="C8868" s="1">
        <v>7</v>
      </c>
      <c r="D8868" s="1" t="s">
        <v>101</v>
      </c>
      <c r="E8868" s="1" t="s">
        <v>6</v>
      </c>
      <c r="F8868" s="1" t="s">
        <v>5091</v>
      </c>
      <c r="G8868" s="14" t="s">
        <v>12430</v>
      </c>
      <c r="H8868" s="1" t="s">
        <v>5</v>
      </c>
      <c r="I8868" s="17">
        <v>41640</v>
      </c>
    </row>
    <row r="8869" spans="1:9">
      <c r="A8869" s="16" t="s">
        <v>12459</v>
      </c>
      <c r="B8869" s="1" t="s">
        <v>2628</v>
      </c>
      <c r="C8869" s="1">
        <v>7</v>
      </c>
      <c r="D8869" s="1" t="s">
        <v>101</v>
      </c>
      <c r="E8869" s="1" t="s">
        <v>6</v>
      </c>
      <c r="F8869" s="1" t="s">
        <v>5091</v>
      </c>
      <c r="G8869" s="14" t="s">
        <v>12430</v>
      </c>
      <c r="H8869" s="1" t="s">
        <v>5</v>
      </c>
      <c r="I8869" s="17">
        <v>41640</v>
      </c>
    </row>
    <row r="8870" spans="1:9">
      <c r="A8870" s="16" t="s">
        <v>12461</v>
      </c>
      <c r="B8870" s="1" t="s">
        <v>2628</v>
      </c>
      <c r="C8870" s="1">
        <v>7</v>
      </c>
      <c r="D8870" s="1" t="s">
        <v>101</v>
      </c>
      <c r="E8870" s="1" t="s">
        <v>6</v>
      </c>
      <c r="F8870" s="1" t="s">
        <v>5091</v>
      </c>
      <c r="G8870" s="14" t="s">
        <v>12430</v>
      </c>
      <c r="H8870" s="1" t="s">
        <v>5</v>
      </c>
      <c r="I8870" s="17">
        <v>41640</v>
      </c>
    </row>
    <row r="8871" spans="1:9">
      <c r="A8871" s="16" t="s">
        <v>12462</v>
      </c>
      <c r="B8871" s="1" t="s">
        <v>2628</v>
      </c>
      <c r="C8871" s="1">
        <v>7</v>
      </c>
      <c r="D8871" s="1" t="s">
        <v>101</v>
      </c>
      <c r="E8871" s="1" t="s">
        <v>6</v>
      </c>
      <c r="F8871" s="1" t="s">
        <v>5091</v>
      </c>
      <c r="G8871" s="14" t="s">
        <v>12430</v>
      </c>
      <c r="H8871" s="1" t="s">
        <v>5</v>
      </c>
      <c r="I8871" s="17">
        <v>41640</v>
      </c>
    </row>
    <row r="8872" spans="1:9">
      <c r="A8872" s="16" t="s">
        <v>12463</v>
      </c>
      <c r="B8872" s="1" t="s">
        <v>2628</v>
      </c>
      <c r="C8872" s="1">
        <v>7</v>
      </c>
      <c r="D8872" s="1" t="s">
        <v>101</v>
      </c>
      <c r="E8872" s="1" t="s">
        <v>6</v>
      </c>
      <c r="F8872" s="1" t="s">
        <v>5091</v>
      </c>
      <c r="G8872" s="14" t="s">
        <v>6145</v>
      </c>
      <c r="H8872" s="1" t="s">
        <v>43</v>
      </c>
      <c r="I8872" s="17">
        <v>41640</v>
      </c>
    </row>
    <row r="8873" spans="1:9">
      <c r="A8873" s="16" t="s">
        <v>12464</v>
      </c>
      <c r="B8873" s="1" t="s">
        <v>2628</v>
      </c>
      <c r="C8873" s="1">
        <v>7</v>
      </c>
      <c r="D8873" s="1" t="s">
        <v>101</v>
      </c>
      <c r="E8873" s="1" t="s">
        <v>6</v>
      </c>
      <c r="F8873" s="1" t="s">
        <v>5091</v>
      </c>
      <c r="G8873" s="14" t="s">
        <v>6145</v>
      </c>
      <c r="H8873" s="1" t="s">
        <v>43</v>
      </c>
      <c r="I8873" s="17">
        <v>41640</v>
      </c>
    </row>
    <row r="8874" spans="1:9">
      <c r="A8874" s="16" t="s">
        <v>12469</v>
      </c>
      <c r="B8874" s="1" t="s">
        <v>2628</v>
      </c>
      <c r="C8874" s="1">
        <v>7</v>
      </c>
      <c r="D8874" s="1" t="s">
        <v>101</v>
      </c>
      <c r="E8874" s="1" t="s">
        <v>6</v>
      </c>
      <c r="F8874" s="1" t="s">
        <v>5091</v>
      </c>
      <c r="G8874" s="14" t="s">
        <v>6145</v>
      </c>
      <c r="H8874" s="1" t="s">
        <v>43</v>
      </c>
      <c r="I8874" s="17">
        <v>41640</v>
      </c>
    </row>
    <row r="8875" spans="1:9">
      <c r="A8875" s="16" t="s">
        <v>12475</v>
      </c>
      <c r="B8875" s="1" t="s">
        <v>2628</v>
      </c>
      <c r="C8875" s="1">
        <v>7</v>
      </c>
      <c r="D8875" s="1" t="s">
        <v>101</v>
      </c>
      <c r="E8875" s="1" t="s">
        <v>6</v>
      </c>
      <c r="F8875" s="1" t="s">
        <v>5091</v>
      </c>
      <c r="G8875" s="14" t="s">
        <v>6145</v>
      </c>
      <c r="H8875" s="1" t="s">
        <v>43</v>
      </c>
      <c r="I8875" s="17">
        <v>41640</v>
      </c>
    </row>
    <row r="8876" spans="1:9">
      <c r="A8876" s="16" t="s">
        <v>12506</v>
      </c>
      <c r="B8876" s="1" t="s">
        <v>2628</v>
      </c>
      <c r="C8876" s="1">
        <v>7</v>
      </c>
      <c r="D8876" s="1" t="s">
        <v>101</v>
      </c>
      <c r="E8876" s="1" t="s">
        <v>6</v>
      </c>
      <c r="F8876" s="1" t="s">
        <v>5091</v>
      </c>
      <c r="G8876" s="14" t="s">
        <v>6450</v>
      </c>
      <c r="H8876" s="1" t="s">
        <v>43</v>
      </c>
      <c r="I8876" s="17">
        <v>42370</v>
      </c>
    </row>
    <row r="8877" spans="1:9">
      <c r="A8877" s="16" t="s">
        <v>12510</v>
      </c>
      <c r="B8877" s="1" t="s">
        <v>2628</v>
      </c>
      <c r="C8877" s="1">
        <v>7</v>
      </c>
      <c r="D8877" s="1" t="s">
        <v>101</v>
      </c>
      <c r="E8877" s="1" t="s">
        <v>6</v>
      </c>
      <c r="F8877" s="1" t="s">
        <v>5091</v>
      </c>
      <c r="G8877" s="14" t="s">
        <v>6450</v>
      </c>
      <c r="H8877" s="1" t="s">
        <v>43</v>
      </c>
      <c r="I8877" s="17">
        <v>42370</v>
      </c>
    </row>
    <row r="8878" spans="1:9">
      <c r="A8878" s="16" t="s">
        <v>12511</v>
      </c>
      <c r="B8878" s="1" t="s">
        <v>2628</v>
      </c>
      <c r="C8878" s="1">
        <v>7</v>
      </c>
      <c r="D8878" s="1" t="s">
        <v>101</v>
      </c>
      <c r="E8878" s="1" t="s">
        <v>6</v>
      </c>
      <c r="F8878" s="1" t="s">
        <v>5091</v>
      </c>
      <c r="G8878" s="14" t="s">
        <v>6450</v>
      </c>
      <c r="H8878" s="1" t="s">
        <v>43</v>
      </c>
      <c r="I8878" s="17">
        <v>42370</v>
      </c>
    </row>
    <row r="8879" spans="1:9">
      <c r="A8879" s="16" t="s">
        <v>12521</v>
      </c>
      <c r="B8879" s="1" t="s">
        <v>2628</v>
      </c>
      <c r="C8879" s="1">
        <v>7</v>
      </c>
      <c r="D8879" s="1" t="s">
        <v>101</v>
      </c>
      <c r="E8879" s="1" t="s">
        <v>6</v>
      </c>
      <c r="F8879" s="1" t="s">
        <v>5091</v>
      </c>
      <c r="G8879" s="14" t="s">
        <v>6450</v>
      </c>
      <c r="H8879" s="1" t="s">
        <v>43</v>
      </c>
      <c r="I8879" s="17">
        <v>42370</v>
      </c>
    </row>
    <row r="8880" spans="1:9">
      <c r="A8880" s="16" t="s">
        <v>12525</v>
      </c>
      <c r="B8880" s="1" t="s">
        <v>2628</v>
      </c>
      <c r="C8880" s="1">
        <v>7</v>
      </c>
      <c r="D8880" s="1" t="s">
        <v>101</v>
      </c>
      <c r="E8880" s="1" t="s">
        <v>6</v>
      </c>
      <c r="F8880" s="1" t="s">
        <v>5091</v>
      </c>
      <c r="G8880" s="14" t="s">
        <v>6450</v>
      </c>
      <c r="H8880" s="1" t="s">
        <v>43</v>
      </c>
      <c r="I8880" s="17">
        <v>42370</v>
      </c>
    </row>
    <row r="8881" spans="1:9">
      <c r="A8881" s="16" t="s">
        <v>12526</v>
      </c>
      <c r="B8881" s="1" t="s">
        <v>2628</v>
      </c>
      <c r="C8881" s="1">
        <v>7</v>
      </c>
      <c r="D8881" s="1" t="s">
        <v>101</v>
      </c>
      <c r="E8881" s="1" t="s">
        <v>6</v>
      </c>
      <c r="F8881" s="1" t="s">
        <v>5091</v>
      </c>
      <c r="G8881" s="14" t="s">
        <v>6450</v>
      </c>
      <c r="H8881" s="1" t="s">
        <v>43</v>
      </c>
      <c r="I8881" s="17">
        <v>42370</v>
      </c>
    </row>
    <row r="8882" spans="1:9">
      <c r="A8882" s="16" t="s">
        <v>12529</v>
      </c>
      <c r="B8882" s="1" t="s">
        <v>2628</v>
      </c>
      <c r="C8882" s="1">
        <v>7</v>
      </c>
      <c r="D8882" s="1" t="s">
        <v>101</v>
      </c>
      <c r="E8882" s="1" t="s">
        <v>6</v>
      </c>
      <c r="F8882" s="1" t="s">
        <v>5091</v>
      </c>
      <c r="G8882" s="14" t="s">
        <v>6450</v>
      </c>
      <c r="H8882" s="1" t="s">
        <v>43</v>
      </c>
      <c r="I8882" s="17">
        <v>42370</v>
      </c>
    </row>
    <row r="8883" spans="1:9">
      <c r="A8883" s="16" t="s">
        <v>12531</v>
      </c>
      <c r="B8883" s="1" t="s">
        <v>2628</v>
      </c>
      <c r="C8883" s="1">
        <v>7</v>
      </c>
      <c r="D8883" s="1" t="s">
        <v>101</v>
      </c>
      <c r="E8883" s="1" t="s">
        <v>6</v>
      </c>
      <c r="F8883" s="1" t="s">
        <v>5091</v>
      </c>
      <c r="G8883" s="14" t="s">
        <v>12532</v>
      </c>
      <c r="H8883" s="1" t="s">
        <v>5</v>
      </c>
      <c r="I8883" s="17">
        <v>42370</v>
      </c>
    </row>
    <row r="8884" spans="1:9">
      <c r="A8884" s="16" t="s">
        <v>12533</v>
      </c>
      <c r="B8884" s="1" t="s">
        <v>2628</v>
      </c>
      <c r="C8884" s="1">
        <v>7</v>
      </c>
      <c r="D8884" s="1" t="s">
        <v>101</v>
      </c>
      <c r="E8884" s="1" t="s">
        <v>6</v>
      </c>
      <c r="F8884" s="1" t="s">
        <v>5091</v>
      </c>
      <c r="G8884" s="14" t="s">
        <v>6450</v>
      </c>
      <c r="H8884" s="1" t="s">
        <v>43</v>
      </c>
      <c r="I8884" s="17">
        <v>42370</v>
      </c>
    </row>
    <row r="8885" spans="1:9">
      <c r="A8885" s="16" t="s">
        <v>12536</v>
      </c>
      <c r="B8885" s="1" t="s">
        <v>2628</v>
      </c>
      <c r="C8885" s="1">
        <v>7</v>
      </c>
      <c r="D8885" s="1" t="s">
        <v>101</v>
      </c>
      <c r="E8885" s="1" t="s">
        <v>6</v>
      </c>
      <c r="F8885" s="1" t="s">
        <v>5091</v>
      </c>
      <c r="G8885" s="14" t="s">
        <v>6450</v>
      </c>
      <c r="H8885" s="1" t="s">
        <v>43</v>
      </c>
      <c r="I8885" s="17">
        <v>42370</v>
      </c>
    </row>
    <row r="8886" spans="1:9">
      <c r="A8886" s="16" t="s">
        <v>12537</v>
      </c>
      <c r="B8886" s="1" t="s">
        <v>2628</v>
      </c>
      <c r="C8886" s="1">
        <v>7</v>
      </c>
      <c r="D8886" s="1" t="s">
        <v>101</v>
      </c>
      <c r="E8886" s="1" t="s">
        <v>6</v>
      </c>
      <c r="F8886" s="1" t="s">
        <v>5091</v>
      </c>
      <c r="G8886" s="14" t="s">
        <v>6450</v>
      </c>
      <c r="H8886" s="1" t="s">
        <v>43</v>
      </c>
      <c r="I8886" s="17">
        <v>42370</v>
      </c>
    </row>
    <row r="8887" spans="1:9">
      <c r="A8887" s="16" t="s">
        <v>12540</v>
      </c>
      <c r="B8887" s="1" t="s">
        <v>2628</v>
      </c>
      <c r="C8887" s="1">
        <v>7</v>
      </c>
      <c r="D8887" s="1" t="s">
        <v>101</v>
      </c>
      <c r="E8887" s="1" t="s">
        <v>6</v>
      </c>
      <c r="F8887" s="1" t="s">
        <v>5091</v>
      </c>
      <c r="G8887" s="14" t="s">
        <v>6450</v>
      </c>
      <c r="H8887" s="1" t="s">
        <v>43</v>
      </c>
      <c r="I8887" s="17">
        <v>42370</v>
      </c>
    </row>
    <row r="8888" spans="1:9">
      <c r="A8888" s="16" t="s">
        <v>12541</v>
      </c>
      <c r="B8888" s="1" t="s">
        <v>2628</v>
      </c>
      <c r="C8888" s="1">
        <v>7</v>
      </c>
      <c r="D8888" s="1" t="s">
        <v>101</v>
      </c>
      <c r="E8888" s="1" t="s">
        <v>6</v>
      </c>
      <c r="F8888" s="1" t="s">
        <v>5091</v>
      </c>
      <c r="G8888" s="14" t="s">
        <v>6450</v>
      </c>
      <c r="H8888" s="1" t="s">
        <v>43</v>
      </c>
      <c r="I8888" s="17">
        <v>42370</v>
      </c>
    </row>
    <row r="8889" spans="1:9" ht="31.2">
      <c r="A8889" s="16" t="s">
        <v>12554</v>
      </c>
      <c r="B8889" s="1" t="s">
        <v>2628</v>
      </c>
      <c r="C8889" s="1">
        <v>7</v>
      </c>
      <c r="D8889" s="1" t="s">
        <v>101</v>
      </c>
      <c r="E8889" s="1" t="s">
        <v>6</v>
      </c>
      <c r="F8889" s="1" t="s">
        <v>5091</v>
      </c>
      <c r="G8889" s="14" t="s">
        <v>6699</v>
      </c>
      <c r="H8889" s="1" t="s">
        <v>44</v>
      </c>
      <c r="I8889" s="17">
        <v>42766</v>
      </c>
    </row>
    <row r="8890" spans="1:9" ht="31.2">
      <c r="A8890" s="16" t="s">
        <v>12555</v>
      </c>
      <c r="B8890" s="1" t="s">
        <v>2628</v>
      </c>
      <c r="C8890" s="1">
        <v>7</v>
      </c>
      <c r="D8890" s="1" t="s">
        <v>101</v>
      </c>
      <c r="E8890" s="1" t="s">
        <v>6</v>
      </c>
      <c r="F8890" s="1" t="s">
        <v>5091</v>
      </c>
      <c r="G8890" s="14" t="s">
        <v>6699</v>
      </c>
      <c r="H8890" s="1" t="s">
        <v>44</v>
      </c>
      <c r="I8890" s="17">
        <v>42766</v>
      </c>
    </row>
    <row r="8891" spans="1:9" ht="31.2">
      <c r="A8891" s="16" t="s">
        <v>12556</v>
      </c>
      <c r="B8891" s="1" t="s">
        <v>2628</v>
      </c>
      <c r="C8891" s="1">
        <v>7</v>
      </c>
      <c r="D8891" s="1" t="s">
        <v>101</v>
      </c>
      <c r="E8891" s="1" t="s">
        <v>6</v>
      </c>
      <c r="F8891" s="1" t="s">
        <v>5091</v>
      </c>
      <c r="G8891" s="14" t="s">
        <v>6699</v>
      </c>
      <c r="H8891" s="1" t="s">
        <v>44</v>
      </c>
      <c r="I8891" s="17">
        <v>42766</v>
      </c>
    </row>
    <row r="8892" spans="1:9" ht="31.2">
      <c r="A8892" s="16" t="s">
        <v>12557</v>
      </c>
      <c r="B8892" s="1" t="s">
        <v>2628</v>
      </c>
      <c r="C8892" s="1">
        <v>7</v>
      </c>
      <c r="D8892" s="1" t="s">
        <v>101</v>
      </c>
      <c r="E8892" s="1" t="s">
        <v>6</v>
      </c>
      <c r="F8892" s="1" t="s">
        <v>5091</v>
      </c>
      <c r="G8892" s="14" t="s">
        <v>6699</v>
      </c>
      <c r="H8892" s="1" t="s">
        <v>44</v>
      </c>
      <c r="I8892" s="17">
        <v>42766</v>
      </c>
    </row>
    <row r="8893" spans="1:9">
      <c r="A8893" s="16" t="s">
        <v>12585</v>
      </c>
      <c r="B8893" s="1" t="s">
        <v>2628</v>
      </c>
      <c r="C8893" s="1">
        <v>7</v>
      </c>
      <c r="D8893" s="1" t="s">
        <v>101</v>
      </c>
      <c r="E8893" s="1" t="s">
        <v>6</v>
      </c>
      <c r="F8893" s="1" t="s">
        <v>5091</v>
      </c>
      <c r="G8893" s="14" t="s">
        <v>8658</v>
      </c>
      <c r="H8893" s="1" t="s">
        <v>5</v>
      </c>
      <c r="I8893" s="17">
        <v>37833</v>
      </c>
    </row>
    <row r="8894" spans="1:9">
      <c r="A8894" s="16" t="s">
        <v>12591</v>
      </c>
      <c r="B8894" s="1" t="s">
        <v>2628</v>
      </c>
      <c r="C8894" s="1">
        <v>7</v>
      </c>
      <c r="D8894" s="1" t="s">
        <v>101</v>
      </c>
      <c r="E8894" s="1" t="s">
        <v>6</v>
      </c>
      <c r="F8894" s="1" t="s">
        <v>5091</v>
      </c>
      <c r="G8894" s="14" t="s">
        <v>6530</v>
      </c>
      <c r="H8894" s="1" t="s">
        <v>43</v>
      </c>
      <c r="I8894" s="17">
        <v>42370</v>
      </c>
    </row>
    <row r="8895" spans="1:9">
      <c r="A8895" s="16" t="s">
        <v>12592</v>
      </c>
      <c r="B8895" s="1" t="s">
        <v>2628</v>
      </c>
      <c r="C8895" s="1">
        <v>7</v>
      </c>
      <c r="D8895" s="1" t="s">
        <v>101</v>
      </c>
      <c r="E8895" s="1" t="s">
        <v>6</v>
      </c>
      <c r="F8895" s="1" t="s">
        <v>5091</v>
      </c>
      <c r="G8895" s="14" t="s">
        <v>6530</v>
      </c>
      <c r="H8895" s="1" t="s">
        <v>43</v>
      </c>
      <c r="I8895" s="17">
        <v>42370</v>
      </c>
    </row>
    <row r="8896" spans="1:9">
      <c r="A8896" s="16" t="s">
        <v>12593</v>
      </c>
      <c r="B8896" s="1" t="s">
        <v>2628</v>
      </c>
      <c r="C8896" s="1">
        <v>7</v>
      </c>
      <c r="D8896" s="1" t="s">
        <v>101</v>
      </c>
      <c r="E8896" s="1" t="s">
        <v>6</v>
      </c>
      <c r="F8896" s="1" t="s">
        <v>5091</v>
      </c>
      <c r="G8896" s="14" t="s">
        <v>6530</v>
      </c>
      <c r="H8896" s="1" t="s">
        <v>43</v>
      </c>
      <c r="I8896" s="17">
        <v>42370</v>
      </c>
    </row>
    <row r="8897" spans="1:10" s="11" customFormat="1">
      <c r="A8897" s="16" t="s">
        <v>12594</v>
      </c>
      <c r="B8897" s="1" t="s">
        <v>2628</v>
      </c>
      <c r="C8897" s="1">
        <v>7</v>
      </c>
      <c r="D8897" s="1" t="s">
        <v>101</v>
      </c>
      <c r="E8897" s="1" t="s">
        <v>6</v>
      </c>
      <c r="F8897" s="1" t="s">
        <v>5091</v>
      </c>
      <c r="G8897" s="14" t="s">
        <v>6530</v>
      </c>
      <c r="H8897" s="1" t="s">
        <v>43</v>
      </c>
      <c r="I8897" s="17">
        <v>42370</v>
      </c>
      <c r="J8897"/>
    </row>
    <row r="8898" spans="1:10" s="11" customFormat="1">
      <c r="A8898" s="16" t="s">
        <v>12598</v>
      </c>
      <c r="B8898" s="1" t="s">
        <v>2628</v>
      </c>
      <c r="C8898" s="1">
        <v>7</v>
      </c>
      <c r="D8898" s="1" t="s">
        <v>101</v>
      </c>
      <c r="E8898" s="1" t="s">
        <v>6</v>
      </c>
      <c r="F8898" s="1" t="s">
        <v>5091</v>
      </c>
      <c r="G8898" s="14" t="s">
        <v>12599</v>
      </c>
      <c r="H8898" s="1" t="s">
        <v>5</v>
      </c>
      <c r="I8898" s="17">
        <v>42787</v>
      </c>
      <c r="J8898"/>
    </row>
    <row r="8899" spans="1:10">
      <c r="A8899" s="16" t="s">
        <v>12600</v>
      </c>
      <c r="B8899" s="1" t="s">
        <v>2628</v>
      </c>
      <c r="C8899" s="1">
        <v>7</v>
      </c>
      <c r="D8899" s="1" t="s">
        <v>101</v>
      </c>
      <c r="E8899" s="1" t="s">
        <v>6</v>
      </c>
      <c r="F8899" s="1" t="s">
        <v>5091</v>
      </c>
      <c r="G8899" s="14" t="s">
        <v>12599</v>
      </c>
      <c r="H8899" s="1" t="s">
        <v>5</v>
      </c>
      <c r="I8899" s="17">
        <v>42787</v>
      </c>
    </row>
    <row r="8900" spans="1:10">
      <c r="A8900" s="16" t="s">
        <v>12601</v>
      </c>
      <c r="B8900" s="1" t="s">
        <v>2628</v>
      </c>
      <c r="C8900" s="1">
        <v>7</v>
      </c>
      <c r="D8900" s="1" t="s">
        <v>101</v>
      </c>
      <c r="E8900" s="1" t="s">
        <v>6</v>
      </c>
      <c r="F8900" s="1" t="s">
        <v>5091</v>
      </c>
      <c r="G8900" s="14" t="s">
        <v>12599</v>
      </c>
      <c r="H8900" s="1" t="s">
        <v>5</v>
      </c>
      <c r="I8900" s="17">
        <v>42787</v>
      </c>
    </row>
    <row r="8901" spans="1:10">
      <c r="A8901" s="16" t="s">
        <v>12602</v>
      </c>
      <c r="B8901" s="1" t="s">
        <v>2628</v>
      </c>
      <c r="C8901" s="1">
        <v>7</v>
      </c>
      <c r="D8901" s="1" t="s">
        <v>101</v>
      </c>
      <c r="E8901" s="1" t="s">
        <v>6</v>
      </c>
      <c r="F8901" s="1" t="s">
        <v>5091</v>
      </c>
      <c r="G8901" s="14" t="s">
        <v>12599</v>
      </c>
      <c r="H8901" s="1" t="s">
        <v>5</v>
      </c>
      <c r="I8901" s="17">
        <v>42787</v>
      </c>
    </row>
    <row r="8902" spans="1:10">
      <c r="A8902" s="16" t="s">
        <v>12603</v>
      </c>
      <c r="B8902" s="1" t="s">
        <v>2628</v>
      </c>
      <c r="C8902" s="1">
        <v>7</v>
      </c>
      <c r="D8902" s="1" t="s">
        <v>101</v>
      </c>
      <c r="E8902" s="1" t="s">
        <v>6</v>
      </c>
      <c r="F8902" s="1" t="s">
        <v>5091</v>
      </c>
      <c r="G8902" s="14" t="s">
        <v>12599</v>
      </c>
      <c r="H8902" s="1" t="s">
        <v>5</v>
      </c>
      <c r="I8902" s="17">
        <v>42787</v>
      </c>
    </row>
    <row r="8903" spans="1:10">
      <c r="A8903" s="16" t="s">
        <v>12604</v>
      </c>
      <c r="B8903" s="1" t="s">
        <v>2628</v>
      </c>
      <c r="C8903" s="1">
        <v>7</v>
      </c>
      <c r="D8903" s="1" t="s">
        <v>101</v>
      </c>
      <c r="E8903" s="1" t="s">
        <v>6</v>
      </c>
      <c r="F8903" s="1" t="s">
        <v>5091</v>
      </c>
      <c r="G8903" s="14" t="s">
        <v>12599</v>
      </c>
      <c r="H8903" s="1" t="s">
        <v>5</v>
      </c>
      <c r="I8903" s="17">
        <v>42787</v>
      </c>
    </row>
    <row r="8904" spans="1:10">
      <c r="A8904" s="16" t="s">
        <v>12605</v>
      </c>
      <c r="B8904" s="1" t="s">
        <v>2628</v>
      </c>
      <c r="C8904" s="1">
        <v>7</v>
      </c>
      <c r="D8904" s="1" t="s">
        <v>101</v>
      </c>
      <c r="E8904" s="1" t="s">
        <v>6</v>
      </c>
      <c r="F8904" s="1" t="s">
        <v>5091</v>
      </c>
      <c r="G8904" s="14" t="s">
        <v>12599</v>
      </c>
      <c r="H8904" s="1" t="s">
        <v>5</v>
      </c>
      <c r="I8904" s="17">
        <v>42787</v>
      </c>
    </row>
    <row r="8905" spans="1:10">
      <c r="A8905" s="16" t="s">
        <v>12606</v>
      </c>
      <c r="B8905" s="1" t="s">
        <v>2628</v>
      </c>
      <c r="C8905" s="1">
        <v>7</v>
      </c>
      <c r="D8905" s="1" t="s">
        <v>101</v>
      </c>
      <c r="E8905" s="1" t="s">
        <v>6</v>
      </c>
      <c r="F8905" s="1" t="s">
        <v>5091</v>
      </c>
      <c r="G8905" s="14" t="s">
        <v>6145</v>
      </c>
      <c r="H8905" s="1" t="s">
        <v>43</v>
      </c>
      <c r="I8905" s="17">
        <v>42789</v>
      </c>
    </row>
    <row r="8906" spans="1:10">
      <c r="A8906" s="16" t="s">
        <v>12621</v>
      </c>
      <c r="B8906" s="1" t="s">
        <v>2628</v>
      </c>
      <c r="C8906" s="1">
        <v>7</v>
      </c>
      <c r="D8906" s="1" t="s">
        <v>101</v>
      </c>
      <c r="E8906" s="1" t="s">
        <v>6</v>
      </c>
      <c r="F8906" s="1" t="s">
        <v>5091</v>
      </c>
      <c r="G8906" s="14" t="s">
        <v>4458</v>
      </c>
      <c r="H8906" s="1" t="s">
        <v>118</v>
      </c>
      <c r="I8906" s="17">
        <v>42736</v>
      </c>
    </row>
    <row r="8907" spans="1:10">
      <c r="A8907" s="16" t="s">
        <v>12622</v>
      </c>
      <c r="B8907" s="1" t="s">
        <v>2628</v>
      </c>
      <c r="C8907" s="1">
        <v>7</v>
      </c>
      <c r="D8907" s="1" t="s">
        <v>101</v>
      </c>
      <c r="E8907" s="1" t="s">
        <v>6</v>
      </c>
      <c r="F8907" s="1" t="s">
        <v>5091</v>
      </c>
      <c r="G8907" s="14" t="s">
        <v>4458</v>
      </c>
      <c r="H8907" s="1" t="s">
        <v>118</v>
      </c>
      <c r="I8907" s="17">
        <v>42736</v>
      </c>
    </row>
    <row r="8908" spans="1:10">
      <c r="A8908" s="16" t="s">
        <v>12623</v>
      </c>
      <c r="B8908" s="1" t="s">
        <v>2628</v>
      </c>
      <c r="C8908" s="1">
        <v>7</v>
      </c>
      <c r="D8908" s="1" t="s">
        <v>101</v>
      </c>
      <c r="E8908" s="1" t="s">
        <v>6</v>
      </c>
      <c r="F8908" s="1" t="s">
        <v>5091</v>
      </c>
      <c r="G8908" s="14" t="s">
        <v>9506</v>
      </c>
      <c r="H8908" s="1" t="s">
        <v>5</v>
      </c>
      <c r="I8908" s="17">
        <v>37028</v>
      </c>
    </row>
    <row r="8909" spans="1:10">
      <c r="A8909" s="16" t="s">
        <v>12637</v>
      </c>
      <c r="B8909" s="1" t="s">
        <v>2628</v>
      </c>
      <c r="C8909" s="1">
        <v>7</v>
      </c>
      <c r="D8909" s="1" t="s">
        <v>101</v>
      </c>
      <c r="E8909" s="1" t="s">
        <v>6</v>
      </c>
      <c r="F8909" s="1" t="s">
        <v>5091</v>
      </c>
      <c r="G8909" s="14" t="s">
        <v>9506</v>
      </c>
      <c r="H8909" s="1" t="s">
        <v>5</v>
      </c>
      <c r="I8909" s="17">
        <v>37028</v>
      </c>
    </row>
    <row r="8910" spans="1:10">
      <c r="A8910" s="16" t="s">
        <v>12640</v>
      </c>
      <c r="B8910" s="1" t="s">
        <v>2628</v>
      </c>
      <c r="C8910" s="1">
        <v>7</v>
      </c>
      <c r="D8910" s="1" t="s">
        <v>101</v>
      </c>
      <c r="E8910" s="1" t="s">
        <v>6</v>
      </c>
      <c r="F8910" s="1" t="s">
        <v>5091</v>
      </c>
      <c r="G8910" s="14" t="s">
        <v>9506</v>
      </c>
      <c r="H8910" s="1" t="s">
        <v>5</v>
      </c>
      <c r="I8910" s="17">
        <v>37027</v>
      </c>
    </row>
    <row r="8911" spans="1:10">
      <c r="A8911" s="16" t="s">
        <v>12641</v>
      </c>
      <c r="B8911" s="1" t="s">
        <v>2628</v>
      </c>
      <c r="C8911" s="1">
        <v>7</v>
      </c>
      <c r="D8911" s="1" t="s">
        <v>101</v>
      </c>
      <c r="E8911" s="1" t="s">
        <v>6</v>
      </c>
      <c r="F8911" s="1" t="s">
        <v>5091</v>
      </c>
      <c r="G8911" s="14" t="s">
        <v>9506</v>
      </c>
      <c r="H8911" s="1" t="s">
        <v>5</v>
      </c>
      <c r="I8911" s="17">
        <v>37027</v>
      </c>
    </row>
    <row r="8912" spans="1:10">
      <c r="A8912" s="16" t="s">
        <v>12642</v>
      </c>
      <c r="B8912" s="1" t="s">
        <v>2628</v>
      </c>
      <c r="C8912" s="1">
        <v>7</v>
      </c>
      <c r="D8912" s="1" t="s">
        <v>101</v>
      </c>
      <c r="E8912" s="1" t="s">
        <v>6</v>
      </c>
      <c r="F8912" s="1" t="s">
        <v>5091</v>
      </c>
      <c r="G8912" s="14" t="s">
        <v>7560</v>
      </c>
      <c r="H8912" s="1" t="s">
        <v>5</v>
      </c>
      <c r="I8912" s="17">
        <v>37026</v>
      </c>
    </row>
    <row r="8913" spans="1:9">
      <c r="A8913" s="16" t="s">
        <v>12643</v>
      </c>
      <c r="B8913" s="1" t="s">
        <v>2628</v>
      </c>
      <c r="C8913" s="1">
        <v>7</v>
      </c>
      <c r="D8913" s="1" t="s">
        <v>101</v>
      </c>
      <c r="E8913" s="1" t="s">
        <v>6</v>
      </c>
      <c r="F8913" s="1" t="s">
        <v>5091</v>
      </c>
      <c r="G8913" s="14" t="s">
        <v>9506</v>
      </c>
      <c r="H8913" s="1" t="s">
        <v>5</v>
      </c>
      <c r="I8913" s="17">
        <v>37027</v>
      </c>
    </row>
    <row r="8914" spans="1:9">
      <c r="A8914" s="16" t="s">
        <v>12644</v>
      </c>
      <c r="B8914" s="1" t="s">
        <v>2628</v>
      </c>
      <c r="C8914" s="1">
        <v>7</v>
      </c>
      <c r="D8914" s="1" t="s">
        <v>101</v>
      </c>
      <c r="E8914" s="1" t="s">
        <v>6</v>
      </c>
      <c r="F8914" s="1" t="s">
        <v>5091</v>
      </c>
      <c r="G8914" s="14" t="s">
        <v>7560</v>
      </c>
      <c r="H8914" s="1" t="s">
        <v>5</v>
      </c>
      <c r="I8914" s="17">
        <v>37026</v>
      </c>
    </row>
    <row r="8915" spans="1:9">
      <c r="A8915" s="16" t="s">
        <v>12645</v>
      </c>
      <c r="B8915" s="1" t="s">
        <v>2628</v>
      </c>
      <c r="C8915" s="1">
        <v>7</v>
      </c>
      <c r="D8915" s="1" t="s">
        <v>101</v>
      </c>
      <c r="E8915" s="1" t="s">
        <v>6</v>
      </c>
      <c r="F8915" s="1" t="s">
        <v>5091</v>
      </c>
      <c r="G8915" s="14" t="s">
        <v>7560</v>
      </c>
      <c r="H8915" s="1" t="s">
        <v>5</v>
      </c>
      <c r="I8915" s="17">
        <v>37026</v>
      </c>
    </row>
    <row r="8916" spans="1:9">
      <c r="A8916" s="16" t="s">
        <v>12648</v>
      </c>
      <c r="B8916" s="1" t="s">
        <v>2628</v>
      </c>
      <c r="C8916" s="1">
        <v>7</v>
      </c>
      <c r="D8916" s="1" t="s">
        <v>101</v>
      </c>
      <c r="E8916" s="1" t="s">
        <v>6</v>
      </c>
      <c r="F8916" s="1" t="s">
        <v>5091</v>
      </c>
      <c r="G8916" s="14" t="s">
        <v>7560</v>
      </c>
      <c r="H8916" s="1" t="s">
        <v>5</v>
      </c>
      <c r="I8916" s="17">
        <v>37026</v>
      </c>
    </row>
    <row r="8917" spans="1:9">
      <c r="A8917" s="16" t="s">
        <v>12651</v>
      </c>
      <c r="B8917" s="1" t="s">
        <v>2628</v>
      </c>
      <c r="C8917" s="1">
        <v>7</v>
      </c>
      <c r="D8917" s="1" t="s">
        <v>101</v>
      </c>
      <c r="E8917" s="1" t="s">
        <v>6</v>
      </c>
      <c r="F8917" s="1" t="s">
        <v>5091</v>
      </c>
      <c r="G8917" s="14" t="s">
        <v>7560</v>
      </c>
      <c r="H8917" s="1" t="s">
        <v>5</v>
      </c>
      <c r="I8917" s="17">
        <v>37026</v>
      </c>
    </row>
    <row r="8918" spans="1:9">
      <c r="A8918" s="16" t="s">
        <v>12652</v>
      </c>
      <c r="B8918" s="1" t="s">
        <v>2628</v>
      </c>
      <c r="C8918" s="1">
        <v>7</v>
      </c>
      <c r="D8918" s="1" t="s">
        <v>101</v>
      </c>
      <c r="E8918" s="1" t="s">
        <v>6</v>
      </c>
      <c r="F8918" s="1" t="s">
        <v>5091</v>
      </c>
      <c r="G8918" s="14" t="s">
        <v>7560</v>
      </c>
      <c r="H8918" s="1" t="s">
        <v>5</v>
      </c>
      <c r="I8918" s="17">
        <v>37026</v>
      </c>
    </row>
    <row r="8919" spans="1:9">
      <c r="A8919" s="16" t="s">
        <v>12766</v>
      </c>
      <c r="B8919" s="1" t="s">
        <v>2628</v>
      </c>
      <c r="C8919" s="1">
        <v>7</v>
      </c>
      <c r="D8919" s="1" t="s">
        <v>101</v>
      </c>
      <c r="E8919" s="1" t="s">
        <v>6</v>
      </c>
      <c r="F8919" s="1" t="s">
        <v>5091</v>
      </c>
      <c r="G8919" s="14" t="s">
        <v>4458</v>
      </c>
      <c r="H8919" s="1" t="s">
        <v>118</v>
      </c>
      <c r="I8919" s="17">
        <v>42835</v>
      </c>
    </row>
    <row r="8920" spans="1:9">
      <c r="A8920" s="16" t="s">
        <v>12767</v>
      </c>
      <c r="B8920" s="1" t="s">
        <v>2628</v>
      </c>
      <c r="C8920" s="1">
        <v>7</v>
      </c>
      <c r="D8920" s="1" t="s">
        <v>101</v>
      </c>
      <c r="E8920" s="1" t="s">
        <v>6</v>
      </c>
      <c r="F8920" s="1" t="s">
        <v>5091</v>
      </c>
      <c r="G8920" s="14" t="s">
        <v>4458</v>
      </c>
      <c r="H8920" s="1" t="s">
        <v>118</v>
      </c>
      <c r="I8920" s="17">
        <v>42835</v>
      </c>
    </row>
    <row r="8921" spans="1:9">
      <c r="A8921" s="16" t="s">
        <v>12768</v>
      </c>
      <c r="B8921" s="1" t="s">
        <v>2628</v>
      </c>
      <c r="C8921" s="1">
        <v>7</v>
      </c>
      <c r="D8921" s="1" t="s">
        <v>101</v>
      </c>
      <c r="E8921" s="1" t="s">
        <v>6</v>
      </c>
      <c r="F8921" s="1" t="s">
        <v>5091</v>
      </c>
      <c r="G8921" s="14" t="s">
        <v>4458</v>
      </c>
      <c r="H8921" s="1" t="s">
        <v>118</v>
      </c>
      <c r="I8921" s="17">
        <v>42835</v>
      </c>
    </row>
    <row r="8922" spans="1:9">
      <c r="A8922" s="16" t="s">
        <v>12769</v>
      </c>
      <c r="B8922" s="1" t="s">
        <v>2628</v>
      </c>
      <c r="C8922" s="1">
        <v>7</v>
      </c>
      <c r="D8922" s="1" t="s">
        <v>101</v>
      </c>
      <c r="E8922" s="1" t="s">
        <v>6</v>
      </c>
      <c r="F8922" s="1" t="s">
        <v>5091</v>
      </c>
      <c r="G8922" s="14" t="s">
        <v>4458</v>
      </c>
      <c r="H8922" s="1" t="s">
        <v>118</v>
      </c>
      <c r="I8922" s="17">
        <v>42835</v>
      </c>
    </row>
    <row r="8923" spans="1:9">
      <c r="A8923" s="16" t="s">
        <v>12770</v>
      </c>
      <c r="B8923" s="1" t="s">
        <v>2628</v>
      </c>
      <c r="C8923" s="1">
        <v>7</v>
      </c>
      <c r="D8923" s="1" t="s">
        <v>101</v>
      </c>
      <c r="E8923" s="1" t="s">
        <v>6</v>
      </c>
      <c r="F8923" s="1" t="s">
        <v>5091</v>
      </c>
      <c r="G8923" s="14" t="s">
        <v>4458</v>
      </c>
      <c r="H8923" s="1" t="s">
        <v>118</v>
      </c>
      <c r="I8923" s="17">
        <v>42835</v>
      </c>
    </row>
    <row r="8924" spans="1:9">
      <c r="A8924" s="16" t="s">
        <v>12771</v>
      </c>
      <c r="B8924" s="1" t="s">
        <v>2628</v>
      </c>
      <c r="C8924" s="1">
        <v>7</v>
      </c>
      <c r="D8924" s="1" t="s">
        <v>101</v>
      </c>
      <c r="E8924" s="1" t="s">
        <v>6</v>
      </c>
      <c r="F8924" s="1" t="s">
        <v>5091</v>
      </c>
      <c r="G8924" s="14" t="s">
        <v>4458</v>
      </c>
      <c r="H8924" s="1" t="s">
        <v>118</v>
      </c>
      <c r="I8924" s="17">
        <v>42835</v>
      </c>
    </row>
    <row r="8925" spans="1:9">
      <c r="A8925" s="16" t="s">
        <v>12772</v>
      </c>
      <c r="B8925" s="1" t="s">
        <v>2628</v>
      </c>
      <c r="C8925" s="1">
        <v>7</v>
      </c>
      <c r="D8925" s="1" t="s">
        <v>101</v>
      </c>
      <c r="E8925" s="1" t="s">
        <v>6</v>
      </c>
      <c r="F8925" s="1" t="s">
        <v>5091</v>
      </c>
      <c r="G8925" s="14" t="s">
        <v>7560</v>
      </c>
      <c r="H8925" s="1" t="s">
        <v>5</v>
      </c>
      <c r="I8925" s="17">
        <v>37026</v>
      </c>
    </row>
    <row r="8926" spans="1:9">
      <c r="A8926" s="16" t="s">
        <v>12773</v>
      </c>
      <c r="B8926" s="1" t="s">
        <v>2628</v>
      </c>
      <c r="C8926" s="1">
        <v>7</v>
      </c>
      <c r="D8926" s="1" t="s">
        <v>101</v>
      </c>
      <c r="E8926" s="1" t="s">
        <v>6</v>
      </c>
      <c r="F8926" s="1" t="s">
        <v>5091</v>
      </c>
      <c r="G8926" s="14" t="s">
        <v>7560</v>
      </c>
      <c r="H8926" s="1" t="s">
        <v>5</v>
      </c>
      <c r="I8926" s="17">
        <v>37026</v>
      </c>
    </row>
    <row r="8927" spans="1:9">
      <c r="A8927" s="16" t="s">
        <v>12774</v>
      </c>
      <c r="B8927" s="1" t="s">
        <v>2628</v>
      </c>
      <c r="C8927" s="1">
        <v>7</v>
      </c>
      <c r="D8927" s="1" t="s">
        <v>101</v>
      </c>
      <c r="E8927" s="1" t="s">
        <v>6</v>
      </c>
      <c r="F8927" s="1" t="s">
        <v>5091</v>
      </c>
      <c r="G8927" s="14" t="s">
        <v>9506</v>
      </c>
      <c r="H8927" s="1" t="s">
        <v>5</v>
      </c>
      <c r="I8927" s="17">
        <v>37008</v>
      </c>
    </row>
    <row r="8928" spans="1:9">
      <c r="A8928" s="16" t="s">
        <v>12787</v>
      </c>
      <c r="B8928" s="1" t="s">
        <v>2628</v>
      </c>
      <c r="C8928" s="1">
        <v>7</v>
      </c>
      <c r="D8928" s="1" t="s">
        <v>101</v>
      </c>
      <c r="E8928" s="1" t="s">
        <v>6</v>
      </c>
      <c r="F8928" s="1" t="s">
        <v>5091</v>
      </c>
      <c r="G8928" s="14" t="s">
        <v>6530</v>
      </c>
      <c r="H8928" s="1" t="s">
        <v>43</v>
      </c>
      <c r="I8928" s="17">
        <v>42370</v>
      </c>
    </row>
    <row r="8929" spans="1:9">
      <c r="A8929" s="16" t="s">
        <v>12788</v>
      </c>
      <c r="B8929" s="1" t="s">
        <v>2628</v>
      </c>
      <c r="C8929" s="1">
        <v>7</v>
      </c>
      <c r="D8929" s="1" t="s">
        <v>101</v>
      </c>
      <c r="E8929" s="1" t="s">
        <v>6</v>
      </c>
      <c r="F8929" s="1" t="s">
        <v>5091</v>
      </c>
      <c r="G8929" s="14" t="s">
        <v>6450</v>
      </c>
      <c r="H8929" s="1" t="s">
        <v>43</v>
      </c>
      <c r="I8929" s="17">
        <v>42370</v>
      </c>
    </row>
    <row r="8930" spans="1:9">
      <c r="A8930" s="16" t="s">
        <v>12789</v>
      </c>
      <c r="B8930" s="1" t="s">
        <v>2628</v>
      </c>
      <c r="C8930" s="1">
        <v>7</v>
      </c>
      <c r="D8930" s="1" t="s">
        <v>101</v>
      </c>
      <c r="E8930" s="1" t="s">
        <v>6</v>
      </c>
      <c r="F8930" s="1" t="s">
        <v>5091</v>
      </c>
      <c r="G8930" s="14" t="s">
        <v>6530</v>
      </c>
      <c r="H8930" s="1" t="s">
        <v>43</v>
      </c>
      <c r="I8930" s="17">
        <v>42370</v>
      </c>
    </row>
    <row r="8931" spans="1:9">
      <c r="A8931" s="16" t="s">
        <v>12790</v>
      </c>
      <c r="B8931" s="1" t="s">
        <v>2628</v>
      </c>
      <c r="C8931" s="1">
        <v>7</v>
      </c>
      <c r="D8931" s="1" t="s">
        <v>101</v>
      </c>
      <c r="E8931" s="1" t="s">
        <v>6</v>
      </c>
      <c r="F8931" s="1" t="s">
        <v>5091</v>
      </c>
      <c r="G8931" s="14" t="s">
        <v>6530</v>
      </c>
      <c r="H8931" s="1" t="s">
        <v>43</v>
      </c>
      <c r="I8931" s="17">
        <v>42370</v>
      </c>
    </row>
    <row r="8932" spans="1:9">
      <c r="A8932" s="16" t="s">
        <v>12791</v>
      </c>
      <c r="B8932" s="1" t="s">
        <v>2628</v>
      </c>
      <c r="C8932" s="1">
        <v>7</v>
      </c>
      <c r="D8932" s="1" t="s">
        <v>101</v>
      </c>
      <c r="E8932" s="1" t="s">
        <v>6</v>
      </c>
      <c r="F8932" s="1" t="s">
        <v>5091</v>
      </c>
      <c r="G8932" s="14" t="s">
        <v>6450</v>
      </c>
      <c r="H8932" s="1" t="s">
        <v>43</v>
      </c>
      <c r="I8932" s="17">
        <v>42370</v>
      </c>
    </row>
    <row r="8933" spans="1:9">
      <c r="A8933" s="16" t="s">
        <v>12792</v>
      </c>
      <c r="B8933" s="1" t="s">
        <v>2628</v>
      </c>
      <c r="C8933" s="1">
        <v>7</v>
      </c>
      <c r="D8933" s="1" t="s">
        <v>101</v>
      </c>
      <c r="E8933" s="1" t="s">
        <v>6</v>
      </c>
      <c r="F8933" s="1" t="s">
        <v>5091</v>
      </c>
      <c r="G8933" s="14" t="s">
        <v>6530</v>
      </c>
      <c r="H8933" s="1" t="s">
        <v>43</v>
      </c>
      <c r="I8933" s="17">
        <v>42370</v>
      </c>
    </row>
    <row r="8934" spans="1:9">
      <c r="A8934" s="16" t="s">
        <v>12793</v>
      </c>
      <c r="B8934" s="1" t="s">
        <v>2628</v>
      </c>
      <c r="C8934" s="1">
        <v>7</v>
      </c>
      <c r="D8934" s="1" t="s">
        <v>101</v>
      </c>
      <c r="E8934" s="1" t="s">
        <v>6</v>
      </c>
      <c r="F8934" s="1" t="s">
        <v>5091</v>
      </c>
      <c r="G8934" s="14" t="s">
        <v>6530</v>
      </c>
      <c r="H8934" s="1" t="s">
        <v>43</v>
      </c>
      <c r="I8934" s="17">
        <v>42370</v>
      </c>
    </row>
    <row r="8935" spans="1:9">
      <c r="A8935" s="16" t="s">
        <v>12794</v>
      </c>
      <c r="B8935" s="1" t="s">
        <v>2628</v>
      </c>
      <c r="C8935" s="1">
        <v>7</v>
      </c>
      <c r="D8935" s="1" t="s">
        <v>101</v>
      </c>
      <c r="E8935" s="1" t="s">
        <v>6</v>
      </c>
      <c r="F8935" s="1" t="s">
        <v>5091</v>
      </c>
      <c r="G8935" s="14" t="s">
        <v>6530</v>
      </c>
      <c r="H8935" s="1" t="s">
        <v>43</v>
      </c>
      <c r="I8935" s="17">
        <v>42370</v>
      </c>
    </row>
    <row r="8936" spans="1:9">
      <c r="A8936" s="16" t="s">
        <v>12795</v>
      </c>
      <c r="B8936" s="1" t="s">
        <v>2628</v>
      </c>
      <c r="C8936" s="1">
        <v>7</v>
      </c>
      <c r="D8936" s="1" t="s">
        <v>101</v>
      </c>
      <c r="E8936" s="1" t="s">
        <v>6</v>
      </c>
      <c r="F8936" s="1" t="s">
        <v>5091</v>
      </c>
      <c r="G8936" s="14" t="s">
        <v>6530</v>
      </c>
      <c r="H8936" s="1" t="s">
        <v>43</v>
      </c>
      <c r="I8936" s="17">
        <v>42370</v>
      </c>
    </row>
    <row r="8937" spans="1:9">
      <c r="A8937" s="16" t="s">
        <v>12796</v>
      </c>
      <c r="B8937" s="1" t="s">
        <v>2628</v>
      </c>
      <c r="C8937" s="1">
        <v>7</v>
      </c>
      <c r="D8937" s="1" t="s">
        <v>101</v>
      </c>
      <c r="E8937" s="1" t="s">
        <v>6</v>
      </c>
      <c r="F8937" s="1" t="s">
        <v>5091</v>
      </c>
      <c r="G8937" s="14" t="s">
        <v>6530</v>
      </c>
      <c r="H8937" s="1" t="s">
        <v>43</v>
      </c>
      <c r="I8937" s="17">
        <v>42370</v>
      </c>
    </row>
    <row r="8938" spans="1:9">
      <c r="A8938" s="16" t="s">
        <v>12797</v>
      </c>
      <c r="B8938" s="1" t="s">
        <v>2628</v>
      </c>
      <c r="C8938" s="1">
        <v>7</v>
      </c>
      <c r="D8938" s="1" t="s">
        <v>101</v>
      </c>
      <c r="E8938" s="1" t="s">
        <v>6</v>
      </c>
      <c r="F8938" s="1" t="s">
        <v>5091</v>
      </c>
      <c r="G8938" s="14" t="s">
        <v>6530</v>
      </c>
      <c r="H8938" s="1" t="s">
        <v>43</v>
      </c>
      <c r="I8938" s="17">
        <v>42370</v>
      </c>
    </row>
    <row r="8939" spans="1:9">
      <c r="A8939" s="16" t="s">
        <v>12798</v>
      </c>
      <c r="B8939" s="1" t="s">
        <v>2628</v>
      </c>
      <c r="C8939" s="1">
        <v>7</v>
      </c>
      <c r="D8939" s="1" t="s">
        <v>101</v>
      </c>
      <c r="E8939" s="1" t="s">
        <v>6</v>
      </c>
      <c r="F8939" s="1" t="s">
        <v>5091</v>
      </c>
      <c r="G8939" s="14" t="s">
        <v>6530</v>
      </c>
      <c r="H8939" s="1" t="s">
        <v>43</v>
      </c>
      <c r="I8939" s="17">
        <v>42370</v>
      </c>
    </row>
    <row r="8940" spans="1:9">
      <c r="A8940" s="16" t="s">
        <v>12799</v>
      </c>
      <c r="B8940" s="1" t="s">
        <v>2628</v>
      </c>
      <c r="C8940" s="1">
        <v>7</v>
      </c>
      <c r="D8940" s="1" t="s">
        <v>101</v>
      </c>
      <c r="E8940" s="1" t="s">
        <v>6</v>
      </c>
      <c r="F8940" s="1" t="s">
        <v>5091</v>
      </c>
      <c r="G8940" s="14" t="s">
        <v>6530</v>
      </c>
      <c r="H8940" s="1" t="s">
        <v>43</v>
      </c>
      <c r="I8940" s="17">
        <v>42370</v>
      </c>
    </row>
    <row r="8941" spans="1:9">
      <c r="A8941" s="16" t="s">
        <v>12800</v>
      </c>
      <c r="B8941" s="1" t="s">
        <v>2628</v>
      </c>
      <c r="C8941" s="1">
        <v>7</v>
      </c>
      <c r="D8941" s="1" t="s">
        <v>101</v>
      </c>
      <c r="E8941" s="1" t="s">
        <v>6</v>
      </c>
      <c r="F8941" s="1" t="s">
        <v>5091</v>
      </c>
      <c r="G8941" s="14" t="s">
        <v>6530</v>
      </c>
      <c r="H8941" s="1" t="s">
        <v>43</v>
      </c>
      <c r="I8941" s="17">
        <v>42370</v>
      </c>
    </row>
    <row r="8942" spans="1:9">
      <c r="A8942" s="16" t="s">
        <v>12801</v>
      </c>
      <c r="B8942" s="1" t="s">
        <v>2628</v>
      </c>
      <c r="C8942" s="1">
        <v>7</v>
      </c>
      <c r="D8942" s="1" t="s">
        <v>101</v>
      </c>
      <c r="E8942" s="1" t="s">
        <v>6</v>
      </c>
      <c r="F8942" s="1" t="s">
        <v>5091</v>
      </c>
      <c r="G8942" s="14" t="s">
        <v>6530</v>
      </c>
      <c r="H8942" s="1" t="s">
        <v>43</v>
      </c>
      <c r="I8942" s="17">
        <v>42370</v>
      </c>
    </row>
    <row r="8943" spans="1:9">
      <c r="A8943" s="16" t="s">
        <v>12802</v>
      </c>
      <c r="B8943" s="1" t="s">
        <v>2628</v>
      </c>
      <c r="C8943" s="1">
        <v>7</v>
      </c>
      <c r="D8943" s="1" t="s">
        <v>101</v>
      </c>
      <c r="E8943" s="1" t="s">
        <v>6</v>
      </c>
      <c r="F8943" s="1" t="s">
        <v>5091</v>
      </c>
      <c r="G8943" s="14" t="s">
        <v>6530</v>
      </c>
      <c r="H8943" s="1" t="s">
        <v>43</v>
      </c>
      <c r="I8943" s="17">
        <v>42370</v>
      </c>
    </row>
    <row r="8944" spans="1:9">
      <c r="A8944" s="16" t="s">
        <v>12803</v>
      </c>
      <c r="B8944" s="1" t="s">
        <v>2628</v>
      </c>
      <c r="C8944" s="1">
        <v>7</v>
      </c>
      <c r="D8944" s="1" t="s">
        <v>101</v>
      </c>
      <c r="E8944" s="1" t="s">
        <v>6</v>
      </c>
      <c r="F8944" s="1" t="s">
        <v>5091</v>
      </c>
      <c r="G8944" s="14" t="s">
        <v>6530</v>
      </c>
      <c r="H8944" s="1" t="s">
        <v>43</v>
      </c>
      <c r="I8944" s="17">
        <v>42370</v>
      </c>
    </row>
    <row r="8945" spans="1:9">
      <c r="A8945" s="16" t="s">
        <v>12804</v>
      </c>
      <c r="B8945" s="1" t="s">
        <v>2628</v>
      </c>
      <c r="C8945" s="1">
        <v>7</v>
      </c>
      <c r="D8945" s="1" t="s">
        <v>101</v>
      </c>
      <c r="E8945" s="1" t="s">
        <v>6</v>
      </c>
      <c r="F8945" s="1" t="s">
        <v>5091</v>
      </c>
      <c r="G8945" s="14" t="s">
        <v>6530</v>
      </c>
      <c r="H8945" s="1" t="s">
        <v>43</v>
      </c>
      <c r="I8945" s="17">
        <v>42370</v>
      </c>
    </row>
    <row r="8946" spans="1:9">
      <c r="A8946" s="16" t="s">
        <v>12805</v>
      </c>
      <c r="B8946" s="1" t="s">
        <v>2628</v>
      </c>
      <c r="C8946" s="1">
        <v>7</v>
      </c>
      <c r="D8946" s="1" t="s">
        <v>101</v>
      </c>
      <c r="E8946" s="1" t="s">
        <v>6</v>
      </c>
      <c r="F8946" s="1" t="s">
        <v>5091</v>
      </c>
      <c r="G8946" s="14" t="s">
        <v>6530</v>
      </c>
      <c r="H8946" s="1" t="s">
        <v>43</v>
      </c>
      <c r="I8946" s="17">
        <v>42370</v>
      </c>
    </row>
    <row r="8947" spans="1:9">
      <c r="A8947" s="16" t="s">
        <v>12806</v>
      </c>
      <c r="B8947" s="1" t="s">
        <v>2628</v>
      </c>
      <c r="C8947" s="1">
        <v>7</v>
      </c>
      <c r="D8947" s="1" t="s">
        <v>101</v>
      </c>
      <c r="E8947" s="1" t="s">
        <v>6</v>
      </c>
      <c r="F8947" s="1" t="s">
        <v>5091</v>
      </c>
      <c r="G8947" s="14" t="s">
        <v>6530</v>
      </c>
      <c r="H8947" s="1" t="s">
        <v>43</v>
      </c>
      <c r="I8947" s="17">
        <v>42370</v>
      </c>
    </row>
    <row r="8948" spans="1:9">
      <c r="A8948" s="16" t="s">
        <v>12807</v>
      </c>
      <c r="B8948" s="1" t="s">
        <v>2628</v>
      </c>
      <c r="C8948" s="1">
        <v>7</v>
      </c>
      <c r="D8948" s="1" t="s">
        <v>101</v>
      </c>
      <c r="E8948" s="1" t="s">
        <v>6</v>
      </c>
      <c r="F8948" s="1" t="s">
        <v>5091</v>
      </c>
      <c r="G8948" s="14" t="s">
        <v>6530</v>
      </c>
      <c r="H8948" s="1" t="s">
        <v>43</v>
      </c>
      <c r="I8948" s="17">
        <v>42370</v>
      </c>
    </row>
    <row r="8949" spans="1:9">
      <c r="A8949" s="16" t="s">
        <v>12822</v>
      </c>
      <c r="B8949" s="1" t="s">
        <v>2628</v>
      </c>
      <c r="C8949" s="1">
        <v>7</v>
      </c>
      <c r="D8949" s="1" t="s">
        <v>101</v>
      </c>
      <c r="E8949" s="1" t="s">
        <v>6</v>
      </c>
      <c r="F8949" s="1" t="s">
        <v>5091</v>
      </c>
      <c r="G8949" s="14" t="s">
        <v>4458</v>
      </c>
      <c r="H8949" s="1" t="s">
        <v>118</v>
      </c>
      <c r="I8949" s="17">
        <v>42835</v>
      </c>
    </row>
    <row r="8950" spans="1:9">
      <c r="A8950" s="16" t="s">
        <v>12863</v>
      </c>
      <c r="B8950" s="1" t="s">
        <v>2628</v>
      </c>
      <c r="C8950" s="1">
        <v>7</v>
      </c>
      <c r="D8950" s="1" t="s">
        <v>101</v>
      </c>
      <c r="E8950" s="1" t="s">
        <v>6</v>
      </c>
      <c r="F8950" s="1" t="s">
        <v>5091</v>
      </c>
      <c r="G8950" s="14" t="s">
        <v>12864</v>
      </c>
      <c r="H8950" s="1" t="s">
        <v>5</v>
      </c>
      <c r="I8950" s="17">
        <v>42853</v>
      </c>
    </row>
    <row r="8951" spans="1:9">
      <c r="A8951" s="16" t="s">
        <v>12887</v>
      </c>
      <c r="B8951" s="1" t="s">
        <v>2628</v>
      </c>
      <c r="C8951" s="1">
        <v>7</v>
      </c>
      <c r="D8951" s="1" t="s">
        <v>101</v>
      </c>
      <c r="E8951" s="1" t="s">
        <v>6</v>
      </c>
      <c r="F8951" s="1" t="s">
        <v>5091</v>
      </c>
      <c r="G8951" s="14" t="s">
        <v>6450</v>
      </c>
      <c r="H8951" s="1" t="s">
        <v>43</v>
      </c>
      <c r="I8951" s="17">
        <v>42370</v>
      </c>
    </row>
    <row r="8952" spans="1:9">
      <c r="A8952" s="16" t="s">
        <v>12888</v>
      </c>
      <c r="B8952" s="1" t="s">
        <v>2628</v>
      </c>
      <c r="C8952" s="1">
        <v>7</v>
      </c>
      <c r="D8952" s="1" t="s">
        <v>101</v>
      </c>
      <c r="E8952" s="1" t="s">
        <v>6</v>
      </c>
      <c r="F8952" s="1" t="s">
        <v>5091</v>
      </c>
      <c r="G8952" s="14" t="s">
        <v>6450</v>
      </c>
      <c r="H8952" s="1" t="s">
        <v>43</v>
      </c>
      <c r="I8952" s="17">
        <v>42370</v>
      </c>
    </row>
    <row r="8953" spans="1:9">
      <c r="A8953" s="16" t="s">
        <v>12889</v>
      </c>
      <c r="B8953" s="1" t="s">
        <v>2628</v>
      </c>
      <c r="C8953" s="1">
        <v>7</v>
      </c>
      <c r="D8953" s="1" t="s">
        <v>101</v>
      </c>
      <c r="E8953" s="1" t="s">
        <v>6</v>
      </c>
      <c r="F8953" s="1" t="s">
        <v>5091</v>
      </c>
      <c r="G8953" s="14" t="s">
        <v>6450</v>
      </c>
      <c r="H8953" s="1" t="s">
        <v>43</v>
      </c>
      <c r="I8953" s="17">
        <v>42370</v>
      </c>
    </row>
    <row r="8954" spans="1:9">
      <c r="A8954" s="16" t="s">
        <v>12890</v>
      </c>
      <c r="B8954" s="1" t="s">
        <v>2628</v>
      </c>
      <c r="C8954" s="1">
        <v>7</v>
      </c>
      <c r="D8954" s="1" t="s">
        <v>101</v>
      </c>
      <c r="E8954" s="1" t="s">
        <v>6</v>
      </c>
      <c r="F8954" s="1" t="s">
        <v>5091</v>
      </c>
      <c r="G8954" s="14" t="s">
        <v>6450</v>
      </c>
      <c r="H8954" s="1" t="s">
        <v>43</v>
      </c>
      <c r="I8954" s="17">
        <v>42370</v>
      </c>
    </row>
    <row r="8955" spans="1:9">
      <c r="A8955" s="16" t="s">
        <v>12891</v>
      </c>
      <c r="B8955" s="1" t="s">
        <v>2628</v>
      </c>
      <c r="C8955" s="1">
        <v>7</v>
      </c>
      <c r="D8955" s="1" t="s">
        <v>101</v>
      </c>
      <c r="E8955" s="1" t="s">
        <v>6</v>
      </c>
      <c r="F8955" s="1" t="s">
        <v>5091</v>
      </c>
      <c r="G8955" s="14" t="s">
        <v>6450</v>
      </c>
      <c r="H8955" s="1" t="s">
        <v>43</v>
      </c>
      <c r="I8955" s="17">
        <v>42370</v>
      </c>
    </row>
    <row r="8956" spans="1:9">
      <c r="A8956" s="16" t="s">
        <v>12892</v>
      </c>
      <c r="B8956" s="1" t="s">
        <v>2628</v>
      </c>
      <c r="C8956" s="1">
        <v>7</v>
      </c>
      <c r="D8956" s="1" t="s">
        <v>101</v>
      </c>
      <c r="E8956" s="1" t="s">
        <v>6</v>
      </c>
      <c r="F8956" s="1" t="s">
        <v>5091</v>
      </c>
      <c r="G8956" s="14" t="s">
        <v>6450</v>
      </c>
      <c r="H8956" s="1" t="s">
        <v>43</v>
      </c>
      <c r="I8956" s="17">
        <v>42370</v>
      </c>
    </row>
    <row r="8957" spans="1:9">
      <c r="A8957" s="16" t="s">
        <v>12893</v>
      </c>
      <c r="B8957" s="1" t="s">
        <v>2628</v>
      </c>
      <c r="C8957" s="1">
        <v>7</v>
      </c>
      <c r="D8957" s="1" t="s">
        <v>101</v>
      </c>
      <c r="E8957" s="1" t="s">
        <v>6</v>
      </c>
      <c r="F8957" s="1" t="s">
        <v>5091</v>
      </c>
      <c r="G8957" s="14" t="s">
        <v>6450</v>
      </c>
      <c r="H8957" s="1" t="s">
        <v>43</v>
      </c>
      <c r="I8957" s="17">
        <v>42370</v>
      </c>
    </row>
    <row r="8958" spans="1:9">
      <c r="A8958" s="16" t="s">
        <v>12894</v>
      </c>
      <c r="B8958" s="1" t="s">
        <v>2628</v>
      </c>
      <c r="C8958" s="1">
        <v>7</v>
      </c>
      <c r="D8958" s="1" t="s">
        <v>101</v>
      </c>
      <c r="E8958" s="1" t="s">
        <v>6</v>
      </c>
      <c r="F8958" s="1" t="s">
        <v>5091</v>
      </c>
      <c r="G8958" s="14" t="s">
        <v>6450</v>
      </c>
      <c r="H8958" s="1" t="s">
        <v>43</v>
      </c>
      <c r="I8958" s="17">
        <v>42370</v>
      </c>
    </row>
    <row r="8959" spans="1:9">
      <c r="A8959" s="16" t="s">
        <v>12896</v>
      </c>
      <c r="B8959" s="1" t="s">
        <v>2628</v>
      </c>
      <c r="C8959" s="1">
        <v>7</v>
      </c>
      <c r="D8959" s="1" t="s">
        <v>101</v>
      </c>
      <c r="E8959" s="1" t="s">
        <v>6</v>
      </c>
      <c r="F8959" s="1" t="s">
        <v>5091</v>
      </c>
      <c r="G8959" s="14" t="s">
        <v>6450</v>
      </c>
      <c r="H8959" s="1" t="s">
        <v>43</v>
      </c>
      <c r="I8959" s="17">
        <v>42370</v>
      </c>
    </row>
    <row r="8960" spans="1:9">
      <c r="A8960" s="16" t="s">
        <v>12902</v>
      </c>
      <c r="B8960" s="1" t="s">
        <v>2628</v>
      </c>
      <c r="C8960" s="1">
        <v>7</v>
      </c>
      <c r="D8960" s="1" t="s">
        <v>101</v>
      </c>
      <c r="E8960" s="1" t="s">
        <v>6</v>
      </c>
      <c r="F8960" s="1" t="s">
        <v>5091</v>
      </c>
      <c r="G8960" s="14" t="s">
        <v>6450</v>
      </c>
      <c r="H8960" s="1" t="s">
        <v>43</v>
      </c>
      <c r="I8960" s="17">
        <v>42370</v>
      </c>
    </row>
    <row r="8961" spans="1:9">
      <c r="A8961" s="16" t="s">
        <v>12934</v>
      </c>
      <c r="B8961" s="1" t="s">
        <v>2628</v>
      </c>
      <c r="C8961" s="1">
        <v>7</v>
      </c>
      <c r="D8961" s="1" t="s">
        <v>101</v>
      </c>
      <c r="E8961" s="1" t="s">
        <v>6</v>
      </c>
      <c r="F8961" s="1" t="s">
        <v>5091</v>
      </c>
      <c r="G8961" s="14" t="s">
        <v>6530</v>
      </c>
      <c r="H8961" s="1" t="s">
        <v>43</v>
      </c>
      <c r="I8961" s="17">
        <v>39706</v>
      </c>
    </row>
    <row r="8962" spans="1:9">
      <c r="A8962" s="16" t="s">
        <v>12935</v>
      </c>
      <c r="B8962" s="1" t="s">
        <v>2628</v>
      </c>
      <c r="C8962" s="1">
        <v>7</v>
      </c>
      <c r="D8962" s="1" t="s">
        <v>101</v>
      </c>
      <c r="E8962" s="1" t="s">
        <v>6</v>
      </c>
      <c r="F8962" s="1" t="s">
        <v>5091</v>
      </c>
      <c r="G8962" s="14" t="s">
        <v>6530</v>
      </c>
      <c r="H8962" s="1" t="s">
        <v>43</v>
      </c>
      <c r="I8962" s="17">
        <v>39706</v>
      </c>
    </row>
    <row r="8963" spans="1:9">
      <c r="A8963" s="16" t="s">
        <v>12936</v>
      </c>
      <c r="B8963" s="1" t="s">
        <v>2628</v>
      </c>
      <c r="C8963" s="1">
        <v>7</v>
      </c>
      <c r="D8963" s="1" t="s">
        <v>101</v>
      </c>
      <c r="E8963" s="1" t="s">
        <v>6</v>
      </c>
      <c r="F8963" s="1" t="s">
        <v>5091</v>
      </c>
      <c r="G8963" s="14" t="s">
        <v>6530</v>
      </c>
      <c r="H8963" s="1" t="s">
        <v>43</v>
      </c>
      <c r="I8963" s="17">
        <v>39706</v>
      </c>
    </row>
    <row r="8964" spans="1:9">
      <c r="A8964" s="16" t="s">
        <v>12937</v>
      </c>
      <c r="B8964" s="1" t="s">
        <v>2628</v>
      </c>
      <c r="C8964" s="1">
        <v>7</v>
      </c>
      <c r="D8964" s="1" t="s">
        <v>101</v>
      </c>
      <c r="E8964" s="1" t="s">
        <v>6</v>
      </c>
      <c r="F8964" s="1" t="s">
        <v>5091</v>
      </c>
      <c r="G8964" s="14" t="s">
        <v>6530</v>
      </c>
      <c r="H8964" s="1" t="s">
        <v>43</v>
      </c>
      <c r="I8964" s="17">
        <v>39706</v>
      </c>
    </row>
    <row r="8965" spans="1:9">
      <c r="A8965" s="16" t="s">
        <v>12938</v>
      </c>
      <c r="B8965" s="1" t="s">
        <v>2628</v>
      </c>
      <c r="C8965" s="1">
        <v>7</v>
      </c>
      <c r="D8965" s="1" t="s">
        <v>101</v>
      </c>
      <c r="E8965" s="1" t="s">
        <v>6</v>
      </c>
      <c r="F8965" s="1" t="s">
        <v>5091</v>
      </c>
      <c r="G8965" s="14" t="s">
        <v>6530</v>
      </c>
      <c r="H8965" s="1" t="s">
        <v>43</v>
      </c>
      <c r="I8965" s="17">
        <v>39706</v>
      </c>
    </row>
    <row r="8966" spans="1:9">
      <c r="A8966" s="16" t="s">
        <v>12939</v>
      </c>
      <c r="B8966" s="1" t="s">
        <v>2628</v>
      </c>
      <c r="C8966" s="1">
        <v>7</v>
      </c>
      <c r="D8966" s="1" t="s">
        <v>101</v>
      </c>
      <c r="E8966" s="1" t="s">
        <v>6</v>
      </c>
      <c r="F8966" s="1" t="s">
        <v>5091</v>
      </c>
      <c r="G8966" s="14" t="s">
        <v>6530</v>
      </c>
      <c r="H8966" s="1" t="s">
        <v>43</v>
      </c>
      <c r="I8966" s="17">
        <v>39706</v>
      </c>
    </row>
    <row r="8967" spans="1:9">
      <c r="A8967" s="16" t="s">
        <v>12940</v>
      </c>
      <c r="B8967" s="1" t="s">
        <v>2628</v>
      </c>
      <c r="C8967" s="1">
        <v>7</v>
      </c>
      <c r="D8967" s="1" t="s">
        <v>101</v>
      </c>
      <c r="E8967" s="1" t="s">
        <v>6</v>
      </c>
      <c r="F8967" s="1" t="s">
        <v>5091</v>
      </c>
      <c r="G8967" s="14" t="s">
        <v>6530</v>
      </c>
      <c r="H8967" s="1" t="s">
        <v>43</v>
      </c>
      <c r="I8967" s="17">
        <v>39706</v>
      </c>
    </row>
    <row r="8968" spans="1:9">
      <c r="A8968" s="16" t="s">
        <v>12942</v>
      </c>
      <c r="B8968" s="1" t="s">
        <v>2628</v>
      </c>
      <c r="C8968" s="1">
        <v>7</v>
      </c>
      <c r="D8968" s="1" t="s">
        <v>101</v>
      </c>
      <c r="E8968" s="1" t="s">
        <v>6</v>
      </c>
      <c r="F8968" s="1" t="s">
        <v>5091</v>
      </c>
      <c r="G8968" s="14" t="s">
        <v>6530</v>
      </c>
      <c r="H8968" s="1" t="s">
        <v>43</v>
      </c>
      <c r="I8968" s="17">
        <v>39678</v>
      </c>
    </row>
    <row r="8969" spans="1:9">
      <c r="A8969" s="16" t="s">
        <v>12989</v>
      </c>
      <c r="B8969" s="1" t="s">
        <v>2628</v>
      </c>
      <c r="C8969" s="1">
        <v>7</v>
      </c>
      <c r="D8969" s="1" t="s">
        <v>101</v>
      </c>
      <c r="E8969" s="1" t="s">
        <v>6</v>
      </c>
      <c r="F8969" s="1" t="s">
        <v>5091</v>
      </c>
      <c r="G8969" s="14" t="s">
        <v>6145</v>
      </c>
      <c r="H8969" s="1" t="s">
        <v>43</v>
      </c>
      <c r="I8969" s="17">
        <v>42736</v>
      </c>
    </row>
    <row r="8970" spans="1:9">
      <c r="A8970" s="16" t="s">
        <v>12990</v>
      </c>
      <c r="B8970" s="1" t="s">
        <v>2628</v>
      </c>
      <c r="C8970" s="1">
        <v>7</v>
      </c>
      <c r="D8970" s="1" t="s">
        <v>101</v>
      </c>
      <c r="E8970" s="1" t="s">
        <v>6</v>
      </c>
      <c r="F8970" s="1" t="s">
        <v>5091</v>
      </c>
      <c r="G8970" s="14" t="s">
        <v>6145</v>
      </c>
      <c r="H8970" s="1" t="s">
        <v>43</v>
      </c>
      <c r="I8970" s="17">
        <v>42736</v>
      </c>
    </row>
    <row r="8971" spans="1:9">
      <c r="A8971" s="16" t="s">
        <v>12994</v>
      </c>
      <c r="B8971" s="1" t="s">
        <v>2628</v>
      </c>
      <c r="C8971" s="1">
        <v>7</v>
      </c>
      <c r="D8971" s="1" t="s">
        <v>101</v>
      </c>
      <c r="E8971" s="1" t="s">
        <v>6</v>
      </c>
      <c r="F8971" s="1" t="s">
        <v>5091</v>
      </c>
      <c r="G8971" s="14" t="s">
        <v>6145</v>
      </c>
      <c r="H8971" s="1" t="s">
        <v>43</v>
      </c>
      <c r="I8971" s="17">
        <v>42736</v>
      </c>
    </row>
    <row r="8972" spans="1:9">
      <c r="A8972" s="16" t="s">
        <v>13000</v>
      </c>
      <c r="B8972" s="1" t="s">
        <v>2628</v>
      </c>
      <c r="C8972" s="1">
        <v>7</v>
      </c>
      <c r="D8972" s="1" t="s">
        <v>101</v>
      </c>
      <c r="E8972" s="1" t="s">
        <v>6</v>
      </c>
      <c r="F8972" s="1" t="s">
        <v>5091</v>
      </c>
      <c r="G8972" s="14" t="s">
        <v>6145</v>
      </c>
      <c r="H8972" s="1" t="s">
        <v>43</v>
      </c>
      <c r="I8972" s="17">
        <v>42736</v>
      </c>
    </row>
    <row r="8973" spans="1:9">
      <c r="A8973" s="16" t="s">
        <v>13003</v>
      </c>
      <c r="B8973" s="1" t="s">
        <v>2628</v>
      </c>
      <c r="C8973" s="1">
        <v>7</v>
      </c>
      <c r="D8973" s="1" t="s">
        <v>101</v>
      </c>
      <c r="E8973" s="1" t="s">
        <v>6</v>
      </c>
      <c r="F8973" s="1" t="s">
        <v>5091</v>
      </c>
      <c r="G8973" s="14" t="s">
        <v>6145</v>
      </c>
      <c r="H8973" s="1" t="s">
        <v>43</v>
      </c>
      <c r="I8973" s="17">
        <v>42736</v>
      </c>
    </row>
    <row r="8974" spans="1:9">
      <c r="A8974" s="16" t="s">
        <v>13008</v>
      </c>
      <c r="B8974" s="1" t="s">
        <v>2628</v>
      </c>
      <c r="C8974" s="1">
        <v>7</v>
      </c>
      <c r="D8974" s="1" t="s">
        <v>101</v>
      </c>
      <c r="E8974" s="1" t="s">
        <v>6</v>
      </c>
      <c r="F8974" s="1" t="s">
        <v>5091</v>
      </c>
      <c r="G8974" s="14" t="s">
        <v>6145</v>
      </c>
      <c r="H8974" s="1" t="s">
        <v>43</v>
      </c>
      <c r="I8974" s="17">
        <v>42736</v>
      </c>
    </row>
    <row r="8975" spans="1:9">
      <c r="A8975" s="16" t="s">
        <v>13009</v>
      </c>
      <c r="B8975" s="1" t="s">
        <v>2628</v>
      </c>
      <c r="C8975" s="1">
        <v>7</v>
      </c>
      <c r="D8975" s="1" t="s">
        <v>101</v>
      </c>
      <c r="E8975" s="1" t="s">
        <v>6</v>
      </c>
      <c r="F8975" s="1" t="s">
        <v>5091</v>
      </c>
      <c r="G8975" s="14" t="s">
        <v>6145</v>
      </c>
      <c r="H8975" s="1" t="s">
        <v>43</v>
      </c>
      <c r="I8975" s="17">
        <v>42736</v>
      </c>
    </row>
    <row r="8976" spans="1:9">
      <c r="A8976" s="16" t="s">
        <v>13034</v>
      </c>
      <c r="B8976" s="1" t="s">
        <v>2628</v>
      </c>
      <c r="C8976" s="1">
        <v>7</v>
      </c>
      <c r="D8976" s="1" t="s">
        <v>101</v>
      </c>
      <c r="E8976" s="1" t="s">
        <v>6</v>
      </c>
      <c r="F8976" s="1" t="s">
        <v>5091</v>
      </c>
      <c r="G8976" s="14" t="s">
        <v>6530</v>
      </c>
      <c r="H8976" s="1" t="s">
        <v>43</v>
      </c>
      <c r="I8976" s="17">
        <v>42370</v>
      </c>
    </row>
    <row r="8977" spans="1:9">
      <c r="A8977" s="16" t="s">
        <v>13035</v>
      </c>
      <c r="B8977" s="1" t="s">
        <v>2628</v>
      </c>
      <c r="C8977" s="1">
        <v>7</v>
      </c>
      <c r="D8977" s="1" t="s">
        <v>101</v>
      </c>
      <c r="E8977" s="1" t="s">
        <v>6</v>
      </c>
      <c r="F8977" s="1" t="s">
        <v>5091</v>
      </c>
      <c r="G8977" s="14" t="s">
        <v>6530</v>
      </c>
      <c r="H8977" s="1" t="s">
        <v>43</v>
      </c>
      <c r="I8977" s="17">
        <v>42370</v>
      </c>
    </row>
    <row r="8978" spans="1:9">
      <c r="A8978" s="16" t="s">
        <v>13124</v>
      </c>
      <c r="B8978" s="1" t="s">
        <v>2628</v>
      </c>
      <c r="C8978" s="1">
        <v>7</v>
      </c>
      <c r="D8978" s="1" t="s">
        <v>101</v>
      </c>
      <c r="E8978" s="1" t="s">
        <v>6</v>
      </c>
      <c r="F8978" s="1" t="s">
        <v>5091</v>
      </c>
      <c r="G8978" s="14" t="s">
        <v>6145</v>
      </c>
      <c r="H8978" s="1" t="s">
        <v>43</v>
      </c>
      <c r="I8978" s="17">
        <v>42864</v>
      </c>
    </row>
    <row r="8979" spans="1:9">
      <c r="A8979" s="16" t="s">
        <v>13125</v>
      </c>
      <c r="B8979" s="1" t="s">
        <v>2628</v>
      </c>
      <c r="C8979" s="1">
        <v>7</v>
      </c>
      <c r="D8979" s="1" t="s">
        <v>101</v>
      </c>
      <c r="E8979" s="1" t="s">
        <v>6</v>
      </c>
      <c r="F8979" s="1" t="s">
        <v>5091</v>
      </c>
      <c r="G8979" s="14" t="s">
        <v>6145</v>
      </c>
      <c r="H8979" s="1" t="s">
        <v>43</v>
      </c>
      <c r="I8979" s="17">
        <v>42864</v>
      </c>
    </row>
    <row r="8980" spans="1:9">
      <c r="A8980" s="16" t="s">
        <v>13178</v>
      </c>
      <c r="B8980" s="1" t="s">
        <v>2628</v>
      </c>
      <c r="C8980" s="1">
        <v>7</v>
      </c>
      <c r="D8980" s="1" t="s">
        <v>101</v>
      </c>
      <c r="E8980" s="1" t="s">
        <v>6</v>
      </c>
      <c r="F8980" s="1" t="s">
        <v>36</v>
      </c>
      <c r="G8980" s="14" t="s">
        <v>4803</v>
      </c>
      <c r="H8980" s="1" t="s">
        <v>5</v>
      </c>
      <c r="I8980" s="17">
        <v>32874</v>
      </c>
    </row>
    <row r="8981" spans="1:9">
      <c r="A8981" s="16" t="s">
        <v>13236</v>
      </c>
      <c r="B8981" s="1" t="s">
        <v>2628</v>
      </c>
      <c r="C8981" s="1">
        <v>7</v>
      </c>
      <c r="D8981" s="1" t="s">
        <v>101</v>
      </c>
      <c r="E8981" s="1" t="s">
        <v>6</v>
      </c>
      <c r="F8981" s="1" t="s">
        <v>5091</v>
      </c>
      <c r="G8981" s="14" t="s">
        <v>6145</v>
      </c>
      <c r="H8981" s="1" t="s">
        <v>43</v>
      </c>
      <c r="I8981" s="17">
        <v>42914</v>
      </c>
    </row>
    <row r="8982" spans="1:9">
      <c r="A8982" s="16" t="s">
        <v>13237</v>
      </c>
      <c r="B8982" s="1" t="s">
        <v>2628</v>
      </c>
      <c r="C8982" s="1">
        <v>7</v>
      </c>
      <c r="D8982" s="1" t="s">
        <v>101</v>
      </c>
      <c r="E8982" s="1" t="s">
        <v>6</v>
      </c>
      <c r="F8982" s="1" t="s">
        <v>5091</v>
      </c>
      <c r="G8982" s="14" t="s">
        <v>6145</v>
      </c>
      <c r="H8982" s="1" t="s">
        <v>43</v>
      </c>
      <c r="I8982" s="17">
        <v>42914</v>
      </c>
    </row>
    <row r="8983" spans="1:9">
      <c r="A8983" s="16" t="s">
        <v>13255</v>
      </c>
      <c r="B8983" s="1" t="s">
        <v>2628</v>
      </c>
      <c r="C8983" s="1">
        <v>7</v>
      </c>
      <c r="D8983" s="1" t="s">
        <v>101</v>
      </c>
      <c r="E8983" s="1" t="s">
        <v>6</v>
      </c>
      <c r="F8983" s="1" t="s">
        <v>5091</v>
      </c>
      <c r="G8983" s="14" t="s">
        <v>4458</v>
      </c>
      <c r="H8983" s="1" t="s">
        <v>118</v>
      </c>
      <c r="I8983" s="17">
        <v>42887</v>
      </c>
    </row>
    <row r="8984" spans="1:9">
      <c r="A8984" s="16" t="s">
        <v>13312</v>
      </c>
      <c r="B8984" s="1" t="s">
        <v>2628</v>
      </c>
      <c r="C8984" s="1">
        <v>7</v>
      </c>
      <c r="D8984" s="1" t="s">
        <v>101</v>
      </c>
      <c r="E8984" s="1" t="s">
        <v>6</v>
      </c>
      <c r="F8984" s="1" t="s">
        <v>5091</v>
      </c>
      <c r="G8984" s="14" t="s">
        <v>10705</v>
      </c>
      <c r="H8984" s="1" t="s">
        <v>44</v>
      </c>
      <c r="I8984" s="17">
        <v>42736</v>
      </c>
    </row>
    <row r="8985" spans="1:9" ht="31.2">
      <c r="A8985" s="16" t="s">
        <v>13382</v>
      </c>
      <c r="B8985" s="1" t="s">
        <v>2628</v>
      </c>
      <c r="C8985" s="1">
        <v>7</v>
      </c>
      <c r="D8985" s="1" t="s">
        <v>101</v>
      </c>
      <c r="E8985" s="1" t="s">
        <v>6</v>
      </c>
      <c r="F8985" s="1" t="s">
        <v>5091</v>
      </c>
      <c r="G8985" s="14" t="s">
        <v>6145</v>
      </c>
      <c r="H8985" s="1" t="s">
        <v>43</v>
      </c>
      <c r="I8985" s="17">
        <v>42947</v>
      </c>
    </row>
    <row r="8986" spans="1:9">
      <c r="A8986" s="16" t="s">
        <v>13394</v>
      </c>
      <c r="B8986" s="1" t="s">
        <v>2628</v>
      </c>
      <c r="C8986" s="1">
        <v>7</v>
      </c>
      <c r="D8986" s="1" t="s">
        <v>101</v>
      </c>
      <c r="E8986" s="1" t="s">
        <v>6</v>
      </c>
      <c r="F8986" s="1" t="s">
        <v>5091</v>
      </c>
      <c r="G8986" s="14" t="s">
        <v>6307</v>
      </c>
      <c r="H8986" s="1" t="s">
        <v>44</v>
      </c>
      <c r="I8986" s="17">
        <v>41640</v>
      </c>
    </row>
    <row r="8987" spans="1:9">
      <c r="A8987" s="16" t="s">
        <v>13401</v>
      </c>
      <c r="B8987" s="1" t="s">
        <v>2628</v>
      </c>
      <c r="C8987" s="1">
        <v>7</v>
      </c>
      <c r="D8987" s="1" t="s">
        <v>101</v>
      </c>
      <c r="E8987" s="1" t="s">
        <v>6</v>
      </c>
      <c r="F8987" s="1" t="s">
        <v>5091</v>
      </c>
      <c r="G8987" s="14" t="s">
        <v>6145</v>
      </c>
      <c r="H8987" s="1" t="s">
        <v>43</v>
      </c>
      <c r="I8987" s="17">
        <v>42990</v>
      </c>
    </row>
    <row r="8988" spans="1:9">
      <c r="A8988" s="16" t="s">
        <v>13404</v>
      </c>
      <c r="B8988" s="1" t="s">
        <v>2628</v>
      </c>
      <c r="C8988" s="1">
        <v>7</v>
      </c>
      <c r="D8988" s="1" t="s">
        <v>101</v>
      </c>
      <c r="E8988" s="1" t="s">
        <v>6</v>
      </c>
      <c r="F8988" s="1" t="s">
        <v>5091</v>
      </c>
      <c r="G8988" s="14" t="s">
        <v>6145</v>
      </c>
      <c r="H8988" s="1" t="s">
        <v>43</v>
      </c>
      <c r="I8988" s="17">
        <v>42990</v>
      </c>
    </row>
    <row r="8989" spans="1:9">
      <c r="A8989" s="16" t="s">
        <v>13405</v>
      </c>
      <c r="B8989" s="1" t="s">
        <v>2628</v>
      </c>
      <c r="C8989" s="1">
        <v>7</v>
      </c>
      <c r="D8989" s="1" t="s">
        <v>101</v>
      </c>
      <c r="E8989" s="1" t="s">
        <v>6</v>
      </c>
      <c r="F8989" s="1" t="s">
        <v>5091</v>
      </c>
      <c r="G8989" s="14" t="s">
        <v>6145</v>
      </c>
      <c r="H8989" s="1" t="s">
        <v>43</v>
      </c>
      <c r="I8989" s="17">
        <v>42990</v>
      </c>
    </row>
    <row r="8990" spans="1:9">
      <c r="A8990" s="16" t="s">
        <v>13406</v>
      </c>
      <c r="B8990" s="1" t="s">
        <v>2628</v>
      </c>
      <c r="C8990" s="1">
        <v>7</v>
      </c>
      <c r="D8990" s="1" t="s">
        <v>101</v>
      </c>
      <c r="E8990" s="1" t="s">
        <v>6</v>
      </c>
      <c r="F8990" s="1" t="s">
        <v>5091</v>
      </c>
      <c r="G8990" s="14" t="s">
        <v>6145</v>
      </c>
      <c r="H8990" s="1" t="s">
        <v>43</v>
      </c>
      <c r="I8990" s="17">
        <v>42990</v>
      </c>
    </row>
    <row r="8991" spans="1:9">
      <c r="A8991" s="16" t="s">
        <v>13407</v>
      </c>
      <c r="B8991" s="1" t="s">
        <v>2628</v>
      </c>
      <c r="C8991" s="1">
        <v>7</v>
      </c>
      <c r="D8991" s="1" t="s">
        <v>101</v>
      </c>
      <c r="E8991" s="1" t="s">
        <v>6</v>
      </c>
      <c r="F8991" s="1" t="s">
        <v>5091</v>
      </c>
      <c r="G8991" s="14" t="s">
        <v>6145</v>
      </c>
      <c r="H8991" s="1" t="s">
        <v>43</v>
      </c>
      <c r="I8991" s="17">
        <v>42990</v>
      </c>
    </row>
    <row r="8992" spans="1:9">
      <c r="A8992" s="16" t="s">
        <v>13408</v>
      </c>
      <c r="B8992" s="1" t="s">
        <v>2628</v>
      </c>
      <c r="C8992" s="1">
        <v>7</v>
      </c>
      <c r="D8992" s="1" t="s">
        <v>101</v>
      </c>
      <c r="E8992" s="1" t="s">
        <v>6</v>
      </c>
      <c r="F8992" s="1" t="s">
        <v>5091</v>
      </c>
      <c r="G8992" s="14" t="s">
        <v>6145</v>
      </c>
      <c r="H8992" s="1" t="s">
        <v>43</v>
      </c>
      <c r="I8992" s="17">
        <v>42990</v>
      </c>
    </row>
    <row r="8993" spans="1:9">
      <c r="A8993" s="16" t="s">
        <v>13409</v>
      </c>
      <c r="B8993" s="1" t="s">
        <v>2628</v>
      </c>
      <c r="C8993" s="1">
        <v>7</v>
      </c>
      <c r="D8993" s="1" t="s">
        <v>101</v>
      </c>
      <c r="E8993" s="1" t="s">
        <v>6</v>
      </c>
      <c r="F8993" s="1" t="s">
        <v>5091</v>
      </c>
      <c r="G8993" s="14" t="s">
        <v>6145</v>
      </c>
      <c r="H8993" s="1" t="s">
        <v>43</v>
      </c>
      <c r="I8993" s="17">
        <v>42990</v>
      </c>
    </row>
    <row r="8994" spans="1:9">
      <c r="A8994" s="16" t="s">
        <v>13427</v>
      </c>
      <c r="B8994" s="1" t="s">
        <v>2628</v>
      </c>
      <c r="C8994" s="1">
        <v>7</v>
      </c>
      <c r="D8994" s="1" t="s">
        <v>101</v>
      </c>
      <c r="E8994" s="1" t="s">
        <v>6</v>
      </c>
      <c r="F8994" s="1" t="s">
        <v>5091</v>
      </c>
      <c r="G8994" s="14" t="s">
        <v>6145</v>
      </c>
      <c r="H8994" s="1" t="s">
        <v>43</v>
      </c>
      <c r="I8994" s="17">
        <v>42985</v>
      </c>
    </row>
    <row r="8995" spans="1:9">
      <c r="A8995" s="16" t="s">
        <v>13436</v>
      </c>
      <c r="B8995" s="1" t="s">
        <v>2628</v>
      </c>
      <c r="C8995" s="1">
        <v>7</v>
      </c>
      <c r="D8995" s="1" t="s">
        <v>101</v>
      </c>
      <c r="E8995" s="1" t="s">
        <v>6</v>
      </c>
      <c r="F8995" s="1" t="s">
        <v>5091</v>
      </c>
      <c r="G8995" s="14" t="s">
        <v>9891</v>
      </c>
      <c r="H8995" s="1" t="s">
        <v>5</v>
      </c>
      <c r="I8995" s="17">
        <v>37104</v>
      </c>
    </row>
    <row r="8996" spans="1:9">
      <c r="A8996" s="16" t="s">
        <v>13444</v>
      </c>
      <c r="B8996" s="1" t="s">
        <v>2628</v>
      </c>
      <c r="C8996" s="1">
        <v>7</v>
      </c>
      <c r="D8996" s="1" t="s">
        <v>101</v>
      </c>
      <c r="E8996" s="1" t="s">
        <v>6</v>
      </c>
      <c r="F8996" s="1" t="s">
        <v>5091</v>
      </c>
      <c r="G8996" s="14" t="s">
        <v>13228</v>
      </c>
      <c r="H8996" s="1" t="s">
        <v>5</v>
      </c>
      <c r="I8996" s="17">
        <v>37135</v>
      </c>
    </row>
    <row r="8997" spans="1:9">
      <c r="A8997" s="16" t="s">
        <v>13478</v>
      </c>
      <c r="B8997" s="1" t="s">
        <v>2628</v>
      </c>
      <c r="C8997" s="1">
        <v>7</v>
      </c>
      <c r="D8997" s="1" t="s">
        <v>101</v>
      </c>
      <c r="E8997" s="1" t="s">
        <v>6</v>
      </c>
      <c r="F8997" s="1" t="s">
        <v>5091</v>
      </c>
      <c r="G8997" s="14" t="s">
        <v>4458</v>
      </c>
      <c r="H8997" s="1" t="s">
        <v>118</v>
      </c>
      <c r="I8997" s="1" t="s">
        <v>4458</v>
      </c>
    </row>
    <row r="8998" spans="1:9">
      <c r="A8998" s="16" t="s">
        <v>13501</v>
      </c>
      <c r="B8998" s="1" t="s">
        <v>2628</v>
      </c>
      <c r="C8998" s="1">
        <v>7</v>
      </c>
      <c r="D8998" s="1" t="s">
        <v>101</v>
      </c>
      <c r="E8998" s="1" t="s">
        <v>6</v>
      </c>
      <c r="F8998" s="1" t="s">
        <v>5091</v>
      </c>
      <c r="G8998" s="14" t="s">
        <v>13228</v>
      </c>
      <c r="H8998" s="1" t="s">
        <v>5</v>
      </c>
      <c r="I8998" s="17">
        <v>37012</v>
      </c>
    </row>
    <row r="8999" spans="1:9">
      <c r="A8999" s="16" t="s">
        <v>13564</v>
      </c>
      <c r="B8999" s="1" t="s">
        <v>2628</v>
      </c>
      <c r="C8999" s="1">
        <v>7</v>
      </c>
      <c r="D8999" s="1" t="s">
        <v>101</v>
      </c>
      <c r="E8999" s="1" t="s">
        <v>6</v>
      </c>
      <c r="F8999" s="1" t="s">
        <v>5091</v>
      </c>
      <c r="G8999" s="14" t="s">
        <v>4458</v>
      </c>
      <c r="H8999" s="1" t="s">
        <v>118</v>
      </c>
      <c r="I8999" s="1" t="s">
        <v>4458</v>
      </c>
    </row>
    <row r="9000" spans="1:9">
      <c r="A9000" s="16" t="s">
        <v>13569</v>
      </c>
      <c r="B9000" s="1" t="s">
        <v>2628</v>
      </c>
      <c r="C9000" s="1">
        <v>7</v>
      </c>
      <c r="D9000" s="1" t="s">
        <v>101</v>
      </c>
      <c r="E9000" s="1" t="s">
        <v>6</v>
      </c>
      <c r="F9000" s="1" t="s">
        <v>5091</v>
      </c>
      <c r="G9000" s="14" t="s">
        <v>13567</v>
      </c>
      <c r="H9000" s="1" t="s">
        <v>5</v>
      </c>
      <c r="I9000" s="17">
        <v>43009</v>
      </c>
    </row>
    <row r="9001" spans="1:9">
      <c r="A9001" s="16" t="s">
        <v>13622</v>
      </c>
      <c r="B9001" s="1" t="s">
        <v>2628</v>
      </c>
      <c r="C9001" s="1">
        <v>7</v>
      </c>
      <c r="D9001" s="1" t="s">
        <v>101</v>
      </c>
      <c r="E9001" s="1" t="s">
        <v>6</v>
      </c>
      <c r="F9001" s="1" t="s">
        <v>5091</v>
      </c>
      <c r="G9001" s="14" t="s">
        <v>4458</v>
      </c>
      <c r="H9001" s="1" t="s">
        <v>118</v>
      </c>
      <c r="I9001" s="1" t="s">
        <v>4458</v>
      </c>
    </row>
    <row r="9002" spans="1:9">
      <c r="A9002" s="16" t="s">
        <v>13632</v>
      </c>
      <c r="B9002" s="1" t="s">
        <v>2628</v>
      </c>
      <c r="C9002" s="1">
        <v>7</v>
      </c>
      <c r="D9002" s="1" t="s">
        <v>101</v>
      </c>
      <c r="E9002" s="1" t="s">
        <v>6</v>
      </c>
      <c r="F9002" s="1" t="s">
        <v>5091</v>
      </c>
      <c r="G9002" s="14" t="s">
        <v>6145</v>
      </c>
      <c r="H9002" s="1" t="s">
        <v>43</v>
      </c>
      <c r="I9002" s="17">
        <v>43033</v>
      </c>
    </row>
    <row r="9003" spans="1:9">
      <c r="A9003" s="16" t="s">
        <v>13633</v>
      </c>
      <c r="B9003" s="1" t="s">
        <v>2628</v>
      </c>
      <c r="C9003" s="1">
        <v>7</v>
      </c>
      <c r="D9003" s="1" t="s">
        <v>101</v>
      </c>
      <c r="E9003" s="1" t="s">
        <v>6</v>
      </c>
      <c r="F9003" s="1" t="s">
        <v>5091</v>
      </c>
      <c r="G9003" s="14" t="s">
        <v>6145</v>
      </c>
      <c r="H9003" s="1" t="s">
        <v>43</v>
      </c>
      <c r="I9003" s="17">
        <v>43033</v>
      </c>
    </row>
    <row r="9004" spans="1:9">
      <c r="A9004" s="16" t="s">
        <v>13634</v>
      </c>
      <c r="B9004" s="1" t="s">
        <v>2628</v>
      </c>
      <c r="C9004" s="1">
        <v>7</v>
      </c>
      <c r="D9004" s="1" t="s">
        <v>101</v>
      </c>
      <c r="E9004" s="1" t="s">
        <v>6</v>
      </c>
      <c r="F9004" s="1" t="s">
        <v>5091</v>
      </c>
      <c r="G9004" s="14" t="s">
        <v>6145</v>
      </c>
      <c r="H9004" s="1" t="s">
        <v>43</v>
      </c>
      <c r="I9004" s="17">
        <v>43033</v>
      </c>
    </row>
    <row r="9005" spans="1:9">
      <c r="A9005" s="16" t="s">
        <v>13635</v>
      </c>
      <c r="B9005" s="1" t="s">
        <v>2628</v>
      </c>
      <c r="C9005" s="1">
        <v>7</v>
      </c>
      <c r="D9005" s="1" t="s">
        <v>101</v>
      </c>
      <c r="E9005" s="1" t="s">
        <v>6</v>
      </c>
      <c r="F9005" s="1" t="s">
        <v>5091</v>
      </c>
      <c r="G9005" s="14" t="s">
        <v>6145</v>
      </c>
      <c r="H9005" s="1" t="s">
        <v>43</v>
      </c>
      <c r="I9005" s="17">
        <v>43033</v>
      </c>
    </row>
    <row r="9006" spans="1:9">
      <c r="A9006" s="16" t="s">
        <v>13636</v>
      </c>
      <c r="B9006" s="1" t="s">
        <v>2628</v>
      </c>
      <c r="C9006" s="1">
        <v>7</v>
      </c>
      <c r="D9006" s="1" t="s">
        <v>101</v>
      </c>
      <c r="E9006" s="1" t="s">
        <v>6</v>
      </c>
      <c r="F9006" s="1" t="s">
        <v>5091</v>
      </c>
      <c r="G9006" s="14" t="s">
        <v>6145</v>
      </c>
      <c r="H9006" s="1" t="s">
        <v>43</v>
      </c>
      <c r="I9006" s="17">
        <v>43033</v>
      </c>
    </row>
    <row r="9007" spans="1:9">
      <c r="A9007" s="16" t="s">
        <v>13637</v>
      </c>
      <c r="B9007" s="1" t="s">
        <v>2628</v>
      </c>
      <c r="C9007" s="1">
        <v>7</v>
      </c>
      <c r="D9007" s="1" t="s">
        <v>101</v>
      </c>
      <c r="E9007" s="1" t="s">
        <v>6</v>
      </c>
      <c r="F9007" s="1" t="s">
        <v>5091</v>
      </c>
      <c r="G9007" s="14" t="s">
        <v>6145</v>
      </c>
      <c r="H9007" s="1" t="s">
        <v>43</v>
      </c>
      <c r="I9007" s="17">
        <v>43033</v>
      </c>
    </row>
    <row r="9008" spans="1:9">
      <c r="A9008" s="16" t="s">
        <v>13638</v>
      </c>
      <c r="B9008" s="1" t="s">
        <v>2628</v>
      </c>
      <c r="C9008" s="1">
        <v>7</v>
      </c>
      <c r="D9008" s="1" t="s">
        <v>101</v>
      </c>
      <c r="E9008" s="1" t="s">
        <v>6</v>
      </c>
      <c r="F9008" s="1" t="s">
        <v>5091</v>
      </c>
      <c r="G9008" s="14" t="s">
        <v>6145</v>
      </c>
      <c r="H9008" s="1" t="s">
        <v>43</v>
      </c>
      <c r="I9008" s="17">
        <v>43033</v>
      </c>
    </row>
    <row r="9009" spans="1:10">
      <c r="A9009" s="16" t="s">
        <v>13639</v>
      </c>
      <c r="B9009" s="1" t="s">
        <v>2628</v>
      </c>
      <c r="C9009" s="1">
        <v>7</v>
      </c>
      <c r="D9009" s="1" t="s">
        <v>101</v>
      </c>
      <c r="E9009" s="1" t="s">
        <v>6</v>
      </c>
      <c r="F9009" s="1" t="s">
        <v>5091</v>
      </c>
      <c r="G9009" s="14" t="s">
        <v>6145</v>
      </c>
      <c r="H9009" s="1" t="s">
        <v>43</v>
      </c>
      <c r="I9009" s="17">
        <v>43033</v>
      </c>
    </row>
    <row r="9010" spans="1:10">
      <c r="A9010" s="16" t="s">
        <v>13640</v>
      </c>
      <c r="B9010" s="1" t="s">
        <v>2628</v>
      </c>
      <c r="C9010" s="1">
        <v>7</v>
      </c>
      <c r="D9010" s="1" t="s">
        <v>101</v>
      </c>
      <c r="E9010" s="1" t="s">
        <v>6</v>
      </c>
      <c r="F9010" s="1" t="s">
        <v>5091</v>
      </c>
      <c r="G9010" s="14" t="s">
        <v>6145</v>
      </c>
      <c r="H9010" s="1" t="s">
        <v>43</v>
      </c>
      <c r="I9010" s="17">
        <v>43033</v>
      </c>
    </row>
    <row r="9011" spans="1:10">
      <c r="A9011" s="16" t="s">
        <v>13641</v>
      </c>
      <c r="B9011" s="1" t="s">
        <v>2628</v>
      </c>
      <c r="C9011" s="1">
        <v>7</v>
      </c>
      <c r="D9011" s="1" t="s">
        <v>101</v>
      </c>
      <c r="E9011" s="1" t="s">
        <v>6</v>
      </c>
      <c r="F9011" s="1" t="s">
        <v>5091</v>
      </c>
      <c r="G9011" s="14" t="s">
        <v>6145</v>
      </c>
      <c r="H9011" s="1" t="s">
        <v>43</v>
      </c>
      <c r="I9011" s="17">
        <v>43033</v>
      </c>
    </row>
    <row r="9012" spans="1:10">
      <c r="A9012" s="16" t="s">
        <v>13642</v>
      </c>
      <c r="B9012" s="1" t="s">
        <v>2628</v>
      </c>
      <c r="C9012" s="1">
        <v>7</v>
      </c>
      <c r="D9012" s="1" t="s">
        <v>101</v>
      </c>
      <c r="E9012" s="1" t="s">
        <v>6</v>
      </c>
      <c r="F9012" s="1" t="s">
        <v>5091</v>
      </c>
      <c r="G9012" s="14" t="s">
        <v>6145</v>
      </c>
      <c r="H9012" s="1" t="s">
        <v>43</v>
      </c>
      <c r="I9012" s="17">
        <v>43033</v>
      </c>
    </row>
    <row r="9013" spans="1:10">
      <c r="A9013" s="16" t="s">
        <v>13688</v>
      </c>
      <c r="B9013" s="1" t="s">
        <v>2628</v>
      </c>
      <c r="C9013" s="1">
        <v>7</v>
      </c>
      <c r="D9013" s="1" t="s">
        <v>101</v>
      </c>
      <c r="E9013" s="1" t="s">
        <v>6</v>
      </c>
      <c r="F9013" s="1" t="s">
        <v>5091</v>
      </c>
      <c r="G9013" s="14" t="s">
        <v>6307</v>
      </c>
      <c r="H9013" s="1" t="s">
        <v>44</v>
      </c>
      <c r="I9013" s="17">
        <v>41640</v>
      </c>
    </row>
    <row r="9014" spans="1:10">
      <c r="A9014" s="16" t="s">
        <v>13713</v>
      </c>
      <c r="B9014" s="1" t="s">
        <v>2628</v>
      </c>
      <c r="C9014" s="1">
        <v>7</v>
      </c>
      <c r="D9014" s="1" t="s">
        <v>101</v>
      </c>
      <c r="E9014" s="1" t="s">
        <v>6</v>
      </c>
      <c r="F9014" s="1" t="s">
        <v>5091</v>
      </c>
      <c r="G9014" s="14" t="s">
        <v>4458</v>
      </c>
      <c r="H9014" s="1" t="s">
        <v>118</v>
      </c>
      <c r="I9014" s="1" t="s">
        <v>4458</v>
      </c>
    </row>
    <row r="9015" spans="1:10">
      <c r="A9015" s="7" t="s">
        <v>13797</v>
      </c>
      <c r="B9015" s="1" t="s">
        <v>2629</v>
      </c>
      <c r="C9015" s="1">
        <v>7</v>
      </c>
      <c r="D9015" s="1" t="s">
        <v>101</v>
      </c>
      <c r="E9015" s="1" t="s">
        <v>6</v>
      </c>
      <c r="F9015" s="1" t="s">
        <v>2698</v>
      </c>
      <c r="G9015" s="1" t="s">
        <v>4803</v>
      </c>
      <c r="H9015" s="1" t="s">
        <v>5</v>
      </c>
      <c r="I9015" s="17">
        <v>40544</v>
      </c>
      <c r="J9015" s="17"/>
    </row>
    <row r="9016" spans="1:10">
      <c r="A9016" s="7" t="s">
        <v>13832</v>
      </c>
      <c r="B9016" s="1" t="s">
        <v>2629</v>
      </c>
      <c r="C9016" s="1">
        <v>7</v>
      </c>
      <c r="D9016" s="1" t="s">
        <v>101</v>
      </c>
      <c r="E9016" s="1" t="s">
        <v>6</v>
      </c>
      <c r="F9016" s="1" t="s">
        <v>2698</v>
      </c>
      <c r="G9016" s="1" t="s">
        <v>6307</v>
      </c>
      <c r="H9016" s="1" t="s">
        <v>44</v>
      </c>
      <c r="I9016" s="17">
        <v>40909</v>
      </c>
    </row>
    <row r="9017" spans="1:10">
      <c r="A9017" s="16" t="s">
        <v>13875</v>
      </c>
      <c r="B9017" s="1" t="s">
        <v>2628</v>
      </c>
      <c r="C9017" s="1">
        <v>7</v>
      </c>
      <c r="D9017" s="1" t="s">
        <v>101</v>
      </c>
      <c r="E9017" s="1" t="s">
        <v>6</v>
      </c>
      <c r="F9017" s="1" t="s">
        <v>5091</v>
      </c>
      <c r="G9017" s="14" t="s">
        <v>4803</v>
      </c>
      <c r="H9017" s="1" t="s">
        <v>5</v>
      </c>
      <c r="I9017" s="17">
        <v>42948</v>
      </c>
    </row>
    <row r="9018" spans="1:10">
      <c r="A9018" s="16" t="s">
        <v>13920</v>
      </c>
      <c r="B9018" s="1" t="s">
        <v>2628</v>
      </c>
      <c r="C9018" s="1">
        <v>7</v>
      </c>
      <c r="D9018" s="1" t="s">
        <v>101</v>
      </c>
      <c r="E9018" s="1" t="s">
        <v>6</v>
      </c>
      <c r="F9018" s="1" t="s">
        <v>5091</v>
      </c>
      <c r="G9018" s="14" t="s">
        <v>4458</v>
      </c>
      <c r="H9018" s="1" t="s">
        <v>118</v>
      </c>
      <c r="I9018" s="1" t="s">
        <v>4458</v>
      </c>
    </row>
    <row r="9019" spans="1:10">
      <c r="A9019" s="16" t="s">
        <v>13952</v>
      </c>
      <c r="B9019" s="1" t="s">
        <v>2628</v>
      </c>
      <c r="C9019" s="1">
        <v>1981</v>
      </c>
      <c r="D9019" s="1" t="s">
        <v>101</v>
      </c>
      <c r="E9019" s="1" t="s">
        <v>6</v>
      </c>
      <c r="F9019" s="1" t="s">
        <v>5091</v>
      </c>
      <c r="G9019" s="14" t="s">
        <v>4458</v>
      </c>
      <c r="H9019" s="1" t="s">
        <v>118</v>
      </c>
      <c r="I9019" s="1" t="s">
        <v>4458</v>
      </c>
    </row>
    <row r="9020" spans="1:10">
      <c r="A9020" s="16" t="s">
        <v>14340</v>
      </c>
      <c r="B9020" s="1" t="s">
        <v>2628</v>
      </c>
      <c r="C9020" s="1">
        <v>7</v>
      </c>
      <c r="D9020" s="1" t="s">
        <v>101</v>
      </c>
      <c r="E9020" s="1" t="s">
        <v>6</v>
      </c>
      <c r="F9020" s="1" t="s">
        <v>5091</v>
      </c>
      <c r="G9020" s="14" t="s">
        <v>6145</v>
      </c>
      <c r="H9020" s="1" t="s">
        <v>43</v>
      </c>
      <c r="I9020" s="17">
        <v>39973</v>
      </c>
    </row>
    <row r="9021" spans="1:10">
      <c r="A9021" s="16" t="s">
        <v>14342</v>
      </c>
      <c r="B9021" s="1" t="s">
        <v>2628</v>
      </c>
      <c r="C9021" s="1">
        <v>7</v>
      </c>
      <c r="D9021" s="1" t="s">
        <v>101</v>
      </c>
      <c r="E9021" s="1" t="s">
        <v>6</v>
      </c>
      <c r="F9021" s="1" t="s">
        <v>5091</v>
      </c>
      <c r="G9021" s="14" t="s">
        <v>6145</v>
      </c>
      <c r="H9021" s="1" t="s">
        <v>43</v>
      </c>
      <c r="I9021" s="17">
        <v>40339</v>
      </c>
    </row>
    <row r="9022" spans="1:10">
      <c r="A9022" s="16" t="s">
        <v>14348</v>
      </c>
      <c r="B9022" s="1" t="s">
        <v>2628</v>
      </c>
      <c r="C9022" s="1">
        <v>7</v>
      </c>
      <c r="D9022" s="1" t="s">
        <v>101</v>
      </c>
      <c r="E9022" s="1" t="s">
        <v>6</v>
      </c>
      <c r="F9022" s="1" t="s">
        <v>5091</v>
      </c>
      <c r="G9022" s="14" t="s">
        <v>6145</v>
      </c>
      <c r="H9022" s="1" t="s">
        <v>43</v>
      </c>
      <c r="I9022" s="17">
        <v>43200</v>
      </c>
    </row>
    <row r="9023" spans="1:10">
      <c r="A9023" s="16" t="s">
        <v>14390</v>
      </c>
      <c r="B9023" s="1" t="s">
        <v>2628</v>
      </c>
      <c r="C9023" s="1">
        <v>7</v>
      </c>
      <c r="D9023" s="1" t="s">
        <v>101</v>
      </c>
      <c r="E9023" s="1" t="s">
        <v>6</v>
      </c>
      <c r="F9023" s="1" t="s">
        <v>5091</v>
      </c>
      <c r="G9023" s="14" t="s">
        <v>10481</v>
      </c>
      <c r="H9023" s="1" t="s">
        <v>5</v>
      </c>
      <c r="I9023" s="17">
        <v>36220</v>
      </c>
    </row>
    <row r="9024" spans="1:10">
      <c r="A9024" s="16" t="s">
        <v>14394</v>
      </c>
      <c r="B9024" s="1" t="s">
        <v>2628</v>
      </c>
      <c r="C9024" s="1">
        <v>7</v>
      </c>
      <c r="D9024" s="1" t="s">
        <v>101</v>
      </c>
      <c r="E9024" s="1" t="s">
        <v>6</v>
      </c>
      <c r="F9024" s="1" t="s">
        <v>5091</v>
      </c>
      <c r="G9024" s="14" t="s">
        <v>9561</v>
      </c>
      <c r="H9024" s="1" t="s">
        <v>5</v>
      </c>
      <c r="I9024" s="17">
        <v>36281</v>
      </c>
    </row>
    <row r="9025" spans="1:10">
      <c r="A9025" s="16" t="s">
        <v>14395</v>
      </c>
      <c r="B9025" s="1" t="s">
        <v>2628</v>
      </c>
      <c r="C9025" s="1">
        <v>7</v>
      </c>
      <c r="D9025" s="1" t="s">
        <v>101</v>
      </c>
      <c r="E9025" s="1" t="s">
        <v>6</v>
      </c>
      <c r="F9025" s="1" t="s">
        <v>5091</v>
      </c>
      <c r="G9025" s="14" t="s">
        <v>9955</v>
      </c>
      <c r="H9025" s="1" t="s">
        <v>5</v>
      </c>
      <c r="I9025" s="17">
        <v>36220</v>
      </c>
    </row>
    <row r="9026" spans="1:10">
      <c r="A9026" s="16" t="s">
        <v>14396</v>
      </c>
      <c r="B9026" s="1" t="s">
        <v>2628</v>
      </c>
      <c r="C9026" s="1">
        <v>7</v>
      </c>
      <c r="D9026" s="1" t="s">
        <v>101</v>
      </c>
      <c r="E9026" s="1" t="s">
        <v>6</v>
      </c>
      <c r="F9026" s="1" t="s">
        <v>5091</v>
      </c>
      <c r="G9026" s="14" t="s">
        <v>10481</v>
      </c>
      <c r="H9026" s="1" t="s">
        <v>5</v>
      </c>
      <c r="I9026" s="17">
        <v>36220</v>
      </c>
    </row>
    <row r="9027" spans="1:10">
      <c r="A9027" s="7" t="s">
        <v>14472</v>
      </c>
      <c r="B9027" s="2" t="s">
        <v>2629</v>
      </c>
      <c r="C9027" s="1">
        <v>691</v>
      </c>
      <c r="D9027" s="1" t="s">
        <v>101</v>
      </c>
      <c r="E9027" s="1" t="s">
        <v>6</v>
      </c>
      <c r="F9027" s="1" t="s">
        <v>118</v>
      </c>
      <c r="G9027" s="14" t="s">
        <v>14465</v>
      </c>
      <c r="H9027" s="1" t="s">
        <v>43</v>
      </c>
      <c r="I9027" s="1" t="s">
        <v>5642</v>
      </c>
    </row>
    <row r="9028" spans="1:10">
      <c r="A9028" s="7" t="s">
        <v>14474</v>
      </c>
      <c r="B9028" s="2" t="s">
        <v>2629</v>
      </c>
      <c r="C9028" s="1">
        <v>7</v>
      </c>
      <c r="D9028" s="1" t="s">
        <v>101</v>
      </c>
      <c r="E9028" s="1" t="s">
        <v>6</v>
      </c>
      <c r="F9028" s="1" t="s">
        <v>118</v>
      </c>
      <c r="G9028" s="14" t="s">
        <v>14463</v>
      </c>
      <c r="H9028" s="1" t="s">
        <v>5</v>
      </c>
      <c r="I9028" s="1" t="s">
        <v>5855</v>
      </c>
      <c r="J9028" s="17"/>
    </row>
    <row r="9029" spans="1:10">
      <c r="A9029" s="7" t="s">
        <v>14475</v>
      </c>
      <c r="B9029" s="2" t="s">
        <v>2629</v>
      </c>
      <c r="C9029" s="1">
        <v>7</v>
      </c>
      <c r="D9029" s="1" t="s">
        <v>101</v>
      </c>
      <c r="E9029" s="1" t="s">
        <v>6</v>
      </c>
      <c r="F9029" s="1" t="s">
        <v>118</v>
      </c>
      <c r="G9029" s="14" t="s">
        <v>14463</v>
      </c>
      <c r="H9029" s="1" t="s">
        <v>5</v>
      </c>
      <c r="I9029" s="1" t="s">
        <v>5855</v>
      </c>
      <c r="J9029" s="17"/>
    </row>
    <row r="9030" spans="1:10">
      <c r="A9030" s="7" t="s">
        <v>14489</v>
      </c>
      <c r="B9030" s="2" t="s">
        <v>2629</v>
      </c>
      <c r="C9030" s="1">
        <v>7</v>
      </c>
      <c r="D9030" s="1" t="s">
        <v>101</v>
      </c>
      <c r="E9030" s="1" t="s">
        <v>6</v>
      </c>
      <c r="F9030" s="1" t="s">
        <v>118</v>
      </c>
      <c r="G9030" s="14" t="s">
        <v>14463</v>
      </c>
      <c r="H9030" s="1" t="s">
        <v>5</v>
      </c>
      <c r="I9030" s="1" t="s">
        <v>6844</v>
      </c>
      <c r="J9030" s="17"/>
    </row>
    <row r="9031" spans="1:10">
      <c r="A9031" s="7" t="s">
        <v>14491</v>
      </c>
      <c r="B9031" s="2" t="s">
        <v>2629</v>
      </c>
      <c r="C9031" s="1">
        <v>7</v>
      </c>
      <c r="D9031" s="1" t="s">
        <v>101</v>
      </c>
      <c r="E9031" s="1" t="s">
        <v>6</v>
      </c>
      <c r="F9031" s="1" t="s">
        <v>118</v>
      </c>
      <c r="G9031" s="14" t="s">
        <v>14463</v>
      </c>
      <c r="H9031" s="1" t="s">
        <v>5</v>
      </c>
      <c r="I9031" s="1" t="s">
        <v>6844</v>
      </c>
      <c r="J9031" s="17"/>
    </row>
    <row r="9032" spans="1:10">
      <c r="A9032" s="7" t="s">
        <v>14499</v>
      </c>
      <c r="B9032" s="2" t="s">
        <v>2628</v>
      </c>
      <c r="C9032" s="1">
        <v>624</v>
      </c>
      <c r="D9032" s="1" t="s">
        <v>101</v>
      </c>
      <c r="E9032" s="1" t="s">
        <v>6</v>
      </c>
      <c r="F9032" s="2" t="s">
        <v>118</v>
      </c>
      <c r="G9032" s="14" t="s">
        <v>14463</v>
      </c>
      <c r="H9032" s="1" t="s">
        <v>5</v>
      </c>
      <c r="I9032" s="1" t="s">
        <v>4789</v>
      </c>
    </row>
    <row r="9033" spans="1:10">
      <c r="A9033" s="16" t="s">
        <v>14543</v>
      </c>
      <c r="B9033" s="1" t="s">
        <v>2628</v>
      </c>
      <c r="C9033" s="1">
        <v>2451</v>
      </c>
      <c r="D9033" s="1" t="s">
        <v>101</v>
      </c>
      <c r="E9033" s="1" t="s">
        <v>6</v>
      </c>
      <c r="F9033" s="1" t="s">
        <v>5091</v>
      </c>
      <c r="G9033" s="14" t="s">
        <v>6145</v>
      </c>
      <c r="H9033" s="1" t="s">
        <v>43</v>
      </c>
      <c r="I9033" s="17">
        <v>43250</v>
      </c>
    </row>
    <row r="9034" spans="1:10">
      <c r="A9034" s="16" t="s">
        <v>14544</v>
      </c>
      <c r="B9034" s="1" t="s">
        <v>2628</v>
      </c>
      <c r="C9034" s="1">
        <v>7</v>
      </c>
      <c r="D9034" s="1" t="s">
        <v>101</v>
      </c>
      <c r="E9034" s="1" t="s">
        <v>6</v>
      </c>
      <c r="F9034" s="1" t="s">
        <v>5091</v>
      </c>
      <c r="G9034" s="14" t="s">
        <v>6145</v>
      </c>
      <c r="H9034" s="1" t="s">
        <v>43</v>
      </c>
      <c r="I9034" s="17">
        <v>43250</v>
      </c>
    </row>
    <row r="9035" spans="1:10">
      <c r="A9035" s="16" t="s">
        <v>14550</v>
      </c>
      <c r="B9035" s="1" t="s">
        <v>2628</v>
      </c>
      <c r="C9035" s="1">
        <v>7</v>
      </c>
      <c r="D9035" s="1" t="s">
        <v>101</v>
      </c>
      <c r="E9035" s="1" t="s">
        <v>6</v>
      </c>
      <c r="F9035" s="1" t="s">
        <v>5091</v>
      </c>
      <c r="G9035" s="14" t="s">
        <v>6145</v>
      </c>
      <c r="H9035" s="1" t="s">
        <v>43</v>
      </c>
      <c r="I9035" s="17">
        <v>43250</v>
      </c>
    </row>
    <row r="9036" spans="1:10">
      <c r="A9036" s="16" t="s">
        <v>14552</v>
      </c>
      <c r="B9036" s="1" t="s">
        <v>2628</v>
      </c>
      <c r="C9036" s="1">
        <v>7</v>
      </c>
      <c r="D9036" s="1" t="s">
        <v>101</v>
      </c>
      <c r="E9036" s="1" t="s">
        <v>6</v>
      </c>
      <c r="F9036" s="1" t="s">
        <v>5091</v>
      </c>
      <c r="G9036" s="14" t="s">
        <v>6145</v>
      </c>
      <c r="H9036" s="1" t="s">
        <v>43</v>
      </c>
      <c r="I9036" s="17">
        <v>43250</v>
      </c>
    </row>
    <row r="9037" spans="1:10">
      <c r="A9037" s="16" t="s">
        <v>14560</v>
      </c>
      <c r="B9037" s="1" t="s">
        <v>2628</v>
      </c>
      <c r="C9037" s="1">
        <v>7</v>
      </c>
      <c r="D9037" s="1" t="s">
        <v>101</v>
      </c>
      <c r="E9037" s="1" t="s">
        <v>6</v>
      </c>
      <c r="F9037" s="1" t="s">
        <v>5091</v>
      </c>
      <c r="G9037" s="14" t="s">
        <v>6145</v>
      </c>
      <c r="H9037" s="1" t="s">
        <v>43</v>
      </c>
      <c r="I9037" s="17">
        <v>43250</v>
      </c>
    </row>
    <row r="9038" spans="1:10">
      <c r="A9038" s="16" t="s">
        <v>14561</v>
      </c>
      <c r="B9038" s="1" t="s">
        <v>2628</v>
      </c>
      <c r="C9038" s="1">
        <v>7</v>
      </c>
      <c r="D9038" s="1" t="s">
        <v>101</v>
      </c>
      <c r="E9038" s="1" t="s">
        <v>6</v>
      </c>
      <c r="F9038" s="1" t="s">
        <v>5091</v>
      </c>
      <c r="G9038" s="14" t="s">
        <v>6145</v>
      </c>
      <c r="H9038" s="1" t="s">
        <v>43</v>
      </c>
      <c r="I9038" s="17">
        <v>43250</v>
      </c>
    </row>
    <row r="9039" spans="1:10">
      <c r="A9039" s="16" t="s">
        <v>14562</v>
      </c>
      <c r="B9039" s="1" t="s">
        <v>2628</v>
      </c>
      <c r="C9039" s="1">
        <v>7</v>
      </c>
      <c r="D9039" s="1" t="s">
        <v>101</v>
      </c>
      <c r="E9039" s="1" t="s">
        <v>6</v>
      </c>
      <c r="F9039" s="1" t="s">
        <v>5091</v>
      </c>
      <c r="G9039" s="14" t="s">
        <v>6145</v>
      </c>
      <c r="H9039" s="1" t="s">
        <v>43</v>
      </c>
      <c r="I9039" s="17">
        <v>43250</v>
      </c>
    </row>
    <row r="9040" spans="1:10">
      <c r="A9040" s="16" t="s">
        <v>14569</v>
      </c>
      <c r="B9040" s="1" t="s">
        <v>2628</v>
      </c>
      <c r="C9040" s="1">
        <v>7</v>
      </c>
      <c r="D9040" s="1" t="s">
        <v>101</v>
      </c>
      <c r="E9040" s="1" t="s">
        <v>6</v>
      </c>
      <c r="F9040" s="1" t="s">
        <v>5091</v>
      </c>
      <c r="G9040" s="14" t="s">
        <v>6145</v>
      </c>
      <c r="H9040" s="1" t="s">
        <v>43</v>
      </c>
      <c r="I9040" s="17">
        <v>40339</v>
      </c>
    </row>
    <row r="9041" spans="1:10">
      <c r="A9041" s="16" t="s">
        <v>14588</v>
      </c>
      <c r="B9041" s="1" t="s">
        <v>2628</v>
      </c>
      <c r="C9041" s="1">
        <v>7</v>
      </c>
      <c r="D9041" s="1" t="s">
        <v>101</v>
      </c>
      <c r="E9041" s="1" t="s">
        <v>6</v>
      </c>
      <c r="F9041" s="1" t="s">
        <v>5091</v>
      </c>
      <c r="G9041" s="14" t="s">
        <v>6186</v>
      </c>
      <c r="H9041" s="1" t="s">
        <v>5</v>
      </c>
      <c r="I9041" s="17">
        <v>43101</v>
      </c>
    </row>
    <row r="9042" spans="1:10">
      <c r="A9042" s="16" t="s">
        <v>14651</v>
      </c>
      <c r="B9042" s="1" t="s">
        <v>2628</v>
      </c>
      <c r="C9042" s="1">
        <v>7</v>
      </c>
      <c r="D9042" s="1" t="s">
        <v>101</v>
      </c>
      <c r="E9042" s="1" t="s">
        <v>6</v>
      </c>
      <c r="F9042" s="1" t="s">
        <v>5091</v>
      </c>
      <c r="G9042" s="14" t="s">
        <v>6145</v>
      </c>
      <c r="H9042" s="1" t="s">
        <v>43</v>
      </c>
      <c r="I9042" s="17">
        <v>43250</v>
      </c>
    </row>
    <row r="9043" spans="1:10">
      <c r="A9043" s="16" t="s">
        <v>14659</v>
      </c>
      <c r="B9043" s="1" t="s">
        <v>2628</v>
      </c>
      <c r="C9043" s="1">
        <v>7</v>
      </c>
      <c r="D9043" s="1" t="s">
        <v>101</v>
      </c>
      <c r="E9043" s="1" t="s">
        <v>6</v>
      </c>
      <c r="F9043" s="1" t="s">
        <v>5091</v>
      </c>
      <c r="G9043" s="14" t="s">
        <v>14660</v>
      </c>
      <c r="H9043" s="1" t="s">
        <v>43</v>
      </c>
      <c r="I9043" s="17">
        <v>39083</v>
      </c>
    </row>
    <row r="9044" spans="1:10">
      <c r="A9044" s="7" t="s">
        <v>14963</v>
      </c>
      <c r="B9044" s="1" t="s">
        <v>2629</v>
      </c>
      <c r="C9044" s="1">
        <v>7</v>
      </c>
      <c r="D9044" s="1" t="s">
        <v>101</v>
      </c>
      <c r="E9044" s="1" t="s">
        <v>6</v>
      </c>
      <c r="F9044" s="1" t="s">
        <v>5241</v>
      </c>
      <c r="G9044" s="1" t="s">
        <v>4803</v>
      </c>
      <c r="H9044" s="1" t="s">
        <v>5</v>
      </c>
      <c r="I9044" s="17">
        <v>42675</v>
      </c>
      <c r="J9044" s="17"/>
    </row>
    <row r="9045" spans="1:10">
      <c r="A9045" s="7" t="s">
        <v>15037</v>
      </c>
      <c r="B9045" s="1" t="s">
        <v>2629</v>
      </c>
      <c r="C9045" s="1">
        <v>7</v>
      </c>
      <c r="D9045" s="1" t="s">
        <v>101</v>
      </c>
      <c r="E9045" s="1" t="s">
        <v>6</v>
      </c>
      <c r="F9045" s="1" t="s">
        <v>5241</v>
      </c>
      <c r="G9045" s="1" t="s">
        <v>4803</v>
      </c>
      <c r="H9045" s="1" t="s">
        <v>5</v>
      </c>
      <c r="I9045" s="17">
        <v>42675</v>
      </c>
      <c r="J9045" s="17"/>
    </row>
    <row r="9046" spans="1:10">
      <c r="A9046" s="7" t="s">
        <v>15255</v>
      </c>
      <c r="B9046" s="1" t="s">
        <v>2629</v>
      </c>
      <c r="C9046" s="1">
        <v>7</v>
      </c>
      <c r="D9046" s="1" t="s">
        <v>101</v>
      </c>
      <c r="E9046" s="1" t="s">
        <v>6</v>
      </c>
      <c r="F9046" s="1" t="s">
        <v>5241</v>
      </c>
      <c r="G9046" s="1" t="s">
        <v>4803</v>
      </c>
      <c r="H9046" s="1" t="s">
        <v>5</v>
      </c>
      <c r="I9046" s="17">
        <v>42401</v>
      </c>
    </row>
    <row r="9047" spans="1:10">
      <c r="A9047" s="16" t="s">
        <v>15588</v>
      </c>
      <c r="B9047" s="1" t="s">
        <v>2628</v>
      </c>
      <c r="C9047" s="1">
        <v>7</v>
      </c>
      <c r="D9047" s="1" t="s">
        <v>101</v>
      </c>
      <c r="E9047" s="1" t="s">
        <v>6</v>
      </c>
      <c r="F9047" s="1" t="s">
        <v>36</v>
      </c>
      <c r="G9047" s="14" t="s">
        <v>15589</v>
      </c>
      <c r="H9047" s="1" t="s">
        <v>5</v>
      </c>
      <c r="I9047" s="17">
        <v>38845</v>
      </c>
    </row>
    <row r="9048" spans="1:10">
      <c r="A9048" s="16" t="s">
        <v>15633</v>
      </c>
      <c r="B9048" s="1" t="s">
        <v>2628</v>
      </c>
      <c r="C9048" s="1">
        <v>7</v>
      </c>
      <c r="D9048" s="1" t="s">
        <v>101</v>
      </c>
      <c r="E9048" s="1" t="s">
        <v>6</v>
      </c>
      <c r="F9048" s="1" t="s">
        <v>5091</v>
      </c>
      <c r="G9048" s="14" t="s">
        <v>6145</v>
      </c>
      <c r="H9048" s="1" t="s">
        <v>43</v>
      </c>
      <c r="I9048" s="17">
        <v>43361</v>
      </c>
    </row>
    <row r="9049" spans="1:10">
      <c r="A9049" s="16" t="s">
        <v>15634</v>
      </c>
      <c r="B9049" s="1" t="s">
        <v>2628</v>
      </c>
      <c r="C9049" s="1">
        <v>7</v>
      </c>
      <c r="D9049" s="1" t="s">
        <v>101</v>
      </c>
      <c r="E9049" s="1" t="s">
        <v>6</v>
      </c>
      <c r="F9049" s="1" t="s">
        <v>5091</v>
      </c>
      <c r="G9049" s="14" t="s">
        <v>6145</v>
      </c>
      <c r="H9049" s="1" t="s">
        <v>43</v>
      </c>
      <c r="I9049" s="17">
        <v>43361</v>
      </c>
    </row>
    <row r="9050" spans="1:10">
      <c r="A9050" s="16" t="s">
        <v>15635</v>
      </c>
      <c r="B9050" s="1" t="s">
        <v>2628</v>
      </c>
      <c r="C9050" s="1">
        <v>7</v>
      </c>
      <c r="D9050" s="1" t="s">
        <v>101</v>
      </c>
      <c r="E9050" s="1" t="s">
        <v>6</v>
      </c>
      <c r="F9050" s="1" t="s">
        <v>5091</v>
      </c>
      <c r="G9050" s="14" t="s">
        <v>6145</v>
      </c>
      <c r="H9050" s="1" t="s">
        <v>43</v>
      </c>
      <c r="I9050" s="17">
        <v>43361</v>
      </c>
    </row>
    <row r="9051" spans="1:10">
      <c r="A9051" s="16" t="s">
        <v>15636</v>
      </c>
      <c r="B9051" s="1" t="s">
        <v>2628</v>
      </c>
      <c r="C9051" s="1">
        <v>7</v>
      </c>
      <c r="D9051" s="1" t="s">
        <v>101</v>
      </c>
      <c r="E9051" s="1" t="s">
        <v>6</v>
      </c>
      <c r="F9051" s="1" t="s">
        <v>5091</v>
      </c>
      <c r="G9051" s="14" t="s">
        <v>6145</v>
      </c>
      <c r="H9051" s="1" t="s">
        <v>43</v>
      </c>
      <c r="I9051" s="17">
        <v>43361</v>
      </c>
    </row>
    <row r="9052" spans="1:10">
      <c r="A9052" s="16" t="s">
        <v>15637</v>
      </c>
      <c r="B9052" s="1" t="s">
        <v>2628</v>
      </c>
      <c r="C9052" s="1">
        <v>7</v>
      </c>
      <c r="D9052" s="1" t="s">
        <v>101</v>
      </c>
      <c r="E9052" s="1" t="s">
        <v>6</v>
      </c>
      <c r="F9052" s="1" t="s">
        <v>5091</v>
      </c>
      <c r="G9052" s="14" t="s">
        <v>6145</v>
      </c>
      <c r="H9052" s="1" t="s">
        <v>43</v>
      </c>
      <c r="I9052" s="17">
        <v>43361</v>
      </c>
    </row>
    <row r="9053" spans="1:10">
      <c r="A9053" s="16" t="s">
        <v>15638</v>
      </c>
      <c r="B9053" s="1" t="s">
        <v>2628</v>
      </c>
      <c r="C9053" s="1">
        <v>7</v>
      </c>
      <c r="D9053" s="1" t="s">
        <v>101</v>
      </c>
      <c r="E9053" s="1" t="s">
        <v>6</v>
      </c>
      <c r="F9053" s="1" t="s">
        <v>5091</v>
      </c>
      <c r="G9053" s="14" t="s">
        <v>6145</v>
      </c>
      <c r="H9053" s="1" t="s">
        <v>43</v>
      </c>
      <c r="I9053" s="17">
        <v>43361</v>
      </c>
    </row>
    <row r="9054" spans="1:10">
      <c r="A9054" s="16" t="s">
        <v>15643</v>
      </c>
      <c r="B9054" s="1" t="s">
        <v>2628</v>
      </c>
      <c r="C9054" s="1">
        <v>7</v>
      </c>
      <c r="D9054" s="1" t="s">
        <v>101</v>
      </c>
      <c r="E9054" s="1" t="s">
        <v>6</v>
      </c>
      <c r="F9054" s="1" t="s">
        <v>5091</v>
      </c>
      <c r="G9054" s="14" t="s">
        <v>6145</v>
      </c>
      <c r="H9054" s="1" t="s">
        <v>43</v>
      </c>
      <c r="I9054" s="17">
        <v>43361</v>
      </c>
    </row>
    <row r="9055" spans="1:10">
      <c r="A9055" s="16" t="s">
        <v>15722</v>
      </c>
      <c r="B9055" s="1" t="s">
        <v>2628</v>
      </c>
      <c r="C9055" s="1">
        <v>7</v>
      </c>
      <c r="D9055" s="1" t="s">
        <v>101</v>
      </c>
      <c r="E9055" s="1" t="s">
        <v>6</v>
      </c>
      <c r="F9055" s="1" t="s">
        <v>5091</v>
      </c>
      <c r="G9055" s="14" t="s">
        <v>6145</v>
      </c>
      <c r="H9055" s="1" t="s">
        <v>43</v>
      </c>
      <c r="I9055" s="17">
        <v>43397</v>
      </c>
    </row>
    <row r="9056" spans="1:10">
      <c r="A9056" s="16" t="s">
        <v>15728</v>
      </c>
      <c r="B9056" s="1" t="s">
        <v>2628</v>
      </c>
      <c r="C9056" s="1">
        <v>7</v>
      </c>
      <c r="D9056" s="1" t="s">
        <v>101</v>
      </c>
      <c r="E9056" s="1" t="s">
        <v>6</v>
      </c>
      <c r="F9056" s="1" t="s">
        <v>5091</v>
      </c>
      <c r="G9056" s="14" t="s">
        <v>6145</v>
      </c>
      <c r="H9056" s="1" t="s">
        <v>43</v>
      </c>
      <c r="I9056" s="17">
        <v>43397</v>
      </c>
    </row>
    <row r="9057" spans="1:10">
      <c r="A9057" s="7" t="s">
        <v>15748</v>
      </c>
      <c r="B9057" s="2" t="s">
        <v>2628</v>
      </c>
      <c r="C9057" s="1">
        <v>7</v>
      </c>
      <c r="D9057" s="1" t="s">
        <v>101</v>
      </c>
      <c r="E9057" s="1" t="s">
        <v>6</v>
      </c>
      <c r="F9057" s="1" t="s">
        <v>5091</v>
      </c>
      <c r="G9057" s="14" t="s">
        <v>15749</v>
      </c>
      <c r="H9057" s="1" t="s">
        <v>5</v>
      </c>
      <c r="I9057" s="1" t="s">
        <v>5801</v>
      </c>
    </row>
    <row r="9058" spans="1:10">
      <c r="A9058" s="7" t="s">
        <v>15750</v>
      </c>
      <c r="B9058" s="2" t="s">
        <v>2628</v>
      </c>
      <c r="C9058" s="1">
        <v>7</v>
      </c>
      <c r="D9058" s="1" t="s">
        <v>101</v>
      </c>
      <c r="E9058" s="1" t="s">
        <v>6</v>
      </c>
      <c r="F9058" s="1" t="s">
        <v>5091</v>
      </c>
      <c r="G9058" s="14" t="s">
        <v>6152</v>
      </c>
      <c r="H9058" s="1" t="s">
        <v>5</v>
      </c>
      <c r="I9058" s="1" t="s">
        <v>5801</v>
      </c>
    </row>
    <row r="9059" spans="1:10">
      <c r="A9059" s="7" t="s">
        <v>15766</v>
      </c>
      <c r="B9059" s="2" t="s">
        <v>2628</v>
      </c>
      <c r="C9059" s="1">
        <v>7</v>
      </c>
      <c r="D9059" s="1" t="s">
        <v>101</v>
      </c>
      <c r="E9059" s="1" t="s">
        <v>6</v>
      </c>
      <c r="F9059" s="1" t="s">
        <v>5091</v>
      </c>
      <c r="G9059" s="14" t="s">
        <v>15749</v>
      </c>
      <c r="H9059" s="1" t="s">
        <v>5</v>
      </c>
      <c r="I9059" s="1" t="s">
        <v>5801</v>
      </c>
    </row>
    <row r="9060" spans="1:10">
      <c r="A9060" s="7" t="s">
        <v>15770</v>
      </c>
      <c r="B9060" s="2" t="s">
        <v>2628</v>
      </c>
      <c r="C9060" s="1">
        <v>7</v>
      </c>
      <c r="D9060" s="1" t="s">
        <v>101</v>
      </c>
      <c r="E9060" s="1" t="s">
        <v>6</v>
      </c>
      <c r="F9060" s="1" t="s">
        <v>5091</v>
      </c>
      <c r="G9060" s="14" t="s">
        <v>15749</v>
      </c>
      <c r="H9060" s="1" t="s">
        <v>5</v>
      </c>
      <c r="I9060" s="1" t="s">
        <v>5801</v>
      </c>
    </row>
    <row r="9061" spans="1:10">
      <c r="A9061" s="7" t="s">
        <v>15771</v>
      </c>
      <c r="B9061" s="2" t="s">
        <v>2628</v>
      </c>
      <c r="C9061" s="1">
        <v>7</v>
      </c>
      <c r="D9061" s="1" t="s">
        <v>101</v>
      </c>
      <c r="E9061" s="1" t="s">
        <v>6</v>
      </c>
      <c r="F9061" s="1" t="s">
        <v>5091</v>
      </c>
      <c r="G9061" s="14" t="s">
        <v>6152</v>
      </c>
      <c r="H9061" s="1" t="s">
        <v>5</v>
      </c>
      <c r="I9061" s="1" t="s">
        <v>5801</v>
      </c>
    </row>
    <row r="9062" spans="1:10">
      <c r="A9062" s="7" t="s">
        <v>15772</v>
      </c>
      <c r="B9062" s="2" t="s">
        <v>2628</v>
      </c>
      <c r="C9062" s="1">
        <v>7</v>
      </c>
      <c r="D9062" s="1" t="s">
        <v>101</v>
      </c>
      <c r="E9062" s="1" t="s">
        <v>6</v>
      </c>
      <c r="F9062" s="1" t="s">
        <v>5091</v>
      </c>
      <c r="G9062" s="14" t="s">
        <v>15749</v>
      </c>
      <c r="H9062" s="1" t="s">
        <v>5</v>
      </c>
      <c r="I9062" s="1" t="s">
        <v>5801</v>
      </c>
    </row>
    <row r="9063" spans="1:10" s="11" customFormat="1">
      <c r="A9063" s="7" t="s">
        <v>15773</v>
      </c>
      <c r="B9063" s="2" t="s">
        <v>2628</v>
      </c>
      <c r="C9063" s="1">
        <v>7</v>
      </c>
      <c r="D9063" s="1" t="s">
        <v>101</v>
      </c>
      <c r="E9063" s="1" t="s">
        <v>6</v>
      </c>
      <c r="F9063" s="1" t="s">
        <v>5091</v>
      </c>
      <c r="G9063" s="14" t="s">
        <v>15749</v>
      </c>
      <c r="H9063" s="1" t="s">
        <v>5</v>
      </c>
      <c r="I9063" s="1" t="s">
        <v>5801</v>
      </c>
      <c r="J9063"/>
    </row>
    <row r="9064" spans="1:10" s="11" customFormat="1">
      <c r="A9064" s="7" t="s">
        <v>15784</v>
      </c>
      <c r="B9064" s="2" t="s">
        <v>2628</v>
      </c>
      <c r="C9064" s="1">
        <v>7</v>
      </c>
      <c r="D9064" s="1" t="s">
        <v>101</v>
      </c>
      <c r="E9064" s="1" t="s">
        <v>6</v>
      </c>
      <c r="F9064" s="1" t="s">
        <v>5091</v>
      </c>
      <c r="G9064" s="14" t="s">
        <v>6145</v>
      </c>
      <c r="H9064" s="1" t="s">
        <v>43</v>
      </c>
      <c r="I9064" s="1" t="s">
        <v>5801</v>
      </c>
      <c r="J9064"/>
    </row>
    <row r="9065" spans="1:10">
      <c r="A9065" s="7" t="s">
        <v>15785</v>
      </c>
      <c r="B9065" s="2" t="s">
        <v>2628</v>
      </c>
      <c r="C9065" s="1">
        <v>7</v>
      </c>
      <c r="D9065" s="1" t="s">
        <v>101</v>
      </c>
      <c r="E9065" s="1" t="s">
        <v>6</v>
      </c>
      <c r="F9065" s="1" t="s">
        <v>5091</v>
      </c>
      <c r="G9065" s="14" t="s">
        <v>6145</v>
      </c>
      <c r="H9065" s="1" t="s">
        <v>43</v>
      </c>
      <c r="I9065" s="1" t="s">
        <v>5801</v>
      </c>
    </row>
    <row r="9066" spans="1:10">
      <c r="A9066" s="7" t="s">
        <v>15786</v>
      </c>
      <c r="B9066" s="2" t="s">
        <v>2628</v>
      </c>
      <c r="C9066" s="1">
        <v>7</v>
      </c>
      <c r="D9066" s="1" t="s">
        <v>101</v>
      </c>
      <c r="E9066" s="1" t="s">
        <v>6</v>
      </c>
      <c r="F9066" s="1" t="s">
        <v>5091</v>
      </c>
      <c r="G9066" s="14" t="s">
        <v>6145</v>
      </c>
      <c r="H9066" s="1" t="s">
        <v>43</v>
      </c>
      <c r="I9066" s="1" t="s">
        <v>5801</v>
      </c>
    </row>
    <row r="9067" spans="1:10">
      <c r="A9067" s="7" t="s">
        <v>15787</v>
      </c>
      <c r="B9067" s="2" t="s">
        <v>2628</v>
      </c>
      <c r="C9067" s="1">
        <v>7</v>
      </c>
      <c r="D9067" s="1" t="s">
        <v>101</v>
      </c>
      <c r="E9067" s="1" t="s">
        <v>6</v>
      </c>
      <c r="F9067" s="1" t="s">
        <v>5091</v>
      </c>
      <c r="G9067" s="14" t="s">
        <v>6145</v>
      </c>
      <c r="H9067" s="1" t="s">
        <v>43</v>
      </c>
      <c r="I9067" s="1" t="s">
        <v>5801</v>
      </c>
    </row>
    <row r="9068" spans="1:10">
      <c r="A9068" s="7" t="s">
        <v>15928</v>
      </c>
      <c r="B9068" s="2" t="s">
        <v>2628</v>
      </c>
      <c r="C9068" s="1">
        <v>7</v>
      </c>
      <c r="D9068" s="1" t="s">
        <v>101</v>
      </c>
      <c r="E9068" s="1" t="s">
        <v>6</v>
      </c>
      <c r="F9068" s="1" t="s">
        <v>5091</v>
      </c>
      <c r="G9068" s="14" t="s">
        <v>6181</v>
      </c>
      <c r="H9068" s="1" t="s">
        <v>4458</v>
      </c>
      <c r="I9068" s="1" t="s">
        <v>5801</v>
      </c>
    </row>
    <row r="9069" spans="1:10" ht="409.6">
      <c r="A9069" s="16" t="s">
        <v>15929</v>
      </c>
      <c r="B9069" s="1" t="s">
        <v>2628</v>
      </c>
      <c r="C9069" s="1">
        <v>7</v>
      </c>
      <c r="D9069" s="1" t="s">
        <v>101</v>
      </c>
      <c r="E9069" s="1" t="s">
        <v>6</v>
      </c>
      <c r="F9069" s="1" t="s">
        <v>5091</v>
      </c>
      <c r="G9069" s="14" t="s">
        <v>4458</v>
      </c>
      <c r="H9069" s="1" t="s">
        <v>118</v>
      </c>
      <c r="I9069" s="17">
        <v>43101</v>
      </c>
    </row>
    <row r="9070" spans="1:10">
      <c r="A9070" s="7" t="s">
        <v>15930</v>
      </c>
      <c r="B9070" s="2" t="s">
        <v>2628</v>
      </c>
      <c r="C9070" s="1">
        <v>7</v>
      </c>
      <c r="D9070" s="1" t="s">
        <v>101</v>
      </c>
      <c r="E9070" s="1" t="s">
        <v>6</v>
      </c>
      <c r="F9070" s="1" t="s">
        <v>5091</v>
      </c>
      <c r="G9070" s="14" t="s">
        <v>6181</v>
      </c>
      <c r="H9070" s="1" t="s">
        <v>4458</v>
      </c>
      <c r="I9070" s="1" t="s">
        <v>5801</v>
      </c>
    </row>
    <row r="9071" spans="1:10">
      <c r="A9071" s="7" t="s">
        <v>15931</v>
      </c>
      <c r="B9071" s="2" t="s">
        <v>2628</v>
      </c>
      <c r="C9071" s="1">
        <v>7</v>
      </c>
      <c r="D9071" s="1" t="s">
        <v>101</v>
      </c>
      <c r="E9071" s="1" t="s">
        <v>6</v>
      </c>
      <c r="F9071" s="1" t="s">
        <v>5091</v>
      </c>
      <c r="G9071" s="14" t="s">
        <v>6181</v>
      </c>
      <c r="H9071" s="1" t="s">
        <v>4458</v>
      </c>
      <c r="I9071" s="1" t="s">
        <v>5801</v>
      </c>
    </row>
    <row r="9072" spans="1:10">
      <c r="A9072" s="7" t="s">
        <v>15932</v>
      </c>
      <c r="B9072" s="2" t="s">
        <v>2628</v>
      </c>
      <c r="C9072" s="1">
        <v>7</v>
      </c>
      <c r="D9072" s="1" t="s">
        <v>101</v>
      </c>
      <c r="E9072" s="1" t="s">
        <v>6</v>
      </c>
      <c r="F9072" s="1" t="s">
        <v>5091</v>
      </c>
      <c r="G9072" s="14" t="s">
        <v>6181</v>
      </c>
      <c r="H9072" s="1" t="s">
        <v>4458</v>
      </c>
      <c r="I9072" s="1" t="s">
        <v>5801</v>
      </c>
    </row>
    <row r="9073" spans="1:9">
      <c r="A9073" s="7" t="s">
        <v>15933</v>
      </c>
      <c r="B9073" s="2" t="s">
        <v>2628</v>
      </c>
      <c r="C9073" s="1">
        <v>7</v>
      </c>
      <c r="D9073" s="1" t="s">
        <v>101</v>
      </c>
      <c r="E9073" s="1" t="s">
        <v>6</v>
      </c>
      <c r="F9073" s="1" t="s">
        <v>5091</v>
      </c>
      <c r="G9073" s="14" t="s">
        <v>6181</v>
      </c>
      <c r="H9073" s="1" t="s">
        <v>4458</v>
      </c>
      <c r="I9073" s="1" t="s">
        <v>5801</v>
      </c>
    </row>
    <row r="9074" spans="1:9">
      <c r="A9074" s="7" t="s">
        <v>15934</v>
      </c>
      <c r="B9074" s="2" t="s">
        <v>2628</v>
      </c>
      <c r="C9074" s="1">
        <v>7</v>
      </c>
      <c r="D9074" s="1" t="s">
        <v>101</v>
      </c>
      <c r="E9074" s="1" t="s">
        <v>6</v>
      </c>
      <c r="F9074" s="1" t="s">
        <v>5091</v>
      </c>
      <c r="G9074" s="14" t="s">
        <v>6181</v>
      </c>
      <c r="H9074" s="1" t="s">
        <v>4458</v>
      </c>
      <c r="I9074" s="1" t="s">
        <v>5801</v>
      </c>
    </row>
    <row r="9075" spans="1:9">
      <c r="A9075" s="7" t="s">
        <v>15935</v>
      </c>
      <c r="B9075" s="2" t="s">
        <v>2628</v>
      </c>
      <c r="C9075" s="1">
        <v>7</v>
      </c>
      <c r="D9075" s="1" t="s">
        <v>101</v>
      </c>
      <c r="E9075" s="1" t="s">
        <v>6</v>
      </c>
      <c r="F9075" s="1" t="s">
        <v>5091</v>
      </c>
      <c r="G9075" s="14" t="s">
        <v>6181</v>
      </c>
      <c r="H9075" s="1" t="s">
        <v>4458</v>
      </c>
      <c r="I9075" s="1" t="s">
        <v>5801</v>
      </c>
    </row>
    <row r="9076" spans="1:9">
      <c r="A9076" s="7" t="s">
        <v>15936</v>
      </c>
      <c r="B9076" s="2" t="s">
        <v>2628</v>
      </c>
      <c r="C9076" s="1">
        <v>7</v>
      </c>
      <c r="D9076" s="1" t="s">
        <v>101</v>
      </c>
      <c r="E9076" s="1" t="s">
        <v>6</v>
      </c>
      <c r="F9076" s="1" t="s">
        <v>5091</v>
      </c>
      <c r="G9076" s="14" t="s">
        <v>6181</v>
      </c>
      <c r="H9076" s="1" t="s">
        <v>4458</v>
      </c>
      <c r="I9076" s="1" t="s">
        <v>5801</v>
      </c>
    </row>
    <row r="9077" spans="1:9">
      <c r="A9077" s="7" t="s">
        <v>15937</v>
      </c>
      <c r="B9077" s="2" t="s">
        <v>2628</v>
      </c>
      <c r="C9077" s="1">
        <v>7</v>
      </c>
      <c r="D9077" s="1" t="s">
        <v>101</v>
      </c>
      <c r="E9077" s="1" t="s">
        <v>6</v>
      </c>
      <c r="F9077" s="1" t="s">
        <v>5091</v>
      </c>
      <c r="G9077" s="14" t="s">
        <v>6181</v>
      </c>
      <c r="H9077" s="1" t="s">
        <v>4458</v>
      </c>
      <c r="I9077" s="1" t="s">
        <v>5801</v>
      </c>
    </row>
    <row r="9078" spans="1:9">
      <c r="A9078" s="7" t="s">
        <v>15938</v>
      </c>
      <c r="B9078" s="2" t="s">
        <v>2628</v>
      </c>
      <c r="C9078" s="1">
        <v>7</v>
      </c>
      <c r="D9078" s="1" t="s">
        <v>101</v>
      </c>
      <c r="E9078" s="1" t="s">
        <v>6</v>
      </c>
      <c r="F9078" s="1" t="s">
        <v>5091</v>
      </c>
      <c r="G9078" s="14" t="s">
        <v>6181</v>
      </c>
      <c r="H9078" s="1" t="s">
        <v>4458</v>
      </c>
      <c r="I9078" s="1" t="s">
        <v>5801</v>
      </c>
    </row>
    <row r="9079" spans="1:9">
      <c r="A9079" s="7" t="s">
        <v>15939</v>
      </c>
      <c r="B9079" s="2" t="s">
        <v>2628</v>
      </c>
      <c r="C9079" s="1">
        <v>7</v>
      </c>
      <c r="D9079" s="1" t="s">
        <v>101</v>
      </c>
      <c r="E9079" s="1" t="s">
        <v>6</v>
      </c>
      <c r="F9079" s="1" t="s">
        <v>5091</v>
      </c>
      <c r="G9079" s="14" t="s">
        <v>6181</v>
      </c>
      <c r="H9079" s="1" t="s">
        <v>4458</v>
      </c>
      <c r="I9079" s="1" t="s">
        <v>5801</v>
      </c>
    </row>
    <row r="9080" spans="1:9">
      <c r="A9080" s="7" t="s">
        <v>15940</v>
      </c>
      <c r="B9080" s="2" t="s">
        <v>2628</v>
      </c>
      <c r="C9080" s="1">
        <v>7</v>
      </c>
      <c r="D9080" s="1" t="s">
        <v>101</v>
      </c>
      <c r="E9080" s="1" t="s">
        <v>6</v>
      </c>
      <c r="F9080" s="1" t="s">
        <v>5091</v>
      </c>
      <c r="G9080" s="14" t="s">
        <v>6181</v>
      </c>
      <c r="H9080" s="1" t="s">
        <v>4458</v>
      </c>
      <c r="I9080" s="1" t="s">
        <v>5801</v>
      </c>
    </row>
    <row r="9081" spans="1:9">
      <c r="A9081" s="7" t="s">
        <v>15941</v>
      </c>
      <c r="B9081" s="2" t="s">
        <v>2628</v>
      </c>
      <c r="C9081" s="1">
        <v>7</v>
      </c>
      <c r="D9081" s="1" t="s">
        <v>101</v>
      </c>
      <c r="E9081" s="1" t="s">
        <v>6</v>
      </c>
      <c r="F9081" s="1" t="s">
        <v>5091</v>
      </c>
      <c r="G9081" s="14" t="s">
        <v>6181</v>
      </c>
      <c r="H9081" s="1" t="s">
        <v>4458</v>
      </c>
      <c r="I9081" s="1" t="s">
        <v>5801</v>
      </c>
    </row>
    <row r="9082" spans="1:9">
      <c r="A9082" s="7" t="s">
        <v>15942</v>
      </c>
      <c r="B9082" s="2" t="s">
        <v>2628</v>
      </c>
      <c r="C9082" s="1">
        <v>7</v>
      </c>
      <c r="D9082" s="1" t="s">
        <v>101</v>
      </c>
      <c r="E9082" s="1" t="s">
        <v>6</v>
      </c>
      <c r="F9082" s="1" t="s">
        <v>5091</v>
      </c>
      <c r="G9082" s="14" t="s">
        <v>6181</v>
      </c>
      <c r="H9082" s="1" t="s">
        <v>4458</v>
      </c>
      <c r="I9082" s="1" t="s">
        <v>5801</v>
      </c>
    </row>
    <row r="9083" spans="1:9">
      <c r="A9083" s="7" t="s">
        <v>15943</v>
      </c>
      <c r="B9083" s="2" t="s">
        <v>2628</v>
      </c>
      <c r="C9083" s="1">
        <v>7</v>
      </c>
      <c r="D9083" s="1" t="s">
        <v>101</v>
      </c>
      <c r="E9083" s="1" t="s">
        <v>6</v>
      </c>
      <c r="F9083" s="1" t="s">
        <v>5091</v>
      </c>
      <c r="G9083" s="14" t="s">
        <v>6181</v>
      </c>
      <c r="H9083" s="1" t="s">
        <v>4458</v>
      </c>
      <c r="I9083" s="1" t="s">
        <v>5801</v>
      </c>
    </row>
    <row r="9084" spans="1:9">
      <c r="A9084" s="7" t="s">
        <v>15944</v>
      </c>
      <c r="B9084" s="2" t="s">
        <v>2628</v>
      </c>
      <c r="C9084" s="1">
        <v>7</v>
      </c>
      <c r="D9084" s="1" t="s">
        <v>101</v>
      </c>
      <c r="E9084" s="1" t="s">
        <v>6</v>
      </c>
      <c r="F9084" s="1" t="s">
        <v>5091</v>
      </c>
      <c r="G9084" s="14" t="s">
        <v>6181</v>
      </c>
      <c r="H9084" s="1" t="s">
        <v>4458</v>
      </c>
      <c r="I9084" s="1" t="s">
        <v>5801</v>
      </c>
    </row>
    <row r="9085" spans="1:9">
      <c r="A9085" s="7" t="s">
        <v>15945</v>
      </c>
      <c r="B9085" s="2" t="s">
        <v>2628</v>
      </c>
      <c r="C9085" s="1">
        <v>7</v>
      </c>
      <c r="D9085" s="1" t="s">
        <v>101</v>
      </c>
      <c r="E9085" s="1" t="s">
        <v>6</v>
      </c>
      <c r="F9085" s="1" t="s">
        <v>5091</v>
      </c>
      <c r="G9085" s="14" t="s">
        <v>6181</v>
      </c>
      <c r="H9085" s="1" t="s">
        <v>4458</v>
      </c>
      <c r="I9085" s="1" t="s">
        <v>5801</v>
      </c>
    </row>
    <row r="9086" spans="1:9">
      <c r="A9086" s="7" t="s">
        <v>15946</v>
      </c>
      <c r="B9086" s="2" t="s">
        <v>2628</v>
      </c>
      <c r="C9086" s="1">
        <v>7</v>
      </c>
      <c r="D9086" s="1" t="s">
        <v>101</v>
      </c>
      <c r="E9086" s="1" t="s">
        <v>6</v>
      </c>
      <c r="F9086" s="1" t="s">
        <v>5091</v>
      </c>
      <c r="G9086" s="14" t="s">
        <v>6181</v>
      </c>
      <c r="H9086" s="1" t="s">
        <v>4458</v>
      </c>
      <c r="I9086" s="1" t="s">
        <v>5801</v>
      </c>
    </row>
    <row r="9087" spans="1:9">
      <c r="A9087" s="7" t="s">
        <v>15947</v>
      </c>
      <c r="B9087" s="2" t="s">
        <v>2628</v>
      </c>
      <c r="C9087" s="1">
        <v>7</v>
      </c>
      <c r="D9087" s="1" t="s">
        <v>101</v>
      </c>
      <c r="E9087" s="1" t="s">
        <v>6</v>
      </c>
      <c r="F9087" s="1" t="s">
        <v>5091</v>
      </c>
      <c r="G9087" s="14" t="s">
        <v>6181</v>
      </c>
      <c r="H9087" s="1" t="s">
        <v>4458</v>
      </c>
      <c r="I9087" s="1" t="s">
        <v>5801</v>
      </c>
    </row>
    <row r="9088" spans="1:9">
      <c r="A9088" s="7" t="s">
        <v>15948</v>
      </c>
      <c r="B9088" s="2" t="s">
        <v>2628</v>
      </c>
      <c r="C9088" s="1">
        <v>7</v>
      </c>
      <c r="D9088" s="1" t="s">
        <v>101</v>
      </c>
      <c r="E9088" s="1" t="s">
        <v>6</v>
      </c>
      <c r="F9088" s="1" t="s">
        <v>5091</v>
      </c>
      <c r="G9088" s="14" t="s">
        <v>6181</v>
      </c>
      <c r="H9088" s="1" t="s">
        <v>4458</v>
      </c>
      <c r="I9088" s="1" t="s">
        <v>5801</v>
      </c>
    </row>
    <row r="9089" spans="1:9">
      <c r="A9089" s="7" t="s">
        <v>15949</v>
      </c>
      <c r="B9089" s="2" t="s">
        <v>2628</v>
      </c>
      <c r="C9089" s="1">
        <v>7</v>
      </c>
      <c r="D9089" s="1" t="s">
        <v>101</v>
      </c>
      <c r="E9089" s="1" t="s">
        <v>6</v>
      </c>
      <c r="F9089" s="1" t="s">
        <v>5091</v>
      </c>
      <c r="G9089" s="14" t="s">
        <v>6181</v>
      </c>
      <c r="H9089" s="1" t="s">
        <v>4458</v>
      </c>
      <c r="I9089" s="1" t="s">
        <v>5801</v>
      </c>
    </row>
    <row r="9090" spans="1:9">
      <c r="A9090" s="7" t="s">
        <v>15950</v>
      </c>
      <c r="B9090" s="2" t="s">
        <v>2628</v>
      </c>
      <c r="C9090" s="1">
        <v>7</v>
      </c>
      <c r="D9090" s="1" t="s">
        <v>101</v>
      </c>
      <c r="E9090" s="1" t="s">
        <v>6</v>
      </c>
      <c r="F9090" s="1" t="s">
        <v>5091</v>
      </c>
      <c r="G9090" s="14" t="s">
        <v>6181</v>
      </c>
      <c r="H9090" s="1" t="s">
        <v>4458</v>
      </c>
      <c r="I9090" s="1" t="s">
        <v>5801</v>
      </c>
    </row>
    <row r="9091" spans="1:9">
      <c r="A9091" s="7" t="s">
        <v>15951</v>
      </c>
      <c r="B9091" s="2" t="s">
        <v>2628</v>
      </c>
      <c r="C9091" s="1">
        <v>7</v>
      </c>
      <c r="D9091" s="1" t="s">
        <v>101</v>
      </c>
      <c r="E9091" s="1" t="s">
        <v>6</v>
      </c>
      <c r="F9091" s="1" t="s">
        <v>5091</v>
      </c>
      <c r="G9091" s="14" t="s">
        <v>6181</v>
      </c>
      <c r="H9091" s="1" t="s">
        <v>4458</v>
      </c>
      <c r="I9091" s="1" t="s">
        <v>5801</v>
      </c>
    </row>
    <row r="9092" spans="1:9">
      <c r="A9092" s="7" t="s">
        <v>15952</v>
      </c>
      <c r="B9092" s="2" t="s">
        <v>2628</v>
      </c>
      <c r="C9092" s="1">
        <v>7</v>
      </c>
      <c r="D9092" s="1" t="s">
        <v>101</v>
      </c>
      <c r="E9092" s="1" t="s">
        <v>6</v>
      </c>
      <c r="F9092" s="1" t="s">
        <v>5091</v>
      </c>
      <c r="G9092" s="14" t="s">
        <v>6181</v>
      </c>
      <c r="H9092" s="1" t="s">
        <v>4458</v>
      </c>
      <c r="I9092" s="1" t="s">
        <v>5801</v>
      </c>
    </row>
    <row r="9093" spans="1:9">
      <c r="A9093" s="7" t="s">
        <v>15953</v>
      </c>
      <c r="B9093" s="2" t="s">
        <v>2628</v>
      </c>
      <c r="C9093" s="1">
        <v>7</v>
      </c>
      <c r="D9093" s="1" t="s">
        <v>101</v>
      </c>
      <c r="E9093" s="1" t="s">
        <v>6</v>
      </c>
      <c r="F9093" s="1" t="s">
        <v>5091</v>
      </c>
      <c r="G9093" s="14" t="s">
        <v>6181</v>
      </c>
      <c r="H9093" s="1" t="s">
        <v>4458</v>
      </c>
      <c r="I9093" s="1" t="s">
        <v>5801</v>
      </c>
    </row>
    <row r="9094" spans="1:9">
      <c r="A9094" s="7" t="s">
        <v>15954</v>
      </c>
      <c r="B9094" s="2" t="s">
        <v>2628</v>
      </c>
      <c r="C9094" s="1">
        <v>7</v>
      </c>
      <c r="D9094" s="1" t="s">
        <v>101</v>
      </c>
      <c r="E9094" s="1" t="s">
        <v>6</v>
      </c>
      <c r="F9094" s="1" t="s">
        <v>5091</v>
      </c>
      <c r="G9094" s="14" t="s">
        <v>6181</v>
      </c>
      <c r="H9094" s="1" t="s">
        <v>4458</v>
      </c>
      <c r="I9094" s="1" t="s">
        <v>5801</v>
      </c>
    </row>
    <row r="9095" spans="1:9">
      <c r="A9095" s="7" t="s">
        <v>15955</v>
      </c>
      <c r="B9095" s="2" t="s">
        <v>2628</v>
      </c>
      <c r="C9095" s="1">
        <v>7</v>
      </c>
      <c r="D9095" s="1" t="s">
        <v>101</v>
      </c>
      <c r="E9095" s="1" t="s">
        <v>6</v>
      </c>
      <c r="F9095" s="1" t="s">
        <v>5091</v>
      </c>
      <c r="G9095" s="14" t="s">
        <v>6181</v>
      </c>
      <c r="H9095" s="1" t="s">
        <v>4458</v>
      </c>
      <c r="I9095" s="1" t="s">
        <v>5801</v>
      </c>
    </row>
    <row r="9096" spans="1:9">
      <c r="A9096" s="7" t="s">
        <v>15956</v>
      </c>
      <c r="B9096" s="2" t="s">
        <v>2628</v>
      </c>
      <c r="C9096" s="1">
        <v>7</v>
      </c>
      <c r="D9096" s="1" t="s">
        <v>101</v>
      </c>
      <c r="E9096" s="1" t="s">
        <v>6</v>
      </c>
      <c r="F9096" s="1" t="s">
        <v>5091</v>
      </c>
      <c r="G9096" s="14" t="s">
        <v>6181</v>
      </c>
      <c r="H9096" s="1" t="s">
        <v>4458</v>
      </c>
      <c r="I9096" s="1" t="s">
        <v>5801</v>
      </c>
    </row>
    <row r="9097" spans="1:9">
      <c r="A9097" s="7" t="s">
        <v>15957</v>
      </c>
      <c r="B9097" s="2" t="s">
        <v>2628</v>
      </c>
      <c r="C9097" s="1">
        <v>7</v>
      </c>
      <c r="D9097" s="1" t="s">
        <v>101</v>
      </c>
      <c r="E9097" s="1" t="s">
        <v>6</v>
      </c>
      <c r="F9097" s="1" t="s">
        <v>5091</v>
      </c>
      <c r="G9097" s="14" t="s">
        <v>6181</v>
      </c>
      <c r="H9097" s="1" t="s">
        <v>4458</v>
      </c>
      <c r="I9097" s="1" t="s">
        <v>5801</v>
      </c>
    </row>
    <row r="9098" spans="1:9">
      <c r="A9098" s="7" t="s">
        <v>15958</v>
      </c>
      <c r="B9098" s="2" t="s">
        <v>2628</v>
      </c>
      <c r="C9098" s="1">
        <v>7</v>
      </c>
      <c r="D9098" s="1" t="s">
        <v>101</v>
      </c>
      <c r="E9098" s="1" t="s">
        <v>6</v>
      </c>
      <c r="F9098" s="1" t="s">
        <v>5091</v>
      </c>
      <c r="G9098" s="14" t="s">
        <v>6181</v>
      </c>
      <c r="H9098" s="1" t="s">
        <v>4458</v>
      </c>
      <c r="I9098" s="1" t="s">
        <v>5801</v>
      </c>
    </row>
    <row r="9099" spans="1:9">
      <c r="A9099" s="7" t="s">
        <v>15959</v>
      </c>
      <c r="B9099" s="2" t="s">
        <v>2628</v>
      </c>
      <c r="C9099" s="1">
        <v>7</v>
      </c>
      <c r="D9099" s="1" t="s">
        <v>101</v>
      </c>
      <c r="E9099" s="1" t="s">
        <v>6</v>
      </c>
      <c r="F9099" s="1" t="s">
        <v>5091</v>
      </c>
      <c r="G9099" s="14" t="s">
        <v>6181</v>
      </c>
      <c r="H9099" s="1" t="s">
        <v>4458</v>
      </c>
      <c r="I9099" s="1" t="s">
        <v>5801</v>
      </c>
    </row>
    <row r="9100" spans="1:9">
      <c r="A9100" s="7" t="s">
        <v>15960</v>
      </c>
      <c r="B9100" s="2" t="s">
        <v>2628</v>
      </c>
      <c r="C9100" s="1">
        <v>7</v>
      </c>
      <c r="D9100" s="1" t="s">
        <v>101</v>
      </c>
      <c r="E9100" s="1" t="s">
        <v>6</v>
      </c>
      <c r="F9100" s="1" t="s">
        <v>5091</v>
      </c>
      <c r="G9100" s="14" t="s">
        <v>6181</v>
      </c>
      <c r="H9100" s="1" t="s">
        <v>4458</v>
      </c>
      <c r="I9100" s="1" t="s">
        <v>5801</v>
      </c>
    </row>
    <row r="9101" spans="1:9">
      <c r="A9101" s="7" t="s">
        <v>15961</v>
      </c>
      <c r="B9101" s="2" t="s">
        <v>2628</v>
      </c>
      <c r="C9101" s="1">
        <v>7</v>
      </c>
      <c r="D9101" s="1" t="s">
        <v>101</v>
      </c>
      <c r="E9101" s="1" t="s">
        <v>6</v>
      </c>
      <c r="F9101" s="1" t="s">
        <v>5091</v>
      </c>
      <c r="G9101" s="14" t="s">
        <v>6181</v>
      </c>
      <c r="H9101" s="1" t="s">
        <v>4458</v>
      </c>
      <c r="I9101" s="1" t="s">
        <v>5801</v>
      </c>
    </row>
    <row r="9102" spans="1:9">
      <c r="A9102" s="7" t="s">
        <v>15963</v>
      </c>
      <c r="B9102" s="2" t="s">
        <v>2628</v>
      </c>
      <c r="C9102" s="1">
        <v>7</v>
      </c>
      <c r="D9102" s="1" t="s">
        <v>101</v>
      </c>
      <c r="E9102" s="1" t="s">
        <v>6</v>
      </c>
      <c r="F9102" s="1" t="s">
        <v>5091</v>
      </c>
      <c r="G9102" s="14" t="s">
        <v>6181</v>
      </c>
      <c r="H9102" s="1" t="s">
        <v>4458</v>
      </c>
      <c r="I9102" s="1" t="s">
        <v>5801</v>
      </c>
    </row>
    <row r="9103" spans="1:9">
      <c r="A9103" s="7" t="s">
        <v>15964</v>
      </c>
      <c r="B9103" s="2" t="s">
        <v>2628</v>
      </c>
      <c r="C9103" s="1">
        <v>7</v>
      </c>
      <c r="D9103" s="1" t="s">
        <v>101</v>
      </c>
      <c r="E9103" s="1" t="s">
        <v>6</v>
      </c>
      <c r="F9103" s="1" t="s">
        <v>5091</v>
      </c>
      <c r="G9103" s="14" t="s">
        <v>6181</v>
      </c>
      <c r="H9103" s="1" t="s">
        <v>4458</v>
      </c>
      <c r="I9103" s="1" t="s">
        <v>5801</v>
      </c>
    </row>
    <row r="9104" spans="1:9">
      <c r="A9104" s="7" t="s">
        <v>15965</v>
      </c>
      <c r="B9104" s="2" t="s">
        <v>2628</v>
      </c>
      <c r="C9104" s="1">
        <v>7</v>
      </c>
      <c r="D9104" s="1" t="s">
        <v>101</v>
      </c>
      <c r="E9104" s="1" t="s">
        <v>6</v>
      </c>
      <c r="F9104" s="1" t="s">
        <v>5091</v>
      </c>
      <c r="G9104" s="14" t="s">
        <v>6181</v>
      </c>
      <c r="H9104" s="1" t="s">
        <v>4458</v>
      </c>
      <c r="I9104" s="1" t="s">
        <v>5801</v>
      </c>
    </row>
    <row r="9105" spans="1:9">
      <c r="A9105" s="7" t="s">
        <v>15966</v>
      </c>
      <c r="B9105" s="2" t="s">
        <v>2628</v>
      </c>
      <c r="C9105" s="1">
        <v>7</v>
      </c>
      <c r="D9105" s="1" t="s">
        <v>101</v>
      </c>
      <c r="E9105" s="1" t="s">
        <v>6</v>
      </c>
      <c r="F9105" s="1" t="s">
        <v>5091</v>
      </c>
      <c r="G9105" s="14" t="s">
        <v>6181</v>
      </c>
      <c r="H9105" s="1" t="s">
        <v>4458</v>
      </c>
      <c r="I9105" s="1" t="s">
        <v>5801</v>
      </c>
    </row>
    <row r="9106" spans="1:9">
      <c r="A9106" s="7" t="s">
        <v>15967</v>
      </c>
      <c r="B9106" s="2" t="s">
        <v>2628</v>
      </c>
      <c r="C9106" s="1">
        <v>7</v>
      </c>
      <c r="D9106" s="1" t="s">
        <v>101</v>
      </c>
      <c r="E9106" s="1" t="s">
        <v>6</v>
      </c>
      <c r="F9106" s="1" t="s">
        <v>5091</v>
      </c>
      <c r="G9106" s="14" t="s">
        <v>6181</v>
      </c>
      <c r="H9106" s="1" t="s">
        <v>4458</v>
      </c>
      <c r="I9106" s="1" t="s">
        <v>5801</v>
      </c>
    </row>
    <row r="9107" spans="1:9">
      <c r="A9107" s="7" t="s">
        <v>15968</v>
      </c>
      <c r="B9107" s="2" t="s">
        <v>2628</v>
      </c>
      <c r="C9107" s="1">
        <v>7</v>
      </c>
      <c r="D9107" s="1" t="s">
        <v>101</v>
      </c>
      <c r="E9107" s="1" t="s">
        <v>6</v>
      </c>
      <c r="F9107" s="1" t="s">
        <v>5091</v>
      </c>
      <c r="G9107" s="14" t="s">
        <v>6181</v>
      </c>
      <c r="H9107" s="1" t="s">
        <v>4458</v>
      </c>
      <c r="I9107" s="1" t="s">
        <v>5801</v>
      </c>
    </row>
    <row r="9108" spans="1:9">
      <c r="A9108" s="7" t="s">
        <v>15969</v>
      </c>
      <c r="B9108" s="2" t="s">
        <v>2628</v>
      </c>
      <c r="C9108" s="1">
        <v>7</v>
      </c>
      <c r="D9108" s="1" t="s">
        <v>101</v>
      </c>
      <c r="E9108" s="1" t="s">
        <v>6</v>
      </c>
      <c r="F9108" s="1" t="s">
        <v>5091</v>
      </c>
      <c r="G9108" s="14" t="s">
        <v>6181</v>
      </c>
      <c r="H9108" s="1" t="s">
        <v>4458</v>
      </c>
      <c r="I9108" s="1" t="s">
        <v>5801</v>
      </c>
    </row>
    <row r="9109" spans="1:9">
      <c r="A9109" s="7" t="s">
        <v>15970</v>
      </c>
      <c r="B9109" s="2" t="s">
        <v>2628</v>
      </c>
      <c r="C9109" s="1">
        <v>7</v>
      </c>
      <c r="D9109" s="1" t="s">
        <v>101</v>
      </c>
      <c r="E9109" s="1" t="s">
        <v>6</v>
      </c>
      <c r="F9109" s="1" t="s">
        <v>5091</v>
      </c>
      <c r="G9109" s="14" t="s">
        <v>6181</v>
      </c>
      <c r="H9109" s="1" t="s">
        <v>4458</v>
      </c>
      <c r="I9109" s="1" t="s">
        <v>5801</v>
      </c>
    </row>
    <row r="9110" spans="1:9">
      <c r="A9110" s="7" t="s">
        <v>15971</v>
      </c>
      <c r="B9110" s="2" t="s">
        <v>2628</v>
      </c>
      <c r="C9110" s="1">
        <v>7</v>
      </c>
      <c r="D9110" s="1" t="s">
        <v>101</v>
      </c>
      <c r="E9110" s="1" t="s">
        <v>6</v>
      </c>
      <c r="F9110" s="1" t="s">
        <v>5091</v>
      </c>
      <c r="G9110" s="14" t="s">
        <v>6181</v>
      </c>
      <c r="H9110" s="1" t="s">
        <v>4458</v>
      </c>
      <c r="I9110" s="1" t="s">
        <v>5801</v>
      </c>
    </row>
    <row r="9111" spans="1:9">
      <c r="A9111" s="7" t="s">
        <v>15972</v>
      </c>
      <c r="B9111" s="2" t="s">
        <v>2628</v>
      </c>
      <c r="C9111" s="1">
        <v>7</v>
      </c>
      <c r="D9111" s="1" t="s">
        <v>101</v>
      </c>
      <c r="E9111" s="1" t="s">
        <v>6</v>
      </c>
      <c r="F9111" s="1" t="s">
        <v>5091</v>
      </c>
      <c r="G9111" s="14" t="s">
        <v>6181</v>
      </c>
      <c r="H9111" s="1" t="s">
        <v>4458</v>
      </c>
      <c r="I9111" s="1" t="s">
        <v>5801</v>
      </c>
    </row>
    <row r="9112" spans="1:9">
      <c r="A9112" s="7" t="s">
        <v>15973</v>
      </c>
      <c r="B9112" s="2" t="s">
        <v>2628</v>
      </c>
      <c r="C9112" s="1">
        <v>7</v>
      </c>
      <c r="D9112" s="1" t="s">
        <v>101</v>
      </c>
      <c r="E9112" s="1" t="s">
        <v>6</v>
      </c>
      <c r="F9112" s="1" t="s">
        <v>5091</v>
      </c>
      <c r="G9112" s="14" t="s">
        <v>6181</v>
      </c>
      <c r="H9112" s="1" t="s">
        <v>4458</v>
      </c>
      <c r="I9112" s="1" t="s">
        <v>5801</v>
      </c>
    </row>
    <row r="9113" spans="1:9">
      <c r="A9113" s="7" t="s">
        <v>15974</v>
      </c>
      <c r="B9113" s="2" t="s">
        <v>2628</v>
      </c>
      <c r="C9113" s="1">
        <v>7</v>
      </c>
      <c r="D9113" s="1" t="s">
        <v>101</v>
      </c>
      <c r="E9113" s="1" t="s">
        <v>6</v>
      </c>
      <c r="F9113" s="1" t="s">
        <v>5091</v>
      </c>
      <c r="G9113" s="14" t="s">
        <v>6181</v>
      </c>
      <c r="H9113" s="1" t="s">
        <v>4458</v>
      </c>
      <c r="I9113" s="1" t="s">
        <v>5801</v>
      </c>
    </row>
    <row r="9114" spans="1:9">
      <c r="A9114" s="7" t="s">
        <v>15975</v>
      </c>
      <c r="B9114" s="2" t="s">
        <v>2628</v>
      </c>
      <c r="C9114" s="1">
        <v>7</v>
      </c>
      <c r="D9114" s="1" t="s">
        <v>101</v>
      </c>
      <c r="E9114" s="1" t="s">
        <v>6</v>
      </c>
      <c r="F9114" s="1" t="s">
        <v>5091</v>
      </c>
      <c r="G9114" s="14" t="s">
        <v>6181</v>
      </c>
      <c r="H9114" s="1" t="s">
        <v>4458</v>
      </c>
      <c r="I9114" s="1" t="s">
        <v>5801</v>
      </c>
    </row>
    <row r="9115" spans="1:9">
      <c r="A9115" s="7" t="s">
        <v>15976</v>
      </c>
      <c r="B9115" s="2" t="s">
        <v>2628</v>
      </c>
      <c r="C9115" s="1">
        <v>7</v>
      </c>
      <c r="D9115" s="1" t="s">
        <v>101</v>
      </c>
      <c r="E9115" s="1" t="s">
        <v>6</v>
      </c>
      <c r="F9115" s="1" t="s">
        <v>5091</v>
      </c>
      <c r="G9115" s="14" t="s">
        <v>6181</v>
      </c>
      <c r="H9115" s="1" t="s">
        <v>4458</v>
      </c>
      <c r="I9115" s="1" t="s">
        <v>5801</v>
      </c>
    </row>
    <row r="9116" spans="1:9">
      <c r="A9116" s="7" t="s">
        <v>15977</v>
      </c>
      <c r="B9116" s="2" t="s">
        <v>2628</v>
      </c>
      <c r="C9116" s="1">
        <v>7</v>
      </c>
      <c r="D9116" s="1" t="s">
        <v>101</v>
      </c>
      <c r="E9116" s="1" t="s">
        <v>6</v>
      </c>
      <c r="F9116" s="1" t="s">
        <v>5091</v>
      </c>
      <c r="G9116" s="14" t="s">
        <v>6181</v>
      </c>
      <c r="H9116" s="1" t="s">
        <v>4458</v>
      </c>
      <c r="I9116" s="1" t="s">
        <v>5801</v>
      </c>
    </row>
    <row r="9117" spans="1:9">
      <c r="A9117" s="7" t="s">
        <v>15978</v>
      </c>
      <c r="B9117" s="2" t="s">
        <v>2628</v>
      </c>
      <c r="C9117" s="1">
        <v>7</v>
      </c>
      <c r="D9117" s="1" t="s">
        <v>101</v>
      </c>
      <c r="E9117" s="1" t="s">
        <v>6</v>
      </c>
      <c r="F9117" s="1" t="s">
        <v>5091</v>
      </c>
      <c r="G9117" s="14" t="s">
        <v>6181</v>
      </c>
      <c r="H9117" s="1" t="s">
        <v>4458</v>
      </c>
      <c r="I9117" s="1" t="s">
        <v>5801</v>
      </c>
    </row>
    <row r="9118" spans="1:9">
      <c r="A9118" s="7" t="s">
        <v>15979</v>
      </c>
      <c r="B9118" s="2" t="s">
        <v>2628</v>
      </c>
      <c r="C9118" s="1">
        <v>7</v>
      </c>
      <c r="D9118" s="1" t="s">
        <v>101</v>
      </c>
      <c r="E9118" s="1" t="s">
        <v>6</v>
      </c>
      <c r="F9118" s="1" t="s">
        <v>5091</v>
      </c>
      <c r="G9118" s="22" t="s">
        <v>6181</v>
      </c>
      <c r="H9118" s="2" t="s">
        <v>118</v>
      </c>
      <c r="I9118" s="1" t="s">
        <v>4458</v>
      </c>
    </row>
    <row r="9119" spans="1:9">
      <c r="A9119" s="7" t="s">
        <v>15980</v>
      </c>
      <c r="B9119" s="2" t="s">
        <v>2628</v>
      </c>
      <c r="C9119" s="1">
        <v>7</v>
      </c>
      <c r="D9119" s="1" t="s">
        <v>101</v>
      </c>
      <c r="E9119" s="1" t="s">
        <v>6</v>
      </c>
      <c r="F9119" s="1" t="s">
        <v>5091</v>
      </c>
      <c r="G9119" s="22" t="s">
        <v>6181</v>
      </c>
      <c r="H9119" s="2" t="s">
        <v>118</v>
      </c>
      <c r="I9119" s="1" t="s">
        <v>4458</v>
      </c>
    </row>
    <row r="9120" spans="1:9">
      <c r="A9120" s="7" t="s">
        <v>16000</v>
      </c>
      <c r="B9120" s="2" t="s">
        <v>2628</v>
      </c>
      <c r="C9120" s="1">
        <v>7</v>
      </c>
      <c r="D9120" s="1" t="s">
        <v>101</v>
      </c>
      <c r="E9120" s="1" t="s">
        <v>6</v>
      </c>
      <c r="F9120" s="1" t="s">
        <v>5091</v>
      </c>
      <c r="G9120" s="22" t="s">
        <v>6181</v>
      </c>
      <c r="H9120" s="2" t="s">
        <v>118</v>
      </c>
      <c r="I9120" s="1" t="s">
        <v>4458</v>
      </c>
    </row>
    <row r="9121" spans="1:9">
      <c r="A9121" s="7" t="s">
        <v>16002</v>
      </c>
      <c r="B9121" s="2" t="s">
        <v>2628</v>
      </c>
      <c r="C9121" s="1">
        <v>7</v>
      </c>
      <c r="D9121" s="1" t="s">
        <v>101</v>
      </c>
      <c r="E9121" s="1" t="s">
        <v>6</v>
      </c>
      <c r="F9121" s="1" t="s">
        <v>5091</v>
      </c>
      <c r="G9121" s="14" t="s">
        <v>6307</v>
      </c>
      <c r="H9121" s="1" t="s">
        <v>44</v>
      </c>
      <c r="I9121" s="17" t="s">
        <v>5807</v>
      </c>
    </row>
    <row r="9122" spans="1:9">
      <c r="A9122" s="7" t="s">
        <v>16004</v>
      </c>
      <c r="B9122" s="2" t="s">
        <v>2628</v>
      </c>
      <c r="C9122" s="1">
        <v>7</v>
      </c>
      <c r="D9122" s="1" t="s">
        <v>101</v>
      </c>
      <c r="E9122" s="1" t="s">
        <v>6</v>
      </c>
      <c r="F9122" s="1" t="s">
        <v>5091</v>
      </c>
      <c r="G9122" s="14" t="s">
        <v>6307</v>
      </c>
      <c r="H9122" s="1" t="s">
        <v>44</v>
      </c>
      <c r="I9122" s="17" t="s">
        <v>5807</v>
      </c>
    </row>
    <row r="9123" spans="1:9">
      <c r="A9123" s="7" t="s">
        <v>16005</v>
      </c>
      <c r="B9123" s="2" t="s">
        <v>2628</v>
      </c>
      <c r="C9123" s="1">
        <v>7</v>
      </c>
      <c r="D9123" s="1" t="s">
        <v>101</v>
      </c>
      <c r="E9123" s="1" t="s">
        <v>6</v>
      </c>
      <c r="F9123" s="1" t="s">
        <v>5091</v>
      </c>
      <c r="G9123" s="14" t="s">
        <v>6307</v>
      </c>
      <c r="H9123" s="1" t="s">
        <v>44</v>
      </c>
      <c r="I9123" s="17" t="s">
        <v>5807</v>
      </c>
    </row>
    <row r="9124" spans="1:9">
      <c r="A9124" s="7" t="s">
        <v>16006</v>
      </c>
      <c r="B9124" s="2" t="s">
        <v>2628</v>
      </c>
      <c r="C9124" s="1">
        <v>7</v>
      </c>
      <c r="D9124" s="1" t="s">
        <v>101</v>
      </c>
      <c r="E9124" s="1" t="s">
        <v>6</v>
      </c>
      <c r="F9124" s="1" t="s">
        <v>5091</v>
      </c>
      <c r="G9124" s="14" t="s">
        <v>6307</v>
      </c>
      <c r="H9124" s="1" t="s">
        <v>44</v>
      </c>
      <c r="I9124" s="17" t="s">
        <v>5807</v>
      </c>
    </row>
    <row r="9125" spans="1:9">
      <c r="A9125" s="7" t="s">
        <v>16007</v>
      </c>
      <c r="B9125" s="2" t="s">
        <v>2628</v>
      </c>
      <c r="C9125" s="1">
        <v>7</v>
      </c>
      <c r="D9125" s="1" t="s">
        <v>101</v>
      </c>
      <c r="E9125" s="1" t="s">
        <v>6</v>
      </c>
      <c r="F9125" s="1" t="s">
        <v>5091</v>
      </c>
      <c r="G9125" s="14" t="s">
        <v>6307</v>
      </c>
      <c r="H9125" s="1" t="s">
        <v>44</v>
      </c>
      <c r="I9125" s="17" t="s">
        <v>5807</v>
      </c>
    </row>
    <row r="9126" spans="1:9">
      <c r="A9126" s="7" t="s">
        <v>16008</v>
      </c>
      <c r="B9126" s="2" t="s">
        <v>2628</v>
      </c>
      <c r="C9126" s="1">
        <v>7</v>
      </c>
      <c r="D9126" s="1" t="s">
        <v>101</v>
      </c>
      <c r="E9126" s="1" t="s">
        <v>6</v>
      </c>
      <c r="F9126" s="1" t="s">
        <v>5091</v>
      </c>
      <c r="G9126" s="14" t="s">
        <v>6307</v>
      </c>
      <c r="H9126" s="1" t="s">
        <v>44</v>
      </c>
      <c r="I9126" s="17" t="s">
        <v>5807</v>
      </c>
    </row>
    <row r="9127" spans="1:9">
      <c r="A9127" s="7" t="s">
        <v>16009</v>
      </c>
      <c r="B9127" s="2" t="s">
        <v>2628</v>
      </c>
      <c r="C9127" s="1">
        <v>7</v>
      </c>
      <c r="D9127" s="1" t="s">
        <v>101</v>
      </c>
      <c r="E9127" s="1" t="s">
        <v>6</v>
      </c>
      <c r="F9127" s="1" t="s">
        <v>5091</v>
      </c>
      <c r="G9127" s="14" t="s">
        <v>6307</v>
      </c>
      <c r="H9127" s="1" t="s">
        <v>44</v>
      </c>
      <c r="I9127" s="17" t="s">
        <v>5807</v>
      </c>
    </row>
    <row r="9128" spans="1:9">
      <c r="A9128" s="7" t="s">
        <v>16010</v>
      </c>
      <c r="B9128" s="2" t="s">
        <v>2628</v>
      </c>
      <c r="C9128" s="1">
        <v>7</v>
      </c>
      <c r="D9128" s="1" t="s">
        <v>101</v>
      </c>
      <c r="E9128" s="1" t="s">
        <v>6</v>
      </c>
      <c r="F9128" s="1" t="s">
        <v>5091</v>
      </c>
      <c r="G9128" s="14" t="s">
        <v>6307</v>
      </c>
      <c r="H9128" s="1" t="s">
        <v>44</v>
      </c>
      <c r="I9128" s="17" t="s">
        <v>5807</v>
      </c>
    </row>
    <row r="9129" spans="1:9">
      <c r="A9129" s="7" t="s">
        <v>16038</v>
      </c>
      <c r="B9129" s="2" t="s">
        <v>2628</v>
      </c>
      <c r="C9129" s="1">
        <v>7</v>
      </c>
      <c r="D9129" s="1" t="s">
        <v>101</v>
      </c>
      <c r="E9129" s="1" t="s">
        <v>6</v>
      </c>
      <c r="F9129" s="1" t="s">
        <v>5091</v>
      </c>
      <c r="G9129" s="14" t="s">
        <v>6307</v>
      </c>
      <c r="H9129" s="1" t="s">
        <v>44</v>
      </c>
      <c r="I9129" s="17" t="s">
        <v>5807</v>
      </c>
    </row>
    <row r="9130" spans="1:9">
      <c r="A9130" s="7" t="s">
        <v>16040</v>
      </c>
      <c r="B9130" s="2" t="s">
        <v>2628</v>
      </c>
      <c r="C9130" s="1">
        <v>7</v>
      </c>
      <c r="D9130" s="1" t="s">
        <v>101</v>
      </c>
      <c r="E9130" s="1" t="s">
        <v>6</v>
      </c>
      <c r="F9130" s="1" t="s">
        <v>5091</v>
      </c>
      <c r="G9130" s="14" t="s">
        <v>6307</v>
      </c>
      <c r="H9130" s="1" t="s">
        <v>44</v>
      </c>
      <c r="I9130" s="17" t="s">
        <v>5807</v>
      </c>
    </row>
    <row r="9131" spans="1:9">
      <c r="A9131" s="7" t="s">
        <v>16041</v>
      </c>
      <c r="B9131" s="2" t="s">
        <v>2628</v>
      </c>
      <c r="C9131" s="1">
        <v>7</v>
      </c>
      <c r="D9131" s="1" t="s">
        <v>101</v>
      </c>
      <c r="E9131" s="1" t="s">
        <v>6</v>
      </c>
      <c r="F9131" s="1" t="s">
        <v>5091</v>
      </c>
      <c r="G9131" s="14" t="s">
        <v>6307</v>
      </c>
      <c r="H9131" s="1" t="s">
        <v>44</v>
      </c>
      <c r="I9131" s="17" t="s">
        <v>5807</v>
      </c>
    </row>
    <row r="9132" spans="1:9">
      <c r="A9132" s="7" t="s">
        <v>16042</v>
      </c>
      <c r="B9132" s="2" t="s">
        <v>2628</v>
      </c>
      <c r="C9132" s="1">
        <v>7</v>
      </c>
      <c r="D9132" s="1" t="s">
        <v>101</v>
      </c>
      <c r="E9132" s="1" t="s">
        <v>6</v>
      </c>
      <c r="F9132" s="1" t="s">
        <v>5091</v>
      </c>
      <c r="G9132" s="14" t="s">
        <v>6307</v>
      </c>
      <c r="H9132" s="1" t="s">
        <v>44</v>
      </c>
      <c r="I9132" s="17" t="s">
        <v>5807</v>
      </c>
    </row>
    <row r="9133" spans="1:9">
      <c r="A9133" s="7" t="s">
        <v>16050</v>
      </c>
      <c r="B9133" s="2" t="s">
        <v>2628</v>
      </c>
      <c r="C9133" s="1">
        <v>7</v>
      </c>
      <c r="D9133" s="1" t="s">
        <v>101</v>
      </c>
      <c r="E9133" s="1" t="s">
        <v>6</v>
      </c>
      <c r="F9133" s="1" t="s">
        <v>5091</v>
      </c>
      <c r="G9133" s="14" t="s">
        <v>6139</v>
      </c>
      <c r="H9133" s="1" t="s">
        <v>43</v>
      </c>
      <c r="I9133" s="1" t="s">
        <v>5807</v>
      </c>
    </row>
    <row r="9134" spans="1:9">
      <c r="A9134" s="7" t="s">
        <v>16052</v>
      </c>
      <c r="B9134" s="2" t="s">
        <v>2628</v>
      </c>
      <c r="C9134" s="1">
        <v>7</v>
      </c>
      <c r="D9134" s="1" t="s">
        <v>101</v>
      </c>
      <c r="E9134" s="1" t="s">
        <v>6</v>
      </c>
      <c r="F9134" s="1" t="s">
        <v>5091</v>
      </c>
      <c r="G9134" s="14" t="s">
        <v>6139</v>
      </c>
      <c r="H9134" s="1" t="s">
        <v>43</v>
      </c>
      <c r="I9134" s="1" t="s">
        <v>5807</v>
      </c>
    </row>
    <row r="9135" spans="1:9">
      <c r="A9135" s="7" t="s">
        <v>16053</v>
      </c>
      <c r="B9135" s="2" t="s">
        <v>2628</v>
      </c>
      <c r="C9135" s="1">
        <v>7</v>
      </c>
      <c r="D9135" s="1" t="s">
        <v>101</v>
      </c>
      <c r="E9135" s="1" t="s">
        <v>6</v>
      </c>
      <c r="F9135" s="1" t="s">
        <v>5091</v>
      </c>
      <c r="G9135" s="14" t="s">
        <v>6139</v>
      </c>
      <c r="H9135" s="1" t="s">
        <v>43</v>
      </c>
      <c r="I9135" s="1" t="s">
        <v>5807</v>
      </c>
    </row>
    <row r="9136" spans="1:9">
      <c r="A9136" s="7" t="s">
        <v>16054</v>
      </c>
      <c r="B9136" s="2" t="s">
        <v>2628</v>
      </c>
      <c r="C9136" s="1">
        <v>7</v>
      </c>
      <c r="D9136" s="1" t="s">
        <v>101</v>
      </c>
      <c r="E9136" s="1" t="s">
        <v>6</v>
      </c>
      <c r="F9136" s="1" t="s">
        <v>5091</v>
      </c>
      <c r="G9136" s="14" t="s">
        <v>6139</v>
      </c>
      <c r="H9136" s="1" t="s">
        <v>43</v>
      </c>
      <c r="I9136" s="1" t="s">
        <v>5807</v>
      </c>
    </row>
    <row r="9137" spans="1:10">
      <c r="A9137" s="7" t="s">
        <v>16055</v>
      </c>
      <c r="B9137" s="2" t="s">
        <v>2628</v>
      </c>
      <c r="C9137" s="1">
        <v>7</v>
      </c>
      <c r="D9137" s="1" t="s">
        <v>101</v>
      </c>
      <c r="E9137" s="1" t="s">
        <v>6</v>
      </c>
      <c r="F9137" s="1" t="s">
        <v>5091</v>
      </c>
      <c r="G9137" s="14" t="s">
        <v>6139</v>
      </c>
      <c r="H9137" s="1" t="s">
        <v>43</v>
      </c>
      <c r="I9137" s="1" t="s">
        <v>5807</v>
      </c>
    </row>
    <row r="9138" spans="1:10">
      <c r="A9138" s="7" t="s">
        <v>16059</v>
      </c>
      <c r="B9138" s="2" t="s">
        <v>2628</v>
      </c>
      <c r="C9138" s="1">
        <v>7</v>
      </c>
      <c r="D9138" s="1" t="s">
        <v>101</v>
      </c>
      <c r="E9138" s="1" t="s">
        <v>6</v>
      </c>
      <c r="F9138" s="1" t="s">
        <v>5091</v>
      </c>
      <c r="G9138" s="14" t="s">
        <v>6139</v>
      </c>
      <c r="H9138" s="1" t="s">
        <v>43</v>
      </c>
      <c r="I9138" s="1" t="s">
        <v>5807</v>
      </c>
    </row>
    <row r="9139" spans="1:10">
      <c r="A9139" s="7" t="s">
        <v>16061</v>
      </c>
      <c r="B9139" s="2" t="s">
        <v>2628</v>
      </c>
      <c r="C9139" s="1">
        <v>7</v>
      </c>
      <c r="D9139" s="1" t="s">
        <v>101</v>
      </c>
      <c r="E9139" s="1" t="s">
        <v>6</v>
      </c>
      <c r="F9139" s="1" t="s">
        <v>5091</v>
      </c>
      <c r="G9139" s="14" t="s">
        <v>6139</v>
      </c>
      <c r="H9139" s="1" t="s">
        <v>43</v>
      </c>
      <c r="I9139" s="1" t="s">
        <v>5807</v>
      </c>
    </row>
    <row r="9140" spans="1:10">
      <c r="A9140" s="7" t="s">
        <v>16098</v>
      </c>
      <c r="B9140" s="2" t="s">
        <v>2628</v>
      </c>
      <c r="C9140" s="1">
        <v>7</v>
      </c>
      <c r="D9140" s="1" t="s">
        <v>101</v>
      </c>
      <c r="E9140" s="1" t="s">
        <v>6</v>
      </c>
      <c r="F9140" s="1" t="s">
        <v>5091</v>
      </c>
      <c r="G9140" s="14" t="s">
        <v>2400</v>
      </c>
      <c r="H9140" s="1" t="s">
        <v>43</v>
      </c>
      <c r="I9140" s="1" t="s">
        <v>4789</v>
      </c>
    </row>
    <row r="9141" spans="1:10">
      <c r="A9141" s="7" t="s">
        <v>16149</v>
      </c>
      <c r="B9141" s="2" t="s">
        <v>2628</v>
      </c>
      <c r="C9141" s="1">
        <v>7</v>
      </c>
      <c r="D9141" s="1" t="s">
        <v>101</v>
      </c>
      <c r="E9141" s="1" t="s">
        <v>6</v>
      </c>
      <c r="F9141" s="1" t="s">
        <v>5091</v>
      </c>
      <c r="G9141" s="22" t="s">
        <v>6181</v>
      </c>
      <c r="H9141" s="2" t="s">
        <v>118</v>
      </c>
      <c r="I9141" s="1" t="s">
        <v>4458</v>
      </c>
    </row>
    <row r="9142" spans="1:10">
      <c r="A9142" s="7" t="s">
        <v>16188</v>
      </c>
      <c r="B9142" s="2" t="s">
        <v>2628</v>
      </c>
      <c r="C9142" s="1">
        <v>7</v>
      </c>
      <c r="D9142" s="1" t="s">
        <v>101</v>
      </c>
      <c r="E9142" s="1" t="s">
        <v>6</v>
      </c>
      <c r="F9142" s="1" t="s">
        <v>5091</v>
      </c>
      <c r="G9142" s="22" t="s">
        <v>6181</v>
      </c>
      <c r="H9142" s="2" t="s">
        <v>118</v>
      </c>
      <c r="I9142" s="1" t="s">
        <v>4458</v>
      </c>
    </row>
    <row r="9143" spans="1:10">
      <c r="A9143" s="7" t="s">
        <v>16257</v>
      </c>
      <c r="B9143" s="2" t="s">
        <v>2628</v>
      </c>
      <c r="C9143" s="1">
        <v>7</v>
      </c>
      <c r="D9143" s="1" t="s">
        <v>101</v>
      </c>
      <c r="E9143" s="1" t="s">
        <v>6</v>
      </c>
      <c r="F9143" s="1" t="s">
        <v>5091</v>
      </c>
      <c r="G9143" s="14" t="s">
        <v>16258</v>
      </c>
      <c r="H9143" s="1" t="s">
        <v>5</v>
      </c>
      <c r="I9143" s="1" t="s">
        <v>5807</v>
      </c>
      <c r="J9143" s="17"/>
    </row>
    <row r="9144" spans="1:10">
      <c r="A9144" s="7" t="s">
        <v>16259</v>
      </c>
      <c r="B9144" s="2" t="s">
        <v>2628</v>
      </c>
      <c r="C9144" s="1">
        <v>7</v>
      </c>
      <c r="D9144" s="1" t="s">
        <v>101</v>
      </c>
      <c r="E9144" s="1" t="s">
        <v>6</v>
      </c>
      <c r="F9144" s="1" t="s">
        <v>5091</v>
      </c>
      <c r="G9144" s="14" t="s">
        <v>9409</v>
      </c>
      <c r="H9144" s="1" t="s">
        <v>5</v>
      </c>
      <c r="I9144" s="1" t="s">
        <v>5807</v>
      </c>
      <c r="J9144" s="17"/>
    </row>
    <row r="9145" spans="1:10">
      <c r="A9145" s="7" t="s">
        <v>16260</v>
      </c>
      <c r="B9145" s="2" t="s">
        <v>2628</v>
      </c>
      <c r="C9145" s="1">
        <v>7</v>
      </c>
      <c r="D9145" s="1" t="s">
        <v>101</v>
      </c>
      <c r="E9145" s="1" t="s">
        <v>6</v>
      </c>
      <c r="F9145" s="1" t="s">
        <v>5091</v>
      </c>
      <c r="G9145" s="14" t="s">
        <v>16258</v>
      </c>
      <c r="H9145" s="1" t="s">
        <v>5</v>
      </c>
      <c r="I9145" s="1" t="s">
        <v>5807</v>
      </c>
      <c r="J9145" s="17"/>
    </row>
    <row r="9146" spans="1:10">
      <c r="A9146" s="7" t="s">
        <v>16771</v>
      </c>
      <c r="B9146" s="2" t="s">
        <v>2628</v>
      </c>
      <c r="C9146" s="1">
        <v>7</v>
      </c>
      <c r="D9146" s="1" t="s">
        <v>101</v>
      </c>
      <c r="E9146" s="1" t="s">
        <v>6</v>
      </c>
      <c r="F9146" s="1" t="s">
        <v>5091</v>
      </c>
      <c r="G9146" s="22" t="s">
        <v>6181</v>
      </c>
      <c r="H9146" s="2" t="s">
        <v>118</v>
      </c>
      <c r="I9146" s="1" t="s">
        <v>4458</v>
      </c>
    </row>
    <row r="9147" spans="1:10">
      <c r="A9147" s="7" t="s">
        <v>16844</v>
      </c>
      <c r="B9147" s="2" t="s">
        <v>2628</v>
      </c>
      <c r="C9147" s="1">
        <v>7</v>
      </c>
      <c r="D9147" s="1" t="s">
        <v>101</v>
      </c>
      <c r="E9147" s="1" t="s">
        <v>6</v>
      </c>
      <c r="F9147" s="1" t="s">
        <v>5091</v>
      </c>
      <c r="G9147" s="14" t="s">
        <v>6145</v>
      </c>
      <c r="H9147" s="1" t="s">
        <v>43</v>
      </c>
      <c r="I9147" s="1" t="s">
        <v>5807</v>
      </c>
    </row>
    <row r="9148" spans="1:10">
      <c r="A9148" s="7" t="s">
        <v>16845</v>
      </c>
      <c r="B9148" s="2" t="s">
        <v>2628</v>
      </c>
      <c r="C9148" s="1">
        <v>7</v>
      </c>
      <c r="D9148" s="1" t="s">
        <v>101</v>
      </c>
      <c r="E9148" s="1" t="s">
        <v>6</v>
      </c>
      <c r="F9148" s="1" t="s">
        <v>5091</v>
      </c>
      <c r="G9148" s="14" t="s">
        <v>6145</v>
      </c>
      <c r="H9148" s="1" t="s">
        <v>43</v>
      </c>
      <c r="I9148" s="1" t="s">
        <v>5807</v>
      </c>
    </row>
    <row r="9149" spans="1:10" ht="31.2">
      <c r="A9149" s="16" t="s">
        <v>7651</v>
      </c>
      <c r="B9149" s="1" t="s">
        <v>2628</v>
      </c>
      <c r="C9149" s="1">
        <v>1073</v>
      </c>
      <c r="D9149" s="1" t="s">
        <v>2337</v>
      </c>
      <c r="E9149" s="1" t="s">
        <v>6</v>
      </c>
      <c r="F9149" s="1" t="s">
        <v>5091</v>
      </c>
      <c r="G9149" s="14" t="s">
        <v>7652</v>
      </c>
      <c r="H9149" s="1" t="s">
        <v>43</v>
      </c>
      <c r="I9149" s="17">
        <v>41640</v>
      </c>
    </row>
    <row r="9150" spans="1:10">
      <c r="A9150" s="7" t="s">
        <v>5327</v>
      </c>
      <c r="B9150" s="1" t="s">
        <v>2629</v>
      </c>
      <c r="C9150" s="1">
        <v>8</v>
      </c>
      <c r="D9150" s="1" t="s">
        <v>28</v>
      </c>
      <c r="E9150" s="1" t="s">
        <v>6</v>
      </c>
      <c r="F9150" s="1" t="s">
        <v>2360</v>
      </c>
      <c r="G9150" s="1" t="s">
        <v>5308</v>
      </c>
      <c r="H9150" s="1" t="s">
        <v>27</v>
      </c>
      <c r="I9150" s="17">
        <v>42370</v>
      </c>
    </row>
    <row r="9151" spans="1:10">
      <c r="A9151" s="7" t="s">
        <v>5333</v>
      </c>
      <c r="B9151" s="1" t="s">
        <v>2629</v>
      </c>
      <c r="C9151" s="1">
        <v>8</v>
      </c>
      <c r="D9151" s="1" t="s">
        <v>28</v>
      </c>
      <c r="E9151" s="1" t="s">
        <v>6</v>
      </c>
      <c r="F9151" s="1" t="s">
        <v>2360</v>
      </c>
      <c r="G9151" s="1" t="s">
        <v>5308</v>
      </c>
      <c r="H9151" s="1" t="s">
        <v>27</v>
      </c>
      <c r="I9151" s="17">
        <v>42736</v>
      </c>
    </row>
    <row r="9152" spans="1:10">
      <c r="A9152" s="7" t="s">
        <v>5464</v>
      </c>
      <c r="B9152" s="1" t="s">
        <v>2629</v>
      </c>
      <c r="C9152" s="1">
        <v>8</v>
      </c>
      <c r="D9152" s="1" t="s">
        <v>28</v>
      </c>
      <c r="E9152" s="1" t="s">
        <v>6</v>
      </c>
      <c r="F9152" s="1" t="s">
        <v>2361</v>
      </c>
      <c r="G9152" s="1" t="s">
        <v>4800</v>
      </c>
      <c r="H9152" s="1" t="s">
        <v>27</v>
      </c>
      <c r="I9152" s="17">
        <v>41640</v>
      </c>
    </row>
    <row r="9153" spans="1:10">
      <c r="A9153" s="7" t="s">
        <v>5536</v>
      </c>
      <c r="B9153" s="1" t="s">
        <v>2629</v>
      </c>
      <c r="C9153" s="1">
        <v>8</v>
      </c>
      <c r="D9153" s="1" t="s">
        <v>28</v>
      </c>
      <c r="E9153" s="1" t="s">
        <v>6</v>
      </c>
      <c r="F9153" s="1" t="s">
        <v>2699</v>
      </c>
      <c r="G9153" s="1" t="s">
        <v>4800</v>
      </c>
      <c r="H9153" s="1" t="s">
        <v>27</v>
      </c>
      <c r="I9153" s="17">
        <v>41275</v>
      </c>
    </row>
    <row r="9154" spans="1:10">
      <c r="A9154" s="7" t="s">
        <v>5554</v>
      </c>
      <c r="B9154" s="1" t="s">
        <v>2629</v>
      </c>
      <c r="C9154" s="1">
        <v>8</v>
      </c>
      <c r="D9154" s="1" t="s">
        <v>28</v>
      </c>
      <c r="E9154" s="1" t="s">
        <v>6</v>
      </c>
      <c r="F9154" s="1" t="s">
        <v>2699</v>
      </c>
      <c r="G9154" s="1" t="s">
        <v>4800</v>
      </c>
      <c r="H9154" s="1" t="s">
        <v>27</v>
      </c>
      <c r="I9154" s="17">
        <v>41640</v>
      </c>
    </row>
    <row r="9155" spans="1:10">
      <c r="A9155" s="7" t="s">
        <v>5558</v>
      </c>
      <c r="B9155" s="1" t="s">
        <v>2629</v>
      </c>
      <c r="C9155" s="1">
        <v>8</v>
      </c>
      <c r="D9155" s="1" t="s">
        <v>28</v>
      </c>
      <c r="E9155" s="1" t="s">
        <v>6</v>
      </c>
      <c r="F9155" s="1" t="s">
        <v>2699</v>
      </c>
      <c r="G9155" s="1" t="s">
        <v>4800</v>
      </c>
      <c r="H9155" s="1" t="s">
        <v>27</v>
      </c>
      <c r="I9155" s="17">
        <v>42005</v>
      </c>
    </row>
    <row r="9156" spans="1:10">
      <c r="A9156" s="7" t="s">
        <v>5584</v>
      </c>
      <c r="B9156" s="1" t="s">
        <v>2629</v>
      </c>
      <c r="C9156" s="1">
        <v>8</v>
      </c>
      <c r="D9156" s="1" t="s">
        <v>28</v>
      </c>
      <c r="E9156" s="1" t="s">
        <v>6</v>
      </c>
      <c r="F9156" s="1" t="s">
        <v>2700</v>
      </c>
      <c r="G9156" s="1" t="s">
        <v>4800</v>
      </c>
      <c r="H9156" s="1" t="s">
        <v>27</v>
      </c>
      <c r="I9156" s="17">
        <v>40909</v>
      </c>
    </row>
    <row r="9157" spans="1:10">
      <c r="A9157" s="7" t="s">
        <v>5585</v>
      </c>
      <c r="B9157" s="1" t="s">
        <v>2629</v>
      </c>
      <c r="C9157" s="1">
        <v>8</v>
      </c>
      <c r="D9157" s="1" t="s">
        <v>28</v>
      </c>
      <c r="E9157" s="1" t="s">
        <v>6</v>
      </c>
      <c r="F9157" s="1" t="s">
        <v>2700</v>
      </c>
      <c r="G9157" s="1" t="s">
        <v>4800</v>
      </c>
      <c r="H9157" s="1" t="s">
        <v>27</v>
      </c>
      <c r="I9157" s="17">
        <v>40909</v>
      </c>
    </row>
    <row r="9158" spans="1:10">
      <c r="A9158" s="7" t="s">
        <v>5588</v>
      </c>
      <c r="B9158" s="1" t="s">
        <v>2629</v>
      </c>
      <c r="C9158" s="1">
        <v>8</v>
      </c>
      <c r="D9158" s="1" t="s">
        <v>28</v>
      </c>
      <c r="E9158" s="1" t="s">
        <v>6</v>
      </c>
      <c r="F9158" s="1" t="s">
        <v>2700</v>
      </c>
      <c r="G9158" s="1" t="s">
        <v>4800</v>
      </c>
      <c r="H9158" s="1" t="s">
        <v>27</v>
      </c>
      <c r="I9158" s="17">
        <v>41275</v>
      </c>
    </row>
    <row r="9159" spans="1:10">
      <c r="A9159" s="7" t="s">
        <v>5591</v>
      </c>
      <c r="B9159" s="1" t="s">
        <v>2629</v>
      </c>
      <c r="C9159" s="1">
        <v>8</v>
      </c>
      <c r="D9159" s="1" t="s">
        <v>28</v>
      </c>
      <c r="E9159" s="1" t="s">
        <v>6</v>
      </c>
      <c r="F9159" s="1" t="s">
        <v>2700</v>
      </c>
      <c r="G9159" s="1" t="s">
        <v>4800</v>
      </c>
      <c r="H9159" s="1" t="s">
        <v>27</v>
      </c>
      <c r="I9159" s="17">
        <v>41640</v>
      </c>
    </row>
    <row r="9160" spans="1:10" s="11" customFormat="1">
      <c r="A9160" s="7" t="s">
        <v>5592</v>
      </c>
      <c r="B9160" s="1" t="s">
        <v>2629</v>
      </c>
      <c r="C9160" s="1">
        <v>8</v>
      </c>
      <c r="D9160" s="1" t="s">
        <v>28</v>
      </c>
      <c r="E9160" s="1" t="s">
        <v>6</v>
      </c>
      <c r="F9160" s="1" t="s">
        <v>2700</v>
      </c>
      <c r="G9160" s="1" t="s">
        <v>4800</v>
      </c>
      <c r="H9160" s="1" t="s">
        <v>27</v>
      </c>
      <c r="I9160" s="17">
        <v>42005</v>
      </c>
      <c r="J9160"/>
    </row>
    <row r="9161" spans="1:10" s="11" customFormat="1">
      <c r="A9161" s="7" t="s">
        <v>5597</v>
      </c>
      <c r="B9161" s="1" t="s">
        <v>2629</v>
      </c>
      <c r="C9161" s="1">
        <v>8</v>
      </c>
      <c r="D9161" s="1" t="s">
        <v>28</v>
      </c>
      <c r="E9161" s="1" t="s">
        <v>6</v>
      </c>
      <c r="F9161" s="1" t="s">
        <v>2702</v>
      </c>
      <c r="G9161" s="1" t="s">
        <v>4800</v>
      </c>
      <c r="H9161" s="1" t="s">
        <v>27</v>
      </c>
      <c r="I9161" s="17">
        <v>40179</v>
      </c>
      <c r="J9161"/>
    </row>
    <row r="9162" spans="1:10">
      <c r="A9162" s="7" t="s">
        <v>5598</v>
      </c>
      <c r="B9162" s="1" t="s">
        <v>2629</v>
      </c>
      <c r="C9162" s="1">
        <v>8</v>
      </c>
      <c r="D9162" s="1" t="s">
        <v>28</v>
      </c>
      <c r="E9162" s="1" t="s">
        <v>6</v>
      </c>
      <c r="F9162" s="1" t="s">
        <v>2702</v>
      </c>
      <c r="G9162" s="1" t="s">
        <v>4800</v>
      </c>
      <c r="H9162" s="1" t="s">
        <v>27</v>
      </c>
      <c r="I9162" s="17">
        <v>40179</v>
      </c>
    </row>
    <row r="9163" spans="1:10">
      <c r="A9163" s="7" t="s">
        <v>5601</v>
      </c>
      <c r="B9163" s="1" t="s">
        <v>2629</v>
      </c>
      <c r="C9163" s="1">
        <v>8</v>
      </c>
      <c r="D9163" s="1" t="s">
        <v>28</v>
      </c>
      <c r="E9163" s="1" t="s">
        <v>6</v>
      </c>
      <c r="F9163" s="1" t="s">
        <v>2702</v>
      </c>
      <c r="G9163" s="1" t="s">
        <v>4800</v>
      </c>
      <c r="H9163" s="1" t="s">
        <v>27</v>
      </c>
      <c r="I9163" s="17">
        <v>40544</v>
      </c>
    </row>
    <row r="9164" spans="1:10">
      <c r="A9164" s="7" t="s">
        <v>5604</v>
      </c>
      <c r="B9164" s="1" t="s">
        <v>2629</v>
      </c>
      <c r="C9164" s="1">
        <v>8</v>
      </c>
      <c r="D9164" s="1" t="s">
        <v>28</v>
      </c>
      <c r="E9164" s="1" t="s">
        <v>6</v>
      </c>
      <c r="F9164" s="1" t="s">
        <v>1112</v>
      </c>
      <c r="G9164" s="1" t="s">
        <v>4800</v>
      </c>
      <c r="H9164" s="1" t="s">
        <v>27</v>
      </c>
      <c r="I9164" s="17">
        <v>41640</v>
      </c>
    </row>
    <row r="9165" spans="1:10">
      <c r="A9165" s="7" t="s">
        <v>5825</v>
      </c>
      <c r="B9165" s="1" t="s">
        <v>2629</v>
      </c>
      <c r="C9165" s="1">
        <v>8</v>
      </c>
      <c r="D9165" s="1" t="s">
        <v>28</v>
      </c>
      <c r="E9165" s="1" t="s">
        <v>6</v>
      </c>
      <c r="F9165" s="1" t="s">
        <v>2360</v>
      </c>
      <c r="G9165" s="1" t="s">
        <v>5308</v>
      </c>
      <c r="H9165" s="1" t="s">
        <v>27</v>
      </c>
      <c r="I9165" s="1" t="s">
        <v>5801</v>
      </c>
    </row>
    <row r="9166" spans="1:10">
      <c r="A9166" s="7" t="s">
        <v>6766</v>
      </c>
      <c r="B9166" s="1" t="s">
        <v>2629</v>
      </c>
      <c r="C9166" s="1">
        <v>8</v>
      </c>
      <c r="D9166" s="1" t="s">
        <v>28</v>
      </c>
      <c r="E9166" s="1" t="s">
        <v>6</v>
      </c>
      <c r="F9166" s="1" t="s">
        <v>5241</v>
      </c>
      <c r="G9166" s="1" t="s">
        <v>4800</v>
      </c>
      <c r="H9166" s="1" t="s">
        <v>27</v>
      </c>
      <c r="I9166" s="1" t="s">
        <v>5855</v>
      </c>
    </row>
    <row r="9167" spans="1:10">
      <c r="A9167" s="7" t="s">
        <v>7554</v>
      </c>
      <c r="B9167" s="1" t="s">
        <v>2629</v>
      </c>
      <c r="C9167" s="1">
        <v>8</v>
      </c>
      <c r="D9167" s="1" t="s">
        <v>28</v>
      </c>
      <c r="E9167" s="1" t="s">
        <v>6</v>
      </c>
      <c r="F9167" s="1" t="s">
        <v>5241</v>
      </c>
      <c r="G9167" s="1" t="s">
        <v>4800</v>
      </c>
      <c r="H9167" s="1" t="s">
        <v>27</v>
      </c>
      <c r="I9167" s="1" t="s">
        <v>6090</v>
      </c>
    </row>
    <row r="9168" spans="1:10">
      <c r="A9168" s="7" t="s">
        <v>8071</v>
      </c>
      <c r="B9168" s="1" t="s">
        <v>2629</v>
      </c>
      <c r="C9168" s="1">
        <v>8</v>
      </c>
      <c r="D9168" s="1" t="s">
        <v>28</v>
      </c>
      <c r="E9168" s="1" t="s">
        <v>6</v>
      </c>
      <c r="F9168" s="1" t="s">
        <v>5241</v>
      </c>
      <c r="G9168" s="1" t="s">
        <v>4800</v>
      </c>
      <c r="H9168" s="1" t="s">
        <v>27</v>
      </c>
      <c r="I9168" s="1" t="s">
        <v>6090</v>
      </c>
    </row>
    <row r="9169" spans="1:10">
      <c r="A9169" s="7" t="s">
        <v>14021</v>
      </c>
      <c r="B9169" s="1" t="s">
        <v>2629</v>
      </c>
      <c r="C9169" s="1">
        <v>16</v>
      </c>
      <c r="D9169" s="1" t="s">
        <v>28</v>
      </c>
      <c r="E9169" s="1" t="s">
        <v>6</v>
      </c>
      <c r="F9169" s="1" t="s">
        <v>5241</v>
      </c>
      <c r="G9169" s="1" t="s">
        <v>4800</v>
      </c>
      <c r="H9169" s="1" t="s">
        <v>27</v>
      </c>
      <c r="I9169" s="17">
        <v>42339</v>
      </c>
    </row>
    <row r="9170" spans="1:10">
      <c r="A9170" s="7" t="s">
        <v>14259</v>
      </c>
      <c r="B9170" s="1" t="s">
        <v>2629</v>
      </c>
      <c r="C9170" s="1">
        <v>8</v>
      </c>
      <c r="D9170" s="1" t="s">
        <v>28</v>
      </c>
      <c r="E9170" s="1" t="s">
        <v>6</v>
      </c>
      <c r="F9170" s="1" t="s">
        <v>5241</v>
      </c>
      <c r="G9170" s="1" t="s">
        <v>4800</v>
      </c>
      <c r="H9170" s="1" t="s">
        <v>27</v>
      </c>
      <c r="I9170" s="17">
        <v>43221</v>
      </c>
    </row>
    <row r="9171" spans="1:10">
      <c r="A9171" s="7" t="s">
        <v>14287</v>
      </c>
      <c r="B9171" s="1" t="s">
        <v>2629</v>
      </c>
      <c r="C9171" s="1">
        <v>8</v>
      </c>
      <c r="D9171" s="1" t="s">
        <v>28</v>
      </c>
      <c r="E9171" s="1" t="s">
        <v>6</v>
      </c>
      <c r="F9171" s="1" t="s">
        <v>5241</v>
      </c>
      <c r="G9171" s="1" t="s">
        <v>4800</v>
      </c>
      <c r="H9171" s="1" t="s">
        <v>27</v>
      </c>
      <c r="I9171" s="17">
        <v>42552</v>
      </c>
      <c r="J9171" s="11"/>
    </row>
    <row r="9172" spans="1:10">
      <c r="A9172" s="7" t="s">
        <v>14292</v>
      </c>
      <c r="B9172" s="1" t="s">
        <v>2629</v>
      </c>
      <c r="C9172" s="1">
        <v>8</v>
      </c>
      <c r="D9172" s="1" t="s">
        <v>28</v>
      </c>
      <c r="E9172" s="1" t="s">
        <v>6</v>
      </c>
      <c r="F9172" s="1" t="s">
        <v>5241</v>
      </c>
      <c r="G9172" s="1" t="s">
        <v>4800</v>
      </c>
      <c r="H9172" s="1" t="s">
        <v>27</v>
      </c>
      <c r="I9172" s="17">
        <v>42644</v>
      </c>
    </row>
    <row r="9173" spans="1:10">
      <c r="A9173" s="7" t="s">
        <v>14350</v>
      </c>
      <c r="B9173" s="1" t="s">
        <v>2629</v>
      </c>
      <c r="C9173" s="1">
        <v>8</v>
      </c>
      <c r="D9173" s="1" t="s">
        <v>28</v>
      </c>
      <c r="E9173" s="1" t="s">
        <v>6</v>
      </c>
      <c r="F9173" s="1" t="s">
        <v>5241</v>
      </c>
      <c r="G9173" s="1" t="s">
        <v>4800</v>
      </c>
      <c r="H9173" s="1" t="s">
        <v>27</v>
      </c>
      <c r="I9173" s="17">
        <v>43221</v>
      </c>
    </row>
    <row r="9174" spans="1:10">
      <c r="A9174" s="7" t="s">
        <v>14424</v>
      </c>
      <c r="B9174" s="1" t="s">
        <v>2629</v>
      </c>
      <c r="C9174" s="1">
        <v>8</v>
      </c>
      <c r="D9174" s="1" t="s">
        <v>28</v>
      </c>
      <c r="E9174" s="1" t="s">
        <v>6</v>
      </c>
      <c r="F9174" s="1" t="s">
        <v>5241</v>
      </c>
      <c r="G9174" s="1" t="s">
        <v>4800</v>
      </c>
      <c r="H9174" s="1" t="s">
        <v>27</v>
      </c>
      <c r="I9174" s="17">
        <v>43252</v>
      </c>
    </row>
    <row r="9175" spans="1:10">
      <c r="A9175" s="7" t="s">
        <v>14444</v>
      </c>
      <c r="B9175" s="2" t="s">
        <v>2629</v>
      </c>
      <c r="C9175" s="1">
        <v>8</v>
      </c>
      <c r="D9175" s="1" t="s">
        <v>28</v>
      </c>
      <c r="E9175" s="1" t="s">
        <v>6</v>
      </c>
      <c r="F9175" s="1" t="s">
        <v>118</v>
      </c>
      <c r="G9175" s="14" t="s">
        <v>4800</v>
      </c>
      <c r="H9175" s="1" t="s">
        <v>27</v>
      </c>
      <c r="I9175" s="1" t="s">
        <v>4789</v>
      </c>
    </row>
    <row r="9176" spans="1:10">
      <c r="A9176" s="7" t="s">
        <v>14873</v>
      </c>
      <c r="B9176" s="1" t="s">
        <v>2629</v>
      </c>
      <c r="C9176" s="1">
        <v>8</v>
      </c>
      <c r="D9176" s="1" t="s">
        <v>28</v>
      </c>
      <c r="E9176" s="1" t="s">
        <v>6</v>
      </c>
      <c r="F9176" s="1" t="s">
        <v>5241</v>
      </c>
      <c r="G9176" s="1" t="s">
        <v>4800</v>
      </c>
      <c r="H9176" s="1" t="s">
        <v>27</v>
      </c>
      <c r="I9176" s="17">
        <v>43313</v>
      </c>
    </row>
    <row r="9177" spans="1:10">
      <c r="A9177" s="7" t="s">
        <v>15199</v>
      </c>
      <c r="B9177" s="1" t="s">
        <v>2629</v>
      </c>
      <c r="C9177" s="1">
        <v>8</v>
      </c>
      <c r="D9177" s="1" t="s">
        <v>28</v>
      </c>
      <c r="E9177" s="1" t="s">
        <v>6</v>
      </c>
      <c r="F9177" s="1" t="s">
        <v>5241</v>
      </c>
      <c r="G9177" s="1" t="s">
        <v>4800</v>
      </c>
      <c r="H9177" s="1" t="s">
        <v>27</v>
      </c>
      <c r="I9177" s="17">
        <v>43313</v>
      </c>
    </row>
    <row r="9178" spans="1:10">
      <c r="A9178" s="7" t="s">
        <v>16084</v>
      </c>
      <c r="B9178" s="2" t="s">
        <v>2629</v>
      </c>
      <c r="C9178" s="1">
        <v>8</v>
      </c>
      <c r="D9178" s="1" t="s">
        <v>28</v>
      </c>
      <c r="E9178" s="1" t="s">
        <v>6</v>
      </c>
      <c r="F9178" s="1" t="s">
        <v>5241</v>
      </c>
      <c r="G9178" s="14" t="s">
        <v>4800</v>
      </c>
      <c r="H9178" s="1" t="s">
        <v>27</v>
      </c>
      <c r="I9178" s="1">
        <v>2018</v>
      </c>
      <c r="J9178" s="11"/>
    </row>
    <row r="9179" spans="1:10">
      <c r="A9179" s="7" t="s">
        <v>16510</v>
      </c>
      <c r="B9179" s="2" t="s">
        <v>2629</v>
      </c>
      <c r="C9179" s="1">
        <v>8</v>
      </c>
      <c r="D9179" s="1" t="s">
        <v>28</v>
      </c>
      <c r="E9179" s="1" t="s">
        <v>6</v>
      </c>
      <c r="F9179" s="1" t="s">
        <v>5241</v>
      </c>
      <c r="G9179" s="14" t="s">
        <v>4800</v>
      </c>
      <c r="H9179" s="1" t="s">
        <v>27</v>
      </c>
      <c r="I9179" s="1">
        <v>2019</v>
      </c>
    </row>
    <row r="9180" spans="1:10">
      <c r="A9180" s="7" t="s">
        <v>16515</v>
      </c>
      <c r="B9180" s="2" t="s">
        <v>2629</v>
      </c>
      <c r="C9180" s="1">
        <v>8</v>
      </c>
      <c r="D9180" s="1" t="s">
        <v>28</v>
      </c>
      <c r="E9180" s="1" t="s">
        <v>6</v>
      </c>
      <c r="F9180" s="1" t="s">
        <v>5241</v>
      </c>
      <c r="G9180" s="14" t="s">
        <v>4800</v>
      </c>
      <c r="H9180" s="1" t="s">
        <v>27</v>
      </c>
      <c r="I9180" s="1">
        <v>2019</v>
      </c>
    </row>
    <row r="9181" spans="1:10">
      <c r="A9181" s="7" t="s">
        <v>16545</v>
      </c>
      <c r="B9181" s="2" t="s">
        <v>2629</v>
      </c>
      <c r="C9181" s="1">
        <v>8</v>
      </c>
      <c r="D9181" s="1" t="s">
        <v>28</v>
      </c>
      <c r="E9181" s="1" t="s">
        <v>6</v>
      </c>
      <c r="F9181" s="1" t="s">
        <v>5241</v>
      </c>
      <c r="G9181" s="14" t="s">
        <v>4800</v>
      </c>
      <c r="H9181" s="1" t="s">
        <v>27</v>
      </c>
      <c r="I9181" s="1">
        <v>2019</v>
      </c>
    </row>
    <row r="9182" spans="1:10">
      <c r="A9182" s="7" t="s">
        <v>16553</v>
      </c>
      <c r="B9182" s="2" t="s">
        <v>2629</v>
      </c>
      <c r="C9182" s="1">
        <v>8</v>
      </c>
      <c r="D9182" s="1" t="s">
        <v>28</v>
      </c>
      <c r="E9182" s="1" t="s">
        <v>6</v>
      </c>
      <c r="F9182" s="1" t="s">
        <v>5241</v>
      </c>
      <c r="G9182" s="14" t="s">
        <v>4800</v>
      </c>
      <c r="H9182" s="1" t="s">
        <v>27</v>
      </c>
      <c r="I9182" s="1">
        <v>2019</v>
      </c>
    </row>
    <row r="9183" spans="1:10">
      <c r="A9183" s="7" t="s">
        <v>16581</v>
      </c>
      <c r="B9183" s="2" t="s">
        <v>2629</v>
      </c>
      <c r="C9183" s="1">
        <v>8</v>
      </c>
      <c r="D9183" s="1" t="s">
        <v>28</v>
      </c>
      <c r="E9183" s="1" t="s">
        <v>6</v>
      </c>
      <c r="F9183" s="1" t="s">
        <v>5241</v>
      </c>
      <c r="G9183" s="14" t="s">
        <v>4800</v>
      </c>
      <c r="H9183" s="1" t="s">
        <v>27</v>
      </c>
      <c r="I9183" s="1">
        <v>2019</v>
      </c>
    </row>
    <row r="9184" spans="1:10">
      <c r="A9184" s="7" t="s">
        <v>16584</v>
      </c>
      <c r="B9184" s="2" t="s">
        <v>2629</v>
      </c>
      <c r="C9184" s="1">
        <v>8</v>
      </c>
      <c r="D9184" s="1" t="s">
        <v>28</v>
      </c>
      <c r="E9184" s="1" t="s">
        <v>6</v>
      </c>
      <c r="F9184" s="1" t="s">
        <v>5241</v>
      </c>
      <c r="G9184" s="14" t="s">
        <v>4800</v>
      </c>
      <c r="H9184" s="1" t="s">
        <v>27</v>
      </c>
      <c r="I9184" s="1">
        <v>2019</v>
      </c>
    </row>
    <row r="9185" spans="1:10">
      <c r="A9185" s="7" t="s">
        <v>16610</v>
      </c>
      <c r="B9185" s="2" t="s">
        <v>2629</v>
      </c>
      <c r="C9185" s="1">
        <v>8</v>
      </c>
      <c r="D9185" s="1" t="s">
        <v>28</v>
      </c>
      <c r="E9185" s="1" t="s">
        <v>6</v>
      </c>
      <c r="F9185" s="1" t="s">
        <v>5241</v>
      </c>
      <c r="G9185" s="14" t="s">
        <v>4800</v>
      </c>
      <c r="H9185" s="1" t="s">
        <v>27</v>
      </c>
      <c r="I9185" s="1">
        <v>2019</v>
      </c>
    </row>
    <row r="9186" spans="1:10">
      <c r="A9186" s="7" t="s">
        <v>16612</v>
      </c>
      <c r="B9186" s="2" t="s">
        <v>2629</v>
      </c>
      <c r="C9186" s="1">
        <v>8</v>
      </c>
      <c r="D9186" s="1" t="s">
        <v>28</v>
      </c>
      <c r="E9186" s="1" t="s">
        <v>6</v>
      </c>
      <c r="F9186" s="1" t="s">
        <v>5241</v>
      </c>
      <c r="G9186" s="14" t="s">
        <v>4800</v>
      </c>
      <c r="H9186" s="1" t="s">
        <v>27</v>
      </c>
      <c r="I9186" s="1">
        <v>2019</v>
      </c>
    </row>
    <row r="9187" spans="1:10">
      <c r="A9187" s="7" t="s">
        <v>4799</v>
      </c>
      <c r="B9187" s="1" t="s">
        <v>2630</v>
      </c>
      <c r="C9187" s="1">
        <v>120</v>
      </c>
      <c r="D9187" s="1" t="s">
        <v>28</v>
      </c>
      <c r="E9187" s="1" t="s">
        <v>6</v>
      </c>
      <c r="F9187" s="1" t="s">
        <v>2693</v>
      </c>
      <c r="G9187" s="1" t="s">
        <v>4800</v>
      </c>
      <c r="H9187" s="1" t="s">
        <v>27</v>
      </c>
      <c r="I9187" s="1">
        <v>1995</v>
      </c>
      <c r="J9187" s="1"/>
    </row>
    <row r="9188" spans="1:10">
      <c r="A9188" s="7" t="s">
        <v>4801</v>
      </c>
      <c r="B9188" s="1" t="s">
        <v>2630</v>
      </c>
      <c r="C9188" s="1">
        <v>120</v>
      </c>
      <c r="D9188" s="1" t="s">
        <v>28</v>
      </c>
      <c r="E9188" s="1" t="s">
        <v>6</v>
      </c>
      <c r="F9188" s="1" t="s">
        <v>2693</v>
      </c>
      <c r="G9188" s="1" t="s">
        <v>4800</v>
      </c>
      <c r="H9188" s="1" t="s">
        <v>27</v>
      </c>
      <c r="I9188" s="1">
        <v>1995</v>
      </c>
      <c r="J9188" s="1"/>
    </row>
    <row r="9189" spans="1:10">
      <c r="A9189" s="7" t="s">
        <v>4807</v>
      </c>
      <c r="B9189" s="1" t="s">
        <v>2630</v>
      </c>
      <c r="C9189" s="1">
        <v>120</v>
      </c>
      <c r="D9189" s="1" t="s">
        <v>28</v>
      </c>
      <c r="E9189" s="1" t="s">
        <v>6</v>
      </c>
      <c r="F9189" s="1" t="s">
        <v>2693</v>
      </c>
      <c r="G9189" s="1" t="s">
        <v>4800</v>
      </c>
      <c r="H9189" s="1" t="s">
        <v>27</v>
      </c>
      <c r="I9189" s="1">
        <v>1998</v>
      </c>
      <c r="J9189" s="1"/>
    </row>
    <row r="9190" spans="1:10">
      <c r="A9190" s="7" t="s">
        <v>4813</v>
      </c>
      <c r="B9190" s="1" t="s">
        <v>2630</v>
      </c>
      <c r="C9190" s="1">
        <v>120</v>
      </c>
      <c r="D9190" s="1" t="s">
        <v>28</v>
      </c>
      <c r="E9190" s="1" t="s">
        <v>6</v>
      </c>
      <c r="F9190" s="1" t="s">
        <v>2693</v>
      </c>
      <c r="G9190" s="1" t="s">
        <v>4800</v>
      </c>
      <c r="H9190" s="1" t="s">
        <v>27</v>
      </c>
      <c r="I9190" s="1">
        <v>1998</v>
      </c>
      <c r="J9190" s="1"/>
    </row>
    <row r="9191" spans="1:10">
      <c r="A9191" s="7" t="s">
        <v>4816</v>
      </c>
      <c r="B9191" s="1" t="s">
        <v>2630</v>
      </c>
      <c r="C9191" s="1">
        <v>120</v>
      </c>
      <c r="D9191" s="1" t="s">
        <v>28</v>
      </c>
      <c r="E9191" s="1" t="s">
        <v>6</v>
      </c>
      <c r="F9191" s="1" t="s">
        <v>2693</v>
      </c>
      <c r="G9191" s="1" t="s">
        <v>4800</v>
      </c>
      <c r="H9191" s="1" t="s">
        <v>27</v>
      </c>
      <c r="I9191" s="1">
        <v>2000</v>
      </c>
      <c r="J9191" s="17"/>
    </row>
    <row r="9192" spans="1:10">
      <c r="A9192" s="7" t="s">
        <v>4817</v>
      </c>
      <c r="B9192" s="1" t="s">
        <v>2630</v>
      </c>
      <c r="C9192" s="1">
        <v>120</v>
      </c>
      <c r="D9192" s="1" t="s">
        <v>28</v>
      </c>
      <c r="E9192" s="1" t="s">
        <v>6</v>
      </c>
      <c r="F9192" s="1" t="s">
        <v>2693</v>
      </c>
      <c r="G9192" s="1" t="s">
        <v>4800</v>
      </c>
      <c r="H9192" s="1" t="s">
        <v>27</v>
      </c>
      <c r="I9192" s="1">
        <v>2003</v>
      </c>
      <c r="J9192" s="17"/>
    </row>
    <row r="9193" spans="1:10">
      <c r="A9193" s="7" t="s">
        <v>4818</v>
      </c>
      <c r="B9193" s="1" t="s">
        <v>2630</v>
      </c>
      <c r="C9193" s="1">
        <v>120</v>
      </c>
      <c r="D9193" s="1" t="s">
        <v>28</v>
      </c>
      <c r="E9193" s="1" t="s">
        <v>6</v>
      </c>
      <c r="F9193" s="1" t="s">
        <v>2693</v>
      </c>
      <c r="G9193" s="1" t="s">
        <v>4800</v>
      </c>
      <c r="H9193" s="1" t="s">
        <v>27</v>
      </c>
      <c r="I9193" s="1">
        <v>2005</v>
      </c>
      <c r="J9193" s="17"/>
    </row>
    <row r="9194" spans="1:10">
      <c r="A9194" s="7" t="s">
        <v>4820</v>
      </c>
      <c r="B9194" s="1" t="s">
        <v>2630</v>
      </c>
      <c r="C9194" s="1">
        <v>120</v>
      </c>
      <c r="D9194" s="1" t="s">
        <v>28</v>
      </c>
      <c r="E9194" s="1" t="s">
        <v>6</v>
      </c>
      <c r="F9194" s="1" t="s">
        <v>2693</v>
      </c>
      <c r="G9194" s="1" t="s">
        <v>4800</v>
      </c>
      <c r="H9194" s="1" t="s">
        <v>27</v>
      </c>
      <c r="I9194" s="1">
        <v>2006</v>
      </c>
      <c r="J9194" s="1"/>
    </row>
    <row r="9195" spans="1:10">
      <c r="A9195" s="7" t="s">
        <v>4831</v>
      </c>
      <c r="B9195" s="1" t="s">
        <v>2630</v>
      </c>
      <c r="C9195" s="1">
        <v>120</v>
      </c>
      <c r="D9195" s="1" t="s">
        <v>28</v>
      </c>
      <c r="E9195" s="1" t="s">
        <v>6</v>
      </c>
      <c r="F9195" s="1" t="s">
        <v>2693</v>
      </c>
      <c r="G9195" s="1" t="s">
        <v>4800</v>
      </c>
      <c r="H9195" s="1" t="s">
        <v>27</v>
      </c>
      <c r="I9195" s="1">
        <v>2010</v>
      </c>
      <c r="J9195" s="17"/>
    </row>
    <row r="9196" spans="1:10">
      <c r="A9196" s="7" t="s">
        <v>4844</v>
      </c>
      <c r="B9196" s="1" t="s">
        <v>2630</v>
      </c>
      <c r="C9196" s="1">
        <v>120</v>
      </c>
      <c r="D9196" s="1" t="s">
        <v>28</v>
      </c>
      <c r="E9196" s="1" t="s">
        <v>6</v>
      </c>
      <c r="F9196" s="1" t="s">
        <v>2693</v>
      </c>
      <c r="G9196" s="1" t="s">
        <v>4800</v>
      </c>
      <c r="H9196" s="1" t="s">
        <v>27</v>
      </c>
      <c r="I9196" s="1">
        <v>2010</v>
      </c>
      <c r="J9196" s="17"/>
    </row>
    <row r="9197" spans="1:10">
      <c r="A9197" s="7" t="s">
        <v>4845</v>
      </c>
      <c r="B9197" s="1" t="s">
        <v>2630</v>
      </c>
      <c r="C9197" s="1">
        <v>120</v>
      </c>
      <c r="D9197" s="1" t="s">
        <v>28</v>
      </c>
      <c r="E9197" s="1" t="s">
        <v>6</v>
      </c>
      <c r="F9197" s="1" t="s">
        <v>2693</v>
      </c>
      <c r="G9197" s="1" t="s">
        <v>4800</v>
      </c>
      <c r="H9197" s="1" t="s">
        <v>27</v>
      </c>
      <c r="I9197" s="1">
        <v>2010</v>
      </c>
      <c r="J9197" s="17"/>
    </row>
    <row r="9198" spans="1:10">
      <c r="A9198" s="7" t="s">
        <v>4849</v>
      </c>
      <c r="B9198" s="1" t="s">
        <v>2630</v>
      </c>
      <c r="C9198" s="1">
        <v>120</v>
      </c>
      <c r="D9198" s="1" t="s">
        <v>28</v>
      </c>
      <c r="E9198" s="1" t="s">
        <v>6</v>
      </c>
      <c r="F9198" s="1" t="s">
        <v>2693</v>
      </c>
      <c r="G9198" s="1" t="s">
        <v>4800</v>
      </c>
      <c r="H9198" s="1" t="s">
        <v>27</v>
      </c>
      <c r="I9198" s="1">
        <v>2011</v>
      </c>
      <c r="J9198" s="17"/>
    </row>
    <row r="9199" spans="1:10">
      <c r="A9199" s="7" t="s">
        <v>4850</v>
      </c>
      <c r="B9199" s="1" t="s">
        <v>2630</v>
      </c>
      <c r="C9199" s="1">
        <v>120</v>
      </c>
      <c r="D9199" s="1" t="s">
        <v>28</v>
      </c>
      <c r="E9199" s="1" t="s">
        <v>6</v>
      </c>
      <c r="F9199" s="1" t="s">
        <v>2693</v>
      </c>
      <c r="G9199" s="1" t="s">
        <v>4800</v>
      </c>
      <c r="H9199" s="1" t="s">
        <v>27</v>
      </c>
      <c r="I9199" s="1">
        <v>2012</v>
      </c>
      <c r="J9199" s="17"/>
    </row>
    <row r="9200" spans="1:10">
      <c r="A9200" s="7" t="s">
        <v>4851</v>
      </c>
      <c r="B9200" s="1" t="s">
        <v>2630</v>
      </c>
      <c r="C9200" s="1">
        <v>120</v>
      </c>
      <c r="D9200" s="1" t="s">
        <v>28</v>
      </c>
      <c r="E9200" s="1" t="s">
        <v>6</v>
      </c>
      <c r="F9200" s="1" t="s">
        <v>2693</v>
      </c>
      <c r="G9200" s="1" t="s">
        <v>4800</v>
      </c>
      <c r="H9200" s="1" t="s">
        <v>27</v>
      </c>
      <c r="I9200" s="1">
        <v>2012</v>
      </c>
      <c r="J9200" s="17"/>
    </row>
    <row r="9201" spans="1:10">
      <c r="A9201" s="7" t="s">
        <v>4854</v>
      </c>
      <c r="B9201" s="1" t="s">
        <v>2630</v>
      </c>
      <c r="C9201" s="1">
        <v>120</v>
      </c>
      <c r="D9201" s="1" t="s">
        <v>28</v>
      </c>
      <c r="E9201" s="1" t="s">
        <v>6</v>
      </c>
      <c r="F9201" s="1" t="s">
        <v>2693</v>
      </c>
      <c r="G9201" s="1" t="s">
        <v>4800</v>
      </c>
      <c r="H9201" s="1" t="s">
        <v>27</v>
      </c>
      <c r="I9201" s="1">
        <v>2012</v>
      </c>
      <c r="J9201" s="17"/>
    </row>
    <row r="9202" spans="1:10">
      <c r="A9202" s="7" t="s">
        <v>4856</v>
      </c>
      <c r="B9202" s="1" t="s">
        <v>2630</v>
      </c>
      <c r="C9202" s="1">
        <v>120</v>
      </c>
      <c r="D9202" s="1" t="s">
        <v>28</v>
      </c>
      <c r="E9202" s="1" t="s">
        <v>6</v>
      </c>
      <c r="F9202" s="1" t="s">
        <v>2693</v>
      </c>
      <c r="G9202" s="1" t="s">
        <v>4800</v>
      </c>
      <c r="H9202" s="1" t="s">
        <v>27</v>
      </c>
      <c r="I9202" s="1">
        <v>2012</v>
      </c>
      <c r="J9202" s="1"/>
    </row>
    <row r="9203" spans="1:10">
      <c r="A9203" s="7" t="s">
        <v>4859</v>
      </c>
      <c r="B9203" s="1" t="s">
        <v>2630</v>
      </c>
      <c r="C9203" s="1">
        <v>120</v>
      </c>
      <c r="D9203" s="1" t="s">
        <v>28</v>
      </c>
      <c r="E9203" s="1" t="s">
        <v>6</v>
      </c>
      <c r="F9203" s="1" t="s">
        <v>2693</v>
      </c>
      <c r="G9203" s="1" t="s">
        <v>4800</v>
      </c>
      <c r="H9203" s="1" t="s">
        <v>27</v>
      </c>
      <c r="I9203" s="1">
        <v>2012</v>
      </c>
      <c r="J9203" s="1"/>
    </row>
    <row r="9204" spans="1:10">
      <c r="A9204" s="7" t="s">
        <v>5085</v>
      </c>
      <c r="B9204" s="1" t="s">
        <v>2630</v>
      </c>
      <c r="C9204" s="1">
        <v>120</v>
      </c>
      <c r="D9204" s="1" t="s">
        <v>28</v>
      </c>
      <c r="E9204" s="1" t="s">
        <v>6</v>
      </c>
      <c r="F9204" s="1" t="s">
        <v>2573</v>
      </c>
      <c r="G9204" s="1" t="s">
        <v>4800</v>
      </c>
      <c r="H9204" s="1" t="s">
        <v>27</v>
      </c>
      <c r="I9204" s="1">
        <v>2013</v>
      </c>
      <c r="J9204" s="17"/>
    </row>
    <row r="9205" spans="1:10">
      <c r="A9205" s="7" t="s">
        <v>5086</v>
      </c>
      <c r="B9205" s="1" t="s">
        <v>2630</v>
      </c>
      <c r="C9205" s="1">
        <v>120</v>
      </c>
      <c r="D9205" s="1" t="s">
        <v>28</v>
      </c>
      <c r="E9205" s="1" t="s">
        <v>6</v>
      </c>
      <c r="F9205" s="1" t="s">
        <v>2573</v>
      </c>
      <c r="G9205" s="1" t="s">
        <v>4800</v>
      </c>
      <c r="H9205" s="1" t="s">
        <v>27</v>
      </c>
      <c r="I9205" s="1">
        <v>2014</v>
      </c>
      <c r="J9205" s="17"/>
    </row>
    <row r="9206" spans="1:10">
      <c r="A9206" s="7" t="s">
        <v>5523</v>
      </c>
      <c r="B9206" s="1" t="s">
        <v>2630</v>
      </c>
      <c r="C9206" s="1">
        <v>120</v>
      </c>
      <c r="D9206" s="1" t="s">
        <v>28</v>
      </c>
      <c r="E9206" s="1" t="s">
        <v>6</v>
      </c>
      <c r="F9206" s="1" t="s">
        <v>2699</v>
      </c>
      <c r="G9206" s="1" t="s">
        <v>4800</v>
      </c>
      <c r="H9206" s="1" t="s">
        <v>27</v>
      </c>
      <c r="I9206" s="1">
        <v>2011</v>
      </c>
      <c r="J9206" s="17"/>
    </row>
    <row r="9207" spans="1:10">
      <c r="A9207" s="7" t="s">
        <v>6112</v>
      </c>
      <c r="B9207" s="1" t="s">
        <v>2630</v>
      </c>
      <c r="C9207" s="1">
        <v>120</v>
      </c>
      <c r="D9207" s="1" t="s">
        <v>28</v>
      </c>
      <c r="E9207" s="1" t="s">
        <v>6</v>
      </c>
      <c r="F9207" s="1" t="s">
        <v>2699</v>
      </c>
      <c r="G9207" s="1" t="s">
        <v>4800</v>
      </c>
      <c r="H9207" s="1" t="s">
        <v>27</v>
      </c>
      <c r="I9207" s="2" t="s">
        <v>4792</v>
      </c>
    </row>
    <row r="9208" spans="1:10">
      <c r="A9208" s="7" t="s">
        <v>6915</v>
      </c>
      <c r="B9208" s="1" t="s">
        <v>2630</v>
      </c>
      <c r="C9208" s="1">
        <v>120</v>
      </c>
      <c r="D9208" s="1" t="s">
        <v>28</v>
      </c>
      <c r="E9208" s="1" t="s">
        <v>6</v>
      </c>
      <c r="F9208" s="1" t="s">
        <v>5241</v>
      </c>
      <c r="G9208" s="1" t="s">
        <v>4800</v>
      </c>
      <c r="H9208" s="1" t="s">
        <v>27</v>
      </c>
      <c r="I9208" s="1" t="s">
        <v>5722</v>
      </c>
    </row>
    <row r="9209" spans="1:10">
      <c r="A9209" s="7" t="s">
        <v>7312</v>
      </c>
      <c r="B9209" s="1" t="s">
        <v>2630</v>
      </c>
      <c r="C9209" s="1">
        <v>120</v>
      </c>
      <c r="D9209" s="1" t="s">
        <v>28</v>
      </c>
      <c r="E9209" s="1" t="s">
        <v>6</v>
      </c>
      <c r="F9209" s="1" t="s">
        <v>5091</v>
      </c>
      <c r="G9209" s="1" t="s">
        <v>5853</v>
      </c>
      <c r="H9209" s="1" t="s">
        <v>27</v>
      </c>
      <c r="I9209" s="1">
        <v>2015</v>
      </c>
    </row>
    <row r="9210" spans="1:10">
      <c r="A9210" s="7" t="s">
        <v>7369</v>
      </c>
      <c r="B9210" s="1" t="s">
        <v>2630</v>
      </c>
      <c r="C9210" s="1">
        <v>120</v>
      </c>
      <c r="D9210" s="1" t="s">
        <v>28</v>
      </c>
      <c r="E9210" s="1" t="s">
        <v>6</v>
      </c>
      <c r="F9210" s="1" t="s">
        <v>5091</v>
      </c>
      <c r="G9210" s="1" t="s">
        <v>5853</v>
      </c>
      <c r="H9210" s="1" t="s">
        <v>27</v>
      </c>
      <c r="I9210" s="1">
        <v>2014</v>
      </c>
    </row>
    <row r="9211" spans="1:10">
      <c r="A9211" s="7" t="s">
        <v>8093</v>
      </c>
      <c r="B9211" s="1" t="s">
        <v>2630</v>
      </c>
      <c r="C9211" s="1">
        <v>292</v>
      </c>
      <c r="D9211" s="1" t="s">
        <v>28</v>
      </c>
      <c r="E9211" s="1" t="s">
        <v>6</v>
      </c>
      <c r="F9211" s="1" t="s">
        <v>36</v>
      </c>
      <c r="G9211" s="1" t="s">
        <v>8094</v>
      </c>
      <c r="H9211" s="1" t="s">
        <v>27</v>
      </c>
      <c r="I9211" s="1">
        <v>2008</v>
      </c>
    </row>
    <row r="9212" spans="1:10">
      <c r="A9212" s="7" t="s">
        <v>8404</v>
      </c>
      <c r="B9212" s="1" t="s">
        <v>2630</v>
      </c>
      <c r="C9212" s="1">
        <v>120</v>
      </c>
      <c r="D9212" s="1" t="s">
        <v>28</v>
      </c>
      <c r="E9212" s="1" t="s">
        <v>6</v>
      </c>
      <c r="F9212" s="1" t="s">
        <v>5091</v>
      </c>
      <c r="G9212" s="1" t="s">
        <v>5853</v>
      </c>
      <c r="H9212" s="1" t="s">
        <v>27</v>
      </c>
      <c r="I9212" s="1">
        <v>2014</v>
      </c>
    </row>
    <row r="9213" spans="1:10">
      <c r="A9213" s="7" t="s">
        <v>8579</v>
      </c>
      <c r="B9213" s="1" t="s">
        <v>2630</v>
      </c>
      <c r="C9213" s="1">
        <v>120</v>
      </c>
      <c r="D9213" s="1" t="s">
        <v>28</v>
      </c>
      <c r="E9213" s="1" t="s">
        <v>6</v>
      </c>
      <c r="F9213" s="1" t="s">
        <v>5091</v>
      </c>
      <c r="G9213" s="1" t="s">
        <v>5853</v>
      </c>
      <c r="H9213" s="1" t="s">
        <v>27</v>
      </c>
      <c r="I9213" s="1">
        <v>2014</v>
      </c>
    </row>
    <row r="9214" spans="1:10">
      <c r="A9214" s="7" t="s">
        <v>8692</v>
      </c>
      <c r="B9214" s="1" t="s">
        <v>2630</v>
      </c>
      <c r="C9214" s="1">
        <v>120</v>
      </c>
      <c r="D9214" s="1" t="s">
        <v>28</v>
      </c>
      <c r="E9214" s="1" t="s">
        <v>6</v>
      </c>
      <c r="F9214" s="1" t="s">
        <v>5091</v>
      </c>
      <c r="G9214" s="1" t="s">
        <v>5853</v>
      </c>
      <c r="H9214" s="1" t="s">
        <v>27</v>
      </c>
      <c r="I9214" s="1">
        <v>2014</v>
      </c>
    </row>
    <row r="9215" spans="1:10">
      <c r="A9215" s="7" t="s">
        <v>8754</v>
      </c>
      <c r="B9215" s="1" t="s">
        <v>2630</v>
      </c>
      <c r="C9215" s="1">
        <v>120</v>
      </c>
      <c r="D9215" s="1" t="s">
        <v>28</v>
      </c>
      <c r="E9215" s="1" t="s">
        <v>6</v>
      </c>
      <c r="F9215" s="1" t="s">
        <v>5091</v>
      </c>
      <c r="G9215" s="1" t="s">
        <v>5853</v>
      </c>
      <c r="H9215" s="1" t="s">
        <v>27</v>
      </c>
      <c r="I9215" s="1">
        <v>2016</v>
      </c>
    </row>
    <row r="9216" spans="1:10">
      <c r="A9216" s="7" t="s">
        <v>8890</v>
      </c>
      <c r="B9216" s="1" t="s">
        <v>2630</v>
      </c>
      <c r="C9216" s="1">
        <v>120</v>
      </c>
      <c r="D9216" s="1" t="s">
        <v>28</v>
      </c>
      <c r="E9216" s="1" t="s">
        <v>6</v>
      </c>
      <c r="F9216" s="1" t="s">
        <v>5241</v>
      </c>
      <c r="G9216" s="1" t="s">
        <v>4800</v>
      </c>
      <c r="H9216" s="1" t="s">
        <v>27</v>
      </c>
      <c r="I9216" s="1">
        <v>2015</v>
      </c>
    </row>
    <row r="9217" spans="1:10">
      <c r="A9217" s="7" t="s">
        <v>10100</v>
      </c>
      <c r="B9217" s="1" t="s">
        <v>2630</v>
      </c>
      <c r="C9217" s="1">
        <v>292</v>
      </c>
      <c r="D9217" s="1" t="s">
        <v>28</v>
      </c>
      <c r="E9217" s="1" t="s">
        <v>6</v>
      </c>
      <c r="F9217" s="1" t="s">
        <v>36</v>
      </c>
      <c r="G9217" s="1" t="s">
        <v>4800</v>
      </c>
      <c r="H9217" s="1" t="s">
        <v>27</v>
      </c>
      <c r="I9217" s="1">
        <v>1997</v>
      </c>
    </row>
    <row r="9218" spans="1:10">
      <c r="A9218" s="7" t="s">
        <v>11475</v>
      </c>
      <c r="B9218" s="1" t="s">
        <v>2630</v>
      </c>
      <c r="C9218" s="1">
        <v>120</v>
      </c>
      <c r="D9218" s="1" t="s">
        <v>28</v>
      </c>
      <c r="E9218" s="1" t="s">
        <v>6</v>
      </c>
      <c r="F9218" s="1" t="s">
        <v>5241</v>
      </c>
      <c r="G9218" s="1" t="s">
        <v>4800</v>
      </c>
      <c r="H9218" s="1" t="s">
        <v>27</v>
      </c>
      <c r="I9218" s="1">
        <v>2013</v>
      </c>
    </row>
    <row r="9219" spans="1:10">
      <c r="A9219" s="7" t="s">
        <v>11514</v>
      </c>
      <c r="B9219" s="1" t="s">
        <v>2630</v>
      </c>
      <c r="C9219" s="1">
        <v>120</v>
      </c>
      <c r="D9219" s="1" t="s">
        <v>28</v>
      </c>
      <c r="E9219" s="1" t="s">
        <v>6</v>
      </c>
      <c r="F9219" s="1" t="s">
        <v>5241</v>
      </c>
      <c r="G9219" s="1" t="s">
        <v>4800</v>
      </c>
      <c r="H9219" s="1" t="s">
        <v>27</v>
      </c>
      <c r="I9219" s="1">
        <v>2013</v>
      </c>
    </row>
    <row r="9220" spans="1:10">
      <c r="A9220" s="7" t="s">
        <v>11519</v>
      </c>
      <c r="B9220" s="1" t="s">
        <v>2630</v>
      </c>
      <c r="C9220" s="1">
        <v>120</v>
      </c>
      <c r="D9220" s="1" t="s">
        <v>28</v>
      </c>
      <c r="E9220" s="1" t="s">
        <v>6</v>
      </c>
      <c r="F9220" s="1" t="s">
        <v>5241</v>
      </c>
      <c r="G9220" s="1" t="s">
        <v>4800</v>
      </c>
      <c r="H9220" s="1" t="s">
        <v>27</v>
      </c>
      <c r="I9220" s="1">
        <v>2013</v>
      </c>
    </row>
    <row r="9221" spans="1:10">
      <c r="A9221" s="7" t="s">
        <v>11528</v>
      </c>
      <c r="B9221" s="1" t="s">
        <v>2630</v>
      </c>
      <c r="C9221" s="1">
        <v>120</v>
      </c>
      <c r="D9221" s="1" t="s">
        <v>28</v>
      </c>
      <c r="E9221" s="1" t="s">
        <v>6</v>
      </c>
      <c r="F9221" s="1" t="s">
        <v>5241</v>
      </c>
      <c r="G9221" s="1" t="s">
        <v>4800</v>
      </c>
      <c r="H9221" s="1" t="s">
        <v>27</v>
      </c>
      <c r="I9221" s="1">
        <v>2013</v>
      </c>
    </row>
    <row r="9222" spans="1:10">
      <c r="A9222" s="7" t="s">
        <v>11545</v>
      </c>
      <c r="B9222" s="1" t="s">
        <v>2630</v>
      </c>
      <c r="C9222" s="1">
        <v>120</v>
      </c>
      <c r="D9222" s="1" t="s">
        <v>28</v>
      </c>
      <c r="E9222" s="1" t="s">
        <v>6</v>
      </c>
      <c r="F9222" s="1" t="s">
        <v>5241</v>
      </c>
      <c r="G9222" s="1" t="s">
        <v>4800</v>
      </c>
      <c r="H9222" s="1" t="s">
        <v>27</v>
      </c>
      <c r="I9222" s="1">
        <v>2013</v>
      </c>
    </row>
    <row r="9223" spans="1:10">
      <c r="A9223" s="7" t="s">
        <v>12035</v>
      </c>
      <c r="B9223" s="1" t="s">
        <v>2630</v>
      </c>
      <c r="C9223" s="1">
        <v>120</v>
      </c>
      <c r="D9223" s="1" t="s">
        <v>28</v>
      </c>
      <c r="E9223" s="1" t="s">
        <v>6</v>
      </c>
      <c r="F9223" s="1" t="s">
        <v>36</v>
      </c>
      <c r="G9223" s="1" t="s">
        <v>4800</v>
      </c>
      <c r="H9223" s="1" t="s">
        <v>27</v>
      </c>
      <c r="I9223" s="1">
        <v>2015</v>
      </c>
    </row>
    <row r="9224" spans="1:10">
      <c r="A9224" s="7" t="s">
        <v>14452</v>
      </c>
      <c r="B9224" s="2" t="s">
        <v>2630</v>
      </c>
      <c r="C9224" s="1">
        <v>120</v>
      </c>
      <c r="D9224" s="1" t="s">
        <v>28</v>
      </c>
      <c r="E9224" s="1" t="s">
        <v>6</v>
      </c>
      <c r="F9224" s="1" t="s">
        <v>118</v>
      </c>
      <c r="G9224" s="14" t="s">
        <v>4800</v>
      </c>
      <c r="H9224" s="1" t="s">
        <v>4800</v>
      </c>
      <c r="I9224" s="1" t="s">
        <v>4789</v>
      </c>
    </row>
    <row r="9225" spans="1:10">
      <c r="A9225" s="7" t="s">
        <v>16729</v>
      </c>
      <c r="B9225" s="2" t="s">
        <v>2630</v>
      </c>
      <c r="C9225" s="1">
        <v>120</v>
      </c>
      <c r="D9225" s="1" t="s">
        <v>28</v>
      </c>
      <c r="E9225" s="1" t="s">
        <v>6</v>
      </c>
      <c r="F9225" s="1" t="s">
        <v>2693</v>
      </c>
      <c r="G9225" s="14" t="s">
        <v>4800</v>
      </c>
      <c r="H9225" s="1" t="s">
        <v>4800</v>
      </c>
      <c r="I9225" s="1" t="s">
        <v>5807</v>
      </c>
    </row>
    <row r="9226" spans="1:10">
      <c r="A9226" s="7" t="s">
        <v>4802</v>
      </c>
      <c r="B9226" s="1" t="s">
        <v>2630</v>
      </c>
      <c r="C9226" s="1">
        <v>120</v>
      </c>
      <c r="D9226" s="1" t="s">
        <v>28</v>
      </c>
      <c r="E9226" s="1" t="s">
        <v>6</v>
      </c>
      <c r="F9226" s="1" t="s">
        <v>2693</v>
      </c>
      <c r="G9226" s="1" t="s">
        <v>4803</v>
      </c>
      <c r="H9226" s="1" t="s">
        <v>5</v>
      </c>
      <c r="I9226" s="1">
        <v>1995</v>
      </c>
      <c r="J9226" s="1"/>
    </row>
    <row r="9227" spans="1:10">
      <c r="A9227" s="7" t="s">
        <v>4815</v>
      </c>
      <c r="B9227" s="1" t="s">
        <v>2630</v>
      </c>
      <c r="C9227" s="1">
        <v>120</v>
      </c>
      <c r="D9227" s="1" t="s">
        <v>28</v>
      </c>
      <c r="E9227" s="1" t="s">
        <v>6</v>
      </c>
      <c r="F9227" s="1" t="s">
        <v>2693</v>
      </c>
      <c r="G9227" s="1" t="s">
        <v>4803</v>
      </c>
      <c r="H9227" s="1" t="s">
        <v>5</v>
      </c>
      <c r="I9227" s="1">
        <v>1999</v>
      </c>
      <c r="J9227" s="17"/>
    </row>
    <row r="9228" spans="1:10">
      <c r="A9228" s="7" t="s">
        <v>4819</v>
      </c>
      <c r="B9228" s="1" t="s">
        <v>2630</v>
      </c>
      <c r="C9228" s="1">
        <v>120</v>
      </c>
      <c r="D9228" s="1" t="s">
        <v>28</v>
      </c>
      <c r="E9228" s="1" t="s">
        <v>6</v>
      </c>
      <c r="F9228" s="1" t="s">
        <v>2693</v>
      </c>
      <c r="G9228" s="1" t="s">
        <v>4803</v>
      </c>
      <c r="H9228" s="1" t="s">
        <v>5</v>
      </c>
      <c r="I9228" s="1">
        <v>2006</v>
      </c>
      <c r="J9228" s="17"/>
    </row>
    <row r="9229" spans="1:10">
      <c r="A9229" s="7" t="s">
        <v>4842</v>
      </c>
      <c r="B9229" s="1" t="s">
        <v>2630</v>
      </c>
      <c r="C9229" s="1">
        <v>120</v>
      </c>
      <c r="D9229" s="1" t="s">
        <v>28</v>
      </c>
      <c r="E9229" s="1" t="s">
        <v>6</v>
      </c>
      <c r="F9229" s="1" t="s">
        <v>2693</v>
      </c>
      <c r="G9229" s="1" t="s">
        <v>4803</v>
      </c>
      <c r="H9229" s="1" t="s">
        <v>5</v>
      </c>
      <c r="I9229" s="1">
        <v>2010</v>
      </c>
      <c r="J9229" s="1"/>
    </row>
    <row r="9230" spans="1:10">
      <c r="A9230" s="7" t="s">
        <v>4847</v>
      </c>
      <c r="B9230" s="1" t="s">
        <v>2630</v>
      </c>
      <c r="C9230" s="1">
        <v>120</v>
      </c>
      <c r="D9230" s="1" t="s">
        <v>28</v>
      </c>
      <c r="E9230" s="1" t="s">
        <v>6</v>
      </c>
      <c r="F9230" s="1" t="s">
        <v>2693</v>
      </c>
      <c r="G9230" s="1" t="s">
        <v>4803</v>
      </c>
      <c r="H9230" s="1" t="s">
        <v>5</v>
      </c>
      <c r="I9230" s="1">
        <v>2011</v>
      </c>
      <c r="J9230" s="17"/>
    </row>
    <row r="9231" spans="1:10">
      <c r="A9231" s="7" t="s">
        <v>4852</v>
      </c>
      <c r="B9231" s="1" t="s">
        <v>2630</v>
      </c>
      <c r="C9231" s="1">
        <v>120</v>
      </c>
      <c r="D9231" s="1" t="s">
        <v>28</v>
      </c>
      <c r="E9231" s="1" t="s">
        <v>6</v>
      </c>
      <c r="F9231" s="1" t="s">
        <v>2693</v>
      </c>
      <c r="G9231" s="1" t="s">
        <v>4803</v>
      </c>
      <c r="H9231" s="1" t="s">
        <v>5</v>
      </c>
      <c r="I9231" s="1">
        <v>2012</v>
      </c>
      <c r="J9231" s="17"/>
    </row>
    <row r="9232" spans="1:10">
      <c r="A9232" s="7" t="s">
        <v>4881</v>
      </c>
      <c r="B9232" s="1" t="s">
        <v>2630</v>
      </c>
      <c r="C9232" s="1">
        <v>120</v>
      </c>
      <c r="D9232" s="1" t="s">
        <v>28</v>
      </c>
      <c r="E9232" s="1" t="s">
        <v>6</v>
      </c>
      <c r="F9232" s="1" t="s">
        <v>2693</v>
      </c>
      <c r="G9232" s="1" t="s">
        <v>4803</v>
      </c>
      <c r="H9232" s="1" t="s">
        <v>5</v>
      </c>
      <c r="I9232" s="1">
        <v>2013</v>
      </c>
      <c r="J9232" s="17"/>
    </row>
    <row r="9233" spans="1:10">
      <c r="A9233" s="7" t="s">
        <v>4928</v>
      </c>
      <c r="B9233" s="1" t="s">
        <v>2630</v>
      </c>
      <c r="C9233" s="1">
        <v>120</v>
      </c>
      <c r="D9233" s="1" t="s">
        <v>28</v>
      </c>
      <c r="E9233" s="1" t="s">
        <v>6</v>
      </c>
      <c r="F9233" s="1" t="s">
        <v>2693</v>
      </c>
      <c r="G9233" s="1" t="s">
        <v>4803</v>
      </c>
      <c r="H9233" s="1" t="s">
        <v>5</v>
      </c>
      <c r="I9233" s="1">
        <v>2015</v>
      </c>
      <c r="J9233" s="17"/>
    </row>
    <row r="9234" spans="1:10">
      <c r="A9234" s="7" t="s">
        <v>4944</v>
      </c>
      <c r="B9234" s="1" t="s">
        <v>2630</v>
      </c>
      <c r="C9234" s="1">
        <v>120</v>
      </c>
      <c r="D9234" s="1" t="s">
        <v>28</v>
      </c>
      <c r="E9234" s="1" t="s">
        <v>6</v>
      </c>
      <c r="F9234" s="1" t="s">
        <v>2693</v>
      </c>
      <c r="G9234" s="1" t="s">
        <v>4803</v>
      </c>
      <c r="H9234" s="1" t="s">
        <v>5</v>
      </c>
      <c r="I9234" s="1">
        <v>2014</v>
      </c>
      <c r="J9234" s="17"/>
    </row>
    <row r="9235" spans="1:10">
      <c r="A9235" s="7" t="s">
        <v>5028</v>
      </c>
      <c r="B9235" s="1" t="s">
        <v>2629</v>
      </c>
      <c r="C9235" s="1">
        <v>8</v>
      </c>
      <c r="D9235" s="1" t="s">
        <v>28</v>
      </c>
      <c r="E9235" s="1" t="s">
        <v>6</v>
      </c>
      <c r="F9235" s="1" t="s">
        <v>118</v>
      </c>
      <c r="G9235" s="1" t="s">
        <v>4458</v>
      </c>
      <c r="H9235" s="1" t="s">
        <v>118</v>
      </c>
      <c r="I9235" s="1" t="s">
        <v>4792</v>
      </c>
    </row>
    <row r="9236" spans="1:10">
      <c r="A9236" s="16" t="s">
        <v>5160</v>
      </c>
      <c r="B9236" s="1" t="s">
        <v>2631</v>
      </c>
      <c r="C9236" s="1">
        <v>8</v>
      </c>
      <c r="D9236" s="1" t="s">
        <v>28</v>
      </c>
      <c r="E9236" s="1" t="s">
        <v>6</v>
      </c>
      <c r="F9236" s="1" t="s">
        <v>2691</v>
      </c>
      <c r="G9236" s="1" t="s">
        <v>5</v>
      </c>
      <c r="H9236" s="1" t="s">
        <v>5</v>
      </c>
      <c r="I9236" s="17">
        <v>40544</v>
      </c>
      <c r="J9236" s="17"/>
    </row>
    <row r="9237" spans="1:10">
      <c r="A9237" s="7" t="s">
        <v>5178</v>
      </c>
      <c r="B9237" s="1" t="s">
        <v>2630</v>
      </c>
      <c r="C9237" s="1">
        <v>120</v>
      </c>
      <c r="D9237" s="1" t="s">
        <v>28</v>
      </c>
      <c r="E9237" s="1" t="s">
        <v>6</v>
      </c>
      <c r="F9237" s="1" t="s">
        <v>2695</v>
      </c>
      <c r="G9237" s="1" t="s">
        <v>5179</v>
      </c>
      <c r="H9237" s="1" t="s">
        <v>43</v>
      </c>
      <c r="I9237" s="1">
        <v>2010</v>
      </c>
      <c r="J9237" s="17"/>
    </row>
    <row r="9238" spans="1:10">
      <c r="A9238" s="7" t="s">
        <v>5182</v>
      </c>
      <c r="B9238" s="1" t="s">
        <v>2630</v>
      </c>
      <c r="C9238" s="1">
        <v>120</v>
      </c>
      <c r="D9238" s="1" t="s">
        <v>28</v>
      </c>
      <c r="E9238" s="1" t="s">
        <v>6</v>
      </c>
      <c r="F9238" s="1" t="s">
        <v>2695</v>
      </c>
      <c r="G9238" s="1" t="s">
        <v>5179</v>
      </c>
      <c r="H9238" s="1" t="s">
        <v>43</v>
      </c>
      <c r="I9238" s="1">
        <v>2010</v>
      </c>
      <c r="J9238" s="17"/>
    </row>
    <row r="9239" spans="1:10">
      <c r="A9239" s="7" t="s">
        <v>5190</v>
      </c>
      <c r="B9239" s="1" t="s">
        <v>2630</v>
      </c>
      <c r="C9239" s="1">
        <v>120</v>
      </c>
      <c r="D9239" s="1" t="s">
        <v>28</v>
      </c>
      <c r="E9239" s="1" t="s">
        <v>6</v>
      </c>
      <c r="F9239" s="1" t="s">
        <v>2695</v>
      </c>
      <c r="G9239" s="1" t="s">
        <v>5189</v>
      </c>
      <c r="H9239" s="1" t="s">
        <v>43</v>
      </c>
      <c r="I9239" s="1">
        <v>2008</v>
      </c>
      <c r="J9239" s="17"/>
    </row>
    <row r="9240" spans="1:10">
      <c r="A9240" s="7" t="s">
        <v>5193</v>
      </c>
      <c r="B9240" s="1" t="s">
        <v>2630</v>
      </c>
      <c r="C9240" s="1">
        <v>120</v>
      </c>
      <c r="D9240" s="1" t="s">
        <v>28</v>
      </c>
      <c r="E9240" s="1" t="s">
        <v>6</v>
      </c>
      <c r="F9240" s="1" t="s">
        <v>2695</v>
      </c>
      <c r="G9240" s="1" t="s">
        <v>5189</v>
      </c>
      <c r="H9240" s="1" t="s">
        <v>43</v>
      </c>
      <c r="I9240" s="1">
        <v>2008</v>
      </c>
      <c r="J9240" s="17"/>
    </row>
    <row r="9241" spans="1:10">
      <c r="A9241" s="7" t="s">
        <v>5200</v>
      </c>
      <c r="B9241" s="1" t="s">
        <v>2630</v>
      </c>
      <c r="C9241" s="1">
        <v>120</v>
      </c>
      <c r="D9241" s="1" t="s">
        <v>28</v>
      </c>
      <c r="E9241" s="1" t="s">
        <v>6</v>
      </c>
      <c r="F9241" s="1" t="s">
        <v>2695</v>
      </c>
      <c r="G9241" s="1" t="s">
        <v>5179</v>
      </c>
      <c r="H9241" s="1" t="s">
        <v>43</v>
      </c>
      <c r="I9241" s="1">
        <v>2010</v>
      </c>
      <c r="J9241" s="17"/>
    </row>
    <row r="9242" spans="1:10">
      <c r="A9242" s="7" t="s">
        <v>5207</v>
      </c>
      <c r="B9242" s="1" t="s">
        <v>2630</v>
      </c>
      <c r="C9242" s="1">
        <v>120</v>
      </c>
      <c r="D9242" s="1" t="s">
        <v>28</v>
      </c>
      <c r="E9242" s="1" t="s">
        <v>6</v>
      </c>
      <c r="F9242" s="1" t="s">
        <v>2695</v>
      </c>
      <c r="G9242" s="1" t="s">
        <v>5208</v>
      </c>
      <c r="H9242" s="1" t="s">
        <v>5</v>
      </c>
      <c r="I9242" s="1">
        <v>1997</v>
      </c>
      <c r="J9242" s="17"/>
    </row>
    <row r="9243" spans="1:10">
      <c r="A9243" s="7" t="s">
        <v>5209</v>
      </c>
      <c r="B9243" s="1" t="s">
        <v>2630</v>
      </c>
      <c r="C9243" s="1">
        <v>120</v>
      </c>
      <c r="D9243" s="1" t="s">
        <v>28</v>
      </c>
      <c r="E9243" s="1" t="s">
        <v>6</v>
      </c>
      <c r="F9243" s="1" t="s">
        <v>2695</v>
      </c>
      <c r="G9243" s="1" t="s">
        <v>5210</v>
      </c>
      <c r="H9243" s="1" t="s">
        <v>43</v>
      </c>
      <c r="I9243" s="1">
        <v>2007</v>
      </c>
      <c r="J9243" s="17"/>
    </row>
    <row r="9244" spans="1:10">
      <c r="A9244" s="7" t="s">
        <v>5212</v>
      </c>
      <c r="B9244" s="1" t="s">
        <v>2630</v>
      </c>
      <c r="C9244" s="1">
        <v>120</v>
      </c>
      <c r="D9244" s="1" t="s">
        <v>28</v>
      </c>
      <c r="E9244" s="1" t="s">
        <v>6</v>
      </c>
      <c r="F9244" s="1" t="s">
        <v>2695</v>
      </c>
      <c r="G9244" s="1" t="s">
        <v>5179</v>
      </c>
      <c r="H9244" s="1" t="s">
        <v>43</v>
      </c>
      <c r="I9244" s="1">
        <v>2011</v>
      </c>
      <c r="J9244" s="17"/>
    </row>
    <row r="9245" spans="1:10">
      <c r="A9245" s="7" t="s">
        <v>5215</v>
      </c>
      <c r="B9245" s="1" t="s">
        <v>2629</v>
      </c>
      <c r="C9245" s="1">
        <v>289</v>
      </c>
      <c r="D9245" s="1" t="s">
        <v>28</v>
      </c>
      <c r="E9245" s="1" t="s">
        <v>6</v>
      </c>
      <c r="F9245" s="1" t="s">
        <v>118</v>
      </c>
      <c r="G9245" s="1" t="s">
        <v>4458</v>
      </c>
      <c r="H9245" s="1" t="s">
        <v>118</v>
      </c>
      <c r="I9245" s="1" t="s">
        <v>4792</v>
      </c>
    </row>
    <row r="9246" spans="1:10">
      <c r="A9246" s="16" t="s">
        <v>5549</v>
      </c>
      <c r="B9246" s="1" t="s">
        <v>2631</v>
      </c>
      <c r="C9246" s="1">
        <v>8</v>
      </c>
      <c r="D9246" s="1" t="s">
        <v>28</v>
      </c>
      <c r="E9246" s="1" t="s">
        <v>6</v>
      </c>
      <c r="F9246" s="1" t="s">
        <v>2699</v>
      </c>
      <c r="G9246" s="14" t="s">
        <v>4458</v>
      </c>
      <c r="H9246" s="1" t="s">
        <v>118</v>
      </c>
      <c r="I9246" s="17">
        <v>41640</v>
      </c>
    </row>
    <row r="9247" spans="1:10">
      <c r="A9247" s="7" t="s">
        <v>5623</v>
      </c>
      <c r="B9247" s="1" t="s">
        <v>2630</v>
      </c>
      <c r="C9247" s="1">
        <v>120</v>
      </c>
      <c r="D9247" s="1" t="s">
        <v>28</v>
      </c>
      <c r="E9247" s="1" t="s">
        <v>6</v>
      </c>
      <c r="F9247" s="1" t="s">
        <v>2695</v>
      </c>
      <c r="G9247" s="1" t="s">
        <v>5624</v>
      </c>
      <c r="H9247" s="1" t="s">
        <v>5</v>
      </c>
      <c r="I9247" s="1" t="s">
        <v>5625</v>
      </c>
      <c r="J9247" s="17"/>
    </row>
    <row r="9248" spans="1:10">
      <c r="A9248" s="7" t="s">
        <v>5626</v>
      </c>
      <c r="B9248" s="1" t="s">
        <v>2630</v>
      </c>
      <c r="C9248" s="1">
        <v>120</v>
      </c>
      <c r="D9248" s="1" t="s">
        <v>28</v>
      </c>
      <c r="E9248" s="1" t="s">
        <v>6</v>
      </c>
      <c r="F9248" s="1" t="s">
        <v>2695</v>
      </c>
      <c r="G9248" s="1" t="s">
        <v>5627</v>
      </c>
      <c r="H9248" s="1" t="s">
        <v>43</v>
      </c>
      <c r="I9248" s="1" t="s">
        <v>5625</v>
      </c>
      <c r="J9248" s="17"/>
    </row>
    <row r="9249" spans="1:10">
      <c r="A9249" s="7" t="s">
        <v>5628</v>
      </c>
      <c r="B9249" s="1" t="s">
        <v>2630</v>
      </c>
      <c r="C9249" s="1">
        <v>120</v>
      </c>
      <c r="D9249" s="1" t="s">
        <v>28</v>
      </c>
      <c r="E9249" s="1" t="s">
        <v>6</v>
      </c>
      <c r="F9249" s="1" t="s">
        <v>2695</v>
      </c>
      <c r="G9249" s="1" t="s">
        <v>5629</v>
      </c>
      <c r="H9249" s="1" t="s">
        <v>43</v>
      </c>
      <c r="I9249" s="1" t="s">
        <v>5630</v>
      </c>
      <c r="J9249" s="17"/>
    </row>
    <row r="9250" spans="1:10">
      <c r="A9250" s="7" t="s">
        <v>5631</v>
      </c>
      <c r="B9250" s="1" t="s">
        <v>2630</v>
      </c>
      <c r="C9250" s="1">
        <v>120</v>
      </c>
      <c r="D9250" s="1" t="s">
        <v>28</v>
      </c>
      <c r="E9250" s="1" t="s">
        <v>6</v>
      </c>
      <c r="F9250" s="1" t="s">
        <v>2695</v>
      </c>
      <c r="G9250" s="1" t="s">
        <v>5632</v>
      </c>
      <c r="H9250" s="1" t="s">
        <v>5</v>
      </c>
      <c r="I9250" s="1" t="s">
        <v>5630</v>
      </c>
      <c r="J9250" s="17"/>
    </row>
    <row r="9251" spans="1:10">
      <c r="A9251" s="7" t="s">
        <v>5634</v>
      </c>
      <c r="B9251" s="1" t="s">
        <v>2630</v>
      </c>
      <c r="C9251" s="1">
        <v>120</v>
      </c>
      <c r="D9251" s="1" t="s">
        <v>28</v>
      </c>
      <c r="E9251" s="1" t="s">
        <v>6</v>
      </c>
      <c r="F9251" s="1" t="s">
        <v>2695</v>
      </c>
      <c r="G9251" s="1" t="s">
        <v>5635</v>
      </c>
      <c r="H9251" s="1" t="s">
        <v>43</v>
      </c>
      <c r="I9251" s="1" t="s">
        <v>5630</v>
      </c>
      <c r="J9251" s="17"/>
    </row>
    <row r="9252" spans="1:10">
      <c r="A9252" s="7" t="s">
        <v>5649</v>
      </c>
      <c r="B9252" s="1" t="s">
        <v>2630</v>
      </c>
      <c r="C9252" s="1">
        <v>120</v>
      </c>
      <c r="D9252" s="1" t="s">
        <v>28</v>
      </c>
      <c r="E9252" s="1" t="s">
        <v>6</v>
      </c>
      <c r="F9252" s="1" t="s">
        <v>2695</v>
      </c>
      <c r="G9252" s="1" t="s">
        <v>5635</v>
      </c>
      <c r="H9252" s="1" t="s">
        <v>43</v>
      </c>
      <c r="I9252" s="1" t="s">
        <v>5642</v>
      </c>
      <c r="J9252" s="17"/>
    </row>
    <row r="9253" spans="1:10">
      <c r="A9253" s="7" t="s">
        <v>5651</v>
      </c>
      <c r="B9253" s="1" t="s">
        <v>2630</v>
      </c>
      <c r="C9253" s="1">
        <v>120</v>
      </c>
      <c r="D9253" s="1" t="s">
        <v>28</v>
      </c>
      <c r="E9253" s="1" t="s">
        <v>6</v>
      </c>
      <c r="F9253" s="1" t="s">
        <v>2695</v>
      </c>
      <c r="G9253" s="1" t="s">
        <v>5635</v>
      </c>
      <c r="H9253" s="1" t="s">
        <v>43</v>
      </c>
      <c r="I9253" s="1" t="s">
        <v>5642</v>
      </c>
      <c r="J9253" s="17"/>
    </row>
    <row r="9254" spans="1:10">
      <c r="A9254" s="7" t="s">
        <v>5654</v>
      </c>
      <c r="B9254" s="1" t="s">
        <v>2630</v>
      </c>
      <c r="C9254" s="1">
        <v>120</v>
      </c>
      <c r="D9254" s="1" t="s">
        <v>28</v>
      </c>
      <c r="E9254" s="1" t="s">
        <v>6</v>
      </c>
      <c r="F9254" s="1" t="s">
        <v>2695</v>
      </c>
      <c r="G9254" s="1" t="s">
        <v>5629</v>
      </c>
      <c r="H9254" s="1" t="s">
        <v>43</v>
      </c>
      <c r="I9254" s="1" t="s">
        <v>5653</v>
      </c>
      <c r="J9254" s="17"/>
    </row>
    <row r="9255" spans="1:10">
      <c r="A9255" s="7" t="s">
        <v>5657</v>
      </c>
      <c r="B9255" s="1" t="s">
        <v>2630</v>
      </c>
      <c r="C9255" s="1">
        <v>120</v>
      </c>
      <c r="D9255" s="1" t="s">
        <v>28</v>
      </c>
      <c r="E9255" s="1" t="s">
        <v>6</v>
      </c>
      <c r="F9255" s="1" t="s">
        <v>2695</v>
      </c>
      <c r="G9255" s="1" t="s">
        <v>5635</v>
      </c>
      <c r="H9255" s="1" t="s">
        <v>43</v>
      </c>
      <c r="I9255" s="1" t="s">
        <v>5653</v>
      </c>
      <c r="J9255" s="17"/>
    </row>
    <row r="9256" spans="1:10">
      <c r="A9256" s="7" t="s">
        <v>5658</v>
      </c>
      <c r="B9256" s="1" t="s">
        <v>2630</v>
      </c>
      <c r="C9256" s="1">
        <v>120</v>
      </c>
      <c r="D9256" s="1" t="s">
        <v>28</v>
      </c>
      <c r="E9256" s="1" t="s">
        <v>6</v>
      </c>
      <c r="F9256" s="1" t="s">
        <v>2695</v>
      </c>
      <c r="G9256" s="1" t="s">
        <v>5635</v>
      </c>
      <c r="H9256" s="1" t="s">
        <v>43</v>
      </c>
      <c r="I9256" s="1" t="s">
        <v>5659</v>
      </c>
      <c r="J9256" s="17"/>
    </row>
    <row r="9257" spans="1:10">
      <c r="A9257" s="7" t="s">
        <v>5660</v>
      </c>
      <c r="B9257" s="1" t="s">
        <v>2630</v>
      </c>
      <c r="C9257" s="1">
        <v>120</v>
      </c>
      <c r="D9257" s="1" t="s">
        <v>28</v>
      </c>
      <c r="E9257" s="1" t="s">
        <v>6</v>
      </c>
      <c r="F9257" s="1" t="s">
        <v>2695</v>
      </c>
      <c r="G9257" s="1" t="s">
        <v>5635</v>
      </c>
      <c r="H9257" s="1" t="s">
        <v>43</v>
      </c>
      <c r="I9257" s="1" t="s">
        <v>5659</v>
      </c>
      <c r="J9257" s="17"/>
    </row>
    <row r="9258" spans="1:10">
      <c r="A9258" s="7" t="s">
        <v>5661</v>
      </c>
      <c r="B9258" s="1" t="s">
        <v>2630</v>
      </c>
      <c r="C9258" s="1">
        <v>120</v>
      </c>
      <c r="D9258" s="1" t="s">
        <v>28</v>
      </c>
      <c r="E9258" s="1" t="s">
        <v>6</v>
      </c>
      <c r="F9258" s="1" t="s">
        <v>2695</v>
      </c>
      <c r="G9258" s="1" t="s">
        <v>5635</v>
      </c>
      <c r="H9258" s="1" t="s">
        <v>43</v>
      </c>
      <c r="I9258" s="1" t="s">
        <v>5659</v>
      </c>
      <c r="J9258" s="17"/>
    </row>
    <row r="9259" spans="1:10">
      <c r="A9259" s="7" t="s">
        <v>5662</v>
      </c>
      <c r="B9259" s="1" t="s">
        <v>2630</v>
      </c>
      <c r="C9259" s="1">
        <v>120</v>
      </c>
      <c r="D9259" s="1" t="s">
        <v>28</v>
      </c>
      <c r="E9259" s="1" t="s">
        <v>6</v>
      </c>
      <c r="F9259" s="1" t="s">
        <v>2695</v>
      </c>
      <c r="G9259" s="1" t="s">
        <v>5635</v>
      </c>
      <c r="H9259" s="1" t="s">
        <v>43</v>
      </c>
      <c r="I9259" s="1" t="s">
        <v>5659</v>
      </c>
      <c r="J9259" s="17"/>
    </row>
    <row r="9260" spans="1:10">
      <c r="A9260" s="7" t="s">
        <v>5663</v>
      </c>
      <c r="B9260" s="1" t="s">
        <v>2630</v>
      </c>
      <c r="C9260" s="1">
        <v>120</v>
      </c>
      <c r="D9260" s="1" t="s">
        <v>28</v>
      </c>
      <c r="E9260" s="1" t="s">
        <v>6</v>
      </c>
      <c r="F9260" s="1" t="s">
        <v>2695</v>
      </c>
      <c r="G9260" s="1" t="s">
        <v>5635</v>
      </c>
      <c r="H9260" s="1" t="s">
        <v>43</v>
      </c>
      <c r="I9260" s="1" t="s">
        <v>5659</v>
      </c>
      <c r="J9260" s="17"/>
    </row>
    <row r="9261" spans="1:10">
      <c r="A9261" s="7" t="s">
        <v>5664</v>
      </c>
      <c r="B9261" s="1" t="s">
        <v>2630</v>
      </c>
      <c r="C9261" s="1">
        <v>120</v>
      </c>
      <c r="D9261" s="1" t="s">
        <v>28</v>
      </c>
      <c r="E9261" s="1" t="s">
        <v>6</v>
      </c>
      <c r="F9261" s="1" t="s">
        <v>2695</v>
      </c>
      <c r="G9261" s="1" t="s">
        <v>5635</v>
      </c>
      <c r="H9261" s="1" t="s">
        <v>43</v>
      </c>
      <c r="I9261" s="1" t="s">
        <v>5659</v>
      </c>
      <c r="J9261" s="17"/>
    </row>
    <row r="9262" spans="1:10">
      <c r="A9262" s="7" t="s">
        <v>5665</v>
      </c>
      <c r="B9262" s="1" t="s">
        <v>2630</v>
      </c>
      <c r="C9262" s="1">
        <v>120</v>
      </c>
      <c r="D9262" s="1" t="s">
        <v>28</v>
      </c>
      <c r="E9262" s="1" t="s">
        <v>6</v>
      </c>
      <c r="F9262" s="1" t="s">
        <v>2695</v>
      </c>
      <c r="G9262" s="1" t="s">
        <v>5635</v>
      </c>
      <c r="H9262" s="1" t="s">
        <v>43</v>
      </c>
      <c r="I9262" s="1" t="s">
        <v>5659</v>
      </c>
      <c r="J9262" s="1"/>
    </row>
    <row r="9263" spans="1:10">
      <c r="A9263" s="7" t="s">
        <v>5666</v>
      </c>
      <c r="B9263" s="1" t="s">
        <v>2630</v>
      </c>
      <c r="C9263" s="1">
        <v>120</v>
      </c>
      <c r="D9263" s="1" t="s">
        <v>28</v>
      </c>
      <c r="E9263" s="1" t="s">
        <v>6</v>
      </c>
      <c r="F9263" s="1" t="s">
        <v>2695</v>
      </c>
      <c r="G9263" s="1" t="s">
        <v>5635</v>
      </c>
      <c r="H9263" s="1" t="s">
        <v>43</v>
      </c>
      <c r="I9263" s="1" t="s">
        <v>5659</v>
      </c>
      <c r="J9263" s="17"/>
    </row>
    <row r="9264" spans="1:10">
      <c r="A9264" s="7" t="s">
        <v>5667</v>
      </c>
      <c r="B9264" s="1" t="s">
        <v>2630</v>
      </c>
      <c r="C9264" s="1">
        <v>120</v>
      </c>
      <c r="D9264" s="1" t="s">
        <v>28</v>
      </c>
      <c r="E9264" s="1" t="s">
        <v>6</v>
      </c>
      <c r="F9264" s="1" t="s">
        <v>2695</v>
      </c>
      <c r="G9264" s="1" t="s">
        <v>5635</v>
      </c>
      <c r="H9264" s="1" t="s">
        <v>43</v>
      </c>
      <c r="I9264" s="1" t="s">
        <v>5659</v>
      </c>
      <c r="J9264" s="17"/>
    </row>
    <row r="9265" spans="1:10">
      <c r="A9265" s="7" t="s">
        <v>5668</v>
      </c>
      <c r="B9265" s="1" t="s">
        <v>2630</v>
      </c>
      <c r="C9265" s="1">
        <v>120</v>
      </c>
      <c r="D9265" s="1" t="s">
        <v>28</v>
      </c>
      <c r="E9265" s="1" t="s">
        <v>6</v>
      </c>
      <c r="F9265" s="1" t="s">
        <v>2695</v>
      </c>
      <c r="G9265" s="1" t="s">
        <v>5635</v>
      </c>
      <c r="H9265" s="1" t="s">
        <v>43</v>
      </c>
      <c r="I9265" s="1" t="s">
        <v>5659</v>
      </c>
      <c r="J9265" s="17"/>
    </row>
    <row r="9266" spans="1:10">
      <c r="A9266" s="21" t="s">
        <v>5669</v>
      </c>
      <c r="B9266" s="13" t="s">
        <v>16955</v>
      </c>
      <c r="C9266" s="13">
        <v>120</v>
      </c>
      <c r="D9266" s="13" t="s">
        <v>28</v>
      </c>
      <c r="E9266" s="13" t="s">
        <v>6</v>
      </c>
      <c r="F9266" s="13" t="s">
        <v>2695</v>
      </c>
      <c r="G9266" s="13" t="s">
        <v>5635</v>
      </c>
      <c r="H9266" s="13" t="s">
        <v>43</v>
      </c>
      <c r="I9266" s="13" t="s">
        <v>5659</v>
      </c>
      <c r="J9266" s="17"/>
    </row>
    <row r="9267" spans="1:10">
      <c r="A9267" s="7" t="s">
        <v>5670</v>
      </c>
      <c r="B9267" s="1" t="s">
        <v>2630</v>
      </c>
      <c r="C9267" s="1">
        <v>120</v>
      </c>
      <c r="D9267" s="1" t="s">
        <v>28</v>
      </c>
      <c r="E9267" s="1" t="s">
        <v>6</v>
      </c>
      <c r="F9267" s="1" t="s">
        <v>2695</v>
      </c>
      <c r="G9267" s="1" t="s">
        <v>5635</v>
      </c>
      <c r="H9267" s="1" t="s">
        <v>43</v>
      </c>
      <c r="I9267" s="1" t="s">
        <v>5659</v>
      </c>
      <c r="J9267" s="17"/>
    </row>
    <row r="9268" spans="1:10">
      <c r="A9268" s="7" t="s">
        <v>5671</v>
      </c>
      <c r="B9268" s="1" t="s">
        <v>2630</v>
      </c>
      <c r="C9268" s="1">
        <v>120</v>
      </c>
      <c r="D9268" s="1" t="s">
        <v>28</v>
      </c>
      <c r="E9268" s="1" t="s">
        <v>6</v>
      </c>
      <c r="F9268" s="1" t="s">
        <v>2695</v>
      </c>
      <c r="G9268" s="1" t="s">
        <v>5635</v>
      </c>
      <c r="H9268" s="1" t="s">
        <v>43</v>
      </c>
      <c r="I9268" s="1" t="s">
        <v>5659</v>
      </c>
      <c r="J9268" s="17"/>
    </row>
    <row r="9269" spans="1:10">
      <c r="A9269" s="7" t="s">
        <v>5672</v>
      </c>
      <c r="B9269" s="1" t="s">
        <v>2630</v>
      </c>
      <c r="C9269" s="1">
        <v>120</v>
      </c>
      <c r="D9269" s="1" t="s">
        <v>28</v>
      </c>
      <c r="E9269" s="1" t="s">
        <v>6</v>
      </c>
      <c r="F9269" s="1" t="s">
        <v>2695</v>
      </c>
      <c r="G9269" s="1" t="s">
        <v>5635</v>
      </c>
      <c r="H9269" s="1" t="s">
        <v>43</v>
      </c>
      <c r="I9269" s="1" t="s">
        <v>5659</v>
      </c>
      <c r="J9269" s="17"/>
    </row>
    <row r="9270" spans="1:10">
      <c r="A9270" s="7" t="s">
        <v>5673</v>
      </c>
      <c r="B9270" s="1" t="s">
        <v>2630</v>
      </c>
      <c r="C9270" s="1">
        <v>120</v>
      </c>
      <c r="D9270" s="1" t="s">
        <v>28</v>
      </c>
      <c r="E9270" s="1" t="s">
        <v>6</v>
      </c>
      <c r="F9270" s="1" t="s">
        <v>2695</v>
      </c>
      <c r="G9270" s="1" t="s">
        <v>5635</v>
      </c>
      <c r="H9270" s="1" t="s">
        <v>43</v>
      </c>
      <c r="I9270" s="1" t="s">
        <v>5659</v>
      </c>
      <c r="J9270" s="17"/>
    </row>
    <row r="9271" spans="1:10">
      <c r="A9271" s="7" t="s">
        <v>5674</v>
      </c>
      <c r="B9271" s="1" t="s">
        <v>2630</v>
      </c>
      <c r="C9271" s="1">
        <v>120</v>
      </c>
      <c r="D9271" s="1" t="s">
        <v>28</v>
      </c>
      <c r="E9271" s="1" t="s">
        <v>6</v>
      </c>
      <c r="F9271" s="1" t="s">
        <v>2695</v>
      </c>
      <c r="G9271" s="1" t="s">
        <v>5635</v>
      </c>
      <c r="H9271" s="1" t="s">
        <v>43</v>
      </c>
      <c r="I9271" s="1" t="s">
        <v>5659</v>
      </c>
      <c r="J9271" s="17"/>
    </row>
    <row r="9272" spans="1:10">
      <c r="A9272" s="7" t="s">
        <v>5675</v>
      </c>
      <c r="B9272" s="1" t="s">
        <v>2630</v>
      </c>
      <c r="C9272" s="1">
        <v>120</v>
      </c>
      <c r="D9272" s="1" t="s">
        <v>28</v>
      </c>
      <c r="E9272" s="1" t="s">
        <v>6</v>
      </c>
      <c r="F9272" s="1" t="s">
        <v>2695</v>
      </c>
      <c r="G9272" s="1" t="s">
        <v>5635</v>
      </c>
      <c r="H9272" s="1" t="s">
        <v>43</v>
      </c>
      <c r="I9272" s="1" t="s">
        <v>5659</v>
      </c>
      <c r="J9272" s="17"/>
    </row>
    <row r="9273" spans="1:10">
      <c r="A9273" s="7" t="s">
        <v>5676</v>
      </c>
      <c r="B9273" s="1" t="s">
        <v>2630</v>
      </c>
      <c r="C9273" s="1">
        <v>120</v>
      </c>
      <c r="D9273" s="1" t="s">
        <v>28</v>
      </c>
      <c r="E9273" s="1" t="s">
        <v>6</v>
      </c>
      <c r="F9273" s="1" t="s">
        <v>2695</v>
      </c>
      <c r="G9273" s="1" t="s">
        <v>5635</v>
      </c>
      <c r="H9273" s="1" t="s">
        <v>43</v>
      </c>
      <c r="I9273" s="1" t="s">
        <v>5659</v>
      </c>
      <c r="J9273" s="17"/>
    </row>
    <row r="9274" spans="1:10">
      <c r="A9274" s="7" t="s">
        <v>5677</v>
      </c>
      <c r="B9274" s="1" t="s">
        <v>2630</v>
      </c>
      <c r="C9274" s="1">
        <v>120</v>
      </c>
      <c r="D9274" s="1" t="s">
        <v>28</v>
      </c>
      <c r="E9274" s="1" t="s">
        <v>6</v>
      </c>
      <c r="F9274" s="1" t="s">
        <v>2695</v>
      </c>
      <c r="G9274" s="1" t="s">
        <v>5635</v>
      </c>
      <c r="H9274" s="1" t="s">
        <v>43</v>
      </c>
      <c r="I9274" s="1" t="s">
        <v>5659</v>
      </c>
      <c r="J9274" s="17"/>
    </row>
    <row r="9275" spans="1:10">
      <c r="A9275" s="7" t="s">
        <v>5678</v>
      </c>
      <c r="B9275" s="1" t="s">
        <v>2630</v>
      </c>
      <c r="C9275" s="1">
        <v>120</v>
      </c>
      <c r="D9275" s="1" t="s">
        <v>28</v>
      </c>
      <c r="E9275" s="1" t="s">
        <v>6</v>
      </c>
      <c r="F9275" s="1" t="s">
        <v>2695</v>
      </c>
      <c r="G9275" s="1" t="s">
        <v>5635</v>
      </c>
      <c r="H9275" s="1" t="s">
        <v>43</v>
      </c>
      <c r="I9275" s="1" t="s">
        <v>5659</v>
      </c>
      <c r="J9275" s="17"/>
    </row>
    <row r="9276" spans="1:10">
      <c r="A9276" s="7" t="s">
        <v>5679</v>
      </c>
      <c r="B9276" s="1" t="s">
        <v>2630</v>
      </c>
      <c r="C9276" s="1">
        <v>120</v>
      </c>
      <c r="D9276" s="1" t="s">
        <v>28</v>
      </c>
      <c r="E9276" s="1" t="s">
        <v>6</v>
      </c>
      <c r="F9276" s="1" t="s">
        <v>2695</v>
      </c>
      <c r="G9276" s="1" t="s">
        <v>5635</v>
      </c>
      <c r="H9276" s="1" t="s">
        <v>43</v>
      </c>
      <c r="I9276" s="1" t="s">
        <v>5659</v>
      </c>
      <c r="J9276" s="17"/>
    </row>
    <row r="9277" spans="1:10">
      <c r="A9277" s="7" t="s">
        <v>5680</v>
      </c>
      <c r="B9277" s="1" t="s">
        <v>2630</v>
      </c>
      <c r="C9277" s="1">
        <v>120</v>
      </c>
      <c r="D9277" s="1" t="s">
        <v>28</v>
      </c>
      <c r="E9277" s="1" t="s">
        <v>6</v>
      </c>
      <c r="F9277" s="1" t="s">
        <v>2695</v>
      </c>
      <c r="G9277" s="1" t="s">
        <v>5635</v>
      </c>
      <c r="H9277" s="1" t="s">
        <v>43</v>
      </c>
      <c r="I9277" s="1" t="s">
        <v>5659</v>
      </c>
      <c r="J9277" s="17"/>
    </row>
    <row r="9278" spans="1:10">
      <c r="A9278" s="7" t="s">
        <v>5681</v>
      </c>
      <c r="B9278" s="1" t="s">
        <v>2630</v>
      </c>
      <c r="C9278" s="1">
        <v>120</v>
      </c>
      <c r="D9278" s="1" t="s">
        <v>28</v>
      </c>
      <c r="E9278" s="1" t="s">
        <v>6</v>
      </c>
      <c r="F9278" s="1" t="s">
        <v>2695</v>
      </c>
      <c r="G9278" s="1" t="s">
        <v>5635</v>
      </c>
      <c r="H9278" s="1" t="s">
        <v>43</v>
      </c>
      <c r="I9278" s="1" t="s">
        <v>5659</v>
      </c>
      <c r="J9278" s="17"/>
    </row>
    <row r="9279" spans="1:10">
      <c r="A9279" s="7" t="s">
        <v>5682</v>
      </c>
      <c r="B9279" s="1" t="s">
        <v>2630</v>
      </c>
      <c r="C9279" s="1">
        <v>120</v>
      </c>
      <c r="D9279" s="1" t="s">
        <v>28</v>
      </c>
      <c r="E9279" s="1" t="s">
        <v>6</v>
      </c>
      <c r="F9279" s="1" t="s">
        <v>2695</v>
      </c>
      <c r="G9279" s="1" t="s">
        <v>5635</v>
      </c>
      <c r="H9279" s="1" t="s">
        <v>43</v>
      </c>
      <c r="I9279" s="1" t="s">
        <v>5659</v>
      </c>
      <c r="J9279" s="17"/>
    </row>
    <row r="9280" spans="1:10">
      <c r="A9280" s="7" t="s">
        <v>5683</v>
      </c>
      <c r="B9280" s="1" t="s">
        <v>2630</v>
      </c>
      <c r="C9280" s="1">
        <v>120</v>
      </c>
      <c r="D9280" s="1" t="s">
        <v>28</v>
      </c>
      <c r="E9280" s="1" t="s">
        <v>6</v>
      </c>
      <c r="F9280" s="1" t="s">
        <v>2695</v>
      </c>
      <c r="G9280" s="1" t="s">
        <v>5635</v>
      </c>
      <c r="H9280" s="1" t="s">
        <v>43</v>
      </c>
      <c r="I9280" s="1" t="s">
        <v>5659</v>
      </c>
      <c r="J9280" s="17"/>
    </row>
    <row r="9281" spans="1:10">
      <c r="A9281" s="7" t="s">
        <v>5684</v>
      </c>
      <c r="B9281" s="1" t="s">
        <v>2630</v>
      </c>
      <c r="C9281" s="1">
        <v>120</v>
      </c>
      <c r="D9281" s="1" t="s">
        <v>28</v>
      </c>
      <c r="E9281" s="1" t="s">
        <v>6</v>
      </c>
      <c r="F9281" s="1" t="s">
        <v>2695</v>
      </c>
      <c r="G9281" s="1" t="s">
        <v>5635</v>
      </c>
      <c r="H9281" s="1" t="s">
        <v>43</v>
      </c>
      <c r="I9281" s="1" t="s">
        <v>5659</v>
      </c>
      <c r="J9281" s="17"/>
    </row>
    <row r="9282" spans="1:10">
      <c r="A9282" s="7" t="s">
        <v>5685</v>
      </c>
      <c r="B9282" s="1" t="s">
        <v>2630</v>
      </c>
      <c r="C9282" s="1">
        <v>120</v>
      </c>
      <c r="D9282" s="1" t="s">
        <v>28</v>
      </c>
      <c r="E9282" s="1" t="s">
        <v>6</v>
      </c>
      <c r="F9282" s="1" t="s">
        <v>2695</v>
      </c>
      <c r="G9282" s="1" t="s">
        <v>5635</v>
      </c>
      <c r="H9282" s="1" t="s">
        <v>43</v>
      </c>
      <c r="I9282" s="1" t="s">
        <v>5659</v>
      </c>
      <c r="J9282" s="17"/>
    </row>
    <row r="9283" spans="1:10">
      <c r="A9283" s="7" t="s">
        <v>5686</v>
      </c>
      <c r="B9283" s="1" t="s">
        <v>2630</v>
      </c>
      <c r="C9283" s="1">
        <v>120</v>
      </c>
      <c r="D9283" s="1" t="s">
        <v>28</v>
      </c>
      <c r="E9283" s="1" t="s">
        <v>6</v>
      </c>
      <c r="F9283" s="1" t="s">
        <v>2695</v>
      </c>
      <c r="G9283" s="1" t="s">
        <v>5635</v>
      </c>
      <c r="H9283" s="1" t="s">
        <v>43</v>
      </c>
      <c r="I9283" s="1" t="s">
        <v>5659</v>
      </c>
      <c r="J9283" s="17"/>
    </row>
    <row r="9284" spans="1:10">
      <c r="A9284" s="7" t="s">
        <v>5687</v>
      </c>
      <c r="B9284" s="1" t="s">
        <v>2630</v>
      </c>
      <c r="C9284" s="1">
        <v>120</v>
      </c>
      <c r="D9284" s="1" t="s">
        <v>28</v>
      </c>
      <c r="E9284" s="1" t="s">
        <v>6</v>
      </c>
      <c r="F9284" s="1" t="s">
        <v>2695</v>
      </c>
      <c r="G9284" s="1" t="s">
        <v>5635</v>
      </c>
      <c r="H9284" s="1" t="s">
        <v>43</v>
      </c>
      <c r="I9284" s="1" t="s">
        <v>5659</v>
      </c>
      <c r="J9284" s="17"/>
    </row>
    <row r="9285" spans="1:10">
      <c r="A9285" s="7" t="s">
        <v>5688</v>
      </c>
      <c r="B9285" s="1" t="s">
        <v>2630</v>
      </c>
      <c r="C9285" s="1">
        <v>120</v>
      </c>
      <c r="D9285" s="1" t="s">
        <v>28</v>
      </c>
      <c r="E9285" s="1" t="s">
        <v>6</v>
      </c>
      <c r="F9285" s="1" t="s">
        <v>2695</v>
      </c>
      <c r="G9285" s="1" t="s">
        <v>5635</v>
      </c>
      <c r="H9285" s="1" t="s">
        <v>43</v>
      </c>
      <c r="I9285" s="1" t="s">
        <v>5659</v>
      </c>
      <c r="J9285" s="17"/>
    </row>
    <row r="9286" spans="1:10">
      <c r="A9286" s="7" t="s">
        <v>5689</v>
      </c>
      <c r="B9286" s="1" t="s">
        <v>2630</v>
      </c>
      <c r="C9286" s="1">
        <v>120</v>
      </c>
      <c r="D9286" s="1" t="s">
        <v>28</v>
      </c>
      <c r="E9286" s="1" t="s">
        <v>6</v>
      </c>
      <c r="F9286" s="1" t="s">
        <v>2695</v>
      </c>
      <c r="G9286" s="1" t="s">
        <v>5635</v>
      </c>
      <c r="H9286" s="1" t="s">
        <v>43</v>
      </c>
      <c r="I9286" s="1" t="s">
        <v>5659</v>
      </c>
      <c r="J9286" s="17"/>
    </row>
    <row r="9287" spans="1:10">
      <c r="A9287" s="7" t="s">
        <v>5690</v>
      </c>
      <c r="B9287" s="1" t="s">
        <v>2630</v>
      </c>
      <c r="C9287" s="1">
        <v>120</v>
      </c>
      <c r="D9287" s="1" t="s">
        <v>28</v>
      </c>
      <c r="E9287" s="1" t="s">
        <v>6</v>
      </c>
      <c r="F9287" s="1" t="s">
        <v>2695</v>
      </c>
      <c r="G9287" s="1" t="s">
        <v>5635</v>
      </c>
      <c r="H9287" s="1" t="s">
        <v>43</v>
      </c>
      <c r="I9287" s="1" t="s">
        <v>5659</v>
      </c>
      <c r="J9287" s="17"/>
    </row>
    <row r="9288" spans="1:10">
      <c r="A9288" s="7" t="s">
        <v>5691</v>
      </c>
      <c r="B9288" s="1" t="s">
        <v>2630</v>
      </c>
      <c r="C9288" s="1">
        <v>120</v>
      </c>
      <c r="D9288" s="1" t="s">
        <v>28</v>
      </c>
      <c r="E9288" s="1" t="s">
        <v>6</v>
      </c>
      <c r="F9288" s="1" t="s">
        <v>2695</v>
      </c>
      <c r="G9288" s="1" t="s">
        <v>5635</v>
      </c>
      <c r="H9288" s="1" t="s">
        <v>43</v>
      </c>
      <c r="I9288" s="1" t="s">
        <v>5659</v>
      </c>
      <c r="J9288" s="17"/>
    </row>
    <row r="9289" spans="1:10">
      <c r="A9289" s="7" t="s">
        <v>5692</v>
      </c>
      <c r="B9289" s="1" t="s">
        <v>2630</v>
      </c>
      <c r="C9289" s="1">
        <v>120</v>
      </c>
      <c r="D9289" s="1" t="s">
        <v>28</v>
      </c>
      <c r="E9289" s="1" t="s">
        <v>6</v>
      </c>
      <c r="F9289" s="1" t="s">
        <v>2695</v>
      </c>
      <c r="G9289" s="1" t="s">
        <v>5635</v>
      </c>
      <c r="H9289" s="1" t="s">
        <v>43</v>
      </c>
      <c r="I9289" s="1" t="s">
        <v>5659</v>
      </c>
      <c r="J9289" s="17"/>
    </row>
    <row r="9290" spans="1:10">
      <c r="A9290" s="7" t="s">
        <v>5693</v>
      </c>
      <c r="B9290" s="1" t="s">
        <v>2630</v>
      </c>
      <c r="C9290" s="1">
        <v>120</v>
      </c>
      <c r="D9290" s="1" t="s">
        <v>28</v>
      </c>
      <c r="E9290" s="1" t="s">
        <v>6</v>
      </c>
      <c r="F9290" s="1" t="s">
        <v>2695</v>
      </c>
      <c r="G9290" s="1" t="s">
        <v>5635</v>
      </c>
      <c r="H9290" s="1" t="s">
        <v>43</v>
      </c>
      <c r="I9290" s="1" t="s">
        <v>5659</v>
      </c>
      <c r="J9290" s="17"/>
    </row>
    <row r="9291" spans="1:10">
      <c r="A9291" s="7" t="s">
        <v>5694</v>
      </c>
      <c r="B9291" s="1" t="s">
        <v>2630</v>
      </c>
      <c r="C9291" s="1">
        <v>120</v>
      </c>
      <c r="D9291" s="1" t="s">
        <v>28</v>
      </c>
      <c r="E9291" s="1" t="s">
        <v>6</v>
      </c>
      <c r="F9291" s="1" t="s">
        <v>2695</v>
      </c>
      <c r="G9291" s="1" t="s">
        <v>5635</v>
      </c>
      <c r="H9291" s="1" t="s">
        <v>43</v>
      </c>
      <c r="I9291" s="1" t="s">
        <v>5659</v>
      </c>
      <c r="J9291" s="17"/>
    </row>
    <row r="9292" spans="1:10">
      <c r="A9292" s="7" t="s">
        <v>5695</v>
      </c>
      <c r="B9292" s="1" t="s">
        <v>2630</v>
      </c>
      <c r="C9292" s="1">
        <v>120</v>
      </c>
      <c r="D9292" s="1" t="s">
        <v>28</v>
      </c>
      <c r="E9292" s="1" t="s">
        <v>6</v>
      </c>
      <c r="F9292" s="1" t="s">
        <v>2695</v>
      </c>
      <c r="G9292" s="1" t="s">
        <v>5635</v>
      </c>
      <c r="H9292" s="1" t="s">
        <v>43</v>
      </c>
      <c r="I9292" s="1" t="s">
        <v>5659</v>
      </c>
      <c r="J9292" s="17"/>
    </row>
    <row r="9293" spans="1:10">
      <c r="A9293" s="7" t="s">
        <v>5696</v>
      </c>
      <c r="B9293" s="1" t="s">
        <v>2630</v>
      </c>
      <c r="C9293" s="1">
        <v>120</v>
      </c>
      <c r="D9293" s="1" t="s">
        <v>28</v>
      </c>
      <c r="E9293" s="1" t="s">
        <v>6</v>
      </c>
      <c r="F9293" s="1" t="s">
        <v>2695</v>
      </c>
      <c r="G9293" s="1" t="s">
        <v>5635</v>
      </c>
      <c r="H9293" s="1" t="s">
        <v>43</v>
      </c>
      <c r="I9293" s="1" t="s">
        <v>5659</v>
      </c>
      <c r="J9293" s="17"/>
    </row>
    <row r="9294" spans="1:10">
      <c r="A9294" s="7" t="s">
        <v>5697</v>
      </c>
      <c r="B9294" s="1" t="s">
        <v>2630</v>
      </c>
      <c r="C9294" s="1">
        <v>120</v>
      </c>
      <c r="D9294" s="1" t="s">
        <v>28</v>
      </c>
      <c r="E9294" s="1" t="s">
        <v>6</v>
      </c>
      <c r="F9294" s="1" t="s">
        <v>2695</v>
      </c>
      <c r="G9294" s="1" t="s">
        <v>5635</v>
      </c>
      <c r="H9294" s="1" t="s">
        <v>43</v>
      </c>
      <c r="I9294" s="1" t="s">
        <v>5659</v>
      </c>
      <c r="J9294" s="17"/>
    </row>
    <row r="9295" spans="1:10">
      <c r="A9295" s="7" t="s">
        <v>5698</v>
      </c>
      <c r="B9295" s="1" t="s">
        <v>2630</v>
      </c>
      <c r="C9295" s="1">
        <v>120</v>
      </c>
      <c r="D9295" s="1" t="s">
        <v>28</v>
      </c>
      <c r="E9295" s="1" t="s">
        <v>6</v>
      </c>
      <c r="F9295" s="1" t="s">
        <v>2695</v>
      </c>
      <c r="G9295" s="1" t="s">
        <v>5635</v>
      </c>
      <c r="H9295" s="1" t="s">
        <v>43</v>
      </c>
      <c r="I9295" s="1" t="s">
        <v>5659</v>
      </c>
      <c r="J9295" s="17"/>
    </row>
    <row r="9296" spans="1:10">
      <c r="A9296" s="7" t="s">
        <v>5699</v>
      </c>
      <c r="B9296" s="1" t="s">
        <v>2630</v>
      </c>
      <c r="C9296" s="1">
        <v>120</v>
      </c>
      <c r="D9296" s="1" t="s">
        <v>28</v>
      </c>
      <c r="E9296" s="1" t="s">
        <v>6</v>
      </c>
      <c r="F9296" s="1" t="s">
        <v>2695</v>
      </c>
      <c r="G9296" s="1" t="s">
        <v>5635</v>
      </c>
      <c r="H9296" s="1" t="s">
        <v>43</v>
      </c>
      <c r="I9296" s="1" t="s">
        <v>5659</v>
      </c>
      <c r="J9296" s="17"/>
    </row>
    <row r="9297" spans="1:10">
      <c r="A9297" s="7" t="s">
        <v>5700</v>
      </c>
      <c r="B9297" s="1" t="s">
        <v>2630</v>
      </c>
      <c r="C9297" s="1">
        <v>120</v>
      </c>
      <c r="D9297" s="1" t="s">
        <v>28</v>
      </c>
      <c r="E9297" s="1" t="s">
        <v>6</v>
      </c>
      <c r="F9297" s="1" t="s">
        <v>2695</v>
      </c>
      <c r="G9297" s="1" t="s">
        <v>5635</v>
      </c>
      <c r="H9297" s="1" t="s">
        <v>43</v>
      </c>
      <c r="I9297" s="1" t="s">
        <v>5659</v>
      </c>
      <c r="J9297" s="17"/>
    </row>
    <row r="9298" spans="1:10">
      <c r="A9298" s="7" t="s">
        <v>5707</v>
      </c>
      <c r="B9298" s="1" t="s">
        <v>2630</v>
      </c>
      <c r="C9298" s="1">
        <v>120</v>
      </c>
      <c r="D9298" s="1" t="s">
        <v>28</v>
      </c>
      <c r="E9298" s="1" t="s">
        <v>6</v>
      </c>
      <c r="F9298" s="1" t="s">
        <v>2695</v>
      </c>
      <c r="G9298" s="1" t="s">
        <v>5632</v>
      </c>
      <c r="H9298" s="1" t="s">
        <v>5</v>
      </c>
      <c r="I9298" s="1" t="s">
        <v>4789</v>
      </c>
      <c r="J9298" s="17"/>
    </row>
    <row r="9299" spans="1:10">
      <c r="A9299" s="7" t="s">
        <v>5708</v>
      </c>
      <c r="B9299" s="1" t="s">
        <v>2630</v>
      </c>
      <c r="C9299" s="1">
        <v>120</v>
      </c>
      <c r="D9299" s="1" t="s">
        <v>28</v>
      </c>
      <c r="E9299" s="1" t="s">
        <v>6</v>
      </c>
      <c r="F9299" s="1" t="s">
        <v>2695</v>
      </c>
      <c r="G9299" s="1" t="s">
        <v>5629</v>
      </c>
      <c r="H9299" s="1" t="s">
        <v>43</v>
      </c>
      <c r="I9299" s="1" t="s">
        <v>4789</v>
      </c>
      <c r="J9299" s="17"/>
    </row>
    <row r="9300" spans="1:10">
      <c r="A9300" s="7" t="s">
        <v>5709</v>
      </c>
      <c r="B9300" s="1" t="s">
        <v>2630</v>
      </c>
      <c r="C9300" s="1">
        <v>120</v>
      </c>
      <c r="D9300" s="1" t="s">
        <v>28</v>
      </c>
      <c r="E9300" s="1" t="s">
        <v>6</v>
      </c>
      <c r="F9300" s="1" t="s">
        <v>2695</v>
      </c>
      <c r="G9300" s="1" t="s">
        <v>5629</v>
      </c>
      <c r="H9300" s="1" t="s">
        <v>43</v>
      </c>
      <c r="I9300" s="1" t="s">
        <v>4789</v>
      </c>
      <c r="J9300" s="17"/>
    </row>
    <row r="9301" spans="1:10">
      <c r="A9301" s="7" t="s">
        <v>5710</v>
      </c>
      <c r="B9301" s="1" t="s">
        <v>2630</v>
      </c>
      <c r="C9301" s="1">
        <v>120</v>
      </c>
      <c r="D9301" s="1" t="s">
        <v>28</v>
      </c>
      <c r="E9301" s="1" t="s">
        <v>6</v>
      </c>
      <c r="F9301" s="1" t="s">
        <v>2695</v>
      </c>
      <c r="G9301" s="1" t="s">
        <v>5635</v>
      </c>
      <c r="H9301" s="1" t="s">
        <v>43</v>
      </c>
      <c r="I9301" s="1" t="s">
        <v>4789</v>
      </c>
      <c r="J9301" s="17"/>
    </row>
    <row r="9302" spans="1:10">
      <c r="A9302" s="7" t="s">
        <v>5711</v>
      </c>
      <c r="B9302" s="1" t="s">
        <v>2630</v>
      </c>
      <c r="C9302" s="1">
        <v>120</v>
      </c>
      <c r="D9302" s="1" t="s">
        <v>28</v>
      </c>
      <c r="E9302" s="1" t="s">
        <v>6</v>
      </c>
      <c r="F9302" s="1" t="s">
        <v>2695</v>
      </c>
      <c r="G9302" s="1" t="s">
        <v>5629</v>
      </c>
      <c r="H9302" s="1" t="s">
        <v>43</v>
      </c>
      <c r="I9302" s="1" t="s">
        <v>4789</v>
      </c>
      <c r="J9302" s="17"/>
    </row>
    <row r="9303" spans="1:10">
      <c r="A9303" s="7" t="s">
        <v>5712</v>
      </c>
      <c r="B9303" s="1" t="s">
        <v>2630</v>
      </c>
      <c r="C9303" s="1">
        <v>120</v>
      </c>
      <c r="D9303" s="1" t="s">
        <v>28</v>
      </c>
      <c r="E9303" s="1" t="s">
        <v>6</v>
      </c>
      <c r="F9303" s="1" t="s">
        <v>2695</v>
      </c>
      <c r="G9303" s="1" t="s">
        <v>5713</v>
      </c>
      <c r="H9303" s="1" t="s">
        <v>43</v>
      </c>
      <c r="I9303" s="1" t="s">
        <v>4789</v>
      </c>
      <c r="J9303" s="17"/>
    </row>
    <row r="9304" spans="1:10">
      <c r="A9304" s="7" t="s">
        <v>5714</v>
      </c>
      <c r="B9304" s="1" t="s">
        <v>2630</v>
      </c>
      <c r="C9304" s="1">
        <v>120</v>
      </c>
      <c r="D9304" s="1" t="s">
        <v>28</v>
      </c>
      <c r="E9304" s="1" t="s">
        <v>6</v>
      </c>
      <c r="F9304" s="1" t="s">
        <v>2695</v>
      </c>
      <c r="G9304" s="1" t="s">
        <v>5629</v>
      </c>
      <c r="H9304" s="1" t="s">
        <v>43</v>
      </c>
      <c r="I9304" s="1" t="s">
        <v>4789</v>
      </c>
      <c r="J9304" s="17"/>
    </row>
    <row r="9305" spans="1:10">
      <c r="A9305" s="7" t="s">
        <v>5715</v>
      </c>
      <c r="B9305" s="1" t="s">
        <v>2630</v>
      </c>
      <c r="C9305" s="1">
        <v>120</v>
      </c>
      <c r="D9305" s="1" t="s">
        <v>28</v>
      </c>
      <c r="E9305" s="1" t="s">
        <v>6</v>
      </c>
      <c r="F9305" s="1" t="s">
        <v>2695</v>
      </c>
      <c r="G9305" s="1" t="s">
        <v>5629</v>
      </c>
      <c r="H9305" s="1" t="s">
        <v>43</v>
      </c>
      <c r="I9305" s="1" t="s">
        <v>4789</v>
      </c>
      <c r="J9305" s="17"/>
    </row>
    <row r="9306" spans="1:10" s="11" customFormat="1">
      <c r="A9306" s="7" t="s">
        <v>5716</v>
      </c>
      <c r="B9306" s="1" t="s">
        <v>2630</v>
      </c>
      <c r="C9306" s="1">
        <v>120</v>
      </c>
      <c r="D9306" s="1" t="s">
        <v>28</v>
      </c>
      <c r="E9306" s="1" t="s">
        <v>6</v>
      </c>
      <c r="F9306" s="1" t="s">
        <v>2695</v>
      </c>
      <c r="G9306" s="1" t="s">
        <v>5629</v>
      </c>
      <c r="H9306" s="1" t="s">
        <v>43</v>
      </c>
      <c r="I9306" s="1" t="s">
        <v>4789</v>
      </c>
      <c r="J9306" s="17"/>
    </row>
    <row r="9307" spans="1:10" s="11" customFormat="1">
      <c r="A9307" s="7" t="s">
        <v>5717</v>
      </c>
      <c r="B9307" s="1" t="s">
        <v>2630</v>
      </c>
      <c r="C9307" s="1">
        <v>120</v>
      </c>
      <c r="D9307" s="1" t="s">
        <v>28</v>
      </c>
      <c r="E9307" s="1" t="s">
        <v>6</v>
      </c>
      <c r="F9307" s="1" t="s">
        <v>2695</v>
      </c>
      <c r="G9307" s="1" t="s">
        <v>5629</v>
      </c>
      <c r="H9307" s="1" t="s">
        <v>43</v>
      </c>
      <c r="I9307" s="1" t="s">
        <v>4789</v>
      </c>
      <c r="J9307" s="17"/>
    </row>
    <row r="9308" spans="1:10">
      <c r="A9308" s="7" t="s">
        <v>5718</v>
      </c>
      <c r="B9308" s="1" t="s">
        <v>2630</v>
      </c>
      <c r="C9308" s="1">
        <v>120</v>
      </c>
      <c r="D9308" s="1" t="s">
        <v>28</v>
      </c>
      <c r="E9308" s="1" t="s">
        <v>6</v>
      </c>
      <c r="F9308" s="1" t="s">
        <v>2695</v>
      </c>
      <c r="G9308" s="1" t="s">
        <v>5629</v>
      </c>
      <c r="H9308" s="1" t="s">
        <v>43</v>
      </c>
      <c r="I9308" s="1" t="s">
        <v>4789</v>
      </c>
      <c r="J9308" s="17"/>
    </row>
    <row r="9309" spans="1:10">
      <c r="A9309" s="7" t="s">
        <v>5719</v>
      </c>
      <c r="B9309" s="1" t="s">
        <v>2630</v>
      </c>
      <c r="C9309" s="1">
        <v>120</v>
      </c>
      <c r="D9309" s="1" t="s">
        <v>28</v>
      </c>
      <c r="E9309" s="1" t="s">
        <v>6</v>
      </c>
      <c r="F9309" s="1" t="s">
        <v>2695</v>
      </c>
      <c r="G9309" s="1" t="s">
        <v>5629</v>
      </c>
      <c r="H9309" s="1" t="s">
        <v>43</v>
      </c>
      <c r="I9309" s="1" t="s">
        <v>4789</v>
      </c>
      <c r="J9309" s="17"/>
    </row>
    <row r="9310" spans="1:10">
      <c r="A9310" s="7" t="s">
        <v>5720</v>
      </c>
      <c r="B9310" s="1" t="s">
        <v>2630</v>
      </c>
      <c r="C9310" s="1">
        <v>120</v>
      </c>
      <c r="D9310" s="1" t="s">
        <v>28</v>
      </c>
      <c r="E9310" s="1" t="s">
        <v>6</v>
      </c>
      <c r="F9310" s="1" t="s">
        <v>2695</v>
      </c>
      <c r="G9310" s="1" t="s">
        <v>5629</v>
      </c>
      <c r="H9310" s="1" t="s">
        <v>43</v>
      </c>
      <c r="I9310" s="1" t="s">
        <v>4789</v>
      </c>
      <c r="J9310" s="17"/>
    </row>
    <row r="9311" spans="1:10">
      <c r="A9311" s="7" t="s">
        <v>5721</v>
      </c>
      <c r="B9311" s="1" t="s">
        <v>2630</v>
      </c>
      <c r="C9311" s="1">
        <v>120</v>
      </c>
      <c r="D9311" s="1" t="s">
        <v>28</v>
      </c>
      <c r="E9311" s="1" t="s">
        <v>6</v>
      </c>
      <c r="F9311" s="1" t="s">
        <v>2695</v>
      </c>
      <c r="G9311" s="1" t="s">
        <v>5629</v>
      </c>
      <c r="H9311" s="1" t="s">
        <v>43</v>
      </c>
      <c r="I9311" s="1" t="s">
        <v>5722</v>
      </c>
      <c r="J9311" s="17"/>
    </row>
    <row r="9312" spans="1:10">
      <c r="A9312" s="7" t="s">
        <v>5723</v>
      </c>
      <c r="B9312" s="1" t="s">
        <v>2628</v>
      </c>
      <c r="C9312" s="1">
        <v>120</v>
      </c>
      <c r="D9312" s="1" t="s">
        <v>28</v>
      </c>
      <c r="E9312" s="1" t="s">
        <v>6</v>
      </c>
      <c r="F9312" s="1" t="s">
        <v>2695</v>
      </c>
      <c r="G9312" s="1" t="s">
        <v>5638</v>
      </c>
      <c r="H9312" s="1" t="s">
        <v>43</v>
      </c>
      <c r="I9312" s="1" t="s">
        <v>5722</v>
      </c>
    </row>
    <row r="9313" spans="1:10">
      <c r="A9313" s="7" t="s">
        <v>5724</v>
      </c>
      <c r="B9313" s="1" t="s">
        <v>2628</v>
      </c>
      <c r="C9313" s="1">
        <v>120</v>
      </c>
      <c r="D9313" s="1" t="s">
        <v>28</v>
      </c>
      <c r="E9313" s="1" t="s">
        <v>6</v>
      </c>
      <c r="F9313" s="1" t="s">
        <v>2695</v>
      </c>
      <c r="G9313" s="1" t="s">
        <v>5632</v>
      </c>
      <c r="H9313" s="1" t="s">
        <v>5</v>
      </c>
      <c r="I9313" s="1" t="s">
        <v>4789</v>
      </c>
    </row>
    <row r="9314" spans="1:10">
      <c r="A9314" s="7" t="s">
        <v>6022</v>
      </c>
      <c r="B9314" s="1" t="s">
        <v>2630</v>
      </c>
      <c r="C9314" s="1">
        <v>120</v>
      </c>
      <c r="D9314" s="1" t="s">
        <v>28</v>
      </c>
      <c r="E9314" s="1" t="s">
        <v>6</v>
      </c>
      <c r="F9314" s="1" t="s">
        <v>2360</v>
      </c>
      <c r="G9314" s="1" t="s">
        <v>1446</v>
      </c>
      <c r="H9314" s="1" t="s">
        <v>44</v>
      </c>
      <c r="I9314" s="1" t="s">
        <v>5848</v>
      </c>
    </row>
    <row r="9315" spans="1:10">
      <c r="A9315" s="7" t="s">
        <v>6077</v>
      </c>
      <c r="B9315" s="1" t="s">
        <v>2630</v>
      </c>
      <c r="C9315" s="1">
        <v>2117</v>
      </c>
      <c r="D9315" s="1" t="s">
        <v>28</v>
      </c>
      <c r="E9315" s="1" t="s">
        <v>6</v>
      </c>
      <c r="F9315" s="1" t="s">
        <v>2360</v>
      </c>
      <c r="G9315" s="1" t="s">
        <v>5</v>
      </c>
      <c r="H9315" s="1" t="s">
        <v>5</v>
      </c>
      <c r="I9315" s="1" t="s">
        <v>5848</v>
      </c>
    </row>
    <row r="9316" spans="1:10">
      <c r="A9316" s="7" t="s">
        <v>6082</v>
      </c>
      <c r="B9316" s="1" t="s">
        <v>2631</v>
      </c>
      <c r="C9316" s="1">
        <v>8</v>
      </c>
      <c r="D9316" s="1" t="s">
        <v>28</v>
      </c>
      <c r="E9316" s="1" t="s">
        <v>6</v>
      </c>
      <c r="F9316" s="1" t="s">
        <v>2360</v>
      </c>
      <c r="G9316" s="1" t="s">
        <v>5</v>
      </c>
      <c r="H9316" s="1" t="s">
        <v>5</v>
      </c>
      <c r="I9316" s="1" t="s">
        <v>5848</v>
      </c>
      <c r="J9316" s="17"/>
    </row>
    <row r="9317" spans="1:10">
      <c r="A9317" s="7" t="s">
        <v>6207</v>
      </c>
      <c r="B9317" s="2" t="s">
        <v>2628</v>
      </c>
      <c r="C9317" s="1">
        <v>1812</v>
      </c>
      <c r="D9317" s="1" t="s">
        <v>28</v>
      </c>
      <c r="E9317" s="1" t="s">
        <v>6</v>
      </c>
      <c r="F9317" s="1" t="s">
        <v>5091</v>
      </c>
      <c r="G9317" s="14" t="s">
        <v>6139</v>
      </c>
      <c r="H9317" s="1" t="s">
        <v>43</v>
      </c>
      <c r="I9317" s="1" t="s">
        <v>5807</v>
      </c>
    </row>
    <row r="9318" spans="1:10">
      <c r="A9318" s="7" t="s">
        <v>6916</v>
      </c>
      <c r="B9318" s="1" t="s">
        <v>2630</v>
      </c>
      <c r="C9318" s="1">
        <v>120</v>
      </c>
      <c r="D9318" s="1" t="s">
        <v>28</v>
      </c>
      <c r="E9318" s="1" t="s">
        <v>6</v>
      </c>
      <c r="F9318" s="1" t="s">
        <v>5241</v>
      </c>
      <c r="G9318" s="1" t="s">
        <v>4803</v>
      </c>
      <c r="H9318" s="1" t="s">
        <v>5</v>
      </c>
      <c r="I9318" s="1" t="s">
        <v>5653</v>
      </c>
    </row>
    <row r="9319" spans="1:10">
      <c r="A9319" s="7" t="s">
        <v>7219</v>
      </c>
      <c r="B9319" s="1" t="s">
        <v>2630</v>
      </c>
      <c r="C9319" s="1">
        <v>120</v>
      </c>
      <c r="D9319" s="1" t="s">
        <v>28</v>
      </c>
      <c r="E9319" s="1" t="s">
        <v>6</v>
      </c>
      <c r="F9319" s="1" t="s">
        <v>2695</v>
      </c>
      <c r="G9319" s="1" t="s">
        <v>7220</v>
      </c>
      <c r="H9319" s="1" t="s">
        <v>5</v>
      </c>
      <c r="I9319" s="1" t="s">
        <v>5630</v>
      </c>
    </row>
    <row r="9320" spans="1:10">
      <c r="A9320" s="7" t="s">
        <v>7285</v>
      </c>
      <c r="B9320" s="1" t="s">
        <v>2630</v>
      </c>
      <c r="C9320" s="1">
        <v>120</v>
      </c>
      <c r="D9320" s="1" t="s">
        <v>28</v>
      </c>
      <c r="E9320" s="1" t="s">
        <v>6</v>
      </c>
      <c r="F9320" s="1" t="s">
        <v>36</v>
      </c>
      <c r="G9320" s="1" t="s">
        <v>4803</v>
      </c>
      <c r="H9320" s="1" t="s">
        <v>5</v>
      </c>
      <c r="I9320" s="1" t="s">
        <v>7283</v>
      </c>
    </row>
    <row r="9321" spans="1:10">
      <c r="A9321" s="7" t="s">
        <v>7286</v>
      </c>
      <c r="B9321" s="1" t="s">
        <v>2630</v>
      </c>
      <c r="C9321" s="1">
        <v>1025</v>
      </c>
      <c r="D9321" s="1" t="s">
        <v>28</v>
      </c>
      <c r="E9321" s="1" t="s">
        <v>6</v>
      </c>
      <c r="F9321" s="1" t="s">
        <v>36</v>
      </c>
      <c r="G9321" s="1" t="s">
        <v>4803</v>
      </c>
      <c r="H9321" s="1" t="s">
        <v>5</v>
      </c>
      <c r="I9321" s="1" t="s">
        <v>7283</v>
      </c>
    </row>
    <row r="9322" spans="1:10">
      <c r="A9322" s="7" t="s">
        <v>7287</v>
      </c>
      <c r="B9322" s="1" t="s">
        <v>2630</v>
      </c>
      <c r="C9322" s="1">
        <v>120</v>
      </c>
      <c r="D9322" s="1" t="s">
        <v>28</v>
      </c>
      <c r="E9322" s="1" t="s">
        <v>6</v>
      </c>
      <c r="F9322" s="1" t="s">
        <v>36</v>
      </c>
      <c r="G9322" s="1" t="s">
        <v>4803</v>
      </c>
      <c r="H9322" s="1" t="s">
        <v>5</v>
      </c>
      <c r="I9322" s="1" t="s">
        <v>7283</v>
      </c>
    </row>
    <row r="9323" spans="1:10">
      <c r="A9323" s="7" t="s">
        <v>7288</v>
      </c>
      <c r="B9323" s="1" t="s">
        <v>2630</v>
      </c>
      <c r="C9323" s="1">
        <v>120</v>
      </c>
      <c r="D9323" s="1" t="s">
        <v>28</v>
      </c>
      <c r="E9323" s="1" t="s">
        <v>6</v>
      </c>
      <c r="F9323" s="1" t="s">
        <v>36</v>
      </c>
      <c r="G9323" s="1" t="s">
        <v>4803</v>
      </c>
      <c r="H9323" s="1" t="s">
        <v>5</v>
      </c>
      <c r="I9323" s="1" t="s">
        <v>7283</v>
      </c>
    </row>
    <row r="9324" spans="1:10">
      <c r="A9324" s="7" t="s">
        <v>7289</v>
      </c>
      <c r="B9324" s="1" t="s">
        <v>2630</v>
      </c>
      <c r="C9324" s="1">
        <v>120</v>
      </c>
      <c r="D9324" s="1" t="s">
        <v>28</v>
      </c>
      <c r="E9324" s="1" t="s">
        <v>6</v>
      </c>
      <c r="F9324" s="1" t="s">
        <v>36</v>
      </c>
      <c r="G9324" s="1" t="s">
        <v>4803</v>
      </c>
      <c r="H9324" s="1" t="s">
        <v>5</v>
      </c>
      <c r="I9324" s="1" t="s">
        <v>7283</v>
      </c>
    </row>
    <row r="9325" spans="1:10">
      <c r="A9325" s="7" t="s">
        <v>7290</v>
      </c>
      <c r="B9325" s="1" t="s">
        <v>2630</v>
      </c>
      <c r="C9325" s="1">
        <v>120</v>
      </c>
      <c r="D9325" s="1" t="s">
        <v>28</v>
      </c>
      <c r="E9325" s="1" t="s">
        <v>6</v>
      </c>
      <c r="F9325" s="1" t="s">
        <v>36</v>
      </c>
      <c r="G9325" s="1" t="s">
        <v>4803</v>
      </c>
      <c r="H9325" s="1" t="s">
        <v>5</v>
      </c>
      <c r="I9325" s="1" t="s">
        <v>7283</v>
      </c>
    </row>
    <row r="9326" spans="1:10">
      <c r="A9326" s="7" t="s">
        <v>7291</v>
      </c>
      <c r="B9326" s="1" t="s">
        <v>2630</v>
      </c>
      <c r="C9326" s="1">
        <v>120</v>
      </c>
      <c r="D9326" s="1" t="s">
        <v>28</v>
      </c>
      <c r="E9326" s="1" t="s">
        <v>6</v>
      </c>
      <c r="F9326" s="1" t="s">
        <v>36</v>
      </c>
      <c r="G9326" s="1" t="s">
        <v>4803</v>
      </c>
      <c r="H9326" s="1" t="s">
        <v>5</v>
      </c>
      <c r="I9326" s="1" t="s">
        <v>7283</v>
      </c>
    </row>
    <row r="9327" spans="1:10">
      <c r="A9327" s="7" t="s">
        <v>7292</v>
      </c>
      <c r="B9327" s="1" t="s">
        <v>2630</v>
      </c>
      <c r="C9327" s="1">
        <v>1022</v>
      </c>
      <c r="D9327" s="1" t="s">
        <v>28</v>
      </c>
      <c r="E9327" s="1" t="s">
        <v>6</v>
      </c>
      <c r="F9327" s="1" t="s">
        <v>36</v>
      </c>
      <c r="G9327" s="1" t="s">
        <v>4803</v>
      </c>
      <c r="H9327" s="1" t="s">
        <v>5</v>
      </c>
      <c r="I9327" s="1" t="s">
        <v>7283</v>
      </c>
    </row>
    <row r="9328" spans="1:10">
      <c r="A9328" s="7" t="s">
        <v>7293</v>
      </c>
      <c r="B9328" s="1" t="s">
        <v>2630</v>
      </c>
      <c r="C9328" s="1">
        <v>120</v>
      </c>
      <c r="D9328" s="1" t="s">
        <v>28</v>
      </c>
      <c r="E9328" s="1" t="s">
        <v>6</v>
      </c>
      <c r="F9328" s="1" t="s">
        <v>36</v>
      </c>
      <c r="G9328" s="1" t="s">
        <v>4803</v>
      </c>
      <c r="H9328" s="1" t="s">
        <v>5</v>
      </c>
      <c r="I9328" s="1" t="s">
        <v>7283</v>
      </c>
    </row>
    <row r="9329" spans="1:10">
      <c r="A9329" s="7" t="s">
        <v>7423</v>
      </c>
      <c r="B9329" s="1" t="s">
        <v>2631</v>
      </c>
      <c r="C9329" s="1">
        <v>8</v>
      </c>
      <c r="D9329" s="1" t="s">
        <v>28</v>
      </c>
      <c r="E9329" s="1" t="s">
        <v>6</v>
      </c>
      <c r="F9329" s="1" t="s">
        <v>5091</v>
      </c>
      <c r="G9329" s="1" t="s">
        <v>6186</v>
      </c>
      <c r="H9329" s="1" t="s">
        <v>5</v>
      </c>
      <c r="I9329" s="1" t="s">
        <v>6090</v>
      </c>
    </row>
    <row r="9330" spans="1:10">
      <c r="A9330" s="7" t="s">
        <v>7549</v>
      </c>
      <c r="B9330" s="1" t="s">
        <v>2631</v>
      </c>
      <c r="C9330" s="1">
        <v>8</v>
      </c>
      <c r="D9330" s="1" t="s">
        <v>28</v>
      </c>
      <c r="E9330" s="1" t="s">
        <v>6</v>
      </c>
      <c r="F9330" s="1" t="s">
        <v>5091</v>
      </c>
      <c r="G9330" s="1" t="s">
        <v>6238</v>
      </c>
      <c r="H9330" s="1" t="s">
        <v>43</v>
      </c>
      <c r="I9330" s="1" t="s">
        <v>6090</v>
      </c>
    </row>
    <row r="9331" spans="1:10">
      <c r="A9331" s="7" t="s">
        <v>7827</v>
      </c>
      <c r="B9331" s="1" t="s">
        <v>2629</v>
      </c>
      <c r="C9331" s="1">
        <v>8</v>
      </c>
      <c r="D9331" s="1" t="s">
        <v>28</v>
      </c>
      <c r="E9331" s="1" t="s">
        <v>6</v>
      </c>
      <c r="F9331" s="1" t="s">
        <v>5241</v>
      </c>
      <c r="G9331" s="1" t="s">
        <v>4803</v>
      </c>
      <c r="H9331" s="1" t="s">
        <v>5</v>
      </c>
      <c r="I9331" s="1" t="s">
        <v>5807</v>
      </c>
      <c r="J9331" s="17"/>
    </row>
    <row r="9332" spans="1:10">
      <c r="A9332" s="7" t="s">
        <v>7888</v>
      </c>
      <c r="B9332" s="1" t="s">
        <v>2631</v>
      </c>
      <c r="C9332" s="1">
        <v>8</v>
      </c>
      <c r="D9332" s="1" t="s">
        <v>28</v>
      </c>
      <c r="E9332" s="1" t="s">
        <v>6</v>
      </c>
      <c r="F9332" s="1" t="s">
        <v>118</v>
      </c>
      <c r="G9332" s="1" t="s">
        <v>2571</v>
      </c>
      <c r="H9332" s="1" t="s">
        <v>5</v>
      </c>
      <c r="I9332" s="1" t="s">
        <v>6090</v>
      </c>
    </row>
    <row r="9333" spans="1:10">
      <c r="A9333" s="7" t="s">
        <v>7891</v>
      </c>
      <c r="B9333" s="1" t="s">
        <v>2631</v>
      </c>
      <c r="C9333" s="1">
        <v>8</v>
      </c>
      <c r="D9333" s="1" t="s">
        <v>28</v>
      </c>
      <c r="E9333" s="1" t="s">
        <v>6</v>
      </c>
      <c r="F9333" s="1" t="s">
        <v>118</v>
      </c>
      <c r="G9333" s="1" t="s">
        <v>7656</v>
      </c>
      <c r="H9333" s="1" t="s">
        <v>5</v>
      </c>
      <c r="I9333" s="1" t="s">
        <v>6090</v>
      </c>
    </row>
    <row r="9334" spans="1:10">
      <c r="A9334" s="7" t="s">
        <v>7901</v>
      </c>
      <c r="B9334" s="1" t="s">
        <v>2631</v>
      </c>
      <c r="C9334" s="1">
        <v>8</v>
      </c>
      <c r="D9334" s="1" t="s">
        <v>28</v>
      </c>
      <c r="E9334" s="1" t="s">
        <v>6</v>
      </c>
      <c r="F9334" s="1" t="s">
        <v>118</v>
      </c>
      <c r="G9334" s="1" t="s">
        <v>7902</v>
      </c>
      <c r="H9334" s="1" t="s">
        <v>5</v>
      </c>
      <c r="I9334" s="1" t="s">
        <v>6090</v>
      </c>
    </row>
    <row r="9335" spans="1:10">
      <c r="A9335" s="7" t="s">
        <v>7904</v>
      </c>
      <c r="B9335" s="1" t="s">
        <v>2631</v>
      </c>
      <c r="C9335" s="1">
        <v>8</v>
      </c>
      <c r="D9335" s="1" t="s">
        <v>28</v>
      </c>
      <c r="E9335" s="1" t="s">
        <v>6</v>
      </c>
      <c r="F9335" s="1" t="s">
        <v>118</v>
      </c>
      <c r="G9335" s="1" t="s">
        <v>7902</v>
      </c>
      <c r="H9335" s="1" t="s">
        <v>5</v>
      </c>
      <c r="I9335" s="1" t="s">
        <v>6090</v>
      </c>
    </row>
    <row r="9336" spans="1:10">
      <c r="A9336" s="7" t="s">
        <v>7948</v>
      </c>
      <c r="B9336" s="1" t="s">
        <v>2629</v>
      </c>
      <c r="C9336" s="1">
        <v>8</v>
      </c>
      <c r="D9336" s="1" t="s">
        <v>28</v>
      </c>
      <c r="E9336" s="1" t="s">
        <v>6</v>
      </c>
      <c r="F9336" s="1" t="s">
        <v>118</v>
      </c>
      <c r="G9336" s="1" t="s">
        <v>7895</v>
      </c>
      <c r="H9336" s="1" t="s">
        <v>43</v>
      </c>
      <c r="I9336" s="1" t="s">
        <v>6090</v>
      </c>
    </row>
    <row r="9337" spans="1:10">
      <c r="A9337" s="7" t="s">
        <v>7968</v>
      </c>
      <c r="B9337" s="1" t="s">
        <v>2631</v>
      </c>
      <c r="C9337" s="1">
        <v>8</v>
      </c>
      <c r="D9337" s="1" t="s">
        <v>28</v>
      </c>
      <c r="E9337" s="1" t="s">
        <v>6</v>
      </c>
      <c r="F9337" s="1" t="s">
        <v>118</v>
      </c>
      <c r="G9337" s="1" t="s">
        <v>7902</v>
      </c>
      <c r="H9337" s="1" t="s">
        <v>5</v>
      </c>
      <c r="I9337" s="1" t="s">
        <v>6090</v>
      </c>
    </row>
    <row r="9338" spans="1:10">
      <c r="A9338" s="7" t="s">
        <v>7984</v>
      </c>
      <c r="B9338" s="1" t="s">
        <v>2630</v>
      </c>
      <c r="C9338" s="1">
        <v>120</v>
      </c>
      <c r="D9338" s="1" t="s">
        <v>28</v>
      </c>
      <c r="E9338" s="1" t="s">
        <v>6</v>
      </c>
      <c r="F9338" s="1" t="s">
        <v>118</v>
      </c>
      <c r="G9338" s="1" t="s">
        <v>7985</v>
      </c>
      <c r="H9338" s="1" t="s">
        <v>5</v>
      </c>
      <c r="I9338" s="1" t="s">
        <v>6090</v>
      </c>
    </row>
    <row r="9339" spans="1:10">
      <c r="A9339" s="7" t="s">
        <v>8024</v>
      </c>
      <c r="B9339" s="1" t="s">
        <v>2629</v>
      </c>
      <c r="C9339" s="1">
        <v>8</v>
      </c>
      <c r="D9339" s="1" t="s">
        <v>28</v>
      </c>
      <c r="E9339" s="1" t="s">
        <v>6</v>
      </c>
      <c r="F9339" s="1" t="s">
        <v>5091</v>
      </c>
      <c r="G9339" s="1" t="s">
        <v>6181</v>
      </c>
      <c r="H9339" s="1" t="s">
        <v>118</v>
      </c>
      <c r="I9339" s="1" t="s">
        <v>4458</v>
      </c>
    </row>
    <row r="9340" spans="1:10">
      <c r="A9340" s="7" t="s">
        <v>8025</v>
      </c>
      <c r="B9340" s="1" t="s">
        <v>2631</v>
      </c>
      <c r="C9340" s="1">
        <v>8</v>
      </c>
      <c r="D9340" s="1" t="s">
        <v>28</v>
      </c>
      <c r="E9340" s="1" t="s">
        <v>6</v>
      </c>
      <c r="F9340" s="1" t="s">
        <v>118</v>
      </c>
      <c r="G9340" s="1" t="s">
        <v>7656</v>
      </c>
      <c r="H9340" s="1" t="s">
        <v>5</v>
      </c>
      <c r="I9340" s="1" t="s">
        <v>5807</v>
      </c>
    </row>
    <row r="9341" spans="1:10">
      <c r="A9341" s="7" t="s">
        <v>8026</v>
      </c>
      <c r="B9341" s="1" t="s">
        <v>2631</v>
      </c>
      <c r="C9341" s="1">
        <v>8</v>
      </c>
      <c r="D9341" s="1" t="s">
        <v>28</v>
      </c>
      <c r="E9341" s="1" t="s">
        <v>6</v>
      </c>
      <c r="F9341" s="1" t="s">
        <v>118</v>
      </c>
      <c r="G9341" s="1" t="s">
        <v>8027</v>
      </c>
      <c r="H9341" s="1" t="s">
        <v>5</v>
      </c>
      <c r="I9341" s="1" t="s">
        <v>5807</v>
      </c>
    </row>
    <row r="9342" spans="1:10">
      <c r="A9342" s="7" t="s">
        <v>8031</v>
      </c>
      <c r="B9342" s="1" t="s">
        <v>2631</v>
      </c>
      <c r="C9342" s="1">
        <v>8</v>
      </c>
      <c r="D9342" s="1" t="s">
        <v>28</v>
      </c>
      <c r="E9342" s="1" t="s">
        <v>6</v>
      </c>
      <c r="F9342" s="1" t="s">
        <v>118</v>
      </c>
      <c r="G9342" s="1" t="s">
        <v>8032</v>
      </c>
      <c r="H9342" s="1" t="s">
        <v>5</v>
      </c>
      <c r="I9342" s="1" t="s">
        <v>6090</v>
      </c>
    </row>
    <row r="9343" spans="1:10">
      <c r="A9343" s="7" t="s">
        <v>8038</v>
      </c>
      <c r="B9343" s="1" t="s">
        <v>2631</v>
      </c>
      <c r="C9343" s="1">
        <v>8</v>
      </c>
      <c r="D9343" s="1" t="s">
        <v>28</v>
      </c>
      <c r="E9343" s="1" t="s">
        <v>6</v>
      </c>
      <c r="F9343" s="1" t="s">
        <v>118</v>
      </c>
      <c r="G9343" s="1" t="s">
        <v>1475</v>
      </c>
      <c r="H9343" s="1" t="s">
        <v>5</v>
      </c>
      <c r="I9343" s="1" t="s">
        <v>5807</v>
      </c>
    </row>
    <row r="9344" spans="1:10">
      <c r="A9344" s="7" t="s">
        <v>8201</v>
      </c>
      <c r="B9344" s="1" t="s">
        <v>2630</v>
      </c>
      <c r="C9344" s="1">
        <v>120</v>
      </c>
      <c r="D9344" s="1" t="s">
        <v>28</v>
      </c>
      <c r="E9344" s="1" t="s">
        <v>6</v>
      </c>
      <c r="F9344" s="1" t="s">
        <v>5091</v>
      </c>
      <c r="G9344" s="1" t="s">
        <v>8202</v>
      </c>
      <c r="H9344" s="1" t="s">
        <v>315</v>
      </c>
      <c r="I9344" s="1">
        <v>2014</v>
      </c>
    </row>
    <row r="9345" spans="1:9">
      <c r="A9345" s="7" t="s">
        <v>8364</v>
      </c>
      <c r="B9345" s="1" t="s">
        <v>2631</v>
      </c>
      <c r="C9345" s="1">
        <v>8</v>
      </c>
      <c r="D9345" s="1" t="s">
        <v>28</v>
      </c>
      <c r="E9345" s="1" t="s">
        <v>6</v>
      </c>
      <c r="F9345" s="1" t="s">
        <v>118</v>
      </c>
      <c r="G9345" s="1" t="s">
        <v>7902</v>
      </c>
      <c r="H9345" s="1" t="s">
        <v>5</v>
      </c>
      <c r="I9345" s="1" t="s">
        <v>5807</v>
      </c>
    </row>
    <row r="9346" spans="1:9">
      <c r="A9346" s="7" t="s">
        <v>8614</v>
      </c>
      <c r="B9346" s="1" t="s">
        <v>2630</v>
      </c>
      <c r="C9346" s="1">
        <v>120</v>
      </c>
      <c r="D9346" s="1" t="s">
        <v>28</v>
      </c>
      <c r="E9346" s="1" t="s">
        <v>6</v>
      </c>
      <c r="F9346" s="1" t="s">
        <v>5091</v>
      </c>
      <c r="G9346" s="1" t="s">
        <v>8615</v>
      </c>
      <c r="H9346" s="1" t="s">
        <v>5</v>
      </c>
      <c r="I9346" s="1">
        <v>2014</v>
      </c>
    </row>
    <row r="9347" spans="1:9">
      <c r="A9347" s="7" t="s">
        <v>8661</v>
      </c>
      <c r="B9347" s="1" t="s">
        <v>2630</v>
      </c>
      <c r="C9347" s="1">
        <v>120</v>
      </c>
      <c r="D9347" s="1" t="s">
        <v>28</v>
      </c>
      <c r="E9347" s="1" t="s">
        <v>6</v>
      </c>
      <c r="F9347" s="1" t="s">
        <v>36</v>
      </c>
      <c r="G9347" s="1" t="s">
        <v>4803</v>
      </c>
      <c r="H9347" s="1" t="s">
        <v>5</v>
      </c>
      <c r="I9347" s="1">
        <v>2014</v>
      </c>
    </row>
    <row r="9348" spans="1:9">
      <c r="A9348" s="7" t="s">
        <v>8715</v>
      </c>
      <c r="B9348" s="1" t="s">
        <v>2630</v>
      </c>
      <c r="C9348" s="1">
        <v>292</v>
      </c>
      <c r="D9348" s="1" t="s">
        <v>28</v>
      </c>
      <c r="E9348" s="1" t="s">
        <v>6</v>
      </c>
      <c r="F9348" s="1" t="s">
        <v>36</v>
      </c>
      <c r="G9348" s="1" t="s">
        <v>4803</v>
      </c>
      <c r="H9348" s="1" t="s">
        <v>5</v>
      </c>
      <c r="I9348" s="1">
        <v>2008</v>
      </c>
    </row>
    <row r="9349" spans="1:9">
      <c r="A9349" s="7" t="s">
        <v>8873</v>
      </c>
      <c r="B9349" s="1" t="s">
        <v>2630</v>
      </c>
      <c r="C9349" s="1">
        <v>120</v>
      </c>
      <c r="D9349" s="1" t="s">
        <v>28</v>
      </c>
      <c r="E9349" s="1" t="s">
        <v>6</v>
      </c>
      <c r="F9349" s="1" t="s">
        <v>118</v>
      </c>
      <c r="G9349" s="1" t="s">
        <v>4458</v>
      </c>
      <c r="H9349" s="1" t="s">
        <v>118</v>
      </c>
      <c r="I9349" s="1">
        <v>2015</v>
      </c>
    </row>
    <row r="9350" spans="1:9">
      <c r="A9350" s="7" t="s">
        <v>8874</v>
      </c>
      <c r="B9350" s="1" t="s">
        <v>2630</v>
      </c>
      <c r="C9350" s="1">
        <v>120</v>
      </c>
      <c r="D9350" s="1" t="s">
        <v>28</v>
      </c>
      <c r="E9350" s="1" t="s">
        <v>6</v>
      </c>
      <c r="F9350" s="1" t="s">
        <v>118</v>
      </c>
      <c r="G9350" s="1" t="s">
        <v>4458</v>
      </c>
      <c r="H9350" s="1" t="s">
        <v>118</v>
      </c>
      <c r="I9350" s="1">
        <v>2016</v>
      </c>
    </row>
    <row r="9351" spans="1:9">
      <c r="A9351" s="7" t="s">
        <v>9007</v>
      </c>
      <c r="B9351" s="1" t="s">
        <v>2630</v>
      </c>
      <c r="C9351" s="1">
        <v>292</v>
      </c>
      <c r="D9351" s="1" t="s">
        <v>28</v>
      </c>
      <c r="E9351" s="1" t="s">
        <v>6</v>
      </c>
      <c r="F9351" s="1" t="s">
        <v>36</v>
      </c>
      <c r="G9351" s="1" t="s">
        <v>9008</v>
      </c>
      <c r="H9351" s="1" t="s">
        <v>5</v>
      </c>
      <c r="I9351" s="1">
        <v>2008</v>
      </c>
    </row>
    <row r="9352" spans="1:9">
      <c r="A9352" s="16" t="s">
        <v>9637</v>
      </c>
      <c r="B9352" s="1" t="s">
        <v>2631</v>
      </c>
      <c r="C9352" s="1">
        <v>551</v>
      </c>
      <c r="D9352" s="1" t="s">
        <v>28</v>
      </c>
      <c r="E9352" s="1" t="s">
        <v>6</v>
      </c>
      <c r="F9352" s="1" t="s">
        <v>5091</v>
      </c>
      <c r="G9352" s="1" t="s">
        <v>6186</v>
      </c>
      <c r="H9352" s="1" t="s">
        <v>5</v>
      </c>
      <c r="I9352" s="17">
        <v>42005</v>
      </c>
    </row>
    <row r="9353" spans="1:9">
      <c r="A9353" s="7" t="s">
        <v>10076</v>
      </c>
      <c r="B9353" s="1" t="s">
        <v>2630</v>
      </c>
      <c r="C9353" s="1">
        <v>120</v>
      </c>
      <c r="D9353" s="1" t="s">
        <v>28</v>
      </c>
      <c r="E9353" s="1" t="s">
        <v>6</v>
      </c>
      <c r="F9353" s="1" t="s">
        <v>36</v>
      </c>
      <c r="G9353" s="1" t="s">
        <v>10077</v>
      </c>
      <c r="H9353" s="1" t="s">
        <v>5</v>
      </c>
      <c r="I9353" s="1">
        <v>2001</v>
      </c>
    </row>
    <row r="9354" spans="1:9">
      <c r="A9354" s="7" t="s">
        <v>10088</v>
      </c>
      <c r="B9354" s="1" t="s">
        <v>2630</v>
      </c>
      <c r="C9354" s="1">
        <v>120</v>
      </c>
      <c r="D9354" s="1" t="s">
        <v>28</v>
      </c>
      <c r="E9354" s="1" t="s">
        <v>6</v>
      </c>
      <c r="F9354" s="1" t="s">
        <v>36</v>
      </c>
      <c r="G9354" s="1" t="s">
        <v>10089</v>
      </c>
      <c r="H9354" s="1" t="s">
        <v>43</v>
      </c>
      <c r="I9354" s="1">
        <v>2009</v>
      </c>
    </row>
    <row r="9355" spans="1:9">
      <c r="A9355" s="7" t="s">
        <v>10096</v>
      </c>
      <c r="B9355" s="1" t="s">
        <v>2630</v>
      </c>
      <c r="C9355" s="1">
        <v>120</v>
      </c>
      <c r="D9355" s="1" t="s">
        <v>28</v>
      </c>
      <c r="E9355" s="1" t="s">
        <v>6</v>
      </c>
      <c r="F9355" s="1" t="s">
        <v>36</v>
      </c>
      <c r="G9355" s="1" t="s">
        <v>10097</v>
      </c>
      <c r="H9355" s="1" t="s">
        <v>5</v>
      </c>
      <c r="I9355" s="1">
        <v>2015</v>
      </c>
    </row>
    <row r="9356" spans="1:9">
      <c r="A9356" s="7" t="s">
        <v>10182</v>
      </c>
      <c r="B9356" s="1" t="s">
        <v>2630</v>
      </c>
      <c r="C9356" s="1">
        <v>120</v>
      </c>
      <c r="D9356" s="1" t="s">
        <v>28</v>
      </c>
      <c r="E9356" s="1" t="s">
        <v>6</v>
      </c>
      <c r="F9356" s="1" t="s">
        <v>36</v>
      </c>
      <c r="G9356" s="1" t="s">
        <v>10183</v>
      </c>
      <c r="H9356" s="1" t="s">
        <v>43</v>
      </c>
      <c r="I9356" s="1">
        <v>2007</v>
      </c>
    </row>
    <row r="9357" spans="1:9">
      <c r="A9357" s="7" t="s">
        <v>10187</v>
      </c>
      <c r="B9357" s="1" t="s">
        <v>2630</v>
      </c>
      <c r="C9357" s="1">
        <v>120</v>
      </c>
      <c r="D9357" s="1" t="s">
        <v>28</v>
      </c>
      <c r="E9357" s="1" t="s">
        <v>6</v>
      </c>
      <c r="F9357" s="1" t="s">
        <v>36</v>
      </c>
      <c r="G9357" s="1" t="s">
        <v>10183</v>
      </c>
      <c r="H9357" s="1" t="s">
        <v>43</v>
      </c>
      <c r="I9357" s="1">
        <v>2006</v>
      </c>
    </row>
    <row r="9358" spans="1:9">
      <c r="A9358" s="7" t="s">
        <v>10188</v>
      </c>
      <c r="B9358" s="1" t="s">
        <v>2630</v>
      </c>
      <c r="C9358" s="1">
        <v>120</v>
      </c>
      <c r="D9358" s="1" t="s">
        <v>28</v>
      </c>
      <c r="E9358" s="1" t="s">
        <v>6</v>
      </c>
      <c r="F9358" s="1" t="s">
        <v>36</v>
      </c>
      <c r="G9358" s="1" t="s">
        <v>10183</v>
      </c>
      <c r="H9358" s="1" t="s">
        <v>43</v>
      </c>
      <c r="I9358" s="1">
        <v>2006</v>
      </c>
    </row>
    <row r="9359" spans="1:9">
      <c r="A9359" s="7" t="s">
        <v>10195</v>
      </c>
      <c r="B9359" s="1" t="s">
        <v>2630</v>
      </c>
      <c r="C9359" s="1">
        <v>120</v>
      </c>
      <c r="D9359" s="1" t="s">
        <v>28</v>
      </c>
      <c r="E9359" s="1" t="s">
        <v>6</v>
      </c>
      <c r="F9359" s="1" t="s">
        <v>36</v>
      </c>
      <c r="G9359" s="1" t="s">
        <v>10196</v>
      </c>
      <c r="H9359" s="1" t="s">
        <v>43</v>
      </c>
      <c r="I9359" s="1">
        <v>2006</v>
      </c>
    </row>
    <row r="9360" spans="1:9">
      <c r="A9360" s="7" t="s">
        <v>10197</v>
      </c>
      <c r="B9360" s="1" t="s">
        <v>2630</v>
      </c>
      <c r="C9360" s="1">
        <v>120</v>
      </c>
      <c r="D9360" s="1" t="s">
        <v>28</v>
      </c>
      <c r="E9360" s="1" t="s">
        <v>6</v>
      </c>
      <c r="F9360" s="1" t="s">
        <v>36</v>
      </c>
      <c r="G9360" s="1" t="s">
        <v>10183</v>
      </c>
      <c r="H9360" s="1" t="s">
        <v>43</v>
      </c>
      <c r="I9360" s="1">
        <v>2006</v>
      </c>
    </row>
    <row r="9361" spans="1:10">
      <c r="A9361" s="7" t="s">
        <v>10245</v>
      </c>
      <c r="B9361" s="1" t="s">
        <v>2630</v>
      </c>
      <c r="C9361" s="1">
        <v>292</v>
      </c>
      <c r="D9361" s="1" t="s">
        <v>28</v>
      </c>
      <c r="E9361" s="1" t="s">
        <v>6</v>
      </c>
      <c r="F9361" s="1" t="s">
        <v>36</v>
      </c>
      <c r="G9361" s="1" t="s">
        <v>10246</v>
      </c>
      <c r="H9361" s="1" t="s">
        <v>5</v>
      </c>
      <c r="I9361" s="1">
        <v>2008</v>
      </c>
    </row>
    <row r="9362" spans="1:10">
      <c r="A9362" s="7" t="s">
        <v>10249</v>
      </c>
      <c r="B9362" s="1" t="s">
        <v>2630</v>
      </c>
      <c r="C9362" s="1">
        <v>120</v>
      </c>
      <c r="D9362" s="1" t="s">
        <v>28</v>
      </c>
      <c r="E9362" s="1" t="s">
        <v>6</v>
      </c>
      <c r="F9362" s="1" t="s">
        <v>10250</v>
      </c>
      <c r="G9362" s="1" t="s">
        <v>10251</v>
      </c>
      <c r="H9362" s="1" t="s">
        <v>5</v>
      </c>
      <c r="I9362" s="1">
        <v>2011</v>
      </c>
    </row>
    <row r="9363" spans="1:10">
      <c r="A9363" s="7" t="s">
        <v>10252</v>
      </c>
      <c r="B9363" s="1" t="s">
        <v>2630</v>
      </c>
      <c r="C9363" s="1">
        <v>120</v>
      </c>
      <c r="D9363" s="1" t="s">
        <v>28</v>
      </c>
      <c r="E9363" s="1" t="s">
        <v>6</v>
      </c>
      <c r="F9363" s="1" t="s">
        <v>36</v>
      </c>
      <c r="G9363" s="1" t="s">
        <v>10196</v>
      </c>
      <c r="H9363" s="1" t="s">
        <v>43</v>
      </c>
      <c r="I9363" s="1">
        <v>2011</v>
      </c>
    </row>
    <row r="9364" spans="1:10">
      <c r="A9364" s="7" t="s">
        <v>10269</v>
      </c>
      <c r="B9364" s="1" t="s">
        <v>2630</v>
      </c>
      <c r="C9364" s="1">
        <v>120</v>
      </c>
      <c r="D9364" s="1" t="s">
        <v>28</v>
      </c>
      <c r="E9364" s="1" t="s">
        <v>6</v>
      </c>
      <c r="F9364" s="1" t="s">
        <v>36</v>
      </c>
      <c r="G9364" s="1" t="s">
        <v>10270</v>
      </c>
      <c r="H9364" s="1" t="s">
        <v>43</v>
      </c>
      <c r="I9364" s="1">
        <v>2010</v>
      </c>
    </row>
    <row r="9365" spans="1:10">
      <c r="A9365" s="7" t="s">
        <v>10271</v>
      </c>
      <c r="B9365" s="1" t="s">
        <v>2630</v>
      </c>
      <c r="C9365" s="1">
        <v>120</v>
      </c>
      <c r="D9365" s="1" t="s">
        <v>28</v>
      </c>
      <c r="E9365" s="1" t="s">
        <v>6</v>
      </c>
      <c r="F9365" s="1" t="s">
        <v>36</v>
      </c>
      <c r="G9365" s="1" t="s">
        <v>10270</v>
      </c>
      <c r="H9365" s="1" t="s">
        <v>43</v>
      </c>
      <c r="I9365" s="1">
        <v>2009</v>
      </c>
    </row>
    <row r="9366" spans="1:10">
      <c r="A9366" s="7" t="s">
        <v>10626</v>
      </c>
      <c r="B9366" s="1" t="s">
        <v>2629</v>
      </c>
      <c r="C9366" s="1">
        <v>8</v>
      </c>
      <c r="D9366" s="1" t="s">
        <v>28</v>
      </c>
      <c r="E9366" s="1" t="s">
        <v>6</v>
      </c>
      <c r="F9366" s="1" t="s">
        <v>139</v>
      </c>
      <c r="G9366" s="1" t="s">
        <v>2387</v>
      </c>
      <c r="H9366" s="1" t="s">
        <v>5</v>
      </c>
      <c r="I9366" s="17">
        <v>41760</v>
      </c>
      <c r="J9366" s="17"/>
    </row>
    <row r="9367" spans="1:10">
      <c r="A9367" s="16" t="s">
        <v>10696</v>
      </c>
      <c r="B9367" s="1" t="s">
        <v>2631</v>
      </c>
      <c r="C9367" s="1">
        <v>8</v>
      </c>
      <c r="D9367" s="1" t="s">
        <v>28</v>
      </c>
      <c r="E9367" s="1" t="s">
        <v>6</v>
      </c>
      <c r="F9367" s="1" t="s">
        <v>5091</v>
      </c>
      <c r="G9367" s="1" t="s">
        <v>10697</v>
      </c>
      <c r="H9367" s="1" t="s">
        <v>5</v>
      </c>
      <c r="I9367" s="17">
        <v>42370</v>
      </c>
    </row>
    <row r="9368" spans="1:10">
      <c r="A9368" s="7" t="s">
        <v>11254</v>
      </c>
      <c r="B9368" s="1" t="s">
        <v>2630</v>
      </c>
      <c r="C9368" s="1">
        <v>292</v>
      </c>
      <c r="D9368" s="1" t="s">
        <v>28</v>
      </c>
      <c r="E9368" s="1" t="s">
        <v>6</v>
      </c>
      <c r="F9368" s="1" t="s">
        <v>36</v>
      </c>
      <c r="G9368" s="1" t="s">
        <v>4458</v>
      </c>
      <c r="H9368" s="1" t="s">
        <v>118</v>
      </c>
      <c r="I9368" s="1" t="s">
        <v>4792</v>
      </c>
    </row>
    <row r="9369" spans="1:10">
      <c r="A9369" s="7" t="s">
        <v>11324</v>
      </c>
      <c r="B9369" s="1" t="s">
        <v>2630</v>
      </c>
      <c r="C9369" s="1">
        <v>120</v>
      </c>
      <c r="D9369" s="1" t="s">
        <v>28</v>
      </c>
      <c r="E9369" s="1" t="s">
        <v>6</v>
      </c>
      <c r="F9369" s="1" t="s">
        <v>5091</v>
      </c>
      <c r="G9369" s="1" t="s">
        <v>11325</v>
      </c>
      <c r="H9369" s="1" t="s">
        <v>5</v>
      </c>
      <c r="I9369" s="1">
        <v>2005</v>
      </c>
    </row>
    <row r="9370" spans="1:10">
      <c r="A9370" s="7" t="s">
        <v>11379</v>
      </c>
      <c r="B9370" s="1" t="s">
        <v>2630</v>
      </c>
      <c r="C9370" s="1">
        <v>120</v>
      </c>
      <c r="D9370" s="1" t="s">
        <v>28</v>
      </c>
      <c r="E9370" s="1" t="s">
        <v>6</v>
      </c>
      <c r="F9370" s="1" t="s">
        <v>5091</v>
      </c>
      <c r="G9370" s="1" t="s">
        <v>6145</v>
      </c>
      <c r="H9370" s="1" t="s">
        <v>43</v>
      </c>
      <c r="I9370" s="1">
        <v>2009</v>
      </c>
    </row>
    <row r="9371" spans="1:10">
      <c r="A9371" s="7" t="s">
        <v>11446</v>
      </c>
      <c r="B9371" s="1" t="s">
        <v>2630</v>
      </c>
      <c r="C9371" s="1">
        <v>120</v>
      </c>
      <c r="D9371" s="1" t="s">
        <v>28</v>
      </c>
      <c r="E9371" s="1" t="s">
        <v>6</v>
      </c>
      <c r="F9371" s="1" t="s">
        <v>36</v>
      </c>
      <c r="G9371" s="1" t="s">
        <v>10270</v>
      </c>
      <c r="H9371" s="1" t="s">
        <v>43</v>
      </c>
      <c r="I9371" s="1">
        <v>2014</v>
      </c>
    </row>
    <row r="9372" spans="1:10">
      <c r="A9372" s="16" t="s">
        <v>12814</v>
      </c>
      <c r="B9372" s="1" t="s">
        <v>2631</v>
      </c>
      <c r="C9372" s="1">
        <v>8</v>
      </c>
      <c r="D9372" s="1" t="s">
        <v>28</v>
      </c>
      <c r="E9372" s="1" t="s">
        <v>6</v>
      </c>
      <c r="F9372" s="1" t="s">
        <v>5091</v>
      </c>
      <c r="G9372" s="1" t="s">
        <v>6186</v>
      </c>
      <c r="H9372" s="1" t="s">
        <v>5</v>
      </c>
      <c r="I9372" s="17">
        <v>42736</v>
      </c>
    </row>
    <row r="9373" spans="1:10">
      <c r="A9373" s="7" t="s">
        <v>12922</v>
      </c>
      <c r="B9373" s="1" t="s">
        <v>2630</v>
      </c>
      <c r="C9373" s="1">
        <v>120</v>
      </c>
      <c r="D9373" s="1" t="s">
        <v>28</v>
      </c>
      <c r="E9373" s="1" t="s">
        <v>6</v>
      </c>
      <c r="F9373" s="1" t="s">
        <v>5091</v>
      </c>
      <c r="G9373" s="1" t="s">
        <v>12923</v>
      </c>
      <c r="H9373" s="1" t="s">
        <v>5</v>
      </c>
      <c r="I9373" s="1">
        <v>2017</v>
      </c>
    </row>
    <row r="9374" spans="1:10">
      <c r="A9374" s="7" t="s">
        <v>13145</v>
      </c>
      <c r="B9374" s="1" t="s">
        <v>2630</v>
      </c>
      <c r="C9374" s="1">
        <v>120</v>
      </c>
      <c r="D9374" s="1" t="s">
        <v>28</v>
      </c>
      <c r="E9374" s="1" t="s">
        <v>6</v>
      </c>
      <c r="F9374" s="1" t="s">
        <v>36</v>
      </c>
      <c r="G9374" s="1" t="s">
        <v>4803</v>
      </c>
      <c r="H9374" s="1" t="s">
        <v>5</v>
      </c>
      <c r="I9374" s="1">
        <v>1990</v>
      </c>
    </row>
    <row r="9375" spans="1:10">
      <c r="A9375" s="7" t="s">
        <v>13150</v>
      </c>
      <c r="B9375" s="1" t="s">
        <v>2630</v>
      </c>
      <c r="C9375" s="1">
        <v>120</v>
      </c>
      <c r="D9375" s="1" t="s">
        <v>28</v>
      </c>
      <c r="E9375" s="1" t="s">
        <v>6</v>
      </c>
      <c r="F9375" s="1" t="s">
        <v>36</v>
      </c>
      <c r="G9375" s="1" t="s">
        <v>4803</v>
      </c>
      <c r="H9375" s="1" t="s">
        <v>5</v>
      </c>
      <c r="I9375" s="1">
        <v>2010</v>
      </c>
    </row>
    <row r="9376" spans="1:10">
      <c r="A9376" s="7" t="s">
        <v>13151</v>
      </c>
      <c r="B9376" s="1" t="s">
        <v>2630</v>
      </c>
      <c r="C9376" s="1">
        <v>120</v>
      </c>
      <c r="D9376" s="1" t="s">
        <v>28</v>
      </c>
      <c r="E9376" s="1" t="s">
        <v>6</v>
      </c>
      <c r="F9376" s="1" t="s">
        <v>36</v>
      </c>
      <c r="G9376" s="1" t="s">
        <v>4803</v>
      </c>
      <c r="H9376" s="1" t="s">
        <v>5</v>
      </c>
      <c r="I9376" s="1">
        <v>1991</v>
      </c>
    </row>
    <row r="9377" spans="1:9">
      <c r="A9377" s="7" t="s">
        <v>13152</v>
      </c>
      <c r="B9377" s="1" t="s">
        <v>2630</v>
      </c>
      <c r="C9377" s="1">
        <v>120</v>
      </c>
      <c r="D9377" s="1" t="s">
        <v>28</v>
      </c>
      <c r="E9377" s="1" t="s">
        <v>6</v>
      </c>
      <c r="F9377" s="1" t="s">
        <v>36</v>
      </c>
      <c r="G9377" s="1" t="s">
        <v>4803</v>
      </c>
      <c r="H9377" s="1" t="s">
        <v>5</v>
      </c>
      <c r="I9377" s="1">
        <v>1990</v>
      </c>
    </row>
    <row r="9378" spans="1:9">
      <c r="A9378" s="7" t="s">
        <v>13153</v>
      </c>
      <c r="B9378" s="1" t="s">
        <v>2630</v>
      </c>
      <c r="C9378" s="1">
        <v>120</v>
      </c>
      <c r="D9378" s="1" t="s">
        <v>28</v>
      </c>
      <c r="E9378" s="1" t="s">
        <v>6</v>
      </c>
      <c r="F9378" s="1" t="s">
        <v>36</v>
      </c>
      <c r="G9378" s="1" t="s">
        <v>4803</v>
      </c>
      <c r="H9378" s="1" t="s">
        <v>5</v>
      </c>
      <c r="I9378" s="1">
        <v>1991</v>
      </c>
    </row>
    <row r="9379" spans="1:9">
      <c r="A9379" s="7" t="s">
        <v>13155</v>
      </c>
      <c r="B9379" s="1" t="s">
        <v>2630</v>
      </c>
      <c r="C9379" s="1">
        <v>120</v>
      </c>
      <c r="D9379" s="1" t="s">
        <v>28</v>
      </c>
      <c r="E9379" s="1" t="s">
        <v>6</v>
      </c>
      <c r="F9379" s="1" t="s">
        <v>36</v>
      </c>
      <c r="G9379" s="1" t="s">
        <v>4803</v>
      </c>
      <c r="H9379" s="1" t="s">
        <v>5</v>
      </c>
      <c r="I9379" s="1">
        <v>1991</v>
      </c>
    </row>
    <row r="9380" spans="1:9">
      <c r="A9380" s="7" t="s">
        <v>13158</v>
      </c>
      <c r="B9380" s="1" t="s">
        <v>2630</v>
      </c>
      <c r="C9380" s="1">
        <v>120</v>
      </c>
      <c r="D9380" s="1" t="s">
        <v>28</v>
      </c>
      <c r="E9380" s="1" t="s">
        <v>6</v>
      </c>
      <c r="F9380" s="1" t="s">
        <v>36</v>
      </c>
      <c r="G9380" s="1" t="s">
        <v>4803</v>
      </c>
      <c r="H9380" s="1" t="s">
        <v>5</v>
      </c>
      <c r="I9380" s="1">
        <v>1990</v>
      </c>
    </row>
    <row r="9381" spans="1:9">
      <c r="A9381" s="7" t="s">
        <v>13159</v>
      </c>
      <c r="B9381" s="1" t="s">
        <v>2630</v>
      </c>
      <c r="C9381" s="1">
        <v>120</v>
      </c>
      <c r="D9381" s="1" t="s">
        <v>28</v>
      </c>
      <c r="E9381" s="1" t="s">
        <v>6</v>
      </c>
      <c r="F9381" s="1" t="s">
        <v>36</v>
      </c>
      <c r="G9381" s="1" t="s">
        <v>4803</v>
      </c>
      <c r="H9381" s="1" t="s">
        <v>5</v>
      </c>
      <c r="I9381" s="1">
        <v>1990</v>
      </c>
    </row>
    <row r="9382" spans="1:9">
      <c r="A9382" s="7" t="s">
        <v>13163</v>
      </c>
      <c r="B9382" s="1" t="s">
        <v>2630</v>
      </c>
      <c r="C9382" s="1">
        <v>1022</v>
      </c>
      <c r="D9382" s="1" t="s">
        <v>28</v>
      </c>
      <c r="E9382" s="1" t="s">
        <v>6</v>
      </c>
      <c r="F9382" s="1" t="s">
        <v>36</v>
      </c>
      <c r="G9382" s="1" t="s">
        <v>4803</v>
      </c>
      <c r="H9382" s="1" t="s">
        <v>5</v>
      </c>
      <c r="I9382" s="1">
        <v>1990</v>
      </c>
    </row>
    <row r="9383" spans="1:9">
      <c r="A9383" s="7" t="s">
        <v>13164</v>
      </c>
      <c r="B9383" s="1" t="s">
        <v>2630</v>
      </c>
      <c r="C9383" s="1">
        <v>120</v>
      </c>
      <c r="D9383" s="1" t="s">
        <v>28</v>
      </c>
      <c r="E9383" s="1" t="s">
        <v>6</v>
      </c>
      <c r="F9383" s="1" t="s">
        <v>36</v>
      </c>
      <c r="G9383" s="1" t="s">
        <v>4803</v>
      </c>
      <c r="H9383" s="1" t="s">
        <v>5</v>
      </c>
      <c r="I9383" s="1">
        <v>1990</v>
      </c>
    </row>
    <row r="9384" spans="1:9">
      <c r="A9384" s="7" t="s">
        <v>13165</v>
      </c>
      <c r="B9384" s="1" t="s">
        <v>2630</v>
      </c>
      <c r="C9384" s="1">
        <v>120</v>
      </c>
      <c r="D9384" s="1" t="s">
        <v>28</v>
      </c>
      <c r="E9384" s="1" t="s">
        <v>6</v>
      </c>
      <c r="F9384" s="1" t="s">
        <v>36</v>
      </c>
      <c r="G9384" s="1" t="s">
        <v>4803</v>
      </c>
      <c r="H9384" s="1" t="s">
        <v>5</v>
      </c>
      <c r="I9384" s="1">
        <v>1990</v>
      </c>
    </row>
    <row r="9385" spans="1:9">
      <c r="A9385" s="7" t="s">
        <v>13166</v>
      </c>
      <c r="B9385" s="1" t="s">
        <v>2630</v>
      </c>
      <c r="C9385" s="1">
        <v>120</v>
      </c>
      <c r="D9385" s="1" t="s">
        <v>28</v>
      </c>
      <c r="E9385" s="1" t="s">
        <v>6</v>
      </c>
      <c r="F9385" s="1" t="s">
        <v>36</v>
      </c>
      <c r="G9385" s="1" t="s">
        <v>4803</v>
      </c>
      <c r="H9385" s="1" t="s">
        <v>5</v>
      </c>
      <c r="I9385" s="1">
        <v>1990</v>
      </c>
    </row>
    <row r="9386" spans="1:9">
      <c r="A9386" s="7" t="s">
        <v>13173</v>
      </c>
      <c r="B9386" s="1" t="s">
        <v>2630</v>
      </c>
      <c r="C9386" s="1">
        <v>120</v>
      </c>
      <c r="D9386" s="1" t="s">
        <v>28</v>
      </c>
      <c r="E9386" s="1" t="s">
        <v>6</v>
      </c>
      <c r="F9386" s="1" t="s">
        <v>36</v>
      </c>
      <c r="G9386" s="1" t="s">
        <v>4803</v>
      </c>
      <c r="H9386" s="1" t="s">
        <v>5</v>
      </c>
      <c r="I9386" s="1">
        <v>1991</v>
      </c>
    </row>
    <row r="9387" spans="1:9">
      <c r="A9387" s="7" t="s">
        <v>13175</v>
      </c>
      <c r="B9387" s="1" t="s">
        <v>2630</v>
      </c>
      <c r="C9387" s="1">
        <v>120</v>
      </c>
      <c r="D9387" s="1" t="s">
        <v>28</v>
      </c>
      <c r="E9387" s="1" t="s">
        <v>6</v>
      </c>
      <c r="F9387" s="1" t="s">
        <v>36</v>
      </c>
      <c r="G9387" s="1" t="s">
        <v>4803</v>
      </c>
      <c r="H9387" s="1" t="s">
        <v>5</v>
      </c>
      <c r="I9387" s="1">
        <v>1990</v>
      </c>
    </row>
    <row r="9388" spans="1:9">
      <c r="A9388" s="7" t="s">
        <v>13176</v>
      </c>
      <c r="B9388" s="1" t="s">
        <v>2630</v>
      </c>
      <c r="C9388" s="1">
        <v>120</v>
      </c>
      <c r="D9388" s="1" t="s">
        <v>28</v>
      </c>
      <c r="E9388" s="1" t="s">
        <v>6</v>
      </c>
      <c r="F9388" s="1" t="s">
        <v>36</v>
      </c>
      <c r="G9388" s="1" t="s">
        <v>4803</v>
      </c>
      <c r="H9388" s="1" t="s">
        <v>5</v>
      </c>
      <c r="I9388" s="1">
        <v>1990</v>
      </c>
    </row>
    <row r="9389" spans="1:9">
      <c r="A9389" s="16" t="s">
        <v>13183</v>
      </c>
      <c r="B9389" s="1" t="s">
        <v>2631</v>
      </c>
      <c r="C9389" s="1">
        <v>8</v>
      </c>
      <c r="D9389" s="1" t="s">
        <v>28</v>
      </c>
      <c r="E9389" s="1" t="s">
        <v>6</v>
      </c>
      <c r="F9389" s="1" t="s">
        <v>5091</v>
      </c>
      <c r="G9389" s="1" t="s">
        <v>6238</v>
      </c>
      <c r="H9389" s="1" t="s">
        <v>43</v>
      </c>
      <c r="I9389" s="17">
        <v>42736</v>
      </c>
    </row>
    <row r="9390" spans="1:9">
      <c r="A9390" s="16" t="s">
        <v>13184</v>
      </c>
      <c r="B9390" s="1" t="s">
        <v>2631</v>
      </c>
      <c r="C9390" s="1">
        <v>8</v>
      </c>
      <c r="D9390" s="1" t="s">
        <v>28</v>
      </c>
      <c r="E9390" s="1" t="s">
        <v>6</v>
      </c>
      <c r="F9390" s="1" t="s">
        <v>5091</v>
      </c>
      <c r="G9390" s="1" t="s">
        <v>6238</v>
      </c>
      <c r="H9390" s="1" t="s">
        <v>43</v>
      </c>
      <c r="I9390" s="17">
        <v>42736</v>
      </c>
    </row>
    <row r="9391" spans="1:9">
      <c r="A9391" s="16" t="s">
        <v>13186</v>
      </c>
      <c r="B9391" s="1" t="s">
        <v>2631</v>
      </c>
      <c r="C9391" s="1">
        <v>8</v>
      </c>
      <c r="D9391" s="1" t="s">
        <v>28</v>
      </c>
      <c r="E9391" s="1" t="s">
        <v>6</v>
      </c>
      <c r="F9391" s="1" t="s">
        <v>5091</v>
      </c>
      <c r="G9391" s="1" t="s">
        <v>13187</v>
      </c>
      <c r="H9391" s="1" t="s">
        <v>5</v>
      </c>
      <c r="I9391" s="17">
        <v>42736</v>
      </c>
    </row>
    <row r="9392" spans="1:9">
      <c r="A9392" s="16" t="s">
        <v>13188</v>
      </c>
      <c r="B9392" s="1" t="s">
        <v>2631</v>
      </c>
      <c r="C9392" s="1">
        <v>8</v>
      </c>
      <c r="D9392" s="1" t="s">
        <v>28</v>
      </c>
      <c r="E9392" s="1" t="s">
        <v>6</v>
      </c>
      <c r="F9392" s="1" t="s">
        <v>5091</v>
      </c>
      <c r="G9392" s="1" t="s">
        <v>13187</v>
      </c>
      <c r="H9392" s="1" t="s">
        <v>5</v>
      </c>
      <c r="I9392" s="17">
        <v>42736</v>
      </c>
    </row>
    <row r="9393" spans="1:10">
      <c r="A9393" s="16" t="s">
        <v>13189</v>
      </c>
      <c r="B9393" s="1" t="s">
        <v>2631</v>
      </c>
      <c r="C9393" s="1">
        <v>8</v>
      </c>
      <c r="D9393" s="1" t="s">
        <v>28</v>
      </c>
      <c r="E9393" s="1" t="s">
        <v>6</v>
      </c>
      <c r="F9393" s="1" t="s">
        <v>5091</v>
      </c>
      <c r="G9393" s="1" t="s">
        <v>6238</v>
      </c>
      <c r="H9393" s="1" t="s">
        <v>43</v>
      </c>
      <c r="I9393" s="17">
        <v>42736</v>
      </c>
    </row>
    <row r="9394" spans="1:10">
      <c r="A9394" s="16" t="s">
        <v>13190</v>
      </c>
      <c r="B9394" s="1" t="s">
        <v>2631</v>
      </c>
      <c r="C9394" s="1">
        <v>8</v>
      </c>
      <c r="D9394" s="1" t="s">
        <v>28</v>
      </c>
      <c r="E9394" s="1" t="s">
        <v>6</v>
      </c>
      <c r="F9394" s="1" t="s">
        <v>5091</v>
      </c>
      <c r="G9394" s="1" t="s">
        <v>13187</v>
      </c>
      <c r="H9394" s="1" t="s">
        <v>5</v>
      </c>
      <c r="I9394" s="17">
        <v>42736</v>
      </c>
    </row>
    <row r="9395" spans="1:10">
      <c r="A9395" s="16" t="s">
        <v>13191</v>
      </c>
      <c r="B9395" s="1" t="s">
        <v>2631</v>
      </c>
      <c r="C9395" s="1">
        <v>8</v>
      </c>
      <c r="D9395" s="1" t="s">
        <v>28</v>
      </c>
      <c r="E9395" s="1" t="s">
        <v>6</v>
      </c>
      <c r="F9395" s="1" t="s">
        <v>5091</v>
      </c>
      <c r="G9395" s="1" t="s">
        <v>6238</v>
      </c>
      <c r="H9395" s="1" t="s">
        <v>43</v>
      </c>
      <c r="I9395" s="17">
        <v>42736</v>
      </c>
    </row>
    <row r="9396" spans="1:10">
      <c r="A9396" s="16" t="s">
        <v>13192</v>
      </c>
      <c r="B9396" s="1" t="s">
        <v>2631</v>
      </c>
      <c r="C9396" s="1">
        <v>8</v>
      </c>
      <c r="D9396" s="1" t="s">
        <v>28</v>
      </c>
      <c r="E9396" s="1" t="s">
        <v>6</v>
      </c>
      <c r="F9396" s="1" t="s">
        <v>5091</v>
      </c>
      <c r="G9396" s="1" t="s">
        <v>13187</v>
      </c>
      <c r="H9396" s="1" t="s">
        <v>5</v>
      </c>
      <c r="I9396" s="17">
        <v>42736</v>
      </c>
    </row>
    <row r="9397" spans="1:10">
      <c r="A9397" s="16" t="s">
        <v>13193</v>
      </c>
      <c r="B9397" s="1" t="s">
        <v>2631</v>
      </c>
      <c r="C9397" s="1">
        <v>8</v>
      </c>
      <c r="D9397" s="1" t="s">
        <v>28</v>
      </c>
      <c r="E9397" s="1" t="s">
        <v>6</v>
      </c>
      <c r="F9397" s="1" t="s">
        <v>5091</v>
      </c>
      <c r="G9397" s="1" t="s">
        <v>13187</v>
      </c>
      <c r="H9397" s="1" t="s">
        <v>5</v>
      </c>
      <c r="I9397" s="17">
        <v>42736</v>
      </c>
    </row>
    <row r="9398" spans="1:10">
      <c r="A9398" s="16" t="s">
        <v>13194</v>
      </c>
      <c r="B9398" s="1" t="s">
        <v>2631</v>
      </c>
      <c r="C9398" s="1">
        <v>8</v>
      </c>
      <c r="D9398" s="1" t="s">
        <v>28</v>
      </c>
      <c r="E9398" s="1" t="s">
        <v>6</v>
      </c>
      <c r="F9398" s="1" t="s">
        <v>5091</v>
      </c>
      <c r="G9398" s="1" t="s">
        <v>6238</v>
      </c>
      <c r="H9398" s="1" t="s">
        <v>43</v>
      </c>
      <c r="I9398" s="17">
        <v>42736</v>
      </c>
    </row>
    <row r="9399" spans="1:10">
      <c r="A9399" s="16" t="s">
        <v>13198</v>
      </c>
      <c r="B9399" s="1" t="s">
        <v>2631</v>
      </c>
      <c r="C9399" s="1">
        <v>8</v>
      </c>
      <c r="D9399" s="1" t="s">
        <v>28</v>
      </c>
      <c r="E9399" s="1" t="s">
        <v>6</v>
      </c>
      <c r="F9399" s="1" t="s">
        <v>5091</v>
      </c>
      <c r="G9399" s="1" t="s">
        <v>6238</v>
      </c>
      <c r="H9399" s="1" t="s">
        <v>43</v>
      </c>
      <c r="I9399" s="17">
        <v>42736</v>
      </c>
    </row>
    <row r="9400" spans="1:10">
      <c r="A9400" s="16" t="s">
        <v>13200</v>
      </c>
      <c r="B9400" s="1" t="s">
        <v>2631</v>
      </c>
      <c r="C9400" s="1">
        <v>8</v>
      </c>
      <c r="D9400" s="1" t="s">
        <v>28</v>
      </c>
      <c r="E9400" s="1" t="s">
        <v>6</v>
      </c>
      <c r="F9400" s="1" t="s">
        <v>5091</v>
      </c>
      <c r="G9400" s="1" t="s">
        <v>6238</v>
      </c>
      <c r="H9400" s="1" t="s">
        <v>43</v>
      </c>
      <c r="I9400" s="17">
        <v>42736</v>
      </c>
    </row>
    <row r="9401" spans="1:10">
      <c r="A9401" s="16" t="s">
        <v>13201</v>
      </c>
      <c r="B9401" s="1" t="s">
        <v>2631</v>
      </c>
      <c r="C9401" s="1">
        <v>8</v>
      </c>
      <c r="D9401" s="1" t="s">
        <v>28</v>
      </c>
      <c r="E9401" s="1" t="s">
        <v>6</v>
      </c>
      <c r="F9401" s="1" t="s">
        <v>5091</v>
      </c>
      <c r="G9401" s="1" t="s">
        <v>6238</v>
      </c>
      <c r="H9401" s="1" t="s">
        <v>43</v>
      </c>
      <c r="I9401" s="17">
        <v>42736</v>
      </c>
    </row>
    <row r="9402" spans="1:10">
      <c r="A9402" s="16" t="s">
        <v>13256</v>
      </c>
      <c r="B9402" s="1" t="s">
        <v>2631</v>
      </c>
      <c r="C9402" s="1">
        <v>8</v>
      </c>
      <c r="D9402" s="1" t="s">
        <v>28</v>
      </c>
      <c r="E9402" s="1" t="s">
        <v>6</v>
      </c>
      <c r="F9402" s="1" t="s">
        <v>5091</v>
      </c>
      <c r="G9402" s="1" t="s">
        <v>6238</v>
      </c>
      <c r="H9402" s="1" t="s">
        <v>43</v>
      </c>
      <c r="I9402" s="17">
        <v>42736</v>
      </c>
    </row>
    <row r="9403" spans="1:10">
      <c r="A9403" s="7" t="s">
        <v>13772</v>
      </c>
      <c r="B9403" s="1" t="s">
        <v>2629</v>
      </c>
      <c r="C9403" s="1">
        <v>8</v>
      </c>
      <c r="D9403" s="1" t="s">
        <v>28</v>
      </c>
      <c r="E9403" s="1" t="s">
        <v>6</v>
      </c>
      <c r="F9403" s="1" t="s">
        <v>2698</v>
      </c>
      <c r="G9403" s="1" t="s">
        <v>6307</v>
      </c>
      <c r="H9403" s="1" t="s">
        <v>44</v>
      </c>
      <c r="I9403" s="17">
        <v>41275</v>
      </c>
    </row>
    <row r="9404" spans="1:10">
      <c r="A9404" s="7" t="s">
        <v>13776</v>
      </c>
      <c r="B9404" s="1" t="s">
        <v>2629</v>
      </c>
      <c r="C9404" s="1">
        <v>8</v>
      </c>
      <c r="D9404" s="1" t="s">
        <v>28</v>
      </c>
      <c r="E9404" s="1" t="s">
        <v>6</v>
      </c>
      <c r="F9404" s="1" t="s">
        <v>2698</v>
      </c>
      <c r="G9404" s="1" t="s">
        <v>4458</v>
      </c>
      <c r="H9404" s="1" t="s">
        <v>118</v>
      </c>
      <c r="I9404" s="17">
        <v>40909</v>
      </c>
    </row>
    <row r="9405" spans="1:10">
      <c r="A9405" s="7" t="s">
        <v>13786</v>
      </c>
      <c r="B9405" s="1" t="s">
        <v>2629</v>
      </c>
      <c r="C9405" s="1">
        <v>8</v>
      </c>
      <c r="D9405" s="1" t="s">
        <v>28</v>
      </c>
      <c r="E9405" s="1" t="s">
        <v>6</v>
      </c>
      <c r="F9405" s="1" t="s">
        <v>2698</v>
      </c>
      <c r="G9405" s="1" t="s">
        <v>6307</v>
      </c>
      <c r="H9405" s="1" t="s">
        <v>44</v>
      </c>
      <c r="I9405" s="17">
        <v>40909</v>
      </c>
    </row>
    <row r="9406" spans="1:10">
      <c r="A9406" s="7" t="s">
        <v>14470</v>
      </c>
      <c r="B9406" s="2" t="s">
        <v>2629</v>
      </c>
      <c r="C9406" s="1">
        <v>8</v>
      </c>
      <c r="D9406" s="1" t="s">
        <v>28</v>
      </c>
      <c r="E9406" s="1" t="s">
        <v>6</v>
      </c>
      <c r="F9406" s="1" t="s">
        <v>118</v>
      </c>
      <c r="G9406" s="14" t="s">
        <v>14463</v>
      </c>
      <c r="H9406" s="1" t="s">
        <v>5</v>
      </c>
      <c r="I9406" s="1" t="s">
        <v>5659</v>
      </c>
      <c r="J9406" s="17"/>
    </row>
    <row r="9407" spans="1:10">
      <c r="A9407" s="7" t="s">
        <v>14471</v>
      </c>
      <c r="B9407" s="2" t="s">
        <v>2629</v>
      </c>
      <c r="C9407" s="1">
        <v>8</v>
      </c>
      <c r="D9407" s="1" t="s">
        <v>28</v>
      </c>
      <c r="E9407" s="1" t="s">
        <v>6</v>
      </c>
      <c r="F9407" s="1" t="s">
        <v>118</v>
      </c>
      <c r="G9407" s="14" t="s">
        <v>14463</v>
      </c>
      <c r="H9407" s="1" t="s">
        <v>5</v>
      </c>
      <c r="I9407" s="1" t="s">
        <v>5659</v>
      </c>
      <c r="J9407" s="17"/>
    </row>
    <row r="9408" spans="1:10">
      <c r="A9408" s="7" t="s">
        <v>14476</v>
      </c>
      <c r="B9408" s="2" t="s">
        <v>2629</v>
      </c>
      <c r="C9408" s="1">
        <v>8</v>
      </c>
      <c r="D9408" s="1" t="s">
        <v>28</v>
      </c>
      <c r="E9408" s="1" t="s">
        <v>6</v>
      </c>
      <c r="F9408" s="1" t="s">
        <v>118</v>
      </c>
      <c r="G9408" s="14" t="s">
        <v>14463</v>
      </c>
      <c r="H9408" s="1" t="s">
        <v>5</v>
      </c>
      <c r="I9408" s="1" t="s">
        <v>4789</v>
      </c>
      <c r="J9408" s="17"/>
    </row>
    <row r="9409" spans="1:10">
      <c r="A9409" s="7" t="s">
        <v>14478</v>
      </c>
      <c r="B9409" s="2" t="s">
        <v>2629</v>
      </c>
      <c r="C9409" s="1">
        <v>8</v>
      </c>
      <c r="D9409" s="1" t="s">
        <v>28</v>
      </c>
      <c r="E9409" s="1" t="s">
        <v>6</v>
      </c>
      <c r="F9409" s="1" t="s">
        <v>118</v>
      </c>
      <c r="G9409" s="14" t="s">
        <v>14463</v>
      </c>
      <c r="H9409" s="1" t="s">
        <v>5</v>
      </c>
      <c r="I9409" s="1" t="s">
        <v>4789</v>
      </c>
      <c r="J9409" s="17"/>
    </row>
    <row r="9410" spans="1:10" s="11" customFormat="1">
      <c r="A9410" s="7" t="s">
        <v>14479</v>
      </c>
      <c r="B9410" s="2" t="s">
        <v>2629</v>
      </c>
      <c r="C9410" s="1">
        <v>8</v>
      </c>
      <c r="D9410" s="1" t="s">
        <v>28</v>
      </c>
      <c r="E9410" s="1" t="s">
        <v>6</v>
      </c>
      <c r="F9410" s="1" t="s">
        <v>118</v>
      </c>
      <c r="G9410" s="14" t="s">
        <v>14463</v>
      </c>
      <c r="H9410" s="1" t="s">
        <v>5</v>
      </c>
      <c r="I9410" s="1" t="s">
        <v>4789</v>
      </c>
      <c r="J9410" s="17"/>
    </row>
    <row r="9411" spans="1:10" s="11" customFormat="1">
      <c r="A9411" s="7" t="s">
        <v>14480</v>
      </c>
      <c r="B9411" s="2" t="s">
        <v>2629</v>
      </c>
      <c r="C9411" s="1">
        <v>8</v>
      </c>
      <c r="D9411" s="1" t="s">
        <v>28</v>
      </c>
      <c r="E9411" s="1" t="s">
        <v>6</v>
      </c>
      <c r="F9411" s="1" t="s">
        <v>118</v>
      </c>
      <c r="G9411" s="14" t="s">
        <v>14463</v>
      </c>
      <c r="H9411" s="1" t="s">
        <v>5</v>
      </c>
      <c r="I9411" s="1" t="s">
        <v>4789</v>
      </c>
      <c r="J9411" s="17"/>
    </row>
    <row r="9412" spans="1:10">
      <c r="A9412" s="7" t="s">
        <v>14481</v>
      </c>
      <c r="B9412" s="2" t="s">
        <v>2629</v>
      </c>
      <c r="C9412" s="1">
        <v>8</v>
      </c>
      <c r="D9412" s="1" t="s">
        <v>28</v>
      </c>
      <c r="E9412" s="1" t="s">
        <v>6</v>
      </c>
      <c r="F9412" s="1" t="s">
        <v>118</v>
      </c>
      <c r="G9412" s="14" t="s">
        <v>14463</v>
      </c>
      <c r="H9412" s="1" t="s">
        <v>5</v>
      </c>
      <c r="I9412" s="1" t="s">
        <v>4789</v>
      </c>
      <c r="J9412" s="17"/>
    </row>
    <row r="9413" spans="1:10">
      <c r="A9413" s="7" t="s">
        <v>14482</v>
      </c>
      <c r="B9413" s="2" t="s">
        <v>2629</v>
      </c>
      <c r="C9413" s="1">
        <v>8</v>
      </c>
      <c r="D9413" s="1" t="s">
        <v>28</v>
      </c>
      <c r="E9413" s="1" t="s">
        <v>6</v>
      </c>
      <c r="F9413" s="1" t="s">
        <v>118</v>
      </c>
      <c r="G9413" s="14" t="s">
        <v>14463</v>
      </c>
      <c r="H9413" s="1" t="s">
        <v>5</v>
      </c>
      <c r="I9413" s="1" t="s">
        <v>4789</v>
      </c>
      <c r="J9413" s="17"/>
    </row>
    <row r="9414" spans="1:10">
      <c r="A9414" s="7" t="s">
        <v>14496</v>
      </c>
      <c r="B9414" s="2" t="s">
        <v>2629</v>
      </c>
      <c r="C9414" s="1">
        <v>16</v>
      </c>
      <c r="D9414" s="1" t="s">
        <v>28</v>
      </c>
      <c r="E9414" s="1" t="s">
        <v>6</v>
      </c>
      <c r="F9414" s="1" t="s">
        <v>118</v>
      </c>
      <c r="G9414" s="14" t="s">
        <v>14463</v>
      </c>
      <c r="H9414" s="1" t="s">
        <v>5</v>
      </c>
      <c r="I9414" s="1" t="s">
        <v>5659</v>
      </c>
      <c r="J9414" s="17"/>
    </row>
    <row r="9415" spans="1:10">
      <c r="A9415" s="7" t="s">
        <v>14497</v>
      </c>
      <c r="B9415" s="2" t="s">
        <v>2629</v>
      </c>
      <c r="C9415" s="1">
        <v>8</v>
      </c>
      <c r="D9415" s="1" t="s">
        <v>28</v>
      </c>
      <c r="E9415" s="1" t="s">
        <v>6</v>
      </c>
      <c r="F9415" s="1" t="s">
        <v>118</v>
      </c>
      <c r="G9415" s="14" t="s">
        <v>14463</v>
      </c>
      <c r="H9415" s="1" t="s">
        <v>5</v>
      </c>
      <c r="I9415" s="1" t="s">
        <v>4789</v>
      </c>
      <c r="J9415" s="17"/>
    </row>
    <row r="9416" spans="1:10">
      <c r="A9416" s="7" t="s">
        <v>14502</v>
      </c>
      <c r="B9416" s="2" t="s">
        <v>2629</v>
      </c>
      <c r="C9416" s="1">
        <v>8</v>
      </c>
      <c r="D9416" s="1" t="s">
        <v>28</v>
      </c>
      <c r="E9416" s="1" t="s">
        <v>6</v>
      </c>
      <c r="F9416" s="1" t="s">
        <v>118</v>
      </c>
      <c r="G9416" s="14" t="s">
        <v>14463</v>
      </c>
      <c r="H9416" s="1" t="s">
        <v>5</v>
      </c>
      <c r="I9416" s="1" t="s">
        <v>5798</v>
      </c>
      <c r="J9416" s="17"/>
    </row>
    <row r="9417" spans="1:10">
      <c r="A9417" s="7" t="s">
        <v>14503</v>
      </c>
      <c r="B9417" s="2" t="s">
        <v>2629</v>
      </c>
      <c r="C9417" s="1">
        <v>8</v>
      </c>
      <c r="D9417" s="1" t="s">
        <v>28</v>
      </c>
      <c r="E9417" s="1" t="s">
        <v>6</v>
      </c>
      <c r="F9417" s="1" t="s">
        <v>118</v>
      </c>
      <c r="G9417" s="14" t="s">
        <v>14463</v>
      </c>
      <c r="H9417" s="1" t="s">
        <v>5</v>
      </c>
      <c r="I9417" s="1" t="s">
        <v>4789</v>
      </c>
      <c r="J9417" s="17"/>
    </row>
    <row r="9418" spans="1:10">
      <c r="A9418" s="7" t="s">
        <v>14508</v>
      </c>
      <c r="B9418" s="2" t="s">
        <v>2630</v>
      </c>
      <c r="C9418" s="1">
        <v>120</v>
      </c>
      <c r="D9418" s="1" t="s">
        <v>28</v>
      </c>
      <c r="E9418" s="1" t="s">
        <v>6</v>
      </c>
      <c r="F9418" s="1" t="s">
        <v>118</v>
      </c>
      <c r="G9418" s="14" t="s">
        <v>14463</v>
      </c>
      <c r="H9418" s="1" t="s">
        <v>4803</v>
      </c>
      <c r="I9418" s="1" t="s">
        <v>4789</v>
      </c>
    </row>
    <row r="9419" spans="1:10">
      <c r="A9419" s="7" t="s">
        <v>14509</v>
      </c>
      <c r="B9419" s="2" t="s">
        <v>2629</v>
      </c>
      <c r="C9419" s="1">
        <v>8</v>
      </c>
      <c r="D9419" s="1" t="s">
        <v>28</v>
      </c>
      <c r="E9419" s="1" t="s">
        <v>6</v>
      </c>
      <c r="F9419" s="1" t="s">
        <v>118</v>
      </c>
      <c r="G9419" s="14" t="s">
        <v>14463</v>
      </c>
      <c r="H9419" s="1" t="s">
        <v>5</v>
      </c>
      <c r="I9419" s="1" t="s">
        <v>4789</v>
      </c>
      <c r="J9419" s="17"/>
    </row>
    <row r="9420" spans="1:10">
      <c r="A9420" s="7" t="s">
        <v>14510</v>
      </c>
      <c r="B9420" s="2" t="s">
        <v>2629</v>
      </c>
      <c r="C9420" s="1">
        <v>8</v>
      </c>
      <c r="D9420" s="1" t="s">
        <v>28</v>
      </c>
      <c r="E9420" s="1" t="s">
        <v>6</v>
      </c>
      <c r="F9420" s="1" t="s">
        <v>118</v>
      </c>
      <c r="G9420" s="14" t="s">
        <v>14463</v>
      </c>
      <c r="H9420" s="1" t="s">
        <v>5</v>
      </c>
      <c r="I9420" s="1" t="s">
        <v>5659</v>
      </c>
      <c r="J9420" s="17"/>
    </row>
    <row r="9421" spans="1:10">
      <c r="A9421" s="7" t="s">
        <v>14529</v>
      </c>
      <c r="B9421" s="2" t="s">
        <v>2629</v>
      </c>
      <c r="C9421" s="1">
        <v>691</v>
      </c>
      <c r="D9421" s="1" t="s">
        <v>28</v>
      </c>
      <c r="E9421" s="1" t="s">
        <v>6</v>
      </c>
      <c r="F9421" s="1" t="s">
        <v>118</v>
      </c>
      <c r="G9421" s="14" t="s">
        <v>14465</v>
      </c>
      <c r="H9421" s="1" t="s">
        <v>43</v>
      </c>
      <c r="I9421" s="1" t="s">
        <v>5642</v>
      </c>
    </row>
    <row r="9422" spans="1:10">
      <c r="A9422" s="7" t="s">
        <v>14531</v>
      </c>
      <c r="B9422" s="2" t="s">
        <v>2629</v>
      </c>
      <c r="C9422" s="1">
        <v>8</v>
      </c>
      <c r="D9422" s="1" t="s">
        <v>28</v>
      </c>
      <c r="E9422" s="1" t="s">
        <v>6</v>
      </c>
      <c r="F9422" s="1" t="s">
        <v>118</v>
      </c>
      <c r="G9422" s="14" t="s">
        <v>14463</v>
      </c>
      <c r="H9422" s="1" t="s">
        <v>5</v>
      </c>
      <c r="I9422" s="1" t="s">
        <v>4789</v>
      </c>
      <c r="J9422" s="17"/>
    </row>
    <row r="9423" spans="1:10">
      <c r="A9423" s="7" t="s">
        <v>14532</v>
      </c>
      <c r="B9423" s="2" t="s">
        <v>2629</v>
      </c>
      <c r="C9423" s="1">
        <v>8</v>
      </c>
      <c r="D9423" s="1" t="s">
        <v>28</v>
      </c>
      <c r="E9423" s="1" t="s">
        <v>6</v>
      </c>
      <c r="F9423" s="1" t="s">
        <v>118</v>
      </c>
      <c r="G9423" s="14" t="s">
        <v>14463</v>
      </c>
      <c r="H9423" s="1" t="s">
        <v>5</v>
      </c>
      <c r="I9423" s="1" t="s">
        <v>4789</v>
      </c>
      <c r="J9423" s="17"/>
    </row>
    <row r="9424" spans="1:10">
      <c r="A9424" s="7" t="s">
        <v>14533</v>
      </c>
      <c r="B9424" s="2" t="s">
        <v>2629</v>
      </c>
      <c r="C9424" s="1">
        <v>8</v>
      </c>
      <c r="D9424" s="1" t="s">
        <v>28</v>
      </c>
      <c r="E9424" s="1" t="s">
        <v>6</v>
      </c>
      <c r="F9424" s="1" t="s">
        <v>118</v>
      </c>
      <c r="G9424" s="14" t="s">
        <v>14463</v>
      </c>
      <c r="H9424" s="1" t="s">
        <v>5</v>
      </c>
      <c r="I9424" s="1" t="s">
        <v>4789</v>
      </c>
      <c r="J9424" s="17"/>
    </row>
    <row r="9425" spans="1:10">
      <c r="A9425" s="7" t="s">
        <v>14534</v>
      </c>
      <c r="B9425" s="2" t="s">
        <v>2629</v>
      </c>
      <c r="C9425" s="1">
        <v>8</v>
      </c>
      <c r="D9425" s="1" t="s">
        <v>28</v>
      </c>
      <c r="E9425" s="1" t="s">
        <v>6</v>
      </c>
      <c r="F9425" s="1" t="s">
        <v>118</v>
      </c>
      <c r="G9425" s="14" t="s">
        <v>14463</v>
      </c>
      <c r="H9425" s="1" t="s">
        <v>5</v>
      </c>
      <c r="I9425" s="1" t="s">
        <v>4789</v>
      </c>
      <c r="J9425" s="17"/>
    </row>
    <row r="9426" spans="1:10">
      <c r="A9426" s="7" t="s">
        <v>14536</v>
      </c>
      <c r="B9426" s="2" t="s">
        <v>2629</v>
      </c>
      <c r="C9426" s="1">
        <v>120</v>
      </c>
      <c r="D9426" s="1" t="s">
        <v>28</v>
      </c>
      <c r="E9426" s="1" t="s">
        <v>6</v>
      </c>
      <c r="F9426" s="1" t="s">
        <v>118</v>
      </c>
      <c r="G9426" s="14" t="s">
        <v>14463</v>
      </c>
      <c r="H9426" s="1" t="s">
        <v>5</v>
      </c>
      <c r="I9426" s="1" t="s">
        <v>5659</v>
      </c>
      <c r="J9426" s="17"/>
    </row>
    <row r="9427" spans="1:10">
      <c r="A9427" s="7" t="s">
        <v>14537</v>
      </c>
      <c r="B9427" s="2" t="s">
        <v>2628</v>
      </c>
      <c r="C9427" s="1">
        <v>8</v>
      </c>
      <c r="D9427" s="1" t="s">
        <v>28</v>
      </c>
      <c r="E9427" s="1" t="s">
        <v>6</v>
      </c>
      <c r="F9427" s="2" t="s">
        <v>118</v>
      </c>
      <c r="G9427" s="14" t="s">
        <v>14463</v>
      </c>
      <c r="H9427" s="1" t="s">
        <v>5</v>
      </c>
      <c r="I9427" s="1" t="s">
        <v>5659</v>
      </c>
    </row>
    <row r="9428" spans="1:10">
      <c r="A9428" s="16" t="s">
        <v>14841</v>
      </c>
      <c r="B9428" s="1" t="s">
        <v>2631</v>
      </c>
      <c r="C9428" s="1">
        <v>8</v>
      </c>
      <c r="D9428" s="1" t="s">
        <v>28</v>
      </c>
      <c r="E9428" s="1" t="s">
        <v>6</v>
      </c>
      <c r="F9428" s="1" t="s">
        <v>5241</v>
      </c>
      <c r="G9428" s="1" t="s">
        <v>4803</v>
      </c>
      <c r="H9428" s="1" t="s">
        <v>5</v>
      </c>
      <c r="I9428" s="17">
        <v>43101</v>
      </c>
      <c r="J9428" s="17"/>
    </row>
    <row r="9429" spans="1:10">
      <c r="A9429" s="16" t="s">
        <v>14843</v>
      </c>
      <c r="B9429" s="1" t="s">
        <v>2631</v>
      </c>
      <c r="C9429" s="1">
        <v>8</v>
      </c>
      <c r="D9429" s="1" t="s">
        <v>28</v>
      </c>
      <c r="E9429" s="1" t="s">
        <v>6</v>
      </c>
      <c r="F9429" s="1" t="s">
        <v>5241</v>
      </c>
      <c r="G9429" s="1" t="s">
        <v>4803</v>
      </c>
      <c r="H9429" s="1" t="s">
        <v>5</v>
      </c>
      <c r="I9429" s="17">
        <v>42644</v>
      </c>
      <c r="J9429" s="17"/>
    </row>
    <row r="9430" spans="1:10">
      <c r="A9430" s="7" t="s">
        <v>14861</v>
      </c>
      <c r="B9430" s="1" t="s">
        <v>2629</v>
      </c>
      <c r="C9430" s="1">
        <v>8</v>
      </c>
      <c r="D9430" s="1" t="s">
        <v>28</v>
      </c>
      <c r="E9430" s="1" t="s">
        <v>6</v>
      </c>
      <c r="F9430" s="1" t="s">
        <v>5241</v>
      </c>
      <c r="G9430" s="1" t="s">
        <v>4803</v>
      </c>
      <c r="H9430" s="1" t="s">
        <v>5</v>
      </c>
      <c r="I9430" s="17">
        <v>43191</v>
      </c>
      <c r="J9430" s="17"/>
    </row>
    <row r="9431" spans="1:10">
      <c r="A9431" s="7" t="s">
        <v>15020</v>
      </c>
      <c r="B9431" s="1" t="s">
        <v>2629</v>
      </c>
      <c r="C9431" s="1">
        <v>8</v>
      </c>
      <c r="D9431" s="1" t="s">
        <v>28</v>
      </c>
      <c r="E9431" s="1" t="s">
        <v>6</v>
      </c>
      <c r="F9431" s="1" t="s">
        <v>5241</v>
      </c>
      <c r="G9431" s="1" t="s">
        <v>4803</v>
      </c>
      <c r="H9431" s="1" t="s">
        <v>5</v>
      </c>
      <c r="I9431" s="17">
        <v>43191</v>
      </c>
      <c r="J9431" s="17"/>
    </row>
    <row r="9432" spans="1:10">
      <c r="A9432" s="7" t="s">
        <v>15032</v>
      </c>
      <c r="B9432" s="1" t="s">
        <v>2629</v>
      </c>
      <c r="C9432" s="1">
        <v>8</v>
      </c>
      <c r="D9432" s="1" t="s">
        <v>28</v>
      </c>
      <c r="E9432" s="1" t="s">
        <v>6</v>
      </c>
      <c r="F9432" s="1" t="s">
        <v>5241</v>
      </c>
      <c r="G9432" s="1" t="s">
        <v>4803</v>
      </c>
      <c r="H9432" s="1" t="s">
        <v>5</v>
      </c>
      <c r="I9432" s="17">
        <v>43132</v>
      </c>
      <c r="J9432" s="17"/>
    </row>
    <row r="9433" spans="1:10">
      <c r="A9433" s="7" t="s">
        <v>15149</v>
      </c>
      <c r="B9433" s="1" t="s">
        <v>2629</v>
      </c>
      <c r="C9433" s="1">
        <v>8</v>
      </c>
      <c r="D9433" s="1" t="s">
        <v>28</v>
      </c>
      <c r="E9433" s="1" t="s">
        <v>6</v>
      </c>
      <c r="F9433" s="1" t="s">
        <v>5241</v>
      </c>
      <c r="G9433" s="1" t="s">
        <v>4803</v>
      </c>
      <c r="H9433" s="1" t="s">
        <v>5</v>
      </c>
      <c r="I9433" s="17">
        <v>43191</v>
      </c>
    </row>
    <row r="9434" spans="1:10">
      <c r="A9434" s="7" t="s">
        <v>15150</v>
      </c>
      <c r="B9434" s="1" t="s">
        <v>2629</v>
      </c>
      <c r="C9434" s="1">
        <v>8</v>
      </c>
      <c r="D9434" s="1" t="s">
        <v>28</v>
      </c>
      <c r="E9434" s="1" t="s">
        <v>6</v>
      </c>
      <c r="F9434" s="1" t="s">
        <v>5241</v>
      </c>
      <c r="G9434" s="1" t="s">
        <v>4803</v>
      </c>
      <c r="H9434" s="1" t="s">
        <v>5</v>
      </c>
      <c r="I9434" s="17">
        <v>43132</v>
      </c>
    </row>
    <row r="9435" spans="1:10">
      <c r="A9435" s="7" t="s">
        <v>15241</v>
      </c>
      <c r="B9435" s="1" t="s">
        <v>2629</v>
      </c>
      <c r="C9435" s="1">
        <v>8</v>
      </c>
      <c r="D9435" s="1" t="s">
        <v>28</v>
      </c>
      <c r="E9435" s="1" t="s">
        <v>6</v>
      </c>
      <c r="F9435" s="1" t="s">
        <v>5241</v>
      </c>
      <c r="G9435" s="1" t="s">
        <v>4803</v>
      </c>
      <c r="H9435" s="1" t="s">
        <v>5</v>
      </c>
      <c r="I9435" s="17">
        <v>43191</v>
      </c>
    </row>
    <row r="9436" spans="1:10">
      <c r="A9436" s="7" t="s">
        <v>15314</v>
      </c>
      <c r="B9436" s="1" t="s">
        <v>2629</v>
      </c>
      <c r="C9436" s="1">
        <v>8</v>
      </c>
      <c r="D9436" s="1" t="s">
        <v>28</v>
      </c>
      <c r="E9436" s="1" t="s">
        <v>6</v>
      </c>
      <c r="F9436" s="1" t="s">
        <v>5241</v>
      </c>
      <c r="G9436" s="1" t="s">
        <v>4803</v>
      </c>
      <c r="H9436" s="1" t="s">
        <v>5</v>
      </c>
      <c r="I9436" s="17">
        <v>43191</v>
      </c>
    </row>
    <row r="9437" spans="1:10">
      <c r="A9437" s="16" t="s">
        <v>15362</v>
      </c>
      <c r="B9437" s="1" t="s">
        <v>2631</v>
      </c>
      <c r="C9437" s="1">
        <v>8</v>
      </c>
      <c r="D9437" s="1" t="s">
        <v>28</v>
      </c>
      <c r="E9437" s="1" t="s">
        <v>6</v>
      </c>
      <c r="F9437" s="1" t="s">
        <v>5241</v>
      </c>
      <c r="G9437" s="1" t="s">
        <v>4803</v>
      </c>
      <c r="H9437" s="1" t="s">
        <v>5</v>
      </c>
      <c r="I9437" s="17">
        <v>42644</v>
      </c>
    </row>
    <row r="9438" spans="1:10">
      <c r="A9438" s="16" t="s">
        <v>15371</v>
      </c>
      <c r="B9438" s="1" t="s">
        <v>2631</v>
      </c>
      <c r="C9438" s="1">
        <v>8</v>
      </c>
      <c r="D9438" s="1" t="s">
        <v>28</v>
      </c>
      <c r="E9438" s="1" t="s">
        <v>6</v>
      </c>
      <c r="F9438" s="1" t="s">
        <v>5241</v>
      </c>
      <c r="G9438" s="1" t="s">
        <v>4803</v>
      </c>
      <c r="H9438" s="1" t="s">
        <v>5</v>
      </c>
      <c r="I9438" s="17">
        <v>43070</v>
      </c>
    </row>
    <row r="9439" spans="1:10">
      <c r="A9439" s="7" t="s">
        <v>15414</v>
      </c>
      <c r="B9439" s="1" t="s">
        <v>2629</v>
      </c>
      <c r="C9439" s="1">
        <v>8</v>
      </c>
      <c r="D9439" s="1" t="s">
        <v>28</v>
      </c>
      <c r="E9439" s="1" t="s">
        <v>6</v>
      </c>
      <c r="F9439" s="1" t="s">
        <v>5241</v>
      </c>
      <c r="G9439" s="1" t="s">
        <v>4803</v>
      </c>
      <c r="H9439" s="1" t="s">
        <v>5</v>
      </c>
      <c r="I9439" s="17">
        <v>43191</v>
      </c>
    </row>
    <row r="9440" spans="1:10" s="11" customFormat="1">
      <c r="A9440" s="7" t="s">
        <v>15454</v>
      </c>
      <c r="B9440" s="1" t="s">
        <v>2629</v>
      </c>
      <c r="C9440" s="1">
        <v>8</v>
      </c>
      <c r="D9440" s="1" t="s">
        <v>28</v>
      </c>
      <c r="E9440" s="1" t="s">
        <v>6</v>
      </c>
      <c r="F9440" s="1" t="s">
        <v>5241</v>
      </c>
      <c r="G9440" s="1" t="s">
        <v>4803</v>
      </c>
      <c r="H9440" s="1" t="s">
        <v>5</v>
      </c>
      <c r="I9440" s="17">
        <v>43191</v>
      </c>
      <c r="J9440"/>
    </row>
    <row r="9441" spans="1:10" s="11" customFormat="1">
      <c r="A9441" s="7" t="s">
        <v>15471</v>
      </c>
      <c r="B9441" s="1" t="s">
        <v>2629</v>
      </c>
      <c r="C9441" s="1">
        <v>8</v>
      </c>
      <c r="D9441" s="1" t="s">
        <v>28</v>
      </c>
      <c r="E9441" s="1" t="s">
        <v>6</v>
      </c>
      <c r="F9441" s="1" t="s">
        <v>5241</v>
      </c>
      <c r="G9441" s="1" t="s">
        <v>4803</v>
      </c>
      <c r="H9441" s="1" t="s">
        <v>5</v>
      </c>
      <c r="I9441" s="17">
        <v>43191</v>
      </c>
      <c r="J9441"/>
    </row>
    <row r="9442" spans="1:10">
      <c r="A9442" s="7" t="s">
        <v>15514</v>
      </c>
      <c r="B9442" s="1" t="s">
        <v>2629</v>
      </c>
      <c r="C9442" s="1">
        <v>8</v>
      </c>
      <c r="D9442" s="1" t="s">
        <v>28</v>
      </c>
      <c r="E9442" s="1" t="s">
        <v>6</v>
      </c>
      <c r="F9442" s="1" t="s">
        <v>5241</v>
      </c>
      <c r="G9442" s="1" t="s">
        <v>4803</v>
      </c>
      <c r="H9442" s="1" t="s">
        <v>5</v>
      </c>
      <c r="I9442" s="17">
        <v>43191</v>
      </c>
    </row>
    <row r="9443" spans="1:10">
      <c r="A9443" s="7" t="s">
        <v>15573</v>
      </c>
      <c r="B9443" s="1" t="s">
        <v>2629</v>
      </c>
      <c r="C9443" s="1">
        <v>8</v>
      </c>
      <c r="D9443" s="1" t="s">
        <v>28</v>
      </c>
      <c r="E9443" s="1" t="s">
        <v>6</v>
      </c>
      <c r="F9443" s="1" t="s">
        <v>5241</v>
      </c>
      <c r="G9443" s="1" t="s">
        <v>4803</v>
      </c>
      <c r="H9443" s="1" t="s">
        <v>5</v>
      </c>
      <c r="I9443" s="17">
        <v>43191</v>
      </c>
    </row>
    <row r="9444" spans="1:10">
      <c r="A9444" s="7" t="s">
        <v>16230</v>
      </c>
      <c r="B9444" s="2" t="s">
        <v>2630</v>
      </c>
      <c r="C9444" s="1">
        <v>120</v>
      </c>
      <c r="D9444" s="1" t="s">
        <v>28</v>
      </c>
      <c r="E9444" s="1" t="s">
        <v>6</v>
      </c>
      <c r="F9444" s="1" t="s">
        <v>5091</v>
      </c>
      <c r="G9444" s="14" t="s">
        <v>2400</v>
      </c>
      <c r="H9444" s="1" t="s">
        <v>43</v>
      </c>
      <c r="I9444" s="1">
        <v>2010</v>
      </c>
    </row>
    <row r="9445" spans="1:10">
      <c r="A9445" s="7" t="s">
        <v>16559</v>
      </c>
      <c r="B9445" s="2" t="s">
        <v>2629</v>
      </c>
      <c r="C9445" s="1">
        <v>8</v>
      </c>
      <c r="D9445" s="1" t="s">
        <v>28</v>
      </c>
      <c r="E9445" s="1" t="s">
        <v>6</v>
      </c>
      <c r="F9445" s="1" t="s">
        <v>5241</v>
      </c>
      <c r="G9445" s="14" t="s">
        <v>4803</v>
      </c>
      <c r="H9445" s="1" t="s">
        <v>5</v>
      </c>
      <c r="I9445" s="1">
        <v>2019</v>
      </c>
    </row>
    <row r="9446" spans="1:10">
      <c r="A9446" s="7" t="s">
        <v>16560</v>
      </c>
      <c r="B9446" s="2" t="s">
        <v>2629</v>
      </c>
      <c r="C9446" s="1">
        <v>8</v>
      </c>
      <c r="D9446" s="1" t="s">
        <v>28</v>
      </c>
      <c r="E9446" s="1" t="s">
        <v>6</v>
      </c>
      <c r="F9446" s="1" t="s">
        <v>5241</v>
      </c>
      <c r="G9446" s="14" t="s">
        <v>4803</v>
      </c>
      <c r="H9446" s="1" t="s">
        <v>5</v>
      </c>
      <c r="I9446" s="1">
        <v>2019</v>
      </c>
    </row>
    <row r="9447" spans="1:10">
      <c r="A9447" s="7" t="s">
        <v>16561</v>
      </c>
      <c r="B9447" s="2" t="s">
        <v>2629</v>
      </c>
      <c r="C9447" s="1">
        <v>8</v>
      </c>
      <c r="D9447" s="1" t="s">
        <v>28</v>
      </c>
      <c r="E9447" s="1" t="s">
        <v>6</v>
      </c>
      <c r="F9447" s="1" t="s">
        <v>5241</v>
      </c>
      <c r="G9447" s="14" t="s">
        <v>4803</v>
      </c>
      <c r="H9447" s="1" t="s">
        <v>5</v>
      </c>
      <c r="I9447" s="1">
        <v>2019</v>
      </c>
    </row>
    <row r="9448" spans="1:10">
      <c r="A9448" s="7" t="s">
        <v>16562</v>
      </c>
      <c r="B9448" s="2" t="s">
        <v>2629</v>
      </c>
      <c r="C9448" s="1">
        <v>8</v>
      </c>
      <c r="D9448" s="1" t="s">
        <v>28</v>
      </c>
      <c r="E9448" s="1" t="s">
        <v>6</v>
      </c>
      <c r="F9448" s="1" t="s">
        <v>5241</v>
      </c>
      <c r="G9448" s="14" t="s">
        <v>4803</v>
      </c>
      <c r="H9448" s="1" t="s">
        <v>5</v>
      </c>
      <c r="I9448" s="1">
        <v>2019</v>
      </c>
    </row>
    <row r="9449" spans="1:10">
      <c r="A9449" s="7" t="s">
        <v>16563</v>
      </c>
      <c r="B9449" s="2" t="s">
        <v>2629</v>
      </c>
      <c r="C9449" s="1">
        <v>8</v>
      </c>
      <c r="D9449" s="1" t="s">
        <v>28</v>
      </c>
      <c r="E9449" s="1" t="s">
        <v>6</v>
      </c>
      <c r="F9449" s="1" t="s">
        <v>5241</v>
      </c>
      <c r="G9449" s="14" t="s">
        <v>4803</v>
      </c>
      <c r="H9449" s="1" t="s">
        <v>5</v>
      </c>
      <c r="I9449" s="1">
        <v>2019</v>
      </c>
    </row>
    <row r="9450" spans="1:10">
      <c r="A9450" s="7" t="s">
        <v>16564</v>
      </c>
      <c r="B9450" s="2" t="s">
        <v>2629</v>
      </c>
      <c r="C9450" s="1">
        <v>8</v>
      </c>
      <c r="D9450" s="1" t="s">
        <v>28</v>
      </c>
      <c r="E9450" s="1" t="s">
        <v>6</v>
      </c>
      <c r="F9450" s="1" t="s">
        <v>5241</v>
      </c>
      <c r="G9450" s="14" t="s">
        <v>4803</v>
      </c>
      <c r="H9450" s="1" t="s">
        <v>5</v>
      </c>
      <c r="I9450" s="1">
        <v>2019</v>
      </c>
    </row>
    <row r="9451" spans="1:10">
      <c r="A9451" s="7" t="s">
        <v>16565</v>
      </c>
      <c r="B9451" s="2" t="s">
        <v>2629</v>
      </c>
      <c r="C9451" s="1">
        <v>8</v>
      </c>
      <c r="D9451" s="1" t="s">
        <v>28</v>
      </c>
      <c r="E9451" s="1" t="s">
        <v>6</v>
      </c>
      <c r="F9451" s="1" t="s">
        <v>5241</v>
      </c>
      <c r="G9451" s="14" t="s">
        <v>4803</v>
      </c>
      <c r="H9451" s="1" t="s">
        <v>5</v>
      </c>
      <c r="I9451" s="1">
        <v>2019</v>
      </c>
    </row>
    <row r="9452" spans="1:10">
      <c r="A9452" s="7" t="s">
        <v>16566</v>
      </c>
      <c r="B9452" s="2" t="s">
        <v>2629</v>
      </c>
      <c r="C9452" s="1">
        <v>8</v>
      </c>
      <c r="D9452" s="1" t="s">
        <v>28</v>
      </c>
      <c r="E9452" s="1" t="s">
        <v>6</v>
      </c>
      <c r="F9452" s="1" t="s">
        <v>5241</v>
      </c>
      <c r="G9452" s="14" t="s">
        <v>4803</v>
      </c>
      <c r="H9452" s="1" t="s">
        <v>5</v>
      </c>
      <c r="I9452" s="1">
        <v>2019</v>
      </c>
    </row>
    <row r="9453" spans="1:10">
      <c r="A9453" s="7" t="s">
        <v>16567</v>
      </c>
      <c r="B9453" s="2" t="s">
        <v>2629</v>
      </c>
      <c r="C9453" s="1">
        <v>8</v>
      </c>
      <c r="D9453" s="1" t="s">
        <v>28</v>
      </c>
      <c r="E9453" s="1" t="s">
        <v>6</v>
      </c>
      <c r="F9453" s="1" t="s">
        <v>5241</v>
      </c>
      <c r="G9453" s="14" t="s">
        <v>4803</v>
      </c>
      <c r="H9453" s="1" t="s">
        <v>5</v>
      </c>
      <c r="I9453" s="1">
        <v>2019</v>
      </c>
    </row>
    <row r="9454" spans="1:10">
      <c r="A9454" s="7" t="s">
        <v>16568</v>
      </c>
      <c r="B9454" s="2" t="s">
        <v>2629</v>
      </c>
      <c r="C9454" s="1">
        <v>8</v>
      </c>
      <c r="D9454" s="1" t="s">
        <v>28</v>
      </c>
      <c r="E9454" s="1" t="s">
        <v>6</v>
      </c>
      <c r="F9454" s="1" t="s">
        <v>5241</v>
      </c>
      <c r="G9454" s="14" t="s">
        <v>4803</v>
      </c>
      <c r="H9454" s="1" t="s">
        <v>5</v>
      </c>
      <c r="I9454" s="1">
        <v>2019</v>
      </c>
    </row>
    <row r="9455" spans="1:10">
      <c r="A9455" s="7" t="s">
        <v>16569</v>
      </c>
      <c r="B9455" s="2" t="s">
        <v>2629</v>
      </c>
      <c r="C9455" s="1">
        <v>8</v>
      </c>
      <c r="D9455" s="1" t="s">
        <v>28</v>
      </c>
      <c r="E9455" s="1" t="s">
        <v>6</v>
      </c>
      <c r="F9455" s="1" t="s">
        <v>5241</v>
      </c>
      <c r="G9455" s="14" t="s">
        <v>4803</v>
      </c>
      <c r="H9455" s="1" t="s">
        <v>5</v>
      </c>
      <c r="I9455" s="1">
        <v>2019</v>
      </c>
    </row>
    <row r="9456" spans="1:10">
      <c r="A9456" s="7" t="s">
        <v>16570</v>
      </c>
      <c r="B9456" s="2" t="s">
        <v>2629</v>
      </c>
      <c r="C9456" s="1">
        <v>8</v>
      </c>
      <c r="D9456" s="1" t="s">
        <v>28</v>
      </c>
      <c r="E9456" s="1" t="s">
        <v>6</v>
      </c>
      <c r="F9456" s="1" t="s">
        <v>5241</v>
      </c>
      <c r="G9456" s="14" t="s">
        <v>4803</v>
      </c>
      <c r="H9456" s="1" t="s">
        <v>5</v>
      </c>
      <c r="I9456" s="1">
        <v>2019</v>
      </c>
    </row>
    <row r="9457" spans="1:9">
      <c r="A9457" s="7" t="s">
        <v>16571</v>
      </c>
      <c r="B9457" s="2" t="s">
        <v>2629</v>
      </c>
      <c r="C9457" s="1">
        <v>8</v>
      </c>
      <c r="D9457" s="1" t="s">
        <v>28</v>
      </c>
      <c r="E9457" s="1" t="s">
        <v>6</v>
      </c>
      <c r="F9457" s="1" t="s">
        <v>5241</v>
      </c>
      <c r="G9457" s="14" t="s">
        <v>4803</v>
      </c>
      <c r="H9457" s="1" t="s">
        <v>5</v>
      </c>
      <c r="I9457" s="1">
        <v>2019</v>
      </c>
    </row>
    <row r="9458" spans="1:9">
      <c r="A9458" s="7" t="s">
        <v>16572</v>
      </c>
      <c r="B9458" s="2" t="s">
        <v>2629</v>
      </c>
      <c r="C9458" s="1">
        <v>8</v>
      </c>
      <c r="D9458" s="1" t="s">
        <v>28</v>
      </c>
      <c r="E9458" s="1" t="s">
        <v>6</v>
      </c>
      <c r="F9458" s="1" t="s">
        <v>5241</v>
      </c>
      <c r="G9458" s="14" t="s">
        <v>4803</v>
      </c>
      <c r="H9458" s="1" t="s">
        <v>5</v>
      </c>
      <c r="I9458" s="1">
        <v>2019</v>
      </c>
    </row>
    <row r="9459" spans="1:9">
      <c r="A9459" s="7" t="s">
        <v>16573</v>
      </c>
      <c r="B9459" s="2" t="s">
        <v>2629</v>
      </c>
      <c r="C9459" s="1">
        <v>8</v>
      </c>
      <c r="D9459" s="1" t="s">
        <v>28</v>
      </c>
      <c r="E9459" s="1" t="s">
        <v>6</v>
      </c>
      <c r="F9459" s="1" t="s">
        <v>5241</v>
      </c>
      <c r="G9459" s="14" t="s">
        <v>4803</v>
      </c>
      <c r="H9459" s="1" t="s">
        <v>5</v>
      </c>
      <c r="I9459" s="1">
        <v>2019</v>
      </c>
    </row>
    <row r="9460" spans="1:9">
      <c r="A9460" s="7" t="s">
        <v>16574</v>
      </c>
      <c r="B9460" s="2" t="s">
        <v>2629</v>
      </c>
      <c r="C9460" s="1">
        <v>8</v>
      </c>
      <c r="D9460" s="1" t="s">
        <v>28</v>
      </c>
      <c r="E9460" s="1" t="s">
        <v>6</v>
      </c>
      <c r="F9460" s="1" t="s">
        <v>5241</v>
      </c>
      <c r="G9460" s="14" t="s">
        <v>4803</v>
      </c>
      <c r="H9460" s="1" t="s">
        <v>5</v>
      </c>
      <c r="I9460" s="1">
        <v>2019</v>
      </c>
    </row>
    <row r="9461" spans="1:9">
      <c r="A9461" s="7" t="s">
        <v>16575</v>
      </c>
      <c r="B9461" s="2" t="s">
        <v>2629</v>
      </c>
      <c r="C9461" s="1">
        <v>8</v>
      </c>
      <c r="D9461" s="1" t="s">
        <v>28</v>
      </c>
      <c r="E9461" s="1" t="s">
        <v>6</v>
      </c>
      <c r="F9461" s="1" t="s">
        <v>5241</v>
      </c>
      <c r="G9461" s="14" t="s">
        <v>4803</v>
      </c>
      <c r="H9461" s="1" t="s">
        <v>5</v>
      </c>
      <c r="I9461" s="1">
        <v>2019</v>
      </c>
    </row>
    <row r="9462" spans="1:9">
      <c r="A9462" s="7" t="s">
        <v>16576</v>
      </c>
      <c r="B9462" s="2" t="s">
        <v>2629</v>
      </c>
      <c r="C9462" s="1">
        <v>8</v>
      </c>
      <c r="D9462" s="1" t="s">
        <v>28</v>
      </c>
      <c r="E9462" s="1" t="s">
        <v>6</v>
      </c>
      <c r="F9462" s="1" t="s">
        <v>5241</v>
      </c>
      <c r="G9462" s="14" t="s">
        <v>4803</v>
      </c>
      <c r="H9462" s="1" t="s">
        <v>5</v>
      </c>
      <c r="I9462" s="1">
        <v>2019</v>
      </c>
    </row>
    <row r="9463" spans="1:9">
      <c r="A9463" s="7" t="s">
        <v>16577</v>
      </c>
      <c r="B9463" s="2" t="s">
        <v>2629</v>
      </c>
      <c r="C9463" s="1">
        <v>8</v>
      </c>
      <c r="D9463" s="1" t="s">
        <v>28</v>
      </c>
      <c r="E9463" s="1" t="s">
        <v>6</v>
      </c>
      <c r="F9463" s="1" t="s">
        <v>5241</v>
      </c>
      <c r="G9463" s="14" t="s">
        <v>4803</v>
      </c>
      <c r="H9463" s="1" t="s">
        <v>5</v>
      </c>
      <c r="I9463" s="1">
        <v>2019</v>
      </c>
    </row>
    <row r="9464" spans="1:9">
      <c r="A9464" s="7" t="s">
        <v>16578</v>
      </c>
      <c r="B9464" s="2" t="s">
        <v>2629</v>
      </c>
      <c r="C9464" s="1">
        <v>8</v>
      </c>
      <c r="D9464" s="1" t="s">
        <v>28</v>
      </c>
      <c r="E9464" s="1" t="s">
        <v>6</v>
      </c>
      <c r="F9464" s="1" t="s">
        <v>5241</v>
      </c>
      <c r="G9464" s="14" t="s">
        <v>4803</v>
      </c>
      <c r="H9464" s="1" t="s">
        <v>5</v>
      </c>
      <c r="I9464" s="1">
        <v>2019</v>
      </c>
    </row>
    <row r="9465" spans="1:9">
      <c r="A9465" s="7" t="s">
        <v>16579</v>
      </c>
      <c r="B9465" s="2" t="s">
        <v>2629</v>
      </c>
      <c r="C9465" s="1">
        <v>8</v>
      </c>
      <c r="D9465" s="1" t="s">
        <v>28</v>
      </c>
      <c r="E9465" s="1" t="s">
        <v>6</v>
      </c>
      <c r="F9465" s="1" t="s">
        <v>5241</v>
      </c>
      <c r="G9465" s="14" t="s">
        <v>4803</v>
      </c>
      <c r="H9465" s="1" t="s">
        <v>5</v>
      </c>
      <c r="I9465" s="1">
        <v>2019</v>
      </c>
    </row>
    <row r="9466" spans="1:9">
      <c r="A9466" s="7" t="s">
        <v>16580</v>
      </c>
      <c r="B9466" s="2" t="s">
        <v>2629</v>
      </c>
      <c r="C9466" s="1">
        <v>8</v>
      </c>
      <c r="D9466" s="1" t="s">
        <v>28</v>
      </c>
      <c r="E9466" s="1" t="s">
        <v>6</v>
      </c>
      <c r="F9466" s="1" t="s">
        <v>5241</v>
      </c>
      <c r="G9466" s="14" t="s">
        <v>4803</v>
      </c>
      <c r="H9466" s="1" t="s">
        <v>5</v>
      </c>
      <c r="I9466" s="1">
        <v>2019</v>
      </c>
    </row>
    <row r="9467" spans="1:9">
      <c r="A9467" s="7" t="s">
        <v>16583</v>
      </c>
      <c r="B9467" s="2" t="s">
        <v>2629</v>
      </c>
      <c r="C9467" s="1">
        <v>8</v>
      </c>
      <c r="D9467" s="1" t="s">
        <v>28</v>
      </c>
      <c r="E9467" s="1" t="s">
        <v>6</v>
      </c>
      <c r="F9467" s="1" t="s">
        <v>5241</v>
      </c>
      <c r="G9467" s="14" t="s">
        <v>4803</v>
      </c>
      <c r="H9467" s="1" t="s">
        <v>5</v>
      </c>
      <c r="I9467" s="1">
        <v>2019</v>
      </c>
    </row>
    <row r="9468" spans="1:9">
      <c r="A9468" s="7" t="s">
        <v>16687</v>
      </c>
      <c r="B9468" s="2" t="s">
        <v>2629</v>
      </c>
      <c r="C9468" s="1">
        <v>8</v>
      </c>
      <c r="D9468" s="1" t="s">
        <v>28</v>
      </c>
      <c r="E9468" s="1" t="s">
        <v>6</v>
      </c>
      <c r="F9468" s="1" t="s">
        <v>5241</v>
      </c>
      <c r="G9468" s="14" t="s">
        <v>4803</v>
      </c>
      <c r="H9468" s="1" t="s">
        <v>5</v>
      </c>
      <c r="I9468" s="1">
        <v>2019</v>
      </c>
    </row>
    <row r="9469" spans="1:9">
      <c r="A9469" s="16" t="s">
        <v>4823</v>
      </c>
      <c r="B9469" s="1" t="s">
        <v>2631</v>
      </c>
      <c r="C9469" s="1">
        <v>8</v>
      </c>
      <c r="D9469" s="1" t="s">
        <v>28</v>
      </c>
      <c r="E9469" s="1" t="s">
        <v>6</v>
      </c>
      <c r="F9469" s="1" t="s">
        <v>2693</v>
      </c>
      <c r="G9469" s="1" t="s">
        <v>27</v>
      </c>
      <c r="H9469" s="1" t="s">
        <v>27</v>
      </c>
      <c r="I9469" s="17">
        <v>39814</v>
      </c>
    </row>
    <row r="9470" spans="1:9">
      <c r="A9470" s="16" t="s">
        <v>5320</v>
      </c>
      <c r="B9470" s="1" t="s">
        <v>2631</v>
      </c>
      <c r="C9470" s="1">
        <v>8</v>
      </c>
      <c r="D9470" s="1" t="s">
        <v>28</v>
      </c>
      <c r="E9470" s="1" t="s">
        <v>6</v>
      </c>
      <c r="F9470" s="1" t="s">
        <v>2360</v>
      </c>
      <c r="G9470" s="1" t="s">
        <v>5308</v>
      </c>
      <c r="H9470" s="1" t="s">
        <v>27</v>
      </c>
      <c r="I9470" s="17">
        <v>42370</v>
      </c>
    </row>
    <row r="9471" spans="1:9">
      <c r="A9471" s="16" t="s">
        <v>5323</v>
      </c>
      <c r="B9471" s="1" t="s">
        <v>2631</v>
      </c>
      <c r="C9471" s="1">
        <v>8</v>
      </c>
      <c r="D9471" s="1" t="s">
        <v>28</v>
      </c>
      <c r="E9471" s="1" t="s">
        <v>6</v>
      </c>
      <c r="F9471" s="1" t="s">
        <v>2360</v>
      </c>
      <c r="G9471" s="1" t="s">
        <v>5308</v>
      </c>
      <c r="H9471" s="1" t="s">
        <v>27</v>
      </c>
      <c r="I9471" s="17">
        <v>42370</v>
      </c>
    </row>
    <row r="9472" spans="1:9">
      <c r="A9472" s="16" t="s">
        <v>5324</v>
      </c>
      <c r="B9472" s="1" t="s">
        <v>2631</v>
      </c>
      <c r="C9472" s="1">
        <v>8</v>
      </c>
      <c r="D9472" s="1" t="s">
        <v>28</v>
      </c>
      <c r="E9472" s="1" t="s">
        <v>6</v>
      </c>
      <c r="F9472" s="1" t="s">
        <v>2360</v>
      </c>
      <c r="G9472" s="1" t="s">
        <v>5308</v>
      </c>
      <c r="H9472" s="1" t="s">
        <v>27</v>
      </c>
      <c r="I9472" s="17">
        <v>42370</v>
      </c>
    </row>
    <row r="9473" spans="1:9">
      <c r="A9473" s="16" t="s">
        <v>5326</v>
      </c>
      <c r="B9473" s="1" t="s">
        <v>2631</v>
      </c>
      <c r="C9473" s="1">
        <v>8</v>
      </c>
      <c r="D9473" s="1" t="s">
        <v>28</v>
      </c>
      <c r="E9473" s="1" t="s">
        <v>6</v>
      </c>
      <c r="F9473" s="1" t="s">
        <v>2360</v>
      </c>
      <c r="G9473" s="1" t="s">
        <v>5308</v>
      </c>
      <c r="H9473" s="1" t="s">
        <v>27</v>
      </c>
      <c r="I9473" s="17">
        <v>42370</v>
      </c>
    </row>
    <row r="9474" spans="1:9">
      <c r="A9474" s="16" t="s">
        <v>5328</v>
      </c>
      <c r="B9474" s="1" t="s">
        <v>2631</v>
      </c>
      <c r="C9474" s="1">
        <v>8</v>
      </c>
      <c r="D9474" s="1" t="s">
        <v>28</v>
      </c>
      <c r="E9474" s="1" t="s">
        <v>6</v>
      </c>
      <c r="F9474" s="1" t="s">
        <v>2360</v>
      </c>
      <c r="G9474" s="1" t="s">
        <v>5308</v>
      </c>
      <c r="H9474" s="1" t="s">
        <v>27</v>
      </c>
      <c r="I9474" s="17">
        <v>42370</v>
      </c>
    </row>
    <row r="9475" spans="1:9">
      <c r="A9475" s="16" t="s">
        <v>5334</v>
      </c>
      <c r="B9475" s="1" t="s">
        <v>2631</v>
      </c>
      <c r="C9475" s="1">
        <v>8</v>
      </c>
      <c r="D9475" s="1" t="s">
        <v>28</v>
      </c>
      <c r="E9475" s="1" t="s">
        <v>6</v>
      </c>
      <c r="F9475" s="1" t="s">
        <v>2360</v>
      </c>
      <c r="G9475" s="1" t="s">
        <v>5308</v>
      </c>
      <c r="H9475" s="1" t="s">
        <v>27</v>
      </c>
      <c r="I9475" s="17">
        <v>42736</v>
      </c>
    </row>
    <row r="9476" spans="1:9">
      <c r="A9476" s="16" t="s">
        <v>5465</v>
      </c>
      <c r="B9476" s="1" t="s">
        <v>2631</v>
      </c>
      <c r="C9476" s="1">
        <v>8</v>
      </c>
      <c r="D9476" s="1" t="s">
        <v>28</v>
      </c>
      <c r="E9476" s="1" t="s">
        <v>6</v>
      </c>
      <c r="F9476" s="1" t="s">
        <v>2361</v>
      </c>
      <c r="G9476" s="1" t="s">
        <v>4800</v>
      </c>
      <c r="H9476" s="1" t="s">
        <v>27</v>
      </c>
      <c r="I9476" s="17">
        <v>42005</v>
      </c>
    </row>
    <row r="9477" spans="1:9">
      <c r="A9477" s="7" t="s">
        <v>5866</v>
      </c>
      <c r="B9477" s="1" t="s">
        <v>2631</v>
      </c>
      <c r="C9477" s="1">
        <v>8</v>
      </c>
      <c r="D9477" s="1" t="s">
        <v>28</v>
      </c>
      <c r="E9477" s="1" t="s">
        <v>6</v>
      </c>
      <c r="F9477" s="1" t="s">
        <v>139</v>
      </c>
      <c r="G9477" s="1" t="s">
        <v>5853</v>
      </c>
      <c r="H9477" s="1" t="s">
        <v>27</v>
      </c>
      <c r="I9477" s="1" t="s">
        <v>5483</v>
      </c>
    </row>
    <row r="9478" spans="1:9">
      <c r="A9478" s="7" t="s">
        <v>5867</v>
      </c>
      <c r="B9478" s="1" t="s">
        <v>2631</v>
      </c>
      <c r="C9478" s="1">
        <v>8</v>
      </c>
      <c r="D9478" s="1" t="s">
        <v>28</v>
      </c>
      <c r="E9478" s="1" t="s">
        <v>6</v>
      </c>
      <c r="F9478" s="1" t="s">
        <v>139</v>
      </c>
      <c r="G9478" s="1" t="s">
        <v>5853</v>
      </c>
      <c r="H9478" s="1" t="s">
        <v>27</v>
      </c>
      <c r="I9478" s="1" t="s">
        <v>5722</v>
      </c>
    </row>
    <row r="9479" spans="1:9">
      <c r="A9479" s="7" t="s">
        <v>5958</v>
      </c>
      <c r="B9479" s="1" t="s">
        <v>2631</v>
      </c>
      <c r="C9479" s="1">
        <v>8</v>
      </c>
      <c r="D9479" s="1" t="s">
        <v>28</v>
      </c>
      <c r="E9479" s="1" t="s">
        <v>6</v>
      </c>
      <c r="F9479" s="1" t="s">
        <v>2360</v>
      </c>
      <c r="G9479" s="1" t="s">
        <v>5308</v>
      </c>
      <c r="H9479" s="1" t="s">
        <v>27</v>
      </c>
      <c r="I9479" s="1" t="s">
        <v>5483</v>
      </c>
    </row>
    <row r="9480" spans="1:9">
      <c r="A9480" s="16" t="s">
        <v>14243</v>
      </c>
      <c r="B9480" s="1" t="s">
        <v>2631</v>
      </c>
      <c r="C9480" s="1">
        <v>8</v>
      </c>
      <c r="D9480" s="1" t="s">
        <v>28</v>
      </c>
      <c r="E9480" s="1" t="s">
        <v>6</v>
      </c>
      <c r="F9480" s="1" t="s">
        <v>5241</v>
      </c>
      <c r="G9480" s="1" t="s">
        <v>4800</v>
      </c>
      <c r="H9480" s="1" t="s">
        <v>27</v>
      </c>
      <c r="I9480" s="17">
        <v>42644</v>
      </c>
    </row>
    <row r="9481" spans="1:9">
      <c r="A9481" s="16" t="s">
        <v>14263</v>
      </c>
      <c r="B9481" s="1" t="s">
        <v>2631</v>
      </c>
      <c r="C9481" s="1">
        <v>8</v>
      </c>
      <c r="D9481" s="1" t="s">
        <v>28</v>
      </c>
      <c r="E9481" s="1" t="s">
        <v>6</v>
      </c>
      <c r="F9481" s="1" t="s">
        <v>5241</v>
      </c>
      <c r="G9481" s="1" t="s">
        <v>4800</v>
      </c>
      <c r="H9481" s="1" t="s">
        <v>27</v>
      </c>
      <c r="I9481" s="17">
        <v>42430</v>
      </c>
    </row>
    <row r="9482" spans="1:9">
      <c r="A9482" s="16" t="s">
        <v>14319</v>
      </c>
      <c r="B9482" s="1" t="s">
        <v>2631</v>
      </c>
      <c r="C9482" s="1">
        <v>8</v>
      </c>
      <c r="D9482" s="1" t="s">
        <v>28</v>
      </c>
      <c r="E9482" s="1" t="s">
        <v>6</v>
      </c>
      <c r="F9482" s="1" t="s">
        <v>5241</v>
      </c>
      <c r="G9482" s="1" t="s">
        <v>4800</v>
      </c>
      <c r="H9482" s="1" t="s">
        <v>27</v>
      </c>
      <c r="I9482" s="17">
        <v>42644</v>
      </c>
    </row>
    <row r="9483" spans="1:9">
      <c r="A9483" s="7" t="s">
        <v>6111</v>
      </c>
      <c r="B9483" s="1" t="s">
        <v>2630</v>
      </c>
      <c r="C9483" s="1">
        <v>120</v>
      </c>
      <c r="D9483" s="1" t="s">
        <v>265</v>
      </c>
      <c r="E9483" s="1" t="s">
        <v>6</v>
      </c>
      <c r="F9483" s="1" t="s">
        <v>2699</v>
      </c>
      <c r="G9483" s="1" t="s">
        <v>4800</v>
      </c>
      <c r="H9483" s="1" t="s">
        <v>27</v>
      </c>
      <c r="I9483" s="2" t="s">
        <v>4792</v>
      </c>
    </row>
    <row r="9484" spans="1:9">
      <c r="A9484" s="7" t="s">
        <v>5090</v>
      </c>
      <c r="B9484" s="2" t="s">
        <v>2631</v>
      </c>
      <c r="C9484" s="1">
        <v>87</v>
      </c>
      <c r="D9484" s="1" t="s">
        <v>265</v>
      </c>
      <c r="E9484" s="1" t="s">
        <v>10</v>
      </c>
      <c r="F9484" s="1" t="s">
        <v>5091</v>
      </c>
      <c r="G9484" s="14" t="s">
        <v>5088</v>
      </c>
      <c r="H9484" s="1" t="s">
        <v>43</v>
      </c>
      <c r="I9484" s="1" t="s">
        <v>5092</v>
      </c>
    </row>
    <row r="9485" spans="1:9">
      <c r="A9485" s="7" t="s">
        <v>10510</v>
      </c>
      <c r="B9485" s="1" t="s">
        <v>2630</v>
      </c>
      <c r="C9485" s="1">
        <v>87</v>
      </c>
      <c r="D9485" s="1" t="s">
        <v>265</v>
      </c>
      <c r="E9485" s="1" t="s">
        <v>10</v>
      </c>
      <c r="F9485" s="1" t="s">
        <v>5091</v>
      </c>
      <c r="G9485" s="1" t="s">
        <v>9191</v>
      </c>
      <c r="H9485" s="1" t="s">
        <v>5</v>
      </c>
      <c r="I9485" s="1">
        <v>2016</v>
      </c>
    </row>
    <row r="9486" spans="1:9">
      <c r="A9486" s="7" t="s">
        <v>10540</v>
      </c>
      <c r="B9486" s="1" t="s">
        <v>2630</v>
      </c>
      <c r="C9486" s="1">
        <v>87</v>
      </c>
      <c r="D9486" s="1" t="s">
        <v>265</v>
      </c>
      <c r="E9486" s="1" t="s">
        <v>10</v>
      </c>
      <c r="F9486" s="1" t="s">
        <v>5091</v>
      </c>
      <c r="G9486" s="1" t="s">
        <v>6145</v>
      </c>
      <c r="H9486" s="1" t="s">
        <v>43</v>
      </c>
      <c r="I9486" s="1">
        <v>2016</v>
      </c>
    </row>
    <row r="9487" spans="1:9">
      <c r="A9487" s="7" t="s">
        <v>10541</v>
      </c>
      <c r="B9487" s="1" t="s">
        <v>2630</v>
      </c>
      <c r="C9487" s="1">
        <v>87</v>
      </c>
      <c r="D9487" s="1" t="s">
        <v>265</v>
      </c>
      <c r="E9487" s="1" t="s">
        <v>10</v>
      </c>
      <c r="F9487" s="1" t="s">
        <v>5091</v>
      </c>
      <c r="G9487" s="1" t="s">
        <v>6145</v>
      </c>
      <c r="H9487" s="1" t="s">
        <v>43</v>
      </c>
      <c r="I9487" s="1">
        <v>2016</v>
      </c>
    </row>
    <row r="9488" spans="1:9">
      <c r="A9488" s="7" t="s">
        <v>10542</v>
      </c>
      <c r="B9488" s="1" t="s">
        <v>2630</v>
      </c>
      <c r="C9488" s="1">
        <v>87</v>
      </c>
      <c r="D9488" s="1" t="s">
        <v>265</v>
      </c>
      <c r="E9488" s="1" t="s">
        <v>10</v>
      </c>
      <c r="F9488" s="1" t="s">
        <v>5091</v>
      </c>
      <c r="G9488" s="1" t="s">
        <v>6145</v>
      </c>
      <c r="H9488" s="1" t="s">
        <v>43</v>
      </c>
      <c r="I9488" s="1">
        <v>2016</v>
      </c>
    </row>
    <row r="9489" spans="1:9">
      <c r="A9489" s="7" t="s">
        <v>10543</v>
      </c>
      <c r="B9489" s="1" t="s">
        <v>2630</v>
      </c>
      <c r="C9489" s="1">
        <v>87</v>
      </c>
      <c r="D9489" s="1" t="s">
        <v>265</v>
      </c>
      <c r="E9489" s="1" t="s">
        <v>10</v>
      </c>
      <c r="F9489" s="1" t="s">
        <v>5091</v>
      </c>
      <c r="G9489" s="1" t="s">
        <v>6145</v>
      </c>
      <c r="H9489" s="1" t="s">
        <v>43</v>
      </c>
      <c r="I9489" s="1">
        <v>2016</v>
      </c>
    </row>
    <row r="9490" spans="1:9">
      <c r="A9490" s="7" t="s">
        <v>10544</v>
      </c>
      <c r="B9490" s="1" t="s">
        <v>2630</v>
      </c>
      <c r="C9490" s="1">
        <v>87</v>
      </c>
      <c r="D9490" s="1" t="s">
        <v>265</v>
      </c>
      <c r="E9490" s="1" t="s">
        <v>10</v>
      </c>
      <c r="F9490" s="1" t="s">
        <v>5091</v>
      </c>
      <c r="G9490" s="1" t="s">
        <v>6145</v>
      </c>
      <c r="H9490" s="1" t="s">
        <v>43</v>
      </c>
      <c r="I9490" s="1">
        <v>2016</v>
      </c>
    </row>
    <row r="9491" spans="1:9">
      <c r="A9491" s="7" t="s">
        <v>10545</v>
      </c>
      <c r="B9491" s="1" t="s">
        <v>2630</v>
      </c>
      <c r="C9491" s="1">
        <v>87</v>
      </c>
      <c r="D9491" s="1" t="s">
        <v>265</v>
      </c>
      <c r="E9491" s="1" t="s">
        <v>10</v>
      </c>
      <c r="F9491" s="1" t="s">
        <v>5091</v>
      </c>
      <c r="G9491" s="1" t="s">
        <v>6145</v>
      </c>
      <c r="H9491" s="1" t="s">
        <v>43</v>
      </c>
      <c r="I9491" s="1">
        <v>2016</v>
      </c>
    </row>
    <row r="9492" spans="1:9">
      <c r="A9492" s="7" t="s">
        <v>10546</v>
      </c>
      <c r="B9492" s="1" t="s">
        <v>2630</v>
      </c>
      <c r="C9492" s="1">
        <v>87</v>
      </c>
      <c r="D9492" s="1" t="s">
        <v>265</v>
      </c>
      <c r="E9492" s="1" t="s">
        <v>10</v>
      </c>
      <c r="F9492" s="1" t="s">
        <v>5091</v>
      </c>
      <c r="G9492" s="1" t="s">
        <v>6145</v>
      </c>
      <c r="H9492" s="1" t="s">
        <v>43</v>
      </c>
      <c r="I9492" s="1">
        <v>2016</v>
      </c>
    </row>
    <row r="9493" spans="1:9">
      <c r="A9493" s="7" t="s">
        <v>10547</v>
      </c>
      <c r="B9493" s="1" t="s">
        <v>2630</v>
      </c>
      <c r="C9493" s="1">
        <v>87</v>
      </c>
      <c r="D9493" s="1" t="s">
        <v>265</v>
      </c>
      <c r="E9493" s="1" t="s">
        <v>10</v>
      </c>
      <c r="F9493" s="1" t="s">
        <v>5091</v>
      </c>
      <c r="G9493" s="1" t="s">
        <v>6145</v>
      </c>
      <c r="H9493" s="1" t="s">
        <v>43</v>
      </c>
      <c r="I9493" s="1">
        <v>2016</v>
      </c>
    </row>
    <row r="9494" spans="1:9">
      <c r="A9494" s="7" t="s">
        <v>10548</v>
      </c>
      <c r="B9494" s="1" t="s">
        <v>2630</v>
      </c>
      <c r="C9494" s="1">
        <v>87</v>
      </c>
      <c r="D9494" s="1" t="s">
        <v>265</v>
      </c>
      <c r="E9494" s="1" t="s">
        <v>10</v>
      </c>
      <c r="F9494" s="1" t="s">
        <v>5091</v>
      </c>
      <c r="G9494" s="1" t="s">
        <v>6145</v>
      </c>
      <c r="H9494" s="1" t="s">
        <v>43</v>
      </c>
      <c r="I9494" s="1">
        <v>2016</v>
      </c>
    </row>
    <row r="9495" spans="1:9">
      <c r="A9495" s="7" t="s">
        <v>10549</v>
      </c>
      <c r="B9495" s="1" t="s">
        <v>2630</v>
      </c>
      <c r="C9495" s="1">
        <v>87</v>
      </c>
      <c r="D9495" s="1" t="s">
        <v>265</v>
      </c>
      <c r="E9495" s="1" t="s">
        <v>10</v>
      </c>
      <c r="F9495" s="1" t="s">
        <v>5091</v>
      </c>
      <c r="G9495" s="1" t="s">
        <v>6145</v>
      </c>
      <c r="H9495" s="1" t="s">
        <v>43</v>
      </c>
      <c r="I9495" s="1">
        <v>2016</v>
      </c>
    </row>
    <row r="9496" spans="1:9">
      <c r="A9496" s="7" t="s">
        <v>10550</v>
      </c>
      <c r="B9496" s="1" t="s">
        <v>2630</v>
      </c>
      <c r="C9496" s="1">
        <v>87</v>
      </c>
      <c r="D9496" s="1" t="s">
        <v>265</v>
      </c>
      <c r="E9496" s="1" t="s">
        <v>10</v>
      </c>
      <c r="F9496" s="1" t="s">
        <v>5091</v>
      </c>
      <c r="G9496" s="1" t="s">
        <v>6145</v>
      </c>
      <c r="H9496" s="1" t="s">
        <v>43</v>
      </c>
      <c r="I9496" s="1">
        <v>2016</v>
      </c>
    </row>
    <row r="9497" spans="1:9">
      <c r="A9497" s="7" t="s">
        <v>10551</v>
      </c>
      <c r="B9497" s="1" t="s">
        <v>2630</v>
      </c>
      <c r="C9497" s="1">
        <v>87</v>
      </c>
      <c r="D9497" s="1" t="s">
        <v>265</v>
      </c>
      <c r="E9497" s="1" t="s">
        <v>10</v>
      </c>
      <c r="F9497" s="1" t="s">
        <v>5091</v>
      </c>
      <c r="G9497" s="1" t="s">
        <v>6145</v>
      </c>
      <c r="H9497" s="1" t="s">
        <v>43</v>
      </c>
      <c r="I9497" s="1">
        <v>2016</v>
      </c>
    </row>
    <row r="9498" spans="1:9">
      <c r="A9498" s="7" t="s">
        <v>10552</v>
      </c>
      <c r="B9498" s="1" t="s">
        <v>2630</v>
      </c>
      <c r="C9498" s="1">
        <v>87</v>
      </c>
      <c r="D9498" s="1" t="s">
        <v>265</v>
      </c>
      <c r="E9498" s="1" t="s">
        <v>10</v>
      </c>
      <c r="F9498" s="1" t="s">
        <v>5091</v>
      </c>
      <c r="G9498" s="1" t="s">
        <v>6145</v>
      </c>
      <c r="H9498" s="1" t="s">
        <v>43</v>
      </c>
      <c r="I9498" s="1">
        <v>2016</v>
      </c>
    </row>
    <row r="9499" spans="1:9">
      <c r="A9499" s="7" t="s">
        <v>10553</v>
      </c>
      <c r="B9499" s="1" t="s">
        <v>2630</v>
      </c>
      <c r="C9499" s="1">
        <v>87</v>
      </c>
      <c r="D9499" s="1" t="s">
        <v>265</v>
      </c>
      <c r="E9499" s="1" t="s">
        <v>10</v>
      </c>
      <c r="F9499" s="1" t="s">
        <v>5091</v>
      </c>
      <c r="G9499" s="1" t="s">
        <v>6145</v>
      </c>
      <c r="H9499" s="1" t="s">
        <v>43</v>
      </c>
      <c r="I9499" s="1">
        <v>2016</v>
      </c>
    </row>
    <row r="9500" spans="1:9">
      <c r="A9500" s="16" t="s">
        <v>5580</v>
      </c>
      <c r="B9500" s="1" t="s">
        <v>2628</v>
      </c>
      <c r="C9500" s="1">
        <v>296</v>
      </c>
      <c r="D9500" s="1" t="s">
        <v>122</v>
      </c>
      <c r="E9500" s="1" t="s">
        <v>10</v>
      </c>
      <c r="F9500" s="1" t="s">
        <v>449</v>
      </c>
      <c r="G9500" s="14" t="s">
        <v>27</v>
      </c>
      <c r="H9500" s="1" t="s">
        <v>27</v>
      </c>
      <c r="I9500" s="17">
        <v>42005</v>
      </c>
    </row>
    <row r="9501" spans="1:9">
      <c r="A9501" s="16" t="s">
        <v>5581</v>
      </c>
      <c r="B9501" s="1" t="s">
        <v>2628</v>
      </c>
      <c r="C9501" s="1">
        <v>296</v>
      </c>
      <c r="D9501" s="1" t="s">
        <v>122</v>
      </c>
      <c r="E9501" s="1" t="s">
        <v>10</v>
      </c>
      <c r="F9501" s="1" t="s">
        <v>449</v>
      </c>
      <c r="G9501" s="14" t="s">
        <v>27</v>
      </c>
      <c r="H9501" s="1" t="s">
        <v>27</v>
      </c>
      <c r="I9501" s="17">
        <v>42005</v>
      </c>
    </row>
    <row r="9502" spans="1:9">
      <c r="A9502" s="16" t="s">
        <v>8646</v>
      </c>
      <c r="B9502" s="1" t="s">
        <v>2628</v>
      </c>
      <c r="C9502" s="1">
        <v>296</v>
      </c>
      <c r="D9502" s="1" t="s">
        <v>122</v>
      </c>
      <c r="E9502" s="1" t="s">
        <v>10</v>
      </c>
      <c r="F9502" s="1" t="s">
        <v>5091</v>
      </c>
      <c r="G9502" s="14" t="s">
        <v>5853</v>
      </c>
      <c r="H9502" s="1" t="s">
        <v>27</v>
      </c>
      <c r="I9502" s="17">
        <v>41852</v>
      </c>
    </row>
    <row r="9503" spans="1:9">
      <c r="A9503" s="16" t="s">
        <v>9879</v>
      </c>
      <c r="B9503" s="1" t="s">
        <v>2628</v>
      </c>
      <c r="C9503" s="1">
        <v>296</v>
      </c>
      <c r="D9503" s="1" t="s">
        <v>122</v>
      </c>
      <c r="E9503" s="1" t="s">
        <v>10</v>
      </c>
      <c r="F9503" s="1" t="s">
        <v>5091</v>
      </c>
      <c r="G9503" s="14" t="s">
        <v>5853</v>
      </c>
      <c r="H9503" s="1" t="s">
        <v>27</v>
      </c>
      <c r="I9503" s="17">
        <v>42278</v>
      </c>
    </row>
    <row r="9504" spans="1:9">
      <c r="A9504" s="16" t="s">
        <v>11679</v>
      </c>
      <c r="B9504" s="1" t="s">
        <v>2628</v>
      </c>
      <c r="C9504" s="1">
        <v>296</v>
      </c>
      <c r="D9504" s="1" t="s">
        <v>122</v>
      </c>
      <c r="E9504" s="1" t="s">
        <v>10</v>
      </c>
      <c r="F9504" s="1" t="s">
        <v>5091</v>
      </c>
      <c r="G9504" s="14" t="s">
        <v>5853</v>
      </c>
      <c r="H9504" s="1" t="s">
        <v>27</v>
      </c>
      <c r="I9504" s="17">
        <v>42614</v>
      </c>
    </row>
    <row r="9505" spans="1:9">
      <c r="A9505" s="16" t="s">
        <v>13263</v>
      </c>
      <c r="B9505" s="1" t="s">
        <v>2628</v>
      </c>
      <c r="C9505" s="1">
        <v>296</v>
      </c>
      <c r="D9505" s="1" t="s">
        <v>122</v>
      </c>
      <c r="E9505" s="1" t="s">
        <v>10</v>
      </c>
      <c r="F9505" s="1" t="s">
        <v>5091</v>
      </c>
      <c r="G9505" s="14" t="s">
        <v>5853</v>
      </c>
      <c r="H9505" s="1" t="s">
        <v>27</v>
      </c>
      <c r="I9505" s="17">
        <v>42917</v>
      </c>
    </row>
    <row r="9506" spans="1:9">
      <c r="A9506" s="16" t="s">
        <v>13304</v>
      </c>
      <c r="B9506" s="1" t="s">
        <v>2628</v>
      </c>
      <c r="C9506" s="1">
        <v>296</v>
      </c>
      <c r="D9506" s="1" t="s">
        <v>122</v>
      </c>
      <c r="E9506" s="1" t="s">
        <v>10</v>
      </c>
      <c r="F9506" s="1" t="s">
        <v>5091</v>
      </c>
      <c r="G9506" s="14" t="s">
        <v>5853</v>
      </c>
      <c r="H9506" s="1" t="s">
        <v>27</v>
      </c>
      <c r="I9506" s="1" t="s">
        <v>4458</v>
      </c>
    </row>
    <row r="9507" spans="1:9">
      <c r="A9507" s="16" t="s">
        <v>14283</v>
      </c>
      <c r="B9507" s="1" t="s">
        <v>2628</v>
      </c>
      <c r="C9507" s="1">
        <v>296</v>
      </c>
      <c r="D9507" s="1" t="s">
        <v>122</v>
      </c>
      <c r="E9507" s="1" t="s">
        <v>10</v>
      </c>
      <c r="F9507" s="1" t="s">
        <v>5241</v>
      </c>
      <c r="G9507" s="14" t="s">
        <v>4800</v>
      </c>
      <c r="H9507" s="1" t="s">
        <v>27</v>
      </c>
      <c r="I9507" s="17">
        <v>43070</v>
      </c>
    </row>
    <row r="9508" spans="1:9">
      <c r="A9508" s="16" t="s">
        <v>14731</v>
      </c>
      <c r="B9508" s="1" t="s">
        <v>2628</v>
      </c>
      <c r="C9508" s="1">
        <v>296</v>
      </c>
      <c r="D9508" s="1" t="s">
        <v>122</v>
      </c>
      <c r="E9508" s="1" t="s">
        <v>10</v>
      </c>
      <c r="F9508" s="1" t="s">
        <v>5091</v>
      </c>
      <c r="G9508" s="14" t="s">
        <v>5853</v>
      </c>
      <c r="H9508" s="1" t="s">
        <v>27</v>
      </c>
      <c r="I9508" s="17">
        <v>43313</v>
      </c>
    </row>
    <row r="9509" spans="1:9">
      <c r="A9509" s="7" t="s">
        <v>6138</v>
      </c>
      <c r="B9509" s="2" t="s">
        <v>2628</v>
      </c>
      <c r="C9509" s="1">
        <v>296</v>
      </c>
      <c r="D9509" s="1" t="s">
        <v>122</v>
      </c>
      <c r="E9509" s="1" t="s">
        <v>10</v>
      </c>
      <c r="F9509" s="1" t="s">
        <v>5091</v>
      </c>
      <c r="G9509" s="14" t="s">
        <v>6139</v>
      </c>
      <c r="H9509" s="1" t="s">
        <v>43</v>
      </c>
      <c r="I9509" s="1" t="s">
        <v>5807</v>
      </c>
    </row>
    <row r="9510" spans="1:9">
      <c r="A9510" s="7" t="s">
        <v>6217</v>
      </c>
      <c r="B9510" s="2" t="s">
        <v>2628</v>
      </c>
      <c r="C9510" s="1">
        <v>88</v>
      </c>
      <c r="D9510" s="1" t="s">
        <v>122</v>
      </c>
      <c r="E9510" s="1" t="s">
        <v>10</v>
      </c>
      <c r="F9510" s="1" t="s">
        <v>5091</v>
      </c>
      <c r="G9510" s="14" t="s">
        <v>6145</v>
      </c>
      <c r="H9510" s="1" t="s">
        <v>43</v>
      </c>
      <c r="I9510" s="1" t="s">
        <v>5807</v>
      </c>
    </row>
    <row r="9511" spans="1:9">
      <c r="A9511" s="7" t="s">
        <v>6270</v>
      </c>
      <c r="B9511" s="2" t="s">
        <v>2628</v>
      </c>
      <c r="C9511" s="1">
        <v>88</v>
      </c>
      <c r="D9511" s="1" t="s">
        <v>122</v>
      </c>
      <c r="E9511" s="1" t="s">
        <v>10</v>
      </c>
      <c r="F9511" s="1" t="s">
        <v>5091</v>
      </c>
      <c r="G9511" s="14" t="s">
        <v>6145</v>
      </c>
      <c r="H9511" s="1" t="s">
        <v>43</v>
      </c>
      <c r="I9511" s="1" t="s">
        <v>5807</v>
      </c>
    </row>
    <row r="9512" spans="1:9">
      <c r="A9512" s="7" t="s">
        <v>6356</v>
      </c>
      <c r="B9512" s="2" t="s">
        <v>2628</v>
      </c>
      <c r="C9512" s="1">
        <v>296</v>
      </c>
      <c r="D9512" s="1" t="s">
        <v>122</v>
      </c>
      <c r="E9512" s="1" t="s">
        <v>10</v>
      </c>
      <c r="F9512" s="1" t="s">
        <v>5091</v>
      </c>
      <c r="G9512" s="22" t="s">
        <v>6181</v>
      </c>
      <c r="H9512" s="2" t="s">
        <v>118</v>
      </c>
      <c r="I9512" s="1" t="s">
        <v>4458</v>
      </c>
    </row>
    <row r="9513" spans="1:9">
      <c r="A9513" s="7" t="s">
        <v>6458</v>
      </c>
      <c r="B9513" s="1" t="s">
        <v>2628</v>
      </c>
      <c r="C9513" s="1">
        <v>296</v>
      </c>
      <c r="D9513" s="1" t="s">
        <v>122</v>
      </c>
      <c r="E9513" s="1" t="s">
        <v>10</v>
      </c>
      <c r="F9513" s="1" t="s">
        <v>5091</v>
      </c>
      <c r="G9513" s="1" t="s">
        <v>6181</v>
      </c>
      <c r="H9513" s="1" t="s">
        <v>118</v>
      </c>
      <c r="I9513" s="1" t="s">
        <v>4458</v>
      </c>
    </row>
    <row r="9514" spans="1:9">
      <c r="A9514" s="7" t="s">
        <v>6468</v>
      </c>
      <c r="B9514" s="1" t="s">
        <v>2628</v>
      </c>
      <c r="C9514" s="1">
        <v>88</v>
      </c>
      <c r="D9514" s="1" t="s">
        <v>122</v>
      </c>
      <c r="E9514" s="1" t="s">
        <v>10</v>
      </c>
      <c r="F9514" s="1" t="s">
        <v>5091</v>
      </c>
      <c r="G9514" s="1" t="s">
        <v>6450</v>
      </c>
      <c r="H9514" s="1" t="s">
        <v>43</v>
      </c>
      <c r="I9514" s="1" t="s">
        <v>5801</v>
      </c>
    </row>
    <row r="9515" spans="1:9">
      <c r="A9515" s="7" t="s">
        <v>6556</v>
      </c>
      <c r="B9515" s="1" t="s">
        <v>2628</v>
      </c>
      <c r="C9515" s="1">
        <v>296</v>
      </c>
      <c r="D9515" s="1" t="s">
        <v>122</v>
      </c>
      <c r="E9515" s="1" t="s">
        <v>10</v>
      </c>
      <c r="F9515" s="1" t="s">
        <v>5091</v>
      </c>
      <c r="G9515" s="1" t="s">
        <v>6181</v>
      </c>
      <c r="H9515" s="1" t="s">
        <v>118</v>
      </c>
      <c r="I9515" s="1" t="s">
        <v>4458</v>
      </c>
    </row>
    <row r="9516" spans="1:9">
      <c r="A9516" s="7" t="s">
        <v>6617</v>
      </c>
      <c r="B9516" s="1" t="s">
        <v>2628</v>
      </c>
      <c r="C9516" s="1">
        <v>88</v>
      </c>
      <c r="D9516" s="1" t="s">
        <v>122</v>
      </c>
      <c r="E9516" s="1" t="s">
        <v>10</v>
      </c>
      <c r="F9516" s="1" t="s">
        <v>5091</v>
      </c>
      <c r="G9516" s="1" t="s">
        <v>6536</v>
      </c>
      <c r="H9516" s="1" t="s">
        <v>43</v>
      </c>
      <c r="I9516" s="1" t="s">
        <v>5483</v>
      </c>
    </row>
    <row r="9517" spans="1:9">
      <c r="A9517" s="7" t="s">
        <v>6630</v>
      </c>
      <c r="B9517" s="1" t="s">
        <v>2628</v>
      </c>
      <c r="C9517" s="1">
        <v>296</v>
      </c>
      <c r="D9517" s="1" t="s">
        <v>122</v>
      </c>
      <c r="E9517" s="1" t="s">
        <v>10</v>
      </c>
      <c r="F9517" s="1" t="s">
        <v>5091</v>
      </c>
      <c r="G9517" s="1" t="s">
        <v>6139</v>
      </c>
      <c r="H9517" s="1" t="s">
        <v>43</v>
      </c>
      <c r="I9517" s="1" t="s">
        <v>5807</v>
      </c>
    </row>
    <row r="9518" spans="1:9">
      <c r="A9518" s="7" t="s">
        <v>6631</v>
      </c>
      <c r="B9518" s="1" t="s">
        <v>2628</v>
      </c>
      <c r="C9518" s="1">
        <v>296</v>
      </c>
      <c r="D9518" s="1" t="s">
        <v>122</v>
      </c>
      <c r="E9518" s="1" t="s">
        <v>10</v>
      </c>
      <c r="F9518" s="1" t="s">
        <v>5091</v>
      </c>
      <c r="G9518" s="1" t="s">
        <v>6139</v>
      </c>
      <c r="H9518" s="1" t="s">
        <v>43</v>
      </c>
      <c r="I9518" s="1" t="s">
        <v>5807</v>
      </c>
    </row>
    <row r="9519" spans="1:9">
      <c r="A9519" s="7" t="s">
        <v>6632</v>
      </c>
      <c r="B9519" s="1" t="s">
        <v>2628</v>
      </c>
      <c r="C9519" s="1">
        <v>296</v>
      </c>
      <c r="D9519" s="1" t="s">
        <v>122</v>
      </c>
      <c r="E9519" s="1" t="s">
        <v>10</v>
      </c>
      <c r="F9519" s="1" t="s">
        <v>5091</v>
      </c>
      <c r="G9519" s="1" t="s">
        <v>6139</v>
      </c>
      <c r="H9519" s="1" t="s">
        <v>43</v>
      </c>
      <c r="I9519" s="1" t="s">
        <v>5807</v>
      </c>
    </row>
    <row r="9520" spans="1:9">
      <c r="A9520" s="7" t="s">
        <v>6633</v>
      </c>
      <c r="B9520" s="1" t="s">
        <v>2628</v>
      </c>
      <c r="C9520" s="1">
        <v>296</v>
      </c>
      <c r="D9520" s="1" t="s">
        <v>122</v>
      </c>
      <c r="E9520" s="1" t="s">
        <v>10</v>
      </c>
      <c r="F9520" s="1" t="s">
        <v>5091</v>
      </c>
      <c r="G9520" s="1" t="s">
        <v>6139</v>
      </c>
      <c r="H9520" s="1" t="s">
        <v>43</v>
      </c>
      <c r="I9520" s="1" t="s">
        <v>5807</v>
      </c>
    </row>
    <row r="9521" spans="1:9">
      <c r="A9521" s="7" t="s">
        <v>6634</v>
      </c>
      <c r="B9521" s="1" t="s">
        <v>2628</v>
      </c>
      <c r="C9521" s="1">
        <v>296</v>
      </c>
      <c r="D9521" s="1" t="s">
        <v>122</v>
      </c>
      <c r="E9521" s="1" t="s">
        <v>10</v>
      </c>
      <c r="F9521" s="1" t="s">
        <v>5091</v>
      </c>
      <c r="G9521" s="1" t="s">
        <v>6139</v>
      </c>
      <c r="H9521" s="1" t="s">
        <v>43</v>
      </c>
      <c r="I9521" s="1" t="s">
        <v>5807</v>
      </c>
    </row>
    <row r="9522" spans="1:9">
      <c r="A9522" s="7" t="s">
        <v>6635</v>
      </c>
      <c r="B9522" s="1" t="s">
        <v>2628</v>
      </c>
      <c r="C9522" s="1">
        <v>296</v>
      </c>
      <c r="D9522" s="1" t="s">
        <v>122</v>
      </c>
      <c r="E9522" s="1" t="s">
        <v>10</v>
      </c>
      <c r="F9522" s="1" t="s">
        <v>5091</v>
      </c>
      <c r="G9522" s="1" t="s">
        <v>6139</v>
      </c>
      <c r="H9522" s="1" t="s">
        <v>43</v>
      </c>
      <c r="I9522" s="1" t="s">
        <v>5807</v>
      </c>
    </row>
    <row r="9523" spans="1:9">
      <c r="A9523" s="7" t="s">
        <v>6636</v>
      </c>
      <c r="B9523" s="1" t="s">
        <v>2628</v>
      </c>
      <c r="C9523" s="1">
        <v>296</v>
      </c>
      <c r="D9523" s="1" t="s">
        <v>122</v>
      </c>
      <c r="E9523" s="1" t="s">
        <v>10</v>
      </c>
      <c r="F9523" s="1" t="s">
        <v>5091</v>
      </c>
      <c r="G9523" s="1" t="s">
        <v>6139</v>
      </c>
      <c r="H9523" s="1" t="s">
        <v>43</v>
      </c>
      <c r="I9523" s="1" t="s">
        <v>5807</v>
      </c>
    </row>
    <row r="9524" spans="1:9">
      <c r="A9524" s="7" t="s">
        <v>6639</v>
      </c>
      <c r="B9524" s="1" t="s">
        <v>2628</v>
      </c>
      <c r="C9524" s="1">
        <v>296</v>
      </c>
      <c r="D9524" s="1" t="s">
        <v>122</v>
      </c>
      <c r="E9524" s="1" t="s">
        <v>10</v>
      </c>
      <c r="F9524" s="1" t="s">
        <v>5091</v>
      </c>
      <c r="G9524" s="1" t="s">
        <v>6139</v>
      </c>
      <c r="H9524" s="1" t="s">
        <v>43</v>
      </c>
      <c r="I9524" s="1" t="s">
        <v>5807</v>
      </c>
    </row>
    <row r="9525" spans="1:9">
      <c r="A9525" s="7" t="s">
        <v>6704</v>
      </c>
      <c r="B9525" s="1" t="s">
        <v>2628</v>
      </c>
      <c r="C9525" s="1">
        <v>296</v>
      </c>
      <c r="D9525" s="1" t="s">
        <v>122</v>
      </c>
      <c r="E9525" s="1" t="s">
        <v>10</v>
      </c>
      <c r="F9525" s="1" t="s">
        <v>5091</v>
      </c>
      <c r="G9525" s="1" t="s">
        <v>2400</v>
      </c>
      <c r="H9525" s="1" t="s">
        <v>43</v>
      </c>
      <c r="I9525" s="1" t="s">
        <v>5659</v>
      </c>
    </row>
    <row r="9526" spans="1:9">
      <c r="A9526" s="7" t="s">
        <v>6852</v>
      </c>
      <c r="B9526" s="1" t="s">
        <v>2628</v>
      </c>
      <c r="C9526" s="1">
        <v>296</v>
      </c>
      <c r="D9526" s="1" t="s">
        <v>122</v>
      </c>
      <c r="E9526" s="1" t="s">
        <v>10</v>
      </c>
      <c r="F9526" s="1" t="s">
        <v>5091</v>
      </c>
      <c r="G9526" s="1" t="s">
        <v>6181</v>
      </c>
      <c r="H9526" s="1" t="s">
        <v>118</v>
      </c>
      <c r="I9526" s="1" t="s">
        <v>4458</v>
      </c>
    </row>
    <row r="9527" spans="1:9">
      <c r="A9527" s="16" t="s">
        <v>7466</v>
      </c>
      <c r="B9527" s="1" t="s">
        <v>2628</v>
      </c>
      <c r="C9527" s="1">
        <v>296</v>
      </c>
      <c r="D9527" s="1" t="s">
        <v>122</v>
      </c>
      <c r="E9527" s="1" t="s">
        <v>10</v>
      </c>
      <c r="F9527" s="1" t="s">
        <v>5091</v>
      </c>
      <c r="G9527" s="14" t="s">
        <v>4458</v>
      </c>
      <c r="H9527" s="1" t="s">
        <v>118</v>
      </c>
      <c r="I9527" s="1" t="s">
        <v>4458</v>
      </c>
    </row>
    <row r="9528" spans="1:9">
      <c r="A9528" s="16" t="s">
        <v>7671</v>
      </c>
      <c r="B9528" s="1" t="s">
        <v>2628</v>
      </c>
      <c r="C9528" s="1">
        <v>296</v>
      </c>
      <c r="D9528" s="1" t="s">
        <v>122</v>
      </c>
      <c r="E9528" s="1" t="s">
        <v>10</v>
      </c>
      <c r="F9528" s="1" t="s">
        <v>5091</v>
      </c>
      <c r="G9528" s="14" t="s">
        <v>7665</v>
      </c>
      <c r="H9528" s="1" t="s">
        <v>5</v>
      </c>
      <c r="I9528" s="17">
        <v>40672</v>
      </c>
    </row>
    <row r="9529" spans="1:9">
      <c r="A9529" s="16" t="s">
        <v>7706</v>
      </c>
      <c r="B9529" s="1" t="s">
        <v>2628</v>
      </c>
      <c r="C9529" s="1">
        <v>296</v>
      </c>
      <c r="D9529" s="1" t="s">
        <v>122</v>
      </c>
      <c r="E9529" s="1" t="s">
        <v>10</v>
      </c>
      <c r="F9529" s="1" t="s">
        <v>5091</v>
      </c>
      <c r="G9529" s="14" t="s">
        <v>7665</v>
      </c>
      <c r="H9529" s="1" t="s">
        <v>5</v>
      </c>
      <c r="I9529" s="17">
        <v>40414</v>
      </c>
    </row>
    <row r="9530" spans="1:9">
      <c r="A9530" s="16" t="s">
        <v>7751</v>
      </c>
      <c r="B9530" s="1" t="s">
        <v>2628</v>
      </c>
      <c r="C9530" s="1">
        <v>296</v>
      </c>
      <c r="D9530" s="1" t="s">
        <v>122</v>
      </c>
      <c r="E9530" s="1" t="s">
        <v>10</v>
      </c>
      <c r="F9530" s="1" t="s">
        <v>5091</v>
      </c>
      <c r="G9530" s="14" t="s">
        <v>7665</v>
      </c>
      <c r="H9530" s="1" t="s">
        <v>5</v>
      </c>
      <c r="I9530" s="17">
        <v>40378</v>
      </c>
    </row>
    <row r="9531" spans="1:9">
      <c r="A9531" s="16" t="s">
        <v>7769</v>
      </c>
      <c r="B9531" s="1" t="s">
        <v>2628</v>
      </c>
      <c r="C9531" s="1">
        <v>296</v>
      </c>
      <c r="D9531" s="1" t="s">
        <v>122</v>
      </c>
      <c r="E9531" s="1" t="s">
        <v>10</v>
      </c>
      <c r="F9531" s="1" t="s">
        <v>5091</v>
      </c>
      <c r="G9531" s="14" t="s">
        <v>7665</v>
      </c>
      <c r="H9531" s="1" t="s">
        <v>5</v>
      </c>
      <c r="I9531" s="17">
        <v>40477</v>
      </c>
    </row>
    <row r="9532" spans="1:9">
      <c r="A9532" s="16" t="s">
        <v>7784</v>
      </c>
      <c r="B9532" s="1" t="s">
        <v>2628</v>
      </c>
      <c r="C9532" s="1">
        <v>88</v>
      </c>
      <c r="D9532" s="1" t="s">
        <v>122</v>
      </c>
      <c r="E9532" s="1" t="s">
        <v>10</v>
      </c>
      <c r="F9532" s="1" t="s">
        <v>5091</v>
      </c>
      <c r="G9532" s="14" t="s">
        <v>6145</v>
      </c>
      <c r="H9532" s="1" t="s">
        <v>43</v>
      </c>
      <c r="I9532" s="17">
        <v>41596</v>
      </c>
    </row>
    <row r="9533" spans="1:9">
      <c r="A9533" s="16" t="s">
        <v>7787</v>
      </c>
      <c r="B9533" s="1" t="s">
        <v>2628</v>
      </c>
      <c r="C9533" s="1">
        <v>88</v>
      </c>
      <c r="D9533" s="1" t="s">
        <v>122</v>
      </c>
      <c r="E9533" s="1" t="s">
        <v>10</v>
      </c>
      <c r="F9533" s="1" t="s">
        <v>5091</v>
      </c>
      <c r="G9533" s="14" t="s">
        <v>6145</v>
      </c>
      <c r="H9533" s="1" t="s">
        <v>43</v>
      </c>
      <c r="I9533" s="17">
        <v>41596</v>
      </c>
    </row>
    <row r="9534" spans="1:9">
      <c r="A9534" s="16" t="s">
        <v>7788</v>
      </c>
      <c r="B9534" s="1" t="s">
        <v>2628</v>
      </c>
      <c r="C9534" s="1">
        <v>88</v>
      </c>
      <c r="D9534" s="1" t="s">
        <v>122</v>
      </c>
      <c r="E9534" s="1" t="s">
        <v>10</v>
      </c>
      <c r="F9534" s="1" t="s">
        <v>5091</v>
      </c>
      <c r="G9534" s="14" t="s">
        <v>6145</v>
      </c>
      <c r="H9534" s="1" t="s">
        <v>43</v>
      </c>
      <c r="I9534" s="17">
        <v>41596</v>
      </c>
    </row>
    <row r="9535" spans="1:9">
      <c r="A9535" s="16" t="s">
        <v>7791</v>
      </c>
      <c r="B9535" s="1" t="s">
        <v>2628</v>
      </c>
      <c r="C9535" s="1">
        <v>88</v>
      </c>
      <c r="D9535" s="1" t="s">
        <v>122</v>
      </c>
      <c r="E9535" s="1" t="s">
        <v>10</v>
      </c>
      <c r="F9535" s="1" t="s">
        <v>5091</v>
      </c>
      <c r="G9535" s="14" t="s">
        <v>6145</v>
      </c>
      <c r="H9535" s="1" t="s">
        <v>43</v>
      </c>
      <c r="I9535" s="17">
        <v>41596</v>
      </c>
    </row>
    <row r="9536" spans="1:9">
      <c r="A9536" s="16" t="s">
        <v>7793</v>
      </c>
      <c r="B9536" s="1" t="s">
        <v>2628</v>
      </c>
      <c r="C9536" s="1">
        <v>296</v>
      </c>
      <c r="D9536" s="1" t="s">
        <v>122</v>
      </c>
      <c r="E9536" s="1" t="s">
        <v>10</v>
      </c>
      <c r="F9536" s="1" t="s">
        <v>5091</v>
      </c>
      <c r="G9536" s="14" t="s">
        <v>7794</v>
      </c>
      <c r="H9536" s="1" t="s">
        <v>43</v>
      </c>
      <c r="I9536" s="17">
        <v>41723</v>
      </c>
    </row>
    <row r="9537" spans="1:9">
      <c r="A9537" s="16" t="s">
        <v>7797</v>
      </c>
      <c r="B9537" s="1" t="s">
        <v>2628</v>
      </c>
      <c r="C9537" s="1">
        <v>88</v>
      </c>
      <c r="D9537" s="1" t="s">
        <v>122</v>
      </c>
      <c r="E9537" s="1" t="s">
        <v>10</v>
      </c>
      <c r="F9537" s="1" t="s">
        <v>5091</v>
      </c>
      <c r="G9537" s="14" t="s">
        <v>6145</v>
      </c>
      <c r="H9537" s="1" t="s">
        <v>43</v>
      </c>
      <c r="I9537" s="17">
        <v>41596</v>
      </c>
    </row>
    <row r="9538" spans="1:9">
      <c r="A9538" s="7" t="s">
        <v>7826</v>
      </c>
      <c r="B9538" s="1" t="s">
        <v>2628</v>
      </c>
      <c r="C9538" s="1">
        <v>296</v>
      </c>
      <c r="D9538" s="1" t="s">
        <v>122</v>
      </c>
      <c r="E9538" s="1" t="s">
        <v>10</v>
      </c>
      <c r="F9538" s="1" t="s">
        <v>5091</v>
      </c>
      <c r="G9538" s="1" t="s">
        <v>6181</v>
      </c>
      <c r="H9538" s="1" t="s">
        <v>118</v>
      </c>
      <c r="I9538" s="1" t="s">
        <v>4458</v>
      </c>
    </row>
    <row r="9539" spans="1:9">
      <c r="A9539" s="16" t="s">
        <v>8629</v>
      </c>
      <c r="B9539" s="1" t="s">
        <v>2628</v>
      </c>
      <c r="C9539" s="1">
        <v>88</v>
      </c>
      <c r="D9539" s="1" t="s">
        <v>122</v>
      </c>
      <c r="E9539" s="1" t="s">
        <v>10</v>
      </c>
      <c r="F9539" s="1" t="s">
        <v>5091</v>
      </c>
      <c r="G9539" s="14" t="s">
        <v>8630</v>
      </c>
      <c r="H9539" s="1" t="s">
        <v>5</v>
      </c>
      <c r="I9539" s="17">
        <v>34561</v>
      </c>
    </row>
    <row r="9540" spans="1:9">
      <c r="A9540" s="16" t="s">
        <v>8634</v>
      </c>
      <c r="B9540" s="1" t="s">
        <v>2628</v>
      </c>
      <c r="C9540" s="1">
        <v>88</v>
      </c>
      <c r="D9540" s="1" t="s">
        <v>122</v>
      </c>
      <c r="E9540" s="1" t="s">
        <v>10</v>
      </c>
      <c r="F9540" s="1" t="s">
        <v>5091</v>
      </c>
      <c r="G9540" s="14" t="s">
        <v>8630</v>
      </c>
      <c r="H9540" s="1" t="s">
        <v>5</v>
      </c>
      <c r="I9540" s="17">
        <v>34561</v>
      </c>
    </row>
    <row r="9541" spans="1:9">
      <c r="A9541" s="16" t="s">
        <v>8636</v>
      </c>
      <c r="B9541" s="1" t="s">
        <v>2628</v>
      </c>
      <c r="C9541" s="1">
        <v>88</v>
      </c>
      <c r="D9541" s="1" t="s">
        <v>122</v>
      </c>
      <c r="E9541" s="1" t="s">
        <v>10</v>
      </c>
      <c r="F9541" s="1" t="s">
        <v>5091</v>
      </c>
      <c r="G9541" s="14" t="s">
        <v>8630</v>
      </c>
      <c r="H9541" s="1" t="s">
        <v>5</v>
      </c>
      <c r="I9541" s="17">
        <v>34561</v>
      </c>
    </row>
    <row r="9542" spans="1:9">
      <c r="A9542" s="16" t="s">
        <v>8676</v>
      </c>
      <c r="B9542" s="1" t="s">
        <v>2628</v>
      </c>
      <c r="C9542" s="1">
        <v>296</v>
      </c>
      <c r="D9542" s="1" t="s">
        <v>122</v>
      </c>
      <c r="E9542" s="1" t="s">
        <v>10</v>
      </c>
      <c r="F9542" s="1" t="s">
        <v>5091</v>
      </c>
      <c r="G9542" s="14" t="s">
        <v>6145</v>
      </c>
      <c r="H9542" s="1" t="s">
        <v>43</v>
      </c>
      <c r="I9542" s="17">
        <v>41892</v>
      </c>
    </row>
    <row r="9543" spans="1:9">
      <c r="A9543" s="16" t="s">
        <v>8740</v>
      </c>
      <c r="B9543" s="1" t="s">
        <v>2628</v>
      </c>
      <c r="C9543" s="1">
        <v>296</v>
      </c>
      <c r="D9543" s="1" t="s">
        <v>122</v>
      </c>
      <c r="E9543" s="1" t="s">
        <v>10</v>
      </c>
      <c r="F9543" s="1" t="s">
        <v>5091</v>
      </c>
      <c r="G9543" s="14" t="s">
        <v>6145</v>
      </c>
      <c r="H9543" s="1" t="s">
        <v>43</v>
      </c>
      <c r="I9543" s="17">
        <v>41892</v>
      </c>
    </row>
    <row r="9544" spans="1:9">
      <c r="A9544" s="16" t="s">
        <v>8743</v>
      </c>
      <c r="B9544" s="1" t="s">
        <v>2628</v>
      </c>
      <c r="C9544" s="1">
        <v>296</v>
      </c>
      <c r="D9544" s="1" t="s">
        <v>122</v>
      </c>
      <c r="E9544" s="1" t="s">
        <v>10</v>
      </c>
      <c r="F9544" s="1" t="s">
        <v>5091</v>
      </c>
      <c r="G9544" s="14" t="s">
        <v>6145</v>
      </c>
      <c r="H9544" s="1" t="s">
        <v>43</v>
      </c>
      <c r="I9544" s="17">
        <v>41892</v>
      </c>
    </row>
    <row r="9545" spans="1:9">
      <c r="A9545" s="16" t="s">
        <v>8775</v>
      </c>
      <c r="B9545" s="1" t="s">
        <v>2628</v>
      </c>
      <c r="C9545" s="1">
        <v>296</v>
      </c>
      <c r="D9545" s="1" t="s">
        <v>122</v>
      </c>
      <c r="E9545" s="1" t="s">
        <v>10</v>
      </c>
      <c r="F9545" s="1" t="s">
        <v>5091</v>
      </c>
      <c r="G9545" s="14" t="s">
        <v>7656</v>
      </c>
      <c r="H9545" s="1" t="s">
        <v>5</v>
      </c>
      <c r="I9545" s="17">
        <v>37579</v>
      </c>
    </row>
    <row r="9546" spans="1:9">
      <c r="A9546" s="16" t="s">
        <v>8864</v>
      </c>
      <c r="B9546" s="1" t="s">
        <v>2628</v>
      </c>
      <c r="C9546" s="1">
        <v>296</v>
      </c>
      <c r="D9546" s="1" t="s">
        <v>122</v>
      </c>
      <c r="E9546" s="1" t="s">
        <v>10</v>
      </c>
      <c r="F9546" s="1" t="s">
        <v>118</v>
      </c>
      <c r="G9546" s="14" t="s">
        <v>4458</v>
      </c>
      <c r="H9546" s="1" t="s">
        <v>118</v>
      </c>
      <c r="I9546" s="1" t="s">
        <v>4458</v>
      </c>
    </row>
    <row r="9547" spans="1:9">
      <c r="A9547" s="16" t="s">
        <v>8895</v>
      </c>
      <c r="B9547" s="1" t="s">
        <v>2628</v>
      </c>
      <c r="C9547" s="1">
        <v>296</v>
      </c>
      <c r="D9547" s="1" t="s">
        <v>122</v>
      </c>
      <c r="E9547" s="1" t="s">
        <v>10</v>
      </c>
      <c r="F9547" s="1" t="s">
        <v>5091</v>
      </c>
      <c r="G9547" s="14" t="s">
        <v>8896</v>
      </c>
      <c r="H9547" s="1" t="s">
        <v>5</v>
      </c>
      <c r="I9547" s="1" t="s">
        <v>4458</v>
      </c>
    </row>
    <row r="9548" spans="1:9">
      <c r="A9548" s="16" t="s">
        <v>8944</v>
      </c>
      <c r="B9548" s="1" t="s">
        <v>2628</v>
      </c>
      <c r="C9548" s="1">
        <v>296</v>
      </c>
      <c r="D9548" s="1" t="s">
        <v>122</v>
      </c>
      <c r="E9548" s="1" t="s">
        <v>10</v>
      </c>
      <c r="F9548" s="1" t="s">
        <v>5091</v>
      </c>
      <c r="G9548" s="14" t="s">
        <v>6145</v>
      </c>
      <c r="H9548" s="1" t="s">
        <v>43</v>
      </c>
      <c r="I9548" s="17">
        <v>42067</v>
      </c>
    </row>
    <row r="9549" spans="1:9">
      <c r="A9549" s="16" t="s">
        <v>8997</v>
      </c>
      <c r="B9549" s="1" t="s">
        <v>2628</v>
      </c>
      <c r="C9549" s="1">
        <v>88</v>
      </c>
      <c r="D9549" s="1" t="s">
        <v>122</v>
      </c>
      <c r="E9549" s="1" t="s">
        <v>10</v>
      </c>
      <c r="F9549" s="1" t="s">
        <v>5091</v>
      </c>
      <c r="G9549" s="14" t="s">
        <v>6145</v>
      </c>
      <c r="H9549" s="1" t="s">
        <v>43</v>
      </c>
      <c r="I9549" s="17">
        <v>42066</v>
      </c>
    </row>
    <row r="9550" spans="1:9">
      <c r="A9550" s="16" t="s">
        <v>9254</v>
      </c>
      <c r="B9550" s="1" t="s">
        <v>2628</v>
      </c>
      <c r="C9550" s="1">
        <v>296</v>
      </c>
      <c r="D9550" s="1" t="s">
        <v>122</v>
      </c>
      <c r="E9550" s="1" t="s">
        <v>10</v>
      </c>
      <c r="F9550" s="1" t="s">
        <v>5091</v>
      </c>
      <c r="G9550" s="14" t="s">
        <v>9255</v>
      </c>
      <c r="H9550" s="1" t="s">
        <v>5</v>
      </c>
      <c r="I9550" s="17">
        <v>40698</v>
      </c>
    </row>
    <row r="9551" spans="1:9">
      <c r="A9551" s="16" t="s">
        <v>9263</v>
      </c>
      <c r="B9551" s="1" t="s">
        <v>2628</v>
      </c>
      <c r="C9551" s="1">
        <v>296</v>
      </c>
      <c r="D9551" s="1" t="s">
        <v>122</v>
      </c>
      <c r="E9551" s="1" t="s">
        <v>10</v>
      </c>
      <c r="F9551" s="1" t="s">
        <v>5091</v>
      </c>
      <c r="G9551" s="14" t="s">
        <v>9255</v>
      </c>
      <c r="H9551" s="1" t="s">
        <v>5</v>
      </c>
      <c r="I9551" s="17">
        <v>40698</v>
      </c>
    </row>
    <row r="9552" spans="1:9">
      <c r="A9552" s="16" t="s">
        <v>9271</v>
      </c>
      <c r="B9552" s="1" t="s">
        <v>2628</v>
      </c>
      <c r="C9552" s="1">
        <v>296</v>
      </c>
      <c r="D9552" s="1" t="s">
        <v>122</v>
      </c>
      <c r="E9552" s="1" t="s">
        <v>10</v>
      </c>
      <c r="F9552" s="1" t="s">
        <v>5091</v>
      </c>
      <c r="G9552" s="14" t="s">
        <v>9255</v>
      </c>
      <c r="H9552" s="1" t="s">
        <v>5</v>
      </c>
      <c r="I9552" s="17">
        <v>40698</v>
      </c>
    </row>
    <row r="9553" spans="1:9">
      <c r="A9553" s="16" t="s">
        <v>9274</v>
      </c>
      <c r="B9553" s="1" t="s">
        <v>2628</v>
      </c>
      <c r="C9553" s="1">
        <v>296</v>
      </c>
      <c r="D9553" s="1" t="s">
        <v>122</v>
      </c>
      <c r="E9553" s="1" t="s">
        <v>10</v>
      </c>
      <c r="F9553" s="1" t="s">
        <v>5091</v>
      </c>
      <c r="G9553" s="14" t="s">
        <v>9255</v>
      </c>
      <c r="H9553" s="1" t="s">
        <v>5</v>
      </c>
      <c r="I9553" s="17">
        <v>40698</v>
      </c>
    </row>
    <row r="9554" spans="1:9">
      <c r="A9554" s="16" t="s">
        <v>9293</v>
      </c>
      <c r="B9554" s="1" t="s">
        <v>2628</v>
      </c>
      <c r="C9554" s="1">
        <v>296</v>
      </c>
      <c r="D9554" s="1" t="s">
        <v>122</v>
      </c>
      <c r="E9554" s="1" t="s">
        <v>10</v>
      </c>
      <c r="F9554" s="1" t="s">
        <v>5091</v>
      </c>
      <c r="G9554" s="14" t="s">
        <v>6145</v>
      </c>
      <c r="H9554" s="1" t="s">
        <v>43</v>
      </c>
      <c r="I9554" s="17">
        <v>42185</v>
      </c>
    </row>
    <row r="9555" spans="1:9">
      <c r="A9555" s="16" t="s">
        <v>9294</v>
      </c>
      <c r="B9555" s="1" t="s">
        <v>2628</v>
      </c>
      <c r="C9555" s="1">
        <v>296</v>
      </c>
      <c r="D9555" s="1" t="s">
        <v>122</v>
      </c>
      <c r="E9555" s="1" t="s">
        <v>10</v>
      </c>
      <c r="F9555" s="1" t="s">
        <v>5091</v>
      </c>
      <c r="G9555" s="14" t="s">
        <v>6145</v>
      </c>
      <c r="H9555" s="1" t="s">
        <v>43</v>
      </c>
      <c r="I9555" s="17">
        <v>42185</v>
      </c>
    </row>
    <row r="9556" spans="1:9">
      <c r="A9556" s="16" t="s">
        <v>9309</v>
      </c>
      <c r="B9556" s="1" t="s">
        <v>2628</v>
      </c>
      <c r="C9556" s="1">
        <v>296</v>
      </c>
      <c r="D9556" s="1" t="s">
        <v>122</v>
      </c>
      <c r="E9556" s="1" t="s">
        <v>10</v>
      </c>
      <c r="F9556" s="1" t="s">
        <v>5091</v>
      </c>
      <c r="G9556" s="14" t="s">
        <v>6145</v>
      </c>
      <c r="H9556" s="1" t="s">
        <v>43</v>
      </c>
      <c r="I9556" s="17">
        <v>39960</v>
      </c>
    </row>
    <row r="9557" spans="1:9">
      <c r="A9557" s="16" t="s">
        <v>9346</v>
      </c>
      <c r="B9557" s="1" t="s">
        <v>2628</v>
      </c>
      <c r="C9557" s="1">
        <v>296</v>
      </c>
      <c r="D9557" s="1" t="s">
        <v>122</v>
      </c>
      <c r="E9557" s="1" t="s">
        <v>10</v>
      </c>
      <c r="F9557" s="1" t="s">
        <v>5091</v>
      </c>
      <c r="G9557" s="14" t="s">
        <v>6145</v>
      </c>
      <c r="H9557" s="1" t="s">
        <v>43</v>
      </c>
      <c r="I9557" s="17">
        <v>41723</v>
      </c>
    </row>
    <row r="9558" spans="1:9">
      <c r="A9558" s="16" t="s">
        <v>9487</v>
      </c>
      <c r="B9558" s="1" t="s">
        <v>2628</v>
      </c>
      <c r="C9558" s="1">
        <v>296</v>
      </c>
      <c r="D9558" s="1" t="s">
        <v>122</v>
      </c>
      <c r="E9558" s="1" t="s">
        <v>10</v>
      </c>
      <c r="F9558" s="1" t="s">
        <v>5091</v>
      </c>
      <c r="G9558" s="14" t="s">
        <v>9488</v>
      </c>
      <c r="H9558" s="1" t="s">
        <v>5</v>
      </c>
      <c r="I9558" s="17">
        <v>41743</v>
      </c>
    </row>
    <row r="9559" spans="1:9">
      <c r="A9559" s="16" t="s">
        <v>9963</v>
      </c>
      <c r="B9559" s="1" t="s">
        <v>2628</v>
      </c>
      <c r="C9559" s="1">
        <v>296</v>
      </c>
      <c r="D9559" s="1" t="s">
        <v>122</v>
      </c>
      <c r="E9559" s="1" t="s">
        <v>10</v>
      </c>
      <c r="F9559" s="1" t="s">
        <v>5091</v>
      </c>
      <c r="G9559" s="14" t="s">
        <v>2387</v>
      </c>
      <c r="H9559" s="1" t="s">
        <v>5</v>
      </c>
      <c r="I9559" s="17">
        <v>39332</v>
      </c>
    </row>
    <row r="9560" spans="1:9">
      <c r="A9560" s="16" t="s">
        <v>9987</v>
      </c>
      <c r="B9560" s="1" t="s">
        <v>2628</v>
      </c>
      <c r="C9560" s="1">
        <v>296</v>
      </c>
      <c r="D9560" s="1" t="s">
        <v>122</v>
      </c>
      <c r="E9560" s="1" t="s">
        <v>10</v>
      </c>
      <c r="F9560" s="1" t="s">
        <v>5091</v>
      </c>
      <c r="G9560" s="14" t="s">
        <v>9988</v>
      </c>
      <c r="H9560" s="1" t="s">
        <v>5</v>
      </c>
      <c r="I9560" s="17">
        <v>42005</v>
      </c>
    </row>
    <row r="9561" spans="1:9">
      <c r="A9561" s="16" t="s">
        <v>10286</v>
      </c>
      <c r="B9561" s="1" t="s">
        <v>2628</v>
      </c>
      <c r="C9561" s="1">
        <v>296</v>
      </c>
      <c r="D9561" s="1" t="s">
        <v>122</v>
      </c>
      <c r="E9561" s="1" t="s">
        <v>10</v>
      </c>
      <c r="F9561" s="1" t="s">
        <v>5091</v>
      </c>
      <c r="G9561" s="14" t="s">
        <v>6238</v>
      </c>
      <c r="H9561" s="1" t="s">
        <v>43</v>
      </c>
      <c r="I9561" s="17">
        <v>42370</v>
      </c>
    </row>
    <row r="9562" spans="1:9">
      <c r="A9562" s="16" t="s">
        <v>10287</v>
      </c>
      <c r="B9562" s="1" t="s">
        <v>2628</v>
      </c>
      <c r="C9562" s="1">
        <v>296</v>
      </c>
      <c r="D9562" s="1" t="s">
        <v>122</v>
      </c>
      <c r="E9562" s="1" t="s">
        <v>10</v>
      </c>
      <c r="F9562" s="1" t="s">
        <v>5091</v>
      </c>
      <c r="G9562" s="14" t="s">
        <v>6238</v>
      </c>
      <c r="H9562" s="1" t="s">
        <v>43</v>
      </c>
      <c r="I9562" s="17">
        <v>42370</v>
      </c>
    </row>
    <row r="9563" spans="1:9">
      <c r="A9563" s="16" t="s">
        <v>10288</v>
      </c>
      <c r="B9563" s="1" t="s">
        <v>2628</v>
      </c>
      <c r="C9563" s="1">
        <v>296</v>
      </c>
      <c r="D9563" s="1" t="s">
        <v>122</v>
      </c>
      <c r="E9563" s="1" t="s">
        <v>10</v>
      </c>
      <c r="F9563" s="1" t="s">
        <v>5091</v>
      </c>
      <c r="G9563" s="14" t="s">
        <v>6238</v>
      </c>
      <c r="H9563" s="1" t="s">
        <v>43</v>
      </c>
      <c r="I9563" s="17">
        <v>42370</v>
      </c>
    </row>
    <row r="9564" spans="1:9">
      <c r="A9564" s="16" t="s">
        <v>10289</v>
      </c>
      <c r="B9564" s="1" t="s">
        <v>2628</v>
      </c>
      <c r="C9564" s="1">
        <v>296</v>
      </c>
      <c r="D9564" s="1" t="s">
        <v>122</v>
      </c>
      <c r="E9564" s="1" t="s">
        <v>10</v>
      </c>
      <c r="F9564" s="1" t="s">
        <v>5091</v>
      </c>
      <c r="G9564" s="14" t="s">
        <v>10290</v>
      </c>
      <c r="H9564" s="1" t="s">
        <v>5</v>
      </c>
      <c r="I9564" s="17">
        <v>42370</v>
      </c>
    </row>
    <row r="9565" spans="1:9">
      <c r="A9565" s="16" t="s">
        <v>10291</v>
      </c>
      <c r="B9565" s="1" t="s">
        <v>2628</v>
      </c>
      <c r="C9565" s="1">
        <v>296</v>
      </c>
      <c r="D9565" s="1" t="s">
        <v>122</v>
      </c>
      <c r="E9565" s="1" t="s">
        <v>10</v>
      </c>
      <c r="F9565" s="1" t="s">
        <v>5091</v>
      </c>
      <c r="G9565" s="14" t="s">
        <v>10292</v>
      </c>
      <c r="H9565" s="1" t="s">
        <v>5</v>
      </c>
      <c r="I9565" s="17">
        <v>42370</v>
      </c>
    </row>
    <row r="9566" spans="1:9">
      <c r="A9566" s="16" t="s">
        <v>10293</v>
      </c>
      <c r="B9566" s="1" t="s">
        <v>2628</v>
      </c>
      <c r="C9566" s="1">
        <v>296</v>
      </c>
      <c r="D9566" s="1" t="s">
        <v>122</v>
      </c>
      <c r="E9566" s="1" t="s">
        <v>10</v>
      </c>
      <c r="F9566" s="1" t="s">
        <v>5091</v>
      </c>
      <c r="G9566" s="14" t="s">
        <v>10290</v>
      </c>
      <c r="H9566" s="1" t="s">
        <v>5</v>
      </c>
      <c r="I9566" s="17">
        <v>42370</v>
      </c>
    </row>
    <row r="9567" spans="1:9">
      <c r="A9567" s="16" t="s">
        <v>10304</v>
      </c>
      <c r="B9567" s="1" t="s">
        <v>2628</v>
      </c>
      <c r="C9567" s="1">
        <v>296</v>
      </c>
      <c r="D9567" s="1" t="s">
        <v>122</v>
      </c>
      <c r="E9567" s="1" t="s">
        <v>10</v>
      </c>
      <c r="F9567" s="1" t="s">
        <v>5091</v>
      </c>
      <c r="G9567" s="14" t="s">
        <v>9395</v>
      </c>
      <c r="H9567" s="1" t="s">
        <v>5</v>
      </c>
      <c r="I9567" s="17">
        <v>37622</v>
      </c>
    </row>
    <row r="9568" spans="1:9">
      <c r="A9568" s="16" t="s">
        <v>10305</v>
      </c>
      <c r="B9568" s="1" t="s">
        <v>2628</v>
      </c>
      <c r="C9568" s="1">
        <v>296</v>
      </c>
      <c r="D9568" s="1" t="s">
        <v>122</v>
      </c>
      <c r="E9568" s="1" t="s">
        <v>10</v>
      </c>
      <c r="F9568" s="1" t="s">
        <v>5091</v>
      </c>
      <c r="G9568" s="14" t="s">
        <v>9395</v>
      </c>
      <c r="H9568" s="1" t="s">
        <v>5</v>
      </c>
      <c r="I9568" s="17">
        <v>37257</v>
      </c>
    </row>
    <row r="9569" spans="1:9">
      <c r="A9569" s="16" t="s">
        <v>10306</v>
      </c>
      <c r="B9569" s="1" t="s">
        <v>2628</v>
      </c>
      <c r="C9569" s="1">
        <v>296</v>
      </c>
      <c r="D9569" s="1" t="s">
        <v>122</v>
      </c>
      <c r="E9569" s="1" t="s">
        <v>10</v>
      </c>
      <c r="F9569" s="1" t="s">
        <v>5091</v>
      </c>
      <c r="G9569" s="14" t="s">
        <v>6236</v>
      </c>
      <c r="H9569" s="1" t="s">
        <v>43</v>
      </c>
      <c r="I9569" s="17">
        <v>38718</v>
      </c>
    </row>
    <row r="9570" spans="1:9">
      <c r="A9570" s="16" t="s">
        <v>10307</v>
      </c>
      <c r="B9570" s="1" t="s">
        <v>2628</v>
      </c>
      <c r="C9570" s="1">
        <v>296</v>
      </c>
      <c r="D9570" s="1" t="s">
        <v>122</v>
      </c>
      <c r="E9570" s="1" t="s">
        <v>10</v>
      </c>
      <c r="F9570" s="1" t="s">
        <v>5091</v>
      </c>
      <c r="G9570" s="14" t="s">
        <v>9395</v>
      </c>
      <c r="H9570" s="1" t="s">
        <v>5</v>
      </c>
      <c r="I9570" s="17">
        <v>38353</v>
      </c>
    </row>
    <row r="9571" spans="1:9">
      <c r="A9571" s="16" t="s">
        <v>10308</v>
      </c>
      <c r="B9571" s="1" t="s">
        <v>2628</v>
      </c>
      <c r="C9571" s="1">
        <v>296</v>
      </c>
      <c r="D9571" s="1" t="s">
        <v>122</v>
      </c>
      <c r="E9571" s="1" t="s">
        <v>10</v>
      </c>
      <c r="F9571" s="1" t="s">
        <v>5091</v>
      </c>
      <c r="G9571" s="14" t="s">
        <v>6236</v>
      </c>
      <c r="H9571" s="1" t="s">
        <v>43</v>
      </c>
      <c r="I9571" s="17">
        <v>39448</v>
      </c>
    </row>
    <row r="9572" spans="1:9">
      <c r="A9572" s="16" t="s">
        <v>10309</v>
      </c>
      <c r="B9572" s="1" t="s">
        <v>2628</v>
      </c>
      <c r="C9572" s="1">
        <v>296</v>
      </c>
      <c r="D9572" s="1" t="s">
        <v>122</v>
      </c>
      <c r="E9572" s="1" t="s">
        <v>10</v>
      </c>
      <c r="F9572" s="1" t="s">
        <v>5091</v>
      </c>
      <c r="G9572" s="14" t="s">
        <v>6236</v>
      </c>
      <c r="H9572" s="1" t="s">
        <v>43</v>
      </c>
      <c r="I9572" s="17">
        <v>39448</v>
      </c>
    </row>
    <row r="9573" spans="1:9">
      <c r="A9573" s="16" t="s">
        <v>10310</v>
      </c>
      <c r="B9573" s="1" t="s">
        <v>2628</v>
      </c>
      <c r="C9573" s="1">
        <v>296</v>
      </c>
      <c r="D9573" s="1" t="s">
        <v>122</v>
      </c>
      <c r="E9573" s="1" t="s">
        <v>10</v>
      </c>
      <c r="F9573" s="1" t="s">
        <v>5091</v>
      </c>
      <c r="G9573" s="14" t="s">
        <v>6236</v>
      </c>
      <c r="H9573" s="1" t="s">
        <v>43</v>
      </c>
      <c r="I9573" s="17">
        <v>39448</v>
      </c>
    </row>
    <row r="9574" spans="1:9">
      <c r="A9574" s="16" t="s">
        <v>10311</v>
      </c>
      <c r="B9574" s="1" t="s">
        <v>2628</v>
      </c>
      <c r="C9574" s="1">
        <v>296</v>
      </c>
      <c r="D9574" s="1" t="s">
        <v>122</v>
      </c>
      <c r="E9574" s="1" t="s">
        <v>10</v>
      </c>
      <c r="F9574" s="1" t="s">
        <v>5091</v>
      </c>
      <c r="G9574" s="14" t="s">
        <v>6236</v>
      </c>
      <c r="H9574" s="1" t="s">
        <v>43</v>
      </c>
      <c r="I9574" s="17">
        <v>39448</v>
      </c>
    </row>
    <row r="9575" spans="1:9">
      <c r="A9575" s="16" t="s">
        <v>10312</v>
      </c>
      <c r="B9575" s="1" t="s">
        <v>2628</v>
      </c>
      <c r="C9575" s="1">
        <v>296</v>
      </c>
      <c r="D9575" s="1" t="s">
        <v>122</v>
      </c>
      <c r="E9575" s="1" t="s">
        <v>10</v>
      </c>
      <c r="F9575" s="1" t="s">
        <v>5091</v>
      </c>
      <c r="G9575" s="14" t="s">
        <v>6236</v>
      </c>
      <c r="H9575" s="1" t="s">
        <v>43</v>
      </c>
      <c r="I9575" s="17">
        <v>39448</v>
      </c>
    </row>
    <row r="9576" spans="1:9">
      <c r="A9576" s="16" t="s">
        <v>10313</v>
      </c>
      <c r="B9576" s="1" t="s">
        <v>2628</v>
      </c>
      <c r="C9576" s="1">
        <v>296</v>
      </c>
      <c r="D9576" s="1" t="s">
        <v>122</v>
      </c>
      <c r="E9576" s="1" t="s">
        <v>10</v>
      </c>
      <c r="F9576" s="1" t="s">
        <v>5091</v>
      </c>
      <c r="G9576" s="14" t="s">
        <v>6236</v>
      </c>
      <c r="H9576" s="1" t="s">
        <v>43</v>
      </c>
      <c r="I9576" s="17">
        <v>39448</v>
      </c>
    </row>
    <row r="9577" spans="1:9">
      <c r="A9577" s="16" t="s">
        <v>10314</v>
      </c>
      <c r="B9577" s="1" t="s">
        <v>2628</v>
      </c>
      <c r="C9577" s="1">
        <v>296</v>
      </c>
      <c r="D9577" s="1" t="s">
        <v>122</v>
      </c>
      <c r="E9577" s="1" t="s">
        <v>10</v>
      </c>
      <c r="F9577" s="1" t="s">
        <v>5091</v>
      </c>
      <c r="G9577" s="14" t="s">
        <v>9395</v>
      </c>
      <c r="H9577" s="1" t="s">
        <v>5</v>
      </c>
      <c r="I9577" s="17">
        <v>39814</v>
      </c>
    </row>
    <row r="9578" spans="1:9">
      <c r="A9578" s="16" t="s">
        <v>10388</v>
      </c>
      <c r="B9578" s="1" t="s">
        <v>2628</v>
      </c>
      <c r="C9578" s="1">
        <v>296</v>
      </c>
      <c r="D9578" s="1" t="s">
        <v>122</v>
      </c>
      <c r="E9578" s="1" t="s">
        <v>10</v>
      </c>
      <c r="F9578" s="1" t="s">
        <v>5091</v>
      </c>
      <c r="G9578" s="14" t="s">
        <v>2387</v>
      </c>
      <c r="H9578" s="1" t="s">
        <v>5</v>
      </c>
      <c r="I9578" s="17">
        <v>40630</v>
      </c>
    </row>
    <row r="9579" spans="1:9">
      <c r="A9579" s="16" t="s">
        <v>10401</v>
      </c>
      <c r="B9579" s="1" t="s">
        <v>2628</v>
      </c>
      <c r="C9579" s="1">
        <v>296</v>
      </c>
      <c r="D9579" s="1" t="s">
        <v>122</v>
      </c>
      <c r="E9579" s="1" t="s">
        <v>10</v>
      </c>
      <c r="F9579" s="1" t="s">
        <v>5091</v>
      </c>
      <c r="G9579" s="14" t="s">
        <v>10402</v>
      </c>
      <c r="H9579" s="1" t="s">
        <v>5</v>
      </c>
      <c r="I9579" s="17">
        <v>40259</v>
      </c>
    </row>
    <row r="9580" spans="1:9">
      <c r="A9580" s="16" t="s">
        <v>10403</v>
      </c>
      <c r="B9580" s="1" t="s">
        <v>2628</v>
      </c>
      <c r="C9580" s="1">
        <v>296</v>
      </c>
      <c r="D9580" s="1" t="s">
        <v>122</v>
      </c>
      <c r="E9580" s="1" t="s">
        <v>10</v>
      </c>
      <c r="F9580" s="1" t="s">
        <v>5091</v>
      </c>
      <c r="G9580" s="14" t="s">
        <v>10404</v>
      </c>
      <c r="H9580" s="1" t="s">
        <v>5</v>
      </c>
      <c r="I9580" s="17">
        <v>40259</v>
      </c>
    </row>
    <row r="9581" spans="1:9">
      <c r="A9581" s="16" t="s">
        <v>10492</v>
      </c>
      <c r="B9581" s="1" t="s">
        <v>2628</v>
      </c>
      <c r="C9581" s="1">
        <v>88</v>
      </c>
      <c r="D9581" s="1" t="s">
        <v>122</v>
      </c>
      <c r="E9581" s="1" t="s">
        <v>10</v>
      </c>
      <c r="F9581" s="1" t="s">
        <v>5091</v>
      </c>
      <c r="G9581" s="14" t="s">
        <v>6186</v>
      </c>
      <c r="H9581" s="1" t="s">
        <v>5</v>
      </c>
      <c r="I9581" s="17">
        <v>42370</v>
      </c>
    </row>
    <row r="9582" spans="1:9">
      <c r="A9582" s="16" t="s">
        <v>10711</v>
      </c>
      <c r="B9582" s="1" t="s">
        <v>2628</v>
      </c>
      <c r="C9582" s="1">
        <v>88</v>
      </c>
      <c r="D9582" s="1" t="s">
        <v>122</v>
      </c>
      <c r="E9582" s="1" t="s">
        <v>10</v>
      </c>
      <c r="F9582" s="1" t="s">
        <v>5091</v>
      </c>
      <c r="G9582" s="14" t="s">
        <v>6307</v>
      </c>
      <c r="H9582" s="1" t="s">
        <v>44</v>
      </c>
      <c r="I9582" s="17">
        <v>42098</v>
      </c>
    </row>
    <row r="9583" spans="1:9">
      <c r="A9583" s="16" t="s">
        <v>10712</v>
      </c>
      <c r="B9583" s="1" t="s">
        <v>2628</v>
      </c>
      <c r="C9583" s="1">
        <v>88</v>
      </c>
      <c r="D9583" s="1" t="s">
        <v>122</v>
      </c>
      <c r="E9583" s="1" t="s">
        <v>10</v>
      </c>
      <c r="F9583" s="1" t="s">
        <v>5091</v>
      </c>
      <c r="G9583" s="14" t="s">
        <v>6307</v>
      </c>
      <c r="H9583" s="1" t="s">
        <v>44</v>
      </c>
      <c r="I9583" s="17">
        <v>42098</v>
      </c>
    </row>
    <row r="9584" spans="1:9">
      <c r="A9584" s="16" t="s">
        <v>11027</v>
      </c>
      <c r="B9584" s="1" t="s">
        <v>2628</v>
      </c>
      <c r="C9584" s="1">
        <v>88</v>
      </c>
      <c r="D9584" s="1" t="s">
        <v>122</v>
      </c>
      <c r="E9584" s="1" t="s">
        <v>10</v>
      </c>
      <c r="F9584" s="1" t="s">
        <v>5091</v>
      </c>
      <c r="G9584" s="14" t="s">
        <v>6145</v>
      </c>
      <c r="H9584" s="1" t="s">
        <v>43</v>
      </c>
      <c r="I9584" s="17">
        <v>40626</v>
      </c>
    </row>
    <row r="9585" spans="1:9">
      <c r="A9585" s="16" t="s">
        <v>11028</v>
      </c>
      <c r="B9585" s="1" t="s">
        <v>2628</v>
      </c>
      <c r="C9585" s="1">
        <v>88</v>
      </c>
      <c r="D9585" s="1" t="s">
        <v>122</v>
      </c>
      <c r="E9585" s="1" t="s">
        <v>10</v>
      </c>
      <c r="F9585" s="1" t="s">
        <v>5091</v>
      </c>
      <c r="G9585" s="14" t="s">
        <v>6145</v>
      </c>
      <c r="H9585" s="1" t="s">
        <v>43</v>
      </c>
      <c r="I9585" s="17">
        <v>40626</v>
      </c>
    </row>
    <row r="9586" spans="1:9">
      <c r="A9586" s="16" t="s">
        <v>11065</v>
      </c>
      <c r="B9586" s="1" t="s">
        <v>2628</v>
      </c>
      <c r="C9586" s="1">
        <v>296</v>
      </c>
      <c r="D9586" s="1" t="s">
        <v>122</v>
      </c>
      <c r="E9586" s="1" t="s">
        <v>10</v>
      </c>
      <c r="F9586" s="1" t="s">
        <v>5091</v>
      </c>
      <c r="G9586" s="14" t="s">
        <v>6145</v>
      </c>
      <c r="H9586" s="1" t="s">
        <v>43</v>
      </c>
      <c r="I9586" s="17">
        <v>40830</v>
      </c>
    </row>
    <row r="9587" spans="1:9">
      <c r="A9587" s="16" t="s">
        <v>11113</v>
      </c>
      <c r="B9587" s="1" t="s">
        <v>2628</v>
      </c>
      <c r="C9587" s="1">
        <v>296</v>
      </c>
      <c r="D9587" s="1" t="s">
        <v>122</v>
      </c>
      <c r="E9587" s="1" t="s">
        <v>10</v>
      </c>
      <c r="F9587" s="1" t="s">
        <v>5091</v>
      </c>
      <c r="G9587" s="14" t="s">
        <v>6186</v>
      </c>
      <c r="H9587" s="1" t="s">
        <v>5</v>
      </c>
      <c r="I9587" s="17">
        <v>42370</v>
      </c>
    </row>
    <row r="9588" spans="1:9">
      <c r="A9588" s="16" t="s">
        <v>11167</v>
      </c>
      <c r="B9588" s="1" t="s">
        <v>2628</v>
      </c>
      <c r="C9588" s="1">
        <v>296</v>
      </c>
      <c r="D9588" s="1" t="s">
        <v>122</v>
      </c>
      <c r="E9588" s="1" t="s">
        <v>10</v>
      </c>
      <c r="F9588" s="1" t="s">
        <v>5091</v>
      </c>
      <c r="G9588" s="14" t="s">
        <v>6145</v>
      </c>
      <c r="H9588" s="1" t="s">
        <v>43</v>
      </c>
      <c r="I9588" s="17">
        <v>41275</v>
      </c>
    </row>
    <row r="9589" spans="1:9">
      <c r="A9589" s="16" t="s">
        <v>11168</v>
      </c>
      <c r="B9589" s="1" t="s">
        <v>2628</v>
      </c>
      <c r="C9589" s="1">
        <v>296</v>
      </c>
      <c r="D9589" s="1" t="s">
        <v>122</v>
      </c>
      <c r="E9589" s="1" t="s">
        <v>10</v>
      </c>
      <c r="F9589" s="1" t="s">
        <v>5091</v>
      </c>
      <c r="G9589" s="14" t="s">
        <v>6145</v>
      </c>
      <c r="H9589" s="1" t="s">
        <v>43</v>
      </c>
      <c r="I9589" s="17">
        <v>41275</v>
      </c>
    </row>
    <row r="9590" spans="1:9">
      <c r="A9590" s="16" t="s">
        <v>11288</v>
      </c>
      <c r="B9590" s="1" t="s">
        <v>2628</v>
      </c>
      <c r="C9590" s="1">
        <v>296</v>
      </c>
      <c r="D9590" s="1" t="s">
        <v>122</v>
      </c>
      <c r="E9590" s="1" t="s">
        <v>10</v>
      </c>
      <c r="F9590" s="1" t="s">
        <v>5091</v>
      </c>
      <c r="G9590" s="14" t="s">
        <v>4458</v>
      </c>
      <c r="H9590" s="1" t="s">
        <v>118</v>
      </c>
      <c r="I9590" s="1" t="s">
        <v>4458</v>
      </c>
    </row>
    <row r="9591" spans="1:9">
      <c r="A9591" s="16" t="s">
        <v>11292</v>
      </c>
      <c r="B9591" s="1" t="s">
        <v>2628</v>
      </c>
      <c r="C9591" s="1">
        <v>296</v>
      </c>
      <c r="D9591" s="1" t="s">
        <v>122</v>
      </c>
      <c r="E9591" s="1" t="s">
        <v>10</v>
      </c>
      <c r="F9591" s="1" t="s">
        <v>5091</v>
      </c>
      <c r="G9591" s="14" t="s">
        <v>4458</v>
      </c>
      <c r="H9591" s="1" t="s">
        <v>118</v>
      </c>
      <c r="I9591" s="1" t="s">
        <v>4458</v>
      </c>
    </row>
    <row r="9592" spans="1:9">
      <c r="A9592" s="16" t="s">
        <v>11313</v>
      </c>
      <c r="B9592" s="1" t="s">
        <v>2628</v>
      </c>
      <c r="C9592" s="1">
        <v>296</v>
      </c>
      <c r="D9592" s="1" t="s">
        <v>122</v>
      </c>
      <c r="E9592" s="1" t="s">
        <v>10</v>
      </c>
      <c r="F9592" s="1" t="s">
        <v>5091</v>
      </c>
      <c r="G9592" s="14" t="s">
        <v>11314</v>
      </c>
      <c r="H9592" s="1" t="s">
        <v>5</v>
      </c>
      <c r="I9592" s="17">
        <v>38616</v>
      </c>
    </row>
    <row r="9593" spans="1:9">
      <c r="A9593" s="16" t="s">
        <v>11327</v>
      </c>
      <c r="B9593" s="1" t="s">
        <v>2628</v>
      </c>
      <c r="C9593" s="1">
        <v>296</v>
      </c>
      <c r="D9593" s="1" t="s">
        <v>122</v>
      </c>
      <c r="E9593" s="1" t="s">
        <v>10</v>
      </c>
      <c r="F9593" s="1" t="s">
        <v>5091</v>
      </c>
      <c r="G9593" s="14" t="s">
        <v>4458</v>
      </c>
      <c r="H9593" s="1" t="s">
        <v>118</v>
      </c>
      <c r="I9593" s="1" t="s">
        <v>4458</v>
      </c>
    </row>
    <row r="9594" spans="1:9">
      <c r="A9594" s="16" t="s">
        <v>11328</v>
      </c>
      <c r="B9594" s="1" t="s">
        <v>2628</v>
      </c>
      <c r="C9594" s="1">
        <v>296</v>
      </c>
      <c r="D9594" s="1" t="s">
        <v>122</v>
      </c>
      <c r="E9594" s="1" t="s">
        <v>10</v>
      </c>
      <c r="F9594" s="1" t="s">
        <v>5091</v>
      </c>
      <c r="G9594" s="14" t="s">
        <v>4458</v>
      </c>
      <c r="H9594" s="1" t="s">
        <v>118</v>
      </c>
      <c r="I9594" s="1" t="s">
        <v>4458</v>
      </c>
    </row>
    <row r="9595" spans="1:9">
      <c r="A9595" s="16" t="s">
        <v>11396</v>
      </c>
      <c r="B9595" s="1" t="s">
        <v>2628</v>
      </c>
      <c r="C9595" s="1">
        <v>296</v>
      </c>
      <c r="D9595" s="1" t="s">
        <v>122</v>
      </c>
      <c r="E9595" s="1" t="s">
        <v>10</v>
      </c>
      <c r="F9595" s="1" t="s">
        <v>5091</v>
      </c>
      <c r="G9595" s="14" t="s">
        <v>4458</v>
      </c>
      <c r="H9595" s="1" t="s">
        <v>118</v>
      </c>
      <c r="I9595" s="1" t="s">
        <v>4458</v>
      </c>
    </row>
    <row r="9596" spans="1:9">
      <c r="A9596" s="16" t="s">
        <v>11434</v>
      </c>
      <c r="B9596" s="1" t="s">
        <v>2628</v>
      </c>
      <c r="C9596" s="1">
        <v>296</v>
      </c>
      <c r="D9596" s="1" t="s">
        <v>122</v>
      </c>
      <c r="E9596" s="1" t="s">
        <v>10</v>
      </c>
      <c r="F9596" s="1" t="s">
        <v>5091</v>
      </c>
      <c r="G9596" s="14" t="s">
        <v>6145</v>
      </c>
      <c r="H9596" s="1" t="s">
        <v>43</v>
      </c>
      <c r="I9596" s="17">
        <v>42556</v>
      </c>
    </row>
    <row r="9597" spans="1:9">
      <c r="A9597" s="16" t="s">
        <v>11591</v>
      </c>
      <c r="B9597" s="1" t="s">
        <v>2628</v>
      </c>
      <c r="C9597" s="1">
        <v>296</v>
      </c>
      <c r="D9597" s="1" t="s">
        <v>122</v>
      </c>
      <c r="E9597" s="1" t="s">
        <v>10</v>
      </c>
      <c r="F9597" s="1" t="s">
        <v>5091</v>
      </c>
      <c r="G9597" s="14" t="s">
        <v>6307</v>
      </c>
      <c r="H9597" s="1" t="s">
        <v>44</v>
      </c>
      <c r="I9597" s="17">
        <v>42591</v>
      </c>
    </row>
    <row r="9598" spans="1:9">
      <c r="A9598" s="16" t="s">
        <v>11592</v>
      </c>
      <c r="B9598" s="1" t="s">
        <v>2628</v>
      </c>
      <c r="C9598" s="1">
        <v>296</v>
      </c>
      <c r="D9598" s="1" t="s">
        <v>122</v>
      </c>
      <c r="E9598" s="1" t="s">
        <v>10</v>
      </c>
      <c r="F9598" s="1" t="s">
        <v>5091</v>
      </c>
      <c r="G9598" s="14" t="s">
        <v>6307</v>
      </c>
      <c r="H9598" s="1" t="s">
        <v>44</v>
      </c>
      <c r="I9598" s="17">
        <v>42591</v>
      </c>
    </row>
    <row r="9599" spans="1:9">
      <c r="A9599" s="16" t="s">
        <v>11611</v>
      </c>
      <c r="B9599" s="1" t="s">
        <v>2628</v>
      </c>
      <c r="C9599" s="1">
        <v>296</v>
      </c>
      <c r="D9599" s="1" t="s">
        <v>122</v>
      </c>
      <c r="E9599" s="1" t="s">
        <v>10</v>
      </c>
      <c r="F9599" s="1" t="s">
        <v>5091</v>
      </c>
      <c r="G9599" s="14" t="s">
        <v>9718</v>
      </c>
      <c r="H9599" s="1" t="s">
        <v>5</v>
      </c>
      <c r="I9599" s="17">
        <v>38096</v>
      </c>
    </row>
    <row r="9600" spans="1:9">
      <c r="A9600" s="16" t="s">
        <v>11612</v>
      </c>
      <c r="B9600" s="1" t="s">
        <v>2628</v>
      </c>
      <c r="C9600" s="1">
        <v>296</v>
      </c>
      <c r="D9600" s="1" t="s">
        <v>122</v>
      </c>
      <c r="E9600" s="1" t="s">
        <v>10</v>
      </c>
      <c r="F9600" s="1" t="s">
        <v>5091</v>
      </c>
      <c r="G9600" s="14" t="s">
        <v>9718</v>
      </c>
      <c r="H9600" s="1" t="s">
        <v>5</v>
      </c>
      <c r="I9600" s="17">
        <v>38096</v>
      </c>
    </row>
    <row r="9601" spans="1:9">
      <c r="A9601" s="16" t="s">
        <v>11758</v>
      </c>
      <c r="B9601" s="1" t="s">
        <v>2628</v>
      </c>
      <c r="C9601" s="1">
        <v>296</v>
      </c>
      <c r="D9601" s="1" t="s">
        <v>122</v>
      </c>
      <c r="E9601" s="1" t="s">
        <v>10</v>
      </c>
      <c r="F9601" s="1" t="s">
        <v>5091</v>
      </c>
      <c r="G9601" s="14" t="s">
        <v>4458</v>
      </c>
      <c r="H9601" s="1" t="s">
        <v>118</v>
      </c>
      <c r="I9601" s="1" t="s">
        <v>4458</v>
      </c>
    </row>
    <row r="9602" spans="1:9">
      <c r="A9602" s="16" t="s">
        <v>11809</v>
      </c>
      <c r="B9602" s="1" t="s">
        <v>2628</v>
      </c>
      <c r="C9602" s="1">
        <v>296</v>
      </c>
      <c r="D9602" s="1" t="s">
        <v>122</v>
      </c>
      <c r="E9602" s="1" t="s">
        <v>10</v>
      </c>
      <c r="F9602" s="1" t="s">
        <v>5091</v>
      </c>
      <c r="G9602" s="14" t="s">
        <v>4803</v>
      </c>
      <c r="H9602" s="1" t="s">
        <v>5</v>
      </c>
      <c r="I9602" s="17">
        <v>42339</v>
      </c>
    </row>
    <row r="9603" spans="1:9" ht="31.2">
      <c r="A9603" s="16" t="s">
        <v>11970</v>
      </c>
      <c r="B9603" s="1" t="s">
        <v>2628</v>
      </c>
      <c r="C9603" s="1">
        <v>296</v>
      </c>
      <c r="D9603" s="1" t="s">
        <v>122</v>
      </c>
      <c r="E9603" s="1" t="s">
        <v>10</v>
      </c>
      <c r="F9603" s="1" t="s">
        <v>5091</v>
      </c>
      <c r="G9603" s="14" t="s">
        <v>11971</v>
      </c>
      <c r="H9603" s="1" t="s">
        <v>5</v>
      </c>
      <c r="I9603" s="17">
        <v>42702</v>
      </c>
    </row>
    <row r="9604" spans="1:9">
      <c r="A9604" s="16" t="s">
        <v>11980</v>
      </c>
      <c r="B9604" s="1" t="s">
        <v>2628</v>
      </c>
      <c r="C9604" s="1">
        <v>88</v>
      </c>
      <c r="D9604" s="1" t="s">
        <v>122</v>
      </c>
      <c r="E9604" s="1" t="s">
        <v>10</v>
      </c>
      <c r="F9604" s="1" t="s">
        <v>5091</v>
      </c>
      <c r="G9604" s="14" t="s">
        <v>6145</v>
      </c>
      <c r="H9604" s="1" t="s">
        <v>43</v>
      </c>
      <c r="I9604" s="17">
        <v>42625</v>
      </c>
    </row>
    <row r="9605" spans="1:9">
      <c r="A9605" s="16" t="s">
        <v>12067</v>
      </c>
      <c r="B9605" s="1" t="s">
        <v>2628</v>
      </c>
      <c r="C9605" s="1">
        <v>296</v>
      </c>
      <c r="D9605" s="1" t="s">
        <v>122</v>
      </c>
      <c r="E9605" s="1" t="s">
        <v>10</v>
      </c>
      <c r="F9605" s="1" t="s">
        <v>5091</v>
      </c>
      <c r="G9605" s="14" t="s">
        <v>12068</v>
      </c>
      <c r="H9605" s="1" t="s">
        <v>315</v>
      </c>
      <c r="I9605" s="17">
        <v>42370</v>
      </c>
    </row>
    <row r="9606" spans="1:9">
      <c r="A9606" s="16" t="s">
        <v>12069</v>
      </c>
      <c r="B9606" s="1" t="s">
        <v>2628</v>
      </c>
      <c r="C9606" s="1">
        <v>296</v>
      </c>
      <c r="D9606" s="1" t="s">
        <v>122</v>
      </c>
      <c r="E9606" s="1" t="s">
        <v>10</v>
      </c>
      <c r="F9606" s="1" t="s">
        <v>5091</v>
      </c>
      <c r="G9606" s="14" t="s">
        <v>12068</v>
      </c>
      <c r="H9606" s="1" t="s">
        <v>315</v>
      </c>
      <c r="I9606" s="17">
        <v>42370</v>
      </c>
    </row>
    <row r="9607" spans="1:9">
      <c r="A9607" s="16" t="s">
        <v>12543</v>
      </c>
      <c r="B9607" s="1" t="s">
        <v>2628</v>
      </c>
      <c r="C9607" s="1">
        <v>296</v>
      </c>
      <c r="D9607" s="1" t="s">
        <v>122</v>
      </c>
      <c r="E9607" s="1" t="s">
        <v>10</v>
      </c>
      <c r="F9607" s="1" t="s">
        <v>5091</v>
      </c>
      <c r="G9607" s="14" t="s">
        <v>4458</v>
      </c>
      <c r="H9607" s="1" t="s">
        <v>118</v>
      </c>
      <c r="I9607" s="1" t="s">
        <v>4458</v>
      </c>
    </row>
    <row r="9608" spans="1:9">
      <c r="A9608" s="16" t="s">
        <v>12547</v>
      </c>
      <c r="B9608" s="1" t="s">
        <v>2628</v>
      </c>
      <c r="C9608" s="1">
        <v>296</v>
      </c>
      <c r="D9608" s="1" t="s">
        <v>122</v>
      </c>
      <c r="E9608" s="1" t="s">
        <v>10</v>
      </c>
      <c r="F9608" s="1" t="s">
        <v>5091</v>
      </c>
      <c r="G9608" s="14" t="s">
        <v>4458</v>
      </c>
      <c r="H9608" s="1" t="s">
        <v>118</v>
      </c>
      <c r="I9608" s="17">
        <v>42736</v>
      </c>
    </row>
    <row r="9609" spans="1:9">
      <c r="A9609" s="16" t="s">
        <v>12548</v>
      </c>
      <c r="B9609" s="1" t="s">
        <v>2628</v>
      </c>
      <c r="C9609" s="1">
        <v>296</v>
      </c>
      <c r="D9609" s="1" t="s">
        <v>122</v>
      </c>
      <c r="E9609" s="1" t="s">
        <v>10</v>
      </c>
      <c r="F9609" s="1" t="s">
        <v>5091</v>
      </c>
      <c r="G9609" s="14" t="s">
        <v>4458</v>
      </c>
      <c r="H9609" s="1" t="s">
        <v>118</v>
      </c>
      <c r="I9609" s="17">
        <v>42736</v>
      </c>
    </row>
    <row r="9610" spans="1:9">
      <c r="A9610" s="16" t="s">
        <v>12549</v>
      </c>
      <c r="B9610" s="1" t="s">
        <v>2628</v>
      </c>
      <c r="C9610" s="1">
        <v>296</v>
      </c>
      <c r="D9610" s="1" t="s">
        <v>122</v>
      </c>
      <c r="E9610" s="1" t="s">
        <v>10</v>
      </c>
      <c r="F9610" s="1" t="s">
        <v>5091</v>
      </c>
      <c r="G9610" s="14" t="s">
        <v>4458</v>
      </c>
      <c r="H9610" s="1" t="s">
        <v>118</v>
      </c>
      <c r="I9610" s="17">
        <v>42736</v>
      </c>
    </row>
    <row r="9611" spans="1:9">
      <c r="A9611" s="16" t="s">
        <v>12551</v>
      </c>
      <c r="B9611" s="1" t="s">
        <v>2628</v>
      </c>
      <c r="C9611" s="1">
        <v>296</v>
      </c>
      <c r="D9611" s="1" t="s">
        <v>122</v>
      </c>
      <c r="E9611" s="1" t="s">
        <v>10</v>
      </c>
      <c r="F9611" s="1" t="s">
        <v>5091</v>
      </c>
      <c r="G9611" s="14" t="s">
        <v>4458</v>
      </c>
      <c r="H9611" s="1" t="s">
        <v>118</v>
      </c>
      <c r="I9611" s="17">
        <v>42736</v>
      </c>
    </row>
    <row r="9612" spans="1:9">
      <c r="A9612" s="16" t="s">
        <v>12552</v>
      </c>
      <c r="B9612" s="1" t="s">
        <v>2628</v>
      </c>
      <c r="C9612" s="1">
        <v>296</v>
      </c>
      <c r="D9612" s="1" t="s">
        <v>122</v>
      </c>
      <c r="E9612" s="1" t="s">
        <v>10</v>
      </c>
      <c r="F9612" s="1" t="s">
        <v>5091</v>
      </c>
      <c r="G9612" s="14" t="s">
        <v>4458</v>
      </c>
      <c r="H9612" s="1" t="s">
        <v>118</v>
      </c>
      <c r="I9612" s="17">
        <v>42736</v>
      </c>
    </row>
    <row r="9613" spans="1:9">
      <c r="A9613" s="16" t="s">
        <v>12564</v>
      </c>
      <c r="B9613" s="1" t="s">
        <v>2628</v>
      </c>
      <c r="C9613" s="1">
        <v>296</v>
      </c>
      <c r="D9613" s="1" t="s">
        <v>122</v>
      </c>
      <c r="E9613" s="1" t="s">
        <v>10</v>
      </c>
      <c r="F9613" s="1" t="s">
        <v>5091</v>
      </c>
      <c r="G9613" s="14" t="s">
        <v>12565</v>
      </c>
      <c r="H9613" s="1" t="s">
        <v>43</v>
      </c>
      <c r="I9613" s="17">
        <v>38296</v>
      </c>
    </row>
    <row r="9614" spans="1:9">
      <c r="A9614" s="16" t="s">
        <v>12608</v>
      </c>
      <c r="B9614" s="1" t="s">
        <v>2628</v>
      </c>
      <c r="C9614" s="1">
        <v>296</v>
      </c>
      <c r="D9614" s="1" t="s">
        <v>122</v>
      </c>
      <c r="E9614" s="1" t="s">
        <v>10</v>
      </c>
      <c r="F9614" s="1" t="s">
        <v>5091</v>
      </c>
      <c r="G9614" s="14" t="s">
        <v>4458</v>
      </c>
      <c r="H9614" s="1" t="s">
        <v>118</v>
      </c>
      <c r="I9614" s="17">
        <v>42807</v>
      </c>
    </row>
    <row r="9615" spans="1:9">
      <c r="A9615" s="16" t="s">
        <v>12610</v>
      </c>
      <c r="B9615" s="1" t="s">
        <v>2628</v>
      </c>
      <c r="C9615" s="1">
        <v>296</v>
      </c>
      <c r="D9615" s="1" t="s">
        <v>122</v>
      </c>
      <c r="E9615" s="1" t="s">
        <v>10</v>
      </c>
      <c r="F9615" s="1" t="s">
        <v>5091</v>
      </c>
      <c r="G9615" s="14" t="s">
        <v>4458</v>
      </c>
      <c r="H9615" s="1" t="s">
        <v>118</v>
      </c>
      <c r="I9615" s="17">
        <v>42807</v>
      </c>
    </row>
    <row r="9616" spans="1:9">
      <c r="A9616" s="16" t="s">
        <v>12611</v>
      </c>
      <c r="B9616" s="1" t="s">
        <v>2628</v>
      </c>
      <c r="C9616" s="1">
        <v>296</v>
      </c>
      <c r="D9616" s="1" t="s">
        <v>122</v>
      </c>
      <c r="E9616" s="1" t="s">
        <v>10</v>
      </c>
      <c r="F9616" s="1" t="s">
        <v>5091</v>
      </c>
      <c r="G9616" s="14" t="s">
        <v>4458</v>
      </c>
      <c r="H9616" s="1" t="s">
        <v>118</v>
      </c>
      <c r="I9616" s="17">
        <v>42807</v>
      </c>
    </row>
    <row r="9617" spans="1:9">
      <c r="A9617" s="16" t="s">
        <v>12612</v>
      </c>
      <c r="B9617" s="1" t="s">
        <v>2628</v>
      </c>
      <c r="C9617" s="1">
        <v>296</v>
      </c>
      <c r="D9617" s="1" t="s">
        <v>122</v>
      </c>
      <c r="E9617" s="1" t="s">
        <v>10</v>
      </c>
      <c r="F9617" s="1" t="s">
        <v>5091</v>
      </c>
      <c r="G9617" s="14" t="s">
        <v>4458</v>
      </c>
      <c r="H9617" s="1" t="s">
        <v>118</v>
      </c>
      <c r="I9617" s="17">
        <v>42807</v>
      </c>
    </row>
    <row r="9618" spans="1:9">
      <c r="A9618" s="16" t="s">
        <v>12613</v>
      </c>
      <c r="B9618" s="1" t="s">
        <v>2628</v>
      </c>
      <c r="C9618" s="1">
        <v>296</v>
      </c>
      <c r="D9618" s="1" t="s">
        <v>122</v>
      </c>
      <c r="E9618" s="1" t="s">
        <v>10</v>
      </c>
      <c r="F9618" s="1" t="s">
        <v>5091</v>
      </c>
      <c r="G9618" s="14" t="s">
        <v>4458</v>
      </c>
      <c r="H9618" s="1" t="s">
        <v>118</v>
      </c>
      <c r="I9618" s="17">
        <v>42807</v>
      </c>
    </row>
    <row r="9619" spans="1:9">
      <c r="A9619" s="16" t="s">
        <v>12614</v>
      </c>
      <c r="B9619" s="1" t="s">
        <v>2628</v>
      </c>
      <c r="C9619" s="1">
        <v>296</v>
      </c>
      <c r="D9619" s="1" t="s">
        <v>122</v>
      </c>
      <c r="E9619" s="1" t="s">
        <v>10</v>
      </c>
      <c r="F9619" s="1" t="s">
        <v>5091</v>
      </c>
      <c r="G9619" s="14" t="s">
        <v>4458</v>
      </c>
      <c r="H9619" s="1" t="s">
        <v>118</v>
      </c>
      <c r="I9619" s="17">
        <v>42807</v>
      </c>
    </row>
    <row r="9620" spans="1:9">
      <c r="A9620" s="16" t="s">
        <v>13090</v>
      </c>
      <c r="B9620" s="1" t="s">
        <v>2628</v>
      </c>
      <c r="C9620" s="1">
        <v>88</v>
      </c>
      <c r="D9620" s="1" t="s">
        <v>122</v>
      </c>
      <c r="E9620" s="1" t="s">
        <v>10</v>
      </c>
      <c r="F9620" s="1" t="s">
        <v>5091</v>
      </c>
      <c r="G9620" s="14" t="s">
        <v>6186</v>
      </c>
      <c r="H9620" s="1" t="s">
        <v>5</v>
      </c>
      <c r="I9620" s="17">
        <v>42736</v>
      </c>
    </row>
    <row r="9621" spans="1:9">
      <c r="A9621" s="16" t="s">
        <v>13103</v>
      </c>
      <c r="B9621" s="1" t="s">
        <v>2628</v>
      </c>
      <c r="C9621" s="1">
        <v>296</v>
      </c>
      <c r="D9621" s="1" t="s">
        <v>122</v>
      </c>
      <c r="E9621" s="1" t="s">
        <v>10</v>
      </c>
      <c r="F9621" s="1" t="s">
        <v>5091</v>
      </c>
      <c r="G9621" s="14" t="s">
        <v>6145</v>
      </c>
      <c r="H9621" s="1" t="s">
        <v>43</v>
      </c>
      <c r="I9621" s="17">
        <v>42879</v>
      </c>
    </row>
    <row r="9622" spans="1:9">
      <c r="A9622" s="16" t="s">
        <v>13167</v>
      </c>
      <c r="B9622" s="1" t="s">
        <v>2628</v>
      </c>
      <c r="C9622" s="1">
        <v>296</v>
      </c>
      <c r="D9622" s="1" t="s">
        <v>122</v>
      </c>
      <c r="E9622" s="1" t="s">
        <v>10</v>
      </c>
      <c r="F9622" s="1" t="s">
        <v>36</v>
      </c>
      <c r="G9622" s="14" t="s">
        <v>13147</v>
      </c>
      <c r="H9622" s="1" t="s">
        <v>118</v>
      </c>
      <c r="I9622" s="17">
        <v>40909</v>
      </c>
    </row>
    <row r="9623" spans="1:9">
      <c r="A9623" s="16" t="s">
        <v>13177</v>
      </c>
      <c r="B9623" s="1" t="s">
        <v>2628</v>
      </c>
      <c r="C9623" s="1">
        <v>296</v>
      </c>
      <c r="D9623" s="1" t="s">
        <v>122</v>
      </c>
      <c r="E9623" s="1" t="s">
        <v>10</v>
      </c>
      <c r="F9623" s="1" t="s">
        <v>36</v>
      </c>
      <c r="G9623" s="14" t="s">
        <v>4803</v>
      </c>
      <c r="H9623" s="1" t="s">
        <v>5</v>
      </c>
      <c r="I9623" s="17">
        <v>40179</v>
      </c>
    </row>
    <row r="9624" spans="1:9">
      <c r="A9624" s="16" t="s">
        <v>13209</v>
      </c>
      <c r="B9624" s="1" t="s">
        <v>2628</v>
      </c>
      <c r="C9624" s="1">
        <v>296</v>
      </c>
      <c r="D9624" s="1" t="s">
        <v>122</v>
      </c>
      <c r="E9624" s="1" t="s">
        <v>10</v>
      </c>
      <c r="F9624" s="1" t="s">
        <v>5091</v>
      </c>
      <c r="G9624" s="14" t="s">
        <v>6145</v>
      </c>
      <c r="H9624" s="1" t="s">
        <v>43</v>
      </c>
      <c r="I9624" s="17">
        <v>40830</v>
      </c>
    </row>
    <row r="9625" spans="1:9">
      <c r="A9625" s="16" t="s">
        <v>13210</v>
      </c>
      <c r="B9625" s="1" t="s">
        <v>2628</v>
      </c>
      <c r="C9625" s="1">
        <v>296</v>
      </c>
      <c r="D9625" s="1" t="s">
        <v>122</v>
      </c>
      <c r="E9625" s="1" t="s">
        <v>10</v>
      </c>
      <c r="F9625" s="1" t="s">
        <v>5091</v>
      </c>
      <c r="G9625" s="14" t="s">
        <v>6145</v>
      </c>
      <c r="H9625" s="1" t="s">
        <v>43</v>
      </c>
      <c r="I9625" s="17">
        <v>40830</v>
      </c>
    </row>
    <row r="9626" spans="1:9">
      <c r="A9626" s="16" t="s">
        <v>13272</v>
      </c>
      <c r="B9626" s="1" t="s">
        <v>2628</v>
      </c>
      <c r="C9626" s="1">
        <v>296</v>
      </c>
      <c r="D9626" s="1" t="s">
        <v>122</v>
      </c>
      <c r="E9626" s="1" t="s">
        <v>10</v>
      </c>
      <c r="F9626" s="1" t="s">
        <v>5091</v>
      </c>
      <c r="G9626" s="14" t="s">
        <v>6145</v>
      </c>
      <c r="H9626" s="1" t="s">
        <v>43</v>
      </c>
      <c r="I9626" s="17">
        <v>40830</v>
      </c>
    </row>
    <row r="9627" spans="1:9">
      <c r="A9627" s="16" t="s">
        <v>13273</v>
      </c>
      <c r="B9627" s="1" t="s">
        <v>2628</v>
      </c>
      <c r="C9627" s="1">
        <v>88</v>
      </c>
      <c r="D9627" s="1" t="s">
        <v>122</v>
      </c>
      <c r="E9627" s="1" t="s">
        <v>10</v>
      </c>
      <c r="F9627" s="1" t="s">
        <v>5091</v>
      </c>
      <c r="G9627" s="14" t="s">
        <v>6145</v>
      </c>
      <c r="H9627" s="1" t="s">
        <v>43</v>
      </c>
      <c r="I9627" s="17">
        <v>42933</v>
      </c>
    </row>
    <row r="9628" spans="1:9">
      <c r="A9628" s="16" t="s">
        <v>13359</v>
      </c>
      <c r="B9628" s="1" t="s">
        <v>2628</v>
      </c>
      <c r="C9628" s="1">
        <v>296</v>
      </c>
      <c r="D9628" s="1" t="s">
        <v>122</v>
      </c>
      <c r="E9628" s="1" t="s">
        <v>10</v>
      </c>
      <c r="F9628" s="1" t="s">
        <v>5091</v>
      </c>
      <c r="G9628" s="14" t="s">
        <v>6145</v>
      </c>
      <c r="H9628" s="1" t="s">
        <v>43</v>
      </c>
      <c r="I9628" s="17">
        <v>40830</v>
      </c>
    </row>
    <row r="9629" spans="1:9">
      <c r="A9629" s="16" t="s">
        <v>13518</v>
      </c>
      <c r="B9629" s="1" t="s">
        <v>2628</v>
      </c>
      <c r="C9629" s="1">
        <v>88</v>
      </c>
      <c r="D9629" s="1" t="s">
        <v>122</v>
      </c>
      <c r="E9629" s="1" t="s">
        <v>10</v>
      </c>
      <c r="F9629" s="1" t="s">
        <v>5091</v>
      </c>
      <c r="G9629" s="14" t="s">
        <v>6236</v>
      </c>
      <c r="H9629" s="1" t="s">
        <v>43</v>
      </c>
      <c r="I9629" s="17">
        <v>42736</v>
      </c>
    </row>
    <row r="9630" spans="1:9">
      <c r="A9630" s="16" t="s">
        <v>13581</v>
      </c>
      <c r="B9630" s="1" t="s">
        <v>2628</v>
      </c>
      <c r="C9630" s="1">
        <v>296</v>
      </c>
      <c r="D9630" s="1" t="s">
        <v>122</v>
      </c>
      <c r="E9630" s="1" t="s">
        <v>10</v>
      </c>
      <c r="F9630" s="1" t="s">
        <v>5091</v>
      </c>
      <c r="G9630" s="14" t="s">
        <v>7403</v>
      </c>
      <c r="H9630" s="1" t="s">
        <v>44</v>
      </c>
      <c r="I9630" s="17">
        <v>43039</v>
      </c>
    </row>
    <row r="9631" spans="1:9">
      <c r="A9631" s="16" t="s">
        <v>13701</v>
      </c>
      <c r="B9631" s="1" t="s">
        <v>2628</v>
      </c>
      <c r="C9631" s="1">
        <v>296</v>
      </c>
      <c r="D9631" s="1" t="s">
        <v>122</v>
      </c>
      <c r="E9631" s="1" t="s">
        <v>10</v>
      </c>
      <c r="F9631" s="1" t="s">
        <v>5091</v>
      </c>
      <c r="G9631" s="14" t="s">
        <v>2387</v>
      </c>
      <c r="H9631" s="1" t="s">
        <v>5</v>
      </c>
      <c r="I9631" s="17">
        <v>43068</v>
      </c>
    </row>
    <row r="9632" spans="1:9">
      <c r="A9632" s="16" t="s">
        <v>13764</v>
      </c>
      <c r="B9632" s="1" t="s">
        <v>2628</v>
      </c>
      <c r="C9632" s="1">
        <v>296</v>
      </c>
      <c r="D9632" s="1" t="s">
        <v>122</v>
      </c>
      <c r="E9632" s="1" t="s">
        <v>10</v>
      </c>
      <c r="F9632" s="1" t="s">
        <v>5091</v>
      </c>
      <c r="G9632" s="14" t="s">
        <v>6145</v>
      </c>
      <c r="H9632" s="1" t="s">
        <v>43</v>
      </c>
      <c r="I9632" s="17">
        <v>43081</v>
      </c>
    </row>
    <row r="9633" spans="1:10">
      <c r="A9633" s="16" t="s">
        <v>13848</v>
      </c>
      <c r="B9633" s="1" t="s">
        <v>2628</v>
      </c>
      <c r="C9633" s="1">
        <v>88</v>
      </c>
      <c r="D9633" s="1" t="s">
        <v>122</v>
      </c>
      <c r="E9633" s="1" t="s">
        <v>10</v>
      </c>
      <c r="F9633" s="1" t="s">
        <v>5091</v>
      </c>
      <c r="G9633" s="14" t="s">
        <v>6145</v>
      </c>
      <c r="H9633" s="1" t="s">
        <v>43</v>
      </c>
      <c r="I9633" s="17">
        <v>40626</v>
      </c>
    </row>
    <row r="9634" spans="1:10">
      <c r="A9634" s="16" t="s">
        <v>13879</v>
      </c>
      <c r="B9634" s="1" t="s">
        <v>2628</v>
      </c>
      <c r="C9634" s="1">
        <v>296</v>
      </c>
      <c r="D9634" s="1" t="s">
        <v>122</v>
      </c>
      <c r="E9634" s="1" t="s">
        <v>10</v>
      </c>
      <c r="F9634" s="1" t="s">
        <v>5091</v>
      </c>
      <c r="G9634" s="14" t="s">
        <v>13880</v>
      </c>
      <c r="H9634" s="1" t="s">
        <v>43</v>
      </c>
      <c r="I9634" s="17">
        <v>43109</v>
      </c>
    </row>
    <row r="9635" spans="1:10">
      <c r="A9635" s="16" t="s">
        <v>13912</v>
      </c>
      <c r="B9635" s="1" t="s">
        <v>2628</v>
      </c>
      <c r="C9635" s="1">
        <v>296</v>
      </c>
      <c r="D9635" s="1" t="s">
        <v>122</v>
      </c>
      <c r="E9635" s="1" t="s">
        <v>10</v>
      </c>
      <c r="F9635" s="1" t="s">
        <v>5091</v>
      </c>
      <c r="G9635" s="14" t="s">
        <v>6145</v>
      </c>
      <c r="H9635" s="1" t="s">
        <v>43</v>
      </c>
      <c r="I9635" s="17">
        <v>41786</v>
      </c>
    </row>
    <row r="9636" spans="1:10">
      <c r="A9636" s="16" t="s">
        <v>13996</v>
      </c>
      <c r="B9636" s="1" t="s">
        <v>2628</v>
      </c>
      <c r="C9636" s="1">
        <v>88</v>
      </c>
      <c r="D9636" s="1" t="s">
        <v>122</v>
      </c>
      <c r="E9636" s="1" t="s">
        <v>10</v>
      </c>
      <c r="F9636" s="1" t="s">
        <v>5091</v>
      </c>
      <c r="G9636" s="14" t="s">
        <v>6145</v>
      </c>
      <c r="H9636" s="1" t="s">
        <v>43</v>
      </c>
      <c r="I9636" s="17">
        <v>40883</v>
      </c>
    </row>
    <row r="9637" spans="1:10">
      <c r="A9637" s="16" t="s">
        <v>14048</v>
      </c>
      <c r="B9637" s="1" t="s">
        <v>2628</v>
      </c>
      <c r="C9637" s="1">
        <v>88</v>
      </c>
      <c r="D9637" s="1" t="s">
        <v>122</v>
      </c>
      <c r="E9637" s="1" t="s">
        <v>10</v>
      </c>
      <c r="F9637" s="1" t="s">
        <v>5091</v>
      </c>
      <c r="G9637" s="14" t="s">
        <v>6145</v>
      </c>
      <c r="H9637" s="1" t="s">
        <v>43</v>
      </c>
      <c r="I9637" s="17">
        <v>40122</v>
      </c>
    </row>
    <row r="9638" spans="1:10">
      <c r="A9638" s="16" t="s">
        <v>14104</v>
      </c>
      <c r="B9638" s="1" t="s">
        <v>2628</v>
      </c>
      <c r="C9638" s="1">
        <v>296</v>
      </c>
      <c r="D9638" s="1" t="s">
        <v>122</v>
      </c>
      <c r="E9638" s="1" t="s">
        <v>10</v>
      </c>
      <c r="F9638" s="1" t="s">
        <v>5091</v>
      </c>
      <c r="G9638" s="14" t="s">
        <v>14105</v>
      </c>
      <c r="H9638" s="1" t="s">
        <v>43</v>
      </c>
      <c r="I9638" s="17">
        <v>38574</v>
      </c>
    </row>
    <row r="9639" spans="1:10">
      <c r="A9639" s="16" t="s">
        <v>14170</v>
      </c>
      <c r="B9639" s="1" t="s">
        <v>2628</v>
      </c>
      <c r="C9639" s="1">
        <v>296</v>
      </c>
      <c r="D9639" s="1" t="s">
        <v>122</v>
      </c>
      <c r="E9639" s="1" t="s">
        <v>10</v>
      </c>
      <c r="F9639" s="1" t="s">
        <v>5091</v>
      </c>
      <c r="G9639" s="14" t="s">
        <v>6186</v>
      </c>
      <c r="H9639" s="1" t="s">
        <v>5</v>
      </c>
      <c r="I9639" s="17">
        <v>43101</v>
      </c>
    </row>
    <row r="9640" spans="1:10">
      <c r="A9640" s="7" t="s">
        <v>14500</v>
      </c>
      <c r="B9640" s="2" t="s">
        <v>2628</v>
      </c>
      <c r="C9640" s="1">
        <v>296</v>
      </c>
      <c r="D9640" s="1" t="s">
        <v>122</v>
      </c>
      <c r="E9640" s="1" t="s">
        <v>10</v>
      </c>
      <c r="F9640" s="2" t="s">
        <v>118</v>
      </c>
      <c r="G9640" s="14" t="s">
        <v>14463</v>
      </c>
      <c r="H9640" s="1" t="s">
        <v>5</v>
      </c>
      <c r="I9640" s="1" t="s">
        <v>5659</v>
      </c>
    </row>
    <row r="9641" spans="1:10">
      <c r="A9641" s="16" t="s">
        <v>14554</v>
      </c>
      <c r="B9641" s="1" t="s">
        <v>2628</v>
      </c>
      <c r="C9641" s="1">
        <v>88</v>
      </c>
      <c r="D9641" s="1" t="s">
        <v>122</v>
      </c>
      <c r="E9641" s="1" t="s">
        <v>10</v>
      </c>
      <c r="F9641" s="1" t="s">
        <v>5091</v>
      </c>
      <c r="G9641" s="14" t="s">
        <v>6145</v>
      </c>
      <c r="H9641" s="1" t="s">
        <v>43</v>
      </c>
      <c r="I9641" s="17">
        <v>43250</v>
      </c>
    </row>
    <row r="9642" spans="1:10">
      <c r="A9642" s="16" t="s">
        <v>14583</v>
      </c>
      <c r="B9642" s="1" t="s">
        <v>2628</v>
      </c>
      <c r="C9642" s="1">
        <v>296</v>
      </c>
      <c r="D9642" s="1" t="s">
        <v>122</v>
      </c>
      <c r="E9642" s="1" t="s">
        <v>10</v>
      </c>
      <c r="F9642" s="1" t="s">
        <v>5091</v>
      </c>
      <c r="G9642" s="14" t="s">
        <v>6307</v>
      </c>
      <c r="H9642" s="1" t="s">
        <v>44</v>
      </c>
      <c r="I9642" s="17">
        <v>36747</v>
      </c>
    </row>
    <row r="9643" spans="1:10">
      <c r="A9643" s="16" t="s">
        <v>15586</v>
      </c>
      <c r="B9643" s="1" t="s">
        <v>2628</v>
      </c>
      <c r="C9643" s="1">
        <v>296</v>
      </c>
      <c r="D9643" s="1" t="s">
        <v>122</v>
      </c>
      <c r="E9643" s="1" t="s">
        <v>10</v>
      </c>
      <c r="F9643" s="1" t="s">
        <v>5091</v>
      </c>
      <c r="G9643" s="14" t="s">
        <v>15587</v>
      </c>
      <c r="H9643" s="1" t="s">
        <v>5</v>
      </c>
      <c r="I9643" s="17">
        <v>38569</v>
      </c>
    </row>
    <row r="9644" spans="1:10">
      <c r="A9644" s="16" t="s">
        <v>15641</v>
      </c>
      <c r="B9644" s="1" t="s">
        <v>2628</v>
      </c>
      <c r="C9644" s="1">
        <v>296</v>
      </c>
      <c r="D9644" s="1" t="s">
        <v>122</v>
      </c>
      <c r="E9644" s="1" t="s">
        <v>10</v>
      </c>
      <c r="F9644" s="1" t="s">
        <v>5091</v>
      </c>
      <c r="G9644" s="14" t="s">
        <v>4458</v>
      </c>
      <c r="H9644" s="1" t="s">
        <v>118</v>
      </c>
      <c r="I9644" s="1" t="s">
        <v>4458</v>
      </c>
    </row>
    <row r="9645" spans="1:10">
      <c r="A9645" s="7" t="s">
        <v>15843</v>
      </c>
      <c r="B9645" s="2" t="s">
        <v>2628</v>
      </c>
      <c r="C9645" s="1">
        <v>296</v>
      </c>
      <c r="D9645" s="1" t="s">
        <v>122</v>
      </c>
      <c r="E9645" s="1" t="s">
        <v>10</v>
      </c>
      <c r="F9645" s="1" t="s">
        <v>5091</v>
      </c>
      <c r="G9645" s="14" t="s">
        <v>6139</v>
      </c>
      <c r="H9645" s="1" t="s">
        <v>43</v>
      </c>
      <c r="I9645" s="1" t="s">
        <v>5801</v>
      </c>
    </row>
    <row r="9646" spans="1:10">
      <c r="A9646" s="7" t="s">
        <v>15906</v>
      </c>
      <c r="B9646" s="2" t="s">
        <v>2628</v>
      </c>
      <c r="C9646" s="1">
        <v>296</v>
      </c>
      <c r="D9646" s="1" t="s">
        <v>122</v>
      </c>
      <c r="E9646" s="1" t="s">
        <v>10</v>
      </c>
      <c r="F9646" s="1" t="s">
        <v>5091</v>
      </c>
      <c r="G9646" s="14" t="s">
        <v>2400</v>
      </c>
      <c r="H9646" s="1" t="s">
        <v>43</v>
      </c>
      <c r="I9646" s="1" t="s">
        <v>4789</v>
      </c>
    </row>
    <row r="9647" spans="1:10">
      <c r="A9647" s="7" t="s">
        <v>16200</v>
      </c>
      <c r="B9647" s="2" t="s">
        <v>2628</v>
      </c>
      <c r="C9647" s="1">
        <v>296</v>
      </c>
      <c r="D9647" s="1" t="s">
        <v>122</v>
      </c>
      <c r="E9647" s="1" t="s">
        <v>10</v>
      </c>
      <c r="F9647" s="1" t="s">
        <v>5091</v>
      </c>
      <c r="G9647" s="14" t="s">
        <v>16194</v>
      </c>
      <c r="H9647" s="1" t="s">
        <v>5</v>
      </c>
      <c r="I9647" s="1" t="s">
        <v>5807</v>
      </c>
      <c r="J9647" s="17"/>
    </row>
    <row r="9648" spans="1:10">
      <c r="A9648" s="7" t="s">
        <v>16274</v>
      </c>
      <c r="B9648" s="2" t="s">
        <v>2628</v>
      </c>
      <c r="C9648" s="1">
        <v>296</v>
      </c>
      <c r="D9648" s="1" t="s">
        <v>122</v>
      </c>
      <c r="E9648" s="1" t="s">
        <v>10</v>
      </c>
      <c r="F9648" s="1" t="s">
        <v>5091</v>
      </c>
      <c r="G9648" s="14" t="s">
        <v>6236</v>
      </c>
      <c r="H9648" s="1" t="s">
        <v>43</v>
      </c>
      <c r="I9648" s="1" t="s">
        <v>5807</v>
      </c>
    </row>
    <row r="9649" spans="1:9">
      <c r="A9649" s="7" t="s">
        <v>16325</v>
      </c>
      <c r="B9649" s="1" t="s">
        <v>2628</v>
      </c>
      <c r="C9649" s="1">
        <v>88</v>
      </c>
      <c r="D9649" s="1" t="s">
        <v>122</v>
      </c>
      <c r="E9649" s="1" t="s">
        <v>10</v>
      </c>
      <c r="F9649" s="1" t="s">
        <v>5091</v>
      </c>
      <c r="G9649" s="1" t="s">
        <v>10705</v>
      </c>
      <c r="H9649" s="1" t="s">
        <v>44</v>
      </c>
      <c r="I9649" s="1" t="s">
        <v>5848</v>
      </c>
    </row>
    <row r="9650" spans="1:9">
      <c r="A9650" s="7" t="s">
        <v>16346</v>
      </c>
      <c r="B9650" s="1" t="s">
        <v>2628</v>
      </c>
      <c r="C9650" s="1">
        <v>88</v>
      </c>
      <c r="D9650" s="1" t="s">
        <v>122</v>
      </c>
      <c r="E9650" s="1" t="s">
        <v>10</v>
      </c>
      <c r="F9650" s="1" t="s">
        <v>5091</v>
      </c>
      <c r="G9650" s="1" t="s">
        <v>10705</v>
      </c>
      <c r="H9650" s="1" t="s">
        <v>44</v>
      </c>
      <c r="I9650" s="1" t="s">
        <v>5848</v>
      </c>
    </row>
    <row r="9651" spans="1:9">
      <c r="A9651" s="7" t="s">
        <v>16359</v>
      </c>
      <c r="B9651" s="1" t="s">
        <v>2628</v>
      </c>
      <c r="C9651" s="1">
        <v>296</v>
      </c>
      <c r="D9651" s="1" t="s">
        <v>122</v>
      </c>
      <c r="E9651" s="1" t="s">
        <v>10</v>
      </c>
      <c r="F9651" s="1" t="s">
        <v>5091</v>
      </c>
      <c r="G9651" s="1" t="s">
        <v>10705</v>
      </c>
      <c r="H9651" s="1" t="s">
        <v>44</v>
      </c>
      <c r="I9651" s="1" t="s">
        <v>5848</v>
      </c>
    </row>
    <row r="9652" spans="1:9">
      <c r="A9652" s="7" t="s">
        <v>16377</v>
      </c>
      <c r="B9652" s="1" t="s">
        <v>2628</v>
      </c>
      <c r="C9652" s="1">
        <v>88</v>
      </c>
      <c r="D9652" s="1" t="s">
        <v>122</v>
      </c>
      <c r="E9652" s="1" t="s">
        <v>10</v>
      </c>
      <c r="F9652" s="1" t="s">
        <v>5091</v>
      </c>
      <c r="G9652" s="1" t="s">
        <v>10705</v>
      </c>
      <c r="H9652" s="1" t="s">
        <v>44</v>
      </c>
      <c r="I9652" s="1" t="s">
        <v>5848</v>
      </c>
    </row>
    <row r="9653" spans="1:9">
      <c r="A9653" s="7" t="s">
        <v>16404</v>
      </c>
      <c r="B9653" s="1" t="s">
        <v>2628</v>
      </c>
      <c r="C9653" s="1">
        <v>88</v>
      </c>
      <c r="D9653" s="1" t="s">
        <v>122</v>
      </c>
      <c r="E9653" s="1" t="s">
        <v>10</v>
      </c>
      <c r="F9653" s="1" t="s">
        <v>5091</v>
      </c>
      <c r="G9653" s="1" t="s">
        <v>10705</v>
      </c>
      <c r="H9653" s="1" t="s">
        <v>44</v>
      </c>
      <c r="I9653" s="1" t="s">
        <v>5483</v>
      </c>
    </row>
    <row r="9654" spans="1:9">
      <c r="A9654" s="7" t="s">
        <v>16434</v>
      </c>
      <c r="B9654" s="1" t="s">
        <v>2628</v>
      </c>
      <c r="C9654" s="1">
        <v>88</v>
      </c>
      <c r="D9654" s="1" t="s">
        <v>122</v>
      </c>
      <c r="E9654" s="1" t="s">
        <v>10</v>
      </c>
      <c r="F9654" s="1" t="s">
        <v>5091</v>
      </c>
      <c r="G9654" s="1" t="s">
        <v>10705</v>
      </c>
      <c r="H9654" s="1" t="s">
        <v>44</v>
      </c>
      <c r="I9654" s="1" t="s">
        <v>5848</v>
      </c>
    </row>
    <row r="9655" spans="1:9">
      <c r="A9655" s="7" t="s">
        <v>16484</v>
      </c>
      <c r="B9655" s="1" t="s">
        <v>2628</v>
      </c>
      <c r="C9655" s="1">
        <v>296</v>
      </c>
      <c r="D9655" s="1" t="s">
        <v>122</v>
      </c>
      <c r="E9655" s="1" t="s">
        <v>10</v>
      </c>
      <c r="F9655" s="1" t="s">
        <v>5091</v>
      </c>
      <c r="G9655" s="1" t="s">
        <v>10705</v>
      </c>
      <c r="H9655" s="1" t="s">
        <v>44</v>
      </c>
      <c r="I9655" s="1" t="s">
        <v>5848</v>
      </c>
    </row>
    <row r="9656" spans="1:9">
      <c r="A9656" s="7" t="s">
        <v>16498</v>
      </c>
      <c r="B9656" s="1" t="s">
        <v>2628</v>
      </c>
      <c r="C9656" s="1">
        <v>296</v>
      </c>
      <c r="D9656" s="1" t="s">
        <v>122</v>
      </c>
      <c r="E9656" s="1" t="s">
        <v>10</v>
      </c>
      <c r="F9656" s="1" t="s">
        <v>5091</v>
      </c>
      <c r="G9656" s="1" t="s">
        <v>10705</v>
      </c>
      <c r="H9656" s="1" t="s">
        <v>44</v>
      </c>
      <c r="I9656" s="1" t="s">
        <v>5848</v>
      </c>
    </row>
    <row r="9657" spans="1:9">
      <c r="A9657" s="7" t="s">
        <v>16504</v>
      </c>
      <c r="B9657" s="1" t="s">
        <v>2628</v>
      </c>
      <c r="C9657" s="1">
        <v>88</v>
      </c>
      <c r="D9657" s="1" t="s">
        <v>122</v>
      </c>
      <c r="E9657" s="1" t="s">
        <v>10</v>
      </c>
      <c r="F9657" s="1" t="s">
        <v>5091</v>
      </c>
      <c r="G9657" s="1" t="s">
        <v>10705</v>
      </c>
      <c r="H9657" s="1" t="s">
        <v>44</v>
      </c>
      <c r="I9657" s="1" t="s">
        <v>5848</v>
      </c>
    </row>
    <row r="9658" spans="1:9">
      <c r="A9658" s="7" t="s">
        <v>16529</v>
      </c>
      <c r="B9658" s="2" t="s">
        <v>2628</v>
      </c>
      <c r="C9658" s="1">
        <v>296</v>
      </c>
      <c r="D9658" s="1" t="s">
        <v>122</v>
      </c>
      <c r="E9658" s="1" t="s">
        <v>10</v>
      </c>
      <c r="F9658" s="1" t="s">
        <v>5091</v>
      </c>
      <c r="G9658" s="22" t="s">
        <v>6181</v>
      </c>
      <c r="H9658" s="2" t="s">
        <v>118</v>
      </c>
      <c r="I9658" s="1" t="s">
        <v>4458</v>
      </c>
    </row>
    <row r="9659" spans="1:9">
      <c r="A9659" s="7" t="s">
        <v>16531</v>
      </c>
      <c r="B9659" s="2" t="s">
        <v>2628</v>
      </c>
      <c r="C9659" s="1">
        <v>296</v>
      </c>
      <c r="D9659" s="1" t="s">
        <v>122</v>
      </c>
      <c r="E9659" s="1" t="s">
        <v>10</v>
      </c>
      <c r="F9659" s="1" t="s">
        <v>5091</v>
      </c>
      <c r="G9659" s="22" t="s">
        <v>6181</v>
      </c>
      <c r="H9659" s="2" t="s">
        <v>118</v>
      </c>
      <c r="I9659" s="1" t="s">
        <v>4458</v>
      </c>
    </row>
    <row r="9660" spans="1:9">
      <c r="A9660" s="7" t="s">
        <v>16748</v>
      </c>
      <c r="B9660" s="2" t="s">
        <v>2628</v>
      </c>
      <c r="C9660" s="1">
        <v>296</v>
      </c>
      <c r="D9660" s="1" t="s">
        <v>122</v>
      </c>
      <c r="E9660" s="1" t="s">
        <v>10</v>
      </c>
      <c r="F9660" s="1" t="s">
        <v>5091</v>
      </c>
      <c r="G9660" s="14" t="s">
        <v>6145</v>
      </c>
      <c r="H9660" s="1" t="s">
        <v>43</v>
      </c>
      <c r="I9660" s="1" t="s">
        <v>5807</v>
      </c>
    </row>
    <row r="9661" spans="1:9">
      <c r="A9661" s="7" t="s">
        <v>16749</v>
      </c>
      <c r="B9661" s="2" t="s">
        <v>2628</v>
      </c>
      <c r="C9661" s="1">
        <v>296</v>
      </c>
      <c r="D9661" s="1" t="s">
        <v>122</v>
      </c>
      <c r="E9661" s="1" t="s">
        <v>10</v>
      </c>
      <c r="F9661" s="1" t="s">
        <v>5091</v>
      </c>
      <c r="G9661" s="14" t="s">
        <v>6145</v>
      </c>
      <c r="H9661" s="1" t="s">
        <v>43</v>
      </c>
      <c r="I9661" s="1" t="s">
        <v>5807</v>
      </c>
    </row>
    <row r="9662" spans="1:9">
      <c r="A9662" s="7" t="s">
        <v>16760</v>
      </c>
      <c r="B9662" s="2" t="s">
        <v>2628</v>
      </c>
      <c r="C9662" s="1">
        <v>88</v>
      </c>
      <c r="D9662" s="1" t="s">
        <v>122</v>
      </c>
      <c r="E9662" s="1" t="s">
        <v>10</v>
      </c>
      <c r="F9662" s="1" t="s">
        <v>5091</v>
      </c>
      <c r="G9662" s="14" t="s">
        <v>6186</v>
      </c>
      <c r="H9662" s="1" t="s">
        <v>5</v>
      </c>
      <c r="I9662" s="1" t="s">
        <v>6844</v>
      </c>
    </row>
    <row r="9663" spans="1:9">
      <c r="A9663" s="7" t="s">
        <v>16822</v>
      </c>
      <c r="B9663" s="2" t="s">
        <v>2628</v>
      </c>
      <c r="C9663" s="1">
        <v>296</v>
      </c>
      <c r="D9663" s="1" t="s">
        <v>122</v>
      </c>
      <c r="E9663" s="1" t="s">
        <v>10</v>
      </c>
      <c r="F9663" s="1" t="s">
        <v>5091</v>
      </c>
      <c r="G9663" s="14" t="s">
        <v>6145</v>
      </c>
      <c r="H9663" s="1" t="s">
        <v>43</v>
      </c>
      <c r="I9663" s="1" t="s">
        <v>5659</v>
      </c>
    </row>
    <row r="9664" spans="1:9">
      <c r="A9664" s="7" t="s">
        <v>16823</v>
      </c>
      <c r="B9664" s="2" t="s">
        <v>2628</v>
      </c>
      <c r="C9664" s="1">
        <v>296</v>
      </c>
      <c r="D9664" s="1" t="s">
        <v>122</v>
      </c>
      <c r="E9664" s="1" t="s">
        <v>10</v>
      </c>
      <c r="F9664" s="1" t="s">
        <v>5091</v>
      </c>
      <c r="G9664" s="14" t="s">
        <v>2400</v>
      </c>
      <c r="H9664" s="1" t="s">
        <v>43</v>
      </c>
      <c r="I9664" s="1" t="s">
        <v>5659</v>
      </c>
    </row>
    <row r="9665" spans="1:9">
      <c r="A9665" s="7" t="s">
        <v>16833</v>
      </c>
      <c r="B9665" s="2" t="s">
        <v>2628</v>
      </c>
      <c r="C9665" s="1">
        <v>296</v>
      </c>
      <c r="D9665" s="1" t="s">
        <v>122</v>
      </c>
      <c r="E9665" s="1" t="s">
        <v>10</v>
      </c>
      <c r="F9665" s="1" t="s">
        <v>5091</v>
      </c>
      <c r="G9665" s="14" t="s">
        <v>6139</v>
      </c>
      <c r="H9665" s="1" t="s">
        <v>43</v>
      </c>
      <c r="I9665" s="1" t="s">
        <v>5807</v>
      </c>
    </row>
    <row r="9666" spans="1:9">
      <c r="A9666" s="16" t="s">
        <v>5437</v>
      </c>
      <c r="B9666" s="1" t="s">
        <v>2628</v>
      </c>
      <c r="C9666" s="1">
        <v>391</v>
      </c>
      <c r="D9666" s="1" t="s">
        <v>165</v>
      </c>
      <c r="E9666" s="1" t="s">
        <v>6</v>
      </c>
      <c r="F9666" s="1" t="s">
        <v>588</v>
      </c>
      <c r="G9666" s="14" t="s">
        <v>27</v>
      </c>
      <c r="H9666" s="1" t="s">
        <v>27</v>
      </c>
      <c r="I9666" s="17">
        <v>42248</v>
      </c>
    </row>
    <row r="9667" spans="1:9">
      <c r="A9667" s="16" t="s">
        <v>5445</v>
      </c>
      <c r="B9667" s="1" t="s">
        <v>2628</v>
      </c>
      <c r="C9667" s="1">
        <v>391</v>
      </c>
      <c r="D9667" s="1" t="s">
        <v>165</v>
      </c>
      <c r="E9667" s="1" t="s">
        <v>6</v>
      </c>
      <c r="F9667" s="1" t="s">
        <v>588</v>
      </c>
      <c r="G9667" s="14" t="s">
        <v>27</v>
      </c>
      <c r="H9667" s="1" t="s">
        <v>27</v>
      </c>
      <c r="I9667" s="17">
        <v>42478</v>
      </c>
    </row>
    <row r="9668" spans="1:9">
      <c r="A9668" s="16" t="s">
        <v>5447</v>
      </c>
      <c r="B9668" s="1" t="s">
        <v>2628</v>
      </c>
      <c r="C9668" s="1">
        <v>391</v>
      </c>
      <c r="D9668" s="1" t="s">
        <v>165</v>
      </c>
      <c r="E9668" s="1" t="s">
        <v>6</v>
      </c>
      <c r="F9668" s="1" t="s">
        <v>588</v>
      </c>
      <c r="G9668" s="14" t="s">
        <v>27</v>
      </c>
      <c r="H9668" s="1" t="s">
        <v>27</v>
      </c>
      <c r="I9668" s="17">
        <v>42524</v>
      </c>
    </row>
    <row r="9669" spans="1:9">
      <c r="A9669" s="7" t="s">
        <v>8106</v>
      </c>
      <c r="B9669" s="1" t="s">
        <v>2628</v>
      </c>
      <c r="C9669" s="1">
        <v>391</v>
      </c>
      <c r="D9669" s="1" t="s">
        <v>165</v>
      </c>
      <c r="E9669" s="1" t="s">
        <v>6</v>
      </c>
      <c r="F9669" s="1" t="s">
        <v>5091</v>
      </c>
      <c r="G9669" s="1" t="s">
        <v>8102</v>
      </c>
      <c r="H9669" s="1" t="s">
        <v>43</v>
      </c>
      <c r="I9669" s="1">
        <v>2004</v>
      </c>
    </row>
    <row r="9670" spans="1:9">
      <c r="A9670" s="7" t="s">
        <v>8147</v>
      </c>
      <c r="B9670" s="1" t="s">
        <v>2628</v>
      </c>
      <c r="C9670" s="1">
        <v>391</v>
      </c>
      <c r="D9670" s="1" t="s">
        <v>165</v>
      </c>
      <c r="E9670" s="1" t="s">
        <v>6</v>
      </c>
      <c r="F9670" s="1" t="s">
        <v>5091</v>
      </c>
      <c r="G9670" s="1" t="s">
        <v>8148</v>
      </c>
      <c r="H9670" s="1" t="s">
        <v>43</v>
      </c>
      <c r="I9670" s="1">
        <v>2004</v>
      </c>
    </row>
    <row r="9671" spans="1:9">
      <c r="A9671" s="16" t="s">
        <v>14065</v>
      </c>
      <c r="B9671" s="1" t="s">
        <v>2628</v>
      </c>
      <c r="C9671" s="1">
        <v>391</v>
      </c>
      <c r="D9671" s="1" t="s">
        <v>165</v>
      </c>
      <c r="E9671" s="1" t="s">
        <v>6</v>
      </c>
      <c r="F9671" s="1" t="s">
        <v>5091</v>
      </c>
      <c r="G9671" s="14" t="s">
        <v>11281</v>
      </c>
      <c r="H9671" s="1" t="s">
        <v>5</v>
      </c>
      <c r="I9671" s="17">
        <v>36342</v>
      </c>
    </row>
    <row r="9672" spans="1:9">
      <c r="A9672" s="16" t="s">
        <v>14066</v>
      </c>
      <c r="B9672" s="1" t="s">
        <v>2628</v>
      </c>
      <c r="C9672" s="1">
        <v>391</v>
      </c>
      <c r="D9672" s="1" t="s">
        <v>165</v>
      </c>
      <c r="E9672" s="1" t="s">
        <v>6</v>
      </c>
      <c r="F9672" s="1" t="s">
        <v>5091</v>
      </c>
      <c r="G9672" s="14" t="s">
        <v>9718</v>
      </c>
      <c r="H9672" s="1" t="s">
        <v>5</v>
      </c>
      <c r="I9672" s="17">
        <v>36342</v>
      </c>
    </row>
    <row r="9673" spans="1:9">
      <c r="A9673" s="16" t="s">
        <v>14067</v>
      </c>
      <c r="B9673" s="1" t="s">
        <v>2628</v>
      </c>
      <c r="C9673" s="1">
        <v>391</v>
      </c>
      <c r="D9673" s="1" t="s">
        <v>165</v>
      </c>
      <c r="E9673" s="1" t="s">
        <v>6</v>
      </c>
      <c r="F9673" s="1" t="s">
        <v>5091</v>
      </c>
      <c r="G9673" s="14" t="s">
        <v>11281</v>
      </c>
      <c r="H9673" s="1" t="s">
        <v>5</v>
      </c>
      <c r="I9673" s="17">
        <v>36342</v>
      </c>
    </row>
    <row r="9674" spans="1:9">
      <c r="A9674" s="16" t="s">
        <v>14068</v>
      </c>
      <c r="B9674" s="1" t="s">
        <v>2628</v>
      </c>
      <c r="C9674" s="1">
        <v>391</v>
      </c>
      <c r="D9674" s="1" t="s">
        <v>165</v>
      </c>
      <c r="E9674" s="1" t="s">
        <v>6</v>
      </c>
      <c r="F9674" s="1" t="s">
        <v>5091</v>
      </c>
      <c r="G9674" s="14" t="s">
        <v>11281</v>
      </c>
      <c r="H9674" s="1" t="s">
        <v>5</v>
      </c>
      <c r="I9674" s="17">
        <v>36342</v>
      </c>
    </row>
    <row r="9675" spans="1:9">
      <c r="A9675" s="16" t="s">
        <v>14071</v>
      </c>
      <c r="B9675" s="1" t="s">
        <v>2628</v>
      </c>
      <c r="C9675" s="1">
        <v>391</v>
      </c>
      <c r="D9675" s="1" t="s">
        <v>165</v>
      </c>
      <c r="E9675" s="1" t="s">
        <v>6</v>
      </c>
      <c r="F9675" s="1" t="s">
        <v>5091</v>
      </c>
      <c r="G9675" s="14" t="s">
        <v>9718</v>
      </c>
      <c r="H9675" s="1" t="s">
        <v>5</v>
      </c>
      <c r="I9675" s="17">
        <v>36342</v>
      </c>
    </row>
    <row r="9676" spans="1:9">
      <c r="A9676" s="7" t="s">
        <v>14022</v>
      </c>
      <c r="B9676" s="1" t="s">
        <v>2629</v>
      </c>
      <c r="C9676" s="1">
        <v>391</v>
      </c>
      <c r="D9676" s="1" t="s">
        <v>165</v>
      </c>
      <c r="E9676" s="1" t="s">
        <v>6</v>
      </c>
      <c r="F9676" s="1" t="s">
        <v>5241</v>
      </c>
      <c r="G9676" s="1" t="s">
        <v>4800</v>
      </c>
      <c r="H9676" s="1" t="s">
        <v>27</v>
      </c>
      <c r="I9676" s="17">
        <v>42278</v>
      </c>
    </row>
    <row r="9677" spans="1:9">
      <c r="A9677" s="7" t="s">
        <v>14265</v>
      </c>
      <c r="B9677" s="1" t="s">
        <v>2629</v>
      </c>
      <c r="C9677" s="1">
        <v>391</v>
      </c>
      <c r="D9677" s="1" t="s">
        <v>165</v>
      </c>
      <c r="E9677" s="1" t="s">
        <v>6</v>
      </c>
      <c r="F9677" s="1" t="s">
        <v>5241</v>
      </c>
      <c r="G9677" s="1" t="s">
        <v>4800</v>
      </c>
      <c r="H9677" s="1" t="s">
        <v>27</v>
      </c>
      <c r="I9677" s="17">
        <v>42278</v>
      </c>
    </row>
    <row r="9678" spans="1:9">
      <c r="A9678" s="7" t="s">
        <v>15570</v>
      </c>
      <c r="B9678" s="1" t="s">
        <v>2629</v>
      </c>
      <c r="C9678" s="1">
        <v>391</v>
      </c>
      <c r="D9678" s="1" t="s">
        <v>165</v>
      </c>
      <c r="E9678" s="1" t="s">
        <v>6</v>
      </c>
      <c r="F9678" s="1" t="s">
        <v>5241</v>
      </c>
      <c r="G9678" s="1" t="s">
        <v>4800</v>
      </c>
      <c r="H9678" s="1" t="s">
        <v>27</v>
      </c>
      <c r="I9678" s="17">
        <v>43344</v>
      </c>
    </row>
    <row r="9679" spans="1:9">
      <c r="A9679" s="7" t="s">
        <v>14839</v>
      </c>
      <c r="B9679" s="1" t="s">
        <v>2629</v>
      </c>
      <c r="C9679" s="1">
        <v>391</v>
      </c>
      <c r="D9679" s="1" t="s">
        <v>165</v>
      </c>
      <c r="E9679" s="1" t="s">
        <v>6</v>
      </c>
      <c r="F9679" s="1" t="s">
        <v>5241</v>
      </c>
      <c r="G9679" s="1" t="s">
        <v>6307</v>
      </c>
      <c r="H9679" s="1" t="s">
        <v>44</v>
      </c>
      <c r="I9679" s="17">
        <v>43160</v>
      </c>
    </row>
    <row r="9680" spans="1:9">
      <c r="A9680" s="7" t="s">
        <v>14886</v>
      </c>
      <c r="B9680" s="1" t="s">
        <v>2629</v>
      </c>
      <c r="C9680" s="1">
        <v>391</v>
      </c>
      <c r="D9680" s="1" t="s">
        <v>165</v>
      </c>
      <c r="E9680" s="1" t="s">
        <v>6</v>
      </c>
      <c r="F9680" s="1" t="s">
        <v>5241</v>
      </c>
      <c r="G9680" s="1" t="s">
        <v>6307</v>
      </c>
      <c r="H9680" s="1" t="s">
        <v>44</v>
      </c>
      <c r="I9680" s="17">
        <v>43160</v>
      </c>
    </row>
    <row r="9681" spans="1:9">
      <c r="A9681" s="7" t="s">
        <v>15220</v>
      </c>
      <c r="B9681" s="1" t="s">
        <v>2629</v>
      </c>
      <c r="C9681" s="1">
        <v>391</v>
      </c>
      <c r="D9681" s="1" t="s">
        <v>165</v>
      </c>
      <c r="E9681" s="1" t="s">
        <v>6</v>
      </c>
      <c r="F9681" s="1" t="s">
        <v>5241</v>
      </c>
      <c r="G9681" s="1" t="s">
        <v>6307</v>
      </c>
      <c r="H9681" s="1" t="s">
        <v>44</v>
      </c>
      <c r="I9681" s="17">
        <v>43132</v>
      </c>
    </row>
    <row r="9682" spans="1:9">
      <c r="A9682" s="7" t="s">
        <v>15382</v>
      </c>
      <c r="B9682" s="1" t="s">
        <v>2629</v>
      </c>
      <c r="C9682" s="1">
        <v>391</v>
      </c>
      <c r="D9682" s="1" t="s">
        <v>165</v>
      </c>
      <c r="E9682" s="1" t="s">
        <v>6</v>
      </c>
      <c r="F9682" s="1" t="s">
        <v>5241</v>
      </c>
      <c r="G9682" s="1" t="s">
        <v>6307</v>
      </c>
      <c r="H9682" s="1" t="s">
        <v>44</v>
      </c>
      <c r="I9682" s="17">
        <v>43313</v>
      </c>
    </row>
    <row r="9683" spans="1:9">
      <c r="A9683" s="7" t="s">
        <v>15628</v>
      </c>
      <c r="B9683" s="1" t="s">
        <v>2629</v>
      </c>
      <c r="C9683" s="1">
        <v>391</v>
      </c>
      <c r="D9683" s="1" t="s">
        <v>165</v>
      </c>
      <c r="E9683" s="1" t="s">
        <v>6</v>
      </c>
      <c r="F9683" s="1" t="s">
        <v>5241</v>
      </c>
      <c r="G9683" s="1" t="s">
        <v>4803</v>
      </c>
      <c r="H9683" s="1" t="s">
        <v>5</v>
      </c>
      <c r="I9683" s="17">
        <v>43344</v>
      </c>
    </row>
    <row r="9684" spans="1:9">
      <c r="A9684" s="16" t="s">
        <v>4914</v>
      </c>
      <c r="B9684" s="1" t="s">
        <v>2628</v>
      </c>
      <c r="C9684" s="1">
        <v>9</v>
      </c>
      <c r="D9684" s="1" t="s">
        <v>19</v>
      </c>
      <c r="E9684" s="1" t="s">
        <v>6</v>
      </c>
      <c r="F9684" s="1" t="s">
        <v>2693</v>
      </c>
      <c r="G9684" s="14" t="s">
        <v>27</v>
      </c>
      <c r="H9684" s="1" t="s">
        <v>27</v>
      </c>
      <c r="I9684" s="17">
        <v>41275</v>
      </c>
    </row>
    <row r="9685" spans="1:9">
      <c r="A9685" s="16" t="s">
        <v>5344</v>
      </c>
      <c r="B9685" s="1" t="s">
        <v>2628</v>
      </c>
      <c r="C9685" s="1">
        <v>9</v>
      </c>
      <c r="D9685" s="1" t="s">
        <v>19</v>
      </c>
      <c r="E9685" s="1" t="s">
        <v>6</v>
      </c>
      <c r="F9685" s="1" t="s">
        <v>2690</v>
      </c>
      <c r="G9685" s="14" t="s">
        <v>27</v>
      </c>
      <c r="H9685" s="1" t="s">
        <v>27</v>
      </c>
      <c r="I9685" s="17">
        <v>40260</v>
      </c>
    </row>
    <row r="9686" spans="1:9">
      <c r="A9686" s="16" t="s">
        <v>5349</v>
      </c>
      <c r="B9686" s="1" t="s">
        <v>2628</v>
      </c>
      <c r="C9686" s="1">
        <v>9</v>
      </c>
      <c r="D9686" s="1" t="s">
        <v>19</v>
      </c>
      <c r="E9686" s="1" t="s">
        <v>6</v>
      </c>
      <c r="F9686" s="1" t="s">
        <v>2690</v>
      </c>
      <c r="G9686" s="14" t="s">
        <v>27</v>
      </c>
      <c r="H9686" s="1" t="s">
        <v>27</v>
      </c>
      <c r="I9686" s="17">
        <v>41572</v>
      </c>
    </row>
    <row r="9687" spans="1:9">
      <c r="A9687" s="16" t="s">
        <v>5350</v>
      </c>
      <c r="B9687" s="1" t="s">
        <v>2628</v>
      </c>
      <c r="C9687" s="1">
        <v>9</v>
      </c>
      <c r="D9687" s="1" t="s">
        <v>19</v>
      </c>
      <c r="E9687" s="1" t="s">
        <v>6</v>
      </c>
      <c r="F9687" s="1" t="s">
        <v>2690</v>
      </c>
      <c r="G9687" s="14" t="s">
        <v>27</v>
      </c>
      <c r="H9687" s="1" t="s">
        <v>27</v>
      </c>
      <c r="I9687" s="17">
        <v>41600</v>
      </c>
    </row>
    <row r="9688" spans="1:9">
      <c r="A9688" s="16" t="s">
        <v>5357</v>
      </c>
      <c r="B9688" s="1" t="s">
        <v>2628</v>
      </c>
      <c r="C9688" s="1">
        <v>9</v>
      </c>
      <c r="D9688" s="1" t="s">
        <v>19</v>
      </c>
      <c r="E9688" s="1" t="s">
        <v>6</v>
      </c>
      <c r="F9688" s="1" t="s">
        <v>2696</v>
      </c>
      <c r="G9688" s="14" t="s">
        <v>27</v>
      </c>
      <c r="H9688" s="1" t="s">
        <v>27</v>
      </c>
      <c r="I9688" s="17">
        <v>40179</v>
      </c>
    </row>
    <row r="9689" spans="1:9">
      <c r="A9689" s="16" t="s">
        <v>5363</v>
      </c>
      <c r="B9689" s="1" t="s">
        <v>2628</v>
      </c>
      <c r="C9689" s="1">
        <v>9</v>
      </c>
      <c r="D9689" s="1" t="s">
        <v>19</v>
      </c>
      <c r="E9689" s="1" t="s">
        <v>6</v>
      </c>
      <c r="F9689" s="1" t="s">
        <v>2696</v>
      </c>
      <c r="G9689" s="14" t="s">
        <v>27</v>
      </c>
      <c r="H9689" s="1" t="s">
        <v>27</v>
      </c>
      <c r="I9689" s="17">
        <v>40544</v>
      </c>
    </row>
    <row r="9690" spans="1:9">
      <c r="A9690" s="16" t="s">
        <v>5385</v>
      </c>
      <c r="B9690" s="1" t="s">
        <v>2628</v>
      </c>
      <c r="C9690" s="1">
        <v>9</v>
      </c>
      <c r="D9690" s="1" t="s">
        <v>19</v>
      </c>
      <c r="E9690" s="1" t="s">
        <v>6</v>
      </c>
      <c r="F9690" s="1" t="s">
        <v>2696</v>
      </c>
      <c r="G9690" s="14" t="s">
        <v>27</v>
      </c>
      <c r="H9690" s="1" t="s">
        <v>27</v>
      </c>
      <c r="I9690" s="17">
        <v>41275</v>
      </c>
    </row>
    <row r="9691" spans="1:9">
      <c r="A9691" s="16" t="s">
        <v>5394</v>
      </c>
      <c r="B9691" s="1" t="s">
        <v>2628</v>
      </c>
      <c r="C9691" s="1">
        <v>9</v>
      </c>
      <c r="D9691" s="1" t="s">
        <v>19</v>
      </c>
      <c r="E9691" s="1" t="s">
        <v>6</v>
      </c>
      <c r="F9691" s="1" t="s">
        <v>2696</v>
      </c>
      <c r="G9691" s="14" t="s">
        <v>27</v>
      </c>
      <c r="H9691" s="1" t="s">
        <v>27</v>
      </c>
      <c r="I9691" s="17">
        <v>41640</v>
      </c>
    </row>
    <row r="9692" spans="1:9">
      <c r="A9692" s="16" t="s">
        <v>5449</v>
      </c>
      <c r="B9692" s="1" t="s">
        <v>2628</v>
      </c>
      <c r="C9692" s="1">
        <v>9</v>
      </c>
      <c r="D9692" s="1" t="s">
        <v>19</v>
      </c>
      <c r="E9692" s="1" t="s">
        <v>6</v>
      </c>
      <c r="F9692" s="1" t="s">
        <v>588</v>
      </c>
      <c r="G9692" s="14" t="s">
        <v>27</v>
      </c>
      <c r="H9692" s="1" t="s">
        <v>27</v>
      </c>
      <c r="I9692" s="17">
        <v>42582</v>
      </c>
    </row>
    <row r="9693" spans="1:9">
      <c r="A9693" s="16" t="s">
        <v>5466</v>
      </c>
      <c r="B9693" s="1" t="s">
        <v>2628</v>
      </c>
      <c r="C9693" s="1">
        <v>9</v>
      </c>
      <c r="D9693" s="1" t="s">
        <v>19</v>
      </c>
      <c r="E9693" s="1" t="s">
        <v>6</v>
      </c>
      <c r="F9693" s="1" t="s">
        <v>2698</v>
      </c>
      <c r="G9693" s="14" t="s">
        <v>27</v>
      </c>
      <c r="H9693" s="1" t="s">
        <v>27</v>
      </c>
      <c r="I9693" s="17">
        <v>40179</v>
      </c>
    </row>
    <row r="9694" spans="1:9">
      <c r="A9694" s="16" t="s">
        <v>5484</v>
      </c>
      <c r="B9694" s="1" t="s">
        <v>2628</v>
      </c>
      <c r="C9694" s="1">
        <v>9</v>
      </c>
      <c r="D9694" s="1" t="s">
        <v>19</v>
      </c>
      <c r="E9694" s="1" t="s">
        <v>6</v>
      </c>
      <c r="F9694" s="1" t="s">
        <v>5485</v>
      </c>
      <c r="G9694" s="14" t="s">
        <v>27</v>
      </c>
      <c r="H9694" s="1" t="s">
        <v>27</v>
      </c>
      <c r="I9694" s="17">
        <v>40544</v>
      </c>
    </row>
    <row r="9695" spans="1:9">
      <c r="A9695" s="16" t="s">
        <v>5486</v>
      </c>
      <c r="B9695" s="1" t="s">
        <v>2628</v>
      </c>
      <c r="C9695" s="1">
        <v>9</v>
      </c>
      <c r="D9695" s="1" t="s">
        <v>19</v>
      </c>
      <c r="E9695" s="1" t="s">
        <v>6</v>
      </c>
      <c r="F9695" s="1" t="s">
        <v>5485</v>
      </c>
      <c r="G9695" s="14" t="s">
        <v>27</v>
      </c>
      <c r="H9695" s="1" t="s">
        <v>27</v>
      </c>
      <c r="I9695" s="17">
        <v>40909</v>
      </c>
    </row>
    <row r="9696" spans="1:9">
      <c r="A9696" s="16" t="s">
        <v>5589</v>
      </c>
      <c r="B9696" s="1" t="s">
        <v>2628</v>
      </c>
      <c r="C9696" s="1">
        <v>9</v>
      </c>
      <c r="D9696" s="1" t="s">
        <v>19</v>
      </c>
      <c r="E9696" s="1" t="s">
        <v>6</v>
      </c>
      <c r="F9696" s="1" t="s">
        <v>2700</v>
      </c>
      <c r="G9696" s="14" t="s">
        <v>27</v>
      </c>
      <c r="H9696" s="1" t="s">
        <v>27</v>
      </c>
      <c r="I9696" s="17">
        <v>41640</v>
      </c>
    </row>
    <row r="9697" spans="1:9">
      <c r="A9697" s="7" t="s">
        <v>5852</v>
      </c>
      <c r="B9697" s="1" t="s">
        <v>2628</v>
      </c>
      <c r="C9697" s="1">
        <v>9</v>
      </c>
      <c r="D9697" s="1" t="s">
        <v>19</v>
      </c>
      <c r="E9697" s="1" t="s">
        <v>6</v>
      </c>
      <c r="F9697" s="1" t="s">
        <v>139</v>
      </c>
      <c r="G9697" s="1" t="s">
        <v>5853</v>
      </c>
      <c r="H9697" s="1" t="s">
        <v>27</v>
      </c>
      <c r="I9697" s="1" t="s">
        <v>5483</v>
      </c>
    </row>
    <row r="9698" spans="1:9">
      <c r="A9698" s="7" t="s">
        <v>5858</v>
      </c>
      <c r="B9698" s="1" t="s">
        <v>2628</v>
      </c>
      <c r="C9698" s="1">
        <v>9</v>
      </c>
      <c r="D9698" s="1" t="s">
        <v>19</v>
      </c>
      <c r="E9698" s="1" t="s">
        <v>6</v>
      </c>
      <c r="F9698" s="1" t="s">
        <v>139</v>
      </c>
      <c r="G9698" s="1" t="s">
        <v>5853</v>
      </c>
      <c r="H9698" s="1" t="s">
        <v>27</v>
      </c>
      <c r="I9698" s="1" t="s">
        <v>5483</v>
      </c>
    </row>
    <row r="9699" spans="1:9">
      <c r="A9699" s="16" t="s">
        <v>6189</v>
      </c>
      <c r="B9699" s="1" t="s">
        <v>2628</v>
      </c>
      <c r="C9699" s="1">
        <v>9</v>
      </c>
      <c r="D9699" s="1" t="s">
        <v>19</v>
      </c>
      <c r="E9699" s="1" t="s">
        <v>6</v>
      </c>
      <c r="F9699" s="1" t="s">
        <v>5091</v>
      </c>
      <c r="G9699" s="14" t="s">
        <v>5853</v>
      </c>
      <c r="H9699" s="1" t="s">
        <v>27</v>
      </c>
      <c r="I9699" s="17">
        <v>41474</v>
      </c>
    </row>
    <row r="9700" spans="1:9">
      <c r="A9700" s="7" t="s">
        <v>6845</v>
      </c>
      <c r="B9700" s="1" t="s">
        <v>2628</v>
      </c>
      <c r="C9700" s="1">
        <v>9</v>
      </c>
      <c r="D9700" s="1" t="s">
        <v>19</v>
      </c>
      <c r="E9700" s="1" t="s">
        <v>6</v>
      </c>
      <c r="F9700" s="1" t="s">
        <v>5091</v>
      </c>
      <c r="G9700" s="1" t="s">
        <v>5853</v>
      </c>
      <c r="H9700" s="1" t="s">
        <v>27</v>
      </c>
      <c r="I9700" s="1" t="s">
        <v>6844</v>
      </c>
    </row>
    <row r="9701" spans="1:9" ht="62.4">
      <c r="A9701" s="16" t="s">
        <v>6846</v>
      </c>
      <c r="B9701" s="1" t="s">
        <v>2628</v>
      </c>
      <c r="C9701" s="1">
        <v>9</v>
      </c>
      <c r="D9701" s="1" t="s">
        <v>19</v>
      </c>
      <c r="E9701" s="1" t="s">
        <v>6</v>
      </c>
      <c r="F9701" s="1" t="s">
        <v>5091</v>
      </c>
      <c r="G9701" s="14" t="s">
        <v>5853</v>
      </c>
      <c r="H9701" s="1" t="s">
        <v>27</v>
      </c>
      <c r="I9701" s="17">
        <v>41528</v>
      </c>
    </row>
    <row r="9702" spans="1:9">
      <c r="A9702" s="7" t="s">
        <v>6847</v>
      </c>
      <c r="B9702" s="1" t="s">
        <v>2628</v>
      </c>
      <c r="C9702" s="1">
        <v>9</v>
      </c>
      <c r="D9702" s="1" t="s">
        <v>19</v>
      </c>
      <c r="E9702" s="1" t="s">
        <v>6</v>
      </c>
      <c r="F9702" s="1" t="s">
        <v>5091</v>
      </c>
      <c r="G9702" s="1" t="s">
        <v>5853</v>
      </c>
      <c r="H9702" s="1" t="s">
        <v>27</v>
      </c>
      <c r="I9702" s="1" t="s">
        <v>6844</v>
      </c>
    </row>
    <row r="9703" spans="1:9">
      <c r="A9703" s="7" t="s">
        <v>6849</v>
      </c>
      <c r="B9703" s="1" t="s">
        <v>2628</v>
      </c>
      <c r="C9703" s="1">
        <v>9</v>
      </c>
      <c r="D9703" s="1" t="s">
        <v>19</v>
      </c>
      <c r="E9703" s="1" t="s">
        <v>6</v>
      </c>
      <c r="F9703" s="1" t="s">
        <v>5091</v>
      </c>
      <c r="G9703" s="1" t="s">
        <v>5853</v>
      </c>
      <c r="H9703" s="1" t="s">
        <v>27</v>
      </c>
      <c r="I9703" s="1" t="s">
        <v>6844</v>
      </c>
    </row>
    <row r="9704" spans="1:9">
      <c r="A9704" s="7" t="s">
        <v>6866</v>
      </c>
      <c r="B9704" s="1" t="s">
        <v>2628</v>
      </c>
      <c r="C9704" s="1">
        <v>9</v>
      </c>
      <c r="D9704" s="1" t="s">
        <v>19</v>
      </c>
      <c r="E9704" s="1" t="s">
        <v>6</v>
      </c>
      <c r="F9704" s="1" t="s">
        <v>5241</v>
      </c>
      <c r="G9704" s="1" t="s">
        <v>4800</v>
      </c>
      <c r="H9704" s="1" t="s">
        <v>27</v>
      </c>
      <c r="I9704" s="1" t="s">
        <v>5855</v>
      </c>
    </row>
    <row r="9705" spans="1:9">
      <c r="A9705" s="16" t="s">
        <v>6886</v>
      </c>
      <c r="B9705" s="1" t="s">
        <v>2628</v>
      </c>
      <c r="C9705" s="1">
        <v>9</v>
      </c>
      <c r="D9705" s="1" t="s">
        <v>19</v>
      </c>
      <c r="E9705" s="1" t="s">
        <v>6</v>
      </c>
      <c r="F9705" s="1" t="s">
        <v>5091</v>
      </c>
      <c r="G9705" s="14" t="s">
        <v>6887</v>
      </c>
      <c r="H9705" s="1" t="s">
        <v>27</v>
      </c>
      <c r="I9705" s="17">
        <v>41628</v>
      </c>
    </row>
    <row r="9706" spans="1:9">
      <c r="A9706" s="7" t="s">
        <v>6906</v>
      </c>
      <c r="B9706" s="1" t="s">
        <v>2628</v>
      </c>
      <c r="C9706" s="1">
        <v>9</v>
      </c>
      <c r="D9706" s="1" t="s">
        <v>19</v>
      </c>
      <c r="E9706" s="1" t="s">
        <v>6</v>
      </c>
      <c r="F9706" s="1" t="s">
        <v>5241</v>
      </c>
      <c r="G9706" s="1" t="s">
        <v>4800</v>
      </c>
      <c r="H9706" s="1" t="s">
        <v>27</v>
      </c>
      <c r="I9706" s="1" t="s">
        <v>5722</v>
      </c>
    </row>
    <row r="9707" spans="1:9">
      <c r="A9707" s="7" t="s">
        <v>6912</v>
      </c>
      <c r="B9707" s="1" t="s">
        <v>2628</v>
      </c>
      <c r="C9707" s="1">
        <v>9</v>
      </c>
      <c r="D9707" s="1" t="s">
        <v>19</v>
      </c>
      <c r="E9707" s="1" t="s">
        <v>6</v>
      </c>
      <c r="F9707" s="1" t="s">
        <v>5091</v>
      </c>
      <c r="G9707" s="1" t="s">
        <v>5853</v>
      </c>
      <c r="H9707" s="1" t="s">
        <v>27</v>
      </c>
      <c r="I9707" s="1" t="s">
        <v>6844</v>
      </c>
    </row>
    <row r="9708" spans="1:9">
      <c r="A9708" s="16" t="s">
        <v>8647</v>
      </c>
      <c r="B9708" s="1" t="s">
        <v>2628</v>
      </c>
      <c r="C9708" s="1">
        <v>9</v>
      </c>
      <c r="D9708" s="1" t="s">
        <v>19</v>
      </c>
      <c r="E9708" s="1" t="s">
        <v>6</v>
      </c>
      <c r="F9708" s="1" t="s">
        <v>5091</v>
      </c>
      <c r="G9708" s="14" t="s">
        <v>5853</v>
      </c>
      <c r="H9708" s="1" t="s">
        <v>27</v>
      </c>
      <c r="I9708" s="17">
        <v>41852</v>
      </c>
    </row>
    <row r="9709" spans="1:9">
      <c r="A9709" s="16" t="s">
        <v>8678</v>
      </c>
      <c r="B9709" s="1" t="s">
        <v>2628</v>
      </c>
      <c r="C9709" s="1">
        <v>9</v>
      </c>
      <c r="D9709" s="1" t="s">
        <v>19</v>
      </c>
      <c r="E9709" s="1" t="s">
        <v>6</v>
      </c>
      <c r="F9709" s="1" t="s">
        <v>2690</v>
      </c>
      <c r="G9709" s="14" t="s">
        <v>27</v>
      </c>
      <c r="H9709" s="1" t="s">
        <v>27</v>
      </c>
      <c r="I9709" s="17">
        <v>41275</v>
      </c>
    </row>
    <row r="9710" spans="1:9">
      <c r="A9710" s="16" t="s">
        <v>8679</v>
      </c>
      <c r="B9710" s="1" t="s">
        <v>2628</v>
      </c>
      <c r="C9710" s="1">
        <v>9</v>
      </c>
      <c r="D9710" s="1" t="s">
        <v>19</v>
      </c>
      <c r="E9710" s="1" t="s">
        <v>6</v>
      </c>
      <c r="F9710" s="1" t="s">
        <v>2690</v>
      </c>
      <c r="G9710" s="14" t="s">
        <v>27</v>
      </c>
      <c r="H9710" s="1" t="s">
        <v>27</v>
      </c>
      <c r="I9710" s="17">
        <v>41640</v>
      </c>
    </row>
    <row r="9711" spans="1:9">
      <c r="A9711" s="16" t="s">
        <v>8691</v>
      </c>
      <c r="B9711" s="1" t="s">
        <v>2628</v>
      </c>
      <c r="C9711" s="1">
        <v>9</v>
      </c>
      <c r="D9711" s="1" t="s">
        <v>19</v>
      </c>
      <c r="E9711" s="1" t="s">
        <v>6</v>
      </c>
      <c r="F9711" s="1" t="s">
        <v>2690</v>
      </c>
      <c r="G9711" s="14" t="s">
        <v>27</v>
      </c>
      <c r="H9711" s="1" t="s">
        <v>27</v>
      </c>
      <c r="I9711" s="17">
        <v>41640</v>
      </c>
    </row>
    <row r="9712" spans="1:9">
      <c r="A9712" s="16" t="s">
        <v>9537</v>
      </c>
      <c r="B9712" s="1" t="s">
        <v>2628</v>
      </c>
      <c r="C9712" s="1">
        <v>9</v>
      </c>
      <c r="D9712" s="1" t="s">
        <v>19</v>
      </c>
      <c r="E9712" s="1" t="s">
        <v>6</v>
      </c>
      <c r="F9712" s="1" t="s">
        <v>5091</v>
      </c>
      <c r="G9712" s="14" t="s">
        <v>5853</v>
      </c>
      <c r="H9712" s="1" t="s">
        <v>27</v>
      </c>
      <c r="I9712" s="17">
        <v>42217</v>
      </c>
    </row>
    <row r="9713" spans="1:9">
      <c r="A9713" s="16" t="s">
        <v>10554</v>
      </c>
      <c r="B9713" s="1" t="s">
        <v>2628</v>
      </c>
      <c r="C9713" s="1">
        <v>9</v>
      </c>
      <c r="D9713" s="1" t="s">
        <v>19</v>
      </c>
      <c r="E9713" s="1" t="s">
        <v>6</v>
      </c>
      <c r="F9713" s="1" t="s">
        <v>5091</v>
      </c>
      <c r="G9713" s="14" t="s">
        <v>5853</v>
      </c>
      <c r="H9713" s="1" t="s">
        <v>27</v>
      </c>
      <c r="I9713" s="17">
        <v>42401</v>
      </c>
    </row>
    <row r="9714" spans="1:9">
      <c r="A9714" s="16" t="s">
        <v>10684</v>
      </c>
      <c r="B9714" s="1" t="s">
        <v>2628</v>
      </c>
      <c r="C9714" s="1">
        <v>9</v>
      </c>
      <c r="D9714" s="1" t="s">
        <v>19</v>
      </c>
      <c r="E9714" s="1" t="s">
        <v>6</v>
      </c>
      <c r="F9714" s="1" t="s">
        <v>2693</v>
      </c>
      <c r="G9714" s="14" t="s">
        <v>4800</v>
      </c>
      <c r="H9714" s="1" t="s">
        <v>27</v>
      </c>
      <c r="I9714" s="17">
        <v>42370</v>
      </c>
    </row>
    <row r="9715" spans="1:9">
      <c r="A9715" s="16" t="s">
        <v>10685</v>
      </c>
      <c r="B9715" s="1" t="s">
        <v>2628</v>
      </c>
      <c r="C9715" s="1">
        <v>9</v>
      </c>
      <c r="D9715" s="1" t="s">
        <v>19</v>
      </c>
      <c r="E9715" s="1" t="s">
        <v>6</v>
      </c>
      <c r="F9715" s="1" t="s">
        <v>2693</v>
      </c>
      <c r="G9715" s="14" t="s">
        <v>4800</v>
      </c>
      <c r="H9715" s="1" t="s">
        <v>27</v>
      </c>
      <c r="I9715" s="17">
        <v>42370</v>
      </c>
    </row>
    <row r="9716" spans="1:9">
      <c r="A9716" s="16" t="s">
        <v>10686</v>
      </c>
      <c r="B9716" s="1" t="s">
        <v>2628</v>
      </c>
      <c r="C9716" s="1">
        <v>9</v>
      </c>
      <c r="D9716" s="1" t="s">
        <v>19</v>
      </c>
      <c r="E9716" s="1" t="s">
        <v>6</v>
      </c>
      <c r="F9716" s="1" t="s">
        <v>2693</v>
      </c>
      <c r="G9716" s="14" t="s">
        <v>4800</v>
      </c>
      <c r="H9716" s="1" t="s">
        <v>27</v>
      </c>
      <c r="I9716" s="17">
        <v>42370</v>
      </c>
    </row>
    <row r="9717" spans="1:9">
      <c r="A9717" s="16" t="s">
        <v>10687</v>
      </c>
      <c r="B9717" s="1" t="s">
        <v>2628</v>
      </c>
      <c r="C9717" s="1">
        <v>9</v>
      </c>
      <c r="D9717" s="1" t="s">
        <v>19</v>
      </c>
      <c r="E9717" s="1" t="s">
        <v>6</v>
      </c>
      <c r="F9717" s="1" t="s">
        <v>2693</v>
      </c>
      <c r="G9717" s="14" t="s">
        <v>4800</v>
      </c>
      <c r="H9717" s="1" t="s">
        <v>27</v>
      </c>
      <c r="I9717" s="17">
        <v>42370</v>
      </c>
    </row>
    <row r="9718" spans="1:9">
      <c r="A9718" s="16" t="s">
        <v>10714</v>
      </c>
      <c r="B9718" s="1" t="s">
        <v>2628</v>
      </c>
      <c r="C9718" s="1">
        <v>9</v>
      </c>
      <c r="D9718" s="1" t="s">
        <v>19</v>
      </c>
      <c r="E9718" s="1" t="s">
        <v>6</v>
      </c>
      <c r="F9718" s="1" t="s">
        <v>5033</v>
      </c>
      <c r="G9718" s="14" t="s">
        <v>10715</v>
      </c>
      <c r="H9718" s="1" t="s">
        <v>27</v>
      </c>
      <c r="I9718" s="17">
        <v>39814</v>
      </c>
    </row>
    <row r="9719" spans="1:9">
      <c r="A9719" s="16" t="s">
        <v>11155</v>
      </c>
      <c r="B9719" s="1" t="s">
        <v>2628</v>
      </c>
      <c r="C9719" s="1">
        <v>9</v>
      </c>
      <c r="D9719" s="1" t="s">
        <v>19</v>
      </c>
      <c r="E9719" s="1" t="s">
        <v>6</v>
      </c>
      <c r="F9719" s="1" t="s">
        <v>2698</v>
      </c>
      <c r="G9719" s="14" t="s">
        <v>4800</v>
      </c>
      <c r="H9719" s="1" t="s">
        <v>27</v>
      </c>
      <c r="I9719" s="17">
        <v>40179</v>
      </c>
    </row>
    <row r="9720" spans="1:9">
      <c r="A9720" s="16" t="s">
        <v>11483</v>
      </c>
      <c r="B9720" s="1" t="s">
        <v>2628</v>
      </c>
      <c r="C9720" s="1">
        <v>9</v>
      </c>
      <c r="D9720" s="1" t="s">
        <v>19</v>
      </c>
      <c r="E9720" s="1" t="s">
        <v>6</v>
      </c>
      <c r="F9720" s="1" t="s">
        <v>5241</v>
      </c>
      <c r="G9720" s="14" t="s">
        <v>4800</v>
      </c>
      <c r="H9720" s="1" t="s">
        <v>27</v>
      </c>
      <c r="I9720" s="17">
        <v>41334</v>
      </c>
    </row>
    <row r="9721" spans="1:9">
      <c r="A9721" s="16" t="s">
        <v>11486</v>
      </c>
      <c r="B9721" s="1" t="s">
        <v>2628</v>
      </c>
      <c r="C9721" s="1">
        <v>9</v>
      </c>
      <c r="D9721" s="1" t="s">
        <v>19</v>
      </c>
      <c r="E9721" s="1" t="s">
        <v>6</v>
      </c>
      <c r="F9721" s="1" t="s">
        <v>5241</v>
      </c>
      <c r="G9721" s="14" t="s">
        <v>4800</v>
      </c>
      <c r="H9721" s="1" t="s">
        <v>27</v>
      </c>
      <c r="I9721" s="17">
        <v>41365</v>
      </c>
    </row>
    <row r="9722" spans="1:9">
      <c r="A9722" s="16" t="s">
        <v>11537</v>
      </c>
      <c r="B9722" s="1" t="s">
        <v>2628</v>
      </c>
      <c r="C9722" s="1">
        <v>9</v>
      </c>
      <c r="D9722" s="1" t="s">
        <v>19</v>
      </c>
      <c r="E9722" s="1" t="s">
        <v>6</v>
      </c>
      <c r="F9722" s="1" t="s">
        <v>5241</v>
      </c>
      <c r="G9722" s="14" t="s">
        <v>4800</v>
      </c>
      <c r="H9722" s="1" t="s">
        <v>27</v>
      </c>
      <c r="I9722" s="17">
        <v>41426</v>
      </c>
    </row>
    <row r="9723" spans="1:9">
      <c r="A9723" s="16" t="s">
        <v>11566</v>
      </c>
      <c r="B9723" s="1" t="s">
        <v>2628</v>
      </c>
      <c r="C9723" s="1">
        <v>9</v>
      </c>
      <c r="D9723" s="1" t="s">
        <v>19</v>
      </c>
      <c r="E9723" s="1" t="s">
        <v>6</v>
      </c>
      <c r="F9723" s="1" t="s">
        <v>5241</v>
      </c>
      <c r="G9723" s="14" t="s">
        <v>4800</v>
      </c>
      <c r="H9723" s="1" t="s">
        <v>27</v>
      </c>
      <c r="I9723" s="17">
        <v>40483</v>
      </c>
    </row>
    <row r="9724" spans="1:9">
      <c r="A9724" s="16" t="s">
        <v>12034</v>
      </c>
      <c r="B9724" s="1" t="s">
        <v>2628</v>
      </c>
      <c r="C9724" s="1">
        <v>9</v>
      </c>
      <c r="D9724" s="1" t="s">
        <v>19</v>
      </c>
      <c r="E9724" s="1" t="s">
        <v>6</v>
      </c>
      <c r="F9724" s="1" t="s">
        <v>5091</v>
      </c>
      <c r="G9724" s="14" t="s">
        <v>5853</v>
      </c>
      <c r="H9724" s="1" t="s">
        <v>27</v>
      </c>
      <c r="I9724" s="17">
        <v>42614</v>
      </c>
    </row>
    <row r="9725" spans="1:9">
      <c r="A9725" s="16" t="s">
        <v>12059</v>
      </c>
      <c r="B9725" s="1" t="s">
        <v>2628</v>
      </c>
      <c r="C9725" s="1">
        <v>9</v>
      </c>
      <c r="D9725" s="1" t="s">
        <v>19</v>
      </c>
      <c r="E9725" s="1" t="s">
        <v>6</v>
      </c>
      <c r="F9725" s="1" t="s">
        <v>2693</v>
      </c>
      <c r="G9725" s="14" t="s">
        <v>4800</v>
      </c>
      <c r="H9725" s="1" t="s">
        <v>27</v>
      </c>
      <c r="I9725" s="17">
        <v>42370</v>
      </c>
    </row>
    <row r="9726" spans="1:9">
      <c r="A9726" s="16" t="s">
        <v>12060</v>
      </c>
      <c r="B9726" s="1" t="s">
        <v>2628</v>
      </c>
      <c r="C9726" s="1">
        <v>9</v>
      </c>
      <c r="D9726" s="1" t="s">
        <v>19</v>
      </c>
      <c r="E9726" s="1" t="s">
        <v>6</v>
      </c>
      <c r="F9726" s="1" t="s">
        <v>2693</v>
      </c>
      <c r="G9726" s="14" t="s">
        <v>4800</v>
      </c>
      <c r="H9726" s="1" t="s">
        <v>27</v>
      </c>
      <c r="I9726" s="17">
        <v>42370</v>
      </c>
    </row>
    <row r="9727" spans="1:9">
      <c r="A9727" s="16" t="s">
        <v>12083</v>
      </c>
      <c r="B9727" s="1" t="s">
        <v>2628</v>
      </c>
      <c r="C9727" s="1">
        <v>9</v>
      </c>
      <c r="D9727" s="1" t="s">
        <v>19</v>
      </c>
      <c r="E9727" s="1" t="s">
        <v>6</v>
      </c>
      <c r="F9727" s="1" t="s">
        <v>5091</v>
      </c>
      <c r="G9727" s="14" t="s">
        <v>27</v>
      </c>
      <c r="H9727" s="1" t="s">
        <v>27</v>
      </c>
      <c r="I9727" s="1" t="s">
        <v>4458</v>
      </c>
    </row>
    <row r="9728" spans="1:9">
      <c r="A9728" s="16" t="s">
        <v>13843</v>
      </c>
      <c r="B9728" s="1" t="s">
        <v>2628</v>
      </c>
      <c r="C9728" s="1">
        <v>1113</v>
      </c>
      <c r="D9728" s="1" t="s">
        <v>19</v>
      </c>
      <c r="E9728" s="1" t="s">
        <v>6</v>
      </c>
      <c r="F9728" s="1" t="s">
        <v>5091</v>
      </c>
      <c r="G9728" s="14" t="s">
        <v>5853</v>
      </c>
      <c r="H9728" s="1" t="s">
        <v>27</v>
      </c>
      <c r="I9728" s="17">
        <v>43101</v>
      </c>
    </row>
    <row r="9729" spans="1:9">
      <c r="A9729" s="16" t="s">
        <v>13962</v>
      </c>
      <c r="B9729" s="1" t="s">
        <v>2628</v>
      </c>
      <c r="C9729" s="1">
        <v>9</v>
      </c>
      <c r="D9729" s="1" t="s">
        <v>19</v>
      </c>
      <c r="E9729" s="1" t="s">
        <v>6</v>
      </c>
      <c r="F9729" s="1" t="s">
        <v>5091</v>
      </c>
      <c r="G9729" s="14" t="s">
        <v>5853</v>
      </c>
      <c r="H9729" s="1" t="s">
        <v>27</v>
      </c>
      <c r="I9729" s="17">
        <v>43101</v>
      </c>
    </row>
    <row r="9730" spans="1:9">
      <c r="A9730" s="16" t="s">
        <v>14016</v>
      </c>
      <c r="B9730" s="1" t="s">
        <v>2628</v>
      </c>
      <c r="C9730" s="1">
        <v>9</v>
      </c>
      <c r="D9730" s="1" t="s">
        <v>19</v>
      </c>
      <c r="E9730" s="1" t="s">
        <v>6</v>
      </c>
      <c r="F9730" s="1" t="s">
        <v>5241</v>
      </c>
      <c r="G9730" s="14" t="s">
        <v>4800</v>
      </c>
      <c r="H9730" s="1" t="s">
        <v>27</v>
      </c>
      <c r="I9730" s="17">
        <v>41518</v>
      </c>
    </row>
    <row r="9731" spans="1:9">
      <c r="A9731" s="16" t="s">
        <v>14024</v>
      </c>
      <c r="B9731" s="1" t="s">
        <v>2628</v>
      </c>
      <c r="C9731" s="1">
        <v>9</v>
      </c>
      <c r="D9731" s="1" t="s">
        <v>19</v>
      </c>
      <c r="E9731" s="1" t="s">
        <v>6</v>
      </c>
      <c r="F9731" s="1" t="s">
        <v>5241</v>
      </c>
      <c r="G9731" s="14" t="s">
        <v>4800</v>
      </c>
      <c r="H9731" s="1" t="s">
        <v>27</v>
      </c>
      <c r="I9731" s="17">
        <v>42370</v>
      </c>
    </row>
    <row r="9732" spans="1:9">
      <c r="A9732" s="16" t="s">
        <v>14032</v>
      </c>
      <c r="B9732" s="1" t="s">
        <v>2628</v>
      </c>
      <c r="C9732" s="1">
        <v>9</v>
      </c>
      <c r="D9732" s="1" t="s">
        <v>19</v>
      </c>
      <c r="E9732" s="1" t="s">
        <v>6</v>
      </c>
      <c r="F9732" s="1" t="s">
        <v>5241</v>
      </c>
      <c r="G9732" s="14" t="s">
        <v>4800</v>
      </c>
      <c r="H9732" s="1" t="s">
        <v>27</v>
      </c>
      <c r="I9732" s="17">
        <v>41487</v>
      </c>
    </row>
    <row r="9733" spans="1:9">
      <c r="A9733" s="16" t="s">
        <v>14234</v>
      </c>
      <c r="B9733" s="1" t="s">
        <v>2628</v>
      </c>
      <c r="C9733" s="1">
        <v>9</v>
      </c>
      <c r="D9733" s="1" t="s">
        <v>19</v>
      </c>
      <c r="E9733" s="1" t="s">
        <v>6</v>
      </c>
      <c r="F9733" s="1" t="s">
        <v>5241</v>
      </c>
      <c r="G9733" s="14" t="s">
        <v>4800</v>
      </c>
      <c r="H9733" s="1" t="s">
        <v>27</v>
      </c>
      <c r="I9733" s="17">
        <v>42917</v>
      </c>
    </row>
    <row r="9734" spans="1:9">
      <c r="A9734" s="16" t="s">
        <v>14266</v>
      </c>
      <c r="B9734" s="1" t="s">
        <v>2628</v>
      </c>
      <c r="C9734" s="1">
        <v>9</v>
      </c>
      <c r="D9734" s="1" t="s">
        <v>19</v>
      </c>
      <c r="E9734" s="1" t="s">
        <v>6</v>
      </c>
      <c r="F9734" s="1" t="s">
        <v>5241</v>
      </c>
      <c r="G9734" s="14" t="s">
        <v>4800</v>
      </c>
      <c r="H9734" s="1" t="s">
        <v>27</v>
      </c>
      <c r="I9734" s="17">
        <v>42186</v>
      </c>
    </row>
    <row r="9735" spans="1:9">
      <c r="A9735" s="16" t="s">
        <v>14284</v>
      </c>
      <c r="B9735" s="1" t="s">
        <v>2628</v>
      </c>
      <c r="C9735" s="1">
        <v>9</v>
      </c>
      <c r="D9735" s="1" t="s">
        <v>19</v>
      </c>
      <c r="E9735" s="1" t="s">
        <v>6</v>
      </c>
      <c r="F9735" s="1" t="s">
        <v>5241</v>
      </c>
      <c r="G9735" s="14" t="s">
        <v>4800</v>
      </c>
      <c r="H9735" s="1" t="s">
        <v>27</v>
      </c>
      <c r="I9735" s="17">
        <v>42979</v>
      </c>
    </row>
    <row r="9736" spans="1:9">
      <c r="A9736" s="7" t="s">
        <v>14440</v>
      </c>
      <c r="B9736" s="2" t="s">
        <v>2628</v>
      </c>
      <c r="C9736" s="1">
        <v>9</v>
      </c>
      <c r="D9736" s="1" t="s">
        <v>19</v>
      </c>
      <c r="E9736" s="1" t="s">
        <v>6</v>
      </c>
      <c r="F9736" s="2" t="s">
        <v>118</v>
      </c>
      <c r="G9736" s="14" t="s">
        <v>4800</v>
      </c>
      <c r="H9736" s="1" t="s">
        <v>27</v>
      </c>
      <c r="I9736" s="1" t="s">
        <v>5659</v>
      </c>
    </row>
    <row r="9737" spans="1:9">
      <c r="A9737" s="16" t="s">
        <v>14697</v>
      </c>
      <c r="B9737" s="1" t="s">
        <v>2628</v>
      </c>
      <c r="C9737" s="1">
        <v>1113</v>
      </c>
      <c r="D9737" s="1" t="s">
        <v>19</v>
      </c>
      <c r="E9737" s="1" t="s">
        <v>6</v>
      </c>
      <c r="F9737" s="1" t="s">
        <v>5091</v>
      </c>
      <c r="G9737" s="14" t="s">
        <v>5853</v>
      </c>
      <c r="H9737" s="1" t="s">
        <v>27</v>
      </c>
      <c r="I9737" s="17">
        <v>43313</v>
      </c>
    </row>
    <row r="9738" spans="1:9">
      <c r="A9738" s="7" t="s">
        <v>5505</v>
      </c>
      <c r="B9738" s="1" t="s">
        <v>2629</v>
      </c>
      <c r="C9738" s="1">
        <v>9</v>
      </c>
      <c r="D9738" s="1" t="s">
        <v>19</v>
      </c>
      <c r="E9738" s="1" t="s">
        <v>6</v>
      </c>
      <c r="F9738" s="1" t="s">
        <v>2699</v>
      </c>
      <c r="G9738" s="1" t="s">
        <v>4800</v>
      </c>
      <c r="H9738" s="1" t="s">
        <v>27</v>
      </c>
      <c r="I9738" s="17">
        <v>40179</v>
      </c>
    </row>
    <row r="9739" spans="1:9">
      <c r="A9739" s="7" t="s">
        <v>5514</v>
      </c>
      <c r="B9739" s="1" t="s">
        <v>2629</v>
      </c>
      <c r="C9739" s="1">
        <v>9</v>
      </c>
      <c r="D9739" s="1" t="s">
        <v>19</v>
      </c>
      <c r="E9739" s="1" t="s">
        <v>6</v>
      </c>
      <c r="F9739" s="1" t="s">
        <v>2699</v>
      </c>
      <c r="G9739" s="1" t="s">
        <v>4800</v>
      </c>
      <c r="H9739" s="1" t="s">
        <v>27</v>
      </c>
      <c r="I9739" s="17">
        <v>40544</v>
      </c>
    </row>
    <row r="9740" spans="1:9">
      <c r="A9740" s="7" t="s">
        <v>5960</v>
      </c>
      <c r="B9740" s="1" t="s">
        <v>2629</v>
      </c>
      <c r="C9740" s="1">
        <v>9</v>
      </c>
      <c r="D9740" s="1" t="s">
        <v>19</v>
      </c>
      <c r="E9740" s="1" t="s">
        <v>6</v>
      </c>
      <c r="F9740" s="1" t="s">
        <v>2360</v>
      </c>
      <c r="G9740" s="1" t="s">
        <v>5308</v>
      </c>
      <c r="H9740" s="1" t="s">
        <v>27</v>
      </c>
      <c r="I9740" s="1" t="s">
        <v>5801</v>
      </c>
    </row>
    <row r="9741" spans="1:9">
      <c r="A9741" s="7" t="s">
        <v>6119</v>
      </c>
      <c r="B9741" s="1" t="s">
        <v>2629</v>
      </c>
      <c r="C9741" s="1">
        <v>9</v>
      </c>
      <c r="D9741" s="1" t="s">
        <v>19</v>
      </c>
      <c r="E9741" s="1" t="s">
        <v>6</v>
      </c>
      <c r="F9741" s="1" t="s">
        <v>2699</v>
      </c>
      <c r="G9741" s="1" t="s">
        <v>6108</v>
      </c>
      <c r="H9741" s="1" t="s">
        <v>27</v>
      </c>
      <c r="I9741" s="17">
        <v>38718</v>
      </c>
    </row>
    <row r="9742" spans="1:9">
      <c r="A9742" s="7" t="s">
        <v>6120</v>
      </c>
      <c r="B9742" s="1" t="s">
        <v>2629</v>
      </c>
      <c r="C9742" s="1">
        <v>9</v>
      </c>
      <c r="D9742" s="1" t="s">
        <v>19</v>
      </c>
      <c r="E9742" s="1" t="s">
        <v>6</v>
      </c>
      <c r="F9742" s="1" t="s">
        <v>2699</v>
      </c>
      <c r="G9742" s="1" t="s">
        <v>6110</v>
      </c>
      <c r="H9742" s="1" t="s">
        <v>27</v>
      </c>
      <c r="I9742" s="17">
        <v>38718</v>
      </c>
    </row>
    <row r="9743" spans="1:9">
      <c r="A9743" s="7" t="s">
        <v>6491</v>
      </c>
      <c r="B9743" s="1" t="s">
        <v>2629</v>
      </c>
      <c r="C9743" s="1">
        <v>9</v>
      </c>
      <c r="D9743" s="1" t="s">
        <v>19</v>
      </c>
      <c r="E9743" s="1" t="s">
        <v>6</v>
      </c>
      <c r="F9743" s="1" t="s">
        <v>5241</v>
      </c>
      <c r="G9743" s="1" t="s">
        <v>4800</v>
      </c>
      <c r="H9743" s="1" t="s">
        <v>27</v>
      </c>
      <c r="I9743" s="1" t="s">
        <v>5807</v>
      </c>
    </row>
    <row r="9744" spans="1:9">
      <c r="A9744" s="7" t="s">
        <v>6594</v>
      </c>
      <c r="B9744" s="1" t="s">
        <v>2629</v>
      </c>
      <c r="C9744" s="1">
        <v>9</v>
      </c>
      <c r="D9744" s="1" t="s">
        <v>19</v>
      </c>
      <c r="E9744" s="1" t="s">
        <v>6</v>
      </c>
      <c r="F9744" s="1" t="s">
        <v>5241</v>
      </c>
      <c r="G9744" s="1" t="s">
        <v>4800</v>
      </c>
      <c r="H9744" s="1" t="s">
        <v>27</v>
      </c>
      <c r="I9744" s="1" t="s">
        <v>5807</v>
      </c>
    </row>
    <row r="9745" spans="1:9">
      <c r="A9745" s="7" t="s">
        <v>6678</v>
      </c>
      <c r="B9745" s="1" t="s">
        <v>2629</v>
      </c>
      <c r="C9745" s="1">
        <v>9</v>
      </c>
      <c r="D9745" s="1" t="s">
        <v>19</v>
      </c>
      <c r="E9745" s="1" t="s">
        <v>6</v>
      </c>
      <c r="F9745" s="1" t="s">
        <v>5241</v>
      </c>
      <c r="G9745" s="1" t="s">
        <v>4800</v>
      </c>
      <c r="H9745" s="1" t="s">
        <v>27</v>
      </c>
      <c r="I9745" s="1" t="s">
        <v>5807</v>
      </c>
    </row>
    <row r="9746" spans="1:9">
      <c r="A9746" s="7" t="s">
        <v>6708</v>
      </c>
      <c r="B9746" s="1" t="s">
        <v>2629</v>
      </c>
      <c r="C9746" s="1">
        <v>9</v>
      </c>
      <c r="D9746" s="1" t="s">
        <v>19</v>
      </c>
      <c r="E9746" s="1" t="s">
        <v>6</v>
      </c>
      <c r="F9746" s="1" t="s">
        <v>5241</v>
      </c>
      <c r="G9746" s="1" t="s">
        <v>4800</v>
      </c>
      <c r="H9746" s="1" t="s">
        <v>27</v>
      </c>
      <c r="I9746" s="1" t="s">
        <v>5722</v>
      </c>
    </row>
    <row r="9747" spans="1:9">
      <c r="A9747" s="7" t="s">
        <v>6856</v>
      </c>
      <c r="B9747" s="1" t="s">
        <v>2629</v>
      </c>
      <c r="C9747" s="1">
        <v>9</v>
      </c>
      <c r="D9747" s="1" t="s">
        <v>19</v>
      </c>
      <c r="E9747" s="1" t="s">
        <v>6</v>
      </c>
      <c r="F9747" s="1" t="s">
        <v>5241</v>
      </c>
      <c r="G9747" s="1" t="s">
        <v>4800</v>
      </c>
      <c r="H9747" s="1" t="s">
        <v>27</v>
      </c>
      <c r="I9747" s="1" t="s">
        <v>5855</v>
      </c>
    </row>
    <row r="9748" spans="1:9">
      <c r="A9748" s="7" t="s">
        <v>6867</v>
      </c>
      <c r="B9748" s="1" t="s">
        <v>2629</v>
      </c>
      <c r="C9748" s="1">
        <v>9</v>
      </c>
      <c r="D9748" s="1" t="s">
        <v>19</v>
      </c>
      <c r="E9748" s="1" t="s">
        <v>6</v>
      </c>
      <c r="F9748" s="1" t="s">
        <v>5241</v>
      </c>
      <c r="G9748" s="1" t="s">
        <v>4800</v>
      </c>
      <c r="H9748" s="1" t="s">
        <v>27</v>
      </c>
      <c r="I9748" s="1" t="s">
        <v>5855</v>
      </c>
    </row>
    <row r="9749" spans="1:9">
      <c r="A9749" s="7" t="s">
        <v>6890</v>
      </c>
      <c r="B9749" s="1" t="s">
        <v>2629</v>
      </c>
      <c r="C9749" s="1">
        <v>9</v>
      </c>
      <c r="D9749" s="1" t="s">
        <v>19</v>
      </c>
      <c r="E9749" s="1" t="s">
        <v>6</v>
      </c>
      <c r="F9749" s="1" t="s">
        <v>5241</v>
      </c>
      <c r="G9749" s="1" t="s">
        <v>4800</v>
      </c>
      <c r="H9749" s="1" t="s">
        <v>27</v>
      </c>
      <c r="I9749" s="1" t="s">
        <v>5722</v>
      </c>
    </row>
    <row r="9750" spans="1:9">
      <c r="A9750" s="7" t="s">
        <v>6918</v>
      </c>
      <c r="B9750" s="1" t="s">
        <v>2629</v>
      </c>
      <c r="C9750" s="1">
        <v>9</v>
      </c>
      <c r="D9750" s="1" t="s">
        <v>19</v>
      </c>
      <c r="E9750" s="1" t="s">
        <v>6</v>
      </c>
      <c r="F9750" s="1" t="s">
        <v>5241</v>
      </c>
      <c r="G9750" s="1" t="s">
        <v>4800</v>
      </c>
      <c r="H9750" s="1" t="s">
        <v>27</v>
      </c>
      <c r="I9750" s="1" t="s">
        <v>5722</v>
      </c>
    </row>
    <row r="9751" spans="1:9">
      <c r="A9751" s="7" t="s">
        <v>7226</v>
      </c>
      <c r="B9751" s="1" t="s">
        <v>2629</v>
      </c>
      <c r="C9751" s="1">
        <v>9</v>
      </c>
      <c r="D9751" s="1" t="s">
        <v>19</v>
      </c>
      <c r="E9751" s="1" t="s">
        <v>6</v>
      </c>
      <c r="F9751" s="1" t="s">
        <v>5241</v>
      </c>
      <c r="G9751" s="1" t="s">
        <v>4800</v>
      </c>
      <c r="H9751" s="1" t="s">
        <v>27</v>
      </c>
      <c r="I9751" s="1" t="s">
        <v>6090</v>
      </c>
    </row>
    <row r="9752" spans="1:9">
      <c r="A9752" s="7" t="s">
        <v>11508</v>
      </c>
      <c r="B9752" s="1" t="s">
        <v>2629</v>
      </c>
      <c r="C9752" s="1">
        <v>9</v>
      </c>
      <c r="D9752" s="1" t="s">
        <v>19</v>
      </c>
      <c r="E9752" s="1" t="s">
        <v>6</v>
      </c>
      <c r="F9752" s="1" t="s">
        <v>5241</v>
      </c>
      <c r="G9752" s="1" t="s">
        <v>4800</v>
      </c>
      <c r="H9752" s="1" t="s">
        <v>27</v>
      </c>
      <c r="I9752" s="17">
        <v>41306</v>
      </c>
    </row>
    <row r="9753" spans="1:9">
      <c r="A9753" s="7" t="s">
        <v>11530</v>
      </c>
      <c r="B9753" s="1" t="s">
        <v>2629</v>
      </c>
      <c r="C9753" s="1">
        <v>9</v>
      </c>
      <c r="D9753" s="1" t="s">
        <v>19</v>
      </c>
      <c r="E9753" s="1" t="s">
        <v>6</v>
      </c>
      <c r="F9753" s="1" t="s">
        <v>5241</v>
      </c>
      <c r="G9753" s="1" t="s">
        <v>4800</v>
      </c>
      <c r="H9753" s="1" t="s">
        <v>27</v>
      </c>
      <c r="I9753" s="17">
        <v>41426</v>
      </c>
    </row>
    <row r="9754" spans="1:9">
      <c r="A9754" s="7" t="s">
        <v>11533</v>
      </c>
      <c r="B9754" s="1" t="s">
        <v>2629</v>
      </c>
      <c r="C9754" s="1">
        <v>9</v>
      </c>
      <c r="D9754" s="1" t="s">
        <v>19</v>
      </c>
      <c r="E9754" s="1" t="s">
        <v>6</v>
      </c>
      <c r="F9754" s="1" t="s">
        <v>5241</v>
      </c>
      <c r="G9754" s="1" t="s">
        <v>4800</v>
      </c>
      <c r="H9754" s="1" t="s">
        <v>27</v>
      </c>
      <c r="I9754" s="17">
        <v>41306</v>
      </c>
    </row>
    <row r="9755" spans="1:9">
      <c r="A9755" s="7" t="s">
        <v>11538</v>
      </c>
      <c r="B9755" s="1" t="s">
        <v>2629</v>
      </c>
      <c r="C9755" s="1">
        <v>9</v>
      </c>
      <c r="D9755" s="1" t="s">
        <v>19</v>
      </c>
      <c r="E9755" s="1" t="s">
        <v>6</v>
      </c>
      <c r="F9755" s="1" t="s">
        <v>5241</v>
      </c>
      <c r="G9755" s="1" t="s">
        <v>4800</v>
      </c>
      <c r="H9755" s="1" t="s">
        <v>27</v>
      </c>
      <c r="I9755" s="17">
        <v>41640</v>
      </c>
    </row>
    <row r="9756" spans="1:9">
      <c r="A9756" s="7" t="s">
        <v>11547</v>
      </c>
      <c r="B9756" s="1" t="s">
        <v>2629</v>
      </c>
      <c r="C9756" s="1">
        <v>9</v>
      </c>
      <c r="D9756" s="1" t="s">
        <v>19</v>
      </c>
      <c r="E9756" s="1" t="s">
        <v>6</v>
      </c>
      <c r="F9756" s="1" t="s">
        <v>5241</v>
      </c>
      <c r="G9756" s="1" t="s">
        <v>4800</v>
      </c>
      <c r="H9756" s="1" t="s">
        <v>27</v>
      </c>
      <c r="I9756" s="17">
        <v>41306</v>
      </c>
    </row>
    <row r="9757" spans="1:9">
      <c r="A9757" s="7" t="s">
        <v>11553</v>
      </c>
      <c r="B9757" s="1" t="s">
        <v>2629</v>
      </c>
      <c r="C9757" s="1">
        <v>9</v>
      </c>
      <c r="D9757" s="1" t="s">
        <v>19</v>
      </c>
      <c r="E9757" s="1" t="s">
        <v>6</v>
      </c>
      <c r="F9757" s="1" t="s">
        <v>5241</v>
      </c>
      <c r="G9757" s="1" t="s">
        <v>4800</v>
      </c>
      <c r="H9757" s="1" t="s">
        <v>27</v>
      </c>
      <c r="I9757" s="17">
        <v>41306</v>
      </c>
    </row>
    <row r="9758" spans="1:9">
      <c r="A9758" s="7" t="s">
        <v>14041</v>
      </c>
      <c r="B9758" s="1" t="s">
        <v>2629</v>
      </c>
      <c r="C9758" s="1">
        <v>9</v>
      </c>
      <c r="D9758" s="1" t="s">
        <v>19</v>
      </c>
      <c r="E9758" s="1" t="s">
        <v>6</v>
      </c>
      <c r="F9758" s="1" t="s">
        <v>5241</v>
      </c>
      <c r="G9758" s="1" t="s">
        <v>4800</v>
      </c>
      <c r="H9758" s="1" t="s">
        <v>27</v>
      </c>
      <c r="I9758" s="17">
        <v>42370</v>
      </c>
    </row>
    <row r="9759" spans="1:9">
      <c r="A9759" s="7" t="s">
        <v>14238</v>
      </c>
      <c r="B9759" s="1" t="s">
        <v>2629</v>
      </c>
      <c r="C9759" s="1">
        <v>9</v>
      </c>
      <c r="D9759" s="1" t="s">
        <v>19</v>
      </c>
      <c r="E9759" s="1" t="s">
        <v>6</v>
      </c>
      <c r="F9759" s="1" t="s">
        <v>5241</v>
      </c>
      <c r="G9759" s="1" t="s">
        <v>4800</v>
      </c>
      <c r="H9759" s="1" t="s">
        <v>27</v>
      </c>
      <c r="I9759" s="17">
        <v>42614</v>
      </c>
    </row>
    <row r="9760" spans="1:9">
      <c r="A9760" s="7" t="s">
        <v>14252</v>
      </c>
      <c r="B9760" s="1" t="s">
        <v>2629</v>
      </c>
      <c r="C9760" s="1">
        <v>9</v>
      </c>
      <c r="D9760" s="1" t="s">
        <v>19</v>
      </c>
      <c r="E9760" s="1" t="s">
        <v>6</v>
      </c>
      <c r="F9760" s="1" t="s">
        <v>5241</v>
      </c>
      <c r="G9760" s="1" t="s">
        <v>4800</v>
      </c>
      <c r="H9760" s="1" t="s">
        <v>27</v>
      </c>
      <c r="I9760" s="17">
        <v>42552</v>
      </c>
    </row>
    <row r="9761" spans="1:10">
      <c r="A9761" s="7" t="s">
        <v>14289</v>
      </c>
      <c r="B9761" s="1" t="s">
        <v>2629</v>
      </c>
      <c r="C9761" s="1">
        <v>9</v>
      </c>
      <c r="D9761" s="1" t="s">
        <v>19</v>
      </c>
      <c r="E9761" s="1" t="s">
        <v>6</v>
      </c>
      <c r="F9761" s="1" t="s">
        <v>5241</v>
      </c>
      <c r="G9761" s="1" t="s">
        <v>4800</v>
      </c>
      <c r="H9761" s="1" t="s">
        <v>27</v>
      </c>
      <c r="I9761" s="17">
        <v>43132</v>
      </c>
    </row>
    <row r="9762" spans="1:10">
      <c r="A9762" s="7" t="s">
        <v>14367</v>
      </c>
      <c r="B9762" s="1" t="s">
        <v>2629</v>
      </c>
      <c r="C9762" s="1">
        <v>9</v>
      </c>
      <c r="D9762" s="1" t="s">
        <v>19</v>
      </c>
      <c r="E9762" s="1" t="s">
        <v>6</v>
      </c>
      <c r="F9762" s="1" t="s">
        <v>5241</v>
      </c>
      <c r="G9762" s="1" t="s">
        <v>4800</v>
      </c>
      <c r="H9762" s="1" t="s">
        <v>27</v>
      </c>
      <c r="I9762" s="17">
        <v>43221</v>
      </c>
    </row>
    <row r="9763" spans="1:10">
      <c r="A9763" s="7" t="s">
        <v>14458</v>
      </c>
      <c r="B9763" s="2" t="s">
        <v>2629</v>
      </c>
      <c r="C9763" s="1">
        <v>9</v>
      </c>
      <c r="D9763" s="1" t="s">
        <v>19</v>
      </c>
      <c r="E9763" s="1" t="s">
        <v>6</v>
      </c>
      <c r="F9763" s="1" t="s">
        <v>118</v>
      </c>
      <c r="G9763" s="14" t="s">
        <v>4800</v>
      </c>
      <c r="H9763" s="1" t="s">
        <v>27</v>
      </c>
      <c r="I9763" s="1" t="s">
        <v>4789</v>
      </c>
    </row>
    <row r="9764" spans="1:10">
      <c r="A9764" s="7" t="s">
        <v>14953</v>
      </c>
      <c r="B9764" s="1" t="s">
        <v>2629</v>
      </c>
      <c r="C9764" s="1">
        <v>9</v>
      </c>
      <c r="D9764" s="1" t="s">
        <v>19</v>
      </c>
      <c r="E9764" s="1" t="s">
        <v>6</v>
      </c>
      <c r="F9764" s="1" t="s">
        <v>5241</v>
      </c>
      <c r="G9764" s="1" t="s">
        <v>4800</v>
      </c>
      <c r="H9764" s="1" t="s">
        <v>27</v>
      </c>
      <c r="I9764" s="17">
        <v>43282</v>
      </c>
    </row>
    <row r="9765" spans="1:10">
      <c r="A9765" s="7" t="s">
        <v>15338</v>
      </c>
      <c r="B9765" s="1" t="s">
        <v>2629</v>
      </c>
      <c r="C9765" s="1">
        <v>9</v>
      </c>
      <c r="D9765" s="1" t="s">
        <v>19</v>
      </c>
      <c r="E9765" s="1" t="s">
        <v>6</v>
      </c>
      <c r="F9765" s="1" t="s">
        <v>5241</v>
      </c>
      <c r="G9765" s="1" t="s">
        <v>4800</v>
      </c>
      <c r="H9765" s="1" t="s">
        <v>27</v>
      </c>
      <c r="I9765" s="17">
        <v>43282</v>
      </c>
    </row>
    <row r="9766" spans="1:10">
      <c r="A9766" s="16" t="s">
        <v>4794</v>
      </c>
      <c r="B9766" s="1" t="s">
        <v>2628</v>
      </c>
      <c r="C9766" s="1">
        <v>9</v>
      </c>
      <c r="D9766" s="1" t="s">
        <v>19</v>
      </c>
      <c r="E9766" s="1" t="s">
        <v>6</v>
      </c>
      <c r="F9766" s="1" t="s">
        <v>118</v>
      </c>
      <c r="G9766" s="14" t="s">
        <v>4458</v>
      </c>
      <c r="H9766" s="1" t="s">
        <v>118</v>
      </c>
      <c r="I9766" s="1" t="s">
        <v>4458</v>
      </c>
    </row>
    <row r="9767" spans="1:10">
      <c r="A9767" s="16" t="s">
        <v>4796</v>
      </c>
      <c r="B9767" s="1" t="s">
        <v>2628</v>
      </c>
      <c r="C9767" s="1">
        <v>9</v>
      </c>
      <c r="D9767" s="1" t="s">
        <v>19</v>
      </c>
      <c r="E9767" s="1" t="s">
        <v>6</v>
      </c>
      <c r="F9767" s="1" t="s">
        <v>118</v>
      </c>
      <c r="G9767" s="14" t="s">
        <v>4458</v>
      </c>
      <c r="H9767" s="1" t="s">
        <v>118</v>
      </c>
      <c r="I9767" s="1" t="s">
        <v>4458</v>
      </c>
    </row>
    <row r="9768" spans="1:10">
      <c r="A9768" s="16" t="s">
        <v>4861</v>
      </c>
      <c r="B9768" s="1" t="s">
        <v>2628</v>
      </c>
      <c r="C9768" s="1">
        <v>9</v>
      </c>
      <c r="D9768" s="1" t="s">
        <v>19</v>
      </c>
      <c r="E9768" s="1" t="s">
        <v>6</v>
      </c>
      <c r="F9768" s="1" t="s">
        <v>2693</v>
      </c>
      <c r="G9768" s="14" t="s">
        <v>5</v>
      </c>
      <c r="H9768" s="1" t="s">
        <v>5</v>
      </c>
      <c r="I9768" s="17">
        <v>40909</v>
      </c>
    </row>
    <row r="9769" spans="1:10">
      <c r="A9769" s="16" t="s">
        <v>4885</v>
      </c>
      <c r="B9769" s="1" t="s">
        <v>2628</v>
      </c>
      <c r="C9769" s="1">
        <v>9</v>
      </c>
      <c r="D9769" s="1" t="s">
        <v>19</v>
      </c>
      <c r="E9769" s="1" t="s">
        <v>6</v>
      </c>
      <c r="F9769" s="1" t="s">
        <v>2693</v>
      </c>
      <c r="G9769" s="14" t="s">
        <v>5</v>
      </c>
      <c r="H9769" s="1" t="s">
        <v>5</v>
      </c>
      <c r="I9769" s="17">
        <v>41275</v>
      </c>
    </row>
    <row r="9770" spans="1:10">
      <c r="A9770" s="16" t="s">
        <v>4894</v>
      </c>
      <c r="B9770" s="1" t="s">
        <v>2628</v>
      </c>
      <c r="C9770" s="1">
        <v>9</v>
      </c>
      <c r="D9770" s="1" t="s">
        <v>19</v>
      </c>
      <c r="E9770" s="1" t="s">
        <v>6</v>
      </c>
      <c r="F9770" s="1" t="s">
        <v>2693</v>
      </c>
      <c r="G9770" s="14" t="s">
        <v>5</v>
      </c>
      <c r="H9770" s="1" t="s">
        <v>5</v>
      </c>
      <c r="I9770" s="17">
        <v>41275</v>
      </c>
    </row>
    <row r="9771" spans="1:10">
      <c r="A9771" s="16" t="s">
        <v>4915</v>
      </c>
      <c r="B9771" s="1" t="s">
        <v>2628</v>
      </c>
      <c r="C9771" s="1">
        <v>9</v>
      </c>
      <c r="D9771" s="1" t="s">
        <v>19</v>
      </c>
      <c r="E9771" s="1" t="s">
        <v>6</v>
      </c>
      <c r="F9771" s="1" t="s">
        <v>2693</v>
      </c>
      <c r="G9771" s="14" t="s">
        <v>5</v>
      </c>
      <c r="H9771" s="1" t="s">
        <v>5</v>
      </c>
      <c r="I9771" s="17">
        <v>41275</v>
      </c>
    </row>
    <row r="9772" spans="1:10">
      <c r="A9772" s="16" t="s">
        <v>4916</v>
      </c>
      <c r="B9772" s="1" t="s">
        <v>2628</v>
      </c>
      <c r="C9772" s="1">
        <v>9</v>
      </c>
      <c r="D9772" s="1" t="s">
        <v>19</v>
      </c>
      <c r="E9772" s="1" t="s">
        <v>6</v>
      </c>
      <c r="F9772" s="1" t="s">
        <v>2693</v>
      </c>
      <c r="G9772" s="14" t="s">
        <v>5</v>
      </c>
      <c r="H9772" s="1" t="s">
        <v>5</v>
      </c>
      <c r="I9772" s="17">
        <v>41275</v>
      </c>
    </row>
    <row r="9773" spans="1:10">
      <c r="A9773" s="16" t="s">
        <v>4965</v>
      </c>
      <c r="B9773" s="1" t="s">
        <v>2631</v>
      </c>
      <c r="C9773" s="1">
        <v>9</v>
      </c>
      <c r="D9773" s="1" t="s">
        <v>19</v>
      </c>
      <c r="E9773" s="1" t="s">
        <v>6</v>
      </c>
      <c r="F9773" s="1" t="s">
        <v>2693</v>
      </c>
      <c r="G9773" s="1" t="s">
        <v>5</v>
      </c>
      <c r="H9773" s="1" t="s">
        <v>5</v>
      </c>
      <c r="I9773" s="17">
        <v>41640</v>
      </c>
      <c r="J9773" s="17"/>
    </row>
    <row r="9774" spans="1:10">
      <c r="A9774" s="16" t="s">
        <v>4966</v>
      </c>
      <c r="B9774" s="1" t="s">
        <v>2631</v>
      </c>
      <c r="C9774" s="1">
        <v>9</v>
      </c>
      <c r="D9774" s="1" t="s">
        <v>19</v>
      </c>
      <c r="E9774" s="1" t="s">
        <v>6</v>
      </c>
      <c r="F9774" s="1" t="s">
        <v>2693</v>
      </c>
      <c r="G9774" s="1" t="s">
        <v>5</v>
      </c>
      <c r="H9774" s="1" t="s">
        <v>5</v>
      </c>
      <c r="I9774" s="17">
        <v>41640</v>
      </c>
      <c r="J9774" s="17"/>
    </row>
    <row r="9775" spans="1:10">
      <c r="A9775" s="16" t="s">
        <v>4989</v>
      </c>
      <c r="B9775" s="1" t="s">
        <v>2631</v>
      </c>
      <c r="C9775" s="1">
        <v>9</v>
      </c>
      <c r="D9775" s="1" t="s">
        <v>19</v>
      </c>
      <c r="E9775" s="1" t="s">
        <v>6</v>
      </c>
      <c r="F9775" s="1" t="s">
        <v>118</v>
      </c>
      <c r="G9775" s="14" t="s">
        <v>4458</v>
      </c>
      <c r="H9775" s="1" t="s">
        <v>118</v>
      </c>
      <c r="I9775" s="1" t="s">
        <v>4792</v>
      </c>
    </row>
    <row r="9776" spans="1:10">
      <c r="A9776" s="16" t="s">
        <v>4990</v>
      </c>
      <c r="B9776" s="1" t="s">
        <v>2631</v>
      </c>
      <c r="C9776" s="1">
        <v>9</v>
      </c>
      <c r="D9776" s="1" t="s">
        <v>19</v>
      </c>
      <c r="E9776" s="1" t="s">
        <v>6</v>
      </c>
      <c r="F9776" s="1" t="s">
        <v>118</v>
      </c>
      <c r="G9776" s="14" t="s">
        <v>4458</v>
      </c>
      <c r="H9776" s="1" t="s">
        <v>118</v>
      </c>
      <c r="I9776" s="1" t="s">
        <v>4792</v>
      </c>
    </row>
    <row r="9777" spans="1:10">
      <c r="A9777" s="16" t="s">
        <v>4991</v>
      </c>
      <c r="B9777" s="1" t="s">
        <v>2628</v>
      </c>
      <c r="C9777" s="1">
        <v>9</v>
      </c>
      <c r="D9777" s="1" t="s">
        <v>19</v>
      </c>
      <c r="E9777" s="1" t="s">
        <v>6</v>
      </c>
      <c r="F9777" s="1" t="s">
        <v>118</v>
      </c>
      <c r="G9777" s="14" t="s">
        <v>4458</v>
      </c>
      <c r="H9777" s="1" t="s">
        <v>118</v>
      </c>
      <c r="I9777" s="1" t="s">
        <v>4458</v>
      </c>
    </row>
    <row r="9778" spans="1:10">
      <c r="A9778" s="7" t="s">
        <v>4993</v>
      </c>
      <c r="B9778" s="1" t="s">
        <v>2629</v>
      </c>
      <c r="C9778" s="1">
        <v>9</v>
      </c>
      <c r="D9778" s="1" t="s">
        <v>19</v>
      </c>
      <c r="E9778" s="1" t="s">
        <v>6</v>
      </c>
      <c r="F9778" s="1" t="s">
        <v>118</v>
      </c>
      <c r="G9778" s="1" t="s">
        <v>4458</v>
      </c>
      <c r="H9778" s="1" t="s">
        <v>118</v>
      </c>
      <c r="I9778" s="1" t="s">
        <v>4792</v>
      </c>
    </row>
    <row r="9779" spans="1:10">
      <c r="A9779" s="16" t="s">
        <v>5106</v>
      </c>
      <c r="B9779" s="1" t="s">
        <v>2631</v>
      </c>
      <c r="C9779" s="1">
        <v>9</v>
      </c>
      <c r="D9779" s="1" t="s">
        <v>19</v>
      </c>
      <c r="E9779" s="1" t="s">
        <v>6</v>
      </c>
      <c r="F9779" s="1" t="s">
        <v>2691</v>
      </c>
      <c r="G9779" s="1" t="s">
        <v>5</v>
      </c>
      <c r="H9779" s="1" t="s">
        <v>5</v>
      </c>
      <c r="I9779" s="17">
        <v>39814</v>
      </c>
      <c r="J9779" s="17"/>
    </row>
    <row r="9780" spans="1:10">
      <c r="A9780" s="16" t="s">
        <v>5113</v>
      </c>
      <c r="B9780" s="1" t="s">
        <v>2628</v>
      </c>
      <c r="C9780" s="1">
        <v>9</v>
      </c>
      <c r="D9780" s="1" t="s">
        <v>19</v>
      </c>
      <c r="E9780" s="1" t="s">
        <v>6</v>
      </c>
      <c r="F9780" s="1" t="s">
        <v>2691</v>
      </c>
      <c r="G9780" s="14" t="s">
        <v>5</v>
      </c>
      <c r="H9780" s="1" t="s">
        <v>5</v>
      </c>
      <c r="I9780" s="17">
        <v>39814</v>
      </c>
    </row>
    <row r="9781" spans="1:10">
      <c r="A9781" s="16" t="s">
        <v>5117</v>
      </c>
      <c r="B9781" s="1" t="s">
        <v>2631</v>
      </c>
      <c r="C9781" s="1">
        <v>9</v>
      </c>
      <c r="D9781" s="1" t="s">
        <v>19</v>
      </c>
      <c r="E9781" s="1" t="s">
        <v>6</v>
      </c>
      <c r="F9781" s="1" t="s">
        <v>2691</v>
      </c>
      <c r="G9781" s="1" t="s">
        <v>5</v>
      </c>
      <c r="H9781" s="1" t="s">
        <v>5</v>
      </c>
      <c r="I9781" s="17">
        <v>39814</v>
      </c>
      <c r="J9781" s="17"/>
    </row>
    <row r="9782" spans="1:10">
      <c r="A9782" s="16" t="s">
        <v>5120</v>
      </c>
      <c r="B9782" s="1" t="s">
        <v>2631</v>
      </c>
      <c r="C9782" s="1">
        <v>9</v>
      </c>
      <c r="D9782" s="1" t="s">
        <v>19</v>
      </c>
      <c r="E9782" s="1" t="s">
        <v>6</v>
      </c>
      <c r="F9782" s="1" t="s">
        <v>2691</v>
      </c>
      <c r="G9782" s="1" t="s">
        <v>5</v>
      </c>
      <c r="H9782" s="1" t="s">
        <v>5</v>
      </c>
      <c r="I9782" s="17">
        <v>37622</v>
      </c>
      <c r="J9782" s="17"/>
    </row>
    <row r="9783" spans="1:10">
      <c r="A9783" s="16" t="s">
        <v>5122</v>
      </c>
      <c r="B9783" s="1" t="s">
        <v>2628</v>
      </c>
      <c r="C9783" s="1">
        <v>9</v>
      </c>
      <c r="D9783" s="1" t="s">
        <v>19</v>
      </c>
      <c r="E9783" s="1" t="s">
        <v>6</v>
      </c>
      <c r="F9783" s="1" t="s">
        <v>2691</v>
      </c>
      <c r="G9783" s="14" t="s">
        <v>5</v>
      </c>
      <c r="H9783" s="1" t="s">
        <v>5</v>
      </c>
      <c r="I9783" s="17">
        <v>37622</v>
      </c>
    </row>
    <row r="9784" spans="1:10">
      <c r="A9784" s="16" t="s">
        <v>5127</v>
      </c>
      <c r="B9784" s="1" t="s">
        <v>2631</v>
      </c>
      <c r="C9784" s="1">
        <v>9</v>
      </c>
      <c r="D9784" s="1" t="s">
        <v>19</v>
      </c>
      <c r="E9784" s="1" t="s">
        <v>6</v>
      </c>
      <c r="F9784" s="1" t="s">
        <v>2691</v>
      </c>
      <c r="G9784" s="1" t="s">
        <v>5</v>
      </c>
      <c r="H9784" s="1" t="s">
        <v>5</v>
      </c>
      <c r="I9784" s="17">
        <v>38718</v>
      </c>
      <c r="J9784" s="17"/>
    </row>
    <row r="9785" spans="1:10">
      <c r="A9785" s="16" t="s">
        <v>5138</v>
      </c>
      <c r="B9785" s="1" t="s">
        <v>2631</v>
      </c>
      <c r="C9785" s="1">
        <v>9</v>
      </c>
      <c r="D9785" s="1" t="s">
        <v>19</v>
      </c>
      <c r="E9785" s="1" t="s">
        <v>6</v>
      </c>
      <c r="F9785" s="1" t="s">
        <v>2691</v>
      </c>
      <c r="G9785" s="1" t="s">
        <v>5</v>
      </c>
      <c r="H9785" s="1" t="s">
        <v>5</v>
      </c>
      <c r="I9785" s="17">
        <v>39448</v>
      </c>
      <c r="J9785" s="17"/>
    </row>
    <row r="9786" spans="1:10">
      <c r="A9786" s="16" t="s">
        <v>5147</v>
      </c>
      <c r="B9786" s="1" t="s">
        <v>2628</v>
      </c>
      <c r="C9786" s="1">
        <v>9</v>
      </c>
      <c r="D9786" s="1" t="s">
        <v>19</v>
      </c>
      <c r="E9786" s="1" t="s">
        <v>6</v>
      </c>
      <c r="F9786" s="1" t="s">
        <v>2691</v>
      </c>
      <c r="G9786" s="14" t="s">
        <v>5</v>
      </c>
      <c r="H9786" s="1" t="s">
        <v>5</v>
      </c>
      <c r="I9786" s="17">
        <v>39814</v>
      </c>
    </row>
    <row r="9787" spans="1:10">
      <c r="A9787" s="16" t="s">
        <v>5155</v>
      </c>
      <c r="B9787" s="1" t="s">
        <v>2628</v>
      </c>
      <c r="C9787" s="1">
        <v>9</v>
      </c>
      <c r="D9787" s="1" t="s">
        <v>19</v>
      </c>
      <c r="E9787" s="1" t="s">
        <v>6</v>
      </c>
      <c r="F9787" s="1" t="s">
        <v>2691</v>
      </c>
      <c r="G9787" s="14" t="s">
        <v>5</v>
      </c>
      <c r="H9787" s="1" t="s">
        <v>5</v>
      </c>
      <c r="I9787" s="17">
        <v>40544</v>
      </c>
    </row>
    <row r="9788" spans="1:10">
      <c r="A9788" s="7" t="s">
        <v>5162</v>
      </c>
      <c r="B9788" s="1" t="s">
        <v>2629</v>
      </c>
      <c r="C9788" s="1">
        <v>9</v>
      </c>
      <c r="D9788" s="1" t="s">
        <v>19</v>
      </c>
      <c r="E9788" s="1" t="s">
        <v>6</v>
      </c>
      <c r="F9788" s="1" t="s">
        <v>2691</v>
      </c>
      <c r="G9788" s="1" t="s">
        <v>5</v>
      </c>
      <c r="H9788" s="1" t="s">
        <v>5</v>
      </c>
      <c r="I9788" s="17">
        <v>40544</v>
      </c>
      <c r="J9788" s="17"/>
    </row>
    <row r="9789" spans="1:10">
      <c r="A9789" s="16" t="s">
        <v>5168</v>
      </c>
      <c r="B9789" s="1" t="s">
        <v>2631</v>
      </c>
      <c r="C9789" s="1">
        <v>9</v>
      </c>
      <c r="D9789" s="1" t="s">
        <v>19</v>
      </c>
      <c r="E9789" s="1" t="s">
        <v>6</v>
      </c>
      <c r="F9789" s="1" t="s">
        <v>2691</v>
      </c>
      <c r="G9789" s="1" t="s">
        <v>5</v>
      </c>
      <c r="H9789" s="1" t="s">
        <v>5</v>
      </c>
      <c r="I9789" s="17">
        <v>40909</v>
      </c>
      <c r="J9789" s="17"/>
    </row>
    <row r="9790" spans="1:10">
      <c r="A9790" s="16" t="s">
        <v>5173</v>
      </c>
      <c r="B9790" s="1" t="s">
        <v>2628</v>
      </c>
      <c r="C9790" s="1">
        <v>9</v>
      </c>
      <c r="D9790" s="1" t="s">
        <v>19</v>
      </c>
      <c r="E9790" s="1" t="s">
        <v>6</v>
      </c>
      <c r="F9790" s="1" t="s">
        <v>2691</v>
      </c>
      <c r="G9790" s="14" t="s">
        <v>5</v>
      </c>
      <c r="H9790" s="1" t="s">
        <v>5</v>
      </c>
      <c r="I9790" s="17">
        <v>36161</v>
      </c>
    </row>
    <row r="9791" spans="1:10">
      <c r="A9791" s="16" t="s">
        <v>5174</v>
      </c>
      <c r="B9791" s="1" t="s">
        <v>2631</v>
      </c>
      <c r="C9791" s="1">
        <v>9</v>
      </c>
      <c r="D9791" s="1" t="s">
        <v>19</v>
      </c>
      <c r="E9791" s="1" t="s">
        <v>6</v>
      </c>
      <c r="F9791" s="1" t="s">
        <v>2691</v>
      </c>
      <c r="G9791" s="1" t="s">
        <v>5</v>
      </c>
      <c r="H9791" s="1" t="s">
        <v>5</v>
      </c>
      <c r="I9791" s="17">
        <v>33604</v>
      </c>
      <c r="J9791" s="17"/>
    </row>
    <row r="9792" spans="1:10">
      <c r="A9792" s="16" t="s">
        <v>5175</v>
      </c>
      <c r="B9792" s="1" t="s">
        <v>2631</v>
      </c>
      <c r="C9792" s="1">
        <v>9</v>
      </c>
      <c r="D9792" s="1" t="s">
        <v>19</v>
      </c>
      <c r="E9792" s="1" t="s">
        <v>6</v>
      </c>
      <c r="F9792" s="1" t="s">
        <v>2691</v>
      </c>
      <c r="G9792" s="1" t="s">
        <v>5</v>
      </c>
      <c r="H9792" s="1" t="s">
        <v>5</v>
      </c>
      <c r="I9792" s="17">
        <v>33604</v>
      </c>
      <c r="J9792" s="17"/>
    </row>
    <row r="9793" spans="1:10">
      <c r="A9793" s="16" t="s">
        <v>5177</v>
      </c>
      <c r="B9793" s="1" t="s">
        <v>2631</v>
      </c>
      <c r="C9793" s="1">
        <v>9</v>
      </c>
      <c r="D9793" s="1" t="s">
        <v>19</v>
      </c>
      <c r="E9793" s="1" t="s">
        <v>6</v>
      </c>
      <c r="F9793" s="1" t="s">
        <v>2691</v>
      </c>
      <c r="G9793" s="1" t="s">
        <v>5</v>
      </c>
      <c r="H9793" s="1" t="s">
        <v>5</v>
      </c>
      <c r="I9793" s="17">
        <v>32509</v>
      </c>
      <c r="J9793" s="17"/>
    </row>
    <row r="9794" spans="1:10">
      <c r="A9794" s="16" t="s">
        <v>5201</v>
      </c>
      <c r="B9794" s="1" t="s">
        <v>2628</v>
      </c>
      <c r="C9794" s="1">
        <v>9</v>
      </c>
      <c r="D9794" s="1" t="s">
        <v>19</v>
      </c>
      <c r="E9794" s="1" t="s">
        <v>6</v>
      </c>
      <c r="F9794" s="1" t="s">
        <v>2695</v>
      </c>
      <c r="G9794" s="14" t="s">
        <v>5181</v>
      </c>
      <c r="H9794" s="1" t="s">
        <v>43</v>
      </c>
      <c r="I9794" s="17">
        <v>40544</v>
      </c>
    </row>
    <row r="9795" spans="1:10">
      <c r="A9795" s="16" t="s">
        <v>5335</v>
      </c>
      <c r="B9795" s="1" t="s">
        <v>2631</v>
      </c>
      <c r="C9795" s="1">
        <v>9</v>
      </c>
      <c r="D9795" s="1" t="s">
        <v>19</v>
      </c>
      <c r="E9795" s="1" t="s">
        <v>6</v>
      </c>
      <c r="F9795" s="1" t="s">
        <v>2691</v>
      </c>
      <c r="G9795" s="1" t="s">
        <v>5336</v>
      </c>
      <c r="H9795" s="1" t="s">
        <v>5</v>
      </c>
      <c r="I9795" s="17">
        <v>37622</v>
      </c>
      <c r="J9795" s="17"/>
    </row>
    <row r="9796" spans="1:10">
      <c r="A9796" s="16" t="s">
        <v>5371</v>
      </c>
      <c r="B9796" s="1" t="s">
        <v>2631</v>
      </c>
      <c r="C9796" s="1">
        <v>9</v>
      </c>
      <c r="D9796" s="1" t="s">
        <v>19</v>
      </c>
      <c r="E9796" s="1" t="s">
        <v>6</v>
      </c>
      <c r="F9796" s="1" t="s">
        <v>2696</v>
      </c>
      <c r="G9796" s="14" t="s">
        <v>4458</v>
      </c>
      <c r="H9796" s="1" t="s">
        <v>118</v>
      </c>
      <c r="I9796" s="17">
        <v>40909</v>
      </c>
    </row>
    <row r="9797" spans="1:10">
      <c r="A9797" s="16" t="s">
        <v>5418</v>
      </c>
      <c r="B9797" s="1" t="s">
        <v>2631</v>
      </c>
      <c r="C9797" s="1">
        <v>9</v>
      </c>
      <c r="D9797" s="1" t="s">
        <v>19</v>
      </c>
      <c r="E9797" s="1" t="s">
        <v>6</v>
      </c>
      <c r="F9797" s="1" t="s">
        <v>588</v>
      </c>
      <c r="G9797" s="14" t="s">
        <v>4458</v>
      </c>
      <c r="H9797" s="1" t="s">
        <v>118</v>
      </c>
      <c r="I9797" s="17">
        <v>40878</v>
      </c>
    </row>
    <row r="9798" spans="1:10">
      <c r="A9798" s="16" t="s">
        <v>5534</v>
      </c>
      <c r="B9798" s="1" t="s">
        <v>2631</v>
      </c>
      <c r="C9798" s="1">
        <v>9</v>
      </c>
      <c r="D9798" s="1" t="s">
        <v>19</v>
      </c>
      <c r="E9798" s="1" t="s">
        <v>6</v>
      </c>
      <c r="F9798" s="1" t="s">
        <v>2699</v>
      </c>
      <c r="G9798" s="14" t="s">
        <v>4458</v>
      </c>
      <c r="H9798" s="1" t="s">
        <v>118</v>
      </c>
      <c r="I9798" s="17">
        <v>40909</v>
      </c>
    </row>
    <row r="9799" spans="1:10">
      <c r="A9799" s="16" t="s">
        <v>5566</v>
      </c>
      <c r="B9799" s="1" t="s">
        <v>2631</v>
      </c>
      <c r="C9799" s="1">
        <v>9</v>
      </c>
      <c r="D9799" s="1" t="s">
        <v>19</v>
      </c>
      <c r="E9799" s="1" t="s">
        <v>6</v>
      </c>
      <c r="F9799" s="1" t="s">
        <v>449</v>
      </c>
      <c r="G9799" s="14" t="s">
        <v>4458</v>
      </c>
      <c r="H9799" s="1" t="s">
        <v>118</v>
      </c>
      <c r="I9799" s="17">
        <v>40909</v>
      </c>
    </row>
    <row r="9800" spans="1:10">
      <c r="A9800" s="7" t="s">
        <v>5648</v>
      </c>
      <c r="B9800" s="1" t="s">
        <v>2631</v>
      </c>
      <c r="C9800" s="1">
        <v>9</v>
      </c>
      <c r="D9800" s="1" t="s">
        <v>19</v>
      </c>
      <c r="E9800" s="1" t="s">
        <v>6</v>
      </c>
      <c r="F9800" s="1" t="s">
        <v>2695</v>
      </c>
      <c r="G9800" s="1" t="s">
        <v>5635</v>
      </c>
      <c r="H9800" s="1" t="s">
        <v>43</v>
      </c>
      <c r="I9800" s="1" t="s">
        <v>5642</v>
      </c>
    </row>
    <row r="9801" spans="1:10">
      <c r="A9801" s="7" t="s">
        <v>5780</v>
      </c>
      <c r="B9801" s="2" t="s">
        <v>2631</v>
      </c>
      <c r="C9801" s="1">
        <v>9</v>
      </c>
      <c r="D9801" s="1" t="s">
        <v>19</v>
      </c>
      <c r="E9801" s="1" t="s">
        <v>6</v>
      </c>
      <c r="F9801" s="1" t="s">
        <v>118</v>
      </c>
      <c r="G9801" s="14" t="s">
        <v>5781</v>
      </c>
      <c r="H9801" s="1" t="s">
        <v>5</v>
      </c>
      <c r="I9801" s="1" t="s">
        <v>5642</v>
      </c>
    </row>
    <row r="9802" spans="1:10">
      <c r="A9802" s="7" t="s">
        <v>5887</v>
      </c>
      <c r="B9802" s="1" t="s">
        <v>2628</v>
      </c>
      <c r="C9802" s="1">
        <v>9</v>
      </c>
      <c r="D9802" s="1" t="s">
        <v>19</v>
      </c>
      <c r="E9802" s="1" t="s">
        <v>6</v>
      </c>
      <c r="F9802" s="1" t="s">
        <v>2360</v>
      </c>
      <c r="G9802" s="1" t="s">
        <v>5872</v>
      </c>
      <c r="H9802" s="1" t="s">
        <v>43</v>
      </c>
      <c r="I9802" s="1" t="s">
        <v>5483</v>
      </c>
    </row>
    <row r="9803" spans="1:10">
      <c r="A9803" s="7" t="s">
        <v>5918</v>
      </c>
      <c r="B9803" s="1" t="s">
        <v>2629</v>
      </c>
      <c r="C9803" s="1">
        <v>9</v>
      </c>
      <c r="D9803" s="1" t="s">
        <v>19</v>
      </c>
      <c r="E9803" s="1" t="s">
        <v>6</v>
      </c>
      <c r="F9803" s="1" t="s">
        <v>2360</v>
      </c>
      <c r="G9803" s="1" t="s">
        <v>5872</v>
      </c>
      <c r="H9803" s="1" t="s">
        <v>43</v>
      </c>
      <c r="I9803" s="1" t="s">
        <v>5801</v>
      </c>
    </row>
    <row r="9804" spans="1:10">
      <c r="A9804" s="7" t="s">
        <v>5938</v>
      </c>
      <c r="B9804" s="1" t="s">
        <v>2631</v>
      </c>
      <c r="C9804" s="1">
        <v>9</v>
      </c>
      <c r="D9804" s="1" t="s">
        <v>19</v>
      </c>
      <c r="E9804" s="1" t="s">
        <v>6</v>
      </c>
      <c r="F9804" s="1" t="s">
        <v>2360</v>
      </c>
      <c r="G9804" s="1" t="s">
        <v>4803</v>
      </c>
      <c r="H9804" s="1" t="s">
        <v>5</v>
      </c>
      <c r="I9804" s="1" t="s">
        <v>4789</v>
      </c>
      <c r="J9804" s="17"/>
    </row>
    <row r="9805" spans="1:10">
      <c r="A9805" s="7" t="s">
        <v>5939</v>
      </c>
      <c r="B9805" s="1" t="s">
        <v>2631</v>
      </c>
      <c r="C9805" s="1">
        <v>9</v>
      </c>
      <c r="D9805" s="1" t="s">
        <v>19</v>
      </c>
      <c r="E9805" s="1" t="s">
        <v>6</v>
      </c>
      <c r="F9805" s="1" t="s">
        <v>2360</v>
      </c>
      <c r="G9805" s="1" t="s">
        <v>4803</v>
      </c>
      <c r="H9805" s="1" t="s">
        <v>5</v>
      </c>
      <c r="I9805" s="1" t="s">
        <v>4789</v>
      </c>
      <c r="J9805" s="17"/>
    </row>
    <row r="9806" spans="1:10">
      <c r="A9806" s="7" t="s">
        <v>5940</v>
      </c>
      <c r="B9806" s="1" t="s">
        <v>2631</v>
      </c>
      <c r="C9806" s="1">
        <v>9</v>
      </c>
      <c r="D9806" s="1" t="s">
        <v>19</v>
      </c>
      <c r="E9806" s="1" t="s">
        <v>6</v>
      </c>
      <c r="F9806" s="1" t="s">
        <v>2360</v>
      </c>
      <c r="G9806" s="1" t="s">
        <v>4803</v>
      </c>
      <c r="H9806" s="1" t="s">
        <v>5</v>
      </c>
      <c r="I9806" s="1" t="s">
        <v>4789</v>
      </c>
      <c r="J9806" s="17"/>
    </row>
    <row r="9807" spans="1:10">
      <c r="A9807" s="7" t="s">
        <v>5941</v>
      </c>
      <c r="B9807" s="1" t="s">
        <v>2631</v>
      </c>
      <c r="C9807" s="1">
        <v>9</v>
      </c>
      <c r="D9807" s="1" t="s">
        <v>19</v>
      </c>
      <c r="E9807" s="1" t="s">
        <v>6</v>
      </c>
      <c r="F9807" s="1" t="s">
        <v>2360</v>
      </c>
      <c r="G9807" s="1" t="s">
        <v>4803</v>
      </c>
      <c r="H9807" s="1" t="s">
        <v>5</v>
      </c>
      <c r="I9807" s="1" t="s">
        <v>4789</v>
      </c>
      <c r="J9807" s="17"/>
    </row>
    <row r="9808" spans="1:10">
      <c r="A9808" s="7" t="s">
        <v>5942</v>
      </c>
      <c r="B9808" s="1" t="s">
        <v>2631</v>
      </c>
      <c r="C9808" s="1">
        <v>9</v>
      </c>
      <c r="D9808" s="1" t="s">
        <v>19</v>
      </c>
      <c r="E9808" s="1" t="s">
        <v>6</v>
      </c>
      <c r="F9808" s="1" t="s">
        <v>2360</v>
      </c>
      <c r="G9808" s="1" t="s">
        <v>4803</v>
      </c>
      <c r="H9808" s="1" t="s">
        <v>5</v>
      </c>
      <c r="I9808" s="1" t="s">
        <v>4789</v>
      </c>
      <c r="J9808" s="17"/>
    </row>
    <row r="9809" spans="1:10">
      <c r="A9809" s="7" t="s">
        <v>5943</v>
      </c>
      <c r="B9809" s="1" t="s">
        <v>2631</v>
      </c>
      <c r="C9809" s="1">
        <v>9</v>
      </c>
      <c r="D9809" s="1" t="s">
        <v>19</v>
      </c>
      <c r="E9809" s="1" t="s">
        <v>6</v>
      </c>
      <c r="F9809" s="1" t="s">
        <v>2360</v>
      </c>
      <c r="G9809" s="1" t="s">
        <v>4803</v>
      </c>
      <c r="H9809" s="1" t="s">
        <v>5</v>
      </c>
      <c r="I9809" s="1" t="s">
        <v>4789</v>
      </c>
      <c r="J9809" s="17"/>
    </row>
    <row r="9810" spans="1:10">
      <c r="A9810" s="7" t="s">
        <v>5944</v>
      </c>
      <c r="B9810" s="1" t="s">
        <v>2631</v>
      </c>
      <c r="C9810" s="1">
        <v>9</v>
      </c>
      <c r="D9810" s="1" t="s">
        <v>19</v>
      </c>
      <c r="E9810" s="1" t="s">
        <v>6</v>
      </c>
      <c r="F9810" s="1" t="s">
        <v>2360</v>
      </c>
      <c r="G9810" s="1" t="s">
        <v>4803</v>
      </c>
      <c r="H9810" s="1" t="s">
        <v>5</v>
      </c>
      <c r="I9810" s="1" t="s">
        <v>4789</v>
      </c>
      <c r="J9810" s="17"/>
    </row>
    <row r="9811" spans="1:10">
      <c r="A9811" s="7" t="s">
        <v>5945</v>
      </c>
      <c r="B9811" s="1" t="s">
        <v>2631</v>
      </c>
      <c r="C9811" s="1">
        <v>9</v>
      </c>
      <c r="D9811" s="1" t="s">
        <v>19</v>
      </c>
      <c r="E9811" s="1" t="s">
        <v>6</v>
      </c>
      <c r="F9811" s="1" t="s">
        <v>2360</v>
      </c>
      <c r="G9811" s="1" t="s">
        <v>4803</v>
      </c>
      <c r="H9811" s="1" t="s">
        <v>5</v>
      </c>
      <c r="I9811" s="1" t="s">
        <v>4789</v>
      </c>
      <c r="J9811" s="17"/>
    </row>
    <row r="9812" spans="1:10">
      <c r="A9812" s="7" t="s">
        <v>5946</v>
      </c>
      <c r="B9812" s="1" t="s">
        <v>2631</v>
      </c>
      <c r="C9812" s="1">
        <v>9</v>
      </c>
      <c r="D9812" s="1" t="s">
        <v>19</v>
      </c>
      <c r="E9812" s="1" t="s">
        <v>6</v>
      </c>
      <c r="F9812" s="1" t="s">
        <v>2360</v>
      </c>
      <c r="G9812" s="1" t="s">
        <v>4803</v>
      </c>
      <c r="H9812" s="1" t="s">
        <v>5</v>
      </c>
      <c r="I9812" s="1" t="s">
        <v>4789</v>
      </c>
      <c r="J9812" s="17"/>
    </row>
    <row r="9813" spans="1:10">
      <c r="A9813" s="7" t="s">
        <v>5947</v>
      </c>
      <c r="B9813" s="1" t="s">
        <v>2631</v>
      </c>
      <c r="C9813" s="1">
        <v>9</v>
      </c>
      <c r="D9813" s="1" t="s">
        <v>19</v>
      </c>
      <c r="E9813" s="1" t="s">
        <v>6</v>
      </c>
      <c r="F9813" s="1" t="s">
        <v>2360</v>
      </c>
      <c r="G9813" s="1" t="s">
        <v>4803</v>
      </c>
      <c r="H9813" s="1" t="s">
        <v>5</v>
      </c>
      <c r="I9813" s="1" t="s">
        <v>4789</v>
      </c>
      <c r="J9813" s="17"/>
    </row>
    <row r="9814" spans="1:10">
      <c r="A9814" s="7" t="s">
        <v>5948</v>
      </c>
      <c r="B9814" s="1" t="s">
        <v>2631</v>
      </c>
      <c r="C9814" s="1">
        <v>9</v>
      </c>
      <c r="D9814" s="1" t="s">
        <v>19</v>
      </c>
      <c r="E9814" s="1" t="s">
        <v>6</v>
      </c>
      <c r="F9814" s="1" t="s">
        <v>2360</v>
      </c>
      <c r="G9814" s="1" t="s">
        <v>4803</v>
      </c>
      <c r="H9814" s="1" t="s">
        <v>5</v>
      </c>
      <c r="I9814" s="1" t="s">
        <v>4789</v>
      </c>
      <c r="J9814" s="17"/>
    </row>
    <row r="9815" spans="1:10">
      <c r="A9815" s="7" t="s">
        <v>5949</v>
      </c>
      <c r="B9815" s="1" t="s">
        <v>2631</v>
      </c>
      <c r="C9815" s="1">
        <v>9</v>
      </c>
      <c r="D9815" s="1" t="s">
        <v>19</v>
      </c>
      <c r="E9815" s="1" t="s">
        <v>6</v>
      </c>
      <c r="F9815" s="1" t="s">
        <v>2360</v>
      </c>
      <c r="G9815" s="1" t="s">
        <v>4803</v>
      </c>
      <c r="H9815" s="1" t="s">
        <v>5</v>
      </c>
      <c r="I9815" s="1" t="s">
        <v>4789</v>
      </c>
      <c r="J9815" s="17"/>
    </row>
    <row r="9816" spans="1:10">
      <c r="A9816" s="7" t="s">
        <v>5950</v>
      </c>
      <c r="B9816" s="1" t="s">
        <v>2631</v>
      </c>
      <c r="C9816" s="1">
        <v>9</v>
      </c>
      <c r="D9816" s="1" t="s">
        <v>19</v>
      </c>
      <c r="E9816" s="1" t="s">
        <v>6</v>
      </c>
      <c r="F9816" s="1" t="s">
        <v>2360</v>
      </c>
      <c r="G9816" s="1" t="s">
        <v>4803</v>
      </c>
      <c r="H9816" s="1" t="s">
        <v>5</v>
      </c>
      <c r="I9816" s="1" t="s">
        <v>4789</v>
      </c>
      <c r="J9816" s="17"/>
    </row>
    <row r="9817" spans="1:10">
      <c r="A9817" s="7" t="s">
        <v>5951</v>
      </c>
      <c r="B9817" s="1" t="s">
        <v>2631</v>
      </c>
      <c r="C9817" s="1">
        <v>9</v>
      </c>
      <c r="D9817" s="1" t="s">
        <v>19</v>
      </c>
      <c r="E9817" s="1" t="s">
        <v>6</v>
      </c>
      <c r="F9817" s="1" t="s">
        <v>2360</v>
      </c>
      <c r="G9817" s="1" t="s">
        <v>4803</v>
      </c>
      <c r="H9817" s="1" t="s">
        <v>5</v>
      </c>
      <c r="I9817" s="1" t="s">
        <v>4789</v>
      </c>
      <c r="J9817" s="17"/>
    </row>
    <row r="9818" spans="1:10">
      <c r="A9818" s="7" t="s">
        <v>5952</v>
      </c>
      <c r="B9818" s="1" t="s">
        <v>2631</v>
      </c>
      <c r="C9818" s="1">
        <v>9</v>
      </c>
      <c r="D9818" s="1" t="s">
        <v>19</v>
      </c>
      <c r="E9818" s="1" t="s">
        <v>6</v>
      </c>
      <c r="F9818" s="1" t="s">
        <v>2360</v>
      </c>
      <c r="G9818" s="1" t="s">
        <v>4803</v>
      </c>
      <c r="H9818" s="1" t="s">
        <v>5</v>
      </c>
      <c r="I9818" s="1" t="s">
        <v>4789</v>
      </c>
      <c r="J9818" s="17"/>
    </row>
    <row r="9819" spans="1:10">
      <c r="A9819" s="7" t="s">
        <v>5953</v>
      </c>
      <c r="B9819" s="1" t="s">
        <v>2631</v>
      </c>
      <c r="C9819" s="1">
        <v>9</v>
      </c>
      <c r="D9819" s="1" t="s">
        <v>19</v>
      </c>
      <c r="E9819" s="1" t="s">
        <v>6</v>
      </c>
      <c r="F9819" s="1" t="s">
        <v>2360</v>
      </c>
      <c r="G9819" s="1" t="s">
        <v>4803</v>
      </c>
      <c r="H9819" s="1" t="s">
        <v>5</v>
      </c>
      <c r="I9819" s="1" t="s">
        <v>4789</v>
      </c>
      <c r="J9819" s="17"/>
    </row>
    <row r="9820" spans="1:10">
      <c r="A9820" s="7" t="s">
        <v>6012</v>
      </c>
      <c r="B9820" s="1" t="s">
        <v>2628</v>
      </c>
      <c r="C9820" s="1">
        <v>9</v>
      </c>
      <c r="D9820" s="1" t="s">
        <v>19</v>
      </c>
      <c r="E9820" s="1" t="s">
        <v>6</v>
      </c>
      <c r="F9820" s="1" t="s">
        <v>2360</v>
      </c>
      <c r="G9820" s="1" t="s">
        <v>5</v>
      </c>
      <c r="H9820" s="1" t="s">
        <v>5</v>
      </c>
      <c r="I9820" s="1" t="s">
        <v>5848</v>
      </c>
    </row>
    <row r="9821" spans="1:10">
      <c r="A9821" s="7" t="s">
        <v>6018</v>
      </c>
      <c r="B9821" s="1" t="s">
        <v>2628</v>
      </c>
      <c r="C9821" s="1">
        <v>9</v>
      </c>
      <c r="D9821" s="1" t="s">
        <v>19</v>
      </c>
      <c r="E9821" s="1" t="s">
        <v>6</v>
      </c>
      <c r="F9821" s="1" t="s">
        <v>2360</v>
      </c>
      <c r="G9821" s="1" t="s">
        <v>5</v>
      </c>
      <c r="H9821" s="1" t="s">
        <v>5</v>
      </c>
      <c r="I9821" s="1" t="s">
        <v>5848</v>
      </c>
    </row>
    <row r="9822" spans="1:10">
      <c r="A9822" s="7" t="s">
        <v>6083</v>
      </c>
      <c r="B9822" s="1" t="s">
        <v>2631</v>
      </c>
      <c r="C9822" s="1">
        <v>9</v>
      </c>
      <c r="D9822" s="1" t="s">
        <v>19</v>
      </c>
      <c r="E9822" s="1" t="s">
        <v>6</v>
      </c>
      <c r="F9822" s="1" t="s">
        <v>2360</v>
      </c>
      <c r="G9822" s="1" t="s">
        <v>5</v>
      </c>
      <c r="H9822" s="1" t="s">
        <v>5</v>
      </c>
      <c r="I9822" s="1" t="s">
        <v>5848</v>
      </c>
      <c r="J9822" s="17"/>
    </row>
    <row r="9823" spans="1:10">
      <c r="A9823" s="7" t="s">
        <v>6179</v>
      </c>
      <c r="B9823" s="2" t="s">
        <v>2628</v>
      </c>
      <c r="C9823" s="1">
        <v>9</v>
      </c>
      <c r="D9823" s="1" t="s">
        <v>19</v>
      </c>
      <c r="E9823" s="1" t="s">
        <v>6</v>
      </c>
      <c r="F9823" s="1" t="s">
        <v>36</v>
      </c>
      <c r="G9823" s="14" t="s">
        <v>4803</v>
      </c>
      <c r="H9823" s="1" t="s">
        <v>5</v>
      </c>
      <c r="I9823" s="1" t="s">
        <v>5807</v>
      </c>
      <c r="J9823" s="17"/>
    </row>
    <row r="9824" spans="1:10">
      <c r="A9824" s="7" t="s">
        <v>6185</v>
      </c>
      <c r="B9824" s="2" t="s">
        <v>2628</v>
      </c>
      <c r="C9824" s="1">
        <v>9</v>
      </c>
      <c r="D9824" s="1" t="s">
        <v>19</v>
      </c>
      <c r="E9824" s="1" t="s">
        <v>6</v>
      </c>
      <c r="F9824" s="1" t="s">
        <v>5091</v>
      </c>
      <c r="G9824" s="14" t="s">
        <v>6186</v>
      </c>
      <c r="H9824" s="1" t="s">
        <v>5</v>
      </c>
      <c r="I9824" s="1" t="s">
        <v>5807</v>
      </c>
      <c r="J9824" s="17"/>
    </row>
    <row r="9825" spans="1:10">
      <c r="A9825" s="7" t="s">
        <v>6210</v>
      </c>
      <c r="B9825" s="2" t="s">
        <v>2628</v>
      </c>
      <c r="C9825" s="1">
        <v>1812</v>
      </c>
      <c r="D9825" s="1" t="s">
        <v>19</v>
      </c>
      <c r="E9825" s="1" t="s">
        <v>6</v>
      </c>
      <c r="F9825" s="1" t="s">
        <v>5091</v>
      </c>
      <c r="G9825" s="14" t="s">
        <v>6139</v>
      </c>
      <c r="H9825" s="1" t="s">
        <v>43</v>
      </c>
      <c r="I9825" s="1" t="s">
        <v>5807</v>
      </c>
    </row>
    <row r="9826" spans="1:10">
      <c r="A9826" s="7" t="s">
        <v>6219</v>
      </c>
      <c r="B9826" s="2" t="s">
        <v>2628</v>
      </c>
      <c r="C9826" s="1">
        <v>9</v>
      </c>
      <c r="D9826" s="1" t="s">
        <v>19</v>
      </c>
      <c r="E9826" s="1" t="s">
        <v>6</v>
      </c>
      <c r="F9826" s="1" t="s">
        <v>5091</v>
      </c>
      <c r="G9826" s="14" t="s">
        <v>6139</v>
      </c>
      <c r="H9826" s="1" t="s">
        <v>43</v>
      </c>
      <c r="I9826" s="1" t="s">
        <v>5807</v>
      </c>
    </row>
    <row r="9827" spans="1:10">
      <c r="A9827" s="7" t="s">
        <v>6222</v>
      </c>
      <c r="B9827" s="2" t="s">
        <v>2628</v>
      </c>
      <c r="C9827" s="1">
        <v>9</v>
      </c>
      <c r="D9827" s="1" t="s">
        <v>19</v>
      </c>
      <c r="E9827" s="1" t="s">
        <v>6</v>
      </c>
      <c r="F9827" s="1" t="s">
        <v>5091</v>
      </c>
      <c r="G9827" s="14" t="s">
        <v>6139</v>
      </c>
      <c r="H9827" s="1" t="s">
        <v>43</v>
      </c>
      <c r="I9827" s="1" t="s">
        <v>5807</v>
      </c>
    </row>
    <row r="9828" spans="1:10">
      <c r="A9828" s="7" t="s">
        <v>6226</v>
      </c>
      <c r="B9828" s="2" t="s">
        <v>2628</v>
      </c>
      <c r="C9828" s="1">
        <v>9</v>
      </c>
      <c r="D9828" s="1" t="s">
        <v>19</v>
      </c>
      <c r="E9828" s="1" t="s">
        <v>6</v>
      </c>
      <c r="F9828" s="1" t="s">
        <v>5091</v>
      </c>
      <c r="G9828" s="14" t="s">
        <v>6145</v>
      </c>
      <c r="H9828" s="1" t="s">
        <v>43</v>
      </c>
      <c r="I9828" s="1" t="s">
        <v>5807</v>
      </c>
    </row>
    <row r="9829" spans="1:10">
      <c r="A9829" s="7" t="s">
        <v>6239</v>
      </c>
      <c r="B9829" s="2" t="s">
        <v>2628</v>
      </c>
      <c r="C9829" s="1">
        <v>1113</v>
      </c>
      <c r="D9829" s="1" t="s">
        <v>19</v>
      </c>
      <c r="E9829" s="1" t="s">
        <v>6</v>
      </c>
      <c r="F9829" s="1" t="s">
        <v>5091</v>
      </c>
      <c r="G9829" s="22" t="s">
        <v>6181</v>
      </c>
      <c r="H9829" s="2" t="s">
        <v>118</v>
      </c>
      <c r="I9829" s="1" t="s">
        <v>4458</v>
      </c>
    </row>
    <row r="9830" spans="1:10">
      <c r="A9830" s="7" t="s">
        <v>6271</v>
      </c>
      <c r="B9830" s="2" t="s">
        <v>2628</v>
      </c>
      <c r="C9830" s="1">
        <v>9</v>
      </c>
      <c r="D9830" s="1" t="s">
        <v>19</v>
      </c>
      <c r="E9830" s="1" t="s">
        <v>6</v>
      </c>
      <c r="F9830" s="1" t="s">
        <v>5091</v>
      </c>
      <c r="G9830" s="14" t="s">
        <v>6145</v>
      </c>
      <c r="H9830" s="1" t="s">
        <v>43</v>
      </c>
      <c r="I9830" s="1" t="s">
        <v>5807</v>
      </c>
    </row>
    <row r="9831" spans="1:10">
      <c r="A9831" s="7" t="s">
        <v>6275</v>
      </c>
      <c r="B9831" s="2" t="s">
        <v>2628</v>
      </c>
      <c r="C9831" s="1">
        <v>9</v>
      </c>
      <c r="D9831" s="1" t="s">
        <v>19</v>
      </c>
      <c r="E9831" s="1" t="s">
        <v>6</v>
      </c>
      <c r="F9831" s="1" t="s">
        <v>5091</v>
      </c>
      <c r="G9831" s="14" t="s">
        <v>6145</v>
      </c>
      <c r="H9831" s="1" t="s">
        <v>43</v>
      </c>
      <c r="I9831" s="1" t="s">
        <v>5807</v>
      </c>
    </row>
    <row r="9832" spans="1:10">
      <c r="A9832" s="7" t="s">
        <v>6327</v>
      </c>
      <c r="B9832" s="2" t="s">
        <v>2628</v>
      </c>
      <c r="C9832" s="1">
        <v>9</v>
      </c>
      <c r="D9832" s="1" t="s">
        <v>19</v>
      </c>
      <c r="E9832" s="1" t="s">
        <v>6</v>
      </c>
      <c r="F9832" s="1" t="s">
        <v>5091</v>
      </c>
      <c r="G9832" s="14" t="s">
        <v>6186</v>
      </c>
      <c r="H9832" s="1" t="s">
        <v>5</v>
      </c>
      <c r="I9832" s="1" t="s">
        <v>5807</v>
      </c>
      <c r="J9832" s="17"/>
    </row>
    <row r="9833" spans="1:10">
      <c r="A9833" s="7" t="s">
        <v>6384</v>
      </c>
      <c r="B9833" s="2" t="s">
        <v>2631</v>
      </c>
      <c r="C9833" s="1">
        <v>9</v>
      </c>
      <c r="D9833" s="1" t="s">
        <v>19</v>
      </c>
      <c r="E9833" s="1" t="s">
        <v>6</v>
      </c>
      <c r="F9833" s="1" t="s">
        <v>5091</v>
      </c>
      <c r="G9833" s="14" t="s">
        <v>6238</v>
      </c>
      <c r="H9833" s="1" t="s">
        <v>43</v>
      </c>
      <c r="I9833" s="1" t="s">
        <v>5807</v>
      </c>
    </row>
    <row r="9834" spans="1:10">
      <c r="A9834" s="7" t="s">
        <v>6392</v>
      </c>
      <c r="B9834" s="2" t="s">
        <v>2628</v>
      </c>
      <c r="C9834" s="1">
        <v>1113</v>
      </c>
      <c r="D9834" s="1" t="s">
        <v>19</v>
      </c>
      <c r="E9834" s="1" t="s">
        <v>6</v>
      </c>
      <c r="F9834" s="1" t="s">
        <v>5091</v>
      </c>
      <c r="G9834" s="14" t="s">
        <v>6139</v>
      </c>
      <c r="H9834" s="1" t="s">
        <v>43</v>
      </c>
      <c r="I9834" s="1" t="s">
        <v>5807</v>
      </c>
    </row>
    <row r="9835" spans="1:10">
      <c r="A9835" s="7" t="s">
        <v>6431</v>
      </c>
      <c r="B9835" s="1" t="s">
        <v>2628</v>
      </c>
      <c r="C9835" s="1">
        <v>9</v>
      </c>
      <c r="D9835" s="1" t="s">
        <v>19</v>
      </c>
      <c r="E9835" s="1" t="s">
        <v>6</v>
      </c>
      <c r="F9835" s="1" t="s">
        <v>36</v>
      </c>
      <c r="G9835" s="1" t="s">
        <v>4803</v>
      </c>
      <c r="H9835" s="1" t="s">
        <v>5</v>
      </c>
      <c r="I9835" s="1" t="s">
        <v>5807</v>
      </c>
      <c r="J9835" s="17"/>
    </row>
    <row r="9836" spans="1:10">
      <c r="A9836" s="7" t="s">
        <v>6432</v>
      </c>
      <c r="B9836" s="1" t="s">
        <v>2628</v>
      </c>
      <c r="C9836" s="1">
        <v>9</v>
      </c>
      <c r="D9836" s="1" t="s">
        <v>19</v>
      </c>
      <c r="E9836" s="1" t="s">
        <v>6</v>
      </c>
      <c r="F9836" s="1" t="s">
        <v>36</v>
      </c>
      <c r="G9836" s="1" t="s">
        <v>4803</v>
      </c>
      <c r="H9836" s="1" t="s">
        <v>5</v>
      </c>
      <c r="I9836" s="1" t="s">
        <v>5807</v>
      </c>
      <c r="J9836" s="17"/>
    </row>
    <row r="9837" spans="1:10">
      <c r="A9837" s="7" t="s">
        <v>6433</v>
      </c>
      <c r="B9837" s="1" t="s">
        <v>2628</v>
      </c>
      <c r="C9837" s="1">
        <v>9</v>
      </c>
      <c r="D9837" s="1" t="s">
        <v>19</v>
      </c>
      <c r="E9837" s="1" t="s">
        <v>6</v>
      </c>
      <c r="F9837" s="1" t="s">
        <v>36</v>
      </c>
      <c r="G9837" s="1" t="s">
        <v>4803</v>
      </c>
      <c r="H9837" s="1" t="s">
        <v>5</v>
      </c>
      <c r="I9837" s="1" t="s">
        <v>5807</v>
      </c>
      <c r="J9837" s="17"/>
    </row>
    <row r="9838" spans="1:10">
      <c r="A9838" s="7" t="s">
        <v>6434</v>
      </c>
      <c r="B9838" s="1" t="s">
        <v>2628</v>
      </c>
      <c r="C9838" s="1">
        <v>9</v>
      </c>
      <c r="D9838" s="1" t="s">
        <v>19</v>
      </c>
      <c r="E9838" s="1" t="s">
        <v>6</v>
      </c>
      <c r="F9838" s="1" t="s">
        <v>36</v>
      </c>
      <c r="G9838" s="1" t="s">
        <v>4803</v>
      </c>
      <c r="H9838" s="1" t="s">
        <v>5</v>
      </c>
      <c r="I9838" s="1" t="s">
        <v>5807</v>
      </c>
      <c r="J9838" s="17"/>
    </row>
    <row r="9839" spans="1:10">
      <c r="A9839" s="7" t="s">
        <v>6448</v>
      </c>
      <c r="B9839" s="1" t="s">
        <v>2628</v>
      </c>
      <c r="C9839" s="1">
        <v>9</v>
      </c>
      <c r="D9839" s="1" t="s">
        <v>19</v>
      </c>
      <c r="E9839" s="1" t="s">
        <v>6</v>
      </c>
      <c r="F9839" s="1" t="s">
        <v>5091</v>
      </c>
      <c r="G9839" s="1" t="s">
        <v>6186</v>
      </c>
      <c r="H9839" s="1" t="s">
        <v>5</v>
      </c>
      <c r="I9839" s="1" t="s">
        <v>5807</v>
      </c>
      <c r="J9839" s="17"/>
    </row>
    <row r="9840" spans="1:10">
      <c r="A9840" s="7" t="s">
        <v>6460</v>
      </c>
      <c r="B9840" s="1" t="s">
        <v>2628</v>
      </c>
      <c r="C9840" s="1">
        <v>9</v>
      </c>
      <c r="D9840" s="1" t="s">
        <v>19</v>
      </c>
      <c r="E9840" s="1" t="s">
        <v>6</v>
      </c>
      <c r="F9840" s="1" t="s">
        <v>5091</v>
      </c>
      <c r="G9840" s="1" t="s">
        <v>6145</v>
      </c>
      <c r="H9840" s="1" t="s">
        <v>43</v>
      </c>
      <c r="I9840" s="1" t="s">
        <v>5807</v>
      </c>
    </row>
    <row r="9841" spans="1:10">
      <c r="A9841" s="7" t="s">
        <v>6464</v>
      </c>
      <c r="B9841" s="1" t="s">
        <v>2629</v>
      </c>
      <c r="C9841" s="1">
        <v>9</v>
      </c>
      <c r="D9841" s="1" t="s">
        <v>19</v>
      </c>
      <c r="E9841" s="1" t="s">
        <v>6</v>
      </c>
      <c r="F9841" s="1" t="s">
        <v>5241</v>
      </c>
      <c r="G9841" s="1" t="s">
        <v>4803</v>
      </c>
      <c r="H9841" s="1" t="s">
        <v>5</v>
      </c>
      <c r="I9841" s="1" t="s">
        <v>5807</v>
      </c>
      <c r="J9841" s="17"/>
    </row>
    <row r="9842" spans="1:10">
      <c r="A9842" s="7" t="s">
        <v>6475</v>
      </c>
      <c r="B9842" s="1" t="s">
        <v>2628</v>
      </c>
      <c r="C9842" s="1">
        <v>9</v>
      </c>
      <c r="D9842" s="1" t="s">
        <v>19</v>
      </c>
      <c r="E9842" s="1" t="s">
        <v>6</v>
      </c>
      <c r="F9842" s="1" t="s">
        <v>5091</v>
      </c>
      <c r="G9842" s="1" t="s">
        <v>6145</v>
      </c>
      <c r="H9842" s="1" t="s">
        <v>43</v>
      </c>
      <c r="I9842" s="1" t="s">
        <v>5807</v>
      </c>
    </row>
    <row r="9843" spans="1:10">
      <c r="A9843" s="7" t="s">
        <v>6481</v>
      </c>
      <c r="B9843" s="1" t="s">
        <v>2629</v>
      </c>
      <c r="C9843" s="1">
        <v>9</v>
      </c>
      <c r="D9843" s="1" t="s">
        <v>19</v>
      </c>
      <c r="E9843" s="1" t="s">
        <v>6</v>
      </c>
      <c r="F9843" s="1" t="s">
        <v>5241</v>
      </c>
      <c r="G9843" s="1" t="s">
        <v>4803</v>
      </c>
      <c r="H9843" s="1" t="s">
        <v>5</v>
      </c>
      <c r="I9843" s="1" t="s">
        <v>5807</v>
      </c>
      <c r="J9843" s="17"/>
    </row>
    <row r="9844" spans="1:10">
      <c r="A9844" s="7" t="s">
        <v>6482</v>
      </c>
      <c r="B9844" s="1" t="s">
        <v>2629</v>
      </c>
      <c r="C9844" s="1">
        <v>9</v>
      </c>
      <c r="D9844" s="1" t="s">
        <v>19</v>
      </c>
      <c r="E9844" s="1" t="s">
        <v>6</v>
      </c>
      <c r="F9844" s="1" t="s">
        <v>5241</v>
      </c>
      <c r="G9844" s="1" t="s">
        <v>6307</v>
      </c>
      <c r="H9844" s="1" t="s">
        <v>44</v>
      </c>
      <c r="I9844" s="1" t="s">
        <v>5807</v>
      </c>
    </row>
    <row r="9845" spans="1:10">
      <c r="A9845" s="7" t="s">
        <v>6483</v>
      </c>
      <c r="B9845" s="1" t="s">
        <v>2629</v>
      </c>
      <c r="C9845" s="1">
        <v>9</v>
      </c>
      <c r="D9845" s="1" t="s">
        <v>19</v>
      </c>
      <c r="E9845" s="1" t="s">
        <v>6</v>
      </c>
      <c r="F9845" s="1" t="s">
        <v>5241</v>
      </c>
      <c r="G9845" s="1" t="s">
        <v>6307</v>
      </c>
      <c r="H9845" s="1" t="s">
        <v>44</v>
      </c>
      <c r="I9845" s="1" t="s">
        <v>5807</v>
      </c>
    </row>
    <row r="9846" spans="1:10">
      <c r="A9846" s="7" t="s">
        <v>6484</v>
      </c>
      <c r="B9846" s="1" t="s">
        <v>2629</v>
      </c>
      <c r="C9846" s="1">
        <v>9</v>
      </c>
      <c r="D9846" s="1" t="s">
        <v>19</v>
      </c>
      <c r="E9846" s="1" t="s">
        <v>6</v>
      </c>
      <c r="F9846" s="1" t="s">
        <v>5241</v>
      </c>
      <c r="G9846" s="1" t="s">
        <v>4803</v>
      </c>
      <c r="H9846" s="1" t="s">
        <v>5</v>
      </c>
      <c r="I9846" s="1" t="s">
        <v>5807</v>
      </c>
      <c r="J9846" s="17"/>
    </row>
    <row r="9847" spans="1:10">
      <c r="A9847" s="7" t="s">
        <v>6485</v>
      </c>
      <c r="B9847" s="1" t="s">
        <v>2629</v>
      </c>
      <c r="C9847" s="1">
        <v>9</v>
      </c>
      <c r="D9847" s="1" t="s">
        <v>19</v>
      </c>
      <c r="E9847" s="1" t="s">
        <v>6</v>
      </c>
      <c r="F9847" s="1" t="s">
        <v>5241</v>
      </c>
      <c r="G9847" s="1" t="s">
        <v>4803</v>
      </c>
      <c r="H9847" s="1" t="s">
        <v>5</v>
      </c>
      <c r="I9847" s="1" t="s">
        <v>5807</v>
      </c>
      <c r="J9847" s="17"/>
    </row>
    <row r="9848" spans="1:10">
      <c r="A9848" s="7" t="s">
        <v>6486</v>
      </c>
      <c r="B9848" s="1" t="s">
        <v>2629</v>
      </c>
      <c r="C9848" s="1">
        <v>9</v>
      </c>
      <c r="D9848" s="1" t="s">
        <v>19</v>
      </c>
      <c r="E9848" s="1" t="s">
        <v>6</v>
      </c>
      <c r="F9848" s="1" t="s">
        <v>5241</v>
      </c>
      <c r="G9848" s="1" t="s">
        <v>6307</v>
      </c>
      <c r="H9848" s="1" t="s">
        <v>44</v>
      </c>
      <c r="I9848" s="1" t="s">
        <v>5807</v>
      </c>
      <c r="J9848" s="11"/>
    </row>
    <row r="9849" spans="1:10">
      <c r="A9849" s="7" t="s">
        <v>6487</v>
      </c>
      <c r="B9849" s="1" t="s">
        <v>2629</v>
      </c>
      <c r="C9849" s="1">
        <v>9</v>
      </c>
      <c r="D9849" s="1" t="s">
        <v>19</v>
      </c>
      <c r="E9849" s="1" t="s">
        <v>6</v>
      </c>
      <c r="F9849" s="1" t="s">
        <v>5241</v>
      </c>
      <c r="G9849" s="1" t="s">
        <v>6307</v>
      </c>
      <c r="H9849" s="1" t="s">
        <v>44</v>
      </c>
      <c r="I9849" s="1" t="s">
        <v>5807</v>
      </c>
    </row>
    <row r="9850" spans="1:10">
      <c r="A9850" s="7" t="s">
        <v>6489</v>
      </c>
      <c r="B9850" s="1" t="s">
        <v>2628</v>
      </c>
      <c r="C9850" s="1">
        <v>9</v>
      </c>
      <c r="D9850" s="1" t="s">
        <v>19</v>
      </c>
      <c r="E9850" s="1" t="s">
        <v>6</v>
      </c>
      <c r="F9850" s="1" t="s">
        <v>5241</v>
      </c>
      <c r="G9850" s="1" t="s">
        <v>4803</v>
      </c>
      <c r="H9850" s="1" t="s">
        <v>5</v>
      </c>
      <c r="I9850" s="1" t="s">
        <v>5807</v>
      </c>
      <c r="J9850" s="17"/>
    </row>
    <row r="9851" spans="1:10">
      <c r="A9851" s="7" t="s">
        <v>6490</v>
      </c>
      <c r="B9851" s="1" t="s">
        <v>2629</v>
      </c>
      <c r="C9851" s="1">
        <v>9</v>
      </c>
      <c r="D9851" s="1" t="s">
        <v>19</v>
      </c>
      <c r="E9851" s="1" t="s">
        <v>6</v>
      </c>
      <c r="F9851" s="1" t="s">
        <v>5241</v>
      </c>
      <c r="G9851" s="1" t="s">
        <v>6102</v>
      </c>
      <c r="H9851" s="1" t="s">
        <v>318</v>
      </c>
      <c r="I9851" s="1" t="s">
        <v>5807</v>
      </c>
      <c r="J9851" s="17"/>
    </row>
    <row r="9852" spans="1:10">
      <c r="A9852" s="7" t="s">
        <v>6492</v>
      </c>
      <c r="B9852" s="1" t="s">
        <v>2629</v>
      </c>
      <c r="C9852" s="1">
        <v>9</v>
      </c>
      <c r="D9852" s="1" t="s">
        <v>19</v>
      </c>
      <c r="E9852" s="1" t="s">
        <v>6</v>
      </c>
      <c r="F9852" s="1" t="s">
        <v>5241</v>
      </c>
      <c r="G9852" s="1" t="s">
        <v>6307</v>
      </c>
      <c r="H9852" s="1" t="s">
        <v>44</v>
      </c>
      <c r="I9852" s="1" t="s">
        <v>5807</v>
      </c>
    </row>
    <row r="9853" spans="1:10">
      <c r="A9853" s="7" t="s">
        <v>6493</v>
      </c>
      <c r="B9853" s="1" t="s">
        <v>2628</v>
      </c>
      <c r="C9853" s="1">
        <v>9</v>
      </c>
      <c r="D9853" s="1" t="s">
        <v>19</v>
      </c>
      <c r="E9853" s="1" t="s">
        <v>6</v>
      </c>
      <c r="F9853" s="1" t="s">
        <v>5241</v>
      </c>
      <c r="G9853" s="1" t="s">
        <v>4803</v>
      </c>
      <c r="H9853" s="1" t="s">
        <v>5</v>
      </c>
      <c r="I9853" s="1" t="s">
        <v>5807</v>
      </c>
      <c r="J9853" s="17"/>
    </row>
    <row r="9854" spans="1:10">
      <c r="A9854" s="7" t="s">
        <v>6494</v>
      </c>
      <c r="B9854" s="1" t="s">
        <v>2629</v>
      </c>
      <c r="C9854" s="1">
        <v>9</v>
      </c>
      <c r="D9854" s="1" t="s">
        <v>19</v>
      </c>
      <c r="E9854" s="1" t="s">
        <v>6</v>
      </c>
      <c r="F9854" s="1" t="s">
        <v>5241</v>
      </c>
      <c r="G9854" s="1" t="s">
        <v>6307</v>
      </c>
      <c r="H9854" s="1" t="s">
        <v>44</v>
      </c>
      <c r="I9854" s="1" t="s">
        <v>5807</v>
      </c>
    </row>
    <row r="9855" spans="1:10">
      <c r="A9855" s="7" t="s">
        <v>6498</v>
      </c>
      <c r="B9855" s="1" t="s">
        <v>2629</v>
      </c>
      <c r="C9855" s="1">
        <v>9</v>
      </c>
      <c r="D9855" s="1" t="s">
        <v>19</v>
      </c>
      <c r="E9855" s="1" t="s">
        <v>6</v>
      </c>
      <c r="F9855" s="1" t="s">
        <v>5241</v>
      </c>
      <c r="G9855" s="1" t="s">
        <v>6307</v>
      </c>
      <c r="H9855" s="1" t="s">
        <v>44</v>
      </c>
      <c r="I9855" s="1" t="s">
        <v>5807</v>
      </c>
    </row>
    <row r="9856" spans="1:10">
      <c r="A9856" s="7" t="s">
        <v>6526</v>
      </c>
      <c r="B9856" s="1" t="s">
        <v>2628</v>
      </c>
      <c r="C9856" s="1">
        <v>1113</v>
      </c>
      <c r="D9856" s="1" t="s">
        <v>19</v>
      </c>
      <c r="E9856" s="1" t="s">
        <v>6</v>
      </c>
      <c r="F9856" s="1" t="s">
        <v>5091</v>
      </c>
      <c r="G9856" s="1" t="s">
        <v>6238</v>
      </c>
      <c r="H9856" s="1" t="s">
        <v>43</v>
      </c>
      <c r="I9856" s="1" t="s">
        <v>5807</v>
      </c>
    </row>
    <row r="9857" spans="1:10">
      <c r="A9857" s="7" t="s">
        <v>6531</v>
      </c>
      <c r="B9857" s="1" t="s">
        <v>2629</v>
      </c>
      <c r="C9857" s="1">
        <v>9</v>
      </c>
      <c r="D9857" s="1" t="s">
        <v>19</v>
      </c>
      <c r="E9857" s="1" t="s">
        <v>6</v>
      </c>
      <c r="F9857" s="1" t="s">
        <v>5241</v>
      </c>
      <c r="G9857" s="1" t="s">
        <v>6307</v>
      </c>
      <c r="H9857" s="1" t="s">
        <v>44</v>
      </c>
      <c r="I9857" s="1" t="s">
        <v>5807</v>
      </c>
    </row>
    <row r="9858" spans="1:10">
      <c r="A9858" s="7" t="s">
        <v>6533</v>
      </c>
      <c r="B9858" s="1" t="s">
        <v>2628</v>
      </c>
      <c r="C9858" s="1">
        <v>9</v>
      </c>
      <c r="D9858" s="1" t="s">
        <v>19</v>
      </c>
      <c r="E9858" s="1" t="s">
        <v>6</v>
      </c>
      <c r="F9858" s="1" t="s">
        <v>5241</v>
      </c>
      <c r="G9858" s="1" t="s">
        <v>4803</v>
      </c>
      <c r="H9858" s="1" t="s">
        <v>5</v>
      </c>
      <c r="I9858" s="1" t="s">
        <v>5807</v>
      </c>
      <c r="J9858" s="17"/>
    </row>
    <row r="9859" spans="1:10">
      <c r="A9859" s="7" t="s">
        <v>6537</v>
      </c>
      <c r="B9859" s="1" t="s">
        <v>2628</v>
      </c>
      <c r="C9859" s="1">
        <v>9</v>
      </c>
      <c r="D9859" s="1" t="s">
        <v>19</v>
      </c>
      <c r="E9859" s="1" t="s">
        <v>6</v>
      </c>
      <c r="F9859" s="1" t="s">
        <v>5091</v>
      </c>
      <c r="G9859" s="1" t="s">
        <v>6536</v>
      </c>
      <c r="H9859" s="1" t="s">
        <v>43</v>
      </c>
      <c r="I9859" s="1" t="s">
        <v>5848</v>
      </c>
    </row>
    <row r="9860" spans="1:10">
      <c r="A9860" s="7" t="s">
        <v>6579</v>
      </c>
      <c r="B9860" s="1" t="s">
        <v>2628</v>
      </c>
      <c r="C9860" s="1">
        <v>9</v>
      </c>
      <c r="D9860" s="1" t="s">
        <v>19</v>
      </c>
      <c r="E9860" s="1" t="s">
        <v>6</v>
      </c>
      <c r="F9860" s="1" t="s">
        <v>5091</v>
      </c>
      <c r="G9860" s="1" t="s">
        <v>6530</v>
      </c>
      <c r="H9860" s="1" t="s">
        <v>43</v>
      </c>
      <c r="I9860" s="1" t="s">
        <v>5630</v>
      </c>
    </row>
    <row r="9861" spans="1:10">
      <c r="A9861" s="7" t="s">
        <v>6580</v>
      </c>
      <c r="B9861" s="1" t="s">
        <v>2628</v>
      </c>
      <c r="C9861" s="1">
        <v>9</v>
      </c>
      <c r="D9861" s="1" t="s">
        <v>19</v>
      </c>
      <c r="E9861" s="1" t="s">
        <v>6</v>
      </c>
      <c r="F9861" s="1" t="s">
        <v>5091</v>
      </c>
      <c r="G9861" s="1" t="s">
        <v>6536</v>
      </c>
      <c r="H9861" s="1" t="s">
        <v>43</v>
      </c>
      <c r="I9861" s="1" t="s">
        <v>5483</v>
      </c>
    </row>
    <row r="9862" spans="1:10">
      <c r="A9862" s="7" t="s">
        <v>6590</v>
      </c>
      <c r="B9862" s="1" t="s">
        <v>2628</v>
      </c>
      <c r="C9862" s="1">
        <v>9</v>
      </c>
      <c r="D9862" s="1" t="s">
        <v>19</v>
      </c>
      <c r="E9862" s="1" t="s">
        <v>6</v>
      </c>
      <c r="F9862" s="1" t="s">
        <v>5091</v>
      </c>
      <c r="G9862" s="1" t="s">
        <v>6536</v>
      </c>
      <c r="H9862" s="1" t="s">
        <v>43</v>
      </c>
      <c r="I9862" s="1" t="s">
        <v>5483</v>
      </c>
    </row>
    <row r="9863" spans="1:10">
      <c r="A9863" s="7" t="s">
        <v>6596</v>
      </c>
      <c r="B9863" s="1" t="s">
        <v>2629</v>
      </c>
      <c r="C9863" s="1">
        <v>9</v>
      </c>
      <c r="D9863" s="1" t="s">
        <v>19</v>
      </c>
      <c r="E9863" s="1" t="s">
        <v>6</v>
      </c>
      <c r="F9863" s="1" t="s">
        <v>5241</v>
      </c>
      <c r="G9863" s="1" t="s">
        <v>6307</v>
      </c>
      <c r="H9863" s="1" t="s">
        <v>44</v>
      </c>
      <c r="I9863" s="1" t="s">
        <v>5807</v>
      </c>
    </row>
    <row r="9864" spans="1:10">
      <c r="A9864" s="7" t="s">
        <v>6598</v>
      </c>
      <c r="B9864" s="1" t="s">
        <v>2629</v>
      </c>
      <c r="C9864" s="1">
        <v>9</v>
      </c>
      <c r="D9864" s="1" t="s">
        <v>19</v>
      </c>
      <c r="E9864" s="1" t="s">
        <v>6</v>
      </c>
      <c r="F9864" s="1" t="s">
        <v>5241</v>
      </c>
      <c r="G9864" s="1" t="s">
        <v>6307</v>
      </c>
      <c r="H9864" s="1" t="s">
        <v>44</v>
      </c>
      <c r="I9864" s="1" t="s">
        <v>5807</v>
      </c>
    </row>
    <row r="9865" spans="1:10">
      <c r="A9865" s="7" t="s">
        <v>6599</v>
      </c>
      <c r="B9865" s="1" t="s">
        <v>2629</v>
      </c>
      <c r="C9865" s="1">
        <v>9</v>
      </c>
      <c r="D9865" s="1" t="s">
        <v>19</v>
      </c>
      <c r="E9865" s="1" t="s">
        <v>6</v>
      </c>
      <c r="F9865" s="1" t="s">
        <v>5241</v>
      </c>
      <c r="G9865" s="1" t="s">
        <v>4803</v>
      </c>
      <c r="H9865" s="1" t="s">
        <v>5</v>
      </c>
      <c r="I9865" s="1" t="s">
        <v>5807</v>
      </c>
      <c r="J9865" s="17"/>
    </row>
    <row r="9866" spans="1:10">
      <c r="A9866" s="7" t="s">
        <v>6600</v>
      </c>
      <c r="B9866" s="1" t="s">
        <v>2629</v>
      </c>
      <c r="C9866" s="1">
        <v>9</v>
      </c>
      <c r="D9866" s="1" t="s">
        <v>19</v>
      </c>
      <c r="E9866" s="1" t="s">
        <v>6</v>
      </c>
      <c r="F9866" s="1" t="s">
        <v>5241</v>
      </c>
      <c r="G9866" s="1" t="s">
        <v>4803</v>
      </c>
      <c r="H9866" s="1" t="s">
        <v>5</v>
      </c>
      <c r="I9866" s="1" t="s">
        <v>5807</v>
      </c>
      <c r="J9866" s="17"/>
    </row>
    <row r="9867" spans="1:10">
      <c r="A9867" s="7" t="s">
        <v>6675</v>
      </c>
      <c r="B9867" s="1" t="s">
        <v>2628</v>
      </c>
      <c r="C9867" s="1">
        <v>9</v>
      </c>
      <c r="D9867" s="1" t="s">
        <v>19</v>
      </c>
      <c r="E9867" s="1" t="s">
        <v>6</v>
      </c>
      <c r="F9867" s="1" t="s">
        <v>5241</v>
      </c>
      <c r="G9867" s="1" t="s">
        <v>4803</v>
      </c>
      <c r="H9867" s="1" t="s">
        <v>5</v>
      </c>
      <c r="I9867" s="1" t="s">
        <v>5807</v>
      </c>
      <c r="J9867" s="17"/>
    </row>
    <row r="9868" spans="1:10">
      <c r="A9868" s="7" t="s">
        <v>6676</v>
      </c>
      <c r="B9868" s="1" t="s">
        <v>2629</v>
      </c>
      <c r="C9868" s="1">
        <v>9</v>
      </c>
      <c r="D9868" s="1" t="s">
        <v>19</v>
      </c>
      <c r="E9868" s="1" t="s">
        <v>6</v>
      </c>
      <c r="F9868" s="1" t="s">
        <v>5241</v>
      </c>
      <c r="G9868" s="1" t="s">
        <v>6307</v>
      </c>
      <c r="H9868" s="1" t="s">
        <v>44</v>
      </c>
      <c r="I9868" s="1" t="s">
        <v>5807</v>
      </c>
    </row>
    <row r="9869" spans="1:10">
      <c r="A9869" s="7" t="s">
        <v>6677</v>
      </c>
      <c r="B9869" s="1" t="s">
        <v>2629</v>
      </c>
      <c r="C9869" s="1">
        <v>9</v>
      </c>
      <c r="D9869" s="1" t="s">
        <v>19</v>
      </c>
      <c r="E9869" s="1" t="s">
        <v>6</v>
      </c>
      <c r="F9869" s="1" t="s">
        <v>5241</v>
      </c>
      <c r="G9869" s="1" t="s">
        <v>4803</v>
      </c>
      <c r="H9869" s="1" t="s">
        <v>5</v>
      </c>
      <c r="I9869" s="1" t="s">
        <v>5807</v>
      </c>
      <c r="J9869" s="17"/>
    </row>
    <row r="9870" spans="1:10">
      <c r="A9870" s="7" t="s">
        <v>6679</v>
      </c>
      <c r="B9870" s="1" t="s">
        <v>2629</v>
      </c>
      <c r="C9870" s="1">
        <v>9</v>
      </c>
      <c r="D9870" s="1" t="s">
        <v>19</v>
      </c>
      <c r="E9870" s="1" t="s">
        <v>6</v>
      </c>
      <c r="F9870" s="1" t="s">
        <v>5241</v>
      </c>
      <c r="G9870" s="1" t="s">
        <v>4803</v>
      </c>
      <c r="H9870" s="1" t="s">
        <v>5</v>
      </c>
      <c r="I9870" s="1" t="s">
        <v>5807</v>
      </c>
      <c r="J9870" s="17"/>
    </row>
    <row r="9871" spans="1:10">
      <c r="A9871" s="7" t="s">
        <v>6680</v>
      </c>
      <c r="B9871" s="1" t="s">
        <v>2629</v>
      </c>
      <c r="C9871" s="1">
        <v>9</v>
      </c>
      <c r="D9871" s="1" t="s">
        <v>19</v>
      </c>
      <c r="E9871" s="1" t="s">
        <v>6</v>
      </c>
      <c r="F9871" s="1" t="s">
        <v>5241</v>
      </c>
      <c r="G9871" s="1" t="s">
        <v>4803</v>
      </c>
      <c r="H9871" s="1" t="s">
        <v>5</v>
      </c>
      <c r="I9871" s="1" t="s">
        <v>5807</v>
      </c>
      <c r="J9871" s="17"/>
    </row>
    <row r="9872" spans="1:10">
      <c r="A9872" s="7" t="s">
        <v>6681</v>
      </c>
      <c r="B9872" s="1" t="s">
        <v>2629</v>
      </c>
      <c r="C9872" s="1">
        <v>9</v>
      </c>
      <c r="D9872" s="1" t="s">
        <v>19</v>
      </c>
      <c r="E9872" s="1" t="s">
        <v>6</v>
      </c>
      <c r="F9872" s="1" t="s">
        <v>5241</v>
      </c>
      <c r="G9872" s="1" t="s">
        <v>4803</v>
      </c>
      <c r="H9872" s="1" t="s">
        <v>5</v>
      </c>
      <c r="I9872" s="1" t="s">
        <v>5807</v>
      </c>
      <c r="J9872" s="17"/>
    </row>
    <row r="9873" spans="1:10">
      <c r="A9873" s="7" t="s">
        <v>6682</v>
      </c>
      <c r="B9873" s="1" t="s">
        <v>2629</v>
      </c>
      <c r="C9873" s="1">
        <v>9</v>
      </c>
      <c r="D9873" s="1" t="s">
        <v>19</v>
      </c>
      <c r="E9873" s="1" t="s">
        <v>6</v>
      </c>
      <c r="F9873" s="1" t="s">
        <v>5241</v>
      </c>
      <c r="G9873" s="1" t="s">
        <v>4803</v>
      </c>
      <c r="H9873" s="1" t="s">
        <v>5</v>
      </c>
      <c r="I9873" s="1" t="s">
        <v>5807</v>
      </c>
      <c r="J9873" s="17"/>
    </row>
    <row r="9874" spans="1:10">
      <c r="A9874" s="7" t="s">
        <v>6683</v>
      </c>
      <c r="B9874" s="1" t="s">
        <v>2628</v>
      </c>
      <c r="C9874" s="1">
        <v>1113</v>
      </c>
      <c r="D9874" s="1" t="s">
        <v>19</v>
      </c>
      <c r="E9874" s="1" t="s">
        <v>6</v>
      </c>
      <c r="F9874" s="1" t="s">
        <v>5091</v>
      </c>
      <c r="G9874" s="1" t="s">
        <v>6186</v>
      </c>
      <c r="H9874" s="1" t="s">
        <v>5</v>
      </c>
      <c r="I9874" s="1" t="s">
        <v>5807</v>
      </c>
      <c r="J9874" s="17"/>
    </row>
    <row r="9875" spans="1:10">
      <c r="A9875" s="7" t="s">
        <v>6686</v>
      </c>
      <c r="B9875" s="1" t="s">
        <v>2629</v>
      </c>
      <c r="C9875" s="1">
        <v>9</v>
      </c>
      <c r="D9875" s="1" t="s">
        <v>19</v>
      </c>
      <c r="E9875" s="1" t="s">
        <v>6</v>
      </c>
      <c r="F9875" s="1" t="s">
        <v>5241</v>
      </c>
      <c r="G9875" s="1" t="s">
        <v>4803</v>
      </c>
      <c r="H9875" s="1" t="s">
        <v>5</v>
      </c>
      <c r="I9875" s="1" t="s">
        <v>5807</v>
      </c>
      <c r="J9875" s="17"/>
    </row>
    <row r="9876" spans="1:10">
      <c r="A9876" s="7" t="s">
        <v>6687</v>
      </c>
      <c r="B9876" s="1" t="s">
        <v>2629</v>
      </c>
      <c r="C9876" s="1">
        <v>9</v>
      </c>
      <c r="D9876" s="1" t="s">
        <v>19</v>
      </c>
      <c r="E9876" s="1" t="s">
        <v>6</v>
      </c>
      <c r="F9876" s="1" t="s">
        <v>5241</v>
      </c>
      <c r="G9876" s="1" t="s">
        <v>4803</v>
      </c>
      <c r="H9876" s="1" t="s">
        <v>5</v>
      </c>
      <c r="I9876" s="1" t="s">
        <v>5807</v>
      </c>
      <c r="J9876" s="17"/>
    </row>
    <row r="9877" spans="1:10">
      <c r="A9877" s="7" t="s">
        <v>6688</v>
      </c>
      <c r="B9877" s="1" t="s">
        <v>2629</v>
      </c>
      <c r="C9877" s="1">
        <v>9</v>
      </c>
      <c r="D9877" s="1" t="s">
        <v>19</v>
      </c>
      <c r="E9877" s="1" t="s">
        <v>6</v>
      </c>
      <c r="F9877" s="1" t="s">
        <v>5241</v>
      </c>
      <c r="G9877" s="1" t="s">
        <v>4803</v>
      </c>
      <c r="H9877" s="1" t="s">
        <v>5</v>
      </c>
      <c r="I9877" s="1" t="s">
        <v>5807</v>
      </c>
      <c r="J9877" s="17"/>
    </row>
    <row r="9878" spans="1:10">
      <c r="A9878" s="7" t="s">
        <v>6689</v>
      </c>
      <c r="B9878" s="1" t="s">
        <v>2629</v>
      </c>
      <c r="C9878" s="1">
        <v>9</v>
      </c>
      <c r="D9878" s="1" t="s">
        <v>19</v>
      </c>
      <c r="E9878" s="1" t="s">
        <v>6</v>
      </c>
      <c r="F9878" s="1" t="s">
        <v>5241</v>
      </c>
      <c r="G9878" s="1" t="s">
        <v>4803</v>
      </c>
      <c r="H9878" s="1" t="s">
        <v>5</v>
      </c>
      <c r="I9878" s="1" t="s">
        <v>5807</v>
      </c>
      <c r="J9878" s="17"/>
    </row>
    <row r="9879" spans="1:10">
      <c r="A9879" s="7" t="s">
        <v>6701</v>
      </c>
      <c r="B9879" s="1" t="s">
        <v>2628</v>
      </c>
      <c r="C9879" s="1">
        <v>1113</v>
      </c>
      <c r="D9879" s="1" t="s">
        <v>19</v>
      </c>
      <c r="E9879" s="1" t="s">
        <v>6</v>
      </c>
      <c r="F9879" s="1" t="s">
        <v>5091</v>
      </c>
      <c r="G9879" s="1" t="s">
        <v>6139</v>
      </c>
      <c r="H9879" s="1" t="s">
        <v>43</v>
      </c>
      <c r="I9879" s="1" t="s">
        <v>5807</v>
      </c>
    </row>
    <row r="9880" spans="1:10">
      <c r="A9880" s="7" t="s">
        <v>6702</v>
      </c>
      <c r="B9880" s="1" t="s">
        <v>2628</v>
      </c>
      <c r="C9880" s="1">
        <v>1113</v>
      </c>
      <c r="D9880" s="1" t="s">
        <v>19</v>
      </c>
      <c r="E9880" s="1" t="s">
        <v>6</v>
      </c>
      <c r="F9880" s="1" t="s">
        <v>5091</v>
      </c>
      <c r="G9880" s="1" t="s">
        <v>6139</v>
      </c>
      <c r="H9880" s="1" t="s">
        <v>43</v>
      </c>
      <c r="I9880" s="1" t="s">
        <v>5807</v>
      </c>
    </row>
    <row r="9881" spans="1:10">
      <c r="A9881" s="7" t="s">
        <v>6739</v>
      </c>
      <c r="B9881" s="1" t="s">
        <v>2628</v>
      </c>
      <c r="C9881" s="1">
        <v>9</v>
      </c>
      <c r="D9881" s="1" t="s">
        <v>19</v>
      </c>
      <c r="E9881" s="1" t="s">
        <v>6</v>
      </c>
      <c r="F9881" s="1" t="s">
        <v>5241</v>
      </c>
      <c r="G9881" s="1" t="s">
        <v>4803</v>
      </c>
      <c r="H9881" s="1" t="s">
        <v>5</v>
      </c>
      <c r="I9881" s="1" t="s">
        <v>5807</v>
      </c>
      <c r="J9881" s="17"/>
    </row>
    <row r="9882" spans="1:10">
      <c r="A9882" s="7" t="s">
        <v>6741</v>
      </c>
      <c r="B9882" s="1" t="s">
        <v>2628</v>
      </c>
      <c r="C9882" s="1">
        <v>9</v>
      </c>
      <c r="D9882" s="1" t="s">
        <v>19</v>
      </c>
      <c r="E9882" s="1" t="s">
        <v>6</v>
      </c>
      <c r="F9882" s="1" t="s">
        <v>5241</v>
      </c>
      <c r="G9882" s="1" t="s">
        <v>4803</v>
      </c>
      <c r="H9882" s="1" t="s">
        <v>5</v>
      </c>
      <c r="I9882" s="1" t="s">
        <v>5807</v>
      </c>
      <c r="J9882" s="17"/>
    </row>
    <row r="9883" spans="1:10">
      <c r="A9883" s="7" t="s">
        <v>6746</v>
      </c>
      <c r="B9883" s="1" t="s">
        <v>2628</v>
      </c>
      <c r="C9883" s="1">
        <v>9</v>
      </c>
      <c r="D9883" s="1" t="s">
        <v>19</v>
      </c>
      <c r="E9883" s="1" t="s">
        <v>6</v>
      </c>
      <c r="F9883" s="1" t="s">
        <v>5091</v>
      </c>
      <c r="G9883" s="1" t="s">
        <v>6536</v>
      </c>
      <c r="H9883" s="1" t="s">
        <v>43</v>
      </c>
      <c r="I9883" s="1" t="s">
        <v>5483</v>
      </c>
    </row>
    <row r="9884" spans="1:10">
      <c r="A9884" s="7" t="s">
        <v>6757</v>
      </c>
      <c r="B9884" s="1" t="s">
        <v>2628</v>
      </c>
      <c r="C9884" s="1">
        <v>9</v>
      </c>
      <c r="D9884" s="1" t="s">
        <v>19</v>
      </c>
      <c r="E9884" s="1" t="s">
        <v>6</v>
      </c>
      <c r="F9884" s="1" t="s">
        <v>5241</v>
      </c>
      <c r="G9884" s="1" t="s">
        <v>4803</v>
      </c>
      <c r="H9884" s="1" t="s">
        <v>5</v>
      </c>
      <c r="I9884" s="1" t="s">
        <v>5807</v>
      </c>
      <c r="J9884" s="17"/>
    </row>
    <row r="9885" spans="1:10">
      <c r="A9885" s="7" t="s">
        <v>6762</v>
      </c>
      <c r="B9885" s="1" t="s">
        <v>2628</v>
      </c>
      <c r="C9885" s="1">
        <v>9</v>
      </c>
      <c r="D9885" s="1" t="s">
        <v>19</v>
      </c>
      <c r="E9885" s="1" t="s">
        <v>6</v>
      </c>
      <c r="F9885" s="1" t="s">
        <v>5091</v>
      </c>
      <c r="G9885" s="1" t="s">
        <v>6181</v>
      </c>
      <c r="H9885" s="1" t="s">
        <v>118</v>
      </c>
      <c r="I9885" s="1" t="s">
        <v>4458</v>
      </c>
    </row>
    <row r="9886" spans="1:10">
      <c r="A9886" s="7" t="s">
        <v>6774</v>
      </c>
      <c r="B9886" s="1" t="s">
        <v>2628</v>
      </c>
      <c r="C9886" s="1">
        <v>2461</v>
      </c>
      <c r="D9886" s="1" t="s">
        <v>19</v>
      </c>
      <c r="E9886" s="1" t="s">
        <v>6</v>
      </c>
      <c r="F9886" s="1" t="s">
        <v>5091</v>
      </c>
      <c r="G9886" s="1" t="s">
        <v>6771</v>
      </c>
      <c r="H9886" s="1" t="s">
        <v>5</v>
      </c>
      <c r="I9886" s="1" t="s">
        <v>5807</v>
      </c>
      <c r="J9886" s="17"/>
    </row>
    <row r="9887" spans="1:10">
      <c r="A9887" s="7" t="s">
        <v>6775</v>
      </c>
      <c r="B9887" s="1" t="s">
        <v>2628</v>
      </c>
      <c r="C9887" s="1">
        <v>9</v>
      </c>
      <c r="D9887" s="1" t="s">
        <v>19</v>
      </c>
      <c r="E9887" s="1" t="s">
        <v>6</v>
      </c>
      <c r="F9887" s="1" t="s">
        <v>5091</v>
      </c>
      <c r="G9887" s="1" t="s">
        <v>6771</v>
      </c>
      <c r="H9887" s="1" t="s">
        <v>5</v>
      </c>
      <c r="I9887" s="1" t="s">
        <v>5807</v>
      </c>
      <c r="J9887" s="17"/>
    </row>
    <row r="9888" spans="1:10">
      <c r="A9888" s="7" t="s">
        <v>6791</v>
      </c>
      <c r="B9888" s="1" t="s">
        <v>2628</v>
      </c>
      <c r="C9888" s="1">
        <v>9</v>
      </c>
      <c r="D9888" s="1" t="s">
        <v>19</v>
      </c>
      <c r="E9888" s="1" t="s">
        <v>6</v>
      </c>
      <c r="F9888" s="1" t="s">
        <v>5091</v>
      </c>
      <c r="G9888" s="1" t="s">
        <v>6536</v>
      </c>
      <c r="H9888" s="1" t="s">
        <v>43</v>
      </c>
      <c r="I9888" s="1" t="s">
        <v>5483</v>
      </c>
    </row>
    <row r="9889" spans="1:10">
      <c r="A9889" s="7" t="s">
        <v>6795</v>
      </c>
      <c r="B9889" s="1" t="s">
        <v>2629</v>
      </c>
      <c r="C9889" s="1">
        <v>9</v>
      </c>
      <c r="D9889" s="1" t="s">
        <v>19</v>
      </c>
      <c r="E9889" s="1" t="s">
        <v>6</v>
      </c>
      <c r="F9889" s="1" t="s">
        <v>5241</v>
      </c>
      <c r="G9889" s="1" t="s">
        <v>4803</v>
      </c>
      <c r="H9889" s="1" t="s">
        <v>5</v>
      </c>
      <c r="I9889" s="1" t="s">
        <v>6090</v>
      </c>
      <c r="J9889" s="17"/>
    </row>
    <row r="9890" spans="1:10" ht="31.2">
      <c r="A9890" s="16" t="s">
        <v>6805</v>
      </c>
      <c r="B9890" s="1" t="s">
        <v>2628</v>
      </c>
      <c r="C9890" s="1">
        <v>9</v>
      </c>
      <c r="D9890" s="1" t="s">
        <v>19</v>
      </c>
      <c r="E9890" s="1" t="s">
        <v>6</v>
      </c>
      <c r="F9890" s="1" t="s">
        <v>5091</v>
      </c>
      <c r="G9890" s="14" t="s">
        <v>6145</v>
      </c>
      <c r="H9890" s="1" t="s">
        <v>43</v>
      </c>
      <c r="I9890" s="17">
        <v>41584</v>
      </c>
    </row>
    <row r="9891" spans="1:10">
      <c r="A9891" s="16" t="s">
        <v>6808</v>
      </c>
      <c r="B9891" s="1" t="s">
        <v>2628</v>
      </c>
      <c r="C9891" s="1">
        <v>9</v>
      </c>
      <c r="D9891" s="1" t="s">
        <v>19</v>
      </c>
      <c r="E9891" s="1" t="s">
        <v>6</v>
      </c>
      <c r="F9891" s="1" t="s">
        <v>5091</v>
      </c>
      <c r="G9891" s="14" t="s">
        <v>6145</v>
      </c>
      <c r="H9891" s="1" t="s">
        <v>43</v>
      </c>
      <c r="I9891" s="17">
        <v>41529</v>
      </c>
    </row>
    <row r="9892" spans="1:10" ht="31.2">
      <c r="A9892" s="16" t="s">
        <v>6809</v>
      </c>
      <c r="B9892" s="1" t="s">
        <v>2628</v>
      </c>
      <c r="C9892" s="1">
        <v>9</v>
      </c>
      <c r="D9892" s="1" t="s">
        <v>19</v>
      </c>
      <c r="E9892" s="1" t="s">
        <v>6</v>
      </c>
      <c r="F9892" s="1" t="s">
        <v>5091</v>
      </c>
      <c r="G9892" s="14" t="s">
        <v>6145</v>
      </c>
      <c r="H9892" s="1" t="s">
        <v>43</v>
      </c>
      <c r="I9892" s="17">
        <v>41583</v>
      </c>
    </row>
    <row r="9893" spans="1:10" ht="31.2">
      <c r="A9893" s="16" t="s">
        <v>6816</v>
      </c>
      <c r="B9893" s="1" t="s">
        <v>2628</v>
      </c>
      <c r="C9893" s="1">
        <v>9</v>
      </c>
      <c r="D9893" s="1" t="s">
        <v>19</v>
      </c>
      <c r="E9893" s="1" t="s">
        <v>6</v>
      </c>
      <c r="F9893" s="1" t="s">
        <v>5091</v>
      </c>
      <c r="G9893" s="14" t="s">
        <v>6145</v>
      </c>
      <c r="H9893" s="1" t="s">
        <v>43</v>
      </c>
      <c r="I9893" s="17">
        <v>41584</v>
      </c>
    </row>
    <row r="9894" spans="1:10">
      <c r="A9894" s="7" t="s">
        <v>6831</v>
      </c>
      <c r="B9894" s="1" t="s">
        <v>2629</v>
      </c>
      <c r="C9894" s="1">
        <v>9</v>
      </c>
      <c r="D9894" s="1" t="s">
        <v>19</v>
      </c>
      <c r="E9894" s="1" t="s">
        <v>6</v>
      </c>
      <c r="F9894" s="1" t="s">
        <v>5241</v>
      </c>
      <c r="G9894" s="1" t="s">
        <v>6307</v>
      </c>
      <c r="H9894" s="1" t="s">
        <v>44</v>
      </c>
      <c r="I9894" s="1" t="s">
        <v>6090</v>
      </c>
    </row>
    <row r="9895" spans="1:10">
      <c r="A9895" s="7" t="s">
        <v>6832</v>
      </c>
      <c r="B9895" s="1" t="s">
        <v>2629</v>
      </c>
      <c r="C9895" s="1">
        <v>9</v>
      </c>
      <c r="D9895" s="1" t="s">
        <v>19</v>
      </c>
      <c r="E9895" s="1" t="s">
        <v>6</v>
      </c>
      <c r="F9895" s="1" t="s">
        <v>5241</v>
      </c>
      <c r="G9895" s="1" t="s">
        <v>6307</v>
      </c>
      <c r="H9895" s="1" t="s">
        <v>44</v>
      </c>
      <c r="I9895" s="1" t="s">
        <v>6090</v>
      </c>
    </row>
    <row r="9896" spans="1:10">
      <c r="A9896" s="7" t="s">
        <v>6833</v>
      </c>
      <c r="B9896" s="1" t="s">
        <v>2628</v>
      </c>
      <c r="C9896" s="1">
        <v>9</v>
      </c>
      <c r="D9896" s="1" t="s">
        <v>19</v>
      </c>
      <c r="E9896" s="1" t="s">
        <v>6</v>
      </c>
      <c r="F9896" s="1" t="s">
        <v>5091</v>
      </c>
      <c r="G9896" s="1" t="s">
        <v>6536</v>
      </c>
      <c r="H9896" s="1" t="s">
        <v>43</v>
      </c>
      <c r="I9896" s="1" t="s">
        <v>5848</v>
      </c>
    </row>
    <row r="9897" spans="1:10">
      <c r="A9897" s="7" t="s">
        <v>6855</v>
      </c>
      <c r="B9897" s="1" t="s">
        <v>2628</v>
      </c>
      <c r="C9897" s="1">
        <v>9</v>
      </c>
      <c r="D9897" s="1" t="s">
        <v>19</v>
      </c>
      <c r="E9897" s="1" t="s">
        <v>6</v>
      </c>
      <c r="F9897" s="1" t="s">
        <v>5241</v>
      </c>
      <c r="G9897" s="1" t="s">
        <v>4803</v>
      </c>
      <c r="H9897" s="1" t="s">
        <v>5</v>
      </c>
      <c r="I9897" s="1" t="s">
        <v>5642</v>
      </c>
    </row>
    <row r="9898" spans="1:10">
      <c r="A9898" s="7" t="s">
        <v>6895</v>
      </c>
      <c r="B9898" s="1" t="s">
        <v>2628</v>
      </c>
      <c r="C9898" s="1">
        <v>2134</v>
      </c>
      <c r="D9898" s="1" t="s">
        <v>19</v>
      </c>
      <c r="E9898" s="1" t="s">
        <v>6</v>
      </c>
      <c r="F9898" s="1" t="s">
        <v>5091</v>
      </c>
      <c r="G9898" s="1" t="s">
        <v>6894</v>
      </c>
      <c r="H9898" s="1" t="s">
        <v>44</v>
      </c>
      <c r="I9898" s="1" t="s">
        <v>5855</v>
      </c>
    </row>
    <row r="9899" spans="1:10">
      <c r="A9899" s="7" t="s">
        <v>6897</v>
      </c>
      <c r="B9899" s="1" t="s">
        <v>2628</v>
      </c>
      <c r="C9899" s="1">
        <v>9</v>
      </c>
      <c r="D9899" s="1" t="s">
        <v>19</v>
      </c>
      <c r="E9899" s="1" t="s">
        <v>6</v>
      </c>
      <c r="F9899" s="1" t="s">
        <v>5091</v>
      </c>
      <c r="G9899" s="1" t="s">
        <v>6894</v>
      </c>
      <c r="H9899" s="1" t="s">
        <v>44</v>
      </c>
      <c r="I9899" s="1" t="s">
        <v>5848</v>
      </c>
    </row>
    <row r="9900" spans="1:10">
      <c r="A9900" s="7" t="s">
        <v>6899</v>
      </c>
      <c r="B9900" s="1" t="s">
        <v>2628</v>
      </c>
      <c r="C9900" s="1">
        <v>9</v>
      </c>
      <c r="D9900" s="1" t="s">
        <v>19</v>
      </c>
      <c r="E9900" s="1" t="s">
        <v>6</v>
      </c>
      <c r="F9900" s="1" t="s">
        <v>5091</v>
      </c>
      <c r="G9900" s="1" t="s">
        <v>6894</v>
      </c>
      <c r="H9900" s="1" t="s">
        <v>44</v>
      </c>
      <c r="I9900" s="1" t="s">
        <v>5848</v>
      </c>
    </row>
    <row r="9901" spans="1:10">
      <c r="A9901" s="7" t="s">
        <v>6905</v>
      </c>
      <c r="B9901" s="1" t="s">
        <v>2628</v>
      </c>
      <c r="C9901" s="1">
        <v>9</v>
      </c>
      <c r="D9901" s="1" t="s">
        <v>19</v>
      </c>
      <c r="E9901" s="1" t="s">
        <v>6</v>
      </c>
      <c r="F9901" s="1" t="s">
        <v>5091</v>
      </c>
      <c r="G9901" s="1" t="s">
        <v>6894</v>
      </c>
      <c r="H9901" s="1" t="s">
        <v>44</v>
      </c>
      <c r="I9901" s="1" t="s">
        <v>5722</v>
      </c>
    </row>
    <row r="9902" spans="1:10">
      <c r="A9902" s="7" t="s">
        <v>6924</v>
      </c>
      <c r="B9902" s="1" t="s">
        <v>2628</v>
      </c>
      <c r="C9902" s="1">
        <v>9</v>
      </c>
      <c r="D9902" s="1" t="s">
        <v>19</v>
      </c>
      <c r="E9902" s="1" t="s">
        <v>6</v>
      </c>
      <c r="F9902" s="1" t="s">
        <v>5241</v>
      </c>
      <c r="G9902" s="1" t="s">
        <v>4803</v>
      </c>
      <c r="H9902" s="1" t="s">
        <v>5</v>
      </c>
      <c r="I9902" s="1" t="s">
        <v>5653</v>
      </c>
    </row>
    <row r="9903" spans="1:10">
      <c r="A9903" s="7" t="s">
        <v>6925</v>
      </c>
      <c r="B9903" s="1" t="s">
        <v>2629</v>
      </c>
      <c r="C9903" s="1">
        <v>9</v>
      </c>
      <c r="D9903" s="1" t="s">
        <v>19</v>
      </c>
      <c r="E9903" s="1" t="s">
        <v>6</v>
      </c>
      <c r="F9903" s="1" t="s">
        <v>5241</v>
      </c>
      <c r="G9903" s="1" t="s">
        <v>4803</v>
      </c>
      <c r="H9903" s="1" t="s">
        <v>5</v>
      </c>
      <c r="I9903" s="1" t="s">
        <v>5653</v>
      </c>
      <c r="J9903" s="17"/>
    </row>
    <row r="9904" spans="1:10">
      <c r="A9904" s="7" t="s">
        <v>6926</v>
      </c>
      <c r="B9904" s="1" t="s">
        <v>2628</v>
      </c>
      <c r="C9904" s="1">
        <v>9</v>
      </c>
      <c r="D9904" s="1" t="s">
        <v>19</v>
      </c>
      <c r="E9904" s="1" t="s">
        <v>6</v>
      </c>
      <c r="F9904" s="1" t="s">
        <v>5241</v>
      </c>
      <c r="G9904" s="1" t="s">
        <v>4803</v>
      </c>
      <c r="H9904" s="1" t="s">
        <v>5</v>
      </c>
      <c r="I9904" s="1" t="s">
        <v>5653</v>
      </c>
    </row>
    <row r="9905" spans="1:10">
      <c r="A9905" s="7" t="s">
        <v>6929</v>
      </c>
      <c r="B9905" s="1" t="s">
        <v>2628</v>
      </c>
      <c r="C9905" s="1">
        <v>9</v>
      </c>
      <c r="D9905" s="1" t="s">
        <v>19</v>
      </c>
      <c r="E9905" s="1" t="s">
        <v>6</v>
      </c>
      <c r="F9905" s="1" t="s">
        <v>5241</v>
      </c>
      <c r="G9905" s="1" t="s">
        <v>4803</v>
      </c>
      <c r="H9905" s="1" t="s">
        <v>5</v>
      </c>
      <c r="I9905" s="1" t="s">
        <v>6844</v>
      </c>
    </row>
    <row r="9906" spans="1:10">
      <c r="A9906" s="7" t="s">
        <v>6931</v>
      </c>
      <c r="B9906" s="1" t="s">
        <v>2628</v>
      </c>
      <c r="C9906" s="1">
        <v>9</v>
      </c>
      <c r="D9906" s="1" t="s">
        <v>19</v>
      </c>
      <c r="E9906" s="1" t="s">
        <v>6</v>
      </c>
      <c r="F9906" s="1" t="s">
        <v>5241</v>
      </c>
      <c r="G9906" s="1" t="s">
        <v>4803</v>
      </c>
      <c r="H9906" s="1" t="s">
        <v>5</v>
      </c>
      <c r="I9906" s="1" t="s">
        <v>4789</v>
      </c>
    </row>
    <row r="9907" spans="1:10">
      <c r="A9907" s="7" t="s">
        <v>6932</v>
      </c>
      <c r="B9907" s="1" t="s">
        <v>2628</v>
      </c>
      <c r="C9907" s="1">
        <v>9</v>
      </c>
      <c r="D9907" s="1" t="s">
        <v>19</v>
      </c>
      <c r="E9907" s="1" t="s">
        <v>6</v>
      </c>
      <c r="F9907" s="1" t="s">
        <v>5241</v>
      </c>
      <c r="G9907" s="1" t="s">
        <v>4803</v>
      </c>
      <c r="H9907" s="1" t="s">
        <v>5</v>
      </c>
      <c r="I9907" s="1" t="s">
        <v>5659</v>
      </c>
    </row>
    <row r="9908" spans="1:10">
      <c r="A9908" s="7" t="s">
        <v>6933</v>
      </c>
      <c r="B9908" s="1" t="s">
        <v>2628</v>
      </c>
      <c r="C9908" s="1">
        <v>9</v>
      </c>
      <c r="D9908" s="1" t="s">
        <v>19</v>
      </c>
      <c r="E9908" s="1" t="s">
        <v>6</v>
      </c>
      <c r="F9908" s="1" t="s">
        <v>5241</v>
      </c>
      <c r="G9908" s="1" t="s">
        <v>4803</v>
      </c>
      <c r="H9908" s="1" t="s">
        <v>5</v>
      </c>
      <c r="I9908" s="1" t="s">
        <v>5798</v>
      </c>
    </row>
    <row r="9909" spans="1:10">
      <c r="A9909" s="7" t="s">
        <v>6934</v>
      </c>
      <c r="B9909" s="1" t="s">
        <v>2628</v>
      </c>
      <c r="C9909" s="1">
        <v>9</v>
      </c>
      <c r="D9909" s="1" t="s">
        <v>19</v>
      </c>
      <c r="E9909" s="1" t="s">
        <v>6</v>
      </c>
      <c r="F9909" s="1" t="s">
        <v>5241</v>
      </c>
      <c r="G9909" s="1" t="s">
        <v>6307</v>
      </c>
      <c r="H9909" s="1" t="s">
        <v>44</v>
      </c>
      <c r="I9909" s="1" t="s">
        <v>6844</v>
      </c>
    </row>
    <row r="9910" spans="1:10">
      <c r="A9910" s="7" t="s">
        <v>6935</v>
      </c>
      <c r="B9910" s="1" t="s">
        <v>2628</v>
      </c>
      <c r="C9910" s="1">
        <v>9</v>
      </c>
      <c r="D9910" s="1" t="s">
        <v>19</v>
      </c>
      <c r="E9910" s="1" t="s">
        <v>6</v>
      </c>
      <c r="F9910" s="1" t="s">
        <v>5241</v>
      </c>
      <c r="G9910" s="1" t="s">
        <v>4803</v>
      </c>
      <c r="H9910" s="1" t="s">
        <v>5</v>
      </c>
      <c r="I9910" s="1" t="s">
        <v>5659</v>
      </c>
    </row>
    <row r="9911" spans="1:10">
      <c r="A9911" s="7" t="s">
        <v>6938</v>
      </c>
      <c r="B9911" s="1" t="s">
        <v>2629</v>
      </c>
      <c r="C9911" s="1">
        <v>9</v>
      </c>
      <c r="D9911" s="1" t="s">
        <v>19</v>
      </c>
      <c r="E9911" s="1" t="s">
        <v>6</v>
      </c>
      <c r="F9911" s="1" t="s">
        <v>5241</v>
      </c>
      <c r="G9911" s="1" t="s">
        <v>4803</v>
      </c>
      <c r="H9911" s="1" t="s">
        <v>5</v>
      </c>
      <c r="I9911" s="1" t="s">
        <v>4789</v>
      </c>
      <c r="J9911" s="17"/>
    </row>
    <row r="9912" spans="1:10">
      <c r="A9912" s="7" t="s">
        <v>6941</v>
      </c>
      <c r="B9912" s="1" t="s">
        <v>2628</v>
      </c>
      <c r="C9912" s="1">
        <v>9</v>
      </c>
      <c r="D9912" s="1" t="s">
        <v>19</v>
      </c>
      <c r="E9912" s="1" t="s">
        <v>6</v>
      </c>
      <c r="F9912" s="1" t="s">
        <v>5241</v>
      </c>
      <c r="G9912" s="1" t="s">
        <v>4803</v>
      </c>
      <c r="H9912" s="1" t="s">
        <v>5</v>
      </c>
      <c r="I9912" s="1" t="s">
        <v>5659</v>
      </c>
    </row>
    <row r="9913" spans="1:10">
      <c r="A9913" s="7" t="s">
        <v>6943</v>
      </c>
      <c r="B9913" s="1" t="s">
        <v>2628</v>
      </c>
      <c r="C9913" s="1">
        <v>9</v>
      </c>
      <c r="D9913" s="1" t="s">
        <v>19</v>
      </c>
      <c r="E9913" s="1" t="s">
        <v>6</v>
      </c>
      <c r="F9913" s="1" t="s">
        <v>5241</v>
      </c>
      <c r="G9913" s="1" t="s">
        <v>6307</v>
      </c>
      <c r="H9913" s="1" t="s">
        <v>44</v>
      </c>
      <c r="I9913" s="1" t="s">
        <v>5659</v>
      </c>
    </row>
    <row r="9914" spans="1:10">
      <c r="A9914" s="7" t="s">
        <v>6945</v>
      </c>
      <c r="B9914" s="1" t="s">
        <v>2628</v>
      </c>
      <c r="C9914" s="1">
        <v>9</v>
      </c>
      <c r="D9914" s="1" t="s">
        <v>19</v>
      </c>
      <c r="E9914" s="1" t="s">
        <v>6</v>
      </c>
      <c r="F9914" s="1" t="s">
        <v>5241</v>
      </c>
      <c r="G9914" s="1" t="s">
        <v>4803</v>
      </c>
      <c r="H9914" s="1" t="s">
        <v>5</v>
      </c>
      <c r="I9914" s="1" t="s">
        <v>4789</v>
      </c>
    </row>
    <row r="9915" spans="1:10">
      <c r="A9915" s="7" t="s">
        <v>6952</v>
      </c>
      <c r="B9915" s="1" t="s">
        <v>2631</v>
      </c>
      <c r="C9915" s="1">
        <v>9</v>
      </c>
      <c r="D9915" s="1" t="s">
        <v>19</v>
      </c>
      <c r="E9915" s="1" t="s">
        <v>6</v>
      </c>
      <c r="F9915" s="1" t="s">
        <v>449</v>
      </c>
      <c r="G9915" s="1" t="s">
        <v>6953</v>
      </c>
      <c r="H9915" s="1" t="s">
        <v>43</v>
      </c>
      <c r="I9915" s="1" t="s">
        <v>5855</v>
      </c>
    </row>
    <row r="9916" spans="1:10">
      <c r="A9916" s="7" t="s">
        <v>6954</v>
      </c>
      <c r="B9916" s="1" t="s">
        <v>2631</v>
      </c>
      <c r="C9916" s="1">
        <v>9</v>
      </c>
      <c r="D9916" s="1" t="s">
        <v>19</v>
      </c>
      <c r="E9916" s="1" t="s">
        <v>6</v>
      </c>
      <c r="F9916" s="1" t="s">
        <v>449</v>
      </c>
      <c r="G9916" s="1" t="s">
        <v>6953</v>
      </c>
      <c r="H9916" s="1" t="s">
        <v>43</v>
      </c>
      <c r="I9916" s="1" t="s">
        <v>5855</v>
      </c>
    </row>
    <row r="9917" spans="1:10">
      <c r="A9917" s="7" t="s">
        <v>6955</v>
      </c>
      <c r="B9917" s="1" t="s">
        <v>2631</v>
      </c>
      <c r="C9917" s="1">
        <v>9</v>
      </c>
      <c r="D9917" s="1" t="s">
        <v>19</v>
      </c>
      <c r="E9917" s="1" t="s">
        <v>6</v>
      </c>
      <c r="F9917" s="1" t="s">
        <v>449</v>
      </c>
      <c r="G9917" s="1" t="s">
        <v>6953</v>
      </c>
      <c r="H9917" s="1" t="s">
        <v>43</v>
      </c>
      <c r="I9917" s="1" t="s">
        <v>5855</v>
      </c>
    </row>
    <row r="9918" spans="1:10">
      <c r="A9918" s="7" t="s">
        <v>6956</v>
      </c>
      <c r="B9918" s="1" t="s">
        <v>2631</v>
      </c>
      <c r="C9918" s="1">
        <v>9</v>
      </c>
      <c r="D9918" s="1" t="s">
        <v>19</v>
      </c>
      <c r="E9918" s="1" t="s">
        <v>6</v>
      </c>
      <c r="F9918" s="1" t="s">
        <v>449</v>
      </c>
      <c r="G9918" s="1" t="s">
        <v>6953</v>
      </c>
      <c r="H9918" s="1" t="s">
        <v>43</v>
      </c>
      <c r="I9918" s="1" t="s">
        <v>5855</v>
      </c>
    </row>
    <row r="9919" spans="1:10">
      <c r="A9919" s="7" t="s">
        <v>6957</v>
      </c>
      <c r="B9919" s="1" t="s">
        <v>2631</v>
      </c>
      <c r="C9919" s="1">
        <v>9</v>
      </c>
      <c r="D9919" s="1" t="s">
        <v>19</v>
      </c>
      <c r="E9919" s="1" t="s">
        <v>6</v>
      </c>
      <c r="F9919" s="1" t="s">
        <v>449</v>
      </c>
      <c r="G9919" s="1" t="s">
        <v>6953</v>
      </c>
      <c r="H9919" s="1" t="s">
        <v>43</v>
      </c>
      <c r="I9919" s="1" t="s">
        <v>5855</v>
      </c>
    </row>
    <row r="9920" spans="1:10">
      <c r="A9920" s="7" t="s">
        <v>6958</v>
      </c>
      <c r="B9920" s="1" t="s">
        <v>2631</v>
      </c>
      <c r="C9920" s="1">
        <v>9</v>
      </c>
      <c r="D9920" s="1" t="s">
        <v>19</v>
      </c>
      <c r="E9920" s="1" t="s">
        <v>6</v>
      </c>
      <c r="F9920" s="1" t="s">
        <v>449</v>
      </c>
      <c r="G9920" s="1" t="s">
        <v>6953</v>
      </c>
      <c r="H9920" s="1" t="s">
        <v>43</v>
      </c>
      <c r="I9920" s="1" t="s">
        <v>5855</v>
      </c>
    </row>
    <row r="9921" spans="1:9">
      <c r="A9921" s="7" t="s">
        <v>6959</v>
      </c>
      <c r="B9921" s="1" t="s">
        <v>2631</v>
      </c>
      <c r="C9921" s="1">
        <v>9</v>
      </c>
      <c r="D9921" s="1" t="s">
        <v>19</v>
      </c>
      <c r="E9921" s="1" t="s">
        <v>6</v>
      </c>
      <c r="F9921" s="1" t="s">
        <v>449</v>
      </c>
      <c r="G9921" s="1" t="s">
        <v>6953</v>
      </c>
      <c r="H9921" s="1" t="s">
        <v>43</v>
      </c>
      <c r="I9921" s="1" t="s">
        <v>5855</v>
      </c>
    </row>
    <row r="9922" spans="1:9">
      <c r="A9922" s="7" t="s">
        <v>6960</v>
      </c>
      <c r="B9922" s="1" t="s">
        <v>2631</v>
      </c>
      <c r="C9922" s="1">
        <v>9</v>
      </c>
      <c r="D9922" s="1" t="s">
        <v>19</v>
      </c>
      <c r="E9922" s="1" t="s">
        <v>6</v>
      </c>
      <c r="F9922" s="1" t="s">
        <v>449</v>
      </c>
      <c r="G9922" s="1" t="s">
        <v>6953</v>
      </c>
      <c r="H9922" s="1" t="s">
        <v>43</v>
      </c>
      <c r="I9922" s="1" t="s">
        <v>5855</v>
      </c>
    </row>
    <row r="9923" spans="1:9">
      <c r="A9923" s="7" t="s">
        <v>6961</v>
      </c>
      <c r="B9923" s="1" t="s">
        <v>2631</v>
      </c>
      <c r="C9923" s="1">
        <v>9</v>
      </c>
      <c r="D9923" s="1" t="s">
        <v>19</v>
      </c>
      <c r="E9923" s="1" t="s">
        <v>6</v>
      </c>
      <c r="F9923" s="1" t="s">
        <v>449</v>
      </c>
      <c r="G9923" s="1" t="s">
        <v>6953</v>
      </c>
      <c r="H9923" s="1" t="s">
        <v>43</v>
      </c>
      <c r="I9923" s="1" t="s">
        <v>5798</v>
      </c>
    </row>
    <row r="9924" spans="1:9">
      <c r="A9924" s="7" t="s">
        <v>6962</v>
      </c>
      <c r="B9924" s="1" t="s">
        <v>2631</v>
      </c>
      <c r="C9924" s="1">
        <v>9</v>
      </c>
      <c r="D9924" s="1" t="s">
        <v>19</v>
      </c>
      <c r="E9924" s="1" t="s">
        <v>6</v>
      </c>
      <c r="F9924" s="1" t="s">
        <v>449</v>
      </c>
      <c r="G9924" s="1" t="s">
        <v>6953</v>
      </c>
      <c r="H9924" s="1" t="s">
        <v>43</v>
      </c>
      <c r="I9924" s="1" t="s">
        <v>5855</v>
      </c>
    </row>
    <row r="9925" spans="1:9">
      <c r="A9925" s="7" t="s">
        <v>6963</v>
      </c>
      <c r="B9925" s="1" t="s">
        <v>2631</v>
      </c>
      <c r="C9925" s="1">
        <v>9</v>
      </c>
      <c r="D9925" s="1" t="s">
        <v>19</v>
      </c>
      <c r="E9925" s="1" t="s">
        <v>6</v>
      </c>
      <c r="F9925" s="1" t="s">
        <v>449</v>
      </c>
      <c r="G9925" s="1" t="s">
        <v>6953</v>
      </c>
      <c r="H9925" s="1" t="s">
        <v>43</v>
      </c>
      <c r="I9925" s="1" t="s">
        <v>5855</v>
      </c>
    </row>
    <row r="9926" spans="1:9">
      <c r="A9926" s="7" t="s">
        <v>6964</v>
      </c>
      <c r="B9926" s="1" t="s">
        <v>2631</v>
      </c>
      <c r="C9926" s="1">
        <v>9</v>
      </c>
      <c r="D9926" s="1" t="s">
        <v>19</v>
      </c>
      <c r="E9926" s="1" t="s">
        <v>6</v>
      </c>
      <c r="F9926" s="1" t="s">
        <v>449</v>
      </c>
      <c r="G9926" s="1" t="s">
        <v>6953</v>
      </c>
      <c r="H9926" s="1" t="s">
        <v>43</v>
      </c>
      <c r="I9926" s="1" t="s">
        <v>5855</v>
      </c>
    </row>
    <row r="9927" spans="1:9">
      <c r="A9927" s="7" t="s">
        <v>6965</v>
      </c>
      <c r="B9927" s="1" t="s">
        <v>2631</v>
      </c>
      <c r="C9927" s="1">
        <v>9</v>
      </c>
      <c r="D9927" s="1" t="s">
        <v>19</v>
      </c>
      <c r="E9927" s="1" t="s">
        <v>6</v>
      </c>
      <c r="F9927" s="1" t="s">
        <v>449</v>
      </c>
      <c r="G9927" s="1" t="s">
        <v>6953</v>
      </c>
      <c r="H9927" s="1" t="s">
        <v>43</v>
      </c>
      <c r="I9927" s="1" t="s">
        <v>5855</v>
      </c>
    </row>
    <row r="9928" spans="1:9">
      <c r="A9928" s="7" t="s">
        <v>6966</v>
      </c>
      <c r="B9928" s="1" t="s">
        <v>2631</v>
      </c>
      <c r="C9928" s="1">
        <v>9</v>
      </c>
      <c r="D9928" s="1" t="s">
        <v>19</v>
      </c>
      <c r="E9928" s="1" t="s">
        <v>6</v>
      </c>
      <c r="F9928" s="1" t="s">
        <v>449</v>
      </c>
      <c r="G9928" s="1" t="s">
        <v>6953</v>
      </c>
      <c r="H9928" s="1" t="s">
        <v>43</v>
      </c>
      <c r="I9928" s="1" t="s">
        <v>5855</v>
      </c>
    </row>
    <row r="9929" spans="1:9">
      <c r="A9929" s="7" t="s">
        <v>6967</v>
      </c>
      <c r="B9929" s="1" t="s">
        <v>2631</v>
      </c>
      <c r="C9929" s="1">
        <v>9</v>
      </c>
      <c r="D9929" s="1" t="s">
        <v>19</v>
      </c>
      <c r="E9929" s="1" t="s">
        <v>6</v>
      </c>
      <c r="F9929" s="1" t="s">
        <v>449</v>
      </c>
      <c r="G9929" s="1" t="s">
        <v>6953</v>
      </c>
      <c r="H9929" s="1" t="s">
        <v>43</v>
      </c>
      <c r="I9929" s="1" t="s">
        <v>5855</v>
      </c>
    </row>
    <row r="9930" spans="1:9">
      <c r="A9930" s="7" t="s">
        <v>6968</v>
      </c>
      <c r="B9930" s="1" t="s">
        <v>2631</v>
      </c>
      <c r="C9930" s="1">
        <v>9</v>
      </c>
      <c r="D9930" s="1" t="s">
        <v>19</v>
      </c>
      <c r="E9930" s="1" t="s">
        <v>6</v>
      </c>
      <c r="F9930" s="1" t="s">
        <v>449</v>
      </c>
      <c r="G9930" s="1" t="s">
        <v>6953</v>
      </c>
      <c r="H9930" s="1" t="s">
        <v>43</v>
      </c>
      <c r="I9930" s="1" t="s">
        <v>5855</v>
      </c>
    </row>
    <row r="9931" spans="1:9">
      <c r="A9931" s="7" t="s">
        <v>6969</v>
      </c>
      <c r="B9931" s="1" t="s">
        <v>2631</v>
      </c>
      <c r="C9931" s="1">
        <v>9</v>
      </c>
      <c r="D9931" s="1" t="s">
        <v>19</v>
      </c>
      <c r="E9931" s="1" t="s">
        <v>6</v>
      </c>
      <c r="F9931" s="1" t="s">
        <v>449</v>
      </c>
      <c r="G9931" s="1" t="s">
        <v>6953</v>
      </c>
      <c r="H9931" s="1" t="s">
        <v>43</v>
      </c>
      <c r="I9931" s="1" t="s">
        <v>5855</v>
      </c>
    </row>
    <row r="9932" spans="1:9">
      <c r="A9932" s="7" t="s">
        <v>6970</v>
      </c>
      <c r="B9932" s="1" t="s">
        <v>2631</v>
      </c>
      <c r="C9932" s="1">
        <v>9</v>
      </c>
      <c r="D9932" s="1" t="s">
        <v>19</v>
      </c>
      <c r="E9932" s="1" t="s">
        <v>6</v>
      </c>
      <c r="F9932" s="1" t="s">
        <v>449</v>
      </c>
      <c r="G9932" s="1" t="s">
        <v>6953</v>
      </c>
      <c r="H9932" s="1" t="s">
        <v>43</v>
      </c>
      <c r="I9932" s="1" t="s">
        <v>5855</v>
      </c>
    </row>
    <row r="9933" spans="1:9">
      <c r="A9933" s="7" t="s">
        <v>6971</v>
      </c>
      <c r="B9933" s="1" t="s">
        <v>2628</v>
      </c>
      <c r="C9933" s="1">
        <v>9</v>
      </c>
      <c r="D9933" s="1" t="s">
        <v>19</v>
      </c>
      <c r="E9933" s="1" t="s">
        <v>6</v>
      </c>
      <c r="F9933" s="1" t="s">
        <v>449</v>
      </c>
      <c r="G9933" s="1" t="s">
        <v>6953</v>
      </c>
      <c r="H9933" s="1" t="s">
        <v>43</v>
      </c>
      <c r="I9933" s="1" t="s">
        <v>5798</v>
      </c>
    </row>
    <row r="9934" spans="1:9">
      <c r="A9934" s="7" t="s">
        <v>6972</v>
      </c>
      <c r="B9934" s="1" t="s">
        <v>2631</v>
      </c>
      <c r="C9934" s="1">
        <v>9</v>
      </c>
      <c r="D9934" s="1" t="s">
        <v>19</v>
      </c>
      <c r="E9934" s="1" t="s">
        <v>6</v>
      </c>
      <c r="F9934" s="1" t="s">
        <v>449</v>
      </c>
      <c r="G9934" s="1" t="s">
        <v>6953</v>
      </c>
      <c r="H9934" s="1" t="s">
        <v>43</v>
      </c>
      <c r="I9934" s="1" t="s">
        <v>5855</v>
      </c>
    </row>
    <row r="9935" spans="1:9">
      <c r="A9935" s="7" t="s">
        <v>6973</v>
      </c>
      <c r="B9935" s="1" t="s">
        <v>2631</v>
      </c>
      <c r="C9935" s="1">
        <v>9</v>
      </c>
      <c r="D9935" s="1" t="s">
        <v>19</v>
      </c>
      <c r="E9935" s="1" t="s">
        <v>6</v>
      </c>
      <c r="F9935" s="1" t="s">
        <v>449</v>
      </c>
      <c r="G9935" s="1" t="s">
        <v>6953</v>
      </c>
      <c r="H9935" s="1" t="s">
        <v>43</v>
      </c>
      <c r="I9935" s="1" t="s">
        <v>5855</v>
      </c>
    </row>
    <row r="9936" spans="1:9">
      <c r="A9936" s="7" t="s">
        <v>6974</v>
      </c>
      <c r="B9936" s="1" t="s">
        <v>2631</v>
      </c>
      <c r="C9936" s="1">
        <v>9</v>
      </c>
      <c r="D9936" s="1" t="s">
        <v>19</v>
      </c>
      <c r="E9936" s="1" t="s">
        <v>6</v>
      </c>
      <c r="F9936" s="1" t="s">
        <v>449</v>
      </c>
      <c r="G9936" s="1" t="s">
        <v>6953</v>
      </c>
      <c r="H9936" s="1" t="s">
        <v>43</v>
      </c>
      <c r="I9936" s="1" t="s">
        <v>5855</v>
      </c>
    </row>
    <row r="9937" spans="1:9">
      <c r="A9937" s="7" t="s">
        <v>6975</v>
      </c>
      <c r="B9937" s="1" t="s">
        <v>2631</v>
      </c>
      <c r="C9937" s="1">
        <v>9</v>
      </c>
      <c r="D9937" s="1" t="s">
        <v>19</v>
      </c>
      <c r="E9937" s="1" t="s">
        <v>6</v>
      </c>
      <c r="F9937" s="1" t="s">
        <v>449</v>
      </c>
      <c r="G9937" s="1" t="s">
        <v>6953</v>
      </c>
      <c r="H9937" s="1" t="s">
        <v>43</v>
      </c>
      <c r="I9937" s="1" t="s">
        <v>5855</v>
      </c>
    </row>
    <row r="9938" spans="1:9">
      <c r="A9938" s="7" t="s">
        <v>6976</v>
      </c>
      <c r="B9938" s="1" t="s">
        <v>2631</v>
      </c>
      <c r="C9938" s="1">
        <v>9</v>
      </c>
      <c r="D9938" s="1" t="s">
        <v>19</v>
      </c>
      <c r="E9938" s="1" t="s">
        <v>6</v>
      </c>
      <c r="F9938" s="1" t="s">
        <v>449</v>
      </c>
      <c r="G9938" s="1" t="s">
        <v>6953</v>
      </c>
      <c r="H9938" s="1" t="s">
        <v>43</v>
      </c>
      <c r="I9938" s="1" t="s">
        <v>5855</v>
      </c>
    </row>
    <row r="9939" spans="1:9">
      <c r="A9939" s="7" t="s">
        <v>6977</v>
      </c>
      <c r="B9939" s="1" t="s">
        <v>2631</v>
      </c>
      <c r="C9939" s="1">
        <v>9</v>
      </c>
      <c r="D9939" s="1" t="s">
        <v>19</v>
      </c>
      <c r="E9939" s="1" t="s">
        <v>6</v>
      </c>
      <c r="F9939" s="1" t="s">
        <v>449</v>
      </c>
      <c r="G9939" s="1" t="s">
        <v>6953</v>
      </c>
      <c r="H9939" s="1" t="s">
        <v>43</v>
      </c>
      <c r="I9939" s="1" t="s">
        <v>5855</v>
      </c>
    </row>
    <row r="9940" spans="1:9">
      <c r="A9940" s="7" t="s">
        <v>6978</v>
      </c>
      <c r="B9940" s="1" t="s">
        <v>2631</v>
      </c>
      <c r="C9940" s="1">
        <v>9</v>
      </c>
      <c r="D9940" s="1" t="s">
        <v>19</v>
      </c>
      <c r="E9940" s="1" t="s">
        <v>6</v>
      </c>
      <c r="F9940" s="1" t="s">
        <v>449</v>
      </c>
      <c r="G9940" s="1" t="s">
        <v>6953</v>
      </c>
      <c r="H9940" s="1" t="s">
        <v>43</v>
      </c>
      <c r="I9940" s="1" t="s">
        <v>5855</v>
      </c>
    </row>
    <row r="9941" spans="1:9">
      <c r="A9941" s="7" t="s">
        <v>6979</v>
      </c>
      <c r="B9941" s="1" t="s">
        <v>2631</v>
      </c>
      <c r="C9941" s="1">
        <v>9</v>
      </c>
      <c r="D9941" s="1" t="s">
        <v>19</v>
      </c>
      <c r="E9941" s="1" t="s">
        <v>6</v>
      </c>
      <c r="F9941" s="1" t="s">
        <v>449</v>
      </c>
      <c r="G9941" s="1" t="s">
        <v>6953</v>
      </c>
      <c r="H9941" s="1" t="s">
        <v>43</v>
      </c>
      <c r="I9941" s="1" t="s">
        <v>5855</v>
      </c>
    </row>
    <row r="9942" spans="1:9">
      <c r="A9942" s="7" t="s">
        <v>6980</v>
      </c>
      <c r="B9942" s="1" t="s">
        <v>2631</v>
      </c>
      <c r="C9942" s="1">
        <v>9</v>
      </c>
      <c r="D9942" s="1" t="s">
        <v>19</v>
      </c>
      <c r="E9942" s="1" t="s">
        <v>6</v>
      </c>
      <c r="F9942" s="1" t="s">
        <v>449</v>
      </c>
      <c r="G9942" s="1" t="s">
        <v>6953</v>
      </c>
      <c r="H9942" s="1" t="s">
        <v>43</v>
      </c>
      <c r="I9942" s="1" t="s">
        <v>5855</v>
      </c>
    </row>
    <row r="9943" spans="1:9">
      <c r="A9943" s="7" t="s">
        <v>6981</v>
      </c>
      <c r="B9943" s="1" t="s">
        <v>2631</v>
      </c>
      <c r="C9943" s="1">
        <v>9</v>
      </c>
      <c r="D9943" s="1" t="s">
        <v>19</v>
      </c>
      <c r="E9943" s="1" t="s">
        <v>6</v>
      </c>
      <c r="F9943" s="1" t="s">
        <v>449</v>
      </c>
      <c r="G9943" s="1" t="s">
        <v>6953</v>
      </c>
      <c r="H9943" s="1" t="s">
        <v>43</v>
      </c>
      <c r="I9943" s="1" t="s">
        <v>5855</v>
      </c>
    </row>
    <row r="9944" spans="1:9">
      <c r="A9944" s="7" t="s">
        <v>6982</v>
      </c>
      <c r="B9944" s="1" t="s">
        <v>2628</v>
      </c>
      <c r="C9944" s="1">
        <v>9</v>
      </c>
      <c r="D9944" s="1" t="s">
        <v>19</v>
      </c>
      <c r="E9944" s="1" t="s">
        <v>6</v>
      </c>
      <c r="F9944" s="1" t="s">
        <v>449</v>
      </c>
      <c r="G9944" s="1" t="s">
        <v>6953</v>
      </c>
      <c r="H9944" s="1" t="s">
        <v>43</v>
      </c>
      <c r="I9944" s="1" t="s">
        <v>5798</v>
      </c>
    </row>
    <row r="9945" spans="1:9">
      <c r="A9945" s="7" t="s">
        <v>6983</v>
      </c>
      <c r="B9945" s="1" t="s">
        <v>2631</v>
      </c>
      <c r="C9945" s="1">
        <v>9</v>
      </c>
      <c r="D9945" s="1" t="s">
        <v>19</v>
      </c>
      <c r="E9945" s="1" t="s">
        <v>6</v>
      </c>
      <c r="F9945" s="1" t="s">
        <v>449</v>
      </c>
      <c r="G9945" s="1" t="s">
        <v>6953</v>
      </c>
      <c r="H9945" s="1" t="s">
        <v>43</v>
      </c>
      <c r="I9945" s="1" t="s">
        <v>5855</v>
      </c>
    </row>
    <row r="9946" spans="1:9">
      <c r="A9946" s="7" t="s">
        <v>6984</v>
      </c>
      <c r="B9946" s="1" t="s">
        <v>2628</v>
      </c>
      <c r="C9946" s="1">
        <v>9</v>
      </c>
      <c r="D9946" s="1" t="s">
        <v>19</v>
      </c>
      <c r="E9946" s="1" t="s">
        <v>6</v>
      </c>
      <c r="F9946" s="1" t="s">
        <v>449</v>
      </c>
      <c r="G9946" s="1" t="s">
        <v>6953</v>
      </c>
      <c r="H9946" s="1" t="s">
        <v>43</v>
      </c>
      <c r="I9946" s="1" t="s">
        <v>5855</v>
      </c>
    </row>
    <row r="9947" spans="1:9">
      <c r="A9947" s="7" t="s">
        <v>6985</v>
      </c>
      <c r="B9947" s="1" t="s">
        <v>2628</v>
      </c>
      <c r="C9947" s="1">
        <v>9</v>
      </c>
      <c r="D9947" s="1" t="s">
        <v>19</v>
      </c>
      <c r="E9947" s="1" t="s">
        <v>6</v>
      </c>
      <c r="F9947" s="1" t="s">
        <v>449</v>
      </c>
      <c r="G9947" s="1" t="s">
        <v>6953</v>
      </c>
      <c r="H9947" s="1" t="s">
        <v>43</v>
      </c>
      <c r="I9947" s="1" t="s">
        <v>5855</v>
      </c>
    </row>
    <row r="9948" spans="1:9">
      <c r="A9948" s="7" t="s">
        <v>6986</v>
      </c>
      <c r="B9948" s="1" t="s">
        <v>2628</v>
      </c>
      <c r="C9948" s="1">
        <v>9</v>
      </c>
      <c r="D9948" s="1" t="s">
        <v>19</v>
      </c>
      <c r="E9948" s="1" t="s">
        <v>6</v>
      </c>
      <c r="F9948" s="1" t="s">
        <v>449</v>
      </c>
      <c r="G9948" s="1" t="s">
        <v>6953</v>
      </c>
      <c r="H9948" s="1" t="s">
        <v>43</v>
      </c>
      <c r="I9948" s="1" t="s">
        <v>6844</v>
      </c>
    </row>
    <row r="9949" spans="1:9">
      <c r="A9949" s="7" t="s">
        <v>6987</v>
      </c>
      <c r="B9949" s="1" t="s">
        <v>2631</v>
      </c>
      <c r="C9949" s="1">
        <v>9</v>
      </c>
      <c r="D9949" s="1" t="s">
        <v>19</v>
      </c>
      <c r="E9949" s="1" t="s">
        <v>6</v>
      </c>
      <c r="F9949" s="1" t="s">
        <v>449</v>
      </c>
      <c r="G9949" s="1" t="s">
        <v>6953</v>
      </c>
      <c r="H9949" s="1" t="s">
        <v>43</v>
      </c>
      <c r="I9949" s="1" t="s">
        <v>6844</v>
      </c>
    </row>
    <row r="9950" spans="1:9">
      <c r="A9950" s="7" t="s">
        <v>6988</v>
      </c>
      <c r="B9950" s="1" t="s">
        <v>2628</v>
      </c>
      <c r="C9950" s="1">
        <v>9</v>
      </c>
      <c r="D9950" s="1" t="s">
        <v>19</v>
      </c>
      <c r="E9950" s="1" t="s">
        <v>6</v>
      </c>
      <c r="F9950" s="1" t="s">
        <v>449</v>
      </c>
      <c r="G9950" s="1" t="s">
        <v>6953</v>
      </c>
      <c r="H9950" s="1" t="s">
        <v>43</v>
      </c>
      <c r="I9950" s="1" t="s">
        <v>6844</v>
      </c>
    </row>
    <row r="9951" spans="1:9">
      <c r="A9951" s="7" t="s">
        <v>6989</v>
      </c>
      <c r="B9951" s="1" t="s">
        <v>2631</v>
      </c>
      <c r="C9951" s="1">
        <v>9</v>
      </c>
      <c r="D9951" s="1" t="s">
        <v>19</v>
      </c>
      <c r="E9951" s="1" t="s">
        <v>6</v>
      </c>
      <c r="F9951" s="1" t="s">
        <v>449</v>
      </c>
      <c r="G9951" s="1" t="s">
        <v>6953</v>
      </c>
      <c r="H9951" s="1" t="s">
        <v>43</v>
      </c>
      <c r="I9951" s="1" t="s">
        <v>6844</v>
      </c>
    </row>
    <row r="9952" spans="1:9">
      <c r="A9952" s="7" t="s">
        <v>6990</v>
      </c>
      <c r="B9952" s="1" t="s">
        <v>2628</v>
      </c>
      <c r="C9952" s="1">
        <v>9</v>
      </c>
      <c r="D9952" s="1" t="s">
        <v>19</v>
      </c>
      <c r="E9952" s="1" t="s">
        <v>6</v>
      </c>
      <c r="F9952" s="1" t="s">
        <v>449</v>
      </c>
      <c r="G9952" s="1" t="s">
        <v>6953</v>
      </c>
      <c r="H9952" s="1" t="s">
        <v>43</v>
      </c>
      <c r="I9952" s="1" t="s">
        <v>6844</v>
      </c>
    </row>
    <row r="9953" spans="1:9">
      <c r="A9953" s="7" t="s">
        <v>6991</v>
      </c>
      <c r="B9953" s="1" t="s">
        <v>2628</v>
      </c>
      <c r="C9953" s="1">
        <v>9</v>
      </c>
      <c r="D9953" s="1" t="s">
        <v>19</v>
      </c>
      <c r="E9953" s="1" t="s">
        <v>6</v>
      </c>
      <c r="F9953" s="1" t="s">
        <v>449</v>
      </c>
      <c r="G9953" s="1" t="s">
        <v>6953</v>
      </c>
      <c r="H9953" s="1" t="s">
        <v>43</v>
      </c>
      <c r="I9953" s="1" t="s">
        <v>6844</v>
      </c>
    </row>
    <row r="9954" spans="1:9">
      <c r="A9954" s="7" t="s">
        <v>6992</v>
      </c>
      <c r="B9954" s="1" t="s">
        <v>2628</v>
      </c>
      <c r="C9954" s="1">
        <v>9</v>
      </c>
      <c r="D9954" s="1" t="s">
        <v>19</v>
      </c>
      <c r="E9954" s="1" t="s">
        <v>6</v>
      </c>
      <c r="F9954" s="1" t="s">
        <v>449</v>
      </c>
      <c r="G9954" s="1" t="s">
        <v>6953</v>
      </c>
      <c r="H9954" s="1" t="s">
        <v>43</v>
      </c>
      <c r="I9954" s="1" t="s">
        <v>6844</v>
      </c>
    </row>
    <row r="9955" spans="1:9">
      <c r="A9955" s="7" t="s">
        <v>6993</v>
      </c>
      <c r="B9955" s="1" t="s">
        <v>2631</v>
      </c>
      <c r="C9955" s="1">
        <v>9</v>
      </c>
      <c r="D9955" s="1" t="s">
        <v>19</v>
      </c>
      <c r="E9955" s="1" t="s">
        <v>6</v>
      </c>
      <c r="F9955" s="1" t="s">
        <v>449</v>
      </c>
      <c r="G9955" s="1" t="s">
        <v>6953</v>
      </c>
      <c r="H9955" s="1" t="s">
        <v>43</v>
      </c>
      <c r="I9955" s="1" t="s">
        <v>5798</v>
      </c>
    </row>
    <row r="9956" spans="1:9">
      <c r="A9956" s="7" t="s">
        <v>6994</v>
      </c>
      <c r="B9956" s="1" t="s">
        <v>2628</v>
      </c>
      <c r="C9956" s="1">
        <v>9</v>
      </c>
      <c r="D9956" s="1" t="s">
        <v>19</v>
      </c>
      <c r="E9956" s="1" t="s">
        <v>6</v>
      </c>
      <c r="F9956" s="1" t="s">
        <v>449</v>
      </c>
      <c r="G9956" s="1" t="s">
        <v>6953</v>
      </c>
      <c r="H9956" s="1" t="s">
        <v>43</v>
      </c>
      <c r="I9956" s="1" t="s">
        <v>6844</v>
      </c>
    </row>
    <row r="9957" spans="1:9">
      <c r="A9957" s="7" t="s">
        <v>6995</v>
      </c>
      <c r="B9957" s="1" t="s">
        <v>2631</v>
      </c>
      <c r="C9957" s="1">
        <v>9</v>
      </c>
      <c r="D9957" s="1" t="s">
        <v>19</v>
      </c>
      <c r="E9957" s="1" t="s">
        <v>6</v>
      </c>
      <c r="F9957" s="1" t="s">
        <v>449</v>
      </c>
      <c r="G9957" s="1" t="s">
        <v>6953</v>
      </c>
      <c r="H9957" s="1" t="s">
        <v>43</v>
      </c>
      <c r="I9957" s="1" t="s">
        <v>6844</v>
      </c>
    </row>
    <row r="9958" spans="1:9">
      <c r="A9958" s="7" t="s">
        <v>6996</v>
      </c>
      <c r="B9958" s="1" t="s">
        <v>2631</v>
      </c>
      <c r="C9958" s="1">
        <v>9</v>
      </c>
      <c r="D9958" s="1" t="s">
        <v>19</v>
      </c>
      <c r="E9958" s="1" t="s">
        <v>6</v>
      </c>
      <c r="F9958" s="1" t="s">
        <v>449</v>
      </c>
      <c r="G9958" s="1" t="s">
        <v>6953</v>
      </c>
      <c r="H9958" s="1" t="s">
        <v>43</v>
      </c>
      <c r="I9958" s="1" t="s">
        <v>6844</v>
      </c>
    </row>
    <row r="9959" spans="1:9">
      <c r="A9959" s="7" t="s">
        <v>6997</v>
      </c>
      <c r="B9959" s="1" t="s">
        <v>2628</v>
      </c>
      <c r="C9959" s="1">
        <v>9</v>
      </c>
      <c r="D9959" s="1" t="s">
        <v>19</v>
      </c>
      <c r="E9959" s="1" t="s">
        <v>6</v>
      </c>
      <c r="F9959" s="1" t="s">
        <v>449</v>
      </c>
      <c r="G9959" s="1" t="s">
        <v>6953</v>
      </c>
      <c r="H9959" s="1" t="s">
        <v>43</v>
      </c>
      <c r="I9959" s="1" t="s">
        <v>6844</v>
      </c>
    </row>
    <row r="9960" spans="1:9">
      <c r="A9960" s="7" t="s">
        <v>6998</v>
      </c>
      <c r="B9960" s="1" t="s">
        <v>2628</v>
      </c>
      <c r="C9960" s="1">
        <v>9</v>
      </c>
      <c r="D9960" s="1" t="s">
        <v>19</v>
      </c>
      <c r="E9960" s="1" t="s">
        <v>6</v>
      </c>
      <c r="F9960" s="1" t="s">
        <v>449</v>
      </c>
      <c r="G9960" s="1" t="s">
        <v>6953</v>
      </c>
      <c r="H9960" s="1" t="s">
        <v>43</v>
      </c>
      <c r="I9960" s="1" t="s">
        <v>6844</v>
      </c>
    </row>
    <row r="9961" spans="1:9">
      <c r="A9961" s="7" t="s">
        <v>6999</v>
      </c>
      <c r="B9961" s="1" t="s">
        <v>2631</v>
      </c>
      <c r="C9961" s="1">
        <v>9</v>
      </c>
      <c r="D9961" s="1" t="s">
        <v>19</v>
      </c>
      <c r="E9961" s="1" t="s">
        <v>6</v>
      </c>
      <c r="F9961" s="1" t="s">
        <v>449</v>
      </c>
      <c r="G9961" s="1" t="s">
        <v>6953</v>
      </c>
      <c r="H9961" s="1" t="s">
        <v>43</v>
      </c>
      <c r="I9961" s="1" t="s">
        <v>6844</v>
      </c>
    </row>
    <row r="9962" spans="1:9">
      <c r="A9962" s="7" t="s">
        <v>7000</v>
      </c>
      <c r="B9962" s="1" t="s">
        <v>2628</v>
      </c>
      <c r="C9962" s="1">
        <v>9</v>
      </c>
      <c r="D9962" s="1" t="s">
        <v>19</v>
      </c>
      <c r="E9962" s="1" t="s">
        <v>6</v>
      </c>
      <c r="F9962" s="1" t="s">
        <v>449</v>
      </c>
      <c r="G9962" s="1" t="s">
        <v>6953</v>
      </c>
      <c r="H9962" s="1" t="s">
        <v>43</v>
      </c>
      <c r="I9962" s="1" t="s">
        <v>6844</v>
      </c>
    </row>
    <row r="9963" spans="1:9">
      <c r="A9963" s="7" t="s">
        <v>7001</v>
      </c>
      <c r="B9963" s="1" t="s">
        <v>2631</v>
      </c>
      <c r="C9963" s="1">
        <v>9</v>
      </c>
      <c r="D9963" s="1" t="s">
        <v>19</v>
      </c>
      <c r="E9963" s="1" t="s">
        <v>6</v>
      </c>
      <c r="F9963" s="1" t="s">
        <v>449</v>
      </c>
      <c r="G9963" s="1" t="s">
        <v>6953</v>
      </c>
      <c r="H9963" s="1" t="s">
        <v>43</v>
      </c>
      <c r="I9963" s="1" t="s">
        <v>5798</v>
      </c>
    </row>
    <row r="9964" spans="1:9">
      <c r="A9964" s="7" t="s">
        <v>7002</v>
      </c>
      <c r="B9964" s="1" t="s">
        <v>2628</v>
      </c>
      <c r="C9964" s="1">
        <v>9</v>
      </c>
      <c r="D9964" s="1" t="s">
        <v>19</v>
      </c>
      <c r="E9964" s="1" t="s">
        <v>6</v>
      </c>
      <c r="F9964" s="1" t="s">
        <v>449</v>
      </c>
      <c r="G9964" s="1" t="s">
        <v>6953</v>
      </c>
      <c r="H9964" s="1" t="s">
        <v>43</v>
      </c>
      <c r="I9964" s="1" t="s">
        <v>6844</v>
      </c>
    </row>
    <row r="9965" spans="1:9">
      <c r="A9965" s="7" t="s">
        <v>7003</v>
      </c>
      <c r="B9965" s="1" t="s">
        <v>2631</v>
      </c>
      <c r="C9965" s="1">
        <v>9</v>
      </c>
      <c r="D9965" s="1" t="s">
        <v>19</v>
      </c>
      <c r="E9965" s="1" t="s">
        <v>6</v>
      </c>
      <c r="F9965" s="1" t="s">
        <v>449</v>
      </c>
      <c r="G9965" s="1" t="s">
        <v>6953</v>
      </c>
      <c r="H9965" s="1" t="s">
        <v>43</v>
      </c>
      <c r="I9965" s="1" t="s">
        <v>6844</v>
      </c>
    </row>
    <row r="9966" spans="1:9">
      <c r="A9966" s="7" t="s">
        <v>7004</v>
      </c>
      <c r="B9966" s="1" t="s">
        <v>2628</v>
      </c>
      <c r="C9966" s="1">
        <v>9</v>
      </c>
      <c r="D9966" s="1" t="s">
        <v>19</v>
      </c>
      <c r="E9966" s="1" t="s">
        <v>6</v>
      </c>
      <c r="F9966" s="1" t="s">
        <v>449</v>
      </c>
      <c r="G9966" s="1" t="s">
        <v>6953</v>
      </c>
      <c r="H9966" s="1" t="s">
        <v>43</v>
      </c>
      <c r="I9966" s="1" t="s">
        <v>5798</v>
      </c>
    </row>
    <row r="9967" spans="1:9">
      <c r="A9967" s="7" t="s">
        <v>7005</v>
      </c>
      <c r="B9967" s="1" t="s">
        <v>2628</v>
      </c>
      <c r="C9967" s="1">
        <v>9</v>
      </c>
      <c r="D9967" s="1" t="s">
        <v>19</v>
      </c>
      <c r="E9967" s="1" t="s">
        <v>6</v>
      </c>
      <c r="F9967" s="1" t="s">
        <v>449</v>
      </c>
      <c r="G9967" s="1" t="s">
        <v>6953</v>
      </c>
      <c r="H9967" s="1" t="s">
        <v>43</v>
      </c>
      <c r="I9967" s="1" t="s">
        <v>5798</v>
      </c>
    </row>
    <row r="9968" spans="1:9">
      <c r="A9968" s="21" t="s">
        <v>7006</v>
      </c>
      <c r="B9968" s="13" t="s">
        <v>16952</v>
      </c>
      <c r="C9968" s="13">
        <v>9</v>
      </c>
      <c r="D9968" s="13" t="s">
        <v>19</v>
      </c>
      <c r="E9968" s="13" t="s">
        <v>6</v>
      </c>
      <c r="F9968" s="13" t="s">
        <v>449</v>
      </c>
      <c r="G9968" s="13" t="s">
        <v>6953</v>
      </c>
      <c r="H9968" s="13" t="s">
        <v>43</v>
      </c>
      <c r="I9968" s="13" t="s">
        <v>5798</v>
      </c>
    </row>
    <row r="9969" spans="1:9">
      <c r="A9969" s="7" t="s">
        <v>7007</v>
      </c>
      <c r="B9969" s="1" t="s">
        <v>2628</v>
      </c>
      <c r="C9969" s="1">
        <v>9</v>
      </c>
      <c r="D9969" s="1" t="s">
        <v>19</v>
      </c>
      <c r="E9969" s="1" t="s">
        <v>6</v>
      </c>
      <c r="F9969" s="1" t="s">
        <v>449</v>
      </c>
      <c r="G9969" s="1" t="s">
        <v>6953</v>
      </c>
      <c r="H9969" s="1" t="s">
        <v>43</v>
      </c>
      <c r="I9969" s="1" t="s">
        <v>5798</v>
      </c>
    </row>
    <row r="9970" spans="1:9">
      <c r="A9970" s="7" t="s">
        <v>7008</v>
      </c>
      <c r="B9970" s="1" t="s">
        <v>2628</v>
      </c>
      <c r="C9970" s="1">
        <v>9</v>
      </c>
      <c r="D9970" s="1" t="s">
        <v>19</v>
      </c>
      <c r="E9970" s="1" t="s">
        <v>6</v>
      </c>
      <c r="F9970" s="1" t="s">
        <v>449</v>
      </c>
      <c r="G9970" s="1" t="s">
        <v>6953</v>
      </c>
      <c r="H9970" s="1" t="s">
        <v>43</v>
      </c>
      <c r="I9970" s="1" t="s">
        <v>5798</v>
      </c>
    </row>
    <row r="9971" spans="1:9">
      <c r="A9971" s="7" t="s">
        <v>7009</v>
      </c>
      <c r="B9971" s="1" t="s">
        <v>2628</v>
      </c>
      <c r="C9971" s="1">
        <v>9</v>
      </c>
      <c r="D9971" s="1" t="s">
        <v>19</v>
      </c>
      <c r="E9971" s="1" t="s">
        <v>6</v>
      </c>
      <c r="F9971" s="1" t="s">
        <v>449</v>
      </c>
      <c r="G9971" s="1" t="s">
        <v>6953</v>
      </c>
      <c r="H9971" s="1" t="s">
        <v>43</v>
      </c>
      <c r="I9971" s="1" t="s">
        <v>5798</v>
      </c>
    </row>
    <row r="9972" spans="1:9">
      <c r="A9972" s="7" t="s">
        <v>7010</v>
      </c>
      <c r="B9972" s="1" t="s">
        <v>2628</v>
      </c>
      <c r="C9972" s="1">
        <v>9</v>
      </c>
      <c r="D9972" s="1" t="s">
        <v>19</v>
      </c>
      <c r="E9972" s="1" t="s">
        <v>6</v>
      </c>
      <c r="F9972" s="1" t="s">
        <v>449</v>
      </c>
      <c r="G9972" s="1" t="s">
        <v>6953</v>
      </c>
      <c r="H9972" s="1" t="s">
        <v>43</v>
      </c>
      <c r="I9972" s="1" t="s">
        <v>4789</v>
      </c>
    </row>
    <row r="9973" spans="1:9">
      <c r="A9973" s="7" t="s">
        <v>7011</v>
      </c>
      <c r="B9973" s="1" t="s">
        <v>2631</v>
      </c>
      <c r="C9973" s="1">
        <v>9</v>
      </c>
      <c r="D9973" s="1" t="s">
        <v>19</v>
      </c>
      <c r="E9973" s="1" t="s">
        <v>6</v>
      </c>
      <c r="F9973" s="1" t="s">
        <v>449</v>
      </c>
      <c r="G9973" s="1" t="s">
        <v>6953</v>
      </c>
      <c r="H9973" s="1" t="s">
        <v>43</v>
      </c>
      <c r="I9973" s="1" t="s">
        <v>4789</v>
      </c>
    </row>
    <row r="9974" spans="1:9">
      <c r="A9974" s="7" t="s">
        <v>7012</v>
      </c>
      <c r="B9974" s="1" t="s">
        <v>2631</v>
      </c>
      <c r="C9974" s="1">
        <v>9</v>
      </c>
      <c r="D9974" s="1" t="s">
        <v>19</v>
      </c>
      <c r="E9974" s="1" t="s">
        <v>6</v>
      </c>
      <c r="F9974" s="1" t="s">
        <v>449</v>
      </c>
      <c r="G9974" s="1" t="s">
        <v>6953</v>
      </c>
      <c r="H9974" s="1" t="s">
        <v>43</v>
      </c>
      <c r="I9974" s="1" t="s">
        <v>4789</v>
      </c>
    </row>
    <row r="9975" spans="1:9">
      <c r="A9975" s="21" t="s">
        <v>7013</v>
      </c>
      <c r="B9975" s="13" t="s">
        <v>16952</v>
      </c>
      <c r="C9975" s="13">
        <v>9</v>
      </c>
      <c r="D9975" s="13" t="s">
        <v>19</v>
      </c>
      <c r="E9975" s="13" t="s">
        <v>6</v>
      </c>
      <c r="F9975" s="13" t="s">
        <v>449</v>
      </c>
      <c r="G9975" s="13" t="s">
        <v>6953</v>
      </c>
      <c r="H9975" s="13" t="s">
        <v>43</v>
      </c>
      <c r="I9975" s="13" t="s">
        <v>4789</v>
      </c>
    </row>
    <row r="9976" spans="1:9">
      <c r="A9976" s="7" t="s">
        <v>7014</v>
      </c>
      <c r="B9976" s="1" t="s">
        <v>2631</v>
      </c>
      <c r="C9976" s="1">
        <v>9</v>
      </c>
      <c r="D9976" s="1" t="s">
        <v>19</v>
      </c>
      <c r="E9976" s="1" t="s">
        <v>6</v>
      </c>
      <c r="F9976" s="1" t="s">
        <v>449</v>
      </c>
      <c r="G9976" s="1" t="s">
        <v>6953</v>
      </c>
      <c r="H9976" s="1" t="s">
        <v>43</v>
      </c>
      <c r="I9976" s="1" t="s">
        <v>5659</v>
      </c>
    </row>
    <row r="9977" spans="1:9">
      <c r="A9977" s="7" t="s">
        <v>7015</v>
      </c>
      <c r="B9977" s="1" t="s">
        <v>2631</v>
      </c>
      <c r="C9977" s="1">
        <v>9</v>
      </c>
      <c r="D9977" s="1" t="s">
        <v>19</v>
      </c>
      <c r="E9977" s="1" t="s">
        <v>6</v>
      </c>
      <c r="F9977" s="1" t="s">
        <v>449</v>
      </c>
      <c r="G9977" s="1" t="s">
        <v>6953</v>
      </c>
      <c r="H9977" s="1" t="s">
        <v>43</v>
      </c>
      <c r="I9977" s="1" t="s">
        <v>5653</v>
      </c>
    </row>
    <row r="9978" spans="1:9">
      <c r="A9978" s="7" t="s">
        <v>7016</v>
      </c>
      <c r="B9978" s="1" t="s">
        <v>2628</v>
      </c>
      <c r="C9978" s="1">
        <v>9</v>
      </c>
      <c r="D9978" s="1" t="s">
        <v>19</v>
      </c>
      <c r="E9978" s="1" t="s">
        <v>6</v>
      </c>
      <c r="F9978" s="1" t="s">
        <v>449</v>
      </c>
      <c r="G9978" s="1" t="s">
        <v>6953</v>
      </c>
      <c r="H9978" s="1" t="s">
        <v>43</v>
      </c>
      <c r="I9978" s="1" t="s">
        <v>5798</v>
      </c>
    </row>
    <row r="9979" spans="1:9">
      <c r="A9979" s="7" t="s">
        <v>7017</v>
      </c>
      <c r="B9979" s="1" t="s">
        <v>2628</v>
      </c>
      <c r="C9979" s="1">
        <v>9</v>
      </c>
      <c r="D9979" s="1" t="s">
        <v>19</v>
      </c>
      <c r="E9979" s="1" t="s">
        <v>6</v>
      </c>
      <c r="F9979" s="1" t="s">
        <v>449</v>
      </c>
      <c r="G9979" s="1" t="s">
        <v>6953</v>
      </c>
      <c r="H9979" s="1" t="s">
        <v>43</v>
      </c>
      <c r="I9979" s="1" t="s">
        <v>5798</v>
      </c>
    </row>
    <row r="9980" spans="1:9">
      <c r="A9980" s="7" t="s">
        <v>7018</v>
      </c>
      <c r="B9980" s="1" t="s">
        <v>2631</v>
      </c>
      <c r="C9980" s="1">
        <v>9</v>
      </c>
      <c r="D9980" s="1" t="s">
        <v>19</v>
      </c>
      <c r="E9980" s="1" t="s">
        <v>6</v>
      </c>
      <c r="F9980" s="1" t="s">
        <v>449</v>
      </c>
      <c r="G9980" s="1" t="s">
        <v>6953</v>
      </c>
      <c r="H9980" s="1" t="s">
        <v>43</v>
      </c>
      <c r="I9980" s="1" t="s">
        <v>6844</v>
      </c>
    </row>
    <row r="9981" spans="1:9">
      <c r="A9981" s="7" t="s">
        <v>7019</v>
      </c>
      <c r="B9981" s="1" t="s">
        <v>2628</v>
      </c>
      <c r="C9981" s="1">
        <v>9</v>
      </c>
      <c r="D9981" s="1" t="s">
        <v>19</v>
      </c>
      <c r="E9981" s="1" t="s">
        <v>6</v>
      </c>
      <c r="F9981" s="1" t="s">
        <v>449</v>
      </c>
      <c r="G9981" s="1" t="s">
        <v>6953</v>
      </c>
      <c r="H9981" s="1" t="s">
        <v>43</v>
      </c>
      <c r="I9981" s="1" t="s">
        <v>6844</v>
      </c>
    </row>
    <row r="9982" spans="1:9">
      <c r="A9982" s="7" t="s">
        <v>7020</v>
      </c>
      <c r="B9982" s="1" t="s">
        <v>2628</v>
      </c>
      <c r="C9982" s="1">
        <v>9</v>
      </c>
      <c r="D9982" s="1" t="s">
        <v>19</v>
      </c>
      <c r="E9982" s="1" t="s">
        <v>6</v>
      </c>
      <c r="F9982" s="1" t="s">
        <v>449</v>
      </c>
      <c r="G9982" s="1" t="s">
        <v>6953</v>
      </c>
      <c r="H9982" s="1" t="s">
        <v>43</v>
      </c>
      <c r="I9982" s="1" t="s">
        <v>6844</v>
      </c>
    </row>
    <row r="9983" spans="1:9">
      <c r="A9983" s="7" t="s">
        <v>7021</v>
      </c>
      <c r="B9983" s="1" t="s">
        <v>2631</v>
      </c>
      <c r="C9983" s="1">
        <v>9</v>
      </c>
      <c r="D9983" s="1" t="s">
        <v>19</v>
      </c>
      <c r="E9983" s="1" t="s">
        <v>6</v>
      </c>
      <c r="F9983" s="1" t="s">
        <v>449</v>
      </c>
      <c r="G9983" s="1" t="s">
        <v>6953</v>
      </c>
      <c r="H9983" s="1" t="s">
        <v>43</v>
      </c>
      <c r="I9983" s="1" t="s">
        <v>5798</v>
      </c>
    </row>
    <row r="9984" spans="1:9">
      <c r="A9984" s="7" t="s">
        <v>7022</v>
      </c>
      <c r="B9984" s="1" t="s">
        <v>2628</v>
      </c>
      <c r="C9984" s="1">
        <v>9</v>
      </c>
      <c r="D9984" s="1" t="s">
        <v>19</v>
      </c>
      <c r="E9984" s="1" t="s">
        <v>6</v>
      </c>
      <c r="F9984" s="1" t="s">
        <v>449</v>
      </c>
      <c r="G9984" s="1" t="s">
        <v>6953</v>
      </c>
      <c r="H9984" s="1" t="s">
        <v>43</v>
      </c>
      <c r="I9984" s="1" t="s">
        <v>6844</v>
      </c>
    </row>
    <row r="9985" spans="1:9">
      <c r="A9985" s="7" t="s">
        <v>7023</v>
      </c>
      <c r="B9985" s="1" t="s">
        <v>2628</v>
      </c>
      <c r="C9985" s="1">
        <v>9</v>
      </c>
      <c r="D9985" s="1" t="s">
        <v>19</v>
      </c>
      <c r="E9985" s="1" t="s">
        <v>6</v>
      </c>
      <c r="F9985" s="1" t="s">
        <v>449</v>
      </c>
      <c r="G9985" s="1" t="s">
        <v>6953</v>
      </c>
      <c r="H9985" s="1" t="s">
        <v>43</v>
      </c>
      <c r="I9985" s="1" t="s">
        <v>6844</v>
      </c>
    </row>
    <row r="9986" spans="1:9">
      <c r="A9986" s="7" t="s">
        <v>7024</v>
      </c>
      <c r="B9986" s="1" t="s">
        <v>2628</v>
      </c>
      <c r="C9986" s="1">
        <v>9</v>
      </c>
      <c r="D9986" s="1" t="s">
        <v>19</v>
      </c>
      <c r="E9986" s="1" t="s">
        <v>6</v>
      </c>
      <c r="F9986" s="1" t="s">
        <v>449</v>
      </c>
      <c r="G9986" s="1" t="s">
        <v>6953</v>
      </c>
      <c r="H9986" s="1" t="s">
        <v>43</v>
      </c>
      <c r="I9986" s="1" t="s">
        <v>6844</v>
      </c>
    </row>
    <row r="9987" spans="1:9">
      <c r="A9987" s="7" t="s">
        <v>7025</v>
      </c>
      <c r="B9987" s="1" t="s">
        <v>2628</v>
      </c>
      <c r="C9987" s="1">
        <v>9</v>
      </c>
      <c r="D9987" s="1" t="s">
        <v>19</v>
      </c>
      <c r="E9987" s="1" t="s">
        <v>6</v>
      </c>
      <c r="F9987" s="1" t="s">
        <v>449</v>
      </c>
      <c r="G9987" s="1" t="s">
        <v>6953</v>
      </c>
      <c r="H9987" s="1" t="s">
        <v>43</v>
      </c>
      <c r="I9987" s="1" t="s">
        <v>5798</v>
      </c>
    </row>
    <row r="9988" spans="1:9">
      <c r="A9988" s="7" t="s">
        <v>7026</v>
      </c>
      <c r="B9988" s="1" t="s">
        <v>2628</v>
      </c>
      <c r="C9988" s="1">
        <v>9</v>
      </c>
      <c r="D9988" s="1" t="s">
        <v>19</v>
      </c>
      <c r="E9988" s="1" t="s">
        <v>6</v>
      </c>
      <c r="F9988" s="1" t="s">
        <v>449</v>
      </c>
      <c r="G9988" s="1" t="s">
        <v>6953</v>
      </c>
      <c r="H9988" s="1" t="s">
        <v>43</v>
      </c>
      <c r="I9988" s="1" t="s">
        <v>5798</v>
      </c>
    </row>
    <row r="9989" spans="1:9">
      <c r="A9989" s="7" t="s">
        <v>7027</v>
      </c>
      <c r="B9989" s="1" t="s">
        <v>2628</v>
      </c>
      <c r="C9989" s="1">
        <v>9</v>
      </c>
      <c r="D9989" s="1" t="s">
        <v>19</v>
      </c>
      <c r="E9989" s="1" t="s">
        <v>6</v>
      </c>
      <c r="F9989" s="1" t="s">
        <v>449</v>
      </c>
      <c r="G9989" s="1" t="s">
        <v>6953</v>
      </c>
      <c r="H9989" s="1" t="s">
        <v>43</v>
      </c>
      <c r="I9989" s="1" t="s">
        <v>5798</v>
      </c>
    </row>
    <row r="9990" spans="1:9">
      <c r="A9990" s="7" t="s">
        <v>7028</v>
      </c>
      <c r="B9990" s="1" t="s">
        <v>2628</v>
      </c>
      <c r="C9990" s="1">
        <v>9</v>
      </c>
      <c r="D9990" s="1" t="s">
        <v>19</v>
      </c>
      <c r="E9990" s="1" t="s">
        <v>6</v>
      </c>
      <c r="F9990" s="1" t="s">
        <v>449</v>
      </c>
      <c r="G9990" s="1" t="s">
        <v>6953</v>
      </c>
      <c r="H9990" s="1" t="s">
        <v>43</v>
      </c>
      <c r="I9990" s="1" t="s">
        <v>5798</v>
      </c>
    </row>
    <row r="9991" spans="1:9">
      <c r="A9991" s="7" t="s">
        <v>7029</v>
      </c>
      <c r="B9991" s="1" t="s">
        <v>2628</v>
      </c>
      <c r="C9991" s="1">
        <v>9</v>
      </c>
      <c r="D9991" s="1" t="s">
        <v>19</v>
      </c>
      <c r="E9991" s="1" t="s">
        <v>6</v>
      </c>
      <c r="F9991" s="1" t="s">
        <v>449</v>
      </c>
      <c r="G9991" s="1" t="s">
        <v>6953</v>
      </c>
      <c r="H9991" s="1" t="s">
        <v>43</v>
      </c>
      <c r="I9991" s="1" t="s">
        <v>5798</v>
      </c>
    </row>
    <row r="9992" spans="1:9">
      <c r="A9992" s="7" t="s">
        <v>7030</v>
      </c>
      <c r="B9992" s="1" t="s">
        <v>2628</v>
      </c>
      <c r="C9992" s="1">
        <v>9</v>
      </c>
      <c r="D9992" s="1" t="s">
        <v>19</v>
      </c>
      <c r="E9992" s="1" t="s">
        <v>6</v>
      </c>
      <c r="F9992" s="1" t="s">
        <v>449</v>
      </c>
      <c r="G9992" s="1" t="s">
        <v>6953</v>
      </c>
      <c r="H9992" s="1" t="s">
        <v>43</v>
      </c>
      <c r="I9992" s="1" t="s">
        <v>5798</v>
      </c>
    </row>
    <row r="9993" spans="1:9">
      <c r="A9993" s="7" t="s">
        <v>7031</v>
      </c>
      <c r="B9993" s="1" t="s">
        <v>2631</v>
      </c>
      <c r="C9993" s="1">
        <v>9</v>
      </c>
      <c r="D9993" s="1" t="s">
        <v>19</v>
      </c>
      <c r="E9993" s="1" t="s">
        <v>6</v>
      </c>
      <c r="F9993" s="1" t="s">
        <v>449</v>
      </c>
      <c r="G9993" s="1" t="s">
        <v>6953</v>
      </c>
      <c r="H9993" s="1" t="s">
        <v>43</v>
      </c>
      <c r="I9993" s="1" t="s">
        <v>5798</v>
      </c>
    </row>
    <row r="9994" spans="1:9">
      <c r="A9994" s="7" t="s">
        <v>7032</v>
      </c>
      <c r="B9994" s="1" t="s">
        <v>2628</v>
      </c>
      <c r="C9994" s="1">
        <v>9</v>
      </c>
      <c r="D9994" s="1" t="s">
        <v>19</v>
      </c>
      <c r="E9994" s="1" t="s">
        <v>6</v>
      </c>
      <c r="F9994" s="1" t="s">
        <v>449</v>
      </c>
      <c r="G9994" s="1" t="s">
        <v>6953</v>
      </c>
      <c r="H9994" s="1" t="s">
        <v>43</v>
      </c>
      <c r="I9994" s="1" t="s">
        <v>5798</v>
      </c>
    </row>
    <row r="9995" spans="1:9">
      <c r="A9995" s="7" t="s">
        <v>7033</v>
      </c>
      <c r="B9995" s="1" t="s">
        <v>2628</v>
      </c>
      <c r="C9995" s="1">
        <v>9</v>
      </c>
      <c r="D9995" s="1" t="s">
        <v>19</v>
      </c>
      <c r="E9995" s="1" t="s">
        <v>6</v>
      </c>
      <c r="F9995" s="1" t="s">
        <v>449</v>
      </c>
      <c r="G9995" s="1" t="s">
        <v>6953</v>
      </c>
      <c r="H9995" s="1" t="s">
        <v>43</v>
      </c>
      <c r="I9995" s="1" t="s">
        <v>5798</v>
      </c>
    </row>
    <row r="9996" spans="1:9">
      <c r="A9996" s="7" t="s">
        <v>7034</v>
      </c>
      <c r="B9996" s="1" t="s">
        <v>2628</v>
      </c>
      <c r="C9996" s="1">
        <v>9</v>
      </c>
      <c r="D9996" s="1" t="s">
        <v>19</v>
      </c>
      <c r="E9996" s="1" t="s">
        <v>6</v>
      </c>
      <c r="F9996" s="1" t="s">
        <v>449</v>
      </c>
      <c r="G9996" s="1" t="s">
        <v>6953</v>
      </c>
      <c r="H9996" s="1" t="s">
        <v>43</v>
      </c>
      <c r="I9996" s="1" t="s">
        <v>5798</v>
      </c>
    </row>
    <row r="9997" spans="1:9">
      <c r="A9997" s="7" t="s">
        <v>7035</v>
      </c>
      <c r="B9997" s="1" t="s">
        <v>2628</v>
      </c>
      <c r="C9997" s="1">
        <v>9</v>
      </c>
      <c r="D9997" s="1" t="s">
        <v>19</v>
      </c>
      <c r="E9997" s="1" t="s">
        <v>6</v>
      </c>
      <c r="F9997" s="1" t="s">
        <v>449</v>
      </c>
      <c r="G9997" s="1" t="s">
        <v>6953</v>
      </c>
      <c r="H9997" s="1" t="s">
        <v>43</v>
      </c>
      <c r="I9997" s="1" t="s">
        <v>5798</v>
      </c>
    </row>
    <row r="9998" spans="1:9">
      <c r="A9998" s="7" t="s">
        <v>7036</v>
      </c>
      <c r="B9998" s="1" t="s">
        <v>2631</v>
      </c>
      <c r="C9998" s="1">
        <v>9</v>
      </c>
      <c r="D9998" s="1" t="s">
        <v>19</v>
      </c>
      <c r="E9998" s="1" t="s">
        <v>6</v>
      </c>
      <c r="F9998" s="1" t="s">
        <v>449</v>
      </c>
      <c r="G9998" s="1" t="s">
        <v>6953</v>
      </c>
      <c r="H9998" s="1" t="s">
        <v>43</v>
      </c>
      <c r="I9998" s="1" t="s">
        <v>5483</v>
      </c>
    </row>
    <row r="9999" spans="1:9">
      <c r="A9999" s="7" t="s">
        <v>7037</v>
      </c>
      <c r="B9999" s="1" t="s">
        <v>2631</v>
      </c>
      <c r="C9999" s="1">
        <v>9</v>
      </c>
      <c r="D9999" s="1" t="s">
        <v>19</v>
      </c>
      <c r="E9999" s="1" t="s">
        <v>6</v>
      </c>
      <c r="F9999" s="1" t="s">
        <v>449</v>
      </c>
      <c r="G9999" s="1" t="s">
        <v>6953</v>
      </c>
      <c r="H9999" s="1" t="s">
        <v>43</v>
      </c>
      <c r="I9999" s="1" t="s">
        <v>5483</v>
      </c>
    </row>
    <row r="10000" spans="1:9">
      <c r="A10000" s="7" t="s">
        <v>7038</v>
      </c>
      <c r="B10000" s="1" t="s">
        <v>2628</v>
      </c>
      <c r="C10000" s="1">
        <v>9</v>
      </c>
      <c r="D10000" s="1" t="s">
        <v>19</v>
      </c>
      <c r="E10000" s="1" t="s">
        <v>6</v>
      </c>
      <c r="F10000" s="1" t="s">
        <v>449</v>
      </c>
      <c r="G10000" s="1" t="s">
        <v>6953</v>
      </c>
      <c r="H10000" s="1" t="s">
        <v>43</v>
      </c>
      <c r="I10000" s="1" t="s">
        <v>5483</v>
      </c>
    </row>
    <row r="10001" spans="1:9">
      <c r="A10001" s="7" t="s">
        <v>7039</v>
      </c>
      <c r="B10001" s="1" t="s">
        <v>2628</v>
      </c>
      <c r="C10001" s="1">
        <v>9</v>
      </c>
      <c r="D10001" s="1" t="s">
        <v>19</v>
      </c>
      <c r="E10001" s="1" t="s">
        <v>6</v>
      </c>
      <c r="F10001" s="1" t="s">
        <v>449</v>
      </c>
      <c r="G10001" s="1" t="s">
        <v>6953</v>
      </c>
      <c r="H10001" s="1" t="s">
        <v>43</v>
      </c>
      <c r="I10001" s="1" t="s">
        <v>5483</v>
      </c>
    </row>
    <row r="10002" spans="1:9">
      <c r="A10002" s="7" t="s">
        <v>7040</v>
      </c>
      <c r="B10002" s="1" t="s">
        <v>2628</v>
      </c>
      <c r="C10002" s="1">
        <v>9</v>
      </c>
      <c r="D10002" s="1" t="s">
        <v>19</v>
      </c>
      <c r="E10002" s="1" t="s">
        <v>6</v>
      </c>
      <c r="F10002" s="1" t="s">
        <v>449</v>
      </c>
      <c r="G10002" s="1" t="s">
        <v>6953</v>
      </c>
      <c r="H10002" s="1" t="s">
        <v>43</v>
      </c>
      <c r="I10002" s="1" t="s">
        <v>5483</v>
      </c>
    </row>
    <row r="10003" spans="1:9">
      <c r="A10003" s="21" t="s">
        <v>7041</v>
      </c>
      <c r="B10003" s="13" t="s">
        <v>16952</v>
      </c>
      <c r="C10003" s="13">
        <v>9</v>
      </c>
      <c r="D10003" s="13" t="s">
        <v>19</v>
      </c>
      <c r="E10003" s="13" t="s">
        <v>6</v>
      </c>
      <c r="F10003" s="13" t="s">
        <v>449</v>
      </c>
      <c r="G10003" s="13" t="s">
        <v>6953</v>
      </c>
      <c r="H10003" s="13" t="s">
        <v>43</v>
      </c>
      <c r="I10003" s="13" t="s">
        <v>5798</v>
      </c>
    </row>
    <row r="10004" spans="1:9">
      <c r="A10004" s="7" t="s">
        <v>7042</v>
      </c>
      <c r="B10004" s="1" t="s">
        <v>2628</v>
      </c>
      <c r="C10004" s="1">
        <v>9</v>
      </c>
      <c r="D10004" s="1" t="s">
        <v>19</v>
      </c>
      <c r="E10004" s="1" t="s">
        <v>6</v>
      </c>
      <c r="F10004" s="1" t="s">
        <v>449</v>
      </c>
      <c r="G10004" s="1" t="s">
        <v>6953</v>
      </c>
      <c r="H10004" s="1" t="s">
        <v>43</v>
      </c>
      <c r="I10004" s="1" t="s">
        <v>5483</v>
      </c>
    </row>
    <row r="10005" spans="1:9">
      <c r="A10005" s="7" t="s">
        <v>7043</v>
      </c>
      <c r="B10005" s="1" t="s">
        <v>2631</v>
      </c>
      <c r="C10005" s="1">
        <v>9</v>
      </c>
      <c r="D10005" s="1" t="s">
        <v>19</v>
      </c>
      <c r="E10005" s="1" t="s">
        <v>6</v>
      </c>
      <c r="F10005" s="1" t="s">
        <v>449</v>
      </c>
      <c r="G10005" s="1" t="s">
        <v>6953</v>
      </c>
      <c r="H10005" s="1" t="s">
        <v>43</v>
      </c>
      <c r="I10005" s="1" t="s">
        <v>5483</v>
      </c>
    </row>
    <row r="10006" spans="1:9">
      <c r="A10006" s="7" t="s">
        <v>7044</v>
      </c>
      <c r="B10006" s="1" t="s">
        <v>2628</v>
      </c>
      <c r="C10006" s="1">
        <v>9</v>
      </c>
      <c r="D10006" s="1" t="s">
        <v>19</v>
      </c>
      <c r="E10006" s="1" t="s">
        <v>6</v>
      </c>
      <c r="F10006" s="1" t="s">
        <v>449</v>
      </c>
      <c r="G10006" s="1" t="s">
        <v>6953</v>
      </c>
      <c r="H10006" s="1" t="s">
        <v>43</v>
      </c>
      <c r="I10006" s="1" t="s">
        <v>5483</v>
      </c>
    </row>
    <row r="10007" spans="1:9">
      <c r="A10007" s="7" t="s">
        <v>7045</v>
      </c>
      <c r="B10007" s="1" t="s">
        <v>2628</v>
      </c>
      <c r="C10007" s="1">
        <v>9</v>
      </c>
      <c r="D10007" s="1" t="s">
        <v>19</v>
      </c>
      <c r="E10007" s="1" t="s">
        <v>6</v>
      </c>
      <c r="F10007" s="1" t="s">
        <v>449</v>
      </c>
      <c r="G10007" s="1" t="s">
        <v>6953</v>
      </c>
      <c r="H10007" s="1" t="s">
        <v>43</v>
      </c>
      <c r="I10007" s="1" t="s">
        <v>5483</v>
      </c>
    </row>
    <row r="10008" spans="1:9">
      <c r="A10008" s="7" t="s">
        <v>7046</v>
      </c>
      <c r="B10008" s="1" t="s">
        <v>2631</v>
      </c>
      <c r="C10008" s="1">
        <v>9</v>
      </c>
      <c r="D10008" s="1" t="s">
        <v>19</v>
      </c>
      <c r="E10008" s="1" t="s">
        <v>6</v>
      </c>
      <c r="F10008" s="1" t="s">
        <v>449</v>
      </c>
      <c r="G10008" s="1" t="s">
        <v>6953</v>
      </c>
      <c r="H10008" s="1" t="s">
        <v>43</v>
      </c>
      <c r="I10008" s="1" t="s">
        <v>5483</v>
      </c>
    </row>
    <row r="10009" spans="1:9">
      <c r="A10009" s="7" t="s">
        <v>7047</v>
      </c>
      <c r="B10009" s="1" t="s">
        <v>2628</v>
      </c>
      <c r="C10009" s="1">
        <v>9</v>
      </c>
      <c r="D10009" s="1" t="s">
        <v>19</v>
      </c>
      <c r="E10009" s="1" t="s">
        <v>6</v>
      </c>
      <c r="F10009" s="1" t="s">
        <v>449</v>
      </c>
      <c r="G10009" s="1" t="s">
        <v>6953</v>
      </c>
      <c r="H10009" s="1" t="s">
        <v>43</v>
      </c>
      <c r="I10009" s="1" t="s">
        <v>5483</v>
      </c>
    </row>
    <row r="10010" spans="1:9">
      <c r="A10010" s="7" t="s">
        <v>7048</v>
      </c>
      <c r="B10010" s="1" t="s">
        <v>2628</v>
      </c>
      <c r="C10010" s="1">
        <v>9</v>
      </c>
      <c r="D10010" s="1" t="s">
        <v>19</v>
      </c>
      <c r="E10010" s="1" t="s">
        <v>6</v>
      </c>
      <c r="F10010" s="1" t="s">
        <v>449</v>
      </c>
      <c r="G10010" s="1" t="s">
        <v>6953</v>
      </c>
      <c r="H10010" s="1" t="s">
        <v>43</v>
      </c>
      <c r="I10010" s="1" t="s">
        <v>5483</v>
      </c>
    </row>
    <row r="10011" spans="1:9">
      <c r="A10011" s="7" t="s">
        <v>7049</v>
      </c>
      <c r="B10011" s="1" t="s">
        <v>2631</v>
      </c>
      <c r="C10011" s="1">
        <v>9</v>
      </c>
      <c r="D10011" s="1" t="s">
        <v>19</v>
      </c>
      <c r="E10011" s="1" t="s">
        <v>6</v>
      </c>
      <c r="F10011" s="1" t="s">
        <v>449</v>
      </c>
      <c r="G10011" s="1" t="s">
        <v>6953</v>
      </c>
      <c r="H10011" s="1" t="s">
        <v>43</v>
      </c>
      <c r="I10011" s="1" t="s">
        <v>5483</v>
      </c>
    </row>
    <row r="10012" spans="1:9">
      <c r="A10012" s="7" t="s">
        <v>7050</v>
      </c>
      <c r="B10012" s="1" t="s">
        <v>2631</v>
      </c>
      <c r="C10012" s="1">
        <v>9</v>
      </c>
      <c r="D10012" s="1" t="s">
        <v>19</v>
      </c>
      <c r="E10012" s="1" t="s">
        <v>6</v>
      </c>
      <c r="F10012" s="1" t="s">
        <v>449</v>
      </c>
      <c r="G10012" s="1" t="s">
        <v>6953</v>
      </c>
      <c r="H10012" s="1" t="s">
        <v>43</v>
      </c>
      <c r="I10012" s="1" t="s">
        <v>5483</v>
      </c>
    </row>
    <row r="10013" spans="1:9">
      <c r="A10013" s="7" t="s">
        <v>7051</v>
      </c>
      <c r="B10013" s="1" t="s">
        <v>2628</v>
      </c>
      <c r="C10013" s="1">
        <v>9</v>
      </c>
      <c r="D10013" s="1" t="s">
        <v>19</v>
      </c>
      <c r="E10013" s="1" t="s">
        <v>6</v>
      </c>
      <c r="F10013" s="1" t="s">
        <v>449</v>
      </c>
      <c r="G10013" s="1" t="s">
        <v>6953</v>
      </c>
      <c r="H10013" s="1" t="s">
        <v>43</v>
      </c>
      <c r="I10013" s="1" t="s">
        <v>5798</v>
      </c>
    </row>
    <row r="10014" spans="1:9">
      <c r="A10014" s="7" t="s">
        <v>7052</v>
      </c>
      <c r="B10014" s="1" t="s">
        <v>2628</v>
      </c>
      <c r="C10014" s="1">
        <v>9</v>
      </c>
      <c r="D10014" s="1" t="s">
        <v>19</v>
      </c>
      <c r="E10014" s="1" t="s">
        <v>6</v>
      </c>
      <c r="F10014" s="1" t="s">
        <v>449</v>
      </c>
      <c r="G10014" s="1" t="s">
        <v>6953</v>
      </c>
      <c r="H10014" s="1" t="s">
        <v>43</v>
      </c>
      <c r="I10014" s="1" t="s">
        <v>5483</v>
      </c>
    </row>
    <row r="10015" spans="1:9">
      <c r="A10015" s="7" t="s">
        <v>7053</v>
      </c>
      <c r="B10015" s="1" t="s">
        <v>2628</v>
      </c>
      <c r="C10015" s="1">
        <v>9</v>
      </c>
      <c r="D10015" s="1" t="s">
        <v>19</v>
      </c>
      <c r="E10015" s="1" t="s">
        <v>6</v>
      </c>
      <c r="F10015" s="1" t="s">
        <v>449</v>
      </c>
      <c r="G10015" s="1" t="s">
        <v>6953</v>
      </c>
      <c r="H10015" s="1" t="s">
        <v>43</v>
      </c>
      <c r="I10015" s="1" t="s">
        <v>5483</v>
      </c>
    </row>
    <row r="10016" spans="1:9">
      <c r="A10016" s="7" t="s">
        <v>7054</v>
      </c>
      <c r="B10016" s="1" t="s">
        <v>2628</v>
      </c>
      <c r="C10016" s="1">
        <v>9</v>
      </c>
      <c r="D10016" s="1" t="s">
        <v>19</v>
      </c>
      <c r="E10016" s="1" t="s">
        <v>6</v>
      </c>
      <c r="F10016" s="1" t="s">
        <v>449</v>
      </c>
      <c r="G10016" s="1" t="s">
        <v>6953</v>
      </c>
      <c r="H10016" s="1" t="s">
        <v>43</v>
      </c>
      <c r="I10016" s="1" t="s">
        <v>5483</v>
      </c>
    </row>
    <row r="10017" spans="1:9">
      <c r="A10017" s="7" t="s">
        <v>7055</v>
      </c>
      <c r="B10017" s="1" t="s">
        <v>2628</v>
      </c>
      <c r="C10017" s="1">
        <v>9</v>
      </c>
      <c r="D10017" s="1" t="s">
        <v>19</v>
      </c>
      <c r="E10017" s="1" t="s">
        <v>6</v>
      </c>
      <c r="F10017" s="1" t="s">
        <v>449</v>
      </c>
      <c r="G10017" s="1" t="s">
        <v>6953</v>
      </c>
      <c r="H10017" s="1" t="s">
        <v>43</v>
      </c>
      <c r="I10017" s="1" t="s">
        <v>5483</v>
      </c>
    </row>
    <row r="10018" spans="1:9">
      <c r="A10018" s="7" t="s">
        <v>7056</v>
      </c>
      <c r="B10018" s="1" t="s">
        <v>2628</v>
      </c>
      <c r="C10018" s="1">
        <v>9</v>
      </c>
      <c r="D10018" s="1" t="s">
        <v>19</v>
      </c>
      <c r="E10018" s="1" t="s">
        <v>6</v>
      </c>
      <c r="F10018" s="1" t="s">
        <v>449</v>
      </c>
      <c r="G10018" s="1" t="s">
        <v>6953</v>
      </c>
      <c r="H10018" s="1" t="s">
        <v>43</v>
      </c>
      <c r="I10018" s="1" t="s">
        <v>5483</v>
      </c>
    </row>
    <row r="10019" spans="1:9">
      <c r="A10019" s="7" t="s">
        <v>7057</v>
      </c>
      <c r="B10019" s="1" t="s">
        <v>2628</v>
      </c>
      <c r="C10019" s="1">
        <v>9</v>
      </c>
      <c r="D10019" s="1" t="s">
        <v>19</v>
      </c>
      <c r="E10019" s="1" t="s">
        <v>6</v>
      </c>
      <c r="F10019" s="1" t="s">
        <v>449</v>
      </c>
      <c r="G10019" s="1" t="s">
        <v>6953</v>
      </c>
      <c r="H10019" s="1" t="s">
        <v>43</v>
      </c>
      <c r="I10019" s="1" t="s">
        <v>5483</v>
      </c>
    </row>
    <row r="10020" spans="1:9">
      <c r="A10020" s="7" t="s">
        <v>7058</v>
      </c>
      <c r="B10020" s="1" t="s">
        <v>2628</v>
      </c>
      <c r="C10020" s="1">
        <v>9</v>
      </c>
      <c r="D10020" s="1" t="s">
        <v>19</v>
      </c>
      <c r="E10020" s="1" t="s">
        <v>6</v>
      </c>
      <c r="F10020" s="1" t="s">
        <v>449</v>
      </c>
      <c r="G10020" s="1" t="s">
        <v>6953</v>
      </c>
      <c r="H10020" s="1" t="s">
        <v>43</v>
      </c>
      <c r="I10020" s="1" t="s">
        <v>5483</v>
      </c>
    </row>
    <row r="10021" spans="1:9">
      <c r="A10021" s="7" t="s">
        <v>7059</v>
      </c>
      <c r="B10021" s="1" t="s">
        <v>2628</v>
      </c>
      <c r="C10021" s="1">
        <v>9</v>
      </c>
      <c r="D10021" s="1" t="s">
        <v>19</v>
      </c>
      <c r="E10021" s="1" t="s">
        <v>6</v>
      </c>
      <c r="F10021" s="1" t="s">
        <v>449</v>
      </c>
      <c r="G10021" s="1" t="s">
        <v>6953</v>
      </c>
      <c r="H10021" s="1" t="s">
        <v>43</v>
      </c>
      <c r="I10021" s="1" t="s">
        <v>5483</v>
      </c>
    </row>
    <row r="10022" spans="1:9">
      <c r="A10022" s="7" t="s">
        <v>7060</v>
      </c>
      <c r="B10022" s="1" t="s">
        <v>2628</v>
      </c>
      <c r="C10022" s="1">
        <v>9</v>
      </c>
      <c r="D10022" s="1" t="s">
        <v>19</v>
      </c>
      <c r="E10022" s="1" t="s">
        <v>6</v>
      </c>
      <c r="F10022" s="1" t="s">
        <v>449</v>
      </c>
      <c r="G10022" s="1" t="s">
        <v>6953</v>
      </c>
      <c r="H10022" s="1" t="s">
        <v>43</v>
      </c>
      <c r="I10022" s="1" t="s">
        <v>5483</v>
      </c>
    </row>
    <row r="10023" spans="1:9">
      <c r="A10023" s="7" t="s">
        <v>7061</v>
      </c>
      <c r="B10023" s="1" t="s">
        <v>2631</v>
      </c>
      <c r="C10023" s="1">
        <v>9</v>
      </c>
      <c r="D10023" s="1" t="s">
        <v>19</v>
      </c>
      <c r="E10023" s="1" t="s">
        <v>6</v>
      </c>
      <c r="F10023" s="1" t="s">
        <v>449</v>
      </c>
      <c r="G10023" s="1" t="s">
        <v>6953</v>
      </c>
      <c r="H10023" s="1" t="s">
        <v>43</v>
      </c>
      <c r="I10023" s="1" t="s">
        <v>5483</v>
      </c>
    </row>
    <row r="10024" spans="1:9">
      <c r="A10024" s="7" t="s">
        <v>7062</v>
      </c>
      <c r="B10024" s="1" t="s">
        <v>2631</v>
      </c>
      <c r="C10024" s="1">
        <v>9</v>
      </c>
      <c r="D10024" s="1" t="s">
        <v>19</v>
      </c>
      <c r="E10024" s="1" t="s">
        <v>6</v>
      </c>
      <c r="F10024" s="1" t="s">
        <v>449</v>
      </c>
      <c r="G10024" s="1" t="s">
        <v>6953</v>
      </c>
      <c r="H10024" s="1" t="s">
        <v>43</v>
      </c>
      <c r="I10024" s="1" t="s">
        <v>5798</v>
      </c>
    </row>
    <row r="10025" spans="1:9">
      <c r="A10025" s="7" t="s">
        <v>7063</v>
      </c>
      <c r="B10025" s="1" t="s">
        <v>2628</v>
      </c>
      <c r="C10025" s="1">
        <v>9</v>
      </c>
      <c r="D10025" s="1" t="s">
        <v>19</v>
      </c>
      <c r="E10025" s="1" t="s">
        <v>6</v>
      </c>
      <c r="F10025" s="1" t="s">
        <v>449</v>
      </c>
      <c r="G10025" s="1" t="s">
        <v>6953</v>
      </c>
      <c r="H10025" s="1" t="s">
        <v>43</v>
      </c>
      <c r="I10025" s="1" t="s">
        <v>5483</v>
      </c>
    </row>
    <row r="10026" spans="1:9">
      <c r="A10026" s="7" t="s">
        <v>7064</v>
      </c>
      <c r="B10026" s="1" t="s">
        <v>2628</v>
      </c>
      <c r="C10026" s="1">
        <v>9</v>
      </c>
      <c r="D10026" s="1" t="s">
        <v>19</v>
      </c>
      <c r="E10026" s="1" t="s">
        <v>6</v>
      </c>
      <c r="F10026" s="1" t="s">
        <v>449</v>
      </c>
      <c r="G10026" s="1" t="s">
        <v>6953</v>
      </c>
      <c r="H10026" s="1" t="s">
        <v>43</v>
      </c>
      <c r="I10026" s="1" t="s">
        <v>5483</v>
      </c>
    </row>
    <row r="10027" spans="1:9">
      <c r="A10027" s="7" t="s">
        <v>7065</v>
      </c>
      <c r="B10027" s="1" t="s">
        <v>2628</v>
      </c>
      <c r="C10027" s="1">
        <v>9</v>
      </c>
      <c r="D10027" s="1" t="s">
        <v>19</v>
      </c>
      <c r="E10027" s="1" t="s">
        <v>6</v>
      </c>
      <c r="F10027" s="1" t="s">
        <v>449</v>
      </c>
      <c r="G10027" s="1" t="s">
        <v>6953</v>
      </c>
      <c r="H10027" s="1" t="s">
        <v>43</v>
      </c>
      <c r="I10027" s="1" t="s">
        <v>5483</v>
      </c>
    </row>
    <row r="10028" spans="1:9">
      <c r="A10028" s="7" t="s">
        <v>7066</v>
      </c>
      <c r="B10028" s="1" t="s">
        <v>2628</v>
      </c>
      <c r="C10028" s="1">
        <v>9</v>
      </c>
      <c r="D10028" s="1" t="s">
        <v>19</v>
      </c>
      <c r="E10028" s="1" t="s">
        <v>6</v>
      </c>
      <c r="F10028" s="1" t="s">
        <v>449</v>
      </c>
      <c r="G10028" s="1" t="s">
        <v>6953</v>
      </c>
      <c r="H10028" s="1" t="s">
        <v>43</v>
      </c>
      <c r="I10028" s="1" t="s">
        <v>5722</v>
      </c>
    </row>
    <row r="10029" spans="1:9">
      <c r="A10029" s="7" t="s">
        <v>7067</v>
      </c>
      <c r="B10029" s="1" t="s">
        <v>2628</v>
      </c>
      <c r="C10029" s="1">
        <v>9</v>
      </c>
      <c r="D10029" s="1" t="s">
        <v>19</v>
      </c>
      <c r="E10029" s="1" t="s">
        <v>6</v>
      </c>
      <c r="F10029" s="1" t="s">
        <v>449</v>
      </c>
      <c r="G10029" s="1" t="s">
        <v>6953</v>
      </c>
      <c r="H10029" s="1" t="s">
        <v>43</v>
      </c>
      <c r="I10029" s="1" t="s">
        <v>5722</v>
      </c>
    </row>
    <row r="10030" spans="1:9">
      <c r="A10030" s="7" t="s">
        <v>7068</v>
      </c>
      <c r="B10030" s="1" t="s">
        <v>2628</v>
      </c>
      <c r="C10030" s="1">
        <v>9</v>
      </c>
      <c r="D10030" s="1" t="s">
        <v>19</v>
      </c>
      <c r="E10030" s="1" t="s">
        <v>6</v>
      </c>
      <c r="F10030" s="1" t="s">
        <v>449</v>
      </c>
      <c r="G10030" s="1" t="s">
        <v>6953</v>
      </c>
      <c r="H10030" s="1" t="s">
        <v>43</v>
      </c>
      <c r="I10030" s="1" t="s">
        <v>5722</v>
      </c>
    </row>
    <row r="10031" spans="1:9">
      <c r="A10031" s="7" t="s">
        <v>7069</v>
      </c>
      <c r="B10031" s="1" t="s">
        <v>2631</v>
      </c>
      <c r="C10031" s="1">
        <v>9</v>
      </c>
      <c r="D10031" s="1" t="s">
        <v>19</v>
      </c>
      <c r="E10031" s="1" t="s">
        <v>6</v>
      </c>
      <c r="F10031" s="1" t="s">
        <v>449</v>
      </c>
      <c r="G10031" s="1" t="s">
        <v>6953</v>
      </c>
      <c r="H10031" s="1" t="s">
        <v>43</v>
      </c>
      <c r="I10031" s="1" t="s">
        <v>5722</v>
      </c>
    </row>
    <row r="10032" spans="1:9">
      <c r="A10032" s="7" t="s">
        <v>7070</v>
      </c>
      <c r="B10032" s="1" t="s">
        <v>2628</v>
      </c>
      <c r="C10032" s="1">
        <v>9</v>
      </c>
      <c r="D10032" s="1" t="s">
        <v>19</v>
      </c>
      <c r="E10032" s="1" t="s">
        <v>6</v>
      </c>
      <c r="F10032" s="1" t="s">
        <v>449</v>
      </c>
      <c r="G10032" s="1" t="s">
        <v>6953</v>
      </c>
      <c r="H10032" s="1" t="s">
        <v>43</v>
      </c>
      <c r="I10032" s="1" t="s">
        <v>5722</v>
      </c>
    </row>
    <row r="10033" spans="1:10">
      <c r="A10033" s="7" t="s">
        <v>7071</v>
      </c>
      <c r="B10033" s="1" t="s">
        <v>2631</v>
      </c>
      <c r="C10033" s="1">
        <v>9</v>
      </c>
      <c r="D10033" s="1" t="s">
        <v>19</v>
      </c>
      <c r="E10033" s="1" t="s">
        <v>6</v>
      </c>
      <c r="F10033" s="1" t="s">
        <v>449</v>
      </c>
      <c r="G10033" s="1" t="s">
        <v>6953</v>
      </c>
      <c r="H10033" s="1" t="s">
        <v>43</v>
      </c>
      <c r="I10033" s="1" t="s">
        <v>5798</v>
      </c>
    </row>
    <row r="10034" spans="1:10">
      <c r="A10034" s="7" t="s">
        <v>7072</v>
      </c>
      <c r="B10034" s="1" t="s">
        <v>2628</v>
      </c>
      <c r="C10034" s="1">
        <v>9</v>
      </c>
      <c r="D10034" s="1" t="s">
        <v>19</v>
      </c>
      <c r="E10034" s="1" t="s">
        <v>6</v>
      </c>
      <c r="F10034" s="1" t="s">
        <v>449</v>
      </c>
      <c r="G10034" s="1" t="s">
        <v>6953</v>
      </c>
      <c r="H10034" s="1" t="s">
        <v>43</v>
      </c>
      <c r="I10034" s="1" t="s">
        <v>5722</v>
      </c>
    </row>
    <row r="10035" spans="1:10">
      <c r="A10035" s="7" t="s">
        <v>7073</v>
      </c>
      <c r="B10035" s="1" t="s">
        <v>2628</v>
      </c>
      <c r="C10035" s="1">
        <v>9</v>
      </c>
      <c r="D10035" s="1" t="s">
        <v>19</v>
      </c>
      <c r="E10035" s="1" t="s">
        <v>6</v>
      </c>
      <c r="F10035" s="1" t="s">
        <v>449</v>
      </c>
      <c r="G10035" s="1" t="s">
        <v>6953</v>
      </c>
      <c r="H10035" s="1" t="s">
        <v>43</v>
      </c>
      <c r="I10035" s="1" t="s">
        <v>5722</v>
      </c>
    </row>
    <row r="10036" spans="1:10">
      <c r="A10036" s="7" t="s">
        <v>7074</v>
      </c>
      <c r="B10036" s="1" t="s">
        <v>2628</v>
      </c>
      <c r="C10036" s="1">
        <v>9</v>
      </c>
      <c r="D10036" s="1" t="s">
        <v>19</v>
      </c>
      <c r="E10036" s="1" t="s">
        <v>6</v>
      </c>
      <c r="F10036" s="1" t="s">
        <v>449</v>
      </c>
      <c r="G10036" s="1" t="s">
        <v>6953</v>
      </c>
      <c r="H10036" s="1" t="s">
        <v>43</v>
      </c>
      <c r="I10036" s="1" t="s">
        <v>5722</v>
      </c>
    </row>
    <row r="10037" spans="1:10">
      <c r="A10037" s="7" t="s">
        <v>7075</v>
      </c>
      <c r="B10037" s="1" t="s">
        <v>2628</v>
      </c>
      <c r="C10037" s="1">
        <v>9</v>
      </c>
      <c r="D10037" s="1" t="s">
        <v>19</v>
      </c>
      <c r="E10037" s="1" t="s">
        <v>6</v>
      </c>
      <c r="F10037" s="1" t="s">
        <v>449</v>
      </c>
      <c r="G10037" s="1" t="s">
        <v>6953</v>
      </c>
      <c r="H10037" s="1" t="s">
        <v>43</v>
      </c>
      <c r="I10037" s="1" t="s">
        <v>5722</v>
      </c>
    </row>
    <row r="10038" spans="1:10">
      <c r="A10038" s="7" t="s">
        <v>7076</v>
      </c>
      <c r="B10038" s="1" t="s">
        <v>2628</v>
      </c>
      <c r="C10038" s="1">
        <v>9</v>
      </c>
      <c r="D10038" s="1" t="s">
        <v>19</v>
      </c>
      <c r="E10038" s="1" t="s">
        <v>6</v>
      </c>
      <c r="F10038" s="1" t="s">
        <v>449</v>
      </c>
      <c r="G10038" s="1" t="s">
        <v>6953</v>
      </c>
      <c r="H10038" s="1" t="s">
        <v>43</v>
      </c>
      <c r="I10038" s="1" t="s">
        <v>5855</v>
      </c>
    </row>
    <row r="10039" spans="1:10">
      <c r="A10039" s="7" t="s">
        <v>7077</v>
      </c>
      <c r="B10039" s="1" t="s">
        <v>2631</v>
      </c>
      <c r="C10039" s="1">
        <v>9</v>
      </c>
      <c r="D10039" s="1" t="s">
        <v>19</v>
      </c>
      <c r="E10039" s="1" t="s">
        <v>6</v>
      </c>
      <c r="F10039" s="1" t="s">
        <v>449</v>
      </c>
      <c r="G10039" s="1" t="s">
        <v>6953</v>
      </c>
      <c r="H10039" s="1" t="s">
        <v>43</v>
      </c>
      <c r="I10039" s="1" t="s">
        <v>5855</v>
      </c>
    </row>
    <row r="10040" spans="1:10">
      <c r="A10040" s="7" t="s">
        <v>7078</v>
      </c>
      <c r="B10040" s="1" t="s">
        <v>2631</v>
      </c>
      <c r="C10040" s="1">
        <v>9</v>
      </c>
      <c r="D10040" s="1" t="s">
        <v>19</v>
      </c>
      <c r="E10040" s="1" t="s">
        <v>6</v>
      </c>
      <c r="F10040" s="1" t="s">
        <v>449</v>
      </c>
      <c r="G10040" s="1" t="s">
        <v>6953</v>
      </c>
      <c r="H10040" s="1" t="s">
        <v>43</v>
      </c>
      <c r="I10040" s="1" t="s">
        <v>5855</v>
      </c>
      <c r="J10040" s="11"/>
    </row>
    <row r="10041" spans="1:10">
      <c r="A10041" s="7" t="s">
        <v>7079</v>
      </c>
      <c r="B10041" s="1" t="s">
        <v>2631</v>
      </c>
      <c r="C10041" s="1">
        <v>9</v>
      </c>
      <c r="D10041" s="1" t="s">
        <v>19</v>
      </c>
      <c r="E10041" s="1" t="s">
        <v>6</v>
      </c>
      <c r="F10041" s="1" t="s">
        <v>449</v>
      </c>
      <c r="G10041" s="1" t="s">
        <v>6953</v>
      </c>
      <c r="H10041" s="1" t="s">
        <v>43</v>
      </c>
      <c r="I10041" s="1" t="s">
        <v>5798</v>
      </c>
    </row>
    <row r="10042" spans="1:10">
      <c r="A10042" s="7" t="s">
        <v>7080</v>
      </c>
      <c r="B10042" s="1" t="s">
        <v>2631</v>
      </c>
      <c r="C10042" s="1">
        <v>9</v>
      </c>
      <c r="D10042" s="1" t="s">
        <v>19</v>
      </c>
      <c r="E10042" s="1" t="s">
        <v>6</v>
      </c>
      <c r="F10042" s="1" t="s">
        <v>449</v>
      </c>
      <c r="G10042" s="1" t="s">
        <v>6953</v>
      </c>
      <c r="H10042" s="1" t="s">
        <v>43</v>
      </c>
      <c r="I10042" s="1" t="s">
        <v>5798</v>
      </c>
    </row>
    <row r="10043" spans="1:10">
      <c r="A10043" s="7" t="s">
        <v>7081</v>
      </c>
      <c r="B10043" s="1" t="s">
        <v>2631</v>
      </c>
      <c r="C10043" s="1">
        <v>9</v>
      </c>
      <c r="D10043" s="1" t="s">
        <v>19</v>
      </c>
      <c r="E10043" s="1" t="s">
        <v>6</v>
      </c>
      <c r="F10043" s="1" t="s">
        <v>449</v>
      </c>
      <c r="G10043" s="1" t="s">
        <v>6953</v>
      </c>
      <c r="H10043" s="1" t="s">
        <v>43</v>
      </c>
      <c r="I10043" s="1" t="s">
        <v>5855</v>
      </c>
    </row>
    <row r="10044" spans="1:10">
      <c r="A10044" s="7" t="s">
        <v>7082</v>
      </c>
      <c r="B10044" s="1" t="s">
        <v>2631</v>
      </c>
      <c r="C10044" s="1">
        <v>9</v>
      </c>
      <c r="D10044" s="1" t="s">
        <v>19</v>
      </c>
      <c r="E10044" s="1" t="s">
        <v>6</v>
      </c>
      <c r="F10044" s="1" t="s">
        <v>449</v>
      </c>
      <c r="G10044" s="1" t="s">
        <v>6953</v>
      </c>
      <c r="H10044" s="1" t="s">
        <v>43</v>
      </c>
      <c r="I10044" s="1" t="s">
        <v>5855</v>
      </c>
    </row>
    <row r="10045" spans="1:10">
      <c r="A10045" s="7" t="s">
        <v>7083</v>
      </c>
      <c r="B10045" s="1" t="s">
        <v>2631</v>
      </c>
      <c r="C10045" s="1">
        <v>9</v>
      </c>
      <c r="D10045" s="1" t="s">
        <v>19</v>
      </c>
      <c r="E10045" s="1" t="s">
        <v>6</v>
      </c>
      <c r="F10045" s="1" t="s">
        <v>449</v>
      </c>
      <c r="G10045" s="1" t="s">
        <v>6953</v>
      </c>
      <c r="H10045" s="1" t="s">
        <v>43</v>
      </c>
      <c r="I10045" s="1" t="s">
        <v>5855</v>
      </c>
    </row>
    <row r="10046" spans="1:10">
      <c r="A10046" s="7" t="s">
        <v>7084</v>
      </c>
      <c r="B10046" s="1" t="s">
        <v>2631</v>
      </c>
      <c r="C10046" s="1">
        <v>9</v>
      </c>
      <c r="D10046" s="1" t="s">
        <v>19</v>
      </c>
      <c r="E10046" s="1" t="s">
        <v>6</v>
      </c>
      <c r="F10046" s="1" t="s">
        <v>449</v>
      </c>
      <c r="G10046" s="1" t="s">
        <v>6953</v>
      </c>
      <c r="H10046" s="1" t="s">
        <v>43</v>
      </c>
      <c r="I10046" s="1" t="s">
        <v>5855</v>
      </c>
    </row>
    <row r="10047" spans="1:10">
      <c r="A10047" s="7" t="s">
        <v>7085</v>
      </c>
      <c r="B10047" s="1" t="s">
        <v>2631</v>
      </c>
      <c r="C10047" s="1">
        <v>9</v>
      </c>
      <c r="D10047" s="1" t="s">
        <v>19</v>
      </c>
      <c r="E10047" s="1" t="s">
        <v>6</v>
      </c>
      <c r="F10047" s="1" t="s">
        <v>449</v>
      </c>
      <c r="G10047" s="1" t="s">
        <v>6953</v>
      </c>
      <c r="H10047" s="1" t="s">
        <v>43</v>
      </c>
      <c r="I10047" s="1" t="s">
        <v>5855</v>
      </c>
    </row>
    <row r="10048" spans="1:10">
      <c r="A10048" s="7" t="s">
        <v>7086</v>
      </c>
      <c r="B10048" s="1" t="s">
        <v>2631</v>
      </c>
      <c r="C10048" s="1">
        <v>9</v>
      </c>
      <c r="D10048" s="1" t="s">
        <v>19</v>
      </c>
      <c r="E10048" s="1" t="s">
        <v>6</v>
      </c>
      <c r="F10048" s="1" t="s">
        <v>449</v>
      </c>
      <c r="G10048" s="1" t="s">
        <v>6953</v>
      </c>
      <c r="H10048" s="1" t="s">
        <v>43</v>
      </c>
      <c r="I10048" s="1" t="s">
        <v>5855</v>
      </c>
    </row>
    <row r="10049" spans="1:9">
      <c r="A10049" s="7" t="s">
        <v>7087</v>
      </c>
      <c r="B10049" s="1" t="s">
        <v>2631</v>
      </c>
      <c r="C10049" s="1">
        <v>9</v>
      </c>
      <c r="D10049" s="1" t="s">
        <v>19</v>
      </c>
      <c r="E10049" s="1" t="s">
        <v>6</v>
      </c>
      <c r="F10049" s="1" t="s">
        <v>449</v>
      </c>
      <c r="G10049" s="1" t="s">
        <v>6953</v>
      </c>
      <c r="H10049" s="1" t="s">
        <v>43</v>
      </c>
      <c r="I10049" s="1" t="s">
        <v>5855</v>
      </c>
    </row>
    <row r="10050" spans="1:9">
      <c r="A10050" s="7" t="s">
        <v>7088</v>
      </c>
      <c r="B10050" s="1" t="s">
        <v>2631</v>
      </c>
      <c r="C10050" s="1">
        <v>9</v>
      </c>
      <c r="D10050" s="1" t="s">
        <v>19</v>
      </c>
      <c r="E10050" s="1" t="s">
        <v>6</v>
      </c>
      <c r="F10050" s="1" t="s">
        <v>449</v>
      </c>
      <c r="G10050" s="1" t="s">
        <v>6953</v>
      </c>
      <c r="H10050" s="1" t="s">
        <v>43</v>
      </c>
      <c r="I10050" s="1" t="s">
        <v>5855</v>
      </c>
    </row>
    <row r="10051" spans="1:9">
      <c r="A10051" s="7" t="s">
        <v>7089</v>
      </c>
      <c r="B10051" s="1" t="s">
        <v>2631</v>
      </c>
      <c r="C10051" s="1">
        <v>9</v>
      </c>
      <c r="D10051" s="1" t="s">
        <v>19</v>
      </c>
      <c r="E10051" s="1" t="s">
        <v>6</v>
      </c>
      <c r="F10051" s="1" t="s">
        <v>449</v>
      </c>
      <c r="G10051" s="1" t="s">
        <v>6953</v>
      </c>
      <c r="H10051" s="1" t="s">
        <v>43</v>
      </c>
      <c r="I10051" s="1" t="s">
        <v>5855</v>
      </c>
    </row>
    <row r="10052" spans="1:9">
      <c r="A10052" s="7" t="s">
        <v>7090</v>
      </c>
      <c r="B10052" s="1" t="s">
        <v>2628</v>
      </c>
      <c r="C10052" s="1">
        <v>9</v>
      </c>
      <c r="D10052" s="1" t="s">
        <v>19</v>
      </c>
      <c r="E10052" s="1" t="s">
        <v>6</v>
      </c>
      <c r="F10052" s="1" t="s">
        <v>449</v>
      </c>
      <c r="G10052" s="1" t="s">
        <v>6953</v>
      </c>
      <c r="H10052" s="1" t="s">
        <v>43</v>
      </c>
      <c r="I10052" s="1" t="s">
        <v>5798</v>
      </c>
    </row>
    <row r="10053" spans="1:9">
      <c r="A10053" s="7" t="s">
        <v>7091</v>
      </c>
      <c r="B10053" s="1" t="s">
        <v>2631</v>
      </c>
      <c r="C10053" s="1">
        <v>9</v>
      </c>
      <c r="D10053" s="1" t="s">
        <v>19</v>
      </c>
      <c r="E10053" s="1" t="s">
        <v>6</v>
      </c>
      <c r="F10053" s="1" t="s">
        <v>449</v>
      </c>
      <c r="G10053" s="1" t="s">
        <v>6953</v>
      </c>
      <c r="H10053" s="1" t="s">
        <v>43</v>
      </c>
      <c r="I10053" s="1" t="s">
        <v>5855</v>
      </c>
    </row>
    <row r="10054" spans="1:9">
      <c r="A10054" s="7" t="s">
        <v>7092</v>
      </c>
      <c r="B10054" s="1" t="s">
        <v>2631</v>
      </c>
      <c r="C10054" s="1">
        <v>9</v>
      </c>
      <c r="D10054" s="1" t="s">
        <v>19</v>
      </c>
      <c r="E10054" s="1" t="s">
        <v>6</v>
      </c>
      <c r="F10054" s="1" t="s">
        <v>449</v>
      </c>
      <c r="G10054" s="1" t="s">
        <v>6953</v>
      </c>
      <c r="H10054" s="1" t="s">
        <v>43</v>
      </c>
      <c r="I10054" s="1" t="s">
        <v>5855</v>
      </c>
    </row>
    <row r="10055" spans="1:9">
      <c r="A10055" s="7" t="s">
        <v>7093</v>
      </c>
      <c r="B10055" s="1" t="s">
        <v>2631</v>
      </c>
      <c r="C10055" s="1">
        <v>9</v>
      </c>
      <c r="D10055" s="1" t="s">
        <v>19</v>
      </c>
      <c r="E10055" s="1" t="s">
        <v>6</v>
      </c>
      <c r="F10055" s="1" t="s">
        <v>449</v>
      </c>
      <c r="G10055" s="1" t="s">
        <v>6953</v>
      </c>
      <c r="H10055" s="1" t="s">
        <v>43</v>
      </c>
      <c r="I10055" s="1" t="s">
        <v>5855</v>
      </c>
    </row>
    <row r="10056" spans="1:9">
      <c r="A10056" s="7" t="s">
        <v>7094</v>
      </c>
      <c r="B10056" s="1" t="s">
        <v>2631</v>
      </c>
      <c r="C10056" s="1">
        <v>9</v>
      </c>
      <c r="D10056" s="1" t="s">
        <v>19</v>
      </c>
      <c r="E10056" s="1" t="s">
        <v>6</v>
      </c>
      <c r="F10056" s="1" t="s">
        <v>449</v>
      </c>
      <c r="G10056" s="1" t="s">
        <v>6953</v>
      </c>
      <c r="H10056" s="1" t="s">
        <v>43</v>
      </c>
      <c r="I10056" s="1" t="s">
        <v>5855</v>
      </c>
    </row>
    <row r="10057" spans="1:9">
      <c r="A10057" s="7" t="s">
        <v>7095</v>
      </c>
      <c r="B10057" s="1" t="s">
        <v>2631</v>
      </c>
      <c r="C10057" s="1">
        <v>9</v>
      </c>
      <c r="D10057" s="1" t="s">
        <v>19</v>
      </c>
      <c r="E10057" s="1" t="s">
        <v>6</v>
      </c>
      <c r="F10057" s="1" t="s">
        <v>449</v>
      </c>
      <c r="G10057" s="1" t="s">
        <v>6953</v>
      </c>
      <c r="H10057" s="1" t="s">
        <v>43</v>
      </c>
      <c r="I10057" s="1" t="s">
        <v>5855</v>
      </c>
    </row>
    <row r="10058" spans="1:9">
      <c r="A10058" s="7" t="s">
        <v>7096</v>
      </c>
      <c r="B10058" s="1" t="s">
        <v>2631</v>
      </c>
      <c r="C10058" s="1">
        <v>9</v>
      </c>
      <c r="D10058" s="1" t="s">
        <v>19</v>
      </c>
      <c r="E10058" s="1" t="s">
        <v>6</v>
      </c>
      <c r="F10058" s="1" t="s">
        <v>449</v>
      </c>
      <c r="G10058" s="1" t="s">
        <v>6953</v>
      </c>
      <c r="H10058" s="1" t="s">
        <v>43</v>
      </c>
      <c r="I10058" s="1" t="s">
        <v>5855</v>
      </c>
    </row>
    <row r="10059" spans="1:9">
      <c r="A10059" s="7" t="s">
        <v>7097</v>
      </c>
      <c r="B10059" s="1" t="s">
        <v>2631</v>
      </c>
      <c r="C10059" s="1">
        <v>9</v>
      </c>
      <c r="D10059" s="1" t="s">
        <v>19</v>
      </c>
      <c r="E10059" s="1" t="s">
        <v>6</v>
      </c>
      <c r="F10059" s="1" t="s">
        <v>449</v>
      </c>
      <c r="G10059" s="1" t="s">
        <v>6953</v>
      </c>
      <c r="H10059" s="1" t="s">
        <v>43</v>
      </c>
      <c r="I10059" s="1" t="s">
        <v>5855</v>
      </c>
    </row>
    <row r="10060" spans="1:9">
      <c r="A10060" s="7" t="s">
        <v>7098</v>
      </c>
      <c r="B10060" s="1" t="s">
        <v>2631</v>
      </c>
      <c r="C10060" s="1">
        <v>9</v>
      </c>
      <c r="D10060" s="1" t="s">
        <v>19</v>
      </c>
      <c r="E10060" s="1" t="s">
        <v>6</v>
      </c>
      <c r="F10060" s="1" t="s">
        <v>449</v>
      </c>
      <c r="G10060" s="1" t="s">
        <v>6953</v>
      </c>
      <c r="H10060" s="1" t="s">
        <v>43</v>
      </c>
      <c r="I10060" s="1" t="s">
        <v>5855</v>
      </c>
    </row>
    <row r="10061" spans="1:9">
      <c r="A10061" s="7" t="s">
        <v>7099</v>
      </c>
      <c r="B10061" s="1" t="s">
        <v>2631</v>
      </c>
      <c r="C10061" s="1">
        <v>9</v>
      </c>
      <c r="D10061" s="1" t="s">
        <v>19</v>
      </c>
      <c r="E10061" s="1" t="s">
        <v>6</v>
      </c>
      <c r="F10061" s="1" t="s">
        <v>449</v>
      </c>
      <c r="G10061" s="1" t="s">
        <v>6953</v>
      </c>
      <c r="H10061" s="1" t="s">
        <v>43</v>
      </c>
      <c r="I10061" s="1" t="s">
        <v>5855</v>
      </c>
    </row>
    <row r="10062" spans="1:9">
      <c r="A10062" s="7" t="s">
        <v>7100</v>
      </c>
      <c r="B10062" s="1" t="s">
        <v>2631</v>
      </c>
      <c r="C10062" s="1">
        <v>9</v>
      </c>
      <c r="D10062" s="1" t="s">
        <v>19</v>
      </c>
      <c r="E10062" s="1" t="s">
        <v>6</v>
      </c>
      <c r="F10062" s="1" t="s">
        <v>449</v>
      </c>
      <c r="G10062" s="1" t="s">
        <v>6953</v>
      </c>
      <c r="H10062" s="1" t="s">
        <v>43</v>
      </c>
      <c r="I10062" s="1" t="s">
        <v>5855</v>
      </c>
    </row>
    <row r="10063" spans="1:9">
      <c r="A10063" s="7" t="s">
        <v>7101</v>
      </c>
      <c r="B10063" s="1" t="s">
        <v>2631</v>
      </c>
      <c r="C10063" s="1">
        <v>9</v>
      </c>
      <c r="D10063" s="1" t="s">
        <v>19</v>
      </c>
      <c r="E10063" s="1" t="s">
        <v>6</v>
      </c>
      <c r="F10063" s="1" t="s">
        <v>449</v>
      </c>
      <c r="G10063" s="1" t="s">
        <v>6953</v>
      </c>
      <c r="H10063" s="1" t="s">
        <v>43</v>
      </c>
      <c r="I10063" s="1" t="s">
        <v>5855</v>
      </c>
    </row>
    <row r="10064" spans="1:9">
      <c r="A10064" s="7" t="s">
        <v>7102</v>
      </c>
      <c r="B10064" s="1" t="s">
        <v>2628</v>
      </c>
      <c r="C10064" s="1">
        <v>9</v>
      </c>
      <c r="D10064" s="1" t="s">
        <v>19</v>
      </c>
      <c r="E10064" s="1" t="s">
        <v>6</v>
      </c>
      <c r="F10064" s="1" t="s">
        <v>449</v>
      </c>
      <c r="G10064" s="1" t="s">
        <v>6953</v>
      </c>
      <c r="H10064" s="1" t="s">
        <v>43</v>
      </c>
      <c r="I10064" s="1" t="s">
        <v>5855</v>
      </c>
    </row>
    <row r="10065" spans="1:9">
      <c r="A10065" s="7" t="s">
        <v>7103</v>
      </c>
      <c r="B10065" s="1" t="s">
        <v>2631</v>
      </c>
      <c r="C10065" s="1">
        <v>9</v>
      </c>
      <c r="D10065" s="1" t="s">
        <v>19</v>
      </c>
      <c r="E10065" s="1" t="s">
        <v>6</v>
      </c>
      <c r="F10065" s="1" t="s">
        <v>449</v>
      </c>
      <c r="G10065" s="1" t="s">
        <v>6953</v>
      </c>
      <c r="H10065" s="1" t="s">
        <v>43</v>
      </c>
      <c r="I10065" s="1" t="s">
        <v>5855</v>
      </c>
    </row>
    <row r="10066" spans="1:9">
      <c r="A10066" s="7" t="s">
        <v>7104</v>
      </c>
      <c r="B10066" s="1" t="s">
        <v>2628</v>
      </c>
      <c r="C10066" s="1">
        <v>9</v>
      </c>
      <c r="D10066" s="1" t="s">
        <v>19</v>
      </c>
      <c r="E10066" s="1" t="s">
        <v>6</v>
      </c>
      <c r="F10066" s="1" t="s">
        <v>449</v>
      </c>
      <c r="G10066" s="1" t="s">
        <v>6953</v>
      </c>
      <c r="H10066" s="1" t="s">
        <v>43</v>
      </c>
      <c r="I10066" s="1" t="s">
        <v>5855</v>
      </c>
    </row>
    <row r="10067" spans="1:9">
      <c r="A10067" s="7" t="s">
        <v>7105</v>
      </c>
      <c r="B10067" s="1" t="s">
        <v>2631</v>
      </c>
      <c r="C10067" s="1">
        <v>9</v>
      </c>
      <c r="D10067" s="1" t="s">
        <v>19</v>
      </c>
      <c r="E10067" s="1" t="s">
        <v>6</v>
      </c>
      <c r="F10067" s="1" t="s">
        <v>449</v>
      </c>
      <c r="G10067" s="1" t="s">
        <v>6953</v>
      </c>
      <c r="H10067" s="1" t="s">
        <v>43</v>
      </c>
      <c r="I10067" s="1" t="s">
        <v>5855</v>
      </c>
    </row>
    <row r="10068" spans="1:9">
      <c r="A10068" s="7" t="s">
        <v>7106</v>
      </c>
      <c r="B10068" s="1" t="s">
        <v>2628</v>
      </c>
      <c r="C10068" s="1">
        <v>9</v>
      </c>
      <c r="D10068" s="1" t="s">
        <v>19</v>
      </c>
      <c r="E10068" s="1" t="s">
        <v>6</v>
      </c>
      <c r="F10068" s="1" t="s">
        <v>449</v>
      </c>
      <c r="G10068" s="1" t="s">
        <v>6953</v>
      </c>
      <c r="H10068" s="1" t="s">
        <v>43</v>
      </c>
      <c r="I10068" s="1" t="s">
        <v>5855</v>
      </c>
    </row>
    <row r="10069" spans="1:9">
      <c r="A10069" s="7" t="s">
        <v>7107</v>
      </c>
      <c r="B10069" s="1" t="s">
        <v>2631</v>
      </c>
      <c r="C10069" s="1">
        <v>9</v>
      </c>
      <c r="D10069" s="1" t="s">
        <v>19</v>
      </c>
      <c r="E10069" s="1" t="s">
        <v>6</v>
      </c>
      <c r="F10069" s="1" t="s">
        <v>449</v>
      </c>
      <c r="G10069" s="1" t="s">
        <v>6953</v>
      </c>
      <c r="H10069" s="1" t="s">
        <v>43</v>
      </c>
      <c r="I10069" s="1" t="s">
        <v>5855</v>
      </c>
    </row>
    <row r="10070" spans="1:9">
      <c r="A10070" s="7" t="s">
        <v>7108</v>
      </c>
      <c r="B10070" s="1" t="s">
        <v>2628</v>
      </c>
      <c r="C10070" s="1">
        <v>9</v>
      </c>
      <c r="D10070" s="1" t="s">
        <v>19</v>
      </c>
      <c r="E10070" s="1" t="s">
        <v>6</v>
      </c>
      <c r="F10070" s="1" t="s">
        <v>449</v>
      </c>
      <c r="G10070" s="1" t="s">
        <v>6953</v>
      </c>
      <c r="H10070" s="1" t="s">
        <v>43</v>
      </c>
      <c r="I10070" s="1" t="s">
        <v>5855</v>
      </c>
    </row>
    <row r="10071" spans="1:9">
      <c r="A10071" s="7" t="s">
        <v>7109</v>
      </c>
      <c r="B10071" s="1" t="s">
        <v>2628</v>
      </c>
      <c r="C10071" s="1">
        <v>9</v>
      </c>
      <c r="D10071" s="1" t="s">
        <v>19</v>
      </c>
      <c r="E10071" s="1" t="s">
        <v>6</v>
      </c>
      <c r="F10071" s="1" t="s">
        <v>449</v>
      </c>
      <c r="G10071" s="1" t="s">
        <v>6953</v>
      </c>
      <c r="H10071" s="1" t="s">
        <v>43</v>
      </c>
      <c r="I10071" s="1" t="s">
        <v>5855</v>
      </c>
    </row>
    <row r="10072" spans="1:9">
      <c r="A10072" s="7" t="s">
        <v>7110</v>
      </c>
      <c r="B10072" s="1" t="s">
        <v>2628</v>
      </c>
      <c r="C10072" s="1">
        <v>9</v>
      </c>
      <c r="D10072" s="1" t="s">
        <v>19</v>
      </c>
      <c r="E10072" s="1" t="s">
        <v>6</v>
      </c>
      <c r="F10072" s="1" t="s">
        <v>449</v>
      </c>
      <c r="G10072" s="1" t="s">
        <v>6953</v>
      </c>
      <c r="H10072" s="1" t="s">
        <v>43</v>
      </c>
      <c r="I10072" s="1" t="s">
        <v>5855</v>
      </c>
    </row>
    <row r="10073" spans="1:9">
      <c r="A10073" s="7" t="s">
        <v>7111</v>
      </c>
      <c r="B10073" s="1" t="s">
        <v>2628</v>
      </c>
      <c r="C10073" s="1">
        <v>9</v>
      </c>
      <c r="D10073" s="1" t="s">
        <v>19</v>
      </c>
      <c r="E10073" s="1" t="s">
        <v>6</v>
      </c>
      <c r="F10073" s="1" t="s">
        <v>449</v>
      </c>
      <c r="G10073" s="1" t="s">
        <v>6953</v>
      </c>
      <c r="H10073" s="1" t="s">
        <v>43</v>
      </c>
      <c r="I10073" s="1" t="s">
        <v>5855</v>
      </c>
    </row>
    <row r="10074" spans="1:9">
      <c r="A10074" s="7" t="s">
        <v>7112</v>
      </c>
      <c r="B10074" s="1" t="s">
        <v>2628</v>
      </c>
      <c r="C10074" s="1">
        <v>9</v>
      </c>
      <c r="D10074" s="1" t="s">
        <v>19</v>
      </c>
      <c r="E10074" s="1" t="s">
        <v>6</v>
      </c>
      <c r="F10074" s="1" t="s">
        <v>449</v>
      </c>
      <c r="G10074" s="1" t="s">
        <v>6953</v>
      </c>
      <c r="H10074" s="1" t="s">
        <v>43</v>
      </c>
      <c r="I10074" s="1" t="s">
        <v>5798</v>
      </c>
    </row>
    <row r="10075" spans="1:9">
      <c r="A10075" s="7" t="s">
        <v>7113</v>
      </c>
      <c r="B10075" s="1" t="s">
        <v>2628</v>
      </c>
      <c r="C10075" s="1">
        <v>9</v>
      </c>
      <c r="D10075" s="1" t="s">
        <v>19</v>
      </c>
      <c r="E10075" s="1" t="s">
        <v>6</v>
      </c>
      <c r="F10075" s="1" t="s">
        <v>449</v>
      </c>
      <c r="G10075" s="1" t="s">
        <v>6953</v>
      </c>
      <c r="H10075" s="1" t="s">
        <v>43</v>
      </c>
      <c r="I10075" s="1" t="s">
        <v>5855</v>
      </c>
    </row>
    <row r="10076" spans="1:9">
      <c r="A10076" s="7" t="s">
        <v>7114</v>
      </c>
      <c r="B10076" s="1" t="s">
        <v>2628</v>
      </c>
      <c r="C10076" s="1">
        <v>9</v>
      </c>
      <c r="D10076" s="1" t="s">
        <v>19</v>
      </c>
      <c r="E10076" s="1" t="s">
        <v>6</v>
      </c>
      <c r="F10076" s="1" t="s">
        <v>449</v>
      </c>
      <c r="G10076" s="1" t="s">
        <v>6953</v>
      </c>
      <c r="H10076" s="1" t="s">
        <v>43</v>
      </c>
      <c r="I10076" s="1" t="s">
        <v>5855</v>
      </c>
    </row>
    <row r="10077" spans="1:9">
      <c r="A10077" s="7" t="s">
        <v>7115</v>
      </c>
      <c r="B10077" s="1" t="s">
        <v>2628</v>
      </c>
      <c r="C10077" s="1">
        <v>9</v>
      </c>
      <c r="D10077" s="1" t="s">
        <v>19</v>
      </c>
      <c r="E10077" s="1" t="s">
        <v>6</v>
      </c>
      <c r="F10077" s="1" t="s">
        <v>449</v>
      </c>
      <c r="G10077" s="1" t="s">
        <v>6953</v>
      </c>
      <c r="H10077" s="1" t="s">
        <v>43</v>
      </c>
      <c r="I10077" s="1" t="s">
        <v>5855</v>
      </c>
    </row>
    <row r="10078" spans="1:9">
      <c r="A10078" s="7" t="s">
        <v>7116</v>
      </c>
      <c r="B10078" s="1" t="s">
        <v>2628</v>
      </c>
      <c r="C10078" s="1">
        <v>9</v>
      </c>
      <c r="D10078" s="1" t="s">
        <v>19</v>
      </c>
      <c r="E10078" s="1" t="s">
        <v>6</v>
      </c>
      <c r="F10078" s="1" t="s">
        <v>449</v>
      </c>
      <c r="G10078" s="1" t="s">
        <v>6953</v>
      </c>
      <c r="H10078" s="1" t="s">
        <v>43</v>
      </c>
      <c r="I10078" s="1" t="s">
        <v>5855</v>
      </c>
    </row>
    <row r="10079" spans="1:9">
      <c r="A10079" s="7" t="s">
        <v>7117</v>
      </c>
      <c r="B10079" s="1" t="s">
        <v>2631</v>
      </c>
      <c r="C10079" s="1">
        <v>9</v>
      </c>
      <c r="D10079" s="1" t="s">
        <v>19</v>
      </c>
      <c r="E10079" s="1" t="s">
        <v>6</v>
      </c>
      <c r="F10079" s="1" t="s">
        <v>449</v>
      </c>
      <c r="G10079" s="1" t="s">
        <v>6953</v>
      </c>
      <c r="H10079" s="1" t="s">
        <v>43</v>
      </c>
      <c r="I10079" s="1" t="s">
        <v>5798</v>
      </c>
    </row>
    <row r="10080" spans="1:9">
      <c r="A10080" s="7" t="s">
        <v>7118</v>
      </c>
      <c r="B10080" s="1" t="s">
        <v>2628</v>
      </c>
      <c r="C10080" s="1">
        <v>9</v>
      </c>
      <c r="D10080" s="1" t="s">
        <v>19</v>
      </c>
      <c r="E10080" s="1" t="s">
        <v>6</v>
      </c>
      <c r="F10080" s="1" t="s">
        <v>449</v>
      </c>
      <c r="G10080" s="1" t="s">
        <v>6953</v>
      </c>
      <c r="H10080" s="1" t="s">
        <v>43</v>
      </c>
      <c r="I10080" s="1" t="s">
        <v>5798</v>
      </c>
    </row>
    <row r="10081" spans="1:10">
      <c r="A10081" s="7" t="s">
        <v>7119</v>
      </c>
      <c r="B10081" s="1" t="s">
        <v>2628</v>
      </c>
      <c r="C10081" s="1">
        <v>9</v>
      </c>
      <c r="D10081" s="1" t="s">
        <v>19</v>
      </c>
      <c r="E10081" s="1" t="s">
        <v>6</v>
      </c>
      <c r="F10081" s="1" t="s">
        <v>449</v>
      </c>
      <c r="G10081" s="1" t="s">
        <v>6953</v>
      </c>
      <c r="H10081" s="1" t="s">
        <v>43</v>
      </c>
      <c r="I10081" s="1" t="s">
        <v>5798</v>
      </c>
    </row>
    <row r="10082" spans="1:10">
      <c r="A10082" s="7" t="s">
        <v>7120</v>
      </c>
      <c r="B10082" s="1" t="s">
        <v>2628</v>
      </c>
      <c r="C10082" s="1">
        <v>9</v>
      </c>
      <c r="D10082" s="1" t="s">
        <v>19</v>
      </c>
      <c r="E10082" s="1" t="s">
        <v>6</v>
      </c>
      <c r="F10082" s="1" t="s">
        <v>449</v>
      </c>
      <c r="G10082" s="1" t="s">
        <v>6953</v>
      </c>
      <c r="H10082" s="1" t="s">
        <v>43</v>
      </c>
      <c r="I10082" s="1" t="s">
        <v>5798</v>
      </c>
    </row>
    <row r="10083" spans="1:10" s="11" customFormat="1">
      <c r="A10083" s="7" t="s">
        <v>7121</v>
      </c>
      <c r="B10083" s="1" t="s">
        <v>2628</v>
      </c>
      <c r="C10083" s="1">
        <v>9</v>
      </c>
      <c r="D10083" s="1" t="s">
        <v>19</v>
      </c>
      <c r="E10083" s="1" t="s">
        <v>6</v>
      </c>
      <c r="F10083" s="1" t="s">
        <v>449</v>
      </c>
      <c r="G10083" s="1" t="s">
        <v>6953</v>
      </c>
      <c r="H10083" s="1" t="s">
        <v>43</v>
      </c>
      <c r="I10083" s="1" t="s">
        <v>5798</v>
      </c>
      <c r="J10083"/>
    </row>
    <row r="10084" spans="1:10" s="11" customFormat="1">
      <c r="A10084" s="7" t="s">
        <v>7122</v>
      </c>
      <c r="B10084" s="1" t="s">
        <v>2628</v>
      </c>
      <c r="C10084" s="1">
        <v>9</v>
      </c>
      <c r="D10084" s="1" t="s">
        <v>19</v>
      </c>
      <c r="E10084" s="1" t="s">
        <v>6</v>
      </c>
      <c r="F10084" s="1" t="s">
        <v>449</v>
      </c>
      <c r="G10084" s="1" t="s">
        <v>6953</v>
      </c>
      <c r="H10084" s="1" t="s">
        <v>43</v>
      </c>
      <c r="I10084" s="1" t="s">
        <v>5798</v>
      </c>
      <c r="J10084"/>
    </row>
    <row r="10085" spans="1:10">
      <c r="A10085" s="7" t="s">
        <v>7123</v>
      </c>
      <c r="B10085" s="1" t="s">
        <v>2628</v>
      </c>
      <c r="C10085" s="1">
        <v>9</v>
      </c>
      <c r="D10085" s="1" t="s">
        <v>19</v>
      </c>
      <c r="E10085" s="1" t="s">
        <v>6</v>
      </c>
      <c r="F10085" s="1" t="s">
        <v>449</v>
      </c>
      <c r="G10085" s="1" t="s">
        <v>6953</v>
      </c>
      <c r="H10085" s="1" t="s">
        <v>43</v>
      </c>
      <c r="I10085" s="1" t="s">
        <v>5798</v>
      </c>
    </row>
    <row r="10086" spans="1:10">
      <c r="A10086" s="7" t="s">
        <v>7124</v>
      </c>
      <c r="B10086" s="1" t="s">
        <v>2628</v>
      </c>
      <c r="C10086" s="1">
        <v>9</v>
      </c>
      <c r="D10086" s="1" t="s">
        <v>19</v>
      </c>
      <c r="E10086" s="1" t="s">
        <v>6</v>
      </c>
      <c r="F10086" s="1" t="s">
        <v>449</v>
      </c>
      <c r="G10086" s="1" t="s">
        <v>6953</v>
      </c>
      <c r="H10086" s="1" t="s">
        <v>43</v>
      </c>
      <c r="I10086" s="1" t="s">
        <v>5798</v>
      </c>
    </row>
    <row r="10087" spans="1:10">
      <c r="A10087" s="7" t="s">
        <v>7125</v>
      </c>
      <c r="B10087" s="1" t="s">
        <v>2631</v>
      </c>
      <c r="C10087" s="1">
        <v>9</v>
      </c>
      <c r="D10087" s="1" t="s">
        <v>19</v>
      </c>
      <c r="E10087" s="1" t="s">
        <v>6</v>
      </c>
      <c r="F10087" s="1" t="s">
        <v>449</v>
      </c>
      <c r="G10087" s="1" t="s">
        <v>6953</v>
      </c>
      <c r="H10087" s="1" t="s">
        <v>43</v>
      </c>
      <c r="I10087" s="1" t="s">
        <v>5798</v>
      </c>
    </row>
    <row r="10088" spans="1:10">
      <c r="A10088" s="7" t="s">
        <v>7126</v>
      </c>
      <c r="B10088" s="1" t="s">
        <v>2628</v>
      </c>
      <c r="C10088" s="1">
        <v>9</v>
      </c>
      <c r="D10088" s="1" t="s">
        <v>19</v>
      </c>
      <c r="E10088" s="1" t="s">
        <v>6</v>
      </c>
      <c r="F10088" s="1" t="s">
        <v>449</v>
      </c>
      <c r="G10088" s="1" t="s">
        <v>6953</v>
      </c>
      <c r="H10088" s="1" t="s">
        <v>43</v>
      </c>
      <c r="I10088" s="1" t="s">
        <v>5798</v>
      </c>
    </row>
    <row r="10089" spans="1:10">
      <c r="A10089" s="7" t="s">
        <v>7127</v>
      </c>
      <c r="B10089" s="1" t="s">
        <v>2628</v>
      </c>
      <c r="C10089" s="1">
        <v>9</v>
      </c>
      <c r="D10089" s="1" t="s">
        <v>19</v>
      </c>
      <c r="E10089" s="1" t="s">
        <v>6</v>
      </c>
      <c r="F10089" s="1" t="s">
        <v>449</v>
      </c>
      <c r="G10089" s="1" t="s">
        <v>6953</v>
      </c>
      <c r="H10089" s="1" t="s">
        <v>43</v>
      </c>
      <c r="I10089" s="1" t="s">
        <v>5798</v>
      </c>
    </row>
    <row r="10090" spans="1:10">
      <c r="A10090" s="7" t="s">
        <v>7128</v>
      </c>
      <c r="B10090" s="1" t="s">
        <v>2628</v>
      </c>
      <c r="C10090" s="1">
        <v>9</v>
      </c>
      <c r="D10090" s="1" t="s">
        <v>19</v>
      </c>
      <c r="E10090" s="1" t="s">
        <v>6</v>
      </c>
      <c r="F10090" s="1" t="s">
        <v>449</v>
      </c>
      <c r="G10090" s="1" t="s">
        <v>6953</v>
      </c>
      <c r="H10090" s="1" t="s">
        <v>43</v>
      </c>
      <c r="I10090" s="1" t="s">
        <v>5798</v>
      </c>
    </row>
    <row r="10091" spans="1:10">
      <c r="A10091" s="7" t="s">
        <v>7129</v>
      </c>
      <c r="B10091" s="1" t="s">
        <v>2628</v>
      </c>
      <c r="C10091" s="1">
        <v>9</v>
      </c>
      <c r="D10091" s="1" t="s">
        <v>19</v>
      </c>
      <c r="E10091" s="1" t="s">
        <v>6</v>
      </c>
      <c r="F10091" s="1" t="s">
        <v>449</v>
      </c>
      <c r="G10091" s="1" t="s">
        <v>6953</v>
      </c>
      <c r="H10091" s="1" t="s">
        <v>43</v>
      </c>
      <c r="I10091" s="1" t="s">
        <v>5798</v>
      </c>
    </row>
    <row r="10092" spans="1:10">
      <c r="A10092" s="7" t="s">
        <v>7130</v>
      </c>
      <c r="B10092" s="1" t="s">
        <v>2628</v>
      </c>
      <c r="C10092" s="1">
        <v>9</v>
      </c>
      <c r="D10092" s="1" t="s">
        <v>19</v>
      </c>
      <c r="E10092" s="1" t="s">
        <v>6</v>
      </c>
      <c r="F10092" s="1" t="s">
        <v>449</v>
      </c>
      <c r="G10092" s="1" t="s">
        <v>6953</v>
      </c>
      <c r="H10092" s="1" t="s">
        <v>43</v>
      </c>
      <c r="I10092" s="1" t="s">
        <v>5798</v>
      </c>
    </row>
    <row r="10093" spans="1:10">
      <c r="A10093" s="7" t="s">
        <v>7131</v>
      </c>
      <c r="B10093" s="1" t="s">
        <v>2628</v>
      </c>
      <c r="C10093" s="1">
        <v>9</v>
      </c>
      <c r="D10093" s="1" t="s">
        <v>19</v>
      </c>
      <c r="E10093" s="1" t="s">
        <v>6</v>
      </c>
      <c r="F10093" s="1" t="s">
        <v>449</v>
      </c>
      <c r="G10093" s="1" t="s">
        <v>6953</v>
      </c>
      <c r="H10093" s="1" t="s">
        <v>43</v>
      </c>
      <c r="I10093" s="1" t="s">
        <v>5798</v>
      </c>
    </row>
    <row r="10094" spans="1:10">
      <c r="A10094" s="7" t="s">
        <v>7132</v>
      </c>
      <c r="B10094" s="1" t="s">
        <v>2628</v>
      </c>
      <c r="C10094" s="1">
        <v>9</v>
      </c>
      <c r="D10094" s="1" t="s">
        <v>19</v>
      </c>
      <c r="E10094" s="1" t="s">
        <v>6</v>
      </c>
      <c r="F10094" s="1" t="s">
        <v>449</v>
      </c>
      <c r="G10094" s="1" t="s">
        <v>6953</v>
      </c>
      <c r="H10094" s="1" t="s">
        <v>43</v>
      </c>
      <c r="I10094" s="1" t="s">
        <v>5798</v>
      </c>
    </row>
    <row r="10095" spans="1:10">
      <c r="A10095" s="7" t="s">
        <v>7133</v>
      </c>
      <c r="B10095" s="1" t="s">
        <v>2628</v>
      </c>
      <c r="C10095" s="1">
        <v>9</v>
      </c>
      <c r="D10095" s="1" t="s">
        <v>19</v>
      </c>
      <c r="E10095" s="1" t="s">
        <v>6</v>
      </c>
      <c r="F10095" s="1" t="s">
        <v>449</v>
      </c>
      <c r="G10095" s="1" t="s">
        <v>6953</v>
      </c>
      <c r="H10095" s="1" t="s">
        <v>43</v>
      </c>
      <c r="I10095" s="1" t="s">
        <v>5798</v>
      </c>
    </row>
    <row r="10096" spans="1:10">
      <c r="A10096" s="7" t="s">
        <v>7134</v>
      </c>
      <c r="B10096" s="1" t="s">
        <v>2628</v>
      </c>
      <c r="C10096" s="1">
        <v>9</v>
      </c>
      <c r="D10096" s="1" t="s">
        <v>19</v>
      </c>
      <c r="E10096" s="1" t="s">
        <v>6</v>
      </c>
      <c r="F10096" s="1" t="s">
        <v>449</v>
      </c>
      <c r="G10096" s="1" t="s">
        <v>6953</v>
      </c>
      <c r="H10096" s="1" t="s">
        <v>43</v>
      </c>
      <c r="I10096" s="1" t="s">
        <v>5798</v>
      </c>
    </row>
    <row r="10097" spans="1:9">
      <c r="A10097" s="7" t="s">
        <v>7135</v>
      </c>
      <c r="B10097" s="1" t="s">
        <v>2628</v>
      </c>
      <c r="C10097" s="1">
        <v>9</v>
      </c>
      <c r="D10097" s="1" t="s">
        <v>19</v>
      </c>
      <c r="E10097" s="1" t="s">
        <v>6</v>
      </c>
      <c r="F10097" s="1" t="s">
        <v>449</v>
      </c>
      <c r="G10097" s="1" t="s">
        <v>6953</v>
      </c>
      <c r="H10097" s="1" t="s">
        <v>43</v>
      </c>
      <c r="I10097" s="1" t="s">
        <v>5798</v>
      </c>
    </row>
    <row r="10098" spans="1:9">
      <c r="A10098" s="7" t="s">
        <v>7136</v>
      </c>
      <c r="B10098" s="1" t="s">
        <v>2631</v>
      </c>
      <c r="C10098" s="1">
        <v>9</v>
      </c>
      <c r="D10098" s="1" t="s">
        <v>19</v>
      </c>
      <c r="E10098" s="1" t="s">
        <v>6</v>
      </c>
      <c r="F10098" s="1" t="s">
        <v>449</v>
      </c>
      <c r="G10098" s="1" t="s">
        <v>6953</v>
      </c>
      <c r="H10098" s="1" t="s">
        <v>43</v>
      </c>
      <c r="I10098" s="1" t="s">
        <v>5798</v>
      </c>
    </row>
    <row r="10099" spans="1:9">
      <c r="A10099" s="7" t="s">
        <v>7137</v>
      </c>
      <c r="B10099" s="1" t="s">
        <v>2628</v>
      </c>
      <c r="C10099" s="1">
        <v>9</v>
      </c>
      <c r="D10099" s="1" t="s">
        <v>19</v>
      </c>
      <c r="E10099" s="1" t="s">
        <v>6</v>
      </c>
      <c r="F10099" s="1" t="s">
        <v>449</v>
      </c>
      <c r="G10099" s="1" t="s">
        <v>6953</v>
      </c>
      <c r="H10099" s="1" t="s">
        <v>43</v>
      </c>
      <c r="I10099" s="1" t="s">
        <v>5798</v>
      </c>
    </row>
    <row r="10100" spans="1:9">
      <c r="A10100" s="7" t="s">
        <v>7138</v>
      </c>
      <c r="B10100" s="1" t="s">
        <v>2628</v>
      </c>
      <c r="C10100" s="1">
        <v>9</v>
      </c>
      <c r="D10100" s="1" t="s">
        <v>19</v>
      </c>
      <c r="E10100" s="1" t="s">
        <v>6</v>
      </c>
      <c r="F10100" s="1" t="s">
        <v>449</v>
      </c>
      <c r="G10100" s="1" t="s">
        <v>6953</v>
      </c>
      <c r="H10100" s="1" t="s">
        <v>43</v>
      </c>
      <c r="I10100" s="1" t="s">
        <v>5798</v>
      </c>
    </row>
    <row r="10101" spans="1:9">
      <c r="A10101" s="7" t="s">
        <v>7139</v>
      </c>
      <c r="B10101" s="1" t="s">
        <v>2628</v>
      </c>
      <c r="C10101" s="1">
        <v>9</v>
      </c>
      <c r="D10101" s="1" t="s">
        <v>19</v>
      </c>
      <c r="E10101" s="1" t="s">
        <v>6</v>
      </c>
      <c r="F10101" s="1" t="s">
        <v>449</v>
      </c>
      <c r="G10101" s="1" t="s">
        <v>6953</v>
      </c>
      <c r="H10101" s="1" t="s">
        <v>43</v>
      </c>
      <c r="I10101" s="1" t="s">
        <v>5798</v>
      </c>
    </row>
    <row r="10102" spans="1:9">
      <c r="A10102" s="7" t="s">
        <v>7140</v>
      </c>
      <c r="B10102" s="1" t="s">
        <v>2628</v>
      </c>
      <c r="C10102" s="1">
        <v>9</v>
      </c>
      <c r="D10102" s="1" t="s">
        <v>19</v>
      </c>
      <c r="E10102" s="1" t="s">
        <v>6</v>
      </c>
      <c r="F10102" s="1" t="s">
        <v>449</v>
      </c>
      <c r="G10102" s="1" t="s">
        <v>6953</v>
      </c>
      <c r="H10102" s="1" t="s">
        <v>43</v>
      </c>
      <c r="I10102" s="1" t="s">
        <v>5483</v>
      </c>
    </row>
    <row r="10103" spans="1:9">
      <c r="A10103" s="7" t="s">
        <v>7141</v>
      </c>
      <c r="B10103" s="1" t="s">
        <v>2631</v>
      </c>
      <c r="C10103" s="1">
        <v>9</v>
      </c>
      <c r="D10103" s="1" t="s">
        <v>19</v>
      </c>
      <c r="E10103" s="1" t="s">
        <v>6</v>
      </c>
      <c r="F10103" s="1" t="s">
        <v>449</v>
      </c>
      <c r="G10103" s="1" t="s">
        <v>6953</v>
      </c>
      <c r="H10103" s="1" t="s">
        <v>43</v>
      </c>
      <c r="I10103" s="1" t="s">
        <v>5483</v>
      </c>
    </row>
    <row r="10104" spans="1:9">
      <c r="A10104" s="7" t="s">
        <v>7142</v>
      </c>
      <c r="B10104" s="1" t="s">
        <v>2631</v>
      </c>
      <c r="C10104" s="1">
        <v>9</v>
      </c>
      <c r="D10104" s="1" t="s">
        <v>19</v>
      </c>
      <c r="E10104" s="1" t="s">
        <v>6</v>
      </c>
      <c r="F10104" s="1" t="s">
        <v>449</v>
      </c>
      <c r="G10104" s="1" t="s">
        <v>6953</v>
      </c>
      <c r="H10104" s="1" t="s">
        <v>43</v>
      </c>
      <c r="I10104" s="1" t="s">
        <v>5798</v>
      </c>
    </row>
    <row r="10105" spans="1:9">
      <c r="A10105" s="7" t="s">
        <v>7143</v>
      </c>
      <c r="B10105" s="1" t="s">
        <v>2628</v>
      </c>
      <c r="C10105" s="1">
        <v>9</v>
      </c>
      <c r="D10105" s="1" t="s">
        <v>19</v>
      </c>
      <c r="E10105" s="1" t="s">
        <v>6</v>
      </c>
      <c r="F10105" s="1" t="s">
        <v>449</v>
      </c>
      <c r="G10105" s="1" t="s">
        <v>6953</v>
      </c>
      <c r="H10105" s="1" t="s">
        <v>43</v>
      </c>
      <c r="I10105" s="1" t="s">
        <v>5483</v>
      </c>
    </row>
    <row r="10106" spans="1:9">
      <c r="A10106" s="7" t="s">
        <v>7144</v>
      </c>
      <c r="B10106" s="1" t="s">
        <v>2628</v>
      </c>
      <c r="C10106" s="1">
        <v>9</v>
      </c>
      <c r="D10106" s="1" t="s">
        <v>19</v>
      </c>
      <c r="E10106" s="1" t="s">
        <v>6</v>
      </c>
      <c r="F10106" s="1" t="s">
        <v>449</v>
      </c>
      <c r="G10106" s="1" t="s">
        <v>6953</v>
      </c>
      <c r="H10106" s="1" t="s">
        <v>43</v>
      </c>
      <c r="I10106" s="1" t="s">
        <v>5483</v>
      </c>
    </row>
    <row r="10107" spans="1:9">
      <c r="A10107" s="7" t="s">
        <v>7145</v>
      </c>
      <c r="B10107" s="1" t="s">
        <v>2631</v>
      </c>
      <c r="C10107" s="1">
        <v>9</v>
      </c>
      <c r="D10107" s="1" t="s">
        <v>19</v>
      </c>
      <c r="E10107" s="1" t="s">
        <v>6</v>
      </c>
      <c r="F10107" s="1" t="s">
        <v>449</v>
      </c>
      <c r="G10107" s="1" t="s">
        <v>6953</v>
      </c>
      <c r="H10107" s="1" t="s">
        <v>43</v>
      </c>
      <c r="I10107" s="1" t="s">
        <v>5483</v>
      </c>
    </row>
    <row r="10108" spans="1:9">
      <c r="A10108" s="7" t="s">
        <v>7146</v>
      </c>
      <c r="B10108" s="1" t="s">
        <v>2631</v>
      </c>
      <c r="C10108" s="1">
        <v>9</v>
      </c>
      <c r="D10108" s="1" t="s">
        <v>19</v>
      </c>
      <c r="E10108" s="1" t="s">
        <v>6</v>
      </c>
      <c r="F10108" s="1" t="s">
        <v>449</v>
      </c>
      <c r="G10108" s="1" t="s">
        <v>6953</v>
      </c>
      <c r="H10108" s="1" t="s">
        <v>43</v>
      </c>
      <c r="I10108" s="1" t="s">
        <v>5483</v>
      </c>
    </row>
    <row r="10109" spans="1:9">
      <c r="A10109" s="7" t="s">
        <v>7147</v>
      </c>
      <c r="B10109" s="1" t="s">
        <v>2631</v>
      </c>
      <c r="C10109" s="1">
        <v>9</v>
      </c>
      <c r="D10109" s="1" t="s">
        <v>19</v>
      </c>
      <c r="E10109" s="1" t="s">
        <v>6</v>
      </c>
      <c r="F10109" s="1" t="s">
        <v>449</v>
      </c>
      <c r="G10109" s="1" t="s">
        <v>6953</v>
      </c>
      <c r="H10109" s="1" t="s">
        <v>43</v>
      </c>
      <c r="I10109" s="1" t="s">
        <v>5483</v>
      </c>
    </row>
    <row r="10110" spans="1:9">
      <c r="A10110" s="7" t="s">
        <v>7148</v>
      </c>
      <c r="B10110" s="1" t="s">
        <v>2631</v>
      </c>
      <c r="C10110" s="1">
        <v>9</v>
      </c>
      <c r="D10110" s="1" t="s">
        <v>19</v>
      </c>
      <c r="E10110" s="1" t="s">
        <v>6</v>
      </c>
      <c r="F10110" s="1" t="s">
        <v>449</v>
      </c>
      <c r="G10110" s="1" t="s">
        <v>6953</v>
      </c>
      <c r="H10110" s="1" t="s">
        <v>43</v>
      </c>
      <c r="I10110" s="1" t="s">
        <v>5855</v>
      </c>
    </row>
    <row r="10111" spans="1:9">
      <c r="A10111" s="7" t="s">
        <v>7149</v>
      </c>
      <c r="B10111" s="1" t="s">
        <v>2631</v>
      </c>
      <c r="C10111" s="1">
        <v>9</v>
      </c>
      <c r="D10111" s="1" t="s">
        <v>19</v>
      </c>
      <c r="E10111" s="1" t="s">
        <v>6</v>
      </c>
      <c r="F10111" s="1" t="s">
        <v>449</v>
      </c>
      <c r="G10111" s="1" t="s">
        <v>6953</v>
      </c>
      <c r="H10111" s="1" t="s">
        <v>43</v>
      </c>
      <c r="I10111" s="1" t="s">
        <v>5855</v>
      </c>
    </row>
    <row r="10112" spans="1:9">
      <c r="A10112" s="7" t="s">
        <v>7150</v>
      </c>
      <c r="B10112" s="1" t="s">
        <v>2631</v>
      </c>
      <c r="C10112" s="1">
        <v>9</v>
      </c>
      <c r="D10112" s="1" t="s">
        <v>19</v>
      </c>
      <c r="E10112" s="1" t="s">
        <v>6</v>
      </c>
      <c r="F10112" s="1" t="s">
        <v>449</v>
      </c>
      <c r="G10112" s="1" t="s">
        <v>6953</v>
      </c>
      <c r="H10112" s="1" t="s">
        <v>43</v>
      </c>
      <c r="I10112" s="1" t="s">
        <v>5855</v>
      </c>
    </row>
    <row r="10113" spans="1:9">
      <c r="A10113" s="7" t="s">
        <v>7151</v>
      </c>
      <c r="B10113" s="1" t="s">
        <v>2631</v>
      </c>
      <c r="C10113" s="1">
        <v>9</v>
      </c>
      <c r="D10113" s="1" t="s">
        <v>19</v>
      </c>
      <c r="E10113" s="1" t="s">
        <v>6</v>
      </c>
      <c r="F10113" s="1" t="s">
        <v>449</v>
      </c>
      <c r="G10113" s="1" t="s">
        <v>6953</v>
      </c>
      <c r="H10113" s="1" t="s">
        <v>43</v>
      </c>
      <c r="I10113" s="1" t="s">
        <v>5855</v>
      </c>
    </row>
    <row r="10114" spans="1:9">
      <c r="A10114" s="7" t="s">
        <v>7152</v>
      </c>
      <c r="B10114" s="1" t="s">
        <v>2631</v>
      </c>
      <c r="C10114" s="1">
        <v>9</v>
      </c>
      <c r="D10114" s="1" t="s">
        <v>19</v>
      </c>
      <c r="E10114" s="1" t="s">
        <v>6</v>
      </c>
      <c r="F10114" s="1" t="s">
        <v>449</v>
      </c>
      <c r="G10114" s="1" t="s">
        <v>6953</v>
      </c>
      <c r="H10114" s="1" t="s">
        <v>43</v>
      </c>
      <c r="I10114" s="1" t="s">
        <v>5855</v>
      </c>
    </row>
    <row r="10115" spans="1:9">
      <c r="A10115" s="7" t="s">
        <v>7153</v>
      </c>
      <c r="B10115" s="1" t="s">
        <v>2628</v>
      </c>
      <c r="C10115" s="1">
        <v>9</v>
      </c>
      <c r="D10115" s="1" t="s">
        <v>19</v>
      </c>
      <c r="E10115" s="1" t="s">
        <v>6</v>
      </c>
      <c r="F10115" s="1" t="s">
        <v>449</v>
      </c>
      <c r="G10115" s="1" t="s">
        <v>6953</v>
      </c>
      <c r="H10115" s="1" t="s">
        <v>43</v>
      </c>
      <c r="I10115" s="1" t="s">
        <v>5855</v>
      </c>
    </row>
    <row r="10116" spans="1:9">
      <c r="A10116" s="7" t="s">
        <v>7154</v>
      </c>
      <c r="B10116" s="1" t="s">
        <v>2628</v>
      </c>
      <c r="C10116" s="1">
        <v>9</v>
      </c>
      <c r="D10116" s="1" t="s">
        <v>19</v>
      </c>
      <c r="E10116" s="1" t="s">
        <v>6</v>
      </c>
      <c r="F10116" s="1" t="s">
        <v>449</v>
      </c>
      <c r="G10116" s="1" t="s">
        <v>6953</v>
      </c>
      <c r="H10116" s="1" t="s">
        <v>43</v>
      </c>
      <c r="I10116" s="1" t="s">
        <v>5855</v>
      </c>
    </row>
    <row r="10117" spans="1:9">
      <c r="A10117" s="7" t="s">
        <v>7155</v>
      </c>
      <c r="B10117" s="1" t="s">
        <v>2631</v>
      </c>
      <c r="C10117" s="1">
        <v>9</v>
      </c>
      <c r="D10117" s="1" t="s">
        <v>19</v>
      </c>
      <c r="E10117" s="1" t="s">
        <v>6</v>
      </c>
      <c r="F10117" s="1" t="s">
        <v>449</v>
      </c>
      <c r="G10117" s="1" t="s">
        <v>6953</v>
      </c>
      <c r="H10117" s="1" t="s">
        <v>43</v>
      </c>
      <c r="I10117" s="1" t="s">
        <v>6844</v>
      </c>
    </row>
    <row r="10118" spans="1:9">
      <c r="A10118" s="7" t="s">
        <v>7156</v>
      </c>
      <c r="B10118" s="1" t="s">
        <v>2628</v>
      </c>
      <c r="C10118" s="1">
        <v>9</v>
      </c>
      <c r="D10118" s="1" t="s">
        <v>19</v>
      </c>
      <c r="E10118" s="1" t="s">
        <v>6</v>
      </c>
      <c r="F10118" s="1" t="s">
        <v>449</v>
      </c>
      <c r="G10118" s="1" t="s">
        <v>6953</v>
      </c>
      <c r="H10118" s="1" t="s">
        <v>43</v>
      </c>
      <c r="I10118" s="1" t="s">
        <v>6844</v>
      </c>
    </row>
    <row r="10119" spans="1:9">
      <c r="A10119" s="7" t="s">
        <v>7157</v>
      </c>
      <c r="B10119" s="1" t="s">
        <v>2628</v>
      </c>
      <c r="C10119" s="1">
        <v>9</v>
      </c>
      <c r="D10119" s="1" t="s">
        <v>19</v>
      </c>
      <c r="E10119" s="1" t="s">
        <v>6</v>
      </c>
      <c r="F10119" s="1" t="s">
        <v>449</v>
      </c>
      <c r="G10119" s="1" t="s">
        <v>6953</v>
      </c>
      <c r="H10119" s="1" t="s">
        <v>43</v>
      </c>
      <c r="I10119" s="1" t="s">
        <v>6844</v>
      </c>
    </row>
    <row r="10120" spans="1:9">
      <c r="A10120" s="7" t="s">
        <v>7158</v>
      </c>
      <c r="B10120" s="1" t="s">
        <v>2631</v>
      </c>
      <c r="C10120" s="1">
        <v>9</v>
      </c>
      <c r="D10120" s="1" t="s">
        <v>19</v>
      </c>
      <c r="E10120" s="1" t="s">
        <v>6</v>
      </c>
      <c r="F10120" s="1" t="s">
        <v>449</v>
      </c>
      <c r="G10120" s="1" t="s">
        <v>6953</v>
      </c>
      <c r="H10120" s="1" t="s">
        <v>43</v>
      </c>
      <c r="I10120" s="1" t="s">
        <v>6844</v>
      </c>
    </row>
    <row r="10121" spans="1:9">
      <c r="A10121" s="7" t="s">
        <v>7159</v>
      </c>
      <c r="B10121" s="1" t="s">
        <v>2628</v>
      </c>
      <c r="C10121" s="1">
        <v>9</v>
      </c>
      <c r="D10121" s="1" t="s">
        <v>19</v>
      </c>
      <c r="E10121" s="1" t="s">
        <v>6</v>
      </c>
      <c r="F10121" s="1" t="s">
        <v>449</v>
      </c>
      <c r="G10121" s="1" t="s">
        <v>6953</v>
      </c>
      <c r="H10121" s="1" t="s">
        <v>43</v>
      </c>
      <c r="I10121" s="1" t="s">
        <v>6844</v>
      </c>
    </row>
    <row r="10122" spans="1:9">
      <c r="A10122" s="7" t="s">
        <v>7160</v>
      </c>
      <c r="B10122" s="1" t="s">
        <v>2631</v>
      </c>
      <c r="C10122" s="1">
        <v>9</v>
      </c>
      <c r="D10122" s="1" t="s">
        <v>19</v>
      </c>
      <c r="E10122" s="1" t="s">
        <v>6</v>
      </c>
      <c r="F10122" s="1" t="s">
        <v>449</v>
      </c>
      <c r="G10122" s="1" t="s">
        <v>6953</v>
      </c>
      <c r="H10122" s="1" t="s">
        <v>43</v>
      </c>
      <c r="I10122" s="1" t="s">
        <v>6844</v>
      </c>
    </row>
    <row r="10123" spans="1:9">
      <c r="A10123" s="7" t="s">
        <v>7161</v>
      </c>
      <c r="B10123" s="1" t="s">
        <v>2628</v>
      </c>
      <c r="C10123" s="1">
        <v>9</v>
      </c>
      <c r="D10123" s="1" t="s">
        <v>19</v>
      </c>
      <c r="E10123" s="1" t="s">
        <v>6</v>
      </c>
      <c r="F10123" s="1" t="s">
        <v>449</v>
      </c>
      <c r="G10123" s="1" t="s">
        <v>6953</v>
      </c>
      <c r="H10123" s="1" t="s">
        <v>43</v>
      </c>
      <c r="I10123" s="1" t="s">
        <v>6844</v>
      </c>
    </row>
    <row r="10124" spans="1:9">
      <c r="A10124" s="7" t="s">
        <v>7162</v>
      </c>
      <c r="B10124" s="1" t="s">
        <v>2631</v>
      </c>
      <c r="C10124" s="1">
        <v>9</v>
      </c>
      <c r="D10124" s="1" t="s">
        <v>19</v>
      </c>
      <c r="E10124" s="1" t="s">
        <v>6</v>
      </c>
      <c r="F10124" s="1" t="s">
        <v>449</v>
      </c>
      <c r="G10124" s="1" t="s">
        <v>6953</v>
      </c>
      <c r="H10124" s="1" t="s">
        <v>43</v>
      </c>
      <c r="I10124" s="1" t="s">
        <v>5798</v>
      </c>
    </row>
    <row r="10125" spans="1:9">
      <c r="A10125" s="7" t="s">
        <v>7163</v>
      </c>
      <c r="B10125" s="1" t="s">
        <v>2631</v>
      </c>
      <c r="C10125" s="1">
        <v>9</v>
      </c>
      <c r="D10125" s="1" t="s">
        <v>19</v>
      </c>
      <c r="E10125" s="1" t="s">
        <v>6</v>
      </c>
      <c r="F10125" s="1" t="s">
        <v>449</v>
      </c>
      <c r="G10125" s="1" t="s">
        <v>6953</v>
      </c>
      <c r="H10125" s="1" t="s">
        <v>43</v>
      </c>
      <c r="I10125" s="1" t="s">
        <v>6844</v>
      </c>
    </row>
    <row r="10126" spans="1:9">
      <c r="A10126" s="7" t="s">
        <v>7164</v>
      </c>
      <c r="B10126" s="1" t="s">
        <v>2631</v>
      </c>
      <c r="C10126" s="1">
        <v>9</v>
      </c>
      <c r="D10126" s="1" t="s">
        <v>19</v>
      </c>
      <c r="E10126" s="1" t="s">
        <v>6</v>
      </c>
      <c r="F10126" s="1" t="s">
        <v>449</v>
      </c>
      <c r="G10126" s="1" t="s">
        <v>6953</v>
      </c>
      <c r="H10126" s="1" t="s">
        <v>43</v>
      </c>
      <c r="I10126" s="1" t="s">
        <v>4789</v>
      </c>
    </row>
    <row r="10127" spans="1:9">
      <c r="A10127" s="7" t="s">
        <v>7165</v>
      </c>
      <c r="B10127" s="1" t="s">
        <v>2631</v>
      </c>
      <c r="C10127" s="1">
        <v>9</v>
      </c>
      <c r="D10127" s="1" t="s">
        <v>19</v>
      </c>
      <c r="E10127" s="1" t="s">
        <v>6</v>
      </c>
      <c r="F10127" s="1" t="s">
        <v>449</v>
      </c>
      <c r="G10127" s="1" t="s">
        <v>6953</v>
      </c>
      <c r="H10127" s="1" t="s">
        <v>43</v>
      </c>
      <c r="I10127" s="1" t="s">
        <v>5659</v>
      </c>
    </row>
    <row r="10128" spans="1:9">
      <c r="A10128" s="7" t="s">
        <v>7166</v>
      </c>
      <c r="B10128" s="1" t="s">
        <v>2631</v>
      </c>
      <c r="C10128" s="1">
        <v>9</v>
      </c>
      <c r="D10128" s="1" t="s">
        <v>19</v>
      </c>
      <c r="E10128" s="1" t="s">
        <v>6</v>
      </c>
      <c r="F10128" s="1" t="s">
        <v>449</v>
      </c>
      <c r="G10128" s="1" t="s">
        <v>6953</v>
      </c>
      <c r="H10128" s="1" t="s">
        <v>43</v>
      </c>
      <c r="I10128" s="1" t="s">
        <v>5653</v>
      </c>
    </row>
    <row r="10129" spans="1:10">
      <c r="A10129" s="7" t="s">
        <v>7167</v>
      </c>
      <c r="B10129" s="1" t="s">
        <v>2631</v>
      </c>
      <c r="C10129" s="1">
        <v>9</v>
      </c>
      <c r="D10129" s="1" t="s">
        <v>19</v>
      </c>
      <c r="E10129" s="1" t="s">
        <v>6</v>
      </c>
      <c r="F10129" s="1" t="s">
        <v>449</v>
      </c>
      <c r="G10129" s="1" t="s">
        <v>6953</v>
      </c>
      <c r="H10129" s="1" t="s">
        <v>43</v>
      </c>
      <c r="I10129" s="1" t="s">
        <v>5798</v>
      </c>
    </row>
    <row r="10130" spans="1:10">
      <c r="A10130" s="7" t="s">
        <v>7168</v>
      </c>
      <c r="B10130" s="1" t="s">
        <v>2628</v>
      </c>
      <c r="C10130" s="1">
        <v>9</v>
      </c>
      <c r="D10130" s="1" t="s">
        <v>19</v>
      </c>
      <c r="E10130" s="1" t="s">
        <v>6</v>
      </c>
      <c r="F10130" s="1" t="s">
        <v>449</v>
      </c>
      <c r="G10130" s="1" t="s">
        <v>6953</v>
      </c>
      <c r="H10130" s="1" t="s">
        <v>43</v>
      </c>
      <c r="I10130" s="1" t="s">
        <v>5798</v>
      </c>
    </row>
    <row r="10131" spans="1:10">
      <c r="A10131" s="7" t="s">
        <v>7169</v>
      </c>
      <c r="B10131" s="1" t="s">
        <v>2628</v>
      </c>
      <c r="C10131" s="1">
        <v>9</v>
      </c>
      <c r="D10131" s="1" t="s">
        <v>19</v>
      </c>
      <c r="E10131" s="1" t="s">
        <v>6</v>
      </c>
      <c r="F10131" s="1" t="s">
        <v>449</v>
      </c>
      <c r="G10131" s="1" t="s">
        <v>6953</v>
      </c>
      <c r="H10131" s="1" t="s">
        <v>43</v>
      </c>
      <c r="I10131" s="1" t="s">
        <v>5798</v>
      </c>
    </row>
    <row r="10132" spans="1:10">
      <c r="A10132" s="7" t="s">
        <v>7170</v>
      </c>
      <c r="B10132" s="1" t="s">
        <v>2628</v>
      </c>
      <c r="C10132" s="1">
        <v>9</v>
      </c>
      <c r="D10132" s="1" t="s">
        <v>19</v>
      </c>
      <c r="E10132" s="1" t="s">
        <v>6</v>
      </c>
      <c r="F10132" s="1" t="s">
        <v>449</v>
      </c>
      <c r="G10132" s="1" t="s">
        <v>6953</v>
      </c>
      <c r="H10132" s="1" t="s">
        <v>43</v>
      </c>
      <c r="I10132" s="1" t="s">
        <v>5798</v>
      </c>
    </row>
    <row r="10133" spans="1:10">
      <c r="A10133" s="7" t="s">
        <v>7171</v>
      </c>
      <c r="B10133" s="1" t="s">
        <v>2631</v>
      </c>
      <c r="C10133" s="1">
        <v>9</v>
      </c>
      <c r="D10133" s="1" t="s">
        <v>19</v>
      </c>
      <c r="E10133" s="1" t="s">
        <v>6</v>
      </c>
      <c r="F10133" s="1" t="s">
        <v>449</v>
      </c>
      <c r="G10133" s="1" t="s">
        <v>6953</v>
      </c>
      <c r="H10133" s="1" t="s">
        <v>43</v>
      </c>
      <c r="I10133" s="1" t="s">
        <v>5798</v>
      </c>
    </row>
    <row r="10134" spans="1:10">
      <c r="A10134" s="7" t="s">
        <v>7172</v>
      </c>
      <c r="B10134" s="1" t="s">
        <v>2628</v>
      </c>
      <c r="C10134" s="1">
        <v>9</v>
      </c>
      <c r="D10134" s="1" t="s">
        <v>19</v>
      </c>
      <c r="E10134" s="1" t="s">
        <v>6</v>
      </c>
      <c r="F10134" s="1" t="s">
        <v>449</v>
      </c>
      <c r="G10134" s="1" t="s">
        <v>6953</v>
      </c>
      <c r="H10134" s="1" t="s">
        <v>43</v>
      </c>
      <c r="I10134" s="1" t="s">
        <v>5798</v>
      </c>
    </row>
    <row r="10135" spans="1:10">
      <c r="A10135" s="7" t="s">
        <v>7173</v>
      </c>
      <c r="B10135" s="1" t="s">
        <v>2628</v>
      </c>
      <c r="C10135" s="1">
        <v>9</v>
      </c>
      <c r="D10135" s="1" t="s">
        <v>19</v>
      </c>
      <c r="E10135" s="1" t="s">
        <v>6</v>
      </c>
      <c r="F10135" s="1" t="s">
        <v>449</v>
      </c>
      <c r="G10135" s="1" t="s">
        <v>6953</v>
      </c>
      <c r="H10135" s="1" t="s">
        <v>43</v>
      </c>
      <c r="I10135" s="1" t="s">
        <v>5798</v>
      </c>
    </row>
    <row r="10136" spans="1:10">
      <c r="A10136" s="7" t="s">
        <v>7174</v>
      </c>
      <c r="B10136" s="1" t="s">
        <v>2628</v>
      </c>
      <c r="C10136" s="1">
        <v>9</v>
      </c>
      <c r="D10136" s="1" t="s">
        <v>19</v>
      </c>
      <c r="E10136" s="1" t="s">
        <v>6</v>
      </c>
      <c r="F10136" s="1" t="s">
        <v>449</v>
      </c>
      <c r="G10136" s="1" t="s">
        <v>6953</v>
      </c>
      <c r="H10136" s="1" t="s">
        <v>43</v>
      </c>
      <c r="I10136" s="1" t="s">
        <v>5798</v>
      </c>
    </row>
    <row r="10137" spans="1:10">
      <c r="A10137" s="7" t="s">
        <v>7175</v>
      </c>
      <c r="B10137" s="1" t="s">
        <v>2631</v>
      </c>
      <c r="C10137" s="1">
        <v>9</v>
      </c>
      <c r="D10137" s="1" t="s">
        <v>19</v>
      </c>
      <c r="E10137" s="1" t="s">
        <v>6</v>
      </c>
      <c r="F10137" s="1" t="s">
        <v>449</v>
      </c>
      <c r="G10137" s="1" t="s">
        <v>6953</v>
      </c>
      <c r="H10137" s="1" t="s">
        <v>43</v>
      </c>
      <c r="I10137" s="1" t="s">
        <v>5798</v>
      </c>
    </row>
    <row r="10138" spans="1:10">
      <c r="A10138" s="7" t="s">
        <v>7176</v>
      </c>
      <c r="B10138" s="1" t="s">
        <v>2631</v>
      </c>
      <c r="C10138" s="1">
        <v>9</v>
      </c>
      <c r="D10138" s="1" t="s">
        <v>19</v>
      </c>
      <c r="E10138" s="1" t="s">
        <v>6</v>
      </c>
      <c r="F10138" s="1" t="s">
        <v>449</v>
      </c>
      <c r="G10138" s="1" t="s">
        <v>6953</v>
      </c>
      <c r="H10138" s="1" t="s">
        <v>43</v>
      </c>
      <c r="I10138" s="1" t="s">
        <v>5798</v>
      </c>
    </row>
    <row r="10139" spans="1:10">
      <c r="A10139" s="7" t="s">
        <v>7216</v>
      </c>
      <c r="B10139" s="1" t="s">
        <v>2628</v>
      </c>
      <c r="C10139" s="1">
        <v>9</v>
      </c>
      <c r="D10139" s="1" t="s">
        <v>19</v>
      </c>
      <c r="E10139" s="1" t="s">
        <v>6</v>
      </c>
      <c r="F10139" s="1" t="s">
        <v>5091</v>
      </c>
      <c r="G10139" s="1" t="s">
        <v>6181</v>
      </c>
      <c r="H10139" s="1" t="s">
        <v>118</v>
      </c>
      <c r="I10139" s="1" t="s">
        <v>5659</v>
      </c>
    </row>
    <row r="10140" spans="1:10">
      <c r="A10140" s="7" t="s">
        <v>7221</v>
      </c>
      <c r="B10140" s="1" t="s">
        <v>2629</v>
      </c>
      <c r="C10140" s="1">
        <v>9</v>
      </c>
      <c r="D10140" s="1" t="s">
        <v>19</v>
      </c>
      <c r="E10140" s="1" t="s">
        <v>6</v>
      </c>
      <c r="F10140" s="1" t="s">
        <v>5241</v>
      </c>
      <c r="G10140" s="1" t="s">
        <v>6307</v>
      </c>
      <c r="H10140" s="1" t="s">
        <v>44</v>
      </c>
      <c r="I10140" s="1" t="s">
        <v>6090</v>
      </c>
    </row>
    <row r="10141" spans="1:10">
      <c r="A10141" s="7" t="s">
        <v>7223</v>
      </c>
      <c r="B10141" s="1" t="s">
        <v>2629</v>
      </c>
      <c r="C10141" s="1">
        <v>9</v>
      </c>
      <c r="D10141" s="1" t="s">
        <v>19</v>
      </c>
      <c r="E10141" s="1" t="s">
        <v>6</v>
      </c>
      <c r="F10141" s="1" t="s">
        <v>5241</v>
      </c>
      <c r="G10141" s="1" t="s">
        <v>6307</v>
      </c>
      <c r="H10141" s="1" t="s">
        <v>44</v>
      </c>
      <c r="I10141" s="1" t="s">
        <v>6090</v>
      </c>
    </row>
    <row r="10142" spans="1:10">
      <c r="A10142" s="7" t="s">
        <v>7224</v>
      </c>
      <c r="B10142" s="1" t="s">
        <v>2629</v>
      </c>
      <c r="C10142" s="1">
        <v>9</v>
      </c>
      <c r="D10142" s="1" t="s">
        <v>19</v>
      </c>
      <c r="E10142" s="1" t="s">
        <v>6</v>
      </c>
      <c r="F10142" s="1" t="s">
        <v>5241</v>
      </c>
      <c r="G10142" s="1" t="s">
        <v>6307</v>
      </c>
      <c r="H10142" s="1" t="s">
        <v>44</v>
      </c>
      <c r="I10142" s="1" t="s">
        <v>6090</v>
      </c>
    </row>
    <row r="10143" spans="1:10" s="11" customFormat="1">
      <c r="A10143" s="7" t="s">
        <v>7225</v>
      </c>
      <c r="B10143" s="1" t="s">
        <v>2629</v>
      </c>
      <c r="C10143" s="1">
        <v>9</v>
      </c>
      <c r="D10143" s="1" t="s">
        <v>19</v>
      </c>
      <c r="E10143" s="1" t="s">
        <v>6</v>
      </c>
      <c r="F10143" s="1" t="s">
        <v>5241</v>
      </c>
      <c r="G10143" s="1" t="s">
        <v>6307</v>
      </c>
      <c r="H10143" s="1" t="s">
        <v>44</v>
      </c>
      <c r="I10143" s="1" t="s">
        <v>6090</v>
      </c>
      <c r="J10143"/>
    </row>
    <row r="10144" spans="1:10" s="11" customFormat="1">
      <c r="A10144" s="7" t="s">
        <v>7227</v>
      </c>
      <c r="B10144" s="1" t="s">
        <v>2629</v>
      </c>
      <c r="C10144" s="1">
        <v>9</v>
      </c>
      <c r="D10144" s="1" t="s">
        <v>19</v>
      </c>
      <c r="E10144" s="1" t="s">
        <v>6</v>
      </c>
      <c r="F10144" s="1" t="s">
        <v>5241</v>
      </c>
      <c r="G10144" s="1" t="s">
        <v>6307</v>
      </c>
      <c r="H10144" s="1" t="s">
        <v>44</v>
      </c>
      <c r="I10144" s="1" t="s">
        <v>6090</v>
      </c>
      <c r="J10144"/>
    </row>
    <row r="10145" spans="1:10">
      <c r="A10145" s="7" t="s">
        <v>7228</v>
      </c>
      <c r="B10145" s="1" t="s">
        <v>2629</v>
      </c>
      <c r="C10145" s="1">
        <v>9</v>
      </c>
      <c r="D10145" s="1" t="s">
        <v>19</v>
      </c>
      <c r="E10145" s="1" t="s">
        <v>6</v>
      </c>
      <c r="F10145" s="1" t="s">
        <v>5241</v>
      </c>
      <c r="G10145" s="1" t="s">
        <v>4803</v>
      </c>
      <c r="H10145" s="1" t="s">
        <v>5</v>
      </c>
      <c r="I10145" s="1" t="s">
        <v>6090</v>
      </c>
      <c r="J10145" s="17"/>
    </row>
    <row r="10146" spans="1:10">
      <c r="A10146" s="7" t="s">
        <v>7231</v>
      </c>
      <c r="B10146" s="1" t="s">
        <v>2628</v>
      </c>
      <c r="C10146" s="1">
        <v>9</v>
      </c>
      <c r="D10146" s="1" t="s">
        <v>19</v>
      </c>
      <c r="E10146" s="1" t="s">
        <v>6</v>
      </c>
      <c r="F10146" s="1" t="s">
        <v>5091</v>
      </c>
      <c r="G10146" s="1" t="s">
        <v>2400</v>
      </c>
      <c r="H10146" s="1" t="s">
        <v>43</v>
      </c>
      <c r="I10146" s="1" t="s">
        <v>5653</v>
      </c>
    </row>
    <row r="10147" spans="1:10">
      <c r="A10147" s="7" t="s">
        <v>7232</v>
      </c>
      <c r="B10147" s="1" t="s">
        <v>2628</v>
      </c>
      <c r="C10147" s="1">
        <v>9</v>
      </c>
      <c r="D10147" s="1" t="s">
        <v>19</v>
      </c>
      <c r="E10147" s="1" t="s">
        <v>6</v>
      </c>
      <c r="F10147" s="1" t="s">
        <v>5091</v>
      </c>
      <c r="G10147" s="1" t="s">
        <v>2400</v>
      </c>
      <c r="H10147" s="1" t="s">
        <v>43</v>
      </c>
      <c r="I10147" s="1" t="s">
        <v>5653</v>
      </c>
    </row>
    <row r="10148" spans="1:10" ht="31.2">
      <c r="A10148" s="16" t="s">
        <v>7233</v>
      </c>
      <c r="B10148" s="1" t="s">
        <v>2628</v>
      </c>
      <c r="C10148" s="1">
        <v>9</v>
      </c>
      <c r="D10148" s="1" t="s">
        <v>19</v>
      </c>
      <c r="E10148" s="1" t="s">
        <v>6</v>
      </c>
      <c r="F10148" s="1" t="s">
        <v>5091</v>
      </c>
      <c r="G10148" s="14" t="s">
        <v>6145</v>
      </c>
      <c r="H10148" s="1" t="s">
        <v>43</v>
      </c>
      <c r="I10148" s="17">
        <v>39973</v>
      </c>
    </row>
    <row r="10149" spans="1:10">
      <c r="A10149" s="7" t="s">
        <v>7234</v>
      </c>
      <c r="B10149" s="1" t="s">
        <v>2628</v>
      </c>
      <c r="C10149" s="1">
        <v>9</v>
      </c>
      <c r="D10149" s="1" t="s">
        <v>19</v>
      </c>
      <c r="E10149" s="1" t="s">
        <v>6</v>
      </c>
      <c r="F10149" s="1" t="s">
        <v>5091</v>
      </c>
      <c r="G10149" s="1" t="s">
        <v>2400</v>
      </c>
      <c r="H10149" s="1" t="s">
        <v>43</v>
      </c>
      <c r="I10149" s="1" t="s">
        <v>5653</v>
      </c>
    </row>
    <row r="10150" spans="1:10" s="11" customFormat="1" ht="31.2">
      <c r="A10150" s="16" t="s">
        <v>7235</v>
      </c>
      <c r="B10150" s="1" t="s">
        <v>2628</v>
      </c>
      <c r="C10150" s="1">
        <v>9</v>
      </c>
      <c r="D10150" s="1" t="s">
        <v>19</v>
      </c>
      <c r="E10150" s="1" t="s">
        <v>6</v>
      </c>
      <c r="F10150" s="1" t="s">
        <v>5091</v>
      </c>
      <c r="G10150" s="14" t="s">
        <v>6145</v>
      </c>
      <c r="H10150" s="1" t="s">
        <v>43</v>
      </c>
      <c r="I10150" s="17">
        <v>39973</v>
      </c>
      <c r="J10150"/>
    </row>
    <row r="10151" spans="1:10" s="11" customFormat="1">
      <c r="A10151" s="7" t="s">
        <v>7236</v>
      </c>
      <c r="B10151" s="1" t="s">
        <v>2628</v>
      </c>
      <c r="C10151" s="1">
        <v>9</v>
      </c>
      <c r="D10151" s="1" t="s">
        <v>19</v>
      </c>
      <c r="E10151" s="1" t="s">
        <v>6</v>
      </c>
      <c r="F10151" s="1" t="s">
        <v>5091</v>
      </c>
      <c r="G10151" s="1" t="s">
        <v>2400</v>
      </c>
      <c r="H10151" s="1" t="s">
        <v>43</v>
      </c>
      <c r="I10151" s="1" t="s">
        <v>5653</v>
      </c>
      <c r="J10151"/>
    </row>
    <row r="10152" spans="1:10" s="11" customFormat="1">
      <c r="A10152" s="7" t="s">
        <v>7271</v>
      </c>
      <c r="B10152" s="1" t="s">
        <v>2628</v>
      </c>
      <c r="C10152" s="1">
        <v>9</v>
      </c>
      <c r="D10152" s="1" t="s">
        <v>19</v>
      </c>
      <c r="E10152" s="1" t="s">
        <v>6</v>
      </c>
      <c r="F10152" s="1" t="s">
        <v>5091</v>
      </c>
      <c r="G10152" s="1" t="s">
        <v>6236</v>
      </c>
      <c r="H10152" s="1" t="s">
        <v>43</v>
      </c>
      <c r="I10152" s="1" t="s">
        <v>6090</v>
      </c>
      <c r="J10152" s="17"/>
    </row>
    <row r="10153" spans="1:10" s="11" customFormat="1">
      <c r="A10153" s="7" t="s">
        <v>7274</v>
      </c>
      <c r="B10153" s="1" t="s">
        <v>2629</v>
      </c>
      <c r="C10153" s="1">
        <v>9</v>
      </c>
      <c r="D10153" s="1" t="s">
        <v>19</v>
      </c>
      <c r="E10153" s="1" t="s">
        <v>6</v>
      </c>
      <c r="F10153" s="1" t="s">
        <v>5241</v>
      </c>
      <c r="G10153" s="1" t="s">
        <v>4803</v>
      </c>
      <c r="H10153" s="1" t="s">
        <v>5</v>
      </c>
      <c r="I10153" s="1" t="s">
        <v>6090</v>
      </c>
      <c r="J10153" s="17"/>
    </row>
    <row r="10154" spans="1:10">
      <c r="A10154" s="7" t="s">
        <v>7276</v>
      </c>
      <c r="B10154" s="1" t="s">
        <v>2629</v>
      </c>
      <c r="C10154" s="1">
        <v>9</v>
      </c>
      <c r="D10154" s="1" t="s">
        <v>19</v>
      </c>
      <c r="E10154" s="1" t="s">
        <v>6</v>
      </c>
      <c r="F10154" s="1" t="s">
        <v>5241</v>
      </c>
      <c r="G10154" s="1" t="s">
        <v>4803</v>
      </c>
      <c r="H10154" s="1" t="s">
        <v>5</v>
      </c>
      <c r="I10154" s="1" t="s">
        <v>6090</v>
      </c>
      <c r="J10154" s="17"/>
    </row>
    <row r="10155" spans="1:10">
      <c r="A10155" s="7" t="s">
        <v>7318</v>
      </c>
      <c r="B10155" s="1" t="s">
        <v>2628</v>
      </c>
      <c r="C10155" s="1">
        <v>9</v>
      </c>
      <c r="D10155" s="1" t="s">
        <v>19</v>
      </c>
      <c r="E10155" s="1" t="s">
        <v>6</v>
      </c>
      <c r="F10155" s="1" t="s">
        <v>5091</v>
      </c>
      <c r="G10155" s="1" t="s">
        <v>6145</v>
      </c>
      <c r="H10155" s="1" t="s">
        <v>43</v>
      </c>
      <c r="I10155" s="1" t="s">
        <v>6844</v>
      </c>
    </row>
    <row r="10156" spans="1:10">
      <c r="A10156" s="16" t="s">
        <v>7364</v>
      </c>
      <c r="B10156" s="1" t="s">
        <v>2628</v>
      </c>
      <c r="C10156" s="1">
        <v>9</v>
      </c>
      <c r="D10156" s="1" t="s">
        <v>19</v>
      </c>
      <c r="E10156" s="1" t="s">
        <v>6</v>
      </c>
      <c r="F10156" s="1" t="s">
        <v>5091</v>
      </c>
      <c r="G10156" s="14" t="s">
        <v>7365</v>
      </c>
      <c r="H10156" s="1" t="s">
        <v>5</v>
      </c>
      <c r="I10156" s="17">
        <v>41578</v>
      </c>
    </row>
    <row r="10157" spans="1:10">
      <c r="A10157" s="7" t="s">
        <v>7395</v>
      </c>
      <c r="B10157" s="1" t="s">
        <v>2628</v>
      </c>
      <c r="C10157" s="1">
        <v>9</v>
      </c>
      <c r="D10157" s="1" t="s">
        <v>19</v>
      </c>
      <c r="E10157" s="1" t="s">
        <v>6</v>
      </c>
      <c r="F10157" s="1" t="s">
        <v>5091</v>
      </c>
      <c r="G10157" s="1" t="s">
        <v>6139</v>
      </c>
      <c r="H10157" s="1" t="s">
        <v>43</v>
      </c>
      <c r="I10157" s="1" t="s">
        <v>5855</v>
      </c>
    </row>
    <row r="10158" spans="1:10" ht="31.2">
      <c r="A10158" s="16" t="s">
        <v>7396</v>
      </c>
      <c r="B10158" s="1" t="s">
        <v>2628</v>
      </c>
      <c r="C10158" s="1">
        <v>9</v>
      </c>
      <c r="D10158" s="1" t="s">
        <v>19</v>
      </c>
      <c r="E10158" s="1" t="s">
        <v>6</v>
      </c>
      <c r="F10158" s="1" t="s">
        <v>5091</v>
      </c>
      <c r="G10158" s="14" t="s">
        <v>6145</v>
      </c>
      <c r="H10158" s="1" t="s">
        <v>43</v>
      </c>
      <c r="I10158" s="17">
        <v>41856</v>
      </c>
    </row>
    <row r="10159" spans="1:10">
      <c r="A10159" s="16" t="s">
        <v>7448</v>
      </c>
      <c r="B10159" s="1" t="s">
        <v>2628</v>
      </c>
      <c r="C10159" s="1">
        <v>9</v>
      </c>
      <c r="D10159" s="1" t="s">
        <v>19</v>
      </c>
      <c r="E10159" s="1" t="s">
        <v>6</v>
      </c>
      <c r="F10159" s="1" t="s">
        <v>5091</v>
      </c>
      <c r="G10159" s="14" t="s">
        <v>7430</v>
      </c>
      <c r="H10159" s="1" t="s">
        <v>5</v>
      </c>
      <c r="I10159" s="17">
        <v>40118</v>
      </c>
    </row>
    <row r="10160" spans="1:10">
      <c r="A10160" s="7" t="s">
        <v>7451</v>
      </c>
      <c r="B10160" s="1" t="s">
        <v>2628</v>
      </c>
      <c r="C10160" s="1">
        <v>9</v>
      </c>
      <c r="D10160" s="1" t="s">
        <v>19</v>
      </c>
      <c r="E10160" s="1" t="s">
        <v>6</v>
      </c>
      <c r="F10160" s="1" t="s">
        <v>5091</v>
      </c>
      <c r="G10160" s="1" t="s">
        <v>4803</v>
      </c>
      <c r="H10160" s="1" t="s">
        <v>5</v>
      </c>
      <c r="I10160" s="1" t="s">
        <v>6090</v>
      </c>
      <c r="J10160" s="17"/>
    </row>
    <row r="10161" spans="1:10">
      <c r="A10161" s="7" t="s">
        <v>7452</v>
      </c>
      <c r="B10161" s="1" t="s">
        <v>2628</v>
      </c>
      <c r="C10161" s="1">
        <v>9</v>
      </c>
      <c r="D10161" s="1" t="s">
        <v>19</v>
      </c>
      <c r="E10161" s="1" t="s">
        <v>6</v>
      </c>
      <c r="F10161" s="1" t="s">
        <v>5091</v>
      </c>
      <c r="G10161" s="1" t="s">
        <v>7453</v>
      </c>
      <c r="H10161" s="1" t="s">
        <v>5</v>
      </c>
      <c r="I10161" s="1" t="s">
        <v>6090</v>
      </c>
      <c r="J10161" s="17"/>
    </row>
    <row r="10162" spans="1:10">
      <c r="A10162" s="7" t="s">
        <v>7459</v>
      </c>
      <c r="B10162" s="1" t="s">
        <v>2628</v>
      </c>
      <c r="C10162" s="1">
        <v>9</v>
      </c>
      <c r="D10162" s="1" t="s">
        <v>19</v>
      </c>
      <c r="E10162" s="1" t="s">
        <v>6</v>
      </c>
      <c r="F10162" s="1" t="s">
        <v>5091</v>
      </c>
      <c r="G10162" s="1" t="s">
        <v>6427</v>
      </c>
      <c r="H10162" s="1" t="s">
        <v>5</v>
      </c>
      <c r="I10162" s="1" t="s">
        <v>6090</v>
      </c>
      <c r="J10162" s="17"/>
    </row>
    <row r="10163" spans="1:10">
      <c r="A10163" s="7" t="s">
        <v>7460</v>
      </c>
      <c r="B10163" s="1" t="s">
        <v>2628</v>
      </c>
      <c r="C10163" s="1">
        <v>9</v>
      </c>
      <c r="D10163" s="1" t="s">
        <v>19</v>
      </c>
      <c r="E10163" s="1" t="s">
        <v>6</v>
      </c>
      <c r="F10163" s="1" t="s">
        <v>5091</v>
      </c>
      <c r="G10163" s="1" t="s">
        <v>6427</v>
      </c>
      <c r="H10163" s="1" t="s">
        <v>5</v>
      </c>
      <c r="I10163" s="1" t="s">
        <v>6090</v>
      </c>
      <c r="J10163" s="17"/>
    </row>
    <row r="10164" spans="1:10">
      <c r="A10164" s="7" t="s">
        <v>7461</v>
      </c>
      <c r="B10164" s="1" t="s">
        <v>2628</v>
      </c>
      <c r="C10164" s="1">
        <v>9</v>
      </c>
      <c r="D10164" s="1" t="s">
        <v>19</v>
      </c>
      <c r="E10164" s="1" t="s">
        <v>6</v>
      </c>
      <c r="F10164" s="1" t="s">
        <v>5091</v>
      </c>
      <c r="G10164" s="1" t="s">
        <v>6427</v>
      </c>
      <c r="H10164" s="1" t="s">
        <v>5</v>
      </c>
      <c r="I10164" s="1" t="s">
        <v>6090</v>
      </c>
      <c r="J10164" s="1"/>
    </row>
    <row r="10165" spans="1:10">
      <c r="A10165" s="7" t="s">
        <v>7463</v>
      </c>
      <c r="B10165" s="1" t="s">
        <v>2629</v>
      </c>
      <c r="C10165" s="1">
        <v>9</v>
      </c>
      <c r="D10165" s="1" t="s">
        <v>19</v>
      </c>
      <c r="E10165" s="1" t="s">
        <v>6</v>
      </c>
      <c r="F10165" s="1" t="s">
        <v>5241</v>
      </c>
      <c r="G10165" s="1" t="s">
        <v>4803</v>
      </c>
      <c r="H10165" s="1" t="s">
        <v>5</v>
      </c>
      <c r="I10165" s="1" t="s">
        <v>5722</v>
      </c>
      <c r="J10165" s="17"/>
    </row>
    <row r="10166" spans="1:10">
      <c r="A10166" s="7" t="s">
        <v>7474</v>
      </c>
      <c r="B10166" s="1" t="s">
        <v>2631</v>
      </c>
      <c r="C10166" s="1">
        <v>9</v>
      </c>
      <c r="D10166" s="1" t="s">
        <v>19</v>
      </c>
      <c r="E10166" s="1" t="s">
        <v>6</v>
      </c>
      <c r="F10166" s="1" t="s">
        <v>118</v>
      </c>
      <c r="G10166" s="1" t="s">
        <v>7475</v>
      </c>
      <c r="H10166" s="1" t="s">
        <v>5</v>
      </c>
      <c r="I10166" s="1" t="s">
        <v>5807</v>
      </c>
    </row>
    <row r="10167" spans="1:10">
      <c r="A10167" s="7" t="s">
        <v>7478</v>
      </c>
      <c r="B10167" s="1" t="s">
        <v>2631</v>
      </c>
      <c r="C10167" s="1">
        <v>9</v>
      </c>
      <c r="D10167" s="1" t="s">
        <v>19</v>
      </c>
      <c r="E10167" s="1" t="s">
        <v>6</v>
      </c>
      <c r="F10167" s="1" t="s">
        <v>118</v>
      </c>
      <c r="G10167" s="1" t="s">
        <v>7479</v>
      </c>
      <c r="H10167" s="1" t="s">
        <v>5</v>
      </c>
      <c r="I10167" s="1" t="s">
        <v>5807</v>
      </c>
      <c r="J10167" s="17"/>
    </row>
    <row r="10168" spans="1:10">
      <c r="A10168" s="7" t="s">
        <v>7540</v>
      </c>
      <c r="B10168" s="1" t="s">
        <v>2628</v>
      </c>
      <c r="C10168" s="1">
        <v>9</v>
      </c>
      <c r="D10168" s="1" t="s">
        <v>19</v>
      </c>
      <c r="E10168" s="1" t="s">
        <v>6</v>
      </c>
      <c r="F10168" s="1" t="s">
        <v>5091</v>
      </c>
      <c r="G10168" s="1" t="s">
        <v>6186</v>
      </c>
      <c r="H10168" s="1" t="s">
        <v>5</v>
      </c>
      <c r="I10168" s="1" t="s">
        <v>6090</v>
      </c>
      <c r="J10168" s="1"/>
    </row>
    <row r="10169" spans="1:10">
      <c r="A10169" s="7" t="s">
        <v>7543</v>
      </c>
      <c r="B10169" s="1" t="s">
        <v>2628</v>
      </c>
      <c r="C10169" s="1">
        <v>9</v>
      </c>
      <c r="D10169" s="1" t="s">
        <v>19</v>
      </c>
      <c r="E10169" s="1" t="s">
        <v>6</v>
      </c>
      <c r="F10169" s="1" t="s">
        <v>5091</v>
      </c>
      <c r="G10169" s="1" t="s">
        <v>7544</v>
      </c>
      <c r="H10169" s="1" t="s">
        <v>5</v>
      </c>
      <c r="I10169" s="1" t="s">
        <v>6090</v>
      </c>
      <c r="J10169" s="17"/>
    </row>
    <row r="10170" spans="1:10">
      <c r="A10170" s="7" t="s">
        <v>7545</v>
      </c>
      <c r="B10170" s="1" t="s">
        <v>2628</v>
      </c>
      <c r="C10170" s="1">
        <v>9</v>
      </c>
      <c r="D10170" s="1" t="s">
        <v>19</v>
      </c>
      <c r="E10170" s="1" t="s">
        <v>6</v>
      </c>
      <c r="F10170" s="1" t="s">
        <v>5091</v>
      </c>
      <c r="G10170" s="1" t="s">
        <v>7544</v>
      </c>
      <c r="H10170" s="1" t="s">
        <v>5</v>
      </c>
      <c r="I10170" s="1" t="s">
        <v>6090</v>
      </c>
      <c r="J10170" s="1"/>
    </row>
    <row r="10171" spans="1:10">
      <c r="A10171" s="7" t="s">
        <v>7550</v>
      </c>
      <c r="B10171" s="1" t="s">
        <v>2629</v>
      </c>
      <c r="C10171" s="1">
        <v>9</v>
      </c>
      <c r="D10171" s="1" t="s">
        <v>19</v>
      </c>
      <c r="E10171" s="1" t="s">
        <v>6</v>
      </c>
      <c r="F10171" s="1" t="s">
        <v>5241</v>
      </c>
      <c r="G10171" s="1" t="s">
        <v>4803</v>
      </c>
      <c r="H10171" s="1" t="s">
        <v>5</v>
      </c>
      <c r="I10171" s="1" t="s">
        <v>6090</v>
      </c>
      <c r="J10171" s="17"/>
    </row>
    <row r="10172" spans="1:10">
      <c r="A10172" s="7" t="s">
        <v>7566</v>
      </c>
      <c r="B10172" s="1" t="s">
        <v>2628</v>
      </c>
      <c r="C10172" s="1">
        <v>9</v>
      </c>
      <c r="D10172" s="1" t="s">
        <v>19</v>
      </c>
      <c r="E10172" s="1" t="s">
        <v>6</v>
      </c>
      <c r="F10172" s="1" t="s">
        <v>5091</v>
      </c>
      <c r="G10172" s="1" t="s">
        <v>7567</v>
      </c>
      <c r="H10172" s="1" t="s">
        <v>43</v>
      </c>
      <c r="I10172" s="1" t="s">
        <v>5798</v>
      </c>
    </row>
    <row r="10173" spans="1:10">
      <c r="A10173" s="7" t="s">
        <v>7568</v>
      </c>
      <c r="B10173" s="1" t="s">
        <v>2628</v>
      </c>
      <c r="C10173" s="1">
        <v>9</v>
      </c>
      <c r="D10173" s="1" t="s">
        <v>19</v>
      </c>
      <c r="E10173" s="1" t="s">
        <v>6</v>
      </c>
      <c r="F10173" s="1" t="s">
        <v>5091</v>
      </c>
      <c r="G10173" s="1" t="s">
        <v>7567</v>
      </c>
      <c r="H10173" s="1" t="s">
        <v>43</v>
      </c>
      <c r="I10173" s="1" t="s">
        <v>5798</v>
      </c>
    </row>
    <row r="10174" spans="1:10">
      <c r="A10174" s="7" t="s">
        <v>7570</v>
      </c>
      <c r="B10174" s="1" t="s">
        <v>2628</v>
      </c>
      <c r="C10174" s="1">
        <v>9</v>
      </c>
      <c r="D10174" s="1" t="s">
        <v>19</v>
      </c>
      <c r="E10174" s="1" t="s">
        <v>6</v>
      </c>
      <c r="F10174" s="1" t="s">
        <v>5091</v>
      </c>
      <c r="G10174" s="1" t="s">
        <v>7567</v>
      </c>
      <c r="H10174" s="1" t="s">
        <v>43</v>
      </c>
      <c r="I10174" s="1" t="s">
        <v>5798</v>
      </c>
    </row>
    <row r="10175" spans="1:10">
      <c r="A10175" s="7" t="s">
        <v>7571</v>
      </c>
      <c r="B10175" s="1" t="s">
        <v>2628</v>
      </c>
      <c r="C10175" s="1">
        <v>9</v>
      </c>
      <c r="D10175" s="1" t="s">
        <v>19</v>
      </c>
      <c r="E10175" s="1" t="s">
        <v>6</v>
      </c>
      <c r="F10175" s="1" t="s">
        <v>5091</v>
      </c>
      <c r="G10175" s="1" t="s">
        <v>7567</v>
      </c>
      <c r="H10175" s="1" t="s">
        <v>43</v>
      </c>
      <c r="I10175" s="1" t="s">
        <v>5798</v>
      </c>
    </row>
    <row r="10176" spans="1:10">
      <c r="A10176" s="7" t="s">
        <v>7572</v>
      </c>
      <c r="B10176" s="1" t="s">
        <v>2628</v>
      </c>
      <c r="C10176" s="1">
        <v>9</v>
      </c>
      <c r="D10176" s="1" t="s">
        <v>19</v>
      </c>
      <c r="E10176" s="1" t="s">
        <v>6</v>
      </c>
      <c r="F10176" s="1" t="s">
        <v>5091</v>
      </c>
      <c r="G10176" s="1" t="s">
        <v>7567</v>
      </c>
      <c r="H10176" s="1" t="s">
        <v>43</v>
      </c>
      <c r="I10176" s="1" t="s">
        <v>5798</v>
      </c>
    </row>
    <row r="10177" spans="1:9">
      <c r="A10177" s="7" t="s">
        <v>7573</v>
      </c>
      <c r="B10177" s="1" t="s">
        <v>2628</v>
      </c>
      <c r="C10177" s="1">
        <v>9</v>
      </c>
      <c r="D10177" s="1" t="s">
        <v>19</v>
      </c>
      <c r="E10177" s="1" t="s">
        <v>6</v>
      </c>
      <c r="F10177" s="1" t="s">
        <v>5091</v>
      </c>
      <c r="G10177" s="1" t="s">
        <v>7567</v>
      </c>
      <c r="H10177" s="1" t="s">
        <v>43</v>
      </c>
      <c r="I10177" s="1" t="s">
        <v>5798</v>
      </c>
    </row>
    <row r="10178" spans="1:9">
      <c r="A10178" s="7" t="s">
        <v>7574</v>
      </c>
      <c r="B10178" s="1" t="s">
        <v>2628</v>
      </c>
      <c r="C10178" s="1">
        <v>9</v>
      </c>
      <c r="D10178" s="1" t="s">
        <v>19</v>
      </c>
      <c r="E10178" s="1" t="s">
        <v>6</v>
      </c>
      <c r="F10178" s="1" t="s">
        <v>5091</v>
      </c>
      <c r="G10178" s="1" t="s">
        <v>7567</v>
      </c>
      <c r="H10178" s="1" t="s">
        <v>43</v>
      </c>
      <c r="I10178" s="1" t="s">
        <v>5798</v>
      </c>
    </row>
    <row r="10179" spans="1:9">
      <c r="A10179" s="7" t="s">
        <v>7575</v>
      </c>
      <c r="B10179" s="1" t="s">
        <v>2628</v>
      </c>
      <c r="C10179" s="1">
        <v>9</v>
      </c>
      <c r="D10179" s="1" t="s">
        <v>19</v>
      </c>
      <c r="E10179" s="1" t="s">
        <v>6</v>
      </c>
      <c r="F10179" s="1" t="s">
        <v>5091</v>
      </c>
      <c r="G10179" s="1" t="s">
        <v>7567</v>
      </c>
      <c r="H10179" s="1" t="s">
        <v>43</v>
      </c>
      <c r="I10179" s="1" t="s">
        <v>6844</v>
      </c>
    </row>
    <row r="10180" spans="1:9">
      <c r="A10180" s="7" t="s">
        <v>7576</v>
      </c>
      <c r="B10180" s="1" t="s">
        <v>2628</v>
      </c>
      <c r="C10180" s="1">
        <v>9</v>
      </c>
      <c r="D10180" s="1" t="s">
        <v>19</v>
      </c>
      <c r="E10180" s="1" t="s">
        <v>6</v>
      </c>
      <c r="F10180" s="1" t="s">
        <v>5091</v>
      </c>
      <c r="G10180" s="1" t="s">
        <v>7567</v>
      </c>
      <c r="H10180" s="1" t="s">
        <v>43</v>
      </c>
      <c r="I10180" s="1" t="s">
        <v>6844</v>
      </c>
    </row>
    <row r="10181" spans="1:9">
      <c r="A10181" s="7" t="s">
        <v>7578</v>
      </c>
      <c r="B10181" s="1" t="s">
        <v>2628</v>
      </c>
      <c r="C10181" s="1">
        <v>9</v>
      </c>
      <c r="D10181" s="1" t="s">
        <v>19</v>
      </c>
      <c r="E10181" s="1" t="s">
        <v>6</v>
      </c>
      <c r="F10181" s="1" t="s">
        <v>5091</v>
      </c>
      <c r="G10181" s="1" t="s">
        <v>7567</v>
      </c>
      <c r="H10181" s="1" t="s">
        <v>43</v>
      </c>
      <c r="I10181" s="1" t="s">
        <v>5798</v>
      </c>
    </row>
    <row r="10182" spans="1:9">
      <c r="A10182" s="7" t="s">
        <v>7579</v>
      </c>
      <c r="B10182" s="1" t="s">
        <v>2628</v>
      </c>
      <c r="C10182" s="1">
        <v>9</v>
      </c>
      <c r="D10182" s="1" t="s">
        <v>19</v>
      </c>
      <c r="E10182" s="1" t="s">
        <v>6</v>
      </c>
      <c r="F10182" s="1" t="s">
        <v>5091</v>
      </c>
      <c r="G10182" s="1" t="s">
        <v>7567</v>
      </c>
      <c r="H10182" s="1" t="s">
        <v>43</v>
      </c>
      <c r="I10182" s="1" t="s">
        <v>5798</v>
      </c>
    </row>
    <row r="10183" spans="1:9">
      <c r="A10183" s="7" t="s">
        <v>7580</v>
      </c>
      <c r="B10183" s="1" t="s">
        <v>2628</v>
      </c>
      <c r="C10183" s="1">
        <v>9</v>
      </c>
      <c r="D10183" s="1" t="s">
        <v>19</v>
      </c>
      <c r="E10183" s="1" t="s">
        <v>6</v>
      </c>
      <c r="F10183" s="1" t="s">
        <v>5091</v>
      </c>
      <c r="G10183" s="1" t="s">
        <v>7567</v>
      </c>
      <c r="H10183" s="1" t="s">
        <v>43</v>
      </c>
      <c r="I10183" s="1" t="s">
        <v>5798</v>
      </c>
    </row>
    <row r="10184" spans="1:9">
      <c r="A10184" s="7" t="s">
        <v>7581</v>
      </c>
      <c r="B10184" s="1" t="s">
        <v>2628</v>
      </c>
      <c r="C10184" s="1">
        <v>9</v>
      </c>
      <c r="D10184" s="1" t="s">
        <v>19</v>
      </c>
      <c r="E10184" s="1" t="s">
        <v>6</v>
      </c>
      <c r="F10184" s="1" t="s">
        <v>5091</v>
      </c>
      <c r="G10184" s="1" t="s">
        <v>7567</v>
      </c>
      <c r="H10184" s="1" t="s">
        <v>43</v>
      </c>
      <c r="I10184" s="1" t="s">
        <v>5798</v>
      </c>
    </row>
    <row r="10185" spans="1:9">
      <c r="A10185" s="7" t="s">
        <v>7582</v>
      </c>
      <c r="B10185" s="1" t="s">
        <v>2628</v>
      </c>
      <c r="C10185" s="1">
        <v>9</v>
      </c>
      <c r="D10185" s="1" t="s">
        <v>19</v>
      </c>
      <c r="E10185" s="1" t="s">
        <v>6</v>
      </c>
      <c r="F10185" s="1" t="s">
        <v>5091</v>
      </c>
      <c r="G10185" s="1" t="s">
        <v>7567</v>
      </c>
      <c r="H10185" s="1" t="s">
        <v>43</v>
      </c>
      <c r="I10185" s="1" t="s">
        <v>6844</v>
      </c>
    </row>
    <row r="10186" spans="1:9">
      <c r="A10186" s="7" t="s">
        <v>7583</v>
      </c>
      <c r="B10186" s="1" t="s">
        <v>2628</v>
      </c>
      <c r="C10186" s="1">
        <v>9</v>
      </c>
      <c r="D10186" s="1" t="s">
        <v>19</v>
      </c>
      <c r="E10186" s="1" t="s">
        <v>6</v>
      </c>
      <c r="F10186" s="1" t="s">
        <v>5091</v>
      </c>
      <c r="G10186" s="1" t="s">
        <v>7567</v>
      </c>
      <c r="H10186" s="1" t="s">
        <v>43</v>
      </c>
      <c r="I10186" s="1" t="s">
        <v>6844</v>
      </c>
    </row>
    <row r="10187" spans="1:9">
      <c r="A10187" s="7" t="s">
        <v>7584</v>
      </c>
      <c r="B10187" s="1" t="s">
        <v>2628</v>
      </c>
      <c r="C10187" s="1">
        <v>9</v>
      </c>
      <c r="D10187" s="1" t="s">
        <v>19</v>
      </c>
      <c r="E10187" s="1" t="s">
        <v>6</v>
      </c>
      <c r="F10187" s="1" t="s">
        <v>5091</v>
      </c>
      <c r="G10187" s="1" t="s">
        <v>7567</v>
      </c>
      <c r="H10187" s="1" t="s">
        <v>43</v>
      </c>
      <c r="I10187" s="1" t="s">
        <v>6844</v>
      </c>
    </row>
    <row r="10188" spans="1:9">
      <c r="A10188" s="7" t="s">
        <v>7585</v>
      </c>
      <c r="B10188" s="1" t="s">
        <v>2628</v>
      </c>
      <c r="C10188" s="1">
        <v>9</v>
      </c>
      <c r="D10188" s="1" t="s">
        <v>19</v>
      </c>
      <c r="E10188" s="1" t="s">
        <v>6</v>
      </c>
      <c r="F10188" s="1" t="s">
        <v>5091</v>
      </c>
      <c r="G10188" s="1" t="s">
        <v>7567</v>
      </c>
      <c r="H10188" s="1" t="s">
        <v>43</v>
      </c>
      <c r="I10188" s="1" t="s">
        <v>6844</v>
      </c>
    </row>
    <row r="10189" spans="1:9">
      <c r="A10189" s="7" t="s">
        <v>7586</v>
      </c>
      <c r="B10189" s="1" t="s">
        <v>2628</v>
      </c>
      <c r="C10189" s="1">
        <v>9</v>
      </c>
      <c r="D10189" s="1" t="s">
        <v>19</v>
      </c>
      <c r="E10189" s="1" t="s">
        <v>6</v>
      </c>
      <c r="F10189" s="1" t="s">
        <v>5091</v>
      </c>
      <c r="G10189" s="1" t="s">
        <v>7567</v>
      </c>
      <c r="H10189" s="1" t="s">
        <v>43</v>
      </c>
      <c r="I10189" s="1" t="s">
        <v>6844</v>
      </c>
    </row>
    <row r="10190" spans="1:9">
      <c r="A10190" s="7" t="s">
        <v>7587</v>
      </c>
      <c r="B10190" s="1" t="s">
        <v>2628</v>
      </c>
      <c r="C10190" s="1">
        <v>9</v>
      </c>
      <c r="D10190" s="1" t="s">
        <v>19</v>
      </c>
      <c r="E10190" s="1" t="s">
        <v>6</v>
      </c>
      <c r="F10190" s="1" t="s">
        <v>5091</v>
      </c>
      <c r="G10190" s="1" t="s">
        <v>7567</v>
      </c>
      <c r="H10190" s="1" t="s">
        <v>43</v>
      </c>
      <c r="I10190" s="1" t="s">
        <v>6844</v>
      </c>
    </row>
    <row r="10191" spans="1:9">
      <c r="A10191" s="7" t="s">
        <v>7588</v>
      </c>
      <c r="B10191" s="1" t="s">
        <v>2628</v>
      </c>
      <c r="C10191" s="1">
        <v>9</v>
      </c>
      <c r="D10191" s="1" t="s">
        <v>19</v>
      </c>
      <c r="E10191" s="1" t="s">
        <v>6</v>
      </c>
      <c r="F10191" s="1" t="s">
        <v>5091</v>
      </c>
      <c r="G10191" s="1" t="s">
        <v>7567</v>
      </c>
      <c r="H10191" s="1" t="s">
        <v>43</v>
      </c>
      <c r="I10191" s="1" t="s">
        <v>6844</v>
      </c>
    </row>
    <row r="10192" spans="1:9">
      <c r="A10192" s="7" t="s">
        <v>7590</v>
      </c>
      <c r="B10192" s="1" t="s">
        <v>2628</v>
      </c>
      <c r="C10192" s="1">
        <v>9</v>
      </c>
      <c r="D10192" s="1" t="s">
        <v>19</v>
      </c>
      <c r="E10192" s="1" t="s">
        <v>6</v>
      </c>
      <c r="F10192" s="1" t="s">
        <v>5091</v>
      </c>
      <c r="G10192" s="1" t="s">
        <v>7567</v>
      </c>
      <c r="H10192" s="1" t="s">
        <v>43</v>
      </c>
      <c r="I10192" s="1" t="s">
        <v>6844</v>
      </c>
    </row>
    <row r="10193" spans="1:10">
      <c r="A10193" s="7" t="s">
        <v>7591</v>
      </c>
      <c r="B10193" s="1" t="s">
        <v>2628</v>
      </c>
      <c r="C10193" s="1">
        <v>9</v>
      </c>
      <c r="D10193" s="1" t="s">
        <v>19</v>
      </c>
      <c r="E10193" s="1" t="s">
        <v>6</v>
      </c>
      <c r="F10193" s="1" t="s">
        <v>5091</v>
      </c>
      <c r="G10193" s="1" t="s">
        <v>7567</v>
      </c>
      <c r="H10193" s="1" t="s">
        <v>43</v>
      </c>
      <c r="I10193" s="1" t="s">
        <v>6844</v>
      </c>
    </row>
    <row r="10194" spans="1:10">
      <c r="A10194" s="7" t="s">
        <v>7593</v>
      </c>
      <c r="B10194" s="1" t="s">
        <v>2628</v>
      </c>
      <c r="C10194" s="1">
        <v>9</v>
      </c>
      <c r="D10194" s="1" t="s">
        <v>19</v>
      </c>
      <c r="E10194" s="1" t="s">
        <v>6</v>
      </c>
      <c r="F10194" s="1" t="s">
        <v>5091</v>
      </c>
      <c r="G10194" s="1" t="s">
        <v>7567</v>
      </c>
      <c r="H10194" s="1" t="s">
        <v>43</v>
      </c>
      <c r="I10194" s="1" t="s">
        <v>6844</v>
      </c>
    </row>
    <row r="10195" spans="1:10">
      <c r="A10195" s="7" t="s">
        <v>7594</v>
      </c>
      <c r="B10195" s="1" t="s">
        <v>2628</v>
      </c>
      <c r="C10195" s="1">
        <v>9</v>
      </c>
      <c r="D10195" s="1" t="s">
        <v>19</v>
      </c>
      <c r="E10195" s="1" t="s">
        <v>6</v>
      </c>
      <c r="F10195" s="1" t="s">
        <v>5091</v>
      </c>
      <c r="G10195" s="1" t="s">
        <v>7567</v>
      </c>
      <c r="H10195" s="1" t="s">
        <v>43</v>
      </c>
      <c r="I10195" s="1" t="s">
        <v>6844</v>
      </c>
    </row>
    <row r="10196" spans="1:10">
      <c r="A10196" s="7" t="s">
        <v>7595</v>
      </c>
      <c r="B10196" s="1" t="s">
        <v>2628</v>
      </c>
      <c r="C10196" s="1">
        <v>9</v>
      </c>
      <c r="D10196" s="1" t="s">
        <v>19</v>
      </c>
      <c r="E10196" s="1" t="s">
        <v>6</v>
      </c>
      <c r="F10196" s="1" t="s">
        <v>5091</v>
      </c>
      <c r="G10196" s="1" t="s">
        <v>7567</v>
      </c>
      <c r="H10196" s="1" t="s">
        <v>43</v>
      </c>
      <c r="I10196" s="1" t="s">
        <v>6844</v>
      </c>
    </row>
    <row r="10197" spans="1:10">
      <c r="A10197" s="7" t="s">
        <v>7597</v>
      </c>
      <c r="B10197" s="1" t="s">
        <v>2628</v>
      </c>
      <c r="C10197" s="1">
        <v>9</v>
      </c>
      <c r="D10197" s="1" t="s">
        <v>19</v>
      </c>
      <c r="E10197" s="1" t="s">
        <v>6</v>
      </c>
      <c r="F10197" s="1" t="s">
        <v>5091</v>
      </c>
      <c r="G10197" s="1" t="s">
        <v>7567</v>
      </c>
      <c r="H10197" s="1" t="s">
        <v>43</v>
      </c>
      <c r="I10197" s="1" t="s">
        <v>6844</v>
      </c>
    </row>
    <row r="10198" spans="1:10">
      <c r="A10198" s="7" t="s">
        <v>7598</v>
      </c>
      <c r="B10198" s="1" t="s">
        <v>2628</v>
      </c>
      <c r="C10198" s="1">
        <v>9</v>
      </c>
      <c r="D10198" s="1" t="s">
        <v>19</v>
      </c>
      <c r="E10198" s="1" t="s">
        <v>6</v>
      </c>
      <c r="F10198" s="1" t="s">
        <v>5091</v>
      </c>
      <c r="G10198" s="1" t="s">
        <v>7567</v>
      </c>
      <c r="H10198" s="1" t="s">
        <v>43</v>
      </c>
      <c r="I10198" s="1" t="s">
        <v>6844</v>
      </c>
    </row>
    <row r="10199" spans="1:10">
      <c r="A10199" s="7" t="s">
        <v>7599</v>
      </c>
      <c r="B10199" s="1" t="s">
        <v>2628</v>
      </c>
      <c r="C10199" s="1">
        <v>9</v>
      </c>
      <c r="D10199" s="1" t="s">
        <v>19</v>
      </c>
      <c r="E10199" s="1" t="s">
        <v>6</v>
      </c>
      <c r="F10199" s="1" t="s">
        <v>5091</v>
      </c>
      <c r="G10199" s="1" t="s">
        <v>7567</v>
      </c>
      <c r="H10199" s="1" t="s">
        <v>43</v>
      </c>
      <c r="I10199" s="1" t="s">
        <v>6844</v>
      </c>
    </row>
    <row r="10200" spans="1:10">
      <c r="A10200" s="7" t="s">
        <v>7600</v>
      </c>
      <c r="B10200" s="1" t="s">
        <v>2628</v>
      </c>
      <c r="C10200" s="1">
        <v>9</v>
      </c>
      <c r="D10200" s="1" t="s">
        <v>19</v>
      </c>
      <c r="E10200" s="1" t="s">
        <v>6</v>
      </c>
      <c r="F10200" s="1" t="s">
        <v>5091</v>
      </c>
      <c r="G10200" s="1" t="s">
        <v>7567</v>
      </c>
      <c r="H10200" s="1" t="s">
        <v>43</v>
      </c>
      <c r="I10200" s="1" t="s">
        <v>6844</v>
      </c>
    </row>
    <row r="10201" spans="1:10">
      <c r="A10201" s="7" t="s">
        <v>7601</v>
      </c>
      <c r="B10201" s="1" t="s">
        <v>2628</v>
      </c>
      <c r="C10201" s="1">
        <v>9</v>
      </c>
      <c r="D10201" s="1" t="s">
        <v>19</v>
      </c>
      <c r="E10201" s="1" t="s">
        <v>6</v>
      </c>
      <c r="F10201" s="1" t="s">
        <v>5091</v>
      </c>
      <c r="G10201" s="1" t="s">
        <v>7567</v>
      </c>
      <c r="H10201" s="1" t="s">
        <v>43</v>
      </c>
      <c r="I10201" s="1" t="s">
        <v>6844</v>
      </c>
    </row>
    <row r="10202" spans="1:10">
      <c r="A10202" s="7" t="s">
        <v>7602</v>
      </c>
      <c r="B10202" s="1" t="s">
        <v>2628</v>
      </c>
      <c r="C10202" s="1">
        <v>9</v>
      </c>
      <c r="D10202" s="1" t="s">
        <v>19</v>
      </c>
      <c r="E10202" s="1" t="s">
        <v>6</v>
      </c>
      <c r="F10202" s="1" t="s">
        <v>5091</v>
      </c>
      <c r="G10202" s="1" t="s">
        <v>7567</v>
      </c>
      <c r="H10202" s="1" t="s">
        <v>43</v>
      </c>
      <c r="I10202" s="1" t="s">
        <v>6844</v>
      </c>
    </row>
    <row r="10203" spans="1:10">
      <c r="A10203" s="7" t="s">
        <v>7605</v>
      </c>
      <c r="B10203" s="1" t="s">
        <v>2628</v>
      </c>
      <c r="C10203" s="1">
        <v>9</v>
      </c>
      <c r="D10203" s="1" t="s">
        <v>19</v>
      </c>
      <c r="E10203" s="1" t="s">
        <v>6</v>
      </c>
      <c r="F10203" s="1" t="s">
        <v>5091</v>
      </c>
      <c r="G10203" s="1" t="s">
        <v>7604</v>
      </c>
      <c r="H10203" s="1" t="s">
        <v>44</v>
      </c>
      <c r="I10203" s="1">
        <v>2013</v>
      </c>
    </row>
    <row r="10204" spans="1:10">
      <c r="A10204" s="7" t="s">
        <v>7608</v>
      </c>
      <c r="B10204" s="1" t="s">
        <v>2628</v>
      </c>
      <c r="C10204" s="1">
        <v>9</v>
      </c>
      <c r="D10204" s="1" t="s">
        <v>19</v>
      </c>
      <c r="E10204" s="1" t="s">
        <v>6</v>
      </c>
      <c r="F10204" s="1" t="s">
        <v>5091</v>
      </c>
      <c r="G10204" s="1" t="s">
        <v>7604</v>
      </c>
      <c r="H10204" s="1" t="s">
        <v>44</v>
      </c>
      <c r="I10204" s="1">
        <v>2013</v>
      </c>
    </row>
    <row r="10205" spans="1:10">
      <c r="A10205" s="7" t="s">
        <v>7630</v>
      </c>
      <c r="B10205" s="1" t="s">
        <v>2628</v>
      </c>
      <c r="C10205" s="1">
        <v>9</v>
      </c>
      <c r="D10205" s="1" t="s">
        <v>19</v>
      </c>
      <c r="E10205" s="1" t="s">
        <v>6</v>
      </c>
      <c r="F10205" s="1" t="s">
        <v>5091</v>
      </c>
      <c r="G10205" s="1" t="s">
        <v>6530</v>
      </c>
      <c r="H10205" s="1" t="s">
        <v>43</v>
      </c>
      <c r="I10205" s="1">
        <v>2007</v>
      </c>
    </row>
    <row r="10206" spans="1:10">
      <c r="A10206" s="7" t="s">
        <v>7640</v>
      </c>
      <c r="B10206" s="1" t="s">
        <v>2628</v>
      </c>
      <c r="C10206" s="1">
        <v>1113</v>
      </c>
      <c r="D10206" s="1" t="s">
        <v>19</v>
      </c>
      <c r="E10206" s="1" t="s">
        <v>6</v>
      </c>
      <c r="F10206" s="1" t="s">
        <v>5091</v>
      </c>
      <c r="G10206" s="1" t="s">
        <v>6186</v>
      </c>
      <c r="H10206" s="1" t="s">
        <v>5</v>
      </c>
      <c r="I10206" s="1" t="s">
        <v>6090</v>
      </c>
      <c r="J10206" s="17"/>
    </row>
    <row r="10207" spans="1:10" ht="31.2">
      <c r="A10207" s="16" t="s">
        <v>7648</v>
      </c>
      <c r="B10207" s="1" t="s">
        <v>2628</v>
      </c>
      <c r="C10207" s="1">
        <v>9</v>
      </c>
      <c r="D10207" s="1" t="s">
        <v>19</v>
      </c>
      <c r="E10207" s="1" t="s">
        <v>6</v>
      </c>
      <c r="F10207" s="1" t="s">
        <v>5091</v>
      </c>
      <c r="G10207" s="14" t="s">
        <v>7649</v>
      </c>
      <c r="H10207" s="1" t="s">
        <v>43</v>
      </c>
      <c r="I10207" s="17">
        <v>41640</v>
      </c>
    </row>
    <row r="10208" spans="1:10" ht="31.2">
      <c r="A10208" s="16" t="s">
        <v>7653</v>
      </c>
      <c r="B10208" s="1" t="s">
        <v>2628</v>
      </c>
      <c r="C10208" s="1">
        <v>9</v>
      </c>
      <c r="D10208" s="1" t="s">
        <v>19</v>
      </c>
      <c r="E10208" s="1" t="s">
        <v>6</v>
      </c>
      <c r="F10208" s="1" t="s">
        <v>5091</v>
      </c>
      <c r="G10208" s="14" t="s">
        <v>6307</v>
      </c>
      <c r="H10208" s="1" t="s">
        <v>44</v>
      </c>
      <c r="I10208" s="17">
        <v>41640</v>
      </c>
    </row>
    <row r="10209" spans="1:10">
      <c r="A10209" s="7" t="s">
        <v>7800</v>
      </c>
      <c r="B10209" s="1" t="s">
        <v>2628</v>
      </c>
      <c r="C10209" s="1">
        <v>9</v>
      </c>
      <c r="D10209" s="1" t="s">
        <v>19</v>
      </c>
      <c r="E10209" s="1" t="s">
        <v>6</v>
      </c>
      <c r="F10209" s="1" t="s">
        <v>5091</v>
      </c>
      <c r="G10209" s="1" t="s">
        <v>6236</v>
      </c>
      <c r="H10209" s="1" t="s">
        <v>43</v>
      </c>
      <c r="I10209" s="1" t="s">
        <v>6090</v>
      </c>
      <c r="J10209" s="17"/>
    </row>
    <row r="10210" spans="1:10">
      <c r="A10210" s="16" t="s">
        <v>7863</v>
      </c>
      <c r="B10210" s="1" t="s">
        <v>2628</v>
      </c>
      <c r="C10210" s="1">
        <v>9</v>
      </c>
      <c r="D10210" s="1" t="s">
        <v>19</v>
      </c>
      <c r="E10210" s="1" t="s">
        <v>6</v>
      </c>
      <c r="F10210" s="1" t="s">
        <v>5091</v>
      </c>
      <c r="G10210" s="14" t="s">
        <v>6307</v>
      </c>
      <c r="H10210" s="1" t="s">
        <v>44</v>
      </c>
      <c r="I10210" s="17">
        <v>41640</v>
      </c>
    </row>
    <row r="10211" spans="1:10">
      <c r="A10211" s="7" t="s">
        <v>7868</v>
      </c>
      <c r="B10211" s="1" t="s">
        <v>2628</v>
      </c>
      <c r="C10211" s="1">
        <v>9</v>
      </c>
      <c r="D10211" s="1" t="s">
        <v>19</v>
      </c>
      <c r="E10211" s="1" t="s">
        <v>6</v>
      </c>
      <c r="F10211" s="1" t="s">
        <v>5091</v>
      </c>
      <c r="G10211" s="1" t="s">
        <v>6181</v>
      </c>
      <c r="H10211" s="1" t="s">
        <v>118</v>
      </c>
      <c r="I10211" s="1" t="s">
        <v>4458</v>
      </c>
    </row>
    <row r="10212" spans="1:10">
      <c r="A10212" s="7" t="s">
        <v>7875</v>
      </c>
      <c r="B10212" s="1" t="s">
        <v>2629</v>
      </c>
      <c r="C10212" s="1">
        <v>9</v>
      </c>
      <c r="D10212" s="1" t="s">
        <v>19</v>
      </c>
      <c r="E10212" s="1" t="s">
        <v>6</v>
      </c>
      <c r="F10212" s="1" t="s">
        <v>5241</v>
      </c>
      <c r="G10212" s="1" t="s">
        <v>4803</v>
      </c>
      <c r="H10212" s="1" t="s">
        <v>5</v>
      </c>
      <c r="I10212" s="1" t="s">
        <v>6090</v>
      </c>
      <c r="J10212" s="17"/>
    </row>
    <row r="10213" spans="1:10">
      <c r="A10213" s="7" t="s">
        <v>7876</v>
      </c>
      <c r="B10213" s="1" t="s">
        <v>2629</v>
      </c>
      <c r="C10213" s="1">
        <v>9</v>
      </c>
      <c r="D10213" s="1" t="s">
        <v>19</v>
      </c>
      <c r="E10213" s="1" t="s">
        <v>6</v>
      </c>
      <c r="F10213" s="1" t="s">
        <v>5241</v>
      </c>
      <c r="G10213" s="1" t="s">
        <v>6307</v>
      </c>
      <c r="H10213" s="1" t="s">
        <v>44</v>
      </c>
      <c r="I10213" s="1" t="s">
        <v>6090</v>
      </c>
    </row>
    <row r="10214" spans="1:10">
      <c r="A10214" s="7" t="s">
        <v>7885</v>
      </c>
      <c r="B10214" s="1" t="s">
        <v>2628</v>
      </c>
      <c r="C10214" s="1">
        <v>1113</v>
      </c>
      <c r="D10214" s="1" t="s">
        <v>19</v>
      </c>
      <c r="E10214" s="1" t="s">
        <v>6</v>
      </c>
      <c r="F10214" s="1" t="s">
        <v>5091</v>
      </c>
      <c r="G10214" s="1" t="s">
        <v>6238</v>
      </c>
      <c r="H10214" s="1" t="s">
        <v>43</v>
      </c>
      <c r="I10214" s="1" t="s">
        <v>6090</v>
      </c>
      <c r="J10214" s="17"/>
    </row>
    <row r="10215" spans="1:10">
      <c r="A10215" s="7" t="s">
        <v>7886</v>
      </c>
      <c r="B10215" s="1" t="s">
        <v>2628</v>
      </c>
      <c r="C10215" s="1">
        <v>1113</v>
      </c>
      <c r="D10215" s="1" t="s">
        <v>19</v>
      </c>
      <c r="E10215" s="1" t="s">
        <v>6</v>
      </c>
      <c r="F10215" s="1" t="s">
        <v>5091</v>
      </c>
      <c r="G10215" s="1" t="s">
        <v>6238</v>
      </c>
      <c r="H10215" s="1" t="s">
        <v>43</v>
      </c>
      <c r="I10215" s="1" t="s">
        <v>6090</v>
      </c>
      <c r="J10215" s="17"/>
    </row>
    <row r="10216" spans="1:10">
      <c r="A10216" s="7" t="s">
        <v>7889</v>
      </c>
      <c r="B10216" s="1" t="s">
        <v>2628</v>
      </c>
      <c r="C10216" s="1">
        <v>9</v>
      </c>
      <c r="D10216" s="1" t="s">
        <v>19</v>
      </c>
      <c r="E10216" s="1" t="s">
        <v>6</v>
      </c>
      <c r="F10216" s="1" t="s">
        <v>118</v>
      </c>
      <c r="G10216" s="1" t="s">
        <v>7890</v>
      </c>
      <c r="H10216" s="1" t="s">
        <v>5</v>
      </c>
      <c r="I10216" s="1" t="s">
        <v>6090</v>
      </c>
      <c r="J10216" s="17"/>
    </row>
    <row r="10217" spans="1:10">
      <c r="A10217" s="7" t="s">
        <v>7898</v>
      </c>
      <c r="B10217" s="1" t="s">
        <v>2631</v>
      </c>
      <c r="C10217" s="1">
        <v>9</v>
      </c>
      <c r="D10217" s="1" t="s">
        <v>19</v>
      </c>
      <c r="E10217" s="1" t="s">
        <v>6</v>
      </c>
      <c r="F10217" s="1" t="s">
        <v>118</v>
      </c>
      <c r="G10217" s="1" t="s">
        <v>7899</v>
      </c>
      <c r="H10217" s="1" t="s">
        <v>5</v>
      </c>
      <c r="I10217" s="1" t="s">
        <v>6090</v>
      </c>
      <c r="J10217" s="1"/>
    </row>
    <row r="10218" spans="1:10">
      <c r="A10218" s="7" t="s">
        <v>7905</v>
      </c>
      <c r="B10218" s="1" t="s">
        <v>2628</v>
      </c>
      <c r="C10218" s="1">
        <v>9</v>
      </c>
      <c r="D10218" s="1" t="s">
        <v>19</v>
      </c>
      <c r="E10218" s="1" t="s">
        <v>6</v>
      </c>
      <c r="F10218" s="1" t="s">
        <v>118</v>
      </c>
      <c r="G10218" s="1" t="s">
        <v>7902</v>
      </c>
      <c r="H10218" s="1" t="s">
        <v>5</v>
      </c>
      <c r="I10218" s="1" t="s">
        <v>6090</v>
      </c>
      <c r="J10218" s="17"/>
    </row>
    <row r="10219" spans="1:10">
      <c r="A10219" s="7" t="s">
        <v>7906</v>
      </c>
      <c r="B10219" s="1" t="s">
        <v>2628</v>
      </c>
      <c r="C10219" s="1">
        <v>9</v>
      </c>
      <c r="D10219" s="1" t="s">
        <v>19</v>
      </c>
      <c r="E10219" s="1" t="s">
        <v>6</v>
      </c>
      <c r="F10219" s="1" t="s">
        <v>118</v>
      </c>
      <c r="G10219" s="1" t="s">
        <v>7899</v>
      </c>
      <c r="H10219" s="1" t="s">
        <v>5</v>
      </c>
      <c r="I10219" s="1" t="s">
        <v>6090</v>
      </c>
      <c r="J10219" s="17"/>
    </row>
    <row r="10220" spans="1:10">
      <c r="A10220" s="7" t="s">
        <v>7907</v>
      </c>
      <c r="B10220" s="1" t="s">
        <v>2628</v>
      </c>
      <c r="C10220" s="1">
        <v>9</v>
      </c>
      <c r="D10220" s="1" t="s">
        <v>19</v>
      </c>
      <c r="E10220" s="1" t="s">
        <v>6</v>
      </c>
      <c r="F10220" s="1" t="s">
        <v>118</v>
      </c>
      <c r="G10220" s="1" t="s">
        <v>7902</v>
      </c>
      <c r="H10220" s="1" t="s">
        <v>5</v>
      </c>
      <c r="I10220" s="1" t="s">
        <v>6090</v>
      </c>
      <c r="J10220" s="1"/>
    </row>
    <row r="10221" spans="1:10">
      <c r="A10221" s="7" t="s">
        <v>7908</v>
      </c>
      <c r="B10221" s="1" t="s">
        <v>2628</v>
      </c>
      <c r="C10221" s="1">
        <v>9</v>
      </c>
      <c r="D10221" s="1" t="s">
        <v>19</v>
      </c>
      <c r="E10221" s="1" t="s">
        <v>6</v>
      </c>
      <c r="F10221" s="1" t="s">
        <v>118</v>
      </c>
      <c r="G10221" s="1" t="s">
        <v>2565</v>
      </c>
      <c r="H10221" s="1" t="s">
        <v>5</v>
      </c>
      <c r="I10221" s="1" t="s">
        <v>6090</v>
      </c>
      <c r="J10221" s="17"/>
    </row>
    <row r="10222" spans="1:10">
      <c r="A10222" s="7" t="s">
        <v>7922</v>
      </c>
      <c r="B10222" s="1" t="s">
        <v>2628</v>
      </c>
      <c r="C10222" s="1">
        <v>9</v>
      </c>
      <c r="D10222" s="1" t="s">
        <v>19</v>
      </c>
      <c r="E10222" s="1" t="s">
        <v>6</v>
      </c>
      <c r="F10222" s="1" t="s">
        <v>118</v>
      </c>
      <c r="G10222" s="1" t="s">
        <v>7902</v>
      </c>
      <c r="H10222" s="1" t="s">
        <v>5</v>
      </c>
      <c r="I10222" s="1" t="s">
        <v>6090</v>
      </c>
      <c r="J10222" s="17"/>
    </row>
    <row r="10223" spans="1:10">
      <c r="A10223" s="7" t="s">
        <v>7924</v>
      </c>
      <c r="B10223" s="1" t="s">
        <v>2628</v>
      </c>
      <c r="C10223" s="1">
        <v>9</v>
      </c>
      <c r="D10223" s="1" t="s">
        <v>19</v>
      </c>
      <c r="E10223" s="1" t="s">
        <v>6</v>
      </c>
      <c r="F10223" s="1" t="s">
        <v>118</v>
      </c>
      <c r="G10223" s="1" t="s">
        <v>7899</v>
      </c>
      <c r="H10223" s="1" t="s">
        <v>5</v>
      </c>
      <c r="I10223" s="1" t="s">
        <v>6090</v>
      </c>
      <c r="J10223" s="17"/>
    </row>
    <row r="10224" spans="1:10">
      <c r="A10224" s="7" t="s">
        <v>7925</v>
      </c>
      <c r="B10224" s="1" t="s">
        <v>2628</v>
      </c>
      <c r="C10224" s="1">
        <v>9</v>
      </c>
      <c r="D10224" s="1" t="s">
        <v>19</v>
      </c>
      <c r="E10224" s="1" t="s">
        <v>6</v>
      </c>
      <c r="F10224" s="1" t="s">
        <v>118</v>
      </c>
      <c r="G10224" s="1" t="s">
        <v>7902</v>
      </c>
      <c r="H10224" s="1" t="s">
        <v>5</v>
      </c>
      <c r="I10224" s="1" t="s">
        <v>6090</v>
      </c>
      <c r="J10224" s="17"/>
    </row>
    <row r="10225" spans="1:10">
      <c r="A10225" s="7" t="s">
        <v>7933</v>
      </c>
      <c r="B10225" s="1" t="s">
        <v>2628</v>
      </c>
      <c r="C10225" s="1">
        <v>9</v>
      </c>
      <c r="D10225" s="1" t="s">
        <v>19</v>
      </c>
      <c r="E10225" s="1" t="s">
        <v>6</v>
      </c>
      <c r="F10225" s="1" t="s">
        <v>118</v>
      </c>
      <c r="G10225" s="1" t="s">
        <v>7902</v>
      </c>
      <c r="H10225" s="1" t="s">
        <v>5</v>
      </c>
      <c r="I10225" s="1" t="s">
        <v>6090</v>
      </c>
      <c r="J10225" s="17"/>
    </row>
    <row r="10226" spans="1:10">
      <c r="A10226" s="7" t="s">
        <v>7934</v>
      </c>
      <c r="B10226" s="1" t="s">
        <v>2631</v>
      </c>
      <c r="C10226" s="1">
        <v>9</v>
      </c>
      <c r="D10226" s="1" t="s">
        <v>19</v>
      </c>
      <c r="E10226" s="1" t="s">
        <v>6</v>
      </c>
      <c r="F10226" s="1" t="s">
        <v>118</v>
      </c>
      <c r="G10226" s="1" t="s">
        <v>7935</v>
      </c>
      <c r="H10226" s="1" t="s">
        <v>5</v>
      </c>
      <c r="I10226" s="1" t="s">
        <v>6090</v>
      </c>
    </row>
    <row r="10227" spans="1:10">
      <c r="A10227" s="7" t="s">
        <v>7939</v>
      </c>
      <c r="B10227" s="1" t="s">
        <v>2628</v>
      </c>
      <c r="C10227" s="1">
        <v>9</v>
      </c>
      <c r="D10227" s="1" t="s">
        <v>19</v>
      </c>
      <c r="E10227" s="1" t="s">
        <v>6</v>
      </c>
      <c r="F10227" s="1" t="s">
        <v>118</v>
      </c>
      <c r="G10227" s="1" t="s">
        <v>7656</v>
      </c>
      <c r="H10227" s="1" t="s">
        <v>5</v>
      </c>
      <c r="I10227" s="1" t="s">
        <v>6090</v>
      </c>
      <c r="J10227" s="17"/>
    </row>
    <row r="10228" spans="1:10">
      <c r="A10228" s="7" t="s">
        <v>7942</v>
      </c>
      <c r="B10228" s="1" t="s">
        <v>2628</v>
      </c>
      <c r="C10228" s="1">
        <v>9</v>
      </c>
      <c r="D10228" s="1" t="s">
        <v>19</v>
      </c>
      <c r="E10228" s="1" t="s">
        <v>6</v>
      </c>
      <c r="F10228" s="1" t="s">
        <v>118</v>
      </c>
      <c r="G10228" s="1" t="s">
        <v>7902</v>
      </c>
      <c r="H10228" s="1" t="s">
        <v>5</v>
      </c>
      <c r="I10228" s="1" t="s">
        <v>6090</v>
      </c>
      <c r="J10228" s="1"/>
    </row>
    <row r="10229" spans="1:10">
      <c r="A10229" s="7" t="s">
        <v>7945</v>
      </c>
      <c r="B10229" s="1" t="s">
        <v>2628</v>
      </c>
      <c r="C10229" s="1">
        <v>9</v>
      </c>
      <c r="D10229" s="1" t="s">
        <v>19</v>
      </c>
      <c r="E10229" s="1" t="s">
        <v>6</v>
      </c>
      <c r="F10229" s="1" t="s">
        <v>118</v>
      </c>
      <c r="G10229" s="1" t="s">
        <v>7902</v>
      </c>
      <c r="H10229" s="1" t="s">
        <v>5</v>
      </c>
      <c r="I10229" s="1" t="s">
        <v>6090</v>
      </c>
      <c r="J10229" s="1"/>
    </row>
    <row r="10230" spans="1:10">
      <c r="A10230" s="7" t="s">
        <v>7946</v>
      </c>
      <c r="B10230" s="1" t="s">
        <v>2628</v>
      </c>
      <c r="C10230" s="1">
        <v>9</v>
      </c>
      <c r="D10230" s="1" t="s">
        <v>19</v>
      </c>
      <c r="E10230" s="1" t="s">
        <v>6</v>
      </c>
      <c r="F10230" s="1" t="s">
        <v>118</v>
      </c>
      <c r="G10230" s="1" t="s">
        <v>7902</v>
      </c>
      <c r="H10230" s="1" t="s">
        <v>5</v>
      </c>
      <c r="I10230" s="1" t="s">
        <v>6090</v>
      </c>
      <c r="J10230" s="17"/>
    </row>
    <row r="10231" spans="1:10">
      <c r="A10231" s="7" t="s">
        <v>7955</v>
      </c>
      <c r="B10231" s="1" t="s">
        <v>2631</v>
      </c>
      <c r="C10231" s="1">
        <v>9</v>
      </c>
      <c r="D10231" s="1" t="s">
        <v>19</v>
      </c>
      <c r="E10231" s="1" t="s">
        <v>6</v>
      </c>
      <c r="F10231" s="1" t="s">
        <v>118</v>
      </c>
      <c r="G10231" s="1" t="s">
        <v>7902</v>
      </c>
      <c r="H10231" s="1" t="s">
        <v>5</v>
      </c>
      <c r="I10231" s="1" t="s">
        <v>6090</v>
      </c>
    </row>
    <row r="10232" spans="1:10">
      <c r="A10232" s="7" t="s">
        <v>7964</v>
      </c>
      <c r="B10232" s="1" t="s">
        <v>2628</v>
      </c>
      <c r="C10232" s="1">
        <v>9</v>
      </c>
      <c r="D10232" s="1" t="s">
        <v>19</v>
      </c>
      <c r="E10232" s="1" t="s">
        <v>6</v>
      </c>
      <c r="F10232" s="1" t="s">
        <v>118</v>
      </c>
      <c r="G10232" s="1" t="s">
        <v>7899</v>
      </c>
      <c r="H10232" s="1" t="s">
        <v>5</v>
      </c>
      <c r="I10232" s="1" t="s">
        <v>6090</v>
      </c>
      <c r="J10232" s="17"/>
    </row>
    <row r="10233" spans="1:10">
      <c r="A10233" s="7" t="s">
        <v>7974</v>
      </c>
      <c r="B10233" s="1" t="s">
        <v>2631</v>
      </c>
      <c r="C10233" s="1">
        <v>9</v>
      </c>
      <c r="D10233" s="1" t="s">
        <v>19</v>
      </c>
      <c r="E10233" s="1" t="s">
        <v>6</v>
      </c>
      <c r="F10233" s="1" t="s">
        <v>118</v>
      </c>
      <c r="G10233" s="1" t="s">
        <v>7902</v>
      </c>
      <c r="H10233" s="1" t="s">
        <v>5</v>
      </c>
      <c r="I10233" s="1" t="s">
        <v>5807</v>
      </c>
    </row>
    <row r="10234" spans="1:10">
      <c r="A10234" s="7" t="s">
        <v>7990</v>
      </c>
      <c r="B10234" s="1" t="s">
        <v>2628</v>
      </c>
      <c r="C10234" s="1">
        <v>9</v>
      </c>
      <c r="D10234" s="1" t="s">
        <v>19</v>
      </c>
      <c r="E10234" s="1" t="s">
        <v>6</v>
      </c>
      <c r="F10234" s="1" t="s">
        <v>118</v>
      </c>
      <c r="G10234" s="1" t="s">
        <v>7991</v>
      </c>
      <c r="H10234" s="1" t="s">
        <v>5</v>
      </c>
      <c r="I10234" s="1" t="s">
        <v>6090</v>
      </c>
      <c r="J10234" s="17"/>
    </row>
    <row r="10235" spans="1:10">
      <c r="A10235" s="7" t="s">
        <v>7995</v>
      </c>
      <c r="B10235" s="1" t="s">
        <v>2628</v>
      </c>
      <c r="C10235" s="1">
        <v>9</v>
      </c>
      <c r="D10235" s="1" t="s">
        <v>19</v>
      </c>
      <c r="E10235" s="1" t="s">
        <v>6</v>
      </c>
      <c r="F10235" s="1" t="s">
        <v>118</v>
      </c>
      <c r="G10235" s="1" t="s">
        <v>7895</v>
      </c>
      <c r="H10235" s="1" t="s">
        <v>43</v>
      </c>
      <c r="I10235" s="1" t="s">
        <v>5807</v>
      </c>
    </row>
    <row r="10236" spans="1:10">
      <c r="A10236" s="7" t="s">
        <v>8002</v>
      </c>
      <c r="B10236" s="1" t="s">
        <v>2629</v>
      </c>
      <c r="C10236" s="1">
        <v>9</v>
      </c>
      <c r="D10236" s="1" t="s">
        <v>19</v>
      </c>
      <c r="E10236" s="1" t="s">
        <v>6</v>
      </c>
      <c r="F10236" s="1" t="s">
        <v>5241</v>
      </c>
      <c r="G10236" s="1" t="s">
        <v>6307</v>
      </c>
      <c r="H10236" s="1" t="s">
        <v>44</v>
      </c>
      <c r="I10236" s="1" t="s">
        <v>6090</v>
      </c>
    </row>
    <row r="10237" spans="1:10">
      <c r="A10237" s="7" t="s">
        <v>8003</v>
      </c>
      <c r="B10237" s="1" t="s">
        <v>2629</v>
      </c>
      <c r="C10237" s="1">
        <v>9</v>
      </c>
      <c r="D10237" s="1" t="s">
        <v>19</v>
      </c>
      <c r="E10237" s="1" t="s">
        <v>6</v>
      </c>
      <c r="F10237" s="1" t="s">
        <v>5241</v>
      </c>
      <c r="G10237" s="1" t="s">
        <v>6307</v>
      </c>
      <c r="H10237" s="1" t="s">
        <v>44</v>
      </c>
      <c r="I10237" s="1" t="s">
        <v>6090</v>
      </c>
    </row>
    <row r="10238" spans="1:10">
      <c r="A10238" s="7" t="s">
        <v>8004</v>
      </c>
      <c r="B10238" s="1" t="s">
        <v>2629</v>
      </c>
      <c r="C10238" s="1">
        <v>9</v>
      </c>
      <c r="D10238" s="1" t="s">
        <v>19</v>
      </c>
      <c r="E10238" s="1" t="s">
        <v>6</v>
      </c>
      <c r="F10238" s="1" t="s">
        <v>5241</v>
      </c>
      <c r="G10238" s="1" t="s">
        <v>6307</v>
      </c>
      <c r="H10238" s="1" t="s">
        <v>44</v>
      </c>
      <c r="I10238" s="1" t="s">
        <v>6090</v>
      </c>
    </row>
    <row r="10239" spans="1:10">
      <c r="A10239" s="7" t="s">
        <v>8078</v>
      </c>
      <c r="B10239" s="1" t="s">
        <v>2628</v>
      </c>
      <c r="C10239" s="1">
        <v>9</v>
      </c>
      <c r="D10239" s="1" t="s">
        <v>19</v>
      </c>
      <c r="E10239" s="1" t="s">
        <v>6</v>
      </c>
      <c r="F10239" s="1" t="s">
        <v>118</v>
      </c>
      <c r="G10239" s="1" t="s">
        <v>7902</v>
      </c>
      <c r="H10239" s="1" t="s">
        <v>5</v>
      </c>
      <c r="I10239" s="1" t="s">
        <v>6090</v>
      </c>
      <c r="J10239" s="17"/>
    </row>
    <row r="10240" spans="1:10">
      <c r="A10240" s="7" t="s">
        <v>8079</v>
      </c>
      <c r="B10240" s="1" t="s">
        <v>2628</v>
      </c>
      <c r="C10240" s="1">
        <v>9</v>
      </c>
      <c r="D10240" s="1" t="s">
        <v>19</v>
      </c>
      <c r="E10240" s="1" t="s">
        <v>6</v>
      </c>
      <c r="F10240" s="1" t="s">
        <v>118</v>
      </c>
      <c r="G10240" s="1" t="s">
        <v>7902</v>
      </c>
      <c r="H10240" s="1" t="s">
        <v>5</v>
      </c>
      <c r="I10240" s="1" t="s">
        <v>6090</v>
      </c>
      <c r="J10240" s="17"/>
    </row>
    <row r="10241" spans="1:10">
      <c r="A10241" s="7" t="s">
        <v>8081</v>
      </c>
      <c r="B10241" s="1" t="s">
        <v>2628</v>
      </c>
      <c r="C10241" s="1">
        <v>9</v>
      </c>
      <c r="D10241" s="1" t="s">
        <v>19</v>
      </c>
      <c r="E10241" s="1" t="s">
        <v>6</v>
      </c>
      <c r="F10241" s="1" t="s">
        <v>118</v>
      </c>
      <c r="G10241" s="1" t="s">
        <v>7902</v>
      </c>
      <c r="H10241" s="1" t="s">
        <v>5</v>
      </c>
      <c r="I10241" s="1" t="s">
        <v>6090</v>
      </c>
      <c r="J10241" s="17"/>
    </row>
    <row r="10242" spans="1:10">
      <c r="A10242" s="7" t="s">
        <v>8088</v>
      </c>
      <c r="B10242" s="1" t="s">
        <v>2628</v>
      </c>
      <c r="C10242" s="1">
        <v>9</v>
      </c>
      <c r="D10242" s="1" t="s">
        <v>19</v>
      </c>
      <c r="E10242" s="1" t="s">
        <v>6</v>
      </c>
      <c r="F10242" s="1" t="s">
        <v>5091</v>
      </c>
      <c r="G10242" s="1" t="s">
        <v>6181</v>
      </c>
      <c r="H10242" s="1" t="s">
        <v>118</v>
      </c>
      <c r="I10242" s="1" t="s">
        <v>4458</v>
      </c>
    </row>
    <row r="10243" spans="1:10">
      <c r="A10243" s="16" t="s">
        <v>8120</v>
      </c>
      <c r="B10243" s="1" t="s">
        <v>2628</v>
      </c>
      <c r="C10243" s="1">
        <v>9</v>
      </c>
      <c r="D10243" s="1" t="s">
        <v>19</v>
      </c>
      <c r="E10243" s="1" t="s">
        <v>6</v>
      </c>
      <c r="F10243" s="1" t="s">
        <v>5091</v>
      </c>
      <c r="G10243" s="14" t="s">
        <v>8121</v>
      </c>
      <c r="H10243" s="1" t="s">
        <v>5</v>
      </c>
      <c r="I10243" s="17">
        <v>41275</v>
      </c>
    </row>
    <row r="10244" spans="1:10">
      <c r="A10244" s="16" t="s">
        <v>8124</v>
      </c>
      <c r="B10244" s="1" t="s">
        <v>2628</v>
      </c>
      <c r="C10244" s="1">
        <v>9</v>
      </c>
      <c r="D10244" s="1" t="s">
        <v>19</v>
      </c>
      <c r="E10244" s="1" t="s">
        <v>6</v>
      </c>
      <c r="F10244" s="1" t="s">
        <v>5091</v>
      </c>
      <c r="G10244" s="14" t="s">
        <v>8125</v>
      </c>
      <c r="H10244" s="1" t="s">
        <v>43</v>
      </c>
      <c r="I10244" s="17">
        <v>41275</v>
      </c>
    </row>
    <row r="10245" spans="1:10">
      <c r="A10245" s="16" t="s">
        <v>8129</v>
      </c>
      <c r="B10245" s="1" t="s">
        <v>2628</v>
      </c>
      <c r="C10245" s="1">
        <v>9</v>
      </c>
      <c r="D10245" s="1" t="s">
        <v>19</v>
      </c>
      <c r="E10245" s="1" t="s">
        <v>6</v>
      </c>
      <c r="F10245" s="1" t="s">
        <v>5091</v>
      </c>
      <c r="G10245" s="14" t="s">
        <v>8130</v>
      </c>
      <c r="H10245" s="1" t="s">
        <v>5</v>
      </c>
      <c r="I10245" s="17">
        <v>41275</v>
      </c>
    </row>
    <row r="10246" spans="1:10">
      <c r="A10246" s="16" t="s">
        <v>8131</v>
      </c>
      <c r="B10246" s="1" t="s">
        <v>2628</v>
      </c>
      <c r="C10246" s="1">
        <v>9</v>
      </c>
      <c r="D10246" s="1" t="s">
        <v>19</v>
      </c>
      <c r="E10246" s="1" t="s">
        <v>6</v>
      </c>
      <c r="F10246" s="1" t="s">
        <v>5091</v>
      </c>
      <c r="G10246" s="14" t="s">
        <v>6236</v>
      </c>
      <c r="H10246" s="1" t="s">
        <v>43</v>
      </c>
      <c r="I10246" s="17">
        <v>41275</v>
      </c>
    </row>
    <row r="10247" spans="1:10">
      <c r="A10247" s="7" t="s">
        <v>8160</v>
      </c>
      <c r="B10247" s="1" t="s">
        <v>2628</v>
      </c>
      <c r="C10247" s="1">
        <v>9</v>
      </c>
      <c r="D10247" s="1" t="s">
        <v>19</v>
      </c>
      <c r="E10247" s="1" t="s">
        <v>6</v>
      </c>
      <c r="F10247" s="1" t="s">
        <v>5091</v>
      </c>
      <c r="G10247" s="1" t="s">
        <v>8161</v>
      </c>
      <c r="H10247" s="1" t="s">
        <v>43</v>
      </c>
      <c r="I10247" s="1">
        <v>2005</v>
      </c>
    </row>
    <row r="10248" spans="1:10">
      <c r="A10248" s="7" t="s">
        <v>8165</v>
      </c>
      <c r="B10248" s="1" t="s">
        <v>2628</v>
      </c>
      <c r="C10248" s="1">
        <v>9</v>
      </c>
      <c r="D10248" s="1" t="s">
        <v>19</v>
      </c>
      <c r="E10248" s="1" t="s">
        <v>6</v>
      </c>
      <c r="F10248" s="1" t="s">
        <v>5091</v>
      </c>
      <c r="G10248" s="1" t="s">
        <v>8153</v>
      </c>
      <c r="H10248" s="1" t="s">
        <v>43</v>
      </c>
      <c r="I10248" s="1">
        <v>2004</v>
      </c>
    </row>
    <row r="10249" spans="1:10">
      <c r="A10249" s="7" t="s">
        <v>8171</v>
      </c>
      <c r="B10249" s="1" t="s">
        <v>2628</v>
      </c>
      <c r="C10249" s="1">
        <v>9</v>
      </c>
      <c r="D10249" s="1" t="s">
        <v>19</v>
      </c>
      <c r="E10249" s="1" t="s">
        <v>6</v>
      </c>
      <c r="F10249" s="1" t="s">
        <v>5091</v>
      </c>
      <c r="G10249" s="1" t="s">
        <v>8157</v>
      </c>
      <c r="H10249" s="1" t="s">
        <v>43</v>
      </c>
      <c r="I10249" s="1">
        <v>2006</v>
      </c>
    </row>
    <row r="10250" spans="1:10">
      <c r="A10250" s="7" t="s">
        <v>8200</v>
      </c>
      <c r="B10250" s="1" t="s">
        <v>2629</v>
      </c>
      <c r="C10250" s="1">
        <v>9</v>
      </c>
      <c r="D10250" s="1" t="s">
        <v>19</v>
      </c>
      <c r="E10250" s="1" t="s">
        <v>6</v>
      </c>
      <c r="F10250" s="1" t="s">
        <v>5091</v>
      </c>
      <c r="G10250" s="1" t="s">
        <v>8199</v>
      </c>
      <c r="H10250" s="1" t="s">
        <v>5</v>
      </c>
      <c r="I10250" s="17">
        <v>41781</v>
      </c>
      <c r="J10250" s="17"/>
    </row>
    <row r="10251" spans="1:10">
      <c r="A10251" s="7" t="s">
        <v>8204</v>
      </c>
      <c r="B10251" s="1" t="s">
        <v>2628</v>
      </c>
      <c r="C10251" s="1">
        <v>9</v>
      </c>
      <c r="D10251" s="1" t="s">
        <v>19</v>
      </c>
      <c r="E10251" s="1" t="s">
        <v>6</v>
      </c>
      <c r="F10251" s="1" t="s">
        <v>5091</v>
      </c>
      <c r="G10251" s="1" t="s">
        <v>8205</v>
      </c>
      <c r="H10251" s="1" t="s">
        <v>5</v>
      </c>
      <c r="I10251" s="1" t="s">
        <v>8096</v>
      </c>
      <c r="J10251" s="1"/>
    </row>
    <row r="10252" spans="1:10">
      <c r="A10252" s="7" t="s">
        <v>8209</v>
      </c>
      <c r="B10252" s="1" t="s">
        <v>2628</v>
      </c>
      <c r="C10252" s="1">
        <v>9</v>
      </c>
      <c r="D10252" s="1" t="s">
        <v>19</v>
      </c>
      <c r="E10252" s="1" t="s">
        <v>6</v>
      </c>
      <c r="F10252" s="1" t="s">
        <v>5091</v>
      </c>
      <c r="G10252" s="1" t="s">
        <v>8205</v>
      </c>
      <c r="H10252" s="1" t="s">
        <v>5</v>
      </c>
      <c r="I10252" s="1" t="s">
        <v>8096</v>
      </c>
      <c r="J10252" s="1"/>
    </row>
    <row r="10253" spans="1:10">
      <c r="A10253" s="7" t="s">
        <v>8223</v>
      </c>
      <c r="B10253" s="1" t="s">
        <v>2628</v>
      </c>
      <c r="C10253" s="1">
        <v>9</v>
      </c>
      <c r="D10253" s="1" t="s">
        <v>19</v>
      </c>
      <c r="E10253" s="1" t="s">
        <v>6</v>
      </c>
      <c r="F10253" s="1" t="s">
        <v>118</v>
      </c>
      <c r="G10253" s="1" t="s">
        <v>6530</v>
      </c>
      <c r="H10253" s="1" t="s">
        <v>43</v>
      </c>
      <c r="I10253" s="1" t="s">
        <v>5642</v>
      </c>
    </row>
    <row r="10254" spans="1:10">
      <c r="A10254" s="7" t="s">
        <v>8225</v>
      </c>
      <c r="B10254" s="1" t="s">
        <v>2628</v>
      </c>
      <c r="C10254" s="1">
        <v>9</v>
      </c>
      <c r="D10254" s="1" t="s">
        <v>19</v>
      </c>
      <c r="E10254" s="1" t="s">
        <v>6</v>
      </c>
      <c r="F10254" s="1" t="s">
        <v>118</v>
      </c>
      <c r="G10254" s="1" t="s">
        <v>6530</v>
      </c>
      <c r="H10254" s="1" t="s">
        <v>43</v>
      </c>
      <c r="I10254" s="1" t="s">
        <v>5642</v>
      </c>
    </row>
    <row r="10255" spans="1:10">
      <c r="A10255" s="7" t="s">
        <v>8229</v>
      </c>
      <c r="B10255" s="1" t="s">
        <v>2628</v>
      </c>
      <c r="C10255" s="1">
        <v>1113</v>
      </c>
      <c r="D10255" s="1" t="s">
        <v>19</v>
      </c>
      <c r="E10255" s="1" t="s">
        <v>6</v>
      </c>
      <c r="F10255" s="1" t="s">
        <v>118</v>
      </c>
      <c r="G10255" s="1" t="s">
        <v>6530</v>
      </c>
      <c r="H10255" s="1" t="s">
        <v>43</v>
      </c>
      <c r="I10255" s="1" t="s">
        <v>5642</v>
      </c>
    </row>
    <row r="10256" spans="1:10">
      <c r="A10256" s="7" t="s">
        <v>8231</v>
      </c>
      <c r="B10256" s="1" t="s">
        <v>2628</v>
      </c>
      <c r="C10256" s="1">
        <v>1113</v>
      </c>
      <c r="D10256" s="1" t="s">
        <v>19</v>
      </c>
      <c r="E10256" s="1" t="s">
        <v>6</v>
      </c>
      <c r="F10256" s="1" t="s">
        <v>118</v>
      </c>
      <c r="G10256" s="1" t="s">
        <v>6530</v>
      </c>
      <c r="H10256" s="1" t="s">
        <v>43</v>
      </c>
      <c r="I10256" s="1" t="s">
        <v>5642</v>
      </c>
    </row>
    <row r="10257" spans="1:9">
      <c r="A10257" s="7" t="s">
        <v>8232</v>
      </c>
      <c r="B10257" s="1" t="s">
        <v>2628</v>
      </c>
      <c r="C10257" s="1">
        <v>1113</v>
      </c>
      <c r="D10257" s="1" t="s">
        <v>19</v>
      </c>
      <c r="E10257" s="1" t="s">
        <v>6</v>
      </c>
      <c r="F10257" s="1" t="s">
        <v>118</v>
      </c>
      <c r="G10257" s="1" t="s">
        <v>6530</v>
      </c>
      <c r="H10257" s="1" t="s">
        <v>43</v>
      </c>
      <c r="I10257" s="1" t="s">
        <v>5642</v>
      </c>
    </row>
    <row r="10258" spans="1:9">
      <c r="A10258" s="7" t="s">
        <v>8270</v>
      </c>
      <c r="B10258" s="1" t="s">
        <v>2628</v>
      </c>
      <c r="C10258" s="1">
        <v>9</v>
      </c>
      <c r="D10258" s="1" t="s">
        <v>19</v>
      </c>
      <c r="E10258" s="1" t="s">
        <v>6</v>
      </c>
      <c r="F10258" s="1" t="s">
        <v>2701</v>
      </c>
      <c r="G10258" s="1" t="s">
        <v>8271</v>
      </c>
      <c r="H10258" s="1" t="s">
        <v>5</v>
      </c>
      <c r="I10258" s="1">
        <v>2014</v>
      </c>
    </row>
    <row r="10259" spans="1:9">
      <c r="A10259" s="7" t="s">
        <v>8315</v>
      </c>
      <c r="B10259" s="1" t="s">
        <v>2628</v>
      </c>
      <c r="C10259" s="1">
        <v>9</v>
      </c>
      <c r="D10259" s="1" t="s">
        <v>19</v>
      </c>
      <c r="E10259" s="1" t="s">
        <v>6</v>
      </c>
      <c r="F10259" s="1" t="s">
        <v>2701</v>
      </c>
      <c r="G10259" s="1" t="s">
        <v>8316</v>
      </c>
      <c r="H10259" s="1" t="s">
        <v>5</v>
      </c>
      <c r="I10259" s="1">
        <v>2016</v>
      </c>
    </row>
    <row r="10260" spans="1:9">
      <c r="A10260" s="7" t="s">
        <v>8345</v>
      </c>
      <c r="B10260" s="1" t="s">
        <v>2629</v>
      </c>
      <c r="C10260" s="1">
        <v>3050</v>
      </c>
      <c r="D10260" s="1" t="s">
        <v>19</v>
      </c>
      <c r="E10260" s="1" t="s">
        <v>6</v>
      </c>
      <c r="F10260" s="1" t="s">
        <v>2701</v>
      </c>
      <c r="G10260" s="1" t="s">
        <v>8346</v>
      </c>
      <c r="H10260" s="1" t="s">
        <v>43</v>
      </c>
      <c r="I10260" s="1">
        <v>2016</v>
      </c>
    </row>
    <row r="10261" spans="1:9">
      <c r="A10261" s="7" t="s">
        <v>8365</v>
      </c>
      <c r="B10261" s="1" t="s">
        <v>2628</v>
      </c>
      <c r="C10261" s="1">
        <v>9</v>
      </c>
      <c r="D10261" s="1" t="s">
        <v>19</v>
      </c>
      <c r="E10261" s="1" t="s">
        <v>6</v>
      </c>
      <c r="F10261" s="1" t="s">
        <v>5091</v>
      </c>
      <c r="G10261" s="1" t="s">
        <v>6530</v>
      </c>
      <c r="H10261" s="1" t="s">
        <v>43</v>
      </c>
      <c r="I10261" s="1">
        <v>2006</v>
      </c>
    </row>
    <row r="10262" spans="1:9">
      <c r="A10262" s="7" t="s">
        <v>8367</v>
      </c>
      <c r="B10262" s="1" t="s">
        <v>2628</v>
      </c>
      <c r="C10262" s="1">
        <v>9</v>
      </c>
      <c r="D10262" s="1" t="s">
        <v>19</v>
      </c>
      <c r="E10262" s="1" t="s">
        <v>6</v>
      </c>
      <c r="F10262" s="1" t="s">
        <v>5091</v>
      </c>
      <c r="G10262" s="1" t="s">
        <v>6530</v>
      </c>
      <c r="H10262" s="1" t="s">
        <v>43</v>
      </c>
      <c r="I10262" s="1">
        <v>2006</v>
      </c>
    </row>
    <row r="10263" spans="1:9">
      <c r="A10263" s="7" t="s">
        <v>8373</v>
      </c>
      <c r="B10263" s="1" t="s">
        <v>2628</v>
      </c>
      <c r="C10263" s="1">
        <v>9</v>
      </c>
      <c r="D10263" s="1" t="s">
        <v>19</v>
      </c>
      <c r="E10263" s="1" t="s">
        <v>6</v>
      </c>
      <c r="F10263" s="1" t="s">
        <v>5091</v>
      </c>
      <c r="G10263" s="1" t="s">
        <v>6530</v>
      </c>
      <c r="H10263" s="1" t="s">
        <v>43</v>
      </c>
      <c r="I10263" s="1">
        <v>2006</v>
      </c>
    </row>
    <row r="10264" spans="1:9">
      <c r="A10264" s="16" t="s">
        <v>8390</v>
      </c>
      <c r="B10264" s="1" t="s">
        <v>2628</v>
      </c>
      <c r="C10264" s="1">
        <v>9</v>
      </c>
      <c r="D10264" s="1" t="s">
        <v>19</v>
      </c>
      <c r="E10264" s="1" t="s">
        <v>6</v>
      </c>
      <c r="F10264" s="1" t="s">
        <v>5091</v>
      </c>
      <c r="G10264" s="14" t="s">
        <v>8125</v>
      </c>
      <c r="H10264" s="1" t="s">
        <v>43</v>
      </c>
      <c r="I10264" s="17">
        <v>41275</v>
      </c>
    </row>
    <row r="10265" spans="1:9">
      <c r="A10265" s="16" t="s">
        <v>8391</v>
      </c>
      <c r="B10265" s="1" t="s">
        <v>2628</v>
      </c>
      <c r="C10265" s="1">
        <v>1116</v>
      </c>
      <c r="D10265" s="1" t="s">
        <v>19</v>
      </c>
      <c r="E10265" s="1" t="s">
        <v>6</v>
      </c>
      <c r="F10265" s="1" t="s">
        <v>5091</v>
      </c>
      <c r="G10265" s="14" t="s">
        <v>6236</v>
      </c>
      <c r="H10265" s="1" t="s">
        <v>43</v>
      </c>
      <c r="I10265" s="17">
        <v>41275</v>
      </c>
    </row>
    <row r="10266" spans="1:9">
      <c r="A10266" s="16" t="s">
        <v>8394</v>
      </c>
      <c r="B10266" s="1" t="s">
        <v>2628</v>
      </c>
      <c r="C10266" s="1">
        <v>34</v>
      </c>
      <c r="D10266" s="1" t="s">
        <v>19</v>
      </c>
      <c r="E10266" s="1" t="s">
        <v>6</v>
      </c>
      <c r="F10266" s="1" t="s">
        <v>5091</v>
      </c>
      <c r="G10266" s="14" t="s">
        <v>8395</v>
      </c>
      <c r="H10266" s="1" t="s">
        <v>5</v>
      </c>
      <c r="I10266" s="17">
        <v>41275</v>
      </c>
    </row>
    <row r="10267" spans="1:9">
      <c r="A10267" s="16" t="s">
        <v>8398</v>
      </c>
      <c r="B10267" s="1" t="s">
        <v>2628</v>
      </c>
      <c r="C10267" s="1">
        <v>9</v>
      </c>
      <c r="D10267" s="1" t="s">
        <v>19</v>
      </c>
      <c r="E10267" s="1" t="s">
        <v>6</v>
      </c>
      <c r="F10267" s="1" t="s">
        <v>5091</v>
      </c>
      <c r="G10267" s="14" t="s">
        <v>8125</v>
      </c>
      <c r="H10267" s="1" t="s">
        <v>43</v>
      </c>
      <c r="I10267" s="17">
        <v>41275</v>
      </c>
    </row>
    <row r="10268" spans="1:9">
      <c r="A10268" s="16" t="s">
        <v>8431</v>
      </c>
      <c r="B10268" s="1" t="s">
        <v>2628</v>
      </c>
      <c r="C10268" s="1">
        <v>9</v>
      </c>
      <c r="D10268" s="1" t="s">
        <v>19</v>
      </c>
      <c r="E10268" s="1" t="s">
        <v>6</v>
      </c>
      <c r="F10268" s="1" t="s">
        <v>5091</v>
      </c>
      <c r="G10268" s="14" t="s">
        <v>8432</v>
      </c>
      <c r="H10268" s="1" t="s">
        <v>5</v>
      </c>
      <c r="I10268" s="17">
        <v>41275</v>
      </c>
    </row>
    <row r="10269" spans="1:9">
      <c r="A10269" s="16" t="s">
        <v>8470</v>
      </c>
      <c r="B10269" s="1" t="s">
        <v>2628</v>
      </c>
      <c r="C10269" s="1">
        <v>9</v>
      </c>
      <c r="D10269" s="1" t="s">
        <v>19</v>
      </c>
      <c r="E10269" s="1" t="s">
        <v>6</v>
      </c>
      <c r="F10269" s="1" t="s">
        <v>5091</v>
      </c>
      <c r="G10269" s="14" t="s">
        <v>8471</v>
      </c>
      <c r="H10269" s="1" t="s">
        <v>5</v>
      </c>
      <c r="I10269" s="17">
        <v>41640</v>
      </c>
    </row>
    <row r="10270" spans="1:9" ht="31.2">
      <c r="A10270" s="16" t="s">
        <v>8529</v>
      </c>
      <c r="B10270" s="1" t="s">
        <v>2628</v>
      </c>
      <c r="C10270" s="1">
        <v>9</v>
      </c>
      <c r="D10270" s="1" t="s">
        <v>19</v>
      </c>
      <c r="E10270" s="1" t="s">
        <v>6</v>
      </c>
      <c r="F10270" s="1" t="s">
        <v>5091</v>
      </c>
      <c r="G10270" s="14" t="s">
        <v>7652</v>
      </c>
      <c r="H10270" s="1" t="s">
        <v>43</v>
      </c>
      <c r="I10270" s="17">
        <v>41640</v>
      </c>
    </row>
    <row r="10271" spans="1:9" ht="31.2">
      <c r="A10271" s="16" t="s">
        <v>8531</v>
      </c>
      <c r="B10271" s="1" t="s">
        <v>2628</v>
      </c>
      <c r="C10271" s="1">
        <v>9</v>
      </c>
      <c r="D10271" s="1" t="s">
        <v>19</v>
      </c>
      <c r="E10271" s="1" t="s">
        <v>6</v>
      </c>
      <c r="F10271" s="1" t="s">
        <v>5091</v>
      </c>
      <c r="G10271" s="14" t="s">
        <v>7652</v>
      </c>
      <c r="H10271" s="1" t="s">
        <v>43</v>
      </c>
      <c r="I10271" s="17">
        <v>41640</v>
      </c>
    </row>
    <row r="10272" spans="1:9">
      <c r="A10272" s="16" t="s">
        <v>8534</v>
      </c>
      <c r="B10272" s="1" t="s">
        <v>2628</v>
      </c>
      <c r="C10272" s="1">
        <v>1113</v>
      </c>
      <c r="D10272" s="1" t="s">
        <v>19</v>
      </c>
      <c r="E10272" s="1" t="s">
        <v>6</v>
      </c>
      <c r="F10272" s="1" t="s">
        <v>5091</v>
      </c>
      <c r="G10272" s="14" t="s">
        <v>6236</v>
      </c>
      <c r="H10272" s="1" t="s">
        <v>43</v>
      </c>
      <c r="I10272" s="17">
        <v>41640</v>
      </c>
    </row>
    <row r="10273" spans="1:10">
      <c r="A10273" s="16" t="s">
        <v>8535</v>
      </c>
      <c r="B10273" s="1" t="s">
        <v>2628</v>
      </c>
      <c r="C10273" s="1">
        <v>1113</v>
      </c>
      <c r="D10273" s="1" t="s">
        <v>19</v>
      </c>
      <c r="E10273" s="1" t="s">
        <v>6</v>
      </c>
      <c r="F10273" s="1" t="s">
        <v>5091</v>
      </c>
      <c r="G10273" s="14" t="s">
        <v>6236</v>
      </c>
      <c r="H10273" s="1" t="s">
        <v>43</v>
      </c>
      <c r="I10273" s="17">
        <v>41640</v>
      </c>
    </row>
    <row r="10274" spans="1:10">
      <c r="A10274" s="16" t="s">
        <v>8539</v>
      </c>
      <c r="B10274" s="1" t="s">
        <v>2628</v>
      </c>
      <c r="C10274" s="1">
        <v>1113</v>
      </c>
      <c r="D10274" s="1" t="s">
        <v>19</v>
      </c>
      <c r="E10274" s="1" t="s">
        <v>6</v>
      </c>
      <c r="F10274" s="1" t="s">
        <v>5091</v>
      </c>
      <c r="G10274" s="14" t="s">
        <v>6236</v>
      </c>
      <c r="H10274" s="1" t="s">
        <v>43</v>
      </c>
      <c r="I10274" s="17">
        <v>41640</v>
      </c>
    </row>
    <row r="10275" spans="1:10">
      <c r="A10275" s="16" t="s">
        <v>8544</v>
      </c>
      <c r="B10275" s="1" t="s">
        <v>2628</v>
      </c>
      <c r="C10275" s="1">
        <v>9</v>
      </c>
      <c r="D10275" s="1" t="s">
        <v>19</v>
      </c>
      <c r="E10275" s="1" t="s">
        <v>6</v>
      </c>
      <c r="F10275" s="1" t="s">
        <v>5091</v>
      </c>
      <c r="G10275" s="14" t="s">
        <v>6236</v>
      </c>
      <c r="H10275" s="1" t="s">
        <v>43</v>
      </c>
      <c r="I10275" s="17">
        <v>41640</v>
      </c>
    </row>
    <row r="10276" spans="1:10">
      <c r="A10276" s="16" t="s">
        <v>8547</v>
      </c>
      <c r="B10276" s="1" t="s">
        <v>2628</v>
      </c>
      <c r="C10276" s="1">
        <v>9</v>
      </c>
      <c r="D10276" s="1" t="s">
        <v>19</v>
      </c>
      <c r="E10276" s="1" t="s">
        <v>6</v>
      </c>
      <c r="F10276" s="1" t="s">
        <v>5091</v>
      </c>
      <c r="G10276" s="14" t="s">
        <v>8548</v>
      </c>
      <c r="H10276" s="1" t="s">
        <v>5</v>
      </c>
      <c r="I10276" s="17">
        <v>41640</v>
      </c>
    </row>
    <row r="10277" spans="1:10">
      <c r="A10277" s="16" t="s">
        <v>8551</v>
      </c>
      <c r="B10277" s="1" t="s">
        <v>2628</v>
      </c>
      <c r="C10277" s="1">
        <v>9</v>
      </c>
      <c r="D10277" s="1" t="s">
        <v>19</v>
      </c>
      <c r="E10277" s="1" t="s">
        <v>6</v>
      </c>
      <c r="F10277" s="1" t="s">
        <v>5091</v>
      </c>
      <c r="G10277" s="14" t="s">
        <v>8125</v>
      </c>
      <c r="H10277" s="1" t="s">
        <v>43</v>
      </c>
      <c r="I10277" s="17">
        <v>41640</v>
      </c>
    </row>
    <row r="10278" spans="1:10">
      <c r="A10278" s="16" t="s">
        <v>8613</v>
      </c>
      <c r="B10278" s="1" t="s">
        <v>2628</v>
      </c>
      <c r="C10278" s="1">
        <v>9</v>
      </c>
      <c r="D10278" s="1" t="s">
        <v>19</v>
      </c>
      <c r="E10278" s="1" t="s">
        <v>6</v>
      </c>
      <c r="F10278" s="1" t="s">
        <v>5091</v>
      </c>
      <c r="G10278" s="14" t="s">
        <v>6236</v>
      </c>
      <c r="H10278" s="1" t="s">
        <v>43</v>
      </c>
      <c r="I10278" s="17">
        <v>41640</v>
      </c>
    </row>
    <row r="10279" spans="1:10">
      <c r="A10279" s="7" t="s">
        <v>8616</v>
      </c>
      <c r="B10279" s="1" t="s">
        <v>2629</v>
      </c>
      <c r="C10279" s="1">
        <v>9</v>
      </c>
      <c r="D10279" s="1" t="s">
        <v>19</v>
      </c>
      <c r="E10279" s="1" t="s">
        <v>6</v>
      </c>
      <c r="F10279" s="1" t="s">
        <v>5241</v>
      </c>
      <c r="G10279" s="1" t="s">
        <v>4803</v>
      </c>
      <c r="H10279" s="1" t="s">
        <v>5</v>
      </c>
      <c r="I10279" s="17">
        <v>38718</v>
      </c>
      <c r="J10279" s="17"/>
    </row>
    <row r="10280" spans="1:10">
      <c r="A10280" s="16" t="s">
        <v>8619</v>
      </c>
      <c r="B10280" s="1" t="s">
        <v>2631</v>
      </c>
      <c r="C10280" s="1">
        <v>9</v>
      </c>
      <c r="D10280" s="1" t="s">
        <v>19</v>
      </c>
      <c r="E10280" s="1" t="s">
        <v>6</v>
      </c>
      <c r="F10280" s="1" t="s">
        <v>5241</v>
      </c>
      <c r="G10280" s="1" t="s">
        <v>8618</v>
      </c>
      <c r="H10280" s="1" t="s">
        <v>5</v>
      </c>
      <c r="I10280" s="17">
        <v>38718</v>
      </c>
    </row>
    <row r="10281" spans="1:10">
      <c r="A10281" s="16" t="s">
        <v>8656</v>
      </c>
      <c r="B10281" s="1" t="s">
        <v>2628</v>
      </c>
      <c r="C10281" s="1">
        <v>9</v>
      </c>
      <c r="D10281" s="1" t="s">
        <v>19</v>
      </c>
      <c r="E10281" s="1" t="s">
        <v>6</v>
      </c>
      <c r="F10281" s="1" t="s">
        <v>5091</v>
      </c>
      <c r="G10281" s="14" t="s">
        <v>6145</v>
      </c>
      <c r="H10281" s="1" t="s">
        <v>43</v>
      </c>
      <c r="I10281" s="17">
        <v>41856</v>
      </c>
    </row>
    <row r="10282" spans="1:10">
      <c r="A10282" s="7" t="s">
        <v>8677</v>
      </c>
      <c r="B10282" s="1" t="s">
        <v>2629</v>
      </c>
      <c r="C10282" s="1">
        <v>9</v>
      </c>
      <c r="D10282" s="1" t="s">
        <v>19</v>
      </c>
      <c r="E10282" s="1" t="s">
        <v>6</v>
      </c>
      <c r="F10282" s="1" t="s">
        <v>2690</v>
      </c>
      <c r="G10282" s="1" t="s">
        <v>4458</v>
      </c>
      <c r="H10282" s="1" t="s">
        <v>118</v>
      </c>
      <c r="I10282" s="17">
        <v>41640</v>
      </c>
    </row>
    <row r="10283" spans="1:10">
      <c r="A10283" s="16" t="s">
        <v>8680</v>
      </c>
      <c r="B10283" s="1" t="s">
        <v>2631</v>
      </c>
      <c r="C10283" s="1">
        <v>9</v>
      </c>
      <c r="D10283" s="1" t="s">
        <v>19</v>
      </c>
      <c r="E10283" s="1" t="s">
        <v>6</v>
      </c>
      <c r="F10283" s="1" t="s">
        <v>2360</v>
      </c>
      <c r="G10283" s="14" t="s">
        <v>4458</v>
      </c>
      <c r="H10283" s="1" t="s">
        <v>118</v>
      </c>
      <c r="I10283" s="17">
        <v>41640</v>
      </c>
    </row>
    <row r="10284" spans="1:10">
      <c r="A10284" s="16" t="s">
        <v>8681</v>
      </c>
      <c r="B10284" s="1" t="s">
        <v>2631</v>
      </c>
      <c r="C10284" s="1">
        <v>9</v>
      </c>
      <c r="D10284" s="1" t="s">
        <v>19</v>
      </c>
      <c r="E10284" s="1" t="s">
        <v>6</v>
      </c>
      <c r="F10284" s="1" t="s">
        <v>2690</v>
      </c>
      <c r="G10284" s="1" t="s">
        <v>8682</v>
      </c>
      <c r="H10284" s="1" t="s">
        <v>5</v>
      </c>
      <c r="I10284" s="17">
        <v>41640</v>
      </c>
    </row>
    <row r="10285" spans="1:10">
      <c r="A10285" s="16" t="s">
        <v>8683</v>
      </c>
      <c r="B10285" s="1" t="s">
        <v>2631</v>
      </c>
      <c r="C10285" s="1">
        <v>9</v>
      </c>
      <c r="D10285" s="1" t="s">
        <v>19</v>
      </c>
      <c r="E10285" s="1" t="s">
        <v>6</v>
      </c>
      <c r="F10285" s="1" t="s">
        <v>2360</v>
      </c>
      <c r="G10285" s="14" t="s">
        <v>4458</v>
      </c>
      <c r="H10285" s="1" t="s">
        <v>118</v>
      </c>
      <c r="I10285" s="17">
        <v>41640</v>
      </c>
    </row>
    <row r="10286" spans="1:10">
      <c r="A10286" s="16" t="s">
        <v>8684</v>
      </c>
      <c r="B10286" s="1" t="s">
        <v>2628</v>
      </c>
      <c r="C10286" s="1">
        <v>9</v>
      </c>
      <c r="D10286" s="1" t="s">
        <v>19</v>
      </c>
      <c r="E10286" s="1" t="s">
        <v>6</v>
      </c>
      <c r="F10286" s="1" t="s">
        <v>2690</v>
      </c>
      <c r="G10286" s="14" t="s">
        <v>8685</v>
      </c>
      <c r="H10286" s="1" t="s">
        <v>5</v>
      </c>
      <c r="I10286" s="17">
        <v>41640</v>
      </c>
    </row>
    <row r="10287" spans="1:10">
      <c r="A10287" s="16" t="s">
        <v>8686</v>
      </c>
      <c r="B10287" s="1" t="s">
        <v>2628</v>
      </c>
      <c r="C10287" s="1">
        <v>9</v>
      </c>
      <c r="D10287" s="1" t="s">
        <v>19</v>
      </c>
      <c r="E10287" s="1" t="s">
        <v>6</v>
      </c>
      <c r="F10287" s="1" t="s">
        <v>2690</v>
      </c>
      <c r="G10287" s="14" t="s">
        <v>8687</v>
      </c>
      <c r="H10287" s="1" t="s">
        <v>5</v>
      </c>
      <c r="I10287" s="17">
        <v>41640</v>
      </c>
    </row>
    <row r="10288" spans="1:10">
      <c r="A10288" s="7" t="s">
        <v>8688</v>
      </c>
      <c r="B10288" s="1" t="s">
        <v>2629</v>
      </c>
      <c r="C10288" s="1">
        <v>9</v>
      </c>
      <c r="D10288" s="1" t="s">
        <v>19</v>
      </c>
      <c r="E10288" s="1" t="s">
        <v>6</v>
      </c>
      <c r="F10288" s="1" t="s">
        <v>2360</v>
      </c>
      <c r="G10288" s="1" t="s">
        <v>2370</v>
      </c>
      <c r="H10288" s="1" t="s">
        <v>5</v>
      </c>
      <c r="I10288" s="17">
        <v>41640</v>
      </c>
      <c r="J10288" s="17"/>
    </row>
    <row r="10289" spans="1:10">
      <c r="A10289" s="16" t="s">
        <v>8689</v>
      </c>
      <c r="B10289" s="1" t="s">
        <v>2631</v>
      </c>
      <c r="C10289" s="1">
        <v>9</v>
      </c>
      <c r="D10289" s="1" t="s">
        <v>19</v>
      </c>
      <c r="E10289" s="1" t="s">
        <v>6</v>
      </c>
      <c r="F10289" s="1" t="s">
        <v>2360</v>
      </c>
      <c r="G10289" s="14" t="s">
        <v>4458</v>
      </c>
      <c r="H10289" s="1" t="s">
        <v>118</v>
      </c>
      <c r="I10289" s="17">
        <v>41640</v>
      </c>
    </row>
    <row r="10290" spans="1:10">
      <c r="A10290" s="7" t="s">
        <v>8690</v>
      </c>
      <c r="B10290" s="1" t="s">
        <v>2629</v>
      </c>
      <c r="C10290" s="1">
        <v>9</v>
      </c>
      <c r="D10290" s="1" t="s">
        <v>19</v>
      </c>
      <c r="E10290" s="1" t="s">
        <v>6</v>
      </c>
      <c r="F10290" s="1" t="s">
        <v>2360</v>
      </c>
      <c r="G10290" s="1" t="s">
        <v>4458</v>
      </c>
      <c r="H10290" s="1" t="s">
        <v>118</v>
      </c>
      <c r="I10290" s="17">
        <v>41640</v>
      </c>
    </row>
    <row r="10291" spans="1:10">
      <c r="A10291" s="16" t="s">
        <v>8712</v>
      </c>
      <c r="B10291" s="1" t="s">
        <v>2628</v>
      </c>
      <c r="C10291" s="1">
        <v>35</v>
      </c>
      <c r="D10291" s="1" t="s">
        <v>19</v>
      </c>
      <c r="E10291" s="1" t="s">
        <v>6</v>
      </c>
      <c r="F10291" s="1" t="s">
        <v>5241</v>
      </c>
      <c r="G10291" s="14" t="s">
        <v>4803</v>
      </c>
      <c r="H10291" s="1" t="s">
        <v>5</v>
      </c>
      <c r="I10291" s="1" t="s">
        <v>4458</v>
      </c>
    </row>
    <row r="10292" spans="1:10">
      <c r="A10292" s="16" t="s">
        <v>8791</v>
      </c>
      <c r="B10292" s="1" t="s">
        <v>2628</v>
      </c>
      <c r="C10292" s="1">
        <v>9</v>
      </c>
      <c r="D10292" s="1" t="s">
        <v>19</v>
      </c>
      <c r="E10292" s="1" t="s">
        <v>6</v>
      </c>
      <c r="F10292" s="1" t="s">
        <v>5091</v>
      </c>
      <c r="G10292" s="14" t="s">
        <v>8792</v>
      </c>
      <c r="H10292" s="1" t="s">
        <v>5</v>
      </c>
      <c r="I10292" s="17">
        <v>37008</v>
      </c>
    </row>
    <row r="10293" spans="1:10">
      <c r="A10293" s="16" t="s">
        <v>8798</v>
      </c>
      <c r="B10293" s="1" t="s">
        <v>2628</v>
      </c>
      <c r="C10293" s="1">
        <v>9</v>
      </c>
      <c r="D10293" s="1" t="s">
        <v>19</v>
      </c>
      <c r="E10293" s="1" t="s">
        <v>6</v>
      </c>
      <c r="F10293" s="1" t="s">
        <v>5091</v>
      </c>
      <c r="G10293" s="14" t="s">
        <v>7656</v>
      </c>
      <c r="H10293" s="1" t="s">
        <v>5</v>
      </c>
      <c r="I10293" s="17">
        <v>37192</v>
      </c>
    </row>
    <row r="10294" spans="1:10">
      <c r="A10294" s="16" t="s">
        <v>8809</v>
      </c>
      <c r="B10294" s="1" t="s">
        <v>2628</v>
      </c>
      <c r="C10294" s="1">
        <v>9</v>
      </c>
      <c r="D10294" s="1" t="s">
        <v>19</v>
      </c>
      <c r="E10294" s="1" t="s">
        <v>6</v>
      </c>
      <c r="F10294" s="1" t="s">
        <v>5091</v>
      </c>
      <c r="G10294" s="14" t="s">
        <v>7895</v>
      </c>
      <c r="H10294" s="1" t="s">
        <v>43</v>
      </c>
      <c r="I10294" s="17">
        <v>41891</v>
      </c>
    </row>
    <row r="10295" spans="1:10" s="11" customFormat="1">
      <c r="A10295" s="16" t="s">
        <v>8860</v>
      </c>
      <c r="B10295" s="1" t="s">
        <v>2628</v>
      </c>
      <c r="C10295" s="1">
        <v>9</v>
      </c>
      <c r="D10295" s="1" t="s">
        <v>19</v>
      </c>
      <c r="E10295" s="1" t="s">
        <v>6</v>
      </c>
      <c r="F10295" s="1" t="s">
        <v>118</v>
      </c>
      <c r="G10295" s="14" t="s">
        <v>4458</v>
      </c>
      <c r="H10295" s="1" t="s">
        <v>118</v>
      </c>
      <c r="I10295" s="1" t="s">
        <v>4458</v>
      </c>
      <c r="J10295"/>
    </row>
    <row r="10296" spans="1:10" s="11" customFormat="1">
      <c r="A10296" s="16" t="s">
        <v>8862</v>
      </c>
      <c r="B10296" s="1" t="s">
        <v>2628</v>
      </c>
      <c r="C10296" s="1">
        <v>9</v>
      </c>
      <c r="D10296" s="1" t="s">
        <v>19</v>
      </c>
      <c r="E10296" s="1" t="s">
        <v>6</v>
      </c>
      <c r="F10296" s="1" t="s">
        <v>118</v>
      </c>
      <c r="G10296" s="14" t="s">
        <v>4458</v>
      </c>
      <c r="H10296" s="1" t="s">
        <v>118</v>
      </c>
      <c r="I10296" s="1" t="s">
        <v>4458</v>
      </c>
      <c r="J10296"/>
    </row>
    <row r="10297" spans="1:10">
      <c r="A10297" s="16" t="s">
        <v>8901</v>
      </c>
      <c r="B10297" s="1" t="s">
        <v>2628</v>
      </c>
      <c r="C10297" s="1">
        <v>1113</v>
      </c>
      <c r="D10297" s="1" t="s">
        <v>19</v>
      </c>
      <c r="E10297" s="1" t="s">
        <v>6</v>
      </c>
      <c r="F10297" s="1" t="s">
        <v>5091</v>
      </c>
      <c r="G10297" s="14" t="s">
        <v>8902</v>
      </c>
      <c r="H10297" s="1" t="s">
        <v>5</v>
      </c>
      <c r="I10297" s="1" t="s">
        <v>4458</v>
      </c>
    </row>
    <row r="10298" spans="1:10">
      <c r="A10298" s="16" t="s">
        <v>8958</v>
      </c>
      <c r="B10298" s="1" t="s">
        <v>2628</v>
      </c>
      <c r="C10298" s="1">
        <v>9</v>
      </c>
      <c r="D10298" s="1" t="s">
        <v>19</v>
      </c>
      <c r="E10298" s="1" t="s">
        <v>6</v>
      </c>
      <c r="F10298" s="1" t="s">
        <v>5091</v>
      </c>
      <c r="G10298" s="14" t="s">
        <v>8959</v>
      </c>
      <c r="H10298" s="1" t="s">
        <v>5</v>
      </c>
      <c r="I10298" s="17">
        <v>40607</v>
      </c>
    </row>
    <row r="10299" spans="1:10">
      <c r="A10299" s="16" t="s">
        <v>8962</v>
      </c>
      <c r="B10299" s="1" t="s">
        <v>2628</v>
      </c>
      <c r="C10299" s="1">
        <v>9</v>
      </c>
      <c r="D10299" s="1" t="s">
        <v>19</v>
      </c>
      <c r="E10299" s="1" t="s">
        <v>6</v>
      </c>
      <c r="F10299" s="1" t="s">
        <v>5091</v>
      </c>
      <c r="G10299" s="14" t="s">
        <v>6236</v>
      </c>
      <c r="H10299" s="1" t="s">
        <v>43</v>
      </c>
      <c r="I10299" s="17">
        <v>42005</v>
      </c>
    </row>
    <row r="10300" spans="1:10">
      <c r="A10300" s="16" t="s">
        <v>8963</v>
      </c>
      <c r="B10300" s="1" t="s">
        <v>2628</v>
      </c>
      <c r="C10300" s="1">
        <v>9</v>
      </c>
      <c r="D10300" s="1" t="s">
        <v>19</v>
      </c>
      <c r="E10300" s="1" t="s">
        <v>6</v>
      </c>
      <c r="F10300" s="1" t="s">
        <v>5091</v>
      </c>
      <c r="G10300" s="14" t="s">
        <v>8964</v>
      </c>
      <c r="H10300" s="1" t="s">
        <v>5</v>
      </c>
      <c r="I10300" s="17">
        <v>40607</v>
      </c>
    </row>
    <row r="10301" spans="1:10">
      <c r="A10301" s="16" t="s">
        <v>8965</v>
      </c>
      <c r="B10301" s="1" t="s">
        <v>2628</v>
      </c>
      <c r="C10301" s="1">
        <v>9</v>
      </c>
      <c r="D10301" s="1" t="s">
        <v>19</v>
      </c>
      <c r="E10301" s="1" t="s">
        <v>6</v>
      </c>
      <c r="F10301" s="1" t="s">
        <v>5091</v>
      </c>
      <c r="G10301" s="14" t="s">
        <v>8964</v>
      </c>
      <c r="H10301" s="1" t="s">
        <v>5</v>
      </c>
      <c r="I10301" s="17">
        <v>40607</v>
      </c>
    </row>
    <row r="10302" spans="1:10">
      <c r="A10302" s="16" t="s">
        <v>8974</v>
      </c>
      <c r="B10302" s="1" t="s">
        <v>2628</v>
      </c>
      <c r="C10302" s="1">
        <v>9</v>
      </c>
      <c r="D10302" s="1" t="s">
        <v>19</v>
      </c>
      <c r="E10302" s="1" t="s">
        <v>6</v>
      </c>
      <c r="F10302" s="1" t="s">
        <v>5091</v>
      </c>
      <c r="G10302" s="14" t="s">
        <v>8964</v>
      </c>
      <c r="H10302" s="1" t="s">
        <v>5</v>
      </c>
      <c r="I10302" s="17">
        <v>40607</v>
      </c>
    </row>
    <row r="10303" spans="1:10">
      <c r="A10303" s="16" t="s">
        <v>8976</v>
      </c>
      <c r="B10303" s="1" t="s">
        <v>2628</v>
      </c>
      <c r="C10303" s="1">
        <v>9</v>
      </c>
      <c r="D10303" s="1" t="s">
        <v>19</v>
      </c>
      <c r="E10303" s="1" t="s">
        <v>6</v>
      </c>
      <c r="F10303" s="1" t="s">
        <v>5091</v>
      </c>
      <c r="G10303" s="14" t="s">
        <v>8959</v>
      </c>
      <c r="H10303" s="1" t="s">
        <v>5</v>
      </c>
      <c r="I10303" s="17">
        <v>40607</v>
      </c>
    </row>
    <row r="10304" spans="1:10">
      <c r="A10304" s="16" t="s">
        <v>8981</v>
      </c>
      <c r="B10304" s="1" t="s">
        <v>2628</v>
      </c>
      <c r="C10304" s="1">
        <v>9</v>
      </c>
      <c r="D10304" s="1" t="s">
        <v>19</v>
      </c>
      <c r="E10304" s="1" t="s">
        <v>6</v>
      </c>
      <c r="F10304" s="1" t="s">
        <v>5091</v>
      </c>
      <c r="G10304" s="14" t="s">
        <v>8964</v>
      </c>
      <c r="H10304" s="1" t="s">
        <v>5</v>
      </c>
      <c r="I10304" s="17">
        <v>40607</v>
      </c>
    </row>
    <row r="10305" spans="1:9">
      <c r="A10305" s="16" t="s">
        <v>8987</v>
      </c>
      <c r="B10305" s="1" t="s">
        <v>2628</v>
      </c>
      <c r="C10305" s="1">
        <v>9</v>
      </c>
      <c r="D10305" s="1" t="s">
        <v>19</v>
      </c>
      <c r="E10305" s="1" t="s">
        <v>6</v>
      </c>
      <c r="F10305" s="1" t="s">
        <v>5091</v>
      </c>
      <c r="G10305" s="14" t="s">
        <v>8964</v>
      </c>
      <c r="H10305" s="1" t="s">
        <v>5</v>
      </c>
      <c r="I10305" s="17">
        <v>40607</v>
      </c>
    </row>
    <row r="10306" spans="1:9">
      <c r="A10306" s="16" t="s">
        <v>8988</v>
      </c>
      <c r="B10306" s="1" t="s">
        <v>2628</v>
      </c>
      <c r="C10306" s="1">
        <v>9</v>
      </c>
      <c r="D10306" s="1" t="s">
        <v>19</v>
      </c>
      <c r="E10306" s="1" t="s">
        <v>6</v>
      </c>
      <c r="F10306" s="1" t="s">
        <v>5091</v>
      </c>
      <c r="G10306" s="14" t="s">
        <v>8964</v>
      </c>
      <c r="H10306" s="1" t="s">
        <v>5</v>
      </c>
      <c r="I10306" s="17">
        <v>40607</v>
      </c>
    </row>
    <row r="10307" spans="1:9">
      <c r="A10307" s="16" t="s">
        <v>8995</v>
      </c>
      <c r="B10307" s="1" t="s">
        <v>2628</v>
      </c>
      <c r="C10307" s="1">
        <v>9</v>
      </c>
      <c r="D10307" s="1" t="s">
        <v>19</v>
      </c>
      <c r="E10307" s="1" t="s">
        <v>6</v>
      </c>
      <c r="F10307" s="1" t="s">
        <v>5091</v>
      </c>
      <c r="G10307" s="14" t="s">
        <v>4458</v>
      </c>
      <c r="H10307" s="1" t="s">
        <v>118</v>
      </c>
      <c r="I10307" s="1" t="s">
        <v>4458</v>
      </c>
    </row>
    <row r="10308" spans="1:9">
      <c r="A10308" s="16" t="s">
        <v>9003</v>
      </c>
      <c r="B10308" s="1" t="s">
        <v>2628</v>
      </c>
      <c r="C10308" s="1">
        <v>9</v>
      </c>
      <c r="D10308" s="1" t="s">
        <v>19</v>
      </c>
      <c r="E10308" s="1" t="s">
        <v>6</v>
      </c>
      <c r="F10308" s="1" t="s">
        <v>5091</v>
      </c>
      <c r="G10308" s="14" t="s">
        <v>4458</v>
      </c>
      <c r="H10308" s="1" t="s">
        <v>118</v>
      </c>
      <c r="I10308" s="17">
        <v>42064</v>
      </c>
    </row>
    <row r="10309" spans="1:9">
      <c r="A10309" s="16" t="s">
        <v>9004</v>
      </c>
      <c r="B10309" s="1" t="s">
        <v>2628</v>
      </c>
      <c r="C10309" s="1">
        <v>9</v>
      </c>
      <c r="D10309" s="1" t="s">
        <v>19</v>
      </c>
      <c r="E10309" s="1" t="s">
        <v>6</v>
      </c>
      <c r="F10309" s="1" t="s">
        <v>5091</v>
      </c>
      <c r="G10309" s="14" t="s">
        <v>4458</v>
      </c>
      <c r="H10309" s="1" t="s">
        <v>118</v>
      </c>
      <c r="I10309" s="17">
        <v>42064</v>
      </c>
    </row>
    <row r="10310" spans="1:9">
      <c r="A10310" s="16" t="s">
        <v>9005</v>
      </c>
      <c r="B10310" s="1" t="s">
        <v>2628</v>
      </c>
      <c r="C10310" s="1">
        <v>9</v>
      </c>
      <c r="D10310" s="1" t="s">
        <v>19</v>
      </c>
      <c r="E10310" s="1" t="s">
        <v>6</v>
      </c>
      <c r="F10310" s="1" t="s">
        <v>5091</v>
      </c>
      <c r="G10310" s="14" t="s">
        <v>4458</v>
      </c>
      <c r="H10310" s="1" t="s">
        <v>118</v>
      </c>
      <c r="I10310" s="17">
        <v>42036</v>
      </c>
    </row>
    <row r="10311" spans="1:9">
      <c r="A10311" s="16" t="s">
        <v>9030</v>
      </c>
      <c r="B10311" s="1" t="s">
        <v>2628</v>
      </c>
      <c r="C10311" s="1">
        <v>1113</v>
      </c>
      <c r="D10311" s="1" t="s">
        <v>19</v>
      </c>
      <c r="E10311" s="1" t="s">
        <v>6</v>
      </c>
      <c r="F10311" s="1" t="s">
        <v>5091</v>
      </c>
      <c r="G10311" s="14" t="s">
        <v>6236</v>
      </c>
      <c r="H10311" s="1" t="s">
        <v>43</v>
      </c>
      <c r="I10311" s="17">
        <v>42005</v>
      </c>
    </row>
    <row r="10312" spans="1:9">
      <c r="A10312" s="16" t="s">
        <v>9058</v>
      </c>
      <c r="B10312" s="1" t="s">
        <v>2628</v>
      </c>
      <c r="C10312" s="1">
        <v>9</v>
      </c>
      <c r="D10312" s="1" t="s">
        <v>19</v>
      </c>
      <c r="E10312" s="1" t="s">
        <v>6</v>
      </c>
      <c r="F10312" s="1" t="s">
        <v>5091</v>
      </c>
      <c r="G10312" s="14" t="s">
        <v>4458</v>
      </c>
      <c r="H10312" s="1" t="s">
        <v>118</v>
      </c>
      <c r="I10312" s="1" t="s">
        <v>4458</v>
      </c>
    </row>
    <row r="10313" spans="1:9">
      <c r="A10313" s="16" t="s">
        <v>9094</v>
      </c>
      <c r="B10313" s="1" t="s">
        <v>2628</v>
      </c>
      <c r="C10313" s="1">
        <v>9</v>
      </c>
      <c r="D10313" s="1" t="s">
        <v>19</v>
      </c>
      <c r="E10313" s="1" t="s">
        <v>6</v>
      </c>
      <c r="F10313" s="1" t="s">
        <v>5091</v>
      </c>
      <c r="G10313" s="14" t="s">
        <v>6145</v>
      </c>
      <c r="H10313" s="1" t="s">
        <v>43</v>
      </c>
      <c r="I10313" s="17">
        <v>42124</v>
      </c>
    </row>
    <row r="10314" spans="1:9">
      <c r="A10314" s="16" t="s">
        <v>9167</v>
      </c>
      <c r="B10314" s="1" t="s">
        <v>2628</v>
      </c>
      <c r="C10314" s="1">
        <v>9</v>
      </c>
      <c r="D10314" s="1" t="s">
        <v>19</v>
      </c>
      <c r="E10314" s="1" t="s">
        <v>6</v>
      </c>
      <c r="F10314" s="1" t="s">
        <v>5091</v>
      </c>
      <c r="G10314" s="14" t="s">
        <v>6145</v>
      </c>
      <c r="H10314" s="1" t="s">
        <v>43</v>
      </c>
      <c r="I10314" s="17">
        <v>42114</v>
      </c>
    </row>
    <row r="10315" spans="1:9">
      <c r="A10315" s="16" t="s">
        <v>9168</v>
      </c>
      <c r="B10315" s="1" t="s">
        <v>2628</v>
      </c>
      <c r="C10315" s="1">
        <v>9</v>
      </c>
      <c r="D10315" s="1" t="s">
        <v>19</v>
      </c>
      <c r="E10315" s="1" t="s">
        <v>6</v>
      </c>
      <c r="F10315" s="1" t="s">
        <v>5091</v>
      </c>
      <c r="G10315" s="14" t="s">
        <v>6145</v>
      </c>
      <c r="H10315" s="1" t="s">
        <v>43</v>
      </c>
      <c r="I10315" s="17">
        <v>42114</v>
      </c>
    </row>
    <row r="10316" spans="1:9">
      <c r="A10316" s="16" t="s">
        <v>9169</v>
      </c>
      <c r="B10316" s="1" t="s">
        <v>2628</v>
      </c>
      <c r="C10316" s="1">
        <v>9</v>
      </c>
      <c r="D10316" s="1" t="s">
        <v>19</v>
      </c>
      <c r="E10316" s="1" t="s">
        <v>6</v>
      </c>
      <c r="F10316" s="1" t="s">
        <v>5091</v>
      </c>
      <c r="G10316" s="14" t="s">
        <v>6145</v>
      </c>
      <c r="H10316" s="1" t="s">
        <v>43</v>
      </c>
      <c r="I10316" s="17">
        <v>42114</v>
      </c>
    </row>
    <row r="10317" spans="1:9">
      <c r="A10317" s="16" t="s">
        <v>9199</v>
      </c>
      <c r="B10317" s="1" t="s">
        <v>2628</v>
      </c>
      <c r="C10317" s="1">
        <v>9</v>
      </c>
      <c r="D10317" s="1" t="s">
        <v>19</v>
      </c>
      <c r="E10317" s="1" t="s">
        <v>6</v>
      </c>
      <c r="F10317" s="1" t="s">
        <v>5091</v>
      </c>
      <c r="G10317" s="14" t="s">
        <v>6238</v>
      </c>
      <c r="H10317" s="1" t="s">
        <v>43</v>
      </c>
      <c r="I10317" s="17">
        <v>42005</v>
      </c>
    </row>
    <row r="10318" spans="1:9">
      <c r="A10318" s="16" t="s">
        <v>9201</v>
      </c>
      <c r="B10318" s="1" t="s">
        <v>2628</v>
      </c>
      <c r="C10318" s="1">
        <v>9</v>
      </c>
      <c r="D10318" s="1" t="s">
        <v>19</v>
      </c>
      <c r="E10318" s="1" t="s">
        <v>6</v>
      </c>
      <c r="F10318" s="1" t="s">
        <v>5091</v>
      </c>
      <c r="G10318" s="14" t="s">
        <v>6236</v>
      </c>
      <c r="H10318" s="1" t="s">
        <v>43</v>
      </c>
      <c r="I10318" s="17">
        <v>42005</v>
      </c>
    </row>
    <row r="10319" spans="1:9">
      <c r="A10319" s="16" t="s">
        <v>9228</v>
      </c>
      <c r="B10319" s="1" t="s">
        <v>2628</v>
      </c>
      <c r="C10319" s="1">
        <v>35</v>
      </c>
      <c r="D10319" s="1" t="s">
        <v>19</v>
      </c>
      <c r="E10319" s="1" t="s">
        <v>6</v>
      </c>
      <c r="F10319" s="1" t="s">
        <v>5091</v>
      </c>
      <c r="G10319" s="14" t="s">
        <v>9227</v>
      </c>
      <c r="H10319" s="1" t="s">
        <v>5</v>
      </c>
      <c r="I10319" s="17">
        <v>42005</v>
      </c>
    </row>
    <row r="10320" spans="1:9">
      <c r="A10320" s="16" t="s">
        <v>9298</v>
      </c>
      <c r="B10320" s="1" t="s">
        <v>2628</v>
      </c>
      <c r="C10320" s="1">
        <v>9</v>
      </c>
      <c r="D10320" s="1" t="s">
        <v>19</v>
      </c>
      <c r="E10320" s="1" t="s">
        <v>6</v>
      </c>
      <c r="F10320" s="1" t="s">
        <v>5091</v>
      </c>
      <c r="G10320" s="14" t="s">
        <v>6236</v>
      </c>
      <c r="H10320" s="1" t="s">
        <v>43</v>
      </c>
      <c r="I10320" s="17">
        <v>42005</v>
      </c>
    </row>
    <row r="10321" spans="1:9">
      <c r="A10321" s="16" t="s">
        <v>9300</v>
      </c>
      <c r="B10321" s="1" t="s">
        <v>2628</v>
      </c>
      <c r="C10321" s="1">
        <v>1113</v>
      </c>
      <c r="D10321" s="1" t="s">
        <v>19</v>
      </c>
      <c r="E10321" s="1" t="s">
        <v>6</v>
      </c>
      <c r="F10321" s="1" t="s">
        <v>5091</v>
      </c>
      <c r="G10321" s="14" t="s">
        <v>6145</v>
      </c>
      <c r="H10321" s="1" t="s">
        <v>43</v>
      </c>
      <c r="I10321" s="17">
        <v>42163</v>
      </c>
    </row>
    <row r="10322" spans="1:9">
      <c r="A10322" s="16" t="s">
        <v>9405</v>
      </c>
      <c r="B10322" s="1" t="s">
        <v>2628</v>
      </c>
      <c r="C10322" s="1">
        <v>9</v>
      </c>
      <c r="D10322" s="1" t="s">
        <v>19</v>
      </c>
      <c r="E10322" s="1" t="s">
        <v>6</v>
      </c>
      <c r="F10322" s="1" t="s">
        <v>5091</v>
      </c>
      <c r="G10322" s="14" t="s">
        <v>6186</v>
      </c>
      <c r="H10322" s="1" t="s">
        <v>5</v>
      </c>
      <c r="I10322" s="17">
        <v>42005</v>
      </c>
    </row>
    <row r="10323" spans="1:9">
      <c r="A10323" s="16" t="s">
        <v>9406</v>
      </c>
      <c r="B10323" s="1" t="s">
        <v>2628</v>
      </c>
      <c r="C10323" s="1">
        <v>9</v>
      </c>
      <c r="D10323" s="1" t="s">
        <v>19</v>
      </c>
      <c r="E10323" s="1" t="s">
        <v>6</v>
      </c>
      <c r="F10323" s="1" t="s">
        <v>5091</v>
      </c>
      <c r="G10323" s="14" t="s">
        <v>6236</v>
      </c>
      <c r="H10323" s="1" t="s">
        <v>43</v>
      </c>
      <c r="I10323" s="17">
        <v>42005</v>
      </c>
    </row>
    <row r="10324" spans="1:9">
      <c r="A10324" s="16" t="s">
        <v>9498</v>
      </c>
      <c r="B10324" s="1" t="s">
        <v>2628</v>
      </c>
      <c r="C10324" s="1">
        <v>9</v>
      </c>
      <c r="D10324" s="1" t="s">
        <v>19</v>
      </c>
      <c r="E10324" s="1" t="s">
        <v>6</v>
      </c>
      <c r="F10324" s="1" t="s">
        <v>5091</v>
      </c>
      <c r="G10324" s="14" t="s">
        <v>9499</v>
      </c>
      <c r="H10324" s="1" t="s">
        <v>5</v>
      </c>
      <c r="I10324" s="17">
        <v>41612</v>
      </c>
    </row>
    <row r="10325" spans="1:9">
      <c r="A10325" s="16" t="s">
        <v>9551</v>
      </c>
      <c r="B10325" s="1" t="s">
        <v>2628</v>
      </c>
      <c r="C10325" s="1">
        <v>9</v>
      </c>
      <c r="D10325" s="1" t="s">
        <v>19</v>
      </c>
      <c r="E10325" s="1" t="s">
        <v>6</v>
      </c>
      <c r="F10325" s="1" t="s">
        <v>5091</v>
      </c>
      <c r="G10325" s="14" t="s">
        <v>6889</v>
      </c>
      <c r="H10325" s="1" t="s">
        <v>5</v>
      </c>
      <c r="I10325" s="17">
        <v>39923</v>
      </c>
    </row>
    <row r="10326" spans="1:9">
      <c r="A10326" s="16" t="s">
        <v>9552</v>
      </c>
      <c r="B10326" s="1" t="s">
        <v>2628</v>
      </c>
      <c r="C10326" s="1">
        <v>9</v>
      </c>
      <c r="D10326" s="1" t="s">
        <v>19</v>
      </c>
      <c r="E10326" s="1" t="s">
        <v>6</v>
      </c>
      <c r="F10326" s="1" t="s">
        <v>5091</v>
      </c>
      <c r="G10326" s="14" t="s">
        <v>9553</v>
      </c>
      <c r="H10326" s="1" t="s">
        <v>5</v>
      </c>
      <c r="I10326" s="17">
        <v>39923</v>
      </c>
    </row>
    <row r="10327" spans="1:9">
      <c r="A10327" s="16" t="s">
        <v>9560</v>
      </c>
      <c r="B10327" s="1" t="s">
        <v>2628</v>
      </c>
      <c r="C10327" s="1">
        <v>9</v>
      </c>
      <c r="D10327" s="1" t="s">
        <v>19</v>
      </c>
      <c r="E10327" s="1" t="s">
        <v>6</v>
      </c>
      <c r="F10327" s="1" t="s">
        <v>5091</v>
      </c>
      <c r="G10327" s="14" t="s">
        <v>9561</v>
      </c>
      <c r="H10327" s="1" t="s">
        <v>5</v>
      </c>
      <c r="I10327" s="17">
        <v>40730</v>
      </c>
    </row>
    <row r="10328" spans="1:9">
      <c r="A10328" s="16" t="s">
        <v>9618</v>
      </c>
      <c r="B10328" s="1" t="s">
        <v>2628</v>
      </c>
      <c r="C10328" s="1">
        <v>9</v>
      </c>
      <c r="D10328" s="1" t="s">
        <v>19</v>
      </c>
      <c r="E10328" s="1" t="s">
        <v>6</v>
      </c>
      <c r="F10328" s="1" t="s">
        <v>5091</v>
      </c>
      <c r="G10328" s="14" t="s">
        <v>6238</v>
      </c>
      <c r="H10328" s="1" t="s">
        <v>43</v>
      </c>
      <c r="I10328" s="17">
        <v>42005</v>
      </c>
    </row>
    <row r="10329" spans="1:9">
      <c r="A10329" s="16" t="s">
        <v>9619</v>
      </c>
      <c r="B10329" s="1" t="s">
        <v>2628</v>
      </c>
      <c r="C10329" s="1">
        <v>9</v>
      </c>
      <c r="D10329" s="1" t="s">
        <v>19</v>
      </c>
      <c r="E10329" s="1" t="s">
        <v>6</v>
      </c>
      <c r="F10329" s="1" t="s">
        <v>5091</v>
      </c>
      <c r="G10329" s="14" t="s">
        <v>6236</v>
      </c>
      <c r="H10329" s="1" t="s">
        <v>43</v>
      </c>
      <c r="I10329" s="17">
        <v>42005</v>
      </c>
    </row>
    <row r="10330" spans="1:9">
      <c r="A10330" s="16" t="s">
        <v>9620</v>
      </c>
      <c r="B10330" s="1" t="s">
        <v>2628</v>
      </c>
      <c r="C10330" s="1">
        <v>9</v>
      </c>
      <c r="D10330" s="1" t="s">
        <v>19</v>
      </c>
      <c r="E10330" s="1" t="s">
        <v>6</v>
      </c>
      <c r="F10330" s="1" t="s">
        <v>5091</v>
      </c>
      <c r="G10330" s="14" t="s">
        <v>9621</v>
      </c>
      <c r="H10330" s="1" t="s">
        <v>5</v>
      </c>
      <c r="I10330" s="17">
        <v>42005</v>
      </c>
    </row>
    <row r="10331" spans="1:9">
      <c r="A10331" s="16" t="s">
        <v>9622</v>
      </c>
      <c r="B10331" s="1" t="s">
        <v>2628</v>
      </c>
      <c r="C10331" s="1">
        <v>9</v>
      </c>
      <c r="D10331" s="1" t="s">
        <v>19</v>
      </c>
      <c r="E10331" s="1" t="s">
        <v>6</v>
      </c>
      <c r="F10331" s="1" t="s">
        <v>5091</v>
      </c>
      <c r="G10331" s="14" t="s">
        <v>6238</v>
      </c>
      <c r="H10331" s="1" t="s">
        <v>43</v>
      </c>
      <c r="I10331" s="17">
        <v>42005</v>
      </c>
    </row>
    <row r="10332" spans="1:9">
      <c r="A10332" s="16" t="s">
        <v>9623</v>
      </c>
      <c r="B10332" s="1" t="s">
        <v>2628</v>
      </c>
      <c r="C10332" s="1">
        <v>9</v>
      </c>
      <c r="D10332" s="1" t="s">
        <v>19</v>
      </c>
      <c r="E10332" s="1" t="s">
        <v>6</v>
      </c>
      <c r="F10332" s="1" t="s">
        <v>5091</v>
      </c>
      <c r="G10332" s="14" t="s">
        <v>6236</v>
      </c>
      <c r="H10332" s="1" t="s">
        <v>43</v>
      </c>
      <c r="I10332" s="17">
        <v>42005</v>
      </c>
    </row>
    <row r="10333" spans="1:9">
      <c r="A10333" s="16" t="s">
        <v>9624</v>
      </c>
      <c r="B10333" s="1" t="s">
        <v>2628</v>
      </c>
      <c r="C10333" s="1">
        <v>9</v>
      </c>
      <c r="D10333" s="1" t="s">
        <v>19</v>
      </c>
      <c r="E10333" s="1" t="s">
        <v>6</v>
      </c>
      <c r="F10333" s="1" t="s">
        <v>5091</v>
      </c>
      <c r="G10333" s="14" t="s">
        <v>6236</v>
      </c>
      <c r="H10333" s="1" t="s">
        <v>43</v>
      </c>
      <c r="I10333" s="17">
        <v>42005</v>
      </c>
    </row>
    <row r="10334" spans="1:9">
      <c r="A10334" s="16" t="s">
        <v>9636</v>
      </c>
      <c r="B10334" s="1" t="s">
        <v>2628</v>
      </c>
      <c r="C10334" s="1">
        <v>9</v>
      </c>
      <c r="D10334" s="1" t="s">
        <v>19</v>
      </c>
      <c r="E10334" s="1" t="s">
        <v>6</v>
      </c>
      <c r="F10334" s="1" t="s">
        <v>5091</v>
      </c>
      <c r="G10334" s="14" t="s">
        <v>6236</v>
      </c>
      <c r="H10334" s="1" t="s">
        <v>43</v>
      </c>
      <c r="I10334" s="17">
        <v>42005</v>
      </c>
    </row>
    <row r="10335" spans="1:9">
      <c r="A10335" s="16" t="s">
        <v>9652</v>
      </c>
      <c r="B10335" s="1" t="s">
        <v>2628</v>
      </c>
      <c r="C10335" s="1">
        <v>9</v>
      </c>
      <c r="D10335" s="1" t="s">
        <v>19</v>
      </c>
      <c r="E10335" s="1" t="s">
        <v>6</v>
      </c>
      <c r="F10335" s="1" t="s">
        <v>5091</v>
      </c>
      <c r="G10335" s="14" t="s">
        <v>6145</v>
      </c>
      <c r="H10335" s="1" t="s">
        <v>43</v>
      </c>
      <c r="I10335" s="17">
        <v>42262</v>
      </c>
    </row>
    <row r="10336" spans="1:9">
      <c r="A10336" s="16" t="s">
        <v>9670</v>
      </c>
      <c r="B10336" s="1" t="s">
        <v>2628</v>
      </c>
      <c r="C10336" s="1">
        <v>9</v>
      </c>
      <c r="D10336" s="1" t="s">
        <v>19</v>
      </c>
      <c r="E10336" s="1" t="s">
        <v>6</v>
      </c>
      <c r="F10336" s="1" t="s">
        <v>5091</v>
      </c>
      <c r="G10336" s="14" t="s">
        <v>6145</v>
      </c>
      <c r="H10336" s="1" t="s">
        <v>43</v>
      </c>
      <c r="I10336" s="17">
        <v>40316</v>
      </c>
    </row>
    <row r="10337" spans="1:9">
      <c r="A10337" s="16" t="s">
        <v>9671</v>
      </c>
      <c r="B10337" s="1" t="s">
        <v>2628</v>
      </c>
      <c r="C10337" s="1">
        <v>9</v>
      </c>
      <c r="D10337" s="1" t="s">
        <v>19</v>
      </c>
      <c r="E10337" s="1" t="s">
        <v>6</v>
      </c>
      <c r="F10337" s="1" t="s">
        <v>5091</v>
      </c>
      <c r="G10337" s="14" t="s">
        <v>6145</v>
      </c>
      <c r="H10337" s="1" t="s">
        <v>43</v>
      </c>
      <c r="I10337" s="17">
        <v>40316</v>
      </c>
    </row>
    <row r="10338" spans="1:9">
      <c r="A10338" s="16" t="s">
        <v>9672</v>
      </c>
      <c r="B10338" s="1" t="s">
        <v>2628</v>
      </c>
      <c r="C10338" s="1">
        <v>9</v>
      </c>
      <c r="D10338" s="1" t="s">
        <v>19</v>
      </c>
      <c r="E10338" s="1" t="s">
        <v>6</v>
      </c>
      <c r="F10338" s="1" t="s">
        <v>5091</v>
      </c>
      <c r="G10338" s="14" t="s">
        <v>6145</v>
      </c>
      <c r="H10338" s="1" t="s">
        <v>43</v>
      </c>
      <c r="I10338" s="17">
        <v>40315</v>
      </c>
    </row>
    <row r="10339" spans="1:9">
      <c r="A10339" s="16" t="s">
        <v>9673</v>
      </c>
      <c r="B10339" s="1" t="s">
        <v>2628</v>
      </c>
      <c r="C10339" s="1">
        <v>9</v>
      </c>
      <c r="D10339" s="1" t="s">
        <v>19</v>
      </c>
      <c r="E10339" s="1" t="s">
        <v>6</v>
      </c>
      <c r="F10339" s="1" t="s">
        <v>5091</v>
      </c>
      <c r="G10339" s="14" t="s">
        <v>6145</v>
      </c>
      <c r="H10339" s="1" t="s">
        <v>43</v>
      </c>
      <c r="I10339" s="17">
        <v>40315</v>
      </c>
    </row>
    <row r="10340" spans="1:9">
      <c r="A10340" s="16" t="s">
        <v>9674</v>
      </c>
      <c r="B10340" s="1" t="s">
        <v>2628</v>
      </c>
      <c r="C10340" s="1">
        <v>9</v>
      </c>
      <c r="D10340" s="1" t="s">
        <v>19</v>
      </c>
      <c r="E10340" s="1" t="s">
        <v>6</v>
      </c>
      <c r="F10340" s="1" t="s">
        <v>5091</v>
      </c>
      <c r="G10340" s="14" t="s">
        <v>6145</v>
      </c>
      <c r="H10340" s="1" t="s">
        <v>43</v>
      </c>
      <c r="I10340" s="17">
        <v>40315</v>
      </c>
    </row>
    <row r="10341" spans="1:9">
      <c r="A10341" s="16" t="s">
        <v>9675</v>
      </c>
      <c r="B10341" s="1" t="s">
        <v>2628</v>
      </c>
      <c r="C10341" s="1">
        <v>9</v>
      </c>
      <c r="D10341" s="1" t="s">
        <v>19</v>
      </c>
      <c r="E10341" s="1" t="s">
        <v>6</v>
      </c>
      <c r="F10341" s="1" t="s">
        <v>5091</v>
      </c>
      <c r="G10341" s="14" t="s">
        <v>6145</v>
      </c>
      <c r="H10341" s="1" t="s">
        <v>43</v>
      </c>
      <c r="I10341" s="17">
        <v>40315</v>
      </c>
    </row>
    <row r="10342" spans="1:9">
      <c r="A10342" s="16" t="s">
        <v>9687</v>
      </c>
      <c r="B10342" s="1" t="s">
        <v>2628</v>
      </c>
      <c r="C10342" s="1">
        <v>9</v>
      </c>
      <c r="D10342" s="1" t="s">
        <v>19</v>
      </c>
      <c r="E10342" s="1" t="s">
        <v>6</v>
      </c>
      <c r="F10342" s="1" t="s">
        <v>5091</v>
      </c>
      <c r="G10342" s="14" t="s">
        <v>6145</v>
      </c>
      <c r="H10342" s="1" t="s">
        <v>43</v>
      </c>
      <c r="I10342" s="17">
        <v>40316</v>
      </c>
    </row>
    <row r="10343" spans="1:9">
      <c r="A10343" s="16" t="s">
        <v>9688</v>
      </c>
      <c r="B10343" s="1" t="s">
        <v>2628</v>
      </c>
      <c r="C10343" s="1">
        <v>9</v>
      </c>
      <c r="D10343" s="1" t="s">
        <v>19</v>
      </c>
      <c r="E10343" s="1" t="s">
        <v>6</v>
      </c>
      <c r="F10343" s="1" t="s">
        <v>5091</v>
      </c>
      <c r="G10343" s="14" t="s">
        <v>6145</v>
      </c>
      <c r="H10343" s="1" t="s">
        <v>43</v>
      </c>
      <c r="I10343" s="17">
        <v>40316</v>
      </c>
    </row>
    <row r="10344" spans="1:9">
      <c r="A10344" s="16" t="s">
        <v>9689</v>
      </c>
      <c r="B10344" s="1" t="s">
        <v>2628</v>
      </c>
      <c r="C10344" s="1">
        <v>9</v>
      </c>
      <c r="D10344" s="1" t="s">
        <v>19</v>
      </c>
      <c r="E10344" s="1" t="s">
        <v>6</v>
      </c>
      <c r="F10344" s="1" t="s">
        <v>5091</v>
      </c>
      <c r="G10344" s="14" t="s">
        <v>6145</v>
      </c>
      <c r="H10344" s="1" t="s">
        <v>43</v>
      </c>
      <c r="I10344" s="17">
        <v>40316</v>
      </c>
    </row>
    <row r="10345" spans="1:9">
      <c r="A10345" s="16" t="s">
        <v>9798</v>
      </c>
      <c r="B10345" s="1" t="s">
        <v>2628</v>
      </c>
      <c r="C10345" s="1">
        <v>9</v>
      </c>
      <c r="D10345" s="1" t="s">
        <v>19</v>
      </c>
      <c r="E10345" s="1" t="s">
        <v>6</v>
      </c>
      <c r="F10345" s="1" t="s">
        <v>5091</v>
      </c>
      <c r="G10345" s="14" t="s">
        <v>2565</v>
      </c>
      <c r="H10345" s="1" t="s">
        <v>5</v>
      </c>
      <c r="I10345" s="17">
        <v>41909</v>
      </c>
    </row>
    <row r="10346" spans="1:9">
      <c r="A10346" s="16" t="s">
        <v>9802</v>
      </c>
      <c r="B10346" s="1" t="s">
        <v>2628</v>
      </c>
      <c r="C10346" s="1">
        <v>9</v>
      </c>
      <c r="D10346" s="1" t="s">
        <v>19</v>
      </c>
      <c r="E10346" s="1" t="s">
        <v>6</v>
      </c>
      <c r="F10346" s="1" t="s">
        <v>5091</v>
      </c>
      <c r="G10346" s="14" t="s">
        <v>6145</v>
      </c>
      <c r="H10346" s="1" t="s">
        <v>43</v>
      </c>
      <c r="I10346" s="17">
        <v>41912</v>
      </c>
    </row>
    <row r="10347" spans="1:9">
      <c r="A10347" s="16" t="s">
        <v>9811</v>
      </c>
      <c r="B10347" s="1" t="s">
        <v>2628</v>
      </c>
      <c r="C10347" s="1">
        <v>9</v>
      </c>
      <c r="D10347" s="1" t="s">
        <v>19</v>
      </c>
      <c r="E10347" s="1" t="s">
        <v>6</v>
      </c>
      <c r="F10347" s="1" t="s">
        <v>5091</v>
      </c>
      <c r="G10347" s="14" t="s">
        <v>6145</v>
      </c>
      <c r="H10347" s="1" t="s">
        <v>43</v>
      </c>
      <c r="I10347" s="17">
        <v>41925</v>
      </c>
    </row>
    <row r="10348" spans="1:9">
      <c r="A10348" s="16" t="s">
        <v>9812</v>
      </c>
      <c r="B10348" s="1" t="s">
        <v>2628</v>
      </c>
      <c r="C10348" s="1">
        <v>9</v>
      </c>
      <c r="D10348" s="1" t="s">
        <v>19</v>
      </c>
      <c r="E10348" s="1" t="s">
        <v>6</v>
      </c>
      <c r="F10348" s="1" t="s">
        <v>5091</v>
      </c>
      <c r="G10348" s="14" t="s">
        <v>6145</v>
      </c>
      <c r="H10348" s="1" t="s">
        <v>43</v>
      </c>
      <c r="I10348" s="17">
        <v>41925</v>
      </c>
    </row>
    <row r="10349" spans="1:9">
      <c r="A10349" s="16" t="s">
        <v>9813</v>
      </c>
      <c r="B10349" s="1" t="s">
        <v>2628</v>
      </c>
      <c r="C10349" s="1">
        <v>9</v>
      </c>
      <c r="D10349" s="1" t="s">
        <v>19</v>
      </c>
      <c r="E10349" s="1" t="s">
        <v>6</v>
      </c>
      <c r="F10349" s="1" t="s">
        <v>5091</v>
      </c>
      <c r="G10349" s="14" t="s">
        <v>6145</v>
      </c>
      <c r="H10349" s="1" t="s">
        <v>43</v>
      </c>
      <c r="I10349" s="17">
        <v>41925</v>
      </c>
    </row>
    <row r="10350" spans="1:9">
      <c r="A10350" s="16" t="s">
        <v>9814</v>
      </c>
      <c r="B10350" s="1" t="s">
        <v>2628</v>
      </c>
      <c r="C10350" s="1">
        <v>9</v>
      </c>
      <c r="D10350" s="1" t="s">
        <v>19</v>
      </c>
      <c r="E10350" s="1" t="s">
        <v>6</v>
      </c>
      <c r="F10350" s="1" t="s">
        <v>5091</v>
      </c>
      <c r="G10350" s="14" t="s">
        <v>7932</v>
      </c>
      <c r="H10350" s="1" t="s">
        <v>5</v>
      </c>
      <c r="I10350" s="17">
        <v>41933</v>
      </c>
    </row>
    <row r="10351" spans="1:9">
      <c r="A10351" s="16" t="s">
        <v>9824</v>
      </c>
      <c r="B10351" s="1" t="s">
        <v>2628</v>
      </c>
      <c r="C10351" s="1">
        <v>9</v>
      </c>
      <c r="D10351" s="1" t="s">
        <v>19</v>
      </c>
      <c r="E10351" s="1" t="s">
        <v>6</v>
      </c>
      <c r="F10351" s="1" t="s">
        <v>5091</v>
      </c>
      <c r="G10351" s="14" t="s">
        <v>9825</v>
      </c>
      <c r="H10351" s="1" t="s">
        <v>5</v>
      </c>
      <c r="I10351" s="17">
        <v>41906</v>
      </c>
    </row>
    <row r="10352" spans="1:9">
      <c r="A10352" s="16" t="s">
        <v>9826</v>
      </c>
      <c r="B10352" s="1" t="s">
        <v>2628</v>
      </c>
      <c r="C10352" s="1">
        <v>9</v>
      </c>
      <c r="D10352" s="1" t="s">
        <v>19</v>
      </c>
      <c r="E10352" s="1" t="s">
        <v>6</v>
      </c>
      <c r="F10352" s="1" t="s">
        <v>5091</v>
      </c>
      <c r="G10352" s="14" t="s">
        <v>9825</v>
      </c>
      <c r="H10352" s="1" t="s">
        <v>5</v>
      </c>
      <c r="I10352" s="17">
        <v>41906</v>
      </c>
    </row>
    <row r="10353" spans="1:9">
      <c r="A10353" s="16" t="s">
        <v>9827</v>
      </c>
      <c r="B10353" s="1" t="s">
        <v>2628</v>
      </c>
      <c r="C10353" s="1">
        <v>9</v>
      </c>
      <c r="D10353" s="1" t="s">
        <v>19</v>
      </c>
      <c r="E10353" s="1" t="s">
        <v>6</v>
      </c>
      <c r="F10353" s="1" t="s">
        <v>5091</v>
      </c>
      <c r="G10353" s="14" t="s">
        <v>9825</v>
      </c>
      <c r="H10353" s="1" t="s">
        <v>5</v>
      </c>
      <c r="I10353" s="17">
        <v>41906</v>
      </c>
    </row>
    <row r="10354" spans="1:9">
      <c r="A10354" s="16" t="s">
        <v>9828</v>
      </c>
      <c r="B10354" s="1" t="s">
        <v>2628</v>
      </c>
      <c r="C10354" s="1">
        <v>9</v>
      </c>
      <c r="D10354" s="1" t="s">
        <v>19</v>
      </c>
      <c r="E10354" s="1" t="s">
        <v>6</v>
      </c>
      <c r="F10354" s="1" t="s">
        <v>5091</v>
      </c>
      <c r="G10354" s="14" t="s">
        <v>9825</v>
      </c>
      <c r="H10354" s="1" t="s">
        <v>5</v>
      </c>
      <c r="I10354" s="17">
        <v>41906</v>
      </c>
    </row>
    <row r="10355" spans="1:9">
      <c r="A10355" s="16" t="s">
        <v>9850</v>
      </c>
      <c r="B10355" s="1" t="s">
        <v>2628</v>
      </c>
      <c r="C10355" s="1">
        <v>9</v>
      </c>
      <c r="D10355" s="1" t="s">
        <v>19</v>
      </c>
      <c r="E10355" s="1" t="s">
        <v>6</v>
      </c>
      <c r="F10355" s="1" t="s">
        <v>5091</v>
      </c>
      <c r="G10355" s="14" t="s">
        <v>9851</v>
      </c>
      <c r="H10355" s="1" t="s">
        <v>5</v>
      </c>
      <c r="I10355" s="17">
        <v>41290</v>
      </c>
    </row>
    <row r="10356" spans="1:9">
      <c r="A10356" s="16" t="s">
        <v>9852</v>
      </c>
      <c r="B10356" s="1" t="s">
        <v>2628</v>
      </c>
      <c r="C10356" s="1">
        <v>9</v>
      </c>
      <c r="D10356" s="1" t="s">
        <v>19</v>
      </c>
      <c r="E10356" s="1" t="s">
        <v>6</v>
      </c>
      <c r="F10356" s="1" t="s">
        <v>5091</v>
      </c>
      <c r="G10356" s="14" t="s">
        <v>9851</v>
      </c>
      <c r="H10356" s="1" t="s">
        <v>5</v>
      </c>
      <c r="I10356" s="17">
        <v>41290</v>
      </c>
    </row>
    <row r="10357" spans="1:9">
      <c r="A10357" s="16" t="s">
        <v>9904</v>
      </c>
      <c r="B10357" s="1" t="s">
        <v>2628</v>
      </c>
      <c r="C10357" s="1">
        <v>9</v>
      </c>
      <c r="D10357" s="1" t="s">
        <v>19</v>
      </c>
      <c r="E10357" s="1" t="s">
        <v>6</v>
      </c>
      <c r="F10357" s="1" t="s">
        <v>5091</v>
      </c>
      <c r="G10357" s="14" t="s">
        <v>6236</v>
      </c>
      <c r="H10357" s="1" t="s">
        <v>43</v>
      </c>
      <c r="I10357" s="17">
        <v>42005</v>
      </c>
    </row>
    <row r="10358" spans="1:9">
      <c r="A10358" s="16" t="s">
        <v>9984</v>
      </c>
      <c r="B10358" s="1" t="s">
        <v>2628</v>
      </c>
      <c r="C10358" s="1">
        <v>9</v>
      </c>
      <c r="D10358" s="1" t="s">
        <v>19</v>
      </c>
      <c r="E10358" s="1" t="s">
        <v>6</v>
      </c>
      <c r="F10358" s="1" t="s">
        <v>5091</v>
      </c>
      <c r="G10358" s="14" t="s">
        <v>9985</v>
      </c>
      <c r="H10358" s="1" t="s">
        <v>5</v>
      </c>
      <c r="I10358" s="17">
        <v>42005</v>
      </c>
    </row>
    <row r="10359" spans="1:9">
      <c r="A10359" s="16" t="s">
        <v>10003</v>
      </c>
      <c r="B10359" s="1" t="s">
        <v>2628</v>
      </c>
      <c r="C10359" s="1">
        <v>9</v>
      </c>
      <c r="D10359" s="1" t="s">
        <v>19</v>
      </c>
      <c r="E10359" s="1" t="s">
        <v>6</v>
      </c>
      <c r="F10359" s="1" t="s">
        <v>5091</v>
      </c>
      <c r="G10359" s="14" t="s">
        <v>6307</v>
      </c>
      <c r="H10359" s="1" t="s">
        <v>44</v>
      </c>
      <c r="I10359" s="17">
        <v>42028</v>
      </c>
    </row>
    <row r="10360" spans="1:9">
      <c r="A10360" s="16" t="s">
        <v>10029</v>
      </c>
      <c r="B10360" s="1" t="s">
        <v>2628</v>
      </c>
      <c r="C10360" s="1">
        <v>9</v>
      </c>
      <c r="D10360" s="1" t="s">
        <v>19</v>
      </c>
      <c r="E10360" s="1" t="s">
        <v>6</v>
      </c>
      <c r="F10360" s="1" t="s">
        <v>5091</v>
      </c>
      <c r="G10360" s="14" t="s">
        <v>6145</v>
      </c>
      <c r="H10360" s="1" t="s">
        <v>43</v>
      </c>
      <c r="I10360" s="17">
        <v>42313</v>
      </c>
    </row>
    <row r="10361" spans="1:9">
      <c r="A10361" s="16" t="s">
        <v>10039</v>
      </c>
      <c r="B10361" s="1" t="s">
        <v>2628</v>
      </c>
      <c r="C10361" s="1">
        <v>9</v>
      </c>
      <c r="D10361" s="1" t="s">
        <v>19</v>
      </c>
      <c r="E10361" s="1" t="s">
        <v>6</v>
      </c>
      <c r="F10361" s="1" t="s">
        <v>5091</v>
      </c>
      <c r="G10361" s="14" t="s">
        <v>6236</v>
      </c>
      <c r="H10361" s="1" t="s">
        <v>43</v>
      </c>
      <c r="I10361" s="17">
        <v>40544</v>
      </c>
    </row>
    <row r="10362" spans="1:9">
      <c r="A10362" s="16" t="s">
        <v>10040</v>
      </c>
      <c r="B10362" s="1" t="s">
        <v>2628</v>
      </c>
      <c r="C10362" s="1">
        <v>510</v>
      </c>
      <c r="D10362" s="1" t="s">
        <v>19</v>
      </c>
      <c r="E10362" s="1" t="s">
        <v>6</v>
      </c>
      <c r="F10362" s="1" t="s">
        <v>5091</v>
      </c>
      <c r="G10362" s="14" t="s">
        <v>6236</v>
      </c>
      <c r="H10362" s="1" t="s">
        <v>43</v>
      </c>
      <c r="I10362" s="17">
        <v>39083</v>
      </c>
    </row>
    <row r="10363" spans="1:9">
      <c r="A10363" s="16" t="s">
        <v>10041</v>
      </c>
      <c r="B10363" s="1" t="s">
        <v>2628</v>
      </c>
      <c r="C10363" s="1">
        <v>9</v>
      </c>
      <c r="D10363" s="1" t="s">
        <v>19</v>
      </c>
      <c r="E10363" s="1" t="s">
        <v>6</v>
      </c>
      <c r="F10363" s="1" t="s">
        <v>5091</v>
      </c>
      <c r="G10363" s="14" t="s">
        <v>6236</v>
      </c>
      <c r="H10363" s="1" t="s">
        <v>43</v>
      </c>
      <c r="I10363" s="17">
        <v>40179</v>
      </c>
    </row>
    <row r="10364" spans="1:9">
      <c r="A10364" s="16" t="s">
        <v>10042</v>
      </c>
      <c r="B10364" s="1" t="s">
        <v>2628</v>
      </c>
      <c r="C10364" s="1">
        <v>9</v>
      </c>
      <c r="D10364" s="1" t="s">
        <v>19</v>
      </c>
      <c r="E10364" s="1" t="s">
        <v>6</v>
      </c>
      <c r="F10364" s="1" t="s">
        <v>5091</v>
      </c>
      <c r="G10364" s="14" t="s">
        <v>6236</v>
      </c>
      <c r="H10364" s="1" t="s">
        <v>43</v>
      </c>
      <c r="I10364" s="17">
        <v>40179</v>
      </c>
    </row>
    <row r="10365" spans="1:9">
      <c r="A10365" s="16" t="s">
        <v>10043</v>
      </c>
      <c r="B10365" s="1" t="s">
        <v>2628</v>
      </c>
      <c r="C10365" s="1">
        <v>9</v>
      </c>
      <c r="D10365" s="1" t="s">
        <v>19</v>
      </c>
      <c r="E10365" s="1" t="s">
        <v>6</v>
      </c>
      <c r="F10365" s="1" t="s">
        <v>5091</v>
      </c>
      <c r="G10365" s="14" t="s">
        <v>6236</v>
      </c>
      <c r="H10365" s="1" t="s">
        <v>43</v>
      </c>
      <c r="I10365" s="17">
        <v>39448</v>
      </c>
    </row>
    <row r="10366" spans="1:9">
      <c r="A10366" s="16" t="s">
        <v>10044</v>
      </c>
      <c r="B10366" s="1" t="s">
        <v>2628</v>
      </c>
      <c r="C10366" s="1">
        <v>9</v>
      </c>
      <c r="D10366" s="1" t="s">
        <v>19</v>
      </c>
      <c r="E10366" s="1" t="s">
        <v>6</v>
      </c>
      <c r="F10366" s="1" t="s">
        <v>5091</v>
      </c>
      <c r="G10366" s="14" t="s">
        <v>9901</v>
      </c>
      <c r="H10366" s="1" t="s">
        <v>5</v>
      </c>
      <c r="I10366" s="17">
        <v>40179</v>
      </c>
    </row>
    <row r="10367" spans="1:9">
      <c r="A10367" s="16" t="s">
        <v>10045</v>
      </c>
      <c r="B10367" s="1" t="s">
        <v>2628</v>
      </c>
      <c r="C10367" s="1">
        <v>9</v>
      </c>
      <c r="D10367" s="1" t="s">
        <v>19</v>
      </c>
      <c r="E10367" s="1" t="s">
        <v>6</v>
      </c>
      <c r="F10367" s="1" t="s">
        <v>5091</v>
      </c>
      <c r="G10367" s="14" t="s">
        <v>6236</v>
      </c>
      <c r="H10367" s="1" t="s">
        <v>43</v>
      </c>
      <c r="I10367" s="17">
        <v>40179</v>
      </c>
    </row>
    <row r="10368" spans="1:9">
      <c r="A10368" s="16" t="s">
        <v>10046</v>
      </c>
      <c r="B10368" s="1" t="s">
        <v>2628</v>
      </c>
      <c r="C10368" s="1">
        <v>9</v>
      </c>
      <c r="D10368" s="1" t="s">
        <v>19</v>
      </c>
      <c r="E10368" s="1" t="s">
        <v>6</v>
      </c>
      <c r="F10368" s="1" t="s">
        <v>5091</v>
      </c>
      <c r="G10368" s="14" t="s">
        <v>10047</v>
      </c>
      <c r="H10368" s="1" t="s">
        <v>5</v>
      </c>
      <c r="I10368" s="17">
        <v>39083</v>
      </c>
    </row>
    <row r="10369" spans="1:9">
      <c r="A10369" s="16" t="s">
        <v>10052</v>
      </c>
      <c r="B10369" s="1" t="s">
        <v>2628</v>
      </c>
      <c r="C10369" s="1">
        <v>9</v>
      </c>
      <c r="D10369" s="1" t="s">
        <v>19</v>
      </c>
      <c r="E10369" s="1" t="s">
        <v>6</v>
      </c>
      <c r="F10369" s="1" t="s">
        <v>5091</v>
      </c>
      <c r="G10369" s="14" t="s">
        <v>10053</v>
      </c>
      <c r="H10369" s="1" t="s">
        <v>43</v>
      </c>
      <c r="I10369" s="17">
        <v>40962</v>
      </c>
    </row>
    <row r="10370" spans="1:9">
      <c r="A10370" s="16" t="s">
        <v>10055</v>
      </c>
      <c r="B10370" s="1" t="s">
        <v>2628</v>
      </c>
      <c r="C10370" s="1">
        <v>9</v>
      </c>
      <c r="D10370" s="1" t="s">
        <v>19</v>
      </c>
      <c r="E10370" s="1" t="s">
        <v>6</v>
      </c>
      <c r="F10370" s="1" t="s">
        <v>5091</v>
      </c>
      <c r="G10370" s="14" t="s">
        <v>10053</v>
      </c>
      <c r="H10370" s="1" t="s">
        <v>43</v>
      </c>
      <c r="I10370" s="17">
        <v>40962</v>
      </c>
    </row>
    <row r="10371" spans="1:9" ht="31.2">
      <c r="A10371" s="16" t="s">
        <v>10058</v>
      </c>
      <c r="B10371" s="1" t="s">
        <v>2628</v>
      </c>
      <c r="C10371" s="1">
        <v>9</v>
      </c>
      <c r="D10371" s="1" t="s">
        <v>19</v>
      </c>
      <c r="E10371" s="1" t="s">
        <v>6</v>
      </c>
      <c r="F10371" s="1" t="s">
        <v>5091</v>
      </c>
      <c r="G10371" s="14" t="s">
        <v>6145</v>
      </c>
      <c r="H10371" s="1" t="s">
        <v>43</v>
      </c>
      <c r="I10371" s="17">
        <v>42352</v>
      </c>
    </row>
    <row r="10372" spans="1:9" ht="31.2">
      <c r="A10372" s="16" t="s">
        <v>10061</v>
      </c>
      <c r="B10372" s="1" t="s">
        <v>2628</v>
      </c>
      <c r="C10372" s="1">
        <v>9</v>
      </c>
      <c r="D10372" s="1" t="s">
        <v>19</v>
      </c>
      <c r="E10372" s="1" t="s">
        <v>6</v>
      </c>
      <c r="F10372" s="1" t="s">
        <v>5091</v>
      </c>
      <c r="G10372" s="14" t="s">
        <v>6145</v>
      </c>
      <c r="H10372" s="1" t="s">
        <v>43</v>
      </c>
      <c r="I10372" s="17">
        <v>42352</v>
      </c>
    </row>
    <row r="10373" spans="1:9">
      <c r="A10373" s="16" t="s">
        <v>10068</v>
      </c>
      <c r="B10373" s="1" t="s">
        <v>2628</v>
      </c>
      <c r="C10373" s="1">
        <v>9</v>
      </c>
      <c r="D10373" s="1" t="s">
        <v>19</v>
      </c>
      <c r="E10373" s="1" t="s">
        <v>6</v>
      </c>
      <c r="F10373" s="1" t="s">
        <v>36</v>
      </c>
      <c r="G10373" s="14" t="s">
        <v>10069</v>
      </c>
      <c r="H10373" s="1" t="s">
        <v>43</v>
      </c>
      <c r="I10373" s="17">
        <v>39448</v>
      </c>
    </row>
    <row r="10374" spans="1:9">
      <c r="A10374" s="16" t="s">
        <v>10118</v>
      </c>
      <c r="B10374" s="1" t="s">
        <v>2628</v>
      </c>
      <c r="C10374" s="1">
        <v>9</v>
      </c>
      <c r="D10374" s="1" t="s">
        <v>19</v>
      </c>
      <c r="E10374" s="1" t="s">
        <v>6</v>
      </c>
      <c r="F10374" s="1" t="s">
        <v>5091</v>
      </c>
      <c r="G10374" s="14" t="s">
        <v>6307</v>
      </c>
      <c r="H10374" s="1" t="s">
        <v>44</v>
      </c>
      <c r="I10374" s="17">
        <v>42028</v>
      </c>
    </row>
    <row r="10375" spans="1:9">
      <c r="A10375" s="16" t="s">
        <v>10119</v>
      </c>
      <c r="B10375" s="1" t="s">
        <v>2628</v>
      </c>
      <c r="C10375" s="1">
        <v>9</v>
      </c>
      <c r="D10375" s="1" t="s">
        <v>19</v>
      </c>
      <c r="E10375" s="1" t="s">
        <v>6</v>
      </c>
      <c r="F10375" s="1" t="s">
        <v>5091</v>
      </c>
      <c r="G10375" s="14" t="s">
        <v>6307</v>
      </c>
      <c r="H10375" s="1" t="s">
        <v>44</v>
      </c>
      <c r="I10375" s="17">
        <v>42028</v>
      </c>
    </row>
    <row r="10376" spans="1:9">
      <c r="A10376" s="16" t="s">
        <v>10120</v>
      </c>
      <c r="B10376" s="1" t="s">
        <v>2628</v>
      </c>
      <c r="C10376" s="1">
        <v>9</v>
      </c>
      <c r="D10376" s="1" t="s">
        <v>19</v>
      </c>
      <c r="E10376" s="1" t="s">
        <v>6</v>
      </c>
      <c r="F10376" s="1" t="s">
        <v>5091</v>
      </c>
      <c r="G10376" s="14" t="s">
        <v>6307</v>
      </c>
      <c r="H10376" s="1" t="s">
        <v>44</v>
      </c>
      <c r="I10376" s="17">
        <v>42028</v>
      </c>
    </row>
    <row r="10377" spans="1:9">
      <c r="A10377" s="16" t="s">
        <v>10121</v>
      </c>
      <c r="B10377" s="1" t="s">
        <v>2628</v>
      </c>
      <c r="C10377" s="1">
        <v>9</v>
      </c>
      <c r="D10377" s="1" t="s">
        <v>19</v>
      </c>
      <c r="E10377" s="1" t="s">
        <v>6</v>
      </c>
      <c r="F10377" s="1" t="s">
        <v>5091</v>
      </c>
      <c r="G10377" s="14" t="s">
        <v>6307</v>
      </c>
      <c r="H10377" s="1" t="s">
        <v>44</v>
      </c>
      <c r="I10377" s="17">
        <v>42028</v>
      </c>
    </row>
    <row r="10378" spans="1:9">
      <c r="A10378" s="16" t="s">
        <v>10122</v>
      </c>
      <c r="B10378" s="1" t="s">
        <v>2628</v>
      </c>
      <c r="C10378" s="1">
        <v>9</v>
      </c>
      <c r="D10378" s="1" t="s">
        <v>19</v>
      </c>
      <c r="E10378" s="1" t="s">
        <v>6</v>
      </c>
      <c r="F10378" s="1" t="s">
        <v>5091</v>
      </c>
      <c r="G10378" s="14" t="s">
        <v>6307</v>
      </c>
      <c r="H10378" s="1" t="s">
        <v>44</v>
      </c>
      <c r="I10378" s="17">
        <v>42028</v>
      </c>
    </row>
    <row r="10379" spans="1:9">
      <c r="A10379" s="16" t="s">
        <v>10123</v>
      </c>
      <c r="B10379" s="1" t="s">
        <v>2628</v>
      </c>
      <c r="C10379" s="1">
        <v>9</v>
      </c>
      <c r="D10379" s="1" t="s">
        <v>19</v>
      </c>
      <c r="E10379" s="1" t="s">
        <v>6</v>
      </c>
      <c r="F10379" s="1" t="s">
        <v>5091</v>
      </c>
      <c r="G10379" s="14" t="s">
        <v>6307</v>
      </c>
      <c r="H10379" s="1" t="s">
        <v>44</v>
      </c>
      <c r="I10379" s="17">
        <v>42028</v>
      </c>
    </row>
    <row r="10380" spans="1:9">
      <c r="A10380" s="16" t="s">
        <v>10124</v>
      </c>
      <c r="B10380" s="1" t="s">
        <v>2628</v>
      </c>
      <c r="C10380" s="1">
        <v>9</v>
      </c>
      <c r="D10380" s="1" t="s">
        <v>19</v>
      </c>
      <c r="E10380" s="1" t="s">
        <v>6</v>
      </c>
      <c r="F10380" s="1" t="s">
        <v>5091</v>
      </c>
      <c r="G10380" s="14" t="s">
        <v>6307</v>
      </c>
      <c r="H10380" s="1" t="s">
        <v>44</v>
      </c>
      <c r="I10380" s="17">
        <v>42028</v>
      </c>
    </row>
    <row r="10381" spans="1:9">
      <c r="A10381" s="16" t="s">
        <v>10125</v>
      </c>
      <c r="B10381" s="1" t="s">
        <v>2628</v>
      </c>
      <c r="C10381" s="1">
        <v>9</v>
      </c>
      <c r="D10381" s="1" t="s">
        <v>19</v>
      </c>
      <c r="E10381" s="1" t="s">
        <v>6</v>
      </c>
      <c r="F10381" s="1" t="s">
        <v>5091</v>
      </c>
      <c r="G10381" s="14" t="s">
        <v>6307</v>
      </c>
      <c r="H10381" s="1" t="s">
        <v>44</v>
      </c>
      <c r="I10381" s="17">
        <v>42028</v>
      </c>
    </row>
    <row r="10382" spans="1:9">
      <c r="A10382" s="16" t="s">
        <v>10126</v>
      </c>
      <c r="B10382" s="1" t="s">
        <v>2628</v>
      </c>
      <c r="C10382" s="1">
        <v>9</v>
      </c>
      <c r="D10382" s="1" t="s">
        <v>19</v>
      </c>
      <c r="E10382" s="1" t="s">
        <v>6</v>
      </c>
      <c r="F10382" s="1" t="s">
        <v>5091</v>
      </c>
      <c r="G10382" s="14" t="s">
        <v>6307</v>
      </c>
      <c r="H10382" s="1" t="s">
        <v>44</v>
      </c>
      <c r="I10382" s="17">
        <v>42028</v>
      </c>
    </row>
    <row r="10383" spans="1:9">
      <c r="A10383" s="16" t="s">
        <v>10127</v>
      </c>
      <c r="B10383" s="1" t="s">
        <v>2628</v>
      </c>
      <c r="C10383" s="1">
        <v>9</v>
      </c>
      <c r="D10383" s="1" t="s">
        <v>19</v>
      </c>
      <c r="E10383" s="1" t="s">
        <v>6</v>
      </c>
      <c r="F10383" s="1" t="s">
        <v>5091</v>
      </c>
      <c r="G10383" s="14" t="s">
        <v>6307</v>
      </c>
      <c r="H10383" s="1" t="s">
        <v>44</v>
      </c>
      <c r="I10383" s="17">
        <v>42028</v>
      </c>
    </row>
    <row r="10384" spans="1:9">
      <c r="A10384" s="16" t="s">
        <v>10128</v>
      </c>
      <c r="B10384" s="1" t="s">
        <v>2628</v>
      </c>
      <c r="C10384" s="1">
        <v>9</v>
      </c>
      <c r="D10384" s="1" t="s">
        <v>19</v>
      </c>
      <c r="E10384" s="1" t="s">
        <v>6</v>
      </c>
      <c r="F10384" s="1" t="s">
        <v>5091</v>
      </c>
      <c r="G10384" s="14" t="s">
        <v>6307</v>
      </c>
      <c r="H10384" s="1" t="s">
        <v>44</v>
      </c>
      <c r="I10384" s="17">
        <v>42028</v>
      </c>
    </row>
    <row r="10385" spans="1:9">
      <c r="A10385" s="16" t="s">
        <v>10129</v>
      </c>
      <c r="B10385" s="1" t="s">
        <v>2628</v>
      </c>
      <c r="C10385" s="1">
        <v>9</v>
      </c>
      <c r="D10385" s="1" t="s">
        <v>19</v>
      </c>
      <c r="E10385" s="1" t="s">
        <v>6</v>
      </c>
      <c r="F10385" s="1" t="s">
        <v>5091</v>
      </c>
      <c r="G10385" s="14" t="s">
        <v>6307</v>
      </c>
      <c r="H10385" s="1" t="s">
        <v>44</v>
      </c>
      <c r="I10385" s="17">
        <v>42028</v>
      </c>
    </row>
    <row r="10386" spans="1:9">
      <c r="A10386" s="16" t="s">
        <v>10130</v>
      </c>
      <c r="B10386" s="1" t="s">
        <v>2628</v>
      </c>
      <c r="C10386" s="1">
        <v>9</v>
      </c>
      <c r="D10386" s="1" t="s">
        <v>19</v>
      </c>
      <c r="E10386" s="1" t="s">
        <v>6</v>
      </c>
      <c r="F10386" s="1" t="s">
        <v>5091</v>
      </c>
      <c r="G10386" s="14" t="s">
        <v>6307</v>
      </c>
      <c r="H10386" s="1" t="s">
        <v>44</v>
      </c>
      <c r="I10386" s="17">
        <v>42028</v>
      </c>
    </row>
    <row r="10387" spans="1:9">
      <c r="A10387" s="16" t="s">
        <v>10131</v>
      </c>
      <c r="B10387" s="1" t="s">
        <v>2628</v>
      </c>
      <c r="C10387" s="1">
        <v>9</v>
      </c>
      <c r="D10387" s="1" t="s">
        <v>19</v>
      </c>
      <c r="E10387" s="1" t="s">
        <v>6</v>
      </c>
      <c r="F10387" s="1" t="s">
        <v>5091</v>
      </c>
      <c r="G10387" s="14" t="s">
        <v>6307</v>
      </c>
      <c r="H10387" s="1" t="s">
        <v>44</v>
      </c>
      <c r="I10387" s="17">
        <v>42028</v>
      </c>
    </row>
    <row r="10388" spans="1:9">
      <c r="A10388" s="16" t="s">
        <v>10132</v>
      </c>
      <c r="B10388" s="1" t="s">
        <v>2628</v>
      </c>
      <c r="C10388" s="1">
        <v>9</v>
      </c>
      <c r="D10388" s="1" t="s">
        <v>19</v>
      </c>
      <c r="E10388" s="1" t="s">
        <v>6</v>
      </c>
      <c r="F10388" s="1" t="s">
        <v>5091</v>
      </c>
      <c r="G10388" s="14" t="s">
        <v>6307</v>
      </c>
      <c r="H10388" s="1" t="s">
        <v>44</v>
      </c>
      <c r="I10388" s="17">
        <v>42028</v>
      </c>
    </row>
    <row r="10389" spans="1:9">
      <c r="A10389" s="16" t="s">
        <v>10133</v>
      </c>
      <c r="B10389" s="1" t="s">
        <v>2628</v>
      </c>
      <c r="C10389" s="1">
        <v>9</v>
      </c>
      <c r="D10389" s="1" t="s">
        <v>19</v>
      </c>
      <c r="E10389" s="1" t="s">
        <v>6</v>
      </c>
      <c r="F10389" s="1" t="s">
        <v>5091</v>
      </c>
      <c r="G10389" s="14" t="s">
        <v>6307</v>
      </c>
      <c r="H10389" s="1" t="s">
        <v>44</v>
      </c>
      <c r="I10389" s="17">
        <v>42028</v>
      </c>
    </row>
    <row r="10390" spans="1:9">
      <c r="A10390" s="16" t="s">
        <v>10134</v>
      </c>
      <c r="B10390" s="1" t="s">
        <v>2628</v>
      </c>
      <c r="C10390" s="1">
        <v>9</v>
      </c>
      <c r="D10390" s="1" t="s">
        <v>19</v>
      </c>
      <c r="E10390" s="1" t="s">
        <v>6</v>
      </c>
      <c r="F10390" s="1" t="s">
        <v>5091</v>
      </c>
      <c r="G10390" s="14" t="s">
        <v>6307</v>
      </c>
      <c r="H10390" s="1" t="s">
        <v>44</v>
      </c>
      <c r="I10390" s="17">
        <v>42028</v>
      </c>
    </row>
    <row r="10391" spans="1:9">
      <c r="A10391" s="16" t="s">
        <v>10135</v>
      </c>
      <c r="B10391" s="1" t="s">
        <v>2628</v>
      </c>
      <c r="C10391" s="1">
        <v>9</v>
      </c>
      <c r="D10391" s="1" t="s">
        <v>19</v>
      </c>
      <c r="E10391" s="1" t="s">
        <v>6</v>
      </c>
      <c r="F10391" s="1" t="s">
        <v>5091</v>
      </c>
      <c r="G10391" s="14" t="s">
        <v>6307</v>
      </c>
      <c r="H10391" s="1" t="s">
        <v>44</v>
      </c>
      <c r="I10391" s="17">
        <v>42028</v>
      </c>
    </row>
    <row r="10392" spans="1:9">
      <c r="A10392" s="16" t="s">
        <v>10136</v>
      </c>
      <c r="B10392" s="1" t="s">
        <v>2628</v>
      </c>
      <c r="C10392" s="1">
        <v>9</v>
      </c>
      <c r="D10392" s="1" t="s">
        <v>19</v>
      </c>
      <c r="E10392" s="1" t="s">
        <v>6</v>
      </c>
      <c r="F10392" s="1" t="s">
        <v>5091</v>
      </c>
      <c r="G10392" s="14" t="s">
        <v>6307</v>
      </c>
      <c r="H10392" s="1" t="s">
        <v>44</v>
      </c>
      <c r="I10392" s="17">
        <v>42028</v>
      </c>
    </row>
    <row r="10393" spans="1:9">
      <c r="A10393" s="16" t="s">
        <v>10137</v>
      </c>
      <c r="B10393" s="1" t="s">
        <v>2628</v>
      </c>
      <c r="C10393" s="1">
        <v>9</v>
      </c>
      <c r="D10393" s="1" t="s">
        <v>19</v>
      </c>
      <c r="E10393" s="1" t="s">
        <v>6</v>
      </c>
      <c r="F10393" s="1" t="s">
        <v>5091</v>
      </c>
      <c r="G10393" s="14" t="s">
        <v>6307</v>
      </c>
      <c r="H10393" s="1" t="s">
        <v>44</v>
      </c>
      <c r="I10393" s="17">
        <v>42028</v>
      </c>
    </row>
    <row r="10394" spans="1:9">
      <c r="A10394" s="16" t="s">
        <v>10138</v>
      </c>
      <c r="B10394" s="1" t="s">
        <v>2628</v>
      </c>
      <c r="C10394" s="1">
        <v>9</v>
      </c>
      <c r="D10394" s="1" t="s">
        <v>19</v>
      </c>
      <c r="E10394" s="1" t="s">
        <v>6</v>
      </c>
      <c r="F10394" s="1" t="s">
        <v>5091</v>
      </c>
      <c r="G10394" s="14" t="s">
        <v>6307</v>
      </c>
      <c r="H10394" s="1" t="s">
        <v>44</v>
      </c>
      <c r="I10394" s="17">
        <v>42028</v>
      </c>
    </row>
    <row r="10395" spans="1:9">
      <c r="A10395" s="16" t="s">
        <v>10139</v>
      </c>
      <c r="B10395" s="1" t="s">
        <v>2628</v>
      </c>
      <c r="C10395" s="1">
        <v>9</v>
      </c>
      <c r="D10395" s="1" t="s">
        <v>19</v>
      </c>
      <c r="E10395" s="1" t="s">
        <v>6</v>
      </c>
      <c r="F10395" s="1" t="s">
        <v>5091</v>
      </c>
      <c r="G10395" s="14" t="s">
        <v>6307</v>
      </c>
      <c r="H10395" s="1" t="s">
        <v>44</v>
      </c>
      <c r="I10395" s="17">
        <v>42028</v>
      </c>
    </row>
    <row r="10396" spans="1:9">
      <c r="A10396" s="16" t="s">
        <v>10140</v>
      </c>
      <c r="B10396" s="1" t="s">
        <v>2628</v>
      </c>
      <c r="C10396" s="1">
        <v>9</v>
      </c>
      <c r="D10396" s="1" t="s">
        <v>19</v>
      </c>
      <c r="E10396" s="1" t="s">
        <v>6</v>
      </c>
      <c r="F10396" s="1" t="s">
        <v>5091</v>
      </c>
      <c r="G10396" s="14" t="s">
        <v>6307</v>
      </c>
      <c r="H10396" s="1" t="s">
        <v>44</v>
      </c>
      <c r="I10396" s="17">
        <v>42028</v>
      </c>
    </row>
    <row r="10397" spans="1:9">
      <c r="A10397" s="16" t="s">
        <v>10141</v>
      </c>
      <c r="B10397" s="1" t="s">
        <v>2628</v>
      </c>
      <c r="C10397" s="1">
        <v>9</v>
      </c>
      <c r="D10397" s="1" t="s">
        <v>19</v>
      </c>
      <c r="E10397" s="1" t="s">
        <v>6</v>
      </c>
      <c r="F10397" s="1" t="s">
        <v>5091</v>
      </c>
      <c r="G10397" s="14" t="s">
        <v>6307</v>
      </c>
      <c r="H10397" s="1" t="s">
        <v>44</v>
      </c>
      <c r="I10397" s="17">
        <v>42028</v>
      </c>
    </row>
    <row r="10398" spans="1:9">
      <c r="A10398" s="16" t="s">
        <v>10142</v>
      </c>
      <c r="B10398" s="1" t="s">
        <v>2628</v>
      </c>
      <c r="C10398" s="1">
        <v>9</v>
      </c>
      <c r="D10398" s="1" t="s">
        <v>19</v>
      </c>
      <c r="E10398" s="1" t="s">
        <v>6</v>
      </c>
      <c r="F10398" s="1" t="s">
        <v>5091</v>
      </c>
      <c r="G10398" s="14" t="s">
        <v>6307</v>
      </c>
      <c r="H10398" s="1" t="s">
        <v>44</v>
      </c>
      <c r="I10398" s="17">
        <v>42028</v>
      </c>
    </row>
    <row r="10399" spans="1:9">
      <c r="A10399" s="16" t="s">
        <v>10143</v>
      </c>
      <c r="B10399" s="1" t="s">
        <v>2628</v>
      </c>
      <c r="C10399" s="1">
        <v>9</v>
      </c>
      <c r="D10399" s="1" t="s">
        <v>19</v>
      </c>
      <c r="E10399" s="1" t="s">
        <v>6</v>
      </c>
      <c r="F10399" s="1" t="s">
        <v>5091</v>
      </c>
      <c r="G10399" s="14" t="s">
        <v>6307</v>
      </c>
      <c r="H10399" s="1" t="s">
        <v>44</v>
      </c>
      <c r="I10399" s="17">
        <v>42028</v>
      </c>
    </row>
    <row r="10400" spans="1:9">
      <c r="A10400" s="16" t="s">
        <v>10144</v>
      </c>
      <c r="B10400" s="1" t="s">
        <v>2628</v>
      </c>
      <c r="C10400" s="1">
        <v>9</v>
      </c>
      <c r="D10400" s="1" t="s">
        <v>19</v>
      </c>
      <c r="E10400" s="1" t="s">
        <v>6</v>
      </c>
      <c r="F10400" s="1" t="s">
        <v>5091</v>
      </c>
      <c r="G10400" s="14" t="s">
        <v>6307</v>
      </c>
      <c r="H10400" s="1" t="s">
        <v>44</v>
      </c>
      <c r="I10400" s="17">
        <v>42028</v>
      </c>
    </row>
    <row r="10401" spans="1:9">
      <c r="A10401" s="16" t="s">
        <v>10145</v>
      </c>
      <c r="B10401" s="1" t="s">
        <v>2628</v>
      </c>
      <c r="C10401" s="1">
        <v>9</v>
      </c>
      <c r="D10401" s="1" t="s">
        <v>19</v>
      </c>
      <c r="E10401" s="1" t="s">
        <v>6</v>
      </c>
      <c r="F10401" s="1" t="s">
        <v>5091</v>
      </c>
      <c r="G10401" s="14" t="s">
        <v>6307</v>
      </c>
      <c r="H10401" s="1" t="s">
        <v>44</v>
      </c>
      <c r="I10401" s="17">
        <v>42028</v>
      </c>
    </row>
    <row r="10402" spans="1:9">
      <c r="A10402" s="16" t="s">
        <v>10146</v>
      </c>
      <c r="B10402" s="1" t="s">
        <v>2628</v>
      </c>
      <c r="C10402" s="1">
        <v>9</v>
      </c>
      <c r="D10402" s="1" t="s">
        <v>19</v>
      </c>
      <c r="E10402" s="1" t="s">
        <v>6</v>
      </c>
      <c r="F10402" s="1" t="s">
        <v>5091</v>
      </c>
      <c r="G10402" s="14" t="s">
        <v>6307</v>
      </c>
      <c r="H10402" s="1" t="s">
        <v>44</v>
      </c>
      <c r="I10402" s="17">
        <v>42028</v>
      </c>
    </row>
    <row r="10403" spans="1:9">
      <c r="A10403" s="16" t="s">
        <v>10147</v>
      </c>
      <c r="B10403" s="1" t="s">
        <v>2628</v>
      </c>
      <c r="C10403" s="1">
        <v>9</v>
      </c>
      <c r="D10403" s="1" t="s">
        <v>19</v>
      </c>
      <c r="E10403" s="1" t="s">
        <v>6</v>
      </c>
      <c r="F10403" s="1" t="s">
        <v>5091</v>
      </c>
      <c r="G10403" s="14" t="s">
        <v>6307</v>
      </c>
      <c r="H10403" s="1" t="s">
        <v>44</v>
      </c>
      <c r="I10403" s="17">
        <v>42028</v>
      </c>
    </row>
    <row r="10404" spans="1:9">
      <c r="A10404" s="16" t="s">
        <v>10148</v>
      </c>
      <c r="B10404" s="1" t="s">
        <v>2628</v>
      </c>
      <c r="C10404" s="1">
        <v>9</v>
      </c>
      <c r="D10404" s="1" t="s">
        <v>19</v>
      </c>
      <c r="E10404" s="1" t="s">
        <v>6</v>
      </c>
      <c r="F10404" s="1" t="s">
        <v>5091</v>
      </c>
      <c r="G10404" s="14" t="s">
        <v>6307</v>
      </c>
      <c r="H10404" s="1" t="s">
        <v>44</v>
      </c>
      <c r="I10404" s="17">
        <v>42028</v>
      </c>
    </row>
    <row r="10405" spans="1:9">
      <c r="A10405" s="16" t="s">
        <v>10149</v>
      </c>
      <c r="B10405" s="1" t="s">
        <v>2628</v>
      </c>
      <c r="C10405" s="1">
        <v>9</v>
      </c>
      <c r="D10405" s="1" t="s">
        <v>19</v>
      </c>
      <c r="E10405" s="1" t="s">
        <v>6</v>
      </c>
      <c r="F10405" s="1" t="s">
        <v>5091</v>
      </c>
      <c r="G10405" s="14" t="s">
        <v>6307</v>
      </c>
      <c r="H10405" s="1" t="s">
        <v>44</v>
      </c>
      <c r="I10405" s="17">
        <v>42028</v>
      </c>
    </row>
    <row r="10406" spans="1:9">
      <c r="A10406" s="16" t="s">
        <v>10150</v>
      </c>
      <c r="B10406" s="1" t="s">
        <v>2628</v>
      </c>
      <c r="C10406" s="1">
        <v>9</v>
      </c>
      <c r="D10406" s="1" t="s">
        <v>19</v>
      </c>
      <c r="E10406" s="1" t="s">
        <v>6</v>
      </c>
      <c r="F10406" s="1" t="s">
        <v>5091</v>
      </c>
      <c r="G10406" s="14" t="s">
        <v>6307</v>
      </c>
      <c r="H10406" s="1" t="s">
        <v>44</v>
      </c>
      <c r="I10406" s="17">
        <v>42028</v>
      </c>
    </row>
    <row r="10407" spans="1:9">
      <c r="A10407" s="16" t="s">
        <v>10151</v>
      </c>
      <c r="B10407" s="1" t="s">
        <v>2628</v>
      </c>
      <c r="C10407" s="1">
        <v>9</v>
      </c>
      <c r="D10407" s="1" t="s">
        <v>19</v>
      </c>
      <c r="E10407" s="1" t="s">
        <v>6</v>
      </c>
      <c r="F10407" s="1" t="s">
        <v>5091</v>
      </c>
      <c r="G10407" s="14" t="s">
        <v>6307</v>
      </c>
      <c r="H10407" s="1" t="s">
        <v>44</v>
      </c>
      <c r="I10407" s="17">
        <v>42028</v>
      </c>
    </row>
    <row r="10408" spans="1:9">
      <c r="A10408" s="16" t="s">
        <v>10152</v>
      </c>
      <c r="B10408" s="1" t="s">
        <v>2628</v>
      </c>
      <c r="C10408" s="1">
        <v>9</v>
      </c>
      <c r="D10408" s="1" t="s">
        <v>19</v>
      </c>
      <c r="E10408" s="1" t="s">
        <v>6</v>
      </c>
      <c r="F10408" s="1" t="s">
        <v>5091</v>
      </c>
      <c r="G10408" s="14" t="s">
        <v>6307</v>
      </c>
      <c r="H10408" s="1" t="s">
        <v>44</v>
      </c>
      <c r="I10408" s="17">
        <v>42028</v>
      </c>
    </row>
    <row r="10409" spans="1:9">
      <c r="A10409" s="16" t="s">
        <v>10153</v>
      </c>
      <c r="B10409" s="1" t="s">
        <v>2628</v>
      </c>
      <c r="C10409" s="1">
        <v>9</v>
      </c>
      <c r="D10409" s="1" t="s">
        <v>19</v>
      </c>
      <c r="E10409" s="1" t="s">
        <v>6</v>
      </c>
      <c r="F10409" s="1" t="s">
        <v>5091</v>
      </c>
      <c r="G10409" s="14" t="s">
        <v>6307</v>
      </c>
      <c r="H10409" s="1" t="s">
        <v>44</v>
      </c>
      <c r="I10409" s="17">
        <v>42028</v>
      </c>
    </row>
    <row r="10410" spans="1:9">
      <c r="A10410" s="16" t="s">
        <v>10154</v>
      </c>
      <c r="B10410" s="1" t="s">
        <v>2628</v>
      </c>
      <c r="C10410" s="1">
        <v>9</v>
      </c>
      <c r="D10410" s="1" t="s">
        <v>19</v>
      </c>
      <c r="E10410" s="1" t="s">
        <v>6</v>
      </c>
      <c r="F10410" s="1" t="s">
        <v>5091</v>
      </c>
      <c r="G10410" s="14" t="s">
        <v>6307</v>
      </c>
      <c r="H10410" s="1" t="s">
        <v>44</v>
      </c>
      <c r="I10410" s="17">
        <v>42028</v>
      </c>
    </row>
    <row r="10411" spans="1:9">
      <c r="A10411" s="16" t="s">
        <v>10155</v>
      </c>
      <c r="B10411" s="1" t="s">
        <v>2628</v>
      </c>
      <c r="C10411" s="1">
        <v>9</v>
      </c>
      <c r="D10411" s="1" t="s">
        <v>19</v>
      </c>
      <c r="E10411" s="1" t="s">
        <v>6</v>
      </c>
      <c r="F10411" s="1" t="s">
        <v>5091</v>
      </c>
      <c r="G10411" s="14" t="s">
        <v>6307</v>
      </c>
      <c r="H10411" s="1" t="s">
        <v>44</v>
      </c>
      <c r="I10411" s="17">
        <v>42028</v>
      </c>
    </row>
    <row r="10412" spans="1:9">
      <c r="A10412" s="16" t="s">
        <v>10156</v>
      </c>
      <c r="B10412" s="1" t="s">
        <v>2628</v>
      </c>
      <c r="C10412" s="1">
        <v>9</v>
      </c>
      <c r="D10412" s="1" t="s">
        <v>19</v>
      </c>
      <c r="E10412" s="1" t="s">
        <v>6</v>
      </c>
      <c r="F10412" s="1" t="s">
        <v>5091</v>
      </c>
      <c r="G10412" s="14" t="s">
        <v>6307</v>
      </c>
      <c r="H10412" s="1" t="s">
        <v>44</v>
      </c>
      <c r="I10412" s="17">
        <v>42028</v>
      </c>
    </row>
    <row r="10413" spans="1:9">
      <c r="A10413" s="16" t="s">
        <v>10160</v>
      </c>
      <c r="B10413" s="1" t="s">
        <v>2628</v>
      </c>
      <c r="C10413" s="1">
        <v>9</v>
      </c>
      <c r="D10413" s="1" t="s">
        <v>19</v>
      </c>
      <c r="E10413" s="1" t="s">
        <v>6</v>
      </c>
      <c r="F10413" s="1" t="s">
        <v>5091</v>
      </c>
      <c r="G10413" s="14" t="s">
        <v>6307</v>
      </c>
      <c r="H10413" s="1" t="s">
        <v>44</v>
      </c>
      <c r="I10413" s="17">
        <v>42028</v>
      </c>
    </row>
    <row r="10414" spans="1:9">
      <c r="A10414" s="16" t="s">
        <v>10161</v>
      </c>
      <c r="B10414" s="1" t="s">
        <v>2628</v>
      </c>
      <c r="C10414" s="1">
        <v>9</v>
      </c>
      <c r="D10414" s="1" t="s">
        <v>19</v>
      </c>
      <c r="E10414" s="1" t="s">
        <v>6</v>
      </c>
      <c r="F10414" s="1" t="s">
        <v>5091</v>
      </c>
      <c r="G10414" s="14" t="s">
        <v>6307</v>
      </c>
      <c r="H10414" s="1" t="s">
        <v>44</v>
      </c>
      <c r="I10414" s="17">
        <v>42028</v>
      </c>
    </row>
    <row r="10415" spans="1:9">
      <c r="A10415" s="16" t="s">
        <v>10162</v>
      </c>
      <c r="B10415" s="1" t="s">
        <v>2628</v>
      </c>
      <c r="C10415" s="1">
        <v>9</v>
      </c>
      <c r="D10415" s="1" t="s">
        <v>19</v>
      </c>
      <c r="E10415" s="1" t="s">
        <v>6</v>
      </c>
      <c r="F10415" s="1" t="s">
        <v>5091</v>
      </c>
      <c r="G10415" s="14" t="s">
        <v>6307</v>
      </c>
      <c r="H10415" s="1" t="s">
        <v>44</v>
      </c>
      <c r="I10415" s="17">
        <v>42028</v>
      </c>
    </row>
    <row r="10416" spans="1:9">
      <c r="A10416" s="16" t="s">
        <v>10163</v>
      </c>
      <c r="B10416" s="1" t="s">
        <v>2628</v>
      </c>
      <c r="C10416" s="1">
        <v>9</v>
      </c>
      <c r="D10416" s="1" t="s">
        <v>19</v>
      </c>
      <c r="E10416" s="1" t="s">
        <v>6</v>
      </c>
      <c r="F10416" s="1" t="s">
        <v>5091</v>
      </c>
      <c r="G10416" s="14" t="s">
        <v>6307</v>
      </c>
      <c r="H10416" s="1" t="s">
        <v>44</v>
      </c>
      <c r="I10416" s="17">
        <v>42028</v>
      </c>
    </row>
    <row r="10417" spans="1:9">
      <c r="A10417" s="16" t="s">
        <v>10164</v>
      </c>
      <c r="B10417" s="1" t="s">
        <v>2628</v>
      </c>
      <c r="C10417" s="1">
        <v>9</v>
      </c>
      <c r="D10417" s="1" t="s">
        <v>19</v>
      </c>
      <c r="E10417" s="1" t="s">
        <v>6</v>
      </c>
      <c r="F10417" s="1" t="s">
        <v>5091</v>
      </c>
      <c r="G10417" s="14" t="s">
        <v>6307</v>
      </c>
      <c r="H10417" s="1" t="s">
        <v>44</v>
      </c>
      <c r="I10417" s="17">
        <v>42028</v>
      </c>
    </row>
    <row r="10418" spans="1:9">
      <c r="A10418" s="16" t="s">
        <v>10165</v>
      </c>
      <c r="B10418" s="1" t="s">
        <v>2628</v>
      </c>
      <c r="C10418" s="1">
        <v>9</v>
      </c>
      <c r="D10418" s="1" t="s">
        <v>19</v>
      </c>
      <c r="E10418" s="1" t="s">
        <v>6</v>
      </c>
      <c r="F10418" s="1" t="s">
        <v>5091</v>
      </c>
      <c r="G10418" s="14" t="s">
        <v>6307</v>
      </c>
      <c r="H10418" s="1" t="s">
        <v>44</v>
      </c>
      <c r="I10418" s="17">
        <v>42028</v>
      </c>
    </row>
    <row r="10419" spans="1:9">
      <c r="A10419" s="16" t="s">
        <v>10166</v>
      </c>
      <c r="B10419" s="1" t="s">
        <v>2628</v>
      </c>
      <c r="C10419" s="1">
        <v>9</v>
      </c>
      <c r="D10419" s="1" t="s">
        <v>19</v>
      </c>
      <c r="E10419" s="1" t="s">
        <v>6</v>
      </c>
      <c r="F10419" s="1" t="s">
        <v>5091</v>
      </c>
      <c r="G10419" s="14" t="s">
        <v>6307</v>
      </c>
      <c r="H10419" s="1" t="s">
        <v>44</v>
      </c>
      <c r="I10419" s="17">
        <v>42028</v>
      </c>
    </row>
    <row r="10420" spans="1:9">
      <c r="A10420" s="16" t="s">
        <v>10167</v>
      </c>
      <c r="B10420" s="1" t="s">
        <v>2628</v>
      </c>
      <c r="C10420" s="1">
        <v>9</v>
      </c>
      <c r="D10420" s="1" t="s">
        <v>19</v>
      </c>
      <c r="E10420" s="1" t="s">
        <v>6</v>
      </c>
      <c r="F10420" s="1" t="s">
        <v>5091</v>
      </c>
      <c r="G10420" s="14" t="s">
        <v>6307</v>
      </c>
      <c r="H10420" s="1" t="s">
        <v>44</v>
      </c>
      <c r="I10420" s="17">
        <v>42028</v>
      </c>
    </row>
    <row r="10421" spans="1:9">
      <c r="A10421" s="16" t="s">
        <v>10168</v>
      </c>
      <c r="B10421" s="1" t="s">
        <v>2628</v>
      </c>
      <c r="C10421" s="1">
        <v>9</v>
      </c>
      <c r="D10421" s="1" t="s">
        <v>19</v>
      </c>
      <c r="E10421" s="1" t="s">
        <v>6</v>
      </c>
      <c r="F10421" s="1" t="s">
        <v>5091</v>
      </c>
      <c r="G10421" s="14" t="s">
        <v>6307</v>
      </c>
      <c r="H10421" s="1" t="s">
        <v>44</v>
      </c>
      <c r="I10421" s="17">
        <v>42028</v>
      </c>
    </row>
    <row r="10422" spans="1:9">
      <c r="A10422" s="16" t="s">
        <v>10169</v>
      </c>
      <c r="B10422" s="1" t="s">
        <v>2628</v>
      </c>
      <c r="C10422" s="1">
        <v>9</v>
      </c>
      <c r="D10422" s="1" t="s">
        <v>19</v>
      </c>
      <c r="E10422" s="1" t="s">
        <v>6</v>
      </c>
      <c r="F10422" s="1" t="s">
        <v>5091</v>
      </c>
      <c r="G10422" s="14" t="s">
        <v>6307</v>
      </c>
      <c r="H10422" s="1" t="s">
        <v>44</v>
      </c>
      <c r="I10422" s="17">
        <v>42028</v>
      </c>
    </row>
    <row r="10423" spans="1:9">
      <c r="A10423" s="16" t="s">
        <v>10170</v>
      </c>
      <c r="B10423" s="1" t="s">
        <v>2628</v>
      </c>
      <c r="C10423" s="1">
        <v>9</v>
      </c>
      <c r="D10423" s="1" t="s">
        <v>19</v>
      </c>
      <c r="E10423" s="1" t="s">
        <v>6</v>
      </c>
      <c r="F10423" s="1" t="s">
        <v>5091</v>
      </c>
      <c r="G10423" s="14" t="s">
        <v>6307</v>
      </c>
      <c r="H10423" s="1" t="s">
        <v>44</v>
      </c>
      <c r="I10423" s="17">
        <v>42028</v>
      </c>
    </row>
    <row r="10424" spans="1:9">
      <c r="A10424" s="16" t="s">
        <v>10171</v>
      </c>
      <c r="B10424" s="1" t="s">
        <v>2628</v>
      </c>
      <c r="C10424" s="1">
        <v>9</v>
      </c>
      <c r="D10424" s="1" t="s">
        <v>19</v>
      </c>
      <c r="E10424" s="1" t="s">
        <v>6</v>
      </c>
      <c r="F10424" s="1" t="s">
        <v>5091</v>
      </c>
      <c r="G10424" s="14" t="s">
        <v>6307</v>
      </c>
      <c r="H10424" s="1" t="s">
        <v>44</v>
      </c>
      <c r="I10424" s="17">
        <v>42028</v>
      </c>
    </row>
    <row r="10425" spans="1:9">
      <c r="A10425" s="16" t="s">
        <v>10172</v>
      </c>
      <c r="B10425" s="1" t="s">
        <v>2628</v>
      </c>
      <c r="C10425" s="1">
        <v>9</v>
      </c>
      <c r="D10425" s="1" t="s">
        <v>19</v>
      </c>
      <c r="E10425" s="1" t="s">
        <v>6</v>
      </c>
      <c r="F10425" s="1" t="s">
        <v>5091</v>
      </c>
      <c r="G10425" s="14" t="s">
        <v>6307</v>
      </c>
      <c r="H10425" s="1" t="s">
        <v>44</v>
      </c>
      <c r="I10425" s="17">
        <v>42028</v>
      </c>
    </row>
    <row r="10426" spans="1:9">
      <c r="A10426" s="16" t="s">
        <v>10173</v>
      </c>
      <c r="B10426" s="1" t="s">
        <v>2628</v>
      </c>
      <c r="C10426" s="1">
        <v>9</v>
      </c>
      <c r="D10426" s="1" t="s">
        <v>19</v>
      </c>
      <c r="E10426" s="1" t="s">
        <v>6</v>
      </c>
      <c r="F10426" s="1" t="s">
        <v>5091</v>
      </c>
      <c r="G10426" s="14" t="s">
        <v>6307</v>
      </c>
      <c r="H10426" s="1" t="s">
        <v>44</v>
      </c>
      <c r="I10426" s="17">
        <v>42028</v>
      </c>
    </row>
    <row r="10427" spans="1:9">
      <c r="A10427" s="16" t="s">
        <v>10174</v>
      </c>
      <c r="B10427" s="1" t="s">
        <v>2628</v>
      </c>
      <c r="C10427" s="1">
        <v>9</v>
      </c>
      <c r="D10427" s="1" t="s">
        <v>19</v>
      </c>
      <c r="E10427" s="1" t="s">
        <v>6</v>
      </c>
      <c r="F10427" s="1" t="s">
        <v>5091</v>
      </c>
      <c r="G10427" s="14" t="s">
        <v>6307</v>
      </c>
      <c r="H10427" s="1" t="s">
        <v>44</v>
      </c>
      <c r="I10427" s="17">
        <v>42028</v>
      </c>
    </row>
    <row r="10428" spans="1:9">
      <c r="A10428" s="16" t="s">
        <v>10175</v>
      </c>
      <c r="B10428" s="1" t="s">
        <v>2628</v>
      </c>
      <c r="C10428" s="1">
        <v>9</v>
      </c>
      <c r="D10428" s="1" t="s">
        <v>19</v>
      </c>
      <c r="E10428" s="1" t="s">
        <v>6</v>
      </c>
      <c r="F10428" s="1" t="s">
        <v>5091</v>
      </c>
      <c r="G10428" s="14" t="s">
        <v>6307</v>
      </c>
      <c r="H10428" s="1" t="s">
        <v>44</v>
      </c>
      <c r="I10428" s="17">
        <v>42028</v>
      </c>
    </row>
    <row r="10429" spans="1:9">
      <c r="A10429" s="16" t="s">
        <v>10176</v>
      </c>
      <c r="B10429" s="1" t="s">
        <v>2628</v>
      </c>
      <c r="C10429" s="1">
        <v>9</v>
      </c>
      <c r="D10429" s="1" t="s">
        <v>19</v>
      </c>
      <c r="E10429" s="1" t="s">
        <v>6</v>
      </c>
      <c r="F10429" s="1" t="s">
        <v>5091</v>
      </c>
      <c r="G10429" s="14" t="s">
        <v>6307</v>
      </c>
      <c r="H10429" s="1" t="s">
        <v>44</v>
      </c>
      <c r="I10429" s="17">
        <v>42028</v>
      </c>
    </row>
    <row r="10430" spans="1:9">
      <c r="A10430" s="16" t="s">
        <v>10177</v>
      </c>
      <c r="B10430" s="1" t="s">
        <v>2628</v>
      </c>
      <c r="C10430" s="1">
        <v>9</v>
      </c>
      <c r="D10430" s="1" t="s">
        <v>19</v>
      </c>
      <c r="E10430" s="1" t="s">
        <v>6</v>
      </c>
      <c r="F10430" s="1" t="s">
        <v>5091</v>
      </c>
      <c r="G10430" s="14" t="s">
        <v>6307</v>
      </c>
      <c r="H10430" s="1" t="s">
        <v>44</v>
      </c>
      <c r="I10430" s="17">
        <v>42028</v>
      </c>
    </row>
    <row r="10431" spans="1:9">
      <c r="A10431" s="16" t="s">
        <v>10178</v>
      </c>
      <c r="B10431" s="1" t="s">
        <v>2628</v>
      </c>
      <c r="C10431" s="1">
        <v>9</v>
      </c>
      <c r="D10431" s="1" t="s">
        <v>19</v>
      </c>
      <c r="E10431" s="1" t="s">
        <v>6</v>
      </c>
      <c r="F10431" s="1" t="s">
        <v>5091</v>
      </c>
      <c r="G10431" s="14" t="s">
        <v>6307</v>
      </c>
      <c r="H10431" s="1" t="s">
        <v>44</v>
      </c>
      <c r="I10431" s="17">
        <v>42028</v>
      </c>
    </row>
    <row r="10432" spans="1:9">
      <c r="A10432" s="16" t="s">
        <v>10179</v>
      </c>
      <c r="B10432" s="1" t="s">
        <v>2628</v>
      </c>
      <c r="C10432" s="1">
        <v>9</v>
      </c>
      <c r="D10432" s="1" t="s">
        <v>19</v>
      </c>
      <c r="E10432" s="1" t="s">
        <v>6</v>
      </c>
      <c r="F10432" s="1" t="s">
        <v>5091</v>
      </c>
      <c r="G10432" s="14" t="s">
        <v>6307</v>
      </c>
      <c r="H10432" s="1" t="s">
        <v>44</v>
      </c>
      <c r="I10432" s="17">
        <v>42028</v>
      </c>
    </row>
    <row r="10433" spans="1:9" ht="31.2">
      <c r="A10433" s="16" t="s">
        <v>10200</v>
      </c>
      <c r="B10433" s="1" t="s">
        <v>2628</v>
      </c>
      <c r="C10433" s="1">
        <v>9</v>
      </c>
      <c r="D10433" s="1" t="s">
        <v>19</v>
      </c>
      <c r="E10433" s="1" t="s">
        <v>6</v>
      </c>
      <c r="F10433" s="1" t="s">
        <v>36</v>
      </c>
      <c r="G10433" s="14" t="s">
        <v>10201</v>
      </c>
      <c r="H10433" s="1" t="s">
        <v>5</v>
      </c>
      <c r="I10433" s="17">
        <v>39814</v>
      </c>
    </row>
    <row r="10434" spans="1:9">
      <c r="A10434" s="16" t="s">
        <v>10213</v>
      </c>
      <c r="B10434" s="1" t="s">
        <v>2628</v>
      </c>
      <c r="C10434" s="1">
        <v>9</v>
      </c>
      <c r="D10434" s="1" t="s">
        <v>19</v>
      </c>
      <c r="E10434" s="1" t="s">
        <v>6</v>
      </c>
      <c r="F10434" s="1" t="s">
        <v>5091</v>
      </c>
      <c r="G10434" s="14" t="s">
        <v>6307</v>
      </c>
      <c r="H10434" s="1" t="s">
        <v>44</v>
      </c>
      <c r="I10434" s="17">
        <v>42028</v>
      </c>
    </row>
    <row r="10435" spans="1:9">
      <c r="A10435" s="16" t="s">
        <v>10214</v>
      </c>
      <c r="B10435" s="1" t="s">
        <v>2628</v>
      </c>
      <c r="C10435" s="1">
        <v>9</v>
      </c>
      <c r="D10435" s="1" t="s">
        <v>19</v>
      </c>
      <c r="E10435" s="1" t="s">
        <v>6</v>
      </c>
      <c r="F10435" s="1" t="s">
        <v>5091</v>
      </c>
      <c r="G10435" s="14" t="s">
        <v>6307</v>
      </c>
      <c r="H10435" s="1" t="s">
        <v>44</v>
      </c>
      <c r="I10435" s="17">
        <v>42028</v>
      </c>
    </row>
    <row r="10436" spans="1:9">
      <c r="A10436" s="16" t="s">
        <v>10215</v>
      </c>
      <c r="B10436" s="1" t="s">
        <v>2628</v>
      </c>
      <c r="C10436" s="1">
        <v>9</v>
      </c>
      <c r="D10436" s="1" t="s">
        <v>19</v>
      </c>
      <c r="E10436" s="1" t="s">
        <v>6</v>
      </c>
      <c r="F10436" s="1" t="s">
        <v>5091</v>
      </c>
      <c r="G10436" s="14" t="s">
        <v>6307</v>
      </c>
      <c r="H10436" s="1" t="s">
        <v>44</v>
      </c>
      <c r="I10436" s="17">
        <v>42028</v>
      </c>
    </row>
    <row r="10437" spans="1:9">
      <c r="A10437" s="16" t="s">
        <v>10216</v>
      </c>
      <c r="B10437" s="1" t="s">
        <v>2628</v>
      </c>
      <c r="C10437" s="1">
        <v>9</v>
      </c>
      <c r="D10437" s="1" t="s">
        <v>19</v>
      </c>
      <c r="E10437" s="1" t="s">
        <v>6</v>
      </c>
      <c r="F10437" s="1" t="s">
        <v>5091</v>
      </c>
      <c r="G10437" s="14" t="s">
        <v>6307</v>
      </c>
      <c r="H10437" s="1" t="s">
        <v>44</v>
      </c>
      <c r="I10437" s="17">
        <v>42028</v>
      </c>
    </row>
    <row r="10438" spans="1:9">
      <c r="A10438" s="16" t="s">
        <v>10217</v>
      </c>
      <c r="B10438" s="1" t="s">
        <v>2628</v>
      </c>
      <c r="C10438" s="1">
        <v>9</v>
      </c>
      <c r="D10438" s="1" t="s">
        <v>19</v>
      </c>
      <c r="E10438" s="1" t="s">
        <v>6</v>
      </c>
      <c r="F10438" s="1" t="s">
        <v>5091</v>
      </c>
      <c r="G10438" s="14" t="s">
        <v>6307</v>
      </c>
      <c r="H10438" s="1" t="s">
        <v>44</v>
      </c>
      <c r="I10438" s="17">
        <v>42028</v>
      </c>
    </row>
    <row r="10439" spans="1:9">
      <c r="A10439" s="16" t="s">
        <v>10218</v>
      </c>
      <c r="B10439" s="1" t="s">
        <v>2628</v>
      </c>
      <c r="C10439" s="1">
        <v>9</v>
      </c>
      <c r="D10439" s="1" t="s">
        <v>19</v>
      </c>
      <c r="E10439" s="1" t="s">
        <v>6</v>
      </c>
      <c r="F10439" s="1" t="s">
        <v>5091</v>
      </c>
      <c r="G10439" s="14" t="s">
        <v>6307</v>
      </c>
      <c r="H10439" s="1" t="s">
        <v>44</v>
      </c>
      <c r="I10439" s="17">
        <v>42028</v>
      </c>
    </row>
    <row r="10440" spans="1:9">
      <c r="A10440" s="16" t="s">
        <v>10219</v>
      </c>
      <c r="B10440" s="1" t="s">
        <v>2628</v>
      </c>
      <c r="C10440" s="1">
        <v>9</v>
      </c>
      <c r="D10440" s="1" t="s">
        <v>19</v>
      </c>
      <c r="E10440" s="1" t="s">
        <v>6</v>
      </c>
      <c r="F10440" s="1" t="s">
        <v>5091</v>
      </c>
      <c r="G10440" s="14" t="s">
        <v>6307</v>
      </c>
      <c r="H10440" s="1" t="s">
        <v>44</v>
      </c>
      <c r="I10440" s="17">
        <v>42028</v>
      </c>
    </row>
    <row r="10441" spans="1:9">
      <c r="A10441" s="16" t="s">
        <v>10220</v>
      </c>
      <c r="B10441" s="1" t="s">
        <v>2628</v>
      </c>
      <c r="C10441" s="1">
        <v>9</v>
      </c>
      <c r="D10441" s="1" t="s">
        <v>19</v>
      </c>
      <c r="E10441" s="1" t="s">
        <v>6</v>
      </c>
      <c r="F10441" s="1" t="s">
        <v>5091</v>
      </c>
      <c r="G10441" s="14" t="s">
        <v>6307</v>
      </c>
      <c r="H10441" s="1" t="s">
        <v>44</v>
      </c>
      <c r="I10441" s="17">
        <v>42028</v>
      </c>
    </row>
    <row r="10442" spans="1:9">
      <c r="A10442" s="16" t="s">
        <v>10221</v>
      </c>
      <c r="B10442" s="1" t="s">
        <v>2628</v>
      </c>
      <c r="C10442" s="1">
        <v>9</v>
      </c>
      <c r="D10442" s="1" t="s">
        <v>19</v>
      </c>
      <c r="E10442" s="1" t="s">
        <v>6</v>
      </c>
      <c r="F10442" s="1" t="s">
        <v>5091</v>
      </c>
      <c r="G10442" s="14" t="s">
        <v>6307</v>
      </c>
      <c r="H10442" s="1" t="s">
        <v>44</v>
      </c>
      <c r="I10442" s="17">
        <v>42028</v>
      </c>
    </row>
    <row r="10443" spans="1:9">
      <c r="A10443" s="16" t="s">
        <v>10222</v>
      </c>
      <c r="B10443" s="1" t="s">
        <v>2628</v>
      </c>
      <c r="C10443" s="1">
        <v>9</v>
      </c>
      <c r="D10443" s="1" t="s">
        <v>19</v>
      </c>
      <c r="E10443" s="1" t="s">
        <v>6</v>
      </c>
      <c r="F10443" s="1" t="s">
        <v>5091</v>
      </c>
      <c r="G10443" s="14" t="s">
        <v>6307</v>
      </c>
      <c r="H10443" s="1" t="s">
        <v>44</v>
      </c>
      <c r="I10443" s="17">
        <v>42028</v>
      </c>
    </row>
    <row r="10444" spans="1:9">
      <c r="A10444" s="16" t="s">
        <v>10223</v>
      </c>
      <c r="B10444" s="1" t="s">
        <v>2628</v>
      </c>
      <c r="C10444" s="1">
        <v>9</v>
      </c>
      <c r="D10444" s="1" t="s">
        <v>19</v>
      </c>
      <c r="E10444" s="1" t="s">
        <v>6</v>
      </c>
      <c r="F10444" s="1" t="s">
        <v>5091</v>
      </c>
      <c r="G10444" s="14" t="s">
        <v>6307</v>
      </c>
      <c r="H10444" s="1" t="s">
        <v>44</v>
      </c>
      <c r="I10444" s="17">
        <v>42028</v>
      </c>
    </row>
    <row r="10445" spans="1:9">
      <c r="A10445" s="16" t="s">
        <v>10224</v>
      </c>
      <c r="B10445" s="1" t="s">
        <v>2628</v>
      </c>
      <c r="C10445" s="1">
        <v>9</v>
      </c>
      <c r="D10445" s="1" t="s">
        <v>19</v>
      </c>
      <c r="E10445" s="1" t="s">
        <v>6</v>
      </c>
      <c r="F10445" s="1" t="s">
        <v>5091</v>
      </c>
      <c r="G10445" s="14" t="s">
        <v>6307</v>
      </c>
      <c r="H10445" s="1" t="s">
        <v>44</v>
      </c>
      <c r="I10445" s="17">
        <v>42028</v>
      </c>
    </row>
    <row r="10446" spans="1:9">
      <c r="A10446" s="16" t="s">
        <v>10225</v>
      </c>
      <c r="B10446" s="1" t="s">
        <v>2628</v>
      </c>
      <c r="C10446" s="1">
        <v>9</v>
      </c>
      <c r="D10446" s="1" t="s">
        <v>19</v>
      </c>
      <c r="E10446" s="1" t="s">
        <v>6</v>
      </c>
      <c r="F10446" s="1" t="s">
        <v>5091</v>
      </c>
      <c r="G10446" s="14" t="s">
        <v>6307</v>
      </c>
      <c r="H10446" s="1" t="s">
        <v>44</v>
      </c>
      <c r="I10446" s="17">
        <v>42028</v>
      </c>
    </row>
    <row r="10447" spans="1:9">
      <c r="A10447" s="16" t="s">
        <v>10226</v>
      </c>
      <c r="B10447" s="1" t="s">
        <v>2628</v>
      </c>
      <c r="C10447" s="1">
        <v>9</v>
      </c>
      <c r="D10447" s="1" t="s">
        <v>19</v>
      </c>
      <c r="E10447" s="1" t="s">
        <v>6</v>
      </c>
      <c r="F10447" s="1" t="s">
        <v>5091</v>
      </c>
      <c r="G10447" s="14" t="s">
        <v>6307</v>
      </c>
      <c r="H10447" s="1" t="s">
        <v>44</v>
      </c>
      <c r="I10447" s="17">
        <v>42028</v>
      </c>
    </row>
    <row r="10448" spans="1:9">
      <c r="A10448" s="16" t="s">
        <v>10227</v>
      </c>
      <c r="B10448" s="1" t="s">
        <v>2628</v>
      </c>
      <c r="C10448" s="1">
        <v>9</v>
      </c>
      <c r="D10448" s="1" t="s">
        <v>19</v>
      </c>
      <c r="E10448" s="1" t="s">
        <v>6</v>
      </c>
      <c r="F10448" s="1" t="s">
        <v>5091</v>
      </c>
      <c r="G10448" s="14" t="s">
        <v>6307</v>
      </c>
      <c r="H10448" s="1" t="s">
        <v>44</v>
      </c>
      <c r="I10448" s="17">
        <v>42028</v>
      </c>
    </row>
    <row r="10449" spans="1:9">
      <c r="A10449" s="16" t="s">
        <v>10228</v>
      </c>
      <c r="B10449" s="1" t="s">
        <v>2628</v>
      </c>
      <c r="C10449" s="1">
        <v>9</v>
      </c>
      <c r="D10449" s="1" t="s">
        <v>19</v>
      </c>
      <c r="E10449" s="1" t="s">
        <v>6</v>
      </c>
      <c r="F10449" s="1" t="s">
        <v>5091</v>
      </c>
      <c r="G10449" s="14" t="s">
        <v>6307</v>
      </c>
      <c r="H10449" s="1" t="s">
        <v>44</v>
      </c>
      <c r="I10449" s="17">
        <v>42028</v>
      </c>
    </row>
    <row r="10450" spans="1:9">
      <c r="A10450" s="16" t="s">
        <v>10229</v>
      </c>
      <c r="B10450" s="1" t="s">
        <v>2628</v>
      </c>
      <c r="C10450" s="1">
        <v>9</v>
      </c>
      <c r="D10450" s="1" t="s">
        <v>19</v>
      </c>
      <c r="E10450" s="1" t="s">
        <v>6</v>
      </c>
      <c r="F10450" s="1" t="s">
        <v>5091</v>
      </c>
      <c r="G10450" s="14" t="s">
        <v>6307</v>
      </c>
      <c r="H10450" s="1" t="s">
        <v>44</v>
      </c>
      <c r="I10450" s="17">
        <v>42028</v>
      </c>
    </row>
    <row r="10451" spans="1:9">
      <c r="A10451" s="16" t="s">
        <v>10295</v>
      </c>
      <c r="B10451" s="1" t="s">
        <v>2628</v>
      </c>
      <c r="C10451" s="1">
        <v>9</v>
      </c>
      <c r="D10451" s="1" t="s">
        <v>19</v>
      </c>
      <c r="E10451" s="1" t="s">
        <v>6</v>
      </c>
      <c r="F10451" s="1" t="s">
        <v>5091</v>
      </c>
      <c r="G10451" s="14" t="s">
        <v>6307</v>
      </c>
      <c r="H10451" s="1" t="s">
        <v>44</v>
      </c>
      <c r="I10451" s="17">
        <v>42051</v>
      </c>
    </row>
    <row r="10452" spans="1:9">
      <c r="A10452" s="7" t="s">
        <v>10302</v>
      </c>
      <c r="B10452" s="1" t="s">
        <v>2630</v>
      </c>
      <c r="C10452" s="1">
        <v>35</v>
      </c>
      <c r="D10452" s="1" t="s">
        <v>19</v>
      </c>
      <c r="E10452" s="1" t="s">
        <v>6</v>
      </c>
      <c r="F10452" s="1" t="s">
        <v>5091</v>
      </c>
      <c r="G10452" s="1" t="s">
        <v>6145</v>
      </c>
      <c r="H10452" s="1" t="s">
        <v>43</v>
      </c>
      <c r="I10452" s="1">
        <v>2015</v>
      </c>
    </row>
    <row r="10453" spans="1:9">
      <c r="A10453" s="16" t="s">
        <v>10330</v>
      </c>
      <c r="B10453" s="1" t="s">
        <v>2628</v>
      </c>
      <c r="C10453" s="1">
        <v>9</v>
      </c>
      <c r="D10453" s="1" t="s">
        <v>19</v>
      </c>
      <c r="E10453" s="1" t="s">
        <v>6</v>
      </c>
      <c r="F10453" s="1" t="s">
        <v>5091</v>
      </c>
      <c r="G10453" s="14" t="s">
        <v>10053</v>
      </c>
      <c r="H10453" s="1" t="s">
        <v>43</v>
      </c>
      <c r="I10453" s="17">
        <v>40951</v>
      </c>
    </row>
    <row r="10454" spans="1:9">
      <c r="A10454" s="16" t="s">
        <v>10331</v>
      </c>
      <c r="B10454" s="1" t="s">
        <v>2628</v>
      </c>
      <c r="C10454" s="1">
        <v>9</v>
      </c>
      <c r="D10454" s="1" t="s">
        <v>19</v>
      </c>
      <c r="E10454" s="1" t="s">
        <v>6</v>
      </c>
      <c r="F10454" s="1" t="s">
        <v>5091</v>
      </c>
      <c r="G10454" s="14" t="s">
        <v>10053</v>
      </c>
      <c r="H10454" s="1" t="s">
        <v>43</v>
      </c>
      <c r="I10454" s="17">
        <v>40962</v>
      </c>
    </row>
    <row r="10455" spans="1:9">
      <c r="A10455" s="16" t="s">
        <v>10334</v>
      </c>
      <c r="B10455" s="1" t="s">
        <v>2628</v>
      </c>
      <c r="C10455" s="1">
        <v>9</v>
      </c>
      <c r="D10455" s="1" t="s">
        <v>19</v>
      </c>
      <c r="E10455" s="1" t="s">
        <v>6</v>
      </c>
      <c r="F10455" s="1" t="s">
        <v>5091</v>
      </c>
      <c r="G10455" s="14" t="s">
        <v>10053</v>
      </c>
      <c r="H10455" s="1" t="s">
        <v>43</v>
      </c>
      <c r="I10455" s="17">
        <v>40951</v>
      </c>
    </row>
    <row r="10456" spans="1:9">
      <c r="A10456" s="16" t="s">
        <v>10335</v>
      </c>
      <c r="B10456" s="1" t="s">
        <v>2628</v>
      </c>
      <c r="C10456" s="1">
        <v>9</v>
      </c>
      <c r="D10456" s="1" t="s">
        <v>19</v>
      </c>
      <c r="E10456" s="1" t="s">
        <v>6</v>
      </c>
      <c r="F10456" s="1" t="s">
        <v>5091</v>
      </c>
      <c r="G10456" s="14" t="s">
        <v>10053</v>
      </c>
      <c r="H10456" s="1" t="s">
        <v>43</v>
      </c>
      <c r="I10456" s="17">
        <v>40962</v>
      </c>
    </row>
    <row r="10457" spans="1:9">
      <c r="A10457" s="16" t="s">
        <v>10337</v>
      </c>
      <c r="B10457" s="1" t="s">
        <v>2628</v>
      </c>
      <c r="C10457" s="1">
        <v>9</v>
      </c>
      <c r="D10457" s="1" t="s">
        <v>19</v>
      </c>
      <c r="E10457" s="1" t="s">
        <v>6</v>
      </c>
      <c r="F10457" s="1" t="s">
        <v>5091</v>
      </c>
      <c r="G10457" s="14" t="s">
        <v>10053</v>
      </c>
      <c r="H10457" s="1" t="s">
        <v>43</v>
      </c>
      <c r="I10457" s="17">
        <v>40951</v>
      </c>
    </row>
    <row r="10458" spans="1:9" ht="31.2">
      <c r="A10458" s="16" t="s">
        <v>10369</v>
      </c>
      <c r="B10458" s="1" t="s">
        <v>2631</v>
      </c>
      <c r="C10458" s="1">
        <v>9</v>
      </c>
      <c r="D10458" s="1" t="s">
        <v>19</v>
      </c>
      <c r="E10458" s="1" t="s">
        <v>6</v>
      </c>
      <c r="F10458" s="1" t="s">
        <v>139</v>
      </c>
      <c r="G10458" s="1" t="s">
        <v>10370</v>
      </c>
      <c r="H10458" s="1" t="s">
        <v>5</v>
      </c>
      <c r="I10458" s="17">
        <v>37622</v>
      </c>
    </row>
    <row r="10459" spans="1:9">
      <c r="A10459" s="16" t="s">
        <v>10496</v>
      </c>
      <c r="B10459" s="1" t="s">
        <v>2631</v>
      </c>
      <c r="C10459" s="1">
        <v>9</v>
      </c>
      <c r="D10459" s="1" t="s">
        <v>19</v>
      </c>
      <c r="E10459" s="1" t="s">
        <v>6</v>
      </c>
      <c r="F10459" s="1" t="s">
        <v>139</v>
      </c>
      <c r="G10459" s="1" t="s">
        <v>2387</v>
      </c>
      <c r="H10459" s="1" t="s">
        <v>5</v>
      </c>
      <c r="I10459" s="17">
        <v>40817</v>
      </c>
    </row>
    <row r="10460" spans="1:9">
      <c r="A10460" s="16" t="s">
        <v>10498</v>
      </c>
      <c r="B10460" s="1" t="s">
        <v>2631</v>
      </c>
      <c r="C10460" s="1">
        <v>9</v>
      </c>
      <c r="D10460" s="1" t="s">
        <v>19</v>
      </c>
      <c r="E10460" s="1" t="s">
        <v>6</v>
      </c>
      <c r="F10460" s="1" t="s">
        <v>139</v>
      </c>
      <c r="G10460" s="1" t="s">
        <v>2552</v>
      </c>
      <c r="H10460" s="1" t="s">
        <v>5</v>
      </c>
      <c r="I10460" s="17">
        <v>40575</v>
      </c>
    </row>
    <row r="10461" spans="1:9">
      <c r="A10461" s="16" t="s">
        <v>10499</v>
      </c>
      <c r="B10461" s="1" t="s">
        <v>2631</v>
      </c>
      <c r="C10461" s="1">
        <v>9</v>
      </c>
      <c r="D10461" s="1" t="s">
        <v>19</v>
      </c>
      <c r="E10461" s="1" t="s">
        <v>6</v>
      </c>
      <c r="F10461" s="1" t="s">
        <v>139</v>
      </c>
      <c r="G10461" s="1" t="s">
        <v>2552</v>
      </c>
      <c r="H10461" s="1" t="s">
        <v>5</v>
      </c>
      <c r="I10461" s="17">
        <v>40603</v>
      </c>
    </row>
    <row r="10462" spans="1:9">
      <c r="A10462" s="16" t="s">
        <v>10500</v>
      </c>
      <c r="B10462" s="1" t="s">
        <v>2631</v>
      </c>
      <c r="C10462" s="1">
        <v>9</v>
      </c>
      <c r="D10462" s="1" t="s">
        <v>19</v>
      </c>
      <c r="E10462" s="1" t="s">
        <v>6</v>
      </c>
      <c r="F10462" s="1" t="s">
        <v>139</v>
      </c>
      <c r="G10462" s="1" t="s">
        <v>2552</v>
      </c>
      <c r="H10462" s="1" t="s">
        <v>5</v>
      </c>
      <c r="I10462" s="17">
        <v>40603</v>
      </c>
    </row>
    <row r="10463" spans="1:9">
      <c r="A10463" s="16" t="s">
        <v>10501</v>
      </c>
      <c r="B10463" s="1" t="s">
        <v>2631</v>
      </c>
      <c r="C10463" s="1">
        <v>9</v>
      </c>
      <c r="D10463" s="1" t="s">
        <v>19</v>
      </c>
      <c r="E10463" s="1" t="s">
        <v>6</v>
      </c>
      <c r="F10463" s="1" t="s">
        <v>139</v>
      </c>
      <c r="G10463" s="1" t="s">
        <v>2552</v>
      </c>
      <c r="H10463" s="1" t="s">
        <v>5</v>
      </c>
      <c r="I10463" s="17">
        <v>40603</v>
      </c>
    </row>
    <row r="10464" spans="1:9">
      <c r="A10464" s="16" t="s">
        <v>10502</v>
      </c>
      <c r="B10464" s="1" t="s">
        <v>2631</v>
      </c>
      <c r="C10464" s="1">
        <v>9</v>
      </c>
      <c r="D10464" s="1" t="s">
        <v>19</v>
      </c>
      <c r="E10464" s="1" t="s">
        <v>6</v>
      </c>
      <c r="F10464" s="1" t="s">
        <v>139</v>
      </c>
      <c r="G10464" s="1" t="s">
        <v>10503</v>
      </c>
      <c r="H10464" s="1" t="s">
        <v>5</v>
      </c>
      <c r="I10464" s="17">
        <v>40664</v>
      </c>
    </row>
    <row r="10465" spans="1:10">
      <c r="A10465" s="16" t="s">
        <v>10505</v>
      </c>
      <c r="B10465" s="1" t="s">
        <v>2631</v>
      </c>
      <c r="C10465" s="1">
        <v>9</v>
      </c>
      <c r="D10465" s="1" t="s">
        <v>19</v>
      </c>
      <c r="E10465" s="1" t="s">
        <v>6</v>
      </c>
      <c r="F10465" s="1" t="s">
        <v>139</v>
      </c>
      <c r="G10465" s="1" t="s">
        <v>10506</v>
      </c>
      <c r="H10465" s="1" t="s">
        <v>5</v>
      </c>
      <c r="I10465" s="17">
        <v>40725</v>
      </c>
    </row>
    <row r="10466" spans="1:10">
      <c r="A10466" s="16" t="s">
        <v>10507</v>
      </c>
      <c r="B10466" s="1" t="s">
        <v>2631</v>
      </c>
      <c r="C10466" s="1">
        <v>9</v>
      </c>
      <c r="D10466" s="1" t="s">
        <v>19</v>
      </c>
      <c r="E10466" s="1" t="s">
        <v>6</v>
      </c>
      <c r="F10466" s="1" t="s">
        <v>139</v>
      </c>
      <c r="G10466" s="1" t="s">
        <v>1475</v>
      </c>
      <c r="H10466" s="1" t="s">
        <v>5</v>
      </c>
      <c r="I10466" s="17">
        <v>40756</v>
      </c>
    </row>
    <row r="10467" spans="1:10">
      <c r="A10467" s="16" t="s">
        <v>10508</v>
      </c>
      <c r="B10467" s="1" t="s">
        <v>2631</v>
      </c>
      <c r="C10467" s="1">
        <v>9</v>
      </c>
      <c r="D10467" s="1" t="s">
        <v>19</v>
      </c>
      <c r="E10467" s="1" t="s">
        <v>6</v>
      </c>
      <c r="F10467" s="1" t="s">
        <v>139</v>
      </c>
      <c r="G10467" s="1" t="s">
        <v>10509</v>
      </c>
      <c r="H10467" s="1" t="s">
        <v>5</v>
      </c>
      <c r="I10467" s="17">
        <v>38718</v>
      </c>
    </row>
    <row r="10468" spans="1:10">
      <c r="A10468" s="16" t="s">
        <v>10537</v>
      </c>
      <c r="B10468" s="1" t="s">
        <v>2628</v>
      </c>
      <c r="C10468" s="1">
        <v>9</v>
      </c>
      <c r="D10468" s="1" t="s">
        <v>19</v>
      </c>
      <c r="E10468" s="1" t="s">
        <v>6</v>
      </c>
      <c r="F10468" s="1" t="s">
        <v>5091</v>
      </c>
      <c r="G10468" s="14" t="s">
        <v>6236</v>
      </c>
      <c r="H10468" s="1" t="s">
        <v>43</v>
      </c>
      <c r="I10468" s="17">
        <v>42370</v>
      </c>
    </row>
    <row r="10469" spans="1:10">
      <c r="A10469" s="16" t="s">
        <v>10598</v>
      </c>
      <c r="B10469" s="1" t="s">
        <v>2628</v>
      </c>
      <c r="C10469" s="1">
        <v>9</v>
      </c>
      <c r="D10469" s="1" t="s">
        <v>19</v>
      </c>
      <c r="E10469" s="1" t="s">
        <v>6</v>
      </c>
      <c r="F10469" s="1" t="s">
        <v>5091</v>
      </c>
      <c r="G10469" s="14" t="s">
        <v>10599</v>
      </c>
      <c r="H10469" s="1" t="s">
        <v>44</v>
      </c>
      <c r="I10469" s="17">
        <v>41011</v>
      </c>
    </row>
    <row r="10470" spans="1:10">
      <c r="A10470" s="16" t="s">
        <v>10600</v>
      </c>
      <c r="B10470" s="1" t="s">
        <v>2628</v>
      </c>
      <c r="C10470" s="1">
        <v>9</v>
      </c>
      <c r="D10470" s="1" t="s">
        <v>19</v>
      </c>
      <c r="E10470" s="1" t="s">
        <v>6</v>
      </c>
      <c r="F10470" s="1" t="s">
        <v>5091</v>
      </c>
      <c r="G10470" s="14" t="s">
        <v>10599</v>
      </c>
      <c r="H10470" s="1" t="s">
        <v>44</v>
      </c>
      <c r="I10470" s="17">
        <v>41015</v>
      </c>
    </row>
    <row r="10471" spans="1:10">
      <c r="A10471" s="16" t="s">
        <v>10601</v>
      </c>
      <c r="B10471" s="1" t="s">
        <v>2631</v>
      </c>
      <c r="C10471" s="1">
        <v>9</v>
      </c>
      <c r="D10471" s="1" t="s">
        <v>19</v>
      </c>
      <c r="E10471" s="1" t="s">
        <v>6</v>
      </c>
      <c r="F10471" s="1" t="s">
        <v>139</v>
      </c>
      <c r="G10471" s="1" t="s">
        <v>7919</v>
      </c>
      <c r="H10471" s="1" t="s">
        <v>5</v>
      </c>
      <c r="I10471" s="17">
        <v>40969</v>
      </c>
    </row>
    <row r="10472" spans="1:10">
      <c r="A10472" s="16" t="s">
        <v>10602</v>
      </c>
      <c r="B10472" s="1" t="s">
        <v>2631</v>
      </c>
      <c r="C10472" s="1">
        <v>9</v>
      </c>
      <c r="D10472" s="1" t="s">
        <v>19</v>
      </c>
      <c r="E10472" s="1" t="s">
        <v>6</v>
      </c>
      <c r="F10472" s="1" t="s">
        <v>139</v>
      </c>
      <c r="G10472" s="1" t="s">
        <v>10603</v>
      </c>
      <c r="H10472" s="1" t="s">
        <v>5</v>
      </c>
      <c r="I10472" s="17">
        <v>40909</v>
      </c>
      <c r="J10472" s="17"/>
    </row>
    <row r="10473" spans="1:10">
      <c r="A10473" s="16" t="s">
        <v>10604</v>
      </c>
      <c r="B10473" s="1" t="s">
        <v>2631</v>
      </c>
      <c r="C10473" s="1">
        <v>9</v>
      </c>
      <c r="D10473" s="1" t="s">
        <v>19</v>
      </c>
      <c r="E10473" s="1" t="s">
        <v>6</v>
      </c>
      <c r="F10473" s="1" t="s">
        <v>139</v>
      </c>
      <c r="G10473" s="1" t="s">
        <v>10605</v>
      </c>
      <c r="H10473" s="1" t="s">
        <v>5</v>
      </c>
      <c r="I10473" s="17">
        <v>41000</v>
      </c>
      <c r="J10473" s="17"/>
    </row>
    <row r="10474" spans="1:10">
      <c r="A10474" s="16" t="s">
        <v>10606</v>
      </c>
      <c r="B10474" s="1" t="s">
        <v>2631</v>
      </c>
      <c r="C10474" s="1">
        <v>9</v>
      </c>
      <c r="D10474" s="1" t="s">
        <v>19</v>
      </c>
      <c r="E10474" s="1" t="s">
        <v>6</v>
      </c>
      <c r="F10474" s="1" t="s">
        <v>139</v>
      </c>
      <c r="G10474" s="1" t="s">
        <v>10607</v>
      </c>
      <c r="H10474" s="1" t="s">
        <v>43</v>
      </c>
      <c r="I10474" s="17">
        <v>41030</v>
      </c>
      <c r="J10474" s="11"/>
    </row>
    <row r="10475" spans="1:10">
      <c r="A10475" s="16" t="s">
        <v>10608</v>
      </c>
      <c r="B10475" s="1" t="s">
        <v>2631</v>
      </c>
      <c r="C10475" s="1">
        <v>9</v>
      </c>
      <c r="D10475" s="1" t="s">
        <v>19</v>
      </c>
      <c r="E10475" s="1" t="s">
        <v>6</v>
      </c>
      <c r="F10475" s="1" t="s">
        <v>139</v>
      </c>
      <c r="G10475" s="1" t="s">
        <v>10607</v>
      </c>
      <c r="H10475" s="1" t="s">
        <v>43</v>
      </c>
      <c r="I10475" s="17">
        <v>41275</v>
      </c>
    </row>
    <row r="10476" spans="1:10">
      <c r="A10476" s="16" t="s">
        <v>10609</v>
      </c>
      <c r="B10476" s="1" t="s">
        <v>2631</v>
      </c>
      <c r="C10476" s="1">
        <v>9</v>
      </c>
      <c r="D10476" s="1" t="s">
        <v>19</v>
      </c>
      <c r="E10476" s="1" t="s">
        <v>6</v>
      </c>
      <c r="F10476" s="1" t="s">
        <v>139</v>
      </c>
      <c r="G10476" s="1" t="s">
        <v>10610</v>
      </c>
      <c r="H10476" s="1" t="s">
        <v>5</v>
      </c>
      <c r="I10476" s="17">
        <v>41548</v>
      </c>
    </row>
    <row r="10477" spans="1:10">
      <c r="A10477" s="16" t="s">
        <v>10613</v>
      </c>
      <c r="B10477" s="1" t="s">
        <v>2631</v>
      </c>
      <c r="C10477" s="1">
        <v>9</v>
      </c>
      <c r="D10477" s="1" t="s">
        <v>19</v>
      </c>
      <c r="E10477" s="1" t="s">
        <v>6</v>
      </c>
      <c r="F10477" s="1" t="s">
        <v>139</v>
      </c>
      <c r="G10477" s="1" t="s">
        <v>1475</v>
      </c>
      <c r="H10477" s="1" t="s">
        <v>5</v>
      </c>
      <c r="I10477" s="17">
        <v>41609</v>
      </c>
    </row>
    <row r="10478" spans="1:10">
      <c r="A10478" s="16" t="s">
        <v>10624</v>
      </c>
      <c r="B10478" s="1" t="s">
        <v>2631</v>
      </c>
      <c r="C10478" s="1">
        <v>9</v>
      </c>
      <c r="D10478" s="1" t="s">
        <v>19</v>
      </c>
      <c r="E10478" s="1" t="s">
        <v>6</v>
      </c>
      <c r="F10478" s="1" t="s">
        <v>139</v>
      </c>
      <c r="G10478" s="1" t="s">
        <v>10375</v>
      </c>
      <c r="H10478" s="1" t="s">
        <v>5</v>
      </c>
      <c r="I10478" s="17">
        <v>41548</v>
      </c>
    </row>
    <row r="10479" spans="1:10">
      <c r="A10479" s="16" t="s">
        <v>10656</v>
      </c>
      <c r="B10479" s="1" t="s">
        <v>2631</v>
      </c>
      <c r="C10479" s="1">
        <v>9</v>
      </c>
      <c r="D10479" s="1" t="s">
        <v>19</v>
      </c>
      <c r="E10479" s="1" t="s">
        <v>6</v>
      </c>
      <c r="F10479" s="1" t="s">
        <v>139</v>
      </c>
      <c r="G10479" s="1" t="s">
        <v>6145</v>
      </c>
      <c r="H10479" s="1" t="s">
        <v>43</v>
      </c>
      <c r="I10479" s="17">
        <v>40603</v>
      </c>
    </row>
    <row r="10480" spans="1:10">
      <c r="A10480" s="16" t="s">
        <v>10657</v>
      </c>
      <c r="B10480" s="1" t="s">
        <v>2631</v>
      </c>
      <c r="C10480" s="1">
        <v>9</v>
      </c>
      <c r="D10480" s="1" t="s">
        <v>19</v>
      </c>
      <c r="E10480" s="1" t="s">
        <v>6</v>
      </c>
      <c r="F10480" s="1" t="s">
        <v>139</v>
      </c>
      <c r="G10480" s="1" t="s">
        <v>7919</v>
      </c>
      <c r="H10480" s="1" t="s">
        <v>5</v>
      </c>
      <c r="I10480" s="17">
        <v>40634</v>
      </c>
    </row>
    <row r="10481" spans="1:10">
      <c r="A10481" s="16" t="s">
        <v>10658</v>
      </c>
      <c r="B10481" s="1" t="s">
        <v>2631</v>
      </c>
      <c r="C10481" s="1">
        <v>9</v>
      </c>
      <c r="D10481" s="1" t="s">
        <v>19</v>
      </c>
      <c r="E10481" s="1" t="s">
        <v>6</v>
      </c>
      <c r="F10481" s="1" t="s">
        <v>139</v>
      </c>
      <c r="G10481" s="1" t="s">
        <v>2370</v>
      </c>
      <c r="H10481" s="1" t="s">
        <v>5</v>
      </c>
      <c r="I10481" s="17">
        <v>40634</v>
      </c>
      <c r="J10481" s="17"/>
    </row>
    <row r="10482" spans="1:10">
      <c r="A10482" s="16" t="s">
        <v>10659</v>
      </c>
      <c r="B10482" s="1" t="s">
        <v>2631</v>
      </c>
      <c r="C10482" s="1">
        <v>9</v>
      </c>
      <c r="D10482" s="1" t="s">
        <v>19</v>
      </c>
      <c r="E10482" s="1" t="s">
        <v>6</v>
      </c>
      <c r="F10482" s="1" t="s">
        <v>139</v>
      </c>
      <c r="G10482" s="1" t="s">
        <v>6145</v>
      </c>
      <c r="H10482" s="1" t="s">
        <v>43</v>
      </c>
      <c r="I10482" s="17">
        <v>40634</v>
      </c>
    </row>
    <row r="10483" spans="1:10">
      <c r="A10483" s="16" t="s">
        <v>10660</v>
      </c>
      <c r="B10483" s="1" t="s">
        <v>2631</v>
      </c>
      <c r="C10483" s="1">
        <v>9</v>
      </c>
      <c r="D10483" s="1" t="s">
        <v>19</v>
      </c>
      <c r="E10483" s="1" t="s">
        <v>6</v>
      </c>
      <c r="F10483" s="1" t="s">
        <v>139</v>
      </c>
      <c r="G10483" s="1" t="s">
        <v>2552</v>
      </c>
      <c r="H10483" s="1" t="s">
        <v>5</v>
      </c>
      <c r="I10483" s="17">
        <v>40664</v>
      </c>
    </row>
    <row r="10484" spans="1:10">
      <c r="A10484" s="16" t="s">
        <v>10661</v>
      </c>
      <c r="B10484" s="1" t="s">
        <v>2631</v>
      </c>
      <c r="C10484" s="1">
        <v>9</v>
      </c>
      <c r="D10484" s="1" t="s">
        <v>19</v>
      </c>
      <c r="E10484" s="1" t="s">
        <v>6</v>
      </c>
      <c r="F10484" s="1" t="s">
        <v>139</v>
      </c>
      <c r="G10484" s="1" t="s">
        <v>10375</v>
      </c>
      <c r="H10484" s="1" t="s">
        <v>5</v>
      </c>
      <c r="I10484" s="17">
        <v>40664</v>
      </c>
    </row>
    <row r="10485" spans="1:10">
      <c r="A10485" s="16" t="s">
        <v>10662</v>
      </c>
      <c r="B10485" s="1" t="s">
        <v>2631</v>
      </c>
      <c r="C10485" s="1">
        <v>9</v>
      </c>
      <c r="D10485" s="1" t="s">
        <v>19</v>
      </c>
      <c r="E10485" s="1" t="s">
        <v>6</v>
      </c>
      <c r="F10485" s="1" t="s">
        <v>139</v>
      </c>
      <c r="G10485" s="1" t="s">
        <v>10375</v>
      </c>
      <c r="H10485" s="1" t="s">
        <v>5</v>
      </c>
      <c r="I10485" s="17">
        <v>40664</v>
      </c>
    </row>
    <row r="10486" spans="1:10">
      <c r="A10486" s="16" t="s">
        <v>10663</v>
      </c>
      <c r="B10486" s="1" t="s">
        <v>2631</v>
      </c>
      <c r="C10486" s="1">
        <v>9</v>
      </c>
      <c r="D10486" s="1" t="s">
        <v>19</v>
      </c>
      <c r="E10486" s="1" t="s">
        <v>6</v>
      </c>
      <c r="F10486" s="1" t="s">
        <v>139</v>
      </c>
      <c r="G10486" s="1" t="s">
        <v>7919</v>
      </c>
      <c r="H10486" s="1" t="s">
        <v>5</v>
      </c>
      <c r="I10486" s="17">
        <v>40664</v>
      </c>
    </row>
    <row r="10487" spans="1:10">
      <c r="A10487" s="16" t="s">
        <v>10667</v>
      </c>
      <c r="B10487" s="1" t="s">
        <v>2631</v>
      </c>
      <c r="C10487" s="1">
        <v>9</v>
      </c>
      <c r="D10487" s="1" t="s">
        <v>19</v>
      </c>
      <c r="E10487" s="1" t="s">
        <v>6</v>
      </c>
      <c r="F10487" s="1" t="s">
        <v>139</v>
      </c>
      <c r="G10487" s="1" t="s">
        <v>2370</v>
      </c>
      <c r="H10487" s="1" t="s">
        <v>5</v>
      </c>
      <c r="I10487" s="17">
        <v>40756</v>
      </c>
      <c r="J10487" s="17"/>
    </row>
    <row r="10488" spans="1:10">
      <c r="A10488" s="16" t="s">
        <v>10668</v>
      </c>
      <c r="B10488" s="1" t="s">
        <v>2631</v>
      </c>
      <c r="C10488" s="1">
        <v>9</v>
      </c>
      <c r="D10488" s="1" t="s">
        <v>19</v>
      </c>
      <c r="E10488" s="1" t="s">
        <v>6</v>
      </c>
      <c r="F10488" s="1" t="s">
        <v>139</v>
      </c>
      <c r="G10488" s="1" t="s">
        <v>2387</v>
      </c>
      <c r="H10488" s="1" t="s">
        <v>5</v>
      </c>
      <c r="I10488" s="17">
        <v>40787</v>
      </c>
    </row>
    <row r="10489" spans="1:10">
      <c r="A10489" s="16" t="s">
        <v>10669</v>
      </c>
      <c r="B10489" s="1" t="s">
        <v>2631</v>
      </c>
      <c r="C10489" s="1">
        <v>9</v>
      </c>
      <c r="D10489" s="1" t="s">
        <v>19</v>
      </c>
      <c r="E10489" s="1" t="s">
        <v>6</v>
      </c>
      <c r="F10489" s="1" t="s">
        <v>139</v>
      </c>
      <c r="G10489" s="1" t="s">
        <v>2387</v>
      </c>
      <c r="H10489" s="1" t="s">
        <v>5</v>
      </c>
      <c r="I10489" s="17">
        <v>40787</v>
      </c>
    </row>
    <row r="10490" spans="1:10">
      <c r="A10490" s="16" t="s">
        <v>10671</v>
      </c>
      <c r="B10490" s="1" t="s">
        <v>2631</v>
      </c>
      <c r="C10490" s="1">
        <v>9</v>
      </c>
      <c r="D10490" s="1" t="s">
        <v>19</v>
      </c>
      <c r="E10490" s="1" t="s">
        <v>6</v>
      </c>
      <c r="F10490" s="1" t="s">
        <v>139</v>
      </c>
      <c r="G10490" s="1" t="s">
        <v>10375</v>
      </c>
      <c r="H10490" s="1" t="s">
        <v>5</v>
      </c>
      <c r="I10490" s="17">
        <v>40787</v>
      </c>
    </row>
    <row r="10491" spans="1:10">
      <c r="A10491" s="16" t="s">
        <v>10673</v>
      </c>
      <c r="B10491" s="1" t="s">
        <v>2631</v>
      </c>
      <c r="C10491" s="1">
        <v>9</v>
      </c>
      <c r="D10491" s="1" t="s">
        <v>19</v>
      </c>
      <c r="E10491" s="1" t="s">
        <v>6</v>
      </c>
      <c r="F10491" s="1" t="s">
        <v>139</v>
      </c>
      <c r="G10491" s="1" t="s">
        <v>9063</v>
      </c>
      <c r="H10491" s="1" t="s">
        <v>5</v>
      </c>
      <c r="I10491" s="17">
        <v>40787</v>
      </c>
      <c r="J10491" s="17"/>
    </row>
    <row r="10492" spans="1:10">
      <c r="A10492" s="16" t="s">
        <v>10674</v>
      </c>
      <c r="B10492" s="1" t="s">
        <v>2631</v>
      </c>
      <c r="C10492" s="1">
        <v>9</v>
      </c>
      <c r="D10492" s="1" t="s">
        <v>19</v>
      </c>
      <c r="E10492" s="1" t="s">
        <v>6</v>
      </c>
      <c r="F10492" s="1" t="s">
        <v>139</v>
      </c>
      <c r="G10492" s="1" t="s">
        <v>10375</v>
      </c>
      <c r="H10492" s="1" t="s">
        <v>5</v>
      </c>
      <c r="I10492" s="17">
        <v>40817</v>
      </c>
    </row>
    <row r="10493" spans="1:10">
      <c r="A10493" s="16" t="s">
        <v>10676</v>
      </c>
      <c r="B10493" s="1" t="s">
        <v>2631</v>
      </c>
      <c r="C10493" s="1">
        <v>9</v>
      </c>
      <c r="D10493" s="1" t="s">
        <v>19</v>
      </c>
      <c r="E10493" s="1" t="s">
        <v>6</v>
      </c>
      <c r="F10493" s="1" t="s">
        <v>139</v>
      </c>
      <c r="G10493" s="1" t="s">
        <v>2552</v>
      </c>
      <c r="H10493" s="1" t="s">
        <v>5</v>
      </c>
      <c r="I10493" s="17">
        <v>40817</v>
      </c>
    </row>
    <row r="10494" spans="1:10">
      <c r="A10494" s="16" t="s">
        <v>10677</v>
      </c>
      <c r="B10494" s="1" t="s">
        <v>2631</v>
      </c>
      <c r="C10494" s="1">
        <v>9</v>
      </c>
      <c r="D10494" s="1" t="s">
        <v>19</v>
      </c>
      <c r="E10494" s="1" t="s">
        <v>6</v>
      </c>
      <c r="F10494" s="1" t="s">
        <v>139</v>
      </c>
      <c r="G10494" s="1" t="s">
        <v>2552</v>
      </c>
      <c r="H10494" s="1" t="s">
        <v>5</v>
      </c>
      <c r="I10494" s="17">
        <v>40817</v>
      </c>
    </row>
    <row r="10495" spans="1:10">
      <c r="A10495" s="16" t="s">
        <v>10678</v>
      </c>
      <c r="B10495" s="1" t="s">
        <v>2631</v>
      </c>
      <c r="C10495" s="1">
        <v>9</v>
      </c>
      <c r="D10495" s="1" t="s">
        <v>19</v>
      </c>
      <c r="E10495" s="1" t="s">
        <v>6</v>
      </c>
      <c r="F10495" s="1" t="s">
        <v>139</v>
      </c>
      <c r="G10495" s="1" t="s">
        <v>10375</v>
      </c>
      <c r="H10495" s="1" t="s">
        <v>5</v>
      </c>
      <c r="I10495" s="17">
        <v>40817</v>
      </c>
    </row>
    <row r="10496" spans="1:10">
      <c r="A10496" s="16" t="s">
        <v>10682</v>
      </c>
      <c r="B10496" s="1" t="s">
        <v>2631</v>
      </c>
      <c r="C10496" s="1">
        <v>9</v>
      </c>
      <c r="D10496" s="1" t="s">
        <v>19</v>
      </c>
      <c r="E10496" s="1" t="s">
        <v>6</v>
      </c>
      <c r="F10496" s="1" t="s">
        <v>139</v>
      </c>
      <c r="G10496" s="1" t="s">
        <v>6145</v>
      </c>
      <c r="H10496" s="1" t="s">
        <v>43</v>
      </c>
      <c r="I10496" s="17">
        <v>40848</v>
      </c>
    </row>
    <row r="10497" spans="1:9">
      <c r="A10497" s="16" t="s">
        <v>10688</v>
      </c>
      <c r="B10497" s="1" t="s">
        <v>2628</v>
      </c>
      <c r="C10497" s="1">
        <v>9</v>
      </c>
      <c r="D10497" s="1" t="s">
        <v>19</v>
      </c>
      <c r="E10497" s="1" t="s">
        <v>6</v>
      </c>
      <c r="F10497" s="1" t="s">
        <v>5091</v>
      </c>
      <c r="G10497" s="14" t="s">
        <v>10689</v>
      </c>
      <c r="H10497" s="1" t="s">
        <v>5</v>
      </c>
      <c r="I10497" s="17">
        <v>42458</v>
      </c>
    </row>
    <row r="10498" spans="1:9">
      <c r="A10498" s="16" t="s">
        <v>10738</v>
      </c>
      <c r="B10498" s="1" t="s">
        <v>2628</v>
      </c>
      <c r="C10498" s="1">
        <v>9</v>
      </c>
      <c r="D10498" s="1" t="s">
        <v>19</v>
      </c>
      <c r="E10498" s="1" t="s">
        <v>6</v>
      </c>
      <c r="F10498" s="1" t="s">
        <v>5091</v>
      </c>
      <c r="G10498" s="14" t="s">
        <v>6307</v>
      </c>
      <c r="H10498" s="1" t="s">
        <v>44</v>
      </c>
      <c r="I10498" s="17">
        <v>42116</v>
      </c>
    </row>
    <row r="10499" spans="1:9">
      <c r="A10499" s="16" t="s">
        <v>10742</v>
      </c>
      <c r="B10499" s="1" t="s">
        <v>2628</v>
      </c>
      <c r="C10499" s="1">
        <v>9</v>
      </c>
      <c r="D10499" s="1" t="s">
        <v>19</v>
      </c>
      <c r="E10499" s="1" t="s">
        <v>6</v>
      </c>
      <c r="F10499" s="1" t="s">
        <v>5091</v>
      </c>
      <c r="G10499" s="14" t="s">
        <v>6307</v>
      </c>
      <c r="H10499" s="1" t="s">
        <v>44</v>
      </c>
      <c r="I10499" s="17">
        <v>42116</v>
      </c>
    </row>
    <row r="10500" spans="1:9">
      <c r="A10500" s="16" t="s">
        <v>10753</v>
      </c>
      <c r="B10500" s="1" t="s">
        <v>2628</v>
      </c>
      <c r="C10500" s="1">
        <v>9</v>
      </c>
      <c r="D10500" s="1" t="s">
        <v>19</v>
      </c>
      <c r="E10500" s="1" t="s">
        <v>6</v>
      </c>
      <c r="F10500" s="1" t="s">
        <v>5091</v>
      </c>
      <c r="G10500" s="14" t="s">
        <v>6307</v>
      </c>
      <c r="H10500" s="1" t="s">
        <v>44</v>
      </c>
      <c r="I10500" s="17">
        <v>42145</v>
      </c>
    </row>
    <row r="10501" spans="1:9">
      <c r="A10501" s="16" t="s">
        <v>10786</v>
      </c>
      <c r="B10501" s="1" t="s">
        <v>2628</v>
      </c>
      <c r="C10501" s="1">
        <v>9</v>
      </c>
      <c r="D10501" s="1" t="s">
        <v>19</v>
      </c>
      <c r="E10501" s="1" t="s">
        <v>6</v>
      </c>
      <c r="F10501" s="1" t="s">
        <v>5091</v>
      </c>
      <c r="G10501" s="14" t="s">
        <v>6450</v>
      </c>
      <c r="H10501" s="1" t="s">
        <v>43</v>
      </c>
      <c r="I10501" s="17">
        <v>42209</v>
      </c>
    </row>
    <row r="10502" spans="1:9">
      <c r="A10502" s="16" t="s">
        <v>10795</v>
      </c>
      <c r="B10502" s="1" t="s">
        <v>2628</v>
      </c>
      <c r="C10502" s="1">
        <v>9</v>
      </c>
      <c r="D10502" s="1" t="s">
        <v>19</v>
      </c>
      <c r="E10502" s="1" t="s">
        <v>6</v>
      </c>
      <c r="F10502" s="1" t="s">
        <v>5091</v>
      </c>
      <c r="G10502" s="14" t="s">
        <v>6145</v>
      </c>
      <c r="H10502" s="1" t="s">
        <v>43</v>
      </c>
      <c r="I10502" s="17">
        <v>41415</v>
      </c>
    </row>
    <row r="10503" spans="1:9">
      <c r="A10503" s="16" t="s">
        <v>10796</v>
      </c>
      <c r="B10503" s="1" t="s">
        <v>2628</v>
      </c>
      <c r="C10503" s="1">
        <v>9</v>
      </c>
      <c r="D10503" s="1" t="s">
        <v>19</v>
      </c>
      <c r="E10503" s="1" t="s">
        <v>6</v>
      </c>
      <c r="F10503" s="1" t="s">
        <v>5091</v>
      </c>
      <c r="G10503" s="14" t="s">
        <v>6145</v>
      </c>
      <c r="H10503" s="1" t="s">
        <v>43</v>
      </c>
      <c r="I10503" s="17">
        <v>41415</v>
      </c>
    </row>
    <row r="10504" spans="1:9">
      <c r="A10504" s="16" t="s">
        <v>10797</v>
      </c>
      <c r="B10504" s="1" t="s">
        <v>2628</v>
      </c>
      <c r="C10504" s="1">
        <v>9</v>
      </c>
      <c r="D10504" s="1" t="s">
        <v>19</v>
      </c>
      <c r="E10504" s="1" t="s">
        <v>6</v>
      </c>
      <c r="F10504" s="1" t="s">
        <v>5091</v>
      </c>
      <c r="G10504" s="14" t="s">
        <v>6145</v>
      </c>
      <c r="H10504" s="1" t="s">
        <v>43</v>
      </c>
      <c r="I10504" s="17">
        <v>42311</v>
      </c>
    </row>
    <row r="10505" spans="1:9">
      <c r="A10505" s="16" t="s">
        <v>10798</v>
      </c>
      <c r="B10505" s="1" t="s">
        <v>2628</v>
      </c>
      <c r="C10505" s="1">
        <v>9</v>
      </c>
      <c r="D10505" s="1" t="s">
        <v>19</v>
      </c>
      <c r="E10505" s="1" t="s">
        <v>6</v>
      </c>
      <c r="F10505" s="1" t="s">
        <v>5091</v>
      </c>
      <c r="G10505" s="14" t="s">
        <v>6145</v>
      </c>
      <c r="H10505" s="1" t="s">
        <v>43</v>
      </c>
      <c r="I10505" s="17">
        <v>42311</v>
      </c>
    </row>
    <row r="10506" spans="1:9">
      <c r="A10506" s="16" t="s">
        <v>10799</v>
      </c>
      <c r="B10506" s="1" t="s">
        <v>2628</v>
      </c>
      <c r="C10506" s="1">
        <v>9</v>
      </c>
      <c r="D10506" s="1" t="s">
        <v>19</v>
      </c>
      <c r="E10506" s="1" t="s">
        <v>6</v>
      </c>
      <c r="F10506" s="1" t="s">
        <v>5091</v>
      </c>
      <c r="G10506" s="14" t="s">
        <v>6145</v>
      </c>
      <c r="H10506" s="1" t="s">
        <v>43</v>
      </c>
      <c r="I10506" s="17">
        <v>42311</v>
      </c>
    </row>
    <row r="10507" spans="1:9">
      <c r="A10507" s="16" t="s">
        <v>10800</v>
      </c>
      <c r="B10507" s="1" t="s">
        <v>2628</v>
      </c>
      <c r="C10507" s="1">
        <v>9</v>
      </c>
      <c r="D10507" s="1" t="s">
        <v>19</v>
      </c>
      <c r="E10507" s="1" t="s">
        <v>6</v>
      </c>
      <c r="F10507" s="1" t="s">
        <v>5091</v>
      </c>
      <c r="G10507" s="14" t="s">
        <v>6145</v>
      </c>
      <c r="H10507" s="1" t="s">
        <v>43</v>
      </c>
      <c r="I10507" s="17">
        <v>42311</v>
      </c>
    </row>
    <row r="10508" spans="1:9">
      <c r="A10508" s="16" t="s">
        <v>10822</v>
      </c>
      <c r="B10508" s="1" t="s">
        <v>2628</v>
      </c>
      <c r="C10508" s="1">
        <v>9</v>
      </c>
      <c r="D10508" s="1" t="s">
        <v>19</v>
      </c>
      <c r="E10508" s="1" t="s">
        <v>6</v>
      </c>
      <c r="F10508" s="1" t="s">
        <v>5091</v>
      </c>
      <c r="G10508" s="14" t="s">
        <v>10823</v>
      </c>
      <c r="H10508" s="1" t="s">
        <v>5</v>
      </c>
      <c r="I10508" s="17">
        <v>42262</v>
      </c>
    </row>
    <row r="10509" spans="1:9">
      <c r="A10509" s="16" t="s">
        <v>10848</v>
      </c>
      <c r="B10509" s="1" t="s">
        <v>2628</v>
      </c>
      <c r="C10509" s="1">
        <v>9</v>
      </c>
      <c r="D10509" s="1" t="s">
        <v>19</v>
      </c>
      <c r="E10509" s="1" t="s">
        <v>6</v>
      </c>
      <c r="F10509" s="1" t="s">
        <v>5091</v>
      </c>
      <c r="G10509" s="14" t="s">
        <v>6145</v>
      </c>
      <c r="H10509" s="1" t="s">
        <v>43</v>
      </c>
      <c r="I10509" s="17">
        <v>42473</v>
      </c>
    </row>
    <row r="10510" spans="1:9">
      <c r="A10510" s="16" t="s">
        <v>10849</v>
      </c>
      <c r="B10510" s="1" t="s">
        <v>2628</v>
      </c>
      <c r="C10510" s="1">
        <v>9</v>
      </c>
      <c r="D10510" s="1" t="s">
        <v>19</v>
      </c>
      <c r="E10510" s="1" t="s">
        <v>6</v>
      </c>
      <c r="F10510" s="1" t="s">
        <v>5091</v>
      </c>
      <c r="G10510" s="14" t="s">
        <v>6145</v>
      </c>
      <c r="H10510" s="1" t="s">
        <v>43</v>
      </c>
      <c r="I10510" s="17">
        <v>42473</v>
      </c>
    </row>
    <row r="10511" spans="1:9">
      <c r="A10511" s="16" t="s">
        <v>10854</v>
      </c>
      <c r="B10511" s="1" t="s">
        <v>2628</v>
      </c>
      <c r="C10511" s="1">
        <v>1113</v>
      </c>
      <c r="D10511" s="1" t="s">
        <v>19</v>
      </c>
      <c r="E10511" s="1" t="s">
        <v>6</v>
      </c>
      <c r="F10511" s="1" t="s">
        <v>5091</v>
      </c>
      <c r="G10511" s="14" t="s">
        <v>6450</v>
      </c>
      <c r="H10511" s="1" t="s">
        <v>43</v>
      </c>
      <c r="I10511" s="17">
        <v>42240</v>
      </c>
    </row>
    <row r="10512" spans="1:9">
      <c r="A10512" s="16" t="s">
        <v>10863</v>
      </c>
      <c r="B10512" s="1" t="s">
        <v>2628</v>
      </c>
      <c r="C10512" s="1">
        <v>9</v>
      </c>
      <c r="D10512" s="1" t="s">
        <v>19</v>
      </c>
      <c r="E10512" s="1" t="s">
        <v>6</v>
      </c>
      <c r="F10512" s="1" t="s">
        <v>5091</v>
      </c>
      <c r="G10512" s="14" t="s">
        <v>6450</v>
      </c>
      <c r="H10512" s="1" t="s">
        <v>43</v>
      </c>
      <c r="I10512" s="17">
        <v>42250</v>
      </c>
    </row>
    <row r="10513" spans="1:9">
      <c r="A10513" s="16" t="s">
        <v>10866</v>
      </c>
      <c r="B10513" s="1" t="s">
        <v>2628</v>
      </c>
      <c r="C10513" s="1">
        <v>9</v>
      </c>
      <c r="D10513" s="1" t="s">
        <v>19</v>
      </c>
      <c r="E10513" s="1" t="s">
        <v>6</v>
      </c>
      <c r="F10513" s="1" t="s">
        <v>5091</v>
      </c>
      <c r="G10513" s="14" t="s">
        <v>6450</v>
      </c>
      <c r="H10513" s="1" t="s">
        <v>43</v>
      </c>
      <c r="I10513" s="17">
        <v>42255</v>
      </c>
    </row>
    <row r="10514" spans="1:9">
      <c r="A10514" s="16" t="s">
        <v>10876</v>
      </c>
      <c r="B10514" s="1" t="s">
        <v>2628</v>
      </c>
      <c r="C10514" s="1">
        <v>9</v>
      </c>
      <c r="D10514" s="1" t="s">
        <v>19</v>
      </c>
      <c r="E10514" s="1" t="s">
        <v>6</v>
      </c>
      <c r="F10514" s="1" t="s">
        <v>5091</v>
      </c>
      <c r="G10514" s="14" t="s">
        <v>6450</v>
      </c>
      <c r="H10514" s="1" t="s">
        <v>43</v>
      </c>
      <c r="I10514" s="17">
        <v>42262</v>
      </c>
    </row>
    <row r="10515" spans="1:9">
      <c r="A10515" s="16" t="s">
        <v>10889</v>
      </c>
      <c r="B10515" s="1" t="s">
        <v>2628</v>
      </c>
      <c r="C10515" s="1">
        <v>9</v>
      </c>
      <c r="D10515" s="1" t="s">
        <v>19</v>
      </c>
      <c r="E10515" s="1" t="s">
        <v>6</v>
      </c>
      <c r="F10515" s="1" t="s">
        <v>5091</v>
      </c>
      <c r="G10515" s="14" t="s">
        <v>6145</v>
      </c>
      <c r="H10515" s="1" t="s">
        <v>43</v>
      </c>
      <c r="I10515" s="17">
        <v>40315</v>
      </c>
    </row>
    <row r="10516" spans="1:9">
      <c r="A10516" s="16" t="s">
        <v>10890</v>
      </c>
      <c r="B10516" s="1" t="s">
        <v>2628</v>
      </c>
      <c r="C10516" s="1">
        <v>9</v>
      </c>
      <c r="D10516" s="1" t="s">
        <v>19</v>
      </c>
      <c r="E10516" s="1" t="s">
        <v>6</v>
      </c>
      <c r="F10516" s="1" t="s">
        <v>5091</v>
      </c>
      <c r="G10516" s="14" t="s">
        <v>6145</v>
      </c>
      <c r="H10516" s="1" t="s">
        <v>43</v>
      </c>
      <c r="I10516" s="17">
        <v>40315</v>
      </c>
    </row>
    <row r="10517" spans="1:9">
      <c r="A10517" s="16" t="s">
        <v>10891</v>
      </c>
      <c r="B10517" s="1" t="s">
        <v>2628</v>
      </c>
      <c r="C10517" s="1">
        <v>9</v>
      </c>
      <c r="D10517" s="1" t="s">
        <v>19</v>
      </c>
      <c r="E10517" s="1" t="s">
        <v>6</v>
      </c>
      <c r="F10517" s="1" t="s">
        <v>5091</v>
      </c>
      <c r="G10517" s="14" t="s">
        <v>6145</v>
      </c>
      <c r="H10517" s="1" t="s">
        <v>43</v>
      </c>
      <c r="I10517" s="17">
        <v>40315</v>
      </c>
    </row>
    <row r="10518" spans="1:9">
      <c r="A10518" s="16" t="s">
        <v>10892</v>
      </c>
      <c r="B10518" s="1" t="s">
        <v>2628</v>
      </c>
      <c r="C10518" s="1">
        <v>9</v>
      </c>
      <c r="D10518" s="1" t="s">
        <v>19</v>
      </c>
      <c r="E10518" s="1" t="s">
        <v>6</v>
      </c>
      <c r="F10518" s="1" t="s">
        <v>5091</v>
      </c>
      <c r="G10518" s="14" t="s">
        <v>6145</v>
      </c>
      <c r="H10518" s="1" t="s">
        <v>43</v>
      </c>
      <c r="I10518" s="17">
        <v>40315</v>
      </c>
    </row>
    <row r="10519" spans="1:9">
      <c r="A10519" s="16" t="s">
        <v>10921</v>
      </c>
      <c r="B10519" s="1" t="s">
        <v>2628</v>
      </c>
      <c r="C10519" s="1">
        <v>9</v>
      </c>
      <c r="D10519" s="1" t="s">
        <v>19</v>
      </c>
      <c r="E10519" s="1" t="s">
        <v>6</v>
      </c>
      <c r="F10519" s="1" t="s">
        <v>5091</v>
      </c>
      <c r="G10519" s="14" t="s">
        <v>9825</v>
      </c>
      <c r="H10519" s="1" t="s">
        <v>5</v>
      </c>
      <c r="I10519" s="17">
        <v>42287</v>
      </c>
    </row>
    <row r="10520" spans="1:9">
      <c r="A10520" s="16" t="s">
        <v>10922</v>
      </c>
      <c r="B10520" s="1" t="s">
        <v>2628</v>
      </c>
      <c r="C10520" s="1">
        <v>9</v>
      </c>
      <c r="D10520" s="1" t="s">
        <v>19</v>
      </c>
      <c r="E10520" s="1" t="s">
        <v>6</v>
      </c>
      <c r="F10520" s="1" t="s">
        <v>5091</v>
      </c>
      <c r="G10520" s="14" t="s">
        <v>9825</v>
      </c>
      <c r="H10520" s="1" t="s">
        <v>5</v>
      </c>
      <c r="I10520" s="17">
        <v>42287</v>
      </c>
    </row>
    <row r="10521" spans="1:9">
      <c r="A10521" s="16" t="s">
        <v>10923</v>
      </c>
      <c r="B10521" s="1" t="s">
        <v>2628</v>
      </c>
      <c r="C10521" s="1">
        <v>9</v>
      </c>
      <c r="D10521" s="1" t="s">
        <v>19</v>
      </c>
      <c r="E10521" s="1" t="s">
        <v>6</v>
      </c>
      <c r="F10521" s="1" t="s">
        <v>5091</v>
      </c>
      <c r="G10521" s="14" t="s">
        <v>9825</v>
      </c>
      <c r="H10521" s="1" t="s">
        <v>5</v>
      </c>
      <c r="I10521" s="17">
        <v>42287</v>
      </c>
    </row>
    <row r="10522" spans="1:9">
      <c r="A10522" s="16" t="s">
        <v>10924</v>
      </c>
      <c r="B10522" s="1" t="s">
        <v>2628</v>
      </c>
      <c r="C10522" s="1">
        <v>9</v>
      </c>
      <c r="D10522" s="1" t="s">
        <v>19</v>
      </c>
      <c r="E10522" s="1" t="s">
        <v>6</v>
      </c>
      <c r="F10522" s="1" t="s">
        <v>5091</v>
      </c>
      <c r="G10522" s="14" t="s">
        <v>9825</v>
      </c>
      <c r="H10522" s="1" t="s">
        <v>5</v>
      </c>
      <c r="I10522" s="17">
        <v>42287</v>
      </c>
    </row>
    <row r="10523" spans="1:9">
      <c r="A10523" s="16" t="s">
        <v>10973</v>
      </c>
      <c r="B10523" s="1" t="s">
        <v>2628</v>
      </c>
      <c r="C10523" s="1">
        <v>9</v>
      </c>
      <c r="D10523" s="1" t="s">
        <v>19</v>
      </c>
      <c r="E10523" s="1" t="s">
        <v>6</v>
      </c>
      <c r="F10523" s="1" t="s">
        <v>5091</v>
      </c>
      <c r="G10523" s="14" t="s">
        <v>6145</v>
      </c>
      <c r="H10523" s="1" t="s">
        <v>43</v>
      </c>
      <c r="I10523" s="17">
        <v>42483</v>
      </c>
    </row>
    <row r="10524" spans="1:9">
      <c r="A10524" s="16" t="s">
        <v>10982</v>
      </c>
      <c r="B10524" s="1" t="s">
        <v>2628</v>
      </c>
      <c r="C10524" s="1">
        <v>9</v>
      </c>
      <c r="D10524" s="1" t="s">
        <v>19</v>
      </c>
      <c r="E10524" s="1" t="s">
        <v>6</v>
      </c>
      <c r="F10524" s="1" t="s">
        <v>5091</v>
      </c>
      <c r="G10524" s="14" t="s">
        <v>6450</v>
      </c>
      <c r="H10524" s="1" t="s">
        <v>43</v>
      </c>
      <c r="I10524" s="17">
        <v>42292</v>
      </c>
    </row>
    <row r="10525" spans="1:9">
      <c r="A10525" s="16" t="s">
        <v>11015</v>
      </c>
      <c r="B10525" s="1" t="s">
        <v>2628</v>
      </c>
      <c r="C10525" s="1">
        <v>9</v>
      </c>
      <c r="D10525" s="1" t="s">
        <v>19</v>
      </c>
      <c r="E10525" s="1" t="s">
        <v>6</v>
      </c>
      <c r="F10525" s="1" t="s">
        <v>5091</v>
      </c>
      <c r="G10525" s="14" t="s">
        <v>6450</v>
      </c>
      <c r="H10525" s="1" t="s">
        <v>43</v>
      </c>
      <c r="I10525" s="17">
        <v>42313</v>
      </c>
    </row>
    <row r="10526" spans="1:9">
      <c r="A10526" s="16" t="s">
        <v>11016</v>
      </c>
      <c r="B10526" s="1" t="s">
        <v>2628</v>
      </c>
      <c r="C10526" s="1">
        <v>9</v>
      </c>
      <c r="D10526" s="1" t="s">
        <v>19</v>
      </c>
      <c r="E10526" s="1" t="s">
        <v>6</v>
      </c>
      <c r="F10526" s="1" t="s">
        <v>5091</v>
      </c>
      <c r="G10526" s="14" t="s">
        <v>6450</v>
      </c>
      <c r="H10526" s="1" t="s">
        <v>43</v>
      </c>
      <c r="I10526" s="17">
        <v>42313</v>
      </c>
    </row>
    <row r="10527" spans="1:9">
      <c r="A10527" s="16" t="s">
        <v>11049</v>
      </c>
      <c r="B10527" s="1" t="s">
        <v>2628</v>
      </c>
      <c r="C10527" s="1">
        <v>9</v>
      </c>
      <c r="D10527" s="1" t="s">
        <v>19</v>
      </c>
      <c r="E10527" s="1" t="s">
        <v>6</v>
      </c>
      <c r="F10527" s="1" t="s">
        <v>5091</v>
      </c>
      <c r="G10527" s="14" t="s">
        <v>6145</v>
      </c>
      <c r="H10527" s="1" t="s">
        <v>43</v>
      </c>
      <c r="I10527" s="17">
        <v>42479</v>
      </c>
    </row>
    <row r="10528" spans="1:9">
      <c r="A10528" s="16" t="s">
        <v>11050</v>
      </c>
      <c r="B10528" s="1" t="s">
        <v>2628</v>
      </c>
      <c r="C10528" s="1">
        <v>9</v>
      </c>
      <c r="D10528" s="1" t="s">
        <v>19</v>
      </c>
      <c r="E10528" s="1" t="s">
        <v>6</v>
      </c>
      <c r="F10528" s="1" t="s">
        <v>5091</v>
      </c>
      <c r="G10528" s="14" t="s">
        <v>6145</v>
      </c>
      <c r="H10528" s="1" t="s">
        <v>43</v>
      </c>
      <c r="I10528" s="17">
        <v>42479</v>
      </c>
    </row>
    <row r="10529" spans="1:9">
      <c r="A10529" s="16" t="s">
        <v>11051</v>
      </c>
      <c r="B10529" s="1" t="s">
        <v>2628</v>
      </c>
      <c r="C10529" s="1">
        <v>9</v>
      </c>
      <c r="D10529" s="1" t="s">
        <v>19</v>
      </c>
      <c r="E10529" s="1" t="s">
        <v>6</v>
      </c>
      <c r="F10529" s="1" t="s">
        <v>5091</v>
      </c>
      <c r="G10529" s="14" t="s">
        <v>6145</v>
      </c>
      <c r="H10529" s="1" t="s">
        <v>43</v>
      </c>
      <c r="I10529" s="17">
        <v>42479</v>
      </c>
    </row>
    <row r="10530" spans="1:9">
      <c r="A10530" s="16" t="s">
        <v>11052</v>
      </c>
      <c r="B10530" s="1" t="s">
        <v>2628</v>
      </c>
      <c r="C10530" s="1">
        <v>9</v>
      </c>
      <c r="D10530" s="1" t="s">
        <v>19</v>
      </c>
      <c r="E10530" s="1" t="s">
        <v>6</v>
      </c>
      <c r="F10530" s="1" t="s">
        <v>5091</v>
      </c>
      <c r="G10530" s="14" t="s">
        <v>6145</v>
      </c>
      <c r="H10530" s="1" t="s">
        <v>43</v>
      </c>
      <c r="I10530" s="17">
        <v>42479</v>
      </c>
    </row>
    <row r="10531" spans="1:9">
      <c r="A10531" s="16" t="s">
        <v>11053</v>
      </c>
      <c r="B10531" s="1" t="s">
        <v>2628</v>
      </c>
      <c r="C10531" s="1">
        <v>9</v>
      </c>
      <c r="D10531" s="1" t="s">
        <v>19</v>
      </c>
      <c r="E10531" s="1" t="s">
        <v>6</v>
      </c>
      <c r="F10531" s="1" t="s">
        <v>5091</v>
      </c>
      <c r="G10531" s="14" t="s">
        <v>6145</v>
      </c>
      <c r="H10531" s="1" t="s">
        <v>43</v>
      </c>
      <c r="I10531" s="17">
        <v>42481</v>
      </c>
    </row>
    <row r="10532" spans="1:9" ht="31.2">
      <c r="A10532" s="16" t="s">
        <v>11072</v>
      </c>
      <c r="B10532" s="1" t="s">
        <v>2628</v>
      </c>
      <c r="C10532" s="1">
        <v>9</v>
      </c>
      <c r="D10532" s="1" t="s">
        <v>19</v>
      </c>
      <c r="E10532" s="1" t="s">
        <v>6</v>
      </c>
      <c r="F10532" s="1" t="s">
        <v>5091</v>
      </c>
      <c r="G10532" s="14" t="s">
        <v>6145</v>
      </c>
      <c r="H10532" s="1" t="s">
        <v>43</v>
      </c>
      <c r="I10532" s="17">
        <v>41792</v>
      </c>
    </row>
    <row r="10533" spans="1:9">
      <c r="A10533" s="16" t="s">
        <v>11106</v>
      </c>
      <c r="B10533" s="1" t="s">
        <v>2628</v>
      </c>
      <c r="C10533" s="1">
        <v>9</v>
      </c>
      <c r="D10533" s="1" t="s">
        <v>19</v>
      </c>
      <c r="E10533" s="1" t="s">
        <v>6</v>
      </c>
      <c r="F10533" s="1" t="s">
        <v>5091</v>
      </c>
      <c r="G10533" s="14" t="s">
        <v>6145</v>
      </c>
      <c r="H10533" s="1" t="s">
        <v>43</v>
      </c>
      <c r="I10533" s="17">
        <v>39881</v>
      </c>
    </row>
    <row r="10534" spans="1:9">
      <c r="A10534" s="16" t="s">
        <v>11107</v>
      </c>
      <c r="B10534" s="1" t="s">
        <v>2628</v>
      </c>
      <c r="C10534" s="1">
        <v>9</v>
      </c>
      <c r="D10534" s="1" t="s">
        <v>19</v>
      </c>
      <c r="E10534" s="1" t="s">
        <v>6</v>
      </c>
      <c r="F10534" s="1" t="s">
        <v>5091</v>
      </c>
      <c r="G10534" s="14" t="s">
        <v>6145</v>
      </c>
      <c r="H10534" s="1" t="s">
        <v>43</v>
      </c>
      <c r="I10534" s="17">
        <v>39881</v>
      </c>
    </row>
    <row r="10535" spans="1:9">
      <c r="A10535" s="16" t="s">
        <v>11108</v>
      </c>
      <c r="B10535" s="1" t="s">
        <v>2628</v>
      </c>
      <c r="C10535" s="1">
        <v>9</v>
      </c>
      <c r="D10535" s="1" t="s">
        <v>19</v>
      </c>
      <c r="E10535" s="1" t="s">
        <v>6</v>
      </c>
      <c r="F10535" s="1" t="s">
        <v>5091</v>
      </c>
      <c r="G10535" s="14" t="s">
        <v>6145</v>
      </c>
      <c r="H10535" s="1" t="s">
        <v>43</v>
      </c>
      <c r="I10535" s="17">
        <v>39881</v>
      </c>
    </row>
    <row r="10536" spans="1:9">
      <c r="A10536" s="16" t="s">
        <v>11109</v>
      </c>
      <c r="B10536" s="1" t="s">
        <v>2628</v>
      </c>
      <c r="C10536" s="1">
        <v>9</v>
      </c>
      <c r="D10536" s="1" t="s">
        <v>19</v>
      </c>
      <c r="E10536" s="1" t="s">
        <v>6</v>
      </c>
      <c r="F10536" s="1" t="s">
        <v>5091</v>
      </c>
      <c r="G10536" s="14" t="s">
        <v>6145</v>
      </c>
      <c r="H10536" s="1" t="s">
        <v>43</v>
      </c>
      <c r="I10536" s="17">
        <v>41275</v>
      </c>
    </row>
    <row r="10537" spans="1:9">
      <c r="A10537" s="16" t="s">
        <v>11122</v>
      </c>
      <c r="B10537" s="1" t="s">
        <v>2628</v>
      </c>
      <c r="C10537" s="1">
        <v>1113</v>
      </c>
      <c r="D10537" s="1" t="s">
        <v>19</v>
      </c>
      <c r="E10537" s="1" t="s">
        <v>6</v>
      </c>
      <c r="F10537" s="1" t="s">
        <v>5091</v>
      </c>
      <c r="G10537" s="14" t="s">
        <v>11123</v>
      </c>
      <c r="H10537" s="1" t="s">
        <v>5</v>
      </c>
      <c r="I10537" s="17">
        <v>42501</v>
      </c>
    </row>
    <row r="10538" spans="1:9">
      <c r="A10538" s="16" t="s">
        <v>11124</v>
      </c>
      <c r="B10538" s="1" t="s">
        <v>2628</v>
      </c>
      <c r="C10538" s="1">
        <v>9</v>
      </c>
      <c r="D10538" s="1" t="s">
        <v>19</v>
      </c>
      <c r="E10538" s="1" t="s">
        <v>6</v>
      </c>
      <c r="F10538" s="1" t="s">
        <v>5091</v>
      </c>
      <c r="G10538" s="14" t="s">
        <v>11125</v>
      </c>
      <c r="H10538" s="1" t="s">
        <v>5</v>
      </c>
      <c r="I10538" s="17">
        <v>42419</v>
      </c>
    </row>
    <row r="10539" spans="1:9">
      <c r="A10539" s="16" t="s">
        <v>11126</v>
      </c>
      <c r="B10539" s="1" t="s">
        <v>2628</v>
      </c>
      <c r="C10539" s="1">
        <v>9</v>
      </c>
      <c r="D10539" s="1" t="s">
        <v>19</v>
      </c>
      <c r="E10539" s="1" t="s">
        <v>6</v>
      </c>
      <c r="F10539" s="1" t="s">
        <v>5091</v>
      </c>
      <c r="G10539" s="14" t="s">
        <v>11127</v>
      </c>
      <c r="H10539" s="1" t="s">
        <v>5</v>
      </c>
      <c r="I10539" s="17">
        <v>42467</v>
      </c>
    </row>
    <row r="10540" spans="1:9">
      <c r="A10540" s="16" t="s">
        <v>11128</v>
      </c>
      <c r="B10540" s="1" t="s">
        <v>2628</v>
      </c>
      <c r="C10540" s="1">
        <v>9</v>
      </c>
      <c r="D10540" s="1" t="s">
        <v>19</v>
      </c>
      <c r="E10540" s="1" t="s">
        <v>6</v>
      </c>
      <c r="F10540" s="1" t="s">
        <v>5091</v>
      </c>
      <c r="G10540" s="14" t="s">
        <v>11127</v>
      </c>
      <c r="H10540" s="1" t="s">
        <v>5</v>
      </c>
      <c r="I10540" s="17">
        <v>42467</v>
      </c>
    </row>
    <row r="10541" spans="1:9">
      <c r="A10541" s="16" t="s">
        <v>11129</v>
      </c>
      <c r="B10541" s="1" t="s">
        <v>2628</v>
      </c>
      <c r="C10541" s="1">
        <v>9</v>
      </c>
      <c r="D10541" s="1" t="s">
        <v>19</v>
      </c>
      <c r="E10541" s="1" t="s">
        <v>6</v>
      </c>
      <c r="F10541" s="1" t="s">
        <v>5091</v>
      </c>
      <c r="G10541" s="14" t="s">
        <v>11127</v>
      </c>
      <c r="H10541" s="1" t="s">
        <v>5</v>
      </c>
      <c r="I10541" s="17">
        <v>42467</v>
      </c>
    </row>
    <row r="10542" spans="1:9">
      <c r="A10542" s="16" t="s">
        <v>11159</v>
      </c>
      <c r="B10542" s="1" t="s">
        <v>2628</v>
      </c>
      <c r="C10542" s="1">
        <v>9</v>
      </c>
      <c r="D10542" s="1" t="s">
        <v>19</v>
      </c>
      <c r="E10542" s="1" t="s">
        <v>6</v>
      </c>
      <c r="F10542" s="1" t="s">
        <v>5091</v>
      </c>
      <c r="G10542" s="14" t="s">
        <v>6145</v>
      </c>
      <c r="H10542" s="1" t="s">
        <v>43</v>
      </c>
      <c r="I10542" s="17">
        <v>39881</v>
      </c>
    </row>
    <row r="10543" spans="1:9">
      <c r="A10543" s="16" t="s">
        <v>11165</v>
      </c>
      <c r="B10543" s="1" t="s">
        <v>2628</v>
      </c>
      <c r="C10543" s="1">
        <v>9</v>
      </c>
      <c r="D10543" s="1" t="s">
        <v>19</v>
      </c>
      <c r="E10543" s="1" t="s">
        <v>6</v>
      </c>
      <c r="F10543" s="1" t="s">
        <v>5091</v>
      </c>
      <c r="G10543" s="14" t="s">
        <v>11166</v>
      </c>
      <c r="H10543" s="1" t="s">
        <v>5</v>
      </c>
      <c r="I10543" s="17">
        <v>41275</v>
      </c>
    </row>
    <row r="10544" spans="1:9">
      <c r="A10544" s="16" t="s">
        <v>11169</v>
      </c>
      <c r="B10544" s="1" t="s">
        <v>2628</v>
      </c>
      <c r="C10544" s="1">
        <v>9</v>
      </c>
      <c r="D10544" s="1" t="s">
        <v>19</v>
      </c>
      <c r="E10544" s="1" t="s">
        <v>6</v>
      </c>
      <c r="F10544" s="1" t="s">
        <v>5091</v>
      </c>
      <c r="G10544" s="14" t="s">
        <v>6145</v>
      </c>
      <c r="H10544" s="1" t="s">
        <v>43</v>
      </c>
      <c r="I10544" s="17">
        <v>41275</v>
      </c>
    </row>
    <row r="10545" spans="1:10">
      <c r="A10545" s="16" t="s">
        <v>11177</v>
      </c>
      <c r="B10545" s="1" t="s">
        <v>2628</v>
      </c>
      <c r="C10545" s="1">
        <v>9</v>
      </c>
      <c r="D10545" s="1" t="s">
        <v>19</v>
      </c>
      <c r="E10545" s="1" t="s">
        <v>6</v>
      </c>
      <c r="F10545" s="1" t="s">
        <v>5091</v>
      </c>
      <c r="G10545" s="14" t="s">
        <v>6145</v>
      </c>
      <c r="H10545" s="1" t="s">
        <v>43</v>
      </c>
      <c r="I10545" s="17">
        <v>42509</v>
      </c>
    </row>
    <row r="10546" spans="1:10">
      <c r="A10546" s="16" t="s">
        <v>11180</v>
      </c>
      <c r="B10546" s="1" t="s">
        <v>2628</v>
      </c>
      <c r="C10546" s="1">
        <v>9</v>
      </c>
      <c r="D10546" s="1" t="s">
        <v>19</v>
      </c>
      <c r="E10546" s="1" t="s">
        <v>6</v>
      </c>
      <c r="F10546" s="1" t="s">
        <v>5091</v>
      </c>
      <c r="G10546" s="14" t="s">
        <v>6145</v>
      </c>
      <c r="H10546" s="1" t="s">
        <v>43</v>
      </c>
      <c r="I10546" s="17">
        <v>42509</v>
      </c>
    </row>
    <row r="10547" spans="1:10">
      <c r="A10547" s="16" t="s">
        <v>11183</v>
      </c>
      <c r="B10547" s="1" t="s">
        <v>2628</v>
      </c>
      <c r="C10547" s="1">
        <v>9</v>
      </c>
      <c r="D10547" s="1" t="s">
        <v>19</v>
      </c>
      <c r="E10547" s="1" t="s">
        <v>6</v>
      </c>
      <c r="F10547" s="1" t="s">
        <v>5091</v>
      </c>
      <c r="G10547" s="14" t="s">
        <v>6145</v>
      </c>
      <c r="H10547" s="1" t="s">
        <v>43</v>
      </c>
      <c r="I10547" s="17">
        <v>42509</v>
      </c>
    </row>
    <row r="10548" spans="1:10">
      <c r="A10548" s="16" t="s">
        <v>11184</v>
      </c>
      <c r="B10548" s="1" t="s">
        <v>2628</v>
      </c>
      <c r="C10548" s="1">
        <v>9</v>
      </c>
      <c r="D10548" s="1" t="s">
        <v>19</v>
      </c>
      <c r="E10548" s="1" t="s">
        <v>6</v>
      </c>
      <c r="F10548" s="1" t="s">
        <v>5091</v>
      </c>
      <c r="G10548" s="14" t="s">
        <v>6145</v>
      </c>
      <c r="H10548" s="1" t="s">
        <v>43</v>
      </c>
      <c r="I10548" s="17">
        <v>42509</v>
      </c>
    </row>
    <row r="10549" spans="1:10">
      <c r="A10549" s="16" t="s">
        <v>11247</v>
      </c>
      <c r="B10549" s="1" t="s">
        <v>2628</v>
      </c>
      <c r="C10549" s="1">
        <v>9</v>
      </c>
      <c r="D10549" s="1" t="s">
        <v>19</v>
      </c>
      <c r="E10549" s="1" t="s">
        <v>6</v>
      </c>
      <c r="F10549" s="1" t="s">
        <v>5091</v>
      </c>
      <c r="G10549" s="14" t="s">
        <v>7619</v>
      </c>
      <c r="H10549" s="1" t="s">
        <v>43</v>
      </c>
      <c r="I10549" s="17">
        <v>37783</v>
      </c>
      <c r="J10549" s="11"/>
    </row>
    <row r="10550" spans="1:10">
      <c r="A10550" s="16" t="s">
        <v>11267</v>
      </c>
      <c r="B10550" s="1" t="s">
        <v>2628</v>
      </c>
      <c r="C10550" s="1">
        <v>9</v>
      </c>
      <c r="D10550" s="1" t="s">
        <v>19</v>
      </c>
      <c r="E10550" s="1" t="s">
        <v>6</v>
      </c>
      <c r="F10550" s="1" t="s">
        <v>5091</v>
      </c>
      <c r="G10550" s="14" t="s">
        <v>6145</v>
      </c>
      <c r="H10550" s="1" t="s">
        <v>43</v>
      </c>
      <c r="I10550" s="17">
        <v>42535</v>
      </c>
    </row>
    <row r="10551" spans="1:10">
      <c r="A10551" s="16" t="s">
        <v>11308</v>
      </c>
      <c r="B10551" s="1" t="s">
        <v>2628</v>
      </c>
      <c r="C10551" s="1">
        <v>9</v>
      </c>
      <c r="D10551" s="1" t="s">
        <v>19</v>
      </c>
      <c r="E10551" s="1" t="s">
        <v>6</v>
      </c>
      <c r="F10551" s="1" t="s">
        <v>5091</v>
      </c>
      <c r="G10551" s="14" t="s">
        <v>11309</v>
      </c>
      <c r="H10551" s="1" t="s">
        <v>5</v>
      </c>
      <c r="I10551" s="17">
        <v>42370</v>
      </c>
    </row>
    <row r="10552" spans="1:10">
      <c r="A10552" s="16" t="s">
        <v>11338</v>
      </c>
      <c r="B10552" s="1" t="s">
        <v>2628</v>
      </c>
      <c r="C10552" s="1">
        <v>9</v>
      </c>
      <c r="D10552" s="1" t="s">
        <v>19</v>
      </c>
      <c r="E10552" s="1" t="s">
        <v>6</v>
      </c>
      <c r="F10552" s="1" t="s">
        <v>5091</v>
      </c>
      <c r="G10552" s="14" t="s">
        <v>6145</v>
      </c>
      <c r="H10552" s="1" t="s">
        <v>43</v>
      </c>
      <c r="I10552" s="17">
        <v>42535</v>
      </c>
    </row>
    <row r="10553" spans="1:10">
      <c r="A10553" s="16" t="s">
        <v>11351</v>
      </c>
      <c r="B10553" s="1" t="s">
        <v>2628</v>
      </c>
      <c r="C10553" s="1">
        <v>9</v>
      </c>
      <c r="D10553" s="1" t="s">
        <v>19</v>
      </c>
      <c r="E10553" s="1" t="s">
        <v>6</v>
      </c>
      <c r="F10553" s="1" t="s">
        <v>5091</v>
      </c>
      <c r="G10553" s="14" t="s">
        <v>6909</v>
      </c>
      <c r="H10553" s="1" t="s">
        <v>43</v>
      </c>
      <c r="I10553" s="17">
        <v>42370</v>
      </c>
    </row>
    <row r="10554" spans="1:10">
      <c r="A10554" s="16" t="s">
        <v>11352</v>
      </c>
      <c r="B10554" s="1" t="s">
        <v>2628</v>
      </c>
      <c r="C10554" s="1">
        <v>9</v>
      </c>
      <c r="D10554" s="1" t="s">
        <v>19</v>
      </c>
      <c r="E10554" s="1" t="s">
        <v>6</v>
      </c>
      <c r="F10554" s="1" t="s">
        <v>5091</v>
      </c>
      <c r="G10554" s="14" t="s">
        <v>6909</v>
      </c>
      <c r="H10554" s="1" t="s">
        <v>43</v>
      </c>
      <c r="I10554" s="17">
        <v>42370</v>
      </c>
    </row>
    <row r="10555" spans="1:10">
      <c r="A10555" s="16" t="s">
        <v>11380</v>
      </c>
      <c r="B10555" s="1" t="s">
        <v>2628</v>
      </c>
      <c r="C10555" s="1">
        <v>9</v>
      </c>
      <c r="D10555" s="1" t="s">
        <v>19</v>
      </c>
      <c r="E10555" s="1" t="s">
        <v>6</v>
      </c>
      <c r="F10555" s="1" t="s">
        <v>5091</v>
      </c>
      <c r="G10555" s="14" t="s">
        <v>11381</v>
      </c>
      <c r="H10555" s="1" t="s">
        <v>5</v>
      </c>
      <c r="I10555" s="17">
        <v>39553</v>
      </c>
    </row>
    <row r="10556" spans="1:10">
      <c r="A10556" s="16" t="s">
        <v>11382</v>
      </c>
      <c r="B10556" s="1" t="s">
        <v>2628</v>
      </c>
      <c r="C10556" s="1">
        <v>9</v>
      </c>
      <c r="D10556" s="1" t="s">
        <v>19</v>
      </c>
      <c r="E10556" s="1" t="s">
        <v>6</v>
      </c>
      <c r="F10556" s="1" t="s">
        <v>5091</v>
      </c>
      <c r="G10556" s="14" t="s">
        <v>11383</v>
      </c>
      <c r="H10556" s="1" t="s">
        <v>5</v>
      </c>
      <c r="I10556" s="17">
        <v>39535</v>
      </c>
    </row>
    <row r="10557" spans="1:10">
      <c r="A10557" s="16" t="s">
        <v>11585</v>
      </c>
      <c r="B10557" s="1" t="s">
        <v>2628</v>
      </c>
      <c r="C10557" s="1">
        <v>9</v>
      </c>
      <c r="D10557" s="1" t="s">
        <v>19</v>
      </c>
      <c r="E10557" s="1" t="s">
        <v>6</v>
      </c>
      <c r="F10557" s="1" t="s">
        <v>5091</v>
      </c>
      <c r="G10557" s="14" t="s">
        <v>6236</v>
      </c>
      <c r="H10557" s="1" t="s">
        <v>43</v>
      </c>
      <c r="I10557" s="17">
        <v>42370</v>
      </c>
    </row>
    <row r="10558" spans="1:10">
      <c r="A10558" s="16" t="s">
        <v>11602</v>
      </c>
      <c r="B10558" s="1" t="s">
        <v>2628</v>
      </c>
      <c r="C10558" s="1">
        <v>9</v>
      </c>
      <c r="D10558" s="1" t="s">
        <v>19</v>
      </c>
      <c r="E10558" s="1" t="s">
        <v>6</v>
      </c>
      <c r="F10558" s="1" t="s">
        <v>5091</v>
      </c>
      <c r="G10558" s="14" t="s">
        <v>6145</v>
      </c>
      <c r="H10558" s="1" t="s">
        <v>43</v>
      </c>
      <c r="I10558" s="17">
        <v>42597</v>
      </c>
    </row>
    <row r="10559" spans="1:10">
      <c r="A10559" s="16" t="s">
        <v>11603</v>
      </c>
      <c r="B10559" s="1" t="s">
        <v>2628</v>
      </c>
      <c r="C10559" s="1">
        <v>9</v>
      </c>
      <c r="D10559" s="1" t="s">
        <v>19</v>
      </c>
      <c r="E10559" s="1" t="s">
        <v>6</v>
      </c>
      <c r="F10559" s="1" t="s">
        <v>5091</v>
      </c>
      <c r="G10559" s="14" t="s">
        <v>6145</v>
      </c>
      <c r="H10559" s="1" t="s">
        <v>43</v>
      </c>
      <c r="I10559" s="17">
        <v>42597</v>
      </c>
    </row>
    <row r="10560" spans="1:10">
      <c r="A10560" s="16" t="s">
        <v>11604</v>
      </c>
      <c r="B10560" s="1" t="s">
        <v>2628</v>
      </c>
      <c r="C10560" s="1">
        <v>9</v>
      </c>
      <c r="D10560" s="1" t="s">
        <v>19</v>
      </c>
      <c r="E10560" s="1" t="s">
        <v>6</v>
      </c>
      <c r="F10560" s="1" t="s">
        <v>5091</v>
      </c>
      <c r="G10560" s="14" t="s">
        <v>6145</v>
      </c>
      <c r="H10560" s="1" t="s">
        <v>43</v>
      </c>
      <c r="I10560" s="17">
        <v>42597</v>
      </c>
    </row>
    <row r="10561" spans="1:9">
      <c r="A10561" s="16" t="s">
        <v>11644</v>
      </c>
      <c r="B10561" s="1" t="s">
        <v>2628</v>
      </c>
      <c r="C10561" s="1">
        <v>9</v>
      </c>
      <c r="D10561" s="1" t="s">
        <v>19</v>
      </c>
      <c r="E10561" s="1" t="s">
        <v>6</v>
      </c>
      <c r="F10561" s="1" t="s">
        <v>5091</v>
      </c>
      <c r="G10561" s="14" t="s">
        <v>6236</v>
      </c>
      <c r="H10561" s="1" t="s">
        <v>43</v>
      </c>
      <c r="I10561" s="17">
        <v>40909</v>
      </c>
    </row>
    <row r="10562" spans="1:9">
      <c r="A10562" s="16" t="s">
        <v>11646</v>
      </c>
      <c r="B10562" s="1" t="s">
        <v>2628</v>
      </c>
      <c r="C10562" s="1">
        <v>9</v>
      </c>
      <c r="D10562" s="1" t="s">
        <v>19</v>
      </c>
      <c r="E10562" s="1" t="s">
        <v>6</v>
      </c>
      <c r="F10562" s="1" t="s">
        <v>5091</v>
      </c>
      <c r="G10562" s="14" t="s">
        <v>6236</v>
      </c>
      <c r="H10562" s="1" t="s">
        <v>43</v>
      </c>
      <c r="I10562" s="17">
        <v>40179</v>
      </c>
    </row>
    <row r="10563" spans="1:9">
      <c r="A10563" s="16" t="s">
        <v>11650</v>
      </c>
      <c r="B10563" s="1" t="s">
        <v>2628</v>
      </c>
      <c r="C10563" s="1">
        <v>9</v>
      </c>
      <c r="D10563" s="1" t="s">
        <v>19</v>
      </c>
      <c r="E10563" s="1" t="s">
        <v>6</v>
      </c>
      <c r="F10563" s="1" t="s">
        <v>5091</v>
      </c>
      <c r="G10563" s="14" t="s">
        <v>6236</v>
      </c>
      <c r="H10563" s="1" t="s">
        <v>43</v>
      </c>
      <c r="I10563" s="17">
        <v>40544</v>
      </c>
    </row>
    <row r="10564" spans="1:9">
      <c r="A10564" s="16" t="s">
        <v>11653</v>
      </c>
      <c r="B10564" s="1" t="s">
        <v>2628</v>
      </c>
      <c r="C10564" s="1">
        <v>9</v>
      </c>
      <c r="D10564" s="1" t="s">
        <v>19</v>
      </c>
      <c r="E10564" s="1" t="s">
        <v>6</v>
      </c>
      <c r="F10564" s="1" t="s">
        <v>5091</v>
      </c>
      <c r="G10564" s="14" t="s">
        <v>6236</v>
      </c>
      <c r="H10564" s="1" t="s">
        <v>43</v>
      </c>
      <c r="I10564" s="17">
        <v>40544</v>
      </c>
    </row>
    <row r="10565" spans="1:9">
      <c r="A10565" s="16" t="s">
        <v>11654</v>
      </c>
      <c r="B10565" s="1" t="s">
        <v>2628</v>
      </c>
      <c r="C10565" s="1">
        <v>9</v>
      </c>
      <c r="D10565" s="1" t="s">
        <v>19</v>
      </c>
      <c r="E10565" s="1" t="s">
        <v>6</v>
      </c>
      <c r="F10565" s="1" t="s">
        <v>5091</v>
      </c>
      <c r="G10565" s="14" t="s">
        <v>6236</v>
      </c>
      <c r="H10565" s="1" t="s">
        <v>43</v>
      </c>
      <c r="I10565" s="17">
        <v>40179</v>
      </c>
    </row>
    <row r="10566" spans="1:9">
      <c r="A10566" s="16" t="s">
        <v>11780</v>
      </c>
      <c r="B10566" s="1" t="s">
        <v>2628</v>
      </c>
      <c r="C10566" s="1">
        <v>9</v>
      </c>
      <c r="D10566" s="1" t="s">
        <v>19</v>
      </c>
      <c r="E10566" s="1" t="s">
        <v>6</v>
      </c>
      <c r="F10566" s="1" t="s">
        <v>5091</v>
      </c>
      <c r="G10566" s="14" t="s">
        <v>9495</v>
      </c>
      <c r="H10566" s="1" t="s">
        <v>5</v>
      </c>
      <c r="I10566" s="17">
        <v>42667</v>
      </c>
    </row>
    <row r="10567" spans="1:9">
      <c r="A10567" s="16" t="s">
        <v>11827</v>
      </c>
      <c r="B10567" s="1" t="s">
        <v>2628</v>
      </c>
      <c r="C10567" s="1">
        <v>9</v>
      </c>
      <c r="D10567" s="1" t="s">
        <v>19</v>
      </c>
      <c r="E10567" s="1" t="s">
        <v>6</v>
      </c>
      <c r="F10567" s="1" t="s">
        <v>5091</v>
      </c>
      <c r="G10567" s="14" t="s">
        <v>6145</v>
      </c>
      <c r="H10567" s="1" t="s">
        <v>43</v>
      </c>
      <c r="I10567" s="17">
        <v>42667</v>
      </c>
    </row>
    <row r="10568" spans="1:9">
      <c r="A10568" s="16" t="s">
        <v>11831</v>
      </c>
      <c r="B10568" s="1" t="s">
        <v>2628</v>
      </c>
      <c r="C10568" s="1">
        <v>9</v>
      </c>
      <c r="D10568" s="1" t="s">
        <v>19</v>
      </c>
      <c r="E10568" s="1" t="s">
        <v>6</v>
      </c>
      <c r="F10568" s="1" t="s">
        <v>5091</v>
      </c>
      <c r="G10568" s="14" t="s">
        <v>6145</v>
      </c>
      <c r="H10568" s="1" t="s">
        <v>43</v>
      </c>
      <c r="I10568" s="17">
        <v>42667</v>
      </c>
    </row>
    <row r="10569" spans="1:9">
      <c r="A10569" s="16" t="s">
        <v>11859</v>
      </c>
      <c r="B10569" s="1" t="s">
        <v>2628</v>
      </c>
      <c r="C10569" s="1">
        <v>9</v>
      </c>
      <c r="D10569" s="1" t="s">
        <v>19</v>
      </c>
      <c r="E10569" s="1" t="s">
        <v>6</v>
      </c>
      <c r="F10569" s="1" t="s">
        <v>5091</v>
      </c>
      <c r="G10569" s="14" t="s">
        <v>6145</v>
      </c>
      <c r="H10569" s="1" t="s">
        <v>43</v>
      </c>
      <c r="I10569" s="17">
        <v>42674</v>
      </c>
    </row>
    <row r="10570" spans="1:9">
      <c r="A10570" s="16" t="s">
        <v>11862</v>
      </c>
      <c r="B10570" s="1" t="s">
        <v>2628</v>
      </c>
      <c r="C10570" s="1">
        <v>9</v>
      </c>
      <c r="D10570" s="1" t="s">
        <v>19</v>
      </c>
      <c r="E10570" s="1" t="s">
        <v>6</v>
      </c>
      <c r="F10570" s="1" t="s">
        <v>5091</v>
      </c>
      <c r="G10570" s="14" t="s">
        <v>6145</v>
      </c>
      <c r="H10570" s="1" t="s">
        <v>43</v>
      </c>
      <c r="I10570" s="17">
        <v>42674</v>
      </c>
    </row>
    <row r="10571" spans="1:9">
      <c r="A10571" s="16" t="s">
        <v>11863</v>
      </c>
      <c r="B10571" s="1" t="s">
        <v>2628</v>
      </c>
      <c r="C10571" s="1">
        <v>9</v>
      </c>
      <c r="D10571" s="1" t="s">
        <v>19</v>
      </c>
      <c r="E10571" s="1" t="s">
        <v>6</v>
      </c>
      <c r="F10571" s="1" t="s">
        <v>5091</v>
      </c>
      <c r="G10571" s="14" t="s">
        <v>6145</v>
      </c>
      <c r="H10571" s="1" t="s">
        <v>43</v>
      </c>
      <c r="I10571" s="17">
        <v>42674</v>
      </c>
    </row>
    <row r="10572" spans="1:9">
      <c r="A10572" s="16" t="s">
        <v>11864</v>
      </c>
      <c r="B10572" s="1" t="s">
        <v>2628</v>
      </c>
      <c r="C10572" s="1">
        <v>9</v>
      </c>
      <c r="D10572" s="1" t="s">
        <v>19</v>
      </c>
      <c r="E10572" s="1" t="s">
        <v>6</v>
      </c>
      <c r="F10572" s="1" t="s">
        <v>5091</v>
      </c>
      <c r="G10572" s="14" t="s">
        <v>6145</v>
      </c>
      <c r="H10572" s="1" t="s">
        <v>43</v>
      </c>
      <c r="I10572" s="17">
        <v>42674</v>
      </c>
    </row>
    <row r="10573" spans="1:9">
      <c r="A10573" s="16" t="s">
        <v>11865</v>
      </c>
      <c r="B10573" s="1" t="s">
        <v>2628</v>
      </c>
      <c r="C10573" s="1">
        <v>9</v>
      </c>
      <c r="D10573" s="1" t="s">
        <v>19</v>
      </c>
      <c r="E10573" s="1" t="s">
        <v>6</v>
      </c>
      <c r="F10573" s="1" t="s">
        <v>5091</v>
      </c>
      <c r="G10573" s="14" t="s">
        <v>6145</v>
      </c>
      <c r="H10573" s="1" t="s">
        <v>43</v>
      </c>
      <c r="I10573" s="17">
        <v>42674</v>
      </c>
    </row>
    <row r="10574" spans="1:9">
      <c r="A10574" s="16" t="s">
        <v>11866</v>
      </c>
      <c r="B10574" s="1" t="s">
        <v>2628</v>
      </c>
      <c r="C10574" s="1">
        <v>9</v>
      </c>
      <c r="D10574" s="1" t="s">
        <v>19</v>
      </c>
      <c r="E10574" s="1" t="s">
        <v>6</v>
      </c>
      <c r="F10574" s="1" t="s">
        <v>5091</v>
      </c>
      <c r="G10574" s="14" t="s">
        <v>6145</v>
      </c>
      <c r="H10574" s="1" t="s">
        <v>43</v>
      </c>
      <c r="I10574" s="17">
        <v>42674</v>
      </c>
    </row>
    <row r="10575" spans="1:9">
      <c r="A10575" s="16" t="s">
        <v>11867</v>
      </c>
      <c r="B10575" s="1" t="s">
        <v>2628</v>
      </c>
      <c r="C10575" s="1">
        <v>9</v>
      </c>
      <c r="D10575" s="1" t="s">
        <v>19</v>
      </c>
      <c r="E10575" s="1" t="s">
        <v>6</v>
      </c>
      <c r="F10575" s="1" t="s">
        <v>5091</v>
      </c>
      <c r="G10575" s="14" t="s">
        <v>6145</v>
      </c>
      <c r="H10575" s="1" t="s">
        <v>43</v>
      </c>
      <c r="I10575" s="17">
        <v>42674</v>
      </c>
    </row>
    <row r="10576" spans="1:9">
      <c r="A10576" s="16" t="s">
        <v>11868</v>
      </c>
      <c r="B10576" s="1" t="s">
        <v>2628</v>
      </c>
      <c r="C10576" s="1">
        <v>9</v>
      </c>
      <c r="D10576" s="1" t="s">
        <v>19</v>
      </c>
      <c r="E10576" s="1" t="s">
        <v>6</v>
      </c>
      <c r="F10576" s="1" t="s">
        <v>5091</v>
      </c>
      <c r="G10576" s="14" t="s">
        <v>6145</v>
      </c>
      <c r="H10576" s="1" t="s">
        <v>43</v>
      </c>
      <c r="I10576" s="17">
        <v>42674</v>
      </c>
    </row>
    <row r="10577" spans="1:10">
      <c r="A10577" s="16" t="s">
        <v>11869</v>
      </c>
      <c r="B10577" s="1" t="s">
        <v>2628</v>
      </c>
      <c r="C10577" s="1">
        <v>9</v>
      </c>
      <c r="D10577" s="1" t="s">
        <v>19</v>
      </c>
      <c r="E10577" s="1" t="s">
        <v>6</v>
      </c>
      <c r="F10577" s="1" t="s">
        <v>5091</v>
      </c>
      <c r="G10577" s="14" t="s">
        <v>6145</v>
      </c>
      <c r="H10577" s="1" t="s">
        <v>43</v>
      </c>
      <c r="I10577" s="17">
        <v>42674</v>
      </c>
    </row>
    <row r="10578" spans="1:10" ht="31.2">
      <c r="A10578" s="16" t="s">
        <v>11903</v>
      </c>
      <c r="B10578" s="1" t="s">
        <v>2631</v>
      </c>
      <c r="C10578" s="1">
        <v>9</v>
      </c>
      <c r="D10578" s="1" t="s">
        <v>19</v>
      </c>
      <c r="E10578" s="1" t="s">
        <v>6</v>
      </c>
      <c r="F10578" s="1" t="s">
        <v>139</v>
      </c>
      <c r="G10578" s="1" t="s">
        <v>10370</v>
      </c>
      <c r="H10578" s="1" t="s">
        <v>5</v>
      </c>
      <c r="I10578" s="17">
        <v>37622</v>
      </c>
    </row>
    <row r="10579" spans="1:10" ht="31.2">
      <c r="A10579" s="16" t="s">
        <v>11904</v>
      </c>
      <c r="B10579" s="1" t="s">
        <v>2631</v>
      </c>
      <c r="C10579" s="1">
        <v>9</v>
      </c>
      <c r="D10579" s="1" t="s">
        <v>19</v>
      </c>
      <c r="E10579" s="1" t="s">
        <v>6</v>
      </c>
      <c r="F10579" s="1" t="s">
        <v>139</v>
      </c>
      <c r="G10579" s="1" t="s">
        <v>10370</v>
      </c>
      <c r="H10579" s="1" t="s">
        <v>5</v>
      </c>
      <c r="I10579" s="17">
        <v>37622</v>
      </c>
    </row>
    <row r="10580" spans="1:10">
      <c r="A10580" s="16" t="s">
        <v>11929</v>
      </c>
      <c r="B10580" s="1" t="s">
        <v>2628</v>
      </c>
      <c r="C10580" s="1">
        <v>9</v>
      </c>
      <c r="D10580" s="1" t="s">
        <v>19</v>
      </c>
      <c r="E10580" s="1" t="s">
        <v>6</v>
      </c>
      <c r="F10580" s="1" t="s">
        <v>139</v>
      </c>
      <c r="G10580" s="14" t="s">
        <v>11930</v>
      </c>
      <c r="H10580" s="1" t="s">
        <v>43</v>
      </c>
      <c r="I10580" s="17">
        <v>38353</v>
      </c>
    </row>
    <row r="10581" spans="1:10">
      <c r="A10581" s="16" t="s">
        <v>11959</v>
      </c>
      <c r="B10581" s="1" t="s">
        <v>2628</v>
      </c>
      <c r="C10581" s="1">
        <v>9</v>
      </c>
      <c r="D10581" s="1" t="s">
        <v>19</v>
      </c>
      <c r="E10581" s="1" t="s">
        <v>6</v>
      </c>
      <c r="F10581" s="1" t="s">
        <v>5091</v>
      </c>
      <c r="G10581" s="14" t="s">
        <v>6145</v>
      </c>
      <c r="H10581" s="1" t="s">
        <v>43</v>
      </c>
      <c r="I10581" s="17">
        <v>42370</v>
      </c>
    </row>
    <row r="10582" spans="1:10">
      <c r="A10582" s="16" t="s">
        <v>11997</v>
      </c>
      <c r="B10582" s="1" t="s">
        <v>2628</v>
      </c>
      <c r="C10582" s="1">
        <v>9</v>
      </c>
      <c r="D10582" s="1" t="s">
        <v>19</v>
      </c>
      <c r="E10582" s="1" t="s">
        <v>6</v>
      </c>
      <c r="F10582" s="1" t="s">
        <v>5091</v>
      </c>
      <c r="G10582" s="14" t="s">
        <v>4458</v>
      </c>
      <c r="H10582" s="1" t="s">
        <v>118</v>
      </c>
      <c r="I10582" s="17">
        <v>42675</v>
      </c>
    </row>
    <row r="10583" spans="1:10">
      <c r="A10583" s="16" t="s">
        <v>12030</v>
      </c>
      <c r="B10583" s="1" t="s">
        <v>2631</v>
      </c>
      <c r="C10583" s="1">
        <v>9</v>
      </c>
      <c r="D10583" s="1" t="s">
        <v>19</v>
      </c>
      <c r="E10583" s="1" t="s">
        <v>6</v>
      </c>
      <c r="F10583" s="1" t="s">
        <v>5241</v>
      </c>
      <c r="G10583" s="1" t="s">
        <v>8618</v>
      </c>
      <c r="H10583" s="1" t="s">
        <v>5</v>
      </c>
      <c r="I10583" s="1" t="s">
        <v>4792</v>
      </c>
    </row>
    <row r="10584" spans="1:10">
      <c r="A10584" s="7" t="s">
        <v>12031</v>
      </c>
      <c r="B10584" s="1" t="s">
        <v>2629</v>
      </c>
      <c r="C10584" s="1">
        <v>9</v>
      </c>
      <c r="D10584" s="1" t="s">
        <v>19</v>
      </c>
      <c r="E10584" s="1" t="s">
        <v>6</v>
      </c>
      <c r="F10584" s="1" t="s">
        <v>5241</v>
      </c>
      <c r="G10584" s="1" t="s">
        <v>4803</v>
      </c>
      <c r="H10584" s="1" t="s">
        <v>5</v>
      </c>
      <c r="I10584" s="1" t="s">
        <v>4792</v>
      </c>
      <c r="J10584" s="17"/>
    </row>
    <row r="10585" spans="1:10">
      <c r="A10585" s="16" t="s">
        <v>12032</v>
      </c>
      <c r="B10585" s="1" t="s">
        <v>2631</v>
      </c>
      <c r="C10585" s="1">
        <v>9</v>
      </c>
      <c r="D10585" s="1" t="s">
        <v>19</v>
      </c>
      <c r="E10585" s="1" t="s">
        <v>6</v>
      </c>
      <c r="F10585" s="1" t="s">
        <v>5241</v>
      </c>
      <c r="G10585" s="1" t="s">
        <v>8618</v>
      </c>
      <c r="H10585" s="1" t="s">
        <v>5</v>
      </c>
      <c r="I10585" s="1" t="s">
        <v>4792</v>
      </c>
    </row>
    <row r="10586" spans="1:10">
      <c r="A10586" s="16" t="s">
        <v>12041</v>
      </c>
      <c r="B10586" s="1" t="s">
        <v>2628</v>
      </c>
      <c r="C10586" s="1">
        <v>9</v>
      </c>
      <c r="D10586" s="1" t="s">
        <v>19</v>
      </c>
      <c r="E10586" s="1" t="s">
        <v>6</v>
      </c>
      <c r="F10586" s="1" t="s">
        <v>5091</v>
      </c>
      <c r="G10586" s="14" t="s">
        <v>6236</v>
      </c>
      <c r="H10586" s="1" t="s">
        <v>43</v>
      </c>
      <c r="I10586" s="17">
        <v>42370</v>
      </c>
    </row>
    <row r="10587" spans="1:10" ht="31.2">
      <c r="A10587" s="16" t="s">
        <v>12044</v>
      </c>
      <c r="B10587" s="1" t="s">
        <v>2628</v>
      </c>
      <c r="C10587" s="1">
        <v>9</v>
      </c>
      <c r="D10587" s="1" t="s">
        <v>19</v>
      </c>
      <c r="E10587" s="1" t="s">
        <v>6</v>
      </c>
      <c r="F10587" s="1" t="s">
        <v>5091</v>
      </c>
      <c r="G10587" s="14" t="s">
        <v>6145</v>
      </c>
      <c r="H10587" s="1" t="s">
        <v>43</v>
      </c>
      <c r="I10587" s="17">
        <v>38600</v>
      </c>
    </row>
    <row r="10588" spans="1:10">
      <c r="A10588" s="16" t="s">
        <v>12084</v>
      </c>
      <c r="B10588" s="1" t="s">
        <v>2628</v>
      </c>
      <c r="C10588" s="1">
        <v>9</v>
      </c>
      <c r="D10588" s="1" t="s">
        <v>19</v>
      </c>
      <c r="E10588" s="1" t="s">
        <v>6</v>
      </c>
      <c r="F10588" s="1" t="s">
        <v>5091</v>
      </c>
      <c r="G10588" s="14" t="s">
        <v>12085</v>
      </c>
      <c r="H10588" s="1" t="s">
        <v>43</v>
      </c>
      <c r="I10588" s="17">
        <v>42736</v>
      </c>
    </row>
    <row r="10589" spans="1:10">
      <c r="A10589" s="16" t="s">
        <v>12087</v>
      </c>
      <c r="B10589" s="1" t="s">
        <v>2628</v>
      </c>
      <c r="C10589" s="1">
        <v>9</v>
      </c>
      <c r="D10589" s="1" t="s">
        <v>19</v>
      </c>
      <c r="E10589" s="1" t="s">
        <v>6</v>
      </c>
      <c r="F10589" s="1" t="s">
        <v>5091</v>
      </c>
      <c r="G10589" s="14" t="s">
        <v>12085</v>
      </c>
      <c r="H10589" s="1" t="s">
        <v>43</v>
      </c>
      <c r="I10589" s="17">
        <v>42736</v>
      </c>
    </row>
    <row r="10590" spans="1:10">
      <c r="A10590" s="16" t="s">
        <v>12186</v>
      </c>
      <c r="B10590" s="1" t="s">
        <v>2628</v>
      </c>
      <c r="C10590" s="1">
        <v>9</v>
      </c>
      <c r="D10590" s="1" t="s">
        <v>19</v>
      </c>
      <c r="E10590" s="1" t="s">
        <v>6</v>
      </c>
      <c r="F10590" s="1" t="s">
        <v>5091</v>
      </c>
      <c r="G10590" s="14" t="s">
        <v>12187</v>
      </c>
      <c r="H10590" s="1" t="s">
        <v>5</v>
      </c>
      <c r="I10590" s="17">
        <v>41640</v>
      </c>
    </row>
    <row r="10591" spans="1:10">
      <c r="A10591" s="16" t="s">
        <v>12225</v>
      </c>
      <c r="B10591" s="1" t="s">
        <v>2628</v>
      </c>
      <c r="C10591" s="1">
        <v>9</v>
      </c>
      <c r="D10591" s="1" t="s">
        <v>19</v>
      </c>
      <c r="E10591" s="1" t="s">
        <v>6</v>
      </c>
      <c r="F10591" s="1" t="s">
        <v>5091</v>
      </c>
      <c r="G10591" s="14" t="s">
        <v>6236</v>
      </c>
      <c r="H10591" s="1" t="s">
        <v>43</v>
      </c>
      <c r="I10591" s="17">
        <v>42736</v>
      </c>
    </row>
    <row r="10592" spans="1:10">
      <c r="A10592" s="16" t="s">
        <v>12233</v>
      </c>
      <c r="B10592" s="1" t="s">
        <v>2628</v>
      </c>
      <c r="C10592" s="1">
        <v>9</v>
      </c>
      <c r="D10592" s="1" t="s">
        <v>19</v>
      </c>
      <c r="E10592" s="1" t="s">
        <v>6</v>
      </c>
      <c r="F10592" s="1" t="s">
        <v>5091</v>
      </c>
      <c r="G10592" s="14" t="s">
        <v>6236</v>
      </c>
      <c r="H10592" s="1" t="s">
        <v>43</v>
      </c>
      <c r="I10592" s="17">
        <v>42736</v>
      </c>
    </row>
    <row r="10593" spans="1:9">
      <c r="A10593" s="16" t="s">
        <v>12269</v>
      </c>
      <c r="B10593" s="1" t="s">
        <v>2628</v>
      </c>
      <c r="C10593" s="1">
        <v>9</v>
      </c>
      <c r="D10593" s="1" t="s">
        <v>19</v>
      </c>
      <c r="E10593" s="1" t="s">
        <v>6</v>
      </c>
      <c r="F10593" s="1" t="s">
        <v>5091</v>
      </c>
      <c r="G10593" s="14" t="s">
        <v>6145</v>
      </c>
      <c r="H10593" s="1" t="s">
        <v>43</v>
      </c>
      <c r="I10593" s="17">
        <v>42781</v>
      </c>
    </row>
    <row r="10594" spans="1:9">
      <c r="A10594" s="16" t="s">
        <v>12285</v>
      </c>
      <c r="B10594" s="1" t="s">
        <v>2628</v>
      </c>
      <c r="C10594" s="1">
        <v>9</v>
      </c>
      <c r="D10594" s="1" t="s">
        <v>19</v>
      </c>
      <c r="E10594" s="1" t="s">
        <v>6</v>
      </c>
      <c r="F10594" s="1" t="s">
        <v>5091</v>
      </c>
      <c r="G10594" s="14" t="s">
        <v>12286</v>
      </c>
      <c r="H10594" s="1" t="s">
        <v>5</v>
      </c>
      <c r="I10594" s="17">
        <v>41640</v>
      </c>
    </row>
    <row r="10595" spans="1:9">
      <c r="A10595" s="16" t="s">
        <v>12290</v>
      </c>
      <c r="B10595" s="1" t="s">
        <v>2628</v>
      </c>
      <c r="C10595" s="1">
        <v>9</v>
      </c>
      <c r="D10595" s="1" t="s">
        <v>19</v>
      </c>
      <c r="E10595" s="1" t="s">
        <v>6</v>
      </c>
      <c r="F10595" s="1" t="s">
        <v>5091</v>
      </c>
      <c r="G10595" s="14" t="s">
        <v>12291</v>
      </c>
      <c r="H10595" s="1" t="s">
        <v>5</v>
      </c>
      <c r="I10595" s="17">
        <v>41640</v>
      </c>
    </row>
    <row r="10596" spans="1:9">
      <c r="A10596" s="16" t="s">
        <v>12333</v>
      </c>
      <c r="B10596" s="1" t="s">
        <v>2628</v>
      </c>
      <c r="C10596" s="1">
        <v>9</v>
      </c>
      <c r="D10596" s="1" t="s">
        <v>19</v>
      </c>
      <c r="E10596" s="1" t="s">
        <v>6</v>
      </c>
      <c r="F10596" s="1" t="s">
        <v>5091</v>
      </c>
      <c r="G10596" s="14" t="s">
        <v>6145</v>
      </c>
      <c r="H10596" s="1" t="s">
        <v>43</v>
      </c>
      <c r="I10596" s="17">
        <v>41640</v>
      </c>
    </row>
    <row r="10597" spans="1:9">
      <c r="A10597" s="16" t="s">
        <v>12335</v>
      </c>
      <c r="B10597" s="1" t="s">
        <v>2628</v>
      </c>
      <c r="C10597" s="1">
        <v>9</v>
      </c>
      <c r="D10597" s="1" t="s">
        <v>19</v>
      </c>
      <c r="E10597" s="1" t="s">
        <v>6</v>
      </c>
      <c r="F10597" s="1" t="s">
        <v>5091</v>
      </c>
      <c r="G10597" s="14" t="s">
        <v>6145</v>
      </c>
      <c r="H10597" s="1" t="s">
        <v>43</v>
      </c>
      <c r="I10597" s="17">
        <v>41640</v>
      </c>
    </row>
    <row r="10598" spans="1:9">
      <c r="A10598" s="16" t="s">
        <v>12396</v>
      </c>
      <c r="B10598" s="1" t="s">
        <v>2628</v>
      </c>
      <c r="C10598" s="1">
        <v>9</v>
      </c>
      <c r="D10598" s="1" t="s">
        <v>19</v>
      </c>
      <c r="E10598" s="1" t="s">
        <v>6</v>
      </c>
      <c r="F10598" s="1" t="s">
        <v>5091</v>
      </c>
      <c r="G10598" s="14" t="s">
        <v>6145</v>
      </c>
      <c r="H10598" s="1" t="s">
        <v>43</v>
      </c>
      <c r="I10598" s="17">
        <v>41640</v>
      </c>
    </row>
    <row r="10599" spans="1:9">
      <c r="A10599" s="16" t="s">
        <v>12404</v>
      </c>
      <c r="B10599" s="1" t="s">
        <v>2628</v>
      </c>
      <c r="C10599" s="1">
        <v>9</v>
      </c>
      <c r="D10599" s="1" t="s">
        <v>19</v>
      </c>
      <c r="E10599" s="1" t="s">
        <v>6</v>
      </c>
      <c r="F10599" s="1" t="s">
        <v>5091</v>
      </c>
      <c r="G10599" s="14" t="s">
        <v>6145</v>
      </c>
      <c r="H10599" s="1" t="s">
        <v>43</v>
      </c>
      <c r="I10599" s="17">
        <v>41640</v>
      </c>
    </row>
    <row r="10600" spans="1:9">
      <c r="A10600" s="16" t="s">
        <v>12405</v>
      </c>
      <c r="B10600" s="1" t="s">
        <v>2628</v>
      </c>
      <c r="C10600" s="1">
        <v>9</v>
      </c>
      <c r="D10600" s="1" t="s">
        <v>19</v>
      </c>
      <c r="E10600" s="1" t="s">
        <v>6</v>
      </c>
      <c r="F10600" s="1" t="s">
        <v>5091</v>
      </c>
      <c r="G10600" s="14" t="s">
        <v>6145</v>
      </c>
      <c r="H10600" s="1" t="s">
        <v>43</v>
      </c>
      <c r="I10600" s="17">
        <v>41640</v>
      </c>
    </row>
    <row r="10601" spans="1:9">
      <c r="A10601" s="16" t="s">
        <v>12406</v>
      </c>
      <c r="B10601" s="1" t="s">
        <v>2628</v>
      </c>
      <c r="C10601" s="1">
        <v>9</v>
      </c>
      <c r="D10601" s="1" t="s">
        <v>19</v>
      </c>
      <c r="E10601" s="1" t="s">
        <v>6</v>
      </c>
      <c r="F10601" s="1" t="s">
        <v>5091</v>
      </c>
      <c r="G10601" s="14" t="s">
        <v>6145</v>
      </c>
      <c r="H10601" s="1" t="s">
        <v>43</v>
      </c>
      <c r="I10601" s="17">
        <v>41640</v>
      </c>
    </row>
    <row r="10602" spans="1:9">
      <c r="A10602" s="16" t="s">
        <v>12407</v>
      </c>
      <c r="B10602" s="1" t="s">
        <v>2628</v>
      </c>
      <c r="C10602" s="1">
        <v>9</v>
      </c>
      <c r="D10602" s="1" t="s">
        <v>19</v>
      </c>
      <c r="E10602" s="1" t="s">
        <v>6</v>
      </c>
      <c r="F10602" s="1" t="s">
        <v>5091</v>
      </c>
      <c r="G10602" s="14" t="s">
        <v>6145</v>
      </c>
      <c r="H10602" s="1" t="s">
        <v>43</v>
      </c>
      <c r="I10602" s="17">
        <v>41640</v>
      </c>
    </row>
    <row r="10603" spans="1:9">
      <c r="A10603" s="16" t="s">
        <v>12427</v>
      </c>
      <c r="B10603" s="1" t="s">
        <v>2628</v>
      </c>
      <c r="C10603" s="1">
        <v>9</v>
      </c>
      <c r="D10603" s="1" t="s">
        <v>19</v>
      </c>
      <c r="E10603" s="1" t="s">
        <v>6</v>
      </c>
      <c r="F10603" s="1" t="s">
        <v>5091</v>
      </c>
      <c r="G10603" s="14" t="s">
        <v>6450</v>
      </c>
      <c r="H10603" s="1" t="s">
        <v>43</v>
      </c>
      <c r="I10603" s="17">
        <v>42005</v>
      </c>
    </row>
    <row r="10604" spans="1:9">
      <c r="A10604" s="16" t="s">
        <v>12434</v>
      </c>
      <c r="B10604" s="1" t="s">
        <v>2628</v>
      </c>
      <c r="C10604" s="1">
        <v>9</v>
      </c>
      <c r="D10604" s="1" t="s">
        <v>19</v>
      </c>
      <c r="E10604" s="1" t="s">
        <v>6</v>
      </c>
      <c r="F10604" s="1" t="s">
        <v>5091</v>
      </c>
      <c r="G10604" s="14" t="s">
        <v>6450</v>
      </c>
      <c r="H10604" s="1" t="s">
        <v>43</v>
      </c>
      <c r="I10604" s="17">
        <v>42005</v>
      </c>
    </row>
    <row r="10605" spans="1:9">
      <c r="A10605" s="16" t="s">
        <v>12449</v>
      </c>
      <c r="B10605" s="1" t="s">
        <v>2628</v>
      </c>
      <c r="C10605" s="1">
        <v>9</v>
      </c>
      <c r="D10605" s="1" t="s">
        <v>19</v>
      </c>
      <c r="E10605" s="1" t="s">
        <v>6</v>
      </c>
      <c r="F10605" s="1" t="s">
        <v>5091</v>
      </c>
      <c r="G10605" s="14" t="s">
        <v>12450</v>
      </c>
      <c r="H10605" s="1" t="s">
        <v>5</v>
      </c>
      <c r="I10605" s="17">
        <v>41640</v>
      </c>
    </row>
    <row r="10606" spans="1:9">
      <c r="A10606" s="16" t="s">
        <v>12546</v>
      </c>
      <c r="B10606" s="1" t="s">
        <v>2628</v>
      </c>
      <c r="C10606" s="1">
        <v>9</v>
      </c>
      <c r="D10606" s="1" t="s">
        <v>19</v>
      </c>
      <c r="E10606" s="1" t="s">
        <v>6</v>
      </c>
      <c r="F10606" s="1" t="s">
        <v>5091</v>
      </c>
      <c r="G10606" s="14" t="s">
        <v>4458</v>
      </c>
      <c r="H10606" s="1" t="s">
        <v>118</v>
      </c>
      <c r="I10606" s="17">
        <v>42736</v>
      </c>
    </row>
    <row r="10607" spans="1:9">
      <c r="A10607" s="16" t="s">
        <v>12576</v>
      </c>
      <c r="B10607" s="1" t="s">
        <v>2628</v>
      </c>
      <c r="C10607" s="1">
        <v>9</v>
      </c>
      <c r="D10607" s="1" t="s">
        <v>19</v>
      </c>
      <c r="E10607" s="1" t="s">
        <v>6</v>
      </c>
      <c r="F10607" s="1" t="s">
        <v>5091</v>
      </c>
      <c r="G10607" s="14" t="s">
        <v>4458</v>
      </c>
      <c r="H10607" s="1" t="s">
        <v>118</v>
      </c>
      <c r="I10607" s="1" t="s">
        <v>4458</v>
      </c>
    </row>
    <row r="10608" spans="1:9">
      <c r="A10608" s="16" t="s">
        <v>12577</v>
      </c>
      <c r="B10608" s="1" t="s">
        <v>2628</v>
      </c>
      <c r="C10608" s="1">
        <v>9</v>
      </c>
      <c r="D10608" s="1" t="s">
        <v>19</v>
      </c>
      <c r="E10608" s="1" t="s">
        <v>6</v>
      </c>
      <c r="F10608" s="1" t="s">
        <v>5091</v>
      </c>
      <c r="G10608" s="14" t="s">
        <v>4458</v>
      </c>
      <c r="H10608" s="1" t="s">
        <v>118</v>
      </c>
      <c r="I10608" s="1" t="s">
        <v>4458</v>
      </c>
    </row>
    <row r="10609" spans="1:9">
      <c r="A10609" s="16" t="s">
        <v>12589</v>
      </c>
      <c r="B10609" s="1" t="s">
        <v>2628</v>
      </c>
      <c r="C10609" s="1">
        <v>9</v>
      </c>
      <c r="D10609" s="1" t="s">
        <v>19</v>
      </c>
      <c r="E10609" s="1" t="s">
        <v>6</v>
      </c>
      <c r="F10609" s="1" t="s">
        <v>5091</v>
      </c>
      <c r="G10609" s="14" t="s">
        <v>8428</v>
      </c>
      <c r="H10609" s="1" t="s">
        <v>5</v>
      </c>
      <c r="I10609" s="17">
        <v>40179</v>
      </c>
    </row>
    <row r="10610" spans="1:9">
      <c r="A10610" s="16" t="s">
        <v>12596</v>
      </c>
      <c r="B10610" s="1" t="s">
        <v>2628</v>
      </c>
      <c r="C10610" s="1">
        <v>9</v>
      </c>
      <c r="D10610" s="1" t="s">
        <v>19</v>
      </c>
      <c r="E10610" s="1" t="s">
        <v>6</v>
      </c>
      <c r="F10610" s="1" t="s">
        <v>5091</v>
      </c>
      <c r="G10610" s="14" t="s">
        <v>6145</v>
      </c>
      <c r="H10610" s="1" t="s">
        <v>43</v>
      </c>
      <c r="I10610" s="17">
        <v>42787</v>
      </c>
    </row>
    <row r="10611" spans="1:9">
      <c r="A10611" s="16" t="s">
        <v>12597</v>
      </c>
      <c r="B10611" s="1" t="s">
        <v>2628</v>
      </c>
      <c r="C10611" s="1">
        <v>9</v>
      </c>
      <c r="D10611" s="1" t="s">
        <v>19</v>
      </c>
      <c r="E10611" s="1" t="s">
        <v>6</v>
      </c>
      <c r="F10611" s="1" t="s">
        <v>5091</v>
      </c>
      <c r="G10611" s="14" t="s">
        <v>6145</v>
      </c>
      <c r="H10611" s="1" t="s">
        <v>43</v>
      </c>
      <c r="I10611" s="17">
        <v>42787</v>
      </c>
    </row>
    <row r="10612" spans="1:9">
      <c r="A10612" s="16" t="s">
        <v>12617</v>
      </c>
      <c r="B10612" s="1" t="s">
        <v>2628</v>
      </c>
      <c r="C10612" s="1">
        <v>9</v>
      </c>
      <c r="D10612" s="1" t="s">
        <v>19</v>
      </c>
      <c r="E10612" s="1" t="s">
        <v>6</v>
      </c>
      <c r="F10612" s="1" t="s">
        <v>5091</v>
      </c>
      <c r="G10612" s="14" t="s">
        <v>4458</v>
      </c>
      <c r="H10612" s="1" t="s">
        <v>118</v>
      </c>
      <c r="I10612" s="17">
        <v>42795</v>
      </c>
    </row>
    <row r="10613" spans="1:9">
      <c r="A10613" s="16" t="s">
        <v>12703</v>
      </c>
      <c r="B10613" s="1" t="s">
        <v>2628</v>
      </c>
      <c r="C10613" s="1">
        <v>9</v>
      </c>
      <c r="D10613" s="1" t="s">
        <v>19</v>
      </c>
      <c r="E10613" s="1" t="s">
        <v>6</v>
      </c>
      <c r="F10613" s="1" t="s">
        <v>5091</v>
      </c>
      <c r="G10613" s="14" t="s">
        <v>4458</v>
      </c>
      <c r="H10613" s="1" t="s">
        <v>118</v>
      </c>
      <c r="I10613" s="17">
        <v>42736</v>
      </c>
    </row>
    <row r="10614" spans="1:9">
      <c r="A10614" s="16" t="s">
        <v>12759</v>
      </c>
      <c r="B10614" s="1" t="s">
        <v>2628</v>
      </c>
      <c r="C10614" s="1">
        <v>9</v>
      </c>
      <c r="D10614" s="1" t="s">
        <v>19</v>
      </c>
      <c r="E10614" s="1" t="s">
        <v>6</v>
      </c>
      <c r="F10614" s="1" t="s">
        <v>5091</v>
      </c>
      <c r="G10614" s="14" t="s">
        <v>4458</v>
      </c>
      <c r="H10614" s="1" t="s">
        <v>118</v>
      </c>
      <c r="I10614" s="17">
        <v>42835</v>
      </c>
    </row>
    <row r="10615" spans="1:9">
      <c r="A10615" s="16" t="s">
        <v>12760</v>
      </c>
      <c r="B10615" s="1" t="s">
        <v>2628</v>
      </c>
      <c r="C10615" s="1">
        <v>9</v>
      </c>
      <c r="D10615" s="1" t="s">
        <v>19</v>
      </c>
      <c r="E10615" s="1" t="s">
        <v>6</v>
      </c>
      <c r="F10615" s="1" t="s">
        <v>5091</v>
      </c>
      <c r="G10615" s="14" t="s">
        <v>4458</v>
      </c>
      <c r="H10615" s="1" t="s">
        <v>118</v>
      </c>
      <c r="I10615" s="17">
        <v>42835</v>
      </c>
    </row>
    <row r="10616" spans="1:9">
      <c r="A10616" s="16" t="s">
        <v>12761</v>
      </c>
      <c r="B10616" s="1" t="s">
        <v>2628</v>
      </c>
      <c r="C10616" s="1">
        <v>9</v>
      </c>
      <c r="D10616" s="1" t="s">
        <v>19</v>
      </c>
      <c r="E10616" s="1" t="s">
        <v>6</v>
      </c>
      <c r="F10616" s="1" t="s">
        <v>5091</v>
      </c>
      <c r="G10616" s="14" t="s">
        <v>4458</v>
      </c>
      <c r="H10616" s="1" t="s">
        <v>118</v>
      </c>
      <c r="I10616" s="17">
        <v>42835</v>
      </c>
    </row>
    <row r="10617" spans="1:9">
      <c r="A10617" s="16" t="s">
        <v>12762</v>
      </c>
      <c r="B10617" s="1" t="s">
        <v>2628</v>
      </c>
      <c r="C10617" s="1">
        <v>9</v>
      </c>
      <c r="D10617" s="1" t="s">
        <v>19</v>
      </c>
      <c r="E10617" s="1" t="s">
        <v>6</v>
      </c>
      <c r="F10617" s="1" t="s">
        <v>5091</v>
      </c>
      <c r="G10617" s="14" t="s">
        <v>4458</v>
      </c>
      <c r="H10617" s="1" t="s">
        <v>118</v>
      </c>
      <c r="I10617" s="17">
        <v>42835</v>
      </c>
    </row>
    <row r="10618" spans="1:9" ht="31.2">
      <c r="A10618" s="16" t="s">
        <v>12833</v>
      </c>
      <c r="B10618" s="1" t="s">
        <v>2628</v>
      </c>
      <c r="C10618" s="1">
        <v>9</v>
      </c>
      <c r="D10618" s="1" t="s">
        <v>19</v>
      </c>
      <c r="E10618" s="1" t="s">
        <v>6</v>
      </c>
      <c r="F10618" s="1" t="s">
        <v>5091</v>
      </c>
      <c r="G10618" s="14" t="s">
        <v>6145</v>
      </c>
      <c r="H10618" s="1" t="s">
        <v>43</v>
      </c>
      <c r="I10618" s="17">
        <v>42206</v>
      </c>
    </row>
    <row r="10619" spans="1:9" ht="31.2">
      <c r="A10619" s="16" t="s">
        <v>12836</v>
      </c>
      <c r="B10619" s="1" t="s">
        <v>2628</v>
      </c>
      <c r="C10619" s="1">
        <v>9</v>
      </c>
      <c r="D10619" s="1" t="s">
        <v>19</v>
      </c>
      <c r="E10619" s="1" t="s">
        <v>6</v>
      </c>
      <c r="F10619" s="1" t="s">
        <v>5091</v>
      </c>
      <c r="G10619" s="14" t="s">
        <v>6145</v>
      </c>
      <c r="H10619" s="1" t="s">
        <v>43</v>
      </c>
      <c r="I10619" s="17">
        <v>42206</v>
      </c>
    </row>
    <row r="10620" spans="1:9">
      <c r="A10620" s="16" t="s">
        <v>12901</v>
      </c>
      <c r="B10620" s="1" t="s">
        <v>2628</v>
      </c>
      <c r="C10620" s="1">
        <v>9</v>
      </c>
      <c r="D10620" s="1" t="s">
        <v>19</v>
      </c>
      <c r="E10620" s="1" t="s">
        <v>6</v>
      </c>
      <c r="F10620" s="1" t="s">
        <v>5091</v>
      </c>
      <c r="G10620" s="14" t="s">
        <v>6145</v>
      </c>
      <c r="H10620" s="1" t="s">
        <v>43</v>
      </c>
      <c r="I10620" s="17">
        <v>42370</v>
      </c>
    </row>
    <row r="10621" spans="1:9">
      <c r="A10621" s="16" t="s">
        <v>12911</v>
      </c>
      <c r="B10621" s="1" t="s">
        <v>2628</v>
      </c>
      <c r="C10621" s="1">
        <v>9</v>
      </c>
      <c r="D10621" s="1" t="s">
        <v>19</v>
      </c>
      <c r="E10621" s="1" t="s">
        <v>6</v>
      </c>
      <c r="F10621" s="1" t="s">
        <v>5091</v>
      </c>
      <c r="G10621" s="14" t="s">
        <v>6909</v>
      </c>
      <c r="H10621" s="1" t="s">
        <v>43</v>
      </c>
      <c r="I10621" s="17">
        <v>42736</v>
      </c>
    </row>
    <row r="10622" spans="1:9">
      <c r="A10622" s="16" t="s">
        <v>12919</v>
      </c>
      <c r="B10622" s="1" t="s">
        <v>2628</v>
      </c>
      <c r="C10622" s="1">
        <v>9</v>
      </c>
      <c r="D10622" s="1" t="s">
        <v>19</v>
      </c>
      <c r="E10622" s="1" t="s">
        <v>6</v>
      </c>
      <c r="F10622" s="1" t="s">
        <v>5091</v>
      </c>
      <c r="G10622" s="14" t="s">
        <v>6238</v>
      </c>
      <c r="H10622" s="1" t="s">
        <v>43</v>
      </c>
      <c r="I10622" s="17">
        <v>42736</v>
      </c>
    </row>
    <row r="10623" spans="1:9">
      <c r="A10623" s="16" t="s">
        <v>12920</v>
      </c>
      <c r="B10623" s="1" t="s">
        <v>2628</v>
      </c>
      <c r="C10623" s="1">
        <v>9</v>
      </c>
      <c r="D10623" s="1" t="s">
        <v>19</v>
      </c>
      <c r="E10623" s="1" t="s">
        <v>6</v>
      </c>
      <c r="F10623" s="1" t="s">
        <v>5091</v>
      </c>
      <c r="G10623" s="14" t="s">
        <v>6238</v>
      </c>
      <c r="H10623" s="1" t="s">
        <v>43</v>
      </c>
      <c r="I10623" s="17">
        <v>42736</v>
      </c>
    </row>
    <row r="10624" spans="1:9">
      <c r="A10624" s="16" t="s">
        <v>12921</v>
      </c>
      <c r="B10624" s="1" t="s">
        <v>2628</v>
      </c>
      <c r="C10624" s="1">
        <v>9</v>
      </c>
      <c r="D10624" s="1" t="s">
        <v>19</v>
      </c>
      <c r="E10624" s="1" t="s">
        <v>6</v>
      </c>
      <c r="F10624" s="1" t="s">
        <v>5091</v>
      </c>
      <c r="G10624" s="14" t="s">
        <v>6186</v>
      </c>
      <c r="H10624" s="1" t="s">
        <v>5</v>
      </c>
      <c r="I10624" s="17">
        <v>42736</v>
      </c>
    </row>
    <row r="10625" spans="1:10">
      <c r="A10625" s="16" t="s">
        <v>12959</v>
      </c>
      <c r="B10625" s="1" t="s">
        <v>2628</v>
      </c>
      <c r="C10625" s="1">
        <v>9</v>
      </c>
      <c r="D10625" s="1" t="s">
        <v>19</v>
      </c>
      <c r="E10625" s="1" t="s">
        <v>6</v>
      </c>
      <c r="F10625" s="1" t="s">
        <v>5091</v>
      </c>
      <c r="G10625" s="14" t="s">
        <v>6530</v>
      </c>
      <c r="H10625" s="1" t="s">
        <v>43</v>
      </c>
      <c r="I10625" s="17">
        <v>39721</v>
      </c>
    </row>
    <row r="10626" spans="1:10">
      <c r="A10626" s="16" t="s">
        <v>13065</v>
      </c>
      <c r="B10626" s="1" t="s">
        <v>2628</v>
      </c>
      <c r="C10626" s="1">
        <v>9</v>
      </c>
      <c r="D10626" s="1" t="s">
        <v>19</v>
      </c>
      <c r="E10626" s="1" t="s">
        <v>6</v>
      </c>
      <c r="F10626" s="1" t="s">
        <v>5091</v>
      </c>
      <c r="G10626" s="14" t="s">
        <v>9567</v>
      </c>
      <c r="H10626" s="1" t="s">
        <v>5</v>
      </c>
      <c r="I10626" s="17">
        <v>40087</v>
      </c>
    </row>
    <row r="10627" spans="1:10">
      <c r="A10627" s="16" t="s">
        <v>13067</v>
      </c>
      <c r="B10627" s="1" t="s">
        <v>2628</v>
      </c>
      <c r="C10627" s="1">
        <v>9</v>
      </c>
      <c r="D10627" s="1" t="s">
        <v>19</v>
      </c>
      <c r="E10627" s="1" t="s">
        <v>6</v>
      </c>
      <c r="F10627" s="1" t="s">
        <v>5091</v>
      </c>
      <c r="G10627" s="14" t="s">
        <v>9567</v>
      </c>
      <c r="H10627" s="1" t="s">
        <v>5</v>
      </c>
      <c r="I10627" s="17">
        <v>40057</v>
      </c>
    </row>
    <row r="10628" spans="1:10">
      <c r="A10628" s="16" t="s">
        <v>13092</v>
      </c>
      <c r="B10628" s="1" t="s">
        <v>2628</v>
      </c>
      <c r="C10628" s="1">
        <v>9</v>
      </c>
      <c r="D10628" s="1" t="s">
        <v>19</v>
      </c>
      <c r="E10628" s="1" t="s">
        <v>6</v>
      </c>
      <c r="F10628" s="1" t="s">
        <v>5091</v>
      </c>
      <c r="G10628" s="14" t="s">
        <v>6145</v>
      </c>
      <c r="H10628" s="1" t="s">
        <v>43</v>
      </c>
      <c r="I10628" s="17">
        <v>42877</v>
      </c>
    </row>
    <row r="10629" spans="1:10">
      <c r="A10629" s="16" t="s">
        <v>13097</v>
      </c>
      <c r="B10629" s="1" t="s">
        <v>2628</v>
      </c>
      <c r="C10629" s="1">
        <v>9</v>
      </c>
      <c r="D10629" s="1" t="s">
        <v>19</v>
      </c>
      <c r="E10629" s="1" t="s">
        <v>6</v>
      </c>
      <c r="F10629" s="1" t="s">
        <v>5091</v>
      </c>
      <c r="G10629" s="14" t="s">
        <v>6145</v>
      </c>
      <c r="H10629" s="1" t="s">
        <v>43</v>
      </c>
      <c r="I10629" s="17">
        <v>42877</v>
      </c>
    </row>
    <row r="10630" spans="1:10">
      <c r="A10630" s="16" t="s">
        <v>13101</v>
      </c>
      <c r="B10630" s="1" t="s">
        <v>2628</v>
      </c>
      <c r="C10630" s="1">
        <v>9</v>
      </c>
      <c r="D10630" s="1" t="s">
        <v>19</v>
      </c>
      <c r="E10630" s="1" t="s">
        <v>6</v>
      </c>
      <c r="F10630" s="1" t="s">
        <v>5091</v>
      </c>
      <c r="G10630" s="14" t="s">
        <v>6145</v>
      </c>
      <c r="H10630" s="1" t="s">
        <v>43</v>
      </c>
      <c r="I10630" s="17">
        <v>42877</v>
      </c>
    </row>
    <row r="10631" spans="1:10">
      <c r="A10631" s="16" t="s">
        <v>13126</v>
      </c>
      <c r="B10631" s="1" t="s">
        <v>2628</v>
      </c>
      <c r="C10631" s="1">
        <v>9</v>
      </c>
      <c r="D10631" s="1" t="s">
        <v>19</v>
      </c>
      <c r="E10631" s="1" t="s">
        <v>6</v>
      </c>
      <c r="F10631" s="1" t="s">
        <v>5091</v>
      </c>
      <c r="G10631" s="14" t="s">
        <v>6145</v>
      </c>
      <c r="H10631" s="1" t="s">
        <v>43</v>
      </c>
      <c r="I10631" s="17">
        <v>42857</v>
      </c>
    </row>
    <row r="10632" spans="1:10">
      <c r="A10632" s="16" t="s">
        <v>13156</v>
      </c>
      <c r="B10632" s="1" t="s">
        <v>2631</v>
      </c>
      <c r="C10632" s="1">
        <v>9</v>
      </c>
      <c r="D10632" s="1" t="s">
        <v>19</v>
      </c>
      <c r="E10632" s="1" t="s">
        <v>6</v>
      </c>
      <c r="F10632" s="1" t="s">
        <v>876</v>
      </c>
      <c r="G10632" s="1" t="s">
        <v>1475</v>
      </c>
      <c r="H10632" s="1" t="s">
        <v>5</v>
      </c>
      <c r="I10632" s="17">
        <v>36892</v>
      </c>
    </row>
    <row r="10633" spans="1:10">
      <c r="A10633" s="16" t="s">
        <v>13157</v>
      </c>
      <c r="B10633" s="1" t="s">
        <v>2631</v>
      </c>
      <c r="C10633" s="1">
        <v>9</v>
      </c>
      <c r="D10633" s="1" t="s">
        <v>19</v>
      </c>
      <c r="E10633" s="1" t="s">
        <v>6</v>
      </c>
      <c r="F10633" s="1" t="s">
        <v>876</v>
      </c>
      <c r="G10633" s="1" t="s">
        <v>1475</v>
      </c>
      <c r="H10633" s="1" t="s">
        <v>5</v>
      </c>
      <c r="I10633" s="17">
        <v>36526</v>
      </c>
    </row>
    <row r="10634" spans="1:10">
      <c r="A10634" s="16" t="s">
        <v>13162</v>
      </c>
      <c r="B10634" s="1" t="s">
        <v>2628</v>
      </c>
      <c r="C10634" s="1">
        <v>9</v>
      </c>
      <c r="D10634" s="1" t="s">
        <v>19</v>
      </c>
      <c r="E10634" s="1" t="s">
        <v>6</v>
      </c>
      <c r="F10634" s="1" t="s">
        <v>36</v>
      </c>
      <c r="G10634" s="14" t="s">
        <v>8102</v>
      </c>
      <c r="H10634" s="1" t="s">
        <v>43</v>
      </c>
      <c r="I10634" s="17">
        <v>39814</v>
      </c>
    </row>
    <row r="10635" spans="1:10">
      <c r="A10635" s="16" t="s">
        <v>13170</v>
      </c>
      <c r="B10635" s="1" t="s">
        <v>2631</v>
      </c>
      <c r="C10635" s="1">
        <v>9</v>
      </c>
      <c r="D10635" s="1" t="s">
        <v>19</v>
      </c>
      <c r="E10635" s="1" t="s">
        <v>6</v>
      </c>
      <c r="F10635" s="1" t="s">
        <v>876</v>
      </c>
      <c r="G10635" s="1" t="s">
        <v>1475</v>
      </c>
      <c r="H10635" s="1" t="s">
        <v>5</v>
      </c>
      <c r="I10635" s="17">
        <v>37257</v>
      </c>
    </row>
    <row r="10636" spans="1:10">
      <c r="A10636" s="16" t="s">
        <v>13232</v>
      </c>
      <c r="B10636" s="1" t="s">
        <v>2628</v>
      </c>
      <c r="C10636" s="1">
        <v>9</v>
      </c>
      <c r="D10636" s="1" t="s">
        <v>19</v>
      </c>
      <c r="E10636" s="1" t="s">
        <v>6</v>
      </c>
      <c r="F10636" s="1" t="s">
        <v>5091</v>
      </c>
      <c r="G10636" s="14" t="s">
        <v>6186</v>
      </c>
      <c r="H10636" s="1" t="s">
        <v>5</v>
      </c>
      <c r="I10636" s="17">
        <v>42736</v>
      </c>
    </row>
    <row r="10637" spans="1:10">
      <c r="A10637" s="16" t="s">
        <v>13268</v>
      </c>
      <c r="B10637" s="1" t="s">
        <v>2628</v>
      </c>
      <c r="C10637" s="1">
        <v>9</v>
      </c>
      <c r="D10637" s="1" t="s">
        <v>19</v>
      </c>
      <c r="E10637" s="1" t="s">
        <v>6</v>
      </c>
      <c r="F10637" s="1" t="s">
        <v>5091</v>
      </c>
      <c r="G10637" s="14" t="s">
        <v>6145</v>
      </c>
      <c r="H10637" s="1" t="s">
        <v>43</v>
      </c>
      <c r="I10637" s="17">
        <v>42926</v>
      </c>
    </row>
    <row r="10638" spans="1:10">
      <c r="A10638" s="16" t="s">
        <v>13269</v>
      </c>
      <c r="B10638" s="1" t="s">
        <v>2628</v>
      </c>
      <c r="C10638" s="1">
        <v>9</v>
      </c>
      <c r="D10638" s="1" t="s">
        <v>19</v>
      </c>
      <c r="E10638" s="1" t="s">
        <v>6</v>
      </c>
      <c r="F10638" s="1" t="s">
        <v>5091</v>
      </c>
      <c r="G10638" s="14" t="s">
        <v>6145</v>
      </c>
      <c r="H10638" s="1" t="s">
        <v>43</v>
      </c>
      <c r="I10638" s="17">
        <v>42926</v>
      </c>
    </row>
    <row r="10639" spans="1:10">
      <c r="A10639" s="16" t="s">
        <v>13271</v>
      </c>
      <c r="B10639" s="1" t="s">
        <v>2628</v>
      </c>
      <c r="C10639" s="1">
        <v>9</v>
      </c>
      <c r="D10639" s="1" t="s">
        <v>19</v>
      </c>
      <c r="E10639" s="1" t="s">
        <v>6</v>
      </c>
      <c r="F10639" s="1" t="s">
        <v>5091</v>
      </c>
      <c r="G10639" s="14" t="s">
        <v>6145</v>
      </c>
      <c r="H10639" s="1" t="s">
        <v>43</v>
      </c>
      <c r="I10639" s="17">
        <v>42926</v>
      </c>
    </row>
    <row r="10640" spans="1:10">
      <c r="A10640" s="16" t="s">
        <v>13301</v>
      </c>
      <c r="B10640" s="1" t="s">
        <v>2631</v>
      </c>
      <c r="C10640" s="1">
        <v>9</v>
      </c>
      <c r="D10640" s="1" t="s">
        <v>19</v>
      </c>
      <c r="E10640" s="1" t="s">
        <v>6</v>
      </c>
      <c r="F10640" s="1" t="s">
        <v>139</v>
      </c>
      <c r="G10640" s="1" t="s">
        <v>2689</v>
      </c>
      <c r="H10640" s="1" t="s">
        <v>318</v>
      </c>
      <c r="I10640" s="17">
        <v>39448</v>
      </c>
      <c r="J10640" s="17"/>
    </row>
    <row r="10641" spans="1:9">
      <c r="A10641" s="16" t="s">
        <v>13302</v>
      </c>
      <c r="B10641" s="1" t="s">
        <v>2631</v>
      </c>
      <c r="C10641" s="1">
        <v>9</v>
      </c>
      <c r="D10641" s="1" t="s">
        <v>19</v>
      </c>
      <c r="E10641" s="1" t="s">
        <v>6</v>
      </c>
      <c r="F10641" s="1" t="s">
        <v>139</v>
      </c>
      <c r="G10641" s="1" t="s">
        <v>6145</v>
      </c>
      <c r="H10641" s="1" t="s">
        <v>43</v>
      </c>
      <c r="I10641" s="17">
        <v>40695</v>
      </c>
    </row>
    <row r="10642" spans="1:9">
      <c r="A10642" s="16" t="s">
        <v>13305</v>
      </c>
      <c r="B10642" s="1" t="s">
        <v>2628</v>
      </c>
      <c r="C10642" s="1">
        <v>9</v>
      </c>
      <c r="D10642" s="1" t="s">
        <v>19</v>
      </c>
      <c r="E10642" s="1" t="s">
        <v>6</v>
      </c>
      <c r="F10642" s="1" t="s">
        <v>5091</v>
      </c>
      <c r="G10642" s="14" t="s">
        <v>6145</v>
      </c>
      <c r="H10642" s="1" t="s">
        <v>43</v>
      </c>
      <c r="I10642" s="17">
        <v>42940</v>
      </c>
    </row>
    <row r="10643" spans="1:9">
      <c r="A10643" s="16" t="s">
        <v>13315</v>
      </c>
      <c r="B10643" s="1" t="s">
        <v>2628</v>
      </c>
      <c r="C10643" s="1">
        <v>9</v>
      </c>
      <c r="D10643" s="1" t="s">
        <v>19</v>
      </c>
      <c r="E10643" s="1" t="s">
        <v>6</v>
      </c>
      <c r="F10643" s="1" t="s">
        <v>5091</v>
      </c>
      <c r="G10643" s="14" t="s">
        <v>6145</v>
      </c>
      <c r="H10643" s="1" t="s">
        <v>43</v>
      </c>
      <c r="I10643" s="17">
        <v>42736</v>
      </c>
    </row>
    <row r="10644" spans="1:9">
      <c r="A10644" s="16" t="s">
        <v>13318</v>
      </c>
      <c r="B10644" s="1" t="s">
        <v>2628</v>
      </c>
      <c r="C10644" s="1">
        <v>9</v>
      </c>
      <c r="D10644" s="1" t="s">
        <v>19</v>
      </c>
      <c r="E10644" s="1" t="s">
        <v>6</v>
      </c>
      <c r="F10644" s="1" t="s">
        <v>5033</v>
      </c>
      <c r="G10644" s="14" t="s">
        <v>4458</v>
      </c>
      <c r="H10644" s="1" t="s">
        <v>118</v>
      </c>
      <c r="I10644" s="1" t="s">
        <v>4458</v>
      </c>
    </row>
    <row r="10645" spans="1:9">
      <c r="A10645" s="16" t="s">
        <v>13319</v>
      </c>
      <c r="B10645" s="1" t="s">
        <v>2628</v>
      </c>
      <c r="C10645" s="1">
        <v>9</v>
      </c>
      <c r="D10645" s="1" t="s">
        <v>19</v>
      </c>
      <c r="E10645" s="1" t="s">
        <v>6</v>
      </c>
      <c r="F10645" s="1" t="s">
        <v>5033</v>
      </c>
      <c r="G10645" s="14" t="s">
        <v>4458</v>
      </c>
      <c r="H10645" s="1" t="s">
        <v>118</v>
      </c>
      <c r="I10645" s="1" t="s">
        <v>4458</v>
      </c>
    </row>
    <row r="10646" spans="1:9">
      <c r="A10646" s="16" t="s">
        <v>13320</v>
      </c>
      <c r="B10646" s="1" t="s">
        <v>2628</v>
      </c>
      <c r="C10646" s="1">
        <v>9</v>
      </c>
      <c r="D10646" s="1" t="s">
        <v>19</v>
      </c>
      <c r="E10646" s="1" t="s">
        <v>6</v>
      </c>
      <c r="F10646" s="1" t="s">
        <v>5033</v>
      </c>
      <c r="G10646" s="14" t="s">
        <v>4458</v>
      </c>
      <c r="H10646" s="1" t="s">
        <v>118</v>
      </c>
      <c r="I10646" s="1" t="s">
        <v>4458</v>
      </c>
    </row>
    <row r="10647" spans="1:9" ht="31.2">
      <c r="A10647" s="16" t="s">
        <v>13336</v>
      </c>
      <c r="B10647" s="1" t="s">
        <v>2628</v>
      </c>
      <c r="C10647" s="1">
        <v>9</v>
      </c>
      <c r="D10647" s="1" t="s">
        <v>19</v>
      </c>
      <c r="E10647" s="1" t="s">
        <v>6</v>
      </c>
      <c r="F10647" s="1" t="s">
        <v>5091</v>
      </c>
      <c r="G10647" s="14" t="s">
        <v>6145</v>
      </c>
      <c r="H10647" s="1" t="s">
        <v>43</v>
      </c>
      <c r="I10647" s="17">
        <v>42934</v>
      </c>
    </row>
    <row r="10648" spans="1:9">
      <c r="A10648" s="16" t="s">
        <v>13347</v>
      </c>
      <c r="B10648" s="1" t="s">
        <v>2628</v>
      </c>
      <c r="C10648" s="1">
        <v>9</v>
      </c>
      <c r="D10648" s="1" t="s">
        <v>19</v>
      </c>
      <c r="E10648" s="1" t="s">
        <v>6</v>
      </c>
      <c r="F10648" s="1" t="s">
        <v>5091</v>
      </c>
      <c r="G10648" s="14" t="s">
        <v>6186</v>
      </c>
      <c r="H10648" s="1" t="s">
        <v>5</v>
      </c>
      <c r="I10648" s="17">
        <v>42736</v>
      </c>
    </row>
    <row r="10649" spans="1:9">
      <c r="A10649" s="16" t="s">
        <v>13362</v>
      </c>
      <c r="B10649" s="1" t="s">
        <v>2628</v>
      </c>
      <c r="C10649" s="1">
        <v>9</v>
      </c>
      <c r="D10649" s="1" t="s">
        <v>19</v>
      </c>
      <c r="E10649" s="1" t="s">
        <v>6</v>
      </c>
      <c r="F10649" s="1" t="s">
        <v>5091</v>
      </c>
      <c r="G10649" s="14" t="s">
        <v>6530</v>
      </c>
      <c r="H10649" s="1" t="s">
        <v>43</v>
      </c>
      <c r="I10649" s="17">
        <v>39708</v>
      </c>
    </row>
    <row r="10650" spans="1:9">
      <c r="A10650" s="16" t="s">
        <v>13365</v>
      </c>
      <c r="B10650" s="1" t="s">
        <v>2628</v>
      </c>
      <c r="C10650" s="1">
        <v>9</v>
      </c>
      <c r="D10650" s="1" t="s">
        <v>19</v>
      </c>
      <c r="E10650" s="1" t="s">
        <v>6</v>
      </c>
      <c r="F10650" s="1" t="s">
        <v>5091</v>
      </c>
      <c r="G10650" s="14" t="s">
        <v>13366</v>
      </c>
      <c r="H10650" s="1" t="s">
        <v>5</v>
      </c>
      <c r="I10650" s="17">
        <v>42856</v>
      </c>
    </row>
    <row r="10651" spans="1:9">
      <c r="A10651" s="16" t="s">
        <v>13460</v>
      </c>
      <c r="B10651" s="1" t="s">
        <v>2628</v>
      </c>
      <c r="C10651" s="1">
        <v>1113</v>
      </c>
      <c r="D10651" s="1" t="s">
        <v>19</v>
      </c>
      <c r="E10651" s="1" t="s">
        <v>6</v>
      </c>
      <c r="F10651" s="1" t="s">
        <v>5091</v>
      </c>
      <c r="G10651" s="14" t="s">
        <v>9244</v>
      </c>
      <c r="H10651" s="1" t="s">
        <v>5</v>
      </c>
      <c r="I10651" s="17">
        <v>42961</v>
      </c>
    </row>
    <row r="10652" spans="1:9">
      <c r="A10652" s="16" t="s">
        <v>13461</v>
      </c>
      <c r="B10652" s="1" t="s">
        <v>2628</v>
      </c>
      <c r="C10652" s="1">
        <v>9</v>
      </c>
      <c r="D10652" s="1" t="s">
        <v>19</v>
      </c>
      <c r="E10652" s="1" t="s">
        <v>6</v>
      </c>
      <c r="F10652" s="1" t="s">
        <v>5091</v>
      </c>
      <c r="G10652" s="14" t="s">
        <v>11580</v>
      </c>
      <c r="H10652" s="1" t="s">
        <v>5</v>
      </c>
      <c r="I10652" s="17">
        <v>42969</v>
      </c>
    </row>
    <row r="10653" spans="1:9">
      <c r="A10653" s="16" t="s">
        <v>13462</v>
      </c>
      <c r="B10653" s="1" t="s">
        <v>2628</v>
      </c>
      <c r="C10653" s="1">
        <v>1113</v>
      </c>
      <c r="D10653" s="1" t="s">
        <v>19</v>
      </c>
      <c r="E10653" s="1" t="s">
        <v>6</v>
      </c>
      <c r="F10653" s="1" t="s">
        <v>5091</v>
      </c>
      <c r="G10653" s="14" t="s">
        <v>9244</v>
      </c>
      <c r="H10653" s="1" t="s">
        <v>5</v>
      </c>
      <c r="I10653" s="17">
        <v>42961</v>
      </c>
    </row>
    <row r="10654" spans="1:9" ht="31.2">
      <c r="A10654" s="16" t="s">
        <v>13463</v>
      </c>
      <c r="B10654" s="1" t="s">
        <v>2628</v>
      </c>
      <c r="C10654" s="1">
        <v>9</v>
      </c>
      <c r="D10654" s="1" t="s">
        <v>19</v>
      </c>
      <c r="E10654" s="1" t="s">
        <v>6</v>
      </c>
      <c r="F10654" s="1" t="s">
        <v>5091</v>
      </c>
      <c r="G10654" s="14" t="s">
        <v>11580</v>
      </c>
      <c r="H10654" s="1" t="s">
        <v>5</v>
      </c>
      <c r="I10654" s="17">
        <v>42969</v>
      </c>
    </row>
    <row r="10655" spans="1:9">
      <c r="A10655" s="16" t="s">
        <v>13497</v>
      </c>
      <c r="B10655" s="1" t="s">
        <v>2628</v>
      </c>
      <c r="C10655" s="1">
        <v>9</v>
      </c>
      <c r="D10655" s="1" t="s">
        <v>19</v>
      </c>
      <c r="E10655" s="1" t="s">
        <v>6</v>
      </c>
      <c r="F10655" s="1" t="s">
        <v>5091</v>
      </c>
      <c r="G10655" s="14" t="s">
        <v>13498</v>
      </c>
      <c r="H10655" s="1" t="s">
        <v>5</v>
      </c>
      <c r="I10655" s="17">
        <v>36951</v>
      </c>
    </row>
    <row r="10656" spans="1:9">
      <c r="A10656" s="16" t="s">
        <v>13540</v>
      </c>
      <c r="B10656" s="1" t="s">
        <v>2628</v>
      </c>
      <c r="C10656" s="1">
        <v>9</v>
      </c>
      <c r="D10656" s="1" t="s">
        <v>19</v>
      </c>
      <c r="E10656" s="1" t="s">
        <v>6</v>
      </c>
      <c r="F10656" s="1" t="s">
        <v>5091</v>
      </c>
      <c r="G10656" s="14" t="s">
        <v>4458</v>
      </c>
      <c r="H10656" s="1" t="s">
        <v>118</v>
      </c>
      <c r="I10656" s="1" t="s">
        <v>4458</v>
      </c>
    </row>
    <row r="10657" spans="1:10">
      <c r="A10657" s="16" t="s">
        <v>13551</v>
      </c>
      <c r="B10657" s="1" t="s">
        <v>2628</v>
      </c>
      <c r="C10657" s="1">
        <v>2464</v>
      </c>
      <c r="D10657" s="1" t="s">
        <v>19</v>
      </c>
      <c r="E10657" s="1" t="s">
        <v>6</v>
      </c>
      <c r="F10657" s="1" t="s">
        <v>5091</v>
      </c>
      <c r="G10657" s="14" t="s">
        <v>2400</v>
      </c>
      <c r="H10657" s="1" t="s">
        <v>43</v>
      </c>
      <c r="I10657" s="17">
        <v>42736</v>
      </c>
    </row>
    <row r="10658" spans="1:10">
      <c r="A10658" s="16" t="s">
        <v>13561</v>
      </c>
      <c r="B10658" s="1" t="s">
        <v>2628</v>
      </c>
      <c r="C10658" s="1">
        <v>9</v>
      </c>
      <c r="D10658" s="1" t="s">
        <v>19</v>
      </c>
      <c r="E10658" s="1" t="s">
        <v>6</v>
      </c>
      <c r="F10658" s="1" t="s">
        <v>5091</v>
      </c>
      <c r="G10658" s="14" t="s">
        <v>13562</v>
      </c>
      <c r="H10658" s="1" t="s">
        <v>5</v>
      </c>
      <c r="I10658" s="17">
        <v>37704</v>
      </c>
    </row>
    <row r="10659" spans="1:10">
      <c r="A10659" s="16" t="s">
        <v>13568</v>
      </c>
      <c r="B10659" s="1" t="s">
        <v>2628</v>
      </c>
      <c r="C10659" s="1">
        <v>9</v>
      </c>
      <c r="D10659" s="1" t="s">
        <v>19</v>
      </c>
      <c r="E10659" s="1" t="s">
        <v>6</v>
      </c>
      <c r="F10659" s="1" t="s">
        <v>5091</v>
      </c>
      <c r="G10659" s="14" t="s">
        <v>13567</v>
      </c>
      <c r="H10659" s="1" t="s">
        <v>5</v>
      </c>
      <c r="I10659" s="17">
        <v>43009</v>
      </c>
    </row>
    <row r="10660" spans="1:10">
      <c r="A10660" s="16" t="s">
        <v>13596</v>
      </c>
      <c r="B10660" s="1" t="s">
        <v>2628</v>
      </c>
      <c r="C10660" s="1">
        <v>9</v>
      </c>
      <c r="D10660" s="1" t="s">
        <v>19</v>
      </c>
      <c r="E10660" s="1" t="s">
        <v>6</v>
      </c>
      <c r="F10660" s="1" t="s">
        <v>36</v>
      </c>
      <c r="G10660" s="14" t="s">
        <v>13597</v>
      </c>
      <c r="H10660" s="1" t="s">
        <v>5</v>
      </c>
      <c r="I10660" s="17">
        <v>37586</v>
      </c>
    </row>
    <row r="10661" spans="1:10">
      <c r="A10661" s="16" t="s">
        <v>13598</v>
      </c>
      <c r="B10661" s="1" t="s">
        <v>2628</v>
      </c>
      <c r="C10661" s="1">
        <v>9</v>
      </c>
      <c r="D10661" s="1" t="s">
        <v>19</v>
      </c>
      <c r="E10661" s="1" t="s">
        <v>6</v>
      </c>
      <c r="F10661" s="1" t="s">
        <v>36</v>
      </c>
      <c r="G10661" s="14" t="s">
        <v>13597</v>
      </c>
      <c r="H10661" s="1" t="s">
        <v>5</v>
      </c>
      <c r="I10661" s="17">
        <v>37586</v>
      </c>
    </row>
    <row r="10662" spans="1:10">
      <c r="A10662" s="16" t="s">
        <v>13614</v>
      </c>
      <c r="B10662" s="1" t="s">
        <v>2628</v>
      </c>
      <c r="C10662" s="1">
        <v>9</v>
      </c>
      <c r="D10662" s="1" t="s">
        <v>19</v>
      </c>
      <c r="E10662" s="1" t="s">
        <v>6</v>
      </c>
      <c r="F10662" s="1" t="s">
        <v>5091</v>
      </c>
      <c r="G10662" s="14" t="s">
        <v>13615</v>
      </c>
      <c r="H10662" s="1" t="s">
        <v>5</v>
      </c>
      <c r="I10662" s="17">
        <v>40497</v>
      </c>
    </row>
    <row r="10663" spans="1:10">
      <c r="A10663" s="16" t="s">
        <v>13619</v>
      </c>
      <c r="B10663" s="1" t="s">
        <v>2628</v>
      </c>
      <c r="C10663" s="1">
        <v>9</v>
      </c>
      <c r="D10663" s="1" t="s">
        <v>19</v>
      </c>
      <c r="E10663" s="1" t="s">
        <v>6</v>
      </c>
      <c r="F10663" s="1" t="s">
        <v>5091</v>
      </c>
      <c r="G10663" s="14" t="s">
        <v>13620</v>
      </c>
      <c r="H10663" s="1" t="s">
        <v>5</v>
      </c>
      <c r="I10663" s="17">
        <v>40401</v>
      </c>
    </row>
    <row r="10664" spans="1:10">
      <c r="A10664" s="16" t="s">
        <v>13682</v>
      </c>
      <c r="B10664" s="1" t="s">
        <v>2628</v>
      </c>
      <c r="C10664" s="1">
        <v>9</v>
      </c>
      <c r="D10664" s="1" t="s">
        <v>19</v>
      </c>
      <c r="E10664" s="1" t="s">
        <v>6</v>
      </c>
      <c r="F10664" s="1" t="s">
        <v>5091</v>
      </c>
      <c r="G10664" s="14" t="s">
        <v>12227</v>
      </c>
      <c r="H10664" s="1" t="s">
        <v>5</v>
      </c>
      <c r="I10664" s="17">
        <v>42736</v>
      </c>
    </row>
    <row r="10665" spans="1:10">
      <c r="A10665" s="16" t="s">
        <v>13683</v>
      </c>
      <c r="B10665" s="1" t="s">
        <v>2628</v>
      </c>
      <c r="C10665" s="1">
        <v>9</v>
      </c>
      <c r="D10665" s="1" t="s">
        <v>19</v>
      </c>
      <c r="E10665" s="1" t="s">
        <v>6</v>
      </c>
      <c r="F10665" s="1" t="s">
        <v>5091</v>
      </c>
      <c r="G10665" s="14" t="s">
        <v>6236</v>
      </c>
      <c r="H10665" s="1" t="s">
        <v>43</v>
      </c>
      <c r="I10665" s="17">
        <v>42736</v>
      </c>
    </row>
    <row r="10666" spans="1:10">
      <c r="A10666" s="16" t="s">
        <v>13690</v>
      </c>
      <c r="B10666" s="1" t="s">
        <v>2628</v>
      </c>
      <c r="C10666" s="1">
        <v>9</v>
      </c>
      <c r="D10666" s="1" t="s">
        <v>19</v>
      </c>
      <c r="E10666" s="1" t="s">
        <v>6</v>
      </c>
      <c r="F10666" s="1" t="s">
        <v>5091</v>
      </c>
      <c r="G10666" s="14" t="s">
        <v>6145</v>
      </c>
      <c r="H10666" s="1" t="s">
        <v>43</v>
      </c>
      <c r="I10666" s="17">
        <v>39540</v>
      </c>
    </row>
    <row r="10667" spans="1:10">
      <c r="A10667" s="16" t="s">
        <v>13693</v>
      </c>
      <c r="B10667" s="1" t="s">
        <v>2628</v>
      </c>
      <c r="C10667" s="1">
        <v>9</v>
      </c>
      <c r="D10667" s="1" t="s">
        <v>19</v>
      </c>
      <c r="E10667" s="1" t="s">
        <v>6</v>
      </c>
      <c r="F10667" s="1" t="s">
        <v>5091</v>
      </c>
      <c r="G10667" s="14" t="s">
        <v>6145</v>
      </c>
      <c r="H10667" s="1" t="s">
        <v>43</v>
      </c>
      <c r="I10667" s="17">
        <v>39540</v>
      </c>
    </row>
    <row r="10668" spans="1:10">
      <c r="A10668" s="16" t="s">
        <v>13695</v>
      </c>
      <c r="B10668" s="1" t="s">
        <v>2628</v>
      </c>
      <c r="C10668" s="1">
        <v>9</v>
      </c>
      <c r="D10668" s="1" t="s">
        <v>19</v>
      </c>
      <c r="E10668" s="1" t="s">
        <v>6</v>
      </c>
      <c r="F10668" s="1" t="s">
        <v>5091</v>
      </c>
      <c r="G10668" s="14" t="s">
        <v>6145</v>
      </c>
      <c r="H10668" s="1" t="s">
        <v>43</v>
      </c>
      <c r="I10668" s="17">
        <v>39540</v>
      </c>
      <c r="J10668" s="11"/>
    </row>
    <row r="10669" spans="1:10">
      <c r="A10669" s="16" t="s">
        <v>13698</v>
      </c>
      <c r="B10669" s="1" t="s">
        <v>2628</v>
      </c>
      <c r="C10669" s="1">
        <v>9</v>
      </c>
      <c r="D10669" s="1" t="s">
        <v>19</v>
      </c>
      <c r="E10669" s="1" t="s">
        <v>6</v>
      </c>
      <c r="F10669" s="1" t="s">
        <v>5091</v>
      </c>
      <c r="G10669" s="14" t="s">
        <v>6145</v>
      </c>
      <c r="H10669" s="1" t="s">
        <v>43</v>
      </c>
      <c r="I10669" s="17">
        <v>39540</v>
      </c>
    </row>
    <row r="10670" spans="1:10">
      <c r="A10670" s="16" t="s">
        <v>13756</v>
      </c>
      <c r="B10670" s="1" t="s">
        <v>2631</v>
      </c>
      <c r="C10670" s="1">
        <v>9</v>
      </c>
      <c r="D10670" s="1" t="s">
        <v>19</v>
      </c>
      <c r="E10670" s="1" t="s">
        <v>6</v>
      </c>
      <c r="F10670" s="1" t="s">
        <v>2691</v>
      </c>
      <c r="G10670" s="1" t="s">
        <v>13757</v>
      </c>
      <c r="H10670" s="1" t="s">
        <v>5</v>
      </c>
      <c r="I10670" s="17">
        <v>40188</v>
      </c>
    </row>
    <row r="10671" spans="1:10">
      <c r="A10671" s="16" t="s">
        <v>13760</v>
      </c>
      <c r="B10671" s="1" t="s">
        <v>2628</v>
      </c>
      <c r="C10671" s="1">
        <v>9</v>
      </c>
      <c r="D10671" s="1" t="s">
        <v>19</v>
      </c>
      <c r="E10671" s="1" t="s">
        <v>6</v>
      </c>
      <c r="F10671" s="1" t="s">
        <v>5091</v>
      </c>
      <c r="G10671" s="14" t="s">
        <v>6236</v>
      </c>
      <c r="H10671" s="1" t="s">
        <v>43</v>
      </c>
      <c r="I10671" s="17">
        <v>42736</v>
      </c>
    </row>
    <row r="10672" spans="1:10">
      <c r="A10672" s="16" t="s">
        <v>13773</v>
      </c>
      <c r="B10672" s="1" t="s">
        <v>2628</v>
      </c>
      <c r="C10672" s="1">
        <v>9</v>
      </c>
      <c r="D10672" s="1" t="s">
        <v>19</v>
      </c>
      <c r="E10672" s="1" t="s">
        <v>6</v>
      </c>
      <c r="F10672" s="1" t="s">
        <v>2698</v>
      </c>
      <c r="G10672" s="14" t="s">
        <v>4803</v>
      </c>
      <c r="H10672" s="1" t="s">
        <v>5</v>
      </c>
      <c r="I10672" s="17">
        <v>41275</v>
      </c>
    </row>
    <row r="10673" spans="1:10">
      <c r="A10673" s="16" t="s">
        <v>13774</v>
      </c>
      <c r="B10673" s="1" t="s">
        <v>2628</v>
      </c>
      <c r="C10673" s="1">
        <v>9</v>
      </c>
      <c r="D10673" s="1" t="s">
        <v>19</v>
      </c>
      <c r="E10673" s="1" t="s">
        <v>6</v>
      </c>
      <c r="F10673" s="1" t="s">
        <v>2698</v>
      </c>
      <c r="G10673" s="14" t="s">
        <v>4803</v>
      </c>
      <c r="H10673" s="1" t="s">
        <v>5</v>
      </c>
      <c r="I10673" s="17">
        <v>41275</v>
      </c>
    </row>
    <row r="10674" spans="1:10">
      <c r="A10674" s="7" t="s">
        <v>13787</v>
      </c>
      <c r="B10674" s="1" t="s">
        <v>2629</v>
      </c>
      <c r="C10674" s="1">
        <v>9</v>
      </c>
      <c r="D10674" s="1" t="s">
        <v>19</v>
      </c>
      <c r="E10674" s="1" t="s">
        <v>6</v>
      </c>
      <c r="F10674" s="1" t="s">
        <v>2698</v>
      </c>
      <c r="G10674" s="1" t="s">
        <v>4803</v>
      </c>
      <c r="H10674" s="1" t="s">
        <v>5</v>
      </c>
      <c r="I10674" s="17">
        <v>40909</v>
      </c>
      <c r="J10674" s="17"/>
    </row>
    <row r="10675" spans="1:10">
      <c r="A10675" s="16" t="s">
        <v>13793</v>
      </c>
      <c r="B10675" s="1" t="s">
        <v>2631</v>
      </c>
      <c r="C10675" s="1">
        <v>9</v>
      </c>
      <c r="D10675" s="1" t="s">
        <v>19</v>
      </c>
      <c r="E10675" s="1" t="s">
        <v>6</v>
      </c>
      <c r="F10675" s="1" t="s">
        <v>2698</v>
      </c>
      <c r="G10675" s="1" t="s">
        <v>4803</v>
      </c>
      <c r="H10675" s="1" t="s">
        <v>5</v>
      </c>
      <c r="I10675" s="17">
        <v>40179</v>
      </c>
      <c r="J10675" s="17"/>
    </row>
    <row r="10676" spans="1:10">
      <c r="A10676" s="16" t="s">
        <v>13798</v>
      </c>
      <c r="B10676" s="1" t="s">
        <v>2628</v>
      </c>
      <c r="C10676" s="1">
        <v>9</v>
      </c>
      <c r="D10676" s="1" t="s">
        <v>19</v>
      </c>
      <c r="E10676" s="1" t="s">
        <v>6</v>
      </c>
      <c r="F10676" s="1" t="s">
        <v>2698</v>
      </c>
      <c r="G10676" s="14" t="s">
        <v>4803</v>
      </c>
      <c r="H10676" s="1" t="s">
        <v>5</v>
      </c>
      <c r="I10676" s="17">
        <v>40544</v>
      </c>
    </row>
    <row r="10677" spans="1:10">
      <c r="A10677" s="16" t="s">
        <v>13803</v>
      </c>
      <c r="B10677" s="1" t="s">
        <v>2628</v>
      </c>
      <c r="C10677" s="1">
        <v>9</v>
      </c>
      <c r="D10677" s="1" t="s">
        <v>19</v>
      </c>
      <c r="E10677" s="1" t="s">
        <v>6</v>
      </c>
      <c r="F10677" s="1" t="s">
        <v>2698</v>
      </c>
      <c r="G10677" s="14" t="s">
        <v>4803</v>
      </c>
      <c r="H10677" s="1" t="s">
        <v>5</v>
      </c>
      <c r="I10677" s="17">
        <v>40544</v>
      </c>
    </row>
    <row r="10678" spans="1:10">
      <c r="A10678" s="7" t="s">
        <v>13820</v>
      </c>
      <c r="B10678" s="1" t="s">
        <v>2629</v>
      </c>
      <c r="C10678" s="1">
        <v>9</v>
      </c>
      <c r="D10678" s="1" t="s">
        <v>19</v>
      </c>
      <c r="E10678" s="1" t="s">
        <v>6</v>
      </c>
      <c r="F10678" s="1" t="s">
        <v>2698</v>
      </c>
      <c r="G10678" s="1" t="s">
        <v>6307</v>
      </c>
      <c r="H10678" s="1" t="s">
        <v>44</v>
      </c>
      <c r="I10678" s="17">
        <v>40544</v>
      </c>
    </row>
    <row r="10679" spans="1:10">
      <c r="A10679" s="16" t="s">
        <v>13822</v>
      </c>
      <c r="B10679" s="1" t="s">
        <v>2628</v>
      </c>
      <c r="C10679" s="1">
        <v>9</v>
      </c>
      <c r="D10679" s="1" t="s">
        <v>19</v>
      </c>
      <c r="E10679" s="1" t="s">
        <v>6</v>
      </c>
      <c r="F10679" s="1" t="s">
        <v>2698</v>
      </c>
      <c r="G10679" s="14" t="s">
        <v>4803</v>
      </c>
      <c r="H10679" s="1" t="s">
        <v>5</v>
      </c>
      <c r="I10679" s="17">
        <v>40544</v>
      </c>
    </row>
    <row r="10680" spans="1:10">
      <c r="A10680" s="16" t="s">
        <v>13823</v>
      </c>
      <c r="B10680" s="1" t="s">
        <v>2628</v>
      </c>
      <c r="C10680" s="1">
        <v>9</v>
      </c>
      <c r="D10680" s="1" t="s">
        <v>19</v>
      </c>
      <c r="E10680" s="1" t="s">
        <v>6</v>
      </c>
      <c r="F10680" s="1" t="s">
        <v>2698</v>
      </c>
      <c r="G10680" s="14" t="s">
        <v>6307</v>
      </c>
      <c r="H10680" s="1" t="s">
        <v>44</v>
      </c>
      <c r="I10680" s="17">
        <v>40544</v>
      </c>
    </row>
    <row r="10681" spans="1:10">
      <c r="A10681" s="16" t="s">
        <v>13826</v>
      </c>
      <c r="B10681" s="1" t="s">
        <v>2628</v>
      </c>
      <c r="C10681" s="1">
        <v>9</v>
      </c>
      <c r="D10681" s="1" t="s">
        <v>19</v>
      </c>
      <c r="E10681" s="1" t="s">
        <v>6</v>
      </c>
      <c r="F10681" s="1" t="s">
        <v>2698</v>
      </c>
      <c r="G10681" s="14" t="s">
        <v>4803</v>
      </c>
      <c r="H10681" s="1" t="s">
        <v>5</v>
      </c>
      <c r="I10681" s="17">
        <v>40544</v>
      </c>
    </row>
    <row r="10682" spans="1:10">
      <c r="A10682" s="16" t="s">
        <v>13838</v>
      </c>
      <c r="B10682" s="1" t="s">
        <v>2628</v>
      </c>
      <c r="C10682" s="1">
        <v>1113</v>
      </c>
      <c r="D10682" s="1" t="s">
        <v>19</v>
      </c>
      <c r="E10682" s="1" t="s">
        <v>6</v>
      </c>
      <c r="F10682" s="1" t="s">
        <v>5091</v>
      </c>
      <c r="G10682" s="14" t="s">
        <v>6145</v>
      </c>
      <c r="H10682" s="1" t="s">
        <v>43</v>
      </c>
      <c r="I10682" s="17">
        <v>43103</v>
      </c>
    </row>
    <row r="10683" spans="1:10">
      <c r="A10683" s="16" t="s">
        <v>13839</v>
      </c>
      <c r="B10683" s="1" t="s">
        <v>2628</v>
      </c>
      <c r="C10683" s="1">
        <v>1113</v>
      </c>
      <c r="D10683" s="1" t="s">
        <v>19</v>
      </c>
      <c r="E10683" s="1" t="s">
        <v>6</v>
      </c>
      <c r="F10683" s="1" t="s">
        <v>5091</v>
      </c>
      <c r="G10683" s="14" t="s">
        <v>6145</v>
      </c>
      <c r="H10683" s="1" t="s">
        <v>43</v>
      </c>
      <c r="I10683" s="17">
        <v>43103</v>
      </c>
    </row>
    <row r="10684" spans="1:10">
      <c r="A10684" s="16" t="s">
        <v>13858</v>
      </c>
      <c r="B10684" s="1" t="s">
        <v>2628</v>
      </c>
      <c r="C10684" s="1">
        <v>9</v>
      </c>
      <c r="D10684" s="1" t="s">
        <v>19</v>
      </c>
      <c r="E10684" s="1" t="s">
        <v>6</v>
      </c>
      <c r="F10684" s="1" t="s">
        <v>5091</v>
      </c>
      <c r="G10684" s="14" t="s">
        <v>6236</v>
      </c>
      <c r="H10684" s="1" t="s">
        <v>43</v>
      </c>
      <c r="I10684" s="17">
        <v>42736</v>
      </c>
    </row>
    <row r="10685" spans="1:10">
      <c r="A10685" s="16" t="s">
        <v>13914</v>
      </c>
      <c r="B10685" s="1" t="s">
        <v>2628</v>
      </c>
      <c r="C10685" s="1">
        <v>9</v>
      </c>
      <c r="D10685" s="1" t="s">
        <v>19</v>
      </c>
      <c r="E10685" s="1" t="s">
        <v>6</v>
      </c>
      <c r="F10685" s="1" t="s">
        <v>5091</v>
      </c>
      <c r="G10685" s="14" t="s">
        <v>6236</v>
      </c>
      <c r="H10685" s="1" t="s">
        <v>43</v>
      </c>
      <c r="I10685" s="17">
        <v>43101</v>
      </c>
    </row>
    <row r="10686" spans="1:10">
      <c r="A10686" s="16" t="s">
        <v>13915</v>
      </c>
      <c r="B10686" s="1" t="s">
        <v>2628</v>
      </c>
      <c r="C10686" s="1">
        <v>9</v>
      </c>
      <c r="D10686" s="1" t="s">
        <v>19</v>
      </c>
      <c r="E10686" s="1" t="s">
        <v>6</v>
      </c>
      <c r="F10686" s="1" t="s">
        <v>5091</v>
      </c>
      <c r="G10686" s="14" t="s">
        <v>6236</v>
      </c>
      <c r="H10686" s="1" t="s">
        <v>43</v>
      </c>
      <c r="I10686" s="17">
        <v>43101</v>
      </c>
    </row>
    <row r="10687" spans="1:10">
      <c r="A10687" s="16" t="s">
        <v>13935</v>
      </c>
      <c r="B10687" s="1" t="s">
        <v>2628</v>
      </c>
      <c r="C10687" s="1">
        <v>9</v>
      </c>
      <c r="D10687" s="1" t="s">
        <v>19</v>
      </c>
      <c r="E10687" s="1" t="s">
        <v>6</v>
      </c>
      <c r="F10687" s="1" t="s">
        <v>5091</v>
      </c>
      <c r="G10687" s="14" t="s">
        <v>6145</v>
      </c>
      <c r="H10687" s="1" t="s">
        <v>43</v>
      </c>
      <c r="I10687" s="17">
        <v>43124</v>
      </c>
    </row>
    <row r="10688" spans="1:10">
      <c r="A10688" s="16" t="s">
        <v>13946</v>
      </c>
      <c r="B10688" s="1" t="s">
        <v>2628</v>
      </c>
      <c r="C10688" s="1">
        <v>9</v>
      </c>
      <c r="D10688" s="1" t="s">
        <v>19</v>
      </c>
      <c r="E10688" s="1" t="s">
        <v>6</v>
      </c>
      <c r="F10688" s="1" t="s">
        <v>5091</v>
      </c>
      <c r="G10688" s="14" t="s">
        <v>6145</v>
      </c>
      <c r="H10688" s="1" t="s">
        <v>43</v>
      </c>
      <c r="I10688" s="17">
        <v>43124</v>
      </c>
    </row>
    <row r="10689" spans="1:10">
      <c r="A10689" s="16" t="s">
        <v>13947</v>
      </c>
      <c r="B10689" s="1" t="s">
        <v>2628</v>
      </c>
      <c r="C10689" s="1">
        <v>9</v>
      </c>
      <c r="D10689" s="1" t="s">
        <v>19</v>
      </c>
      <c r="E10689" s="1" t="s">
        <v>6</v>
      </c>
      <c r="F10689" s="1" t="s">
        <v>5091</v>
      </c>
      <c r="G10689" s="14" t="s">
        <v>6145</v>
      </c>
      <c r="H10689" s="1" t="s">
        <v>43</v>
      </c>
      <c r="I10689" s="17">
        <v>43124</v>
      </c>
    </row>
    <row r="10690" spans="1:10">
      <c r="A10690" s="16" t="s">
        <v>14098</v>
      </c>
      <c r="B10690" s="1" t="s">
        <v>2628</v>
      </c>
      <c r="C10690" s="1">
        <v>9</v>
      </c>
      <c r="D10690" s="1" t="s">
        <v>19</v>
      </c>
      <c r="E10690" s="1" t="s">
        <v>6</v>
      </c>
      <c r="F10690" s="1" t="s">
        <v>5091</v>
      </c>
      <c r="G10690" s="14" t="s">
        <v>6145</v>
      </c>
      <c r="H10690" s="1" t="s">
        <v>43</v>
      </c>
      <c r="I10690" s="17">
        <v>43157</v>
      </c>
    </row>
    <row r="10691" spans="1:10">
      <c r="A10691" s="16" t="s">
        <v>14122</v>
      </c>
      <c r="B10691" s="1" t="s">
        <v>2628</v>
      </c>
      <c r="C10691" s="1">
        <v>9</v>
      </c>
      <c r="D10691" s="1" t="s">
        <v>19</v>
      </c>
      <c r="E10691" s="1" t="s">
        <v>6</v>
      </c>
      <c r="F10691" s="1" t="s">
        <v>5091</v>
      </c>
      <c r="G10691" s="14" t="s">
        <v>6145</v>
      </c>
      <c r="H10691" s="1" t="s">
        <v>43</v>
      </c>
      <c r="I10691" s="17">
        <v>43157</v>
      </c>
    </row>
    <row r="10692" spans="1:10">
      <c r="A10692" s="16" t="s">
        <v>14139</v>
      </c>
      <c r="B10692" s="1" t="s">
        <v>2628</v>
      </c>
      <c r="C10692" s="1">
        <v>9</v>
      </c>
      <c r="D10692" s="1" t="s">
        <v>19</v>
      </c>
      <c r="E10692" s="1" t="s">
        <v>6</v>
      </c>
      <c r="F10692" s="1" t="s">
        <v>5091</v>
      </c>
      <c r="G10692" s="14" t="s">
        <v>14107</v>
      </c>
      <c r="H10692" s="1" t="s">
        <v>43</v>
      </c>
      <c r="I10692" s="17">
        <v>38614</v>
      </c>
    </row>
    <row r="10693" spans="1:10">
      <c r="A10693" s="16" t="s">
        <v>14165</v>
      </c>
      <c r="B10693" s="1" t="s">
        <v>2628</v>
      </c>
      <c r="C10693" s="1">
        <v>9</v>
      </c>
      <c r="D10693" s="1" t="s">
        <v>19</v>
      </c>
      <c r="E10693" s="1" t="s">
        <v>6</v>
      </c>
      <c r="F10693" s="1" t="s">
        <v>5091</v>
      </c>
      <c r="G10693" s="14" t="s">
        <v>4458</v>
      </c>
      <c r="H10693" s="1" t="s">
        <v>118</v>
      </c>
      <c r="I10693" s="17">
        <v>37622</v>
      </c>
    </row>
    <row r="10694" spans="1:10">
      <c r="A10694" s="16" t="s">
        <v>14174</v>
      </c>
      <c r="B10694" s="1" t="s">
        <v>2628</v>
      </c>
      <c r="C10694" s="1">
        <v>9</v>
      </c>
      <c r="D10694" s="1" t="s">
        <v>19</v>
      </c>
      <c r="E10694" s="1" t="s">
        <v>6</v>
      </c>
      <c r="F10694" s="1" t="s">
        <v>5091</v>
      </c>
      <c r="G10694" s="14" t="s">
        <v>6145</v>
      </c>
      <c r="H10694" s="1" t="s">
        <v>43</v>
      </c>
      <c r="I10694" s="17">
        <v>38936</v>
      </c>
    </row>
    <row r="10695" spans="1:10">
      <c r="A10695" s="16" t="s">
        <v>14180</v>
      </c>
      <c r="B10695" s="1" t="s">
        <v>2628</v>
      </c>
      <c r="C10695" s="1">
        <v>9</v>
      </c>
      <c r="D10695" s="1" t="s">
        <v>19</v>
      </c>
      <c r="E10695" s="1" t="s">
        <v>6</v>
      </c>
      <c r="F10695" s="1" t="s">
        <v>5091</v>
      </c>
      <c r="G10695" s="14" t="s">
        <v>6145</v>
      </c>
      <c r="H10695" s="1" t="s">
        <v>43</v>
      </c>
      <c r="I10695" s="17">
        <v>38936</v>
      </c>
    </row>
    <row r="10696" spans="1:10">
      <c r="A10696" s="16" t="s">
        <v>14204</v>
      </c>
      <c r="B10696" s="1" t="s">
        <v>2628</v>
      </c>
      <c r="C10696" s="1">
        <v>1113</v>
      </c>
      <c r="D10696" s="1" t="s">
        <v>19</v>
      </c>
      <c r="E10696" s="1" t="s">
        <v>6</v>
      </c>
      <c r="F10696" s="1" t="s">
        <v>5091</v>
      </c>
      <c r="G10696" s="14" t="s">
        <v>14205</v>
      </c>
      <c r="H10696" s="1" t="s">
        <v>43</v>
      </c>
      <c r="I10696" s="17">
        <v>43191</v>
      </c>
    </row>
    <row r="10697" spans="1:10">
      <c r="A10697" s="16" t="s">
        <v>14210</v>
      </c>
      <c r="B10697" s="1" t="s">
        <v>2628</v>
      </c>
      <c r="C10697" s="1">
        <v>9</v>
      </c>
      <c r="D10697" s="1" t="s">
        <v>19</v>
      </c>
      <c r="E10697" s="1" t="s">
        <v>6</v>
      </c>
      <c r="F10697" s="1" t="s">
        <v>5091</v>
      </c>
      <c r="G10697" s="14" t="s">
        <v>6145</v>
      </c>
      <c r="H10697" s="1" t="s">
        <v>43</v>
      </c>
      <c r="I10697" s="17">
        <v>38936</v>
      </c>
    </row>
    <row r="10698" spans="1:10" ht="31.2">
      <c r="A10698" s="16" t="s">
        <v>14398</v>
      </c>
      <c r="B10698" s="1" t="s">
        <v>2628</v>
      </c>
      <c r="C10698" s="1">
        <v>9</v>
      </c>
      <c r="D10698" s="1" t="s">
        <v>19</v>
      </c>
      <c r="E10698" s="1" t="s">
        <v>6</v>
      </c>
      <c r="F10698" s="1" t="s">
        <v>5091</v>
      </c>
      <c r="G10698" s="14" t="s">
        <v>6145</v>
      </c>
      <c r="H10698" s="1" t="s">
        <v>43</v>
      </c>
      <c r="I10698" s="17">
        <v>42206</v>
      </c>
    </row>
    <row r="10699" spans="1:10">
      <c r="A10699" s="16" t="s">
        <v>14399</v>
      </c>
      <c r="B10699" s="1" t="s">
        <v>2628</v>
      </c>
      <c r="C10699" s="1">
        <v>9</v>
      </c>
      <c r="D10699" s="1" t="s">
        <v>19</v>
      </c>
      <c r="E10699" s="1" t="s">
        <v>6</v>
      </c>
      <c r="F10699" s="1" t="s">
        <v>5091</v>
      </c>
      <c r="G10699" s="14" t="s">
        <v>6236</v>
      </c>
      <c r="H10699" s="1" t="s">
        <v>43</v>
      </c>
      <c r="I10699" s="17">
        <v>43101</v>
      </c>
    </row>
    <row r="10700" spans="1:10">
      <c r="A10700" s="7" t="s">
        <v>14464</v>
      </c>
      <c r="B10700" s="2" t="s">
        <v>2628</v>
      </c>
      <c r="C10700" s="1">
        <v>9</v>
      </c>
      <c r="D10700" s="1" t="s">
        <v>19</v>
      </c>
      <c r="E10700" s="1" t="s">
        <v>6</v>
      </c>
      <c r="F10700" s="2" t="s">
        <v>118</v>
      </c>
      <c r="G10700" s="14" t="s">
        <v>14465</v>
      </c>
      <c r="H10700" s="1" t="s">
        <v>43</v>
      </c>
      <c r="I10700" s="1" t="s">
        <v>5659</v>
      </c>
    </row>
    <row r="10701" spans="1:10">
      <c r="A10701" s="7" t="s">
        <v>14473</v>
      </c>
      <c r="B10701" s="2" t="s">
        <v>2628</v>
      </c>
      <c r="C10701" s="1">
        <v>9</v>
      </c>
      <c r="D10701" s="1" t="s">
        <v>19</v>
      </c>
      <c r="E10701" s="1" t="s">
        <v>6</v>
      </c>
      <c r="F10701" s="2" t="s">
        <v>118</v>
      </c>
      <c r="G10701" s="14" t="s">
        <v>14465</v>
      </c>
      <c r="H10701" s="1" t="s">
        <v>43</v>
      </c>
      <c r="I10701" s="1" t="s">
        <v>5642</v>
      </c>
    </row>
    <row r="10702" spans="1:10">
      <c r="A10702" s="7" t="s">
        <v>14484</v>
      </c>
      <c r="B10702" s="2" t="s">
        <v>2628</v>
      </c>
      <c r="C10702" s="1">
        <v>9</v>
      </c>
      <c r="D10702" s="1" t="s">
        <v>19</v>
      </c>
      <c r="E10702" s="1" t="s">
        <v>6</v>
      </c>
      <c r="F10702" s="2" t="s">
        <v>118</v>
      </c>
      <c r="G10702" s="14" t="s">
        <v>14463</v>
      </c>
      <c r="H10702" s="1" t="s">
        <v>5</v>
      </c>
      <c r="I10702" s="1" t="s">
        <v>5659</v>
      </c>
    </row>
    <row r="10703" spans="1:10">
      <c r="A10703" s="7" t="s">
        <v>14485</v>
      </c>
      <c r="B10703" s="2" t="s">
        <v>2629</v>
      </c>
      <c r="C10703" s="1">
        <v>9</v>
      </c>
      <c r="D10703" s="1" t="s">
        <v>19</v>
      </c>
      <c r="E10703" s="1" t="s">
        <v>6</v>
      </c>
      <c r="F10703" s="1" t="s">
        <v>118</v>
      </c>
      <c r="G10703" s="14" t="s">
        <v>14463</v>
      </c>
      <c r="H10703" s="1" t="s">
        <v>5</v>
      </c>
      <c r="I10703" s="1" t="s">
        <v>6844</v>
      </c>
      <c r="J10703" s="17"/>
    </row>
    <row r="10704" spans="1:10">
      <c r="A10704" s="7" t="s">
        <v>14486</v>
      </c>
      <c r="B10704" s="2" t="s">
        <v>2628</v>
      </c>
      <c r="C10704" s="1">
        <v>9</v>
      </c>
      <c r="D10704" s="1" t="s">
        <v>19</v>
      </c>
      <c r="E10704" s="1" t="s">
        <v>6</v>
      </c>
      <c r="F10704" s="2" t="s">
        <v>118</v>
      </c>
      <c r="G10704" s="14" t="s">
        <v>14463</v>
      </c>
      <c r="H10704" s="1" t="s">
        <v>5</v>
      </c>
      <c r="I10704" s="1" t="s">
        <v>5659</v>
      </c>
    </row>
    <row r="10705" spans="1:9">
      <c r="A10705" s="7" t="s">
        <v>14494</v>
      </c>
      <c r="B10705" s="2" t="s">
        <v>2628</v>
      </c>
      <c r="C10705" s="1">
        <v>9</v>
      </c>
      <c r="D10705" s="1" t="s">
        <v>19</v>
      </c>
      <c r="E10705" s="1" t="s">
        <v>6</v>
      </c>
      <c r="F10705" s="2" t="s">
        <v>118</v>
      </c>
      <c r="G10705" s="14" t="s">
        <v>14465</v>
      </c>
      <c r="H10705" s="1" t="s">
        <v>43</v>
      </c>
      <c r="I10705" s="1" t="s">
        <v>4789</v>
      </c>
    </row>
    <row r="10706" spans="1:9">
      <c r="A10706" s="7" t="s">
        <v>14495</v>
      </c>
      <c r="B10706" s="2" t="s">
        <v>2628</v>
      </c>
      <c r="C10706" s="1">
        <v>9</v>
      </c>
      <c r="D10706" s="1" t="s">
        <v>19</v>
      </c>
      <c r="E10706" s="1" t="s">
        <v>6</v>
      </c>
      <c r="F10706" s="2" t="s">
        <v>118</v>
      </c>
      <c r="G10706" s="14" t="s">
        <v>14465</v>
      </c>
      <c r="H10706" s="1" t="s">
        <v>43</v>
      </c>
      <c r="I10706" s="1" t="s">
        <v>5659</v>
      </c>
    </row>
    <row r="10707" spans="1:9">
      <c r="A10707" s="7" t="s">
        <v>14498</v>
      </c>
      <c r="B10707" s="2" t="s">
        <v>2628</v>
      </c>
      <c r="C10707" s="1">
        <v>9</v>
      </c>
      <c r="D10707" s="1" t="s">
        <v>19</v>
      </c>
      <c r="E10707" s="1" t="s">
        <v>6</v>
      </c>
      <c r="F10707" s="2" t="s">
        <v>118</v>
      </c>
      <c r="G10707" s="14" t="s">
        <v>14463</v>
      </c>
      <c r="H10707" s="1" t="s">
        <v>5</v>
      </c>
      <c r="I10707" s="1" t="s">
        <v>4789</v>
      </c>
    </row>
    <row r="10708" spans="1:9">
      <c r="A10708" s="7" t="s">
        <v>14501</v>
      </c>
      <c r="B10708" s="2" t="s">
        <v>2628</v>
      </c>
      <c r="C10708" s="1">
        <v>9</v>
      </c>
      <c r="D10708" s="1" t="s">
        <v>19</v>
      </c>
      <c r="E10708" s="1" t="s">
        <v>6</v>
      </c>
      <c r="F10708" s="2" t="s">
        <v>118</v>
      </c>
      <c r="G10708" s="14" t="s">
        <v>14463</v>
      </c>
      <c r="H10708" s="1" t="s">
        <v>5</v>
      </c>
      <c r="I10708" s="1" t="s">
        <v>4789</v>
      </c>
    </row>
    <row r="10709" spans="1:9">
      <c r="A10709" s="7" t="s">
        <v>14505</v>
      </c>
      <c r="B10709" s="2" t="s">
        <v>2628</v>
      </c>
      <c r="C10709" s="1">
        <v>9</v>
      </c>
      <c r="D10709" s="1" t="s">
        <v>19</v>
      </c>
      <c r="E10709" s="1" t="s">
        <v>6</v>
      </c>
      <c r="F10709" s="2" t="s">
        <v>118</v>
      </c>
      <c r="G10709" s="14" t="s">
        <v>14463</v>
      </c>
      <c r="H10709" s="1" t="s">
        <v>5</v>
      </c>
      <c r="I10709" s="1" t="s">
        <v>4789</v>
      </c>
    </row>
    <row r="10710" spans="1:9">
      <c r="A10710" s="7" t="s">
        <v>14506</v>
      </c>
      <c r="B10710" s="2" t="s">
        <v>2628</v>
      </c>
      <c r="C10710" s="1">
        <v>9</v>
      </c>
      <c r="D10710" s="1" t="s">
        <v>19</v>
      </c>
      <c r="E10710" s="1" t="s">
        <v>6</v>
      </c>
      <c r="F10710" s="2" t="s">
        <v>118</v>
      </c>
      <c r="G10710" s="14" t="s">
        <v>14463</v>
      </c>
      <c r="H10710" s="1" t="s">
        <v>5</v>
      </c>
      <c r="I10710" s="1" t="s">
        <v>4789</v>
      </c>
    </row>
    <row r="10711" spans="1:9">
      <c r="A10711" s="7" t="s">
        <v>14518</v>
      </c>
      <c r="B10711" s="2" t="s">
        <v>2630</v>
      </c>
      <c r="C10711" s="1">
        <v>9</v>
      </c>
      <c r="D10711" s="1" t="s">
        <v>19</v>
      </c>
      <c r="E10711" s="1" t="s">
        <v>6</v>
      </c>
      <c r="F10711" s="1" t="s">
        <v>118</v>
      </c>
      <c r="G10711" s="14" t="s">
        <v>14463</v>
      </c>
      <c r="H10711" s="1" t="s">
        <v>4803</v>
      </c>
      <c r="I10711" s="1" t="s">
        <v>4789</v>
      </c>
    </row>
    <row r="10712" spans="1:9">
      <c r="A10712" s="16" t="s">
        <v>14542</v>
      </c>
      <c r="B10712" s="1" t="s">
        <v>2628</v>
      </c>
      <c r="C10712" s="1">
        <v>9</v>
      </c>
      <c r="D10712" s="1" t="s">
        <v>19</v>
      </c>
      <c r="E10712" s="1" t="s">
        <v>6</v>
      </c>
      <c r="F10712" s="1" t="s">
        <v>5091</v>
      </c>
      <c r="G10712" s="14" t="s">
        <v>6145</v>
      </c>
      <c r="H10712" s="1" t="s">
        <v>43</v>
      </c>
      <c r="I10712" s="17">
        <v>38909</v>
      </c>
    </row>
    <row r="10713" spans="1:9">
      <c r="A10713" s="16" t="s">
        <v>14553</v>
      </c>
      <c r="B10713" s="1" t="s">
        <v>2628</v>
      </c>
      <c r="C10713" s="1">
        <v>9</v>
      </c>
      <c r="D10713" s="1" t="s">
        <v>19</v>
      </c>
      <c r="E10713" s="1" t="s">
        <v>6</v>
      </c>
      <c r="F10713" s="1" t="s">
        <v>5091</v>
      </c>
      <c r="G10713" s="14" t="s">
        <v>6145</v>
      </c>
      <c r="H10713" s="1" t="s">
        <v>43</v>
      </c>
      <c r="I10713" s="17">
        <v>38909</v>
      </c>
    </row>
    <row r="10714" spans="1:9">
      <c r="A10714" s="16" t="s">
        <v>14563</v>
      </c>
      <c r="B10714" s="1" t="s">
        <v>2628</v>
      </c>
      <c r="C10714" s="1">
        <v>9</v>
      </c>
      <c r="D10714" s="1" t="s">
        <v>19</v>
      </c>
      <c r="E10714" s="1" t="s">
        <v>6</v>
      </c>
      <c r="F10714" s="1" t="s">
        <v>5091</v>
      </c>
      <c r="G10714" s="14" t="s">
        <v>6145</v>
      </c>
      <c r="H10714" s="1" t="s">
        <v>43</v>
      </c>
      <c r="I10714" s="17">
        <v>38909</v>
      </c>
    </row>
    <row r="10715" spans="1:9">
      <c r="A10715" s="16" t="s">
        <v>14566</v>
      </c>
      <c r="B10715" s="1" t="s">
        <v>2628</v>
      </c>
      <c r="C10715" s="1">
        <v>9</v>
      </c>
      <c r="D10715" s="1" t="s">
        <v>19</v>
      </c>
      <c r="E10715" s="1" t="s">
        <v>6</v>
      </c>
      <c r="F10715" s="1" t="s">
        <v>5091</v>
      </c>
      <c r="G10715" s="14" t="s">
        <v>6145</v>
      </c>
      <c r="H10715" s="1" t="s">
        <v>43</v>
      </c>
      <c r="I10715" s="17">
        <v>38909</v>
      </c>
    </row>
    <row r="10716" spans="1:9">
      <c r="A10716" s="16" t="s">
        <v>14590</v>
      </c>
      <c r="B10716" s="1" t="s">
        <v>2628</v>
      </c>
      <c r="C10716" s="1">
        <v>9</v>
      </c>
      <c r="D10716" s="1" t="s">
        <v>19</v>
      </c>
      <c r="E10716" s="1" t="s">
        <v>6</v>
      </c>
      <c r="F10716" s="1" t="s">
        <v>5091</v>
      </c>
      <c r="G10716" s="14" t="s">
        <v>6307</v>
      </c>
      <c r="H10716" s="1" t="s">
        <v>44</v>
      </c>
      <c r="I10716" s="17">
        <v>39930</v>
      </c>
    </row>
    <row r="10717" spans="1:9">
      <c r="A10717" s="16" t="s">
        <v>14592</v>
      </c>
      <c r="B10717" s="1" t="s">
        <v>2628</v>
      </c>
      <c r="C10717" s="1">
        <v>9</v>
      </c>
      <c r="D10717" s="1" t="s">
        <v>19</v>
      </c>
      <c r="E10717" s="1" t="s">
        <v>6</v>
      </c>
      <c r="F10717" s="1" t="s">
        <v>5091</v>
      </c>
      <c r="G10717" s="14" t="s">
        <v>6145</v>
      </c>
      <c r="H10717" s="1" t="s">
        <v>43</v>
      </c>
      <c r="I10717" s="17">
        <v>39930</v>
      </c>
    </row>
    <row r="10718" spans="1:9">
      <c r="A10718" s="16" t="s">
        <v>14641</v>
      </c>
      <c r="B10718" s="1" t="s">
        <v>2628</v>
      </c>
      <c r="C10718" s="1">
        <v>35</v>
      </c>
      <c r="D10718" s="1" t="s">
        <v>19</v>
      </c>
      <c r="E10718" s="1" t="s">
        <v>6</v>
      </c>
      <c r="F10718" s="1" t="s">
        <v>5091</v>
      </c>
      <c r="G10718" s="14" t="s">
        <v>14642</v>
      </c>
      <c r="H10718" s="1" t="s">
        <v>5</v>
      </c>
      <c r="I10718" s="17">
        <v>41179</v>
      </c>
    </row>
    <row r="10719" spans="1:9">
      <c r="A10719" s="16" t="s">
        <v>14643</v>
      </c>
      <c r="B10719" s="1" t="s">
        <v>2628</v>
      </c>
      <c r="C10719" s="1">
        <v>35</v>
      </c>
      <c r="D10719" s="1" t="s">
        <v>19</v>
      </c>
      <c r="E10719" s="1" t="s">
        <v>6</v>
      </c>
      <c r="F10719" s="1" t="s">
        <v>5091</v>
      </c>
      <c r="G10719" s="14" t="s">
        <v>14644</v>
      </c>
      <c r="H10719" s="1" t="s">
        <v>5</v>
      </c>
      <c r="I10719" s="17">
        <v>41179</v>
      </c>
    </row>
    <row r="10720" spans="1:9">
      <c r="A10720" s="16" t="s">
        <v>14650</v>
      </c>
      <c r="B10720" s="1" t="s">
        <v>2628</v>
      </c>
      <c r="C10720" s="1">
        <v>9</v>
      </c>
      <c r="D10720" s="1" t="s">
        <v>19</v>
      </c>
      <c r="E10720" s="1" t="s">
        <v>6</v>
      </c>
      <c r="F10720" s="1" t="s">
        <v>5091</v>
      </c>
      <c r="G10720" s="14" t="s">
        <v>6145</v>
      </c>
      <c r="H10720" s="1" t="s">
        <v>43</v>
      </c>
      <c r="I10720" s="17">
        <v>43101</v>
      </c>
    </row>
    <row r="10721" spans="1:10">
      <c r="A10721" s="16" t="s">
        <v>14653</v>
      </c>
      <c r="B10721" s="1" t="s">
        <v>2628</v>
      </c>
      <c r="C10721" s="1">
        <v>9</v>
      </c>
      <c r="D10721" s="1" t="s">
        <v>19</v>
      </c>
      <c r="E10721" s="1" t="s">
        <v>6</v>
      </c>
      <c r="F10721" s="1" t="s">
        <v>5091</v>
      </c>
      <c r="G10721" s="14" t="s">
        <v>6186</v>
      </c>
      <c r="H10721" s="1" t="s">
        <v>5</v>
      </c>
      <c r="I10721" s="17">
        <v>43101</v>
      </c>
    </row>
    <row r="10722" spans="1:10" ht="31.2">
      <c r="A10722" s="16" t="s">
        <v>14668</v>
      </c>
      <c r="B10722" s="1" t="s">
        <v>2628</v>
      </c>
      <c r="C10722" s="1">
        <v>9</v>
      </c>
      <c r="D10722" s="1" t="s">
        <v>19</v>
      </c>
      <c r="E10722" s="1" t="s">
        <v>6</v>
      </c>
      <c r="F10722" s="1" t="s">
        <v>5091</v>
      </c>
      <c r="G10722" s="14" t="s">
        <v>6145</v>
      </c>
      <c r="H10722" s="1" t="s">
        <v>43</v>
      </c>
      <c r="I10722" s="17">
        <v>39973</v>
      </c>
    </row>
    <row r="10723" spans="1:10" ht="31.2">
      <c r="A10723" s="16" t="s">
        <v>14672</v>
      </c>
      <c r="B10723" s="1" t="s">
        <v>2628</v>
      </c>
      <c r="C10723" s="1">
        <v>9</v>
      </c>
      <c r="D10723" s="1" t="s">
        <v>19</v>
      </c>
      <c r="E10723" s="1" t="s">
        <v>6</v>
      </c>
      <c r="F10723" s="1" t="s">
        <v>5091</v>
      </c>
      <c r="G10723" s="14" t="s">
        <v>6145</v>
      </c>
      <c r="H10723" s="1" t="s">
        <v>43</v>
      </c>
      <c r="I10723" s="17">
        <v>39973</v>
      </c>
    </row>
    <row r="10724" spans="1:10">
      <c r="A10724" s="16" t="s">
        <v>14721</v>
      </c>
      <c r="B10724" s="1" t="s">
        <v>2628</v>
      </c>
      <c r="C10724" s="1">
        <v>9</v>
      </c>
      <c r="D10724" s="1" t="s">
        <v>19</v>
      </c>
      <c r="E10724" s="1" t="s">
        <v>6</v>
      </c>
      <c r="F10724" s="1" t="s">
        <v>5091</v>
      </c>
      <c r="G10724" s="14" t="s">
        <v>6201</v>
      </c>
      <c r="H10724" s="1" t="s">
        <v>43</v>
      </c>
      <c r="I10724" s="17">
        <v>38664</v>
      </c>
    </row>
    <row r="10725" spans="1:10" ht="31.2">
      <c r="A10725" s="16" t="s">
        <v>14728</v>
      </c>
      <c r="B10725" s="1" t="s">
        <v>2628</v>
      </c>
      <c r="C10725" s="1">
        <v>9</v>
      </c>
      <c r="D10725" s="1" t="s">
        <v>19</v>
      </c>
      <c r="E10725" s="1" t="s">
        <v>6</v>
      </c>
      <c r="F10725" s="1" t="s">
        <v>5091</v>
      </c>
      <c r="G10725" s="14" t="s">
        <v>6145</v>
      </c>
      <c r="H10725" s="1" t="s">
        <v>43</v>
      </c>
      <c r="I10725" s="17">
        <v>41584</v>
      </c>
    </row>
    <row r="10726" spans="1:10" ht="31.2">
      <c r="A10726" s="16" t="s">
        <v>14729</v>
      </c>
      <c r="B10726" s="1" t="s">
        <v>2628</v>
      </c>
      <c r="C10726" s="1">
        <v>9</v>
      </c>
      <c r="D10726" s="1" t="s">
        <v>19</v>
      </c>
      <c r="E10726" s="1" t="s">
        <v>6</v>
      </c>
      <c r="F10726" s="1" t="s">
        <v>5091</v>
      </c>
      <c r="G10726" s="14" t="s">
        <v>6145</v>
      </c>
      <c r="H10726" s="1" t="s">
        <v>43</v>
      </c>
      <c r="I10726" s="17">
        <v>41584</v>
      </c>
    </row>
    <row r="10727" spans="1:10">
      <c r="A10727" s="16" t="s">
        <v>14732</v>
      </c>
      <c r="B10727" s="1" t="s">
        <v>2628</v>
      </c>
      <c r="C10727" s="1">
        <v>9</v>
      </c>
      <c r="D10727" s="1" t="s">
        <v>19</v>
      </c>
      <c r="E10727" s="1" t="s">
        <v>6</v>
      </c>
      <c r="F10727" s="1" t="s">
        <v>5091</v>
      </c>
      <c r="G10727" s="14" t="s">
        <v>14678</v>
      </c>
      <c r="H10727" s="1" t="s">
        <v>315</v>
      </c>
      <c r="I10727" s="17">
        <v>43312</v>
      </c>
    </row>
    <row r="10728" spans="1:10">
      <c r="A10728" s="16" t="s">
        <v>14771</v>
      </c>
      <c r="B10728" s="1" t="s">
        <v>2628</v>
      </c>
      <c r="C10728" s="1">
        <v>9</v>
      </c>
      <c r="D10728" s="1" t="s">
        <v>19</v>
      </c>
      <c r="E10728" s="1" t="s">
        <v>6</v>
      </c>
      <c r="F10728" s="1" t="s">
        <v>5091</v>
      </c>
      <c r="G10728" s="14" t="s">
        <v>6186</v>
      </c>
      <c r="H10728" s="1" t="s">
        <v>5</v>
      </c>
      <c r="I10728" s="17">
        <v>43101</v>
      </c>
    </row>
    <row r="10729" spans="1:10">
      <c r="A10729" s="7" t="s">
        <v>14794</v>
      </c>
      <c r="B10729" s="1" t="s">
        <v>2629</v>
      </c>
      <c r="C10729" s="1">
        <v>9</v>
      </c>
      <c r="D10729" s="1" t="s">
        <v>19</v>
      </c>
      <c r="E10729" s="1" t="s">
        <v>6</v>
      </c>
      <c r="F10729" s="1" t="s">
        <v>5241</v>
      </c>
      <c r="G10729" s="1" t="s">
        <v>6307</v>
      </c>
      <c r="H10729" s="1" t="s">
        <v>44</v>
      </c>
      <c r="I10729" s="17">
        <v>42856</v>
      </c>
    </row>
    <row r="10730" spans="1:10">
      <c r="A10730" s="7" t="s">
        <v>14799</v>
      </c>
      <c r="B10730" s="1" t="s">
        <v>2629</v>
      </c>
      <c r="C10730" s="1">
        <v>9</v>
      </c>
      <c r="D10730" s="1" t="s">
        <v>19</v>
      </c>
      <c r="E10730" s="1" t="s">
        <v>6</v>
      </c>
      <c r="F10730" s="1" t="s">
        <v>5241</v>
      </c>
      <c r="G10730" s="1" t="s">
        <v>4803</v>
      </c>
      <c r="H10730" s="1" t="s">
        <v>5</v>
      </c>
      <c r="I10730" s="17">
        <v>42917</v>
      </c>
      <c r="J10730" s="17"/>
    </row>
    <row r="10731" spans="1:10">
      <c r="A10731" s="7" t="s">
        <v>14809</v>
      </c>
      <c r="B10731" s="1" t="s">
        <v>2629</v>
      </c>
      <c r="C10731" s="1">
        <v>9</v>
      </c>
      <c r="D10731" s="1" t="s">
        <v>19</v>
      </c>
      <c r="E10731" s="1" t="s">
        <v>6</v>
      </c>
      <c r="F10731" s="1" t="s">
        <v>5241</v>
      </c>
      <c r="G10731" s="1" t="s">
        <v>4803</v>
      </c>
      <c r="H10731" s="1" t="s">
        <v>5</v>
      </c>
      <c r="I10731" s="17">
        <v>43101</v>
      </c>
      <c r="J10731" s="17"/>
    </row>
    <row r="10732" spans="1:10">
      <c r="A10732" s="7" t="s">
        <v>14845</v>
      </c>
      <c r="B10732" s="1" t="s">
        <v>2629</v>
      </c>
      <c r="C10732" s="1">
        <v>9</v>
      </c>
      <c r="D10732" s="1" t="s">
        <v>19</v>
      </c>
      <c r="E10732" s="1" t="s">
        <v>6</v>
      </c>
      <c r="F10732" s="1" t="s">
        <v>5241</v>
      </c>
      <c r="G10732" s="1" t="s">
        <v>4803</v>
      </c>
      <c r="H10732" s="1" t="s">
        <v>5</v>
      </c>
      <c r="I10732" s="17">
        <v>42430</v>
      </c>
      <c r="J10732" s="17"/>
    </row>
    <row r="10733" spans="1:10">
      <c r="A10733" s="7" t="s">
        <v>14856</v>
      </c>
      <c r="B10733" s="1" t="s">
        <v>2629</v>
      </c>
      <c r="C10733" s="1">
        <v>9</v>
      </c>
      <c r="D10733" s="1" t="s">
        <v>19</v>
      </c>
      <c r="E10733" s="1" t="s">
        <v>6</v>
      </c>
      <c r="F10733" s="1" t="s">
        <v>5241</v>
      </c>
      <c r="G10733" s="1" t="s">
        <v>4803</v>
      </c>
      <c r="H10733" s="1" t="s">
        <v>5</v>
      </c>
      <c r="I10733" s="17">
        <v>42430</v>
      </c>
      <c r="J10733" s="17"/>
    </row>
    <row r="10734" spans="1:10">
      <c r="A10734" s="7" t="s">
        <v>14867</v>
      </c>
      <c r="B10734" s="1" t="s">
        <v>2629</v>
      </c>
      <c r="C10734" s="1">
        <v>9</v>
      </c>
      <c r="D10734" s="1" t="s">
        <v>19</v>
      </c>
      <c r="E10734" s="1" t="s">
        <v>6</v>
      </c>
      <c r="F10734" s="1" t="s">
        <v>5241</v>
      </c>
      <c r="G10734" s="1" t="s">
        <v>6307</v>
      </c>
      <c r="H10734" s="1" t="s">
        <v>44</v>
      </c>
      <c r="I10734" s="17">
        <v>42826</v>
      </c>
    </row>
    <row r="10735" spans="1:10">
      <c r="A10735" s="16" t="s">
        <v>14908</v>
      </c>
      <c r="B10735" s="1" t="s">
        <v>2631</v>
      </c>
      <c r="C10735" s="1">
        <v>9</v>
      </c>
      <c r="D10735" s="1" t="s">
        <v>19</v>
      </c>
      <c r="E10735" s="1" t="s">
        <v>6</v>
      </c>
      <c r="F10735" s="1" t="s">
        <v>5241</v>
      </c>
      <c r="G10735" s="1" t="s">
        <v>4803</v>
      </c>
      <c r="H10735" s="1" t="s">
        <v>5</v>
      </c>
      <c r="I10735" s="17">
        <v>42248</v>
      </c>
      <c r="J10735" s="17"/>
    </row>
    <row r="10736" spans="1:10">
      <c r="A10736" s="16" t="s">
        <v>14913</v>
      </c>
      <c r="B10736" s="1" t="s">
        <v>2628</v>
      </c>
      <c r="C10736" s="1">
        <v>9</v>
      </c>
      <c r="D10736" s="1" t="s">
        <v>19</v>
      </c>
      <c r="E10736" s="1" t="s">
        <v>6</v>
      </c>
      <c r="F10736" s="1" t="s">
        <v>5241</v>
      </c>
      <c r="G10736" s="14" t="s">
        <v>4803</v>
      </c>
      <c r="H10736" s="1" t="s">
        <v>5</v>
      </c>
      <c r="I10736" s="17">
        <v>41244</v>
      </c>
    </row>
    <row r="10737" spans="1:10">
      <c r="A10737" s="7" t="s">
        <v>14918</v>
      </c>
      <c r="B10737" s="1" t="s">
        <v>2629</v>
      </c>
      <c r="C10737" s="1">
        <v>9</v>
      </c>
      <c r="D10737" s="1" t="s">
        <v>19</v>
      </c>
      <c r="E10737" s="1" t="s">
        <v>6</v>
      </c>
      <c r="F10737" s="1" t="s">
        <v>5241</v>
      </c>
      <c r="G10737" s="1" t="s">
        <v>4803</v>
      </c>
      <c r="H10737" s="1" t="s">
        <v>5</v>
      </c>
      <c r="I10737" s="17">
        <v>42156</v>
      </c>
      <c r="J10737" s="17"/>
    </row>
    <row r="10738" spans="1:10">
      <c r="A10738" s="16" t="s">
        <v>14928</v>
      </c>
      <c r="B10738" s="1" t="s">
        <v>2631</v>
      </c>
      <c r="C10738" s="1">
        <v>9</v>
      </c>
      <c r="D10738" s="1" t="s">
        <v>19</v>
      </c>
      <c r="E10738" s="1" t="s">
        <v>6</v>
      </c>
      <c r="F10738" s="1" t="s">
        <v>5241</v>
      </c>
      <c r="G10738" s="1" t="s">
        <v>6307</v>
      </c>
      <c r="H10738" s="1" t="s">
        <v>44</v>
      </c>
      <c r="I10738" s="17">
        <v>40179</v>
      </c>
    </row>
    <row r="10739" spans="1:10">
      <c r="A10739" s="16" t="s">
        <v>14946</v>
      </c>
      <c r="B10739" s="1" t="s">
        <v>2631</v>
      </c>
      <c r="C10739" s="1">
        <v>9</v>
      </c>
      <c r="D10739" s="1" t="s">
        <v>19</v>
      </c>
      <c r="E10739" s="1" t="s">
        <v>6</v>
      </c>
      <c r="F10739" s="1" t="s">
        <v>5241</v>
      </c>
      <c r="G10739" s="1" t="s">
        <v>4803</v>
      </c>
      <c r="H10739" s="1" t="s">
        <v>5</v>
      </c>
      <c r="I10739" s="17">
        <v>41275</v>
      </c>
      <c r="J10739" s="17"/>
    </row>
    <row r="10740" spans="1:10">
      <c r="A10740" s="7" t="s">
        <v>14951</v>
      </c>
      <c r="B10740" s="1" t="s">
        <v>2629</v>
      </c>
      <c r="C10740" s="1">
        <v>9</v>
      </c>
      <c r="D10740" s="1" t="s">
        <v>19</v>
      </c>
      <c r="E10740" s="1" t="s">
        <v>6</v>
      </c>
      <c r="F10740" s="1" t="s">
        <v>5241</v>
      </c>
      <c r="G10740" s="1" t="s">
        <v>4803</v>
      </c>
      <c r="H10740" s="1" t="s">
        <v>5</v>
      </c>
      <c r="I10740" s="17">
        <v>42522</v>
      </c>
      <c r="J10740" s="17"/>
    </row>
    <row r="10741" spans="1:10">
      <c r="A10741" s="7" t="s">
        <v>14958</v>
      </c>
      <c r="B10741" s="1" t="s">
        <v>2629</v>
      </c>
      <c r="C10741" s="1">
        <v>9</v>
      </c>
      <c r="D10741" s="1" t="s">
        <v>19</v>
      </c>
      <c r="E10741" s="1" t="s">
        <v>6</v>
      </c>
      <c r="F10741" s="1" t="s">
        <v>5241</v>
      </c>
      <c r="G10741" s="1" t="s">
        <v>4803</v>
      </c>
      <c r="H10741" s="1" t="s">
        <v>5</v>
      </c>
      <c r="I10741" s="17">
        <v>42614</v>
      </c>
      <c r="J10741" s="17"/>
    </row>
    <row r="10742" spans="1:10">
      <c r="A10742" s="7" t="s">
        <v>14970</v>
      </c>
      <c r="B10742" s="1" t="s">
        <v>2629</v>
      </c>
      <c r="C10742" s="1">
        <v>9</v>
      </c>
      <c r="D10742" s="1" t="s">
        <v>19</v>
      </c>
      <c r="E10742" s="1" t="s">
        <v>6</v>
      </c>
      <c r="F10742" s="1" t="s">
        <v>5241</v>
      </c>
      <c r="G10742" s="1" t="s">
        <v>4803</v>
      </c>
      <c r="H10742" s="1" t="s">
        <v>5</v>
      </c>
      <c r="I10742" s="17">
        <v>42278</v>
      </c>
      <c r="J10742" s="17"/>
    </row>
    <row r="10743" spans="1:10">
      <c r="A10743" s="7" t="s">
        <v>14986</v>
      </c>
      <c r="B10743" s="1" t="s">
        <v>2629</v>
      </c>
      <c r="C10743" s="1">
        <v>9</v>
      </c>
      <c r="D10743" s="1" t="s">
        <v>19</v>
      </c>
      <c r="E10743" s="1" t="s">
        <v>6</v>
      </c>
      <c r="F10743" s="1" t="s">
        <v>5241</v>
      </c>
      <c r="G10743" s="1" t="s">
        <v>4803</v>
      </c>
      <c r="H10743" s="1" t="s">
        <v>5</v>
      </c>
      <c r="I10743" s="17">
        <v>42917</v>
      </c>
      <c r="J10743" s="17"/>
    </row>
    <row r="10744" spans="1:10">
      <c r="A10744" s="7" t="s">
        <v>14994</v>
      </c>
      <c r="B10744" s="1" t="s">
        <v>2629</v>
      </c>
      <c r="C10744" s="1">
        <v>9</v>
      </c>
      <c r="D10744" s="1" t="s">
        <v>19</v>
      </c>
      <c r="E10744" s="1" t="s">
        <v>6</v>
      </c>
      <c r="F10744" s="1" t="s">
        <v>5241</v>
      </c>
      <c r="G10744" s="1" t="s">
        <v>4803</v>
      </c>
      <c r="H10744" s="1" t="s">
        <v>5</v>
      </c>
      <c r="I10744" s="17">
        <v>42430</v>
      </c>
      <c r="J10744" s="17"/>
    </row>
    <row r="10745" spans="1:10">
      <c r="A10745" s="7" t="s">
        <v>15001</v>
      </c>
      <c r="B10745" s="1" t="s">
        <v>2629</v>
      </c>
      <c r="C10745" s="1">
        <v>9</v>
      </c>
      <c r="D10745" s="1" t="s">
        <v>19</v>
      </c>
      <c r="E10745" s="1" t="s">
        <v>6</v>
      </c>
      <c r="F10745" s="1" t="s">
        <v>5241</v>
      </c>
      <c r="G10745" s="1" t="s">
        <v>4803</v>
      </c>
      <c r="H10745" s="1" t="s">
        <v>5</v>
      </c>
      <c r="I10745" s="17">
        <v>42309</v>
      </c>
      <c r="J10745" s="17"/>
    </row>
    <row r="10746" spans="1:10">
      <c r="A10746" s="16" t="s">
        <v>15028</v>
      </c>
      <c r="B10746" s="1" t="s">
        <v>2628</v>
      </c>
      <c r="C10746" s="1">
        <v>9</v>
      </c>
      <c r="D10746" s="1" t="s">
        <v>19</v>
      </c>
      <c r="E10746" s="1" t="s">
        <v>6</v>
      </c>
      <c r="F10746" s="1" t="s">
        <v>5241</v>
      </c>
      <c r="G10746" s="14" t="s">
        <v>4803</v>
      </c>
      <c r="H10746" s="1" t="s">
        <v>5</v>
      </c>
      <c r="I10746" s="17">
        <v>41122</v>
      </c>
    </row>
    <row r="10747" spans="1:10">
      <c r="A10747" s="7" t="s">
        <v>15030</v>
      </c>
      <c r="B10747" s="1" t="s">
        <v>2629</v>
      </c>
      <c r="C10747" s="1">
        <v>9</v>
      </c>
      <c r="D10747" s="1" t="s">
        <v>19</v>
      </c>
      <c r="E10747" s="1" t="s">
        <v>6</v>
      </c>
      <c r="F10747" s="1" t="s">
        <v>5241</v>
      </c>
      <c r="G10747" s="1" t="s">
        <v>6307</v>
      </c>
      <c r="H10747" s="1" t="s">
        <v>44</v>
      </c>
      <c r="I10747" s="17">
        <v>42948</v>
      </c>
    </row>
    <row r="10748" spans="1:10">
      <c r="A10748" s="7" t="s">
        <v>15057</v>
      </c>
      <c r="B10748" s="1" t="s">
        <v>2629</v>
      </c>
      <c r="C10748" s="1">
        <v>9</v>
      </c>
      <c r="D10748" s="1" t="s">
        <v>19</v>
      </c>
      <c r="E10748" s="1" t="s">
        <v>6</v>
      </c>
      <c r="F10748" s="1" t="s">
        <v>5241</v>
      </c>
      <c r="G10748" s="1" t="s">
        <v>6307</v>
      </c>
      <c r="H10748" s="1" t="s">
        <v>44</v>
      </c>
      <c r="I10748" s="17">
        <v>42826</v>
      </c>
    </row>
    <row r="10749" spans="1:10">
      <c r="A10749" s="7" t="s">
        <v>15066</v>
      </c>
      <c r="B10749" s="1" t="s">
        <v>2629</v>
      </c>
      <c r="C10749" s="1">
        <v>9</v>
      </c>
      <c r="D10749" s="1" t="s">
        <v>19</v>
      </c>
      <c r="E10749" s="1" t="s">
        <v>6</v>
      </c>
      <c r="F10749" s="1" t="s">
        <v>5241</v>
      </c>
      <c r="G10749" s="1" t="s">
        <v>4803</v>
      </c>
      <c r="H10749" s="1" t="s">
        <v>5</v>
      </c>
      <c r="I10749" s="17">
        <v>42430</v>
      </c>
      <c r="J10749" s="17"/>
    </row>
    <row r="10750" spans="1:10">
      <c r="A10750" s="7" t="s">
        <v>15087</v>
      </c>
      <c r="B10750" s="1" t="s">
        <v>2629</v>
      </c>
      <c r="C10750" s="1">
        <v>9</v>
      </c>
      <c r="D10750" s="1" t="s">
        <v>19</v>
      </c>
      <c r="E10750" s="1" t="s">
        <v>6</v>
      </c>
      <c r="F10750" s="1" t="s">
        <v>5241</v>
      </c>
      <c r="G10750" s="1" t="s">
        <v>4803</v>
      </c>
      <c r="H10750" s="1" t="s">
        <v>5</v>
      </c>
      <c r="I10750" s="17">
        <v>42522</v>
      </c>
      <c r="J10750" s="17"/>
    </row>
    <row r="10751" spans="1:10">
      <c r="A10751" s="7" t="s">
        <v>15093</v>
      </c>
      <c r="B10751" s="1" t="s">
        <v>2629</v>
      </c>
      <c r="C10751" s="1">
        <v>9</v>
      </c>
      <c r="D10751" s="1" t="s">
        <v>19</v>
      </c>
      <c r="E10751" s="1" t="s">
        <v>6</v>
      </c>
      <c r="F10751" s="1" t="s">
        <v>5241</v>
      </c>
      <c r="G10751" s="1" t="s">
        <v>4803</v>
      </c>
      <c r="H10751" s="1" t="s">
        <v>5</v>
      </c>
      <c r="I10751" s="17">
        <v>42430</v>
      </c>
      <c r="J10751" s="17"/>
    </row>
    <row r="10752" spans="1:10">
      <c r="A10752" s="16" t="s">
        <v>15112</v>
      </c>
      <c r="B10752" s="1" t="s">
        <v>2628</v>
      </c>
      <c r="C10752" s="1">
        <v>9</v>
      </c>
      <c r="D10752" s="1" t="s">
        <v>19</v>
      </c>
      <c r="E10752" s="1" t="s">
        <v>6</v>
      </c>
      <c r="F10752" s="1" t="s">
        <v>5241</v>
      </c>
      <c r="G10752" s="14" t="s">
        <v>4803</v>
      </c>
      <c r="H10752" s="1" t="s">
        <v>5</v>
      </c>
      <c r="I10752" s="17">
        <v>43132</v>
      </c>
    </row>
    <row r="10753" spans="1:10">
      <c r="A10753" s="7" t="s">
        <v>15119</v>
      </c>
      <c r="B10753" s="1" t="s">
        <v>2629</v>
      </c>
      <c r="C10753" s="1">
        <v>9</v>
      </c>
      <c r="D10753" s="1" t="s">
        <v>19</v>
      </c>
      <c r="E10753" s="1" t="s">
        <v>6</v>
      </c>
      <c r="F10753" s="1" t="s">
        <v>5241</v>
      </c>
      <c r="G10753" s="1" t="s">
        <v>4803</v>
      </c>
      <c r="H10753" s="1" t="s">
        <v>5</v>
      </c>
      <c r="I10753" s="17">
        <v>43252</v>
      </c>
    </row>
    <row r="10754" spans="1:10">
      <c r="A10754" s="7" t="s">
        <v>15123</v>
      </c>
      <c r="B10754" s="1" t="s">
        <v>2629</v>
      </c>
      <c r="C10754" s="1">
        <v>9</v>
      </c>
      <c r="D10754" s="1" t="s">
        <v>19</v>
      </c>
      <c r="E10754" s="1" t="s">
        <v>6</v>
      </c>
      <c r="F10754" s="1" t="s">
        <v>5241</v>
      </c>
      <c r="G10754" s="1" t="s">
        <v>4803</v>
      </c>
      <c r="H10754" s="1" t="s">
        <v>5</v>
      </c>
      <c r="I10754" s="17">
        <v>42278</v>
      </c>
    </row>
    <row r="10755" spans="1:10">
      <c r="A10755" s="7" t="s">
        <v>15131</v>
      </c>
      <c r="B10755" s="1" t="s">
        <v>2629</v>
      </c>
      <c r="C10755" s="1">
        <v>9</v>
      </c>
      <c r="D10755" s="1" t="s">
        <v>19</v>
      </c>
      <c r="E10755" s="1" t="s">
        <v>6</v>
      </c>
      <c r="F10755" s="1" t="s">
        <v>5241</v>
      </c>
      <c r="G10755" s="1" t="s">
        <v>6307</v>
      </c>
      <c r="H10755" s="1" t="s">
        <v>44</v>
      </c>
      <c r="I10755" s="17">
        <v>42278</v>
      </c>
    </row>
    <row r="10756" spans="1:10">
      <c r="A10756" s="7" t="s">
        <v>15166</v>
      </c>
      <c r="B10756" s="1" t="s">
        <v>2629</v>
      </c>
      <c r="C10756" s="1">
        <v>9</v>
      </c>
      <c r="D10756" s="1" t="s">
        <v>19</v>
      </c>
      <c r="E10756" s="1" t="s">
        <v>6</v>
      </c>
      <c r="F10756" s="1" t="s">
        <v>5241</v>
      </c>
      <c r="G10756" s="1" t="s">
        <v>4803</v>
      </c>
      <c r="H10756" s="1" t="s">
        <v>5</v>
      </c>
      <c r="I10756" s="17">
        <v>42309</v>
      </c>
    </row>
    <row r="10757" spans="1:10">
      <c r="A10757" s="7" t="s">
        <v>15177</v>
      </c>
      <c r="B10757" s="1" t="s">
        <v>2629</v>
      </c>
      <c r="C10757" s="1">
        <v>9</v>
      </c>
      <c r="D10757" s="1" t="s">
        <v>19</v>
      </c>
      <c r="E10757" s="1" t="s">
        <v>6</v>
      </c>
      <c r="F10757" s="1" t="s">
        <v>5241</v>
      </c>
      <c r="G10757" s="1" t="s">
        <v>6307</v>
      </c>
      <c r="H10757" s="1" t="s">
        <v>44</v>
      </c>
      <c r="I10757" s="17">
        <v>42583</v>
      </c>
    </row>
    <row r="10758" spans="1:10">
      <c r="A10758" s="7" t="s">
        <v>15193</v>
      </c>
      <c r="B10758" s="1" t="s">
        <v>2629</v>
      </c>
      <c r="C10758" s="1">
        <v>9</v>
      </c>
      <c r="D10758" s="1" t="s">
        <v>19</v>
      </c>
      <c r="E10758" s="1" t="s">
        <v>6</v>
      </c>
      <c r="F10758" s="1" t="s">
        <v>5241</v>
      </c>
      <c r="G10758" s="1" t="s">
        <v>6307</v>
      </c>
      <c r="H10758" s="1" t="s">
        <v>44</v>
      </c>
      <c r="I10758" s="17">
        <v>42278</v>
      </c>
    </row>
    <row r="10759" spans="1:10">
      <c r="A10759" s="7" t="s">
        <v>15202</v>
      </c>
      <c r="B10759" s="1" t="s">
        <v>2629</v>
      </c>
      <c r="C10759" s="1">
        <v>9</v>
      </c>
      <c r="D10759" s="1" t="s">
        <v>19</v>
      </c>
      <c r="E10759" s="1" t="s">
        <v>6</v>
      </c>
      <c r="F10759" s="1" t="s">
        <v>5241</v>
      </c>
      <c r="G10759" s="1" t="s">
        <v>4803</v>
      </c>
      <c r="H10759" s="1" t="s">
        <v>5</v>
      </c>
      <c r="I10759" s="17">
        <v>42278</v>
      </c>
    </row>
    <row r="10760" spans="1:10">
      <c r="A10760" s="7" t="s">
        <v>15218</v>
      </c>
      <c r="B10760" s="1" t="s">
        <v>2629</v>
      </c>
      <c r="C10760" s="1">
        <v>9</v>
      </c>
      <c r="D10760" s="1" t="s">
        <v>19</v>
      </c>
      <c r="E10760" s="1" t="s">
        <v>6</v>
      </c>
      <c r="F10760" s="1" t="s">
        <v>5241</v>
      </c>
      <c r="G10760" s="1" t="s">
        <v>4803</v>
      </c>
      <c r="H10760" s="1" t="s">
        <v>5</v>
      </c>
      <c r="I10760" s="17">
        <v>43070</v>
      </c>
    </row>
    <row r="10761" spans="1:10">
      <c r="A10761" s="16" t="s">
        <v>15229</v>
      </c>
      <c r="B10761" s="1" t="s">
        <v>2628</v>
      </c>
      <c r="C10761" s="1">
        <v>9</v>
      </c>
      <c r="D10761" s="1" t="s">
        <v>19</v>
      </c>
      <c r="E10761" s="1" t="s">
        <v>6</v>
      </c>
      <c r="F10761" s="1" t="s">
        <v>5241</v>
      </c>
      <c r="G10761" s="14" t="s">
        <v>4803</v>
      </c>
      <c r="H10761" s="1" t="s">
        <v>5</v>
      </c>
      <c r="I10761" s="17">
        <v>42491</v>
      </c>
    </row>
    <row r="10762" spans="1:10">
      <c r="A10762" s="16" t="s">
        <v>15230</v>
      </c>
      <c r="B10762" s="1" t="s">
        <v>2628</v>
      </c>
      <c r="C10762" s="1">
        <v>9</v>
      </c>
      <c r="D10762" s="1" t="s">
        <v>19</v>
      </c>
      <c r="E10762" s="1" t="s">
        <v>6</v>
      </c>
      <c r="F10762" s="1" t="s">
        <v>5241</v>
      </c>
      <c r="G10762" s="14" t="s">
        <v>6307</v>
      </c>
      <c r="H10762" s="1" t="s">
        <v>44</v>
      </c>
      <c r="I10762" s="17">
        <v>40483</v>
      </c>
    </row>
    <row r="10763" spans="1:10">
      <c r="A10763" s="7" t="s">
        <v>15249</v>
      </c>
      <c r="B10763" s="1" t="s">
        <v>2629</v>
      </c>
      <c r="C10763" s="1">
        <v>9</v>
      </c>
      <c r="D10763" s="1" t="s">
        <v>19</v>
      </c>
      <c r="E10763" s="1" t="s">
        <v>6</v>
      </c>
      <c r="F10763" s="1" t="s">
        <v>5241</v>
      </c>
      <c r="G10763" s="1" t="s">
        <v>4803</v>
      </c>
      <c r="H10763" s="1" t="s">
        <v>5</v>
      </c>
      <c r="I10763" s="17">
        <v>41852</v>
      </c>
    </row>
    <row r="10764" spans="1:10">
      <c r="A10764" s="7" t="s">
        <v>15261</v>
      </c>
      <c r="B10764" s="1" t="s">
        <v>2629</v>
      </c>
      <c r="C10764" s="1">
        <v>9</v>
      </c>
      <c r="D10764" s="1" t="s">
        <v>19</v>
      </c>
      <c r="E10764" s="1" t="s">
        <v>6</v>
      </c>
      <c r="F10764" s="1" t="s">
        <v>5241</v>
      </c>
      <c r="G10764" s="1" t="s">
        <v>4803</v>
      </c>
      <c r="H10764" s="1" t="s">
        <v>5</v>
      </c>
      <c r="I10764" s="17">
        <v>42430</v>
      </c>
    </row>
    <row r="10765" spans="1:10">
      <c r="A10765" s="7" t="s">
        <v>15274</v>
      </c>
      <c r="B10765" s="1" t="s">
        <v>2629</v>
      </c>
      <c r="C10765" s="1">
        <v>9</v>
      </c>
      <c r="D10765" s="1" t="s">
        <v>19</v>
      </c>
      <c r="E10765" s="1" t="s">
        <v>6</v>
      </c>
      <c r="F10765" s="1" t="s">
        <v>5241</v>
      </c>
      <c r="G10765" s="1" t="s">
        <v>4803</v>
      </c>
      <c r="H10765" s="1" t="s">
        <v>5</v>
      </c>
      <c r="I10765" s="17">
        <v>42309</v>
      </c>
    </row>
    <row r="10766" spans="1:10">
      <c r="A10766" s="7" t="s">
        <v>15297</v>
      </c>
      <c r="B10766" s="1" t="s">
        <v>2629</v>
      </c>
      <c r="C10766" s="1">
        <v>9</v>
      </c>
      <c r="D10766" s="1" t="s">
        <v>19</v>
      </c>
      <c r="E10766" s="1" t="s">
        <v>6</v>
      </c>
      <c r="F10766" s="1" t="s">
        <v>5241</v>
      </c>
      <c r="G10766" s="1" t="s">
        <v>4803</v>
      </c>
      <c r="H10766" s="1" t="s">
        <v>5</v>
      </c>
      <c r="I10766" s="17">
        <v>42917</v>
      </c>
    </row>
    <row r="10767" spans="1:10">
      <c r="A10767" s="7" t="s">
        <v>15298</v>
      </c>
      <c r="B10767" s="1" t="s">
        <v>2629</v>
      </c>
      <c r="C10767" s="1">
        <v>9</v>
      </c>
      <c r="D10767" s="1" t="s">
        <v>19</v>
      </c>
      <c r="E10767" s="1" t="s">
        <v>6</v>
      </c>
      <c r="F10767" s="1" t="s">
        <v>5241</v>
      </c>
      <c r="G10767" s="1" t="s">
        <v>4803</v>
      </c>
      <c r="H10767" s="1" t="s">
        <v>5</v>
      </c>
      <c r="I10767" s="17">
        <v>42248</v>
      </c>
    </row>
    <row r="10768" spans="1:10">
      <c r="A10768" s="16" t="s">
        <v>15301</v>
      </c>
      <c r="B10768" s="1" t="s">
        <v>2631</v>
      </c>
      <c r="C10768" s="1">
        <v>9</v>
      </c>
      <c r="D10768" s="1" t="s">
        <v>19</v>
      </c>
      <c r="E10768" s="1" t="s">
        <v>6</v>
      </c>
      <c r="F10768" s="1" t="s">
        <v>5241</v>
      </c>
      <c r="G10768" s="1" t="s">
        <v>4803</v>
      </c>
      <c r="H10768" s="1" t="s">
        <v>5</v>
      </c>
      <c r="I10768" s="17">
        <v>41671</v>
      </c>
      <c r="J10768" s="17"/>
    </row>
    <row r="10769" spans="1:9">
      <c r="A10769" s="16" t="s">
        <v>15303</v>
      </c>
      <c r="B10769" s="1" t="s">
        <v>2628</v>
      </c>
      <c r="C10769" s="1">
        <v>9</v>
      </c>
      <c r="D10769" s="1" t="s">
        <v>19</v>
      </c>
      <c r="E10769" s="1" t="s">
        <v>6</v>
      </c>
      <c r="F10769" s="1" t="s">
        <v>5241</v>
      </c>
      <c r="G10769" s="14" t="s">
        <v>4803</v>
      </c>
      <c r="H10769" s="1" t="s">
        <v>5</v>
      </c>
      <c r="I10769" s="17">
        <v>43070</v>
      </c>
    </row>
    <row r="10770" spans="1:9">
      <c r="A10770" s="16" t="s">
        <v>15304</v>
      </c>
      <c r="B10770" s="1" t="s">
        <v>2628</v>
      </c>
      <c r="C10770" s="1">
        <v>9</v>
      </c>
      <c r="D10770" s="1" t="s">
        <v>19</v>
      </c>
      <c r="E10770" s="1" t="s">
        <v>6</v>
      </c>
      <c r="F10770" s="1" t="s">
        <v>5241</v>
      </c>
      <c r="G10770" s="14" t="s">
        <v>6307</v>
      </c>
      <c r="H10770" s="1" t="s">
        <v>44</v>
      </c>
      <c r="I10770" s="17">
        <v>43040</v>
      </c>
    </row>
    <row r="10771" spans="1:9">
      <c r="A10771" s="7" t="s">
        <v>15353</v>
      </c>
      <c r="B10771" s="1" t="s">
        <v>2629</v>
      </c>
      <c r="C10771" s="1">
        <v>9</v>
      </c>
      <c r="D10771" s="1" t="s">
        <v>19</v>
      </c>
      <c r="E10771" s="1" t="s">
        <v>6</v>
      </c>
      <c r="F10771" s="1" t="s">
        <v>5241</v>
      </c>
      <c r="G10771" s="1" t="s">
        <v>6307</v>
      </c>
      <c r="H10771" s="1" t="s">
        <v>44</v>
      </c>
      <c r="I10771" s="17">
        <v>43191</v>
      </c>
    </row>
    <row r="10772" spans="1:9">
      <c r="A10772" s="7" t="s">
        <v>15383</v>
      </c>
      <c r="B10772" s="1" t="s">
        <v>2629</v>
      </c>
      <c r="C10772" s="1">
        <v>9</v>
      </c>
      <c r="D10772" s="1" t="s">
        <v>19</v>
      </c>
      <c r="E10772" s="1" t="s">
        <v>6</v>
      </c>
      <c r="F10772" s="1" t="s">
        <v>5241</v>
      </c>
      <c r="G10772" s="1" t="s">
        <v>4803</v>
      </c>
      <c r="H10772" s="1" t="s">
        <v>5</v>
      </c>
      <c r="I10772" s="17">
        <v>42767</v>
      </c>
    </row>
    <row r="10773" spans="1:9">
      <c r="A10773" s="7" t="s">
        <v>15386</v>
      </c>
      <c r="B10773" s="1" t="s">
        <v>2629</v>
      </c>
      <c r="C10773" s="1">
        <v>9</v>
      </c>
      <c r="D10773" s="1" t="s">
        <v>19</v>
      </c>
      <c r="E10773" s="1" t="s">
        <v>6</v>
      </c>
      <c r="F10773" s="1" t="s">
        <v>5241</v>
      </c>
      <c r="G10773" s="1" t="s">
        <v>4803</v>
      </c>
      <c r="H10773" s="1" t="s">
        <v>5</v>
      </c>
      <c r="I10773" s="17">
        <v>41883</v>
      </c>
    </row>
    <row r="10774" spans="1:9">
      <c r="A10774" s="7" t="s">
        <v>15387</v>
      </c>
      <c r="B10774" s="1" t="s">
        <v>2629</v>
      </c>
      <c r="C10774" s="1">
        <v>9</v>
      </c>
      <c r="D10774" s="1" t="s">
        <v>19</v>
      </c>
      <c r="E10774" s="1" t="s">
        <v>6</v>
      </c>
      <c r="F10774" s="1" t="s">
        <v>5241</v>
      </c>
      <c r="G10774" s="1" t="s">
        <v>4803</v>
      </c>
      <c r="H10774" s="1" t="s">
        <v>5</v>
      </c>
      <c r="I10774" s="17">
        <v>41699</v>
      </c>
    </row>
    <row r="10775" spans="1:9">
      <c r="A10775" s="7" t="s">
        <v>15396</v>
      </c>
      <c r="B10775" s="1" t="s">
        <v>2629</v>
      </c>
      <c r="C10775" s="1">
        <v>9</v>
      </c>
      <c r="D10775" s="1" t="s">
        <v>19</v>
      </c>
      <c r="E10775" s="1" t="s">
        <v>6</v>
      </c>
      <c r="F10775" s="1" t="s">
        <v>5241</v>
      </c>
      <c r="G10775" s="1" t="s">
        <v>4803</v>
      </c>
      <c r="H10775" s="1" t="s">
        <v>5</v>
      </c>
      <c r="I10775" s="17">
        <v>42309</v>
      </c>
    </row>
    <row r="10776" spans="1:9">
      <c r="A10776" s="7" t="s">
        <v>15403</v>
      </c>
      <c r="B10776" s="1" t="s">
        <v>2629</v>
      </c>
      <c r="C10776" s="1">
        <v>9</v>
      </c>
      <c r="D10776" s="1" t="s">
        <v>19</v>
      </c>
      <c r="E10776" s="1" t="s">
        <v>6</v>
      </c>
      <c r="F10776" s="1" t="s">
        <v>5241</v>
      </c>
      <c r="G10776" s="1" t="s">
        <v>4803</v>
      </c>
      <c r="H10776" s="1" t="s">
        <v>5</v>
      </c>
      <c r="I10776" s="17">
        <v>41640</v>
      </c>
    </row>
    <row r="10777" spans="1:9">
      <c r="A10777" s="7" t="s">
        <v>15406</v>
      </c>
      <c r="B10777" s="1" t="s">
        <v>2629</v>
      </c>
      <c r="C10777" s="1">
        <v>9</v>
      </c>
      <c r="D10777" s="1" t="s">
        <v>19</v>
      </c>
      <c r="E10777" s="1" t="s">
        <v>6</v>
      </c>
      <c r="F10777" s="1" t="s">
        <v>5241</v>
      </c>
      <c r="G10777" s="1" t="s">
        <v>4803</v>
      </c>
      <c r="H10777" s="1" t="s">
        <v>5</v>
      </c>
      <c r="I10777" s="17">
        <v>42644</v>
      </c>
    </row>
    <row r="10778" spans="1:9">
      <c r="A10778" s="7" t="s">
        <v>15410</v>
      </c>
      <c r="B10778" s="1" t="s">
        <v>2629</v>
      </c>
      <c r="C10778" s="1">
        <v>9</v>
      </c>
      <c r="D10778" s="1" t="s">
        <v>19</v>
      </c>
      <c r="E10778" s="1" t="s">
        <v>6</v>
      </c>
      <c r="F10778" s="1" t="s">
        <v>5241</v>
      </c>
      <c r="G10778" s="1" t="s">
        <v>4803</v>
      </c>
      <c r="H10778" s="1" t="s">
        <v>5</v>
      </c>
      <c r="I10778" s="17">
        <v>42430</v>
      </c>
    </row>
    <row r="10779" spans="1:9">
      <c r="A10779" s="7" t="s">
        <v>15436</v>
      </c>
      <c r="B10779" s="1" t="s">
        <v>2629</v>
      </c>
      <c r="C10779" s="1">
        <v>9</v>
      </c>
      <c r="D10779" s="1" t="s">
        <v>19</v>
      </c>
      <c r="E10779" s="1" t="s">
        <v>6</v>
      </c>
      <c r="F10779" s="1" t="s">
        <v>5241</v>
      </c>
      <c r="G10779" s="1" t="s">
        <v>6307</v>
      </c>
      <c r="H10779" s="1" t="s">
        <v>44</v>
      </c>
      <c r="I10779" s="17">
        <v>43221</v>
      </c>
    </row>
    <row r="10780" spans="1:9">
      <c r="A10780" s="16" t="s">
        <v>15437</v>
      </c>
      <c r="B10780" s="1" t="s">
        <v>2628</v>
      </c>
      <c r="C10780" s="1">
        <v>9</v>
      </c>
      <c r="D10780" s="1" t="s">
        <v>19</v>
      </c>
      <c r="E10780" s="1" t="s">
        <v>6</v>
      </c>
      <c r="F10780" s="1" t="s">
        <v>5241</v>
      </c>
      <c r="G10780" s="14" t="s">
        <v>4803</v>
      </c>
      <c r="H10780" s="1" t="s">
        <v>5</v>
      </c>
      <c r="I10780" s="17">
        <v>40756</v>
      </c>
    </row>
    <row r="10781" spans="1:9">
      <c r="A10781" s="7" t="s">
        <v>15449</v>
      </c>
      <c r="B10781" s="1" t="s">
        <v>2629</v>
      </c>
      <c r="C10781" s="1">
        <v>9</v>
      </c>
      <c r="D10781" s="1" t="s">
        <v>19</v>
      </c>
      <c r="E10781" s="1" t="s">
        <v>6</v>
      </c>
      <c r="F10781" s="1" t="s">
        <v>5241</v>
      </c>
      <c r="G10781" s="1" t="s">
        <v>4803</v>
      </c>
      <c r="H10781" s="1" t="s">
        <v>5</v>
      </c>
      <c r="I10781" s="17">
        <v>42430</v>
      </c>
    </row>
    <row r="10782" spans="1:9">
      <c r="A10782" s="7" t="s">
        <v>15456</v>
      </c>
      <c r="B10782" s="1" t="s">
        <v>2629</v>
      </c>
      <c r="C10782" s="1">
        <v>9</v>
      </c>
      <c r="D10782" s="1" t="s">
        <v>19</v>
      </c>
      <c r="E10782" s="1" t="s">
        <v>6</v>
      </c>
      <c r="F10782" s="1" t="s">
        <v>5241</v>
      </c>
      <c r="G10782" s="1" t="s">
        <v>4803</v>
      </c>
      <c r="H10782" s="1" t="s">
        <v>5</v>
      </c>
      <c r="I10782" s="17">
        <v>42278</v>
      </c>
    </row>
    <row r="10783" spans="1:9">
      <c r="A10783" s="16" t="s">
        <v>15472</v>
      </c>
      <c r="B10783" s="1" t="s">
        <v>2631</v>
      </c>
      <c r="C10783" s="1">
        <v>9</v>
      </c>
      <c r="D10783" s="1" t="s">
        <v>19</v>
      </c>
      <c r="E10783" s="1" t="s">
        <v>6</v>
      </c>
      <c r="F10783" s="1" t="s">
        <v>5241</v>
      </c>
      <c r="G10783" s="1" t="s">
        <v>4803</v>
      </c>
      <c r="H10783" s="1" t="s">
        <v>5</v>
      </c>
      <c r="I10783" s="17">
        <v>43132</v>
      </c>
    </row>
    <row r="10784" spans="1:9">
      <c r="A10784" s="7" t="s">
        <v>15502</v>
      </c>
      <c r="B10784" s="1" t="s">
        <v>2629</v>
      </c>
      <c r="C10784" s="1">
        <v>9</v>
      </c>
      <c r="D10784" s="1" t="s">
        <v>19</v>
      </c>
      <c r="E10784" s="1" t="s">
        <v>6</v>
      </c>
      <c r="F10784" s="1" t="s">
        <v>5241</v>
      </c>
      <c r="G10784" s="1" t="s">
        <v>4803</v>
      </c>
      <c r="H10784" s="1" t="s">
        <v>5</v>
      </c>
      <c r="I10784" s="17">
        <v>42430</v>
      </c>
    </row>
    <row r="10785" spans="1:9">
      <c r="A10785" s="7" t="s">
        <v>15503</v>
      </c>
      <c r="B10785" s="1" t="s">
        <v>2629</v>
      </c>
      <c r="C10785" s="1">
        <v>9</v>
      </c>
      <c r="D10785" s="1" t="s">
        <v>19</v>
      </c>
      <c r="E10785" s="1" t="s">
        <v>6</v>
      </c>
      <c r="F10785" s="1" t="s">
        <v>5241</v>
      </c>
      <c r="G10785" s="1" t="s">
        <v>4803</v>
      </c>
      <c r="H10785" s="1" t="s">
        <v>5</v>
      </c>
      <c r="I10785" s="17">
        <v>42767</v>
      </c>
    </row>
    <row r="10786" spans="1:9">
      <c r="A10786" s="7" t="s">
        <v>15547</v>
      </c>
      <c r="B10786" s="1" t="s">
        <v>2629</v>
      </c>
      <c r="C10786" s="1">
        <v>9</v>
      </c>
      <c r="D10786" s="1" t="s">
        <v>19</v>
      </c>
      <c r="E10786" s="1" t="s">
        <v>6</v>
      </c>
      <c r="F10786" s="1" t="s">
        <v>5241</v>
      </c>
      <c r="G10786" s="1" t="s">
        <v>4803</v>
      </c>
      <c r="H10786" s="1" t="s">
        <v>5</v>
      </c>
      <c r="I10786" s="17">
        <v>42430</v>
      </c>
    </row>
    <row r="10787" spans="1:9">
      <c r="A10787" s="7" t="s">
        <v>15554</v>
      </c>
      <c r="B10787" s="1" t="s">
        <v>2629</v>
      </c>
      <c r="C10787" s="1">
        <v>9</v>
      </c>
      <c r="D10787" s="1" t="s">
        <v>19</v>
      </c>
      <c r="E10787" s="1" t="s">
        <v>6</v>
      </c>
      <c r="F10787" s="1" t="s">
        <v>5241</v>
      </c>
      <c r="G10787" s="1" t="s">
        <v>4803</v>
      </c>
      <c r="H10787" s="1" t="s">
        <v>5</v>
      </c>
      <c r="I10787" s="17">
        <v>41671</v>
      </c>
    </row>
    <row r="10788" spans="1:9">
      <c r="A10788" s="7" t="s">
        <v>15560</v>
      </c>
      <c r="B10788" s="1" t="s">
        <v>2629</v>
      </c>
      <c r="C10788" s="1">
        <v>9</v>
      </c>
      <c r="D10788" s="1" t="s">
        <v>19</v>
      </c>
      <c r="E10788" s="1" t="s">
        <v>6</v>
      </c>
      <c r="F10788" s="1" t="s">
        <v>5241</v>
      </c>
      <c r="G10788" s="1" t="s">
        <v>4803</v>
      </c>
      <c r="H10788" s="1" t="s">
        <v>5</v>
      </c>
      <c r="I10788" s="17">
        <v>42309</v>
      </c>
    </row>
    <row r="10789" spans="1:9">
      <c r="A10789" s="7" t="s">
        <v>15569</v>
      </c>
      <c r="B10789" s="1" t="s">
        <v>2629</v>
      </c>
      <c r="C10789" s="1">
        <v>9</v>
      </c>
      <c r="D10789" s="1" t="s">
        <v>19</v>
      </c>
      <c r="E10789" s="1" t="s">
        <v>6</v>
      </c>
      <c r="F10789" s="1" t="s">
        <v>5241</v>
      </c>
      <c r="G10789" s="1" t="s">
        <v>4803</v>
      </c>
      <c r="H10789" s="1" t="s">
        <v>5</v>
      </c>
      <c r="I10789" s="17">
        <v>42309</v>
      </c>
    </row>
    <row r="10790" spans="1:9">
      <c r="A10790" s="16" t="s">
        <v>15574</v>
      </c>
      <c r="B10790" s="1" t="s">
        <v>2628</v>
      </c>
      <c r="C10790" s="1">
        <v>9</v>
      </c>
      <c r="D10790" s="1" t="s">
        <v>19</v>
      </c>
      <c r="E10790" s="1" t="s">
        <v>6</v>
      </c>
      <c r="F10790" s="1" t="s">
        <v>5241</v>
      </c>
      <c r="G10790" s="14" t="s">
        <v>4803</v>
      </c>
      <c r="H10790" s="1" t="s">
        <v>5</v>
      </c>
      <c r="I10790" s="17">
        <v>42705</v>
      </c>
    </row>
    <row r="10791" spans="1:9">
      <c r="A10791" s="16" t="s">
        <v>15600</v>
      </c>
      <c r="B10791" s="1" t="s">
        <v>2628</v>
      </c>
      <c r="C10791" s="1">
        <v>1113</v>
      </c>
      <c r="D10791" s="1" t="s">
        <v>19</v>
      </c>
      <c r="E10791" s="1" t="s">
        <v>6</v>
      </c>
      <c r="F10791" s="1" t="s">
        <v>15601</v>
      </c>
      <c r="G10791" s="14" t="s">
        <v>15602</v>
      </c>
      <c r="H10791" s="1" t="s">
        <v>118</v>
      </c>
      <c r="I10791" s="17">
        <v>43101</v>
      </c>
    </row>
    <row r="10792" spans="1:9">
      <c r="A10792" s="7" t="s">
        <v>15625</v>
      </c>
      <c r="B10792" s="1" t="s">
        <v>2629</v>
      </c>
      <c r="C10792" s="1">
        <v>9</v>
      </c>
      <c r="D10792" s="1" t="s">
        <v>19</v>
      </c>
      <c r="E10792" s="1" t="s">
        <v>6</v>
      </c>
      <c r="F10792" s="1" t="s">
        <v>5241</v>
      </c>
      <c r="G10792" s="1" t="s">
        <v>4803</v>
      </c>
      <c r="H10792" s="1" t="s">
        <v>5</v>
      </c>
      <c r="I10792" s="17">
        <v>43344</v>
      </c>
    </row>
    <row r="10793" spans="1:9">
      <c r="A10793" s="7" t="s">
        <v>15630</v>
      </c>
      <c r="B10793" s="1" t="s">
        <v>2629</v>
      </c>
      <c r="C10793" s="1">
        <v>9</v>
      </c>
      <c r="D10793" s="1" t="s">
        <v>19</v>
      </c>
      <c r="E10793" s="1" t="s">
        <v>6</v>
      </c>
      <c r="F10793" s="1" t="s">
        <v>5241</v>
      </c>
      <c r="G10793" s="1" t="s">
        <v>4803</v>
      </c>
      <c r="H10793" s="1" t="s">
        <v>5</v>
      </c>
      <c r="I10793" s="17">
        <v>43344</v>
      </c>
    </row>
    <row r="10794" spans="1:9">
      <c r="A10794" s="16" t="s">
        <v>15653</v>
      </c>
      <c r="B10794" s="1" t="s">
        <v>2628</v>
      </c>
      <c r="C10794" s="1">
        <v>9</v>
      </c>
      <c r="D10794" s="1" t="s">
        <v>19</v>
      </c>
      <c r="E10794" s="1" t="s">
        <v>6</v>
      </c>
      <c r="F10794" s="1" t="s">
        <v>5091</v>
      </c>
      <c r="G10794" s="14" t="s">
        <v>15652</v>
      </c>
      <c r="H10794" s="1" t="s">
        <v>5</v>
      </c>
      <c r="I10794" s="17">
        <v>41640</v>
      </c>
    </row>
    <row r="10795" spans="1:9">
      <c r="A10795" s="16" t="s">
        <v>15713</v>
      </c>
      <c r="B10795" s="1" t="s">
        <v>2628</v>
      </c>
      <c r="C10795" s="1">
        <v>9</v>
      </c>
      <c r="D10795" s="1" t="s">
        <v>19</v>
      </c>
      <c r="E10795" s="1" t="s">
        <v>6</v>
      </c>
      <c r="F10795" s="1" t="s">
        <v>5091</v>
      </c>
      <c r="G10795" s="14" t="s">
        <v>6145</v>
      </c>
      <c r="H10795" s="1" t="s">
        <v>43</v>
      </c>
      <c r="I10795" s="17">
        <v>43362</v>
      </c>
    </row>
    <row r="10796" spans="1:9">
      <c r="A10796" s="16" t="s">
        <v>15715</v>
      </c>
      <c r="B10796" s="1" t="s">
        <v>2628</v>
      </c>
      <c r="C10796" s="1">
        <v>9</v>
      </c>
      <c r="D10796" s="1" t="s">
        <v>19</v>
      </c>
      <c r="E10796" s="1" t="s">
        <v>6</v>
      </c>
      <c r="F10796" s="1" t="s">
        <v>5091</v>
      </c>
      <c r="G10796" s="14" t="s">
        <v>6145</v>
      </c>
      <c r="H10796" s="1" t="s">
        <v>43</v>
      </c>
      <c r="I10796" s="17">
        <v>43362</v>
      </c>
    </row>
    <row r="10797" spans="1:9">
      <c r="A10797" s="7" t="s">
        <v>15807</v>
      </c>
      <c r="B10797" s="2" t="s">
        <v>2628</v>
      </c>
      <c r="C10797" s="1">
        <v>9</v>
      </c>
      <c r="D10797" s="1" t="s">
        <v>19</v>
      </c>
      <c r="E10797" s="1" t="s">
        <v>6</v>
      </c>
      <c r="F10797" s="1" t="s">
        <v>5091</v>
      </c>
      <c r="G10797" s="14" t="s">
        <v>2400</v>
      </c>
      <c r="H10797" s="1" t="s">
        <v>43</v>
      </c>
      <c r="I10797" s="1" t="s">
        <v>5659</v>
      </c>
    </row>
    <row r="10798" spans="1:9">
      <c r="A10798" s="7" t="s">
        <v>15824</v>
      </c>
      <c r="B10798" s="2" t="s">
        <v>2628</v>
      </c>
      <c r="C10798" s="1">
        <v>9</v>
      </c>
      <c r="D10798" s="1" t="s">
        <v>19</v>
      </c>
      <c r="E10798" s="1" t="s">
        <v>6</v>
      </c>
      <c r="F10798" s="1" t="s">
        <v>5091</v>
      </c>
      <c r="G10798" s="14" t="s">
        <v>6236</v>
      </c>
      <c r="H10798" s="1" t="s">
        <v>43</v>
      </c>
      <c r="I10798" s="1" t="s">
        <v>5798</v>
      </c>
    </row>
    <row r="10799" spans="1:9">
      <c r="A10799" s="7" t="s">
        <v>15861</v>
      </c>
      <c r="B10799" s="2" t="s">
        <v>2628</v>
      </c>
      <c r="C10799" s="1">
        <v>9</v>
      </c>
      <c r="D10799" s="1" t="s">
        <v>19</v>
      </c>
      <c r="E10799" s="1" t="s">
        <v>6</v>
      </c>
      <c r="F10799" s="1" t="s">
        <v>5091</v>
      </c>
      <c r="G10799" s="14" t="s">
        <v>6209</v>
      </c>
      <c r="H10799" s="1" t="s">
        <v>43</v>
      </c>
      <c r="I10799" s="1" t="s">
        <v>5092</v>
      </c>
    </row>
    <row r="10800" spans="1:9">
      <c r="A10800" s="7" t="s">
        <v>15876</v>
      </c>
      <c r="B10800" s="2" t="s">
        <v>2628</v>
      </c>
      <c r="C10800" s="1">
        <v>9</v>
      </c>
      <c r="D10800" s="1" t="s">
        <v>19</v>
      </c>
      <c r="E10800" s="1" t="s">
        <v>6</v>
      </c>
      <c r="F10800" s="1" t="s">
        <v>5091</v>
      </c>
      <c r="G10800" s="14" t="s">
        <v>6139</v>
      </c>
      <c r="H10800" s="1" t="s">
        <v>43</v>
      </c>
      <c r="I10800" s="1" t="s">
        <v>5801</v>
      </c>
    </row>
    <row r="10801" spans="1:9">
      <c r="A10801" s="7" t="s">
        <v>15877</v>
      </c>
      <c r="B10801" s="2" t="s">
        <v>2628</v>
      </c>
      <c r="C10801" s="1">
        <v>9</v>
      </c>
      <c r="D10801" s="1" t="s">
        <v>19</v>
      </c>
      <c r="E10801" s="1" t="s">
        <v>6</v>
      </c>
      <c r="F10801" s="1" t="s">
        <v>5091</v>
      </c>
      <c r="G10801" s="14" t="s">
        <v>6139</v>
      </c>
      <c r="H10801" s="1" t="s">
        <v>43</v>
      </c>
      <c r="I10801" s="1" t="s">
        <v>5801</v>
      </c>
    </row>
    <row r="10802" spans="1:9">
      <c r="A10802" s="7" t="s">
        <v>15878</v>
      </c>
      <c r="B10802" s="2" t="s">
        <v>2628</v>
      </c>
      <c r="C10802" s="1">
        <v>9</v>
      </c>
      <c r="D10802" s="1" t="s">
        <v>19</v>
      </c>
      <c r="E10802" s="1" t="s">
        <v>6</v>
      </c>
      <c r="F10802" s="1" t="s">
        <v>5091</v>
      </c>
      <c r="G10802" s="14" t="s">
        <v>6139</v>
      </c>
      <c r="H10802" s="1" t="s">
        <v>43</v>
      </c>
      <c r="I10802" s="1" t="s">
        <v>5801</v>
      </c>
    </row>
    <row r="10803" spans="1:9">
      <c r="A10803" s="7" t="s">
        <v>15879</v>
      </c>
      <c r="B10803" s="2" t="s">
        <v>2628</v>
      </c>
      <c r="C10803" s="1">
        <v>9</v>
      </c>
      <c r="D10803" s="1" t="s">
        <v>19</v>
      </c>
      <c r="E10803" s="1" t="s">
        <v>6</v>
      </c>
      <c r="F10803" s="1" t="s">
        <v>5091</v>
      </c>
      <c r="G10803" s="14" t="s">
        <v>6139</v>
      </c>
      <c r="H10803" s="1" t="s">
        <v>43</v>
      </c>
      <c r="I10803" s="1" t="s">
        <v>5801</v>
      </c>
    </row>
    <row r="10804" spans="1:9">
      <c r="A10804" s="7" t="s">
        <v>15880</v>
      </c>
      <c r="B10804" s="2" t="s">
        <v>2628</v>
      </c>
      <c r="C10804" s="1">
        <v>9</v>
      </c>
      <c r="D10804" s="1" t="s">
        <v>19</v>
      </c>
      <c r="E10804" s="1" t="s">
        <v>6</v>
      </c>
      <c r="F10804" s="1" t="s">
        <v>5091</v>
      </c>
      <c r="G10804" s="14" t="s">
        <v>6139</v>
      </c>
      <c r="H10804" s="1" t="s">
        <v>43</v>
      </c>
      <c r="I10804" s="1" t="s">
        <v>5801</v>
      </c>
    </row>
    <row r="10805" spans="1:9">
      <c r="A10805" s="7" t="s">
        <v>15881</v>
      </c>
      <c r="B10805" s="2" t="s">
        <v>2628</v>
      </c>
      <c r="C10805" s="1">
        <v>9</v>
      </c>
      <c r="D10805" s="1" t="s">
        <v>19</v>
      </c>
      <c r="E10805" s="1" t="s">
        <v>6</v>
      </c>
      <c r="F10805" s="1" t="s">
        <v>5091</v>
      </c>
      <c r="G10805" s="14" t="s">
        <v>6139</v>
      </c>
      <c r="H10805" s="1" t="s">
        <v>43</v>
      </c>
      <c r="I10805" s="1" t="s">
        <v>5801</v>
      </c>
    </row>
    <row r="10806" spans="1:9">
      <c r="A10806" s="7" t="s">
        <v>15882</v>
      </c>
      <c r="B10806" s="2" t="s">
        <v>2628</v>
      </c>
      <c r="C10806" s="1">
        <v>9</v>
      </c>
      <c r="D10806" s="1" t="s">
        <v>19</v>
      </c>
      <c r="E10806" s="1" t="s">
        <v>6</v>
      </c>
      <c r="F10806" s="1" t="s">
        <v>5091</v>
      </c>
      <c r="G10806" s="14" t="s">
        <v>6139</v>
      </c>
      <c r="H10806" s="1" t="s">
        <v>43</v>
      </c>
      <c r="I10806" s="1" t="s">
        <v>5801</v>
      </c>
    </row>
    <row r="10807" spans="1:9">
      <c r="A10807" s="7" t="s">
        <v>15883</v>
      </c>
      <c r="B10807" s="2" t="s">
        <v>2628</v>
      </c>
      <c r="C10807" s="1">
        <v>9</v>
      </c>
      <c r="D10807" s="1" t="s">
        <v>19</v>
      </c>
      <c r="E10807" s="1" t="s">
        <v>6</v>
      </c>
      <c r="F10807" s="1" t="s">
        <v>5091</v>
      </c>
      <c r="G10807" s="14" t="s">
        <v>6139</v>
      </c>
      <c r="H10807" s="1" t="s">
        <v>43</v>
      </c>
      <c r="I10807" s="1" t="s">
        <v>5801</v>
      </c>
    </row>
    <row r="10808" spans="1:9">
      <c r="A10808" s="7" t="s">
        <v>15884</v>
      </c>
      <c r="B10808" s="2" t="s">
        <v>2628</v>
      </c>
      <c r="C10808" s="1">
        <v>9</v>
      </c>
      <c r="D10808" s="1" t="s">
        <v>19</v>
      </c>
      <c r="E10808" s="1" t="s">
        <v>6</v>
      </c>
      <c r="F10808" s="1" t="s">
        <v>5091</v>
      </c>
      <c r="G10808" s="14" t="s">
        <v>6139</v>
      </c>
      <c r="H10808" s="1" t="s">
        <v>43</v>
      </c>
      <c r="I10808" s="1" t="s">
        <v>5801</v>
      </c>
    </row>
    <row r="10809" spans="1:9">
      <c r="A10809" s="7" t="s">
        <v>15885</v>
      </c>
      <c r="B10809" s="2" t="s">
        <v>2628</v>
      </c>
      <c r="C10809" s="1">
        <v>9</v>
      </c>
      <c r="D10809" s="1" t="s">
        <v>19</v>
      </c>
      <c r="E10809" s="1" t="s">
        <v>6</v>
      </c>
      <c r="F10809" s="1" t="s">
        <v>5091</v>
      </c>
      <c r="G10809" s="14" t="s">
        <v>6139</v>
      </c>
      <c r="H10809" s="1" t="s">
        <v>43</v>
      </c>
      <c r="I10809" s="1" t="s">
        <v>5801</v>
      </c>
    </row>
    <row r="10810" spans="1:9">
      <c r="A10810" s="7" t="s">
        <v>15886</v>
      </c>
      <c r="B10810" s="2" t="s">
        <v>2628</v>
      </c>
      <c r="C10810" s="1">
        <v>9</v>
      </c>
      <c r="D10810" s="1" t="s">
        <v>19</v>
      </c>
      <c r="E10810" s="1" t="s">
        <v>6</v>
      </c>
      <c r="F10810" s="1" t="s">
        <v>5091</v>
      </c>
      <c r="G10810" s="14" t="s">
        <v>6139</v>
      </c>
      <c r="H10810" s="1" t="s">
        <v>43</v>
      </c>
      <c r="I10810" s="1" t="s">
        <v>5801</v>
      </c>
    </row>
    <row r="10811" spans="1:9">
      <c r="A10811" s="7" t="s">
        <v>15887</v>
      </c>
      <c r="B10811" s="2" t="s">
        <v>2628</v>
      </c>
      <c r="C10811" s="1">
        <v>9</v>
      </c>
      <c r="D10811" s="1" t="s">
        <v>19</v>
      </c>
      <c r="E10811" s="1" t="s">
        <v>6</v>
      </c>
      <c r="F10811" s="1" t="s">
        <v>5091</v>
      </c>
      <c r="G10811" s="14" t="s">
        <v>6139</v>
      </c>
      <c r="H10811" s="1" t="s">
        <v>43</v>
      </c>
      <c r="I10811" s="1" t="s">
        <v>5801</v>
      </c>
    </row>
    <row r="10812" spans="1:9">
      <c r="A10812" s="7" t="s">
        <v>15888</v>
      </c>
      <c r="B10812" s="2" t="s">
        <v>2628</v>
      </c>
      <c r="C10812" s="1">
        <v>9</v>
      </c>
      <c r="D10812" s="1" t="s">
        <v>19</v>
      </c>
      <c r="E10812" s="1" t="s">
        <v>6</v>
      </c>
      <c r="F10812" s="1" t="s">
        <v>5091</v>
      </c>
      <c r="G10812" s="14" t="s">
        <v>6139</v>
      </c>
      <c r="H10812" s="1" t="s">
        <v>43</v>
      </c>
      <c r="I10812" s="1" t="s">
        <v>5801</v>
      </c>
    </row>
    <row r="10813" spans="1:9">
      <c r="A10813" s="7" t="s">
        <v>15889</v>
      </c>
      <c r="B10813" s="2" t="s">
        <v>2628</v>
      </c>
      <c r="C10813" s="1">
        <v>9</v>
      </c>
      <c r="D10813" s="1" t="s">
        <v>19</v>
      </c>
      <c r="E10813" s="1" t="s">
        <v>6</v>
      </c>
      <c r="F10813" s="1" t="s">
        <v>5091</v>
      </c>
      <c r="G10813" s="14" t="s">
        <v>6139</v>
      </c>
      <c r="H10813" s="1" t="s">
        <v>43</v>
      </c>
      <c r="I10813" s="1" t="s">
        <v>5801</v>
      </c>
    </row>
    <row r="10814" spans="1:9">
      <c r="A10814" s="7" t="s">
        <v>15890</v>
      </c>
      <c r="B10814" s="2" t="s">
        <v>2628</v>
      </c>
      <c r="C10814" s="1">
        <v>9</v>
      </c>
      <c r="D10814" s="1" t="s">
        <v>19</v>
      </c>
      <c r="E10814" s="1" t="s">
        <v>6</v>
      </c>
      <c r="F10814" s="1" t="s">
        <v>5091</v>
      </c>
      <c r="G10814" s="14" t="s">
        <v>6139</v>
      </c>
      <c r="H10814" s="1" t="s">
        <v>43</v>
      </c>
      <c r="I10814" s="1" t="s">
        <v>5801</v>
      </c>
    </row>
    <row r="10815" spans="1:9">
      <c r="A10815" s="7" t="s">
        <v>15891</v>
      </c>
      <c r="B10815" s="2" t="s">
        <v>2628</v>
      </c>
      <c r="C10815" s="1">
        <v>9</v>
      </c>
      <c r="D10815" s="1" t="s">
        <v>19</v>
      </c>
      <c r="E10815" s="1" t="s">
        <v>6</v>
      </c>
      <c r="F10815" s="1" t="s">
        <v>5091</v>
      </c>
      <c r="G10815" s="14" t="s">
        <v>6139</v>
      </c>
      <c r="H10815" s="1" t="s">
        <v>43</v>
      </c>
      <c r="I10815" s="1" t="s">
        <v>5801</v>
      </c>
    </row>
    <row r="10816" spans="1:9">
      <c r="A10816" s="7" t="s">
        <v>15996</v>
      </c>
      <c r="B10816" s="2" t="s">
        <v>2628</v>
      </c>
      <c r="C10816" s="1">
        <v>9</v>
      </c>
      <c r="D10816" s="1" t="s">
        <v>19</v>
      </c>
      <c r="E10816" s="1" t="s">
        <v>6</v>
      </c>
      <c r="F10816" s="1" t="s">
        <v>5091</v>
      </c>
      <c r="G10816" s="14" t="s">
        <v>6209</v>
      </c>
      <c r="H10816" s="1" t="s">
        <v>43</v>
      </c>
      <c r="I10816" s="1" t="s">
        <v>5092</v>
      </c>
    </row>
    <row r="10817" spans="1:10">
      <c r="A10817" s="7" t="s">
        <v>16044</v>
      </c>
      <c r="B10817" s="2" t="s">
        <v>2628</v>
      </c>
      <c r="C10817" s="1">
        <v>9</v>
      </c>
      <c r="D10817" s="1" t="s">
        <v>19</v>
      </c>
      <c r="E10817" s="1" t="s">
        <v>6</v>
      </c>
      <c r="F10817" s="1" t="s">
        <v>5091</v>
      </c>
      <c r="G10817" s="14" t="s">
        <v>16018</v>
      </c>
      <c r="H10817" s="1" t="s">
        <v>44</v>
      </c>
      <c r="I10817" s="17" t="s">
        <v>5483</v>
      </c>
    </row>
    <row r="10818" spans="1:10">
      <c r="A10818" s="7" t="s">
        <v>16073</v>
      </c>
      <c r="B10818" s="2" t="s">
        <v>2628</v>
      </c>
      <c r="C10818" s="1">
        <v>9</v>
      </c>
      <c r="D10818" s="1" t="s">
        <v>19</v>
      </c>
      <c r="E10818" s="1" t="s">
        <v>6</v>
      </c>
      <c r="F10818" s="1" t="s">
        <v>5091</v>
      </c>
      <c r="G10818" s="14" t="s">
        <v>6186</v>
      </c>
      <c r="H10818" s="1" t="s">
        <v>5</v>
      </c>
      <c r="I10818" s="1" t="s">
        <v>5807</v>
      </c>
      <c r="J10818" s="17"/>
    </row>
    <row r="10819" spans="1:10">
      <c r="A10819" s="7" t="s">
        <v>16135</v>
      </c>
      <c r="B10819" s="2" t="s">
        <v>2631</v>
      </c>
      <c r="C10819" s="1">
        <v>9</v>
      </c>
      <c r="D10819" s="1" t="s">
        <v>19</v>
      </c>
      <c r="E10819" s="1" t="s">
        <v>6</v>
      </c>
      <c r="F10819" s="1" t="s">
        <v>2691</v>
      </c>
      <c r="G10819" s="14" t="s">
        <v>6307</v>
      </c>
      <c r="H10819" s="1" t="s">
        <v>44</v>
      </c>
      <c r="I10819" s="1" t="s">
        <v>5807</v>
      </c>
    </row>
    <row r="10820" spans="1:10">
      <c r="A10820" s="7" t="s">
        <v>16137</v>
      </c>
      <c r="B10820" s="2" t="s">
        <v>2628</v>
      </c>
      <c r="C10820" s="1">
        <v>9</v>
      </c>
      <c r="D10820" s="1" t="s">
        <v>19</v>
      </c>
      <c r="E10820" s="1" t="s">
        <v>6</v>
      </c>
      <c r="F10820" s="1" t="s">
        <v>5091</v>
      </c>
      <c r="G10820" s="14" t="s">
        <v>6186</v>
      </c>
      <c r="H10820" s="1" t="s">
        <v>5</v>
      </c>
      <c r="I10820" s="1" t="s">
        <v>5807</v>
      </c>
      <c r="J10820" s="17"/>
    </row>
    <row r="10821" spans="1:10">
      <c r="A10821" s="7" t="s">
        <v>16173</v>
      </c>
      <c r="B10821" s="2" t="s">
        <v>2628</v>
      </c>
      <c r="C10821" s="1">
        <v>9</v>
      </c>
      <c r="D10821" s="1" t="s">
        <v>19</v>
      </c>
      <c r="E10821" s="1" t="s">
        <v>6</v>
      </c>
      <c r="F10821" s="1" t="s">
        <v>5091</v>
      </c>
      <c r="G10821" s="14" t="s">
        <v>10705</v>
      </c>
      <c r="H10821" s="1" t="s">
        <v>44</v>
      </c>
      <c r="I10821" s="17" t="s">
        <v>5659</v>
      </c>
    </row>
    <row r="10822" spans="1:10">
      <c r="A10822" s="7" t="s">
        <v>16176</v>
      </c>
      <c r="B10822" s="2" t="s">
        <v>2628</v>
      </c>
      <c r="C10822" s="1">
        <v>1113</v>
      </c>
      <c r="D10822" s="1" t="s">
        <v>19</v>
      </c>
      <c r="E10822" s="1" t="s">
        <v>6</v>
      </c>
      <c r="F10822" s="1" t="s">
        <v>5091</v>
      </c>
      <c r="G10822" s="14" t="s">
        <v>6186</v>
      </c>
      <c r="H10822" s="1" t="s">
        <v>5</v>
      </c>
      <c r="I10822" s="1" t="s">
        <v>5807</v>
      </c>
      <c r="J10822" s="17"/>
    </row>
    <row r="10823" spans="1:10">
      <c r="A10823" s="7" t="s">
        <v>16212</v>
      </c>
      <c r="B10823" s="2" t="s">
        <v>2628</v>
      </c>
      <c r="C10823" s="1">
        <v>9</v>
      </c>
      <c r="D10823" s="1" t="s">
        <v>19</v>
      </c>
      <c r="E10823" s="1" t="s">
        <v>6</v>
      </c>
      <c r="F10823" s="1" t="s">
        <v>5091</v>
      </c>
      <c r="G10823" s="14" t="s">
        <v>16213</v>
      </c>
      <c r="H10823" s="1" t="s">
        <v>43</v>
      </c>
      <c r="I10823" s="1" t="s">
        <v>5807</v>
      </c>
    </row>
    <row r="10824" spans="1:10">
      <c r="A10824" s="7" t="s">
        <v>16217</v>
      </c>
      <c r="B10824" s="2" t="s">
        <v>2628</v>
      </c>
      <c r="C10824" s="1">
        <v>9</v>
      </c>
      <c r="D10824" s="1" t="s">
        <v>19</v>
      </c>
      <c r="E10824" s="1" t="s">
        <v>6</v>
      </c>
      <c r="F10824" s="1" t="s">
        <v>5091</v>
      </c>
      <c r="G10824" s="14" t="s">
        <v>9515</v>
      </c>
      <c r="H10824" s="1" t="s">
        <v>5</v>
      </c>
      <c r="I10824" s="1" t="s">
        <v>5807</v>
      </c>
      <c r="J10824" s="17"/>
    </row>
    <row r="10825" spans="1:10">
      <c r="A10825" s="7" t="s">
        <v>16240</v>
      </c>
      <c r="B10825" s="2" t="s">
        <v>2628</v>
      </c>
      <c r="C10825" s="1">
        <v>9</v>
      </c>
      <c r="D10825" s="1" t="s">
        <v>19</v>
      </c>
      <c r="E10825" s="1" t="s">
        <v>6</v>
      </c>
      <c r="F10825" s="1" t="s">
        <v>5091</v>
      </c>
      <c r="G10825" s="14" t="s">
        <v>6186</v>
      </c>
      <c r="H10825" s="1" t="s">
        <v>5</v>
      </c>
      <c r="I10825" s="1" t="s">
        <v>5807</v>
      </c>
      <c r="J10825" s="17"/>
    </row>
    <row r="10826" spans="1:10">
      <c r="A10826" s="7" t="s">
        <v>16245</v>
      </c>
      <c r="B10826" s="2" t="s">
        <v>2628</v>
      </c>
      <c r="C10826" s="1">
        <v>1113</v>
      </c>
      <c r="D10826" s="1" t="s">
        <v>19</v>
      </c>
      <c r="E10826" s="1" t="s">
        <v>6</v>
      </c>
      <c r="F10826" s="1" t="s">
        <v>5091</v>
      </c>
      <c r="G10826" s="14" t="s">
        <v>6186</v>
      </c>
      <c r="H10826" s="1" t="s">
        <v>5</v>
      </c>
      <c r="I10826" s="1" t="s">
        <v>5807</v>
      </c>
      <c r="J10826" s="17"/>
    </row>
    <row r="10827" spans="1:10">
      <c r="A10827" s="7" t="s">
        <v>16248</v>
      </c>
      <c r="B10827" s="2" t="s">
        <v>2628</v>
      </c>
      <c r="C10827" s="1">
        <v>1113</v>
      </c>
      <c r="D10827" s="1" t="s">
        <v>19</v>
      </c>
      <c r="E10827" s="1" t="s">
        <v>6</v>
      </c>
      <c r="F10827" s="1" t="s">
        <v>5091</v>
      </c>
      <c r="G10827" s="14" t="s">
        <v>6238</v>
      </c>
      <c r="H10827" s="1" t="s">
        <v>43</v>
      </c>
      <c r="I10827" s="1" t="s">
        <v>5807</v>
      </c>
    </row>
    <row r="10828" spans="1:10">
      <c r="A10828" s="7" t="s">
        <v>16249</v>
      </c>
      <c r="B10828" s="2" t="s">
        <v>2628</v>
      </c>
      <c r="C10828" s="1">
        <v>1113</v>
      </c>
      <c r="D10828" s="1" t="s">
        <v>19</v>
      </c>
      <c r="E10828" s="1" t="s">
        <v>6</v>
      </c>
      <c r="F10828" s="1" t="s">
        <v>5091</v>
      </c>
      <c r="G10828" s="14" t="s">
        <v>16250</v>
      </c>
      <c r="H10828" s="1" t="s">
        <v>5</v>
      </c>
      <c r="I10828" s="1" t="s">
        <v>5807</v>
      </c>
      <c r="J10828" s="1"/>
    </row>
    <row r="10829" spans="1:10">
      <c r="A10829" s="7" t="s">
        <v>16263</v>
      </c>
      <c r="B10829" s="2" t="s">
        <v>2629</v>
      </c>
      <c r="C10829" s="1">
        <v>9</v>
      </c>
      <c r="D10829" s="1" t="s">
        <v>19</v>
      </c>
      <c r="E10829" s="1" t="s">
        <v>6</v>
      </c>
      <c r="F10829" s="1" t="s">
        <v>5241</v>
      </c>
      <c r="G10829" s="14" t="s">
        <v>6307</v>
      </c>
      <c r="H10829" s="1" t="s">
        <v>44</v>
      </c>
      <c r="I10829" s="1">
        <v>2019</v>
      </c>
    </row>
    <row r="10830" spans="1:10">
      <c r="A10830" s="7" t="s">
        <v>16264</v>
      </c>
      <c r="B10830" s="2" t="s">
        <v>2629</v>
      </c>
      <c r="C10830" s="1">
        <v>9</v>
      </c>
      <c r="D10830" s="1" t="s">
        <v>19</v>
      </c>
      <c r="E10830" s="1" t="s">
        <v>6</v>
      </c>
      <c r="F10830" s="1" t="s">
        <v>5241</v>
      </c>
      <c r="G10830" s="14" t="s">
        <v>6307</v>
      </c>
      <c r="H10830" s="1" t="s">
        <v>44</v>
      </c>
      <c r="I10830" s="1">
        <v>2019</v>
      </c>
    </row>
    <row r="10831" spans="1:10">
      <c r="A10831" s="7" t="s">
        <v>16265</v>
      </c>
      <c r="B10831" s="2" t="s">
        <v>2629</v>
      </c>
      <c r="C10831" s="1">
        <v>9</v>
      </c>
      <c r="D10831" s="1" t="s">
        <v>19</v>
      </c>
      <c r="E10831" s="1" t="s">
        <v>6</v>
      </c>
      <c r="F10831" s="1" t="s">
        <v>5241</v>
      </c>
      <c r="G10831" s="14" t="s">
        <v>6307</v>
      </c>
      <c r="H10831" s="1" t="s">
        <v>44</v>
      </c>
      <c r="I10831" s="1">
        <v>2019</v>
      </c>
    </row>
    <row r="10832" spans="1:10">
      <c r="A10832" s="7" t="s">
        <v>16287</v>
      </c>
      <c r="B10832" s="2" t="s">
        <v>2628</v>
      </c>
      <c r="C10832" s="1">
        <v>9</v>
      </c>
      <c r="D10832" s="1" t="s">
        <v>19</v>
      </c>
      <c r="E10832" s="1" t="s">
        <v>6</v>
      </c>
      <c r="F10832" s="1" t="s">
        <v>5091</v>
      </c>
      <c r="G10832" s="14" t="s">
        <v>16288</v>
      </c>
      <c r="H10832" s="1" t="s">
        <v>43</v>
      </c>
      <c r="I10832" s="1" t="s">
        <v>5807</v>
      </c>
    </row>
    <row r="10833" spans="1:10">
      <c r="A10833" s="7" t="s">
        <v>16307</v>
      </c>
      <c r="B10833" s="2" t="s">
        <v>2628</v>
      </c>
      <c r="C10833" s="1">
        <v>9</v>
      </c>
      <c r="D10833" s="1" t="s">
        <v>19</v>
      </c>
      <c r="E10833" s="1" t="s">
        <v>6</v>
      </c>
      <c r="F10833" s="1" t="s">
        <v>5091</v>
      </c>
      <c r="G10833" s="14" t="s">
        <v>16308</v>
      </c>
      <c r="H10833" s="1" t="s">
        <v>43</v>
      </c>
      <c r="I10833" s="1" t="s">
        <v>5807</v>
      </c>
    </row>
    <row r="10834" spans="1:10">
      <c r="A10834" s="7" t="s">
        <v>16313</v>
      </c>
      <c r="B10834" s="2" t="s">
        <v>2628</v>
      </c>
      <c r="C10834" s="1">
        <v>9</v>
      </c>
      <c r="D10834" s="1" t="s">
        <v>19</v>
      </c>
      <c r="E10834" s="1" t="s">
        <v>6</v>
      </c>
      <c r="F10834" s="1" t="s">
        <v>5091</v>
      </c>
      <c r="G10834" s="14" t="s">
        <v>16314</v>
      </c>
      <c r="H10834" s="1" t="s">
        <v>43</v>
      </c>
      <c r="I10834" s="1" t="s">
        <v>5807</v>
      </c>
    </row>
    <row r="10835" spans="1:10">
      <c r="A10835" s="7" t="s">
        <v>16423</v>
      </c>
      <c r="B10835" s="1" t="s">
        <v>2628</v>
      </c>
      <c r="C10835" s="1">
        <v>1113</v>
      </c>
      <c r="D10835" s="1" t="s">
        <v>19</v>
      </c>
      <c r="E10835" s="1" t="s">
        <v>6</v>
      </c>
      <c r="F10835" s="1" t="s">
        <v>5091</v>
      </c>
      <c r="G10835" s="1" t="s">
        <v>10705</v>
      </c>
      <c r="H10835" s="1" t="s">
        <v>44</v>
      </c>
      <c r="I10835" s="1" t="s">
        <v>5848</v>
      </c>
    </row>
    <row r="10836" spans="1:10">
      <c r="A10836" s="7" t="s">
        <v>16428</v>
      </c>
      <c r="B10836" s="1" t="s">
        <v>2628</v>
      </c>
      <c r="C10836" s="1">
        <v>1113</v>
      </c>
      <c r="D10836" s="1" t="s">
        <v>19</v>
      </c>
      <c r="E10836" s="1" t="s">
        <v>6</v>
      </c>
      <c r="F10836" s="1" t="s">
        <v>5091</v>
      </c>
      <c r="G10836" s="1" t="s">
        <v>10705</v>
      </c>
      <c r="H10836" s="1" t="s">
        <v>44</v>
      </c>
      <c r="I10836" s="1" t="s">
        <v>5483</v>
      </c>
    </row>
    <row r="10837" spans="1:10">
      <c r="A10837" s="7" t="s">
        <v>16457</v>
      </c>
      <c r="B10837" s="1" t="s">
        <v>2628</v>
      </c>
      <c r="C10837" s="1">
        <v>1113</v>
      </c>
      <c r="D10837" s="1" t="s">
        <v>19</v>
      </c>
      <c r="E10837" s="1" t="s">
        <v>6</v>
      </c>
      <c r="F10837" s="1" t="s">
        <v>5091</v>
      </c>
      <c r="G10837" s="1" t="s">
        <v>10705</v>
      </c>
      <c r="H10837" s="1" t="s">
        <v>44</v>
      </c>
      <c r="I10837" s="1" t="s">
        <v>5483</v>
      </c>
    </row>
    <row r="10838" spans="1:10">
      <c r="A10838" s="7" t="s">
        <v>16521</v>
      </c>
      <c r="B10838" s="2" t="s">
        <v>2628</v>
      </c>
      <c r="C10838" s="1">
        <v>1113</v>
      </c>
      <c r="D10838" s="1" t="s">
        <v>19</v>
      </c>
      <c r="E10838" s="1" t="s">
        <v>6</v>
      </c>
      <c r="F10838" s="1" t="s">
        <v>5091</v>
      </c>
      <c r="G10838" s="14" t="s">
        <v>16522</v>
      </c>
      <c r="H10838" s="1" t="s">
        <v>315</v>
      </c>
      <c r="I10838" s="1" t="s">
        <v>5807</v>
      </c>
      <c r="J10838" s="17"/>
    </row>
    <row r="10839" spans="1:10">
      <c r="A10839" s="7" t="s">
        <v>16525</v>
      </c>
      <c r="B10839" s="2" t="s">
        <v>2628</v>
      </c>
      <c r="C10839" s="1">
        <v>9</v>
      </c>
      <c r="D10839" s="1" t="s">
        <v>19</v>
      </c>
      <c r="E10839" s="1" t="s">
        <v>6</v>
      </c>
      <c r="F10839" s="1" t="s">
        <v>5091</v>
      </c>
      <c r="G10839" s="14" t="s">
        <v>16524</v>
      </c>
      <c r="H10839" s="1" t="s">
        <v>5</v>
      </c>
      <c r="I10839" s="1" t="s">
        <v>5807</v>
      </c>
      <c r="J10839" s="17"/>
    </row>
    <row r="10840" spans="1:10">
      <c r="A10840" s="7" t="s">
        <v>16526</v>
      </c>
      <c r="B10840" s="2" t="s">
        <v>2628</v>
      </c>
      <c r="C10840" s="1">
        <v>1113</v>
      </c>
      <c r="D10840" s="1" t="s">
        <v>19</v>
      </c>
      <c r="E10840" s="1" t="s">
        <v>6</v>
      </c>
      <c r="F10840" s="1" t="s">
        <v>5091</v>
      </c>
      <c r="G10840" s="14" t="s">
        <v>16522</v>
      </c>
      <c r="H10840" s="1" t="s">
        <v>315</v>
      </c>
      <c r="I10840" s="1" t="s">
        <v>5807</v>
      </c>
      <c r="J10840" s="17"/>
    </row>
    <row r="10841" spans="1:10">
      <c r="A10841" s="7" t="s">
        <v>16528</v>
      </c>
      <c r="B10841" s="2" t="s">
        <v>2628</v>
      </c>
      <c r="C10841" s="1">
        <v>9</v>
      </c>
      <c r="D10841" s="1" t="s">
        <v>19</v>
      </c>
      <c r="E10841" s="1" t="s">
        <v>6</v>
      </c>
      <c r="F10841" s="1" t="s">
        <v>5091</v>
      </c>
      <c r="G10841" s="14" t="s">
        <v>16524</v>
      </c>
      <c r="H10841" s="1" t="s">
        <v>5</v>
      </c>
      <c r="I10841" s="1" t="s">
        <v>5807</v>
      </c>
      <c r="J10841" s="17"/>
    </row>
    <row r="10842" spans="1:10">
      <c r="A10842" s="7" t="s">
        <v>16532</v>
      </c>
      <c r="B10842" s="2" t="s">
        <v>2628</v>
      </c>
      <c r="C10842" s="1">
        <v>9</v>
      </c>
      <c r="D10842" s="1" t="s">
        <v>19</v>
      </c>
      <c r="E10842" s="1" t="s">
        <v>6</v>
      </c>
      <c r="F10842" s="1" t="s">
        <v>5091</v>
      </c>
      <c r="G10842" s="14" t="s">
        <v>6236</v>
      </c>
      <c r="H10842" s="1" t="s">
        <v>43</v>
      </c>
      <c r="I10842" s="1" t="s">
        <v>5807</v>
      </c>
    </row>
    <row r="10843" spans="1:10">
      <c r="A10843" s="7" t="s">
        <v>16544</v>
      </c>
      <c r="B10843" s="2" t="s">
        <v>2628</v>
      </c>
      <c r="C10843" s="1">
        <v>9</v>
      </c>
      <c r="D10843" s="1" t="s">
        <v>19</v>
      </c>
      <c r="E10843" s="1" t="s">
        <v>6</v>
      </c>
      <c r="F10843" s="1" t="s">
        <v>5091</v>
      </c>
      <c r="G10843" s="14" t="s">
        <v>6236</v>
      </c>
      <c r="H10843" s="1" t="s">
        <v>43</v>
      </c>
      <c r="I10843" s="1" t="s">
        <v>5807</v>
      </c>
    </row>
    <row r="10844" spans="1:10">
      <c r="A10844" s="7" t="s">
        <v>16602</v>
      </c>
      <c r="B10844" s="2" t="s">
        <v>2628</v>
      </c>
      <c r="C10844" s="1">
        <v>9</v>
      </c>
      <c r="D10844" s="1" t="s">
        <v>19</v>
      </c>
      <c r="E10844" s="1" t="s">
        <v>6</v>
      </c>
      <c r="F10844" s="1" t="s">
        <v>5091</v>
      </c>
      <c r="G10844" s="14" t="s">
        <v>6238</v>
      </c>
      <c r="H10844" s="1" t="s">
        <v>43</v>
      </c>
      <c r="I10844" s="1" t="s">
        <v>5807</v>
      </c>
    </row>
    <row r="10845" spans="1:10">
      <c r="A10845" s="7" t="s">
        <v>16604</v>
      </c>
      <c r="B10845" s="2" t="s">
        <v>2628</v>
      </c>
      <c r="C10845" s="1">
        <v>9</v>
      </c>
      <c r="D10845" s="1" t="s">
        <v>19</v>
      </c>
      <c r="E10845" s="1" t="s">
        <v>6</v>
      </c>
      <c r="F10845" s="1" t="s">
        <v>5241</v>
      </c>
      <c r="G10845" s="14" t="s">
        <v>6307</v>
      </c>
      <c r="H10845" s="1" t="s">
        <v>44</v>
      </c>
      <c r="I10845" s="6">
        <v>2019</v>
      </c>
    </row>
    <row r="10846" spans="1:10">
      <c r="A10846" s="7" t="s">
        <v>16606</v>
      </c>
      <c r="B10846" s="2" t="s">
        <v>2628</v>
      </c>
      <c r="C10846" s="1">
        <v>9</v>
      </c>
      <c r="D10846" s="1" t="s">
        <v>19</v>
      </c>
      <c r="E10846" s="1" t="s">
        <v>6</v>
      </c>
      <c r="F10846" s="1" t="s">
        <v>5241</v>
      </c>
      <c r="G10846" s="14" t="s">
        <v>6307</v>
      </c>
      <c r="H10846" s="1" t="s">
        <v>44</v>
      </c>
      <c r="I10846" s="6">
        <v>2019</v>
      </c>
    </row>
    <row r="10847" spans="1:10">
      <c r="A10847" s="7" t="s">
        <v>16607</v>
      </c>
      <c r="B10847" s="2" t="s">
        <v>2628</v>
      </c>
      <c r="C10847" s="1">
        <v>9</v>
      </c>
      <c r="D10847" s="1" t="s">
        <v>19</v>
      </c>
      <c r="E10847" s="1" t="s">
        <v>6</v>
      </c>
      <c r="F10847" s="1" t="s">
        <v>5241</v>
      </c>
      <c r="G10847" s="14" t="s">
        <v>6307</v>
      </c>
      <c r="H10847" s="1" t="s">
        <v>44</v>
      </c>
      <c r="I10847" s="6">
        <v>2019</v>
      </c>
    </row>
    <row r="10848" spans="1:10">
      <c r="A10848" s="7" t="s">
        <v>16608</v>
      </c>
      <c r="B10848" s="2" t="s">
        <v>2628</v>
      </c>
      <c r="C10848" s="1">
        <v>9</v>
      </c>
      <c r="D10848" s="1" t="s">
        <v>19</v>
      </c>
      <c r="E10848" s="1" t="s">
        <v>6</v>
      </c>
      <c r="F10848" s="1" t="s">
        <v>5241</v>
      </c>
      <c r="G10848" s="14" t="s">
        <v>4803</v>
      </c>
      <c r="H10848" s="1" t="s">
        <v>5</v>
      </c>
      <c r="I10848" s="1" t="s">
        <v>5807</v>
      </c>
      <c r="J10848" s="17"/>
    </row>
    <row r="10849" spans="1:10">
      <c r="A10849" s="7" t="s">
        <v>16609</v>
      </c>
      <c r="B10849" s="2" t="s">
        <v>2628</v>
      </c>
      <c r="C10849" s="1">
        <v>9</v>
      </c>
      <c r="D10849" s="1" t="s">
        <v>19</v>
      </c>
      <c r="E10849" s="1" t="s">
        <v>6</v>
      </c>
      <c r="F10849" s="1" t="s">
        <v>5241</v>
      </c>
      <c r="G10849" s="14" t="s">
        <v>6307</v>
      </c>
      <c r="H10849" s="1" t="s">
        <v>44</v>
      </c>
      <c r="I10849" s="6">
        <v>2019</v>
      </c>
    </row>
    <row r="10850" spans="1:10">
      <c r="A10850" s="7" t="s">
        <v>16611</v>
      </c>
      <c r="B10850" s="2" t="s">
        <v>2628</v>
      </c>
      <c r="C10850" s="1">
        <v>9</v>
      </c>
      <c r="D10850" s="1" t="s">
        <v>19</v>
      </c>
      <c r="E10850" s="1" t="s">
        <v>6</v>
      </c>
      <c r="F10850" s="1" t="s">
        <v>5241</v>
      </c>
      <c r="G10850" s="14" t="s">
        <v>4803</v>
      </c>
      <c r="H10850" s="1" t="s">
        <v>5</v>
      </c>
      <c r="I10850" s="1" t="s">
        <v>5807</v>
      </c>
      <c r="J10850" s="17"/>
    </row>
    <row r="10851" spans="1:10">
      <c r="A10851" s="7" t="s">
        <v>16621</v>
      </c>
      <c r="B10851" s="2" t="s">
        <v>2628</v>
      </c>
      <c r="C10851" s="1">
        <v>9</v>
      </c>
      <c r="D10851" s="1" t="s">
        <v>19</v>
      </c>
      <c r="E10851" s="1" t="s">
        <v>6</v>
      </c>
      <c r="F10851" s="1" t="s">
        <v>5241</v>
      </c>
      <c r="G10851" s="14" t="s">
        <v>4803</v>
      </c>
      <c r="H10851" s="1" t="s">
        <v>5</v>
      </c>
      <c r="I10851" s="1" t="s">
        <v>5807</v>
      </c>
      <c r="J10851" s="17"/>
    </row>
    <row r="10852" spans="1:10">
      <c r="A10852" s="7" t="s">
        <v>16622</v>
      </c>
      <c r="B10852" s="2" t="s">
        <v>2628</v>
      </c>
      <c r="C10852" s="1">
        <v>9</v>
      </c>
      <c r="D10852" s="1" t="s">
        <v>19</v>
      </c>
      <c r="E10852" s="1" t="s">
        <v>6</v>
      </c>
      <c r="F10852" s="1" t="s">
        <v>5241</v>
      </c>
      <c r="G10852" s="14" t="s">
        <v>4803</v>
      </c>
      <c r="H10852" s="1" t="s">
        <v>5</v>
      </c>
      <c r="I10852" s="1" t="s">
        <v>5807</v>
      </c>
      <c r="J10852" s="17"/>
    </row>
    <row r="10853" spans="1:10">
      <c r="A10853" s="7" t="s">
        <v>16623</v>
      </c>
      <c r="B10853" s="2" t="s">
        <v>2628</v>
      </c>
      <c r="C10853" s="1">
        <v>9</v>
      </c>
      <c r="D10853" s="1" t="s">
        <v>19</v>
      </c>
      <c r="E10853" s="1" t="s">
        <v>6</v>
      </c>
      <c r="F10853" s="1" t="s">
        <v>5241</v>
      </c>
      <c r="G10853" s="14" t="s">
        <v>4803</v>
      </c>
      <c r="H10853" s="1" t="s">
        <v>5</v>
      </c>
      <c r="I10853" s="1" t="s">
        <v>5807</v>
      </c>
      <c r="J10853" s="17"/>
    </row>
    <row r="10854" spans="1:10">
      <c r="A10854" s="7" t="s">
        <v>16632</v>
      </c>
      <c r="B10854" s="2" t="s">
        <v>2628</v>
      </c>
      <c r="C10854" s="1">
        <v>9</v>
      </c>
      <c r="D10854" s="1" t="s">
        <v>19</v>
      </c>
      <c r="E10854" s="1" t="s">
        <v>6</v>
      </c>
      <c r="F10854" s="1" t="s">
        <v>5241</v>
      </c>
      <c r="G10854" s="14" t="s">
        <v>4803</v>
      </c>
      <c r="H10854" s="1" t="s">
        <v>5</v>
      </c>
      <c r="I10854" s="1" t="s">
        <v>5807</v>
      </c>
      <c r="J10854" s="17"/>
    </row>
    <row r="10855" spans="1:10">
      <c r="A10855" s="7" t="s">
        <v>16635</v>
      </c>
      <c r="B10855" s="2" t="s">
        <v>2628</v>
      </c>
      <c r="C10855" s="1">
        <v>9</v>
      </c>
      <c r="D10855" s="1" t="s">
        <v>19</v>
      </c>
      <c r="E10855" s="1" t="s">
        <v>6</v>
      </c>
      <c r="F10855" s="1" t="s">
        <v>5241</v>
      </c>
      <c r="G10855" s="14" t="s">
        <v>4803</v>
      </c>
      <c r="H10855" s="1" t="s">
        <v>5</v>
      </c>
      <c r="I10855" s="1" t="s">
        <v>5807</v>
      </c>
      <c r="J10855" s="17"/>
    </row>
    <row r="10856" spans="1:10">
      <c r="A10856" s="7" t="s">
        <v>16636</v>
      </c>
      <c r="B10856" s="2" t="s">
        <v>2629</v>
      </c>
      <c r="C10856" s="1">
        <v>9</v>
      </c>
      <c r="D10856" s="1" t="s">
        <v>19</v>
      </c>
      <c r="E10856" s="1" t="s">
        <v>6</v>
      </c>
      <c r="F10856" s="1" t="s">
        <v>5241</v>
      </c>
      <c r="G10856" s="14" t="s">
        <v>4803</v>
      </c>
      <c r="H10856" s="1" t="s">
        <v>5</v>
      </c>
      <c r="I10856" s="1">
        <v>2019</v>
      </c>
    </row>
    <row r="10857" spans="1:10">
      <c r="A10857" s="7" t="s">
        <v>16637</v>
      </c>
      <c r="B10857" s="2" t="s">
        <v>2628</v>
      </c>
      <c r="C10857" s="1">
        <v>9</v>
      </c>
      <c r="D10857" s="1" t="s">
        <v>19</v>
      </c>
      <c r="E10857" s="1" t="s">
        <v>6</v>
      </c>
      <c r="F10857" s="1" t="s">
        <v>5241</v>
      </c>
      <c r="G10857" s="14" t="s">
        <v>4803</v>
      </c>
      <c r="H10857" s="1" t="s">
        <v>5</v>
      </c>
      <c r="I10857" s="1" t="s">
        <v>5807</v>
      </c>
      <c r="J10857" s="17"/>
    </row>
    <row r="10858" spans="1:10">
      <c r="A10858" s="7" t="s">
        <v>16639</v>
      </c>
      <c r="B10858" s="2" t="s">
        <v>2628</v>
      </c>
      <c r="C10858" s="1">
        <v>9</v>
      </c>
      <c r="D10858" s="1" t="s">
        <v>19</v>
      </c>
      <c r="E10858" s="1" t="s">
        <v>6</v>
      </c>
      <c r="F10858" s="1" t="s">
        <v>5241</v>
      </c>
      <c r="G10858" s="14" t="s">
        <v>4803</v>
      </c>
      <c r="H10858" s="1" t="s">
        <v>5</v>
      </c>
      <c r="I10858" s="1" t="s">
        <v>5807</v>
      </c>
      <c r="J10858" s="17"/>
    </row>
    <row r="10859" spans="1:10">
      <c r="A10859" s="7" t="s">
        <v>16641</v>
      </c>
      <c r="B10859" s="2" t="s">
        <v>2628</v>
      </c>
      <c r="C10859" s="1">
        <v>9</v>
      </c>
      <c r="D10859" s="1" t="s">
        <v>19</v>
      </c>
      <c r="E10859" s="1" t="s">
        <v>6</v>
      </c>
      <c r="F10859" s="1" t="s">
        <v>5241</v>
      </c>
      <c r="G10859" s="14" t="s">
        <v>4803</v>
      </c>
      <c r="H10859" s="1" t="s">
        <v>5</v>
      </c>
      <c r="I10859" s="1" t="s">
        <v>5807</v>
      </c>
      <c r="J10859" s="17"/>
    </row>
    <row r="10860" spans="1:10">
      <c r="A10860" s="7" t="s">
        <v>16642</v>
      </c>
      <c r="B10860" s="2" t="s">
        <v>2629</v>
      </c>
      <c r="C10860" s="1">
        <v>9</v>
      </c>
      <c r="D10860" s="1" t="s">
        <v>19</v>
      </c>
      <c r="E10860" s="1" t="s">
        <v>6</v>
      </c>
      <c r="F10860" s="1" t="s">
        <v>5091</v>
      </c>
      <c r="G10860" s="14" t="s">
        <v>6186</v>
      </c>
      <c r="H10860" s="1" t="s">
        <v>5</v>
      </c>
      <c r="I10860" s="1" t="s">
        <v>5807</v>
      </c>
    </row>
    <row r="10861" spans="1:10">
      <c r="A10861" s="7" t="s">
        <v>16653</v>
      </c>
      <c r="B10861" s="2" t="s">
        <v>2628</v>
      </c>
      <c r="C10861" s="1">
        <v>9</v>
      </c>
      <c r="D10861" s="1" t="s">
        <v>19</v>
      </c>
      <c r="E10861" s="1" t="s">
        <v>6</v>
      </c>
      <c r="F10861" s="1" t="s">
        <v>5091</v>
      </c>
      <c r="G10861" s="14" t="s">
        <v>6139</v>
      </c>
      <c r="H10861" s="1" t="s">
        <v>43</v>
      </c>
      <c r="I10861" s="1" t="s">
        <v>5807</v>
      </c>
    </row>
    <row r="10862" spans="1:10">
      <c r="A10862" s="7" t="s">
        <v>16661</v>
      </c>
      <c r="B10862" s="2" t="s">
        <v>2628</v>
      </c>
      <c r="C10862" s="1">
        <v>9</v>
      </c>
      <c r="D10862" s="1" t="s">
        <v>19</v>
      </c>
      <c r="E10862" s="1" t="s">
        <v>6</v>
      </c>
      <c r="F10862" s="1" t="s">
        <v>5091</v>
      </c>
      <c r="G10862" s="14" t="s">
        <v>6139</v>
      </c>
      <c r="H10862" s="1" t="s">
        <v>43</v>
      </c>
      <c r="I10862" s="1" t="s">
        <v>5807</v>
      </c>
    </row>
    <row r="10863" spans="1:10">
      <c r="A10863" s="7" t="s">
        <v>16667</v>
      </c>
      <c r="B10863" s="2" t="s">
        <v>2628</v>
      </c>
      <c r="C10863" s="1">
        <v>9</v>
      </c>
      <c r="D10863" s="1" t="s">
        <v>19</v>
      </c>
      <c r="E10863" s="1" t="s">
        <v>6</v>
      </c>
      <c r="F10863" s="1" t="s">
        <v>5091</v>
      </c>
      <c r="G10863" s="14" t="s">
        <v>6139</v>
      </c>
      <c r="H10863" s="1" t="s">
        <v>43</v>
      </c>
      <c r="I10863" s="1" t="s">
        <v>5807</v>
      </c>
    </row>
    <row r="10864" spans="1:10">
      <c r="A10864" s="7" t="s">
        <v>16672</v>
      </c>
      <c r="B10864" s="2" t="s">
        <v>2628</v>
      </c>
      <c r="C10864" s="1">
        <v>9</v>
      </c>
      <c r="D10864" s="1" t="s">
        <v>19</v>
      </c>
      <c r="E10864" s="1" t="s">
        <v>6</v>
      </c>
      <c r="F10864" s="1" t="s">
        <v>5091</v>
      </c>
      <c r="G10864" s="14" t="s">
        <v>6139</v>
      </c>
      <c r="H10864" s="1" t="s">
        <v>43</v>
      </c>
      <c r="I10864" s="1" t="s">
        <v>5807</v>
      </c>
    </row>
    <row r="10865" spans="1:10">
      <c r="A10865" s="7" t="s">
        <v>16680</v>
      </c>
      <c r="B10865" s="2" t="s">
        <v>2628</v>
      </c>
      <c r="C10865" s="1">
        <v>9</v>
      </c>
      <c r="D10865" s="1" t="s">
        <v>19</v>
      </c>
      <c r="E10865" s="1" t="s">
        <v>6</v>
      </c>
      <c r="F10865" s="1" t="s">
        <v>5091</v>
      </c>
      <c r="G10865" s="14" t="s">
        <v>6139</v>
      </c>
      <c r="H10865" s="1" t="s">
        <v>43</v>
      </c>
      <c r="I10865" s="1" t="s">
        <v>5807</v>
      </c>
    </row>
    <row r="10866" spans="1:10">
      <c r="A10866" s="7" t="s">
        <v>16681</v>
      </c>
      <c r="B10866" s="2" t="s">
        <v>2628</v>
      </c>
      <c r="C10866" s="1">
        <v>9</v>
      </c>
      <c r="D10866" s="1" t="s">
        <v>19</v>
      </c>
      <c r="E10866" s="1" t="s">
        <v>6</v>
      </c>
      <c r="F10866" s="1" t="s">
        <v>5091</v>
      </c>
      <c r="G10866" s="14" t="s">
        <v>6139</v>
      </c>
      <c r="H10866" s="1" t="s">
        <v>43</v>
      </c>
      <c r="I10866" s="1" t="s">
        <v>5807</v>
      </c>
    </row>
    <row r="10867" spans="1:10">
      <c r="A10867" s="7" t="s">
        <v>16685</v>
      </c>
      <c r="B10867" s="2" t="s">
        <v>2628</v>
      </c>
      <c r="C10867" s="1">
        <v>9</v>
      </c>
      <c r="D10867" s="1" t="s">
        <v>19</v>
      </c>
      <c r="E10867" s="1" t="s">
        <v>6</v>
      </c>
      <c r="F10867" s="1" t="s">
        <v>5241</v>
      </c>
      <c r="G10867" s="14" t="s">
        <v>4803</v>
      </c>
      <c r="H10867" s="1" t="s">
        <v>5</v>
      </c>
      <c r="I10867" s="1" t="s">
        <v>5807</v>
      </c>
      <c r="J10867" s="17"/>
    </row>
    <row r="10868" spans="1:10">
      <c r="A10868" s="7" t="s">
        <v>16688</v>
      </c>
      <c r="B10868" s="2" t="s">
        <v>2628</v>
      </c>
      <c r="C10868" s="1">
        <v>9</v>
      </c>
      <c r="D10868" s="1" t="s">
        <v>19</v>
      </c>
      <c r="E10868" s="1" t="s">
        <v>6</v>
      </c>
      <c r="F10868" s="1" t="s">
        <v>5241</v>
      </c>
      <c r="G10868" s="14" t="s">
        <v>4803</v>
      </c>
      <c r="H10868" s="1" t="s">
        <v>5</v>
      </c>
      <c r="I10868" s="1" t="s">
        <v>5807</v>
      </c>
      <c r="J10868" s="17"/>
    </row>
    <row r="10869" spans="1:10">
      <c r="A10869" s="7" t="s">
        <v>16689</v>
      </c>
      <c r="B10869" s="2" t="s">
        <v>2628</v>
      </c>
      <c r="C10869" s="1">
        <v>9</v>
      </c>
      <c r="D10869" s="1" t="s">
        <v>19</v>
      </c>
      <c r="E10869" s="1" t="s">
        <v>6</v>
      </c>
      <c r="F10869" s="1" t="s">
        <v>5091</v>
      </c>
      <c r="G10869" s="14" t="s">
        <v>6236</v>
      </c>
      <c r="H10869" s="1" t="s">
        <v>43</v>
      </c>
      <c r="I10869" s="1" t="s">
        <v>5807</v>
      </c>
    </row>
    <row r="10870" spans="1:10">
      <c r="A10870" s="7" t="s">
        <v>16690</v>
      </c>
      <c r="B10870" s="2" t="s">
        <v>2628</v>
      </c>
      <c r="C10870" s="1">
        <v>9</v>
      </c>
      <c r="D10870" s="1" t="s">
        <v>19</v>
      </c>
      <c r="E10870" s="1" t="s">
        <v>6</v>
      </c>
      <c r="F10870" s="1" t="s">
        <v>5241</v>
      </c>
      <c r="G10870" s="14" t="s">
        <v>4803</v>
      </c>
      <c r="H10870" s="1" t="s">
        <v>5</v>
      </c>
      <c r="I10870" s="1" t="s">
        <v>5807</v>
      </c>
      <c r="J10870" s="17"/>
    </row>
    <row r="10871" spans="1:10">
      <c r="A10871" s="7" t="s">
        <v>16719</v>
      </c>
      <c r="B10871" s="2" t="s">
        <v>2628</v>
      </c>
      <c r="C10871" s="1">
        <v>9</v>
      </c>
      <c r="D10871" s="1" t="s">
        <v>19</v>
      </c>
      <c r="E10871" s="1" t="s">
        <v>6</v>
      </c>
      <c r="F10871" s="1" t="s">
        <v>5091</v>
      </c>
      <c r="G10871" s="14" t="s">
        <v>6145</v>
      </c>
      <c r="H10871" s="1" t="s">
        <v>43</v>
      </c>
      <c r="I10871" s="1" t="s">
        <v>5807</v>
      </c>
    </row>
    <row r="10872" spans="1:10">
      <c r="A10872" s="7" t="s">
        <v>16724</v>
      </c>
      <c r="B10872" s="2" t="s">
        <v>2628</v>
      </c>
      <c r="C10872" s="1">
        <v>9</v>
      </c>
      <c r="D10872" s="1" t="s">
        <v>19</v>
      </c>
      <c r="E10872" s="1" t="s">
        <v>6</v>
      </c>
      <c r="F10872" s="1" t="s">
        <v>5091</v>
      </c>
      <c r="G10872" s="14" t="s">
        <v>6145</v>
      </c>
      <c r="H10872" s="1" t="s">
        <v>43</v>
      </c>
      <c r="I10872" s="1" t="s">
        <v>5807</v>
      </c>
    </row>
    <row r="10873" spans="1:10">
      <c r="A10873" s="7" t="s">
        <v>16728</v>
      </c>
      <c r="B10873" s="2" t="s">
        <v>2629</v>
      </c>
      <c r="C10873" s="1">
        <v>9</v>
      </c>
      <c r="D10873" s="1" t="s">
        <v>19</v>
      </c>
      <c r="E10873" s="1" t="s">
        <v>6</v>
      </c>
      <c r="F10873" s="1" t="s">
        <v>5241</v>
      </c>
      <c r="G10873" s="14" t="s">
        <v>4803</v>
      </c>
      <c r="H10873" s="1" t="s">
        <v>5</v>
      </c>
      <c r="I10873" s="1">
        <v>2019</v>
      </c>
    </row>
    <row r="10874" spans="1:10">
      <c r="A10874" s="7" t="s">
        <v>16734</v>
      </c>
      <c r="B10874" s="2" t="s">
        <v>2628</v>
      </c>
      <c r="C10874" s="1">
        <v>9</v>
      </c>
      <c r="D10874" s="1" t="s">
        <v>19</v>
      </c>
      <c r="E10874" s="1" t="s">
        <v>6</v>
      </c>
      <c r="F10874" s="1" t="s">
        <v>5091</v>
      </c>
      <c r="G10874" s="14" t="s">
        <v>6145</v>
      </c>
      <c r="H10874" s="1" t="s">
        <v>43</v>
      </c>
      <c r="I10874" s="1" t="s">
        <v>5807</v>
      </c>
    </row>
    <row r="10875" spans="1:10">
      <c r="A10875" s="7" t="s">
        <v>16736</v>
      </c>
      <c r="B10875" s="2" t="s">
        <v>2628</v>
      </c>
      <c r="C10875" s="1">
        <v>9</v>
      </c>
      <c r="D10875" s="1" t="s">
        <v>19</v>
      </c>
      <c r="E10875" s="1" t="s">
        <v>6</v>
      </c>
      <c r="F10875" s="1" t="s">
        <v>5091</v>
      </c>
      <c r="G10875" s="14" t="s">
        <v>6145</v>
      </c>
      <c r="H10875" s="1" t="s">
        <v>43</v>
      </c>
      <c r="I10875" s="1" t="s">
        <v>5807</v>
      </c>
    </row>
    <row r="10876" spans="1:10">
      <c r="A10876" s="7" t="s">
        <v>16738</v>
      </c>
      <c r="B10876" s="2" t="s">
        <v>2628</v>
      </c>
      <c r="C10876" s="1">
        <v>9</v>
      </c>
      <c r="D10876" s="1" t="s">
        <v>19</v>
      </c>
      <c r="E10876" s="1" t="s">
        <v>6</v>
      </c>
      <c r="F10876" s="1" t="s">
        <v>5091</v>
      </c>
      <c r="G10876" s="14" t="s">
        <v>6145</v>
      </c>
      <c r="H10876" s="1" t="s">
        <v>43</v>
      </c>
      <c r="I10876" s="1" t="s">
        <v>5807</v>
      </c>
    </row>
    <row r="10877" spans="1:10">
      <c r="A10877" s="7" t="s">
        <v>16739</v>
      </c>
      <c r="B10877" s="2" t="s">
        <v>2628</v>
      </c>
      <c r="C10877" s="1">
        <v>9</v>
      </c>
      <c r="D10877" s="1" t="s">
        <v>19</v>
      </c>
      <c r="E10877" s="1" t="s">
        <v>6</v>
      </c>
      <c r="F10877" s="1" t="s">
        <v>5091</v>
      </c>
      <c r="G10877" s="14" t="s">
        <v>6145</v>
      </c>
      <c r="H10877" s="1" t="s">
        <v>43</v>
      </c>
      <c r="I10877" s="1" t="s">
        <v>5807</v>
      </c>
    </row>
    <row r="10878" spans="1:10">
      <c r="A10878" s="7" t="s">
        <v>16743</v>
      </c>
      <c r="B10878" s="2" t="s">
        <v>2628</v>
      </c>
      <c r="C10878" s="1">
        <v>9</v>
      </c>
      <c r="D10878" s="1" t="s">
        <v>19</v>
      </c>
      <c r="E10878" s="1" t="s">
        <v>6</v>
      </c>
      <c r="F10878" s="1" t="s">
        <v>5091</v>
      </c>
      <c r="G10878" s="14" t="s">
        <v>6145</v>
      </c>
      <c r="H10878" s="1" t="s">
        <v>43</v>
      </c>
      <c r="I10878" s="1" t="s">
        <v>5807</v>
      </c>
    </row>
    <row r="10879" spans="1:10">
      <c r="A10879" s="7" t="s">
        <v>16747</v>
      </c>
      <c r="B10879" s="2" t="s">
        <v>2628</v>
      </c>
      <c r="C10879" s="1">
        <v>9</v>
      </c>
      <c r="D10879" s="1" t="s">
        <v>19</v>
      </c>
      <c r="E10879" s="1" t="s">
        <v>6</v>
      </c>
      <c r="F10879" s="1" t="s">
        <v>5091</v>
      </c>
      <c r="G10879" s="14" t="s">
        <v>6145</v>
      </c>
      <c r="H10879" s="1" t="s">
        <v>43</v>
      </c>
      <c r="I10879" s="1" t="s">
        <v>5807</v>
      </c>
    </row>
    <row r="10880" spans="1:10">
      <c r="A10880" s="7" t="s">
        <v>16750</v>
      </c>
      <c r="B10880" s="2" t="s">
        <v>2628</v>
      </c>
      <c r="C10880" s="1">
        <v>9</v>
      </c>
      <c r="D10880" s="1" t="s">
        <v>19</v>
      </c>
      <c r="E10880" s="1" t="s">
        <v>6</v>
      </c>
      <c r="F10880" s="1" t="s">
        <v>5091</v>
      </c>
      <c r="G10880" s="14" t="s">
        <v>6145</v>
      </c>
      <c r="H10880" s="1" t="s">
        <v>43</v>
      </c>
      <c r="I10880" s="1" t="s">
        <v>5807</v>
      </c>
    </row>
    <row r="10881" spans="1:10">
      <c r="A10881" s="7" t="s">
        <v>16763</v>
      </c>
      <c r="B10881" s="2" t="s">
        <v>2628</v>
      </c>
      <c r="C10881" s="1">
        <v>9</v>
      </c>
      <c r="D10881" s="1" t="s">
        <v>19</v>
      </c>
      <c r="E10881" s="1" t="s">
        <v>6</v>
      </c>
      <c r="F10881" s="1" t="s">
        <v>5091</v>
      </c>
      <c r="G10881" s="14" t="s">
        <v>6145</v>
      </c>
      <c r="H10881" s="1" t="s">
        <v>43</v>
      </c>
      <c r="I10881" s="1" t="s">
        <v>5807</v>
      </c>
    </row>
    <row r="10882" spans="1:10">
      <c r="A10882" s="7" t="s">
        <v>16767</v>
      </c>
      <c r="B10882" s="2" t="s">
        <v>2628</v>
      </c>
      <c r="C10882" s="1">
        <v>9</v>
      </c>
      <c r="D10882" s="1" t="s">
        <v>19</v>
      </c>
      <c r="E10882" s="1" t="s">
        <v>6</v>
      </c>
      <c r="F10882" s="1" t="s">
        <v>5091</v>
      </c>
      <c r="G10882" s="14" t="s">
        <v>6145</v>
      </c>
      <c r="H10882" s="1" t="s">
        <v>43</v>
      </c>
      <c r="I10882" s="1" t="s">
        <v>5807</v>
      </c>
    </row>
    <row r="10883" spans="1:10">
      <c r="A10883" s="7" t="s">
        <v>16780</v>
      </c>
      <c r="B10883" s="2" t="s">
        <v>2628</v>
      </c>
      <c r="C10883" s="1">
        <v>9</v>
      </c>
      <c r="D10883" s="1" t="s">
        <v>19</v>
      </c>
      <c r="E10883" s="1" t="s">
        <v>6</v>
      </c>
      <c r="F10883" s="1" t="s">
        <v>5241</v>
      </c>
      <c r="G10883" s="14" t="s">
        <v>4803</v>
      </c>
      <c r="H10883" s="1" t="s">
        <v>5</v>
      </c>
      <c r="I10883" s="1" t="s">
        <v>5807</v>
      </c>
      <c r="J10883" s="17"/>
    </row>
    <row r="10884" spans="1:10">
      <c r="A10884" s="7" t="s">
        <v>16781</v>
      </c>
      <c r="B10884" s="2" t="s">
        <v>2628</v>
      </c>
      <c r="C10884" s="1">
        <v>9</v>
      </c>
      <c r="D10884" s="1" t="s">
        <v>19</v>
      </c>
      <c r="E10884" s="1" t="s">
        <v>6</v>
      </c>
      <c r="F10884" s="1" t="s">
        <v>5241</v>
      </c>
      <c r="G10884" s="14" t="s">
        <v>4803</v>
      </c>
      <c r="H10884" s="1" t="s">
        <v>5</v>
      </c>
      <c r="I10884" s="1" t="s">
        <v>5807</v>
      </c>
      <c r="J10884" s="17"/>
    </row>
    <row r="10885" spans="1:10">
      <c r="A10885" s="7" t="s">
        <v>16782</v>
      </c>
      <c r="B10885" s="2" t="s">
        <v>2628</v>
      </c>
      <c r="C10885" s="1">
        <v>9</v>
      </c>
      <c r="D10885" s="1" t="s">
        <v>19</v>
      </c>
      <c r="E10885" s="1" t="s">
        <v>6</v>
      </c>
      <c r="F10885" s="1" t="s">
        <v>5241</v>
      </c>
      <c r="G10885" s="14" t="s">
        <v>4803</v>
      </c>
      <c r="H10885" s="1" t="s">
        <v>5</v>
      </c>
      <c r="I10885" s="1" t="s">
        <v>5807</v>
      </c>
      <c r="J10885" s="17"/>
    </row>
    <row r="10886" spans="1:10">
      <c r="A10886" s="7" t="s">
        <v>16783</v>
      </c>
      <c r="B10886" s="2" t="s">
        <v>2628</v>
      </c>
      <c r="C10886" s="1">
        <v>9</v>
      </c>
      <c r="D10886" s="1" t="s">
        <v>19</v>
      </c>
      <c r="E10886" s="1" t="s">
        <v>6</v>
      </c>
      <c r="F10886" s="1" t="s">
        <v>5241</v>
      </c>
      <c r="G10886" s="14" t="s">
        <v>4803</v>
      </c>
      <c r="H10886" s="1" t="s">
        <v>5</v>
      </c>
      <c r="I10886" s="1" t="s">
        <v>5807</v>
      </c>
      <c r="J10886" s="17"/>
    </row>
    <row r="10887" spans="1:10">
      <c r="A10887" s="7" t="s">
        <v>16784</v>
      </c>
      <c r="B10887" s="2" t="s">
        <v>2628</v>
      </c>
      <c r="C10887" s="1">
        <v>9</v>
      </c>
      <c r="D10887" s="1" t="s">
        <v>19</v>
      </c>
      <c r="E10887" s="1" t="s">
        <v>6</v>
      </c>
      <c r="F10887" s="1" t="s">
        <v>5241</v>
      </c>
      <c r="G10887" s="14" t="s">
        <v>4803</v>
      </c>
      <c r="H10887" s="1" t="s">
        <v>5</v>
      </c>
      <c r="I10887" s="1" t="s">
        <v>5807</v>
      </c>
      <c r="J10887" s="17"/>
    </row>
    <row r="10888" spans="1:10">
      <c r="A10888" s="7" t="s">
        <v>16785</v>
      </c>
      <c r="B10888" s="2" t="s">
        <v>2628</v>
      </c>
      <c r="C10888" s="1">
        <v>9</v>
      </c>
      <c r="D10888" s="1" t="s">
        <v>19</v>
      </c>
      <c r="E10888" s="1" t="s">
        <v>6</v>
      </c>
      <c r="F10888" s="1" t="s">
        <v>5241</v>
      </c>
      <c r="G10888" s="14" t="s">
        <v>4803</v>
      </c>
      <c r="H10888" s="1" t="s">
        <v>5</v>
      </c>
      <c r="I10888" s="1" t="s">
        <v>5807</v>
      </c>
      <c r="J10888" s="17"/>
    </row>
    <row r="10889" spans="1:10">
      <c r="A10889" s="7" t="s">
        <v>16786</v>
      </c>
      <c r="B10889" s="2" t="s">
        <v>2628</v>
      </c>
      <c r="C10889" s="1">
        <v>9</v>
      </c>
      <c r="D10889" s="1" t="s">
        <v>19</v>
      </c>
      <c r="E10889" s="1" t="s">
        <v>6</v>
      </c>
      <c r="F10889" s="1" t="s">
        <v>5241</v>
      </c>
      <c r="G10889" s="14" t="s">
        <v>4803</v>
      </c>
      <c r="H10889" s="1" t="s">
        <v>5</v>
      </c>
      <c r="I10889" s="1" t="s">
        <v>5807</v>
      </c>
      <c r="J10889" s="17"/>
    </row>
    <row r="10890" spans="1:10">
      <c r="A10890" s="7" t="s">
        <v>16787</v>
      </c>
      <c r="B10890" s="2" t="s">
        <v>2628</v>
      </c>
      <c r="C10890" s="1">
        <v>9</v>
      </c>
      <c r="D10890" s="1" t="s">
        <v>19</v>
      </c>
      <c r="E10890" s="1" t="s">
        <v>6</v>
      </c>
      <c r="F10890" s="1" t="s">
        <v>5241</v>
      </c>
      <c r="G10890" s="14" t="s">
        <v>4803</v>
      </c>
      <c r="H10890" s="1" t="s">
        <v>5</v>
      </c>
      <c r="I10890" s="1" t="s">
        <v>5807</v>
      </c>
      <c r="J10890" s="17"/>
    </row>
    <row r="10891" spans="1:10">
      <c r="A10891" s="7" t="s">
        <v>16788</v>
      </c>
      <c r="B10891" s="2" t="s">
        <v>2628</v>
      </c>
      <c r="C10891" s="1">
        <v>9</v>
      </c>
      <c r="D10891" s="1" t="s">
        <v>19</v>
      </c>
      <c r="E10891" s="1" t="s">
        <v>6</v>
      </c>
      <c r="F10891" s="1" t="s">
        <v>5241</v>
      </c>
      <c r="G10891" s="14" t="s">
        <v>4803</v>
      </c>
      <c r="H10891" s="1" t="s">
        <v>5</v>
      </c>
      <c r="I10891" s="1" t="s">
        <v>5807</v>
      </c>
      <c r="J10891" s="17"/>
    </row>
    <row r="10892" spans="1:10">
      <c r="A10892" s="7" t="s">
        <v>16789</v>
      </c>
      <c r="B10892" s="2" t="s">
        <v>2628</v>
      </c>
      <c r="C10892" s="1">
        <v>9</v>
      </c>
      <c r="D10892" s="1" t="s">
        <v>19</v>
      </c>
      <c r="E10892" s="1" t="s">
        <v>6</v>
      </c>
      <c r="F10892" s="1" t="s">
        <v>5241</v>
      </c>
      <c r="G10892" s="14" t="s">
        <v>4803</v>
      </c>
      <c r="H10892" s="1" t="s">
        <v>5</v>
      </c>
      <c r="I10892" s="1" t="s">
        <v>5807</v>
      </c>
      <c r="J10892" s="17"/>
    </row>
    <row r="10893" spans="1:10">
      <c r="A10893" s="7" t="s">
        <v>16791</v>
      </c>
      <c r="B10893" s="2" t="s">
        <v>2628</v>
      </c>
      <c r="C10893" s="1">
        <v>9</v>
      </c>
      <c r="D10893" s="1" t="s">
        <v>19</v>
      </c>
      <c r="E10893" s="1" t="s">
        <v>6</v>
      </c>
      <c r="F10893" s="1" t="s">
        <v>5241</v>
      </c>
      <c r="G10893" s="14" t="s">
        <v>4803</v>
      </c>
      <c r="H10893" s="1" t="s">
        <v>5</v>
      </c>
      <c r="I10893" s="1" t="s">
        <v>5807</v>
      </c>
    </row>
    <row r="10894" spans="1:10">
      <c r="A10894" s="7" t="s">
        <v>16792</v>
      </c>
      <c r="B10894" s="2" t="s">
        <v>2628</v>
      </c>
      <c r="C10894" s="1">
        <v>9</v>
      </c>
      <c r="D10894" s="1" t="s">
        <v>19</v>
      </c>
      <c r="E10894" s="1" t="s">
        <v>6</v>
      </c>
      <c r="F10894" s="1" t="s">
        <v>5241</v>
      </c>
      <c r="G10894" s="14" t="s">
        <v>4803</v>
      </c>
      <c r="H10894" s="1" t="s">
        <v>5</v>
      </c>
      <c r="I10894" s="1" t="s">
        <v>5807</v>
      </c>
    </row>
    <row r="10895" spans="1:10">
      <c r="A10895" s="16" t="s">
        <v>16794</v>
      </c>
      <c r="B10895" s="1" t="s">
        <v>2631</v>
      </c>
      <c r="C10895" s="1">
        <v>9</v>
      </c>
      <c r="D10895" s="1" t="s">
        <v>19</v>
      </c>
      <c r="E10895" s="1" t="s">
        <v>6</v>
      </c>
      <c r="F10895" s="1" t="s">
        <v>118</v>
      </c>
      <c r="G10895" s="14" t="s">
        <v>4458</v>
      </c>
      <c r="H10895" s="1" t="s">
        <v>118</v>
      </c>
      <c r="I10895" s="1" t="s">
        <v>4792</v>
      </c>
    </row>
    <row r="10896" spans="1:10">
      <c r="A10896" s="7" t="s">
        <v>16795</v>
      </c>
      <c r="B10896" s="1" t="s">
        <v>2629</v>
      </c>
      <c r="C10896" s="1">
        <v>9</v>
      </c>
      <c r="D10896" s="1" t="s">
        <v>19</v>
      </c>
      <c r="E10896" s="1" t="s">
        <v>6</v>
      </c>
      <c r="F10896" s="1" t="s">
        <v>118</v>
      </c>
      <c r="G10896" s="1" t="s">
        <v>4458</v>
      </c>
      <c r="H10896" s="1" t="s">
        <v>118</v>
      </c>
      <c r="I10896" s="1" t="s">
        <v>4792</v>
      </c>
    </row>
    <row r="10897" spans="1:9">
      <c r="A10897" s="7" t="s">
        <v>16801</v>
      </c>
      <c r="B10897" s="2" t="s">
        <v>2628</v>
      </c>
      <c r="C10897" s="1">
        <v>9</v>
      </c>
      <c r="D10897" s="1" t="s">
        <v>19</v>
      </c>
      <c r="E10897" s="1" t="s">
        <v>6</v>
      </c>
      <c r="F10897" s="1" t="s">
        <v>5241</v>
      </c>
      <c r="G10897" s="14" t="s">
        <v>4803</v>
      </c>
      <c r="H10897" s="1" t="s">
        <v>5</v>
      </c>
      <c r="I10897" s="1" t="s">
        <v>5807</v>
      </c>
    </row>
    <row r="10898" spans="1:9">
      <c r="A10898" s="7" t="s">
        <v>16824</v>
      </c>
      <c r="B10898" s="2" t="s">
        <v>2628</v>
      </c>
      <c r="C10898" s="1">
        <v>9</v>
      </c>
      <c r="D10898" s="1" t="s">
        <v>19</v>
      </c>
      <c r="E10898" s="1" t="s">
        <v>6</v>
      </c>
      <c r="F10898" s="1" t="s">
        <v>5091</v>
      </c>
      <c r="G10898" s="14" t="s">
        <v>2400</v>
      </c>
      <c r="H10898" s="1" t="s">
        <v>43</v>
      </c>
      <c r="I10898" s="1" t="s">
        <v>5659</v>
      </c>
    </row>
    <row r="10899" spans="1:9">
      <c r="A10899" s="7" t="s">
        <v>16835</v>
      </c>
      <c r="B10899" s="2" t="s">
        <v>2628</v>
      </c>
      <c r="C10899" s="1">
        <v>2460</v>
      </c>
      <c r="D10899" s="1" t="s">
        <v>19</v>
      </c>
      <c r="E10899" s="1" t="s">
        <v>6</v>
      </c>
      <c r="F10899" s="1" t="s">
        <v>5241</v>
      </c>
      <c r="G10899" s="14" t="s">
        <v>4803</v>
      </c>
      <c r="H10899" s="1" t="s">
        <v>5</v>
      </c>
      <c r="I10899" s="1" t="s">
        <v>5807</v>
      </c>
    </row>
    <row r="10900" spans="1:9">
      <c r="A10900" s="7" t="s">
        <v>5851</v>
      </c>
      <c r="B10900" s="1" t="s">
        <v>2631</v>
      </c>
      <c r="C10900" s="1">
        <v>9</v>
      </c>
      <c r="D10900" s="1" t="s">
        <v>19</v>
      </c>
      <c r="E10900" s="1" t="s">
        <v>6</v>
      </c>
      <c r="F10900" s="1" t="s">
        <v>139</v>
      </c>
      <c r="G10900" s="1" t="s">
        <v>4800</v>
      </c>
      <c r="H10900" s="1" t="s">
        <v>27</v>
      </c>
      <c r="I10900" s="1" t="s">
        <v>5722</v>
      </c>
    </row>
    <row r="10901" spans="1:9">
      <c r="A10901" s="7" t="s">
        <v>5868</v>
      </c>
      <c r="B10901" s="1" t="s">
        <v>2631</v>
      </c>
      <c r="C10901" s="1">
        <v>9</v>
      </c>
      <c r="D10901" s="1" t="s">
        <v>19</v>
      </c>
      <c r="E10901" s="1" t="s">
        <v>6</v>
      </c>
      <c r="F10901" s="1" t="s">
        <v>5596</v>
      </c>
      <c r="G10901" s="1" t="s">
        <v>4800</v>
      </c>
      <c r="H10901" s="1" t="s">
        <v>27</v>
      </c>
      <c r="I10901" s="1" t="s">
        <v>5807</v>
      </c>
    </row>
    <row r="10902" spans="1:9">
      <c r="A10902" s="7" t="s">
        <v>6137</v>
      </c>
      <c r="B10902" s="1" t="s">
        <v>2631</v>
      </c>
      <c r="C10902" s="1">
        <v>9</v>
      </c>
      <c r="D10902" s="1" t="s">
        <v>19</v>
      </c>
      <c r="E10902" s="1" t="s">
        <v>6</v>
      </c>
      <c r="F10902" s="1" t="s">
        <v>5596</v>
      </c>
      <c r="G10902" s="1" t="s">
        <v>4800</v>
      </c>
      <c r="H10902" s="1" t="s">
        <v>27</v>
      </c>
      <c r="I10902" s="1" t="s">
        <v>6090</v>
      </c>
    </row>
    <row r="10903" spans="1:9">
      <c r="A10903" s="7" t="s">
        <v>16402</v>
      </c>
      <c r="B10903" s="1" t="s">
        <v>2628</v>
      </c>
      <c r="C10903" s="1">
        <v>1013</v>
      </c>
      <c r="D10903" s="1" t="s">
        <v>16403</v>
      </c>
      <c r="E10903" s="1" t="s">
        <v>6</v>
      </c>
      <c r="F10903" s="1" t="s">
        <v>5091</v>
      </c>
      <c r="G10903" s="1" t="s">
        <v>10705</v>
      </c>
      <c r="H10903" s="1" t="s">
        <v>44</v>
      </c>
      <c r="I10903" s="1" t="s">
        <v>5483</v>
      </c>
    </row>
    <row r="10904" spans="1:9">
      <c r="A10904" s="16" t="s">
        <v>12243</v>
      </c>
      <c r="B10904" s="1" t="s">
        <v>2628</v>
      </c>
      <c r="C10904" s="1">
        <v>1064</v>
      </c>
      <c r="D10904" s="1" t="s">
        <v>12244</v>
      </c>
      <c r="E10904" s="1" t="s">
        <v>6</v>
      </c>
      <c r="F10904" s="1" t="s">
        <v>5091</v>
      </c>
      <c r="G10904" s="14" t="s">
        <v>4458</v>
      </c>
      <c r="H10904" s="1" t="s">
        <v>118</v>
      </c>
      <c r="I10904" s="1" t="s">
        <v>4458</v>
      </c>
    </row>
    <row r="10905" spans="1:9">
      <c r="A10905" s="16" t="s">
        <v>15736</v>
      </c>
      <c r="B10905" s="1" t="s">
        <v>2628</v>
      </c>
      <c r="C10905" s="1">
        <v>1142</v>
      </c>
      <c r="D10905" s="1" t="s">
        <v>15737</v>
      </c>
      <c r="E10905" s="1" t="s">
        <v>338</v>
      </c>
      <c r="F10905" s="1" t="s">
        <v>5091</v>
      </c>
      <c r="G10905" s="14" t="s">
        <v>6145</v>
      </c>
      <c r="H10905" s="1" t="s">
        <v>43</v>
      </c>
      <c r="I10905" s="17">
        <v>42542</v>
      </c>
    </row>
    <row r="10906" spans="1:9">
      <c r="A10906" s="16" t="s">
        <v>11820</v>
      </c>
      <c r="B10906" s="1" t="s">
        <v>2628</v>
      </c>
      <c r="C10906" s="1">
        <v>1904</v>
      </c>
      <c r="D10906" s="1" t="s">
        <v>11821</v>
      </c>
      <c r="E10906" s="1" t="s">
        <v>10</v>
      </c>
      <c r="F10906" s="1" t="s">
        <v>5091</v>
      </c>
      <c r="G10906" s="14" t="s">
        <v>5853</v>
      </c>
      <c r="H10906" s="1" t="s">
        <v>27</v>
      </c>
      <c r="I10906" s="1" t="s">
        <v>4458</v>
      </c>
    </row>
    <row r="10907" spans="1:9">
      <c r="A10907" s="16" t="s">
        <v>5362</v>
      </c>
      <c r="B10907" s="1" t="s">
        <v>2628</v>
      </c>
      <c r="C10907" s="1">
        <v>560</v>
      </c>
      <c r="D10907" s="1" t="s">
        <v>431</v>
      </c>
      <c r="E10907" s="1" t="s">
        <v>6</v>
      </c>
      <c r="F10907" s="1" t="s">
        <v>2696</v>
      </c>
      <c r="G10907" s="14" t="s">
        <v>27</v>
      </c>
      <c r="H10907" s="1" t="s">
        <v>27</v>
      </c>
      <c r="I10907" s="17">
        <v>40179</v>
      </c>
    </row>
    <row r="10908" spans="1:9">
      <c r="A10908" s="7" t="s">
        <v>14434</v>
      </c>
      <c r="B10908" s="2" t="s">
        <v>2628</v>
      </c>
      <c r="C10908" s="1">
        <v>560</v>
      </c>
      <c r="D10908" s="1" t="s">
        <v>431</v>
      </c>
      <c r="E10908" s="1" t="s">
        <v>10</v>
      </c>
      <c r="F10908" s="2" t="s">
        <v>118</v>
      </c>
      <c r="G10908" s="14" t="s">
        <v>4800</v>
      </c>
      <c r="H10908" s="1" t="s">
        <v>27</v>
      </c>
      <c r="I10908" s="1" t="s">
        <v>5659</v>
      </c>
    </row>
    <row r="10909" spans="1:9">
      <c r="A10909" s="16" t="s">
        <v>8795</v>
      </c>
      <c r="B10909" s="1" t="s">
        <v>2628</v>
      </c>
      <c r="C10909" s="1">
        <v>648</v>
      </c>
      <c r="D10909" s="1" t="s">
        <v>8796</v>
      </c>
      <c r="E10909" s="1" t="s">
        <v>6</v>
      </c>
      <c r="F10909" s="1" t="s">
        <v>5091</v>
      </c>
      <c r="G10909" s="14" t="s">
        <v>8797</v>
      </c>
      <c r="H10909" s="1" t="s">
        <v>5</v>
      </c>
      <c r="I10909" s="1" t="s">
        <v>4458</v>
      </c>
    </row>
    <row r="10910" spans="1:9">
      <c r="A10910" s="16" t="s">
        <v>11284</v>
      </c>
      <c r="B10910" s="1" t="s">
        <v>2628</v>
      </c>
      <c r="C10910" s="1">
        <v>648</v>
      </c>
      <c r="D10910" s="1" t="s">
        <v>8796</v>
      </c>
      <c r="E10910" s="1" t="s">
        <v>6</v>
      </c>
      <c r="F10910" s="1" t="s">
        <v>5091</v>
      </c>
      <c r="G10910" s="14" t="s">
        <v>11279</v>
      </c>
      <c r="H10910" s="1" t="s">
        <v>5</v>
      </c>
      <c r="I10910" s="17">
        <v>40140</v>
      </c>
    </row>
    <row r="10911" spans="1:9">
      <c r="A10911" s="16" t="s">
        <v>5290</v>
      </c>
      <c r="B10911" s="1" t="s">
        <v>2631</v>
      </c>
      <c r="C10911" s="1" t="s">
        <v>118</v>
      </c>
      <c r="D10911" s="1" t="s">
        <v>118</v>
      </c>
      <c r="E10911" s="1" t="s">
        <v>4458</v>
      </c>
      <c r="F10911" s="1" t="s">
        <v>139</v>
      </c>
      <c r="G10911" s="14" t="s">
        <v>4458</v>
      </c>
      <c r="H10911" s="1" t="s">
        <v>118</v>
      </c>
      <c r="I10911" s="1" t="s">
        <v>4792</v>
      </c>
    </row>
    <row r="10912" spans="1:9">
      <c r="A10912" s="16" t="s">
        <v>5595</v>
      </c>
      <c r="B10912" s="1" t="s">
        <v>2631</v>
      </c>
      <c r="C10912" s="1" t="s">
        <v>118</v>
      </c>
      <c r="D10912" s="1" t="s">
        <v>118</v>
      </c>
      <c r="E10912" s="1" t="s">
        <v>4458</v>
      </c>
      <c r="F10912" s="1" t="s">
        <v>5596</v>
      </c>
      <c r="G10912" s="14" t="s">
        <v>4458</v>
      </c>
      <c r="H10912" s="1" t="s">
        <v>118</v>
      </c>
      <c r="I10912" s="17">
        <v>42005</v>
      </c>
    </row>
    <row r="10913" spans="1:10">
      <c r="A10913" s="7" t="s">
        <v>6946</v>
      </c>
      <c r="B10913" s="1" t="s">
        <v>2629</v>
      </c>
      <c r="C10913" s="1" t="s">
        <v>118</v>
      </c>
      <c r="D10913" s="1" t="s">
        <v>118</v>
      </c>
      <c r="E10913" s="1" t="s">
        <v>118</v>
      </c>
      <c r="F10913" s="1" t="s">
        <v>5241</v>
      </c>
      <c r="G10913" s="1" t="s">
        <v>4803</v>
      </c>
      <c r="H10913" s="1" t="s">
        <v>5</v>
      </c>
      <c r="I10913" s="1" t="s">
        <v>5659</v>
      </c>
      <c r="J10913" s="17"/>
    </row>
    <row r="10914" spans="1:10">
      <c r="A10914" s="7" t="s">
        <v>8034</v>
      </c>
      <c r="B10914" s="1" t="s">
        <v>2628</v>
      </c>
      <c r="C10914" s="1" t="s">
        <v>118</v>
      </c>
      <c r="D10914" s="1" t="s">
        <v>118</v>
      </c>
      <c r="E10914" s="2" t="s">
        <v>118</v>
      </c>
      <c r="F10914" s="2" t="s">
        <v>118</v>
      </c>
      <c r="G10914" s="2" t="s">
        <v>8035</v>
      </c>
      <c r="H10914" s="2" t="s">
        <v>5</v>
      </c>
      <c r="I10914" s="2" t="s">
        <v>6090</v>
      </c>
      <c r="J10914" s="1"/>
    </row>
    <row r="10915" spans="1:10">
      <c r="A10915" s="16" t="s">
        <v>8146</v>
      </c>
      <c r="B10915" s="1" t="s">
        <v>2628</v>
      </c>
      <c r="C10915" s="1" t="s">
        <v>118</v>
      </c>
      <c r="D10915" s="1" t="s">
        <v>118</v>
      </c>
      <c r="E10915" s="1" t="s">
        <v>4458</v>
      </c>
      <c r="F10915" s="1" t="s">
        <v>118</v>
      </c>
      <c r="G10915" s="14" t="s">
        <v>4458</v>
      </c>
      <c r="H10915" s="1" t="s">
        <v>118</v>
      </c>
      <c r="I10915" s="1" t="s">
        <v>4458</v>
      </c>
    </row>
    <row r="10916" spans="1:10">
      <c r="A10916" s="7" t="s">
        <v>8244</v>
      </c>
      <c r="B10916" s="1" t="s">
        <v>2628</v>
      </c>
      <c r="C10916" s="1" t="s">
        <v>118</v>
      </c>
      <c r="D10916" s="1" t="s">
        <v>118</v>
      </c>
      <c r="E10916" s="1" t="s">
        <v>4458</v>
      </c>
      <c r="F10916" s="1" t="s">
        <v>2701</v>
      </c>
      <c r="G10916" s="1" t="s">
        <v>8245</v>
      </c>
      <c r="H10916" s="1" t="s">
        <v>43</v>
      </c>
      <c r="I10916" s="1">
        <v>2016</v>
      </c>
    </row>
    <row r="10917" spans="1:10">
      <c r="A10917" s="7" t="s">
        <v>8292</v>
      </c>
      <c r="B10917" s="1" t="s">
        <v>2628</v>
      </c>
      <c r="C10917" s="1" t="s">
        <v>118</v>
      </c>
      <c r="D10917" s="1" t="s">
        <v>118</v>
      </c>
      <c r="E10917" s="1" t="s">
        <v>4458</v>
      </c>
      <c r="F10917" s="1" t="s">
        <v>2701</v>
      </c>
      <c r="G10917" s="1" t="s">
        <v>8293</v>
      </c>
      <c r="H10917" s="1" t="s">
        <v>43</v>
      </c>
      <c r="I10917" s="1" t="s">
        <v>5722</v>
      </c>
    </row>
    <row r="10918" spans="1:10">
      <c r="A10918" s="16" t="s">
        <v>8382</v>
      </c>
      <c r="B10918" s="1" t="s">
        <v>2628</v>
      </c>
      <c r="C10918" s="1" t="s">
        <v>118</v>
      </c>
      <c r="D10918" s="1" t="s">
        <v>118</v>
      </c>
      <c r="E10918" s="1" t="s">
        <v>4458</v>
      </c>
      <c r="F10918" s="1" t="s">
        <v>5091</v>
      </c>
      <c r="G10918" s="14" t="s">
        <v>7375</v>
      </c>
      <c r="H10918" s="1" t="s">
        <v>5</v>
      </c>
      <c r="I10918" s="17">
        <v>41641</v>
      </c>
    </row>
    <row r="10919" spans="1:10">
      <c r="A10919" s="16" t="s">
        <v>8968</v>
      </c>
      <c r="B10919" s="1" t="s">
        <v>2628</v>
      </c>
      <c r="C10919" s="1" t="s">
        <v>118</v>
      </c>
      <c r="D10919" s="1" t="s">
        <v>118</v>
      </c>
      <c r="E10919" s="1" t="s">
        <v>4458</v>
      </c>
      <c r="F10919" s="1" t="s">
        <v>5091</v>
      </c>
      <c r="G10919" s="14" t="s">
        <v>6236</v>
      </c>
      <c r="H10919" s="1" t="s">
        <v>43</v>
      </c>
      <c r="I10919" s="17">
        <v>42005</v>
      </c>
    </row>
    <row r="10920" spans="1:10">
      <c r="A10920" s="16" t="s">
        <v>9138</v>
      </c>
      <c r="B10920" s="1" t="s">
        <v>2628</v>
      </c>
      <c r="C10920" s="1" t="s">
        <v>118</v>
      </c>
      <c r="D10920" s="1" t="s">
        <v>118</v>
      </c>
      <c r="E10920" s="1" t="s">
        <v>4458</v>
      </c>
      <c r="F10920" s="1" t="s">
        <v>5091</v>
      </c>
      <c r="G10920" s="14" t="s">
        <v>6145</v>
      </c>
      <c r="H10920" s="1" t="s">
        <v>43</v>
      </c>
      <c r="I10920" s="17">
        <v>42111</v>
      </c>
    </row>
    <row r="10921" spans="1:10">
      <c r="A10921" s="16" t="s">
        <v>9886</v>
      </c>
      <c r="B10921" s="1" t="s">
        <v>2628</v>
      </c>
      <c r="C10921" s="1" t="s">
        <v>118</v>
      </c>
      <c r="D10921" s="1" t="s">
        <v>118</v>
      </c>
      <c r="E10921" s="1" t="s">
        <v>4458</v>
      </c>
      <c r="F10921" s="1" t="s">
        <v>5091</v>
      </c>
      <c r="G10921" s="14" t="s">
        <v>9565</v>
      </c>
      <c r="H10921" s="1" t="s">
        <v>5</v>
      </c>
      <c r="I10921" s="17">
        <v>39769</v>
      </c>
    </row>
    <row r="10922" spans="1:10">
      <c r="A10922" s="16" t="s">
        <v>11024</v>
      </c>
      <c r="B10922" s="1" t="s">
        <v>2628</v>
      </c>
      <c r="C10922" s="1" t="s">
        <v>118</v>
      </c>
      <c r="D10922" s="1" t="s">
        <v>118</v>
      </c>
      <c r="E10922" s="1" t="s">
        <v>4458</v>
      </c>
      <c r="F10922" s="1" t="s">
        <v>5091</v>
      </c>
      <c r="G10922" s="14" t="s">
        <v>2387</v>
      </c>
      <c r="H10922" s="1" t="s">
        <v>5</v>
      </c>
      <c r="I10922" s="17">
        <v>39966</v>
      </c>
    </row>
    <row r="10923" spans="1:10">
      <c r="A10923" s="19" t="s">
        <v>14694</v>
      </c>
      <c r="B10923" s="13" t="s">
        <v>16957</v>
      </c>
      <c r="C10923" s="5" t="s">
        <v>118</v>
      </c>
      <c r="D10923" s="5" t="s">
        <v>118</v>
      </c>
      <c r="E10923" s="13" t="s">
        <v>4458</v>
      </c>
      <c r="F10923" s="13" t="s">
        <v>5091</v>
      </c>
      <c r="G10923" s="13" t="s">
        <v>6145</v>
      </c>
      <c r="H10923" s="13" t="s">
        <v>43</v>
      </c>
      <c r="I10923" s="18">
        <v>38172</v>
      </c>
    </row>
    <row r="10924" spans="1:10">
      <c r="A10924" s="16" t="s">
        <v>14879</v>
      </c>
      <c r="B10924" s="1" t="s">
        <v>2628</v>
      </c>
      <c r="C10924" s="1" t="s">
        <v>118</v>
      </c>
      <c r="D10924" s="1" t="s">
        <v>118</v>
      </c>
      <c r="E10924" s="1" t="s">
        <v>4458</v>
      </c>
      <c r="F10924" s="1" t="s">
        <v>5241</v>
      </c>
      <c r="G10924" s="14" t="s">
        <v>4803</v>
      </c>
      <c r="H10924" s="1" t="s">
        <v>5</v>
      </c>
      <c r="I10924" s="17">
        <v>41699</v>
      </c>
    </row>
    <row r="10925" spans="1:10">
      <c r="A10925" s="16" t="s">
        <v>15646</v>
      </c>
      <c r="B10925" s="1" t="s">
        <v>2628</v>
      </c>
      <c r="C10925" s="1" t="s">
        <v>118</v>
      </c>
      <c r="D10925" s="1" t="s">
        <v>118</v>
      </c>
      <c r="E10925" s="1" t="s">
        <v>4458</v>
      </c>
      <c r="F10925" s="1" t="s">
        <v>5091</v>
      </c>
      <c r="G10925" s="14" t="s">
        <v>4458</v>
      </c>
      <c r="H10925" s="1" t="s">
        <v>118</v>
      </c>
      <c r="I10925" s="1" t="s">
        <v>4458</v>
      </c>
    </row>
    <row r="10926" spans="1:10">
      <c r="A10926" s="16" t="s">
        <v>15647</v>
      </c>
      <c r="B10926" s="1" t="s">
        <v>2628</v>
      </c>
      <c r="C10926" s="1" t="s">
        <v>118</v>
      </c>
      <c r="D10926" s="1" t="s">
        <v>118</v>
      </c>
      <c r="E10926" s="1" t="s">
        <v>4458</v>
      </c>
      <c r="F10926" s="1" t="s">
        <v>5091</v>
      </c>
      <c r="G10926" s="14" t="s">
        <v>4458</v>
      </c>
      <c r="H10926" s="1" t="s">
        <v>118</v>
      </c>
      <c r="I10926" s="1" t="s">
        <v>4458</v>
      </c>
    </row>
    <row r="10927" spans="1:10">
      <c r="A10927" s="16" t="s">
        <v>15649</v>
      </c>
      <c r="B10927" s="1" t="s">
        <v>2628</v>
      </c>
      <c r="C10927" s="1" t="s">
        <v>118</v>
      </c>
      <c r="D10927" s="1" t="s">
        <v>118</v>
      </c>
      <c r="E10927" s="1" t="s">
        <v>4458</v>
      </c>
      <c r="F10927" s="1" t="s">
        <v>5091</v>
      </c>
      <c r="G10927" s="14" t="s">
        <v>4458</v>
      </c>
      <c r="H10927" s="1" t="s">
        <v>118</v>
      </c>
      <c r="I10927" s="1" t="s">
        <v>4458</v>
      </c>
    </row>
    <row r="10928" spans="1:10">
      <c r="A10928" s="23" t="s">
        <v>15654</v>
      </c>
      <c r="B10928" s="1" t="s">
        <v>2628</v>
      </c>
      <c r="C10928" s="1" t="s">
        <v>118</v>
      </c>
      <c r="D10928" s="1" t="s">
        <v>118</v>
      </c>
      <c r="E10928" s="1" t="s">
        <v>4458</v>
      </c>
      <c r="F10928" s="1" t="s">
        <v>5091</v>
      </c>
      <c r="G10928" s="14" t="s">
        <v>4458</v>
      </c>
      <c r="H10928" s="1" t="s">
        <v>118</v>
      </c>
      <c r="I10928" s="1" t="s">
        <v>4458</v>
      </c>
    </row>
    <row r="10929" spans="1:9">
      <c r="A10929" s="7" t="s">
        <v>16369</v>
      </c>
      <c r="B10929" s="1" t="s">
        <v>2628</v>
      </c>
      <c r="C10929" s="1" t="s">
        <v>118</v>
      </c>
      <c r="D10929" s="1" t="s">
        <v>118</v>
      </c>
      <c r="E10929" s="1" t="s">
        <v>118</v>
      </c>
      <c r="F10929" s="1" t="s">
        <v>5091</v>
      </c>
      <c r="G10929" s="1" t="s">
        <v>10705</v>
      </c>
      <c r="H10929" s="1" t="s">
        <v>44</v>
      </c>
      <c r="I10929" s="1" t="s">
        <v>5848</v>
      </c>
    </row>
    <row r="10930" spans="1:9">
      <c r="A10930" s="7" t="s">
        <v>16397</v>
      </c>
      <c r="B10930" s="1" t="s">
        <v>2628</v>
      </c>
      <c r="C10930" s="1" t="s">
        <v>118</v>
      </c>
      <c r="D10930" s="1" t="s">
        <v>118</v>
      </c>
      <c r="E10930" s="1" t="s">
        <v>118</v>
      </c>
      <c r="F10930" s="1" t="s">
        <v>5091</v>
      </c>
      <c r="G10930" s="1" t="s">
        <v>10705</v>
      </c>
      <c r="H10930" s="1" t="s">
        <v>44</v>
      </c>
      <c r="I10930" s="1" t="s">
        <v>5848</v>
      </c>
    </row>
    <row r="10931" spans="1:9">
      <c r="A10931" s="7" t="s">
        <v>16605</v>
      </c>
      <c r="B10931" s="2" t="s">
        <v>2629</v>
      </c>
      <c r="C10931" s="1" t="s">
        <v>118</v>
      </c>
      <c r="D10931" s="1" t="s">
        <v>118</v>
      </c>
      <c r="E10931" s="1" t="s">
        <v>118</v>
      </c>
      <c r="F10931" s="1" t="s">
        <v>5241</v>
      </c>
      <c r="G10931" s="14" t="s">
        <v>4803</v>
      </c>
      <c r="H10931" s="1" t="s">
        <v>5</v>
      </c>
      <c r="I10931" s="1">
        <v>2019</v>
      </c>
    </row>
    <row r="10932" spans="1:9">
      <c r="F10932" s="2"/>
    </row>
    <row r="10933" spans="1:9">
      <c r="F10933" s="2"/>
    </row>
    <row r="10935" spans="1:9">
      <c r="A10935" s="7">
        <v>2071</v>
      </c>
      <c r="B10935" s="1" t="s">
        <v>2631</v>
      </c>
      <c r="C10935" s="24">
        <f>A10935/$A$10939*100</f>
        <v>18.908061718250707</v>
      </c>
    </row>
    <row r="10936" spans="1:9">
      <c r="A10936" s="7">
        <v>7938</v>
      </c>
      <c r="B10936" s="1" t="s">
        <v>2628</v>
      </c>
      <c r="C10936" s="24">
        <f t="shared" ref="C10936:C10938" si="0">A10936/$A$10939*100</f>
        <v>72.473294987674606</v>
      </c>
    </row>
    <row r="10937" spans="1:9">
      <c r="A10937" s="7">
        <v>736</v>
      </c>
      <c r="B10937" s="1" t="s">
        <v>2629</v>
      </c>
      <c r="C10937" s="24">
        <f t="shared" si="0"/>
        <v>6.7196201953802621</v>
      </c>
    </row>
    <row r="10938" spans="1:9">
      <c r="A10938" s="7">
        <v>208</v>
      </c>
      <c r="B10938" s="1" t="s">
        <v>2630</v>
      </c>
      <c r="C10938" s="24">
        <f t="shared" si="0"/>
        <v>1.8990230986944217</v>
      </c>
    </row>
    <row r="10939" spans="1:9">
      <c r="A10939" s="7">
        <f>SUM(A10935:A10938)</f>
        <v>10953</v>
      </c>
    </row>
  </sheetData>
  <autoFilter ref="A1:J10931" xr:uid="{4D6D8852-79E2-2F42-B119-7075D9D831E7}"/>
  <conditionalFormatting sqref="A1:A1048576">
    <cfRule type="duplicateValues" dxfId="7" priority="2"/>
  </conditionalFormatting>
  <conditionalFormatting sqref="A3016:A3117">
    <cfRule type="duplicateValues" dxfId="6" priority="5"/>
    <cfRule type="duplicateValues" dxfId="5" priority="6"/>
  </conditionalFormatting>
  <conditionalFormatting sqref="A3118:A3126">
    <cfRule type="duplicateValues" dxfId="4" priority="3"/>
    <cfRule type="duplicateValues" dxfId="3" priority="4"/>
  </conditionalFormatting>
  <conditionalFormatting sqref="J2">
    <cfRule type="uniqueValues" dxfId="2" priority="1"/>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99CD-E29D-EB45-B6D8-7BFB0D2D4D35}">
  <sheetPr>
    <tabColor rgb="FFFF0000"/>
  </sheetPr>
  <dimension ref="A1:Q41"/>
  <sheetViews>
    <sheetView zoomScale="111" workbookViewId="0">
      <selection sqref="A1:XFD1"/>
    </sheetView>
  </sheetViews>
  <sheetFormatPr defaultColWidth="11.5546875" defaultRowHeight="14.4"/>
  <cols>
    <col min="1" max="1" width="16.77734375" bestFit="1" customWidth="1"/>
    <col min="2" max="3" width="16.77734375" style="1" customWidth="1"/>
    <col min="4" max="4" width="37.109375" bestFit="1" customWidth="1"/>
    <col min="5" max="5" width="9" bestFit="1" customWidth="1"/>
    <col min="6" max="6" width="7.109375" bestFit="1" customWidth="1"/>
    <col min="7" max="7" width="10.44140625" bestFit="1" customWidth="1"/>
    <col min="8" max="8" width="59.6640625" bestFit="1" customWidth="1"/>
    <col min="9" max="9" width="12.77734375" bestFit="1" customWidth="1"/>
    <col min="10" max="10" width="17.6640625" bestFit="1" customWidth="1"/>
    <col min="11" max="11" width="8.109375" bestFit="1" customWidth="1"/>
    <col min="12" max="12" width="14.33203125" bestFit="1" customWidth="1"/>
    <col min="13" max="13" width="12.6640625" bestFit="1" customWidth="1"/>
    <col min="14" max="14" width="15.77734375" bestFit="1" customWidth="1"/>
    <col min="15" max="15" width="13" bestFit="1" customWidth="1"/>
    <col min="16" max="16" width="105.109375" bestFit="1" customWidth="1"/>
    <col min="17" max="17" width="13.77734375" bestFit="1" customWidth="1"/>
  </cols>
  <sheetData>
    <row r="1" spans="1:17" s="4" customFormat="1">
      <c r="A1" s="4" t="s">
        <v>16851</v>
      </c>
      <c r="B1" s="29" t="s">
        <v>16959</v>
      </c>
      <c r="C1" s="29"/>
      <c r="D1" s="4" t="s">
        <v>16852</v>
      </c>
      <c r="E1" s="4" t="s">
        <v>16853</v>
      </c>
      <c r="F1" s="4" t="s">
        <v>16854</v>
      </c>
      <c r="G1" s="4" t="s">
        <v>16855</v>
      </c>
      <c r="H1" s="4" t="s">
        <v>16856</v>
      </c>
      <c r="I1" s="4" t="s">
        <v>16857</v>
      </c>
      <c r="J1" s="4" t="s">
        <v>16858</v>
      </c>
      <c r="K1" s="4" t="s">
        <v>16859</v>
      </c>
      <c r="L1" s="4" t="s">
        <v>16860</v>
      </c>
      <c r="M1" s="4" t="s">
        <v>16861</v>
      </c>
      <c r="N1" s="4" t="s">
        <v>16862</v>
      </c>
      <c r="O1" s="4" t="s">
        <v>16863</v>
      </c>
      <c r="P1" s="4" t="s">
        <v>16864</v>
      </c>
      <c r="Q1" s="4" t="s">
        <v>16865</v>
      </c>
    </row>
    <row r="2" spans="1:17" ht="15.6">
      <c r="A2" s="30" t="s">
        <v>16919</v>
      </c>
      <c r="B2" s="28" t="s">
        <v>16920</v>
      </c>
      <c r="C2" s="28"/>
      <c r="D2" s="30" t="s">
        <v>16921</v>
      </c>
      <c r="E2" s="30">
        <v>4826</v>
      </c>
      <c r="F2" s="30">
        <v>5151</v>
      </c>
      <c r="G2" s="30" t="s">
        <v>2627</v>
      </c>
      <c r="H2" s="30" t="s">
        <v>16901</v>
      </c>
      <c r="I2" s="30" t="s">
        <v>16922</v>
      </c>
      <c r="J2" s="30" t="s">
        <v>16923</v>
      </c>
      <c r="K2" s="30" t="s">
        <v>16871</v>
      </c>
      <c r="L2" s="30">
        <v>86.24</v>
      </c>
      <c r="M2" s="30">
        <v>99.69</v>
      </c>
      <c r="N2" s="30" t="s">
        <v>16872</v>
      </c>
      <c r="O2" s="30"/>
      <c r="P2" s="30" t="s">
        <v>16902</v>
      </c>
      <c r="Q2" s="30"/>
    </row>
    <row r="3" spans="1:17" ht="15.6">
      <c r="A3" s="30" t="s">
        <v>16919</v>
      </c>
      <c r="B3" s="28" t="s">
        <v>16920</v>
      </c>
      <c r="C3" s="28"/>
      <c r="D3" s="30" t="s">
        <v>16924</v>
      </c>
      <c r="E3" s="30">
        <v>1882</v>
      </c>
      <c r="F3" s="30">
        <v>3287</v>
      </c>
      <c r="G3" s="30" t="s">
        <v>2627</v>
      </c>
      <c r="H3" s="30" t="s">
        <v>16868</v>
      </c>
      <c r="I3" s="30" t="s">
        <v>16869</v>
      </c>
      <c r="J3" s="30" t="s">
        <v>16870</v>
      </c>
      <c r="K3" s="30" t="s">
        <v>16871</v>
      </c>
      <c r="L3" s="30">
        <v>100</v>
      </c>
      <c r="M3" s="30">
        <v>99.86</v>
      </c>
      <c r="N3" s="30" t="s">
        <v>16872</v>
      </c>
      <c r="O3" s="30"/>
      <c r="P3" s="30" t="s">
        <v>16868</v>
      </c>
      <c r="Q3" s="30"/>
    </row>
    <row r="4" spans="1:17" ht="15.6">
      <c r="A4" s="30" t="s">
        <v>16930</v>
      </c>
      <c r="B4" s="28" t="s">
        <v>16920</v>
      </c>
      <c r="C4" s="28"/>
      <c r="D4" s="30" t="s">
        <v>16931</v>
      </c>
      <c r="E4" s="30">
        <v>2774</v>
      </c>
      <c r="F4" s="30">
        <v>4179</v>
      </c>
      <c r="G4" s="30" t="s">
        <v>2627</v>
      </c>
      <c r="H4" s="30" t="s">
        <v>16868</v>
      </c>
      <c r="I4" s="30" t="s">
        <v>16869</v>
      </c>
      <c r="J4" s="30" t="s">
        <v>16870</v>
      </c>
      <c r="K4" s="30" t="s">
        <v>16871</v>
      </c>
      <c r="L4" s="30">
        <v>100</v>
      </c>
      <c r="M4" s="30">
        <v>99.86</v>
      </c>
      <c r="N4" s="30" t="s">
        <v>16872</v>
      </c>
      <c r="O4" s="30"/>
      <c r="P4" s="30" t="s">
        <v>16868</v>
      </c>
      <c r="Q4" s="30"/>
    </row>
    <row r="5" spans="1:17" ht="15.6">
      <c r="A5" s="30" t="s">
        <v>16930</v>
      </c>
      <c r="B5" s="28" t="s">
        <v>16920</v>
      </c>
      <c r="C5" s="28"/>
      <c r="D5" s="30" t="s">
        <v>16932</v>
      </c>
      <c r="E5" s="30">
        <v>3526</v>
      </c>
      <c r="F5" s="30">
        <v>3912</v>
      </c>
      <c r="G5" s="30" t="s">
        <v>16879</v>
      </c>
      <c r="H5" s="30" t="s">
        <v>16883</v>
      </c>
      <c r="I5" s="30" t="s">
        <v>16884</v>
      </c>
      <c r="J5" s="30" t="s">
        <v>16870</v>
      </c>
      <c r="K5" s="30" t="s">
        <v>16871</v>
      </c>
      <c r="L5" s="30">
        <v>100</v>
      </c>
      <c r="M5" s="30">
        <v>100</v>
      </c>
      <c r="N5" s="30" t="s">
        <v>16872</v>
      </c>
      <c r="O5" s="30"/>
      <c r="P5" s="30" t="s">
        <v>16885</v>
      </c>
      <c r="Q5" s="30"/>
    </row>
    <row r="6" spans="1:17" ht="15.6">
      <c r="A6" s="30" t="s">
        <v>16936</v>
      </c>
      <c r="B6" s="28" t="s">
        <v>16920</v>
      </c>
      <c r="C6" s="28"/>
      <c r="D6" s="30" t="s">
        <v>16937</v>
      </c>
      <c r="E6" s="30">
        <v>1068</v>
      </c>
      <c r="F6" s="30">
        <v>1444</v>
      </c>
      <c r="G6" s="30" t="s">
        <v>2627</v>
      </c>
      <c r="H6" s="30" t="s">
        <v>16928</v>
      </c>
      <c r="I6" s="30" t="s">
        <v>16891</v>
      </c>
      <c r="J6" s="30" t="s">
        <v>16870</v>
      </c>
      <c r="K6" s="30" t="s">
        <v>16871</v>
      </c>
      <c r="L6" s="30">
        <v>100</v>
      </c>
      <c r="M6" s="30">
        <v>100</v>
      </c>
      <c r="N6" s="30" t="s">
        <v>16872</v>
      </c>
      <c r="O6" s="30"/>
      <c r="P6" s="30" t="s">
        <v>16929</v>
      </c>
      <c r="Q6" s="30"/>
    </row>
    <row r="7" spans="1:17" ht="15.6">
      <c r="A7" s="30" t="s">
        <v>16936</v>
      </c>
      <c r="B7" s="28" t="s">
        <v>16920</v>
      </c>
      <c r="C7" s="28"/>
      <c r="D7" s="30" t="s">
        <v>16938</v>
      </c>
      <c r="E7" s="30">
        <v>3515</v>
      </c>
      <c r="F7" s="30">
        <v>3901</v>
      </c>
      <c r="G7" s="30" t="s">
        <v>16879</v>
      </c>
      <c r="H7" s="30" t="s">
        <v>16883</v>
      </c>
      <c r="I7" s="30" t="s">
        <v>16884</v>
      </c>
      <c r="J7" s="30" t="s">
        <v>16870</v>
      </c>
      <c r="K7" s="30" t="s">
        <v>16871</v>
      </c>
      <c r="L7" s="30">
        <v>100</v>
      </c>
      <c r="M7" s="30">
        <v>100</v>
      </c>
      <c r="N7" s="30" t="s">
        <v>16872</v>
      </c>
      <c r="O7" s="30"/>
      <c r="P7" s="30" t="s">
        <v>16885</v>
      </c>
      <c r="Q7" s="30"/>
    </row>
    <row r="8" spans="1:17" s="32" customFormat="1">
      <c r="A8" s="32" t="s">
        <v>16866</v>
      </c>
      <c r="B8" s="33">
        <v>1</v>
      </c>
      <c r="C8" s="33" t="s">
        <v>17479</v>
      </c>
      <c r="D8" s="32" t="s">
        <v>16867</v>
      </c>
      <c r="E8" s="32">
        <v>3385</v>
      </c>
      <c r="F8" s="32">
        <v>4790</v>
      </c>
      <c r="G8" s="32" t="s">
        <v>2627</v>
      </c>
      <c r="H8" s="32" t="s">
        <v>16868</v>
      </c>
      <c r="I8" s="32" t="s">
        <v>16869</v>
      </c>
      <c r="J8" s="32" t="s">
        <v>16870</v>
      </c>
      <c r="K8" s="32" t="s">
        <v>16871</v>
      </c>
      <c r="L8" s="32">
        <v>100</v>
      </c>
      <c r="M8" s="32">
        <v>99.86</v>
      </c>
      <c r="N8" s="32" t="s">
        <v>16872</v>
      </c>
      <c r="P8" s="32" t="s">
        <v>16868</v>
      </c>
    </row>
    <row r="9" spans="1:17">
      <c r="A9" t="s">
        <v>16866</v>
      </c>
      <c r="D9" t="s">
        <v>16873</v>
      </c>
      <c r="E9">
        <v>38581</v>
      </c>
      <c r="F9">
        <v>38958</v>
      </c>
      <c r="G9" t="s">
        <v>2627</v>
      </c>
      <c r="H9" t="s">
        <v>16874</v>
      </c>
      <c r="I9" t="s">
        <v>16875</v>
      </c>
      <c r="J9" t="s">
        <v>16870</v>
      </c>
      <c r="K9" t="s">
        <v>16871</v>
      </c>
      <c r="L9">
        <v>100</v>
      </c>
      <c r="M9">
        <v>100</v>
      </c>
      <c r="N9" t="s">
        <v>16872</v>
      </c>
      <c r="P9" t="s">
        <v>16876</v>
      </c>
    </row>
    <row r="10" spans="1:17">
      <c r="A10" t="s">
        <v>16877</v>
      </c>
      <c r="B10" s="1">
        <v>3</v>
      </c>
      <c r="D10" t="s">
        <v>16878</v>
      </c>
      <c r="E10">
        <v>55060</v>
      </c>
      <c r="F10">
        <v>56465</v>
      </c>
      <c r="G10" t="s">
        <v>16879</v>
      </c>
      <c r="H10" t="s">
        <v>16868</v>
      </c>
      <c r="I10" t="s">
        <v>16869</v>
      </c>
      <c r="J10" t="s">
        <v>16870</v>
      </c>
      <c r="K10" t="s">
        <v>16871</v>
      </c>
      <c r="L10">
        <v>100</v>
      </c>
      <c r="M10">
        <v>99.86</v>
      </c>
      <c r="N10" t="s">
        <v>16872</v>
      </c>
      <c r="P10" t="s">
        <v>16868</v>
      </c>
    </row>
    <row r="11" spans="1:17" s="32" customFormat="1">
      <c r="A11" s="32" t="s">
        <v>16877</v>
      </c>
      <c r="B11" s="33"/>
      <c r="C11" s="33" t="s">
        <v>17479</v>
      </c>
      <c r="D11" s="32" t="s">
        <v>16880</v>
      </c>
      <c r="E11" s="32">
        <v>41077</v>
      </c>
      <c r="F11" s="32">
        <v>41454</v>
      </c>
      <c r="G11" s="32" t="s">
        <v>16879</v>
      </c>
      <c r="H11" s="32" t="s">
        <v>16874</v>
      </c>
      <c r="I11" s="32" t="s">
        <v>16875</v>
      </c>
      <c r="J11" s="32" t="s">
        <v>16870</v>
      </c>
      <c r="K11" s="32" t="s">
        <v>16871</v>
      </c>
      <c r="L11" s="32">
        <v>100</v>
      </c>
      <c r="M11" s="32">
        <v>100</v>
      </c>
      <c r="N11" s="32" t="s">
        <v>16872</v>
      </c>
      <c r="P11" s="32" t="s">
        <v>16876</v>
      </c>
    </row>
    <row r="12" spans="1:17" s="32" customFormat="1">
      <c r="A12" s="32" t="s">
        <v>16881</v>
      </c>
      <c r="B12" s="33">
        <v>155</v>
      </c>
      <c r="C12" s="33"/>
      <c r="D12" s="32" t="s">
        <v>16882</v>
      </c>
      <c r="E12" s="32">
        <v>2979</v>
      </c>
      <c r="F12" s="32">
        <v>3365</v>
      </c>
      <c r="G12" s="32" t="s">
        <v>16879</v>
      </c>
      <c r="H12" s="32" t="s">
        <v>16883</v>
      </c>
      <c r="I12" s="32" t="s">
        <v>16884</v>
      </c>
      <c r="J12" s="32" t="s">
        <v>16870</v>
      </c>
      <c r="K12" s="32" t="s">
        <v>16871</v>
      </c>
      <c r="L12" s="32">
        <v>100</v>
      </c>
      <c r="M12" s="32">
        <v>100</v>
      </c>
      <c r="N12" s="32" t="s">
        <v>16872</v>
      </c>
      <c r="P12" s="32" t="s">
        <v>16885</v>
      </c>
    </row>
    <row r="13" spans="1:17">
      <c r="A13" t="s">
        <v>16881</v>
      </c>
      <c r="D13" t="s">
        <v>16886</v>
      </c>
      <c r="E13">
        <v>12652</v>
      </c>
      <c r="F13">
        <v>14057</v>
      </c>
      <c r="G13" t="s">
        <v>16879</v>
      </c>
      <c r="H13" t="s">
        <v>16868</v>
      </c>
      <c r="I13" t="s">
        <v>16869</v>
      </c>
      <c r="J13" t="s">
        <v>16870</v>
      </c>
      <c r="K13" t="s">
        <v>16871</v>
      </c>
      <c r="L13">
        <v>100</v>
      </c>
      <c r="M13">
        <v>99.86</v>
      </c>
      <c r="N13" t="s">
        <v>16872</v>
      </c>
      <c r="P13" t="s">
        <v>16868</v>
      </c>
    </row>
    <row r="14" spans="1:17" s="32" customFormat="1" ht="15.6">
      <c r="A14" s="32" t="s">
        <v>16887</v>
      </c>
      <c r="B14" s="33">
        <v>2</v>
      </c>
      <c r="C14" s="33" t="s">
        <v>17479</v>
      </c>
      <c r="D14" s="32" t="s">
        <v>16888</v>
      </c>
      <c r="E14" s="32">
        <v>3282</v>
      </c>
      <c r="F14" s="32">
        <v>3668</v>
      </c>
      <c r="G14" s="32" t="s">
        <v>16879</v>
      </c>
      <c r="H14" s="34" t="s">
        <v>16883</v>
      </c>
      <c r="I14" s="32" t="s">
        <v>16884</v>
      </c>
      <c r="J14" s="32" t="s">
        <v>16870</v>
      </c>
      <c r="K14" s="32" t="s">
        <v>16871</v>
      </c>
      <c r="L14" s="32">
        <v>100</v>
      </c>
      <c r="M14" s="32">
        <v>100</v>
      </c>
      <c r="N14" s="32" t="s">
        <v>16872</v>
      </c>
      <c r="P14" s="32" t="s">
        <v>16885</v>
      </c>
    </row>
    <row r="15" spans="1:17" ht="15.6">
      <c r="A15" t="s">
        <v>16887</v>
      </c>
      <c r="D15" t="s">
        <v>16889</v>
      </c>
      <c r="E15">
        <v>163232</v>
      </c>
      <c r="F15">
        <v>163608</v>
      </c>
      <c r="G15" t="s">
        <v>16879</v>
      </c>
      <c r="H15" s="30" t="s">
        <v>16890</v>
      </c>
      <c r="I15" t="s">
        <v>16891</v>
      </c>
      <c r="J15" t="s">
        <v>16870</v>
      </c>
      <c r="K15" t="s">
        <v>16871</v>
      </c>
      <c r="L15">
        <v>100</v>
      </c>
      <c r="M15">
        <v>100</v>
      </c>
      <c r="N15" t="s">
        <v>16872</v>
      </c>
      <c r="P15" t="s">
        <v>16892</v>
      </c>
    </row>
    <row r="16" spans="1:17">
      <c r="A16" s="32" t="s">
        <v>16893</v>
      </c>
      <c r="B16"/>
      <c r="C16"/>
      <c r="D16" t="s">
        <v>16894</v>
      </c>
      <c r="E16">
        <v>84266</v>
      </c>
      <c r="F16">
        <v>84589</v>
      </c>
      <c r="G16" t="s">
        <v>16879</v>
      </c>
      <c r="H16" t="s">
        <v>16895</v>
      </c>
      <c r="I16" t="s">
        <v>16896</v>
      </c>
      <c r="J16" t="s">
        <v>16870</v>
      </c>
      <c r="K16" t="s">
        <v>16871</v>
      </c>
      <c r="L16">
        <v>100</v>
      </c>
      <c r="M16">
        <v>100</v>
      </c>
      <c r="N16" t="s">
        <v>16872</v>
      </c>
      <c r="P16" t="s">
        <v>16897</v>
      </c>
    </row>
    <row r="17" spans="1:17">
      <c r="A17" t="s">
        <v>16898</v>
      </c>
      <c r="B17" s="1">
        <v>5</v>
      </c>
      <c r="D17" t="s">
        <v>16899</v>
      </c>
      <c r="E17">
        <v>13893</v>
      </c>
      <c r="F17">
        <v>15298</v>
      </c>
      <c r="G17" t="s">
        <v>2627</v>
      </c>
      <c r="H17" t="s">
        <v>16868</v>
      </c>
      <c r="I17" t="s">
        <v>16869</v>
      </c>
      <c r="J17" t="s">
        <v>16870</v>
      </c>
      <c r="K17" t="s">
        <v>16871</v>
      </c>
      <c r="L17">
        <v>100</v>
      </c>
      <c r="M17">
        <v>99.93</v>
      </c>
      <c r="N17" t="s">
        <v>16872</v>
      </c>
      <c r="P17" t="s">
        <v>16868</v>
      </c>
    </row>
    <row r="18" spans="1:17" s="32" customFormat="1">
      <c r="A18" s="32" t="s">
        <v>16898</v>
      </c>
      <c r="B18" s="33"/>
      <c r="C18" s="33" t="s">
        <v>17479</v>
      </c>
      <c r="D18" s="32" t="s">
        <v>16900</v>
      </c>
      <c r="E18" s="32">
        <v>331</v>
      </c>
      <c r="F18" s="32">
        <v>708</v>
      </c>
      <c r="G18" s="32" t="s">
        <v>16879</v>
      </c>
      <c r="H18" s="32" t="s">
        <v>16901</v>
      </c>
      <c r="I18" s="32" t="s">
        <v>16875</v>
      </c>
      <c r="J18" s="32" t="s">
        <v>16870</v>
      </c>
      <c r="K18" s="32" t="s">
        <v>16871</v>
      </c>
      <c r="L18" s="32">
        <v>100</v>
      </c>
      <c r="M18" s="32">
        <v>99.74</v>
      </c>
      <c r="N18" s="32" t="s">
        <v>16872</v>
      </c>
      <c r="P18" s="32" t="s">
        <v>16902</v>
      </c>
    </row>
    <row r="19" spans="1:17" s="32" customFormat="1">
      <c r="A19" s="32" t="s">
        <v>16903</v>
      </c>
      <c r="B19" s="33">
        <v>9</v>
      </c>
      <c r="C19" s="33" t="s">
        <v>17479</v>
      </c>
      <c r="D19" s="32" t="s">
        <v>16904</v>
      </c>
      <c r="E19" s="32">
        <v>1093</v>
      </c>
      <c r="F19" s="32">
        <v>1469</v>
      </c>
      <c r="G19" s="32" t="s">
        <v>2627</v>
      </c>
      <c r="H19" s="32" t="s">
        <v>16890</v>
      </c>
      <c r="I19" s="32" t="s">
        <v>16891</v>
      </c>
      <c r="J19" s="32" t="s">
        <v>16870</v>
      </c>
      <c r="K19" s="32" t="s">
        <v>16871</v>
      </c>
      <c r="L19" s="32">
        <v>100</v>
      </c>
      <c r="M19" s="32">
        <v>100</v>
      </c>
      <c r="N19" s="32" t="s">
        <v>16872</v>
      </c>
      <c r="P19" s="32" t="s">
        <v>16892</v>
      </c>
    </row>
    <row r="20" spans="1:17" s="30" customFormat="1" ht="15.6">
      <c r="A20" t="s">
        <v>16903</v>
      </c>
      <c r="B20" s="1"/>
      <c r="C20" s="1"/>
      <c r="D20" t="s">
        <v>16905</v>
      </c>
      <c r="E20">
        <v>14563</v>
      </c>
      <c r="F20">
        <v>15968</v>
      </c>
      <c r="G20" t="s">
        <v>2627</v>
      </c>
      <c r="H20" t="s">
        <v>16868</v>
      </c>
      <c r="I20" t="s">
        <v>16869</v>
      </c>
      <c r="J20" t="s">
        <v>16870</v>
      </c>
      <c r="K20" t="s">
        <v>16871</v>
      </c>
      <c r="L20">
        <v>100</v>
      </c>
      <c r="M20">
        <v>99.93</v>
      </c>
      <c r="N20" t="s">
        <v>16872</v>
      </c>
      <c r="O20"/>
      <c r="P20" t="s">
        <v>16868</v>
      </c>
      <c r="Q20"/>
    </row>
    <row r="21" spans="1:17" s="30" customFormat="1" ht="15.6">
      <c r="A21" s="32" t="s">
        <v>16906</v>
      </c>
      <c r="B21"/>
      <c r="C21"/>
      <c r="D21" t="s">
        <v>16907</v>
      </c>
      <c r="E21">
        <v>319108</v>
      </c>
      <c r="F21">
        <v>319484</v>
      </c>
      <c r="G21" t="s">
        <v>2627</v>
      </c>
      <c r="H21" t="s">
        <v>16890</v>
      </c>
      <c r="I21" t="s">
        <v>16891</v>
      </c>
      <c r="J21" t="s">
        <v>16870</v>
      </c>
      <c r="K21" t="s">
        <v>16871</v>
      </c>
      <c r="L21">
        <v>100</v>
      </c>
      <c r="M21">
        <v>100</v>
      </c>
      <c r="N21" t="s">
        <v>16872</v>
      </c>
      <c r="O21"/>
      <c r="P21" t="s">
        <v>16892</v>
      </c>
      <c r="Q21"/>
    </row>
    <row r="22" spans="1:17" s="34" customFormat="1" ht="15.6">
      <c r="A22" s="32" t="s">
        <v>16908</v>
      </c>
      <c r="B22" s="33">
        <v>9</v>
      </c>
      <c r="C22" s="33" t="s">
        <v>17479</v>
      </c>
      <c r="D22" s="32" t="s">
        <v>16909</v>
      </c>
      <c r="E22" s="32">
        <v>3248</v>
      </c>
      <c r="F22" s="32">
        <v>4653</v>
      </c>
      <c r="G22" s="32" t="s">
        <v>16879</v>
      </c>
      <c r="H22" s="32" t="s">
        <v>16868</v>
      </c>
      <c r="I22" s="32" t="s">
        <v>16869</v>
      </c>
      <c r="J22" s="32" t="s">
        <v>16870</v>
      </c>
      <c r="K22" s="32" t="s">
        <v>16871</v>
      </c>
      <c r="L22" s="32">
        <v>100</v>
      </c>
      <c r="M22" s="32">
        <v>99.93</v>
      </c>
      <c r="N22" s="32" t="s">
        <v>16872</v>
      </c>
      <c r="O22" s="32"/>
      <c r="P22" s="32" t="s">
        <v>16868</v>
      </c>
      <c r="Q22" s="32"/>
    </row>
    <row r="23" spans="1:17" s="30" customFormat="1" ht="15.6">
      <c r="A23" t="s">
        <v>16908</v>
      </c>
      <c r="B23" s="1"/>
      <c r="C23" s="1"/>
      <c r="D23" t="s">
        <v>16910</v>
      </c>
      <c r="E23">
        <v>255655</v>
      </c>
      <c r="F23">
        <v>256031</v>
      </c>
      <c r="G23" t="s">
        <v>2627</v>
      </c>
      <c r="H23" t="s">
        <v>16890</v>
      </c>
      <c r="I23" t="s">
        <v>16891</v>
      </c>
      <c r="J23" t="s">
        <v>16870</v>
      </c>
      <c r="K23" t="s">
        <v>16871</v>
      </c>
      <c r="L23">
        <v>100</v>
      </c>
      <c r="M23">
        <v>100</v>
      </c>
      <c r="N23" t="s">
        <v>16872</v>
      </c>
      <c r="O23"/>
      <c r="P23" t="s">
        <v>16892</v>
      </c>
      <c r="Q23"/>
    </row>
    <row r="24" spans="1:17" s="37" customFormat="1" ht="15.6">
      <c r="A24" s="35" t="s">
        <v>16911</v>
      </c>
      <c r="B24" s="36">
        <v>2384</v>
      </c>
      <c r="C24" s="36" t="s">
        <v>17479</v>
      </c>
      <c r="D24" s="35" t="s">
        <v>16912</v>
      </c>
      <c r="E24" s="35">
        <v>386</v>
      </c>
      <c r="F24" s="35">
        <v>1791</v>
      </c>
      <c r="G24" s="35" t="s">
        <v>16879</v>
      </c>
      <c r="H24" s="35" t="s">
        <v>16868</v>
      </c>
      <c r="I24" s="35" t="s">
        <v>16869</v>
      </c>
      <c r="J24" s="35" t="s">
        <v>16870</v>
      </c>
      <c r="K24" s="35" t="s">
        <v>16871</v>
      </c>
      <c r="L24" s="35">
        <v>100</v>
      </c>
      <c r="M24" s="35">
        <v>99.93</v>
      </c>
      <c r="N24" s="35" t="s">
        <v>16872</v>
      </c>
      <c r="O24" s="35"/>
      <c r="P24" s="35" t="s">
        <v>16868</v>
      </c>
      <c r="Q24" s="35"/>
    </row>
    <row r="25" spans="1:17" s="3" customFormat="1" ht="15.6">
      <c r="A25" s="26" t="s">
        <v>16911</v>
      </c>
      <c r="B25" s="27"/>
      <c r="C25" s="27"/>
      <c r="D25" s="26" t="s">
        <v>16913</v>
      </c>
      <c r="E25" s="26">
        <v>241</v>
      </c>
      <c r="F25" s="26">
        <v>618</v>
      </c>
      <c r="G25" s="26" t="s">
        <v>16879</v>
      </c>
      <c r="H25" s="26" t="s">
        <v>16914</v>
      </c>
      <c r="I25" s="26" t="s">
        <v>16875</v>
      </c>
      <c r="J25" s="26" t="s">
        <v>16870</v>
      </c>
      <c r="K25" s="26" t="s">
        <v>16871</v>
      </c>
      <c r="L25" s="26">
        <v>100</v>
      </c>
      <c r="M25" s="26">
        <v>100</v>
      </c>
      <c r="N25" s="26" t="s">
        <v>16872</v>
      </c>
      <c r="O25" s="26"/>
      <c r="P25" s="26" t="s">
        <v>16915</v>
      </c>
      <c r="Q25" s="26"/>
    </row>
    <row r="26" spans="1:17" s="11" customFormat="1" ht="15.6">
      <c r="A26" s="11" t="s">
        <v>16916</v>
      </c>
      <c r="B26" s="13">
        <v>6</v>
      </c>
      <c r="C26" s="13"/>
      <c r="D26" s="11" t="s">
        <v>16917</v>
      </c>
      <c r="E26" s="11">
        <v>9978</v>
      </c>
      <c r="F26" s="11">
        <v>10355</v>
      </c>
      <c r="G26" s="11" t="s">
        <v>2627</v>
      </c>
      <c r="H26" s="11" t="s">
        <v>16874</v>
      </c>
      <c r="I26" s="11" t="s">
        <v>16875</v>
      </c>
      <c r="J26" s="11" t="s">
        <v>16870</v>
      </c>
      <c r="K26" s="11" t="s">
        <v>16871</v>
      </c>
      <c r="L26" s="11">
        <v>100</v>
      </c>
      <c r="M26" s="11">
        <v>100</v>
      </c>
      <c r="N26" s="11" t="s">
        <v>16872</v>
      </c>
      <c r="P26" s="11" t="s">
        <v>16876</v>
      </c>
    </row>
    <row r="27" spans="1:17" s="11" customFormat="1" ht="15.6">
      <c r="A27" s="11" t="s">
        <v>16916</v>
      </c>
      <c r="B27" s="13"/>
      <c r="C27" s="13"/>
      <c r="D27" s="11" t="s">
        <v>16918</v>
      </c>
      <c r="E27" s="11">
        <v>3024</v>
      </c>
      <c r="F27" s="11">
        <v>3410</v>
      </c>
      <c r="G27" s="11" t="s">
        <v>16879</v>
      </c>
      <c r="H27" s="11" t="s">
        <v>16883</v>
      </c>
      <c r="I27" s="11" t="s">
        <v>16884</v>
      </c>
      <c r="J27" s="11" t="s">
        <v>16870</v>
      </c>
      <c r="K27" s="11" t="s">
        <v>16871</v>
      </c>
      <c r="L27" s="11">
        <v>100</v>
      </c>
      <c r="M27" s="11">
        <v>100</v>
      </c>
      <c r="N27" s="11" t="s">
        <v>16872</v>
      </c>
      <c r="P27" s="11" t="s">
        <v>16885</v>
      </c>
    </row>
    <row r="28" spans="1:17" s="11" customFormat="1" ht="15.6">
      <c r="A28" s="11" t="s">
        <v>16925</v>
      </c>
      <c r="B28" s="13">
        <v>121</v>
      </c>
      <c r="C28" s="13"/>
      <c r="D28" s="11" t="s">
        <v>16926</v>
      </c>
      <c r="E28" s="11">
        <v>1854</v>
      </c>
      <c r="F28" s="11">
        <v>2240</v>
      </c>
      <c r="G28" s="11" t="s">
        <v>2627</v>
      </c>
      <c r="H28" s="11" t="s">
        <v>16883</v>
      </c>
      <c r="I28" s="11" t="s">
        <v>16884</v>
      </c>
      <c r="J28" s="11" t="s">
        <v>16870</v>
      </c>
      <c r="K28" s="11" t="s">
        <v>16871</v>
      </c>
      <c r="L28" s="11">
        <v>100</v>
      </c>
      <c r="M28" s="11">
        <v>100</v>
      </c>
      <c r="N28" s="11" t="s">
        <v>16872</v>
      </c>
      <c r="P28" s="11" t="s">
        <v>16885</v>
      </c>
    </row>
    <row r="29" spans="1:17" s="11" customFormat="1" ht="15.6">
      <c r="A29" s="11" t="s">
        <v>16925</v>
      </c>
      <c r="B29" s="13"/>
      <c r="C29" s="13"/>
      <c r="D29" s="11" t="s">
        <v>16927</v>
      </c>
      <c r="E29" s="11">
        <v>399770</v>
      </c>
      <c r="F29" s="11">
        <v>400146</v>
      </c>
      <c r="G29" s="11" t="s">
        <v>2627</v>
      </c>
      <c r="H29" s="11" t="s">
        <v>16928</v>
      </c>
      <c r="I29" s="11" t="s">
        <v>16891</v>
      </c>
      <c r="J29" s="11" t="s">
        <v>16870</v>
      </c>
      <c r="K29" s="11" t="s">
        <v>16871</v>
      </c>
      <c r="L29" s="11">
        <v>100</v>
      </c>
      <c r="M29" s="11">
        <v>100</v>
      </c>
      <c r="N29" s="11" t="s">
        <v>16872</v>
      </c>
      <c r="P29" s="11" t="s">
        <v>16929</v>
      </c>
    </row>
    <row r="30" spans="1:17" s="11" customFormat="1" ht="15.6">
      <c r="A30" s="11" t="s">
        <v>16933</v>
      </c>
      <c r="B30" s="13">
        <v>121</v>
      </c>
      <c r="C30" s="13"/>
      <c r="D30" s="11" t="s">
        <v>16934</v>
      </c>
      <c r="E30" s="11">
        <v>2107</v>
      </c>
      <c r="F30" s="11">
        <v>2493</v>
      </c>
      <c r="G30" s="11" t="s">
        <v>16879</v>
      </c>
      <c r="H30" s="11" t="s">
        <v>16883</v>
      </c>
      <c r="I30" s="11" t="s">
        <v>16884</v>
      </c>
      <c r="J30" s="11" t="s">
        <v>16870</v>
      </c>
      <c r="K30" s="11" t="s">
        <v>16871</v>
      </c>
      <c r="L30" s="11">
        <v>100</v>
      </c>
      <c r="M30" s="11">
        <v>100</v>
      </c>
      <c r="N30" s="11" t="s">
        <v>16872</v>
      </c>
      <c r="P30" s="11" t="s">
        <v>16885</v>
      </c>
    </row>
    <row r="31" spans="1:17" s="11" customFormat="1" ht="15.6">
      <c r="A31" s="11" t="s">
        <v>16933</v>
      </c>
      <c r="B31" s="13"/>
      <c r="C31" s="13"/>
      <c r="D31" s="11" t="s">
        <v>16935</v>
      </c>
      <c r="E31" s="11">
        <v>16378</v>
      </c>
      <c r="F31" s="11">
        <v>16754</v>
      </c>
      <c r="G31" s="11" t="s">
        <v>16879</v>
      </c>
      <c r="H31" s="11" t="s">
        <v>16928</v>
      </c>
      <c r="I31" s="11" t="s">
        <v>16891</v>
      </c>
      <c r="J31" s="11" t="s">
        <v>16870</v>
      </c>
      <c r="K31" s="11" t="s">
        <v>16871</v>
      </c>
      <c r="L31" s="11">
        <v>100</v>
      </c>
      <c r="M31" s="11">
        <v>100</v>
      </c>
      <c r="N31" s="11" t="s">
        <v>16872</v>
      </c>
      <c r="P31" s="11" t="s">
        <v>16929</v>
      </c>
    </row>
    <row r="32" spans="1:17" s="11" customFormat="1" ht="15.6">
      <c r="A32" s="11" t="s">
        <v>16939</v>
      </c>
      <c r="B32" s="13">
        <v>2</v>
      </c>
      <c r="C32" s="13"/>
      <c r="D32" s="11" t="s">
        <v>16940</v>
      </c>
      <c r="E32" s="11">
        <v>18269</v>
      </c>
      <c r="F32" s="11">
        <v>19674</v>
      </c>
      <c r="G32" s="11" t="s">
        <v>16879</v>
      </c>
      <c r="H32" s="31" t="s">
        <v>16868</v>
      </c>
      <c r="I32" s="11" t="s">
        <v>16869</v>
      </c>
      <c r="J32" s="11" t="s">
        <v>16870</v>
      </c>
      <c r="K32" s="11" t="s">
        <v>16871</v>
      </c>
      <c r="L32" s="11">
        <v>100</v>
      </c>
      <c r="M32" s="11">
        <v>99.43</v>
      </c>
      <c r="N32" s="11" t="s">
        <v>16872</v>
      </c>
      <c r="P32" s="11" t="s">
        <v>16868</v>
      </c>
    </row>
    <row r="33" spans="1:16" s="11" customFormat="1" ht="15.6">
      <c r="A33" s="11" t="s">
        <v>16939</v>
      </c>
      <c r="B33" s="13"/>
      <c r="C33" s="13"/>
      <c r="D33" s="11" t="s">
        <v>16941</v>
      </c>
      <c r="E33" s="11">
        <v>269709</v>
      </c>
      <c r="F33" s="11">
        <v>270086</v>
      </c>
      <c r="G33" s="11" t="s">
        <v>16879</v>
      </c>
      <c r="H33" s="31" t="s">
        <v>16874</v>
      </c>
      <c r="I33" s="11" t="s">
        <v>16875</v>
      </c>
      <c r="J33" s="11" t="s">
        <v>16870</v>
      </c>
      <c r="K33" s="11" t="s">
        <v>16871</v>
      </c>
      <c r="L33" s="11">
        <v>100</v>
      </c>
      <c r="M33" s="11">
        <v>100</v>
      </c>
      <c r="N33" s="11" t="s">
        <v>16872</v>
      </c>
      <c r="P33" s="11" t="s">
        <v>16876</v>
      </c>
    </row>
    <row r="34" spans="1:16">
      <c r="A34" s="32" t="s">
        <v>16942</v>
      </c>
      <c r="B34"/>
      <c r="C34"/>
      <c r="D34" t="s">
        <v>16943</v>
      </c>
      <c r="E34">
        <v>23482</v>
      </c>
      <c r="F34">
        <v>24887</v>
      </c>
      <c r="G34" t="s">
        <v>16879</v>
      </c>
      <c r="H34" t="s">
        <v>16868</v>
      </c>
      <c r="I34" t="s">
        <v>16869</v>
      </c>
      <c r="J34" t="s">
        <v>16870</v>
      </c>
      <c r="K34" t="s">
        <v>16871</v>
      </c>
      <c r="L34">
        <v>100</v>
      </c>
      <c r="M34">
        <v>99.86</v>
      </c>
      <c r="N34" t="s">
        <v>16872</v>
      </c>
      <c r="P34" t="s">
        <v>16868</v>
      </c>
    </row>
    <row r="35" spans="1:16">
      <c r="A35" s="32" t="s">
        <v>16944</v>
      </c>
      <c r="B35"/>
      <c r="C35"/>
      <c r="D35" t="s">
        <v>16945</v>
      </c>
      <c r="E35">
        <v>13904</v>
      </c>
      <c r="F35">
        <v>15309</v>
      </c>
      <c r="G35" t="s">
        <v>2627</v>
      </c>
      <c r="H35" t="s">
        <v>16868</v>
      </c>
      <c r="I35" t="s">
        <v>16869</v>
      </c>
      <c r="J35" t="s">
        <v>16870</v>
      </c>
      <c r="K35" t="s">
        <v>16871</v>
      </c>
      <c r="L35">
        <v>100</v>
      </c>
      <c r="M35">
        <v>99.93</v>
      </c>
      <c r="N35" t="s">
        <v>16872</v>
      </c>
      <c r="P35" t="s">
        <v>16868</v>
      </c>
    </row>
    <row r="36" spans="1:16">
      <c r="A36" s="32" t="s">
        <v>16946</v>
      </c>
      <c r="B36"/>
      <c r="C36"/>
      <c r="D36" t="s">
        <v>16947</v>
      </c>
      <c r="E36">
        <v>4913</v>
      </c>
      <c r="F36">
        <v>6318</v>
      </c>
      <c r="G36" t="s">
        <v>16879</v>
      </c>
      <c r="H36" t="s">
        <v>16868</v>
      </c>
      <c r="I36" t="s">
        <v>16869</v>
      </c>
      <c r="J36" t="s">
        <v>16870</v>
      </c>
      <c r="K36" t="s">
        <v>16871</v>
      </c>
      <c r="L36">
        <v>100</v>
      </c>
      <c r="M36">
        <v>99.86</v>
      </c>
      <c r="N36" t="s">
        <v>16872</v>
      </c>
      <c r="P36" t="s">
        <v>16868</v>
      </c>
    </row>
    <row r="37" spans="1:16">
      <c r="A37" s="32" t="s">
        <v>16948</v>
      </c>
      <c r="B37"/>
      <c r="C37"/>
      <c r="D37" t="s">
        <v>16949</v>
      </c>
      <c r="E37">
        <v>5729</v>
      </c>
      <c r="F37">
        <v>7134</v>
      </c>
      <c r="G37" t="s">
        <v>16879</v>
      </c>
      <c r="H37" t="s">
        <v>16868</v>
      </c>
      <c r="I37" t="s">
        <v>16869</v>
      </c>
      <c r="J37" t="s">
        <v>16870</v>
      </c>
      <c r="K37" t="s">
        <v>16871</v>
      </c>
      <c r="L37">
        <v>100</v>
      </c>
      <c r="M37">
        <v>99.93</v>
      </c>
      <c r="N37" t="s">
        <v>16872</v>
      </c>
      <c r="P37" t="s">
        <v>16868</v>
      </c>
    </row>
    <row r="38" spans="1:16">
      <c r="A38" s="32" t="s">
        <v>16950</v>
      </c>
      <c r="B38"/>
      <c r="C38"/>
      <c r="D38" t="s">
        <v>16951</v>
      </c>
      <c r="E38">
        <v>3468</v>
      </c>
      <c r="F38">
        <v>4873</v>
      </c>
      <c r="G38" t="s">
        <v>2627</v>
      </c>
      <c r="H38" t="s">
        <v>16868</v>
      </c>
      <c r="I38" t="s">
        <v>16869</v>
      </c>
      <c r="J38" t="s">
        <v>16870</v>
      </c>
      <c r="K38" t="s">
        <v>16871</v>
      </c>
      <c r="L38">
        <v>100</v>
      </c>
      <c r="M38">
        <v>99.86</v>
      </c>
      <c r="N38" t="s">
        <v>16872</v>
      </c>
      <c r="P38" t="s">
        <v>16868</v>
      </c>
    </row>
    <row r="41" spans="1:16" ht="15.6">
      <c r="A41" s="11" t="s">
        <v>17480</v>
      </c>
    </row>
  </sheetData>
  <autoFilter ref="A1:Q38" xr:uid="{AD1299CD-E29D-EB45-B6D8-7BFB0D2D4D3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65FBA-78CD-EF48-807B-FDC619931B10}">
  <sheetPr>
    <tabColor rgb="FFFF0000"/>
  </sheetPr>
  <dimension ref="A1:F1672"/>
  <sheetViews>
    <sheetView workbookViewId="0"/>
  </sheetViews>
  <sheetFormatPr defaultColWidth="10.77734375" defaultRowHeight="15.6"/>
  <cols>
    <col min="1" max="1" width="68" style="3" bestFit="1" customWidth="1"/>
    <col min="2" max="2" width="20.44140625" style="2" bestFit="1" customWidth="1"/>
    <col min="3" max="3" width="17.6640625" style="2" bestFit="1" customWidth="1"/>
    <col min="4" max="4" width="17.6640625" style="2" customWidth="1"/>
    <col min="5" max="5" width="13.109375" style="2" customWidth="1"/>
    <col min="6" max="6" width="11.6640625" style="2" customWidth="1"/>
    <col min="7" max="16384" width="10.77734375" style="3"/>
  </cols>
  <sheetData>
    <row r="1" spans="1:6" s="9" customFormat="1">
      <c r="A1" s="9" t="s">
        <v>17490</v>
      </c>
      <c r="B1" s="10" t="s">
        <v>4776</v>
      </c>
      <c r="C1" s="10" t="s">
        <v>4773</v>
      </c>
      <c r="D1" s="10" t="s">
        <v>4772</v>
      </c>
      <c r="E1" s="10" t="s">
        <v>4775</v>
      </c>
      <c r="F1" s="10" t="s">
        <v>4774</v>
      </c>
    </row>
    <row r="2" spans="1:6">
      <c r="A2" s="3" t="s">
        <v>2781</v>
      </c>
      <c r="B2" s="2">
        <v>23</v>
      </c>
      <c r="C2" s="2">
        <v>798919</v>
      </c>
      <c r="D2" s="2">
        <v>3149713</v>
      </c>
      <c r="E2" s="2">
        <v>37.659999999999997</v>
      </c>
      <c r="F2" s="2">
        <v>357399</v>
      </c>
    </row>
    <row r="3" spans="1:6">
      <c r="A3" s="3" t="s">
        <v>2782</v>
      </c>
      <c r="B3" s="2">
        <v>20</v>
      </c>
      <c r="C3" s="2">
        <v>579893</v>
      </c>
      <c r="D3" s="2">
        <v>3163396</v>
      </c>
      <c r="E3" s="2">
        <v>37.68</v>
      </c>
      <c r="F3" s="2">
        <v>435518</v>
      </c>
    </row>
    <row r="4" spans="1:6">
      <c r="A4" s="3" t="s">
        <v>2783</v>
      </c>
      <c r="B4" s="2">
        <v>41</v>
      </c>
      <c r="C4" s="2">
        <v>783932</v>
      </c>
      <c r="D4" s="2">
        <v>3137599</v>
      </c>
      <c r="E4" s="2">
        <v>37.69</v>
      </c>
      <c r="F4" s="2">
        <v>442904</v>
      </c>
    </row>
    <row r="5" spans="1:6">
      <c r="A5" s="3" t="s">
        <v>2784</v>
      </c>
      <c r="B5" s="2">
        <v>47</v>
      </c>
      <c r="C5" s="2">
        <v>501984</v>
      </c>
      <c r="D5" s="2">
        <v>3062755</v>
      </c>
      <c r="E5" s="2">
        <v>37.700000000000003</v>
      </c>
      <c r="F5" s="2">
        <v>237939</v>
      </c>
    </row>
    <row r="6" spans="1:6">
      <c r="A6" s="3" t="s">
        <v>2785</v>
      </c>
      <c r="B6" s="2">
        <v>41</v>
      </c>
      <c r="C6" s="2">
        <v>453260</v>
      </c>
      <c r="D6" s="2">
        <v>3046641</v>
      </c>
      <c r="E6" s="2">
        <v>37.71</v>
      </c>
      <c r="F6" s="2">
        <v>213310</v>
      </c>
    </row>
    <row r="7" spans="1:6">
      <c r="A7" s="3" t="s">
        <v>2786</v>
      </c>
      <c r="B7" s="2">
        <v>44</v>
      </c>
      <c r="C7" s="2">
        <v>413770</v>
      </c>
      <c r="D7" s="2">
        <v>3046715</v>
      </c>
      <c r="E7" s="2">
        <v>37.71</v>
      </c>
      <c r="F7" s="2">
        <v>212631</v>
      </c>
    </row>
    <row r="8" spans="1:6">
      <c r="A8" s="3" t="s">
        <v>2787</v>
      </c>
      <c r="B8" s="2">
        <v>45</v>
      </c>
      <c r="C8" s="2">
        <v>429205</v>
      </c>
      <c r="D8" s="2">
        <v>3046743</v>
      </c>
      <c r="E8" s="2">
        <v>37.71</v>
      </c>
      <c r="F8" s="2">
        <v>235913</v>
      </c>
    </row>
    <row r="9" spans="1:6">
      <c r="A9" s="3" t="s">
        <v>2788</v>
      </c>
      <c r="B9" s="2">
        <v>47</v>
      </c>
      <c r="C9" s="2">
        <v>435629</v>
      </c>
      <c r="D9" s="2">
        <v>3047142</v>
      </c>
      <c r="E9" s="2">
        <v>37.71</v>
      </c>
      <c r="F9" s="2">
        <v>180122</v>
      </c>
    </row>
    <row r="10" spans="1:6">
      <c r="A10" s="3" t="s">
        <v>2789</v>
      </c>
      <c r="B10" s="2">
        <v>36</v>
      </c>
      <c r="C10" s="2">
        <v>664298</v>
      </c>
      <c r="D10" s="2">
        <v>3048473</v>
      </c>
      <c r="E10" s="2">
        <v>37.71</v>
      </c>
      <c r="F10" s="2">
        <v>408107</v>
      </c>
    </row>
    <row r="11" spans="1:6">
      <c r="A11" s="3" t="s">
        <v>2790</v>
      </c>
      <c r="B11" s="2">
        <v>21</v>
      </c>
      <c r="C11" s="2">
        <v>702820</v>
      </c>
      <c r="D11" s="2">
        <v>3097222</v>
      </c>
      <c r="E11" s="2">
        <v>37.71</v>
      </c>
      <c r="F11" s="2">
        <v>438991</v>
      </c>
    </row>
    <row r="12" spans="1:6">
      <c r="A12" s="3" t="s">
        <v>2791</v>
      </c>
      <c r="B12" s="2">
        <v>19</v>
      </c>
      <c r="C12" s="2">
        <v>622589</v>
      </c>
      <c r="D12" s="2">
        <v>3012894</v>
      </c>
      <c r="E12" s="2">
        <v>37.72</v>
      </c>
      <c r="F12" s="2">
        <v>295050</v>
      </c>
    </row>
    <row r="13" spans="1:6">
      <c r="A13" s="3" t="s">
        <v>2792</v>
      </c>
      <c r="B13" s="2">
        <v>27</v>
      </c>
      <c r="C13" s="2">
        <v>586612</v>
      </c>
      <c r="D13" s="2">
        <v>3103977</v>
      </c>
      <c r="E13" s="2">
        <v>37.72</v>
      </c>
      <c r="F13" s="2">
        <v>321439</v>
      </c>
    </row>
    <row r="14" spans="1:6">
      <c r="A14" s="3" t="s">
        <v>2793</v>
      </c>
      <c r="B14" s="2">
        <v>49</v>
      </c>
      <c r="C14" s="2">
        <v>443280</v>
      </c>
      <c r="D14" s="2">
        <v>3104907</v>
      </c>
      <c r="E14" s="2">
        <v>37.72</v>
      </c>
      <c r="F14" s="2">
        <v>193743</v>
      </c>
    </row>
    <row r="15" spans="1:6">
      <c r="A15" s="3" t="s">
        <v>2794</v>
      </c>
      <c r="B15" s="2">
        <v>26</v>
      </c>
      <c r="C15" s="2">
        <v>357404</v>
      </c>
      <c r="D15" s="2">
        <v>3011491</v>
      </c>
      <c r="E15" s="2">
        <v>37.729999999999997</v>
      </c>
      <c r="F15" s="2">
        <v>191687</v>
      </c>
    </row>
    <row r="16" spans="1:6">
      <c r="A16" s="3" t="s">
        <v>2795</v>
      </c>
      <c r="B16" s="2">
        <v>16</v>
      </c>
      <c r="C16" s="2">
        <v>1243813</v>
      </c>
      <c r="D16" s="2">
        <v>3011814</v>
      </c>
      <c r="E16" s="2">
        <v>37.729999999999997</v>
      </c>
      <c r="F16" s="2">
        <v>357404</v>
      </c>
    </row>
    <row r="17" spans="1:6">
      <c r="A17" s="3" t="s">
        <v>2796</v>
      </c>
      <c r="B17" s="2">
        <v>20</v>
      </c>
      <c r="C17" s="2">
        <v>643671</v>
      </c>
      <c r="D17" s="2">
        <v>3015741</v>
      </c>
      <c r="E17" s="2">
        <v>37.729999999999997</v>
      </c>
      <c r="F17" s="2">
        <v>475815</v>
      </c>
    </row>
    <row r="18" spans="1:6">
      <c r="A18" s="3" t="s">
        <v>2797</v>
      </c>
      <c r="B18" s="2">
        <v>19</v>
      </c>
      <c r="C18" s="2">
        <v>650469</v>
      </c>
      <c r="D18" s="2">
        <v>3105418</v>
      </c>
      <c r="E18" s="2">
        <v>37.729999999999997</v>
      </c>
      <c r="F18" s="2">
        <v>478120</v>
      </c>
    </row>
    <row r="19" spans="1:6">
      <c r="A19" s="3" t="s">
        <v>2798</v>
      </c>
      <c r="B19" s="2">
        <v>18</v>
      </c>
      <c r="C19" s="2">
        <v>622451</v>
      </c>
      <c r="D19" s="2">
        <v>2998426</v>
      </c>
      <c r="E19" s="2">
        <v>37.74</v>
      </c>
      <c r="F19" s="2">
        <v>295052</v>
      </c>
    </row>
    <row r="20" spans="1:6">
      <c r="A20" s="3" t="s">
        <v>2799</v>
      </c>
      <c r="B20" s="2">
        <v>28</v>
      </c>
      <c r="C20" s="2">
        <v>573163</v>
      </c>
      <c r="D20" s="2">
        <v>3016006</v>
      </c>
      <c r="E20" s="2">
        <v>37.74</v>
      </c>
      <c r="F20" s="2">
        <v>283485</v>
      </c>
    </row>
    <row r="21" spans="1:6">
      <c r="A21" s="3" t="s">
        <v>2800</v>
      </c>
      <c r="B21" s="2">
        <v>24</v>
      </c>
      <c r="C21" s="2">
        <v>785536</v>
      </c>
      <c r="D21" s="2">
        <v>3019680</v>
      </c>
      <c r="E21" s="2">
        <v>37.74</v>
      </c>
      <c r="F21" s="2">
        <v>475937</v>
      </c>
    </row>
    <row r="22" spans="1:6">
      <c r="A22" s="3" t="s">
        <v>2801</v>
      </c>
      <c r="B22" s="2">
        <v>64</v>
      </c>
      <c r="C22" s="2">
        <v>650480</v>
      </c>
      <c r="D22" s="2">
        <v>3074431</v>
      </c>
      <c r="E22" s="2">
        <v>37.74</v>
      </c>
      <c r="F22" s="2">
        <v>478121</v>
      </c>
    </row>
    <row r="23" spans="1:6">
      <c r="A23" s="3" t="s">
        <v>2802</v>
      </c>
      <c r="B23" s="2">
        <v>22</v>
      </c>
      <c r="C23" s="2">
        <v>404113</v>
      </c>
      <c r="D23" s="2">
        <v>2973893</v>
      </c>
      <c r="E23" s="2">
        <v>37.75</v>
      </c>
      <c r="F23" s="2">
        <v>276691</v>
      </c>
    </row>
    <row r="24" spans="1:6">
      <c r="A24" s="3" t="s">
        <v>2803</v>
      </c>
      <c r="B24" s="2">
        <v>16</v>
      </c>
      <c r="C24" s="2">
        <v>755578</v>
      </c>
      <c r="D24" s="2">
        <v>2993354</v>
      </c>
      <c r="E24" s="2">
        <v>37.75</v>
      </c>
      <c r="F24" s="2">
        <v>474763</v>
      </c>
    </row>
    <row r="25" spans="1:6">
      <c r="A25" s="3" t="s">
        <v>2804</v>
      </c>
      <c r="B25" s="2">
        <v>27</v>
      </c>
      <c r="C25" s="2">
        <v>604806</v>
      </c>
      <c r="D25" s="2">
        <v>2997918</v>
      </c>
      <c r="E25" s="2">
        <v>37.75</v>
      </c>
      <c r="F25" s="2">
        <v>246891</v>
      </c>
    </row>
    <row r="26" spans="1:6">
      <c r="A26" s="3" t="s">
        <v>2805</v>
      </c>
      <c r="B26" s="2">
        <v>20</v>
      </c>
      <c r="C26" s="2">
        <v>1221024</v>
      </c>
      <c r="D26" s="2">
        <v>3008886</v>
      </c>
      <c r="E26" s="2">
        <v>37.75</v>
      </c>
      <c r="F26" s="2">
        <v>530741</v>
      </c>
    </row>
    <row r="27" spans="1:6">
      <c r="A27" s="3" t="s">
        <v>2806</v>
      </c>
      <c r="B27" s="2">
        <v>23</v>
      </c>
      <c r="C27" s="2">
        <v>1041469</v>
      </c>
      <c r="D27" s="2">
        <v>3020898</v>
      </c>
      <c r="E27" s="2">
        <v>37.75</v>
      </c>
      <c r="F27" s="2">
        <v>431886</v>
      </c>
    </row>
    <row r="28" spans="1:6">
      <c r="A28" s="3" t="s">
        <v>2807</v>
      </c>
      <c r="B28" s="2">
        <v>53</v>
      </c>
      <c r="C28" s="2">
        <v>210951</v>
      </c>
      <c r="D28" s="2">
        <v>3037930</v>
      </c>
      <c r="E28" s="2">
        <v>37.75</v>
      </c>
      <c r="F28" s="2">
        <v>136158</v>
      </c>
    </row>
    <row r="29" spans="1:6">
      <c r="A29" s="3" t="s">
        <v>2808</v>
      </c>
      <c r="B29" s="2">
        <v>149</v>
      </c>
      <c r="C29" s="2">
        <v>158906</v>
      </c>
      <c r="D29" s="2">
        <v>3038837</v>
      </c>
      <c r="E29" s="2">
        <v>37.75</v>
      </c>
      <c r="F29" s="2">
        <v>49878</v>
      </c>
    </row>
    <row r="30" spans="1:6">
      <c r="A30" s="3" t="s">
        <v>2809</v>
      </c>
      <c r="B30" s="2">
        <v>62</v>
      </c>
      <c r="C30" s="2">
        <v>288710</v>
      </c>
      <c r="D30" s="2">
        <v>3039384</v>
      </c>
      <c r="E30" s="2">
        <v>37.75</v>
      </c>
      <c r="F30" s="2">
        <v>114590</v>
      </c>
    </row>
    <row r="31" spans="1:6">
      <c r="A31" s="3" t="s">
        <v>2810</v>
      </c>
      <c r="B31" s="2">
        <v>37</v>
      </c>
      <c r="C31" s="2">
        <v>349462</v>
      </c>
      <c r="D31" s="2">
        <v>3039750</v>
      </c>
      <c r="E31" s="2">
        <v>37.75</v>
      </c>
      <c r="F31" s="2">
        <v>147738</v>
      </c>
    </row>
    <row r="32" spans="1:6">
      <c r="A32" s="3" t="s">
        <v>2811</v>
      </c>
      <c r="B32" s="2">
        <v>69</v>
      </c>
      <c r="C32" s="2">
        <v>263925</v>
      </c>
      <c r="D32" s="2">
        <v>3056652</v>
      </c>
      <c r="E32" s="2">
        <v>37.75</v>
      </c>
      <c r="F32" s="2">
        <v>89896</v>
      </c>
    </row>
    <row r="33" spans="1:6">
      <c r="A33" s="3" t="s">
        <v>2812</v>
      </c>
      <c r="B33" s="2">
        <v>55</v>
      </c>
      <c r="C33" s="2">
        <v>256337</v>
      </c>
      <c r="D33" s="2">
        <v>3065427</v>
      </c>
      <c r="E33" s="2">
        <v>37.75</v>
      </c>
      <c r="F33" s="2">
        <v>113995</v>
      </c>
    </row>
    <row r="34" spans="1:6">
      <c r="A34" s="3" t="s">
        <v>2813</v>
      </c>
      <c r="B34" s="2">
        <v>57</v>
      </c>
      <c r="C34" s="2">
        <v>744229</v>
      </c>
      <c r="D34" s="2">
        <v>3101444</v>
      </c>
      <c r="E34" s="2">
        <v>37.75</v>
      </c>
      <c r="F34" s="2">
        <v>278801</v>
      </c>
    </row>
    <row r="35" spans="1:6">
      <c r="A35" s="3" t="s">
        <v>2814</v>
      </c>
      <c r="B35" s="2">
        <v>63</v>
      </c>
      <c r="C35" s="2">
        <v>439328</v>
      </c>
      <c r="D35" s="2">
        <v>3102426</v>
      </c>
      <c r="E35" s="2">
        <v>37.75</v>
      </c>
      <c r="F35" s="2">
        <v>354215</v>
      </c>
    </row>
    <row r="36" spans="1:6">
      <c r="A36" s="3" t="s">
        <v>2815</v>
      </c>
      <c r="B36" s="2">
        <v>19</v>
      </c>
      <c r="C36" s="2">
        <v>641966</v>
      </c>
      <c r="D36" s="2">
        <v>3119742</v>
      </c>
      <c r="E36" s="2">
        <v>37.75</v>
      </c>
      <c r="F36" s="2">
        <v>397711</v>
      </c>
    </row>
    <row r="37" spans="1:6">
      <c r="A37" s="3" t="s">
        <v>2816</v>
      </c>
      <c r="B37" s="2">
        <v>21</v>
      </c>
      <c r="C37" s="2">
        <v>475532</v>
      </c>
      <c r="D37" s="2">
        <v>2968494</v>
      </c>
      <c r="E37" s="2">
        <v>37.76</v>
      </c>
      <c r="F37" s="2">
        <v>371596</v>
      </c>
    </row>
    <row r="38" spans="1:6">
      <c r="A38" s="3" t="s">
        <v>2817</v>
      </c>
      <c r="B38" s="2">
        <v>32</v>
      </c>
      <c r="C38" s="2">
        <v>343199</v>
      </c>
      <c r="D38" s="2">
        <v>2970898</v>
      </c>
      <c r="E38" s="2">
        <v>37.76</v>
      </c>
      <c r="F38" s="2">
        <v>210620</v>
      </c>
    </row>
    <row r="39" spans="1:6">
      <c r="A39" s="3" t="s">
        <v>2818</v>
      </c>
      <c r="B39" s="2">
        <v>19</v>
      </c>
      <c r="C39" s="2">
        <v>1221008</v>
      </c>
      <c r="D39" s="2">
        <v>2976087</v>
      </c>
      <c r="E39" s="2">
        <v>37.76</v>
      </c>
      <c r="F39" s="2">
        <v>431628</v>
      </c>
    </row>
    <row r="40" spans="1:6">
      <c r="A40" s="3" t="s">
        <v>2819</v>
      </c>
      <c r="B40" s="2">
        <v>18</v>
      </c>
      <c r="C40" s="2">
        <v>715090</v>
      </c>
      <c r="D40" s="2">
        <v>2977116</v>
      </c>
      <c r="E40" s="2">
        <v>37.76</v>
      </c>
      <c r="F40" s="2">
        <v>505962</v>
      </c>
    </row>
    <row r="41" spans="1:6">
      <c r="A41" s="3" t="s">
        <v>2820</v>
      </c>
      <c r="B41" s="2">
        <v>17</v>
      </c>
      <c r="C41" s="2">
        <v>1222419</v>
      </c>
      <c r="D41" s="2">
        <v>3007329</v>
      </c>
      <c r="E41" s="2">
        <v>37.76</v>
      </c>
      <c r="F41" s="2">
        <v>540551</v>
      </c>
    </row>
    <row r="42" spans="1:6">
      <c r="A42" s="3" t="s">
        <v>2821</v>
      </c>
      <c r="B42" s="2">
        <v>25</v>
      </c>
      <c r="C42" s="2">
        <v>1220309</v>
      </c>
      <c r="D42" s="2">
        <v>3011354</v>
      </c>
      <c r="E42" s="2">
        <v>37.76</v>
      </c>
      <c r="F42" s="2">
        <v>531677</v>
      </c>
    </row>
    <row r="43" spans="1:6">
      <c r="A43" s="3" t="s">
        <v>2822</v>
      </c>
      <c r="B43" s="2">
        <v>50</v>
      </c>
      <c r="C43" s="2">
        <v>456702</v>
      </c>
      <c r="D43" s="2">
        <v>3016439</v>
      </c>
      <c r="E43" s="2">
        <v>37.76</v>
      </c>
      <c r="F43" s="2">
        <v>134936</v>
      </c>
    </row>
    <row r="44" spans="1:6">
      <c r="A44" s="3" t="s">
        <v>2823</v>
      </c>
      <c r="B44" s="2">
        <v>35</v>
      </c>
      <c r="C44" s="2">
        <v>404301</v>
      </c>
      <c r="D44" s="2">
        <v>3029034</v>
      </c>
      <c r="E44" s="2">
        <v>37.76</v>
      </c>
      <c r="F44" s="2">
        <v>204472</v>
      </c>
    </row>
    <row r="45" spans="1:6">
      <c r="A45" s="3" t="s">
        <v>2824</v>
      </c>
      <c r="B45" s="2">
        <v>53</v>
      </c>
      <c r="C45" s="2">
        <v>283582</v>
      </c>
      <c r="D45" s="2">
        <v>3030072</v>
      </c>
      <c r="E45" s="2">
        <v>37.76</v>
      </c>
      <c r="F45" s="2">
        <v>107326</v>
      </c>
    </row>
    <row r="46" spans="1:6">
      <c r="A46" s="3" t="s">
        <v>2825</v>
      </c>
      <c r="B46" s="2">
        <v>26</v>
      </c>
      <c r="C46" s="2">
        <v>786157</v>
      </c>
      <c r="D46" s="2">
        <v>3036414</v>
      </c>
      <c r="E46" s="2">
        <v>37.76</v>
      </c>
      <c r="F46" s="2">
        <v>508682</v>
      </c>
    </row>
    <row r="47" spans="1:6">
      <c r="A47" s="3" t="s">
        <v>2826</v>
      </c>
      <c r="B47" s="2">
        <v>17</v>
      </c>
      <c r="C47" s="2">
        <v>570158</v>
      </c>
      <c r="D47" s="2">
        <v>3042490</v>
      </c>
      <c r="E47" s="2">
        <v>37.76</v>
      </c>
      <c r="F47" s="2">
        <v>439408</v>
      </c>
    </row>
    <row r="48" spans="1:6">
      <c r="A48" s="3" t="s">
        <v>2827</v>
      </c>
      <c r="B48" s="2">
        <v>30</v>
      </c>
      <c r="C48" s="2">
        <v>505288</v>
      </c>
      <c r="D48" s="2">
        <v>3049829</v>
      </c>
      <c r="E48" s="2">
        <v>37.76</v>
      </c>
      <c r="F48" s="2">
        <v>248236</v>
      </c>
    </row>
    <row r="49" spans="1:6">
      <c r="A49" s="3" t="s">
        <v>2828</v>
      </c>
      <c r="B49" s="2">
        <v>29</v>
      </c>
      <c r="C49" s="2">
        <v>425104</v>
      </c>
      <c r="D49" s="2">
        <v>3055235</v>
      </c>
      <c r="E49" s="2">
        <v>37.76</v>
      </c>
      <c r="F49" s="2">
        <v>167678</v>
      </c>
    </row>
    <row r="50" spans="1:6">
      <c r="A50" s="3" t="s">
        <v>2829</v>
      </c>
      <c r="B50" s="2">
        <v>22</v>
      </c>
      <c r="C50" s="2">
        <v>606179</v>
      </c>
      <c r="D50" s="2">
        <v>3059996</v>
      </c>
      <c r="E50" s="2">
        <v>37.76</v>
      </c>
      <c r="F50" s="2">
        <v>276734</v>
      </c>
    </row>
    <row r="51" spans="1:6">
      <c r="A51" s="3" t="s">
        <v>2830</v>
      </c>
      <c r="B51" s="2">
        <v>21</v>
      </c>
      <c r="C51" s="2">
        <v>606148</v>
      </c>
      <c r="D51" s="2">
        <v>3060003</v>
      </c>
      <c r="E51" s="2">
        <v>37.76</v>
      </c>
      <c r="F51" s="2">
        <v>435756</v>
      </c>
    </row>
    <row r="52" spans="1:6">
      <c r="A52" s="3" t="s">
        <v>2831</v>
      </c>
      <c r="B52" s="2">
        <v>33</v>
      </c>
      <c r="C52" s="2">
        <v>750460</v>
      </c>
      <c r="D52" s="2">
        <v>3072550</v>
      </c>
      <c r="E52" s="2">
        <v>37.76</v>
      </c>
      <c r="F52" s="2">
        <v>278801</v>
      </c>
    </row>
    <row r="53" spans="1:6">
      <c r="A53" s="3" t="s">
        <v>2832</v>
      </c>
      <c r="B53" s="2">
        <v>25</v>
      </c>
      <c r="C53" s="2">
        <v>749559</v>
      </c>
      <c r="D53" s="2">
        <v>3088025</v>
      </c>
      <c r="E53" s="2">
        <v>37.76</v>
      </c>
      <c r="F53" s="2">
        <v>407811</v>
      </c>
    </row>
    <row r="54" spans="1:6">
      <c r="A54" s="3" t="s">
        <v>2833</v>
      </c>
      <c r="B54" s="2">
        <v>24</v>
      </c>
      <c r="C54" s="2">
        <v>424640</v>
      </c>
      <c r="D54" s="2">
        <v>2930952</v>
      </c>
      <c r="E54" s="2">
        <v>37.770000000000003</v>
      </c>
      <c r="F54" s="2">
        <v>264954</v>
      </c>
    </row>
    <row r="55" spans="1:6">
      <c r="A55" s="3" t="s">
        <v>2834</v>
      </c>
      <c r="B55" s="2">
        <v>34</v>
      </c>
      <c r="C55" s="2">
        <v>715534</v>
      </c>
      <c r="D55" s="2">
        <v>2950985</v>
      </c>
      <c r="E55" s="2">
        <v>37.770000000000003</v>
      </c>
      <c r="F55" s="2">
        <v>197891</v>
      </c>
    </row>
    <row r="56" spans="1:6">
      <c r="A56" s="3" t="s">
        <v>2835</v>
      </c>
      <c r="B56" s="2">
        <v>17</v>
      </c>
      <c r="C56" s="2">
        <v>786801</v>
      </c>
      <c r="D56" s="2">
        <v>2962315</v>
      </c>
      <c r="E56" s="2">
        <v>37.770000000000003</v>
      </c>
      <c r="F56" s="2">
        <v>475217</v>
      </c>
    </row>
    <row r="57" spans="1:6">
      <c r="A57" s="3" t="s">
        <v>2836</v>
      </c>
      <c r="B57" s="2">
        <v>27</v>
      </c>
      <c r="C57" s="2">
        <v>456474</v>
      </c>
      <c r="D57" s="2">
        <v>2971529</v>
      </c>
      <c r="E57" s="2">
        <v>37.770000000000003</v>
      </c>
      <c r="F57" s="2">
        <v>369747</v>
      </c>
    </row>
    <row r="58" spans="1:6">
      <c r="A58" s="3" t="s">
        <v>2837</v>
      </c>
      <c r="B58" s="2">
        <v>38</v>
      </c>
      <c r="C58" s="2">
        <v>398741</v>
      </c>
      <c r="D58" s="2">
        <v>2971807</v>
      </c>
      <c r="E58" s="2">
        <v>37.770000000000003</v>
      </c>
      <c r="F58" s="2">
        <v>172030</v>
      </c>
    </row>
    <row r="59" spans="1:6">
      <c r="A59" s="3" t="s">
        <v>2838</v>
      </c>
      <c r="B59" s="2">
        <v>27</v>
      </c>
      <c r="C59" s="2">
        <v>435770</v>
      </c>
      <c r="D59" s="2">
        <v>2974924</v>
      </c>
      <c r="E59" s="2">
        <v>37.770000000000003</v>
      </c>
      <c r="F59" s="2">
        <v>197822</v>
      </c>
    </row>
    <row r="60" spans="1:6">
      <c r="A60" s="3" t="s">
        <v>2839</v>
      </c>
      <c r="B60" s="2">
        <v>18</v>
      </c>
      <c r="C60" s="2">
        <v>1220675</v>
      </c>
      <c r="D60" s="2">
        <v>2976175</v>
      </c>
      <c r="E60" s="2">
        <v>37.770000000000003</v>
      </c>
      <c r="F60" s="2">
        <v>540638</v>
      </c>
    </row>
    <row r="61" spans="1:6">
      <c r="A61" s="3" t="s">
        <v>2840</v>
      </c>
      <c r="B61" s="2">
        <v>21</v>
      </c>
      <c r="C61" s="2">
        <v>822244</v>
      </c>
      <c r="D61" s="2">
        <v>2976549</v>
      </c>
      <c r="E61" s="2">
        <v>37.770000000000003</v>
      </c>
      <c r="F61" s="2">
        <v>442866</v>
      </c>
    </row>
    <row r="62" spans="1:6">
      <c r="A62" s="3" t="s">
        <v>2841</v>
      </c>
      <c r="B62" s="2">
        <v>19</v>
      </c>
      <c r="C62" s="2">
        <v>651039</v>
      </c>
      <c r="D62" s="2">
        <v>2977050</v>
      </c>
      <c r="E62" s="2">
        <v>37.770000000000003</v>
      </c>
      <c r="F62" s="2">
        <v>456720</v>
      </c>
    </row>
    <row r="63" spans="1:6">
      <c r="A63" s="3" t="s">
        <v>2842</v>
      </c>
      <c r="B63" s="2">
        <v>18</v>
      </c>
      <c r="C63" s="2">
        <v>996219</v>
      </c>
      <c r="D63" s="2">
        <v>2977365</v>
      </c>
      <c r="E63" s="2">
        <v>37.770000000000003</v>
      </c>
      <c r="F63" s="2">
        <v>581743</v>
      </c>
    </row>
    <row r="64" spans="1:6">
      <c r="A64" s="3" t="s">
        <v>2843</v>
      </c>
      <c r="B64" s="2">
        <v>22</v>
      </c>
      <c r="C64" s="2">
        <v>645871</v>
      </c>
      <c r="D64" s="2">
        <v>2977445</v>
      </c>
      <c r="E64" s="2">
        <v>37.770000000000003</v>
      </c>
      <c r="F64" s="2">
        <v>542187</v>
      </c>
    </row>
    <row r="65" spans="1:6">
      <c r="A65" s="3" t="s">
        <v>2844</v>
      </c>
      <c r="B65" s="2">
        <v>23</v>
      </c>
      <c r="C65" s="2">
        <v>1184718</v>
      </c>
      <c r="D65" s="2">
        <v>2977590</v>
      </c>
      <c r="E65" s="2">
        <v>37.770000000000003</v>
      </c>
      <c r="F65" s="2">
        <v>580573</v>
      </c>
    </row>
    <row r="66" spans="1:6">
      <c r="A66" s="3" t="s">
        <v>2845</v>
      </c>
      <c r="B66" s="2">
        <v>35</v>
      </c>
      <c r="C66" s="2">
        <v>525679</v>
      </c>
      <c r="D66" s="2">
        <v>2977793</v>
      </c>
      <c r="E66" s="2">
        <v>37.770000000000003</v>
      </c>
      <c r="F66" s="2">
        <v>261531</v>
      </c>
    </row>
    <row r="67" spans="1:6">
      <c r="A67" s="3" t="s">
        <v>2846</v>
      </c>
      <c r="B67" s="2">
        <v>26</v>
      </c>
      <c r="C67" s="2">
        <v>541988</v>
      </c>
      <c r="D67" s="2">
        <v>2978285</v>
      </c>
      <c r="E67" s="2">
        <v>37.770000000000003</v>
      </c>
      <c r="F67" s="2">
        <v>302849</v>
      </c>
    </row>
    <row r="68" spans="1:6">
      <c r="A68" s="3" t="s">
        <v>2847</v>
      </c>
      <c r="B68" s="2">
        <v>13</v>
      </c>
      <c r="C68" s="2">
        <v>1220905</v>
      </c>
      <c r="D68" s="2">
        <v>2978529</v>
      </c>
      <c r="E68" s="2">
        <v>37.770000000000003</v>
      </c>
      <c r="F68" s="2">
        <v>622351</v>
      </c>
    </row>
    <row r="69" spans="1:6">
      <c r="A69" s="3" t="s">
        <v>2848</v>
      </c>
      <c r="B69" s="2">
        <v>20</v>
      </c>
      <c r="C69" s="2">
        <v>1229762</v>
      </c>
      <c r="D69" s="2">
        <v>2980170</v>
      </c>
      <c r="E69" s="2">
        <v>37.770000000000003</v>
      </c>
      <c r="F69" s="2">
        <v>445069</v>
      </c>
    </row>
    <row r="70" spans="1:6">
      <c r="A70" s="3" t="s">
        <v>2849</v>
      </c>
      <c r="B70" s="2">
        <v>23</v>
      </c>
      <c r="C70" s="2">
        <v>626196</v>
      </c>
      <c r="D70" s="2">
        <v>2980487</v>
      </c>
      <c r="E70" s="2">
        <v>37.770000000000003</v>
      </c>
      <c r="F70" s="2">
        <v>369704</v>
      </c>
    </row>
    <row r="71" spans="1:6">
      <c r="A71" s="3" t="s">
        <v>2850</v>
      </c>
      <c r="B71" s="2">
        <v>22</v>
      </c>
      <c r="C71" s="2">
        <v>824257</v>
      </c>
      <c r="D71" s="2">
        <v>2980955</v>
      </c>
      <c r="E71" s="2">
        <v>37.770000000000003</v>
      </c>
      <c r="F71" s="2">
        <v>445069</v>
      </c>
    </row>
    <row r="72" spans="1:6">
      <c r="A72" s="3" t="s">
        <v>2851</v>
      </c>
      <c r="B72" s="2">
        <v>42</v>
      </c>
      <c r="C72" s="2">
        <v>436162</v>
      </c>
      <c r="D72" s="2">
        <v>2992686</v>
      </c>
      <c r="E72" s="2">
        <v>37.770000000000003</v>
      </c>
      <c r="F72" s="2">
        <v>223204</v>
      </c>
    </row>
    <row r="73" spans="1:6">
      <c r="A73" s="3" t="s">
        <v>2852</v>
      </c>
      <c r="B73" s="2">
        <v>16</v>
      </c>
      <c r="C73" s="2">
        <v>1413380</v>
      </c>
      <c r="D73" s="2">
        <v>2993138</v>
      </c>
      <c r="E73" s="2">
        <v>37.770000000000003</v>
      </c>
      <c r="F73" s="2">
        <v>438500</v>
      </c>
    </row>
    <row r="74" spans="1:6">
      <c r="A74" s="3" t="s">
        <v>2853</v>
      </c>
      <c r="B74" s="2">
        <v>19</v>
      </c>
      <c r="C74" s="2">
        <v>541283</v>
      </c>
      <c r="D74" s="2">
        <v>2993826</v>
      </c>
      <c r="E74" s="2">
        <v>37.770000000000003</v>
      </c>
      <c r="F74" s="2">
        <v>456299</v>
      </c>
    </row>
    <row r="75" spans="1:6">
      <c r="A75" s="3" t="s">
        <v>2854</v>
      </c>
      <c r="B75" s="2">
        <v>19</v>
      </c>
      <c r="C75" s="2">
        <v>626166</v>
      </c>
      <c r="D75" s="2">
        <v>2994028</v>
      </c>
      <c r="E75" s="2">
        <v>37.770000000000003</v>
      </c>
      <c r="F75" s="2">
        <v>469827</v>
      </c>
    </row>
    <row r="76" spans="1:6">
      <c r="A76" s="3" t="s">
        <v>2855</v>
      </c>
      <c r="B76" s="2">
        <v>18</v>
      </c>
      <c r="C76" s="2">
        <v>1235650</v>
      </c>
      <c r="D76" s="2">
        <v>2994166</v>
      </c>
      <c r="E76" s="2">
        <v>37.770000000000003</v>
      </c>
      <c r="F76" s="2">
        <v>456299</v>
      </c>
    </row>
    <row r="77" spans="1:6">
      <c r="A77" s="3" t="s">
        <v>2856</v>
      </c>
      <c r="B77" s="2">
        <v>20</v>
      </c>
      <c r="C77" s="2">
        <v>1273456</v>
      </c>
      <c r="D77" s="2">
        <v>2996893</v>
      </c>
      <c r="E77" s="2">
        <v>37.770000000000003</v>
      </c>
      <c r="F77" s="2">
        <v>542005</v>
      </c>
    </row>
    <row r="78" spans="1:6">
      <c r="A78" s="3" t="s">
        <v>2857</v>
      </c>
      <c r="B78" s="2">
        <v>95</v>
      </c>
      <c r="C78" s="2">
        <v>194445</v>
      </c>
      <c r="D78" s="2">
        <v>2997697</v>
      </c>
      <c r="E78" s="2">
        <v>37.770000000000003</v>
      </c>
      <c r="F78" s="2">
        <v>57861</v>
      </c>
    </row>
    <row r="79" spans="1:6">
      <c r="A79" s="3" t="s">
        <v>2858</v>
      </c>
      <c r="B79" s="2">
        <v>36</v>
      </c>
      <c r="C79" s="2">
        <v>896042</v>
      </c>
      <c r="D79" s="2">
        <v>3009502</v>
      </c>
      <c r="E79" s="2">
        <v>37.770000000000003</v>
      </c>
      <c r="F79" s="2">
        <v>471287</v>
      </c>
    </row>
    <row r="80" spans="1:6">
      <c r="A80" s="3" t="s">
        <v>2859</v>
      </c>
      <c r="B80" s="2">
        <v>20</v>
      </c>
      <c r="C80" s="2">
        <v>1100633</v>
      </c>
      <c r="D80" s="2">
        <v>3035298</v>
      </c>
      <c r="E80" s="2">
        <v>37.770000000000003</v>
      </c>
      <c r="F80" s="2">
        <v>279727</v>
      </c>
    </row>
    <row r="81" spans="1:6">
      <c r="A81" s="3" t="s">
        <v>2860</v>
      </c>
      <c r="B81" s="2">
        <v>33</v>
      </c>
      <c r="C81" s="2">
        <v>559827</v>
      </c>
      <c r="D81" s="2">
        <v>3045144</v>
      </c>
      <c r="E81" s="2">
        <v>37.770000000000003</v>
      </c>
      <c r="F81" s="2">
        <v>210633</v>
      </c>
    </row>
    <row r="82" spans="1:6">
      <c r="A82" s="3" t="s">
        <v>2861</v>
      </c>
      <c r="B82" s="2">
        <v>25</v>
      </c>
      <c r="C82" s="2">
        <v>750041</v>
      </c>
      <c r="D82" s="2">
        <v>3047424</v>
      </c>
      <c r="E82" s="2">
        <v>37.770000000000003</v>
      </c>
      <c r="F82" s="2">
        <v>407799</v>
      </c>
    </row>
    <row r="83" spans="1:6">
      <c r="A83" s="3" t="s">
        <v>2862</v>
      </c>
      <c r="B83" s="2">
        <v>28</v>
      </c>
      <c r="C83" s="2">
        <v>1215756</v>
      </c>
      <c r="D83" s="2">
        <v>3053106</v>
      </c>
      <c r="E83" s="2">
        <v>37.770000000000003</v>
      </c>
      <c r="F83" s="2">
        <v>421089</v>
      </c>
    </row>
    <row r="84" spans="1:6">
      <c r="A84" s="3" t="s">
        <v>2863</v>
      </c>
      <c r="B84" s="2">
        <v>32</v>
      </c>
      <c r="C84" s="2">
        <v>578736</v>
      </c>
      <c r="D84" s="2">
        <v>3101441</v>
      </c>
      <c r="E84" s="2">
        <v>37.770000000000003</v>
      </c>
      <c r="F84" s="2">
        <v>483294</v>
      </c>
    </row>
    <row r="85" spans="1:6">
      <c r="A85" s="3" t="s">
        <v>2864</v>
      </c>
      <c r="B85" s="2">
        <v>24</v>
      </c>
      <c r="C85" s="2">
        <v>518209</v>
      </c>
      <c r="D85" s="2">
        <v>3103053</v>
      </c>
      <c r="E85" s="2">
        <v>37.770000000000003</v>
      </c>
      <c r="F85" s="2">
        <v>249720</v>
      </c>
    </row>
    <row r="86" spans="1:6">
      <c r="A86" s="3" t="s">
        <v>2865</v>
      </c>
      <c r="B86" s="2">
        <v>52</v>
      </c>
      <c r="C86" s="2">
        <v>573652</v>
      </c>
      <c r="D86" s="2">
        <v>3120425</v>
      </c>
      <c r="E86" s="2">
        <v>37.770000000000003</v>
      </c>
      <c r="F86" s="2">
        <v>375197</v>
      </c>
    </row>
    <row r="87" spans="1:6">
      <c r="A87" s="3" t="s">
        <v>2866</v>
      </c>
      <c r="B87" s="2">
        <v>39</v>
      </c>
      <c r="C87" s="2">
        <v>575588</v>
      </c>
      <c r="D87" s="2">
        <v>3193889</v>
      </c>
      <c r="E87" s="2">
        <v>37.770000000000003</v>
      </c>
      <c r="F87" s="2">
        <v>503892</v>
      </c>
    </row>
    <row r="88" spans="1:6">
      <c r="A88" s="3" t="s">
        <v>2867</v>
      </c>
      <c r="B88" s="2">
        <v>23</v>
      </c>
      <c r="C88" s="2">
        <v>403802</v>
      </c>
      <c r="D88" s="2">
        <v>2930391</v>
      </c>
      <c r="E88" s="2">
        <v>37.78</v>
      </c>
      <c r="F88" s="2">
        <v>237507</v>
      </c>
    </row>
    <row r="89" spans="1:6">
      <c r="A89" s="3" t="s">
        <v>2868</v>
      </c>
      <c r="B89" s="2">
        <v>15</v>
      </c>
      <c r="C89" s="2">
        <v>650461</v>
      </c>
      <c r="D89" s="2">
        <v>2931616</v>
      </c>
      <c r="E89" s="2">
        <v>37.78</v>
      </c>
      <c r="F89" s="2">
        <v>438455</v>
      </c>
    </row>
    <row r="90" spans="1:6">
      <c r="A90" s="3" t="s">
        <v>2869</v>
      </c>
      <c r="B90" s="2">
        <v>21</v>
      </c>
      <c r="C90" s="2">
        <v>425096</v>
      </c>
      <c r="D90" s="2">
        <v>2931695</v>
      </c>
      <c r="E90" s="2">
        <v>37.78</v>
      </c>
      <c r="F90" s="2">
        <v>308201</v>
      </c>
    </row>
    <row r="91" spans="1:6">
      <c r="A91" s="3" t="s">
        <v>2870</v>
      </c>
      <c r="B91" s="2">
        <v>35</v>
      </c>
      <c r="C91" s="2">
        <v>432437</v>
      </c>
      <c r="D91" s="2">
        <v>2948801</v>
      </c>
      <c r="E91" s="2">
        <v>37.78</v>
      </c>
      <c r="F91" s="2">
        <v>206400</v>
      </c>
    </row>
    <row r="92" spans="1:6">
      <c r="A92" s="3" t="s">
        <v>2871</v>
      </c>
      <c r="B92" s="2">
        <v>32</v>
      </c>
      <c r="C92" s="2">
        <v>543646</v>
      </c>
      <c r="D92" s="2">
        <v>2968567</v>
      </c>
      <c r="E92" s="2">
        <v>37.78</v>
      </c>
      <c r="F92" s="2">
        <v>180680</v>
      </c>
    </row>
    <row r="93" spans="1:6">
      <c r="A93" s="3" t="s">
        <v>2872</v>
      </c>
      <c r="B93" s="2">
        <v>79</v>
      </c>
      <c r="C93" s="2">
        <v>199679</v>
      </c>
      <c r="D93" s="2">
        <v>2969731</v>
      </c>
      <c r="E93" s="2">
        <v>37.78</v>
      </c>
      <c r="F93" s="2">
        <v>73440</v>
      </c>
    </row>
    <row r="94" spans="1:6">
      <c r="A94" s="3" t="s">
        <v>2873</v>
      </c>
      <c r="B94" s="2">
        <v>32</v>
      </c>
      <c r="C94" s="2">
        <v>471613</v>
      </c>
      <c r="D94" s="2">
        <v>2976291</v>
      </c>
      <c r="E94" s="2">
        <v>37.78</v>
      </c>
      <c r="F94" s="2">
        <v>161710</v>
      </c>
    </row>
    <row r="95" spans="1:6">
      <c r="A95" s="3" t="s">
        <v>2874</v>
      </c>
      <c r="B95" s="2">
        <v>19</v>
      </c>
      <c r="C95" s="2">
        <v>583835</v>
      </c>
      <c r="D95" s="2">
        <v>2979954</v>
      </c>
      <c r="E95" s="2">
        <v>37.78</v>
      </c>
      <c r="F95" s="2">
        <v>457095</v>
      </c>
    </row>
    <row r="96" spans="1:6">
      <c r="A96" s="3" t="s">
        <v>2875</v>
      </c>
      <c r="B96" s="2">
        <v>19</v>
      </c>
      <c r="C96" s="2">
        <v>1220348</v>
      </c>
      <c r="D96" s="2">
        <v>2980405</v>
      </c>
      <c r="E96" s="2">
        <v>37.78</v>
      </c>
      <c r="F96" s="2">
        <v>584211</v>
      </c>
    </row>
    <row r="97" spans="1:6">
      <c r="A97" s="3" t="s">
        <v>2876</v>
      </c>
      <c r="B97" s="2">
        <v>21</v>
      </c>
      <c r="C97" s="2">
        <v>1273738</v>
      </c>
      <c r="D97" s="2">
        <v>2997438</v>
      </c>
      <c r="E97" s="2">
        <v>37.78</v>
      </c>
      <c r="F97" s="2">
        <v>542381</v>
      </c>
    </row>
    <row r="98" spans="1:6">
      <c r="A98" s="3" t="s">
        <v>2877</v>
      </c>
      <c r="B98" s="2">
        <v>22</v>
      </c>
      <c r="C98" s="2">
        <v>1273842</v>
      </c>
      <c r="D98" s="2">
        <v>2998105</v>
      </c>
      <c r="E98" s="2">
        <v>37.78</v>
      </c>
      <c r="F98" s="2">
        <v>542381</v>
      </c>
    </row>
    <row r="99" spans="1:6">
      <c r="A99" s="3" t="s">
        <v>2878</v>
      </c>
      <c r="B99" s="2">
        <v>23</v>
      </c>
      <c r="C99" s="2">
        <v>629860</v>
      </c>
      <c r="D99" s="2">
        <v>2998246</v>
      </c>
      <c r="E99" s="2">
        <v>37.78</v>
      </c>
      <c r="F99" s="2">
        <v>321704</v>
      </c>
    </row>
    <row r="100" spans="1:6">
      <c r="A100" s="3" t="s">
        <v>2879</v>
      </c>
      <c r="B100" s="2">
        <v>57</v>
      </c>
      <c r="C100" s="2">
        <v>341742</v>
      </c>
      <c r="D100" s="2">
        <v>3011713</v>
      </c>
      <c r="E100" s="2">
        <v>37.78</v>
      </c>
      <c r="F100" s="2">
        <v>117371</v>
      </c>
    </row>
    <row r="101" spans="1:6">
      <c r="A101" s="3" t="s">
        <v>2880</v>
      </c>
      <c r="B101" s="2">
        <v>38</v>
      </c>
      <c r="C101" s="2">
        <v>456261</v>
      </c>
      <c r="D101" s="2">
        <v>3025763</v>
      </c>
      <c r="E101" s="2">
        <v>37.78</v>
      </c>
      <c r="F101" s="2">
        <v>182115</v>
      </c>
    </row>
    <row r="102" spans="1:6">
      <c r="A102" s="3" t="s">
        <v>2881</v>
      </c>
      <c r="B102" s="2">
        <v>15</v>
      </c>
      <c r="C102" s="2">
        <v>1443384</v>
      </c>
      <c r="D102" s="2">
        <v>3030307</v>
      </c>
      <c r="E102" s="2">
        <v>37.78</v>
      </c>
      <c r="F102" s="2">
        <v>546041</v>
      </c>
    </row>
    <row r="103" spans="1:6">
      <c r="A103" s="3" t="s">
        <v>2882</v>
      </c>
      <c r="B103" s="2">
        <v>15</v>
      </c>
      <c r="C103" s="2">
        <v>1444331</v>
      </c>
      <c r="D103" s="2">
        <v>3031235</v>
      </c>
      <c r="E103" s="2">
        <v>37.78</v>
      </c>
      <c r="F103" s="2">
        <v>545301</v>
      </c>
    </row>
    <row r="104" spans="1:6">
      <c r="A104" s="3" t="s">
        <v>2883</v>
      </c>
      <c r="B104" s="2">
        <v>15</v>
      </c>
      <c r="C104" s="2">
        <v>1041800</v>
      </c>
      <c r="D104" s="2">
        <v>3035129</v>
      </c>
      <c r="E104" s="2">
        <v>37.78</v>
      </c>
      <c r="F104" s="2">
        <v>524632</v>
      </c>
    </row>
    <row r="105" spans="1:6">
      <c r="A105" s="3" t="s">
        <v>2884</v>
      </c>
      <c r="B105" s="2">
        <v>15</v>
      </c>
      <c r="C105" s="2">
        <v>940227</v>
      </c>
      <c r="D105" s="2">
        <v>3036090</v>
      </c>
      <c r="E105" s="2">
        <v>37.78</v>
      </c>
      <c r="F105" s="2">
        <v>510206</v>
      </c>
    </row>
    <row r="106" spans="1:6">
      <c r="A106" s="3" t="s">
        <v>2885</v>
      </c>
      <c r="B106" s="2">
        <v>18</v>
      </c>
      <c r="C106" s="2">
        <v>1041800</v>
      </c>
      <c r="D106" s="2">
        <v>3036474</v>
      </c>
      <c r="E106" s="2">
        <v>37.78</v>
      </c>
      <c r="F106" s="2">
        <v>541915</v>
      </c>
    </row>
    <row r="107" spans="1:6">
      <c r="A107" s="3" t="s">
        <v>2886</v>
      </c>
      <c r="B107" s="2">
        <v>42</v>
      </c>
      <c r="C107" s="2">
        <v>517950</v>
      </c>
      <c r="D107" s="2">
        <v>3049101</v>
      </c>
      <c r="E107" s="2">
        <v>37.78</v>
      </c>
      <c r="F107" s="2">
        <v>236963</v>
      </c>
    </row>
    <row r="108" spans="1:6">
      <c r="A108" s="3" t="s">
        <v>2887</v>
      </c>
      <c r="B108" s="2">
        <v>44</v>
      </c>
      <c r="C108" s="2">
        <v>454149</v>
      </c>
      <c r="D108" s="2">
        <v>3049621</v>
      </c>
      <c r="E108" s="2">
        <v>37.78</v>
      </c>
      <c r="F108" s="2">
        <v>208993</v>
      </c>
    </row>
    <row r="109" spans="1:6">
      <c r="A109" s="3" t="s">
        <v>2888</v>
      </c>
      <c r="B109" s="2">
        <v>46</v>
      </c>
      <c r="C109" s="2">
        <v>365211</v>
      </c>
      <c r="D109" s="2">
        <v>3052404</v>
      </c>
      <c r="E109" s="2">
        <v>37.78</v>
      </c>
      <c r="F109" s="2">
        <v>202533</v>
      </c>
    </row>
    <row r="110" spans="1:6">
      <c r="A110" s="3" t="s">
        <v>2889</v>
      </c>
      <c r="B110" s="2">
        <v>58</v>
      </c>
      <c r="C110" s="2">
        <v>269345</v>
      </c>
      <c r="D110" s="2">
        <v>3061388</v>
      </c>
      <c r="E110" s="2">
        <v>37.78</v>
      </c>
      <c r="F110" s="2">
        <v>128273</v>
      </c>
    </row>
    <row r="111" spans="1:6">
      <c r="A111" s="3" t="s">
        <v>2890</v>
      </c>
      <c r="B111" s="2">
        <v>25</v>
      </c>
      <c r="C111" s="2">
        <v>627826</v>
      </c>
      <c r="D111" s="2">
        <v>3069340</v>
      </c>
      <c r="E111" s="2">
        <v>37.78</v>
      </c>
      <c r="F111" s="2">
        <v>432470</v>
      </c>
    </row>
    <row r="112" spans="1:6">
      <c r="A112" s="3" t="s">
        <v>2891</v>
      </c>
      <c r="B112" s="2">
        <v>31</v>
      </c>
      <c r="C112" s="2">
        <v>1055485</v>
      </c>
      <c r="D112" s="2">
        <v>3071545</v>
      </c>
      <c r="E112" s="2">
        <v>37.78</v>
      </c>
      <c r="F112" s="2">
        <v>518913</v>
      </c>
    </row>
    <row r="113" spans="1:6">
      <c r="A113" s="3" t="s">
        <v>2892</v>
      </c>
      <c r="B113" s="2">
        <v>36</v>
      </c>
      <c r="C113" s="2">
        <v>544758</v>
      </c>
      <c r="D113" s="2">
        <v>3078827</v>
      </c>
      <c r="E113" s="2">
        <v>37.78</v>
      </c>
      <c r="F113" s="2">
        <v>191191</v>
      </c>
    </row>
    <row r="114" spans="1:6">
      <c r="A114" s="3" t="s">
        <v>2893</v>
      </c>
      <c r="B114" s="2">
        <v>34</v>
      </c>
      <c r="C114" s="2">
        <v>476991</v>
      </c>
      <c r="D114" s="2">
        <v>3085203</v>
      </c>
      <c r="E114" s="2">
        <v>37.78</v>
      </c>
      <c r="F114" s="2">
        <v>331951</v>
      </c>
    </row>
    <row r="115" spans="1:6">
      <c r="A115" s="3" t="s">
        <v>2894</v>
      </c>
      <c r="B115" s="2">
        <v>19</v>
      </c>
      <c r="C115" s="2">
        <v>902479</v>
      </c>
      <c r="D115" s="2">
        <v>3089299</v>
      </c>
      <c r="E115" s="2">
        <v>37.78</v>
      </c>
      <c r="F115" s="2">
        <v>432301</v>
      </c>
    </row>
    <row r="116" spans="1:6">
      <c r="A116" s="3" t="s">
        <v>2895</v>
      </c>
      <c r="B116" s="2">
        <v>26</v>
      </c>
      <c r="C116" s="2">
        <v>449116</v>
      </c>
      <c r="D116" s="2">
        <v>3091104</v>
      </c>
      <c r="E116" s="2">
        <v>37.78</v>
      </c>
      <c r="F116" s="2">
        <v>239720</v>
      </c>
    </row>
    <row r="117" spans="1:6">
      <c r="A117" s="3" t="s">
        <v>2896</v>
      </c>
      <c r="B117" s="2">
        <v>37</v>
      </c>
      <c r="C117" s="2">
        <v>415002</v>
      </c>
      <c r="D117" s="2">
        <v>3091647</v>
      </c>
      <c r="E117" s="2">
        <v>37.78</v>
      </c>
      <c r="F117" s="2">
        <v>282037</v>
      </c>
    </row>
    <row r="118" spans="1:6">
      <c r="A118" s="3" t="s">
        <v>2897</v>
      </c>
      <c r="B118" s="2">
        <v>24</v>
      </c>
      <c r="C118" s="2">
        <v>494550</v>
      </c>
      <c r="D118" s="2">
        <v>3093683</v>
      </c>
      <c r="E118" s="2">
        <v>37.78</v>
      </c>
      <c r="F118" s="2">
        <v>465884</v>
      </c>
    </row>
    <row r="119" spans="1:6">
      <c r="A119" s="3" t="s">
        <v>2898</v>
      </c>
      <c r="B119" s="2">
        <v>23</v>
      </c>
      <c r="C119" s="2">
        <v>564235</v>
      </c>
      <c r="D119" s="2">
        <v>3093763</v>
      </c>
      <c r="E119" s="2">
        <v>37.78</v>
      </c>
      <c r="F119" s="2">
        <v>483148</v>
      </c>
    </row>
    <row r="120" spans="1:6">
      <c r="A120" s="3" t="s">
        <v>2899</v>
      </c>
      <c r="B120" s="2">
        <v>24</v>
      </c>
      <c r="C120" s="2">
        <v>609342</v>
      </c>
      <c r="D120" s="2">
        <v>3093930</v>
      </c>
      <c r="E120" s="2">
        <v>37.78</v>
      </c>
      <c r="F120" s="2">
        <v>505756</v>
      </c>
    </row>
    <row r="121" spans="1:6">
      <c r="A121" s="3" t="s">
        <v>2900</v>
      </c>
      <c r="B121" s="2">
        <v>23</v>
      </c>
      <c r="C121" s="2">
        <v>609387</v>
      </c>
      <c r="D121" s="2">
        <v>3094137</v>
      </c>
      <c r="E121" s="2">
        <v>37.78</v>
      </c>
      <c r="F121" s="2">
        <v>357790</v>
      </c>
    </row>
    <row r="122" spans="1:6">
      <c r="A122" s="3" t="s">
        <v>2901</v>
      </c>
      <c r="B122" s="2">
        <v>21</v>
      </c>
      <c r="C122" s="2">
        <v>623942</v>
      </c>
      <c r="D122" s="2">
        <v>3094598</v>
      </c>
      <c r="E122" s="2">
        <v>37.78</v>
      </c>
      <c r="F122" s="2">
        <v>467917</v>
      </c>
    </row>
    <row r="123" spans="1:6">
      <c r="A123" s="3" t="s">
        <v>2902</v>
      </c>
      <c r="B123" s="2">
        <v>26</v>
      </c>
      <c r="C123" s="2">
        <v>614023</v>
      </c>
      <c r="D123" s="2">
        <v>3094620</v>
      </c>
      <c r="E123" s="2">
        <v>37.78</v>
      </c>
      <c r="F123" s="2">
        <v>480802</v>
      </c>
    </row>
    <row r="124" spans="1:6">
      <c r="A124" s="3" t="s">
        <v>2903</v>
      </c>
      <c r="B124" s="2">
        <v>23</v>
      </c>
      <c r="C124" s="2">
        <v>813306</v>
      </c>
      <c r="D124" s="2">
        <v>3094655</v>
      </c>
      <c r="E124" s="2">
        <v>37.78</v>
      </c>
      <c r="F124" s="2">
        <v>482882</v>
      </c>
    </row>
    <row r="125" spans="1:6">
      <c r="A125" s="3" t="s">
        <v>2904</v>
      </c>
      <c r="B125" s="2">
        <v>28</v>
      </c>
      <c r="C125" s="2">
        <v>611624</v>
      </c>
      <c r="D125" s="2">
        <v>3094740</v>
      </c>
      <c r="E125" s="2">
        <v>37.78</v>
      </c>
      <c r="F125" s="2">
        <v>266254</v>
      </c>
    </row>
    <row r="126" spans="1:6">
      <c r="A126" s="3" t="s">
        <v>2905</v>
      </c>
      <c r="B126" s="2">
        <v>28</v>
      </c>
      <c r="C126" s="2">
        <v>808566</v>
      </c>
      <c r="D126" s="2">
        <v>3094803</v>
      </c>
      <c r="E126" s="2">
        <v>37.78</v>
      </c>
      <c r="F126" s="2">
        <v>203535</v>
      </c>
    </row>
    <row r="127" spans="1:6">
      <c r="A127" s="3" t="s">
        <v>2906</v>
      </c>
      <c r="B127" s="2">
        <v>31</v>
      </c>
      <c r="C127" s="2">
        <v>451849</v>
      </c>
      <c r="D127" s="2">
        <v>3094889</v>
      </c>
      <c r="E127" s="2">
        <v>37.78</v>
      </c>
      <c r="F127" s="2">
        <v>253449</v>
      </c>
    </row>
    <row r="128" spans="1:6">
      <c r="A128" s="3" t="s">
        <v>2907</v>
      </c>
      <c r="B128" s="2">
        <v>27</v>
      </c>
      <c r="C128" s="2">
        <v>699141</v>
      </c>
      <c r="D128" s="2">
        <v>3094933</v>
      </c>
      <c r="E128" s="2">
        <v>37.78</v>
      </c>
      <c r="F128" s="2">
        <v>446194</v>
      </c>
    </row>
    <row r="129" spans="1:6">
      <c r="A129" s="3" t="s">
        <v>2908</v>
      </c>
      <c r="B129" s="2">
        <v>31</v>
      </c>
      <c r="C129" s="2">
        <v>465584</v>
      </c>
      <c r="D129" s="2">
        <v>3095794</v>
      </c>
      <c r="E129" s="2">
        <v>37.78</v>
      </c>
      <c r="F129" s="2">
        <v>216217</v>
      </c>
    </row>
    <row r="130" spans="1:6">
      <c r="A130" s="3" t="s">
        <v>2909</v>
      </c>
      <c r="B130" s="2">
        <v>28</v>
      </c>
      <c r="C130" s="2">
        <v>514724</v>
      </c>
      <c r="D130" s="2">
        <v>3095814</v>
      </c>
      <c r="E130" s="2">
        <v>37.78</v>
      </c>
      <c r="F130" s="2">
        <v>395633</v>
      </c>
    </row>
    <row r="131" spans="1:6">
      <c r="A131" s="3" t="s">
        <v>2910</v>
      </c>
      <c r="B131" s="2">
        <v>28</v>
      </c>
      <c r="C131" s="2">
        <v>452300</v>
      </c>
      <c r="D131" s="2">
        <v>3095902</v>
      </c>
      <c r="E131" s="2">
        <v>37.78</v>
      </c>
      <c r="F131" s="2">
        <v>300504</v>
      </c>
    </row>
    <row r="132" spans="1:6">
      <c r="A132" s="3" t="s">
        <v>2911</v>
      </c>
      <c r="B132" s="2">
        <v>32</v>
      </c>
      <c r="C132" s="2">
        <v>415086</v>
      </c>
      <c r="D132" s="2">
        <v>3095968</v>
      </c>
      <c r="E132" s="2">
        <v>37.78</v>
      </c>
      <c r="F132" s="2">
        <v>283165</v>
      </c>
    </row>
    <row r="133" spans="1:6">
      <c r="A133" s="3" t="s">
        <v>2912</v>
      </c>
      <c r="B133" s="2">
        <v>24</v>
      </c>
      <c r="C133" s="2">
        <v>505757</v>
      </c>
      <c r="D133" s="2">
        <v>3096089</v>
      </c>
      <c r="E133" s="2">
        <v>37.78</v>
      </c>
      <c r="F133" s="2">
        <v>419349</v>
      </c>
    </row>
    <row r="134" spans="1:6">
      <c r="A134" s="3" t="s">
        <v>2913</v>
      </c>
      <c r="B134" s="2">
        <v>30</v>
      </c>
      <c r="C134" s="2">
        <v>624969</v>
      </c>
      <c r="D134" s="2">
        <v>3097798</v>
      </c>
      <c r="E134" s="2">
        <v>37.78</v>
      </c>
      <c r="F134" s="2">
        <v>468385</v>
      </c>
    </row>
    <row r="135" spans="1:6">
      <c r="A135" s="3" t="s">
        <v>2914</v>
      </c>
      <c r="B135" s="2">
        <v>24</v>
      </c>
      <c r="C135" s="2">
        <v>1092824</v>
      </c>
      <c r="D135" s="2">
        <v>3097922</v>
      </c>
      <c r="E135" s="2">
        <v>37.78</v>
      </c>
      <c r="F135" s="2">
        <v>541962</v>
      </c>
    </row>
    <row r="136" spans="1:6">
      <c r="A136" s="3" t="s">
        <v>2915</v>
      </c>
      <c r="B136" s="2">
        <v>23</v>
      </c>
      <c r="C136" s="2">
        <v>779097</v>
      </c>
      <c r="D136" s="2">
        <v>3109086</v>
      </c>
      <c r="E136" s="2">
        <v>37.78</v>
      </c>
      <c r="F136" s="2">
        <v>528584</v>
      </c>
    </row>
    <row r="137" spans="1:6">
      <c r="A137" s="3" t="s">
        <v>2916</v>
      </c>
      <c r="B137" s="2">
        <v>74</v>
      </c>
      <c r="C137" s="2">
        <v>313468</v>
      </c>
      <c r="D137" s="2">
        <v>3113593</v>
      </c>
      <c r="E137" s="2">
        <v>37.78</v>
      </c>
      <c r="F137" s="2">
        <v>134586</v>
      </c>
    </row>
    <row r="138" spans="1:6">
      <c r="A138" s="3" t="s">
        <v>2917</v>
      </c>
      <c r="B138" s="2">
        <v>36</v>
      </c>
      <c r="C138" s="2">
        <v>488734</v>
      </c>
      <c r="D138" s="2">
        <v>3130209</v>
      </c>
      <c r="E138" s="2">
        <v>37.78</v>
      </c>
      <c r="F138" s="2">
        <v>203622</v>
      </c>
    </row>
    <row r="139" spans="1:6">
      <c r="A139" s="3" t="s">
        <v>2918</v>
      </c>
      <c r="B139" s="2">
        <v>52</v>
      </c>
      <c r="C139" s="2">
        <v>344268</v>
      </c>
      <c r="D139" s="2">
        <v>2928054</v>
      </c>
      <c r="E139" s="2">
        <v>37.79</v>
      </c>
      <c r="F139" s="2">
        <v>119990</v>
      </c>
    </row>
    <row r="140" spans="1:6">
      <c r="A140" s="3" t="s">
        <v>2919</v>
      </c>
      <c r="B140" s="2">
        <v>27</v>
      </c>
      <c r="C140" s="2">
        <v>372175</v>
      </c>
      <c r="D140" s="2">
        <v>2933321</v>
      </c>
      <c r="E140" s="2">
        <v>37.79</v>
      </c>
      <c r="F140" s="2">
        <v>217173</v>
      </c>
    </row>
    <row r="141" spans="1:6">
      <c r="A141" s="3" t="s">
        <v>2920</v>
      </c>
      <c r="B141" s="2">
        <v>18</v>
      </c>
      <c r="C141" s="2">
        <v>514248</v>
      </c>
      <c r="D141" s="2">
        <v>2937659</v>
      </c>
      <c r="E141" s="2">
        <v>37.79</v>
      </c>
      <c r="F141" s="2">
        <v>285067</v>
      </c>
    </row>
    <row r="142" spans="1:6">
      <c r="A142" s="3" t="s">
        <v>2921</v>
      </c>
      <c r="B142" s="2">
        <v>19</v>
      </c>
      <c r="C142" s="2">
        <v>882213</v>
      </c>
      <c r="D142" s="2">
        <v>2946605</v>
      </c>
      <c r="E142" s="2">
        <v>37.79</v>
      </c>
      <c r="F142" s="2">
        <v>433811</v>
      </c>
    </row>
    <row r="143" spans="1:6">
      <c r="A143" s="3" t="s">
        <v>2922</v>
      </c>
      <c r="B143" s="2">
        <v>15</v>
      </c>
      <c r="C143" s="2">
        <v>559610</v>
      </c>
      <c r="D143" s="2">
        <v>2946655</v>
      </c>
      <c r="E143" s="2">
        <v>37.79</v>
      </c>
      <c r="F143" s="2">
        <v>480407</v>
      </c>
    </row>
    <row r="144" spans="1:6">
      <c r="A144" s="3" t="s">
        <v>2923</v>
      </c>
      <c r="B144" s="2">
        <v>26</v>
      </c>
      <c r="C144" s="2">
        <v>718944</v>
      </c>
      <c r="D144" s="2">
        <v>3003628</v>
      </c>
      <c r="E144" s="2">
        <v>37.79</v>
      </c>
      <c r="F144" s="2">
        <v>408030</v>
      </c>
    </row>
    <row r="145" spans="1:6">
      <c r="A145" s="3" t="s">
        <v>2924</v>
      </c>
      <c r="B145" s="2">
        <v>22</v>
      </c>
      <c r="C145" s="2">
        <v>516980</v>
      </c>
      <c r="D145" s="2">
        <v>3003977</v>
      </c>
      <c r="E145" s="2">
        <v>37.79</v>
      </c>
      <c r="F145" s="2">
        <v>308292</v>
      </c>
    </row>
    <row r="146" spans="1:6">
      <c r="A146" s="3" t="s">
        <v>2925</v>
      </c>
      <c r="B146" s="2">
        <v>32</v>
      </c>
      <c r="C146" s="2">
        <v>492338</v>
      </c>
      <c r="D146" s="2">
        <v>3004758</v>
      </c>
      <c r="E146" s="2">
        <v>37.79</v>
      </c>
      <c r="F146" s="2">
        <v>264628</v>
      </c>
    </row>
    <row r="147" spans="1:6">
      <c r="A147" s="3" t="s">
        <v>2926</v>
      </c>
      <c r="B147" s="2">
        <v>37</v>
      </c>
      <c r="C147" s="2">
        <v>427926</v>
      </c>
      <c r="D147" s="2">
        <v>3027565</v>
      </c>
      <c r="E147" s="2">
        <v>37.79</v>
      </c>
      <c r="F147" s="2">
        <v>168375</v>
      </c>
    </row>
    <row r="148" spans="1:6">
      <c r="A148" s="3" t="s">
        <v>2927</v>
      </c>
      <c r="B148" s="2">
        <v>26</v>
      </c>
      <c r="C148" s="2">
        <v>605071</v>
      </c>
      <c r="D148" s="2">
        <v>3034816</v>
      </c>
      <c r="E148" s="2">
        <v>37.79</v>
      </c>
      <c r="F148" s="2">
        <v>368135</v>
      </c>
    </row>
    <row r="149" spans="1:6">
      <c r="A149" s="3" t="s">
        <v>2928</v>
      </c>
      <c r="B149" s="2">
        <v>72</v>
      </c>
      <c r="C149" s="2">
        <v>386951</v>
      </c>
      <c r="D149" s="2">
        <v>3052490</v>
      </c>
      <c r="E149" s="2">
        <v>37.79</v>
      </c>
      <c r="F149" s="2">
        <v>74914</v>
      </c>
    </row>
    <row r="150" spans="1:6">
      <c r="A150" s="3" t="s">
        <v>2929</v>
      </c>
      <c r="B150" s="2">
        <v>41</v>
      </c>
      <c r="C150" s="2">
        <v>505498</v>
      </c>
      <c r="D150" s="2">
        <v>3052680</v>
      </c>
      <c r="E150" s="2">
        <v>37.79</v>
      </c>
      <c r="F150" s="2">
        <v>372324</v>
      </c>
    </row>
    <row r="151" spans="1:6">
      <c r="A151" s="3" t="s">
        <v>2930</v>
      </c>
      <c r="B151" s="2">
        <v>43</v>
      </c>
      <c r="C151" s="2">
        <v>509908</v>
      </c>
      <c r="D151" s="2">
        <v>3054314</v>
      </c>
      <c r="E151" s="2">
        <v>37.79</v>
      </c>
      <c r="F151" s="2">
        <v>171025</v>
      </c>
    </row>
    <row r="152" spans="1:6">
      <c r="A152" s="3" t="s">
        <v>2931</v>
      </c>
      <c r="B152" s="2">
        <v>29</v>
      </c>
      <c r="C152" s="2">
        <v>462410</v>
      </c>
      <c r="D152" s="2">
        <v>3058603</v>
      </c>
      <c r="E152" s="2">
        <v>37.79</v>
      </c>
      <c r="F152" s="2">
        <v>251371</v>
      </c>
    </row>
    <row r="153" spans="1:6">
      <c r="A153" s="3" t="s">
        <v>2932</v>
      </c>
      <c r="B153" s="2">
        <v>22</v>
      </c>
      <c r="C153" s="2">
        <v>625911</v>
      </c>
      <c r="D153" s="2">
        <v>3059785</v>
      </c>
      <c r="E153" s="2">
        <v>37.79</v>
      </c>
      <c r="F153" s="2">
        <v>465597</v>
      </c>
    </row>
    <row r="154" spans="1:6">
      <c r="A154" s="3" t="s">
        <v>2933</v>
      </c>
      <c r="B154" s="2">
        <v>33</v>
      </c>
      <c r="C154" s="2">
        <v>479697</v>
      </c>
      <c r="D154" s="2">
        <v>3060044</v>
      </c>
      <c r="E154" s="2">
        <v>37.79</v>
      </c>
      <c r="F154" s="2">
        <v>149144</v>
      </c>
    </row>
    <row r="155" spans="1:6">
      <c r="A155" s="3" t="s">
        <v>2934</v>
      </c>
      <c r="B155" s="2">
        <v>26</v>
      </c>
      <c r="C155" s="2">
        <v>640224</v>
      </c>
      <c r="D155" s="2">
        <v>3060249</v>
      </c>
      <c r="E155" s="2">
        <v>37.79</v>
      </c>
      <c r="F155" s="2">
        <v>466083</v>
      </c>
    </row>
    <row r="156" spans="1:6">
      <c r="A156" s="3" t="s">
        <v>2935</v>
      </c>
      <c r="B156" s="2">
        <v>30</v>
      </c>
      <c r="C156" s="2">
        <v>514769</v>
      </c>
      <c r="D156" s="2">
        <v>3060272</v>
      </c>
      <c r="E156" s="2">
        <v>37.79</v>
      </c>
      <c r="F156" s="2">
        <v>319353</v>
      </c>
    </row>
    <row r="157" spans="1:6">
      <c r="A157" s="3" t="s">
        <v>2936</v>
      </c>
      <c r="B157" s="2">
        <v>27</v>
      </c>
      <c r="C157" s="2">
        <v>631067</v>
      </c>
      <c r="D157" s="2">
        <v>3060497</v>
      </c>
      <c r="E157" s="2">
        <v>37.79</v>
      </c>
      <c r="F157" s="2">
        <v>361844</v>
      </c>
    </row>
    <row r="158" spans="1:6">
      <c r="A158" s="3" t="s">
        <v>2937</v>
      </c>
      <c r="B158" s="2">
        <v>23</v>
      </c>
      <c r="C158" s="2">
        <v>514749</v>
      </c>
      <c r="D158" s="2">
        <v>3060725</v>
      </c>
      <c r="E158" s="2">
        <v>37.79</v>
      </c>
      <c r="F158" s="2">
        <v>391352</v>
      </c>
    </row>
    <row r="159" spans="1:6">
      <c r="A159" s="3" t="s">
        <v>2938</v>
      </c>
      <c r="B159" s="2">
        <v>29</v>
      </c>
      <c r="C159" s="2">
        <v>592459</v>
      </c>
      <c r="D159" s="2">
        <v>3061104</v>
      </c>
      <c r="E159" s="2">
        <v>37.79</v>
      </c>
      <c r="F159" s="2">
        <v>452048</v>
      </c>
    </row>
    <row r="160" spans="1:6">
      <c r="A160" s="3" t="s">
        <v>2939</v>
      </c>
      <c r="B160" s="2">
        <v>39</v>
      </c>
      <c r="C160" s="2">
        <v>361844</v>
      </c>
      <c r="D160" s="2">
        <v>3061319</v>
      </c>
      <c r="E160" s="2">
        <v>37.79</v>
      </c>
      <c r="F160" s="2">
        <v>198484</v>
      </c>
    </row>
    <row r="161" spans="1:6">
      <c r="A161" s="3" t="s">
        <v>2940</v>
      </c>
      <c r="B161" s="2">
        <v>22</v>
      </c>
      <c r="C161" s="2">
        <v>780851</v>
      </c>
      <c r="D161" s="2">
        <v>3061328</v>
      </c>
      <c r="E161" s="2">
        <v>37.79</v>
      </c>
      <c r="F161" s="2">
        <v>482995</v>
      </c>
    </row>
    <row r="162" spans="1:6">
      <c r="A162" s="3" t="s">
        <v>2941</v>
      </c>
      <c r="B162" s="2">
        <v>66</v>
      </c>
      <c r="C162" s="2">
        <v>290705</v>
      </c>
      <c r="D162" s="2">
        <v>3061452</v>
      </c>
      <c r="E162" s="2">
        <v>37.79</v>
      </c>
      <c r="F162" s="2">
        <v>84194</v>
      </c>
    </row>
    <row r="163" spans="1:6">
      <c r="A163" s="3" t="s">
        <v>2942</v>
      </c>
      <c r="B163" s="2">
        <v>31</v>
      </c>
      <c r="C163" s="2">
        <v>415197</v>
      </c>
      <c r="D163" s="2">
        <v>3062056</v>
      </c>
      <c r="E163" s="2">
        <v>37.79</v>
      </c>
      <c r="F163" s="2">
        <v>171942</v>
      </c>
    </row>
    <row r="164" spans="1:6">
      <c r="A164" s="3" t="s">
        <v>2943</v>
      </c>
      <c r="B164" s="2">
        <v>21</v>
      </c>
      <c r="C164" s="2">
        <v>780854</v>
      </c>
      <c r="D164" s="2">
        <v>3062402</v>
      </c>
      <c r="E164" s="2">
        <v>37.79</v>
      </c>
      <c r="F164" s="2">
        <v>482995</v>
      </c>
    </row>
    <row r="165" spans="1:6">
      <c r="A165" s="3" t="s">
        <v>2944</v>
      </c>
      <c r="B165" s="2">
        <v>34</v>
      </c>
      <c r="C165" s="2">
        <v>394916</v>
      </c>
      <c r="D165" s="2">
        <v>3062471</v>
      </c>
      <c r="E165" s="2">
        <v>37.79</v>
      </c>
      <c r="F165" s="2">
        <v>316883</v>
      </c>
    </row>
    <row r="166" spans="1:6">
      <c r="A166" s="3" t="s">
        <v>2945</v>
      </c>
      <c r="B166" s="2">
        <v>24</v>
      </c>
      <c r="C166" s="2">
        <v>514760</v>
      </c>
      <c r="D166" s="2">
        <v>3062701</v>
      </c>
      <c r="E166" s="2">
        <v>37.79</v>
      </c>
      <c r="F166" s="2">
        <v>387683</v>
      </c>
    </row>
    <row r="167" spans="1:6">
      <c r="A167" s="3" t="s">
        <v>2946</v>
      </c>
      <c r="B167" s="2">
        <v>26</v>
      </c>
      <c r="C167" s="2">
        <v>780802</v>
      </c>
      <c r="D167" s="2">
        <v>3062838</v>
      </c>
      <c r="E167" s="2">
        <v>37.79</v>
      </c>
      <c r="F167" s="2">
        <v>482882</v>
      </c>
    </row>
    <row r="168" spans="1:6">
      <c r="A168" s="3" t="s">
        <v>2947</v>
      </c>
      <c r="B168" s="2">
        <v>27</v>
      </c>
      <c r="C168" s="2">
        <v>482161</v>
      </c>
      <c r="D168" s="2">
        <v>3063123</v>
      </c>
      <c r="E168" s="2">
        <v>37.79</v>
      </c>
      <c r="F168" s="2">
        <v>393076</v>
      </c>
    </row>
    <row r="169" spans="1:6">
      <c r="A169" s="3" t="s">
        <v>2948</v>
      </c>
      <c r="B169" s="2">
        <v>22</v>
      </c>
      <c r="C169" s="2">
        <v>1264623</v>
      </c>
      <c r="D169" s="2">
        <v>3063266</v>
      </c>
      <c r="E169" s="2">
        <v>37.79</v>
      </c>
      <c r="F169" s="2">
        <v>514867</v>
      </c>
    </row>
    <row r="170" spans="1:6">
      <c r="A170" s="3" t="s">
        <v>2949</v>
      </c>
      <c r="B170" s="2">
        <v>32</v>
      </c>
      <c r="C170" s="2">
        <v>514891</v>
      </c>
      <c r="D170" s="2">
        <v>3063348</v>
      </c>
      <c r="E170" s="2">
        <v>37.79</v>
      </c>
      <c r="F170" s="2">
        <v>286879</v>
      </c>
    </row>
    <row r="171" spans="1:6">
      <c r="A171" s="3" t="s">
        <v>2950</v>
      </c>
      <c r="B171" s="2">
        <v>22</v>
      </c>
      <c r="C171" s="2">
        <v>640284</v>
      </c>
      <c r="D171" s="2">
        <v>3063370</v>
      </c>
      <c r="E171" s="2">
        <v>37.79</v>
      </c>
      <c r="F171" s="2">
        <v>514735</v>
      </c>
    </row>
    <row r="172" spans="1:6">
      <c r="A172" s="3" t="s">
        <v>2951</v>
      </c>
      <c r="B172" s="2">
        <v>29</v>
      </c>
      <c r="C172" s="2">
        <v>514737</v>
      </c>
      <c r="D172" s="2">
        <v>3063527</v>
      </c>
      <c r="E172" s="2">
        <v>37.79</v>
      </c>
      <c r="F172" s="2">
        <v>327410</v>
      </c>
    </row>
    <row r="173" spans="1:6">
      <c r="A173" s="3" t="s">
        <v>2952</v>
      </c>
      <c r="B173" s="2">
        <v>23</v>
      </c>
      <c r="C173" s="2">
        <v>640315</v>
      </c>
      <c r="D173" s="2">
        <v>3063657</v>
      </c>
      <c r="E173" s="2">
        <v>37.79</v>
      </c>
      <c r="F173" s="2">
        <v>269140</v>
      </c>
    </row>
    <row r="174" spans="1:6">
      <c r="A174" s="3" t="s">
        <v>2953</v>
      </c>
      <c r="B174" s="2">
        <v>28</v>
      </c>
      <c r="C174" s="2">
        <v>640312</v>
      </c>
      <c r="D174" s="2">
        <v>3063734</v>
      </c>
      <c r="E174" s="2">
        <v>37.79</v>
      </c>
      <c r="F174" s="2">
        <v>448249</v>
      </c>
    </row>
    <row r="175" spans="1:6">
      <c r="A175" s="3" t="s">
        <v>2954</v>
      </c>
      <c r="B175" s="2">
        <v>34</v>
      </c>
      <c r="C175" s="2">
        <v>538347</v>
      </c>
      <c r="D175" s="2">
        <v>3074136</v>
      </c>
      <c r="E175" s="2">
        <v>37.79</v>
      </c>
      <c r="F175" s="2">
        <v>236915</v>
      </c>
    </row>
    <row r="176" spans="1:6">
      <c r="A176" s="3" t="s">
        <v>2955</v>
      </c>
      <c r="B176" s="2">
        <v>35</v>
      </c>
      <c r="C176" s="2">
        <v>512509</v>
      </c>
      <c r="D176" s="2">
        <v>3074597</v>
      </c>
      <c r="E176" s="2">
        <v>37.79</v>
      </c>
      <c r="F176" s="2">
        <v>253452</v>
      </c>
    </row>
    <row r="177" spans="1:6">
      <c r="A177" s="3" t="s">
        <v>2956</v>
      </c>
      <c r="B177" s="2">
        <v>22</v>
      </c>
      <c r="C177" s="2">
        <v>763279</v>
      </c>
      <c r="D177" s="2">
        <v>3075775</v>
      </c>
      <c r="E177" s="2">
        <v>37.79</v>
      </c>
      <c r="F177" s="2">
        <v>406931</v>
      </c>
    </row>
    <row r="178" spans="1:6">
      <c r="A178" s="3" t="s">
        <v>2957</v>
      </c>
      <c r="B178" s="2">
        <v>30</v>
      </c>
      <c r="C178" s="2">
        <v>494516</v>
      </c>
      <c r="D178" s="2">
        <v>3082351</v>
      </c>
      <c r="E178" s="2">
        <v>37.79</v>
      </c>
      <c r="F178" s="2">
        <v>358536</v>
      </c>
    </row>
    <row r="179" spans="1:6">
      <c r="A179" s="3" t="s">
        <v>2958</v>
      </c>
      <c r="B179" s="2">
        <v>37</v>
      </c>
      <c r="C179" s="2">
        <v>348270</v>
      </c>
      <c r="D179" s="2">
        <v>3085308</v>
      </c>
      <c r="E179" s="2">
        <v>37.79</v>
      </c>
      <c r="F179" s="2">
        <v>229536</v>
      </c>
    </row>
    <row r="180" spans="1:6">
      <c r="A180" s="3" t="s">
        <v>2959</v>
      </c>
      <c r="B180" s="2">
        <v>27</v>
      </c>
      <c r="C180" s="2">
        <v>606948</v>
      </c>
      <c r="D180" s="2">
        <v>3090578</v>
      </c>
      <c r="E180" s="2">
        <v>37.79</v>
      </c>
      <c r="F180" s="2">
        <v>482014</v>
      </c>
    </row>
    <row r="181" spans="1:6">
      <c r="A181" s="3" t="s">
        <v>2960</v>
      </c>
      <c r="B181" s="2">
        <v>19</v>
      </c>
      <c r="C181" s="2">
        <v>1299192</v>
      </c>
      <c r="D181" s="2">
        <v>3090724</v>
      </c>
      <c r="E181" s="2">
        <v>37.79</v>
      </c>
      <c r="F181" s="2">
        <v>532758</v>
      </c>
    </row>
    <row r="182" spans="1:6">
      <c r="A182" s="3" t="s">
        <v>2961</v>
      </c>
      <c r="B182" s="2">
        <v>36</v>
      </c>
      <c r="C182" s="2">
        <v>414984</v>
      </c>
      <c r="D182" s="2">
        <v>3094131</v>
      </c>
      <c r="E182" s="2">
        <v>37.79</v>
      </c>
      <c r="F182" s="2">
        <v>165430</v>
      </c>
    </row>
    <row r="183" spans="1:6">
      <c r="A183" s="3" t="s">
        <v>2962</v>
      </c>
      <c r="B183" s="2">
        <v>38</v>
      </c>
      <c r="C183" s="2">
        <v>452048</v>
      </c>
      <c r="D183" s="2">
        <v>3094193</v>
      </c>
      <c r="E183" s="2">
        <v>37.79</v>
      </c>
      <c r="F183" s="2">
        <v>219914</v>
      </c>
    </row>
    <row r="184" spans="1:6">
      <c r="A184" s="3" t="s">
        <v>2963</v>
      </c>
      <c r="B184" s="2">
        <v>21</v>
      </c>
      <c r="C184" s="2">
        <v>611273</v>
      </c>
      <c r="D184" s="2">
        <v>3094505</v>
      </c>
      <c r="E184" s="2">
        <v>37.79</v>
      </c>
      <c r="F184" s="2">
        <v>480828</v>
      </c>
    </row>
    <row r="185" spans="1:6">
      <c r="A185" s="3" t="s">
        <v>2964</v>
      </c>
      <c r="B185" s="2">
        <v>22</v>
      </c>
      <c r="C185" s="2">
        <v>611244</v>
      </c>
      <c r="D185" s="2">
        <v>3094818</v>
      </c>
      <c r="E185" s="2">
        <v>37.79</v>
      </c>
      <c r="F185" s="2">
        <v>480877</v>
      </c>
    </row>
    <row r="186" spans="1:6">
      <c r="A186" s="3" t="s">
        <v>2965</v>
      </c>
      <c r="B186" s="2">
        <v>35</v>
      </c>
      <c r="C186" s="2">
        <v>578202</v>
      </c>
      <c r="D186" s="2">
        <v>3095396</v>
      </c>
      <c r="E186" s="2">
        <v>37.79</v>
      </c>
      <c r="F186" s="2">
        <v>480912</v>
      </c>
    </row>
    <row r="187" spans="1:6">
      <c r="A187" s="3" t="s">
        <v>2966</v>
      </c>
      <c r="B187" s="2">
        <v>26</v>
      </c>
      <c r="C187" s="2">
        <v>458977</v>
      </c>
      <c r="D187" s="2">
        <v>3095416</v>
      </c>
      <c r="E187" s="2">
        <v>37.79</v>
      </c>
      <c r="F187" s="2">
        <v>232471</v>
      </c>
    </row>
    <row r="188" spans="1:6">
      <c r="A188" s="3" t="s">
        <v>2967</v>
      </c>
      <c r="B188" s="2">
        <v>28</v>
      </c>
      <c r="C188" s="2">
        <v>813189</v>
      </c>
      <c r="D188" s="2">
        <v>3095419</v>
      </c>
      <c r="E188" s="2">
        <v>37.79</v>
      </c>
      <c r="F188" s="2">
        <v>482843</v>
      </c>
    </row>
    <row r="189" spans="1:6">
      <c r="A189" s="3" t="s">
        <v>2968</v>
      </c>
      <c r="B189" s="2">
        <v>50</v>
      </c>
      <c r="C189" s="2">
        <v>406041</v>
      </c>
      <c r="D189" s="2">
        <v>3095582</v>
      </c>
      <c r="E189" s="2">
        <v>37.79</v>
      </c>
      <c r="F189" s="2">
        <v>179541</v>
      </c>
    </row>
    <row r="190" spans="1:6">
      <c r="A190" s="3" t="s">
        <v>2969</v>
      </c>
      <c r="B190" s="2">
        <v>27</v>
      </c>
      <c r="C190" s="2">
        <v>614023</v>
      </c>
      <c r="D190" s="2">
        <v>3096079</v>
      </c>
      <c r="E190" s="2">
        <v>37.79</v>
      </c>
      <c r="F190" s="2">
        <v>480802</v>
      </c>
    </row>
    <row r="191" spans="1:6">
      <c r="A191" s="3" t="s">
        <v>2970</v>
      </c>
      <c r="B191" s="2">
        <v>26</v>
      </c>
      <c r="C191" s="2">
        <v>607235</v>
      </c>
      <c r="D191" s="2">
        <v>3096300</v>
      </c>
      <c r="E191" s="2">
        <v>37.79</v>
      </c>
      <c r="F191" s="2">
        <v>482730</v>
      </c>
    </row>
    <row r="192" spans="1:6">
      <c r="A192" s="3" t="s">
        <v>2971</v>
      </c>
      <c r="B192" s="2">
        <v>29</v>
      </c>
      <c r="C192" s="2">
        <v>614023</v>
      </c>
      <c r="D192" s="2">
        <v>3096304</v>
      </c>
      <c r="E192" s="2">
        <v>37.79</v>
      </c>
      <c r="F192" s="2">
        <v>480802</v>
      </c>
    </row>
    <row r="193" spans="1:6">
      <c r="A193" s="3" t="s">
        <v>2972</v>
      </c>
      <c r="B193" s="2">
        <v>54</v>
      </c>
      <c r="C193" s="2">
        <v>438857</v>
      </c>
      <c r="D193" s="2">
        <v>3096437</v>
      </c>
      <c r="E193" s="2">
        <v>37.79</v>
      </c>
      <c r="F193" s="2">
        <v>125919</v>
      </c>
    </row>
    <row r="194" spans="1:6">
      <c r="A194" s="3" t="s">
        <v>2973</v>
      </c>
      <c r="B194" s="2">
        <v>45</v>
      </c>
      <c r="C194" s="2">
        <v>358903</v>
      </c>
      <c r="D194" s="2">
        <v>3096495</v>
      </c>
      <c r="E194" s="2">
        <v>37.79</v>
      </c>
      <c r="F194" s="2">
        <v>126581</v>
      </c>
    </row>
    <row r="195" spans="1:6">
      <c r="A195" s="3" t="s">
        <v>2974</v>
      </c>
      <c r="B195" s="2">
        <v>23</v>
      </c>
      <c r="C195" s="2">
        <v>1296633</v>
      </c>
      <c r="D195" s="2">
        <v>3096834</v>
      </c>
      <c r="E195" s="2">
        <v>37.79</v>
      </c>
      <c r="F195" s="2">
        <v>532295</v>
      </c>
    </row>
    <row r="196" spans="1:6">
      <c r="A196" s="3" t="s">
        <v>2975</v>
      </c>
      <c r="B196" s="2">
        <v>35</v>
      </c>
      <c r="C196" s="2">
        <v>547558</v>
      </c>
      <c r="D196" s="2">
        <v>3097109</v>
      </c>
      <c r="E196" s="2">
        <v>37.79</v>
      </c>
      <c r="F196" s="2">
        <v>361909</v>
      </c>
    </row>
    <row r="197" spans="1:6">
      <c r="A197" s="3" t="s">
        <v>2976</v>
      </c>
      <c r="B197" s="2">
        <v>33</v>
      </c>
      <c r="C197" s="2">
        <v>608995</v>
      </c>
      <c r="D197" s="2">
        <v>3097417</v>
      </c>
      <c r="E197" s="2">
        <v>37.79</v>
      </c>
      <c r="F197" s="2">
        <v>483072</v>
      </c>
    </row>
    <row r="198" spans="1:6">
      <c r="A198" s="3" t="s">
        <v>2977</v>
      </c>
      <c r="B198" s="2">
        <v>25</v>
      </c>
      <c r="C198" s="2">
        <v>614320</v>
      </c>
      <c r="D198" s="2">
        <v>3097426</v>
      </c>
      <c r="E198" s="2">
        <v>37.79</v>
      </c>
      <c r="F198" s="2">
        <v>452114</v>
      </c>
    </row>
    <row r="199" spans="1:6">
      <c r="A199" s="3" t="s">
        <v>2978</v>
      </c>
      <c r="B199" s="2">
        <v>40</v>
      </c>
      <c r="C199" s="2">
        <v>624527</v>
      </c>
      <c r="D199" s="2">
        <v>3097472</v>
      </c>
      <c r="E199" s="2">
        <v>37.79</v>
      </c>
      <c r="F199" s="2">
        <v>203187</v>
      </c>
    </row>
    <row r="200" spans="1:6">
      <c r="A200" s="3" t="s">
        <v>2979</v>
      </c>
      <c r="B200" s="2">
        <v>33</v>
      </c>
      <c r="C200" s="2">
        <v>608995</v>
      </c>
      <c r="D200" s="2">
        <v>3097634</v>
      </c>
      <c r="E200" s="2">
        <v>37.79</v>
      </c>
      <c r="F200" s="2">
        <v>483795</v>
      </c>
    </row>
    <row r="201" spans="1:6">
      <c r="A201" s="3" t="s">
        <v>2980</v>
      </c>
      <c r="B201" s="2">
        <v>35</v>
      </c>
      <c r="C201" s="2">
        <v>480212</v>
      </c>
      <c r="D201" s="2">
        <v>3097773</v>
      </c>
      <c r="E201" s="2">
        <v>37.79</v>
      </c>
      <c r="F201" s="2">
        <v>343880</v>
      </c>
    </row>
    <row r="202" spans="1:6">
      <c r="A202" s="3" t="s">
        <v>2981</v>
      </c>
      <c r="B202" s="2">
        <v>34</v>
      </c>
      <c r="C202" s="2">
        <v>610214</v>
      </c>
      <c r="D202" s="2">
        <v>3100654</v>
      </c>
      <c r="E202" s="2">
        <v>37.79</v>
      </c>
      <c r="F202" s="2">
        <v>480390</v>
      </c>
    </row>
    <row r="203" spans="1:6">
      <c r="A203" s="3" t="s">
        <v>2982</v>
      </c>
      <c r="B203" s="2">
        <v>26</v>
      </c>
      <c r="C203" s="2">
        <v>882316</v>
      </c>
      <c r="D203" s="2">
        <v>3106979</v>
      </c>
      <c r="E203" s="2">
        <v>37.79</v>
      </c>
      <c r="F203" s="2">
        <v>452114</v>
      </c>
    </row>
    <row r="204" spans="1:6">
      <c r="A204" s="3" t="s">
        <v>2983</v>
      </c>
      <c r="B204" s="2">
        <v>47</v>
      </c>
      <c r="C204" s="2">
        <v>546063</v>
      </c>
      <c r="D204" s="2">
        <v>3108818</v>
      </c>
      <c r="E204" s="2">
        <v>37.79</v>
      </c>
      <c r="F204" s="2">
        <v>173896</v>
      </c>
    </row>
    <row r="205" spans="1:6">
      <c r="A205" s="3" t="s">
        <v>2984</v>
      </c>
      <c r="B205" s="2">
        <v>30</v>
      </c>
      <c r="C205" s="2">
        <v>684359</v>
      </c>
      <c r="D205" s="2">
        <v>3114994</v>
      </c>
      <c r="E205" s="2">
        <v>37.79</v>
      </c>
      <c r="F205" s="2">
        <v>164445</v>
      </c>
    </row>
    <row r="206" spans="1:6">
      <c r="A206" s="3" t="s">
        <v>2985</v>
      </c>
      <c r="B206" s="2">
        <v>19</v>
      </c>
      <c r="C206" s="2">
        <v>615045</v>
      </c>
      <c r="D206" s="2">
        <v>2934084</v>
      </c>
      <c r="E206" s="2">
        <v>37.799999999999997</v>
      </c>
      <c r="F206" s="2">
        <v>357141</v>
      </c>
    </row>
    <row r="207" spans="1:6">
      <c r="A207" s="3" t="s">
        <v>2986</v>
      </c>
      <c r="B207" s="2">
        <v>24</v>
      </c>
      <c r="C207" s="2">
        <v>755670</v>
      </c>
      <c r="D207" s="2">
        <v>2934822</v>
      </c>
      <c r="E207" s="2">
        <v>37.799999999999997</v>
      </c>
      <c r="F207" s="2">
        <v>285146</v>
      </c>
    </row>
    <row r="208" spans="1:6">
      <c r="A208" s="3" t="s">
        <v>2987</v>
      </c>
      <c r="B208" s="2">
        <v>13</v>
      </c>
      <c r="C208" s="2">
        <v>763215</v>
      </c>
      <c r="D208" s="2">
        <v>2935155</v>
      </c>
      <c r="E208" s="2">
        <v>37.799999999999997</v>
      </c>
      <c r="F208" s="2">
        <v>443777</v>
      </c>
    </row>
    <row r="209" spans="1:6">
      <c r="A209" s="3" t="s">
        <v>2988</v>
      </c>
      <c r="B209" s="2">
        <v>16</v>
      </c>
      <c r="C209" s="2">
        <v>763236</v>
      </c>
      <c r="D209" s="2">
        <v>2935840</v>
      </c>
      <c r="E209" s="2">
        <v>37.799999999999997</v>
      </c>
      <c r="F209" s="2">
        <v>443777</v>
      </c>
    </row>
    <row r="210" spans="1:6">
      <c r="A210" s="3" t="s">
        <v>2989</v>
      </c>
      <c r="B210" s="2">
        <v>15</v>
      </c>
      <c r="C210" s="2">
        <v>805454</v>
      </c>
      <c r="D210" s="2">
        <v>2946390</v>
      </c>
      <c r="E210" s="2">
        <v>37.799999999999997</v>
      </c>
      <c r="F210" s="2">
        <v>443777</v>
      </c>
    </row>
    <row r="211" spans="1:6">
      <c r="A211" s="3" t="s">
        <v>2990</v>
      </c>
      <c r="B211" s="2">
        <v>16</v>
      </c>
      <c r="C211" s="2">
        <v>784308</v>
      </c>
      <c r="D211" s="2">
        <v>2951461</v>
      </c>
      <c r="E211" s="2">
        <v>37.799999999999997</v>
      </c>
      <c r="F211" s="2">
        <v>441756</v>
      </c>
    </row>
    <row r="212" spans="1:6">
      <c r="A212" s="3" t="s">
        <v>2991</v>
      </c>
      <c r="B212" s="2">
        <v>20</v>
      </c>
      <c r="C212" s="2">
        <v>487728</v>
      </c>
      <c r="D212" s="2">
        <v>2970281</v>
      </c>
      <c r="E212" s="2">
        <v>37.799999999999997</v>
      </c>
      <c r="F212" s="2">
        <v>302022</v>
      </c>
    </row>
    <row r="213" spans="1:6">
      <c r="A213" s="3" t="s">
        <v>2992</v>
      </c>
      <c r="B213" s="2">
        <v>13</v>
      </c>
      <c r="C213" s="2">
        <v>1544036</v>
      </c>
      <c r="D213" s="2">
        <v>2976752</v>
      </c>
      <c r="E213" s="2">
        <v>37.799999999999997</v>
      </c>
      <c r="F213" s="2">
        <v>1544036</v>
      </c>
    </row>
    <row r="214" spans="1:6">
      <c r="A214" s="3" t="s">
        <v>2993</v>
      </c>
      <c r="B214" s="2">
        <v>47</v>
      </c>
      <c r="C214" s="2">
        <v>481732</v>
      </c>
      <c r="D214" s="2">
        <v>2977094</v>
      </c>
      <c r="E214" s="2">
        <v>37.799999999999997</v>
      </c>
      <c r="F214" s="2">
        <v>163920</v>
      </c>
    </row>
    <row r="215" spans="1:6">
      <c r="A215" s="3" t="s">
        <v>2994</v>
      </c>
      <c r="B215" s="2">
        <v>55</v>
      </c>
      <c r="C215" s="2">
        <v>211350</v>
      </c>
      <c r="D215" s="2">
        <v>2982720</v>
      </c>
      <c r="E215" s="2">
        <v>37.799999999999997</v>
      </c>
      <c r="F215" s="2">
        <v>97812</v>
      </c>
    </row>
    <row r="216" spans="1:6">
      <c r="A216" s="3" t="s">
        <v>2995</v>
      </c>
      <c r="B216" s="2">
        <v>35</v>
      </c>
      <c r="C216" s="2">
        <v>427067</v>
      </c>
      <c r="D216" s="2">
        <v>2982935</v>
      </c>
      <c r="E216" s="2">
        <v>37.799999999999997</v>
      </c>
      <c r="F216" s="2">
        <v>230694</v>
      </c>
    </row>
    <row r="217" spans="1:6">
      <c r="A217" s="3" t="s">
        <v>2996</v>
      </c>
      <c r="B217" s="2">
        <v>22</v>
      </c>
      <c r="C217" s="2">
        <v>1221225</v>
      </c>
      <c r="D217" s="2">
        <v>2983251</v>
      </c>
      <c r="E217" s="2">
        <v>37.799999999999997</v>
      </c>
      <c r="F217" s="2">
        <v>582358</v>
      </c>
    </row>
    <row r="218" spans="1:6">
      <c r="A218" s="3" t="s">
        <v>2997</v>
      </c>
      <c r="B218" s="2">
        <v>49</v>
      </c>
      <c r="C218" s="2">
        <v>372474</v>
      </c>
      <c r="D218" s="2">
        <v>2984183</v>
      </c>
      <c r="E218" s="2">
        <v>37.799999999999997</v>
      </c>
      <c r="F218" s="2">
        <v>192242</v>
      </c>
    </row>
    <row r="219" spans="1:6">
      <c r="A219" s="3" t="s">
        <v>2998</v>
      </c>
      <c r="B219" s="2">
        <v>32</v>
      </c>
      <c r="C219" s="2">
        <v>481281</v>
      </c>
      <c r="D219" s="2">
        <v>2984600</v>
      </c>
      <c r="E219" s="2">
        <v>37.799999999999997</v>
      </c>
      <c r="F219" s="2">
        <v>270267</v>
      </c>
    </row>
    <row r="220" spans="1:6">
      <c r="A220" s="3" t="s">
        <v>2999</v>
      </c>
      <c r="B220" s="2">
        <v>32</v>
      </c>
      <c r="C220" s="2">
        <v>482131</v>
      </c>
      <c r="D220" s="2">
        <v>2985395</v>
      </c>
      <c r="E220" s="2">
        <v>37.799999999999997</v>
      </c>
      <c r="F220" s="2">
        <v>273324</v>
      </c>
    </row>
    <row r="221" spans="1:6">
      <c r="A221" s="3" t="s">
        <v>3000</v>
      </c>
      <c r="B221" s="2">
        <v>25</v>
      </c>
      <c r="C221" s="2">
        <v>850370</v>
      </c>
      <c r="D221" s="2">
        <v>2999884</v>
      </c>
      <c r="E221" s="2">
        <v>37.799999999999997</v>
      </c>
      <c r="F221" s="2">
        <v>431853</v>
      </c>
    </row>
    <row r="222" spans="1:6">
      <c r="A222" s="3" t="s">
        <v>3001</v>
      </c>
      <c r="B222" s="2">
        <v>46</v>
      </c>
      <c r="C222" s="2">
        <v>439487</v>
      </c>
      <c r="D222" s="2">
        <v>3000247</v>
      </c>
      <c r="E222" s="2">
        <v>37.799999999999997</v>
      </c>
      <c r="F222" s="2">
        <v>163881</v>
      </c>
    </row>
    <row r="223" spans="1:6">
      <c r="A223" s="3" t="s">
        <v>3002</v>
      </c>
      <c r="B223" s="2">
        <v>21</v>
      </c>
      <c r="C223" s="2">
        <v>576515</v>
      </c>
      <c r="D223" s="2">
        <v>3004350</v>
      </c>
      <c r="E223" s="2">
        <v>37.799999999999997</v>
      </c>
      <c r="F223" s="2">
        <v>205033</v>
      </c>
    </row>
    <row r="224" spans="1:6">
      <c r="A224" s="3" t="s">
        <v>3003</v>
      </c>
      <c r="B224" s="2">
        <v>41</v>
      </c>
      <c r="C224" s="2">
        <v>360754</v>
      </c>
      <c r="D224" s="2">
        <v>3004643</v>
      </c>
      <c r="E224" s="2">
        <v>37.799999999999997</v>
      </c>
      <c r="F224" s="2">
        <v>207692</v>
      </c>
    </row>
    <row r="225" spans="1:6">
      <c r="A225" s="3" t="s">
        <v>3004</v>
      </c>
      <c r="B225" s="2">
        <v>31</v>
      </c>
      <c r="C225" s="2">
        <v>495623</v>
      </c>
      <c r="D225" s="2">
        <v>3005196</v>
      </c>
      <c r="E225" s="2">
        <v>37.799999999999997</v>
      </c>
      <c r="F225" s="2">
        <v>309670</v>
      </c>
    </row>
    <row r="226" spans="1:6">
      <c r="A226" s="3" t="s">
        <v>3005</v>
      </c>
      <c r="B226" s="2">
        <v>50</v>
      </c>
      <c r="C226" s="2">
        <v>250662</v>
      </c>
      <c r="D226" s="2">
        <v>3008382</v>
      </c>
      <c r="E226" s="2">
        <v>37.799999999999997</v>
      </c>
      <c r="F226" s="2">
        <v>105544</v>
      </c>
    </row>
    <row r="227" spans="1:6">
      <c r="A227" s="3" t="s">
        <v>3006</v>
      </c>
      <c r="B227" s="2">
        <v>26</v>
      </c>
      <c r="C227" s="2">
        <v>559156</v>
      </c>
      <c r="D227" s="2">
        <v>3008386</v>
      </c>
      <c r="E227" s="2">
        <v>37.799999999999997</v>
      </c>
      <c r="F227" s="2">
        <v>284445</v>
      </c>
    </row>
    <row r="228" spans="1:6">
      <c r="A228" s="3" t="s">
        <v>3007</v>
      </c>
      <c r="B228" s="2">
        <v>21</v>
      </c>
      <c r="C228" s="2">
        <v>558302</v>
      </c>
      <c r="D228" s="2">
        <v>3009514</v>
      </c>
      <c r="E228" s="2">
        <v>37.799999999999997</v>
      </c>
      <c r="F228" s="2">
        <v>449355</v>
      </c>
    </row>
    <row r="229" spans="1:6">
      <c r="A229" s="3" t="s">
        <v>3008</v>
      </c>
      <c r="B229" s="2">
        <v>21</v>
      </c>
      <c r="C229" s="2">
        <v>449843</v>
      </c>
      <c r="D229" s="2">
        <v>3010114</v>
      </c>
      <c r="E229" s="2">
        <v>37.799999999999997</v>
      </c>
      <c r="F229" s="2">
        <v>298806</v>
      </c>
    </row>
    <row r="230" spans="1:6">
      <c r="A230" s="3" t="s">
        <v>3009</v>
      </c>
      <c r="B230" s="2">
        <v>29</v>
      </c>
      <c r="C230" s="2">
        <v>512731</v>
      </c>
      <c r="D230" s="2">
        <v>3024612</v>
      </c>
      <c r="E230" s="2">
        <v>37.799999999999997</v>
      </c>
      <c r="F230" s="2">
        <v>252889</v>
      </c>
    </row>
    <row r="231" spans="1:6">
      <c r="A231" s="3" t="s">
        <v>3010</v>
      </c>
      <c r="B231" s="2">
        <v>28</v>
      </c>
      <c r="C231" s="2">
        <v>512739</v>
      </c>
      <c r="D231" s="2">
        <v>3025315</v>
      </c>
      <c r="E231" s="2">
        <v>37.799999999999997</v>
      </c>
      <c r="F231" s="2">
        <v>236569</v>
      </c>
    </row>
    <row r="232" spans="1:6">
      <c r="A232" s="3" t="s">
        <v>3011</v>
      </c>
      <c r="B232" s="2">
        <v>21</v>
      </c>
      <c r="C232" s="2">
        <v>783382</v>
      </c>
      <c r="D232" s="2">
        <v>3030557</v>
      </c>
      <c r="E232" s="2">
        <v>37.799999999999997</v>
      </c>
      <c r="F232" s="2">
        <v>478341</v>
      </c>
    </row>
    <row r="233" spans="1:6">
      <c r="A233" s="3" t="s">
        <v>3012</v>
      </c>
      <c r="B233" s="2">
        <v>28</v>
      </c>
      <c r="C233" s="2">
        <v>558697</v>
      </c>
      <c r="D233" s="2">
        <v>3031118</v>
      </c>
      <c r="E233" s="2">
        <v>37.799999999999997</v>
      </c>
      <c r="F233" s="2">
        <v>365235</v>
      </c>
    </row>
    <row r="234" spans="1:6">
      <c r="A234" s="3" t="s">
        <v>3013</v>
      </c>
      <c r="B234" s="2">
        <v>24</v>
      </c>
      <c r="C234" s="2">
        <v>873110</v>
      </c>
      <c r="D234" s="2">
        <v>3032436</v>
      </c>
      <c r="E234" s="2">
        <v>37.799999999999997</v>
      </c>
      <c r="F234" s="2">
        <v>503206</v>
      </c>
    </row>
    <row r="235" spans="1:6">
      <c r="A235" s="3" t="s">
        <v>3014</v>
      </c>
      <c r="B235" s="2">
        <v>39</v>
      </c>
      <c r="C235" s="2">
        <v>472732</v>
      </c>
      <c r="D235" s="2">
        <v>3035079</v>
      </c>
      <c r="E235" s="2">
        <v>37.799999999999997</v>
      </c>
      <c r="F235" s="2">
        <v>206483</v>
      </c>
    </row>
    <row r="236" spans="1:6">
      <c r="A236" s="3" t="s">
        <v>3015</v>
      </c>
      <c r="B236" s="2">
        <v>61</v>
      </c>
      <c r="C236" s="2">
        <v>356879</v>
      </c>
      <c r="D236" s="2">
        <v>3037897</v>
      </c>
      <c r="E236" s="2">
        <v>37.799999999999997</v>
      </c>
      <c r="F236" s="2">
        <v>137847</v>
      </c>
    </row>
    <row r="237" spans="1:6">
      <c r="A237" s="3" t="s">
        <v>3016</v>
      </c>
      <c r="B237" s="2">
        <v>24</v>
      </c>
      <c r="C237" s="2">
        <v>588151</v>
      </c>
      <c r="D237" s="2">
        <v>3042300</v>
      </c>
      <c r="E237" s="2">
        <v>37.799999999999997</v>
      </c>
      <c r="F237" s="2">
        <v>438992</v>
      </c>
    </row>
    <row r="238" spans="1:6">
      <c r="A238" s="3" t="s">
        <v>3017</v>
      </c>
      <c r="B238" s="2">
        <v>33</v>
      </c>
      <c r="C238" s="2">
        <v>368104</v>
      </c>
      <c r="D238" s="2">
        <v>3042756</v>
      </c>
      <c r="E238" s="2">
        <v>37.799999999999997</v>
      </c>
      <c r="F238" s="2">
        <v>223198</v>
      </c>
    </row>
    <row r="239" spans="1:6">
      <c r="A239" s="3" t="s">
        <v>3018</v>
      </c>
      <c r="B239" s="2">
        <v>36</v>
      </c>
      <c r="C239" s="2">
        <v>368104</v>
      </c>
      <c r="D239" s="2">
        <v>3043267</v>
      </c>
      <c r="E239" s="2">
        <v>37.799999999999997</v>
      </c>
      <c r="F239" s="2">
        <v>213784</v>
      </c>
    </row>
    <row r="240" spans="1:6">
      <c r="A240" s="3" t="s">
        <v>3019</v>
      </c>
      <c r="B240" s="2">
        <v>31</v>
      </c>
      <c r="C240" s="2">
        <v>368104</v>
      </c>
      <c r="D240" s="2">
        <v>3043576</v>
      </c>
      <c r="E240" s="2">
        <v>37.799999999999997</v>
      </c>
      <c r="F240" s="2">
        <v>223346</v>
      </c>
    </row>
    <row r="241" spans="1:6">
      <c r="A241" s="3" t="s">
        <v>3020</v>
      </c>
      <c r="B241" s="2">
        <v>27</v>
      </c>
      <c r="C241" s="2">
        <v>368104</v>
      </c>
      <c r="D241" s="2">
        <v>3044135</v>
      </c>
      <c r="E241" s="2">
        <v>37.799999999999997</v>
      </c>
      <c r="F241" s="2">
        <v>238672</v>
      </c>
    </row>
    <row r="242" spans="1:6">
      <c r="A242" s="3" t="s">
        <v>3021</v>
      </c>
      <c r="B242" s="2">
        <v>33</v>
      </c>
      <c r="C242" s="2">
        <v>294010</v>
      </c>
      <c r="D242" s="2">
        <v>3044453</v>
      </c>
      <c r="E242" s="2">
        <v>37.799999999999997</v>
      </c>
      <c r="F242" s="2">
        <v>172399</v>
      </c>
    </row>
    <row r="243" spans="1:6">
      <c r="A243" s="3" t="s">
        <v>3022</v>
      </c>
      <c r="B243" s="2">
        <v>21</v>
      </c>
      <c r="C243" s="2">
        <v>746226</v>
      </c>
      <c r="D243" s="2">
        <v>3044533</v>
      </c>
      <c r="E243" s="2">
        <v>37.799999999999997</v>
      </c>
      <c r="F243" s="2">
        <v>368104</v>
      </c>
    </row>
    <row r="244" spans="1:6">
      <c r="A244" s="3" t="s">
        <v>3023</v>
      </c>
      <c r="B244" s="2">
        <v>34</v>
      </c>
      <c r="C244" s="2">
        <v>324696</v>
      </c>
      <c r="D244" s="2">
        <v>3044961</v>
      </c>
      <c r="E244" s="2">
        <v>37.799999999999997</v>
      </c>
      <c r="F244" s="2">
        <v>228364</v>
      </c>
    </row>
    <row r="245" spans="1:6">
      <c r="A245" s="3" t="s">
        <v>3024</v>
      </c>
      <c r="B245" s="2">
        <v>53</v>
      </c>
      <c r="C245" s="2">
        <v>403268</v>
      </c>
      <c r="D245" s="2">
        <v>3050687</v>
      </c>
      <c r="E245" s="2">
        <v>37.799999999999997</v>
      </c>
      <c r="F245" s="2">
        <v>152043</v>
      </c>
    </row>
    <row r="246" spans="1:6">
      <c r="A246" s="3" t="s">
        <v>3025</v>
      </c>
      <c r="B246" s="2">
        <v>179</v>
      </c>
      <c r="C246" s="2">
        <v>145650</v>
      </c>
      <c r="D246" s="2">
        <v>3053935</v>
      </c>
      <c r="E246" s="2">
        <v>37.799999999999997</v>
      </c>
      <c r="F246" s="2">
        <v>28384</v>
      </c>
    </row>
    <row r="247" spans="1:6">
      <c r="A247" s="3" t="s">
        <v>3026</v>
      </c>
      <c r="B247" s="2">
        <v>22</v>
      </c>
      <c r="C247" s="2">
        <v>606995</v>
      </c>
      <c r="D247" s="2">
        <v>3055283</v>
      </c>
      <c r="E247" s="2">
        <v>37.799999999999997</v>
      </c>
      <c r="F247" s="2">
        <v>429400</v>
      </c>
    </row>
    <row r="248" spans="1:6">
      <c r="A248" s="3" t="s">
        <v>3027</v>
      </c>
      <c r="B248" s="2">
        <v>24</v>
      </c>
      <c r="C248" s="2">
        <v>517079</v>
      </c>
      <c r="D248" s="2">
        <v>3055611</v>
      </c>
      <c r="E248" s="2">
        <v>37.799999999999997</v>
      </c>
      <c r="F248" s="2">
        <v>214425</v>
      </c>
    </row>
    <row r="249" spans="1:6">
      <c r="A249" s="3" t="s">
        <v>3028</v>
      </c>
      <c r="B249" s="2">
        <v>17</v>
      </c>
      <c r="C249" s="2">
        <v>630055</v>
      </c>
      <c r="D249" s="2">
        <v>3055768</v>
      </c>
      <c r="E249" s="2">
        <v>37.799999999999997</v>
      </c>
      <c r="F249" s="2">
        <v>484742</v>
      </c>
    </row>
    <row r="250" spans="1:6">
      <c r="A250" s="3" t="s">
        <v>3029</v>
      </c>
      <c r="B250" s="2">
        <v>24</v>
      </c>
      <c r="C250" s="2">
        <v>779092</v>
      </c>
      <c r="D250" s="2">
        <v>3056001</v>
      </c>
      <c r="E250" s="2">
        <v>37.799999999999997</v>
      </c>
      <c r="F250" s="2">
        <v>480133</v>
      </c>
    </row>
    <row r="251" spans="1:6">
      <c r="A251" s="3" t="s">
        <v>3030</v>
      </c>
      <c r="B251" s="2">
        <v>23</v>
      </c>
      <c r="C251" s="2">
        <v>611948</v>
      </c>
      <c r="D251" s="2">
        <v>3056452</v>
      </c>
      <c r="E251" s="2">
        <v>37.799999999999997</v>
      </c>
      <c r="F251" s="2">
        <v>480955</v>
      </c>
    </row>
    <row r="252" spans="1:6">
      <c r="A252" s="3" t="s">
        <v>3031</v>
      </c>
      <c r="B252" s="2">
        <v>31</v>
      </c>
      <c r="C252" s="2">
        <v>748675</v>
      </c>
      <c r="D252" s="2">
        <v>3056511</v>
      </c>
      <c r="E252" s="2">
        <v>37.799999999999997</v>
      </c>
      <c r="F252" s="2">
        <v>482696</v>
      </c>
    </row>
    <row r="253" spans="1:6">
      <c r="A253" s="3" t="s">
        <v>3032</v>
      </c>
      <c r="B253" s="2">
        <v>54</v>
      </c>
      <c r="C253" s="2">
        <v>360381</v>
      </c>
      <c r="D253" s="2">
        <v>3056598</v>
      </c>
      <c r="E253" s="2">
        <v>37.799999999999997</v>
      </c>
      <c r="F253" s="2">
        <v>125919</v>
      </c>
    </row>
    <row r="254" spans="1:6">
      <c r="A254" s="3" t="s">
        <v>3033</v>
      </c>
      <c r="B254" s="2">
        <v>42</v>
      </c>
      <c r="C254" s="2">
        <v>369769</v>
      </c>
      <c r="D254" s="2">
        <v>3057048</v>
      </c>
      <c r="E254" s="2">
        <v>37.799999999999997</v>
      </c>
      <c r="F254" s="2">
        <v>140196</v>
      </c>
    </row>
    <row r="255" spans="1:6">
      <c r="A255" s="3" t="s">
        <v>3034</v>
      </c>
      <c r="B255" s="2">
        <v>29</v>
      </c>
      <c r="C255" s="2">
        <v>574059</v>
      </c>
      <c r="D255" s="2">
        <v>3057824</v>
      </c>
      <c r="E255" s="2">
        <v>37.799999999999997</v>
      </c>
      <c r="F255" s="2">
        <v>478800</v>
      </c>
    </row>
    <row r="256" spans="1:6">
      <c r="A256" s="3" t="s">
        <v>3035</v>
      </c>
      <c r="B256" s="2">
        <v>33</v>
      </c>
      <c r="C256" s="2">
        <v>527936</v>
      </c>
      <c r="D256" s="2">
        <v>3058326</v>
      </c>
      <c r="E256" s="2">
        <v>37.799999999999997</v>
      </c>
      <c r="F256" s="2">
        <v>387679</v>
      </c>
    </row>
    <row r="257" spans="1:6">
      <c r="A257" s="3" t="s">
        <v>3036</v>
      </c>
      <c r="B257" s="2">
        <v>31</v>
      </c>
      <c r="C257" s="2">
        <v>480284</v>
      </c>
      <c r="D257" s="2">
        <v>3058892</v>
      </c>
      <c r="E257" s="2">
        <v>37.799999999999997</v>
      </c>
      <c r="F257" s="2">
        <v>343766</v>
      </c>
    </row>
    <row r="258" spans="1:6">
      <c r="A258" s="3" t="s">
        <v>3037</v>
      </c>
      <c r="B258" s="2">
        <v>28</v>
      </c>
      <c r="C258" s="2">
        <v>748675</v>
      </c>
      <c r="D258" s="2">
        <v>3058973</v>
      </c>
      <c r="E258" s="2">
        <v>37.799999999999997</v>
      </c>
      <c r="F258" s="2">
        <v>482271</v>
      </c>
    </row>
    <row r="259" spans="1:6">
      <c r="A259" s="3" t="s">
        <v>3038</v>
      </c>
      <c r="B259" s="2">
        <v>30</v>
      </c>
      <c r="C259" s="2">
        <v>482270</v>
      </c>
      <c r="D259" s="2">
        <v>3059239</v>
      </c>
      <c r="E259" s="2">
        <v>37.799999999999997</v>
      </c>
      <c r="F259" s="2">
        <v>344002</v>
      </c>
    </row>
    <row r="260" spans="1:6">
      <c r="A260" s="3" t="s">
        <v>3039</v>
      </c>
      <c r="B260" s="2">
        <v>33</v>
      </c>
      <c r="C260" s="2">
        <v>527875</v>
      </c>
      <c r="D260" s="2">
        <v>3059345</v>
      </c>
      <c r="E260" s="2">
        <v>37.799999999999997</v>
      </c>
      <c r="F260" s="2">
        <v>482387</v>
      </c>
    </row>
    <row r="261" spans="1:6">
      <c r="A261" s="3" t="s">
        <v>3040</v>
      </c>
      <c r="B261" s="2">
        <v>43</v>
      </c>
      <c r="C261" s="2">
        <v>364782</v>
      </c>
      <c r="D261" s="2">
        <v>3059844</v>
      </c>
      <c r="E261" s="2">
        <v>37.799999999999997</v>
      </c>
      <c r="F261" s="2">
        <v>130722</v>
      </c>
    </row>
    <row r="262" spans="1:6">
      <c r="A262" s="3" t="s">
        <v>3041</v>
      </c>
      <c r="B262" s="2">
        <v>18</v>
      </c>
      <c r="C262" s="2">
        <v>1262297</v>
      </c>
      <c r="D262" s="2">
        <v>3059937</v>
      </c>
      <c r="E262" s="2">
        <v>37.799999999999997</v>
      </c>
      <c r="F262" s="2">
        <v>532772</v>
      </c>
    </row>
    <row r="263" spans="1:6">
      <c r="A263" s="3" t="s">
        <v>3042</v>
      </c>
      <c r="B263" s="2">
        <v>40</v>
      </c>
      <c r="C263" s="2">
        <v>344037</v>
      </c>
      <c r="D263" s="2">
        <v>3060085</v>
      </c>
      <c r="E263" s="2">
        <v>37.799999999999997</v>
      </c>
      <c r="F263" s="2">
        <v>126451</v>
      </c>
    </row>
    <row r="264" spans="1:6">
      <c r="A264" s="3" t="s">
        <v>3043</v>
      </c>
      <c r="B264" s="2">
        <v>32</v>
      </c>
      <c r="C264" s="2">
        <v>466263</v>
      </c>
      <c r="D264" s="2">
        <v>3060583</v>
      </c>
      <c r="E264" s="2">
        <v>37.799999999999997</v>
      </c>
      <c r="F264" s="2">
        <v>196665</v>
      </c>
    </row>
    <row r="265" spans="1:6">
      <c r="A265" s="3" t="s">
        <v>3044</v>
      </c>
      <c r="B265" s="2">
        <v>31</v>
      </c>
      <c r="C265" s="2">
        <v>466017</v>
      </c>
      <c r="D265" s="2">
        <v>3061017</v>
      </c>
      <c r="E265" s="2">
        <v>37.799999999999997</v>
      </c>
      <c r="F265" s="2">
        <v>249658</v>
      </c>
    </row>
    <row r="266" spans="1:6">
      <c r="A266" s="3" t="s">
        <v>3045</v>
      </c>
      <c r="B266" s="2">
        <v>30</v>
      </c>
      <c r="C266" s="2">
        <v>493815</v>
      </c>
      <c r="D266" s="2">
        <v>3061946</v>
      </c>
      <c r="E266" s="2">
        <v>37.799999999999997</v>
      </c>
      <c r="F266" s="2">
        <v>327281</v>
      </c>
    </row>
    <row r="267" spans="1:6">
      <c r="A267" s="3" t="s">
        <v>3046</v>
      </c>
      <c r="B267" s="2">
        <v>25</v>
      </c>
      <c r="C267" s="2">
        <v>780840</v>
      </c>
      <c r="D267" s="2">
        <v>3062787</v>
      </c>
      <c r="E267" s="2">
        <v>37.799999999999997</v>
      </c>
      <c r="F267" s="2">
        <v>416195</v>
      </c>
    </row>
    <row r="268" spans="1:6">
      <c r="A268" s="3" t="s">
        <v>3047</v>
      </c>
      <c r="B268" s="2">
        <v>18</v>
      </c>
      <c r="C268" s="2">
        <v>1264058</v>
      </c>
      <c r="D268" s="2">
        <v>3063120</v>
      </c>
      <c r="E268" s="2">
        <v>37.799999999999997</v>
      </c>
      <c r="F268" s="2">
        <v>532769</v>
      </c>
    </row>
    <row r="269" spans="1:6">
      <c r="A269" s="3" t="s">
        <v>3048</v>
      </c>
      <c r="B269" s="2">
        <v>31</v>
      </c>
      <c r="C269" s="2">
        <v>573579</v>
      </c>
      <c r="D269" s="2">
        <v>3063670</v>
      </c>
      <c r="E269" s="2">
        <v>37.799999999999997</v>
      </c>
      <c r="F269" s="2">
        <v>452057</v>
      </c>
    </row>
    <row r="270" spans="1:6">
      <c r="A270" s="3" t="s">
        <v>3049</v>
      </c>
      <c r="B270" s="2">
        <v>19</v>
      </c>
      <c r="C270" s="2">
        <v>1264916</v>
      </c>
      <c r="D270" s="2">
        <v>3065583</v>
      </c>
      <c r="E270" s="2">
        <v>37.799999999999997</v>
      </c>
      <c r="F270" s="2">
        <v>515291</v>
      </c>
    </row>
    <row r="271" spans="1:6">
      <c r="A271" s="3" t="s">
        <v>3050</v>
      </c>
      <c r="B271" s="2">
        <v>21</v>
      </c>
      <c r="C271" s="2">
        <v>1044398</v>
      </c>
      <c r="D271" s="2">
        <v>3066163</v>
      </c>
      <c r="E271" s="2">
        <v>37.799999999999997</v>
      </c>
      <c r="F271" s="2">
        <v>516232</v>
      </c>
    </row>
    <row r="272" spans="1:6">
      <c r="A272" s="3" t="s">
        <v>3051</v>
      </c>
      <c r="B272" s="2">
        <v>14</v>
      </c>
      <c r="C272" s="2">
        <v>1265711</v>
      </c>
      <c r="D272" s="2">
        <v>3066539</v>
      </c>
      <c r="E272" s="2">
        <v>37.799999999999997</v>
      </c>
      <c r="F272" s="2">
        <v>516641</v>
      </c>
    </row>
    <row r="273" spans="1:6">
      <c r="A273" s="3" t="s">
        <v>3052</v>
      </c>
      <c r="B273" s="2">
        <v>31</v>
      </c>
      <c r="C273" s="2">
        <v>512727</v>
      </c>
      <c r="D273" s="2">
        <v>3089712</v>
      </c>
      <c r="E273" s="2">
        <v>37.799999999999997</v>
      </c>
      <c r="F273" s="2">
        <v>443867</v>
      </c>
    </row>
    <row r="274" spans="1:6">
      <c r="A274" s="3" t="s">
        <v>3053</v>
      </c>
      <c r="B274" s="2">
        <v>71</v>
      </c>
      <c r="C274" s="2">
        <v>287342</v>
      </c>
      <c r="D274" s="2">
        <v>3092247</v>
      </c>
      <c r="E274" s="2">
        <v>37.799999999999997</v>
      </c>
      <c r="F274" s="2">
        <v>93953</v>
      </c>
    </row>
    <row r="275" spans="1:6">
      <c r="A275" s="3" t="s">
        <v>3054</v>
      </c>
      <c r="B275" s="2">
        <v>28</v>
      </c>
      <c r="C275" s="2">
        <v>609002</v>
      </c>
      <c r="D275" s="2">
        <v>3093595</v>
      </c>
      <c r="E275" s="2">
        <v>37.799999999999997</v>
      </c>
      <c r="F275" s="2">
        <v>482283</v>
      </c>
    </row>
    <row r="276" spans="1:6">
      <c r="A276" s="3" t="s">
        <v>3055</v>
      </c>
      <c r="B276" s="2">
        <v>33</v>
      </c>
      <c r="C276" s="2">
        <v>611232</v>
      </c>
      <c r="D276" s="2">
        <v>3094752</v>
      </c>
      <c r="E276" s="2">
        <v>37.799999999999997</v>
      </c>
      <c r="F276" s="2">
        <v>482206</v>
      </c>
    </row>
    <row r="277" spans="1:6">
      <c r="A277" s="3" t="s">
        <v>3056</v>
      </c>
      <c r="B277" s="2">
        <v>29</v>
      </c>
      <c r="C277" s="2">
        <v>608592</v>
      </c>
      <c r="D277" s="2">
        <v>3095128</v>
      </c>
      <c r="E277" s="2">
        <v>37.799999999999997</v>
      </c>
      <c r="F277" s="2">
        <v>482970</v>
      </c>
    </row>
    <row r="278" spans="1:6">
      <c r="A278" s="3" t="s">
        <v>3057</v>
      </c>
      <c r="B278" s="2">
        <v>62</v>
      </c>
      <c r="C278" s="2">
        <v>428441</v>
      </c>
      <c r="D278" s="2">
        <v>3096558</v>
      </c>
      <c r="E278" s="2">
        <v>37.799999999999997</v>
      </c>
      <c r="F278" s="2">
        <v>120378</v>
      </c>
    </row>
    <row r="279" spans="1:6">
      <c r="A279" s="3" t="s">
        <v>3058</v>
      </c>
      <c r="B279" s="2">
        <v>26</v>
      </c>
      <c r="C279" s="2">
        <v>814174</v>
      </c>
      <c r="D279" s="2">
        <v>3097143</v>
      </c>
      <c r="E279" s="2">
        <v>37.799999999999997</v>
      </c>
      <c r="F279" s="2">
        <v>482970</v>
      </c>
    </row>
    <row r="280" spans="1:6">
      <c r="A280" s="3" t="s">
        <v>3059</v>
      </c>
      <c r="B280" s="2">
        <v>22</v>
      </c>
      <c r="C280" s="2">
        <v>1091847</v>
      </c>
      <c r="D280" s="2">
        <v>3098833</v>
      </c>
      <c r="E280" s="2">
        <v>37.799999999999997</v>
      </c>
      <c r="F280" s="2">
        <v>542975</v>
      </c>
    </row>
    <row r="281" spans="1:6">
      <c r="A281" s="3" t="s">
        <v>3060</v>
      </c>
      <c r="B281" s="2">
        <v>35</v>
      </c>
      <c r="C281" s="2">
        <v>482474</v>
      </c>
      <c r="D281" s="2">
        <v>3099079</v>
      </c>
      <c r="E281" s="2">
        <v>37.799999999999997</v>
      </c>
      <c r="F281" s="2">
        <v>208995</v>
      </c>
    </row>
    <row r="282" spans="1:6">
      <c r="A282" s="3" t="s">
        <v>3061</v>
      </c>
      <c r="B282" s="2">
        <v>31</v>
      </c>
      <c r="C282" s="2">
        <v>524870</v>
      </c>
      <c r="D282" s="2">
        <v>3099967</v>
      </c>
      <c r="E282" s="2">
        <v>37.799999999999997</v>
      </c>
      <c r="F282" s="2">
        <v>373797</v>
      </c>
    </row>
    <row r="283" spans="1:6">
      <c r="A283" s="3" t="s">
        <v>3062</v>
      </c>
      <c r="B283" s="2">
        <v>50</v>
      </c>
      <c r="C283" s="2">
        <v>391279</v>
      </c>
      <c r="D283" s="2">
        <v>3110584</v>
      </c>
      <c r="E283" s="2">
        <v>37.799999999999997</v>
      </c>
      <c r="F283" s="2">
        <v>161785</v>
      </c>
    </row>
    <row r="284" spans="1:6">
      <c r="A284" s="3" t="s">
        <v>3063</v>
      </c>
      <c r="B284" s="2">
        <v>27</v>
      </c>
      <c r="C284" s="2">
        <v>650097</v>
      </c>
      <c r="D284" s="2">
        <v>3156110</v>
      </c>
      <c r="E284" s="2">
        <v>37.799999999999997</v>
      </c>
      <c r="F284" s="2">
        <v>477618</v>
      </c>
    </row>
    <row r="285" spans="1:6">
      <c r="A285" s="3" t="s">
        <v>3064</v>
      </c>
      <c r="B285" s="2">
        <v>16</v>
      </c>
      <c r="C285" s="2">
        <v>671301</v>
      </c>
      <c r="D285" s="2">
        <v>2895900</v>
      </c>
      <c r="E285" s="2">
        <v>37.81</v>
      </c>
      <c r="F285" s="2">
        <v>443752</v>
      </c>
    </row>
    <row r="286" spans="1:6">
      <c r="A286" s="3" t="s">
        <v>3065</v>
      </c>
      <c r="B286" s="2">
        <v>15</v>
      </c>
      <c r="C286" s="2">
        <v>760912</v>
      </c>
      <c r="D286" s="2">
        <v>2895943</v>
      </c>
      <c r="E286" s="2">
        <v>37.81</v>
      </c>
      <c r="F286" s="2">
        <v>443777</v>
      </c>
    </row>
    <row r="287" spans="1:6">
      <c r="A287" s="3" t="s">
        <v>3066</v>
      </c>
      <c r="B287" s="2">
        <v>13</v>
      </c>
      <c r="C287" s="2">
        <v>763197</v>
      </c>
      <c r="D287" s="2">
        <v>2897108</v>
      </c>
      <c r="E287" s="2">
        <v>37.81</v>
      </c>
      <c r="F287" s="2">
        <v>443777</v>
      </c>
    </row>
    <row r="288" spans="1:6">
      <c r="A288" s="3" t="s">
        <v>3067</v>
      </c>
      <c r="B288" s="2">
        <v>15</v>
      </c>
      <c r="C288" s="2">
        <v>763207</v>
      </c>
      <c r="D288" s="2">
        <v>2897725</v>
      </c>
      <c r="E288" s="2">
        <v>37.81</v>
      </c>
      <c r="F288" s="2">
        <v>443777</v>
      </c>
    </row>
    <row r="289" spans="1:6">
      <c r="A289" s="3" t="s">
        <v>3068</v>
      </c>
      <c r="B289" s="2">
        <v>26</v>
      </c>
      <c r="C289" s="2">
        <v>543278</v>
      </c>
      <c r="D289" s="2">
        <v>2898026</v>
      </c>
      <c r="E289" s="2">
        <v>37.81</v>
      </c>
      <c r="F289" s="2">
        <v>301522</v>
      </c>
    </row>
    <row r="290" spans="1:6">
      <c r="A290" s="3" t="s">
        <v>3069</v>
      </c>
      <c r="B290" s="2">
        <v>16</v>
      </c>
      <c r="C290" s="2">
        <v>643918</v>
      </c>
      <c r="D290" s="2">
        <v>2898303</v>
      </c>
      <c r="E290" s="2">
        <v>37.81</v>
      </c>
      <c r="F290" s="2">
        <v>443776</v>
      </c>
    </row>
    <row r="291" spans="1:6">
      <c r="A291" s="3" t="s">
        <v>3070</v>
      </c>
      <c r="B291" s="2">
        <v>17</v>
      </c>
      <c r="C291" s="2">
        <v>643918</v>
      </c>
      <c r="D291" s="2">
        <v>2899035</v>
      </c>
      <c r="E291" s="2">
        <v>37.81</v>
      </c>
      <c r="F291" s="2">
        <v>255814</v>
      </c>
    </row>
    <row r="292" spans="1:6">
      <c r="A292" s="3" t="s">
        <v>3071</v>
      </c>
      <c r="B292" s="2">
        <v>27</v>
      </c>
      <c r="C292" s="2">
        <v>484839</v>
      </c>
      <c r="D292" s="2">
        <v>2900308</v>
      </c>
      <c r="E292" s="2">
        <v>37.81</v>
      </c>
      <c r="F292" s="2">
        <v>278319</v>
      </c>
    </row>
    <row r="293" spans="1:6">
      <c r="A293" s="3" t="s">
        <v>3072</v>
      </c>
      <c r="B293" s="2">
        <v>17</v>
      </c>
      <c r="C293" s="2">
        <v>936881</v>
      </c>
      <c r="D293" s="2">
        <v>2917467</v>
      </c>
      <c r="E293" s="2">
        <v>37.81</v>
      </c>
      <c r="F293" s="2">
        <v>287605</v>
      </c>
    </row>
    <row r="294" spans="1:6">
      <c r="A294" s="3" t="s">
        <v>3073</v>
      </c>
      <c r="B294" s="2">
        <v>32</v>
      </c>
      <c r="C294" s="2">
        <v>391614</v>
      </c>
      <c r="D294" s="2">
        <v>2937474</v>
      </c>
      <c r="E294" s="2">
        <v>37.81</v>
      </c>
      <c r="F294" s="2">
        <v>196227</v>
      </c>
    </row>
    <row r="295" spans="1:6">
      <c r="A295" s="3" t="s">
        <v>3074</v>
      </c>
      <c r="B295" s="2">
        <v>18</v>
      </c>
      <c r="C295" s="2">
        <v>1222890</v>
      </c>
      <c r="D295" s="2">
        <v>2938515</v>
      </c>
      <c r="E295" s="2">
        <v>37.81</v>
      </c>
      <c r="F295" s="2">
        <v>542260</v>
      </c>
    </row>
    <row r="296" spans="1:6">
      <c r="A296" s="3" t="s">
        <v>3075</v>
      </c>
      <c r="B296" s="2">
        <v>13</v>
      </c>
      <c r="C296" s="2">
        <v>952451</v>
      </c>
      <c r="D296" s="2">
        <v>2957987</v>
      </c>
      <c r="E296" s="2">
        <v>37.81</v>
      </c>
      <c r="F296" s="2">
        <v>542522</v>
      </c>
    </row>
    <row r="297" spans="1:6">
      <c r="A297" s="3" t="s">
        <v>3076</v>
      </c>
      <c r="B297" s="2">
        <v>17</v>
      </c>
      <c r="C297" s="2">
        <v>543721</v>
      </c>
      <c r="D297" s="2">
        <v>2958460</v>
      </c>
      <c r="E297" s="2">
        <v>37.81</v>
      </c>
      <c r="F297" s="2">
        <v>337979</v>
      </c>
    </row>
    <row r="298" spans="1:6">
      <c r="A298" s="3" t="s">
        <v>3077</v>
      </c>
      <c r="B298" s="2">
        <v>9</v>
      </c>
      <c r="C298" s="2">
        <v>1575523</v>
      </c>
      <c r="D298" s="2">
        <v>2959028</v>
      </c>
      <c r="E298" s="2">
        <v>37.81</v>
      </c>
      <c r="F298" s="2">
        <v>1575523</v>
      </c>
    </row>
    <row r="299" spans="1:6">
      <c r="A299" s="3" t="s">
        <v>3078</v>
      </c>
      <c r="B299" s="2">
        <v>45</v>
      </c>
      <c r="C299" s="2">
        <v>317001</v>
      </c>
      <c r="D299" s="2">
        <v>2959902</v>
      </c>
      <c r="E299" s="2">
        <v>37.81</v>
      </c>
      <c r="F299" s="2">
        <v>151656</v>
      </c>
    </row>
    <row r="300" spans="1:6">
      <c r="A300" s="3" t="s">
        <v>3079</v>
      </c>
      <c r="B300" s="2">
        <v>15</v>
      </c>
      <c r="C300" s="2">
        <v>1542149</v>
      </c>
      <c r="D300" s="2">
        <v>2962383</v>
      </c>
      <c r="E300" s="2">
        <v>37.81</v>
      </c>
      <c r="F300" s="2">
        <v>1542149</v>
      </c>
    </row>
    <row r="301" spans="1:6">
      <c r="A301" s="3" t="s">
        <v>3080</v>
      </c>
      <c r="B301" s="2">
        <v>57</v>
      </c>
      <c r="C301" s="2">
        <v>1003889</v>
      </c>
      <c r="D301" s="2">
        <v>2968637</v>
      </c>
      <c r="E301" s="2">
        <v>37.81</v>
      </c>
      <c r="F301" s="2">
        <v>531951</v>
      </c>
    </row>
    <row r="302" spans="1:6">
      <c r="A302" s="3" t="s">
        <v>3081</v>
      </c>
      <c r="B302" s="2">
        <v>22</v>
      </c>
      <c r="C302" s="2">
        <v>1265220</v>
      </c>
      <c r="D302" s="2">
        <v>2970766</v>
      </c>
      <c r="E302" s="2">
        <v>37.81</v>
      </c>
      <c r="F302" s="2">
        <v>580719</v>
      </c>
    </row>
    <row r="303" spans="1:6">
      <c r="A303" s="3" t="s">
        <v>3082</v>
      </c>
      <c r="B303" s="2">
        <v>14</v>
      </c>
      <c r="C303" s="2">
        <v>1544407</v>
      </c>
      <c r="D303" s="2">
        <v>2977935</v>
      </c>
      <c r="E303" s="2">
        <v>37.81</v>
      </c>
      <c r="F303" s="2">
        <v>1544407</v>
      </c>
    </row>
    <row r="304" spans="1:6">
      <c r="A304" s="3" t="s">
        <v>3083</v>
      </c>
      <c r="B304" s="2">
        <v>63</v>
      </c>
      <c r="C304" s="2">
        <v>332453</v>
      </c>
      <c r="D304" s="2">
        <v>2981772</v>
      </c>
      <c r="E304" s="2">
        <v>37.81</v>
      </c>
      <c r="F304" s="2">
        <v>149616</v>
      </c>
    </row>
    <row r="305" spans="1:6">
      <c r="A305" s="3" t="s">
        <v>3084</v>
      </c>
      <c r="B305" s="2">
        <v>38</v>
      </c>
      <c r="C305" s="2">
        <v>449262</v>
      </c>
      <c r="D305" s="2">
        <v>2982382</v>
      </c>
      <c r="E305" s="2">
        <v>37.81</v>
      </c>
      <c r="F305" s="2">
        <v>172432</v>
      </c>
    </row>
    <row r="306" spans="1:6">
      <c r="A306" s="3" t="s">
        <v>3085</v>
      </c>
      <c r="B306" s="2">
        <v>51</v>
      </c>
      <c r="C306" s="2">
        <v>293912</v>
      </c>
      <c r="D306" s="2">
        <v>2984529</v>
      </c>
      <c r="E306" s="2">
        <v>37.81</v>
      </c>
      <c r="F306" s="2">
        <v>187838</v>
      </c>
    </row>
    <row r="307" spans="1:6">
      <c r="A307" s="3" t="s">
        <v>3086</v>
      </c>
      <c r="B307" s="2">
        <v>30</v>
      </c>
      <c r="C307" s="2">
        <v>506206</v>
      </c>
      <c r="D307" s="2">
        <v>2986513</v>
      </c>
      <c r="E307" s="2">
        <v>37.81</v>
      </c>
      <c r="F307" s="2">
        <v>402993</v>
      </c>
    </row>
    <row r="308" spans="1:6">
      <c r="A308" s="3" t="s">
        <v>3087</v>
      </c>
      <c r="B308" s="2">
        <v>35</v>
      </c>
      <c r="C308" s="2">
        <v>379543</v>
      </c>
      <c r="D308" s="2">
        <v>2988174</v>
      </c>
      <c r="E308" s="2">
        <v>37.81</v>
      </c>
      <c r="F308" s="2">
        <v>203450</v>
      </c>
    </row>
    <row r="309" spans="1:6">
      <c r="A309" s="3" t="s">
        <v>3088</v>
      </c>
      <c r="B309" s="2">
        <v>31</v>
      </c>
      <c r="C309" s="2">
        <v>357402</v>
      </c>
      <c r="D309" s="2">
        <v>2991998</v>
      </c>
      <c r="E309" s="2">
        <v>37.81</v>
      </c>
      <c r="F309" s="2">
        <v>214173</v>
      </c>
    </row>
    <row r="310" spans="1:6">
      <c r="A310" s="3" t="s">
        <v>3089</v>
      </c>
      <c r="B310" s="2">
        <v>27</v>
      </c>
      <c r="C310" s="2">
        <v>477924</v>
      </c>
      <c r="D310" s="2">
        <v>2992851</v>
      </c>
      <c r="E310" s="2">
        <v>37.81</v>
      </c>
      <c r="F310" s="2">
        <v>251070</v>
      </c>
    </row>
    <row r="311" spans="1:6">
      <c r="A311" s="3" t="s">
        <v>3090</v>
      </c>
      <c r="B311" s="2">
        <v>36</v>
      </c>
      <c r="C311" s="2">
        <v>475315</v>
      </c>
      <c r="D311" s="2">
        <v>2993953</v>
      </c>
      <c r="E311" s="2">
        <v>37.81</v>
      </c>
      <c r="F311" s="2">
        <v>222826</v>
      </c>
    </row>
    <row r="312" spans="1:6">
      <c r="A312" s="3" t="s">
        <v>3091</v>
      </c>
      <c r="B312" s="2">
        <v>46</v>
      </c>
      <c r="C312" s="2">
        <v>281308</v>
      </c>
      <c r="D312" s="2">
        <v>2994294</v>
      </c>
      <c r="E312" s="2">
        <v>37.81</v>
      </c>
      <c r="F312" s="2">
        <v>184941</v>
      </c>
    </row>
    <row r="313" spans="1:6">
      <c r="A313" s="3" t="s">
        <v>3092</v>
      </c>
      <c r="B313" s="2">
        <v>34</v>
      </c>
      <c r="C313" s="2">
        <v>458204</v>
      </c>
      <c r="D313" s="2">
        <v>2994738</v>
      </c>
      <c r="E313" s="2">
        <v>37.81</v>
      </c>
      <c r="F313" s="2">
        <v>225347</v>
      </c>
    </row>
    <row r="314" spans="1:6">
      <c r="A314" s="3" t="s">
        <v>3093</v>
      </c>
      <c r="B314" s="2">
        <v>53</v>
      </c>
      <c r="C314" s="2">
        <v>316161</v>
      </c>
      <c r="D314" s="2">
        <v>2998314</v>
      </c>
      <c r="E314" s="2">
        <v>37.81</v>
      </c>
      <c r="F314" s="2">
        <v>136909</v>
      </c>
    </row>
    <row r="315" spans="1:6">
      <c r="A315" s="3" t="s">
        <v>3094</v>
      </c>
      <c r="B315" s="2">
        <v>24</v>
      </c>
      <c r="C315" s="2">
        <v>422173</v>
      </c>
      <c r="D315" s="2">
        <v>2998388</v>
      </c>
      <c r="E315" s="2">
        <v>37.81</v>
      </c>
      <c r="F315" s="2">
        <v>253785</v>
      </c>
    </row>
    <row r="316" spans="1:6">
      <c r="A316" s="3" t="s">
        <v>3095</v>
      </c>
      <c r="B316" s="2">
        <v>38</v>
      </c>
      <c r="C316" s="2">
        <v>407803</v>
      </c>
      <c r="D316" s="2">
        <v>2999309</v>
      </c>
      <c r="E316" s="2">
        <v>37.81</v>
      </c>
      <c r="F316" s="2">
        <v>223693</v>
      </c>
    </row>
    <row r="317" spans="1:6">
      <c r="A317" s="3" t="s">
        <v>3096</v>
      </c>
      <c r="B317" s="2">
        <v>52</v>
      </c>
      <c r="C317" s="2">
        <v>329153</v>
      </c>
      <c r="D317" s="2">
        <v>3000329</v>
      </c>
      <c r="E317" s="2">
        <v>37.81</v>
      </c>
      <c r="F317" s="2">
        <v>121786</v>
      </c>
    </row>
    <row r="318" spans="1:6">
      <c r="A318" s="3" t="s">
        <v>3097</v>
      </c>
      <c r="B318" s="2">
        <v>29</v>
      </c>
      <c r="C318" s="2">
        <v>649874</v>
      </c>
      <c r="D318" s="2">
        <v>3000358</v>
      </c>
      <c r="E318" s="2">
        <v>37.81</v>
      </c>
      <c r="F318" s="2">
        <v>326304</v>
      </c>
    </row>
    <row r="319" spans="1:6">
      <c r="A319" s="3" t="s">
        <v>3098</v>
      </c>
      <c r="B319" s="2">
        <v>20</v>
      </c>
      <c r="C319" s="2">
        <v>615807</v>
      </c>
      <c r="D319" s="2">
        <v>3001241</v>
      </c>
      <c r="E319" s="2">
        <v>37.81</v>
      </c>
      <c r="F319" s="2">
        <v>415602</v>
      </c>
    </row>
    <row r="320" spans="1:6">
      <c r="A320" s="3" t="s">
        <v>3099</v>
      </c>
      <c r="B320" s="2">
        <v>74</v>
      </c>
      <c r="C320" s="2">
        <v>238908</v>
      </c>
      <c r="D320" s="2">
        <v>3001472</v>
      </c>
      <c r="E320" s="2">
        <v>37.81</v>
      </c>
      <c r="F320" s="2">
        <v>93469</v>
      </c>
    </row>
    <row r="321" spans="1:6">
      <c r="A321" s="3" t="s">
        <v>3100</v>
      </c>
      <c r="B321" s="2">
        <v>16</v>
      </c>
      <c r="C321" s="2">
        <v>592885</v>
      </c>
      <c r="D321" s="2">
        <v>3002421</v>
      </c>
      <c r="E321" s="2">
        <v>37.81</v>
      </c>
      <c r="F321" s="2">
        <v>339675</v>
      </c>
    </row>
    <row r="322" spans="1:6">
      <c r="A322" s="3" t="s">
        <v>3101</v>
      </c>
      <c r="B322" s="2">
        <v>18</v>
      </c>
      <c r="C322" s="2">
        <v>605971</v>
      </c>
      <c r="D322" s="2">
        <v>3005114</v>
      </c>
      <c r="E322" s="2">
        <v>37.81</v>
      </c>
      <c r="F322" s="2">
        <v>435939</v>
      </c>
    </row>
    <row r="323" spans="1:6">
      <c r="A323" s="3" t="s">
        <v>3102</v>
      </c>
      <c r="B323" s="2">
        <v>150</v>
      </c>
      <c r="C323" s="2">
        <v>141677</v>
      </c>
      <c r="D323" s="2">
        <v>3005207</v>
      </c>
      <c r="E323" s="2">
        <v>37.81</v>
      </c>
      <c r="F323" s="2">
        <v>36236</v>
      </c>
    </row>
    <row r="324" spans="1:6">
      <c r="A324" s="3" t="s">
        <v>3103</v>
      </c>
      <c r="B324" s="2">
        <v>27</v>
      </c>
      <c r="C324" s="2">
        <v>477056</v>
      </c>
      <c r="D324" s="2">
        <v>3005744</v>
      </c>
      <c r="E324" s="2">
        <v>37.81</v>
      </c>
      <c r="F324" s="2">
        <v>283676</v>
      </c>
    </row>
    <row r="325" spans="1:6">
      <c r="A325" s="3" t="s">
        <v>3104</v>
      </c>
      <c r="B325" s="2">
        <v>34</v>
      </c>
      <c r="C325" s="2">
        <v>273064</v>
      </c>
      <c r="D325" s="2">
        <v>3005869</v>
      </c>
      <c r="E325" s="2">
        <v>37.81</v>
      </c>
      <c r="F325" s="2">
        <v>223227</v>
      </c>
    </row>
    <row r="326" spans="1:6">
      <c r="A326" s="3" t="s">
        <v>3105</v>
      </c>
      <c r="B326" s="2">
        <v>16</v>
      </c>
      <c r="C326" s="2">
        <v>1036884</v>
      </c>
      <c r="D326" s="2">
        <v>3006977</v>
      </c>
      <c r="E326" s="2">
        <v>37.81</v>
      </c>
      <c r="F326" s="2">
        <v>508490</v>
      </c>
    </row>
    <row r="327" spans="1:6">
      <c r="A327" s="3" t="s">
        <v>3106</v>
      </c>
      <c r="B327" s="2">
        <v>32</v>
      </c>
      <c r="C327" s="2">
        <v>367175</v>
      </c>
      <c r="D327" s="2">
        <v>3007362</v>
      </c>
      <c r="E327" s="2">
        <v>37.81</v>
      </c>
      <c r="F327" s="2">
        <v>225254</v>
      </c>
    </row>
    <row r="328" spans="1:6">
      <c r="A328" s="3" t="s">
        <v>3107</v>
      </c>
      <c r="B328" s="2">
        <v>37</v>
      </c>
      <c r="C328" s="2">
        <v>521078</v>
      </c>
      <c r="D328" s="2">
        <v>3008397</v>
      </c>
      <c r="E328" s="2">
        <v>37.81</v>
      </c>
      <c r="F328" s="2">
        <v>198433</v>
      </c>
    </row>
    <row r="329" spans="1:6">
      <c r="A329" s="3" t="s">
        <v>3108</v>
      </c>
      <c r="B329" s="2">
        <v>12</v>
      </c>
      <c r="C329" s="2">
        <v>1515356</v>
      </c>
      <c r="D329" s="2">
        <v>3008498</v>
      </c>
      <c r="E329" s="2">
        <v>37.81</v>
      </c>
      <c r="F329" s="2">
        <v>1515356</v>
      </c>
    </row>
    <row r="330" spans="1:6">
      <c r="A330" s="3" t="s">
        <v>3109</v>
      </c>
      <c r="B330" s="2">
        <v>25</v>
      </c>
      <c r="C330" s="2">
        <v>506736</v>
      </c>
      <c r="D330" s="2">
        <v>3015172</v>
      </c>
      <c r="E330" s="2">
        <v>37.81</v>
      </c>
      <c r="F330" s="2">
        <v>435996</v>
      </c>
    </row>
    <row r="331" spans="1:6">
      <c r="A331" s="3" t="s">
        <v>3110</v>
      </c>
      <c r="B331" s="2">
        <v>26</v>
      </c>
      <c r="C331" s="2">
        <v>475070</v>
      </c>
      <c r="D331" s="2">
        <v>3020802</v>
      </c>
      <c r="E331" s="2">
        <v>37.81</v>
      </c>
      <c r="F331" s="2">
        <v>336405</v>
      </c>
    </row>
    <row r="332" spans="1:6">
      <c r="A332" s="3" t="s">
        <v>3111</v>
      </c>
      <c r="B332" s="2">
        <v>27</v>
      </c>
      <c r="C332" s="2">
        <v>518390</v>
      </c>
      <c r="D332" s="2">
        <v>3022047</v>
      </c>
      <c r="E332" s="2">
        <v>37.81</v>
      </c>
      <c r="F332" s="2">
        <v>277948</v>
      </c>
    </row>
    <row r="333" spans="1:6">
      <c r="A333" s="3" t="s">
        <v>3112</v>
      </c>
      <c r="B333" s="2">
        <v>16</v>
      </c>
      <c r="C333" s="2">
        <v>640444</v>
      </c>
      <c r="D333" s="2">
        <v>3022768</v>
      </c>
      <c r="E333" s="2">
        <v>37.81</v>
      </c>
      <c r="F333" s="2">
        <v>449341</v>
      </c>
    </row>
    <row r="334" spans="1:6">
      <c r="A334" s="3" t="s">
        <v>3113</v>
      </c>
      <c r="B334" s="2">
        <v>16</v>
      </c>
      <c r="C334" s="2">
        <v>640444</v>
      </c>
      <c r="D334" s="2">
        <v>3022927</v>
      </c>
      <c r="E334" s="2">
        <v>37.81</v>
      </c>
      <c r="F334" s="2">
        <v>477060</v>
      </c>
    </row>
    <row r="335" spans="1:6">
      <c r="A335" s="3" t="s">
        <v>3114</v>
      </c>
      <c r="B335" s="2">
        <v>25</v>
      </c>
      <c r="C335" s="2">
        <v>541157</v>
      </c>
      <c r="D335" s="2">
        <v>3024555</v>
      </c>
      <c r="E335" s="2">
        <v>37.81</v>
      </c>
      <c r="F335" s="2">
        <v>324706</v>
      </c>
    </row>
    <row r="336" spans="1:6">
      <c r="A336" s="3" t="s">
        <v>3115</v>
      </c>
      <c r="B336" s="2">
        <v>18</v>
      </c>
      <c r="C336" s="2">
        <v>1035755</v>
      </c>
      <c r="D336" s="2">
        <v>3024659</v>
      </c>
      <c r="E336" s="2">
        <v>37.81</v>
      </c>
      <c r="F336" s="2">
        <v>508211</v>
      </c>
    </row>
    <row r="337" spans="1:6">
      <c r="A337" s="3" t="s">
        <v>3116</v>
      </c>
      <c r="B337" s="2">
        <v>26</v>
      </c>
      <c r="C337" s="2">
        <v>524676</v>
      </c>
      <c r="D337" s="2">
        <v>3025451</v>
      </c>
      <c r="E337" s="2">
        <v>37.81</v>
      </c>
      <c r="F337" s="2">
        <v>358903</v>
      </c>
    </row>
    <row r="338" spans="1:6">
      <c r="A338" s="3" t="s">
        <v>3117</v>
      </c>
      <c r="B338" s="2">
        <v>30</v>
      </c>
      <c r="C338" s="2">
        <v>507492</v>
      </c>
      <c r="D338" s="2">
        <v>3026428</v>
      </c>
      <c r="E338" s="2">
        <v>37.81</v>
      </c>
      <c r="F338" s="2">
        <v>207008</v>
      </c>
    </row>
    <row r="339" spans="1:6">
      <c r="A339" s="3" t="s">
        <v>3118</v>
      </c>
      <c r="B339" s="2">
        <v>43</v>
      </c>
      <c r="C339" s="2">
        <v>506186</v>
      </c>
      <c r="D339" s="2">
        <v>3027803</v>
      </c>
      <c r="E339" s="2">
        <v>37.81</v>
      </c>
      <c r="F339" s="2">
        <v>199790</v>
      </c>
    </row>
    <row r="340" spans="1:6">
      <c r="A340" s="3" t="s">
        <v>3119</v>
      </c>
      <c r="B340" s="2">
        <v>44</v>
      </c>
      <c r="C340" s="2">
        <v>506223</v>
      </c>
      <c r="D340" s="2">
        <v>3027852</v>
      </c>
      <c r="E340" s="2">
        <v>37.81</v>
      </c>
      <c r="F340" s="2">
        <v>317346</v>
      </c>
    </row>
    <row r="341" spans="1:6">
      <c r="A341" s="3" t="s">
        <v>3120</v>
      </c>
      <c r="B341" s="2">
        <v>98</v>
      </c>
      <c r="C341" s="2">
        <v>223023</v>
      </c>
      <c r="D341" s="2">
        <v>3035425</v>
      </c>
      <c r="E341" s="2">
        <v>37.81</v>
      </c>
      <c r="F341" s="2">
        <v>47743</v>
      </c>
    </row>
    <row r="342" spans="1:6">
      <c r="A342" s="3" t="s">
        <v>3121</v>
      </c>
      <c r="B342" s="2">
        <v>28</v>
      </c>
      <c r="C342" s="2">
        <v>334936</v>
      </c>
      <c r="D342" s="2">
        <v>3037486</v>
      </c>
      <c r="E342" s="2">
        <v>37.81</v>
      </c>
      <c r="F342" s="2">
        <v>248038</v>
      </c>
    </row>
    <row r="343" spans="1:6">
      <c r="A343" s="3" t="s">
        <v>3122</v>
      </c>
      <c r="B343" s="2">
        <v>51</v>
      </c>
      <c r="C343" s="2">
        <v>425376</v>
      </c>
      <c r="D343" s="2">
        <v>3039145</v>
      </c>
      <c r="E343" s="2">
        <v>37.81</v>
      </c>
      <c r="F343" s="2">
        <v>271908</v>
      </c>
    </row>
    <row r="344" spans="1:6">
      <c r="A344" s="3" t="s">
        <v>3123</v>
      </c>
      <c r="B344" s="2">
        <v>25</v>
      </c>
      <c r="C344" s="2">
        <v>530212</v>
      </c>
      <c r="D344" s="2">
        <v>3041194</v>
      </c>
      <c r="E344" s="2">
        <v>37.81</v>
      </c>
      <c r="F344" s="2">
        <v>288343</v>
      </c>
    </row>
    <row r="345" spans="1:6">
      <c r="A345" s="3" t="s">
        <v>3124</v>
      </c>
      <c r="B345" s="2">
        <v>24</v>
      </c>
      <c r="C345" s="2">
        <v>506222</v>
      </c>
      <c r="D345" s="2">
        <v>3041480</v>
      </c>
      <c r="E345" s="2">
        <v>37.81</v>
      </c>
      <c r="F345" s="2">
        <v>291363</v>
      </c>
    </row>
    <row r="346" spans="1:6">
      <c r="A346" s="3" t="s">
        <v>3125</v>
      </c>
      <c r="B346" s="2">
        <v>17</v>
      </c>
      <c r="C346" s="2">
        <v>666087</v>
      </c>
      <c r="D346" s="2">
        <v>3042822</v>
      </c>
      <c r="E346" s="2">
        <v>37.81</v>
      </c>
      <c r="F346" s="2">
        <v>579640</v>
      </c>
    </row>
    <row r="347" spans="1:6">
      <c r="A347" s="3" t="s">
        <v>3126</v>
      </c>
      <c r="B347" s="2">
        <v>64</v>
      </c>
      <c r="C347" s="2">
        <v>258590</v>
      </c>
      <c r="D347" s="2">
        <v>3043012</v>
      </c>
      <c r="E347" s="2">
        <v>37.81</v>
      </c>
      <c r="F347" s="2">
        <v>109532</v>
      </c>
    </row>
    <row r="348" spans="1:6">
      <c r="A348" s="3" t="s">
        <v>3127</v>
      </c>
      <c r="B348" s="2">
        <v>56</v>
      </c>
      <c r="C348" s="2">
        <v>291396</v>
      </c>
      <c r="D348" s="2">
        <v>3044225</v>
      </c>
      <c r="E348" s="2">
        <v>37.81</v>
      </c>
      <c r="F348" s="2">
        <v>115933</v>
      </c>
    </row>
    <row r="349" spans="1:6">
      <c r="A349" s="3" t="s">
        <v>3128</v>
      </c>
      <c r="B349" s="2">
        <v>20</v>
      </c>
      <c r="C349" s="2">
        <v>391804</v>
      </c>
      <c r="D349" s="2">
        <v>3050515</v>
      </c>
      <c r="E349" s="2">
        <v>37.81</v>
      </c>
      <c r="F349" s="2">
        <v>250718</v>
      </c>
    </row>
    <row r="350" spans="1:6">
      <c r="A350" s="3" t="s">
        <v>3129</v>
      </c>
      <c r="B350" s="2">
        <v>82</v>
      </c>
      <c r="C350" s="2">
        <v>360381</v>
      </c>
      <c r="D350" s="2">
        <v>3050591</v>
      </c>
      <c r="E350" s="2">
        <v>37.81</v>
      </c>
      <c r="F350" s="2">
        <v>73779</v>
      </c>
    </row>
    <row r="351" spans="1:6">
      <c r="A351" s="3" t="s">
        <v>3130</v>
      </c>
      <c r="B351" s="2">
        <v>38</v>
      </c>
      <c r="C351" s="2">
        <v>540957</v>
      </c>
      <c r="D351" s="2">
        <v>3051208</v>
      </c>
      <c r="E351" s="2">
        <v>37.81</v>
      </c>
      <c r="F351" s="2">
        <v>147181</v>
      </c>
    </row>
    <row r="352" spans="1:6">
      <c r="A352" s="3" t="s">
        <v>3131</v>
      </c>
      <c r="B352" s="2">
        <v>24</v>
      </c>
      <c r="C352" s="2">
        <v>665154</v>
      </c>
      <c r="D352" s="2">
        <v>3051475</v>
      </c>
      <c r="E352" s="2">
        <v>37.81</v>
      </c>
      <c r="F352" s="2">
        <v>498334</v>
      </c>
    </row>
    <row r="353" spans="1:6">
      <c r="A353" s="3" t="s">
        <v>3132</v>
      </c>
      <c r="B353" s="2">
        <v>29</v>
      </c>
      <c r="C353" s="2">
        <v>581731</v>
      </c>
      <c r="D353" s="2">
        <v>3051932</v>
      </c>
      <c r="E353" s="2">
        <v>37.81</v>
      </c>
      <c r="F353" s="2">
        <v>361736</v>
      </c>
    </row>
    <row r="354" spans="1:6">
      <c r="A354" s="3" t="s">
        <v>3133</v>
      </c>
      <c r="B354" s="2">
        <v>24</v>
      </c>
      <c r="C354" s="2">
        <v>607119</v>
      </c>
      <c r="D354" s="2">
        <v>3053006</v>
      </c>
      <c r="E354" s="2">
        <v>37.81</v>
      </c>
      <c r="F354" s="2">
        <v>481028</v>
      </c>
    </row>
    <row r="355" spans="1:6">
      <c r="A355" s="3" t="s">
        <v>3134</v>
      </c>
      <c r="B355" s="2">
        <v>28</v>
      </c>
      <c r="C355" s="2">
        <v>446883</v>
      </c>
      <c r="D355" s="2">
        <v>3055239</v>
      </c>
      <c r="E355" s="2">
        <v>37.81</v>
      </c>
      <c r="F355" s="2">
        <v>343965</v>
      </c>
    </row>
    <row r="356" spans="1:6">
      <c r="A356" s="3" t="s">
        <v>3135</v>
      </c>
      <c r="B356" s="2">
        <v>52</v>
      </c>
      <c r="C356" s="2">
        <v>297493</v>
      </c>
      <c r="D356" s="2">
        <v>3055597</v>
      </c>
      <c r="E356" s="2">
        <v>37.81</v>
      </c>
      <c r="F356" s="2">
        <v>151966</v>
      </c>
    </row>
    <row r="357" spans="1:6">
      <c r="A357" s="3" t="s">
        <v>3136</v>
      </c>
      <c r="B357" s="2">
        <v>36</v>
      </c>
      <c r="C357" s="2">
        <v>532486</v>
      </c>
      <c r="D357" s="2">
        <v>3056379</v>
      </c>
      <c r="E357" s="2">
        <v>37.81</v>
      </c>
      <c r="F357" s="2">
        <v>269958</v>
      </c>
    </row>
    <row r="358" spans="1:6">
      <c r="A358" s="3" t="s">
        <v>3137</v>
      </c>
      <c r="B358" s="2">
        <v>27</v>
      </c>
      <c r="C358" s="2">
        <v>748647</v>
      </c>
      <c r="D358" s="2">
        <v>3056532</v>
      </c>
      <c r="E358" s="2">
        <v>37.81</v>
      </c>
      <c r="F358" s="2">
        <v>481443</v>
      </c>
    </row>
    <row r="359" spans="1:6">
      <c r="A359" s="3" t="s">
        <v>3138</v>
      </c>
      <c r="B359" s="2">
        <v>33</v>
      </c>
      <c r="C359" s="2">
        <v>465351</v>
      </c>
      <c r="D359" s="2">
        <v>3056952</v>
      </c>
      <c r="E359" s="2">
        <v>37.81</v>
      </c>
      <c r="F359" s="2">
        <v>180854</v>
      </c>
    </row>
    <row r="360" spans="1:6">
      <c r="A360" s="3" t="s">
        <v>3139</v>
      </c>
      <c r="B360" s="2">
        <v>22</v>
      </c>
      <c r="C360" s="2">
        <v>609389</v>
      </c>
      <c r="D360" s="2">
        <v>3057209</v>
      </c>
      <c r="E360" s="2">
        <v>37.81</v>
      </c>
      <c r="F360" s="2">
        <v>482159</v>
      </c>
    </row>
    <row r="361" spans="1:6">
      <c r="A361" s="3" t="s">
        <v>3140</v>
      </c>
      <c r="B361" s="2">
        <v>18</v>
      </c>
      <c r="C361" s="2">
        <v>699941</v>
      </c>
      <c r="D361" s="2">
        <v>3057308</v>
      </c>
      <c r="E361" s="2">
        <v>37.81</v>
      </c>
      <c r="F361" s="2">
        <v>438992</v>
      </c>
    </row>
    <row r="362" spans="1:6">
      <c r="A362" s="3" t="s">
        <v>3141</v>
      </c>
      <c r="B362" s="2">
        <v>21</v>
      </c>
      <c r="C362" s="2">
        <v>1092876</v>
      </c>
      <c r="D362" s="2">
        <v>3057715</v>
      </c>
      <c r="E362" s="2">
        <v>37.81</v>
      </c>
      <c r="F362" s="2">
        <v>529033</v>
      </c>
    </row>
    <row r="363" spans="1:6">
      <c r="A363" s="3" t="s">
        <v>3142</v>
      </c>
      <c r="B363" s="2">
        <v>92</v>
      </c>
      <c r="C363" s="2">
        <v>205615</v>
      </c>
      <c r="D363" s="2">
        <v>3057776</v>
      </c>
      <c r="E363" s="2">
        <v>37.81</v>
      </c>
      <c r="F363" s="2">
        <v>57234</v>
      </c>
    </row>
    <row r="364" spans="1:6">
      <c r="A364" s="3" t="s">
        <v>3143</v>
      </c>
      <c r="B364" s="2">
        <v>25</v>
      </c>
      <c r="C364" s="2">
        <v>482148</v>
      </c>
      <c r="D364" s="2">
        <v>3057972</v>
      </c>
      <c r="E364" s="2">
        <v>37.81</v>
      </c>
      <c r="F364" s="2">
        <v>348175</v>
      </c>
    </row>
    <row r="365" spans="1:6">
      <c r="A365" s="3" t="s">
        <v>3144</v>
      </c>
      <c r="B365" s="2">
        <v>27</v>
      </c>
      <c r="C365" s="2">
        <v>586279</v>
      </c>
      <c r="D365" s="2">
        <v>3058219</v>
      </c>
      <c r="E365" s="2">
        <v>37.81</v>
      </c>
      <c r="F365" s="2">
        <v>346797</v>
      </c>
    </row>
    <row r="366" spans="1:6">
      <c r="A366" s="3" t="s">
        <v>3145</v>
      </c>
      <c r="B366" s="2">
        <v>22</v>
      </c>
      <c r="C366" s="2">
        <v>779097</v>
      </c>
      <c r="D366" s="2">
        <v>3061271</v>
      </c>
      <c r="E366" s="2">
        <v>37.81</v>
      </c>
      <c r="F366" s="2">
        <v>483120</v>
      </c>
    </row>
    <row r="367" spans="1:6">
      <c r="A367" s="3" t="s">
        <v>3146</v>
      </c>
      <c r="B367" s="2">
        <v>22</v>
      </c>
      <c r="C367" s="2">
        <v>1261587</v>
      </c>
      <c r="D367" s="2">
        <v>3062012</v>
      </c>
      <c r="E367" s="2">
        <v>37.81</v>
      </c>
      <c r="F367" s="2">
        <v>529274</v>
      </c>
    </row>
    <row r="368" spans="1:6">
      <c r="A368" s="3" t="s">
        <v>3147</v>
      </c>
      <c r="B368" s="2">
        <v>47</v>
      </c>
      <c r="C368" s="2">
        <v>452123</v>
      </c>
      <c r="D368" s="2">
        <v>3062056</v>
      </c>
      <c r="E368" s="2">
        <v>37.81</v>
      </c>
      <c r="F368" s="2">
        <v>343792</v>
      </c>
    </row>
    <row r="369" spans="1:6">
      <c r="A369" s="3" t="s">
        <v>3148</v>
      </c>
      <c r="B369" s="2">
        <v>21</v>
      </c>
      <c r="C369" s="2">
        <v>779090</v>
      </c>
      <c r="D369" s="2">
        <v>3062243</v>
      </c>
      <c r="E369" s="2">
        <v>37.81</v>
      </c>
      <c r="F369" s="2">
        <v>483120</v>
      </c>
    </row>
    <row r="370" spans="1:6">
      <c r="A370" s="3" t="s">
        <v>3149</v>
      </c>
      <c r="B370" s="2">
        <v>20</v>
      </c>
      <c r="C370" s="2">
        <v>779097</v>
      </c>
      <c r="D370" s="2">
        <v>3062356</v>
      </c>
      <c r="E370" s="2">
        <v>37.81</v>
      </c>
      <c r="F370" s="2">
        <v>482994</v>
      </c>
    </row>
    <row r="371" spans="1:6">
      <c r="A371" s="3" t="s">
        <v>3150</v>
      </c>
      <c r="B371" s="2">
        <v>25</v>
      </c>
      <c r="C371" s="2">
        <v>780855</v>
      </c>
      <c r="D371" s="2">
        <v>3066249</v>
      </c>
      <c r="E371" s="2">
        <v>37.81</v>
      </c>
      <c r="F371" s="2">
        <v>483120</v>
      </c>
    </row>
    <row r="372" spans="1:6">
      <c r="A372" s="3" t="s">
        <v>3151</v>
      </c>
      <c r="B372" s="2">
        <v>25</v>
      </c>
      <c r="C372" s="2">
        <v>500936</v>
      </c>
      <c r="D372" s="2">
        <v>3073608</v>
      </c>
      <c r="E372" s="2">
        <v>37.81</v>
      </c>
      <c r="F372" s="2">
        <v>286782</v>
      </c>
    </row>
    <row r="373" spans="1:6">
      <c r="A373" s="3" t="s">
        <v>3152</v>
      </c>
      <c r="B373" s="2">
        <v>12</v>
      </c>
      <c r="C373" s="2">
        <v>1442771</v>
      </c>
      <c r="D373" s="2">
        <v>3074242</v>
      </c>
      <c r="E373" s="2">
        <v>37.81</v>
      </c>
      <c r="F373" s="2">
        <v>554192</v>
      </c>
    </row>
    <row r="374" spans="1:6">
      <c r="A374" s="3" t="s">
        <v>3153</v>
      </c>
      <c r="B374" s="2">
        <v>42</v>
      </c>
      <c r="C374" s="2">
        <v>356021</v>
      </c>
      <c r="D374" s="2">
        <v>3079635</v>
      </c>
      <c r="E374" s="2">
        <v>37.81</v>
      </c>
      <c r="F374" s="2">
        <v>202626</v>
      </c>
    </row>
    <row r="375" spans="1:6">
      <c r="A375" s="3" t="s">
        <v>3154</v>
      </c>
      <c r="B375" s="2">
        <v>22</v>
      </c>
      <c r="C375" s="2">
        <v>561786</v>
      </c>
      <c r="D375" s="2">
        <v>3087654</v>
      </c>
      <c r="E375" s="2">
        <v>37.81</v>
      </c>
      <c r="F375" s="2">
        <v>473321</v>
      </c>
    </row>
    <row r="376" spans="1:6">
      <c r="A376" s="3" t="s">
        <v>3155</v>
      </c>
      <c r="B376" s="2">
        <v>17</v>
      </c>
      <c r="C376" s="2">
        <v>793736</v>
      </c>
      <c r="D376" s="2">
        <v>3088916</v>
      </c>
      <c r="E376" s="2">
        <v>37.81</v>
      </c>
      <c r="F376" s="2">
        <v>471043</v>
      </c>
    </row>
    <row r="377" spans="1:6">
      <c r="A377" s="3" t="s">
        <v>3156</v>
      </c>
      <c r="B377" s="2">
        <v>32</v>
      </c>
      <c r="C377" s="2">
        <v>451831</v>
      </c>
      <c r="D377" s="2">
        <v>3114037</v>
      </c>
      <c r="E377" s="2">
        <v>37.81</v>
      </c>
      <c r="F377" s="2">
        <v>247729</v>
      </c>
    </row>
    <row r="378" spans="1:6">
      <c r="A378" s="3" t="s">
        <v>3157</v>
      </c>
      <c r="B378" s="2">
        <v>47</v>
      </c>
      <c r="C378" s="2">
        <v>393706</v>
      </c>
      <c r="D378" s="2">
        <v>3115681</v>
      </c>
      <c r="E378" s="2">
        <v>37.81</v>
      </c>
      <c r="F378" s="2">
        <v>135015</v>
      </c>
    </row>
    <row r="379" spans="1:6">
      <c r="A379" s="3" t="s">
        <v>3158</v>
      </c>
      <c r="B379" s="2">
        <v>92</v>
      </c>
      <c r="C379" s="2">
        <v>197773</v>
      </c>
      <c r="D379" s="2">
        <v>3150738</v>
      </c>
      <c r="E379" s="2">
        <v>37.81</v>
      </c>
      <c r="F379" s="2">
        <v>77135</v>
      </c>
    </row>
    <row r="380" spans="1:6">
      <c r="A380" s="3" t="s">
        <v>3159</v>
      </c>
      <c r="B380" s="2">
        <v>17</v>
      </c>
      <c r="C380" s="2">
        <v>763270</v>
      </c>
      <c r="D380" s="2">
        <v>2898697</v>
      </c>
      <c r="E380" s="2">
        <v>37.82</v>
      </c>
      <c r="F380" s="2">
        <v>443777</v>
      </c>
    </row>
    <row r="381" spans="1:6">
      <c r="A381" s="3" t="s">
        <v>3160</v>
      </c>
      <c r="B381" s="2">
        <v>16</v>
      </c>
      <c r="C381" s="2">
        <v>763243</v>
      </c>
      <c r="D381" s="2">
        <v>2898731</v>
      </c>
      <c r="E381" s="2">
        <v>37.82</v>
      </c>
      <c r="F381" s="2">
        <v>443777</v>
      </c>
    </row>
    <row r="382" spans="1:6">
      <c r="A382" s="3" t="s">
        <v>3161</v>
      </c>
      <c r="B382" s="2">
        <v>34</v>
      </c>
      <c r="C382" s="2">
        <v>320618</v>
      </c>
      <c r="D382" s="2">
        <v>2915242</v>
      </c>
      <c r="E382" s="2">
        <v>37.82</v>
      </c>
      <c r="F382" s="2">
        <v>217158</v>
      </c>
    </row>
    <row r="383" spans="1:6">
      <c r="A383" s="3" t="s">
        <v>3162</v>
      </c>
      <c r="B383" s="2">
        <v>19</v>
      </c>
      <c r="C383" s="2">
        <v>743453</v>
      </c>
      <c r="D383" s="2">
        <v>2926299</v>
      </c>
      <c r="E383" s="2">
        <v>37.82</v>
      </c>
      <c r="F383" s="2">
        <v>440290</v>
      </c>
    </row>
    <row r="384" spans="1:6">
      <c r="A384" s="3" t="s">
        <v>3163</v>
      </c>
      <c r="B384" s="2">
        <v>12</v>
      </c>
      <c r="C384" s="2">
        <v>933509</v>
      </c>
      <c r="D384" s="2">
        <v>2929163</v>
      </c>
      <c r="E384" s="2">
        <v>37.82</v>
      </c>
      <c r="F384" s="2">
        <v>579845</v>
      </c>
    </row>
    <row r="385" spans="1:6">
      <c r="A385" s="3" t="s">
        <v>3164</v>
      </c>
      <c r="B385" s="2">
        <v>72</v>
      </c>
      <c r="C385" s="2">
        <v>1479670</v>
      </c>
      <c r="D385" s="2">
        <v>2935678</v>
      </c>
      <c r="E385" s="2">
        <v>37.82</v>
      </c>
      <c r="F385" s="2">
        <v>1479670</v>
      </c>
    </row>
    <row r="386" spans="1:6">
      <c r="A386" s="3" t="s">
        <v>3165</v>
      </c>
      <c r="B386" s="2">
        <v>30</v>
      </c>
      <c r="C386" s="2">
        <v>433258</v>
      </c>
      <c r="D386" s="2">
        <v>2940506</v>
      </c>
      <c r="E386" s="2">
        <v>37.82</v>
      </c>
      <c r="F386" s="2">
        <v>238000</v>
      </c>
    </row>
    <row r="387" spans="1:6">
      <c r="A387" s="3" t="s">
        <v>3166</v>
      </c>
      <c r="B387" s="2">
        <v>26</v>
      </c>
      <c r="C387" s="2">
        <v>646037</v>
      </c>
      <c r="D387" s="2">
        <v>2941281</v>
      </c>
      <c r="E387" s="2">
        <v>37.82</v>
      </c>
      <c r="F387" s="2">
        <v>285671</v>
      </c>
    </row>
    <row r="388" spans="1:6">
      <c r="A388" s="3" t="s">
        <v>3167</v>
      </c>
      <c r="B388" s="2">
        <v>15</v>
      </c>
      <c r="C388" s="2">
        <v>1205614</v>
      </c>
      <c r="D388" s="2">
        <v>2942521</v>
      </c>
      <c r="E388" s="2">
        <v>37.82</v>
      </c>
      <c r="F388" s="2">
        <v>614935</v>
      </c>
    </row>
    <row r="389" spans="1:6">
      <c r="A389" s="3" t="s">
        <v>3168</v>
      </c>
      <c r="B389" s="2">
        <v>16</v>
      </c>
      <c r="C389" s="2">
        <v>1522459</v>
      </c>
      <c r="D389" s="2">
        <v>2942819</v>
      </c>
      <c r="E389" s="2">
        <v>37.82</v>
      </c>
      <c r="F389" s="2">
        <v>1522459</v>
      </c>
    </row>
    <row r="390" spans="1:6">
      <c r="A390" s="3" t="s">
        <v>3169</v>
      </c>
      <c r="B390" s="2">
        <v>13</v>
      </c>
      <c r="C390" s="2">
        <v>1522460</v>
      </c>
      <c r="D390" s="2">
        <v>2942924</v>
      </c>
      <c r="E390" s="2">
        <v>37.82</v>
      </c>
      <c r="F390" s="2">
        <v>1522460</v>
      </c>
    </row>
    <row r="391" spans="1:6">
      <c r="A391" s="3" t="s">
        <v>3170</v>
      </c>
      <c r="B391" s="2">
        <v>83</v>
      </c>
      <c r="C391" s="2">
        <v>188490</v>
      </c>
      <c r="D391" s="2">
        <v>2948240</v>
      </c>
      <c r="E391" s="2">
        <v>37.82</v>
      </c>
      <c r="F391" s="2">
        <v>86234</v>
      </c>
    </row>
    <row r="392" spans="1:6">
      <c r="A392" s="3" t="s">
        <v>3171</v>
      </c>
      <c r="B392" s="2">
        <v>41</v>
      </c>
      <c r="C392" s="2">
        <v>418958</v>
      </c>
      <c r="D392" s="2">
        <v>2948929</v>
      </c>
      <c r="E392" s="2">
        <v>37.82</v>
      </c>
      <c r="F392" s="2">
        <v>213053</v>
      </c>
    </row>
    <row r="393" spans="1:6">
      <c r="A393" s="3" t="s">
        <v>3172</v>
      </c>
      <c r="B393" s="2">
        <v>87</v>
      </c>
      <c r="C393" s="2">
        <v>183712</v>
      </c>
      <c r="D393" s="2">
        <v>2949690</v>
      </c>
      <c r="E393" s="2">
        <v>37.82</v>
      </c>
      <c r="F393" s="2">
        <v>70209</v>
      </c>
    </row>
    <row r="394" spans="1:6">
      <c r="A394" s="3" t="s">
        <v>3173</v>
      </c>
      <c r="B394" s="2">
        <v>15</v>
      </c>
      <c r="C394" s="2">
        <v>1370974</v>
      </c>
      <c r="D394" s="2">
        <v>2956439</v>
      </c>
      <c r="E394" s="2">
        <v>37.82</v>
      </c>
      <c r="F394" s="2">
        <v>545174</v>
      </c>
    </row>
    <row r="395" spans="1:6">
      <c r="A395" s="3" t="s">
        <v>3174</v>
      </c>
      <c r="B395" s="2">
        <v>55</v>
      </c>
      <c r="C395" s="2">
        <v>383141</v>
      </c>
      <c r="D395" s="2">
        <v>2958109</v>
      </c>
      <c r="E395" s="2">
        <v>37.82</v>
      </c>
      <c r="F395" s="2">
        <v>125253</v>
      </c>
    </row>
    <row r="396" spans="1:6">
      <c r="A396" s="3" t="s">
        <v>3175</v>
      </c>
      <c r="B396" s="2">
        <v>60</v>
      </c>
      <c r="C396" s="2">
        <v>303935</v>
      </c>
      <c r="D396" s="2">
        <v>2959401</v>
      </c>
      <c r="E396" s="2">
        <v>37.82</v>
      </c>
      <c r="F396" s="2">
        <v>102056</v>
      </c>
    </row>
    <row r="397" spans="1:6">
      <c r="A397" s="3" t="s">
        <v>3176</v>
      </c>
      <c r="B397" s="2">
        <v>43</v>
      </c>
      <c r="C397" s="2">
        <v>442574</v>
      </c>
      <c r="D397" s="2">
        <v>2960125</v>
      </c>
      <c r="E397" s="2">
        <v>37.82</v>
      </c>
      <c r="F397" s="2">
        <v>230292</v>
      </c>
    </row>
    <row r="398" spans="1:6">
      <c r="A398" s="3" t="s">
        <v>3177</v>
      </c>
      <c r="B398" s="2">
        <v>20</v>
      </c>
      <c r="C398" s="2">
        <v>505161</v>
      </c>
      <c r="D398" s="2">
        <v>2960394</v>
      </c>
      <c r="E398" s="2">
        <v>37.82</v>
      </c>
      <c r="F398" s="2">
        <v>300971</v>
      </c>
    </row>
    <row r="399" spans="1:6">
      <c r="A399" s="3" t="s">
        <v>3178</v>
      </c>
      <c r="B399" s="2">
        <v>23</v>
      </c>
      <c r="C399" s="2">
        <v>524710</v>
      </c>
      <c r="D399" s="2">
        <v>2962012</v>
      </c>
      <c r="E399" s="2">
        <v>37.82</v>
      </c>
      <c r="F399" s="2">
        <v>434067</v>
      </c>
    </row>
    <row r="400" spans="1:6">
      <c r="A400" s="3" t="s">
        <v>3179</v>
      </c>
      <c r="B400" s="2">
        <v>21</v>
      </c>
      <c r="C400" s="2">
        <v>475388</v>
      </c>
      <c r="D400" s="2">
        <v>2962472</v>
      </c>
      <c r="E400" s="2">
        <v>37.82</v>
      </c>
      <c r="F400" s="2">
        <v>360345</v>
      </c>
    </row>
    <row r="401" spans="1:6">
      <c r="A401" s="3" t="s">
        <v>3180</v>
      </c>
      <c r="B401" s="2">
        <v>11</v>
      </c>
      <c r="C401" s="2">
        <v>1515439</v>
      </c>
      <c r="D401" s="2">
        <v>2965259</v>
      </c>
      <c r="E401" s="2">
        <v>37.82</v>
      </c>
      <c r="F401" s="2">
        <v>1515439</v>
      </c>
    </row>
    <row r="402" spans="1:6">
      <c r="A402" s="3" t="s">
        <v>3181</v>
      </c>
      <c r="B402" s="2">
        <v>38</v>
      </c>
      <c r="C402" s="2">
        <v>333497</v>
      </c>
      <c r="D402" s="2">
        <v>2968861</v>
      </c>
      <c r="E402" s="2">
        <v>37.82</v>
      </c>
      <c r="F402" s="2">
        <v>199623</v>
      </c>
    </row>
    <row r="403" spans="1:6">
      <c r="A403" s="3" t="s">
        <v>3182</v>
      </c>
      <c r="B403" s="2">
        <v>14</v>
      </c>
      <c r="C403" s="2">
        <v>956892</v>
      </c>
      <c r="D403" s="2">
        <v>2972999</v>
      </c>
      <c r="E403" s="2">
        <v>37.82</v>
      </c>
      <c r="F403" s="2">
        <v>549474</v>
      </c>
    </row>
    <row r="404" spans="1:6">
      <c r="A404" s="3" t="s">
        <v>3183</v>
      </c>
      <c r="B404" s="2">
        <v>21</v>
      </c>
      <c r="C404" s="2">
        <v>506684</v>
      </c>
      <c r="D404" s="2">
        <v>2975177</v>
      </c>
      <c r="E404" s="2">
        <v>37.82</v>
      </c>
      <c r="F404" s="2">
        <v>427300</v>
      </c>
    </row>
    <row r="405" spans="1:6">
      <c r="A405" s="3" t="s">
        <v>3184</v>
      </c>
      <c r="B405" s="2">
        <v>14</v>
      </c>
      <c r="C405" s="2">
        <v>909853</v>
      </c>
      <c r="D405" s="2">
        <v>2975397</v>
      </c>
      <c r="E405" s="2">
        <v>37.82</v>
      </c>
      <c r="F405" s="2">
        <v>605068</v>
      </c>
    </row>
    <row r="406" spans="1:6">
      <c r="A406" s="3" t="s">
        <v>3185</v>
      </c>
      <c r="B406" s="2">
        <v>14</v>
      </c>
      <c r="C406" s="2">
        <v>938506</v>
      </c>
      <c r="D406" s="2">
        <v>2975700</v>
      </c>
      <c r="E406" s="2">
        <v>37.82</v>
      </c>
      <c r="F406" s="2">
        <v>605975</v>
      </c>
    </row>
    <row r="407" spans="1:6">
      <c r="A407" s="3" t="s">
        <v>3186</v>
      </c>
      <c r="B407" s="2">
        <v>14</v>
      </c>
      <c r="C407" s="2">
        <v>922440</v>
      </c>
      <c r="D407" s="2">
        <v>2981456</v>
      </c>
      <c r="E407" s="2">
        <v>37.82</v>
      </c>
      <c r="F407" s="2">
        <v>605968</v>
      </c>
    </row>
    <row r="408" spans="1:6">
      <c r="A408" s="3" t="s">
        <v>3187</v>
      </c>
      <c r="B408" s="2">
        <v>217</v>
      </c>
      <c r="C408" s="2">
        <v>126618</v>
      </c>
      <c r="D408" s="2">
        <v>2981963</v>
      </c>
      <c r="E408" s="2">
        <v>37.82</v>
      </c>
      <c r="F408" s="2">
        <v>26964</v>
      </c>
    </row>
    <row r="409" spans="1:6">
      <c r="A409" s="3" t="s">
        <v>3188</v>
      </c>
      <c r="B409" s="2">
        <v>22</v>
      </c>
      <c r="C409" s="2">
        <v>722573</v>
      </c>
      <c r="D409" s="2">
        <v>2982736</v>
      </c>
      <c r="E409" s="2">
        <v>37.82</v>
      </c>
      <c r="F409" s="2">
        <v>430876</v>
      </c>
    </row>
    <row r="410" spans="1:6">
      <c r="A410" s="3" t="s">
        <v>3189</v>
      </c>
      <c r="B410" s="2">
        <v>45</v>
      </c>
      <c r="C410" s="2">
        <v>483024</v>
      </c>
      <c r="D410" s="2">
        <v>2983073</v>
      </c>
      <c r="E410" s="2">
        <v>37.82</v>
      </c>
      <c r="F410" s="2">
        <v>177379</v>
      </c>
    </row>
    <row r="411" spans="1:6">
      <c r="A411" s="3" t="s">
        <v>3190</v>
      </c>
      <c r="B411" s="2">
        <v>41</v>
      </c>
      <c r="C411" s="2">
        <v>439850</v>
      </c>
      <c r="D411" s="2">
        <v>2989958</v>
      </c>
      <c r="E411" s="2">
        <v>37.82</v>
      </c>
      <c r="F411" s="2">
        <v>192906</v>
      </c>
    </row>
    <row r="412" spans="1:6">
      <c r="A412" s="3" t="s">
        <v>3191</v>
      </c>
      <c r="B412" s="2">
        <v>31</v>
      </c>
      <c r="C412" s="2">
        <v>518359</v>
      </c>
      <c r="D412" s="2">
        <v>2991535</v>
      </c>
      <c r="E412" s="2">
        <v>37.82</v>
      </c>
      <c r="F412" s="2">
        <v>245942</v>
      </c>
    </row>
    <row r="413" spans="1:6">
      <c r="A413" s="3" t="s">
        <v>3192</v>
      </c>
      <c r="B413" s="2">
        <v>30</v>
      </c>
      <c r="C413" s="2">
        <v>710627</v>
      </c>
      <c r="D413" s="2">
        <v>2992515</v>
      </c>
      <c r="E413" s="2">
        <v>37.82</v>
      </c>
      <c r="F413" s="2">
        <v>481277</v>
      </c>
    </row>
    <row r="414" spans="1:6">
      <c r="A414" s="3" t="s">
        <v>3193</v>
      </c>
      <c r="B414" s="2">
        <v>18</v>
      </c>
      <c r="C414" s="2">
        <v>1027651</v>
      </c>
      <c r="D414" s="2">
        <v>2997570</v>
      </c>
      <c r="E414" s="2">
        <v>37.82</v>
      </c>
      <c r="F414" s="2">
        <v>581177</v>
      </c>
    </row>
    <row r="415" spans="1:6">
      <c r="A415" s="3" t="s">
        <v>3194</v>
      </c>
      <c r="B415" s="2">
        <v>25</v>
      </c>
      <c r="C415" s="2">
        <v>492335</v>
      </c>
      <c r="D415" s="2">
        <v>2999036</v>
      </c>
      <c r="E415" s="2">
        <v>37.82</v>
      </c>
      <c r="F415" s="2">
        <v>295636</v>
      </c>
    </row>
    <row r="416" spans="1:6">
      <c r="A416" s="3" t="s">
        <v>3195</v>
      </c>
      <c r="B416" s="2">
        <v>25</v>
      </c>
      <c r="C416" s="2">
        <v>889772</v>
      </c>
      <c r="D416" s="2">
        <v>3000551</v>
      </c>
      <c r="E416" s="2">
        <v>37.82</v>
      </c>
      <c r="F416" s="2">
        <v>331475</v>
      </c>
    </row>
    <row r="417" spans="1:6">
      <c r="A417" s="3" t="s">
        <v>3196</v>
      </c>
      <c r="B417" s="2">
        <v>18</v>
      </c>
      <c r="C417" s="2">
        <v>490527</v>
      </c>
      <c r="D417" s="2">
        <v>3000784</v>
      </c>
      <c r="E417" s="2">
        <v>37.82</v>
      </c>
      <c r="F417" s="2">
        <v>338948</v>
      </c>
    </row>
    <row r="418" spans="1:6">
      <c r="A418" s="3" t="s">
        <v>3197</v>
      </c>
      <c r="B418" s="2">
        <v>23</v>
      </c>
      <c r="C418" s="2">
        <v>644734</v>
      </c>
      <c r="D418" s="2">
        <v>3000867</v>
      </c>
      <c r="E418" s="2">
        <v>37.82</v>
      </c>
      <c r="F418" s="2">
        <v>221761</v>
      </c>
    </row>
    <row r="419" spans="1:6">
      <c r="A419" s="3" t="s">
        <v>3198</v>
      </c>
      <c r="B419" s="2">
        <v>21</v>
      </c>
      <c r="C419" s="2">
        <v>771220</v>
      </c>
      <c r="D419" s="2">
        <v>3000871</v>
      </c>
      <c r="E419" s="2">
        <v>37.82</v>
      </c>
      <c r="F419" s="2">
        <v>450284</v>
      </c>
    </row>
    <row r="420" spans="1:6">
      <c r="A420" s="3" t="s">
        <v>3199</v>
      </c>
      <c r="B420" s="2">
        <v>25</v>
      </c>
      <c r="C420" s="2">
        <v>771218</v>
      </c>
      <c r="D420" s="2">
        <v>3001037</v>
      </c>
      <c r="E420" s="2">
        <v>37.82</v>
      </c>
      <c r="F420" s="2">
        <v>450284</v>
      </c>
    </row>
    <row r="421" spans="1:6">
      <c r="A421" s="3" t="s">
        <v>3200</v>
      </c>
      <c r="B421" s="2">
        <v>54</v>
      </c>
      <c r="C421" s="2">
        <v>491514</v>
      </c>
      <c r="D421" s="2">
        <v>3001060</v>
      </c>
      <c r="E421" s="2">
        <v>37.82</v>
      </c>
      <c r="F421" s="2">
        <v>109430</v>
      </c>
    </row>
    <row r="422" spans="1:6">
      <c r="A422" s="3" t="s">
        <v>3201</v>
      </c>
      <c r="B422" s="2">
        <v>14</v>
      </c>
      <c r="C422" s="2">
        <v>611329</v>
      </c>
      <c r="D422" s="2">
        <v>3002154</v>
      </c>
      <c r="E422" s="2">
        <v>37.82</v>
      </c>
      <c r="F422" s="2">
        <v>547786</v>
      </c>
    </row>
    <row r="423" spans="1:6">
      <c r="A423" s="3" t="s">
        <v>3202</v>
      </c>
      <c r="B423" s="2">
        <v>22</v>
      </c>
      <c r="C423" s="2">
        <v>506789</v>
      </c>
      <c r="D423" s="2">
        <v>3003404</v>
      </c>
      <c r="E423" s="2">
        <v>37.82</v>
      </c>
      <c r="F423" s="2">
        <v>434644</v>
      </c>
    </row>
    <row r="424" spans="1:6">
      <c r="A424" s="3" t="s">
        <v>3203</v>
      </c>
      <c r="B424" s="2">
        <v>19</v>
      </c>
      <c r="C424" s="2">
        <v>638254</v>
      </c>
      <c r="D424" s="2">
        <v>3003590</v>
      </c>
      <c r="E424" s="2">
        <v>37.82</v>
      </c>
      <c r="F424" s="2">
        <v>476970</v>
      </c>
    </row>
    <row r="425" spans="1:6">
      <c r="A425" s="3" t="s">
        <v>3204</v>
      </c>
      <c r="B425" s="2">
        <v>26</v>
      </c>
      <c r="C425" s="2">
        <v>356228</v>
      </c>
      <c r="D425" s="2">
        <v>3004841</v>
      </c>
      <c r="E425" s="2">
        <v>37.82</v>
      </c>
      <c r="F425" s="2">
        <v>228362</v>
      </c>
    </row>
    <row r="426" spans="1:6">
      <c r="A426" s="3" t="s">
        <v>3205</v>
      </c>
      <c r="B426" s="2">
        <v>34</v>
      </c>
      <c r="C426" s="2">
        <v>291517</v>
      </c>
      <c r="D426" s="2">
        <v>3005828</v>
      </c>
      <c r="E426" s="2">
        <v>37.82</v>
      </c>
      <c r="F426" s="2">
        <v>213310</v>
      </c>
    </row>
    <row r="427" spans="1:6">
      <c r="A427" s="3" t="s">
        <v>3206</v>
      </c>
      <c r="B427" s="2">
        <v>29</v>
      </c>
      <c r="C427" s="2">
        <v>551141</v>
      </c>
      <c r="D427" s="2">
        <v>3006008</v>
      </c>
      <c r="E427" s="2">
        <v>37.82</v>
      </c>
      <c r="F427" s="2">
        <v>331973</v>
      </c>
    </row>
    <row r="428" spans="1:6">
      <c r="A428" s="3" t="s">
        <v>3207</v>
      </c>
      <c r="B428" s="2">
        <v>33</v>
      </c>
      <c r="C428" s="2">
        <v>404687</v>
      </c>
      <c r="D428" s="2">
        <v>3006136</v>
      </c>
      <c r="E428" s="2">
        <v>37.82</v>
      </c>
      <c r="F428" s="2">
        <v>185452</v>
      </c>
    </row>
    <row r="429" spans="1:6">
      <c r="A429" s="3" t="s">
        <v>3208</v>
      </c>
      <c r="B429" s="2">
        <v>33</v>
      </c>
      <c r="C429" s="2">
        <v>518359</v>
      </c>
      <c r="D429" s="2">
        <v>3007280</v>
      </c>
      <c r="E429" s="2">
        <v>37.82</v>
      </c>
      <c r="F429" s="2">
        <v>253504</v>
      </c>
    </row>
    <row r="430" spans="1:6">
      <c r="A430" s="3" t="s">
        <v>3209</v>
      </c>
      <c r="B430" s="2">
        <v>36</v>
      </c>
      <c r="C430" s="2">
        <v>474244</v>
      </c>
      <c r="D430" s="2">
        <v>3007455</v>
      </c>
      <c r="E430" s="2">
        <v>37.82</v>
      </c>
      <c r="F430" s="2">
        <v>252860</v>
      </c>
    </row>
    <row r="431" spans="1:6">
      <c r="A431" s="3" t="s">
        <v>3210</v>
      </c>
      <c r="B431" s="2">
        <v>39</v>
      </c>
      <c r="C431" s="2">
        <v>312892</v>
      </c>
      <c r="D431" s="2">
        <v>3009430</v>
      </c>
      <c r="E431" s="2">
        <v>37.82</v>
      </c>
      <c r="F431" s="2">
        <v>147963</v>
      </c>
    </row>
    <row r="432" spans="1:6">
      <c r="A432" s="3" t="s">
        <v>3211</v>
      </c>
      <c r="B432" s="2">
        <v>20</v>
      </c>
      <c r="C432" s="2">
        <v>588122</v>
      </c>
      <c r="D432" s="2">
        <v>3009976</v>
      </c>
      <c r="E432" s="2">
        <v>37.82</v>
      </c>
      <c r="F432" s="2">
        <v>405021</v>
      </c>
    </row>
    <row r="433" spans="1:6">
      <c r="A433" s="3" t="s">
        <v>3212</v>
      </c>
      <c r="B433" s="2">
        <v>17</v>
      </c>
      <c r="C433" s="2">
        <v>666080</v>
      </c>
      <c r="D433" s="2">
        <v>3010359</v>
      </c>
      <c r="E433" s="2">
        <v>37.82</v>
      </c>
      <c r="F433" s="2">
        <v>579627</v>
      </c>
    </row>
    <row r="434" spans="1:6">
      <c r="A434" s="3" t="s">
        <v>3213</v>
      </c>
      <c r="B434" s="2">
        <v>18</v>
      </c>
      <c r="C434" s="2">
        <v>701148</v>
      </c>
      <c r="D434" s="2">
        <v>3010462</v>
      </c>
      <c r="E434" s="2">
        <v>37.82</v>
      </c>
      <c r="F434" s="2">
        <v>438695</v>
      </c>
    </row>
    <row r="435" spans="1:6">
      <c r="A435" s="3" t="s">
        <v>3214</v>
      </c>
      <c r="B435" s="2">
        <v>35</v>
      </c>
      <c r="C435" s="2">
        <v>518396</v>
      </c>
      <c r="D435" s="2">
        <v>3010633</v>
      </c>
      <c r="E435" s="2">
        <v>37.82</v>
      </c>
      <c r="F435" s="2">
        <v>339169</v>
      </c>
    </row>
    <row r="436" spans="1:6">
      <c r="A436" s="3" t="s">
        <v>3215</v>
      </c>
      <c r="B436" s="2">
        <v>17</v>
      </c>
      <c r="C436" s="2">
        <v>588140</v>
      </c>
      <c r="D436" s="2">
        <v>3010654</v>
      </c>
      <c r="E436" s="2">
        <v>37.82</v>
      </c>
      <c r="F436" s="2">
        <v>438992</v>
      </c>
    </row>
    <row r="437" spans="1:6">
      <c r="A437" s="3" t="s">
        <v>3216</v>
      </c>
      <c r="B437" s="2">
        <v>16</v>
      </c>
      <c r="C437" s="2">
        <v>579863</v>
      </c>
      <c r="D437" s="2">
        <v>3010709</v>
      </c>
      <c r="E437" s="2">
        <v>37.82</v>
      </c>
      <c r="F437" s="2">
        <v>306217</v>
      </c>
    </row>
    <row r="438" spans="1:6">
      <c r="A438" s="3" t="s">
        <v>3217</v>
      </c>
      <c r="B438" s="2">
        <v>57</v>
      </c>
      <c r="C438" s="2">
        <v>326000</v>
      </c>
      <c r="D438" s="2">
        <v>3010951</v>
      </c>
      <c r="E438" s="2">
        <v>37.82</v>
      </c>
      <c r="F438" s="2">
        <v>109816</v>
      </c>
    </row>
    <row r="439" spans="1:6">
      <c r="A439" s="3" t="s">
        <v>3218</v>
      </c>
      <c r="B439" s="2">
        <v>35</v>
      </c>
      <c r="C439" s="2">
        <v>477892</v>
      </c>
      <c r="D439" s="2">
        <v>3011098</v>
      </c>
      <c r="E439" s="2">
        <v>37.82</v>
      </c>
      <c r="F439" s="2">
        <v>354796</v>
      </c>
    </row>
    <row r="440" spans="1:6">
      <c r="A440" s="3" t="s">
        <v>3219</v>
      </c>
      <c r="B440" s="2">
        <v>32</v>
      </c>
      <c r="C440" s="2">
        <v>492710</v>
      </c>
      <c r="D440" s="2">
        <v>3011397</v>
      </c>
      <c r="E440" s="2">
        <v>37.82</v>
      </c>
      <c r="F440" s="2">
        <v>277961</v>
      </c>
    </row>
    <row r="441" spans="1:6">
      <c r="A441" s="3" t="s">
        <v>3220</v>
      </c>
      <c r="B441" s="2">
        <v>37</v>
      </c>
      <c r="C441" s="2">
        <v>442986</v>
      </c>
      <c r="D441" s="2">
        <v>3012429</v>
      </c>
      <c r="E441" s="2">
        <v>37.82</v>
      </c>
      <c r="F441" s="2">
        <v>344149</v>
      </c>
    </row>
    <row r="442" spans="1:6">
      <c r="A442" s="3" t="s">
        <v>3221</v>
      </c>
      <c r="B442" s="2">
        <v>23</v>
      </c>
      <c r="C442" s="2">
        <v>534368</v>
      </c>
      <c r="D442" s="2">
        <v>3013405</v>
      </c>
      <c r="E442" s="2">
        <v>37.82</v>
      </c>
      <c r="F442" s="2">
        <v>405698</v>
      </c>
    </row>
    <row r="443" spans="1:6">
      <c r="A443" s="3" t="s">
        <v>3222</v>
      </c>
      <c r="B443" s="2">
        <v>22</v>
      </c>
      <c r="C443" s="2">
        <v>588343</v>
      </c>
      <c r="D443" s="2">
        <v>3013522</v>
      </c>
      <c r="E443" s="2">
        <v>37.82</v>
      </c>
      <c r="F443" s="2">
        <v>438992</v>
      </c>
    </row>
    <row r="444" spans="1:6">
      <c r="A444" s="3" t="s">
        <v>3223</v>
      </c>
      <c r="B444" s="2">
        <v>37</v>
      </c>
      <c r="C444" s="2">
        <v>449369</v>
      </c>
      <c r="D444" s="2">
        <v>3013601</v>
      </c>
      <c r="E444" s="2">
        <v>37.82</v>
      </c>
      <c r="F444" s="2">
        <v>181865</v>
      </c>
    </row>
    <row r="445" spans="1:6">
      <c r="A445" s="3" t="s">
        <v>3224</v>
      </c>
      <c r="B445" s="2">
        <v>27</v>
      </c>
      <c r="C445" s="2">
        <v>397633</v>
      </c>
      <c r="D445" s="2">
        <v>3015746</v>
      </c>
      <c r="E445" s="2">
        <v>37.82</v>
      </c>
      <c r="F445" s="2">
        <v>223946</v>
      </c>
    </row>
    <row r="446" spans="1:6">
      <c r="A446" s="3" t="s">
        <v>3225</v>
      </c>
      <c r="B446" s="2">
        <v>35</v>
      </c>
      <c r="C446" s="2">
        <v>393426</v>
      </c>
      <c r="D446" s="2">
        <v>3016518</v>
      </c>
      <c r="E446" s="2">
        <v>37.82</v>
      </c>
      <c r="F446" s="2">
        <v>229809</v>
      </c>
    </row>
    <row r="447" spans="1:6">
      <c r="A447" s="3" t="s">
        <v>3226</v>
      </c>
      <c r="B447" s="2">
        <v>22</v>
      </c>
      <c r="C447" s="2">
        <v>1188064</v>
      </c>
      <c r="D447" s="2">
        <v>3019565</v>
      </c>
      <c r="E447" s="2">
        <v>37.82</v>
      </c>
      <c r="F447" s="2">
        <v>514742</v>
      </c>
    </row>
    <row r="448" spans="1:6">
      <c r="A448" s="3" t="s">
        <v>3227</v>
      </c>
      <c r="B448" s="2">
        <v>16</v>
      </c>
      <c r="C448" s="2">
        <v>760495</v>
      </c>
      <c r="D448" s="2">
        <v>3020333</v>
      </c>
      <c r="E448" s="2">
        <v>37.82</v>
      </c>
      <c r="F448" s="2">
        <v>513211</v>
      </c>
    </row>
    <row r="449" spans="1:6">
      <c r="A449" s="3" t="s">
        <v>3228</v>
      </c>
      <c r="B449" s="2">
        <v>26</v>
      </c>
      <c r="C449" s="2">
        <v>720451</v>
      </c>
      <c r="D449" s="2">
        <v>3021827</v>
      </c>
      <c r="E449" s="2">
        <v>37.82</v>
      </c>
      <c r="F449" s="2">
        <v>360470</v>
      </c>
    </row>
    <row r="450" spans="1:6">
      <c r="A450" s="3" t="s">
        <v>3229</v>
      </c>
      <c r="B450" s="2">
        <v>30</v>
      </c>
      <c r="C450" s="2">
        <v>524723</v>
      </c>
      <c r="D450" s="2">
        <v>3022482</v>
      </c>
      <c r="E450" s="2">
        <v>37.82</v>
      </c>
      <c r="F450" s="2">
        <v>314470</v>
      </c>
    </row>
    <row r="451" spans="1:6">
      <c r="A451" s="3" t="s">
        <v>3230</v>
      </c>
      <c r="B451" s="2">
        <v>28</v>
      </c>
      <c r="C451" s="2">
        <v>513019</v>
      </c>
      <c r="D451" s="2">
        <v>3023364</v>
      </c>
      <c r="E451" s="2">
        <v>37.82</v>
      </c>
      <c r="F451" s="2">
        <v>264641</v>
      </c>
    </row>
    <row r="452" spans="1:6">
      <c r="A452" s="3" t="s">
        <v>3231</v>
      </c>
      <c r="B452" s="2">
        <v>26</v>
      </c>
      <c r="C452" s="2">
        <v>505356</v>
      </c>
      <c r="D452" s="2">
        <v>3025024</v>
      </c>
      <c r="E452" s="2">
        <v>37.82</v>
      </c>
      <c r="F452" s="2">
        <v>406907</v>
      </c>
    </row>
    <row r="453" spans="1:6">
      <c r="A453" s="3" t="s">
        <v>3232</v>
      </c>
      <c r="B453" s="2">
        <v>24</v>
      </c>
      <c r="C453" s="2">
        <v>510880</v>
      </c>
      <c r="D453" s="2">
        <v>3025261</v>
      </c>
      <c r="E453" s="2">
        <v>37.82</v>
      </c>
      <c r="F453" s="2">
        <v>358422</v>
      </c>
    </row>
    <row r="454" spans="1:6">
      <c r="A454" s="3" t="s">
        <v>3233</v>
      </c>
      <c r="B454" s="2">
        <v>42</v>
      </c>
      <c r="C454" s="2">
        <v>361844</v>
      </c>
      <c r="D454" s="2">
        <v>3025998</v>
      </c>
      <c r="E454" s="2">
        <v>37.82</v>
      </c>
      <c r="F454" s="2">
        <v>141647</v>
      </c>
    </row>
    <row r="455" spans="1:6">
      <c r="A455" s="3" t="s">
        <v>3234</v>
      </c>
      <c r="B455" s="2">
        <v>35</v>
      </c>
      <c r="C455" s="2">
        <v>403279</v>
      </c>
      <c r="D455" s="2">
        <v>3026051</v>
      </c>
      <c r="E455" s="2">
        <v>37.82</v>
      </c>
      <c r="F455" s="2">
        <v>179064</v>
      </c>
    </row>
    <row r="456" spans="1:6">
      <c r="A456" s="3" t="s">
        <v>3235</v>
      </c>
      <c r="B456" s="2">
        <v>20</v>
      </c>
      <c r="C456" s="2">
        <v>1534549</v>
      </c>
      <c r="D456" s="2">
        <v>3029822</v>
      </c>
      <c r="E456" s="2">
        <v>37.82</v>
      </c>
      <c r="F456" s="2">
        <v>1534549</v>
      </c>
    </row>
    <row r="457" spans="1:6">
      <c r="A457" s="3" t="s">
        <v>3236</v>
      </c>
      <c r="B457" s="2">
        <v>29</v>
      </c>
      <c r="C457" s="2">
        <v>592334</v>
      </c>
      <c r="D457" s="2">
        <v>3039747</v>
      </c>
      <c r="E457" s="2">
        <v>37.82</v>
      </c>
      <c r="F457" s="2">
        <v>265912</v>
      </c>
    </row>
    <row r="458" spans="1:6">
      <c r="A458" s="3" t="s">
        <v>3237</v>
      </c>
      <c r="B458" s="2">
        <v>52</v>
      </c>
      <c r="C458" s="2">
        <v>359197</v>
      </c>
      <c r="D458" s="2">
        <v>3040645</v>
      </c>
      <c r="E458" s="2">
        <v>37.82</v>
      </c>
      <c r="F458" s="2">
        <v>260811</v>
      </c>
    </row>
    <row r="459" spans="1:6">
      <c r="A459" s="3" t="s">
        <v>3238</v>
      </c>
      <c r="B459" s="2">
        <v>17</v>
      </c>
      <c r="C459" s="2">
        <v>698655</v>
      </c>
      <c r="D459" s="2">
        <v>3041298</v>
      </c>
      <c r="E459" s="2">
        <v>37.82</v>
      </c>
      <c r="F459" s="2">
        <v>579639</v>
      </c>
    </row>
    <row r="460" spans="1:6">
      <c r="A460" s="3" t="s">
        <v>3239</v>
      </c>
      <c r="B460" s="2">
        <v>25</v>
      </c>
      <c r="C460" s="2">
        <v>700519</v>
      </c>
      <c r="D460" s="2">
        <v>3041961</v>
      </c>
      <c r="E460" s="2">
        <v>37.82</v>
      </c>
      <c r="F460" s="2">
        <v>217007</v>
      </c>
    </row>
    <row r="461" spans="1:6">
      <c r="A461" s="3" t="s">
        <v>3240</v>
      </c>
      <c r="B461" s="2">
        <v>16</v>
      </c>
      <c r="C461" s="2">
        <v>620607</v>
      </c>
      <c r="D461" s="2">
        <v>3042979</v>
      </c>
      <c r="E461" s="2">
        <v>37.82</v>
      </c>
      <c r="F461" s="2">
        <v>439926</v>
      </c>
    </row>
    <row r="462" spans="1:6">
      <c r="A462" s="3" t="s">
        <v>3241</v>
      </c>
      <c r="B462" s="2">
        <v>20</v>
      </c>
      <c r="C462" s="2">
        <v>579810</v>
      </c>
      <c r="D462" s="2">
        <v>3043014</v>
      </c>
      <c r="E462" s="2">
        <v>37.82</v>
      </c>
      <c r="F462" s="2">
        <v>437767</v>
      </c>
    </row>
    <row r="463" spans="1:6">
      <c r="A463" s="3" t="s">
        <v>3242</v>
      </c>
      <c r="B463" s="2">
        <v>22</v>
      </c>
      <c r="C463" s="2">
        <v>588870</v>
      </c>
      <c r="D463" s="2">
        <v>3043222</v>
      </c>
      <c r="E463" s="2">
        <v>37.82</v>
      </c>
      <c r="F463" s="2">
        <v>359296</v>
      </c>
    </row>
    <row r="464" spans="1:6">
      <c r="A464" s="3" t="s">
        <v>3243</v>
      </c>
      <c r="B464" s="2">
        <v>25</v>
      </c>
      <c r="C464" s="2">
        <v>479520</v>
      </c>
      <c r="D464" s="2">
        <v>3043235</v>
      </c>
      <c r="E464" s="2">
        <v>37.82</v>
      </c>
      <c r="F464" s="2">
        <v>359378</v>
      </c>
    </row>
    <row r="465" spans="1:6">
      <c r="A465" s="3" t="s">
        <v>3244</v>
      </c>
      <c r="B465" s="2">
        <v>16</v>
      </c>
      <c r="C465" s="2">
        <v>700746</v>
      </c>
      <c r="D465" s="2">
        <v>3043283</v>
      </c>
      <c r="E465" s="2">
        <v>37.82</v>
      </c>
      <c r="F465" s="2">
        <v>579640</v>
      </c>
    </row>
    <row r="466" spans="1:6">
      <c r="A466" s="3" t="s">
        <v>3245</v>
      </c>
      <c r="B466" s="2">
        <v>18</v>
      </c>
      <c r="C466" s="2">
        <v>700736</v>
      </c>
      <c r="D466" s="2">
        <v>3043335</v>
      </c>
      <c r="E466" s="2">
        <v>37.82</v>
      </c>
      <c r="F466" s="2">
        <v>425860</v>
      </c>
    </row>
    <row r="467" spans="1:6">
      <c r="A467" s="3" t="s">
        <v>3246</v>
      </c>
      <c r="B467" s="2">
        <v>24</v>
      </c>
      <c r="C467" s="2">
        <v>445904</v>
      </c>
      <c r="D467" s="2">
        <v>3043423</v>
      </c>
      <c r="E467" s="2">
        <v>37.82</v>
      </c>
      <c r="F467" s="2">
        <v>259278</v>
      </c>
    </row>
    <row r="468" spans="1:6">
      <c r="A468" s="3" t="s">
        <v>3247</v>
      </c>
      <c r="B468" s="2">
        <v>23</v>
      </c>
      <c r="C468" s="2">
        <v>579809</v>
      </c>
      <c r="D468" s="2">
        <v>3043635</v>
      </c>
      <c r="E468" s="2">
        <v>37.82</v>
      </c>
      <c r="F468" s="2">
        <v>269051</v>
      </c>
    </row>
    <row r="469" spans="1:6">
      <c r="A469" s="3" t="s">
        <v>3248</v>
      </c>
      <c r="B469" s="2">
        <v>20</v>
      </c>
      <c r="C469" s="2">
        <v>621236</v>
      </c>
      <c r="D469" s="2">
        <v>3044064</v>
      </c>
      <c r="E469" s="2">
        <v>37.82</v>
      </c>
      <c r="F469" s="2">
        <v>440358</v>
      </c>
    </row>
    <row r="470" spans="1:6">
      <c r="A470" s="3" t="s">
        <v>3249</v>
      </c>
      <c r="B470" s="2">
        <v>23</v>
      </c>
      <c r="C470" s="2">
        <v>698681</v>
      </c>
      <c r="D470" s="2">
        <v>3044872</v>
      </c>
      <c r="E470" s="2">
        <v>37.82</v>
      </c>
      <c r="F470" s="2">
        <v>579639</v>
      </c>
    </row>
    <row r="471" spans="1:6">
      <c r="A471" s="3" t="s">
        <v>3250</v>
      </c>
      <c r="B471" s="2">
        <v>25</v>
      </c>
      <c r="C471" s="2">
        <v>506223</v>
      </c>
      <c r="D471" s="2">
        <v>3045047</v>
      </c>
      <c r="E471" s="2">
        <v>37.82</v>
      </c>
      <c r="F471" s="2">
        <v>407128</v>
      </c>
    </row>
    <row r="472" spans="1:6">
      <c r="A472" s="3" t="s">
        <v>3251</v>
      </c>
      <c r="B472" s="2">
        <v>19</v>
      </c>
      <c r="C472" s="2">
        <v>527713</v>
      </c>
      <c r="D472" s="2">
        <v>3046303</v>
      </c>
      <c r="E472" s="2">
        <v>37.82</v>
      </c>
      <c r="F472" s="2">
        <v>502318</v>
      </c>
    </row>
    <row r="473" spans="1:6">
      <c r="A473" s="3" t="s">
        <v>3252</v>
      </c>
      <c r="B473" s="2">
        <v>29</v>
      </c>
      <c r="C473" s="2">
        <v>524720</v>
      </c>
      <c r="D473" s="2">
        <v>3046667</v>
      </c>
      <c r="E473" s="2">
        <v>37.82</v>
      </c>
      <c r="F473" s="2">
        <v>419265</v>
      </c>
    </row>
    <row r="474" spans="1:6">
      <c r="A474" s="3" t="s">
        <v>3253</v>
      </c>
      <c r="B474" s="2">
        <v>26</v>
      </c>
      <c r="C474" s="2">
        <v>421440</v>
      </c>
      <c r="D474" s="2">
        <v>3046868</v>
      </c>
      <c r="E474" s="2">
        <v>37.82</v>
      </c>
      <c r="F474" s="2">
        <v>238451</v>
      </c>
    </row>
    <row r="475" spans="1:6">
      <c r="A475" s="3" t="s">
        <v>3254</v>
      </c>
      <c r="B475" s="2">
        <v>19</v>
      </c>
      <c r="C475" s="2">
        <v>784192</v>
      </c>
      <c r="D475" s="2">
        <v>3047186</v>
      </c>
      <c r="E475" s="2">
        <v>37.82</v>
      </c>
      <c r="F475" s="2">
        <v>479960</v>
      </c>
    </row>
    <row r="476" spans="1:6">
      <c r="A476" s="3" t="s">
        <v>3255</v>
      </c>
      <c r="B476" s="2">
        <v>38</v>
      </c>
      <c r="C476" s="2">
        <v>427954</v>
      </c>
      <c r="D476" s="2">
        <v>3048420</v>
      </c>
      <c r="E476" s="2">
        <v>37.82</v>
      </c>
      <c r="F476" s="2">
        <v>177837</v>
      </c>
    </row>
    <row r="477" spans="1:6">
      <c r="A477" s="3" t="s">
        <v>3256</v>
      </c>
      <c r="B477" s="2">
        <v>31</v>
      </c>
      <c r="C477" s="2">
        <v>646404</v>
      </c>
      <c r="D477" s="2">
        <v>3048725</v>
      </c>
      <c r="E477" s="2">
        <v>37.82</v>
      </c>
      <c r="F477" s="2">
        <v>299497</v>
      </c>
    </row>
    <row r="478" spans="1:6">
      <c r="A478" s="3" t="s">
        <v>3257</v>
      </c>
      <c r="B478" s="2">
        <v>27</v>
      </c>
      <c r="C478" s="2">
        <v>524770</v>
      </c>
      <c r="D478" s="2">
        <v>3052419</v>
      </c>
      <c r="E478" s="2">
        <v>37.82</v>
      </c>
      <c r="F478" s="2">
        <v>406905</v>
      </c>
    </row>
    <row r="479" spans="1:6">
      <c r="A479" s="3" t="s">
        <v>3258</v>
      </c>
      <c r="B479" s="2">
        <v>24</v>
      </c>
      <c r="C479" s="2">
        <v>510399</v>
      </c>
      <c r="D479" s="2">
        <v>3053975</v>
      </c>
      <c r="E479" s="2">
        <v>37.82</v>
      </c>
      <c r="F479" s="2">
        <v>419221</v>
      </c>
    </row>
    <row r="480" spans="1:6">
      <c r="A480" s="3" t="s">
        <v>3259</v>
      </c>
      <c r="B480" s="2">
        <v>22</v>
      </c>
      <c r="C480" s="2">
        <v>810985</v>
      </c>
      <c r="D480" s="2">
        <v>3055309</v>
      </c>
      <c r="E480" s="2">
        <v>37.82</v>
      </c>
      <c r="F480" s="2">
        <v>480929</v>
      </c>
    </row>
    <row r="481" spans="1:6">
      <c r="A481" s="3" t="s">
        <v>3260</v>
      </c>
      <c r="B481" s="2">
        <v>34</v>
      </c>
      <c r="C481" s="2">
        <v>583467</v>
      </c>
      <c r="D481" s="2">
        <v>3055326</v>
      </c>
      <c r="E481" s="2">
        <v>37.82</v>
      </c>
      <c r="F481" s="2">
        <v>415077</v>
      </c>
    </row>
    <row r="482" spans="1:6">
      <c r="A482" s="3" t="s">
        <v>3261</v>
      </c>
      <c r="B482" s="2">
        <v>37</v>
      </c>
      <c r="C482" s="2">
        <v>373917</v>
      </c>
      <c r="D482" s="2">
        <v>3056006</v>
      </c>
      <c r="E482" s="2">
        <v>37.82</v>
      </c>
      <c r="F482" s="2">
        <v>215605</v>
      </c>
    </row>
    <row r="483" spans="1:6">
      <c r="A483" s="3" t="s">
        <v>3262</v>
      </c>
      <c r="B483" s="2">
        <v>34</v>
      </c>
      <c r="C483" s="2">
        <v>467981</v>
      </c>
      <c r="D483" s="2">
        <v>3056054</v>
      </c>
      <c r="E483" s="2">
        <v>37.82</v>
      </c>
      <c r="F483" s="2">
        <v>346054</v>
      </c>
    </row>
    <row r="484" spans="1:6">
      <c r="A484" s="3" t="s">
        <v>3263</v>
      </c>
      <c r="B484" s="2">
        <v>22</v>
      </c>
      <c r="C484" s="2">
        <v>1050772</v>
      </c>
      <c r="D484" s="2">
        <v>3056425</v>
      </c>
      <c r="E484" s="2">
        <v>37.82</v>
      </c>
      <c r="F484" s="2">
        <v>532770</v>
      </c>
    </row>
    <row r="485" spans="1:6">
      <c r="A485" s="3" t="s">
        <v>3264</v>
      </c>
      <c r="B485" s="2">
        <v>42</v>
      </c>
      <c r="C485" s="2">
        <v>361867</v>
      </c>
      <c r="D485" s="2">
        <v>3056494</v>
      </c>
      <c r="E485" s="2">
        <v>37.82</v>
      </c>
      <c r="F485" s="2">
        <v>133900</v>
      </c>
    </row>
    <row r="486" spans="1:6">
      <c r="A486" s="3" t="s">
        <v>3265</v>
      </c>
      <c r="B486" s="2">
        <v>45</v>
      </c>
      <c r="C486" s="2">
        <v>452294</v>
      </c>
      <c r="D486" s="2">
        <v>3056659</v>
      </c>
      <c r="E486" s="2">
        <v>37.82</v>
      </c>
      <c r="F486" s="2">
        <v>109625</v>
      </c>
    </row>
    <row r="487" spans="1:6">
      <c r="A487" s="3" t="s">
        <v>3266</v>
      </c>
      <c r="B487" s="2">
        <v>36</v>
      </c>
      <c r="C487" s="2">
        <v>452057</v>
      </c>
      <c r="D487" s="2">
        <v>3057151</v>
      </c>
      <c r="E487" s="2">
        <v>37.82</v>
      </c>
      <c r="F487" s="2">
        <v>166661</v>
      </c>
    </row>
    <row r="488" spans="1:6">
      <c r="A488" s="3" t="s">
        <v>3267</v>
      </c>
      <c r="B488" s="2">
        <v>28</v>
      </c>
      <c r="C488" s="2">
        <v>542011</v>
      </c>
      <c r="D488" s="2">
        <v>3057490</v>
      </c>
      <c r="E488" s="2">
        <v>37.82</v>
      </c>
      <c r="F488" s="2">
        <v>243360</v>
      </c>
    </row>
    <row r="489" spans="1:6">
      <c r="A489" s="3" t="s">
        <v>3268</v>
      </c>
      <c r="B489" s="2">
        <v>47</v>
      </c>
      <c r="C489" s="2">
        <v>362090</v>
      </c>
      <c r="D489" s="2">
        <v>3057748</v>
      </c>
      <c r="E489" s="2">
        <v>37.82</v>
      </c>
      <c r="F489" s="2">
        <v>137871</v>
      </c>
    </row>
    <row r="490" spans="1:6">
      <c r="A490" s="3" t="s">
        <v>3269</v>
      </c>
      <c r="B490" s="2">
        <v>25</v>
      </c>
      <c r="C490" s="2">
        <v>481244</v>
      </c>
      <c r="D490" s="2">
        <v>3058109</v>
      </c>
      <c r="E490" s="2">
        <v>37.82</v>
      </c>
      <c r="F490" s="2">
        <v>393074</v>
      </c>
    </row>
    <row r="491" spans="1:6">
      <c r="A491" s="3" t="s">
        <v>3270</v>
      </c>
      <c r="B491" s="2">
        <v>15</v>
      </c>
      <c r="C491" s="2">
        <v>1211203</v>
      </c>
      <c r="D491" s="2">
        <v>3058272</v>
      </c>
      <c r="E491" s="2">
        <v>37.82</v>
      </c>
      <c r="F491" s="2">
        <v>581978</v>
      </c>
    </row>
    <row r="492" spans="1:6">
      <c r="A492" s="3" t="s">
        <v>3271</v>
      </c>
      <c r="B492" s="2">
        <v>25</v>
      </c>
      <c r="C492" s="2">
        <v>553559</v>
      </c>
      <c r="D492" s="2">
        <v>3058914</v>
      </c>
      <c r="E492" s="2">
        <v>37.82</v>
      </c>
      <c r="F492" s="2">
        <v>287365</v>
      </c>
    </row>
    <row r="493" spans="1:6">
      <c r="A493" s="3" t="s">
        <v>3272</v>
      </c>
      <c r="B493" s="2">
        <v>33</v>
      </c>
      <c r="C493" s="2">
        <v>465344</v>
      </c>
      <c r="D493" s="2">
        <v>3058982</v>
      </c>
      <c r="E493" s="2">
        <v>37.82</v>
      </c>
      <c r="F493" s="2">
        <v>206481</v>
      </c>
    </row>
    <row r="494" spans="1:6">
      <c r="A494" s="3" t="s">
        <v>3273</v>
      </c>
      <c r="B494" s="2">
        <v>22</v>
      </c>
      <c r="C494" s="2">
        <v>686260</v>
      </c>
      <c r="D494" s="2">
        <v>3059179</v>
      </c>
      <c r="E494" s="2">
        <v>37.82</v>
      </c>
      <c r="F494" s="2">
        <v>465727</v>
      </c>
    </row>
    <row r="495" spans="1:6">
      <c r="A495" s="3" t="s">
        <v>3274</v>
      </c>
      <c r="B495" s="2">
        <v>15</v>
      </c>
      <c r="C495" s="2">
        <v>1038488</v>
      </c>
      <c r="D495" s="2">
        <v>3064106</v>
      </c>
      <c r="E495" s="2">
        <v>37.82</v>
      </c>
      <c r="F495" s="2">
        <v>582068</v>
      </c>
    </row>
    <row r="496" spans="1:6">
      <c r="A496" s="3" t="s">
        <v>3275</v>
      </c>
      <c r="B496" s="2">
        <v>17</v>
      </c>
      <c r="C496" s="2">
        <v>592889</v>
      </c>
      <c r="D496" s="2">
        <v>3067179</v>
      </c>
      <c r="E496" s="2">
        <v>37.82</v>
      </c>
      <c r="F496" s="2">
        <v>321563</v>
      </c>
    </row>
    <row r="497" spans="1:6">
      <c r="A497" s="3" t="s">
        <v>3276</v>
      </c>
      <c r="B497" s="2">
        <v>52</v>
      </c>
      <c r="C497" s="2">
        <v>310125</v>
      </c>
      <c r="D497" s="2">
        <v>3114650</v>
      </c>
      <c r="E497" s="2">
        <v>37.82</v>
      </c>
      <c r="F497" s="2">
        <v>116891</v>
      </c>
    </row>
    <row r="498" spans="1:6">
      <c r="A498" s="3" t="s">
        <v>3277</v>
      </c>
      <c r="B498" s="2">
        <v>39</v>
      </c>
      <c r="C498" s="2">
        <v>361836</v>
      </c>
      <c r="D498" s="2">
        <v>3192610</v>
      </c>
      <c r="E498" s="2">
        <v>37.82</v>
      </c>
      <c r="F498" s="2">
        <v>182049</v>
      </c>
    </row>
    <row r="499" spans="1:6">
      <c r="A499" s="3" t="s">
        <v>3278</v>
      </c>
      <c r="B499" s="2">
        <v>18</v>
      </c>
      <c r="C499" s="2">
        <v>909183</v>
      </c>
      <c r="D499" s="2">
        <v>2867847</v>
      </c>
      <c r="E499" s="2">
        <v>37.83</v>
      </c>
      <c r="F499" s="2">
        <v>526303</v>
      </c>
    </row>
    <row r="500" spans="1:6">
      <c r="A500" s="3" t="s">
        <v>3279</v>
      </c>
      <c r="B500" s="2">
        <v>50</v>
      </c>
      <c r="C500" s="2">
        <v>436282</v>
      </c>
      <c r="D500" s="2">
        <v>2922853</v>
      </c>
      <c r="E500" s="2">
        <v>37.83</v>
      </c>
      <c r="F500" s="2">
        <v>138082</v>
      </c>
    </row>
    <row r="501" spans="1:6">
      <c r="A501" s="3" t="s">
        <v>3280</v>
      </c>
      <c r="B501" s="2">
        <v>42</v>
      </c>
      <c r="C501" s="2">
        <v>331825</v>
      </c>
      <c r="D501" s="2">
        <v>2924346</v>
      </c>
      <c r="E501" s="2">
        <v>37.83</v>
      </c>
      <c r="F501" s="2">
        <v>151687</v>
      </c>
    </row>
    <row r="502" spans="1:6">
      <c r="A502" s="3" t="s">
        <v>3281</v>
      </c>
      <c r="B502" s="2">
        <v>10</v>
      </c>
      <c r="C502" s="2">
        <v>1544407</v>
      </c>
      <c r="D502" s="2">
        <v>2928621</v>
      </c>
      <c r="E502" s="2">
        <v>37.83</v>
      </c>
      <c r="F502" s="2">
        <v>1544407</v>
      </c>
    </row>
    <row r="503" spans="1:6">
      <c r="A503" s="3" t="s">
        <v>3282</v>
      </c>
      <c r="B503" s="2">
        <v>31</v>
      </c>
      <c r="C503" s="2">
        <v>371912</v>
      </c>
      <c r="D503" s="2">
        <v>2929934</v>
      </c>
      <c r="E503" s="2">
        <v>37.83</v>
      </c>
      <c r="F503" s="2">
        <v>267432</v>
      </c>
    </row>
    <row r="504" spans="1:6">
      <c r="A504" s="3" t="s">
        <v>3283</v>
      </c>
      <c r="B504" s="2">
        <v>17</v>
      </c>
      <c r="C504" s="2">
        <v>1444960</v>
      </c>
      <c r="D504" s="2">
        <v>2932672</v>
      </c>
      <c r="E504" s="2">
        <v>37.83</v>
      </c>
      <c r="F504" s="2">
        <v>434845</v>
      </c>
    </row>
    <row r="505" spans="1:6">
      <c r="A505" s="3" t="s">
        <v>3284</v>
      </c>
      <c r="B505" s="2">
        <v>12</v>
      </c>
      <c r="C505" s="2">
        <v>1006759</v>
      </c>
      <c r="D505" s="2">
        <v>2933257</v>
      </c>
      <c r="E505" s="2">
        <v>37.83</v>
      </c>
      <c r="F505" s="2">
        <v>541480</v>
      </c>
    </row>
    <row r="506" spans="1:6">
      <c r="A506" s="3" t="s">
        <v>3285</v>
      </c>
      <c r="B506" s="2">
        <v>16</v>
      </c>
      <c r="C506" s="2">
        <v>556505</v>
      </c>
      <c r="D506" s="2">
        <v>2937677</v>
      </c>
      <c r="E506" s="2">
        <v>37.83</v>
      </c>
      <c r="F506" s="2">
        <v>300269</v>
      </c>
    </row>
    <row r="507" spans="1:6">
      <c r="A507" s="3" t="s">
        <v>3286</v>
      </c>
      <c r="B507" s="2">
        <v>14</v>
      </c>
      <c r="C507" s="2">
        <v>868102</v>
      </c>
      <c r="D507" s="2">
        <v>2937715</v>
      </c>
      <c r="E507" s="2">
        <v>37.83</v>
      </c>
      <c r="F507" s="2">
        <v>335822</v>
      </c>
    </row>
    <row r="508" spans="1:6">
      <c r="A508" s="3" t="s">
        <v>3287</v>
      </c>
      <c r="B508" s="2">
        <v>20</v>
      </c>
      <c r="C508" s="2">
        <v>891462</v>
      </c>
      <c r="D508" s="2">
        <v>2942937</v>
      </c>
      <c r="E508" s="2">
        <v>37.83</v>
      </c>
      <c r="F508" s="2">
        <v>580864</v>
      </c>
    </row>
    <row r="509" spans="1:6">
      <c r="A509" s="3" t="s">
        <v>3288</v>
      </c>
      <c r="B509" s="2">
        <v>16</v>
      </c>
      <c r="C509" s="2">
        <v>1478817</v>
      </c>
      <c r="D509" s="2">
        <v>2946671</v>
      </c>
      <c r="E509" s="2">
        <v>37.83</v>
      </c>
      <c r="F509" s="2">
        <v>1478817</v>
      </c>
    </row>
    <row r="510" spans="1:6">
      <c r="A510" s="3" t="s">
        <v>3289</v>
      </c>
      <c r="B510" s="2">
        <v>20</v>
      </c>
      <c r="C510" s="2">
        <v>494742</v>
      </c>
      <c r="D510" s="2">
        <v>2956860</v>
      </c>
      <c r="E510" s="2">
        <v>37.83</v>
      </c>
      <c r="F510" s="2">
        <v>425687</v>
      </c>
    </row>
    <row r="511" spans="1:6">
      <c r="A511" s="3" t="s">
        <v>3290</v>
      </c>
      <c r="B511" s="2">
        <v>32</v>
      </c>
      <c r="C511" s="2">
        <v>469972</v>
      </c>
      <c r="D511" s="2">
        <v>2957298</v>
      </c>
      <c r="E511" s="2">
        <v>37.83</v>
      </c>
      <c r="F511" s="2">
        <v>358400</v>
      </c>
    </row>
    <row r="512" spans="1:6">
      <c r="A512" s="3" t="s">
        <v>3291</v>
      </c>
      <c r="B512" s="2">
        <v>35</v>
      </c>
      <c r="C512" s="2">
        <v>477332</v>
      </c>
      <c r="D512" s="2">
        <v>2957605</v>
      </c>
      <c r="E512" s="2">
        <v>37.83</v>
      </c>
      <c r="F512" s="2">
        <v>257709</v>
      </c>
    </row>
    <row r="513" spans="1:6">
      <c r="A513" s="3" t="s">
        <v>3292</v>
      </c>
      <c r="B513" s="2">
        <v>18</v>
      </c>
      <c r="C513" s="2">
        <v>505432</v>
      </c>
      <c r="D513" s="2">
        <v>2959072</v>
      </c>
      <c r="E513" s="2">
        <v>37.83</v>
      </c>
      <c r="F513" s="2">
        <v>416182</v>
      </c>
    </row>
    <row r="514" spans="1:6">
      <c r="A514" s="3" t="s">
        <v>3293</v>
      </c>
      <c r="B514" s="2">
        <v>27</v>
      </c>
      <c r="C514" s="2">
        <v>330713</v>
      </c>
      <c r="D514" s="2">
        <v>2962859</v>
      </c>
      <c r="E514" s="2">
        <v>37.83</v>
      </c>
      <c r="F514" s="2">
        <v>210954</v>
      </c>
    </row>
    <row r="515" spans="1:6">
      <c r="A515" s="3" t="s">
        <v>3294</v>
      </c>
      <c r="B515" s="2">
        <v>47</v>
      </c>
      <c r="C515" s="2">
        <v>410270</v>
      </c>
      <c r="D515" s="2">
        <v>2963192</v>
      </c>
      <c r="E515" s="2">
        <v>37.83</v>
      </c>
      <c r="F515" s="2">
        <v>156682</v>
      </c>
    </row>
    <row r="516" spans="1:6">
      <c r="A516" s="3" t="s">
        <v>3295</v>
      </c>
      <c r="B516" s="2">
        <v>17</v>
      </c>
      <c r="C516" s="2">
        <v>909343</v>
      </c>
      <c r="D516" s="2">
        <v>2963788</v>
      </c>
      <c r="E516" s="2">
        <v>37.83</v>
      </c>
      <c r="F516" s="2">
        <v>461538</v>
      </c>
    </row>
    <row r="517" spans="1:6">
      <c r="A517" s="3" t="s">
        <v>3296</v>
      </c>
      <c r="B517" s="2">
        <v>22</v>
      </c>
      <c r="C517" s="2">
        <v>605074</v>
      </c>
      <c r="D517" s="2">
        <v>2970216</v>
      </c>
      <c r="E517" s="2">
        <v>37.83</v>
      </c>
      <c r="F517" s="2">
        <v>449586</v>
      </c>
    </row>
    <row r="518" spans="1:6">
      <c r="A518" s="3" t="s">
        <v>3297</v>
      </c>
      <c r="B518" s="2">
        <v>29</v>
      </c>
      <c r="C518" s="2">
        <v>403655</v>
      </c>
      <c r="D518" s="2">
        <v>2971604</v>
      </c>
      <c r="E518" s="2">
        <v>37.83</v>
      </c>
      <c r="F518" s="2">
        <v>197138</v>
      </c>
    </row>
    <row r="519" spans="1:6">
      <c r="A519" s="3" t="s">
        <v>3298</v>
      </c>
      <c r="B519" s="2">
        <v>41</v>
      </c>
      <c r="C519" s="2">
        <v>360134</v>
      </c>
      <c r="D519" s="2">
        <v>2974729</v>
      </c>
      <c r="E519" s="2">
        <v>37.83</v>
      </c>
      <c r="F519" s="2">
        <v>189311</v>
      </c>
    </row>
    <row r="520" spans="1:6">
      <c r="A520" s="3" t="s">
        <v>3299</v>
      </c>
      <c r="B520" s="2">
        <v>30</v>
      </c>
      <c r="C520" s="2">
        <v>415217</v>
      </c>
      <c r="D520" s="2">
        <v>2975395</v>
      </c>
      <c r="E520" s="2">
        <v>37.83</v>
      </c>
      <c r="F520" s="2">
        <v>212789</v>
      </c>
    </row>
    <row r="521" spans="1:6">
      <c r="A521" s="3" t="s">
        <v>3300</v>
      </c>
      <c r="B521" s="2">
        <v>28</v>
      </c>
      <c r="C521" s="2">
        <v>431961</v>
      </c>
      <c r="D521" s="2">
        <v>2977949</v>
      </c>
      <c r="E521" s="2">
        <v>37.83</v>
      </c>
      <c r="F521" s="2">
        <v>230172</v>
      </c>
    </row>
    <row r="522" spans="1:6">
      <c r="A522" s="3" t="s">
        <v>3301</v>
      </c>
      <c r="B522" s="2">
        <v>59</v>
      </c>
      <c r="C522" s="2">
        <v>282990</v>
      </c>
      <c r="D522" s="2">
        <v>2982023</v>
      </c>
      <c r="E522" s="2">
        <v>37.83</v>
      </c>
      <c r="F522" s="2">
        <v>108809</v>
      </c>
    </row>
    <row r="523" spans="1:6">
      <c r="A523" s="3" t="s">
        <v>3302</v>
      </c>
      <c r="B523" s="2">
        <v>48</v>
      </c>
      <c r="C523" s="2">
        <v>381847</v>
      </c>
      <c r="D523" s="2">
        <v>2986026</v>
      </c>
      <c r="E523" s="2">
        <v>37.83</v>
      </c>
      <c r="F523" s="2">
        <v>171350</v>
      </c>
    </row>
    <row r="524" spans="1:6">
      <c r="A524" s="3" t="s">
        <v>3303</v>
      </c>
      <c r="B524" s="2">
        <v>27</v>
      </c>
      <c r="C524" s="2">
        <v>1222503</v>
      </c>
      <c r="D524" s="2">
        <v>2988893</v>
      </c>
      <c r="E524" s="2">
        <v>37.83</v>
      </c>
      <c r="F524" s="2">
        <v>436127</v>
      </c>
    </row>
    <row r="525" spans="1:6">
      <c r="A525" s="3" t="s">
        <v>3304</v>
      </c>
      <c r="B525" s="2">
        <v>17</v>
      </c>
      <c r="C525" s="2">
        <v>1488003</v>
      </c>
      <c r="D525" s="2">
        <v>2989357</v>
      </c>
      <c r="E525" s="2">
        <v>37.83</v>
      </c>
      <c r="F525" s="2">
        <v>551151</v>
      </c>
    </row>
    <row r="526" spans="1:6">
      <c r="A526" s="3" t="s">
        <v>3305</v>
      </c>
      <c r="B526" s="2">
        <v>19</v>
      </c>
      <c r="C526" s="2">
        <v>798300</v>
      </c>
      <c r="D526" s="2">
        <v>2989656</v>
      </c>
      <c r="E526" s="2">
        <v>37.83</v>
      </c>
      <c r="F526" s="2">
        <v>447422</v>
      </c>
    </row>
    <row r="527" spans="1:6">
      <c r="A527" s="3" t="s">
        <v>3306</v>
      </c>
      <c r="B527" s="2">
        <v>22</v>
      </c>
      <c r="C527" s="2">
        <v>903759</v>
      </c>
      <c r="D527" s="2">
        <v>2994188</v>
      </c>
      <c r="E527" s="2">
        <v>37.83</v>
      </c>
      <c r="F527" s="2">
        <v>476137</v>
      </c>
    </row>
    <row r="528" spans="1:6">
      <c r="A528" s="3" t="s">
        <v>3307</v>
      </c>
      <c r="B528" s="2">
        <v>33</v>
      </c>
      <c r="C528" s="2">
        <v>368613</v>
      </c>
      <c r="D528" s="2">
        <v>3000136</v>
      </c>
      <c r="E528" s="2">
        <v>37.83</v>
      </c>
      <c r="F528" s="2">
        <v>268060</v>
      </c>
    </row>
    <row r="529" spans="1:6">
      <c r="A529" s="3" t="s">
        <v>3308</v>
      </c>
      <c r="B529" s="2">
        <v>16</v>
      </c>
      <c r="C529" s="2">
        <v>592765</v>
      </c>
      <c r="D529" s="2">
        <v>3000244</v>
      </c>
      <c r="E529" s="2">
        <v>37.83</v>
      </c>
      <c r="F529" s="2">
        <v>339675</v>
      </c>
    </row>
    <row r="530" spans="1:6">
      <c r="A530" s="3" t="s">
        <v>3309</v>
      </c>
      <c r="B530" s="2">
        <v>23</v>
      </c>
      <c r="C530" s="2">
        <v>605091</v>
      </c>
      <c r="D530" s="2">
        <v>3000506</v>
      </c>
      <c r="E530" s="2">
        <v>37.83</v>
      </c>
      <c r="F530" s="2">
        <v>477277</v>
      </c>
    </row>
    <row r="531" spans="1:6">
      <c r="A531" s="3" t="s">
        <v>3310</v>
      </c>
      <c r="B531" s="2">
        <v>22</v>
      </c>
      <c r="C531" s="2">
        <v>605964</v>
      </c>
      <c r="D531" s="2">
        <v>3000779</v>
      </c>
      <c r="E531" s="2">
        <v>37.83</v>
      </c>
      <c r="F531" s="2">
        <v>436049</v>
      </c>
    </row>
    <row r="532" spans="1:6">
      <c r="A532" s="3" t="s">
        <v>3311</v>
      </c>
      <c r="B532" s="2">
        <v>27</v>
      </c>
      <c r="C532" s="2">
        <v>435601</v>
      </c>
      <c r="D532" s="2">
        <v>3000809</v>
      </c>
      <c r="E532" s="2">
        <v>37.83</v>
      </c>
      <c r="F532" s="2">
        <v>277955</v>
      </c>
    </row>
    <row r="533" spans="1:6">
      <c r="A533" s="3" t="s">
        <v>3312</v>
      </c>
      <c r="B533" s="2">
        <v>21</v>
      </c>
      <c r="C533" s="2">
        <v>605091</v>
      </c>
      <c r="D533" s="2">
        <v>3001097</v>
      </c>
      <c r="E533" s="2">
        <v>37.83</v>
      </c>
      <c r="F533" s="2">
        <v>501510</v>
      </c>
    </row>
    <row r="534" spans="1:6">
      <c r="A534" s="3" t="s">
        <v>3313</v>
      </c>
      <c r="B534" s="2">
        <v>24</v>
      </c>
      <c r="C534" s="2">
        <v>605091</v>
      </c>
      <c r="D534" s="2">
        <v>3001466</v>
      </c>
      <c r="E534" s="2">
        <v>37.83</v>
      </c>
      <c r="F534" s="2">
        <v>477299</v>
      </c>
    </row>
    <row r="535" spans="1:6">
      <c r="A535" s="3" t="s">
        <v>3314</v>
      </c>
      <c r="B535" s="2">
        <v>30</v>
      </c>
      <c r="C535" s="2">
        <v>436373</v>
      </c>
      <c r="D535" s="2">
        <v>3004552</v>
      </c>
      <c r="E535" s="2">
        <v>37.83</v>
      </c>
      <c r="F535" s="2">
        <v>317416</v>
      </c>
    </row>
    <row r="536" spans="1:6">
      <c r="A536" s="3" t="s">
        <v>3315</v>
      </c>
      <c r="B536" s="2">
        <v>24</v>
      </c>
      <c r="C536" s="2">
        <v>507114</v>
      </c>
      <c r="D536" s="2">
        <v>3004696</v>
      </c>
      <c r="E536" s="2">
        <v>37.83</v>
      </c>
      <c r="F536" s="2">
        <v>376365</v>
      </c>
    </row>
    <row r="537" spans="1:6">
      <c r="A537" s="3" t="s">
        <v>3316</v>
      </c>
      <c r="B537" s="2">
        <v>33</v>
      </c>
      <c r="C537" s="2">
        <v>433700</v>
      </c>
      <c r="D537" s="2">
        <v>3004987</v>
      </c>
      <c r="E537" s="2">
        <v>37.83</v>
      </c>
      <c r="F537" s="2">
        <v>228801</v>
      </c>
    </row>
    <row r="538" spans="1:6">
      <c r="A538" s="3" t="s">
        <v>3317</v>
      </c>
      <c r="B538" s="2">
        <v>32</v>
      </c>
      <c r="C538" s="2">
        <v>360246</v>
      </c>
      <c r="D538" s="2">
        <v>3005521</v>
      </c>
      <c r="E538" s="2">
        <v>37.83</v>
      </c>
      <c r="F538" s="2">
        <v>276214</v>
      </c>
    </row>
    <row r="539" spans="1:6">
      <c r="A539" s="3" t="s">
        <v>3318</v>
      </c>
      <c r="B539" s="2">
        <v>29</v>
      </c>
      <c r="C539" s="2">
        <v>477913</v>
      </c>
      <c r="D539" s="2">
        <v>3005642</v>
      </c>
      <c r="E539" s="2">
        <v>37.83</v>
      </c>
      <c r="F539" s="2">
        <v>396501</v>
      </c>
    </row>
    <row r="540" spans="1:6">
      <c r="A540" s="3" t="s">
        <v>3319</v>
      </c>
      <c r="B540" s="2">
        <v>19</v>
      </c>
      <c r="C540" s="2">
        <v>1506664</v>
      </c>
      <c r="D540" s="2">
        <v>3006742</v>
      </c>
      <c r="E540" s="2">
        <v>37.83</v>
      </c>
      <c r="F540" s="2">
        <v>1506664</v>
      </c>
    </row>
    <row r="541" spans="1:6">
      <c r="A541" s="3" t="s">
        <v>3320</v>
      </c>
      <c r="B541" s="2">
        <v>77</v>
      </c>
      <c r="C541" s="2">
        <v>274562</v>
      </c>
      <c r="D541" s="2">
        <v>3006821</v>
      </c>
      <c r="E541" s="2">
        <v>37.83</v>
      </c>
      <c r="F541" s="2">
        <v>74217</v>
      </c>
    </row>
    <row r="542" spans="1:6">
      <c r="A542" s="3" t="s">
        <v>3321</v>
      </c>
      <c r="B542" s="2">
        <v>27</v>
      </c>
      <c r="C542" s="2">
        <v>438876</v>
      </c>
      <c r="D542" s="2">
        <v>3006823</v>
      </c>
      <c r="E542" s="2">
        <v>37.83</v>
      </c>
      <c r="F542" s="2">
        <v>215561</v>
      </c>
    </row>
    <row r="543" spans="1:6">
      <c r="A543" s="3" t="s">
        <v>3322</v>
      </c>
      <c r="B543" s="2">
        <v>20</v>
      </c>
      <c r="C543" s="2">
        <v>1023547</v>
      </c>
      <c r="D543" s="2">
        <v>3007105</v>
      </c>
      <c r="E543" s="2">
        <v>37.83</v>
      </c>
      <c r="F543" s="2">
        <v>524467</v>
      </c>
    </row>
    <row r="544" spans="1:6">
      <c r="A544" s="3" t="s">
        <v>3323</v>
      </c>
      <c r="B544" s="2">
        <v>20</v>
      </c>
      <c r="C544" s="2">
        <v>1023519</v>
      </c>
      <c r="D544" s="2">
        <v>3007245</v>
      </c>
      <c r="E544" s="2">
        <v>37.83</v>
      </c>
      <c r="F544" s="2">
        <v>524595</v>
      </c>
    </row>
    <row r="545" spans="1:6">
      <c r="A545" s="3" t="s">
        <v>3324</v>
      </c>
      <c r="B545" s="2">
        <v>17</v>
      </c>
      <c r="C545" s="2">
        <v>1004607</v>
      </c>
      <c r="D545" s="2">
        <v>3007708</v>
      </c>
      <c r="E545" s="2">
        <v>37.83</v>
      </c>
      <c r="F545" s="2">
        <v>437516</v>
      </c>
    </row>
    <row r="546" spans="1:6">
      <c r="A546" s="3" t="s">
        <v>3325</v>
      </c>
      <c r="B546" s="2">
        <v>23</v>
      </c>
      <c r="C546" s="2">
        <v>506031</v>
      </c>
      <c r="D546" s="2">
        <v>3008462</v>
      </c>
      <c r="E546" s="2">
        <v>37.83</v>
      </c>
      <c r="F546" s="2">
        <v>235386</v>
      </c>
    </row>
    <row r="547" spans="1:6">
      <c r="A547" s="3" t="s">
        <v>3326</v>
      </c>
      <c r="B547" s="2">
        <v>19</v>
      </c>
      <c r="C547" s="2">
        <v>588151</v>
      </c>
      <c r="D547" s="2">
        <v>3008541</v>
      </c>
      <c r="E547" s="2">
        <v>37.83</v>
      </c>
      <c r="F547" s="2">
        <v>438416</v>
      </c>
    </row>
    <row r="548" spans="1:6">
      <c r="A548" s="3" t="s">
        <v>3327</v>
      </c>
      <c r="B548" s="2">
        <v>18</v>
      </c>
      <c r="C548" s="2">
        <v>603786</v>
      </c>
      <c r="D548" s="2">
        <v>3008989</v>
      </c>
      <c r="E548" s="2">
        <v>37.83</v>
      </c>
      <c r="F548" s="2">
        <v>437697</v>
      </c>
    </row>
    <row r="549" spans="1:6">
      <c r="A549" s="3" t="s">
        <v>3328</v>
      </c>
      <c r="B549" s="2">
        <v>28</v>
      </c>
      <c r="C549" s="2">
        <v>439700</v>
      </c>
      <c r="D549" s="2">
        <v>3009160</v>
      </c>
      <c r="E549" s="2">
        <v>37.83</v>
      </c>
      <c r="F549" s="2">
        <v>220472</v>
      </c>
    </row>
    <row r="550" spans="1:6">
      <c r="A550" s="3" t="s">
        <v>3329</v>
      </c>
      <c r="B550" s="2">
        <v>14</v>
      </c>
      <c r="C550" s="2">
        <v>700665</v>
      </c>
      <c r="D550" s="2">
        <v>3009602</v>
      </c>
      <c r="E550" s="2">
        <v>37.83</v>
      </c>
      <c r="F550" s="2">
        <v>579639</v>
      </c>
    </row>
    <row r="551" spans="1:6">
      <c r="A551" s="3" t="s">
        <v>3330</v>
      </c>
      <c r="B551" s="2">
        <v>22</v>
      </c>
      <c r="C551" s="2">
        <v>579554</v>
      </c>
      <c r="D551" s="2">
        <v>3009890</v>
      </c>
      <c r="E551" s="2">
        <v>37.83</v>
      </c>
      <c r="F551" s="2">
        <v>251277</v>
      </c>
    </row>
    <row r="552" spans="1:6">
      <c r="A552" s="3" t="s">
        <v>3331</v>
      </c>
      <c r="B552" s="2">
        <v>63</v>
      </c>
      <c r="C552" s="2">
        <v>272582</v>
      </c>
      <c r="D552" s="2">
        <v>3010021</v>
      </c>
      <c r="E552" s="2">
        <v>37.83</v>
      </c>
      <c r="F552" s="2">
        <v>79145</v>
      </c>
    </row>
    <row r="553" spans="1:6">
      <c r="A553" s="3" t="s">
        <v>3332</v>
      </c>
      <c r="B553" s="2">
        <v>18</v>
      </c>
      <c r="C553" s="2">
        <v>700737</v>
      </c>
      <c r="D553" s="2">
        <v>3010086</v>
      </c>
      <c r="E553" s="2">
        <v>37.83</v>
      </c>
      <c r="F553" s="2">
        <v>579638</v>
      </c>
    </row>
    <row r="554" spans="1:6">
      <c r="A554" s="3" t="s">
        <v>3333</v>
      </c>
      <c r="B554" s="2">
        <v>16</v>
      </c>
      <c r="C554" s="2">
        <v>666092</v>
      </c>
      <c r="D554" s="2">
        <v>3010161</v>
      </c>
      <c r="E554" s="2">
        <v>37.83</v>
      </c>
      <c r="F554" s="2">
        <v>579639</v>
      </c>
    </row>
    <row r="555" spans="1:6">
      <c r="A555" s="3" t="s">
        <v>3334</v>
      </c>
      <c r="B555" s="2">
        <v>27</v>
      </c>
      <c r="C555" s="2">
        <v>417930</v>
      </c>
      <c r="D555" s="2">
        <v>3010265</v>
      </c>
      <c r="E555" s="2">
        <v>37.83</v>
      </c>
      <c r="F555" s="2">
        <v>337942</v>
      </c>
    </row>
    <row r="556" spans="1:6">
      <c r="A556" s="3" t="s">
        <v>3335</v>
      </c>
      <c r="B556" s="2">
        <v>22</v>
      </c>
      <c r="C556" s="2">
        <v>579758</v>
      </c>
      <c r="D556" s="2">
        <v>3010342</v>
      </c>
      <c r="E556" s="2">
        <v>37.83</v>
      </c>
      <c r="F556" s="2">
        <v>334681</v>
      </c>
    </row>
    <row r="557" spans="1:6">
      <c r="A557" s="3" t="s">
        <v>3336</v>
      </c>
      <c r="B557" s="2">
        <v>17</v>
      </c>
      <c r="C557" s="2">
        <v>588140</v>
      </c>
      <c r="D557" s="2">
        <v>3010505</v>
      </c>
      <c r="E557" s="2">
        <v>37.83</v>
      </c>
      <c r="F557" s="2">
        <v>438991</v>
      </c>
    </row>
    <row r="558" spans="1:6">
      <c r="A558" s="3" t="s">
        <v>3337</v>
      </c>
      <c r="B558" s="2">
        <v>19</v>
      </c>
      <c r="C558" s="2">
        <v>525796</v>
      </c>
      <c r="D558" s="2">
        <v>3010507</v>
      </c>
      <c r="E558" s="2">
        <v>37.83</v>
      </c>
      <c r="F558" s="2">
        <v>356916</v>
      </c>
    </row>
    <row r="559" spans="1:6">
      <c r="A559" s="3" t="s">
        <v>3338</v>
      </c>
      <c r="B559" s="2">
        <v>21</v>
      </c>
      <c r="C559" s="2">
        <v>948567</v>
      </c>
      <c r="D559" s="2">
        <v>3010510</v>
      </c>
      <c r="E559" s="2">
        <v>37.83</v>
      </c>
      <c r="F559" s="2">
        <v>425789</v>
      </c>
    </row>
    <row r="560" spans="1:6">
      <c r="A560" s="3" t="s">
        <v>3339</v>
      </c>
      <c r="B560" s="2">
        <v>19</v>
      </c>
      <c r="C560" s="2">
        <v>459820</v>
      </c>
      <c r="D560" s="2">
        <v>3010559</v>
      </c>
      <c r="E560" s="2">
        <v>37.83</v>
      </c>
      <c r="F560" s="2">
        <v>406190</v>
      </c>
    </row>
    <row r="561" spans="1:6">
      <c r="A561" s="3" t="s">
        <v>3340</v>
      </c>
      <c r="B561" s="2">
        <v>26</v>
      </c>
      <c r="C561" s="2">
        <v>430552</v>
      </c>
      <c r="D561" s="2">
        <v>3010848</v>
      </c>
      <c r="E561" s="2">
        <v>37.83</v>
      </c>
      <c r="F561" s="2">
        <v>260841</v>
      </c>
    </row>
    <row r="562" spans="1:6">
      <c r="A562" s="3" t="s">
        <v>3341</v>
      </c>
      <c r="B562" s="2">
        <v>22</v>
      </c>
      <c r="C562" s="2">
        <v>607565</v>
      </c>
      <c r="D562" s="2">
        <v>3010849</v>
      </c>
      <c r="E562" s="2">
        <v>37.83</v>
      </c>
      <c r="F562" s="2">
        <v>437738</v>
      </c>
    </row>
    <row r="563" spans="1:6">
      <c r="A563" s="3" t="s">
        <v>3342</v>
      </c>
      <c r="B563" s="2">
        <v>21</v>
      </c>
      <c r="C563" s="2">
        <v>556762</v>
      </c>
      <c r="D563" s="2">
        <v>3010888</v>
      </c>
      <c r="E563" s="2">
        <v>37.83</v>
      </c>
      <c r="F563" s="2">
        <v>283778</v>
      </c>
    </row>
    <row r="564" spans="1:6">
      <c r="A564" s="3" t="s">
        <v>3343</v>
      </c>
      <c r="B564" s="2">
        <v>21</v>
      </c>
      <c r="C564" s="2">
        <v>459898</v>
      </c>
      <c r="D564" s="2">
        <v>3010921</v>
      </c>
      <c r="E564" s="2">
        <v>37.83</v>
      </c>
      <c r="F564" s="2">
        <v>425916</v>
      </c>
    </row>
    <row r="565" spans="1:6">
      <c r="A565" s="3" t="s">
        <v>3344</v>
      </c>
      <c r="B565" s="2">
        <v>19</v>
      </c>
      <c r="C565" s="2">
        <v>700737</v>
      </c>
      <c r="D565" s="2">
        <v>3011100</v>
      </c>
      <c r="E565" s="2">
        <v>37.83</v>
      </c>
      <c r="F565" s="2">
        <v>579639</v>
      </c>
    </row>
    <row r="566" spans="1:6">
      <c r="A566" s="3" t="s">
        <v>3345</v>
      </c>
      <c r="B566" s="2">
        <v>21</v>
      </c>
      <c r="C566" s="2">
        <v>579809</v>
      </c>
      <c r="D566" s="2">
        <v>3011148</v>
      </c>
      <c r="E566" s="2">
        <v>37.83</v>
      </c>
      <c r="F566" s="2">
        <v>253435</v>
      </c>
    </row>
    <row r="567" spans="1:6">
      <c r="A567" s="3" t="s">
        <v>3346</v>
      </c>
      <c r="B567" s="2">
        <v>21</v>
      </c>
      <c r="C567" s="2">
        <v>579809</v>
      </c>
      <c r="D567" s="2">
        <v>3011186</v>
      </c>
      <c r="E567" s="2">
        <v>37.83</v>
      </c>
      <c r="F567" s="2">
        <v>317362</v>
      </c>
    </row>
    <row r="568" spans="1:6">
      <c r="A568" s="3" t="s">
        <v>3347</v>
      </c>
      <c r="B568" s="2">
        <v>17</v>
      </c>
      <c r="C568" s="2">
        <v>700534</v>
      </c>
      <c r="D568" s="2">
        <v>3011260</v>
      </c>
      <c r="E568" s="2">
        <v>37.83</v>
      </c>
      <c r="F568" s="2">
        <v>579639</v>
      </c>
    </row>
    <row r="569" spans="1:6">
      <c r="A569" s="3" t="s">
        <v>3348</v>
      </c>
      <c r="B569" s="2">
        <v>26</v>
      </c>
      <c r="C569" s="2">
        <v>506223</v>
      </c>
      <c r="D569" s="2">
        <v>3011419</v>
      </c>
      <c r="E569" s="2">
        <v>37.83</v>
      </c>
      <c r="F569" s="2">
        <v>217413</v>
      </c>
    </row>
    <row r="570" spans="1:6">
      <c r="A570" s="3" t="s">
        <v>3349</v>
      </c>
      <c r="B570" s="2">
        <v>52</v>
      </c>
      <c r="C570" s="2">
        <v>436047</v>
      </c>
      <c r="D570" s="2">
        <v>3011506</v>
      </c>
      <c r="E570" s="2">
        <v>37.83</v>
      </c>
      <c r="F570" s="2">
        <v>176588</v>
      </c>
    </row>
    <row r="571" spans="1:6">
      <c r="A571" s="3" t="s">
        <v>3350</v>
      </c>
      <c r="B571" s="2">
        <v>20</v>
      </c>
      <c r="C571" s="2">
        <v>588343</v>
      </c>
      <c r="D571" s="2">
        <v>3011949</v>
      </c>
      <c r="E571" s="2">
        <v>37.83</v>
      </c>
      <c r="F571" s="2">
        <v>356733</v>
      </c>
    </row>
    <row r="572" spans="1:6">
      <c r="A572" s="3" t="s">
        <v>3351</v>
      </c>
      <c r="B572" s="2">
        <v>18</v>
      </c>
      <c r="C572" s="2">
        <v>590291</v>
      </c>
      <c r="D572" s="2">
        <v>3011977</v>
      </c>
      <c r="E572" s="2">
        <v>37.83</v>
      </c>
      <c r="F572" s="2">
        <v>359120</v>
      </c>
    </row>
    <row r="573" spans="1:6">
      <c r="A573" s="3" t="s">
        <v>3352</v>
      </c>
      <c r="B573" s="2">
        <v>28</v>
      </c>
      <c r="C573" s="2">
        <v>430451</v>
      </c>
      <c r="D573" s="2">
        <v>3012111</v>
      </c>
      <c r="E573" s="2">
        <v>37.83</v>
      </c>
      <c r="F573" s="2">
        <v>220688</v>
      </c>
    </row>
    <row r="574" spans="1:6">
      <c r="A574" s="3" t="s">
        <v>3353</v>
      </c>
      <c r="B574" s="2">
        <v>35</v>
      </c>
      <c r="C574" s="2">
        <v>333707</v>
      </c>
      <c r="D574" s="2">
        <v>3012111</v>
      </c>
      <c r="E574" s="2">
        <v>37.83</v>
      </c>
      <c r="F574" s="2">
        <v>136097</v>
      </c>
    </row>
    <row r="575" spans="1:6">
      <c r="A575" s="3" t="s">
        <v>3354</v>
      </c>
      <c r="B575" s="2">
        <v>30</v>
      </c>
      <c r="C575" s="2">
        <v>532758</v>
      </c>
      <c r="D575" s="2">
        <v>3013909</v>
      </c>
      <c r="E575" s="2">
        <v>37.83</v>
      </c>
      <c r="F575" s="2">
        <v>354796</v>
      </c>
    </row>
    <row r="576" spans="1:6">
      <c r="A576" s="3" t="s">
        <v>3355</v>
      </c>
      <c r="B576" s="2">
        <v>26</v>
      </c>
      <c r="C576" s="2">
        <v>588151</v>
      </c>
      <c r="D576" s="2">
        <v>3014505</v>
      </c>
      <c r="E576" s="2">
        <v>37.83</v>
      </c>
      <c r="F576" s="2">
        <v>425860</v>
      </c>
    </row>
    <row r="577" spans="1:6">
      <c r="A577" s="3" t="s">
        <v>3356</v>
      </c>
      <c r="B577" s="2">
        <v>166</v>
      </c>
      <c r="C577" s="2">
        <v>120042</v>
      </c>
      <c r="D577" s="2">
        <v>3014528</v>
      </c>
      <c r="E577" s="2">
        <v>37.83</v>
      </c>
      <c r="F577" s="2">
        <v>30515</v>
      </c>
    </row>
    <row r="578" spans="1:6">
      <c r="A578" s="3" t="s">
        <v>3357</v>
      </c>
      <c r="B578" s="2">
        <v>26</v>
      </c>
      <c r="C578" s="2">
        <v>513910</v>
      </c>
      <c r="D578" s="2">
        <v>3016137</v>
      </c>
      <c r="E578" s="2">
        <v>37.83</v>
      </c>
      <c r="F578" s="2">
        <v>270505</v>
      </c>
    </row>
    <row r="579" spans="1:6">
      <c r="A579" s="3" t="s">
        <v>3358</v>
      </c>
      <c r="B579" s="2">
        <v>27</v>
      </c>
      <c r="C579" s="2">
        <v>563968</v>
      </c>
      <c r="D579" s="2">
        <v>3017352</v>
      </c>
      <c r="E579" s="2">
        <v>37.83</v>
      </c>
      <c r="F579" s="2">
        <v>197659</v>
      </c>
    </row>
    <row r="580" spans="1:6">
      <c r="A580" s="3" t="s">
        <v>3359</v>
      </c>
      <c r="B580" s="2">
        <v>26</v>
      </c>
      <c r="C580" s="2">
        <v>454255</v>
      </c>
      <c r="D580" s="2">
        <v>3018331</v>
      </c>
      <c r="E580" s="2">
        <v>37.83</v>
      </c>
      <c r="F580" s="2">
        <v>224696</v>
      </c>
    </row>
    <row r="581" spans="1:6">
      <c r="A581" s="3" t="s">
        <v>3360</v>
      </c>
      <c r="B581" s="2">
        <v>25</v>
      </c>
      <c r="C581" s="2">
        <v>1222848</v>
      </c>
      <c r="D581" s="2">
        <v>3019706</v>
      </c>
      <c r="E581" s="2">
        <v>37.83</v>
      </c>
      <c r="F581" s="2">
        <v>528292</v>
      </c>
    </row>
    <row r="582" spans="1:6">
      <c r="A582" s="3" t="s">
        <v>3361</v>
      </c>
      <c r="B582" s="2">
        <v>11</v>
      </c>
      <c r="C582" s="2">
        <v>1393894</v>
      </c>
      <c r="D582" s="2">
        <v>3019841</v>
      </c>
      <c r="E582" s="2">
        <v>37.83</v>
      </c>
      <c r="F582" s="2">
        <v>597176</v>
      </c>
    </row>
    <row r="583" spans="1:6">
      <c r="A583" s="3" t="s">
        <v>3362</v>
      </c>
      <c r="B583" s="2">
        <v>31</v>
      </c>
      <c r="C583" s="2">
        <v>428282</v>
      </c>
      <c r="D583" s="2">
        <v>3022571</v>
      </c>
      <c r="E583" s="2">
        <v>37.83</v>
      </c>
      <c r="F583" s="2">
        <v>252556</v>
      </c>
    </row>
    <row r="584" spans="1:6">
      <c r="A584" s="3" t="s">
        <v>3363</v>
      </c>
      <c r="B584" s="2">
        <v>20</v>
      </c>
      <c r="C584" s="2">
        <v>782065</v>
      </c>
      <c r="D584" s="2">
        <v>3028528</v>
      </c>
      <c r="E584" s="2">
        <v>37.83</v>
      </c>
      <c r="F584" s="2">
        <v>482884</v>
      </c>
    </row>
    <row r="585" spans="1:6">
      <c r="A585" s="3" t="s">
        <v>3364</v>
      </c>
      <c r="B585" s="2">
        <v>25</v>
      </c>
      <c r="C585" s="2">
        <v>1207640</v>
      </c>
      <c r="D585" s="2">
        <v>3030841</v>
      </c>
      <c r="E585" s="2">
        <v>37.83</v>
      </c>
      <c r="F585" s="2">
        <v>353995</v>
      </c>
    </row>
    <row r="586" spans="1:6">
      <c r="A586" s="3" t="s">
        <v>3365</v>
      </c>
      <c r="B586" s="2">
        <v>25</v>
      </c>
      <c r="C586" s="2">
        <v>1208081</v>
      </c>
      <c r="D586" s="2">
        <v>3031164</v>
      </c>
      <c r="E586" s="2">
        <v>37.83</v>
      </c>
      <c r="F586" s="2">
        <v>353995</v>
      </c>
    </row>
    <row r="587" spans="1:6">
      <c r="A587" s="3" t="s">
        <v>3366</v>
      </c>
      <c r="B587" s="2">
        <v>27</v>
      </c>
      <c r="C587" s="2">
        <v>1207640</v>
      </c>
      <c r="D587" s="2">
        <v>3032659</v>
      </c>
      <c r="E587" s="2">
        <v>37.83</v>
      </c>
      <c r="F587" s="2">
        <v>353995</v>
      </c>
    </row>
    <row r="588" spans="1:6">
      <c r="A588" s="3" t="s">
        <v>3367</v>
      </c>
      <c r="B588" s="2">
        <v>14</v>
      </c>
      <c r="C588" s="2">
        <v>664562</v>
      </c>
      <c r="D588" s="2">
        <v>3034866</v>
      </c>
      <c r="E588" s="2">
        <v>37.83</v>
      </c>
      <c r="F588" s="2">
        <v>512955</v>
      </c>
    </row>
    <row r="589" spans="1:6">
      <c r="A589" s="3" t="s">
        <v>3368</v>
      </c>
      <c r="B589" s="2">
        <v>24</v>
      </c>
      <c r="C589" s="2">
        <v>579804</v>
      </c>
      <c r="D589" s="2">
        <v>3042904</v>
      </c>
      <c r="E589" s="2">
        <v>37.83</v>
      </c>
      <c r="F589" s="2">
        <v>339028</v>
      </c>
    </row>
    <row r="590" spans="1:6">
      <c r="A590" s="3" t="s">
        <v>3369</v>
      </c>
      <c r="B590" s="2">
        <v>97</v>
      </c>
      <c r="C590" s="2">
        <v>179311</v>
      </c>
      <c r="D590" s="2">
        <v>3048585</v>
      </c>
      <c r="E590" s="2">
        <v>37.83</v>
      </c>
      <c r="F590" s="2">
        <v>68838</v>
      </c>
    </row>
    <row r="591" spans="1:6">
      <c r="A591" s="3" t="s">
        <v>3370</v>
      </c>
      <c r="B591" s="2">
        <v>87</v>
      </c>
      <c r="C591" s="2">
        <v>370414</v>
      </c>
      <c r="D591" s="2">
        <v>3051635</v>
      </c>
      <c r="E591" s="2">
        <v>37.83</v>
      </c>
      <c r="F591" s="2">
        <v>69749</v>
      </c>
    </row>
    <row r="592" spans="1:6">
      <c r="A592" s="3" t="s">
        <v>3371</v>
      </c>
      <c r="B592" s="2">
        <v>36</v>
      </c>
      <c r="C592" s="2">
        <v>594754</v>
      </c>
      <c r="D592" s="2">
        <v>3053107</v>
      </c>
      <c r="E592" s="2">
        <v>37.83</v>
      </c>
      <c r="F592" s="2">
        <v>476181</v>
      </c>
    </row>
    <row r="593" spans="1:6">
      <c r="A593" s="3" t="s">
        <v>3372</v>
      </c>
      <c r="B593" s="2">
        <v>36</v>
      </c>
      <c r="C593" s="2">
        <v>574548</v>
      </c>
      <c r="D593" s="2">
        <v>3056413</v>
      </c>
      <c r="E593" s="2">
        <v>37.83</v>
      </c>
      <c r="F593" s="2">
        <v>308064</v>
      </c>
    </row>
    <row r="594" spans="1:6">
      <c r="A594" s="3" t="s">
        <v>3373</v>
      </c>
      <c r="B594" s="2">
        <v>18</v>
      </c>
      <c r="C594" s="2">
        <v>809905</v>
      </c>
      <c r="D594" s="2">
        <v>3057510</v>
      </c>
      <c r="E594" s="2">
        <v>37.83</v>
      </c>
      <c r="F594" s="2">
        <v>482883</v>
      </c>
    </row>
    <row r="595" spans="1:6">
      <c r="A595" s="3" t="s">
        <v>3374</v>
      </c>
      <c r="B595" s="2">
        <v>24</v>
      </c>
      <c r="C595" s="2">
        <v>545960</v>
      </c>
      <c r="D595" s="2">
        <v>3059254</v>
      </c>
      <c r="E595" s="2">
        <v>37.83</v>
      </c>
      <c r="F595" s="2">
        <v>328653</v>
      </c>
    </row>
    <row r="596" spans="1:6">
      <c r="A596" s="3" t="s">
        <v>3375</v>
      </c>
      <c r="B596" s="2">
        <v>21</v>
      </c>
      <c r="C596" s="2">
        <v>813375</v>
      </c>
      <c r="D596" s="2">
        <v>3060457</v>
      </c>
      <c r="E596" s="2">
        <v>37.83</v>
      </c>
      <c r="F596" s="2">
        <v>482160</v>
      </c>
    </row>
    <row r="597" spans="1:6">
      <c r="A597" s="3" t="s">
        <v>3376</v>
      </c>
      <c r="B597" s="2">
        <v>34</v>
      </c>
      <c r="C597" s="2">
        <v>668478</v>
      </c>
      <c r="D597" s="2">
        <v>3115281</v>
      </c>
      <c r="E597" s="2">
        <v>37.83</v>
      </c>
      <c r="F597" s="2">
        <v>295228</v>
      </c>
    </row>
    <row r="598" spans="1:6">
      <c r="A598" s="3" t="s">
        <v>3377</v>
      </c>
      <c r="B598" s="2">
        <v>97</v>
      </c>
      <c r="C598" s="2">
        <v>736772</v>
      </c>
      <c r="D598" s="2">
        <v>3121954</v>
      </c>
      <c r="E598" s="2">
        <v>37.83</v>
      </c>
      <c r="F598" s="2">
        <v>449108</v>
      </c>
    </row>
    <row r="599" spans="1:6">
      <c r="A599" s="3" t="s">
        <v>3378</v>
      </c>
      <c r="B599" s="2">
        <v>51</v>
      </c>
      <c r="C599" s="2">
        <v>361836</v>
      </c>
      <c r="D599" s="2">
        <v>3137458</v>
      </c>
      <c r="E599" s="2">
        <v>37.83</v>
      </c>
      <c r="F599" s="2">
        <v>140153</v>
      </c>
    </row>
    <row r="600" spans="1:6">
      <c r="A600" s="3" t="s">
        <v>3379</v>
      </c>
      <c r="B600" s="2">
        <v>94</v>
      </c>
      <c r="C600" s="2">
        <v>151394</v>
      </c>
      <c r="D600" s="2">
        <v>3157830</v>
      </c>
      <c r="E600" s="2">
        <v>37.83</v>
      </c>
      <c r="F600" s="2">
        <v>68247</v>
      </c>
    </row>
    <row r="601" spans="1:6">
      <c r="A601" s="3" t="s">
        <v>3380</v>
      </c>
      <c r="B601" s="2">
        <v>28</v>
      </c>
      <c r="C601" s="2">
        <v>585061</v>
      </c>
      <c r="D601" s="2">
        <v>2868257</v>
      </c>
      <c r="E601" s="2">
        <v>37.840000000000003</v>
      </c>
      <c r="F601" s="2">
        <v>207398</v>
      </c>
    </row>
    <row r="602" spans="1:6">
      <c r="A602" s="3" t="s">
        <v>3381</v>
      </c>
      <c r="B602" s="2">
        <v>17</v>
      </c>
      <c r="C602" s="2">
        <v>1479153</v>
      </c>
      <c r="D602" s="2">
        <v>2891409</v>
      </c>
      <c r="E602" s="2">
        <v>37.840000000000003</v>
      </c>
      <c r="F602" s="2">
        <v>1479153</v>
      </c>
    </row>
    <row r="603" spans="1:6">
      <c r="A603" s="3" t="s">
        <v>3382</v>
      </c>
      <c r="B603" s="2">
        <v>50</v>
      </c>
      <c r="C603" s="2">
        <v>305941</v>
      </c>
      <c r="D603" s="2">
        <v>2892487</v>
      </c>
      <c r="E603" s="2">
        <v>37.840000000000003</v>
      </c>
      <c r="F603" s="2">
        <v>124777</v>
      </c>
    </row>
    <row r="604" spans="1:6">
      <c r="A604" s="3" t="s">
        <v>3383</v>
      </c>
      <c r="B604" s="2">
        <v>24</v>
      </c>
      <c r="C604" s="2">
        <v>864593</v>
      </c>
      <c r="D604" s="2">
        <v>2892739</v>
      </c>
      <c r="E604" s="2">
        <v>37.840000000000003</v>
      </c>
      <c r="F604" s="2">
        <v>237095</v>
      </c>
    </row>
    <row r="605" spans="1:6">
      <c r="A605" s="3" t="s">
        <v>3384</v>
      </c>
      <c r="B605" s="2">
        <v>16</v>
      </c>
      <c r="C605" s="2">
        <v>855456</v>
      </c>
      <c r="D605" s="2">
        <v>2892935</v>
      </c>
      <c r="E605" s="2">
        <v>37.840000000000003</v>
      </c>
      <c r="F605" s="2">
        <v>374592</v>
      </c>
    </row>
    <row r="606" spans="1:6">
      <c r="A606" s="3" t="s">
        <v>3385</v>
      </c>
      <c r="B606" s="2">
        <v>18</v>
      </c>
      <c r="C606" s="2">
        <v>597435</v>
      </c>
      <c r="D606" s="2">
        <v>2893245</v>
      </c>
      <c r="E606" s="2">
        <v>37.840000000000003</v>
      </c>
      <c r="F606" s="2">
        <v>448856</v>
      </c>
    </row>
    <row r="607" spans="1:6">
      <c r="A607" s="3" t="s">
        <v>3386</v>
      </c>
      <c r="B607" s="2">
        <v>25</v>
      </c>
      <c r="C607" s="2">
        <v>448233</v>
      </c>
      <c r="D607" s="2">
        <v>2902037</v>
      </c>
      <c r="E607" s="2">
        <v>37.840000000000003</v>
      </c>
      <c r="F607" s="2">
        <v>249578</v>
      </c>
    </row>
    <row r="608" spans="1:6">
      <c r="A608" s="3" t="s">
        <v>3387</v>
      </c>
      <c r="B608" s="2">
        <v>16</v>
      </c>
      <c r="C608" s="2">
        <v>763197</v>
      </c>
      <c r="D608" s="2">
        <v>2906053</v>
      </c>
      <c r="E608" s="2">
        <v>37.840000000000003</v>
      </c>
      <c r="F608" s="2">
        <v>443777</v>
      </c>
    </row>
    <row r="609" spans="1:6">
      <c r="A609" s="3" t="s">
        <v>3388</v>
      </c>
      <c r="B609" s="2">
        <v>12</v>
      </c>
      <c r="C609" s="2">
        <v>639775</v>
      </c>
      <c r="D609" s="2">
        <v>2906776</v>
      </c>
      <c r="E609" s="2">
        <v>37.840000000000003</v>
      </c>
      <c r="F609" s="2">
        <v>548152</v>
      </c>
    </row>
    <row r="610" spans="1:6">
      <c r="A610" s="3" t="s">
        <v>3389</v>
      </c>
      <c r="B610" s="2">
        <v>14</v>
      </c>
      <c r="C610" s="2">
        <v>1026007</v>
      </c>
      <c r="D610" s="2">
        <v>2917951</v>
      </c>
      <c r="E610" s="2">
        <v>37.840000000000003</v>
      </c>
      <c r="F610" s="2">
        <v>526262</v>
      </c>
    </row>
    <row r="611" spans="1:6">
      <c r="A611" s="3" t="s">
        <v>3390</v>
      </c>
      <c r="B611" s="2">
        <v>22</v>
      </c>
      <c r="C611" s="2">
        <v>985666</v>
      </c>
      <c r="D611" s="2">
        <v>2923953</v>
      </c>
      <c r="E611" s="2">
        <v>37.840000000000003</v>
      </c>
      <c r="F611" s="2">
        <v>296306</v>
      </c>
    </row>
    <row r="612" spans="1:6">
      <c r="A612" s="3" t="s">
        <v>3391</v>
      </c>
      <c r="B612" s="2">
        <v>16</v>
      </c>
      <c r="C612" s="2">
        <v>1018530</v>
      </c>
      <c r="D612" s="2">
        <v>2931260</v>
      </c>
      <c r="E612" s="2">
        <v>37.840000000000003</v>
      </c>
      <c r="F612" s="2">
        <v>478309</v>
      </c>
    </row>
    <row r="613" spans="1:6">
      <c r="A613" s="3" t="s">
        <v>3392</v>
      </c>
      <c r="B613" s="2">
        <v>20</v>
      </c>
      <c r="C613" s="2">
        <v>564926</v>
      </c>
      <c r="D613" s="2">
        <v>2932196</v>
      </c>
      <c r="E613" s="2">
        <v>37.840000000000003</v>
      </c>
      <c r="F613" s="2">
        <v>304539</v>
      </c>
    </row>
    <row r="614" spans="1:6">
      <c r="A614" s="3" t="s">
        <v>3393</v>
      </c>
      <c r="B614" s="2">
        <v>25</v>
      </c>
      <c r="C614" s="2">
        <v>448225</v>
      </c>
      <c r="D614" s="2">
        <v>2935400</v>
      </c>
      <c r="E614" s="2">
        <v>37.840000000000003</v>
      </c>
      <c r="F614" s="2">
        <v>406832</v>
      </c>
    </row>
    <row r="615" spans="1:6">
      <c r="A615" s="3" t="s">
        <v>3394</v>
      </c>
      <c r="B615" s="2">
        <v>22</v>
      </c>
      <c r="C615" s="2">
        <v>510990</v>
      </c>
      <c r="D615" s="2">
        <v>2935908</v>
      </c>
      <c r="E615" s="2">
        <v>37.840000000000003</v>
      </c>
      <c r="F615" s="2">
        <v>295680</v>
      </c>
    </row>
    <row r="616" spans="1:6">
      <c r="A616" s="3" t="s">
        <v>3395</v>
      </c>
      <c r="B616" s="2">
        <v>50</v>
      </c>
      <c r="C616" s="2">
        <v>494881</v>
      </c>
      <c r="D616" s="2">
        <v>2939810</v>
      </c>
      <c r="E616" s="2">
        <v>37.840000000000003</v>
      </c>
      <c r="F616" s="2">
        <v>108253</v>
      </c>
    </row>
    <row r="617" spans="1:6">
      <c r="A617" s="3" t="s">
        <v>3396</v>
      </c>
      <c r="B617" s="2">
        <v>17</v>
      </c>
      <c r="C617" s="2">
        <v>605836</v>
      </c>
      <c r="D617" s="2">
        <v>2944209</v>
      </c>
      <c r="E617" s="2">
        <v>37.840000000000003</v>
      </c>
      <c r="F617" s="2">
        <v>473971</v>
      </c>
    </row>
    <row r="618" spans="1:6">
      <c r="A618" s="3" t="s">
        <v>3397</v>
      </c>
      <c r="B618" s="2">
        <v>26</v>
      </c>
      <c r="C618" s="2">
        <v>510776</v>
      </c>
      <c r="D618" s="2">
        <v>2944335</v>
      </c>
      <c r="E618" s="2">
        <v>37.840000000000003</v>
      </c>
      <c r="F618" s="2">
        <v>321883</v>
      </c>
    </row>
    <row r="619" spans="1:6">
      <c r="A619" s="3" t="s">
        <v>3398</v>
      </c>
      <c r="B619" s="2">
        <v>21</v>
      </c>
      <c r="C619" s="2">
        <v>605078</v>
      </c>
      <c r="D619" s="2">
        <v>2944570</v>
      </c>
      <c r="E619" s="2">
        <v>37.840000000000003</v>
      </c>
      <c r="F619" s="2">
        <v>477085</v>
      </c>
    </row>
    <row r="620" spans="1:6">
      <c r="A620" s="3" t="s">
        <v>3399</v>
      </c>
      <c r="B620" s="2">
        <v>33</v>
      </c>
      <c r="C620" s="2">
        <v>343883</v>
      </c>
      <c r="D620" s="2">
        <v>2945040</v>
      </c>
      <c r="E620" s="2">
        <v>37.840000000000003</v>
      </c>
      <c r="F620" s="2">
        <v>167494</v>
      </c>
    </row>
    <row r="621" spans="1:6">
      <c r="A621" s="3" t="s">
        <v>3400</v>
      </c>
      <c r="B621" s="2">
        <v>13</v>
      </c>
      <c r="C621" s="2">
        <v>909852</v>
      </c>
      <c r="D621" s="2">
        <v>2946252</v>
      </c>
      <c r="E621" s="2">
        <v>37.840000000000003</v>
      </c>
      <c r="F621" s="2">
        <v>524709</v>
      </c>
    </row>
    <row r="622" spans="1:6">
      <c r="A622" s="3" t="s">
        <v>3401</v>
      </c>
      <c r="B622" s="2">
        <v>14</v>
      </c>
      <c r="C622" s="2">
        <v>605969</v>
      </c>
      <c r="D622" s="2">
        <v>2946414</v>
      </c>
      <c r="E622" s="2">
        <v>37.840000000000003</v>
      </c>
      <c r="F622" s="2">
        <v>513508</v>
      </c>
    </row>
    <row r="623" spans="1:6">
      <c r="A623" s="3" t="s">
        <v>3402</v>
      </c>
      <c r="B623" s="2">
        <v>14</v>
      </c>
      <c r="C623" s="2">
        <v>938450</v>
      </c>
      <c r="D623" s="2">
        <v>2948279</v>
      </c>
      <c r="E623" s="2">
        <v>37.840000000000003</v>
      </c>
      <c r="F623" s="2">
        <v>605096</v>
      </c>
    </row>
    <row r="624" spans="1:6">
      <c r="A624" s="3" t="s">
        <v>3403</v>
      </c>
      <c r="B624" s="2">
        <v>25</v>
      </c>
      <c r="C624" s="2">
        <v>924909</v>
      </c>
      <c r="D624" s="2">
        <v>2949931</v>
      </c>
      <c r="E624" s="2">
        <v>37.840000000000003</v>
      </c>
      <c r="F624" s="2">
        <v>254525</v>
      </c>
    </row>
    <row r="625" spans="1:6">
      <c r="A625" s="3" t="s">
        <v>3404</v>
      </c>
      <c r="B625" s="2">
        <v>16</v>
      </c>
      <c r="C625" s="2">
        <v>1035669</v>
      </c>
      <c r="D625" s="2">
        <v>2950703</v>
      </c>
      <c r="E625" s="2">
        <v>37.840000000000003</v>
      </c>
      <c r="F625" s="2">
        <v>507533</v>
      </c>
    </row>
    <row r="626" spans="1:6">
      <c r="A626" s="3" t="s">
        <v>3405</v>
      </c>
      <c r="B626" s="2">
        <v>17</v>
      </c>
      <c r="C626" s="2">
        <v>620800</v>
      </c>
      <c r="D626" s="2">
        <v>2956813</v>
      </c>
      <c r="E626" s="2">
        <v>37.840000000000003</v>
      </c>
      <c r="F626" s="2">
        <v>440335</v>
      </c>
    </row>
    <row r="627" spans="1:6">
      <c r="A627" s="3" t="s">
        <v>3406</v>
      </c>
      <c r="B627" s="2">
        <v>18</v>
      </c>
      <c r="C627" s="2">
        <v>577890</v>
      </c>
      <c r="D627" s="2">
        <v>2957258</v>
      </c>
      <c r="E627" s="2">
        <v>37.840000000000003</v>
      </c>
      <c r="F627" s="2">
        <v>440737</v>
      </c>
    </row>
    <row r="628" spans="1:6">
      <c r="A628" s="3" t="s">
        <v>3407</v>
      </c>
      <c r="B628" s="2">
        <v>24</v>
      </c>
      <c r="C628" s="2">
        <v>543193</v>
      </c>
      <c r="D628" s="2">
        <v>2964530</v>
      </c>
      <c r="E628" s="2">
        <v>37.840000000000003</v>
      </c>
      <c r="F628" s="2">
        <v>225307</v>
      </c>
    </row>
    <row r="629" spans="1:6">
      <c r="A629" s="3" t="s">
        <v>3408</v>
      </c>
      <c r="B629" s="2">
        <v>43</v>
      </c>
      <c r="C629" s="2">
        <v>314710</v>
      </c>
      <c r="D629" s="2">
        <v>2966993</v>
      </c>
      <c r="E629" s="2">
        <v>37.840000000000003</v>
      </c>
      <c r="F629" s="2">
        <v>131780</v>
      </c>
    </row>
    <row r="630" spans="1:6">
      <c r="A630" s="3" t="s">
        <v>3409</v>
      </c>
      <c r="B630" s="2">
        <v>24</v>
      </c>
      <c r="C630" s="2">
        <v>562837</v>
      </c>
      <c r="D630" s="2">
        <v>2967737</v>
      </c>
      <c r="E630" s="2">
        <v>37.840000000000003</v>
      </c>
      <c r="F630" s="2">
        <v>236421</v>
      </c>
    </row>
    <row r="631" spans="1:6">
      <c r="A631" s="3" t="s">
        <v>3410</v>
      </c>
      <c r="B631" s="2">
        <v>14</v>
      </c>
      <c r="C631" s="2">
        <v>1035870</v>
      </c>
      <c r="D631" s="2">
        <v>2971025</v>
      </c>
      <c r="E631" s="2">
        <v>37.840000000000003</v>
      </c>
      <c r="F631" s="2">
        <v>514571</v>
      </c>
    </row>
    <row r="632" spans="1:6">
      <c r="A632" s="3" t="s">
        <v>3411</v>
      </c>
      <c r="B632" s="2">
        <v>21</v>
      </c>
      <c r="C632" s="2">
        <v>520504</v>
      </c>
      <c r="D632" s="2">
        <v>2972556</v>
      </c>
      <c r="E632" s="2">
        <v>37.840000000000003</v>
      </c>
      <c r="F632" s="2">
        <v>477299</v>
      </c>
    </row>
    <row r="633" spans="1:6">
      <c r="A633" s="3" t="s">
        <v>3412</v>
      </c>
      <c r="B633" s="2">
        <v>23</v>
      </c>
      <c r="C633" s="2">
        <v>490288</v>
      </c>
      <c r="D633" s="2">
        <v>2972657</v>
      </c>
      <c r="E633" s="2">
        <v>37.840000000000003</v>
      </c>
      <c r="F633" s="2">
        <v>327799</v>
      </c>
    </row>
    <row r="634" spans="1:6">
      <c r="A634" s="3" t="s">
        <v>3413</v>
      </c>
      <c r="B634" s="2">
        <v>22</v>
      </c>
      <c r="C634" s="2">
        <v>475360</v>
      </c>
      <c r="D634" s="2">
        <v>2972915</v>
      </c>
      <c r="E634" s="2">
        <v>37.840000000000003</v>
      </c>
      <c r="F634" s="2">
        <v>280594</v>
      </c>
    </row>
    <row r="635" spans="1:6">
      <c r="A635" s="3" t="s">
        <v>3414</v>
      </c>
      <c r="B635" s="2">
        <v>35</v>
      </c>
      <c r="C635" s="2">
        <v>370692</v>
      </c>
      <c r="D635" s="2">
        <v>2974942</v>
      </c>
      <c r="E635" s="2">
        <v>37.840000000000003</v>
      </c>
      <c r="F635" s="2">
        <v>196315</v>
      </c>
    </row>
    <row r="636" spans="1:6">
      <c r="A636" s="3" t="s">
        <v>3415</v>
      </c>
      <c r="B636" s="2">
        <v>20</v>
      </c>
      <c r="C636" s="2">
        <v>523051</v>
      </c>
      <c r="D636" s="2">
        <v>2976262</v>
      </c>
      <c r="E636" s="2">
        <v>37.840000000000003</v>
      </c>
      <c r="F636" s="2">
        <v>298857</v>
      </c>
    </row>
    <row r="637" spans="1:6">
      <c r="A637" s="3" t="s">
        <v>3416</v>
      </c>
      <c r="B637" s="2">
        <v>18</v>
      </c>
      <c r="C637" s="2">
        <v>1037163</v>
      </c>
      <c r="D637" s="2">
        <v>2977958</v>
      </c>
      <c r="E637" s="2">
        <v>37.840000000000003</v>
      </c>
      <c r="F637" s="2">
        <v>362182</v>
      </c>
    </row>
    <row r="638" spans="1:6">
      <c r="A638" s="3" t="s">
        <v>3417</v>
      </c>
      <c r="B638" s="2">
        <v>31</v>
      </c>
      <c r="C638" s="2">
        <v>488481</v>
      </c>
      <c r="D638" s="2">
        <v>2978193</v>
      </c>
      <c r="E638" s="2">
        <v>37.840000000000003</v>
      </c>
      <c r="F638" s="2">
        <v>374947</v>
      </c>
    </row>
    <row r="639" spans="1:6">
      <c r="A639" s="3" t="s">
        <v>3418</v>
      </c>
      <c r="B639" s="2">
        <v>26</v>
      </c>
      <c r="C639" s="2">
        <v>605963</v>
      </c>
      <c r="D639" s="2">
        <v>2980645</v>
      </c>
      <c r="E639" s="2">
        <v>37.840000000000003</v>
      </c>
      <c r="F639" s="2">
        <v>465312</v>
      </c>
    </row>
    <row r="640" spans="1:6">
      <c r="A640" s="3" t="s">
        <v>3419</v>
      </c>
      <c r="B640" s="2">
        <v>16</v>
      </c>
      <c r="C640" s="2">
        <v>701335</v>
      </c>
      <c r="D640" s="2">
        <v>2980698</v>
      </c>
      <c r="E640" s="2">
        <v>37.840000000000003</v>
      </c>
      <c r="F640" s="2">
        <v>539992</v>
      </c>
    </row>
    <row r="641" spans="1:6">
      <c r="A641" s="3" t="s">
        <v>3420</v>
      </c>
      <c r="B641" s="2">
        <v>27</v>
      </c>
      <c r="C641" s="2">
        <v>1022231</v>
      </c>
      <c r="D641" s="2">
        <v>2984199</v>
      </c>
      <c r="E641" s="2">
        <v>37.840000000000003</v>
      </c>
      <c r="F641" s="2">
        <v>508998</v>
      </c>
    </row>
    <row r="642" spans="1:6">
      <c r="A642" s="3" t="s">
        <v>3421</v>
      </c>
      <c r="B642" s="2">
        <v>52</v>
      </c>
      <c r="C642" s="2">
        <v>327257</v>
      </c>
      <c r="D642" s="2">
        <v>2984672</v>
      </c>
      <c r="E642" s="2">
        <v>37.840000000000003</v>
      </c>
      <c r="F642" s="2">
        <v>182314</v>
      </c>
    </row>
    <row r="643" spans="1:6">
      <c r="A643" s="3" t="s">
        <v>3422</v>
      </c>
      <c r="B643" s="2">
        <v>11</v>
      </c>
      <c r="C643" s="2">
        <v>1403407</v>
      </c>
      <c r="D643" s="2">
        <v>2987831</v>
      </c>
      <c r="E643" s="2">
        <v>37.840000000000003</v>
      </c>
      <c r="F643" s="2">
        <v>539883</v>
      </c>
    </row>
    <row r="644" spans="1:6">
      <c r="A644" s="3" t="s">
        <v>3423</v>
      </c>
      <c r="B644" s="2">
        <v>27</v>
      </c>
      <c r="C644" s="2">
        <v>427893</v>
      </c>
      <c r="D644" s="2">
        <v>2992092</v>
      </c>
      <c r="E644" s="2">
        <v>37.840000000000003</v>
      </c>
      <c r="F644" s="2">
        <v>235449</v>
      </c>
    </row>
    <row r="645" spans="1:6">
      <c r="A645" s="3" t="s">
        <v>3424</v>
      </c>
      <c r="B645" s="2">
        <v>20</v>
      </c>
      <c r="C645" s="2">
        <v>872646</v>
      </c>
      <c r="D645" s="2">
        <v>2992304</v>
      </c>
      <c r="E645" s="2">
        <v>37.840000000000003</v>
      </c>
      <c r="F645" s="2">
        <v>376877</v>
      </c>
    </row>
    <row r="646" spans="1:6">
      <c r="A646" s="3" t="s">
        <v>3425</v>
      </c>
      <c r="B646" s="2">
        <v>20</v>
      </c>
      <c r="C646" s="2">
        <v>605968</v>
      </c>
      <c r="D646" s="2">
        <v>2994632</v>
      </c>
      <c r="E646" s="2">
        <v>37.840000000000003</v>
      </c>
      <c r="F646" s="2">
        <v>476974</v>
      </c>
    </row>
    <row r="647" spans="1:6">
      <c r="A647" s="3" t="s">
        <v>3426</v>
      </c>
      <c r="B647" s="2">
        <v>40</v>
      </c>
      <c r="C647" s="2">
        <v>336348</v>
      </c>
      <c r="D647" s="2">
        <v>2998021</v>
      </c>
      <c r="E647" s="2">
        <v>37.840000000000003</v>
      </c>
      <c r="F647" s="2">
        <v>115832</v>
      </c>
    </row>
    <row r="648" spans="1:6">
      <c r="A648" s="3" t="s">
        <v>3427</v>
      </c>
      <c r="B648" s="2">
        <v>37</v>
      </c>
      <c r="C648" s="2">
        <v>253278</v>
      </c>
      <c r="D648" s="2">
        <v>2999100</v>
      </c>
      <c r="E648" s="2">
        <v>37.840000000000003</v>
      </c>
      <c r="F648" s="2">
        <v>127531</v>
      </c>
    </row>
    <row r="649" spans="1:6">
      <c r="A649" s="3" t="s">
        <v>3428</v>
      </c>
      <c r="B649" s="2">
        <v>28</v>
      </c>
      <c r="C649" s="2">
        <v>511984</v>
      </c>
      <c r="D649" s="2">
        <v>3001239</v>
      </c>
      <c r="E649" s="2">
        <v>37.840000000000003</v>
      </c>
      <c r="F649" s="2">
        <v>280908</v>
      </c>
    </row>
    <row r="650" spans="1:6">
      <c r="A650" s="3" t="s">
        <v>3429</v>
      </c>
      <c r="B650" s="2">
        <v>23</v>
      </c>
      <c r="C650" s="2">
        <v>1207626</v>
      </c>
      <c r="D650" s="2">
        <v>3004155</v>
      </c>
      <c r="E650" s="2">
        <v>37.840000000000003</v>
      </c>
      <c r="F650" s="2">
        <v>353995</v>
      </c>
    </row>
    <row r="651" spans="1:6">
      <c r="A651" s="3" t="s">
        <v>3430</v>
      </c>
      <c r="B651" s="2">
        <v>23</v>
      </c>
      <c r="C651" s="2">
        <v>1207626</v>
      </c>
      <c r="D651" s="2">
        <v>3004340</v>
      </c>
      <c r="E651" s="2">
        <v>37.840000000000003</v>
      </c>
      <c r="F651" s="2">
        <v>353995</v>
      </c>
    </row>
    <row r="652" spans="1:6">
      <c r="A652" s="3" t="s">
        <v>3431</v>
      </c>
      <c r="B652" s="2">
        <v>25</v>
      </c>
      <c r="C652" s="2">
        <v>1207626</v>
      </c>
      <c r="D652" s="2">
        <v>3004462</v>
      </c>
      <c r="E652" s="2">
        <v>37.840000000000003</v>
      </c>
      <c r="F652" s="2">
        <v>353995</v>
      </c>
    </row>
    <row r="653" spans="1:6">
      <c r="A653" s="3" t="s">
        <v>3432</v>
      </c>
      <c r="B653" s="2">
        <v>25</v>
      </c>
      <c r="C653" s="2">
        <v>1207626</v>
      </c>
      <c r="D653" s="2">
        <v>3004592</v>
      </c>
      <c r="E653" s="2">
        <v>37.840000000000003</v>
      </c>
      <c r="F653" s="2">
        <v>353995</v>
      </c>
    </row>
    <row r="654" spans="1:6">
      <c r="A654" s="3" t="s">
        <v>3433</v>
      </c>
      <c r="B654" s="2">
        <v>25</v>
      </c>
      <c r="C654" s="2">
        <v>1207626</v>
      </c>
      <c r="D654" s="2">
        <v>3004960</v>
      </c>
      <c r="E654" s="2">
        <v>37.840000000000003</v>
      </c>
      <c r="F654" s="2">
        <v>353995</v>
      </c>
    </row>
    <row r="655" spans="1:6">
      <c r="A655" s="3" t="s">
        <v>3434</v>
      </c>
      <c r="B655" s="2">
        <v>26</v>
      </c>
      <c r="C655" s="2">
        <v>604935</v>
      </c>
      <c r="D655" s="2">
        <v>3005653</v>
      </c>
      <c r="E655" s="2">
        <v>37.840000000000003</v>
      </c>
      <c r="F655" s="2">
        <v>436049</v>
      </c>
    </row>
    <row r="656" spans="1:6">
      <c r="A656" s="3" t="s">
        <v>3435</v>
      </c>
      <c r="B656" s="2">
        <v>30</v>
      </c>
      <c r="C656" s="2">
        <v>475540</v>
      </c>
      <c r="D656" s="2">
        <v>3006240</v>
      </c>
      <c r="E656" s="2">
        <v>37.840000000000003</v>
      </c>
      <c r="F656" s="2">
        <v>345609</v>
      </c>
    </row>
    <row r="657" spans="1:6">
      <c r="A657" s="3" t="s">
        <v>3436</v>
      </c>
      <c r="B657" s="2">
        <v>19</v>
      </c>
      <c r="C657" s="2">
        <v>502704</v>
      </c>
      <c r="D657" s="2">
        <v>3006630</v>
      </c>
      <c r="E657" s="2">
        <v>37.840000000000003</v>
      </c>
      <c r="F657" s="2">
        <v>422222</v>
      </c>
    </row>
    <row r="658" spans="1:6">
      <c r="A658" s="3" t="s">
        <v>3437</v>
      </c>
      <c r="B658" s="2">
        <v>28</v>
      </c>
      <c r="C658" s="2">
        <v>883863</v>
      </c>
      <c r="D658" s="2">
        <v>3008724</v>
      </c>
      <c r="E658" s="2">
        <v>37.840000000000003</v>
      </c>
      <c r="F658" s="2">
        <v>477362</v>
      </c>
    </row>
    <row r="659" spans="1:6">
      <c r="A659" s="3" t="s">
        <v>3438</v>
      </c>
      <c r="B659" s="2">
        <v>25</v>
      </c>
      <c r="C659" s="2">
        <v>344627</v>
      </c>
      <c r="D659" s="2">
        <v>3008923</v>
      </c>
      <c r="E659" s="2">
        <v>37.840000000000003</v>
      </c>
      <c r="F659" s="2">
        <v>197982</v>
      </c>
    </row>
    <row r="660" spans="1:6">
      <c r="A660" s="3" t="s">
        <v>3439</v>
      </c>
      <c r="B660" s="2">
        <v>26</v>
      </c>
      <c r="C660" s="2">
        <v>393572</v>
      </c>
      <c r="D660" s="2">
        <v>3009139</v>
      </c>
      <c r="E660" s="2">
        <v>37.840000000000003</v>
      </c>
      <c r="F660" s="2">
        <v>225213</v>
      </c>
    </row>
    <row r="661" spans="1:6">
      <c r="A661" s="3" t="s">
        <v>3440</v>
      </c>
      <c r="B661" s="2">
        <v>31</v>
      </c>
      <c r="C661" s="2">
        <v>324976</v>
      </c>
      <c r="D661" s="2">
        <v>3012851</v>
      </c>
      <c r="E661" s="2">
        <v>37.840000000000003</v>
      </c>
      <c r="F661" s="2">
        <v>198810</v>
      </c>
    </row>
    <row r="662" spans="1:6">
      <c r="A662" s="3" t="s">
        <v>3441</v>
      </c>
      <c r="B662" s="2">
        <v>23</v>
      </c>
      <c r="C662" s="2">
        <v>588151</v>
      </c>
      <c r="D662" s="2">
        <v>3012869</v>
      </c>
      <c r="E662" s="2">
        <v>37.840000000000003</v>
      </c>
      <c r="F662" s="2">
        <v>440210</v>
      </c>
    </row>
    <row r="663" spans="1:6">
      <c r="A663" s="3" t="s">
        <v>3442</v>
      </c>
      <c r="B663" s="2">
        <v>33</v>
      </c>
      <c r="C663" s="2">
        <v>483839</v>
      </c>
      <c r="D663" s="2">
        <v>3013262</v>
      </c>
      <c r="E663" s="2">
        <v>37.840000000000003</v>
      </c>
      <c r="F663" s="2">
        <v>332189</v>
      </c>
    </row>
    <row r="664" spans="1:6">
      <c r="A664" s="3" t="s">
        <v>3443</v>
      </c>
      <c r="B664" s="2">
        <v>30</v>
      </c>
      <c r="C664" s="2">
        <v>507900</v>
      </c>
      <c r="D664" s="2">
        <v>3013331</v>
      </c>
      <c r="E664" s="2">
        <v>37.840000000000003</v>
      </c>
      <c r="F664" s="2">
        <v>259553</v>
      </c>
    </row>
    <row r="665" spans="1:6">
      <c r="A665" s="3" t="s">
        <v>3444</v>
      </c>
      <c r="B665" s="2">
        <v>43</v>
      </c>
      <c r="C665" s="2">
        <v>605813</v>
      </c>
      <c r="D665" s="2">
        <v>3018614</v>
      </c>
      <c r="E665" s="2">
        <v>37.840000000000003</v>
      </c>
      <c r="F665" s="2">
        <v>435684</v>
      </c>
    </row>
    <row r="666" spans="1:6">
      <c r="A666" s="3" t="s">
        <v>3445</v>
      </c>
      <c r="B666" s="2">
        <v>54</v>
      </c>
      <c r="C666" s="2">
        <v>380485</v>
      </c>
      <c r="D666" s="2">
        <v>3020002</v>
      </c>
      <c r="E666" s="2">
        <v>37.840000000000003</v>
      </c>
      <c r="F666" s="2">
        <v>191120</v>
      </c>
    </row>
    <row r="667" spans="1:6">
      <c r="A667" s="3" t="s">
        <v>3446</v>
      </c>
      <c r="B667" s="2">
        <v>18</v>
      </c>
      <c r="C667" s="2">
        <v>605131</v>
      </c>
      <c r="D667" s="2">
        <v>3020443</v>
      </c>
      <c r="E667" s="2">
        <v>37.840000000000003</v>
      </c>
      <c r="F667" s="2">
        <v>511120</v>
      </c>
    </row>
    <row r="668" spans="1:6">
      <c r="A668" s="3" t="s">
        <v>3447</v>
      </c>
      <c r="B668" s="2">
        <v>64</v>
      </c>
      <c r="C668" s="2">
        <v>426045</v>
      </c>
      <c r="D668" s="2">
        <v>3023279</v>
      </c>
      <c r="E668" s="2">
        <v>37.840000000000003</v>
      </c>
      <c r="F668" s="2">
        <v>99114</v>
      </c>
    </row>
    <row r="669" spans="1:6">
      <c r="A669" s="3" t="s">
        <v>3448</v>
      </c>
      <c r="B669" s="2">
        <v>32</v>
      </c>
      <c r="C669" s="2">
        <v>480410</v>
      </c>
      <c r="D669" s="2">
        <v>3031374</v>
      </c>
      <c r="E669" s="2">
        <v>37.840000000000003</v>
      </c>
      <c r="F669" s="2">
        <v>272631</v>
      </c>
    </row>
    <row r="670" spans="1:6">
      <c r="A670" s="3" t="s">
        <v>3449</v>
      </c>
      <c r="B670" s="2">
        <v>14</v>
      </c>
      <c r="C670" s="2">
        <v>933858</v>
      </c>
      <c r="D670" s="2">
        <v>3034384</v>
      </c>
      <c r="E670" s="2">
        <v>37.840000000000003</v>
      </c>
      <c r="F670" s="2">
        <v>627193</v>
      </c>
    </row>
    <row r="671" spans="1:6">
      <c r="A671" s="3" t="s">
        <v>3450</v>
      </c>
      <c r="B671" s="2">
        <v>242</v>
      </c>
      <c r="C671" s="2">
        <v>71601</v>
      </c>
      <c r="D671" s="2">
        <v>3048412</v>
      </c>
      <c r="E671" s="2">
        <v>37.840000000000003</v>
      </c>
      <c r="F671" s="2">
        <v>21929</v>
      </c>
    </row>
    <row r="672" spans="1:6">
      <c r="A672" s="3" t="s">
        <v>3451</v>
      </c>
      <c r="B672" s="2">
        <v>17</v>
      </c>
      <c r="C672" s="2">
        <v>703554</v>
      </c>
      <c r="D672" s="2">
        <v>3054575</v>
      </c>
      <c r="E672" s="2">
        <v>37.840000000000003</v>
      </c>
      <c r="F672" s="2">
        <v>563275</v>
      </c>
    </row>
    <row r="673" spans="1:6">
      <c r="A673" s="3" t="s">
        <v>3452</v>
      </c>
      <c r="B673" s="2">
        <v>20</v>
      </c>
      <c r="C673" s="2">
        <v>703564</v>
      </c>
      <c r="D673" s="2">
        <v>3054688</v>
      </c>
      <c r="E673" s="2">
        <v>37.840000000000003</v>
      </c>
      <c r="F673" s="2">
        <v>460021</v>
      </c>
    </row>
    <row r="674" spans="1:6">
      <c r="A674" s="3" t="s">
        <v>3453</v>
      </c>
      <c r="B674" s="2">
        <v>37</v>
      </c>
      <c r="C674" s="2">
        <v>482569</v>
      </c>
      <c r="D674" s="2">
        <v>3055388</v>
      </c>
      <c r="E674" s="2">
        <v>37.840000000000003</v>
      </c>
      <c r="F674" s="2">
        <v>194044</v>
      </c>
    </row>
    <row r="675" spans="1:6">
      <c r="A675" s="3" t="s">
        <v>3454</v>
      </c>
      <c r="B675" s="2">
        <v>19</v>
      </c>
      <c r="C675" s="2">
        <v>576949</v>
      </c>
      <c r="D675" s="2">
        <v>3057113</v>
      </c>
      <c r="E675" s="2">
        <v>37.840000000000003</v>
      </c>
      <c r="F675" s="2">
        <v>505236</v>
      </c>
    </row>
    <row r="676" spans="1:6">
      <c r="A676" s="3" t="s">
        <v>3455</v>
      </c>
      <c r="B676" s="2">
        <v>42</v>
      </c>
      <c r="C676" s="2">
        <v>508087</v>
      </c>
      <c r="D676" s="2">
        <v>3057419</v>
      </c>
      <c r="E676" s="2">
        <v>37.840000000000003</v>
      </c>
      <c r="F676" s="2">
        <v>195105</v>
      </c>
    </row>
    <row r="677" spans="1:6">
      <c r="A677" s="3" t="s">
        <v>3456</v>
      </c>
      <c r="B677" s="2">
        <v>17</v>
      </c>
      <c r="C677" s="2">
        <v>703553</v>
      </c>
      <c r="D677" s="2">
        <v>3087556</v>
      </c>
      <c r="E677" s="2">
        <v>37.840000000000003</v>
      </c>
      <c r="F677" s="2">
        <v>580477</v>
      </c>
    </row>
    <row r="678" spans="1:6">
      <c r="A678" s="3" t="s">
        <v>3457</v>
      </c>
      <c r="B678" s="2">
        <v>20</v>
      </c>
      <c r="C678" s="2">
        <v>703756</v>
      </c>
      <c r="D678" s="2">
        <v>3087621</v>
      </c>
      <c r="E678" s="2">
        <v>37.840000000000003</v>
      </c>
      <c r="F678" s="2">
        <v>443890</v>
      </c>
    </row>
    <row r="679" spans="1:6">
      <c r="A679" s="3" t="s">
        <v>3458</v>
      </c>
      <c r="B679" s="2">
        <v>22</v>
      </c>
      <c r="C679" s="2">
        <v>703564</v>
      </c>
      <c r="D679" s="2">
        <v>3087884</v>
      </c>
      <c r="E679" s="2">
        <v>37.840000000000003</v>
      </c>
      <c r="F679" s="2">
        <v>443890</v>
      </c>
    </row>
    <row r="680" spans="1:6">
      <c r="A680" s="3" t="s">
        <v>3459</v>
      </c>
      <c r="B680" s="2">
        <v>34</v>
      </c>
      <c r="C680" s="2">
        <v>749092</v>
      </c>
      <c r="D680" s="2">
        <v>3105766</v>
      </c>
      <c r="E680" s="2">
        <v>37.840000000000003</v>
      </c>
      <c r="F680" s="2">
        <v>407799</v>
      </c>
    </row>
    <row r="681" spans="1:6">
      <c r="A681" s="3" t="s">
        <v>3460</v>
      </c>
      <c r="B681" s="2">
        <v>22</v>
      </c>
      <c r="C681" s="2">
        <v>573441</v>
      </c>
      <c r="D681" s="2">
        <v>3107866</v>
      </c>
      <c r="E681" s="2">
        <v>37.840000000000003</v>
      </c>
      <c r="F681" s="2">
        <v>253641</v>
      </c>
    </row>
    <row r="682" spans="1:6">
      <c r="A682" s="3" t="s">
        <v>3461</v>
      </c>
      <c r="B682" s="2">
        <v>17</v>
      </c>
      <c r="C682" s="2">
        <v>699924</v>
      </c>
      <c r="D682" s="2">
        <v>3108333</v>
      </c>
      <c r="E682" s="2">
        <v>37.840000000000003</v>
      </c>
      <c r="F682" s="2">
        <v>492444</v>
      </c>
    </row>
    <row r="683" spans="1:6">
      <c r="A683" s="3" t="s">
        <v>3462</v>
      </c>
      <c r="B683" s="2">
        <v>37</v>
      </c>
      <c r="C683" s="2">
        <v>308327</v>
      </c>
      <c r="D683" s="2">
        <v>2891892</v>
      </c>
      <c r="E683" s="2">
        <v>37.85</v>
      </c>
      <c r="F683" s="2">
        <v>168907</v>
      </c>
    </row>
    <row r="684" spans="1:6">
      <c r="A684" s="3" t="s">
        <v>3463</v>
      </c>
      <c r="B684" s="2">
        <v>19</v>
      </c>
      <c r="C684" s="2">
        <v>574733</v>
      </c>
      <c r="D684" s="2">
        <v>2892129</v>
      </c>
      <c r="E684" s="2">
        <v>37.85</v>
      </c>
      <c r="F684" s="2">
        <v>468142</v>
      </c>
    </row>
    <row r="685" spans="1:6">
      <c r="A685" s="3" t="s">
        <v>3464</v>
      </c>
      <c r="B685" s="2">
        <v>15</v>
      </c>
      <c r="C685" s="2">
        <v>1479667</v>
      </c>
      <c r="D685" s="2">
        <v>2894036</v>
      </c>
      <c r="E685" s="2">
        <v>37.85</v>
      </c>
      <c r="F685" s="2">
        <v>1479667</v>
      </c>
    </row>
    <row r="686" spans="1:6">
      <c r="A686" s="3" t="s">
        <v>3465</v>
      </c>
      <c r="B686" s="2">
        <v>19</v>
      </c>
      <c r="C686" s="2">
        <v>965686</v>
      </c>
      <c r="D686" s="2">
        <v>2894065</v>
      </c>
      <c r="E686" s="2">
        <v>37.85</v>
      </c>
      <c r="F686" s="2">
        <v>291018</v>
      </c>
    </row>
    <row r="687" spans="1:6">
      <c r="A687" s="3" t="s">
        <v>3466</v>
      </c>
      <c r="B687" s="2">
        <v>16</v>
      </c>
      <c r="C687" s="2">
        <v>1478820</v>
      </c>
      <c r="D687" s="2">
        <v>2894776</v>
      </c>
      <c r="E687" s="2">
        <v>37.85</v>
      </c>
      <c r="F687" s="2">
        <v>1478820</v>
      </c>
    </row>
    <row r="688" spans="1:6">
      <c r="A688" s="3" t="s">
        <v>3467</v>
      </c>
      <c r="B688" s="2">
        <v>13</v>
      </c>
      <c r="C688" s="2">
        <v>1479417</v>
      </c>
      <c r="D688" s="2">
        <v>2895298</v>
      </c>
      <c r="E688" s="2">
        <v>37.85</v>
      </c>
      <c r="F688" s="2">
        <v>1479417</v>
      </c>
    </row>
    <row r="689" spans="1:6">
      <c r="A689" s="3" t="s">
        <v>3468</v>
      </c>
      <c r="B689" s="2">
        <v>27</v>
      </c>
      <c r="C689" s="2">
        <v>426856</v>
      </c>
      <c r="D689" s="2">
        <v>2903703</v>
      </c>
      <c r="E689" s="2">
        <v>37.85</v>
      </c>
      <c r="F689" s="2">
        <v>191022</v>
      </c>
    </row>
    <row r="690" spans="1:6">
      <c r="A690" s="3" t="s">
        <v>3469</v>
      </c>
      <c r="B690" s="2">
        <v>26</v>
      </c>
      <c r="C690" s="2">
        <v>484859</v>
      </c>
      <c r="D690" s="2">
        <v>2903783</v>
      </c>
      <c r="E690" s="2">
        <v>37.85</v>
      </c>
      <c r="F690" s="2">
        <v>242030</v>
      </c>
    </row>
    <row r="691" spans="1:6">
      <c r="A691" s="3" t="s">
        <v>3470</v>
      </c>
      <c r="B691" s="2">
        <v>17</v>
      </c>
      <c r="C691" s="2">
        <v>763169</v>
      </c>
      <c r="D691" s="2">
        <v>2904545</v>
      </c>
      <c r="E691" s="2">
        <v>37.85</v>
      </c>
      <c r="F691" s="2">
        <v>443777</v>
      </c>
    </row>
    <row r="692" spans="1:6">
      <c r="A692" s="3" t="s">
        <v>3471</v>
      </c>
      <c r="B692" s="2">
        <v>23</v>
      </c>
      <c r="C692" s="2">
        <v>745016</v>
      </c>
      <c r="D692" s="2">
        <v>2915453</v>
      </c>
      <c r="E692" s="2">
        <v>37.85</v>
      </c>
      <c r="F692" s="2">
        <v>432888</v>
      </c>
    </row>
    <row r="693" spans="1:6">
      <c r="A693" s="3" t="s">
        <v>3472</v>
      </c>
      <c r="B693" s="2">
        <v>18</v>
      </c>
      <c r="C693" s="2">
        <v>529862</v>
      </c>
      <c r="D693" s="2">
        <v>2916926</v>
      </c>
      <c r="E693" s="2">
        <v>37.85</v>
      </c>
      <c r="F693" s="2">
        <v>318252</v>
      </c>
    </row>
    <row r="694" spans="1:6">
      <c r="A694" s="3" t="s">
        <v>3473</v>
      </c>
      <c r="B694" s="2">
        <v>24</v>
      </c>
      <c r="C694" s="2">
        <v>511481</v>
      </c>
      <c r="D694" s="2">
        <v>2920822</v>
      </c>
      <c r="E694" s="2">
        <v>37.85</v>
      </c>
      <c r="F694" s="2">
        <v>396555</v>
      </c>
    </row>
    <row r="695" spans="1:6">
      <c r="A695" s="3" t="s">
        <v>3474</v>
      </c>
      <c r="B695" s="2">
        <v>26</v>
      </c>
      <c r="C695" s="2">
        <v>517534</v>
      </c>
      <c r="D695" s="2">
        <v>2921628</v>
      </c>
      <c r="E695" s="2">
        <v>37.85</v>
      </c>
      <c r="F695" s="2">
        <v>260729</v>
      </c>
    </row>
    <row r="696" spans="1:6">
      <c r="A696" s="3" t="s">
        <v>3475</v>
      </c>
      <c r="B696" s="2">
        <v>21</v>
      </c>
      <c r="C696" s="2">
        <v>994516</v>
      </c>
      <c r="D696" s="2">
        <v>2921816</v>
      </c>
      <c r="E696" s="2">
        <v>37.85</v>
      </c>
      <c r="F696" s="2">
        <v>430876</v>
      </c>
    </row>
    <row r="697" spans="1:6">
      <c r="A697" s="3" t="s">
        <v>3476</v>
      </c>
      <c r="B697" s="2">
        <v>18</v>
      </c>
      <c r="C697" s="2">
        <v>588151</v>
      </c>
      <c r="D697" s="2">
        <v>2922350</v>
      </c>
      <c r="E697" s="2">
        <v>37.85</v>
      </c>
      <c r="F697" s="2">
        <v>439691</v>
      </c>
    </row>
    <row r="698" spans="1:6">
      <c r="A698" s="3" t="s">
        <v>3477</v>
      </c>
      <c r="B698" s="2">
        <v>24</v>
      </c>
      <c r="C698" s="2">
        <v>426116</v>
      </c>
      <c r="D698" s="2">
        <v>2922427</v>
      </c>
      <c r="E698" s="2">
        <v>37.85</v>
      </c>
      <c r="F698" s="2">
        <v>253590</v>
      </c>
    </row>
    <row r="699" spans="1:6">
      <c r="A699" s="3" t="s">
        <v>3478</v>
      </c>
      <c r="B699" s="2">
        <v>22</v>
      </c>
      <c r="C699" s="2">
        <v>636766</v>
      </c>
      <c r="D699" s="2">
        <v>2923076</v>
      </c>
      <c r="E699" s="2">
        <v>37.85</v>
      </c>
      <c r="F699" s="2">
        <v>357069</v>
      </c>
    </row>
    <row r="700" spans="1:6">
      <c r="A700" s="3" t="s">
        <v>3479</v>
      </c>
      <c r="B700" s="2">
        <v>15</v>
      </c>
      <c r="C700" s="2">
        <v>700545</v>
      </c>
      <c r="D700" s="2">
        <v>2923335</v>
      </c>
      <c r="E700" s="2">
        <v>37.85</v>
      </c>
      <c r="F700" s="2">
        <v>579695</v>
      </c>
    </row>
    <row r="701" spans="1:6">
      <c r="A701" s="3" t="s">
        <v>3480</v>
      </c>
      <c r="B701" s="2">
        <v>14</v>
      </c>
      <c r="C701" s="2">
        <v>588140</v>
      </c>
      <c r="D701" s="2">
        <v>2923387</v>
      </c>
      <c r="E701" s="2">
        <v>37.85</v>
      </c>
      <c r="F701" s="2">
        <v>439047</v>
      </c>
    </row>
    <row r="702" spans="1:6">
      <c r="A702" s="3" t="s">
        <v>3481</v>
      </c>
      <c r="B702" s="2">
        <v>20</v>
      </c>
      <c r="C702" s="2">
        <v>438989</v>
      </c>
      <c r="D702" s="2">
        <v>2923412</v>
      </c>
      <c r="E702" s="2">
        <v>37.85</v>
      </c>
      <c r="F702" s="2">
        <v>271225</v>
      </c>
    </row>
    <row r="703" spans="1:6">
      <c r="A703" s="3" t="s">
        <v>3482</v>
      </c>
      <c r="B703" s="2">
        <v>31</v>
      </c>
      <c r="C703" s="2">
        <v>438987</v>
      </c>
      <c r="D703" s="2">
        <v>2923470</v>
      </c>
      <c r="E703" s="2">
        <v>37.85</v>
      </c>
      <c r="F703" s="2">
        <v>178464</v>
      </c>
    </row>
    <row r="704" spans="1:6">
      <c r="A704" s="3" t="s">
        <v>3483</v>
      </c>
      <c r="B704" s="2">
        <v>24</v>
      </c>
      <c r="C704" s="2">
        <v>579577</v>
      </c>
      <c r="D704" s="2">
        <v>2923505</v>
      </c>
      <c r="E704" s="2">
        <v>37.85</v>
      </c>
      <c r="F704" s="2">
        <v>438990</v>
      </c>
    </row>
    <row r="705" spans="1:6">
      <c r="A705" s="3" t="s">
        <v>3484</v>
      </c>
      <c r="B705" s="2">
        <v>15</v>
      </c>
      <c r="C705" s="2">
        <v>700544</v>
      </c>
      <c r="D705" s="2">
        <v>2923507</v>
      </c>
      <c r="E705" s="2">
        <v>37.85</v>
      </c>
      <c r="F705" s="2">
        <v>430422</v>
      </c>
    </row>
    <row r="706" spans="1:6">
      <c r="A706" s="3" t="s">
        <v>3485</v>
      </c>
      <c r="B706" s="2">
        <v>20</v>
      </c>
      <c r="C706" s="2">
        <v>587953</v>
      </c>
      <c r="D706" s="2">
        <v>2923629</v>
      </c>
      <c r="E706" s="2">
        <v>37.85</v>
      </c>
      <c r="F706" s="2">
        <v>438876</v>
      </c>
    </row>
    <row r="707" spans="1:6">
      <c r="A707" s="3" t="s">
        <v>3486</v>
      </c>
      <c r="B707" s="2">
        <v>23</v>
      </c>
      <c r="C707" s="2">
        <v>446136</v>
      </c>
      <c r="D707" s="2">
        <v>2923653</v>
      </c>
      <c r="E707" s="2">
        <v>37.85</v>
      </c>
      <c r="F707" s="2">
        <v>251208</v>
      </c>
    </row>
    <row r="708" spans="1:6">
      <c r="A708" s="3" t="s">
        <v>3487</v>
      </c>
      <c r="B708" s="2">
        <v>16</v>
      </c>
      <c r="C708" s="2">
        <v>700664</v>
      </c>
      <c r="D708" s="2">
        <v>2923675</v>
      </c>
      <c r="E708" s="2">
        <v>37.85</v>
      </c>
      <c r="F708" s="2">
        <v>579564</v>
      </c>
    </row>
    <row r="709" spans="1:6">
      <c r="A709" s="3" t="s">
        <v>3488</v>
      </c>
      <c r="B709" s="2">
        <v>17</v>
      </c>
      <c r="C709" s="2">
        <v>700471</v>
      </c>
      <c r="D709" s="2">
        <v>2923751</v>
      </c>
      <c r="E709" s="2">
        <v>37.85</v>
      </c>
      <c r="F709" s="2">
        <v>506878</v>
      </c>
    </row>
    <row r="710" spans="1:6">
      <c r="A710" s="3" t="s">
        <v>3489</v>
      </c>
      <c r="B710" s="2">
        <v>16</v>
      </c>
      <c r="C710" s="2">
        <v>588151</v>
      </c>
      <c r="D710" s="2">
        <v>2923869</v>
      </c>
      <c r="E710" s="2">
        <v>37.85</v>
      </c>
      <c r="F710" s="2">
        <v>438728</v>
      </c>
    </row>
    <row r="711" spans="1:6">
      <c r="A711" s="3" t="s">
        <v>3490</v>
      </c>
      <c r="B711" s="2">
        <v>25</v>
      </c>
      <c r="C711" s="2">
        <v>432694</v>
      </c>
      <c r="D711" s="2">
        <v>2924449</v>
      </c>
      <c r="E711" s="2">
        <v>37.85</v>
      </c>
      <c r="F711" s="2">
        <v>336139</v>
      </c>
    </row>
    <row r="712" spans="1:6">
      <c r="A712" s="3" t="s">
        <v>3491</v>
      </c>
      <c r="B712" s="2">
        <v>15</v>
      </c>
      <c r="C712" s="2">
        <v>1259769</v>
      </c>
      <c r="D712" s="2">
        <v>2924865</v>
      </c>
      <c r="E712" s="2">
        <v>37.85</v>
      </c>
      <c r="F712" s="2">
        <v>478218</v>
      </c>
    </row>
    <row r="713" spans="1:6">
      <c r="A713" s="3" t="s">
        <v>3492</v>
      </c>
      <c r="B713" s="2">
        <v>26</v>
      </c>
      <c r="C713" s="2">
        <v>319942</v>
      </c>
      <c r="D713" s="2">
        <v>2925501</v>
      </c>
      <c r="E713" s="2">
        <v>37.85</v>
      </c>
      <c r="F713" s="2">
        <v>195754</v>
      </c>
    </row>
    <row r="714" spans="1:6">
      <c r="A714" s="3" t="s">
        <v>3493</v>
      </c>
      <c r="B714" s="2">
        <v>22</v>
      </c>
      <c r="C714" s="2">
        <v>554987</v>
      </c>
      <c r="D714" s="2">
        <v>2928208</v>
      </c>
      <c r="E714" s="2">
        <v>37.85</v>
      </c>
      <c r="F714" s="2">
        <v>331467</v>
      </c>
    </row>
    <row r="715" spans="1:6">
      <c r="A715" s="3" t="s">
        <v>3494</v>
      </c>
      <c r="B715" s="2">
        <v>27</v>
      </c>
      <c r="C715" s="2">
        <v>425096</v>
      </c>
      <c r="D715" s="2">
        <v>2928407</v>
      </c>
      <c r="E715" s="2">
        <v>37.85</v>
      </c>
      <c r="F715" s="2">
        <v>221829</v>
      </c>
    </row>
    <row r="716" spans="1:6">
      <c r="A716" s="3" t="s">
        <v>3495</v>
      </c>
      <c r="B716" s="2">
        <v>14</v>
      </c>
      <c r="C716" s="2">
        <v>998171</v>
      </c>
      <c r="D716" s="2">
        <v>2928483</v>
      </c>
      <c r="E716" s="2">
        <v>37.85</v>
      </c>
      <c r="F716" s="2">
        <v>499372</v>
      </c>
    </row>
    <row r="717" spans="1:6">
      <c r="A717" s="3" t="s">
        <v>3496</v>
      </c>
      <c r="B717" s="2">
        <v>15</v>
      </c>
      <c r="C717" s="2">
        <v>701229</v>
      </c>
      <c r="D717" s="2">
        <v>2929252</v>
      </c>
      <c r="E717" s="2">
        <v>37.85</v>
      </c>
      <c r="F717" s="2">
        <v>579638</v>
      </c>
    </row>
    <row r="718" spans="1:6">
      <c r="A718" s="3" t="s">
        <v>3497</v>
      </c>
      <c r="B718" s="2">
        <v>49</v>
      </c>
      <c r="C718" s="2">
        <v>310455</v>
      </c>
      <c r="D718" s="2">
        <v>2929962</v>
      </c>
      <c r="E718" s="2">
        <v>37.85</v>
      </c>
      <c r="F718" s="2">
        <v>124787</v>
      </c>
    </row>
    <row r="719" spans="1:6">
      <c r="A719" s="3" t="s">
        <v>3498</v>
      </c>
      <c r="B719" s="2">
        <v>18</v>
      </c>
      <c r="C719" s="2">
        <v>770855</v>
      </c>
      <c r="D719" s="2">
        <v>2931044</v>
      </c>
      <c r="E719" s="2">
        <v>37.85</v>
      </c>
      <c r="F719" s="2">
        <v>331308</v>
      </c>
    </row>
    <row r="720" spans="1:6">
      <c r="A720" s="3" t="s">
        <v>3499</v>
      </c>
      <c r="B720" s="2">
        <v>15</v>
      </c>
      <c r="C720" s="2">
        <v>1433202</v>
      </c>
      <c r="D720" s="2">
        <v>2932528</v>
      </c>
      <c r="E720" s="2">
        <v>37.85</v>
      </c>
      <c r="F720" s="2">
        <v>450285</v>
      </c>
    </row>
    <row r="721" spans="1:6">
      <c r="A721" s="3" t="s">
        <v>3500</v>
      </c>
      <c r="B721" s="2">
        <v>15</v>
      </c>
      <c r="C721" s="2">
        <v>836988</v>
      </c>
      <c r="D721" s="2">
        <v>2935274</v>
      </c>
      <c r="E721" s="2">
        <v>37.85</v>
      </c>
      <c r="F721" s="2">
        <v>420939</v>
      </c>
    </row>
    <row r="722" spans="1:6">
      <c r="A722" s="3" t="s">
        <v>3501</v>
      </c>
      <c r="B722" s="2">
        <v>14</v>
      </c>
      <c r="C722" s="2">
        <v>784190</v>
      </c>
      <c r="D722" s="2">
        <v>2935595</v>
      </c>
      <c r="E722" s="2">
        <v>37.85</v>
      </c>
      <c r="F722" s="2">
        <v>564625</v>
      </c>
    </row>
    <row r="723" spans="1:6">
      <c r="A723" s="3" t="s">
        <v>3502</v>
      </c>
      <c r="B723" s="2">
        <v>15</v>
      </c>
      <c r="C723" s="2">
        <v>712073</v>
      </c>
      <c r="D723" s="2">
        <v>2938409</v>
      </c>
      <c r="E723" s="2">
        <v>37.85</v>
      </c>
      <c r="F723" s="2">
        <v>432224</v>
      </c>
    </row>
    <row r="724" spans="1:6">
      <c r="A724" s="3" t="s">
        <v>3503</v>
      </c>
      <c r="B724" s="2">
        <v>58</v>
      </c>
      <c r="C724" s="2">
        <v>890061</v>
      </c>
      <c r="D724" s="2">
        <v>2939072</v>
      </c>
      <c r="E724" s="2">
        <v>37.85</v>
      </c>
      <c r="F724" s="2">
        <v>353657</v>
      </c>
    </row>
    <row r="725" spans="1:6">
      <c r="A725" s="3" t="s">
        <v>3504</v>
      </c>
      <c r="B725" s="2">
        <v>11</v>
      </c>
      <c r="C725" s="2">
        <v>1227426</v>
      </c>
      <c r="D725" s="2">
        <v>2941016</v>
      </c>
      <c r="E725" s="2">
        <v>37.85</v>
      </c>
      <c r="F725" s="2">
        <v>547740</v>
      </c>
    </row>
    <row r="726" spans="1:6">
      <c r="A726" s="3" t="s">
        <v>3505</v>
      </c>
      <c r="B726" s="2">
        <v>21</v>
      </c>
      <c r="C726" s="2">
        <v>619829</v>
      </c>
      <c r="D726" s="2">
        <v>2941765</v>
      </c>
      <c r="E726" s="2">
        <v>37.85</v>
      </c>
      <c r="F726" s="2">
        <v>264347</v>
      </c>
    </row>
    <row r="727" spans="1:6">
      <c r="A727" s="3" t="s">
        <v>3506</v>
      </c>
      <c r="B727" s="2">
        <v>15</v>
      </c>
      <c r="C727" s="2">
        <v>584859</v>
      </c>
      <c r="D727" s="2">
        <v>2942882</v>
      </c>
      <c r="E727" s="2">
        <v>37.85</v>
      </c>
      <c r="F727" s="2">
        <v>475295</v>
      </c>
    </row>
    <row r="728" spans="1:6">
      <c r="A728" s="3" t="s">
        <v>3507</v>
      </c>
      <c r="B728" s="2">
        <v>38</v>
      </c>
      <c r="C728" s="2">
        <v>348855</v>
      </c>
      <c r="D728" s="2">
        <v>2943955</v>
      </c>
      <c r="E728" s="2">
        <v>37.85</v>
      </c>
      <c r="F728" s="2">
        <v>177622</v>
      </c>
    </row>
    <row r="729" spans="1:6">
      <c r="A729" s="3" t="s">
        <v>3508</v>
      </c>
      <c r="B729" s="2">
        <v>36</v>
      </c>
      <c r="C729" s="2">
        <v>431084</v>
      </c>
      <c r="D729" s="2">
        <v>2944409</v>
      </c>
      <c r="E729" s="2">
        <v>37.85</v>
      </c>
      <c r="F729" s="2">
        <v>221870</v>
      </c>
    </row>
    <row r="730" spans="1:6">
      <c r="A730" s="3" t="s">
        <v>3509</v>
      </c>
      <c r="B730" s="2">
        <v>35</v>
      </c>
      <c r="C730" s="2">
        <v>293473</v>
      </c>
      <c r="D730" s="2">
        <v>2944726</v>
      </c>
      <c r="E730" s="2">
        <v>37.85</v>
      </c>
      <c r="F730" s="2">
        <v>146455</v>
      </c>
    </row>
    <row r="731" spans="1:6">
      <c r="A731" s="3" t="s">
        <v>3510</v>
      </c>
      <c r="B731" s="2">
        <v>20</v>
      </c>
      <c r="C731" s="2">
        <v>605086</v>
      </c>
      <c r="D731" s="2">
        <v>2946049</v>
      </c>
      <c r="E731" s="2">
        <v>37.85</v>
      </c>
      <c r="F731" s="2">
        <v>432643</v>
      </c>
    </row>
    <row r="732" spans="1:6">
      <c r="A732" s="3" t="s">
        <v>3511</v>
      </c>
      <c r="B732" s="2">
        <v>12</v>
      </c>
      <c r="C732" s="2">
        <v>1514428</v>
      </c>
      <c r="D732" s="2">
        <v>2949849</v>
      </c>
      <c r="E732" s="2">
        <v>37.85</v>
      </c>
      <c r="F732" s="2">
        <v>1514428</v>
      </c>
    </row>
    <row r="733" spans="1:6">
      <c r="A733" s="3" t="s">
        <v>3512</v>
      </c>
      <c r="B733" s="2">
        <v>16</v>
      </c>
      <c r="C733" s="2">
        <v>1501811</v>
      </c>
      <c r="D733" s="2">
        <v>2951442</v>
      </c>
      <c r="E733" s="2">
        <v>37.85</v>
      </c>
      <c r="F733" s="2">
        <v>1501811</v>
      </c>
    </row>
    <row r="734" spans="1:6">
      <c r="A734" s="3" t="s">
        <v>3513</v>
      </c>
      <c r="B734" s="2">
        <v>22</v>
      </c>
      <c r="C734" s="2">
        <v>437864</v>
      </c>
      <c r="D734" s="2">
        <v>2951494</v>
      </c>
      <c r="E734" s="2">
        <v>37.85</v>
      </c>
      <c r="F734" s="2">
        <v>229261</v>
      </c>
    </row>
    <row r="735" spans="1:6">
      <c r="A735" s="3" t="s">
        <v>3514</v>
      </c>
      <c r="B735" s="2">
        <v>21</v>
      </c>
      <c r="C735" s="2">
        <v>506228</v>
      </c>
      <c r="D735" s="2">
        <v>2951841</v>
      </c>
      <c r="E735" s="2">
        <v>37.85</v>
      </c>
      <c r="F735" s="2">
        <v>287121</v>
      </c>
    </row>
    <row r="736" spans="1:6">
      <c r="A736" s="3" t="s">
        <v>3515</v>
      </c>
      <c r="B736" s="2">
        <v>28</v>
      </c>
      <c r="C736" s="2">
        <v>581946</v>
      </c>
      <c r="D736" s="2">
        <v>2952006</v>
      </c>
      <c r="E736" s="2">
        <v>37.85</v>
      </c>
      <c r="F736" s="2">
        <v>437677</v>
      </c>
    </row>
    <row r="737" spans="1:6">
      <c r="A737" s="3" t="s">
        <v>3516</v>
      </c>
      <c r="B737" s="2">
        <v>18</v>
      </c>
      <c r="C737" s="2">
        <v>700521</v>
      </c>
      <c r="D737" s="2">
        <v>2954733</v>
      </c>
      <c r="E737" s="2">
        <v>37.85</v>
      </c>
      <c r="F737" s="2">
        <v>443244</v>
      </c>
    </row>
    <row r="738" spans="1:6">
      <c r="A738" s="3" t="s">
        <v>3517</v>
      </c>
      <c r="B738" s="2">
        <v>40</v>
      </c>
      <c r="C738" s="2">
        <v>372281</v>
      </c>
      <c r="D738" s="2">
        <v>2956379</v>
      </c>
      <c r="E738" s="2">
        <v>37.85</v>
      </c>
      <c r="F738" s="2">
        <v>195506</v>
      </c>
    </row>
    <row r="739" spans="1:6">
      <c r="A739" s="3" t="s">
        <v>3518</v>
      </c>
      <c r="B739" s="2">
        <v>18</v>
      </c>
      <c r="C739" s="2">
        <v>991500</v>
      </c>
      <c r="D739" s="2">
        <v>2957291</v>
      </c>
      <c r="E739" s="2">
        <v>37.85</v>
      </c>
      <c r="F739" s="2">
        <v>437802</v>
      </c>
    </row>
    <row r="740" spans="1:6">
      <c r="A740" s="3" t="s">
        <v>3519</v>
      </c>
      <c r="B740" s="2">
        <v>15</v>
      </c>
      <c r="C740" s="2">
        <v>1037594</v>
      </c>
      <c r="D740" s="2">
        <v>2958454</v>
      </c>
      <c r="E740" s="2">
        <v>37.85</v>
      </c>
      <c r="F740" s="2">
        <v>489610</v>
      </c>
    </row>
    <row r="741" spans="1:6">
      <c r="A741" s="3" t="s">
        <v>3520</v>
      </c>
      <c r="B741" s="2">
        <v>24</v>
      </c>
      <c r="C741" s="2">
        <v>478709</v>
      </c>
      <c r="D741" s="2">
        <v>2958659</v>
      </c>
      <c r="E741" s="2">
        <v>37.85</v>
      </c>
      <c r="F741" s="2">
        <v>359316</v>
      </c>
    </row>
    <row r="742" spans="1:6">
      <c r="A742" s="3" t="s">
        <v>3521</v>
      </c>
      <c r="B742" s="2">
        <v>27</v>
      </c>
      <c r="C742" s="2">
        <v>421458</v>
      </c>
      <c r="D742" s="2">
        <v>2958871</v>
      </c>
      <c r="E742" s="2">
        <v>37.85</v>
      </c>
      <c r="F742" s="2">
        <v>239928</v>
      </c>
    </row>
    <row r="743" spans="1:6">
      <c r="A743" s="3" t="s">
        <v>3522</v>
      </c>
      <c r="B743" s="2">
        <v>13</v>
      </c>
      <c r="C743" s="2">
        <v>701110</v>
      </c>
      <c r="D743" s="2">
        <v>2958945</v>
      </c>
      <c r="E743" s="2">
        <v>37.85</v>
      </c>
      <c r="F743" s="2">
        <v>581021</v>
      </c>
    </row>
    <row r="744" spans="1:6">
      <c r="A744" s="3" t="s">
        <v>3523</v>
      </c>
      <c r="B744" s="2">
        <v>29</v>
      </c>
      <c r="C744" s="2">
        <v>417120</v>
      </c>
      <c r="D744" s="2">
        <v>2958989</v>
      </c>
      <c r="E744" s="2">
        <v>37.85</v>
      </c>
      <c r="F744" s="2">
        <v>186131</v>
      </c>
    </row>
    <row r="745" spans="1:6">
      <c r="A745" s="3" t="s">
        <v>3524</v>
      </c>
      <c r="B745" s="2">
        <v>26</v>
      </c>
      <c r="C745" s="2">
        <v>426551</v>
      </c>
      <c r="D745" s="2">
        <v>2959366</v>
      </c>
      <c r="E745" s="2">
        <v>37.85</v>
      </c>
      <c r="F745" s="2">
        <v>254482</v>
      </c>
    </row>
    <row r="746" spans="1:6">
      <c r="A746" s="3" t="s">
        <v>3525</v>
      </c>
      <c r="B746" s="2">
        <v>27</v>
      </c>
      <c r="C746" s="2">
        <v>605969</v>
      </c>
      <c r="D746" s="2">
        <v>2959415</v>
      </c>
      <c r="E746" s="2">
        <v>37.85</v>
      </c>
      <c r="F746" s="2">
        <v>524749</v>
      </c>
    </row>
    <row r="747" spans="1:6">
      <c r="A747" s="3" t="s">
        <v>3526</v>
      </c>
      <c r="B747" s="2">
        <v>37</v>
      </c>
      <c r="C747" s="2">
        <v>544815</v>
      </c>
      <c r="D747" s="2">
        <v>2960861</v>
      </c>
      <c r="E747" s="2">
        <v>37.85</v>
      </c>
      <c r="F747" s="2">
        <v>201516</v>
      </c>
    </row>
    <row r="748" spans="1:6">
      <c r="A748" s="3" t="s">
        <v>3527</v>
      </c>
      <c r="B748" s="2">
        <v>25</v>
      </c>
      <c r="C748" s="2">
        <v>380572</v>
      </c>
      <c r="D748" s="2">
        <v>2960900</v>
      </c>
      <c r="E748" s="2">
        <v>37.85</v>
      </c>
      <c r="F748" s="2">
        <v>260477</v>
      </c>
    </row>
    <row r="749" spans="1:6">
      <c r="A749" s="3" t="s">
        <v>3528</v>
      </c>
      <c r="B749" s="2">
        <v>18</v>
      </c>
      <c r="C749" s="2">
        <v>630056</v>
      </c>
      <c r="D749" s="2">
        <v>2961479</v>
      </c>
      <c r="E749" s="2">
        <v>37.85</v>
      </c>
      <c r="F749" s="2">
        <v>544759</v>
      </c>
    </row>
    <row r="750" spans="1:6">
      <c r="A750" s="3" t="s">
        <v>3529</v>
      </c>
      <c r="B750" s="2">
        <v>24</v>
      </c>
      <c r="C750" s="2">
        <v>313800</v>
      </c>
      <c r="D750" s="2">
        <v>2963138</v>
      </c>
      <c r="E750" s="2">
        <v>37.85</v>
      </c>
      <c r="F750" s="2">
        <v>204333</v>
      </c>
    </row>
    <row r="751" spans="1:6">
      <c r="A751" s="3" t="s">
        <v>3530</v>
      </c>
      <c r="B751" s="2">
        <v>27</v>
      </c>
      <c r="C751" s="2">
        <v>425554</v>
      </c>
      <c r="D751" s="2">
        <v>2963294</v>
      </c>
      <c r="E751" s="2">
        <v>37.85</v>
      </c>
      <c r="F751" s="2">
        <v>192199</v>
      </c>
    </row>
    <row r="752" spans="1:6">
      <c r="A752" s="3" t="s">
        <v>3531</v>
      </c>
      <c r="B752" s="2">
        <v>24</v>
      </c>
      <c r="C752" s="2">
        <v>583492</v>
      </c>
      <c r="D752" s="2">
        <v>2964158</v>
      </c>
      <c r="E752" s="2">
        <v>37.85</v>
      </c>
      <c r="F752" s="2">
        <v>225256</v>
      </c>
    </row>
    <row r="753" spans="1:6">
      <c r="A753" s="3" t="s">
        <v>3532</v>
      </c>
      <c r="B753" s="2">
        <v>23</v>
      </c>
      <c r="C753" s="2">
        <v>574390</v>
      </c>
      <c r="D753" s="2">
        <v>2964656</v>
      </c>
      <c r="E753" s="2">
        <v>37.85</v>
      </c>
      <c r="F753" s="2">
        <v>278274</v>
      </c>
    </row>
    <row r="754" spans="1:6">
      <c r="A754" s="3" t="s">
        <v>3533</v>
      </c>
      <c r="B754" s="2">
        <v>12</v>
      </c>
      <c r="C754" s="2">
        <v>1495505</v>
      </c>
      <c r="D754" s="2">
        <v>2965378</v>
      </c>
      <c r="E754" s="2">
        <v>37.85</v>
      </c>
      <c r="F754" s="2">
        <v>1495505</v>
      </c>
    </row>
    <row r="755" spans="1:6">
      <c r="A755" s="3" t="s">
        <v>3534</v>
      </c>
      <c r="B755" s="2">
        <v>31</v>
      </c>
      <c r="C755" s="2">
        <v>583755</v>
      </c>
      <c r="D755" s="2">
        <v>2966178</v>
      </c>
      <c r="E755" s="2">
        <v>37.85</v>
      </c>
      <c r="F755" s="2">
        <v>253646</v>
      </c>
    </row>
    <row r="756" spans="1:6">
      <c r="A756" s="3" t="s">
        <v>3535</v>
      </c>
      <c r="B756" s="2">
        <v>24</v>
      </c>
      <c r="C756" s="2">
        <v>546620</v>
      </c>
      <c r="D756" s="2">
        <v>2966822</v>
      </c>
      <c r="E756" s="2">
        <v>37.85</v>
      </c>
      <c r="F756" s="2">
        <v>254814</v>
      </c>
    </row>
    <row r="757" spans="1:6">
      <c r="A757" s="3" t="s">
        <v>3536</v>
      </c>
      <c r="B757" s="2">
        <v>34</v>
      </c>
      <c r="C757" s="2">
        <v>411965</v>
      </c>
      <c r="D757" s="2">
        <v>2967593</v>
      </c>
      <c r="E757" s="2">
        <v>37.85</v>
      </c>
      <c r="F757" s="2">
        <v>242995</v>
      </c>
    </row>
    <row r="758" spans="1:6">
      <c r="A758" s="3" t="s">
        <v>3537</v>
      </c>
      <c r="B758" s="2">
        <v>20</v>
      </c>
      <c r="C758" s="2">
        <v>941197</v>
      </c>
      <c r="D758" s="2">
        <v>2974190</v>
      </c>
      <c r="E758" s="2">
        <v>37.85</v>
      </c>
      <c r="F758" s="2">
        <v>342907</v>
      </c>
    </row>
    <row r="759" spans="1:6">
      <c r="A759" s="3" t="s">
        <v>3538</v>
      </c>
      <c r="B759" s="2">
        <v>26</v>
      </c>
      <c r="C759" s="2">
        <v>1001990</v>
      </c>
      <c r="D759" s="2">
        <v>2976378</v>
      </c>
      <c r="E759" s="2">
        <v>37.85</v>
      </c>
      <c r="F759" s="2">
        <v>509959</v>
      </c>
    </row>
    <row r="760" spans="1:6">
      <c r="A760" s="3" t="s">
        <v>3539</v>
      </c>
      <c r="B760" s="2">
        <v>29</v>
      </c>
      <c r="C760" s="2">
        <v>474180</v>
      </c>
      <c r="D760" s="2">
        <v>2977818</v>
      </c>
      <c r="E760" s="2">
        <v>37.85</v>
      </c>
      <c r="F760" s="2">
        <v>180875</v>
      </c>
    </row>
    <row r="761" spans="1:6">
      <c r="A761" s="3" t="s">
        <v>3540</v>
      </c>
      <c r="B761" s="2">
        <v>27</v>
      </c>
      <c r="C761" s="2">
        <v>735215</v>
      </c>
      <c r="D761" s="2">
        <v>2978614</v>
      </c>
      <c r="E761" s="2">
        <v>37.85</v>
      </c>
      <c r="F761" s="2">
        <v>345338</v>
      </c>
    </row>
    <row r="762" spans="1:6">
      <c r="A762" s="3" t="s">
        <v>3541</v>
      </c>
      <c r="B762" s="2">
        <v>32</v>
      </c>
      <c r="C762" s="2">
        <v>493152</v>
      </c>
      <c r="D762" s="2">
        <v>2978808</v>
      </c>
      <c r="E762" s="2">
        <v>37.85</v>
      </c>
      <c r="F762" s="2">
        <v>359931</v>
      </c>
    </row>
    <row r="763" spans="1:6">
      <c r="A763" s="3" t="s">
        <v>3542</v>
      </c>
      <c r="B763" s="2">
        <v>11</v>
      </c>
      <c r="C763" s="2">
        <v>1042319</v>
      </c>
      <c r="D763" s="2">
        <v>2981231</v>
      </c>
      <c r="E763" s="2">
        <v>37.85</v>
      </c>
      <c r="F763" s="2">
        <v>553859</v>
      </c>
    </row>
    <row r="764" spans="1:6">
      <c r="A764" s="3" t="s">
        <v>3543</v>
      </c>
      <c r="B764" s="2">
        <v>34</v>
      </c>
      <c r="C764" s="2">
        <v>494939</v>
      </c>
      <c r="D764" s="2">
        <v>2981390</v>
      </c>
      <c r="E764" s="2">
        <v>37.85</v>
      </c>
      <c r="F764" s="2">
        <v>295636</v>
      </c>
    </row>
    <row r="765" spans="1:6">
      <c r="A765" s="3" t="s">
        <v>3544</v>
      </c>
      <c r="B765" s="2">
        <v>22</v>
      </c>
      <c r="C765" s="2">
        <v>654941</v>
      </c>
      <c r="D765" s="2">
        <v>2981705</v>
      </c>
      <c r="E765" s="2">
        <v>37.85</v>
      </c>
      <c r="F765" s="2">
        <v>311933</v>
      </c>
    </row>
    <row r="766" spans="1:6">
      <c r="A766" s="3" t="s">
        <v>3545</v>
      </c>
      <c r="B766" s="2">
        <v>12</v>
      </c>
      <c r="C766" s="2">
        <v>1360227</v>
      </c>
      <c r="D766" s="2">
        <v>2983168</v>
      </c>
      <c r="E766" s="2">
        <v>37.85</v>
      </c>
      <c r="F766" s="2">
        <v>539644</v>
      </c>
    </row>
    <row r="767" spans="1:6">
      <c r="A767" s="3" t="s">
        <v>3546</v>
      </c>
      <c r="B767" s="2">
        <v>13</v>
      </c>
      <c r="C767" s="2">
        <v>1232131</v>
      </c>
      <c r="D767" s="2">
        <v>2983419</v>
      </c>
      <c r="E767" s="2">
        <v>37.85</v>
      </c>
      <c r="F767" s="2">
        <v>539648</v>
      </c>
    </row>
    <row r="768" spans="1:6">
      <c r="A768" s="3" t="s">
        <v>3547</v>
      </c>
      <c r="B768" s="2">
        <v>17</v>
      </c>
      <c r="C768" s="2">
        <v>675986</v>
      </c>
      <c r="D768" s="2">
        <v>2983905</v>
      </c>
      <c r="E768" s="2">
        <v>37.85</v>
      </c>
      <c r="F768" s="2">
        <v>310559</v>
      </c>
    </row>
    <row r="769" spans="1:6">
      <c r="A769" s="3" t="s">
        <v>3548</v>
      </c>
      <c r="B769" s="2">
        <v>12</v>
      </c>
      <c r="C769" s="2">
        <v>1360667</v>
      </c>
      <c r="D769" s="2">
        <v>2984016</v>
      </c>
      <c r="E769" s="2">
        <v>37.85</v>
      </c>
      <c r="F769" s="2">
        <v>539656</v>
      </c>
    </row>
    <row r="770" spans="1:6">
      <c r="A770" s="3" t="s">
        <v>3549</v>
      </c>
      <c r="B770" s="2">
        <v>12</v>
      </c>
      <c r="C770" s="2">
        <v>1360667</v>
      </c>
      <c r="D770" s="2">
        <v>2984021</v>
      </c>
      <c r="E770" s="2">
        <v>37.85</v>
      </c>
      <c r="F770" s="2">
        <v>539740</v>
      </c>
    </row>
    <row r="771" spans="1:6">
      <c r="A771" s="3" t="s">
        <v>3550</v>
      </c>
      <c r="B771" s="2">
        <v>12</v>
      </c>
      <c r="C771" s="2">
        <v>1360667</v>
      </c>
      <c r="D771" s="2">
        <v>2984047</v>
      </c>
      <c r="E771" s="2">
        <v>37.85</v>
      </c>
      <c r="F771" s="2">
        <v>539689</v>
      </c>
    </row>
    <row r="772" spans="1:6">
      <c r="A772" s="3" t="s">
        <v>3551</v>
      </c>
      <c r="B772" s="2">
        <v>13</v>
      </c>
      <c r="C772" s="2">
        <v>1360668</v>
      </c>
      <c r="D772" s="2">
        <v>2984286</v>
      </c>
      <c r="E772" s="2">
        <v>37.85</v>
      </c>
      <c r="F772" s="2">
        <v>539677</v>
      </c>
    </row>
    <row r="773" spans="1:6">
      <c r="A773" s="3" t="s">
        <v>3552</v>
      </c>
      <c r="B773" s="2">
        <v>12</v>
      </c>
      <c r="C773" s="2">
        <v>1360588</v>
      </c>
      <c r="D773" s="2">
        <v>2984380</v>
      </c>
      <c r="E773" s="2">
        <v>37.85</v>
      </c>
      <c r="F773" s="2">
        <v>539778</v>
      </c>
    </row>
    <row r="774" spans="1:6">
      <c r="A774" s="3" t="s">
        <v>3553</v>
      </c>
      <c r="B774" s="2">
        <v>12</v>
      </c>
      <c r="C774" s="2">
        <v>1360588</v>
      </c>
      <c r="D774" s="2">
        <v>2984684</v>
      </c>
      <c r="E774" s="2">
        <v>37.85</v>
      </c>
      <c r="F774" s="2">
        <v>539736</v>
      </c>
    </row>
    <row r="775" spans="1:6">
      <c r="A775" s="3" t="s">
        <v>3554</v>
      </c>
      <c r="B775" s="2">
        <v>22</v>
      </c>
      <c r="C775" s="2">
        <v>346424</v>
      </c>
      <c r="D775" s="2">
        <v>2994933</v>
      </c>
      <c r="E775" s="2">
        <v>37.85</v>
      </c>
      <c r="F775" s="2">
        <v>225385</v>
      </c>
    </row>
    <row r="776" spans="1:6">
      <c r="A776" s="3" t="s">
        <v>3555</v>
      </c>
      <c r="B776" s="2">
        <v>19</v>
      </c>
      <c r="C776" s="2">
        <v>763279</v>
      </c>
      <c r="D776" s="2">
        <v>2995768</v>
      </c>
      <c r="E776" s="2">
        <v>37.85</v>
      </c>
      <c r="F776" s="2">
        <v>406931</v>
      </c>
    </row>
    <row r="777" spans="1:6">
      <c r="A777" s="3" t="s">
        <v>3556</v>
      </c>
      <c r="B777" s="2">
        <v>19</v>
      </c>
      <c r="C777" s="2">
        <v>609995</v>
      </c>
      <c r="D777" s="2">
        <v>2995925</v>
      </c>
      <c r="E777" s="2">
        <v>37.85</v>
      </c>
      <c r="F777" s="2">
        <v>481251</v>
      </c>
    </row>
    <row r="778" spans="1:6">
      <c r="A778" s="3" t="s">
        <v>3557</v>
      </c>
      <c r="B778" s="2">
        <v>25</v>
      </c>
      <c r="C778" s="2">
        <v>435996</v>
      </c>
      <c r="D778" s="2">
        <v>2997680</v>
      </c>
      <c r="E778" s="2">
        <v>37.85</v>
      </c>
      <c r="F778" s="2">
        <v>372838</v>
      </c>
    </row>
    <row r="779" spans="1:6">
      <c r="A779" s="3" t="s">
        <v>3558</v>
      </c>
      <c r="B779" s="2">
        <v>15</v>
      </c>
      <c r="C779" s="2">
        <v>1267175</v>
      </c>
      <c r="D779" s="2">
        <v>3001353</v>
      </c>
      <c r="E779" s="2">
        <v>37.85</v>
      </c>
      <c r="F779" s="2">
        <v>362590</v>
      </c>
    </row>
    <row r="780" spans="1:6">
      <c r="A780" s="3" t="s">
        <v>3559</v>
      </c>
      <c r="B780" s="2">
        <v>13</v>
      </c>
      <c r="C780" s="2">
        <v>1447628</v>
      </c>
      <c r="D780" s="2">
        <v>3009436</v>
      </c>
      <c r="E780" s="2">
        <v>37.85</v>
      </c>
      <c r="F780" s="2">
        <v>439917</v>
      </c>
    </row>
    <row r="781" spans="1:6">
      <c r="A781" s="3" t="s">
        <v>3560</v>
      </c>
      <c r="B781" s="2">
        <v>11</v>
      </c>
      <c r="C781" s="2">
        <v>1393592</v>
      </c>
      <c r="D781" s="2">
        <v>3013571</v>
      </c>
      <c r="E781" s="2">
        <v>37.85</v>
      </c>
      <c r="F781" s="2">
        <v>518357</v>
      </c>
    </row>
    <row r="782" spans="1:6">
      <c r="A782" s="3" t="s">
        <v>3561</v>
      </c>
      <c r="B782" s="2">
        <v>11</v>
      </c>
      <c r="C782" s="2">
        <v>1547107</v>
      </c>
      <c r="D782" s="2">
        <v>3013581</v>
      </c>
      <c r="E782" s="2">
        <v>37.85</v>
      </c>
      <c r="F782" s="2">
        <v>1547107</v>
      </c>
    </row>
    <row r="783" spans="1:6">
      <c r="A783" s="3" t="s">
        <v>3562</v>
      </c>
      <c r="B783" s="2">
        <v>57</v>
      </c>
      <c r="C783" s="2">
        <v>205627</v>
      </c>
      <c r="D783" s="2">
        <v>3014864</v>
      </c>
      <c r="E783" s="2">
        <v>37.85</v>
      </c>
      <c r="F783" s="2">
        <v>113087</v>
      </c>
    </row>
    <row r="784" spans="1:6">
      <c r="A784" s="3" t="s">
        <v>3563</v>
      </c>
      <c r="B784" s="2">
        <v>23</v>
      </c>
      <c r="C784" s="2">
        <v>508247</v>
      </c>
      <c r="D784" s="2">
        <v>3015208</v>
      </c>
      <c r="E784" s="2">
        <v>37.85</v>
      </c>
      <c r="F784" s="2">
        <v>334702</v>
      </c>
    </row>
    <row r="785" spans="1:6">
      <c r="A785" s="3" t="s">
        <v>3564</v>
      </c>
      <c r="B785" s="2">
        <v>24</v>
      </c>
      <c r="C785" s="2">
        <v>1222806</v>
      </c>
      <c r="D785" s="2">
        <v>3020721</v>
      </c>
      <c r="E785" s="2">
        <v>37.85</v>
      </c>
      <c r="F785" s="2">
        <v>539378</v>
      </c>
    </row>
    <row r="786" spans="1:6">
      <c r="A786" s="3" t="s">
        <v>3565</v>
      </c>
      <c r="B786" s="2">
        <v>41</v>
      </c>
      <c r="C786" s="2">
        <v>522406</v>
      </c>
      <c r="D786" s="2">
        <v>3020883</v>
      </c>
      <c r="E786" s="2">
        <v>37.85</v>
      </c>
      <c r="F786" s="2">
        <v>432629</v>
      </c>
    </row>
    <row r="787" spans="1:6">
      <c r="A787" s="3" t="s">
        <v>3566</v>
      </c>
      <c r="B787" s="2">
        <v>23</v>
      </c>
      <c r="C787" s="2">
        <v>779097</v>
      </c>
      <c r="D787" s="2">
        <v>3027451</v>
      </c>
      <c r="E787" s="2">
        <v>37.85</v>
      </c>
      <c r="F787" s="2">
        <v>482995</v>
      </c>
    </row>
    <row r="788" spans="1:6">
      <c r="A788" s="3" t="s">
        <v>3567</v>
      </c>
      <c r="B788" s="2">
        <v>22</v>
      </c>
      <c r="C788" s="2">
        <v>933987</v>
      </c>
      <c r="D788" s="2">
        <v>3031794</v>
      </c>
      <c r="E788" s="2">
        <v>37.85</v>
      </c>
      <c r="F788" s="2">
        <v>593693</v>
      </c>
    </row>
    <row r="789" spans="1:6">
      <c r="A789" s="3" t="s">
        <v>3568</v>
      </c>
      <c r="B789" s="2">
        <v>23</v>
      </c>
      <c r="C789" s="2">
        <v>627570</v>
      </c>
      <c r="D789" s="2">
        <v>3035359</v>
      </c>
      <c r="E789" s="2">
        <v>37.85</v>
      </c>
      <c r="F789" s="2">
        <v>456174</v>
      </c>
    </row>
    <row r="790" spans="1:6">
      <c r="A790" s="3" t="s">
        <v>3569</v>
      </c>
      <c r="B790" s="2">
        <v>220</v>
      </c>
      <c r="C790" s="2">
        <v>78559</v>
      </c>
      <c r="D790" s="2">
        <v>3038960</v>
      </c>
      <c r="E790" s="2">
        <v>37.85</v>
      </c>
      <c r="F790" s="2">
        <v>27316</v>
      </c>
    </row>
    <row r="791" spans="1:6">
      <c r="A791" s="3" t="s">
        <v>3570</v>
      </c>
      <c r="B791" s="2">
        <v>85</v>
      </c>
      <c r="C791" s="2">
        <v>268836</v>
      </c>
      <c r="D791" s="2">
        <v>3043077</v>
      </c>
      <c r="E791" s="2">
        <v>37.85</v>
      </c>
      <c r="F791" s="2">
        <v>74448</v>
      </c>
    </row>
    <row r="792" spans="1:6">
      <c r="A792" s="3" t="s">
        <v>3571</v>
      </c>
      <c r="B792" s="2">
        <v>31</v>
      </c>
      <c r="C792" s="2">
        <v>487740</v>
      </c>
      <c r="D792" s="2">
        <v>3045087</v>
      </c>
      <c r="E792" s="2">
        <v>37.85</v>
      </c>
      <c r="F792" s="2">
        <v>344066</v>
      </c>
    </row>
    <row r="793" spans="1:6">
      <c r="A793" s="3" t="s">
        <v>3572</v>
      </c>
      <c r="B793" s="2">
        <v>22</v>
      </c>
      <c r="C793" s="2">
        <v>700636</v>
      </c>
      <c r="D793" s="2">
        <v>3047105</v>
      </c>
      <c r="E793" s="2">
        <v>37.85</v>
      </c>
      <c r="F793" s="2">
        <v>580023</v>
      </c>
    </row>
    <row r="794" spans="1:6">
      <c r="A794" s="3" t="s">
        <v>3573</v>
      </c>
      <c r="B794" s="2">
        <v>30</v>
      </c>
      <c r="C794" s="2">
        <v>436048</v>
      </c>
      <c r="D794" s="2">
        <v>3047833</v>
      </c>
      <c r="E794" s="2">
        <v>37.85</v>
      </c>
      <c r="F794" s="2">
        <v>309705</v>
      </c>
    </row>
    <row r="795" spans="1:6">
      <c r="A795" s="3" t="s">
        <v>3574</v>
      </c>
      <c r="B795" s="2">
        <v>36</v>
      </c>
      <c r="C795" s="2">
        <v>1222095</v>
      </c>
      <c r="D795" s="2">
        <v>3076050</v>
      </c>
      <c r="E795" s="2">
        <v>37.85</v>
      </c>
      <c r="F795" s="2">
        <v>540363</v>
      </c>
    </row>
    <row r="796" spans="1:6">
      <c r="A796" s="3" t="s">
        <v>3575</v>
      </c>
      <c r="B796" s="2">
        <v>92</v>
      </c>
      <c r="C796" s="2">
        <v>212654</v>
      </c>
      <c r="D796" s="2">
        <v>3076474</v>
      </c>
      <c r="E796" s="2">
        <v>37.85</v>
      </c>
      <c r="F796" s="2">
        <v>63064</v>
      </c>
    </row>
    <row r="797" spans="1:6">
      <c r="A797" s="3" t="s">
        <v>3576</v>
      </c>
      <c r="B797" s="2">
        <v>30</v>
      </c>
      <c r="C797" s="2">
        <v>605355</v>
      </c>
      <c r="D797" s="2">
        <v>3095430</v>
      </c>
      <c r="E797" s="2">
        <v>37.85</v>
      </c>
      <c r="F797" s="2">
        <v>477535</v>
      </c>
    </row>
    <row r="798" spans="1:6">
      <c r="A798" s="3" t="s">
        <v>3577</v>
      </c>
      <c r="B798" s="2">
        <v>11</v>
      </c>
      <c r="C798" s="2">
        <v>932958</v>
      </c>
      <c r="D798" s="2">
        <v>3101160</v>
      </c>
      <c r="E798" s="2">
        <v>37.85</v>
      </c>
      <c r="F798" s="2">
        <v>524776</v>
      </c>
    </row>
    <row r="799" spans="1:6">
      <c r="A799" s="3" t="s">
        <v>3578</v>
      </c>
      <c r="B799" s="2">
        <v>24</v>
      </c>
      <c r="C799" s="2">
        <v>743812</v>
      </c>
      <c r="D799" s="2">
        <v>3111408</v>
      </c>
      <c r="E799" s="2">
        <v>37.85</v>
      </c>
      <c r="F799" s="2">
        <v>482446</v>
      </c>
    </row>
    <row r="800" spans="1:6">
      <c r="A800" s="3" t="s">
        <v>3579</v>
      </c>
      <c r="B800" s="2">
        <v>26</v>
      </c>
      <c r="C800" s="2">
        <v>640367</v>
      </c>
      <c r="D800" s="2">
        <v>3112658</v>
      </c>
      <c r="E800" s="2">
        <v>37.85</v>
      </c>
      <c r="F800" s="2">
        <v>481019</v>
      </c>
    </row>
    <row r="801" spans="1:6">
      <c r="A801" s="3" t="s">
        <v>3580</v>
      </c>
      <c r="B801" s="2">
        <v>25</v>
      </c>
      <c r="C801" s="2">
        <v>750132</v>
      </c>
      <c r="D801" s="2">
        <v>3114069</v>
      </c>
      <c r="E801" s="2">
        <v>37.85</v>
      </c>
      <c r="F801" s="2">
        <v>482160</v>
      </c>
    </row>
    <row r="802" spans="1:6">
      <c r="A802" s="3" t="s">
        <v>3581</v>
      </c>
      <c r="B802" s="2">
        <v>18</v>
      </c>
      <c r="C802" s="2">
        <v>910783</v>
      </c>
      <c r="D802" s="2">
        <v>3147877</v>
      </c>
      <c r="E802" s="2">
        <v>37.85</v>
      </c>
      <c r="F802" s="2">
        <v>483277</v>
      </c>
    </row>
    <row r="803" spans="1:6">
      <c r="A803" s="3" t="s">
        <v>3582</v>
      </c>
      <c r="B803" s="2">
        <v>14</v>
      </c>
      <c r="C803" s="2">
        <v>873919</v>
      </c>
      <c r="D803" s="2">
        <v>2864505</v>
      </c>
      <c r="E803" s="2">
        <v>37.86</v>
      </c>
      <c r="F803" s="2">
        <v>586023</v>
      </c>
    </row>
    <row r="804" spans="1:6">
      <c r="A804" s="3" t="s">
        <v>3583</v>
      </c>
      <c r="B804" s="2">
        <v>34</v>
      </c>
      <c r="C804" s="2">
        <v>434805</v>
      </c>
      <c r="D804" s="2">
        <v>2898033</v>
      </c>
      <c r="E804" s="2">
        <v>37.86</v>
      </c>
      <c r="F804" s="2">
        <v>157365</v>
      </c>
    </row>
    <row r="805" spans="1:6">
      <c r="A805" s="3" t="s">
        <v>3584</v>
      </c>
      <c r="B805" s="2">
        <v>19</v>
      </c>
      <c r="C805" s="2">
        <v>512620</v>
      </c>
      <c r="D805" s="2">
        <v>2900276</v>
      </c>
      <c r="E805" s="2">
        <v>37.86</v>
      </c>
      <c r="F805" s="2">
        <v>401096</v>
      </c>
    </row>
    <row r="806" spans="1:6">
      <c r="A806" s="3" t="s">
        <v>3585</v>
      </c>
      <c r="B806" s="2">
        <v>15</v>
      </c>
      <c r="C806" s="2">
        <v>763209</v>
      </c>
      <c r="D806" s="2">
        <v>2906429</v>
      </c>
      <c r="E806" s="2">
        <v>37.86</v>
      </c>
      <c r="F806" s="2">
        <v>443774</v>
      </c>
    </row>
    <row r="807" spans="1:6">
      <c r="A807" s="3" t="s">
        <v>3586</v>
      </c>
      <c r="B807" s="2">
        <v>53</v>
      </c>
      <c r="C807" s="2">
        <v>265729</v>
      </c>
      <c r="D807" s="2">
        <v>2910620</v>
      </c>
      <c r="E807" s="2">
        <v>37.86</v>
      </c>
      <c r="F807" s="2">
        <v>128149</v>
      </c>
    </row>
    <row r="808" spans="1:6">
      <c r="A808" s="3" t="s">
        <v>3587</v>
      </c>
      <c r="B808" s="2">
        <v>24</v>
      </c>
      <c r="C808" s="2">
        <v>507385</v>
      </c>
      <c r="D808" s="2">
        <v>2912662</v>
      </c>
      <c r="E808" s="2">
        <v>37.86</v>
      </c>
      <c r="F808" s="2">
        <v>348487</v>
      </c>
    </row>
    <row r="809" spans="1:6">
      <c r="A809" s="3" t="s">
        <v>3588</v>
      </c>
      <c r="B809" s="2">
        <v>23</v>
      </c>
      <c r="C809" s="2">
        <v>753746</v>
      </c>
      <c r="D809" s="2">
        <v>2912856</v>
      </c>
      <c r="E809" s="2">
        <v>37.86</v>
      </c>
      <c r="F809" s="2">
        <v>357830</v>
      </c>
    </row>
    <row r="810" spans="1:6">
      <c r="A810" s="3" t="s">
        <v>3589</v>
      </c>
      <c r="B810" s="2">
        <v>66</v>
      </c>
      <c r="C810" s="2">
        <v>246199</v>
      </c>
      <c r="D810" s="2">
        <v>2915472</v>
      </c>
      <c r="E810" s="2">
        <v>37.86</v>
      </c>
      <c r="F810" s="2">
        <v>70486</v>
      </c>
    </row>
    <row r="811" spans="1:6">
      <c r="A811" s="3" t="s">
        <v>3590</v>
      </c>
      <c r="B811" s="2">
        <v>13</v>
      </c>
      <c r="C811" s="2">
        <v>1506084</v>
      </c>
      <c r="D811" s="2">
        <v>2919276</v>
      </c>
      <c r="E811" s="2">
        <v>37.86</v>
      </c>
      <c r="F811" s="2">
        <v>1506084</v>
      </c>
    </row>
    <row r="812" spans="1:6">
      <c r="A812" s="3" t="s">
        <v>3591</v>
      </c>
      <c r="B812" s="2">
        <v>14</v>
      </c>
      <c r="C812" s="2">
        <v>1047096</v>
      </c>
      <c r="D812" s="2">
        <v>2921518</v>
      </c>
      <c r="E812" s="2">
        <v>37.86</v>
      </c>
      <c r="F812" s="2">
        <v>300208</v>
      </c>
    </row>
    <row r="813" spans="1:6">
      <c r="A813" s="3" t="s">
        <v>3592</v>
      </c>
      <c r="B813" s="2">
        <v>13</v>
      </c>
      <c r="C813" s="2">
        <v>1528921</v>
      </c>
      <c r="D813" s="2">
        <v>2922198</v>
      </c>
      <c r="E813" s="2">
        <v>37.86</v>
      </c>
      <c r="F813" s="2">
        <v>1528921</v>
      </c>
    </row>
    <row r="814" spans="1:6">
      <c r="A814" s="3" t="s">
        <v>3593</v>
      </c>
      <c r="B814" s="2">
        <v>10</v>
      </c>
      <c r="C814" s="2">
        <v>1536222</v>
      </c>
      <c r="D814" s="2">
        <v>2927130</v>
      </c>
      <c r="E814" s="2">
        <v>37.86</v>
      </c>
      <c r="F814" s="2">
        <v>1536222</v>
      </c>
    </row>
    <row r="815" spans="1:6">
      <c r="A815" s="3" t="s">
        <v>3594</v>
      </c>
      <c r="B815" s="2">
        <v>52</v>
      </c>
      <c r="C815" s="2">
        <v>325290</v>
      </c>
      <c r="D815" s="2">
        <v>2928184</v>
      </c>
      <c r="E815" s="2">
        <v>37.86</v>
      </c>
      <c r="F815" s="2">
        <v>100746</v>
      </c>
    </row>
    <row r="816" spans="1:6">
      <c r="A816" s="3" t="s">
        <v>3595</v>
      </c>
      <c r="B816" s="2">
        <v>15</v>
      </c>
      <c r="C816" s="2">
        <v>1018150</v>
      </c>
      <c r="D816" s="2">
        <v>2929727</v>
      </c>
      <c r="E816" s="2">
        <v>37.86</v>
      </c>
      <c r="F816" s="2">
        <v>479513</v>
      </c>
    </row>
    <row r="817" spans="1:6">
      <c r="A817" s="3" t="s">
        <v>3596</v>
      </c>
      <c r="B817" s="2">
        <v>13</v>
      </c>
      <c r="C817" s="2">
        <v>1497805</v>
      </c>
      <c r="D817" s="2">
        <v>2929959</v>
      </c>
      <c r="E817" s="2">
        <v>37.86</v>
      </c>
      <c r="F817" s="2">
        <v>1497805</v>
      </c>
    </row>
    <row r="818" spans="1:6">
      <c r="A818" s="3" t="s">
        <v>3597</v>
      </c>
      <c r="B818" s="2">
        <v>13</v>
      </c>
      <c r="C818" s="2">
        <v>1497805</v>
      </c>
      <c r="D818" s="2">
        <v>2929959</v>
      </c>
      <c r="E818" s="2">
        <v>37.86</v>
      </c>
      <c r="F818" s="2">
        <v>1497805</v>
      </c>
    </row>
    <row r="819" spans="1:6">
      <c r="A819" s="3" t="s">
        <v>3598</v>
      </c>
      <c r="B819" s="2">
        <v>22</v>
      </c>
      <c r="C819" s="2">
        <v>933295</v>
      </c>
      <c r="D819" s="2">
        <v>2930427</v>
      </c>
      <c r="E819" s="2">
        <v>37.86</v>
      </c>
      <c r="F819" s="2">
        <v>295440</v>
      </c>
    </row>
    <row r="820" spans="1:6">
      <c r="A820" s="3" t="s">
        <v>3599</v>
      </c>
      <c r="B820" s="2">
        <v>14</v>
      </c>
      <c r="C820" s="2">
        <v>1018362</v>
      </c>
      <c r="D820" s="2">
        <v>2931477</v>
      </c>
      <c r="E820" s="2">
        <v>37.86</v>
      </c>
      <c r="F820" s="2">
        <v>580064</v>
      </c>
    </row>
    <row r="821" spans="1:6">
      <c r="A821" s="3" t="s">
        <v>3600</v>
      </c>
      <c r="B821" s="2">
        <v>19</v>
      </c>
      <c r="C821" s="2">
        <v>786486</v>
      </c>
      <c r="D821" s="2">
        <v>2931824</v>
      </c>
      <c r="E821" s="2">
        <v>37.86</v>
      </c>
      <c r="F821" s="2">
        <v>435097</v>
      </c>
    </row>
    <row r="822" spans="1:6">
      <c r="A822" s="3" t="s">
        <v>3601</v>
      </c>
      <c r="B822" s="2">
        <v>13</v>
      </c>
      <c r="C822" s="2">
        <v>1497641</v>
      </c>
      <c r="D822" s="2">
        <v>2932912</v>
      </c>
      <c r="E822" s="2">
        <v>37.86</v>
      </c>
      <c r="F822" s="2">
        <v>1497641</v>
      </c>
    </row>
    <row r="823" spans="1:6">
      <c r="A823" s="3" t="s">
        <v>3602</v>
      </c>
      <c r="B823" s="2">
        <v>20</v>
      </c>
      <c r="C823" s="2">
        <v>993143</v>
      </c>
      <c r="D823" s="2">
        <v>2933638</v>
      </c>
      <c r="E823" s="2">
        <v>37.86</v>
      </c>
      <c r="F823" s="2">
        <v>517949</v>
      </c>
    </row>
    <row r="824" spans="1:6">
      <c r="A824" s="3" t="s">
        <v>3603</v>
      </c>
      <c r="B824" s="2">
        <v>36</v>
      </c>
      <c r="C824" s="2">
        <v>435572</v>
      </c>
      <c r="D824" s="2">
        <v>2936757</v>
      </c>
      <c r="E824" s="2">
        <v>37.86</v>
      </c>
      <c r="F824" s="2">
        <v>212627</v>
      </c>
    </row>
    <row r="825" spans="1:6">
      <c r="A825" s="3" t="s">
        <v>3604</v>
      </c>
      <c r="B825" s="2">
        <v>24</v>
      </c>
      <c r="C825" s="2">
        <v>936717</v>
      </c>
      <c r="D825" s="2">
        <v>2936966</v>
      </c>
      <c r="E825" s="2">
        <v>37.86</v>
      </c>
      <c r="F825" s="2">
        <v>303020</v>
      </c>
    </row>
    <row r="826" spans="1:6">
      <c r="A826" s="3" t="s">
        <v>3605</v>
      </c>
      <c r="B826" s="2">
        <v>13</v>
      </c>
      <c r="C826" s="2">
        <v>1293022</v>
      </c>
      <c r="D826" s="2">
        <v>2937942</v>
      </c>
      <c r="E826" s="2">
        <v>37.86</v>
      </c>
      <c r="F826" s="2">
        <v>584723</v>
      </c>
    </row>
    <row r="827" spans="1:6">
      <c r="A827" s="3" t="s">
        <v>3606</v>
      </c>
      <c r="B827" s="2">
        <v>108</v>
      </c>
      <c r="C827" s="2">
        <v>342008</v>
      </c>
      <c r="D827" s="2">
        <v>2939802</v>
      </c>
      <c r="E827" s="2">
        <v>37.86</v>
      </c>
      <c r="F827" s="2">
        <v>60531</v>
      </c>
    </row>
    <row r="828" spans="1:6">
      <c r="A828" s="3" t="s">
        <v>3607</v>
      </c>
      <c r="B828" s="2">
        <v>44</v>
      </c>
      <c r="C828" s="2">
        <v>421677</v>
      </c>
      <c r="D828" s="2">
        <v>2943465</v>
      </c>
      <c r="E828" s="2">
        <v>37.86</v>
      </c>
      <c r="F828" s="2">
        <v>153714</v>
      </c>
    </row>
    <row r="829" spans="1:6">
      <c r="A829" s="3" t="s">
        <v>3608</v>
      </c>
      <c r="B829" s="2">
        <v>19</v>
      </c>
      <c r="C829" s="2">
        <v>605099</v>
      </c>
      <c r="D829" s="2">
        <v>2947191</v>
      </c>
      <c r="E829" s="2">
        <v>37.86</v>
      </c>
      <c r="F829" s="2">
        <v>477367</v>
      </c>
    </row>
    <row r="830" spans="1:6">
      <c r="A830" s="3" t="s">
        <v>3609</v>
      </c>
      <c r="B830" s="2">
        <v>15</v>
      </c>
      <c r="C830" s="2">
        <v>1003297</v>
      </c>
      <c r="D830" s="2">
        <v>2947785</v>
      </c>
      <c r="E830" s="2">
        <v>37.86</v>
      </c>
      <c r="F830" s="2">
        <v>508935</v>
      </c>
    </row>
    <row r="831" spans="1:6">
      <c r="A831" s="3" t="s">
        <v>3610</v>
      </c>
      <c r="B831" s="2">
        <v>7</v>
      </c>
      <c r="C831" s="2">
        <v>1507834</v>
      </c>
      <c r="D831" s="2">
        <v>2951152</v>
      </c>
      <c r="E831" s="2">
        <v>37.86</v>
      </c>
      <c r="F831" s="2">
        <v>1507834</v>
      </c>
    </row>
    <row r="832" spans="1:6">
      <c r="A832" s="3" t="s">
        <v>3611</v>
      </c>
      <c r="B832" s="2">
        <v>30</v>
      </c>
      <c r="C832" s="2">
        <v>498227</v>
      </c>
      <c r="D832" s="2">
        <v>2951419</v>
      </c>
      <c r="E832" s="2">
        <v>37.86</v>
      </c>
      <c r="F832" s="2">
        <v>236119</v>
      </c>
    </row>
    <row r="833" spans="1:6">
      <c r="A833" s="3" t="s">
        <v>3612</v>
      </c>
      <c r="B833" s="2">
        <v>26</v>
      </c>
      <c r="C833" s="2">
        <v>627061</v>
      </c>
      <c r="D833" s="2">
        <v>2951517</v>
      </c>
      <c r="E833" s="2">
        <v>37.86</v>
      </c>
      <c r="F833" s="2">
        <v>289614</v>
      </c>
    </row>
    <row r="834" spans="1:6">
      <c r="A834" s="3" t="s">
        <v>3613</v>
      </c>
      <c r="B834" s="2">
        <v>31</v>
      </c>
      <c r="C834" s="2">
        <v>464914</v>
      </c>
      <c r="D834" s="2">
        <v>2951771</v>
      </c>
      <c r="E834" s="2">
        <v>37.86</v>
      </c>
      <c r="F834" s="2">
        <v>147793</v>
      </c>
    </row>
    <row r="835" spans="1:6">
      <c r="A835" s="3" t="s">
        <v>3614</v>
      </c>
      <c r="B835" s="2">
        <v>24</v>
      </c>
      <c r="C835" s="2">
        <v>511491</v>
      </c>
      <c r="D835" s="2">
        <v>2952597</v>
      </c>
      <c r="E835" s="2">
        <v>37.86</v>
      </c>
      <c r="F835" s="2">
        <v>237751</v>
      </c>
    </row>
    <row r="836" spans="1:6">
      <c r="A836" s="3" t="s">
        <v>3615</v>
      </c>
      <c r="B836" s="2">
        <v>26</v>
      </c>
      <c r="C836" s="2">
        <v>581946</v>
      </c>
      <c r="D836" s="2">
        <v>2952983</v>
      </c>
      <c r="E836" s="2">
        <v>37.86</v>
      </c>
      <c r="F836" s="2">
        <v>437443</v>
      </c>
    </row>
    <row r="837" spans="1:6">
      <c r="A837" s="3" t="s">
        <v>3616</v>
      </c>
      <c r="B837" s="2">
        <v>35</v>
      </c>
      <c r="C837" s="2">
        <v>238125</v>
      </c>
      <c r="D837" s="2">
        <v>2954798</v>
      </c>
      <c r="E837" s="2">
        <v>37.86</v>
      </c>
      <c r="F837" s="2">
        <v>180652</v>
      </c>
    </row>
    <row r="838" spans="1:6">
      <c r="A838" s="3" t="s">
        <v>3617</v>
      </c>
      <c r="B838" s="2">
        <v>16</v>
      </c>
      <c r="C838" s="2">
        <v>1056063</v>
      </c>
      <c r="D838" s="2">
        <v>2956114</v>
      </c>
      <c r="E838" s="2">
        <v>37.86</v>
      </c>
      <c r="F838" s="2">
        <v>596722</v>
      </c>
    </row>
    <row r="839" spans="1:6">
      <c r="A839" s="3" t="s">
        <v>3618</v>
      </c>
      <c r="B839" s="2">
        <v>34</v>
      </c>
      <c r="C839" s="2">
        <v>400257</v>
      </c>
      <c r="D839" s="2">
        <v>2956400</v>
      </c>
      <c r="E839" s="2">
        <v>37.86</v>
      </c>
      <c r="F839" s="2">
        <v>207888</v>
      </c>
    </row>
    <row r="840" spans="1:6">
      <c r="A840" s="3" t="s">
        <v>3619</v>
      </c>
      <c r="B840" s="2">
        <v>17</v>
      </c>
      <c r="C840" s="2">
        <v>864403</v>
      </c>
      <c r="D840" s="2">
        <v>2956982</v>
      </c>
      <c r="E840" s="2">
        <v>37.86</v>
      </c>
      <c r="F840" s="2">
        <v>357402</v>
      </c>
    </row>
    <row r="841" spans="1:6">
      <c r="A841" s="3" t="s">
        <v>3620</v>
      </c>
      <c r="B841" s="2">
        <v>19</v>
      </c>
      <c r="C841" s="2">
        <v>524038</v>
      </c>
      <c r="D841" s="2">
        <v>2957038</v>
      </c>
      <c r="E841" s="2">
        <v>37.86</v>
      </c>
      <c r="F841" s="2">
        <v>238321</v>
      </c>
    </row>
    <row r="842" spans="1:6">
      <c r="A842" s="3" t="s">
        <v>3621</v>
      </c>
      <c r="B842" s="2">
        <v>13</v>
      </c>
      <c r="C842" s="2">
        <v>1018497</v>
      </c>
      <c r="D842" s="2">
        <v>2957054</v>
      </c>
      <c r="E842" s="2">
        <v>37.86</v>
      </c>
      <c r="F842" s="2">
        <v>576361</v>
      </c>
    </row>
    <row r="843" spans="1:6">
      <c r="A843" s="3" t="s">
        <v>3622</v>
      </c>
      <c r="B843" s="2">
        <v>25</v>
      </c>
      <c r="C843" s="2">
        <v>357766</v>
      </c>
      <c r="D843" s="2">
        <v>2957536</v>
      </c>
      <c r="E843" s="2">
        <v>37.86</v>
      </c>
      <c r="F843" s="2">
        <v>233074</v>
      </c>
    </row>
    <row r="844" spans="1:6">
      <c r="A844" s="3" t="s">
        <v>3623</v>
      </c>
      <c r="B844" s="2">
        <v>13</v>
      </c>
      <c r="C844" s="2">
        <v>1206407</v>
      </c>
      <c r="D844" s="2">
        <v>2957706</v>
      </c>
      <c r="E844" s="2">
        <v>37.86</v>
      </c>
      <c r="F844" s="2">
        <v>357539</v>
      </c>
    </row>
    <row r="845" spans="1:6">
      <c r="A845" s="3" t="s">
        <v>3624</v>
      </c>
      <c r="B845" s="2">
        <v>27</v>
      </c>
      <c r="C845" s="2">
        <v>444474</v>
      </c>
      <c r="D845" s="2">
        <v>2957742</v>
      </c>
      <c r="E845" s="2">
        <v>37.86</v>
      </c>
      <c r="F845" s="2">
        <v>187851</v>
      </c>
    </row>
    <row r="846" spans="1:6">
      <c r="A846" s="3" t="s">
        <v>3625</v>
      </c>
      <c r="B846" s="2">
        <v>29</v>
      </c>
      <c r="C846" s="2">
        <v>573519</v>
      </c>
      <c r="D846" s="2">
        <v>2957767</v>
      </c>
      <c r="E846" s="2">
        <v>37.86</v>
      </c>
      <c r="F846" s="2">
        <v>320800</v>
      </c>
    </row>
    <row r="847" spans="1:6">
      <c r="A847" s="3" t="s">
        <v>3626</v>
      </c>
      <c r="B847" s="2">
        <v>25</v>
      </c>
      <c r="C847" s="2">
        <v>407040</v>
      </c>
      <c r="D847" s="2">
        <v>2958279</v>
      </c>
      <c r="E847" s="2">
        <v>37.86</v>
      </c>
      <c r="F847" s="2">
        <v>257430</v>
      </c>
    </row>
    <row r="848" spans="1:6">
      <c r="A848" s="3" t="s">
        <v>3627</v>
      </c>
      <c r="B848" s="2">
        <v>31</v>
      </c>
      <c r="C848" s="2">
        <v>567555</v>
      </c>
      <c r="D848" s="2">
        <v>2959924</v>
      </c>
      <c r="E848" s="2">
        <v>37.86</v>
      </c>
      <c r="F848" s="2">
        <v>437017</v>
      </c>
    </row>
    <row r="849" spans="1:6">
      <c r="A849" s="3" t="s">
        <v>3628</v>
      </c>
      <c r="B849" s="2">
        <v>30</v>
      </c>
      <c r="C849" s="2">
        <v>488909</v>
      </c>
      <c r="D849" s="2">
        <v>2960432</v>
      </c>
      <c r="E849" s="2">
        <v>37.86</v>
      </c>
      <c r="F849" s="2">
        <v>229036</v>
      </c>
    </row>
    <row r="850" spans="1:6">
      <c r="A850" s="3" t="s">
        <v>3629</v>
      </c>
      <c r="B850" s="2">
        <v>38</v>
      </c>
      <c r="C850" s="2">
        <v>547416</v>
      </c>
      <c r="D850" s="2">
        <v>2961829</v>
      </c>
      <c r="E850" s="2">
        <v>37.86</v>
      </c>
      <c r="F850" s="2">
        <v>130036</v>
      </c>
    </row>
    <row r="851" spans="1:6">
      <c r="A851" s="3" t="s">
        <v>3630</v>
      </c>
      <c r="B851" s="2">
        <v>19</v>
      </c>
      <c r="C851" s="2">
        <v>546620</v>
      </c>
      <c r="D851" s="2">
        <v>2961851</v>
      </c>
      <c r="E851" s="2">
        <v>37.86</v>
      </c>
      <c r="F851" s="2">
        <v>275439</v>
      </c>
    </row>
    <row r="852" spans="1:6">
      <c r="A852" s="3" t="s">
        <v>3631</v>
      </c>
      <c r="B852" s="2">
        <v>20</v>
      </c>
      <c r="C852" s="2">
        <v>533216</v>
      </c>
      <c r="D852" s="2">
        <v>2961938</v>
      </c>
      <c r="E852" s="2">
        <v>37.86</v>
      </c>
      <c r="F852" s="2">
        <v>357119</v>
      </c>
    </row>
    <row r="853" spans="1:6">
      <c r="A853" s="3" t="s">
        <v>3632</v>
      </c>
      <c r="B853" s="2">
        <v>25</v>
      </c>
      <c r="C853" s="2">
        <v>466143</v>
      </c>
      <c r="D853" s="2">
        <v>2962174</v>
      </c>
      <c r="E853" s="2">
        <v>37.86</v>
      </c>
      <c r="F853" s="2">
        <v>248283</v>
      </c>
    </row>
    <row r="854" spans="1:6">
      <c r="A854" s="3" t="s">
        <v>3633</v>
      </c>
      <c r="B854" s="2">
        <v>22</v>
      </c>
      <c r="C854" s="2">
        <v>511811</v>
      </c>
      <c r="D854" s="2">
        <v>2962776</v>
      </c>
      <c r="E854" s="2">
        <v>37.86</v>
      </c>
      <c r="F854" s="2">
        <v>225226</v>
      </c>
    </row>
    <row r="855" spans="1:6">
      <c r="A855" s="3" t="s">
        <v>3634</v>
      </c>
      <c r="B855" s="2">
        <v>36</v>
      </c>
      <c r="C855" s="2">
        <v>548122</v>
      </c>
      <c r="D855" s="2">
        <v>2962802</v>
      </c>
      <c r="E855" s="2">
        <v>37.86</v>
      </c>
      <c r="F855" s="2">
        <v>213743</v>
      </c>
    </row>
    <row r="856" spans="1:6">
      <c r="A856" s="3" t="s">
        <v>3635</v>
      </c>
      <c r="B856" s="2">
        <v>27</v>
      </c>
      <c r="C856" s="2">
        <v>351643</v>
      </c>
      <c r="D856" s="2">
        <v>2962834</v>
      </c>
      <c r="E856" s="2">
        <v>37.86</v>
      </c>
      <c r="F856" s="2">
        <v>206871</v>
      </c>
    </row>
    <row r="857" spans="1:6">
      <c r="A857" s="3" t="s">
        <v>3636</v>
      </c>
      <c r="B857" s="2">
        <v>19</v>
      </c>
      <c r="C857" s="2">
        <v>594497</v>
      </c>
      <c r="D857" s="2">
        <v>2963324</v>
      </c>
      <c r="E857" s="2">
        <v>37.86</v>
      </c>
      <c r="F857" s="2">
        <v>331401</v>
      </c>
    </row>
    <row r="858" spans="1:6">
      <c r="A858" s="3" t="s">
        <v>3637</v>
      </c>
      <c r="B858" s="2">
        <v>19</v>
      </c>
      <c r="C858" s="2">
        <v>593155</v>
      </c>
      <c r="D858" s="2">
        <v>2963338</v>
      </c>
      <c r="E858" s="2">
        <v>37.86</v>
      </c>
      <c r="F858" s="2">
        <v>303411</v>
      </c>
    </row>
    <row r="859" spans="1:6">
      <c r="A859" s="3" t="s">
        <v>3638</v>
      </c>
      <c r="B859" s="2">
        <v>25</v>
      </c>
      <c r="C859" s="2">
        <v>546545</v>
      </c>
      <c r="D859" s="2">
        <v>2963585</v>
      </c>
      <c r="E859" s="2">
        <v>37.86</v>
      </c>
      <c r="F859" s="2">
        <v>306205</v>
      </c>
    </row>
    <row r="860" spans="1:6">
      <c r="A860" s="3" t="s">
        <v>3639</v>
      </c>
      <c r="B860" s="2">
        <v>15</v>
      </c>
      <c r="C860" s="2">
        <v>1263935</v>
      </c>
      <c r="D860" s="2">
        <v>2964054</v>
      </c>
      <c r="E860" s="2">
        <v>37.86</v>
      </c>
      <c r="F860" s="2">
        <v>541748</v>
      </c>
    </row>
    <row r="861" spans="1:6">
      <c r="A861" s="3" t="s">
        <v>3640</v>
      </c>
      <c r="B861" s="2">
        <v>28</v>
      </c>
      <c r="C861" s="2">
        <v>360633</v>
      </c>
      <c r="D861" s="2">
        <v>2964188</v>
      </c>
      <c r="E861" s="2">
        <v>37.86</v>
      </c>
      <c r="F861" s="2">
        <v>266074</v>
      </c>
    </row>
    <row r="862" spans="1:6">
      <c r="A862" s="3" t="s">
        <v>3641</v>
      </c>
      <c r="B862" s="2">
        <v>20</v>
      </c>
      <c r="C862" s="2">
        <v>548457</v>
      </c>
      <c r="D862" s="2">
        <v>2964339</v>
      </c>
      <c r="E862" s="2">
        <v>37.86</v>
      </c>
      <c r="F862" s="2">
        <v>254856</v>
      </c>
    </row>
    <row r="863" spans="1:6">
      <c r="A863" s="3" t="s">
        <v>3642</v>
      </c>
      <c r="B863" s="2">
        <v>22</v>
      </c>
      <c r="C863" s="2">
        <v>480965</v>
      </c>
      <c r="D863" s="2">
        <v>2964392</v>
      </c>
      <c r="E863" s="2">
        <v>37.86</v>
      </c>
      <c r="F863" s="2">
        <v>300948</v>
      </c>
    </row>
    <row r="864" spans="1:6">
      <c r="A864" s="3" t="s">
        <v>3643</v>
      </c>
      <c r="B864" s="2">
        <v>21</v>
      </c>
      <c r="C864" s="2">
        <v>471331</v>
      </c>
      <c r="D864" s="2">
        <v>2965103</v>
      </c>
      <c r="E864" s="2">
        <v>37.86</v>
      </c>
      <c r="F864" s="2">
        <v>282475</v>
      </c>
    </row>
    <row r="865" spans="1:6">
      <c r="A865" s="3" t="s">
        <v>3644</v>
      </c>
      <c r="B865" s="2">
        <v>26</v>
      </c>
      <c r="C865" s="2">
        <v>1349688</v>
      </c>
      <c r="D865" s="2">
        <v>2965288</v>
      </c>
      <c r="E865" s="2">
        <v>37.86</v>
      </c>
      <c r="F865" s="2">
        <v>448609</v>
      </c>
    </row>
    <row r="866" spans="1:6">
      <c r="A866" s="3" t="s">
        <v>3645</v>
      </c>
      <c r="B866" s="2">
        <v>18</v>
      </c>
      <c r="C866" s="2">
        <v>1032356</v>
      </c>
      <c r="D866" s="2">
        <v>2965435</v>
      </c>
      <c r="E866" s="2">
        <v>37.86</v>
      </c>
      <c r="F866" s="2">
        <v>568093</v>
      </c>
    </row>
    <row r="867" spans="1:6">
      <c r="A867" s="3" t="s">
        <v>3646</v>
      </c>
      <c r="B867" s="2">
        <v>13</v>
      </c>
      <c r="C867" s="2">
        <v>1360353</v>
      </c>
      <c r="D867" s="2">
        <v>2965842</v>
      </c>
      <c r="E867" s="2">
        <v>37.86</v>
      </c>
      <c r="F867" s="2">
        <v>558016</v>
      </c>
    </row>
    <row r="868" spans="1:6">
      <c r="A868" s="3" t="s">
        <v>3647</v>
      </c>
      <c r="B868" s="2">
        <v>26</v>
      </c>
      <c r="C868" s="2">
        <v>476967</v>
      </c>
      <c r="D868" s="2">
        <v>2965946</v>
      </c>
      <c r="E868" s="2">
        <v>37.86</v>
      </c>
      <c r="F868" s="2">
        <v>225254</v>
      </c>
    </row>
    <row r="869" spans="1:6">
      <c r="A869" s="3" t="s">
        <v>3648</v>
      </c>
      <c r="B869" s="2">
        <v>24</v>
      </c>
      <c r="C869" s="2">
        <v>512307</v>
      </c>
      <c r="D869" s="2">
        <v>2966171</v>
      </c>
      <c r="E869" s="2">
        <v>37.86</v>
      </c>
      <c r="F869" s="2">
        <v>277982</v>
      </c>
    </row>
    <row r="870" spans="1:6">
      <c r="A870" s="3" t="s">
        <v>3649</v>
      </c>
      <c r="B870" s="2">
        <v>18</v>
      </c>
      <c r="C870" s="2">
        <v>765223</v>
      </c>
      <c r="D870" s="2">
        <v>2966195</v>
      </c>
      <c r="E870" s="2">
        <v>37.86</v>
      </c>
      <c r="F870" s="2">
        <v>322770</v>
      </c>
    </row>
    <row r="871" spans="1:6">
      <c r="A871" s="3" t="s">
        <v>3650</v>
      </c>
      <c r="B871" s="2">
        <v>27</v>
      </c>
      <c r="C871" s="2">
        <v>520431</v>
      </c>
      <c r="D871" s="2">
        <v>2966217</v>
      </c>
      <c r="E871" s="2">
        <v>37.86</v>
      </c>
      <c r="F871" s="2">
        <v>255454</v>
      </c>
    </row>
    <row r="872" spans="1:6">
      <c r="A872" s="3" t="s">
        <v>3651</v>
      </c>
      <c r="B872" s="2">
        <v>33</v>
      </c>
      <c r="C872" s="2">
        <v>621010</v>
      </c>
      <c r="D872" s="2">
        <v>2973257</v>
      </c>
      <c r="E872" s="2">
        <v>37.86</v>
      </c>
      <c r="F872" s="2">
        <v>195580</v>
      </c>
    </row>
    <row r="873" spans="1:6">
      <c r="A873" s="3" t="s">
        <v>3652</v>
      </c>
      <c r="B873" s="2">
        <v>15</v>
      </c>
      <c r="C873" s="2">
        <v>1171106</v>
      </c>
      <c r="D873" s="2">
        <v>2973810</v>
      </c>
      <c r="E873" s="2">
        <v>37.86</v>
      </c>
      <c r="F873" s="2">
        <v>524697</v>
      </c>
    </row>
    <row r="874" spans="1:6">
      <c r="A874" s="3" t="s">
        <v>3653</v>
      </c>
      <c r="B874" s="2">
        <v>22</v>
      </c>
      <c r="C874" s="2">
        <v>513072</v>
      </c>
      <c r="D874" s="2">
        <v>2977056</v>
      </c>
      <c r="E874" s="2">
        <v>37.86</v>
      </c>
      <c r="F874" s="2">
        <v>498528</v>
      </c>
    </row>
    <row r="875" spans="1:6">
      <c r="A875" s="3" t="s">
        <v>3654</v>
      </c>
      <c r="B875" s="2">
        <v>19</v>
      </c>
      <c r="C875" s="2">
        <v>1200704</v>
      </c>
      <c r="D875" s="2">
        <v>2980590</v>
      </c>
      <c r="E875" s="2">
        <v>37.86</v>
      </c>
      <c r="F875" s="2">
        <v>437173</v>
      </c>
    </row>
    <row r="876" spans="1:6">
      <c r="A876" s="3" t="s">
        <v>3655</v>
      </c>
      <c r="B876" s="2">
        <v>35</v>
      </c>
      <c r="C876" s="2">
        <v>361841</v>
      </c>
      <c r="D876" s="2">
        <v>2983813</v>
      </c>
      <c r="E876" s="2">
        <v>37.86</v>
      </c>
      <c r="F876" s="2">
        <v>183387</v>
      </c>
    </row>
    <row r="877" spans="1:6">
      <c r="A877" s="3" t="s">
        <v>3656</v>
      </c>
      <c r="B877" s="2">
        <v>18</v>
      </c>
      <c r="C877" s="2">
        <v>1222108</v>
      </c>
      <c r="D877" s="2">
        <v>2984942</v>
      </c>
      <c r="E877" s="2">
        <v>37.86</v>
      </c>
      <c r="F877" s="2">
        <v>541214</v>
      </c>
    </row>
    <row r="878" spans="1:6">
      <c r="A878" s="3" t="s">
        <v>3657</v>
      </c>
      <c r="B878" s="2">
        <v>140</v>
      </c>
      <c r="C878" s="2">
        <v>131738</v>
      </c>
      <c r="D878" s="2">
        <v>2990017</v>
      </c>
      <c r="E878" s="2">
        <v>37.86</v>
      </c>
      <c r="F878" s="2">
        <v>34232</v>
      </c>
    </row>
    <row r="879" spans="1:6">
      <c r="A879" s="3" t="s">
        <v>3658</v>
      </c>
      <c r="B879" s="2">
        <v>22</v>
      </c>
      <c r="C879" s="2">
        <v>622893</v>
      </c>
      <c r="D879" s="2">
        <v>2991774</v>
      </c>
      <c r="E879" s="2">
        <v>37.86</v>
      </c>
      <c r="F879" s="2">
        <v>309102</v>
      </c>
    </row>
    <row r="880" spans="1:6">
      <c r="A880" s="3" t="s">
        <v>3659</v>
      </c>
      <c r="B880" s="2">
        <v>14</v>
      </c>
      <c r="C880" s="2">
        <v>866268</v>
      </c>
      <c r="D880" s="2">
        <v>2993719</v>
      </c>
      <c r="E880" s="2">
        <v>37.86</v>
      </c>
      <c r="F880" s="2">
        <v>567294</v>
      </c>
    </row>
    <row r="881" spans="1:6">
      <c r="A881" s="3" t="s">
        <v>3660</v>
      </c>
      <c r="B881" s="2">
        <v>18</v>
      </c>
      <c r="C881" s="2">
        <v>1366805</v>
      </c>
      <c r="D881" s="2">
        <v>2994128</v>
      </c>
      <c r="E881" s="2">
        <v>37.86</v>
      </c>
      <c r="F881" s="2">
        <v>554319</v>
      </c>
    </row>
    <row r="882" spans="1:6">
      <c r="A882" s="3" t="s">
        <v>3661</v>
      </c>
      <c r="B882" s="2">
        <v>39</v>
      </c>
      <c r="C882" s="2">
        <v>508133</v>
      </c>
      <c r="D882" s="2">
        <v>2996822</v>
      </c>
      <c r="E882" s="2">
        <v>37.86</v>
      </c>
      <c r="F882" s="2">
        <v>135799</v>
      </c>
    </row>
    <row r="883" spans="1:6">
      <c r="A883" s="3" t="s">
        <v>3662</v>
      </c>
      <c r="B883" s="2">
        <v>18</v>
      </c>
      <c r="C883" s="2">
        <v>585790</v>
      </c>
      <c r="D883" s="2">
        <v>2999206</v>
      </c>
      <c r="E883" s="2">
        <v>37.86</v>
      </c>
      <c r="F883" s="2">
        <v>428591</v>
      </c>
    </row>
    <row r="884" spans="1:6">
      <c r="A884" s="3" t="s">
        <v>3663</v>
      </c>
      <c r="B884" s="2">
        <v>22</v>
      </c>
      <c r="C884" s="2">
        <v>508249</v>
      </c>
      <c r="D884" s="2">
        <v>3001853</v>
      </c>
      <c r="E884" s="2">
        <v>37.86</v>
      </c>
      <c r="F884" s="2">
        <v>277475</v>
      </c>
    </row>
    <row r="885" spans="1:6">
      <c r="A885" s="3" t="s">
        <v>3664</v>
      </c>
      <c r="B885" s="2">
        <v>26</v>
      </c>
      <c r="C885" s="2">
        <v>605097</v>
      </c>
      <c r="D885" s="2">
        <v>3003934</v>
      </c>
      <c r="E885" s="2">
        <v>37.86</v>
      </c>
      <c r="F885" s="2">
        <v>477924</v>
      </c>
    </row>
    <row r="886" spans="1:6">
      <c r="A886" s="3" t="s">
        <v>3665</v>
      </c>
      <c r="B886" s="2">
        <v>18</v>
      </c>
      <c r="C886" s="2">
        <v>845219</v>
      </c>
      <c r="D886" s="2">
        <v>3011311</v>
      </c>
      <c r="E886" s="2">
        <v>37.86</v>
      </c>
      <c r="F886" s="2">
        <v>360444</v>
      </c>
    </row>
    <row r="887" spans="1:6">
      <c r="A887" s="3" t="s">
        <v>3666</v>
      </c>
      <c r="B887" s="2">
        <v>100</v>
      </c>
      <c r="C887" s="2">
        <v>211972</v>
      </c>
      <c r="D887" s="2">
        <v>3012290</v>
      </c>
      <c r="E887" s="2">
        <v>37.86</v>
      </c>
      <c r="F887" s="2">
        <v>61488</v>
      </c>
    </row>
    <row r="888" spans="1:6">
      <c r="A888" s="3" t="s">
        <v>3667</v>
      </c>
      <c r="B888" s="2">
        <v>16</v>
      </c>
      <c r="C888" s="2">
        <v>1049260</v>
      </c>
      <c r="D888" s="2">
        <v>3015173</v>
      </c>
      <c r="E888" s="2">
        <v>37.86</v>
      </c>
      <c r="F888" s="2">
        <v>541748</v>
      </c>
    </row>
    <row r="889" spans="1:6">
      <c r="A889" s="3" t="s">
        <v>3668</v>
      </c>
      <c r="B889" s="2">
        <v>29</v>
      </c>
      <c r="C889" s="2">
        <v>573548</v>
      </c>
      <c r="D889" s="2">
        <v>3028143</v>
      </c>
      <c r="E889" s="2">
        <v>37.86</v>
      </c>
      <c r="F889" s="2">
        <v>203234</v>
      </c>
    </row>
    <row r="890" spans="1:6">
      <c r="A890" s="3" t="s">
        <v>3669</v>
      </c>
      <c r="B890" s="2">
        <v>14</v>
      </c>
      <c r="C890" s="2">
        <v>1203548</v>
      </c>
      <c r="D890" s="2">
        <v>3035517</v>
      </c>
      <c r="E890" s="2">
        <v>37.86</v>
      </c>
      <c r="F890" s="2">
        <v>578709</v>
      </c>
    </row>
    <row r="891" spans="1:6">
      <c r="A891" s="3" t="s">
        <v>3670</v>
      </c>
      <c r="B891" s="2">
        <v>114</v>
      </c>
      <c r="C891" s="2">
        <v>124534</v>
      </c>
      <c r="D891" s="2">
        <v>3056098</v>
      </c>
      <c r="E891" s="2">
        <v>37.86</v>
      </c>
      <c r="F891" s="2">
        <v>45496</v>
      </c>
    </row>
    <row r="892" spans="1:6">
      <c r="A892" s="3" t="s">
        <v>3671</v>
      </c>
      <c r="B892" s="2">
        <v>21</v>
      </c>
      <c r="C892" s="2">
        <v>742703</v>
      </c>
      <c r="D892" s="2">
        <v>3056288</v>
      </c>
      <c r="E892" s="2">
        <v>37.86</v>
      </c>
      <c r="F892" s="2">
        <v>356940</v>
      </c>
    </row>
    <row r="893" spans="1:6">
      <c r="A893" s="3" t="s">
        <v>3672</v>
      </c>
      <c r="B893" s="2">
        <v>25</v>
      </c>
      <c r="C893" s="2">
        <v>440773</v>
      </c>
      <c r="D893" s="2">
        <v>3058675</v>
      </c>
      <c r="E893" s="2">
        <v>37.86</v>
      </c>
      <c r="F893" s="2">
        <v>221498</v>
      </c>
    </row>
    <row r="894" spans="1:6">
      <c r="A894" s="3" t="s">
        <v>3673</v>
      </c>
      <c r="B894" s="2">
        <v>40</v>
      </c>
      <c r="C894" s="2">
        <v>550622</v>
      </c>
      <c r="D894" s="2">
        <v>3085288</v>
      </c>
      <c r="E894" s="2">
        <v>37.86</v>
      </c>
      <c r="F894" s="2">
        <v>149765</v>
      </c>
    </row>
    <row r="895" spans="1:6">
      <c r="A895" s="3" t="s">
        <v>3674</v>
      </c>
      <c r="B895" s="2">
        <v>35</v>
      </c>
      <c r="C895" s="2">
        <v>448814</v>
      </c>
      <c r="D895" s="2">
        <v>3090442</v>
      </c>
      <c r="E895" s="2">
        <v>37.86</v>
      </c>
      <c r="F895" s="2">
        <v>346418</v>
      </c>
    </row>
    <row r="896" spans="1:6">
      <c r="A896" s="3" t="s">
        <v>3675</v>
      </c>
      <c r="B896" s="2">
        <v>26</v>
      </c>
      <c r="C896" s="2">
        <v>542083</v>
      </c>
      <c r="D896" s="2">
        <v>3091998</v>
      </c>
      <c r="E896" s="2">
        <v>37.86</v>
      </c>
      <c r="F896" s="2">
        <v>434518</v>
      </c>
    </row>
    <row r="897" spans="1:6">
      <c r="A897" s="3" t="s">
        <v>3676</v>
      </c>
      <c r="B897" s="2">
        <v>40</v>
      </c>
      <c r="C897" s="2">
        <v>476484</v>
      </c>
      <c r="D897" s="2">
        <v>3094834</v>
      </c>
      <c r="E897" s="2">
        <v>37.86</v>
      </c>
      <c r="F897" s="2">
        <v>432066</v>
      </c>
    </row>
    <row r="898" spans="1:6">
      <c r="A898" s="3" t="s">
        <v>3677</v>
      </c>
      <c r="B898" s="2">
        <v>21</v>
      </c>
      <c r="C898" s="2">
        <v>580053</v>
      </c>
      <c r="D898" s="2">
        <v>3103640</v>
      </c>
      <c r="E898" s="2">
        <v>37.86</v>
      </c>
      <c r="F898" s="2">
        <v>310238</v>
      </c>
    </row>
    <row r="899" spans="1:6">
      <c r="A899" s="3" t="s">
        <v>3678</v>
      </c>
      <c r="B899" s="2">
        <v>17</v>
      </c>
      <c r="C899" s="2">
        <v>910781</v>
      </c>
      <c r="D899" s="2">
        <v>3108365</v>
      </c>
      <c r="E899" s="2">
        <v>37.86</v>
      </c>
      <c r="F899" s="2">
        <v>483277</v>
      </c>
    </row>
    <row r="900" spans="1:6">
      <c r="A900" s="3" t="s">
        <v>3679</v>
      </c>
      <c r="B900" s="2">
        <v>16</v>
      </c>
      <c r="C900" s="2">
        <v>949248</v>
      </c>
      <c r="D900" s="2">
        <v>3108872</v>
      </c>
      <c r="E900" s="2">
        <v>37.86</v>
      </c>
      <c r="F900" s="2">
        <v>483277</v>
      </c>
    </row>
    <row r="901" spans="1:6">
      <c r="A901" s="3" t="s">
        <v>3680</v>
      </c>
      <c r="B901" s="2">
        <v>30</v>
      </c>
      <c r="C901" s="2">
        <v>881036</v>
      </c>
      <c r="D901" s="2">
        <v>3126399</v>
      </c>
      <c r="E901" s="2">
        <v>37.86</v>
      </c>
      <c r="F901" s="2">
        <v>517860</v>
      </c>
    </row>
    <row r="902" spans="1:6">
      <c r="A902" s="3" t="s">
        <v>3681</v>
      </c>
      <c r="B902" s="2">
        <v>46</v>
      </c>
      <c r="C902" s="2">
        <v>503492</v>
      </c>
      <c r="D902" s="2">
        <v>3144654</v>
      </c>
      <c r="E902" s="2">
        <v>37.86</v>
      </c>
      <c r="F902" s="2">
        <v>324859</v>
      </c>
    </row>
    <row r="903" spans="1:6">
      <c r="A903" s="3" t="s">
        <v>3682</v>
      </c>
      <c r="B903" s="2">
        <v>48</v>
      </c>
      <c r="C903" s="2">
        <v>407801</v>
      </c>
      <c r="D903" s="2">
        <v>3149431</v>
      </c>
      <c r="E903" s="2">
        <v>37.86</v>
      </c>
      <c r="F903" s="2">
        <v>161766</v>
      </c>
    </row>
    <row r="904" spans="1:6">
      <c r="A904" s="3" t="s">
        <v>3683</v>
      </c>
      <c r="B904" s="2">
        <v>81</v>
      </c>
      <c r="C904" s="2">
        <v>775724</v>
      </c>
      <c r="D904" s="2">
        <v>3154428</v>
      </c>
      <c r="E904" s="2">
        <v>37.86</v>
      </c>
      <c r="F904" s="2">
        <v>480343</v>
      </c>
    </row>
    <row r="905" spans="1:6">
      <c r="A905" s="3" t="s">
        <v>3684</v>
      </c>
      <c r="B905" s="2">
        <v>27</v>
      </c>
      <c r="C905" s="2">
        <v>522838</v>
      </c>
      <c r="D905" s="2">
        <v>3154960</v>
      </c>
      <c r="E905" s="2">
        <v>37.86</v>
      </c>
      <c r="F905" s="2">
        <v>203601</v>
      </c>
    </row>
    <row r="906" spans="1:6">
      <c r="A906" s="3" t="s">
        <v>3685</v>
      </c>
      <c r="B906" s="2">
        <v>22</v>
      </c>
      <c r="C906" s="2">
        <v>734214</v>
      </c>
      <c r="D906" s="2">
        <v>3155868</v>
      </c>
      <c r="E906" s="2">
        <v>37.86</v>
      </c>
      <c r="F906" s="2">
        <v>362090</v>
      </c>
    </row>
    <row r="907" spans="1:6">
      <c r="A907" s="3" t="s">
        <v>3686</v>
      </c>
      <c r="B907" s="2">
        <v>26</v>
      </c>
      <c r="C907" s="2">
        <v>495109</v>
      </c>
      <c r="D907" s="2">
        <v>3155901</v>
      </c>
      <c r="E907" s="2">
        <v>37.86</v>
      </c>
      <c r="F907" s="2">
        <v>226636</v>
      </c>
    </row>
    <row r="908" spans="1:6">
      <c r="A908" s="3" t="s">
        <v>3687</v>
      </c>
      <c r="B908" s="2">
        <v>22</v>
      </c>
      <c r="C908" s="2">
        <v>814445</v>
      </c>
      <c r="D908" s="2">
        <v>3155907</v>
      </c>
      <c r="E908" s="2">
        <v>37.86</v>
      </c>
      <c r="F908" s="2">
        <v>524628</v>
      </c>
    </row>
    <row r="909" spans="1:6">
      <c r="A909" s="3" t="s">
        <v>3688</v>
      </c>
      <c r="B909" s="2">
        <v>19</v>
      </c>
      <c r="C909" s="2">
        <v>663429</v>
      </c>
      <c r="D909" s="2">
        <v>3156134</v>
      </c>
      <c r="E909" s="2">
        <v>37.86</v>
      </c>
      <c r="F909" s="2">
        <v>465351</v>
      </c>
    </row>
    <row r="910" spans="1:6">
      <c r="A910" s="3" t="s">
        <v>3689</v>
      </c>
      <c r="B910" s="2">
        <v>24</v>
      </c>
      <c r="C910" s="2">
        <v>610526</v>
      </c>
      <c r="D910" s="2">
        <v>3156268</v>
      </c>
      <c r="E910" s="2">
        <v>37.86</v>
      </c>
      <c r="F910" s="2">
        <v>524684</v>
      </c>
    </row>
    <row r="911" spans="1:6">
      <c r="A911" s="3" t="s">
        <v>3690</v>
      </c>
      <c r="B911" s="2">
        <v>30</v>
      </c>
      <c r="C911" s="2">
        <v>560987</v>
      </c>
      <c r="D911" s="2">
        <v>3156394</v>
      </c>
      <c r="E911" s="2">
        <v>37.86</v>
      </c>
      <c r="F911" s="2">
        <v>360719</v>
      </c>
    </row>
    <row r="912" spans="1:6">
      <c r="A912" s="3" t="s">
        <v>3691</v>
      </c>
      <c r="B912" s="2">
        <v>26</v>
      </c>
      <c r="C912" s="2">
        <v>524676</v>
      </c>
      <c r="D912" s="2">
        <v>3156579</v>
      </c>
      <c r="E912" s="2">
        <v>37.86</v>
      </c>
      <c r="F912" s="2">
        <v>335055</v>
      </c>
    </row>
    <row r="913" spans="1:6">
      <c r="A913" s="3" t="s">
        <v>3692</v>
      </c>
      <c r="B913" s="2">
        <v>20</v>
      </c>
      <c r="C913" s="2">
        <v>1344793</v>
      </c>
      <c r="D913" s="2">
        <v>3157096</v>
      </c>
      <c r="E913" s="2">
        <v>37.86</v>
      </c>
      <c r="F913" s="2">
        <v>524746</v>
      </c>
    </row>
    <row r="914" spans="1:6">
      <c r="A914" s="3" t="s">
        <v>3693</v>
      </c>
      <c r="B914" s="2">
        <v>33</v>
      </c>
      <c r="C914" s="2">
        <v>813499</v>
      </c>
      <c r="D914" s="2">
        <v>3191965</v>
      </c>
      <c r="E914" s="2">
        <v>37.86</v>
      </c>
      <c r="F914" s="2">
        <v>510819</v>
      </c>
    </row>
    <row r="915" spans="1:6">
      <c r="A915" s="3" t="s">
        <v>3694</v>
      </c>
      <c r="B915" s="2">
        <v>17</v>
      </c>
      <c r="C915" s="2">
        <v>599085</v>
      </c>
      <c r="D915" s="2">
        <v>2875294</v>
      </c>
      <c r="E915" s="2">
        <v>37.869999999999997</v>
      </c>
      <c r="F915" s="2">
        <v>437931</v>
      </c>
    </row>
    <row r="916" spans="1:6">
      <c r="A916" s="3" t="s">
        <v>3695</v>
      </c>
      <c r="B916" s="2">
        <v>15</v>
      </c>
      <c r="C916" s="2">
        <v>1460758</v>
      </c>
      <c r="D916" s="2">
        <v>2875724</v>
      </c>
      <c r="E916" s="2">
        <v>37.869999999999997</v>
      </c>
      <c r="F916" s="2">
        <v>1460758</v>
      </c>
    </row>
    <row r="917" spans="1:6">
      <c r="A917" s="3" t="s">
        <v>3696</v>
      </c>
      <c r="B917" s="2">
        <v>11</v>
      </c>
      <c r="C917" s="2">
        <v>1506254</v>
      </c>
      <c r="D917" s="2">
        <v>2878927</v>
      </c>
      <c r="E917" s="2">
        <v>37.869999999999997</v>
      </c>
      <c r="F917" s="2">
        <v>1506254</v>
      </c>
    </row>
    <row r="918" spans="1:6">
      <c r="A918" s="3" t="s">
        <v>3697</v>
      </c>
      <c r="B918" s="2">
        <v>16</v>
      </c>
      <c r="C918" s="2">
        <v>728812</v>
      </c>
      <c r="D918" s="2">
        <v>2878953</v>
      </c>
      <c r="E918" s="2">
        <v>37.869999999999997</v>
      </c>
      <c r="F918" s="2">
        <v>430872</v>
      </c>
    </row>
    <row r="919" spans="1:6">
      <c r="A919" s="3" t="s">
        <v>3698</v>
      </c>
      <c r="B919" s="2">
        <v>11</v>
      </c>
      <c r="C919" s="2">
        <v>1506251</v>
      </c>
      <c r="D919" s="2">
        <v>2879096</v>
      </c>
      <c r="E919" s="2">
        <v>37.869999999999997</v>
      </c>
      <c r="F919" s="2">
        <v>1506251</v>
      </c>
    </row>
    <row r="920" spans="1:6">
      <c r="A920" s="3" t="s">
        <v>3699</v>
      </c>
      <c r="B920" s="2">
        <v>15</v>
      </c>
      <c r="C920" s="2">
        <v>1504710</v>
      </c>
      <c r="D920" s="2">
        <v>2879177</v>
      </c>
      <c r="E920" s="2">
        <v>37.869999999999997</v>
      </c>
      <c r="F920" s="2">
        <v>1504710</v>
      </c>
    </row>
    <row r="921" spans="1:6">
      <c r="A921" s="3" t="s">
        <v>3700</v>
      </c>
      <c r="B921" s="2">
        <v>14</v>
      </c>
      <c r="C921" s="2">
        <v>1506264</v>
      </c>
      <c r="D921" s="2">
        <v>2879195</v>
      </c>
      <c r="E921" s="2">
        <v>37.869999999999997</v>
      </c>
      <c r="F921" s="2">
        <v>1506264</v>
      </c>
    </row>
    <row r="922" spans="1:6">
      <c r="A922" s="3" t="s">
        <v>3701</v>
      </c>
      <c r="B922" s="2">
        <v>30</v>
      </c>
      <c r="C922" s="2">
        <v>361983</v>
      </c>
      <c r="D922" s="2">
        <v>2879603</v>
      </c>
      <c r="E922" s="2">
        <v>37.869999999999997</v>
      </c>
      <c r="F922" s="2">
        <v>169049</v>
      </c>
    </row>
    <row r="923" spans="1:6">
      <c r="A923" s="3" t="s">
        <v>3702</v>
      </c>
      <c r="B923" s="2">
        <v>18</v>
      </c>
      <c r="C923" s="2">
        <v>666318</v>
      </c>
      <c r="D923" s="2">
        <v>2884575</v>
      </c>
      <c r="E923" s="2">
        <v>37.869999999999997</v>
      </c>
      <c r="F923" s="2">
        <v>359457</v>
      </c>
    </row>
    <row r="924" spans="1:6">
      <c r="A924" s="3" t="s">
        <v>3703</v>
      </c>
      <c r="B924" s="2">
        <v>10</v>
      </c>
      <c r="C924" s="2">
        <v>1439160</v>
      </c>
      <c r="D924" s="2">
        <v>2888151</v>
      </c>
      <c r="E924" s="2">
        <v>37.869999999999997</v>
      </c>
      <c r="F924" s="2">
        <v>496167</v>
      </c>
    </row>
    <row r="925" spans="1:6">
      <c r="A925" s="3" t="s">
        <v>3704</v>
      </c>
      <c r="B925" s="2">
        <v>17</v>
      </c>
      <c r="C925" s="2">
        <v>1224878</v>
      </c>
      <c r="D925" s="2">
        <v>2891495</v>
      </c>
      <c r="E925" s="2">
        <v>37.869999999999997</v>
      </c>
      <c r="F925" s="2">
        <v>510736</v>
      </c>
    </row>
    <row r="926" spans="1:6">
      <c r="A926" s="3" t="s">
        <v>3705</v>
      </c>
      <c r="B926" s="2">
        <v>58</v>
      </c>
      <c r="C926" s="2">
        <v>227402</v>
      </c>
      <c r="D926" s="2">
        <v>2893360</v>
      </c>
      <c r="E926" s="2">
        <v>37.869999999999997</v>
      </c>
      <c r="F926" s="2">
        <v>97639</v>
      </c>
    </row>
    <row r="927" spans="1:6">
      <c r="A927" s="3" t="s">
        <v>3706</v>
      </c>
      <c r="B927" s="2">
        <v>53</v>
      </c>
      <c r="C927" s="2">
        <v>225346</v>
      </c>
      <c r="D927" s="2">
        <v>2893464</v>
      </c>
      <c r="E927" s="2">
        <v>37.869999999999997</v>
      </c>
      <c r="F927" s="2">
        <v>137030</v>
      </c>
    </row>
    <row r="928" spans="1:6">
      <c r="A928" s="3" t="s">
        <v>3707</v>
      </c>
      <c r="B928" s="2">
        <v>11</v>
      </c>
      <c r="C928" s="2">
        <v>1453440</v>
      </c>
      <c r="D928" s="2">
        <v>2896243</v>
      </c>
      <c r="E928" s="2">
        <v>37.869999999999997</v>
      </c>
      <c r="F928" s="2">
        <v>1453440</v>
      </c>
    </row>
    <row r="929" spans="1:6">
      <c r="A929" s="3" t="s">
        <v>3708</v>
      </c>
      <c r="B929" s="2">
        <v>10</v>
      </c>
      <c r="C929" s="2">
        <v>973952</v>
      </c>
      <c r="D929" s="2">
        <v>2896678</v>
      </c>
      <c r="E929" s="2">
        <v>37.869999999999997</v>
      </c>
      <c r="F929" s="2">
        <v>506657</v>
      </c>
    </row>
    <row r="930" spans="1:6">
      <c r="A930" s="3" t="s">
        <v>3709</v>
      </c>
      <c r="B930" s="2">
        <v>14</v>
      </c>
      <c r="C930" s="2">
        <v>708959</v>
      </c>
      <c r="D930" s="2">
        <v>2896994</v>
      </c>
      <c r="E930" s="2">
        <v>37.869999999999997</v>
      </c>
      <c r="F930" s="2">
        <v>450294</v>
      </c>
    </row>
    <row r="931" spans="1:6">
      <c r="A931" s="3" t="s">
        <v>3710</v>
      </c>
      <c r="B931" s="2">
        <v>32</v>
      </c>
      <c r="C931" s="2">
        <v>303037</v>
      </c>
      <c r="D931" s="2">
        <v>2897719</v>
      </c>
      <c r="E931" s="2">
        <v>37.869999999999997</v>
      </c>
      <c r="F931" s="2">
        <v>229485</v>
      </c>
    </row>
    <row r="932" spans="1:6">
      <c r="A932" s="3" t="s">
        <v>3711</v>
      </c>
      <c r="B932" s="2">
        <v>17</v>
      </c>
      <c r="C932" s="2">
        <v>696398</v>
      </c>
      <c r="D932" s="2">
        <v>2898778</v>
      </c>
      <c r="E932" s="2">
        <v>37.869999999999997</v>
      </c>
      <c r="F932" s="2">
        <v>320999</v>
      </c>
    </row>
    <row r="933" spans="1:6">
      <c r="A933" s="3" t="s">
        <v>3712</v>
      </c>
      <c r="B933" s="2">
        <v>17</v>
      </c>
      <c r="C933" s="2">
        <v>594167</v>
      </c>
      <c r="D933" s="2">
        <v>2898882</v>
      </c>
      <c r="E933" s="2">
        <v>37.869999999999997</v>
      </c>
      <c r="F933" s="2">
        <v>302015</v>
      </c>
    </row>
    <row r="934" spans="1:6">
      <c r="A934" s="3" t="s">
        <v>3713</v>
      </c>
      <c r="B934" s="2">
        <v>17</v>
      </c>
      <c r="C934" s="2">
        <v>727705</v>
      </c>
      <c r="D934" s="2">
        <v>2900117</v>
      </c>
      <c r="E934" s="2">
        <v>37.869999999999997</v>
      </c>
      <c r="F934" s="2">
        <v>357411</v>
      </c>
    </row>
    <row r="935" spans="1:6">
      <c r="A935" s="3" t="s">
        <v>3714</v>
      </c>
      <c r="B935" s="2">
        <v>18</v>
      </c>
      <c r="C935" s="2">
        <v>584713</v>
      </c>
      <c r="D935" s="2">
        <v>2900172</v>
      </c>
      <c r="E935" s="2">
        <v>37.869999999999997</v>
      </c>
      <c r="F935" s="2">
        <v>296177</v>
      </c>
    </row>
    <row r="936" spans="1:6">
      <c r="A936" s="3" t="s">
        <v>3715</v>
      </c>
      <c r="B936" s="2">
        <v>27</v>
      </c>
      <c r="C936" s="2">
        <v>479444</v>
      </c>
      <c r="D936" s="2">
        <v>2900398</v>
      </c>
      <c r="E936" s="2">
        <v>37.869999999999997</v>
      </c>
      <c r="F936" s="2">
        <v>305310</v>
      </c>
    </row>
    <row r="937" spans="1:6">
      <c r="A937" s="3" t="s">
        <v>3716</v>
      </c>
      <c r="B937" s="2">
        <v>25</v>
      </c>
      <c r="C937" s="2">
        <v>548252</v>
      </c>
      <c r="D937" s="2">
        <v>2901399</v>
      </c>
      <c r="E937" s="2">
        <v>37.869999999999997</v>
      </c>
      <c r="F937" s="2">
        <v>259442</v>
      </c>
    </row>
    <row r="938" spans="1:6">
      <c r="A938" s="3" t="s">
        <v>3717</v>
      </c>
      <c r="B938" s="2">
        <v>22</v>
      </c>
      <c r="C938" s="2">
        <v>450968</v>
      </c>
      <c r="D938" s="2">
        <v>2901629</v>
      </c>
      <c r="E938" s="2">
        <v>37.869999999999997</v>
      </c>
      <c r="F938" s="2">
        <v>238078</v>
      </c>
    </row>
    <row r="939" spans="1:6">
      <c r="A939" s="3" t="s">
        <v>3718</v>
      </c>
      <c r="B939" s="2">
        <v>13</v>
      </c>
      <c r="C939" s="2">
        <v>1453700</v>
      </c>
      <c r="D939" s="2">
        <v>2902579</v>
      </c>
      <c r="E939" s="2">
        <v>37.869999999999997</v>
      </c>
      <c r="F939" s="2">
        <v>1453700</v>
      </c>
    </row>
    <row r="940" spans="1:6">
      <c r="A940" s="3" t="s">
        <v>3719</v>
      </c>
      <c r="B940" s="2">
        <v>18</v>
      </c>
      <c r="C940" s="2">
        <v>605970</v>
      </c>
      <c r="D940" s="2">
        <v>2905373</v>
      </c>
      <c r="E940" s="2">
        <v>37.869999999999997</v>
      </c>
      <c r="F940" s="2">
        <v>436040</v>
      </c>
    </row>
    <row r="941" spans="1:6">
      <c r="A941" s="3" t="s">
        <v>3720</v>
      </c>
      <c r="B941" s="2">
        <v>53</v>
      </c>
      <c r="C941" s="2">
        <v>303185</v>
      </c>
      <c r="D941" s="2">
        <v>2905642</v>
      </c>
      <c r="E941" s="2">
        <v>37.869999999999997</v>
      </c>
      <c r="F941" s="2">
        <v>102332</v>
      </c>
    </row>
    <row r="942" spans="1:6">
      <c r="A942" s="3" t="s">
        <v>3721</v>
      </c>
      <c r="B942" s="2">
        <v>27</v>
      </c>
      <c r="C942" s="2">
        <v>323903</v>
      </c>
      <c r="D942" s="2">
        <v>2908130</v>
      </c>
      <c r="E942" s="2">
        <v>37.869999999999997</v>
      </c>
      <c r="F942" s="2">
        <v>227062</v>
      </c>
    </row>
    <row r="943" spans="1:6">
      <c r="A943" s="3" t="s">
        <v>3722</v>
      </c>
      <c r="B943" s="2">
        <v>15</v>
      </c>
      <c r="C943" s="2">
        <v>517947</v>
      </c>
      <c r="D943" s="2">
        <v>2908470</v>
      </c>
      <c r="E943" s="2">
        <v>37.869999999999997</v>
      </c>
      <c r="F943" s="2">
        <v>486521</v>
      </c>
    </row>
    <row r="944" spans="1:6">
      <c r="A944" s="3" t="s">
        <v>3723</v>
      </c>
      <c r="B944" s="2">
        <v>78</v>
      </c>
      <c r="C944" s="2">
        <v>181393</v>
      </c>
      <c r="D944" s="2">
        <v>2914546</v>
      </c>
      <c r="E944" s="2">
        <v>37.869999999999997</v>
      </c>
      <c r="F944" s="2">
        <v>69993</v>
      </c>
    </row>
    <row r="945" spans="1:6">
      <c r="A945" s="3" t="s">
        <v>3724</v>
      </c>
      <c r="B945" s="2">
        <v>9</v>
      </c>
      <c r="C945" s="2">
        <v>1470380</v>
      </c>
      <c r="D945" s="2">
        <v>2914743</v>
      </c>
      <c r="E945" s="2">
        <v>37.869999999999997</v>
      </c>
      <c r="F945" s="2">
        <v>1470380</v>
      </c>
    </row>
    <row r="946" spans="1:6">
      <c r="A946" s="3" t="s">
        <v>3725</v>
      </c>
      <c r="B946" s="2">
        <v>13</v>
      </c>
      <c r="C946" s="2">
        <v>991097</v>
      </c>
      <c r="D946" s="2">
        <v>2915552</v>
      </c>
      <c r="E946" s="2">
        <v>37.869999999999997</v>
      </c>
      <c r="F946" s="2">
        <v>580205</v>
      </c>
    </row>
    <row r="947" spans="1:6">
      <c r="A947" s="3" t="s">
        <v>3726</v>
      </c>
      <c r="B947" s="2">
        <v>15</v>
      </c>
      <c r="C947" s="2">
        <v>1042749</v>
      </c>
      <c r="D947" s="2">
        <v>2915972</v>
      </c>
      <c r="E947" s="2">
        <v>37.869999999999997</v>
      </c>
      <c r="F947" s="2">
        <v>579575</v>
      </c>
    </row>
    <row r="948" spans="1:6">
      <c r="A948" s="3" t="s">
        <v>3727</v>
      </c>
      <c r="B948" s="2">
        <v>15</v>
      </c>
      <c r="C948" s="2">
        <v>1022270</v>
      </c>
      <c r="D948" s="2">
        <v>2916227</v>
      </c>
      <c r="E948" s="2">
        <v>37.869999999999997</v>
      </c>
      <c r="F948" s="2">
        <v>357642</v>
      </c>
    </row>
    <row r="949" spans="1:6">
      <c r="A949" s="3" t="s">
        <v>3728</v>
      </c>
      <c r="B949" s="2">
        <v>44</v>
      </c>
      <c r="C949" s="2">
        <v>348963</v>
      </c>
      <c r="D949" s="2">
        <v>2917125</v>
      </c>
      <c r="E949" s="2">
        <v>37.869999999999997</v>
      </c>
      <c r="F949" s="2">
        <v>144126</v>
      </c>
    </row>
    <row r="950" spans="1:6">
      <c r="A950" s="3" t="s">
        <v>3729</v>
      </c>
      <c r="B950" s="2">
        <v>16</v>
      </c>
      <c r="C950" s="2">
        <v>532303</v>
      </c>
      <c r="D950" s="2">
        <v>2917325</v>
      </c>
      <c r="E950" s="2">
        <v>37.869999999999997</v>
      </c>
      <c r="F950" s="2">
        <v>435422</v>
      </c>
    </row>
    <row r="951" spans="1:6">
      <c r="A951" s="3" t="s">
        <v>3730</v>
      </c>
      <c r="B951" s="2">
        <v>14</v>
      </c>
      <c r="C951" s="2">
        <v>512007</v>
      </c>
      <c r="D951" s="2">
        <v>2919142</v>
      </c>
      <c r="E951" s="2">
        <v>37.869999999999997</v>
      </c>
      <c r="F951" s="2">
        <v>468459</v>
      </c>
    </row>
    <row r="952" spans="1:6">
      <c r="A952" s="3" t="s">
        <v>3731</v>
      </c>
      <c r="B952" s="2">
        <v>25</v>
      </c>
      <c r="C952" s="2">
        <v>495105</v>
      </c>
      <c r="D952" s="2">
        <v>2919185</v>
      </c>
      <c r="E952" s="2">
        <v>37.869999999999997</v>
      </c>
      <c r="F952" s="2">
        <v>342826</v>
      </c>
    </row>
    <row r="953" spans="1:6">
      <c r="A953" s="3" t="s">
        <v>3732</v>
      </c>
      <c r="B953" s="2">
        <v>14</v>
      </c>
      <c r="C953" s="2">
        <v>992480</v>
      </c>
      <c r="D953" s="2">
        <v>2919501</v>
      </c>
      <c r="E953" s="2">
        <v>37.869999999999997</v>
      </c>
      <c r="F953" s="2">
        <v>511384</v>
      </c>
    </row>
    <row r="954" spans="1:6">
      <c r="A954" s="3" t="s">
        <v>3733</v>
      </c>
      <c r="B954" s="2">
        <v>23</v>
      </c>
      <c r="C954" s="2">
        <v>420131</v>
      </c>
      <c r="D954" s="2">
        <v>2919548</v>
      </c>
      <c r="E954" s="2">
        <v>37.869999999999997</v>
      </c>
      <c r="F954" s="2">
        <v>228741</v>
      </c>
    </row>
    <row r="955" spans="1:6">
      <c r="A955" s="3" t="s">
        <v>3734</v>
      </c>
      <c r="B955" s="2">
        <v>13</v>
      </c>
      <c r="C955" s="2">
        <v>773813</v>
      </c>
      <c r="D955" s="2">
        <v>2920267</v>
      </c>
      <c r="E955" s="2">
        <v>37.869999999999997</v>
      </c>
      <c r="F955" s="2">
        <v>357803</v>
      </c>
    </row>
    <row r="956" spans="1:6">
      <c r="A956" s="3" t="s">
        <v>3735</v>
      </c>
      <c r="B956" s="2">
        <v>17</v>
      </c>
      <c r="C956" s="2">
        <v>614472</v>
      </c>
      <c r="D956" s="2">
        <v>2920969</v>
      </c>
      <c r="E956" s="2">
        <v>37.869999999999997</v>
      </c>
      <c r="F956" s="2">
        <v>331299</v>
      </c>
    </row>
    <row r="957" spans="1:6">
      <c r="A957" s="3" t="s">
        <v>3736</v>
      </c>
      <c r="B957" s="2">
        <v>30</v>
      </c>
      <c r="C957" s="2">
        <v>407924</v>
      </c>
      <c r="D957" s="2">
        <v>2921028</v>
      </c>
      <c r="E957" s="2">
        <v>37.869999999999997</v>
      </c>
      <c r="F957" s="2">
        <v>229011</v>
      </c>
    </row>
    <row r="958" spans="1:6">
      <c r="A958" s="3" t="s">
        <v>3737</v>
      </c>
      <c r="B958" s="2">
        <v>16</v>
      </c>
      <c r="C958" s="2">
        <v>574521</v>
      </c>
      <c r="D958" s="2">
        <v>2921089</v>
      </c>
      <c r="E958" s="2">
        <v>37.869999999999997</v>
      </c>
      <c r="F958" s="2">
        <v>380597</v>
      </c>
    </row>
    <row r="959" spans="1:6">
      <c r="A959" s="3" t="s">
        <v>3738</v>
      </c>
      <c r="B959" s="2">
        <v>16</v>
      </c>
      <c r="C959" s="2">
        <v>682401</v>
      </c>
      <c r="D959" s="2">
        <v>2921283</v>
      </c>
      <c r="E959" s="2">
        <v>37.869999999999997</v>
      </c>
      <c r="F959" s="2">
        <v>371356</v>
      </c>
    </row>
    <row r="960" spans="1:6">
      <c r="A960" s="3" t="s">
        <v>3739</v>
      </c>
      <c r="B960" s="2">
        <v>20</v>
      </c>
      <c r="C960" s="2">
        <v>490327</v>
      </c>
      <c r="D960" s="2">
        <v>2921600</v>
      </c>
      <c r="E960" s="2">
        <v>37.869999999999997</v>
      </c>
      <c r="F960" s="2">
        <v>347681</v>
      </c>
    </row>
    <row r="961" spans="1:6">
      <c r="A961" s="3" t="s">
        <v>3740</v>
      </c>
      <c r="B961" s="2">
        <v>13</v>
      </c>
      <c r="C961" s="2">
        <v>933426</v>
      </c>
      <c r="D961" s="2">
        <v>2921627</v>
      </c>
      <c r="E961" s="2">
        <v>37.869999999999997</v>
      </c>
      <c r="F961" s="2">
        <v>592722</v>
      </c>
    </row>
    <row r="962" spans="1:6">
      <c r="A962" s="3" t="s">
        <v>3741</v>
      </c>
      <c r="B962" s="2">
        <v>14</v>
      </c>
      <c r="C962" s="2">
        <v>1499722</v>
      </c>
      <c r="D962" s="2">
        <v>2921647</v>
      </c>
      <c r="E962" s="2">
        <v>37.869999999999997</v>
      </c>
      <c r="F962" s="2">
        <v>1499722</v>
      </c>
    </row>
    <row r="963" spans="1:6">
      <c r="A963" s="3" t="s">
        <v>3742</v>
      </c>
      <c r="B963" s="2">
        <v>28</v>
      </c>
      <c r="C963" s="2">
        <v>437083</v>
      </c>
      <c r="D963" s="2">
        <v>2921729</v>
      </c>
      <c r="E963" s="2">
        <v>37.869999999999997</v>
      </c>
      <c r="F963" s="2">
        <v>253713</v>
      </c>
    </row>
    <row r="964" spans="1:6">
      <c r="A964" s="3" t="s">
        <v>3743</v>
      </c>
      <c r="B964" s="2">
        <v>22</v>
      </c>
      <c r="C964" s="2">
        <v>875215</v>
      </c>
      <c r="D964" s="2">
        <v>2921754</v>
      </c>
      <c r="E964" s="2">
        <v>37.869999999999997</v>
      </c>
      <c r="F964" s="2">
        <v>358851</v>
      </c>
    </row>
    <row r="965" spans="1:6">
      <c r="A965" s="3" t="s">
        <v>3744</v>
      </c>
      <c r="B965" s="2">
        <v>18</v>
      </c>
      <c r="C965" s="2">
        <v>796786</v>
      </c>
      <c r="D965" s="2">
        <v>2922064</v>
      </c>
      <c r="E965" s="2">
        <v>37.869999999999997</v>
      </c>
      <c r="F965" s="2">
        <v>353758</v>
      </c>
    </row>
    <row r="966" spans="1:6">
      <c r="A966" s="3" t="s">
        <v>3745</v>
      </c>
      <c r="B966" s="2">
        <v>19</v>
      </c>
      <c r="C966" s="2">
        <v>512261</v>
      </c>
      <c r="D966" s="2">
        <v>2922181</v>
      </c>
      <c r="E966" s="2">
        <v>37.869999999999997</v>
      </c>
      <c r="F966" s="2">
        <v>380029</v>
      </c>
    </row>
    <row r="967" spans="1:6">
      <c r="A967" s="3" t="s">
        <v>3746</v>
      </c>
      <c r="B967" s="2">
        <v>25</v>
      </c>
      <c r="C967" s="2">
        <v>498651</v>
      </c>
      <c r="D967" s="2">
        <v>2922246</v>
      </c>
      <c r="E967" s="2">
        <v>37.869999999999997</v>
      </c>
      <c r="F967" s="2">
        <v>195181</v>
      </c>
    </row>
    <row r="968" spans="1:6">
      <c r="A968" s="3" t="s">
        <v>3747</v>
      </c>
      <c r="B968" s="2">
        <v>13</v>
      </c>
      <c r="C968" s="2">
        <v>1528921</v>
      </c>
      <c r="D968" s="2">
        <v>2922378</v>
      </c>
      <c r="E968" s="2">
        <v>37.869999999999997</v>
      </c>
      <c r="F968" s="2">
        <v>1528921</v>
      </c>
    </row>
    <row r="969" spans="1:6">
      <c r="A969" s="3" t="s">
        <v>3748</v>
      </c>
      <c r="B969" s="2">
        <v>13</v>
      </c>
      <c r="C969" s="2">
        <v>1528198</v>
      </c>
      <c r="D969" s="2">
        <v>2922394</v>
      </c>
      <c r="E969" s="2">
        <v>37.869999999999997</v>
      </c>
      <c r="F969" s="2">
        <v>1528198</v>
      </c>
    </row>
    <row r="970" spans="1:6">
      <c r="A970" s="3" t="s">
        <v>3749</v>
      </c>
      <c r="B970" s="2">
        <v>15</v>
      </c>
      <c r="C970" s="2">
        <v>704180</v>
      </c>
      <c r="D970" s="2">
        <v>2922531</v>
      </c>
      <c r="E970" s="2">
        <v>37.869999999999997</v>
      </c>
      <c r="F970" s="2">
        <v>301808</v>
      </c>
    </row>
    <row r="971" spans="1:6">
      <c r="A971" s="3" t="s">
        <v>3750</v>
      </c>
      <c r="B971" s="2">
        <v>12</v>
      </c>
      <c r="C971" s="2">
        <v>1463728</v>
      </c>
      <c r="D971" s="2">
        <v>2922612</v>
      </c>
      <c r="E971" s="2">
        <v>37.869999999999997</v>
      </c>
      <c r="F971" s="2">
        <v>1463728</v>
      </c>
    </row>
    <row r="972" spans="1:6">
      <c r="A972" s="3" t="s">
        <v>3751</v>
      </c>
      <c r="B972" s="2">
        <v>17</v>
      </c>
      <c r="C972" s="2">
        <v>495031</v>
      </c>
      <c r="D972" s="2">
        <v>2922738</v>
      </c>
      <c r="E972" s="2">
        <v>37.869999999999997</v>
      </c>
      <c r="F972" s="2">
        <v>370498</v>
      </c>
    </row>
    <row r="973" spans="1:6">
      <c r="A973" s="3" t="s">
        <v>3752</v>
      </c>
      <c r="B973" s="2">
        <v>11</v>
      </c>
      <c r="C973" s="2">
        <v>1217339</v>
      </c>
      <c r="D973" s="2">
        <v>2922762</v>
      </c>
      <c r="E973" s="2">
        <v>37.869999999999997</v>
      </c>
      <c r="F973" s="2">
        <v>511383</v>
      </c>
    </row>
    <row r="974" spans="1:6">
      <c r="A974" s="3" t="s">
        <v>3753</v>
      </c>
      <c r="B974" s="2">
        <v>17</v>
      </c>
      <c r="C974" s="2">
        <v>804652</v>
      </c>
      <c r="D974" s="2">
        <v>2922805</v>
      </c>
      <c r="E974" s="2">
        <v>37.869999999999997</v>
      </c>
      <c r="F974" s="2">
        <v>450284</v>
      </c>
    </row>
    <row r="975" spans="1:6">
      <c r="A975" s="3" t="s">
        <v>3754</v>
      </c>
      <c r="B975" s="2">
        <v>14</v>
      </c>
      <c r="C975" s="2">
        <v>1529088</v>
      </c>
      <c r="D975" s="2">
        <v>2922918</v>
      </c>
      <c r="E975" s="2">
        <v>37.869999999999997</v>
      </c>
      <c r="F975" s="2">
        <v>1529088</v>
      </c>
    </row>
    <row r="976" spans="1:6">
      <c r="A976" s="3" t="s">
        <v>3755</v>
      </c>
      <c r="B976" s="2">
        <v>16</v>
      </c>
      <c r="C976" s="2">
        <v>1022366</v>
      </c>
      <c r="D976" s="2">
        <v>2923348</v>
      </c>
      <c r="E976" s="2">
        <v>37.869999999999997</v>
      </c>
      <c r="F976" s="2">
        <v>506553</v>
      </c>
    </row>
    <row r="977" spans="1:6">
      <c r="A977" s="3" t="s">
        <v>3756</v>
      </c>
      <c r="B977" s="2">
        <v>15</v>
      </c>
      <c r="C977" s="2">
        <v>1282973</v>
      </c>
      <c r="D977" s="2">
        <v>2923512</v>
      </c>
      <c r="E977" s="2">
        <v>37.869999999999997</v>
      </c>
      <c r="F977" s="2">
        <v>450284</v>
      </c>
    </row>
    <row r="978" spans="1:6">
      <c r="A978" s="3" t="s">
        <v>3757</v>
      </c>
      <c r="B978" s="2">
        <v>15</v>
      </c>
      <c r="C978" s="2">
        <v>1283158</v>
      </c>
      <c r="D978" s="2">
        <v>2923834</v>
      </c>
      <c r="E978" s="2">
        <v>37.869999999999997</v>
      </c>
      <c r="F978" s="2">
        <v>331473</v>
      </c>
    </row>
    <row r="979" spans="1:6">
      <c r="A979" s="3" t="s">
        <v>3758</v>
      </c>
      <c r="B979" s="2">
        <v>14</v>
      </c>
      <c r="C979" s="2">
        <v>827272</v>
      </c>
      <c r="D979" s="2">
        <v>2924345</v>
      </c>
      <c r="E979" s="2">
        <v>37.869999999999997</v>
      </c>
      <c r="F979" s="2">
        <v>499321</v>
      </c>
    </row>
    <row r="980" spans="1:6">
      <c r="A980" s="3" t="s">
        <v>3759</v>
      </c>
      <c r="B980" s="2">
        <v>17</v>
      </c>
      <c r="C980" s="2">
        <v>1456457</v>
      </c>
      <c r="D980" s="2">
        <v>2924749</v>
      </c>
      <c r="E980" s="2">
        <v>37.869999999999997</v>
      </c>
      <c r="F980" s="2">
        <v>450288</v>
      </c>
    </row>
    <row r="981" spans="1:6">
      <c r="A981" s="3" t="s">
        <v>3760</v>
      </c>
      <c r="B981" s="2">
        <v>16</v>
      </c>
      <c r="C981" s="2">
        <v>1283146</v>
      </c>
      <c r="D981" s="2">
        <v>2924768</v>
      </c>
      <c r="E981" s="2">
        <v>37.869999999999997</v>
      </c>
      <c r="F981" s="2">
        <v>450288</v>
      </c>
    </row>
    <row r="982" spans="1:6">
      <c r="A982" s="3" t="s">
        <v>3761</v>
      </c>
      <c r="B982" s="2">
        <v>40</v>
      </c>
      <c r="C982" s="2">
        <v>346966</v>
      </c>
      <c r="D982" s="2">
        <v>2925370</v>
      </c>
      <c r="E982" s="2">
        <v>37.869999999999997</v>
      </c>
      <c r="F982" s="2">
        <v>124621</v>
      </c>
    </row>
    <row r="983" spans="1:6">
      <c r="A983" s="3" t="s">
        <v>3762</v>
      </c>
      <c r="B983" s="2">
        <v>45</v>
      </c>
      <c r="C983" s="2">
        <v>454137</v>
      </c>
      <c r="D983" s="2">
        <v>2927462</v>
      </c>
      <c r="E983" s="2">
        <v>37.869999999999997</v>
      </c>
      <c r="F983" s="2">
        <v>108239</v>
      </c>
    </row>
    <row r="984" spans="1:6">
      <c r="A984" s="3" t="s">
        <v>3763</v>
      </c>
      <c r="B984" s="2">
        <v>10</v>
      </c>
      <c r="C984" s="2">
        <v>1536945</v>
      </c>
      <c r="D984" s="2">
        <v>2927886</v>
      </c>
      <c r="E984" s="2">
        <v>37.869999999999997</v>
      </c>
      <c r="F984" s="2">
        <v>1536945</v>
      </c>
    </row>
    <row r="985" spans="1:6">
      <c r="A985" s="3" t="s">
        <v>3764</v>
      </c>
      <c r="B985" s="2">
        <v>46</v>
      </c>
      <c r="C985" s="2">
        <v>294097</v>
      </c>
      <c r="D985" s="2">
        <v>2927947</v>
      </c>
      <c r="E985" s="2">
        <v>37.869999999999997</v>
      </c>
      <c r="F985" s="2">
        <v>156736</v>
      </c>
    </row>
    <row r="986" spans="1:6">
      <c r="A986" s="3" t="s">
        <v>3765</v>
      </c>
      <c r="B986" s="2">
        <v>20</v>
      </c>
      <c r="C986" s="2">
        <v>783584</v>
      </c>
      <c r="D986" s="2">
        <v>2928189</v>
      </c>
      <c r="E986" s="2">
        <v>37.869999999999997</v>
      </c>
      <c r="F986" s="2">
        <v>425682</v>
      </c>
    </row>
    <row r="987" spans="1:6">
      <c r="A987" s="3" t="s">
        <v>3766</v>
      </c>
      <c r="B987" s="2">
        <v>19</v>
      </c>
      <c r="C987" s="2">
        <v>584859</v>
      </c>
      <c r="D987" s="2">
        <v>2928448</v>
      </c>
      <c r="E987" s="2">
        <v>37.869999999999997</v>
      </c>
      <c r="F987" s="2">
        <v>541058</v>
      </c>
    </row>
    <row r="988" spans="1:6">
      <c r="A988" s="3" t="s">
        <v>3767</v>
      </c>
      <c r="B988" s="2">
        <v>36</v>
      </c>
      <c r="C988" s="2">
        <v>294519</v>
      </c>
      <c r="D988" s="2">
        <v>2928759</v>
      </c>
      <c r="E988" s="2">
        <v>37.869999999999997</v>
      </c>
      <c r="F988" s="2">
        <v>225079</v>
      </c>
    </row>
    <row r="989" spans="1:6">
      <c r="A989" s="3" t="s">
        <v>3768</v>
      </c>
      <c r="B989" s="2">
        <v>30</v>
      </c>
      <c r="C989" s="2">
        <v>556724</v>
      </c>
      <c r="D989" s="2">
        <v>2928922</v>
      </c>
      <c r="E989" s="2">
        <v>37.869999999999997</v>
      </c>
      <c r="F989" s="2">
        <v>186150</v>
      </c>
    </row>
    <row r="990" spans="1:6">
      <c r="A990" s="3" t="s">
        <v>3769</v>
      </c>
      <c r="B990" s="2">
        <v>31</v>
      </c>
      <c r="C990" s="2">
        <v>345962</v>
      </c>
      <c r="D990" s="2">
        <v>2929476</v>
      </c>
      <c r="E990" s="2">
        <v>37.869999999999997</v>
      </c>
      <c r="F990" s="2">
        <v>214153</v>
      </c>
    </row>
    <row r="991" spans="1:6">
      <c r="A991" s="3" t="s">
        <v>3770</v>
      </c>
      <c r="B991" s="2">
        <v>26</v>
      </c>
      <c r="C991" s="2">
        <v>932495</v>
      </c>
      <c r="D991" s="2">
        <v>2929565</v>
      </c>
      <c r="E991" s="2">
        <v>37.869999999999997</v>
      </c>
      <c r="F991" s="2">
        <v>284355</v>
      </c>
    </row>
    <row r="992" spans="1:6">
      <c r="A992" s="3" t="s">
        <v>3771</v>
      </c>
      <c r="B992" s="2">
        <v>37</v>
      </c>
      <c r="C992" s="2">
        <v>331868</v>
      </c>
      <c r="D992" s="2">
        <v>2929759</v>
      </c>
      <c r="E992" s="2">
        <v>37.869999999999997</v>
      </c>
      <c r="F992" s="2">
        <v>197147</v>
      </c>
    </row>
    <row r="993" spans="1:6">
      <c r="A993" s="3" t="s">
        <v>3772</v>
      </c>
      <c r="B993" s="2">
        <v>26</v>
      </c>
      <c r="C993" s="2">
        <v>621115</v>
      </c>
      <c r="D993" s="2">
        <v>2929792</v>
      </c>
      <c r="E993" s="2">
        <v>37.869999999999997</v>
      </c>
      <c r="F993" s="2">
        <v>294519</v>
      </c>
    </row>
    <row r="994" spans="1:6">
      <c r="A994" s="3" t="s">
        <v>3773</v>
      </c>
      <c r="B994" s="2">
        <v>31</v>
      </c>
      <c r="C994" s="2">
        <v>482142</v>
      </c>
      <c r="D994" s="2">
        <v>2929844</v>
      </c>
      <c r="E994" s="2">
        <v>37.869999999999997</v>
      </c>
      <c r="F994" s="2">
        <v>225470</v>
      </c>
    </row>
    <row r="995" spans="1:6">
      <c r="A995" s="3" t="s">
        <v>3774</v>
      </c>
      <c r="B995" s="2">
        <v>37</v>
      </c>
      <c r="C995" s="2">
        <v>346202</v>
      </c>
      <c r="D995" s="2">
        <v>2930194</v>
      </c>
      <c r="E995" s="2">
        <v>37.869999999999997</v>
      </c>
      <c r="F995" s="2">
        <v>159773</v>
      </c>
    </row>
    <row r="996" spans="1:6">
      <c r="A996" s="3" t="s">
        <v>3775</v>
      </c>
      <c r="B996" s="2">
        <v>20</v>
      </c>
      <c r="C996" s="2">
        <v>686163</v>
      </c>
      <c r="D996" s="2">
        <v>2931330</v>
      </c>
      <c r="E996" s="2">
        <v>37.869999999999997</v>
      </c>
      <c r="F996" s="2">
        <v>512050</v>
      </c>
    </row>
    <row r="997" spans="1:6">
      <c r="A997" s="3" t="s">
        <v>3776</v>
      </c>
      <c r="B997" s="2">
        <v>17</v>
      </c>
      <c r="C997" s="2">
        <v>783479</v>
      </c>
      <c r="D997" s="2">
        <v>2932955</v>
      </c>
      <c r="E997" s="2">
        <v>37.869999999999997</v>
      </c>
      <c r="F997" s="2">
        <v>442432</v>
      </c>
    </row>
    <row r="998" spans="1:6">
      <c r="A998" s="3" t="s">
        <v>3777</v>
      </c>
      <c r="B998" s="2">
        <v>15</v>
      </c>
      <c r="C998" s="2">
        <v>784249</v>
      </c>
      <c r="D998" s="2">
        <v>2936352</v>
      </c>
      <c r="E998" s="2">
        <v>37.869999999999997</v>
      </c>
      <c r="F998" s="2">
        <v>685632</v>
      </c>
    </row>
    <row r="999" spans="1:6">
      <c r="A999" s="3" t="s">
        <v>3778</v>
      </c>
      <c r="B999" s="2">
        <v>28</v>
      </c>
      <c r="C999" s="2">
        <v>575465</v>
      </c>
      <c r="D999" s="2">
        <v>2936689</v>
      </c>
      <c r="E999" s="2">
        <v>37.869999999999997</v>
      </c>
      <c r="F999" s="2">
        <v>253485</v>
      </c>
    </row>
    <row r="1000" spans="1:6">
      <c r="A1000" s="3" t="s">
        <v>3779</v>
      </c>
      <c r="B1000" s="2">
        <v>36</v>
      </c>
      <c r="C1000" s="2">
        <v>550543</v>
      </c>
      <c r="D1000" s="2">
        <v>2937565</v>
      </c>
      <c r="E1000" s="2">
        <v>37.869999999999997</v>
      </c>
      <c r="F1000" s="2">
        <v>217864</v>
      </c>
    </row>
    <row r="1001" spans="1:6">
      <c r="A1001" s="3" t="s">
        <v>3780</v>
      </c>
      <c r="B1001" s="2">
        <v>36</v>
      </c>
      <c r="C1001" s="2">
        <v>495961</v>
      </c>
      <c r="D1001" s="2">
        <v>2943943</v>
      </c>
      <c r="E1001" s="2">
        <v>37.869999999999997</v>
      </c>
      <c r="F1001" s="2">
        <v>236111</v>
      </c>
    </row>
    <row r="1002" spans="1:6">
      <c r="A1002" s="3" t="s">
        <v>3781</v>
      </c>
      <c r="B1002" s="2">
        <v>27</v>
      </c>
      <c r="C1002" s="2">
        <v>542195</v>
      </c>
      <c r="D1002" s="2">
        <v>2946739</v>
      </c>
      <c r="E1002" s="2">
        <v>37.869999999999997</v>
      </c>
      <c r="F1002" s="2">
        <v>303221</v>
      </c>
    </row>
    <row r="1003" spans="1:6">
      <c r="A1003" s="3" t="s">
        <v>3782</v>
      </c>
      <c r="B1003" s="2">
        <v>34</v>
      </c>
      <c r="C1003" s="2">
        <v>517299</v>
      </c>
      <c r="D1003" s="2">
        <v>2950967</v>
      </c>
      <c r="E1003" s="2">
        <v>37.869999999999997</v>
      </c>
      <c r="F1003" s="2">
        <v>184650</v>
      </c>
    </row>
    <row r="1004" spans="1:6">
      <c r="A1004" s="3" t="s">
        <v>3783</v>
      </c>
      <c r="B1004" s="2">
        <v>52</v>
      </c>
      <c r="C1004" s="2">
        <v>386118</v>
      </c>
      <c r="D1004" s="2">
        <v>2952598</v>
      </c>
      <c r="E1004" s="2">
        <v>37.869999999999997</v>
      </c>
      <c r="F1004" s="2">
        <v>122794</v>
      </c>
    </row>
    <row r="1005" spans="1:6">
      <c r="A1005" s="3" t="s">
        <v>3784</v>
      </c>
      <c r="B1005" s="2">
        <v>15</v>
      </c>
      <c r="C1005" s="2">
        <v>558202</v>
      </c>
      <c r="D1005" s="2">
        <v>2953051</v>
      </c>
      <c r="E1005" s="2">
        <v>37.869999999999997</v>
      </c>
      <c r="F1005" s="2">
        <v>428039</v>
      </c>
    </row>
    <row r="1006" spans="1:6">
      <c r="A1006" s="3" t="s">
        <v>3785</v>
      </c>
      <c r="B1006" s="2">
        <v>14</v>
      </c>
      <c r="C1006" s="2">
        <v>906087</v>
      </c>
      <c r="D1006" s="2">
        <v>2954043</v>
      </c>
      <c r="E1006" s="2">
        <v>37.869999999999997</v>
      </c>
      <c r="F1006" s="2">
        <v>481596</v>
      </c>
    </row>
    <row r="1007" spans="1:6">
      <c r="A1007" s="3" t="s">
        <v>3786</v>
      </c>
      <c r="B1007" s="2">
        <v>26</v>
      </c>
      <c r="C1007" s="2">
        <v>512002</v>
      </c>
      <c r="D1007" s="2">
        <v>2954077</v>
      </c>
      <c r="E1007" s="2">
        <v>37.869999999999997</v>
      </c>
      <c r="F1007" s="2">
        <v>236920</v>
      </c>
    </row>
    <row r="1008" spans="1:6">
      <c r="A1008" s="3" t="s">
        <v>3787</v>
      </c>
      <c r="B1008" s="2">
        <v>10</v>
      </c>
      <c r="C1008" s="2">
        <v>1536639</v>
      </c>
      <c r="D1008" s="2">
        <v>2956768</v>
      </c>
      <c r="E1008" s="2">
        <v>37.869999999999997</v>
      </c>
      <c r="F1008" s="2">
        <v>1536639</v>
      </c>
    </row>
    <row r="1009" spans="1:6">
      <c r="A1009" s="3" t="s">
        <v>3788</v>
      </c>
      <c r="B1009" s="2">
        <v>34</v>
      </c>
      <c r="C1009" s="2">
        <v>993019</v>
      </c>
      <c r="D1009" s="2">
        <v>2956925</v>
      </c>
      <c r="E1009" s="2">
        <v>37.869999999999997</v>
      </c>
      <c r="F1009" s="2">
        <v>376871</v>
      </c>
    </row>
    <row r="1010" spans="1:6">
      <c r="A1010" s="3" t="s">
        <v>3789</v>
      </c>
      <c r="B1010" s="2">
        <v>19</v>
      </c>
      <c r="C1010" s="2">
        <v>866311</v>
      </c>
      <c r="D1010" s="2">
        <v>2963147</v>
      </c>
      <c r="E1010" s="2">
        <v>37.869999999999997</v>
      </c>
      <c r="F1010" s="2">
        <v>581492</v>
      </c>
    </row>
    <row r="1011" spans="1:6">
      <c r="A1011" s="3" t="s">
        <v>3790</v>
      </c>
      <c r="B1011" s="2">
        <v>33</v>
      </c>
      <c r="C1011" s="2">
        <v>490267</v>
      </c>
      <c r="D1011" s="2">
        <v>2963625</v>
      </c>
      <c r="E1011" s="2">
        <v>37.869999999999997</v>
      </c>
      <c r="F1011" s="2">
        <v>173946</v>
      </c>
    </row>
    <row r="1012" spans="1:6">
      <c r="A1012" s="3" t="s">
        <v>3791</v>
      </c>
      <c r="B1012" s="2">
        <v>17</v>
      </c>
      <c r="C1012" s="2">
        <v>625908</v>
      </c>
      <c r="D1012" s="2">
        <v>2964393</v>
      </c>
      <c r="E1012" s="2">
        <v>37.869999999999997</v>
      </c>
      <c r="F1012" s="2">
        <v>456002</v>
      </c>
    </row>
    <row r="1013" spans="1:6">
      <c r="A1013" s="3" t="s">
        <v>3792</v>
      </c>
      <c r="B1013" s="2">
        <v>21</v>
      </c>
      <c r="C1013" s="2">
        <v>448417</v>
      </c>
      <c r="D1013" s="2">
        <v>2965022</v>
      </c>
      <c r="E1013" s="2">
        <v>37.869999999999997</v>
      </c>
      <c r="F1013" s="2">
        <v>250717</v>
      </c>
    </row>
    <row r="1014" spans="1:6">
      <c r="A1014" s="3" t="s">
        <v>3793</v>
      </c>
      <c r="B1014" s="2">
        <v>27</v>
      </c>
      <c r="C1014" s="2">
        <v>417483</v>
      </c>
      <c r="D1014" s="2">
        <v>2965259</v>
      </c>
      <c r="E1014" s="2">
        <v>37.869999999999997</v>
      </c>
      <c r="F1014" s="2">
        <v>225256</v>
      </c>
    </row>
    <row r="1015" spans="1:6">
      <c r="A1015" s="3" t="s">
        <v>3794</v>
      </c>
      <c r="B1015" s="2">
        <v>25</v>
      </c>
      <c r="C1015" s="2">
        <v>457605</v>
      </c>
      <c r="D1015" s="2">
        <v>2965577</v>
      </c>
      <c r="E1015" s="2">
        <v>37.869999999999997</v>
      </c>
      <c r="F1015" s="2">
        <v>255453</v>
      </c>
    </row>
    <row r="1016" spans="1:6">
      <c r="A1016" s="3" t="s">
        <v>3795</v>
      </c>
      <c r="B1016" s="2">
        <v>105</v>
      </c>
      <c r="C1016" s="2">
        <v>187374</v>
      </c>
      <c r="D1016" s="2">
        <v>2966003</v>
      </c>
      <c r="E1016" s="2">
        <v>37.869999999999997</v>
      </c>
      <c r="F1016" s="2">
        <v>53168</v>
      </c>
    </row>
    <row r="1017" spans="1:6">
      <c r="A1017" s="3" t="s">
        <v>3796</v>
      </c>
      <c r="B1017" s="2">
        <v>13</v>
      </c>
      <c r="C1017" s="2">
        <v>1398288</v>
      </c>
      <c r="D1017" s="2">
        <v>2968704</v>
      </c>
      <c r="E1017" s="2">
        <v>37.869999999999997</v>
      </c>
      <c r="F1017" s="2">
        <v>357628</v>
      </c>
    </row>
    <row r="1018" spans="1:6">
      <c r="A1018" s="3" t="s">
        <v>3797</v>
      </c>
      <c r="B1018" s="2">
        <v>14</v>
      </c>
      <c r="C1018" s="2">
        <v>645892</v>
      </c>
      <c r="D1018" s="2">
        <v>2972162</v>
      </c>
      <c r="E1018" s="2">
        <v>37.869999999999997</v>
      </c>
      <c r="F1018" s="2">
        <v>552143</v>
      </c>
    </row>
    <row r="1019" spans="1:6">
      <c r="A1019" s="3" t="s">
        <v>3798</v>
      </c>
      <c r="B1019" s="2">
        <v>16</v>
      </c>
      <c r="C1019" s="2">
        <v>1267608</v>
      </c>
      <c r="D1019" s="2">
        <v>2974532</v>
      </c>
      <c r="E1019" s="2">
        <v>37.869999999999997</v>
      </c>
      <c r="F1019" s="2">
        <v>510129</v>
      </c>
    </row>
    <row r="1020" spans="1:6">
      <c r="A1020" s="3" t="s">
        <v>3799</v>
      </c>
      <c r="B1020" s="2">
        <v>111</v>
      </c>
      <c r="C1020" s="2">
        <v>144200</v>
      </c>
      <c r="D1020" s="2">
        <v>2974927</v>
      </c>
      <c r="E1020" s="2">
        <v>37.869999999999997</v>
      </c>
      <c r="F1020" s="2">
        <v>51022</v>
      </c>
    </row>
    <row r="1021" spans="1:6">
      <c r="A1021" s="3" t="s">
        <v>3800</v>
      </c>
      <c r="B1021" s="2">
        <v>29</v>
      </c>
      <c r="C1021" s="2">
        <v>543033</v>
      </c>
      <c r="D1021" s="2">
        <v>2975144</v>
      </c>
      <c r="E1021" s="2">
        <v>37.869999999999997</v>
      </c>
      <c r="F1021" s="2">
        <v>233731</v>
      </c>
    </row>
    <row r="1022" spans="1:6">
      <c r="A1022" s="3" t="s">
        <v>3801</v>
      </c>
      <c r="B1022" s="2">
        <v>16</v>
      </c>
      <c r="C1022" s="2">
        <v>703683</v>
      </c>
      <c r="D1022" s="2">
        <v>2977452</v>
      </c>
      <c r="E1022" s="2">
        <v>37.869999999999997</v>
      </c>
      <c r="F1022" s="2">
        <v>425809</v>
      </c>
    </row>
    <row r="1023" spans="1:6">
      <c r="A1023" s="3" t="s">
        <v>3802</v>
      </c>
      <c r="B1023" s="2">
        <v>11</v>
      </c>
      <c r="C1023" s="2">
        <v>1534344</v>
      </c>
      <c r="D1023" s="2">
        <v>2986002</v>
      </c>
      <c r="E1023" s="2">
        <v>37.869999999999997</v>
      </c>
      <c r="F1023" s="2">
        <v>1534344</v>
      </c>
    </row>
    <row r="1024" spans="1:6">
      <c r="A1024" s="3" t="s">
        <v>3803</v>
      </c>
      <c r="B1024" s="2">
        <v>13</v>
      </c>
      <c r="C1024" s="2">
        <v>1387058</v>
      </c>
      <c r="D1024" s="2">
        <v>2991302</v>
      </c>
      <c r="E1024" s="2">
        <v>37.869999999999997</v>
      </c>
      <c r="F1024" s="2">
        <v>591155</v>
      </c>
    </row>
    <row r="1025" spans="1:6">
      <c r="A1025" s="3" t="s">
        <v>3804</v>
      </c>
      <c r="B1025" s="2">
        <v>17</v>
      </c>
      <c r="C1025" s="2">
        <v>576384</v>
      </c>
      <c r="D1025" s="2">
        <v>2997466</v>
      </c>
      <c r="E1025" s="2">
        <v>37.869999999999997</v>
      </c>
      <c r="F1025" s="2">
        <v>339307</v>
      </c>
    </row>
    <row r="1026" spans="1:6">
      <c r="A1026" s="3" t="s">
        <v>3805</v>
      </c>
      <c r="B1026" s="2">
        <v>37</v>
      </c>
      <c r="C1026" s="2">
        <v>431559</v>
      </c>
      <c r="D1026" s="2">
        <v>2998356</v>
      </c>
      <c r="E1026" s="2">
        <v>37.869999999999997</v>
      </c>
      <c r="F1026" s="2">
        <v>143346</v>
      </c>
    </row>
    <row r="1027" spans="1:6">
      <c r="A1027" s="3" t="s">
        <v>3806</v>
      </c>
      <c r="B1027" s="2">
        <v>19</v>
      </c>
      <c r="C1027" s="2">
        <v>440273</v>
      </c>
      <c r="D1027" s="2">
        <v>3012288</v>
      </c>
      <c r="E1027" s="2">
        <v>37.869999999999997</v>
      </c>
      <c r="F1027" s="2">
        <v>337453</v>
      </c>
    </row>
    <row r="1028" spans="1:6">
      <c r="A1028" s="3" t="s">
        <v>3807</v>
      </c>
      <c r="B1028" s="2">
        <v>23</v>
      </c>
      <c r="C1028" s="2">
        <v>476975</v>
      </c>
      <c r="D1028" s="2">
        <v>3013537</v>
      </c>
      <c r="E1028" s="2">
        <v>37.869999999999997</v>
      </c>
      <c r="F1028" s="2">
        <v>338015</v>
      </c>
    </row>
    <row r="1029" spans="1:6">
      <c r="A1029" s="3" t="s">
        <v>3808</v>
      </c>
      <c r="B1029" s="2">
        <v>19</v>
      </c>
      <c r="C1029" s="2">
        <v>605843</v>
      </c>
      <c r="D1029" s="2">
        <v>3045531</v>
      </c>
      <c r="E1029" s="2">
        <v>37.869999999999997</v>
      </c>
      <c r="F1029" s="2">
        <v>509372</v>
      </c>
    </row>
    <row r="1030" spans="1:6">
      <c r="A1030" s="3" t="s">
        <v>3809</v>
      </c>
      <c r="B1030" s="2">
        <v>25</v>
      </c>
      <c r="C1030" s="2">
        <v>698253</v>
      </c>
      <c r="D1030" s="2">
        <v>3052911</v>
      </c>
      <c r="E1030" s="2">
        <v>37.869999999999997</v>
      </c>
      <c r="F1030" s="2">
        <v>298768</v>
      </c>
    </row>
    <row r="1031" spans="1:6">
      <c r="A1031" s="3" t="s">
        <v>3810</v>
      </c>
      <c r="B1031" s="2">
        <v>25</v>
      </c>
      <c r="C1031" s="2">
        <v>502978</v>
      </c>
      <c r="D1031" s="2">
        <v>3055003</v>
      </c>
      <c r="E1031" s="2">
        <v>37.869999999999997</v>
      </c>
      <c r="F1031" s="2">
        <v>277983</v>
      </c>
    </row>
    <row r="1032" spans="1:6">
      <c r="A1032" s="3" t="s">
        <v>3811</v>
      </c>
      <c r="B1032" s="2">
        <v>20</v>
      </c>
      <c r="C1032" s="2">
        <v>891827</v>
      </c>
      <c r="D1032" s="2">
        <v>3055811</v>
      </c>
      <c r="E1032" s="2">
        <v>37.869999999999997</v>
      </c>
      <c r="F1032" s="2">
        <v>508250</v>
      </c>
    </row>
    <row r="1033" spans="1:6">
      <c r="A1033" s="3" t="s">
        <v>3812</v>
      </c>
      <c r="B1033" s="2">
        <v>55</v>
      </c>
      <c r="C1033" s="2">
        <v>435619</v>
      </c>
      <c r="D1033" s="2">
        <v>3057061</v>
      </c>
      <c r="E1033" s="2">
        <v>37.869999999999997</v>
      </c>
      <c r="F1033" s="2">
        <v>120674</v>
      </c>
    </row>
    <row r="1034" spans="1:6">
      <c r="A1034" s="3" t="s">
        <v>3813</v>
      </c>
      <c r="B1034" s="2">
        <v>31</v>
      </c>
      <c r="C1034" s="2">
        <v>459893</v>
      </c>
      <c r="D1034" s="2">
        <v>3058481</v>
      </c>
      <c r="E1034" s="2">
        <v>37.869999999999997</v>
      </c>
      <c r="F1034" s="2">
        <v>216642</v>
      </c>
    </row>
    <row r="1035" spans="1:6">
      <c r="A1035" s="3" t="s">
        <v>3814</v>
      </c>
      <c r="B1035" s="2">
        <v>22</v>
      </c>
      <c r="C1035" s="2">
        <v>605974</v>
      </c>
      <c r="D1035" s="2">
        <v>3061513</v>
      </c>
      <c r="E1035" s="2">
        <v>37.869999999999997</v>
      </c>
      <c r="F1035" s="2">
        <v>435572</v>
      </c>
    </row>
    <row r="1036" spans="1:6">
      <c r="A1036" s="3" t="s">
        <v>3815</v>
      </c>
      <c r="B1036" s="2">
        <v>16</v>
      </c>
      <c r="C1036" s="2">
        <v>605976</v>
      </c>
      <c r="D1036" s="2">
        <v>3063696</v>
      </c>
      <c r="E1036" s="2">
        <v>37.869999999999997</v>
      </c>
      <c r="F1036" s="2">
        <v>477361</v>
      </c>
    </row>
    <row r="1037" spans="1:6">
      <c r="A1037" s="3" t="s">
        <v>3816</v>
      </c>
      <c r="B1037" s="2">
        <v>18</v>
      </c>
      <c r="C1037" s="2">
        <v>1035044</v>
      </c>
      <c r="D1037" s="2">
        <v>3064615</v>
      </c>
      <c r="E1037" s="2">
        <v>37.869999999999997</v>
      </c>
      <c r="F1037" s="2">
        <v>509810</v>
      </c>
    </row>
    <row r="1038" spans="1:6">
      <c r="A1038" s="3" t="s">
        <v>3817</v>
      </c>
      <c r="B1038" s="2">
        <v>21</v>
      </c>
      <c r="C1038" s="2">
        <v>604882</v>
      </c>
      <c r="D1038" s="2">
        <v>3064725</v>
      </c>
      <c r="E1038" s="2">
        <v>37.869999999999997</v>
      </c>
      <c r="F1038" s="2">
        <v>449288</v>
      </c>
    </row>
    <row r="1039" spans="1:6">
      <c r="A1039" s="3" t="s">
        <v>3818</v>
      </c>
      <c r="B1039" s="2">
        <v>51</v>
      </c>
      <c r="C1039" s="2">
        <v>236346</v>
      </c>
      <c r="D1039" s="2">
        <v>3069226</v>
      </c>
      <c r="E1039" s="2">
        <v>37.869999999999997</v>
      </c>
      <c r="F1039" s="2">
        <v>142232</v>
      </c>
    </row>
    <row r="1040" spans="1:6">
      <c r="A1040" s="3" t="s">
        <v>3819</v>
      </c>
      <c r="B1040" s="2">
        <v>14</v>
      </c>
      <c r="C1040" s="2">
        <v>916254</v>
      </c>
      <c r="D1040" s="2">
        <v>3070279</v>
      </c>
      <c r="E1040" s="2">
        <v>37.869999999999997</v>
      </c>
      <c r="F1040" s="2">
        <v>484746</v>
      </c>
    </row>
    <row r="1041" spans="1:6">
      <c r="A1041" s="3" t="s">
        <v>3820</v>
      </c>
      <c r="B1041" s="2">
        <v>26</v>
      </c>
      <c r="C1041" s="2">
        <v>914297</v>
      </c>
      <c r="D1041" s="2">
        <v>3070699</v>
      </c>
      <c r="E1041" s="2">
        <v>37.869999999999997</v>
      </c>
      <c r="F1041" s="2">
        <v>511548</v>
      </c>
    </row>
    <row r="1042" spans="1:6">
      <c r="A1042" s="3" t="s">
        <v>3821</v>
      </c>
      <c r="B1042" s="2">
        <v>21</v>
      </c>
      <c r="C1042" s="2">
        <v>588343</v>
      </c>
      <c r="D1042" s="2">
        <v>3078516</v>
      </c>
      <c r="E1042" s="2">
        <v>37.869999999999997</v>
      </c>
      <c r="F1042" s="2">
        <v>425860</v>
      </c>
    </row>
    <row r="1043" spans="1:6">
      <c r="A1043" s="3" t="s">
        <v>3822</v>
      </c>
      <c r="B1043" s="2">
        <v>48</v>
      </c>
      <c r="C1043" s="2">
        <v>736772</v>
      </c>
      <c r="D1043" s="2">
        <v>3082326</v>
      </c>
      <c r="E1043" s="2">
        <v>37.869999999999997</v>
      </c>
      <c r="F1043" s="2">
        <v>449484</v>
      </c>
    </row>
    <row r="1044" spans="1:6">
      <c r="A1044" s="3" t="s">
        <v>3823</v>
      </c>
      <c r="B1044" s="2">
        <v>34</v>
      </c>
      <c r="C1044" s="2">
        <v>483652</v>
      </c>
      <c r="D1044" s="2">
        <v>3086229</v>
      </c>
      <c r="E1044" s="2">
        <v>37.869999999999997</v>
      </c>
      <c r="F1044" s="2">
        <v>236940</v>
      </c>
    </row>
    <row r="1045" spans="1:6">
      <c r="A1045" s="3" t="s">
        <v>3824</v>
      </c>
      <c r="B1045" s="2">
        <v>33</v>
      </c>
      <c r="C1045" s="2">
        <v>749321</v>
      </c>
      <c r="D1045" s="2">
        <v>3103095</v>
      </c>
      <c r="E1045" s="2">
        <v>37.869999999999997</v>
      </c>
      <c r="F1045" s="2">
        <v>407799</v>
      </c>
    </row>
    <row r="1046" spans="1:6">
      <c r="A1046" s="3" t="s">
        <v>3825</v>
      </c>
      <c r="B1046" s="2">
        <v>218</v>
      </c>
      <c r="C1046" s="2">
        <v>645934</v>
      </c>
      <c r="D1046" s="2">
        <v>3104423</v>
      </c>
      <c r="E1046" s="2">
        <v>37.869999999999997</v>
      </c>
      <c r="F1046" s="2">
        <v>550460</v>
      </c>
    </row>
    <row r="1047" spans="1:6">
      <c r="A1047" s="3" t="s">
        <v>3826</v>
      </c>
      <c r="B1047" s="2">
        <v>30</v>
      </c>
      <c r="C1047" s="2">
        <v>1162625</v>
      </c>
      <c r="D1047" s="2">
        <v>3107311</v>
      </c>
      <c r="E1047" s="2">
        <v>37.869999999999997</v>
      </c>
      <c r="F1047" s="2">
        <v>512403</v>
      </c>
    </row>
    <row r="1048" spans="1:6">
      <c r="A1048" s="3" t="s">
        <v>3827</v>
      </c>
      <c r="B1048" s="2">
        <v>15</v>
      </c>
      <c r="C1048" s="2">
        <v>1393100</v>
      </c>
      <c r="D1048" s="2">
        <v>3107616</v>
      </c>
      <c r="E1048" s="2">
        <v>37.869999999999997</v>
      </c>
      <c r="F1048" s="2">
        <v>516710</v>
      </c>
    </row>
    <row r="1049" spans="1:6">
      <c r="A1049" s="3" t="s">
        <v>3828</v>
      </c>
      <c r="B1049" s="2">
        <v>16</v>
      </c>
      <c r="C1049" s="2">
        <v>1306725</v>
      </c>
      <c r="D1049" s="2">
        <v>3124016</v>
      </c>
      <c r="E1049" s="2">
        <v>37.869999999999997</v>
      </c>
      <c r="F1049" s="2">
        <v>516591</v>
      </c>
    </row>
    <row r="1050" spans="1:6">
      <c r="A1050" s="3" t="s">
        <v>3829</v>
      </c>
      <c r="B1050" s="2">
        <v>15</v>
      </c>
      <c r="C1050" s="2">
        <v>1456987</v>
      </c>
      <c r="D1050" s="2">
        <v>2870831</v>
      </c>
      <c r="E1050" s="2">
        <v>37.880000000000003</v>
      </c>
      <c r="F1050" s="2">
        <v>1456987</v>
      </c>
    </row>
    <row r="1051" spans="1:6">
      <c r="A1051" s="3" t="s">
        <v>3830</v>
      </c>
      <c r="B1051" s="2">
        <v>13</v>
      </c>
      <c r="C1051" s="2">
        <v>714919</v>
      </c>
      <c r="D1051" s="2">
        <v>2870883</v>
      </c>
      <c r="E1051" s="2">
        <v>37.880000000000003</v>
      </c>
      <c r="F1051" s="2">
        <v>507924</v>
      </c>
    </row>
    <row r="1052" spans="1:6">
      <c r="A1052" s="3" t="s">
        <v>3831</v>
      </c>
      <c r="B1052" s="2">
        <v>36</v>
      </c>
      <c r="C1052" s="2">
        <v>542291</v>
      </c>
      <c r="D1052" s="2">
        <v>2871245</v>
      </c>
      <c r="E1052" s="2">
        <v>37.880000000000003</v>
      </c>
      <c r="F1052" s="2">
        <v>145985</v>
      </c>
    </row>
    <row r="1053" spans="1:6">
      <c r="A1053" s="3" t="s">
        <v>3832</v>
      </c>
      <c r="B1053" s="2">
        <v>27</v>
      </c>
      <c r="C1053" s="2">
        <v>410169</v>
      </c>
      <c r="D1053" s="2">
        <v>2874715</v>
      </c>
      <c r="E1053" s="2">
        <v>37.880000000000003</v>
      </c>
      <c r="F1053" s="2">
        <v>211768</v>
      </c>
    </row>
    <row r="1054" spans="1:6">
      <c r="A1054" s="3" t="s">
        <v>3833</v>
      </c>
      <c r="B1054" s="2">
        <v>20</v>
      </c>
      <c r="C1054" s="2">
        <v>668447</v>
      </c>
      <c r="D1054" s="2">
        <v>2875423</v>
      </c>
      <c r="E1054" s="2">
        <v>37.880000000000003</v>
      </c>
      <c r="F1054" s="2">
        <v>377114</v>
      </c>
    </row>
    <row r="1055" spans="1:6">
      <c r="A1055" s="3" t="s">
        <v>3834</v>
      </c>
      <c r="B1055" s="2">
        <v>15</v>
      </c>
      <c r="C1055" s="2">
        <v>700527</v>
      </c>
      <c r="D1055" s="2">
        <v>2884814</v>
      </c>
      <c r="E1055" s="2">
        <v>37.880000000000003</v>
      </c>
      <c r="F1055" s="2">
        <v>523568</v>
      </c>
    </row>
    <row r="1056" spans="1:6">
      <c r="A1056" s="3" t="s">
        <v>3835</v>
      </c>
      <c r="B1056" s="2">
        <v>11</v>
      </c>
      <c r="C1056" s="2">
        <v>1494732</v>
      </c>
      <c r="D1056" s="2">
        <v>2887524</v>
      </c>
      <c r="E1056" s="2">
        <v>37.880000000000003</v>
      </c>
      <c r="F1056" s="2">
        <v>1494732</v>
      </c>
    </row>
    <row r="1057" spans="1:6">
      <c r="A1057" s="3" t="s">
        <v>3836</v>
      </c>
      <c r="B1057" s="2">
        <v>15</v>
      </c>
      <c r="C1057" s="2">
        <v>1364742</v>
      </c>
      <c r="D1057" s="2">
        <v>2887852</v>
      </c>
      <c r="E1057" s="2">
        <v>37.880000000000003</v>
      </c>
      <c r="F1057" s="2">
        <v>396533</v>
      </c>
    </row>
    <row r="1058" spans="1:6">
      <c r="A1058" s="3" t="s">
        <v>3837</v>
      </c>
      <c r="B1058" s="2">
        <v>15</v>
      </c>
      <c r="C1058" s="2">
        <v>864104</v>
      </c>
      <c r="D1058" s="2">
        <v>2888825</v>
      </c>
      <c r="E1058" s="2">
        <v>37.880000000000003</v>
      </c>
      <c r="F1058" s="2">
        <v>331219</v>
      </c>
    </row>
    <row r="1059" spans="1:6">
      <c r="A1059" s="3" t="s">
        <v>3838</v>
      </c>
      <c r="B1059" s="2">
        <v>15</v>
      </c>
      <c r="C1059" s="2">
        <v>794078</v>
      </c>
      <c r="D1059" s="2">
        <v>2891043</v>
      </c>
      <c r="E1059" s="2">
        <v>37.880000000000003</v>
      </c>
      <c r="F1059" s="2">
        <v>331308</v>
      </c>
    </row>
    <row r="1060" spans="1:6">
      <c r="A1060" s="3" t="s">
        <v>3839</v>
      </c>
      <c r="B1060" s="2">
        <v>16</v>
      </c>
      <c r="C1060" s="2">
        <v>646509</v>
      </c>
      <c r="D1060" s="2">
        <v>2892287</v>
      </c>
      <c r="E1060" s="2">
        <v>37.880000000000003</v>
      </c>
      <c r="F1060" s="2">
        <v>434343</v>
      </c>
    </row>
    <row r="1061" spans="1:6">
      <c r="A1061" s="3" t="s">
        <v>3840</v>
      </c>
      <c r="B1061" s="2">
        <v>74</v>
      </c>
      <c r="C1061" s="2">
        <v>176468</v>
      </c>
      <c r="D1061" s="2">
        <v>2892483</v>
      </c>
      <c r="E1061" s="2">
        <v>37.880000000000003</v>
      </c>
      <c r="F1061" s="2">
        <v>90325</v>
      </c>
    </row>
    <row r="1062" spans="1:6">
      <c r="A1062" s="3" t="s">
        <v>3841</v>
      </c>
      <c r="B1062" s="2">
        <v>18</v>
      </c>
      <c r="C1062" s="2">
        <v>974059</v>
      </c>
      <c r="D1062" s="2">
        <v>2894574</v>
      </c>
      <c r="E1062" s="2">
        <v>37.880000000000003</v>
      </c>
      <c r="F1062" s="2">
        <v>506728</v>
      </c>
    </row>
    <row r="1063" spans="1:6">
      <c r="A1063" s="3" t="s">
        <v>3842</v>
      </c>
      <c r="B1063" s="2">
        <v>18</v>
      </c>
      <c r="C1063" s="2">
        <v>685635</v>
      </c>
      <c r="D1063" s="2">
        <v>2895081</v>
      </c>
      <c r="E1063" s="2">
        <v>37.880000000000003</v>
      </c>
      <c r="F1063" s="2">
        <v>292500</v>
      </c>
    </row>
    <row r="1064" spans="1:6">
      <c r="A1064" s="3" t="s">
        <v>3843</v>
      </c>
      <c r="B1064" s="2">
        <v>35</v>
      </c>
      <c r="C1064" s="2">
        <v>491160</v>
      </c>
      <c r="D1064" s="2">
        <v>2895115</v>
      </c>
      <c r="E1064" s="2">
        <v>37.880000000000003</v>
      </c>
      <c r="F1064" s="2">
        <v>292223</v>
      </c>
    </row>
    <row r="1065" spans="1:6">
      <c r="A1065" s="3" t="s">
        <v>3844</v>
      </c>
      <c r="B1065" s="2">
        <v>64</v>
      </c>
      <c r="C1065" s="2">
        <v>151994</v>
      </c>
      <c r="D1065" s="2">
        <v>2898339</v>
      </c>
      <c r="E1065" s="2">
        <v>37.880000000000003</v>
      </c>
      <c r="F1065" s="2">
        <v>80448</v>
      </c>
    </row>
    <row r="1066" spans="1:6">
      <c r="A1066" s="3" t="s">
        <v>3845</v>
      </c>
      <c r="B1066" s="2">
        <v>12</v>
      </c>
      <c r="C1066" s="2">
        <v>1008983</v>
      </c>
      <c r="D1066" s="2">
        <v>2899296</v>
      </c>
      <c r="E1066" s="2">
        <v>37.880000000000003</v>
      </c>
      <c r="F1066" s="2">
        <v>507703</v>
      </c>
    </row>
    <row r="1067" spans="1:6">
      <c r="A1067" s="3" t="s">
        <v>3846</v>
      </c>
      <c r="B1067" s="2">
        <v>59</v>
      </c>
      <c r="C1067" s="2">
        <v>368302</v>
      </c>
      <c r="D1067" s="2">
        <v>2899428</v>
      </c>
      <c r="E1067" s="2">
        <v>37.880000000000003</v>
      </c>
      <c r="F1067" s="2">
        <v>85093</v>
      </c>
    </row>
    <row r="1068" spans="1:6">
      <c r="A1068" s="3" t="s">
        <v>3847</v>
      </c>
      <c r="B1068" s="2">
        <v>12</v>
      </c>
      <c r="C1068" s="2">
        <v>1527941</v>
      </c>
      <c r="D1068" s="2">
        <v>2906276</v>
      </c>
      <c r="E1068" s="2">
        <v>37.880000000000003</v>
      </c>
      <c r="F1068" s="2">
        <v>1527941</v>
      </c>
    </row>
    <row r="1069" spans="1:6">
      <c r="A1069" s="3" t="s">
        <v>3848</v>
      </c>
      <c r="B1069" s="2">
        <v>24</v>
      </c>
      <c r="C1069" s="2">
        <v>513116</v>
      </c>
      <c r="D1069" s="2">
        <v>2907525</v>
      </c>
      <c r="E1069" s="2">
        <v>37.880000000000003</v>
      </c>
      <c r="F1069" s="2">
        <v>256111</v>
      </c>
    </row>
    <row r="1070" spans="1:6">
      <c r="A1070" s="3" t="s">
        <v>3849</v>
      </c>
      <c r="B1070" s="2">
        <v>12</v>
      </c>
      <c r="C1070" s="2">
        <v>1211824</v>
      </c>
      <c r="D1070" s="2">
        <v>2909210</v>
      </c>
      <c r="E1070" s="2">
        <v>37.880000000000003</v>
      </c>
      <c r="F1070" s="2">
        <v>517906</v>
      </c>
    </row>
    <row r="1071" spans="1:6">
      <c r="A1071" s="3" t="s">
        <v>3850</v>
      </c>
      <c r="B1071" s="2">
        <v>12</v>
      </c>
      <c r="C1071" s="2">
        <v>1211824</v>
      </c>
      <c r="D1071" s="2">
        <v>2909215</v>
      </c>
      <c r="E1071" s="2">
        <v>37.880000000000003</v>
      </c>
      <c r="F1071" s="2">
        <v>517906</v>
      </c>
    </row>
    <row r="1072" spans="1:6">
      <c r="A1072" s="3" t="s">
        <v>3851</v>
      </c>
      <c r="B1072" s="2">
        <v>10</v>
      </c>
      <c r="C1072" s="2">
        <v>1249527</v>
      </c>
      <c r="D1072" s="2">
        <v>2914142</v>
      </c>
      <c r="E1072" s="2">
        <v>37.880000000000003</v>
      </c>
      <c r="F1072" s="2">
        <v>511279</v>
      </c>
    </row>
    <row r="1073" spans="1:6">
      <c r="A1073" s="3" t="s">
        <v>3852</v>
      </c>
      <c r="B1073" s="2">
        <v>36</v>
      </c>
      <c r="C1073" s="2">
        <v>357499</v>
      </c>
      <c r="D1073" s="2">
        <v>2915282</v>
      </c>
      <c r="E1073" s="2">
        <v>37.880000000000003</v>
      </c>
      <c r="F1073" s="2">
        <v>159425</v>
      </c>
    </row>
    <row r="1074" spans="1:6">
      <c r="A1074" s="3" t="s">
        <v>3853</v>
      </c>
      <c r="B1074" s="2">
        <v>30</v>
      </c>
      <c r="C1074" s="2">
        <v>574542</v>
      </c>
      <c r="D1074" s="2">
        <v>2915329</v>
      </c>
      <c r="E1074" s="2">
        <v>37.880000000000003</v>
      </c>
      <c r="F1074" s="2">
        <v>225619</v>
      </c>
    </row>
    <row r="1075" spans="1:6">
      <c r="A1075" s="3" t="s">
        <v>3854</v>
      </c>
      <c r="B1075" s="2">
        <v>34</v>
      </c>
      <c r="C1075" s="2">
        <v>347628</v>
      </c>
      <c r="D1075" s="2">
        <v>2915428</v>
      </c>
      <c r="E1075" s="2">
        <v>37.880000000000003</v>
      </c>
      <c r="F1075" s="2">
        <v>161834</v>
      </c>
    </row>
    <row r="1076" spans="1:6">
      <c r="A1076" s="3" t="s">
        <v>3855</v>
      </c>
      <c r="B1076" s="2">
        <v>33</v>
      </c>
      <c r="C1076" s="2">
        <v>291540</v>
      </c>
      <c r="D1076" s="2">
        <v>2916126</v>
      </c>
      <c r="E1076" s="2">
        <v>37.880000000000003</v>
      </c>
      <c r="F1076" s="2">
        <v>172437</v>
      </c>
    </row>
    <row r="1077" spans="1:6">
      <c r="A1077" s="3" t="s">
        <v>3856</v>
      </c>
      <c r="B1077" s="2">
        <v>18</v>
      </c>
      <c r="C1077" s="2">
        <v>1459086</v>
      </c>
      <c r="D1077" s="2">
        <v>2916660</v>
      </c>
      <c r="E1077" s="2">
        <v>37.880000000000003</v>
      </c>
      <c r="F1077" s="2">
        <v>1459086</v>
      </c>
    </row>
    <row r="1078" spans="1:6">
      <c r="A1078" s="3" t="s">
        <v>3857</v>
      </c>
      <c r="B1078" s="2">
        <v>12</v>
      </c>
      <c r="C1078" s="2">
        <v>1387010</v>
      </c>
      <c r="D1078" s="2">
        <v>2916982</v>
      </c>
      <c r="E1078" s="2">
        <v>37.880000000000003</v>
      </c>
      <c r="F1078" s="2">
        <v>540655</v>
      </c>
    </row>
    <row r="1079" spans="1:6">
      <c r="A1079" s="3" t="s">
        <v>3858</v>
      </c>
      <c r="B1079" s="2">
        <v>22</v>
      </c>
      <c r="C1079" s="2">
        <v>830619</v>
      </c>
      <c r="D1079" s="2">
        <v>2917325</v>
      </c>
      <c r="E1079" s="2">
        <v>37.880000000000003</v>
      </c>
      <c r="F1079" s="2">
        <v>375960</v>
      </c>
    </row>
    <row r="1080" spans="1:6">
      <c r="A1080" s="3" t="s">
        <v>3859</v>
      </c>
      <c r="B1080" s="2">
        <v>26</v>
      </c>
      <c r="C1080" s="2">
        <v>476631</v>
      </c>
      <c r="D1080" s="2">
        <v>2917792</v>
      </c>
      <c r="E1080" s="2">
        <v>37.880000000000003</v>
      </c>
      <c r="F1080" s="2">
        <v>259810</v>
      </c>
    </row>
    <row r="1081" spans="1:6">
      <c r="A1081" s="3" t="s">
        <v>3860</v>
      </c>
      <c r="B1081" s="2">
        <v>30</v>
      </c>
      <c r="C1081" s="2">
        <v>354565</v>
      </c>
      <c r="D1081" s="2">
        <v>2917801</v>
      </c>
      <c r="E1081" s="2">
        <v>37.880000000000003</v>
      </c>
      <c r="F1081" s="2">
        <v>203570</v>
      </c>
    </row>
    <row r="1082" spans="1:6">
      <c r="A1082" s="3" t="s">
        <v>3861</v>
      </c>
      <c r="B1082" s="2">
        <v>17</v>
      </c>
      <c r="C1082" s="2">
        <v>993597</v>
      </c>
      <c r="D1082" s="2">
        <v>2918551</v>
      </c>
      <c r="E1082" s="2">
        <v>37.880000000000003</v>
      </c>
      <c r="F1082" s="2">
        <v>517105</v>
      </c>
    </row>
    <row r="1083" spans="1:6">
      <c r="A1083" s="3" t="s">
        <v>3862</v>
      </c>
      <c r="B1083" s="2">
        <v>12</v>
      </c>
      <c r="C1083" s="2">
        <v>816647</v>
      </c>
      <c r="D1083" s="2">
        <v>2919273</v>
      </c>
      <c r="E1083" s="2">
        <v>37.880000000000003</v>
      </c>
      <c r="F1083" s="2">
        <v>685663</v>
      </c>
    </row>
    <row r="1084" spans="1:6">
      <c r="A1084" s="3" t="s">
        <v>3863</v>
      </c>
      <c r="B1084" s="2">
        <v>30</v>
      </c>
      <c r="C1084" s="2">
        <v>315810</v>
      </c>
      <c r="D1084" s="2">
        <v>2919550</v>
      </c>
      <c r="E1084" s="2">
        <v>37.880000000000003</v>
      </c>
      <c r="F1084" s="2">
        <v>199655</v>
      </c>
    </row>
    <row r="1085" spans="1:6">
      <c r="A1085" s="3" t="s">
        <v>3864</v>
      </c>
      <c r="B1085" s="2">
        <v>13</v>
      </c>
      <c r="C1085" s="2">
        <v>816647</v>
      </c>
      <c r="D1085" s="2">
        <v>2919682</v>
      </c>
      <c r="E1085" s="2">
        <v>37.880000000000003</v>
      </c>
      <c r="F1085" s="2">
        <v>686137</v>
      </c>
    </row>
    <row r="1086" spans="1:6">
      <c r="A1086" s="3" t="s">
        <v>3865</v>
      </c>
      <c r="B1086" s="2">
        <v>20</v>
      </c>
      <c r="C1086" s="2">
        <v>1021484</v>
      </c>
      <c r="D1086" s="2">
        <v>2919788</v>
      </c>
      <c r="E1086" s="2">
        <v>37.880000000000003</v>
      </c>
      <c r="F1086" s="2">
        <v>477749</v>
      </c>
    </row>
    <row r="1087" spans="1:6">
      <c r="A1087" s="3" t="s">
        <v>3866</v>
      </c>
      <c r="B1087" s="2">
        <v>24</v>
      </c>
      <c r="C1087" s="2">
        <v>631766</v>
      </c>
      <c r="D1087" s="2">
        <v>2920343</v>
      </c>
      <c r="E1087" s="2">
        <v>37.880000000000003</v>
      </c>
      <c r="F1087" s="2">
        <v>236497</v>
      </c>
    </row>
    <row r="1088" spans="1:6">
      <c r="A1088" s="3" t="s">
        <v>3867</v>
      </c>
      <c r="B1088" s="2">
        <v>26</v>
      </c>
      <c r="C1088" s="2">
        <v>500146</v>
      </c>
      <c r="D1088" s="2">
        <v>2921072</v>
      </c>
      <c r="E1088" s="2">
        <v>37.880000000000003</v>
      </c>
      <c r="F1088" s="2">
        <v>330231</v>
      </c>
    </row>
    <row r="1089" spans="1:6">
      <c r="A1089" s="3" t="s">
        <v>3868</v>
      </c>
      <c r="B1089" s="2">
        <v>13</v>
      </c>
      <c r="C1089" s="2">
        <v>1501644</v>
      </c>
      <c r="D1089" s="2">
        <v>2921281</v>
      </c>
      <c r="E1089" s="2">
        <v>37.880000000000003</v>
      </c>
      <c r="F1089" s="2">
        <v>1501644</v>
      </c>
    </row>
    <row r="1090" spans="1:6">
      <c r="A1090" s="3" t="s">
        <v>3869</v>
      </c>
      <c r="B1090" s="2">
        <v>22</v>
      </c>
      <c r="C1090" s="2">
        <v>505635</v>
      </c>
      <c r="D1090" s="2">
        <v>2921892</v>
      </c>
      <c r="E1090" s="2">
        <v>37.880000000000003</v>
      </c>
      <c r="F1090" s="2">
        <v>270854</v>
      </c>
    </row>
    <row r="1091" spans="1:6">
      <c r="A1091" s="3" t="s">
        <v>3870</v>
      </c>
      <c r="B1091" s="2">
        <v>14</v>
      </c>
      <c r="C1091" s="2">
        <v>594833</v>
      </c>
      <c r="D1091" s="2">
        <v>2923768</v>
      </c>
      <c r="E1091" s="2">
        <v>37.880000000000003</v>
      </c>
      <c r="F1091" s="2">
        <v>450292</v>
      </c>
    </row>
    <row r="1092" spans="1:6">
      <c r="A1092" s="3" t="s">
        <v>3871</v>
      </c>
      <c r="B1092" s="2">
        <v>44</v>
      </c>
      <c r="C1092" s="2">
        <v>344038</v>
      </c>
      <c r="D1092" s="2">
        <v>2924768</v>
      </c>
      <c r="E1092" s="2">
        <v>37.880000000000003</v>
      </c>
      <c r="F1092" s="2">
        <v>159913</v>
      </c>
    </row>
    <row r="1093" spans="1:6">
      <c r="A1093" s="3" t="s">
        <v>3872</v>
      </c>
      <c r="B1093" s="2">
        <v>15</v>
      </c>
      <c r="C1093" s="2">
        <v>1530305</v>
      </c>
      <c r="D1093" s="2">
        <v>2924874</v>
      </c>
      <c r="E1093" s="2">
        <v>37.880000000000003</v>
      </c>
      <c r="F1093" s="2">
        <v>1530305</v>
      </c>
    </row>
    <row r="1094" spans="1:6">
      <c r="A1094" s="3" t="s">
        <v>3873</v>
      </c>
      <c r="B1094" s="2">
        <v>17</v>
      </c>
      <c r="C1094" s="2">
        <v>649472</v>
      </c>
      <c r="D1094" s="2">
        <v>2925116</v>
      </c>
      <c r="E1094" s="2">
        <v>37.880000000000003</v>
      </c>
      <c r="F1094" s="2">
        <v>232426</v>
      </c>
    </row>
    <row r="1095" spans="1:6">
      <c r="A1095" s="3" t="s">
        <v>3874</v>
      </c>
      <c r="B1095" s="2">
        <v>14</v>
      </c>
      <c r="C1095" s="2">
        <v>1213051</v>
      </c>
      <c r="D1095" s="2">
        <v>2925146</v>
      </c>
      <c r="E1095" s="2">
        <v>37.880000000000003</v>
      </c>
      <c r="F1095" s="2">
        <v>537070</v>
      </c>
    </row>
    <row r="1096" spans="1:6">
      <c r="A1096" s="3" t="s">
        <v>3875</v>
      </c>
      <c r="B1096" s="2">
        <v>12</v>
      </c>
      <c r="C1096" s="2">
        <v>1531337</v>
      </c>
      <c r="D1096" s="2">
        <v>2925979</v>
      </c>
      <c r="E1096" s="2">
        <v>37.880000000000003</v>
      </c>
      <c r="F1096" s="2">
        <v>1531337</v>
      </c>
    </row>
    <row r="1097" spans="1:6">
      <c r="A1097" s="3" t="s">
        <v>3876</v>
      </c>
      <c r="B1097" s="2">
        <v>16</v>
      </c>
      <c r="C1097" s="2">
        <v>658733</v>
      </c>
      <c r="D1097" s="2">
        <v>2927303</v>
      </c>
      <c r="E1097" s="2">
        <v>37.880000000000003</v>
      </c>
      <c r="F1097" s="2">
        <v>539378</v>
      </c>
    </row>
    <row r="1098" spans="1:6">
      <c r="A1098" s="3" t="s">
        <v>3877</v>
      </c>
      <c r="B1098" s="2">
        <v>43</v>
      </c>
      <c r="C1098" s="2">
        <v>237418</v>
      </c>
      <c r="D1098" s="2">
        <v>2927584</v>
      </c>
      <c r="E1098" s="2">
        <v>37.880000000000003</v>
      </c>
      <c r="F1098" s="2">
        <v>122701</v>
      </c>
    </row>
    <row r="1099" spans="1:6">
      <c r="A1099" s="3" t="s">
        <v>3878</v>
      </c>
      <c r="B1099" s="2">
        <v>17</v>
      </c>
      <c r="C1099" s="2">
        <v>981414</v>
      </c>
      <c r="D1099" s="2">
        <v>2927654</v>
      </c>
      <c r="E1099" s="2">
        <v>37.880000000000003</v>
      </c>
      <c r="F1099" s="2">
        <v>294984</v>
      </c>
    </row>
    <row r="1100" spans="1:6">
      <c r="A1100" s="3" t="s">
        <v>3879</v>
      </c>
      <c r="B1100" s="2">
        <v>10</v>
      </c>
      <c r="C1100" s="2">
        <v>1494884</v>
      </c>
      <c r="D1100" s="2">
        <v>2927909</v>
      </c>
      <c r="E1100" s="2">
        <v>37.880000000000003</v>
      </c>
      <c r="F1100" s="2">
        <v>1494884</v>
      </c>
    </row>
    <row r="1101" spans="1:6">
      <c r="A1101" s="3" t="s">
        <v>3880</v>
      </c>
      <c r="B1101" s="2">
        <v>28</v>
      </c>
      <c r="C1101" s="2">
        <v>437372</v>
      </c>
      <c r="D1101" s="2">
        <v>2934907</v>
      </c>
      <c r="E1101" s="2">
        <v>37.880000000000003</v>
      </c>
      <c r="F1101" s="2">
        <v>219787</v>
      </c>
    </row>
    <row r="1102" spans="1:6">
      <c r="A1102" s="3" t="s">
        <v>3881</v>
      </c>
      <c r="B1102" s="2">
        <v>23</v>
      </c>
      <c r="C1102" s="2">
        <v>760722</v>
      </c>
      <c r="D1102" s="2">
        <v>2936211</v>
      </c>
      <c r="E1102" s="2">
        <v>37.880000000000003</v>
      </c>
      <c r="F1102" s="2">
        <v>376566</v>
      </c>
    </row>
    <row r="1103" spans="1:6">
      <c r="A1103" s="3" t="s">
        <v>3882</v>
      </c>
      <c r="B1103" s="2">
        <v>16</v>
      </c>
      <c r="C1103" s="2">
        <v>1458917</v>
      </c>
      <c r="D1103" s="2">
        <v>2936325</v>
      </c>
      <c r="E1103" s="2">
        <v>37.880000000000003</v>
      </c>
      <c r="F1103" s="2">
        <v>437671</v>
      </c>
    </row>
    <row r="1104" spans="1:6">
      <c r="A1104" s="3" t="s">
        <v>3883</v>
      </c>
      <c r="B1104" s="2">
        <v>25</v>
      </c>
      <c r="C1104" s="2">
        <v>659129</v>
      </c>
      <c r="D1104" s="2">
        <v>2936832</v>
      </c>
      <c r="E1104" s="2">
        <v>37.880000000000003</v>
      </c>
      <c r="F1104" s="2">
        <v>505021</v>
      </c>
    </row>
    <row r="1105" spans="1:6">
      <c r="A1105" s="3" t="s">
        <v>3884</v>
      </c>
      <c r="B1105" s="2">
        <v>19</v>
      </c>
      <c r="C1105" s="2">
        <v>880941</v>
      </c>
      <c r="D1105" s="2">
        <v>2942597</v>
      </c>
      <c r="E1105" s="2">
        <v>37.880000000000003</v>
      </c>
      <c r="F1105" s="2">
        <v>611830</v>
      </c>
    </row>
    <row r="1106" spans="1:6">
      <c r="A1106" s="3" t="s">
        <v>3885</v>
      </c>
      <c r="B1106" s="2">
        <v>24</v>
      </c>
      <c r="C1106" s="2">
        <v>554084</v>
      </c>
      <c r="D1106" s="2">
        <v>2943298</v>
      </c>
      <c r="E1106" s="2">
        <v>37.880000000000003</v>
      </c>
      <c r="F1106" s="2">
        <v>411752</v>
      </c>
    </row>
    <row r="1107" spans="1:6">
      <c r="A1107" s="3" t="s">
        <v>3886</v>
      </c>
      <c r="B1107" s="2">
        <v>21</v>
      </c>
      <c r="C1107" s="2">
        <v>688009</v>
      </c>
      <c r="D1107" s="2">
        <v>2944421</v>
      </c>
      <c r="E1107" s="2">
        <v>37.880000000000003</v>
      </c>
      <c r="F1107" s="2">
        <v>432616</v>
      </c>
    </row>
    <row r="1108" spans="1:6">
      <c r="A1108" s="3" t="s">
        <v>3887</v>
      </c>
      <c r="B1108" s="2">
        <v>17</v>
      </c>
      <c r="C1108" s="2">
        <v>993090</v>
      </c>
      <c r="D1108" s="2">
        <v>2946204</v>
      </c>
      <c r="E1108" s="2">
        <v>37.880000000000003</v>
      </c>
      <c r="F1108" s="2">
        <v>376877</v>
      </c>
    </row>
    <row r="1109" spans="1:6">
      <c r="A1109" s="3" t="s">
        <v>3888</v>
      </c>
      <c r="B1109" s="2">
        <v>48</v>
      </c>
      <c r="C1109" s="2">
        <v>1283137</v>
      </c>
      <c r="D1109" s="2">
        <v>2947292</v>
      </c>
      <c r="E1109" s="2">
        <v>37.880000000000003</v>
      </c>
      <c r="F1109" s="2">
        <v>450221</v>
      </c>
    </row>
    <row r="1110" spans="1:6">
      <c r="A1110" s="3" t="s">
        <v>3889</v>
      </c>
      <c r="B1110" s="2">
        <v>12</v>
      </c>
      <c r="C1110" s="2">
        <v>900766</v>
      </c>
      <c r="D1110" s="2">
        <v>2949300</v>
      </c>
      <c r="E1110" s="2">
        <v>37.880000000000003</v>
      </c>
      <c r="F1110" s="2">
        <v>481405</v>
      </c>
    </row>
    <row r="1111" spans="1:6">
      <c r="A1111" s="3" t="s">
        <v>3890</v>
      </c>
      <c r="B1111" s="2">
        <v>12</v>
      </c>
      <c r="C1111" s="2">
        <v>1350697</v>
      </c>
      <c r="D1111" s="2">
        <v>2956289</v>
      </c>
      <c r="E1111" s="2">
        <v>37.880000000000003</v>
      </c>
      <c r="F1111" s="2">
        <v>527283</v>
      </c>
    </row>
    <row r="1112" spans="1:6">
      <c r="A1112" s="3" t="s">
        <v>3891</v>
      </c>
      <c r="B1112" s="2">
        <v>14</v>
      </c>
      <c r="C1112" s="2">
        <v>1006168</v>
      </c>
      <c r="D1112" s="2">
        <v>2957500</v>
      </c>
      <c r="E1112" s="2">
        <v>37.880000000000003</v>
      </c>
      <c r="F1112" s="2">
        <v>550640</v>
      </c>
    </row>
    <row r="1113" spans="1:6">
      <c r="A1113" s="3" t="s">
        <v>3892</v>
      </c>
      <c r="B1113" s="2">
        <v>16</v>
      </c>
      <c r="C1113" s="2">
        <v>869726</v>
      </c>
      <c r="D1113" s="2">
        <v>2957743</v>
      </c>
      <c r="E1113" s="2">
        <v>37.880000000000003</v>
      </c>
      <c r="F1113" s="2">
        <v>481085</v>
      </c>
    </row>
    <row r="1114" spans="1:6">
      <c r="A1114" s="3" t="s">
        <v>3893</v>
      </c>
      <c r="B1114" s="2">
        <v>12</v>
      </c>
      <c r="C1114" s="2">
        <v>1388521</v>
      </c>
      <c r="D1114" s="2">
        <v>2958434</v>
      </c>
      <c r="E1114" s="2">
        <v>37.880000000000003</v>
      </c>
      <c r="F1114" s="2">
        <v>558006</v>
      </c>
    </row>
    <row r="1115" spans="1:6">
      <c r="A1115" s="3" t="s">
        <v>3894</v>
      </c>
      <c r="B1115" s="2">
        <v>15</v>
      </c>
      <c r="C1115" s="2">
        <v>703190</v>
      </c>
      <c r="D1115" s="2">
        <v>2977147</v>
      </c>
      <c r="E1115" s="2">
        <v>37.880000000000003</v>
      </c>
      <c r="F1115" s="2">
        <v>580058</v>
      </c>
    </row>
    <row r="1116" spans="1:6">
      <c r="A1116" s="3" t="s">
        <v>3895</v>
      </c>
      <c r="B1116" s="2">
        <v>27</v>
      </c>
      <c r="C1116" s="2">
        <v>475781</v>
      </c>
      <c r="D1116" s="2">
        <v>3012411</v>
      </c>
      <c r="E1116" s="2">
        <v>37.880000000000003</v>
      </c>
      <c r="F1116" s="2">
        <v>215375</v>
      </c>
    </row>
    <row r="1117" spans="1:6">
      <c r="A1117" s="3" t="s">
        <v>3896</v>
      </c>
      <c r="B1117" s="2">
        <v>25</v>
      </c>
      <c r="C1117" s="2">
        <v>430386</v>
      </c>
      <c r="D1117" s="2">
        <v>3013329</v>
      </c>
      <c r="E1117" s="2">
        <v>37.880000000000003</v>
      </c>
      <c r="F1117" s="2">
        <v>290775</v>
      </c>
    </row>
    <row r="1118" spans="1:6">
      <c r="A1118" s="3" t="s">
        <v>3897</v>
      </c>
      <c r="B1118" s="2">
        <v>20</v>
      </c>
      <c r="C1118" s="2">
        <v>558802</v>
      </c>
      <c r="D1118" s="2">
        <v>3014432</v>
      </c>
      <c r="E1118" s="2">
        <v>37.880000000000003</v>
      </c>
      <c r="F1118" s="2">
        <v>318457</v>
      </c>
    </row>
    <row r="1119" spans="1:6">
      <c r="A1119" s="3" t="s">
        <v>3898</v>
      </c>
      <c r="B1119" s="2">
        <v>47</v>
      </c>
      <c r="C1119" s="2">
        <v>287439</v>
      </c>
      <c r="D1119" s="2">
        <v>3014919</v>
      </c>
      <c r="E1119" s="2">
        <v>37.880000000000003</v>
      </c>
      <c r="F1119" s="2">
        <v>114673</v>
      </c>
    </row>
    <row r="1120" spans="1:6">
      <c r="A1120" s="3" t="s">
        <v>3899</v>
      </c>
      <c r="B1120" s="2">
        <v>16</v>
      </c>
      <c r="C1120" s="2">
        <v>1409924</v>
      </c>
      <c r="D1120" s="2">
        <v>3015197</v>
      </c>
      <c r="E1120" s="2">
        <v>37.880000000000003</v>
      </c>
      <c r="F1120" s="2">
        <v>537269</v>
      </c>
    </row>
    <row r="1121" spans="1:6">
      <c r="A1121" s="3" t="s">
        <v>3900</v>
      </c>
      <c r="B1121" s="2">
        <v>31</v>
      </c>
      <c r="C1121" s="2">
        <v>352316</v>
      </c>
      <c r="D1121" s="2">
        <v>3015272</v>
      </c>
      <c r="E1121" s="2">
        <v>37.880000000000003</v>
      </c>
      <c r="F1121" s="2">
        <v>195531</v>
      </c>
    </row>
    <row r="1122" spans="1:6">
      <c r="A1122" s="3" t="s">
        <v>3901</v>
      </c>
      <c r="B1122" s="2">
        <v>18</v>
      </c>
      <c r="C1122" s="2">
        <v>508250</v>
      </c>
      <c r="D1122" s="2">
        <v>3016587</v>
      </c>
      <c r="E1122" s="2">
        <v>37.880000000000003</v>
      </c>
      <c r="F1122" s="2">
        <v>323653</v>
      </c>
    </row>
    <row r="1123" spans="1:6">
      <c r="A1123" s="3" t="s">
        <v>3902</v>
      </c>
      <c r="B1123" s="2">
        <v>23</v>
      </c>
      <c r="C1123" s="2">
        <v>508250</v>
      </c>
      <c r="D1123" s="2">
        <v>3016911</v>
      </c>
      <c r="E1123" s="2">
        <v>37.880000000000003</v>
      </c>
      <c r="F1123" s="2">
        <v>231713</v>
      </c>
    </row>
    <row r="1124" spans="1:6">
      <c r="A1124" s="3" t="s">
        <v>3903</v>
      </c>
      <c r="B1124" s="2">
        <v>17</v>
      </c>
      <c r="C1124" s="2">
        <v>701240</v>
      </c>
      <c r="D1124" s="2">
        <v>3042521</v>
      </c>
      <c r="E1124" s="2">
        <v>37.880000000000003</v>
      </c>
      <c r="F1124" s="2">
        <v>579584</v>
      </c>
    </row>
    <row r="1125" spans="1:6">
      <c r="A1125" s="3" t="s">
        <v>3904</v>
      </c>
      <c r="B1125" s="2">
        <v>31</v>
      </c>
      <c r="C1125" s="2">
        <v>524853</v>
      </c>
      <c r="D1125" s="2">
        <v>3045748</v>
      </c>
      <c r="E1125" s="2">
        <v>37.880000000000003</v>
      </c>
      <c r="F1125" s="2">
        <v>344081</v>
      </c>
    </row>
    <row r="1126" spans="1:6">
      <c r="A1126" s="3" t="s">
        <v>3905</v>
      </c>
      <c r="B1126" s="2">
        <v>21</v>
      </c>
      <c r="C1126" s="2">
        <v>524945</v>
      </c>
      <c r="D1126" s="2">
        <v>3046180</v>
      </c>
      <c r="E1126" s="2">
        <v>37.880000000000003</v>
      </c>
      <c r="F1126" s="2">
        <v>449340</v>
      </c>
    </row>
    <row r="1127" spans="1:6">
      <c r="A1127" s="3" t="s">
        <v>3906</v>
      </c>
      <c r="B1127" s="2">
        <v>19</v>
      </c>
      <c r="C1127" s="2">
        <v>605098</v>
      </c>
      <c r="D1127" s="2">
        <v>3046707</v>
      </c>
      <c r="E1127" s="2">
        <v>37.880000000000003</v>
      </c>
      <c r="F1127" s="2">
        <v>507323</v>
      </c>
    </row>
    <row r="1128" spans="1:6">
      <c r="A1128" s="3" t="s">
        <v>3907</v>
      </c>
      <c r="B1128" s="2">
        <v>27</v>
      </c>
      <c r="C1128" s="2">
        <v>516231</v>
      </c>
      <c r="D1128" s="2">
        <v>3055488</v>
      </c>
      <c r="E1128" s="2">
        <v>37.880000000000003</v>
      </c>
      <c r="F1128" s="2">
        <v>224808</v>
      </c>
    </row>
    <row r="1129" spans="1:6">
      <c r="A1129" s="3" t="s">
        <v>3908</v>
      </c>
      <c r="B1129" s="2">
        <v>27</v>
      </c>
      <c r="C1129" s="2">
        <v>511370</v>
      </c>
      <c r="D1129" s="2">
        <v>3060516</v>
      </c>
      <c r="E1129" s="2">
        <v>37.880000000000003</v>
      </c>
      <c r="F1129" s="2">
        <v>242293</v>
      </c>
    </row>
    <row r="1130" spans="1:6">
      <c r="A1130" s="3" t="s">
        <v>3909</v>
      </c>
      <c r="B1130" s="2">
        <v>18</v>
      </c>
      <c r="C1130" s="2">
        <v>679315</v>
      </c>
      <c r="D1130" s="2">
        <v>3065411</v>
      </c>
      <c r="E1130" s="2">
        <v>37.880000000000003</v>
      </c>
      <c r="F1130" s="2">
        <v>476524</v>
      </c>
    </row>
    <row r="1131" spans="1:6">
      <c r="A1131" s="3" t="s">
        <v>3910</v>
      </c>
      <c r="B1131" s="2">
        <v>15</v>
      </c>
      <c r="C1131" s="2">
        <v>1036742</v>
      </c>
      <c r="D1131" s="2">
        <v>3065589</v>
      </c>
      <c r="E1131" s="2">
        <v>37.880000000000003</v>
      </c>
      <c r="F1131" s="2">
        <v>508091</v>
      </c>
    </row>
    <row r="1132" spans="1:6">
      <c r="A1132" s="3" t="s">
        <v>3911</v>
      </c>
      <c r="B1132" s="2">
        <v>20</v>
      </c>
      <c r="C1132" s="2">
        <v>605969</v>
      </c>
      <c r="D1132" s="2">
        <v>3065987</v>
      </c>
      <c r="E1132" s="2">
        <v>37.880000000000003</v>
      </c>
      <c r="F1132" s="2">
        <v>477361</v>
      </c>
    </row>
    <row r="1133" spans="1:6">
      <c r="A1133" s="3" t="s">
        <v>3912</v>
      </c>
      <c r="B1133" s="2">
        <v>17</v>
      </c>
      <c r="C1133" s="2">
        <v>1037882</v>
      </c>
      <c r="D1133" s="2">
        <v>3065988</v>
      </c>
      <c r="E1133" s="2">
        <v>37.880000000000003</v>
      </c>
      <c r="F1133" s="2">
        <v>507644</v>
      </c>
    </row>
    <row r="1134" spans="1:6">
      <c r="A1134" s="3" t="s">
        <v>3913</v>
      </c>
      <c r="B1134" s="2">
        <v>50</v>
      </c>
      <c r="C1134" s="2">
        <v>503693</v>
      </c>
      <c r="D1134" s="2">
        <v>3068052</v>
      </c>
      <c r="E1134" s="2">
        <v>37.880000000000003</v>
      </c>
      <c r="F1134" s="2">
        <v>159184</v>
      </c>
    </row>
    <row r="1135" spans="1:6">
      <c r="A1135" s="3" t="s">
        <v>3914</v>
      </c>
      <c r="B1135" s="2">
        <v>209</v>
      </c>
      <c r="C1135" s="2">
        <v>97175</v>
      </c>
      <c r="D1135" s="2">
        <v>3068303</v>
      </c>
      <c r="E1135" s="2">
        <v>37.880000000000003</v>
      </c>
      <c r="F1135" s="2">
        <v>28121</v>
      </c>
    </row>
    <row r="1136" spans="1:6">
      <c r="A1136" s="3" t="s">
        <v>3915</v>
      </c>
      <c r="B1136" s="2">
        <v>42</v>
      </c>
      <c r="C1136" s="2">
        <v>457172</v>
      </c>
      <c r="D1136" s="2">
        <v>3076139</v>
      </c>
      <c r="E1136" s="2">
        <v>37.880000000000003</v>
      </c>
      <c r="F1136" s="2">
        <v>201815</v>
      </c>
    </row>
    <row r="1137" spans="1:6">
      <c r="A1137" s="3" t="s">
        <v>3916</v>
      </c>
      <c r="B1137" s="2">
        <v>17</v>
      </c>
      <c r="C1137" s="2">
        <v>827764</v>
      </c>
      <c r="D1137" s="2">
        <v>3077578</v>
      </c>
      <c r="E1137" s="2">
        <v>37.880000000000003</v>
      </c>
      <c r="F1137" s="2">
        <v>517894</v>
      </c>
    </row>
    <row r="1138" spans="1:6">
      <c r="A1138" s="3" t="s">
        <v>3917</v>
      </c>
      <c r="B1138" s="2">
        <v>18</v>
      </c>
      <c r="C1138" s="2">
        <v>1002015</v>
      </c>
      <c r="D1138" s="2">
        <v>3091027</v>
      </c>
      <c r="E1138" s="2">
        <v>37.880000000000003</v>
      </c>
      <c r="F1138" s="2">
        <v>510109</v>
      </c>
    </row>
    <row r="1139" spans="1:6">
      <c r="A1139" s="3" t="s">
        <v>3918</v>
      </c>
      <c r="B1139" s="2">
        <v>20</v>
      </c>
      <c r="C1139" s="2">
        <v>814445</v>
      </c>
      <c r="D1139" s="2">
        <v>3108099</v>
      </c>
      <c r="E1139" s="2">
        <v>37.880000000000003</v>
      </c>
      <c r="F1139" s="2">
        <v>482570</v>
      </c>
    </row>
    <row r="1140" spans="1:6">
      <c r="A1140" s="3" t="s">
        <v>3919</v>
      </c>
      <c r="B1140" s="2">
        <v>13</v>
      </c>
      <c r="C1140" s="2">
        <v>1393100</v>
      </c>
      <c r="D1140" s="2">
        <v>3109202</v>
      </c>
      <c r="E1140" s="2">
        <v>37.880000000000003</v>
      </c>
      <c r="F1140" s="2">
        <v>516710</v>
      </c>
    </row>
    <row r="1141" spans="1:6">
      <c r="A1141" s="3" t="s">
        <v>3920</v>
      </c>
      <c r="B1141" s="2">
        <v>27</v>
      </c>
      <c r="C1141" s="2">
        <v>526373</v>
      </c>
      <c r="D1141" s="2">
        <v>2751694</v>
      </c>
      <c r="E1141" s="2">
        <v>37.89</v>
      </c>
      <c r="F1141" s="2">
        <v>225939</v>
      </c>
    </row>
    <row r="1142" spans="1:6">
      <c r="A1142" s="3" t="s">
        <v>3921</v>
      </c>
      <c r="B1142" s="2">
        <v>20</v>
      </c>
      <c r="C1142" s="2">
        <v>491435</v>
      </c>
      <c r="D1142" s="2">
        <v>2849293</v>
      </c>
      <c r="E1142" s="2">
        <v>37.89</v>
      </c>
      <c r="F1142" s="2">
        <v>309325</v>
      </c>
    </row>
    <row r="1143" spans="1:6">
      <c r="A1143" s="3" t="s">
        <v>3922</v>
      </c>
      <c r="B1143" s="2">
        <v>50</v>
      </c>
      <c r="C1143" s="2">
        <v>302859</v>
      </c>
      <c r="D1143" s="2">
        <v>2863762</v>
      </c>
      <c r="E1143" s="2">
        <v>37.89</v>
      </c>
      <c r="F1143" s="2">
        <v>87008</v>
      </c>
    </row>
    <row r="1144" spans="1:6">
      <c r="A1144" s="3" t="s">
        <v>3923</v>
      </c>
      <c r="B1144" s="2">
        <v>11</v>
      </c>
      <c r="C1144" s="2">
        <v>1479852</v>
      </c>
      <c r="D1144" s="2">
        <v>2864447</v>
      </c>
      <c r="E1144" s="2">
        <v>37.89</v>
      </c>
      <c r="F1144" s="2">
        <v>1479852</v>
      </c>
    </row>
    <row r="1145" spans="1:6">
      <c r="A1145" s="3" t="s">
        <v>3924</v>
      </c>
      <c r="B1145" s="2">
        <v>12</v>
      </c>
      <c r="C1145" s="2">
        <v>1479980</v>
      </c>
      <c r="D1145" s="2">
        <v>2864628</v>
      </c>
      <c r="E1145" s="2">
        <v>37.89</v>
      </c>
      <c r="F1145" s="2">
        <v>1479980</v>
      </c>
    </row>
    <row r="1146" spans="1:6">
      <c r="A1146" s="3" t="s">
        <v>3925</v>
      </c>
      <c r="B1146" s="2">
        <v>19</v>
      </c>
      <c r="C1146" s="2">
        <v>609507</v>
      </c>
      <c r="D1146" s="2">
        <v>2867195</v>
      </c>
      <c r="E1146" s="2">
        <v>37.89</v>
      </c>
      <c r="F1146" s="2">
        <v>302824</v>
      </c>
    </row>
    <row r="1147" spans="1:6">
      <c r="A1147" s="3" t="s">
        <v>3926</v>
      </c>
      <c r="B1147" s="2">
        <v>15</v>
      </c>
      <c r="C1147" s="2">
        <v>643422</v>
      </c>
      <c r="D1147" s="2">
        <v>2874440</v>
      </c>
      <c r="E1147" s="2">
        <v>37.89</v>
      </c>
      <c r="F1147" s="2">
        <v>494519</v>
      </c>
    </row>
    <row r="1148" spans="1:6">
      <c r="A1148" s="3" t="s">
        <v>3927</v>
      </c>
      <c r="B1148" s="2">
        <v>22</v>
      </c>
      <c r="C1148" s="2">
        <v>628088</v>
      </c>
      <c r="D1148" s="2">
        <v>2878727</v>
      </c>
      <c r="E1148" s="2">
        <v>37.89</v>
      </c>
      <c r="F1148" s="2">
        <v>244808</v>
      </c>
    </row>
    <row r="1149" spans="1:6">
      <c r="A1149" s="3" t="s">
        <v>3928</v>
      </c>
      <c r="B1149" s="2">
        <v>17</v>
      </c>
      <c r="C1149" s="2">
        <v>587344</v>
      </c>
      <c r="D1149" s="2">
        <v>2879359</v>
      </c>
      <c r="E1149" s="2">
        <v>37.89</v>
      </c>
      <c r="F1149" s="2">
        <v>435048</v>
      </c>
    </row>
    <row r="1150" spans="1:6">
      <c r="A1150" s="3" t="s">
        <v>3929</v>
      </c>
      <c r="B1150" s="2">
        <v>17</v>
      </c>
      <c r="C1150" s="2">
        <v>511830</v>
      </c>
      <c r="D1150" s="2">
        <v>2881026</v>
      </c>
      <c r="E1150" s="2">
        <v>37.89</v>
      </c>
      <c r="F1150" s="2">
        <v>473178</v>
      </c>
    </row>
    <row r="1151" spans="1:6">
      <c r="A1151" s="3" t="s">
        <v>3930</v>
      </c>
      <c r="B1151" s="2">
        <v>12</v>
      </c>
      <c r="C1151" s="2">
        <v>1506615</v>
      </c>
      <c r="D1151" s="2">
        <v>2881268</v>
      </c>
      <c r="E1151" s="2">
        <v>37.89</v>
      </c>
      <c r="F1151" s="2">
        <v>1506615</v>
      </c>
    </row>
    <row r="1152" spans="1:6">
      <c r="A1152" s="3" t="s">
        <v>3931</v>
      </c>
      <c r="B1152" s="2">
        <v>15</v>
      </c>
      <c r="C1152" s="2">
        <v>994423</v>
      </c>
      <c r="D1152" s="2">
        <v>2882641</v>
      </c>
      <c r="E1152" s="2">
        <v>37.89</v>
      </c>
      <c r="F1152" s="2">
        <v>314307</v>
      </c>
    </row>
    <row r="1153" spans="1:6">
      <c r="A1153" s="3" t="s">
        <v>3932</v>
      </c>
      <c r="B1153" s="2">
        <v>10</v>
      </c>
      <c r="C1153" s="2">
        <v>1471408</v>
      </c>
      <c r="D1153" s="2">
        <v>2884987</v>
      </c>
      <c r="E1153" s="2">
        <v>37.89</v>
      </c>
      <c r="F1153" s="2">
        <v>1471408</v>
      </c>
    </row>
    <row r="1154" spans="1:6">
      <c r="A1154" s="3" t="s">
        <v>3933</v>
      </c>
      <c r="B1154" s="2">
        <v>10</v>
      </c>
      <c r="C1154" s="2">
        <v>995047</v>
      </c>
      <c r="D1154" s="2">
        <v>2885610</v>
      </c>
      <c r="E1154" s="2">
        <v>37.89</v>
      </c>
      <c r="F1154" s="2">
        <v>500005</v>
      </c>
    </row>
    <row r="1155" spans="1:6">
      <c r="A1155" s="3" t="s">
        <v>3934</v>
      </c>
      <c r="B1155" s="2">
        <v>14</v>
      </c>
      <c r="C1155" s="2">
        <v>1494726</v>
      </c>
      <c r="D1155" s="2">
        <v>2888925</v>
      </c>
      <c r="E1155" s="2">
        <v>37.89</v>
      </c>
      <c r="F1155" s="2">
        <v>1494726</v>
      </c>
    </row>
    <row r="1156" spans="1:6">
      <c r="A1156" s="3" t="s">
        <v>3935</v>
      </c>
      <c r="B1156" s="2">
        <v>19</v>
      </c>
      <c r="C1156" s="2">
        <v>1141016</v>
      </c>
      <c r="D1156" s="2">
        <v>2890438</v>
      </c>
      <c r="E1156" s="2">
        <v>37.89</v>
      </c>
      <c r="F1156" s="2">
        <v>450199</v>
      </c>
    </row>
    <row r="1157" spans="1:6">
      <c r="A1157" s="3" t="s">
        <v>3936</v>
      </c>
      <c r="B1157" s="2">
        <v>34</v>
      </c>
      <c r="C1157" s="2">
        <v>379131</v>
      </c>
      <c r="D1157" s="2">
        <v>2891172</v>
      </c>
      <c r="E1157" s="2">
        <v>37.89</v>
      </c>
      <c r="F1157" s="2">
        <v>212945</v>
      </c>
    </row>
    <row r="1158" spans="1:6">
      <c r="A1158" s="3" t="s">
        <v>3937</v>
      </c>
      <c r="B1158" s="2">
        <v>15</v>
      </c>
      <c r="C1158" s="2">
        <v>1424624</v>
      </c>
      <c r="D1158" s="2">
        <v>2891913</v>
      </c>
      <c r="E1158" s="2">
        <v>37.89</v>
      </c>
      <c r="F1158" s="2">
        <v>515607</v>
      </c>
    </row>
    <row r="1159" spans="1:6">
      <c r="A1159" s="3" t="s">
        <v>3938</v>
      </c>
      <c r="B1159" s="2">
        <v>13</v>
      </c>
      <c r="C1159" s="2">
        <v>1497806</v>
      </c>
      <c r="D1159" s="2">
        <v>2892985</v>
      </c>
      <c r="E1159" s="2">
        <v>37.89</v>
      </c>
      <c r="F1159" s="2">
        <v>1497806</v>
      </c>
    </row>
    <row r="1160" spans="1:6">
      <c r="A1160" s="3" t="s">
        <v>3939</v>
      </c>
      <c r="B1160" s="2">
        <v>15</v>
      </c>
      <c r="C1160" s="2">
        <v>1369078</v>
      </c>
      <c r="D1160" s="2">
        <v>2893113</v>
      </c>
      <c r="E1160" s="2">
        <v>37.89</v>
      </c>
      <c r="F1160" s="2">
        <v>450288</v>
      </c>
    </row>
    <row r="1161" spans="1:6">
      <c r="A1161" s="3" t="s">
        <v>3940</v>
      </c>
      <c r="B1161" s="2">
        <v>13</v>
      </c>
      <c r="C1161" s="2">
        <v>850946</v>
      </c>
      <c r="D1161" s="2">
        <v>2893149</v>
      </c>
      <c r="E1161" s="2">
        <v>37.89</v>
      </c>
      <c r="F1161" s="2">
        <v>646968</v>
      </c>
    </row>
    <row r="1162" spans="1:6">
      <c r="A1162" s="3" t="s">
        <v>3941</v>
      </c>
      <c r="B1162" s="2">
        <v>88</v>
      </c>
      <c r="C1162" s="2">
        <v>250323</v>
      </c>
      <c r="D1162" s="2">
        <v>2893357</v>
      </c>
      <c r="E1162" s="2">
        <v>37.89</v>
      </c>
      <c r="F1162" s="2">
        <v>61322</v>
      </c>
    </row>
    <row r="1163" spans="1:6">
      <c r="A1163" s="3" t="s">
        <v>3942</v>
      </c>
      <c r="B1163" s="2">
        <v>48</v>
      </c>
      <c r="C1163" s="2">
        <v>225113</v>
      </c>
      <c r="D1163" s="2">
        <v>2894436</v>
      </c>
      <c r="E1163" s="2">
        <v>37.89</v>
      </c>
      <c r="F1163" s="2">
        <v>126020</v>
      </c>
    </row>
    <row r="1164" spans="1:6">
      <c r="A1164" s="3" t="s">
        <v>3943</v>
      </c>
      <c r="B1164" s="2">
        <v>26</v>
      </c>
      <c r="C1164" s="2">
        <v>612039</v>
      </c>
      <c r="D1164" s="2">
        <v>2895804</v>
      </c>
      <c r="E1164" s="2">
        <v>37.89</v>
      </c>
      <c r="F1164" s="2">
        <v>228944</v>
      </c>
    </row>
    <row r="1165" spans="1:6">
      <c r="A1165" s="3" t="s">
        <v>3944</v>
      </c>
      <c r="B1165" s="2">
        <v>38</v>
      </c>
      <c r="C1165" s="2">
        <v>495265</v>
      </c>
      <c r="D1165" s="2">
        <v>2898487</v>
      </c>
      <c r="E1165" s="2">
        <v>37.89</v>
      </c>
      <c r="F1165" s="2">
        <v>208257</v>
      </c>
    </row>
    <row r="1166" spans="1:6">
      <c r="A1166" s="3" t="s">
        <v>3945</v>
      </c>
      <c r="B1166" s="2">
        <v>26</v>
      </c>
      <c r="C1166" s="2">
        <v>476976</v>
      </c>
      <c r="D1166" s="2">
        <v>2898692</v>
      </c>
      <c r="E1166" s="2">
        <v>37.89</v>
      </c>
      <c r="F1166" s="2">
        <v>250004</v>
      </c>
    </row>
    <row r="1167" spans="1:6">
      <c r="A1167" s="3" t="s">
        <v>3946</v>
      </c>
      <c r="B1167" s="2">
        <v>85</v>
      </c>
      <c r="C1167" s="2">
        <v>180970</v>
      </c>
      <c r="D1167" s="2">
        <v>2899115</v>
      </c>
      <c r="E1167" s="2">
        <v>37.89</v>
      </c>
      <c r="F1167" s="2">
        <v>64078</v>
      </c>
    </row>
    <row r="1168" spans="1:6">
      <c r="A1168" s="3" t="s">
        <v>3947</v>
      </c>
      <c r="B1168" s="2">
        <v>12</v>
      </c>
      <c r="C1168" s="2">
        <v>1185039</v>
      </c>
      <c r="D1168" s="2">
        <v>2900514</v>
      </c>
      <c r="E1168" s="2">
        <v>37.89</v>
      </c>
      <c r="F1168" s="2">
        <v>586225</v>
      </c>
    </row>
    <row r="1169" spans="1:6">
      <c r="A1169" s="3" t="s">
        <v>3948</v>
      </c>
      <c r="B1169" s="2">
        <v>11</v>
      </c>
      <c r="C1169" s="2">
        <v>1185030</v>
      </c>
      <c r="D1169" s="2">
        <v>2903451</v>
      </c>
      <c r="E1169" s="2">
        <v>37.89</v>
      </c>
      <c r="F1169" s="2">
        <v>549049</v>
      </c>
    </row>
    <row r="1170" spans="1:6">
      <c r="A1170" s="3" t="s">
        <v>3949</v>
      </c>
      <c r="B1170" s="2">
        <v>31</v>
      </c>
      <c r="C1170" s="2">
        <v>356940</v>
      </c>
      <c r="D1170" s="2">
        <v>2904517</v>
      </c>
      <c r="E1170" s="2">
        <v>37.89</v>
      </c>
      <c r="F1170" s="2">
        <v>160185</v>
      </c>
    </row>
    <row r="1171" spans="1:6">
      <c r="A1171" s="3" t="s">
        <v>3950</v>
      </c>
      <c r="B1171" s="2">
        <v>42</v>
      </c>
      <c r="C1171" s="2">
        <v>381559</v>
      </c>
      <c r="D1171" s="2">
        <v>2905320</v>
      </c>
      <c r="E1171" s="2">
        <v>37.89</v>
      </c>
      <c r="F1171" s="2">
        <v>154793</v>
      </c>
    </row>
    <row r="1172" spans="1:6">
      <c r="A1172" s="3" t="s">
        <v>3951</v>
      </c>
      <c r="B1172" s="2">
        <v>25</v>
      </c>
      <c r="C1172" s="2">
        <v>404159</v>
      </c>
      <c r="D1172" s="2">
        <v>2905529</v>
      </c>
      <c r="E1172" s="2">
        <v>37.89</v>
      </c>
      <c r="F1172" s="2">
        <v>311901</v>
      </c>
    </row>
    <row r="1173" spans="1:6">
      <c r="A1173" s="3" t="s">
        <v>3952</v>
      </c>
      <c r="B1173" s="2">
        <v>15</v>
      </c>
      <c r="C1173" s="2">
        <v>1211998</v>
      </c>
      <c r="D1173" s="2">
        <v>2906750</v>
      </c>
      <c r="E1173" s="2">
        <v>37.89</v>
      </c>
      <c r="F1173" s="2">
        <v>498975</v>
      </c>
    </row>
    <row r="1174" spans="1:6">
      <c r="A1174" s="3" t="s">
        <v>3953</v>
      </c>
      <c r="B1174" s="2">
        <v>9</v>
      </c>
      <c r="C1174" s="2">
        <v>1508399</v>
      </c>
      <c r="D1174" s="2">
        <v>2906977</v>
      </c>
      <c r="E1174" s="2">
        <v>37.89</v>
      </c>
      <c r="F1174" s="2">
        <v>1508399</v>
      </c>
    </row>
    <row r="1175" spans="1:6">
      <c r="A1175" s="3" t="s">
        <v>3954</v>
      </c>
      <c r="B1175" s="2">
        <v>9</v>
      </c>
      <c r="C1175" s="2">
        <v>1508397</v>
      </c>
      <c r="D1175" s="2">
        <v>2907140</v>
      </c>
      <c r="E1175" s="2">
        <v>37.89</v>
      </c>
      <c r="F1175" s="2">
        <v>1508397</v>
      </c>
    </row>
    <row r="1176" spans="1:6">
      <c r="A1176" s="3" t="s">
        <v>3955</v>
      </c>
      <c r="B1176" s="2">
        <v>25</v>
      </c>
      <c r="C1176" s="2">
        <v>350867</v>
      </c>
      <c r="D1176" s="2">
        <v>2907338</v>
      </c>
      <c r="E1176" s="2">
        <v>37.89</v>
      </c>
      <c r="F1176" s="2">
        <v>236034</v>
      </c>
    </row>
    <row r="1177" spans="1:6">
      <c r="A1177" s="3" t="s">
        <v>3956</v>
      </c>
      <c r="B1177" s="2">
        <v>18</v>
      </c>
      <c r="C1177" s="2">
        <v>711508</v>
      </c>
      <c r="D1177" s="2">
        <v>2907368</v>
      </c>
      <c r="E1177" s="2">
        <v>37.89</v>
      </c>
      <c r="F1177" s="2">
        <v>421744</v>
      </c>
    </row>
    <row r="1178" spans="1:6">
      <c r="A1178" s="3" t="s">
        <v>3957</v>
      </c>
      <c r="B1178" s="2">
        <v>23</v>
      </c>
      <c r="C1178" s="2">
        <v>504414</v>
      </c>
      <c r="D1178" s="2">
        <v>2907805</v>
      </c>
      <c r="E1178" s="2">
        <v>37.89</v>
      </c>
      <c r="F1178" s="2">
        <v>236136</v>
      </c>
    </row>
    <row r="1179" spans="1:6">
      <c r="A1179" s="3" t="s">
        <v>3958</v>
      </c>
      <c r="B1179" s="2">
        <v>13</v>
      </c>
      <c r="C1179" s="2">
        <v>1228406</v>
      </c>
      <c r="D1179" s="2">
        <v>2913449</v>
      </c>
      <c r="E1179" s="2">
        <v>37.89</v>
      </c>
      <c r="F1179" s="2">
        <v>498217</v>
      </c>
    </row>
    <row r="1180" spans="1:6">
      <c r="A1180" s="3" t="s">
        <v>3959</v>
      </c>
      <c r="B1180" s="2">
        <v>28</v>
      </c>
      <c r="C1180" s="2">
        <v>387039</v>
      </c>
      <c r="D1180" s="2">
        <v>2913462</v>
      </c>
      <c r="E1180" s="2">
        <v>37.89</v>
      </c>
      <c r="F1180" s="2">
        <v>225488</v>
      </c>
    </row>
    <row r="1181" spans="1:6">
      <c r="A1181" s="3" t="s">
        <v>3960</v>
      </c>
      <c r="B1181" s="2">
        <v>17</v>
      </c>
      <c r="C1181" s="2">
        <v>1205324</v>
      </c>
      <c r="D1181" s="2">
        <v>2914286</v>
      </c>
      <c r="E1181" s="2">
        <v>37.89</v>
      </c>
      <c r="F1181" s="2">
        <v>517087</v>
      </c>
    </row>
    <row r="1182" spans="1:6">
      <c r="A1182" s="3" t="s">
        <v>3961</v>
      </c>
      <c r="B1182" s="2">
        <v>10</v>
      </c>
      <c r="C1182" s="2">
        <v>700954</v>
      </c>
      <c r="D1182" s="2">
        <v>2914612</v>
      </c>
      <c r="E1182" s="2">
        <v>37.89</v>
      </c>
      <c r="F1182" s="2">
        <v>517276</v>
      </c>
    </row>
    <row r="1183" spans="1:6">
      <c r="A1183" s="3" t="s">
        <v>3962</v>
      </c>
      <c r="B1183" s="2">
        <v>22</v>
      </c>
      <c r="C1183" s="2">
        <v>921409</v>
      </c>
      <c r="D1183" s="2">
        <v>2914666</v>
      </c>
      <c r="E1183" s="2">
        <v>37.89</v>
      </c>
      <c r="F1183" s="2">
        <v>359483</v>
      </c>
    </row>
    <row r="1184" spans="1:6">
      <c r="A1184" s="3" t="s">
        <v>3963</v>
      </c>
      <c r="B1184" s="2">
        <v>12</v>
      </c>
      <c r="C1184" s="2">
        <v>1019661</v>
      </c>
      <c r="D1184" s="2">
        <v>2915428</v>
      </c>
      <c r="E1184" s="2">
        <v>37.89</v>
      </c>
      <c r="F1184" s="2">
        <v>507455</v>
      </c>
    </row>
    <row r="1185" spans="1:6">
      <c r="A1185" s="3" t="s">
        <v>3964</v>
      </c>
      <c r="B1185" s="2">
        <v>26</v>
      </c>
      <c r="C1185" s="2">
        <v>516561</v>
      </c>
      <c r="D1185" s="2">
        <v>2915876</v>
      </c>
      <c r="E1185" s="2">
        <v>37.89</v>
      </c>
      <c r="F1185" s="2">
        <v>225250</v>
      </c>
    </row>
    <row r="1186" spans="1:6">
      <c r="A1186" s="3" t="s">
        <v>3965</v>
      </c>
      <c r="B1186" s="2">
        <v>16</v>
      </c>
      <c r="C1186" s="2">
        <v>658921</v>
      </c>
      <c r="D1186" s="2">
        <v>2916931</v>
      </c>
      <c r="E1186" s="2">
        <v>37.89</v>
      </c>
      <c r="F1186" s="2">
        <v>492982</v>
      </c>
    </row>
    <row r="1187" spans="1:6">
      <c r="A1187" s="3" t="s">
        <v>3966</v>
      </c>
      <c r="B1187" s="2">
        <v>12</v>
      </c>
      <c r="C1187" s="2">
        <v>891643</v>
      </c>
      <c r="D1187" s="2">
        <v>2918778</v>
      </c>
      <c r="E1187" s="2">
        <v>37.89</v>
      </c>
      <c r="F1187" s="2">
        <v>593672</v>
      </c>
    </row>
    <row r="1188" spans="1:6">
      <c r="A1188" s="3" t="s">
        <v>3967</v>
      </c>
      <c r="B1188" s="2">
        <v>16</v>
      </c>
      <c r="C1188" s="2">
        <v>1508613</v>
      </c>
      <c r="D1188" s="2">
        <v>2919511</v>
      </c>
      <c r="E1188" s="2">
        <v>37.89</v>
      </c>
      <c r="F1188" s="2">
        <v>1508613</v>
      </c>
    </row>
    <row r="1189" spans="1:6">
      <c r="A1189" s="3" t="s">
        <v>3968</v>
      </c>
      <c r="B1189" s="2">
        <v>30</v>
      </c>
      <c r="C1189" s="2">
        <v>370840</v>
      </c>
      <c r="D1189" s="2">
        <v>2921002</v>
      </c>
      <c r="E1189" s="2">
        <v>37.89</v>
      </c>
      <c r="F1189" s="2">
        <v>195514</v>
      </c>
    </row>
    <row r="1190" spans="1:6">
      <c r="A1190" s="3" t="s">
        <v>3969</v>
      </c>
      <c r="B1190" s="2">
        <v>18</v>
      </c>
      <c r="C1190" s="2">
        <v>862962</v>
      </c>
      <c r="D1190" s="2">
        <v>2921271</v>
      </c>
      <c r="E1190" s="2">
        <v>37.89</v>
      </c>
      <c r="F1190" s="2">
        <v>321141</v>
      </c>
    </row>
    <row r="1191" spans="1:6">
      <c r="A1191" s="3" t="s">
        <v>3970</v>
      </c>
      <c r="B1191" s="2">
        <v>15</v>
      </c>
      <c r="C1191" s="2">
        <v>665792</v>
      </c>
      <c r="D1191" s="2">
        <v>2921779</v>
      </c>
      <c r="E1191" s="2">
        <v>37.89</v>
      </c>
      <c r="F1191" s="2">
        <v>321133</v>
      </c>
    </row>
    <row r="1192" spans="1:6">
      <c r="A1192" s="3" t="s">
        <v>3971</v>
      </c>
      <c r="B1192" s="2">
        <v>14</v>
      </c>
      <c r="C1192" s="2">
        <v>1031375</v>
      </c>
      <c r="D1192" s="2">
        <v>2921859</v>
      </c>
      <c r="E1192" s="2">
        <v>37.89</v>
      </c>
      <c r="F1192" s="2">
        <v>478070</v>
      </c>
    </row>
    <row r="1193" spans="1:6">
      <c r="A1193" s="3" t="s">
        <v>3972</v>
      </c>
      <c r="B1193" s="2">
        <v>23</v>
      </c>
      <c r="C1193" s="2">
        <v>428790</v>
      </c>
      <c r="D1193" s="2">
        <v>2922595</v>
      </c>
      <c r="E1193" s="2">
        <v>37.89</v>
      </c>
      <c r="F1193" s="2">
        <v>242026</v>
      </c>
    </row>
    <row r="1194" spans="1:6">
      <c r="A1194" s="3" t="s">
        <v>3973</v>
      </c>
      <c r="B1194" s="2">
        <v>13</v>
      </c>
      <c r="C1194" s="2">
        <v>1218720</v>
      </c>
      <c r="D1194" s="2">
        <v>2924635</v>
      </c>
      <c r="E1194" s="2">
        <v>37.89</v>
      </c>
      <c r="F1194" s="2">
        <v>510274</v>
      </c>
    </row>
    <row r="1195" spans="1:6">
      <c r="A1195" s="3" t="s">
        <v>3974</v>
      </c>
      <c r="B1195" s="2">
        <v>14</v>
      </c>
      <c r="C1195" s="2">
        <v>1039355</v>
      </c>
      <c r="D1195" s="2">
        <v>2925911</v>
      </c>
      <c r="E1195" s="2">
        <v>37.89</v>
      </c>
      <c r="F1195" s="2">
        <v>537359</v>
      </c>
    </row>
    <row r="1196" spans="1:6">
      <c r="A1196" s="3" t="s">
        <v>3975</v>
      </c>
      <c r="B1196" s="2">
        <v>12</v>
      </c>
      <c r="C1196" s="2">
        <v>1177438</v>
      </c>
      <c r="D1196" s="2">
        <v>2926113</v>
      </c>
      <c r="E1196" s="2">
        <v>37.89</v>
      </c>
      <c r="F1196" s="2">
        <v>537276</v>
      </c>
    </row>
    <row r="1197" spans="1:6">
      <c r="A1197" s="3" t="s">
        <v>3976</v>
      </c>
      <c r="B1197" s="2">
        <v>18</v>
      </c>
      <c r="C1197" s="2">
        <v>393319</v>
      </c>
      <c r="D1197" s="2">
        <v>2926776</v>
      </c>
      <c r="E1197" s="2">
        <v>37.89</v>
      </c>
      <c r="F1197" s="2">
        <v>247779</v>
      </c>
    </row>
    <row r="1198" spans="1:6">
      <c r="A1198" s="3" t="s">
        <v>3977</v>
      </c>
      <c r="B1198" s="2">
        <v>14</v>
      </c>
      <c r="C1198" s="2">
        <v>1254223</v>
      </c>
      <c r="D1198" s="2">
        <v>2928539</v>
      </c>
      <c r="E1198" s="2">
        <v>37.89</v>
      </c>
      <c r="F1198" s="2">
        <v>355976</v>
      </c>
    </row>
    <row r="1199" spans="1:6">
      <c r="A1199" s="3" t="s">
        <v>3978</v>
      </c>
      <c r="B1199" s="2">
        <v>51</v>
      </c>
      <c r="C1199" s="2">
        <v>256146</v>
      </c>
      <c r="D1199" s="2">
        <v>2928978</v>
      </c>
      <c r="E1199" s="2">
        <v>37.89</v>
      </c>
      <c r="F1199" s="2">
        <v>109500</v>
      </c>
    </row>
    <row r="1200" spans="1:6">
      <c r="A1200" s="3" t="s">
        <v>3979</v>
      </c>
      <c r="B1200" s="2">
        <v>31</v>
      </c>
      <c r="C1200" s="2">
        <v>463171</v>
      </c>
      <c r="D1200" s="2">
        <v>2940547</v>
      </c>
      <c r="E1200" s="2">
        <v>37.89</v>
      </c>
      <c r="F1200" s="2">
        <v>188101</v>
      </c>
    </row>
    <row r="1201" spans="1:6">
      <c r="A1201" s="3" t="s">
        <v>3980</v>
      </c>
      <c r="B1201" s="2">
        <v>18</v>
      </c>
      <c r="C1201" s="2">
        <v>1492763</v>
      </c>
      <c r="D1201" s="2">
        <v>2943022</v>
      </c>
      <c r="E1201" s="2">
        <v>37.89</v>
      </c>
      <c r="F1201" s="2">
        <v>1492763</v>
      </c>
    </row>
    <row r="1202" spans="1:6">
      <c r="A1202" s="3" t="s">
        <v>3981</v>
      </c>
      <c r="B1202" s="2">
        <v>33</v>
      </c>
      <c r="C1202" s="2">
        <v>294743</v>
      </c>
      <c r="D1202" s="2">
        <v>2944693</v>
      </c>
      <c r="E1202" s="2">
        <v>37.89</v>
      </c>
      <c r="F1202" s="2">
        <v>210487</v>
      </c>
    </row>
    <row r="1203" spans="1:6">
      <c r="A1203" s="3" t="s">
        <v>3982</v>
      </c>
      <c r="B1203" s="2">
        <v>20</v>
      </c>
      <c r="C1203" s="2">
        <v>661706</v>
      </c>
      <c r="D1203" s="2">
        <v>2944953</v>
      </c>
      <c r="E1203" s="2">
        <v>37.89</v>
      </c>
      <c r="F1203" s="2">
        <v>359769</v>
      </c>
    </row>
    <row r="1204" spans="1:6">
      <c r="A1204" s="3" t="s">
        <v>3983</v>
      </c>
      <c r="B1204" s="2">
        <v>13</v>
      </c>
      <c r="C1204" s="2">
        <v>1339841</v>
      </c>
      <c r="D1204" s="2">
        <v>2946633</v>
      </c>
      <c r="E1204" s="2">
        <v>37.89</v>
      </c>
      <c r="F1204" s="2">
        <v>600162</v>
      </c>
    </row>
    <row r="1205" spans="1:6">
      <c r="A1205" s="3" t="s">
        <v>3984</v>
      </c>
      <c r="B1205" s="2">
        <v>30</v>
      </c>
      <c r="C1205" s="2">
        <v>588429</v>
      </c>
      <c r="D1205" s="2">
        <v>2965431</v>
      </c>
      <c r="E1205" s="2">
        <v>37.89</v>
      </c>
      <c r="F1205" s="2">
        <v>421800</v>
      </c>
    </row>
    <row r="1206" spans="1:6">
      <c r="A1206" s="3" t="s">
        <v>3985</v>
      </c>
      <c r="B1206" s="2">
        <v>15</v>
      </c>
      <c r="C1206" s="2">
        <v>543333</v>
      </c>
      <c r="D1206" s="2">
        <v>2966418</v>
      </c>
      <c r="E1206" s="2">
        <v>37.89</v>
      </c>
      <c r="F1206" s="2">
        <v>356053</v>
      </c>
    </row>
    <row r="1207" spans="1:6">
      <c r="A1207" s="3" t="s">
        <v>3986</v>
      </c>
      <c r="B1207" s="2">
        <v>17</v>
      </c>
      <c r="C1207" s="2">
        <v>854846</v>
      </c>
      <c r="D1207" s="2">
        <v>2966649</v>
      </c>
      <c r="E1207" s="2">
        <v>37.89</v>
      </c>
      <c r="F1207" s="2">
        <v>508225</v>
      </c>
    </row>
    <row r="1208" spans="1:6">
      <c r="A1208" s="3" t="s">
        <v>3987</v>
      </c>
      <c r="B1208" s="2">
        <v>31</v>
      </c>
      <c r="C1208" s="2">
        <v>449003</v>
      </c>
      <c r="D1208" s="2">
        <v>2967392</v>
      </c>
      <c r="E1208" s="2">
        <v>37.89</v>
      </c>
      <c r="F1208" s="2">
        <v>194027</v>
      </c>
    </row>
    <row r="1209" spans="1:6">
      <c r="A1209" s="3" t="s">
        <v>3988</v>
      </c>
      <c r="B1209" s="2">
        <v>26</v>
      </c>
      <c r="C1209" s="2">
        <v>475825</v>
      </c>
      <c r="D1209" s="2">
        <v>2968128</v>
      </c>
      <c r="E1209" s="2">
        <v>37.89</v>
      </c>
      <c r="F1209" s="2">
        <v>234128</v>
      </c>
    </row>
    <row r="1210" spans="1:6">
      <c r="A1210" s="3" t="s">
        <v>3989</v>
      </c>
      <c r="B1210" s="2">
        <v>23</v>
      </c>
      <c r="C1210" s="2">
        <v>512161</v>
      </c>
      <c r="D1210" s="2">
        <v>2971889</v>
      </c>
      <c r="E1210" s="2">
        <v>37.89</v>
      </c>
      <c r="F1210" s="2">
        <v>173527</v>
      </c>
    </row>
    <row r="1211" spans="1:6">
      <c r="A1211" s="3" t="s">
        <v>3990</v>
      </c>
      <c r="B1211" s="2">
        <v>21</v>
      </c>
      <c r="C1211" s="2">
        <v>553862</v>
      </c>
      <c r="D1211" s="2">
        <v>2974771</v>
      </c>
      <c r="E1211" s="2">
        <v>37.89</v>
      </c>
      <c r="F1211" s="2">
        <v>482179</v>
      </c>
    </row>
    <row r="1212" spans="1:6">
      <c r="A1212" s="3" t="s">
        <v>3991</v>
      </c>
      <c r="B1212" s="2">
        <v>20</v>
      </c>
      <c r="C1212" s="2">
        <v>755035</v>
      </c>
      <c r="D1212" s="2">
        <v>2986504</v>
      </c>
      <c r="E1212" s="2">
        <v>37.89</v>
      </c>
      <c r="F1212" s="2">
        <v>477681</v>
      </c>
    </row>
    <row r="1213" spans="1:6">
      <c r="A1213" s="3" t="s">
        <v>3992</v>
      </c>
      <c r="B1213" s="2">
        <v>18</v>
      </c>
      <c r="C1213" s="2">
        <v>704546</v>
      </c>
      <c r="D1213" s="2">
        <v>2986901</v>
      </c>
      <c r="E1213" s="2">
        <v>37.89</v>
      </c>
      <c r="F1213" s="2">
        <v>580560</v>
      </c>
    </row>
    <row r="1214" spans="1:6">
      <c r="A1214" s="3" t="s">
        <v>3993</v>
      </c>
      <c r="B1214" s="2">
        <v>15</v>
      </c>
      <c r="C1214" s="2">
        <v>605861</v>
      </c>
      <c r="D1214" s="2">
        <v>3000926</v>
      </c>
      <c r="E1214" s="2">
        <v>37.89</v>
      </c>
      <c r="F1214" s="2">
        <v>541326</v>
      </c>
    </row>
    <row r="1215" spans="1:6">
      <c r="A1215" s="3" t="s">
        <v>3994</v>
      </c>
      <c r="B1215" s="2">
        <v>18</v>
      </c>
      <c r="C1215" s="2">
        <v>938364</v>
      </c>
      <c r="D1215" s="2">
        <v>3008361</v>
      </c>
      <c r="E1215" s="2">
        <v>37.89</v>
      </c>
      <c r="F1215" s="2">
        <v>387630</v>
      </c>
    </row>
    <row r="1216" spans="1:6">
      <c r="A1216" s="3" t="s">
        <v>3995</v>
      </c>
      <c r="B1216" s="2">
        <v>17</v>
      </c>
      <c r="C1216" s="2">
        <v>908606</v>
      </c>
      <c r="D1216" s="2">
        <v>3009219</v>
      </c>
      <c r="E1216" s="2">
        <v>37.89</v>
      </c>
      <c r="F1216" s="2">
        <v>605974</v>
      </c>
    </row>
    <row r="1217" spans="1:6">
      <c r="A1217" s="3" t="s">
        <v>3996</v>
      </c>
      <c r="B1217" s="2">
        <v>36</v>
      </c>
      <c r="C1217" s="2">
        <v>348101</v>
      </c>
      <c r="D1217" s="2">
        <v>3014585</v>
      </c>
      <c r="E1217" s="2">
        <v>37.89</v>
      </c>
      <c r="F1217" s="2">
        <v>144443</v>
      </c>
    </row>
    <row r="1218" spans="1:6">
      <c r="A1218" s="3" t="s">
        <v>3997</v>
      </c>
      <c r="B1218" s="2">
        <v>18</v>
      </c>
      <c r="C1218" s="2">
        <v>722776</v>
      </c>
      <c r="D1218" s="2">
        <v>3015577</v>
      </c>
      <c r="E1218" s="2">
        <v>37.89</v>
      </c>
      <c r="F1218" s="2">
        <v>427797</v>
      </c>
    </row>
    <row r="1219" spans="1:6">
      <c r="A1219" s="3" t="s">
        <v>3998</v>
      </c>
      <c r="B1219" s="2">
        <v>28</v>
      </c>
      <c r="C1219" s="2">
        <v>352393</v>
      </c>
      <c r="D1219" s="2">
        <v>3015763</v>
      </c>
      <c r="E1219" s="2">
        <v>37.89</v>
      </c>
      <c r="F1219" s="2">
        <v>187507</v>
      </c>
    </row>
    <row r="1220" spans="1:6">
      <c r="A1220" s="3" t="s">
        <v>3999</v>
      </c>
      <c r="B1220" s="2">
        <v>32</v>
      </c>
      <c r="C1220" s="2">
        <v>587523</v>
      </c>
      <c r="D1220" s="2">
        <v>3023760</v>
      </c>
      <c r="E1220" s="2">
        <v>37.89</v>
      </c>
      <c r="F1220" s="2">
        <v>449340</v>
      </c>
    </row>
    <row r="1221" spans="1:6">
      <c r="A1221" s="3" t="s">
        <v>4000</v>
      </c>
      <c r="B1221" s="2">
        <v>21</v>
      </c>
      <c r="C1221" s="2">
        <v>630326</v>
      </c>
      <c r="D1221" s="2">
        <v>3024640</v>
      </c>
      <c r="E1221" s="2">
        <v>37.89</v>
      </c>
      <c r="F1221" s="2">
        <v>449340</v>
      </c>
    </row>
    <row r="1222" spans="1:6">
      <c r="A1222" s="3" t="s">
        <v>4001</v>
      </c>
      <c r="B1222" s="2">
        <v>31</v>
      </c>
      <c r="C1222" s="2">
        <v>520574</v>
      </c>
      <c r="D1222" s="2">
        <v>3035922</v>
      </c>
      <c r="E1222" s="2">
        <v>37.89</v>
      </c>
      <c r="F1222" s="2">
        <v>277929</v>
      </c>
    </row>
    <row r="1223" spans="1:6">
      <c r="A1223" s="3" t="s">
        <v>4002</v>
      </c>
      <c r="B1223" s="2">
        <v>22</v>
      </c>
      <c r="C1223" s="2">
        <v>884013</v>
      </c>
      <c r="D1223" s="2">
        <v>3047515</v>
      </c>
      <c r="E1223" s="2">
        <v>37.89</v>
      </c>
      <c r="F1223" s="2">
        <v>485508</v>
      </c>
    </row>
    <row r="1224" spans="1:6">
      <c r="A1224" s="3" t="s">
        <v>4003</v>
      </c>
      <c r="B1224" s="2">
        <v>50</v>
      </c>
      <c r="C1224" s="2">
        <v>511198</v>
      </c>
      <c r="D1224" s="2">
        <v>3050104</v>
      </c>
      <c r="E1224" s="2">
        <v>37.89</v>
      </c>
      <c r="F1224" s="2">
        <v>118854</v>
      </c>
    </row>
    <row r="1225" spans="1:6">
      <c r="A1225" s="3" t="s">
        <v>4004</v>
      </c>
      <c r="B1225" s="2">
        <v>53</v>
      </c>
      <c r="C1225" s="2">
        <v>460068</v>
      </c>
      <c r="D1225" s="2">
        <v>3052618</v>
      </c>
      <c r="E1225" s="2">
        <v>37.89</v>
      </c>
      <c r="F1225" s="2">
        <v>210260</v>
      </c>
    </row>
    <row r="1226" spans="1:6">
      <c r="A1226" s="3" t="s">
        <v>4005</v>
      </c>
      <c r="B1226" s="2">
        <v>30</v>
      </c>
      <c r="C1226" s="2">
        <v>389037</v>
      </c>
      <c r="D1226" s="2">
        <v>3056330</v>
      </c>
      <c r="E1226" s="2">
        <v>37.89</v>
      </c>
      <c r="F1226" s="2">
        <v>164865</v>
      </c>
    </row>
    <row r="1227" spans="1:6">
      <c r="A1227" s="3" t="s">
        <v>4006</v>
      </c>
      <c r="B1227" s="2">
        <v>25</v>
      </c>
      <c r="C1227" s="2">
        <v>750736</v>
      </c>
      <c r="D1227" s="2">
        <v>3071220</v>
      </c>
      <c r="E1227" s="2">
        <v>37.89</v>
      </c>
      <c r="F1227" s="2">
        <v>415367</v>
      </c>
    </row>
    <row r="1228" spans="1:6">
      <c r="A1228" s="3" t="s">
        <v>4007</v>
      </c>
      <c r="B1228" s="2">
        <v>21</v>
      </c>
      <c r="C1228" s="2">
        <v>605098</v>
      </c>
      <c r="D1228" s="2">
        <v>3093575</v>
      </c>
      <c r="E1228" s="2">
        <v>37.89</v>
      </c>
      <c r="F1228" s="2">
        <v>510109</v>
      </c>
    </row>
    <row r="1229" spans="1:6">
      <c r="A1229" s="3" t="s">
        <v>4008</v>
      </c>
      <c r="B1229" s="2">
        <v>19</v>
      </c>
      <c r="C1229" s="2">
        <v>529446</v>
      </c>
      <c r="D1229" s="2">
        <v>3100440</v>
      </c>
      <c r="E1229" s="2">
        <v>37.89</v>
      </c>
      <c r="F1229" s="2">
        <v>292449</v>
      </c>
    </row>
    <row r="1230" spans="1:6">
      <c r="A1230" s="3" t="s">
        <v>4009</v>
      </c>
      <c r="B1230" s="2">
        <v>12</v>
      </c>
      <c r="C1230" s="2">
        <v>1456620</v>
      </c>
      <c r="D1230" s="2">
        <v>2832788</v>
      </c>
      <c r="E1230" s="2">
        <v>37.9</v>
      </c>
      <c r="F1230" s="2">
        <v>1456620</v>
      </c>
    </row>
    <row r="1231" spans="1:6">
      <c r="A1231" s="3" t="s">
        <v>4010</v>
      </c>
      <c r="B1231" s="2">
        <v>12</v>
      </c>
      <c r="C1231" s="2">
        <v>1456507</v>
      </c>
      <c r="D1231" s="2">
        <v>2833119</v>
      </c>
      <c r="E1231" s="2">
        <v>37.9</v>
      </c>
      <c r="F1231" s="2">
        <v>1456507</v>
      </c>
    </row>
    <row r="1232" spans="1:6">
      <c r="A1232" s="3" t="s">
        <v>4011</v>
      </c>
      <c r="B1232" s="2">
        <v>10</v>
      </c>
      <c r="C1232" s="2">
        <v>1472646</v>
      </c>
      <c r="D1232" s="2">
        <v>2848801</v>
      </c>
      <c r="E1232" s="2">
        <v>37.9</v>
      </c>
      <c r="F1232" s="2">
        <v>1472646</v>
      </c>
    </row>
    <row r="1233" spans="1:6">
      <c r="A1233" s="3" t="s">
        <v>4012</v>
      </c>
      <c r="B1233" s="2">
        <v>15</v>
      </c>
      <c r="C1233" s="2">
        <v>1470302</v>
      </c>
      <c r="D1233" s="2">
        <v>2850531</v>
      </c>
      <c r="E1233" s="2">
        <v>37.9</v>
      </c>
      <c r="F1233" s="2">
        <v>1470302</v>
      </c>
    </row>
    <row r="1234" spans="1:6">
      <c r="A1234" s="3" t="s">
        <v>4013</v>
      </c>
      <c r="B1234" s="2">
        <v>18</v>
      </c>
      <c r="C1234" s="2">
        <v>605973</v>
      </c>
      <c r="D1234" s="2">
        <v>2862645</v>
      </c>
      <c r="E1234" s="2">
        <v>37.9</v>
      </c>
      <c r="F1234" s="2">
        <v>449354</v>
      </c>
    </row>
    <row r="1235" spans="1:6">
      <c r="A1235" s="3" t="s">
        <v>4014</v>
      </c>
      <c r="B1235" s="2">
        <v>11</v>
      </c>
      <c r="C1235" s="2">
        <v>1341959</v>
      </c>
      <c r="D1235" s="2">
        <v>2873236</v>
      </c>
      <c r="E1235" s="2">
        <v>37.9</v>
      </c>
      <c r="F1235" s="2">
        <v>542742</v>
      </c>
    </row>
    <row r="1236" spans="1:6">
      <c r="A1236" s="3" t="s">
        <v>4015</v>
      </c>
      <c r="B1236" s="2">
        <v>54</v>
      </c>
      <c r="C1236" s="2">
        <v>262563</v>
      </c>
      <c r="D1236" s="2">
        <v>2874369</v>
      </c>
      <c r="E1236" s="2">
        <v>37.9</v>
      </c>
      <c r="F1236" s="2">
        <v>90925</v>
      </c>
    </row>
    <row r="1237" spans="1:6">
      <c r="A1237" s="3" t="s">
        <v>4016</v>
      </c>
      <c r="B1237" s="2">
        <v>11</v>
      </c>
      <c r="C1237" s="2">
        <v>1464806</v>
      </c>
      <c r="D1237" s="2">
        <v>2874387</v>
      </c>
      <c r="E1237" s="2">
        <v>37.9</v>
      </c>
      <c r="F1237" s="2">
        <v>1464806</v>
      </c>
    </row>
    <row r="1238" spans="1:6">
      <c r="A1238" s="3" t="s">
        <v>4017</v>
      </c>
      <c r="B1238" s="2">
        <v>12</v>
      </c>
      <c r="C1238" s="2">
        <v>1457598</v>
      </c>
      <c r="D1238" s="2">
        <v>2874895</v>
      </c>
      <c r="E1238" s="2">
        <v>37.9</v>
      </c>
      <c r="F1238" s="2">
        <v>1457598</v>
      </c>
    </row>
    <row r="1239" spans="1:6">
      <c r="A1239" s="3" t="s">
        <v>4018</v>
      </c>
      <c r="B1239" s="2">
        <v>14</v>
      </c>
      <c r="C1239" s="2">
        <v>1341983</v>
      </c>
      <c r="D1239" s="2">
        <v>2875675</v>
      </c>
      <c r="E1239" s="2">
        <v>37.9</v>
      </c>
      <c r="F1239" s="2">
        <v>542699</v>
      </c>
    </row>
    <row r="1240" spans="1:6">
      <c r="A1240" s="3" t="s">
        <v>4019</v>
      </c>
      <c r="B1240" s="2">
        <v>15</v>
      </c>
      <c r="C1240" s="2">
        <v>1424261</v>
      </c>
      <c r="D1240" s="2">
        <v>2877232</v>
      </c>
      <c r="E1240" s="2">
        <v>37.9</v>
      </c>
      <c r="F1240" s="2">
        <v>438190</v>
      </c>
    </row>
    <row r="1241" spans="1:6">
      <c r="A1241" s="3" t="s">
        <v>4020</v>
      </c>
      <c r="B1241" s="2">
        <v>13</v>
      </c>
      <c r="C1241" s="2">
        <v>1464940</v>
      </c>
      <c r="D1241" s="2">
        <v>2877837</v>
      </c>
      <c r="E1241" s="2">
        <v>37.9</v>
      </c>
      <c r="F1241" s="2">
        <v>1464940</v>
      </c>
    </row>
    <row r="1242" spans="1:6">
      <c r="A1242" s="3" t="s">
        <v>4021</v>
      </c>
      <c r="B1242" s="2">
        <v>27</v>
      </c>
      <c r="C1242" s="2">
        <v>423869</v>
      </c>
      <c r="D1242" s="2">
        <v>2881692</v>
      </c>
      <c r="E1242" s="2">
        <v>37.9</v>
      </c>
      <c r="F1242" s="2">
        <v>284784</v>
      </c>
    </row>
    <row r="1243" spans="1:6">
      <c r="A1243" s="3" t="s">
        <v>4022</v>
      </c>
      <c r="B1243" s="2">
        <v>13</v>
      </c>
      <c r="C1243" s="2">
        <v>1502505</v>
      </c>
      <c r="D1243" s="2">
        <v>2881902</v>
      </c>
      <c r="E1243" s="2">
        <v>37.9</v>
      </c>
      <c r="F1243" s="2">
        <v>1502505</v>
      </c>
    </row>
    <row r="1244" spans="1:6">
      <c r="A1244" s="3" t="s">
        <v>4023</v>
      </c>
      <c r="B1244" s="2">
        <v>14</v>
      </c>
      <c r="C1244" s="2">
        <v>1502505</v>
      </c>
      <c r="D1244" s="2">
        <v>2882051</v>
      </c>
      <c r="E1244" s="2">
        <v>37.9</v>
      </c>
      <c r="F1244" s="2">
        <v>1502505</v>
      </c>
    </row>
    <row r="1245" spans="1:6">
      <c r="A1245" s="3" t="s">
        <v>4024</v>
      </c>
      <c r="B1245" s="2">
        <v>34</v>
      </c>
      <c r="C1245" s="2">
        <v>344632</v>
      </c>
      <c r="D1245" s="2">
        <v>2882376</v>
      </c>
      <c r="E1245" s="2">
        <v>37.9</v>
      </c>
      <c r="F1245" s="2">
        <v>256439</v>
      </c>
    </row>
    <row r="1246" spans="1:6">
      <c r="A1246" s="3" t="s">
        <v>4025</v>
      </c>
      <c r="B1246" s="2">
        <v>12</v>
      </c>
      <c r="C1246" s="2">
        <v>1458861</v>
      </c>
      <c r="D1246" s="2">
        <v>2882549</v>
      </c>
      <c r="E1246" s="2">
        <v>37.9</v>
      </c>
      <c r="F1246" s="2">
        <v>1458861</v>
      </c>
    </row>
    <row r="1247" spans="1:6">
      <c r="A1247" s="3" t="s">
        <v>4026</v>
      </c>
      <c r="B1247" s="2">
        <v>14</v>
      </c>
      <c r="C1247" s="2">
        <v>1504854</v>
      </c>
      <c r="D1247" s="2">
        <v>2882668</v>
      </c>
      <c r="E1247" s="2">
        <v>37.9</v>
      </c>
      <c r="F1247" s="2">
        <v>1504854</v>
      </c>
    </row>
    <row r="1248" spans="1:6">
      <c r="A1248" s="3" t="s">
        <v>4027</v>
      </c>
      <c r="B1248" s="2">
        <v>23</v>
      </c>
      <c r="C1248" s="2">
        <v>449469</v>
      </c>
      <c r="D1248" s="2">
        <v>2883177</v>
      </c>
      <c r="E1248" s="2">
        <v>37.9</v>
      </c>
      <c r="F1248" s="2">
        <v>297521</v>
      </c>
    </row>
    <row r="1249" spans="1:6">
      <c r="A1249" s="3" t="s">
        <v>4028</v>
      </c>
      <c r="B1249" s="2">
        <v>14</v>
      </c>
      <c r="C1249" s="2">
        <v>688750</v>
      </c>
      <c r="D1249" s="2">
        <v>2885139</v>
      </c>
      <c r="E1249" s="2">
        <v>37.9</v>
      </c>
      <c r="F1249" s="2">
        <v>305106</v>
      </c>
    </row>
    <row r="1250" spans="1:6">
      <c r="A1250" s="3" t="s">
        <v>4029</v>
      </c>
      <c r="B1250" s="2">
        <v>13</v>
      </c>
      <c r="C1250" s="2">
        <v>1454380</v>
      </c>
      <c r="D1250" s="2">
        <v>2889421</v>
      </c>
      <c r="E1250" s="2">
        <v>37.9</v>
      </c>
      <c r="F1250" s="2">
        <v>1454380</v>
      </c>
    </row>
    <row r="1251" spans="1:6">
      <c r="A1251" s="3" t="s">
        <v>4030</v>
      </c>
      <c r="B1251" s="2">
        <v>23</v>
      </c>
      <c r="C1251" s="2">
        <v>907506</v>
      </c>
      <c r="D1251" s="2">
        <v>2891631</v>
      </c>
      <c r="E1251" s="2">
        <v>37.9</v>
      </c>
      <c r="F1251" s="2">
        <v>235925</v>
      </c>
    </row>
    <row r="1252" spans="1:6">
      <c r="A1252" s="3" t="s">
        <v>4031</v>
      </c>
      <c r="B1252" s="2">
        <v>12</v>
      </c>
      <c r="C1252" s="2">
        <v>1009890</v>
      </c>
      <c r="D1252" s="2">
        <v>2892115</v>
      </c>
      <c r="E1252" s="2">
        <v>37.9</v>
      </c>
      <c r="F1252" s="2">
        <v>512305</v>
      </c>
    </row>
    <row r="1253" spans="1:6">
      <c r="A1253" s="3" t="s">
        <v>4032</v>
      </c>
      <c r="B1253" s="2">
        <v>9</v>
      </c>
      <c r="C1253" s="2">
        <v>1475195</v>
      </c>
      <c r="D1253" s="2">
        <v>2894641</v>
      </c>
      <c r="E1253" s="2">
        <v>37.9</v>
      </c>
      <c r="F1253" s="2">
        <v>1475195</v>
      </c>
    </row>
    <row r="1254" spans="1:6">
      <c r="A1254" s="3" t="s">
        <v>4033</v>
      </c>
      <c r="B1254" s="2">
        <v>9</v>
      </c>
      <c r="C1254" s="2">
        <v>1486631</v>
      </c>
      <c r="D1254" s="2">
        <v>2898885</v>
      </c>
      <c r="E1254" s="2">
        <v>37.9</v>
      </c>
      <c r="F1254" s="2">
        <v>1486631</v>
      </c>
    </row>
    <row r="1255" spans="1:6">
      <c r="A1255" s="3" t="s">
        <v>4034</v>
      </c>
      <c r="B1255" s="2">
        <v>18</v>
      </c>
      <c r="C1255" s="2">
        <v>992920</v>
      </c>
      <c r="D1255" s="2">
        <v>2898939</v>
      </c>
      <c r="E1255" s="2">
        <v>37.9</v>
      </c>
      <c r="F1255" s="2">
        <v>362658</v>
      </c>
    </row>
    <row r="1256" spans="1:6">
      <c r="A1256" s="3" t="s">
        <v>4035</v>
      </c>
      <c r="B1256" s="2">
        <v>15</v>
      </c>
      <c r="C1256" s="2">
        <v>1479651</v>
      </c>
      <c r="D1256" s="2">
        <v>2901923</v>
      </c>
      <c r="E1256" s="2">
        <v>37.9</v>
      </c>
      <c r="F1256" s="2">
        <v>1479651</v>
      </c>
    </row>
    <row r="1257" spans="1:6">
      <c r="A1257" s="3" t="s">
        <v>4036</v>
      </c>
      <c r="B1257" s="2">
        <v>64</v>
      </c>
      <c r="C1257" s="2">
        <v>208006</v>
      </c>
      <c r="D1257" s="2">
        <v>2905003</v>
      </c>
      <c r="E1257" s="2">
        <v>37.9</v>
      </c>
      <c r="F1257" s="2">
        <v>90651</v>
      </c>
    </row>
    <row r="1258" spans="1:6">
      <c r="A1258" s="3" t="s">
        <v>4037</v>
      </c>
      <c r="B1258" s="2">
        <v>34</v>
      </c>
      <c r="C1258" s="2">
        <v>344780</v>
      </c>
      <c r="D1258" s="2">
        <v>2906344</v>
      </c>
      <c r="E1258" s="2">
        <v>37.9</v>
      </c>
      <c r="F1258" s="2">
        <v>163261</v>
      </c>
    </row>
    <row r="1259" spans="1:6">
      <c r="A1259" s="3" t="s">
        <v>4038</v>
      </c>
      <c r="B1259" s="2">
        <v>18</v>
      </c>
      <c r="C1259" s="2">
        <v>595130</v>
      </c>
      <c r="D1259" s="2">
        <v>2906876</v>
      </c>
      <c r="E1259" s="2">
        <v>37.9</v>
      </c>
      <c r="F1259" s="2">
        <v>406896</v>
      </c>
    </row>
    <row r="1260" spans="1:6">
      <c r="A1260" s="3" t="s">
        <v>4039</v>
      </c>
      <c r="B1260" s="2">
        <v>29</v>
      </c>
      <c r="C1260" s="2">
        <v>507502</v>
      </c>
      <c r="D1260" s="2">
        <v>2907257</v>
      </c>
      <c r="E1260" s="2">
        <v>37.9</v>
      </c>
      <c r="F1260" s="2">
        <v>228731</v>
      </c>
    </row>
    <row r="1261" spans="1:6">
      <c r="A1261" s="3" t="s">
        <v>4040</v>
      </c>
      <c r="B1261" s="2">
        <v>14</v>
      </c>
      <c r="C1261" s="2">
        <v>1211339</v>
      </c>
      <c r="D1261" s="2">
        <v>2907350</v>
      </c>
      <c r="E1261" s="2">
        <v>37.9</v>
      </c>
      <c r="F1261" s="2">
        <v>498975</v>
      </c>
    </row>
    <row r="1262" spans="1:6">
      <c r="A1262" s="3" t="s">
        <v>4041</v>
      </c>
      <c r="B1262" s="2">
        <v>26</v>
      </c>
      <c r="C1262" s="2">
        <v>407786</v>
      </c>
      <c r="D1262" s="2">
        <v>2907427</v>
      </c>
      <c r="E1262" s="2">
        <v>37.9</v>
      </c>
      <c r="F1262" s="2">
        <v>228866</v>
      </c>
    </row>
    <row r="1263" spans="1:6">
      <c r="A1263" s="3" t="s">
        <v>4042</v>
      </c>
      <c r="B1263" s="2">
        <v>14</v>
      </c>
      <c r="C1263" s="2">
        <v>1003838</v>
      </c>
      <c r="D1263" s="2">
        <v>2908392</v>
      </c>
      <c r="E1263" s="2">
        <v>37.9</v>
      </c>
      <c r="F1263" s="2">
        <v>510957</v>
      </c>
    </row>
    <row r="1264" spans="1:6">
      <c r="A1264" s="3" t="s">
        <v>4043</v>
      </c>
      <c r="B1264" s="2">
        <v>17</v>
      </c>
      <c r="C1264" s="2">
        <v>437803</v>
      </c>
      <c r="D1264" s="2">
        <v>2908693</v>
      </c>
      <c r="E1264" s="2">
        <v>37.9</v>
      </c>
      <c r="F1264" s="2">
        <v>376676</v>
      </c>
    </row>
    <row r="1265" spans="1:6">
      <c r="A1265" s="3" t="s">
        <v>4044</v>
      </c>
      <c r="B1265" s="2">
        <v>22</v>
      </c>
      <c r="C1265" s="2">
        <v>909986</v>
      </c>
      <c r="D1265" s="2">
        <v>2909794</v>
      </c>
      <c r="E1265" s="2">
        <v>37.9</v>
      </c>
      <c r="F1265" s="2">
        <v>321374</v>
      </c>
    </row>
    <row r="1266" spans="1:6">
      <c r="A1266" s="3" t="s">
        <v>4045</v>
      </c>
      <c r="B1266" s="2">
        <v>13</v>
      </c>
      <c r="C1266" s="2">
        <v>1490279</v>
      </c>
      <c r="D1266" s="2">
        <v>2910690</v>
      </c>
      <c r="E1266" s="2">
        <v>37.9</v>
      </c>
      <c r="F1266" s="2">
        <v>1490279</v>
      </c>
    </row>
    <row r="1267" spans="1:6">
      <c r="A1267" s="3" t="s">
        <v>4046</v>
      </c>
      <c r="B1267" s="2">
        <v>26</v>
      </c>
      <c r="C1267" s="2">
        <v>571473</v>
      </c>
      <c r="D1267" s="2">
        <v>2911968</v>
      </c>
      <c r="E1267" s="2">
        <v>37.9</v>
      </c>
      <c r="F1267" s="2">
        <v>258676</v>
      </c>
    </row>
    <row r="1268" spans="1:6">
      <c r="A1268" s="3" t="s">
        <v>4047</v>
      </c>
      <c r="B1268" s="2">
        <v>15</v>
      </c>
      <c r="C1268" s="2">
        <v>1536261</v>
      </c>
      <c r="D1268" s="2">
        <v>2914838</v>
      </c>
      <c r="E1268" s="2">
        <v>37.9</v>
      </c>
      <c r="F1268" s="2">
        <v>1536261</v>
      </c>
    </row>
    <row r="1269" spans="1:6">
      <c r="A1269" s="3" t="s">
        <v>4048</v>
      </c>
      <c r="B1269" s="2">
        <v>111</v>
      </c>
      <c r="C1269" s="2">
        <v>148342</v>
      </c>
      <c r="D1269" s="2">
        <v>2917187</v>
      </c>
      <c r="E1269" s="2">
        <v>37.9</v>
      </c>
      <c r="F1269" s="2">
        <v>52990</v>
      </c>
    </row>
    <row r="1270" spans="1:6">
      <c r="A1270" s="3" t="s">
        <v>4049</v>
      </c>
      <c r="B1270" s="2">
        <v>32</v>
      </c>
      <c r="C1270" s="2">
        <v>537525</v>
      </c>
      <c r="D1270" s="2">
        <v>2917410</v>
      </c>
      <c r="E1270" s="2">
        <v>37.9</v>
      </c>
      <c r="F1270" s="2">
        <v>233182</v>
      </c>
    </row>
    <row r="1271" spans="1:6">
      <c r="A1271" s="3" t="s">
        <v>4050</v>
      </c>
      <c r="B1271" s="2">
        <v>13</v>
      </c>
      <c r="C1271" s="2">
        <v>1213052</v>
      </c>
      <c r="D1271" s="2">
        <v>2917713</v>
      </c>
      <c r="E1271" s="2">
        <v>37.9</v>
      </c>
      <c r="F1271" s="2">
        <v>357401</v>
      </c>
    </row>
    <row r="1272" spans="1:6">
      <c r="A1272" s="3" t="s">
        <v>4051</v>
      </c>
      <c r="B1272" s="2">
        <v>15</v>
      </c>
      <c r="C1272" s="2">
        <v>1213133</v>
      </c>
      <c r="D1272" s="2">
        <v>2917792</v>
      </c>
      <c r="E1272" s="2">
        <v>37.9</v>
      </c>
      <c r="F1272" s="2">
        <v>357770</v>
      </c>
    </row>
    <row r="1273" spans="1:6">
      <c r="A1273" s="3" t="s">
        <v>4052</v>
      </c>
      <c r="B1273" s="2">
        <v>162</v>
      </c>
      <c r="C1273" s="2">
        <v>161733</v>
      </c>
      <c r="D1273" s="2">
        <v>2918102</v>
      </c>
      <c r="E1273" s="2">
        <v>37.9</v>
      </c>
      <c r="F1273" s="2">
        <v>33742</v>
      </c>
    </row>
    <row r="1274" spans="1:6">
      <c r="A1274" s="3" t="s">
        <v>4053</v>
      </c>
      <c r="B1274" s="2">
        <v>10</v>
      </c>
      <c r="C1274" s="2">
        <v>1226625</v>
      </c>
      <c r="D1274" s="2">
        <v>2918478</v>
      </c>
      <c r="E1274" s="2">
        <v>37.9</v>
      </c>
      <c r="F1274" s="2">
        <v>508743</v>
      </c>
    </row>
    <row r="1275" spans="1:6">
      <c r="A1275" s="3" t="s">
        <v>4054</v>
      </c>
      <c r="B1275" s="2">
        <v>131</v>
      </c>
      <c r="C1275" s="2">
        <v>121500</v>
      </c>
      <c r="D1275" s="2">
        <v>2918614</v>
      </c>
      <c r="E1275" s="2">
        <v>37.9</v>
      </c>
      <c r="F1275" s="2">
        <v>42311</v>
      </c>
    </row>
    <row r="1276" spans="1:6">
      <c r="A1276" s="3" t="s">
        <v>4055</v>
      </c>
      <c r="B1276" s="2">
        <v>13</v>
      </c>
      <c r="C1276" s="2">
        <v>1019201</v>
      </c>
      <c r="D1276" s="2">
        <v>2918689</v>
      </c>
      <c r="E1276" s="2">
        <v>37.9</v>
      </c>
      <c r="F1276" s="2">
        <v>452015</v>
      </c>
    </row>
    <row r="1277" spans="1:6">
      <c r="A1277" s="3" t="s">
        <v>4056</v>
      </c>
      <c r="B1277" s="2">
        <v>24</v>
      </c>
      <c r="C1277" s="2">
        <v>565232</v>
      </c>
      <c r="D1277" s="2">
        <v>2919160</v>
      </c>
      <c r="E1277" s="2">
        <v>37.9</v>
      </c>
      <c r="F1277" s="2">
        <v>279457</v>
      </c>
    </row>
    <row r="1278" spans="1:6">
      <c r="A1278" s="3" t="s">
        <v>4057</v>
      </c>
      <c r="B1278" s="2">
        <v>10</v>
      </c>
      <c r="C1278" s="2">
        <v>1219333</v>
      </c>
      <c r="D1278" s="2">
        <v>2921186</v>
      </c>
      <c r="E1278" s="2">
        <v>37.9</v>
      </c>
      <c r="F1278" s="2">
        <v>515214</v>
      </c>
    </row>
    <row r="1279" spans="1:6">
      <c r="A1279" s="3" t="s">
        <v>4058</v>
      </c>
      <c r="B1279" s="2">
        <v>20</v>
      </c>
      <c r="C1279" s="2">
        <v>1213113</v>
      </c>
      <c r="D1279" s="2">
        <v>2922170</v>
      </c>
      <c r="E1279" s="2">
        <v>37.9</v>
      </c>
      <c r="F1279" s="2">
        <v>357560</v>
      </c>
    </row>
    <row r="1280" spans="1:6">
      <c r="A1280" s="3" t="s">
        <v>4059</v>
      </c>
      <c r="B1280" s="2">
        <v>14</v>
      </c>
      <c r="C1280" s="2">
        <v>933287</v>
      </c>
      <c r="D1280" s="2">
        <v>2922341</v>
      </c>
      <c r="E1280" s="2">
        <v>37.9</v>
      </c>
      <c r="F1280" s="2">
        <v>298377</v>
      </c>
    </row>
    <row r="1281" spans="1:6">
      <c r="A1281" s="3" t="s">
        <v>4060</v>
      </c>
      <c r="B1281" s="2">
        <v>13</v>
      </c>
      <c r="C1281" s="2">
        <v>1219327</v>
      </c>
      <c r="D1281" s="2">
        <v>2922974</v>
      </c>
      <c r="E1281" s="2">
        <v>37.9</v>
      </c>
      <c r="F1281" s="2">
        <v>551368</v>
      </c>
    </row>
    <row r="1282" spans="1:6">
      <c r="A1282" s="3" t="s">
        <v>4061</v>
      </c>
      <c r="B1282" s="2">
        <v>13</v>
      </c>
      <c r="C1282" s="2">
        <v>588564</v>
      </c>
      <c r="D1282" s="2">
        <v>2923940</v>
      </c>
      <c r="E1282" s="2">
        <v>37.9</v>
      </c>
      <c r="F1282" s="2">
        <v>508156</v>
      </c>
    </row>
    <row r="1283" spans="1:6">
      <c r="A1283" s="3" t="s">
        <v>4062</v>
      </c>
      <c r="B1283" s="2">
        <v>15</v>
      </c>
      <c r="C1283" s="2">
        <v>554765</v>
      </c>
      <c r="D1283" s="2">
        <v>2925313</v>
      </c>
      <c r="E1283" s="2">
        <v>37.9</v>
      </c>
      <c r="F1283" s="2">
        <v>507500</v>
      </c>
    </row>
    <row r="1284" spans="1:6">
      <c r="A1284" s="3" t="s">
        <v>4063</v>
      </c>
      <c r="B1284" s="2">
        <v>15</v>
      </c>
      <c r="C1284" s="2">
        <v>1230323</v>
      </c>
      <c r="D1284" s="2">
        <v>2925884</v>
      </c>
      <c r="E1284" s="2">
        <v>37.9</v>
      </c>
      <c r="F1284" s="2">
        <v>508910</v>
      </c>
    </row>
    <row r="1285" spans="1:6">
      <c r="A1285" s="3" t="s">
        <v>4064</v>
      </c>
      <c r="B1285" s="2">
        <v>28</v>
      </c>
      <c r="C1285" s="2">
        <v>550469</v>
      </c>
      <c r="D1285" s="2">
        <v>2925984</v>
      </c>
      <c r="E1285" s="2">
        <v>37.9</v>
      </c>
      <c r="F1285" s="2">
        <v>299049</v>
      </c>
    </row>
    <row r="1286" spans="1:6">
      <c r="A1286" s="3" t="s">
        <v>4065</v>
      </c>
      <c r="B1286" s="2">
        <v>40</v>
      </c>
      <c r="C1286" s="2">
        <v>433519</v>
      </c>
      <c r="D1286" s="2">
        <v>2927905</v>
      </c>
      <c r="E1286" s="2">
        <v>37.9</v>
      </c>
      <c r="F1286" s="2">
        <v>208790</v>
      </c>
    </row>
    <row r="1287" spans="1:6">
      <c r="A1287" s="3" t="s">
        <v>4066</v>
      </c>
      <c r="B1287" s="2">
        <v>27</v>
      </c>
      <c r="C1287" s="2">
        <v>527770</v>
      </c>
      <c r="D1287" s="2">
        <v>2936268</v>
      </c>
      <c r="E1287" s="2">
        <v>37.9</v>
      </c>
      <c r="F1287" s="2">
        <v>299045</v>
      </c>
    </row>
    <row r="1288" spans="1:6">
      <c r="A1288" s="3" t="s">
        <v>4067</v>
      </c>
      <c r="B1288" s="2">
        <v>16</v>
      </c>
      <c r="C1288" s="2">
        <v>845891</v>
      </c>
      <c r="D1288" s="2">
        <v>2947414</v>
      </c>
      <c r="E1288" s="2">
        <v>37.9</v>
      </c>
      <c r="F1288" s="2">
        <v>425650</v>
      </c>
    </row>
    <row r="1289" spans="1:6">
      <c r="A1289" s="3" t="s">
        <v>4068</v>
      </c>
      <c r="B1289" s="2">
        <v>14</v>
      </c>
      <c r="C1289" s="2">
        <v>1453575</v>
      </c>
      <c r="D1289" s="2">
        <v>2947446</v>
      </c>
      <c r="E1289" s="2">
        <v>37.9</v>
      </c>
      <c r="F1289" s="2">
        <v>439245</v>
      </c>
    </row>
    <row r="1290" spans="1:6">
      <c r="A1290" s="3" t="s">
        <v>4069</v>
      </c>
      <c r="B1290" s="2">
        <v>19</v>
      </c>
      <c r="C1290" s="2">
        <v>554567</v>
      </c>
      <c r="D1290" s="2">
        <v>2955019</v>
      </c>
      <c r="E1290" s="2">
        <v>37.9</v>
      </c>
      <c r="F1290" s="2">
        <v>503933</v>
      </c>
    </row>
    <row r="1291" spans="1:6">
      <c r="A1291" s="3" t="s">
        <v>4070</v>
      </c>
      <c r="B1291" s="2">
        <v>21</v>
      </c>
      <c r="C1291" s="2">
        <v>495214</v>
      </c>
      <c r="D1291" s="2">
        <v>2963842</v>
      </c>
      <c r="E1291" s="2">
        <v>37.9</v>
      </c>
      <c r="F1291" s="2">
        <v>301994</v>
      </c>
    </row>
    <row r="1292" spans="1:6">
      <c r="A1292" s="3" t="s">
        <v>4071</v>
      </c>
      <c r="B1292" s="2">
        <v>13</v>
      </c>
      <c r="C1292" s="2">
        <v>749782</v>
      </c>
      <c r="D1292" s="2">
        <v>2964256</v>
      </c>
      <c r="E1292" s="2">
        <v>37.9</v>
      </c>
      <c r="F1292" s="2">
        <v>564588</v>
      </c>
    </row>
    <row r="1293" spans="1:6">
      <c r="A1293" s="3" t="s">
        <v>4072</v>
      </c>
      <c r="B1293" s="2">
        <v>32</v>
      </c>
      <c r="C1293" s="2">
        <v>361398</v>
      </c>
      <c r="D1293" s="2">
        <v>2970928</v>
      </c>
      <c r="E1293" s="2">
        <v>37.9</v>
      </c>
      <c r="F1293" s="2">
        <v>167156</v>
      </c>
    </row>
    <row r="1294" spans="1:6">
      <c r="A1294" s="3" t="s">
        <v>4073</v>
      </c>
      <c r="B1294" s="2">
        <v>24</v>
      </c>
      <c r="C1294" s="2">
        <v>525314</v>
      </c>
      <c r="D1294" s="2">
        <v>2971763</v>
      </c>
      <c r="E1294" s="2">
        <v>37.9</v>
      </c>
      <c r="F1294" s="2">
        <v>349793</v>
      </c>
    </row>
    <row r="1295" spans="1:6">
      <c r="A1295" s="3" t="s">
        <v>4074</v>
      </c>
      <c r="B1295" s="2">
        <v>26</v>
      </c>
      <c r="C1295" s="2">
        <v>582175</v>
      </c>
      <c r="D1295" s="2">
        <v>2975031</v>
      </c>
      <c r="E1295" s="2">
        <v>37.9</v>
      </c>
      <c r="F1295" s="2">
        <v>368125</v>
      </c>
    </row>
    <row r="1296" spans="1:6">
      <c r="A1296" s="3" t="s">
        <v>4075</v>
      </c>
      <c r="B1296" s="2">
        <v>13</v>
      </c>
      <c r="C1296" s="2">
        <v>1514496</v>
      </c>
      <c r="D1296" s="2">
        <v>2978594</v>
      </c>
      <c r="E1296" s="2">
        <v>37.9</v>
      </c>
      <c r="F1296" s="2">
        <v>1514496</v>
      </c>
    </row>
    <row r="1297" spans="1:6">
      <c r="A1297" s="3" t="s">
        <v>4076</v>
      </c>
      <c r="B1297" s="2">
        <v>32</v>
      </c>
      <c r="C1297" s="2">
        <v>591925</v>
      </c>
      <c r="D1297" s="2">
        <v>2990485</v>
      </c>
      <c r="E1297" s="2">
        <v>37.9</v>
      </c>
      <c r="F1297" s="2">
        <v>220377</v>
      </c>
    </row>
    <row r="1298" spans="1:6">
      <c r="A1298" s="3" t="s">
        <v>4077</v>
      </c>
      <c r="B1298" s="2">
        <v>35</v>
      </c>
      <c r="C1298" s="2">
        <v>420380</v>
      </c>
      <c r="D1298" s="2">
        <v>2997848</v>
      </c>
      <c r="E1298" s="2">
        <v>37.9</v>
      </c>
      <c r="F1298" s="2">
        <v>188065</v>
      </c>
    </row>
    <row r="1299" spans="1:6">
      <c r="A1299" s="3" t="s">
        <v>4078</v>
      </c>
      <c r="B1299" s="2">
        <v>23</v>
      </c>
      <c r="C1299" s="2">
        <v>605971</v>
      </c>
      <c r="D1299" s="2">
        <v>2997868</v>
      </c>
      <c r="E1299" s="2">
        <v>37.9</v>
      </c>
      <c r="F1299" s="2">
        <v>449340</v>
      </c>
    </row>
    <row r="1300" spans="1:6">
      <c r="A1300" s="3" t="s">
        <v>4079</v>
      </c>
      <c r="B1300" s="2">
        <v>16</v>
      </c>
      <c r="C1300" s="2">
        <v>605967</v>
      </c>
      <c r="D1300" s="2">
        <v>2998043</v>
      </c>
      <c r="E1300" s="2">
        <v>37.9</v>
      </c>
      <c r="F1300" s="2">
        <v>449340</v>
      </c>
    </row>
    <row r="1301" spans="1:6">
      <c r="A1301" s="3" t="s">
        <v>4080</v>
      </c>
      <c r="B1301" s="2">
        <v>20</v>
      </c>
      <c r="C1301" s="2">
        <v>605972</v>
      </c>
      <c r="D1301" s="2">
        <v>3000744</v>
      </c>
      <c r="E1301" s="2">
        <v>37.9</v>
      </c>
      <c r="F1301" s="2">
        <v>368638</v>
      </c>
    </row>
    <row r="1302" spans="1:6">
      <c r="A1302" s="3" t="s">
        <v>4081</v>
      </c>
      <c r="B1302" s="2">
        <v>24</v>
      </c>
      <c r="C1302" s="2">
        <v>490098</v>
      </c>
      <c r="D1302" s="2">
        <v>3001212</v>
      </c>
      <c r="E1302" s="2">
        <v>37.9</v>
      </c>
      <c r="F1302" s="2">
        <v>280683</v>
      </c>
    </row>
    <row r="1303" spans="1:6">
      <c r="A1303" s="3" t="s">
        <v>4082</v>
      </c>
      <c r="B1303" s="2">
        <v>15</v>
      </c>
      <c r="C1303" s="2">
        <v>1213166</v>
      </c>
      <c r="D1303" s="2">
        <v>3006331</v>
      </c>
      <c r="E1303" s="2">
        <v>37.9</v>
      </c>
      <c r="F1303" s="2">
        <v>357629</v>
      </c>
    </row>
    <row r="1304" spans="1:6">
      <c r="A1304" s="3" t="s">
        <v>4083</v>
      </c>
      <c r="B1304" s="2">
        <v>27</v>
      </c>
      <c r="C1304" s="2">
        <v>462382</v>
      </c>
      <c r="D1304" s="2">
        <v>3021523</v>
      </c>
      <c r="E1304" s="2">
        <v>37.9</v>
      </c>
      <c r="F1304" s="2">
        <v>166681</v>
      </c>
    </row>
    <row r="1305" spans="1:6">
      <c r="A1305" s="3" t="s">
        <v>4084</v>
      </c>
      <c r="B1305" s="2">
        <v>16</v>
      </c>
      <c r="C1305" s="2">
        <v>605073</v>
      </c>
      <c r="D1305" s="2">
        <v>3021601</v>
      </c>
      <c r="E1305" s="2">
        <v>37.9</v>
      </c>
      <c r="F1305" s="2">
        <v>566913</v>
      </c>
    </row>
    <row r="1306" spans="1:6">
      <c r="A1306" s="3" t="s">
        <v>4085</v>
      </c>
      <c r="B1306" s="2">
        <v>25</v>
      </c>
      <c r="C1306" s="2">
        <v>476614</v>
      </c>
      <c r="D1306" s="2">
        <v>3021679</v>
      </c>
      <c r="E1306" s="2">
        <v>37.9</v>
      </c>
      <c r="F1306" s="2">
        <v>277982</v>
      </c>
    </row>
    <row r="1307" spans="1:6">
      <c r="A1307" s="3" t="s">
        <v>4086</v>
      </c>
      <c r="B1307" s="2">
        <v>42</v>
      </c>
      <c r="C1307" s="2">
        <v>299192</v>
      </c>
      <c r="D1307" s="2">
        <v>3059976</v>
      </c>
      <c r="E1307" s="2">
        <v>37.9</v>
      </c>
      <c r="F1307" s="2">
        <v>196913</v>
      </c>
    </row>
    <row r="1308" spans="1:6">
      <c r="A1308" s="3" t="s">
        <v>4087</v>
      </c>
      <c r="B1308" s="2">
        <v>29</v>
      </c>
      <c r="C1308" s="2">
        <v>428133</v>
      </c>
      <c r="D1308" s="2">
        <v>3068745</v>
      </c>
      <c r="E1308" s="2">
        <v>37.9</v>
      </c>
      <c r="F1308" s="2">
        <v>160565</v>
      </c>
    </row>
    <row r="1309" spans="1:6">
      <c r="A1309" s="3" t="s">
        <v>4088</v>
      </c>
      <c r="B1309" s="2">
        <v>32</v>
      </c>
      <c r="C1309" s="2">
        <v>553191</v>
      </c>
      <c r="D1309" s="2">
        <v>3073632</v>
      </c>
      <c r="E1309" s="2">
        <v>37.9</v>
      </c>
      <c r="F1309" s="2">
        <v>184990</v>
      </c>
    </row>
    <row r="1310" spans="1:6">
      <c r="A1310" s="3" t="s">
        <v>4089</v>
      </c>
      <c r="B1310" s="2">
        <v>21</v>
      </c>
      <c r="C1310" s="2">
        <v>912757</v>
      </c>
      <c r="D1310" s="2">
        <v>3087484</v>
      </c>
      <c r="E1310" s="2">
        <v>37.9</v>
      </c>
      <c r="F1310" s="2">
        <v>482564</v>
      </c>
    </row>
    <row r="1311" spans="1:6">
      <c r="A1311" s="3" t="s">
        <v>4090</v>
      </c>
      <c r="B1311" s="2">
        <v>21</v>
      </c>
      <c r="C1311" s="2">
        <v>537457</v>
      </c>
      <c r="D1311" s="2">
        <v>3090137</v>
      </c>
      <c r="E1311" s="2">
        <v>37.9</v>
      </c>
      <c r="F1311" s="2">
        <v>284047</v>
      </c>
    </row>
    <row r="1312" spans="1:6">
      <c r="A1312" s="3" t="s">
        <v>4091</v>
      </c>
      <c r="B1312" s="2">
        <v>14</v>
      </c>
      <c r="C1312" s="2">
        <v>821042</v>
      </c>
      <c r="D1312" s="2">
        <v>3099295</v>
      </c>
      <c r="E1312" s="2">
        <v>37.9</v>
      </c>
      <c r="F1312" s="2">
        <v>478795</v>
      </c>
    </row>
    <row r="1313" spans="1:6">
      <c r="A1313" s="3" t="s">
        <v>4092</v>
      </c>
      <c r="B1313" s="2">
        <v>75</v>
      </c>
      <c r="C1313" s="2">
        <v>580871</v>
      </c>
      <c r="D1313" s="2">
        <v>3139257</v>
      </c>
      <c r="E1313" s="2">
        <v>37.9</v>
      </c>
      <c r="F1313" s="2">
        <v>452114</v>
      </c>
    </row>
    <row r="1314" spans="1:6">
      <c r="A1314" s="3" t="s">
        <v>4093</v>
      </c>
      <c r="B1314" s="2">
        <v>35</v>
      </c>
      <c r="C1314" s="2">
        <v>297200</v>
      </c>
      <c r="D1314" s="2">
        <v>2831172</v>
      </c>
      <c r="E1314" s="2">
        <v>37.909999999999997</v>
      </c>
      <c r="F1314" s="2">
        <v>136652</v>
      </c>
    </row>
    <row r="1315" spans="1:6">
      <c r="A1315" s="3" t="s">
        <v>4094</v>
      </c>
      <c r="B1315" s="2">
        <v>10</v>
      </c>
      <c r="C1315" s="2">
        <v>1456959</v>
      </c>
      <c r="D1315" s="2">
        <v>2832348</v>
      </c>
      <c r="E1315" s="2">
        <v>37.909999999999997</v>
      </c>
      <c r="F1315" s="2">
        <v>1456959</v>
      </c>
    </row>
    <row r="1316" spans="1:6">
      <c r="A1316" s="3" t="s">
        <v>4095</v>
      </c>
      <c r="B1316" s="2">
        <v>17</v>
      </c>
      <c r="C1316" s="2">
        <v>552348</v>
      </c>
      <c r="D1316" s="2">
        <v>2832554</v>
      </c>
      <c r="E1316" s="2">
        <v>37.909999999999997</v>
      </c>
      <c r="F1316" s="2">
        <v>421450</v>
      </c>
    </row>
    <row r="1317" spans="1:6">
      <c r="A1317" s="3" t="s">
        <v>4096</v>
      </c>
      <c r="B1317" s="2">
        <v>11</v>
      </c>
      <c r="C1317" s="2">
        <v>1456406</v>
      </c>
      <c r="D1317" s="2">
        <v>2832886</v>
      </c>
      <c r="E1317" s="2">
        <v>37.909999999999997</v>
      </c>
      <c r="F1317" s="2">
        <v>1456406</v>
      </c>
    </row>
    <row r="1318" spans="1:6">
      <c r="A1318" s="3" t="s">
        <v>4097</v>
      </c>
      <c r="B1318" s="2">
        <v>11</v>
      </c>
      <c r="C1318" s="2">
        <v>1457029</v>
      </c>
      <c r="D1318" s="2">
        <v>2832988</v>
      </c>
      <c r="E1318" s="2">
        <v>37.909999999999997</v>
      </c>
      <c r="F1318" s="2">
        <v>1457029</v>
      </c>
    </row>
    <row r="1319" spans="1:6">
      <c r="A1319" s="3" t="s">
        <v>4098</v>
      </c>
      <c r="B1319" s="2">
        <v>17</v>
      </c>
      <c r="C1319" s="2">
        <v>1258479</v>
      </c>
      <c r="D1319" s="2">
        <v>2833012</v>
      </c>
      <c r="E1319" s="2">
        <v>37.909999999999997</v>
      </c>
      <c r="F1319" s="2">
        <v>354269</v>
      </c>
    </row>
    <row r="1320" spans="1:6">
      <c r="A1320" s="3" t="s">
        <v>4099</v>
      </c>
      <c r="B1320" s="2">
        <v>9</v>
      </c>
      <c r="C1320" s="2">
        <v>1453156</v>
      </c>
      <c r="D1320" s="2">
        <v>2833287</v>
      </c>
      <c r="E1320" s="2">
        <v>37.909999999999997</v>
      </c>
      <c r="F1320" s="2">
        <v>1453156</v>
      </c>
    </row>
    <row r="1321" spans="1:6">
      <c r="A1321" s="3" t="s">
        <v>4100</v>
      </c>
      <c r="B1321" s="2">
        <v>20</v>
      </c>
      <c r="C1321" s="2">
        <v>611897</v>
      </c>
      <c r="D1321" s="2">
        <v>2833509</v>
      </c>
      <c r="E1321" s="2">
        <v>37.909999999999997</v>
      </c>
      <c r="F1321" s="2">
        <v>410609</v>
      </c>
    </row>
    <row r="1322" spans="1:6">
      <c r="A1322" s="3" t="s">
        <v>4101</v>
      </c>
      <c r="B1322" s="2">
        <v>32</v>
      </c>
      <c r="C1322" s="2">
        <v>432918</v>
      </c>
      <c r="D1322" s="2">
        <v>2842624</v>
      </c>
      <c r="E1322" s="2">
        <v>37.909999999999997</v>
      </c>
      <c r="F1322" s="2">
        <v>212109</v>
      </c>
    </row>
    <row r="1323" spans="1:6">
      <c r="A1323" s="3" t="s">
        <v>4102</v>
      </c>
      <c r="B1323" s="2">
        <v>17</v>
      </c>
      <c r="C1323" s="2">
        <v>1470423</v>
      </c>
      <c r="D1323" s="2">
        <v>2842844</v>
      </c>
      <c r="E1323" s="2">
        <v>37.909999999999997</v>
      </c>
      <c r="F1323" s="2">
        <v>1470423</v>
      </c>
    </row>
    <row r="1324" spans="1:6">
      <c r="A1324" s="3" t="s">
        <v>4103</v>
      </c>
      <c r="B1324" s="2">
        <v>13</v>
      </c>
      <c r="C1324" s="2">
        <v>784005</v>
      </c>
      <c r="D1324" s="2">
        <v>2845763</v>
      </c>
      <c r="E1324" s="2">
        <v>37.909999999999997</v>
      </c>
      <c r="F1324" s="2">
        <v>686137</v>
      </c>
    </row>
    <row r="1325" spans="1:6">
      <c r="A1325" s="3" t="s">
        <v>4104</v>
      </c>
      <c r="B1325" s="2">
        <v>19</v>
      </c>
      <c r="C1325" s="2">
        <v>541685</v>
      </c>
      <c r="D1325" s="2">
        <v>2854652</v>
      </c>
      <c r="E1325" s="2">
        <v>37.909999999999997</v>
      </c>
      <c r="F1325" s="2">
        <v>469714</v>
      </c>
    </row>
    <row r="1326" spans="1:6">
      <c r="A1326" s="3" t="s">
        <v>4105</v>
      </c>
      <c r="B1326" s="2">
        <v>11</v>
      </c>
      <c r="C1326" s="2">
        <v>1443673</v>
      </c>
      <c r="D1326" s="2">
        <v>2857547</v>
      </c>
      <c r="E1326" s="2">
        <v>37.909999999999997</v>
      </c>
      <c r="F1326" s="2">
        <v>1443673</v>
      </c>
    </row>
    <row r="1327" spans="1:6">
      <c r="A1327" s="3" t="s">
        <v>4106</v>
      </c>
      <c r="B1327" s="2">
        <v>15</v>
      </c>
      <c r="C1327" s="2">
        <v>1127424</v>
      </c>
      <c r="D1327" s="2">
        <v>2858215</v>
      </c>
      <c r="E1327" s="2">
        <v>37.909999999999997</v>
      </c>
      <c r="F1327" s="2">
        <v>582284</v>
      </c>
    </row>
    <row r="1328" spans="1:6">
      <c r="A1328" s="3" t="s">
        <v>4107</v>
      </c>
      <c r="B1328" s="2">
        <v>10</v>
      </c>
      <c r="C1328" s="2">
        <v>1470476</v>
      </c>
      <c r="D1328" s="2">
        <v>2860737</v>
      </c>
      <c r="E1328" s="2">
        <v>37.909999999999997</v>
      </c>
      <c r="F1328" s="2">
        <v>1470476</v>
      </c>
    </row>
    <row r="1329" spans="1:6">
      <c r="A1329" s="3" t="s">
        <v>4108</v>
      </c>
      <c r="B1329" s="2">
        <v>104</v>
      </c>
      <c r="C1329" s="2">
        <v>162922</v>
      </c>
      <c r="D1329" s="2">
        <v>2868490</v>
      </c>
      <c r="E1329" s="2">
        <v>37.909999999999997</v>
      </c>
      <c r="F1329" s="2">
        <v>63001</v>
      </c>
    </row>
    <row r="1330" spans="1:6">
      <c r="A1330" s="3" t="s">
        <v>4109</v>
      </c>
      <c r="B1330" s="2">
        <v>9</v>
      </c>
      <c r="C1330" s="2">
        <v>1459079</v>
      </c>
      <c r="D1330" s="2">
        <v>2873720</v>
      </c>
      <c r="E1330" s="2">
        <v>37.909999999999997</v>
      </c>
      <c r="F1330" s="2">
        <v>1459079</v>
      </c>
    </row>
    <row r="1331" spans="1:6">
      <c r="A1331" s="3" t="s">
        <v>4110</v>
      </c>
      <c r="B1331" s="2">
        <v>12</v>
      </c>
      <c r="C1331" s="2">
        <v>1209221</v>
      </c>
      <c r="D1331" s="2">
        <v>2874386</v>
      </c>
      <c r="E1331" s="2">
        <v>37.909999999999997</v>
      </c>
      <c r="F1331" s="2">
        <v>357232</v>
      </c>
    </row>
    <row r="1332" spans="1:6">
      <c r="A1332" s="3" t="s">
        <v>4111</v>
      </c>
      <c r="B1332" s="2">
        <v>15</v>
      </c>
      <c r="C1332" s="2">
        <v>663674</v>
      </c>
      <c r="D1332" s="2">
        <v>2875563</v>
      </c>
      <c r="E1332" s="2">
        <v>37.909999999999997</v>
      </c>
      <c r="F1332" s="2">
        <v>435048</v>
      </c>
    </row>
    <row r="1333" spans="1:6">
      <c r="A1333" s="3" t="s">
        <v>4112</v>
      </c>
      <c r="B1333" s="2">
        <v>15</v>
      </c>
      <c r="C1333" s="2">
        <v>600239</v>
      </c>
      <c r="D1333" s="2">
        <v>2875738</v>
      </c>
      <c r="E1333" s="2">
        <v>37.909999999999997</v>
      </c>
      <c r="F1333" s="2">
        <v>437993</v>
      </c>
    </row>
    <row r="1334" spans="1:6">
      <c r="A1334" s="3" t="s">
        <v>4113</v>
      </c>
      <c r="B1334" s="2">
        <v>14</v>
      </c>
      <c r="C1334" s="2">
        <v>1424206</v>
      </c>
      <c r="D1334" s="2">
        <v>2875827</v>
      </c>
      <c r="E1334" s="2">
        <v>37.909999999999997</v>
      </c>
      <c r="F1334" s="2">
        <v>437931</v>
      </c>
    </row>
    <row r="1335" spans="1:6">
      <c r="A1335" s="3" t="s">
        <v>4114</v>
      </c>
      <c r="B1335" s="2">
        <v>25</v>
      </c>
      <c r="C1335" s="2">
        <v>450411</v>
      </c>
      <c r="D1335" s="2">
        <v>2876128</v>
      </c>
      <c r="E1335" s="2">
        <v>37.909999999999997</v>
      </c>
      <c r="F1335" s="2">
        <v>248780</v>
      </c>
    </row>
    <row r="1336" spans="1:6">
      <c r="A1336" s="3" t="s">
        <v>4115</v>
      </c>
      <c r="B1336" s="2">
        <v>17</v>
      </c>
      <c r="C1336" s="2">
        <v>925734</v>
      </c>
      <c r="D1336" s="2">
        <v>2876230</v>
      </c>
      <c r="E1336" s="2">
        <v>37.909999999999997</v>
      </c>
      <c r="F1336" s="2">
        <v>530420</v>
      </c>
    </row>
    <row r="1337" spans="1:6">
      <c r="A1337" s="3" t="s">
        <v>4116</v>
      </c>
      <c r="B1337" s="2">
        <v>17</v>
      </c>
      <c r="C1337" s="2">
        <v>830591</v>
      </c>
      <c r="D1337" s="2">
        <v>2876437</v>
      </c>
      <c r="E1337" s="2">
        <v>37.909999999999997</v>
      </c>
      <c r="F1337" s="2">
        <v>628444</v>
      </c>
    </row>
    <row r="1338" spans="1:6">
      <c r="A1338" s="3" t="s">
        <v>4117</v>
      </c>
      <c r="B1338" s="2">
        <v>14</v>
      </c>
      <c r="C1338" s="2">
        <v>1457783</v>
      </c>
      <c r="D1338" s="2">
        <v>2876478</v>
      </c>
      <c r="E1338" s="2">
        <v>37.909999999999997</v>
      </c>
      <c r="F1338" s="2">
        <v>1457783</v>
      </c>
    </row>
    <row r="1339" spans="1:6">
      <c r="A1339" s="3" t="s">
        <v>4118</v>
      </c>
      <c r="B1339" s="2">
        <v>13</v>
      </c>
      <c r="C1339" s="2">
        <v>1458881</v>
      </c>
      <c r="D1339" s="2">
        <v>2876727</v>
      </c>
      <c r="E1339" s="2">
        <v>37.909999999999997</v>
      </c>
      <c r="F1339" s="2">
        <v>1458881</v>
      </c>
    </row>
    <row r="1340" spans="1:6">
      <c r="A1340" s="3" t="s">
        <v>4119</v>
      </c>
      <c r="B1340" s="2">
        <v>14</v>
      </c>
      <c r="C1340" s="2">
        <v>750965</v>
      </c>
      <c r="D1340" s="2">
        <v>2876765</v>
      </c>
      <c r="E1340" s="2">
        <v>37.909999999999997</v>
      </c>
      <c r="F1340" s="2">
        <v>437702</v>
      </c>
    </row>
    <row r="1341" spans="1:6">
      <c r="A1341" s="3" t="s">
        <v>4120</v>
      </c>
      <c r="B1341" s="2">
        <v>15</v>
      </c>
      <c r="C1341" s="2">
        <v>541535</v>
      </c>
      <c r="D1341" s="2">
        <v>2877367</v>
      </c>
      <c r="E1341" s="2">
        <v>37.909999999999997</v>
      </c>
      <c r="F1341" s="2">
        <v>466980</v>
      </c>
    </row>
    <row r="1342" spans="1:6">
      <c r="A1342" s="3" t="s">
        <v>4121</v>
      </c>
      <c r="B1342" s="2">
        <v>16</v>
      </c>
      <c r="C1342" s="2">
        <v>1458884</v>
      </c>
      <c r="D1342" s="2">
        <v>2877494</v>
      </c>
      <c r="E1342" s="2">
        <v>37.909999999999997</v>
      </c>
      <c r="F1342" s="2">
        <v>1458884</v>
      </c>
    </row>
    <row r="1343" spans="1:6">
      <c r="A1343" s="3" t="s">
        <v>4122</v>
      </c>
      <c r="B1343" s="2">
        <v>14</v>
      </c>
      <c r="C1343" s="2">
        <v>1458886</v>
      </c>
      <c r="D1343" s="2">
        <v>2877569</v>
      </c>
      <c r="E1343" s="2">
        <v>37.909999999999997</v>
      </c>
      <c r="F1343" s="2">
        <v>1458886</v>
      </c>
    </row>
    <row r="1344" spans="1:6">
      <c r="A1344" s="3" t="s">
        <v>4123</v>
      </c>
      <c r="B1344" s="2">
        <v>22</v>
      </c>
      <c r="C1344" s="2">
        <v>885619</v>
      </c>
      <c r="D1344" s="2">
        <v>2877573</v>
      </c>
      <c r="E1344" s="2">
        <v>37.909999999999997</v>
      </c>
      <c r="F1344" s="2">
        <v>376782</v>
      </c>
    </row>
    <row r="1345" spans="1:6">
      <c r="A1345" s="3" t="s">
        <v>4124</v>
      </c>
      <c r="B1345" s="2">
        <v>20</v>
      </c>
      <c r="C1345" s="2">
        <v>464381</v>
      </c>
      <c r="D1345" s="2">
        <v>2877629</v>
      </c>
      <c r="E1345" s="2">
        <v>37.909999999999997</v>
      </c>
      <c r="F1345" s="2">
        <v>372738</v>
      </c>
    </row>
    <row r="1346" spans="1:6">
      <c r="A1346" s="3" t="s">
        <v>4125</v>
      </c>
      <c r="B1346" s="2">
        <v>15</v>
      </c>
      <c r="C1346" s="2">
        <v>830821</v>
      </c>
      <c r="D1346" s="2">
        <v>2877670</v>
      </c>
      <c r="E1346" s="2">
        <v>37.909999999999997</v>
      </c>
      <c r="F1346" s="2">
        <v>628070</v>
      </c>
    </row>
    <row r="1347" spans="1:6">
      <c r="A1347" s="3" t="s">
        <v>4126</v>
      </c>
      <c r="B1347" s="2">
        <v>16</v>
      </c>
      <c r="C1347" s="2">
        <v>750973</v>
      </c>
      <c r="D1347" s="2">
        <v>2877825</v>
      </c>
      <c r="E1347" s="2">
        <v>37.909999999999997</v>
      </c>
      <c r="F1347" s="2">
        <v>438062</v>
      </c>
    </row>
    <row r="1348" spans="1:6">
      <c r="A1348" s="3" t="s">
        <v>4127</v>
      </c>
      <c r="B1348" s="2">
        <v>14</v>
      </c>
      <c r="C1348" s="2">
        <v>1458886</v>
      </c>
      <c r="D1348" s="2">
        <v>2877986</v>
      </c>
      <c r="E1348" s="2">
        <v>37.909999999999997</v>
      </c>
      <c r="F1348" s="2">
        <v>1458886</v>
      </c>
    </row>
    <row r="1349" spans="1:6">
      <c r="A1349" s="3" t="s">
        <v>4128</v>
      </c>
      <c r="B1349" s="2">
        <v>16</v>
      </c>
      <c r="C1349" s="2">
        <v>994527</v>
      </c>
      <c r="D1349" s="2">
        <v>2878283</v>
      </c>
      <c r="E1349" s="2">
        <v>37.909999999999997</v>
      </c>
      <c r="F1349" s="2">
        <v>450479</v>
      </c>
    </row>
    <row r="1350" spans="1:6">
      <c r="A1350" s="3" t="s">
        <v>4129</v>
      </c>
      <c r="B1350" s="2">
        <v>16</v>
      </c>
      <c r="C1350" s="2">
        <v>1008243</v>
      </c>
      <c r="D1350" s="2">
        <v>2878349</v>
      </c>
      <c r="E1350" s="2">
        <v>37.909999999999997</v>
      </c>
      <c r="F1350" s="2">
        <v>450657</v>
      </c>
    </row>
    <row r="1351" spans="1:6">
      <c r="A1351" s="3" t="s">
        <v>4130</v>
      </c>
      <c r="B1351" s="2">
        <v>16</v>
      </c>
      <c r="C1351" s="2">
        <v>1458162</v>
      </c>
      <c r="D1351" s="2">
        <v>2878591</v>
      </c>
      <c r="E1351" s="2">
        <v>37.909999999999997</v>
      </c>
      <c r="F1351" s="2">
        <v>1458162</v>
      </c>
    </row>
    <row r="1352" spans="1:6">
      <c r="A1352" s="3" t="s">
        <v>4131</v>
      </c>
      <c r="B1352" s="2">
        <v>36</v>
      </c>
      <c r="C1352" s="2">
        <v>424911</v>
      </c>
      <c r="D1352" s="2">
        <v>2879187</v>
      </c>
      <c r="E1352" s="2">
        <v>37.909999999999997</v>
      </c>
      <c r="F1352" s="2">
        <v>174150</v>
      </c>
    </row>
    <row r="1353" spans="1:6">
      <c r="A1353" s="3" t="s">
        <v>4132</v>
      </c>
      <c r="B1353" s="2">
        <v>29</v>
      </c>
      <c r="C1353" s="2">
        <v>291508</v>
      </c>
      <c r="D1353" s="2">
        <v>2879191</v>
      </c>
      <c r="E1353" s="2">
        <v>37.909999999999997</v>
      </c>
      <c r="F1353" s="2">
        <v>166834</v>
      </c>
    </row>
    <row r="1354" spans="1:6">
      <c r="A1354" s="3" t="s">
        <v>4133</v>
      </c>
      <c r="B1354" s="2">
        <v>22</v>
      </c>
      <c r="C1354" s="2">
        <v>511424</v>
      </c>
      <c r="D1354" s="2">
        <v>2880035</v>
      </c>
      <c r="E1354" s="2">
        <v>37.909999999999997</v>
      </c>
      <c r="F1354" s="2">
        <v>238108</v>
      </c>
    </row>
    <row r="1355" spans="1:6">
      <c r="A1355" s="3" t="s">
        <v>4134</v>
      </c>
      <c r="B1355" s="2">
        <v>30</v>
      </c>
      <c r="C1355" s="2">
        <v>509971</v>
      </c>
      <c r="D1355" s="2">
        <v>2880153</v>
      </c>
      <c r="E1355" s="2">
        <v>37.909999999999997</v>
      </c>
      <c r="F1355" s="2">
        <v>193584</v>
      </c>
    </row>
    <row r="1356" spans="1:6">
      <c r="A1356" s="3" t="s">
        <v>4135</v>
      </c>
      <c r="B1356" s="2">
        <v>21</v>
      </c>
      <c r="C1356" s="2">
        <v>854266</v>
      </c>
      <c r="D1356" s="2">
        <v>2880303</v>
      </c>
      <c r="E1356" s="2">
        <v>37.909999999999997</v>
      </c>
      <c r="F1356" s="2">
        <v>321195</v>
      </c>
    </row>
    <row r="1357" spans="1:6">
      <c r="A1357" s="3" t="s">
        <v>4136</v>
      </c>
      <c r="B1357" s="2">
        <v>20</v>
      </c>
      <c r="C1357" s="2">
        <v>573512</v>
      </c>
      <c r="D1357" s="2">
        <v>2880362</v>
      </c>
      <c r="E1357" s="2">
        <v>37.909999999999997</v>
      </c>
      <c r="F1357" s="2">
        <v>265366</v>
      </c>
    </row>
    <row r="1358" spans="1:6">
      <c r="A1358" s="3" t="s">
        <v>4137</v>
      </c>
      <c r="B1358" s="2">
        <v>28</v>
      </c>
      <c r="C1358" s="2">
        <v>510273</v>
      </c>
      <c r="D1358" s="2">
        <v>2880389</v>
      </c>
      <c r="E1358" s="2">
        <v>37.909999999999997</v>
      </c>
      <c r="F1358" s="2">
        <v>199578</v>
      </c>
    </row>
    <row r="1359" spans="1:6">
      <c r="A1359" s="3" t="s">
        <v>4138</v>
      </c>
      <c r="B1359" s="2">
        <v>18</v>
      </c>
      <c r="C1359" s="2">
        <v>356340</v>
      </c>
      <c r="D1359" s="2">
        <v>2880604</v>
      </c>
      <c r="E1359" s="2">
        <v>37.909999999999997</v>
      </c>
      <c r="F1359" s="2">
        <v>266466</v>
      </c>
    </row>
    <row r="1360" spans="1:6">
      <c r="A1360" s="3" t="s">
        <v>4139</v>
      </c>
      <c r="B1360" s="2">
        <v>24</v>
      </c>
      <c r="C1360" s="2">
        <v>510184</v>
      </c>
      <c r="D1360" s="2">
        <v>2880873</v>
      </c>
      <c r="E1360" s="2">
        <v>37.909999999999997</v>
      </c>
      <c r="F1360" s="2">
        <v>232422</v>
      </c>
    </row>
    <row r="1361" spans="1:6">
      <c r="A1361" s="3" t="s">
        <v>4140</v>
      </c>
      <c r="B1361" s="2">
        <v>34</v>
      </c>
      <c r="C1361" s="2">
        <v>399233</v>
      </c>
      <c r="D1361" s="2">
        <v>2880977</v>
      </c>
      <c r="E1361" s="2">
        <v>37.909999999999997</v>
      </c>
      <c r="F1361" s="2">
        <v>185597</v>
      </c>
    </row>
    <row r="1362" spans="1:6">
      <c r="A1362" s="3" t="s">
        <v>4141</v>
      </c>
      <c r="B1362" s="2">
        <v>11</v>
      </c>
      <c r="C1362" s="2">
        <v>1219327</v>
      </c>
      <c r="D1362" s="2">
        <v>2881737</v>
      </c>
      <c r="E1362" s="2">
        <v>37.909999999999997</v>
      </c>
      <c r="F1362" s="2">
        <v>510332</v>
      </c>
    </row>
    <row r="1363" spans="1:6">
      <c r="A1363" s="3" t="s">
        <v>4142</v>
      </c>
      <c r="B1363" s="2">
        <v>11</v>
      </c>
      <c r="C1363" s="2">
        <v>645936</v>
      </c>
      <c r="D1363" s="2">
        <v>2881972</v>
      </c>
      <c r="E1363" s="2">
        <v>37.909999999999997</v>
      </c>
      <c r="F1363" s="2">
        <v>510274</v>
      </c>
    </row>
    <row r="1364" spans="1:6">
      <c r="A1364" s="3" t="s">
        <v>4143</v>
      </c>
      <c r="B1364" s="2">
        <v>25</v>
      </c>
      <c r="C1364" s="2">
        <v>405521</v>
      </c>
      <c r="D1364" s="2">
        <v>2883403</v>
      </c>
      <c r="E1364" s="2">
        <v>37.909999999999997</v>
      </c>
      <c r="F1364" s="2">
        <v>210997</v>
      </c>
    </row>
    <row r="1365" spans="1:6">
      <c r="A1365" s="3" t="s">
        <v>4144</v>
      </c>
      <c r="B1365" s="2">
        <v>13</v>
      </c>
      <c r="C1365" s="2">
        <v>838120</v>
      </c>
      <c r="D1365" s="2">
        <v>2884783</v>
      </c>
      <c r="E1365" s="2">
        <v>37.909999999999997</v>
      </c>
      <c r="F1365" s="2">
        <v>511432</v>
      </c>
    </row>
    <row r="1366" spans="1:6">
      <c r="A1366" s="3" t="s">
        <v>4145</v>
      </c>
      <c r="B1366" s="2">
        <v>25</v>
      </c>
      <c r="C1366" s="2">
        <v>625032</v>
      </c>
      <c r="D1366" s="2">
        <v>2885518</v>
      </c>
      <c r="E1366" s="2">
        <v>37.909999999999997</v>
      </c>
      <c r="F1366" s="2">
        <v>260102</v>
      </c>
    </row>
    <row r="1367" spans="1:6">
      <c r="A1367" s="3" t="s">
        <v>4146</v>
      </c>
      <c r="B1367" s="2">
        <v>23</v>
      </c>
      <c r="C1367" s="2">
        <v>513043</v>
      </c>
      <c r="D1367" s="2">
        <v>2888214</v>
      </c>
      <c r="E1367" s="2">
        <v>37.909999999999997</v>
      </c>
      <c r="F1367" s="2">
        <v>224850</v>
      </c>
    </row>
    <row r="1368" spans="1:6">
      <c r="A1368" s="3" t="s">
        <v>4147</v>
      </c>
      <c r="B1368" s="2">
        <v>22</v>
      </c>
      <c r="C1368" s="2">
        <v>507582</v>
      </c>
      <c r="D1368" s="2">
        <v>2888407</v>
      </c>
      <c r="E1368" s="2">
        <v>37.909999999999997</v>
      </c>
      <c r="F1368" s="2">
        <v>249557</v>
      </c>
    </row>
    <row r="1369" spans="1:6">
      <c r="A1369" s="3" t="s">
        <v>4148</v>
      </c>
      <c r="B1369" s="2">
        <v>40</v>
      </c>
      <c r="C1369" s="2">
        <v>322794</v>
      </c>
      <c r="D1369" s="2">
        <v>2888570</v>
      </c>
      <c r="E1369" s="2">
        <v>37.909999999999997</v>
      </c>
      <c r="F1369" s="2">
        <v>119901</v>
      </c>
    </row>
    <row r="1370" spans="1:6">
      <c r="A1370" s="3" t="s">
        <v>4149</v>
      </c>
      <c r="B1370" s="2">
        <v>18</v>
      </c>
      <c r="C1370" s="2">
        <v>499251</v>
      </c>
      <c r="D1370" s="2">
        <v>2888979</v>
      </c>
      <c r="E1370" s="2">
        <v>37.909999999999997</v>
      </c>
      <c r="F1370" s="2">
        <v>302398</v>
      </c>
    </row>
    <row r="1371" spans="1:6">
      <c r="A1371" s="3" t="s">
        <v>4150</v>
      </c>
      <c r="B1371" s="2">
        <v>26</v>
      </c>
      <c r="C1371" s="2">
        <v>408543</v>
      </c>
      <c r="D1371" s="2">
        <v>2889797</v>
      </c>
      <c r="E1371" s="2">
        <v>37.909999999999997</v>
      </c>
      <c r="F1371" s="2">
        <v>185612</v>
      </c>
    </row>
    <row r="1372" spans="1:6">
      <c r="A1372" s="3" t="s">
        <v>4151</v>
      </c>
      <c r="B1372" s="2">
        <v>34</v>
      </c>
      <c r="C1372" s="2">
        <v>389861</v>
      </c>
      <c r="D1372" s="2">
        <v>2892580</v>
      </c>
      <c r="E1372" s="2">
        <v>37.909999999999997</v>
      </c>
      <c r="F1372" s="2">
        <v>212502</v>
      </c>
    </row>
    <row r="1373" spans="1:6">
      <c r="A1373" s="3" t="s">
        <v>4152</v>
      </c>
      <c r="B1373" s="2">
        <v>25</v>
      </c>
      <c r="C1373" s="2">
        <v>442787</v>
      </c>
      <c r="D1373" s="2">
        <v>2893684</v>
      </c>
      <c r="E1373" s="2">
        <v>37.909999999999997</v>
      </c>
      <c r="F1373" s="2">
        <v>263244</v>
      </c>
    </row>
    <row r="1374" spans="1:6">
      <c r="A1374" s="3" t="s">
        <v>4153</v>
      </c>
      <c r="B1374" s="2">
        <v>15</v>
      </c>
      <c r="C1374" s="2">
        <v>519660</v>
      </c>
      <c r="D1374" s="2">
        <v>2895073</v>
      </c>
      <c r="E1374" s="2">
        <v>37.909999999999997</v>
      </c>
      <c r="F1374" s="2">
        <v>423855</v>
      </c>
    </row>
    <row r="1375" spans="1:6">
      <c r="A1375" s="3" t="s">
        <v>4154</v>
      </c>
      <c r="B1375" s="2">
        <v>17</v>
      </c>
      <c r="C1375" s="2">
        <v>1430722</v>
      </c>
      <c r="D1375" s="2">
        <v>2895924</v>
      </c>
      <c r="E1375" s="2">
        <v>37.909999999999997</v>
      </c>
      <c r="F1375" s="2">
        <v>450288</v>
      </c>
    </row>
    <row r="1376" spans="1:6">
      <c r="A1376" s="3" t="s">
        <v>4155</v>
      </c>
      <c r="B1376" s="2">
        <v>58</v>
      </c>
      <c r="C1376" s="2">
        <v>198853</v>
      </c>
      <c r="D1376" s="2">
        <v>2896134</v>
      </c>
      <c r="E1376" s="2">
        <v>37.909999999999997</v>
      </c>
      <c r="F1376" s="2">
        <v>95222</v>
      </c>
    </row>
    <row r="1377" spans="1:6">
      <c r="A1377" s="3" t="s">
        <v>4156</v>
      </c>
      <c r="B1377" s="2">
        <v>8</v>
      </c>
      <c r="C1377" s="2">
        <v>986902</v>
      </c>
      <c r="D1377" s="2">
        <v>2897854</v>
      </c>
      <c r="E1377" s="2">
        <v>37.909999999999997</v>
      </c>
      <c r="F1377" s="2">
        <v>567633</v>
      </c>
    </row>
    <row r="1378" spans="1:6">
      <c r="A1378" s="3" t="s">
        <v>4157</v>
      </c>
      <c r="B1378" s="2">
        <v>114</v>
      </c>
      <c r="C1378" s="2">
        <v>161797</v>
      </c>
      <c r="D1378" s="2">
        <v>2900564</v>
      </c>
      <c r="E1378" s="2">
        <v>37.909999999999997</v>
      </c>
      <c r="F1378" s="2">
        <v>50986</v>
      </c>
    </row>
    <row r="1379" spans="1:6">
      <c r="A1379" s="3" t="s">
        <v>4158</v>
      </c>
      <c r="B1379" s="2">
        <v>10</v>
      </c>
      <c r="C1379" s="2">
        <v>1488890</v>
      </c>
      <c r="D1379" s="2">
        <v>2910003</v>
      </c>
      <c r="E1379" s="2">
        <v>37.909999999999997</v>
      </c>
      <c r="F1379" s="2">
        <v>1488890</v>
      </c>
    </row>
    <row r="1380" spans="1:6">
      <c r="A1380" s="3" t="s">
        <v>4159</v>
      </c>
      <c r="B1380" s="2">
        <v>24</v>
      </c>
      <c r="C1380" s="2">
        <v>1008213</v>
      </c>
      <c r="D1380" s="2">
        <v>2910380</v>
      </c>
      <c r="E1380" s="2">
        <v>37.909999999999997</v>
      </c>
      <c r="F1380" s="2">
        <v>293977</v>
      </c>
    </row>
    <row r="1381" spans="1:6">
      <c r="A1381" s="3" t="s">
        <v>4160</v>
      </c>
      <c r="B1381" s="2">
        <v>12</v>
      </c>
      <c r="C1381" s="2">
        <v>1491367</v>
      </c>
      <c r="D1381" s="2">
        <v>2910439</v>
      </c>
      <c r="E1381" s="2">
        <v>37.909999999999997</v>
      </c>
      <c r="F1381" s="2">
        <v>1491367</v>
      </c>
    </row>
    <row r="1382" spans="1:6">
      <c r="A1382" s="3" t="s">
        <v>4161</v>
      </c>
      <c r="B1382" s="2">
        <v>12</v>
      </c>
      <c r="C1382" s="2">
        <v>1226805</v>
      </c>
      <c r="D1382" s="2">
        <v>2910792</v>
      </c>
      <c r="E1382" s="2">
        <v>37.909999999999997</v>
      </c>
      <c r="F1382" s="2">
        <v>814714</v>
      </c>
    </row>
    <row r="1383" spans="1:6">
      <c r="A1383" s="3" t="s">
        <v>4162</v>
      </c>
      <c r="B1383" s="2">
        <v>21</v>
      </c>
      <c r="C1383" s="2">
        <v>716651</v>
      </c>
      <c r="D1383" s="2">
        <v>2912356</v>
      </c>
      <c r="E1383" s="2">
        <v>37.909999999999997</v>
      </c>
      <c r="F1383" s="2">
        <v>410488</v>
      </c>
    </row>
    <row r="1384" spans="1:6">
      <c r="A1384" s="3" t="s">
        <v>4163</v>
      </c>
      <c r="B1384" s="2">
        <v>27</v>
      </c>
      <c r="C1384" s="2">
        <v>298592</v>
      </c>
      <c r="D1384" s="2">
        <v>2914329</v>
      </c>
      <c r="E1384" s="2">
        <v>37.909999999999997</v>
      </c>
      <c r="F1384" s="2">
        <v>213925</v>
      </c>
    </row>
    <row r="1385" spans="1:6">
      <c r="A1385" s="3" t="s">
        <v>4164</v>
      </c>
      <c r="B1385" s="2">
        <v>22</v>
      </c>
      <c r="C1385" s="2">
        <v>376648</v>
      </c>
      <c r="D1385" s="2">
        <v>2914503</v>
      </c>
      <c r="E1385" s="2">
        <v>37.909999999999997</v>
      </c>
      <c r="F1385" s="2">
        <v>238333</v>
      </c>
    </row>
    <row r="1386" spans="1:6">
      <c r="A1386" s="3" t="s">
        <v>4165</v>
      </c>
      <c r="B1386" s="2">
        <v>25</v>
      </c>
      <c r="C1386" s="2">
        <v>434374</v>
      </c>
      <c r="D1386" s="2">
        <v>2914580</v>
      </c>
      <c r="E1386" s="2">
        <v>37.909999999999997</v>
      </c>
      <c r="F1386" s="2">
        <v>194876</v>
      </c>
    </row>
    <row r="1387" spans="1:6">
      <c r="A1387" s="3" t="s">
        <v>4166</v>
      </c>
      <c r="B1387" s="2">
        <v>8</v>
      </c>
      <c r="C1387" s="2">
        <v>993562</v>
      </c>
      <c r="D1387" s="2">
        <v>2915142</v>
      </c>
      <c r="E1387" s="2">
        <v>37.909999999999997</v>
      </c>
      <c r="F1387" s="2">
        <v>557453</v>
      </c>
    </row>
    <row r="1388" spans="1:6">
      <c r="A1388" s="3" t="s">
        <v>4167</v>
      </c>
      <c r="B1388" s="2">
        <v>13</v>
      </c>
      <c r="C1388" s="2">
        <v>541323</v>
      </c>
      <c r="D1388" s="2">
        <v>2915485</v>
      </c>
      <c r="E1388" s="2">
        <v>37.909999999999997</v>
      </c>
      <c r="F1388" s="2">
        <v>477119</v>
      </c>
    </row>
    <row r="1389" spans="1:6">
      <c r="A1389" s="3" t="s">
        <v>4168</v>
      </c>
      <c r="B1389" s="2">
        <v>18</v>
      </c>
      <c r="C1389" s="2">
        <v>557361</v>
      </c>
      <c r="D1389" s="2">
        <v>2916645</v>
      </c>
      <c r="E1389" s="2">
        <v>37.909999999999997</v>
      </c>
      <c r="F1389" s="2">
        <v>404955</v>
      </c>
    </row>
    <row r="1390" spans="1:6">
      <c r="A1390" s="3" t="s">
        <v>4169</v>
      </c>
      <c r="B1390" s="2">
        <v>26</v>
      </c>
      <c r="C1390" s="2">
        <v>306889</v>
      </c>
      <c r="D1390" s="2">
        <v>2916803</v>
      </c>
      <c r="E1390" s="2">
        <v>37.909999999999997</v>
      </c>
      <c r="F1390" s="2">
        <v>254716</v>
      </c>
    </row>
    <row r="1391" spans="1:6">
      <c r="A1391" s="3" t="s">
        <v>4170</v>
      </c>
      <c r="B1391" s="2">
        <v>10</v>
      </c>
      <c r="C1391" s="2">
        <v>1019417</v>
      </c>
      <c r="D1391" s="2">
        <v>2916952</v>
      </c>
      <c r="E1391" s="2">
        <v>37.909999999999997</v>
      </c>
      <c r="F1391" s="2">
        <v>558267</v>
      </c>
    </row>
    <row r="1392" spans="1:6">
      <c r="A1392" s="3" t="s">
        <v>4171</v>
      </c>
      <c r="B1392" s="2">
        <v>27</v>
      </c>
      <c r="C1392" s="2">
        <v>361109</v>
      </c>
      <c r="D1392" s="2">
        <v>2917239</v>
      </c>
      <c r="E1392" s="2">
        <v>37.909999999999997</v>
      </c>
      <c r="F1392" s="2">
        <v>254612</v>
      </c>
    </row>
    <row r="1393" spans="1:6">
      <c r="A1393" s="3" t="s">
        <v>4172</v>
      </c>
      <c r="B1393" s="2">
        <v>32</v>
      </c>
      <c r="C1393" s="2">
        <v>302790</v>
      </c>
      <c r="D1393" s="2">
        <v>2917450</v>
      </c>
      <c r="E1393" s="2">
        <v>37.909999999999997</v>
      </c>
      <c r="F1393" s="2">
        <v>224646</v>
      </c>
    </row>
    <row r="1394" spans="1:6">
      <c r="A1394" s="3" t="s">
        <v>4173</v>
      </c>
      <c r="B1394" s="2">
        <v>39</v>
      </c>
      <c r="C1394" s="2">
        <v>255732</v>
      </c>
      <c r="D1394" s="2">
        <v>2917569</v>
      </c>
      <c r="E1394" s="2">
        <v>37.909999999999997</v>
      </c>
      <c r="F1394" s="2">
        <v>121118</v>
      </c>
    </row>
    <row r="1395" spans="1:6">
      <c r="A1395" s="3" t="s">
        <v>4174</v>
      </c>
      <c r="B1395" s="2">
        <v>24</v>
      </c>
      <c r="C1395" s="2">
        <v>486709</v>
      </c>
      <c r="D1395" s="2">
        <v>2917714</v>
      </c>
      <c r="E1395" s="2">
        <v>37.909999999999997</v>
      </c>
      <c r="F1395" s="2">
        <v>264706</v>
      </c>
    </row>
    <row r="1396" spans="1:6">
      <c r="A1396" s="3" t="s">
        <v>4175</v>
      </c>
      <c r="B1396" s="2">
        <v>14</v>
      </c>
      <c r="C1396" s="2">
        <v>994485</v>
      </c>
      <c r="D1396" s="2">
        <v>2918665</v>
      </c>
      <c r="E1396" s="2">
        <v>37.909999999999997</v>
      </c>
      <c r="F1396" s="2">
        <v>497019</v>
      </c>
    </row>
    <row r="1397" spans="1:6">
      <c r="A1397" s="3" t="s">
        <v>4176</v>
      </c>
      <c r="B1397" s="2">
        <v>11</v>
      </c>
      <c r="C1397" s="2">
        <v>1350367</v>
      </c>
      <c r="D1397" s="2">
        <v>2918967</v>
      </c>
      <c r="E1397" s="2">
        <v>37.909999999999997</v>
      </c>
      <c r="F1397" s="2">
        <v>557724</v>
      </c>
    </row>
    <row r="1398" spans="1:6">
      <c r="A1398" s="3" t="s">
        <v>4177</v>
      </c>
      <c r="B1398" s="2">
        <v>27</v>
      </c>
      <c r="C1398" s="2">
        <v>477035</v>
      </c>
      <c r="D1398" s="2">
        <v>2919096</v>
      </c>
      <c r="E1398" s="2">
        <v>37.909999999999997</v>
      </c>
      <c r="F1398" s="2">
        <v>277448</v>
      </c>
    </row>
    <row r="1399" spans="1:6">
      <c r="A1399" s="3" t="s">
        <v>4178</v>
      </c>
      <c r="B1399" s="2">
        <v>21</v>
      </c>
      <c r="C1399" s="2">
        <v>512434</v>
      </c>
      <c r="D1399" s="2">
        <v>2919200</v>
      </c>
      <c r="E1399" s="2">
        <v>37.909999999999997</v>
      </c>
      <c r="F1399" s="2">
        <v>295941</v>
      </c>
    </row>
    <row r="1400" spans="1:6">
      <c r="A1400" s="3" t="s">
        <v>4179</v>
      </c>
      <c r="B1400" s="2">
        <v>10</v>
      </c>
      <c r="C1400" s="2">
        <v>1350068</v>
      </c>
      <c r="D1400" s="2">
        <v>2919365</v>
      </c>
      <c r="E1400" s="2">
        <v>37.909999999999997</v>
      </c>
      <c r="F1400" s="2">
        <v>560062</v>
      </c>
    </row>
    <row r="1401" spans="1:6">
      <c r="A1401" s="3" t="s">
        <v>4180</v>
      </c>
      <c r="B1401" s="2">
        <v>32</v>
      </c>
      <c r="C1401" s="2">
        <v>549333</v>
      </c>
      <c r="D1401" s="2">
        <v>2920931</v>
      </c>
      <c r="E1401" s="2">
        <v>37.909999999999997</v>
      </c>
      <c r="F1401" s="2">
        <v>173581</v>
      </c>
    </row>
    <row r="1402" spans="1:6">
      <c r="A1402" s="3" t="s">
        <v>4181</v>
      </c>
      <c r="B1402" s="2">
        <v>8</v>
      </c>
      <c r="C1402" s="2">
        <v>1490840</v>
      </c>
      <c r="D1402" s="2">
        <v>2921490</v>
      </c>
      <c r="E1402" s="2">
        <v>37.909999999999997</v>
      </c>
      <c r="F1402" s="2">
        <v>1490840</v>
      </c>
    </row>
    <row r="1403" spans="1:6">
      <c r="A1403" s="3" t="s">
        <v>4182</v>
      </c>
      <c r="B1403" s="2">
        <v>12</v>
      </c>
      <c r="C1403" s="2">
        <v>1461362</v>
      </c>
      <c r="D1403" s="2">
        <v>2925569</v>
      </c>
      <c r="E1403" s="2">
        <v>37.909999999999997</v>
      </c>
      <c r="F1403" s="2">
        <v>601590</v>
      </c>
    </row>
    <row r="1404" spans="1:6">
      <c r="A1404" s="3" t="s">
        <v>4183</v>
      </c>
      <c r="B1404" s="2">
        <v>40</v>
      </c>
      <c r="C1404" s="2">
        <v>275463</v>
      </c>
      <c r="D1404" s="2">
        <v>2928548</v>
      </c>
      <c r="E1404" s="2">
        <v>37.909999999999997</v>
      </c>
      <c r="F1404" s="2">
        <v>159335</v>
      </c>
    </row>
    <row r="1405" spans="1:6">
      <c r="A1405" s="3" t="s">
        <v>4184</v>
      </c>
      <c r="B1405" s="2">
        <v>20</v>
      </c>
      <c r="C1405" s="2">
        <v>763500</v>
      </c>
      <c r="D1405" s="2">
        <v>2940409</v>
      </c>
      <c r="E1405" s="2">
        <v>37.909999999999997</v>
      </c>
      <c r="F1405" s="2">
        <v>508249</v>
      </c>
    </row>
    <row r="1406" spans="1:6">
      <c r="A1406" s="3" t="s">
        <v>4185</v>
      </c>
      <c r="B1406" s="2">
        <v>61</v>
      </c>
      <c r="C1406" s="2">
        <v>260059</v>
      </c>
      <c r="D1406" s="2">
        <v>2945489</v>
      </c>
      <c r="E1406" s="2">
        <v>37.909999999999997</v>
      </c>
      <c r="F1406" s="2">
        <v>92455</v>
      </c>
    </row>
    <row r="1407" spans="1:6">
      <c r="A1407" s="3" t="s">
        <v>4186</v>
      </c>
      <c r="B1407" s="2">
        <v>28</v>
      </c>
      <c r="C1407" s="2">
        <v>438889</v>
      </c>
      <c r="D1407" s="2">
        <v>2979841</v>
      </c>
      <c r="E1407" s="2">
        <v>37.909999999999997</v>
      </c>
      <c r="F1407" s="2">
        <v>244537</v>
      </c>
    </row>
    <row r="1408" spans="1:6">
      <c r="A1408" s="3" t="s">
        <v>4187</v>
      </c>
      <c r="B1408" s="2">
        <v>12</v>
      </c>
      <c r="C1408" s="2">
        <v>1350821</v>
      </c>
      <c r="D1408" s="2">
        <v>2980154</v>
      </c>
      <c r="E1408" s="2">
        <v>37.909999999999997</v>
      </c>
      <c r="F1408" s="2">
        <v>562339</v>
      </c>
    </row>
    <row r="1409" spans="1:6">
      <c r="A1409" s="3" t="s">
        <v>4188</v>
      </c>
      <c r="B1409" s="2">
        <v>14</v>
      </c>
      <c r="C1409" s="2">
        <v>1350386</v>
      </c>
      <c r="D1409" s="2">
        <v>2980195</v>
      </c>
      <c r="E1409" s="2">
        <v>37.909999999999997</v>
      </c>
      <c r="F1409" s="2">
        <v>518272</v>
      </c>
    </row>
    <row r="1410" spans="1:6">
      <c r="A1410" s="3" t="s">
        <v>4189</v>
      </c>
      <c r="B1410" s="2">
        <v>19</v>
      </c>
      <c r="C1410" s="2">
        <v>783993</v>
      </c>
      <c r="D1410" s="2">
        <v>2986604</v>
      </c>
      <c r="E1410" s="2">
        <v>37.909999999999997</v>
      </c>
      <c r="F1410" s="2">
        <v>541489</v>
      </c>
    </row>
    <row r="1411" spans="1:6">
      <c r="A1411" s="3" t="s">
        <v>4190</v>
      </c>
      <c r="B1411" s="2">
        <v>28</v>
      </c>
      <c r="C1411" s="2">
        <v>476971</v>
      </c>
      <c r="D1411" s="2">
        <v>2998735</v>
      </c>
      <c r="E1411" s="2">
        <v>37.909999999999997</v>
      </c>
      <c r="F1411" s="2">
        <v>257825</v>
      </c>
    </row>
    <row r="1412" spans="1:6">
      <c r="A1412" s="3" t="s">
        <v>4191</v>
      </c>
      <c r="B1412" s="2">
        <v>38</v>
      </c>
      <c r="C1412" s="2">
        <v>348410</v>
      </c>
      <c r="D1412" s="2">
        <v>3000139</v>
      </c>
      <c r="E1412" s="2">
        <v>37.909999999999997</v>
      </c>
      <c r="F1412" s="2">
        <v>161926</v>
      </c>
    </row>
    <row r="1413" spans="1:6">
      <c r="A1413" s="3" t="s">
        <v>4192</v>
      </c>
      <c r="B1413" s="2">
        <v>18</v>
      </c>
      <c r="C1413" s="2">
        <v>515640</v>
      </c>
      <c r="D1413" s="2">
        <v>3001130</v>
      </c>
      <c r="E1413" s="2">
        <v>37.909999999999997</v>
      </c>
      <c r="F1413" s="2">
        <v>449340</v>
      </c>
    </row>
    <row r="1414" spans="1:6">
      <c r="A1414" s="3" t="s">
        <v>4193</v>
      </c>
      <c r="B1414" s="2">
        <v>12</v>
      </c>
      <c r="C1414" s="2">
        <v>1004209</v>
      </c>
      <c r="D1414" s="2">
        <v>3001333</v>
      </c>
      <c r="E1414" s="2">
        <v>37.909999999999997</v>
      </c>
      <c r="F1414" s="2">
        <v>532007</v>
      </c>
    </row>
    <row r="1415" spans="1:6">
      <c r="A1415" s="3" t="s">
        <v>4194</v>
      </c>
      <c r="B1415" s="2">
        <v>18</v>
      </c>
      <c r="C1415" s="2">
        <v>962861</v>
      </c>
      <c r="D1415" s="2">
        <v>3001357</v>
      </c>
      <c r="E1415" s="2">
        <v>37.909999999999997</v>
      </c>
      <c r="F1415" s="2">
        <v>477491</v>
      </c>
    </row>
    <row r="1416" spans="1:6">
      <c r="A1416" s="3" t="s">
        <v>4195</v>
      </c>
      <c r="B1416" s="2">
        <v>12</v>
      </c>
      <c r="C1416" s="2">
        <v>1515304</v>
      </c>
      <c r="D1416" s="2">
        <v>3003179</v>
      </c>
      <c r="E1416" s="2">
        <v>37.909999999999997</v>
      </c>
      <c r="F1416" s="2">
        <v>1515304</v>
      </c>
    </row>
    <row r="1417" spans="1:6">
      <c r="A1417" s="3" t="s">
        <v>4196</v>
      </c>
      <c r="B1417" s="2">
        <v>26</v>
      </c>
      <c r="C1417" s="2">
        <v>605481</v>
      </c>
      <c r="D1417" s="2">
        <v>3007258</v>
      </c>
      <c r="E1417" s="2">
        <v>37.909999999999997</v>
      </c>
      <c r="F1417" s="2">
        <v>476625</v>
      </c>
    </row>
    <row r="1418" spans="1:6">
      <c r="A1418" s="3" t="s">
        <v>4197</v>
      </c>
      <c r="B1418" s="2">
        <v>28</v>
      </c>
      <c r="C1418" s="2">
        <v>342155</v>
      </c>
      <c r="D1418" s="2">
        <v>3009139</v>
      </c>
      <c r="E1418" s="2">
        <v>37.909999999999997</v>
      </c>
      <c r="F1418" s="2">
        <v>198684</v>
      </c>
    </row>
    <row r="1419" spans="1:6">
      <c r="A1419" s="3" t="s">
        <v>4198</v>
      </c>
      <c r="B1419" s="2">
        <v>33</v>
      </c>
      <c r="C1419" s="2">
        <v>363073</v>
      </c>
      <c r="D1419" s="2">
        <v>3009539</v>
      </c>
      <c r="E1419" s="2">
        <v>37.909999999999997</v>
      </c>
      <c r="F1419" s="2">
        <v>159032</v>
      </c>
    </row>
    <row r="1420" spans="1:6">
      <c r="A1420" s="3" t="s">
        <v>4199</v>
      </c>
      <c r="B1420" s="2">
        <v>26</v>
      </c>
      <c r="C1420" s="2">
        <v>516231</v>
      </c>
      <c r="D1420" s="2">
        <v>3010589</v>
      </c>
      <c r="E1420" s="2">
        <v>37.909999999999997</v>
      </c>
      <c r="F1420" s="2">
        <v>236871</v>
      </c>
    </row>
    <row r="1421" spans="1:6">
      <c r="A1421" s="3" t="s">
        <v>4200</v>
      </c>
      <c r="B1421" s="2">
        <v>25</v>
      </c>
      <c r="C1421" s="2">
        <v>516774</v>
      </c>
      <c r="D1421" s="2">
        <v>3010787</v>
      </c>
      <c r="E1421" s="2">
        <v>37.909999999999997</v>
      </c>
      <c r="F1421" s="2">
        <v>229415</v>
      </c>
    </row>
    <row r="1422" spans="1:6">
      <c r="A1422" s="3" t="s">
        <v>4201</v>
      </c>
      <c r="B1422" s="2">
        <v>22</v>
      </c>
      <c r="C1422" s="2">
        <v>554793</v>
      </c>
      <c r="D1422" s="2">
        <v>3016132</v>
      </c>
      <c r="E1422" s="2">
        <v>37.909999999999997</v>
      </c>
      <c r="F1422" s="2">
        <v>511446</v>
      </c>
    </row>
    <row r="1423" spans="1:6">
      <c r="A1423" s="3" t="s">
        <v>4202</v>
      </c>
      <c r="B1423" s="2">
        <v>15</v>
      </c>
      <c r="C1423" s="2">
        <v>1008448</v>
      </c>
      <c r="D1423" s="2">
        <v>3028383</v>
      </c>
      <c r="E1423" s="2">
        <v>37.909999999999997</v>
      </c>
      <c r="F1423" s="2">
        <v>556710</v>
      </c>
    </row>
    <row r="1424" spans="1:6">
      <c r="A1424" s="3" t="s">
        <v>4203</v>
      </c>
      <c r="B1424" s="2">
        <v>19</v>
      </c>
      <c r="C1424" s="2">
        <v>577330</v>
      </c>
      <c r="D1424" s="2">
        <v>3028786</v>
      </c>
      <c r="E1424" s="2">
        <v>37.909999999999997</v>
      </c>
      <c r="F1424" s="2">
        <v>462410</v>
      </c>
    </row>
    <row r="1425" spans="1:6">
      <c r="A1425" s="3" t="s">
        <v>4204</v>
      </c>
      <c r="B1425" s="2">
        <v>30</v>
      </c>
      <c r="C1425" s="2">
        <v>518280</v>
      </c>
      <c r="D1425" s="2">
        <v>3030340</v>
      </c>
      <c r="E1425" s="2">
        <v>37.909999999999997</v>
      </c>
      <c r="F1425" s="2">
        <v>193012</v>
      </c>
    </row>
    <row r="1426" spans="1:6">
      <c r="A1426" s="3" t="s">
        <v>4205</v>
      </c>
      <c r="B1426" s="2">
        <v>12</v>
      </c>
      <c r="C1426" s="2">
        <v>1224130</v>
      </c>
      <c r="D1426" s="2">
        <v>3030838</v>
      </c>
      <c r="E1426" s="2">
        <v>37.909999999999997</v>
      </c>
      <c r="F1426" s="2">
        <v>581951</v>
      </c>
    </row>
    <row r="1427" spans="1:6">
      <c r="A1427" s="3" t="s">
        <v>4206</v>
      </c>
      <c r="B1427" s="2">
        <v>17</v>
      </c>
      <c r="C1427" s="2">
        <v>744327</v>
      </c>
      <c r="D1427" s="2">
        <v>3030990</v>
      </c>
      <c r="E1427" s="2">
        <v>37.909999999999997</v>
      </c>
      <c r="F1427" s="2">
        <v>290494</v>
      </c>
    </row>
    <row r="1428" spans="1:6">
      <c r="A1428" s="3" t="s">
        <v>4207</v>
      </c>
      <c r="B1428" s="2">
        <v>35</v>
      </c>
      <c r="C1428" s="2">
        <v>460583</v>
      </c>
      <c r="D1428" s="2">
        <v>3037607</v>
      </c>
      <c r="E1428" s="2">
        <v>37.909999999999997</v>
      </c>
      <c r="F1428" s="2">
        <v>234395</v>
      </c>
    </row>
    <row r="1429" spans="1:6">
      <c r="A1429" s="3" t="s">
        <v>4208</v>
      </c>
      <c r="B1429" s="2">
        <v>130</v>
      </c>
      <c r="C1429" s="2">
        <v>212983</v>
      </c>
      <c r="D1429" s="2">
        <v>3042151</v>
      </c>
      <c r="E1429" s="2">
        <v>37.909999999999997</v>
      </c>
      <c r="F1429" s="2">
        <v>49773</v>
      </c>
    </row>
    <row r="1430" spans="1:6">
      <c r="A1430" s="3" t="s">
        <v>4209</v>
      </c>
      <c r="B1430" s="2">
        <v>19</v>
      </c>
      <c r="C1430" s="2">
        <v>621072</v>
      </c>
      <c r="D1430" s="2">
        <v>3042648</v>
      </c>
      <c r="E1430" s="2">
        <v>37.909999999999997</v>
      </c>
      <c r="F1430" s="2">
        <v>339033</v>
      </c>
    </row>
    <row r="1431" spans="1:6">
      <c r="A1431" s="3" t="s">
        <v>4210</v>
      </c>
      <c r="B1431" s="2">
        <v>167</v>
      </c>
      <c r="C1431" s="2">
        <v>104357</v>
      </c>
      <c r="D1431" s="2">
        <v>3045488</v>
      </c>
      <c r="E1431" s="2">
        <v>37.909999999999997</v>
      </c>
      <c r="F1431" s="2">
        <v>34466</v>
      </c>
    </row>
    <row r="1432" spans="1:6">
      <c r="A1432" s="3" t="s">
        <v>4211</v>
      </c>
      <c r="B1432" s="2">
        <v>19</v>
      </c>
      <c r="C1432" s="2">
        <v>504101</v>
      </c>
      <c r="D1432" s="2">
        <v>3047200</v>
      </c>
      <c r="E1432" s="2">
        <v>37.909999999999997</v>
      </c>
      <c r="F1432" s="2">
        <v>423564</v>
      </c>
    </row>
    <row r="1433" spans="1:6">
      <c r="A1433" s="3" t="s">
        <v>4212</v>
      </c>
      <c r="B1433" s="2">
        <v>9</v>
      </c>
      <c r="C1433" s="2">
        <v>1074676</v>
      </c>
      <c r="D1433" s="2">
        <v>3049935</v>
      </c>
      <c r="E1433" s="2">
        <v>37.909999999999997</v>
      </c>
      <c r="F1433" s="2">
        <v>557058</v>
      </c>
    </row>
    <row r="1434" spans="1:6">
      <c r="A1434" s="3" t="s">
        <v>4213</v>
      </c>
      <c r="B1434" s="2">
        <v>61</v>
      </c>
      <c r="C1434" s="2">
        <v>400502</v>
      </c>
      <c r="D1434" s="2">
        <v>3067920</v>
      </c>
      <c r="E1434" s="2">
        <v>37.909999999999997</v>
      </c>
      <c r="F1434" s="2">
        <v>91988</v>
      </c>
    </row>
    <row r="1435" spans="1:6">
      <c r="A1435" s="3" t="s">
        <v>4214</v>
      </c>
      <c r="B1435" s="2">
        <v>12</v>
      </c>
      <c r="C1435" s="2">
        <v>1050146</v>
      </c>
      <c r="D1435" s="2">
        <v>3094834</v>
      </c>
      <c r="E1435" s="2">
        <v>37.909999999999997</v>
      </c>
      <c r="F1435" s="2">
        <v>519646</v>
      </c>
    </row>
    <row r="1436" spans="1:6">
      <c r="A1436" s="3" t="s">
        <v>4215</v>
      </c>
      <c r="B1436" s="2">
        <v>26</v>
      </c>
      <c r="C1436" s="2">
        <v>503823</v>
      </c>
      <c r="D1436" s="2">
        <v>3097024</v>
      </c>
      <c r="E1436" s="2">
        <v>37.909999999999997</v>
      </c>
      <c r="F1436" s="2">
        <v>230754</v>
      </c>
    </row>
    <row r="1437" spans="1:6">
      <c r="A1437" s="3" t="s">
        <v>4216</v>
      </c>
      <c r="B1437" s="2">
        <v>33</v>
      </c>
      <c r="C1437" s="2">
        <v>574276</v>
      </c>
      <c r="D1437" s="2">
        <v>3110879</v>
      </c>
      <c r="E1437" s="2">
        <v>37.909999999999997</v>
      </c>
      <c r="F1437" s="2">
        <v>237260</v>
      </c>
    </row>
    <row r="1438" spans="1:6">
      <c r="A1438" s="3" t="s">
        <v>4217</v>
      </c>
      <c r="B1438" s="2">
        <v>33</v>
      </c>
      <c r="C1438" s="2">
        <v>538330</v>
      </c>
      <c r="D1438" s="2">
        <v>3112361</v>
      </c>
      <c r="E1438" s="2">
        <v>37.909999999999997</v>
      </c>
      <c r="F1438" s="2">
        <v>237050</v>
      </c>
    </row>
    <row r="1439" spans="1:6">
      <c r="A1439" s="3" t="s">
        <v>4218</v>
      </c>
      <c r="B1439" s="2">
        <v>69</v>
      </c>
      <c r="C1439" s="2">
        <v>580871</v>
      </c>
      <c r="D1439" s="2">
        <v>3136217</v>
      </c>
      <c r="E1439" s="2">
        <v>37.909999999999997</v>
      </c>
      <c r="F1439" s="2">
        <v>480664</v>
      </c>
    </row>
    <row r="1440" spans="1:6">
      <c r="A1440" s="3" t="s">
        <v>4219</v>
      </c>
      <c r="B1440" s="2">
        <v>22</v>
      </c>
      <c r="C1440" s="2">
        <v>422573</v>
      </c>
      <c r="D1440" s="2">
        <v>2832864</v>
      </c>
      <c r="E1440" s="2">
        <v>37.92</v>
      </c>
      <c r="F1440" s="2">
        <v>368530</v>
      </c>
    </row>
    <row r="1441" spans="1:6">
      <c r="A1441" s="3" t="s">
        <v>4220</v>
      </c>
      <c r="B1441" s="2">
        <v>12</v>
      </c>
      <c r="C1441" s="2">
        <v>993041</v>
      </c>
      <c r="D1441" s="2">
        <v>2834791</v>
      </c>
      <c r="E1441" s="2">
        <v>37.92</v>
      </c>
      <c r="F1441" s="2">
        <v>508591</v>
      </c>
    </row>
    <row r="1442" spans="1:6">
      <c r="A1442" s="3" t="s">
        <v>4221</v>
      </c>
      <c r="B1442" s="2">
        <v>12</v>
      </c>
      <c r="C1442" s="2">
        <v>1082475</v>
      </c>
      <c r="D1442" s="2">
        <v>2836029</v>
      </c>
      <c r="E1442" s="2">
        <v>37.92</v>
      </c>
      <c r="F1442" s="2">
        <v>526538</v>
      </c>
    </row>
    <row r="1443" spans="1:6">
      <c r="A1443" s="3" t="s">
        <v>4222</v>
      </c>
      <c r="B1443" s="2">
        <v>35</v>
      </c>
      <c r="C1443" s="2">
        <v>384659</v>
      </c>
      <c r="D1443" s="2">
        <v>2841021</v>
      </c>
      <c r="E1443" s="2">
        <v>37.92</v>
      </c>
      <c r="F1443" s="2">
        <v>153323</v>
      </c>
    </row>
    <row r="1444" spans="1:6">
      <c r="A1444" s="3" t="s">
        <v>4223</v>
      </c>
      <c r="B1444" s="2">
        <v>13</v>
      </c>
      <c r="C1444" s="2">
        <v>784005</v>
      </c>
      <c r="D1444" s="2">
        <v>2847185</v>
      </c>
      <c r="E1444" s="2">
        <v>37.92</v>
      </c>
      <c r="F1444" s="2">
        <v>686137</v>
      </c>
    </row>
    <row r="1445" spans="1:6">
      <c r="A1445" s="3" t="s">
        <v>4224</v>
      </c>
      <c r="B1445" s="2">
        <v>17</v>
      </c>
      <c r="C1445" s="2">
        <v>586091</v>
      </c>
      <c r="D1445" s="2">
        <v>2855379</v>
      </c>
      <c r="E1445" s="2">
        <v>37.92</v>
      </c>
      <c r="F1445" s="2">
        <v>318236</v>
      </c>
    </row>
    <row r="1446" spans="1:6">
      <c r="A1446" s="3" t="s">
        <v>4225</v>
      </c>
      <c r="B1446" s="2">
        <v>15</v>
      </c>
      <c r="C1446" s="2">
        <v>836455</v>
      </c>
      <c r="D1446" s="2">
        <v>2858749</v>
      </c>
      <c r="E1446" s="2">
        <v>37.92</v>
      </c>
      <c r="F1446" s="2">
        <v>434365</v>
      </c>
    </row>
    <row r="1447" spans="1:6">
      <c r="A1447" s="3" t="s">
        <v>4226</v>
      </c>
      <c r="B1447" s="2">
        <v>9</v>
      </c>
      <c r="C1447" s="2">
        <v>1443780</v>
      </c>
      <c r="D1447" s="2">
        <v>2859092</v>
      </c>
      <c r="E1447" s="2">
        <v>37.92</v>
      </c>
      <c r="F1447" s="2">
        <v>1443780</v>
      </c>
    </row>
    <row r="1448" spans="1:6">
      <c r="A1448" s="3" t="s">
        <v>4227</v>
      </c>
      <c r="B1448" s="2">
        <v>9</v>
      </c>
      <c r="C1448" s="2">
        <v>1443676</v>
      </c>
      <c r="D1448" s="2">
        <v>2860986</v>
      </c>
      <c r="E1448" s="2">
        <v>37.92</v>
      </c>
      <c r="F1448" s="2">
        <v>1443676</v>
      </c>
    </row>
    <row r="1449" spans="1:6">
      <c r="A1449" s="3" t="s">
        <v>4228</v>
      </c>
      <c r="B1449" s="2">
        <v>18</v>
      </c>
      <c r="C1449" s="2">
        <v>956370</v>
      </c>
      <c r="D1449" s="2">
        <v>2862758</v>
      </c>
      <c r="E1449" s="2">
        <v>37.92</v>
      </c>
      <c r="F1449" s="2">
        <v>265403</v>
      </c>
    </row>
    <row r="1450" spans="1:6">
      <c r="A1450" s="3" t="s">
        <v>4229</v>
      </c>
      <c r="B1450" s="2">
        <v>20</v>
      </c>
      <c r="C1450" s="2">
        <v>633430</v>
      </c>
      <c r="D1450" s="2">
        <v>2864394</v>
      </c>
      <c r="E1450" s="2">
        <v>37.92</v>
      </c>
      <c r="F1450" s="2">
        <v>243276</v>
      </c>
    </row>
    <row r="1451" spans="1:6">
      <c r="A1451" s="3" t="s">
        <v>4230</v>
      </c>
      <c r="B1451" s="2">
        <v>16</v>
      </c>
      <c r="C1451" s="2">
        <v>543006</v>
      </c>
      <c r="D1451" s="2">
        <v>2864965</v>
      </c>
      <c r="E1451" s="2">
        <v>37.92</v>
      </c>
      <c r="F1451" s="2">
        <v>439557</v>
      </c>
    </row>
    <row r="1452" spans="1:6">
      <c r="A1452" s="3" t="s">
        <v>4231</v>
      </c>
      <c r="B1452" s="2">
        <v>12</v>
      </c>
      <c r="C1452" s="2">
        <v>989649</v>
      </c>
      <c r="D1452" s="2">
        <v>2870442</v>
      </c>
      <c r="E1452" s="2">
        <v>37.92</v>
      </c>
      <c r="F1452" s="2">
        <v>526304</v>
      </c>
    </row>
    <row r="1453" spans="1:6">
      <c r="A1453" s="3" t="s">
        <v>4232</v>
      </c>
      <c r="B1453" s="2">
        <v>11</v>
      </c>
      <c r="C1453" s="2">
        <v>875162</v>
      </c>
      <c r="D1453" s="2">
        <v>2870619</v>
      </c>
      <c r="E1453" s="2">
        <v>37.92</v>
      </c>
      <c r="F1453" s="2">
        <v>615243</v>
      </c>
    </row>
    <row r="1454" spans="1:6">
      <c r="A1454" s="3" t="s">
        <v>4233</v>
      </c>
      <c r="B1454" s="2">
        <v>13</v>
      </c>
      <c r="C1454" s="2">
        <v>1488972</v>
      </c>
      <c r="D1454" s="2">
        <v>2871039</v>
      </c>
      <c r="E1454" s="2">
        <v>37.92</v>
      </c>
      <c r="F1454" s="2">
        <v>1488972</v>
      </c>
    </row>
    <row r="1455" spans="1:6">
      <c r="A1455" s="3" t="s">
        <v>4234</v>
      </c>
      <c r="B1455" s="2">
        <v>17</v>
      </c>
      <c r="C1455" s="2">
        <v>506675</v>
      </c>
      <c r="D1455" s="2">
        <v>2871420</v>
      </c>
      <c r="E1455" s="2">
        <v>37.92</v>
      </c>
      <c r="F1455" s="2">
        <v>259173</v>
      </c>
    </row>
    <row r="1456" spans="1:6">
      <c r="A1456" s="3" t="s">
        <v>4235</v>
      </c>
      <c r="B1456" s="2">
        <v>33</v>
      </c>
      <c r="C1456" s="2">
        <v>303479</v>
      </c>
      <c r="D1456" s="2">
        <v>2873870</v>
      </c>
      <c r="E1456" s="2">
        <v>37.92</v>
      </c>
      <c r="F1456" s="2">
        <v>186298</v>
      </c>
    </row>
    <row r="1457" spans="1:6">
      <c r="A1457" s="3" t="s">
        <v>4236</v>
      </c>
      <c r="B1457" s="2">
        <v>9</v>
      </c>
      <c r="C1457" s="2">
        <v>1470061</v>
      </c>
      <c r="D1457" s="2">
        <v>2874330</v>
      </c>
      <c r="E1457" s="2">
        <v>37.92</v>
      </c>
      <c r="F1457" s="2">
        <v>1470061</v>
      </c>
    </row>
    <row r="1458" spans="1:6">
      <c r="A1458" s="3" t="s">
        <v>4237</v>
      </c>
      <c r="B1458" s="2">
        <v>50</v>
      </c>
      <c r="C1458" s="2">
        <v>237127</v>
      </c>
      <c r="D1458" s="2">
        <v>2874365</v>
      </c>
      <c r="E1458" s="2">
        <v>37.92</v>
      </c>
      <c r="F1458" s="2">
        <v>110327</v>
      </c>
    </row>
    <row r="1459" spans="1:6">
      <c r="A1459" s="3" t="s">
        <v>4238</v>
      </c>
      <c r="B1459" s="2">
        <v>15</v>
      </c>
      <c r="C1459" s="2">
        <v>729434</v>
      </c>
      <c r="D1459" s="2">
        <v>2874379</v>
      </c>
      <c r="E1459" s="2">
        <v>37.92</v>
      </c>
      <c r="F1459" s="2">
        <v>263427</v>
      </c>
    </row>
    <row r="1460" spans="1:6">
      <c r="A1460" s="3" t="s">
        <v>4239</v>
      </c>
      <c r="B1460" s="2">
        <v>9</v>
      </c>
      <c r="C1460" s="2">
        <v>1468873</v>
      </c>
      <c r="D1460" s="2">
        <v>2874502</v>
      </c>
      <c r="E1460" s="2">
        <v>37.92</v>
      </c>
      <c r="F1460" s="2">
        <v>1468873</v>
      </c>
    </row>
    <row r="1461" spans="1:6">
      <c r="A1461" s="3" t="s">
        <v>4240</v>
      </c>
      <c r="B1461" s="2">
        <v>9</v>
      </c>
      <c r="C1461" s="2">
        <v>1470826</v>
      </c>
      <c r="D1461" s="2">
        <v>2874914</v>
      </c>
      <c r="E1461" s="2">
        <v>37.92</v>
      </c>
      <c r="F1461" s="2">
        <v>1470826</v>
      </c>
    </row>
    <row r="1462" spans="1:6">
      <c r="A1462" s="3" t="s">
        <v>4241</v>
      </c>
      <c r="B1462" s="2">
        <v>10</v>
      </c>
      <c r="C1462" s="2">
        <v>906780</v>
      </c>
      <c r="D1462" s="2">
        <v>2875368</v>
      </c>
      <c r="E1462" s="2">
        <v>37.92</v>
      </c>
      <c r="F1462" s="2">
        <v>564575</v>
      </c>
    </row>
    <row r="1463" spans="1:6">
      <c r="A1463" s="3" t="s">
        <v>4242</v>
      </c>
      <c r="B1463" s="2">
        <v>30</v>
      </c>
      <c r="C1463" s="2">
        <v>436453</v>
      </c>
      <c r="D1463" s="2">
        <v>2875497</v>
      </c>
      <c r="E1463" s="2">
        <v>37.92</v>
      </c>
      <c r="F1463" s="2">
        <v>204782</v>
      </c>
    </row>
    <row r="1464" spans="1:6">
      <c r="A1464" s="3" t="s">
        <v>4243</v>
      </c>
      <c r="B1464" s="2">
        <v>13</v>
      </c>
      <c r="C1464" s="2">
        <v>956710</v>
      </c>
      <c r="D1464" s="2">
        <v>2875836</v>
      </c>
      <c r="E1464" s="2">
        <v>37.92</v>
      </c>
      <c r="F1464" s="2">
        <v>366514</v>
      </c>
    </row>
    <row r="1465" spans="1:6">
      <c r="A1465" s="3" t="s">
        <v>4244</v>
      </c>
      <c r="B1465" s="2">
        <v>18</v>
      </c>
      <c r="C1465" s="2">
        <v>676176</v>
      </c>
      <c r="D1465" s="2">
        <v>2876015</v>
      </c>
      <c r="E1465" s="2">
        <v>37.92</v>
      </c>
      <c r="F1465" s="2">
        <v>437635</v>
      </c>
    </row>
    <row r="1466" spans="1:6">
      <c r="A1466" s="3" t="s">
        <v>4245</v>
      </c>
      <c r="B1466" s="2">
        <v>17</v>
      </c>
      <c r="C1466" s="2">
        <v>887940</v>
      </c>
      <c r="D1466" s="2">
        <v>2876111</v>
      </c>
      <c r="E1466" s="2">
        <v>37.92</v>
      </c>
      <c r="F1466" s="2">
        <v>437767</v>
      </c>
    </row>
    <row r="1467" spans="1:6">
      <c r="A1467" s="3" t="s">
        <v>4246</v>
      </c>
      <c r="B1467" s="2">
        <v>12</v>
      </c>
      <c r="C1467" s="2">
        <v>985644</v>
      </c>
      <c r="D1467" s="2">
        <v>2876530</v>
      </c>
      <c r="E1467" s="2">
        <v>37.92</v>
      </c>
      <c r="F1467" s="2">
        <v>517668</v>
      </c>
    </row>
    <row r="1468" spans="1:6">
      <c r="A1468" s="3" t="s">
        <v>4247</v>
      </c>
      <c r="B1468" s="2">
        <v>11</v>
      </c>
      <c r="C1468" s="2">
        <v>1459048</v>
      </c>
      <c r="D1468" s="2">
        <v>2876751</v>
      </c>
      <c r="E1468" s="2">
        <v>37.92</v>
      </c>
      <c r="F1468" s="2">
        <v>1459048</v>
      </c>
    </row>
    <row r="1469" spans="1:6">
      <c r="A1469" s="3" t="s">
        <v>4248</v>
      </c>
      <c r="B1469" s="2">
        <v>20</v>
      </c>
      <c r="C1469" s="2">
        <v>427085</v>
      </c>
      <c r="D1469" s="2">
        <v>2877268</v>
      </c>
      <c r="E1469" s="2">
        <v>37.92</v>
      </c>
      <c r="F1469" s="2">
        <v>262804</v>
      </c>
    </row>
    <row r="1470" spans="1:6">
      <c r="A1470" s="3" t="s">
        <v>4249</v>
      </c>
      <c r="B1470" s="2">
        <v>15</v>
      </c>
      <c r="C1470" s="2">
        <v>1210511</v>
      </c>
      <c r="D1470" s="2">
        <v>2877618</v>
      </c>
      <c r="E1470" s="2">
        <v>37.92</v>
      </c>
      <c r="F1470" s="2">
        <v>357401</v>
      </c>
    </row>
    <row r="1471" spans="1:6">
      <c r="A1471" s="3" t="s">
        <v>4250</v>
      </c>
      <c r="B1471" s="2">
        <v>18</v>
      </c>
      <c r="C1471" s="2">
        <v>695044</v>
      </c>
      <c r="D1471" s="2">
        <v>2877667</v>
      </c>
      <c r="E1471" s="2">
        <v>37.92</v>
      </c>
      <c r="F1471" s="2">
        <v>357409</v>
      </c>
    </row>
    <row r="1472" spans="1:6">
      <c r="A1472" s="3" t="s">
        <v>4251</v>
      </c>
      <c r="B1472" s="2">
        <v>15</v>
      </c>
      <c r="C1472" s="2">
        <v>917873</v>
      </c>
      <c r="D1472" s="2">
        <v>2877698</v>
      </c>
      <c r="E1472" s="2">
        <v>37.92</v>
      </c>
      <c r="F1472" s="2">
        <v>565006</v>
      </c>
    </row>
    <row r="1473" spans="1:6">
      <c r="A1473" s="3" t="s">
        <v>4252</v>
      </c>
      <c r="B1473" s="2">
        <v>14</v>
      </c>
      <c r="C1473" s="2">
        <v>871096</v>
      </c>
      <c r="D1473" s="2">
        <v>2877782</v>
      </c>
      <c r="E1473" s="2">
        <v>37.92</v>
      </c>
      <c r="F1473" s="2">
        <v>584929</v>
      </c>
    </row>
    <row r="1474" spans="1:6">
      <c r="A1474" s="3" t="s">
        <v>4253</v>
      </c>
      <c r="B1474" s="2">
        <v>15</v>
      </c>
      <c r="C1474" s="2">
        <v>990260</v>
      </c>
      <c r="D1474" s="2">
        <v>2877796</v>
      </c>
      <c r="E1474" s="2">
        <v>37.92</v>
      </c>
      <c r="F1474" s="2">
        <v>466440</v>
      </c>
    </row>
    <row r="1475" spans="1:6">
      <c r="A1475" s="3" t="s">
        <v>4254</v>
      </c>
      <c r="B1475" s="2">
        <v>30</v>
      </c>
      <c r="C1475" s="2">
        <v>246733</v>
      </c>
      <c r="D1475" s="2">
        <v>2877831</v>
      </c>
      <c r="E1475" s="2">
        <v>37.92</v>
      </c>
      <c r="F1475" s="2">
        <v>213874</v>
      </c>
    </row>
    <row r="1476" spans="1:6">
      <c r="A1476" s="3" t="s">
        <v>4255</v>
      </c>
      <c r="B1476" s="2">
        <v>15</v>
      </c>
      <c r="C1476" s="2">
        <v>522776</v>
      </c>
      <c r="D1476" s="2">
        <v>2877927</v>
      </c>
      <c r="E1476" s="2">
        <v>37.92</v>
      </c>
      <c r="F1476" s="2">
        <v>296177</v>
      </c>
    </row>
    <row r="1477" spans="1:6">
      <c r="A1477" s="3" t="s">
        <v>4256</v>
      </c>
      <c r="B1477" s="2">
        <v>14</v>
      </c>
      <c r="C1477" s="2">
        <v>585742</v>
      </c>
      <c r="D1477" s="2">
        <v>2877980</v>
      </c>
      <c r="E1477" s="2">
        <v>37.92</v>
      </c>
      <c r="F1477" s="2">
        <v>478746</v>
      </c>
    </row>
    <row r="1478" spans="1:6">
      <c r="A1478" s="3" t="s">
        <v>4257</v>
      </c>
      <c r="B1478" s="2">
        <v>12</v>
      </c>
      <c r="C1478" s="2">
        <v>1470349</v>
      </c>
      <c r="D1478" s="2">
        <v>2878063</v>
      </c>
      <c r="E1478" s="2">
        <v>37.92</v>
      </c>
      <c r="F1478" s="2">
        <v>1470349</v>
      </c>
    </row>
    <row r="1479" spans="1:6">
      <c r="A1479" s="3" t="s">
        <v>4258</v>
      </c>
      <c r="B1479" s="2">
        <v>13</v>
      </c>
      <c r="C1479" s="2">
        <v>924658</v>
      </c>
      <c r="D1479" s="2">
        <v>2878107</v>
      </c>
      <c r="E1479" s="2">
        <v>37.92</v>
      </c>
      <c r="F1479" s="2">
        <v>565121</v>
      </c>
    </row>
    <row r="1480" spans="1:6">
      <c r="A1480" s="3" t="s">
        <v>4259</v>
      </c>
      <c r="B1480" s="2">
        <v>20</v>
      </c>
      <c r="C1480" s="2">
        <v>476988</v>
      </c>
      <c r="D1480" s="2">
        <v>2878435</v>
      </c>
      <c r="E1480" s="2">
        <v>37.92</v>
      </c>
      <c r="F1480" s="2">
        <v>234432</v>
      </c>
    </row>
    <row r="1481" spans="1:6">
      <c r="A1481" s="3" t="s">
        <v>4260</v>
      </c>
      <c r="B1481" s="2">
        <v>19</v>
      </c>
      <c r="C1481" s="2">
        <v>973301</v>
      </c>
      <c r="D1481" s="2">
        <v>2878563</v>
      </c>
      <c r="E1481" s="2">
        <v>37.92</v>
      </c>
      <c r="F1481" s="2">
        <v>296177</v>
      </c>
    </row>
    <row r="1482" spans="1:6">
      <c r="A1482" s="3" t="s">
        <v>4261</v>
      </c>
      <c r="B1482" s="2">
        <v>16</v>
      </c>
      <c r="C1482" s="2">
        <v>540588</v>
      </c>
      <c r="D1482" s="2">
        <v>2878734</v>
      </c>
      <c r="E1482" s="2">
        <v>37.92</v>
      </c>
      <c r="F1482" s="2">
        <v>475506</v>
      </c>
    </row>
    <row r="1483" spans="1:6">
      <c r="A1483" s="3" t="s">
        <v>4262</v>
      </c>
      <c r="B1483" s="2">
        <v>13</v>
      </c>
      <c r="C1483" s="2">
        <v>1212514</v>
      </c>
      <c r="D1483" s="2">
        <v>2878767</v>
      </c>
      <c r="E1483" s="2">
        <v>37.92</v>
      </c>
      <c r="F1483" s="2">
        <v>540641</v>
      </c>
    </row>
    <row r="1484" spans="1:6">
      <c r="A1484" s="3" t="s">
        <v>4263</v>
      </c>
      <c r="B1484" s="2">
        <v>14</v>
      </c>
      <c r="C1484" s="2">
        <v>1213182</v>
      </c>
      <c r="D1484" s="2">
        <v>2878979</v>
      </c>
      <c r="E1484" s="2">
        <v>37.92</v>
      </c>
      <c r="F1484" s="2">
        <v>357629</v>
      </c>
    </row>
    <row r="1485" spans="1:6">
      <c r="A1485" s="3" t="s">
        <v>4264</v>
      </c>
      <c r="B1485" s="2">
        <v>13</v>
      </c>
      <c r="C1485" s="2">
        <v>1349645</v>
      </c>
      <c r="D1485" s="2">
        <v>2879211</v>
      </c>
      <c r="E1485" s="2">
        <v>37.92</v>
      </c>
      <c r="F1485" s="2">
        <v>539742</v>
      </c>
    </row>
    <row r="1486" spans="1:6">
      <c r="A1486" s="3" t="s">
        <v>4265</v>
      </c>
      <c r="B1486" s="2">
        <v>17</v>
      </c>
      <c r="C1486" s="2">
        <v>1017058</v>
      </c>
      <c r="D1486" s="2">
        <v>2879283</v>
      </c>
      <c r="E1486" s="2">
        <v>37.92</v>
      </c>
      <c r="F1486" s="2">
        <v>540628</v>
      </c>
    </row>
    <row r="1487" spans="1:6">
      <c r="A1487" s="3" t="s">
        <v>4266</v>
      </c>
      <c r="B1487" s="2">
        <v>19</v>
      </c>
      <c r="C1487" s="2">
        <v>768916</v>
      </c>
      <c r="D1487" s="2">
        <v>2879654</v>
      </c>
      <c r="E1487" s="2">
        <v>37.92</v>
      </c>
      <c r="F1487" s="2">
        <v>360079</v>
      </c>
    </row>
    <row r="1488" spans="1:6">
      <c r="A1488" s="3" t="s">
        <v>4267</v>
      </c>
      <c r="B1488" s="2">
        <v>21</v>
      </c>
      <c r="C1488" s="2">
        <v>566569</v>
      </c>
      <c r="D1488" s="2">
        <v>2879659</v>
      </c>
      <c r="E1488" s="2">
        <v>37.92</v>
      </c>
      <c r="F1488" s="2">
        <v>438422</v>
      </c>
    </row>
    <row r="1489" spans="1:6">
      <c r="A1489" s="3" t="s">
        <v>4268</v>
      </c>
      <c r="B1489" s="2">
        <v>12</v>
      </c>
      <c r="C1489" s="2">
        <v>828579</v>
      </c>
      <c r="D1489" s="2">
        <v>2879661</v>
      </c>
      <c r="E1489" s="2">
        <v>37.92</v>
      </c>
      <c r="F1489" s="2">
        <v>628276</v>
      </c>
    </row>
    <row r="1490" spans="1:6">
      <c r="A1490" s="3" t="s">
        <v>4269</v>
      </c>
      <c r="B1490" s="2">
        <v>10</v>
      </c>
      <c r="C1490" s="2">
        <v>1470827</v>
      </c>
      <c r="D1490" s="2">
        <v>2879842</v>
      </c>
      <c r="E1490" s="2">
        <v>37.92</v>
      </c>
      <c r="F1490" s="2">
        <v>1470827</v>
      </c>
    </row>
    <row r="1491" spans="1:6">
      <c r="A1491" s="3" t="s">
        <v>4270</v>
      </c>
      <c r="B1491" s="2">
        <v>14</v>
      </c>
      <c r="C1491" s="2">
        <v>1020722</v>
      </c>
      <c r="D1491" s="2">
        <v>2879846</v>
      </c>
      <c r="E1491" s="2">
        <v>37.92</v>
      </c>
      <c r="F1491" s="2">
        <v>540660</v>
      </c>
    </row>
    <row r="1492" spans="1:6">
      <c r="A1492" s="3" t="s">
        <v>4271</v>
      </c>
      <c r="B1492" s="2">
        <v>12</v>
      </c>
      <c r="C1492" s="2">
        <v>1462995</v>
      </c>
      <c r="D1492" s="2">
        <v>2880318</v>
      </c>
      <c r="E1492" s="2">
        <v>37.92</v>
      </c>
      <c r="F1492" s="2">
        <v>1462995</v>
      </c>
    </row>
    <row r="1493" spans="1:6">
      <c r="A1493" s="3" t="s">
        <v>4272</v>
      </c>
      <c r="B1493" s="2">
        <v>53</v>
      </c>
      <c r="C1493" s="2">
        <v>253941</v>
      </c>
      <c r="D1493" s="2">
        <v>2880585</v>
      </c>
      <c r="E1493" s="2">
        <v>37.92</v>
      </c>
      <c r="F1493" s="2">
        <v>98281</v>
      </c>
    </row>
    <row r="1494" spans="1:6">
      <c r="A1494" s="3" t="s">
        <v>4273</v>
      </c>
      <c r="B1494" s="2">
        <v>11</v>
      </c>
      <c r="C1494" s="2">
        <v>1219327</v>
      </c>
      <c r="D1494" s="2">
        <v>2882259</v>
      </c>
      <c r="E1494" s="2">
        <v>37.92</v>
      </c>
      <c r="F1494" s="2">
        <v>510274</v>
      </c>
    </row>
    <row r="1495" spans="1:6">
      <c r="A1495" s="3" t="s">
        <v>4274</v>
      </c>
      <c r="B1495" s="2">
        <v>12</v>
      </c>
      <c r="C1495" s="2">
        <v>645920</v>
      </c>
      <c r="D1495" s="2">
        <v>2882322</v>
      </c>
      <c r="E1495" s="2">
        <v>37.92</v>
      </c>
      <c r="F1495" s="2">
        <v>510332</v>
      </c>
    </row>
    <row r="1496" spans="1:6">
      <c r="A1496" s="3" t="s">
        <v>4275</v>
      </c>
      <c r="B1496" s="2">
        <v>25</v>
      </c>
      <c r="C1496" s="2">
        <v>588921</v>
      </c>
      <c r="D1496" s="2">
        <v>2883612</v>
      </c>
      <c r="E1496" s="2">
        <v>37.92</v>
      </c>
      <c r="F1496" s="2">
        <v>375968</v>
      </c>
    </row>
    <row r="1497" spans="1:6">
      <c r="A1497" s="3" t="s">
        <v>4276</v>
      </c>
      <c r="B1497" s="2">
        <v>23</v>
      </c>
      <c r="C1497" s="2">
        <v>589250</v>
      </c>
      <c r="D1497" s="2">
        <v>2886351</v>
      </c>
      <c r="E1497" s="2">
        <v>37.92</v>
      </c>
      <c r="F1497" s="2">
        <v>223243</v>
      </c>
    </row>
    <row r="1498" spans="1:6">
      <c r="A1498" s="3" t="s">
        <v>4277</v>
      </c>
      <c r="B1498" s="2">
        <v>15</v>
      </c>
      <c r="C1498" s="2">
        <v>934011</v>
      </c>
      <c r="D1498" s="2">
        <v>2888089</v>
      </c>
      <c r="E1498" s="2">
        <v>37.92</v>
      </c>
      <c r="F1498" s="2">
        <v>557932</v>
      </c>
    </row>
    <row r="1499" spans="1:6">
      <c r="A1499" s="3" t="s">
        <v>4278</v>
      </c>
      <c r="B1499" s="2">
        <v>12</v>
      </c>
      <c r="C1499" s="2">
        <v>1496012</v>
      </c>
      <c r="D1499" s="2">
        <v>2892726</v>
      </c>
      <c r="E1499" s="2">
        <v>37.92</v>
      </c>
      <c r="F1499" s="2">
        <v>1496012</v>
      </c>
    </row>
    <row r="1500" spans="1:6">
      <c r="A1500" s="3" t="s">
        <v>4279</v>
      </c>
      <c r="B1500" s="2">
        <v>11</v>
      </c>
      <c r="C1500" s="2">
        <v>1074498</v>
      </c>
      <c r="D1500" s="2">
        <v>2893314</v>
      </c>
      <c r="E1500" s="2">
        <v>37.92</v>
      </c>
      <c r="F1500" s="2">
        <v>504079</v>
      </c>
    </row>
    <row r="1501" spans="1:6">
      <c r="A1501" s="3" t="s">
        <v>4280</v>
      </c>
      <c r="B1501" s="2">
        <v>36</v>
      </c>
      <c r="C1501" s="2">
        <v>517106</v>
      </c>
      <c r="D1501" s="2">
        <v>2893769</v>
      </c>
      <c r="E1501" s="2">
        <v>37.92</v>
      </c>
      <c r="F1501" s="2">
        <v>238100</v>
      </c>
    </row>
    <row r="1502" spans="1:6">
      <c r="A1502" s="3" t="s">
        <v>4281</v>
      </c>
      <c r="B1502" s="2">
        <v>18</v>
      </c>
      <c r="C1502" s="2">
        <v>1207704</v>
      </c>
      <c r="D1502" s="2">
        <v>2894295</v>
      </c>
      <c r="E1502" s="2">
        <v>37.92</v>
      </c>
      <c r="F1502" s="2">
        <v>370052</v>
      </c>
    </row>
    <row r="1503" spans="1:6">
      <c r="A1503" s="3" t="s">
        <v>4282</v>
      </c>
      <c r="B1503" s="2">
        <v>146</v>
      </c>
      <c r="C1503" s="2">
        <v>95768</v>
      </c>
      <c r="D1503" s="2">
        <v>2899566</v>
      </c>
      <c r="E1503" s="2">
        <v>37.92</v>
      </c>
      <c r="F1503" s="2">
        <v>40555</v>
      </c>
    </row>
    <row r="1504" spans="1:6">
      <c r="A1504" s="3" t="s">
        <v>4283</v>
      </c>
      <c r="B1504" s="2">
        <v>23</v>
      </c>
      <c r="C1504" s="2">
        <v>540256</v>
      </c>
      <c r="D1504" s="2">
        <v>2908798</v>
      </c>
      <c r="E1504" s="2">
        <v>37.92</v>
      </c>
      <c r="F1504" s="2">
        <v>260112</v>
      </c>
    </row>
    <row r="1505" spans="1:6">
      <c r="A1505" s="3" t="s">
        <v>4284</v>
      </c>
      <c r="B1505" s="2">
        <v>16</v>
      </c>
      <c r="C1505" s="2">
        <v>668511</v>
      </c>
      <c r="D1505" s="2">
        <v>2910963</v>
      </c>
      <c r="E1505" s="2">
        <v>37.92</v>
      </c>
      <c r="F1505" s="2">
        <v>438696</v>
      </c>
    </row>
    <row r="1506" spans="1:6">
      <c r="A1506" s="3" t="s">
        <v>4285</v>
      </c>
      <c r="B1506" s="2">
        <v>60</v>
      </c>
      <c r="C1506" s="2">
        <v>256435</v>
      </c>
      <c r="D1506" s="2">
        <v>2913528</v>
      </c>
      <c r="E1506" s="2">
        <v>37.92</v>
      </c>
      <c r="F1506" s="2">
        <v>99241</v>
      </c>
    </row>
    <row r="1507" spans="1:6">
      <c r="A1507" s="3" t="s">
        <v>4286</v>
      </c>
      <c r="B1507" s="2">
        <v>51</v>
      </c>
      <c r="C1507" s="2">
        <v>302054</v>
      </c>
      <c r="D1507" s="2">
        <v>2915586</v>
      </c>
      <c r="E1507" s="2">
        <v>37.92</v>
      </c>
      <c r="F1507" s="2">
        <v>123207</v>
      </c>
    </row>
    <row r="1508" spans="1:6">
      <c r="A1508" s="3" t="s">
        <v>4287</v>
      </c>
      <c r="B1508" s="2">
        <v>43</v>
      </c>
      <c r="C1508" s="2">
        <v>323542</v>
      </c>
      <c r="D1508" s="2">
        <v>2917301</v>
      </c>
      <c r="E1508" s="2">
        <v>37.92</v>
      </c>
      <c r="F1508" s="2">
        <v>158554</v>
      </c>
    </row>
    <row r="1509" spans="1:6">
      <c r="A1509" s="3" t="s">
        <v>4288</v>
      </c>
      <c r="B1509" s="2">
        <v>16</v>
      </c>
      <c r="C1509" s="2">
        <v>1538137</v>
      </c>
      <c r="D1509" s="2">
        <v>2918509</v>
      </c>
      <c r="E1509" s="2">
        <v>37.92</v>
      </c>
      <c r="F1509" s="2">
        <v>1538137</v>
      </c>
    </row>
    <row r="1510" spans="1:6">
      <c r="A1510" s="3" t="s">
        <v>4289</v>
      </c>
      <c r="B1510" s="2">
        <v>10</v>
      </c>
      <c r="C1510" s="2">
        <v>1350557</v>
      </c>
      <c r="D1510" s="2">
        <v>2918742</v>
      </c>
      <c r="E1510" s="2">
        <v>37.92</v>
      </c>
      <c r="F1510" s="2">
        <v>559035</v>
      </c>
    </row>
    <row r="1511" spans="1:6">
      <c r="A1511" s="3" t="s">
        <v>4290</v>
      </c>
      <c r="B1511" s="2">
        <v>15</v>
      </c>
      <c r="C1511" s="2">
        <v>872633</v>
      </c>
      <c r="D1511" s="2">
        <v>2919951</v>
      </c>
      <c r="E1511" s="2">
        <v>37.92</v>
      </c>
      <c r="F1511" s="2">
        <v>476995</v>
      </c>
    </row>
    <row r="1512" spans="1:6">
      <c r="A1512" s="3" t="s">
        <v>4291</v>
      </c>
      <c r="B1512" s="2">
        <v>25</v>
      </c>
      <c r="C1512" s="2">
        <v>547375</v>
      </c>
      <c r="D1512" s="2">
        <v>2923571</v>
      </c>
      <c r="E1512" s="2">
        <v>37.92</v>
      </c>
      <c r="F1512" s="2">
        <v>194359</v>
      </c>
    </row>
    <row r="1513" spans="1:6">
      <c r="A1513" s="3" t="s">
        <v>4292</v>
      </c>
      <c r="B1513" s="2">
        <v>15</v>
      </c>
      <c r="C1513" s="2">
        <v>1168965</v>
      </c>
      <c r="D1513" s="2">
        <v>2925019</v>
      </c>
      <c r="E1513" s="2">
        <v>37.92</v>
      </c>
      <c r="F1513" s="2">
        <v>550360</v>
      </c>
    </row>
    <row r="1514" spans="1:6">
      <c r="A1514" s="3" t="s">
        <v>4293</v>
      </c>
      <c r="B1514" s="2">
        <v>18</v>
      </c>
      <c r="C1514" s="2">
        <v>563134</v>
      </c>
      <c r="D1514" s="2">
        <v>2925583</v>
      </c>
      <c r="E1514" s="2">
        <v>37.92</v>
      </c>
      <c r="F1514" s="2">
        <v>280264</v>
      </c>
    </row>
    <row r="1515" spans="1:6">
      <c r="A1515" s="3" t="s">
        <v>4294</v>
      </c>
      <c r="B1515" s="2">
        <v>22</v>
      </c>
      <c r="C1515" s="2">
        <v>529697</v>
      </c>
      <c r="D1515" s="2">
        <v>2926940</v>
      </c>
      <c r="E1515" s="2">
        <v>37.92</v>
      </c>
      <c r="F1515" s="2">
        <v>243982</v>
      </c>
    </row>
    <row r="1516" spans="1:6">
      <c r="A1516" s="3" t="s">
        <v>4295</v>
      </c>
      <c r="B1516" s="2">
        <v>26</v>
      </c>
      <c r="C1516" s="2">
        <v>430499</v>
      </c>
      <c r="D1516" s="2">
        <v>2929516</v>
      </c>
      <c r="E1516" s="2">
        <v>37.92</v>
      </c>
      <c r="F1516" s="2">
        <v>228586</v>
      </c>
    </row>
    <row r="1517" spans="1:6">
      <c r="A1517" s="3" t="s">
        <v>4296</v>
      </c>
      <c r="B1517" s="2">
        <v>15</v>
      </c>
      <c r="C1517" s="2">
        <v>984977</v>
      </c>
      <c r="D1517" s="2">
        <v>2937928</v>
      </c>
      <c r="E1517" s="2">
        <v>37.92</v>
      </c>
      <c r="F1517" s="2">
        <v>510414</v>
      </c>
    </row>
    <row r="1518" spans="1:6">
      <c r="A1518" s="3" t="s">
        <v>4297</v>
      </c>
      <c r="B1518" s="2">
        <v>28</v>
      </c>
      <c r="C1518" s="2">
        <v>357402</v>
      </c>
      <c r="D1518" s="2">
        <v>2994961</v>
      </c>
      <c r="E1518" s="2">
        <v>37.92</v>
      </c>
      <c r="F1518" s="2">
        <v>216873</v>
      </c>
    </row>
    <row r="1519" spans="1:6">
      <c r="A1519" s="3" t="s">
        <v>4298</v>
      </c>
      <c r="B1519" s="2">
        <v>16</v>
      </c>
      <c r="C1519" s="2">
        <v>1224558</v>
      </c>
      <c r="D1519" s="2">
        <v>3009517</v>
      </c>
      <c r="E1519" s="2">
        <v>37.92</v>
      </c>
      <c r="F1519" s="2">
        <v>516641</v>
      </c>
    </row>
    <row r="1520" spans="1:6">
      <c r="A1520" s="3" t="s">
        <v>4299</v>
      </c>
      <c r="B1520" s="2">
        <v>17</v>
      </c>
      <c r="C1520" s="2">
        <v>632227</v>
      </c>
      <c r="D1520" s="2">
        <v>3010578</v>
      </c>
      <c r="E1520" s="2">
        <v>37.92</v>
      </c>
      <c r="F1520" s="2">
        <v>492065</v>
      </c>
    </row>
    <row r="1521" spans="1:6">
      <c r="A1521" s="3" t="s">
        <v>4300</v>
      </c>
      <c r="B1521" s="2">
        <v>15</v>
      </c>
      <c r="C1521" s="2">
        <v>1231975</v>
      </c>
      <c r="D1521" s="2">
        <v>3017076</v>
      </c>
      <c r="E1521" s="2">
        <v>37.92</v>
      </c>
      <c r="F1521" s="2">
        <v>511574</v>
      </c>
    </row>
    <row r="1522" spans="1:6">
      <c r="A1522" s="3" t="s">
        <v>4301</v>
      </c>
      <c r="B1522" s="2">
        <v>22</v>
      </c>
      <c r="C1522" s="2">
        <v>930973</v>
      </c>
      <c r="D1522" s="2">
        <v>3028728</v>
      </c>
      <c r="E1522" s="2">
        <v>37.92</v>
      </c>
      <c r="F1522" s="2">
        <v>366981</v>
      </c>
    </row>
    <row r="1523" spans="1:6">
      <c r="A1523" s="3" t="s">
        <v>4302</v>
      </c>
      <c r="B1523" s="2">
        <v>17</v>
      </c>
      <c r="C1523" s="2">
        <v>539918</v>
      </c>
      <c r="D1523" s="2">
        <v>3034047</v>
      </c>
      <c r="E1523" s="2">
        <v>37.92</v>
      </c>
      <c r="F1523" s="2">
        <v>376880</v>
      </c>
    </row>
    <row r="1524" spans="1:6">
      <c r="A1524" s="3" t="s">
        <v>4303</v>
      </c>
      <c r="B1524" s="2">
        <v>26</v>
      </c>
      <c r="C1524" s="2">
        <v>555053</v>
      </c>
      <c r="D1524" s="2">
        <v>3035334</v>
      </c>
      <c r="E1524" s="2">
        <v>37.92</v>
      </c>
      <c r="F1524" s="2">
        <v>305764</v>
      </c>
    </row>
    <row r="1525" spans="1:6">
      <c r="A1525" s="3" t="s">
        <v>4304</v>
      </c>
      <c r="B1525" s="2">
        <v>32</v>
      </c>
      <c r="C1525" s="2">
        <v>322823</v>
      </c>
      <c r="D1525" s="2">
        <v>3096467</v>
      </c>
      <c r="E1525" s="2">
        <v>37.92</v>
      </c>
      <c r="F1525" s="2">
        <v>188104</v>
      </c>
    </row>
    <row r="1526" spans="1:6">
      <c r="A1526" s="3" t="s">
        <v>4305</v>
      </c>
      <c r="B1526" s="2">
        <v>29</v>
      </c>
      <c r="C1526" s="2">
        <v>503912</v>
      </c>
      <c r="D1526" s="2">
        <v>3122094</v>
      </c>
      <c r="E1526" s="2">
        <v>37.92</v>
      </c>
      <c r="F1526" s="2">
        <v>232554</v>
      </c>
    </row>
    <row r="1527" spans="1:6">
      <c r="A1527" s="3" t="s">
        <v>4306</v>
      </c>
      <c r="B1527" s="2">
        <v>46</v>
      </c>
      <c r="C1527" s="2">
        <v>503915</v>
      </c>
      <c r="D1527" s="2">
        <v>3166489</v>
      </c>
      <c r="E1527" s="2">
        <v>37.92</v>
      </c>
      <c r="F1527" s="2">
        <v>154907</v>
      </c>
    </row>
    <row r="1528" spans="1:6">
      <c r="A1528" s="3" t="s">
        <v>4307</v>
      </c>
      <c r="B1528" s="2">
        <v>18</v>
      </c>
      <c r="C1528" s="2">
        <v>967723</v>
      </c>
      <c r="D1528" s="2">
        <v>2838093</v>
      </c>
      <c r="E1528" s="2">
        <v>37.93</v>
      </c>
      <c r="F1528" s="2">
        <v>343781</v>
      </c>
    </row>
    <row r="1529" spans="1:6">
      <c r="A1529" s="3" t="s">
        <v>4308</v>
      </c>
      <c r="B1529" s="2">
        <v>18</v>
      </c>
      <c r="C1529" s="2">
        <v>570573</v>
      </c>
      <c r="D1529" s="2">
        <v>2838583</v>
      </c>
      <c r="E1529" s="2">
        <v>37.93</v>
      </c>
      <c r="F1529" s="2">
        <v>435422</v>
      </c>
    </row>
    <row r="1530" spans="1:6">
      <c r="A1530" s="3" t="s">
        <v>4309</v>
      </c>
      <c r="B1530" s="2">
        <v>15</v>
      </c>
      <c r="C1530" s="2">
        <v>584345</v>
      </c>
      <c r="D1530" s="2">
        <v>2847618</v>
      </c>
      <c r="E1530" s="2">
        <v>37.93</v>
      </c>
      <c r="F1530" s="2">
        <v>516398</v>
      </c>
    </row>
    <row r="1531" spans="1:6">
      <c r="A1531" s="3" t="s">
        <v>4310</v>
      </c>
      <c r="B1531" s="2">
        <v>15</v>
      </c>
      <c r="C1531" s="2">
        <v>585099</v>
      </c>
      <c r="D1531" s="2">
        <v>2847619</v>
      </c>
      <c r="E1531" s="2">
        <v>37.93</v>
      </c>
      <c r="F1531" s="2">
        <v>345483</v>
      </c>
    </row>
    <row r="1532" spans="1:6">
      <c r="A1532" s="3" t="s">
        <v>4311</v>
      </c>
      <c r="B1532" s="2">
        <v>14</v>
      </c>
      <c r="C1532" s="2">
        <v>984810</v>
      </c>
      <c r="D1532" s="2">
        <v>2865151</v>
      </c>
      <c r="E1532" s="2">
        <v>37.93</v>
      </c>
      <c r="F1532" s="2">
        <v>500488</v>
      </c>
    </row>
    <row r="1533" spans="1:6">
      <c r="A1533" s="3" t="s">
        <v>4312</v>
      </c>
      <c r="B1533" s="2">
        <v>46</v>
      </c>
      <c r="C1533" s="2">
        <v>191426</v>
      </c>
      <c r="D1533" s="2">
        <v>2867417</v>
      </c>
      <c r="E1533" s="2">
        <v>37.93</v>
      </c>
      <c r="F1533" s="2">
        <v>109430</v>
      </c>
    </row>
    <row r="1534" spans="1:6">
      <c r="A1534" s="3" t="s">
        <v>4313</v>
      </c>
      <c r="B1534" s="2">
        <v>30</v>
      </c>
      <c r="C1534" s="2">
        <v>343155</v>
      </c>
      <c r="D1534" s="2">
        <v>2871228</v>
      </c>
      <c r="E1534" s="2">
        <v>37.93</v>
      </c>
      <c r="F1534" s="2">
        <v>200650</v>
      </c>
    </row>
    <row r="1535" spans="1:6">
      <c r="A1535" s="3" t="s">
        <v>4314</v>
      </c>
      <c r="B1535" s="2">
        <v>17</v>
      </c>
      <c r="C1535" s="2">
        <v>523306</v>
      </c>
      <c r="D1535" s="2">
        <v>2871325</v>
      </c>
      <c r="E1535" s="2">
        <v>37.93</v>
      </c>
      <c r="F1535" s="2">
        <v>486644</v>
      </c>
    </row>
    <row r="1536" spans="1:6">
      <c r="A1536" s="3" t="s">
        <v>4315</v>
      </c>
      <c r="B1536" s="2">
        <v>13</v>
      </c>
      <c r="C1536" s="2">
        <v>1490304</v>
      </c>
      <c r="D1536" s="2">
        <v>2872151</v>
      </c>
      <c r="E1536" s="2">
        <v>37.93</v>
      </c>
      <c r="F1536" s="2">
        <v>1490304</v>
      </c>
    </row>
    <row r="1537" spans="1:6">
      <c r="A1537" s="3" t="s">
        <v>4316</v>
      </c>
      <c r="B1537" s="2">
        <v>27</v>
      </c>
      <c r="C1537" s="2">
        <v>353676</v>
      </c>
      <c r="D1537" s="2">
        <v>2873985</v>
      </c>
      <c r="E1537" s="2">
        <v>37.93</v>
      </c>
      <c r="F1537" s="2">
        <v>192287</v>
      </c>
    </row>
    <row r="1538" spans="1:6">
      <c r="A1538" s="3" t="s">
        <v>4317</v>
      </c>
      <c r="B1538" s="2">
        <v>9</v>
      </c>
      <c r="C1538" s="2">
        <v>1456442</v>
      </c>
      <c r="D1538" s="2">
        <v>2874545</v>
      </c>
      <c r="E1538" s="2">
        <v>37.93</v>
      </c>
      <c r="F1538" s="2">
        <v>1456442</v>
      </c>
    </row>
    <row r="1539" spans="1:6">
      <c r="A1539" s="3" t="s">
        <v>4318</v>
      </c>
      <c r="B1539" s="2">
        <v>15</v>
      </c>
      <c r="C1539" s="2">
        <v>517299</v>
      </c>
      <c r="D1539" s="2">
        <v>2874752</v>
      </c>
      <c r="E1539" s="2">
        <v>37.93</v>
      </c>
      <c r="F1539" s="2">
        <v>476878</v>
      </c>
    </row>
    <row r="1540" spans="1:6">
      <c r="A1540" s="3" t="s">
        <v>4319</v>
      </c>
      <c r="B1540" s="2">
        <v>20</v>
      </c>
      <c r="C1540" s="2">
        <v>573255</v>
      </c>
      <c r="D1540" s="2">
        <v>2874769</v>
      </c>
      <c r="E1540" s="2">
        <v>37.93</v>
      </c>
      <c r="F1540" s="2">
        <v>238416</v>
      </c>
    </row>
    <row r="1541" spans="1:6">
      <c r="A1541" s="3" t="s">
        <v>4320</v>
      </c>
      <c r="B1541" s="2">
        <v>28</v>
      </c>
      <c r="C1541" s="2">
        <v>517667</v>
      </c>
      <c r="D1541" s="2">
        <v>2875149</v>
      </c>
      <c r="E1541" s="2">
        <v>37.93</v>
      </c>
      <c r="F1541" s="2">
        <v>212991</v>
      </c>
    </row>
    <row r="1542" spans="1:6">
      <c r="A1542" s="3" t="s">
        <v>4321</v>
      </c>
      <c r="B1542" s="2">
        <v>21</v>
      </c>
      <c r="C1542" s="2">
        <v>551580</v>
      </c>
      <c r="D1542" s="2">
        <v>2876083</v>
      </c>
      <c r="E1542" s="2">
        <v>37.93</v>
      </c>
      <c r="F1542" s="2">
        <v>341225</v>
      </c>
    </row>
    <row r="1543" spans="1:6">
      <c r="A1543" s="3" t="s">
        <v>4322</v>
      </c>
      <c r="B1543" s="2">
        <v>26</v>
      </c>
      <c r="C1543" s="2">
        <v>495160</v>
      </c>
      <c r="D1543" s="2">
        <v>2876318</v>
      </c>
      <c r="E1543" s="2">
        <v>37.93</v>
      </c>
      <c r="F1543" s="2">
        <v>270999</v>
      </c>
    </row>
    <row r="1544" spans="1:6">
      <c r="A1544" s="3" t="s">
        <v>4323</v>
      </c>
      <c r="B1544" s="2">
        <v>31</v>
      </c>
      <c r="C1544" s="2">
        <v>425165</v>
      </c>
      <c r="D1544" s="2">
        <v>2876406</v>
      </c>
      <c r="E1544" s="2">
        <v>37.93</v>
      </c>
      <c r="F1544" s="2">
        <v>168764</v>
      </c>
    </row>
    <row r="1545" spans="1:6">
      <c r="A1545" s="3" t="s">
        <v>4324</v>
      </c>
      <c r="B1545" s="2">
        <v>37</v>
      </c>
      <c r="C1545" s="2">
        <v>382551</v>
      </c>
      <c r="D1545" s="2">
        <v>2876663</v>
      </c>
      <c r="E1545" s="2">
        <v>37.93</v>
      </c>
      <c r="F1545" s="2">
        <v>151564</v>
      </c>
    </row>
    <row r="1546" spans="1:6">
      <c r="A1546" s="3" t="s">
        <v>4325</v>
      </c>
      <c r="B1546" s="2">
        <v>9</v>
      </c>
      <c r="C1546" s="2">
        <v>1350533</v>
      </c>
      <c r="D1546" s="2">
        <v>2876942</v>
      </c>
      <c r="E1546" s="2">
        <v>37.93</v>
      </c>
      <c r="F1546" s="2">
        <v>558342</v>
      </c>
    </row>
    <row r="1547" spans="1:6">
      <c r="A1547" s="3" t="s">
        <v>4326</v>
      </c>
      <c r="B1547" s="2">
        <v>47</v>
      </c>
      <c r="C1547" s="2">
        <v>296071</v>
      </c>
      <c r="D1547" s="2">
        <v>2876948</v>
      </c>
      <c r="E1547" s="2">
        <v>37.93</v>
      </c>
      <c r="F1547" s="2">
        <v>108088</v>
      </c>
    </row>
    <row r="1548" spans="1:6">
      <c r="A1548" s="3" t="s">
        <v>4327</v>
      </c>
      <c r="B1548" s="2">
        <v>17</v>
      </c>
      <c r="C1548" s="2">
        <v>585877</v>
      </c>
      <c r="D1548" s="2">
        <v>2877230</v>
      </c>
      <c r="E1548" s="2">
        <v>37.93</v>
      </c>
      <c r="F1548" s="2">
        <v>437674</v>
      </c>
    </row>
    <row r="1549" spans="1:6">
      <c r="A1549" s="3" t="s">
        <v>4328</v>
      </c>
      <c r="B1549" s="2">
        <v>19</v>
      </c>
      <c r="C1549" s="2">
        <v>789722</v>
      </c>
      <c r="D1549" s="2">
        <v>2877371</v>
      </c>
      <c r="E1549" s="2">
        <v>37.93</v>
      </c>
      <c r="F1549" s="2">
        <v>360627</v>
      </c>
    </row>
    <row r="1550" spans="1:6">
      <c r="A1550" s="3" t="s">
        <v>4329</v>
      </c>
      <c r="B1550" s="2">
        <v>17</v>
      </c>
      <c r="C1550" s="2">
        <v>924491</v>
      </c>
      <c r="D1550" s="2">
        <v>2877410</v>
      </c>
      <c r="E1550" s="2">
        <v>37.93</v>
      </c>
      <c r="F1550" s="2">
        <v>564481</v>
      </c>
    </row>
    <row r="1551" spans="1:6">
      <c r="A1551" s="3" t="s">
        <v>4330</v>
      </c>
      <c r="B1551" s="2">
        <v>18</v>
      </c>
      <c r="C1551" s="2">
        <v>564492</v>
      </c>
      <c r="D1551" s="2">
        <v>2877523</v>
      </c>
      <c r="E1551" s="2">
        <v>37.93</v>
      </c>
      <c r="F1551" s="2">
        <v>392389</v>
      </c>
    </row>
    <row r="1552" spans="1:6">
      <c r="A1552" s="3" t="s">
        <v>4331</v>
      </c>
      <c r="B1552" s="2">
        <v>21</v>
      </c>
      <c r="C1552" s="2">
        <v>563389</v>
      </c>
      <c r="D1552" s="2">
        <v>2877639</v>
      </c>
      <c r="E1552" s="2">
        <v>37.93</v>
      </c>
      <c r="F1552" s="2">
        <v>437798</v>
      </c>
    </row>
    <row r="1553" spans="1:6">
      <c r="A1553" s="3" t="s">
        <v>4332</v>
      </c>
      <c r="B1553" s="2">
        <v>20</v>
      </c>
      <c r="C1553" s="2">
        <v>601049</v>
      </c>
      <c r="D1553" s="2">
        <v>2877712</v>
      </c>
      <c r="E1553" s="2">
        <v>37.93</v>
      </c>
      <c r="F1553" s="2">
        <v>496457</v>
      </c>
    </row>
    <row r="1554" spans="1:6">
      <c r="A1554" s="3" t="s">
        <v>4333</v>
      </c>
      <c r="B1554" s="2">
        <v>11</v>
      </c>
      <c r="C1554" s="2">
        <v>871043</v>
      </c>
      <c r="D1554" s="2">
        <v>2878837</v>
      </c>
      <c r="E1554" s="2">
        <v>37.93</v>
      </c>
      <c r="F1554" s="2">
        <v>585763</v>
      </c>
    </row>
    <row r="1555" spans="1:6">
      <c r="A1555" s="3" t="s">
        <v>4334</v>
      </c>
      <c r="B1555" s="2">
        <v>18</v>
      </c>
      <c r="C1555" s="2">
        <v>982993</v>
      </c>
      <c r="D1555" s="2">
        <v>2878984</v>
      </c>
      <c r="E1555" s="2">
        <v>37.93</v>
      </c>
      <c r="F1555" s="2">
        <v>301201</v>
      </c>
    </row>
    <row r="1556" spans="1:6">
      <c r="A1556" s="3" t="s">
        <v>4335</v>
      </c>
      <c r="B1556" s="2">
        <v>14</v>
      </c>
      <c r="C1556" s="2">
        <v>1462995</v>
      </c>
      <c r="D1556" s="2">
        <v>2880467</v>
      </c>
      <c r="E1556" s="2">
        <v>37.93</v>
      </c>
      <c r="F1556" s="2">
        <v>1462995</v>
      </c>
    </row>
    <row r="1557" spans="1:6">
      <c r="A1557" s="3" t="s">
        <v>4336</v>
      </c>
      <c r="B1557" s="2">
        <v>19</v>
      </c>
      <c r="C1557" s="2">
        <v>512380</v>
      </c>
      <c r="D1557" s="2">
        <v>2880680</v>
      </c>
      <c r="E1557" s="2">
        <v>37.93</v>
      </c>
      <c r="F1557" s="2">
        <v>357403</v>
      </c>
    </row>
    <row r="1558" spans="1:6">
      <c r="A1558" s="3" t="s">
        <v>4337</v>
      </c>
      <c r="B1558" s="2">
        <v>16</v>
      </c>
      <c r="C1558" s="2">
        <v>1054596</v>
      </c>
      <c r="D1558" s="2">
        <v>2880828</v>
      </c>
      <c r="E1558" s="2">
        <v>37.93</v>
      </c>
      <c r="F1558" s="2">
        <v>565142</v>
      </c>
    </row>
    <row r="1559" spans="1:6">
      <c r="A1559" s="3" t="s">
        <v>4338</v>
      </c>
      <c r="B1559" s="2">
        <v>12</v>
      </c>
      <c r="C1559" s="2">
        <v>638978</v>
      </c>
      <c r="D1559" s="2">
        <v>2885017</v>
      </c>
      <c r="E1559" s="2">
        <v>37.93</v>
      </c>
      <c r="F1559" s="2">
        <v>478643</v>
      </c>
    </row>
    <row r="1560" spans="1:6">
      <c r="A1560" s="3" t="s">
        <v>4339</v>
      </c>
      <c r="B1560" s="2">
        <v>27</v>
      </c>
      <c r="C1560" s="2">
        <v>931564</v>
      </c>
      <c r="D1560" s="2">
        <v>2888159</v>
      </c>
      <c r="E1560" s="2">
        <v>37.93</v>
      </c>
      <c r="F1560" s="2">
        <v>252396</v>
      </c>
    </row>
    <row r="1561" spans="1:6">
      <c r="A1561" s="3" t="s">
        <v>4340</v>
      </c>
      <c r="B1561" s="2">
        <v>22</v>
      </c>
      <c r="C1561" s="2">
        <v>1040037</v>
      </c>
      <c r="D1561" s="2">
        <v>2888351</v>
      </c>
      <c r="E1561" s="2">
        <v>37.93</v>
      </c>
      <c r="F1561" s="2">
        <v>237457</v>
      </c>
    </row>
    <row r="1562" spans="1:6">
      <c r="A1562" s="3" t="s">
        <v>4341</v>
      </c>
      <c r="B1562" s="2">
        <v>25</v>
      </c>
      <c r="C1562" s="2">
        <v>521827</v>
      </c>
      <c r="D1562" s="2">
        <v>2892977</v>
      </c>
      <c r="E1562" s="2">
        <v>37.93</v>
      </c>
      <c r="F1562" s="2">
        <v>223441</v>
      </c>
    </row>
    <row r="1563" spans="1:6">
      <c r="A1563" s="3" t="s">
        <v>4342</v>
      </c>
      <c r="B1563" s="2">
        <v>58</v>
      </c>
      <c r="C1563" s="2">
        <v>220925</v>
      </c>
      <c r="D1563" s="2">
        <v>2893714</v>
      </c>
      <c r="E1563" s="2">
        <v>37.93</v>
      </c>
      <c r="F1563" s="2">
        <v>113519</v>
      </c>
    </row>
    <row r="1564" spans="1:6">
      <c r="A1564" s="3" t="s">
        <v>4343</v>
      </c>
      <c r="B1564" s="2">
        <v>18</v>
      </c>
      <c r="C1564" s="2">
        <v>630600</v>
      </c>
      <c r="D1564" s="2">
        <v>2894819</v>
      </c>
      <c r="E1564" s="2">
        <v>37.93</v>
      </c>
      <c r="F1564" s="2">
        <v>453644</v>
      </c>
    </row>
    <row r="1565" spans="1:6">
      <c r="A1565" s="3" t="s">
        <v>4344</v>
      </c>
      <c r="B1565" s="2">
        <v>27</v>
      </c>
      <c r="C1565" s="2">
        <v>332407</v>
      </c>
      <c r="D1565" s="2">
        <v>2903993</v>
      </c>
      <c r="E1565" s="2">
        <v>37.93</v>
      </c>
      <c r="F1565" s="2">
        <v>212670</v>
      </c>
    </row>
    <row r="1566" spans="1:6">
      <c r="A1566" s="3" t="s">
        <v>4345</v>
      </c>
      <c r="B1566" s="2">
        <v>71</v>
      </c>
      <c r="C1566" s="2">
        <v>172509</v>
      </c>
      <c r="D1566" s="2">
        <v>2911531</v>
      </c>
      <c r="E1566" s="2">
        <v>37.93</v>
      </c>
      <c r="F1566" s="2">
        <v>81299</v>
      </c>
    </row>
    <row r="1567" spans="1:6">
      <c r="A1567" s="3" t="s">
        <v>4346</v>
      </c>
      <c r="B1567" s="2">
        <v>13</v>
      </c>
      <c r="C1567" s="2">
        <v>1485082</v>
      </c>
      <c r="D1567" s="2">
        <v>2924005</v>
      </c>
      <c r="E1567" s="2">
        <v>37.93</v>
      </c>
      <c r="F1567" s="2">
        <v>1485082</v>
      </c>
    </row>
    <row r="1568" spans="1:6">
      <c r="A1568" s="3" t="s">
        <v>4347</v>
      </c>
      <c r="B1568" s="2">
        <v>29</v>
      </c>
      <c r="C1568" s="2">
        <v>359476</v>
      </c>
      <c r="D1568" s="2">
        <v>2939335</v>
      </c>
      <c r="E1568" s="2">
        <v>37.93</v>
      </c>
      <c r="F1568" s="2">
        <v>211510</v>
      </c>
    </row>
    <row r="1569" spans="1:6">
      <c r="A1569" s="3" t="s">
        <v>4348</v>
      </c>
      <c r="B1569" s="2">
        <v>15</v>
      </c>
      <c r="C1569" s="2">
        <v>1224585</v>
      </c>
      <c r="D1569" s="2">
        <v>2996957</v>
      </c>
      <c r="E1569" s="2">
        <v>37.93</v>
      </c>
      <c r="F1569" s="2">
        <v>517950</v>
      </c>
    </row>
    <row r="1570" spans="1:6">
      <c r="A1570" s="3" t="s">
        <v>4349</v>
      </c>
      <c r="B1570" s="2">
        <v>14</v>
      </c>
      <c r="C1570" s="2">
        <v>1360605</v>
      </c>
      <c r="D1570" s="2">
        <v>2998906</v>
      </c>
      <c r="E1570" s="2">
        <v>37.93</v>
      </c>
      <c r="F1570" s="2">
        <v>518490</v>
      </c>
    </row>
    <row r="1571" spans="1:6">
      <c r="A1571" s="3" t="s">
        <v>4350</v>
      </c>
      <c r="B1571" s="2">
        <v>14</v>
      </c>
      <c r="C1571" s="2">
        <v>710404</v>
      </c>
      <c r="D1571" s="2">
        <v>2999037</v>
      </c>
      <c r="E1571" s="2">
        <v>37.93</v>
      </c>
      <c r="F1571" s="2">
        <v>513792</v>
      </c>
    </row>
    <row r="1572" spans="1:6">
      <c r="A1572" s="3" t="s">
        <v>4351</v>
      </c>
      <c r="B1572" s="2">
        <v>15</v>
      </c>
      <c r="C1572" s="2">
        <v>587525</v>
      </c>
      <c r="D1572" s="2">
        <v>3004132</v>
      </c>
      <c r="E1572" s="2">
        <v>37.93</v>
      </c>
      <c r="F1572" s="2">
        <v>475249</v>
      </c>
    </row>
    <row r="1573" spans="1:6">
      <c r="A1573" s="3" t="s">
        <v>4352</v>
      </c>
      <c r="B1573" s="2">
        <v>15</v>
      </c>
      <c r="C1573" s="2">
        <v>744736</v>
      </c>
      <c r="D1573" s="2">
        <v>3016280</v>
      </c>
      <c r="E1573" s="2">
        <v>37.93</v>
      </c>
      <c r="F1573" s="2">
        <v>513912</v>
      </c>
    </row>
    <row r="1574" spans="1:6">
      <c r="A1574" s="3" t="s">
        <v>4353</v>
      </c>
      <c r="B1574" s="2">
        <v>175</v>
      </c>
      <c r="C1574" s="2">
        <v>174696</v>
      </c>
      <c r="D1574" s="2">
        <v>3033142</v>
      </c>
      <c r="E1574" s="2">
        <v>37.93</v>
      </c>
      <c r="F1574" s="2">
        <v>34359</v>
      </c>
    </row>
    <row r="1575" spans="1:6">
      <c r="A1575" s="3" t="s">
        <v>4354</v>
      </c>
      <c r="B1575" s="2">
        <v>48</v>
      </c>
      <c r="C1575" s="2">
        <v>352415</v>
      </c>
      <c r="D1575" s="2">
        <v>3034376</v>
      </c>
      <c r="E1575" s="2">
        <v>37.93</v>
      </c>
      <c r="F1575" s="2">
        <v>124392</v>
      </c>
    </row>
    <row r="1576" spans="1:6">
      <c r="A1576" s="3" t="s">
        <v>4355</v>
      </c>
      <c r="B1576" s="2">
        <v>166</v>
      </c>
      <c r="C1576" s="2">
        <v>175535</v>
      </c>
      <c r="D1576" s="2">
        <v>3089269</v>
      </c>
      <c r="E1576" s="2">
        <v>37.93</v>
      </c>
      <c r="F1576" s="2">
        <v>32664</v>
      </c>
    </row>
    <row r="1577" spans="1:6">
      <c r="A1577" s="3" t="s">
        <v>4356</v>
      </c>
      <c r="B1577" s="2">
        <v>65</v>
      </c>
      <c r="C1577" s="2">
        <v>328698</v>
      </c>
      <c r="D1577" s="2">
        <v>2834880</v>
      </c>
      <c r="E1577" s="2">
        <v>37.94</v>
      </c>
      <c r="F1577" s="2">
        <v>72805</v>
      </c>
    </row>
    <row r="1578" spans="1:6">
      <c r="A1578" s="3" t="s">
        <v>4357</v>
      </c>
      <c r="B1578" s="2">
        <v>15</v>
      </c>
      <c r="C1578" s="2">
        <v>1459100</v>
      </c>
      <c r="D1578" s="2">
        <v>2838526</v>
      </c>
      <c r="E1578" s="2">
        <v>37.94</v>
      </c>
      <c r="F1578" s="2">
        <v>1459100</v>
      </c>
    </row>
    <row r="1579" spans="1:6">
      <c r="A1579" s="3" t="s">
        <v>4358</v>
      </c>
      <c r="B1579" s="2">
        <v>14</v>
      </c>
      <c r="C1579" s="2">
        <v>1459094</v>
      </c>
      <c r="D1579" s="2">
        <v>2839175</v>
      </c>
      <c r="E1579" s="2">
        <v>37.94</v>
      </c>
      <c r="F1579" s="2">
        <v>1459094</v>
      </c>
    </row>
    <row r="1580" spans="1:6">
      <c r="A1580" s="3" t="s">
        <v>4359</v>
      </c>
      <c r="B1580" s="2">
        <v>12</v>
      </c>
      <c r="C1580" s="2">
        <v>1225016</v>
      </c>
      <c r="D1580" s="2">
        <v>2839616</v>
      </c>
      <c r="E1580" s="2">
        <v>37.94</v>
      </c>
      <c r="F1580" s="2">
        <v>435295</v>
      </c>
    </row>
    <row r="1581" spans="1:6">
      <c r="A1581" s="3" t="s">
        <v>4360</v>
      </c>
      <c r="B1581" s="2">
        <v>13</v>
      </c>
      <c r="C1581" s="2">
        <v>1462744</v>
      </c>
      <c r="D1581" s="2">
        <v>2839900</v>
      </c>
      <c r="E1581" s="2">
        <v>37.94</v>
      </c>
      <c r="F1581" s="2">
        <v>1462744</v>
      </c>
    </row>
    <row r="1582" spans="1:6">
      <c r="A1582" s="3" t="s">
        <v>4361</v>
      </c>
      <c r="B1582" s="2">
        <v>37</v>
      </c>
      <c r="C1582" s="2">
        <v>435048</v>
      </c>
      <c r="D1582" s="2">
        <v>2850218</v>
      </c>
      <c r="E1582" s="2">
        <v>37.94</v>
      </c>
      <c r="F1582" s="2">
        <v>301169</v>
      </c>
    </row>
    <row r="1583" spans="1:6">
      <c r="A1583" s="3" t="s">
        <v>4362</v>
      </c>
      <c r="B1583" s="2">
        <v>9</v>
      </c>
      <c r="C1583" s="2">
        <v>1475350</v>
      </c>
      <c r="D1583" s="2">
        <v>2858829</v>
      </c>
      <c r="E1583" s="2">
        <v>37.94</v>
      </c>
      <c r="F1583" s="2">
        <v>1475350</v>
      </c>
    </row>
    <row r="1584" spans="1:6">
      <c r="A1584" s="3" t="s">
        <v>4363</v>
      </c>
      <c r="B1584" s="2">
        <v>13</v>
      </c>
      <c r="C1584" s="2">
        <v>610444</v>
      </c>
      <c r="D1584" s="2">
        <v>2859180</v>
      </c>
      <c r="E1584" s="2">
        <v>37.94</v>
      </c>
      <c r="F1584" s="2">
        <v>544016</v>
      </c>
    </row>
    <row r="1585" spans="1:6">
      <c r="A1585" s="3" t="s">
        <v>4364</v>
      </c>
      <c r="B1585" s="2">
        <v>12</v>
      </c>
      <c r="C1585" s="2">
        <v>1254282</v>
      </c>
      <c r="D1585" s="2">
        <v>2869985</v>
      </c>
      <c r="E1585" s="2">
        <v>37.94</v>
      </c>
      <c r="F1585" s="2">
        <v>543259</v>
      </c>
    </row>
    <row r="1586" spans="1:6">
      <c r="A1586" s="3" t="s">
        <v>4365</v>
      </c>
      <c r="B1586" s="2">
        <v>108</v>
      </c>
      <c r="C1586" s="2">
        <v>153439</v>
      </c>
      <c r="D1586" s="2">
        <v>2870994</v>
      </c>
      <c r="E1586" s="2">
        <v>37.94</v>
      </c>
      <c r="F1586" s="2">
        <v>52194</v>
      </c>
    </row>
    <row r="1587" spans="1:6">
      <c r="A1587" s="3" t="s">
        <v>4366</v>
      </c>
      <c r="B1587" s="2">
        <v>19</v>
      </c>
      <c r="C1587" s="2">
        <v>610688</v>
      </c>
      <c r="D1587" s="2">
        <v>2871910</v>
      </c>
      <c r="E1587" s="2">
        <v>37.94</v>
      </c>
      <c r="F1587" s="2">
        <v>478938</v>
      </c>
    </row>
    <row r="1588" spans="1:6">
      <c r="A1588" s="3" t="s">
        <v>4367</v>
      </c>
      <c r="B1588" s="2">
        <v>33</v>
      </c>
      <c r="C1588" s="2">
        <v>448617</v>
      </c>
      <c r="D1588" s="2">
        <v>2881726</v>
      </c>
      <c r="E1588" s="2">
        <v>37.94</v>
      </c>
      <c r="F1588" s="2">
        <v>258870</v>
      </c>
    </row>
    <row r="1589" spans="1:6">
      <c r="A1589" s="3" t="s">
        <v>4368</v>
      </c>
      <c r="B1589" s="2">
        <v>18</v>
      </c>
      <c r="C1589" s="2">
        <v>1456833</v>
      </c>
      <c r="D1589" s="2">
        <v>2883470</v>
      </c>
      <c r="E1589" s="2">
        <v>37.94</v>
      </c>
      <c r="F1589" s="2">
        <v>1456833</v>
      </c>
    </row>
    <row r="1590" spans="1:6">
      <c r="A1590" s="3" t="s">
        <v>4369</v>
      </c>
      <c r="B1590" s="2">
        <v>21</v>
      </c>
      <c r="C1590" s="2">
        <v>690354</v>
      </c>
      <c r="D1590" s="2">
        <v>2883967</v>
      </c>
      <c r="E1590" s="2">
        <v>37.94</v>
      </c>
      <c r="F1590" s="2">
        <v>301870</v>
      </c>
    </row>
    <row r="1591" spans="1:6">
      <c r="A1591" s="3" t="s">
        <v>4370</v>
      </c>
      <c r="B1591" s="2">
        <v>27</v>
      </c>
      <c r="C1591" s="2">
        <v>501969</v>
      </c>
      <c r="D1591" s="2">
        <v>2884158</v>
      </c>
      <c r="E1591" s="2">
        <v>37.94</v>
      </c>
      <c r="F1591" s="2">
        <v>244434</v>
      </c>
    </row>
    <row r="1592" spans="1:6">
      <c r="A1592" s="3" t="s">
        <v>4371</v>
      </c>
      <c r="B1592" s="2">
        <v>21</v>
      </c>
      <c r="C1592" s="2">
        <v>762592</v>
      </c>
      <c r="D1592" s="2">
        <v>2884492</v>
      </c>
      <c r="E1592" s="2">
        <v>37.94</v>
      </c>
      <c r="F1592" s="2">
        <v>238545</v>
      </c>
    </row>
    <row r="1593" spans="1:6">
      <c r="A1593" s="3" t="s">
        <v>4372</v>
      </c>
      <c r="B1593" s="2">
        <v>16</v>
      </c>
      <c r="C1593" s="2">
        <v>638992</v>
      </c>
      <c r="D1593" s="2">
        <v>2884577</v>
      </c>
      <c r="E1593" s="2">
        <v>37.94</v>
      </c>
      <c r="F1593" s="2">
        <v>358761</v>
      </c>
    </row>
    <row r="1594" spans="1:6">
      <c r="A1594" s="3" t="s">
        <v>4373</v>
      </c>
      <c r="B1594" s="2">
        <v>19</v>
      </c>
      <c r="C1594" s="2">
        <v>1168117</v>
      </c>
      <c r="D1594" s="2">
        <v>2885145</v>
      </c>
      <c r="E1594" s="2">
        <v>37.94</v>
      </c>
      <c r="F1594" s="2">
        <v>501968</v>
      </c>
    </row>
    <row r="1595" spans="1:6">
      <c r="A1595" s="3" t="s">
        <v>4374</v>
      </c>
      <c r="B1595" s="2">
        <v>19</v>
      </c>
      <c r="C1595" s="2">
        <v>592797</v>
      </c>
      <c r="D1595" s="2">
        <v>2886163</v>
      </c>
      <c r="E1595" s="2">
        <v>37.94</v>
      </c>
      <c r="F1595" s="2">
        <v>501969</v>
      </c>
    </row>
    <row r="1596" spans="1:6">
      <c r="A1596" s="3" t="s">
        <v>4375</v>
      </c>
      <c r="B1596" s="2">
        <v>17</v>
      </c>
      <c r="C1596" s="2">
        <v>638851</v>
      </c>
      <c r="D1596" s="2">
        <v>2887491</v>
      </c>
      <c r="E1596" s="2">
        <v>37.94</v>
      </c>
      <c r="F1596" s="2">
        <v>358179</v>
      </c>
    </row>
    <row r="1597" spans="1:6">
      <c r="A1597" s="3" t="s">
        <v>4376</v>
      </c>
      <c r="B1597" s="2">
        <v>28</v>
      </c>
      <c r="C1597" s="2">
        <v>438688</v>
      </c>
      <c r="D1597" s="2">
        <v>2888722</v>
      </c>
      <c r="E1597" s="2">
        <v>37.94</v>
      </c>
      <c r="F1597" s="2">
        <v>217752</v>
      </c>
    </row>
    <row r="1598" spans="1:6">
      <c r="A1598" s="3" t="s">
        <v>4377</v>
      </c>
      <c r="B1598" s="2">
        <v>21</v>
      </c>
      <c r="C1598" s="2">
        <v>506706</v>
      </c>
      <c r="D1598" s="2">
        <v>2909700</v>
      </c>
      <c r="E1598" s="2">
        <v>37.94</v>
      </c>
      <c r="F1598" s="2">
        <v>190915</v>
      </c>
    </row>
    <row r="1599" spans="1:6">
      <c r="A1599" s="3" t="s">
        <v>4378</v>
      </c>
      <c r="B1599" s="2">
        <v>13</v>
      </c>
      <c r="C1599" s="2">
        <v>658932</v>
      </c>
      <c r="D1599" s="2">
        <v>2935266</v>
      </c>
      <c r="E1599" s="2">
        <v>37.94</v>
      </c>
      <c r="F1599" s="2">
        <v>579235</v>
      </c>
    </row>
    <row r="1600" spans="1:6">
      <c r="A1600" s="3" t="s">
        <v>4379</v>
      </c>
      <c r="B1600" s="2">
        <v>21</v>
      </c>
      <c r="C1600" s="2">
        <v>629759</v>
      </c>
      <c r="D1600" s="2">
        <v>2951394</v>
      </c>
      <c r="E1600" s="2">
        <v>37.94</v>
      </c>
      <c r="F1600" s="2">
        <v>469666</v>
      </c>
    </row>
    <row r="1601" spans="1:6">
      <c r="A1601" s="3" t="s">
        <v>4380</v>
      </c>
      <c r="B1601" s="2">
        <v>7</v>
      </c>
      <c r="C1601" s="2">
        <v>1471365</v>
      </c>
      <c r="D1601" s="2">
        <v>2953939</v>
      </c>
      <c r="E1601" s="2">
        <v>37.94</v>
      </c>
      <c r="F1601" s="2">
        <v>595512</v>
      </c>
    </row>
    <row r="1602" spans="1:6">
      <c r="A1602" s="3" t="s">
        <v>4381</v>
      </c>
      <c r="B1602" s="2">
        <v>15</v>
      </c>
      <c r="C1602" s="2">
        <v>866239</v>
      </c>
      <c r="D1602" s="2">
        <v>2958271</v>
      </c>
      <c r="E1602" s="2">
        <v>37.94</v>
      </c>
      <c r="F1602" s="2">
        <v>487617</v>
      </c>
    </row>
    <row r="1603" spans="1:6">
      <c r="A1603" s="3" t="s">
        <v>4382</v>
      </c>
      <c r="B1603" s="2">
        <v>14</v>
      </c>
      <c r="C1603" s="2">
        <v>1481237</v>
      </c>
      <c r="D1603" s="2">
        <v>2964115</v>
      </c>
      <c r="E1603" s="2">
        <v>37.94</v>
      </c>
      <c r="F1603" s="2">
        <v>539121</v>
      </c>
    </row>
    <row r="1604" spans="1:6">
      <c r="A1604" s="3" t="s">
        <v>4383</v>
      </c>
      <c r="B1604" s="2">
        <v>14</v>
      </c>
      <c r="C1604" s="2">
        <v>1224542</v>
      </c>
      <c r="D1604" s="2">
        <v>2969778</v>
      </c>
      <c r="E1604" s="2">
        <v>37.94</v>
      </c>
      <c r="F1604" s="2">
        <v>509983</v>
      </c>
    </row>
    <row r="1605" spans="1:6">
      <c r="A1605" s="3" t="s">
        <v>4384</v>
      </c>
      <c r="B1605" s="2">
        <v>26</v>
      </c>
      <c r="C1605" s="2">
        <v>605971</v>
      </c>
      <c r="D1605" s="2">
        <v>3007913</v>
      </c>
      <c r="E1605" s="2">
        <v>37.94</v>
      </c>
      <c r="F1605" s="2">
        <v>430194</v>
      </c>
    </row>
    <row r="1606" spans="1:6">
      <c r="A1606" s="3" t="s">
        <v>4385</v>
      </c>
      <c r="B1606" s="2">
        <v>10</v>
      </c>
      <c r="C1606" s="2">
        <v>1006435</v>
      </c>
      <c r="D1606" s="2">
        <v>2855980</v>
      </c>
      <c r="E1606" s="2">
        <v>37.950000000000003</v>
      </c>
      <c r="F1606" s="2">
        <v>543750</v>
      </c>
    </row>
    <row r="1607" spans="1:6">
      <c r="A1607" s="3" t="s">
        <v>4386</v>
      </c>
      <c r="B1607" s="2">
        <v>149</v>
      </c>
      <c r="C1607" s="2">
        <v>122493</v>
      </c>
      <c r="D1607" s="2">
        <v>2867927</v>
      </c>
      <c r="E1607" s="2">
        <v>37.950000000000003</v>
      </c>
      <c r="F1607" s="2">
        <v>31831</v>
      </c>
    </row>
    <row r="1608" spans="1:6">
      <c r="A1608" s="3" t="s">
        <v>4387</v>
      </c>
      <c r="B1608" s="2">
        <v>10</v>
      </c>
      <c r="C1608" s="2">
        <v>1489856</v>
      </c>
      <c r="D1608" s="2">
        <v>2871325</v>
      </c>
      <c r="E1608" s="2">
        <v>37.950000000000003</v>
      </c>
      <c r="F1608" s="2">
        <v>1489856</v>
      </c>
    </row>
    <row r="1609" spans="1:6">
      <c r="A1609" s="3" t="s">
        <v>4388</v>
      </c>
      <c r="B1609" s="2">
        <v>213</v>
      </c>
      <c r="C1609" s="2">
        <v>64304</v>
      </c>
      <c r="D1609" s="2">
        <v>2873110</v>
      </c>
      <c r="E1609" s="2">
        <v>37.950000000000003</v>
      </c>
      <c r="F1609" s="2">
        <v>23088</v>
      </c>
    </row>
    <row r="1610" spans="1:6">
      <c r="A1610" s="3" t="s">
        <v>4389</v>
      </c>
      <c r="B1610" s="2">
        <v>43</v>
      </c>
      <c r="C1610" s="2">
        <v>239852</v>
      </c>
      <c r="D1610" s="2">
        <v>2873515</v>
      </c>
      <c r="E1610" s="2">
        <v>37.950000000000003</v>
      </c>
      <c r="F1610" s="2">
        <v>128102</v>
      </c>
    </row>
    <row r="1611" spans="1:6">
      <c r="A1611" s="3" t="s">
        <v>4390</v>
      </c>
      <c r="B1611" s="2">
        <v>48</v>
      </c>
      <c r="C1611" s="2">
        <v>476905</v>
      </c>
      <c r="D1611" s="2">
        <v>2882240</v>
      </c>
      <c r="E1611" s="2">
        <v>37.950000000000003</v>
      </c>
      <c r="F1611" s="2">
        <v>122983</v>
      </c>
    </row>
    <row r="1612" spans="1:6">
      <c r="A1612" s="3" t="s">
        <v>4391</v>
      </c>
      <c r="B1612" s="2">
        <v>27</v>
      </c>
      <c r="C1612" s="2">
        <v>285796</v>
      </c>
      <c r="D1612" s="2">
        <v>2884558</v>
      </c>
      <c r="E1612" s="2">
        <v>37.950000000000003</v>
      </c>
      <c r="F1612" s="2">
        <v>233912</v>
      </c>
    </row>
    <row r="1613" spans="1:6">
      <c r="A1613" s="3" t="s">
        <v>4392</v>
      </c>
      <c r="B1613" s="2">
        <v>20</v>
      </c>
      <c r="C1613" s="2">
        <v>515598</v>
      </c>
      <c r="D1613" s="2">
        <v>2884715</v>
      </c>
      <c r="E1613" s="2">
        <v>37.950000000000003</v>
      </c>
      <c r="F1613" s="2">
        <v>375755</v>
      </c>
    </row>
    <row r="1614" spans="1:6">
      <c r="A1614" s="3" t="s">
        <v>4393</v>
      </c>
      <c r="B1614" s="2">
        <v>17</v>
      </c>
      <c r="C1614" s="2">
        <v>743659</v>
      </c>
      <c r="D1614" s="2">
        <v>2885881</v>
      </c>
      <c r="E1614" s="2">
        <v>37.950000000000003</v>
      </c>
      <c r="F1614" s="2">
        <v>478587</v>
      </c>
    </row>
    <row r="1615" spans="1:6">
      <c r="A1615" s="3" t="s">
        <v>4394</v>
      </c>
      <c r="B1615" s="2">
        <v>27</v>
      </c>
      <c r="C1615" s="2">
        <v>501969</v>
      </c>
      <c r="D1615" s="2">
        <v>2886185</v>
      </c>
      <c r="E1615" s="2">
        <v>37.950000000000003</v>
      </c>
      <c r="F1615" s="2">
        <v>233190</v>
      </c>
    </row>
    <row r="1616" spans="1:6">
      <c r="A1616" s="3" t="s">
        <v>4395</v>
      </c>
      <c r="B1616" s="2">
        <v>14</v>
      </c>
      <c r="C1616" s="2">
        <v>1005878</v>
      </c>
      <c r="D1616" s="2">
        <v>2887532</v>
      </c>
      <c r="E1616" s="2">
        <v>37.950000000000003</v>
      </c>
      <c r="F1616" s="2">
        <v>568285</v>
      </c>
    </row>
    <row r="1617" spans="1:6">
      <c r="A1617" s="3" t="s">
        <v>4396</v>
      </c>
      <c r="B1617" s="2">
        <v>154</v>
      </c>
      <c r="C1617" s="2">
        <v>105292</v>
      </c>
      <c r="D1617" s="2">
        <v>2916900</v>
      </c>
      <c r="E1617" s="2">
        <v>37.950000000000003</v>
      </c>
      <c r="F1617" s="2">
        <v>32937</v>
      </c>
    </row>
    <row r="1618" spans="1:6">
      <c r="A1618" s="3" t="s">
        <v>4397</v>
      </c>
      <c r="B1618" s="2">
        <v>32</v>
      </c>
      <c r="C1618" s="2">
        <v>956131</v>
      </c>
      <c r="D1618" s="2">
        <v>2928623</v>
      </c>
      <c r="E1618" s="2">
        <v>37.950000000000003</v>
      </c>
      <c r="F1618" s="2">
        <v>596773</v>
      </c>
    </row>
    <row r="1619" spans="1:6">
      <c r="A1619" s="3" t="s">
        <v>4398</v>
      </c>
      <c r="B1619" s="2">
        <v>86</v>
      </c>
      <c r="C1619" s="2">
        <v>638003</v>
      </c>
      <c r="D1619" s="2">
        <v>2931865</v>
      </c>
      <c r="E1619" s="2">
        <v>37.950000000000003</v>
      </c>
      <c r="F1619" s="2">
        <v>501969</v>
      </c>
    </row>
    <row r="1620" spans="1:6">
      <c r="A1620" s="3" t="s">
        <v>4399</v>
      </c>
      <c r="B1620" s="2">
        <v>9</v>
      </c>
      <c r="C1620" s="2">
        <v>1213483</v>
      </c>
      <c r="D1620" s="2">
        <v>2954192</v>
      </c>
      <c r="E1620" s="2">
        <v>37.950000000000003</v>
      </c>
      <c r="F1620" s="2">
        <v>558337</v>
      </c>
    </row>
    <row r="1621" spans="1:6">
      <c r="A1621" s="3" t="s">
        <v>4400</v>
      </c>
      <c r="B1621" s="2">
        <v>28</v>
      </c>
      <c r="C1621" s="2">
        <v>366501</v>
      </c>
      <c r="D1621" s="2">
        <v>2958248</v>
      </c>
      <c r="E1621" s="2">
        <v>37.950000000000003</v>
      </c>
      <c r="F1621" s="2">
        <v>208101</v>
      </c>
    </row>
    <row r="1622" spans="1:6">
      <c r="A1622" s="3" t="s">
        <v>4401</v>
      </c>
      <c r="B1622" s="2">
        <v>20</v>
      </c>
      <c r="C1622" s="2">
        <v>539766</v>
      </c>
      <c r="D1622" s="2">
        <v>2968310</v>
      </c>
      <c r="E1622" s="2">
        <v>37.950000000000003</v>
      </c>
      <c r="F1622" s="2">
        <v>241847</v>
      </c>
    </row>
    <row r="1623" spans="1:6">
      <c r="A1623" s="3" t="s">
        <v>4402</v>
      </c>
      <c r="B1623" s="2">
        <v>14</v>
      </c>
      <c r="C1623" s="2">
        <v>1231298</v>
      </c>
      <c r="D1623" s="2">
        <v>2971495</v>
      </c>
      <c r="E1623" s="2">
        <v>37.950000000000003</v>
      </c>
      <c r="F1623" s="2">
        <v>516708</v>
      </c>
    </row>
    <row r="1624" spans="1:6">
      <c r="A1624" s="3" t="s">
        <v>4403</v>
      </c>
      <c r="B1624" s="2">
        <v>24</v>
      </c>
      <c r="C1624" s="2">
        <v>889042</v>
      </c>
      <c r="D1624" s="2">
        <v>2987367</v>
      </c>
      <c r="E1624" s="2">
        <v>37.950000000000003</v>
      </c>
      <c r="F1624" s="2">
        <v>327767</v>
      </c>
    </row>
    <row r="1625" spans="1:6">
      <c r="A1625" s="3" t="s">
        <v>4404</v>
      </c>
      <c r="B1625" s="2">
        <v>19</v>
      </c>
      <c r="C1625" s="2">
        <v>930746</v>
      </c>
      <c r="D1625" s="2">
        <v>2988704</v>
      </c>
      <c r="E1625" s="2">
        <v>37.950000000000003</v>
      </c>
      <c r="F1625" s="2">
        <v>462306</v>
      </c>
    </row>
    <row r="1626" spans="1:6">
      <c r="A1626" s="3" t="s">
        <v>4405</v>
      </c>
      <c r="B1626" s="2">
        <v>27</v>
      </c>
      <c r="C1626" s="2">
        <v>462656</v>
      </c>
      <c r="D1626" s="2">
        <v>2988799</v>
      </c>
      <c r="E1626" s="2">
        <v>37.950000000000003</v>
      </c>
      <c r="F1626" s="2">
        <v>194027</v>
      </c>
    </row>
    <row r="1627" spans="1:6">
      <c r="A1627" s="3" t="s">
        <v>4406</v>
      </c>
      <c r="B1627" s="2">
        <v>16</v>
      </c>
      <c r="C1627" s="2">
        <v>1217482</v>
      </c>
      <c r="D1627" s="2">
        <v>2989220</v>
      </c>
      <c r="E1627" s="2">
        <v>37.950000000000003</v>
      </c>
      <c r="F1627" s="2">
        <v>524723</v>
      </c>
    </row>
    <row r="1628" spans="1:6">
      <c r="A1628" s="3" t="s">
        <v>4407</v>
      </c>
      <c r="B1628" s="2">
        <v>17</v>
      </c>
      <c r="C1628" s="2">
        <v>630885</v>
      </c>
      <c r="D1628" s="2">
        <v>2989543</v>
      </c>
      <c r="E1628" s="2">
        <v>37.950000000000003</v>
      </c>
      <c r="F1628" s="2">
        <v>524714</v>
      </c>
    </row>
    <row r="1629" spans="1:6">
      <c r="A1629" s="3" t="s">
        <v>4408</v>
      </c>
      <c r="B1629" s="2">
        <v>24</v>
      </c>
      <c r="C1629" s="2">
        <v>541654</v>
      </c>
      <c r="D1629" s="2">
        <v>2989644</v>
      </c>
      <c r="E1629" s="2">
        <v>37.950000000000003</v>
      </c>
      <c r="F1629" s="2">
        <v>344165</v>
      </c>
    </row>
    <row r="1630" spans="1:6">
      <c r="A1630" s="3" t="s">
        <v>4409</v>
      </c>
      <c r="B1630" s="2">
        <v>19</v>
      </c>
      <c r="C1630" s="2">
        <v>1221999</v>
      </c>
      <c r="D1630" s="2">
        <v>2993546</v>
      </c>
      <c r="E1630" s="2">
        <v>37.950000000000003</v>
      </c>
      <c r="F1630" s="2">
        <v>524497</v>
      </c>
    </row>
    <row r="1631" spans="1:6">
      <c r="A1631" s="3" t="s">
        <v>4410</v>
      </c>
      <c r="B1631" s="2">
        <v>41</v>
      </c>
      <c r="C1631" s="2">
        <v>438321</v>
      </c>
      <c r="D1631" s="2">
        <v>2994332</v>
      </c>
      <c r="E1631" s="2">
        <v>37.950000000000003</v>
      </c>
      <c r="F1631" s="2">
        <v>175430</v>
      </c>
    </row>
    <row r="1632" spans="1:6">
      <c r="A1632" s="3" t="s">
        <v>4411</v>
      </c>
      <c r="B1632" s="2">
        <v>43</v>
      </c>
      <c r="C1632" s="2">
        <v>339871</v>
      </c>
      <c r="D1632" s="2">
        <v>2995446</v>
      </c>
      <c r="E1632" s="2">
        <v>37.950000000000003</v>
      </c>
      <c r="F1632" s="2">
        <v>144659</v>
      </c>
    </row>
    <row r="1633" spans="1:6">
      <c r="A1633" s="3" t="s">
        <v>4412</v>
      </c>
      <c r="B1633" s="2">
        <v>106</v>
      </c>
      <c r="C1633" s="2">
        <v>1231298</v>
      </c>
      <c r="D1633" s="2">
        <v>3029910</v>
      </c>
      <c r="E1633" s="2">
        <v>37.950000000000003</v>
      </c>
      <c r="F1633" s="2">
        <v>516708</v>
      </c>
    </row>
    <row r="1634" spans="1:6">
      <c r="A1634" s="3" t="s">
        <v>4413</v>
      </c>
      <c r="B1634" s="2">
        <v>49</v>
      </c>
      <c r="C1634" s="2">
        <v>215275</v>
      </c>
      <c r="D1634" s="2">
        <v>2873810</v>
      </c>
      <c r="E1634" s="2">
        <v>37.96</v>
      </c>
      <c r="F1634" s="2">
        <v>122039</v>
      </c>
    </row>
    <row r="1635" spans="1:6">
      <c r="A1635" s="3" t="s">
        <v>4414</v>
      </c>
      <c r="B1635" s="2">
        <v>55</v>
      </c>
      <c r="C1635" s="2">
        <v>303697</v>
      </c>
      <c r="D1635" s="2">
        <v>2881833</v>
      </c>
      <c r="E1635" s="2">
        <v>37.96</v>
      </c>
      <c r="F1635" s="2">
        <v>113982</v>
      </c>
    </row>
    <row r="1636" spans="1:6">
      <c r="A1636" s="3" t="s">
        <v>4415</v>
      </c>
      <c r="B1636" s="2">
        <v>17</v>
      </c>
      <c r="C1636" s="2">
        <v>866340</v>
      </c>
      <c r="D1636" s="2">
        <v>2918366</v>
      </c>
      <c r="E1636" s="2">
        <v>37.96</v>
      </c>
      <c r="F1636" s="2">
        <v>435996</v>
      </c>
    </row>
    <row r="1637" spans="1:6">
      <c r="A1637" s="3" t="s">
        <v>4416</v>
      </c>
      <c r="B1637" s="2">
        <v>23</v>
      </c>
      <c r="C1637" s="2">
        <v>992997</v>
      </c>
      <c r="D1637" s="2">
        <v>2956439</v>
      </c>
      <c r="E1637" s="2">
        <v>37.96</v>
      </c>
      <c r="F1637" s="2">
        <v>376397</v>
      </c>
    </row>
    <row r="1638" spans="1:6">
      <c r="A1638" s="3" t="s">
        <v>4417</v>
      </c>
      <c r="B1638" s="2">
        <v>19</v>
      </c>
      <c r="C1638" s="2">
        <v>1216197</v>
      </c>
      <c r="D1638" s="2">
        <v>2988655</v>
      </c>
      <c r="E1638" s="2">
        <v>37.96</v>
      </c>
      <c r="F1638" s="2">
        <v>524712</v>
      </c>
    </row>
    <row r="1639" spans="1:6">
      <c r="A1639" s="3" t="s">
        <v>4418</v>
      </c>
      <c r="B1639" s="2">
        <v>18</v>
      </c>
      <c r="C1639" s="2">
        <v>1217473</v>
      </c>
      <c r="D1639" s="2">
        <v>2990171</v>
      </c>
      <c r="E1639" s="2">
        <v>37.96</v>
      </c>
      <c r="F1639" s="2">
        <v>524770</v>
      </c>
    </row>
    <row r="1640" spans="1:6">
      <c r="A1640" s="3" t="s">
        <v>4419</v>
      </c>
      <c r="B1640" s="2">
        <v>25</v>
      </c>
      <c r="C1640" s="2">
        <v>449362</v>
      </c>
      <c r="D1640" s="2">
        <v>2990452</v>
      </c>
      <c r="E1640" s="2">
        <v>37.96</v>
      </c>
      <c r="F1640" s="2">
        <v>375825</v>
      </c>
    </row>
    <row r="1641" spans="1:6">
      <c r="A1641" s="3" t="s">
        <v>4420</v>
      </c>
      <c r="B1641" s="2">
        <v>75</v>
      </c>
      <c r="C1641" s="2">
        <v>1296632</v>
      </c>
      <c r="D1641" s="2">
        <v>3111035</v>
      </c>
      <c r="E1641" s="2">
        <v>37.96</v>
      </c>
      <c r="F1641" s="2">
        <v>541238</v>
      </c>
    </row>
    <row r="1642" spans="1:6">
      <c r="A1642" s="3" t="s">
        <v>4421</v>
      </c>
      <c r="B1642" s="2">
        <v>78</v>
      </c>
      <c r="C1642" s="2">
        <v>1344945</v>
      </c>
      <c r="D1642" s="2">
        <v>3246405</v>
      </c>
      <c r="E1642" s="2">
        <v>37.96</v>
      </c>
      <c r="F1642" s="2">
        <v>532770</v>
      </c>
    </row>
    <row r="1643" spans="1:6">
      <c r="A1643" s="3" t="s">
        <v>4422</v>
      </c>
      <c r="B1643" s="2">
        <v>17</v>
      </c>
      <c r="C1643" s="2">
        <v>556582</v>
      </c>
      <c r="D1643" s="2">
        <v>2914206</v>
      </c>
      <c r="E1643" s="2">
        <v>37.97</v>
      </c>
      <c r="F1643" s="2">
        <v>301731</v>
      </c>
    </row>
    <row r="1644" spans="1:6">
      <c r="A1644" s="3" t="s">
        <v>4423</v>
      </c>
      <c r="B1644" s="2">
        <v>18</v>
      </c>
      <c r="C1644" s="2">
        <v>770682</v>
      </c>
      <c r="D1644" s="2">
        <v>2915557</v>
      </c>
      <c r="E1644" s="2">
        <v>37.97</v>
      </c>
      <c r="F1644" s="2">
        <v>354615</v>
      </c>
    </row>
    <row r="1645" spans="1:6">
      <c r="A1645" s="3" t="s">
        <v>4424</v>
      </c>
      <c r="B1645" s="2">
        <v>15</v>
      </c>
      <c r="C1645" s="2">
        <v>1213132</v>
      </c>
      <c r="D1645" s="2">
        <v>2917753</v>
      </c>
      <c r="E1645" s="2">
        <v>37.97</v>
      </c>
      <c r="F1645" s="2">
        <v>357757</v>
      </c>
    </row>
    <row r="1646" spans="1:6">
      <c r="A1646" s="3" t="s">
        <v>4425</v>
      </c>
      <c r="B1646" s="2">
        <v>19</v>
      </c>
      <c r="C1646" s="2">
        <v>553696</v>
      </c>
      <c r="D1646" s="2">
        <v>2919504</v>
      </c>
      <c r="E1646" s="2">
        <v>37.97</v>
      </c>
      <c r="F1646" s="2">
        <v>295795</v>
      </c>
    </row>
    <row r="1647" spans="1:6">
      <c r="A1647" s="3" t="s">
        <v>4426</v>
      </c>
      <c r="B1647" s="2">
        <v>69</v>
      </c>
      <c r="C1647" s="2">
        <v>254350</v>
      </c>
      <c r="D1647" s="2">
        <v>2967331</v>
      </c>
      <c r="E1647" s="2">
        <v>37.97</v>
      </c>
      <c r="F1647" s="2">
        <v>98508</v>
      </c>
    </row>
    <row r="1648" spans="1:6">
      <c r="A1648" s="3" t="s">
        <v>4427</v>
      </c>
      <c r="B1648" s="2">
        <v>93</v>
      </c>
      <c r="C1648" s="2">
        <v>217013</v>
      </c>
      <c r="D1648" s="2">
        <v>3037322</v>
      </c>
      <c r="E1648" s="2">
        <v>37.97</v>
      </c>
      <c r="F1648" s="2">
        <v>53948</v>
      </c>
    </row>
    <row r="1649" spans="1:6">
      <c r="A1649" s="3" t="s">
        <v>4428</v>
      </c>
      <c r="B1649" s="2">
        <v>55</v>
      </c>
      <c r="C1649" s="2">
        <v>296419</v>
      </c>
      <c r="D1649" s="2">
        <v>2915040</v>
      </c>
      <c r="E1649" s="2">
        <v>37.979999999999997</v>
      </c>
      <c r="F1649" s="2">
        <v>87498</v>
      </c>
    </row>
    <row r="1650" spans="1:6">
      <c r="A1650" s="3" t="s">
        <v>4429</v>
      </c>
      <c r="B1650" s="2">
        <v>262</v>
      </c>
      <c r="C1650" s="2">
        <v>82218</v>
      </c>
      <c r="D1650" s="2">
        <v>3098862</v>
      </c>
      <c r="E1650" s="2">
        <v>37.979999999999997</v>
      </c>
      <c r="F1650" s="2">
        <v>22906</v>
      </c>
    </row>
    <row r="1651" spans="1:6">
      <c r="A1651" s="3" t="s">
        <v>4430</v>
      </c>
      <c r="B1651" s="2">
        <v>9</v>
      </c>
      <c r="C1651" s="2">
        <v>1478282</v>
      </c>
      <c r="D1651" s="2">
        <v>2937383</v>
      </c>
      <c r="E1651" s="2">
        <v>37.99</v>
      </c>
      <c r="F1651" s="2">
        <v>1478282</v>
      </c>
    </row>
    <row r="1652" spans="1:6">
      <c r="A1652" s="3" t="s">
        <v>4431</v>
      </c>
      <c r="B1652" s="2">
        <v>9</v>
      </c>
      <c r="C1652" s="2">
        <v>1472013</v>
      </c>
      <c r="D1652" s="2">
        <v>2904860</v>
      </c>
      <c r="E1652" s="2">
        <v>38</v>
      </c>
      <c r="F1652" s="2">
        <v>1472013</v>
      </c>
    </row>
    <row r="1653" spans="1:6">
      <c r="A1653" s="3" t="s">
        <v>4432</v>
      </c>
      <c r="B1653" s="2">
        <v>15</v>
      </c>
      <c r="C1653" s="2">
        <v>597690</v>
      </c>
      <c r="D1653" s="2">
        <v>2858187</v>
      </c>
      <c r="E1653" s="2">
        <v>38.01</v>
      </c>
      <c r="F1653" s="2">
        <v>533553</v>
      </c>
    </row>
    <row r="1654" spans="1:6">
      <c r="A1654" s="3" t="s">
        <v>4433</v>
      </c>
      <c r="B1654" s="2">
        <v>20</v>
      </c>
      <c r="C1654" s="2">
        <v>538044</v>
      </c>
      <c r="D1654" s="2">
        <v>2968561</v>
      </c>
      <c r="E1654" s="2">
        <v>38.01</v>
      </c>
      <c r="F1654" s="2">
        <v>315675</v>
      </c>
    </row>
    <row r="1655" spans="1:6">
      <c r="A1655" s="3" t="s">
        <v>4434</v>
      </c>
      <c r="B1655" s="2">
        <v>17</v>
      </c>
      <c r="C1655" s="2">
        <v>763268</v>
      </c>
      <c r="D1655" s="2">
        <v>3040122</v>
      </c>
      <c r="E1655" s="2">
        <v>38.01</v>
      </c>
      <c r="F1655" s="2">
        <v>406931</v>
      </c>
    </row>
    <row r="1656" spans="1:6">
      <c r="A1656" s="3" t="s">
        <v>4435</v>
      </c>
      <c r="B1656" s="2">
        <v>146</v>
      </c>
      <c r="C1656" s="2">
        <v>133945</v>
      </c>
      <c r="D1656" s="2">
        <v>2977000</v>
      </c>
      <c r="E1656" s="2">
        <v>38.020000000000003</v>
      </c>
      <c r="F1656" s="2">
        <v>38655</v>
      </c>
    </row>
    <row r="1657" spans="1:6">
      <c r="A1657" s="3" t="s">
        <v>4436</v>
      </c>
      <c r="B1657" s="2">
        <v>15</v>
      </c>
      <c r="C1657" s="2">
        <v>738015</v>
      </c>
      <c r="D1657" s="2">
        <v>2873224</v>
      </c>
      <c r="E1657" s="2">
        <v>38.04</v>
      </c>
      <c r="F1657" s="2">
        <v>508223</v>
      </c>
    </row>
    <row r="1658" spans="1:6">
      <c r="A1658" s="3" t="s">
        <v>4437</v>
      </c>
      <c r="B1658" s="2">
        <v>16</v>
      </c>
      <c r="C1658" s="2">
        <v>652050</v>
      </c>
      <c r="D1658" s="2">
        <v>2873782</v>
      </c>
      <c r="E1658" s="2">
        <v>38.04</v>
      </c>
      <c r="F1658" s="2">
        <v>431218</v>
      </c>
    </row>
    <row r="1659" spans="1:6">
      <c r="A1659" s="3" t="s">
        <v>4438</v>
      </c>
      <c r="B1659" s="2">
        <v>14</v>
      </c>
      <c r="C1659" s="2">
        <v>970561</v>
      </c>
      <c r="D1659" s="2">
        <v>2873921</v>
      </c>
      <c r="E1659" s="2">
        <v>38.04</v>
      </c>
      <c r="F1659" s="2">
        <v>540737</v>
      </c>
    </row>
    <row r="1660" spans="1:6">
      <c r="A1660" s="3" t="s">
        <v>4439</v>
      </c>
      <c r="B1660" s="2">
        <v>12</v>
      </c>
      <c r="C1660" s="2">
        <v>548703</v>
      </c>
      <c r="D1660" s="2">
        <v>2863894</v>
      </c>
      <c r="E1660" s="2">
        <v>38.07</v>
      </c>
      <c r="F1660" s="2">
        <v>502188</v>
      </c>
    </row>
    <row r="1661" spans="1:6">
      <c r="A1661" s="3" t="s">
        <v>4440</v>
      </c>
      <c r="B1661" s="2">
        <v>14</v>
      </c>
      <c r="C1661" s="2">
        <v>961194</v>
      </c>
      <c r="D1661" s="2">
        <v>2949039</v>
      </c>
      <c r="E1661" s="2">
        <v>38.07</v>
      </c>
      <c r="F1661" s="2">
        <v>537984</v>
      </c>
    </row>
    <row r="1662" spans="1:6">
      <c r="A1662" s="3" t="s">
        <v>4441</v>
      </c>
      <c r="B1662" s="2">
        <v>17</v>
      </c>
      <c r="C1662" s="2">
        <v>538008</v>
      </c>
      <c r="D1662" s="2">
        <v>2950113</v>
      </c>
      <c r="E1662" s="2">
        <v>38.07</v>
      </c>
      <c r="F1662" s="2">
        <v>521764</v>
      </c>
    </row>
    <row r="1663" spans="1:6">
      <c r="A1663" s="3" t="s">
        <v>4442</v>
      </c>
      <c r="B1663" s="2">
        <v>30</v>
      </c>
      <c r="C1663" s="2">
        <v>536036</v>
      </c>
      <c r="D1663" s="2">
        <v>2949734</v>
      </c>
      <c r="E1663" s="2">
        <v>38.08</v>
      </c>
      <c r="F1663" s="2">
        <v>200592</v>
      </c>
    </row>
    <row r="1664" spans="1:6">
      <c r="A1664" s="3" t="s">
        <v>4443</v>
      </c>
      <c r="B1664" s="2">
        <v>15</v>
      </c>
      <c r="C1664" s="2">
        <v>1432638</v>
      </c>
      <c r="D1664" s="2">
        <v>2844074</v>
      </c>
      <c r="E1664" s="2">
        <v>38.11</v>
      </c>
      <c r="F1664" s="2">
        <v>1432638</v>
      </c>
    </row>
    <row r="1665" spans="1:6">
      <c r="A1665" s="3" t="s">
        <v>4444</v>
      </c>
      <c r="B1665" s="2">
        <v>10</v>
      </c>
      <c r="C1665" s="2">
        <v>819874</v>
      </c>
      <c r="D1665" s="2">
        <v>2816239</v>
      </c>
      <c r="E1665" s="2">
        <v>38.14</v>
      </c>
      <c r="F1665" s="2">
        <v>487026</v>
      </c>
    </row>
    <row r="1666" spans="1:6">
      <c r="A1666" s="3" t="s">
        <v>4445</v>
      </c>
      <c r="B1666" s="2">
        <v>17</v>
      </c>
      <c r="C1666" s="2">
        <v>387725</v>
      </c>
      <c r="D1666" s="2">
        <v>2816225</v>
      </c>
      <c r="E1666" s="2">
        <v>38.15</v>
      </c>
      <c r="F1666" s="2">
        <v>288036</v>
      </c>
    </row>
    <row r="1667" spans="1:6">
      <c r="A1667" s="3" t="s">
        <v>4446</v>
      </c>
      <c r="B1667" s="2">
        <v>9</v>
      </c>
      <c r="C1667" s="2">
        <v>1451796</v>
      </c>
      <c r="D1667" s="2">
        <v>2816885</v>
      </c>
      <c r="E1667" s="2">
        <v>38.15</v>
      </c>
      <c r="F1667" s="2">
        <v>1451796</v>
      </c>
    </row>
    <row r="1668" spans="1:6">
      <c r="A1668" s="3" t="s">
        <v>4447</v>
      </c>
      <c r="B1668" s="2">
        <v>186</v>
      </c>
      <c r="C1668" s="2">
        <v>1344945</v>
      </c>
      <c r="D1668" s="2">
        <v>3322844</v>
      </c>
      <c r="E1668" s="2">
        <v>38.15</v>
      </c>
      <c r="F1668" s="2">
        <v>533146</v>
      </c>
    </row>
    <row r="1669" spans="1:6">
      <c r="A1669" s="3" t="s">
        <v>4448</v>
      </c>
      <c r="B1669" s="2">
        <v>12</v>
      </c>
      <c r="C1669" s="2">
        <v>1346547</v>
      </c>
      <c r="D1669" s="2">
        <v>2823756</v>
      </c>
      <c r="E1669" s="2">
        <v>38.159999999999997</v>
      </c>
      <c r="F1669" s="2">
        <v>541157</v>
      </c>
    </row>
    <row r="1670" spans="1:6">
      <c r="A1670" s="3" t="s">
        <v>4449</v>
      </c>
      <c r="B1670" s="2">
        <v>13</v>
      </c>
      <c r="C1670" s="2">
        <v>621692</v>
      </c>
      <c r="D1670" s="2">
        <v>2824124</v>
      </c>
      <c r="E1670" s="2">
        <v>38.159999999999997</v>
      </c>
      <c r="F1670" s="2">
        <v>524711</v>
      </c>
    </row>
    <row r="1671" spans="1:6">
      <c r="A1671" s="3" t="s">
        <v>4450</v>
      </c>
      <c r="B1671" s="2">
        <v>18</v>
      </c>
      <c r="C1671" s="2">
        <v>524318</v>
      </c>
      <c r="D1671" s="2">
        <v>2870565</v>
      </c>
      <c r="E1671" s="2">
        <v>38.17</v>
      </c>
      <c r="F1671" s="2">
        <v>284059</v>
      </c>
    </row>
    <row r="1672" spans="1:6">
      <c r="A1672" s="3" t="s">
        <v>4451</v>
      </c>
      <c r="B1672" s="2">
        <v>136</v>
      </c>
      <c r="C1672" s="2">
        <v>1036664</v>
      </c>
      <c r="D1672" s="2">
        <v>3071704</v>
      </c>
      <c r="E1672" s="2">
        <v>38.299999999999997</v>
      </c>
      <c r="F1672" s="2">
        <v>514950</v>
      </c>
    </row>
  </sheetData>
  <conditionalFormatting sqref="A1:A1670 A1673:A1048576">
    <cfRule type="duplicateValues" dxfId="1" priority="2"/>
  </conditionalFormatting>
  <conditionalFormatting sqref="A1671:A1672">
    <cfRule type="duplicateValues" dxfId="0" priority="1"/>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S1</vt:lpstr>
      <vt:lpstr>Table S2</vt:lpstr>
      <vt:lpstr>Table S3</vt:lpstr>
      <vt:lpstr>Table S4</vt:lpstr>
      <vt:lpstr>Table QC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Elif Seyda Tosun</dc:creator>
  <cp:keywords/>
  <dc:description/>
  <cp:lastModifiedBy>Pernille Renkwitz</cp:lastModifiedBy>
  <cp:lastPrinted>2022-12-17T11:35:25Z</cp:lastPrinted>
  <dcterms:created xsi:type="dcterms:W3CDTF">2022-08-04T12:21:08Z</dcterms:created>
  <dcterms:modified xsi:type="dcterms:W3CDTF">2026-10-27T10:56:28Z</dcterms:modified>
  <cp:category/>
</cp:coreProperties>
</file>